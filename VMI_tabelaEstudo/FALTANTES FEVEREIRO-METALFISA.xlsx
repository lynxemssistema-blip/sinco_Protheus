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co.rosa\Desktop\DAILY\FALTANTES FEVEREIRO 26\FALTANTES METALFISA-FEVEREIRO\"/>
    </mc:Choice>
  </mc:AlternateContent>
  <bookViews>
    <workbookView xWindow="0" yWindow="0" windowWidth="20400" windowHeight="7335"/>
  </bookViews>
  <sheets>
    <sheet name="Faltantes Fevereiro- Metalfisa" sheetId="1" r:id="rId1"/>
    <sheet name="Plan1" sheetId="13" state="hidden" r:id="rId2"/>
    <sheet name="METALFISA" sheetId="14" state="hidden" r:id="rId3"/>
    <sheet name="OC'S METALFISA GERAL" sheetId="9" r:id="rId4"/>
    <sheet name="OC'S METALFISA" sheetId="2" state="hidden" r:id="rId5"/>
  </sheets>
  <externalReferences>
    <externalReference r:id="rId6"/>
    <externalReference r:id="rId7"/>
  </externalReferences>
  <definedNames>
    <definedName name="_xlnm._FilterDatabase" localSheetId="0" hidden="1">'Faltantes Fevereiro- Metalfisa'!$A$3:$CL$404</definedName>
    <definedName name="_xlnm._FilterDatabase" localSheetId="4" hidden="1">'OC''S METALFISA'!$A$1:$F$233</definedName>
    <definedName name="_xlnm._FilterDatabase" localSheetId="3" hidden="1">'OC''S METALFISA GERAL'!$A$1:$R$770</definedName>
    <definedName name="_xlnm._FilterDatabase" localSheetId="1" hidden="1">Plan1!$A$1:$C$1</definedName>
  </definedNames>
  <calcPr calcId="152511"/>
  <pivotCaches>
    <pivotCache cacheId="85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40" i="9" l="1"/>
  <c r="Q740" i="9" s="1"/>
  <c r="A740" i="9"/>
  <c r="O740" i="9" s="1"/>
  <c r="P739" i="9"/>
  <c r="Q739" i="9" s="1"/>
  <c r="O739" i="9"/>
  <c r="A739" i="9"/>
  <c r="P738" i="9"/>
  <c r="Q738" i="9" s="1"/>
  <c r="A738" i="9"/>
  <c r="O738" i="9" s="1"/>
  <c r="P737" i="9"/>
  <c r="Q737" i="9" s="1"/>
  <c r="A737" i="9"/>
  <c r="O737" i="9" s="1"/>
  <c r="P736" i="9"/>
  <c r="Q736" i="9" s="1"/>
  <c r="A736" i="9"/>
  <c r="O736" i="9" s="1"/>
  <c r="P735" i="9"/>
  <c r="Q735" i="9" s="1"/>
  <c r="A735" i="9"/>
  <c r="O735" i="9" s="1"/>
  <c r="P734" i="9"/>
  <c r="Q734" i="9" s="1"/>
  <c r="A734" i="9"/>
  <c r="O734" i="9" s="1"/>
  <c r="P733" i="9"/>
  <c r="Q733" i="9" s="1"/>
  <c r="A733" i="9"/>
  <c r="O733" i="9" s="1"/>
  <c r="P732" i="9"/>
  <c r="Q732" i="9" s="1"/>
  <c r="A732" i="9"/>
  <c r="O732" i="9" s="1"/>
  <c r="P731" i="9"/>
  <c r="Q731" i="9" s="1"/>
  <c r="O731" i="9"/>
  <c r="A731" i="9"/>
  <c r="P730" i="9"/>
  <c r="Q730" i="9" s="1"/>
  <c r="A730" i="9"/>
  <c r="O730" i="9" s="1"/>
  <c r="P729" i="9"/>
  <c r="Q729" i="9" s="1"/>
  <c r="A729" i="9"/>
  <c r="O729" i="9" s="1"/>
  <c r="P728" i="9"/>
  <c r="Q728" i="9" s="1"/>
  <c r="A728" i="9"/>
  <c r="O728" i="9" s="1"/>
  <c r="P727" i="9"/>
  <c r="Q727" i="9" s="1"/>
  <c r="A727" i="9"/>
  <c r="O727" i="9" s="1"/>
  <c r="P726" i="9"/>
  <c r="Q726" i="9" s="1"/>
  <c r="A726" i="9"/>
  <c r="O726" i="9" s="1"/>
  <c r="P725" i="9"/>
  <c r="Q725" i="9" s="1"/>
  <c r="A725" i="9"/>
  <c r="O725" i="9" s="1"/>
  <c r="P724" i="9"/>
  <c r="Q724" i="9" s="1"/>
  <c r="A724" i="9"/>
  <c r="O724" i="9" s="1"/>
  <c r="P723" i="9"/>
  <c r="Q723" i="9" s="1"/>
  <c r="O723" i="9"/>
  <c r="A723" i="9"/>
  <c r="P722" i="9"/>
  <c r="Q722" i="9" s="1"/>
  <c r="A722" i="9"/>
  <c r="O722" i="9" s="1"/>
  <c r="P721" i="9"/>
  <c r="Q721" i="9" s="1"/>
  <c r="A721" i="9"/>
  <c r="O721" i="9" s="1"/>
  <c r="P720" i="9"/>
  <c r="Q720" i="9" s="1"/>
  <c r="A720" i="9"/>
  <c r="O720" i="9" s="1"/>
  <c r="P719" i="9"/>
  <c r="Q719" i="9" s="1"/>
  <c r="A719" i="9"/>
  <c r="O719" i="9" s="1"/>
  <c r="P718" i="9"/>
  <c r="Q718" i="9" s="1"/>
  <c r="A718" i="9"/>
  <c r="O718" i="9" s="1"/>
  <c r="P717" i="9"/>
  <c r="Q717" i="9" s="1"/>
  <c r="A717" i="9"/>
  <c r="O717" i="9" s="1"/>
  <c r="P716" i="9"/>
  <c r="Q716" i="9" s="1"/>
  <c r="A716" i="9"/>
  <c r="O716" i="9" s="1"/>
  <c r="P715" i="9"/>
  <c r="Q715" i="9" s="1"/>
  <c r="O715" i="9"/>
  <c r="A715" i="9"/>
  <c r="P714" i="9"/>
  <c r="Q714" i="9" s="1"/>
  <c r="A714" i="9"/>
  <c r="O714" i="9" s="1"/>
  <c r="P713" i="9"/>
  <c r="Q713" i="9" s="1"/>
  <c r="A713" i="9"/>
  <c r="O713" i="9" s="1"/>
  <c r="P712" i="9"/>
  <c r="Q712" i="9" s="1"/>
  <c r="A712" i="9"/>
  <c r="O712" i="9" s="1"/>
  <c r="P711" i="9"/>
  <c r="Q711" i="9" s="1"/>
  <c r="A711" i="9"/>
  <c r="O711" i="9" s="1"/>
  <c r="P710" i="9"/>
  <c r="Q710" i="9" s="1"/>
  <c r="A710" i="9"/>
  <c r="O710" i="9" s="1"/>
  <c r="P709" i="9"/>
  <c r="Q709" i="9" s="1"/>
  <c r="A709" i="9"/>
  <c r="O709" i="9" s="1"/>
  <c r="P708" i="9"/>
  <c r="Q708" i="9" s="1"/>
  <c r="A708" i="9"/>
  <c r="O708" i="9" s="1"/>
  <c r="P707" i="9"/>
  <c r="Q707" i="9" s="1"/>
  <c r="O707" i="9"/>
  <c r="A707" i="9"/>
  <c r="P706" i="9"/>
  <c r="Q706" i="9" s="1"/>
  <c r="A706" i="9"/>
  <c r="O706" i="9" s="1"/>
  <c r="P705" i="9"/>
  <c r="Q705" i="9" s="1"/>
  <c r="A705" i="9"/>
  <c r="O705" i="9" s="1"/>
  <c r="P704" i="9"/>
  <c r="Q704" i="9" s="1"/>
  <c r="A704" i="9"/>
  <c r="O704" i="9" s="1"/>
  <c r="P703" i="9"/>
  <c r="Q703" i="9" s="1"/>
  <c r="A703" i="9"/>
  <c r="O703" i="9" s="1"/>
  <c r="P702" i="9"/>
  <c r="Q702" i="9" s="1"/>
  <c r="A702" i="9"/>
  <c r="O702" i="9" s="1"/>
  <c r="P701" i="9"/>
  <c r="Q701" i="9" s="1"/>
  <c r="A701" i="9"/>
  <c r="O701" i="9" s="1"/>
  <c r="P700" i="9"/>
  <c r="Q700" i="9" s="1"/>
  <c r="A700" i="9"/>
  <c r="O700" i="9" s="1"/>
  <c r="P699" i="9"/>
  <c r="Q699" i="9" s="1"/>
  <c r="O699" i="9"/>
  <c r="A699" i="9"/>
  <c r="P698" i="9"/>
  <c r="Q698" i="9" s="1"/>
  <c r="A698" i="9"/>
  <c r="O698" i="9" s="1"/>
  <c r="P697" i="9"/>
  <c r="Q697" i="9" s="1"/>
  <c r="A697" i="9"/>
  <c r="O697" i="9" s="1"/>
  <c r="P696" i="9"/>
  <c r="Q696" i="9" s="1"/>
  <c r="A696" i="9"/>
  <c r="O696" i="9" s="1"/>
  <c r="P695" i="9"/>
  <c r="Q695" i="9" s="1"/>
  <c r="A695" i="9"/>
  <c r="O695" i="9" s="1"/>
  <c r="P694" i="9"/>
  <c r="Q694" i="9" s="1"/>
  <c r="A694" i="9"/>
  <c r="O694" i="9" s="1"/>
  <c r="P693" i="9"/>
  <c r="Q693" i="9" s="1"/>
  <c r="A693" i="9"/>
  <c r="O693" i="9" s="1"/>
  <c r="P692" i="9"/>
  <c r="Q692" i="9" s="1"/>
  <c r="A692" i="9"/>
  <c r="O692" i="9" s="1"/>
  <c r="P691" i="9"/>
  <c r="Q691" i="9" s="1"/>
  <c r="O691" i="9"/>
  <c r="A691" i="9"/>
  <c r="P690" i="9"/>
  <c r="Q690" i="9" s="1"/>
  <c r="A690" i="9"/>
  <c r="O690" i="9" s="1"/>
  <c r="P689" i="9"/>
  <c r="Q689" i="9" s="1"/>
  <c r="A689" i="9"/>
  <c r="O689" i="9" s="1"/>
  <c r="P688" i="9"/>
  <c r="Q688" i="9" s="1"/>
  <c r="A688" i="9"/>
  <c r="O688" i="9" s="1"/>
  <c r="P687" i="9"/>
  <c r="Q687" i="9" s="1"/>
  <c r="A687" i="9"/>
  <c r="O687" i="9" s="1"/>
  <c r="P686" i="9"/>
  <c r="Q686" i="9" s="1"/>
  <c r="A686" i="9"/>
  <c r="O686" i="9" s="1"/>
  <c r="P685" i="9"/>
  <c r="Q685" i="9" s="1"/>
  <c r="A685" i="9"/>
  <c r="O685" i="9" s="1"/>
  <c r="P684" i="9"/>
  <c r="Q684" i="9" s="1"/>
  <c r="A684" i="9"/>
  <c r="O684" i="9" s="1"/>
  <c r="P683" i="9"/>
  <c r="Q683" i="9" s="1"/>
  <c r="O683" i="9"/>
  <c r="A683" i="9"/>
  <c r="P682" i="9"/>
  <c r="Q682" i="9" s="1"/>
  <c r="A682" i="9"/>
  <c r="O682" i="9" s="1"/>
  <c r="P681" i="9"/>
  <c r="Q681" i="9" s="1"/>
  <c r="A681" i="9"/>
  <c r="O681" i="9" s="1"/>
  <c r="P680" i="9"/>
  <c r="Q680" i="9" s="1"/>
  <c r="A680" i="9"/>
  <c r="O680" i="9" s="1"/>
  <c r="P679" i="9"/>
  <c r="Q679" i="9" s="1"/>
  <c r="O679" i="9"/>
  <c r="A679" i="9"/>
  <c r="P678" i="9"/>
  <c r="Q678" i="9" s="1"/>
  <c r="A678" i="9"/>
  <c r="O678" i="9" s="1"/>
  <c r="P677" i="9"/>
  <c r="Q677" i="9" s="1"/>
  <c r="A677" i="9"/>
  <c r="O677" i="9" s="1"/>
  <c r="P676" i="9"/>
  <c r="Q676" i="9" s="1"/>
  <c r="A676" i="9"/>
  <c r="O676" i="9" s="1"/>
  <c r="P675" i="9"/>
  <c r="Q675" i="9" s="1"/>
  <c r="O675" i="9"/>
  <c r="A675" i="9"/>
  <c r="P674" i="9"/>
  <c r="Q674" i="9" s="1"/>
  <c r="A674" i="9"/>
  <c r="O674" i="9" s="1"/>
  <c r="P673" i="9"/>
  <c r="Q673" i="9" s="1"/>
  <c r="A673" i="9"/>
  <c r="O673" i="9" s="1"/>
  <c r="P672" i="9"/>
  <c r="Q672" i="9" s="1"/>
  <c r="A672" i="9"/>
  <c r="O672" i="9" s="1"/>
  <c r="P671" i="9"/>
  <c r="Q671" i="9" s="1"/>
  <c r="A671" i="9"/>
  <c r="O671" i="9" s="1"/>
  <c r="P670" i="9"/>
  <c r="Q670" i="9" s="1"/>
  <c r="A670" i="9"/>
  <c r="O670" i="9" s="1"/>
  <c r="P669" i="9"/>
  <c r="Q669" i="9" s="1"/>
  <c r="A669" i="9"/>
  <c r="O669" i="9" s="1"/>
  <c r="P668" i="9"/>
  <c r="Q668" i="9" s="1"/>
  <c r="A668" i="9"/>
  <c r="O668" i="9" s="1"/>
  <c r="P667" i="9"/>
  <c r="Q667" i="9" s="1"/>
  <c r="O667" i="9"/>
  <c r="A667" i="9"/>
  <c r="P666" i="9"/>
  <c r="Q666" i="9" s="1"/>
  <c r="A666" i="9"/>
  <c r="O666" i="9" s="1"/>
  <c r="P665" i="9"/>
  <c r="Q665" i="9" s="1"/>
  <c r="A665" i="9"/>
  <c r="O665" i="9" s="1"/>
  <c r="P664" i="9"/>
  <c r="Q664" i="9" s="1"/>
  <c r="A664" i="9"/>
  <c r="O664" i="9" s="1"/>
  <c r="P663" i="9"/>
  <c r="Q663" i="9" s="1"/>
  <c r="O663" i="9"/>
  <c r="A663" i="9"/>
  <c r="P662" i="9"/>
  <c r="Q662" i="9" s="1"/>
  <c r="A662" i="9"/>
  <c r="O662" i="9" s="1"/>
  <c r="P661" i="9"/>
  <c r="Q661" i="9" s="1"/>
  <c r="A661" i="9"/>
  <c r="O661" i="9" s="1"/>
  <c r="P660" i="9"/>
  <c r="Q660" i="9" s="1"/>
  <c r="O660" i="9"/>
  <c r="A660" i="9"/>
  <c r="P659" i="9"/>
  <c r="Q659" i="9" s="1"/>
  <c r="O659" i="9"/>
  <c r="A659" i="9"/>
  <c r="P658" i="9"/>
  <c r="Q658" i="9" s="1"/>
  <c r="A658" i="9"/>
  <c r="O658" i="9" s="1"/>
  <c r="P657" i="9"/>
  <c r="Q657" i="9" s="1"/>
  <c r="O657" i="9"/>
  <c r="A657" i="9"/>
  <c r="P656" i="9"/>
  <c r="Q656" i="9" s="1"/>
  <c r="A656" i="9"/>
  <c r="O656" i="9" s="1"/>
  <c r="P655" i="9"/>
  <c r="Q655" i="9" s="1"/>
  <c r="A655" i="9"/>
  <c r="O655" i="9" s="1"/>
  <c r="P654" i="9"/>
  <c r="Q654" i="9" s="1"/>
  <c r="O654" i="9"/>
  <c r="A654" i="9"/>
  <c r="P653" i="9"/>
  <c r="Q653" i="9" s="1"/>
  <c r="A653" i="9"/>
  <c r="O653" i="9" s="1"/>
  <c r="P652" i="9"/>
  <c r="Q652" i="9" s="1"/>
  <c r="A652" i="9"/>
  <c r="O652" i="9" s="1"/>
  <c r="P651" i="9"/>
  <c r="Q651" i="9" s="1"/>
  <c r="O651" i="9"/>
  <c r="A651" i="9"/>
  <c r="P650" i="9"/>
  <c r="Q650" i="9" s="1"/>
  <c r="O650" i="9"/>
  <c r="A650" i="9"/>
  <c r="P649" i="9"/>
  <c r="Q649" i="9" s="1"/>
  <c r="A649" i="9"/>
  <c r="O649" i="9" s="1"/>
  <c r="P648" i="9"/>
  <c r="Q648" i="9" s="1"/>
  <c r="A648" i="9"/>
  <c r="O648" i="9" s="1"/>
  <c r="P647" i="9"/>
  <c r="Q647" i="9" s="1"/>
  <c r="O647" i="9"/>
  <c r="A647" i="9"/>
  <c r="P646" i="9"/>
  <c r="Q646" i="9" s="1"/>
  <c r="A646" i="9"/>
  <c r="O646" i="9" s="1"/>
  <c r="P645" i="9"/>
  <c r="Q645" i="9" s="1"/>
  <c r="A645" i="9"/>
  <c r="O645" i="9" s="1"/>
  <c r="P644" i="9"/>
  <c r="Q644" i="9" s="1"/>
  <c r="O644" i="9"/>
  <c r="A644" i="9"/>
  <c r="P643" i="9"/>
  <c r="Q643" i="9" s="1"/>
  <c r="A643" i="9"/>
  <c r="O643" i="9" s="1"/>
  <c r="P642" i="9"/>
  <c r="Q642" i="9" s="1"/>
  <c r="A642" i="9"/>
  <c r="O642" i="9" s="1"/>
  <c r="P641" i="9"/>
  <c r="Q641" i="9" s="1"/>
  <c r="A641" i="9"/>
  <c r="O641" i="9" s="1"/>
  <c r="P640" i="9"/>
  <c r="Q640" i="9" s="1"/>
  <c r="O640" i="9"/>
  <c r="A640" i="9"/>
  <c r="P639" i="9"/>
  <c r="Q639" i="9" s="1"/>
  <c r="O639" i="9"/>
  <c r="A639" i="9"/>
  <c r="P638" i="9"/>
  <c r="Q638" i="9" s="1"/>
  <c r="A638" i="9"/>
  <c r="O638" i="9" s="1"/>
  <c r="P637" i="9"/>
  <c r="Q637" i="9" s="1"/>
  <c r="A637" i="9"/>
  <c r="O637" i="9" s="1"/>
  <c r="P636" i="9"/>
  <c r="Q636" i="9" s="1"/>
  <c r="A636" i="9"/>
  <c r="O636" i="9" s="1"/>
  <c r="P635" i="9"/>
  <c r="Q635" i="9" s="1"/>
  <c r="A635" i="9"/>
  <c r="O635" i="9" s="1"/>
  <c r="P634" i="9"/>
  <c r="Q634" i="9" s="1"/>
  <c r="A634" i="9"/>
  <c r="O634" i="9" s="1"/>
  <c r="P633" i="9"/>
  <c r="Q633" i="9" s="1"/>
  <c r="A633" i="9"/>
  <c r="O633" i="9" s="1"/>
  <c r="P632" i="9"/>
  <c r="Q632" i="9" s="1"/>
  <c r="O632" i="9"/>
  <c r="A632" i="9"/>
  <c r="P631" i="9"/>
  <c r="Q631" i="9" s="1"/>
  <c r="A631" i="9"/>
  <c r="O631" i="9" s="1"/>
  <c r="P630" i="9"/>
  <c r="Q630" i="9" s="1"/>
  <c r="O630" i="9"/>
  <c r="A630" i="9"/>
  <c r="P629" i="9"/>
  <c r="Q629" i="9" s="1"/>
  <c r="A629" i="9"/>
  <c r="O629" i="9" s="1"/>
  <c r="P628" i="9"/>
  <c r="Q628" i="9" s="1"/>
  <c r="O628" i="9"/>
  <c r="A628" i="9"/>
  <c r="P627" i="9"/>
  <c r="Q627" i="9" s="1"/>
  <c r="A627" i="9"/>
  <c r="O627" i="9" s="1"/>
  <c r="P626" i="9"/>
  <c r="Q626" i="9" s="1"/>
  <c r="O626" i="9"/>
  <c r="A626" i="9"/>
  <c r="P625" i="9"/>
  <c r="Q625" i="9" s="1"/>
  <c r="A625" i="9"/>
  <c r="O625" i="9" s="1"/>
  <c r="P624" i="9"/>
  <c r="Q624" i="9" s="1"/>
  <c r="A624" i="9"/>
  <c r="O624" i="9" s="1"/>
  <c r="P623" i="9"/>
  <c r="Q623" i="9" s="1"/>
  <c r="O623" i="9"/>
  <c r="A623" i="9"/>
  <c r="P622" i="9"/>
  <c r="Q622" i="9" s="1"/>
  <c r="A622" i="9"/>
  <c r="O622" i="9" s="1"/>
  <c r="P621" i="9"/>
  <c r="Q621" i="9" s="1"/>
  <c r="A621" i="9"/>
  <c r="O621" i="9" s="1"/>
  <c r="P620" i="9"/>
  <c r="Q620" i="9" s="1"/>
  <c r="A620" i="9"/>
  <c r="O620" i="9" s="1"/>
  <c r="P619" i="9"/>
  <c r="Q619" i="9" s="1"/>
  <c r="A619" i="9"/>
  <c r="O619" i="9" s="1"/>
  <c r="P618" i="9"/>
  <c r="Q618" i="9" s="1"/>
  <c r="A618" i="9"/>
  <c r="O618" i="9" s="1"/>
  <c r="P617" i="9"/>
  <c r="Q617" i="9" s="1"/>
  <c r="A617" i="9"/>
  <c r="O617" i="9" s="1"/>
  <c r="P616" i="9"/>
  <c r="Q616" i="9" s="1"/>
  <c r="O616" i="9"/>
  <c r="A616" i="9"/>
  <c r="P615" i="9"/>
  <c r="Q615" i="9" s="1"/>
  <c r="A615" i="9"/>
  <c r="O615" i="9" s="1"/>
  <c r="P614" i="9"/>
  <c r="Q614" i="9" s="1"/>
  <c r="A614" i="9"/>
  <c r="O614" i="9" s="1"/>
  <c r="P613" i="9"/>
  <c r="Q613" i="9" s="1"/>
  <c r="A613" i="9"/>
  <c r="O613" i="9" s="1"/>
  <c r="P612" i="9"/>
  <c r="Q612" i="9" s="1"/>
  <c r="O612" i="9"/>
  <c r="A612" i="9"/>
  <c r="P611" i="9"/>
  <c r="Q611" i="9" s="1"/>
  <c r="A611" i="9"/>
  <c r="O611" i="9" s="1"/>
  <c r="P610" i="9"/>
  <c r="Q610" i="9" s="1"/>
  <c r="O610" i="9"/>
  <c r="A610" i="9"/>
  <c r="P609" i="9"/>
  <c r="Q609" i="9" s="1"/>
  <c r="A609" i="9"/>
  <c r="O609" i="9" s="1"/>
  <c r="P608" i="9"/>
  <c r="Q608" i="9" s="1"/>
  <c r="O608" i="9"/>
  <c r="A608" i="9"/>
  <c r="P607" i="9"/>
  <c r="Q607" i="9" s="1"/>
  <c r="O607" i="9"/>
  <c r="A607" i="9"/>
  <c r="P606" i="9"/>
  <c r="Q606" i="9" s="1"/>
  <c r="A606" i="9"/>
  <c r="O606" i="9" s="1"/>
  <c r="P605" i="9"/>
  <c r="Q605" i="9" s="1"/>
  <c r="A605" i="9"/>
  <c r="O605" i="9" s="1"/>
  <c r="P604" i="9"/>
  <c r="Q604" i="9" s="1"/>
  <c r="A604" i="9"/>
  <c r="O604" i="9" s="1"/>
  <c r="P603" i="9"/>
  <c r="Q603" i="9" s="1"/>
  <c r="A603" i="9"/>
  <c r="O603" i="9" s="1"/>
  <c r="P602" i="9"/>
  <c r="Q602" i="9" s="1"/>
  <c r="A602" i="9"/>
  <c r="O602" i="9" s="1"/>
  <c r="P601" i="9"/>
  <c r="Q601" i="9" s="1"/>
  <c r="A601" i="9"/>
  <c r="O601" i="9" s="1"/>
  <c r="P600" i="9"/>
  <c r="Q600" i="9" s="1"/>
  <c r="O600" i="9"/>
  <c r="A600" i="9"/>
  <c r="P599" i="9"/>
  <c r="Q599" i="9" s="1"/>
  <c r="A599" i="9"/>
  <c r="O599" i="9" s="1"/>
  <c r="P598" i="9"/>
  <c r="Q598" i="9" s="1"/>
  <c r="O598" i="9"/>
  <c r="A598" i="9"/>
  <c r="P597" i="9"/>
  <c r="Q597" i="9" s="1"/>
  <c r="A597" i="9"/>
  <c r="O597" i="9" s="1"/>
  <c r="P596" i="9"/>
  <c r="Q596" i="9" s="1"/>
  <c r="A596" i="9"/>
  <c r="O596" i="9" s="1"/>
  <c r="P595" i="9"/>
  <c r="Q595" i="9" s="1"/>
  <c r="A595" i="9"/>
  <c r="O595" i="9" s="1"/>
  <c r="P594" i="9"/>
  <c r="Q594" i="9" s="1"/>
  <c r="O594" i="9"/>
  <c r="A594" i="9"/>
  <c r="P593" i="9"/>
  <c r="Q593" i="9" s="1"/>
  <c r="A593" i="9"/>
  <c r="O593" i="9" s="1"/>
  <c r="P592" i="9"/>
  <c r="Q592" i="9" s="1"/>
  <c r="O592" i="9"/>
  <c r="A592" i="9"/>
  <c r="P591" i="9"/>
  <c r="Q591" i="9" s="1"/>
  <c r="O591" i="9"/>
  <c r="A591" i="9"/>
  <c r="P590" i="9"/>
  <c r="Q590" i="9" s="1"/>
  <c r="A590" i="9"/>
  <c r="O590" i="9" s="1"/>
  <c r="P589" i="9"/>
  <c r="Q589" i="9" s="1"/>
  <c r="A589" i="9"/>
  <c r="O589" i="9" s="1"/>
  <c r="P588" i="9"/>
  <c r="Q588" i="9" s="1"/>
  <c r="A588" i="9"/>
  <c r="O588" i="9" s="1"/>
  <c r="P587" i="9"/>
  <c r="Q587" i="9" s="1"/>
  <c r="A587" i="9"/>
  <c r="O587" i="9" s="1"/>
  <c r="P586" i="9"/>
  <c r="Q586" i="9" s="1"/>
  <c r="A586" i="9"/>
  <c r="O586" i="9" s="1"/>
  <c r="P585" i="9"/>
  <c r="Q585" i="9" s="1"/>
  <c r="A585" i="9"/>
  <c r="O585" i="9" s="1"/>
  <c r="P584" i="9"/>
  <c r="Q584" i="9" s="1"/>
  <c r="O584" i="9"/>
  <c r="A584" i="9"/>
  <c r="P583" i="9"/>
  <c r="Q583" i="9" s="1"/>
  <c r="A583" i="9"/>
  <c r="O583" i="9" s="1"/>
  <c r="P582" i="9"/>
  <c r="Q582" i="9" s="1"/>
  <c r="O582" i="9"/>
  <c r="A582" i="9"/>
  <c r="P581" i="9"/>
  <c r="Q581" i="9" s="1"/>
  <c r="A581" i="9"/>
  <c r="O581" i="9" s="1"/>
  <c r="P580" i="9"/>
  <c r="Q580" i="9" s="1"/>
  <c r="O580" i="9"/>
  <c r="A580" i="9"/>
  <c r="P579" i="9"/>
  <c r="Q579" i="9" s="1"/>
  <c r="A579" i="9"/>
  <c r="O579" i="9" s="1"/>
  <c r="P578" i="9"/>
  <c r="Q578" i="9" s="1"/>
  <c r="O578" i="9"/>
  <c r="A578" i="9"/>
  <c r="P577" i="9"/>
  <c r="Q577" i="9" s="1"/>
  <c r="A577" i="9"/>
  <c r="O577" i="9" s="1"/>
  <c r="P576" i="9"/>
  <c r="Q576" i="9" s="1"/>
  <c r="O576" i="9"/>
  <c r="A576" i="9"/>
  <c r="P575" i="9"/>
  <c r="Q575" i="9" s="1"/>
  <c r="O575" i="9"/>
  <c r="A575" i="9"/>
  <c r="P574" i="9"/>
  <c r="Q574" i="9" s="1"/>
  <c r="A574" i="9"/>
  <c r="O574" i="9" s="1"/>
  <c r="P573" i="9"/>
  <c r="Q573" i="9" s="1"/>
  <c r="A573" i="9"/>
  <c r="O573" i="9" s="1"/>
  <c r="P572" i="9"/>
  <c r="Q572" i="9" s="1"/>
  <c r="A572" i="9"/>
  <c r="O572" i="9" s="1"/>
  <c r="P571" i="9"/>
  <c r="Q571" i="9" s="1"/>
  <c r="A571" i="9"/>
  <c r="O571" i="9" s="1"/>
  <c r="P570" i="9"/>
  <c r="Q570" i="9" s="1"/>
  <c r="A570" i="9"/>
  <c r="O570" i="9" s="1"/>
  <c r="P569" i="9"/>
  <c r="Q569" i="9" s="1"/>
  <c r="O569" i="9"/>
  <c r="A569" i="9"/>
  <c r="P568" i="9"/>
  <c r="Q568" i="9" s="1"/>
  <c r="A568" i="9"/>
  <c r="O568" i="9" s="1"/>
  <c r="P567" i="9"/>
  <c r="Q567" i="9" s="1"/>
  <c r="A567" i="9"/>
  <c r="O567" i="9" s="1"/>
  <c r="P566" i="9"/>
  <c r="Q566" i="9" s="1"/>
  <c r="A566" i="9"/>
  <c r="O566" i="9" s="1"/>
  <c r="P565" i="9"/>
  <c r="Q565" i="9" s="1"/>
  <c r="O565" i="9"/>
  <c r="A565" i="9"/>
  <c r="P564" i="9"/>
  <c r="Q564" i="9" s="1"/>
  <c r="A564" i="9"/>
  <c r="O564" i="9" s="1"/>
  <c r="P563" i="9"/>
  <c r="Q563" i="9" s="1"/>
  <c r="A563" i="9"/>
  <c r="O563" i="9" s="1"/>
  <c r="P562" i="9"/>
  <c r="Q562" i="9" s="1"/>
  <c r="A562" i="9"/>
  <c r="O562" i="9" s="1"/>
  <c r="P561" i="9"/>
  <c r="Q561" i="9" s="1"/>
  <c r="O561" i="9"/>
  <c r="A561" i="9"/>
  <c r="P560" i="9"/>
  <c r="Q560" i="9" s="1"/>
  <c r="A560" i="9"/>
  <c r="O560" i="9" s="1"/>
  <c r="P559" i="9"/>
  <c r="Q559" i="9" s="1"/>
  <c r="A559" i="9"/>
  <c r="O559" i="9" s="1"/>
  <c r="P558" i="9"/>
  <c r="Q558" i="9" s="1"/>
  <c r="A558" i="9"/>
  <c r="O558" i="9" s="1"/>
  <c r="P557" i="9"/>
  <c r="Q557" i="9" s="1"/>
  <c r="O557" i="9"/>
  <c r="A557" i="9"/>
  <c r="P556" i="9"/>
  <c r="Q556" i="9" s="1"/>
  <c r="A556" i="9"/>
  <c r="O556" i="9" s="1"/>
  <c r="P555" i="9"/>
  <c r="Q555" i="9" s="1"/>
  <c r="A555" i="9"/>
  <c r="O555" i="9" s="1"/>
  <c r="P554" i="9"/>
  <c r="Q554" i="9" s="1"/>
  <c r="A554" i="9"/>
  <c r="O554" i="9" s="1"/>
  <c r="P553" i="9"/>
  <c r="Q553" i="9" s="1"/>
  <c r="O553" i="9"/>
  <c r="A553" i="9"/>
  <c r="P552" i="9"/>
  <c r="Q552" i="9" s="1"/>
  <c r="A552" i="9"/>
  <c r="O552" i="9" s="1"/>
  <c r="P551" i="9"/>
  <c r="Q551" i="9" s="1"/>
  <c r="A551" i="9"/>
  <c r="O551" i="9" s="1"/>
  <c r="P550" i="9"/>
  <c r="Q550" i="9" s="1"/>
  <c r="A550" i="9"/>
  <c r="O550" i="9" s="1"/>
  <c r="P549" i="9"/>
  <c r="Q549" i="9" s="1"/>
  <c r="O549" i="9"/>
  <c r="A549" i="9"/>
  <c r="P548" i="9"/>
  <c r="Q548" i="9" s="1"/>
  <c r="A548" i="9"/>
  <c r="O548" i="9" s="1"/>
  <c r="P547" i="9"/>
  <c r="Q547" i="9" s="1"/>
  <c r="A547" i="9"/>
  <c r="O547" i="9" s="1"/>
  <c r="P546" i="9"/>
  <c r="Q546" i="9" s="1"/>
  <c r="A546" i="9"/>
  <c r="O546" i="9" s="1"/>
  <c r="P545" i="9"/>
  <c r="Q545" i="9" s="1"/>
  <c r="O545" i="9"/>
  <c r="A545" i="9"/>
  <c r="P544" i="9"/>
  <c r="Q544" i="9" s="1"/>
  <c r="A544" i="9"/>
  <c r="O544" i="9" s="1"/>
  <c r="P543" i="9"/>
  <c r="Q543" i="9" s="1"/>
  <c r="A543" i="9"/>
  <c r="O543" i="9" s="1"/>
  <c r="P542" i="9"/>
  <c r="Q542" i="9" s="1"/>
  <c r="A542" i="9"/>
  <c r="O542" i="9" s="1"/>
  <c r="P541" i="9"/>
  <c r="Q541" i="9" s="1"/>
  <c r="O541" i="9"/>
  <c r="A541" i="9"/>
  <c r="P540" i="9"/>
  <c r="Q540" i="9" s="1"/>
  <c r="A540" i="9"/>
  <c r="O540" i="9" s="1"/>
  <c r="P539" i="9"/>
  <c r="Q539" i="9" s="1"/>
  <c r="A539" i="9"/>
  <c r="O539" i="9" s="1"/>
  <c r="P538" i="9"/>
  <c r="Q538" i="9" s="1"/>
  <c r="A538" i="9"/>
  <c r="O538" i="9" s="1"/>
  <c r="P537" i="9"/>
  <c r="Q537" i="9" s="1"/>
  <c r="O537" i="9"/>
  <c r="A537" i="9"/>
  <c r="P536" i="9"/>
  <c r="Q536" i="9" s="1"/>
  <c r="A536" i="9"/>
  <c r="O536" i="9" s="1"/>
  <c r="P535" i="9"/>
  <c r="Q535" i="9" s="1"/>
  <c r="A535" i="9"/>
  <c r="O535" i="9" s="1"/>
  <c r="P534" i="9"/>
  <c r="Q534" i="9" s="1"/>
  <c r="A534" i="9"/>
  <c r="O534" i="9" s="1"/>
  <c r="P533" i="9"/>
  <c r="Q533" i="9" s="1"/>
  <c r="O533" i="9"/>
  <c r="A533" i="9"/>
  <c r="P532" i="9"/>
  <c r="Q532" i="9" s="1"/>
  <c r="A532" i="9"/>
  <c r="O532" i="9" s="1"/>
  <c r="P531" i="9"/>
  <c r="Q531" i="9" s="1"/>
  <c r="A531" i="9"/>
  <c r="O531" i="9" s="1"/>
  <c r="P530" i="9"/>
  <c r="Q530" i="9" s="1"/>
  <c r="A530" i="9"/>
  <c r="O530" i="9" s="1"/>
  <c r="P529" i="9"/>
  <c r="Q529" i="9" s="1"/>
  <c r="O529" i="9"/>
  <c r="A529" i="9"/>
  <c r="P528" i="9"/>
  <c r="Q528" i="9" s="1"/>
  <c r="A528" i="9"/>
  <c r="O528" i="9" s="1"/>
  <c r="P527" i="9"/>
  <c r="Q527" i="9" s="1"/>
  <c r="A527" i="9"/>
  <c r="O527" i="9" s="1"/>
  <c r="P526" i="9"/>
  <c r="Q526" i="9" s="1"/>
  <c r="A526" i="9"/>
  <c r="O526" i="9" s="1"/>
  <c r="P525" i="9"/>
  <c r="Q525" i="9" s="1"/>
  <c r="O525" i="9"/>
  <c r="A525" i="9"/>
  <c r="P524" i="9"/>
  <c r="Q524" i="9" s="1"/>
  <c r="A524" i="9"/>
  <c r="O524" i="9" s="1"/>
  <c r="P523" i="9"/>
  <c r="Q523" i="9" s="1"/>
  <c r="A523" i="9"/>
  <c r="O523" i="9" s="1"/>
  <c r="P522" i="9"/>
  <c r="Q522" i="9" s="1"/>
  <c r="A522" i="9"/>
  <c r="O522" i="9" s="1"/>
  <c r="P521" i="9"/>
  <c r="Q521" i="9" s="1"/>
  <c r="O521" i="9"/>
  <c r="A521" i="9"/>
  <c r="P520" i="9"/>
  <c r="Q520" i="9" s="1"/>
  <c r="A520" i="9"/>
  <c r="O520" i="9" s="1"/>
  <c r="P519" i="9"/>
  <c r="Q519" i="9" s="1"/>
  <c r="A519" i="9"/>
  <c r="O519" i="9" s="1"/>
  <c r="P518" i="9"/>
  <c r="Q518" i="9" s="1"/>
  <c r="A518" i="9"/>
  <c r="O518" i="9" s="1"/>
  <c r="P517" i="9"/>
  <c r="Q517" i="9" s="1"/>
  <c r="O517" i="9"/>
  <c r="A517" i="9"/>
  <c r="P516" i="9"/>
  <c r="Q516" i="9" s="1"/>
  <c r="A516" i="9"/>
  <c r="O516" i="9" s="1"/>
  <c r="P515" i="9"/>
  <c r="Q515" i="9" s="1"/>
  <c r="A515" i="9"/>
  <c r="O515" i="9" s="1"/>
  <c r="P514" i="9"/>
  <c r="Q514" i="9" s="1"/>
  <c r="A514" i="9"/>
  <c r="O514" i="9" s="1"/>
  <c r="P513" i="9"/>
  <c r="Q513" i="9" s="1"/>
  <c r="O513" i="9"/>
  <c r="A513" i="9"/>
  <c r="P512" i="9"/>
  <c r="Q512" i="9" s="1"/>
  <c r="A512" i="9"/>
  <c r="O512" i="9" s="1"/>
  <c r="P511" i="9"/>
  <c r="Q511" i="9" s="1"/>
  <c r="A511" i="9"/>
  <c r="O511" i="9" s="1"/>
  <c r="P510" i="9"/>
  <c r="Q510" i="9" s="1"/>
  <c r="A510" i="9"/>
  <c r="O510" i="9" s="1"/>
  <c r="P509" i="9"/>
  <c r="Q509" i="9" s="1"/>
  <c r="A509" i="9"/>
  <c r="O509" i="9" s="1"/>
  <c r="P508" i="9"/>
  <c r="Q508" i="9" s="1"/>
  <c r="A508" i="9"/>
  <c r="O508" i="9" s="1"/>
  <c r="P507" i="9"/>
  <c r="Q507" i="9" s="1"/>
  <c r="A507" i="9"/>
  <c r="O507" i="9" s="1"/>
  <c r="P506" i="9"/>
  <c r="Q506" i="9" s="1"/>
  <c r="A506" i="9"/>
  <c r="O506" i="9" s="1"/>
  <c r="P505" i="9"/>
  <c r="Q505" i="9" s="1"/>
  <c r="O505" i="9"/>
  <c r="A505" i="9"/>
  <c r="P504" i="9"/>
  <c r="Q504" i="9" s="1"/>
  <c r="A504" i="9"/>
  <c r="O504" i="9" s="1"/>
  <c r="P503" i="9"/>
  <c r="Q503" i="9" s="1"/>
  <c r="A503" i="9"/>
  <c r="O503" i="9" s="1"/>
  <c r="P502" i="9"/>
  <c r="Q502" i="9" s="1"/>
  <c r="A502" i="9"/>
  <c r="O502" i="9" s="1"/>
  <c r="P501" i="9"/>
  <c r="Q501" i="9" s="1"/>
  <c r="O501" i="9"/>
  <c r="A501" i="9"/>
  <c r="P500" i="9"/>
  <c r="Q500" i="9" s="1"/>
  <c r="A500" i="9"/>
  <c r="O500" i="9" s="1"/>
  <c r="P499" i="9"/>
  <c r="Q499" i="9" s="1"/>
  <c r="A499" i="9"/>
  <c r="O499" i="9" s="1"/>
  <c r="P498" i="9"/>
  <c r="Q498" i="9" s="1"/>
  <c r="A498" i="9"/>
  <c r="O498" i="9" s="1"/>
  <c r="P497" i="9"/>
  <c r="Q497" i="9" s="1"/>
  <c r="O497" i="9"/>
  <c r="A497" i="9"/>
  <c r="P496" i="9"/>
  <c r="Q496" i="9" s="1"/>
  <c r="A496" i="9"/>
  <c r="O496" i="9" s="1"/>
  <c r="P495" i="9"/>
  <c r="Q495" i="9" s="1"/>
  <c r="A495" i="9"/>
  <c r="O495" i="9" s="1"/>
  <c r="P494" i="9"/>
  <c r="Q494" i="9" s="1"/>
  <c r="A494" i="9"/>
  <c r="O494" i="9" s="1"/>
  <c r="P493" i="9"/>
  <c r="Q493" i="9" s="1"/>
  <c r="O493" i="9"/>
  <c r="A493" i="9"/>
  <c r="P492" i="9"/>
  <c r="Q492" i="9" s="1"/>
  <c r="A492" i="9"/>
  <c r="O492" i="9" s="1"/>
  <c r="P491" i="9"/>
  <c r="Q491" i="9" s="1"/>
  <c r="A491" i="9"/>
  <c r="O491" i="9" s="1"/>
  <c r="P490" i="9"/>
  <c r="Q490" i="9" s="1"/>
  <c r="A490" i="9"/>
  <c r="O490" i="9" s="1"/>
  <c r="P489" i="9"/>
  <c r="Q489" i="9" s="1"/>
  <c r="O489" i="9"/>
  <c r="A489" i="9"/>
  <c r="P488" i="9"/>
  <c r="Q488" i="9" s="1"/>
  <c r="A488" i="9"/>
  <c r="O488" i="9" s="1"/>
  <c r="P487" i="9"/>
  <c r="Q487" i="9" s="1"/>
  <c r="A487" i="9"/>
  <c r="O487" i="9" s="1"/>
  <c r="P486" i="9"/>
  <c r="Q486" i="9" s="1"/>
  <c r="A486" i="9"/>
  <c r="O486" i="9" s="1"/>
  <c r="P485" i="9"/>
  <c r="Q485" i="9" s="1"/>
  <c r="O485" i="9"/>
  <c r="A485" i="9"/>
  <c r="P484" i="9"/>
  <c r="Q484" i="9" s="1"/>
  <c r="A484" i="9"/>
  <c r="O484" i="9" s="1"/>
  <c r="P483" i="9"/>
  <c r="Q483" i="9" s="1"/>
  <c r="A483" i="9"/>
  <c r="O483" i="9" s="1"/>
  <c r="P482" i="9"/>
  <c r="Q482" i="9" s="1"/>
  <c r="A482" i="9"/>
  <c r="O482" i="9" s="1"/>
  <c r="P481" i="9"/>
  <c r="Q481" i="9" s="1"/>
  <c r="O481" i="9"/>
  <c r="A481" i="9"/>
  <c r="P480" i="9"/>
  <c r="Q480" i="9" s="1"/>
  <c r="A480" i="9"/>
  <c r="O480" i="9" s="1"/>
  <c r="P479" i="9"/>
  <c r="Q479" i="9" s="1"/>
  <c r="O479" i="9"/>
  <c r="A479" i="9"/>
  <c r="P478" i="9"/>
  <c r="Q478" i="9" s="1"/>
  <c r="A478" i="9"/>
  <c r="O478" i="9" s="1"/>
  <c r="P477" i="9"/>
  <c r="Q477" i="9" s="1"/>
  <c r="A477" i="9"/>
  <c r="O477" i="9" s="1"/>
  <c r="P476" i="9"/>
  <c r="Q476" i="9" s="1"/>
  <c r="A476" i="9"/>
  <c r="O476" i="9" s="1"/>
  <c r="P475" i="9"/>
  <c r="Q475" i="9" s="1"/>
  <c r="O475" i="9"/>
  <c r="A475" i="9"/>
  <c r="P474" i="9"/>
  <c r="Q474" i="9" s="1"/>
  <c r="A474" i="9"/>
  <c r="O474" i="9" s="1"/>
  <c r="P473" i="9"/>
  <c r="Q473" i="9" s="1"/>
  <c r="A473" i="9"/>
  <c r="O473" i="9" s="1"/>
  <c r="P472" i="9"/>
  <c r="Q472" i="9" s="1"/>
  <c r="A472" i="9"/>
  <c r="O472" i="9" s="1"/>
  <c r="P471" i="9"/>
  <c r="Q471" i="9" s="1"/>
  <c r="O471" i="9"/>
  <c r="A471" i="9"/>
  <c r="P470" i="9"/>
  <c r="Q470" i="9" s="1"/>
  <c r="A470" i="9"/>
  <c r="O470" i="9" s="1"/>
  <c r="P469" i="9"/>
  <c r="Q469" i="9" s="1"/>
  <c r="O469" i="9"/>
  <c r="A469" i="9"/>
  <c r="P468" i="9"/>
  <c r="Q468" i="9" s="1"/>
  <c r="A468" i="9"/>
  <c r="O468" i="9" s="1"/>
  <c r="P467" i="9"/>
  <c r="Q467" i="9" s="1"/>
  <c r="A467" i="9"/>
  <c r="O467" i="9" s="1"/>
  <c r="P466" i="9"/>
  <c r="Q466" i="9" s="1"/>
  <c r="A466" i="9"/>
  <c r="O466" i="9" s="1"/>
  <c r="P465" i="9"/>
  <c r="Q465" i="9" s="1"/>
  <c r="A465" i="9"/>
  <c r="O465" i="9" s="1"/>
  <c r="P464" i="9"/>
  <c r="Q464" i="9" s="1"/>
  <c r="A464" i="9"/>
  <c r="O464" i="9" s="1"/>
  <c r="P463" i="9"/>
  <c r="Q463" i="9" s="1"/>
  <c r="O463" i="9"/>
  <c r="A463" i="9"/>
  <c r="P462" i="9"/>
  <c r="Q462" i="9" s="1"/>
  <c r="A462" i="9"/>
  <c r="O462" i="9" s="1"/>
  <c r="P461" i="9"/>
  <c r="Q461" i="9" s="1"/>
  <c r="A461" i="9"/>
  <c r="O461" i="9" s="1"/>
  <c r="P460" i="9"/>
  <c r="Q460" i="9" s="1"/>
  <c r="A460" i="9"/>
  <c r="O460" i="9" s="1"/>
  <c r="P459" i="9"/>
  <c r="Q459" i="9" s="1"/>
  <c r="O459" i="9"/>
  <c r="A459" i="9"/>
  <c r="P458" i="9"/>
  <c r="Q458" i="9" s="1"/>
  <c r="A458" i="9"/>
  <c r="O458" i="9" s="1"/>
  <c r="P457" i="9"/>
  <c r="Q457" i="9" s="1"/>
  <c r="A457" i="9"/>
  <c r="O457" i="9" s="1"/>
  <c r="P456" i="9"/>
  <c r="Q456" i="9" s="1"/>
  <c r="A456" i="9"/>
  <c r="O456" i="9" s="1"/>
  <c r="P455" i="9"/>
  <c r="Q455" i="9" s="1"/>
  <c r="O455" i="9"/>
  <c r="A455" i="9"/>
  <c r="P454" i="9"/>
  <c r="Q454" i="9" s="1"/>
  <c r="A454" i="9"/>
  <c r="O454" i="9" s="1"/>
  <c r="P453" i="9"/>
  <c r="Q453" i="9" s="1"/>
  <c r="O453" i="9"/>
  <c r="A453" i="9"/>
  <c r="P452" i="9"/>
  <c r="Q452" i="9" s="1"/>
  <c r="A452" i="9"/>
  <c r="O452" i="9" s="1"/>
  <c r="P451" i="9"/>
  <c r="Q451" i="9" s="1"/>
  <c r="A451" i="9"/>
  <c r="O451" i="9" s="1"/>
  <c r="P450" i="9"/>
  <c r="Q450" i="9" s="1"/>
  <c r="A450" i="9"/>
  <c r="O450" i="9" s="1"/>
  <c r="P449" i="9"/>
  <c r="Q449" i="9" s="1"/>
  <c r="A449" i="9"/>
  <c r="O449" i="9" s="1"/>
  <c r="P448" i="9"/>
  <c r="Q448" i="9" s="1"/>
  <c r="A448" i="9"/>
  <c r="O448" i="9" s="1"/>
  <c r="P447" i="9"/>
  <c r="Q447" i="9" s="1"/>
  <c r="O447" i="9"/>
  <c r="A447" i="9"/>
  <c r="P446" i="9"/>
  <c r="Q446" i="9" s="1"/>
  <c r="A446" i="9"/>
  <c r="O446" i="9" s="1"/>
  <c r="P445" i="9"/>
  <c r="Q445" i="9" s="1"/>
  <c r="A445" i="9"/>
  <c r="O445" i="9" s="1"/>
  <c r="P444" i="9"/>
  <c r="Q444" i="9" s="1"/>
  <c r="A444" i="9"/>
  <c r="O444" i="9" s="1"/>
  <c r="P443" i="9"/>
  <c r="Q443" i="9" s="1"/>
  <c r="O443" i="9"/>
  <c r="A443" i="9"/>
  <c r="P442" i="9"/>
  <c r="Q442" i="9" s="1"/>
  <c r="A442" i="9"/>
  <c r="O442" i="9" s="1"/>
  <c r="P441" i="9"/>
  <c r="Q441" i="9" s="1"/>
  <c r="A441" i="9"/>
  <c r="O441" i="9" s="1"/>
  <c r="P440" i="9"/>
  <c r="Q440" i="9" s="1"/>
  <c r="A440" i="9"/>
  <c r="O440" i="9" s="1"/>
  <c r="P439" i="9"/>
  <c r="Q439" i="9" s="1"/>
  <c r="O439" i="9"/>
  <c r="A439" i="9"/>
  <c r="P438" i="9"/>
  <c r="Q438" i="9" s="1"/>
  <c r="A438" i="9"/>
  <c r="O438" i="9" s="1"/>
  <c r="P437" i="9"/>
  <c r="Q437" i="9" s="1"/>
  <c r="A437" i="9"/>
  <c r="O437" i="9" s="1"/>
  <c r="P436" i="9"/>
  <c r="Q436" i="9" s="1"/>
  <c r="A436" i="9"/>
  <c r="O436" i="9" s="1"/>
  <c r="P435" i="9"/>
  <c r="Q435" i="9" s="1"/>
  <c r="O435" i="9"/>
  <c r="A435" i="9"/>
  <c r="P434" i="9"/>
  <c r="Q434" i="9" s="1"/>
  <c r="A434" i="9"/>
  <c r="O434" i="9" s="1"/>
  <c r="P433" i="9"/>
  <c r="Q433" i="9" s="1"/>
  <c r="A433" i="9"/>
  <c r="O433" i="9" s="1"/>
  <c r="P432" i="9"/>
  <c r="Q432" i="9" s="1"/>
  <c r="A432" i="9"/>
  <c r="O432" i="9" s="1"/>
  <c r="P431" i="9"/>
  <c r="Q431" i="9" s="1"/>
  <c r="O431" i="9"/>
  <c r="A431" i="9"/>
  <c r="P430" i="9"/>
  <c r="Q430" i="9" s="1"/>
  <c r="A430" i="9"/>
  <c r="O430" i="9" s="1"/>
  <c r="P429" i="9"/>
  <c r="Q429" i="9" s="1"/>
  <c r="A429" i="9"/>
  <c r="O429" i="9" s="1"/>
  <c r="P428" i="9"/>
  <c r="Q428" i="9" s="1"/>
  <c r="A428" i="9"/>
  <c r="O428" i="9" s="1"/>
  <c r="P427" i="9"/>
  <c r="Q427" i="9" s="1"/>
  <c r="O427" i="9"/>
  <c r="A427" i="9"/>
  <c r="P426" i="9"/>
  <c r="Q426" i="9" s="1"/>
  <c r="A426" i="9"/>
  <c r="O426" i="9" s="1"/>
  <c r="P425" i="9"/>
  <c r="Q425" i="9" s="1"/>
  <c r="A425" i="9"/>
  <c r="O425" i="9" s="1"/>
  <c r="P424" i="9"/>
  <c r="Q424" i="9" s="1"/>
  <c r="A424" i="9"/>
  <c r="O424" i="9" s="1"/>
  <c r="P423" i="9"/>
  <c r="Q423" i="9" s="1"/>
  <c r="O423" i="9"/>
  <c r="A423" i="9"/>
  <c r="P422" i="9"/>
  <c r="Q422" i="9" s="1"/>
  <c r="A422" i="9"/>
  <c r="O422" i="9" s="1"/>
  <c r="P421" i="9"/>
  <c r="Q421" i="9" s="1"/>
  <c r="A421" i="9"/>
  <c r="O421" i="9" s="1"/>
  <c r="P420" i="9"/>
  <c r="Q420" i="9" s="1"/>
  <c r="A420" i="9"/>
  <c r="O420" i="9" s="1"/>
  <c r="P419" i="9"/>
  <c r="Q419" i="9" s="1"/>
  <c r="O419" i="9"/>
  <c r="A419" i="9"/>
  <c r="P418" i="9"/>
  <c r="Q418" i="9" s="1"/>
  <c r="A418" i="9"/>
  <c r="O418" i="9" s="1"/>
  <c r="P417" i="9"/>
  <c r="Q417" i="9" s="1"/>
  <c r="A417" i="9"/>
  <c r="O417" i="9" s="1"/>
  <c r="P416" i="9"/>
  <c r="Q416" i="9" s="1"/>
  <c r="A416" i="9"/>
  <c r="O416" i="9" s="1"/>
  <c r="P415" i="9"/>
  <c r="Q415" i="9" s="1"/>
  <c r="O415" i="9"/>
  <c r="A415" i="9"/>
  <c r="P414" i="9"/>
  <c r="Q414" i="9" s="1"/>
  <c r="A414" i="9"/>
  <c r="O414" i="9" s="1"/>
  <c r="P413" i="9"/>
  <c r="Q413" i="9" s="1"/>
  <c r="A413" i="9"/>
  <c r="O413" i="9" s="1"/>
  <c r="P412" i="9"/>
  <c r="Q412" i="9" s="1"/>
  <c r="A412" i="9"/>
  <c r="O412" i="9" s="1"/>
  <c r="P411" i="9"/>
  <c r="Q411" i="9" s="1"/>
  <c r="O411" i="9"/>
  <c r="A411" i="9"/>
  <c r="P410" i="9"/>
  <c r="Q410" i="9" s="1"/>
  <c r="A410" i="9"/>
  <c r="O410" i="9" s="1"/>
  <c r="P409" i="9"/>
  <c r="Q409" i="9" s="1"/>
  <c r="A409" i="9"/>
  <c r="O409" i="9" s="1"/>
  <c r="P408" i="9"/>
  <c r="Q408" i="9" s="1"/>
  <c r="A408" i="9"/>
  <c r="O408" i="9" s="1"/>
  <c r="P407" i="9"/>
  <c r="Q407" i="9" s="1"/>
  <c r="O407" i="9"/>
  <c r="A407" i="9"/>
  <c r="P406" i="9"/>
  <c r="Q406" i="9" s="1"/>
  <c r="A406" i="9"/>
  <c r="O406" i="9" s="1"/>
  <c r="P405" i="9"/>
  <c r="Q405" i="9" s="1"/>
  <c r="A405" i="9"/>
  <c r="O405" i="9" s="1"/>
  <c r="P404" i="9"/>
  <c r="Q404" i="9" s="1"/>
  <c r="A404" i="9"/>
  <c r="O404" i="9" s="1"/>
  <c r="P403" i="9"/>
  <c r="Q403" i="9" s="1"/>
  <c r="A403" i="9"/>
  <c r="O403" i="9" s="1"/>
  <c r="P402" i="9"/>
  <c r="Q402" i="9" s="1"/>
  <c r="A402" i="9"/>
  <c r="O402" i="9" s="1"/>
  <c r="P401" i="9"/>
  <c r="Q401" i="9" s="1"/>
  <c r="A401" i="9"/>
  <c r="O401" i="9" s="1"/>
  <c r="P400" i="9"/>
  <c r="Q400" i="9" s="1"/>
  <c r="A400" i="9"/>
  <c r="O400" i="9" s="1"/>
  <c r="P399" i="9"/>
  <c r="Q399" i="9" s="1"/>
  <c r="O399" i="9"/>
  <c r="A399" i="9"/>
  <c r="P398" i="9"/>
  <c r="Q398" i="9" s="1"/>
  <c r="A398" i="9"/>
  <c r="O398" i="9" s="1"/>
  <c r="P397" i="9"/>
  <c r="Q397" i="9" s="1"/>
  <c r="A397" i="9"/>
  <c r="O397" i="9" s="1"/>
  <c r="P396" i="9"/>
  <c r="Q396" i="9" s="1"/>
  <c r="A396" i="9"/>
  <c r="O396" i="9" s="1"/>
  <c r="P395" i="9"/>
  <c r="Q395" i="9" s="1"/>
  <c r="O395" i="9"/>
  <c r="A395" i="9"/>
  <c r="P394" i="9"/>
  <c r="Q394" i="9" s="1"/>
  <c r="A394" i="9"/>
  <c r="O394" i="9" s="1"/>
  <c r="P393" i="9"/>
  <c r="Q393" i="9" s="1"/>
  <c r="A393" i="9"/>
  <c r="O393" i="9" s="1"/>
  <c r="P392" i="9"/>
  <c r="Q392" i="9" s="1"/>
  <c r="A392" i="9"/>
  <c r="O392" i="9" s="1"/>
  <c r="P391" i="9"/>
  <c r="Q391" i="9" s="1"/>
  <c r="A391" i="9"/>
  <c r="O391" i="9" s="1"/>
  <c r="P390" i="9"/>
  <c r="Q390" i="9" s="1"/>
  <c r="A390" i="9"/>
  <c r="O390" i="9" s="1"/>
  <c r="P389" i="9"/>
  <c r="Q389" i="9" s="1"/>
  <c r="A389" i="9"/>
  <c r="O389" i="9" s="1"/>
  <c r="P388" i="9"/>
  <c r="Q388" i="9" s="1"/>
  <c r="A388" i="9"/>
  <c r="O388" i="9" s="1"/>
  <c r="P387" i="9"/>
  <c r="Q387" i="9" s="1"/>
  <c r="O387" i="9"/>
  <c r="A387" i="9"/>
  <c r="P386" i="9"/>
  <c r="Q386" i="9" s="1"/>
  <c r="A386" i="9"/>
  <c r="O386" i="9" s="1"/>
  <c r="P385" i="9"/>
  <c r="Q385" i="9" s="1"/>
  <c r="A385" i="9"/>
  <c r="O385" i="9" s="1"/>
  <c r="P384" i="9"/>
  <c r="Q384" i="9" s="1"/>
  <c r="A384" i="9"/>
  <c r="O384" i="9" s="1"/>
  <c r="P383" i="9"/>
  <c r="Q383" i="9" s="1"/>
  <c r="O383" i="9"/>
  <c r="A383" i="9"/>
  <c r="P382" i="9"/>
  <c r="Q382" i="9" s="1"/>
  <c r="A382" i="9"/>
  <c r="O382" i="9" s="1"/>
  <c r="P381" i="9"/>
  <c r="Q381" i="9" s="1"/>
  <c r="A381" i="9"/>
  <c r="O381" i="9" s="1"/>
  <c r="P380" i="9"/>
  <c r="Q380" i="9" s="1"/>
  <c r="A380" i="9"/>
  <c r="O380" i="9" s="1"/>
  <c r="P379" i="9"/>
  <c r="Q379" i="9" s="1"/>
  <c r="O379" i="9"/>
  <c r="A379" i="9"/>
  <c r="P378" i="9"/>
  <c r="Q378" i="9" s="1"/>
  <c r="A378" i="9"/>
  <c r="O378" i="9" s="1"/>
  <c r="P377" i="9"/>
  <c r="Q377" i="9" s="1"/>
  <c r="O377" i="9"/>
  <c r="A377" i="9"/>
  <c r="P376" i="9"/>
  <c r="Q376" i="9" s="1"/>
  <c r="A376" i="9"/>
  <c r="O376" i="9" s="1"/>
  <c r="P375" i="9"/>
  <c r="Q375" i="9" s="1"/>
  <c r="A375" i="9"/>
  <c r="O375" i="9" s="1"/>
  <c r="P374" i="9"/>
  <c r="Q374" i="9" s="1"/>
  <c r="A374" i="9"/>
  <c r="O374" i="9" s="1"/>
  <c r="P373" i="9"/>
  <c r="Q373" i="9" s="1"/>
  <c r="A373" i="9"/>
  <c r="O373" i="9" s="1"/>
  <c r="P372" i="9"/>
  <c r="Q372" i="9" s="1"/>
  <c r="A372" i="9"/>
  <c r="O372" i="9" s="1"/>
  <c r="P371" i="9"/>
  <c r="Q371" i="9" s="1"/>
  <c r="A371" i="9"/>
  <c r="O371" i="9" s="1"/>
  <c r="P370" i="9"/>
  <c r="Q370" i="9" s="1"/>
  <c r="A370" i="9"/>
  <c r="O370" i="9" s="1"/>
  <c r="P369" i="9"/>
  <c r="Q369" i="9" s="1"/>
  <c r="A369" i="9"/>
  <c r="O369" i="9" s="1"/>
  <c r="P368" i="9"/>
  <c r="Q368" i="9" s="1"/>
  <c r="A368" i="9"/>
  <c r="O368" i="9" s="1"/>
  <c r="P367" i="9"/>
  <c r="Q367" i="9" s="1"/>
  <c r="O367" i="9"/>
  <c r="A367" i="9"/>
  <c r="P366" i="9"/>
  <c r="Q366" i="9" s="1"/>
  <c r="A366" i="9"/>
  <c r="O366" i="9" s="1"/>
  <c r="P365" i="9"/>
  <c r="Q365" i="9" s="1"/>
  <c r="A365" i="9"/>
  <c r="O365" i="9" s="1"/>
  <c r="P364" i="9"/>
  <c r="Q364" i="9" s="1"/>
  <c r="A364" i="9"/>
  <c r="O364" i="9" s="1"/>
  <c r="P363" i="9"/>
  <c r="Q363" i="9" s="1"/>
  <c r="O363" i="9"/>
  <c r="A363" i="9"/>
  <c r="P362" i="9"/>
  <c r="Q362" i="9" s="1"/>
  <c r="A362" i="9"/>
  <c r="O362" i="9" s="1"/>
  <c r="P361" i="9"/>
  <c r="Q361" i="9" s="1"/>
  <c r="A361" i="9"/>
  <c r="O361" i="9" s="1"/>
  <c r="P360" i="9"/>
  <c r="Q360" i="9" s="1"/>
  <c r="A360" i="9"/>
  <c r="O360" i="9" s="1"/>
  <c r="P359" i="9"/>
  <c r="Q359" i="9" s="1"/>
  <c r="A359" i="9"/>
  <c r="O359" i="9" s="1"/>
  <c r="P358" i="9"/>
  <c r="Q358" i="9" s="1"/>
  <c r="A358" i="9"/>
  <c r="O358" i="9" s="1"/>
  <c r="P357" i="9"/>
  <c r="Q357" i="9" s="1"/>
  <c r="O357" i="9"/>
  <c r="A357" i="9"/>
  <c r="P356" i="9"/>
  <c r="Q356" i="9" s="1"/>
  <c r="A356" i="9"/>
  <c r="O356" i="9" s="1"/>
  <c r="P355" i="9"/>
  <c r="Q355" i="9" s="1"/>
  <c r="A355" i="9"/>
  <c r="O355" i="9" s="1"/>
  <c r="P354" i="9"/>
  <c r="Q354" i="9" s="1"/>
  <c r="A354" i="9"/>
  <c r="O354" i="9" s="1"/>
  <c r="P353" i="9"/>
  <c r="Q353" i="9" s="1"/>
  <c r="A353" i="9"/>
  <c r="O353" i="9" s="1"/>
  <c r="P352" i="9"/>
  <c r="Q352" i="9" s="1"/>
  <c r="A352" i="9"/>
  <c r="O352" i="9" s="1"/>
  <c r="P351" i="9"/>
  <c r="Q351" i="9" s="1"/>
  <c r="A351" i="9"/>
  <c r="O351" i="9" s="1"/>
  <c r="P350" i="9"/>
  <c r="Q350" i="9" s="1"/>
  <c r="O350" i="9"/>
  <c r="A350" i="9"/>
  <c r="P349" i="9"/>
  <c r="Q349" i="9" s="1"/>
  <c r="A349" i="9"/>
  <c r="O349" i="9" s="1"/>
  <c r="P348" i="9"/>
  <c r="Q348" i="9" s="1"/>
  <c r="A348" i="9"/>
  <c r="O348" i="9" s="1"/>
  <c r="P347" i="9"/>
  <c r="Q347" i="9" s="1"/>
  <c r="A347" i="9"/>
  <c r="O347" i="9" s="1"/>
  <c r="P346" i="9"/>
  <c r="Q346" i="9" s="1"/>
  <c r="O346" i="9"/>
  <c r="A346" i="9"/>
  <c r="P345" i="9"/>
  <c r="Q345" i="9" s="1"/>
  <c r="A345" i="9"/>
  <c r="O345" i="9" s="1"/>
  <c r="P344" i="9"/>
  <c r="Q344" i="9" s="1"/>
  <c r="A344" i="9"/>
  <c r="O344" i="9" s="1"/>
  <c r="P343" i="9"/>
  <c r="Q343" i="9" s="1"/>
  <c r="O343" i="9"/>
  <c r="A343" i="9"/>
  <c r="P342" i="9"/>
  <c r="Q342" i="9" s="1"/>
  <c r="A342" i="9"/>
  <c r="O342" i="9" s="1"/>
  <c r="P341" i="9"/>
  <c r="Q341" i="9" s="1"/>
  <c r="A341" i="9"/>
  <c r="O341" i="9" s="1"/>
  <c r="P340" i="9"/>
  <c r="Q340" i="9" s="1"/>
  <c r="A340" i="9"/>
  <c r="O340" i="9" s="1"/>
  <c r="P339" i="9"/>
  <c r="Q339" i="9" s="1"/>
  <c r="O339" i="9"/>
  <c r="A339" i="9"/>
  <c r="P338" i="9"/>
  <c r="Q338" i="9" s="1"/>
  <c r="A338" i="9"/>
  <c r="O338" i="9" s="1"/>
  <c r="P337" i="9"/>
  <c r="Q337" i="9" s="1"/>
  <c r="A337" i="9"/>
  <c r="O337" i="9" s="1"/>
  <c r="P336" i="9"/>
  <c r="Q336" i="9" s="1"/>
  <c r="A336" i="9"/>
  <c r="O336" i="9" s="1"/>
  <c r="P335" i="9"/>
  <c r="Q335" i="9" s="1"/>
  <c r="A335" i="9"/>
  <c r="O335" i="9" s="1"/>
  <c r="P334" i="9"/>
  <c r="Q334" i="9" s="1"/>
  <c r="O334" i="9"/>
  <c r="A334" i="9"/>
  <c r="P333" i="9"/>
  <c r="Q333" i="9" s="1"/>
  <c r="A333" i="9"/>
  <c r="O333" i="9" s="1"/>
  <c r="P332" i="9"/>
  <c r="Q332" i="9" s="1"/>
  <c r="A332" i="9"/>
  <c r="O332" i="9" s="1"/>
  <c r="P331" i="9"/>
  <c r="Q331" i="9" s="1"/>
  <c r="A331" i="9"/>
  <c r="O331" i="9" s="1"/>
  <c r="P330" i="9"/>
  <c r="Q330" i="9" s="1"/>
  <c r="O330" i="9"/>
  <c r="A330" i="9"/>
  <c r="P329" i="9"/>
  <c r="Q329" i="9" s="1"/>
  <c r="A329" i="9"/>
  <c r="O329" i="9" s="1"/>
  <c r="P328" i="9"/>
  <c r="Q328" i="9" s="1"/>
  <c r="A328" i="9"/>
  <c r="O328" i="9" s="1"/>
  <c r="P327" i="9"/>
  <c r="Q327" i="9" s="1"/>
  <c r="O327" i="9"/>
  <c r="A327" i="9"/>
  <c r="P326" i="9"/>
  <c r="Q326" i="9" s="1"/>
  <c r="A326" i="9"/>
  <c r="O326" i="9" s="1"/>
  <c r="P325" i="9"/>
  <c r="Q325" i="9" s="1"/>
  <c r="A325" i="9"/>
  <c r="O325" i="9" s="1"/>
  <c r="P324" i="9"/>
  <c r="Q324" i="9" s="1"/>
  <c r="A324" i="9"/>
  <c r="O324" i="9" s="1"/>
  <c r="P323" i="9"/>
  <c r="Q323" i="9" s="1"/>
  <c r="O323" i="9"/>
  <c r="A323" i="9"/>
  <c r="P322" i="9"/>
  <c r="Q322" i="9" s="1"/>
  <c r="A322" i="9"/>
  <c r="O322" i="9" s="1"/>
  <c r="P321" i="9"/>
  <c r="Q321" i="9" s="1"/>
  <c r="A321" i="9"/>
  <c r="O321" i="9" s="1"/>
  <c r="P320" i="9"/>
  <c r="Q320" i="9" s="1"/>
  <c r="A320" i="9"/>
  <c r="O320" i="9" s="1"/>
  <c r="P319" i="9"/>
  <c r="Q319" i="9" s="1"/>
  <c r="A319" i="9"/>
  <c r="O319" i="9" s="1"/>
  <c r="P318" i="9"/>
  <c r="Q318" i="9" s="1"/>
  <c r="O318" i="9"/>
  <c r="A318" i="9"/>
  <c r="P317" i="9"/>
  <c r="Q317" i="9" s="1"/>
  <c r="A317" i="9"/>
  <c r="O317" i="9" s="1"/>
  <c r="P316" i="9"/>
  <c r="Q316" i="9" s="1"/>
  <c r="A316" i="9"/>
  <c r="O316" i="9" s="1"/>
  <c r="P315" i="9"/>
  <c r="Q315" i="9" s="1"/>
  <c r="A315" i="9"/>
  <c r="O315" i="9" s="1"/>
  <c r="P314" i="9"/>
  <c r="Q314" i="9" s="1"/>
  <c r="O314" i="9"/>
  <c r="A314" i="9"/>
  <c r="P313" i="9"/>
  <c r="Q313" i="9" s="1"/>
  <c r="A313" i="9"/>
  <c r="O313" i="9" s="1"/>
  <c r="P312" i="9"/>
  <c r="Q312" i="9" s="1"/>
  <c r="A312" i="9"/>
  <c r="O312" i="9" s="1"/>
  <c r="P311" i="9"/>
  <c r="Q311" i="9" s="1"/>
  <c r="O311" i="9"/>
  <c r="A311" i="9"/>
  <c r="P310" i="9"/>
  <c r="Q310" i="9" s="1"/>
  <c r="A310" i="9"/>
  <c r="O310" i="9" s="1"/>
  <c r="P309" i="9"/>
  <c r="Q309" i="9" s="1"/>
  <c r="A309" i="9"/>
  <c r="O309" i="9" s="1"/>
  <c r="P308" i="9"/>
  <c r="Q308" i="9" s="1"/>
  <c r="A308" i="9"/>
  <c r="O308" i="9" s="1"/>
  <c r="P307" i="9"/>
  <c r="Q307" i="9" s="1"/>
  <c r="O307" i="9"/>
  <c r="A307" i="9"/>
  <c r="P306" i="9"/>
  <c r="Q306" i="9" s="1"/>
  <c r="A306" i="9"/>
  <c r="O306" i="9" s="1"/>
  <c r="P305" i="9"/>
  <c r="Q305" i="9" s="1"/>
  <c r="A305" i="9"/>
  <c r="O305" i="9" s="1"/>
  <c r="P304" i="9"/>
  <c r="Q304" i="9" s="1"/>
  <c r="A304" i="9"/>
  <c r="O304" i="9" s="1"/>
  <c r="P303" i="9"/>
  <c r="Q303" i="9" s="1"/>
  <c r="A303" i="9"/>
  <c r="O303" i="9" s="1"/>
  <c r="P302" i="9"/>
  <c r="Q302" i="9" s="1"/>
  <c r="O302" i="9"/>
  <c r="A302" i="9"/>
  <c r="P301" i="9"/>
  <c r="Q301" i="9" s="1"/>
  <c r="A301" i="9"/>
  <c r="O301" i="9" s="1"/>
  <c r="P300" i="9"/>
  <c r="Q300" i="9" s="1"/>
  <c r="A300" i="9"/>
  <c r="O300" i="9" s="1"/>
  <c r="P299" i="9"/>
  <c r="Q299" i="9" s="1"/>
  <c r="A299" i="9"/>
  <c r="O299" i="9" s="1"/>
  <c r="P298" i="9"/>
  <c r="Q298" i="9" s="1"/>
  <c r="O298" i="9"/>
  <c r="A298" i="9"/>
  <c r="P297" i="9"/>
  <c r="Q297" i="9" s="1"/>
  <c r="A297" i="9"/>
  <c r="O297" i="9" s="1"/>
  <c r="P296" i="9"/>
  <c r="Q296" i="9" s="1"/>
  <c r="A296" i="9"/>
  <c r="O296" i="9" s="1"/>
  <c r="P295" i="9"/>
  <c r="Q295" i="9" s="1"/>
  <c r="O295" i="9"/>
  <c r="A295" i="9"/>
  <c r="P294" i="9"/>
  <c r="Q294" i="9" s="1"/>
  <c r="A294" i="9"/>
  <c r="O294" i="9" s="1"/>
  <c r="P293" i="9"/>
  <c r="Q293" i="9" s="1"/>
  <c r="A293" i="9"/>
  <c r="O293" i="9" s="1"/>
  <c r="P292" i="9"/>
  <c r="Q292" i="9" s="1"/>
  <c r="A292" i="9"/>
  <c r="O292" i="9" s="1"/>
  <c r="P291" i="9"/>
  <c r="Q291" i="9" s="1"/>
  <c r="O291" i="9"/>
  <c r="A291" i="9"/>
  <c r="P290" i="9"/>
  <c r="Q290" i="9" s="1"/>
  <c r="A290" i="9"/>
  <c r="O290" i="9" s="1"/>
  <c r="P289" i="9"/>
  <c r="Q289" i="9" s="1"/>
  <c r="A289" i="9"/>
  <c r="O289" i="9" s="1"/>
  <c r="P288" i="9"/>
  <c r="Q288" i="9" s="1"/>
  <c r="A288" i="9"/>
  <c r="O288" i="9" s="1"/>
  <c r="P287" i="9"/>
  <c r="Q287" i="9" s="1"/>
  <c r="A287" i="9"/>
  <c r="O287" i="9" s="1"/>
  <c r="P286" i="9"/>
  <c r="Q286" i="9" s="1"/>
  <c r="O286" i="9"/>
  <c r="A286" i="9"/>
  <c r="P285" i="9"/>
  <c r="Q285" i="9" s="1"/>
  <c r="A285" i="9"/>
  <c r="O285" i="9" s="1"/>
  <c r="P284" i="9"/>
  <c r="Q284" i="9" s="1"/>
  <c r="A284" i="9"/>
  <c r="O284" i="9" s="1"/>
  <c r="P283" i="9"/>
  <c r="Q283" i="9" s="1"/>
  <c r="A283" i="9"/>
  <c r="O283" i="9" s="1"/>
  <c r="P282" i="9"/>
  <c r="Q282" i="9" s="1"/>
  <c r="O282" i="9"/>
  <c r="A282" i="9"/>
  <c r="P281" i="9"/>
  <c r="Q281" i="9" s="1"/>
  <c r="A281" i="9"/>
  <c r="O281" i="9" s="1"/>
  <c r="P280" i="9"/>
  <c r="Q280" i="9" s="1"/>
  <c r="A280" i="9"/>
  <c r="O280" i="9" s="1"/>
  <c r="P279" i="9"/>
  <c r="Q279" i="9" s="1"/>
  <c r="O279" i="9"/>
  <c r="A279" i="9"/>
  <c r="P278" i="9"/>
  <c r="Q278" i="9" s="1"/>
  <c r="A278" i="9"/>
  <c r="O278" i="9" s="1"/>
  <c r="P277" i="9"/>
  <c r="Q277" i="9" s="1"/>
  <c r="A277" i="9"/>
  <c r="O277" i="9" s="1"/>
  <c r="P276" i="9"/>
  <c r="Q276" i="9" s="1"/>
  <c r="A276" i="9"/>
  <c r="O276" i="9" s="1"/>
  <c r="P275" i="9"/>
  <c r="Q275" i="9" s="1"/>
  <c r="O275" i="9"/>
  <c r="A275" i="9"/>
  <c r="P274" i="9"/>
  <c r="Q274" i="9" s="1"/>
  <c r="A274" i="9"/>
  <c r="O274" i="9" s="1"/>
  <c r="P273" i="9"/>
  <c r="Q273" i="9" s="1"/>
  <c r="A273" i="9"/>
  <c r="O273" i="9" s="1"/>
  <c r="P272" i="9"/>
  <c r="Q272" i="9" s="1"/>
  <c r="A272" i="9"/>
  <c r="O272" i="9" s="1"/>
  <c r="P271" i="9"/>
  <c r="Q271" i="9" s="1"/>
  <c r="A271" i="9"/>
  <c r="O271" i="9" s="1"/>
  <c r="P270" i="9"/>
  <c r="Q270" i="9" s="1"/>
  <c r="O270" i="9"/>
  <c r="A270" i="9"/>
  <c r="P269" i="9"/>
  <c r="Q269" i="9" s="1"/>
  <c r="A269" i="9"/>
  <c r="O269" i="9" s="1"/>
  <c r="P268" i="9"/>
  <c r="Q268" i="9" s="1"/>
  <c r="A268" i="9"/>
  <c r="O268" i="9" s="1"/>
  <c r="P267" i="9"/>
  <c r="Q267" i="9" s="1"/>
  <c r="A267" i="9"/>
  <c r="O267" i="9" s="1"/>
  <c r="P266" i="9"/>
  <c r="Q266" i="9" s="1"/>
  <c r="O266" i="9"/>
  <c r="A266" i="9"/>
  <c r="P265" i="9"/>
  <c r="Q265" i="9" s="1"/>
  <c r="A265" i="9"/>
  <c r="O265" i="9" s="1"/>
  <c r="P264" i="9"/>
  <c r="Q264" i="9" s="1"/>
  <c r="A264" i="9"/>
  <c r="O264" i="9" s="1"/>
  <c r="P263" i="9"/>
  <c r="Q263" i="9" s="1"/>
  <c r="O263" i="9"/>
  <c r="A263" i="9"/>
  <c r="P262" i="9"/>
  <c r="Q262" i="9" s="1"/>
  <c r="A262" i="9"/>
  <c r="O262" i="9" s="1"/>
  <c r="P261" i="9"/>
  <c r="Q261" i="9" s="1"/>
  <c r="A261" i="9"/>
  <c r="O261" i="9" s="1"/>
  <c r="P260" i="9"/>
  <c r="Q260" i="9" s="1"/>
  <c r="A260" i="9"/>
  <c r="O260" i="9" s="1"/>
  <c r="P259" i="9"/>
  <c r="Q259" i="9" s="1"/>
  <c r="O259" i="9"/>
  <c r="A259" i="9"/>
  <c r="P258" i="9"/>
  <c r="Q258" i="9" s="1"/>
  <c r="A258" i="9"/>
  <c r="O258" i="9" s="1"/>
  <c r="P257" i="9"/>
  <c r="Q257" i="9" s="1"/>
  <c r="A257" i="9"/>
  <c r="O257" i="9" s="1"/>
  <c r="P256" i="9"/>
  <c r="Q256" i="9" s="1"/>
  <c r="A256" i="9"/>
  <c r="O256" i="9" s="1"/>
  <c r="P255" i="9"/>
  <c r="Q255" i="9" s="1"/>
  <c r="A255" i="9"/>
  <c r="O255" i="9" s="1"/>
  <c r="P254" i="9"/>
  <c r="Q254" i="9" s="1"/>
  <c r="O254" i="9"/>
  <c r="A254" i="9"/>
  <c r="P253" i="9"/>
  <c r="Q253" i="9" s="1"/>
  <c r="A253" i="9"/>
  <c r="O253" i="9" s="1"/>
  <c r="P252" i="9"/>
  <c r="Q252" i="9" s="1"/>
  <c r="A252" i="9"/>
  <c r="O252" i="9" s="1"/>
  <c r="P251" i="9"/>
  <c r="Q251" i="9" s="1"/>
  <c r="A251" i="9"/>
  <c r="O251" i="9" s="1"/>
  <c r="P250" i="9"/>
  <c r="Q250" i="9" s="1"/>
  <c r="O250" i="9"/>
  <c r="A250" i="9"/>
  <c r="P249" i="9"/>
  <c r="Q249" i="9" s="1"/>
  <c r="A249" i="9"/>
  <c r="O249" i="9" s="1"/>
  <c r="P248" i="9"/>
  <c r="Q248" i="9" s="1"/>
  <c r="A248" i="9"/>
  <c r="O248" i="9" s="1"/>
  <c r="P247" i="9"/>
  <c r="Q247" i="9" s="1"/>
  <c r="O247" i="9"/>
  <c r="A247" i="9"/>
  <c r="P246" i="9"/>
  <c r="Q246" i="9" s="1"/>
  <c r="A246" i="9"/>
  <c r="O246" i="9" s="1"/>
  <c r="P245" i="9"/>
  <c r="Q245" i="9" s="1"/>
  <c r="A245" i="9"/>
  <c r="O245" i="9" s="1"/>
  <c r="P244" i="9"/>
  <c r="Q244" i="9" s="1"/>
  <c r="A244" i="9"/>
  <c r="O244" i="9" s="1"/>
  <c r="P243" i="9"/>
  <c r="Q243" i="9" s="1"/>
  <c r="O243" i="9"/>
  <c r="A243" i="9"/>
  <c r="P242" i="9"/>
  <c r="Q242" i="9" s="1"/>
  <c r="A242" i="9"/>
  <c r="O242" i="9" s="1"/>
  <c r="P241" i="9"/>
  <c r="Q241" i="9" s="1"/>
  <c r="O241" i="9"/>
  <c r="A241" i="9"/>
  <c r="P240" i="9"/>
  <c r="Q240" i="9" s="1"/>
  <c r="A240" i="9"/>
  <c r="O240" i="9" s="1"/>
  <c r="P239" i="9"/>
  <c r="Q239" i="9" s="1"/>
  <c r="A239" i="9"/>
  <c r="O239" i="9" s="1"/>
  <c r="P238" i="9"/>
  <c r="Q238" i="9" s="1"/>
  <c r="O238" i="9"/>
  <c r="A238" i="9"/>
  <c r="P237" i="9"/>
  <c r="Q237" i="9" s="1"/>
  <c r="A237" i="9"/>
  <c r="O237" i="9" s="1"/>
  <c r="P236" i="9"/>
  <c r="Q236" i="9" s="1"/>
  <c r="A236" i="9"/>
  <c r="O236" i="9" s="1"/>
  <c r="P235" i="9"/>
  <c r="Q235" i="9" s="1"/>
  <c r="A235" i="9"/>
  <c r="O235" i="9" s="1"/>
  <c r="P234" i="9"/>
  <c r="Q234" i="9" s="1"/>
  <c r="O234" i="9"/>
  <c r="A234" i="9"/>
  <c r="P233" i="9"/>
  <c r="Q233" i="9" s="1"/>
  <c r="A233" i="9"/>
  <c r="O233" i="9" s="1"/>
  <c r="P232" i="9"/>
  <c r="Q232" i="9" s="1"/>
  <c r="O232" i="9"/>
  <c r="A232" i="9"/>
  <c r="P231" i="9"/>
  <c r="Q231" i="9" s="1"/>
  <c r="O231" i="9"/>
  <c r="A231" i="9"/>
  <c r="P230" i="9"/>
  <c r="Q230" i="9" s="1"/>
  <c r="A230" i="9"/>
  <c r="O230" i="9" s="1"/>
  <c r="P229" i="9"/>
  <c r="Q229" i="9" s="1"/>
  <c r="A229" i="9"/>
  <c r="O229" i="9" s="1"/>
  <c r="P228" i="9"/>
  <c r="Q228" i="9" s="1"/>
  <c r="A228" i="9"/>
  <c r="O228" i="9" s="1"/>
  <c r="P227" i="9"/>
  <c r="Q227" i="9" s="1"/>
  <c r="O227" i="9"/>
  <c r="A227" i="9"/>
  <c r="P226" i="9"/>
  <c r="Q226" i="9" s="1"/>
  <c r="A226" i="9"/>
  <c r="O226" i="9" s="1"/>
  <c r="P225" i="9"/>
  <c r="Q225" i="9" s="1"/>
  <c r="O225" i="9"/>
  <c r="A225" i="9"/>
  <c r="P224" i="9"/>
  <c r="Q224" i="9" s="1"/>
  <c r="A224" i="9"/>
  <c r="O224" i="9" s="1"/>
  <c r="P223" i="9"/>
  <c r="Q223" i="9" s="1"/>
  <c r="O223" i="9"/>
  <c r="A223" i="9"/>
  <c r="P222" i="9"/>
  <c r="Q222" i="9" s="1"/>
  <c r="A222" i="9"/>
  <c r="O222" i="9" s="1"/>
  <c r="P221" i="9"/>
  <c r="Q221" i="9" s="1"/>
  <c r="O221" i="9"/>
  <c r="A221" i="9"/>
  <c r="P220" i="9"/>
  <c r="Q220" i="9" s="1"/>
  <c r="A220" i="9"/>
  <c r="O220" i="9" s="1"/>
  <c r="P219" i="9"/>
  <c r="Q219" i="9" s="1"/>
  <c r="O219" i="9"/>
  <c r="A219" i="9"/>
  <c r="P218" i="9"/>
  <c r="Q218" i="9" s="1"/>
  <c r="A218" i="9"/>
  <c r="O218" i="9" s="1"/>
  <c r="P217" i="9"/>
  <c r="Q217" i="9" s="1"/>
  <c r="O217" i="9"/>
  <c r="A217" i="9"/>
  <c r="P216" i="9"/>
  <c r="Q216" i="9" s="1"/>
  <c r="A216" i="9"/>
  <c r="O216" i="9" s="1"/>
  <c r="P215" i="9"/>
  <c r="Q215" i="9" s="1"/>
  <c r="O215" i="9"/>
  <c r="A215" i="9"/>
  <c r="P214" i="9"/>
  <c r="Q214" i="9" s="1"/>
  <c r="A214" i="9"/>
  <c r="O214" i="9" s="1"/>
  <c r="P213" i="9"/>
  <c r="Q213" i="9" s="1"/>
  <c r="O213" i="9"/>
  <c r="A213" i="9"/>
  <c r="P212" i="9"/>
  <c r="Q212" i="9" s="1"/>
  <c r="A212" i="9"/>
  <c r="O212" i="9" s="1"/>
  <c r="P211" i="9"/>
  <c r="Q211" i="9" s="1"/>
  <c r="O211" i="9"/>
  <c r="A211" i="9"/>
  <c r="P210" i="9"/>
  <c r="Q210" i="9" s="1"/>
  <c r="A210" i="9"/>
  <c r="O210" i="9" s="1"/>
  <c r="P209" i="9"/>
  <c r="Q209" i="9" s="1"/>
  <c r="O209" i="9"/>
  <c r="A209" i="9"/>
  <c r="P208" i="9"/>
  <c r="Q208" i="9" s="1"/>
  <c r="A208" i="9"/>
  <c r="O208" i="9" s="1"/>
  <c r="P207" i="9"/>
  <c r="Q207" i="9" s="1"/>
  <c r="O207" i="9"/>
  <c r="A207" i="9"/>
  <c r="P206" i="9"/>
  <c r="Q206" i="9" s="1"/>
  <c r="A206" i="9"/>
  <c r="O206" i="9" s="1"/>
  <c r="P205" i="9"/>
  <c r="Q205" i="9" s="1"/>
  <c r="O205" i="9"/>
  <c r="A205" i="9"/>
  <c r="P204" i="9"/>
  <c r="Q204" i="9" s="1"/>
  <c r="A204" i="9"/>
  <c r="O204" i="9" s="1"/>
  <c r="P203" i="9"/>
  <c r="Q203" i="9" s="1"/>
  <c r="O203" i="9"/>
  <c r="A203" i="9"/>
  <c r="P202" i="9"/>
  <c r="Q202" i="9" s="1"/>
  <c r="A202" i="9"/>
  <c r="O202" i="9" s="1"/>
  <c r="P201" i="9"/>
  <c r="Q201" i="9" s="1"/>
  <c r="O201" i="9"/>
  <c r="A201" i="9"/>
  <c r="P200" i="9"/>
  <c r="Q200" i="9" s="1"/>
  <c r="A200" i="9"/>
  <c r="O200" i="9" s="1"/>
  <c r="P199" i="9"/>
  <c r="Q199" i="9" s="1"/>
  <c r="O199" i="9"/>
  <c r="A199" i="9"/>
  <c r="P198" i="9"/>
  <c r="Q198" i="9" s="1"/>
  <c r="A198" i="9"/>
  <c r="O198" i="9" s="1"/>
  <c r="P197" i="9"/>
  <c r="Q197" i="9" s="1"/>
  <c r="O197" i="9"/>
  <c r="A197" i="9"/>
  <c r="P196" i="9"/>
  <c r="Q196" i="9" s="1"/>
  <c r="A196" i="9"/>
  <c r="O196" i="9" s="1"/>
  <c r="P195" i="9"/>
  <c r="Q195" i="9" s="1"/>
  <c r="O195" i="9"/>
  <c r="A195" i="9"/>
  <c r="P194" i="9"/>
  <c r="Q194" i="9" s="1"/>
  <c r="A194" i="9"/>
  <c r="O194" i="9" s="1"/>
  <c r="P193" i="9"/>
  <c r="Q193" i="9" s="1"/>
  <c r="O193" i="9"/>
  <c r="A193" i="9"/>
  <c r="P192" i="9"/>
  <c r="Q192" i="9" s="1"/>
  <c r="A192" i="9"/>
  <c r="O192" i="9" s="1"/>
  <c r="P191" i="9"/>
  <c r="Q191" i="9" s="1"/>
  <c r="O191" i="9"/>
  <c r="A191" i="9"/>
  <c r="P190" i="9"/>
  <c r="Q190" i="9" s="1"/>
  <c r="A190" i="9"/>
  <c r="O190" i="9" s="1"/>
  <c r="P189" i="9"/>
  <c r="Q189" i="9" s="1"/>
  <c r="O189" i="9"/>
  <c r="A189" i="9"/>
  <c r="P188" i="9"/>
  <c r="Q188" i="9" s="1"/>
  <c r="A188" i="9"/>
  <c r="O188" i="9" s="1"/>
  <c r="P187" i="9"/>
  <c r="Q187" i="9" s="1"/>
  <c r="O187" i="9"/>
  <c r="A187" i="9"/>
  <c r="P186" i="9"/>
  <c r="Q186" i="9" s="1"/>
  <c r="A186" i="9"/>
  <c r="O186" i="9" s="1"/>
  <c r="P185" i="9"/>
  <c r="Q185" i="9" s="1"/>
  <c r="O185" i="9"/>
  <c r="A185" i="9"/>
  <c r="P184" i="9"/>
  <c r="Q184" i="9" s="1"/>
  <c r="A184" i="9"/>
  <c r="O184" i="9" s="1"/>
  <c r="P183" i="9"/>
  <c r="Q183" i="9" s="1"/>
  <c r="O183" i="9"/>
  <c r="A183" i="9"/>
  <c r="P182" i="9"/>
  <c r="Q182" i="9" s="1"/>
  <c r="A182" i="9"/>
  <c r="O182" i="9" s="1"/>
  <c r="P181" i="9"/>
  <c r="Q181" i="9" s="1"/>
  <c r="O181" i="9"/>
  <c r="A181" i="9"/>
  <c r="P180" i="9"/>
  <c r="Q180" i="9" s="1"/>
  <c r="A180" i="9"/>
  <c r="O180" i="9" s="1"/>
  <c r="P179" i="9"/>
  <c r="Q179" i="9" s="1"/>
  <c r="O179" i="9"/>
  <c r="A179" i="9"/>
  <c r="P178" i="9"/>
  <c r="Q178" i="9" s="1"/>
  <c r="A178" i="9"/>
  <c r="O178" i="9" s="1"/>
  <c r="P177" i="9"/>
  <c r="Q177" i="9" s="1"/>
  <c r="O177" i="9"/>
  <c r="A177" i="9"/>
  <c r="P176" i="9"/>
  <c r="Q176" i="9" s="1"/>
  <c r="A176" i="9"/>
  <c r="O176" i="9" s="1"/>
  <c r="P175" i="9"/>
  <c r="Q175" i="9" s="1"/>
  <c r="O175" i="9"/>
  <c r="A175" i="9"/>
  <c r="P174" i="9"/>
  <c r="Q174" i="9" s="1"/>
  <c r="A174" i="9"/>
  <c r="O174" i="9" s="1"/>
  <c r="P173" i="9"/>
  <c r="Q173" i="9" s="1"/>
  <c r="O173" i="9"/>
  <c r="A173" i="9"/>
  <c r="P172" i="9"/>
  <c r="Q172" i="9" s="1"/>
  <c r="A172" i="9"/>
  <c r="O172" i="9" s="1"/>
  <c r="P171" i="9"/>
  <c r="Q171" i="9" s="1"/>
  <c r="O171" i="9"/>
  <c r="A171" i="9"/>
  <c r="P170" i="9"/>
  <c r="Q170" i="9" s="1"/>
  <c r="A170" i="9"/>
  <c r="O170" i="9" s="1"/>
  <c r="P169" i="9"/>
  <c r="Q169" i="9" s="1"/>
  <c r="O169" i="9"/>
  <c r="A169" i="9"/>
  <c r="P168" i="9"/>
  <c r="Q168" i="9" s="1"/>
  <c r="A168" i="9"/>
  <c r="O168" i="9" s="1"/>
  <c r="P167" i="9"/>
  <c r="Q167" i="9" s="1"/>
  <c r="O167" i="9"/>
  <c r="A167" i="9"/>
  <c r="P166" i="9"/>
  <c r="Q166" i="9" s="1"/>
  <c r="A166" i="9"/>
  <c r="O166" i="9" s="1"/>
  <c r="P165" i="9"/>
  <c r="Q165" i="9" s="1"/>
  <c r="O165" i="9"/>
  <c r="A165" i="9"/>
  <c r="P164" i="9"/>
  <c r="Q164" i="9" s="1"/>
  <c r="A164" i="9"/>
  <c r="O164" i="9" s="1"/>
  <c r="P163" i="9"/>
  <c r="Q163" i="9" s="1"/>
  <c r="O163" i="9"/>
  <c r="A163" i="9"/>
  <c r="P162" i="9"/>
  <c r="Q162" i="9" s="1"/>
  <c r="A162" i="9"/>
  <c r="O162" i="9" s="1"/>
  <c r="P161" i="9"/>
  <c r="Q161" i="9" s="1"/>
  <c r="O161" i="9"/>
  <c r="A161" i="9"/>
  <c r="P160" i="9"/>
  <c r="Q160" i="9" s="1"/>
  <c r="A160" i="9"/>
  <c r="O160" i="9" s="1"/>
  <c r="P159" i="9"/>
  <c r="Q159" i="9" s="1"/>
  <c r="O159" i="9"/>
  <c r="A159" i="9"/>
  <c r="P158" i="9"/>
  <c r="Q158" i="9" s="1"/>
  <c r="A158" i="9"/>
  <c r="O158" i="9" s="1"/>
  <c r="P157" i="9"/>
  <c r="Q157" i="9" s="1"/>
  <c r="O157" i="9"/>
  <c r="A157" i="9"/>
  <c r="P156" i="9"/>
  <c r="Q156" i="9" s="1"/>
  <c r="A156" i="9"/>
  <c r="O156" i="9" s="1"/>
  <c r="P155" i="9"/>
  <c r="Q155" i="9" s="1"/>
  <c r="O155" i="9"/>
  <c r="A155" i="9"/>
  <c r="P154" i="9"/>
  <c r="Q154" i="9" s="1"/>
  <c r="A154" i="9"/>
  <c r="O154" i="9" s="1"/>
  <c r="P153" i="9"/>
  <c r="Q153" i="9" s="1"/>
  <c r="O153" i="9"/>
  <c r="A153" i="9"/>
  <c r="P152" i="9"/>
  <c r="Q152" i="9" s="1"/>
  <c r="A152" i="9"/>
  <c r="O152" i="9" s="1"/>
  <c r="P151" i="9"/>
  <c r="Q151" i="9" s="1"/>
  <c r="O151" i="9"/>
  <c r="A151" i="9"/>
  <c r="P150" i="9"/>
  <c r="Q150" i="9" s="1"/>
  <c r="A150" i="9"/>
  <c r="O150" i="9" s="1"/>
  <c r="P149" i="9"/>
  <c r="Q149" i="9" s="1"/>
  <c r="O149" i="9"/>
  <c r="A149" i="9"/>
  <c r="P148" i="9"/>
  <c r="Q148" i="9" s="1"/>
  <c r="A148" i="9"/>
  <c r="O148" i="9" s="1"/>
  <c r="P147" i="9"/>
  <c r="Q147" i="9" s="1"/>
  <c r="O147" i="9"/>
  <c r="A147" i="9"/>
  <c r="P146" i="9"/>
  <c r="Q146" i="9" s="1"/>
  <c r="A146" i="9"/>
  <c r="O146" i="9" s="1"/>
  <c r="P145" i="9"/>
  <c r="Q145" i="9" s="1"/>
  <c r="O145" i="9"/>
  <c r="A145" i="9"/>
  <c r="P144" i="9"/>
  <c r="Q144" i="9" s="1"/>
  <c r="A144" i="9"/>
  <c r="O144" i="9" s="1"/>
  <c r="P143" i="9"/>
  <c r="Q143" i="9" s="1"/>
  <c r="O143" i="9"/>
  <c r="A143" i="9"/>
  <c r="P142" i="9"/>
  <c r="Q142" i="9" s="1"/>
  <c r="A142" i="9"/>
  <c r="O142" i="9" s="1"/>
  <c r="P141" i="9"/>
  <c r="Q141" i="9" s="1"/>
  <c r="O141" i="9"/>
  <c r="A141" i="9"/>
  <c r="P140" i="9"/>
  <c r="Q140" i="9" s="1"/>
  <c r="A140" i="9"/>
  <c r="O140" i="9" s="1"/>
  <c r="P139" i="9"/>
  <c r="Q139" i="9" s="1"/>
  <c r="O139" i="9"/>
  <c r="A139" i="9"/>
  <c r="P138" i="9"/>
  <c r="Q138" i="9" s="1"/>
  <c r="A138" i="9"/>
  <c r="O138" i="9" s="1"/>
  <c r="P137" i="9"/>
  <c r="Q137" i="9" s="1"/>
  <c r="O137" i="9"/>
  <c r="A137" i="9"/>
  <c r="P136" i="9"/>
  <c r="Q136" i="9" s="1"/>
  <c r="A136" i="9"/>
  <c r="O136" i="9" s="1"/>
  <c r="P135" i="9"/>
  <c r="Q135" i="9" s="1"/>
  <c r="O135" i="9"/>
  <c r="A135" i="9"/>
  <c r="P134" i="9"/>
  <c r="Q134" i="9" s="1"/>
  <c r="A134" i="9"/>
  <c r="O134" i="9" s="1"/>
  <c r="P133" i="9"/>
  <c r="Q133" i="9" s="1"/>
  <c r="O133" i="9"/>
  <c r="A133" i="9"/>
  <c r="P132" i="9"/>
  <c r="Q132" i="9" s="1"/>
  <c r="A132" i="9"/>
  <c r="O132" i="9" s="1"/>
  <c r="P131" i="9"/>
  <c r="Q131" i="9" s="1"/>
  <c r="O131" i="9"/>
  <c r="A131" i="9"/>
  <c r="P130" i="9"/>
  <c r="Q130" i="9" s="1"/>
  <c r="A130" i="9"/>
  <c r="O130" i="9" s="1"/>
  <c r="P129" i="9"/>
  <c r="Q129" i="9" s="1"/>
  <c r="O129" i="9"/>
  <c r="A129" i="9"/>
  <c r="P128" i="9"/>
  <c r="Q128" i="9" s="1"/>
  <c r="A128" i="9"/>
  <c r="O128" i="9" s="1"/>
  <c r="P127" i="9"/>
  <c r="Q127" i="9" s="1"/>
  <c r="O127" i="9"/>
  <c r="A127" i="9"/>
  <c r="P126" i="9"/>
  <c r="Q126" i="9" s="1"/>
  <c r="A126" i="9"/>
  <c r="O126" i="9" s="1"/>
  <c r="P125" i="9"/>
  <c r="Q125" i="9" s="1"/>
  <c r="O125" i="9"/>
  <c r="A125" i="9"/>
  <c r="P124" i="9"/>
  <c r="Q124" i="9" s="1"/>
  <c r="A124" i="9"/>
  <c r="O124" i="9" s="1"/>
  <c r="P123" i="9"/>
  <c r="Q123" i="9" s="1"/>
  <c r="O123" i="9"/>
  <c r="A123" i="9"/>
  <c r="P122" i="9"/>
  <c r="Q122" i="9" s="1"/>
  <c r="A122" i="9"/>
  <c r="O122" i="9" s="1"/>
  <c r="P121" i="9"/>
  <c r="Q121" i="9" s="1"/>
  <c r="O121" i="9"/>
  <c r="A121" i="9"/>
  <c r="P120" i="9"/>
  <c r="Q120" i="9" s="1"/>
  <c r="A120" i="9"/>
  <c r="O120" i="9" s="1"/>
  <c r="P119" i="9"/>
  <c r="Q119" i="9" s="1"/>
  <c r="O119" i="9"/>
  <c r="A119" i="9"/>
  <c r="P118" i="9"/>
  <c r="Q118" i="9" s="1"/>
  <c r="A118" i="9"/>
  <c r="O118" i="9" s="1"/>
  <c r="P117" i="9"/>
  <c r="Q117" i="9" s="1"/>
  <c r="O117" i="9"/>
  <c r="A117" i="9"/>
  <c r="P116" i="9"/>
  <c r="Q116" i="9" s="1"/>
  <c r="A116" i="9"/>
  <c r="O116" i="9" s="1"/>
  <c r="P115" i="9"/>
  <c r="Q115" i="9" s="1"/>
  <c r="O115" i="9"/>
  <c r="A115" i="9"/>
  <c r="P114" i="9"/>
  <c r="Q114" i="9" s="1"/>
  <c r="A114" i="9"/>
  <c r="O114" i="9" s="1"/>
  <c r="P113" i="9"/>
  <c r="Q113" i="9" s="1"/>
  <c r="O113" i="9"/>
  <c r="A113" i="9"/>
  <c r="P112" i="9"/>
  <c r="Q112" i="9" s="1"/>
  <c r="A112" i="9"/>
  <c r="O112" i="9" s="1"/>
  <c r="P111" i="9"/>
  <c r="Q111" i="9" s="1"/>
  <c r="O111" i="9"/>
  <c r="A111" i="9"/>
  <c r="P110" i="9"/>
  <c r="Q110" i="9" s="1"/>
  <c r="A110" i="9"/>
  <c r="O110" i="9" s="1"/>
  <c r="P109" i="9"/>
  <c r="Q109" i="9" s="1"/>
  <c r="O109" i="9"/>
  <c r="A109" i="9"/>
  <c r="P108" i="9"/>
  <c r="Q108" i="9" s="1"/>
  <c r="A108" i="9"/>
  <c r="O108" i="9" s="1"/>
  <c r="P107" i="9"/>
  <c r="Q107" i="9" s="1"/>
  <c r="O107" i="9"/>
  <c r="A107" i="9"/>
  <c r="P106" i="9"/>
  <c r="Q106" i="9" s="1"/>
  <c r="A106" i="9"/>
  <c r="O106" i="9" s="1"/>
  <c r="P105" i="9"/>
  <c r="Q105" i="9" s="1"/>
  <c r="O105" i="9"/>
  <c r="A105" i="9"/>
  <c r="P104" i="9"/>
  <c r="Q104" i="9" s="1"/>
  <c r="A104" i="9"/>
  <c r="O104" i="9" s="1"/>
  <c r="P103" i="9"/>
  <c r="Q103" i="9" s="1"/>
  <c r="O103" i="9"/>
  <c r="A103" i="9"/>
  <c r="P102" i="9"/>
  <c r="Q102" i="9" s="1"/>
  <c r="A102" i="9"/>
  <c r="O102" i="9" s="1"/>
  <c r="P101" i="9"/>
  <c r="Q101" i="9" s="1"/>
  <c r="O101" i="9"/>
  <c r="A101" i="9"/>
  <c r="P100" i="9"/>
  <c r="Q100" i="9" s="1"/>
  <c r="A100" i="9"/>
  <c r="O100" i="9" s="1"/>
  <c r="P99" i="9"/>
  <c r="Q99" i="9" s="1"/>
  <c r="O99" i="9"/>
  <c r="A99" i="9"/>
  <c r="P98" i="9"/>
  <c r="Q98" i="9" s="1"/>
  <c r="A98" i="9"/>
  <c r="O98" i="9" s="1"/>
  <c r="P97" i="9"/>
  <c r="Q97" i="9" s="1"/>
  <c r="O97" i="9"/>
  <c r="A97" i="9"/>
  <c r="P96" i="9"/>
  <c r="Q96" i="9" s="1"/>
  <c r="A96" i="9"/>
  <c r="O96" i="9" s="1"/>
  <c r="P95" i="9"/>
  <c r="Q95" i="9" s="1"/>
  <c r="O95" i="9"/>
  <c r="A95" i="9"/>
  <c r="P94" i="9"/>
  <c r="Q94" i="9" s="1"/>
  <c r="A94" i="9"/>
  <c r="O94" i="9" s="1"/>
  <c r="P93" i="9"/>
  <c r="Q93" i="9" s="1"/>
  <c r="O93" i="9"/>
  <c r="A93" i="9"/>
  <c r="P92" i="9"/>
  <c r="Q92" i="9" s="1"/>
  <c r="A92" i="9"/>
  <c r="O92" i="9" s="1"/>
  <c r="P91" i="9"/>
  <c r="Q91" i="9" s="1"/>
  <c r="O91" i="9"/>
  <c r="A91" i="9"/>
  <c r="P90" i="9"/>
  <c r="Q90" i="9" s="1"/>
  <c r="A90" i="9"/>
  <c r="O90" i="9" s="1"/>
  <c r="P89" i="9"/>
  <c r="Q89" i="9" s="1"/>
  <c r="O89" i="9"/>
  <c r="A89" i="9"/>
  <c r="P88" i="9"/>
  <c r="Q88" i="9" s="1"/>
  <c r="A88" i="9"/>
  <c r="O88" i="9" s="1"/>
  <c r="P87" i="9"/>
  <c r="Q87" i="9" s="1"/>
  <c r="O87" i="9"/>
  <c r="A87" i="9"/>
  <c r="P86" i="9"/>
  <c r="Q86" i="9" s="1"/>
  <c r="A86" i="9"/>
  <c r="O86" i="9" s="1"/>
  <c r="P85" i="9"/>
  <c r="Q85" i="9" s="1"/>
  <c r="O85" i="9"/>
  <c r="A85" i="9"/>
  <c r="P84" i="9"/>
  <c r="Q84" i="9" s="1"/>
  <c r="A84" i="9"/>
  <c r="O84" i="9" s="1"/>
  <c r="P83" i="9"/>
  <c r="Q83" i="9" s="1"/>
  <c r="O83" i="9"/>
  <c r="A83" i="9"/>
  <c r="P82" i="9"/>
  <c r="Q82" i="9" s="1"/>
  <c r="A82" i="9"/>
  <c r="O82" i="9" s="1"/>
  <c r="P81" i="9"/>
  <c r="Q81" i="9" s="1"/>
  <c r="O81" i="9"/>
  <c r="A81" i="9"/>
  <c r="P80" i="9"/>
  <c r="Q80" i="9" s="1"/>
  <c r="A80" i="9"/>
  <c r="O80" i="9" s="1"/>
  <c r="P79" i="9"/>
  <c r="Q79" i="9" s="1"/>
  <c r="O79" i="9"/>
  <c r="A79" i="9"/>
  <c r="P78" i="9"/>
  <c r="Q78" i="9" s="1"/>
  <c r="A78" i="9"/>
  <c r="O78" i="9" s="1"/>
  <c r="P77" i="9"/>
  <c r="Q77" i="9" s="1"/>
  <c r="O77" i="9"/>
  <c r="A77" i="9"/>
  <c r="P76" i="9"/>
  <c r="Q76" i="9" s="1"/>
  <c r="A76" i="9"/>
  <c r="O76" i="9" s="1"/>
  <c r="P75" i="9"/>
  <c r="Q75" i="9" s="1"/>
  <c r="O75" i="9"/>
  <c r="A75" i="9"/>
  <c r="P74" i="9"/>
  <c r="Q74" i="9" s="1"/>
  <c r="A74" i="9"/>
  <c r="O74" i="9" s="1"/>
  <c r="P73" i="9"/>
  <c r="Q73" i="9" s="1"/>
  <c r="O73" i="9"/>
  <c r="A73" i="9"/>
  <c r="P72" i="9"/>
  <c r="Q72" i="9" s="1"/>
  <c r="A72" i="9"/>
  <c r="O72" i="9" s="1"/>
  <c r="P71" i="9"/>
  <c r="Q71" i="9" s="1"/>
  <c r="O71" i="9"/>
  <c r="A71" i="9"/>
  <c r="P70" i="9"/>
  <c r="Q70" i="9" s="1"/>
  <c r="A70" i="9"/>
  <c r="O70" i="9" s="1"/>
  <c r="P69" i="9"/>
  <c r="Q69" i="9" s="1"/>
  <c r="O69" i="9"/>
  <c r="A69" i="9"/>
  <c r="P68" i="9"/>
  <c r="Q68" i="9" s="1"/>
  <c r="A68" i="9"/>
  <c r="O68" i="9" s="1"/>
  <c r="P67" i="9"/>
  <c r="Q67" i="9" s="1"/>
  <c r="O67" i="9"/>
  <c r="A67" i="9"/>
  <c r="P66" i="9"/>
  <c r="Q66" i="9" s="1"/>
  <c r="A66" i="9"/>
  <c r="O66" i="9" s="1"/>
  <c r="P65" i="9"/>
  <c r="Q65" i="9" s="1"/>
  <c r="O65" i="9"/>
  <c r="A65" i="9"/>
  <c r="P64" i="9"/>
  <c r="Q64" i="9" s="1"/>
  <c r="A64" i="9"/>
  <c r="O64" i="9" s="1"/>
  <c r="P63" i="9"/>
  <c r="Q63" i="9" s="1"/>
  <c r="O63" i="9"/>
  <c r="A63" i="9"/>
  <c r="P62" i="9"/>
  <c r="Q62" i="9" s="1"/>
  <c r="A62" i="9"/>
  <c r="O62" i="9" s="1"/>
  <c r="P61" i="9"/>
  <c r="Q61" i="9" s="1"/>
  <c r="O61" i="9"/>
  <c r="A61" i="9"/>
  <c r="P60" i="9"/>
  <c r="Q60" i="9" s="1"/>
  <c r="A60" i="9"/>
  <c r="O60" i="9" s="1"/>
  <c r="P59" i="9"/>
  <c r="Q59" i="9" s="1"/>
  <c r="O59" i="9"/>
  <c r="A59" i="9"/>
  <c r="P58" i="9"/>
  <c r="Q58" i="9" s="1"/>
  <c r="A58" i="9"/>
  <c r="O58" i="9" s="1"/>
  <c r="P57" i="9"/>
  <c r="Q57" i="9" s="1"/>
  <c r="O57" i="9"/>
  <c r="A57" i="9"/>
  <c r="P56" i="9"/>
  <c r="Q56" i="9" s="1"/>
  <c r="A56" i="9"/>
  <c r="O56" i="9" s="1"/>
  <c r="P55" i="9"/>
  <c r="Q55" i="9" s="1"/>
  <c r="O55" i="9"/>
  <c r="A55" i="9"/>
  <c r="P54" i="9"/>
  <c r="Q54" i="9" s="1"/>
  <c r="A54" i="9"/>
  <c r="O54" i="9" s="1"/>
  <c r="P53" i="9"/>
  <c r="Q53" i="9" s="1"/>
  <c r="O53" i="9"/>
  <c r="A53" i="9"/>
  <c r="P52" i="9"/>
  <c r="Q52" i="9" s="1"/>
  <c r="A52" i="9"/>
  <c r="O52" i="9" s="1"/>
  <c r="P51" i="9"/>
  <c r="Q51" i="9" s="1"/>
  <c r="O51" i="9"/>
  <c r="A51" i="9"/>
  <c r="P50" i="9"/>
  <c r="Q50" i="9" s="1"/>
  <c r="A50" i="9"/>
  <c r="O50" i="9" s="1"/>
  <c r="P49" i="9"/>
  <c r="Q49" i="9" s="1"/>
  <c r="O49" i="9"/>
  <c r="A49" i="9"/>
  <c r="P48" i="9"/>
  <c r="Q48" i="9" s="1"/>
  <c r="A48" i="9"/>
  <c r="O48" i="9" s="1"/>
  <c r="P47" i="9"/>
  <c r="Q47" i="9" s="1"/>
  <c r="O47" i="9"/>
  <c r="A47" i="9"/>
  <c r="P46" i="9"/>
  <c r="Q46" i="9" s="1"/>
  <c r="A46" i="9"/>
  <c r="O46" i="9" s="1"/>
  <c r="P45" i="9"/>
  <c r="Q45" i="9" s="1"/>
  <c r="O45" i="9"/>
  <c r="A45" i="9"/>
  <c r="P44" i="9"/>
  <c r="Q44" i="9" s="1"/>
  <c r="A44" i="9"/>
  <c r="O44" i="9" s="1"/>
  <c r="P43" i="9"/>
  <c r="Q43" i="9" s="1"/>
  <c r="O43" i="9"/>
  <c r="A43" i="9"/>
  <c r="P42" i="9"/>
  <c r="Q42" i="9" s="1"/>
  <c r="A42" i="9"/>
  <c r="O42" i="9" s="1"/>
  <c r="P41" i="9"/>
  <c r="Q41" i="9" s="1"/>
  <c r="O41" i="9"/>
  <c r="A41" i="9"/>
  <c r="P40" i="9"/>
  <c r="Q40" i="9" s="1"/>
  <c r="A40" i="9"/>
  <c r="O40" i="9" s="1"/>
  <c r="P39" i="9"/>
  <c r="Q39" i="9" s="1"/>
  <c r="O39" i="9"/>
  <c r="A39" i="9"/>
  <c r="P38" i="9"/>
  <c r="Q38" i="9" s="1"/>
  <c r="A38" i="9"/>
  <c r="O38" i="9" s="1"/>
  <c r="P37" i="9"/>
  <c r="Q37" i="9" s="1"/>
  <c r="O37" i="9"/>
  <c r="A37" i="9"/>
  <c r="P36" i="9"/>
  <c r="Q36" i="9" s="1"/>
  <c r="A36" i="9"/>
  <c r="O36" i="9" s="1"/>
  <c r="P35" i="9"/>
  <c r="Q35" i="9" s="1"/>
  <c r="O35" i="9"/>
  <c r="A35" i="9"/>
  <c r="P34" i="9"/>
  <c r="Q34" i="9" s="1"/>
  <c r="A34" i="9"/>
  <c r="O34" i="9" s="1"/>
  <c r="P33" i="9"/>
  <c r="Q33" i="9" s="1"/>
  <c r="O33" i="9"/>
  <c r="A33" i="9"/>
  <c r="P32" i="9"/>
  <c r="Q32" i="9" s="1"/>
  <c r="A32" i="9"/>
  <c r="O32" i="9" s="1"/>
  <c r="P31" i="9"/>
  <c r="Q31" i="9" s="1"/>
  <c r="O31" i="9"/>
  <c r="A31" i="9"/>
  <c r="P30" i="9"/>
  <c r="Q30" i="9" s="1"/>
  <c r="A30" i="9"/>
  <c r="O30" i="9" s="1"/>
  <c r="P29" i="9"/>
  <c r="Q29" i="9" s="1"/>
  <c r="O29" i="9"/>
  <c r="A29" i="9"/>
  <c r="P28" i="9"/>
  <c r="Q28" i="9" s="1"/>
  <c r="A28" i="9"/>
  <c r="O28" i="9" s="1"/>
  <c r="P27" i="9"/>
  <c r="Q27" i="9" s="1"/>
  <c r="O27" i="9"/>
  <c r="A27" i="9"/>
  <c r="P26" i="9"/>
  <c r="Q26" i="9" s="1"/>
  <c r="A26" i="9"/>
  <c r="O26" i="9" s="1"/>
  <c r="P25" i="9"/>
  <c r="Q25" i="9" s="1"/>
  <c r="O25" i="9"/>
  <c r="A25" i="9"/>
  <c r="P24" i="9"/>
  <c r="Q24" i="9" s="1"/>
  <c r="A24" i="9"/>
  <c r="O24" i="9" s="1"/>
  <c r="P23" i="9"/>
  <c r="Q23" i="9" s="1"/>
  <c r="O23" i="9"/>
  <c r="A23" i="9"/>
  <c r="P22" i="9"/>
  <c r="Q22" i="9" s="1"/>
  <c r="A22" i="9"/>
  <c r="O22" i="9" s="1"/>
  <c r="P21" i="9"/>
  <c r="Q21" i="9" s="1"/>
  <c r="O21" i="9"/>
  <c r="A21" i="9"/>
  <c r="P20" i="9"/>
  <c r="Q20" i="9" s="1"/>
  <c r="A20" i="9"/>
  <c r="O20" i="9" s="1"/>
  <c r="P19" i="9"/>
  <c r="Q19" i="9" s="1"/>
  <c r="O19" i="9"/>
  <c r="A19" i="9"/>
  <c r="P18" i="9"/>
  <c r="Q18" i="9" s="1"/>
  <c r="A18" i="9"/>
  <c r="O18" i="9" s="1"/>
  <c r="P17" i="9"/>
  <c r="Q17" i="9" s="1"/>
  <c r="O17" i="9"/>
  <c r="A17" i="9"/>
  <c r="P16" i="9"/>
  <c r="Q16" i="9" s="1"/>
  <c r="A16" i="9"/>
  <c r="O16" i="9" s="1"/>
  <c r="P15" i="9"/>
  <c r="Q15" i="9" s="1"/>
  <c r="O15" i="9"/>
  <c r="A15" i="9"/>
  <c r="P14" i="9"/>
  <c r="Q14" i="9" s="1"/>
  <c r="A14" i="9"/>
  <c r="O14" i="9" s="1"/>
  <c r="P13" i="9"/>
  <c r="Q13" i="9" s="1"/>
  <c r="O13" i="9"/>
  <c r="A13" i="9"/>
  <c r="P12" i="9"/>
  <c r="Q12" i="9" s="1"/>
  <c r="A12" i="9"/>
  <c r="O12" i="9" s="1"/>
  <c r="P11" i="9"/>
  <c r="Q11" i="9" s="1"/>
  <c r="O11" i="9"/>
  <c r="A11" i="9"/>
  <c r="P10" i="9"/>
  <c r="Q10" i="9" s="1"/>
  <c r="A10" i="9"/>
  <c r="O10" i="9" s="1"/>
  <c r="P9" i="9"/>
  <c r="Q9" i="9" s="1"/>
  <c r="O9" i="9"/>
  <c r="A9" i="9"/>
  <c r="P8" i="9"/>
  <c r="Q8" i="9" s="1"/>
  <c r="A8" i="9"/>
  <c r="O8" i="9" s="1"/>
  <c r="P7" i="9"/>
  <c r="Q7" i="9" s="1"/>
  <c r="O7" i="9"/>
  <c r="A7" i="9"/>
  <c r="P6" i="9"/>
  <c r="Q6" i="9" s="1"/>
  <c r="A6" i="9"/>
  <c r="O6" i="9" s="1"/>
  <c r="P5" i="9"/>
  <c r="Q5" i="9" s="1"/>
  <c r="O5" i="9"/>
  <c r="A5" i="9"/>
  <c r="P4" i="9"/>
  <c r="Q4" i="9" s="1"/>
  <c r="A4" i="9"/>
  <c r="O4" i="9" s="1"/>
  <c r="P3" i="9"/>
  <c r="Q3" i="9" s="1"/>
  <c r="O3" i="9"/>
  <c r="A3" i="9"/>
  <c r="P2" i="9"/>
  <c r="Q2" i="9" s="1"/>
  <c r="A2" i="9"/>
  <c r="O2" i="9" s="1"/>
  <c r="M5" i="1" l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J350" i="1"/>
  <c r="AK350" i="1"/>
  <c r="AL350" i="1"/>
  <c r="AM350" i="1"/>
  <c r="AN350" i="1"/>
  <c r="AO350" i="1"/>
  <c r="AP350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K351" i="1"/>
  <c r="AL351" i="1"/>
  <c r="AM351" i="1"/>
  <c r="AN351" i="1"/>
  <c r="AO351" i="1"/>
  <c r="AP351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J352" i="1"/>
  <c r="AK352" i="1"/>
  <c r="AL352" i="1"/>
  <c r="AM352" i="1"/>
  <c r="AN352" i="1"/>
  <c r="AO352" i="1"/>
  <c r="AP352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J353" i="1"/>
  <c r="AK353" i="1"/>
  <c r="AL353" i="1"/>
  <c r="AM353" i="1"/>
  <c r="AN353" i="1"/>
  <c r="AO353" i="1"/>
  <c r="AP353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J354" i="1"/>
  <c r="AK354" i="1"/>
  <c r="AL354" i="1"/>
  <c r="AM354" i="1"/>
  <c r="AN354" i="1"/>
  <c r="AO354" i="1"/>
  <c r="AP354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AK355" i="1"/>
  <c r="AL355" i="1"/>
  <c r="AM355" i="1"/>
  <c r="AN355" i="1"/>
  <c r="AO355" i="1"/>
  <c r="AP355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J356" i="1"/>
  <c r="AK356" i="1"/>
  <c r="AL356" i="1"/>
  <c r="AM356" i="1"/>
  <c r="AN356" i="1"/>
  <c r="AO356" i="1"/>
  <c r="AP356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J357" i="1"/>
  <c r="AK357" i="1"/>
  <c r="AL357" i="1"/>
  <c r="AM357" i="1"/>
  <c r="AN357" i="1"/>
  <c r="AO357" i="1"/>
  <c r="AP357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J358" i="1"/>
  <c r="AK358" i="1"/>
  <c r="AL358" i="1"/>
  <c r="AM358" i="1"/>
  <c r="AN358" i="1"/>
  <c r="AO358" i="1"/>
  <c r="AP358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J359" i="1"/>
  <c r="AK359" i="1"/>
  <c r="AL359" i="1"/>
  <c r="AM359" i="1"/>
  <c r="AN359" i="1"/>
  <c r="AO359" i="1"/>
  <c r="AP359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K360" i="1"/>
  <c r="AL360" i="1"/>
  <c r="AM360" i="1"/>
  <c r="AN360" i="1"/>
  <c r="AO360" i="1"/>
  <c r="AP360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J361" i="1"/>
  <c r="AK361" i="1"/>
  <c r="AL361" i="1"/>
  <c r="AM361" i="1"/>
  <c r="AN361" i="1"/>
  <c r="AO361" i="1"/>
  <c r="AP361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J362" i="1"/>
  <c r="AK362" i="1"/>
  <c r="AL362" i="1"/>
  <c r="AM362" i="1"/>
  <c r="AN362" i="1"/>
  <c r="AO362" i="1"/>
  <c r="AP362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J363" i="1"/>
  <c r="AK363" i="1"/>
  <c r="AL363" i="1"/>
  <c r="AM363" i="1"/>
  <c r="AN363" i="1"/>
  <c r="AO363" i="1"/>
  <c r="AP363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J364" i="1"/>
  <c r="AK364" i="1"/>
  <c r="AL364" i="1"/>
  <c r="AM364" i="1"/>
  <c r="AN364" i="1"/>
  <c r="AO364" i="1"/>
  <c r="AP364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J365" i="1"/>
  <c r="AK365" i="1"/>
  <c r="AL365" i="1"/>
  <c r="AM365" i="1"/>
  <c r="AN365" i="1"/>
  <c r="AO365" i="1"/>
  <c r="AP365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K366" i="1"/>
  <c r="AL366" i="1"/>
  <c r="AM366" i="1"/>
  <c r="AN366" i="1"/>
  <c r="AO366" i="1"/>
  <c r="AP366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J367" i="1"/>
  <c r="AK367" i="1"/>
  <c r="AL367" i="1"/>
  <c r="AM367" i="1"/>
  <c r="AN367" i="1"/>
  <c r="AO367" i="1"/>
  <c r="AP367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J368" i="1"/>
  <c r="AK368" i="1"/>
  <c r="AL368" i="1"/>
  <c r="AM368" i="1"/>
  <c r="AN368" i="1"/>
  <c r="AO368" i="1"/>
  <c r="AP368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K369" i="1"/>
  <c r="AL369" i="1"/>
  <c r="AM369" i="1"/>
  <c r="AN369" i="1"/>
  <c r="AO369" i="1"/>
  <c r="AP369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K370" i="1"/>
  <c r="AL370" i="1"/>
  <c r="AM370" i="1"/>
  <c r="AN370" i="1"/>
  <c r="AO370" i="1"/>
  <c r="AP370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K371" i="1"/>
  <c r="AL371" i="1"/>
  <c r="AM371" i="1"/>
  <c r="AN371" i="1"/>
  <c r="AO371" i="1"/>
  <c r="AP371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J372" i="1"/>
  <c r="AK372" i="1"/>
  <c r="AL372" i="1"/>
  <c r="AM372" i="1"/>
  <c r="AN372" i="1"/>
  <c r="AO372" i="1"/>
  <c r="AP372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K373" i="1"/>
  <c r="AL373" i="1"/>
  <c r="AM373" i="1"/>
  <c r="AN373" i="1"/>
  <c r="AO373" i="1"/>
  <c r="AP373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K374" i="1"/>
  <c r="AL374" i="1"/>
  <c r="AM374" i="1"/>
  <c r="AN374" i="1"/>
  <c r="AO374" i="1"/>
  <c r="AP374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K375" i="1"/>
  <c r="AL375" i="1"/>
  <c r="AM375" i="1"/>
  <c r="AN375" i="1"/>
  <c r="AO375" i="1"/>
  <c r="AP375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K376" i="1"/>
  <c r="AL376" i="1"/>
  <c r="AM376" i="1"/>
  <c r="AN376" i="1"/>
  <c r="AO376" i="1"/>
  <c r="AP376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J377" i="1"/>
  <c r="AK377" i="1"/>
  <c r="AL377" i="1"/>
  <c r="AM377" i="1"/>
  <c r="AN377" i="1"/>
  <c r="AO377" i="1"/>
  <c r="AP377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K378" i="1"/>
  <c r="AL378" i="1"/>
  <c r="AM378" i="1"/>
  <c r="AN378" i="1"/>
  <c r="AO378" i="1"/>
  <c r="AP378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K379" i="1"/>
  <c r="AL379" i="1"/>
  <c r="AM379" i="1"/>
  <c r="AN379" i="1"/>
  <c r="AO379" i="1"/>
  <c r="AP379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K380" i="1"/>
  <c r="AL380" i="1"/>
  <c r="AM380" i="1"/>
  <c r="AN380" i="1"/>
  <c r="AO380" i="1"/>
  <c r="AP380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J381" i="1"/>
  <c r="AK381" i="1"/>
  <c r="AL381" i="1"/>
  <c r="AM381" i="1"/>
  <c r="AN381" i="1"/>
  <c r="AO381" i="1"/>
  <c r="AP381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J382" i="1"/>
  <c r="AK382" i="1"/>
  <c r="AL382" i="1"/>
  <c r="AM382" i="1"/>
  <c r="AN382" i="1"/>
  <c r="AO382" i="1"/>
  <c r="AP382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K383" i="1"/>
  <c r="AL383" i="1"/>
  <c r="AM383" i="1"/>
  <c r="AN383" i="1"/>
  <c r="AO383" i="1"/>
  <c r="AP383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J384" i="1"/>
  <c r="AK384" i="1"/>
  <c r="AL384" i="1"/>
  <c r="AM384" i="1"/>
  <c r="AN384" i="1"/>
  <c r="AO384" i="1"/>
  <c r="AP384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J385" i="1"/>
  <c r="AK385" i="1"/>
  <c r="AL385" i="1"/>
  <c r="AM385" i="1"/>
  <c r="AN385" i="1"/>
  <c r="AO385" i="1"/>
  <c r="AP385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K386" i="1"/>
  <c r="AL386" i="1"/>
  <c r="AM386" i="1"/>
  <c r="AN386" i="1"/>
  <c r="AO386" i="1"/>
  <c r="AP386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J387" i="1"/>
  <c r="AK387" i="1"/>
  <c r="AL387" i="1"/>
  <c r="AM387" i="1"/>
  <c r="AN387" i="1"/>
  <c r="AO387" i="1"/>
  <c r="AP387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J388" i="1"/>
  <c r="AK388" i="1"/>
  <c r="AL388" i="1"/>
  <c r="AM388" i="1"/>
  <c r="AN388" i="1"/>
  <c r="AO388" i="1"/>
  <c r="AP388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K389" i="1"/>
  <c r="AL389" i="1"/>
  <c r="AM389" i="1"/>
  <c r="AN389" i="1"/>
  <c r="AO389" i="1"/>
  <c r="AP389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K390" i="1"/>
  <c r="AL390" i="1"/>
  <c r="AM390" i="1"/>
  <c r="AN390" i="1"/>
  <c r="AO390" i="1"/>
  <c r="AP390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K391" i="1"/>
  <c r="AL391" i="1"/>
  <c r="AM391" i="1"/>
  <c r="AN391" i="1"/>
  <c r="AO391" i="1"/>
  <c r="AP391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K392" i="1"/>
  <c r="AL392" i="1"/>
  <c r="AM392" i="1"/>
  <c r="AN392" i="1"/>
  <c r="AO392" i="1"/>
  <c r="AP392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K393" i="1"/>
  <c r="AL393" i="1"/>
  <c r="AM393" i="1"/>
  <c r="AN393" i="1"/>
  <c r="AO393" i="1"/>
  <c r="AP393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K394" i="1"/>
  <c r="AL394" i="1"/>
  <c r="AM394" i="1"/>
  <c r="AN394" i="1"/>
  <c r="AO394" i="1"/>
  <c r="AP394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K395" i="1"/>
  <c r="AL395" i="1"/>
  <c r="AM395" i="1"/>
  <c r="AN395" i="1"/>
  <c r="AO395" i="1"/>
  <c r="AP395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K396" i="1"/>
  <c r="AL396" i="1"/>
  <c r="AM396" i="1"/>
  <c r="AN396" i="1"/>
  <c r="AO396" i="1"/>
  <c r="AP396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K397" i="1"/>
  <c r="AL397" i="1"/>
  <c r="AM397" i="1"/>
  <c r="AN397" i="1"/>
  <c r="AO397" i="1"/>
  <c r="AP397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K398" i="1"/>
  <c r="AL398" i="1"/>
  <c r="AM398" i="1"/>
  <c r="AN398" i="1"/>
  <c r="AO398" i="1"/>
  <c r="AP398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K399" i="1"/>
  <c r="AL399" i="1"/>
  <c r="AM399" i="1"/>
  <c r="AN399" i="1"/>
  <c r="AO399" i="1"/>
  <c r="AP399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K400" i="1"/>
  <c r="AL400" i="1"/>
  <c r="AM400" i="1"/>
  <c r="AN400" i="1"/>
  <c r="AO400" i="1"/>
  <c r="AP400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K401" i="1"/>
  <c r="AL401" i="1"/>
  <c r="AM401" i="1"/>
  <c r="AN401" i="1"/>
  <c r="AO401" i="1"/>
  <c r="AP401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K402" i="1"/>
  <c r="AL402" i="1"/>
  <c r="AM402" i="1"/>
  <c r="AN402" i="1"/>
  <c r="AO402" i="1"/>
  <c r="AP402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K403" i="1"/>
  <c r="AL403" i="1"/>
  <c r="AM403" i="1"/>
  <c r="AN403" i="1"/>
  <c r="AO403" i="1"/>
  <c r="AP403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J404" i="1"/>
  <c r="AK404" i="1"/>
  <c r="AL404" i="1"/>
  <c r="AM404" i="1"/>
  <c r="AN404" i="1"/>
  <c r="AO404" i="1"/>
  <c r="AP40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L383" i="1" l="1"/>
  <c r="L361" i="1"/>
  <c r="L404" i="1"/>
  <c r="L398" i="1"/>
  <c r="L390" i="1"/>
  <c r="L375" i="1"/>
  <c r="L342" i="1"/>
  <c r="L338" i="1"/>
  <c r="L394" i="1"/>
  <c r="L386" i="1"/>
  <c r="L379" i="1"/>
  <c r="L371" i="1"/>
  <c r="L367" i="1"/>
  <c r="L359" i="1"/>
  <c r="L355" i="1"/>
  <c r="L353" i="1"/>
  <c r="L350" i="1"/>
  <c r="L346" i="1"/>
  <c r="L401" i="1"/>
  <c r="L399" i="1"/>
  <c r="L395" i="1"/>
  <c r="L391" i="1"/>
  <c r="L387" i="1"/>
  <c r="L384" i="1"/>
  <c r="L380" i="1"/>
  <c r="L376" i="1"/>
  <c r="L372" i="1"/>
  <c r="L368" i="1"/>
  <c r="L364" i="1"/>
  <c r="L362" i="1"/>
  <c r="L360" i="1"/>
  <c r="L356" i="1"/>
  <c r="L354" i="1"/>
  <c r="L351" i="1"/>
  <c r="L347" i="1"/>
  <c r="L343" i="1"/>
  <c r="L339" i="1"/>
  <c r="L385" i="1"/>
  <c r="L357" i="1"/>
  <c r="L352" i="1"/>
  <c r="L348" i="1"/>
  <c r="L344" i="1"/>
  <c r="L340" i="1"/>
  <c r="L392" i="1"/>
  <c r="L381" i="1"/>
  <c r="L377" i="1"/>
  <c r="L373" i="1"/>
  <c r="L369" i="1"/>
  <c r="L365" i="1"/>
  <c r="L363" i="1"/>
  <c r="L402" i="1"/>
  <c r="L396" i="1"/>
  <c r="L388" i="1"/>
  <c r="L403" i="1"/>
  <c r="L400" i="1"/>
  <c r="L397" i="1"/>
  <c r="L393" i="1"/>
  <c r="L389" i="1"/>
  <c r="L382" i="1"/>
  <c r="L378" i="1"/>
  <c r="L374" i="1"/>
  <c r="L370" i="1"/>
  <c r="L366" i="1"/>
  <c r="L358" i="1"/>
  <c r="L349" i="1"/>
  <c r="L345" i="1"/>
  <c r="L341" i="1"/>
  <c r="AR5" i="1" l="1"/>
  <c r="AS5" i="1"/>
  <c r="AR6" i="1"/>
  <c r="AS6" i="1"/>
  <c r="AR7" i="1"/>
  <c r="AS7" i="1"/>
  <c r="AR8" i="1"/>
  <c r="AS8" i="1"/>
  <c r="AR9" i="1"/>
  <c r="AS9" i="1"/>
  <c r="AR10" i="1"/>
  <c r="AS10" i="1"/>
  <c r="AR11" i="1"/>
  <c r="AS11" i="1"/>
  <c r="AR12" i="1"/>
  <c r="AS12" i="1"/>
  <c r="AR13" i="1"/>
  <c r="AS13" i="1"/>
  <c r="AR14" i="1"/>
  <c r="AS14" i="1"/>
  <c r="AR15" i="1"/>
  <c r="AS15" i="1"/>
  <c r="AR16" i="1"/>
  <c r="AS16" i="1"/>
  <c r="AR17" i="1"/>
  <c r="AS17" i="1"/>
  <c r="AR18" i="1"/>
  <c r="AS18" i="1"/>
  <c r="AR19" i="1"/>
  <c r="AS19" i="1"/>
  <c r="AR20" i="1"/>
  <c r="AS20" i="1"/>
  <c r="AR21" i="1"/>
  <c r="AS21" i="1"/>
  <c r="AR22" i="1"/>
  <c r="AS22" i="1"/>
  <c r="AR23" i="1"/>
  <c r="AS23" i="1"/>
  <c r="AR24" i="1"/>
  <c r="AS24" i="1"/>
  <c r="AR25" i="1"/>
  <c r="AS25" i="1"/>
  <c r="AR26" i="1"/>
  <c r="AS26" i="1"/>
  <c r="AR27" i="1"/>
  <c r="AS27" i="1"/>
  <c r="AR28" i="1"/>
  <c r="AS28" i="1"/>
  <c r="AR29" i="1"/>
  <c r="AS29" i="1"/>
  <c r="AR30" i="1"/>
  <c r="AS30" i="1"/>
  <c r="AR31" i="1"/>
  <c r="AS31" i="1"/>
  <c r="AR32" i="1"/>
  <c r="AS32" i="1"/>
  <c r="AR33" i="1"/>
  <c r="AS33" i="1"/>
  <c r="AR34" i="1"/>
  <c r="AS34" i="1"/>
  <c r="AR35" i="1"/>
  <c r="AS35" i="1"/>
  <c r="AR36" i="1"/>
  <c r="AS36" i="1"/>
  <c r="AR37" i="1"/>
  <c r="AS37" i="1"/>
  <c r="AR38" i="1"/>
  <c r="AS38" i="1"/>
  <c r="AR39" i="1"/>
  <c r="AS39" i="1"/>
  <c r="AR40" i="1"/>
  <c r="AS40" i="1"/>
  <c r="AR41" i="1"/>
  <c r="AS41" i="1"/>
  <c r="AR42" i="1"/>
  <c r="AS42" i="1"/>
  <c r="AR43" i="1"/>
  <c r="AS43" i="1"/>
  <c r="AR44" i="1"/>
  <c r="AS44" i="1"/>
  <c r="AR45" i="1"/>
  <c r="AS45" i="1"/>
  <c r="AR46" i="1"/>
  <c r="AS46" i="1"/>
  <c r="AR47" i="1"/>
  <c r="AS47" i="1"/>
  <c r="AR48" i="1"/>
  <c r="AS48" i="1"/>
  <c r="AR49" i="1"/>
  <c r="AS49" i="1"/>
  <c r="AR50" i="1"/>
  <c r="AS50" i="1"/>
  <c r="AR51" i="1"/>
  <c r="AS51" i="1"/>
  <c r="AR52" i="1"/>
  <c r="AS52" i="1"/>
  <c r="AR53" i="1"/>
  <c r="AS53" i="1"/>
  <c r="AR54" i="1"/>
  <c r="AS54" i="1"/>
  <c r="AR55" i="1"/>
  <c r="AS55" i="1"/>
  <c r="AR56" i="1"/>
  <c r="AS56" i="1"/>
  <c r="AR57" i="1"/>
  <c r="AS57" i="1"/>
  <c r="AR58" i="1"/>
  <c r="AS58" i="1"/>
  <c r="AR59" i="1"/>
  <c r="AS59" i="1"/>
  <c r="AR60" i="1"/>
  <c r="AS60" i="1"/>
  <c r="AR61" i="1"/>
  <c r="AS61" i="1"/>
  <c r="AR62" i="1"/>
  <c r="AS62" i="1"/>
  <c r="AR63" i="1"/>
  <c r="AS63" i="1"/>
  <c r="AR64" i="1"/>
  <c r="AS64" i="1"/>
  <c r="AR65" i="1"/>
  <c r="AS65" i="1"/>
  <c r="AR66" i="1"/>
  <c r="AS66" i="1"/>
  <c r="AR67" i="1"/>
  <c r="AS67" i="1"/>
  <c r="AR68" i="1"/>
  <c r="AS68" i="1"/>
  <c r="AR69" i="1"/>
  <c r="AS69" i="1"/>
  <c r="AR70" i="1"/>
  <c r="AS70" i="1"/>
  <c r="AR71" i="1"/>
  <c r="AS71" i="1"/>
  <c r="AR72" i="1"/>
  <c r="AS72" i="1"/>
  <c r="AR73" i="1"/>
  <c r="AS73" i="1"/>
  <c r="AR74" i="1"/>
  <c r="AS74" i="1"/>
  <c r="AR75" i="1"/>
  <c r="AS75" i="1"/>
  <c r="AR76" i="1"/>
  <c r="AS76" i="1"/>
  <c r="AR77" i="1"/>
  <c r="AS77" i="1"/>
  <c r="AR78" i="1"/>
  <c r="AS78" i="1"/>
  <c r="AR79" i="1"/>
  <c r="AS79" i="1"/>
  <c r="AR80" i="1"/>
  <c r="AS80" i="1"/>
  <c r="AR81" i="1"/>
  <c r="AS81" i="1"/>
  <c r="AR82" i="1"/>
  <c r="AS82" i="1"/>
  <c r="AR83" i="1"/>
  <c r="AS83" i="1"/>
  <c r="AR84" i="1"/>
  <c r="AS84" i="1"/>
  <c r="AR85" i="1"/>
  <c r="AS85" i="1"/>
  <c r="AR86" i="1"/>
  <c r="AS86" i="1"/>
  <c r="AR87" i="1"/>
  <c r="AS87" i="1"/>
  <c r="AR88" i="1"/>
  <c r="AS88" i="1"/>
  <c r="AR89" i="1"/>
  <c r="AS89" i="1"/>
  <c r="AR90" i="1"/>
  <c r="AS90" i="1"/>
  <c r="AR91" i="1"/>
  <c r="AS91" i="1"/>
  <c r="AR92" i="1"/>
  <c r="AS92" i="1"/>
  <c r="AR93" i="1"/>
  <c r="AS93" i="1"/>
  <c r="AR94" i="1"/>
  <c r="AS94" i="1"/>
  <c r="AR95" i="1"/>
  <c r="AS95" i="1"/>
  <c r="AR96" i="1"/>
  <c r="AS96" i="1"/>
  <c r="AR97" i="1"/>
  <c r="AS97" i="1"/>
  <c r="AR98" i="1"/>
  <c r="AS98" i="1"/>
  <c r="AR99" i="1"/>
  <c r="AS99" i="1"/>
  <c r="AR100" i="1"/>
  <c r="AS100" i="1"/>
  <c r="AR101" i="1"/>
  <c r="AS101" i="1"/>
  <c r="AR102" i="1"/>
  <c r="AS102" i="1"/>
  <c r="AR103" i="1"/>
  <c r="AS103" i="1"/>
  <c r="AR104" i="1"/>
  <c r="AS104" i="1"/>
  <c r="AR105" i="1"/>
  <c r="AS105" i="1"/>
  <c r="AR106" i="1"/>
  <c r="AS106" i="1"/>
  <c r="AR107" i="1"/>
  <c r="AS107" i="1"/>
  <c r="AR108" i="1"/>
  <c r="AS108" i="1"/>
  <c r="AR109" i="1"/>
  <c r="AS109" i="1"/>
  <c r="AR110" i="1"/>
  <c r="AS110" i="1"/>
  <c r="AR111" i="1"/>
  <c r="AS111" i="1"/>
  <c r="AR112" i="1"/>
  <c r="AS112" i="1"/>
  <c r="AR113" i="1"/>
  <c r="AS113" i="1"/>
  <c r="AR114" i="1"/>
  <c r="AS114" i="1"/>
  <c r="AR115" i="1"/>
  <c r="AS115" i="1"/>
  <c r="AR116" i="1"/>
  <c r="AS116" i="1"/>
  <c r="AR117" i="1"/>
  <c r="AS117" i="1"/>
  <c r="AR118" i="1"/>
  <c r="AS118" i="1"/>
  <c r="AR119" i="1"/>
  <c r="AS119" i="1"/>
  <c r="AR120" i="1"/>
  <c r="AS120" i="1"/>
  <c r="AR121" i="1"/>
  <c r="AS121" i="1"/>
  <c r="AR122" i="1"/>
  <c r="AS122" i="1"/>
  <c r="AR123" i="1"/>
  <c r="AS123" i="1"/>
  <c r="AR124" i="1"/>
  <c r="AS124" i="1"/>
  <c r="AR125" i="1"/>
  <c r="AS125" i="1"/>
  <c r="AR126" i="1"/>
  <c r="AS126" i="1"/>
  <c r="AR127" i="1"/>
  <c r="AS127" i="1"/>
  <c r="AR128" i="1"/>
  <c r="AS128" i="1"/>
  <c r="AR129" i="1"/>
  <c r="AS129" i="1"/>
  <c r="AR130" i="1"/>
  <c r="AS130" i="1"/>
  <c r="AR131" i="1"/>
  <c r="AS131" i="1"/>
  <c r="AR132" i="1"/>
  <c r="AS132" i="1"/>
  <c r="AR133" i="1"/>
  <c r="AS133" i="1"/>
  <c r="AR134" i="1"/>
  <c r="AS134" i="1"/>
  <c r="AR135" i="1"/>
  <c r="AS135" i="1"/>
  <c r="AR136" i="1"/>
  <c r="AS136" i="1"/>
  <c r="AR137" i="1"/>
  <c r="AS137" i="1"/>
  <c r="AR138" i="1"/>
  <c r="AS138" i="1"/>
  <c r="AR139" i="1"/>
  <c r="AS139" i="1"/>
  <c r="AR140" i="1"/>
  <c r="AS140" i="1"/>
  <c r="AR141" i="1"/>
  <c r="AS141" i="1"/>
  <c r="AR142" i="1"/>
  <c r="AS142" i="1"/>
  <c r="AR143" i="1"/>
  <c r="AS143" i="1"/>
  <c r="AR144" i="1"/>
  <c r="AS144" i="1"/>
  <c r="AR145" i="1"/>
  <c r="AS145" i="1"/>
  <c r="AR146" i="1"/>
  <c r="AS146" i="1"/>
  <c r="AR147" i="1"/>
  <c r="AS147" i="1"/>
  <c r="AR148" i="1"/>
  <c r="AS148" i="1"/>
  <c r="AR149" i="1"/>
  <c r="AS149" i="1"/>
  <c r="AR150" i="1"/>
  <c r="AS150" i="1"/>
  <c r="AR151" i="1"/>
  <c r="AS151" i="1"/>
  <c r="AR152" i="1"/>
  <c r="AS152" i="1"/>
  <c r="AR153" i="1"/>
  <c r="AS153" i="1"/>
  <c r="AR154" i="1"/>
  <c r="AS154" i="1"/>
  <c r="AR155" i="1"/>
  <c r="AS155" i="1"/>
  <c r="AR156" i="1"/>
  <c r="AS156" i="1"/>
  <c r="AR157" i="1"/>
  <c r="AS157" i="1"/>
  <c r="AR158" i="1"/>
  <c r="AS158" i="1"/>
  <c r="AR159" i="1"/>
  <c r="AS159" i="1"/>
  <c r="AR160" i="1"/>
  <c r="AS160" i="1"/>
  <c r="AR161" i="1"/>
  <c r="AS161" i="1"/>
  <c r="AR162" i="1"/>
  <c r="AS162" i="1"/>
  <c r="AR163" i="1"/>
  <c r="AS163" i="1"/>
  <c r="AR164" i="1"/>
  <c r="AS164" i="1"/>
  <c r="AR165" i="1"/>
  <c r="AS165" i="1"/>
  <c r="AR166" i="1"/>
  <c r="AS166" i="1"/>
  <c r="AR167" i="1"/>
  <c r="AS167" i="1"/>
  <c r="AR168" i="1"/>
  <c r="AS168" i="1"/>
  <c r="AR169" i="1"/>
  <c r="AS169" i="1"/>
  <c r="AR170" i="1"/>
  <c r="AS170" i="1"/>
  <c r="AR171" i="1"/>
  <c r="AS171" i="1"/>
  <c r="AR172" i="1"/>
  <c r="AS172" i="1"/>
  <c r="AR173" i="1"/>
  <c r="AS173" i="1"/>
  <c r="AR174" i="1"/>
  <c r="AS174" i="1"/>
  <c r="AR175" i="1"/>
  <c r="AS175" i="1"/>
  <c r="AR176" i="1"/>
  <c r="AS176" i="1"/>
  <c r="AR177" i="1"/>
  <c r="AS177" i="1"/>
  <c r="AR178" i="1"/>
  <c r="AS178" i="1"/>
  <c r="AR179" i="1"/>
  <c r="AS179" i="1"/>
  <c r="AR180" i="1"/>
  <c r="AS180" i="1"/>
  <c r="AR181" i="1"/>
  <c r="AS181" i="1"/>
  <c r="AR182" i="1"/>
  <c r="AS182" i="1"/>
  <c r="AR183" i="1"/>
  <c r="AS183" i="1"/>
  <c r="AR184" i="1"/>
  <c r="AS184" i="1"/>
  <c r="AR185" i="1"/>
  <c r="AS185" i="1"/>
  <c r="AR186" i="1"/>
  <c r="AS186" i="1"/>
  <c r="AR187" i="1"/>
  <c r="AS187" i="1"/>
  <c r="AR188" i="1"/>
  <c r="AS188" i="1"/>
  <c r="AR189" i="1"/>
  <c r="AS189" i="1"/>
  <c r="AR190" i="1"/>
  <c r="AS190" i="1"/>
  <c r="AR191" i="1"/>
  <c r="AS191" i="1"/>
  <c r="AR192" i="1"/>
  <c r="AS192" i="1"/>
  <c r="AR193" i="1"/>
  <c r="AS193" i="1"/>
  <c r="AR194" i="1"/>
  <c r="AS194" i="1"/>
  <c r="AR195" i="1"/>
  <c r="AS195" i="1"/>
  <c r="AR196" i="1"/>
  <c r="AS196" i="1"/>
  <c r="AR197" i="1"/>
  <c r="AS197" i="1"/>
  <c r="AR198" i="1"/>
  <c r="AS198" i="1"/>
  <c r="AR199" i="1"/>
  <c r="AS199" i="1"/>
  <c r="AR200" i="1"/>
  <c r="AS200" i="1"/>
  <c r="AR201" i="1"/>
  <c r="AS201" i="1"/>
  <c r="AR202" i="1"/>
  <c r="AS202" i="1"/>
  <c r="AR203" i="1"/>
  <c r="AS203" i="1"/>
  <c r="AR204" i="1"/>
  <c r="AS204" i="1"/>
  <c r="AR205" i="1"/>
  <c r="AS205" i="1"/>
  <c r="AR206" i="1"/>
  <c r="AS206" i="1"/>
  <c r="AR207" i="1"/>
  <c r="AS207" i="1"/>
  <c r="AR208" i="1"/>
  <c r="AS208" i="1"/>
  <c r="AR209" i="1"/>
  <c r="AS209" i="1"/>
  <c r="AR210" i="1"/>
  <c r="AS210" i="1"/>
  <c r="AR211" i="1"/>
  <c r="AS211" i="1"/>
  <c r="AR212" i="1"/>
  <c r="AS212" i="1"/>
  <c r="AR213" i="1"/>
  <c r="AS213" i="1"/>
  <c r="AR214" i="1"/>
  <c r="AS214" i="1"/>
  <c r="AR215" i="1"/>
  <c r="AS215" i="1"/>
  <c r="AR216" i="1"/>
  <c r="AS216" i="1"/>
  <c r="AR217" i="1"/>
  <c r="AS217" i="1"/>
  <c r="AR218" i="1"/>
  <c r="AS218" i="1"/>
  <c r="AR219" i="1"/>
  <c r="AS219" i="1"/>
  <c r="AR220" i="1"/>
  <c r="AS220" i="1"/>
  <c r="AR221" i="1"/>
  <c r="AS221" i="1"/>
  <c r="AR222" i="1"/>
  <c r="AS222" i="1"/>
  <c r="AR223" i="1"/>
  <c r="AS223" i="1"/>
  <c r="AR224" i="1"/>
  <c r="AS224" i="1"/>
  <c r="AR225" i="1"/>
  <c r="AS225" i="1"/>
  <c r="AR226" i="1"/>
  <c r="AS226" i="1"/>
  <c r="AR227" i="1"/>
  <c r="AS227" i="1"/>
  <c r="AR228" i="1"/>
  <c r="AS228" i="1"/>
  <c r="AR229" i="1"/>
  <c r="AS229" i="1"/>
  <c r="AR230" i="1"/>
  <c r="AS230" i="1"/>
  <c r="AR231" i="1"/>
  <c r="AS231" i="1"/>
  <c r="AR232" i="1"/>
  <c r="AS232" i="1"/>
  <c r="AR233" i="1"/>
  <c r="AS233" i="1"/>
  <c r="AR234" i="1"/>
  <c r="AS234" i="1"/>
  <c r="AR235" i="1"/>
  <c r="AS235" i="1"/>
  <c r="AR236" i="1"/>
  <c r="AS236" i="1"/>
  <c r="AR237" i="1"/>
  <c r="AS237" i="1"/>
  <c r="AR238" i="1"/>
  <c r="AS238" i="1"/>
  <c r="AR239" i="1"/>
  <c r="AS239" i="1"/>
  <c r="AR240" i="1"/>
  <c r="AS240" i="1"/>
  <c r="AR241" i="1"/>
  <c r="AS241" i="1"/>
  <c r="AR242" i="1"/>
  <c r="AS242" i="1"/>
  <c r="AR243" i="1"/>
  <c r="AS243" i="1"/>
  <c r="AR244" i="1"/>
  <c r="AS244" i="1"/>
  <c r="AR245" i="1"/>
  <c r="AS245" i="1"/>
  <c r="AR246" i="1"/>
  <c r="AS246" i="1"/>
  <c r="AR247" i="1"/>
  <c r="AS247" i="1"/>
  <c r="AR248" i="1"/>
  <c r="AS248" i="1"/>
  <c r="AR249" i="1"/>
  <c r="AS249" i="1"/>
  <c r="AR250" i="1"/>
  <c r="AS250" i="1"/>
  <c r="AR251" i="1"/>
  <c r="AS251" i="1"/>
  <c r="AR252" i="1"/>
  <c r="AS252" i="1"/>
  <c r="AR253" i="1"/>
  <c r="AS253" i="1"/>
  <c r="AR254" i="1"/>
  <c r="AS254" i="1"/>
  <c r="AR255" i="1"/>
  <c r="AS255" i="1"/>
  <c r="AR256" i="1"/>
  <c r="AS256" i="1"/>
  <c r="AR257" i="1"/>
  <c r="AS257" i="1"/>
  <c r="AR258" i="1"/>
  <c r="AS258" i="1"/>
  <c r="AR259" i="1"/>
  <c r="AS259" i="1"/>
  <c r="AR260" i="1"/>
  <c r="AS260" i="1"/>
  <c r="AR261" i="1"/>
  <c r="AS261" i="1"/>
  <c r="AR262" i="1"/>
  <c r="AS262" i="1"/>
  <c r="AR263" i="1"/>
  <c r="AS263" i="1"/>
  <c r="AR264" i="1"/>
  <c r="AS264" i="1"/>
  <c r="AR265" i="1"/>
  <c r="AS265" i="1"/>
  <c r="AR266" i="1"/>
  <c r="AS266" i="1"/>
  <c r="AR267" i="1"/>
  <c r="AS267" i="1"/>
  <c r="AR268" i="1"/>
  <c r="AS268" i="1"/>
  <c r="AR269" i="1"/>
  <c r="AS269" i="1"/>
  <c r="AR270" i="1"/>
  <c r="AS270" i="1"/>
  <c r="AR271" i="1"/>
  <c r="AS271" i="1"/>
  <c r="AR272" i="1"/>
  <c r="AS272" i="1"/>
  <c r="AR273" i="1"/>
  <c r="AS273" i="1"/>
  <c r="AR274" i="1"/>
  <c r="AS274" i="1"/>
  <c r="AR275" i="1"/>
  <c r="AS275" i="1"/>
  <c r="AR276" i="1"/>
  <c r="AS276" i="1"/>
  <c r="AR277" i="1"/>
  <c r="AS277" i="1"/>
  <c r="AR278" i="1"/>
  <c r="AS278" i="1"/>
  <c r="AR279" i="1"/>
  <c r="AS279" i="1"/>
  <c r="AR280" i="1"/>
  <c r="AS280" i="1"/>
  <c r="AR281" i="1"/>
  <c r="AS281" i="1"/>
  <c r="AR282" i="1"/>
  <c r="AS282" i="1"/>
  <c r="AR283" i="1"/>
  <c r="AS283" i="1"/>
  <c r="AR284" i="1"/>
  <c r="AS284" i="1"/>
  <c r="AR285" i="1"/>
  <c r="AS285" i="1"/>
  <c r="AR286" i="1"/>
  <c r="AS286" i="1"/>
  <c r="AR287" i="1"/>
  <c r="AS287" i="1"/>
  <c r="AR288" i="1"/>
  <c r="AS288" i="1"/>
  <c r="AR289" i="1"/>
  <c r="AS289" i="1"/>
  <c r="AR290" i="1"/>
  <c r="AS290" i="1"/>
  <c r="AR291" i="1"/>
  <c r="AS291" i="1"/>
  <c r="AR292" i="1"/>
  <c r="AS292" i="1"/>
  <c r="AR293" i="1"/>
  <c r="AS293" i="1"/>
  <c r="AR294" i="1"/>
  <c r="AS294" i="1"/>
  <c r="AR295" i="1"/>
  <c r="AS295" i="1"/>
  <c r="AR296" i="1"/>
  <c r="AS296" i="1"/>
  <c r="AR297" i="1"/>
  <c r="AS297" i="1"/>
  <c r="AR298" i="1"/>
  <c r="AS298" i="1"/>
  <c r="AR299" i="1"/>
  <c r="AS299" i="1"/>
  <c r="AR300" i="1"/>
  <c r="AS300" i="1"/>
  <c r="AR301" i="1"/>
  <c r="AS301" i="1"/>
  <c r="AR302" i="1"/>
  <c r="AS302" i="1"/>
  <c r="AR303" i="1"/>
  <c r="AS303" i="1"/>
  <c r="AR304" i="1"/>
  <c r="AS304" i="1"/>
  <c r="AR305" i="1"/>
  <c r="AS305" i="1"/>
  <c r="AR306" i="1"/>
  <c r="AS306" i="1"/>
  <c r="AR307" i="1"/>
  <c r="AS307" i="1"/>
  <c r="AR308" i="1"/>
  <c r="AS308" i="1"/>
  <c r="AR309" i="1"/>
  <c r="AS309" i="1"/>
  <c r="AR310" i="1"/>
  <c r="AS310" i="1"/>
  <c r="AR311" i="1"/>
  <c r="AS311" i="1"/>
  <c r="AR312" i="1"/>
  <c r="AS312" i="1"/>
  <c r="AR313" i="1"/>
  <c r="AS313" i="1"/>
  <c r="AR314" i="1"/>
  <c r="AS314" i="1"/>
  <c r="AR315" i="1"/>
  <c r="AS315" i="1"/>
  <c r="AR316" i="1"/>
  <c r="AS316" i="1"/>
  <c r="AR317" i="1"/>
  <c r="AS317" i="1"/>
  <c r="AR318" i="1"/>
  <c r="AS318" i="1"/>
  <c r="AR319" i="1"/>
  <c r="AS319" i="1"/>
  <c r="AR320" i="1"/>
  <c r="AS320" i="1"/>
  <c r="AR321" i="1"/>
  <c r="AS321" i="1"/>
  <c r="AR322" i="1"/>
  <c r="AS322" i="1"/>
  <c r="AR323" i="1"/>
  <c r="AS323" i="1"/>
  <c r="AR324" i="1"/>
  <c r="AS324" i="1"/>
  <c r="AR325" i="1"/>
  <c r="AS325" i="1"/>
  <c r="AR326" i="1"/>
  <c r="AS326" i="1"/>
  <c r="AR327" i="1"/>
  <c r="AS327" i="1"/>
  <c r="AR328" i="1"/>
  <c r="AS328" i="1"/>
  <c r="AR329" i="1"/>
  <c r="AS329" i="1"/>
  <c r="AR330" i="1"/>
  <c r="AS330" i="1"/>
  <c r="AR331" i="1"/>
  <c r="AS331" i="1"/>
  <c r="AR332" i="1"/>
  <c r="AS332" i="1"/>
  <c r="AR333" i="1"/>
  <c r="AS333" i="1"/>
  <c r="AR334" i="1"/>
  <c r="AS334" i="1"/>
  <c r="AR335" i="1"/>
  <c r="AS335" i="1"/>
  <c r="AR336" i="1"/>
  <c r="AS336" i="1"/>
  <c r="AR337" i="1"/>
  <c r="AS337" i="1"/>
  <c r="AR4" i="1"/>
  <c r="AS4" i="1"/>
  <c r="M4" i="1"/>
  <c r="L21" i="1" l="1"/>
  <c r="L9" i="1"/>
  <c r="L17" i="1"/>
  <c r="L13" i="1"/>
  <c r="L153" i="1"/>
  <c r="L149" i="1"/>
  <c r="L147" i="1"/>
  <c r="L143" i="1"/>
  <c r="L139" i="1"/>
  <c r="L136" i="1"/>
  <c r="L35" i="1"/>
  <c r="L32" i="1"/>
  <c r="L25" i="1"/>
  <c r="L173" i="1"/>
  <c r="L168" i="1"/>
  <c r="L164" i="1"/>
  <c r="L160" i="1"/>
  <c r="L156" i="1"/>
  <c r="L37" i="1"/>
  <c r="L34" i="1"/>
  <c r="L30" i="1"/>
  <c r="L27" i="1"/>
  <c r="L19" i="1"/>
  <c r="L5" i="1"/>
  <c r="L184" i="1"/>
  <c r="L180" i="1"/>
  <c r="L176" i="1"/>
  <c r="L172" i="1"/>
  <c r="L170" i="1"/>
  <c r="L166" i="1"/>
  <c r="L162" i="1"/>
  <c r="L158" i="1"/>
  <c r="L155" i="1"/>
  <c r="L151" i="1"/>
  <c r="L145" i="1"/>
  <c r="L141" i="1"/>
  <c r="L138" i="1"/>
  <c r="L134" i="1"/>
  <c r="L132" i="1"/>
  <c r="L128" i="1"/>
  <c r="L124" i="1"/>
  <c r="L119" i="1"/>
  <c r="L116" i="1"/>
  <c r="L112" i="1"/>
  <c r="L108" i="1"/>
  <c r="L104" i="1"/>
  <c r="L90" i="1"/>
  <c r="L86" i="1"/>
  <c r="L82" i="1"/>
  <c r="L78" i="1"/>
  <c r="L74" i="1"/>
  <c r="L70" i="1"/>
  <c r="L66" i="1"/>
  <c r="L62" i="1"/>
  <c r="L59" i="1"/>
  <c r="L56" i="1"/>
  <c r="L52" i="1"/>
  <c r="L45" i="1"/>
  <c r="L41" i="1"/>
  <c r="L23" i="1"/>
  <c r="L130" i="1"/>
  <c r="L126" i="1"/>
  <c r="L123" i="1"/>
  <c r="L121" i="1"/>
  <c r="L117" i="1"/>
  <c r="L114" i="1"/>
  <c r="L110" i="1"/>
  <c r="L106" i="1"/>
  <c r="L100" i="1"/>
  <c r="L98" i="1"/>
  <c r="L95" i="1"/>
  <c r="L92" i="1"/>
  <c r="L88" i="1"/>
  <c r="L84" i="1"/>
  <c r="L80" i="1"/>
  <c r="L76" i="1"/>
  <c r="L72" i="1"/>
  <c r="L68" i="1"/>
  <c r="L64" i="1"/>
  <c r="L61" i="1"/>
  <c r="L57" i="1"/>
  <c r="L54" i="1"/>
  <c r="L50" i="1"/>
  <c r="L47" i="1"/>
  <c r="L43" i="1"/>
  <c r="L39" i="1"/>
  <c r="L205" i="1"/>
  <c r="L275" i="1"/>
  <c r="L268" i="1"/>
  <c r="L266" i="1"/>
  <c r="L260" i="1"/>
  <c r="L257" i="1"/>
  <c r="L254" i="1"/>
  <c r="L250" i="1"/>
  <c r="L245" i="1"/>
  <c r="L244" i="1"/>
  <c r="L240" i="1"/>
  <c r="L236" i="1"/>
  <c r="L234" i="1"/>
  <c r="L232" i="1"/>
  <c r="L228" i="1"/>
  <c r="L225" i="1"/>
  <c r="L216" i="1"/>
  <c r="L213" i="1"/>
  <c r="L204" i="1"/>
  <c r="L201" i="1"/>
  <c r="L197" i="1"/>
  <c r="L192" i="1"/>
  <c r="L191" i="1"/>
  <c r="L188" i="1"/>
  <c r="L15" i="1"/>
  <c r="L335" i="1"/>
  <c r="L331" i="1"/>
  <c r="L329" i="1"/>
  <c r="L323" i="1"/>
  <c r="L317" i="1"/>
  <c r="L309" i="1"/>
  <c r="L306" i="1"/>
  <c r="L304" i="1"/>
  <c r="L300" i="1"/>
  <c r="L296" i="1"/>
  <c r="L292" i="1"/>
  <c r="L288" i="1"/>
  <c r="L285" i="1"/>
  <c r="L281" i="1"/>
  <c r="L277" i="1"/>
  <c r="L274" i="1"/>
  <c r="L271" i="1"/>
  <c r="L118" i="1"/>
  <c r="L115" i="1"/>
  <c r="L111" i="1"/>
  <c r="L107" i="1"/>
  <c r="L103" i="1"/>
  <c r="L65" i="1"/>
  <c r="L48" i="1"/>
  <c r="L44" i="1"/>
  <c r="L36" i="1"/>
  <c r="L33" i="1"/>
  <c r="L29" i="1"/>
  <c r="L26" i="1"/>
  <c r="L22" i="1"/>
  <c r="L18" i="1"/>
  <c r="L14" i="1"/>
  <c r="L10" i="1"/>
  <c r="L6" i="1"/>
  <c r="L334" i="1"/>
  <c r="L330" i="1"/>
  <c r="L328" i="1"/>
  <c r="L326" i="1"/>
  <c r="L322" i="1"/>
  <c r="L320" i="1"/>
  <c r="L316" i="1"/>
  <c r="L313" i="1"/>
  <c r="L312" i="1"/>
  <c r="L308" i="1"/>
  <c r="L303" i="1"/>
  <c r="L299" i="1"/>
  <c r="L295" i="1"/>
  <c r="L291" i="1"/>
  <c r="L287" i="1"/>
  <c r="L284" i="1"/>
  <c r="L280" i="1"/>
  <c r="L273" i="1"/>
  <c r="L270" i="1"/>
  <c r="L264" i="1"/>
  <c r="L262" i="1"/>
  <c r="L258" i="1"/>
  <c r="L252" i="1"/>
  <c r="L248" i="1"/>
  <c r="L242" i="1"/>
  <c r="L241" i="1"/>
  <c r="L238" i="1"/>
  <c r="L235" i="1"/>
  <c r="L230" i="1"/>
  <c r="L224" i="1"/>
  <c r="L220" i="1"/>
  <c r="L218" i="1"/>
  <c r="L214" i="1"/>
  <c r="L211" i="1"/>
  <c r="L210" i="1"/>
  <c r="L207" i="1"/>
  <c r="L199" i="1"/>
  <c r="L195" i="1"/>
  <c r="L194" i="1"/>
  <c r="L190" i="1"/>
  <c r="L186" i="1"/>
  <c r="L182" i="1"/>
  <c r="L8" i="1"/>
  <c r="L319" i="1"/>
  <c r="L290" i="1"/>
  <c r="L247" i="1"/>
  <c r="L219" i="1"/>
  <c r="L202" i="1"/>
  <c r="L175" i="1"/>
  <c r="L318" i="1"/>
  <c r="L246" i="1"/>
  <c r="L233" i="1"/>
  <c r="L217" i="1"/>
  <c r="L198" i="1"/>
  <c r="L179" i="1"/>
  <c r="L321" i="1"/>
  <c r="L311" i="1"/>
  <c r="L294" i="1"/>
  <c r="L272" i="1"/>
  <c r="L251" i="1"/>
  <c r="L237" i="1"/>
  <c r="L222" i="1"/>
  <c r="L177" i="1"/>
  <c r="L337" i="1"/>
  <c r="L325" i="1"/>
  <c r="L298" i="1"/>
  <c r="L276" i="1"/>
  <c r="L269" i="1"/>
  <c r="L255" i="1"/>
  <c r="L223" i="1"/>
  <c r="L209" i="1"/>
  <c r="L189" i="1"/>
  <c r="L333" i="1"/>
  <c r="L315" i="1"/>
  <c r="L305" i="1"/>
  <c r="L283" i="1"/>
  <c r="L229" i="1"/>
  <c r="L193" i="1"/>
  <c r="L181" i="1"/>
  <c r="L302" i="1"/>
  <c r="L279" i="1"/>
  <c r="L261" i="1"/>
  <c r="L226" i="1"/>
  <c r="L185" i="1"/>
  <c r="L159" i="1"/>
  <c r="L146" i="1"/>
  <c r="L129" i="1"/>
  <c r="L113" i="1"/>
  <c r="L87" i="1"/>
  <c r="L71" i="1"/>
  <c r="L49" i="1"/>
  <c r="L20" i="1"/>
  <c r="L167" i="1"/>
  <c r="L148" i="1"/>
  <c r="L135" i="1"/>
  <c r="L120" i="1"/>
  <c r="L102" i="1"/>
  <c r="L91" i="1"/>
  <c r="L75" i="1"/>
  <c r="L38" i="1"/>
  <c r="L24" i="1"/>
  <c r="L310" i="1"/>
  <c r="L307" i="1"/>
  <c r="L297" i="1"/>
  <c r="L289" i="1"/>
  <c r="L282" i="1"/>
  <c r="L11" i="1"/>
  <c r="L7" i="1"/>
  <c r="L171" i="1"/>
  <c r="L142" i="1"/>
  <c r="L122" i="1"/>
  <c r="L109" i="1"/>
  <c r="L97" i="1"/>
  <c r="L83" i="1"/>
  <c r="L67" i="1"/>
  <c r="L60" i="1"/>
  <c r="L46" i="1"/>
  <c r="L31" i="1"/>
  <c r="L16" i="1"/>
  <c r="L336" i="1"/>
  <c r="L327" i="1"/>
  <c r="L314" i="1"/>
  <c r="L301" i="1"/>
  <c r="L293" i="1"/>
  <c r="L286" i="1"/>
  <c r="L278" i="1"/>
  <c r="L163" i="1"/>
  <c r="L152" i="1"/>
  <c r="L125" i="1"/>
  <c r="L105" i="1"/>
  <c r="L94" i="1"/>
  <c r="L79" i="1"/>
  <c r="L63" i="1"/>
  <c r="L53" i="1"/>
  <c r="L42" i="1"/>
  <c r="L28" i="1"/>
  <c r="L12" i="1"/>
  <c r="L332" i="1"/>
  <c r="L324" i="1"/>
  <c r="L267" i="1"/>
  <c r="L265" i="1"/>
  <c r="L263" i="1"/>
  <c r="L259" i="1"/>
  <c r="L256" i="1"/>
  <c r="L253" i="1"/>
  <c r="L249" i="1"/>
  <c r="L243" i="1"/>
  <c r="L239" i="1"/>
  <c r="L231" i="1"/>
  <c r="L227" i="1"/>
  <c r="L221" i="1"/>
  <c r="L215" i="1"/>
  <c r="L212" i="1"/>
  <c r="L208" i="1"/>
  <c r="L206" i="1"/>
  <c r="L203" i="1"/>
  <c r="L200" i="1"/>
  <c r="L196" i="1"/>
  <c r="L187" i="1"/>
  <c r="L183" i="1"/>
  <c r="L178" i="1"/>
  <c r="L174" i="1"/>
  <c r="L169" i="1"/>
  <c r="L165" i="1"/>
  <c r="L161" i="1"/>
  <c r="L157" i="1"/>
  <c r="L154" i="1"/>
  <c r="L150" i="1"/>
  <c r="L144" i="1"/>
  <c r="L140" i="1"/>
  <c r="L137" i="1"/>
  <c r="L133" i="1"/>
  <c r="L131" i="1"/>
  <c r="L127" i="1"/>
  <c r="L101" i="1"/>
  <c r="L99" i="1"/>
  <c r="L96" i="1"/>
  <c r="L93" i="1"/>
  <c r="L89" i="1"/>
  <c r="L85" i="1"/>
  <c r="L81" i="1"/>
  <c r="L77" i="1"/>
  <c r="L73" i="1"/>
  <c r="L69" i="1"/>
  <c r="L58" i="1"/>
  <c r="L55" i="1"/>
  <c r="L51" i="1"/>
  <c r="L40" i="1"/>
  <c r="L4" i="1"/>
  <c r="H404" i="1" l="1"/>
  <c r="H401" i="1" l="1"/>
  <c r="H402" i="1"/>
  <c r="H403" i="1"/>
  <c r="H399" i="1" l="1"/>
  <c r="H393" i="1"/>
  <c r="H394" i="1"/>
  <c r="H392" i="1"/>
  <c r="H400" i="1"/>
  <c r="H397" i="1"/>
  <c r="H395" i="1"/>
  <c r="H398" i="1"/>
  <c r="H396" i="1"/>
  <c r="H374" i="1" l="1"/>
  <c r="H313" i="1"/>
  <c r="H337" i="1"/>
  <c r="H386" i="1"/>
  <c r="H346" i="1"/>
  <c r="H312" i="1"/>
  <c r="H385" i="1"/>
  <c r="H324" i="1"/>
  <c r="H357" i="1"/>
  <c r="H326" i="1"/>
  <c r="H320" i="1"/>
  <c r="H318" i="1"/>
  <c r="H355" i="1"/>
  <c r="H336" i="1"/>
  <c r="H354" i="1"/>
  <c r="H349" i="1"/>
  <c r="H351" i="1"/>
  <c r="H366" i="1"/>
  <c r="H364" i="1"/>
  <c r="H381" i="1"/>
  <c r="H328" i="1"/>
  <c r="H319" i="1"/>
  <c r="H360" i="1"/>
  <c r="H304" i="1"/>
  <c r="H330" i="1"/>
  <c r="H315" i="1"/>
  <c r="H363" i="1"/>
  <c r="H377" i="1"/>
  <c r="H306" i="1"/>
  <c r="H311" i="1"/>
  <c r="H325" i="1"/>
  <c r="H308" i="1"/>
  <c r="H305" i="1"/>
  <c r="H309" i="1"/>
  <c r="H350" i="1"/>
  <c r="H353" i="1"/>
  <c r="H332" i="1"/>
  <c r="H339" i="1"/>
  <c r="H329" i="1"/>
  <c r="H359" i="1"/>
  <c r="H358" i="1"/>
  <c r="H334" i="1"/>
  <c r="H342" i="1"/>
  <c r="H347" i="1"/>
  <c r="H389" i="1"/>
  <c r="H378" i="1"/>
  <c r="H379" i="1"/>
  <c r="H387" i="1"/>
  <c r="H316" i="1"/>
  <c r="H323" i="1"/>
  <c r="H331" i="1"/>
  <c r="H343" i="1"/>
  <c r="H356" i="1"/>
  <c r="H340" i="1"/>
  <c r="H307" i="1"/>
  <c r="H317" i="1"/>
  <c r="H314" i="1"/>
  <c r="H333" i="1"/>
  <c r="H344" i="1"/>
  <c r="H310" i="1"/>
  <c r="H321" i="1"/>
  <c r="H327" i="1"/>
  <c r="H338" i="1"/>
  <c r="H348" i="1"/>
  <c r="H352" i="1"/>
  <c r="H361" i="1"/>
  <c r="H371" i="1"/>
  <c r="H375" i="1"/>
  <c r="H367" i="1"/>
  <c r="H380" i="1"/>
  <c r="H388" i="1"/>
  <c r="H390" i="1"/>
  <c r="H384" i="1"/>
  <c r="H391" i="1"/>
  <c r="H365" i="1"/>
  <c r="H376" i="1"/>
  <c r="H362" i="1"/>
  <c r="H368" i="1"/>
  <c r="H372" i="1"/>
  <c r="H322" i="1"/>
  <c r="H335" i="1"/>
  <c r="H345" i="1"/>
  <c r="H341" i="1"/>
  <c r="H369" i="1"/>
  <c r="H373" i="1"/>
  <c r="H370" i="1"/>
  <c r="H383" i="1"/>
  <c r="H382" i="1"/>
  <c r="H173" i="1" l="1"/>
  <c r="H274" i="1"/>
  <c r="H87" i="1"/>
  <c r="H95" i="1"/>
  <c r="H211" i="1"/>
  <c r="H233" i="1"/>
  <c r="H62" i="1"/>
  <c r="H84" i="1"/>
  <c r="H96" i="1"/>
  <c r="H92" i="1"/>
  <c r="H106" i="1"/>
  <c r="H261" i="1"/>
  <c r="H7" i="1"/>
  <c r="H17" i="1"/>
  <c r="H114" i="1"/>
  <c r="H165" i="1"/>
  <c r="H210" i="1"/>
  <c r="H273" i="1"/>
  <c r="H298" i="1"/>
  <c r="H303" i="1"/>
  <c r="H88" i="1"/>
  <c r="H148" i="1"/>
  <c r="H11" i="1"/>
  <c r="H227" i="1"/>
  <c r="H151" i="1"/>
  <c r="H161" i="1"/>
  <c r="H168" i="1"/>
  <c r="H226" i="1"/>
  <c r="H65" i="1"/>
  <c r="H71" i="1"/>
  <c r="H111" i="1"/>
  <c r="H52" i="1"/>
  <c r="H166" i="1"/>
  <c r="H251" i="1"/>
  <c r="H57" i="1"/>
  <c r="H73" i="1"/>
  <c r="H83" i="1"/>
  <c r="H137" i="1"/>
  <c r="H231" i="1"/>
  <c r="H12" i="1"/>
  <c r="H20" i="1"/>
  <c r="H265" i="1"/>
  <c r="H53" i="1"/>
  <c r="H278" i="1"/>
  <c r="H29" i="1"/>
  <c r="H34" i="1"/>
  <c r="H41" i="1"/>
  <c r="H144" i="1"/>
  <c r="H157" i="1"/>
  <c r="H172" i="1"/>
  <c r="H63" i="1"/>
  <c r="H67" i="1"/>
  <c r="H69" i="1"/>
  <c r="H128" i="1"/>
  <c r="H160" i="1"/>
  <c r="H197" i="1"/>
  <c r="H249" i="1"/>
  <c r="H85" i="1"/>
  <c r="H195" i="1"/>
  <c r="H299" i="1"/>
  <c r="H13" i="1"/>
  <c r="H18" i="1"/>
  <c r="H49" i="1"/>
  <c r="H54" i="1"/>
  <c r="H102" i="1"/>
  <c r="H105" i="1"/>
  <c r="H109" i="1"/>
  <c r="H110" i="1"/>
  <c r="H30" i="1"/>
  <c r="H133" i="1"/>
  <c r="H136" i="1"/>
  <c r="H32" i="1"/>
  <c r="H35" i="1"/>
  <c r="H75" i="1"/>
  <c r="H78" i="1"/>
  <c r="H90" i="1"/>
  <c r="H94" i="1"/>
  <c r="H116" i="1"/>
  <c r="H31" i="1"/>
  <c r="H48" i="1"/>
  <c r="H74" i="1"/>
  <c r="H118" i="1"/>
  <c r="H120" i="1"/>
  <c r="H122" i="1"/>
  <c r="H140" i="1"/>
  <c r="H149" i="1"/>
  <c r="H170" i="1"/>
  <c r="H190" i="1"/>
  <c r="H201" i="1"/>
  <c r="H243" i="1"/>
  <c r="H293" i="1"/>
  <c r="H286" i="1"/>
  <c r="H182" i="1"/>
  <c r="H184" i="1"/>
  <c r="H214" i="1"/>
  <c r="H292" i="1"/>
  <c r="H200" i="1"/>
  <c r="H240" i="1"/>
  <c r="H302" i="1"/>
  <c r="H222" i="1"/>
  <c r="H280" i="1"/>
  <c r="H189" i="1"/>
  <c r="H225" i="1"/>
  <c r="H230" i="1"/>
  <c r="H232" i="1"/>
  <c r="H270" i="1"/>
  <c r="H296" i="1"/>
  <c r="H21" i="1"/>
  <c r="H26" i="1"/>
  <c r="H15" i="1"/>
  <c r="H22" i="1"/>
  <c r="H61" i="1"/>
  <c r="H108" i="1"/>
  <c r="H112" i="1"/>
  <c r="H125" i="1"/>
  <c r="H58" i="1"/>
  <c r="H80" i="1"/>
  <c r="H93" i="1"/>
  <c r="H98" i="1"/>
  <c r="H37" i="1"/>
  <c r="H39" i="1"/>
  <c r="H47" i="1"/>
  <c r="H81" i="1"/>
  <c r="H100" i="1"/>
  <c r="H113" i="1"/>
  <c r="H117" i="1"/>
  <c r="H139" i="1"/>
  <c r="H143" i="1"/>
  <c r="H158" i="1"/>
  <c r="H68" i="1"/>
  <c r="H46" i="1"/>
  <c r="H50" i="1"/>
  <c r="H55" i="1"/>
  <c r="H70" i="1"/>
  <c r="H89" i="1"/>
  <c r="H150" i="1"/>
  <c r="H159" i="1"/>
  <c r="H115" i="1"/>
  <c r="H127" i="1"/>
  <c r="H42" i="1"/>
  <c r="H43" i="1"/>
  <c r="H51" i="1"/>
  <c r="H60" i="1"/>
  <c r="H64" i="1"/>
  <c r="H147" i="1"/>
  <c r="H171" i="1"/>
  <c r="H175" i="1"/>
  <c r="H177" i="1"/>
  <c r="H193" i="1"/>
  <c r="H194" i="1"/>
  <c r="H223" i="1"/>
  <c r="H246" i="1"/>
  <c r="H247" i="1"/>
  <c r="H250" i="1"/>
  <c r="H252" i="1"/>
  <c r="H264" i="1"/>
  <c r="H275" i="1"/>
  <c r="H281" i="1"/>
  <c r="H181" i="1"/>
  <c r="H276" i="1"/>
  <c r="H204" i="1"/>
  <c r="H209" i="1"/>
  <c r="H215" i="1"/>
  <c r="H221" i="1"/>
  <c r="H188" i="1"/>
  <c r="H191" i="1"/>
  <c r="H198" i="1"/>
  <c r="H199" i="1"/>
  <c r="H213" i="1"/>
  <c r="H224" i="1"/>
  <c r="H237" i="1"/>
  <c r="H262" i="1"/>
  <c r="H300" i="1"/>
  <c r="H301" i="1"/>
  <c r="H218" i="1"/>
  <c r="H219" i="1"/>
  <c r="H284" i="1"/>
  <c r="H192" i="1"/>
  <c r="H206" i="1"/>
  <c r="H208" i="1"/>
  <c r="H245" i="1"/>
  <c r="H23" i="1"/>
  <c r="H4" i="1"/>
  <c r="H5" i="1"/>
  <c r="H6" i="1"/>
  <c r="H14" i="1"/>
  <c r="H27" i="1"/>
  <c r="H24" i="1"/>
  <c r="H8" i="1"/>
  <c r="H9" i="1"/>
  <c r="H16" i="1"/>
  <c r="H28" i="1"/>
  <c r="H10" i="1"/>
  <c r="H25" i="1"/>
  <c r="H38" i="1"/>
  <c r="H33" i="1"/>
  <c r="H36" i="1"/>
  <c r="H40" i="1"/>
  <c r="H44" i="1"/>
  <c r="H45" i="1"/>
  <c r="H56" i="1"/>
  <c r="H59" i="1"/>
  <c r="H104" i="1"/>
  <c r="H72" i="1"/>
  <c r="H97" i="1"/>
  <c r="H126" i="1"/>
  <c r="H66" i="1"/>
  <c r="H77" i="1"/>
  <c r="H79" i="1"/>
  <c r="H82" i="1"/>
  <c r="H86" i="1"/>
  <c r="H123" i="1"/>
  <c r="H107" i="1"/>
  <c r="H76" i="1"/>
  <c r="H91" i="1"/>
  <c r="H99" i="1"/>
  <c r="H101" i="1"/>
  <c r="H103" i="1"/>
  <c r="H119" i="1"/>
  <c r="H138" i="1"/>
  <c r="H124" i="1"/>
  <c r="H145" i="1"/>
  <c r="H155" i="1"/>
  <c r="H163" i="1"/>
  <c r="H169" i="1"/>
  <c r="H142" i="1"/>
  <c r="H146" i="1"/>
  <c r="H152" i="1"/>
  <c r="H134" i="1"/>
  <c r="H121" i="1"/>
  <c r="H131" i="1"/>
  <c r="H135" i="1"/>
  <c r="H153" i="1"/>
  <c r="H154" i="1"/>
  <c r="H164" i="1"/>
  <c r="H167" i="1"/>
  <c r="H141" i="1"/>
  <c r="H156" i="1"/>
  <c r="H179" i="1"/>
  <c r="H174" i="1"/>
  <c r="H176" i="1"/>
  <c r="H178" i="1"/>
  <c r="H180" i="1"/>
  <c r="H185" i="1"/>
  <c r="H187" i="1"/>
  <c r="H183" i="1"/>
  <c r="H234" i="1"/>
  <c r="H236" i="1"/>
  <c r="H196" i="1"/>
  <c r="H202" i="1"/>
  <c r="H203" i="1"/>
  <c r="H216" i="1"/>
  <c r="H238" i="1"/>
  <c r="H220" i="1"/>
  <c r="H207" i="1"/>
  <c r="H212" i="1"/>
  <c r="H217" i="1"/>
  <c r="H228" i="1"/>
  <c r="H239" i="1"/>
  <c r="H248" i="1"/>
  <c r="H258" i="1"/>
  <c r="H267" i="1"/>
  <c r="H272" i="1"/>
  <c r="H282" i="1"/>
  <c r="H287" i="1"/>
  <c r="H235" i="1"/>
  <c r="H242" i="1"/>
  <c r="H256" i="1"/>
  <c r="H263" i="1"/>
  <c r="H285" i="1"/>
  <c r="H290" i="1"/>
  <c r="H295" i="1"/>
  <c r="H254" i="1"/>
  <c r="H291" i="1"/>
  <c r="H259" i="1"/>
  <c r="H288" i="1"/>
  <c r="H229" i="1"/>
  <c r="H244" i="1"/>
  <c r="H257" i="1"/>
  <c r="H266" i="1"/>
  <c r="H241" i="1"/>
  <c r="H253" i="1"/>
  <c r="H255" i="1"/>
  <c r="H260" i="1"/>
  <c r="H268" i="1"/>
  <c r="H271" i="1"/>
  <c r="H279" i="1"/>
  <c r="H289" i="1"/>
  <c r="H294" i="1"/>
  <c r="H297" i="1"/>
  <c r="H129" i="1"/>
  <c r="H130" i="1"/>
  <c r="H132" i="1"/>
  <c r="H162" i="1"/>
  <c r="H186" i="1"/>
  <c r="H205" i="1"/>
  <c r="H269" i="1"/>
  <c r="H277" i="1"/>
  <c r="H283" i="1"/>
  <c r="H19" i="1" l="1"/>
  <c r="J339" i="1" l="1"/>
  <c r="J48" i="1"/>
  <c r="J256" i="1"/>
  <c r="I178" i="1"/>
  <c r="I282" i="1"/>
  <c r="I7" i="1"/>
  <c r="I30" i="1"/>
  <c r="I169" i="1"/>
  <c r="I97" i="1"/>
  <c r="I288" i="1"/>
  <c r="I211" i="1"/>
  <c r="I75" i="1"/>
  <c r="I275" i="1"/>
  <c r="I50" i="1"/>
  <c r="I161" i="1"/>
  <c r="I171" i="1"/>
  <c r="I290" i="1"/>
  <c r="I27" i="1"/>
  <c r="I219" i="1"/>
  <c r="I118" i="1"/>
  <c r="I114" i="1"/>
  <c r="I52" i="1"/>
  <c r="I295" i="1"/>
  <c r="I351" i="1"/>
  <c r="I352" i="1"/>
  <c r="I320" i="1"/>
  <c r="I139" i="1"/>
  <c r="I65" i="1"/>
  <c r="I68" i="1"/>
  <c r="I19" i="1"/>
  <c r="I255" i="1"/>
  <c r="I9" i="1"/>
  <c r="I115" i="1"/>
  <c r="I83" i="1"/>
  <c r="I221" i="1"/>
  <c r="I116" i="1"/>
  <c r="I239" i="1"/>
  <c r="I304" i="1"/>
  <c r="I353" i="1"/>
  <c r="I38" i="1"/>
  <c r="I272" i="1"/>
  <c r="I86" i="1"/>
  <c r="I289" i="1"/>
  <c r="I18" i="1"/>
  <c r="I87" i="1"/>
  <c r="I74" i="1"/>
  <c r="I62" i="1"/>
  <c r="I177" i="1"/>
  <c r="I279" i="1"/>
  <c r="I287" i="1"/>
  <c r="I106" i="1"/>
  <c r="I196" i="1"/>
  <c r="I57" i="1"/>
  <c r="I273" i="1"/>
  <c r="I98" i="1"/>
  <c r="I350" i="1"/>
  <c r="I373" i="1"/>
  <c r="I153" i="1"/>
  <c r="I300" i="1"/>
  <c r="I267" i="1"/>
  <c r="I25" i="1"/>
  <c r="I398" i="1"/>
  <c r="I59" i="1"/>
  <c r="I299" i="1"/>
  <c r="I41" i="1"/>
  <c r="I91" i="1"/>
  <c r="I111" i="1"/>
  <c r="I78" i="1"/>
  <c r="I168" i="1"/>
  <c r="I67" i="1"/>
  <c r="I268" i="1"/>
  <c r="I402" i="1"/>
  <c r="I371" i="1"/>
  <c r="I368" i="1"/>
  <c r="I308" i="1"/>
  <c r="I199" i="1"/>
  <c r="I34" i="1"/>
  <c r="I249" i="1"/>
  <c r="I22" i="1"/>
  <c r="I180" i="1"/>
  <c r="I231" i="1"/>
  <c r="I202" i="1"/>
  <c r="I266" i="1"/>
  <c r="I10" i="1"/>
  <c r="I322" i="1"/>
  <c r="I150" i="1"/>
  <c r="I162" i="1"/>
  <c r="I366" i="1"/>
  <c r="I345" i="1"/>
  <c r="I376" i="1"/>
  <c r="I79" i="1"/>
  <c r="J178" i="1"/>
  <c r="J282" i="1"/>
  <c r="J7" i="1"/>
  <c r="J30" i="1"/>
  <c r="J169" i="1"/>
  <c r="J97" i="1"/>
  <c r="J288" i="1"/>
  <c r="J211" i="1"/>
  <c r="J75" i="1"/>
  <c r="J275" i="1"/>
  <c r="J50" i="1"/>
  <c r="J161" i="1"/>
  <c r="J171" i="1"/>
  <c r="J290" i="1"/>
  <c r="J27" i="1"/>
  <c r="J219" i="1"/>
  <c r="J118" i="1"/>
  <c r="J114" i="1"/>
  <c r="J52" i="1"/>
  <c r="J295" i="1"/>
  <c r="J351" i="1"/>
  <c r="J352" i="1"/>
  <c r="J320" i="1"/>
  <c r="J139" i="1"/>
  <c r="J65" i="1"/>
  <c r="J68" i="1"/>
  <c r="J19" i="1"/>
  <c r="J255" i="1"/>
  <c r="J9" i="1"/>
  <c r="J115" i="1"/>
  <c r="J83" i="1"/>
  <c r="J221" i="1"/>
  <c r="J116" i="1"/>
  <c r="J239" i="1"/>
  <c r="J304" i="1"/>
  <c r="J353" i="1"/>
  <c r="J38" i="1"/>
  <c r="J272" i="1"/>
  <c r="J86" i="1"/>
  <c r="J289" i="1"/>
  <c r="J18" i="1"/>
  <c r="J87" i="1"/>
  <c r="J74" i="1"/>
  <c r="J62" i="1"/>
  <c r="J177" i="1"/>
  <c r="J279" i="1"/>
  <c r="J287" i="1"/>
  <c r="J106" i="1"/>
  <c r="J196" i="1"/>
  <c r="J57" i="1"/>
  <c r="J273" i="1"/>
  <c r="J98" i="1"/>
  <c r="J350" i="1"/>
  <c r="J373" i="1"/>
  <c r="J153" i="1"/>
  <c r="J300" i="1"/>
  <c r="J267" i="1"/>
  <c r="J25" i="1"/>
  <c r="J398" i="1"/>
  <c r="J59" i="1"/>
  <c r="J299" i="1"/>
  <c r="J41" i="1"/>
  <c r="J91" i="1"/>
  <c r="J111" i="1"/>
  <c r="J78" i="1"/>
  <c r="J168" i="1"/>
  <c r="J67" i="1"/>
  <c r="J268" i="1"/>
  <c r="J402" i="1"/>
  <c r="J371" i="1"/>
  <c r="J368" i="1"/>
  <c r="J308" i="1"/>
  <c r="J199" i="1"/>
  <c r="J34" i="1"/>
  <c r="J249" i="1"/>
  <c r="J22" i="1"/>
  <c r="J180" i="1"/>
  <c r="J231" i="1"/>
  <c r="J202" i="1"/>
  <c r="J266" i="1"/>
  <c r="J10" i="1"/>
  <c r="J322" i="1"/>
  <c r="J150" i="1"/>
  <c r="J162" i="1"/>
  <c r="J366" i="1"/>
  <c r="J345" i="1"/>
  <c r="J376" i="1"/>
  <c r="J79" i="1"/>
  <c r="I280" i="1"/>
  <c r="I240" i="1"/>
  <c r="I293" i="1"/>
  <c r="I147" i="1"/>
  <c r="I228" i="1"/>
  <c r="I137" i="1"/>
  <c r="I39" i="1"/>
  <c r="I128" i="1"/>
  <c r="I292" i="1"/>
  <c r="I395" i="1"/>
  <c r="I319" i="1"/>
  <c r="I390" i="1"/>
  <c r="I354" i="1"/>
  <c r="I363" i="1"/>
  <c r="I113" i="1"/>
  <c r="I203" i="1"/>
  <c r="I294" i="1"/>
  <c r="I26" i="1"/>
  <c r="I141" i="1"/>
  <c r="I201" i="1"/>
  <c r="I17" i="1"/>
  <c r="I33" i="1"/>
  <c r="I263" i="1"/>
  <c r="I248" i="1"/>
  <c r="I123" i="1"/>
  <c r="I95" i="1"/>
  <c r="I64" i="1"/>
  <c r="I216" i="1"/>
  <c r="I303" i="1"/>
  <c r="I223" i="1"/>
  <c r="I126" i="1"/>
  <c r="I198" i="1"/>
  <c r="I336" i="1"/>
  <c r="I385" i="1"/>
  <c r="I386" i="1"/>
  <c r="I335" i="1"/>
  <c r="I146" i="1"/>
  <c r="I259" i="1"/>
  <c r="I71" i="1"/>
  <c r="I53" i="1"/>
  <c r="I167" i="1"/>
  <c r="I344" i="1"/>
  <c r="I387" i="1"/>
  <c r="I138" i="1"/>
  <c r="I144" i="1"/>
  <c r="I174" i="1"/>
  <c r="I222" i="1"/>
  <c r="I243" i="1"/>
  <c r="I140" i="1"/>
  <c r="I58" i="1"/>
  <c r="I220" i="1"/>
  <c r="I23" i="1"/>
  <c r="I194" i="1"/>
  <c r="I56" i="1"/>
  <c r="I145" i="1"/>
  <c r="I28" i="1"/>
  <c r="I77" i="1"/>
  <c r="I265" i="1"/>
  <c r="I307" i="1"/>
  <c r="I378" i="1"/>
  <c r="I334" i="1"/>
  <c r="I382" i="1"/>
  <c r="I315" i="1"/>
  <c r="I364" i="1"/>
  <c r="I132" i="1"/>
  <c r="I209" i="1"/>
  <c r="I190" i="1"/>
  <c r="I117" i="1"/>
  <c r="I44" i="1"/>
  <c r="I377" i="1"/>
  <c r="I374" i="1"/>
  <c r="I66" i="1"/>
  <c r="I121" i="1"/>
  <c r="I61" i="1"/>
  <c r="I261" i="1"/>
  <c r="I73" i="1"/>
  <c r="I207" i="1"/>
  <c r="I47" i="1"/>
  <c r="I173" i="1"/>
  <c r="I188" i="1"/>
  <c r="I327" i="1"/>
  <c r="I361" i="1"/>
  <c r="I313" i="1"/>
  <c r="I102" i="1"/>
  <c r="I32" i="1"/>
  <c r="I217" i="1"/>
  <c r="I55" i="1"/>
  <c r="I270" i="1"/>
  <c r="I15" i="1"/>
  <c r="I400" i="1"/>
  <c r="I384" i="1"/>
  <c r="I356" i="1"/>
  <c r="I318" i="1"/>
  <c r="I340" i="1"/>
  <c r="I347" i="1"/>
  <c r="I325" i="1"/>
  <c r="I112" i="1"/>
  <c r="I127" i="1"/>
  <c r="I182" i="1"/>
  <c r="J280" i="1"/>
  <c r="J240" i="1"/>
  <c r="J293" i="1"/>
  <c r="J147" i="1"/>
  <c r="J228" i="1"/>
  <c r="J137" i="1"/>
  <c r="J39" i="1"/>
  <c r="J128" i="1"/>
  <c r="J292" i="1"/>
  <c r="J395" i="1"/>
  <c r="J319" i="1"/>
  <c r="J390" i="1"/>
  <c r="J354" i="1"/>
  <c r="J363" i="1"/>
  <c r="J113" i="1"/>
  <c r="J203" i="1"/>
  <c r="J294" i="1"/>
  <c r="J26" i="1"/>
  <c r="J141" i="1"/>
  <c r="J201" i="1"/>
  <c r="J17" i="1"/>
  <c r="J33" i="1"/>
  <c r="J263" i="1"/>
  <c r="J248" i="1"/>
  <c r="J123" i="1"/>
  <c r="J95" i="1"/>
  <c r="J64" i="1"/>
  <c r="J216" i="1"/>
  <c r="J303" i="1"/>
  <c r="J223" i="1"/>
  <c r="J126" i="1"/>
  <c r="J198" i="1"/>
  <c r="J336" i="1"/>
  <c r="J385" i="1"/>
  <c r="J386" i="1"/>
  <c r="J335" i="1"/>
  <c r="J146" i="1"/>
  <c r="J259" i="1"/>
  <c r="J71" i="1"/>
  <c r="J53" i="1"/>
  <c r="J167" i="1"/>
  <c r="J344" i="1"/>
  <c r="J387" i="1"/>
  <c r="J138" i="1"/>
  <c r="J144" i="1"/>
  <c r="J174" i="1"/>
  <c r="J222" i="1"/>
  <c r="J243" i="1"/>
  <c r="J140" i="1"/>
  <c r="J58" i="1"/>
  <c r="J220" i="1"/>
  <c r="J23" i="1"/>
  <c r="J194" i="1"/>
  <c r="J56" i="1"/>
  <c r="J145" i="1"/>
  <c r="J28" i="1"/>
  <c r="J77" i="1"/>
  <c r="J265" i="1"/>
  <c r="J307" i="1"/>
  <c r="J378" i="1"/>
  <c r="J334" i="1"/>
  <c r="J382" i="1"/>
  <c r="J315" i="1"/>
  <c r="J364" i="1"/>
  <c r="J132" i="1"/>
  <c r="J209" i="1"/>
  <c r="J190" i="1"/>
  <c r="J117" i="1"/>
  <c r="J44" i="1"/>
  <c r="J377" i="1"/>
  <c r="J374" i="1"/>
  <c r="J66" i="1"/>
  <c r="J121" i="1"/>
  <c r="J61" i="1"/>
  <c r="J261" i="1"/>
  <c r="J73" i="1"/>
  <c r="J207" i="1"/>
  <c r="J47" i="1"/>
  <c r="J173" i="1"/>
  <c r="J188" i="1"/>
  <c r="J327" i="1"/>
  <c r="J361" i="1"/>
  <c r="J313" i="1"/>
  <c r="J102" i="1"/>
  <c r="J32" i="1"/>
  <c r="J217" i="1"/>
  <c r="J55" i="1"/>
  <c r="J270" i="1"/>
  <c r="J15" i="1"/>
  <c r="J400" i="1"/>
  <c r="J384" i="1"/>
  <c r="J356" i="1"/>
  <c r="J318" i="1"/>
  <c r="J340" i="1"/>
  <c r="J347" i="1"/>
  <c r="J325" i="1"/>
  <c r="J112" i="1"/>
  <c r="J127" i="1"/>
  <c r="J182" i="1"/>
  <c r="I250" i="1"/>
  <c r="I49" i="1"/>
  <c r="I189" i="1"/>
  <c r="I72" i="1"/>
  <c r="I193" i="1"/>
  <c r="I399" i="1"/>
  <c r="I393" i="1"/>
  <c r="I54" i="1"/>
  <c r="I229" i="1"/>
  <c r="I170" i="1"/>
  <c r="I258" i="1"/>
  <c r="I226" i="1"/>
  <c r="I186" i="1"/>
  <c r="I5" i="1"/>
  <c r="I85" i="1"/>
  <c r="I172" i="1"/>
  <c r="I234" i="1"/>
  <c r="I80" i="1"/>
  <c r="I125" i="1"/>
  <c r="I108" i="1"/>
  <c r="I269" i="1"/>
  <c r="I60" i="1"/>
  <c r="I326" i="1"/>
  <c r="I360" i="1"/>
  <c r="I341" i="1"/>
  <c r="I388" i="1"/>
  <c r="I135" i="1"/>
  <c r="I149" i="1"/>
  <c r="I245" i="1"/>
  <c r="I20" i="1"/>
  <c r="I262" i="1"/>
  <c r="I297" i="1"/>
  <c r="I101" i="1"/>
  <c r="I46" i="1"/>
  <c r="I233" i="1"/>
  <c r="I224" i="1"/>
  <c r="I122" i="1"/>
  <c r="I164" i="1"/>
  <c r="I133" i="1"/>
  <c r="I310" i="1"/>
  <c r="I323" i="1"/>
  <c r="I331" i="1"/>
  <c r="I89" i="1"/>
  <c r="I130" i="1"/>
  <c r="I104" i="1"/>
  <c r="I166" i="1"/>
  <c r="I254" i="1"/>
  <c r="I82" i="1"/>
  <c r="I6" i="1"/>
  <c r="I206" i="1"/>
  <c r="I158" i="1"/>
  <c r="I236" i="1"/>
  <c r="I81" i="1"/>
  <c r="I260" i="1"/>
  <c r="I200" i="1"/>
  <c r="I332" i="1"/>
  <c r="I314" i="1"/>
  <c r="I321" i="1"/>
  <c r="I367" i="1"/>
  <c r="I370" i="1"/>
  <c r="I160" i="1"/>
  <c r="I148" i="1"/>
  <c r="I278" i="1"/>
  <c r="I63" i="1"/>
  <c r="I179" i="1"/>
  <c r="I358" i="1"/>
  <c r="I346" i="1"/>
  <c r="I12" i="1"/>
  <c r="I40" i="1"/>
  <c r="I24" i="1"/>
  <c r="I70" i="1"/>
  <c r="I271" i="1"/>
  <c r="I286" i="1"/>
  <c r="I96" i="1"/>
  <c r="I11" i="1"/>
  <c r="I21" i="1"/>
  <c r="I401" i="1"/>
  <c r="I381" i="1"/>
  <c r="I317" i="1"/>
  <c r="I380" i="1"/>
  <c r="I343" i="1"/>
  <c r="I359" i="1"/>
  <c r="I375" i="1"/>
  <c r="I13" i="1"/>
  <c r="I93" i="1"/>
  <c r="I225" i="1"/>
  <c r="I176" i="1"/>
  <c r="I215" i="1"/>
  <c r="I281" i="1"/>
  <c r="I152" i="1"/>
  <c r="I210" i="1"/>
  <c r="I212" i="1"/>
  <c r="I396" i="1"/>
  <c r="I397" i="1"/>
  <c r="I355" i="1"/>
  <c r="I337" i="1"/>
  <c r="I306" i="1"/>
  <c r="I357" i="1"/>
  <c r="I383" i="1"/>
  <c r="I379" i="1"/>
  <c r="I100" i="1"/>
  <c r="I191" i="1"/>
  <c r="J250" i="1"/>
  <c r="J49" i="1"/>
  <c r="J189" i="1"/>
  <c r="J72" i="1"/>
  <c r="J193" i="1"/>
  <c r="J399" i="1"/>
  <c r="J393" i="1"/>
  <c r="J54" i="1"/>
  <c r="J229" i="1"/>
  <c r="J170" i="1"/>
  <c r="J258" i="1"/>
  <c r="J226" i="1"/>
  <c r="J186" i="1"/>
  <c r="J5" i="1"/>
  <c r="J85" i="1"/>
  <c r="J172" i="1"/>
  <c r="J234" i="1"/>
  <c r="J80" i="1"/>
  <c r="J125" i="1"/>
  <c r="J108" i="1"/>
  <c r="J269" i="1"/>
  <c r="J60" i="1"/>
  <c r="J326" i="1"/>
  <c r="J360" i="1"/>
  <c r="J341" i="1"/>
  <c r="J388" i="1"/>
  <c r="J135" i="1"/>
  <c r="J149" i="1"/>
  <c r="J245" i="1"/>
  <c r="J20" i="1"/>
  <c r="J262" i="1"/>
  <c r="J297" i="1"/>
  <c r="J101" i="1"/>
  <c r="J46" i="1"/>
  <c r="J233" i="1"/>
  <c r="J224" i="1"/>
  <c r="J122" i="1"/>
  <c r="J164" i="1"/>
  <c r="J133" i="1"/>
  <c r="J310" i="1"/>
  <c r="J323" i="1"/>
  <c r="J331" i="1"/>
  <c r="J89" i="1"/>
  <c r="J130" i="1"/>
  <c r="J104" i="1"/>
  <c r="J166" i="1"/>
  <c r="J254" i="1"/>
  <c r="J82" i="1"/>
  <c r="J6" i="1"/>
  <c r="J206" i="1"/>
  <c r="J158" i="1"/>
  <c r="J236" i="1"/>
  <c r="J81" i="1"/>
  <c r="J260" i="1"/>
  <c r="J200" i="1"/>
  <c r="J332" i="1"/>
  <c r="J314" i="1"/>
  <c r="J321" i="1"/>
  <c r="J367" i="1"/>
  <c r="J370" i="1"/>
  <c r="J160" i="1"/>
  <c r="J148" i="1"/>
  <c r="J278" i="1"/>
  <c r="J63" i="1"/>
  <c r="J179" i="1"/>
  <c r="J358" i="1"/>
  <c r="J346" i="1"/>
  <c r="J12" i="1"/>
  <c r="J40" i="1"/>
  <c r="J24" i="1"/>
  <c r="J70" i="1"/>
  <c r="J271" i="1"/>
  <c r="J286" i="1"/>
  <c r="J96" i="1"/>
  <c r="J11" i="1"/>
  <c r="J21" i="1"/>
  <c r="J401" i="1"/>
  <c r="J381" i="1"/>
  <c r="J317" i="1"/>
  <c r="J380" i="1"/>
  <c r="J343" i="1"/>
  <c r="J359" i="1"/>
  <c r="J375" i="1"/>
  <c r="J13" i="1"/>
  <c r="J93" i="1"/>
  <c r="J225" i="1"/>
  <c r="J176" i="1"/>
  <c r="J215" i="1"/>
  <c r="J281" i="1"/>
  <c r="J152" i="1"/>
  <c r="J210" i="1"/>
  <c r="J212" i="1"/>
  <c r="J396" i="1"/>
  <c r="J397" i="1"/>
  <c r="J355" i="1"/>
  <c r="J337" i="1"/>
  <c r="J306" i="1"/>
  <c r="J357" i="1"/>
  <c r="J383" i="1"/>
  <c r="J379" i="1"/>
  <c r="J100" i="1"/>
  <c r="J191" i="1"/>
  <c r="I187" i="1"/>
  <c r="I151" i="1"/>
  <c r="I283" i="1"/>
  <c r="I251" i="1"/>
  <c r="I90" i="1"/>
  <c r="I37" i="1"/>
  <c r="I205" i="1"/>
  <c r="I394" i="1"/>
  <c r="I316" i="1"/>
  <c r="I76" i="1"/>
  <c r="I230" i="1"/>
  <c r="I8" i="1"/>
  <c r="I105" i="1"/>
  <c r="I107" i="1"/>
  <c r="I175" i="1"/>
  <c r="I232" i="1"/>
  <c r="I181" i="1"/>
  <c r="I183" i="1"/>
  <c r="I252" i="1"/>
  <c r="I119" i="1"/>
  <c r="I134" i="1"/>
  <c r="I143" i="1"/>
  <c r="I264" i="1"/>
  <c r="I129" i="1"/>
  <c r="I246" i="1"/>
  <c r="I42" i="1"/>
  <c r="I165" i="1"/>
  <c r="I238" i="1"/>
  <c r="I277" i="1"/>
  <c r="I309" i="1"/>
  <c r="I362" i="1"/>
  <c r="I369" i="1"/>
  <c r="I45" i="1"/>
  <c r="I36" i="1"/>
  <c r="I110" i="1"/>
  <c r="I192" i="1"/>
  <c r="I244" i="1"/>
  <c r="I88" i="1"/>
  <c r="I204" i="1"/>
  <c r="I208" i="1"/>
  <c r="I253" i="1"/>
  <c r="I291" i="1"/>
  <c r="I131" i="1"/>
  <c r="I109" i="1"/>
  <c r="I14" i="1"/>
  <c r="I349" i="1"/>
  <c r="I328" i="1"/>
  <c r="I324" i="1"/>
  <c r="I84" i="1"/>
  <c r="I136" i="1"/>
  <c r="I237" i="1"/>
  <c r="I184" i="1"/>
  <c r="I29" i="1"/>
  <c r="I157" i="1"/>
  <c r="I155" i="1"/>
  <c r="I241" i="1"/>
  <c r="I247" i="1"/>
  <c r="I31" i="1"/>
  <c r="I124" i="1"/>
  <c r="I214" i="1"/>
  <c r="I154" i="1"/>
  <c r="I235" i="1"/>
  <c r="I35" i="1"/>
  <c r="I227" i="1"/>
  <c r="I298" i="1"/>
  <c r="I159" i="1"/>
  <c r="I156" i="1"/>
  <c r="I403" i="1"/>
  <c r="I365" i="1"/>
  <c r="I372" i="1"/>
  <c r="I338" i="1"/>
  <c r="I389" i="1"/>
  <c r="I120" i="1"/>
  <c r="I213" i="1"/>
  <c r="I16" i="1"/>
  <c r="I296" i="1"/>
  <c r="I242" i="1"/>
  <c r="I92" i="1"/>
  <c r="I301" i="1"/>
  <c r="I404" i="1"/>
  <c r="I348" i="1"/>
  <c r="I312" i="1"/>
  <c r="I305" i="1"/>
  <c r="I51" i="1"/>
  <c r="I274" i="1"/>
  <c r="I257" i="1"/>
  <c r="I43" i="1"/>
  <c r="I218" i="1"/>
  <c r="I99" i="1"/>
  <c r="I195" i="1"/>
  <c r="I142" i="1"/>
  <c r="I311" i="1"/>
  <c r="I329" i="1"/>
  <c r="I342" i="1"/>
  <c r="I391" i="1"/>
  <c r="I4" i="1"/>
  <c r="I69" i="1"/>
  <c r="I185" i="1"/>
  <c r="I285" i="1"/>
  <c r="I302" i="1"/>
  <c r="I163" i="1"/>
  <c r="I197" i="1"/>
  <c r="I276" i="1"/>
  <c r="I284" i="1"/>
  <c r="I392" i="1"/>
  <c r="I330" i="1"/>
  <c r="I333" i="1"/>
  <c r="I94" i="1"/>
  <c r="I103" i="1"/>
  <c r="I339" i="1"/>
  <c r="I48" i="1"/>
  <c r="I256" i="1"/>
  <c r="J187" i="1"/>
  <c r="J151" i="1"/>
  <c r="J283" i="1"/>
  <c r="J251" i="1"/>
  <c r="J90" i="1"/>
  <c r="J37" i="1"/>
  <c r="J205" i="1"/>
  <c r="J394" i="1"/>
  <c r="J316" i="1"/>
  <c r="J76" i="1"/>
  <c r="J230" i="1"/>
  <c r="J8" i="1"/>
  <c r="J105" i="1"/>
  <c r="J107" i="1"/>
  <c r="J175" i="1"/>
  <c r="J232" i="1"/>
  <c r="J181" i="1"/>
  <c r="J183" i="1"/>
  <c r="J252" i="1"/>
  <c r="J119" i="1"/>
  <c r="J134" i="1"/>
  <c r="J143" i="1"/>
  <c r="J264" i="1"/>
  <c r="J129" i="1"/>
  <c r="J246" i="1"/>
  <c r="J42" i="1"/>
  <c r="J165" i="1"/>
  <c r="J238" i="1"/>
  <c r="J277" i="1"/>
  <c r="J309" i="1"/>
  <c r="J362" i="1"/>
  <c r="J369" i="1"/>
  <c r="J45" i="1"/>
  <c r="J36" i="1"/>
  <c r="J110" i="1"/>
  <c r="J192" i="1"/>
  <c r="J244" i="1"/>
  <c r="J88" i="1"/>
  <c r="J204" i="1"/>
  <c r="J208" i="1"/>
  <c r="J253" i="1"/>
  <c r="J291" i="1"/>
  <c r="J131" i="1"/>
  <c r="J109" i="1"/>
  <c r="J14" i="1"/>
  <c r="J349" i="1"/>
  <c r="J328" i="1"/>
  <c r="J324" i="1"/>
  <c r="J84" i="1"/>
  <c r="J136" i="1"/>
  <c r="J237" i="1"/>
  <c r="J184" i="1"/>
  <c r="J29" i="1"/>
  <c r="J157" i="1"/>
  <c r="J155" i="1"/>
  <c r="J241" i="1"/>
  <c r="J247" i="1"/>
  <c r="J31" i="1"/>
  <c r="J124" i="1"/>
  <c r="J214" i="1"/>
  <c r="J154" i="1"/>
  <c r="J235" i="1"/>
  <c r="J35" i="1"/>
  <c r="J227" i="1"/>
  <c r="J298" i="1"/>
  <c r="J159" i="1"/>
  <c r="J156" i="1"/>
  <c r="J403" i="1"/>
  <c r="J365" i="1"/>
  <c r="J372" i="1"/>
  <c r="J338" i="1"/>
  <c r="J389" i="1"/>
  <c r="J120" i="1"/>
  <c r="J213" i="1"/>
  <c r="J16" i="1"/>
  <c r="J296" i="1"/>
  <c r="J242" i="1"/>
  <c r="J92" i="1"/>
  <c r="J301" i="1"/>
  <c r="J404" i="1"/>
  <c r="J348" i="1"/>
  <c r="J312" i="1"/>
  <c r="J305" i="1"/>
  <c r="J51" i="1"/>
  <c r="J274" i="1"/>
  <c r="J257" i="1"/>
  <c r="J43" i="1"/>
  <c r="J218" i="1"/>
  <c r="J99" i="1"/>
  <c r="J195" i="1"/>
  <c r="J142" i="1"/>
  <c r="J311" i="1"/>
  <c r="J329" i="1"/>
  <c r="J342" i="1"/>
  <c r="J391" i="1"/>
  <c r="J4" i="1"/>
  <c r="J69" i="1"/>
  <c r="J185" i="1"/>
  <c r="J285" i="1"/>
  <c r="J302" i="1"/>
  <c r="J163" i="1"/>
  <c r="J197" i="1"/>
  <c r="J276" i="1"/>
  <c r="J284" i="1"/>
  <c r="J392" i="1"/>
  <c r="J330" i="1"/>
  <c r="J333" i="1"/>
  <c r="J94" i="1"/>
  <c r="J103" i="1"/>
</calcChain>
</file>

<file path=xl/comments1.xml><?xml version="1.0" encoding="utf-8"?>
<comments xmlns="http://schemas.openxmlformats.org/spreadsheetml/2006/main">
  <authors>
    <author>Marco Rosa</author>
  </authors>
  <commentList>
    <comment ref="AR3" authorId="0" shapeId="0">
      <text>
        <r>
          <rPr>
            <b/>
            <sz val="9"/>
            <color indexed="81"/>
            <rFont val="Segoe UI"/>
            <family val="2"/>
          </rPr>
          <t>Marco Rosa:</t>
        </r>
        <r>
          <rPr>
            <sz val="9"/>
            <color indexed="81"/>
            <rFont val="Segoe UI"/>
            <family val="2"/>
          </rPr>
          <t xml:space="preserve">
Ordem de Compra para Novembro- Enviada em 05/10/25</t>
        </r>
      </text>
    </comment>
    <comment ref="AS3" authorId="0" shapeId="0">
      <text>
        <r>
          <rPr>
            <b/>
            <sz val="9"/>
            <color indexed="81"/>
            <rFont val="Segoe UI"/>
            <family val="2"/>
          </rPr>
          <t>Marco Rosa:</t>
        </r>
        <r>
          <rPr>
            <sz val="9"/>
            <color indexed="81"/>
            <rFont val="Segoe UI"/>
            <family val="2"/>
          </rPr>
          <t xml:space="preserve">
Ordem de compra para Outubro- Enviada em 05/10/25
</t>
        </r>
      </text>
    </comment>
  </commentList>
</comments>
</file>

<file path=xl/sharedStrings.xml><?xml version="1.0" encoding="utf-8"?>
<sst xmlns="http://schemas.openxmlformats.org/spreadsheetml/2006/main" count="18916" uniqueCount="5702">
  <si>
    <t>CÓDIGO</t>
  </si>
  <si>
    <t>DESCRIÇÃO</t>
  </si>
  <si>
    <t>21.23.02021</t>
  </si>
  <si>
    <t>WK 01</t>
  </si>
  <si>
    <t>WK 02</t>
  </si>
  <si>
    <t>WK 03</t>
  </si>
  <si>
    <t>WK 04</t>
  </si>
  <si>
    <t>WK 05</t>
  </si>
  <si>
    <t>ESTQ.S/OC</t>
  </si>
  <si>
    <t>OC'S METALFISA</t>
  </si>
  <si>
    <t>Data De Entrega dos Materiais</t>
  </si>
  <si>
    <t>OC</t>
  </si>
  <si>
    <t>PRODUTO</t>
  </si>
  <si>
    <t>NOME_FORNECEDOR</t>
  </si>
  <si>
    <t>DT_NEG</t>
  </si>
  <si>
    <t>QTDE_EM_ABERTO</t>
  </si>
  <si>
    <t>DT_NEG_AJ</t>
  </si>
  <si>
    <t>34.06.10000.03</t>
  </si>
  <si>
    <t>21.23.04655</t>
  </si>
  <si>
    <t>33.20.10044.01</t>
  </si>
  <si>
    <t>33.20.10050.01</t>
  </si>
  <si>
    <t>33.20.10147.01</t>
  </si>
  <si>
    <t>33.20.10238.01</t>
  </si>
  <si>
    <t>33.20.10335.01</t>
  </si>
  <si>
    <t>33.02.10037.01</t>
  </si>
  <si>
    <t>21.23.03306</t>
  </si>
  <si>
    <t>33.08.10148.00</t>
  </si>
  <si>
    <t>21.23.00235</t>
  </si>
  <si>
    <t>33.20.10227.02</t>
  </si>
  <si>
    <t>33.20.10307.02</t>
  </si>
  <si>
    <t>21.23.02279</t>
  </si>
  <si>
    <t>ORDEM DE COMPRA</t>
  </si>
  <si>
    <t>FOLLOW-UP</t>
  </si>
  <si>
    <t>21.23.02285</t>
  </si>
  <si>
    <t>33.20.10251.02</t>
  </si>
  <si>
    <t>33.20.10253.02</t>
  </si>
  <si>
    <t>33.20.10255.01</t>
  </si>
  <si>
    <t>33.12.10538.00</t>
  </si>
  <si>
    <t>TAMPA SUPERIOR LATERAL / 33.20.10227.02</t>
  </si>
  <si>
    <t>ACABAMENTO DO TUNEL 01 / 33.20.10255.01</t>
  </si>
  <si>
    <t>21.23.01132</t>
  </si>
  <si>
    <t>TRAVA DA ESTRUTURA FRONTAL \ AA_3188_02</t>
  </si>
  <si>
    <t>21.23.01141</t>
  </si>
  <si>
    <t>21.23.01172</t>
  </si>
  <si>
    <t>21.23.01295</t>
  </si>
  <si>
    <t>21.23.01301</t>
  </si>
  <si>
    <t>FECHAMENTO 02 SEM CORRIMAO \ AA_4496_00</t>
  </si>
  <si>
    <t>21.23.01302</t>
  </si>
  <si>
    <t>FECHAMENTO 01 SEM CORRIMAO \ AA_4497_00</t>
  </si>
  <si>
    <t>21.23.01312</t>
  </si>
  <si>
    <t>21.23.01313</t>
  </si>
  <si>
    <t>21.23.01314</t>
  </si>
  <si>
    <t>ACABAMENTO INTERNO MEIO \ AA_3310_01</t>
  </si>
  <si>
    <t>21.23.01315</t>
  </si>
  <si>
    <t>21.23.01323</t>
  </si>
  <si>
    <t>21.23.01329</t>
  </si>
  <si>
    <t>ACABAMENTO DA QUINA \ AA_3330_01</t>
  </si>
  <si>
    <t>21.23.01331</t>
  </si>
  <si>
    <t>TAMPA TRASEIRA \ AA_3334_01</t>
  </si>
  <si>
    <t>21.23.01468</t>
  </si>
  <si>
    <t>DISTANCIADOR RODIZIO \ AA_3476_04</t>
  </si>
  <si>
    <t>21.23.01662</t>
  </si>
  <si>
    <t>21.23.02019</t>
  </si>
  <si>
    <t>21.23.02022</t>
  </si>
  <si>
    <t>CONJ. TRAVESSA COLUNA_PERFIL 01 \ AA_7092_02</t>
  </si>
  <si>
    <t>21.23.02248</t>
  </si>
  <si>
    <t>SUPORTE VIDRO BODYSCAN \ AA_7251_00</t>
  </si>
  <si>
    <t>21.23.02254</t>
  </si>
  <si>
    <t>21.23.02263</t>
  </si>
  <si>
    <t>21.23.02276</t>
  </si>
  <si>
    <t>21.23.02281</t>
  </si>
  <si>
    <t>ACABAMENTO LATERAL 02 \ AA_9516_00</t>
  </si>
  <si>
    <t>21.23.02284</t>
  </si>
  <si>
    <t>21.23.02306</t>
  </si>
  <si>
    <t>21.23.02327</t>
  </si>
  <si>
    <t>21.23.02329</t>
  </si>
  <si>
    <t>21.23.02338</t>
  </si>
  <si>
    <t>21.23.02784</t>
  </si>
  <si>
    <t>QUADRO INTERNO PORTA \ AA_7619_00</t>
  </si>
  <si>
    <t>21.23.02785</t>
  </si>
  <si>
    <t>PECA EXTERNA DA PORTA 02 \ AA_7623_01</t>
  </si>
  <si>
    <t>21.23.02786</t>
  </si>
  <si>
    <t>PECA EXTERNA DA PORTA 03 \ AA_7624_00</t>
  </si>
  <si>
    <t>21.23.02787</t>
  </si>
  <si>
    <t>PECA EXTERNA DA PORTA 01 \ AA_7625_02</t>
  </si>
  <si>
    <t>21.23.02788</t>
  </si>
  <si>
    <t>PECA INTERNA DA PORTA 01 \ AA_7626_00</t>
  </si>
  <si>
    <t>21.23.02789</t>
  </si>
  <si>
    <t>21.23.02790</t>
  </si>
  <si>
    <t>21.23.04272</t>
  </si>
  <si>
    <t>21.23.04273</t>
  </si>
  <si>
    <t>FECHAMENTO DO ACABAMENTO SV \ AA_9537_01</t>
  </si>
  <si>
    <t>21.23.04292</t>
  </si>
  <si>
    <t>ACABAMENTO LATERAL ENTRADA 03 / AA_9544_02</t>
  </si>
  <si>
    <t>21.23.04506</t>
  </si>
  <si>
    <t>TRAVA PARA TRANSPORTE SUPERIOR / AA_9548_00</t>
  </si>
  <si>
    <t>21.23.04558</t>
  </si>
  <si>
    <t>21.23.04811</t>
  </si>
  <si>
    <t>21.23.04814</t>
  </si>
  <si>
    <t>21.23.04815</t>
  </si>
  <si>
    <t>21.23.04816</t>
  </si>
  <si>
    <t>21.23.04817</t>
  </si>
  <si>
    <t>33.08.10173.00</t>
  </si>
  <si>
    <t>CHAPA LATERAL COLIMADOR PRIMARIO / 33.08.10173.00</t>
  </si>
  <si>
    <t>33.08.10283.00</t>
  </si>
  <si>
    <t>ESTICADOR ROLETE NA ESTEIRA / 33.08.10283.00</t>
  </si>
  <si>
    <t>33.08.10285.00</t>
  </si>
  <si>
    <t>33.12.10598.00</t>
  </si>
  <si>
    <t>33.12.10601.00</t>
  </si>
  <si>
    <t>33.12.10607.00</t>
  </si>
  <si>
    <t>CHAPA FECHAMENTO MOVEL COLIMADOR SV / 33.20.10147.01</t>
  </si>
  <si>
    <t>ACABAMENTO ESTEIRA 01 / 33.20.10251.02</t>
  </si>
  <si>
    <t>ACABAMENTO ESTEIRA 02 / 33.20.10253.02</t>
  </si>
  <si>
    <t>BASE SOLDADA / 33.20.10307.02</t>
  </si>
  <si>
    <t>PORTAL SOLDADO / 33.20.10335.01</t>
  </si>
  <si>
    <t>33.20.10604.00</t>
  </si>
  <si>
    <t>34.06.10006.02</t>
  </si>
  <si>
    <t>035419</t>
  </si>
  <si>
    <t>036137</t>
  </si>
  <si>
    <t>13.03.00057</t>
  </si>
  <si>
    <t>13.03.00112</t>
  </si>
  <si>
    <t>21.23.01032</t>
  </si>
  <si>
    <t>21.23.02267</t>
  </si>
  <si>
    <t>21.23.02282</t>
  </si>
  <si>
    <t>21.23.02313</t>
  </si>
  <si>
    <t>21.23.02314</t>
  </si>
  <si>
    <t>33.12.10548.01</t>
  </si>
  <si>
    <t>33.12.10550.00</t>
  </si>
  <si>
    <t>33.12.10555.00</t>
  </si>
  <si>
    <t>33.12.10604.00</t>
  </si>
  <si>
    <t>33.03.10236.02</t>
  </si>
  <si>
    <t>21.23.03328</t>
  </si>
  <si>
    <t>33.03.10305.03</t>
  </si>
  <si>
    <t>21.23.04496</t>
  </si>
  <si>
    <t>21.23.02280</t>
  </si>
  <si>
    <t>DMC-376 - METALON SUPERIOR \ AA_0376_05</t>
  </si>
  <si>
    <t>SUPORTE LED \ AA_0223_09</t>
  </si>
  <si>
    <t>PERFIL ESTRUTURA / AA_1534_05</t>
  </si>
  <si>
    <t>PROTECAO ROLETE ESTICADOR DIREITO / 33.03.10236.02</t>
  </si>
  <si>
    <t>036605</t>
  </si>
  <si>
    <t>036620</t>
  </si>
  <si>
    <t>036622</t>
  </si>
  <si>
    <t>ACOPLAMENTO DO GEL SILICA \ AA_9529_01</t>
  </si>
  <si>
    <t>APOIO DA SOLENOIDE / AA_9998_06</t>
  </si>
  <si>
    <t>MONTAGEM DO ACABAMENTO FRONTAL SUPERIOR \ AA_9512_00</t>
  </si>
  <si>
    <t>MONTAGEM CONSOLE DO TUBO \ AA_4219_02</t>
  </si>
  <si>
    <t>FRENTE FECHAMENTO DO OBTURADOR / AA_6027_01</t>
  </si>
  <si>
    <t>TRAVA DO ROLAMENTO / AA_6028_01</t>
  </si>
  <si>
    <t>FECHAMENTO AO LADO DA CAIXA 01 \ AA_6046_01</t>
  </si>
  <si>
    <t>MONTAGEM DA CHAPA DE ACESSO \ AA_6064_01</t>
  </si>
  <si>
    <t>ACABAMENTO INFERIOR / AA_8607_00</t>
  </si>
  <si>
    <t>BASE PARA GAIOLA / 33.12.10538.00</t>
  </si>
  <si>
    <t>SOLDA CAIXA DETECTORA DV / 33.12.10550.00</t>
  </si>
  <si>
    <t>TAMPA / 33.12.10555.00</t>
  </si>
  <si>
    <t>ACABAMENTO DA ESTEIRA 03/ 33.12.10604.00</t>
  </si>
  <si>
    <t>ACABAMENTO LATERAL \ 03_0224_00</t>
  </si>
  <si>
    <t>CASE TECLADO SPECTRUM / 34.06.10000.03</t>
  </si>
  <si>
    <t>ACABAMENTO LATERAL \ AA_9514_00</t>
  </si>
  <si>
    <t>MAO FRANCESA \ 03_0281_00</t>
  </si>
  <si>
    <t>ACABAMENTO ESTEIRA MOTOPOLIA DIREITO / 33.02.10037.01</t>
  </si>
  <si>
    <t>ACABAMENTO DA ESTEIRA 01/ 33.12.10598.00</t>
  </si>
  <si>
    <t>CASE TECLADO ANTIVANDALISMO SEM BOTOEIRAS / 34.06.10006.02</t>
  </si>
  <si>
    <t>MONTAGEM DO DEGRAU \ AA_4229_03</t>
  </si>
  <si>
    <t>MONTAGEM DA TAMPA DO CONSOLE \ AA_4463_00</t>
  </si>
  <si>
    <t>CHAPA DE FECHAMENTO DO INTERCOMUNICADOR \ AA_4487_01</t>
  </si>
  <si>
    <t>ACABAMENTO DO FUNDO BODYSCAN \ AA_7257_01</t>
  </si>
  <si>
    <t>FECHAMENTO DO TETO INTERIOR \ AA_9515_00</t>
  </si>
  <si>
    <t>ACABAMENTO DA ESTEIRA 02 \ AA_9518_00</t>
  </si>
  <si>
    <t>FECHAMENTO SV AO LADO DA CAIXA 02 \ AA_6048_00</t>
  </si>
  <si>
    <t>ACABAMENTO TETO SUPERIOR \AA_9520_01</t>
  </si>
  <si>
    <t>ACAB. INFERIOR MOTOPOLIA ESQ. / AA_8610_01</t>
  </si>
  <si>
    <t>ACAB. INFERIOR MOTOPOLIA DIR. / AA_8613_01</t>
  </si>
  <si>
    <t>ACABAMENTO ROLETE LIVRE DIR. / AA_8616_01</t>
  </si>
  <si>
    <t>ACABAMENTO ROLETE LIVRE ESQ. / AA_8619_01</t>
  </si>
  <si>
    <t>ACABAMENTO ESTEIRA 02/ 33.12.10601.00</t>
  </si>
  <si>
    <t>ACABAMENTO DA ESTEIRA 04/ 33.12.10607.00</t>
  </si>
  <si>
    <t>ENTRADAS</t>
  </si>
  <si>
    <t>13.03.00065</t>
  </si>
  <si>
    <t>DMC-400 - RAMPA COLIMADOR FLATSCAN \ AA_0400_00</t>
  </si>
  <si>
    <t>13.03.00111</t>
  </si>
  <si>
    <t>DMC-216 - ACABAMENTO FRONTAL \ AA_0216_04</t>
  </si>
  <si>
    <t>13.03.00123</t>
  </si>
  <si>
    <t>DMC-274 - BANDEJA DA MESA \ AA_0274_08</t>
  </si>
  <si>
    <t>13.03.00143</t>
  </si>
  <si>
    <t>BASE SOLDADA \ AA_0387_08</t>
  </si>
  <si>
    <t>13.03.00166</t>
  </si>
  <si>
    <t>DMC-441 - BANDEJA MESA ESQ. FLATSCAN \ AA_0441_07</t>
  </si>
  <si>
    <t>13.03.00167</t>
  </si>
  <si>
    <t>APOIO MESA ROLETES FLATSCAN / AA_0444_02</t>
  </si>
  <si>
    <t>13.03.00212</t>
  </si>
  <si>
    <t>FIXACAO ROLETE SEM CELULA \ AA_0523_05</t>
  </si>
  <si>
    <t>13.03.00215</t>
  </si>
  <si>
    <t>FIXACAO ROLETE MENOR \ AA_0528_05</t>
  </si>
  <si>
    <t>13.03.00232</t>
  </si>
  <si>
    <t>DISTRIBUICAO CABOS 07 \ AA_1183_03</t>
  </si>
  <si>
    <t>21.23.00197</t>
  </si>
  <si>
    <t>PROLONGADOR PROTECAO 02 \ AA_1561_01</t>
  </si>
  <si>
    <t>21.23.00198</t>
  </si>
  <si>
    <t>SUPORTE DE APOIO L \ AA_1599_00</t>
  </si>
  <si>
    <t>21.23.00213</t>
  </si>
  <si>
    <t>CONJUNTO SUPORTE DO FLATPANEL \ AA_1601_03</t>
  </si>
  <si>
    <t>21.23.00221</t>
  </si>
  <si>
    <t>TAMPA PROTECAO TUBO \ AA_1616_02</t>
  </si>
  <si>
    <t>21.23.00222</t>
  </si>
  <si>
    <t>MANCAL \ AA_1617_01</t>
  </si>
  <si>
    <t>21.23.00879</t>
  </si>
  <si>
    <t>21.23.02053</t>
  </si>
  <si>
    <t>FIXACAO ARTICULADA ESTEIRA \ AA_3150_00</t>
  </si>
  <si>
    <t>21.23.02069</t>
  </si>
  <si>
    <t>TAMPA MEIO \ AA_7128_02</t>
  </si>
  <si>
    <t>21.23.02070</t>
  </si>
  <si>
    <t>TAMPA LATERAL DA PONTA DIREITA INGLES/PORTUGUES / AA_7129_03</t>
  </si>
  <si>
    <t>21.23.02071</t>
  </si>
  <si>
    <t>PROLONGADOR TAMPA SUPERIOR / AA_7130_02</t>
  </si>
  <si>
    <t>21.23.02073</t>
  </si>
  <si>
    <t>TAMPA SUPERIOR PONTA / AA_7132_02</t>
  </si>
  <si>
    <t>21.23.02078</t>
  </si>
  <si>
    <t>TAMPA DA LATERAL DO MEIO DIREITA / AA_7137_03</t>
  </si>
  <si>
    <t>21.23.02080</t>
  </si>
  <si>
    <t>TAMPA LATERAL DA PONTA REFORCO INGLES/PORTUGUES / AA_7139_05</t>
  </si>
  <si>
    <t>21.23.02083</t>
  </si>
  <si>
    <t>TAMPA LATERAL DA ESQUERDA INGLES/PORTUGUES / AA_7143_03</t>
  </si>
  <si>
    <t>21.23.02084</t>
  </si>
  <si>
    <t>ESTRUTURA MESA / AA_7144_04</t>
  </si>
  <si>
    <t>21.23.02087</t>
  </si>
  <si>
    <t>ESTRUTURA MESA FRENTE / AA_7147_04</t>
  </si>
  <si>
    <t>21.23.02089</t>
  </si>
  <si>
    <t>ACABAMENTO MOTOR BRANCO \ AA_7149_00</t>
  </si>
  <si>
    <t>21.23.02090</t>
  </si>
  <si>
    <t>COLUNA DOS ROLETES / AA_7150_05</t>
  </si>
  <si>
    <t>21.23.02091</t>
  </si>
  <si>
    <t>COLUNA DOS ROLETES II / AA_7151_05</t>
  </si>
  <si>
    <t>21.23.02096</t>
  </si>
  <si>
    <t>SUPORTE PARA TAMPA / AA_7156_01</t>
  </si>
  <si>
    <t>21.23.02098</t>
  </si>
  <si>
    <t>BASE DA PONTA / AA_7158_03</t>
  </si>
  <si>
    <t>21.23.02101</t>
  </si>
  <si>
    <t>21.23.02102</t>
  </si>
  <si>
    <t>APOIO DO TUNEL / AA_7162_03</t>
  </si>
  <si>
    <t>21.23.02105</t>
  </si>
  <si>
    <t>TAMPA LATERAL FRONTAL / AA_7165_02</t>
  </si>
  <si>
    <t>21.23.02107</t>
  </si>
  <si>
    <t>BANDEJA INTERNA FLATSCAN \ AA_7173_01</t>
  </si>
  <si>
    <t>21.23.02108</t>
  </si>
  <si>
    <t>PROLONGADOR TAMPA SUPERIOR / AA_7177_01</t>
  </si>
  <si>
    <t>21.23.03093</t>
  </si>
  <si>
    <t>PADIOLA FLATSCAN DV MOD. 03 / 86_0000_02</t>
  </si>
  <si>
    <t>21.23.03667</t>
  </si>
  <si>
    <t>ESTICADOR DA CORREIA \ AA_5733_00</t>
  </si>
  <si>
    <t>21.23.03668</t>
  </si>
  <si>
    <t>DISTANCIADOR DO CHUMBO CARRINHO \ AA_5735_00</t>
  </si>
  <si>
    <t>21.23.03670</t>
  </si>
  <si>
    <t>CALCO PARA MOTOR FLATPANEL \ AA_5739_00</t>
  </si>
  <si>
    <t>21.23.03918</t>
  </si>
  <si>
    <t>21.23.03919</t>
  </si>
  <si>
    <t>21.23.03992</t>
  </si>
  <si>
    <t>ARRUELA ESTICADOR DA CORREIA \ AA_5738_00</t>
  </si>
  <si>
    <t>21.23.04519</t>
  </si>
  <si>
    <t>21.23.04520</t>
  </si>
  <si>
    <t>21.23.04608</t>
  </si>
  <si>
    <t>TRAVE DA MESA DIREITA / AA_9710_03</t>
  </si>
  <si>
    <t>21.23.04635</t>
  </si>
  <si>
    <t>PERFIL DE FIXACAO TUNEL 02 / AA_9718_01</t>
  </si>
  <si>
    <t>33.03.10235.01</t>
  </si>
  <si>
    <t>33.03.10239.01</t>
  </si>
  <si>
    <t>PROTECAO MOTOPOLIA DIREITA / 33.03.10239.01</t>
  </si>
  <si>
    <t>33.08.10219.00</t>
  </si>
  <si>
    <t>TAMPA SUPERIOR / 33.08.10219.00</t>
  </si>
  <si>
    <t>33.08.10242.00</t>
  </si>
  <si>
    <t>TAMPA CENTRAL / 33.08.10242.00</t>
  </si>
  <si>
    <t>33.08.10244.00</t>
  </si>
  <si>
    <t>TAMPA CENTRAL SILKADO / 33.08.10244.00</t>
  </si>
  <si>
    <t>33.08.10245.02</t>
  </si>
  <si>
    <t>ACABAMENTO ESTEIRA / 33.08.10245.02</t>
  </si>
  <si>
    <t>33.08.10249.02</t>
  </si>
  <si>
    <t>33.08.10252.00</t>
  </si>
  <si>
    <t>ACABAMENTO DO TUNEL / 33.08.10252.00</t>
  </si>
  <si>
    <t>33.08.10275.00</t>
  </si>
  <si>
    <t>TAMPA CENTRAL / 33.08.10275.00</t>
  </si>
  <si>
    <t>33.08.10305.00</t>
  </si>
  <si>
    <t>SILKAGEM TAMPA LATERAL INGLES FRANCES / 33.08.10305.00</t>
  </si>
  <si>
    <t>33.08.10306.00</t>
  </si>
  <si>
    <t>33.08.10307.00</t>
  </si>
  <si>
    <t>SILKAGEM TAMPA LATERAL INGLES FRANCES / 33.08.10307.00</t>
  </si>
  <si>
    <t>33.08.10353.00</t>
  </si>
  <si>
    <t>SUPORTE TRAVA PORTA CAIXA L COMPLEMENTO / 33.08.10353.00</t>
  </si>
  <si>
    <t>33.14.10239.00</t>
  </si>
  <si>
    <t>GARRA SUPORTE EVS 4343 / 33.14.10239.00</t>
  </si>
  <si>
    <t>33.14.10255.00</t>
  </si>
  <si>
    <t>CHAPA DE FIXACAO DAS ROLDANAS - 0,75 / 33.14.10255.00</t>
  </si>
  <si>
    <t>33.14.10257.00</t>
  </si>
  <si>
    <t>TRILHO DO FLAT PANEL ESQUERDO - ZINCADO / 33.14.10257.00</t>
  </si>
  <si>
    <t>33.14.10258.00</t>
  </si>
  <si>
    <t>TRILHO DO FLAT PANEL DIREITO - ZINCADO / 33.14.10258.00</t>
  </si>
  <si>
    <t>33.14.10267.00</t>
  </si>
  <si>
    <t>FIXACAO DA DOBRADICA / 33.14.10267.00</t>
  </si>
  <si>
    <t>33.14.10271.00</t>
  </si>
  <si>
    <t>SUPORTE DE ACIONAMENTO DO MICRORRUPTOR TUBO / 33.14.10271.00</t>
  </si>
  <si>
    <t>33.20.10566.00</t>
  </si>
  <si>
    <t>TAMPA CENTRAL 01 / 33.20.10566.00</t>
  </si>
  <si>
    <t>33.99.10025.00</t>
  </si>
  <si>
    <t>DOBRADICA MOVEL TAMPA LATERAL / 33.99.10025.00</t>
  </si>
  <si>
    <t>037335</t>
  </si>
  <si>
    <t>037485</t>
  </si>
  <si>
    <t>34.01.10120.00</t>
  </si>
  <si>
    <t>TOTEM  PARA MONITOR ATE 27 POL / 34.01.10120.00</t>
  </si>
  <si>
    <t>21.23.01019</t>
  </si>
  <si>
    <t>TRAVA INFERIOR DO PINO \ AA_4205_01</t>
  </si>
  <si>
    <t>21.23.01617</t>
  </si>
  <si>
    <t>33.12.10398.00</t>
  </si>
  <si>
    <t>TRAVA DA BALANCA - DIREITA / 33.12.10398.00</t>
  </si>
  <si>
    <t>21.23.03300</t>
  </si>
  <si>
    <t>DISTANCIADOR ROLETE LIVRE \ 03_0218_00</t>
  </si>
  <si>
    <t>21.23.03932</t>
  </si>
  <si>
    <t>33.03.11409.01</t>
  </si>
  <si>
    <t>COLIMADOR 6040 3D - 33.03.11409.01</t>
  </si>
  <si>
    <t>33.20.10257.01</t>
  </si>
  <si>
    <t>ACABAMENTO DO TUNEL 02 / 33.20.10257.01</t>
  </si>
  <si>
    <t>037634</t>
  </si>
  <si>
    <t>ITEM_OC</t>
  </si>
  <si>
    <t>DESC_PRODUTO</t>
  </si>
  <si>
    <t>DT_EMISSAO</t>
  </si>
  <si>
    <t>RESPONSAVEL</t>
  </si>
  <si>
    <t>CUSTO_UNI</t>
  </si>
  <si>
    <t>CUSTO_TOTAL</t>
  </si>
  <si>
    <t>SITUACAO</t>
  </si>
  <si>
    <t>ARM</t>
  </si>
  <si>
    <t>0006</t>
  </si>
  <si>
    <t>METALFISA METALURGICA EIRELI LTDA</t>
  </si>
  <si>
    <t>MARCO</t>
  </si>
  <si>
    <t>APROVADO</t>
  </si>
  <si>
    <t>10</t>
  </si>
  <si>
    <t>0011</t>
  </si>
  <si>
    <t>0013</t>
  </si>
  <si>
    <t>0019</t>
  </si>
  <si>
    <t>0055</t>
  </si>
  <si>
    <t>0071</t>
  </si>
  <si>
    <t>0076</t>
  </si>
  <si>
    <t>0083</t>
  </si>
  <si>
    <t>0084</t>
  </si>
  <si>
    <t>0085</t>
  </si>
  <si>
    <t>0089</t>
  </si>
  <si>
    <t>0103</t>
  </si>
  <si>
    <t>0109</t>
  </si>
  <si>
    <t>0115</t>
  </si>
  <si>
    <t>0116</t>
  </si>
  <si>
    <t>0131</t>
  </si>
  <si>
    <t>0135</t>
  </si>
  <si>
    <t>0140</t>
  </si>
  <si>
    <t>0141</t>
  </si>
  <si>
    <t>0194</t>
  </si>
  <si>
    <t>0017</t>
  </si>
  <si>
    <t>0037</t>
  </si>
  <si>
    <t>0058</t>
  </si>
  <si>
    <t>0003</t>
  </si>
  <si>
    <t>0005</t>
  </si>
  <si>
    <t>0034</t>
  </si>
  <si>
    <t>0036</t>
  </si>
  <si>
    <t>0046</t>
  </si>
  <si>
    <t>0009</t>
  </si>
  <si>
    <t>0007</t>
  </si>
  <si>
    <t>0008</t>
  </si>
  <si>
    <t>0012</t>
  </si>
  <si>
    <t>0018</t>
  </si>
  <si>
    <t>0023</t>
  </si>
  <si>
    <t>0024</t>
  </si>
  <si>
    <t>0026</t>
  </si>
  <si>
    <t>0027</t>
  </si>
  <si>
    <t>0042</t>
  </si>
  <si>
    <t>0043</t>
  </si>
  <si>
    <t>0045</t>
  </si>
  <si>
    <t>0047</t>
  </si>
  <si>
    <t>0049</t>
  </si>
  <si>
    <t>0050</t>
  </si>
  <si>
    <t>0051</t>
  </si>
  <si>
    <t>0063</t>
  </si>
  <si>
    <t>0065</t>
  </si>
  <si>
    <t>0066</t>
  </si>
  <si>
    <t>0068</t>
  </si>
  <si>
    <t>0074</t>
  </si>
  <si>
    <t>0077</t>
  </si>
  <si>
    <t>0079</t>
  </si>
  <si>
    <t>0080</t>
  </si>
  <si>
    <t>0081</t>
  </si>
  <si>
    <t>0087</t>
  </si>
  <si>
    <t>0104</t>
  </si>
  <si>
    <t>0105</t>
  </si>
  <si>
    <t>0010</t>
  </si>
  <si>
    <t>0014</t>
  </si>
  <si>
    <t>0021</t>
  </si>
  <si>
    <t>0022</t>
  </si>
  <si>
    <t>0029</t>
  </si>
  <si>
    <t>0030</t>
  </si>
  <si>
    <t>0031</t>
  </si>
  <si>
    <t>0033</t>
  </si>
  <si>
    <t>0038</t>
  </si>
  <si>
    <t>0039</t>
  </si>
  <si>
    <t>0040</t>
  </si>
  <si>
    <t>0041</t>
  </si>
  <si>
    <t>0044</t>
  </si>
  <si>
    <t>0048</t>
  </si>
  <si>
    <t>0069</t>
  </si>
  <si>
    <t>0075</t>
  </si>
  <si>
    <t>0078</t>
  </si>
  <si>
    <t>0086</t>
  </si>
  <si>
    <t>0088</t>
  </si>
  <si>
    <t>0102</t>
  </si>
  <si>
    <t>0111</t>
  </si>
  <si>
    <t>0117</t>
  </si>
  <si>
    <t>0120</t>
  </si>
  <si>
    <t>0121</t>
  </si>
  <si>
    <t>0122</t>
  </si>
  <si>
    <t>0123</t>
  </si>
  <si>
    <t>0129</t>
  </si>
  <si>
    <t>0138</t>
  </si>
  <si>
    <t>0139</t>
  </si>
  <si>
    <t>0002</t>
  </si>
  <si>
    <t>0004</t>
  </si>
  <si>
    <t>0020</t>
  </si>
  <si>
    <t>0028</t>
  </si>
  <si>
    <t>0032</t>
  </si>
  <si>
    <t>0053</t>
  </si>
  <si>
    <t>0057</t>
  </si>
  <si>
    <t>0060</t>
  </si>
  <si>
    <t>0062</t>
  </si>
  <si>
    <t>0064</t>
  </si>
  <si>
    <t>0070</t>
  </si>
  <si>
    <t>0092</t>
  </si>
  <si>
    <t>0096</t>
  </si>
  <si>
    <t>0097</t>
  </si>
  <si>
    <t>0108</t>
  </si>
  <si>
    <t>0112</t>
  </si>
  <si>
    <t>0114</t>
  </si>
  <si>
    <t>0125</t>
  </si>
  <si>
    <t>0126</t>
  </si>
  <si>
    <t>0127</t>
  </si>
  <si>
    <t>0136</t>
  </si>
  <si>
    <t>0142</t>
  </si>
  <si>
    <t>0001</t>
  </si>
  <si>
    <t>0015</t>
  </si>
  <si>
    <t>0016</t>
  </si>
  <si>
    <t>0025</t>
  </si>
  <si>
    <t>0035</t>
  </si>
  <si>
    <t>0067</t>
  </si>
  <si>
    <t>0093</t>
  </si>
  <si>
    <t>0100</t>
  </si>
  <si>
    <t>0113</t>
  </si>
  <si>
    <t>0118</t>
  </si>
  <si>
    <t>0145</t>
  </si>
  <si>
    <t>0149</t>
  </si>
  <si>
    <t>0151</t>
  </si>
  <si>
    <t>21.23.01317</t>
  </si>
  <si>
    <t>21.23.01319</t>
  </si>
  <si>
    <t>21.23.01320</t>
  </si>
  <si>
    <t>21.23.01330</t>
  </si>
  <si>
    <t>21.23.01451</t>
  </si>
  <si>
    <t>21.23.02015</t>
  </si>
  <si>
    <t>TRAVESSA DA BASE_PERFIL 01 \ AA_7083_02</t>
  </si>
  <si>
    <t>FALTANTES FIRMES</t>
  </si>
  <si>
    <t>21.23.01296</t>
  </si>
  <si>
    <t>CANALETA DE CABOS \ AA_4488_03</t>
  </si>
  <si>
    <t>038053</t>
  </si>
  <si>
    <t>21.23.02268</t>
  </si>
  <si>
    <t>CHAPA DE FECHAMENTO SUPERIOR DA SOLENOIDE \ AA_4123_02</t>
  </si>
  <si>
    <t>21.23.02275</t>
  </si>
  <si>
    <t>ACABAMENTO LATERAL ENTRADA 01 DIREITA \ AA_9511_02</t>
  </si>
  <si>
    <t>ACABAMENTO LATERAL ENTRADA 03 / AA_9519_04</t>
  </si>
  <si>
    <t>21.23.02315</t>
  </si>
  <si>
    <t>FECHAMENTO LATERAL 01 \ AA_6029_00</t>
  </si>
  <si>
    <t>21.23.02316</t>
  </si>
  <si>
    <t>FECHAMENTO LATERAL 02 \ AA_6030_00</t>
  </si>
  <si>
    <t>21.23.02319</t>
  </si>
  <si>
    <t>21.23.02320</t>
  </si>
  <si>
    <t>TRAVA DO CHUMBO \ AA_6036_00</t>
  </si>
  <si>
    <t>21.23.02328</t>
  </si>
  <si>
    <t>FECHAMENTO AO LADO DA CAIXA 02 / AA_6047_01</t>
  </si>
  <si>
    <t>21.23.02331</t>
  </si>
  <si>
    <t>ACABAMENTO INTERNO DO TUNEL MAIOR INGL/PORT /  AA_6055_03</t>
  </si>
  <si>
    <t>21.23.03383</t>
  </si>
  <si>
    <t>ACABAMENTO CENTRAL \ 03_0515_02</t>
  </si>
  <si>
    <t>21.23.04688</t>
  </si>
  <si>
    <t>33.03.10214.01</t>
  </si>
  <si>
    <t>COLUNA ESTEIRA / 33.03.10214.01</t>
  </si>
  <si>
    <t>33.03.10275.00</t>
  </si>
  <si>
    <t>CAIXA COLIMADOR / 33.03.10275.00</t>
  </si>
  <si>
    <t>33.03.90024.00</t>
  </si>
  <si>
    <t>TAMPA SDAQ / 33.03.90024.00</t>
  </si>
  <si>
    <t>33.11.10702.00</t>
  </si>
  <si>
    <t>046695</t>
  </si>
  <si>
    <t>046755</t>
  </si>
  <si>
    <t>21.23.00958</t>
  </si>
  <si>
    <t>TRAVA 01 DA CAIXA DE DETECTORES \ AA_4031_01</t>
  </si>
  <si>
    <t>21.23.00998</t>
  </si>
  <si>
    <t>21.23.00999</t>
  </si>
  <si>
    <t>21.23.01000</t>
  </si>
  <si>
    <t>21.23.01001</t>
  </si>
  <si>
    <t>21.23.01035</t>
  </si>
  <si>
    <t>21.23.01036</t>
  </si>
  <si>
    <t>ESTICADOR PECA 01 \ AA_4693_00</t>
  </si>
  <si>
    <t>SUPORTE FONTE WEG / AA_10053_00</t>
  </si>
  <si>
    <t>21.23.04679</t>
  </si>
  <si>
    <t>21.23.04680</t>
  </si>
  <si>
    <t>REGUA DO OBTURADOR DV / AA_9990_01</t>
  </si>
  <si>
    <t>TAMPA SDAQ / 33.03.10305.03</t>
  </si>
  <si>
    <t>SUPORTE DO ROLETE / 33.08.10285.00</t>
  </si>
  <si>
    <t>SUPORTE S_CARD / 33.12.10548.01</t>
  </si>
  <si>
    <t>33.12.10612.00</t>
  </si>
  <si>
    <t>TRAVA PARA COLIMADOR DV - 33.12.10612.00</t>
  </si>
  <si>
    <t>33.12.10613.00</t>
  </si>
  <si>
    <t>REFORCO PARA FIXACAO DO COLIMADOR DV - 33.12.10613.00</t>
  </si>
  <si>
    <t>33.12.10616.00</t>
  </si>
  <si>
    <t>TRAVA SUPERIOR PARA COLIMADOR DV - 33.12.10616.00</t>
  </si>
  <si>
    <t>33.12.10617.01</t>
  </si>
  <si>
    <t>REFORCO PARA FIXACAO SUPERIOR DO COLIMADOR DV - 33.12.10617.01</t>
  </si>
  <si>
    <t>33.99.10023.00</t>
  </si>
  <si>
    <t>SUPORTE FIXACAO CPU 01 / 33.99.10023.00</t>
  </si>
  <si>
    <t>33.99.10024.00</t>
  </si>
  <si>
    <t>SUPORTE FIXACAO CPU 02 / 33.99.10024.00</t>
  </si>
  <si>
    <t>VICTOR</t>
  </si>
  <si>
    <t>CÓDIGO METALFISA</t>
  </si>
  <si>
    <t>047223</t>
  </si>
  <si>
    <t>13.03.00005</t>
  </si>
  <si>
    <t>APOIO DO TECLADO / AA_0196_10</t>
  </si>
  <si>
    <t>13.03.00055</t>
  </si>
  <si>
    <t>PERFIL SUPERIOR ESTRUTURA / AA_0373_05</t>
  </si>
  <si>
    <t>13.03.00056</t>
  </si>
  <si>
    <t>PERFIL SUPERIOR COM AFASTADOR / AA_0374_07</t>
  </si>
  <si>
    <t>13.03.00059</t>
  </si>
  <si>
    <t>DMC-384 - REGULADOR TAMPAS EXTERNAS \ AA_0384_01</t>
  </si>
  <si>
    <t>13.03.00062</t>
  </si>
  <si>
    <t>BANDEJA SUPORTE CPU / AA_0394_08</t>
  </si>
  <si>
    <t>13.03.00070</t>
  </si>
  <si>
    <t>13.03.00078</t>
  </si>
  <si>
    <t>DMC-261 - PROTECAO ENGRENAGEM DIREITA \ AA_0261_05</t>
  </si>
  <si>
    <t>13.03.00080</t>
  </si>
  <si>
    <t>DMC-273 - CHASSI PROT. MESA FLAT \ AA_0273_10</t>
  </si>
  <si>
    <t>13.03.00081</t>
  </si>
  <si>
    <t>DMC-275 - ACABAMENTO FLATSCAN \ AA_0275_05</t>
  </si>
  <si>
    <t>13.03.00083</t>
  </si>
  <si>
    <t>13.03.00110</t>
  </si>
  <si>
    <t>DMC-214 - FIXACAO DO VIDRO NA PORTA \ AA_0214_02</t>
  </si>
  <si>
    <t>13.03.00124</t>
  </si>
  <si>
    <t>DMC-281 - TAMPA PORTA MENOR ESQUERDA \ AA_0281_04</t>
  </si>
  <si>
    <t>13.03.00125</t>
  </si>
  <si>
    <t>DMC-282 - TAMPA PORTA MAIOR \ AA_0282_06</t>
  </si>
  <si>
    <t>13.03.00163</t>
  </si>
  <si>
    <t>DMC-437 - PORTA MENOR DIREITA FLATSCAN \ AA_0437_04</t>
  </si>
  <si>
    <t>13.03.00164</t>
  </si>
  <si>
    <t>DMC-438 - PORTA MAIOR DIREITA FLATSCAN \ AA_0438_04</t>
  </si>
  <si>
    <t>13.03.00165</t>
  </si>
  <si>
    <t>DMC-440 - CHASSI PROT. MESA ESQ. FLAT \ AA_0440_09</t>
  </si>
  <si>
    <t>13.03.00171</t>
  </si>
  <si>
    <t>DMC-451 - ACABAMENTO MAQUINA FLATSCAN \ AA_0451_00</t>
  </si>
  <si>
    <t>13.03.00186</t>
  </si>
  <si>
    <t>SUPORTE MICRO / AA_0462_04</t>
  </si>
  <si>
    <t>13.03.00191</t>
  </si>
  <si>
    <t>ACABAMENTO MESA FLATSCAN DIREITA / AA_0472_03</t>
  </si>
  <si>
    <t>13.03.00192</t>
  </si>
  <si>
    <t>ACABAMENTO MESA 02 FLATSCAN DIREITA / AA_0473_03</t>
  </si>
  <si>
    <t>13.03.00201</t>
  </si>
  <si>
    <t>DMC-262 - PROTECAO ENGRENAGEM ESQUERDA \ AA_0262_05</t>
  </si>
  <si>
    <t>13.03.00217</t>
  </si>
  <si>
    <t>DMC 564 - ACABAMENTO LATERAL.2 \ AA_0564_01</t>
  </si>
  <si>
    <t>13.03.00227</t>
  </si>
  <si>
    <t>DISTRIBUICAO CABO 02 \ AA_1178_02</t>
  </si>
  <si>
    <t>21.23.00201</t>
  </si>
  <si>
    <t>CONJUNTO FIXACAO ESTEIRA PORTA CABO \ AA_1577_02</t>
  </si>
  <si>
    <t>21.23.00202</t>
  </si>
  <si>
    <t>TAMPA DE PROTECAO TUBO LATERAL \ AA_1578_01</t>
  </si>
  <si>
    <t>21.23.00204</t>
  </si>
  <si>
    <t>TAMPA DE PROTECAO TUBO \ AA_1580_02</t>
  </si>
  <si>
    <t>21.23.00211</t>
  </si>
  <si>
    <t>TAMPA DA ESTRUTURA PAYNE \ AA_1596_02</t>
  </si>
  <si>
    <t>21.23.00212</t>
  </si>
  <si>
    <t>TAMPA ESTRUTURA PAYNE 02 \ AA_1597_02</t>
  </si>
  <si>
    <t>21.23.00215</t>
  </si>
  <si>
    <t>TAMPA FINAL \ AA_1603_02</t>
  </si>
  <si>
    <t>21.23.00224</t>
  </si>
  <si>
    <t>L DO TUBO / AA_1703_04</t>
  </si>
  <si>
    <t>21.23.00225</t>
  </si>
  <si>
    <t>FIXACAO MOTOR TUBO \ AA_1624_01</t>
  </si>
  <si>
    <t>21.23.00226</t>
  </si>
  <si>
    <t>CONJUNTO MOVIMENTO PAYNEL / AA_1704_06</t>
  </si>
  <si>
    <t>21.23.00233</t>
  </si>
  <si>
    <t>TUNEL FLATSCAN 2 DV \ AA_1528_01</t>
  </si>
  <si>
    <t>21.23.00239</t>
  </si>
  <si>
    <t>FIXACAO LED 02 \ AA_1546_04</t>
  </si>
  <si>
    <t>21.23.00241</t>
  </si>
  <si>
    <t>FIXACAO DO ACRILICO TUBO \ AA_1709_00</t>
  </si>
  <si>
    <t>21.23.00242</t>
  </si>
  <si>
    <t>FIXACAO DO ACRILICO PAYNEL \ AA_1710_00</t>
  </si>
  <si>
    <t>21.23.00250</t>
  </si>
  <si>
    <t>TAMPA DE PROTECAO TUBO \ AA_1573_01</t>
  </si>
  <si>
    <t>21.23.01466</t>
  </si>
  <si>
    <t>CAIXA DE DISTRIBUICAO 2 DIREITO / AA_0601_05</t>
  </si>
  <si>
    <t>21.23.02046</t>
  </si>
  <si>
    <t>ESTICADOR DO L \ AA_3142_00</t>
  </si>
  <si>
    <t>21.23.02051</t>
  </si>
  <si>
    <t>FIXACAO ACRILICO SUPERIOR \ AA_3147_01</t>
  </si>
  <si>
    <t>21.23.02052</t>
  </si>
  <si>
    <t>APOIO ESTEIRA \ AA_3149_00</t>
  </si>
  <si>
    <t>21.23.02054</t>
  </si>
  <si>
    <t>ENTRADA DA ESTEIRA \ AA_3151_00</t>
  </si>
  <si>
    <t>21.23.02055</t>
  </si>
  <si>
    <t>APOIO ESTEIRA PAYBE \ AA_3152_00</t>
  </si>
  <si>
    <t>21.23.02065</t>
  </si>
  <si>
    <t>21.23.02066</t>
  </si>
  <si>
    <t>ACABAMENTO MESA FLATSCAN ESQUERDA / AA_3173_00</t>
  </si>
  <si>
    <t>21.23.02068</t>
  </si>
  <si>
    <t>TAMPA LATERAL MEIO 02 / AA_7127_04</t>
  </si>
  <si>
    <t>21.23.02072</t>
  </si>
  <si>
    <t>TAMPA SUPERIOR PONTA / AA_7131_02</t>
  </si>
  <si>
    <t>21.23.02074</t>
  </si>
  <si>
    <t>TAMPA SUPERIOR MEIO / AA_7133_07</t>
  </si>
  <si>
    <t>21.23.02075</t>
  </si>
  <si>
    <t>TAMPA SUPERIOR PONTA 02 / AA_7134_02</t>
  </si>
  <si>
    <t>21.23.02077</t>
  </si>
  <si>
    <t>21.23.02079</t>
  </si>
  <si>
    <t>SUPORTE PARA TAMPA SUPERIOR \ AA_7138_02</t>
  </si>
  <si>
    <t>21.23.02081</t>
  </si>
  <si>
    <t>SUPORTE PARA TAMPA SUPERIOR \ AA_7140_01</t>
  </si>
  <si>
    <t>21.23.02082</t>
  </si>
  <si>
    <t>TRAVA O CABO HDMI \ AA_7142_00</t>
  </si>
  <si>
    <t>21.23.02085</t>
  </si>
  <si>
    <t>TRAVA AS PERNAS / AA_7145_02</t>
  </si>
  <si>
    <t>21.23.02086</t>
  </si>
  <si>
    <t>PERFIL DE FIXACAO TUNEL / AA_7146_03</t>
  </si>
  <si>
    <t>21.23.02088</t>
  </si>
  <si>
    <t>FIXACAO MOTOR SUSPENSO / AA_7148_03</t>
  </si>
  <si>
    <t>21.23.02092</t>
  </si>
  <si>
    <t>SUPORTE CAIXA PRETA / AA_7152_02</t>
  </si>
  <si>
    <t>21.23.02095</t>
  </si>
  <si>
    <t>DISTRIBUICAO CABOS_03 / AA_7155_01</t>
  </si>
  <si>
    <t>21.23.02097</t>
  </si>
  <si>
    <t>ESTRUTURA PARA PROTECAO DO TUBO / AA_7157_07</t>
  </si>
  <si>
    <t>21.23.02099</t>
  </si>
  <si>
    <t>SAIA DA BASE / AA_7159_02</t>
  </si>
  <si>
    <t>21.23.02100</t>
  </si>
  <si>
    <t>PROLONGADOR DA TAMPA MEIO / AA_7160_03</t>
  </si>
  <si>
    <t>21.23.02103</t>
  </si>
  <si>
    <t>APOIO DO TUNEL 02 / AA_7163_03</t>
  </si>
  <si>
    <t>21.23.02104</t>
  </si>
  <si>
    <t>SUPORTE MONITOR / AA_7164_03</t>
  </si>
  <si>
    <t>21.23.02106</t>
  </si>
  <si>
    <t>ENCAIXE DA LINGUETA TAMPA / AA_7169_03</t>
  </si>
  <si>
    <t>21.23.02415</t>
  </si>
  <si>
    <t>21.23.02753</t>
  </si>
  <si>
    <t>21.23.03669</t>
  </si>
  <si>
    <t>CORPO SUPERIOR CAMERA MULTILASER \ AA_5736_00</t>
  </si>
  <si>
    <t>21.23.03803</t>
  </si>
  <si>
    <t>SUPORTE TRAVA DA MOLA \ AA_5725_01</t>
  </si>
  <si>
    <t>21.23.04598</t>
  </si>
  <si>
    <t>SUPORTE FIM DE CURSO / AA_10147_00</t>
  </si>
  <si>
    <t>21.23.04599</t>
  </si>
  <si>
    <t>FIXACAO DA CAMERA / AA_10148_00</t>
  </si>
  <si>
    <t>21.23.04600</t>
  </si>
  <si>
    <t>FIXACAO DA CAMERA / AA_10150_00</t>
  </si>
  <si>
    <t>21.23.04601</t>
  </si>
  <si>
    <t>ABRACADEIRA MENOR PARA BOTA / AA_9699_01</t>
  </si>
  <si>
    <t>21.23.04602</t>
  </si>
  <si>
    <t>SUPORTE DO ACRILICO DO GERADOR VMI 02 / AA_9701_00</t>
  </si>
  <si>
    <t>21.23.04605</t>
  </si>
  <si>
    <t>DISTANCIADOR PARA O TUBO / AA_9702_00</t>
  </si>
  <si>
    <t>21.23.04617</t>
  </si>
  <si>
    <t>SUPORTE BANDEJA CPU / AA_8200_00</t>
  </si>
  <si>
    <t>21.23.04618</t>
  </si>
  <si>
    <t>CHAPA PROTECAO LATERAL / AA_8202_00</t>
  </si>
  <si>
    <t>21.23.04620</t>
  </si>
  <si>
    <t>SUPORTE MAIOR INTERLOCK / AA_8205_01</t>
  </si>
  <si>
    <t>21.23.04654</t>
  </si>
  <si>
    <t>ACABAMENTO DA CARRUAGEM SEM JANELA 02 / AA_9859_03</t>
  </si>
  <si>
    <t>21.23.04656</t>
  </si>
  <si>
    <t>ACABAMENTO DA CARRUAGEM COM JANELA ESQUERDA 02 / AA_9861_03</t>
  </si>
  <si>
    <t>21.23.04657</t>
  </si>
  <si>
    <t>ACABAMENTO DA CARRUAGEM COM JANELA DIREITA 02 / AA_9862_03</t>
  </si>
  <si>
    <t>21.23.04712</t>
  </si>
  <si>
    <t>BASE PORTA DOCUMENTO / AA_8430_00</t>
  </si>
  <si>
    <t>21.23.04713</t>
  </si>
  <si>
    <t>TAMPA PORTA DOCUMENTO / AA_8432_00</t>
  </si>
  <si>
    <t>33.14.10252.00</t>
  </si>
  <si>
    <t>CHAPA DE FIXACAO DAS ROLDANAS - 3,0 / 33.14.10252.00</t>
  </si>
  <si>
    <t>33.14.10254.00</t>
  </si>
  <si>
    <t>CHAPA DE FIXACAO DAS ROLDANAS - 1,5 / 33.14.10254.00</t>
  </si>
  <si>
    <t>33.14.10259.00</t>
  </si>
  <si>
    <t>SUPORTE DAS ROLDANAS TRATADO / 33.14.10259.00</t>
  </si>
  <si>
    <t>33.14.10263.00</t>
  </si>
  <si>
    <t>33.14.10265.00</t>
  </si>
  <si>
    <t>TAMPA DE PROTECAO DO TUBO / 33.14.10265.00</t>
  </si>
  <si>
    <t>33.14.10270.00</t>
  </si>
  <si>
    <t>SUPORTE DO MICRORRUPTOR TUBO/ 33.14.10270.00</t>
  </si>
  <si>
    <t>33.14.10274.00</t>
  </si>
  <si>
    <t>TAMPA LATERAL DA PONTA ESQUERDA INGLES / PORTUGUES / 33.14.10274.00</t>
  </si>
  <si>
    <t>0052</t>
  </si>
  <si>
    <t>0054</t>
  </si>
  <si>
    <t>0056</t>
  </si>
  <si>
    <t>0059</t>
  </si>
  <si>
    <t>0061</t>
  </si>
  <si>
    <t>0072</t>
  </si>
  <si>
    <t>0073</t>
  </si>
  <si>
    <t>0082</t>
  </si>
  <si>
    <t>0094</t>
  </si>
  <si>
    <t>0095</t>
  </si>
  <si>
    <t>0098</t>
  </si>
  <si>
    <t>0099</t>
  </si>
  <si>
    <t>0101</t>
  </si>
  <si>
    <t>0106</t>
  </si>
  <si>
    <t>0107</t>
  </si>
  <si>
    <t>0110</t>
  </si>
  <si>
    <t>0119</t>
  </si>
  <si>
    <t>0124</t>
  </si>
  <si>
    <t>0128</t>
  </si>
  <si>
    <t>0130</t>
  </si>
  <si>
    <t>0132</t>
  </si>
  <si>
    <t>0133</t>
  </si>
  <si>
    <t>0134</t>
  </si>
  <si>
    <t>0137</t>
  </si>
  <si>
    <t>0143</t>
  </si>
  <si>
    <t>0144</t>
  </si>
  <si>
    <t>21.23.01612</t>
  </si>
  <si>
    <t>21.23.02796</t>
  </si>
  <si>
    <t>21.23.02797</t>
  </si>
  <si>
    <t>33.12.10396.00</t>
  </si>
  <si>
    <t>SAPATA MESA DE ROLETES \ AA_3749_01</t>
  </si>
  <si>
    <t>047542</t>
  </si>
  <si>
    <t>33.20.10586.01</t>
  </si>
  <si>
    <t>047809</t>
  </si>
  <si>
    <t>13.01.00054</t>
  </si>
  <si>
    <t>DMC 457 - FIXACAO LAMPADA 02 \ AA_0457_02</t>
  </si>
  <si>
    <t>21.23.02093</t>
  </si>
  <si>
    <t>DISTRIBUICAO CABOS_06 / AA_7153_01</t>
  </si>
  <si>
    <t>21.23.03666</t>
  </si>
  <si>
    <t>PAINEL ELETRICO FLATSCAN \ AA_5732_02</t>
  </si>
  <si>
    <t>21.23.04593</t>
  </si>
  <si>
    <t>ABRACADEIRA DO CHUMBO DA BOTA / AA_9698_01</t>
  </si>
  <si>
    <t>21.23.04622</t>
  </si>
  <si>
    <t>CHAPA PROTECAO SUPERIOR GERADOR / AA_8208_01</t>
  </si>
  <si>
    <t>33.14.10244.01</t>
  </si>
  <si>
    <t>SUPORTE DA ESTEIRA / 33.14.10244.01</t>
  </si>
  <si>
    <t>0147</t>
  </si>
  <si>
    <t>0148</t>
  </si>
  <si>
    <t>33.14.10268.00</t>
  </si>
  <si>
    <t>SUPORTE DE ACIONAMENTO DO MICRORRUPTOR / 33.14.10268.00</t>
  </si>
  <si>
    <t>33.14.10269.00</t>
  </si>
  <si>
    <t>SUPORTE DO MICRORRUPTOR DETECTOR / 33.14.10269.00</t>
  </si>
  <si>
    <t>0150</t>
  </si>
  <si>
    <t>0152</t>
  </si>
  <si>
    <t>0153</t>
  </si>
  <si>
    <t>0154</t>
  </si>
  <si>
    <t>047973</t>
  </si>
  <si>
    <t>21.23.00924</t>
  </si>
  <si>
    <t>21.23.00964</t>
  </si>
  <si>
    <t>TAMPA INF. DA CAIXA L \ AA_4058_01</t>
  </si>
  <si>
    <t>21.23.00967</t>
  </si>
  <si>
    <t>TAMPA INF. DA CAIXA 01 \ AA_4065_01</t>
  </si>
  <si>
    <t>21.23.01054</t>
  </si>
  <si>
    <t>TAMPA SUP. DO COLIMADOR \ AA_4170_00</t>
  </si>
  <si>
    <t>21.23.01288</t>
  </si>
  <si>
    <t>FECHAMENTO LAT DO OBTURADOR DO CORPO INT \ AA_4475_01</t>
  </si>
  <si>
    <t>21.23.02249</t>
  </si>
  <si>
    <t>SUPORTE SENSOR BODYSCAN \ AA_7252_01</t>
  </si>
  <si>
    <t>21.23.02252</t>
  </si>
  <si>
    <t>TAMPA DE ACESSO BODYSCAN \ AA_7255_00</t>
  </si>
  <si>
    <t>21.23.02270</t>
  </si>
  <si>
    <t>FECHAMENTO LATERAL DO OBTURADOR DO CORPO INTEIRO \ AA_9507_00</t>
  </si>
  <si>
    <t>21.23.02272</t>
  </si>
  <si>
    <t>CHAPA DE FECHAMENTO SUPERIOR DA SOLENOIDE DO CORPO INTEIRO \ AA_9509_00</t>
  </si>
  <si>
    <t>21.23.02274</t>
  </si>
  <si>
    <t>ACABAMENTO LATERAL SUPERIOR CENTRAL ENTRADA \ AA_9510_00</t>
  </si>
  <si>
    <t>21.23.02283</t>
  </si>
  <si>
    <t>ESPACADOR DO ACABAMENTO \ AA_9517_00</t>
  </si>
  <si>
    <t>21.23.02286</t>
  </si>
  <si>
    <t>ACABAMENTO LATERAL MENOR 04 INGLES/PORTUGUES / AA_6246_02</t>
  </si>
  <si>
    <t>21.23.02290</t>
  </si>
  <si>
    <t>MONTAGEM DA BASE \ AA_4980_03</t>
  </si>
  <si>
    <t>21.23.02300</t>
  </si>
  <si>
    <t>FECHAMENTO DA ESTEIRA \ AA_6002_00</t>
  </si>
  <si>
    <t>21.23.02309</t>
  </si>
  <si>
    <t>CENTRAL DO OBTURADOR DO CORPO INTEIRO \ AA_6021_01</t>
  </si>
  <si>
    <t>21.23.02332</t>
  </si>
  <si>
    <t>21.23.02333</t>
  </si>
  <si>
    <t>SUPORTE ACESSO RAPIDO. \ AA_6059_00</t>
  </si>
  <si>
    <t>21.23.02334</t>
  </si>
  <si>
    <t>FECHAMENTO DO DISJUNTOR \ AA_6060_00</t>
  </si>
  <si>
    <t>21.23.02451</t>
  </si>
  <si>
    <t>ACABAMENTO LATERAL MENOR 01 INGLES/PORTUGUES / AA_6245_01</t>
  </si>
  <si>
    <t>21.23.03320</t>
  </si>
  <si>
    <t>TRAVA DE REGULAGEM \ 03_0269_00</t>
  </si>
  <si>
    <t>21.23.03329</t>
  </si>
  <si>
    <t>MAO FRANCESA \ 03_0282_00</t>
  </si>
  <si>
    <t>21.23.04169</t>
  </si>
  <si>
    <t>ESPACADOR DO ACABAMENTO 03 / AA_9055_00</t>
  </si>
  <si>
    <t>21.23.04494</t>
  </si>
  <si>
    <t>CENTRO DO OBTURADOR / AA_10047_01</t>
  </si>
  <si>
    <t>21.23.04495</t>
  </si>
  <si>
    <t>CAIXA SOLENOIDE / AA_10052_00</t>
  </si>
  <si>
    <t>21.23.04498</t>
  </si>
  <si>
    <t>TAMPA FONTE WEG / AA_10056_00</t>
  </si>
  <si>
    <t>21.23.04507</t>
  </si>
  <si>
    <t>TRAVA DO MEIO PARA TRANSPORTE / AA_9427_00</t>
  </si>
  <si>
    <t>21.23.04686</t>
  </si>
  <si>
    <t>21.23.04787</t>
  </si>
  <si>
    <t>FECHAMENTO 8  /  AA_8595_01</t>
  </si>
  <si>
    <t>21.23.04806</t>
  </si>
  <si>
    <t>FECHAMENTO INFERIOR DA ESTEIRA / AA_8602_01</t>
  </si>
  <si>
    <t>21.23.04807</t>
  </si>
  <si>
    <t>FECHAMENTO INFEERIOR DA ETEIRA 1 / AA_8603_01</t>
  </si>
  <si>
    <t>21.23.04808</t>
  </si>
  <si>
    <t>FECHAMENTO INFERIOR DA ESTEIRA 2 / AA_8604_01</t>
  </si>
  <si>
    <t>21.23.04809</t>
  </si>
  <si>
    <t>FECHAMENTO INFERIOR DA ESTEIRA 3 / AA_8605_02</t>
  </si>
  <si>
    <t>21.23.04813</t>
  </si>
  <si>
    <t>ACABAMENTO INFERIOR 2 / AA_8609_00</t>
  </si>
  <si>
    <t>33.02.10034.02</t>
  </si>
  <si>
    <t>ACABAMENTO ESTEIRA MOTOPOLIA ESQUERDO / 33.02.10034.02</t>
  </si>
  <si>
    <t>33.02.10037.02</t>
  </si>
  <si>
    <t>ACABAMENTO ESTEIRA MOTOPOLIA DIREITO / 33.02.10037.02</t>
  </si>
  <si>
    <t>33.03.10306.02</t>
  </si>
  <si>
    <t>MONTAGEM DE REBITE SDAQ / 33.03.10306.02</t>
  </si>
  <si>
    <t>33.03.10343.00</t>
  </si>
  <si>
    <t>SUPORTE PARA INVERSOR / 33.03.10343.00</t>
  </si>
  <si>
    <t>33.12.10520.05</t>
  </si>
  <si>
    <t>CAIXA "C" DETECTORES VMIS / 33.12.10520.05</t>
  </si>
  <si>
    <t>33.12.10537.00</t>
  </si>
  <si>
    <t>SUPORTE PLACA / 33.12.10537.00</t>
  </si>
  <si>
    <t>33.12.10542.00</t>
  </si>
  <si>
    <t>PORTA  CAIXA "C" / 33.12.10542.00</t>
  </si>
  <si>
    <t>33.12.10545.03</t>
  </si>
  <si>
    <t>SUPORTE PLACA / 33.12.10545.03</t>
  </si>
  <si>
    <t>33.12.10550.01</t>
  </si>
  <si>
    <t>SOLDA CAIXA DETECTORA DV / 33.12.10550.01</t>
  </si>
  <si>
    <t>33.12.10574.01</t>
  </si>
  <si>
    <t>CHAPA PIVOTANTE / 33.12.10574.01</t>
  </si>
  <si>
    <t>33.12.10580.00</t>
  </si>
  <si>
    <t>SUPORTE PARA FIXACAO DO ACABAMENTO B / 33.12.10580.00</t>
  </si>
  <si>
    <t>33.12.10582.01</t>
  </si>
  <si>
    <t>SUPORTE PARA FIXACAO DO ACABAMENTO C / 33.12.10582.01</t>
  </si>
  <si>
    <t>33.12.10584.00</t>
  </si>
  <si>
    <t>SUPORTE PARA FIXACAO DO ACABAMENTO D / 33.12.10584.00</t>
  </si>
  <si>
    <t>33.12.10590.01</t>
  </si>
  <si>
    <t>CORPO DA ESTEIRA - LADO DO ROLETE LIVRE / 33.12.10590.01</t>
  </si>
  <si>
    <t>33.12.10591.01</t>
  </si>
  <si>
    <t>CORPO DA ESTEIRA - CENTRAL / 33.12.10591.01</t>
  </si>
  <si>
    <t>33.12.10592.01</t>
  </si>
  <si>
    <t>CORPO DA ESTEIRA - LADO DA MOTOPOLIA / 33.12.10592.01</t>
  </si>
  <si>
    <t>33.12.10620.00</t>
  </si>
  <si>
    <t>TRAVESSA APOIO ESTEIRA BODYSCAN / 33.12.10620.00</t>
  </si>
  <si>
    <t>33.21.10547.01</t>
  </si>
  <si>
    <t>DETECTOR / 33.21.10547.01</t>
  </si>
  <si>
    <t>0155</t>
  </si>
  <si>
    <t>0156</t>
  </si>
  <si>
    <t>33.99.10053.00</t>
  </si>
  <si>
    <t>SUPORTE DE PLACA BIVOLT AUTOMATICO / 33.99.10053.00</t>
  </si>
  <si>
    <t>0157</t>
  </si>
  <si>
    <t>048098</t>
  </si>
  <si>
    <t>21.23.00935</t>
  </si>
  <si>
    <t>21.23.00949</t>
  </si>
  <si>
    <t>MONTAGEM DA TRAVA 01 \ AA_4017_02</t>
  </si>
  <si>
    <t>21.23.01002</t>
  </si>
  <si>
    <t>PESCOCO DO COLIMADO / AA_4149_04</t>
  </si>
  <si>
    <t>21.23.01023</t>
  </si>
  <si>
    <t>PEFIL L DO ACABAMENTO \ AA_4209_01</t>
  </si>
  <si>
    <t>21.23.01026</t>
  </si>
  <si>
    <t>DISTANCIADOR DOS ACABAMENTOS \ AA_4212_00</t>
  </si>
  <si>
    <t>21.23.01039</t>
  </si>
  <si>
    <t>SUPORTE DA PLACA DE LED \ AA_4245_03</t>
  </si>
  <si>
    <t>21.23.01287</t>
  </si>
  <si>
    <t>PECA DE ICAMENTO DO PESCOCO \ AA_4471_00</t>
  </si>
  <si>
    <t>21.23.01289</t>
  </si>
  <si>
    <t>FECHAMENTO DA LAT. DO PESCOCO \ AA_4476_02</t>
  </si>
  <si>
    <t>21.23.01290</t>
  </si>
  <si>
    <t>SUPORTE DO SINALEIRO \ AA_4477_00</t>
  </si>
  <si>
    <t>21.23.01298</t>
  </si>
  <si>
    <t>CHAPA FRENTE DO CHUMBO \ AA_4493_01</t>
  </si>
  <si>
    <t>21.23.02255</t>
  </si>
  <si>
    <t>COLUNA DE SUSTENTACAO 03 / AA_9524_05</t>
  </si>
  <si>
    <t>21.23.02258</t>
  </si>
  <si>
    <t>PERFIL SUPERIOR DA BASE\ AA_9533_02</t>
  </si>
  <si>
    <t>21.23.02260</t>
  </si>
  <si>
    <t>TRAVESSA DE SUSTENTACAO DA BASE 01 \ AA_9526_02</t>
  </si>
  <si>
    <t>21.23.02261</t>
  </si>
  <si>
    <t>MONTAGEM DA COLUNA DE SUSTENTACAO DA BASE 01 \ AA_9527_00</t>
  </si>
  <si>
    <t>21.23.02288</t>
  </si>
  <si>
    <t>TRAVA DO PAINEL ELETRICO \ AA_9532_01</t>
  </si>
  <si>
    <t>21.23.02289</t>
  </si>
  <si>
    <t>MONTAGEM DA COLUNA DE SUSTENTACAO 01 \ AA_4979_04</t>
  </si>
  <si>
    <t>21.23.02291</t>
  </si>
  <si>
    <t>TRAVA DA ESTRUTURA \ AA_4982_02</t>
  </si>
  <si>
    <t>21.23.02292</t>
  </si>
  <si>
    <t>MONTAGEM DA TRAVESSA \ AA_4984_00</t>
  </si>
  <si>
    <t>21.23.02304</t>
  </si>
  <si>
    <t>CHAPA FRONTAL DO PESCOCO DO COLIMADOR \ AA_6016_00</t>
  </si>
  <si>
    <t>21.23.02305</t>
  </si>
  <si>
    <t>TRAVA DA FRENTE DO PESCOCO DO COLIMADOR \ AA_6017_00</t>
  </si>
  <si>
    <t>21.23.02931</t>
  </si>
  <si>
    <t>ACABAMENTO ROLETE LIVRE ESQUERDO 5536 \ AA_5595_01</t>
  </si>
  <si>
    <t>048653</t>
  </si>
  <si>
    <t>TRAVA DA ESTRUTURA \ AA_3078_01</t>
  </si>
  <si>
    <t>21.23.00972</t>
  </si>
  <si>
    <t>TRAVA DO ROLETE \ AA_4089_00</t>
  </si>
  <si>
    <t>21.23.01042</t>
  </si>
  <si>
    <t>21.23.01043</t>
  </si>
  <si>
    <t>21.23.01140</t>
  </si>
  <si>
    <t>21.23.01150</t>
  </si>
  <si>
    <t>21.23.01324</t>
  </si>
  <si>
    <t>ACABAMENTO INTERIOR COM RASGO \ AA_3325_03</t>
  </si>
  <si>
    <t>21.23.01335</t>
  </si>
  <si>
    <t>ACABAMENTO SUPERIOR MENOR.DIREITO \ AA_3336_01</t>
  </si>
  <si>
    <t>21.23.02014</t>
  </si>
  <si>
    <t>21.23.02016</t>
  </si>
  <si>
    <t>21.23.02018</t>
  </si>
  <si>
    <t>ACABAMENTO INTERNO_PECA 04 \ AA_7086_00</t>
  </si>
  <si>
    <t>FIXACAO PEZINHO \ AA_7089_01</t>
  </si>
  <si>
    <t>21.23.02234</t>
  </si>
  <si>
    <t>21.23.02237</t>
  </si>
  <si>
    <t>21.23.02277</t>
  </si>
  <si>
    <t>MONTAGEM DO ACABAMENTO FRONTAL INFERIOR \ AA_9513_04</t>
  </si>
  <si>
    <t>21.23.02335</t>
  </si>
  <si>
    <t>21.23.02343</t>
  </si>
  <si>
    <t>MONTAGEM SUPORTE DO CONSOLE \ AA_6067_00</t>
  </si>
  <si>
    <t>21.23.03311</t>
  </si>
  <si>
    <t>ACABAMENTO LATERAL \ 03_0229_00</t>
  </si>
  <si>
    <t>21.23.03392</t>
  </si>
  <si>
    <t>FECHAMENTO DO ACESSO ELETRICO \ 03_0522_01</t>
  </si>
  <si>
    <t>21.23.04290</t>
  </si>
  <si>
    <t>ACABAMENTO INTERNO DO TUNEL MAIOR INGL/PORT /  AA_9542_02</t>
  </si>
  <si>
    <t>21.23.04810</t>
  </si>
  <si>
    <t>ACABAMENTO INFERIOR 1 / AA_8606_00</t>
  </si>
  <si>
    <t>21.23.04812</t>
  </si>
  <si>
    <t>ACABAMENTO INFERIOR 3 / AA_8608_00</t>
  </si>
  <si>
    <t>33.02.10044.02</t>
  </si>
  <si>
    <t>PROTECAO MOTOPOLIA ESQUERDA / 33.03.10235.01</t>
  </si>
  <si>
    <t>33.08.10291.02</t>
  </si>
  <si>
    <t>TAMPA LATERAL COM CAMERA / 33.08.10291.02</t>
  </si>
  <si>
    <t>33.12.10025.01</t>
  </si>
  <si>
    <t>ACABAMENTO DA CORTINA DE LUZ / 33.12.10025.01</t>
  </si>
  <si>
    <t>33.12.10027.01</t>
  </si>
  <si>
    <t>SUPORTE DA CORTINA DE LUZ / 33.12.10027.01</t>
  </si>
  <si>
    <t>33.20.10561.00</t>
  </si>
  <si>
    <t>TAMPA ACESSO ELETRICO / 33.20.10561.00</t>
  </si>
  <si>
    <t>0158</t>
  </si>
  <si>
    <t>TAMPA SUPERIOR CENTRAL / 33.20.10604.00</t>
  </si>
  <si>
    <t>0160</t>
  </si>
  <si>
    <t>0161</t>
  </si>
  <si>
    <t>33.99.10031.00</t>
  </si>
  <si>
    <t>PRENSA CABO / 33.99.10031.00</t>
  </si>
  <si>
    <t>0162</t>
  </si>
  <si>
    <t>33.99.10042.01</t>
  </si>
  <si>
    <t>ESTICADOR DA MOTOPOLIA / 33.99.10042.01</t>
  </si>
  <si>
    <t>13.03.00229</t>
  </si>
  <si>
    <t>21.23.02017</t>
  </si>
  <si>
    <t>21.23.03920</t>
  </si>
  <si>
    <t>33.03.10010.00</t>
  </si>
  <si>
    <t>33.12.10394.02</t>
  </si>
  <si>
    <t>33.12.10397.00</t>
  </si>
  <si>
    <t>34.12.10001.00</t>
  </si>
  <si>
    <t>DISTRIBUICAO CABOS 04 \ AA_1180_02</t>
  </si>
  <si>
    <t>ACABAMENTO LATERAL DV ESQUERDO CINZA / 33.03.10010.00</t>
  </si>
  <si>
    <t>SUPORTE DA BALANCA / 33.12.10394.02</t>
  </si>
  <si>
    <t>TRAVA FIXACAO LAMPADA LED 30CM 5W CABINE BODYSCAN / 34.12.10001.00</t>
  </si>
  <si>
    <t xml:space="preserve">MÊS DE PRODUÇÃO </t>
  </si>
  <si>
    <t>048978</t>
  </si>
  <si>
    <t>049117</t>
  </si>
  <si>
    <t>049151</t>
  </si>
  <si>
    <t>21.23.00969</t>
  </si>
  <si>
    <t>TRAVA DA ESTEIRA \ AA_4085_01</t>
  </si>
  <si>
    <t>21.23.00985</t>
  </si>
  <si>
    <t>21.23.00995</t>
  </si>
  <si>
    <t>FECHAMENTO DA JANELA DO OBTURADOR \ AA_4139_01</t>
  </si>
  <si>
    <t>21.23.02317</t>
  </si>
  <si>
    <t>21.23.02322</t>
  </si>
  <si>
    <t>MONTAGEM DAS PLACAS NA BANDEJA \ AA_6041_01</t>
  </si>
  <si>
    <t>21.23.04168</t>
  </si>
  <si>
    <t>ESPACADOR DO ACABAMENTO 02 / AA_9053_00</t>
  </si>
  <si>
    <t>21.23.04497</t>
  </si>
  <si>
    <t>SUPORTE FONTE WEG / AA_10055_02</t>
  </si>
  <si>
    <t>21.23.04779</t>
  </si>
  <si>
    <t>FECHAMENTO 9 /  AA_8587_00</t>
  </si>
  <si>
    <t>21.23.04786</t>
  </si>
  <si>
    <t>33.12.10578.01</t>
  </si>
  <si>
    <t>SUPORTE PARA FIXACAO DO ACABAMENTO A / 33.12.10578.01</t>
  </si>
  <si>
    <t>33.12.10595.00</t>
  </si>
  <si>
    <t>PROTECAO DO SENSOR/ 33.12.10595.00</t>
  </si>
  <si>
    <t>049265</t>
  </si>
  <si>
    <t>049266</t>
  </si>
  <si>
    <t>049278</t>
  </si>
  <si>
    <t>33.03.11184.01</t>
  </si>
  <si>
    <t>SUPORTE FONTE WEG / 33.03.11184.01</t>
  </si>
  <si>
    <t>33.11.10000.04</t>
  </si>
  <si>
    <t>BASE MODULO SV / 33.11.10000.04</t>
  </si>
  <si>
    <t>33.11.10012.01</t>
  </si>
  <si>
    <t>COLUNA PRINCIPAL / 33.11.10012.01</t>
  </si>
  <si>
    <t>33.11.10017.01</t>
  </si>
  <si>
    <t>COLUNA / 33.11.10017.01</t>
  </si>
  <si>
    <t>33.11.10020.01</t>
  </si>
  <si>
    <t>COLUNA SECUNDARIA TUNEL / 33.11.10020.01</t>
  </si>
  <si>
    <t>33.11.10023.00</t>
  </si>
  <si>
    <t>COLUNA SECUNDARIA / 33.11.10023.00</t>
  </si>
  <si>
    <t>33.11.10026.00</t>
  </si>
  <si>
    <t>COLUNA PONTA / 33.11.10026.00</t>
  </si>
  <si>
    <t>33.11.10029.03</t>
  </si>
  <si>
    <t>COLUNA / 33.11.10029.03</t>
  </si>
  <si>
    <t>33.11.10030.01</t>
  </si>
  <si>
    <t>SUPORTE ROLETE / 33.11.10030.01</t>
  </si>
  <si>
    <t>33.11.10033.00</t>
  </si>
  <si>
    <t>SUPORTE PESCOCO COLIMADOR / 33.11.10033.00</t>
  </si>
  <si>
    <t>33.11.10034.02</t>
  </si>
  <si>
    <t>SUPORTE ROLETE / 33.11.10034.02</t>
  </si>
  <si>
    <t>33.11.10036.00</t>
  </si>
  <si>
    <t>COLUNA SECUNDARIA PARA TAMPA / 33.11.10036.00</t>
  </si>
  <si>
    <t>33.11.10040.00</t>
  </si>
  <si>
    <t>BASE DO MOTOR/33.11.10040.00</t>
  </si>
  <si>
    <t>33.11.10042.00</t>
  </si>
  <si>
    <t>TRAVA DAS COLUNAS / 33.11.10042.00</t>
  </si>
  <si>
    <t>33.11.10046.00</t>
  </si>
  <si>
    <t>TRAVA SUPERIOR / 33.11.10046.00</t>
  </si>
  <si>
    <t>33.11.10047.01</t>
  </si>
  <si>
    <t>TRAVA DAS COLUNAS / 33.11.10047.01</t>
  </si>
  <si>
    <t>33.11.10050.01</t>
  </si>
  <si>
    <t>CAIXA L MODULO SV / 33.11.10050.01</t>
  </si>
  <si>
    <t>33.11.10061.01</t>
  </si>
  <si>
    <t>TAMPA CAIXA L VERTICAL SV 03 / 33.11.10061.01</t>
  </si>
  <si>
    <t>33.11.10064.01</t>
  </si>
  <si>
    <t>TAMPA CAIXA L VERTICAL SV 02 / 33.11.10064.01</t>
  </si>
  <si>
    <t>33.11.10065.01</t>
  </si>
  <si>
    <t>TAMPA VERTICAL CAIXA L SV / 33.11.10065.01</t>
  </si>
  <si>
    <t>33.11.10067.01</t>
  </si>
  <si>
    <t>TAMPA CAIXA L SV / 33.11.10067.01</t>
  </si>
  <si>
    <t>33.11.10069.00</t>
  </si>
  <si>
    <t>VEDACAO TAMPA CAIXA L SV / 33.11.10069.00</t>
  </si>
  <si>
    <t>33.11.10070.01</t>
  </si>
  <si>
    <t>TAMPA CAIXA L SV / 33.11.10070.01</t>
  </si>
  <si>
    <t>33.11.10072.00</t>
  </si>
  <si>
    <t>TAMPA  VEDACAO CAIXA L SV / 33.11.10072.00</t>
  </si>
  <si>
    <t>33.11.10073.00</t>
  </si>
  <si>
    <t>TRAVESSA COLUNA / 33.11.10073.00</t>
  </si>
  <si>
    <t>33.11.10074.00</t>
  </si>
  <si>
    <t>TUNEL / 33.11.10074.00</t>
  </si>
  <si>
    <t>33.11.10075.00</t>
  </si>
  <si>
    <t>TUNEL ACESSO MOTOR / 33.11.10075.00</t>
  </si>
  <si>
    <t>33.11.10076.01</t>
  </si>
  <si>
    <t>TUNEL / 33.11.10076.01</t>
  </si>
  <si>
    <t>33.11.10077.01</t>
  </si>
  <si>
    <t>TUNEL / 33.11.10077.01</t>
  </si>
  <si>
    <t>33.11.10078.01</t>
  </si>
  <si>
    <t>TUNEL SUPERIOR / 33.11.10078.01</t>
  </si>
  <si>
    <t>33.11.10079.01</t>
  </si>
  <si>
    <t>TUNEL SUPERIOR / 33.11.10079.01</t>
  </si>
  <si>
    <t>33.11.10080.02</t>
  </si>
  <si>
    <t>PESCOCO COLIMADOR SV / 33.11.10080.02</t>
  </si>
  <si>
    <t>33.11.10082.01</t>
  </si>
  <si>
    <t>SUPORTE RODA DENTADA / 33.11.10082.01</t>
  </si>
  <si>
    <t>33.11.10086.00</t>
  </si>
  <si>
    <t>TAMPA PESCOCO / 33.11.10086.00</t>
  </si>
  <si>
    <t>33.11.10088.00</t>
  </si>
  <si>
    <t>COLIAMDOR SV / 33.11.10088.00</t>
  </si>
  <si>
    <t>33.11.10090.00</t>
  </si>
  <si>
    <t>COLIMADOR / 33.11.10090.00</t>
  </si>
  <si>
    <t>33.11.10091.01</t>
  </si>
  <si>
    <t>FIXACAO PESCOCO / 33.11.10091.01</t>
  </si>
  <si>
    <t>33.11.10092.01</t>
  </si>
  <si>
    <t>FIXACAO PESCOCO / 33.11.10092.01</t>
  </si>
  <si>
    <t>33.11.10094.01</t>
  </si>
  <si>
    <t>PAINEL ELETRICO / 33.11.10094.01</t>
  </si>
  <si>
    <t>33.11.10101.00</t>
  </si>
  <si>
    <t>TRAVESSA / 33.11.10101.00</t>
  </si>
  <si>
    <t>33.11.10126.00</t>
  </si>
  <si>
    <t>SUPORTE DOS ROLETES / 33.11.10126.00</t>
  </si>
  <si>
    <t>33.11.10129.00</t>
  </si>
  <si>
    <t>SUPORTE CAIXA L / 33.11.10129.00</t>
  </si>
  <si>
    <t>33.11.10130.00</t>
  </si>
  <si>
    <t>SUPORTE CAIXA L / 33.11.10130.00</t>
  </si>
  <si>
    <t>33.11.10135.03</t>
  </si>
  <si>
    <t>BASE MODULO DV / 33.11.10135.03</t>
  </si>
  <si>
    <t>33.11.10139.01</t>
  </si>
  <si>
    <t>TRAVA DAS COLUNAS / 33.11.10139.01</t>
  </si>
  <si>
    <t>33.11.10145.01</t>
  </si>
  <si>
    <t>COLUNA / 33.11.10145.01</t>
  </si>
  <si>
    <t>33.11.10147.01</t>
  </si>
  <si>
    <t>COLUNA / 33.11.10147.01</t>
  </si>
  <si>
    <t>33.11.10148.01</t>
  </si>
  <si>
    <t>COLUNA / 33.11.10148.01</t>
  </si>
  <si>
    <t>33.11.10149.01</t>
  </si>
  <si>
    <t>COLUNA / 33.11.10149.01</t>
  </si>
  <si>
    <t>33.11.10150.00</t>
  </si>
  <si>
    <t>COLUNA / 33.11.10150.00</t>
  </si>
  <si>
    <t>33.11.10160.01</t>
  </si>
  <si>
    <t>VEDACAO MODULO / 33.11.10160.01</t>
  </si>
  <si>
    <t>33.11.10162.00</t>
  </si>
  <si>
    <t>COLUNA SECUNDARIA TUNEL ESQUERDA / 33.11.10162.00</t>
  </si>
  <si>
    <t>33.11.10170.00</t>
  </si>
  <si>
    <t>CHAPA DO TUNEL / 33.11.10170.00</t>
  </si>
  <si>
    <t>33.11.10171.00</t>
  </si>
  <si>
    <t>CHAPA DO TUNEL / 33.11.10171.00</t>
  </si>
  <si>
    <t>33.11.10172.00</t>
  </si>
  <si>
    <t>FECHAMENTO SUP. DO TUNEL / 33.11.10172.00</t>
  </si>
  <si>
    <t>33.11.10173.00</t>
  </si>
  <si>
    <t>FECHAMENTO DO TUNEL / 33.11.10173.00</t>
  </si>
  <si>
    <t>33.11.10174.00</t>
  </si>
  <si>
    <t>SUPORTE DA TAMPA / 33.11.10174.00</t>
  </si>
  <si>
    <t>33.11.10175.00</t>
  </si>
  <si>
    <t>SUPORTE DA TAMPA / 33.11.10175.00</t>
  </si>
  <si>
    <t>33.11.10176.01</t>
  </si>
  <si>
    <t>TRAVA DO EQUIPAMETO/33.11.10176.01</t>
  </si>
  <si>
    <t>33.11.10177.00</t>
  </si>
  <si>
    <t>TRAVA DO TETO / 33.11.10177.00</t>
  </si>
  <si>
    <t>33.11.10178.01</t>
  </si>
  <si>
    <t>BASE MODULO INTERMEDIARIO / 33.11.10178.01</t>
  </si>
  <si>
    <t>33.11.10180.00</t>
  </si>
  <si>
    <t>SUPORTE ROLETE / 33.11.10180.00</t>
  </si>
  <si>
    <t>33.11.10182.00</t>
  </si>
  <si>
    <t>TIRANTE AUXILIAR / 33.11.10182.00</t>
  </si>
  <si>
    <t>33.11.10183.00</t>
  </si>
  <si>
    <t>TRAVESSA AUXILIAR / 33.11.10183.00</t>
  </si>
  <si>
    <t>33.11.10185.01</t>
  </si>
  <si>
    <t>ACABAMENTO CORRENTE CENTRAL MODULO INTERMEDIARIO / 33.11.10185.01</t>
  </si>
  <si>
    <t>33.11.10186.01</t>
  </si>
  <si>
    <t>TAMPA SUPERIOR DE ACABAMENTO / 33.11.10186.01</t>
  </si>
  <si>
    <t>33.11.10200.00</t>
  </si>
  <si>
    <t>DISTANCIADOR TAMPA / 33.11.10200.00</t>
  </si>
  <si>
    <t>33.11.10201.02</t>
  </si>
  <si>
    <t>MAO FRANCESA / 33.11.10201.02</t>
  </si>
  <si>
    <t>33.11.10202.01</t>
  </si>
  <si>
    <t>MAO FRANCESA / 33.11.10202.01</t>
  </si>
  <si>
    <t>33.11.10204.00</t>
  </si>
  <si>
    <t>SUPORTE SENSOR / 33.11.10204.00</t>
  </si>
  <si>
    <t>33.11.10205.02</t>
  </si>
  <si>
    <t>BASE MODULO DAS EXTREMIDADES / 33.11.10205.02</t>
  </si>
  <si>
    <t>33.11.10210.01</t>
  </si>
  <si>
    <t>SUPORTE DOS ROLETES/33.11.10210.01</t>
  </si>
  <si>
    <t>33.11.10213.01</t>
  </si>
  <si>
    <t>COLUNA / 33.11.10213.01</t>
  </si>
  <si>
    <t>33.11.10214.01</t>
  </si>
  <si>
    <t>SUPORTE DO ACABAMENTO/33.11.10214.01</t>
  </si>
  <si>
    <t>33.11.10215.00</t>
  </si>
  <si>
    <t>CHAPA DE FECHAMENTO / 33.11.10215.00</t>
  </si>
  <si>
    <t>33.11.10216.00</t>
  </si>
  <si>
    <t>CHAPA DE FECHAMENTO / 33.11.10216.00</t>
  </si>
  <si>
    <t>33.11.10217.00</t>
  </si>
  <si>
    <t>CHAPA DO TUNEL / 33.11.10217.00</t>
  </si>
  <si>
    <t>33.11.10218.00</t>
  </si>
  <si>
    <t>CHAPA DE FECHAMENTO / 33.11.10218.00</t>
  </si>
  <si>
    <t>33.11.10220.00</t>
  </si>
  <si>
    <t>SUPORTE / 33.11.10220.00</t>
  </si>
  <si>
    <t>33.11.10221.00</t>
  </si>
  <si>
    <t>TIRANTE / 33.11.10221.00</t>
  </si>
  <si>
    <t>33.11.10223.00</t>
  </si>
  <si>
    <t>SUPORTE / 33.11.10223.00</t>
  </si>
  <si>
    <t>33.11.10225.00</t>
  </si>
  <si>
    <t>DISTANCIADOR / 33.11.10225.00</t>
  </si>
  <si>
    <t>33.11.10227.00</t>
  </si>
  <si>
    <t>SUPORTE DO ACABAMENTO / 33.11.10227.00</t>
  </si>
  <si>
    <t>33.11.10232.01</t>
  </si>
  <si>
    <t>SUPORTE DOS LED´S / 33.11.10232.01</t>
  </si>
  <si>
    <t>33.11.10234.01</t>
  </si>
  <si>
    <t>SUPORTE DOS LED´S / 33.11.10234.01</t>
  </si>
  <si>
    <t>33.11.10250.02</t>
  </si>
  <si>
    <t>ACABAMENTO / 33.11.10250.02</t>
  </si>
  <si>
    <t>33.11.10262.03</t>
  </si>
  <si>
    <t>ACABAMENTO CENTRO ESQUERDO MODULO SV / 33.11.10262.03</t>
  </si>
  <si>
    <t>33.11.10263.00</t>
  </si>
  <si>
    <t>PROTECAO MOTOR / 33.11.10263.00</t>
  </si>
  <si>
    <t>33.11.10270.00</t>
  </si>
  <si>
    <t>VEDACAO MOTOR / 33.11.10270.00</t>
  </si>
  <si>
    <t>33.11.10272.01</t>
  </si>
  <si>
    <t>LIGACAO COLUNA / 33.11.10272.01</t>
  </si>
  <si>
    <t>33.11.10275.00</t>
  </si>
  <si>
    <t>CAIXA X-DAQ / 33.11.10275.00</t>
  </si>
  <si>
    <t>33.11.10277.00</t>
  </si>
  <si>
    <t>TAMPA DA CAIXA X-DAQ / 33.11.10277.00</t>
  </si>
  <si>
    <t>33.11.10283.00</t>
  </si>
  <si>
    <t>TRAVA DO TUNEL / 33.11.10283.00</t>
  </si>
  <si>
    <t>33.11.10284.00</t>
  </si>
  <si>
    <t>BANDEJA DO CHILLER / 33.11.10284.00</t>
  </si>
  <si>
    <t>33.11.10286.00</t>
  </si>
  <si>
    <t>BANDEJA / 33.11.10286.00</t>
  </si>
  <si>
    <t>33.11.10287.00</t>
  </si>
  <si>
    <t>BANDEJA DO TRANSFORMADOR / 33.11.10287.00</t>
  </si>
  <si>
    <t>33.11.10288.00</t>
  </si>
  <si>
    <t>TRILHO PARA GERADOR 320 KV/33.11.10288.00</t>
  </si>
  <si>
    <t>33.11.10290.00</t>
  </si>
  <si>
    <t>ARMACAO DO TRILHO DO GERADOR/33.11.10290.00</t>
  </si>
  <si>
    <t>33.11.10298.00</t>
  </si>
  <si>
    <t>TRAVA GERADOR/33.11.10298.00</t>
  </si>
  <si>
    <t>33.11.10302.00</t>
  </si>
  <si>
    <t>REFORCO/33.11.10302.00</t>
  </si>
  <si>
    <t>33.11.10303.01</t>
  </si>
  <si>
    <t>LIGACAO COLUNA / 33.11.10303.01</t>
  </si>
  <si>
    <t>33.11.10314.02</t>
  </si>
  <si>
    <t>ACABAMENTO SUPERIOR / 33.11.10314.02</t>
  </si>
  <si>
    <t>33.11.10322.01</t>
  </si>
  <si>
    <t>ACABAMENTO SUPERIOR / 33.11.10322.01</t>
  </si>
  <si>
    <t>33.11.10351.00</t>
  </si>
  <si>
    <t>TRAVA PORTA / 33.11.10351.00</t>
  </si>
  <si>
    <t>33.11.10353.00</t>
  </si>
  <si>
    <t>TRAVA ESTRUTURA / 33.11.10353.00</t>
  </si>
  <si>
    <t>33.11.10380.00</t>
  </si>
  <si>
    <t>TAMPA LUMINARIA 180180 /  33.11.10380.00</t>
  </si>
  <si>
    <t>33.11.10382.00</t>
  </si>
  <si>
    <t>PESCOCO DV / 33.11.10382.00</t>
  </si>
  <si>
    <t>33.11.10395.02</t>
  </si>
  <si>
    <t>TRAVA / 33.11.10395.02</t>
  </si>
  <si>
    <t>33.11.10396.01</t>
  </si>
  <si>
    <t>SUPORTE TUNEL / 33.11.10396.01</t>
  </si>
  <si>
    <t>33.11.10397.01</t>
  </si>
  <si>
    <t>BASE / 33.11.10397.01</t>
  </si>
  <si>
    <t>33.11.10398.01</t>
  </si>
  <si>
    <t>BASE / 33.11.10398.01</t>
  </si>
  <si>
    <t>33.11.10399.00</t>
  </si>
  <si>
    <t>TAMPA / 33.11.10399.00</t>
  </si>
  <si>
    <t>33.11.10400.00</t>
  </si>
  <si>
    <t>PARAFUSO DE REGULAGEM / 33.11.10400.00</t>
  </si>
  <si>
    <t>33.11.10402.01</t>
  </si>
  <si>
    <t>FIXACAO PESCOCO / 33.11.10402.01</t>
  </si>
  <si>
    <t>33.11.10403.01</t>
  </si>
  <si>
    <t>FIXACAO PESCOCO / 33.11.10403.01</t>
  </si>
  <si>
    <t>33.11.10404.00</t>
  </si>
  <si>
    <t>COLIMADOR / 33.11.10404.00</t>
  </si>
  <si>
    <t>33.11.10410.00</t>
  </si>
  <si>
    <t>CHAPA FIXA CHUMBO / 33.11.10410.00</t>
  </si>
  <si>
    <t>33.11.10414.01</t>
  </si>
  <si>
    <t>LATERAL MESA / 33.11.10414.01</t>
  </si>
  <si>
    <t>33.11.10416.00</t>
  </si>
  <si>
    <t>TAMPA / 33.11.10416.00</t>
  </si>
  <si>
    <t>33.11.10417.00</t>
  </si>
  <si>
    <t>TRAVESSA / 33.11.10417.00</t>
  </si>
  <si>
    <t>33.11.10419.00</t>
  </si>
  <si>
    <t>SUPORTE SENSOR / 33.11.10419.00</t>
  </si>
  <si>
    <t>33.11.10420.01</t>
  </si>
  <si>
    <t>ACABAMENTO / 33.11.10420.01</t>
  </si>
  <si>
    <t>33.11.10422.02</t>
  </si>
  <si>
    <t>ACABAMENTO FRONTAL MESA / 33.11.10422.02</t>
  </si>
  <si>
    <t>33.11.10423.01</t>
  </si>
  <si>
    <t>TAMPA DE ACABAMENTO / 33.11.10423.01</t>
  </si>
  <si>
    <t>33.11.10425.01</t>
  </si>
  <si>
    <t>ACABAMENTO SUPERIOR / 33.11.10425.01</t>
  </si>
  <si>
    <t>33.11.10441.00</t>
  </si>
  <si>
    <t>TRAVESSA DA CORTINA / 33.11.10441.00</t>
  </si>
  <si>
    <t>33.11.10442.01</t>
  </si>
  <si>
    <t>COLUNA / 33.11.10442.01</t>
  </si>
  <si>
    <t>33.11.10443.00</t>
  </si>
  <si>
    <t>LIGACAO COLUNA SUPERIOR MODULO DV / 33.11.10443.00</t>
  </si>
  <si>
    <t>33.11.10447.01</t>
  </si>
  <si>
    <t>TAMPA SUPERIOR / 33.11.10447.01</t>
  </si>
  <si>
    <t>33.11.10452.00</t>
  </si>
  <si>
    <t>SUPORTE / 33.11.10452.00</t>
  </si>
  <si>
    <t>33.11.10453.02</t>
  </si>
  <si>
    <t>ACABAMENTO CENTRAL MODULO EXTREMIDADE / 33.11.10453.02</t>
  </si>
  <si>
    <t>33.11.10469.00</t>
  </si>
  <si>
    <t>REGULADOR DO TUBO / 33.11.10469.00</t>
  </si>
  <si>
    <t>33.11.10475.01</t>
  </si>
  <si>
    <t>TAMPA / 33.11.10475.01</t>
  </si>
  <si>
    <t>0163</t>
  </si>
  <si>
    <t>33.11.10488.00</t>
  </si>
  <si>
    <t>DISTANCIADOR / 33.11.10488.00</t>
  </si>
  <si>
    <t>0164</t>
  </si>
  <si>
    <t>0165</t>
  </si>
  <si>
    <t>33.11.10493.00</t>
  </si>
  <si>
    <t>BARRRA QUAD. INOX 304 - 5/16POL / 33.11.10493.00</t>
  </si>
  <si>
    <t>0166</t>
  </si>
  <si>
    <t>33.11.10494.01</t>
  </si>
  <si>
    <t>ACABAMENTO SUPERIOR / 33.11.10494.01</t>
  </si>
  <si>
    <t>0167</t>
  </si>
  <si>
    <t>33.11.10495.00</t>
  </si>
  <si>
    <t>VEDACAO MOTOR / 33.11.10495.00</t>
  </si>
  <si>
    <t>0168</t>
  </si>
  <si>
    <t>33.11.10498.01</t>
  </si>
  <si>
    <t>COLUNA / 33.11.10498.01</t>
  </si>
  <si>
    <t>0169</t>
  </si>
  <si>
    <t>33.11.10499.01</t>
  </si>
  <si>
    <t>COLUNA / 33.11.10499.01</t>
  </si>
  <si>
    <t>33.11.10500.01</t>
  </si>
  <si>
    <t>SUPORTE PLACA / 33.11.10500.01</t>
  </si>
  <si>
    <t>0171</t>
  </si>
  <si>
    <t>33.11.10505.00</t>
  </si>
  <si>
    <t>GAIOLA DE FIXACAO PLACAS / 33.11.10505.00</t>
  </si>
  <si>
    <t>0172</t>
  </si>
  <si>
    <t>0173</t>
  </si>
  <si>
    <t>33.11.10515.00</t>
  </si>
  <si>
    <t>DISTANCIADOR / 33.11.10515.00</t>
  </si>
  <si>
    <t>0174</t>
  </si>
  <si>
    <t>33.11.10517.02</t>
  </si>
  <si>
    <t>DISTANCIADOR / 33.11.10517.02</t>
  </si>
  <si>
    <t>0175</t>
  </si>
  <si>
    <t>33.11.10530.01</t>
  </si>
  <si>
    <t>TAMPA / 33.11.10530.01</t>
  </si>
  <si>
    <t>0176</t>
  </si>
  <si>
    <t>33.11.10539.00</t>
  </si>
  <si>
    <t>COLUNA / 33.11.10539.00</t>
  </si>
  <si>
    <t>33.11.10540.00</t>
  </si>
  <si>
    <t>COJUNTO FIXACAO CORTINA / 33.11.10540.00</t>
  </si>
  <si>
    <t>33.11.10562.00</t>
  </si>
  <si>
    <t>SUPORTE TAMPA / 33.11.10562.00</t>
  </si>
  <si>
    <t>33.11.10568.00</t>
  </si>
  <si>
    <t>PROTECAO COLIMADOR / 33.11.10568.00</t>
  </si>
  <si>
    <t>33.11.10571.00</t>
  </si>
  <si>
    <t>TAMPA / 33.11.10571.00</t>
  </si>
  <si>
    <t>33.11.10575.02</t>
  </si>
  <si>
    <t>TRAVESSA / 33.11.10575.02</t>
  </si>
  <si>
    <t>33.11.10586.02</t>
  </si>
  <si>
    <t>COLUNA / 33.11.10586.02</t>
  </si>
  <si>
    <t>33.11.10588.00</t>
  </si>
  <si>
    <t>SUPORTE DOS ROLETES / 33.11.10588.00</t>
  </si>
  <si>
    <t>0187</t>
  </si>
  <si>
    <t>33.11.10593.01</t>
  </si>
  <si>
    <t>SUPORTE CONECTOR 24 PINOS / 33.11.10593.01</t>
  </si>
  <si>
    <t>0188</t>
  </si>
  <si>
    <t>33.11.10594.00</t>
  </si>
  <si>
    <t>ICAMENTO COLIMADOR DV / 33.11.10594.00</t>
  </si>
  <si>
    <t>0189</t>
  </si>
  <si>
    <t>33.11.10603.00</t>
  </si>
  <si>
    <t>SUPORTE DO TUBO VARIAN DV / 33.11.10603.00</t>
  </si>
  <si>
    <t>33.11.10608.00</t>
  </si>
  <si>
    <t>GARRA DO TUBO VARIAN DV / 33.11.10608.00</t>
  </si>
  <si>
    <t>0193</t>
  </si>
  <si>
    <t>33.11.10611.01</t>
  </si>
  <si>
    <t>CAIXA BLINDADA DO TUBO VARIAN DV / 33.11.10611.01</t>
  </si>
  <si>
    <t>33.11.10615.00</t>
  </si>
  <si>
    <t>TAMPA DA CAIXA DO TUBO VARIAN DV / 33.11.10615.00</t>
  </si>
  <si>
    <t>0197</t>
  </si>
  <si>
    <t>33.11.10616.00</t>
  </si>
  <si>
    <t>COLIMADOR DO TUBO VARIAN DV / 33.11.10616.00</t>
  </si>
  <si>
    <t>0198</t>
  </si>
  <si>
    <t>0199</t>
  </si>
  <si>
    <t>33.11.10618.00</t>
  </si>
  <si>
    <t>GUIA DE REGULAGEM DO TUBO DV / 33.11.10618.00</t>
  </si>
  <si>
    <t>0200</t>
  </si>
  <si>
    <t>33.11.10619.00</t>
  </si>
  <si>
    <t>SUPORTE DO TUBO VARIAN SV / 33.11.10619.00</t>
  </si>
  <si>
    <t>33.11.10620.00</t>
  </si>
  <si>
    <t>GARRA DO TUBO VARIAN SV / 33.11.10620.00</t>
  </si>
  <si>
    <t>0205</t>
  </si>
  <si>
    <t>33.11.10621.01</t>
  </si>
  <si>
    <t>CAIXA BLINDADA DO TUBO VARIAN SV / 33.11.10621.01</t>
  </si>
  <si>
    <t>0206</t>
  </si>
  <si>
    <t>33.11.10622.00</t>
  </si>
  <si>
    <t>TAMPA DA CAIXA DO TUBO VARIAN SV / 33.11.10622.00</t>
  </si>
  <si>
    <t>0209</t>
  </si>
  <si>
    <t>33.11.10623.00</t>
  </si>
  <si>
    <t>COLIMADOR DO TUBO VARIAN SV / 33.11.10623.00</t>
  </si>
  <si>
    <t>0210</t>
  </si>
  <si>
    <t>0211</t>
  </si>
  <si>
    <t>33.11.10625.00</t>
  </si>
  <si>
    <t>GUIA DE REGULAGEM DO TUBO SV / 33.11.10625.00</t>
  </si>
  <si>
    <t>0212</t>
  </si>
  <si>
    <t>0213</t>
  </si>
  <si>
    <t>33.11.10633.00</t>
  </si>
  <si>
    <t>LATERAL A DA PROTECAO DO CABO DV / 33.11.10633.00</t>
  </si>
  <si>
    <t>0214</t>
  </si>
  <si>
    <t>0215</t>
  </si>
  <si>
    <t>33.11.10634.00</t>
  </si>
  <si>
    <t>LATERAL B DA PROTECAO DO CABO DV / 33.11.10634.00</t>
  </si>
  <si>
    <t>0216</t>
  </si>
  <si>
    <t>33.11.10640.00</t>
  </si>
  <si>
    <t>FECHAMENTO DAS MANGUEIRAS DE REFRIGERACAO SV / DV / 33.11.10640.00</t>
  </si>
  <si>
    <t>33.11.10641.00</t>
  </si>
  <si>
    <t>ALAVANCA DE AJUSTE A TUBO VARIAN DV / 33.11.10641.00</t>
  </si>
  <si>
    <t>33.11.10642.00</t>
  </si>
  <si>
    <t>ALAVANCA DE AJUSTE B TUBO VARIAN DV / 33.11.10642.00</t>
  </si>
  <si>
    <t>0220</t>
  </si>
  <si>
    <t>33.11.10647.00</t>
  </si>
  <si>
    <t>LATERAL A DA PROTECAO DO CABO SV / 33.11.10647.00</t>
  </si>
  <si>
    <t>0221</t>
  </si>
  <si>
    <t>0222</t>
  </si>
  <si>
    <t>33.11.10648.00</t>
  </si>
  <si>
    <t>LATERAL B DA PROTECAO DO CABO SV / 33.11.10648.00</t>
  </si>
  <si>
    <t>0223</t>
  </si>
  <si>
    <t>33.11.10654.00</t>
  </si>
  <si>
    <t>ALAVANCA DE AJUSTE A TUBO VARIAN SV / 33.11.10654.00</t>
  </si>
  <si>
    <t>33.11.10655.00</t>
  </si>
  <si>
    <t>ALAVANCA DE AJUSTE B TUBO VARIAN SV / 33.11.10655.00</t>
  </si>
  <si>
    <t>0226</t>
  </si>
  <si>
    <t>33.11.10658.00</t>
  </si>
  <si>
    <t>TRILHO EXTERNO PARA GERADOR 320 KV DV / 33.11.10658.00</t>
  </si>
  <si>
    <t>0227</t>
  </si>
  <si>
    <t>33.11.10659.00</t>
  </si>
  <si>
    <t>SUPORTE DO TRILHO DO GERADOR 320 KV DV / 33.11.10659.00</t>
  </si>
  <si>
    <t>0230</t>
  </si>
  <si>
    <t>33.11.10660.00</t>
  </si>
  <si>
    <t>TRILHO INTERNO PARA GERADOR 320 KV DV / 33.11.10660.00</t>
  </si>
  <si>
    <t>0231</t>
  </si>
  <si>
    <t>0232</t>
  </si>
  <si>
    <t>33.11.10666.00</t>
  </si>
  <si>
    <t>BATENTE/33.11.10666.00</t>
  </si>
  <si>
    <t>33.11.10667.00</t>
  </si>
  <si>
    <t>ACABAMENTO/33.11.10667.00</t>
  </si>
  <si>
    <t>0234</t>
  </si>
  <si>
    <t>33.11.10675.01</t>
  </si>
  <si>
    <t>SUSTENTACAO TUNEL / 33.11.10675.01</t>
  </si>
  <si>
    <t>0235</t>
  </si>
  <si>
    <t>33.11.10683.00</t>
  </si>
  <si>
    <t>SUPORTE CORTINA EXTERNA EXTERMIDADE / 33.11.10683.00</t>
  </si>
  <si>
    <t>0236</t>
  </si>
  <si>
    <t>33.11.10692.00</t>
  </si>
  <si>
    <t>FIXACAO ANODO E CATODO / 33.11.10692.00</t>
  </si>
  <si>
    <t>0237</t>
  </si>
  <si>
    <t>33.11.10694.01</t>
  </si>
  <si>
    <t>ROTACAO TAMPA / 33.11.10694.01</t>
  </si>
  <si>
    <t>0238</t>
  </si>
  <si>
    <t>33.11.10723.00</t>
  </si>
  <si>
    <t>BANDEJA / 33.11.10723.00</t>
  </si>
  <si>
    <t>0239</t>
  </si>
  <si>
    <t>33.11.10726.01</t>
  </si>
  <si>
    <t>BANDEJA MEIO DO EQUIPAMENTO / 33.11.10726.01</t>
  </si>
  <si>
    <t>0240</t>
  </si>
  <si>
    <t>33.11.10727.01</t>
  </si>
  <si>
    <t>BANDEJA MEIO DO EQUIPAMENTO / 33.11.10727.01</t>
  </si>
  <si>
    <t>33.11.10728.00</t>
  </si>
  <si>
    <t>TAMPA / 33.11.10728.00</t>
  </si>
  <si>
    <t>0243</t>
  </si>
  <si>
    <t>33.11.10736.00</t>
  </si>
  <si>
    <t>ROTACAO PECA/33.11.10736.00</t>
  </si>
  <si>
    <t>0244</t>
  </si>
  <si>
    <t>0245</t>
  </si>
  <si>
    <t>33.11.10741.00</t>
  </si>
  <si>
    <t>LATERAL 1 - TUNEL MODULO DV / 33.11.10741.00</t>
  </si>
  <si>
    <t>0246</t>
  </si>
  <si>
    <t>33.11.10742.00</t>
  </si>
  <si>
    <t>LATERAL 2 - TUNEL MODULO DV / 33.11.10742.00</t>
  </si>
  <si>
    <t>0249</t>
  </si>
  <si>
    <t>33.11.10743.01</t>
  </si>
  <si>
    <t>LATERAL 3 - TUNEL MODULO DV / 33.11.10743.01</t>
  </si>
  <si>
    <t>0250</t>
  </si>
  <si>
    <t>33.11.10744.01</t>
  </si>
  <si>
    <t>LATERAL 4 - TUNEL MODULO DV / 33.11.10744.01</t>
  </si>
  <si>
    <t>0251</t>
  </si>
  <si>
    <t>0252</t>
  </si>
  <si>
    <t>33.11.10750.02</t>
  </si>
  <si>
    <t>SUPORTE OPOSTO 1 - ROLETES / 33.11.10750.02</t>
  </si>
  <si>
    <t>0253</t>
  </si>
  <si>
    <t>33.11.10752.01</t>
  </si>
  <si>
    <t>FECHAMENTO SUPERIOR 1 TUNEL DV / 33.11.10752.01</t>
  </si>
  <si>
    <t>0254</t>
  </si>
  <si>
    <t>0255</t>
  </si>
  <si>
    <t>33.11.10753.01</t>
  </si>
  <si>
    <t>FECHAMENTO SUPERIOR 2 TUNEL DV / 33.11.10753.01</t>
  </si>
  <si>
    <t>0256</t>
  </si>
  <si>
    <t>0257</t>
  </si>
  <si>
    <t>33.11.10755.02</t>
  </si>
  <si>
    <t>SUPORTE OPOSTO 2 - ROLETES / 33.11.10755.02</t>
  </si>
  <si>
    <t>33.11.10756.02</t>
  </si>
  <si>
    <t>ACABAMENTO CENTRO ESQUERDO MODULO DV / 33.11.10756.02</t>
  </si>
  <si>
    <t>33.11.10757.02</t>
  </si>
  <si>
    <t>ACABAMENTO CENTRO DIREITO MODULO DV / 33.11.10757.02</t>
  </si>
  <si>
    <t>0262</t>
  </si>
  <si>
    <t>33.11.10758.01</t>
  </si>
  <si>
    <t>PARAFUSO UNIAO DOS MODULOS / 33.11.10758.01</t>
  </si>
  <si>
    <t>0263</t>
  </si>
  <si>
    <t>33.11.10760.00</t>
  </si>
  <si>
    <t>CHAPA UNIAO DO MODULOS / 33.11.10760.00</t>
  </si>
  <si>
    <t>0264</t>
  </si>
  <si>
    <t>33.11.10770.00</t>
  </si>
  <si>
    <t>TAMPA FRONTAL BLINDAGEM GERADOR MODULO SV 180180 LADO 1 / 33.11.10770.00</t>
  </si>
  <si>
    <t>0265</t>
  </si>
  <si>
    <t>33.11.10772.00</t>
  </si>
  <si>
    <t>TAMPA SUPERIOR BLINDAGEM GERADOR MODULO SV 180180 TSA / 33.11.10772.00</t>
  </si>
  <si>
    <t>0266</t>
  </si>
  <si>
    <t>33.11.10773.00</t>
  </si>
  <si>
    <t>TAMPA LATERAL DIREITA BLINDAGEM GERADOR MODULO SV 180180 TSA / 33.11.10773.00</t>
  </si>
  <si>
    <t>0267</t>
  </si>
  <si>
    <t>33.11.10774.00</t>
  </si>
  <si>
    <t>TAMPA LATERAL ESQUERDA BLINDAGEM GERADOR MODULO SV 180180 TSA / 33.11.10774.00</t>
  </si>
  <si>
    <t>0268</t>
  </si>
  <si>
    <t>0269</t>
  </si>
  <si>
    <t>33.11.10775.00</t>
  </si>
  <si>
    <t>TAMPA FRONTAL BLINDAGEM GERADOR MODULO SV 180180 LADO 2 / 33.11.10775.00</t>
  </si>
  <si>
    <t>0270</t>
  </si>
  <si>
    <t>0271</t>
  </si>
  <si>
    <t>33.11.10776.00</t>
  </si>
  <si>
    <t>QUADRO SUPORTE VEDACAO TUBO DV 180180 TSA / 33.11.10776.00</t>
  </si>
  <si>
    <t>0272</t>
  </si>
  <si>
    <t>0273</t>
  </si>
  <si>
    <t>33.11.10785.01</t>
  </si>
  <si>
    <t>CHAPA EXTERNA TAMPA INFERIOR TRASEIRA CAIXA L SV 180180 TSA / 33.11.10785.01</t>
  </si>
  <si>
    <t>0274</t>
  </si>
  <si>
    <t>33.11.10786.01</t>
  </si>
  <si>
    <t>CHAPA EXTERNA TAMPA CENTRAL TRASEIRA CAIXA L SV 180180 TSA / 33.11.10786.01</t>
  </si>
  <si>
    <t>0275</t>
  </si>
  <si>
    <t>0276</t>
  </si>
  <si>
    <t>33.11.10787.00</t>
  </si>
  <si>
    <t>CHAPA EXTERNA TAMPA SUPERIOR TRASEIRA CAIXA L SV 180180 TSA / 33.11.10787.00</t>
  </si>
  <si>
    <t>0277</t>
  </si>
  <si>
    <t>33.11.10788.00</t>
  </si>
  <si>
    <t>CHAPA TRAVAMENTO CHUMBOS LATERAIS CAIXA L SV 180180 TSA / 33.11.10788.00</t>
  </si>
  <si>
    <t>33.11.10789.00</t>
  </si>
  <si>
    <t>CHAPA TRAVAMENTO TRANSVERSAL A CHUMBOS LATERAIS CAIXA L SV 180180 TSA / 33.11.10789.00</t>
  </si>
  <si>
    <t>0280</t>
  </si>
  <si>
    <t>33.11.10794.00</t>
  </si>
  <si>
    <t>CHAPA FRONTAL BLINDAGEM FINAL DV 180180 / 33.11.10794.00</t>
  </si>
  <si>
    <t>0281</t>
  </si>
  <si>
    <t>33.11.10795.00</t>
  </si>
  <si>
    <t>CHAPA LATERAL BLINDAGEM FINAL DV 180180 / 33.11.10795.00</t>
  </si>
  <si>
    <t>33.11.10796.00</t>
  </si>
  <si>
    <t>CHAPA LATERAL BLINDAGEM PARTE A DV 180180 / 33.11.10796.00</t>
  </si>
  <si>
    <t>0284</t>
  </si>
  <si>
    <t>33.11.10797.00</t>
  </si>
  <si>
    <t>CHAPA LATERAL BLINDAGEM PARTE B DV 180180 / 33.11.10797.00</t>
  </si>
  <si>
    <t>0287</t>
  </si>
  <si>
    <t>33.11.10798.00</t>
  </si>
  <si>
    <t>CHAPA SUPERIOR BLINDAGEM PARTE A DV 180180 / 33.11.10798.00</t>
  </si>
  <si>
    <t>0288</t>
  </si>
  <si>
    <t>33.11.10799.00</t>
  </si>
  <si>
    <t>CHAPA SUPERIOR BLINDAGEM PARTE B DV 180180 / 33.11.10799.00</t>
  </si>
  <si>
    <t>0289</t>
  </si>
  <si>
    <t>33.11.10803.00</t>
  </si>
  <si>
    <t>TRAVESSA FIXACAO CHUMBO BLINDAGEM EXTREMIDADE INFERIOR CAIXA L DV 180180 TSA / 33.11.10803</t>
  </si>
  <si>
    <t>0290</t>
  </si>
  <si>
    <t>33.11.10804.00</t>
  </si>
  <si>
    <t>REFORCO SUPORTE TAMPA PIVOTANTE MODULO SV 180180 TSA / 33.11.10804.00</t>
  </si>
  <si>
    <t>0291</t>
  </si>
  <si>
    <t>33.11.10871.00</t>
  </si>
  <si>
    <t>SUPORTE INDUTOR MODULO SV 180180 TSA / 33.11.10871.00</t>
  </si>
  <si>
    <t>33.11.10875.00</t>
  </si>
  <si>
    <t>MAO FRANCESA CAIXA L DV 180180 TSA / 33.11.10875.00</t>
  </si>
  <si>
    <t>33.11.10877.01</t>
  </si>
  <si>
    <t>CONJUNTO APOIO DESLIZAMENTO DE CARGA MODULOS EXTREMIDADE / 33.11.10877.01</t>
  </si>
  <si>
    <t>33.11.10879.01</t>
  </si>
  <si>
    <t>APOIO DESLIZAMENTO DE CARGA MODULOS SV/DV / 33.11.10879.01</t>
  </si>
  <si>
    <t>33.11.10880.01</t>
  </si>
  <si>
    <t>CONJUNTO APOIO DESLIZAMENTO DE CARGA MODULOS SV/DV E INTERMEDIARIO / 33.11.10880.01</t>
  </si>
  <si>
    <t>33.11.10882.01</t>
  </si>
  <si>
    <t>CONJUNTO APOIO DESLIZAMENTO DE CARGA MESA DE ROLETES / 33.11.10882.01</t>
  </si>
  <si>
    <t>33.11.10893.00</t>
  </si>
  <si>
    <t>ACABAMENTO CENTRAL DIREITO MODULO SV / 33.11.10893.00</t>
  </si>
  <si>
    <t>33.11.10894.00</t>
  </si>
  <si>
    <t>ACABAMENTO EXTREMIDADE ESQUERDO MODULO SV / 33.11.10894.00</t>
  </si>
  <si>
    <t>33.11.10895.00</t>
  </si>
  <si>
    <t>ACABAMENTO EXTREMIDADE DIREITO MODULO SV / 33.11.10895.00</t>
  </si>
  <si>
    <t>0300</t>
  </si>
  <si>
    <t>33.11.10896.00</t>
  </si>
  <si>
    <t>ACABAMENTO EXTREMIDADE ESQUERDO MODULO DV / 33.11.10896.00</t>
  </si>
  <si>
    <t>0301</t>
  </si>
  <si>
    <t>0302</t>
  </si>
  <si>
    <t>33.11.10897.00</t>
  </si>
  <si>
    <t>ACABAMENTO LATERAL DIREITO MODULO DV / 33.11.10897.00</t>
  </si>
  <si>
    <t>0303</t>
  </si>
  <si>
    <t>0304</t>
  </si>
  <si>
    <t>33.11.10898.00</t>
  </si>
  <si>
    <t>ACABAMENTO ESQUERDO MODULO INTERMEDIARIO / 33.11.10898.00</t>
  </si>
  <si>
    <t>33.11.10899.00</t>
  </si>
  <si>
    <t>ACABAMENTO DIREITO MODULO INTERMEDIARIO / 33.11.10899.00</t>
  </si>
  <si>
    <t>33.11.10900.00</t>
  </si>
  <si>
    <t>ACABAMENTO ESQUERDO MODULO EXTREMIDADE / 33.11.10900.00</t>
  </si>
  <si>
    <t>33.11.10901.00</t>
  </si>
  <si>
    <t>ACABAMENTO DIREITO MODULO EXTREMIDADE / 33.11.10901.00</t>
  </si>
  <si>
    <t>33.11.10902.00</t>
  </si>
  <si>
    <t>TAMPA ACABAMENTO DIREITO MESA DE ROLETES / 33.11.10902.00</t>
  </si>
  <si>
    <t>33.11.10903.00</t>
  </si>
  <si>
    <t>TAMPA ACABAMENTO ESQUERDO MESA DE ROLETES / 33.11.10903.00</t>
  </si>
  <si>
    <t>33.11.10904.00</t>
  </si>
  <si>
    <t>TAMPA ACABAMENTO UNIAO MODULO MESA DE ROLETES / 33.11.10904.00</t>
  </si>
  <si>
    <t>33.11.10905.00</t>
  </si>
  <si>
    <t>TAMPA DE ACABAMENTO AUXILIAR ESQUERDO MOVEL / 33.11.10905.00</t>
  </si>
  <si>
    <t>33.11.10906.00</t>
  </si>
  <si>
    <t>TAMPA DE ACABAMETO AUXILIAR DIREITO MOVEL / 33.11.10906.00</t>
  </si>
  <si>
    <t>33.11.10917.00</t>
  </si>
  <si>
    <t>CHAPA ACABAMENTO DIREITO MESA DE ROLETES / 33.11.10917.00</t>
  </si>
  <si>
    <t>33.11.10918.00</t>
  </si>
  <si>
    <t>CHAPA ACABAMENTO ESQUERDO MESA DE ROLETES / 33.11.10918.00</t>
  </si>
  <si>
    <t>0316</t>
  </si>
  <si>
    <t>33.11.10926.00</t>
  </si>
  <si>
    <t>APOIO DESLIZAMENTO DE CARGA MODULOS SV/DV OPOSTO / 33.11.10926.00</t>
  </si>
  <si>
    <t>33.11.10933.00</t>
  </si>
  <si>
    <t>CHAPA DE FECHAMENTO SUP. DO TUNEL / 33.11.10933.00</t>
  </si>
  <si>
    <t>33.11.10934.00</t>
  </si>
  <si>
    <t>BASE DE MONTAGEM DA DOBRADICA / 33.11.10934.00</t>
  </si>
  <si>
    <t>33.11.10935.00</t>
  </si>
  <si>
    <t>FIXACAO DA DOBRADICA DA CORTINA  / 33.11.10935.00</t>
  </si>
  <si>
    <t>0320</t>
  </si>
  <si>
    <t>33.11.10936.00</t>
  </si>
  <si>
    <t>SUPORTE DAS CORTINAS / 33.11.10936.00</t>
  </si>
  <si>
    <t>0321</t>
  </si>
  <si>
    <t>33.11.10937.00</t>
  </si>
  <si>
    <t>TRAVA DA CORTINA / 33.11.10937.00</t>
  </si>
  <si>
    <t>0322</t>
  </si>
  <si>
    <t>33.11.10940.00</t>
  </si>
  <si>
    <t>TRAVA DA EXTREMIDADE DA CORTINA  / 33.11.10940.00</t>
  </si>
  <si>
    <t>0323</t>
  </si>
  <si>
    <t>33.11.10942.00</t>
  </si>
  <si>
    <t>CHAPA DE MONTAGEM SUPERIOR DA CORTINA / 33.11.10942.00</t>
  </si>
  <si>
    <t>33.11.10965.00</t>
  </si>
  <si>
    <t>SUPORTE TAMPA HORIZONTAL MAIOR CAIXA L / 33.11.10965.00</t>
  </si>
  <si>
    <t>0325</t>
  </si>
  <si>
    <t>33.11.10966.00</t>
  </si>
  <si>
    <t>CHAPA TAMPA HORIZONTAL CAIXA L / 33.11.10966.00</t>
  </si>
  <si>
    <t>0326</t>
  </si>
  <si>
    <t>33.11.10967.00</t>
  </si>
  <si>
    <t>SUPORTE TAMPA HORIZONTAL MENOR CAIXA L / 33.11.10967.00</t>
  </si>
  <si>
    <t>33.11.10970.00</t>
  </si>
  <si>
    <t>DISTANCIADOR GAIOLA HORIZONTAL / 33.11.10970.00</t>
  </si>
  <si>
    <t>33.11.10985.00</t>
  </si>
  <si>
    <t>CHAPA GUIA REGULADOR / 33.11.10985.00</t>
  </si>
  <si>
    <t>0330</t>
  </si>
  <si>
    <t>33.11.10986.00</t>
  </si>
  <si>
    <t>GAIOLA VERTICAL FIXACAO PLACAS DT / 33.11.10986.00</t>
  </si>
  <si>
    <t>0331</t>
  </si>
  <si>
    <t>0332</t>
  </si>
  <si>
    <t>33.11.10987.00</t>
  </si>
  <si>
    <t>GAIOLA SUPERIOR FIXACAO PLACAS DT / 33.11.10987.00</t>
  </si>
  <si>
    <t>0333</t>
  </si>
  <si>
    <t>33.11.10989.00</t>
  </si>
  <si>
    <t>CAIXA S-DAQ / X-DAQ / 33.11.10989.00</t>
  </si>
  <si>
    <t>33.11.11006.00</t>
  </si>
  <si>
    <t>CHAPA TRAVAMENTO REGULAGEM GAIOLA / 33.11.11006.00</t>
  </si>
  <si>
    <t>0338</t>
  </si>
  <si>
    <t>33.11.11008.00</t>
  </si>
  <si>
    <t>CHAPA TAMPA CAIXA L / 33.11.11008.00</t>
  </si>
  <si>
    <t>0339</t>
  </si>
  <si>
    <t>0340</t>
  </si>
  <si>
    <t>33.11.11009.00</t>
  </si>
  <si>
    <t>TAMPA VERTICAL CAIXA L / 33.11.11009.00</t>
  </si>
  <si>
    <t>0341</t>
  </si>
  <si>
    <t>0342</t>
  </si>
  <si>
    <t>33.11.11011.00</t>
  </si>
  <si>
    <t>TAMPA VEDACAO PROLONGAMENTO CAIXA L / 33.11.11011.00</t>
  </si>
  <si>
    <t>0343</t>
  </si>
  <si>
    <t>33.11.11015.00</t>
  </si>
  <si>
    <t>CHAPA SUPORTE FIXACAO CHUMBO / 33.11.11015.00</t>
  </si>
  <si>
    <t>0345</t>
  </si>
  <si>
    <t>33.11.11019.00</t>
  </si>
  <si>
    <t>TAMPA SUPERIOR CAIXA L / 33.11.11019.00</t>
  </si>
  <si>
    <t>0346</t>
  </si>
  <si>
    <t>33.11.11020.00</t>
  </si>
  <si>
    <t>TAMPA CAIXA L / 33.11.11020.00</t>
  </si>
  <si>
    <t>33.11.11021.00</t>
  </si>
  <si>
    <t>TAMPA HORIZONTAL CAIXA L / 33.11.11021.00</t>
  </si>
  <si>
    <t>0351</t>
  </si>
  <si>
    <t>33.11.11022.00</t>
  </si>
  <si>
    <t>TAMPA CAIXA L / 33.11.11022.00</t>
  </si>
  <si>
    <t>0352</t>
  </si>
  <si>
    <t>0353</t>
  </si>
  <si>
    <t>33.11.11023.00</t>
  </si>
  <si>
    <t>TAMPA CAIXA L / 33.11.11023.00</t>
  </si>
  <si>
    <t>0354</t>
  </si>
  <si>
    <t>0355</t>
  </si>
  <si>
    <t>33.11.11024.00</t>
  </si>
  <si>
    <t>TAMPA CAIXA S-DAQ / X-DAQ / 33.11.11024.00</t>
  </si>
  <si>
    <t>0356</t>
  </si>
  <si>
    <t>33.11.11025.00</t>
  </si>
  <si>
    <t>CAIXA L DV GAIOLA BIPARTIDA / 33.11.11025.00</t>
  </si>
  <si>
    <t>0357</t>
  </si>
  <si>
    <t>33.11.11028.00</t>
  </si>
  <si>
    <t>TAMPA VERTICAL CAIXA L / 33.11.11028.00</t>
  </si>
  <si>
    <t>33.11.11032.00</t>
  </si>
  <si>
    <t>TAMPA CAIXA L / 33.11.11032.00</t>
  </si>
  <si>
    <t>0361</t>
  </si>
  <si>
    <t>33.11.11033.00</t>
  </si>
  <si>
    <t>TAMPA CAIXA L / 33.11.11033.00</t>
  </si>
  <si>
    <t>0363</t>
  </si>
  <si>
    <t>33.11.11040.00</t>
  </si>
  <si>
    <t>CHAPA FIXACAO SUPORTE CHUMBO TAMPA / 33.11.11040.00</t>
  </si>
  <si>
    <t>33.11.11046.00</t>
  </si>
  <si>
    <t>DISTANCIADOR GAIOLA VERTICAL DEETEE / 33.11.11046.00</t>
  </si>
  <si>
    <t>33.11.11049.00</t>
  </si>
  <si>
    <t>TAMPA VERTICAL CAIXA L / 33.11.11049.00</t>
  </si>
  <si>
    <t>0369</t>
  </si>
  <si>
    <t>33.11.11050.00</t>
  </si>
  <si>
    <t>BASE ESTRUTURAL SUPORTE ROLETES / 33.11.11050.00</t>
  </si>
  <si>
    <t>0372</t>
  </si>
  <si>
    <t>33.11.11060.00</t>
  </si>
  <si>
    <t>GAIOLA HORIZONTAL CAIXA L DETECTORAS DEETEE / 33.11.11060.00</t>
  </si>
  <si>
    <t>0373</t>
  </si>
  <si>
    <t>0374</t>
  </si>
  <si>
    <t>33.11.11061.00</t>
  </si>
  <si>
    <t>GAIOLA VERTICAL CAIXA L DETECTORAS DEETEE / 33.11.11061.00</t>
  </si>
  <si>
    <t>0375</t>
  </si>
  <si>
    <t>0376</t>
  </si>
  <si>
    <t>33.11.11070.00</t>
  </si>
  <si>
    <t>TAMPA DE ACABAMENTO CINZA / 33.11.11070.00</t>
  </si>
  <si>
    <t>0377</t>
  </si>
  <si>
    <t>0378</t>
  </si>
  <si>
    <t>33.11.11071.00</t>
  </si>
  <si>
    <t>TAMPA MENOR CINZA / 33.11.11071.00</t>
  </si>
  <si>
    <t>0379</t>
  </si>
  <si>
    <t>33.11.11072.00</t>
  </si>
  <si>
    <t>FECHAMENTO CINZA / 33.11.11072.00</t>
  </si>
  <si>
    <t>0382</t>
  </si>
  <si>
    <t>33.11.11073.00</t>
  </si>
  <si>
    <t>ACABAMENTO CINZA / 33.11.11073.00</t>
  </si>
  <si>
    <t>0383</t>
  </si>
  <si>
    <t>33.11.11074.00</t>
  </si>
  <si>
    <t>ACABAMENTO CINZA / 33.11.11074.00</t>
  </si>
  <si>
    <t>0384</t>
  </si>
  <si>
    <t>33.11.11075.00</t>
  </si>
  <si>
    <t>ACABAMENTO CINZA / 33.11.11075.00</t>
  </si>
  <si>
    <t>33.11.11076.00</t>
  </si>
  <si>
    <t>CHAPA DE ACABAMENTO CINZA / 33.11.11076.00</t>
  </si>
  <si>
    <t>33.11.11077.00</t>
  </si>
  <si>
    <t>SUPORTE DO PINO CINZA / 33.11.11077.00</t>
  </si>
  <si>
    <t>0387</t>
  </si>
  <si>
    <t>33.11.11078.00</t>
  </si>
  <si>
    <t>ACABAMENTO CINZA / 33.11.11078.00</t>
  </si>
  <si>
    <t>0388</t>
  </si>
  <si>
    <t>33.11.11079.00</t>
  </si>
  <si>
    <t>ACABAMENTO CINZA / 33.11.11079.00</t>
  </si>
  <si>
    <t>0389</t>
  </si>
  <si>
    <t>33.11.11080.00</t>
  </si>
  <si>
    <t>ACABAMENTO CINZA / 33.11.11080.00</t>
  </si>
  <si>
    <t>0390</t>
  </si>
  <si>
    <t>33.11.11081.00</t>
  </si>
  <si>
    <t>ACABAMENTO COLUNA CINZA / 33.11.11081.00</t>
  </si>
  <si>
    <t>0391</t>
  </si>
  <si>
    <t>33.11.11085.00</t>
  </si>
  <si>
    <t>ACABAMENTO PIVOTANTE CINZA / 33.11.11085.00</t>
  </si>
  <si>
    <t>0392</t>
  </si>
  <si>
    <t>33.11.11086.00</t>
  </si>
  <si>
    <t>ACABAMENTO PIVOTANTE CINZA / 33.11.11086.00</t>
  </si>
  <si>
    <t>0393</t>
  </si>
  <si>
    <t>33.11.11087.00</t>
  </si>
  <si>
    <t>ACABAMENTO PIVOTANTE CINZA / 33.11.11087.00</t>
  </si>
  <si>
    <t>33.11.11088.00</t>
  </si>
  <si>
    <t>ACABAMENTO MOLDURA CINZA / 33.11.11088.00</t>
  </si>
  <si>
    <t>0395</t>
  </si>
  <si>
    <t>33.11.11089.00</t>
  </si>
  <si>
    <t>ACABAMENTO PIVOTANTE CINZA / 33.11.11089.00</t>
  </si>
  <si>
    <t>0396</t>
  </si>
  <si>
    <t>33.11.11090.00</t>
  </si>
  <si>
    <t>ACABAMENTO ESQ. ING/FRAN CINZA MODULO EXT. ESQ. / 33.11.11090.00</t>
  </si>
  <si>
    <t>0397</t>
  </si>
  <si>
    <t>33.11.11091.00</t>
  </si>
  <si>
    <t>ACABAMENTO CINZA / 33.11.11091.00</t>
  </si>
  <si>
    <t>0398</t>
  </si>
  <si>
    <t>33.11.11092.00</t>
  </si>
  <si>
    <t>ACABAMENTO DIR. ING/FRAN CINZA MODULO EXT. ESQ. / 33.11.11092.00</t>
  </si>
  <si>
    <t>0399</t>
  </si>
  <si>
    <t>33.11.11093.00</t>
  </si>
  <si>
    <t>ACABAMENTO DIR. ING/FRAN CINZA MODULO EXT. DIR. / 33.11.11093.00</t>
  </si>
  <si>
    <t>0400</t>
  </si>
  <si>
    <t>33.11.11094.00</t>
  </si>
  <si>
    <t>ACABAMENTO ESQ. ING/FRAN CINZA MODULO EXT. DIR. / 33.11.11094.00</t>
  </si>
  <si>
    <t>0401</t>
  </si>
  <si>
    <t>33.11.11095.00</t>
  </si>
  <si>
    <t>TAMPA ACABAMENTO CINZA / 33.11.11095.00</t>
  </si>
  <si>
    <t>0402</t>
  </si>
  <si>
    <t>0403</t>
  </si>
  <si>
    <t>33.11.11096.00</t>
  </si>
  <si>
    <t>TAMPA ACABAMENTO CINZA / 33.11.11096.00</t>
  </si>
  <si>
    <t>33.11.11097.00</t>
  </si>
  <si>
    <t>TAMPA ACABAMENTO CINZA / 33.11.11097.00</t>
  </si>
  <si>
    <t>33.11.11098.00</t>
  </si>
  <si>
    <t>TAMPA CINZA / 33.11.11098.00</t>
  </si>
  <si>
    <t>0408</t>
  </si>
  <si>
    <t>33.11.11099.00</t>
  </si>
  <si>
    <t>TAMPA PIVOTANTE CINZA / 33.11.11099.00</t>
  </si>
  <si>
    <t>0409</t>
  </si>
  <si>
    <t>0410</t>
  </si>
  <si>
    <t>33.11.11100.00</t>
  </si>
  <si>
    <t>TAMPA ACABAMENTO CINZA / 33.11.11100.00</t>
  </si>
  <si>
    <t>0411</t>
  </si>
  <si>
    <t>33.11.11101.00</t>
  </si>
  <si>
    <t>ACABAMENTO CINZA / 33.11.11101.00</t>
  </si>
  <si>
    <t>33.11.11102.00</t>
  </si>
  <si>
    <t>GUIA DO VARAO CINZA / 33.11.11102.00</t>
  </si>
  <si>
    <t>33.11.11103.00</t>
  </si>
  <si>
    <t>SUPORTE GUIA CINZA / 33.11.11103.00</t>
  </si>
  <si>
    <t>33.11.11104.00</t>
  </si>
  <si>
    <t>TAMPA CINZA / 33.11.11104.00</t>
  </si>
  <si>
    <t>0418</t>
  </si>
  <si>
    <t>33.11.11105.00</t>
  </si>
  <si>
    <t>TAMPA ACABAMENTO CINZA / 33.11.11105.00</t>
  </si>
  <si>
    <t>0419</t>
  </si>
  <si>
    <t>0420</t>
  </si>
  <si>
    <t>33.11.11106.00</t>
  </si>
  <si>
    <t>ACABAMENTO CINZA / 33.11.11106.00</t>
  </si>
  <si>
    <t>0421</t>
  </si>
  <si>
    <t>33.11.11108.00</t>
  </si>
  <si>
    <t>TAMPA CINZA / 33.11.11108.00</t>
  </si>
  <si>
    <t>0422</t>
  </si>
  <si>
    <t>33.11.11110.00</t>
  </si>
  <si>
    <t>TAMPA PIVOTANTE CINZA / 33.11.11110.00</t>
  </si>
  <si>
    <t>0423</t>
  </si>
  <si>
    <t>0424</t>
  </si>
  <si>
    <t>33.11.11111.00</t>
  </si>
  <si>
    <t>ACABAMENTO CINZA / 33.11.11111.00</t>
  </si>
  <si>
    <t>0425</t>
  </si>
  <si>
    <t>33.11.11112.00</t>
  </si>
  <si>
    <t>TAMPA CINZA / 33.11.11112.00</t>
  </si>
  <si>
    <t>33.11.11113.00</t>
  </si>
  <si>
    <t>CHAPA SUPERIOR MOVEL FIXACAO ELETRODUTO CINZA / 33.11.11113.00</t>
  </si>
  <si>
    <t>33.11.11114.00</t>
  </si>
  <si>
    <t>CHAPA SUPERIOR FIX. ELETRODUTO CINZA / 33.11.11114.00</t>
  </si>
  <si>
    <t>0428</t>
  </si>
  <si>
    <t>33.21.10308.00</t>
  </si>
  <si>
    <t>PRENSA CABO / 33.21.10308.00</t>
  </si>
  <si>
    <t>33.94.10151.00</t>
  </si>
  <si>
    <t>CHAPA TRAVAMENTO MODULOS PARA TRANSPORTE DIREITO / 33.94.10151.00</t>
  </si>
  <si>
    <t>33.94.10152.00</t>
  </si>
  <si>
    <t>CHAPA TRAVAMENTO MODULOS PARA TRANSPORTE ESQUERDO / 33.94.10152.00</t>
  </si>
  <si>
    <t>0431</t>
  </si>
  <si>
    <t>0432</t>
  </si>
  <si>
    <t>34.06.10002.00</t>
  </si>
  <si>
    <t>FUNDO TECLADO SPECTRUM / 34.06.10002.00</t>
  </si>
  <si>
    <t>049541</t>
  </si>
  <si>
    <t>21.23.01409</t>
  </si>
  <si>
    <t>SOLDA DA BASE COM A COLUNA \ AA_4539_03</t>
  </si>
  <si>
    <t>33.03.10225.00</t>
  </si>
  <si>
    <t>ACABAMENTO / 33.03.10225.00</t>
  </si>
  <si>
    <t>33.03.11051.00</t>
  </si>
  <si>
    <t>TAMPA ACABAMENTO CENTRAL 6040 DV CINZA / 33.03.11051.00</t>
  </si>
  <si>
    <t>33.03.11361.01</t>
  </si>
  <si>
    <t>ACABAMENTO ESTEIRA - D / 33.03.11361.01</t>
  </si>
  <si>
    <t>33.99.10043.00</t>
  </si>
  <si>
    <t>ESTICADOR DO ROLETE / 33.99.10043.00</t>
  </si>
  <si>
    <t>34.06.10013.00</t>
  </si>
  <si>
    <t>TAMPA TECLADO ANTIVANDALISMO / 34.06.10013.00</t>
  </si>
  <si>
    <t>049636</t>
  </si>
  <si>
    <t>21.23.00245</t>
  </si>
  <si>
    <t>CONJUNTO MONTADO COLIMADOR \ AA_1559_03</t>
  </si>
  <si>
    <t>33.14.10260.00</t>
  </si>
  <si>
    <t>ESPACADOR PARA ROLDANA / 33.14.10260.00</t>
  </si>
  <si>
    <t>049818</t>
  </si>
  <si>
    <t>21.23.00971</t>
  </si>
  <si>
    <t>ESTICADOR PECA 02 \ AA_4087_00</t>
  </si>
  <si>
    <t>21.23.00973</t>
  </si>
  <si>
    <t>TRAVA SUP DO ROLO LIVRE \ AA_4090_01</t>
  </si>
  <si>
    <t>21.23.00975</t>
  </si>
  <si>
    <t>MONTAGEM DA BASE DO TUBO DE RAIO-X \ AA_4094_03</t>
  </si>
  <si>
    <t>21.23.00990</t>
  </si>
  <si>
    <t>21.23.00991</t>
  </si>
  <si>
    <t>REFORCO COLIMADOR \ AA_4130_00</t>
  </si>
  <si>
    <t>21.23.01006</t>
  </si>
  <si>
    <t>REGULADOR DO COLIMADOR \ AA_4176_01</t>
  </si>
  <si>
    <t>21.23.01007</t>
  </si>
  <si>
    <t>TRAVA DO REGULADOR DO TUBO DE RAIO-X \ AA_4177_01</t>
  </si>
  <si>
    <t>21.23.01021</t>
  </si>
  <si>
    <t>TRAVA INFERIOR DO PINO 02 \ AA_4207_00</t>
  </si>
  <si>
    <t>21.23.01025</t>
  </si>
  <si>
    <t>APOIO TIPO ESPACADOR \ AA_4211_00</t>
  </si>
  <si>
    <t>21.23.01292</t>
  </si>
  <si>
    <t>TRAVA SUP. DO PAINEL \ AA_4481_01</t>
  </si>
  <si>
    <t>21.23.02257</t>
  </si>
  <si>
    <t>PERFIL 45 GRAU \ AA_9525_00</t>
  </si>
  <si>
    <t>21.23.02265</t>
  </si>
  <si>
    <t>BASE SECUNDARIA DO TUBO DE RAIO-X \ AA_9530_00</t>
  </si>
  <si>
    <t>21.23.02307</t>
  </si>
  <si>
    <t>TRAVA SUPERIOR DO COLIMADOR \ AA_6019_01</t>
  </si>
  <si>
    <t>21.23.02308</t>
  </si>
  <si>
    <t>FECHAMENTO SUPERIOR DO COLIMADOR \ AA_6020_01</t>
  </si>
  <si>
    <t>21.23.04291</t>
  </si>
  <si>
    <t>ACABAMENTO LATERAL ENTRADA 01 DIREITA / AA_9543_01</t>
  </si>
  <si>
    <t>33.03.10298.01</t>
  </si>
  <si>
    <t>SUPORTE / 33.03.10298.01</t>
  </si>
  <si>
    <t>33.12.10410.00</t>
  </si>
  <si>
    <t>SUPORTE DOS LED´S A / 33.12.10410.00</t>
  </si>
  <si>
    <t>33.12.10411.00</t>
  </si>
  <si>
    <t>SUPORTE DOS LED´S B / 33.12.10411.00</t>
  </si>
  <si>
    <t>049822</t>
  </si>
  <si>
    <t>049826</t>
  </si>
  <si>
    <t>21.23.03309</t>
  </si>
  <si>
    <t>ACABAMENTO LATERAL \ 03_0227_01</t>
  </si>
  <si>
    <t>33.03.10206.00</t>
  </si>
  <si>
    <t>33.03.10207.01</t>
  </si>
  <si>
    <t>OB - SUPORTE CORTINA / 33.03.10207.01</t>
  </si>
  <si>
    <t>33.03.10240.02</t>
  </si>
  <si>
    <t>PROTECAO ROLETE ESTICADOR ESQUERDO / 33.03.10240.02</t>
  </si>
  <si>
    <t>33.03.11366.01</t>
  </si>
  <si>
    <t>ACABAMENTO ESTEIRA - A / 33.03.11366.01</t>
  </si>
  <si>
    <t>33.03.11368.01</t>
  </si>
  <si>
    <t>ACABAMENTO ESTEIRA - C / 33.03.11368.01</t>
  </si>
  <si>
    <t>049835</t>
  </si>
  <si>
    <t>MT5-26459</t>
  </si>
  <si>
    <t>MT6-5169</t>
  </si>
  <si>
    <t>MT6-6149</t>
  </si>
  <si>
    <t>MPT-2514</t>
  </si>
  <si>
    <t>MT6-6139</t>
  </si>
  <si>
    <t>MT5-23268</t>
  </si>
  <si>
    <t>MT5-26462</t>
  </si>
  <si>
    <t>MT6-6141</t>
  </si>
  <si>
    <t>MT3-11235</t>
  </si>
  <si>
    <t>MT5-21879</t>
  </si>
  <si>
    <t>MT3-11241</t>
  </si>
  <si>
    <t>MT5-26464</t>
  </si>
  <si>
    <t>MT5-26465</t>
  </si>
  <si>
    <t>MT3-11243</t>
  </si>
  <si>
    <t>MT3-11237</t>
  </si>
  <si>
    <t>MT6-4713</t>
  </si>
  <si>
    <t>MT6-4714</t>
  </si>
  <si>
    <t>MT5-21900</t>
  </si>
  <si>
    <t>MT6-4720</t>
  </si>
  <si>
    <t>MPT-1879</t>
  </si>
  <si>
    <t>MT3-8971</t>
  </si>
  <si>
    <t>MT3-8973</t>
  </si>
  <si>
    <t>MT3-8974</t>
  </si>
  <si>
    <t>MT3-8976</t>
  </si>
  <si>
    <t>MT6-4726</t>
  </si>
  <si>
    <t>MT6-4744</t>
  </si>
  <si>
    <t>MT5-21783</t>
  </si>
  <si>
    <t>MT6-4531</t>
  </si>
  <si>
    <t>MT5-21793</t>
  </si>
  <si>
    <t>MT5-21787</t>
  </si>
  <si>
    <t>MT5-21789</t>
  </si>
  <si>
    <t>MT6-5570</t>
  </si>
  <si>
    <t>MT5-22227</t>
  </si>
  <si>
    <t>MT6-4683</t>
  </si>
  <si>
    <t>MT5-21925</t>
  </si>
  <si>
    <t>MT3-11274</t>
  </si>
  <si>
    <t>MT6-4727</t>
  </si>
  <si>
    <t>MT5-26523</t>
  </si>
  <si>
    <t>MT6-4740</t>
  </si>
  <si>
    <t>MT6-4738</t>
  </si>
  <si>
    <t>MT3-11248</t>
  </si>
  <si>
    <t>MT3-8984</t>
  </si>
  <si>
    <t>MT3-8985</t>
  </si>
  <si>
    <t>MT3-8986</t>
  </si>
  <si>
    <t>MT3-8987</t>
  </si>
  <si>
    <t>MT3-9629</t>
  </si>
  <si>
    <t>MT3-8957</t>
  </si>
  <si>
    <t>MT3-8958</t>
  </si>
  <si>
    <t>MT6-4715</t>
  </si>
  <si>
    <t>MT6-4718</t>
  </si>
  <si>
    <t>MT6-4719</t>
  </si>
  <si>
    <t>MT6-4721</t>
  </si>
  <si>
    <t>MT6-4878</t>
  </si>
  <si>
    <t>MT6-4723</t>
  </si>
  <si>
    <t>MT6-4856</t>
  </si>
  <si>
    <t>MT3-9079</t>
  </si>
  <si>
    <t>MT5-22192</t>
  </si>
  <si>
    <t>MT6-6132</t>
  </si>
  <si>
    <t>MT6-6105</t>
  </si>
  <si>
    <t>MT6-6231</t>
  </si>
  <si>
    <t>MT3-11273</t>
  </si>
  <si>
    <t>MT3-10132</t>
  </si>
  <si>
    <t>MT3-11286</t>
  </si>
  <si>
    <t>MT3-11138</t>
  </si>
  <si>
    <t>MT3-11652</t>
  </si>
  <si>
    <t>MT5-26968</t>
  </si>
  <si>
    <t>MT3-11672</t>
  </si>
  <si>
    <t>MT6-6355</t>
  </si>
  <si>
    <t>MT3-12272</t>
  </si>
  <si>
    <t>MT5-26966</t>
  </si>
  <si>
    <t>MT6-5793</t>
  </si>
  <si>
    <t>MT3-11239</t>
  </si>
  <si>
    <t>MT3-11240</t>
  </si>
  <si>
    <t>MT5-28655</t>
  </si>
  <si>
    <t>MT6-7116</t>
  </si>
  <si>
    <t>MT6-7117</t>
  </si>
  <si>
    <t>MT6-7122</t>
  </si>
  <si>
    <t>MT6-6239</t>
  </si>
  <si>
    <t>MT5-26533</t>
  </si>
  <si>
    <t>MT5-26784</t>
  </si>
  <si>
    <t>MT5-26743</t>
  </si>
  <si>
    <t>MT3-12937</t>
  </si>
  <si>
    <t>MT6-5168</t>
  </si>
  <si>
    <t>MT6-6138</t>
  </si>
  <si>
    <t>MT6-6136</t>
  </si>
  <si>
    <t>MT5-26461</t>
  </si>
  <si>
    <t>MT6-5252</t>
  </si>
  <si>
    <t>MT6-5240</t>
  </si>
  <si>
    <t>MT6-5254</t>
  </si>
  <si>
    <t>MT3-11236</t>
  </si>
  <si>
    <t>MT5-23794</t>
  </si>
  <si>
    <t>MT5-26466</t>
  </si>
  <si>
    <t>MT5-26469</t>
  </si>
  <si>
    <t>MT5-26470</t>
  </si>
  <si>
    <t>MT5-27535</t>
  </si>
  <si>
    <t>MT5-21892</t>
  </si>
  <si>
    <t>MT3-8965</t>
  </si>
  <si>
    <t>MT5-21905</t>
  </si>
  <si>
    <t>MT6-4729</t>
  </si>
  <si>
    <t>MT5-21915</t>
  </si>
  <si>
    <t>MT5-21920</t>
  </si>
  <si>
    <t>MT5-23655</t>
  </si>
  <si>
    <t>MT5-23920</t>
  </si>
  <si>
    <t>MT5-19837</t>
  </si>
  <si>
    <t>MT6-4372</t>
  </si>
  <si>
    <t>MT5-20417</t>
  </si>
  <si>
    <t>MT5-21798</t>
  </si>
  <si>
    <t>MT6-4686</t>
  </si>
  <si>
    <t>MT5-21931</t>
  </si>
  <si>
    <t>MT6-4734</t>
  </si>
  <si>
    <t>MT6-4735</t>
  </si>
  <si>
    <t>MT5-21934</t>
  </si>
  <si>
    <t>MT6-4736</t>
  </si>
  <si>
    <t>MT5-21909</t>
  </si>
  <si>
    <t>MT6-4739</t>
  </si>
  <si>
    <t>MT6-4732</t>
  </si>
  <si>
    <t>MT5-21888</t>
  </si>
  <si>
    <t>MT5-21891</t>
  </si>
  <si>
    <t>MT5-22145</t>
  </si>
  <si>
    <t>MT5-22146</t>
  </si>
  <si>
    <t>MT6-4849</t>
  </si>
  <si>
    <t>MT6-4854</t>
  </si>
  <si>
    <t>MT6-4855</t>
  </si>
  <si>
    <t>MT5-23442</t>
  </si>
  <si>
    <t>MT6-4859</t>
  </si>
  <si>
    <t>MT6-4941</t>
  </si>
  <si>
    <t>MT6-4864</t>
  </si>
  <si>
    <t>MT5-23444</t>
  </si>
  <si>
    <t>MT6-4812</t>
  </si>
  <si>
    <t>MT6-5698</t>
  </si>
  <si>
    <t>MT6-4814</t>
  </si>
  <si>
    <t>MT6-4815</t>
  </si>
  <si>
    <t>MT6-4819</t>
  </si>
  <si>
    <t>MT6-4821</t>
  </si>
  <si>
    <t>MT5-22172</t>
  </si>
  <si>
    <t>MT6-5576</t>
  </si>
  <si>
    <t>MT6-5253</t>
  </si>
  <si>
    <t>MT5-23317</t>
  </si>
  <si>
    <t>MT6-5763</t>
  </si>
  <si>
    <t>MT5-26478</t>
  </si>
  <si>
    <t>MT5-26479</t>
  </si>
  <si>
    <t>MT5-26480</t>
  </si>
  <si>
    <t>MT5-26481</t>
  </si>
  <si>
    <t>MT5-26484</t>
  </si>
  <si>
    <t>MT3-11238</t>
  </si>
  <si>
    <t>MT5-26489</t>
  </si>
  <si>
    <t>MT5-26491</t>
  </si>
  <si>
    <t>MT5-26492</t>
  </si>
  <si>
    <t>MT5-26493</t>
  </si>
  <si>
    <t>MT5-26275</t>
  </si>
  <si>
    <t>MT3-11136</t>
  </si>
  <si>
    <t>MT6-6242</t>
  </si>
  <si>
    <t>MT6-6177</t>
  </si>
  <si>
    <t>MT6-6357</t>
  </si>
  <si>
    <t>MT5-26967</t>
  </si>
  <si>
    <t>MT3-12270</t>
  </si>
  <si>
    <t>MT3-10134</t>
  </si>
  <si>
    <t>MT5-24841</t>
  </si>
  <si>
    <t>MT3-10347</t>
  </si>
  <si>
    <t>MT6-6260</t>
  </si>
  <si>
    <t>MT6-6263</t>
  </si>
  <si>
    <t>MT6-6264</t>
  </si>
  <si>
    <t>MT6-6265</t>
  </si>
  <si>
    <t>MT5-26494</t>
  </si>
  <si>
    <t>MT5-27539</t>
  </si>
  <si>
    <t>MT5-28649</t>
  </si>
  <si>
    <t>MT5-28640</t>
  </si>
  <si>
    <t>MT3-14212</t>
  </si>
  <si>
    <t>MT6-7419</t>
  </si>
  <si>
    <t>MT5-26964</t>
  </si>
  <si>
    <t>MT5-28280</t>
  </si>
  <si>
    <t>MT6-4885</t>
  </si>
  <si>
    <t>MT3-11648</t>
  </si>
  <si>
    <t>MT3-11649</t>
  </si>
  <si>
    <t>MT6-6241</t>
  </si>
  <si>
    <t>049838</t>
  </si>
  <si>
    <t>MT5-28645</t>
  </si>
  <si>
    <t>MT5-19813</t>
  </si>
  <si>
    <t>MT5-19816</t>
  </si>
  <si>
    <t>MT5-19817</t>
  </si>
  <si>
    <t>MPT-1700</t>
  </si>
  <si>
    <t>MT5-23921</t>
  </si>
  <si>
    <t>MT6-4357</t>
  </si>
  <si>
    <t>MT5-19826</t>
  </si>
  <si>
    <t>MT6-5710</t>
  </si>
  <si>
    <t>MT5-19829</t>
  </si>
  <si>
    <t>MT5-19830</t>
  </si>
  <si>
    <t>MT5-19839</t>
  </si>
  <si>
    <t>MT6-4387</t>
  </si>
  <si>
    <t>MT3-8345</t>
  </si>
  <si>
    <t>MT6-4375</t>
  </si>
  <si>
    <t>MT5-19858</t>
  </si>
  <si>
    <t>MT5-20418</t>
  </si>
  <si>
    <t>MT6-4475</t>
  </si>
  <si>
    <t>MT5-22904</t>
  </si>
  <si>
    <t>MT5-20422</t>
  </si>
  <si>
    <t>MT5-20410</t>
  </si>
  <si>
    <t>MT6-4520</t>
  </si>
  <si>
    <t>MT5-21790</t>
  </si>
  <si>
    <t>MT5-26471</t>
  </si>
  <si>
    <t>MT3-8932</t>
  </si>
  <si>
    <t>MT6-4688</t>
  </si>
  <si>
    <t>MT5-21938</t>
  </si>
  <si>
    <t>MT5-21887</t>
  </si>
  <si>
    <t>MT5-21880</t>
  </si>
  <si>
    <t>MT6-4716</t>
  </si>
  <si>
    <t>MT5-21895</t>
  </si>
  <si>
    <t>MT3-8962</t>
  </si>
  <si>
    <t>MT5-21901</t>
  </si>
  <si>
    <t>MT3-9068</t>
  </si>
  <si>
    <t>MT6-6119</t>
  </si>
  <si>
    <t>MT5-22187</t>
  </si>
  <si>
    <t>MT5-23443</t>
  </si>
  <si>
    <t>MT6-4860</t>
  </si>
  <si>
    <t>MT6-4861</t>
  </si>
  <si>
    <t>MT5-22191</t>
  </si>
  <si>
    <t>MT6-4863</t>
  </si>
  <si>
    <t>MT6-4865</t>
  </si>
  <si>
    <t>MT6-4866</t>
  </si>
  <si>
    <t>MT5-22154</t>
  </si>
  <si>
    <t>MT5-22161</t>
  </si>
  <si>
    <t>MT5-22165</t>
  </si>
  <si>
    <t>MT6-4825</t>
  </si>
  <si>
    <t>MT5-22168</t>
  </si>
  <si>
    <t>MT5-22169</t>
  </si>
  <si>
    <t>MT6-4830</t>
  </si>
  <si>
    <t>MT6-4831</t>
  </si>
  <si>
    <t>MT6-4940</t>
  </si>
  <si>
    <t>MT6-6101</t>
  </si>
  <si>
    <t>MT5-26699</t>
  </si>
  <si>
    <t>MT5-26931</t>
  </si>
  <si>
    <t>MT6-6232</t>
  </si>
  <si>
    <t>MT3-12223</t>
  </si>
  <si>
    <t>MT6-6170</t>
  </si>
  <si>
    <t>MT5-23232</t>
  </si>
  <si>
    <t>MT5-23233</t>
  </si>
  <si>
    <t>MT6-5574</t>
  </si>
  <si>
    <t>MT6-5575</t>
  </si>
  <si>
    <t>MT5-23918</t>
  </si>
  <si>
    <t>MT6-5448</t>
  </si>
  <si>
    <t>MT3-11167</t>
  </si>
  <si>
    <t>MT6-5986</t>
  </si>
  <si>
    <t>MT6-5987</t>
  </si>
  <si>
    <t>MT5-26274</t>
  </si>
  <si>
    <t>MT5-24757</t>
  </si>
  <si>
    <t>MT5-26477</t>
  </si>
  <si>
    <t>MT6-6146</t>
  </si>
  <si>
    <t>MT5-26482</t>
  </si>
  <si>
    <t>MT5-26485</t>
  </si>
  <si>
    <t>MT5-26500</t>
  </si>
  <si>
    <t>MT5-26488</t>
  </si>
  <si>
    <t>MT6-6147</t>
  </si>
  <si>
    <t>MT6-6103</t>
  </si>
  <si>
    <t>MT5-26267</t>
  </si>
  <si>
    <t>MT5-26264</t>
  </si>
  <si>
    <t>MT5-26266</t>
  </si>
  <si>
    <t>MT5-26268</t>
  </si>
  <si>
    <t>MT5-26269</t>
  </si>
  <si>
    <t>MT5-26277</t>
  </si>
  <si>
    <t>MT5-26276</t>
  </si>
  <si>
    <t>MT5-26272</t>
  </si>
  <si>
    <t>MT3-11135</t>
  </si>
  <si>
    <t>MT3-11137</t>
  </si>
  <si>
    <t>MT6-6240</t>
  </si>
  <si>
    <t>MT6-6244</t>
  </si>
  <si>
    <t>MT6-6106</t>
  </si>
  <si>
    <t>MT6-6245</t>
  </si>
  <si>
    <t>MT5-23812</t>
  </si>
  <si>
    <t>MT6-7474</t>
  </si>
  <si>
    <t>MT5-24249</t>
  </si>
  <si>
    <t>MT6-5582</t>
  </si>
  <si>
    <t>MT6-5792</t>
  </si>
  <si>
    <t>MT5-24845</t>
  </si>
  <si>
    <t>MT6-6259</t>
  </si>
  <si>
    <t>MT6-6261</t>
  </si>
  <si>
    <t>MT6-6262</t>
  </si>
  <si>
    <t>MT5-26775</t>
  </si>
  <si>
    <t>MT6-6274</t>
  </si>
  <si>
    <t>MT6-6275</t>
  </si>
  <si>
    <t>MT6-6276</t>
  </si>
  <si>
    <t>MT6-6277</t>
  </si>
  <si>
    <t>MT5-26495</t>
  </si>
  <si>
    <t>MT5-28149</t>
  </si>
  <si>
    <t>MT5-28150</t>
  </si>
  <si>
    <t>MT5-26498</t>
  </si>
  <si>
    <t>MT6-6178</t>
  </si>
  <si>
    <t>MT5-28650</t>
  </si>
  <si>
    <t>MT5-27901</t>
  </si>
  <si>
    <t>MT5-26963</t>
  </si>
  <si>
    <t>MT3-14262</t>
  </si>
  <si>
    <t>RAFAEL</t>
  </si>
  <si>
    <t>051062</t>
  </si>
  <si>
    <t>CONCATENAR</t>
  </si>
  <si>
    <t>Soma de QTDE_EM_ABERTO</t>
  </si>
  <si>
    <t>BODYSCAN HSV</t>
  </si>
  <si>
    <t>BODYSCAN DV</t>
  </si>
  <si>
    <t>SPEC 5333</t>
  </si>
  <si>
    <t>SPEC 5536</t>
  </si>
  <si>
    <t>SPEC 6040 P3D</t>
  </si>
  <si>
    <t>SPEC 6040 SV</t>
  </si>
  <si>
    <t>SPEC 7560</t>
  </si>
  <si>
    <t>SPEC 6040 C ELET. NOVA</t>
  </si>
  <si>
    <t>FLATSCAN</t>
  </si>
  <si>
    <t>SPEC 100100 DV</t>
  </si>
  <si>
    <t>SPEC 100100 HDV</t>
  </si>
  <si>
    <t>SPEC 100100 M</t>
  </si>
  <si>
    <t>SPEC 180180 SV 200KV</t>
  </si>
  <si>
    <t>SPEC 180180 DV 320KV</t>
  </si>
  <si>
    <t>CARGO GANTRY</t>
  </si>
  <si>
    <t>PORTAL GARRETT</t>
  </si>
  <si>
    <t>CABINE BS</t>
  </si>
  <si>
    <t>PHANTOM 180180 200KV</t>
  </si>
  <si>
    <t>BASE 5333</t>
  </si>
  <si>
    <t>MESA 5333</t>
  </si>
  <si>
    <t>MESA 5536/6040</t>
  </si>
  <si>
    <t>MESA 7560</t>
  </si>
  <si>
    <t>MESA 100100</t>
  </si>
  <si>
    <t>MESA 100100 H</t>
  </si>
  <si>
    <t>TECLADO OPERAÇÃO ELET. NOVA</t>
  </si>
  <si>
    <t>21.23.00970</t>
  </si>
  <si>
    <t>MPT-1699</t>
  </si>
  <si>
    <t>MPT-1701</t>
  </si>
  <si>
    <t>MPT-1702</t>
  </si>
  <si>
    <t>21.23.00980</t>
  </si>
  <si>
    <t>MPT-1703</t>
  </si>
  <si>
    <t>21.23.00983</t>
  </si>
  <si>
    <t>MPT-1704</t>
  </si>
  <si>
    <t>21.23.00988</t>
  </si>
  <si>
    <t>MPT-1705</t>
  </si>
  <si>
    <t>21.23.01022</t>
  </si>
  <si>
    <t>MPT-1706</t>
  </si>
  <si>
    <t>21.23.01044</t>
  </si>
  <si>
    <t>MPT-1707</t>
  </si>
  <si>
    <t>21.23.01415</t>
  </si>
  <si>
    <t>MPT-1776</t>
  </si>
  <si>
    <t>21.23.01423</t>
  </si>
  <si>
    <t>MPT-1778</t>
  </si>
  <si>
    <t>21.23.01425</t>
  </si>
  <si>
    <t>MPT-1779</t>
  </si>
  <si>
    <t>21.23.00102</t>
  </si>
  <si>
    <t>MPT-1800</t>
  </si>
  <si>
    <t>21.23.01563</t>
  </si>
  <si>
    <t>MPT-1802</t>
  </si>
  <si>
    <t>21.23.01837</t>
  </si>
  <si>
    <t>MPT-1865</t>
  </si>
  <si>
    <t>21.23.00228</t>
  </si>
  <si>
    <t>MPT-1880</t>
  </si>
  <si>
    <t>21.23.02420</t>
  </si>
  <si>
    <t>MPT-1882</t>
  </si>
  <si>
    <t>21.23.00713</t>
  </si>
  <si>
    <t>MPT-1886</t>
  </si>
  <si>
    <t>21.23.02045</t>
  </si>
  <si>
    <t>MPT-1887</t>
  </si>
  <si>
    <t>21.23.02060</t>
  </si>
  <si>
    <t>MPT-1888</t>
  </si>
  <si>
    <t>21.23.02061</t>
  </si>
  <si>
    <t>MPT-1889</t>
  </si>
  <si>
    <t>21.23.02062</t>
  </si>
  <si>
    <t>MPT-1890</t>
  </si>
  <si>
    <t>21.23.00121</t>
  </si>
  <si>
    <t>MPT-1894</t>
  </si>
  <si>
    <t>21.23.01257</t>
  </si>
  <si>
    <t>MPT-1895</t>
  </si>
  <si>
    <t>21.23.01882</t>
  </si>
  <si>
    <t>MPT-1900</t>
  </si>
  <si>
    <t>21.23.00477</t>
  </si>
  <si>
    <t>MPT-1901</t>
  </si>
  <si>
    <t>21.23.01421</t>
  </si>
  <si>
    <t>MPT-1902</t>
  </si>
  <si>
    <t>21.23.02516</t>
  </si>
  <si>
    <t>MPT-1912</t>
  </si>
  <si>
    <t>21.23.02535</t>
  </si>
  <si>
    <t>MPT-1913</t>
  </si>
  <si>
    <t>21.23.02612</t>
  </si>
  <si>
    <t>MPT-1915</t>
  </si>
  <si>
    <t>21.23.02754</t>
  </si>
  <si>
    <t>MPT-1926</t>
  </si>
  <si>
    <t>21.23.02957</t>
  </si>
  <si>
    <t>MPT-1947</t>
  </si>
  <si>
    <t>21.23.02982</t>
  </si>
  <si>
    <t>MPT-1948</t>
  </si>
  <si>
    <t>21.23.03006</t>
  </si>
  <si>
    <t>MPT-1954</t>
  </si>
  <si>
    <t>MPT-2610</t>
  </si>
  <si>
    <t>21.23.04820</t>
  </si>
  <si>
    <t>MPT-2611</t>
  </si>
  <si>
    <t>33.09.20013.00</t>
  </si>
  <si>
    <t>MPT-2758</t>
  </si>
  <si>
    <t>33.09.20014.00</t>
  </si>
  <si>
    <t>MPT-2759</t>
  </si>
  <si>
    <t>33.09.20026.00</t>
  </si>
  <si>
    <t>MPT-2760</t>
  </si>
  <si>
    <t>33.20.10490.00</t>
  </si>
  <si>
    <t>MPT-2809</t>
  </si>
  <si>
    <t>33.23.20002.02</t>
  </si>
  <si>
    <t>MPT-2810</t>
  </si>
  <si>
    <t>33.41.20009.00</t>
  </si>
  <si>
    <t>MPT-2812</t>
  </si>
  <si>
    <t>21.23.01119</t>
  </si>
  <si>
    <t>MT2-2105</t>
  </si>
  <si>
    <t>21.23.03095</t>
  </si>
  <si>
    <t>MT2-2316</t>
  </si>
  <si>
    <t>21.23.02933</t>
  </si>
  <si>
    <t>MT2-2337</t>
  </si>
  <si>
    <t>21.23.02934</t>
  </si>
  <si>
    <t>MT2-2338</t>
  </si>
  <si>
    <t>21.23.02958</t>
  </si>
  <si>
    <t>MT2-2339</t>
  </si>
  <si>
    <t>21.23.02973</t>
  </si>
  <si>
    <t>MT2-2340</t>
  </si>
  <si>
    <t>21.23.02975</t>
  </si>
  <si>
    <t>MT2-2341</t>
  </si>
  <si>
    <t>21.23.02985</t>
  </si>
  <si>
    <t>MT2-2342</t>
  </si>
  <si>
    <t>21.23.02993</t>
  </si>
  <si>
    <t>MT2-2343</t>
  </si>
  <si>
    <t>21.23.03011</t>
  </si>
  <si>
    <t>MT2-2344</t>
  </si>
  <si>
    <t>21.23.01350</t>
  </si>
  <si>
    <t>MT2-2404</t>
  </si>
  <si>
    <t>21.23.04492</t>
  </si>
  <si>
    <t>MT3-10237</t>
  </si>
  <si>
    <t>21.23.04493</t>
  </si>
  <si>
    <t>MT3-10238</t>
  </si>
  <si>
    <t>MT3-10663</t>
  </si>
  <si>
    <t>21.23.04682</t>
  </si>
  <si>
    <t>MT3-10666</t>
  </si>
  <si>
    <t>MT3-11272</t>
  </si>
  <si>
    <t>33.11.10600.00</t>
  </si>
  <si>
    <t>MT3-11330</t>
  </si>
  <si>
    <t>21.23.01711</t>
  </si>
  <si>
    <t>MT3-11640</t>
  </si>
  <si>
    <t>21.23.01715</t>
  </si>
  <si>
    <t>MT3-11641</t>
  </si>
  <si>
    <t>MT3-11643</t>
  </si>
  <si>
    <t>21.23.04334</t>
  </si>
  <si>
    <t>MT3-11644</t>
  </si>
  <si>
    <t>21.23.04433</t>
  </si>
  <si>
    <t>MT3-11645</t>
  </si>
  <si>
    <t>21.23.04684</t>
  </si>
  <si>
    <t>MT3-11646</t>
  </si>
  <si>
    <t>21.23.04685</t>
  </si>
  <si>
    <t>MT3-11647</t>
  </si>
  <si>
    <t>33.03.11466.00</t>
  </si>
  <si>
    <t>MT3-11653</t>
  </si>
  <si>
    <t>33.03.10505.00</t>
  </si>
  <si>
    <t>MT3-12196</t>
  </si>
  <si>
    <t>01.33.00042</t>
  </si>
  <si>
    <t>MT3-12269</t>
  </si>
  <si>
    <t>MT3-12271</t>
  </si>
  <si>
    <t>33.08.10233.00</t>
  </si>
  <si>
    <t>MT3-12274</t>
  </si>
  <si>
    <t>21.23.04051</t>
  </si>
  <si>
    <t>MT3-12276</t>
  </si>
  <si>
    <t>33.03.10243.00</t>
  </si>
  <si>
    <t>MT3-12281</t>
  </si>
  <si>
    <t>MT3-12320</t>
  </si>
  <si>
    <t>21.23.04471</t>
  </si>
  <si>
    <t>MT3-12321</t>
  </si>
  <si>
    <t>21.23.04474</t>
  </si>
  <si>
    <t>MT3-12322</t>
  </si>
  <si>
    <t>21.23.04475</t>
  </si>
  <si>
    <t>MT3-12323</t>
  </si>
  <si>
    <t>21.23.04478</t>
  </si>
  <si>
    <t>MT3-12324</t>
  </si>
  <si>
    <t>21.23.04802</t>
  </si>
  <si>
    <t>MT3-12325</t>
  </si>
  <si>
    <t>21.23.01419</t>
  </si>
  <si>
    <t>MT3-12458</t>
  </si>
  <si>
    <t>33.03.10258.01</t>
  </si>
  <si>
    <t>MT3-12618</t>
  </si>
  <si>
    <t>33.09.10197.00</t>
  </si>
  <si>
    <t>MT3-12688</t>
  </si>
  <si>
    <t>33.09.10321.00</t>
  </si>
  <si>
    <t>MT3-12689</t>
  </si>
  <si>
    <t>33.09.10322.00</t>
  </si>
  <si>
    <t>MT3-12690</t>
  </si>
  <si>
    <t>33.09.10195.00</t>
  </si>
  <si>
    <t>MT3-12691</t>
  </si>
  <si>
    <t>33.09.10312.00</t>
  </si>
  <si>
    <t>MT3-12692</t>
  </si>
  <si>
    <t>33.20.10251.01</t>
  </si>
  <si>
    <t>33.20.10253.01</t>
  </si>
  <si>
    <t>MT3-12938</t>
  </si>
  <si>
    <t>33.41.10051.00</t>
  </si>
  <si>
    <t>MT3-12976</t>
  </si>
  <si>
    <t>33.41.10246.00</t>
  </si>
  <si>
    <t>MT3-12981</t>
  </si>
  <si>
    <t>33.08.10015.00</t>
  </si>
  <si>
    <t>MT3-13009</t>
  </si>
  <si>
    <t>33.41.10058.00</t>
  </si>
  <si>
    <t>MT3-13131</t>
  </si>
  <si>
    <t>33.41.10229.00</t>
  </si>
  <si>
    <t>MT3-13166</t>
  </si>
  <si>
    <t>33.41.10241.00</t>
  </si>
  <si>
    <t>MT3-13168</t>
  </si>
  <si>
    <t>21.23.04335</t>
  </si>
  <si>
    <t>MT3-13334</t>
  </si>
  <si>
    <t>33.20.10562.00</t>
  </si>
  <si>
    <t>MT3-14211</t>
  </si>
  <si>
    <t>MT3-14426</t>
  </si>
  <si>
    <t>MT3-14427</t>
  </si>
  <si>
    <t>MT3-14428</t>
  </si>
  <si>
    <t>MT3-14429</t>
  </si>
  <si>
    <t>MT3-14430</t>
  </si>
  <si>
    <t>MT3-14431</t>
  </si>
  <si>
    <t>MT6-7676</t>
  </si>
  <si>
    <t>MT3-14433</t>
  </si>
  <si>
    <t>MT3-14434</t>
  </si>
  <si>
    <t>MT3-14435</t>
  </si>
  <si>
    <t>MT3-14436</t>
  </si>
  <si>
    <t>MT3-14437</t>
  </si>
  <si>
    <t>MT3-14438</t>
  </si>
  <si>
    <t>MT3-14439</t>
  </si>
  <si>
    <t>MT3-14440</t>
  </si>
  <si>
    <t>MT3-14441</t>
  </si>
  <si>
    <t>MT3-14442</t>
  </si>
  <si>
    <t>MT3-14443</t>
  </si>
  <si>
    <t>MT3-14444</t>
  </si>
  <si>
    <t>MT3-14445</t>
  </si>
  <si>
    <t>MT3-14446</t>
  </si>
  <si>
    <t>MT3-14447</t>
  </si>
  <si>
    <t>MT3-14448</t>
  </si>
  <si>
    <t>MT3-14449</t>
  </si>
  <si>
    <t>MT3-14450</t>
  </si>
  <si>
    <t>MT3-14451</t>
  </si>
  <si>
    <t>MT3-14452</t>
  </si>
  <si>
    <t>MT3-14453</t>
  </si>
  <si>
    <t>MT3-14454</t>
  </si>
  <si>
    <t>MT3-14455</t>
  </si>
  <si>
    <t>MT3-14456</t>
  </si>
  <si>
    <t>MT3-14457</t>
  </si>
  <si>
    <t>MT3-14458</t>
  </si>
  <si>
    <t>MT3-14459</t>
  </si>
  <si>
    <t>MT3-14460</t>
  </si>
  <si>
    <t>MT3-14461</t>
  </si>
  <si>
    <t>MT3-14462</t>
  </si>
  <si>
    <t>MT3-14463</t>
  </si>
  <si>
    <t>MT6-7678</t>
  </si>
  <si>
    <t>MT3-14465</t>
  </si>
  <si>
    <t>MT3-11251</t>
  </si>
  <si>
    <t>MT3-14470</t>
  </si>
  <si>
    <t>MT3-14471</t>
  </si>
  <si>
    <t>MT3-14472</t>
  </si>
  <si>
    <t>MT3-11342</t>
  </si>
  <si>
    <t>MT3-12132</t>
  </si>
  <si>
    <t>MT3-11266</t>
  </si>
  <si>
    <t>MT3-14478</t>
  </si>
  <si>
    <t>MT3-14479</t>
  </si>
  <si>
    <t>MT3-14480</t>
  </si>
  <si>
    <t>MT3-14481</t>
  </si>
  <si>
    <t>MT3-14482</t>
  </si>
  <si>
    <t>MT3-14483</t>
  </si>
  <si>
    <t>MT3-14484</t>
  </si>
  <si>
    <t>MT3-14485</t>
  </si>
  <si>
    <t>MT3-14486</t>
  </si>
  <si>
    <t>MT3-14489</t>
  </si>
  <si>
    <t>MT3-14490</t>
  </si>
  <si>
    <t>MT3-14491</t>
  </si>
  <si>
    <t>MT3-14492</t>
  </si>
  <si>
    <t>21.23.00962</t>
  </si>
  <si>
    <t>MT3-8326</t>
  </si>
  <si>
    <t>21.23.00974</t>
  </si>
  <si>
    <t>MT3-8327</t>
  </si>
  <si>
    <t>21.23.00982</t>
  </si>
  <si>
    <t>MT3-8328</t>
  </si>
  <si>
    <t>21.23.00993</t>
  </si>
  <si>
    <t>MT3-8329</t>
  </si>
  <si>
    <t>MT3-8330</t>
  </si>
  <si>
    <t>MT3-8332</t>
  </si>
  <si>
    <t>MT3-8333</t>
  </si>
  <si>
    <t>21.23.01009</t>
  </si>
  <si>
    <t>MT3-8334</t>
  </si>
  <si>
    <t>21.23.01012</t>
  </si>
  <si>
    <t>MT3-8335</t>
  </si>
  <si>
    <t>21.23.01030</t>
  </si>
  <si>
    <t>MT3-8336</t>
  </si>
  <si>
    <t>21.23.01034</t>
  </si>
  <si>
    <t>MT3-8337</t>
  </si>
  <si>
    <t>21.23.01037</t>
  </si>
  <si>
    <t>MT3-8338</t>
  </si>
  <si>
    <t>MT3-8342</t>
  </si>
  <si>
    <t>21.23.01085</t>
  </si>
  <si>
    <t>MT3-8389</t>
  </si>
  <si>
    <t>21.23.00919</t>
  </si>
  <si>
    <t>MT3-8390</t>
  </si>
  <si>
    <t>21.23.00921</t>
  </si>
  <si>
    <t>MT3-8392</t>
  </si>
  <si>
    <t>21.23.01102</t>
  </si>
  <si>
    <t>MT3-8393</t>
  </si>
  <si>
    <t>21.23.01109</t>
  </si>
  <si>
    <t>MT3-8394</t>
  </si>
  <si>
    <t>21.23.01115</t>
  </si>
  <si>
    <t>MT3-8396</t>
  </si>
  <si>
    <t>21.23.01067</t>
  </si>
  <si>
    <t>MT3-8403</t>
  </si>
  <si>
    <t>21.23.01120</t>
  </si>
  <si>
    <t>MT3-8442</t>
  </si>
  <si>
    <t>21.23.00887</t>
  </si>
  <si>
    <t>MT3-8515</t>
  </si>
  <si>
    <t>21.23.00888</t>
  </si>
  <si>
    <t>MT3-8516</t>
  </si>
  <si>
    <t>21.23.00889</t>
  </si>
  <si>
    <t>MT3-8517</t>
  </si>
  <si>
    <t>21.23.00903</t>
  </si>
  <si>
    <t>MT3-8518</t>
  </si>
  <si>
    <t>21.23.00916</t>
  </si>
  <si>
    <t>MT3-8519</t>
  </si>
  <si>
    <t>21.23.00917</t>
  </si>
  <si>
    <t>MT3-8520</t>
  </si>
  <si>
    <t>21.23.00923</t>
  </si>
  <si>
    <t>MT3-8521</t>
  </si>
  <si>
    <t>21.23.00928</t>
  </si>
  <si>
    <t>MT3-8522</t>
  </si>
  <si>
    <t>21.23.00929</t>
  </si>
  <si>
    <t>MT3-8523</t>
  </si>
  <si>
    <t>21.23.00936</t>
  </si>
  <si>
    <t>MT3-8524</t>
  </si>
  <si>
    <t>21.23.00915</t>
  </si>
  <si>
    <t>MT3-8525</t>
  </si>
  <si>
    <t>21.23.00912</t>
  </si>
  <si>
    <t>MT3-8526</t>
  </si>
  <si>
    <t>21.23.02344</t>
  </si>
  <si>
    <t>MT3-8529</t>
  </si>
  <si>
    <t>21.23.02641</t>
  </si>
  <si>
    <t>MT3-8530</t>
  </si>
  <si>
    <t>21.23.00961</t>
  </si>
  <si>
    <t>MT3-8542</t>
  </si>
  <si>
    <t>33.41.10273.00</t>
  </si>
  <si>
    <t>MT3-8592</t>
  </si>
  <si>
    <t>13.03.00190</t>
  </si>
  <si>
    <t>MT3-8621</t>
  </si>
  <si>
    <t>33.41.10274.00</t>
  </si>
  <si>
    <t>MT3-8633</t>
  </si>
  <si>
    <t>21.23.01410</t>
  </si>
  <si>
    <t>MT3-8641</t>
  </si>
  <si>
    <t>21.23.01542</t>
  </si>
  <si>
    <t>MT3-8724</t>
  </si>
  <si>
    <t>21.23.01543</t>
  </si>
  <si>
    <t>MT3-8725</t>
  </si>
  <si>
    <t>33.41.10243.00</t>
  </si>
  <si>
    <t>MT3-8736</t>
  </si>
  <si>
    <t>21.23.02058</t>
  </si>
  <si>
    <t>MT3-8975</t>
  </si>
  <si>
    <t>21.23.02041</t>
  </si>
  <si>
    <t>MT3-8980</t>
  </si>
  <si>
    <t>21.23.02076</t>
  </si>
  <si>
    <t>MT3-8981</t>
  </si>
  <si>
    <t>MT3-8983</t>
  </si>
  <si>
    <t>MT3-9069</t>
  </si>
  <si>
    <t>21.23.02369</t>
  </si>
  <si>
    <t>MT3-9071</t>
  </si>
  <si>
    <t>21.23.02370</t>
  </si>
  <si>
    <t>MT3-9072</t>
  </si>
  <si>
    <t>21.23.02386</t>
  </si>
  <si>
    <t>MT3-9073</t>
  </si>
  <si>
    <t>21.23.02389</t>
  </si>
  <si>
    <t>MT3-9074</t>
  </si>
  <si>
    <t>21.23.02262</t>
  </si>
  <si>
    <t>MT3-9075</t>
  </si>
  <si>
    <t>21.23.02266</t>
  </si>
  <si>
    <t>MT3-9077</t>
  </si>
  <si>
    <t>21.23.02269</t>
  </si>
  <si>
    <t>MT3-9078</t>
  </si>
  <si>
    <t>21.23.02233</t>
  </si>
  <si>
    <t>MT3-9082</t>
  </si>
  <si>
    <t>21.23.02295</t>
  </si>
  <si>
    <t>MT3-9085</t>
  </si>
  <si>
    <t>21.23.02301</t>
  </si>
  <si>
    <t>MT3-9086</t>
  </si>
  <si>
    <t>01.33.00031</t>
  </si>
  <si>
    <t>MT3-9087</t>
  </si>
  <si>
    <t>01.33.00032</t>
  </si>
  <si>
    <t>MT3-9088</t>
  </si>
  <si>
    <t>21.23.00814</t>
  </si>
  <si>
    <t>MT3-9089</t>
  </si>
  <si>
    <t>21.23.02184</t>
  </si>
  <si>
    <t>MT3-9093</t>
  </si>
  <si>
    <t>21.23.02186</t>
  </si>
  <si>
    <t>MT3-9094</t>
  </si>
  <si>
    <t>21.23.00542</t>
  </si>
  <si>
    <t>MT3-9098</t>
  </si>
  <si>
    <t>01.33.00003</t>
  </si>
  <si>
    <t>MT3-9100</t>
  </si>
  <si>
    <t>21.23.01994</t>
  </si>
  <si>
    <t>MT3-9131</t>
  </si>
  <si>
    <t>21.23.02655</t>
  </si>
  <si>
    <t>MT3-9135</t>
  </si>
  <si>
    <t>21.23.02654</t>
  </si>
  <si>
    <t>MT3-9136</t>
  </si>
  <si>
    <t>21.23.02622</t>
  </si>
  <si>
    <t>MT3-9141</t>
  </si>
  <si>
    <t>21.23.02635</t>
  </si>
  <si>
    <t>MT3-9142</t>
  </si>
  <si>
    <t>21.23.02640</t>
  </si>
  <si>
    <t>MT3-9143</t>
  </si>
  <si>
    <t>21.23.02467</t>
  </si>
  <si>
    <t>MT3-9157</t>
  </si>
  <si>
    <t>21.23.02606</t>
  </si>
  <si>
    <t>MT3-9160</t>
  </si>
  <si>
    <t>21.23.02558</t>
  </si>
  <si>
    <t>MT3-9161</t>
  </si>
  <si>
    <t>21.23.02587</t>
  </si>
  <si>
    <t>MT3-9162</t>
  </si>
  <si>
    <t>21.23.02596</t>
  </si>
  <si>
    <t>MT3-9163</t>
  </si>
  <si>
    <t>21.23.02597</t>
  </si>
  <si>
    <t>MT3-9164</t>
  </si>
  <si>
    <t>21.23.02589</t>
  </si>
  <si>
    <t>MT3-9165</t>
  </si>
  <si>
    <t>MT3-9352</t>
  </si>
  <si>
    <t>21.23.02935</t>
  </si>
  <si>
    <t>MT3-9416</t>
  </si>
  <si>
    <t>21.23.02936</t>
  </si>
  <si>
    <t>MT3-9417</t>
  </si>
  <si>
    <t>21.23.02937</t>
  </si>
  <si>
    <t>MT3-9418</t>
  </si>
  <si>
    <t>21.23.02938</t>
  </si>
  <si>
    <t>MT3-9419</t>
  </si>
  <si>
    <t>21.23.02939</t>
  </si>
  <si>
    <t>MT3-9420</t>
  </si>
  <si>
    <t>21.23.02940</t>
  </si>
  <si>
    <t>MT3-9421</t>
  </si>
  <si>
    <t>21.23.02941</t>
  </si>
  <si>
    <t>MT3-9422</t>
  </si>
  <si>
    <t>21.23.02942</t>
  </si>
  <si>
    <t>MT3-9423</t>
  </si>
  <si>
    <t>21.23.02943</t>
  </si>
  <si>
    <t>MT3-9424</t>
  </si>
  <si>
    <t>21.23.02945</t>
  </si>
  <si>
    <t>MT3-9425</t>
  </si>
  <si>
    <t>21.23.02948</t>
  </si>
  <si>
    <t>MT3-9426</t>
  </si>
  <si>
    <t>21.23.02949</t>
  </si>
  <si>
    <t>MT3-9427</t>
  </si>
  <si>
    <t>21.23.02955</t>
  </si>
  <si>
    <t>MT3-9428</t>
  </si>
  <si>
    <t>21.23.02960</t>
  </si>
  <si>
    <t>MT3-9429</t>
  </si>
  <si>
    <t>21.23.02961</t>
  </si>
  <si>
    <t>MT3-9430</t>
  </si>
  <si>
    <t>21.23.02962</t>
  </si>
  <si>
    <t>MT3-9431</t>
  </si>
  <si>
    <t>21.23.02963</t>
  </si>
  <si>
    <t>MT3-9432</t>
  </si>
  <si>
    <t>21.23.02965</t>
  </si>
  <si>
    <t>MT3-9433</t>
  </si>
  <si>
    <t>21.23.02966</t>
  </si>
  <si>
    <t>MT3-9434</t>
  </si>
  <si>
    <t>21.23.02967</t>
  </si>
  <si>
    <t>MT3-9435</t>
  </si>
  <si>
    <t>21.23.02968</t>
  </si>
  <si>
    <t>MT3-9436</t>
  </si>
  <si>
    <t>21.23.02970</t>
  </si>
  <si>
    <t>MT3-9437</t>
  </si>
  <si>
    <t>21.23.02971</t>
  </si>
  <si>
    <t>MT3-9438</t>
  </si>
  <si>
    <t>21.23.02974</t>
  </si>
  <si>
    <t>MT3-9439</t>
  </si>
  <si>
    <t>21.23.02976</t>
  </si>
  <si>
    <t>MT3-9440</t>
  </si>
  <si>
    <t>21.23.02978</t>
  </si>
  <si>
    <t>MT3-9441</t>
  </si>
  <si>
    <t>21.23.02979</t>
  </si>
  <si>
    <t>MT3-9442</t>
  </si>
  <si>
    <t>21.23.02981</t>
  </si>
  <si>
    <t>MT3-9443</t>
  </si>
  <si>
    <t>21.23.02986</t>
  </si>
  <si>
    <t>MT3-9444</t>
  </si>
  <si>
    <t>21.23.02987</t>
  </si>
  <si>
    <t>MT3-9445</t>
  </si>
  <si>
    <t>21.23.02998</t>
  </si>
  <si>
    <t>MT3-9446</t>
  </si>
  <si>
    <t>21.23.03003</t>
  </si>
  <si>
    <t>MT3-9447</t>
  </si>
  <si>
    <t>21.23.03008</t>
  </si>
  <si>
    <t>MT3-9448</t>
  </si>
  <si>
    <t>21.23.03009</t>
  </si>
  <si>
    <t>MT3-9449</t>
  </si>
  <si>
    <t>21.23.03010</t>
  </si>
  <si>
    <t>MT3-9450</t>
  </si>
  <si>
    <t>21.23.03014</t>
  </si>
  <si>
    <t>MT3-9451</t>
  </si>
  <si>
    <t>21.23.03015</t>
  </si>
  <si>
    <t>MT3-9452</t>
  </si>
  <si>
    <t>21.23.03017</t>
  </si>
  <si>
    <t>MT3-9453</t>
  </si>
  <si>
    <t>21.23.03018</t>
  </si>
  <si>
    <t>MT3-9454</t>
  </si>
  <si>
    <t>21.23.03020</t>
  </si>
  <si>
    <t>MT3-9455</t>
  </si>
  <si>
    <t>21.23.03021</t>
  </si>
  <si>
    <t>MT3-9456</t>
  </si>
  <si>
    <t>21.23.03022</t>
  </si>
  <si>
    <t>MT3-9457</t>
  </si>
  <si>
    <t>21.23.03023</t>
  </si>
  <si>
    <t>MT3-9458</t>
  </si>
  <si>
    <t>21.23.03028</t>
  </si>
  <si>
    <t>MT3-9459</t>
  </si>
  <si>
    <t>13.03.00226</t>
  </si>
  <si>
    <t>MT3-9622</t>
  </si>
  <si>
    <t>21.23.04026</t>
  </si>
  <si>
    <t>MT3-9670</t>
  </si>
  <si>
    <t>21.23.04027</t>
  </si>
  <si>
    <t>MT3-9671</t>
  </si>
  <si>
    <t>21.23.04028</t>
  </si>
  <si>
    <t>MT3-9672</t>
  </si>
  <si>
    <t>21.23.00834</t>
  </si>
  <si>
    <t>MT3-9781</t>
  </si>
  <si>
    <t>21.23.00955</t>
  </si>
  <si>
    <t>MT5-19810</t>
  </si>
  <si>
    <t>21.23.00959</t>
  </si>
  <si>
    <t>MT5-19811</t>
  </si>
  <si>
    <t>21.23.00963</t>
  </si>
  <si>
    <t>MT5-19812</t>
  </si>
  <si>
    <t>21.23.00978</t>
  </si>
  <si>
    <t>MT5-19819</t>
  </si>
  <si>
    <t>21.23.00979</t>
  </si>
  <si>
    <t>MT5-19820</t>
  </si>
  <si>
    <t>MT5-19821</t>
  </si>
  <si>
    <t>21.23.00987</t>
  </si>
  <si>
    <t>MT5-19823</t>
  </si>
  <si>
    <t>MT5-19824</t>
  </si>
  <si>
    <t>MT5-19825</t>
  </si>
  <si>
    <t>21.23.00997</t>
  </si>
  <si>
    <t>MT5-19827</t>
  </si>
  <si>
    <t>21.23.01016</t>
  </si>
  <si>
    <t>MT5-19834</t>
  </si>
  <si>
    <t>21.23.01017</t>
  </si>
  <si>
    <t>MT5-19835</t>
  </si>
  <si>
    <t>MT5-19840</t>
  </si>
  <si>
    <t>21.23.01027</t>
  </si>
  <si>
    <t>MT5-19842</t>
  </si>
  <si>
    <t>21.23.01029</t>
  </si>
  <si>
    <t>MT5-19844</t>
  </si>
  <si>
    <t>21.23.01031</t>
  </si>
  <si>
    <t>MT5-19845</t>
  </si>
  <si>
    <t>MT5-19846</t>
  </si>
  <si>
    <t>MT5-19847</t>
  </si>
  <si>
    <t>21.23.01040</t>
  </si>
  <si>
    <t>MT5-19849</t>
  </si>
  <si>
    <t>21.23.01041</t>
  </si>
  <si>
    <t>MT5-19850</t>
  </si>
  <si>
    <t>MT5-19851</t>
  </si>
  <si>
    <t>MT5-19852</t>
  </si>
  <si>
    <t>21.23.01048</t>
  </si>
  <si>
    <t>MT5-19854</t>
  </si>
  <si>
    <t>21.23.01053</t>
  </si>
  <si>
    <t>MT5-19857</t>
  </si>
  <si>
    <t>21.23.01093</t>
  </si>
  <si>
    <t>MT5-20050</t>
  </si>
  <si>
    <t>21.23.01094</t>
  </si>
  <si>
    <t>MT5-20051</t>
  </si>
  <si>
    <t>21.23.01096</t>
  </si>
  <si>
    <t>MT5-20052</t>
  </si>
  <si>
    <t>21.23.01097</t>
  </si>
  <si>
    <t>MT5-20053</t>
  </si>
  <si>
    <t>21.23.00922</t>
  </si>
  <si>
    <t>MT5-20059</t>
  </si>
  <si>
    <t>21.23.01105</t>
  </si>
  <si>
    <t>MT5-20060</t>
  </si>
  <si>
    <t>21.23.01108</t>
  </si>
  <si>
    <t>MT5-20061</t>
  </si>
  <si>
    <t>21.23.01112</t>
  </si>
  <si>
    <t>MT5-20068</t>
  </si>
  <si>
    <t>21.23.01113</t>
  </si>
  <si>
    <t>MT5-20069</t>
  </si>
  <si>
    <t>21.23.00550</t>
  </si>
  <si>
    <t>MT5-20070</t>
  </si>
  <si>
    <t>21.23.01118</t>
  </si>
  <si>
    <t>MT5-20073</t>
  </si>
  <si>
    <t>21.23.01121</t>
  </si>
  <si>
    <t>MT5-20074</t>
  </si>
  <si>
    <t>21.23.00254</t>
  </si>
  <si>
    <t>MT5-20078</t>
  </si>
  <si>
    <t>21.23.01058</t>
  </si>
  <si>
    <t>MT5-20079</t>
  </si>
  <si>
    <t>21.23.01060</t>
  </si>
  <si>
    <t>MT5-20080</t>
  </si>
  <si>
    <t>21.23.01061</t>
  </si>
  <si>
    <t>MT5-20081</t>
  </si>
  <si>
    <t>21.23.01062</t>
  </si>
  <si>
    <t>MT5-20082</t>
  </si>
  <si>
    <t>21.23.01063</t>
  </si>
  <si>
    <t>MT5-20083</t>
  </si>
  <si>
    <t>21.23.01071</t>
  </si>
  <si>
    <t>MT5-20086</t>
  </si>
  <si>
    <t>21.23.01079</t>
  </si>
  <si>
    <t>MT5-20092</t>
  </si>
  <si>
    <t>21.23.01052</t>
  </si>
  <si>
    <t>MT5-20122</t>
  </si>
  <si>
    <t>21.23.01126</t>
  </si>
  <si>
    <t>MT5-20139</t>
  </si>
  <si>
    <t>21.23.01075</t>
  </si>
  <si>
    <t>MT5-20162</t>
  </si>
  <si>
    <t>21.23.01486</t>
  </si>
  <si>
    <t>MT5-20177</t>
  </si>
  <si>
    <t>21.23.01178</t>
  </si>
  <si>
    <t>MT5-20234</t>
  </si>
  <si>
    <t>21.23.01177</t>
  </si>
  <si>
    <t>MT5-20235</t>
  </si>
  <si>
    <t>21.23.02238</t>
  </si>
  <si>
    <t>MT5-20247</t>
  </si>
  <si>
    <t>21.23.00892</t>
  </si>
  <si>
    <t>MT5-20322</t>
  </si>
  <si>
    <t>21.23.00899</t>
  </si>
  <si>
    <t>MT5-20323</t>
  </si>
  <si>
    <t>21.23.00900</t>
  </si>
  <si>
    <t>MT5-20324</t>
  </si>
  <si>
    <t>21.23.00905</t>
  </si>
  <si>
    <t>MT5-20325</t>
  </si>
  <si>
    <t>21.23.00906</t>
  </si>
  <si>
    <t>MT5-20326</t>
  </si>
  <si>
    <t>21.23.00930</t>
  </si>
  <si>
    <t>MT5-20327</t>
  </si>
  <si>
    <t>MT5-20328</t>
  </si>
  <si>
    <t>01.33.00053</t>
  </si>
  <si>
    <t>MT5-20329</t>
  </si>
  <si>
    <t>21.23.00944</t>
  </si>
  <si>
    <t>MT5-20330</t>
  </si>
  <si>
    <t>21.23.00925</t>
  </si>
  <si>
    <t>MT5-20331</t>
  </si>
  <si>
    <t>21.23.00926</t>
  </si>
  <si>
    <t>MT5-20332</t>
  </si>
  <si>
    <t>21.23.00911</t>
  </si>
  <si>
    <t>MT5-20333</t>
  </si>
  <si>
    <t>21.23.00943</t>
  </si>
  <si>
    <t>MT5-20334</t>
  </si>
  <si>
    <t>21.23.00890</t>
  </si>
  <si>
    <t>MT5-20335</t>
  </si>
  <si>
    <t>21.23.00940</t>
  </si>
  <si>
    <t>MT5-20336</t>
  </si>
  <si>
    <t>21.23.02678</t>
  </si>
  <si>
    <t>MT5-20339</t>
  </si>
  <si>
    <t>21.23.01291</t>
  </si>
  <si>
    <t>MT5-20411</t>
  </si>
  <si>
    <t>21.23.01293</t>
  </si>
  <si>
    <t>MT5-20412</t>
  </si>
  <si>
    <t>21.23.01294</t>
  </si>
  <si>
    <t>MT5-20413</t>
  </si>
  <si>
    <t>21.23.01297</t>
  </si>
  <si>
    <t>MT5-20414</t>
  </si>
  <si>
    <t>21.23.01285</t>
  </si>
  <si>
    <t>MT5-20415</t>
  </si>
  <si>
    <t>21.23.01286</t>
  </si>
  <si>
    <t>MT5-20416</t>
  </si>
  <si>
    <t>MT5-20419</t>
  </si>
  <si>
    <t>MT5-20420</t>
  </si>
  <si>
    <t>MT5-20421</t>
  </si>
  <si>
    <t>MT5-20423</t>
  </si>
  <si>
    <t>MT5-20424</t>
  </si>
  <si>
    <t>21.23.00994</t>
  </si>
  <si>
    <t>MT5-20455</t>
  </si>
  <si>
    <t>21.23.04569</t>
  </si>
  <si>
    <t>MT5-20896</t>
  </si>
  <si>
    <t>21.23.01412</t>
  </si>
  <si>
    <t>MT5-20938</t>
  </si>
  <si>
    <t>21.23.01414</t>
  </si>
  <si>
    <t>MT5-20939</t>
  </si>
  <si>
    <t>21.23.01418</t>
  </si>
  <si>
    <t>MT5-20940</t>
  </si>
  <si>
    <t>21.23.01420</t>
  </si>
  <si>
    <t>MT5-20942</t>
  </si>
  <si>
    <t>21.23.01422</t>
  </si>
  <si>
    <t>MT5-20943</t>
  </si>
  <si>
    <t>21.23.01424</t>
  </si>
  <si>
    <t>MT5-20944</t>
  </si>
  <si>
    <t>21.23.01427</t>
  </si>
  <si>
    <t>MT5-20945</t>
  </si>
  <si>
    <t>21.23.01429</t>
  </si>
  <si>
    <t>MT5-20946</t>
  </si>
  <si>
    <t>21.23.01430</t>
  </si>
  <si>
    <t>MT5-20947</t>
  </si>
  <si>
    <t>21.23.01431</t>
  </si>
  <si>
    <t>MT5-20948</t>
  </si>
  <si>
    <t>21.23.01432</t>
  </si>
  <si>
    <t>MT5-20949</t>
  </si>
  <si>
    <t>21.23.01408</t>
  </si>
  <si>
    <t>MT5-21068</t>
  </si>
  <si>
    <t>21.23.01488</t>
  </si>
  <si>
    <t>MT5-21070</t>
  </si>
  <si>
    <t>21.23.01493</t>
  </si>
  <si>
    <t>MT5-21074</t>
  </si>
  <si>
    <t>21.23.01494</t>
  </si>
  <si>
    <t>MT5-21075</t>
  </si>
  <si>
    <t>21.23.01485</t>
  </si>
  <si>
    <t>MT5-21076</t>
  </si>
  <si>
    <t>21.23.01175</t>
  </si>
  <si>
    <t>MT5-21123</t>
  </si>
  <si>
    <t>21.23.01470</t>
  </si>
  <si>
    <t>MT5-21124</t>
  </si>
  <si>
    <t>21.23.01506</t>
  </si>
  <si>
    <t>MT5-21181</t>
  </si>
  <si>
    <t>21.23.01507</t>
  </si>
  <si>
    <t>MT5-21182</t>
  </si>
  <si>
    <t>21.23.01521</t>
  </si>
  <si>
    <t>MT5-21184</t>
  </si>
  <si>
    <t>21.23.01526</t>
  </si>
  <si>
    <t>MT5-21187</t>
  </si>
  <si>
    <t>21.23.01527</t>
  </si>
  <si>
    <t>MT5-21188</t>
  </si>
  <si>
    <t>21.23.01528</t>
  </si>
  <si>
    <t>MT5-21189</t>
  </si>
  <si>
    <t>21.23.01530</t>
  </si>
  <si>
    <t>MT5-21191</t>
  </si>
  <si>
    <t>21.23.01531</t>
  </si>
  <si>
    <t>MT5-21192</t>
  </si>
  <si>
    <t>21.23.01533</t>
  </si>
  <si>
    <t>MT5-21194</t>
  </si>
  <si>
    <t>21.23.01534</t>
  </si>
  <si>
    <t>MT5-21195</t>
  </si>
  <si>
    <t>21.23.01537</t>
  </si>
  <si>
    <t>MT5-21196</t>
  </si>
  <si>
    <t>21.23.01541</t>
  </si>
  <si>
    <t>MT5-21198</t>
  </si>
  <si>
    <t>MT5-21199</t>
  </si>
  <si>
    <t>21.23.01548</t>
  </si>
  <si>
    <t>MT5-21202</t>
  </si>
  <si>
    <t>21.23.01552</t>
  </si>
  <si>
    <t>MT5-21206</t>
  </si>
  <si>
    <t>21.23.01556</t>
  </si>
  <si>
    <t>MT5-21207</t>
  </si>
  <si>
    <t>21.23.01562</t>
  </si>
  <si>
    <t>MT5-21209</t>
  </si>
  <si>
    <t>21.23.01567</t>
  </si>
  <si>
    <t>MT5-21211</t>
  </si>
  <si>
    <t>21.23.01568</t>
  </si>
  <si>
    <t>MT5-21212</t>
  </si>
  <si>
    <t>21.23.01569</t>
  </si>
  <si>
    <t>MT5-21213</t>
  </si>
  <si>
    <t>21.23.01571</t>
  </si>
  <si>
    <t>MT5-21214</t>
  </si>
  <si>
    <t>21.23.01572</t>
  </si>
  <si>
    <t>MT5-21215</t>
  </si>
  <si>
    <t>21.23.01573</t>
  </si>
  <si>
    <t>MT5-21216</t>
  </si>
  <si>
    <t>21.23.01575</t>
  </si>
  <si>
    <t>MT5-21218</t>
  </si>
  <si>
    <t>21.23.01578</t>
  </si>
  <si>
    <t>MT5-21219</t>
  </si>
  <si>
    <t>21.23.01580</t>
  </si>
  <si>
    <t>MT5-21220</t>
  </si>
  <si>
    <t>21.23.01582</t>
  </si>
  <si>
    <t>MT5-21221</t>
  </si>
  <si>
    <t>21.23.01589</t>
  </si>
  <si>
    <t>MT5-21225</t>
  </si>
  <si>
    <t>21.23.01590</t>
  </si>
  <si>
    <t>MT5-21226</t>
  </si>
  <si>
    <t>21.23.01602</t>
  </si>
  <si>
    <t>MT5-21227</t>
  </si>
  <si>
    <t>21.23.01794</t>
  </si>
  <si>
    <t>MT5-21262</t>
  </si>
  <si>
    <t>21.23.01536</t>
  </si>
  <si>
    <t>MT5-21263</t>
  </si>
  <si>
    <t>21.23.01538</t>
  </si>
  <si>
    <t>MT5-21265</t>
  </si>
  <si>
    <t>MT5-21784</t>
  </si>
  <si>
    <t>21.23.01326</t>
  </si>
  <si>
    <t>MT5-21785</t>
  </si>
  <si>
    <t>MT5-21786</t>
  </si>
  <si>
    <t>MT5-21788</t>
  </si>
  <si>
    <t>MT5-21792</t>
  </si>
  <si>
    <t>21.23.01336</t>
  </si>
  <si>
    <t>MT5-21794</t>
  </si>
  <si>
    <t>21.23.01337</t>
  </si>
  <si>
    <t>MT5-21795</t>
  </si>
  <si>
    <t>MT5-21796</t>
  </si>
  <si>
    <t>MT5-21797</t>
  </si>
  <si>
    <t>21.23.01325</t>
  </si>
  <si>
    <t>MT5-21799</t>
  </si>
  <si>
    <t>MT5-21800</t>
  </si>
  <si>
    <t>21.23.01618</t>
  </si>
  <si>
    <t>MT5-21801</t>
  </si>
  <si>
    <t>21.23.01619</t>
  </si>
  <si>
    <t>MT5-21802</t>
  </si>
  <si>
    <t>21.23.02009</t>
  </si>
  <si>
    <t>MT5-21803</t>
  </si>
  <si>
    <t>21.23.02012</t>
  </si>
  <si>
    <t>MT5-21804</t>
  </si>
  <si>
    <t>MT5-21805</t>
  </si>
  <si>
    <t>21.23.01480</t>
  </si>
  <si>
    <t>MT5-21807</t>
  </si>
  <si>
    <t>21.23.01333</t>
  </si>
  <si>
    <t>MT5-21809</t>
  </si>
  <si>
    <t>MT5-21842</t>
  </si>
  <si>
    <t>21.23.01395</t>
  </si>
  <si>
    <t>MT5-21867</t>
  </si>
  <si>
    <t>21.23.01385</t>
  </si>
  <si>
    <t>MT5-21870</t>
  </si>
  <si>
    <t>13.03.00216</t>
  </si>
  <si>
    <t>MT5-21885</t>
  </si>
  <si>
    <t>MT5-21886</t>
  </si>
  <si>
    <t>21.23.02094</t>
  </si>
  <si>
    <t>MT5-21889</t>
  </si>
  <si>
    <t>21.23.00203</t>
  </si>
  <si>
    <t>MT5-21893</t>
  </si>
  <si>
    <t>MT5-21896</t>
  </si>
  <si>
    <t>21.23.00208</t>
  </si>
  <si>
    <t>MT5-21897</t>
  </si>
  <si>
    <t>21.23.00209</t>
  </si>
  <si>
    <t>MT5-21898</t>
  </si>
  <si>
    <t>21.23.00210</t>
  </si>
  <si>
    <t>MT5-21899</t>
  </si>
  <si>
    <t>MT5-21902</t>
  </si>
  <si>
    <t>21.23.00214</t>
  </si>
  <si>
    <t>MT5-21903</t>
  </si>
  <si>
    <t>MT5-21904</t>
  </si>
  <si>
    <t>21.23.00232</t>
  </si>
  <si>
    <t>MT5-21906</t>
  </si>
  <si>
    <t>21.23.02067</t>
  </si>
  <si>
    <t>MT5-21910</t>
  </si>
  <si>
    <t>21.23.00240</t>
  </si>
  <si>
    <t>MT5-21914</t>
  </si>
  <si>
    <t>21.23.00243</t>
  </si>
  <si>
    <t>MT5-21916</t>
  </si>
  <si>
    <t>21.23.00244</t>
  </si>
  <si>
    <t>MT5-21917</t>
  </si>
  <si>
    <t>21.23.00246</t>
  </si>
  <si>
    <t>MT5-21918</t>
  </si>
  <si>
    <t>21.23.00249</t>
  </si>
  <si>
    <t>MT5-21919</t>
  </si>
  <si>
    <t>21.23.02040</t>
  </si>
  <si>
    <t>MT5-21921</t>
  </si>
  <si>
    <t>21.23.02042</t>
  </si>
  <si>
    <t>MT5-21922</t>
  </si>
  <si>
    <t>21.23.02043</t>
  </si>
  <si>
    <t>MT5-21923</t>
  </si>
  <si>
    <t>21.23.02044</t>
  </si>
  <si>
    <t>MT5-21924</t>
  </si>
  <si>
    <t>21.23.02047</t>
  </si>
  <si>
    <t>MT5-21926</t>
  </si>
  <si>
    <t>21.23.02048</t>
  </si>
  <si>
    <t>MT5-21927</t>
  </si>
  <si>
    <t>21.23.02050</t>
  </si>
  <si>
    <t>MT5-21928</t>
  </si>
  <si>
    <t>21.23.02057</t>
  </si>
  <si>
    <t>MT5-21935</t>
  </si>
  <si>
    <t>21.23.02059</t>
  </si>
  <si>
    <t>MT5-21936</t>
  </si>
  <si>
    <t>MT5-21937</t>
  </si>
  <si>
    <t>21.23.00881</t>
  </si>
  <si>
    <t>MT5-21948</t>
  </si>
  <si>
    <t>21.23.00882</t>
  </si>
  <si>
    <t>MT5-21949</t>
  </si>
  <si>
    <t>21.23.02360</t>
  </si>
  <si>
    <t>MT5-22059</t>
  </si>
  <si>
    <t>21.23.02361</t>
  </si>
  <si>
    <t>MT5-22060</t>
  </si>
  <si>
    <t>21.23.02445</t>
  </si>
  <si>
    <t>MT5-22074</t>
  </si>
  <si>
    <t>21.23.01185</t>
  </si>
  <si>
    <t>MT5-22076</t>
  </si>
  <si>
    <t>21.23.01201</t>
  </si>
  <si>
    <t>MT5-22077</t>
  </si>
  <si>
    <t>21.23.01202</t>
  </si>
  <si>
    <t>MT5-22078</t>
  </si>
  <si>
    <t>21.23.01205</t>
  </si>
  <si>
    <t>MT5-22079</t>
  </si>
  <si>
    <t>21.23.01214</t>
  </si>
  <si>
    <t>MT5-22080</t>
  </si>
  <si>
    <t>21.23.01216</t>
  </si>
  <si>
    <t>MT5-22081</t>
  </si>
  <si>
    <t>21.23.01218</t>
  </si>
  <si>
    <t>MT5-22082</t>
  </si>
  <si>
    <t>21.23.01219</t>
  </si>
  <si>
    <t>MT5-22083</t>
  </si>
  <si>
    <t>21.23.01224</t>
  </si>
  <si>
    <t>MT5-22084</t>
  </si>
  <si>
    <t>21.23.01254</t>
  </si>
  <si>
    <t>MT5-22085</t>
  </si>
  <si>
    <t>21.23.01258</t>
  </si>
  <si>
    <t>MT5-22086</t>
  </si>
  <si>
    <t>21.23.02202</t>
  </si>
  <si>
    <t>MT5-22129</t>
  </si>
  <si>
    <t>21.23.02407</t>
  </si>
  <si>
    <t>MT5-22131</t>
  </si>
  <si>
    <t>21.23.02411</t>
  </si>
  <si>
    <t>MT5-22133</t>
  </si>
  <si>
    <t>21.23.02412</t>
  </si>
  <si>
    <t>MT5-22135</t>
  </si>
  <si>
    <t>21.23.01584</t>
  </si>
  <si>
    <t>MT5-22137</t>
  </si>
  <si>
    <t>21.23.01843</t>
  </si>
  <si>
    <t>MT5-22139</t>
  </si>
  <si>
    <t>21.23.01844</t>
  </si>
  <si>
    <t>MT5-22140</t>
  </si>
  <si>
    <t>21.23.01845</t>
  </si>
  <si>
    <t>MT5-22141</t>
  </si>
  <si>
    <t>21.23.01846</t>
  </si>
  <si>
    <t>MT5-22142</t>
  </si>
  <si>
    <t>21.23.01848</t>
  </si>
  <si>
    <t>MT5-22143</t>
  </si>
  <si>
    <t>21.23.01849</t>
  </si>
  <si>
    <t>MT5-22144</t>
  </si>
  <si>
    <t>21.23.02250</t>
  </si>
  <si>
    <t>MT5-22147</t>
  </si>
  <si>
    <t>MT5-22148</t>
  </si>
  <si>
    <t>21.23.02293</t>
  </si>
  <si>
    <t>MT5-22149</t>
  </si>
  <si>
    <t>21.23.02294</t>
  </si>
  <si>
    <t>MT5-22150</t>
  </si>
  <si>
    <t>21.23.02296</t>
  </si>
  <si>
    <t>MT5-22151</t>
  </si>
  <si>
    <t>21.23.02297</t>
  </si>
  <si>
    <t>MT5-22152</t>
  </si>
  <si>
    <t>21.23.02298</t>
  </si>
  <si>
    <t>MT5-22153</t>
  </si>
  <si>
    <t>21.23.02303</t>
  </si>
  <si>
    <t>MT5-22155</t>
  </si>
  <si>
    <t>MT5-22156</t>
  </si>
  <si>
    <t>MT5-22157</t>
  </si>
  <si>
    <t>MT5-22158</t>
  </si>
  <si>
    <t>21.23.02310</t>
  </si>
  <si>
    <t>MT5-22159</t>
  </si>
  <si>
    <t>21.23.02312</t>
  </si>
  <si>
    <t>MT5-22160</t>
  </si>
  <si>
    <t>MT5-22162</t>
  </si>
  <si>
    <t>21.23.02318</t>
  </si>
  <si>
    <t>MT5-22163</t>
  </si>
  <si>
    <t>MT5-22164</t>
  </si>
  <si>
    <t>21.23.02321</t>
  </si>
  <si>
    <t>MT5-22166</t>
  </si>
  <si>
    <t>21.23.02323</t>
  </si>
  <si>
    <t>MT5-22167</t>
  </si>
  <si>
    <t>21.23.02330</t>
  </si>
  <si>
    <t>MT5-22170</t>
  </si>
  <si>
    <t>MT5-22171</t>
  </si>
  <si>
    <t>21.23.02365</t>
  </si>
  <si>
    <t>MT5-22173</t>
  </si>
  <si>
    <t>21.23.02367</t>
  </si>
  <si>
    <t>MT5-22174</t>
  </si>
  <si>
    <t>21.23.02368</t>
  </si>
  <si>
    <t>MT5-22175</t>
  </si>
  <si>
    <t>21.23.02375</t>
  </si>
  <si>
    <t>MT5-22176</t>
  </si>
  <si>
    <t>21.23.02376</t>
  </si>
  <si>
    <t>MT5-22177</t>
  </si>
  <si>
    <t>21.23.02377</t>
  </si>
  <si>
    <t>MT5-22178</t>
  </si>
  <si>
    <t>21.23.02378</t>
  </si>
  <si>
    <t>MT5-22179</t>
  </si>
  <si>
    <t>21.23.02381</t>
  </si>
  <si>
    <t>MT5-22180</t>
  </si>
  <si>
    <t>21.23.02383</t>
  </si>
  <si>
    <t>MT5-22181</t>
  </si>
  <si>
    <t>21.23.02384</t>
  </si>
  <si>
    <t>MT5-22182</t>
  </si>
  <si>
    <t>21.23.02385</t>
  </si>
  <si>
    <t>MT5-22183</t>
  </si>
  <si>
    <t>21.23.02390</t>
  </si>
  <si>
    <t>MT5-22184</t>
  </si>
  <si>
    <t>21.23.02392</t>
  </si>
  <si>
    <t>MT5-22185</t>
  </si>
  <si>
    <t>MT5-22188</t>
  </si>
  <si>
    <t>MT5-22189</t>
  </si>
  <si>
    <t>MT5-22190</t>
  </si>
  <si>
    <t>21.23.02416</t>
  </si>
  <si>
    <t>MT5-22202</t>
  </si>
  <si>
    <t>21.23.02417</t>
  </si>
  <si>
    <t>MT5-22203</t>
  </si>
  <si>
    <t>21.23.02418</t>
  </si>
  <si>
    <t>MT5-22204</t>
  </si>
  <si>
    <t>21.23.02422</t>
  </si>
  <si>
    <t>MT5-22206</t>
  </si>
  <si>
    <t>21.23.02363</t>
  </si>
  <si>
    <t>MT5-22219</t>
  </si>
  <si>
    <t>13.03.00008</t>
  </si>
  <si>
    <t>MT5-22223</t>
  </si>
  <si>
    <t>21.23.00815</t>
  </si>
  <si>
    <t>MT5-22224</t>
  </si>
  <si>
    <t>21.23.01610</t>
  </si>
  <si>
    <t>MT5-22225</t>
  </si>
  <si>
    <t>21.23.01611</t>
  </si>
  <si>
    <t>MT5-22226</t>
  </si>
  <si>
    <t>21.23.01809</t>
  </si>
  <si>
    <t>MT5-22228</t>
  </si>
  <si>
    <t>01.33.00008</t>
  </si>
  <si>
    <t>MT5-22229</t>
  </si>
  <si>
    <t>01.33.00009</t>
  </si>
  <si>
    <t>MT5-22230</t>
  </si>
  <si>
    <t>01.33.00014</t>
  </si>
  <si>
    <t>MT5-22231</t>
  </si>
  <si>
    <t>21.23.00165</t>
  </si>
  <si>
    <t>MT5-22234</t>
  </si>
  <si>
    <t>21.23.00463</t>
  </si>
  <si>
    <t>MT5-22235</t>
  </si>
  <si>
    <t>21.23.00541</t>
  </si>
  <si>
    <t>MT5-22236</t>
  </si>
  <si>
    <t>21.23.00816</t>
  </si>
  <si>
    <t>MT5-22237</t>
  </si>
  <si>
    <t>21.23.00817</t>
  </si>
  <si>
    <t>MT5-22238</t>
  </si>
  <si>
    <t>21.23.00837</t>
  </si>
  <si>
    <t>MT5-22239</t>
  </si>
  <si>
    <t>21.23.00883</t>
  </si>
  <si>
    <t>MT5-22240</t>
  </si>
  <si>
    <t>21.23.01186</t>
  </si>
  <si>
    <t>MT5-22242</t>
  </si>
  <si>
    <t>21.23.01228</t>
  </si>
  <si>
    <t>MT5-22246</t>
  </si>
  <si>
    <t>21.23.01233</t>
  </si>
  <si>
    <t>MT5-22247</t>
  </si>
  <si>
    <t>21.23.01397</t>
  </si>
  <si>
    <t>MT5-22250</t>
  </si>
  <si>
    <t>21.23.01762</t>
  </si>
  <si>
    <t>MT5-22251</t>
  </si>
  <si>
    <t>21.23.01763</t>
  </si>
  <si>
    <t>MT5-22254</t>
  </si>
  <si>
    <t>21.23.01766</t>
  </si>
  <si>
    <t>MT5-22255</t>
  </si>
  <si>
    <t>21.23.01767</t>
  </si>
  <si>
    <t>MT5-22256</t>
  </si>
  <si>
    <t>21.23.01808</t>
  </si>
  <si>
    <t>MT5-22257</t>
  </si>
  <si>
    <t>21.23.01855</t>
  </si>
  <si>
    <t>MT5-22258</t>
  </si>
  <si>
    <t>21.23.01928</t>
  </si>
  <si>
    <t>MT5-22259</t>
  </si>
  <si>
    <t>21.23.02006</t>
  </si>
  <si>
    <t>MT5-22260</t>
  </si>
  <si>
    <t>21.23.02175</t>
  </si>
  <si>
    <t>MT5-22261</t>
  </si>
  <si>
    <t>21.23.02178</t>
  </si>
  <si>
    <t>MT5-22262</t>
  </si>
  <si>
    <t>21.23.02179</t>
  </si>
  <si>
    <t>MT5-22263</t>
  </si>
  <si>
    <t>21.23.02182</t>
  </si>
  <si>
    <t>MT5-22264</t>
  </si>
  <si>
    <t>21.23.02183</t>
  </si>
  <si>
    <t>MT5-22265</t>
  </si>
  <si>
    <t>21.23.02185</t>
  </si>
  <si>
    <t>MT5-22266</t>
  </si>
  <si>
    <t>21.23.00818</t>
  </si>
  <si>
    <t>MT5-22268</t>
  </si>
  <si>
    <t>21.23.01191</t>
  </si>
  <si>
    <t>MT5-22271</t>
  </si>
  <si>
    <t>21.23.01223</t>
  </si>
  <si>
    <t>MT5-22309</t>
  </si>
  <si>
    <t>21.23.01230</t>
  </si>
  <si>
    <t>MT5-22310</t>
  </si>
  <si>
    <t>21.23.01232</t>
  </si>
  <si>
    <t>MT5-22311</t>
  </si>
  <si>
    <t>21.23.01250</t>
  </si>
  <si>
    <t>MT5-22312</t>
  </si>
  <si>
    <t>21.23.01253</t>
  </si>
  <si>
    <t>MT5-22313</t>
  </si>
  <si>
    <t>21.23.01398</t>
  </si>
  <si>
    <t>MT5-22339</t>
  </si>
  <si>
    <t>21.23.01810</t>
  </si>
  <si>
    <t>MT5-22340</t>
  </si>
  <si>
    <t>21.23.02181</t>
  </si>
  <si>
    <t>MT5-22341</t>
  </si>
  <si>
    <t>21.23.02651</t>
  </si>
  <si>
    <t>MT5-22367</t>
  </si>
  <si>
    <t>21.23.02674</t>
  </si>
  <si>
    <t>MT5-22368</t>
  </si>
  <si>
    <t>21.23.02675</t>
  </si>
  <si>
    <t>MT5-22369</t>
  </si>
  <si>
    <t>21.23.01883</t>
  </si>
  <si>
    <t>MT5-22376</t>
  </si>
  <si>
    <t>21.23.02623</t>
  </si>
  <si>
    <t>MT5-22377</t>
  </si>
  <si>
    <t>21.23.02629</t>
  </si>
  <si>
    <t>MT5-22378</t>
  </si>
  <si>
    <t>21.23.02631</t>
  </si>
  <si>
    <t>MT5-22379</t>
  </si>
  <si>
    <t>21.23.02632</t>
  </si>
  <si>
    <t>MT5-22380</t>
  </si>
  <si>
    <t>21.23.02637</t>
  </si>
  <si>
    <t>MT5-22381</t>
  </si>
  <si>
    <t>21.23.02639</t>
  </si>
  <si>
    <t>MT5-22382</t>
  </si>
  <si>
    <t>13.03.00185</t>
  </si>
  <si>
    <t>MT5-22392</t>
  </si>
  <si>
    <t>21.23.01209</t>
  </si>
  <si>
    <t>MT5-22393</t>
  </si>
  <si>
    <t>21.23.02470</t>
  </si>
  <si>
    <t>MT5-22414</t>
  </si>
  <si>
    <t>21.23.02471</t>
  </si>
  <si>
    <t>MT5-22415</t>
  </si>
  <si>
    <t>21.23.02472</t>
  </si>
  <si>
    <t>MT5-22416</t>
  </si>
  <si>
    <t>21.23.02473</t>
  </si>
  <si>
    <t>MT5-22417</t>
  </si>
  <si>
    <t>21.23.02463</t>
  </si>
  <si>
    <t>MT5-22420</t>
  </si>
  <si>
    <t>21.23.02476</t>
  </si>
  <si>
    <t>MT5-22422</t>
  </si>
  <si>
    <t>21.23.02466</t>
  </si>
  <si>
    <t>MT5-22423</t>
  </si>
  <si>
    <t>21.23.02469</t>
  </si>
  <si>
    <t>MT5-22425</t>
  </si>
  <si>
    <t>21.23.02485</t>
  </si>
  <si>
    <t>MT5-22430</t>
  </si>
  <si>
    <t>21.23.02488</t>
  </si>
  <si>
    <t>MT5-22431</t>
  </si>
  <si>
    <t>21.23.02491</t>
  </si>
  <si>
    <t>MT5-22432</t>
  </si>
  <si>
    <t>21.23.02492</t>
  </si>
  <si>
    <t>MT5-22433</t>
  </si>
  <si>
    <t>21.23.02493</t>
  </si>
  <si>
    <t>MT5-22435</t>
  </si>
  <si>
    <t>21.23.02494</t>
  </si>
  <si>
    <t>MT5-22437</t>
  </si>
  <si>
    <t>21.23.02497</t>
  </si>
  <si>
    <t>MT5-22439</t>
  </si>
  <si>
    <t>21.23.02499</t>
  </si>
  <si>
    <t>MT5-22440</t>
  </si>
  <si>
    <t>21.23.02502</t>
  </si>
  <si>
    <t>MT5-22441</t>
  </si>
  <si>
    <t>21.23.02503</t>
  </si>
  <si>
    <t>MT5-22442</t>
  </si>
  <si>
    <t>21.23.02505</t>
  </si>
  <si>
    <t>MT5-22443</t>
  </si>
  <si>
    <t>21.23.02506</t>
  </si>
  <si>
    <t>MT5-22444</t>
  </si>
  <si>
    <t>21.23.02511</t>
  </si>
  <si>
    <t>MT5-22445</t>
  </si>
  <si>
    <t>21.23.02534</t>
  </si>
  <si>
    <t>MT5-22447</t>
  </si>
  <si>
    <t>21.23.02517</t>
  </si>
  <si>
    <t>MT5-22448</t>
  </si>
  <si>
    <t>21.23.02536</t>
  </si>
  <si>
    <t>MT5-22449</t>
  </si>
  <si>
    <t>21.23.02522</t>
  </si>
  <si>
    <t>MT5-22450</t>
  </si>
  <si>
    <t>21.23.02538</t>
  </si>
  <si>
    <t>MT5-22451</t>
  </si>
  <si>
    <t>21.23.02524</t>
  </si>
  <si>
    <t>MT5-22452</t>
  </si>
  <si>
    <t>21.23.02539</t>
  </si>
  <si>
    <t>MT5-22453</t>
  </si>
  <si>
    <t>21.23.02547</t>
  </si>
  <si>
    <t>MT5-22456</t>
  </si>
  <si>
    <t>21.23.02548</t>
  </si>
  <si>
    <t>MT5-22457</t>
  </si>
  <si>
    <t>21.23.02600</t>
  </si>
  <si>
    <t>MT5-22470</t>
  </si>
  <si>
    <t>21.23.02601</t>
  </si>
  <si>
    <t>MT5-22471</t>
  </si>
  <si>
    <t>21.23.02609</t>
  </si>
  <si>
    <t>MT5-22472</t>
  </si>
  <si>
    <t>21.23.02613</t>
  </si>
  <si>
    <t>MT5-22473</t>
  </si>
  <si>
    <t>21.23.02551</t>
  </si>
  <si>
    <t>MT5-22474</t>
  </si>
  <si>
    <t>21.23.02518</t>
  </si>
  <si>
    <t>MT5-22475</t>
  </si>
  <si>
    <t>21.23.02614</t>
  </si>
  <si>
    <t>MT5-22476</t>
  </si>
  <si>
    <t>21.23.02615</t>
  </si>
  <si>
    <t>MT5-22477</t>
  </si>
  <si>
    <t>21.23.02521</t>
  </si>
  <si>
    <t>MT5-22478</t>
  </si>
  <si>
    <t>21.23.02616</t>
  </si>
  <si>
    <t>MT5-22479</t>
  </si>
  <si>
    <t>21.23.02552</t>
  </si>
  <si>
    <t>MT5-22480</t>
  </si>
  <si>
    <t>21.23.02554</t>
  </si>
  <si>
    <t>MT5-22481</t>
  </si>
  <si>
    <t>21.23.02555</t>
  </si>
  <si>
    <t>MT5-22482</t>
  </si>
  <si>
    <t>21.23.02557</t>
  </si>
  <si>
    <t>MT5-22483</t>
  </si>
  <si>
    <t>21.23.02585</t>
  </si>
  <si>
    <t>MT5-22484</t>
  </si>
  <si>
    <t>21.23.02586</t>
  </si>
  <si>
    <t>MT5-22485</t>
  </si>
  <si>
    <t>21.23.02588</t>
  </si>
  <si>
    <t>MT5-22486</t>
  </si>
  <si>
    <t>21.23.02590</t>
  </si>
  <si>
    <t>MT5-22487</t>
  </si>
  <si>
    <t>21.23.02591</t>
  </si>
  <si>
    <t>MT5-22488</t>
  </si>
  <si>
    <t>21.23.02593</t>
  </si>
  <si>
    <t>MT5-22489</t>
  </si>
  <si>
    <t>21.23.02598</t>
  </si>
  <si>
    <t>MT5-22490</t>
  </si>
  <si>
    <t>21.23.02599</t>
  </si>
  <si>
    <t>MT5-22491</t>
  </si>
  <si>
    <t>21.23.02393</t>
  </si>
  <si>
    <t>MT5-22575</t>
  </si>
  <si>
    <t>21.23.02944</t>
  </si>
  <si>
    <t>MT5-22864</t>
  </si>
  <si>
    <t>21.23.02946</t>
  </si>
  <si>
    <t>MT5-22865</t>
  </si>
  <si>
    <t>21.23.02947</t>
  </si>
  <si>
    <t>MT5-22866</t>
  </si>
  <si>
    <t>21.23.02950</t>
  </si>
  <si>
    <t>MT5-22867</t>
  </si>
  <si>
    <t>21.23.02951</t>
  </si>
  <si>
    <t>MT5-22868</t>
  </si>
  <si>
    <t>21.23.02952</t>
  </si>
  <si>
    <t>MT5-22869</t>
  </si>
  <si>
    <t>21.23.02953</t>
  </si>
  <si>
    <t>MT5-22870</t>
  </si>
  <si>
    <t>21.23.02954</t>
  </si>
  <si>
    <t>MT5-22871</t>
  </si>
  <si>
    <t>21.23.02956</t>
  </si>
  <si>
    <t>MT5-22872</t>
  </si>
  <si>
    <t>21.23.02959</t>
  </si>
  <si>
    <t>MT5-22873</t>
  </si>
  <si>
    <t>21.23.02964</t>
  </si>
  <si>
    <t>MT5-22874</t>
  </si>
  <si>
    <t>21.23.02969</t>
  </si>
  <si>
    <t>MT5-22875</t>
  </si>
  <si>
    <t>21.23.02972</t>
  </si>
  <si>
    <t>MT5-22876</t>
  </si>
  <si>
    <t>21.23.02977</t>
  </si>
  <si>
    <t>MT5-22877</t>
  </si>
  <si>
    <t>21.23.02980</t>
  </si>
  <si>
    <t>MT5-22878</t>
  </si>
  <si>
    <t>21.23.02983</t>
  </si>
  <si>
    <t>MT5-22879</t>
  </si>
  <si>
    <t>21.23.02984</t>
  </si>
  <si>
    <t>MT5-22880</t>
  </si>
  <si>
    <t>21.23.02988</t>
  </si>
  <si>
    <t>MT5-22881</t>
  </si>
  <si>
    <t>21.23.02989</t>
  </si>
  <si>
    <t>MT5-22882</t>
  </si>
  <si>
    <t>21.23.02990</t>
  </si>
  <si>
    <t>MT5-22883</t>
  </si>
  <si>
    <t>21.23.02991</t>
  </si>
  <si>
    <t>MT5-22884</t>
  </si>
  <si>
    <t>21.23.02992</t>
  </si>
  <si>
    <t>MT5-22885</t>
  </si>
  <si>
    <t>21.23.02996</t>
  </si>
  <si>
    <t>MT5-22886</t>
  </si>
  <si>
    <t>21.23.02997</t>
  </si>
  <si>
    <t>MT5-22887</t>
  </si>
  <si>
    <t>21.23.02999</t>
  </si>
  <si>
    <t>MT5-22888</t>
  </si>
  <si>
    <t>21.23.03001</t>
  </si>
  <si>
    <t>MT5-22889</t>
  </si>
  <si>
    <t>21.23.03004</t>
  </si>
  <si>
    <t>MT5-22890</t>
  </si>
  <si>
    <t>21.23.03005</t>
  </si>
  <si>
    <t>MT5-22891</t>
  </si>
  <si>
    <t>21.23.03007</t>
  </si>
  <si>
    <t>MT5-22893</t>
  </si>
  <si>
    <t>21.23.03012</t>
  </si>
  <si>
    <t>MT5-22894</t>
  </si>
  <si>
    <t>21.23.03013</t>
  </si>
  <si>
    <t>MT5-22895</t>
  </si>
  <si>
    <t>21.23.03016</t>
  </si>
  <si>
    <t>MT5-22896</t>
  </si>
  <si>
    <t>21.23.03019</t>
  </si>
  <si>
    <t>MT5-22897</t>
  </si>
  <si>
    <t>21.23.03027</t>
  </si>
  <si>
    <t>MT5-22898</t>
  </si>
  <si>
    <t>21.23.03029</t>
  </si>
  <si>
    <t>MT5-22899</t>
  </si>
  <si>
    <t>21.23.03094</t>
  </si>
  <si>
    <t>MT5-22900</t>
  </si>
  <si>
    <t>MT5-22903</t>
  </si>
  <si>
    <t>MT5-23228</t>
  </si>
  <si>
    <t>21.23.00346</t>
  </si>
  <si>
    <t>MT5-23231</t>
  </si>
  <si>
    <t>21.23.02848</t>
  </si>
  <si>
    <t>MT5-23312</t>
  </si>
  <si>
    <t>MT5-23316</t>
  </si>
  <si>
    <t>MT5-23319</t>
  </si>
  <si>
    <t>21.23.04029</t>
  </si>
  <si>
    <t>MT5-23322</t>
  </si>
  <si>
    <t>21.23.04030</t>
  </si>
  <si>
    <t>MT5-23323</t>
  </si>
  <si>
    <t>MT5-23360</t>
  </si>
  <si>
    <t>21.23.02204</t>
  </si>
  <si>
    <t>MT5-23428</t>
  </si>
  <si>
    <t>21.23.02206</t>
  </si>
  <si>
    <t>MT5-23429</t>
  </si>
  <si>
    <t>21.23.02207</t>
  </si>
  <si>
    <t>MT5-23430</t>
  </si>
  <si>
    <t>21.23.02211</t>
  </si>
  <si>
    <t>MT5-23432</t>
  </si>
  <si>
    <t>21.23.02214</t>
  </si>
  <si>
    <t>MT5-23433</t>
  </si>
  <si>
    <t>21.23.02215</t>
  </si>
  <si>
    <t>MT5-23434</t>
  </si>
  <si>
    <t>21.23.02217</t>
  </si>
  <si>
    <t>MT5-23435</t>
  </si>
  <si>
    <t>21.23.00810</t>
  </si>
  <si>
    <t>MT5-23586</t>
  </si>
  <si>
    <t>21.23.00811</t>
  </si>
  <si>
    <t>MT5-23587</t>
  </si>
  <si>
    <t>21.23.03785</t>
  </si>
  <si>
    <t>MT5-23629</t>
  </si>
  <si>
    <t>21.23.04277</t>
  </si>
  <si>
    <t>MT5-23781</t>
  </si>
  <si>
    <t>21.23.02843</t>
  </si>
  <si>
    <t>MT5-23795</t>
  </si>
  <si>
    <t>21.23.02845</t>
  </si>
  <si>
    <t>MT5-23796</t>
  </si>
  <si>
    <t>33.03.90003.00</t>
  </si>
  <si>
    <t>MT5-23804</t>
  </si>
  <si>
    <t>33.03.90004.00</t>
  </si>
  <si>
    <t>MT5-23805</t>
  </si>
  <si>
    <t>33.03.90006.00</t>
  </si>
  <si>
    <t>MT5-23806</t>
  </si>
  <si>
    <t>33.03.90007.00</t>
  </si>
  <si>
    <t>MT5-23807</t>
  </si>
  <si>
    <t>33.03.90010.00</t>
  </si>
  <si>
    <t>MT5-23808</t>
  </si>
  <si>
    <t>33.03.90015.00</t>
  </si>
  <si>
    <t>MT5-23809</t>
  </si>
  <si>
    <t>33.03.90017.00</t>
  </si>
  <si>
    <t>MT5-23810</t>
  </si>
  <si>
    <t>33.03.90021.00</t>
  </si>
  <si>
    <t>MT5-23811</t>
  </si>
  <si>
    <t>33.03.90028.00</t>
  </si>
  <si>
    <t>MT5-23813</t>
  </si>
  <si>
    <t>33.03.90029.00</t>
  </si>
  <si>
    <t>MT5-23814</t>
  </si>
  <si>
    <t>33.03.90030.00</t>
  </si>
  <si>
    <t>MT5-23815</t>
  </si>
  <si>
    <t>33.03.90031.00</t>
  </si>
  <si>
    <t>MT5-23816</t>
  </si>
  <si>
    <t>33.03.90032.01</t>
  </si>
  <si>
    <t>MT5-23817</t>
  </si>
  <si>
    <t>21.23.04383</t>
  </si>
  <si>
    <t>MT5-23991</t>
  </si>
  <si>
    <t>21.23.04330</t>
  </si>
  <si>
    <t>MT5-24055</t>
  </si>
  <si>
    <t>21.23.04332</t>
  </si>
  <si>
    <t>MT5-24056</t>
  </si>
  <si>
    <t>21.23.04333</t>
  </si>
  <si>
    <t>MT5-24057</t>
  </si>
  <si>
    <t>21.23.02795</t>
  </si>
  <si>
    <t>MT5-24238</t>
  </si>
  <si>
    <t>MT5-24239</t>
  </si>
  <si>
    <t>MT5-24240</t>
  </si>
  <si>
    <t>21.23.02798</t>
  </si>
  <si>
    <t>MT5-24241</t>
  </si>
  <si>
    <t>21.23.04355</t>
  </si>
  <si>
    <t>MT5-24242</t>
  </si>
  <si>
    <t>21.23.03434</t>
  </si>
  <si>
    <t>MT5-24243</t>
  </si>
  <si>
    <t>21.23.01614</t>
  </si>
  <si>
    <t>MT5-24248</t>
  </si>
  <si>
    <t>MT5-24522</t>
  </si>
  <si>
    <t>21.23.01074</t>
  </si>
  <si>
    <t>MT5-24665</t>
  </si>
  <si>
    <t>MT5-24843</t>
  </si>
  <si>
    <t>21.23.00877</t>
  </si>
  <si>
    <t>MT5-25338</t>
  </si>
  <si>
    <t>21.23.01648</t>
  </si>
  <si>
    <t>MT5-25372</t>
  </si>
  <si>
    <t>21.23.03231</t>
  </si>
  <si>
    <t>MT5-25373</t>
  </si>
  <si>
    <t>MT5-25375</t>
  </si>
  <si>
    <t>MT5-25376</t>
  </si>
  <si>
    <t>21.23.04637</t>
  </si>
  <si>
    <t>MT5-26249</t>
  </si>
  <si>
    <t>21.23.04638</t>
  </si>
  <si>
    <t>MT5-26265</t>
  </si>
  <si>
    <t>MT5-26270</t>
  </si>
  <si>
    <t>MT5-26271</t>
  </si>
  <si>
    <t>21.23.04025</t>
  </si>
  <si>
    <t>MT5-26280</t>
  </si>
  <si>
    <t>MT5-26396</t>
  </si>
  <si>
    <t>MT5-26463</t>
  </si>
  <si>
    <t>MT5-26467</t>
  </si>
  <si>
    <t>MT5-26472</t>
  </si>
  <si>
    <t>MT5-26474</t>
  </si>
  <si>
    <t>MT5-26475</t>
  </si>
  <si>
    <t>MT5-26476</t>
  </si>
  <si>
    <t>21.23.04619</t>
  </si>
  <si>
    <t>MT5-26486</t>
  </si>
  <si>
    <t>21.23.04621</t>
  </si>
  <si>
    <t>MT5-26487</t>
  </si>
  <si>
    <t>MT5-26490</t>
  </si>
  <si>
    <t>21.23.00876</t>
  </si>
  <si>
    <t>MT5-26503</t>
  </si>
  <si>
    <t>MT5-26524</t>
  </si>
  <si>
    <t>21.23.01456</t>
  </si>
  <si>
    <t>MT5-26529</t>
  </si>
  <si>
    <t>21.23.01457</t>
  </si>
  <si>
    <t>MT5-26530</t>
  </si>
  <si>
    <t>21.23.01458</t>
  </si>
  <si>
    <t>MT5-26531</t>
  </si>
  <si>
    <t>21.23.01459</t>
  </si>
  <si>
    <t>MT5-26532</t>
  </si>
  <si>
    <t>21.23.01992</t>
  </si>
  <si>
    <t>MT5-26671</t>
  </si>
  <si>
    <t>21.23.01707</t>
  </si>
  <si>
    <t>MT5-26697</t>
  </si>
  <si>
    <t>21.23.01712</t>
  </si>
  <si>
    <t>MT5-26698</t>
  </si>
  <si>
    <t>33.03.11198.00</t>
  </si>
  <si>
    <t>MT5-26744</t>
  </si>
  <si>
    <t>33.03.11199.00</t>
  </si>
  <si>
    <t>MT5-26745</t>
  </si>
  <si>
    <t>MT5-26748</t>
  </si>
  <si>
    <t>MT5-26924</t>
  </si>
  <si>
    <t>01.33.00019</t>
  </si>
  <si>
    <t>MT5-26926</t>
  </si>
  <si>
    <t>21.23.02447</t>
  </si>
  <si>
    <t>MT5-26928</t>
  </si>
  <si>
    <t>21.23.03299</t>
  </si>
  <si>
    <t>MT5-26930</t>
  </si>
  <si>
    <t>21.23.04269</t>
  </si>
  <si>
    <t>MT5-26932</t>
  </si>
  <si>
    <t>33.03.10352.00</t>
  </si>
  <si>
    <t>MT5-26935</t>
  </si>
  <si>
    <t>33.03.10353.00</t>
  </si>
  <si>
    <t>MT5-26936</t>
  </si>
  <si>
    <t>MT5-26938</t>
  </si>
  <si>
    <t>33.20.10364.00</t>
  </si>
  <si>
    <t>MT5-26965</t>
  </si>
  <si>
    <t>33.08.10139.00</t>
  </si>
  <si>
    <t>MT5-26969</t>
  </si>
  <si>
    <t>33.08.10209.00</t>
  </si>
  <si>
    <t>MT5-26970</t>
  </si>
  <si>
    <t>33.08.10203.00</t>
  </si>
  <si>
    <t>MT5-26971</t>
  </si>
  <si>
    <t>21.23.02446</t>
  </si>
  <si>
    <t>MT5-26972</t>
  </si>
  <si>
    <t>33.08.10200.00</t>
  </si>
  <si>
    <t>MT5-26973</t>
  </si>
  <si>
    <t>33.08.10199.00</t>
  </si>
  <si>
    <t>MT5-26974</t>
  </si>
  <si>
    <t>21.23.02850</t>
  </si>
  <si>
    <t>MT5-26975</t>
  </si>
  <si>
    <t>33.08.10176.00</t>
  </si>
  <si>
    <t>MT5-26976</t>
  </si>
  <si>
    <t>33.08.10175.00</t>
  </si>
  <si>
    <t>MT5-26977</t>
  </si>
  <si>
    <t>33.08.10174.00</t>
  </si>
  <si>
    <t>MT5-26978</t>
  </si>
  <si>
    <t>MT5-26979</t>
  </si>
  <si>
    <t>33.08.10153.01</t>
  </si>
  <si>
    <t>MT5-26980</t>
  </si>
  <si>
    <t>21.23.03124</t>
  </si>
  <si>
    <t>MT5-26981</t>
  </si>
  <si>
    <t>21.23.03126</t>
  </si>
  <si>
    <t>MT5-26982</t>
  </si>
  <si>
    <t>21.23.03363</t>
  </si>
  <si>
    <t>MT5-26983</t>
  </si>
  <si>
    <t>21.23.03364</t>
  </si>
  <si>
    <t>MT5-26984</t>
  </si>
  <si>
    <t>21.23.03683</t>
  </si>
  <si>
    <t>MT5-26985</t>
  </si>
  <si>
    <t>21.23.04048</t>
  </si>
  <si>
    <t>MT5-26986</t>
  </si>
  <si>
    <t>21.23.04434</t>
  </si>
  <si>
    <t>MT5-26987</t>
  </si>
  <si>
    <t>33.03.10213.00</t>
  </si>
  <si>
    <t>MT5-26988</t>
  </si>
  <si>
    <t>33.03.10226.00</t>
  </si>
  <si>
    <t>MT5-26989</t>
  </si>
  <si>
    <t>33.03.10294.00</t>
  </si>
  <si>
    <t>MT5-26990</t>
  </si>
  <si>
    <t>33.03.10295.00</t>
  </si>
  <si>
    <t>MT5-26991</t>
  </si>
  <si>
    <t>33.03.10296.00</t>
  </si>
  <si>
    <t>MT5-26992</t>
  </si>
  <si>
    <t>33.03.10297.00</t>
  </si>
  <si>
    <t>MT5-26993</t>
  </si>
  <si>
    <t>MT5-26994</t>
  </si>
  <si>
    <t>33.03.10300.00</t>
  </si>
  <si>
    <t>MT5-26995</t>
  </si>
  <si>
    <t>33.03.11326.00</t>
  </si>
  <si>
    <t>MT5-26996</t>
  </si>
  <si>
    <t>33.03.11376.00</t>
  </si>
  <si>
    <t>MT5-26997</t>
  </si>
  <si>
    <t>33.03.11383.00</t>
  </si>
  <si>
    <t>MT5-26998</t>
  </si>
  <si>
    <t>33.03.11384.00</t>
  </si>
  <si>
    <t>MT5-26999</t>
  </si>
  <si>
    <t>33.03.11390.01</t>
  </si>
  <si>
    <t>MT5-27000</t>
  </si>
  <si>
    <t>33.08.10146.00</t>
  </si>
  <si>
    <t>MT5-27001</t>
  </si>
  <si>
    <t>33.03.11427.00</t>
  </si>
  <si>
    <t>MT5-27002</t>
  </si>
  <si>
    <t>33.03.11453.00</t>
  </si>
  <si>
    <t>MT5-27003</t>
  </si>
  <si>
    <t>33.08.10134.01</t>
  </si>
  <si>
    <t>MT5-27005</t>
  </si>
  <si>
    <t>33.08.10134.00</t>
  </si>
  <si>
    <t>MT5-27006</t>
  </si>
  <si>
    <t>33.08.10111.00</t>
  </si>
  <si>
    <t>MT5-27007</t>
  </si>
  <si>
    <t>33.08.10085.00</t>
  </si>
  <si>
    <t>MT5-27008</t>
  </si>
  <si>
    <t>33.03.11461.00</t>
  </si>
  <si>
    <t>MT5-27009</t>
  </si>
  <si>
    <t>33.03.11456.00</t>
  </si>
  <si>
    <t>MT5-27010</t>
  </si>
  <si>
    <t>21.23.01640</t>
  </si>
  <si>
    <t>MT5-27096</t>
  </si>
  <si>
    <t>21.23.04424</t>
  </si>
  <si>
    <t>MT5-27097</t>
  </si>
  <si>
    <t>01.33.00044</t>
  </si>
  <si>
    <t>MT5-27519</t>
  </si>
  <si>
    <t>21.23.00154</t>
  </si>
  <si>
    <t>MT5-27520</t>
  </si>
  <si>
    <t>13.03.00029</t>
  </si>
  <si>
    <t>MT5-27533</t>
  </si>
  <si>
    <t>13.03.00050</t>
  </si>
  <si>
    <t>MT5-27534</t>
  </si>
  <si>
    <t>21.23.04672</t>
  </si>
  <si>
    <t>MT5-27536</t>
  </si>
  <si>
    <t>13.03.00222</t>
  </si>
  <si>
    <t>MT5-27537</t>
  </si>
  <si>
    <t>21.23.04676</t>
  </si>
  <si>
    <t>MT5-27538</t>
  </si>
  <si>
    <t>33.09.10324.00</t>
  </si>
  <si>
    <t>MT5-27743</t>
  </si>
  <si>
    <t>33.09.10184.00</t>
  </si>
  <si>
    <t>MT5-27744</t>
  </si>
  <si>
    <t>33.09.10319.00</t>
  </si>
  <si>
    <t>MT5-27745</t>
  </si>
  <si>
    <t>21.23.01647</t>
  </si>
  <si>
    <t>MT5-27824</t>
  </si>
  <si>
    <t>33.99.10033.00</t>
  </si>
  <si>
    <t>MT5-27964</t>
  </si>
  <si>
    <t>21.23.01717</t>
  </si>
  <si>
    <t>MT5-28252</t>
  </si>
  <si>
    <t>33.08.10515.01</t>
  </si>
  <si>
    <t>MT5-28253</t>
  </si>
  <si>
    <t>33.20.10365.02</t>
  </si>
  <si>
    <t>MT5-28254</t>
  </si>
  <si>
    <t>33.23.10032.01</t>
  </si>
  <si>
    <t>MT5-28255</t>
  </si>
  <si>
    <t>33.41.10008.00</t>
  </si>
  <si>
    <t>MT5-28256</t>
  </si>
  <si>
    <t>33.41.10044.00</t>
  </si>
  <si>
    <t>MT5-28257</t>
  </si>
  <si>
    <t>33.41.10046.00</t>
  </si>
  <si>
    <t>MT5-28258</t>
  </si>
  <si>
    <t>33.41.10048.00</t>
  </si>
  <si>
    <t>MT5-28259</t>
  </si>
  <si>
    <t>33.41.10050.00</t>
  </si>
  <si>
    <t>MT5-28260</t>
  </si>
  <si>
    <t>33.41.10113.00</t>
  </si>
  <si>
    <t>MT5-28261</t>
  </si>
  <si>
    <t>33.41.10128.00</t>
  </si>
  <si>
    <t>MT5-28262</t>
  </si>
  <si>
    <t>33.41.10132.00</t>
  </si>
  <si>
    <t>MT5-28263</t>
  </si>
  <si>
    <t>33.41.10173.00</t>
  </si>
  <si>
    <t>MT5-28264</t>
  </si>
  <si>
    <t>33.41.10174.00</t>
  </si>
  <si>
    <t>MT5-28265</t>
  </si>
  <si>
    <t>33.41.10175.00</t>
  </si>
  <si>
    <t>MT5-28266</t>
  </si>
  <si>
    <t>33.41.10346.00</t>
  </si>
  <si>
    <t>MT5-28268</t>
  </si>
  <si>
    <t>33.41.10349.00</t>
  </si>
  <si>
    <t>MT5-28269</t>
  </si>
  <si>
    <t>33.41.10524.00</t>
  </si>
  <si>
    <t>MT5-28270</t>
  </si>
  <si>
    <t>33.08.10284.00</t>
  </si>
  <si>
    <t>MT5-28277</t>
  </si>
  <si>
    <t>33.20.10108.00</t>
  </si>
  <si>
    <t>MT5-28278</t>
  </si>
  <si>
    <t>33.20.10112.02</t>
  </si>
  <si>
    <t>MT5-28279</t>
  </si>
  <si>
    <t>33.03.11431.00</t>
  </si>
  <si>
    <t>MT5-28489</t>
  </si>
  <si>
    <t>33.03.11462.00</t>
  </si>
  <si>
    <t>MT5-28490</t>
  </si>
  <si>
    <t>MT5-28503</t>
  </si>
  <si>
    <t>33.03.11327.01</t>
  </si>
  <si>
    <t>MT5-28509</t>
  </si>
  <si>
    <t>33.03.11335.01</t>
  </si>
  <si>
    <t>MT5-28510</t>
  </si>
  <si>
    <t>33.03.11355.01</t>
  </si>
  <si>
    <t>MT5-28511</t>
  </si>
  <si>
    <t>33.03.11370.02</t>
  </si>
  <si>
    <t>MT5-28512</t>
  </si>
  <si>
    <t>33.20.10570.00</t>
  </si>
  <si>
    <t>MT5-28513</t>
  </si>
  <si>
    <t>MT5-28514</t>
  </si>
  <si>
    <t>33.20.10571.00</t>
  </si>
  <si>
    <t>MT5-28515</t>
  </si>
  <si>
    <t>33.20.10572.00</t>
  </si>
  <si>
    <t>MT5-28516</t>
  </si>
  <si>
    <t>33.03.11356.00</t>
  </si>
  <si>
    <t>MT5-28517</t>
  </si>
  <si>
    <t>33.03.11438.01</t>
  </si>
  <si>
    <t>MT5-28518</t>
  </si>
  <si>
    <t>33.03.11476.00</t>
  </si>
  <si>
    <t>MT5-28519</t>
  </si>
  <si>
    <t>33.03.11478.00</t>
  </si>
  <si>
    <t>MT5-28520</t>
  </si>
  <si>
    <t>33.03.11479.00</t>
  </si>
  <si>
    <t>MT5-28521</t>
  </si>
  <si>
    <t>33.03.11632.01</t>
  </si>
  <si>
    <t>MT5-28522</t>
  </si>
  <si>
    <t>33.03.11381.02</t>
  </si>
  <si>
    <t>MT5-28523</t>
  </si>
  <si>
    <t>33.03.11387.00</t>
  </si>
  <si>
    <t>MT5-28569</t>
  </si>
  <si>
    <t>MT5-28578</t>
  </si>
  <si>
    <t>33.08.10116.01</t>
  </si>
  <si>
    <t>MT5-28579</t>
  </si>
  <si>
    <t>33.20.10113.01</t>
  </si>
  <si>
    <t>MT5-28590</t>
  </si>
  <si>
    <t>33.20.10272.00</t>
  </si>
  <si>
    <t>MT5-28593</t>
  </si>
  <si>
    <t>33.20.10346.02</t>
  </si>
  <si>
    <t>MT5-28594</t>
  </si>
  <si>
    <t>33.20.10349.02</t>
  </si>
  <si>
    <t>MT5-28595</t>
  </si>
  <si>
    <t>33.20.10350.02</t>
  </si>
  <si>
    <t>MT5-28596</t>
  </si>
  <si>
    <t>33.20.10369.00</t>
  </si>
  <si>
    <t>MT5-28597</t>
  </si>
  <si>
    <t>33.20.10375.00</t>
  </si>
  <si>
    <t>MT5-28598</t>
  </si>
  <si>
    <t>33.20.10496.00</t>
  </si>
  <si>
    <t>MT5-28600</t>
  </si>
  <si>
    <t>33.20.10501.00</t>
  </si>
  <si>
    <t>MT5-28601</t>
  </si>
  <si>
    <t>33.20.10560.00</t>
  </si>
  <si>
    <t>MT5-28606</t>
  </si>
  <si>
    <t>33.20.10576.00</t>
  </si>
  <si>
    <t>MT5-28612</t>
  </si>
  <si>
    <t>MT5-28613</t>
  </si>
  <si>
    <t>33.20.10587.01</t>
  </si>
  <si>
    <t>MT5-28614</t>
  </si>
  <si>
    <t>33.20.10605.00</t>
  </si>
  <si>
    <t>MT5-28615</t>
  </si>
  <si>
    <t>MT5-28665</t>
  </si>
  <si>
    <t>33.08.10224.00</t>
  </si>
  <si>
    <t>MT5-28666</t>
  </si>
  <si>
    <t>MT5-28752</t>
  </si>
  <si>
    <t>MT5-28753</t>
  </si>
  <si>
    <t>MT5-28914</t>
  </si>
  <si>
    <t>MT5-28916</t>
  </si>
  <si>
    <t>MT5-28917</t>
  </si>
  <si>
    <t>MT5-28918</t>
  </si>
  <si>
    <t>MT5-28919</t>
  </si>
  <si>
    <t>MT5-28920</t>
  </si>
  <si>
    <t>MT5-28921</t>
  </si>
  <si>
    <t>MT5-28922</t>
  </si>
  <si>
    <t>MT5-28923</t>
  </si>
  <si>
    <t>MT5-28924</t>
  </si>
  <si>
    <t>MT5-28925</t>
  </si>
  <si>
    <t>MT5-28926</t>
  </si>
  <si>
    <t>MT5-28927</t>
  </si>
  <si>
    <t>MT5-28928</t>
  </si>
  <si>
    <t>MT5-28929</t>
  </si>
  <si>
    <t>MT5-28930</t>
  </si>
  <si>
    <t>MT5-28931</t>
  </si>
  <si>
    <t>MT5-28932</t>
  </si>
  <si>
    <t>MT5-28933</t>
  </si>
  <si>
    <t>MT5-28934</t>
  </si>
  <si>
    <t>MT5-28935</t>
  </si>
  <si>
    <t>MT5-28936</t>
  </si>
  <si>
    <t>MT5-28937</t>
  </si>
  <si>
    <t>MT5-28939</t>
  </si>
  <si>
    <t>MT5-28940</t>
  </si>
  <si>
    <t>MT5-28941</t>
  </si>
  <si>
    <t>MT5-28942</t>
  </si>
  <si>
    <t>MT5-28943</t>
  </si>
  <si>
    <t>MT5-28944</t>
  </si>
  <si>
    <t>MT5-28945</t>
  </si>
  <si>
    <t>MT5-28946</t>
  </si>
  <si>
    <t>MT5-28947</t>
  </si>
  <si>
    <t>MT5-28948</t>
  </si>
  <si>
    <t>MT5-28949</t>
  </si>
  <si>
    <t>MT5-28950</t>
  </si>
  <si>
    <t>MT5-28951</t>
  </si>
  <si>
    <t>MT5-28952</t>
  </si>
  <si>
    <t>MT5-28953</t>
  </si>
  <si>
    <t>MT5-28954</t>
  </si>
  <si>
    <t>MT5-28955</t>
  </si>
  <si>
    <t>MT6-7677</t>
  </si>
  <si>
    <t>MT5-28957</t>
  </si>
  <si>
    <t>MT5-28958</t>
  </si>
  <si>
    <t>MT5-28959</t>
  </si>
  <si>
    <t>MT5-28960</t>
  </si>
  <si>
    <t>MT5-28961</t>
  </si>
  <si>
    <t>MT5-28962</t>
  </si>
  <si>
    <t>MT5-28963</t>
  </si>
  <si>
    <t>MT5-28968</t>
  </si>
  <si>
    <t>MT5-28969</t>
  </si>
  <si>
    <t>MT5-28970</t>
  </si>
  <si>
    <t>MT5-28971</t>
  </si>
  <si>
    <t>MT5-28972</t>
  </si>
  <si>
    <t>MT5-28973</t>
  </si>
  <si>
    <t>MT5-28974</t>
  </si>
  <si>
    <t>MT5-28975</t>
  </si>
  <si>
    <t>MT5-28976</t>
  </si>
  <si>
    <t>MT5-28977</t>
  </si>
  <si>
    <t>MT5-28978</t>
  </si>
  <si>
    <t>MT5-28979</t>
  </si>
  <si>
    <t>MT5-28980</t>
  </si>
  <si>
    <t>MT5-28982</t>
  </si>
  <si>
    <t>MT5-28983</t>
  </si>
  <si>
    <t>MT5-28984</t>
  </si>
  <si>
    <t>MT3-14513</t>
  </si>
  <si>
    <t>MT5-28986</t>
  </si>
  <si>
    <t>MT5-28987</t>
  </si>
  <si>
    <t>MT5-28988</t>
  </si>
  <si>
    <t>MT5-28989</t>
  </si>
  <si>
    <t>MT5-28991</t>
  </si>
  <si>
    <t>MT5-28992</t>
  </si>
  <si>
    <t>MT5-28993</t>
  </si>
  <si>
    <t>MT5-28994</t>
  </si>
  <si>
    <t>MT5-28995</t>
  </si>
  <si>
    <t>MT5-28996</t>
  </si>
  <si>
    <t>MT5-28997</t>
  </si>
  <si>
    <t>MT5-28998</t>
  </si>
  <si>
    <t>MT5-28999</t>
  </si>
  <si>
    <t>MT5-29000</t>
  </si>
  <si>
    <t>MT5-29001</t>
  </si>
  <si>
    <t>MT5-29002</t>
  </si>
  <si>
    <t>MT5-29003</t>
  </si>
  <si>
    <t>MT5-29004</t>
  </si>
  <si>
    <t>MT5-29006</t>
  </si>
  <si>
    <t>MT5-29007</t>
  </si>
  <si>
    <t>MT5-29008</t>
  </si>
  <si>
    <t>MT5-29009</t>
  </si>
  <si>
    <t>MT5-29010</t>
  </si>
  <si>
    <t>MT5-29012</t>
  </si>
  <si>
    <t>MT5-29013</t>
  </si>
  <si>
    <t>MT5-29014</t>
  </si>
  <si>
    <t>MT5-29015</t>
  </si>
  <si>
    <t>MT5-29016</t>
  </si>
  <si>
    <t>MT5-29017</t>
  </si>
  <si>
    <t>MT5-29018</t>
  </si>
  <si>
    <t>MT5-29019</t>
  </si>
  <si>
    <t>MT5-29020</t>
  </si>
  <si>
    <t>MT5-29021</t>
  </si>
  <si>
    <t>MT5-29022</t>
  </si>
  <si>
    <t>MT5-29023</t>
  </si>
  <si>
    <t>MT5-29024</t>
  </si>
  <si>
    <t>MT5-29025</t>
  </si>
  <si>
    <t>MT5-29026</t>
  </si>
  <si>
    <t>MT5-29027</t>
  </si>
  <si>
    <t>MT5-29028</t>
  </si>
  <si>
    <t>MT5-29029</t>
  </si>
  <si>
    <t>MT5-29030</t>
  </si>
  <si>
    <t>MT5-29031</t>
  </si>
  <si>
    <t>MT5-29032</t>
  </si>
  <si>
    <t>MT5-29033</t>
  </si>
  <si>
    <t>MT5-29034</t>
  </si>
  <si>
    <t>MT5-29035</t>
  </si>
  <si>
    <t>MT5-29036</t>
  </si>
  <si>
    <t>MT5-29037</t>
  </si>
  <si>
    <t>MT5-29038</t>
  </si>
  <si>
    <t>MT5-29039</t>
  </si>
  <si>
    <t>MT5-29040</t>
  </si>
  <si>
    <t>MT5-29041</t>
  </si>
  <si>
    <t>MT5-29042</t>
  </si>
  <si>
    <t>MT5-29043</t>
  </si>
  <si>
    <t>MT5-29044</t>
  </si>
  <si>
    <t>MT5-29045</t>
  </si>
  <si>
    <t>MT5-29046</t>
  </si>
  <si>
    <t>MT5-29047</t>
  </si>
  <si>
    <t>MT5-29048</t>
  </si>
  <si>
    <t>MT5-29049</t>
  </si>
  <si>
    <t>MT5-29050</t>
  </si>
  <si>
    <t>MT5-29051</t>
  </si>
  <si>
    <t>MT5-29052</t>
  </si>
  <si>
    <t>MT5-29053</t>
  </si>
  <si>
    <t>MT5-29054</t>
  </si>
  <si>
    <t>MT5-29055</t>
  </si>
  <si>
    <t>MT5-29056</t>
  </si>
  <si>
    <t>MT5-29057</t>
  </si>
  <si>
    <t>MT5-29058</t>
  </si>
  <si>
    <t>MT5-29059</t>
  </si>
  <si>
    <t>MT5-29060</t>
  </si>
  <si>
    <t>MT5-29061</t>
  </si>
  <si>
    <t>MT5-29062</t>
  </si>
  <si>
    <t>MT5-29063</t>
  </si>
  <si>
    <t>MT5-29064</t>
  </si>
  <si>
    <t>MT5-29065</t>
  </si>
  <si>
    <t>MT5-29066</t>
  </si>
  <si>
    <t>33.08.10143.00</t>
  </si>
  <si>
    <t>MT5-6219</t>
  </si>
  <si>
    <t>21.23.01492</t>
  </si>
  <si>
    <t>MT6-2137</t>
  </si>
  <si>
    <t>21.23.01084</t>
  </si>
  <si>
    <t>MT6-2235</t>
  </si>
  <si>
    <t>01.33.00025</t>
  </si>
  <si>
    <t>MT6-2296</t>
  </si>
  <si>
    <t>21.23.01117</t>
  </si>
  <si>
    <t>MT6-2423</t>
  </si>
  <si>
    <t>21.23.00948</t>
  </si>
  <si>
    <t>MT6-4344</t>
  </si>
  <si>
    <t>MT6-4345</t>
  </si>
  <si>
    <t>21.23.00950</t>
  </si>
  <si>
    <t>MT6-4346</t>
  </si>
  <si>
    <t>21.23.00951</t>
  </si>
  <si>
    <t>MT6-4347</t>
  </si>
  <si>
    <t>21.23.00952</t>
  </si>
  <si>
    <t>MT6-4348</t>
  </si>
  <si>
    <t>21.23.00953</t>
  </si>
  <si>
    <t>MT6-4349</t>
  </si>
  <si>
    <t>21.23.00954</t>
  </si>
  <si>
    <t>MT6-4350</t>
  </si>
  <si>
    <t>21.23.00956</t>
  </si>
  <si>
    <t>MT6-4351</t>
  </si>
  <si>
    <t>21.23.00957</t>
  </si>
  <si>
    <t>MT6-4352</t>
  </si>
  <si>
    <t>MT6-4353</t>
  </si>
  <si>
    <t>21.23.00968</t>
  </si>
  <si>
    <t>MT6-4356</t>
  </si>
  <si>
    <t>21.23.00976</t>
  </si>
  <si>
    <t>MT6-4358</t>
  </si>
  <si>
    <t>21.23.00981</t>
  </si>
  <si>
    <t>MT6-4359</t>
  </si>
  <si>
    <t>21.23.00984</t>
  </si>
  <si>
    <t>MT6-4360</t>
  </si>
  <si>
    <t>21.23.00992</t>
  </si>
  <si>
    <t>MT6-4362</t>
  </si>
  <si>
    <t>21.23.00996</t>
  </si>
  <si>
    <t>MT6-4364</t>
  </si>
  <si>
    <t>21.23.01046</t>
  </si>
  <si>
    <t>MT6-4367</t>
  </si>
  <si>
    <t>21.23.01013</t>
  </si>
  <si>
    <t>MT6-4368</t>
  </si>
  <si>
    <t>21.23.01014</t>
  </si>
  <si>
    <t>MT6-4369</t>
  </si>
  <si>
    <t>21.23.01015</t>
  </si>
  <si>
    <t>MT6-4370</t>
  </si>
  <si>
    <t>21.23.01033</t>
  </si>
  <si>
    <t>MT6-4373</t>
  </si>
  <si>
    <t>21.23.01045</t>
  </si>
  <si>
    <t>MT6-4376</t>
  </si>
  <si>
    <t>21.23.01050</t>
  </si>
  <si>
    <t>MT6-4378</t>
  </si>
  <si>
    <t>21.23.01051</t>
  </si>
  <si>
    <t>MT6-4379</t>
  </si>
  <si>
    <t>21.23.00986</t>
  </si>
  <si>
    <t>MT6-4380</t>
  </si>
  <si>
    <t>21.23.01011</t>
  </si>
  <si>
    <t>MT6-4381</t>
  </si>
  <si>
    <t>21.23.01018</t>
  </si>
  <si>
    <t>MT6-4382</t>
  </si>
  <si>
    <t>21.23.00947</t>
  </si>
  <si>
    <t>MT6-4383</t>
  </si>
  <si>
    <t>21.23.01047</t>
  </si>
  <si>
    <t>MT6-4384</t>
  </si>
  <si>
    <t>21.23.01049</t>
  </si>
  <si>
    <t>MT6-4385</t>
  </si>
  <si>
    <t>21.23.01024</t>
  </si>
  <si>
    <t>MT6-4386</t>
  </si>
  <si>
    <t>21.23.01020</t>
  </si>
  <si>
    <t>MT6-4388</t>
  </si>
  <si>
    <t>21.23.01028</t>
  </si>
  <si>
    <t>MT6-4389</t>
  </si>
  <si>
    <t>21.23.01082</t>
  </si>
  <si>
    <t>MT6-4401</t>
  </si>
  <si>
    <t>21.23.01083</t>
  </si>
  <si>
    <t>MT6-4402</t>
  </si>
  <si>
    <t>21.23.01086</t>
  </si>
  <si>
    <t>MT6-4403</t>
  </si>
  <si>
    <t>21.23.01087</t>
  </si>
  <si>
    <t>MT6-4404</t>
  </si>
  <si>
    <t>21.23.01088</t>
  </si>
  <si>
    <t>MT6-4405</t>
  </si>
  <si>
    <t>21.23.01089</t>
  </si>
  <si>
    <t>MT6-4406</t>
  </si>
  <si>
    <t>21.23.01090</t>
  </si>
  <si>
    <t>MT6-4407</t>
  </si>
  <si>
    <t>21.23.01091</t>
  </si>
  <si>
    <t>MT6-4408</t>
  </si>
  <si>
    <t>21.23.01092</t>
  </si>
  <si>
    <t>MT6-4409</t>
  </si>
  <si>
    <t>21.23.01095</t>
  </si>
  <si>
    <t>MT6-4410</t>
  </si>
  <si>
    <t>21.23.01103</t>
  </si>
  <si>
    <t>MT6-4414</t>
  </si>
  <si>
    <t>21.23.01106</t>
  </si>
  <si>
    <t>MT6-4416</t>
  </si>
  <si>
    <t>21.23.01107</t>
  </si>
  <si>
    <t>MT6-4417</t>
  </si>
  <si>
    <t>21.23.00937</t>
  </si>
  <si>
    <t>MT6-4418</t>
  </si>
  <si>
    <t>21.23.00938</t>
  </si>
  <si>
    <t>MT6-4419</t>
  </si>
  <si>
    <t>21.23.01111</t>
  </si>
  <si>
    <t>MT6-4420</t>
  </si>
  <si>
    <t>21.23.00934</t>
  </si>
  <si>
    <t>MT6-4423</t>
  </si>
  <si>
    <t>21.23.01055</t>
  </si>
  <si>
    <t>MT6-4425</t>
  </si>
  <si>
    <t>21.23.01056</t>
  </si>
  <si>
    <t>MT6-4426</t>
  </si>
  <si>
    <t>21.23.01057</t>
  </si>
  <si>
    <t>MT6-4427</t>
  </si>
  <si>
    <t>21.23.01059</t>
  </si>
  <si>
    <t>MT6-4428</t>
  </si>
  <si>
    <t>21.23.01068</t>
  </si>
  <si>
    <t>MT6-4431</t>
  </si>
  <si>
    <t>21.23.01069</t>
  </si>
  <si>
    <t>MT6-4432</t>
  </si>
  <si>
    <t>21.23.01073</t>
  </si>
  <si>
    <t>MT6-4434</t>
  </si>
  <si>
    <t>21.23.01080</t>
  </si>
  <si>
    <t>MT6-4435</t>
  </si>
  <si>
    <t>21.23.01078</t>
  </si>
  <si>
    <t>MT6-4437</t>
  </si>
  <si>
    <t>21.23.01179</t>
  </si>
  <si>
    <t>MT6-4445</t>
  </si>
  <si>
    <t>21.23.00886</t>
  </si>
  <si>
    <t>MT6-4453</t>
  </si>
  <si>
    <t>21.23.00891</t>
  </si>
  <si>
    <t>MT6-4454</t>
  </si>
  <si>
    <t>21.23.00893</t>
  </si>
  <si>
    <t>MT6-4455</t>
  </si>
  <si>
    <t>21.23.00894</t>
  </si>
  <si>
    <t>MT6-4456</t>
  </si>
  <si>
    <t>21.23.00895</t>
  </si>
  <si>
    <t>MT6-4457</t>
  </si>
  <si>
    <t>21.23.00896</t>
  </si>
  <si>
    <t>MT6-4458</t>
  </si>
  <si>
    <t>21.23.00897</t>
  </si>
  <si>
    <t>MT6-4459</t>
  </si>
  <si>
    <t>21.23.00898</t>
  </si>
  <si>
    <t>MT6-4460</t>
  </si>
  <si>
    <t>MT6-4461</t>
  </si>
  <si>
    <t>21.23.00927</t>
  </si>
  <si>
    <t>MT6-4462</t>
  </si>
  <si>
    <t>21.23.00931</t>
  </si>
  <si>
    <t>MT6-4463</t>
  </si>
  <si>
    <t>21.23.00933</t>
  </si>
  <si>
    <t>MT6-4464</t>
  </si>
  <si>
    <t>21.23.00932</t>
  </si>
  <si>
    <t>MT6-4465</t>
  </si>
  <si>
    <t>21.23.00941</t>
  </si>
  <si>
    <t>MT6-4466</t>
  </si>
  <si>
    <t>21.23.00885</t>
  </si>
  <si>
    <t>MT6-4467</t>
  </si>
  <si>
    <t>21.23.01299</t>
  </si>
  <si>
    <t>MT6-4474</t>
  </si>
  <si>
    <t>21.23.01008</t>
  </si>
  <si>
    <t>MT6-4478</t>
  </si>
  <si>
    <t>21.23.01010</t>
  </si>
  <si>
    <t>MT6-4480</t>
  </si>
  <si>
    <t>21.23.01411</t>
  </si>
  <si>
    <t>MT6-4512</t>
  </si>
  <si>
    <t>21.23.01413</t>
  </si>
  <si>
    <t>MT6-4513</t>
  </si>
  <si>
    <t>21.23.01416</t>
  </si>
  <si>
    <t>MT6-4514</t>
  </si>
  <si>
    <t>21.23.01417</t>
  </si>
  <si>
    <t>MT6-4515</t>
  </si>
  <si>
    <t>21.23.01433</t>
  </si>
  <si>
    <t>MT6-4517</t>
  </si>
  <si>
    <t>21.23.00989</t>
  </si>
  <si>
    <t>MT6-4525</t>
  </si>
  <si>
    <t>21.23.01491</t>
  </si>
  <si>
    <t>MT6-4526</t>
  </si>
  <si>
    <t>21.23.01495</t>
  </si>
  <si>
    <t>MT6-4527</t>
  </si>
  <si>
    <t>21.23.01173</t>
  </si>
  <si>
    <t>MT6-4529</t>
  </si>
  <si>
    <t>21.23.01005</t>
  </si>
  <si>
    <t>MT6-4532</t>
  </si>
  <si>
    <t>21.23.01193</t>
  </si>
  <si>
    <t>MT6-4540</t>
  </si>
  <si>
    <t>21.23.01505</t>
  </si>
  <si>
    <t>MT6-4541</t>
  </si>
  <si>
    <t>21.23.01508</t>
  </si>
  <si>
    <t>MT6-4542</t>
  </si>
  <si>
    <t>21.23.01509</t>
  </si>
  <si>
    <t>MT6-4543</t>
  </si>
  <si>
    <t>21.23.01510</t>
  </si>
  <si>
    <t>MT6-4544</t>
  </si>
  <si>
    <t>21.23.01512</t>
  </si>
  <si>
    <t>MT6-4546</t>
  </si>
  <si>
    <t>21.23.01513</t>
  </si>
  <si>
    <t>MT6-4547</t>
  </si>
  <si>
    <t>21.23.01514</t>
  </si>
  <si>
    <t>MT6-4548</t>
  </si>
  <si>
    <t>21.23.01515</t>
  </si>
  <si>
    <t>MT6-4549</t>
  </si>
  <si>
    <t>21.23.01516</t>
  </si>
  <si>
    <t>MT6-4550</t>
  </si>
  <si>
    <t>21.23.01517</t>
  </si>
  <si>
    <t>MT6-4551</t>
  </si>
  <si>
    <t>21.23.01518</t>
  </si>
  <si>
    <t>MT6-4552</t>
  </si>
  <si>
    <t>21.23.01523</t>
  </si>
  <si>
    <t>MT6-4553</t>
  </si>
  <si>
    <t>21.23.01535</t>
  </si>
  <si>
    <t>MT6-4554</t>
  </si>
  <si>
    <t>21.23.01539</t>
  </si>
  <si>
    <t>MT6-4555</t>
  </si>
  <si>
    <t>21.23.01545</t>
  </si>
  <si>
    <t>MT6-4556</t>
  </si>
  <si>
    <t>21.23.01553</t>
  </si>
  <si>
    <t>MT6-4557</t>
  </si>
  <si>
    <t>21.23.01554</t>
  </si>
  <si>
    <t>MT6-4558</t>
  </si>
  <si>
    <t>21.23.01555</t>
  </si>
  <si>
    <t>MT6-4559</t>
  </si>
  <si>
    <t>21.23.01557</t>
  </si>
  <si>
    <t>MT6-4560</t>
  </si>
  <si>
    <t>21.23.01558</t>
  </si>
  <si>
    <t>MT6-4561</t>
  </si>
  <si>
    <t>21.23.01559</t>
  </si>
  <si>
    <t>MT6-4562</t>
  </si>
  <si>
    <t>21.23.01560</t>
  </si>
  <si>
    <t>MT6-4563</t>
  </si>
  <si>
    <t>21.23.01565</t>
  </si>
  <si>
    <t>MT6-4564</t>
  </si>
  <si>
    <t>21.23.01566</t>
  </si>
  <si>
    <t>MT6-4565</t>
  </si>
  <si>
    <t>21.23.01570</t>
  </si>
  <si>
    <t>MT6-4566</t>
  </si>
  <si>
    <t>MT6-4567</t>
  </si>
  <si>
    <t>21.23.01577</t>
  </si>
  <si>
    <t>MT6-4568</t>
  </si>
  <si>
    <t>21.23.01579</t>
  </si>
  <si>
    <t>MT6-4569</t>
  </si>
  <si>
    <t>21.23.01583</t>
  </si>
  <si>
    <t>MT6-4571</t>
  </si>
  <si>
    <t>21.23.01585</t>
  </si>
  <si>
    <t>MT6-4572</t>
  </si>
  <si>
    <t>21.23.01547</t>
  </si>
  <si>
    <t>MT6-4580</t>
  </si>
  <si>
    <t>21.23.01529</t>
  </si>
  <si>
    <t>MT6-4597</t>
  </si>
  <si>
    <t>MT6-4673</t>
  </si>
  <si>
    <t>21.23.01311</t>
  </si>
  <si>
    <t>MT6-4674</t>
  </si>
  <si>
    <t>MT6-4676</t>
  </si>
  <si>
    <t>MT6-4677</t>
  </si>
  <si>
    <t>21.23.02008</t>
  </si>
  <si>
    <t>MT6-4678</t>
  </si>
  <si>
    <t>21.23.02010</t>
  </si>
  <si>
    <t>MT6-4679</t>
  </si>
  <si>
    <t>21.23.02011</t>
  </si>
  <si>
    <t>MT6-4680</t>
  </si>
  <si>
    <t>21.23.02013</t>
  </si>
  <si>
    <t>MT6-4681</t>
  </si>
  <si>
    <t>MT6-4682</t>
  </si>
  <si>
    <t>MT6-4684</t>
  </si>
  <si>
    <t>MT6-4685</t>
  </si>
  <si>
    <t>21.23.02020</t>
  </si>
  <si>
    <t>MT6-4687</t>
  </si>
  <si>
    <t>21.23.02023</t>
  </si>
  <si>
    <t>MT6-4689</t>
  </si>
  <si>
    <t>21.23.02230</t>
  </si>
  <si>
    <t>MT6-4693</t>
  </si>
  <si>
    <t>21.23.00205</t>
  </si>
  <si>
    <t>MT6-4717</t>
  </si>
  <si>
    <t>MT6-4728</t>
  </si>
  <si>
    <t>MT6-4730</t>
  </si>
  <si>
    <t>21.23.02049</t>
  </si>
  <si>
    <t>MT6-4731</t>
  </si>
  <si>
    <t>MT6-4733</t>
  </si>
  <si>
    <t>21.23.02056</t>
  </si>
  <si>
    <t>MT6-4737</t>
  </si>
  <si>
    <t>21.23.01394</t>
  </si>
  <si>
    <t>MT6-4742</t>
  </si>
  <si>
    <t>MT6-4745</t>
  </si>
  <si>
    <t>21.23.01995</t>
  </si>
  <si>
    <t>MT6-4753</t>
  </si>
  <si>
    <t>21.23.01180</t>
  </si>
  <si>
    <t>MT6-4775</t>
  </si>
  <si>
    <t>21.23.01182</t>
  </si>
  <si>
    <t>MT6-4776</t>
  </si>
  <si>
    <t>21.23.01183</t>
  </si>
  <si>
    <t>MT6-4777</t>
  </si>
  <si>
    <t>21.23.01184</t>
  </si>
  <si>
    <t>MT6-4778</t>
  </si>
  <si>
    <t>21.23.01187</t>
  </si>
  <si>
    <t>MT6-4779</t>
  </si>
  <si>
    <t>21.23.01195</t>
  </si>
  <si>
    <t>MT6-4780</t>
  </si>
  <si>
    <t>21.23.01197</t>
  </si>
  <si>
    <t>MT6-4781</t>
  </si>
  <si>
    <t>21.23.01200</t>
  </si>
  <si>
    <t>MT6-4782</t>
  </si>
  <si>
    <t>21.23.01203</t>
  </si>
  <si>
    <t>MT6-4783</t>
  </si>
  <si>
    <t>21.23.01204</t>
  </si>
  <si>
    <t>MT6-4784</t>
  </si>
  <si>
    <t>21.23.01213</t>
  </si>
  <si>
    <t>MT6-4785</t>
  </si>
  <si>
    <t>21.23.01215</t>
  </si>
  <si>
    <t>MT6-4786</t>
  </si>
  <si>
    <t>21.23.01217</t>
  </si>
  <si>
    <t>MT6-4787</t>
  </si>
  <si>
    <t>21.23.01242</t>
  </si>
  <si>
    <t>MT6-4788</t>
  </si>
  <si>
    <t>21.23.01243</t>
  </si>
  <si>
    <t>MT6-4789</t>
  </si>
  <si>
    <t>21.23.01246</t>
  </si>
  <si>
    <t>MT6-4790</t>
  </si>
  <si>
    <t>21.23.01247</t>
  </si>
  <si>
    <t>MT6-4791</t>
  </si>
  <si>
    <t>21.23.01248</t>
  </si>
  <si>
    <t>MT6-4792</t>
  </si>
  <si>
    <t>21.23.00286</t>
  </si>
  <si>
    <t>MT6-4800</t>
  </si>
  <si>
    <t>21.23.02409</t>
  </si>
  <si>
    <t>MT6-4802</t>
  </si>
  <si>
    <t>21.23.01586</t>
  </si>
  <si>
    <t>MT6-4804</t>
  </si>
  <si>
    <t>21.23.01839</t>
  </si>
  <si>
    <t>MT6-4805</t>
  </si>
  <si>
    <t>21.23.01840</t>
  </si>
  <si>
    <t>MT6-4806</t>
  </si>
  <si>
    <t>21.23.01841</t>
  </si>
  <si>
    <t>MT6-4807</t>
  </si>
  <si>
    <t>21.23.01842</t>
  </si>
  <si>
    <t>MT6-4808</t>
  </si>
  <si>
    <t>21.23.01847</t>
  </si>
  <si>
    <t>MT6-4809</t>
  </si>
  <si>
    <t>21.23.01865</t>
  </si>
  <si>
    <t>MT6-4810</t>
  </si>
  <si>
    <t>21.23.02247</t>
  </si>
  <si>
    <t>MT6-4811</t>
  </si>
  <si>
    <t>21.23.02299</t>
  </si>
  <si>
    <t>MT6-4816</t>
  </si>
  <si>
    <t>21.23.02302</t>
  </si>
  <si>
    <t>MT6-4818</t>
  </si>
  <si>
    <t>MT6-4820</t>
  </si>
  <si>
    <t>MT6-4822</t>
  </si>
  <si>
    <t>MT6-4823</t>
  </si>
  <si>
    <t>MT6-4824</t>
  </si>
  <si>
    <t>21.23.02324</t>
  </si>
  <si>
    <t>MT6-4826</t>
  </si>
  <si>
    <t>21.23.02325</t>
  </si>
  <si>
    <t>MT6-4827</t>
  </si>
  <si>
    <t>21.23.02326</t>
  </si>
  <si>
    <t>MT6-4828</t>
  </si>
  <si>
    <t>MT6-4829</t>
  </si>
  <si>
    <t>21.23.02345</t>
  </si>
  <si>
    <t>MT6-4832</t>
  </si>
  <si>
    <t>21.23.02362</t>
  </si>
  <si>
    <t>MT6-4833</t>
  </si>
  <si>
    <t>21.23.02364</t>
  </si>
  <si>
    <t>MT6-4835</t>
  </si>
  <si>
    <t>21.23.02366</t>
  </si>
  <si>
    <t>MT6-4836</t>
  </si>
  <si>
    <t>21.23.02371</t>
  </si>
  <si>
    <t>MT6-4837</t>
  </si>
  <si>
    <t>21.23.02372</t>
  </si>
  <si>
    <t>MT6-4838</t>
  </si>
  <si>
    <t>21.23.02373</t>
  </si>
  <si>
    <t>MT6-4839</t>
  </si>
  <si>
    <t>21.23.02374</t>
  </si>
  <si>
    <t>MT6-4840</t>
  </si>
  <si>
    <t>21.23.02379</t>
  </si>
  <si>
    <t>MT6-4841</t>
  </si>
  <si>
    <t>21.23.02380</t>
  </si>
  <si>
    <t>MT6-4842</t>
  </si>
  <si>
    <t>21.23.02382</t>
  </si>
  <si>
    <t>MT6-4843</t>
  </si>
  <si>
    <t>21.23.02391</t>
  </si>
  <si>
    <t>MT6-4844</t>
  </si>
  <si>
    <t>21.23.02243</t>
  </si>
  <si>
    <t>MT6-4845</t>
  </si>
  <si>
    <t>21.23.02244</t>
  </si>
  <si>
    <t>MT6-4846</t>
  </si>
  <si>
    <t>21.23.02245</t>
  </si>
  <si>
    <t>MT6-4847</t>
  </si>
  <si>
    <t>21.23.02246</t>
  </si>
  <si>
    <t>MT6-4848</t>
  </si>
  <si>
    <t>MT6-4851</t>
  </si>
  <si>
    <t>MT6-4852</t>
  </si>
  <si>
    <t>21.23.02259</t>
  </si>
  <si>
    <t>MT6-4853</t>
  </si>
  <si>
    <t>21.23.02271</t>
  </si>
  <si>
    <t>MT6-4857</t>
  </si>
  <si>
    <t>21.23.02273</t>
  </si>
  <si>
    <t>MT6-4858</t>
  </si>
  <si>
    <t>MT6-4862</t>
  </si>
  <si>
    <t>21.23.02232</t>
  </si>
  <si>
    <t>MT6-4867</t>
  </si>
  <si>
    <t>MT6-4868</t>
  </si>
  <si>
    <t>21.23.02235</t>
  </si>
  <si>
    <t>MT6-4869</t>
  </si>
  <si>
    <t>MT6-4870</t>
  </si>
  <si>
    <t>21.23.02413</t>
  </si>
  <si>
    <t>MT6-4871</t>
  </si>
  <si>
    <t>21.23.02419</t>
  </si>
  <si>
    <t>MT6-4872</t>
  </si>
  <si>
    <t>21.23.02421</t>
  </si>
  <si>
    <t>MT6-4873</t>
  </si>
  <si>
    <t>21.23.02112</t>
  </si>
  <si>
    <t>MT6-4879</t>
  </si>
  <si>
    <t>21.23.01362</t>
  </si>
  <si>
    <t>MT6-4881</t>
  </si>
  <si>
    <t>21.23.01768</t>
  </si>
  <si>
    <t>MT6-4882</t>
  </si>
  <si>
    <t>21.23.01769</t>
  </si>
  <si>
    <t>MT6-4883</t>
  </si>
  <si>
    <t>01.33.00037</t>
  </si>
  <si>
    <t>MT6-4884</t>
  </si>
  <si>
    <t>01.33.00054</t>
  </si>
  <si>
    <t>21.23.00161</t>
  </si>
  <si>
    <t>MT6-4887</t>
  </si>
  <si>
    <t>21.23.00470</t>
  </si>
  <si>
    <t>MT6-4888</t>
  </si>
  <si>
    <t>21.23.00820</t>
  </si>
  <si>
    <t>MT6-4890</t>
  </si>
  <si>
    <t>21.23.00825</t>
  </si>
  <si>
    <t>MT6-4891</t>
  </si>
  <si>
    <t>21.23.00827</t>
  </si>
  <si>
    <t>MT6-4892</t>
  </si>
  <si>
    <t>21.23.00852</t>
  </si>
  <si>
    <t>MT6-4893</t>
  </si>
  <si>
    <t>21.23.00853</t>
  </si>
  <si>
    <t>MT6-4894</t>
  </si>
  <si>
    <t>21.23.01225</t>
  </si>
  <si>
    <t>MT6-4903</t>
  </si>
  <si>
    <t>21.23.01231</t>
  </si>
  <si>
    <t>MT6-4904</t>
  </si>
  <si>
    <t>21.23.01234</t>
  </si>
  <si>
    <t>MT6-4905</t>
  </si>
  <si>
    <t>21.23.01237</t>
  </si>
  <si>
    <t>MT6-4906</t>
  </si>
  <si>
    <t>21.23.01249</t>
  </si>
  <si>
    <t>MT6-4909</t>
  </si>
  <si>
    <t>21.23.01387</t>
  </si>
  <si>
    <t>MT6-4910</t>
  </si>
  <si>
    <t>21.23.01910</t>
  </si>
  <si>
    <t>MT6-4911</t>
  </si>
  <si>
    <t>21.23.01998</t>
  </si>
  <si>
    <t>MT6-4912</t>
  </si>
  <si>
    <t>21.23.01999</t>
  </si>
  <si>
    <t>MT6-4913</t>
  </si>
  <si>
    <t>21.23.02000</t>
  </si>
  <si>
    <t>MT6-4914</t>
  </si>
  <si>
    <t>21.23.02003</t>
  </si>
  <si>
    <t>MT6-4915</t>
  </si>
  <si>
    <t>21.23.02176</t>
  </si>
  <si>
    <t>MT6-4916</t>
  </si>
  <si>
    <t>21.23.02177</t>
  </si>
  <si>
    <t>MT6-4917</t>
  </si>
  <si>
    <t>21.23.01181</t>
  </si>
  <si>
    <t>MT6-4923</t>
  </si>
  <si>
    <t>21.23.01226</t>
  </si>
  <si>
    <t>MT6-4924</t>
  </si>
  <si>
    <t>21.23.01227</t>
  </si>
  <si>
    <t>MT6-4925</t>
  </si>
  <si>
    <t>21.23.01229</t>
  </si>
  <si>
    <t>MT6-4926</t>
  </si>
  <si>
    <t>21.23.01238</t>
  </si>
  <si>
    <t>MT6-4927</t>
  </si>
  <si>
    <t>21.23.01251</t>
  </si>
  <si>
    <t>MT6-4928</t>
  </si>
  <si>
    <t>21.23.01252</t>
  </si>
  <si>
    <t>MT6-4929</t>
  </si>
  <si>
    <t>21.23.01255</t>
  </si>
  <si>
    <t>MT6-4930</t>
  </si>
  <si>
    <t>21.23.02645</t>
  </si>
  <si>
    <t>MT6-4936</t>
  </si>
  <si>
    <t>21.23.02646</t>
  </si>
  <si>
    <t>MT6-4937</t>
  </si>
  <si>
    <t>21.23.01190</t>
  </si>
  <si>
    <t>MT6-4938</t>
  </si>
  <si>
    <t>21.23.02676</t>
  </si>
  <si>
    <t>MT6-4939</t>
  </si>
  <si>
    <t>21.23.02621</t>
  </si>
  <si>
    <t>MT6-4943</t>
  </si>
  <si>
    <t>21.23.02624</t>
  </si>
  <si>
    <t>MT6-4944</t>
  </si>
  <si>
    <t>21.23.02630</t>
  </si>
  <si>
    <t>MT6-4945</t>
  </si>
  <si>
    <t>21.23.02633</t>
  </si>
  <si>
    <t>MT6-4946</t>
  </si>
  <si>
    <t>21.23.02634</t>
  </si>
  <si>
    <t>MT6-4947</t>
  </si>
  <si>
    <t>21.23.02636</t>
  </si>
  <si>
    <t>MT6-4948</t>
  </si>
  <si>
    <t>21.23.02638</t>
  </si>
  <si>
    <t>MT6-4949</t>
  </si>
  <si>
    <t>21.23.01426</t>
  </si>
  <si>
    <t>MT6-4952</t>
  </si>
  <si>
    <t>21.23.01222</t>
  </si>
  <si>
    <t>MT6-4954</t>
  </si>
  <si>
    <t>21.23.02459</t>
  </si>
  <si>
    <t>MT6-4960</t>
  </si>
  <si>
    <t>21.23.02460</t>
  </si>
  <si>
    <t>MT6-4961</t>
  </si>
  <si>
    <t>21.23.02474</t>
  </si>
  <si>
    <t>MT6-4962</t>
  </si>
  <si>
    <t>21.23.02461</t>
  </si>
  <si>
    <t>MT6-4963</t>
  </si>
  <si>
    <t>21.23.02462</t>
  </si>
  <si>
    <t>MT6-4964</t>
  </si>
  <si>
    <t>21.23.02475</t>
  </si>
  <si>
    <t>MT6-4965</t>
  </si>
  <si>
    <t>21.23.02464</t>
  </si>
  <si>
    <t>MT6-4966</t>
  </si>
  <si>
    <t>21.23.02465</t>
  </si>
  <si>
    <t>MT6-4967</t>
  </si>
  <si>
    <t>21.23.02468</t>
  </si>
  <si>
    <t>MT6-4968</t>
  </si>
  <si>
    <t>21.23.02477</t>
  </si>
  <si>
    <t>MT6-4969</t>
  </si>
  <si>
    <t>21.23.02478</t>
  </si>
  <si>
    <t>MT6-4970</t>
  </si>
  <si>
    <t>21.23.02479</t>
  </si>
  <si>
    <t>MT6-4971</t>
  </si>
  <si>
    <t>21.23.02480</t>
  </si>
  <si>
    <t>MT6-4972</t>
  </si>
  <si>
    <t>21.23.02481</t>
  </si>
  <si>
    <t>MT6-4973</t>
  </si>
  <si>
    <t>21.23.02482</t>
  </si>
  <si>
    <t>MT6-4974</t>
  </si>
  <si>
    <t>21.23.02483</t>
  </si>
  <si>
    <t>MT6-4975</t>
  </si>
  <si>
    <t>21.23.02484</t>
  </si>
  <si>
    <t>MT6-4976</t>
  </si>
  <si>
    <t>21.23.02526</t>
  </si>
  <si>
    <t>MT6-4977</t>
  </si>
  <si>
    <t>21.23.02486</t>
  </si>
  <si>
    <t>MT6-4978</t>
  </si>
  <si>
    <t>21.23.02487</t>
  </si>
  <si>
    <t>MT6-4979</t>
  </si>
  <si>
    <t>21.23.02528</t>
  </si>
  <si>
    <t>MT6-4980</t>
  </si>
  <si>
    <t>21.23.02489</t>
  </si>
  <si>
    <t>MT6-4981</t>
  </si>
  <si>
    <t>21.23.02490</t>
  </si>
  <si>
    <t>MT6-4982</t>
  </si>
  <si>
    <t>21.23.02531</t>
  </si>
  <si>
    <t>MT6-4983</t>
  </si>
  <si>
    <t>21.23.02495</t>
  </si>
  <si>
    <t>MT6-4984</t>
  </si>
  <si>
    <t>21.23.02496</t>
  </si>
  <si>
    <t>MT6-4985</t>
  </si>
  <si>
    <t>21.23.02498</t>
  </si>
  <si>
    <t>MT6-4986</t>
  </si>
  <si>
    <t>21.23.02500</t>
  </si>
  <si>
    <t>MT6-4987</t>
  </si>
  <si>
    <t>21.23.02501</t>
  </si>
  <si>
    <t>MT6-4988</t>
  </si>
  <si>
    <t>21.23.02504</t>
  </si>
  <si>
    <t>MT6-4989</t>
  </si>
  <si>
    <t>21.23.02507</t>
  </si>
  <si>
    <t>MT6-4990</t>
  </si>
  <si>
    <t>21.23.02508</t>
  </si>
  <si>
    <t>MT6-4991</t>
  </si>
  <si>
    <t>21.23.02509</t>
  </si>
  <si>
    <t>MT6-4992</t>
  </si>
  <si>
    <t>21.23.02510</t>
  </si>
  <si>
    <t>MT6-4993</t>
  </si>
  <si>
    <t>21.23.02512</t>
  </si>
  <si>
    <t>MT6-4994</t>
  </si>
  <si>
    <t>21.23.02513</t>
  </si>
  <si>
    <t>MT6-4995</t>
  </si>
  <si>
    <t>21.23.02514</t>
  </si>
  <si>
    <t>MT6-4996</t>
  </si>
  <si>
    <t>21.23.02515</t>
  </si>
  <si>
    <t>MT6-4997</t>
  </si>
  <si>
    <t>21.23.02519</t>
  </si>
  <si>
    <t>MT6-4998</t>
  </si>
  <si>
    <t>21.23.02520</t>
  </si>
  <si>
    <t>MT6-4999</t>
  </si>
  <si>
    <t>21.23.02537</t>
  </si>
  <si>
    <t>MT6-5000</t>
  </si>
  <si>
    <t>21.23.02523</t>
  </si>
  <si>
    <t>MT6-5001</t>
  </si>
  <si>
    <t>21.23.02540</t>
  </si>
  <si>
    <t>MT6-5002</t>
  </si>
  <si>
    <t>21.23.02541</t>
  </si>
  <si>
    <t>MT6-5003</t>
  </si>
  <si>
    <t>21.23.02542</t>
  </si>
  <si>
    <t>MT6-5004</t>
  </si>
  <si>
    <t>21.23.02549</t>
  </si>
  <si>
    <t>MT6-5005</t>
  </si>
  <si>
    <t>21.23.02550</t>
  </si>
  <si>
    <t>MT6-5006</t>
  </si>
  <si>
    <t>21.23.02602</t>
  </si>
  <si>
    <t>MT6-5008</t>
  </si>
  <si>
    <t>21.23.02603</t>
  </si>
  <si>
    <t>MT6-5009</t>
  </si>
  <si>
    <t>21.23.02604</t>
  </si>
  <si>
    <t>MT6-5010</t>
  </si>
  <si>
    <t>21.23.02605</t>
  </si>
  <si>
    <t>MT6-5011</t>
  </si>
  <si>
    <t>21.23.02607</t>
  </si>
  <si>
    <t>MT6-5012</t>
  </si>
  <si>
    <t>21.23.02608</t>
  </si>
  <si>
    <t>MT6-5013</t>
  </si>
  <si>
    <t>21.23.02553</t>
  </si>
  <si>
    <t>MT6-5014</t>
  </si>
  <si>
    <t>21.23.02556</t>
  </si>
  <si>
    <t>MT6-5015</t>
  </si>
  <si>
    <t>21.23.02582</t>
  </si>
  <si>
    <t>MT6-5016</t>
  </si>
  <si>
    <t>21.23.02583</t>
  </si>
  <si>
    <t>MT6-5017</t>
  </si>
  <si>
    <t>21.23.02584</t>
  </si>
  <si>
    <t>MT6-5018</t>
  </si>
  <si>
    <t>21.23.02592</t>
  </si>
  <si>
    <t>MT6-5020</t>
  </si>
  <si>
    <t>21.23.02533</t>
  </si>
  <si>
    <t>MT6-5021</t>
  </si>
  <si>
    <t>21.23.02756</t>
  </si>
  <si>
    <t>MT6-5056</t>
  </si>
  <si>
    <t>21.23.01909</t>
  </si>
  <si>
    <t>MT6-5067</t>
  </si>
  <si>
    <t>21.23.02995</t>
  </si>
  <si>
    <t>MT6-5115</t>
  </si>
  <si>
    <t>21.23.03002</t>
  </si>
  <si>
    <t>MT6-5116</t>
  </si>
  <si>
    <t>21.23.03024</t>
  </si>
  <si>
    <t>MT6-5117</t>
  </si>
  <si>
    <t>21.23.03025</t>
  </si>
  <si>
    <t>MT6-5118</t>
  </si>
  <si>
    <t>21.23.03026</t>
  </si>
  <si>
    <t>MT6-5119</t>
  </si>
  <si>
    <t>MT6-5124</t>
  </si>
  <si>
    <t>13.03.00162</t>
  </si>
  <si>
    <t>MT6-5219</t>
  </si>
  <si>
    <t>13.03.00218</t>
  </si>
  <si>
    <t>MT6-5220</t>
  </si>
  <si>
    <t>21.23.02216</t>
  </si>
  <si>
    <t>MT6-5285</t>
  </si>
  <si>
    <t>MT6-5289</t>
  </si>
  <si>
    <t>MT6-5294</t>
  </si>
  <si>
    <t>21.23.00594</t>
  </si>
  <si>
    <t>MT6-5303</t>
  </si>
  <si>
    <t>21.23.00808</t>
  </si>
  <si>
    <t>MT6-5328</t>
  </si>
  <si>
    <t>MT6-5329</t>
  </si>
  <si>
    <t>21.23.00253</t>
  </si>
  <si>
    <t>MT6-5333</t>
  </si>
  <si>
    <t>21.23.03673</t>
  </si>
  <si>
    <t>MT6-5334</t>
  </si>
  <si>
    <t>21.23.04276</t>
  </si>
  <si>
    <t>MT6-5339</t>
  </si>
  <si>
    <t>21.23.00880</t>
  </si>
  <si>
    <t>MT6-5342</t>
  </si>
  <si>
    <t>MT6-5397</t>
  </si>
  <si>
    <t>MT6-5398</t>
  </si>
  <si>
    <t>MT6-5400</t>
  </si>
  <si>
    <t>21.23.04176</t>
  </si>
  <si>
    <t>MT6-5407</t>
  </si>
  <si>
    <t>21.23.04181</t>
  </si>
  <si>
    <t>MT6-5408</t>
  </si>
  <si>
    <t>21.23.04182</t>
  </si>
  <si>
    <t>MT6-5409</t>
  </si>
  <si>
    <t>21.23.04183</t>
  </si>
  <si>
    <t>MT6-5410</t>
  </si>
  <si>
    <t>21.23.04184</t>
  </si>
  <si>
    <t>MT6-5411</t>
  </si>
  <si>
    <t>21.23.04185</t>
  </si>
  <si>
    <t>MT6-5412</t>
  </si>
  <si>
    <t>21.23.04186</t>
  </si>
  <si>
    <t>MT6-5413</t>
  </si>
  <si>
    <t>33.03.90022.00</t>
  </si>
  <si>
    <t>MT6-5416</t>
  </si>
  <si>
    <t>33.03.90027.00</t>
  </si>
  <si>
    <t>MT6-5417</t>
  </si>
  <si>
    <t>21.23.02895</t>
  </si>
  <si>
    <t>MT6-5445</t>
  </si>
  <si>
    <t>MT6-5447</t>
  </si>
  <si>
    <t>21.23.04356</t>
  </si>
  <si>
    <t>MT6-5571</t>
  </si>
  <si>
    <t>21.23.04357</t>
  </si>
  <si>
    <t>MT6-5572</t>
  </si>
  <si>
    <t>21.23.04271</t>
  </si>
  <si>
    <t>MT6-5573</t>
  </si>
  <si>
    <t>21.23.01613</t>
  </si>
  <si>
    <t>MT6-5578</t>
  </si>
  <si>
    <t>MT6-5659</t>
  </si>
  <si>
    <t>MT6-5660</t>
  </si>
  <si>
    <t>21.23.04280</t>
  </si>
  <si>
    <t>MT6-5773</t>
  </si>
  <si>
    <t>21.23.04281</t>
  </si>
  <si>
    <t>MT6-5774</t>
  </si>
  <si>
    <t>21.23.02925</t>
  </si>
  <si>
    <t>MT6-5891</t>
  </si>
  <si>
    <t>21.23.02926</t>
  </si>
  <si>
    <t>MT6-5892</t>
  </si>
  <si>
    <t>21.23.00875</t>
  </si>
  <si>
    <t>MT6-5958</t>
  </si>
  <si>
    <t>21.23.03247</t>
  </si>
  <si>
    <t>MT6-5959</t>
  </si>
  <si>
    <t>21.23.01364</t>
  </si>
  <si>
    <t>MT6-5974</t>
  </si>
  <si>
    <t>21.23.04681</t>
  </si>
  <si>
    <t>MT6-5988</t>
  </si>
  <si>
    <t>MT6-6104</t>
  </si>
  <si>
    <t>MT6-6107</t>
  </si>
  <si>
    <t>21.23.02264</t>
  </si>
  <si>
    <t>MT6-6120</t>
  </si>
  <si>
    <t>21.23.04529</t>
  </si>
  <si>
    <t>MT6-6130</t>
  </si>
  <si>
    <t>21.23.04530</t>
  </si>
  <si>
    <t>MT6-6131</t>
  </si>
  <si>
    <t>MT6-6137</t>
  </si>
  <si>
    <t>MT6-6140</t>
  </si>
  <si>
    <t>MT6-6142</t>
  </si>
  <si>
    <t>MT6-6144</t>
  </si>
  <si>
    <t>MT6-6145</t>
  </si>
  <si>
    <t>MT6-6150</t>
  </si>
  <si>
    <t>MT6-6151</t>
  </si>
  <si>
    <t>33.11.10097.00</t>
  </si>
  <si>
    <t>MT6-6164</t>
  </si>
  <si>
    <t>21.23.01460</t>
  </si>
  <si>
    <t>MT6-6176</t>
  </si>
  <si>
    <t>MT6-6180</t>
  </si>
  <si>
    <t>21.23.01729</t>
  </si>
  <si>
    <t>MT6-6226</t>
  </si>
  <si>
    <t>21.23.03303</t>
  </si>
  <si>
    <t>MT6-6227</t>
  </si>
  <si>
    <t>MT6-6228</t>
  </si>
  <si>
    <t>MT6-6229</t>
  </si>
  <si>
    <t>MT6-6230</t>
  </si>
  <si>
    <t>MT6-6233</t>
  </si>
  <si>
    <t>21.23.04436</t>
  </si>
  <si>
    <t>MT6-6234</t>
  </si>
  <si>
    <t>21.23.04574</t>
  </si>
  <si>
    <t>MT6-6235</t>
  </si>
  <si>
    <t>MT6-6236</t>
  </si>
  <si>
    <t>MT6-6237</t>
  </si>
  <si>
    <t>MT6-6238</t>
  </si>
  <si>
    <t>33.03.10235.00</t>
  </si>
  <si>
    <t>33.03.10236.00</t>
  </si>
  <si>
    <t>33.03.10239.00</t>
  </si>
  <si>
    <t>MT6-6243</t>
  </si>
  <si>
    <t>33.03.11364.01</t>
  </si>
  <si>
    <t>MT6-6246</t>
  </si>
  <si>
    <t>MT6-6247</t>
  </si>
  <si>
    <t>MT6-6248</t>
  </si>
  <si>
    <t>33.03.11418.01</t>
  </si>
  <si>
    <t>MT6-6249</t>
  </si>
  <si>
    <t>01.33.00021</t>
  </si>
  <si>
    <t>MT6-6332</t>
  </si>
  <si>
    <t>01.33.00038</t>
  </si>
  <si>
    <t>MT6-6333</t>
  </si>
  <si>
    <t>01.33.00039</t>
  </si>
  <si>
    <t>MT6-6334</t>
  </si>
  <si>
    <t>21.23.04692</t>
  </si>
  <si>
    <t>MT6-6335</t>
  </si>
  <si>
    <t>21.23.04693</t>
  </si>
  <si>
    <t>MT6-6336</t>
  </si>
  <si>
    <t>33.03.10255.02</t>
  </si>
  <si>
    <t>MT6-6339</t>
  </si>
  <si>
    <t>33.03.10351.01</t>
  </si>
  <si>
    <t>MT6-6340</t>
  </si>
  <si>
    <t>33.03.10375.00</t>
  </si>
  <si>
    <t>MT6-6341</t>
  </si>
  <si>
    <t>MT6-6342</t>
  </si>
  <si>
    <t>33.99.10030.00</t>
  </si>
  <si>
    <t>MT6-6350</t>
  </si>
  <si>
    <t>33.08.10297.01</t>
  </si>
  <si>
    <t>MT6-6351</t>
  </si>
  <si>
    <t>33.08.10265.00</t>
  </si>
  <si>
    <t>MT6-6352</t>
  </si>
  <si>
    <t>33.08.10258.00</t>
  </si>
  <si>
    <t>MT6-6353</t>
  </si>
  <si>
    <t>33.08.10255.00</t>
  </si>
  <si>
    <t>MT6-6354</t>
  </si>
  <si>
    <t>33.08.10222.00</t>
  </si>
  <si>
    <t>MT6-6356</t>
  </si>
  <si>
    <t>33.08.10140.00</t>
  </si>
  <si>
    <t>MT6-6358</t>
  </si>
  <si>
    <t>33.08.10210.00</t>
  </si>
  <si>
    <t>MT6-6359</t>
  </si>
  <si>
    <t>33.08.10206.00</t>
  </si>
  <si>
    <t>MT6-6360</t>
  </si>
  <si>
    <t>33.08.10201.00</t>
  </si>
  <si>
    <t>MT6-6361</t>
  </si>
  <si>
    <t>33.08.10197.00</t>
  </si>
  <si>
    <t>MT6-6362</t>
  </si>
  <si>
    <t>21.23.02928</t>
  </si>
  <si>
    <t>MT6-6363</t>
  </si>
  <si>
    <t>33.08.10194.00</t>
  </si>
  <si>
    <t>MT6-6364</t>
  </si>
  <si>
    <t>33.08.10171.00</t>
  </si>
  <si>
    <t>MT6-6365</t>
  </si>
  <si>
    <t>33.08.10169.00</t>
  </si>
  <si>
    <t>MT6-6366</t>
  </si>
  <si>
    <t>MT6-6367</t>
  </si>
  <si>
    <t>21.23.03120</t>
  </si>
  <si>
    <t>MT6-6368</t>
  </si>
  <si>
    <t>21.23.03123</t>
  </si>
  <si>
    <t>MT6-6369</t>
  </si>
  <si>
    <t>21.23.03273</t>
  </si>
  <si>
    <t>MT6-6370</t>
  </si>
  <si>
    <t>21.23.03386</t>
  </si>
  <si>
    <t>MT6-6371</t>
  </si>
  <si>
    <t>21.23.03427</t>
  </si>
  <si>
    <t>MT6-6372</t>
  </si>
  <si>
    <t>21.23.03473</t>
  </si>
  <si>
    <t>MT6-6373</t>
  </si>
  <si>
    <t>21.23.04421</t>
  </si>
  <si>
    <t>MT6-6374</t>
  </si>
  <si>
    <t>21.23.04427</t>
  </si>
  <si>
    <t>MT6-6375</t>
  </si>
  <si>
    <t>21.23.04430</t>
  </si>
  <si>
    <t>MT6-6376</t>
  </si>
  <si>
    <t>21.23.04431</t>
  </si>
  <si>
    <t>MT6-6377</t>
  </si>
  <si>
    <t>21.23.04451</t>
  </si>
  <si>
    <t>MT6-6378</t>
  </si>
  <si>
    <t>21.23.04452</t>
  </si>
  <si>
    <t>MT6-6379</t>
  </si>
  <si>
    <t>33.03.10205.00</t>
  </si>
  <si>
    <t>MT6-6380</t>
  </si>
  <si>
    <t>MT6-6381</t>
  </si>
  <si>
    <t>MT6-6382</t>
  </si>
  <si>
    <t>33.03.10242.00</t>
  </si>
  <si>
    <t>MT6-6383</t>
  </si>
  <si>
    <t>33.03.11313.00</t>
  </si>
  <si>
    <t>MT6-6384</t>
  </si>
  <si>
    <t>33.03.11322.00</t>
  </si>
  <si>
    <t>MT6-6385</t>
  </si>
  <si>
    <t>33.03.11325.00</t>
  </si>
  <si>
    <t>MT6-6386</t>
  </si>
  <si>
    <t>33.03.11339.00</t>
  </si>
  <si>
    <t>MT6-6387</t>
  </si>
  <si>
    <t>33.03.11350.00</t>
  </si>
  <si>
    <t>MT6-6388</t>
  </si>
  <si>
    <t>33.03.11393.00</t>
  </si>
  <si>
    <t>MT6-6389</t>
  </si>
  <si>
    <t>33.03.11426.00</t>
  </si>
  <si>
    <t>MT6-6390</t>
  </si>
  <si>
    <t>33.03.11430.00</t>
  </si>
  <si>
    <t>MT6-6391</t>
  </si>
  <si>
    <t>33.03.11437.01</t>
  </si>
  <si>
    <t>MT6-6393</t>
  </si>
  <si>
    <t>33.03.11441.00</t>
  </si>
  <si>
    <t>MT6-6394</t>
  </si>
  <si>
    <t>33.03.11445.00</t>
  </si>
  <si>
    <t>MT6-6395</t>
  </si>
  <si>
    <t>33.03.11451.00</t>
  </si>
  <si>
    <t>MT6-6396</t>
  </si>
  <si>
    <t>33.03.11455.00</t>
  </si>
  <si>
    <t>MT6-6397</t>
  </si>
  <si>
    <t>33.08.10136.00</t>
  </si>
  <si>
    <t>MT6-6399</t>
  </si>
  <si>
    <t>33.08.10109.00</t>
  </si>
  <si>
    <t>MT6-6400</t>
  </si>
  <si>
    <t>33.08.10107.00</t>
  </si>
  <si>
    <t>MT6-6401</t>
  </si>
  <si>
    <t>33.08.10094.01</t>
  </si>
  <si>
    <t>MT6-6402</t>
  </si>
  <si>
    <t>33.08.10091.01</t>
  </si>
  <si>
    <t>MT6-6403</t>
  </si>
  <si>
    <t>21.23.04482</t>
  </si>
  <si>
    <t>MT6-6406</t>
  </si>
  <si>
    <t>21.23.04483</t>
  </si>
  <si>
    <t>MT6-6407</t>
  </si>
  <si>
    <t>21.23.03289</t>
  </si>
  <si>
    <t>MT6-6422</t>
  </si>
  <si>
    <t>21.23.04437</t>
  </si>
  <si>
    <t>MT6-6446</t>
  </si>
  <si>
    <t>33.03.10246.01</t>
  </si>
  <si>
    <t>MT6-6709</t>
  </si>
  <si>
    <t>33.03.10248.01</t>
  </si>
  <si>
    <t>MT6-6710</t>
  </si>
  <si>
    <t>21.23.04818</t>
  </si>
  <si>
    <t>MT6-6740</t>
  </si>
  <si>
    <t>33.03.10345.00</t>
  </si>
  <si>
    <t>MT6-6741</t>
  </si>
  <si>
    <t>33.03.10347.00</t>
  </si>
  <si>
    <t>MT6-6742</t>
  </si>
  <si>
    <t>21.23.01716</t>
  </si>
  <si>
    <t>MT6-6746</t>
  </si>
  <si>
    <t>21.23.01710</t>
  </si>
  <si>
    <t>MT6-6747</t>
  </si>
  <si>
    <t>13.03.00184</t>
  </si>
  <si>
    <t>MT6-6750</t>
  </si>
  <si>
    <t>21.23.04714</t>
  </si>
  <si>
    <t>MT6-6751</t>
  </si>
  <si>
    <t>33.14.10238.01</t>
  </si>
  <si>
    <t>MT6-6752</t>
  </si>
  <si>
    <t>33.03.10246.00</t>
  </si>
  <si>
    <t>MT6-6753</t>
  </si>
  <si>
    <t>33.03.10248.00</t>
  </si>
  <si>
    <t>MT6-6754</t>
  </si>
  <si>
    <t>33.09.10196.00</t>
  </si>
  <si>
    <t>MT6-6979</t>
  </si>
  <si>
    <t>33.09.10326.00</t>
  </si>
  <si>
    <t>MT6-6980</t>
  </si>
  <si>
    <t>33.03.11660.00</t>
  </si>
  <si>
    <t>MT6-6982</t>
  </si>
  <si>
    <t>33.03.11661.00</t>
  </si>
  <si>
    <t>MT6-6983</t>
  </si>
  <si>
    <t>33.03.11662.00</t>
  </si>
  <si>
    <t>MT6-6984</t>
  </si>
  <si>
    <t>33.03.11663.00</t>
  </si>
  <si>
    <t>MT6-6985</t>
  </si>
  <si>
    <t>33.03.11475.00</t>
  </si>
  <si>
    <t>MT6-7166</t>
  </si>
  <si>
    <t>33.20.10133.02</t>
  </si>
  <si>
    <t>MT6-7233</t>
  </si>
  <si>
    <t>33.20.10164.00</t>
  </si>
  <si>
    <t>MT6-7234</t>
  </si>
  <si>
    <t>33.41.10003.00</t>
  </si>
  <si>
    <t>MT6-7235</t>
  </si>
  <si>
    <t>33.41.10018.00</t>
  </si>
  <si>
    <t>MT6-7236</t>
  </si>
  <si>
    <t>33.41.10024.00</t>
  </si>
  <si>
    <t>MT6-7237</t>
  </si>
  <si>
    <t>33.41.10026.00</t>
  </si>
  <si>
    <t>MT6-7238</t>
  </si>
  <si>
    <t>33.41.10029.00</t>
  </si>
  <si>
    <t>MT6-7239</t>
  </si>
  <si>
    <t>33.41.10031.00</t>
  </si>
  <si>
    <t>MT6-7240</t>
  </si>
  <si>
    <t>33.41.10042.00</t>
  </si>
  <si>
    <t>MT6-7241</t>
  </si>
  <si>
    <t>33.41.10055.00</t>
  </si>
  <si>
    <t>MT6-7242</t>
  </si>
  <si>
    <t>33.41.10135.00</t>
  </si>
  <si>
    <t>MT6-7244</t>
  </si>
  <si>
    <t>33.41.10143.00</t>
  </si>
  <si>
    <t>MT6-7245</t>
  </si>
  <si>
    <t>33.41.10152.00</t>
  </si>
  <si>
    <t>MT6-7246</t>
  </si>
  <si>
    <t>33.41.10160.00</t>
  </si>
  <si>
    <t>MT6-7247</t>
  </si>
  <si>
    <t>33.41.10162.00</t>
  </si>
  <si>
    <t>MT6-7248</t>
  </si>
  <si>
    <t>33.41.10169.00</t>
  </si>
  <si>
    <t>MT6-7249</t>
  </si>
  <si>
    <t>33.41.10171.00</t>
  </si>
  <si>
    <t>MT6-7250</t>
  </si>
  <si>
    <t>33.41.10176.00</t>
  </si>
  <si>
    <t>MT6-7251</t>
  </si>
  <si>
    <t>33.41.10208.00</t>
  </si>
  <si>
    <t>MT6-7252</t>
  </si>
  <si>
    <t>33.41.10221.00</t>
  </si>
  <si>
    <t>MT6-7253</t>
  </si>
  <si>
    <t>33.41.10238.00</t>
  </si>
  <si>
    <t>MT6-7255</t>
  </si>
  <si>
    <t>33.41.10255.00</t>
  </si>
  <si>
    <t>MT6-7258</t>
  </si>
  <si>
    <t>33.41.10257.00</t>
  </si>
  <si>
    <t>MT6-7259</t>
  </si>
  <si>
    <t>33.41.10262.00</t>
  </si>
  <si>
    <t>MT6-7260</t>
  </si>
  <si>
    <t>33.41.10271.00</t>
  </si>
  <si>
    <t>MT6-7261</t>
  </si>
  <si>
    <t>33.41.10275.00</t>
  </si>
  <si>
    <t>MT6-7264</t>
  </si>
  <si>
    <t>33.41.10306.00</t>
  </si>
  <si>
    <t>MT6-7265</t>
  </si>
  <si>
    <t>33.41.10307.00</t>
  </si>
  <si>
    <t>MT6-7266</t>
  </si>
  <si>
    <t>33.41.10335.00</t>
  </si>
  <si>
    <t>MT6-7267</t>
  </si>
  <si>
    <t>33.41.10342.00</t>
  </si>
  <si>
    <t>MT6-7268</t>
  </si>
  <si>
    <t>33.41.10345.00</t>
  </si>
  <si>
    <t>MT6-7269</t>
  </si>
  <si>
    <t>33.41.10348.00</t>
  </si>
  <si>
    <t>MT6-7270</t>
  </si>
  <si>
    <t>33.41.10497.00</t>
  </si>
  <si>
    <t>MT6-7271</t>
  </si>
  <si>
    <t>33.41.10502.00</t>
  </si>
  <si>
    <t>MT6-7272</t>
  </si>
  <si>
    <t>33.41.10504.00</t>
  </si>
  <si>
    <t>MT6-7273</t>
  </si>
  <si>
    <t>33.41.10517.00</t>
  </si>
  <si>
    <t>MT6-7274</t>
  </si>
  <si>
    <t>21.23.04056</t>
  </si>
  <si>
    <t>MT6-7281</t>
  </si>
  <si>
    <t>33.99.10040.01</t>
  </si>
  <si>
    <t>MT6-7282</t>
  </si>
  <si>
    <t>33.99.10040.02</t>
  </si>
  <si>
    <t>33.03.11449.00</t>
  </si>
  <si>
    <t>MT6-7367</t>
  </si>
  <si>
    <t>MT6-7370</t>
  </si>
  <si>
    <t>33.03.10270.01</t>
  </si>
  <si>
    <t>MT6-7372</t>
  </si>
  <si>
    <t>33.03.11311.01</t>
  </si>
  <si>
    <t>MT6-7373</t>
  </si>
  <si>
    <t>33.03.11317.01</t>
  </si>
  <si>
    <t>MT6-7374</t>
  </si>
  <si>
    <t>33.03.11319.01</t>
  </si>
  <si>
    <t>MT6-7375</t>
  </si>
  <si>
    <t>33.03.11399.01</t>
  </si>
  <si>
    <t>MT6-7376</t>
  </si>
  <si>
    <t>33.20.10569.00</t>
  </si>
  <si>
    <t>MT6-7377</t>
  </si>
  <si>
    <t>33.08.10114.01</t>
  </si>
  <si>
    <t>MT6-7378</t>
  </si>
  <si>
    <t>21.23.03399</t>
  </si>
  <si>
    <t>MT6-7383</t>
  </si>
  <si>
    <t>21.23.04821</t>
  </si>
  <si>
    <t>MT6-7384</t>
  </si>
  <si>
    <t>33.02.10028.00</t>
  </si>
  <si>
    <t>MT6-7385</t>
  </si>
  <si>
    <t>33.02.1003.000</t>
  </si>
  <si>
    <t>MT6-7386</t>
  </si>
  <si>
    <t>33.02.10032.00</t>
  </si>
  <si>
    <t>MT6-7387</t>
  </si>
  <si>
    <t>33.03.11389.02</t>
  </si>
  <si>
    <t>MT6-7388</t>
  </si>
  <si>
    <t>21.23.04700</t>
  </si>
  <si>
    <t>MT6-7418</t>
  </si>
  <si>
    <t>33.08.10263.03</t>
  </si>
  <si>
    <t>MT6-7425</t>
  </si>
  <si>
    <t>33.20.10306.03</t>
  </si>
  <si>
    <t>MT6-7438</t>
  </si>
  <si>
    <t>33.20.10342.04</t>
  </si>
  <si>
    <t>MT6-7439</t>
  </si>
  <si>
    <t>33.20.10345.02</t>
  </si>
  <si>
    <t>MT6-7440</t>
  </si>
  <si>
    <t>33.20.10348.02</t>
  </si>
  <si>
    <t>MT6-7441</t>
  </si>
  <si>
    <t>33.20.10497.01</t>
  </si>
  <si>
    <t>MT6-7442</t>
  </si>
  <si>
    <t>33.20.10498.00</t>
  </si>
  <si>
    <t>MT6-7443</t>
  </si>
  <si>
    <t>33.20.10500.00</t>
  </si>
  <si>
    <t>MT6-7444</t>
  </si>
  <si>
    <t>33.20.10558.00</t>
  </si>
  <si>
    <t>MT6-7451</t>
  </si>
  <si>
    <t>MT6-7468</t>
  </si>
  <si>
    <t>33.20.10565.00</t>
  </si>
  <si>
    <t>MT6-7471</t>
  </si>
  <si>
    <t>MT6-7536</t>
  </si>
  <si>
    <t>MT6-7537</t>
  </si>
  <si>
    <t>MT6-7560</t>
  </si>
  <si>
    <t>MT6-7561</t>
  </si>
  <si>
    <t>MT6-7562</t>
  </si>
  <si>
    <t>MT6-7563</t>
  </si>
  <si>
    <t>MT6-7564</t>
  </si>
  <si>
    <t>MT6-7565</t>
  </si>
  <si>
    <t>MT6-7566</t>
  </si>
  <si>
    <t>MT3-14553</t>
  </si>
  <si>
    <t>MT6-7568</t>
  </si>
  <si>
    <t>MT6-7569</t>
  </si>
  <si>
    <t>MT6-7570</t>
  </si>
  <si>
    <t>MT6-7571</t>
  </si>
  <si>
    <t>MT6-7572</t>
  </si>
  <si>
    <t>MT6-7573</t>
  </si>
  <si>
    <t>MT6-7574</t>
  </si>
  <si>
    <t>MT6-7575</t>
  </si>
  <si>
    <t>MT6-7576</t>
  </si>
  <si>
    <t>MT6-7577</t>
  </si>
  <si>
    <t>MT6-7578</t>
  </si>
  <si>
    <t>MT6-7579</t>
  </si>
  <si>
    <t>MT6-7580</t>
  </si>
  <si>
    <t>MT6-7581</t>
  </si>
  <si>
    <t>MT6-7582</t>
  </si>
  <si>
    <t>MT6-7583</t>
  </si>
  <si>
    <t>MT6-7584</t>
  </si>
  <si>
    <t>MT6-7585</t>
  </si>
  <si>
    <t>MT6-7586</t>
  </si>
  <si>
    <t>MT6-7587</t>
  </si>
  <si>
    <t>MT6-7588</t>
  </si>
  <si>
    <t>MT6-7589</t>
  </si>
  <si>
    <t>MT6-7590</t>
  </si>
  <si>
    <t>MT6-7591</t>
  </si>
  <si>
    <t>MT6-7592</t>
  </si>
  <si>
    <t>MT6-7593</t>
  </si>
  <si>
    <t>MT6-7594</t>
  </si>
  <si>
    <t>MT6-7596</t>
  </si>
  <si>
    <t>MT6-7597</t>
  </si>
  <si>
    <t>MT6-7598</t>
  </si>
  <si>
    <t>MT6-7599</t>
  </si>
  <si>
    <t>MT6-7600</t>
  </si>
  <si>
    <t>MT6-7601</t>
  </si>
  <si>
    <t>MT6-7602</t>
  </si>
  <si>
    <t>MT6-7603</t>
  </si>
  <si>
    <t>MT6-7604</t>
  </si>
  <si>
    <t>MT6-7605</t>
  </si>
  <si>
    <t>MT6-7606</t>
  </si>
  <si>
    <t>MT6-7607</t>
  </si>
  <si>
    <t>MT6-7608</t>
  </si>
  <si>
    <t>MT6-7609</t>
  </si>
  <si>
    <t>MT6-7610</t>
  </si>
  <si>
    <t>MT6-7611</t>
  </si>
  <si>
    <t>MT6-7612</t>
  </si>
  <si>
    <t>MT6-7613</t>
  </si>
  <si>
    <t>MT6-7614</t>
  </si>
  <si>
    <t>MT6-7615</t>
  </si>
  <si>
    <t>MT6-7616</t>
  </si>
  <si>
    <t>MT6-7617</t>
  </si>
  <si>
    <t>MT6-7618</t>
  </si>
  <si>
    <t>MT6-6152</t>
  </si>
  <si>
    <t>MT6-7620</t>
  </si>
  <si>
    <t>MT6-7621</t>
  </si>
  <si>
    <t>MT6-7622</t>
  </si>
  <si>
    <t>MT6-7623</t>
  </si>
  <si>
    <t>MT6-6157</t>
  </si>
  <si>
    <t>MT6-7625</t>
  </si>
  <si>
    <t>MT6-7626</t>
  </si>
  <si>
    <t>MT6-7627</t>
  </si>
  <si>
    <t>MT6-7628</t>
  </si>
  <si>
    <t>MT6-7629</t>
  </si>
  <si>
    <t>MT6-7630</t>
  </si>
  <si>
    <t>MT6-7631</t>
  </si>
  <si>
    <t>MT6-7632</t>
  </si>
  <si>
    <t>MT6-7633</t>
  </si>
  <si>
    <t>MT6-7634</t>
  </si>
  <si>
    <t>MT6-7635</t>
  </si>
  <si>
    <t>MT6-7636</t>
  </si>
  <si>
    <t>MT6-7637</t>
  </si>
  <si>
    <t>MT6-7638</t>
  </si>
  <si>
    <t>MT6-7639</t>
  </si>
  <si>
    <t>MT3-14568</t>
  </si>
  <si>
    <t>MT6-7641</t>
  </si>
  <si>
    <t>MT6-7642</t>
  </si>
  <si>
    <t>MT6-7643</t>
  </si>
  <si>
    <t>MT6-7644</t>
  </si>
  <si>
    <t>MT6-7645</t>
  </si>
  <si>
    <t>MT6-7646</t>
  </si>
  <si>
    <t>MT6-7647</t>
  </si>
  <si>
    <t>MT6-7648</t>
  </si>
  <si>
    <t>MT6-7649</t>
  </si>
  <si>
    <t>MT6-7650</t>
  </si>
  <si>
    <t>MT6-7651</t>
  </si>
  <si>
    <t>MT6-7652</t>
  </si>
  <si>
    <t>MT6-7653</t>
  </si>
  <si>
    <t>MT6-7654</t>
  </si>
  <si>
    <t>MT6-7655</t>
  </si>
  <si>
    <t>MT6-7656</t>
  </si>
  <si>
    <t>MT6-7657</t>
  </si>
  <si>
    <t>MT6-7658</t>
  </si>
  <si>
    <t>MT6-7659</t>
  </si>
  <si>
    <t>MT6-7660</t>
  </si>
  <si>
    <t>MT6-7661</t>
  </si>
  <si>
    <t>MT6-7662</t>
  </si>
  <si>
    <t>MT6-7663</t>
  </si>
  <si>
    <t>MT6-7664</t>
  </si>
  <si>
    <t>MT6-7665</t>
  </si>
  <si>
    <t>MT6-7666</t>
  </si>
  <si>
    <t>MT6-7667</t>
  </si>
  <si>
    <t>MT6-7668</t>
  </si>
  <si>
    <t>MT6-7669</t>
  </si>
  <si>
    <t>MT6-7670</t>
  </si>
  <si>
    <t>MT6-7671</t>
  </si>
  <si>
    <t>MT6-7673</t>
  </si>
  <si>
    <t>MT6-7675</t>
  </si>
  <si>
    <t>21.23.02772</t>
  </si>
  <si>
    <t>MT7-0295</t>
  </si>
  <si>
    <t>21.23.02773</t>
  </si>
  <si>
    <t>MT7-0296</t>
  </si>
  <si>
    <t>NOVO</t>
  </si>
  <si>
    <t>33.11.11082.00</t>
  </si>
  <si>
    <t>33.11.11083.00</t>
  </si>
  <si>
    <t>33.11.11084.00</t>
  </si>
  <si>
    <t>33.11.11115.00</t>
  </si>
  <si>
    <t>33.11.11116.00</t>
  </si>
  <si>
    <t>33.11.11117.00</t>
  </si>
  <si>
    <t>33.11.11118.00</t>
  </si>
  <si>
    <t>MT3-11249</t>
  </si>
  <si>
    <t>33.11.10470.00</t>
  </si>
  <si>
    <t>MT3-11250</t>
  </si>
  <si>
    <t>33.11.10314.00</t>
  </si>
  <si>
    <t>33.11.10240.00</t>
  </si>
  <si>
    <t>MT3-11252</t>
  </si>
  <si>
    <t>33.11.10245.00</t>
  </si>
  <si>
    <t>MT3-11253</t>
  </si>
  <si>
    <t>33.11.10435.01</t>
  </si>
  <si>
    <t>MT3-11254</t>
  </si>
  <si>
    <t>33.11.10340.00</t>
  </si>
  <si>
    <t>MT3-11255</t>
  </si>
  <si>
    <t>33.11.10485.00</t>
  </si>
  <si>
    <t>MT3-11256</t>
  </si>
  <si>
    <t>33.11.10250.00</t>
  </si>
  <si>
    <t>MT3-11257</t>
  </si>
  <si>
    <t>33.11.10668.00</t>
  </si>
  <si>
    <t>MT3-11258</t>
  </si>
  <si>
    <t>33.11.10357.00</t>
  </si>
  <si>
    <t>MT3-11259</t>
  </si>
  <si>
    <t>33.11.10244.00</t>
  </si>
  <si>
    <t>MT3-11260</t>
  </si>
  <si>
    <t>33.11.10344.00</t>
  </si>
  <si>
    <t>MT3-11261</t>
  </si>
  <si>
    <t>33.11.10440.00</t>
  </si>
  <si>
    <t>MT3-11262</t>
  </si>
  <si>
    <t>33.11.10494.00</t>
  </si>
  <si>
    <t>MT3-11263</t>
  </si>
  <si>
    <t>33.11.10430.00</t>
  </si>
  <si>
    <t>MT3-11264</t>
  </si>
  <si>
    <t>33.11.10450.00</t>
  </si>
  <si>
    <t>MT3-11265</t>
  </si>
  <si>
    <t>33.11.10530.00</t>
  </si>
  <si>
    <t>33.11.10449.00</t>
  </si>
  <si>
    <t>MT3-11267</t>
  </si>
  <si>
    <t>MT3-11268</t>
  </si>
  <si>
    <t>33.11.10576.00</t>
  </si>
  <si>
    <t>MT3-11269</t>
  </si>
  <si>
    <t>33.11.10560.00</t>
  </si>
  <si>
    <t>MT3-11333</t>
  </si>
  <si>
    <t>33.11.10425.00</t>
  </si>
  <si>
    <t>MT3-11334</t>
  </si>
  <si>
    <t>33.11.10447.00</t>
  </si>
  <si>
    <t>MT3-11335</t>
  </si>
  <si>
    <t>33.11.10414.00</t>
  </si>
  <si>
    <t>MT3-12131</t>
  </si>
  <si>
    <t>33.11.10350.00</t>
  </si>
  <si>
    <t>MT3-12679</t>
  </si>
  <si>
    <t>MT5-26505</t>
  </si>
  <si>
    <t>33.11.10473.00</t>
  </si>
  <si>
    <t>MT5-26508</t>
  </si>
  <si>
    <t>33.11.10489.00</t>
  </si>
  <si>
    <t>MT5-26509</t>
  </si>
  <si>
    <t>MT5-26510</t>
  </si>
  <si>
    <t>33.11.10422.01</t>
  </si>
  <si>
    <t>MT5-26511</t>
  </si>
  <si>
    <t>33.11.10472.00</t>
  </si>
  <si>
    <t>MT5-26512</t>
  </si>
  <si>
    <t>33.11.10549.00</t>
  </si>
  <si>
    <t>MT5-26513</t>
  </si>
  <si>
    <t>33.11.10248.00</t>
  </si>
  <si>
    <t>MT5-26514</t>
  </si>
  <si>
    <t>33.11.10355.00</t>
  </si>
  <si>
    <t>MT5-26515</t>
  </si>
  <si>
    <t>33.11.10729.00</t>
  </si>
  <si>
    <t>MT5-26516</t>
  </si>
  <si>
    <t>MT5-26517</t>
  </si>
  <si>
    <t>33.11.10100.00</t>
  </si>
  <si>
    <t>MT5-26518</t>
  </si>
  <si>
    <t>MT5-26519</t>
  </si>
  <si>
    <t>MT5-26520</t>
  </si>
  <si>
    <t>33.11.10309.00</t>
  </si>
  <si>
    <t>MT5-26521</t>
  </si>
  <si>
    <t>33.11.10763.00</t>
  </si>
  <si>
    <t>MT5-26522</t>
  </si>
  <si>
    <t>33.11.10478.00</t>
  </si>
  <si>
    <t>MT5-26561</t>
  </si>
  <si>
    <t>33.11.10226.00</t>
  </si>
  <si>
    <t>MT5-26681</t>
  </si>
  <si>
    <t>MT5-26682</t>
  </si>
  <si>
    <t>33.11.10248.02</t>
  </si>
  <si>
    <t>MT5-26879</t>
  </si>
  <si>
    <t>33.31.10540.00</t>
  </si>
  <si>
    <t>MT5-28584</t>
  </si>
  <si>
    <t>33.11.10420.00</t>
  </si>
  <si>
    <t>MT6-6154</t>
  </si>
  <si>
    <t>33.11.10322.00</t>
  </si>
  <si>
    <t>MT6-6155</t>
  </si>
  <si>
    <t>33.11.10475.00</t>
  </si>
  <si>
    <t>33.11.10315.00</t>
  </si>
  <si>
    <t>MT6-6159</t>
  </si>
  <si>
    <t>33.11.10565.00</t>
  </si>
  <si>
    <t>MT6-6160</t>
  </si>
  <si>
    <t>33.11.10565.01</t>
  </si>
  <si>
    <t>33.11.10320.00</t>
  </si>
  <si>
    <t>MT6-6161</t>
  </si>
  <si>
    <t>33.11.10333.00</t>
  </si>
  <si>
    <t>MT6-6162</t>
  </si>
  <si>
    <t>33.11.10325.00</t>
  </si>
  <si>
    <t>MT6-6163</t>
  </si>
  <si>
    <t>33.11.10330.00</t>
  </si>
  <si>
    <t>MT6-6165</t>
  </si>
  <si>
    <t>33.11.10329.00</t>
  </si>
  <si>
    <t>MT6-6166</t>
  </si>
  <si>
    <t>33.11.10335.00</t>
  </si>
  <si>
    <t>MT6-6167</t>
  </si>
  <si>
    <t>33.11.10730.00</t>
  </si>
  <si>
    <t>MT6-6168</t>
  </si>
  <si>
    <t>33.11.10761.00</t>
  </si>
  <si>
    <t>MT6-6169</t>
  </si>
  <si>
    <t>MT6-6960</t>
  </si>
  <si>
    <t>33.11.10978.00</t>
  </si>
  <si>
    <t>MT6-7059</t>
  </si>
  <si>
    <t>33.11.10979.00</t>
  </si>
  <si>
    <t>MT6-7060</t>
  </si>
  <si>
    <t>33.11.11030.00</t>
  </si>
  <si>
    <t>MT6-7063</t>
  </si>
  <si>
    <t>33.11.11031.00</t>
  </si>
  <si>
    <t>MT6-7064</t>
  </si>
  <si>
    <t>33.10.25400.00</t>
  </si>
  <si>
    <t>MT5-26496</t>
  </si>
  <si>
    <t>33.10.25500.00</t>
  </si>
  <si>
    <t>MT5-26497</t>
  </si>
  <si>
    <t>33.10.26000.00</t>
  </si>
  <si>
    <t>MT5-26499</t>
  </si>
  <si>
    <t>MT5-26534</t>
  </si>
  <si>
    <t>MT6-6148</t>
  </si>
  <si>
    <t>33.02.10034.01</t>
  </si>
  <si>
    <t>33.02.10040.02</t>
  </si>
  <si>
    <t>MT3-11650</t>
  </si>
  <si>
    <t>MT3-11651</t>
  </si>
  <si>
    <t>33.02.10021.00</t>
  </si>
  <si>
    <t>MT5-26933</t>
  </si>
  <si>
    <t>33.02.10027.00</t>
  </si>
  <si>
    <t>MT5-26934</t>
  </si>
  <si>
    <t>21.23.01310</t>
  </si>
  <si>
    <t>MT6-4695</t>
  </si>
  <si>
    <t>33.02.10050.00</t>
  </si>
  <si>
    <t>MT6-6337</t>
  </si>
  <si>
    <t>33.02.10052.00</t>
  </si>
  <si>
    <t>MT6-6338</t>
  </si>
  <si>
    <t>33.12.10391.02</t>
  </si>
  <si>
    <t>MT3-10133</t>
  </si>
  <si>
    <t>MT5-24245</t>
  </si>
  <si>
    <t>MT5-24246</t>
  </si>
  <si>
    <t>MT5-24247</t>
  </si>
  <si>
    <t>MT5-24251</t>
  </si>
  <si>
    <t>MT5-24252</t>
  </si>
  <si>
    <t>33.12.10284.01</t>
  </si>
  <si>
    <t>MT5-24360</t>
  </si>
  <si>
    <t>33.12.10285.01</t>
  </si>
  <si>
    <t>MT5-24361</t>
  </si>
  <si>
    <t>33.12.10545.01</t>
  </si>
  <si>
    <t>MT5-24842</t>
  </si>
  <si>
    <t>33.12.10557.00</t>
  </si>
  <si>
    <t>MT5-24844</t>
  </si>
  <si>
    <t>33.12.10574.00</t>
  </si>
  <si>
    <t>33.12.10520.02</t>
  </si>
  <si>
    <t>MT6-5795</t>
  </si>
  <si>
    <t>33.12.10556.00</t>
  </si>
  <si>
    <t>MT6-5796</t>
  </si>
  <si>
    <t>33.12.10560.00</t>
  </si>
  <si>
    <t>MT6-6224</t>
  </si>
  <si>
    <t>33.12.10565.00</t>
  </si>
  <si>
    <t>MT6-6225</t>
  </si>
  <si>
    <t>33.12.10578.00</t>
  </si>
  <si>
    <t>33.12.10582.00</t>
  </si>
  <si>
    <t>33.12.10590.00</t>
  </si>
  <si>
    <t>33.12.10591.00</t>
  </si>
  <si>
    <t>33.12.10592.00</t>
  </si>
  <si>
    <t>33.20.10229.02</t>
  </si>
  <si>
    <t>MT3-12792</t>
  </si>
  <si>
    <t>33.20.10233.00</t>
  </si>
  <si>
    <t>MT3-12797</t>
  </si>
  <si>
    <t>33.20.10273.01</t>
  </si>
  <si>
    <t>MT3-12799</t>
  </si>
  <si>
    <t>33.20.10056.01</t>
  </si>
  <si>
    <t>MT3-12800</t>
  </si>
  <si>
    <t>33.20.10059.01</t>
  </si>
  <si>
    <t>MT3-12802</t>
  </si>
  <si>
    <t>33.20.10274.01</t>
  </si>
  <si>
    <t>MT3-12803</t>
  </si>
  <si>
    <t>33.20.10242.01</t>
  </si>
  <si>
    <t>MT3-12804</t>
  </si>
  <si>
    <t>33.20.10040.01</t>
  </si>
  <si>
    <t>MT5-27886</t>
  </si>
  <si>
    <t>33.20.10122.01</t>
  </si>
  <si>
    <t>MT5-27887</t>
  </si>
  <si>
    <t>33.20.10123.01</t>
  </si>
  <si>
    <t>MT5-27888</t>
  </si>
  <si>
    <t>33.20.10124.01</t>
  </si>
  <si>
    <t>MT5-27889</t>
  </si>
  <si>
    <t>33.20.10132.01</t>
  </si>
  <si>
    <t>MT5-27890</t>
  </si>
  <si>
    <t>33.20.10035.01</t>
  </si>
  <si>
    <t>MT5-27891</t>
  </si>
  <si>
    <t>MT5-27892</t>
  </si>
  <si>
    <t>33.20.10046.01</t>
  </si>
  <si>
    <t>MT5-27893</t>
  </si>
  <si>
    <t>33.20.10048.01</t>
  </si>
  <si>
    <t>MT5-27894</t>
  </si>
  <si>
    <t>MT5-27895</t>
  </si>
  <si>
    <t>33.20.10053.01</t>
  </si>
  <si>
    <t>MT5-27896</t>
  </si>
  <si>
    <t>33.20.10126.01</t>
  </si>
  <si>
    <t>MT5-27897</t>
  </si>
  <si>
    <t>33.20.10128.01</t>
  </si>
  <si>
    <t>MT5-27898</t>
  </si>
  <si>
    <t>33.20.10145.01</t>
  </si>
  <si>
    <t>MT5-27899</t>
  </si>
  <si>
    <t>33.20.10146.01</t>
  </si>
  <si>
    <t>MT5-27900</t>
  </si>
  <si>
    <t>33.20.10150.00</t>
  </si>
  <si>
    <t>MT5-27902</t>
  </si>
  <si>
    <t>33.20.10173.01</t>
  </si>
  <si>
    <t>MT5-27903</t>
  </si>
  <si>
    <t>33.20.10174.01</t>
  </si>
  <si>
    <t>MT5-27904</t>
  </si>
  <si>
    <t>33.20.10175.01</t>
  </si>
  <si>
    <t>MT5-27905</t>
  </si>
  <si>
    <t>33.20.10178.01</t>
  </si>
  <si>
    <t>MT5-27906</t>
  </si>
  <si>
    <t>33.20.10235.00</t>
  </si>
  <si>
    <t>MT5-27907</t>
  </si>
  <si>
    <t>33.20.10240.00</t>
  </si>
  <si>
    <t>MT5-27908</t>
  </si>
  <si>
    <t>33.20.10241.01</t>
  </si>
  <si>
    <t>MT5-27909</t>
  </si>
  <si>
    <t>33.20.10245.01</t>
  </si>
  <si>
    <t>MT5-27911</t>
  </si>
  <si>
    <t>33.20.10263.01</t>
  </si>
  <si>
    <t>MT5-27912</t>
  </si>
  <si>
    <t>33.20.10264.01</t>
  </si>
  <si>
    <t>MT5-27913</t>
  </si>
  <si>
    <t>33.20.10513.00</t>
  </si>
  <si>
    <t>MT5-27915</t>
  </si>
  <si>
    <t>33.20.10514.00</t>
  </si>
  <si>
    <t>MT5-27916</t>
  </si>
  <si>
    <t>33.20.10518.00</t>
  </si>
  <si>
    <t>MT5-27918</t>
  </si>
  <si>
    <t>33.20.10520.00</t>
  </si>
  <si>
    <t>MT5-27919</t>
  </si>
  <si>
    <t>33.20.10522.00</t>
  </si>
  <si>
    <t>MT5-27920</t>
  </si>
  <si>
    <t>33.20.10524.00</t>
  </si>
  <si>
    <t>MT5-27921</t>
  </si>
  <si>
    <t>33.20.10525.00</t>
  </si>
  <si>
    <t>MT5-27922</t>
  </si>
  <si>
    <t>33.20.10542.00</t>
  </si>
  <si>
    <t>MT5-27924</t>
  </si>
  <si>
    <t>33.20.10051.01</t>
  </si>
  <si>
    <t>MT5-27971</t>
  </si>
  <si>
    <t>33.20.10033.01</t>
  </si>
  <si>
    <t>MT6-7085</t>
  </si>
  <si>
    <t>33.20.10042.01</t>
  </si>
  <si>
    <t>MT6-7086</t>
  </si>
  <si>
    <t>33.20.10125.01</t>
  </si>
  <si>
    <t>MT6-7087</t>
  </si>
  <si>
    <t>33.20.10018.01</t>
  </si>
  <si>
    <t>MT6-7088</t>
  </si>
  <si>
    <t>33.20.10021.01</t>
  </si>
  <si>
    <t>MT6-7089</t>
  </si>
  <si>
    <t>33.20.10024.01</t>
  </si>
  <si>
    <t>MT6-7090</t>
  </si>
  <si>
    <t>33.20.10026.01</t>
  </si>
  <si>
    <t>MT6-7091</t>
  </si>
  <si>
    <t>33.20.10029.01</t>
  </si>
  <si>
    <t>MT6-7092</t>
  </si>
  <si>
    <t>33.20.10031.01</t>
  </si>
  <si>
    <t>MT6-7093</t>
  </si>
  <si>
    <t>33.20.10036.01</t>
  </si>
  <si>
    <t>MT6-7094</t>
  </si>
  <si>
    <t>33.20.10038.01</t>
  </si>
  <si>
    <t>MT6-7095</t>
  </si>
  <si>
    <t>33.20.10052.01</t>
  </si>
  <si>
    <t>MT6-7096</t>
  </si>
  <si>
    <t>33.20.10121.01</t>
  </si>
  <si>
    <t>MT6-7099</t>
  </si>
  <si>
    <t>33.20.10130.00</t>
  </si>
  <si>
    <t>MT6-7100</t>
  </si>
  <si>
    <t>33.20.10135.01</t>
  </si>
  <si>
    <t>MT6-7101</t>
  </si>
  <si>
    <t>33.20.10143.01</t>
  </si>
  <si>
    <t>MT6-7102</t>
  </si>
  <si>
    <t>33.20.10148.01</t>
  </si>
  <si>
    <t>MT6-7103</t>
  </si>
  <si>
    <t>33.20.10169.01</t>
  </si>
  <si>
    <t>MT6-7104</t>
  </si>
  <si>
    <t>33.20.10172.01</t>
  </si>
  <si>
    <t>MT6-7105</t>
  </si>
  <si>
    <t>33.20.10176.00</t>
  </si>
  <si>
    <t>MT6-7106</t>
  </si>
  <si>
    <t>33.20.10179.01</t>
  </si>
  <si>
    <t>MT6-7107</t>
  </si>
  <si>
    <t>33.20.10208.01</t>
  </si>
  <si>
    <t>MT6-7108</t>
  </si>
  <si>
    <t>33.20.10221.01</t>
  </si>
  <si>
    <t>MT6-7109</t>
  </si>
  <si>
    <t>33.20.10223.01</t>
  </si>
  <si>
    <t>MT6-7110</t>
  </si>
  <si>
    <t>33.20.10225.01</t>
  </si>
  <si>
    <t>MT6-7111</t>
  </si>
  <si>
    <t>MT6-7112</t>
  </si>
  <si>
    <t>MT6-7115</t>
  </si>
  <si>
    <t>33.20.10255.00</t>
  </si>
  <si>
    <t>33.20.10259.01</t>
  </si>
  <si>
    <t>MT6-7118</t>
  </si>
  <si>
    <t>33.20.10275.01</t>
  </si>
  <si>
    <t>MT6-7121</t>
  </si>
  <si>
    <t>33.20.10307.01</t>
  </si>
  <si>
    <t>MT6-7123</t>
  </si>
  <si>
    <t>33.20.10502.00</t>
  </si>
  <si>
    <t>MT6-7124</t>
  </si>
  <si>
    <t>33.20.10504.00</t>
  </si>
  <si>
    <t>MT6-7125</t>
  </si>
  <si>
    <t>33.20.10506.00</t>
  </si>
  <si>
    <t>MT6-7126</t>
  </si>
  <si>
    <t>33.20.10517.00</t>
  </si>
  <si>
    <t>MT6-7127</t>
  </si>
  <si>
    <t>33.20.10521.00</t>
  </si>
  <si>
    <t>MT6-7128</t>
  </si>
  <si>
    <t>33.20.10543.00</t>
  </si>
  <si>
    <t>MT6-7129</t>
  </si>
  <si>
    <t>33.20.10544.00</t>
  </si>
  <si>
    <t>MT6-7130</t>
  </si>
  <si>
    <t>34.02.10060.00</t>
  </si>
  <si>
    <t>MT5-26848</t>
  </si>
  <si>
    <t>34.02.10040.00</t>
  </si>
  <si>
    <t>MT5-27020</t>
  </si>
  <si>
    <t>34.02.10041.00</t>
  </si>
  <si>
    <t>MT5-27021</t>
  </si>
  <si>
    <t>34.02.10042.00</t>
  </si>
  <si>
    <t>MT5-27022</t>
  </si>
  <si>
    <t>34.02.10055.00</t>
  </si>
  <si>
    <t>MT5-27023</t>
  </si>
  <si>
    <t>34.02.10021.00</t>
  </si>
  <si>
    <t>MT6-6409</t>
  </si>
  <si>
    <t>34.02.10023.00</t>
  </si>
  <si>
    <t>MT6-6410</t>
  </si>
  <si>
    <t>34.02.10026.00</t>
  </si>
  <si>
    <t>MT6-6411</t>
  </si>
  <si>
    <t>34.02.10028.00</t>
  </si>
  <si>
    <t>MT6-6412</t>
  </si>
  <si>
    <t>34.02.10031.00</t>
  </si>
  <si>
    <t>MT6-6413</t>
  </si>
  <si>
    <t>34.02.10033.00</t>
  </si>
  <si>
    <t>MT6-6414</t>
  </si>
  <si>
    <t>34.02.10036.00</t>
  </si>
  <si>
    <t>MT6-6415</t>
  </si>
  <si>
    <t>34.02.10038.00</t>
  </si>
  <si>
    <t>MT6-6416</t>
  </si>
  <si>
    <t>34.02.10048.00</t>
  </si>
  <si>
    <t>MT6-6417</t>
  </si>
  <si>
    <t>34.02.10050.00</t>
  </si>
  <si>
    <t>MT6-6418</t>
  </si>
  <si>
    <t>33.08.10245.01</t>
  </si>
  <si>
    <t>33.08.00249.01</t>
  </si>
  <si>
    <t>MT3-11673</t>
  </si>
  <si>
    <t>33.08.00055.00</t>
  </si>
  <si>
    <t>MT5-23791</t>
  </si>
  <si>
    <t>33.08.10177.00</t>
  </si>
  <si>
    <t>MT5-26683</t>
  </si>
  <si>
    <t>33.08.10178.00</t>
  </si>
  <si>
    <t>MT5-26684</t>
  </si>
  <si>
    <t>33.08.10179.00</t>
  </si>
  <si>
    <t>MT5-26685</t>
  </si>
  <si>
    <t>33.08.10112.00</t>
  </si>
  <si>
    <t>MT5-26686</t>
  </si>
  <si>
    <t>33.08.10128.00</t>
  </si>
  <si>
    <t>MT5-26687</t>
  </si>
  <si>
    <t>33.08.10217.00</t>
  </si>
  <si>
    <t>MT5-26688</t>
  </si>
  <si>
    <t>MT5-26776</t>
  </si>
  <si>
    <t>33.08.10128.01</t>
  </si>
  <si>
    <t>MT5-26777</t>
  </si>
  <si>
    <t>33.08.10138.00</t>
  </si>
  <si>
    <t>MT5-26937</t>
  </si>
  <si>
    <t>33.08.10890.01</t>
  </si>
  <si>
    <t>MT5-27098</t>
  </si>
  <si>
    <t>33.08.10014.00</t>
  </si>
  <si>
    <t>MT5-28020</t>
  </si>
  <si>
    <t>33.08.10031.00</t>
  </si>
  <si>
    <t>MT5-28022</t>
  </si>
  <si>
    <t>33.08.10151.00</t>
  </si>
  <si>
    <t>MT5-28023</t>
  </si>
  <si>
    <t>33.08.10162.00</t>
  </si>
  <si>
    <t>MT5-28024</t>
  </si>
  <si>
    <t>33.08.10278.00</t>
  </si>
  <si>
    <t>MT5-28025</t>
  </si>
  <si>
    <t>33.08.10341.00</t>
  </si>
  <si>
    <t>MT5-28026</t>
  </si>
  <si>
    <t>33.08.00103.00</t>
  </si>
  <si>
    <t>MT6-6708</t>
  </si>
  <si>
    <t>33.08.10325.01</t>
  </si>
  <si>
    <t>MT6-7044</t>
  </si>
  <si>
    <t>33.08.10070.00</t>
  </si>
  <si>
    <t>MT6-7167</t>
  </si>
  <si>
    <t>33.08.10144.00</t>
  </si>
  <si>
    <t>MT6-7168</t>
  </si>
  <si>
    <t>33.21.10180.00</t>
  </si>
  <si>
    <t>MT3-10250</t>
  </si>
  <si>
    <t>33.21.10183.00</t>
  </si>
  <si>
    <t>MT3-10251</t>
  </si>
  <si>
    <t>33.21.10115.00</t>
  </si>
  <si>
    <t>MT5-24615</t>
  </si>
  <si>
    <t>33.21.10116.00</t>
  </si>
  <si>
    <t>MT5-24616</t>
  </si>
  <si>
    <t>33.21.10117.00</t>
  </si>
  <si>
    <t>MT5-24617</t>
  </si>
  <si>
    <t>33.21.10189.00</t>
  </si>
  <si>
    <t>MT5-24618</t>
  </si>
  <si>
    <t>33.21.10190.00</t>
  </si>
  <si>
    <t>MT5-24619</t>
  </si>
  <si>
    <t>33.21.10191.00</t>
  </si>
  <si>
    <t>MT5-24620</t>
  </si>
  <si>
    <t>33.21.10195.00</t>
  </si>
  <si>
    <t>MT5-24621</t>
  </si>
  <si>
    <t>33.21.10211.00</t>
  </si>
  <si>
    <t>MT5-24622</t>
  </si>
  <si>
    <t>33.21.10187.00</t>
  </si>
  <si>
    <t>MT6-5713</t>
  </si>
  <si>
    <t>33.21.10206.00</t>
  </si>
  <si>
    <t>MT6-5714</t>
  </si>
  <si>
    <t>33.21.10207.00</t>
  </si>
  <si>
    <t>MT6-5715</t>
  </si>
  <si>
    <t>33.21.10547.00</t>
  </si>
  <si>
    <t>MT6-5794</t>
  </si>
  <si>
    <t>34.99.10010.00</t>
  </si>
  <si>
    <t>MTL-5328</t>
  </si>
  <si>
    <t>34.99.10017.00</t>
  </si>
  <si>
    <t>MTL-5329</t>
  </si>
  <si>
    <t>34.99.10019.00</t>
  </si>
  <si>
    <t>MTL-5331</t>
  </si>
  <si>
    <t>34.99.10020.00</t>
  </si>
  <si>
    <t>MTL-5332</t>
  </si>
  <si>
    <t>34.99.10021.00</t>
  </si>
  <si>
    <t>MTL-5333</t>
  </si>
  <si>
    <t>MT5-19615</t>
  </si>
  <si>
    <t>MT5-26278</t>
  </si>
  <si>
    <t>MT5-26279</t>
  </si>
  <si>
    <t>33.99.20003.00</t>
  </si>
  <si>
    <t>MT5-26703</t>
  </si>
  <si>
    <t>MT5-28915</t>
  </si>
  <si>
    <t>MT5-26400</t>
  </si>
  <si>
    <t>34.12.10002.00</t>
  </si>
  <si>
    <t>MT5-26401</t>
  </si>
  <si>
    <t>33.96.00029.00</t>
  </si>
  <si>
    <t>MT5-23313</t>
  </si>
  <si>
    <t>33.96.00030.00</t>
  </si>
  <si>
    <t>MT5-23314</t>
  </si>
  <si>
    <t>33.96.05003.00</t>
  </si>
  <si>
    <t>MT5-24244</t>
  </si>
  <si>
    <t>33.96.05001.00</t>
  </si>
  <si>
    <t>MT6-5577</t>
  </si>
  <si>
    <t>MT6-6250</t>
  </si>
  <si>
    <t>34.06.10012.00</t>
  </si>
  <si>
    <t>MT6-6704</t>
  </si>
  <si>
    <t>MT5-26880</t>
  </si>
  <si>
    <t>MT6-6102</t>
  </si>
  <si>
    <t>MT6-7283</t>
  </si>
  <si>
    <t>MT6-7469</t>
  </si>
  <si>
    <t>052204</t>
  </si>
  <si>
    <t>SUPORTE DO VIDRO \ AA_3196_00</t>
  </si>
  <si>
    <t>MOLDURA DO VIDRO \ AA_3197_03</t>
  </si>
  <si>
    <t>MOLDURA INTERNA PORTA \ AA_3207_01</t>
  </si>
  <si>
    <t>ACABAMENTO LATERAL SUPERIOR \ AA_3306_01</t>
  </si>
  <si>
    <t>ACABAMENTO LATERAL INTERNO \ AA_3308_08</t>
  </si>
  <si>
    <t>ACABAMENTO LATERAL INTERNO \ AA_3311_01</t>
  </si>
  <si>
    <t>TRAVESSA BASE PERFIL 02 \ AA_3314_02</t>
  </si>
  <si>
    <t>TRAVA DA ESTRUTURA \ AA_3320_01</t>
  </si>
  <si>
    <t>TRAVA DA ESTRUTURA FRONTAL \ AA_3321_04</t>
  </si>
  <si>
    <t>ACABAMENTO EXTERIOR COM RASGO \ AA_3324_01</t>
  </si>
  <si>
    <t>TRAVA DA CABINE \ AA_3333_00</t>
  </si>
  <si>
    <t>TAMPA PARA ACESSO ESTEIRA. \ AA_3338_00</t>
  </si>
  <si>
    <t>ACABAMENTO LADO MAQUINA MAIOR \ AA_3341_02</t>
  </si>
  <si>
    <t>SUPORTE RODIZIO \ AA_7082_01</t>
  </si>
  <si>
    <t>MARCO ESQUERDO PORTA \ AA_7084_00</t>
  </si>
  <si>
    <t>TAMPA PARA ACESSO INTERLOCK \ AA_7087_02</t>
  </si>
  <si>
    <t>PECA INTERNA DA PORTA 03 \ AA_7627_00</t>
  </si>
  <si>
    <t>PECA INTERNA DA PORTA 02 \ AA_7628_00</t>
  </si>
  <si>
    <t>MAO FRANCESA EM L ESQUERDO \ AA_7571_00</t>
  </si>
  <si>
    <t>MAO FRANCESA EM L DIREITO \ AA_7631_00</t>
  </si>
  <si>
    <t>052204004921.23.03329</t>
  </si>
  <si>
    <t>052204005021.23.03329</t>
  </si>
  <si>
    <t>052204005121.23.03392</t>
  </si>
  <si>
    <t>052204005221.23.03392</t>
  </si>
  <si>
    <t>052204005333.02.10034.02</t>
  </si>
  <si>
    <t>052204005433.02.10037.02</t>
  </si>
  <si>
    <t>052204005533.02.10044.02</t>
  </si>
  <si>
    <t>ACABAMENTO ESTEIRA ROLETE DIREITO / 33.02.10044.02</t>
  </si>
  <si>
    <t>052204005633.03.10207.01</t>
  </si>
  <si>
    <t>052204005733.03.10214.01</t>
  </si>
  <si>
    <t>052204005833.03.10235.01</t>
  </si>
  <si>
    <t>052204005933.03.10235.01</t>
  </si>
  <si>
    <t>052204006033.03.10236.02</t>
  </si>
  <si>
    <t>052204006133.03.10239.01</t>
  </si>
  <si>
    <t>052204006233.03.10240.02</t>
  </si>
  <si>
    <t>052204006333.03.10275.00</t>
  </si>
  <si>
    <t>052204006433.08.10219.00</t>
  </si>
  <si>
    <t>052204006533.08.10242.00</t>
  </si>
  <si>
    <t>052204006633.08.10242.00</t>
  </si>
  <si>
    <t>052204006733.08.10245.02</t>
  </si>
  <si>
    <t>052204006833.08.10249.02</t>
  </si>
  <si>
    <t>ACABAMENTO ESTEIRA / 33.08.10249.02</t>
  </si>
  <si>
    <t>052204006933.08.10252.00</t>
  </si>
  <si>
    <t>052204007033.08.10275.00</t>
  </si>
  <si>
    <t>052204007133.08.10283.00</t>
  </si>
  <si>
    <t>052204007233.99.10042.01</t>
  </si>
  <si>
    <t>052204007333.99.10043.00</t>
  </si>
  <si>
    <t>052204007421.23.00875</t>
  </si>
  <si>
    <t>PE DA MESA \ AA_3070_02</t>
  </si>
  <si>
    <t>052204007521.23.00877</t>
  </si>
  <si>
    <t>BATENTE \ AA_3074_00</t>
  </si>
  <si>
    <t>052204007621.23.00879</t>
  </si>
  <si>
    <t>052204007721.23.02017</t>
  </si>
  <si>
    <t>MARCO DIREITO PORTA \ AA_7085_00</t>
  </si>
  <si>
    <t>052204007821.23.02022</t>
  </si>
  <si>
    <t>052728</t>
  </si>
  <si>
    <t>052814</t>
  </si>
  <si>
    <t>SPEC 6040 C</t>
  </si>
  <si>
    <t>SPEC 6040 C TRIF</t>
  </si>
  <si>
    <t>SPEC 6040 DV</t>
  </si>
  <si>
    <t>SPEC CARGO</t>
  </si>
  <si>
    <t>PHANTOM COLORIZAÇÃO CARGO</t>
  </si>
  <si>
    <t>RECYCLING INOX</t>
  </si>
  <si>
    <t>RECYCLING INOX C</t>
  </si>
  <si>
    <t>SPEC 6550 VMI</t>
  </si>
  <si>
    <t>SPEC 6040 C 180KV</t>
  </si>
  <si>
    <t>SPEC 6040 SV 180KV</t>
  </si>
  <si>
    <t>SPEC 6040 DV 180KV</t>
  </si>
  <si>
    <t>SPEC 6040 P3D 180KV</t>
  </si>
  <si>
    <t>ARCO DE LEITURA</t>
  </si>
  <si>
    <t>TECLADO ELET. NOVA</t>
  </si>
  <si>
    <t>MESA 6040 DV INFRAERO</t>
  </si>
  <si>
    <t>MESA 6040 C</t>
  </si>
  <si>
    <t>PEDESTAL 1 MONITOR</t>
  </si>
  <si>
    <t>PEDESTAL 2 MONITORES</t>
  </si>
  <si>
    <t>ENTREGUE 2 PEÇAS NO DANFE 41640 EM 06/02-METALFISA</t>
  </si>
  <si>
    <t>ENTREGUE 18 PEÇAS NOS DANFES 41761 &amp; 41762 EM 09/02-METALFISA</t>
  </si>
  <si>
    <t>ENTREGUE 2 PEÇAS NO DANFE 41762 EM 09/02-METALFISA</t>
  </si>
  <si>
    <t>ENTREGUE 3 PEÇAS NO DANFE 41640 EM 06/02-METALFISA</t>
  </si>
  <si>
    <t>ENTREGUE 258 PEÇAS NOS DANFES 41762 &amp; 41763 EM 09/02-METALFISA</t>
  </si>
  <si>
    <t>AGING</t>
  </si>
  <si>
    <t>STATUS DO PEDIDO</t>
  </si>
  <si>
    <t>FOLLOW UP</t>
  </si>
  <si>
    <t>-</t>
  </si>
  <si>
    <t>ENTREGUE 8 PEÇAS NO DANFE 18654 EM 06/02-VMI MEC</t>
  </si>
  <si>
    <t>ENTREGUE 2 PEÇAS NO DANFE 41714 EM 06/02-METALFISA</t>
  </si>
  <si>
    <t>ENTREGUE 4 PEÇAS NO DANFE 34.703 EM 06/02-GRANATO</t>
  </si>
  <si>
    <t>ENTREGUE 4 PEÇAS NOS DANFE 34.703 &amp; 34.705 EM 06/02-GRANATO</t>
  </si>
  <si>
    <t>ENTREGUE 3 PEÇAS NOS DANFE 34.703 &amp; 34.705 EM 06/02-GRANATO</t>
  </si>
  <si>
    <t>ENTREGUE 8 PEÇAS NO DANFE 34.704 EM 06/02-GRANATO</t>
  </si>
  <si>
    <t>ENTREGUE 4 PEÇAS NO DANFE 34.706 EM 06/02-GRANATO</t>
  </si>
  <si>
    <t>ENTREGUE 11 PEÇAS NO DANFE 34.706 EM 06/02-GRANATO</t>
  </si>
  <si>
    <t>ENTREGUE 2 PEÇAS NO DANFE 34.708 EM 06/02-GRANATO</t>
  </si>
  <si>
    <t>ENTREGUE 4 PEÇAS NO DANFE 34.708 EM 06/02-GRANATO</t>
  </si>
  <si>
    <t>ENTREGUE 4 PEÇAS NO DANFE 41640 EM 06/02-METALFISA</t>
  </si>
  <si>
    <t>ENTREGUE 2 PEÇAS NO DANFE 34.706 EM 06/02-GRANATO</t>
  </si>
  <si>
    <t>ENTREGUE 16 PEÇAS NO DANFE 41708 EM 06/02-METALFISA</t>
  </si>
  <si>
    <t>ENTREGUE 2 PEÇAS NO DANFE 41708 EM 06/02-METALFISA</t>
  </si>
  <si>
    <t>ENTREGUE 20 PEÇAS NO DANFE 41708 EM 06/02-METALFISA</t>
  </si>
  <si>
    <t>ENTREGUE 1 PEÇA NO DANFE 34.708 EM 06/02-GRANATO</t>
  </si>
  <si>
    <t>ENTREGUE 4 PEÇAS NO DANFE 41708 EM 06/02-METALFISA</t>
  </si>
  <si>
    <t>ENTREGUE 2 PEÇAS NO DANFE 34.707 EM 06/02-GRANATO</t>
  </si>
  <si>
    <t>ENTREGUE 1 PEÇA NO DANFE 34.705 EM 06/02-GRANATO</t>
  </si>
  <si>
    <t>ENTREGUE 2 PEÇAS NO DANFE 34.704 EM 06/02-GRANATO</t>
  </si>
  <si>
    <t>ENTREGUE 2 PEÇAS NO DANFE 34.703 EM 06/02-GRANATO</t>
  </si>
  <si>
    <t>ENTREGUE 1 PEÇA NO DANFE 34.703 EM 06/02-GRANATO</t>
  </si>
  <si>
    <t>ENTREGUE 1 PEÇA NO DANFE 41708 EM 06/02-METALFISA</t>
  </si>
  <si>
    <t>ENTREGUE 8 PEÇAS NO DANFE 34.706 EM 06/02-GRANATO</t>
  </si>
  <si>
    <t>ENTREGUE 7 PEÇAS NO DANFE 34.704 EM 06/02-GRANATO</t>
  </si>
  <si>
    <t>ENTREGUE 1 PEÇA NO DANFE 34.707 EM 06/02-GRANATO</t>
  </si>
  <si>
    <t>ENTREGUE 2 PEÇAS NO DANFE 34.709 EM 06/02-GRANATO</t>
  </si>
  <si>
    <t>ENTREGUE 1 PEÇA NO DANFE 34.709 EM 06/02-GRANATO</t>
  </si>
  <si>
    <t>ENTREGUE 10 PEÇAS NO DANFE 34.707 EM 06/02-GRANATO</t>
  </si>
  <si>
    <t>ENTREGUE 2 PEÇAS NO DANFE 34.705 EM 06/02-GRANATO</t>
  </si>
  <si>
    <t>ENTREGUE 2 PEÇAS NOS DANFE 34.703 &amp; 34.705 EM 06/02-GRANATO</t>
  </si>
  <si>
    <t>ENTREGUE 4 PEÇAS NO DANFE 34.704 EM 06/02-GRANATO</t>
  </si>
  <si>
    <t>ENTREGUE 2 PEÇAS NOS DANFE 34.704 &amp; 34.707 EM 06/02-GRANATO</t>
  </si>
  <si>
    <t>ENTREGUE 14 PEÇAS NO DANFE 11.212 EM 06/02-MAPHE</t>
  </si>
  <si>
    <t>ACABAMENTO SUP. DA ESTEIRA. \ AA_4251_00</t>
  </si>
  <si>
    <t>CANALETA LAT. 01 \ AA_4596_01</t>
  </si>
  <si>
    <t>REFORCO ESTEIRA BODYSCAN / AA_10045_03</t>
  </si>
  <si>
    <t>ACABAMENTO DA CARRUAGEM TETO 02 / AA_9860_03</t>
  </si>
  <si>
    <t>SUPORTE TRAVA PORTA CAIXA L / 33.08.10128.01</t>
  </si>
  <si>
    <t>CHAPA MONTAGEM SUPORTE PLACA / 33.08.10217.00</t>
  </si>
  <si>
    <t>GAIOLA VERTICAL FIXACAO PLACAS CAIXA L 180180 SV VMIS / 33.11.10978.00</t>
  </si>
  <si>
    <t>TRAVESSA LONGITUDINAL 01 / 33.20.10018.01</t>
  </si>
  <si>
    <t>CHAPA LATERAL DO TUNEL MENOR /33.20.10050.01</t>
  </si>
  <si>
    <t>APOIO CONTROLADORA SV / 33.20.10275.01</t>
  </si>
  <si>
    <t>33.20.10521.02</t>
  </si>
  <si>
    <t>MONTAGEM SUPORTE DA CORTINA / 33.20.10521.02</t>
  </si>
  <si>
    <t>34.13.20001.00</t>
  </si>
  <si>
    <t>FIXACAO DIR. DAS PLACAS DE CHUMBO / 34.13.20001.00</t>
  </si>
  <si>
    <t>33.03.10351.03</t>
  </si>
  <si>
    <t>SUPORTE FIXACAO CONTROLADORA / 33.03.10351.03</t>
  </si>
  <si>
    <t>MONTAGEM COLUNA DO ROLETES \ AA_3369_02</t>
  </si>
  <si>
    <t>ENTREGUE 2 PEÇAS NO DANFE 18655 EM 06/02-VMI MEC</t>
  </si>
  <si>
    <t>CANTONEIRA PARA EMBALAGENS / AA_9800_02</t>
  </si>
  <si>
    <t>CHAPA PARA UNIAO DAS TAMPAS EMBALAGENS / AA_9801_02</t>
  </si>
  <si>
    <t>33.03.10540.00</t>
  </si>
  <si>
    <t>COLUNA DE SUSTENTACAO 01 / 33.03.10540.00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</si>
</sst>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16]d\-mmm;@"/>
    <numFmt numFmtId="165" formatCode="dd/mm/yy;@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Segoe UI"/>
      <family val="2"/>
    </font>
    <font>
      <b/>
      <sz val="8"/>
      <color theme="0"/>
      <name val="Segoe UI"/>
      <family val="2"/>
    </font>
    <font>
      <sz val="8"/>
      <color theme="0"/>
      <name val="Segoe UI"/>
      <family val="2"/>
    </font>
    <font>
      <sz val="8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theme="1"/>
      <name val="Calibri"/>
      <family val="2"/>
      <scheme val="minor"/>
    </font>
    <font>
      <sz val="8"/>
      <color rgb="FFFF0000"/>
      <name val="Segoe UI"/>
      <family val="2"/>
    </font>
    <font>
      <b/>
      <sz val="8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70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2" fillId="4" borderId="7" xfId="0" applyFont="1" applyFill="1" applyBorder="1"/>
    <xf numFmtId="165" fontId="5" fillId="0" borderId="8" xfId="1" applyNumberFormat="1" applyFont="1" applyBorder="1" applyAlignment="1">
      <alignment horizontal="center" vertical="center"/>
    </xf>
    <xf numFmtId="165" fontId="5" fillId="4" borderId="8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3" fontId="5" fillId="0" borderId="0" xfId="4" applyFont="1" applyFill="1" applyBorder="1" applyAlignment="1">
      <alignment horizontal="left" vertical="center" wrapText="1"/>
    </xf>
    <xf numFmtId="43" fontId="5" fillId="0" borderId="0" xfId="4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14" fontId="1" fillId="0" borderId="0" xfId="0" applyNumberFormat="1" applyFont="1"/>
    <xf numFmtId="0" fontId="6" fillId="0" borderId="0" xfId="0" applyFont="1" applyBorder="1"/>
    <xf numFmtId="0" fontId="6" fillId="0" borderId="0" xfId="0" applyFont="1" applyBorder="1" applyAlignment="1">
      <alignment wrapText="1"/>
    </xf>
    <xf numFmtId="0" fontId="7" fillId="3" borderId="0" xfId="0" applyFont="1" applyFill="1" applyBorder="1" applyAlignment="1">
      <alignment vertical="center" wrapText="1"/>
    </xf>
    <xf numFmtId="164" fontId="7" fillId="2" borderId="0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0" xfId="0" applyFont="1" applyFill="1" applyBorder="1" applyAlignment="1">
      <alignment wrapText="1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vertical="center" wrapText="1"/>
    </xf>
    <xf numFmtId="0" fontId="6" fillId="0" borderId="1" xfId="0" applyFont="1" applyFill="1" applyBorder="1"/>
    <xf numFmtId="0" fontId="6" fillId="0" borderId="1" xfId="0" applyFont="1" applyFill="1" applyBorder="1" applyAlignment="1">
      <alignment wrapText="1"/>
    </xf>
    <xf numFmtId="0" fontId="9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wrapText="1"/>
    </xf>
    <xf numFmtId="0" fontId="6" fillId="0" borderId="1" xfId="0" applyFont="1" applyBorder="1"/>
    <xf numFmtId="0" fontId="7" fillId="2" borderId="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9" xfId="0" applyFont="1" applyBorder="1"/>
    <xf numFmtId="0" fontId="6" fillId="0" borderId="10" xfId="0" applyFont="1" applyBorder="1" applyAlignment="1">
      <alignment wrapText="1"/>
    </xf>
    <xf numFmtId="0" fontId="6" fillId="0" borderId="10" xfId="0" applyFont="1" applyFill="1" applyBorder="1" applyAlignment="1">
      <alignment wrapText="1"/>
    </xf>
    <xf numFmtId="0" fontId="6" fillId="0" borderId="10" xfId="0" applyFont="1" applyBorder="1"/>
    <xf numFmtId="0" fontId="6" fillId="0" borderId="11" xfId="0" applyFont="1" applyBorder="1"/>
    <xf numFmtId="0" fontId="6" fillId="0" borderId="4" xfId="0" applyFont="1" applyBorder="1"/>
    <xf numFmtId="0" fontId="6" fillId="0" borderId="1" xfId="0" applyFont="1" applyFill="1" applyBorder="1" applyAlignment="1">
      <alignment horizontal="center"/>
    </xf>
    <xf numFmtId="0" fontId="13" fillId="0" borderId="1" xfId="0" applyFont="1" applyFill="1" applyBorder="1"/>
    <xf numFmtId="0" fontId="7" fillId="2" borderId="3" xfId="0" applyFont="1" applyFill="1" applyBorder="1" applyAlignment="1">
      <alignment vertical="center"/>
    </xf>
    <xf numFmtId="0" fontId="14" fillId="4" borderId="3" xfId="0" applyFont="1" applyFill="1" applyBorder="1" applyAlignment="1">
      <alignment vertical="center"/>
    </xf>
    <xf numFmtId="49" fontId="14" fillId="4" borderId="3" xfId="0" applyNumberFormat="1" applyFont="1" applyFill="1" applyBorder="1" applyAlignment="1">
      <alignment vertical="center"/>
    </xf>
    <xf numFmtId="0" fontId="14" fillId="4" borderId="5" xfId="0" applyFont="1" applyFill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14" fillId="0" borderId="0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6" fillId="0" borderId="12" xfId="0" applyFont="1" applyBorder="1"/>
    <xf numFmtId="165" fontId="6" fillId="0" borderId="0" xfId="0" applyNumberFormat="1" applyFont="1" applyBorder="1"/>
    <xf numFmtId="43" fontId="6" fillId="0" borderId="0" xfId="0" applyNumberFormat="1" applyFont="1" applyBorder="1"/>
    <xf numFmtId="44" fontId="6" fillId="0" borderId="0" xfId="0" applyNumberFormat="1" applyFont="1" applyBorder="1"/>
    <xf numFmtId="165" fontId="6" fillId="0" borderId="12" xfId="0" applyNumberFormat="1" applyFont="1" applyBorder="1"/>
    <xf numFmtId="0" fontId="6" fillId="0" borderId="0" xfId="0" applyNumberFormat="1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8" fillId="2" borderId="0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textRotation="90" wrapText="1"/>
    </xf>
    <xf numFmtId="0" fontId="12" fillId="6" borderId="1" xfId="0" applyFont="1" applyFill="1" applyBorder="1" applyAlignment="1">
      <alignment horizontal="center" vertical="center" textRotation="90" wrapText="1"/>
    </xf>
    <xf numFmtId="0" fontId="12" fillId="5" borderId="3" xfId="0" applyFont="1" applyFill="1" applyBorder="1" applyAlignment="1">
      <alignment horizontal="center" vertical="center" textRotation="90" wrapText="1"/>
    </xf>
    <xf numFmtId="0" fontId="12" fillId="5" borderId="1" xfId="0" applyFont="1" applyFill="1" applyBorder="1" applyAlignment="1">
      <alignment horizontal="center" vertical="center" textRotation="90" wrapText="1"/>
    </xf>
    <xf numFmtId="0" fontId="12" fillId="5" borderId="2" xfId="0" applyFont="1" applyFill="1" applyBorder="1" applyAlignment="1">
      <alignment horizontal="center" vertical="center" textRotation="90" wrapText="1"/>
    </xf>
    <xf numFmtId="0" fontId="12" fillId="5" borderId="4" xfId="0" applyFont="1" applyFill="1" applyBorder="1" applyAlignment="1">
      <alignment horizontal="center" vertical="center" textRotation="90" wrapText="1"/>
    </xf>
    <xf numFmtId="0" fontId="6" fillId="5" borderId="0" xfId="0" applyFont="1" applyFill="1" applyBorder="1" applyAlignment="1">
      <alignment horizontal="center" vertical="center" textRotation="90" wrapText="1"/>
    </xf>
    <xf numFmtId="0" fontId="12" fillId="5" borderId="5" xfId="0" applyFont="1" applyFill="1" applyBorder="1" applyAlignment="1">
      <alignment horizontal="center" vertical="center" textRotation="90" wrapText="1"/>
    </xf>
    <xf numFmtId="0" fontId="12" fillId="5" borderId="6" xfId="0" applyFont="1" applyFill="1" applyBorder="1" applyAlignment="1">
      <alignment horizontal="center" vertical="center" textRotation="90" wrapText="1"/>
    </xf>
  </cellXfs>
  <cellStyles count="6">
    <cellStyle name="Moeda" xfId="1" builtinId="4"/>
    <cellStyle name="Moeda 2" xfId="5"/>
    <cellStyle name="Moeda 2 3" xfId="3"/>
    <cellStyle name="Normal" xfId="0" builtinId="0"/>
    <cellStyle name="Vírgula 2" xfId="4"/>
    <cellStyle name="Vírgula 2 7" xfId="2"/>
  </cellStyles>
  <dxfs count="5">
    <dxf>
      <font>
        <color rgb="FF800000"/>
      </font>
      <fill>
        <patternFill>
          <bgColor rgb="FFFF66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FF0000"/>
      </font>
      <fill>
        <patternFill>
          <bgColor rgb="FFFF7C8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 patternType="solid">
          <fgColor rgb="FF375623"/>
          <bgColor rgb="FF000000"/>
        </patternFill>
      </fill>
    </dxf>
  </dxfs>
  <tableStyles count="0" defaultTableStyle="TableStyleMedium2" defaultPivotStyle="PivotStyleLight16"/>
  <colors>
    <mruColors>
      <color rgb="FF8000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co.rosa/Desktop/DAILY/Follow%20Up%20Faltantes/FALTANTES%20FEVEREIRO%2026-%201&#170;%20Lista-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co.rosa/Desktop/RELA&#199;&#195;O%20DE%20OC'S%20VMI%20MEC_0302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 EM 3º- DINAMICA"/>
      <sheetName val="SBF_98_TRATATIVA"/>
      <sheetName val="Planilha do Follow Up Produção"/>
      <sheetName val="FALTANTES"/>
      <sheetName val="COMPRAR"/>
      <sheetName val="OC'S MAPHE"/>
      <sheetName val="OC'S GRANATO"/>
      <sheetName val="OC'S VMI MEC"/>
      <sheetName val="OC'S METALFISA"/>
    </sheetNames>
    <sheetDataSet>
      <sheetData sheetId="0"/>
      <sheetData sheetId="1"/>
      <sheetData sheetId="2"/>
      <sheetData sheetId="3">
        <row r="1">
          <cell r="B1" t="str">
            <v>ENTREGUE 1 PEÇA NO DANFE 11.155 EM 03/02- MAPHE-RETORNO DE 3º</v>
          </cell>
          <cell r="C1" t="str">
            <v>PREVISÃO DE ENTREGA 16/02-GRANATO</v>
          </cell>
        </row>
        <row r="2">
          <cell r="A2" t="str">
            <v>ENTREGUE 4 PEÇAS NO DANFE 11.333 EM 23/02-MAPHE</v>
          </cell>
          <cell r="B2" t="str">
            <v>ENTREGUE 1 PEÇA NO DANFE 11.333 EM 23/02-MAPHE</v>
          </cell>
          <cell r="C2" t="str">
            <v>DT_LIMITE</v>
          </cell>
          <cell r="V2">
            <v>46057</v>
          </cell>
          <cell r="W2">
            <v>46059</v>
          </cell>
          <cell r="X2">
            <v>46066</v>
          </cell>
          <cell r="Y2">
            <v>46073</v>
          </cell>
          <cell r="Z2">
            <v>46081</v>
          </cell>
        </row>
        <row r="3">
          <cell r="A3" t="str">
            <v>CÓDIGO</v>
          </cell>
          <cell r="B3" t="str">
            <v>DESCRIÇÃO</v>
          </cell>
          <cell r="C3" t="str">
            <v>OBSERVAÇÕES</v>
          </cell>
          <cell r="D3" t="str">
            <v>SBF_98</v>
          </cell>
          <cell r="E3" t="str">
            <v>SALDO EM 3º METALFISA</v>
          </cell>
          <cell r="F3" t="str">
            <v>SALDO EM 3º GRANATO</v>
          </cell>
          <cell r="G3" t="str">
            <v>SALDO EM 3º CALDEPE</v>
          </cell>
          <cell r="H3" t="str">
            <v>SALDO EM 3º VMI MEC</v>
          </cell>
          <cell r="I3" t="str">
            <v>SALDO EM 3º MAPHE</v>
          </cell>
          <cell r="J3" t="str">
            <v>SOMA DE SALDO EM 3º</v>
          </cell>
          <cell r="L3" t="str">
            <v>STATUS DE ENTREGA</v>
          </cell>
          <cell r="M3" t="str">
            <v>OC'S METALFISA</v>
          </cell>
          <cell r="O3" t="str">
            <v>OC'S GRANATO</v>
          </cell>
          <cell r="Q3" t="str">
            <v>OC'S VMI MEC</v>
          </cell>
          <cell r="S3" t="str">
            <v>OC'S MAPHE</v>
          </cell>
          <cell r="U3" t="str">
            <v>TOTAL EM OC'S</v>
          </cell>
          <cell r="V3" t="str">
            <v>WK 01</v>
          </cell>
          <cell r="W3" t="str">
            <v>WK 02</v>
          </cell>
          <cell r="X3" t="str">
            <v>WK 03</v>
          </cell>
          <cell r="Y3" t="str">
            <v>WK 04</v>
          </cell>
          <cell r="Z3" t="str">
            <v>WK 05</v>
          </cell>
          <cell r="AA3" t="str">
            <v>TOTAL FALTANTES</v>
          </cell>
          <cell r="AB3" t="str">
            <v>FALTANTES FIRMES</v>
          </cell>
          <cell r="AC3" t="str">
            <v>ENTRADAS</v>
          </cell>
          <cell r="AD3" t="str">
            <v>ESTQ.S/OC</v>
          </cell>
        </row>
        <row r="4">
          <cell r="A4" t="str">
            <v>01.33.00006</v>
          </cell>
          <cell r="B4" t="str">
            <v>ACABAMENTO LATERAL 5333 INGLES/PORTUGUES / AA_0689_05</v>
          </cell>
          <cell r="D4">
            <v>3</v>
          </cell>
          <cell r="E4" t="str">
            <v>-</v>
          </cell>
          <cell r="F4" t="str">
            <v>-</v>
          </cell>
          <cell r="G4" t="str">
            <v>-</v>
          </cell>
          <cell r="H4" t="str">
            <v>-</v>
          </cell>
          <cell r="I4">
            <v>2</v>
          </cell>
          <cell r="J4">
            <v>2</v>
          </cell>
          <cell r="K4">
            <v>40</v>
          </cell>
          <cell r="L4" t="str">
            <v>FALTA ENTREGA</v>
          </cell>
          <cell r="M4" t="str">
            <v>-</v>
          </cell>
          <cell r="N4" t="str">
            <v>OC'S METALFISA</v>
          </cell>
          <cell r="O4">
            <v>40</v>
          </cell>
          <cell r="P4" t="str">
            <v>OC'S GRANATO</v>
          </cell>
          <cell r="Q4" t="str">
            <v>-</v>
          </cell>
          <cell r="S4" t="str">
            <v>-</v>
          </cell>
          <cell r="U4">
            <v>40</v>
          </cell>
          <cell r="V4">
            <v>0</v>
          </cell>
          <cell r="W4">
            <v>0</v>
          </cell>
          <cell r="X4">
            <v>5</v>
          </cell>
          <cell r="Y4">
            <v>0</v>
          </cell>
          <cell r="Z4">
            <v>0</v>
          </cell>
          <cell r="AA4">
            <v>5</v>
          </cell>
          <cell r="AB4">
            <v>3</v>
          </cell>
          <cell r="AC4">
            <v>0</v>
          </cell>
          <cell r="AD4">
            <v>-5</v>
          </cell>
        </row>
        <row r="5">
          <cell r="A5" t="str">
            <v>01.33.00023</v>
          </cell>
          <cell r="B5" t="str">
            <v>MONTAGEM SOLDA SUPORTE DO TUBO RAIOS-X \ AA_0761_03</v>
          </cell>
          <cell r="D5" t="str">
            <v>-</v>
          </cell>
          <cell r="E5" t="str">
            <v>-</v>
          </cell>
          <cell r="F5" t="str">
            <v>-</v>
          </cell>
          <cell r="G5" t="str">
            <v>-</v>
          </cell>
          <cell r="H5" t="str">
            <v>-</v>
          </cell>
          <cell r="I5" t="str">
            <v>-</v>
          </cell>
          <cell r="J5">
            <v>0</v>
          </cell>
          <cell r="K5">
            <v>-2</v>
          </cell>
          <cell r="L5" t="str">
            <v>FALTA ENTREGA</v>
          </cell>
          <cell r="M5" t="str">
            <v>-</v>
          </cell>
          <cell r="N5" t="str">
            <v>OC'S METALFISA</v>
          </cell>
          <cell r="O5" t="str">
            <v>-</v>
          </cell>
          <cell r="Q5" t="str">
            <v>-</v>
          </cell>
          <cell r="S5" t="str">
            <v>-</v>
          </cell>
          <cell r="U5">
            <v>0</v>
          </cell>
          <cell r="V5">
            <v>0</v>
          </cell>
          <cell r="W5">
            <v>0</v>
          </cell>
          <cell r="X5">
            <v>2</v>
          </cell>
          <cell r="Y5">
            <v>0</v>
          </cell>
          <cell r="Z5">
            <v>0</v>
          </cell>
          <cell r="AA5">
            <v>2</v>
          </cell>
          <cell r="AB5">
            <v>2</v>
          </cell>
          <cell r="AC5">
            <v>0</v>
          </cell>
          <cell r="AD5">
            <v>-2</v>
          </cell>
        </row>
        <row r="6">
          <cell r="A6" t="str">
            <v>13.01.00054</v>
          </cell>
          <cell r="B6" t="str">
            <v>DMC 457 - FIXACAO LAMPADA 02 \ AA_0457_02</v>
          </cell>
          <cell r="D6" t="str">
            <v>-</v>
          </cell>
          <cell r="E6" t="str">
            <v>-</v>
          </cell>
          <cell r="F6" t="str">
            <v>-</v>
          </cell>
          <cell r="G6" t="str">
            <v>-</v>
          </cell>
          <cell r="H6" t="str">
            <v>-</v>
          </cell>
          <cell r="I6" t="str">
            <v>-</v>
          </cell>
          <cell r="J6">
            <v>0</v>
          </cell>
          <cell r="K6">
            <v>0</v>
          </cell>
          <cell r="L6" t="str">
            <v>FALTA ENTREGA</v>
          </cell>
          <cell r="M6">
            <v>6</v>
          </cell>
          <cell r="N6" t="str">
            <v>OC'S METALFISA</v>
          </cell>
          <cell r="O6" t="str">
            <v>-</v>
          </cell>
          <cell r="Q6" t="str">
            <v>-</v>
          </cell>
          <cell r="S6" t="str">
            <v>-</v>
          </cell>
          <cell r="U6">
            <v>6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6</v>
          </cell>
          <cell r="AA6">
            <v>6</v>
          </cell>
          <cell r="AB6">
            <v>0</v>
          </cell>
          <cell r="AC6">
            <v>0</v>
          </cell>
          <cell r="AD6">
            <v>-6</v>
          </cell>
        </row>
        <row r="7">
          <cell r="A7" t="str">
            <v>13.03.00005</v>
          </cell>
          <cell r="B7" t="str">
            <v>APOIO DO TECLADO / AA_0196_10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>
            <v>0</v>
          </cell>
          <cell r="K7">
            <v>-1</v>
          </cell>
          <cell r="L7" t="str">
            <v>FALTA ENTREGA</v>
          </cell>
          <cell r="M7">
            <v>1</v>
          </cell>
          <cell r="N7" t="str">
            <v>OC'S METALFISA</v>
          </cell>
          <cell r="O7" t="str">
            <v>-</v>
          </cell>
          <cell r="Q7" t="str">
            <v>-</v>
          </cell>
          <cell r="S7" t="str">
            <v>-</v>
          </cell>
          <cell r="U7">
            <v>1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2</v>
          </cell>
          <cell r="AA7">
            <v>2</v>
          </cell>
          <cell r="AB7">
            <v>0</v>
          </cell>
          <cell r="AC7">
            <v>0</v>
          </cell>
          <cell r="AD7">
            <v>-2</v>
          </cell>
        </row>
        <row r="8">
          <cell r="A8" t="str">
            <v>13.03.00008</v>
          </cell>
          <cell r="B8" t="str">
            <v>PECA  APOIO PRIMEIRO ROLETE LIVRE \ AA_0145_03</v>
          </cell>
          <cell r="D8" t="str">
            <v>-</v>
          </cell>
          <cell r="E8" t="str">
            <v>-</v>
          </cell>
          <cell r="F8" t="str">
            <v>-</v>
          </cell>
          <cell r="G8" t="str">
            <v>-</v>
          </cell>
          <cell r="H8" t="str">
            <v>-</v>
          </cell>
          <cell r="I8" t="str">
            <v>-</v>
          </cell>
          <cell r="J8">
            <v>0</v>
          </cell>
          <cell r="K8">
            <v>368</v>
          </cell>
          <cell r="L8" t="str">
            <v>FALTA ENTREGA</v>
          </cell>
          <cell r="M8" t="str">
            <v>-</v>
          </cell>
          <cell r="N8" t="str">
            <v>OC'S METALFISA</v>
          </cell>
          <cell r="O8" t="str">
            <v>-</v>
          </cell>
          <cell r="Q8">
            <v>161</v>
          </cell>
          <cell r="S8">
            <v>440</v>
          </cell>
          <cell r="T8" t="str">
            <v>OC'S MAPHE</v>
          </cell>
          <cell r="U8">
            <v>601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233</v>
          </cell>
          <cell r="AA8">
            <v>233</v>
          </cell>
          <cell r="AB8">
            <v>0</v>
          </cell>
          <cell r="AC8">
            <v>0</v>
          </cell>
          <cell r="AD8">
            <v>-233</v>
          </cell>
        </row>
        <row r="9">
          <cell r="A9" t="str">
            <v>13.03.00055</v>
          </cell>
          <cell r="B9" t="str">
            <v>PERFIL SUPERIOR ESTRUTURA / AA_0373_05</v>
          </cell>
          <cell r="D9" t="str">
            <v>-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-</v>
          </cell>
          <cell r="I9" t="str">
            <v>-</v>
          </cell>
          <cell r="J9">
            <v>0</v>
          </cell>
          <cell r="K9">
            <v>0</v>
          </cell>
          <cell r="L9" t="str">
            <v>FALTA ENTREGA</v>
          </cell>
          <cell r="M9">
            <v>6</v>
          </cell>
          <cell r="N9" t="str">
            <v>OC'S METALFISA</v>
          </cell>
          <cell r="O9" t="str">
            <v>-</v>
          </cell>
          <cell r="Q9" t="str">
            <v>-</v>
          </cell>
          <cell r="S9" t="str">
            <v>-</v>
          </cell>
          <cell r="U9">
            <v>6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6</v>
          </cell>
          <cell r="AA9">
            <v>6</v>
          </cell>
          <cell r="AB9">
            <v>0</v>
          </cell>
          <cell r="AC9">
            <v>0</v>
          </cell>
          <cell r="AD9">
            <v>-6</v>
          </cell>
        </row>
        <row r="10">
          <cell r="A10" t="str">
            <v>13.03.00056</v>
          </cell>
          <cell r="B10" t="str">
            <v>PERFIL SUPERIOR COM AFASTADOR / AA_0374_07</v>
          </cell>
          <cell r="D10" t="str">
            <v>-</v>
          </cell>
          <cell r="E10" t="str">
            <v>-</v>
          </cell>
          <cell r="F10" t="str">
            <v>-</v>
          </cell>
          <cell r="G10" t="str">
            <v>-</v>
          </cell>
          <cell r="H10" t="str">
            <v>-</v>
          </cell>
          <cell r="I10" t="str">
            <v>-</v>
          </cell>
          <cell r="J10">
            <v>0</v>
          </cell>
          <cell r="K10">
            <v>0</v>
          </cell>
          <cell r="L10" t="str">
            <v>FALTA ENTREGA</v>
          </cell>
          <cell r="M10">
            <v>6</v>
          </cell>
          <cell r="N10" t="str">
            <v>OC'S METALFISA</v>
          </cell>
          <cell r="O10" t="str">
            <v>-</v>
          </cell>
          <cell r="Q10" t="str">
            <v>-</v>
          </cell>
          <cell r="S10" t="str">
            <v>-</v>
          </cell>
          <cell r="U10">
            <v>6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6</v>
          </cell>
          <cell r="AA10">
            <v>6</v>
          </cell>
          <cell r="AB10">
            <v>0</v>
          </cell>
          <cell r="AC10">
            <v>0</v>
          </cell>
          <cell r="AD10">
            <v>-6</v>
          </cell>
        </row>
        <row r="11">
          <cell r="A11" t="str">
            <v>13.03.00057</v>
          </cell>
          <cell r="B11" t="str">
            <v>DMC-376 - METALON SUPERIOR \ AA_0376_05</v>
          </cell>
          <cell r="C11">
            <v>46074</v>
          </cell>
          <cell r="D11" t="str">
            <v>-</v>
          </cell>
          <cell r="E11" t="str">
            <v>-</v>
          </cell>
          <cell r="F11" t="str">
            <v>-</v>
          </cell>
          <cell r="G11" t="str">
            <v>-</v>
          </cell>
          <cell r="H11" t="str">
            <v>-</v>
          </cell>
          <cell r="I11" t="str">
            <v>-</v>
          </cell>
          <cell r="J11">
            <v>0</v>
          </cell>
          <cell r="K11">
            <v>2</v>
          </cell>
          <cell r="L11" t="str">
            <v>ENTREGA PARCIAL</v>
          </cell>
          <cell r="M11">
            <v>4</v>
          </cell>
          <cell r="N11" t="str">
            <v>OC'S METALFISA</v>
          </cell>
          <cell r="O11" t="str">
            <v>-</v>
          </cell>
          <cell r="Q11" t="str">
            <v>-</v>
          </cell>
          <cell r="S11" t="str">
            <v>-</v>
          </cell>
          <cell r="U11">
            <v>4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4</v>
          </cell>
          <cell r="AA11">
            <v>4</v>
          </cell>
          <cell r="AB11">
            <v>0</v>
          </cell>
          <cell r="AC11">
            <v>2</v>
          </cell>
          <cell r="AD11">
            <v>-2</v>
          </cell>
        </row>
        <row r="12">
          <cell r="A12" t="str">
            <v>13.03.00059</v>
          </cell>
          <cell r="B12" t="str">
            <v>DMC-384 - REGULADOR TAMPAS EXTERNAS \ AA_0384_01</v>
          </cell>
          <cell r="D12" t="str">
            <v>-</v>
          </cell>
          <cell r="E12" t="str">
            <v>-</v>
          </cell>
          <cell r="F12" t="str">
            <v>-</v>
          </cell>
          <cell r="G12" t="str">
            <v>-</v>
          </cell>
          <cell r="H12" t="str">
            <v>-</v>
          </cell>
          <cell r="I12" t="str">
            <v>-</v>
          </cell>
          <cell r="J12">
            <v>0</v>
          </cell>
          <cell r="K12">
            <v>0</v>
          </cell>
          <cell r="L12" t="str">
            <v>FALTA ENTREGA</v>
          </cell>
          <cell r="M12">
            <v>8</v>
          </cell>
          <cell r="N12" t="str">
            <v>OC'S METALFISA</v>
          </cell>
          <cell r="O12" t="str">
            <v>-</v>
          </cell>
          <cell r="Q12" t="str">
            <v>-</v>
          </cell>
          <cell r="S12" t="str">
            <v>-</v>
          </cell>
          <cell r="U12">
            <v>8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8</v>
          </cell>
          <cell r="AA12">
            <v>8</v>
          </cell>
          <cell r="AB12">
            <v>0</v>
          </cell>
          <cell r="AC12">
            <v>0</v>
          </cell>
          <cell r="AD12">
            <v>-8</v>
          </cell>
        </row>
        <row r="13">
          <cell r="A13" t="str">
            <v>13.03.00062</v>
          </cell>
          <cell r="B13" t="str">
            <v>BANDEJA SUPORTE CPU / AA_0394_08</v>
          </cell>
          <cell r="D13" t="str">
            <v>-</v>
          </cell>
          <cell r="E13" t="str">
            <v>-</v>
          </cell>
          <cell r="F13" t="str">
            <v>-</v>
          </cell>
          <cell r="G13" t="str">
            <v>-</v>
          </cell>
          <cell r="H13" t="str">
            <v>-</v>
          </cell>
          <cell r="I13" t="str">
            <v>-</v>
          </cell>
          <cell r="J13">
            <v>0</v>
          </cell>
          <cell r="K13">
            <v>0</v>
          </cell>
          <cell r="L13" t="str">
            <v>FALTA ENTREGA</v>
          </cell>
          <cell r="M13">
            <v>3</v>
          </cell>
          <cell r="N13" t="str">
            <v>OC'S METALFISA</v>
          </cell>
          <cell r="O13" t="str">
            <v>-</v>
          </cell>
          <cell r="Q13" t="str">
            <v>-</v>
          </cell>
          <cell r="S13" t="str">
            <v>-</v>
          </cell>
          <cell r="U13">
            <v>3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3</v>
          </cell>
          <cell r="AA13">
            <v>3</v>
          </cell>
          <cell r="AB13">
            <v>0</v>
          </cell>
          <cell r="AC13">
            <v>0</v>
          </cell>
          <cell r="AD13">
            <v>-3</v>
          </cell>
        </row>
        <row r="14">
          <cell r="A14" t="str">
            <v>13.03.00065</v>
          </cell>
          <cell r="B14" t="str">
            <v>DMC-400 - RAMPA COLIMADOR FLATSCAN \ AA_0400_00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>
            <v>0</v>
          </cell>
          <cell r="K14">
            <v>43</v>
          </cell>
          <cell r="L14" t="str">
            <v>FALTA ENTREGA</v>
          </cell>
          <cell r="M14">
            <v>48</v>
          </cell>
          <cell r="N14" t="str">
            <v>OC'S METALFISA</v>
          </cell>
          <cell r="O14" t="str">
            <v>-</v>
          </cell>
          <cell r="Q14" t="str">
            <v>-</v>
          </cell>
          <cell r="S14" t="str">
            <v>-</v>
          </cell>
          <cell r="U14">
            <v>48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5</v>
          </cell>
          <cell r="AA14">
            <v>5</v>
          </cell>
          <cell r="AB14">
            <v>0</v>
          </cell>
          <cell r="AC14">
            <v>0</v>
          </cell>
          <cell r="AD14">
            <v>-5</v>
          </cell>
        </row>
        <row r="15">
          <cell r="A15" t="str">
            <v>13.03.00070</v>
          </cell>
          <cell r="B15" t="str">
            <v>FIXACAO DO VIDRO PLUMBIFERO \ AA_0215_03</v>
          </cell>
          <cell r="D15" t="str">
            <v>-</v>
          </cell>
          <cell r="E15" t="str">
            <v>-</v>
          </cell>
          <cell r="F15" t="str">
            <v>-</v>
          </cell>
          <cell r="G15" t="str">
            <v>-</v>
          </cell>
          <cell r="H15" t="str">
            <v>-</v>
          </cell>
          <cell r="I15" t="str">
            <v>-</v>
          </cell>
          <cell r="J15">
            <v>0</v>
          </cell>
          <cell r="K15" t="e">
            <v>#VALUE!</v>
          </cell>
          <cell r="L15" t="str">
            <v>ENTREGA TOTAL</v>
          </cell>
          <cell r="M15" t="str">
            <v>-</v>
          </cell>
          <cell r="N15" t="str">
            <v>OC'S METALFISA</v>
          </cell>
          <cell r="O15" t="str">
            <v>-</v>
          </cell>
          <cell r="Q15" t="str">
            <v>-</v>
          </cell>
          <cell r="S15" t="str">
            <v>-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4</v>
          </cell>
          <cell r="AA15">
            <v>4</v>
          </cell>
          <cell r="AB15" t="str">
            <v>0</v>
          </cell>
          <cell r="AC15" t="str">
            <v>-</v>
          </cell>
          <cell r="AD15" t="str">
            <v>-</v>
          </cell>
        </row>
        <row r="16">
          <cell r="A16" t="str">
            <v>13.03.00080</v>
          </cell>
          <cell r="B16" t="str">
            <v>DMC-273 - CHASSI PROT. MESA FLAT \ AA_0273_10</v>
          </cell>
          <cell r="C16">
            <v>46059</v>
          </cell>
          <cell r="D16">
            <v>1</v>
          </cell>
          <cell r="E16" t="str">
            <v>-</v>
          </cell>
          <cell r="F16" t="str">
            <v>-</v>
          </cell>
          <cell r="G16" t="str">
            <v>-</v>
          </cell>
          <cell r="H16" t="str">
            <v>-</v>
          </cell>
          <cell r="I16" t="str">
            <v>-</v>
          </cell>
          <cell r="J16">
            <v>0</v>
          </cell>
          <cell r="K16">
            <v>2</v>
          </cell>
          <cell r="L16" t="str">
            <v>ENTREGA PARCIAL</v>
          </cell>
          <cell r="M16">
            <v>3</v>
          </cell>
          <cell r="N16" t="str">
            <v>OC'S METALFISA</v>
          </cell>
          <cell r="O16" t="str">
            <v>-</v>
          </cell>
          <cell r="Q16" t="str">
            <v>-</v>
          </cell>
          <cell r="S16" t="str">
            <v>-</v>
          </cell>
          <cell r="U16">
            <v>3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4</v>
          </cell>
          <cell r="AA16">
            <v>4</v>
          </cell>
          <cell r="AB16">
            <v>0</v>
          </cell>
          <cell r="AC16">
            <v>2</v>
          </cell>
          <cell r="AD16">
            <v>-2</v>
          </cell>
        </row>
        <row r="17">
          <cell r="A17" t="str">
            <v>13.03.00081</v>
          </cell>
          <cell r="B17" t="str">
            <v>DMC-275 - ACABAMENTO FLATSCAN \ AA_0275_05</v>
          </cell>
          <cell r="D17" t="str">
            <v>-</v>
          </cell>
          <cell r="E17" t="str">
            <v>-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>
            <v>0</v>
          </cell>
          <cell r="K17">
            <v>0</v>
          </cell>
          <cell r="L17" t="str">
            <v>FALTA ENTREGA</v>
          </cell>
          <cell r="M17">
            <v>8</v>
          </cell>
          <cell r="N17" t="str">
            <v>OC'S METALFISA</v>
          </cell>
          <cell r="O17" t="str">
            <v>-</v>
          </cell>
          <cell r="Q17" t="str">
            <v>-</v>
          </cell>
          <cell r="S17" t="str">
            <v>-</v>
          </cell>
          <cell r="U17">
            <v>8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8</v>
          </cell>
          <cell r="AA17">
            <v>8</v>
          </cell>
          <cell r="AB17">
            <v>0</v>
          </cell>
          <cell r="AC17">
            <v>0</v>
          </cell>
          <cell r="AD17">
            <v>-8</v>
          </cell>
        </row>
        <row r="18">
          <cell r="A18" t="str">
            <v>13.03.00083</v>
          </cell>
          <cell r="B18" t="str">
            <v>APOIO DOS BOTOES DA MESA - DIREITO \ AA_0316_06</v>
          </cell>
          <cell r="D18" t="str">
            <v>-</v>
          </cell>
          <cell r="E18" t="str">
            <v>-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>
            <v>0</v>
          </cell>
          <cell r="K18" t="e">
            <v>#VALUE!</v>
          </cell>
          <cell r="L18" t="str">
            <v>ENTREGA TOTAL</v>
          </cell>
          <cell r="M18" t="str">
            <v>-</v>
          </cell>
          <cell r="N18" t="str">
            <v>OC'S METALFISA</v>
          </cell>
          <cell r="O18" t="str">
            <v>-</v>
          </cell>
          <cell r="Q18" t="str">
            <v>-</v>
          </cell>
          <cell r="S18" t="str">
            <v>-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2</v>
          </cell>
          <cell r="AA18">
            <v>2</v>
          </cell>
          <cell r="AB18" t="str">
            <v>0</v>
          </cell>
          <cell r="AC18" t="str">
            <v>-</v>
          </cell>
          <cell r="AD18" t="str">
            <v>-</v>
          </cell>
        </row>
        <row r="19">
          <cell r="A19" t="str">
            <v>13.03.00110</v>
          </cell>
          <cell r="B19" t="str">
            <v>DMC-214 - FIXACAO DO VIDRO NA PORTA \ AA_0214_02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>
            <v>0</v>
          </cell>
          <cell r="K19">
            <v>0</v>
          </cell>
          <cell r="L19" t="str">
            <v>FALTA ENTREGA</v>
          </cell>
          <cell r="M19">
            <v>4</v>
          </cell>
          <cell r="N19" t="str">
            <v>OC'S METALFISA</v>
          </cell>
          <cell r="O19" t="str">
            <v>-</v>
          </cell>
          <cell r="Q19" t="str">
            <v>-</v>
          </cell>
          <cell r="S19" t="str">
            <v>-</v>
          </cell>
          <cell r="U19">
            <v>4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4</v>
          </cell>
          <cell r="AA19">
            <v>4</v>
          </cell>
          <cell r="AB19">
            <v>0</v>
          </cell>
          <cell r="AC19">
            <v>0</v>
          </cell>
          <cell r="AD19">
            <v>-4</v>
          </cell>
        </row>
        <row r="20">
          <cell r="A20" t="str">
            <v>13.03.00111</v>
          </cell>
          <cell r="B20" t="str">
            <v>DMC-216 - ACABAMENTO FRONTAL \ AA_0216_04</v>
          </cell>
          <cell r="D20" t="str">
            <v>-</v>
          </cell>
          <cell r="E20" t="str">
            <v>-</v>
          </cell>
          <cell r="F20" t="str">
            <v>-</v>
          </cell>
          <cell r="G20" t="str">
            <v>-</v>
          </cell>
          <cell r="H20" t="str">
            <v>-</v>
          </cell>
          <cell r="I20" t="str">
            <v>-</v>
          </cell>
          <cell r="J20">
            <v>0</v>
          </cell>
          <cell r="K20">
            <v>0</v>
          </cell>
          <cell r="L20" t="str">
            <v>FALTA ENTREGA</v>
          </cell>
          <cell r="M20">
            <v>6</v>
          </cell>
          <cell r="N20" t="str">
            <v>OC'S METALFISA</v>
          </cell>
          <cell r="O20" t="str">
            <v>-</v>
          </cell>
          <cell r="Q20" t="str">
            <v>-</v>
          </cell>
          <cell r="S20" t="str">
            <v>-</v>
          </cell>
          <cell r="U20">
            <v>6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6</v>
          </cell>
          <cell r="AA20">
            <v>6</v>
          </cell>
          <cell r="AB20">
            <v>0</v>
          </cell>
          <cell r="AC20">
            <v>0</v>
          </cell>
          <cell r="AD20">
            <v>-6</v>
          </cell>
        </row>
        <row r="21">
          <cell r="A21" t="str">
            <v>13.03.00112</v>
          </cell>
          <cell r="B21" t="str">
            <v>SUPORTE LED \ AA_0223_09</v>
          </cell>
          <cell r="D21" t="str">
            <v>-</v>
          </cell>
          <cell r="E21" t="str">
            <v>-</v>
          </cell>
          <cell r="F21" t="str">
            <v>-</v>
          </cell>
          <cell r="G21" t="str">
            <v>-</v>
          </cell>
          <cell r="H21" t="str">
            <v>-</v>
          </cell>
          <cell r="I21" t="str">
            <v>-</v>
          </cell>
          <cell r="J21">
            <v>0</v>
          </cell>
          <cell r="K21">
            <v>0</v>
          </cell>
          <cell r="L21" t="str">
            <v>FALTA ENTREGA</v>
          </cell>
          <cell r="M21">
            <v>6</v>
          </cell>
          <cell r="N21" t="str">
            <v>OC'S METALFISA</v>
          </cell>
          <cell r="O21" t="str">
            <v>-</v>
          </cell>
          <cell r="Q21" t="str">
            <v>-</v>
          </cell>
          <cell r="S21" t="str">
            <v>-</v>
          </cell>
          <cell r="U21">
            <v>6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6</v>
          </cell>
          <cell r="AA21">
            <v>6</v>
          </cell>
          <cell r="AB21">
            <v>0</v>
          </cell>
          <cell r="AC21">
            <v>0</v>
          </cell>
          <cell r="AD21">
            <v>-6</v>
          </cell>
        </row>
        <row r="22">
          <cell r="A22" t="str">
            <v>13.03.00123</v>
          </cell>
          <cell r="B22" t="str">
            <v>DMC-274 - BANDEJA DA MESA \ AA_0274_08</v>
          </cell>
          <cell r="D22" t="str">
            <v>-</v>
          </cell>
          <cell r="E22" t="str">
            <v>-</v>
          </cell>
          <cell r="F22" t="str">
            <v>-</v>
          </cell>
          <cell r="G22" t="str">
            <v>-</v>
          </cell>
          <cell r="H22" t="str">
            <v>-</v>
          </cell>
          <cell r="I22" t="str">
            <v>-</v>
          </cell>
          <cell r="J22">
            <v>0</v>
          </cell>
          <cell r="K22">
            <v>0</v>
          </cell>
          <cell r="L22" t="str">
            <v>FALTA ENTREGA</v>
          </cell>
          <cell r="M22">
            <v>3</v>
          </cell>
          <cell r="N22" t="str">
            <v>OC'S METALFISA</v>
          </cell>
          <cell r="O22" t="str">
            <v>-</v>
          </cell>
          <cell r="Q22" t="str">
            <v>-</v>
          </cell>
          <cell r="S22" t="str">
            <v>-</v>
          </cell>
          <cell r="U22">
            <v>3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3</v>
          </cell>
          <cell r="AA22">
            <v>3</v>
          </cell>
          <cell r="AB22">
            <v>0</v>
          </cell>
          <cell r="AC22">
            <v>0</v>
          </cell>
          <cell r="AD22">
            <v>-3</v>
          </cell>
        </row>
        <row r="23">
          <cell r="A23" t="str">
            <v>13.03.00124</v>
          </cell>
          <cell r="B23" t="str">
            <v>DMC-281 - TAMPA PORTA MENOR ESQUERDA \ AA_0281_04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>
            <v>0</v>
          </cell>
          <cell r="K23">
            <v>0</v>
          </cell>
          <cell r="L23" t="str">
            <v>FALTA ENTREGA</v>
          </cell>
          <cell r="M23">
            <v>1</v>
          </cell>
          <cell r="N23" t="str">
            <v>OC'S METALFISA</v>
          </cell>
          <cell r="O23" t="str">
            <v>-</v>
          </cell>
          <cell r="Q23" t="str">
            <v>-</v>
          </cell>
          <cell r="S23" t="str">
            <v>-</v>
          </cell>
          <cell r="U23">
            <v>1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1</v>
          </cell>
          <cell r="AA23">
            <v>1</v>
          </cell>
          <cell r="AB23">
            <v>0</v>
          </cell>
          <cell r="AC23">
            <v>0</v>
          </cell>
          <cell r="AD23">
            <v>-1</v>
          </cell>
        </row>
        <row r="24">
          <cell r="A24" t="str">
            <v>13.03.00125</v>
          </cell>
          <cell r="B24" t="str">
            <v>DMC-282 - TAMPA PORTA MAIOR \ AA_0282_06</v>
          </cell>
          <cell r="D24" t="str">
            <v>-</v>
          </cell>
          <cell r="E24" t="str">
            <v>-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>
            <v>0</v>
          </cell>
          <cell r="K24">
            <v>-1</v>
          </cell>
          <cell r="L24" t="str">
            <v>FALTA ENTREGA</v>
          </cell>
          <cell r="M24">
            <v>2</v>
          </cell>
          <cell r="N24" t="str">
            <v>OC'S METALFISA</v>
          </cell>
          <cell r="O24" t="str">
            <v>-</v>
          </cell>
          <cell r="Q24" t="str">
            <v>-</v>
          </cell>
          <cell r="S24" t="str">
            <v>-</v>
          </cell>
          <cell r="U24">
            <v>2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3</v>
          </cell>
          <cell r="AA24">
            <v>3</v>
          </cell>
          <cell r="AB24">
            <v>0</v>
          </cell>
          <cell r="AC24">
            <v>0</v>
          </cell>
          <cell r="AD24">
            <v>-3</v>
          </cell>
        </row>
        <row r="25">
          <cell r="A25" t="str">
            <v>13.03.00143</v>
          </cell>
          <cell r="B25" t="str">
            <v>BASE SOLDADA \ AA_0387_08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>
            <v>0</v>
          </cell>
          <cell r="K25">
            <v>0</v>
          </cell>
          <cell r="L25" t="str">
            <v>FALTA ENTREGA</v>
          </cell>
          <cell r="M25">
            <v>3</v>
          </cell>
          <cell r="N25" t="str">
            <v>OC'S METALFISA</v>
          </cell>
          <cell r="O25" t="str">
            <v>-</v>
          </cell>
          <cell r="Q25" t="str">
            <v>-</v>
          </cell>
          <cell r="S25" t="str">
            <v>-</v>
          </cell>
          <cell r="U25">
            <v>3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3</v>
          </cell>
          <cell r="AA25">
            <v>3</v>
          </cell>
          <cell r="AB25">
            <v>0</v>
          </cell>
          <cell r="AC25">
            <v>0</v>
          </cell>
          <cell r="AD25">
            <v>-3</v>
          </cell>
        </row>
        <row r="26">
          <cell r="A26" t="str">
            <v>13.03.00163</v>
          </cell>
          <cell r="B26" t="str">
            <v>DMC-437 - PORTA MENOR DIREITA FLATSCAN \ AA_0437_04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  <cell r="I26" t="str">
            <v>-</v>
          </cell>
          <cell r="J26">
            <v>0</v>
          </cell>
          <cell r="K26">
            <v>-1</v>
          </cell>
          <cell r="L26" t="str">
            <v>FALTA ENTREGA</v>
          </cell>
          <cell r="M26" t="str">
            <v>-</v>
          </cell>
          <cell r="N26" t="str">
            <v>OC'S METALFISA</v>
          </cell>
          <cell r="O26" t="str">
            <v>-</v>
          </cell>
          <cell r="Q26" t="str">
            <v>-</v>
          </cell>
          <cell r="S26" t="str">
            <v>-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1</v>
          </cell>
          <cell r="AA26">
            <v>1</v>
          </cell>
          <cell r="AB26">
            <v>0</v>
          </cell>
          <cell r="AC26">
            <v>0</v>
          </cell>
          <cell r="AD26">
            <v>-1</v>
          </cell>
        </row>
        <row r="27">
          <cell r="A27" t="str">
            <v>13.03.00164</v>
          </cell>
          <cell r="B27" t="str">
            <v>DMC-438 - PORTA MAIOR DIREITA FLATSCAN \ AA_0438_04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>
            <v>0</v>
          </cell>
          <cell r="K27">
            <v>-1</v>
          </cell>
          <cell r="L27" t="str">
            <v>FALTA ENTREGA</v>
          </cell>
          <cell r="M27">
            <v>2</v>
          </cell>
          <cell r="N27" t="str">
            <v>OC'S METALFISA</v>
          </cell>
          <cell r="O27" t="str">
            <v>-</v>
          </cell>
          <cell r="Q27" t="str">
            <v>-</v>
          </cell>
          <cell r="S27" t="str">
            <v>-</v>
          </cell>
          <cell r="U27">
            <v>2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3</v>
          </cell>
          <cell r="AA27">
            <v>3</v>
          </cell>
          <cell r="AB27">
            <v>0</v>
          </cell>
          <cell r="AC27">
            <v>0</v>
          </cell>
          <cell r="AD27">
            <v>-3</v>
          </cell>
        </row>
        <row r="28">
          <cell r="A28" t="str">
            <v>13.03.00165</v>
          </cell>
          <cell r="B28" t="str">
            <v>DMC-440 - CHASSI PROT. MESA ESQ. FLAT \ AA_0440_09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>
            <v>0</v>
          </cell>
          <cell r="K28">
            <v>0</v>
          </cell>
          <cell r="L28" t="str">
            <v>FALTA ENTREGA</v>
          </cell>
          <cell r="M28">
            <v>3</v>
          </cell>
          <cell r="N28" t="str">
            <v>OC'S METALFISA</v>
          </cell>
          <cell r="O28" t="str">
            <v>-</v>
          </cell>
          <cell r="Q28" t="str">
            <v>-</v>
          </cell>
          <cell r="S28" t="str">
            <v>-</v>
          </cell>
          <cell r="U28">
            <v>3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3</v>
          </cell>
          <cell r="AA28">
            <v>3</v>
          </cell>
          <cell r="AB28">
            <v>0</v>
          </cell>
          <cell r="AC28">
            <v>0</v>
          </cell>
          <cell r="AD28">
            <v>-3</v>
          </cell>
        </row>
        <row r="29">
          <cell r="A29" t="str">
            <v>13.03.00166</v>
          </cell>
          <cell r="B29" t="str">
            <v>DMC-441 - BANDEJA MESA ESQ. FLATSCAN \ AA_0441_07</v>
          </cell>
          <cell r="D29" t="str">
            <v>-</v>
          </cell>
          <cell r="E29" t="str">
            <v>-</v>
          </cell>
          <cell r="F29" t="str">
            <v>-</v>
          </cell>
          <cell r="G29" t="str">
            <v>-</v>
          </cell>
          <cell r="H29" t="str">
            <v>-</v>
          </cell>
          <cell r="I29" t="str">
            <v>-</v>
          </cell>
          <cell r="J29">
            <v>0</v>
          </cell>
          <cell r="K29">
            <v>0</v>
          </cell>
          <cell r="L29" t="str">
            <v>FALTA ENTREGA</v>
          </cell>
          <cell r="M29">
            <v>3</v>
          </cell>
          <cell r="N29" t="str">
            <v>OC'S METALFISA</v>
          </cell>
          <cell r="O29" t="str">
            <v>-</v>
          </cell>
          <cell r="Q29" t="str">
            <v>-</v>
          </cell>
          <cell r="S29" t="str">
            <v>-</v>
          </cell>
          <cell r="U29">
            <v>3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3</v>
          </cell>
          <cell r="AA29">
            <v>3</v>
          </cell>
          <cell r="AB29">
            <v>0</v>
          </cell>
          <cell r="AC29">
            <v>0</v>
          </cell>
          <cell r="AD29">
            <v>-3</v>
          </cell>
        </row>
        <row r="30">
          <cell r="A30" t="str">
            <v>13.03.00167</v>
          </cell>
          <cell r="B30" t="str">
            <v>APOIO MESA ROLETES FLATSCAN / AA_0444_02</v>
          </cell>
          <cell r="D30" t="str">
            <v>-</v>
          </cell>
          <cell r="E30" t="str">
            <v>-</v>
          </cell>
          <cell r="F30" t="str">
            <v>-</v>
          </cell>
          <cell r="G30" t="str">
            <v>-</v>
          </cell>
          <cell r="H30" t="str">
            <v>-</v>
          </cell>
          <cell r="I30" t="str">
            <v>-</v>
          </cell>
          <cell r="J30">
            <v>0</v>
          </cell>
          <cell r="K30">
            <v>0</v>
          </cell>
          <cell r="L30" t="str">
            <v>FALTA ENTREGA</v>
          </cell>
          <cell r="M30">
            <v>8</v>
          </cell>
          <cell r="N30" t="str">
            <v>OC'S METALFISA</v>
          </cell>
          <cell r="O30" t="str">
            <v>-</v>
          </cell>
          <cell r="Q30" t="str">
            <v>-</v>
          </cell>
          <cell r="S30" t="str">
            <v>-</v>
          </cell>
          <cell r="U30">
            <v>8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8</v>
          </cell>
          <cell r="AA30">
            <v>8</v>
          </cell>
          <cell r="AB30">
            <v>0</v>
          </cell>
          <cell r="AC30">
            <v>0</v>
          </cell>
          <cell r="AD30">
            <v>-8</v>
          </cell>
        </row>
        <row r="31">
          <cell r="A31" t="str">
            <v>13.03.00171</v>
          </cell>
          <cell r="B31" t="str">
            <v>DMC-451 - ACABAMENTO MAQUINA FLATSCAN \ AA_0451_00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  <cell r="I31" t="str">
            <v>-</v>
          </cell>
          <cell r="J31">
            <v>0</v>
          </cell>
          <cell r="K31" t="e">
            <v>#VALUE!</v>
          </cell>
          <cell r="L31" t="str">
            <v>ENTREGA TOTAL</v>
          </cell>
          <cell r="M31" t="str">
            <v>-</v>
          </cell>
          <cell r="N31" t="str">
            <v>OC'S METALFISA</v>
          </cell>
          <cell r="O31" t="str">
            <v>-</v>
          </cell>
          <cell r="Q31" t="str">
            <v>-</v>
          </cell>
          <cell r="S31" t="str">
            <v>-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4</v>
          </cell>
          <cell r="AA31">
            <v>4</v>
          </cell>
          <cell r="AB31" t="str">
            <v>0</v>
          </cell>
          <cell r="AC31" t="str">
            <v>-</v>
          </cell>
          <cell r="AD31" t="str">
            <v>-</v>
          </cell>
        </row>
        <row r="32">
          <cell r="A32" t="str">
            <v>13.03.00186</v>
          </cell>
          <cell r="B32" t="str">
            <v>SUPORTE MICRO / AA_0462_04</v>
          </cell>
          <cell r="D32" t="str">
            <v>-</v>
          </cell>
          <cell r="E32" t="str">
            <v>-</v>
          </cell>
          <cell r="F32" t="str">
            <v>-</v>
          </cell>
          <cell r="G32" t="str">
            <v>-</v>
          </cell>
          <cell r="H32" t="str">
            <v>-</v>
          </cell>
          <cell r="I32" t="str">
            <v>-</v>
          </cell>
          <cell r="J32">
            <v>0</v>
          </cell>
          <cell r="K32">
            <v>0</v>
          </cell>
          <cell r="L32" t="str">
            <v>FALTA ENTREGA</v>
          </cell>
          <cell r="M32">
            <v>10</v>
          </cell>
          <cell r="N32" t="str">
            <v>OC'S METALFISA</v>
          </cell>
          <cell r="O32" t="str">
            <v>-</v>
          </cell>
          <cell r="Q32" t="str">
            <v>-</v>
          </cell>
          <cell r="S32" t="str">
            <v>-</v>
          </cell>
          <cell r="U32">
            <v>10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10</v>
          </cell>
          <cell r="AA32">
            <v>10</v>
          </cell>
          <cell r="AB32">
            <v>0</v>
          </cell>
          <cell r="AC32">
            <v>0</v>
          </cell>
          <cell r="AD32">
            <v>-10</v>
          </cell>
        </row>
        <row r="33">
          <cell r="A33" t="str">
            <v>13.03.00191</v>
          </cell>
          <cell r="B33" t="str">
            <v>ACABAMENTO MESA FLATSCAN DIREITA / AA_0472_03</v>
          </cell>
          <cell r="D33" t="str">
            <v>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>
            <v>0</v>
          </cell>
          <cell r="K33">
            <v>-1</v>
          </cell>
          <cell r="L33" t="str">
            <v>FALTA ENTREGA</v>
          </cell>
          <cell r="M33" t="str">
            <v>-</v>
          </cell>
          <cell r="N33" t="str">
            <v>OC'S METALFISA</v>
          </cell>
          <cell r="O33" t="str">
            <v>-</v>
          </cell>
          <cell r="Q33" t="str">
            <v>-</v>
          </cell>
          <cell r="S33" t="str">
            <v>-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</v>
          </cell>
          <cell r="AA33">
            <v>1</v>
          </cell>
          <cell r="AB33">
            <v>0</v>
          </cell>
          <cell r="AC33">
            <v>0</v>
          </cell>
          <cell r="AD33">
            <v>-1</v>
          </cell>
        </row>
        <row r="34">
          <cell r="A34" t="str">
            <v>13.03.00201</v>
          </cell>
          <cell r="B34" t="str">
            <v>DMC-262 - PROTECAO ENGRENAGEM ESQUERDA \ AA_0262_05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>
            <v>0</v>
          </cell>
          <cell r="K34">
            <v>-2</v>
          </cell>
          <cell r="L34" t="str">
            <v>FALTA ENTREGA</v>
          </cell>
          <cell r="M34" t="str">
            <v>-</v>
          </cell>
          <cell r="N34" t="str">
            <v>OC'S METALFISA</v>
          </cell>
          <cell r="O34" t="str">
            <v>-</v>
          </cell>
          <cell r="Q34" t="str">
            <v>-</v>
          </cell>
          <cell r="S34" t="str">
            <v>-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</v>
          </cell>
          <cell r="AA34">
            <v>2</v>
          </cell>
          <cell r="AB34">
            <v>0</v>
          </cell>
          <cell r="AC34">
            <v>0</v>
          </cell>
          <cell r="AD34">
            <v>-2</v>
          </cell>
        </row>
        <row r="35">
          <cell r="A35" t="str">
            <v>13.03.00212</v>
          </cell>
          <cell r="B35" t="str">
            <v>FIXACAO ROLETE SEM CELULA \ AA_0523_05</v>
          </cell>
          <cell r="D35" t="str">
            <v>-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  <cell r="J35">
            <v>0</v>
          </cell>
          <cell r="K35">
            <v>0</v>
          </cell>
          <cell r="L35" t="str">
            <v>FALTA ENTREGA</v>
          </cell>
          <cell r="M35">
            <v>3</v>
          </cell>
          <cell r="N35" t="str">
            <v>OC'S METALFISA</v>
          </cell>
          <cell r="O35" t="str">
            <v>-</v>
          </cell>
          <cell r="Q35" t="str">
            <v>-</v>
          </cell>
          <cell r="S35" t="str">
            <v>-</v>
          </cell>
          <cell r="U35">
            <v>3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3</v>
          </cell>
          <cell r="AA35">
            <v>3</v>
          </cell>
          <cell r="AB35">
            <v>0</v>
          </cell>
          <cell r="AC35">
            <v>0</v>
          </cell>
          <cell r="AD35">
            <v>-3</v>
          </cell>
        </row>
        <row r="36">
          <cell r="A36" t="str">
            <v>13.03.00215</v>
          </cell>
          <cell r="B36" t="str">
            <v>FIXACAO ROLETE MENOR \ AA_0528_05</v>
          </cell>
          <cell r="D36" t="str">
            <v>-</v>
          </cell>
          <cell r="E36" t="str">
            <v>-</v>
          </cell>
          <cell r="F36" t="str">
            <v>-</v>
          </cell>
          <cell r="G36" t="str">
            <v>-</v>
          </cell>
          <cell r="H36" t="str">
            <v>-</v>
          </cell>
          <cell r="I36" t="str">
            <v>-</v>
          </cell>
          <cell r="J36">
            <v>0</v>
          </cell>
          <cell r="K36">
            <v>0</v>
          </cell>
          <cell r="L36" t="str">
            <v>FALTA ENTREGA</v>
          </cell>
          <cell r="M36">
            <v>2</v>
          </cell>
          <cell r="N36" t="str">
            <v>OC'S METALFISA</v>
          </cell>
          <cell r="O36" t="str">
            <v>-</v>
          </cell>
          <cell r="Q36" t="str">
            <v>-</v>
          </cell>
          <cell r="S36" t="str">
            <v>-</v>
          </cell>
          <cell r="U36">
            <v>2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2</v>
          </cell>
          <cell r="AA36">
            <v>2</v>
          </cell>
          <cell r="AB36">
            <v>0</v>
          </cell>
          <cell r="AC36">
            <v>0</v>
          </cell>
          <cell r="AD36">
            <v>-2</v>
          </cell>
        </row>
        <row r="37">
          <cell r="A37" t="str">
            <v>13.03.00227</v>
          </cell>
          <cell r="B37" t="str">
            <v>DISTRIBUICAO CABO 02 \ AA_1178_02</v>
          </cell>
          <cell r="D37" t="str">
            <v>-</v>
          </cell>
          <cell r="E37" t="str">
            <v>-</v>
          </cell>
          <cell r="F37" t="str">
            <v>-</v>
          </cell>
          <cell r="G37" t="str">
            <v>-</v>
          </cell>
          <cell r="H37" t="str">
            <v>-</v>
          </cell>
          <cell r="I37" t="str">
            <v>-</v>
          </cell>
          <cell r="J37">
            <v>0</v>
          </cell>
          <cell r="K37">
            <v>0</v>
          </cell>
          <cell r="L37" t="str">
            <v>FALTA ENTREGA</v>
          </cell>
          <cell r="M37">
            <v>2</v>
          </cell>
          <cell r="N37" t="str">
            <v>OC'S METALFISA</v>
          </cell>
          <cell r="O37" t="str">
            <v>-</v>
          </cell>
          <cell r="Q37" t="str">
            <v>-</v>
          </cell>
          <cell r="S37" t="str">
            <v>-</v>
          </cell>
          <cell r="U37">
            <v>2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2</v>
          </cell>
          <cell r="AA37">
            <v>2</v>
          </cell>
          <cell r="AB37">
            <v>0</v>
          </cell>
          <cell r="AC37">
            <v>0</v>
          </cell>
          <cell r="AD37">
            <v>-2</v>
          </cell>
        </row>
        <row r="38">
          <cell r="A38" t="str">
            <v>13.03.00229</v>
          </cell>
          <cell r="B38" t="str">
            <v>DISTRIBUICAO CABOS 04 \ AA_1180_02</v>
          </cell>
          <cell r="C38">
            <v>46074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-</v>
          </cell>
          <cell r="H38" t="str">
            <v>-</v>
          </cell>
          <cell r="I38" t="str">
            <v>-</v>
          </cell>
          <cell r="J38">
            <v>0</v>
          </cell>
          <cell r="K38">
            <v>6</v>
          </cell>
          <cell r="L38" t="str">
            <v>ENTREGA TOTAL</v>
          </cell>
          <cell r="M38">
            <v>4</v>
          </cell>
          <cell r="N38" t="str">
            <v>OC'S METALFISA</v>
          </cell>
          <cell r="O38" t="str">
            <v>-</v>
          </cell>
          <cell r="Q38" t="str">
            <v>-</v>
          </cell>
          <cell r="S38" t="str">
            <v>-</v>
          </cell>
          <cell r="U38">
            <v>4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2</v>
          </cell>
          <cell r="AA38">
            <v>2</v>
          </cell>
          <cell r="AB38">
            <v>0</v>
          </cell>
          <cell r="AC38">
            <v>4</v>
          </cell>
          <cell r="AD38">
            <v>2</v>
          </cell>
        </row>
        <row r="39">
          <cell r="A39" t="str">
            <v>21.16.00389</v>
          </cell>
          <cell r="B39" t="str">
            <v>CHAPA SUPERIOR ENTRE COLIMADORES \ 03_0276_00</v>
          </cell>
          <cell r="D39" t="str">
            <v>-</v>
          </cell>
          <cell r="E39" t="str">
            <v>-</v>
          </cell>
          <cell r="F39" t="str">
            <v>-</v>
          </cell>
          <cell r="G39" t="str">
            <v>-</v>
          </cell>
          <cell r="H39" t="str">
            <v>-</v>
          </cell>
          <cell r="I39" t="str">
            <v>-</v>
          </cell>
          <cell r="J39">
            <v>0</v>
          </cell>
          <cell r="K39">
            <v>37</v>
          </cell>
          <cell r="L39" t="str">
            <v>FALTA ENTREGA</v>
          </cell>
          <cell r="M39" t="str">
            <v>-</v>
          </cell>
          <cell r="N39" t="str">
            <v>OC'S METALFISA</v>
          </cell>
          <cell r="O39" t="str">
            <v>-</v>
          </cell>
          <cell r="Q39">
            <v>16</v>
          </cell>
          <cell r="S39">
            <v>36</v>
          </cell>
          <cell r="T39" t="str">
            <v>OC'S MAPHE</v>
          </cell>
          <cell r="U39">
            <v>52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15</v>
          </cell>
          <cell r="AA39">
            <v>15</v>
          </cell>
          <cell r="AB39">
            <v>0</v>
          </cell>
          <cell r="AC39">
            <v>0</v>
          </cell>
          <cell r="AD39">
            <v>-15</v>
          </cell>
        </row>
        <row r="40">
          <cell r="A40" t="str">
            <v>21.23.00173</v>
          </cell>
          <cell r="B40" t="str">
            <v>CALCO 01 \ AA_1626_00</v>
          </cell>
          <cell r="C40">
            <v>46074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-</v>
          </cell>
          <cell r="H40" t="str">
            <v>-</v>
          </cell>
          <cell r="I40" t="str">
            <v>-</v>
          </cell>
          <cell r="J40">
            <v>0</v>
          </cell>
          <cell r="K40">
            <v>160</v>
          </cell>
          <cell r="L40" t="str">
            <v>ENTREGA TOTAL</v>
          </cell>
          <cell r="M40" t="str">
            <v>-</v>
          </cell>
          <cell r="N40" t="str">
            <v>OC'S METALFISA</v>
          </cell>
          <cell r="O40">
            <v>160</v>
          </cell>
          <cell r="P40" t="str">
            <v>OC'S GRANATO</v>
          </cell>
          <cell r="Q40" t="str">
            <v>-</v>
          </cell>
          <cell r="S40" t="str">
            <v>-</v>
          </cell>
          <cell r="U40">
            <v>160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80</v>
          </cell>
          <cell r="AA40">
            <v>80</v>
          </cell>
          <cell r="AB40">
            <v>0</v>
          </cell>
          <cell r="AC40">
            <v>80</v>
          </cell>
          <cell r="AD40">
            <v>0</v>
          </cell>
        </row>
        <row r="41">
          <cell r="A41" t="str">
            <v>21.23.00174</v>
          </cell>
          <cell r="B41" t="str">
            <v>CALCO 02 \ AA_1627_00</v>
          </cell>
          <cell r="C41">
            <v>46074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-</v>
          </cell>
          <cell r="H41" t="str">
            <v>-</v>
          </cell>
          <cell r="I41" t="str">
            <v>-</v>
          </cell>
          <cell r="J41">
            <v>0</v>
          </cell>
          <cell r="K41">
            <v>160</v>
          </cell>
          <cell r="L41" t="str">
            <v>ENTREGA TOTAL</v>
          </cell>
          <cell r="M41" t="str">
            <v>-</v>
          </cell>
          <cell r="N41" t="str">
            <v>OC'S METALFISA</v>
          </cell>
          <cell r="O41">
            <v>160</v>
          </cell>
          <cell r="P41" t="str">
            <v>OC'S GRANATO</v>
          </cell>
          <cell r="Q41" t="str">
            <v>-</v>
          </cell>
          <cell r="S41" t="str">
            <v>-</v>
          </cell>
          <cell r="U41">
            <v>160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80</v>
          </cell>
          <cell r="AA41">
            <v>80</v>
          </cell>
          <cell r="AB41">
            <v>0</v>
          </cell>
          <cell r="AC41">
            <v>80</v>
          </cell>
          <cell r="AD41">
            <v>0</v>
          </cell>
        </row>
        <row r="42">
          <cell r="A42" t="str">
            <v>21.23.00175</v>
          </cell>
          <cell r="B42" t="str">
            <v>CALCO 03 \ AA_1628_00</v>
          </cell>
          <cell r="C42">
            <v>46074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-</v>
          </cell>
          <cell r="H42" t="str">
            <v>-</v>
          </cell>
          <cell r="I42" t="str">
            <v>-</v>
          </cell>
          <cell r="J42">
            <v>0</v>
          </cell>
          <cell r="K42">
            <v>80</v>
          </cell>
          <cell r="L42" t="str">
            <v>ENTREGA TOTAL</v>
          </cell>
          <cell r="M42" t="str">
            <v>-</v>
          </cell>
          <cell r="N42" t="str">
            <v>OC'S METALFISA</v>
          </cell>
          <cell r="O42">
            <v>80</v>
          </cell>
          <cell r="P42" t="str">
            <v>OC'S GRANATO</v>
          </cell>
          <cell r="Q42" t="str">
            <v>-</v>
          </cell>
          <cell r="S42" t="str">
            <v>-</v>
          </cell>
          <cell r="U42">
            <v>80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40</v>
          </cell>
          <cell r="AA42">
            <v>40</v>
          </cell>
          <cell r="AB42">
            <v>0</v>
          </cell>
          <cell r="AC42">
            <v>40</v>
          </cell>
          <cell r="AD42">
            <v>0</v>
          </cell>
        </row>
        <row r="43">
          <cell r="A43" t="str">
            <v>21.23.00197</v>
          </cell>
          <cell r="B43" t="str">
            <v>PROLONGADOR PROTECAO 02 \ AA_1561_01</v>
          </cell>
          <cell r="D43" t="str">
            <v>-</v>
          </cell>
          <cell r="E43" t="str">
            <v>-</v>
          </cell>
          <cell r="F43" t="str">
            <v>-</v>
          </cell>
          <cell r="G43" t="str">
            <v>-</v>
          </cell>
          <cell r="H43" t="str">
            <v>-</v>
          </cell>
          <cell r="I43" t="str">
            <v>-</v>
          </cell>
          <cell r="J43">
            <v>0</v>
          </cell>
          <cell r="K43">
            <v>0</v>
          </cell>
          <cell r="L43" t="str">
            <v>FALTA ENTREGA</v>
          </cell>
          <cell r="M43">
            <v>4</v>
          </cell>
          <cell r="N43" t="str">
            <v>OC'S METALFISA</v>
          </cell>
          <cell r="O43" t="str">
            <v>-</v>
          </cell>
          <cell r="Q43" t="str">
            <v>-</v>
          </cell>
          <cell r="S43" t="str">
            <v>-</v>
          </cell>
          <cell r="U43">
            <v>4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4</v>
          </cell>
          <cell r="AA43">
            <v>4</v>
          </cell>
          <cell r="AB43">
            <v>0</v>
          </cell>
          <cell r="AC43">
            <v>0</v>
          </cell>
          <cell r="AD43">
            <v>-4</v>
          </cell>
        </row>
        <row r="44">
          <cell r="A44" t="str">
            <v>21.23.00198</v>
          </cell>
          <cell r="B44" t="str">
            <v>SUPORTE DE APOIO L \ AA_1599_00</v>
          </cell>
          <cell r="D44" t="str">
            <v>-</v>
          </cell>
          <cell r="E44" t="str">
            <v>-</v>
          </cell>
          <cell r="F44" t="str">
            <v>-</v>
          </cell>
          <cell r="G44" t="str">
            <v>-</v>
          </cell>
          <cell r="H44" t="str">
            <v>-</v>
          </cell>
          <cell r="I44" t="str">
            <v>-</v>
          </cell>
          <cell r="J44">
            <v>0</v>
          </cell>
          <cell r="K44">
            <v>0</v>
          </cell>
          <cell r="L44" t="str">
            <v>FALTA ENTREGA</v>
          </cell>
          <cell r="M44">
            <v>3</v>
          </cell>
          <cell r="N44" t="str">
            <v>OC'S METALFISA</v>
          </cell>
          <cell r="O44" t="str">
            <v>-</v>
          </cell>
          <cell r="Q44" t="str">
            <v>-</v>
          </cell>
          <cell r="S44" t="str">
            <v>-</v>
          </cell>
          <cell r="U44">
            <v>3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3</v>
          </cell>
          <cell r="AA44">
            <v>3</v>
          </cell>
          <cell r="AB44">
            <v>0</v>
          </cell>
          <cell r="AC44">
            <v>0</v>
          </cell>
          <cell r="AD44">
            <v>-3</v>
          </cell>
        </row>
        <row r="45">
          <cell r="A45" t="str">
            <v>21.23.00201</v>
          </cell>
          <cell r="B45" t="str">
            <v>CONJUNTO FIXACAO ESTEIRA PORTA CABO \ AA_1577_02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-</v>
          </cell>
          <cell r="H45" t="str">
            <v>-</v>
          </cell>
          <cell r="I45" t="str">
            <v>-</v>
          </cell>
          <cell r="J45">
            <v>0</v>
          </cell>
          <cell r="K45">
            <v>0</v>
          </cell>
          <cell r="L45" t="str">
            <v>FALTA ENTREGA</v>
          </cell>
          <cell r="M45">
            <v>2</v>
          </cell>
          <cell r="N45" t="str">
            <v>OC'S METALFISA</v>
          </cell>
          <cell r="O45" t="str">
            <v>-</v>
          </cell>
          <cell r="Q45" t="str">
            <v>-</v>
          </cell>
          <cell r="S45" t="str">
            <v>-</v>
          </cell>
          <cell r="U45">
            <v>2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2</v>
          </cell>
          <cell r="AA45">
            <v>2</v>
          </cell>
          <cell r="AB45">
            <v>0</v>
          </cell>
          <cell r="AC45">
            <v>0</v>
          </cell>
          <cell r="AD45">
            <v>-2</v>
          </cell>
        </row>
        <row r="46">
          <cell r="A46" t="str">
            <v>21.23.00202</v>
          </cell>
          <cell r="B46" t="str">
            <v>TAMPA DE PROTECAO TUBO LATERAL \ AA_1578_01</v>
          </cell>
          <cell r="C46">
            <v>46074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-</v>
          </cell>
          <cell r="H46" t="str">
            <v>-</v>
          </cell>
          <cell r="I46" t="str">
            <v>-</v>
          </cell>
          <cell r="J46">
            <v>0</v>
          </cell>
          <cell r="K46">
            <v>2</v>
          </cell>
          <cell r="L46" t="str">
            <v>ENTREGA PARCIAL</v>
          </cell>
          <cell r="M46">
            <v>3</v>
          </cell>
          <cell r="N46" t="str">
            <v>OC'S METALFISA</v>
          </cell>
          <cell r="O46" t="str">
            <v>-</v>
          </cell>
          <cell r="Q46" t="str">
            <v>-</v>
          </cell>
          <cell r="S46" t="str">
            <v>-</v>
          </cell>
          <cell r="U46">
            <v>3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3</v>
          </cell>
          <cell r="AA46">
            <v>3</v>
          </cell>
          <cell r="AB46">
            <v>0</v>
          </cell>
          <cell r="AC46">
            <v>2</v>
          </cell>
          <cell r="AD46">
            <v>-1</v>
          </cell>
        </row>
        <row r="47">
          <cell r="A47" t="str">
            <v>21.23.00204</v>
          </cell>
          <cell r="B47" t="str">
            <v>TAMPA DE PROTECAO TUBO \ AA_1580_02</v>
          </cell>
          <cell r="D47" t="str">
            <v>-</v>
          </cell>
          <cell r="E47" t="str">
            <v>-</v>
          </cell>
          <cell r="F47" t="str">
            <v>-</v>
          </cell>
          <cell r="G47" t="str">
            <v>-</v>
          </cell>
          <cell r="H47" t="str">
            <v>-</v>
          </cell>
          <cell r="I47" t="str">
            <v>-</v>
          </cell>
          <cell r="J47">
            <v>0</v>
          </cell>
          <cell r="K47">
            <v>0</v>
          </cell>
          <cell r="L47" t="str">
            <v>FALTA ENTREGA</v>
          </cell>
          <cell r="M47">
            <v>2</v>
          </cell>
          <cell r="N47" t="str">
            <v>OC'S METALFISA</v>
          </cell>
          <cell r="O47" t="str">
            <v>-</v>
          </cell>
          <cell r="Q47" t="str">
            <v>-</v>
          </cell>
          <cell r="S47" t="str">
            <v>-</v>
          </cell>
          <cell r="U47">
            <v>2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2</v>
          </cell>
          <cell r="AA47">
            <v>2</v>
          </cell>
          <cell r="AB47">
            <v>0</v>
          </cell>
          <cell r="AC47">
            <v>0</v>
          </cell>
          <cell r="AD47">
            <v>-2</v>
          </cell>
        </row>
        <row r="48">
          <cell r="A48" t="str">
            <v>21.23.00211</v>
          </cell>
          <cell r="B48" t="str">
            <v>TAMPA DA ESTRUTURA PAYNE \ AA_1596_02</v>
          </cell>
          <cell r="D48" t="str">
            <v>-</v>
          </cell>
          <cell r="E48" t="str">
            <v>-</v>
          </cell>
          <cell r="F48" t="str">
            <v>-</v>
          </cell>
          <cell r="G48" t="str">
            <v>-</v>
          </cell>
          <cell r="H48" t="str">
            <v>-</v>
          </cell>
          <cell r="I48" t="str">
            <v>-</v>
          </cell>
          <cell r="J48">
            <v>0</v>
          </cell>
          <cell r="K48">
            <v>0</v>
          </cell>
          <cell r="L48" t="str">
            <v>FALTA ENTREGA</v>
          </cell>
          <cell r="M48">
            <v>2</v>
          </cell>
          <cell r="N48" t="str">
            <v>OC'S METALFISA</v>
          </cell>
          <cell r="O48" t="str">
            <v>-</v>
          </cell>
          <cell r="Q48" t="str">
            <v>-</v>
          </cell>
          <cell r="S48" t="str">
            <v>-</v>
          </cell>
          <cell r="U48">
            <v>2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2</v>
          </cell>
          <cell r="AA48">
            <v>2</v>
          </cell>
          <cell r="AB48">
            <v>0</v>
          </cell>
          <cell r="AC48">
            <v>0</v>
          </cell>
          <cell r="AD48">
            <v>-2</v>
          </cell>
        </row>
        <row r="49">
          <cell r="A49" t="str">
            <v>21.23.00212</v>
          </cell>
          <cell r="B49" t="str">
            <v>TAMPA ESTRUTURA PAYNE 02 \ AA_1597_02</v>
          </cell>
          <cell r="C49">
            <v>46074</v>
          </cell>
          <cell r="D49" t="str">
            <v>-</v>
          </cell>
          <cell r="E49" t="str">
            <v>-</v>
          </cell>
          <cell r="F49" t="str">
            <v>-</v>
          </cell>
          <cell r="G49" t="str">
            <v>-</v>
          </cell>
          <cell r="H49" t="str">
            <v>-</v>
          </cell>
          <cell r="I49" t="str">
            <v>-</v>
          </cell>
          <cell r="J49">
            <v>0</v>
          </cell>
          <cell r="K49">
            <v>2</v>
          </cell>
          <cell r="L49" t="str">
            <v>ENTREGA TOTAL</v>
          </cell>
          <cell r="M49">
            <v>2</v>
          </cell>
          <cell r="N49" t="str">
            <v>OC'S METALFISA</v>
          </cell>
          <cell r="O49" t="str">
            <v>-</v>
          </cell>
          <cell r="Q49" t="str">
            <v>-</v>
          </cell>
          <cell r="S49" t="str">
            <v>-</v>
          </cell>
          <cell r="U49">
            <v>2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2</v>
          </cell>
          <cell r="AA49">
            <v>2</v>
          </cell>
          <cell r="AB49">
            <v>0</v>
          </cell>
          <cell r="AC49">
            <v>2</v>
          </cell>
          <cell r="AD49">
            <v>0</v>
          </cell>
        </row>
        <row r="50">
          <cell r="A50" t="str">
            <v>21.23.00213</v>
          </cell>
          <cell r="B50" t="str">
            <v>CONJUNTO SUPORTE DO FLATPANEL \ AA_1601_03</v>
          </cell>
          <cell r="D50" t="str">
            <v>-</v>
          </cell>
          <cell r="E50" t="str">
            <v>-</v>
          </cell>
          <cell r="F50" t="str">
            <v>-</v>
          </cell>
          <cell r="G50" t="str">
            <v>-</v>
          </cell>
          <cell r="H50" t="str">
            <v>-</v>
          </cell>
          <cell r="I50" t="str">
            <v>-</v>
          </cell>
          <cell r="J50">
            <v>0</v>
          </cell>
          <cell r="K50">
            <v>0</v>
          </cell>
          <cell r="L50" t="str">
            <v>FALTA ENTREGA</v>
          </cell>
          <cell r="M50">
            <v>2</v>
          </cell>
          <cell r="N50" t="str">
            <v>OC'S METALFISA</v>
          </cell>
          <cell r="O50" t="str">
            <v>-</v>
          </cell>
          <cell r="Q50" t="str">
            <v>-</v>
          </cell>
          <cell r="S50" t="str">
            <v>-</v>
          </cell>
          <cell r="U50">
            <v>2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2</v>
          </cell>
          <cell r="AA50">
            <v>2</v>
          </cell>
          <cell r="AB50">
            <v>0</v>
          </cell>
          <cell r="AC50">
            <v>0</v>
          </cell>
          <cell r="AD50">
            <v>-2</v>
          </cell>
        </row>
        <row r="51">
          <cell r="A51" t="str">
            <v>21.23.00215</v>
          </cell>
          <cell r="B51" t="str">
            <v>TAMPA FINAL \ AA_1603_02</v>
          </cell>
          <cell r="D51" t="str">
            <v>-</v>
          </cell>
          <cell r="E51" t="str">
            <v>-</v>
          </cell>
          <cell r="F51" t="str">
            <v>-</v>
          </cell>
          <cell r="G51" t="str">
            <v>-</v>
          </cell>
          <cell r="H51" t="str">
            <v>-</v>
          </cell>
          <cell r="I51" t="str">
            <v>-</v>
          </cell>
          <cell r="J51">
            <v>0</v>
          </cell>
          <cell r="K51">
            <v>0</v>
          </cell>
          <cell r="L51" t="str">
            <v>FALTA ENTREGA</v>
          </cell>
          <cell r="M51">
            <v>2</v>
          </cell>
          <cell r="N51" t="str">
            <v>OC'S METALFISA</v>
          </cell>
          <cell r="O51" t="str">
            <v>-</v>
          </cell>
          <cell r="Q51" t="str">
            <v>-</v>
          </cell>
          <cell r="S51" t="str">
            <v>-</v>
          </cell>
          <cell r="U51">
            <v>2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2</v>
          </cell>
          <cell r="AA51">
            <v>2</v>
          </cell>
          <cell r="AB51">
            <v>0</v>
          </cell>
          <cell r="AC51">
            <v>0</v>
          </cell>
          <cell r="AD51">
            <v>-2</v>
          </cell>
        </row>
        <row r="52">
          <cell r="A52" t="str">
            <v>21.23.00221</v>
          </cell>
          <cell r="B52" t="str">
            <v>TAMPA PROTECAO TUBO \ AA_1616_02</v>
          </cell>
          <cell r="C52">
            <v>46074</v>
          </cell>
          <cell r="D52" t="str">
            <v>-</v>
          </cell>
          <cell r="E52" t="str">
            <v>-</v>
          </cell>
          <cell r="F52" t="str">
            <v>-</v>
          </cell>
          <cell r="G52" t="str">
            <v>-</v>
          </cell>
          <cell r="H52" t="str">
            <v>-</v>
          </cell>
          <cell r="I52" t="str">
            <v>-</v>
          </cell>
          <cell r="J52">
            <v>0</v>
          </cell>
          <cell r="K52">
            <v>3</v>
          </cell>
          <cell r="L52" t="str">
            <v>ENTREGA PARCIAL</v>
          </cell>
          <cell r="M52">
            <v>4</v>
          </cell>
          <cell r="N52" t="str">
            <v>OC'S METALFISA</v>
          </cell>
          <cell r="O52" t="str">
            <v>-</v>
          </cell>
          <cell r="Q52" t="str">
            <v>-</v>
          </cell>
          <cell r="S52" t="str">
            <v>-</v>
          </cell>
          <cell r="U52">
            <v>4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4</v>
          </cell>
          <cell r="AA52">
            <v>4</v>
          </cell>
          <cell r="AB52">
            <v>0</v>
          </cell>
          <cell r="AC52">
            <v>3</v>
          </cell>
          <cell r="AD52">
            <v>-1</v>
          </cell>
        </row>
        <row r="53">
          <cell r="A53" t="str">
            <v>21.23.00222</v>
          </cell>
          <cell r="B53" t="str">
            <v>MANCAL \ AA_1617_01</v>
          </cell>
          <cell r="D53" t="str">
            <v>-</v>
          </cell>
          <cell r="E53" t="str">
            <v>-</v>
          </cell>
          <cell r="F53" t="str">
            <v>-</v>
          </cell>
          <cell r="G53" t="str">
            <v>-</v>
          </cell>
          <cell r="H53" t="str">
            <v>-</v>
          </cell>
          <cell r="I53" t="str">
            <v>-</v>
          </cell>
          <cell r="J53">
            <v>0</v>
          </cell>
          <cell r="K53">
            <v>0</v>
          </cell>
          <cell r="L53" t="str">
            <v>FALTA ENTREGA</v>
          </cell>
          <cell r="M53">
            <v>12</v>
          </cell>
          <cell r="N53" t="str">
            <v>OC'S METALFISA</v>
          </cell>
          <cell r="O53" t="str">
            <v>-</v>
          </cell>
          <cell r="Q53" t="str">
            <v>-</v>
          </cell>
          <cell r="S53" t="str">
            <v>-</v>
          </cell>
          <cell r="U53">
            <v>12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12</v>
          </cell>
          <cell r="AA53">
            <v>12</v>
          </cell>
          <cell r="AB53">
            <v>0</v>
          </cell>
          <cell r="AC53">
            <v>0</v>
          </cell>
          <cell r="AD53">
            <v>-12</v>
          </cell>
        </row>
        <row r="54">
          <cell r="A54" t="str">
            <v>21.23.00224</v>
          </cell>
          <cell r="B54" t="str">
            <v>L DO TUBO / AA_1703_04</v>
          </cell>
          <cell r="D54" t="str">
            <v>-</v>
          </cell>
          <cell r="E54">
            <v>1</v>
          </cell>
          <cell r="F54" t="str">
            <v>-</v>
          </cell>
          <cell r="G54" t="str">
            <v>-</v>
          </cell>
          <cell r="H54" t="str">
            <v>-</v>
          </cell>
          <cell r="I54" t="str">
            <v>-</v>
          </cell>
          <cell r="J54">
            <v>1</v>
          </cell>
          <cell r="K54">
            <v>0</v>
          </cell>
          <cell r="L54" t="str">
            <v>FALTA ENTREGA</v>
          </cell>
          <cell r="M54">
            <v>1</v>
          </cell>
          <cell r="N54" t="str">
            <v>OC'S METALFISA</v>
          </cell>
          <cell r="O54" t="str">
            <v>-</v>
          </cell>
          <cell r="Q54" t="str">
            <v>-</v>
          </cell>
          <cell r="S54" t="str">
            <v>-</v>
          </cell>
          <cell r="U54">
            <v>1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2</v>
          </cell>
          <cell r="AA54">
            <v>2</v>
          </cell>
          <cell r="AB54">
            <v>0</v>
          </cell>
          <cell r="AC54">
            <v>0</v>
          </cell>
          <cell r="AD54">
            <v>-2</v>
          </cell>
        </row>
        <row r="55">
          <cell r="A55" t="str">
            <v>21.23.00225</v>
          </cell>
          <cell r="B55" t="str">
            <v>FIXACAO MOTOR TUBO \ AA_1624_01</v>
          </cell>
          <cell r="D55" t="str">
            <v>-</v>
          </cell>
          <cell r="E55" t="str">
            <v>-</v>
          </cell>
          <cell r="F55" t="str">
            <v>-</v>
          </cell>
          <cell r="G55" t="str">
            <v>-</v>
          </cell>
          <cell r="H55" t="str">
            <v>-</v>
          </cell>
          <cell r="I55" t="str">
            <v>-</v>
          </cell>
          <cell r="J55">
            <v>0</v>
          </cell>
          <cell r="K55">
            <v>0</v>
          </cell>
          <cell r="L55" t="str">
            <v>FALTA ENTREGA</v>
          </cell>
          <cell r="M55">
            <v>2</v>
          </cell>
          <cell r="N55" t="str">
            <v>OC'S METALFISA</v>
          </cell>
          <cell r="O55" t="str">
            <v>-</v>
          </cell>
          <cell r="Q55" t="str">
            <v>-</v>
          </cell>
          <cell r="S55" t="str">
            <v>-</v>
          </cell>
          <cell r="U55">
            <v>2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2</v>
          </cell>
          <cell r="AA55">
            <v>2</v>
          </cell>
          <cell r="AB55">
            <v>0</v>
          </cell>
          <cell r="AC55">
            <v>0</v>
          </cell>
          <cell r="AD55">
            <v>-2</v>
          </cell>
        </row>
        <row r="56">
          <cell r="A56" t="str">
            <v>21.23.00226</v>
          </cell>
          <cell r="B56" t="str">
            <v>CONJUNTO MOVIMENTO PAYNEL / AA_1704_06</v>
          </cell>
          <cell r="D56" t="str">
            <v>-</v>
          </cell>
          <cell r="E56" t="str">
            <v>-</v>
          </cell>
          <cell r="F56" t="str">
            <v>-</v>
          </cell>
          <cell r="G56" t="str">
            <v>-</v>
          </cell>
          <cell r="H56" t="str">
            <v>-</v>
          </cell>
          <cell r="I56" t="str">
            <v>-</v>
          </cell>
          <cell r="J56">
            <v>0</v>
          </cell>
          <cell r="K56">
            <v>0</v>
          </cell>
          <cell r="L56" t="str">
            <v>FALTA ENTREGA</v>
          </cell>
          <cell r="M56">
            <v>2</v>
          </cell>
          <cell r="N56" t="str">
            <v>OC'S METALFISA</v>
          </cell>
          <cell r="O56" t="str">
            <v>-</v>
          </cell>
          <cell r="Q56" t="str">
            <v>-</v>
          </cell>
          <cell r="S56" t="str">
            <v>-</v>
          </cell>
          <cell r="U56">
            <v>2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2</v>
          </cell>
          <cell r="AA56">
            <v>2</v>
          </cell>
          <cell r="AB56">
            <v>0</v>
          </cell>
          <cell r="AC56">
            <v>0</v>
          </cell>
          <cell r="AD56">
            <v>-2</v>
          </cell>
        </row>
        <row r="57">
          <cell r="A57" t="str">
            <v>21.23.00233</v>
          </cell>
          <cell r="B57" t="str">
            <v>TUNEL FLATSCAN 2 DV \ AA_1528_01</v>
          </cell>
          <cell r="D57" t="str">
            <v>-</v>
          </cell>
          <cell r="E57" t="str">
            <v>-</v>
          </cell>
          <cell r="F57" t="str">
            <v>-</v>
          </cell>
          <cell r="G57" t="str">
            <v>-</v>
          </cell>
          <cell r="H57" t="str">
            <v>-</v>
          </cell>
          <cell r="I57" t="str">
            <v>-</v>
          </cell>
          <cell r="J57">
            <v>0</v>
          </cell>
          <cell r="K57">
            <v>0</v>
          </cell>
          <cell r="L57" t="str">
            <v>FALTA ENTREGA</v>
          </cell>
          <cell r="M57">
            <v>2</v>
          </cell>
          <cell r="N57" t="str">
            <v>OC'S METALFISA</v>
          </cell>
          <cell r="O57" t="str">
            <v>-</v>
          </cell>
          <cell r="Q57" t="str">
            <v>-</v>
          </cell>
          <cell r="S57" t="str">
            <v>-</v>
          </cell>
          <cell r="U57">
            <v>2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2</v>
          </cell>
          <cell r="AA57">
            <v>2</v>
          </cell>
          <cell r="AB57">
            <v>0</v>
          </cell>
          <cell r="AC57">
            <v>0</v>
          </cell>
          <cell r="AD57">
            <v>-2</v>
          </cell>
        </row>
        <row r="58">
          <cell r="A58" t="str">
            <v>21.23.00235</v>
          </cell>
          <cell r="B58" t="str">
            <v>PERFIL ESTRUTURA / AA_1534_05</v>
          </cell>
          <cell r="D58" t="str">
            <v>-</v>
          </cell>
          <cell r="E58" t="str">
            <v>-</v>
          </cell>
          <cell r="F58" t="str">
            <v>-</v>
          </cell>
          <cell r="G58" t="str">
            <v>-</v>
          </cell>
          <cell r="H58" t="str">
            <v>-</v>
          </cell>
          <cell r="I58" t="str">
            <v>-</v>
          </cell>
          <cell r="J58">
            <v>0</v>
          </cell>
          <cell r="K58">
            <v>0</v>
          </cell>
          <cell r="L58" t="str">
            <v>FALTA ENTREGA</v>
          </cell>
          <cell r="M58">
            <v>6</v>
          </cell>
          <cell r="N58" t="str">
            <v>OC'S METALFISA</v>
          </cell>
          <cell r="O58" t="str">
            <v>-</v>
          </cell>
          <cell r="Q58" t="str">
            <v>-</v>
          </cell>
          <cell r="S58" t="str">
            <v>-</v>
          </cell>
          <cell r="U58">
            <v>6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6</v>
          </cell>
          <cell r="AA58">
            <v>6</v>
          </cell>
          <cell r="AB58">
            <v>0</v>
          </cell>
          <cell r="AC58">
            <v>0</v>
          </cell>
          <cell r="AD58">
            <v>-6</v>
          </cell>
        </row>
        <row r="59">
          <cell r="A59" t="str">
            <v>21.23.00239</v>
          </cell>
          <cell r="B59" t="str">
            <v>FIXACAO LED 02 \ AA_1546_04</v>
          </cell>
          <cell r="D59" t="str">
            <v>-</v>
          </cell>
          <cell r="E59" t="str">
            <v>-</v>
          </cell>
          <cell r="F59" t="str">
            <v>-</v>
          </cell>
          <cell r="G59" t="str">
            <v>-</v>
          </cell>
          <cell r="H59" t="str">
            <v>-</v>
          </cell>
          <cell r="I59" t="str">
            <v>-</v>
          </cell>
          <cell r="J59">
            <v>0</v>
          </cell>
          <cell r="K59">
            <v>1</v>
          </cell>
          <cell r="L59" t="str">
            <v>FALTA ENTREGA</v>
          </cell>
          <cell r="M59">
            <v>3</v>
          </cell>
          <cell r="N59" t="str">
            <v>OC'S METALFISA</v>
          </cell>
          <cell r="O59" t="str">
            <v>-</v>
          </cell>
          <cell r="Q59" t="str">
            <v>-</v>
          </cell>
          <cell r="S59" t="str">
            <v>-</v>
          </cell>
          <cell r="U59">
            <v>3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2</v>
          </cell>
          <cell r="AA59">
            <v>2</v>
          </cell>
          <cell r="AB59">
            <v>0</v>
          </cell>
          <cell r="AC59">
            <v>0</v>
          </cell>
          <cell r="AD59">
            <v>-2</v>
          </cell>
        </row>
        <row r="60">
          <cell r="A60" t="str">
            <v>21.23.00242</v>
          </cell>
          <cell r="B60" t="str">
            <v>FIXACAO DO ACRILICO PAYNEL \ AA_1710_00</v>
          </cell>
          <cell r="D60" t="str">
            <v>-</v>
          </cell>
          <cell r="E60" t="str">
            <v>-</v>
          </cell>
          <cell r="F60" t="str">
            <v>-</v>
          </cell>
          <cell r="G60" t="str">
            <v>-</v>
          </cell>
          <cell r="H60" t="str">
            <v>-</v>
          </cell>
          <cell r="I60" t="str">
            <v>-</v>
          </cell>
          <cell r="J60">
            <v>0</v>
          </cell>
          <cell r="K60" t="e">
            <v>#VALUE!</v>
          </cell>
          <cell r="L60" t="str">
            <v>ENTREGA TOTAL</v>
          </cell>
          <cell r="M60" t="str">
            <v>-</v>
          </cell>
          <cell r="N60" t="str">
            <v>OC'S METALFISA</v>
          </cell>
          <cell r="O60" t="str">
            <v>-</v>
          </cell>
          <cell r="Q60" t="str">
            <v>-</v>
          </cell>
          <cell r="S60" t="str">
            <v>-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4</v>
          </cell>
          <cell r="AA60">
            <v>4</v>
          </cell>
          <cell r="AB60" t="str">
            <v>0</v>
          </cell>
          <cell r="AC60" t="str">
            <v>-</v>
          </cell>
          <cell r="AD60" t="str">
            <v>-</v>
          </cell>
        </row>
        <row r="61">
          <cell r="A61" t="str">
            <v>21.23.00245</v>
          </cell>
          <cell r="B61" t="str">
            <v>CONJUNTO MONTADO COLIMADOR \ AA_1559_03</v>
          </cell>
          <cell r="D61" t="str">
            <v>-</v>
          </cell>
          <cell r="E61" t="str">
            <v>-</v>
          </cell>
          <cell r="F61" t="str">
            <v>-</v>
          </cell>
          <cell r="G61" t="str">
            <v>-</v>
          </cell>
          <cell r="H61" t="str">
            <v>-</v>
          </cell>
          <cell r="I61" t="str">
            <v>-</v>
          </cell>
          <cell r="J61">
            <v>0</v>
          </cell>
          <cell r="K61">
            <v>0</v>
          </cell>
          <cell r="L61" t="str">
            <v>FALTA ENTREGA</v>
          </cell>
          <cell r="M61">
            <v>2</v>
          </cell>
          <cell r="N61" t="str">
            <v>OC'S METALFISA</v>
          </cell>
          <cell r="O61" t="str">
            <v>-</v>
          </cell>
          <cell r="Q61" t="str">
            <v>-</v>
          </cell>
          <cell r="S61" t="str">
            <v>-</v>
          </cell>
          <cell r="U61">
            <v>2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2</v>
          </cell>
          <cell r="AA61">
            <v>2</v>
          </cell>
          <cell r="AB61">
            <v>0</v>
          </cell>
          <cell r="AC61">
            <v>0</v>
          </cell>
          <cell r="AD61">
            <v>-2</v>
          </cell>
        </row>
        <row r="62">
          <cell r="A62" t="str">
            <v>21.23.00250</v>
          </cell>
          <cell r="B62" t="str">
            <v>TAMPA DE PROTECAO TUBO \ AA_1573_01</v>
          </cell>
          <cell r="C62">
            <v>46074</v>
          </cell>
          <cell r="D62" t="str">
            <v>-</v>
          </cell>
          <cell r="E62" t="str">
            <v>-</v>
          </cell>
          <cell r="F62" t="str">
            <v>-</v>
          </cell>
          <cell r="G62" t="str">
            <v>-</v>
          </cell>
          <cell r="H62" t="str">
            <v>-</v>
          </cell>
          <cell r="I62" t="str">
            <v>-</v>
          </cell>
          <cell r="J62">
            <v>0</v>
          </cell>
          <cell r="K62">
            <v>2</v>
          </cell>
          <cell r="L62" t="str">
            <v>ENTREGA PARCIAL</v>
          </cell>
          <cell r="M62">
            <v>3</v>
          </cell>
          <cell r="N62" t="str">
            <v>OC'S METALFISA</v>
          </cell>
          <cell r="O62" t="str">
            <v>-</v>
          </cell>
          <cell r="Q62" t="str">
            <v>-</v>
          </cell>
          <cell r="S62" t="str">
            <v>-</v>
          </cell>
          <cell r="U62">
            <v>3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3</v>
          </cell>
          <cell r="AA62">
            <v>3</v>
          </cell>
          <cell r="AB62">
            <v>0</v>
          </cell>
          <cell r="AC62">
            <v>2</v>
          </cell>
          <cell r="AD62">
            <v>-1</v>
          </cell>
        </row>
        <row r="63">
          <cell r="A63" t="str">
            <v>21.23.00548</v>
          </cell>
          <cell r="B63" t="str">
            <v>ALINHAMENTO DETECTOR 1 \ AA_2731_00</v>
          </cell>
          <cell r="C63">
            <v>46074</v>
          </cell>
          <cell r="D63" t="str">
            <v>-</v>
          </cell>
          <cell r="E63" t="str">
            <v>-</v>
          </cell>
          <cell r="F63" t="str">
            <v>-</v>
          </cell>
          <cell r="G63" t="str">
            <v>-</v>
          </cell>
          <cell r="H63" t="str">
            <v>-</v>
          </cell>
          <cell r="I63" t="str">
            <v>-</v>
          </cell>
          <cell r="J63">
            <v>0</v>
          </cell>
          <cell r="K63">
            <v>37</v>
          </cell>
          <cell r="L63" t="str">
            <v>ENTREGA PARCIAL</v>
          </cell>
          <cell r="M63" t="str">
            <v>-</v>
          </cell>
          <cell r="N63" t="str">
            <v>OC'S METALFISA</v>
          </cell>
          <cell r="O63">
            <v>40</v>
          </cell>
          <cell r="P63" t="str">
            <v>OC'S GRANATO</v>
          </cell>
          <cell r="Q63" t="str">
            <v>-</v>
          </cell>
          <cell r="S63" t="str">
            <v>-</v>
          </cell>
          <cell r="U63">
            <v>40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20</v>
          </cell>
          <cell r="AA63">
            <v>20</v>
          </cell>
          <cell r="AB63">
            <v>0</v>
          </cell>
          <cell r="AC63">
            <v>17</v>
          </cell>
          <cell r="AD63">
            <v>-3</v>
          </cell>
        </row>
        <row r="64">
          <cell r="A64" t="str">
            <v>21.23.00549</v>
          </cell>
          <cell r="B64" t="str">
            <v>ALINHAMENTO DETECTOR 2 / AA_2732_02</v>
          </cell>
          <cell r="C64">
            <v>46074</v>
          </cell>
          <cell r="D64" t="str">
            <v>-</v>
          </cell>
          <cell r="E64" t="str">
            <v>-</v>
          </cell>
          <cell r="F64" t="str">
            <v>-</v>
          </cell>
          <cell r="G64" t="str">
            <v>-</v>
          </cell>
          <cell r="H64" t="str">
            <v>-</v>
          </cell>
          <cell r="I64" t="str">
            <v>-</v>
          </cell>
          <cell r="J64">
            <v>0</v>
          </cell>
          <cell r="K64">
            <v>39</v>
          </cell>
          <cell r="L64" t="str">
            <v>ENTREGA PARCIAL</v>
          </cell>
          <cell r="M64" t="str">
            <v>-</v>
          </cell>
          <cell r="N64" t="str">
            <v>OC'S METALFISA</v>
          </cell>
          <cell r="O64">
            <v>40</v>
          </cell>
          <cell r="P64" t="str">
            <v>OC'S GRANATO</v>
          </cell>
          <cell r="Q64" t="str">
            <v>-</v>
          </cell>
          <cell r="S64" t="str">
            <v>-</v>
          </cell>
          <cell r="U64">
            <v>40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20</v>
          </cell>
          <cell r="AA64">
            <v>20</v>
          </cell>
          <cell r="AB64">
            <v>0</v>
          </cell>
          <cell r="AC64">
            <v>19</v>
          </cell>
          <cell r="AD64">
            <v>-1</v>
          </cell>
        </row>
        <row r="65">
          <cell r="A65" t="str">
            <v>21.23.00797</v>
          </cell>
          <cell r="B65" t="str">
            <v>CHAPA ESP. 1,2MM</v>
          </cell>
          <cell r="D65" t="str">
            <v>-</v>
          </cell>
          <cell r="E65" t="str">
            <v>-</v>
          </cell>
          <cell r="F65" t="str">
            <v>-</v>
          </cell>
          <cell r="G65" t="str">
            <v>-</v>
          </cell>
          <cell r="H65" t="str">
            <v>-</v>
          </cell>
          <cell r="I65" t="str">
            <v>-</v>
          </cell>
          <cell r="J65">
            <v>0</v>
          </cell>
          <cell r="K65">
            <v>-10</v>
          </cell>
          <cell r="L65" t="str">
            <v>FALTA ENTREGA</v>
          </cell>
          <cell r="M65" t="str">
            <v>-</v>
          </cell>
          <cell r="N65" t="str">
            <v>OC'S METALFISA</v>
          </cell>
          <cell r="O65" t="str">
            <v>-</v>
          </cell>
          <cell r="Q65" t="str">
            <v>-</v>
          </cell>
          <cell r="S65" t="str">
            <v>-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10</v>
          </cell>
          <cell r="AA65">
            <v>10</v>
          </cell>
          <cell r="AB65">
            <v>0</v>
          </cell>
          <cell r="AC65">
            <v>0</v>
          </cell>
          <cell r="AD65">
            <v>-10</v>
          </cell>
        </row>
        <row r="66">
          <cell r="A66" t="str">
            <v>21.23.00799</v>
          </cell>
          <cell r="B66" t="str">
            <v>CHAPA ESP. 2,65MM</v>
          </cell>
          <cell r="D66" t="str">
            <v>-</v>
          </cell>
          <cell r="E66" t="str">
            <v>-</v>
          </cell>
          <cell r="F66" t="str">
            <v>-</v>
          </cell>
          <cell r="G66" t="str">
            <v>-</v>
          </cell>
          <cell r="H66" t="str">
            <v>-</v>
          </cell>
          <cell r="I66" t="str">
            <v>-</v>
          </cell>
          <cell r="J66">
            <v>0</v>
          </cell>
          <cell r="K66">
            <v>-10</v>
          </cell>
          <cell r="L66" t="str">
            <v>FALTA ENTREGA</v>
          </cell>
          <cell r="M66" t="str">
            <v>-</v>
          </cell>
          <cell r="N66" t="str">
            <v>OC'S METALFISA</v>
          </cell>
          <cell r="O66" t="str">
            <v>-</v>
          </cell>
          <cell r="Q66" t="str">
            <v>-</v>
          </cell>
          <cell r="S66" t="str">
            <v>-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10</v>
          </cell>
          <cell r="AA66">
            <v>10</v>
          </cell>
          <cell r="AB66">
            <v>0</v>
          </cell>
          <cell r="AC66">
            <v>0</v>
          </cell>
          <cell r="AD66">
            <v>-10</v>
          </cell>
        </row>
        <row r="67">
          <cell r="A67" t="str">
            <v>21.23.00800</v>
          </cell>
          <cell r="B67" t="str">
            <v>CHAPA ESP. 4,75MM</v>
          </cell>
          <cell r="D67" t="str">
            <v>-</v>
          </cell>
          <cell r="E67" t="str">
            <v>-</v>
          </cell>
          <cell r="F67" t="str">
            <v>-</v>
          </cell>
          <cell r="G67" t="str">
            <v>-</v>
          </cell>
          <cell r="H67" t="str">
            <v>-</v>
          </cell>
          <cell r="I67" t="str">
            <v>-</v>
          </cell>
          <cell r="J67">
            <v>0</v>
          </cell>
          <cell r="K67">
            <v>-6</v>
          </cell>
          <cell r="L67" t="str">
            <v>FALTA ENTREGA</v>
          </cell>
          <cell r="M67" t="str">
            <v>-</v>
          </cell>
          <cell r="N67" t="str">
            <v>OC'S METALFISA</v>
          </cell>
          <cell r="O67" t="str">
            <v>-</v>
          </cell>
          <cell r="Q67" t="str">
            <v>-</v>
          </cell>
          <cell r="S67" t="str">
            <v>-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>
            <v>6</v>
          </cell>
          <cell r="AB67">
            <v>0</v>
          </cell>
          <cell r="AC67">
            <v>0</v>
          </cell>
          <cell r="AD67">
            <v>-6</v>
          </cell>
        </row>
        <row r="68">
          <cell r="A68" t="str">
            <v>21.23.00801</v>
          </cell>
          <cell r="B68" t="str">
            <v>CHAPA ESP. 9,52MM</v>
          </cell>
          <cell r="D68" t="str">
            <v>-</v>
          </cell>
          <cell r="E68" t="str">
            <v>-</v>
          </cell>
          <cell r="F68" t="str">
            <v>-</v>
          </cell>
          <cell r="G68" t="str">
            <v>-</v>
          </cell>
          <cell r="H68" t="str">
            <v>-</v>
          </cell>
          <cell r="I68" t="str">
            <v>-</v>
          </cell>
          <cell r="J68">
            <v>0</v>
          </cell>
          <cell r="K68">
            <v>-18</v>
          </cell>
          <cell r="L68" t="str">
            <v>FALTA ENTREGA</v>
          </cell>
          <cell r="M68" t="str">
            <v>-</v>
          </cell>
          <cell r="N68" t="str">
            <v>OC'S METALFISA</v>
          </cell>
          <cell r="O68" t="str">
            <v>-</v>
          </cell>
          <cell r="Q68" t="str">
            <v>-</v>
          </cell>
          <cell r="S68" t="str">
            <v>-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18</v>
          </cell>
          <cell r="AA68">
            <v>18</v>
          </cell>
          <cell r="AB68">
            <v>0</v>
          </cell>
          <cell r="AC68">
            <v>0</v>
          </cell>
          <cell r="AD68">
            <v>-18</v>
          </cell>
        </row>
        <row r="69">
          <cell r="A69" t="str">
            <v>21.23.00803</v>
          </cell>
          <cell r="B69" t="str">
            <v>BASE GIRATORIA DO PHANTON ESQ \ AA_2965_00</v>
          </cell>
          <cell r="D69" t="str">
            <v>-</v>
          </cell>
          <cell r="E69" t="str">
            <v>-</v>
          </cell>
          <cell r="F69" t="str">
            <v>-</v>
          </cell>
          <cell r="G69" t="str">
            <v>-</v>
          </cell>
          <cell r="H69" t="str">
            <v>-</v>
          </cell>
          <cell r="I69" t="str">
            <v>-</v>
          </cell>
          <cell r="J69">
            <v>0</v>
          </cell>
          <cell r="K69">
            <v>-4</v>
          </cell>
          <cell r="L69" t="str">
            <v>FALTA ENTREGA</v>
          </cell>
          <cell r="M69" t="str">
            <v>-</v>
          </cell>
          <cell r="N69" t="str">
            <v>OC'S METALFISA</v>
          </cell>
          <cell r="O69" t="str">
            <v>-</v>
          </cell>
          <cell r="Q69" t="str">
            <v>-</v>
          </cell>
          <cell r="S69" t="str">
            <v>-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4</v>
          </cell>
          <cell r="AA69">
            <v>4</v>
          </cell>
          <cell r="AB69">
            <v>0</v>
          </cell>
          <cell r="AC69">
            <v>0</v>
          </cell>
          <cell r="AD69">
            <v>-4</v>
          </cell>
        </row>
        <row r="70">
          <cell r="A70" t="str">
            <v>21.23.00875</v>
          </cell>
          <cell r="B70" t="str">
            <v>PE DA MESA \ AA_3070_02</v>
          </cell>
          <cell r="D70" t="str">
            <v>-</v>
          </cell>
          <cell r="E70" t="str">
            <v>-</v>
          </cell>
          <cell r="F70" t="str">
            <v>-</v>
          </cell>
          <cell r="G70" t="str">
            <v>-</v>
          </cell>
          <cell r="H70" t="str">
            <v>-</v>
          </cell>
          <cell r="I70" t="str">
            <v>-</v>
          </cell>
          <cell r="J70">
            <v>0</v>
          </cell>
          <cell r="K70">
            <v>178</v>
          </cell>
          <cell r="L70" t="str">
            <v>FALTA ENTREGA</v>
          </cell>
          <cell r="M70">
            <v>200</v>
          </cell>
          <cell r="N70" t="str">
            <v>OC'S METALFISA</v>
          </cell>
          <cell r="O70" t="str">
            <v>-</v>
          </cell>
          <cell r="Q70" t="str">
            <v>-</v>
          </cell>
          <cell r="S70" t="str">
            <v>-</v>
          </cell>
          <cell r="U70">
            <v>200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22</v>
          </cell>
          <cell r="AA70">
            <v>22</v>
          </cell>
          <cell r="AB70">
            <v>0</v>
          </cell>
          <cell r="AC70">
            <v>0</v>
          </cell>
          <cell r="AD70">
            <v>-22</v>
          </cell>
        </row>
        <row r="71">
          <cell r="A71" t="str">
            <v>21.23.00876</v>
          </cell>
          <cell r="B71" t="str">
            <v>UNIAO DAS PERNAS \ AA_3073_01</v>
          </cell>
          <cell r="C71">
            <v>46072</v>
          </cell>
          <cell r="D71" t="str">
            <v>-</v>
          </cell>
          <cell r="E71" t="str">
            <v>-</v>
          </cell>
          <cell r="F71" t="str">
            <v>-</v>
          </cell>
          <cell r="G71" t="str">
            <v>-</v>
          </cell>
          <cell r="H71" t="str">
            <v>-</v>
          </cell>
          <cell r="I71">
            <v>8</v>
          </cell>
          <cell r="J71">
            <v>8</v>
          </cell>
          <cell r="K71">
            <v>581</v>
          </cell>
          <cell r="L71" t="str">
            <v>ENTREGA TOTAL</v>
          </cell>
          <cell r="M71" t="str">
            <v>-</v>
          </cell>
          <cell r="N71" t="str">
            <v>OC'S METALFISA</v>
          </cell>
          <cell r="O71" t="str">
            <v>-</v>
          </cell>
          <cell r="Q71">
            <v>12</v>
          </cell>
          <cell r="S71">
            <v>320</v>
          </cell>
          <cell r="T71" t="str">
            <v>OC'S MAPHE</v>
          </cell>
          <cell r="U71">
            <v>332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79</v>
          </cell>
          <cell r="AA71">
            <v>79</v>
          </cell>
          <cell r="AB71">
            <v>0</v>
          </cell>
          <cell r="AC71">
            <v>320</v>
          </cell>
          <cell r="AD71">
            <v>241</v>
          </cell>
        </row>
        <row r="72">
          <cell r="A72" t="str">
            <v>21.23.00879</v>
          </cell>
          <cell r="B72" t="str">
            <v>TRAVA DA ESTRUTURA \ AA_3078_01</v>
          </cell>
          <cell r="D72" t="str">
            <v>-</v>
          </cell>
          <cell r="E72" t="str">
            <v>-</v>
          </cell>
          <cell r="F72" t="str">
            <v>-</v>
          </cell>
          <cell r="G72" t="str">
            <v>-</v>
          </cell>
          <cell r="H72" t="str">
            <v>-</v>
          </cell>
          <cell r="I72" t="str">
            <v>-</v>
          </cell>
          <cell r="J72">
            <v>0</v>
          </cell>
          <cell r="K72">
            <v>184</v>
          </cell>
          <cell r="L72" t="str">
            <v>FALTA ENTREGA</v>
          </cell>
          <cell r="M72">
            <v>201</v>
          </cell>
          <cell r="N72" t="str">
            <v>OC'S METALFISA</v>
          </cell>
          <cell r="O72" t="str">
            <v>-</v>
          </cell>
          <cell r="Q72" t="str">
            <v>-</v>
          </cell>
          <cell r="S72" t="str">
            <v>-</v>
          </cell>
          <cell r="U72">
            <v>201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17</v>
          </cell>
          <cell r="AA72">
            <v>17</v>
          </cell>
          <cell r="AB72">
            <v>0</v>
          </cell>
          <cell r="AC72">
            <v>0</v>
          </cell>
          <cell r="AD72">
            <v>-17</v>
          </cell>
        </row>
        <row r="73">
          <cell r="A73" t="str">
            <v>21.23.00883</v>
          </cell>
          <cell r="B73" t="str">
            <v>LIGACAO DAS MESAS.2 \ AA_3084_02</v>
          </cell>
          <cell r="D73" t="str">
            <v>-</v>
          </cell>
          <cell r="E73" t="str">
            <v>-</v>
          </cell>
          <cell r="F73" t="str">
            <v>-</v>
          </cell>
          <cell r="G73" t="str">
            <v>-</v>
          </cell>
          <cell r="H73" t="str">
            <v>-</v>
          </cell>
          <cell r="I73" t="str">
            <v>-</v>
          </cell>
          <cell r="J73">
            <v>0</v>
          </cell>
          <cell r="K73">
            <v>61</v>
          </cell>
          <cell r="L73" t="str">
            <v>FALTA ENTREGA</v>
          </cell>
          <cell r="M73" t="str">
            <v>-</v>
          </cell>
          <cell r="N73" t="str">
            <v>OC'S METALFISA</v>
          </cell>
          <cell r="O73">
            <v>120</v>
          </cell>
          <cell r="P73" t="str">
            <v>OC'S GRANATO</v>
          </cell>
          <cell r="Q73" t="str">
            <v>-</v>
          </cell>
          <cell r="S73" t="str">
            <v>-</v>
          </cell>
          <cell r="U73">
            <v>120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59</v>
          </cell>
          <cell r="AA73">
            <v>59</v>
          </cell>
          <cell r="AB73">
            <v>0</v>
          </cell>
          <cell r="AC73">
            <v>0</v>
          </cell>
          <cell r="AD73">
            <v>-59</v>
          </cell>
        </row>
        <row r="74">
          <cell r="A74" t="str">
            <v>21.23.00885</v>
          </cell>
          <cell r="B74" t="str">
            <v>BASE / AA_5006_04</v>
          </cell>
          <cell r="C74">
            <v>46066</v>
          </cell>
          <cell r="D74" t="str">
            <v>-</v>
          </cell>
          <cell r="E74" t="str">
            <v>-</v>
          </cell>
          <cell r="F74" t="str">
            <v>-</v>
          </cell>
          <cell r="G74" t="str">
            <v>-</v>
          </cell>
          <cell r="H74" t="str">
            <v>-</v>
          </cell>
          <cell r="I74" t="str">
            <v>-</v>
          </cell>
          <cell r="J74">
            <v>0</v>
          </cell>
          <cell r="K74">
            <v>6</v>
          </cell>
          <cell r="L74" t="str">
            <v>ENTREGA TOTAL</v>
          </cell>
          <cell r="M74" t="str">
            <v>-</v>
          </cell>
          <cell r="N74" t="str">
            <v>OC'S METALFISA</v>
          </cell>
          <cell r="O74" t="str">
            <v>-</v>
          </cell>
          <cell r="Q74">
            <v>6</v>
          </cell>
          <cell r="S74" t="str">
            <v>-</v>
          </cell>
          <cell r="U74">
            <v>6</v>
          </cell>
          <cell r="V74">
            <v>0</v>
          </cell>
          <cell r="W74">
            <v>0</v>
          </cell>
          <cell r="X74">
            <v>0</v>
          </cell>
          <cell r="Y74">
            <v>6</v>
          </cell>
          <cell r="Z74">
            <v>0</v>
          </cell>
          <cell r="AA74">
            <v>6</v>
          </cell>
          <cell r="AB74">
            <v>0</v>
          </cell>
          <cell r="AC74">
            <v>6</v>
          </cell>
          <cell r="AD74">
            <v>0</v>
          </cell>
        </row>
        <row r="75">
          <cell r="A75" t="str">
            <v>21.23.00886</v>
          </cell>
          <cell r="B75" t="str">
            <v>COLUNA ESTRUTURA / AA_5009_03 / 21.23.00886</v>
          </cell>
          <cell r="C75">
            <v>46074</v>
          </cell>
          <cell r="D75" t="str">
            <v>-</v>
          </cell>
          <cell r="E75" t="str">
            <v>-</v>
          </cell>
          <cell r="F75" t="str">
            <v>-</v>
          </cell>
          <cell r="G75" t="str">
            <v>-</v>
          </cell>
          <cell r="H75" t="str">
            <v>-</v>
          </cell>
          <cell r="I75" t="str">
            <v>-</v>
          </cell>
          <cell r="J75">
            <v>0</v>
          </cell>
          <cell r="K75">
            <v>20</v>
          </cell>
          <cell r="L75" t="str">
            <v>ENTREGA TOTAL</v>
          </cell>
          <cell r="M75" t="str">
            <v>-</v>
          </cell>
          <cell r="N75" t="str">
            <v>OC'S METALFISA</v>
          </cell>
          <cell r="O75" t="str">
            <v>-</v>
          </cell>
          <cell r="Q75">
            <v>20</v>
          </cell>
          <cell r="S75" t="str">
            <v>-</v>
          </cell>
          <cell r="U75">
            <v>20</v>
          </cell>
          <cell r="V75">
            <v>0</v>
          </cell>
          <cell r="W75">
            <v>0</v>
          </cell>
          <cell r="X75">
            <v>0</v>
          </cell>
          <cell r="Y75">
            <v>20</v>
          </cell>
          <cell r="Z75">
            <v>0</v>
          </cell>
          <cell r="AA75">
            <v>20</v>
          </cell>
          <cell r="AB75">
            <v>0</v>
          </cell>
          <cell r="AC75">
            <v>20</v>
          </cell>
          <cell r="AD75">
            <v>0</v>
          </cell>
        </row>
        <row r="76">
          <cell r="A76" t="str">
            <v>21.23.00887</v>
          </cell>
          <cell r="B76" t="str">
            <v>APOIO ESTEIRA / AA_5012_03 / 21.23.00887</v>
          </cell>
          <cell r="C76">
            <v>46074</v>
          </cell>
          <cell r="D76" t="str">
            <v>-</v>
          </cell>
          <cell r="E76" t="str">
            <v>-</v>
          </cell>
          <cell r="F76" t="str">
            <v>-</v>
          </cell>
          <cell r="G76" t="str">
            <v>-</v>
          </cell>
          <cell r="H76" t="str">
            <v>-</v>
          </cell>
          <cell r="I76" t="str">
            <v>-</v>
          </cell>
          <cell r="J76">
            <v>0</v>
          </cell>
          <cell r="K76">
            <v>11</v>
          </cell>
          <cell r="L76" t="str">
            <v>ENTREGA PARCIAL</v>
          </cell>
          <cell r="M76" t="str">
            <v>-</v>
          </cell>
          <cell r="N76" t="str">
            <v>OC'S METALFISA</v>
          </cell>
          <cell r="O76" t="str">
            <v>-</v>
          </cell>
          <cell r="Q76">
            <v>15</v>
          </cell>
          <cell r="S76" t="str">
            <v>-</v>
          </cell>
          <cell r="U76">
            <v>15</v>
          </cell>
          <cell r="V76">
            <v>4</v>
          </cell>
          <cell r="W76">
            <v>0</v>
          </cell>
          <cell r="X76">
            <v>0</v>
          </cell>
          <cell r="Y76">
            <v>10</v>
          </cell>
          <cell r="Z76">
            <v>0</v>
          </cell>
          <cell r="AA76">
            <v>14</v>
          </cell>
          <cell r="AB76">
            <v>0</v>
          </cell>
          <cell r="AC76">
            <v>10</v>
          </cell>
          <cell r="AD76">
            <v>-4</v>
          </cell>
        </row>
        <row r="77">
          <cell r="A77" t="str">
            <v>21.23.00888</v>
          </cell>
          <cell r="B77" t="str">
            <v>APOIO ABERTO ESTEIRA \ AA_5015_04 / 21.23.00888</v>
          </cell>
          <cell r="C77">
            <v>46066</v>
          </cell>
          <cell r="D77" t="str">
            <v>-</v>
          </cell>
          <cell r="E77" t="str">
            <v>-</v>
          </cell>
          <cell r="F77" t="str">
            <v>-</v>
          </cell>
          <cell r="G77" t="str">
            <v>-</v>
          </cell>
          <cell r="H77" t="str">
            <v>-</v>
          </cell>
          <cell r="I77" t="str">
            <v>-</v>
          </cell>
          <cell r="J77">
            <v>0</v>
          </cell>
          <cell r="K77">
            <v>5</v>
          </cell>
          <cell r="L77" t="str">
            <v>ENTREGA TOTAL</v>
          </cell>
          <cell r="M77" t="str">
            <v>-</v>
          </cell>
          <cell r="N77" t="str">
            <v>OC'S METALFISA</v>
          </cell>
          <cell r="O77" t="str">
            <v>-</v>
          </cell>
          <cell r="Q77">
            <v>5</v>
          </cell>
          <cell r="S77" t="str">
            <v>-</v>
          </cell>
          <cell r="U77">
            <v>5</v>
          </cell>
          <cell r="V77">
            <v>0</v>
          </cell>
          <cell r="W77">
            <v>0</v>
          </cell>
          <cell r="X77">
            <v>0</v>
          </cell>
          <cell r="Y77">
            <v>5</v>
          </cell>
          <cell r="Z77">
            <v>0</v>
          </cell>
          <cell r="AA77">
            <v>5</v>
          </cell>
          <cell r="AB77">
            <v>0</v>
          </cell>
          <cell r="AC77">
            <v>5</v>
          </cell>
          <cell r="AD77">
            <v>0</v>
          </cell>
        </row>
        <row r="78">
          <cell r="A78" t="str">
            <v>21.23.00890</v>
          </cell>
          <cell r="B78" t="str">
            <v>TRAVESSA PASSA CABOS \ AA_5018_00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  <cell r="I78" t="str">
            <v>-</v>
          </cell>
          <cell r="J78">
            <v>0</v>
          </cell>
          <cell r="K78">
            <v>9</v>
          </cell>
          <cell r="L78" t="str">
            <v>ENTREGA TOTAL</v>
          </cell>
          <cell r="M78" t="str">
            <v>-</v>
          </cell>
          <cell r="N78" t="str">
            <v>OC'S METALFISA</v>
          </cell>
          <cell r="O78" t="str">
            <v>-</v>
          </cell>
          <cell r="Q78">
            <v>9</v>
          </cell>
          <cell r="S78" t="str">
            <v>-</v>
          </cell>
          <cell r="U78">
            <v>9</v>
          </cell>
          <cell r="V78">
            <v>0</v>
          </cell>
          <cell r="W78">
            <v>0</v>
          </cell>
          <cell r="X78">
            <v>0</v>
          </cell>
          <cell r="Y78">
            <v>9</v>
          </cell>
          <cell r="Z78">
            <v>0</v>
          </cell>
          <cell r="AA78">
            <v>9</v>
          </cell>
          <cell r="AB78">
            <v>0</v>
          </cell>
          <cell r="AC78">
            <v>9</v>
          </cell>
          <cell r="AD78">
            <v>0</v>
          </cell>
        </row>
        <row r="79">
          <cell r="A79" t="str">
            <v>21.23.00892</v>
          </cell>
          <cell r="B79" t="str">
            <v>FECHAMENTO TUNEL \ AA_5022_01</v>
          </cell>
          <cell r="D79" t="str">
            <v>-</v>
          </cell>
          <cell r="E79" t="str">
            <v>-</v>
          </cell>
          <cell r="F79" t="str">
            <v>-</v>
          </cell>
          <cell r="G79" t="str">
            <v>-</v>
          </cell>
          <cell r="H79" t="str">
            <v>-</v>
          </cell>
          <cell r="I79" t="str">
            <v>-</v>
          </cell>
          <cell r="J79">
            <v>0</v>
          </cell>
          <cell r="K79">
            <v>-2</v>
          </cell>
          <cell r="L79" t="str">
            <v>FALTA ENTREGA</v>
          </cell>
          <cell r="M79" t="str">
            <v>-</v>
          </cell>
          <cell r="N79" t="str">
            <v>OC'S METALFISA</v>
          </cell>
          <cell r="O79" t="str">
            <v>-</v>
          </cell>
          <cell r="Q79" t="str">
            <v>-</v>
          </cell>
          <cell r="S79" t="str">
            <v>-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2</v>
          </cell>
          <cell r="Z79">
            <v>0</v>
          </cell>
          <cell r="AA79">
            <v>2</v>
          </cell>
          <cell r="AB79">
            <v>0</v>
          </cell>
          <cell r="AC79">
            <v>0</v>
          </cell>
          <cell r="AD79">
            <v>-2</v>
          </cell>
        </row>
        <row r="80">
          <cell r="A80" t="str">
            <v>21.23.00894</v>
          </cell>
          <cell r="B80" t="str">
            <v>MONTAGEM BLINDAGEM APOIO ABERTO ESTEIRA \ AA_5025_00</v>
          </cell>
          <cell r="D80" t="str">
            <v>-</v>
          </cell>
          <cell r="E80" t="str">
            <v>-</v>
          </cell>
          <cell r="F80" t="str">
            <v>-</v>
          </cell>
          <cell r="G80" t="str">
            <v>-</v>
          </cell>
          <cell r="H80" t="str">
            <v>-</v>
          </cell>
          <cell r="I80" t="str">
            <v>-</v>
          </cell>
          <cell r="J80">
            <v>0</v>
          </cell>
          <cell r="K80">
            <v>0</v>
          </cell>
          <cell r="L80" t="str">
            <v>FALTA ENTREGA</v>
          </cell>
          <cell r="M80" t="str">
            <v>-</v>
          </cell>
          <cell r="N80" t="str">
            <v>OC'S METALFISA</v>
          </cell>
          <cell r="O80" t="str">
            <v>-</v>
          </cell>
          <cell r="Q80">
            <v>3</v>
          </cell>
          <cell r="S80" t="str">
            <v>-</v>
          </cell>
          <cell r="U80">
            <v>3</v>
          </cell>
          <cell r="V80">
            <v>0</v>
          </cell>
          <cell r="W80">
            <v>0</v>
          </cell>
          <cell r="X80">
            <v>0</v>
          </cell>
          <cell r="Y80">
            <v>3</v>
          </cell>
          <cell r="Z80">
            <v>0</v>
          </cell>
          <cell r="AA80">
            <v>3</v>
          </cell>
          <cell r="AB80">
            <v>0</v>
          </cell>
          <cell r="AC80">
            <v>0</v>
          </cell>
          <cell r="AD80">
            <v>-3</v>
          </cell>
        </row>
        <row r="81">
          <cell r="A81" t="str">
            <v>21.23.00896</v>
          </cell>
          <cell r="B81" t="str">
            <v>ESTEIRA / AA_5038_04 / 21.23.00896</v>
          </cell>
          <cell r="D81" t="str">
            <v>-</v>
          </cell>
          <cell r="E81" t="str">
            <v>-</v>
          </cell>
          <cell r="F81" t="str">
            <v>-</v>
          </cell>
          <cell r="G81" t="str">
            <v>-</v>
          </cell>
          <cell r="H81" t="str">
            <v>-</v>
          </cell>
          <cell r="I81" t="str">
            <v>-</v>
          </cell>
          <cell r="J81">
            <v>0</v>
          </cell>
          <cell r="K81">
            <v>0</v>
          </cell>
          <cell r="L81" t="str">
            <v>FALTA ENTREGA</v>
          </cell>
          <cell r="M81" t="str">
            <v>-</v>
          </cell>
          <cell r="N81" t="str">
            <v>OC'S METALFISA</v>
          </cell>
          <cell r="O81">
            <v>5</v>
          </cell>
          <cell r="P81" t="str">
            <v>OC'S GRANATO</v>
          </cell>
          <cell r="Q81" t="str">
            <v>-</v>
          </cell>
          <cell r="S81" t="str">
            <v>-</v>
          </cell>
          <cell r="U81">
            <v>5</v>
          </cell>
          <cell r="V81">
            <v>0</v>
          </cell>
          <cell r="W81">
            <v>0</v>
          </cell>
          <cell r="X81">
            <v>0</v>
          </cell>
          <cell r="Y81">
            <v>5</v>
          </cell>
          <cell r="Z81">
            <v>0</v>
          </cell>
          <cell r="AA81">
            <v>5</v>
          </cell>
          <cell r="AB81">
            <v>0</v>
          </cell>
          <cell r="AC81">
            <v>0</v>
          </cell>
          <cell r="AD81">
            <v>-5</v>
          </cell>
        </row>
        <row r="82">
          <cell r="A82" t="str">
            <v>21.23.00897</v>
          </cell>
          <cell r="B82" t="str">
            <v>MONTAGEM APOIO COLIMADOR SECUNDARIO \ AA_5042_00</v>
          </cell>
          <cell r="D82" t="str">
            <v>-</v>
          </cell>
          <cell r="E82" t="str">
            <v>-</v>
          </cell>
          <cell r="F82" t="str">
            <v>-</v>
          </cell>
          <cell r="G82" t="str">
            <v>-</v>
          </cell>
          <cell r="H82" t="str">
            <v>-</v>
          </cell>
          <cell r="I82" t="str">
            <v>-</v>
          </cell>
          <cell r="J82">
            <v>0</v>
          </cell>
          <cell r="K82">
            <v>10</v>
          </cell>
          <cell r="L82" t="str">
            <v>ENTREGA TOTAL</v>
          </cell>
          <cell r="M82" t="str">
            <v>-</v>
          </cell>
          <cell r="N82" t="str">
            <v>OC'S METALFISA</v>
          </cell>
          <cell r="O82" t="str">
            <v>-</v>
          </cell>
          <cell r="Q82">
            <v>10</v>
          </cell>
          <cell r="S82" t="str">
            <v>-</v>
          </cell>
          <cell r="U82">
            <v>10</v>
          </cell>
          <cell r="V82">
            <v>0</v>
          </cell>
          <cell r="W82">
            <v>0</v>
          </cell>
          <cell r="X82">
            <v>0</v>
          </cell>
          <cell r="Y82">
            <v>10</v>
          </cell>
          <cell r="Z82">
            <v>0</v>
          </cell>
          <cell r="AA82">
            <v>10</v>
          </cell>
          <cell r="AB82">
            <v>0</v>
          </cell>
          <cell r="AC82">
            <v>10</v>
          </cell>
          <cell r="AD82">
            <v>0</v>
          </cell>
        </row>
        <row r="83">
          <cell r="A83" t="str">
            <v>21.23.00898</v>
          </cell>
          <cell r="B83" t="str">
            <v>MONTAGEM CHAPA FIXACAO GERADOR \ AA_5045_02</v>
          </cell>
          <cell r="D83" t="str">
            <v>-</v>
          </cell>
          <cell r="E83" t="str">
            <v>-</v>
          </cell>
          <cell r="F83" t="str">
            <v>-</v>
          </cell>
          <cell r="G83" t="str">
            <v>-</v>
          </cell>
          <cell r="H83" t="str">
            <v>-</v>
          </cell>
          <cell r="I83" t="str">
            <v>-</v>
          </cell>
          <cell r="J83">
            <v>0</v>
          </cell>
          <cell r="K83">
            <v>5</v>
          </cell>
          <cell r="L83" t="str">
            <v>ENTREGA TOTAL</v>
          </cell>
          <cell r="M83" t="str">
            <v>-</v>
          </cell>
          <cell r="N83" t="str">
            <v>OC'S METALFISA</v>
          </cell>
          <cell r="O83" t="str">
            <v>-</v>
          </cell>
          <cell r="Q83">
            <v>5</v>
          </cell>
          <cell r="S83" t="str">
            <v>-</v>
          </cell>
          <cell r="U83">
            <v>5</v>
          </cell>
          <cell r="V83">
            <v>0</v>
          </cell>
          <cell r="W83">
            <v>0</v>
          </cell>
          <cell r="X83">
            <v>0</v>
          </cell>
          <cell r="Y83">
            <v>5</v>
          </cell>
          <cell r="Z83">
            <v>0</v>
          </cell>
          <cell r="AA83">
            <v>5</v>
          </cell>
          <cell r="AB83">
            <v>0</v>
          </cell>
          <cell r="AC83">
            <v>5</v>
          </cell>
          <cell r="AD83">
            <v>0</v>
          </cell>
        </row>
        <row r="84">
          <cell r="A84" t="str">
            <v>21.23.00912</v>
          </cell>
          <cell r="B84" t="str">
            <v>SUPORTE TUBO SAXG1712A/ 1501A \ AA_5069_00</v>
          </cell>
          <cell r="D84" t="str">
            <v>-</v>
          </cell>
          <cell r="E84" t="str">
            <v>-</v>
          </cell>
          <cell r="F84" t="str">
            <v>-</v>
          </cell>
          <cell r="G84" t="str">
            <v>-</v>
          </cell>
          <cell r="H84" t="str">
            <v>-</v>
          </cell>
          <cell r="I84" t="str">
            <v>-</v>
          </cell>
          <cell r="J84">
            <v>0</v>
          </cell>
          <cell r="K84">
            <v>-4</v>
          </cell>
          <cell r="L84" t="str">
            <v>FALTA ENTREGA</v>
          </cell>
          <cell r="M84" t="str">
            <v>-</v>
          </cell>
          <cell r="N84" t="str">
            <v>OC'S METALFISA</v>
          </cell>
          <cell r="O84" t="str">
            <v>-</v>
          </cell>
          <cell r="Q84" t="str">
            <v>-</v>
          </cell>
          <cell r="S84" t="str">
            <v>-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4</v>
          </cell>
          <cell r="Z84">
            <v>0</v>
          </cell>
          <cell r="AA84">
            <v>4</v>
          </cell>
          <cell r="AB84">
            <v>0</v>
          </cell>
          <cell r="AC84">
            <v>0</v>
          </cell>
          <cell r="AD84">
            <v>-4</v>
          </cell>
        </row>
        <row r="85">
          <cell r="A85" t="str">
            <v>21.23.00919</v>
          </cell>
          <cell r="B85" t="str">
            <v>MONTAGEM GANCHO SUPORTE TUBO RX \ AA_5095_00</v>
          </cell>
          <cell r="D85" t="str">
            <v>-</v>
          </cell>
          <cell r="E85" t="str">
            <v>-</v>
          </cell>
          <cell r="F85" t="str">
            <v>-</v>
          </cell>
          <cell r="G85" t="str">
            <v>-</v>
          </cell>
          <cell r="H85" t="str">
            <v>-</v>
          </cell>
          <cell r="I85" t="str">
            <v>-</v>
          </cell>
          <cell r="J85">
            <v>0</v>
          </cell>
          <cell r="K85">
            <v>-1</v>
          </cell>
          <cell r="L85" t="str">
            <v>FALTA ENTREGA</v>
          </cell>
          <cell r="M85" t="str">
            <v>-</v>
          </cell>
          <cell r="N85" t="str">
            <v>OC'S METALFISA</v>
          </cell>
          <cell r="O85" t="str">
            <v>-</v>
          </cell>
          <cell r="Q85" t="str">
            <v>-</v>
          </cell>
          <cell r="S85" t="str">
            <v>-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1</v>
          </cell>
          <cell r="AA85">
            <v>1</v>
          </cell>
          <cell r="AB85">
            <v>0</v>
          </cell>
          <cell r="AC85">
            <v>0</v>
          </cell>
          <cell r="AD85">
            <v>-1</v>
          </cell>
        </row>
        <row r="86">
          <cell r="A86" t="str">
            <v>21.23.00923</v>
          </cell>
          <cell r="B86" t="str">
            <v>MONTAGEM BASE LAMINAS COLIMDAOR SECUNDAR \ AA_5102_00</v>
          </cell>
          <cell r="C86">
            <v>46059</v>
          </cell>
          <cell r="D86" t="str">
            <v>-</v>
          </cell>
          <cell r="E86" t="str">
            <v>-</v>
          </cell>
          <cell r="F86" t="str">
            <v>-</v>
          </cell>
          <cell r="G86" t="str">
            <v>-</v>
          </cell>
          <cell r="H86" t="str">
            <v>-</v>
          </cell>
          <cell r="I86" t="str">
            <v>-</v>
          </cell>
          <cell r="J86">
            <v>0</v>
          </cell>
          <cell r="K86">
            <v>0</v>
          </cell>
          <cell r="L86" t="str">
            <v>ENTREGA PARCIAL</v>
          </cell>
          <cell r="M86" t="str">
            <v>-</v>
          </cell>
          <cell r="N86" t="str">
            <v>OC'S METALFISA</v>
          </cell>
          <cell r="O86" t="str">
            <v>-</v>
          </cell>
          <cell r="Q86">
            <v>5</v>
          </cell>
          <cell r="S86" t="str">
            <v>-</v>
          </cell>
          <cell r="U86">
            <v>5</v>
          </cell>
          <cell r="V86">
            <v>0</v>
          </cell>
          <cell r="W86">
            <v>0</v>
          </cell>
          <cell r="X86">
            <v>0</v>
          </cell>
          <cell r="Y86">
            <v>10</v>
          </cell>
          <cell r="Z86">
            <v>0</v>
          </cell>
          <cell r="AA86">
            <v>10</v>
          </cell>
          <cell r="AB86">
            <v>0</v>
          </cell>
          <cell r="AC86">
            <v>5</v>
          </cell>
          <cell r="AD86">
            <v>-5</v>
          </cell>
        </row>
        <row r="87">
          <cell r="A87" t="str">
            <v>21.23.00924</v>
          </cell>
          <cell r="B87" t="str">
            <v>COLIMADOR SECUNDARIO \ AA_5106_01</v>
          </cell>
          <cell r="C87">
            <v>46074</v>
          </cell>
          <cell r="D87" t="str">
            <v>-</v>
          </cell>
          <cell r="E87" t="str">
            <v>-</v>
          </cell>
          <cell r="F87" t="str">
            <v>-</v>
          </cell>
          <cell r="G87" t="str">
            <v>-</v>
          </cell>
          <cell r="H87" t="str">
            <v>-</v>
          </cell>
          <cell r="I87" t="str">
            <v>-</v>
          </cell>
          <cell r="J87">
            <v>0</v>
          </cell>
          <cell r="K87">
            <v>5</v>
          </cell>
          <cell r="L87" t="str">
            <v>ENTREGA TOTAL</v>
          </cell>
          <cell r="M87">
            <v>5</v>
          </cell>
          <cell r="N87" t="str">
            <v>OC'S METALFISA</v>
          </cell>
          <cell r="O87" t="str">
            <v>-</v>
          </cell>
          <cell r="Q87" t="str">
            <v>-</v>
          </cell>
          <cell r="S87" t="str">
            <v>-</v>
          </cell>
          <cell r="U87">
            <v>5</v>
          </cell>
          <cell r="V87">
            <v>0</v>
          </cell>
          <cell r="W87">
            <v>0</v>
          </cell>
          <cell r="X87">
            <v>0</v>
          </cell>
          <cell r="Y87">
            <v>5</v>
          </cell>
          <cell r="Z87">
            <v>0</v>
          </cell>
          <cell r="AA87">
            <v>5</v>
          </cell>
          <cell r="AB87">
            <v>0</v>
          </cell>
          <cell r="AC87">
            <v>5</v>
          </cell>
          <cell r="AD87">
            <v>0</v>
          </cell>
        </row>
        <row r="88">
          <cell r="A88" t="str">
            <v>21.23.00925</v>
          </cell>
          <cell r="B88" t="str">
            <v>ABA APOIO COLIMADOR SECUNDARIO 5536 DIREITO \ AA_5108_02</v>
          </cell>
          <cell r="C88">
            <v>46059</v>
          </cell>
          <cell r="D88" t="str">
            <v>-</v>
          </cell>
          <cell r="E88" t="str">
            <v>-</v>
          </cell>
          <cell r="F88" t="str">
            <v>-</v>
          </cell>
          <cell r="G88" t="str">
            <v>-</v>
          </cell>
          <cell r="H88" t="str">
            <v>-</v>
          </cell>
          <cell r="I88" t="str">
            <v>-</v>
          </cell>
          <cell r="J88">
            <v>0</v>
          </cell>
          <cell r="K88">
            <v>-4</v>
          </cell>
          <cell r="L88" t="str">
            <v>ENTREGA PARCIAL</v>
          </cell>
          <cell r="M88" t="str">
            <v>-</v>
          </cell>
          <cell r="N88" t="str">
            <v>OC'S METALFISA</v>
          </cell>
          <cell r="O88" t="str">
            <v>-</v>
          </cell>
          <cell r="Q88" t="str">
            <v>-</v>
          </cell>
          <cell r="S88" t="str">
            <v>-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9</v>
          </cell>
          <cell r="Z88">
            <v>0</v>
          </cell>
          <cell r="AA88">
            <v>9</v>
          </cell>
          <cell r="AB88">
            <v>0</v>
          </cell>
          <cell r="AC88">
            <v>5</v>
          </cell>
          <cell r="AD88">
            <v>-4</v>
          </cell>
        </row>
        <row r="89">
          <cell r="A89" t="str">
            <v>21.23.00926</v>
          </cell>
          <cell r="B89" t="str">
            <v>FECHAMENTO COLIMADOR SECUNDARIO \ AA_5109_00</v>
          </cell>
          <cell r="D89" t="str">
            <v>-</v>
          </cell>
          <cell r="E89" t="str">
            <v>-</v>
          </cell>
          <cell r="F89" t="str">
            <v>-</v>
          </cell>
          <cell r="G89" t="str">
            <v>-</v>
          </cell>
          <cell r="H89" t="str">
            <v>-</v>
          </cell>
          <cell r="I89" t="str">
            <v>-</v>
          </cell>
          <cell r="J89">
            <v>0</v>
          </cell>
          <cell r="K89">
            <v>0</v>
          </cell>
          <cell r="L89" t="str">
            <v>FALTA ENTREGA</v>
          </cell>
          <cell r="M89" t="str">
            <v>-</v>
          </cell>
          <cell r="N89" t="str">
            <v>OC'S METALFISA</v>
          </cell>
          <cell r="O89" t="str">
            <v>-</v>
          </cell>
          <cell r="Q89">
            <v>5</v>
          </cell>
          <cell r="S89" t="str">
            <v>-</v>
          </cell>
          <cell r="U89">
            <v>5</v>
          </cell>
          <cell r="V89">
            <v>0</v>
          </cell>
          <cell r="W89">
            <v>0</v>
          </cell>
          <cell r="X89">
            <v>0</v>
          </cell>
          <cell r="Y89">
            <v>5</v>
          </cell>
          <cell r="Z89">
            <v>0</v>
          </cell>
          <cell r="AA89">
            <v>5</v>
          </cell>
          <cell r="AB89">
            <v>0</v>
          </cell>
          <cell r="AC89">
            <v>0</v>
          </cell>
          <cell r="AD89">
            <v>-5</v>
          </cell>
        </row>
        <row r="90">
          <cell r="A90" t="str">
            <v>21.23.00928</v>
          </cell>
          <cell r="B90" t="str">
            <v>ACABAMENTO MOTOPOLIA 5536 DIREITO \ AA_8487_05</v>
          </cell>
          <cell r="C90">
            <v>46066</v>
          </cell>
          <cell r="D90">
            <v>3</v>
          </cell>
          <cell r="E90" t="str">
            <v>-</v>
          </cell>
          <cell r="F90" t="str">
            <v>-</v>
          </cell>
          <cell r="G90" t="str">
            <v>-</v>
          </cell>
          <cell r="H90" t="str">
            <v>-</v>
          </cell>
          <cell r="I90">
            <v>3</v>
          </cell>
          <cell r="J90">
            <v>3</v>
          </cell>
          <cell r="K90">
            <v>11</v>
          </cell>
          <cell r="L90" t="str">
            <v>ENTREGA PARCIAL</v>
          </cell>
          <cell r="M90" t="str">
            <v>-</v>
          </cell>
          <cell r="N90" t="str">
            <v>OC'S METALFISA</v>
          </cell>
          <cell r="O90" t="str">
            <v>-</v>
          </cell>
          <cell r="Q90" t="str">
            <v>-</v>
          </cell>
          <cell r="S90">
            <v>11</v>
          </cell>
          <cell r="T90" t="str">
            <v>OC'S MAPHE</v>
          </cell>
          <cell r="U90">
            <v>11</v>
          </cell>
          <cell r="V90">
            <v>1</v>
          </cell>
          <cell r="W90">
            <v>0</v>
          </cell>
          <cell r="X90">
            <v>0</v>
          </cell>
          <cell r="Y90">
            <v>10</v>
          </cell>
          <cell r="Z90">
            <v>0</v>
          </cell>
          <cell r="AA90">
            <v>11</v>
          </cell>
          <cell r="AB90">
            <v>0</v>
          </cell>
          <cell r="AC90">
            <v>5</v>
          </cell>
          <cell r="AD90">
            <v>-6</v>
          </cell>
        </row>
        <row r="91">
          <cell r="A91" t="str">
            <v>21.23.00930</v>
          </cell>
          <cell r="B91" t="str">
            <v>ACABAMENTO TUNEL \ AA_5119_00</v>
          </cell>
          <cell r="D91" t="str">
            <v>-</v>
          </cell>
          <cell r="E91" t="str">
            <v>-</v>
          </cell>
          <cell r="F91" t="str">
            <v>-</v>
          </cell>
          <cell r="G91" t="str">
            <v>-</v>
          </cell>
          <cell r="H91" t="str">
            <v>-</v>
          </cell>
          <cell r="I91">
            <v>10</v>
          </cell>
          <cell r="J91">
            <v>10</v>
          </cell>
          <cell r="K91">
            <v>0</v>
          </cell>
          <cell r="L91" t="str">
            <v>FALTA ENTREGA</v>
          </cell>
          <cell r="M91" t="str">
            <v>-</v>
          </cell>
          <cell r="N91" t="str">
            <v>OC'S METALFISA</v>
          </cell>
          <cell r="O91" t="str">
            <v>-</v>
          </cell>
          <cell r="Q91" t="str">
            <v>-</v>
          </cell>
          <cell r="S91" t="str">
            <v>-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10</v>
          </cell>
          <cell r="Z91">
            <v>0</v>
          </cell>
          <cell r="AA91">
            <v>10</v>
          </cell>
          <cell r="AB91">
            <v>0</v>
          </cell>
          <cell r="AC91">
            <v>0</v>
          </cell>
          <cell r="AD91">
            <v>-10</v>
          </cell>
        </row>
        <row r="92">
          <cell r="A92" t="str">
            <v>21.23.00931</v>
          </cell>
          <cell r="B92" t="str">
            <v>MONTAGEM FIXACAO ACABAMENTO ROLETE LIVRE \ AA_5121_01</v>
          </cell>
          <cell r="D92" t="str">
            <v>-</v>
          </cell>
          <cell r="E92" t="str">
            <v>-</v>
          </cell>
          <cell r="F92" t="str">
            <v>-</v>
          </cell>
          <cell r="G92" t="str">
            <v>-</v>
          </cell>
          <cell r="H92" t="str">
            <v>-</v>
          </cell>
          <cell r="I92" t="str">
            <v>-</v>
          </cell>
          <cell r="J92">
            <v>0</v>
          </cell>
          <cell r="K92">
            <v>2</v>
          </cell>
          <cell r="L92" t="str">
            <v>FALTA ENTREGA</v>
          </cell>
          <cell r="M92" t="str">
            <v>-</v>
          </cell>
          <cell r="N92" t="str">
            <v>OC'S METALFISA</v>
          </cell>
          <cell r="O92" t="str">
            <v>-</v>
          </cell>
          <cell r="Q92">
            <v>13</v>
          </cell>
          <cell r="S92" t="str">
            <v>-</v>
          </cell>
          <cell r="U92">
            <v>13</v>
          </cell>
          <cell r="V92">
            <v>0</v>
          </cell>
          <cell r="W92">
            <v>0</v>
          </cell>
          <cell r="X92">
            <v>0</v>
          </cell>
          <cell r="Y92">
            <v>11</v>
          </cell>
          <cell r="Z92">
            <v>0</v>
          </cell>
          <cell r="AA92">
            <v>11</v>
          </cell>
          <cell r="AB92">
            <v>0</v>
          </cell>
          <cell r="AC92">
            <v>0</v>
          </cell>
          <cell r="AD92">
            <v>-11</v>
          </cell>
        </row>
        <row r="93">
          <cell r="A93" t="str">
            <v>21.23.00932</v>
          </cell>
          <cell r="B93" t="str">
            <v>ACABAMENTO SUPERIOR \ AA_5128_00</v>
          </cell>
          <cell r="D93">
            <v>1</v>
          </cell>
          <cell r="E93" t="str">
            <v>-</v>
          </cell>
          <cell r="F93" t="str">
            <v>-</v>
          </cell>
          <cell r="G93" t="str">
            <v>-</v>
          </cell>
          <cell r="H93" t="str">
            <v>-</v>
          </cell>
          <cell r="I93" t="str">
            <v>-</v>
          </cell>
          <cell r="J93">
            <v>0</v>
          </cell>
          <cell r="K93">
            <v>-1</v>
          </cell>
          <cell r="L93" t="str">
            <v>FALTA ENTREGA</v>
          </cell>
          <cell r="M93" t="str">
            <v>-</v>
          </cell>
          <cell r="N93" t="str">
            <v>OC'S METALFISA</v>
          </cell>
          <cell r="O93" t="str">
            <v>-</v>
          </cell>
          <cell r="Q93" t="str">
            <v>-</v>
          </cell>
          <cell r="S93" t="str">
            <v>-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2</v>
          </cell>
          <cell r="Z93">
            <v>0</v>
          </cell>
          <cell r="AA93">
            <v>2</v>
          </cell>
          <cell r="AB93">
            <v>0</v>
          </cell>
          <cell r="AC93">
            <v>0</v>
          </cell>
          <cell r="AD93">
            <v>-2</v>
          </cell>
        </row>
        <row r="94">
          <cell r="A94" t="str">
            <v>21.23.00933</v>
          </cell>
          <cell r="B94" t="str">
            <v>MONTAGEM FIXACAO ACABAMENTO MOTOPOLIA \ AA_5123_00</v>
          </cell>
          <cell r="D94" t="str">
            <v>-</v>
          </cell>
          <cell r="E94" t="str">
            <v>-</v>
          </cell>
          <cell r="F94" t="str">
            <v>-</v>
          </cell>
          <cell r="G94" t="str">
            <v>-</v>
          </cell>
          <cell r="H94" t="str">
            <v>-</v>
          </cell>
          <cell r="I94" t="str">
            <v>-</v>
          </cell>
          <cell r="J94">
            <v>0</v>
          </cell>
          <cell r="K94">
            <v>1</v>
          </cell>
          <cell r="L94" t="str">
            <v>FALTA ENTREGA</v>
          </cell>
          <cell r="M94" t="str">
            <v>-</v>
          </cell>
          <cell r="N94" t="str">
            <v>OC'S METALFISA</v>
          </cell>
          <cell r="O94" t="str">
            <v>-</v>
          </cell>
          <cell r="Q94">
            <v>10</v>
          </cell>
          <cell r="S94" t="str">
            <v>-</v>
          </cell>
          <cell r="U94">
            <v>10</v>
          </cell>
          <cell r="V94">
            <v>0</v>
          </cell>
          <cell r="W94">
            <v>0</v>
          </cell>
          <cell r="X94">
            <v>0</v>
          </cell>
          <cell r="Y94">
            <v>9</v>
          </cell>
          <cell r="Z94">
            <v>0</v>
          </cell>
          <cell r="AA94">
            <v>9</v>
          </cell>
          <cell r="AB94">
            <v>0</v>
          </cell>
          <cell r="AC94">
            <v>0</v>
          </cell>
          <cell r="AD94">
            <v>-9</v>
          </cell>
        </row>
        <row r="95">
          <cell r="A95" t="str">
            <v>21.23.00934</v>
          </cell>
          <cell r="B95" t="str">
            <v>MONTAGEM FIXACAO ACABAMENTO LATERAL \ AA_5130_00</v>
          </cell>
          <cell r="D95" t="str">
            <v>-</v>
          </cell>
          <cell r="E95" t="str">
            <v>-</v>
          </cell>
          <cell r="F95" t="str">
            <v>-</v>
          </cell>
          <cell r="G95" t="str">
            <v>-</v>
          </cell>
          <cell r="H95" t="str">
            <v>-</v>
          </cell>
          <cell r="I95" t="str">
            <v>-</v>
          </cell>
          <cell r="J95">
            <v>0</v>
          </cell>
          <cell r="K95">
            <v>24</v>
          </cell>
          <cell r="L95" t="str">
            <v>ENTREGA TOTAL</v>
          </cell>
          <cell r="M95" t="str">
            <v>-</v>
          </cell>
          <cell r="N95" t="str">
            <v>OC'S METALFISA</v>
          </cell>
          <cell r="O95" t="str">
            <v>-</v>
          </cell>
          <cell r="Q95">
            <v>20</v>
          </cell>
          <cell r="S95" t="str">
            <v>-</v>
          </cell>
          <cell r="U95">
            <v>20</v>
          </cell>
          <cell r="V95">
            <v>0</v>
          </cell>
          <cell r="W95">
            <v>0</v>
          </cell>
          <cell r="X95">
            <v>0</v>
          </cell>
          <cell r="Y95">
            <v>8</v>
          </cell>
          <cell r="Z95">
            <v>8</v>
          </cell>
          <cell r="AA95">
            <v>16</v>
          </cell>
          <cell r="AB95">
            <v>0</v>
          </cell>
          <cell r="AC95">
            <v>20</v>
          </cell>
          <cell r="AD95">
            <v>4</v>
          </cell>
        </row>
        <row r="96">
          <cell r="A96" t="str">
            <v>21.23.00935</v>
          </cell>
          <cell r="B96" t="str">
            <v>ACABAMENTO LATERAL \ AA_5131_02</v>
          </cell>
          <cell r="D96" t="str">
            <v>-</v>
          </cell>
          <cell r="E96" t="str">
            <v>-</v>
          </cell>
          <cell r="F96" t="str">
            <v>-</v>
          </cell>
          <cell r="G96" t="str">
            <v>-</v>
          </cell>
          <cell r="H96" t="str">
            <v>-</v>
          </cell>
          <cell r="I96" t="str">
            <v>-</v>
          </cell>
          <cell r="J96">
            <v>0</v>
          </cell>
          <cell r="K96">
            <v>-1</v>
          </cell>
          <cell r="L96" t="str">
            <v>FALTA ENTREGA</v>
          </cell>
          <cell r="M96" t="str">
            <v>-</v>
          </cell>
          <cell r="N96" t="str">
            <v>OC'S METALFISA</v>
          </cell>
          <cell r="O96" t="str">
            <v>-</v>
          </cell>
          <cell r="Q96" t="str">
            <v>-</v>
          </cell>
          <cell r="S96" t="str">
            <v>-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1</v>
          </cell>
          <cell r="Z96">
            <v>0</v>
          </cell>
          <cell r="AA96">
            <v>1</v>
          </cell>
          <cell r="AB96">
            <v>0</v>
          </cell>
          <cell r="AC96">
            <v>0</v>
          </cell>
          <cell r="AD96">
            <v>-1</v>
          </cell>
        </row>
        <row r="97">
          <cell r="A97" t="str">
            <v>21.23.00936</v>
          </cell>
          <cell r="B97" t="str">
            <v>ACABAMENTO DIANTEIRO \ AA_5135_03</v>
          </cell>
          <cell r="C97">
            <v>46066</v>
          </cell>
          <cell r="D97">
            <v>6</v>
          </cell>
          <cell r="E97" t="str">
            <v>-</v>
          </cell>
          <cell r="F97" t="str">
            <v>-</v>
          </cell>
          <cell r="G97" t="str">
            <v>-</v>
          </cell>
          <cell r="H97" t="str">
            <v>-</v>
          </cell>
          <cell r="I97">
            <v>4</v>
          </cell>
          <cell r="J97">
            <v>4</v>
          </cell>
          <cell r="K97">
            <v>3</v>
          </cell>
          <cell r="L97" t="str">
            <v>ENTREGA PARCIAL</v>
          </cell>
          <cell r="M97" t="str">
            <v>-</v>
          </cell>
          <cell r="N97" t="str">
            <v>OC'S METALFISA</v>
          </cell>
          <cell r="O97">
            <v>9</v>
          </cell>
          <cell r="P97" t="str">
            <v>OC'S GRANATO</v>
          </cell>
          <cell r="Q97" t="str">
            <v>-</v>
          </cell>
          <cell r="S97" t="str">
            <v>-</v>
          </cell>
          <cell r="U97">
            <v>9</v>
          </cell>
          <cell r="V97">
            <v>5</v>
          </cell>
          <cell r="W97">
            <v>0</v>
          </cell>
          <cell r="X97">
            <v>0</v>
          </cell>
          <cell r="Y97">
            <v>20</v>
          </cell>
          <cell r="Z97">
            <v>0</v>
          </cell>
          <cell r="AA97">
            <v>25</v>
          </cell>
          <cell r="AB97">
            <v>0</v>
          </cell>
          <cell r="AC97">
            <v>9</v>
          </cell>
          <cell r="AD97">
            <v>-16</v>
          </cell>
        </row>
        <row r="98">
          <cell r="A98" t="str">
            <v>21.23.00941</v>
          </cell>
          <cell r="B98" t="str">
            <v>MONTAGEM CHAPA BLINDAGEM ESTEIRA \ AA_5152_02</v>
          </cell>
          <cell r="D98" t="str">
            <v>-</v>
          </cell>
          <cell r="E98" t="str">
            <v>-</v>
          </cell>
          <cell r="F98" t="str">
            <v>-</v>
          </cell>
          <cell r="G98" t="str">
            <v>-</v>
          </cell>
          <cell r="H98" t="str">
            <v>-</v>
          </cell>
          <cell r="I98" t="str">
            <v>-</v>
          </cell>
          <cell r="J98">
            <v>0</v>
          </cell>
          <cell r="K98">
            <v>0</v>
          </cell>
          <cell r="L98" t="str">
            <v>FALTA ENTREGA</v>
          </cell>
          <cell r="M98" t="str">
            <v>-</v>
          </cell>
          <cell r="N98" t="str">
            <v>OC'S METALFISA</v>
          </cell>
          <cell r="O98" t="str">
            <v>-</v>
          </cell>
          <cell r="Q98">
            <v>1</v>
          </cell>
          <cell r="S98" t="str">
            <v>-</v>
          </cell>
          <cell r="U98">
            <v>1</v>
          </cell>
          <cell r="V98">
            <v>0</v>
          </cell>
          <cell r="W98">
            <v>0</v>
          </cell>
          <cell r="X98">
            <v>0</v>
          </cell>
          <cell r="Y98">
            <v>1</v>
          </cell>
          <cell r="Z98">
            <v>0</v>
          </cell>
          <cell r="AA98">
            <v>1</v>
          </cell>
          <cell r="AB98">
            <v>0</v>
          </cell>
          <cell r="AC98">
            <v>0</v>
          </cell>
          <cell r="AD98">
            <v>-1</v>
          </cell>
        </row>
        <row r="99">
          <cell r="A99" t="str">
            <v>21.23.00964</v>
          </cell>
          <cell r="B99" t="str">
            <v>TAMPA INF. DA CAIXA L \ AA_4058_01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  <cell r="I99" t="str">
            <v>-</v>
          </cell>
          <cell r="J99">
            <v>0</v>
          </cell>
          <cell r="K99">
            <v>12</v>
          </cell>
          <cell r="L99" t="str">
            <v>FALTA ENTREGA</v>
          </cell>
          <cell r="M99">
            <v>33</v>
          </cell>
          <cell r="N99" t="str">
            <v>OC'S METALFISA</v>
          </cell>
          <cell r="O99" t="str">
            <v>-</v>
          </cell>
          <cell r="Q99" t="str">
            <v>-</v>
          </cell>
          <cell r="S99" t="str">
            <v>-</v>
          </cell>
          <cell r="U99">
            <v>33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21</v>
          </cell>
          <cell r="AA99">
            <v>21</v>
          </cell>
          <cell r="AB99">
            <v>0</v>
          </cell>
          <cell r="AC99">
            <v>0</v>
          </cell>
          <cell r="AD99">
            <v>-21</v>
          </cell>
        </row>
        <row r="100">
          <cell r="A100" t="str">
            <v>21.23.00967</v>
          </cell>
          <cell r="B100" t="str">
            <v>TAMPA INF. DA CAIXA 01 \ AA_4065_01</v>
          </cell>
          <cell r="C100">
            <v>46074</v>
          </cell>
          <cell r="D100" t="str">
            <v>-</v>
          </cell>
          <cell r="E100" t="str">
            <v>-</v>
          </cell>
          <cell r="F100" t="str">
            <v>-</v>
          </cell>
          <cell r="G100" t="str">
            <v>-</v>
          </cell>
          <cell r="H100" t="str">
            <v>-</v>
          </cell>
          <cell r="I100" t="str">
            <v>-</v>
          </cell>
          <cell r="J100">
            <v>0</v>
          </cell>
          <cell r="K100">
            <v>32</v>
          </cell>
          <cell r="L100" t="str">
            <v>ENTREGA PARCIAL</v>
          </cell>
          <cell r="M100">
            <v>33</v>
          </cell>
          <cell r="N100" t="str">
            <v>OC'S METALFISA</v>
          </cell>
          <cell r="O100" t="str">
            <v>-</v>
          </cell>
          <cell r="Q100" t="str">
            <v>-</v>
          </cell>
          <cell r="S100" t="str">
            <v>-</v>
          </cell>
          <cell r="U100">
            <v>33</v>
          </cell>
          <cell r="V100">
            <v>3</v>
          </cell>
          <cell r="W100">
            <v>1</v>
          </cell>
          <cell r="X100">
            <v>0</v>
          </cell>
          <cell r="Y100">
            <v>0</v>
          </cell>
          <cell r="Z100">
            <v>29</v>
          </cell>
          <cell r="AA100">
            <v>33</v>
          </cell>
          <cell r="AB100">
            <v>0</v>
          </cell>
          <cell r="AC100">
            <v>32</v>
          </cell>
          <cell r="AD100">
            <v>-1</v>
          </cell>
        </row>
        <row r="101">
          <cell r="A101" t="str">
            <v>21.23.00972</v>
          </cell>
          <cell r="B101" t="str">
            <v>TRAVA DO ROLETE \ AA_4089_00</v>
          </cell>
          <cell r="D101" t="str">
            <v>-</v>
          </cell>
          <cell r="E101" t="str">
            <v>-</v>
          </cell>
          <cell r="F101" t="str">
            <v>-</v>
          </cell>
          <cell r="G101" t="str">
            <v>-</v>
          </cell>
          <cell r="H101" t="str">
            <v>-</v>
          </cell>
          <cell r="I101" t="str">
            <v>-</v>
          </cell>
          <cell r="J101">
            <v>0</v>
          </cell>
          <cell r="K101">
            <v>33</v>
          </cell>
          <cell r="L101" t="str">
            <v>FALTA ENTREGA</v>
          </cell>
          <cell r="M101">
            <v>66</v>
          </cell>
          <cell r="N101" t="str">
            <v>OC'S METALFISA</v>
          </cell>
          <cell r="O101" t="str">
            <v>-</v>
          </cell>
          <cell r="Q101" t="str">
            <v>-</v>
          </cell>
          <cell r="S101" t="str">
            <v>-</v>
          </cell>
          <cell r="U101">
            <v>66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33</v>
          </cell>
          <cell r="AA101">
            <v>33</v>
          </cell>
          <cell r="AB101">
            <v>0</v>
          </cell>
          <cell r="AC101">
            <v>0</v>
          </cell>
          <cell r="AD101">
            <v>-33</v>
          </cell>
        </row>
        <row r="102">
          <cell r="A102" t="str">
            <v>21.23.00973</v>
          </cell>
          <cell r="B102" t="str">
            <v>TRAVA SUP DO ROLO LIVRE \ AA_4090_01</v>
          </cell>
          <cell r="D102" t="str">
            <v>-</v>
          </cell>
          <cell r="E102" t="str">
            <v>-</v>
          </cell>
          <cell r="F102" t="str">
            <v>-</v>
          </cell>
          <cell r="G102" t="str">
            <v>-</v>
          </cell>
          <cell r="H102" t="str">
            <v>-</v>
          </cell>
          <cell r="I102" t="str">
            <v>-</v>
          </cell>
          <cell r="J102">
            <v>0</v>
          </cell>
          <cell r="K102">
            <v>36</v>
          </cell>
          <cell r="L102" t="str">
            <v>FALTA ENTREGA</v>
          </cell>
          <cell r="M102">
            <v>64</v>
          </cell>
          <cell r="N102" t="str">
            <v>OC'S METALFISA</v>
          </cell>
          <cell r="O102">
            <v>1</v>
          </cell>
          <cell r="P102" t="str">
            <v>OC'S GRANATO</v>
          </cell>
          <cell r="Q102" t="str">
            <v>-</v>
          </cell>
          <cell r="S102" t="str">
            <v>-</v>
          </cell>
          <cell r="U102">
            <v>65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29</v>
          </cell>
          <cell r="AA102">
            <v>29</v>
          </cell>
          <cell r="AB102">
            <v>0</v>
          </cell>
          <cell r="AC102">
            <v>0</v>
          </cell>
          <cell r="AD102">
            <v>-29</v>
          </cell>
        </row>
        <row r="103">
          <cell r="A103" t="str">
            <v>21.23.00990</v>
          </cell>
          <cell r="B103" t="str">
            <v>FILTRO DE ALUMINIO DO COLIMADOR DO TORAX \ AA_4129_00</v>
          </cell>
          <cell r="D103" t="str">
            <v>-</v>
          </cell>
          <cell r="E103" t="str">
            <v>-</v>
          </cell>
          <cell r="F103" t="str">
            <v>-</v>
          </cell>
          <cell r="G103" t="str">
            <v>-</v>
          </cell>
          <cell r="H103" t="str">
            <v>-</v>
          </cell>
          <cell r="I103" t="str">
            <v>-</v>
          </cell>
          <cell r="J103">
            <v>0</v>
          </cell>
          <cell r="K103">
            <v>4</v>
          </cell>
          <cell r="L103" t="str">
            <v>FALTA ENTREGA</v>
          </cell>
          <cell r="M103" t="str">
            <v>-</v>
          </cell>
          <cell r="N103" t="str">
            <v>OC'S METALFISA</v>
          </cell>
          <cell r="O103" t="str">
            <v>-</v>
          </cell>
          <cell r="Q103">
            <v>6</v>
          </cell>
          <cell r="S103" t="str">
            <v>-</v>
          </cell>
          <cell r="U103">
            <v>6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2</v>
          </cell>
          <cell r="AA103">
            <v>2</v>
          </cell>
          <cell r="AB103">
            <v>0</v>
          </cell>
          <cell r="AC103">
            <v>0</v>
          </cell>
          <cell r="AD103">
            <v>-2</v>
          </cell>
        </row>
        <row r="104">
          <cell r="A104" t="str">
            <v>21.23.00995</v>
          </cell>
          <cell r="B104" t="str">
            <v>FECHAMENTO DA JANELA DO OBTURADOR \ AA_4139_01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  <cell r="I104" t="str">
            <v>-</v>
          </cell>
          <cell r="J104">
            <v>0</v>
          </cell>
          <cell r="K104">
            <v>0</v>
          </cell>
          <cell r="L104" t="str">
            <v>FALTA ENTREGA</v>
          </cell>
          <cell r="M104">
            <v>66</v>
          </cell>
          <cell r="N104" t="str">
            <v>OC'S METALFISA</v>
          </cell>
          <cell r="O104" t="str">
            <v>-</v>
          </cell>
          <cell r="Q104" t="str">
            <v>-</v>
          </cell>
          <cell r="S104" t="str">
            <v>-</v>
          </cell>
          <cell r="U104">
            <v>66</v>
          </cell>
          <cell r="V104">
            <v>8</v>
          </cell>
          <cell r="W104">
            <v>0</v>
          </cell>
          <cell r="X104">
            <v>0</v>
          </cell>
          <cell r="Y104">
            <v>0</v>
          </cell>
          <cell r="Z104">
            <v>58</v>
          </cell>
          <cell r="AA104">
            <v>66</v>
          </cell>
          <cell r="AB104">
            <v>8</v>
          </cell>
          <cell r="AC104">
            <v>0</v>
          </cell>
          <cell r="AD104">
            <v>-66</v>
          </cell>
        </row>
        <row r="105">
          <cell r="A105" t="str">
            <v>21.23.01019</v>
          </cell>
          <cell r="B105" t="str">
            <v>TRAVA INFERIOR DO PINO \ AA_4205_01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  <cell r="I105" t="str">
            <v>-</v>
          </cell>
          <cell r="J105">
            <v>0</v>
          </cell>
          <cell r="K105">
            <v>-4</v>
          </cell>
          <cell r="L105" t="str">
            <v>ENTREGA PARCIAL</v>
          </cell>
          <cell r="M105">
            <v>3</v>
          </cell>
          <cell r="N105" t="str">
            <v>OC'S METALFISA</v>
          </cell>
          <cell r="O105" t="str">
            <v>-</v>
          </cell>
          <cell r="Q105" t="str">
            <v>-</v>
          </cell>
          <cell r="S105" t="str">
            <v>-</v>
          </cell>
          <cell r="U105">
            <v>3</v>
          </cell>
          <cell r="V105">
            <v>18</v>
          </cell>
          <cell r="W105">
            <v>0</v>
          </cell>
          <cell r="X105">
            <v>0</v>
          </cell>
          <cell r="Y105">
            <v>0</v>
          </cell>
          <cell r="Z105">
            <v>58</v>
          </cell>
          <cell r="AA105">
            <v>76</v>
          </cell>
          <cell r="AB105">
            <v>0</v>
          </cell>
          <cell r="AC105">
            <v>69</v>
          </cell>
          <cell r="AD105">
            <v>-7</v>
          </cell>
        </row>
        <row r="106">
          <cell r="A106" t="str">
            <v>21.23.01023</v>
          </cell>
          <cell r="B106" t="str">
            <v>PEFIL L DO ACABAMENTO \ AA_4209_01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  <cell r="I106" t="str">
            <v>-</v>
          </cell>
          <cell r="J106">
            <v>0</v>
          </cell>
          <cell r="K106">
            <v>14</v>
          </cell>
          <cell r="L106" t="str">
            <v>FALTA ENTREGA</v>
          </cell>
          <cell r="M106">
            <v>37</v>
          </cell>
          <cell r="N106" t="str">
            <v>OC'S METALFISA</v>
          </cell>
          <cell r="O106" t="str">
            <v>-</v>
          </cell>
          <cell r="Q106" t="str">
            <v>-</v>
          </cell>
          <cell r="S106" t="str">
            <v>-</v>
          </cell>
          <cell r="U106">
            <v>37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23</v>
          </cell>
          <cell r="AA106">
            <v>23</v>
          </cell>
          <cell r="AB106">
            <v>0</v>
          </cell>
          <cell r="AC106">
            <v>0</v>
          </cell>
          <cell r="AD106">
            <v>-23</v>
          </cell>
        </row>
        <row r="107">
          <cell r="A107" t="str">
            <v>21.23.01039</v>
          </cell>
          <cell r="B107" t="str">
            <v>SUPORTE DA PLACA DE LED \ AA_4245_03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  <cell r="I107" t="str">
            <v>-</v>
          </cell>
          <cell r="J107">
            <v>0</v>
          </cell>
          <cell r="K107">
            <v>35</v>
          </cell>
          <cell r="L107" t="str">
            <v>FALTA ENTREGA</v>
          </cell>
          <cell r="M107">
            <v>66</v>
          </cell>
          <cell r="N107" t="str">
            <v>OC'S METALFISA</v>
          </cell>
          <cell r="O107" t="str">
            <v>-</v>
          </cell>
          <cell r="Q107" t="str">
            <v>-</v>
          </cell>
          <cell r="S107" t="str">
            <v>-</v>
          </cell>
          <cell r="U107">
            <v>66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31</v>
          </cell>
          <cell r="AA107">
            <v>31</v>
          </cell>
          <cell r="AB107">
            <v>0</v>
          </cell>
          <cell r="AC107">
            <v>0</v>
          </cell>
          <cell r="AD107">
            <v>-31</v>
          </cell>
        </row>
        <row r="108">
          <cell r="A108" t="str">
            <v>21.23.01042</v>
          </cell>
          <cell r="B108" t="str">
            <v>ACABAMENTO SUP. DA ESTEIRA. \ AA_4251_00</v>
          </cell>
          <cell r="D108" t="str">
            <v>-</v>
          </cell>
          <cell r="E108" t="str">
            <v>-</v>
          </cell>
          <cell r="F108" t="str">
            <v>-</v>
          </cell>
          <cell r="G108" t="str">
            <v>-</v>
          </cell>
          <cell r="H108" t="str">
            <v>-</v>
          </cell>
          <cell r="I108" t="str">
            <v>-</v>
          </cell>
          <cell r="J108">
            <v>0</v>
          </cell>
          <cell r="K108">
            <v>-1</v>
          </cell>
          <cell r="L108" t="str">
            <v>FALTA ENTREGA</v>
          </cell>
          <cell r="M108" t="str">
            <v>-</v>
          </cell>
          <cell r="N108" t="str">
            <v>OC'S METALFISA</v>
          </cell>
          <cell r="O108" t="str">
            <v>-</v>
          </cell>
          <cell r="Q108" t="str">
            <v>-</v>
          </cell>
          <cell r="S108" t="str">
            <v>-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1</v>
          </cell>
          <cell r="AA108">
            <v>1</v>
          </cell>
          <cell r="AB108">
            <v>0</v>
          </cell>
          <cell r="AC108">
            <v>0</v>
          </cell>
          <cell r="AD108">
            <v>-1</v>
          </cell>
        </row>
        <row r="109">
          <cell r="A109" t="str">
            <v>21.23.01054</v>
          </cell>
          <cell r="B109" t="str">
            <v>TAMPA SUP. DO COLIMADOR \ AA_4170_00</v>
          </cell>
          <cell r="C109">
            <v>46074</v>
          </cell>
          <cell r="D109" t="str">
            <v>-</v>
          </cell>
          <cell r="E109" t="str">
            <v>-</v>
          </cell>
          <cell r="F109" t="str">
            <v>-</v>
          </cell>
          <cell r="G109" t="str">
            <v>-</v>
          </cell>
          <cell r="H109" t="str">
            <v>-</v>
          </cell>
          <cell r="I109" t="str">
            <v>-</v>
          </cell>
          <cell r="J109">
            <v>0</v>
          </cell>
          <cell r="K109">
            <v>38</v>
          </cell>
          <cell r="L109" t="str">
            <v>ENTREGA TOTAL</v>
          </cell>
          <cell r="M109">
            <v>35</v>
          </cell>
          <cell r="N109" t="str">
            <v>OC'S METALFISA</v>
          </cell>
          <cell r="O109" t="str">
            <v>-</v>
          </cell>
          <cell r="Q109" t="str">
            <v>-</v>
          </cell>
          <cell r="S109" t="str">
            <v>-</v>
          </cell>
          <cell r="U109">
            <v>35</v>
          </cell>
          <cell r="V109">
            <v>1</v>
          </cell>
          <cell r="W109">
            <v>0</v>
          </cell>
          <cell r="X109">
            <v>0</v>
          </cell>
          <cell r="Y109">
            <v>0</v>
          </cell>
          <cell r="Z109">
            <v>33</v>
          </cell>
          <cell r="AA109">
            <v>34</v>
          </cell>
          <cell r="AB109">
            <v>0</v>
          </cell>
          <cell r="AC109">
            <v>37</v>
          </cell>
          <cell r="AD109">
            <v>3</v>
          </cell>
        </row>
        <row r="110">
          <cell r="A110" t="str">
            <v>21.23.01117</v>
          </cell>
          <cell r="B110" t="str">
            <v>CAIXA DO GEL SILICA / AA_5264_01</v>
          </cell>
          <cell r="C110">
            <v>46074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  <cell r="I110" t="str">
            <v>-</v>
          </cell>
          <cell r="J110">
            <v>0</v>
          </cell>
          <cell r="K110">
            <v>12</v>
          </cell>
          <cell r="L110" t="str">
            <v>ENTREGA TOTAL</v>
          </cell>
          <cell r="M110" t="str">
            <v>-</v>
          </cell>
          <cell r="N110" t="str">
            <v>OC'S METALFISA</v>
          </cell>
          <cell r="O110" t="str">
            <v>-</v>
          </cell>
          <cell r="Q110">
            <v>11</v>
          </cell>
          <cell r="S110" t="str">
            <v>-</v>
          </cell>
          <cell r="U110">
            <v>11</v>
          </cell>
          <cell r="V110">
            <v>0</v>
          </cell>
          <cell r="W110">
            <v>0</v>
          </cell>
          <cell r="X110">
            <v>0</v>
          </cell>
          <cell r="Y110">
            <v>6</v>
          </cell>
          <cell r="Z110">
            <v>4</v>
          </cell>
          <cell r="AA110">
            <v>10</v>
          </cell>
          <cell r="AB110">
            <v>0</v>
          </cell>
          <cell r="AC110">
            <v>11</v>
          </cell>
          <cell r="AD110">
            <v>1</v>
          </cell>
        </row>
        <row r="111">
          <cell r="A111" t="str">
            <v>21.23.01150</v>
          </cell>
          <cell r="B111" t="str">
            <v>MOLDURA INTERNA PORTA \ AA_3207_01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  <cell r="I111" t="str">
            <v>-</v>
          </cell>
          <cell r="J111">
            <v>0</v>
          </cell>
          <cell r="K111">
            <v>29</v>
          </cell>
          <cell r="L111" t="str">
            <v>FALTA ENTREGA</v>
          </cell>
          <cell r="M111">
            <v>32</v>
          </cell>
          <cell r="N111" t="str">
            <v>OC'S METALFISA</v>
          </cell>
          <cell r="O111" t="str">
            <v>-</v>
          </cell>
          <cell r="Q111" t="str">
            <v>-</v>
          </cell>
          <cell r="S111" t="str">
            <v>-</v>
          </cell>
          <cell r="U111">
            <v>32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3</v>
          </cell>
          <cell r="AA111">
            <v>3</v>
          </cell>
          <cell r="AB111">
            <v>0</v>
          </cell>
          <cell r="AC111">
            <v>0</v>
          </cell>
          <cell r="AD111">
            <v>-3</v>
          </cell>
        </row>
        <row r="112">
          <cell r="A112" t="str">
            <v>21.23.01172</v>
          </cell>
          <cell r="B112" t="str">
            <v>MONTAGEM DA TAMPA DO CONSOLE \ AA_4463_00</v>
          </cell>
          <cell r="C112">
            <v>46066</v>
          </cell>
          <cell r="D112">
            <v>1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  <cell r="I112" t="str">
            <v>-</v>
          </cell>
          <cell r="J112">
            <v>0</v>
          </cell>
          <cell r="K112">
            <v>20</v>
          </cell>
          <cell r="L112" t="str">
            <v>ENTREGA PARCIAL</v>
          </cell>
          <cell r="M112">
            <v>33</v>
          </cell>
          <cell r="N112" t="str">
            <v>OC'S METALFISA</v>
          </cell>
          <cell r="O112" t="str">
            <v>-</v>
          </cell>
          <cell r="Q112" t="str">
            <v>-</v>
          </cell>
          <cell r="S112">
            <v>13</v>
          </cell>
          <cell r="T112" t="str">
            <v>OC'S MAPHE</v>
          </cell>
          <cell r="U112">
            <v>46</v>
          </cell>
          <cell r="V112">
            <v>3</v>
          </cell>
          <cell r="W112">
            <v>1</v>
          </cell>
          <cell r="X112">
            <v>0</v>
          </cell>
          <cell r="Y112">
            <v>0</v>
          </cell>
          <cell r="Z112">
            <v>36</v>
          </cell>
          <cell r="AA112">
            <v>40</v>
          </cell>
          <cell r="AB112">
            <v>0</v>
          </cell>
          <cell r="AC112">
            <v>13</v>
          </cell>
          <cell r="AD112">
            <v>-27</v>
          </cell>
        </row>
        <row r="113">
          <cell r="A113" t="str">
            <v>21.23.01179</v>
          </cell>
          <cell r="B113" t="str">
            <v>COLIMADOR SV SANDT / AA_3235_02</v>
          </cell>
          <cell r="D113" t="str">
            <v>-</v>
          </cell>
          <cell r="E113">
            <v>1</v>
          </cell>
          <cell r="F113" t="str">
            <v>-</v>
          </cell>
          <cell r="G113" t="str">
            <v>-</v>
          </cell>
          <cell r="H113" t="str">
            <v>-</v>
          </cell>
          <cell r="I113" t="str">
            <v>-</v>
          </cell>
          <cell r="J113">
            <v>1</v>
          </cell>
          <cell r="K113">
            <v>2</v>
          </cell>
          <cell r="L113" t="str">
            <v>FALTA ENTREGA</v>
          </cell>
          <cell r="M113" t="str">
            <v>-</v>
          </cell>
          <cell r="N113" t="str">
            <v>OC'S METALFISA</v>
          </cell>
          <cell r="O113" t="str">
            <v>-</v>
          </cell>
          <cell r="Q113">
            <v>6</v>
          </cell>
          <cell r="S113" t="str">
            <v>-</v>
          </cell>
          <cell r="U113">
            <v>6</v>
          </cell>
          <cell r="V113">
            <v>0</v>
          </cell>
          <cell r="W113">
            <v>0</v>
          </cell>
          <cell r="X113">
            <v>0</v>
          </cell>
          <cell r="Y113">
            <v>5</v>
          </cell>
          <cell r="Z113">
            <v>0</v>
          </cell>
          <cell r="AA113">
            <v>5</v>
          </cell>
          <cell r="AB113">
            <v>0</v>
          </cell>
          <cell r="AC113">
            <v>0</v>
          </cell>
          <cell r="AD113">
            <v>-5</v>
          </cell>
        </row>
        <row r="114">
          <cell r="A114" t="str">
            <v>21.23.01199</v>
          </cell>
          <cell r="B114" t="str">
            <v>ESTICADOR PECA 02 \ AA_4320_00</v>
          </cell>
          <cell r="D114" t="str">
            <v>-</v>
          </cell>
          <cell r="E114" t="str">
            <v>-</v>
          </cell>
          <cell r="F114" t="str">
            <v>-</v>
          </cell>
          <cell r="G114" t="str">
            <v>-</v>
          </cell>
          <cell r="H114" t="str">
            <v>-</v>
          </cell>
          <cell r="I114" t="str">
            <v>-</v>
          </cell>
          <cell r="J114">
            <v>0</v>
          </cell>
          <cell r="K114">
            <v>0</v>
          </cell>
          <cell r="L114" t="str">
            <v>FALTA ENTREGA</v>
          </cell>
          <cell r="M114" t="str">
            <v>-</v>
          </cell>
          <cell r="N114" t="str">
            <v>OC'S METALFISA</v>
          </cell>
          <cell r="O114" t="str">
            <v>-</v>
          </cell>
          <cell r="Q114" t="str">
            <v>-</v>
          </cell>
          <cell r="S114">
            <v>53</v>
          </cell>
          <cell r="T114" t="str">
            <v>OC'S MAPHE</v>
          </cell>
          <cell r="U114">
            <v>53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53</v>
          </cell>
          <cell r="AA114">
            <v>53</v>
          </cell>
          <cell r="AB114">
            <v>0</v>
          </cell>
          <cell r="AC114">
            <v>0</v>
          </cell>
          <cell r="AD114">
            <v>-53</v>
          </cell>
        </row>
        <row r="115">
          <cell r="A115" t="str">
            <v>21.23.01201</v>
          </cell>
          <cell r="B115" t="str">
            <v>SUPORTE DO SENSOR \ AA_4324_00</v>
          </cell>
          <cell r="D115" t="str">
            <v>-</v>
          </cell>
          <cell r="E115" t="str">
            <v>-</v>
          </cell>
          <cell r="F115" t="str">
            <v>-</v>
          </cell>
          <cell r="G115" t="str">
            <v>-</v>
          </cell>
          <cell r="H115" t="str">
            <v>-</v>
          </cell>
          <cell r="I115" t="str">
            <v>-</v>
          </cell>
          <cell r="J115">
            <v>0</v>
          </cell>
          <cell r="K115">
            <v>-12</v>
          </cell>
          <cell r="L115" t="str">
            <v>FALTA ENTREGA</v>
          </cell>
          <cell r="M115" t="str">
            <v>-</v>
          </cell>
          <cell r="N115" t="str">
            <v>OC'S METALFISA</v>
          </cell>
          <cell r="O115" t="str">
            <v>-</v>
          </cell>
          <cell r="Q115" t="str">
            <v>-</v>
          </cell>
          <cell r="S115" t="str">
            <v>-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4</v>
          </cell>
          <cell r="Z115">
            <v>8</v>
          </cell>
          <cell r="AA115">
            <v>12</v>
          </cell>
          <cell r="AB115">
            <v>0</v>
          </cell>
          <cell r="AC115">
            <v>0</v>
          </cell>
          <cell r="AD115">
            <v>-12</v>
          </cell>
        </row>
        <row r="116">
          <cell r="A116" t="str">
            <v>21.23.01288</v>
          </cell>
          <cell r="B116" t="str">
            <v>FECHAMENTO LAT DO OBTURADOR DO CORPO INT \ AA_4475_01</v>
          </cell>
          <cell r="D116" t="str">
            <v>-</v>
          </cell>
          <cell r="E116" t="str">
            <v>-</v>
          </cell>
          <cell r="F116" t="str">
            <v>-</v>
          </cell>
          <cell r="G116" t="str">
            <v>-</v>
          </cell>
          <cell r="H116" t="str">
            <v>-</v>
          </cell>
          <cell r="I116" t="str">
            <v>-</v>
          </cell>
          <cell r="J116">
            <v>0</v>
          </cell>
          <cell r="K116">
            <v>1</v>
          </cell>
          <cell r="L116" t="str">
            <v>FALTA ENTREGA</v>
          </cell>
          <cell r="M116">
            <v>33</v>
          </cell>
          <cell r="N116" t="str">
            <v>OC'S METALFISA</v>
          </cell>
          <cell r="O116" t="str">
            <v>-</v>
          </cell>
          <cell r="Q116" t="str">
            <v>-</v>
          </cell>
          <cell r="S116" t="str">
            <v>-</v>
          </cell>
          <cell r="U116">
            <v>33</v>
          </cell>
          <cell r="V116">
            <v>3</v>
          </cell>
          <cell r="W116">
            <v>0</v>
          </cell>
          <cell r="X116">
            <v>0</v>
          </cell>
          <cell r="Y116">
            <v>0</v>
          </cell>
          <cell r="Z116">
            <v>29</v>
          </cell>
          <cell r="AA116">
            <v>32</v>
          </cell>
          <cell r="AB116">
            <v>3</v>
          </cell>
          <cell r="AC116">
            <v>0</v>
          </cell>
          <cell r="AD116">
            <v>-32</v>
          </cell>
        </row>
        <row r="117">
          <cell r="A117" t="str">
            <v>21.23.01289</v>
          </cell>
          <cell r="B117" t="str">
            <v>FECHAMENTO DA LAT. DO PESCOCO \ AA_4476_02</v>
          </cell>
          <cell r="D117" t="str">
            <v>-</v>
          </cell>
          <cell r="E117" t="str">
            <v>-</v>
          </cell>
          <cell r="F117" t="str">
            <v>-</v>
          </cell>
          <cell r="G117" t="str">
            <v>-</v>
          </cell>
          <cell r="H117" t="str">
            <v>-</v>
          </cell>
          <cell r="I117" t="str">
            <v>-</v>
          </cell>
          <cell r="J117">
            <v>0</v>
          </cell>
          <cell r="K117">
            <v>7</v>
          </cell>
          <cell r="L117" t="str">
            <v>FALTA ENTREGA</v>
          </cell>
          <cell r="M117">
            <v>33</v>
          </cell>
          <cell r="N117" t="str">
            <v>OC'S METALFISA</v>
          </cell>
          <cell r="O117" t="str">
            <v>-</v>
          </cell>
          <cell r="Q117" t="str">
            <v>-</v>
          </cell>
          <cell r="S117" t="str">
            <v>-</v>
          </cell>
          <cell r="U117">
            <v>33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26</v>
          </cell>
          <cell r="AA117">
            <v>26</v>
          </cell>
          <cell r="AB117">
            <v>0</v>
          </cell>
          <cell r="AC117">
            <v>0</v>
          </cell>
          <cell r="AD117">
            <v>-26</v>
          </cell>
        </row>
        <row r="118">
          <cell r="A118" t="str">
            <v>21.23.01295</v>
          </cell>
          <cell r="B118" t="str">
            <v>CHAPA DE FECHAMENTO DO INTERCOMUNICADOR \ AA_4487_01</v>
          </cell>
          <cell r="D118" t="str">
            <v>-</v>
          </cell>
          <cell r="E118" t="str">
            <v>-</v>
          </cell>
          <cell r="F118" t="str">
            <v>-</v>
          </cell>
          <cell r="G118" t="str">
            <v>-</v>
          </cell>
          <cell r="H118" t="str">
            <v>-</v>
          </cell>
          <cell r="I118" t="str">
            <v>-</v>
          </cell>
          <cell r="J118">
            <v>0</v>
          </cell>
          <cell r="K118">
            <v>0</v>
          </cell>
          <cell r="L118" t="str">
            <v>FALTA ENTREGA</v>
          </cell>
          <cell r="M118">
            <v>1</v>
          </cell>
          <cell r="N118" t="str">
            <v>OC'S METALFISA</v>
          </cell>
          <cell r="O118" t="str">
            <v>-</v>
          </cell>
          <cell r="Q118" t="str">
            <v>-</v>
          </cell>
          <cell r="S118" t="str">
            <v>-</v>
          </cell>
          <cell r="U118">
            <v>1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1</v>
          </cell>
          <cell r="AA118">
            <v>1</v>
          </cell>
          <cell r="AB118">
            <v>0</v>
          </cell>
          <cell r="AC118">
            <v>0</v>
          </cell>
          <cell r="AD118">
            <v>-1</v>
          </cell>
        </row>
        <row r="119">
          <cell r="A119" t="str">
            <v>21.23.01296</v>
          </cell>
          <cell r="B119" t="str">
            <v>CANALETA DE CABOS \ AA_4488_03</v>
          </cell>
          <cell r="C119">
            <v>46074</v>
          </cell>
          <cell r="D119">
            <v>2</v>
          </cell>
          <cell r="E119" t="str">
            <v>-</v>
          </cell>
          <cell r="F119" t="str">
            <v>-</v>
          </cell>
          <cell r="G119" t="str">
            <v>-</v>
          </cell>
          <cell r="H119" t="str">
            <v>-</v>
          </cell>
          <cell r="I119" t="str">
            <v>-</v>
          </cell>
          <cell r="J119">
            <v>0</v>
          </cell>
          <cell r="K119">
            <v>98</v>
          </cell>
          <cell r="L119" t="str">
            <v>ENTREGA TOTAL</v>
          </cell>
          <cell r="M119">
            <v>66</v>
          </cell>
          <cell r="N119" t="str">
            <v>OC'S METALFISA</v>
          </cell>
          <cell r="O119" t="str">
            <v>-</v>
          </cell>
          <cell r="Q119" t="str">
            <v>-</v>
          </cell>
          <cell r="S119" t="str">
            <v>-</v>
          </cell>
          <cell r="U119">
            <v>66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35</v>
          </cell>
          <cell r="AA119">
            <v>35</v>
          </cell>
          <cell r="AB119">
            <v>0</v>
          </cell>
          <cell r="AC119">
            <v>65</v>
          </cell>
          <cell r="AD119">
            <v>30</v>
          </cell>
        </row>
        <row r="120">
          <cell r="A120" t="str">
            <v>21.23.01302</v>
          </cell>
          <cell r="B120" t="str">
            <v>FECHAMENTO 01 SEM CORRIMAO \ AA_4497_00</v>
          </cell>
          <cell r="D120" t="str">
            <v>-</v>
          </cell>
          <cell r="E120" t="str">
            <v>-</v>
          </cell>
          <cell r="F120" t="str">
            <v>-</v>
          </cell>
          <cell r="G120" t="str">
            <v>-</v>
          </cell>
          <cell r="H120" t="str">
            <v>-</v>
          </cell>
          <cell r="I120" t="str">
            <v>-</v>
          </cell>
          <cell r="J120">
            <v>0</v>
          </cell>
          <cell r="K120">
            <v>59</v>
          </cell>
          <cell r="L120" t="str">
            <v>FALTA ENTREGA</v>
          </cell>
          <cell r="M120">
            <v>60</v>
          </cell>
          <cell r="N120" t="str">
            <v>OC'S METALFISA</v>
          </cell>
          <cell r="O120" t="str">
            <v>-</v>
          </cell>
          <cell r="Q120" t="str">
            <v>-</v>
          </cell>
          <cell r="S120" t="str">
            <v>-</v>
          </cell>
          <cell r="U120">
            <v>60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1</v>
          </cell>
          <cell r="AA120">
            <v>1</v>
          </cell>
          <cell r="AB120">
            <v>0</v>
          </cell>
          <cell r="AC120">
            <v>0</v>
          </cell>
          <cell r="AD120">
            <v>-1</v>
          </cell>
        </row>
        <row r="121">
          <cell r="A121" t="str">
            <v>21.23.01312</v>
          </cell>
          <cell r="B121" t="str">
            <v>ACABAMENTO LATERAL SUPERIOR \ AA_3306_01</v>
          </cell>
          <cell r="D121" t="str">
            <v>-</v>
          </cell>
          <cell r="E121" t="str">
            <v>-</v>
          </cell>
          <cell r="F121" t="str">
            <v>-</v>
          </cell>
          <cell r="G121" t="str">
            <v>-</v>
          </cell>
          <cell r="H121" t="str">
            <v>-</v>
          </cell>
          <cell r="I121" t="str">
            <v>-</v>
          </cell>
          <cell r="J121">
            <v>0</v>
          </cell>
          <cell r="K121">
            <v>263</v>
          </cell>
          <cell r="L121" t="str">
            <v>FALTA ENTREGA</v>
          </cell>
          <cell r="M121">
            <v>288</v>
          </cell>
          <cell r="N121" t="str">
            <v>OC'S METALFISA</v>
          </cell>
          <cell r="O121" t="str">
            <v>-</v>
          </cell>
          <cell r="Q121" t="str">
            <v>-</v>
          </cell>
          <cell r="S121" t="str">
            <v>-</v>
          </cell>
          <cell r="U121">
            <v>288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25</v>
          </cell>
          <cell r="AA121">
            <v>25</v>
          </cell>
          <cell r="AB121">
            <v>0</v>
          </cell>
          <cell r="AC121">
            <v>0</v>
          </cell>
          <cell r="AD121">
            <v>-25</v>
          </cell>
        </row>
        <row r="122">
          <cell r="A122" t="str">
            <v>21.23.01314</v>
          </cell>
          <cell r="B122" t="str">
            <v>ACABAMENTO INTERNO MEIO \ AA_3310_01</v>
          </cell>
          <cell r="D122" t="str">
            <v>-</v>
          </cell>
          <cell r="E122" t="str">
            <v>-</v>
          </cell>
          <cell r="F122" t="str">
            <v>-</v>
          </cell>
          <cell r="G122" t="str">
            <v>-</v>
          </cell>
          <cell r="H122" t="str">
            <v>-</v>
          </cell>
          <cell r="I122" t="str">
            <v>-</v>
          </cell>
          <cell r="J122">
            <v>0</v>
          </cell>
          <cell r="K122">
            <v>161</v>
          </cell>
          <cell r="L122" t="str">
            <v>FALTA ENTREGA</v>
          </cell>
          <cell r="M122">
            <v>177</v>
          </cell>
          <cell r="N122" t="str">
            <v>OC'S METALFISA</v>
          </cell>
          <cell r="O122" t="str">
            <v>-</v>
          </cell>
          <cell r="Q122" t="str">
            <v>-</v>
          </cell>
          <cell r="S122" t="str">
            <v>-</v>
          </cell>
          <cell r="U122">
            <v>177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16</v>
          </cell>
          <cell r="AA122">
            <v>16</v>
          </cell>
          <cell r="AB122">
            <v>0</v>
          </cell>
          <cell r="AC122">
            <v>0</v>
          </cell>
          <cell r="AD122">
            <v>-16</v>
          </cell>
        </row>
        <row r="123">
          <cell r="A123" t="str">
            <v>21.23.01329</v>
          </cell>
          <cell r="B123" t="str">
            <v>ACABAMENTO DA QUINA \ AA_3330_01</v>
          </cell>
          <cell r="D123" t="str">
            <v>-</v>
          </cell>
          <cell r="E123" t="str">
            <v>-</v>
          </cell>
          <cell r="F123" t="str">
            <v>-</v>
          </cell>
          <cell r="G123" t="str">
            <v>-</v>
          </cell>
          <cell r="H123" t="str">
            <v>-</v>
          </cell>
          <cell r="I123" t="str">
            <v>-</v>
          </cell>
          <cell r="J123">
            <v>0</v>
          </cell>
          <cell r="K123">
            <v>32</v>
          </cell>
          <cell r="L123" t="str">
            <v>FALTA ENTREGA</v>
          </cell>
          <cell r="M123">
            <v>33</v>
          </cell>
          <cell r="N123" t="str">
            <v>OC'S METALFISA</v>
          </cell>
          <cell r="O123" t="str">
            <v>-</v>
          </cell>
          <cell r="Q123" t="str">
            <v>-</v>
          </cell>
          <cell r="S123" t="str">
            <v>-</v>
          </cell>
          <cell r="U123">
            <v>33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1</v>
          </cell>
          <cell r="AA123">
            <v>1</v>
          </cell>
          <cell r="AB123">
            <v>0</v>
          </cell>
          <cell r="AC123">
            <v>0</v>
          </cell>
          <cell r="AD123">
            <v>-1</v>
          </cell>
        </row>
        <row r="124">
          <cell r="A124" t="str">
            <v>21.23.01331</v>
          </cell>
          <cell r="B124" t="str">
            <v>TAMPA TRASEIRA \ AA_3334_01</v>
          </cell>
          <cell r="D124" t="str">
            <v>-</v>
          </cell>
          <cell r="E124" t="str">
            <v>-</v>
          </cell>
          <cell r="F124" t="str">
            <v>-</v>
          </cell>
          <cell r="G124" t="str">
            <v>-</v>
          </cell>
          <cell r="H124" t="str">
            <v>-</v>
          </cell>
          <cell r="I124">
            <v>1</v>
          </cell>
          <cell r="J124">
            <v>1</v>
          </cell>
          <cell r="K124">
            <v>22</v>
          </cell>
          <cell r="L124" t="str">
            <v>FALTA ENTREGA</v>
          </cell>
          <cell r="M124">
            <v>88</v>
          </cell>
          <cell r="N124" t="str">
            <v>OC'S METALFISA</v>
          </cell>
          <cell r="O124" t="str">
            <v>-</v>
          </cell>
          <cell r="Q124" t="str">
            <v>-</v>
          </cell>
          <cell r="S124" t="str">
            <v>-</v>
          </cell>
          <cell r="U124">
            <v>88</v>
          </cell>
          <cell r="V124">
            <v>12</v>
          </cell>
          <cell r="W124">
            <v>15</v>
          </cell>
          <cell r="X124">
            <v>25</v>
          </cell>
          <cell r="Y124">
            <v>0</v>
          </cell>
          <cell r="Z124">
            <v>15</v>
          </cell>
          <cell r="AA124">
            <v>67</v>
          </cell>
          <cell r="AB124">
            <v>12</v>
          </cell>
          <cell r="AC124">
            <v>0</v>
          </cell>
          <cell r="AD124">
            <v>-67</v>
          </cell>
        </row>
        <row r="125">
          <cell r="A125" t="str">
            <v>21.23.01364</v>
          </cell>
          <cell r="B125" t="str">
            <v>MONTAGEM COLUNA DO ROLETES \ AA_3369_02</v>
          </cell>
          <cell r="D125" t="str">
            <v>-</v>
          </cell>
          <cell r="E125" t="str">
            <v>-</v>
          </cell>
          <cell r="F125" t="str">
            <v>-</v>
          </cell>
          <cell r="G125" t="str">
            <v>-</v>
          </cell>
          <cell r="H125" t="str">
            <v>-</v>
          </cell>
          <cell r="I125" t="str">
            <v>-</v>
          </cell>
          <cell r="J125">
            <v>0</v>
          </cell>
          <cell r="K125">
            <v>283</v>
          </cell>
          <cell r="L125" t="str">
            <v>FALTA ENTREGA</v>
          </cell>
          <cell r="M125" t="str">
            <v>-</v>
          </cell>
          <cell r="N125" t="str">
            <v>OC'S METALFISA</v>
          </cell>
          <cell r="O125" t="str">
            <v>-</v>
          </cell>
          <cell r="Q125" t="str">
            <v>-</v>
          </cell>
          <cell r="S125">
            <v>320</v>
          </cell>
          <cell r="T125" t="str">
            <v>OC'S MAPHE</v>
          </cell>
          <cell r="U125">
            <v>320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37</v>
          </cell>
          <cell r="AA125">
            <v>37</v>
          </cell>
          <cell r="AB125">
            <v>0</v>
          </cell>
          <cell r="AC125">
            <v>0</v>
          </cell>
          <cell r="AD125">
            <v>-37</v>
          </cell>
        </row>
        <row r="126">
          <cell r="A126" t="str">
            <v>21.23.01409</v>
          </cell>
          <cell r="B126" t="str">
            <v>SOLDA DA BASE COM A COLUNA \ AA_4539_03</v>
          </cell>
          <cell r="C126">
            <v>46072</v>
          </cell>
          <cell r="D126" t="str">
            <v>-</v>
          </cell>
          <cell r="E126" t="str">
            <v>-</v>
          </cell>
          <cell r="F126">
            <v>2</v>
          </cell>
          <cell r="G126" t="str">
            <v>-</v>
          </cell>
          <cell r="H126" t="str">
            <v>-</v>
          </cell>
          <cell r="I126">
            <v>6</v>
          </cell>
          <cell r="J126">
            <v>8</v>
          </cell>
          <cell r="K126">
            <v>19</v>
          </cell>
          <cell r="L126" t="str">
            <v>ENTREGA PARCIAL</v>
          </cell>
          <cell r="M126" t="str">
            <v>-</v>
          </cell>
          <cell r="N126" t="str">
            <v>OC'S METALFISA</v>
          </cell>
          <cell r="O126" t="str">
            <v>-</v>
          </cell>
          <cell r="Q126" t="str">
            <v>-</v>
          </cell>
          <cell r="S126">
            <v>50</v>
          </cell>
          <cell r="T126" t="str">
            <v>OC'S MAPHE</v>
          </cell>
          <cell r="U126">
            <v>50</v>
          </cell>
          <cell r="V126">
            <v>13</v>
          </cell>
          <cell r="W126">
            <v>10</v>
          </cell>
          <cell r="X126">
            <v>0</v>
          </cell>
          <cell r="Y126">
            <v>0</v>
          </cell>
          <cell r="Z126">
            <v>20</v>
          </cell>
          <cell r="AA126">
            <v>43</v>
          </cell>
          <cell r="AB126">
            <v>9</v>
          </cell>
          <cell r="AC126">
            <v>4</v>
          </cell>
          <cell r="AD126">
            <v>-39</v>
          </cell>
        </row>
        <row r="127">
          <cell r="A127" t="str">
            <v>21.23.01410</v>
          </cell>
          <cell r="B127" t="str">
            <v>CALCO DA TRAVA DO MONITOR \ AA_4550_01</v>
          </cell>
          <cell r="D127" t="str">
            <v>-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  <cell r="I127" t="str">
            <v>-</v>
          </cell>
          <cell r="J127">
            <v>0</v>
          </cell>
          <cell r="K127">
            <v>-11</v>
          </cell>
          <cell r="L127" t="str">
            <v>FALTA ENTREGA</v>
          </cell>
          <cell r="M127" t="str">
            <v>-</v>
          </cell>
          <cell r="N127" t="str">
            <v>OC'S METALFISA</v>
          </cell>
          <cell r="O127" t="str">
            <v>-</v>
          </cell>
          <cell r="Q127" t="str">
            <v>-</v>
          </cell>
          <cell r="S127" t="str">
            <v>-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11</v>
          </cell>
          <cell r="AA127">
            <v>11</v>
          </cell>
          <cell r="AB127">
            <v>0</v>
          </cell>
          <cell r="AC127">
            <v>0</v>
          </cell>
          <cell r="AD127">
            <v>-11</v>
          </cell>
        </row>
        <row r="128">
          <cell r="A128" t="str">
            <v>21.23.01411</v>
          </cell>
          <cell r="B128" t="str">
            <v>TRAVA CABO 01 \ AA_4553_00</v>
          </cell>
          <cell r="C128">
            <v>46066</v>
          </cell>
          <cell r="D128" t="str">
            <v>-</v>
          </cell>
          <cell r="E128" t="str">
            <v>-</v>
          </cell>
          <cell r="F128" t="str">
            <v>-</v>
          </cell>
          <cell r="G128" t="str">
            <v>-</v>
          </cell>
          <cell r="H128" t="str">
            <v>-</v>
          </cell>
          <cell r="I128" t="str">
            <v>-</v>
          </cell>
          <cell r="J128">
            <v>0</v>
          </cell>
          <cell r="K128">
            <v>40</v>
          </cell>
          <cell r="L128" t="str">
            <v>ENTREGA TOTAL</v>
          </cell>
          <cell r="M128" t="str">
            <v>-</v>
          </cell>
          <cell r="N128" t="str">
            <v>OC'S METALFISA</v>
          </cell>
          <cell r="O128" t="str">
            <v>-</v>
          </cell>
          <cell r="Q128" t="str">
            <v>-</v>
          </cell>
          <cell r="S128">
            <v>40</v>
          </cell>
          <cell r="T128" t="str">
            <v>OC'S MAPHE</v>
          </cell>
          <cell r="U128">
            <v>40</v>
          </cell>
          <cell r="V128">
            <v>10</v>
          </cell>
          <cell r="W128">
            <v>10</v>
          </cell>
          <cell r="X128">
            <v>0</v>
          </cell>
          <cell r="Y128">
            <v>0</v>
          </cell>
          <cell r="Z128">
            <v>20</v>
          </cell>
          <cell r="AA128">
            <v>40</v>
          </cell>
          <cell r="AB128">
            <v>0</v>
          </cell>
          <cell r="AC128">
            <v>40</v>
          </cell>
          <cell r="AD128">
            <v>0</v>
          </cell>
        </row>
        <row r="129">
          <cell r="A129" t="str">
            <v>21.23.01412</v>
          </cell>
          <cell r="B129" t="str">
            <v>TRAVA CABO 02 \ AA_4554_00</v>
          </cell>
          <cell r="D129" t="str">
            <v>-</v>
          </cell>
          <cell r="E129" t="str">
            <v>-</v>
          </cell>
          <cell r="F129" t="str">
            <v>-</v>
          </cell>
          <cell r="G129" t="str">
            <v>-</v>
          </cell>
          <cell r="H129" t="str">
            <v>-</v>
          </cell>
          <cell r="I129" t="str">
            <v>-</v>
          </cell>
          <cell r="J129">
            <v>0</v>
          </cell>
          <cell r="K129" t="e">
            <v>#VALUE!</v>
          </cell>
          <cell r="L129" t="str">
            <v>ENTREGA TOTAL</v>
          </cell>
          <cell r="M129" t="str">
            <v>-</v>
          </cell>
          <cell r="N129" t="str">
            <v>OC'S METALFISA</v>
          </cell>
          <cell r="O129" t="str">
            <v>-</v>
          </cell>
          <cell r="Q129" t="str">
            <v>-</v>
          </cell>
          <cell r="S129" t="str">
            <v>-</v>
          </cell>
          <cell r="U129">
            <v>0</v>
          </cell>
          <cell r="V129">
            <v>9</v>
          </cell>
          <cell r="W129">
            <v>10</v>
          </cell>
          <cell r="X129">
            <v>0</v>
          </cell>
          <cell r="Y129">
            <v>0</v>
          </cell>
          <cell r="Z129">
            <v>20</v>
          </cell>
          <cell r="AA129">
            <v>39</v>
          </cell>
          <cell r="AB129" t="str">
            <v>0</v>
          </cell>
          <cell r="AC129" t="str">
            <v>-</v>
          </cell>
          <cell r="AD129" t="str">
            <v>-</v>
          </cell>
        </row>
        <row r="130">
          <cell r="A130" t="str">
            <v>21.23.01413</v>
          </cell>
          <cell r="B130" t="str">
            <v>MONTAGEM DO SUPORTE DO TECLADO \ AA_4555_00</v>
          </cell>
          <cell r="D130" t="str">
            <v>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  <cell r="I130" t="str">
            <v>-</v>
          </cell>
          <cell r="J130">
            <v>0</v>
          </cell>
          <cell r="K130">
            <v>10</v>
          </cell>
          <cell r="L130" t="str">
            <v>FALTA ENTREGA</v>
          </cell>
          <cell r="M130" t="str">
            <v>-</v>
          </cell>
          <cell r="N130" t="str">
            <v>OC'S METALFISA</v>
          </cell>
          <cell r="O130" t="str">
            <v>-</v>
          </cell>
          <cell r="Q130" t="str">
            <v>-</v>
          </cell>
          <cell r="S130">
            <v>57</v>
          </cell>
          <cell r="T130" t="str">
            <v>OC'S MAPHE</v>
          </cell>
          <cell r="U130">
            <v>57</v>
          </cell>
          <cell r="V130">
            <v>17</v>
          </cell>
          <cell r="W130">
            <v>10</v>
          </cell>
          <cell r="X130">
            <v>0</v>
          </cell>
          <cell r="Y130">
            <v>0</v>
          </cell>
          <cell r="Z130">
            <v>20</v>
          </cell>
          <cell r="AA130">
            <v>47</v>
          </cell>
          <cell r="AB130">
            <v>7</v>
          </cell>
          <cell r="AC130">
            <v>0</v>
          </cell>
          <cell r="AD130">
            <v>-47</v>
          </cell>
        </row>
        <row r="131">
          <cell r="A131" t="str">
            <v>21.23.01414</v>
          </cell>
          <cell r="B131" t="str">
            <v>TRAVA DO NYLON \ AA_4558_01</v>
          </cell>
          <cell r="C131">
            <v>46074</v>
          </cell>
          <cell r="D131" t="str">
            <v>-</v>
          </cell>
          <cell r="E131" t="str">
            <v>-</v>
          </cell>
          <cell r="F131" t="str">
            <v>-</v>
          </cell>
          <cell r="G131" t="str">
            <v>-</v>
          </cell>
          <cell r="H131" t="str">
            <v>-</v>
          </cell>
          <cell r="I131" t="str">
            <v>-</v>
          </cell>
          <cell r="J131">
            <v>0</v>
          </cell>
          <cell r="K131">
            <v>233</v>
          </cell>
          <cell r="L131" t="str">
            <v>ENTREGA TOTAL</v>
          </cell>
          <cell r="M131" t="str">
            <v>-</v>
          </cell>
          <cell r="N131" t="str">
            <v>OC'S METALFISA</v>
          </cell>
          <cell r="O131">
            <v>160</v>
          </cell>
          <cell r="P131" t="str">
            <v>OC'S GRANATO</v>
          </cell>
          <cell r="Q131">
            <v>13</v>
          </cell>
          <cell r="S131">
            <v>27</v>
          </cell>
          <cell r="T131" t="str">
            <v>OC'S MAPHE</v>
          </cell>
          <cell r="U131">
            <v>200</v>
          </cell>
          <cell r="V131">
            <v>7</v>
          </cell>
          <cell r="W131">
            <v>40</v>
          </cell>
          <cell r="X131">
            <v>0</v>
          </cell>
          <cell r="Y131">
            <v>0</v>
          </cell>
          <cell r="Z131">
            <v>80</v>
          </cell>
          <cell r="AA131">
            <v>127</v>
          </cell>
          <cell r="AB131">
            <v>0</v>
          </cell>
          <cell r="AC131">
            <v>160</v>
          </cell>
          <cell r="AD131">
            <v>33</v>
          </cell>
        </row>
        <row r="132">
          <cell r="A132" t="str">
            <v>21.23.01415</v>
          </cell>
          <cell r="B132" t="str">
            <v>PECA DE NYLON P1 \ AA_4559_00</v>
          </cell>
          <cell r="D132" t="str">
            <v>-</v>
          </cell>
          <cell r="E132" t="str">
            <v>-</v>
          </cell>
          <cell r="F132" t="str">
            <v>-</v>
          </cell>
          <cell r="G132" t="str">
            <v>-</v>
          </cell>
          <cell r="H132" t="str">
            <v>-</v>
          </cell>
          <cell r="I132" t="str">
            <v>-</v>
          </cell>
          <cell r="J132">
            <v>0</v>
          </cell>
          <cell r="K132">
            <v>237</v>
          </cell>
          <cell r="L132" t="str">
            <v>FALTA ENTREGA</v>
          </cell>
          <cell r="M132" t="str">
            <v>-</v>
          </cell>
          <cell r="N132" t="str">
            <v>OC'S METALFISA</v>
          </cell>
          <cell r="O132" t="str">
            <v>-</v>
          </cell>
          <cell r="Q132" t="str">
            <v>-</v>
          </cell>
          <cell r="S132">
            <v>742</v>
          </cell>
          <cell r="T132" t="str">
            <v>OC'S MAPHE</v>
          </cell>
          <cell r="U132">
            <v>742</v>
          </cell>
          <cell r="V132">
            <v>85</v>
          </cell>
          <cell r="W132">
            <v>140</v>
          </cell>
          <cell r="X132">
            <v>0</v>
          </cell>
          <cell r="Y132">
            <v>0</v>
          </cell>
          <cell r="Z132">
            <v>280</v>
          </cell>
          <cell r="AA132">
            <v>505</v>
          </cell>
          <cell r="AB132">
            <v>0</v>
          </cell>
          <cell r="AC132">
            <v>0</v>
          </cell>
          <cell r="AD132">
            <v>-505</v>
          </cell>
        </row>
        <row r="133">
          <cell r="A133" t="str">
            <v>21.23.01416</v>
          </cell>
          <cell r="B133" t="str">
            <v>FECHAMENTO FRONTAL / AA_4560_01</v>
          </cell>
          <cell r="C133">
            <v>46072</v>
          </cell>
          <cell r="D133" t="str">
            <v>-</v>
          </cell>
          <cell r="E133" t="str">
            <v>-</v>
          </cell>
          <cell r="F133" t="str">
            <v>-</v>
          </cell>
          <cell r="G133" t="str">
            <v>-</v>
          </cell>
          <cell r="H133" t="str">
            <v>-</v>
          </cell>
          <cell r="I133" t="str">
            <v>-</v>
          </cell>
          <cell r="J133">
            <v>0</v>
          </cell>
          <cell r="K133">
            <v>40</v>
          </cell>
          <cell r="L133" t="str">
            <v>ENTREGA PARCIAL</v>
          </cell>
          <cell r="M133" t="str">
            <v>-</v>
          </cell>
          <cell r="N133" t="str">
            <v>OC'S METALFISA</v>
          </cell>
          <cell r="O133">
            <v>50</v>
          </cell>
          <cell r="P133" t="str">
            <v>OC'S GRANATO</v>
          </cell>
          <cell r="Q133" t="str">
            <v>-</v>
          </cell>
          <cell r="S133" t="str">
            <v>-</v>
          </cell>
          <cell r="U133">
            <v>50</v>
          </cell>
          <cell r="V133">
            <v>10</v>
          </cell>
          <cell r="W133">
            <v>10</v>
          </cell>
          <cell r="X133">
            <v>0</v>
          </cell>
          <cell r="Y133">
            <v>0</v>
          </cell>
          <cell r="Z133">
            <v>20</v>
          </cell>
          <cell r="AA133">
            <v>40</v>
          </cell>
          <cell r="AB133">
            <v>0</v>
          </cell>
          <cell r="AC133">
            <v>30</v>
          </cell>
          <cell r="AD133">
            <v>-10</v>
          </cell>
        </row>
        <row r="134">
          <cell r="A134" t="str">
            <v>21.23.01417</v>
          </cell>
          <cell r="B134" t="str">
            <v>TRAVA DA CORREDICA \ AA_4561_02</v>
          </cell>
          <cell r="D134" t="str">
            <v>-</v>
          </cell>
          <cell r="E134" t="str">
            <v>-</v>
          </cell>
          <cell r="F134" t="str">
            <v>-</v>
          </cell>
          <cell r="G134" t="str">
            <v>-</v>
          </cell>
          <cell r="H134" t="str">
            <v>-</v>
          </cell>
          <cell r="I134" t="str">
            <v>-</v>
          </cell>
          <cell r="J134">
            <v>0</v>
          </cell>
          <cell r="K134">
            <v>0</v>
          </cell>
          <cell r="L134" t="str">
            <v>ENTREGA PARCIAL</v>
          </cell>
          <cell r="M134" t="str">
            <v>-</v>
          </cell>
          <cell r="N134" t="str">
            <v>OC'S METALFISA</v>
          </cell>
          <cell r="O134">
            <v>2</v>
          </cell>
          <cell r="P134" t="str">
            <v>OC'S GRANATO</v>
          </cell>
          <cell r="Q134" t="str">
            <v>-</v>
          </cell>
          <cell r="S134" t="str">
            <v>-</v>
          </cell>
          <cell r="U134">
            <v>2</v>
          </cell>
          <cell r="V134">
            <v>10</v>
          </cell>
          <cell r="W134">
            <v>10</v>
          </cell>
          <cell r="X134">
            <v>0</v>
          </cell>
          <cell r="Y134">
            <v>0</v>
          </cell>
          <cell r="Z134">
            <v>20</v>
          </cell>
          <cell r="AA134">
            <v>40</v>
          </cell>
          <cell r="AB134">
            <v>0</v>
          </cell>
          <cell r="AC134">
            <v>38</v>
          </cell>
          <cell r="AD134">
            <v>-2</v>
          </cell>
        </row>
        <row r="135">
          <cell r="A135" t="str">
            <v>21.23.01418</v>
          </cell>
          <cell r="B135" t="str">
            <v>CONTRA PESO 01 \ AA_4564_01</v>
          </cell>
          <cell r="C135">
            <v>46072</v>
          </cell>
          <cell r="D135" t="str">
            <v>-</v>
          </cell>
          <cell r="E135" t="str">
            <v>-</v>
          </cell>
          <cell r="F135" t="str">
            <v>-</v>
          </cell>
          <cell r="G135" t="str">
            <v>-</v>
          </cell>
          <cell r="H135" t="str">
            <v>-</v>
          </cell>
          <cell r="I135" t="str">
            <v>-</v>
          </cell>
          <cell r="J135">
            <v>0</v>
          </cell>
          <cell r="K135">
            <v>600</v>
          </cell>
          <cell r="L135" t="str">
            <v>ENTREGA TOTAL</v>
          </cell>
          <cell r="M135" t="str">
            <v>-</v>
          </cell>
          <cell r="N135" t="str">
            <v>OC'S METALFISA</v>
          </cell>
          <cell r="O135" t="str">
            <v>-</v>
          </cell>
          <cell r="Q135" t="str">
            <v>-</v>
          </cell>
          <cell r="S135">
            <v>500</v>
          </cell>
          <cell r="T135" t="str">
            <v>OC'S MAPHE</v>
          </cell>
          <cell r="U135">
            <v>500</v>
          </cell>
          <cell r="V135">
            <v>100</v>
          </cell>
          <cell r="W135">
            <v>100</v>
          </cell>
          <cell r="X135">
            <v>0</v>
          </cell>
          <cell r="Y135">
            <v>0</v>
          </cell>
          <cell r="Z135">
            <v>200</v>
          </cell>
          <cell r="AA135">
            <v>400</v>
          </cell>
          <cell r="AB135">
            <v>0</v>
          </cell>
          <cell r="AC135">
            <v>500</v>
          </cell>
          <cell r="AD135">
            <v>100</v>
          </cell>
        </row>
        <row r="136">
          <cell r="A136" t="str">
            <v>21.23.01419</v>
          </cell>
          <cell r="B136" t="str">
            <v>TRAVA DO CONTRA PESO \ AA_4565_01</v>
          </cell>
          <cell r="D136" t="str">
            <v>-</v>
          </cell>
          <cell r="E136" t="str">
            <v>-</v>
          </cell>
          <cell r="F136" t="str">
            <v>-</v>
          </cell>
          <cell r="G136" t="str">
            <v>-</v>
          </cell>
          <cell r="H136" t="str">
            <v>-</v>
          </cell>
          <cell r="I136" t="str">
            <v>-</v>
          </cell>
          <cell r="J136">
            <v>0</v>
          </cell>
          <cell r="K136">
            <v>10</v>
          </cell>
          <cell r="L136" t="str">
            <v>FALTA ENTREGA</v>
          </cell>
          <cell r="M136" t="str">
            <v>-</v>
          </cell>
          <cell r="N136" t="str">
            <v>OC'S METALFISA</v>
          </cell>
          <cell r="O136" t="str">
            <v>-</v>
          </cell>
          <cell r="Q136" t="str">
            <v>-</v>
          </cell>
          <cell r="S136">
            <v>50</v>
          </cell>
          <cell r="T136" t="str">
            <v>OC'S MAPHE</v>
          </cell>
          <cell r="U136">
            <v>50</v>
          </cell>
          <cell r="V136">
            <v>10</v>
          </cell>
          <cell r="W136">
            <v>10</v>
          </cell>
          <cell r="X136">
            <v>0</v>
          </cell>
          <cell r="Y136">
            <v>0</v>
          </cell>
          <cell r="Z136">
            <v>20</v>
          </cell>
          <cell r="AA136">
            <v>40</v>
          </cell>
          <cell r="AB136">
            <v>0</v>
          </cell>
          <cell r="AC136">
            <v>0</v>
          </cell>
          <cell r="AD136">
            <v>-40</v>
          </cell>
        </row>
        <row r="137">
          <cell r="A137" t="str">
            <v>21.23.01420</v>
          </cell>
          <cell r="B137" t="str">
            <v>TRAVA DO CONTRA PESO SUP. \ AA_4566_01</v>
          </cell>
          <cell r="C137">
            <v>46066</v>
          </cell>
          <cell r="D137" t="str">
            <v>-</v>
          </cell>
          <cell r="E137" t="str">
            <v>-</v>
          </cell>
          <cell r="F137" t="str">
            <v>-</v>
          </cell>
          <cell r="G137" t="str">
            <v>-</v>
          </cell>
          <cell r="H137" t="str">
            <v>-</v>
          </cell>
          <cell r="I137" t="str">
            <v>-</v>
          </cell>
          <cell r="J137">
            <v>0</v>
          </cell>
          <cell r="K137">
            <v>39</v>
          </cell>
          <cell r="L137" t="str">
            <v>ENTREGA PARCIAL</v>
          </cell>
          <cell r="M137" t="str">
            <v>-</v>
          </cell>
          <cell r="N137" t="str">
            <v>OC'S METALFISA</v>
          </cell>
          <cell r="O137" t="str">
            <v>-</v>
          </cell>
          <cell r="Q137" t="str">
            <v>-</v>
          </cell>
          <cell r="S137">
            <v>43</v>
          </cell>
          <cell r="T137" t="str">
            <v>OC'S MAPHE</v>
          </cell>
          <cell r="U137">
            <v>43</v>
          </cell>
          <cell r="V137">
            <v>14</v>
          </cell>
          <cell r="W137">
            <v>10</v>
          </cell>
          <cell r="X137">
            <v>0</v>
          </cell>
          <cell r="Y137">
            <v>0</v>
          </cell>
          <cell r="Z137">
            <v>20</v>
          </cell>
          <cell r="AA137">
            <v>44</v>
          </cell>
          <cell r="AB137">
            <v>0</v>
          </cell>
          <cell r="AC137">
            <v>40</v>
          </cell>
          <cell r="AD137">
            <v>-4</v>
          </cell>
        </row>
        <row r="138">
          <cell r="A138" t="str">
            <v>21.23.01421</v>
          </cell>
          <cell r="B138" t="str">
            <v>PECA DE BRONZE \ AA_4567_00</v>
          </cell>
          <cell r="D138" t="str">
            <v>-</v>
          </cell>
          <cell r="E138" t="str">
            <v>-</v>
          </cell>
          <cell r="F138" t="str">
            <v>-</v>
          </cell>
          <cell r="G138" t="str">
            <v>-</v>
          </cell>
          <cell r="H138" t="str">
            <v>-</v>
          </cell>
          <cell r="I138" t="str">
            <v>-</v>
          </cell>
          <cell r="J138">
            <v>0</v>
          </cell>
          <cell r="K138">
            <v>40</v>
          </cell>
          <cell r="L138" t="str">
            <v>FALTA ENTREGA</v>
          </cell>
          <cell r="M138" t="str">
            <v>-</v>
          </cell>
          <cell r="N138" t="str">
            <v>OC'S METALFISA</v>
          </cell>
          <cell r="O138" t="str">
            <v>-</v>
          </cell>
          <cell r="Q138" t="str">
            <v>-</v>
          </cell>
          <cell r="S138">
            <v>200</v>
          </cell>
          <cell r="T138" t="str">
            <v>OC'S MAPHE</v>
          </cell>
          <cell r="U138">
            <v>200</v>
          </cell>
          <cell r="V138">
            <v>40</v>
          </cell>
          <cell r="W138">
            <v>40</v>
          </cell>
          <cell r="X138">
            <v>0</v>
          </cell>
          <cell r="Y138">
            <v>0</v>
          </cell>
          <cell r="Z138">
            <v>80</v>
          </cell>
          <cell r="AA138">
            <v>160</v>
          </cell>
          <cell r="AB138">
            <v>0</v>
          </cell>
          <cell r="AC138">
            <v>0</v>
          </cell>
          <cell r="AD138">
            <v>-160</v>
          </cell>
        </row>
        <row r="139">
          <cell r="A139" t="str">
            <v>21.23.01422</v>
          </cell>
          <cell r="B139" t="str">
            <v>CONTRA PESO 01 \ AA_4568_01</v>
          </cell>
          <cell r="D139" t="str">
            <v>-</v>
          </cell>
          <cell r="E139" t="str">
            <v>-</v>
          </cell>
          <cell r="F139" t="str">
            <v>-</v>
          </cell>
          <cell r="G139" t="str">
            <v>-</v>
          </cell>
          <cell r="H139" t="str">
            <v>-</v>
          </cell>
          <cell r="I139" t="str">
            <v>-</v>
          </cell>
          <cell r="J139">
            <v>0</v>
          </cell>
          <cell r="K139" t="e">
            <v>#VALUE!</v>
          </cell>
          <cell r="L139" t="str">
            <v>ENTREGA TOTAL</v>
          </cell>
          <cell r="M139" t="str">
            <v>-</v>
          </cell>
          <cell r="N139" t="str">
            <v>OC'S METALFISA</v>
          </cell>
          <cell r="O139" t="str">
            <v>-</v>
          </cell>
          <cell r="Q139" t="str">
            <v>-</v>
          </cell>
          <cell r="S139" t="str">
            <v>-</v>
          </cell>
          <cell r="U139">
            <v>0</v>
          </cell>
          <cell r="V139">
            <v>50</v>
          </cell>
          <cell r="W139">
            <v>50</v>
          </cell>
          <cell r="X139">
            <v>0</v>
          </cell>
          <cell r="Y139">
            <v>0</v>
          </cell>
          <cell r="Z139">
            <v>100</v>
          </cell>
          <cell r="AA139">
            <v>200</v>
          </cell>
          <cell r="AB139" t="str">
            <v>0</v>
          </cell>
          <cell r="AC139" t="str">
            <v>-</v>
          </cell>
          <cell r="AD139" t="str">
            <v>-</v>
          </cell>
        </row>
        <row r="140">
          <cell r="A140" t="str">
            <v>21.23.01423</v>
          </cell>
          <cell r="B140" t="str">
            <v>POLIA DO CABO \ AA_4570_00</v>
          </cell>
          <cell r="D140" t="str">
            <v>-</v>
          </cell>
          <cell r="E140" t="str">
            <v>-</v>
          </cell>
          <cell r="F140" t="str">
            <v>-</v>
          </cell>
          <cell r="G140" t="str">
            <v>-</v>
          </cell>
          <cell r="H140" t="str">
            <v>-</v>
          </cell>
          <cell r="I140" t="str">
            <v>-</v>
          </cell>
          <cell r="J140">
            <v>0</v>
          </cell>
          <cell r="K140">
            <v>9</v>
          </cell>
          <cell r="L140" t="str">
            <v>ENTREGA TOTAL</v>
          </cell>
          <cell r="M140" t="str">
            <v>-</v>
          </cell>
          <cell r="N140" t="str">
            <v>OC'S METALFISA</v>
          </cell>
          <cell r="O140" t="str">
            <v>-</v>
          </cell>
          <cell r="Q140" t="str">
            <v>-</v>
          </cell>
          <cell r="S140" t="str">
            <v>-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1</v>
          </cell>
          <cell r="AA140">
            <v>1</v>
          </cell>
          <cell r="AB140">
            <v>0</v>
          </cell>
          <cell r="AC140">
            <v>10</v>
          </cell>
          <cell r="AD140">
            <v>9</v>
          </cell>
        </row>
        <row r="141">
          <cell r="A141" t="str">
            <v>21.23.01424</v>
          </cell>
          <cell r="B141" t="str">
            <v>TRAVA DO ROLAMENTO \ AA_4571_00</v>
          </cell>
          <cell r="C141">
            <v>46066</v>
          </cell>
          <cell r="D141" t="str">
            <v>-</v>
          </cell>
          <cell r="E141" t="str">
            <v>-</v>
          </cell>
          <cell r="F141" t="str">
            <v>-</v>
          </cell>
          <cell r="G141" t="str">
            <v>-</v>
          </cell>
          <cell r="H141" t="str">
            <v>-</v>
          </cell>
          <cell r="I141" t="str">
            <v>-</v>
          </cell>
          <cell r="J141">
            <v>0</v>
          </cell>
          <cell r="K141">
            <v>69</v>
          </cell>
          <cell r="L141" t="str">
            <v>ENTREGA TOTAL</v>
          </cell>
          <cell r="M141" t="str">
            <v>-</v>
          </cell>
          <cell r="N141" t="str">
            <v>OC'S METALFISA</v>
          </cell>
          <cell r="O141" t="str">
            <v>-</v>
          </cell>
          <cell r="Q141">
            <v>14</v>
          </cell>
          <cell r="S141">
            <v>40</v>
          </cell>
          <cell r="T141" t="str">
            <v>OC'S MAPHE</v>
          </cell>
          <cell r="U141">
            <v>54</v>
          </cell>
          <cell r="V141">
            <v>19</v>
          </cell>
          <cell r="W141">
            <v>10</v>
          </cell>
          <cell r="X141">
            <v>0</v>
          </cell>
          <cell r="Y141">
            <v>0</v>
          </cell>
          <cell r="Z141">
            <v>20</v>
          </cell>
          <cell r="AA141">
            <v>49</v>
          </cell>
          <cell r="AB141">
            <v>0</v>
          </cell>
          <cell r="AC141">
            <v>64</v>
          </cell>
          <cell r="AD141">
            <v>15</v>
          </cell>
        </row>
        <row r="142">
          <cell r="A142" t="str">
            <v>21.23.01426</v>
          </cell>
          <cell r="B142" t="str">
            <v>TRAVA DO EIXO DA POLIA \ AA_4573_01</v>
          </cell>
          <cell r="C142">
            <v>46066</v>
          </cell>
          <cell r="D142" t="str">
            <v>-</v>
          </cell>
          <cell r="E142" t="str">
            <v>-</v>
          </cell>
          <cell r="F142" t="str">
            <v>-</v>
          </cell>
          <cell r="G142" t="str">
            <v>-</v>
          </cell>
          <cell r="H142" t="str">
            <v>-</v>
          </cell>
          <cell r="I142" t="str">
            <v>-</v>
          </cell>
          <cell r="J142">
            <v>0</v>
          </cell>
          <cell r="K142">
            <v>80</v>
          </cell>
          <cell r="L142" t="str">
            <v>ENTREGA TOTAL</v>
          </cell>
          <cell r="M142" t="str">
            <v>-</v>
          </cell>
          <cell r="N142" t="str">
            <v>OC'S METALFISA</v>
          </cell>
          <cell r="O142" t="str">
            <v>-</v>
          </cell>
          <cell r="Q142" t="str">
            <v>-</v>
          </cell>
          <cell r="S142">
            <v>80</v>
          </cell>
          <cell r="T142" t="str">
            <v>OC'S MAPHE</v>
          </cell>
          <cell r="U142">
            <v>80</v>
          </cell>
          <cell r="V142">
            <v>20</v>
          </cell>
          <cell r="W142">
            <v>20</v>
          </cell>
          <cell r="X142">
            <v>0</v>
          </cell>
          <cell r="Y142">
            <v>0</v>
          </cell>
          <cell r="Z142">
            <v>40</v>
          </cell>
          <cell r="AA142">
            <v>80</v>
          </cell>
          <cell r="AB142">
            <v>0</v>
          </cell>
          <cell r="AC142">
            <v>80</v>
          </cell>
          <cell r="AD142">
            <v>0</v>
          </cell>
        </row>
        <row r="143">
          <cell r="A143" t="str">
            <v>21.23.01427</v>
          </cell>
          <cell r="B143" t="str">
            <v>FECHAMENTO DA POLIA \ AA_4574_00</v>
          </cell>
          <cell r="C143">
            <v>46074</v>
          </cell>
          <cell r="D143" t="str">
            <v>-</v>
          </cell>
          <cell r="E143" t="str">
            <v>-</v>
          </cell>
          <cell r="F143" t="str">
            <v>-</v>
          </cell>
          <cell r="G143" t="str">
            <v>-</v>
          </cell>
          <cell r="H143" t="str">
            <v>-</v>
          </cell>
          <cell r="I143" t="str">
            <v>-</v>
          </cell>
          <cell r="J143">
            <v>0</v>
          </cell>
          <cell r="K143">
            <v>59</v>
          </cell>
          <cell r="L143" t="str">
            <v>ENTREGA TOTAL</v>
          </cell>
          <cell r="M143" t="str">
            <v>-</v>
          </cell>
          <cell r="N143" t="str">
            <v>OC'S METALFISA</v>
          </cell>
          <cell r="O143" t="str">
            <v>-</v>
          </cell>
          <cell r="Q143">
            <v>14</v>
          </cell>
          <cell r="S143">
            <v>40</v>
          </cell>
          <cell r="T143" t="str">
            <v>OC'S MAPHE</v>
          </cell>
          <cell r="U143">
            <v>54</v>
          </cell>
          <cell r="V143">
            <v>19</v>
          </cell>
          <cell r="W143">
            <v>10</v>
          </cell>
          <cell r="X143">
            <v>0</v>
          </cell>
          <cell r="Y143">
            <v>0</v>
          </cell>
          <cell r="Z143">
            <v>20</v>
          </cell>
          <cell r="AA143">
            <v>49</v>
          </cell>
          <cell r="AB143">
            <v>0</v>
          </cell>
          <cell r="AC143">
            <v>54</v>
          </cell>
          <cell r="AD143">
            <v>5</v>
          </cell>
        </row>
        <row r="144">
          <cell r="A144" t="str">
            <v>21.23.01429</v>
          </cell>
          <cell r="B144" t="str">
            <v>FECHAMENTO SUP. \ AA_4576_00</v>
          </cell>
          <cell r="D144" t="str">
            <v>-</v>
          </cell>
          <cell r="E144" t="str">
            <v>-</v>
          </cell>
          <cell r="F144" t="str">
            <v>-</v>
          </cell>
          <cell r="G144" t="str">
            <v>-</v>
          </cell>
          <cell r="H144" t="str">
            <v>-</v>
          </cell>
          <cell r="I144" t="str">
            <v>-</v>
          </cell>
          <cell r="J144">
            <v>0</v>
          </cell>
          <cell r="K144">
            <v>12</v>
          </cell>
          <cell r="L144" t="str">
            <v>ENTREGA PARCIAL</v>
          </cell>
          <cell r="M144" t="str">
            <v>-</v>
          </cell>
          <cell r="N144" t="str">
            <v>OC'S METALFISA</v>
          </cell>
          <cell r="O144" t="str">
            <v>-</v>
          </cell>
          <cell r="Q144" t="str">
            <v>-</v>
          </cell>
          <cell r="S144">
            <v>13</v>
          </cell>
          <cell r="T144" t="str">
            <v>OC'S MAPHE</v>
          </cell>
          <cell r="U144">
            <v>13</v>
          </cell>
          <cell r="V144">
            <v>11</v>
          </cell>
          <cell r="W144">
            <v>10</v>
          </cell>
          <cell r="X144">
            <v>0</v>
          </cell>
          <cell r="Y144">
            <v>0</v>
          </cell>
          <cell r="Z144">
            <v>20</v>
          </cell>
          <cell r="AA144">
            <v>41</v>
          </cell>
          <cell r="AB144">
            <v>0</v>
          </cell>
          <cell r="AC144">
            <v>40</v>
          </cell>
          <cell r="AD144">
            <v>-1</v>
          </cell>
        </row>
        <row r="145">
          <cell r="A145" t="str">
            <v>21.23.01430</v>
          </cell>
          <cell r="B145" t="str">
            <v>CALHA DE CABOS \ AA_4577_00</v>
          </cell>
          <cell r="C145">
            <v>46066</v>
          </cell>
          <cell r="D145" t="str">
            <v>-</v>
          </cell>
          <cell r="E145" t="str">
            <v>-</v>
          </cell>
          <cell r="F145" t="str">
            <v>-</v>
          </cell>
          <cell r="G145" t="str">
            <v>-</v>
          </cell>
          <cell r="H145" t="str">
            <v>-</v>
          </cell>
          <cell r="I145" t="str">
            <v>-</v>
          </cell>
          <cell r="J145">
            <v>0</v>
          </cell>
          <cell r="K145">
            <v>50</v>
          </cell>
          <cell r="L145" t="str">
            <v>ENTREGA TOTAL</v>
          </cell>
          <cell r="M145" t="str">
            <v>-</v>
          </cell>
          <cell r="N145" t="str">
            <v>OC'S METALFISA</v>
          </cell>
          <cell r="O145" t="str">
            <v>-</v>
          </cell>
          <cell r="Q145" t="str">
            <v>-</v>
          </cell>
          <cell r="S145">
            <v>50</v>
          </cell>
          <cell r="T145" t="str">
            <v>OC'S MAPHE</v>
          </cell>
          <cell r="U145">
            <v>50</v>
          </cell>
          <cell r="V145">
            <v>10</v>
          </cell>
          <cell r="W145">
            <v>10</v>
          </cell>
          <cell r="X145">
            <v>0</v>
          </cell>
          <cell r="Y145">
            <v>0</v>
          </cell>
          <cell r="Z145">
            <v>20</v>
          </cell>
          <cell r="AA145">
            <v>40</v>
          </cell>
          <cell r="AB145">
            <v>0</v>
          </cell>
          <cell r="AC145">
            <v>40</v>
          </cell>
          <cell r="AD145">
            <v>0</v>
          </cell>
        </row>
        <row r="146">
          <cell r="A146" t="str">
            <v>21.23.01431</v>
          </cell>
          <cell r="B146" t="str">
            <v>FECHAMENTO DA CANALETA \ AA_4578_00</v>
          </cell>
          <cell r="C146">
            <v>46066</v>
          </cell>
          <cell r="D146" t="str">
            <v>-</v>
          </cell>
          <cell r="E146" t="str">
            <v>-</v>
          </cell>
          <cell r="F146" t="str">
            <v>-</v>
          </cell>
          <cell r="G146" t="str">
            <v>-</v>
          </cell>
          <cell r="H146" t="str">
            <v>-</v>
          </cell>
          <cell r="I146" t="str">
            <v>-</v>
          </cell>
          <cell r="J146">
            <v>0</v>
          </cell>
          <cell r="K146">
            <v>57</v>
          </cell>
          <cell r="L146" t="str">
            <v>ENTREGA TOTAL</v>
          </cell>
          <cell r="M146" t="str">
            <v>-</v>
          </cell>
          <cell r="N146" t="str">
            <v>OC'S METALFISA</v>
          </cell>
          <cell r="O146" t="str">
            <v>-</v>
          </cell>
          <cell r="Q146" t="str">
            <v>-</v>
          </cell>
          <cell r="S146">
            <v>50</v>
          </cell>
          <cell r="T146" t="str">
            <v>OC'S MAPHE</v>
          </cell>
          <cell r="U146">
            <v>50</v>
          </cell>
          <cell r="V146">
            <v>13</v>
          </cell>
          <cell r="W146">
            <v>10</v>
          </cell>
          <cell r="X146">
            <v>0</v>
          </cell>
          <cell r="Y146">
            <v>0</v>
          </cell>
          <cell r="Z146">
            <v>20</v>
          </cell>
          <cell r="AA146">
            <v>43</v>
          </cell>
          <cell r="AB146">
            <v>0</v>
          </cell>
          <cell r="AC146">
            <v>50</v>
          </cell>
          <cell r="AD146">
            <v>7</v>
          </cell>
        </row>
        <row r="147">
          <cell r="A147" t="str">
            <v>21.23.01433</v>
          </cell>
          <cell r="B147" t="str">
            <v>LIGACAO DOS MONITORES \ AA_4581_00</v>
          </cell>
          <cell r="D147" t="str">
            <v>-</v>
          </cell>
          <cell r="E147" t="str">
            <v>-</v>
          </cell>
          <cell r="F147" t="str">
            <v>-</v>
          </cell>
          <cell r="G147" t="str">
            <v>-</v>
          </cell>
          <cell r="H147" t="str">
            <v>-</v>
          </cell>
          <cell r="I147" t="str">
            <v>-</v>
          </cell>
          <cell r="J147">
            <v>0</v>
          </cell>
          <cell r="K147" t="e">
            <v>#VALUE!</v>
          </cell>
          <cell r="L147" t="str">
            <v>ENTREGA TOTAL</v>
          </cell>
          <cell r="M147" t="str">
            <v>-</v>
          </cell>
          <cell r="N147" t="str">
            <v>OC'S METALFISA</v>
          </cell>
          <cell r="O147" t="str">
            <v>-</v>
          </cell>
          <cell r="Q147" t="str">
            <v>-</v>
          </cell>
          <cell r="S147" t="str">
            <v>-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5</v>
          </cell>
          <cell r="AA147">
            <v>5</v>
          </cell>
          <cell r="AB147" t="str">
            <v>0</v>
          </cell>
          <cell r="AC147" t="str">
            <v>-</v>
          </cell>
          <cell r="AD147" t="str">
            <v>-</v>
          </cell>
        </row>
        <row r="148">
          <cell r="A148" t="str">
            <v>21.23.01451</v>
          </cell>
          <cell r="B148" t="str">
            <v>ACABAMENTO SUPERIOR MENOR.DIREITO \ AA_3336_01</v>
          </cell>
          <cell r="D148" t="str">
            <v>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  <cell r="J148">
            <v>0</v>
          </cell>
          <cell r="K148">
            <v>16</v>
          </cell>
          <cell r="L148" t="str">
            <v>FALTA ENTREGA</v>
          </cell>
          <cell r="M148">
            <v>24</v>
          </cell>
          <cell r="N148" t="str">
            <v>OC'S METALFISA</v>
          </cell>
          <cell r="O148" t="str">
            <v>-</v>
          </cell>
          <cell r="Q148" t="str">
            <v>-</v>
          </cell>
          <cell r="S148" t="str">
            <v>-</v>
          </cell>
          <cell r="U148">
            <v>24</v>
          </cell>
          <cell r="V148">
            <v>0</v>
          </cell>
          <cell r="W148">
            <v>0</v>
          </cell>
          <cell r="X148">
            <v>5</v>
          </cell>
          <cell r="Y148">
            <v>0</v>
          </cell>
          <cell r="Z148">
            <v>3</v>
          </cell>
          <cell r="AA148">
            <v>8</v>
          </cell>
          <cell r="AB148">
            <v>0</v>
          </cell>
          <cell r="AC148">
            <v>0</v>
          </cell>
          <cell r="AD148">
            <v>-8</v>
          </cell>
        </row>
        <row r="149">
          <cell r="A149" t="str">
            <v>21.23.01456</v>
          </cell>
          <cell r="B149" t="str">
            <v>CANALETA LAT. 01 \ AA_4596_01</v>
          </cell>
          <cell r="D149" t="str">
            <v>-</v>
          </cell>
          <cell r="E149" t="str">
            <v>-</v>
          </cell>
          <cell r="F149" t="str">
            <v>-</v>
          </cell>
          <cell r="G149" t="str">
            <v>-</v>
          </cell>
          <cell r="H149" t="str">
            <v>-</v>
          </cell>
          <cell r="I149" t="str">
            <v>-</v>
          </cell>
          <cell r="J149">
            <v>0</v>
          </cell>
          <cell r="K149">
            <v>-2</v>
          </cell>
          <cell r="L149" t="str">
            <v>FALTA ENTREGA</v>
          </cell>
          <cell r="M149" t="str">
            <v>-</v>
          </cell>
          <cell r="N149" t="str">
            <v>OC'S METALFISA</v>
          </cell>
          <cell r="O149" t="str">
            <v>-</v>
          </cell>
          <cell r="Q149" t="str">
            <v>-</v>
          </cell>
          <cell r="S149" t="str">
            <v>-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2</v>
          </cell>
          <cell r="AA149">
            <v>2</v>
          </cell>
          <cell r="AB149">
            <v>0</v>
          </cell>
          <cell r="AC149">
            <v>0</v>
          </cell>
          <cell r="AD149">
            <v>-2</v>
          </cell>
        </row>
        <row r="150">
          <cell r="A150" t="str">
            <v>21.23.01466</v>
          </cell>
          <cell r="B150" t="str">
            <v>CAIXA DE DISTRIBUICAO 2 DIREITO / AA_0601_05</v>
          </cell>
          <cell r="C150">
            <v>46074</v>
          </cell>
          <cell r="D150" t="str">
            <v>-</v>
          </cell>
          <cell r="E150" t="str">
            <v>-</v>
          </cell>
          <cell r="F150" t="str">
            <v>-</v>
          </cell>
          <cell r="G150" t="str">
            <v>-</v>
          </cell>
          <cell r="H150" t="str">
            <v>-</v>
          </cell>
          <cell r="I150" t="str">
            <v>-</v>
          </cell>
          <cell r="J150">
            <v>0</v>
          </cell>
          <cell r="K150">
            <v>2</v>
          </cell>
          <cell r="L150" t="str">
            <v>ENTREGA PARCIAL</v>
          </cell>
          <cell r="M150">
            <v>4</v>
          </cell>
          <cell r="N150" t="str">
            <v>OC'S METALFISA</v>
          </cell>
          <cell r="O150" t="str">
            <v>-</v>
          </cell>
          <cell r="Q150" t="str">
            <v>-</v>
          </cell>
          <cell r="S150" t="str">
            <v>-</v>
          </cell>
          <cell r="U150">
            <v>4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4</v>
          </cell>
          <cell r="AA150">
            <v>4</v>
          </cell>
          <cell r="AB150">
            <v>0</v>
          </cell>
          <cell r="AC150">
            <v>2</v>
          </cell>
          <cell r="AD150">
            <v>-2</v>
          </cell>
        </row>
        <row r="151">
          <cell r="A151" t="str">
            <v>21.23.01468</v>
          </cell>
          <cell r="B151" t="str">
            <v>DISTANCIADOR RODIZIO \ AA_3476_04</v>
          </cell>
          <cell r="D151" t="str">
            <v>-</v>
          </cell>
          <cell r="E151" t="str">
            <v>-</v>
          </cell>
          <cell r="F151" t="str">
            <v>-</v>
          </cell>
          <cell r="G151" t="str">
            <v>-</v>
          </cell>
          <cell r="H151" t="str">
            <v>-</v>
          </cell>
          <cell r="I151" t="str">
            <v>-</v>
          </cell>
          <cell r="J151">
            <v>0</v>
          </cell>
          <cell r="K151">
            <v>130</v>
          </cell>
          <cell r="L151" t="str">
            <v>FALTA ENTREGA</v>
          </cell>
          <cell r="M151">
            <v>208</v>
          </cell>
          <cell r="N151" t="str">
            <v>OC'S METALFISA</v>
          </cell>
          <cell r="O151" t="str">
            <v>-</v>
          </cell>
          <cell r="Q151" t="str">
            <v>-</v>
          </cell>
          <cell r="S151" t="str">
            <v>-</v>
          </cell>
          <cell r="U151">
            <v>208</v>
          </cell>
          <cell r="V151">
            <v>0</v>
          </cell>
          <cell r="W151">
            <v>14</v>
          </cell>
          <cell r="X151">
            <v>40</v>
          </cell>
          <cell r="Y151">
            <v>0</v>
          </cell>
          <cell r="Z151">
            <v>24</v>
          </cell>
          <cell r="AA151">
            <v>78</v>
          </cell>
          <cell r="AB151">
            <v>0</v>
          </cell>
          <cell r="AC151">
            <v>0</v>
          </cell>
          <cell r="AD151">
            <v>-78</v>
          </cell>
        </row>
        <row r="152">
          <cell r="A152" t="str">
            <v>21.23.01612</v>
          </cell>
          <cell r="B152" t="str">
            <v>SAPATA MESA DE ROLETES \ AA_3749_01</v>
          </cell>
          <cell r="D152">
            <v>56</v>
          </cell>
          <cell r="E152" t="str">
            <v>-</v>
          </cell>
          <cell r="F152" t="str">
            <v>-</v>
          </cell>
          <cell r="G152" t="str">
            <v>-</v>
          </cell>
          <cell r="H152" t="str">
            <v>-</v>
          </cell>
          <cell r="I152" t="str">
            <v>-</v>
          </cell>
          <cell r="J152">
            <v>0</v>
          </cell>
          <cell r="K152">
            <v>524</v>
          </cell>
          <cell r="L152" t="str">
            <v>FALTA ENTREGA</v>
          </cell>
          <cell r="M152">
            <v>520</v>
          </cell>
          <cell r="N152" t="str">
            <v>OC'S METALFISA</v>
          </cell>
          <cell r="O152" t="str">
            <v>-</v>
          </cell>
          <cell r="Q152" t="str">
            <v>-</v>
          </cell>
          <cell r="S152" t="str">
            <v>-</v>
          </cell>
          <cell r="U152">
            <v>520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52</v>
          </cell>
          <cell r="AA152">
            <v>52</v>
          </cell>
          <cell r="AB152">
            <v>0</v>
          </cell>
          <cell r="AC152">
            <v>0</v>
          </cell>
          <cell r="AD152">
            <v>-52</v>
          </cell>
        </row>
        <row r="153">
          <cell r="A153" t="str">
            <v>21.23.01617</v>
          </cell>
          <cell r="B153" t="str">
            <v>FIXACAO NA ESTRUTURA LEITOR EXTERNO \ AA_3759_01</v>
          </cell>
          <cell r="C153">
            <v>46074</v>
          </cell>
          <cell r="D153">
            <v>15</v>
          </cell>
          <cell r="E153" t="str">
            <v>-</v>
          </cell>
          <cell r="F153" t="str">
            <v>-</v>
          </cell>
          <cell r="G153" t="str">
            <v>-</v>
          </cell>
          <cell r="H153" t="str">
            <v>-</v>
          </cell>
          <cell r="I153" t="str">
            <v>-</v>
          </cell>
          <cell r="J153">
            <v>0</v>
          </cell>
          <cell r="K153">
            <v>12</v>
          </cell>
          <cell r="L153" t="str">
            <v>ENTREGA PARCIAL</v>
          </cell>
          <cell r="M153" t="str">
            <v>-</v>
          </cell>
          <cell r="N153" t="str">
            <v>OC'S METALFISA</v>
          </cell>
          <cell r="O153" t="str">
            <v>-</v>
          </cell>
          <cell r="Q153" t="str">
            <v>-</v>
          </cell>
          <cell r="S153" t="str">
            <v>-</v>
          </cell>
          <cell r="U153">
            <v>0</v>
          </cell>
          <cell r="V153">
            <v>3</v>
          </cell>
          <cell r="W153">
            <v>0</v>
          </cell>
          <cell r="X153">
            <v>0</v>
          </cell>
          <cell r="Y153">
            <v>0</v>
          </cell>
          <cell r="Z153">
            <v>2</v>
          </cell>
          <cell r="AA153">
            <v>5</v>
          </cell>
          <cell r="AB153">
            <v>0</v>
          </cell>
          <cell r="AC153">
            <v>2</v>
          </cell>
          <cell r="AD153">
            <v>-3</v>
          </cell>
        </row>
        <row r="154">
          <cell r="A154" t="str">
            <v>21.23.01635</v>
          </cell>
          <cell r="B154" t="str">
            <v>MONTAGEM DO APOIO DO RODIZIO \ AA_4642_01</v>
          </cell>
          <cell r="C154">
            <v>46059</v>
          </cell>
          <cell r="D154" t="str">
            <v>-</v>
          </cell>
          <cell r="E154" t="str">
            <v>-</v>
          </cell>
          <cell r="F154" t="str">
            <v>-</v>
          </cell>
          <cell r="G154" t="str">
            <v>-</v>
          </cell>
          <cell r="H154" t="str">
            <v>-</v>
          </cell>
          <cell r="I154" t="str">
            <v>-</v>
          </cell>
          <cell r="J154">
            <v>0</v>
          </cell>
          <cell r="K154" t="e">
            <v>#VALUE!</v>
          </cell>
          <cell r="L154" t="str">
            <v>ENTREGA TOTAL</v>
          </cell>
          <cell r="M154" t="str">
            <v>-</v>
          </cell>
          <cell r="N154" t="str">
            <v>OC'S METALFISA</v>
          </cell>
          <cell r="O154" t="str">
            <v>-</v>
          </cell>
          <cell r="Q154" t="str">
            <v>-</v>
          </cell>
          <cell r="S154" t="str">
            <v>-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8</v>
          </cell>
          <cell r="AA154">
            <v>8</v>
          </cell>
          <cell r="AB154" t="str">
            <v>0</v>
          </cell>
          <cell r="AC154" t="str">
            <v>-</v>
          </cell>
          <cell r="AD154" t="str">
            <v>-</v>
          </cell>
        </row>
        <row r="155">
          <cell r="A155" t="str">
            <v>21.23.01662</v>
          </cell>
          <cell r="B155" t="str">
            <v>ESTICADOR PECA 01 \ AA_4693_00</v>
          </cell>
          <cell r="D155" t="str">
            <v>-</v>
          </cell>
          <cell r="E155" t="str">
            <v>-</v>
          </cell>
          <cell r="F155" t="str">
            <v>-</v>
          </cell>
          <cell r="G155" t="str">
            <v>-</v>
          </cell>
          <cell r="H155" t="str">
            <v>-</v>
          </cell>
          <cell r="I155" t="str">
            <v>-</v>
          </cell>
          <cell r="J155">
            <v>0</v>
          </cell>
          <cell r="K155">
            <v>16</v>
          </cell>
          <cell r="L155" t="str">
            <v>FALTA ENTREGA</v>
          </cell>
          <cell r="M155">
            <v>32</v>
          </cell>
          <cell r="N155" t="str">
            <v>OC'S METALFISA</v>
          </cell>
          <cell r="O155" t="str">
            <v>-</v>
          </cell>
          <cell r="Q155" t="str">
            <v>-</v>
          </cell>
          <cell r="S155" t="str">
            <v>-</v>
          </cell>
          <cell r="U155">
            <v>32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16</v>
          </cell>
          <cell r="AA155">
            <v>16</v>
          </cell>
          <cell r="AB155">
            <v>0</v>
          </cell>
          <cell r="AC155">
            <v>0</v>
          </cell>
          <cell r="AD155">
            <v>-16</v>
          </cell>
        </row>
        <row r="156">
          <cell r="A156" t="str">
            <v>21.23.01762</v>
          </cell>
          <cell r="B156" t="str">
            <v>TRAVA DA ESTRUTURA \ AA_3785_02</v>
          </cell>
          <cell r="D156" t="str">
            <v>-</v>
          </cell>
          <cell r="E156" t="str">
            <v>-</v>
          </cell>
          <cell r="F156" t="str">
            <v>-</v>
          </cell>
          <cell r="G156" t="str">
            <v>-</v>
          </cell>
          <cell r="H156" t="str">
            <v>-</v>
          </cell>
          <cell r="I156" t="str">
            <v>-</v>
          </cell>
          <cell r="J156">
            <v>0</v>
          </cell>
          <cell r="K156">
            <v>-54</v>
          </cell>
          <cell r="L156" t="str">
            <v>FALTA ENTREGA</v>
          </cell>
          <cell r="M156" t="str">
            <v>-</v>
          </cell>
          <cell r="N156" t="str">
            <v>OC'S METALFISA</v>
          </cell>
          <cell r="O156" t="str">
            <v>-</v>
          </cell>
          <cell r="Q156" t="str">
            <v>-</v>
          </cell>
          <cell r="S156" t="str">
            <v>-</v>
          </cell>
          <cell r="U156">
            <v>0</v>
          </cell>
          <cell r="V156">
            <v>0</v>
          </cell>
          <cell r="W156">
            <v>34</v>
          </cell>
          <cell r="X156">
            <v>0</v>
          </cell>
          <cell r="Y156">
            <v>0</v>
          </cell>
          <cell r="Z156">
            <v>20</v>
          </cell>
          <cell r="AA156">
            <v>54</v>
          </cell>
          <cell r="AB156">
            <v>0</v>
          </cell>
          <cell r="AC156">
            <v>0</v>
          </cell>
          <cell r="AD156">
            <v>-54</v>
          </cell>
        </row>
        <row r="157">
          <cell r="A157" t="str">
            <v>21.23.01763</v>
          </cell>
          <cell r="B157" t="str">
            <v>BATENTE \ AA_3786_01</v>
          </cell>
          <cell r="D157" t="str">
            <v>-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-</v>
          </cell>
          <cell r="I157" t="str">
            <v>-</v>
          </cell>
          <cell r="J157">
            <v>0</v>
          </cell>
          <cell r="K157">
            <v>-2</v>
          </cell>
          <cell r="L157" t="str">
            <v>FALTA ENTREGA</v>
          </cell>
          <cell r="M157" t="str">
            <v>-</v>
          </cell>
          <cell r="N157" t="str">
            <v>OC'S METALFISA</v>
          </cell>
          <cell r="O157" t="str">
            <v>-</v>
          </cell>
          <cell r="Q157" t="str">
            <v>-</v>
          </cell>
          <cell r="S157" t="str">
            <v>-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2</v>
          </cell>
          <cell r="AA157">
            <v>2</v>
          </cell>
          <cell r="AB157">
            <v>0</v>
          </cell>
          <cell r="AC157">
            <v>0</v>
          </cell>
          <cell r="AD157">
            <v>-2</v>
          </cell>
        </row>
        <row r="158">
          <cell r="A158" t="str">
            <v>21.23.01764</v>
          </cell>
          <cell r="B158" t="str">
            <v>PE DA MESA \ AA_3787_00</v>
          </cell>
          <cell r="D158" t="str">
            <v>-</v>
          </cell>
          <cell r="E158" t="str">
            <v>-</v>
          </cell>
          <cell r="F158" t="str">
            <v>-</v>
          </cell>
          <cell r="G158" t="str">
            <v>-</v>
          </cell>
          <cell r="H158" t="str">
            <v>-</v>
          </cell>
          <cell r="I158" t="str">
            <v>-</v>
          </cell>
          <cell r="J158">
            <v>0</v>
          </cell>
          <cell r="K158">
            <v>-24</v>
          </cell>
          <cell r="L158" t="str">
            <v>FALTA ENTREGA</v>
          </cell>
          <cell r="M158" t="str">
            <v>-</v>
          </cell>
          <cell r="N158" t="str">
            <v>OC'S METALFISA</v>
          </cell>
          <cell r="O158" t="str">
            <v>-</v>
          </cell>
          <cell r="Q158" t="str">
            <v>-</v>
          </cell>
          <cell r="S158" t="str">
            <v>-</v>
          </cell>
          <cell r="U158">
            <v>0</v>
          </cell>
          <cell r="V158">
            <v>24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24</v>
          </cell>
          <cell r="AB158">
            <v>0</v>
          </cell>
          <cell r="AC158">
            <v>0</v>
          </cell>
          <cell r="AD158">
            <v>-24</v>
          </cell>
        </row>
        <row r="159">
          <cell r="A159" t="str">
            <v>21.23.01809</v>
          </cell>
          <cell r="B159" t="str">
            <v>APOIO SUPORTE DETECTOR RX / AA_3827_01</v>
          </cell>
          <cell r="D159" t="str">
            <v>-</v>
          </cell>
          <cell r="E159" t="str">
            <v>-</v>
          </cell>
          <cell r="F159" t="str">
            <v>-</v>
          </cell>
          <cell r="G159" t="str">
            <v>-</v>
          </cell>
          <cell r="H159" t="str">
            <v>-</v>
          </cell>
          <cell r="I159" t="str">
            <v>-</v>
          </cell>
          <cell r="J159">
            <v>0</v>
          </cell>
          <cell r="K159">
            <v>-14</v>
          </cell>
          <cell r="L159" t="str">
            <v>FALTA ENTREGA</v>
          </cell>
          <cell r="M159" t="str">
            <v>-</v>
          </cell>
          <cell r="N159" t="str">
            <v>OC'S METALFISA</v>
          </cell>
          <cell r="O159" t="str">
            <v>-</v>
          </cell>
          <cell r="Q159" t="str">
            <v>-</v>
          </cell>
          <cell r="S159" t="str">
            <v>-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14</v>
          </cell>
          <cell r="AA159">
            <v>14</v>
          </cell>
          <cell r="AB159">
            <v>0</v>
          </cell>
          <cell r="AC159">
            <v>0</v>
          </cell>
          <cell r="AD159">
            <v>-14</v>
          </cell>
        </row>
        <row r="160">
          <cell r="A160" t="str">
            <v>21.23.01903</v>
          </cell>
          <cell r="B160" t="str">
            <v>CASE TECLADO SPECTRUM CX / AA_6076_02</v>
          </cell>
          <cell r="D160" t="str">
            <v>-</v>
          </cell>
          <cell r="E160" t="str">
            <v>-</v>
          </cell>
          <cell r="F160" t="str">
            <v>-</v>
          </cell>
          <cell r="G160" t="str">
            <v>-</v>
          </cell>
          <cell r="H160" t="str">
            <v>-</v>
          </cell>
          <cell r="I160" t="str">
            <v>-</v>
          </cell>
          <cell r="J160">
            <v>0</v>
          </cell>
          <cell r="K160">
            <v>-5</v>
          </cell>
          <cell r="L160" t="str">
            <v>FALTA ENTREGA</v>
          </cell>
          <cell r="M160" t="str">
            <v>-</v>
          </cell>
          <cell r="N160" t="str">
            <v>OC'S METALFISA</v>
          </cell>
          <cell r="O160" t="str">
            <v>-</v>
          </cell>
          <cell r="Q160" t="str">
            <v>-</v>
          </cell>
          <cell r="S160" t="str">
            <v>-</v>
          </cell>
          <cell r="U160">
            <v>0</v>
          </cell>
          <cell r="V160">
            <v>5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5</v>
          </cell>
          <cell r="AB160">
            <v>0</v>
          </cell>
          <cell r="AC160">
            <v>0</v>
          </cell>
          <cell r="AD160">
            <v>-5</v>
          </cell>
        </row>
        <row r="161">
          <cell r="A161" t="str">
            <v>21.23.01904</v>
          </cell>
          <cell r="B161" t="str">
            <v>TAMPA DO TECLADO SPECTRUM \ AA_6077_01</v>
          </cell>
          <cell r="D161" t="str">
            <v>-</v>
          </cell>
          <cell r="E161" t="str">
            <v>-</v>
          </cell>
          <cell r="F161" t="str">
            <v>-</v>
          </cell>
          <cell r="G161" t="str">
            <v>-</v>
          </cell>
          <cell r="H161" t="str">
            <v>-</v>
          </cell>
          <cell r="I161" t="str">
            <v>-</v>
          </cell>
          <cell r="J161">
            <v>0</v>
          </cell>
          <cell r="K161">
            <v>-4</v>
          </cell>
          <cell r="L161" t="str">
            <v>FALTA ENTREGA</v>
          </cell>
          <cell r="M161" t="str">
            <v>-</v>
          </cell>
          <cell r="N161" t="str">
            <v>OC'S METALFISA</v>
          </cell>
          <cell r="O161" t="str">
            <v>-</v>
          </cell>
          <cell r="Q161" t="str">
            <v>-</v>
          </cell>
          <cell r="S161" t="str">
            <v>-</v>
          </cell>
          <cell r="U161">
            <v>0</v>
          </cell>
          <cell r="V161">
            <v>4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4</v>
          </cell>
          <cell r="AB161">
            <v>0</v>
          </cell>
          <cell r="AC161">
            <v>0</v>
          </cell>
          <cell r="AD161">
            <v>-4</v>
          </cell>
        </row>
        <row r="162">
          <cell r="A162" t="str">
            <v>21.23.01991</v>
          </cell>
          <cell r="B162" t="str">
            <v>TRAVA DA ESTRUTURA \ AA_7064_00</v>
          </cell>
          <cell r="D162" t="str">
            <v>-</v>
          </cell>
          <cell r="E162" t="str">
            <v>-</v>
          </cell>
          <cell r="F162" t="str">
            <v>-</v>
          </cell>
          <cell r="G162" t="str">
            <v>-</v>
          </cell>
          <cell r="H162" t="str">
            <v>-</v>
          </cell>
          <cell r="I162" t="str">
            <v>-</v>
          </cell>
          <cell r="J162">
            <v>0</v>
          </cell>
          <cell r="K162">
            <v>-16</v>
          </cell>
          <cell r="L162" t="str">
            <v>FALTA ENTREGA</v>
          </cell>
          <cell r="M162" t="str">
            <v>-</v>
          </cell>
          <cell r="N162" t="str">
            <v>OC'S METALFISA</v>
          </cell>
          <cell r="O162" t="str">
            <v>-</v>
          </cell>
          <cell r="Q162" t="str">
            <v>-</v>
          </cell>
          <cell r="S162" t="str">
            <v>-</v>
          </cell>
          <cell r="U162">
            <v>0</v>
          </cell>
          <cell r="V162">
            <v>0</v>
          </cell>
          <cell r="W162">
            <v>16</v>
          </cell>
          <cell r="X162">
            <v>0</v>
          </cell>
          <cell r="Y162">
            <v>0</v>
          </cell>
          <cell r="Z162">
            <v>0</v>
          </cell>
          <cell r="AA162">
            <v>16</v>
          </cell>
          <cell r="AB162">
            <v>0</v>
          </cell>
          <cell r="AC162">
            <v>0</v>
          </cell>
          <cell r="AD162">
            <v>-16</v>
          </cell>
        </row>
        <row r="163">
          <cell r="A163" t="str">
            <v>21.23.01993</v>
          </cell>
          <cell r="B163" t="str">
            <v>BATENTE \ AA_7067_00</v>
          </cell>
          <cell r="D163" t="str">
            <v>-</v>
          </cell>
          <cell r="E163" t="str">
            <v>-</v>
          </cell>
          <cell r="F163" t="str">
            <v>-</v>
          </cell>
          <cell r="G163" t="str">
            <v>-</v>
          </cell>
          <cell r="H163" t="str">
            <v>-</v>
          </cell>
          <cell r="I163" t="str">
            <v>-</v>
          </cell>
          <cell r="J163">
            <v>0</v>
          </cell>
          <cell r="K163">
            <v>-1</v>
          </cell>
          <cell r="L163" t="str">
            <v>FALTA ENTREGA</v>
          </cell>
          <cell r="M163" t="str">
            <v>-</v>
          </cell>
          <cell r="N163" t="str">
            <v>OC'S METALFISA</v>
          </cell>
          <cell r="O163" t="str">
            <v>-</v>
          </cell>
          <cell r="Q163" t="str">
            <v>-</v>
          </cell>
          <cell r="S163" t="str">
            <v>-</v>
          </cell>
          <cell r="U163">
            <v>0</v>
          </cell>
          <cell r="V163">
            <v>0</v>
          </cell>
          <cell r="W163">
            <v>1</v>
          </cell>
          <cell r="X163">
            <v>0</v>
          </cell>
          <cell r="Y163">
            <v>0</v>
          </cell>
          <cell r="Z163">
            <v>0</v>
          </cell>
          <cell r="AA163">
            <v>1</v>
          </cell>
          <cell r="AB163">
            <v>0</v>
          </cell>
          <cell r="AC163">
            <v>0</v>
          </cell>
          <cell r="AD163">
            <v>-1</v>
          </cell>
        </row>
        <row r="164">
          <cell r="A164" t="str">
            <v>21.23.01996</v>
          </cell>
          <cell r="B164" t="str">
            <v>ROLETE SECUNDARIO MESA 7560 \ AA_7063_00</v>
          </cell>
          <cell r="D164" t="str">
            <v>-</v>
          </cell>
          <cell r="E164" t="str">
            <v>-</v>
          </cell>
          <cell r="F164" t="str">
            <v>-</v>
          </cell>
          <cell r="G164" t="str">
            <v>-</v>
          </cell>
          <cell r="H164" t="str">
            <v>-</v>
          </cell>
          <cell r="I164" t="str">
            <v>-</v>
          </cell>
          <cell r="J164">
            <v>0</v>
          </cell>
          <cell r="K164">
            <v>-1</v>
          </cell>
          <cell r="L164" t="str">
            <v>FALTA ENTREGA</v>
          </cell>
          <cell r="M164" t="str">
            <v>-</v>
          </cell>
          <cell r="N164" t="str">
            <v>OC'S METALFISA</v>
          </cell>
          <cell r="O164" t="str">
            <v>-</v>
          </cell>
          <cell r="Q164" t="str">
            <v>-</v>
          </cell>
          <cell r="S164" t="str">
            <v>-</v>
          </cell>
          <cell r="U164">
            <v>0</v>
          </cell>
          <cell r="V164">
            <v>0</v>
          </cell>
          <cell r="W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1</v>
          </cell>
          <cell r="AB164">
            <v>0</v>
          </cell>
          <cell r="AC164">
            <v>0</v>
          </cell>
          <cell r="AD164">
            <v>-1</v>
          </cell>
        </row>
        <row r="165">
          <cell r="A165" t="str">
            <v>21.23.02019</v>
          </cell>
          <cell r="B165" t="str">
            <v>TAMPA PARA ACESSO INTERLOCK \ AA_7087_02</v>
          </cell>
          <cell r="D165">
            <v>9</v>
          </cell>
          <cell r="E165" t="str">
            <v>-</v>
          </cell>
          <cell r="F165" t="str">
            <v>-</v>
          </cell>
          <cell r="G165" t="str">
            <v>-</v>
          </cell>
          <cell r="H165" t="str">
            <v>-</v>
          </cell>
          <cell r="I165" t="str">
            <v>-</v>
          </cell>
          <cell r="J165">
            <v>0</v>
          </cell>
          <cell r="K165">
            <v>33</v>
          </cell>
          <cell r="L165" t="str">
            <v>FALTA ENTREGA</v>
          </cell>
          <cell r="M165">
            <v>32</v>
          </cell>
          <cell r="N165" t="str">
            <v>OC'S METALFISA</v>
          </cell>
          <cell r="O165" t="str">
            <v>-</v>
          </cell>
          <cell r="Q165" t="str">
            <v>-</v>
          </cell>
          <cell r="S165" t="str">
            <v>-</v>
          </cell>
          <cell r="U165">
            <v>32</v>
          </cell>
          <cell r="V165">
            <v>0</v>
          </cell>
          <cell r="W165">
            <v>0</v>
          </cell>
          <cell r="X165">
            <v>2</v>
          </cell>
          <cell r="Y165">
            <v>0</v>
          </cell>
          <cell r="Z165">
            <v>6</v>
          </cell>
          <cell r="AA165">
            <v>8</v>
          </cell>
          <cell r="AB165">
            <v>0</v>
          </cell>
          <cell r="AC165">
            <v>0</v>
          </cell>
          <cell r="AD165">
            <v>-8</v>
          </cell>
        </row>
        <row r="166">
          <cell r="A166" t="str">
            <v>21.23.02022</v>
          </cell>
          <cell r="B166" t="str">
            <v>CONJ. TRAVESSA COLUNA_PERFIL 01 \ AA_7092_02</v>
          </cell>
          <cell r="D166" t="str">
            <v>-</v>
          </cell>
          <cell r="E166" t="str">
            <v>-</v>
          </cell>
          <cell r="F166" t="str">
            <v>-</v>
          </cell>
          <cell r="G166" t="str">
            <v>-</v>
          </cell>
          <cell r="H166" t="str">
            <v>-</v>
          </cell>
          <cell r="I166" t="str">
            <v>-</v>
          </cell>
          <cell r="J166">
            <v>0</v>
          </cell>
          <cell r="K166">
            <v>124</v>
          </cell>
          <cell r="L166" t="str">
            <v>FALTA ENTREGA</v>
          </cell>
          <cell r="M166">
            <v>128</v>
          </cell>
          <cell r="N166" t="str">
            <v>OC'S METALFISA</v>
          </cell>
          <cell r="O166" t="str">
            <v>-</v>
          </cell>
          <cell r="Q166" t="str">
            <v>-</v>
          </cell>
          <cell r="S166" t="str">
            <v>-</v>
          </cell>
          <cell r="U166">
            <v>128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4</v>
          </cell>
          <cell r="AA166">
            <v>4</v>
          </cell>
          <cell r="AB166">
            <v>0</v>
          </cell>
          <cell r="AC166">
            <v>0</v>
          </cell>
          <cell r="AD166">
            <v>-4</v>
          </cell>
        </row>
        <row r="167">
          <cell r="A167" t="str">
            <v>21.23.02046</v>
          </cell>
          <cell r="B167" t="str">
            <v>ESTICADOR DO L \ AA_3142_00</v>
          </cell>
          <cell r="D167" t="str">
            <v>-</v>
          </cell>
          <cell r="E167" t="str">
            <v>-</v>
          </cell>
          <cell r="F167" t="str">
            <v>-</v>
          </cell>
          <cell r="G167" t="str">
            <v>-</v>
          </cell>
          <cell r="H167" t="str">
            <v>-</v>
          </cell>
          <cell r="I167" t="str">
            <v>-</v>
          </cell>
          <cell r="J167">
            <v>0</v>
          </cell>
          <cell r="K167">
            <v>0</v>
          </cell>
          <cell r="L167" t="str">
            <v>FALTA ENTREGA</v>
          </cell>
          <cell r="M167">
            <v>1</v>
          </cell>
          <cell r="N167" t="str">
            <v>OC'S METALFISA</v>
          </cell>
          <cell r="O167" t="str">
            <v>-</v>
          </cell>
          <cell r="Q167" t="str">
            <v>-</v>
          </cell>
          <cell r="S167" t="str">
            <v>-</v>
          </cell>
          <cell r="U167">
            <v>1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1</v>
          </cell>
          <cell r="AA167">
            <v>1</v>
          </cell>
          <cell r="AB167">
            <v>0</v>
          </cell>
          <cell r="AC167">
            <v>0</v>
          </cell>
          <cell r="AD167">
            <v>-1</v>
          </cell>
        </row>
        <row r="168">
          <cell r="A168" t="str">
            <v>21.23.02051</v>
          </cell>
          <cell r="B168" t="str">
            <v>FIXACAO ACRILICO SUPERIOR \ AA_3147_01</v>
          </cell>
          <cell r="D168" t="str">
            <v>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  <cell r="J168">
            <v>0</v>
          </cell>
          <cell r="K168" t="e">
            <v>#VALUE!</v>
          </cell>
          <cell r="L168" t="str">
            <v>ENTREGA TOTAL</v>
          </cell>
          <cell r="M168" t="str">
            <v>-</v>
          </cell>
          <cell r="N168" t="str">
            <v>OC'S METALFISA</v>
          </cell>
          <cell r="O168" t="str">
            <v>-</v>
          </cell>
          <cell r="Q168" t="str">
            <v>-</v>
          </cell>
          <cell r="S168" t="str">
            <v>-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4</v>
          </cell>
          <cell r="AA168">
            <v>4</v>
          </cell>
          <cell r="AB168" t="str">
            <v>0</v>
          </cell>
          <cell r="AC168" t="str">
            <v>-</v>
          </cell>
          <cell r="AD168" t="str">
            <v>-</v>
          </cell>
        </row>
        <row r="169">
          <cell r="A169" t="str">
            <v>21.23.02052</v>
          </cell>
          <cell r="B169" t="str">
            <v>APOIO ESTEIRA \ AA_3149_00</v>
          </cell>
          <cell r="D169" t="str">
            <v>-</v>
          </cell>
          <cell r="E169" t="str">
            <v>-</v>
          </cell>
          <cell r="F169" t="str">
            <v>-</v>
          </cell>
          <cell r="G169" t="str">
            <v>-</v>
          </cell>
          <cell r="H169" t="str">
            <v>-</v>
          </cell>
          <cell r="I169" t="str">
            <v>-</v>
          </cell>
          <cell r="J169">
            <v>0</v>
          </cell>
          <cell r="K169">
            <v>0</v>
          </cell>
          <cell r="L169" t="str">
            <v>FALTA ENTREGA</v>
          </cell>
          <cell r="M169">
            <v>2</v>
          </cell>
          <cell r="N169" t="str">
            <v>OC'S METALFISA</v>
          </cell>
          <cell r="O169" t="str">
            <v>-</v>
          </cell>
          <cell r="Q169" t="str">
            <v>-</v>
          </cell>
          <cell r="S169" t="str">
            <v>-</v>
          </cell>
          <cell r="U169">
            <v>2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2</v>
          </cell>
          <cell r="AA169">
            <v>2</v>
          </cell>
          <cell r="AB169">
            <v>0</v>
          </cell>
          <cell r="AC169">
            <v>0</v>
          </cell>
          <cell r="AD169">
            <v>-2</v>
          </cell>
        </row>
        <row r="170">
          <cell r="A170" t="str">
            <v>21.23.02053</v>
          </cell>
          <cell r="B170" t="str">
            <v>FIXACAO ARTICULADA ESTEIRA \ AA_3150_00</v>
          </cell>
          <cell r="D170" t="str">
            <v>-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-</v>
          </cell>
          <cell r="I170" t="str">
            <v>-</v>
          </cell>
          <cell r="J170">
            <v>0</v>
          </cell>
          <cell r="K170">
            <v>0</v>
          </cell>
          <cell r="L170" t="str">
            <v>FALTA ENTREGA</v>
          </cell>
          <cell r="M170">
            <v>4</v>
          </cell>
          <cell r="N170" t="str">
            <v>OC'S METALFISA</v>
          </cell>
          <cell r="O170" t="str">
            <v>-</v>
          </cell>
          <cell r="Q170" t="str">
            <v>-</v>
          </cell>
          <cell r="S170" t="str">
            <v>-</v>
          </cell>
          <cell r="U170">
            <v>4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4</v>
          </cell>
          <cell r="AA170">
            <v>4</v>
          </cell>
          <cell r="AB170">
            <v>0</v>
          </cell>
          <cell r="AC170">
            <v>0</v>
          </cell>
          <cell r="AD170">
            <v>-4</v>
          </cell>
        </row>
        <row r="171">
          <cell r="A171" t="str">
            <v>21.23.02054</v>
          </cell>
          <cell r="B171" t="str">
            <v>ENTRADA DA ESTEIRA \ AA_3151_00</v>
          </cell>
          <cell r="D171" t="str">
            <v>-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  <cell r="J171">
            <v>0</v>
          </cell>
          <cell r="K171">
            <v>0</v>
          </cell>
          <cell r="L171" t="str">
            <v>FALTA ENTREGA</v>
          </cell>
          <cell r="M171">
            <v>2</v>
          </cell>
          <cell r="N171" t="str">
            <v>OC'S METALFISA</v>
          </cell>
          <cell r="O171" t="str">
            <v>-</v>
          </cell>
          <cell r="Q171" t="str">
            <v>-</v>
          </cell>
          <cell r="S171" t="str">
            <v>-</v>
          </cell>
          <cell r="U171">
            <v>2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2</v>
          </cell>
          <cell r="AA171">
            <v>2</v>
          </cell>
          <cell r="AB171">
            <v>0</v>
          </cell>
          <cell r="AC171">
            <v>0</v>
          </cell>
          <cell r="AD171">
            <v>-2</v>
          </cell>
        </row>
        <row r="172">
          <cell r="A172" t="str">
            <v>21.23.02055</v>
          </cell>
          <cell r="B172" t="str">
            <v>APOIO ESTEIRA PAYBE \ AA_3152_00</v>
          </cell>
          <cell r="D172" t="str">
            <v>-</v>
          </cell>
          <cell r="E172" t="str">
            <v>-</v>
          </cell>
          <cell r="F172" t="str">
            <v>-</v>
          </cell>
          <cell r="G172" t="str">
            <v>-</v>
          </cell>
          <cell r="H172" t="str">
            <v>-</v>
          </cell>
          <cell r="I172" t="str">
            <v>-</v>
          </cell>
          <cell r="J172">
            <v>0</v>
          </cell>
          <cell r="K172">
            <v>0</v>
          </cell>
          <cell r="L172" t="str">
            <v>FALTA ENTREGA</v>
          </cell>
          <cell r="M172">
            <v>2</v>
          </cell>
          <cell r="N172" t="str">
            <v>OC'S METALFISA</v>
          </cell>
          <cell r="O172" t="str">
            <v>-</v>
          </cell>
          <cell r="Q172" t="str">
            <v>-</v>
          </cell>
          <cell r="S172" t="str">
            <v>-</v>
          </cell>
          <cell r="U172">
            <v>2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2</v>
          </cell>
          <cell r="AA172">
            <v>2</v>
          </cell>
          <cell r="AB172">
            <v>0</v>
          </cell>
          <cell r="AC172">
            <v>0</v>
          </cell>
          <cell r="AD172">
            <v>-2</v>
          </cell>
        </row>
        <row r="173">
          <cell r="A173" t="str">
            <v>21.23.02065</v>
          </cell>
          <cell r="B173" t="str">
            <v>APOIO DOS BOTOES DA MESA - ESQUERDO \ AA_3172_04</v>
          </cell>
          <cell r="D173" t="str">
            <v>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  <cell r="J173">
            <v>0</v>
          </cell>
          <cell r="K173" t="e">
            <v>#VALUE!</v>
          </cell>
          <cell r="L173" t="str">
            <v>ENTREGA TOTAL</v>
          </cell>
          <cell r="M173" t="str">
            <v>-</v>
          </cell>
          <cell r="N173" t="str">
            <v>OC'S METALFISA</v>
          </cell>
          <cell r="O173" t="str">
            <v>-</v>
          </cell>
          <cell r="Q173" t="str">
            <v>-</v>
          </cell>
          <cell r="S173" t="str">
            <v>-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2</v>
          </cell>
          <cell r="AA173">
            <v>2</v>
          </cell>
          <cell r="AB173" t="str">
            <v>0</v>
          </cell>
          <cell r="AC173" t="str">
            <v>-</v>
          </cell>
          <cell r="AD173" t="str">
            <v>-</v>
          </cell>
        </row>
        <row r="174">
          <cell r="A174" t="str">
            <v>21.23.02068</v>
          </cell>
          <cell r="B174" t="str">
            <v>TAMPA LATERAL MEIO 02 / AA_7127_04</v>
          </cell>
          <cell r="D174" t="str">
            <v>-</v>
          </cell>
          <cell r="E174" t="str">
            <v>-</v>
          </cell>
          <cell r="F174" t="str">
            <v>-</v>
          </cell>
          <cell r="G174" t="str">
            <v>-</v>
          </cell>
          <cell r="H174" t="str">
            <v>-</v>
          </cell>
          <cell r="I174" t="str">
            <v>-</v>
          </cell>
          <cell r="J174">
            <v>0</v>
          </cell>
          <cell r="K174">
            <v>0</v>
          </cell>
          <cell r="L174" t="str">
            <v>FALTA ENTREGA</v>
          </cell>
          <cell r="M174">
            <v>2</v>
          </cell>
          <cell r="N174" t="str">
            <v>OC'S METALFISA</v>
          </cell>
          <cell r="O174" t="str">
            <v>-</v>
          </cell>
          <cell r="Q174" t="str">
            <v>-</v>
          </cell>
          <cell r="S174" t="str">
            <v>-</v>
          </cell>
          <cell r="U174">
            <v>2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2</v>
          </cell>
          <cell r="AA174">
            <v>2</v>
          </cell>
          <cell r="AB174">
            <v>0</v>
          </cell>
          <cell r="AC174">
            <v>0</v>
          </cell>
          <cell r="AD174">
            <v>-2</v>
          </cell>
        </row>
        <row r="175">
          <cell r="A175" t="str">
            <v>21.23.02069</v>
          </cell>
          <cell r="B175" t="str">
            <v>TAMPA MEIO \ AA_7128_02</v>
          </cell>
          <cell r="D175" t="str">
            <v>-</v>
          </cell>
          <cell r="E175" t="str">
            <v>-</v>
          </cell>
          <cell r="F175" t="str">
            <v>-</v>
          </cell>
          <cell r="G175" t="str">
            <v>-</v>
          </cell>
          <cell r="H175" t="str">
            <v>-</v>
          </cell>
          <cell r="I175" t="str">
            <v>-</v>
          </cell>
          <cell r="J175">
            <v>0</v>
          </cell>
          <cell r="K175">
            <v>0</v>
          </cell>
          <cell r="L175" t="str">
            <v>FALTA ENTREGA</v>
          </cell>
          <cell r="M175">
            <v>6</v>
          </cell>
          <cell r="N175" t="str">
            <v>OC'S METALFISA</v>
          </cell>
          <cell r="O175" t="str">
            <v>-</v>
          </cell>
          <cell r="Q175" t="str">
            <v>-</v>
          </cell>
          <cell r="S175" t="str">
            <v>-</v>
          </cell>
          <cell r="U175">
            <v>6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6</v>
          </cell>
          <cell r="AA175">
            <v>6</v>
          </cell>
          <cell r="AB175">
            <v>0</v>
          </cell>
          <cell r="AC175">
            <v>0</v>
          </cell>
          <cell r="AD175">
            <v>-6</v>
          </cell>
        </row>
        <row r="176">
          <cell r="A176" t="str">
            <v>21.23.02070</v>
          </cell>
          <cell r="B176" t="str">
            <v>TAMPA LATERAL DA PONTA DIREITA INGLES/PORTUGUES / AA_7129_03</v>
          </cell>
          <cell r="D176" t="str">
            <v>-</v>
          </cell>
          <cell r="E176" t="str">
            <v>-</v>
          </cell>
          <cell r="F176" t="str">
            <v>-</v>
          </cell>
          <cell r="G176" t="str">
            <v>-</v>
          </cell>
          <cell r="H176" t="str">
            <v>-</v>
          </cell>
          <cell r="I176" t="str">
            <v>-</v>
          </cell>
          <cell r="J176">
            <v>0</v>
          </cell>
          <cell r="K176">
            <v>-2</v>
          </cell>
          <cell r="L176" t="str">
            <v>FALTA ENTREGA</v>
          </cell>
          <cell r="M176">
            <v>1</v>
          </cell>
          <cell r="N176" t="str">
            <v>OC'S METALFISA</v>
          </cell>
          <cell r="O176" t="str">
            <v>-</v>
          </cell>
          <cell r="Q176" t="str">
            <v>-</v>
          </cell>
          <cell r="S176" t="str">
            <v>-</v>
          </cell>
          <cell r="U176">
            <v>1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3</v>
          </cell>
          <cell r="AA176">
            <v>3</v>
          </cell>
          <cell r="AB176">
            <v>0</v>
          </cell>
          <cell r="AC176">
            <v>0</v>
          </cell>
          <cell r="AD176">
            <v>-3</v>
          </cell>
        </row>
        <row r="177">
          <cell r="A177" t="str">
            <v>21.23.02071</v>
          </cell>
          <cell r="B177" t="str">
            <v>PROLONGADOR TAMPA SUPERIOR / AA_7130_02</v>
          </cell>
          <cell r="D177" t="str">
            <v>-</v>
          </cell>
          <cell r="E177" t="str">
            <v>-</v>
          </cell>
          <cell r="F177" t="str">
            <v>-</v>
          </cell>
          <cell r="G177" t="str">
            <v>-</v>
          </cell>
          <cell r="H177" t="str">
            <v>-</v>
          </cell>
          <cell r="I177" t="str">
            <v>-</v>
          </cell>
          <cell r="J177">
            <v>0</v>
          </cell>
          <cell r="K177">
            <v>0</v>
          </cell>
          <cell r="L177" t="str">
            <v>FALTA ENTREGA</v>
          </cell>
          <cell r="M177">
            <v>2</v>
          </cell>
          <cell r="N177" t="str">
            <v>OC'S METALFISA</v>
          </cell>
          <cell r="O177" t="str">
            <v>-</v>
          </cell>
          <cell r="Q177" t="str">
            <v>-</v>
          </cell>
          <cell r="S177" t="str">
            <v>-</v>
          </cell>
          <cell r="U177">
            <v>2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2</v>
          </cell>
          <cell r="AA177">
            <v>2</v>
          </cell>
          <cell r="AB177">
            <v>0</v>
          </cell>
          <cell r="AC177">
            <v>0</v>
          </cell>
          <cell r="AD177">
            <v>-2</v>
          </cell>
        </row>
        <row r="178">
          <cell r="A178" t="str">
            <v>21.23.02072</v>
          </cell>
          <cell r="B178" t="str">
            <v>TAMPA SUPERIOR PONTA / AA_7131_02</v>
          </cell>
          <cell r="D178" t="str">
            <v>-</v>
          </cell>
          <cell r="E178" t="str">
            <v>-</v>
          </cell>
          <cell r="F178" t="str">
            <v>-</v>
          </cell>
          <cell r="G178" t="str">
            <v>-</v>
          </cell>
          <cell r="H178" t="str">
            <v>-</v>
          </cell>
          <cell r="I178" t="str">
            <v>-</v>
          </cell>
          <cell r="J178">
            <v>0</v>
          </cell>
          <cell r="K178">
            <v>0</v>
          </cell>
          <cell r="L178" t="str">
            <v>FALTA ENTREGA</v>
          </cell>
          <cell r="M178">
            <v>1</v>
          </cell>
          <cell r="N178" t="str">
            <v>OC'S METALFISA</v>
          </cell>
          <cell r="O178" t="str">
            <v>-</v>
          </cell>
          <cell r="Q178" t="str">
            <v>-</v>
          </cell>
          <cell r="S178" t="str">
            <v>-</v>
          </cell>
          <cell r="U178">
            <v>1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1</v>
          </cell>
          <cell r="AA178">
            <v>1</v>
          </cell>
          <cell r="AB178">
            <v>0</v>
          </cell>
          <cell r="AC178">
            <v>0</v>
          </cell>
          <cell r="AD178">
            <v>-1</v>
          </cell>
        </row>
        <row r="179">
          <cell r="A179" t="str">
            <v>21.23.02073</v>
          </cell>
          <cell r="B179" t="str">
            <v>TAMPA SUPERIOR PONTA / AA_7132_02</v>
          </cell>
          <cell r="D179" t="str">
            <v>-</v>
          </cell>
          <cell r="E179" t="str">
            <v>-</v>
          </cell>
          <cell r="F179" t="str">
            <v>-</v>
          </cell>
          <cell r="G179" t="str">
            <v>-</v>
          </cell>
          <cell r="H179" t="str">
            <v>-</v>
          </cell>
          <cell r="I179" t="str">
            <v>-</v>
          </cell>
          <cell r="J179">
            <v>0</v>
          </cell>
          <cell r="K179">
            <v>-1</v>
          </cell>
          <cell r="L179" t="str">
            <v>FALTA ENTREGA</v>
          </cell>
          <cell r="M179">
            <v>1</v>
          </cell>
          <cell r="N179" t="str">
            <v>OC'S METALFISA</v>
          </cell>
          <cell r="O179" t="str">
            <v>-</v>
          </cell>
          <cell r="Q179" t="str">
            <v>-</v>
          </cell>
          <cell r="S179" t="str">
            <v>-</v>
          </cell>
          <cell r="U179">
            <v>1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2</v>
          </cell>
          <cell r="AA179">
            <v>2</v>
          </cell>
          <cell r="AB179">
            <v>0</v>
          </cell>
          <cell r="AC179">
            <v>0</v>
          </cell>
          <cell r="AD179">
            <v>-2</v>
          </cell>
        </row>
        <row r="180">
          <cell r="A180" t="str">
            <v>21.23.02074</v>
          </cell>
          <cell r="B180" t="str">
            <v>TAMPA SUPERIOR MEIO / AA_7133_07</v>
          </cell>
          <cell r="D180" t="str">
            <v>-</v>
          </cell>
          <cell r="E180" t="str">
            <v>-</v>
          </cell>
          <cell r="F180" t="str">
            <v>-</v>
          </cell>
          <cell r="G180" t="str">
            <v>-</v>
          </cell>
          <cell r="H180" t="str">
            <v>-</v>
          </cell>
          <cell r="I180" t="str">
            <v>-</v>
          </cell>
          <cell r="J180">
            <v>0</v>
          </cell>
          <cell r="K180">
            <v>0</v>
          </cell>
          <cell r="L180" t="str">
            <v>FALTA ENTREGA</v>
          </cell>
          <cell r="M180">
            <v>2</v>
          </cell>
          <cell r="N180" t="str">
            <v>OC'S METALFISA</v>
          </cell>
          <cell r="O180" t="str">
            <v>-</v>
          </cell>
          <cell r="Q180" t="str">
            <v>-</v>
          </cell>
          <cell r="S180" t="str">
            <v>-</v>
          </cell>
          <cell r="U180">
            <v>2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2</v>
          </cell>
          <cell r="AA180">
            <v>2</v>
          </cell>
          <cell r="AB180">
            <v>0</v>
          </cell>
          <cell r="AC180">
            <v>0</v>
          </cell>
          <cell r="AD180">
            <v>-2</v>
          </cell>
        </row>
        <row r="181">
          <cell r="A181" t="str">
            <v>21.23.02075</v>
          </cell>
          <cell r="B181" t="str">
            <v>TAMPA SUPERIOR PONTA 02 / AA_7134_02</v>
          </cell>
          <cell r="D181" t="str">
            <v>-</v>
          </cell>
          <cell r="E181">
            <v>1</v>
          </cell>
          <cell r="F181" t="str">
            <v>-</v>
          </cell>
          <cell r="G181" t="str">
            <v>-</v>
          </cell>
          <cell r="H181" t="str">
            <v>-</v>
          </cell>
          <cell r="I181">
            <v>1</v>
          </cell>
          <cell r="J181">
            <v>2</v>
          </cell>
          <cell r="K181">
            <v>0</v>
          </cell>
          <cell r="L181" t="str">
            <v>FALTA ENTREGA</v>
          </cell>
          <cell r="M181">
            <v>1</v>
          </cell>
          <cell r="N181" t="str">
            <v>OC'S METALFISA</v>
          </cell>
          <cell r="O181" t="str">
            <v>-</v>
          </cell>
          <cell r="Q181" t="str">
            <v>-</v>
          </cell>
          <cell r="S181" t="str">
            <v>-</v>
          </cell>
          <cell r="U181">
            <v>1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3</v>
          </cell>
          <cell r="AA181">
            <v>3</v>
          </cell>
          <cell r="AB181">
            <v>0</v>
          </cell>
          <cell r="AC181">
            <v>0</v>
          </cell>
          <cell r="AD181">
            <v>-3</v>
          </cell>
        </row>
        <row r="182">
          <cell r="A182" t="str">
            <v>21.23.02077</v>
          </cell>
          <cell r="B182" t="str">
            <v>TAMPA DA LATERAL DO MEIO ESQUERDA \ AA_7136_03</v>
          </cell>
          <cell r="D182" t="str">
            <v>-</v>
          </cell>
          <cell r="E182" t="str">
            <v>-</v>
          </cell>
          <cell r="F182" t="str">
            <v>-</v>
          </cell>
          <cell r="G182" t="str">
            <v>-</v>
          </cell>
          <cell r="H182" t="str">
            <v>-</v>
          </cell>
          <cell r="I182" t="str">
            <v>-</v>
          </cell>
          <cell r="J182">
            <v>0</v>
          </cell>
          <cell r="K182" t="e">
            <v>#VALUE!</v>
          </cell>
          <cell r="L182" t="str">
            <v>ENTREGA TOTAL</v>
          </cell>
          <cell r="M182" t="str">
            <v>-</v>
          </cell>
          <cell r="N182" t="str">
            <v>OC'S METALFISA</v>
          </cell>
          <cell r="O182" t="str">
            <v>-</v>
          </cell>
          <cell r="Q182" t="str">
            <v>-</v>
          </cell>
          <cell r="S182" t="str">
            <v>-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2</v>
          </cell>
          <cell r="AA182">
            <v>2</v>
          </cell>
          <cell r="AB182" t="str">
            <v>0</v>
          </cell>
          <cell r="AC182" t="str">
            <v>-</v>
          </cell>
          <cell r="AD182" t="str">
            <v>-</v>
          </cell>
        </row>
        <row r="183">
          <cell r="A183" t="str">
            <v>21.23.02078</v>
          </cell>
          <cell r="B183" t="str">
            <v>TAMPA DA LATERAL DO MEIO DIREITA / AA_7137_03</v>
          </cell>
          <cell r="D183" t="str">
            <v>-</v>
          </cell>
          <cell r="E183" t="str">
            <v>-</v>
          </cell>
          <cell r="F183" t="str">
            <v>-</v>
          </cell>
          <cell r="G183" t="str">
            <v>-</v>
          </cell>
          <cell r="H183" t="str">
            <v>-</v>
          </cell>
          <cell r="I183" t="str">
            <v>-</v>
          </cell>
          <cell r="J183">
            <v>0</v>
          </cell>
          <cell r="K183">
            <v>0</v>
          </cell>
          <cell r="L183" t="str">
            <v>ENTREGA PARCIAL</v>
          </cell>
          <cell r="M183">
            <v>1</v>
          </cell>
          <cell r="N183" t="str">
            <v>OC'S METALFISA</v>
          </cell>
          <cell r="O183" t="str">
            <v>-</v>
          </cell>
          <cell r="Q183" t="str">
            <v>-</v>
          </cell>
          <cell r="S183" t="str">
            <v>-</v>
          </cell>
          <cell r="U183">
            <v>1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3</v>
          </cell>
          <cell r="AA183">
            <v>3</v>
          </cell>
          <cell r="AB183">
            <v>0</v>
          </cell>
          <cell r="AC183">
            <v>2</v>
          </cell>
          <cell r="AD183">
            <v>-1</v>
          </cell>
        </row>
        <row r="184">
          <cell r="A184" t="str">
            <v>21.23.02079</v>
          </cell>
          <cell r="B184" t="str">
            <v>SUPORTE PARA TAMPA SUPERIOR \ AA_7138_02</v>
          </cell>
          <cell r="D184" t="str">
            <v>-</v>
          </cell>
          <cell r="E184" t="str">
            <v>-</v>
          </cell>
          <cell r="F184" t="str">
            <v>-</v>
          </cell>
          <cell r="G184" t="str">
            <v>-</v>
          </cell>
          <cell r="H184" t="str">
            <v>-</v>
          </cell>
          <cell r="I184" t="str">
            <v>-</v>
          </cell>
          <cell r="J184">
            <v>0</v>
          </cell>
          <cell r="K184">
            <v>-2</v>
          </cell>
          <cell r="L184" t="str">
            <v>FALTA ENTREGA</v>
          </cell>
          <cell r="M184">
            <v>2</v>
          </cell>
          <cell r="N184" t="str">
            <v>OC'S METALFISA</v>
          </cell>
          <cell r="O184" t="str">
            <v>-</v>
          </cell>
          <cell r="Q184" t="str">
            <v>-</v>
          </cell>
          <cell r="S184" t="str">
            <v>-</v>
          </cell>
          <cell r="U184">
            <v>2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4</v>
          </cell>
          <cell r="AA184">
            <v>4</v>
          </cell>
          <cell r="AB184">
            <v>0</v>
          </cell>
          <cell r="AC184">
            <v>0</v>
          </cell>
          <cell r="AD184">
            <v>-4</v>
          </cell>
        </row>
        <row r="185">
          <cell r="A185" t="str">
            <v>21.23.02080</v>
          </cell>
          <cell r="B185" t="str">
            <v>TAMPA LATERAL DA PONTA REFORCO INGLES/PORTUGUES / AA_7139_05</v>
          </cell>
          <cell r="D185" t="str">
            <v>-</v>
          </cell>
          <cell r="E185" t="str">
            <v>-</v>
          </cell>
          <cell r="F185" t="str">
            <v>-</v>
          </cell>
          <cell r="G185" t="str">
            <v>-</v>
          </cell>
          <cell r="H185" t="str">
            <v>-</v>
          </cell>
          <cell r="I185" t="str">
            <v>-</v>
          </cell>
          <cell r="J185">
            <v>0</v>
          </cell>
          <cell r="K185">
            <v>-1</v>
          </cell>
          <cell r="L185" t="str">
            <v>FALTA ENTREGA</v>
          </cell>
          <cell r="M185">
            <v>1</v>
          </cell>
          <cell r="N185" t="str">
            <v>OC'S METALFISA</v>
          </cell>
          <cell r="O185" t="str">
            <v>-</v>
          </cell>
          <cell r="Q185" t="str">
            <v>-</v>
          </cell>
          <cell r="S185" t="str">
            <v>-</v>
          </cell>
          <cell r="U185">
            <v>1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2</v>
          </cell>
          <cell r="AA185">
            <v>2</v>
          </cell>
          <cell r="AB185">
            <v>0</v>
          </cell>
          <cell r="AC185">
            <v>0</v>
          </cell>
          <cell r="AD185">
            <v>-2</v>
          </cell>
        </row>
        <row r="186">
          <cell r="A186" t="str">
            <v>21.23.02081</v>
          </cell>
          <cell r="B186" t="str">
            <v>SUPORTE PARA TAMPA SUPERIOR \ AA_7140_01</v>
          </cell>
          <cell r="D186" t="str">
            <v>-</v>
          </cell>
          <cell r="E186" t="str">
            <v>-</v>
          </cell>
          <cell r="F186" t="str">
            <v>-</v>
          </cell>
          <cell r="G186" t="str">
            <v>-</v>
          </cell>
          <cell r="H186" t="str">
            <v>-</v>
          </cell>
          <cell r="I186" t="str">
            <v>-</v>
          </cell>
          <cell r="J186">
            <v>0</v>
          </cell>
          <cell r="K186">
            <v>0</v>
          </cell>
          <cell r="L186" t="str">
            <v>FALTA ENTREGA</v>
          </cell>
          <cell r="M186">
            <v>2</v>
          </cell>
          <cell r="N186" t="str">
            <v>OC'S METALFISA</v>
          </cell>
          <cell r="O186" t="str">
            <v>-</v>
          </cell>
          <cell r="Q186" t="str">
            <v>-</v>
          </cell>
          <cell r="S186" t="str">
            <v>-</v>
          </cell>
          <cell r="U186">
            <v>2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2</v>
          </cell>
          <cell r="AA186">
            <v>2</v>
          </cell>
          <cell r="AB186">
            <v>0</v>
          </cell>
          <cell r="AC186">
            <v>0</v>
          </cell>
          <cell r="AD186">
            <v>-2</v>
          </cell>
        </row>
        <row r="187">
          <cell r="A187" t="str">
            <v>21.23.02082</v>
          </cell>
          <cell r="B187" t="str">
            <v>TRAVA O CABO HDMI \ AA_7142_00</v>
          </cell>
          <cell r="D187" t="str">
            <v>-</v>
          </cell>
          <cell r="E187" t="str">
            <v>-</v>
          </cell>
          <cell r="F187" t="str">
            <v>-</v>
          </cell>
          <cell r="G187" t="str">
            <v>-</v>
          </cell>
          <cell r="H187" t="str">
            <v>-</v>
          </cell>
          <cell r="I187" t="str">
            <v>-</v>
          </cell>
          <cell r="J187">
            <v>0</v>
          </cell>
          <cell r="K187">
            <v>1</v>
          </cell>
          <cell r="L187" t="str">
            <v>FALTA ENTREGA</v>
          </cell>
          <cell r="M187">
            <v>2</v>
          </cell>
          <cell r="N187" t="str">
            <v>OC'S METALFISA</v>
          </cell>
          <cell r="O187" t="str">
            <v>-</v>
          </cell>
          <cell r="Q187" t="str">
            <v>-</v>
          </cell>
          <cell r="S187" t="str">
            <v>-</v>
          </cell>
          <cell r="U187">
            <v>2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1</v>
          </cell>
          <cell r="AA187">
            <v>1</v>
          </cell>
          <cell r="AB187">
            <v>0</v>
          </cell>
          <cell r="AC187">
            <v>0</v>
          </cell>
          <cell r="AD187">
            <v>-1</v>
          </cell>
        </row>
        <row r="188">
          <cell r="A188" t="str">
            <v>21.23.02083</v>
          </cell>
          <cell r="B188" t="str">
            <v>TAMPA LATERAL DA ESQUERDA INGLES/PORTUGUES / AA_7143_03</v>
          </cell>
          <cell r="D188" t="str">
            <v>-</v>
          </cell>
          <cell r="E188" t="str">
            <v>-</v>
          </cell>
          <cell r="F188" t="str">
            <v>-</v>
          </cell>
          <cell r="G188" t="str">
            <v>-</v>
          </cell>
          <cell r="H188" t="str">
            <v>-</v>
          </cell>
          <cell r="I188" t="str">
            <v>-</v>
          </cell>
          <cell r="J188">
            <v>0</v>
          </cell>
          <cell r="K188">
            <v>-1</v>
          </cell>
          <cell r="L188" t="str">
            <v>FALTA ENTREGA</v>
          </cell>
          <cell r="M188">
            <v>2</v>
          </cell>
          <cell r="N188" t="str">
            <v>OC'S METALFISA</v>
          </cell>
          <cell r="O188" t="str">
            <v>-</v>
          </cell>
          <cell r="Q188" t="str">
            <v>-</v>
          </cell>
          <cell r="S188" t="str">
            <v>-</v>
          </cell>
          <cell r="U188">
            <v>2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3</v>
          </cell>
          <cell r="AA188">
            <v>3</v>
          </cell>
          <cell r="AB188">
            <v>0</v>
          </cell>
          <cell r="AC188">
            <v>0</v>
          </cell>
          <cell r="AD188">
            <v>-3</v>
          </cell>
        </row>
        <row r="189">
          <cell r="A189" t="str">
            <v>21.23.02084</v>
          </cell>
          <cell r="B189" t="str">
            <v>ESTRUTURA MESA / AA_7144_04</v>
          </cell>
          <cell r="D189" t="str">
            <v>-</v>
          </cell>
          <cell r="E189" t="str">
            <v>-</v>
          </cell>
          <cell r="F189" t="str">
            <v>-</v>
          </cell>
          <cell r="G189" t="str">
            <v>-</v>
          </cell>
          <cell r="H189" t="str">
            <v>-</v>
          </cell>
          <cell r="I189" t="str">
            <v>-</v>
          </cell>
          <cell r="J189">
            <v>0</v>
          </cell>
          <cell r="K189">
            <v>0</v>
          </cell>
          <cell r="L189" t="str">
            <v>FALTA ENTREGA</v>
          </cell>
          <cell r="M189">
            <v>4</v>
          </cell>
          <cell r="N189" t="str">
            <v>OC'S METALFISA</v>
          </cell>
          <cell r="O189" t="str">
            <v>-</v>
          </cell>
          <cell r="Q189" t="str">
            <v>-</v>
          </cell>
          <cell r="S189" t="str">
            <v>-</v>
          </cell>
          <cell r="U189">
            <v>4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4</v>
          </cell>
          <cell r="AA189">
            <v>4</v>
          </cell>
          <cell r="AB189">
            <v>0</v>
          </cell>
          <cell r="AC189">
            <v>0</v>
          </cell>
          <cell r="AD189">
            <v>-4</v>
          </cell>
        </row>
        <row r="190">
          <cell r="A190" t="str">
            <v>21.23.02085</v>
          </cell>
          <cell r="B190" t="str">
            <v>TRAVA AS PERNAS / AA_7145_02</v>
          </cell>
          <cell r="C190">
            <v>46066</v>
          </cell>
          <cell r="D190" t="str">
            <v>-</v>
          </cell>
          <cell r="E190" t="str">
            <v>-</v>
          </cell>
          <cell r="F190" t="str">
            <v>-</v>
          </cell>
          <cell r="G190" t="str">
            <v>-</v>
          </cell>
          <cell r="H190" t="str">
            <v>-</v>
          </cell>
          <cell r="I190" t="str">
            <v>-</v>
          </cell>
          <cell r="J190">
            <v>0</v>
          </cell>
          <cell r="K190">
            <v>8</v>
          </cell>
          <cell r="L190" t="str">
            <v>ENTREGA TOTAL</v>
          </cell>
          <cell r="M190">
            <v>8</v>
          </cell>
          <cell r="N190" t="str">
            <v>OC'S METALFISA</v>
          </cell>
          <cell r="O190" t="str">
            <v>-</v>
          </cell>
          <cell r="Q190" t="str">
            <v>-</v>
          </cell>
          <cell r="S190" t="str">
            <v>-</v>
          </cell>
          <cell r="U190">
            <v>8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8</v>
          </cell>
          <cell r="AA190">
            <v>8</v>
          </cell>
          <cell r="AB190">
            <v>0</v>
          </cell>
          <cell r="AC190">
            <v>8</v>
          </cell>
          <cell r="AD190">
            <v>0</v>
          </cell>
        </row>
        <row r="191">
          <cell r="A191" t="str">
            <v>21.23.02086</v>
          </cell>
          <cell r="B191" t="str">
            <v>PERFIL DE FIXACAO TUNEL / AA_7146_03</v>
          </cell>
          <cell r="C191">
            <v>46066</v>
          </cell>
          <cell r="D191" t="str">
            <v>-</v>
          </cell>
          <cell r="E191" t="str">
            <v>-</v>
          </cell>
          <cell r="F191" t="str">
            <v>-</v>
          </cell>
          <cell r="G191" t="str">
            <v>-</v>
          </cell>
          <cell r="H191" t="str">
            <v>-</v>
          </cell>
          <cell r="I191" t="str">
            <v>-</v>
          </cell>
          <cell r="J191">
            <v>0</v>
          </cell>
          <cell r="K191">
            <v>5</v>
          </cell>
          <cell r="L191" t="str">
            <v>ENTREGA PARCIAL</v>
          </cell>
          <cell r="M191">
            <v>6</v>
          </cell>
          <cell r="N191" t="str">
            <v>OC'S METALFISA</v>
          </cell>
          <cell r="O191" t="str">
            <v>-</v>
          </cell>
          <cell r="Q191" t="str">
            <v>-</v>
          </cell>
          <cell r="S191" t="str">
            <v>-</v>
          </cell>
          <cell r="U191">
            <v>6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5</v>
          </cell>
          <cell r="AA191">
            <v>5</v>
          </cell>
          <cell r="AB191">
            <v>0</v>
          </cell>
          <cell r="AC191">
            <v>4</v>
          </cell>
          <cell r="AD191">
            <v>-1</v>
          </cell>
        </row>
        <row r="192">
          <cell r="A192" t="str">
            <v>21.23.02087</v>
          </cell>
          <cell r="B192" t="str">
            <v>ESTRUTURA MESA FRENTE / AA_7147_04</v>
          </cell>
          <cell r="D192" t="str">
            <v>-</v>
          </cell>
          <cell r="E192" t="str">
            <v>-</v>
          </cell>
          <cell r="F192" t="str">
            <v>-</v>
          </cell>
          <cell r="G192" t="str">
            <v>-</v>
          </cell>
          <cell r="H192" t="str">
            <v>-</v>
          </cell>
          <cell r="I192" t="str">
            <v>-</v>
          </cell>
          <cell r="J192">
            <v>0</v>
          </cell>
          <cell r="K192">
            <v>0</v>
          </cell>
          <cell r="L192" t="str">
            <v>FALTA ENTREGA</v>
          </cell>
          <cell r="M192">
            <v>3</v>
          </cell>
          <cell r="N192" t="str">
            <v>OC'S METALFISA</v>
          </cell>
          <cell r="O192" t="str">
            <v>-</v>
          </cell>
          <cell r="Q192" t="str">
            <v>-</v>
          </cell>
          <cell r="S192" t="str">
            <v>-</v>
          </cell>
          <cell r="U192">
            <v>3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3</v>
          </cell>
          <cell r="AA192">
            <v>3</v>
          </cell>
          <cell r="AB192">
            <v>0</v>
          </cell>
          <cell r="AC192">
            <v>0</v>
          </cell>
          <cell r="AD192">
            <v>-3</v>
          </cell>
        </row>
        <row r="193">
          <cell r="A193" t="str">
            <v>21.23.02088</v>
          </cell>
          <cell r="B193" t="str">
            <v>FIXACAO MOTOR SUSPENSO / AA_7148_03</v>
          </cell>
          <cell r="D193" t="str">
            <v>-</v>
          </cell>
          <cell r="E193" t="str">
            <v>-</v>
          </cell>
          <cell r="F193" t="str">
            <v>-</v>
          </cell>
          <cell r="G193" t="str">
            <v>-</v>
          </cell>
          <cell r="H193" t="str">
            <v>-</v>
          </cell>
          <cell r="I193" t="str">
            <v>-</v>
          </cell>
          <cell r="J193">
            <v>0</v>
          </cell>
          <cell r="K193">
            <v>0</v>
          </cell>
          <cell r="L193" t="str">
            <v>FALTA ENTREGA</v>
          </cell>
          <cell r="M193">
            <v>6</v>
          </cell>
          <cell r="N193" t="str">
            <v>OC'S METALFISA</v>
          </cell>
          <cell r="O193" t="str">
            <v>-</v>
          </cell>
          <cell r="Q193" t="str">
            <v>-</v>
          </cell>
          <cell r="S193" t="str">
            <v>-</v>
          </cell>
          <cell r="U193">
            <v>6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6</v>
          </cell>
          <cell r="AA193">
            <v>6</v>
          </cell>
          <cell r="AB193">
            <v>0</v>
          </cell>
          <cell r="AC193">
            <v>0</v>
          </cell>
          <cell r="AD193">
            <v>-6</v>
          </cell>
        </row>
        <row r="194">
          <cell r="A194" t="str">
            <v>21.23.02089</v>
          </cell>
          <cell r="B194" t="str">
            <v>ACABAMENTO MOTOR BRANCO \ AA_7149_00</v>
          </cell>
          <cell r="C194">
            <v>46066</v>
          </cell>
          <cell r="D194" t="str">
            <v>-</v>
          </cell>
          <cell r="E194" t="str">
            <v>-</v>
          </cell>
          <cell r="F194" t="str">
            <v>-</v>
          </cell>
          <cell r="G194" t="str">
            <v>-</v>
          </cell>
          <cell r="H194" t="str">
            <v>-</v>
          </cell>
          <cell r="I194" t="str">
            <v>-</v>
          </cell>
          <cell r="J194">
            <v>0</v>
          </cell>
          <cell r="K194">
            <v>4</v>
          </cell>
          <cell r="L194" t="str">
            <v>ENTREGA TOTAL</v>
          </cell>
          <cell r="M194">
            <v>4</v>
          </cell>
          <cell r="N194" t="str">
            <v>OC'S METALFISA</v>
          </cell>
          <cell r="O194" t="str">
            <v>-</v>
          </cell>
          <cell r="Q194" t="str">
            <v>-</v>
          </cell>
          <cell r="S194" t="str">
            <v>-</v>
          </cell>
          <cell r="U194">
            <v>4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4</v>
          </cell>
          <cell r="AA194">
            <v>4</v>
          </cell>
          <cell r="AB194">
            <v>0</v>
          </cell>
          <cell r="AC194">
            <v>4</v>
          </cell>
          <cell r="AD194">
            <v>0</v>
          </cell>
        </row>
        <row r="195">
          <cell r="A195" t="str">
            <v>21.23.02090</v>
          </cell>
          <cell r="B195" t="str">
            <v>COLUNA DOS ROLETES / AA_7150_05</v>
          </cell>
          <cell r="D195" t="str">
            <v>-</v>
          </cell>
          <cell r="E195" t="str">
            <v>-</v>
          </cell>
          <cell r="F195" t="str">
            <v>-</v>
          </cell>
          <cell r="G195" t="str">
            <v>-</v>
          </cell>
          <cell r="H195" t="str">
            <v>-</v>
          </cell>
          <cell r="I195" t="str">
            <v>-</v>
          </cell>
          <cell r="J195">
            <v>0</v>
          </cell>
          <cell r="K195">
            <v>0</v>
          </cell>
          <cell r="L195" t="str">
            <v>FALTA ENTREGA</v>
          </cell>
          <cell r="M195">
            <v>3</v>
          </cell>
          <cell r="N195" t="str">
            <v>OC'S METALFISA</v>
          </cell>
          <cell r="O195" t="str">
            <v>-</v>
          </cell>
          <cell r="Q195" t="str">
            <v>-</v>
          </cell>
          <cell r="S195" t="str">
            <v>-</v>
          </cell>
          <cell r="U195">
            <v>3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3</v>
          </cell>
          <cell r="AA195">
            <v>3</v>
          </cell>
          <cell r="AB195">
            <v>0</v>
          </cell>
          <cell r="AC195">
            <v>0</v>
          </cell>
          <cell r="AD195">
            <v>-3</v>
          </cell>
        </row>
        <row r="196">
          <cell r="A196" t="str">
            <v>21.23.02091</v>
          </cell>
          <cell r="B196" t="str">
            <v>COLUNA DOS ROLETES II / AA_7151_05</v>
          </cell>
          <cell r="D196" t="str">
            <v>-</v>
          </cell>
          <cell r="E196" t="str">
            <v>-</v>
          </cell>
          <cell r="F196" t="str">
            <v>-</v>
          </cell>
          <cell r="G196" t="str">
            <v>-</v>
          </cell>
          <cell r="H196" t="str">
            <v>-</v>
          </cell>
          <cell r="I196" t="str">
            <v>-</v>
          </cell>
          <cell r="J196">
            <v>0</v>
          </cell>
          <cell r="K196">
            <v>1</v>
          </cell>
          <cell r="L196" t="str">
            <v>FALTA ENTREGA</v>
          </cell>
          <cell r="M196">
            <v>3</v>
          </cell>
          <cell r="N196" t="str">
            <v>OC'S METALFISA</v>
          </cell>
          <cell r="O196" t="str">
            <v>-</v>
          </cell>
          <cell r="Q196" t="str">
            <v>-</v>
          </cell>
          <cell r="S196" t="str">
            <v>-</v>
          </cell>
          <cell r="U196">
            <v>3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2</v>
          </cell>
          <cell r="AA196">
            <v>2</v>
          </cell>
          <cell r="AB196">
            <v>0</v>
          </cell>
          <cell r="AC196">
            <v>0</v>
          </cell>
          <cell r="AD196">
            <v>-2</v>
          </cell>
        </row>
        <row r="197">
          <cell r="A197" t="str">
            <v>21.23.02092</v>
          </cell>
          <cell r="B197" t="str">
            <v>SUPORTE CAIXA PRETA / AA_7152_02</v>
          </cell>
          <cell r="D197" t="str">
            <v>-</v>
          </cell>
          <cell r="E197" t="str">
            <v>-</v>
          </cell>
          <cell r="F197" t="str">
            <v>-</v>
          </cell>
          <cell r="G197" t="str">
            <v>-</v>
          </cell>
          <cell r="H197" t="str">
            <v>-</v>
          </cell>
          <cell r="I197" t="str">
            <v>-</v>
          </cell>
          <cell r="J197">
            <v>0</v>
          </cell>
          <cell r="K197">
            <v>0</v>
          </cell>
          <cell r="L197" t="str">
            <v>ENTREGA PARCIAL</v>
          </cell>
          <cell r="M197">
            <v>1</v>
          </cell>
          <cell r="N197" t="str">
            <v>OC'S METALFISA</v>
          </cell>
          <cell r="O197" t="str">
            <v>-</v>
          </cell>
          <cell r="Q197" t="str">
            <v>-</v>
          </cell>
          <cell r="S197" t="str">
            <v>-</v>
          </cell>
          <cell r="U197">
            <v>1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3</v>
          </cell>
          <cell r="AA197">
            <v>3</v>
          </cell>
          <cell r="AB197">
            <v>0</v>
          </cell>
          <cell r="AC197">
            <v>2</v>
          </cell>
          <cell r="AD197">
            <v>-1</v>
          </cell>
        </row>
        <row r="198">
          <cell r="A198" t="str">
            <v>21.23.02093</v>
          </cell>
          <cell r="B198" t="str">
            <v>DISTRIBUICAO CABOS_06 / AA_7153_01</v>
          </cell>
          <cell r="C198">
            <v>46074</v>
          </cell>
          <cell r="D198" t="str">
            <v>-</v>
          </cell>
          <cell r="E198" t="str">
            <v>-</v>
          </cell>
          <cell r="F198" t="str">
            <v>-</v>
          </cell>
          <cell r="G198" t="str">
            <v>-</v>
          </cell>
          <cell r="H198" t="str">
            <v>-</v>
          </cell>
          <cell r="I198" t="str">
            <v>-</v>
          </cell>
          <cell r="J198">
            <v>0</v>
          </cell>
          <cell r="K198">
            <v>2</v>
          </cell>
          <cell r="L198" t="str">
            <v>ENTREGA TOTAL</v>
          </cell>
          <cell r="M198">
            <v>2</v>
          </cell>
          <cell r="N198" t="str">
            <v>OC'S METALFISA</v>
          </cell>
          <cell r="O198" t="str">
            <v>-</v>
          </cell>
          <cell r="Q198" t="str">
            <v>-</v>
          </cell>
          <cell r="S198" t="str">
            <v>-</v>
          </cell>
          <cell r="U198">
            <v>2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2</v>
          </cell>
          <cell r="AA198">
            <v>2</v>
          </cell>
          <cell r="AB198">
            <v>0</v>
          </cell>
          <cell r="AC198">
            <v>2</v>
          </cell>
          <cell r="AD198">
            <v>0</v>
          </cell>
        </row>
        <row r="199">
          <cell r="A199" t="str">
            <v>21.23.02095</v>
          </cell>
          <cell r="B199" t="str">
            <v>DISTRIBUICAO CABOS_03 / AA_7155_01</v>
          </cell>
          <cell r="C199">
            <v>46074</v>
          </cell>
          <cell r="D199" t="str">
            <v>-</v>
          </cell>
          <cell r="E199" t="str">
            <v>-</v>
          </cell>
          <cell r="F199" t="str">
            <v>-</v>
          </cell>
          <cell r="G199" t="str">
            <v>-</v>
          </cell>
          <cell r="H199" t="str">
            <v>-</v>
          </cell>
          <cell r="I199" t="str">
            <v>-</v>
          </cell>
          <cell r="J199">
            <v>0</v>
          </cell>
          <cell r="K199">
            <v>3</v>
          </cell>
          <cell r="L199" t="str">
            <v>ENTREGA TOTAL</v>
          </cell>
          <cell r="M199">
            <v>3</v>
          </cell>
          <cell r="N199" t="str">
            <v>OC'S METALFISA</v>
          </cell>
          <cell r="O199" t="str">
            <v>-</v>
          </cell>
          <cell r="Q199" t="str">
            <v>-</v>
          </cell>
          <cell r="S199" t="str">
            <v>-</v>
          </cell>
          <cell r="U199">
            <v>3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3</v>
          </cell>
          <cell r="AA199">
            <v>3</v>
          </cell>
          <cell r="AB199">
            <v>0</v>
          </cell>
          <cell r="AC199">
            <v>3</v>
          </cell>
          <cell r="AD199">
            <v>0</v>
          </cell>
        </row>
        <row r="200">
          <cell r="A200" t="str">
            <v>21.23.02096</v>
          </cell>
          <cell r="B200" t="str">
            <v>SUPORTE PARA TAMPA / AA_7156_01</v>
          </cell>
          <cell r="C200">
            <v>46066</v>
          </cell>
          <cell r="D200" t="str">
            <v>-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-</v>
          </cell>
          <cell r="I200" t="str">
            <v>-</v>
          </cell>
          <cell r="J200">
            <v>0</v>
          </cell>
          <cell r="K200" t="e">
            <v>#VALUE!</v>
          </cell>
          <cell r="L200" t="str">
            <v>ENTREGA TOTAL</v>
          </cell>
          <cell r="M200">
            <v>2</v>
          </cell>
          <cell r="N200" t="str">
            <v>OC'S METALFISA</v>
          </cell>
          <cell r="O200" t="str">
            <v>-</v>
          </cell>
          <cell r="Q200" t="str">
            <v>-</v>
          </cell>
          <cell r="S200" t="str">
            <v>-</v>
          </cell>
          <cell r="U200">
            <v>2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2</v>
          </cell>
          <cell r="AA200">
            <v>2</v>
          </cell>
          <cell r="AB200" t="str">
            <v>0</v>
          </cell>
          <cell r="AC200" t="str">
            <v>-</v>
          </cell>
          <cell r="AD200" t="str">
            <v>-</v>
          </cell>
        </row>
        <row r="201">
          <cell r="A201" t="str">
            <v>21.23.02097</v>
          </cell>
          <cell r="B201" t="str">
            <v>ESTRUTURA PARA PROTECAO DO TUBO / AA_7157_07</v>
          </cell>
          <cell r="D201" t="str">
            <v>-</v>
          </cell>
          <cell r="E201">
            <v>1</v>
          </cell>
          <cell r="F201" t="str">
            <v>-</v>
          </cell>
          <cell r="G201" t="str">
            <v>-</v>
          </cell>
          <cell r="H201" t="str">
            <v>-</v>
          </cell>
          <cell r="I201" t="str">
            <v>-</v>
          </cell>
          <cell r="J201">
            <v>1</v>
          </cell>
          <cell r="K201">
            <v>0</v>
          </cell>
          <cell r="L201" t="str">
            <v>FALTA ENTREGA</v>
          </cell>
          <cell r="M201">
            <v>2</v>
          </cell>
          <cell r="N201" t="str">
            <v>OC'S METALFISA</v>
          </cell>
          <cell r="O201" t="str">
            <v>-</v>
          </cell>
          <cell r="Q201" t="str">
            <v>-</v>
          </cell>
          <cell r="S201" t="str">
            <v>-</v>
          </cell>
          <cell r="U201">
            <v>2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3</v>
          </cell>
          <cell r="AA201">
            <v>3</v>
          </cell>
          <cell r="AB201">
            <v>0</v>
          </cell>
          <cell r="AC201">
            <v>0</v>
          </cell>
          <cell r="AD201">
            <v>-3</v>
          </cell>
        </row>
        <row r="202">
          <cell r="A202" t="str">
            <v>21.23.02098</v>
          </cell>
          <cell r="B202" t="str">
            <v>BASE DA PONTA / AA_7158_03</v>
          </cell>
          <cell r="D202" t="str">
            <v>-</v>
          </cell>
          <cell r="E202" t="str">
            <v>-</v>
          </cell>
          <cell r="F202" t="str">
            <v>-</v>
          </cell>
          <cell r="G202" t="str">
            <v>-</v>
          </cell>
          <cell r="H202" t="str">
            <v>-</v>
          </cell>
          <cell r="I202" t="str">
            <v>-</v>
          </cell>
          <cell r="J202">
            <v>0</v>
          </cell>
          <cell r="K202">
            <v>0</v>
          </cell>
          <cell r="L202" t="str">
            <v>FALTA ENTREGA</v>
          </cell>
          <cell r="M202">
            <v>2</v>
          </cell>
          <cell r="N202" t="str">
            <v>OC'S METALFISA</v>
          </cell>
          <cell r="O202" t="str">
            <v>-</v>
          </cell>
          <cell r="Q202" t="str">
            <v>-</v>
          </cell>
          <cell r="S202" t="str">
            <v>-</v>
          </cell>
          <cell r="U202">
            <v>2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2</v>
          </cell>
          <cell r="AA202">
            <v>2</v>
          </cell>
          <cell r="AB202">
            <v>0</v>
          </cell>
          <cell r="AC202">
            <v>0</v>
          </cell>
          <cell r="AD202">
            <v>-2</v>
          </cell>
        </row>
        <row r="203">
          <cell r="A203" t="str">
            <v>21.23.02099</v>
          </cell>
          <cell r="B203" t="str">
            <v>SAIA DA BASE / AA_7159_02</v>
          </cell>
          <cell r="C203">
            <v>46066</v>
          </cell>
          <cell r="D203" t="str">
            <v>-</v>
          </cell>
          <cell r="E203" t="str">
            <v>-</v>
          </cell>
          <cell r="F203" t="str">
            <v>-</v>
          </cell>
          <cell r="G203" t="str">
            <v>-</v>
          </cell>
          <cell r="H203" t="str">
            <v>-</v>
          </cell>
          <cell r="I203" t="str">
            <v>-</v>
          </cell>
          <cell r="J203">
            <v>0</v>
          </cell>
          <cell r="K203">
            <v>2</v>
          </cell>
          <cell r="L203" t="str">
            <v>ENTREGA TOTAL</v>
          </cell>
          <cell r="M203">
            <v>2</v>
          </cell>
          <cell r="N203" t="str">
            <v>OC'S METALFISA</v>
          </cell>
          <cell r="O203" t="str">
            <v>-</v>
          </cell>
          <cell r="Q203" t="str">
            <v>-</v>
          </cell>
          <cell r="S203" t="str">
            <v>-</v>
          </cell>
          <cell r="U203">
            <v>2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2</v>
          </cell>
          <cell r="AA203">
            <v>2</v>
          </cell>
          <cell r="AB203">
            <v>0</v>
          </cell>
          <cell r="AC203">
            <v>2</v>
          </cell>
          <cell r="AD203">
            <v>0</v>
          </cell>
        </row>
        <row r="204">
          <cell r="A204" t="str">
            <v>21.23.02100</v>
          </cell>
          <cell r="B204" t="str">
            <v>PROLONGADOR DA TAMPA MEIO / AA_7160_03</v>
          </cell>
          <cell r="D204" t="str">
            <v>-</v>
          </cell>
          <cell r="E204" t="str">
            <v>-</v>
          </cell>
          <cell r="F204" t="str">
            <v>-</v>
          </cell>
          <cell r="G204" t="str">
            <v>-</v>
          </cell>
          <cell r="H204" t="str">
            <v>-</v>
          </cell>
          <cell r="I204" t="str">
            <v>-</v>
          </cell>
          <cell r="J204">
            <v>0</v>
          </cell>
          <cell r="K204">
            <v>0</v>
          </cell>
          <cell r="L204" t="str">
            <v>FALTA ENTREGA</v>
          </cell>
          <cell r="M204">
            <v>2</v>
          </cell>
          <cell r="N204" t="str">
            <v>OC'S METALFISA</v>
          </cell>
          <cell r="O204" t="str">
            <v>-</v>
          </cell>
          <cell r="Q204" t="str">
            <v>-</v>
          </cell>
          <cell r="S204" t="str">
            <v>-</v>
          </cell>
          <cell r="U204">
            <v>2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2</v>
          </cell>
          <cell r="AA204">
            <v>2</v>
          </cell>
          <cell r="AB204">
            <v>0</v>
          </cell>
          <cell r="AC204">
            <v>0</v>
          </cell>
          <cell r="AD204">
            <v>-2</v>
          </cell>
        </row>
        <row r="205">
          <cell r="A205" t="str">
            <v>21.23.02101</v>
          </cell>
          <cell r="B205" t="str">
            <v>SAIA DA BASE 2 / AA_7161_02</v>
          </cell>
          <cell r="C205">
            <v>46066</v>
          </cell>
          <cell r="D205" t="str">
            <v>-</v>
          </cell>
          <cell r="E205" t="str">
            <v>-</v>
          </cell>
          <cell r="F205" t="str">
            <v>-</v>
          </cell>
          <cell r="G205" t="str">
            <v>-</v>
          </cell>
          <cell r="H205" t="str">
            <v>-</v>
          </cell>
          <cell r="I205" t="str">
            <v>-</v>
          </cell>
          <cell r="J205">
            <v>0</v>
          </cell>
          <cell r="K205">
            <v>2</v>
          </cell>
          <cell r="L205" t="str">
            <v>ENTREGA TOTAL</v>
          </cell>
          <cell r="M205">
            <v>2</v>
          </cell>
          <cell r="N205" t="str">
            <v>OC'S METALFISA</v>
          </cell>
          <cell r="O205" t="str">
            <v>-</v>
          </cell>
          <cell r="Q205" t="str">
            <v>-</v>
          </cell>
          <cell r="S205" t="str">
            <v>-</v>
          </cell>
          <cell r="U205">
            <v>2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2</v>
          </cell>
          <cell r="AA205">
            <v>2</v>
          </cell>
          <cell r="AB205">
            <v>0</v>
          </cell>
          <cell r="AC205">
            <v>2</v>
          </cell>
          <cell r="AD205">
            <v>0</v>
          </cell>
        </row>
        <row r="206">
          <cell r="A206" t="str">
            <v>21.23.02102</v>
          </cell>
          <cell r="B206" t="str">
            <v>APOIO DO TUNEL / AA_7162_03</v>
          </cell>
          <cell r="D206" t="str">
            <v>-</v>
          </cell>
          <cell r="E206" t="str">
            <v>-</v>
          </cell>
          <cell r="F206" t="str">
            <v>-</v>
          </cell>
          <cell r="G206" t="str">
            <v>-</v>
          </cell>
          <cell r="H206" t="str">
            <v>-</v>
          </cell>
          <cell r="I206" t="str">
            <v>-</v>
          </cell>
          <cell r="J206">
            <v>0</v>
          </cell>
          <cell r="K206">
            <v>0</v>
          </cell>
          <cell r="L206" t="str">
            <v>FALTA ENTREGA</v>
          </cell>
          <cell r="M206">
            <v>2</v>
          </cell>
          <cell r="N206" t="str">
            <v>OC'S METALFISA</v>
          </cell>
          <cell r="O206" t="str">
            <v>-</v>
          </cell>
          <cell r="Q206" t="str">
            <v>-</v>
          </cell>
          <cell r="S206" t="str">
            <v>-</v>
          </cell>
          <cell r="U206">
            <v>2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2</v>
          </cell>
          <cell r="AA206">
            <v>2</v>
          </cell>
          <cell r="AB206">
            <v>0</v>
          </cell>
          <cell r="AC206">
            <v>0</v>
          </cell>
          <cell r="AD206">
            <v>-2</v>
          </cell>
        </row>
        <row r="207">
          <cell r="A207" t="str">
            <v>21.23.02103</v>
          </cell>
          <cell r="B207" t="str">
            <v>APOIO DO TUNEL 02 / AA_7163_03</v>
          </cell>
          <cell r="D207" t="str">
            <v>-</v>
          </cell>
          <cell r="E207" t="str">
            <v>-</v>
          </cell>
          <cell r="F207" t="str">
            <v>-</v>
          </cell>
          <cell r="G207" t="str">
            <v>-</v>
          </cell>
          <cell r="H207" t="str">
            <v>-</v>
          </cell>
          <cell r="I207" t="str">
            <v>-</v>
          </cell>
          <cell r="J207">
            <v>0</v>
          </cell>
          <cell r="K207">
            <v>0</v>
          </cell>
          <cell r="L207" t="str">
            <v>FALTA ENTREGA</v>
          </cell>
          <cell r="M207">
            <v>2</v>
          </cell>
          <cell r="N207" t="str">
            <v>OC'S METALFISA</v>
          </cell>
          <cell r="O207" t="str">
            <v>-</v>
          </cell>
          <cell r="Q207" t="str">
            <v>-</v>
          </cell>
          <cell r="S207" t="str">
            <v>-</v>
          </cell>
          <cell r="U207">
            <v>2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2</v>
          </cell>
          <cell r="AA207">
            <v>2</v>
          </cell>
          <cell r="AB207">
            <v>0</v>
          </cell>
          <cell r="AC207">
            <v>0</v>
          </cell>
          <cell r="AD207">
            <v>-2</v>
          </cell>
        </row>
        <row r="208">
          <cell r="A208" t="str">
            <v>21.23.02104</v>
          </cell>
          <cell r="B208" t="str">
            <v>SUPORTE MONITOR / AA_7164_03</v>
          </cell>
          <cell r="D208" t="str">
            <v>-</v>
          </cell>
          <cell r="E208" t="str">
            <v>-</v>
          </cell>
          <cell r="F208" t="str">
            <v>-</v>
          </cell>
          <cell r="G208" t="str">
            <v>-</v>
          </cell>
          <cell r="H208" t="str">
            <v>-</v>
          </cell>
          <cell r="I208" t="str">
            <v>-</v>
          </cell>
          <cell r="J208">
            <v>0</v>
          </cell>
          <cell r="K208">
            <v>0</v>
          </cell>
          <cell r="L208" t="str">
            <v>FALTA ENTREGA</v>
          </cell>
          <cell r="M208">
            <v>3</v>
          </cell>
          <cell r="N208" t="str">
            <v>OC'S METALFISA</v>
          </cell>
          <cell r="O208" t="str">
            <v>-</v>
          </cell>
          <cell r="Q208" t="str">
            <v>-</v>
          </cell>
          <cell r="S208" t="str">
            <v>-</v>
          </cell>
          <cell r="U208">
            <v>3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3</v>
          </cell>
          <cell r="AA208">
            <v>3</v>
          </cell>
          <cell r="AB208">
            <v>0</v>
          </cell>
          <cell r="AC208">
            <v>0</v>
          </cell>
          <cell r="AD208">
            <v>-3</v>
          </cell>
        </row>
        <row r="209">
          <cell r="A209" t="str">
            <v>21.23.02105</v>
          </cell>
          <cell r="B209" t="str">
            <v>TAMPA LATERAL FRONTAL / AA_7165_02</v>
          </cell>
          <cell r="D209" t="str">
            <v>-</v>
          </cell>
          <cell r="E209" t="str">
            <v>-</v>
          </cell>
          <cell r="F209" t="str">
            <v>-</v>
          </cell>
          <cell r="G209" t="str">
            <v>-</v>
          </cell>
          <cell r="H209" t="str">
            <v>-</v>
          </cell>
          <cell r="I209" t="str">
            <v>-</v>
          </cell>
          <cell r="J209">
            <v>0</v>
          </cell>
          <cell r="K209">
            <v>-1</v>
          </cell>
          <cell r="L209" t="str">
            <v>FALTA ENTREGA</v>
          </cell>
          <cell r="M209">
            <v>2</v>
          </cell>
          <cell r="N209" t="str">
            <v>OC'S METALFISA</v>
          </cell>
          <cell r="O209" t="str">
            <v>-</v>
          </cell>
          <cell r="Q209" t="str">
            <v>-</v>
          </cell>
          <cell r="S209" t="str">
            <v>-</v>
          </cell>
          <cell r="U209">
            <v>2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3</v>
          </cell>
          <cell r="AA209">
            <v>3</v>
          </cell>
          <cell r="AB209">
            <v>0</v>
          </cell>
          <cell r="AC209">
            <v>0</v>
          </cell>
          <cell r="AD209">
            <v>-3</v>
          </cell>
        </row>
        <row r="210">
          <cell r="A210" t="str">
            <v>21.23.02106</v>
          </cell>
          <cell r="B210" t="str">
            <v>ENCAIXE DA LINGUETA TAMPA / AA_7169_03</v>
          </cell>
          <cell r="C210">
            <v>46074</v>
          </cell>
          <cell r="D210" t="str">
            <v>-</v>
          </cell>
          <cell r="E210" t="str">
            <v>-</v>
          </cell>
          <cell r="F210" t="str">
            <v>-</v>
          </cell>
          <cell r="G210" t="str">
            <v>-</v>
          </cell>
          <cell r="H210" t="str">
            <v>-</v>
          </cell>
          <cell r="I210" t="str">
            <v>-</v>
          </cell>
          <cell r="J210">
            <v>0</v>
          </cell>
          <cell r="K210">
            <v>2</v>
          </cell>
          <cell r="L210" t="str">
            <v>ENTREGA PARCIAL</v>
          </cell>
          <cell r="M210">
            <v>4</v>
          </cell>
          <cell r="N210" t="str">
            <v>OC'S METALFISA</v>
          </cell>
          <cell r="O210" t="str">
            <v>-</v>
          </cell>
          <cell r="Q210" t="str">
            <v>-</v>
          </cell>
          <cell r="S210" t="str">
            <v>-</v>
          </cell>
          <cell r="U210">
            <v>4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6</v>
          </cell>
          <cell r="AA210">
            <v>6</v>
          </cell>
          <cell r="AB210">
            <v>0</v>
          </cell>
          <cell r="AC210">
            <v>4</v>
          </cell>
          <cell r="AD210">
            <v>-2</v>
          </cell>
        </row>
        <row r="211">
          <cell r="A211" t="str">
            <v>21.23.02107</v>
          </cell>
          <cell r="B211" t="str">
            <v>BANDEJA INTERNA FLATSCAN \ AA_7173_01</v>
          </cell>
          <cell r="D211" t="str">
            <v>-</v>
          </cell>
          <cell r="E211" t="str">
            <v>-</v>
          </cell>
          <cell r="F211" t="str">
            <v>-</v>
          </cell>
          <cell r="G211" t="str">
            <v>-</v>
          </cell>
          <cell r="H211" t="str">
            <v>-</v>
          </cell>
          <cell r="I211" t="str">
            <v>-</v>
          </cell>
          <cell r="J211">
            <v>0</v>
          </cell>
          <cell r="K211">
            <v>0</v>
          </cell>
          <cell r="L211" t="str">
            <v>FALTA ENTREGA</v>
          </cell>
          <cell r="M211">
            <v>4</v>
          </cell>
          <cell r="N211" t="str">
            <v>OC'S METALFISA</v>
          </cell>
          <cell r="O211" t="str">
            <v>-</v>
          </cell>
          <cell r="Q211" t="str">
            <v>-</v>
          </cell>
          <cell r="S211" t="str">
            <v>-</v>
          </cell>
          <cell r="U211">
            <v>4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4</v>
          </cell>
          <cell r="AA211">
            <v>4</v>
          </cell>
          <cell r="AB211">
            <v>0</v>
          </cell>
          <cell r="AC211">
            <v>0</v>
          </cell>
          <cell r="AD211">
            <v>-4</v>
          </cell>
        </row>
        <row r="212">
          <cell r="A212" t="str">
            <v>21.23.02108</v>
          </cell>
          <cell r="B212" t="str">
            <v>PROLONGADOR TAMPA SUPERIOR / AA_7177_01</v>
          </cell>
          <cell r="D212" t="str">
            <v>-</v>
          </cell>
          <cell r="E212" t="str">
            <v>-</v>
          </cell>
          <cell r="F212" t="str">
            <v>-</v>
          </cell>
          <cell r="G212" t="str">
            <v>-</v>
          </cell>
          <cell r="H212" t="str">
            <v>-</v>
          </cell>
          <cell r="I212" t="str">
            <v>-</v>
          </cell>
          <cell r="J212">
            <v>0</v>
          </cell>
          <cell r="K212">
            <v>0</v>
          </cell>
          <cell r="L212" t="str">
            <v>FALTA ENTREGA</v>
          </cell>
          <cell r="M212">
            <v>2</v>
          </cell>
          <cell r="N212" t="str">
            <v>OC'S METALFISA</v>
          </cell>
          <cell r="O212" t="str">
            <v>-</v>
          </cell>
          <cell r="Q212" t="str">
            <v>-</v>
          </cell>
          <cell r="S212" t="str">
            <v>-</v>
          </cell>
          <cell r="U212">
            <v>2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2</v>
          </cell>
          <cell r="AA212">
            <v>2</v>
          </cell>
          <cell r="AB212">
            <v>0</v>
          </cell>
          <cell r="AC212">
            <v>0</v>
          </cell>
          <cell r="AD212">
            <v>-2</v>
          </cell>
        </row>
        <row r="213">
          <cell r="A213" t="str">
            <v>21.23.02233</v>
          </cell>
          <cell r="B213" t="str">
            <v>SUPORTE DO PE NIVELADOR DA BASE 5333 / AA_7231_00</v>
          </cell>
          <cell r="C213">
            <v>46072</v>
          </cell>
          <cell r="D213" t="str">
            <v>-</v>
          </cell>
          <cell r="E213" t="str">
            <v>-</v>
          </cell>
          <cell r="F213" t="str">
            <v>-</v>
          </cell>
          <cell r="G213" t="str">
            <v>-</v>
          </cell>
          <cell r="H213" t="str">
            <v>-</v>
          </cell>
          <cell r="I213" t="str">
            <v>-</v>
          </cell>
          <cell r="J213">
            <v>0</v>
          </cell>
          <cell r="K213">
            <v>318</v>
          </cell>
          <cell r="L213" t="str">
            <v>ENTREGA TOTAL</v>
          </cell>
          <cell r="M213" t="str">
            <v>-</v>
          </cell>
          <cell r="N213" t="str">
            <v>OC'S METALFISA</v>
          </cell>
          <cell r="O213" t="str">
            <v>-</v>
          </cell>
          <cell r="Q213" t="str">
            <v>-</v>
          </cell>
          <cell r="S213">
            <v>160</v>
          </cell>
          <cell r="T213" t="str">
            <v>OC'S MAPHE</v>
          </cell>
          <cell r="U213">
            <v>160</v>
          </cell>
          <cell r="V213">
            <v>2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2</v>
          </cell>
          <cell r="AB213">
            <v>0</v>
          </cell>
          <cell r="AC213">
            <v>160</v>
          </cell>
          <cell r="AD213">
            <v>158</v>
          </cell>
        </row>
        <row r="214">
          <cell r="A214" t="str">
            <v>21.23.02238</v>
          </cell>
          <cell r="B214" t="str">
            <v>COLUNA DE UNIAO 02 BASE 5333 \ AA_7234_00</v>
          </cell>
          <cell r="D214" t="str">
            <v>-</v>
          </cell>
          <cell r="E214" t="str">
            <v>-</v>
          </cell>
          <cell r="F214" t="str">
            <v>-</v>
          </cell>
          <cell r="G214" t="str">
            <v>-</v>
          </cell>
          <cell r="H214" t="str">
            <v>-</v>
          </cell>
          <cell r="I214" t="str">
            <v>-</v>
          </cell>
          <cell r="J214">
            <v>0</v>
          </cell>
          <cell r="K214" t="e">
            <v>#VALUE!</v>
          </cell>
          <cell r="L214" t="str">
            <v>ENTREGA TOTAL</v>
          </cell>
          <cell r="M214" t="str">
            <v>-</v>
          </cell>
          <cell r="N214" t="str">
            <v>OC'S METALFISA</v>
          </cell>
          <cell r="O214" t="str">
            <v>-</v>
          </cell>
          <cell r="Q214" t="str">
            <v>-</v>
          </cell>
          <cell r="S214">
            <v>100</v>
          </cell>
          <cell r="T214" t="str">
            <v>OC'S MAPHE</v>
          </cell>
          <cell r="U214">
            <v>100</v>
          </cell>
          <cell r="V214">
            <v>20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20</v>
          </cell>
          <cell r="AB214" t="str">
            <v>0</v>
          </cell>
          <cell r="AC214" t="str">
            <v>-</v>
          </cell>
          <cell r="AD214" t="str">
            <v>-</v>
          </cell>
        </row>
        <row r="215">
          <cell r="A215" t="str">
            <v>21.23.02248</v>
          </cell>
          <cell r="B215" t="str">
            <v>SUPORTE VIDRO BODYSCAN \ AA_7251_00</v>
          </cell>
          <cell r="D215" t="str">
            <v>-</v>
          </cell>
          <cell r="E215" t="str">
            <v>-</v>
          </cell>
          <cell r="F215" t="str">
            <v>-</v>
          </cell>
          <cell r="G215" t="str">
            <v>-</v>
          </cell>
          <cell r="H215" t="str">
            <v>-</v>
          </cell>
          <cell r="I215" t="str">
            <v>-</v>
          </cell>
          <cell r="J215">
            <v>0</v>
          </cell>
          <cell r="K215">
            <v>80</v>
          </cell>
          <cell r="L215" t="str">
            <v>FALTA ENTREGA</v>
          </cell>
          <cell r="M215">
            <v>3</v>
          </cell>
          <cell r="N215" t="str">
            <v>OC'S METALFISA</v>
          </cell>
          <cell r="O215" t="str">
            <v>-</v>
          </cell>
          <cell r="Q215">
            <v>84</v>
          </cell>
          <cell r="S215" t="str">
            <v>-</v>
          </cell>
          <cell r="U215">
            <v>87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7</v>
          </cell>
          <cell r="AA215">
            <v>7</v>
          </cell>
          <cell r="AB215">
            <v>0</v>
          </cell>
          <cell r="AC215">
            <v>0</v>
          </cell>
          <cell r="AD215">
            <v>-7</v>
          </cell>
        </row>
        <row r="216">
          <cell r="A216" t="str">
            <v>21.23.02254</v>
          </cell>
          <cell r="B216" t="str">
            <v>ACABAMENTO DO FUNDO BODYSCAN \ AA_7257_01</v>
          </cell>
          <cell r="C216">
            <v>46063</v>
          </cell>
          <cell r="D216" t="str">
            <v>-</v>
          </cell>
          <cell r="E216" t="str">
            <v>-</v>
          </cell>
          <cell r="F216" t="str">
            <v>-</v>
          </cell>
          <cell r="G216" t="str">
            <v>-</v>
          </cell>
          <cell r="H216" t="str">
            <v>-</v>
          </cell>
          <cell r="I216">
            <v>1</v>
          </cell>
          <cell r="J216">
            <v>1</v>
          </cell>
          <cell r="K216">
            <v>18</v>
          </cell>
          <cell r="L216" t="str">
            <v>ENTREGA PARCIAL</v>
          </cell>
          <cell r="M216">
            <v>18</v>
          </cell>
          <cell r="N216" t="str">
            <v>OC'S METALFISA</v>
          </cell>
          <cell r="O216" t="str">
            <v>-</v>
          </cell>
          <cell r="Q216" t="str">
            <v>-</v>
          </cell>
          <cell r="S216" t="str">
            <v>-</v>
          </cell>
          <cell r="U216">
            <v>18</v>
          </cell>
          <cell r="V216">
            <v>6</v>
          </cell>
          <cell r="W216">
            <v>0</v>
          </cell>
          <cell r="X216">
            <v>0</v>
          </cell>
          <cell r="Y216">
            <v>0</v>
          </cell>
          <cell r="Z216">
            <v>29</v>
          </cell>
          <cell r="AA216">
            <v>35</v>
          </cell>
          <cell r="AB216">
            <v>0</v>
          </cell>
          <cell r="AC216">
            <v>34</v>
          </cell>
          <cell r="AD216">
            <v>-1</v>
          </cell>
        </row>
        <row r="217">
          <cell r="A217" t="str">
            <v>21.23.02261</v>
          </cell>
          <cell r="B217" t="str">
            <v>MONTAGEM DA COLUNA DE SUSTENTACAO DA BASE 01 \ AA_9527_00</v>
          </cell>
          <cell r="D217">
            <v>6</v>
          </cell>
          <cell r="E217" t="str">
            <v>-</v>
          </cell>
          <cell r="F217" t="str">
            <v>-</v>
          </cell>
          <cell r="G217" t="str">
            <v>-</v>
          </cell>
          <cell r="H217" t="str">
            <v>-</v>
          </cell>
          <cell r="I217" t="str">
            <v>-</v>
          </cell>
          <cell r="J217">
            <v>0</v>
          </cell>
          <cell r="K217" t="e">
            <v>#VALUE!</v>
          </cell>
          <cell r="L217" t="str">
            <v>ENTREGA TOTAL</v>
          </cell>
          <cell r="M217" t="str">
            <v>-</v>
          </cell>
          <cell r="N217" t="str">
            <v>OC'S METALFISA</v>
          </cell>
          <cell r="O217" t="str">
            <v>-</v>
          </cell>
          <cell r="Q217" t="str">
            <v>-</v>
          </cell>
          <cell r="S217" t="str">
            <v>-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42</v>
          </cell>
          <cell r="AA217">
            <v>42</v>
          </cell>
          <cell r="AB217" t="str">
            <v>0</v>
          </cell>
          <cell r="AC217" t="str">
            <v>-</v>
          </cell>
          <cell r="AD217" t="str">
            <v>-</v>
          </cell>
        </row>
        <row r="218">
          <cell r="A218" t="str">
            <v>21.23.02267</v>
          </cell>
          <cell r="B218" t="str">
            <v>APOIO DA SOLENOIDE / AA_9998_06</v>
          </cell>
          <cell r="C218">
            <v>46074</v>
          </cell>
          <cell r="D218" t="str">
            <v>-</v>
          </cell>
          <cell r="E218" t="str">
            <v>-</v>
          </cell>
          <cell r="F218" t="str">
            <v>-</v>
          </cell>
          <cell r="G218" t="str">
            <v>-</v>
          </cell>
          <cell r="H218" t="str">
            <v>-</v>
          </cell>
          <cell r="I218" t="str">
            <v>-</v>
          </cell>
          <cell r="J218">
            <v>0</v>
          </cell>
          <cell r="K218">
            <v>3</v>
          </cell>
          <cell r="L218" t="str">
            <v>ENTREGA PARCIAL</v>
          </cell>
          <cell r="M218">
            <v>4</v>
          </cell>
          <cell r="N218" t="str">
            <v>OC'S METALFISA</v>
          </cell>
          <cell r="O218" t="str">
            <v>-</v>
          </cell>
          <cell r="Q218" t="str">
            <v>-</v>
          </cell>
          <cell r="S218" t="str">
            <v>-</v>
          </cell>
          <cell r="U218">
            <v>4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2</v>
          </cell>
          <cell r="AA218">
            <v>2</v>
          </cell>
          <cell r="AB218">
            <v>0</v>
          </cell>
          <cell r="AC218">
            <v>1</v>
          </cell>
          <cell r="AD218">
            <v>-1</v>
          </cell>
        </row>
        <row r="219">
          <cell r="A219" t="str">
            <v>21.23.02270</v>
          </cell>
          <cell r="B219" t="str">
            <v>FECHAMENTO LATERAL DO OBTURADOR DO CORPO INTEIRO \ AA_9507_00</v>
          </cell>
          <cell r="D219" t="str">
            <v>-</v>
          </cell>
          <cell r="E219" t="str">
            <v>-</v>
          </cell>
          <cell r="F219" t="str">
            <v>-</v>
          </cell>
          <cell r="G219" t="str">
            <v>-</v>
          </cell>
          <cell r="H219" t="str">
            <v>-</v>
          </cell>
          <cell r="I219" t="str">
            <v>-</v>
          </cell>
          <cell r="J219">
            <v>0</v>
          </cell>
          <cell r="K219">
            <v>9</v>
          </cell>
          <cell r="L219" t="str">
            <v>FALTA ENTREGA</v>
          </cell>
          <cell r="M219">
            <v>33</v>
          </cell>
          <cell r="N219" t="str">
            <v>OC'S METALFISA</v>
          </cell>
          <cell r="O219" t="str">
            <v>-</v>
          </cell>
          <cell r="Q219" t="str">
            <v>-</v>
          </cell>
          <cell r="S219" t="str">
            <v>-</v>
          </cell>
          <cell r="U219">
            <v>33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24</v>
          </cell>
          <cell r="AA219">
            <v>24</v>
          </cell>
          <cell r="AB219">
            <v>0</v>
          </cell>
          <cell r="AC219">
            <v>0</v>
          </cell>
          <cell r="AD219">
            <v>-24</v>
          </cell>
        </row>
        <row r="220">
          <cell r="A220" t="str">
            <v>21.23.02272</v>
          </cell>
          <cell r="B220" t="str">
            <v>CHAPA DE FECHAMENTO SUPERIOR DA SOLENOIDE DO CORPO INTEIRO \ AA_9509_00</v>
          </cell>
          <cell r="C220">
            <v>46074</v>
          </cell>
          <cell r="D220" t="str">
            <v>-</v>
          </cell>
          <cell r="E220" t="str">
            <v>-</v>
          </cell>
          <cell r="F220" t="str">
            <v>-</v>
          </cell>
          <cell r="G220" t="str">
            <v>-</v>
          </cell>
          <cell r="H220" t="str">
            <v>-</v>
          </cell>
          <cell r="I220" t="str">
            <v>-</v>
          </cell>
          <cell r="J220">
            <v>0</v>
          </cell>
          <cell r="K220">
            <v>31</v>
          </cell>
          <cell r="L220" t="str">
            <v>ENTREGA PARCIAL</v>
          </cell>
          <cell r="M220">
            <v>33</v>
          </cell>
          <cell r="N220" t="str">
            <v>OC'S METALFISA</v>
          </cell>
          <cell r="O220" t="str">
            <v>-</v>
          </cell>
          <cell r="Q220" t="str">
            <v>-</v>
          </cell>
          <cell r="S220" t="str">
            <v>-</v>
          </cell>
          <cell r="U220">
            <v>33</v>
          </cell>
          <cell r="V220">
            <v>5</v>
          </cell>
          <cell r="W220">
            <v>0</v>
          </cell>
          <cell r="X220">
            <v>0</v>
          </cell>
          <cell r="Y220">
            <v>0</v>
          </cell>
          <cell r="Z220">
            <v>29</v>
          </cell>
          <cell r="AA220">
            <v>34</v>
          </cell>
          <cell r="AB220">
            <v>0</v>
          </cell>
          <cell r="AC220">
            <v>32</v>
          </cell>
          <cell r="AD220">
            <v>-2</v>
          </cell>
        </row>
        <row r="221">
          <cell r="A221" t="str">
            <v>21.23.02274</v>
          </cell>
          <cell r="B221" t="str">
            <v>ACABAMENTO LATERAL SUPERIOR CENTRAL ENTRADA \ AA_9510_00</v>
          </cell>
          <cell r="D221" t="str">
            <v>-</v>
          </cell>
          <cell r="E221" t="str">
            <v>-</v>
          </cell>
          <cell r="F221" t="str">
            <v>-</v>
          </cell>
          <cell r="G221" t="str">
            <v>-</v>
          </cell>
          <cell r="H221" t="str">
            <v>-</v>
          </cell>
          <cell r="I221" t="str">
            <v>-</v>
          </cell>
          <cell r="J221">
            <v>0</v>
          </cell>
          <cell r="K221">
            <v>0</v>
          </cell>
          <cell r="L221" t="str">
            <v>FALTA ENTREGA</v>
          </cell>
          <cell r="M221">
            <v>66</v>
          </cell>
          <cell r="N221" t="str">
            <v>OC'S METALFISA</v>
          </cell>
          <cell r="O221" t="str">
            <v>-</v>
          </cell>
          <cell r="Q221" t="str">
            <v>-</v>
          </cell>
          <cell r="S221" t="str">
            <v>-</v>
          </cell>
          <cell r="U221">
            <v>66</v>
          </cell>
          <cell r="V221">
            <v>8</v>
          </cell>
          <cell r="W221">
            <v>0</v>
          </cell>
          <cell r="X221">
            <v>0</v>
          </cell>
          <cell r="Y221">
            <v>0</v>
          </cell>
          <cell r="Z221">
            <v>58</v>
          </cell>
          <cell r="AA221">
            <v>66</v>
          </cell>
          <cell r="AB221">
            <v>8</v>
          </cell>
          <cell r="AC221">
            <v>0</v>
          </cell>
          <cell r="AD221">
            <v>-66</v>
          </cell>
        </row>
        <row r="222">
          <cell r="A222" t="str">
            <v>21.23.02276</v>
          </cell>
          <cell r="B222" t="str">
            <v>MONTAGEM DO ACABAMENTO FRONTAL SUPERIOR \ AA_9512_00</v>
          </cell>
          <cell r="D222">
            <v>3</v>
          </cell>
          <cell r="E222" t="str">
            <v>-</v>
          </cell>
          <cell r="F222" t="str">
            <v>-</v>
          </cell>
          <cell r="G222" t="str">
            <v>-</v>
          </cell>
          <cell r="H222" t="str">
            <v>-</v>
          </cell>
          <cell r="I222" t="str">
            <v>-</v>
          </cell>
          <cell r="J222">
            <v>0</v>
          </cell>
          <cell r="K222">
            <v>-3</v>
          </cell>
          <cell r="L222" t="str">
            <v>FALTA ENTREGA</v>
          </cell>
          <cell r="M222">
            <v>1</v>
          </cell>
          <cell r="N222" t="str">
            <v>OC'S METALFISA</v>
          </cell>
          <cell r="O222" t="str">
            <v>-</v>
          </cell>
          <cell r="Q222" t="str">
            <v>-</v>
          </cell>
          <cell r="S222" t="str">
            <v>-</v>
          </cell>
          <cell r="U222">
            <v>1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7</v>
          </cell>
          <cell r="AA222">
            <v>7</v>
          </cell>
          <cell r="AB222">
            <v>0</v>
          </cell>
          <cell r="AC222">
            <v>0</v>
          </cell>
          <cell r="AD222">
            <v>-7</v>
          </cell>
        </row>
        <row r="223">
          <cell r="A223" t="str">
            <v>21.23.02277</v>
          </cell>
          <cell r="B223" t="str">
            <v>MONTAGEM DO ACABAMENTO FRONTAL INFERIOR \ AA_9513_04</v>
          </cell>
          <cell r="C223">
            <v>46063</v>
          </cell>
          <cell r="D223" t="str">
            <v>-</v>
          </cell>
          <cell r="E223" t="str">
            <v>-</v>
          </cell>
          <cell r="F223" t="str">
            <v>-</v>
          </cell>
          <cell r="G223" t="str">
            <v>-</v>
          </cell>
          <cell r="H223" t="str">
            <v>-</v>
          </cell>
          <cell r="I223">
            <v>1</v>
          </cell>
          <cell r="J223">
            <v>1</v>
          </cell>
          <cell r="K223">
            <v>16</v>
          </cell>
          <cell r="L223" t="str">
            <v>ENTREGA PARCIAL</v>
          </cell>
          <cell r="M223">
            <v>17</v>
          </cell>
          <cell r="N223" t="str">
            <v>OC'S METALFISA</v>
          </cell>
          <cell r="O223" t="str">
            <v>-</v>
          </cell>
          <cell r="Q223" t="str">
            <v>-</v>
          </cell>
          <cell r="S223" t="str">
            <v>-</v>
          </cell>
          <cell r="U223">
            <v>17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19</v>
          </cell>
          <cell r="AA223">
            <v>19</v>
          </cell>
          <cell r="AB223">
            <v>0</v>
          </cell>
          <cell r="AC223">
            <v>17</v>
          </cell>
          <cell r="AD223">
            <v>-2</v>
          </cell>
        </row>
        <row r="224">
          <cell r="A224" t="str">
            <v>21.23.02279</v>
          </cell>
          <cell r="B224" t="str">
            <v>ACABAMENTO LATERAL \ AA_9514_00</v>
          </cell>
          <cell r="C224">
            <v>46074</v>
          </cell>
          <cell r="D224">
            <v>1</v>
          </cell>
          <cell r="E224" t="str">
            <v>-</v>
          </cell>
          <cell r="F224" t="str">
            <v>-</v>
          </cell>
          <cell r="G224" t="str">
            <v>-</v>
          </cell>
          <cell r="H224" t="str">
            <v>-</v>
          </cell>
          <cell r="I224" t="str">
            <v>-</v>
          </cell>
          <cell r="J224">
            <v>0</v>
          </cell>
          <cell r="K224">
            <v>26</v>
          </cell>
          <cell r="L224" t="str">
            <v>ENTREGA PARCIAL</v>
          </cell>
          <cell r="M224">
            <v>31</v>
          </cell>
          <cell r="N224" t="str">
            <v>OC'S METALFISA</v>
          </cell>
          <cell r="O224" t="str">
            <v>-</v>
          </cell>
          <cell r="Q224" t="str">
            <v>-</v>
          </cell>
          <cell r="S224" t="str">
            <v>-</v>
          </cell>
          <cell r="U224">
            <v>31</v>
          </cell>
          <cell r="V224">
            <v>6</v>
          </cell>
          <cell r="W224">
            <v>0</v>
          </cell>
          <cell r="X224">
            <v>0</v>
          </cell>
          <cell r="Y224">
            <v>0</v>
          </cell>
          <cell r="Z224">
            <v>29</v>
          </cell>
          <cell r="AA224">
            <v>35</v>
          </cell>
          <cell r="AB224">
            <v>0</v>
          </cell>
          <cell r="AC224">
            <v>29</v>
          </cell>
          <cell r="AD224">
            <v>-6</v>
          </cell>
        </row>
        <row r="225">
          <cell r="A225" t="str">
            <v>21.23.02280</v>
          </cell>
          <cell r="B225" t="str">
            <v>FECHAMENTO DO TETO INTERIOR \ AA_9515_00</v>
          </cell>
          <cell r="D225" t="str">
            <v>-</v>
          </cell>
          <cell r="E225" t="str">
            <v>-</v>
          </cell>
          <cell r="F225" t="str">
            <v>-</v>
          </cell>
          <cell r="G225" t="str">
            <v>-</v>
          </cell>
          <cell r="H225" t="str">
            <v>-</v>
          </cell>
          <cell r="I225" t="str">
            <v>-</v>
          </cell>
          <cell r="J225">
            <v>0</v>
          </cell>
          <cell r="K225">
            <v>0</v>
          </cell>
          <cell r="L225" t="str">
            <v>ENTREGA PARCIAL</v>
          </cell>
          <cell r="M225">
            <v>1</v>
          </cell>
          <cell r="N225" t="str">
            <v>OC'S METALFISA</v>
          </cell>
          <cell r="O225" t="str">
            <v>-</v>
          </cell>
          <cell r="Q225" t="str">
            <v>-</v>
          </cell>
          <cell r="S225" t="str">
            <v>-</v>
          </cell>
          <cell r="U225">
            <v>1</v>
          </cell>
          <cell r="V225">
            <v>5</v>
          </cell>
          <cell r="W225">
            <v>0</v>
          </cell>
          <cell r="X225">
            <v>0</v>
          </cell>
          <cell r="Y225">
            <v>0</v>
          </cell>
          <cell r="Z225">
            <v>29</v>
          </cell>
          <cell r="AA225">
            <v>34</v>
          </cell>
          <cell r="AB225">
            <v>0</v>
          </cell>
          <cell r="AC225">
            <v>33</v>
          </cell>
          <cell r="AD225">
            <v>-1</v>
          </cell>
        </row>
        <row r="226">
          <cell r="A226" t="str">
            <v>21.23.02281</v>
          </cell>
          <cell r="B226" t="str">
            <v>ACABAMENTO LATERAL 02 \ AA_9516_00</v>
          </cell>
          <cell r="D226" t="str">
            <v>-</v>
          </cell>
          <cell r="E226" t="str">
            <v>-</v>
          </cell>
          <cell r="F226" t="str">
            <v>-</v>
          </cell>
          <cell r="G226" t="str">
            <v>-</v>
          </cell>
          <cell r="H226" t="str">
            <v>-</v>
          </cell>
          <cell r="I226" t="str">
            <v>-</v>
          </cell>
          <cell r="J226">
            <v>0</v>
          </cell>
          <cell r="K226">
            <v>-1</v>
          </cell>
          <cell r="L226" t="str">
            <v>FALTA ENTREGA</v>
          </cell>
          <cell r="M226">
            <v>2</v>
          </cell>
          <cell r="N226" t="str">
            <v>OC'S METALFISA</v>
          </cell>
          <cell r="O226" t="str">
            <v>-</v>
          </cell>
          <cell r="Q226" t="str">
            <v>-</v>
          </cell>
          <cell r="S226" t="str">
            <v>-</v>
          </cell>
          <cell r="U226">
            <v>2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3</v>
          </cell>
          <cell r="AA226">
            <v>3</v>
          </cell>
          <cell r="AB226">
            <v>0</v>
          </cell>
          <cell r="AC226">
            <v>0</v>
          </cell>
          <cell r="AD226">
            <v>-3</v>
          </cell>
        </row>
        <row r="227">
          <cell r="A227" t="str">
            <v>21.23.02282</v>
          </cell>
          <cell r="B227" t="str">
            <v>MONTAGEM CONSOLE DO TUBO \ AA_4219_02</v>
          </cell>
          <cell r="D227" t="str">
            <v>-</v>
          </cell>
          <cell r="E227" t="str">
            <v>-</v>
          </cell>
          <cell r="F227" t="str">
            <v>-</v>
          </cell>
          <cell r="G227" t="str">
            <v>-</v>
          </cell>
          <cell r="H227" t="str">
            <v>-</v>
          </cell>
          <cell r="I227" t="str">
            <v>-</v>
          </cell>
          <cell r="J227">
            <v>0</v>
          </cell>
          <cell r="K227">
            <v>1</v>
          </cell>
          <cell r="L227" t="str">
            <v>FALTA ENTREGA</v>
          </cell>
          <cell r="M227">
            <v>2</v>
          </cell>
          <cell r="N227" t="str">
            <v>OC'S METALFISA</v>
          </cell>
          <cell r="O227" t="str">
            <v>-</v>
          </cell>
          <cell r="Q227" t="str">
            <v>-</v>
          </cell>
          <cell r="S227" t="str">
            <v>-</v>
          </cell>
          <cell r="U227">
            <v>2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1</v>
          </cell>
          <cell r="AA227">
            <v>1</v>
          </cell>
          <cell r="AB227">
            <v>0</v>
          </cell>
          <cell r="AC227">
            <v>0</v>
          </cell>
          <cell r="AD227">
            <v>-1</v>
          </cell>
        </row>
        <row r="228">
          <cell r="A228" t="str">
            <v>21.23.02284</v>
          </cell>
          <cell r="B228" t="str">
            <v>ACABAMENTO DA ESTEIRA 02 \ AA_9518_00</v>
          </cell>
          <cell r="D228" t="str">
            <v>-</v>
          </cell>
          <cell r="E228" t="str">
            <v>-</v>
          </cell>
          <cell r="F228" t="str">
            <v>-</v>
          </cell>
          <cell r="G228" t="str">
            <v>-</v>
          </cell>
          <cell r="H228" t="str">
            <v>-</v>
          </cell>
          <cell r="I228" t="str">
            <v>-</v>
          </cell>
          <cell r="J228">
            <v>0</v>
          </cell>
          <cell r="K228">
            <v>0</v>
          </cell>
          <cell r="L228" t="str">
            <v>FALTA ENTREGA</v>
          </cell>
          <cell r="M228">
            <v>11</v>
          </cell>
          <cell r="N228" t="str">
            <v>OC'S METALFISA</v>
          </cell>
          <cell r="O228" t="str">
            <v>-</v>
          </cell>
          <cell r="Q228" t="str">
            <v>-</v>
          </cell>
          <cell r="S228" t="str">
            <v>-</v>
          </cell>
          <cell r="U228">
            <v>11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11</v>
          </cell>
          <cell r="AA228">
            <v>11</v>
          </cell>
          <cell r="AB228">
            <v>0</v>
          </cell>
          <cell r="AC228">
            <v>0</v>
          </cell>
          <cell r="AD228">
            <v>-11</v>
          </cell>
        </row>
        <row r="229">
          <cell r="A229" t="str">
            <v>21.23.02286</v>
          </cell>
          <cell r="B229" t="str">
            <v>ACABAMENTO LATERAL MENOR 04 INGLES/PORTUGUES / AA_6246_02</v>
          </cell>
          <cell r="C229">
            <v>46063</v>
          </cell>
          <cell r="D229" t="str">
            <v>-</v>
          </cell>
          <cell r="E229" t="str">
            <v>-</v>
          </cell>
          <cell r="F229" t="str">
            <v>-</v>
          </cell>
          <cell r="G229" t="str">
            <v>-</v>
          </cell>
          <cell r="H229" t="str">
            <v>-</v>
          </cell>
          <cell r="I229" t="str">
            <v>-</v>
          </cell>
          <cell r="J229">
            <v>0</v>
          </cell>
          <cell r="K229">
            <v>2</v>
          </cell>
          <cell r="L229" t="str">
            <v>ENTREGA TOTAL</v>
          </cell>
          <cell r="M229">
            <v>2</v>
          </cell>
          <cell r="N229" t="str">
            <v>OC'S METALFISA</v>
          </cell>
          <cell r="O229" t="str">
            <v>-</v>
          </cell>
          <cell r="Q229" t="str">
            <v>-</v>
          </cell>
          <cell r="S229" t="str">
            <v>-</v>
          </cell>
          <cell r="U229">
            <v>2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2</v>
          </cell>
          <cell r="AA229">
            <v>2</v>
          </cell>
          <cell r="AB229">
            <v>0</v>
          </cell>
          <cell r="AC229">
            <v>2</v>
          </cell>
          <cell r="AD229">
            <v>0</v>
          </cell>
        </row>
        <row r="230">
          <cell r="A230" t="str">
            <v>21.23.02289</v>
          </cell>
          <cell r="B230" t="str">
            <v>MONTAGEM DA COLUNA DE SUSTENTACAO 01 \ AA_4979_04</v>
          </cell>
          <cell r="C230">
            <v>46066</v>
          </cell>
          <cell r="D230">
            <v>8</v>
          </cell>
          <cell r="E230" t="str">
            <v>-</v>
          </cell>
          <cell r="F230" t="str">
            <v>-</v>
          </cell>
          <cell r="G230" t="str">
            <v>-</v>
          </cell>
          <cell r="H230" t="str">
            <v>-</v>
          </cell>
          <cell r="I230" t="str">
            <v>-</v>
          </cell>
          <cell r="J230">
            <v>0</v>
          </cell>
          <cell r="K230">
            <v>139</v>
          </cell>
          <cell r="L230" t="str">
            <v>ENTREGA TOTAL</v>
          </cell>
          <cell r="M230">
            <v>78</v>
          </cell>
          <cell r="N230" t="str">
            <v>OC'S METALFISA</v>
          </cell>
          <cell r="O230">
            <v>1</v>
          </cell>
          <cell r="P230" t="str">
            <v>OC'S GRANATO</v>
          </cell>
          <cell r="Q230" t="str">
            <v>-</v>
          </cell>
          <cell r="S230" t="str">
            <v>-</v>
          </cell>
          <cell r="U230">
            <v>79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21</v>
          </cell>
          <cell r="AA230">
            <v>21</v>
          </cell>
          <cell r="AB230">
            <v>0</v>
          </cell>
          <cell r="AC230">
            <v>73</v>
          </cell>
          <cell r="AD230">
            <v>52</v>
          </cell>
        </row>
        <row r="231">
          <cell r="A231" t="str">
            <v>21.23.02290</v>
          </cell>
          <cell r="B231" t="str">
            <v>MONTAGEM DA BASE \ AA_4980_03</v>
          </cell>
          <cell r="C231">
            <v>46066</v>
          </cell>
          <cell r="D231">
            <v>3</v>
          </cell>
          <cell r="E231" t="str">
            <v>-</v>
          </cell>
          <cell r="F231" t="str">
            <v>-</v>
          </cell>
          <cell r="G231" t="str">
            <v>-</v>
          </cell>
          <cell r="H231" t="str">
            <v>-</v>
          </cell>
          <cell r="I231" t="str">
            <v>-</v>
          </cell>
          <cell r="J231">
            <v>0</v>
          </cell>
          <cell r="K231" t="e">
            <v>#VALUE!</v>
          </cell>
          <cell r="L231" t="str">
            <v>ENTREGA TOTAL</v>
          </cell>
          <cell r="M231">
            <v>22</v>
          </cell>
          <cell r="N231" t="str">
            <v>OC'S METALFISA</v>
          </cell>
          <cell r="O231" t="str">
            <v>-</v>
          </cell>
          <cell r="Q231" t="str">
            <v>-</v>
          </cell>
          <cell r="S231" t="str">
            <v>-</v>
          </cell>
          <cell r="U231">
            <v>22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10</v>
          </cell>
          <cell r="AA231">
            <v>10</v>
          </cell>
          <cell r="AB231" t="str">
            <v>0</v>
          </cell>
          <cell r="AC231" t="str">
            <v>-</v>
          </cell>
          <cell r="AD231" t="str">
            <v>-</v>
          </cell>
        </row>
        <row r="232">
          <cell r="A232" t="str">
            <v>21.23.02291</v>
          </cell>
          <cell r="B232" t="str">
            <v>TRAVA DA ESTRUTURA \ AA_4982_02</v>
          </cell>
          <cell r="D232">
            <v>6</v>
          </cell>
          <cell r="E232" t="str">
            <v>-</v>
          </cell>
          <cell r="F232" t="str">
            <v>-</v>
          </cell>
          <cell r="G232" t="str">
            <v>-</v>
          </cell>
          <cell r="H232" t="str">
            <v>-</v>
          </cell>
          <cell r="I232" t="str">
            <v>-</v>
          </cell>
          <cell r="J232">
            <v>0</v>
          </cell>
          <cell r="K232">
            <v>74</v>
          </cell>
          <cell r="L232" t="str">
            <v>FALTA ENTREGA</v>
          </cell>
          <cell r="M232">
            <v>132</v>
          </cell>
          <cell r="N232" t="str">
            <v>OC'S METALFISA</v>
          </cell>
          <cell r="O232" t="str">
            <v>-</v>
          </cell>
          <cell r="Q232" t="str">
            <v>-</v>
          </cell>
          <cell r="S232" t="str">
            <v>-</v>
          </cell>
          <cell r="U232">
            <v>132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64</v>
          </cell>
          <cell r="AA232">
            <v>64</v>
          </cell>
          <cell r="AB232">
            <v>0</v>
          </cell>
          <cell r="AC232">
            <v>0</v>
          </cell>
          <cell r="AD232">
            <v>-64</v>
          </cell>
        </row>
        <row r="233">
          <cell r="A233" t="str">
            <v>21.23.02300</v>
          </cell>
          <cell r="B233" t="str">
            <v>FECHAMENTO DA ESTEIRA \ AA_6002_00</v>
          </cell>
          <cell r="D233" t="str">
            <v>-</v>
          </cell>
          <cell r="E233" t="str">
            <v>-</v>
          </cell>
          <cell r="F233" t="str">
            <v>-</v>
          </cell>
          <cell r="G233" t="str">
            <v>-</v>
          </cell>
          <cell r="H233" t="str">
            <v>-</v>
          </cell>
          <cell r="I233" t="str">
            <v>-</v>
          </cell>
          <cell r="J233">
            <v>0</v>
          </cell>
          <cell r="K233">
            <v>0</v>
          </cell>
          <cell r="L233" t="str">
            <v>FALTA ENTREGA</v>
          </cell>
          <cell r="M233">
            <v>66</v>
          </cell>
          <cell r="N233" t="str">
            <v>OC'S METALFISA</v>
          </cell>
          <cell r="O233" t="str">
            <v>-</v>
          </cell>
          <cell r="Q233" t="str">
            <v>-</v>
          </cell>
          <cell r="S233" t="str">
            <v>-</v>
          </cell>
          <cell r="U233">
            <v>66</v>
          </cell>
          <cell r="V233">
            <v>8</v>
          </cell>
          <cell r="W233">
            <v>0</v>
          </cell>
          <cell r="X233">
            <v>0</v>
          </cell>
          <cell r="Y233">
            <v>0</v>
          </cell>
          <cell r="Z233">
            <v>58</v>
          </cell>
          <cell r="AA233">
            <v>66</v>
          </cell>
          <cell r="AB233">
            <v>8</v>
          </cell>
          <cell r="AC233">
            <v>0</v>
          </cell>
          <cell r="AD233">
            <v>-66</v>
          </cell>
        </row>
        <row r="234">
          <cell r="A234" t="str">
            <v>21.23.02306</v>
          </cell>
          <cell r="B234" t="str">
            <v>MONTAGEM DE SOLDA DO COLIMADOR \ AA_6018_02</v>
          </cell>
          <cell r="C234">
            <v>46063</v>
          </cell>
          <cell r="D234" t="str">
            <v>-</v>
          </cell>
          <cell r="E234" t="str">
            <v>-</v>
          </cell>
          <cell r="F234" t="str">
            <v>-</v>
          </cell>
          <cell r="G234" t="str">
            <v>-</v>
          </cell>
          <cell r="H234" t="str">
            <v>-</v>
          </cell>
          <cell r="I234" t="str">
            <v>-</v>
          </cell>
          <cell r="J234">
            <v>0</v>
          </cell>
          <cell r="K234">
            <v>34</v>
          </cell>
          <cell r="L234" t="str">
            <v>ENTREGA TOTAL</v>
          </cell>
          <cell r="M234">
            <v>32</v>
          </cell>
          <cell r="N234" t="str">
            <v>OC'S METALFISA</v>
          </cell>
          <cell r="O234" t="str">
            <v>-</v>
          </cell>
          <cell r="Q234" t="str">
            <v>-</v>
          </cell>
          <cell r="S234" t="str">
            <v>-</v>
          </cell>
          <cell r="U234">
            <v>32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30</v>
          </cell>
          <cell r="AA234">
            <v>30</v>
          </cell>
          <cell r="AB234">
            <v>0</v>
          </cell>
          <cell r="AC234">
            <v>32</v>
          </cell>
          <cell r="AD234">
            <v>2</v>
          </cell>
        </row>
        <row r="235">
          <cell r="A235" t="str">
            <v>21.23.02307</v>
          </cell>
          <cell r="B235" t="str">
            <v>TRAVA SUPERIOR DO COLIMADOR \ AA_6019_01</v>
          </cell>
          <cell r="D235" t="str">
            <v>-</v>
          </cell>
          <cell r="E235" t="str">
            <v>-</v>
          </cell>
          <cell r="F235" t="str">
            <v>-</v>
          </cell>
          <cell r="G235" t="str">
            <v>-</v>
          </cell>
          <cell r="H235" t="str">
            <v>-</v>
          </cell>
          <cell r="I235" t="str">
            <v>-</v>
          </cell>
          <cell r="J235">
            <v>0</v>
          </cell>
          <cell r="K235">
            <v>18</v>
          </cell>
          <cell r="L235" t="str">
            <v>FALTA ENTREGA</v>
          </cell>
          <cell r="M235">
            <v>70</v>
          </cell>
          <cell r="N235" t="str">
            <v>OC'S METALFISA</v>
          </cell>
          <cell r="O235" t="str">
            <v>-</v>
          </cell>
          <cell r="Q235" t="str">
            <v>-</v>
          </cell>
          <cell r="S235" t="str">
            <v>-</v>
          </cell>
          <cell r="U235">
            <v>70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52</v>
          </cell>
          <cell r="AA235">
            <v>52</v>
          </cell>
          <cell r="AB235">
            <v>0</v>
          </cell>
          <cell r="AC235">
            <v>0</v>
          </cell>
          <cell r="AD235">
            <v>-52</v>
          </cell>
        </row>
        <row r="236">
          <cell r="A236" t="str">
            <v>21.23.02309</v>
          </cell>
          <cell r="B236" t="str">
            <v>CENTRAL DO OBTURADOR DO CORPO INTEIRO \ AA_6021_01</v>
          </cell>
          <cell r="D236" t="str">
            <v>-</v>
          </cell>
          <cell r="E236" t="str">
            <v>-</v>
          </cell>
          <cell r="F236" t="str">
            <v>-</v>
          </cell>
          <cell r="G236" t="str">
            <v>-</v>
          </cell>
          <cell r="H236" t="str">
            <v>-</v>
          </cell>
          <cell r="I236" t="str">
            <v>-</v>
          </cell>
          <cell r="J236">
            <v>0</v>
          </cell>
          <cell r="K236">
            <v>-1</v>
          </cell>
          <cell r="L236" t="str">
            <v>FALTA ENTREGA</v>
          </cell>
          <cell r="M236" t="str">
            <v>-</v>
          </cell>
          <cell r="N236" t="str">
            <v>OC'S METALFISA</v>
          </cell>
          <cell r="O236">
            <v>2</v>
          </cell>
          <cell r="P236" t="str">
            <v>OC'S GRANATO</v>
          </cell>
          <cell r="Q236" t="str">
            <v>-</v>
          </cell>
          <cell r="S236" t="str">
            <v>-</v>
          </cell>
          <cell r="U236">
            <v>2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3</v>
          </cell>
          <cell r="AA236">
            <v>3</v>
          </cell>
          <cell r="AB236">
            <v>0</v>
          </cell>
          <cell r="AC236">
            <v>0</v>
          </cell>
          <cell r="AD236">
            <v>-3</v>
          </cell>
        </row>
        <row r="237">
          <cell r="A237" t="str">
            <v>21.23.02315</v>
          </cell>
          <cell r="B237" t="str">
            <v>FECHAMENTO LATERAL 01 \ AA_6029_00</v>
          </cell>
          <cell r="D237" t="str">
            <v>-</v>
          </cell>
          <cell r="E237" t="str">
            <v>-</v>
          </cell>
          <cell r="F237" t="str">
            <v>-</v>
          </cell>
          <cell r="G237" t="str">
            <v>-</v>
          </cell>
          <cell r="H237" t="str">
            <v>-</v>
          </cell>
          <cell r="I237" t="str">
            <v>-</v>
          </cell>
          <cell r="J237">
            <v>0</v>
          </cell>
          <cell r="K237">
            <v>0</v>
          </cell>
          <cell r="L237" t="str">
            <v>FALTA ENTREGA</v>
          </cell>
          <cell r="M237">
            <v>2</v>
          </cell>
          <cell r="N237" t="str">
            <v>OC'S METALFISA</v>
          </cell>
          <cell r="O237" t="str">
            <v>-</v>
          </cell>
          <cell r="Q237" t="str">
            <v>-</v>
          </cell>
          <cell r="S237" t="str">
            <v>-</v>
          </cell>
          <cell r="U237">
            <v>2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2</v>
          </cell>
          <cell r="AA237">
            <v>2</v>
          </cell>
          <cell r="AB237">
            <v>0</v>
          </cell>
          <cell r="AC237">
            <v>0</v>
          </cell>
          <cell r="AD237">
            <v>-2</v>
          </cell>
        </row>
        <row r="238">
          <cell r="A238" t="str">
            <v>21.23.02320</v>
          </cell>
          <cell r="B238" t="str">
            <v>TRAVA DO CHUMBO \ AA_6036_00</v>
          </cell>
          <cell r="D238" t="str">
            <v>-</v>
          </cell>
          <cell r="E238" t="str">
            <v>-</v>
          </cell>
          <cell r="F238" t="str">
            <v>-</v>
          </cell>
          <cell r="G238" t="str">
            <v>-</v>
          </cell>
          <cell r="H238" t="str">
            <v>-</v>
          </cell>
          <cell r="I238" t="str">
            <v>-</v>
          </cell>
          <cell r="J238">
            <v>0</v>
          </cell>
          <cell r="K238">
            <v>0</v>
          </cell>
          <cell r="L238" t="str">
            <v>FALTA ENTREGA</v>
          </cell>
          <cell r="M238">
            <v>2</v>
          </cell>
          <cell r="N238" t="str">
            <v>OC'S METALFISA</v>
          </cell>
          <cell r="O238" t="str">
            <v>-</v>
          </cell>
          <cell r="Q238" t="str">
            <v>-</v>
          </cell>
          <cell r="S238" t="str">
            <v>-</v>
          </cell>
          <cell r="U238">
            <v>2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2</v>
          </cell>
          <cell r="AA238">
            <v>2</v>
          </cell>
          <cell r="AB238">
            <v>0</v>
          </cell>
          <cell r="AC238">
            <v>0</v>
          </cell>
          <cell r="AD238">
            <v>-2</v>
          </cell>
        </row>
        <row r="239">
          <cell r="A239" t="str">
            <v>21.23.02322</v>
          </cell>
          <cell r="B239" t="str">
            <v>MONTAGEM DAS PLACAS NA BANDEJA \ AA_6041_01</v>
          </cell>
          <cell r="D239" t="str">
            <v>-</v>
          </cell>
          <cell r="E239" t="str">
            <v>-</v>
          </cell>
          <cell r="F239" t="str">
            <v>-</v>
          </cell>
          <cell r="G239" t="str">
            <v>-</v>
          </cell>
          <cell r="H239" t="str">
            <v>-</v>
          </cell>
          <cell r="I239" t="str">
            <v>-</v>
          </cell>
          <cell r="J239">
            <v>0</v>
          </cell>
          <cell r="K239">
            <v>-3</v>
          </cell>
          <cell r="L239" t="str">
            <v>FALTA ENTREGA</v>
          </cell>
          <cell r="M239">
            <v>1</v>
          </cell>
          <cell r="N239" t="str">
            <v>OC'S METALFISA</v>
          </cell>
          <cell r="O239" t="str">
            <v>-</v>
          </cell>
          <cell r="Q239" t="str">
            <v>-</v>
          </cell>
          <cell r="S239" t="str">
            <v>-</v>
          </cell>
          <cell r="U239">
            <v>1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4</v>
          </cell>
          <cell r="AA239">
            <v>4</v>
          </cell>
          <cell r="AB239">
            <v>0</v>
          </cell>
          <cell r="AC239">
            <v>0</v>
          </cell>
          <cell r="AD239">
            <v>-4</v>
          </cell>
        </row>
        <row r="240">
          <cell r="A240" t="str">
            <v>21.23.02327</v>
          </cell>
          <cell r="B240" t="str">
            <v>FECHAMENTO AO LADO DA CAIXA 01 \ AA_6046_01</v>
          </cell>
          <cell r="D240" t="str">
            <v>-</v>
          </cell>
          <cell r="E240" t="str">
            <v>-</v>
          </cell>
          <cell r="F240" t="str">
            <v>-</v>
          </cell>
          <cell r="G240" t="str">
            <v>-</v>
          </cell>
          <cell r="H240" t="str">
            <v>-</v>
          </cell>
          <cell r="I240" t="str">
            <v>-</v>
          </cell>
          <cell r="J240">
            <v>0</v>
          </cell>
          <cell r="K240">
            <v>0</v>
          </cell>
          <cell r="L240" t="str">
            <v>FALTA ENTREGA</v>
          </cell>
          <cell r="M240">
            <v>32</v>
          </cell>
          <cell r="N240" t="str">
            <v>OC'S METALFISA</v>
          </cell>
          <cell r="O240" t="str">
            <v>-</v>
          </cell>
          <cell r="Q240" t="str">
            <v>-</v>
          </cell>
          <cell r="S240" t="str">
            <v>-</v>
          </cell>
          <cell r="U240">
            <v>32</v>
          </cell>
          <cell r="V240">
            <v>3</v>
          </cell>
          <cell r="W240">
            <v>0</v>
          </cell>
          <cell r="X240">
            <v>0</v>
          </cell>
          <cell r="Y240">
            <v>0</v>
          </cell>
          <cell r="Z240">
            <v>29</v>
          </cell>
          <cell r="AA240">
            <v>32</v>
          </cell>
          <cell r="AB240">
            <v>3</v>
          </cell>
          <cell r="AC240">
            <v>0</v>
          </cell>
          <cell r="AD240">
            <v>-32</v>
          </cell>
        </row>
        <row r="241">
          <cell r="A241" t="str">
            <v>21.23.02328</v>
          </cell>
          <cell r="B241" t="str">
            <v>FECHAMENTO AO LADO DA CAIXA 02 / AA_6047_01</v>
          </cell>
          <cell r="D241" t="str">
            <v>-</v>
          </cell>
          <cell r="E241" t="str">
            <v>-</v>
          </cell>
          <cell r="F241" t="str">
            <v>-</v>
          </cell>
          <cell r="G241" t="str">
            <v>-</v>
          </cell>
          <cell r="H241" t="str">
            <v>-</v>
          </cell>
          <cell r="I241" t="str">
            <v>-</v>
          </cell>
          <cell r="J241">
            <v>0</v>
          </cell>
          <cell r="K241">
            <v>-2</v>
          </cell>
          <cell r="L241" t="str">
            <v>FALTA ENTREGA</v>
          </cell>
          <cell r="M241" t="str">
            <v>-</v>
          </cell>
          <cell r="N241" t="str">
            <v>OC'S METALFISA</v>
          </cell>
          <cell r="O241" t="str">
            <v>-</v>
          </cell>
          <cell r="Q241" t="str">
            <v>-</v>
          </cell>
          <cell r="S241" t="str">
            <v>-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2</v>
          </cell>
          <cell r="AA241">
            <v>2</v>
          </cell>
          <cell r="AB241">
            <v>0</v>
          </cell>
          <cell r="AC241">
            <v>0</v>
          </cell>
          <cell r="AD241">
            <v>-2</v>
          </cell>
        </row>
        <row r="242">
          <cell r="A242" t="str">
            <v>21.23.02329</v>
          </cell>
          <cell r="B242" t="str">
            <v>FECHAMENTO SV AO LADO DA CAIXA 02 \ AA_6048_00</v>
          </cell>
          <cell r="D242" t="str">
            <v>-</v>
          </cell>
          <cell r="E242" t="str">
            <v>-</v>
          </cell>
          <cell r="F242" t="str">
            <v>-</v>
          </cell>
          <cell r="G242" t="str">
            <v>-</v>
          </cell>
          <cell r="H242" t="str">
            <v>-</v>
          </cell>
          <cell r="I242" t="str">
            <v>-</v>
          </cell>
          <cell r="J242">
            <v>0</v>
          </cell>
          <cell r="K242">
            <v>0</v>
          </cell>
          <cell r="L242" t="str">
            <v>FALTA ENTREGA</v>
          </cell>
          <cell r="M242">
            <v>31</v>
          </cell>
          <cell r="N242" t="str">
            <v>OC'S METALFISA</v>
          </cell>
          <cell r="O242" t="str">
            <v>-</v>
          </cell>
          <cell r="Q242" t="str">
            <v>-</v>
          </cell>
          <cell r="S242" t="str">
            <v>-</v>
          </cell>
          <cell r="U242">
            <v>31</v>
          </cell>
          <cell r="V242">
            <v>6</v>
          </cell>
          <cell r="W242">
            <v>0</v>
          </cell>
          <cell r="X242">
            <v>0</v>
          </cell>
          <cell r="Y242">
            <v>0</v>
          </cell>
          <cell r="Z242">
            <v>25</v>
          </cell>
          <cell r="AA242">
            <v>31</v>
          </cell>
          <cell r="AB242">
            <v>6</v>
          </cell>
          <cell r="AC242">
            <v>0</v>
          </cell>
          <cell r="AD242">
            <v>-31</v>
          </cell>
        </row>
        <row r="243">
          <cell r="A243" t="str">
            <v>21.23.02331</v>
          </cell>
          <cell r="B243" t="str">
            <v>ACABAMENTO INTERNO DO TUNEL MAIOR INGL/PORT /  AA_6055_03</v>
          </cell>
          <cell r="C243">
            <v>46063</v>
          </cell>
          <cell r="D243">
            <v>1</v>
          </cell>
          <cell r="E243" t="str">
            <v>-</v>
          </cell>
          <cell r="F243" t="str">
            <v>-</v>
          </cell>
          <cell r="G243" t="str">
            <v>-</v>
          </cell>
          <cell r="H243" t="str">
            <v>-</v>
          </cell>
          <cell r="I243" t="str">
            <v>-</v>
          </cell>
          <cell r="J243">
            <v>0</v>
          </cell>
          <cell r="K243">
            <v>2</v>
          </cell>
          <cell r="L243" t="str">
            <v>ENTREGA PARCIAL</v>
          </cell>
          <cell r="M243">
            <v>2</v>
          </cell>
          <cell r="N243" t="str">
            <v>OC'S METALFISA</v>
          </cell>
          <cell r="O243" t="str">
            <v>-</v>
          </cell>
          <cell r="Q243" t="str">
            <v>-</v>
          </cell>
          <cell r="S243" t="str">
            <v>-</v>
          </cell>
          <cell r="U243">
            <v>2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3</v>
          </cell>
          <cell r="AA243">
            <v>3</v>
          </cell>
          <cell r="AB243">
            <v>0</v>
          </cell>
          <cell r="AC243">
            <v>2</v>
          </cell>
          <cell r="AD243">
            <v>-1</v>
          </cell>
        </row>
        <row r="244">
          <cell r="A244" t="str">
            <v>21.23.02333</v>
          </cell>
          <cell r="B244" t="str">
            <v>SUPORTE ACESSO RAPIDO. \ AA_6059_00</v>
          </cell>
          <cell r="C244">
            <v>46066</v>
          </cell>
          <cell r="D244" t="str">
            <v>-</v>
          </cell>
          <cell r="E244" t="str">
            <v>-</v>
          </cell>
          <cell r="F244" t="str">
            <v>-</v>
          </cell>
          <cell r="G244" t="str">
            <v>-</v>
          </cell>
          <cell r="H244" t="str">
            <v>-</v>
          </cell>
          <cell r="I244" t="str">
            <v>-</v>
          </cell>
          <cell r="J244">
            <v>0</v>
          </cell>
          <cell r="K244">
            <v>26</v>
          </cell>
          <cell r="L244" t="str">
            <v>ENTREGA PARCIAL</v>
          </cell>
          <cell r="M244">
            <v>33</v>
          </cell>
          <cell r="N244" t="str">
            <v>OC'S METALFISA</v>
          </cell>
          <cell r="O244" t="str">
            <v>-</v>
          </cell>
          <cell r="Q244" t="str">
            <v>-</v>
          </cell>
          <cell r="S244" t="str">
            <v>-</v>
          </cell>
          <cell r="U244">
            <v>33</v>
          </cell>
          <cell r="V244">
            <v>10</v>
          </cell>
          <cell r="W244">
            <v>0</v>
          </cell>
          <cell r="X244">
            <v>0</v>
          </cell>
          <cell r="Y244">
            <v>0</v>
          </cell>
          <cell r="Z244">
            <v>29</v>
          </cell>
          <cell r="AA244">
            <v>39</v>
          </cell>
          <cell r="AB244">
            <v>0</v>
          </cell>
          <cell r="AC244">
            <v>32</v>
          </cell>
          <cell r="AD244">
            <v>-7</v>
          </cell>
        </row>
        <row r="245">
          <cell r="A245" t="str">
            <v>21.23.02334</v>
          </cell>
          <cell r="B245" t="str">
            <v>FECHAMENTO DO DISJUNTOR \ AA_6060_00</v>
          </cell>
          <cell r="D245" t="str">
            <v>-</v>
          </cell>
          <cell r="E245" t="str">
            <v>-</v>
          </cell>
          <cell r="F245" t="str">
            <v>-</v>
          </cell>
          <cell r="G245" t="str">
            <v>-</v>
          </cell>
          <cell r="H245" t="str">
            <v>-</v>
          </cell>
          <cell r="I245" t="str">
            <v>-</v>
          </cell>
          <cell r="J245">
            <v>0</v>
          </cell>
          <cell r="K245">
            <v>-7</v>
          </cell>
          <cell r="L245" t="str">
            <v>FALTA ENTREGA</v>
          </cell>
          <cell r="M245">
            <v>32</v>
          </cell>
          <cell r="N245" t="str">
            <v>OC'S METALFISA</v>
          </cell>
          <cell r="O245" t="str">
            <v>-</v>
          </cell>
          <cell r="Q245" t="str">
            <v>-</v>
          </cell>
          <cell r="S245" t="str">
            <v>-</v>
          </cell>
          <cell r="U245">
            <v>32</v>
          </cell>
          <cell r="V245">
            <v>10</v>
          </cell>
          <cell r="W245">
            <v>0</v>
          </cell>
          <cell r="X245">
            <v>0</v>
          </cell>
          <cell r="Y245">
            <v>0</v>
          </cell>
          <cell r="Z245">
            <v>29</v>
          </cell>
          <cell r="AA245">
            <v>39</v>
          </cell>
          <cell r="AB245">
            <v>5</v>
          </cell>
          <cell r="AC245">
            <v>0</v>
          </cell>
          <cell r="AD245">
            <v>-39</v>
          </cell>
        </row>
        <row r="246">
          <cell r="A246" t="str">
            <v>21.23.02338</v>
          </cell>
          <cell r="B246" t="str">
            <v>ACABAMENTO TETO SUPERIOR \AA_9520_01</v>
          </cell>
          <cell r="D246" t="str">
            <v>-</v>
          </cell>
          <cell r="E246" t="str">
            <v>-</v>
          </cell>
          <cell r="F246" t="str">
            <v>-</v>
          </cell>
          <cell r="G246" t="str">
            <v>-</v>
          </cell>
          <cell r="H246" t="str">
            <v>-</v>
          </cell>
          <cell r="I246" t="str">
            <v>-</v>
          </cell>
          <cell r="J246">
            <v>0</v>
          </cell>
          <cell r="K246" t="e">
            <v>#VALUE!</v>
          </cell>
          <cell r="L246" t="str">
            <v>ENTREGA TOTAL</v>
          </cell>
          <cell r="M246">
            <v>1</v>
          </cell>
          <cell r="N246" t="str">
            <v>OC'S METALFISA</v>
          </cell>
          <cell r="O246">
            <v>1</v>
          </cell>
          <cell r="P246" t="str">
            <v>OC'S GRANATO</v>
          </cell>
          <cell r="Q246" t="str">
            <v>-</v>
          </cell>
          <cell r="S246" t="str">
            <v>-</v>
          </cell>
          <cell r="U246">
            <v>2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3</v>
          </cell>
          <cell r="AA246">
            <v>3</v>
          </cell>
          <cell r="AB246" t="str">
            <v>0</v>
          </cell>
          <cell r="AC246" t="str">
            <v>-</v>
          </cell>
          <cell r="AD246" t="str">
            <v>-</v>
          </cell>
        </row>
        <row r="247">
          <cell r="A247" t="str">
            <v>21.23.02343</v>
          </cell>
          <cell r="B247" t="str">
            <v>MONTAGEM SUPORTE DO CONSOLE \ AA_6067_00</v>
          </cell>
          <cell r="D247" t="str">
            <v>-</v>
          </cell>
          <cell r="E247" t="str">
            <v>-</v>
          </cell>
          <cell r="F247" t="str">
            <v>-</v>
          </cell>
          <cell r="G247" t="str">
            <v>-</v>
          </cell>
          <cell r="H247" t="str">
            <v>-</v>
          </cell>
          <cell r="I247" t="str">
            <v>-</v>
          </cell>
          <cell r="J247">
            <v>0</v>
          </cell>
          <cell r="K247">
            <v>-2</v>
          </cell>
          <cell r="L247" t="str">
            <v>ENTREGA PARCIAL</v>
          </cell>
          <cell r="M247" t="str">
            <v>-</v>
          </cell>
          <cell r="N247" t="str">
            <v>OC'S METALFISA</v>
          </cell>
          <cell r="O247" t="str">
            <v>-</v>
          </cell>
          <cell r="Q247" t="str">
            <v>-</v>
          </cell>
          <cell r="S247" t="str">
            <v>-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7</v>
          </cell>
          <cell r="AA247">
            <v>7</v>
          </cell>
          <cell r="AB247">
            <v>0</v>
          </cell>
          <cell r="AC247">
            <v>5</v>
          </cell>
          <cell r="AD247">
            <v>-2</v>
          </cell>
        </row>
        <row r="248">
          <cell r="A248" t="str">
            <v>21.23.02344</v>
          </cell>
          <cell r="B248" t="str">
            <v>ACABAMENTO MOTOPOLIA 5536 ESQUERDO \ AA_5115_06</v>
          </cell>
          <cell r="C248">
            <v>46066</v>
          </cell>
          <cell r="D248">
            <v>3</v>
          </cell>
          <cell r="E248" t="str">
            <v>-</v>
          </cell>
          <cell r="F248" t="str">
            <v>-</v>
          </cell>
          <cell r="G248" t="str">
            <v>-</v>
          </cell>
          <cell r="H248" t="str">
            <v>-</v>
          </cell>
          <cell r="I248">
            <v>1</v>
          </cell>
          <cell r="J248">
            <v>1</v>
          </cell>
          <cell r="K248">
            <v>6</v>
          </cell>
          <cell r="L248" t="str">
            <v>ENTREGA PARCIAL</v>
          </cell>
          <cell r="M248" t="str">
            <v>-</v>
          </cell>
          <cell r="N248" t="str">
            <v>OC'S METALFISA</v>
          </cell>
          <cell r="O248" t="str">
            <v>-</v>
          </cell>
          <cell r="Q248" t="str">
            <v>-</v>
          </cell>
          <cell r="S248">
            <v>5</v>
          </cell>
          <cell r="T248" t="str">
            <v>OC'S MAPHE</v>
          </cell>
          <cell r="U248">
            <v>5</v>
          </cell>
          <cell r="V248">
            <v>0</v>
          </cell>
          <cell r="W248">
            <v>0</v>
          </cell>
          <cell r="X248">
            <v>0</v>
          </cell>
          <cell r="Y248">
            <v>8</v>
          </cell>
          <cell r="Z248">
            <v>0</v>
          </cell>
          <cell r="AA248">
            <v>8</v>
          </cell>
          <cell r="AB248">
            <v>0</v>
          </cell>
          <cell r="AC248">
            <v>5</v>
          </cell>
          <cell r="AD248">
            <v>-3</v>
          </cell>
        </row>
        <row r="249">
          <cell r="A249" t="str">
            <v>21.23.02392</v>
          </cell>
          <cell r="B249" t="str">
            <v>ACOPLAMENTO DO GEL SILICA \ AA_6297_00</v>
          </cell>
          <cell r="D249" t="str">
            <v>-</v>
          </cell>
          <cell r="E249" t="str">
            <v>-</v>
          </cell>
          <cell r="F249" t="str">
            <v>-</v>
          </cell>
          <cell r="G249" t="str">
            <v>-</v>
          </cell>
          <cell r="H249" t="str">
            <v>-</v>
          </cell>
          <cell r="I249" t="str">
            <v>-</v>
          </cell>
          <cell r="J249">
            <v>0</v>
          </cell>
          <cell r="K249">
            <v>4</v>
          </cell>
          <cell r="L249" t="str">
            <v>FALTA ENTREGA</v>
          </cell>
          <cell r="M249" t="str">
            <v>-</v>
          </cell>
          <cell r="N249" t="str">
            <v>OC'S METALFISA</v>
          </cell>
          <cell r="O249" t="str">
            <v>-</v>
          </cell>
          <cell r="Q249">
            <v>10</v>
          </cell>
          <cell r="S249" t="str">
            <v>-</v>
          </cell>
          <cell r="U249">
            <v>10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6</v>
          </cell>
          <cell r="AA249">
            <v>6</v>
          </cell>
          <cell r="AB249">
            <v>0</v>
          </cell>
          <cell r="AC249">
            <v>0</v>
          </cell>
          <cell r="AD249">
            <v>-6</v>
          </cell>
        </row>
        <row r="250">
          <cell r="A250" t="str">
            <v>21.23.02415</v>
          </cell>
          <cell r="B250" t="str">
            <v>CAIXA DE DISTRIBUICAO 2 ESQUERDO / AA_7154_02</v>
          </cell>
          <cell r="C250">
            <v>46074</v>
          </cell>
          <cell r="D250" t="str">
            <v>-</v>
          </cell>
          <cell r="E250" t="str">
            <v>-</v>
          </cell>
          <cell r="F250" t="str">
            <v>-</v>
          </cell>
          <cell r="G250" t="str">
            <v>-</v>
          </cell>
          <cell r="H250" t="str">
            <v>-</v>
          </cell>
          <cell r="I250" t="str">
            <v>-</v>
          </cell>
          <cell r="J250">
            <v>0</v>
          </cell>
          <cell r="K250">
            <v>1</v>
          </cell>
          <cell r="L250" t="str">
            <v>ENTREGA TOTAL</v>
          </cell>
          <cell r="M250">
            <v>1</v>
          </cell>
          <cell r="N250" t="str">
            <v>OC'S METALFISA</v>
          </cell>
          <cell r="O250" t="str">
            <v>-</v>
          </cell>
          <cell r="Q250" t="str">
            <v>-</v>
          </cell>
          <cell r="S250" t="str">
            <v>-</v>
          </cell>
          <cell r="U250">
            <v>1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1</v>
          </cell>
          <cell r="AA250">
            <v>1</v>
          </cell>
          <cell r="AB250">
            <v>0</v>
          </cell>
          <cell r="AC250">
            <v>1</v>
          </cell>
          <cell r="AD250">
            <v>0</v>
          </cell>
        </row>
        <row r="251">
          <cell r="A251" t="str">
            <v>21.23.02445</v>
          </cell>
          <cell r="B251" t="str">
            <v>DISTANCIADOR PARA DOBRADICA \ AA_5561_00</v>
          </cell>
          <cell r="D251" t="str">
            <v>-</v>
          </cell>
          <cell r="E251" t="str">
            <v>-</v>
          </cell>
          <cell r="F251" t="str">
            <v>-</v>
          </cell>
          <cell r="G251" t="str">
            <v>-</v>
          </cell>
          <cell r="H251" t="str">
            <v>-</v>
          </cell>
          <cell r="I251" t="str">
            <v>-</v>
          </cell>
          <cell r="J251">
            <v>0</v>
          </cell>
          <cell r="K251">
            <v>0</v>
          </cell>
          <cell r="L251" t="str">
            <v>ENTREGA PARCIAL</v>
          </cell>
          <cell r="M251" t="str">
            <v>-</v>
          </cell>
          <cell r="N251" t="str">
            <v>OC'S METALFISA</v>
          </cell>
          <cell r="O251" t="str">
            <v>-</v>
          </cell>
          <cell r="Q251">
            <v>3</v>
          </cell>
          <cell r="S251" t="str">
            <v>-</v>
          </cell>
          <cell r="U251">
            <v>3</v>
          </cell>
          <cell r="V251">
            <v>0</v>
          </cell>
          <cell r="W251">
            <v>0</v>
          </cell>
          <cell r="X251">
            <v>0</v>
          </cell>
          <cell r="Y251">
            <v>20</v>
          </cell>
          <cell r="Z251">
            <v>0</v>
          </cell>
          <cell r="AA251">
            <v>20</v>
          </cell>
          <cell r="AB251">
            <v>0</v>
          </cell>
          <cell r="AC251">
            <v>17</v>
          </cell>
          <cell r="AD251">
            <v>-3</v>
          </cell>
        </row>
        <row r="252">
          <cell r="A252" t="str">
            <v>21.23.02451</v>
          </cell>
          <cell r="B252" t="str">
            <v>ACABAMENTO LATERAL MENOR 01 INGLES/PORTUGUES / AA_6245_01</v>
          </cell>
          <cell r="C252">
            <v>46059</v>
          </cell>
          <cell r="D252" t="str">
            <v>-</v>
          </cell>
          <cell r="E252" t="str">
            <v>-</v>
          </cell>
          <cell r="F252" t="str">
            <v>-</v>
          </cell>
          <cell r="G252" t="str">
            <v>-</v>
          </cell>
          <cell r="H252" t="str">
            <v>-</v>
          </cell>
          <cell r="I252">
            <v>2</v>
          </cell>
          <cell r="J252">
            <v>2</v>
          </cell>
          <cell r="K252">
            <v>31</v>
          </cell>
          <cell r="L252" t="str">
            <v>ENTREGA PARCIAL</v>
          </cell>
          <cell r="M252">
            <v>32</v>
          </cell>
          <cell r="N252" t="str">
            <v>OC'S METALFISA</v>
          </cell>
          <cell r="O252" t="str">
            <v>-</v>
          </cell>
          <cell r="Q252" t="str">
            <v>-</v>
          </cell>
          <cell r="S252" t="str">
            <v>-</v>
          </cell>
          <cell r="U252">
            <v>32</v>
          </cell>
          <cell r="V252">
            <v>6</v>
          </cell>
          <cell r="W252">
            <v>0</v>
          </cell>
          <cell r="X252">
            <v>0</v>
          </cell>
          <cell r="Y252">
            <v>0</v>
          </cell>
          <cell r="Z252">
            <v>29</v>
          </cell>
          <cell r="AA252">
            <v>35</v>
          </cell>
          <cell r="AB252">
            <v>0</v>
          </cell>
          <cell r="AC252">
            <v>32</v>
          </cell>
          <cell r="AD252">
            <v>-3</v>
          </cell>
        </row>
        <row r="253">
          <cell r="A253" t="str">
            <v>21.23.02617</v>
          </cell>
          <cell r="B253" t="str">
            <v>FIXACAO MESA NO EQUIPAMENTO \ AA_6649_01</v>
          </cell>
          <cell r="D253" t="str">
            <v>-</v>
          </cell>
          <cell r="E253" t="str">
            <v>-</v>
          </cell>
          <cell r="F253" t="str">
            <v>-</v>
          </cell>
          <cell r="G253" t="str">
            <v>-</v>
          </cell>
          <cell r="H253" t="str">
            <v>-</v>
          </cell>
          <cell r="I253" t="str">
            <v>-</v>
          </cell>
          <cell r="J253">
            <v>0</v>
          </cell>
          <cell r="K253">
            <v>3</v>
          </cell>
          <cell r="L253" t="str">
            <v>FALTA ENTREGA</v>
          </cell>
          <cell r="M253" t="str">
            <v>-</v>
          </cell>
          <cell r="N253" t="str">
            <v>OC'S METALFISA</v>
          </cell>
          <cell r="O253" t="str">
            <v>-</v>
          </cell>
          <cell r="Q253" t="str">
            <v>-</v>
          </cell>
          <cell r="S253">
            <v>5</v>
          </cell>
          <cell r="T253" t="str">
            <v>OC'S MAPHE</v>
          </cell>
          <cell r="U253">
            <v>5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2</v>
          </cell>
          <cell r="AA253">
            <v>2</v>
          </cell>
          <cell r="AB253">
            <v>0</v>
          </cell>
          <cell r="AC253">
            <v>0</v>
          </cell>
          <cell r="AD253">
            <v>-2</v>
          </cell>
        </row>
        <row r="254">
          <cell r="A254" t="str">
            <v>21.23.02678</v>
          </cell>
          <cell r="B254" t="str">
            <v>ABA APOIO COLIMADOR SECUNDARIO 5536 ESQUERDO \ AA_5583_01</v>
          </cell>
          <cell r="C254">
            <v>46059</v>
          </cell>
          <cell r="D254" t="str">
            <v>-</v>
          </cell>
          <cell r="E254" t="str">
            <v>-</v>
          </cell>
          <cell r="F254" t="str">
            <v>-</v>
          </cell>
          <cell r="G254" t="str">
            <v>-</v>
          </cell>
          <cell r="H254" t="str">
            <v>-</v>
          </cell>
          <cell r="I254" t="str">
            <v>-</v>
          </cell>
          <cell r="J254">
            <v>0</v>
          </cell>
          <cell r="K254">
            <v>-2</v>
          </cell>
          <cell r="L254" t="str">
            <v>ENTREGA PARCIAL</v>
          </cell>
          <cell r="M254" t="str">
            <v>-</v>
          </cell>
          <cell r="N254" t="str">
            <v>OC'S METALFISA</v>
          </cell>
          <cell r="O254" t="str">
            <v>-</v>
          </cell>
          <cell r="Q254" t="str">
            <v>-</v>
          </cell>
          <cell r="S254" t="str">
            <v>-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7</v>
          </cell>
          <cell r="Z254">
            <v>0</v>
          </cell>
          <cell r="AA254">
            <v>7</v>
          </cell>
          <cell r="AB254">
            <v>0</v>
          </cell>
          <cell r="AC254">
            <v>5</v>
          </cell>
          <cell r="AD254">
            <v>-2</v>
          </cell>
        </row>
        <row r="255">
          <cell r="A255" t="str">
            <v>21.23.02753</v>
          </cell>
          <cell r="B255" t="str">
            <v>PAINEL FLATSCAN / AA_7592_01</v>
          </cell>
          <cell r="D255" t="str">
            <v>-</v>
          </cell>
          <cell r="E255" t="str">
            <v>-</v>
          </cell>
          <cell r="F255" t="str">
            <v>-</v>
          </cell>
          <cell r="G255" t="str">
            <v>-</v>
          </cell>
          <cell r="H255" t="str">
            <v>-</v>
          </cell>
          <cell r="I255" t="str">
            <v>-</v>
          </cell>
          <cell r="J255">
            <v>0</v>
          </cell>
          <cell r="K255">
            <v>-1</v>
          </cell>
          <cell r="L255" t="str">
            <v>ENTREGA PARCIAL</v>
          </cell>
          <cell r="M255" t="str">
            <v>-</v>
          </cell>
          <cell r="N255" t="str">
            <v>OC'S METALFISA</v>
          </cell>
          <cell r="O255" t="str">
            <v>-</v>
          </cell>
          <cell r="Q255" t="str">
            <v>-</v>
          </cell>
          <cell r="S255" t="str">
            <v>-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3</v>
          </cell>
          <cell r="AA255">
            <v>3</v>
          </cell>
          <cell r="AB255">
            <v>0</v>
          </cell>
          <cell r="AC255">
            <v>2</v>
          </cell>
          <cell r="AD255">
            <v>-1</v>
          </cell>
        </row>
        <row r="256">
          <cell r="A256" t="str">
            <v>21.23.02785</v>
          </cell>
          <cell r="B256" t="str">
            <v>PECA EXTERNA DA PORTA 02 \ AA_7623_01</v>
          </cell>
          <cell r="D256" t="str">
            <v>-</v>
          </cell>
          <cell r="E256" t="str">
            <v>-</v>
          </cell>
          <cell r="F256" t="str">
            <v>-</v>
          </cell>
          <cell r="G256" t="str">
            <v>-</v>
          </cell>
          <cell r="H256" t="str">
            <v>-</v>
          </cell>
          <cell r="I256" t="str">
            <v>-</v>
          </cell>
          <cell r="J256">
            <v>0</v>
          </cell>
          <cell r="K256">
            <v>32</v>
          </cell>
          <cell r="L256" t="str">
            <v>FALTA ENTREGA</v>
          </cell>
          <cell r="M256">
            <v>36</v>
          </cell>
          <cell r="N256" t="str">
            <v>OC'S METALFISA</v>
          </cell>
          <cell r="O256" t="str">
            <v>-</v>
          </cell>
          <cell r="Q256" t="str">
            <v>-</v>
          </cell>
          <cell r="S256" t="str">
            <v>-</v>
          </cell>
          <cell r="U256">
            <v>36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4</v>
          </cell>
          <cell r="AA256">
            <v>4</v>
          </cell>
          <cell r="AB256">
            <v>0</v>
          </cell>
          <cell r="AC256">
            <v>0</v>
          </cell>
          <cell r="AD256">
            <v>-4</v>
          </cell>
        </row>
        <row r="257">
          <cell r="A257" t="str">
            <v>21.23.02786</v>
          </cell>
          <cell r="B257" t="str">
            <v>PECA EXTERNA DA PORTA 03 \ AA_7624_00</v>
          </cell>
          <cell r="D257" t="str">
            <v>-</v>
          </cell>
          <cell r="E257" t="str">
            <v>-</v>
          </cell>
          <cell r="F257" t="str">
            <v>-</v>
          </cell>
          <cell r="G257" t="str">
            <v>-</v>
          </cell>
          <cell r="H257" t="str">
            <v>-</v>
          </cell>
          <cell r="I257" t="str">
            <v>-</v>
          </cell>
          <cell r="J257">
            <v>0</v>
          </cell>
          <cell r="K257">
            <v>29</v>
          </cell>
          <cell r="L257" t="str">
            <v>FALTA ENTREGA</v>
          </cell>
          <cell r="M257">
            <v>37</v>
          </cell>
          <cell r="N257" t="str">
            <v>OC'S METALFISA</v>
          </cell>
          <cell r="O257" t="str">
            <v>-</v>
          </cell>
          <cell r="Q257" t="str">
            <v>-</v>
          </cell>
          <cell r="S257" t="str">
            <v>-</v>
          </cell>
          <cell r="U257">
            <v>37</v>
          </cell>
          <cell r="V257">
            <v>0</v>
          </cell>
          <cell r="W257">
            <v>0</v>
          </cell>
          <cell r="X257">
            <v>2</v>
          </cell>
          <cell r="Y257">
            <v>0</v>
          </cell>
          <cell r="Z257">
            <v>6</v>
          </cell>
          <cell r="AA257">
            <v>8</v>
          </cell>
          <cell r="AB257">
            <v>0</v>
          </cell>
          <cell r="AC257">
            <v>0</v>
          </cell>
          <cell r="AD257">
            <v>-8</v>
          </cell>
        </row>
        <row r="258">
          <cell r="A258" t="str">
            <v>21.23.02787</v>
          </cell>
          <cell r="B258" t="str">
            <v>PECA EXTERNA DA PORTA 01 \ AA_7625_02</v>
          </cell>
          <cell r="D258" t="str">
            <v>-</v>
          </cell>
          <cell r="E258" t="str">
            <v>-</v>
          </cell>
          <cell r="F258" t="str">
            <v>-</v>
          </cell>
          <cell r="G258" t="str">
            <v>-</v>
          </cell>
          <cell r="H258" t="str">
            <v>-</v>
          </cell>
          <cell r="I258" t="str">
            <v>-</v>
          </cell>
          <cell r="J258">
            <v>0</v>
          </cell>
          <cell r="K258">
            <v>31</v>
          </cell>
          <cell r="L258" t="str">
            <v>FALTA ENTREGA</v>
          </cell>
          <cell r="M258">
            <v>32</v>
          </cell>
          <cell r="N258" t="str">
            <v>OC'S METALFISA</v>
          </cell>
          <cell r="O258" t="str">
            <v>-</v>
          </cell>
          <cell r="Q258" t="str">
            <v>-</v>
          </cell>
          <cell r="S258" t="str">
            <v>-</v>
          </cell>
          <cell r="U258">
            <v>32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1</v>
          </cell>
          <cell r="AA258">
            <v>1</v>
          </cell>
          <cell r="AB258">
            <v>0</v>
          </cell>
          <cell r="AC258">
            <v>0</v>
          </cell>
          <cell r="AD258">
            <v>-1</v>
          </cell>
        </row>
        <row r="259">
          <cell r="A259" t="str">
            <v>21.23.02789</v>
          </cell>
          <cell r="B259" t="str">
            <v>PECA INTERNA DA PORTA 03 \ AA_7627_00</v>
          </cell>
          <cell r="D259" t="str">
            <v>-</v>
          </cell>
          <cell r="E259" t="str">
            <v>-</v>
          </cell>
          <cell r="F259" t="str">
            <v>-</v>
          </cell>
          <cell r="G259" t="str">
            <v>-</v>
          </cell>
          <cell r="H259" t="str">
            <v>-</v>
          </cell>
          <cell r="I259" t="str">
            <v>-</v>
          </cell>
          <cell r="J259">
            <v>0</v>
          </cell>
          <cell r="K259">
            <v>32</v>
          </cell>
          <cell r="L259" t="str">
            <v>FALTA ENTREGA</v>
          </cell>
          <cell r="M259">
            <v>33</v>
          </cell>
          <cell r="N259" t="str">
            <v>OC'S METALFISA</v>
          </cell>
          <cell r="O259" t="str">
            <v>-</v>
          </cell>
          <cell r="Q259" t="str">
            <v>-</v>
          </cell>
          <cell r="S259" t="str">
            <v>-</v>
          </cell>
          <cell r="U259">
            <v>33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1</v>
          </cell>
          <cell r="AA259">
            <v>1</v>
          </cell>
          <cell r="AB259">
            <v>0</v>
          </cell>
          <cell r="AC259">
            <v>0</v>
          </cell>
          <cell r="AD259">
            <v>-1</v>
          </cell>
        </row>
        <row r="260">
          <cell r="A260" t="str">
            <v>21.23.02923</v>
          </cell>
          <cell r="B260" t="str">
            <v>SUPORTE GERADORA DV \ AA_7307_01</v>
          </cell>
          <cell r="C260">
            <v>46074</v>
          </cell>
          <cell r="D260" t="str">
            <v>-</v>
          </cell>
          <cell r="E260" t="str">
            <v>-</v>
          </cell>
          <cell r="F260" t="str">
            <v>-</v>
          </cell>
          <cell r="G260" t="str">
            <v>-</v>
          </cell>
          <cell r="H260" t="str">
            <v>-</v>
          </cell>
          <cell r="I260" t="str">
            <v>-</v>
          </cell>
          <cell r="J260">
            <v>0</v>
          </cell>
          <cell r="K260">
            <v>8</v>
          </cell>
          <cell r="L260" t="str">
            <v>ENTREGA TOTAL</v>
          </cell>
          <cell r="M260" t="str">
            <v>-</v>
          </cell>
          <cell r="N260" t="str">
            <v>OC'S METALFISA</v>
          </cell>
          <cell r="O260" t="str">
            <v>-</v>
          </cell>
          <cell r="Q260">
            <v>5</v>
          </cell>
          <cell r="S260" t="str">
            <v>-</v>
          </cell>
          <cell r="U260">
            <v>5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2</v>
          </cell>
          <cell r="AA260">
            <v>2</v>
          </cell>
          <cell r="AB260">
            <v>0</v>
          </cell>
          <cell r="AC260">
            <v>5</v>
          </cell>
          <cell r="AD260">
            <v>3</v>
          </cell>
        </row>
        <row r="261">
          <cell r="A261" t="str">
            <v>21.23.02931</v>
          </cell>
          <cell r="B261" t="str">
            <v>ACABAMENTO ROLETE LIVRE ESQUERDO 5536 \ AA_5595_01</v>
          </cell>
          <cell r="D261" t="str">
            <v>-</v>
          </cell>
          <cell r="E261" t="str">
            <v>-</v>
          </cell>
          <cell r="F261" t="str">
            <v>-</v>
          </cell>
          <cell r="G261" t="str">
            <v>-</v>
          </cell>
          <cell r="H261" t="str">
            <v>-</v>
          </cell>
          <cell r="I261">
            <v>1</v>
          </cell>
          <cell r="J261">
            <v>1</v>
          </cell>
          <cell r="K261">
            <v>-1</v>
          </cell>
          <cell r="L261" t="str">
            <v>FALTA ENTREGA</v>
          </cell>
          <cell r="M261">
            <v>4</v>
          </cell>
          <cell r="N261" t="str">
            <v>OC'S METALFISA</v>
          </cell>
          <cell r="O261" t="str">
            <v>-</v>
          </cell>
          <cell r="Q261" t="str">
            <v>-</v>
          </cell>
          <cell r="S261" t="str">
            <v>-</v>
          </cell>
          <cell r="U261">
            <v>4</v>
          </cell>
          <cell r="V261">
            <v>0</v>
          </cell>
          <cell r="W261">
            <v>0</v>
          </cell>
          <cell r="X261">
            <v>0</v>
          </cell>
          <cell r="Y261">
            <v>6</v>
          </cell>
          <cell r="Z261">
            <v>0</v>
          </cell>
          <cell r="AA261">
            <v>6</v>
          </cell>
          <cell r="AB261">
            <v>0</v>
          </cell>
          <cell r="AC261">
            <v>0</v>
          </cell>
          <cell r="AD261">
            <v>-6</v>
          </cell>
        </row>
        <row r="262">
          <cell r="A262" t="str">
            <v>21.23.02932</v>
          </cell>
          <cell r="B262" t="str">
            <v>ACABAMENTO ROLETE LIVRE DIREITO 5536 \ AA_5592_01</v>
          </cell>
          <cell r="D262" t="str">
            <v>-</v>
          </cell>
          <cell r="E262" t="str">
            <v>-</v>
          </cell>
          <cell r="F262" t="str">
            <v>-</v>
          </cell>
          <cell r="G262" t="str">
            <v>-</v>
          </cell>
          <cell r="H262" t="str">
            <v>-</v>
          </cell>
          <cell r="I262">
            <v>2</v>
          </cell>
          <cell r="J262">
            <v>2</v>
          </cell>
          <cell r="K262">
            <v>-1</v>
          </cell>
          <cell r="L262" t="str">
            <v>ENTREGA PARCIAL</v>
          </cell>
          <cell r="M262" t="str">
            <v>-</v>
          </cell>
          <cell r="N262" t="str">
            <v>OC'S METALFISA</v>
          </cell>
          <cell r="O262">
            <v>1</v>
          </cell>
          <cell r="P262" t="str">
            <v>OC'S GRANATO</v>
          </cell>
          <cell r="Q262" t="str">
            <v>-</v>
          </cell>
          <cell r="S262" t="str">
            <v>-</v>
          </cell>
          <cell r="U262">
            <v>1</v>
          </cell>
          <cell r="V262">
            <v>0</v>
          </cell>
          <cell r="W262">
            <v>0</v>
          </cell>
          <cell r="X262">
            <v>0</v>
          </cell>
          <cell r="Y262">
            <v>6</v>
          </cell>
          <cell r="Z262">
            <v>0</v>
          </cell>
          <cell r="AA262">
            <v>6</v>
          </cell>
          <cell r="AB262">
            <v>0</v>
          </cell>
          <cell r="AC262">
            <v>2</v>
          </cell>
          <cell r="AD262">
            <v>-4</v>
          </cell>
        </row>
        <row r="263">
          <cell r="A263" t="str">
            <v>21.23.03225</v>
          </cell>
          <cell r="B263" t="str">
            <v>PERFIL SUPERIOR \ 03_0109_01</v>
          </cell>
          <cell r="C263">
            <v>46066</v>
          </cell>
          <cell r="D263" t="str">
            <v>-</v>
          </cell>
          <cell r="E263" t="str">
            <v>-</v>
          </cell>
          <cell r="F263" t="str">
            <v>-</v>
          </cell>
          <cell r="G263" t="str">
            <v>-</v>
          </cell>
          <cell r="H263" t="str">
            <v>-</v>
          </cell>
          <cell r="I263" t="str">
            <v>-</v>
          </cell>
          <cell r="J263">
            <v>0</v>
          </cell>
          <cell r="K263">
            <v>56</v>
          </cell>
          <cell r="L263" t="str">
            <v>ENTREGA PARCIAL</v>
          </cell>
          <cell r="M263" t="str">
            <v>-</v>
          </cell>
          <cell r="N263" t="str">
            <v>OC'S METALFISA</v>
          </cell>
          <cell r="O263" t="str">
            <v>-</v>
          </cell>
          <cell r="Q263">
            <v>76</v>
          </cell>
          <cell r="S263" t="str">
            <v>-</v>
          </cell>
          <cell r="U263">
            <v>76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76</v>
          </cell>
          <cell r="AA263">
            <v>76</v>
          </cell>
          <cell r="AB263">
            <v>0</v>
          </cell>
          <cell r="AC263">
            <v>56</v>
          </cell>
          <cell r="AD263">
            <v>-20</v>
          </cell>
        </row>
        <row r="264">
          <cell r="A264" t="str">
            <v>21.23.03228</v>
          </cell>
          <cell r="B264" t="str">
            <v>PERFIL DE SUSTENTACAO DA ESTEIRA \ 03_0112_05</v>
          </cell>
          <cell r="C264">
            <v>46059</v>
          </cell>
          <cell r="D264" t="str">
            <v>-</v>
          </cell>
          <cell r="E264" t="str">
            <v>-</v>
          </cell>
          <cell r="F264" t="str">
            <v>-</v>
          </cell>
          <cell r="G264" t="str">
            <v>-</v>
          </cell>
          <cell r="H264" t="str">
            <v>-</v>
          </cell>
          <cell r="I264" t="str">
            <v>-</v>
          </cell>
          <cell r="J264">
            <v>0</v>
          </cell>
          <cell r="K264" t="e">
            <v>#VALUE!</v>
          </cell>
          <cell r="L264" t="str">
            <v>ENTREGA TOTAL</v>
          </cell>
          <cell r="M264" t="str">
            <v>-</v>
          </cell>
          <cell r="N264" t="str">
            <v>OC'S METALFISA</v>
          </cell>
          <cell r="O264" t="str">
            <v>-</v>
          </cell>
          <cell r="Q264" t="str">
            <v>-</v>
          </cell>
          <cell r="S264" t="str">
            <v>-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28</v>
          </cell>
          <cell r="AA264">
            <v>28</v>
          </cell>
          <cell r="AB264" t="str">
            <v>0</v>
          </cell>
          <cell r="AC264" t="str">
            <v>-</v>
          </cell>
          <cell r="AD264" t="str">
            <v>-</v>
          </cell>
        </row>
        <row r="265">
          <cell r="A265" t="str">
            <v>21.23.03229</v>
          </cell>
          <cell r="B265" t="str">
            <v>COLUNA DE SUSTENTACAO 01 \ 03_0113_00</v>
          </cell>
          <cell r="C265">
            <v>46066</v>
          </cell>
          <cell r="D265" t="str">
            <v>-</v>
          </cell>
          <cell r="E265" t="str">
            <v>-</v>
          </cell>
          <cell r="F265" t="str">
            <v>-</v>
          </cell>
          <cell r="G265" t="str">
            <v>-</v>
          </cell>
          <cell r="H265" t="str">
            <v>-</v>
          </cell>
          <cell r="I265" t="str">
            <v>-</v>
          </cell>
          <cell r="J265">
            <v>0</v>
          </cell>
          <cell r="K265" t="e">
            <v>#VALUE!</v>
          </cell>
          <cell r="L265" t="str">
            <v>ENTREGA TOTAL</v>
          </cell>
          <cell r="M265" t="str">
            <v>-</v>
          </cell>
          <cell r="N265" t="str">
            <v>OC'S METALFISA</v>
          </cell>
          <cell r="O265" t="str">
            <v>-</v>
          </cell>
          <cell r="Q265">
            <v>28</v>
          </cell>
          <cell r="S265" t="str">
            <v>-</v>
          </cell>
          <cell r="U265">
            <v>28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27</v>
          </cell>
          <cell r="AA265">
            <v>27</v>
          </cell>
          <cell r="AB265" t="str">
            <v>0</v>
          </cell>
          <cell r="AC265" t="str">
            <v>-</v>
          </cell>
          <cell r="AD265" t="str">
            <v>-</v>
          </cell>
        </row>
        <row r="266">
          <cell r="A266" t="str">
            <v>21.23.03230</v>
          </cell>
          <cell r="B266" t="str">
            <v>COLUNA DE SUSTENTACAO 02 \ 03_0114_00</v>
          </cell>
          <cell r="C266">
            <v>46062</v>
          </cell>
          <cell r="D266" t="str">
            <v>-</v>
          </cell>
          <cell r="E266" t="str">
            <v>-</v>
          </cell>
          <cell r="F266" t="str">
            <v>-</v>
          </cell>
          <cell r="G266" t="str">
            <v>-</v>
          </cell>
          <cell r="H266" t="str">
            <v>-</v>
          </cell>
          <cell r="I266" t="str">
            <v>-</v>
          </cell>
          <cell r="J266">
            <v>0</v>
          </cell>
          <cell r="K266">
            <v>31</v>
          </cell>
          <cell r="L266" t="str">
            <v>ENTREGA TOTAL</v>
          </cell>
          <cell r="M266" t="str">
            <v>-</v>
          </cell>
          <cell r="N266" t="str">
            <v>OC'S METALFISA</v>
          </cell>
          <cell r="O266" t="str">
            <v>-</v>
          </cell>
          <cell r="Q266">
            <v>30</v>
          </cell>
          <cell r="S266" t="str">
            <v>-</v>
          </cell>
          <cell r="U266">
            <v>30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27</v>
          </cell>
          <cell r="AA266">
            <v>27</v>
          </cell>
          <cell r="AB266">
            <v>0</v>
          </cell>
          <cell r="AC266">
            <v>28</v>
          </cell>
          <cell r="AD266">
            <v>1</v>
          </cell>
        </row>
        <row r="267">
          <cell r="A267" t="str">
            <v>21.23.03231</v>
          </cell>
          <cell r="B267" t="str">
            <v>MAO FRANCESA \ 03_0115_00</v>
          </cell>
          <cell r="C267">
            <v>46066</v>
          </cell>
          <cell r="D267" t="str">
            <v>-</v>
          </cell>
          <cell r="E267" t="str">
            <v>-</v>
          </cell>
          <cell r="F267" t="str">
            <v>-</v>
          </cell>
          <cell r="G267" t="str">
            <v>-</v>
          </cell>
          <cell r="H267" t="str">
            <v>-</v>
          </cell>
          <cell r="I267" t="str">
            <v>-</v>
          </cell>
          <cell r="J267">
            <v>0</v>
          </cell>
          <cell r="K267">
            <v>54</v>
          </cell>
          <cell r="L267" t="str">
            <v>ENTREGA TOTAL</v>
          </cell>
          <cell r="M267" t="str">
            <v>-</v>
          </cell>
          <cell r="N267" t="str">
            <v>OC'S METALFISA</v>
          </cell>
          <cell r="O267" t="str">
            <v>-</v>
          </cell>
          <cell r="Q267">
            <v>54</v>
          </cell>
          <cell r="S267" t="str">
            <v>-</v>
          </cell>
          <cell r="U267">
            <v>54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54</v>
          </cell>
          <cell r="AA267">
            <v>54</v>
          </cell>
          <cell r="AB267">
            <v>0</v>
          </cell>
          <cell r="AC267">
            <v>54</v>
          </cell>
          <cell r="AD267">
            <v>0</v>
          </cell>
        </row>
        <row r="268">
          <cell r="A268" t="str">
            <v>21.23.03234</v>
          </cell>
          <cell r="B268" t="str">
            <v>CHAPA PARA CHUMBO DA ESTEIRA \ 03_0118_02</v>
          </cell>
          <cell r="D268" t="str">
            <v>-</v>
          </cell>
          <cell r="E268" t="str">
            <v>-</v>
          </cell>
          <cell r="F268" t="str">
            <v>-</v>
          </cell>
          <cell r="G268" t="str">
            <v>-</v>
          </cell>
          <cell r="H268" t="str">
            <v>-</v>
          </cell>
          <cell r="I268" t="str">
            <v>-</v>
          </cell>
          <cell r="J268">
            <v>0</v>
          </cell>
          <cell r="K268">
            <v>-1</v>
          </cell>
          <cell r="L268" t="str">
            <v>FALTA ENTREGA</v>
          </cell>
          <cell r="M268" t="str">
            <v>-</v>
          </cell>
          <cell r="N268" t="str">
            <v>OC'S METALFISA</v>
          </cell>
          <cell r="O268" t="str">
            <v>-</v>
          </cell>
          <cell r="Q268">
            <v>4</v>
          </cell>
          <cell r="S268" t="str">
            <v>-</v>
          </cell>
          <cell r="U268">
            <v>4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5</v>
          </cell>
          <cell r="AA268">
            <v>5</v>
          </cell>
          <cell r="AB268">
            <v>0</v>
          </cell>
          <cell r="AC268">
            <v>0</v>
          </cell>
          <cell r="AD268">
            <v>-5</v>
          </cell>
        </row>
        <row r="269">
          <cell r="A269" t="str">
            <v>21.23.03239</v>
          </cell>
          <cell r="B269" t="str">
            <v>TRAVA DO INTERLOCKED \ 03_0135_02</v>
          </cell>
          <cell r="D269" t="str">
            <v>-</v>
          </cell>
          <cell r="E269" t="str">
            <v>-</v>
          </cell>
          <cell r="F269" t="str">
            <v>-</v>
          </cell>
          <cell r="G269" t="str">
            <v>-</v>
          </cell>
          <cell r="H269" t="str">
            <v>-</v>
          </cell>
          <cell r="I269" t="str">
            <v>-</v>
          </cell>
          <cell r="J269">
            <v>0</v>
          </cell>
          <cell r="K269">
            <v>0</v>
          </cell>
          <cell r="L269" t="str">
            <v>FALTA ENTREGA</v>
          </cell>
          <cell r="M269" t="str">
            <v>-</v>
          </cell>
          <cell r="N269" t="str">
            <v>OC'S METALFISA</v>
          </cell>
          <cell r="O269" t="str">
            <v>-</v>
          </cell>
          <cell r="Q269">
            <v>28</v>
          </cell>
          <cell r="S269" t="str">
            <v>-</v>
          </cell>
          <cell r="U269">
            <v>28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28</v>
          </cell>
          <cell r="AA269">
            <v>28</v>
          </cell>
          <cell r="AB269">
            <v>0</v>
          </cell>
          <cell r="AC269">
            <v>0</v>
          </cell>
          <cell r="AD269">
            <v>-28</v>
          </cell>
        </row>
        <row r="270">
          <cell r="A270" t="str">
            <v>21.23.03240</v>
          </cell>
          <cell r="B270" t="str">
            <v>TRAVA CABOS DA BASE \ 03_0136_00</v>
          </cell>
          <cell r="D270" t="str">
            <v>-</v>
          </cell>
          <cell r="E270" t="str">
            <v>-</v>
          </cell>
          <cell r="F270" t="str">
            <v>-</v>
          </cell>
          <cell r="G270" t="str">
            <v>-</v>
          </cell>
          <cell r="H270" t="str">
            <v>-</v>
          </cell>
          <cell r="I270" t="str">
            <v>-</v>
          </cell>
          <cell r="J270">
            <v>0</v>
          </cell>
          <cell r="K270" t="e">
            <v>#VALUE!</v>
          </cell>
          <cell r="L270" t="str">
            <v>ENTREGA TOTAL</v>
          </cell>
          <cell r="M270" t="str">
            <v>-</v>
          </cell>
          <cell r="N270" t="str">
            <v>OC'S METALFISA</v>
          </cell>
          <cell r="O270" t="str">
            <v>-</v>
          </cell>
          <cell r="Q270" t="str">
            <v>-</v>
          </cell>
          <cell r="S270" t="str">
            <v>-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2</v>
          </cell>
          <cell r="AA270">
            <v>2</v>
          </cell>
          <cell r="AB270" t="str">
            <v>0</v>
          </cell>
          <cell r="AC270" t="str">
            <v>-</v>
          </cell>
          <cell r="AD270" t="str">
            <v>-</v>
          </cell>
        </row>
        <row r="271">
          <cell r="A271" t="str">
            <v>21.23.03243</v>
          </cell>
          <cell r="B271" t="str">
            <v>CHAPA MONTAGEM ELETRICA TAMPA \ 03_0139_00</v>
          </cell>
          <cell r="D271" t="str">
            <v>-</v>
          </cell>
          <cell r="E271" t="str">
            <v>-</v>
          </cell>
          <cell r="F271" t="str">
            <v>-</v>
          </cell>
          <cell r="G271" t="str">
            <v>-</v>
          </cell>
          <cell r="H271" t="str">
            <v>-</v>
          </cell>
          <cell r="I271" t="str">
            <v>-</v>
          </cell>
          <cell r="J271">
            <v>0</v>
          </cell>
          <cell r="K271">
            <v>-7</v>
          </cell>
          <cell r="L271" t="str">
            <v>FALTA ENTREGA</v>
          </cell>
          <cell r="M271" t="str">
            <v>-</v>
          </cell>
          <cell r="N271" t="str">
            <v>OC'S METALFISA</v>
          </cell>
          <cell r="O271" t="str">
            <v>-</v>
          </cell>
          <cell r="Q271">
            <v>15</v>
          </cell>
          <cell r="S271" t="str">
            <v>-</v>
          </cell>
          <cell r="U271">
            <v>15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22</v>
          </cell>
          <cell r="AA271">
            <v>22</v>
          </cell>
          <cell r="AB271">
            <v>0</v>
          </cell>
          <cell r="AC271">
            <v>0</v>
          </cell>
          <cell r="AD271">
            <v>-22</v>
          </cell>
        </row>
        <row r="272">
          <cell r="A272" t="str">
            <v>21.23.03244</v>
          </cell>
          <cell r="B272" t="str">
            <v>FECHAMENTO MONTAGEM ELETRICA TAMPA \ 03_0140_00</v>
          </cell>
          <cell r="D272" t="str">
            <v>-</v>
          </cell>
          <cell r="E272" t="str">
            <v>-</v>
          </cell>
          <cell r="F272" t="str">
            <v>-</v>
          </cell>
          <cell r="G272" t="str">
            <v>-</v>
          </cell>
          <cell r="H272" t="str">
            <v>-</v>
          </cell>
          <cell r="I272" t="str">
            <v>-</v>
          </cell>
          <cell r="J272">
            <v>0</v>
          </cell>
          <cell r="K272">
            <v>-4</v>
          </cell>
          <cell r="L272" t="str">
            <v>FALTA ENTREGA</v>
          </cell>
          <cell r="M272" t="str">
            <v>-</v>
          </cell>
          <cell r="N272" t="str">
            <v>OC'S METALFISA</v>
          </cell>
          <cell r="O272" t="str">
            <v>-</v>
          </cell>
          <cell r="Q272">
            <v>2</v>
          </cell>
          <cell r="S272" t="str">
            <v>-</v>
          </cell>
          <cell r="U272">
            <v>2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6</v>
          </cell>
          <cell r="AA272">
            <v>6</v>
          </cell>
          <cell r="AB272">
            <v>0</v>
          </cell>
          <cell r="AC272">
            <v>0</v>
          </cell>
          <cell r="AD272">
            <v>-6</v>
          </cell>
        </row>
        <row r="273">
          <cell r="A273" t="str">
            <v>21.23.03287</v>
          </cell>
          <cell r="B273" t="str">
            <v>CORPO DA ESTEIRA MAIOR \ 03_0205_04</v>
          </cell>
          <cell r="C273">
            <v>46062</v>
          </cell>
          <cell r="D273" t="str">
            <v>-</v>
          </cell>
          <cell r="E273" t="str">
            <v>-</v>
          </cell>
          <cell r="F273" t="str">
            <v>-</v>
          </cell>
          <cell r="G273" t="str">
            <v>-</v>
          </cell>
          <cell r="H273" t="str">
            <v>-</v>
          </cell>
          <cell r="I273" t="str">
            <v>-</v>
          </cell>
          <cell r="J273">
            <v>0</v>
          </cell>
          <cell r="K273" t="e">
            <v>#VALUE!</v>
          </cell>
          <cell r="L273" t="str">
            <v>ENTREGA TOTAL</v>
          </cell>
          <cell r="M273" t="str">
            <v>-</v>
          </cell>
          <cell r="N273" t="str">
            <v>OC'S METALFISA</v>
          </cell>
          <cell r="O273" t="str">
            <v>-</v>
          </cell>
          <cell r="Q273">
            <v>4</v>
          </cell>
          <cell r="S273" t="str">
            <v>-</v>
          </cell>
          <cell r="U273">
            <v>4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8</v>
          </cell>
          <cell r="AA273">
            <v>8</v>
          </cell>
          <cell r="AB273" t="str">
            <v>0</v>
          </cell>
          <cell r="AC273" t="str">
            <v>-</v>
          </cell>
          <cell r="AD273" t="str">
            <v>-</v>
          </cell>
        </row>
        <row r="274">
          <cell r="A274" t="str">
            <v>21.23.03288</v>
          </cell>
          <cell r="B274" t="str">
            <v>REFORCO DA ESTEIRA \ 03_0206_01</v>
          </cell>
          <cell r="C274">
            <v>46066</v>
          </cell>
          <cell r="D274" t="str">
            <v>-</v>
          </cell>
          <cell r="E274" t="str">
            <v>-</v>
          </cell>
          <cell r="F274" t="str">
            <v>-</v>
          </cell>
          <cell r="G274" t="str">
            <v>-</v>
          </cell>
          <cell r="H274" t="str">
            <v>-</v>
          </cell>
          <cell r="I274" t="str">
            <v>-</v>
          </cell>
          <cell r="J274">
            <v>0</v>
          </cell>
          <cell r="K274">
            <v>50</v>
          </cell>
          <cell r="L274" t="str">
            <v>ENTREGA TOTAL</v>
          </cell>
          <cell r="M274" t="str">
            <v>-</v>
          </cell>
          <cell r="N274" t="str">
            <v>OC'S METALFISA</v>
          </cell>
          <cell r="O274" t="str">
            <v>-</v>
          </cell>
          <cell r="Q274">
            <v>50</v>
          </cell>
          <cell r="S274" t="str">
            <v>-</v>
          </cell>
          <cell r="U274">
            <v>50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50</v>
          </cell>
          <cell r="AA274">
            <v>50</v>
          </cell>
          <cell r="AB274">
            <v>0</v>
          </cell>
          <cell r="AC274">
            <v>50</v>
          </cell>
          <cell r="AD274">
            <v>0</v>
          </cell>
        </row>
        <row r="275">
          <cell r="A275" t="str">
            <v>21.23.03289</v>
          </cell>
          <cell r="B275" t="str">
            <v>TRAVA DO ROLETE DE RETORNO \ 03_0207_01</v>
          </cell>
          <cell r="D275" t="str">
            <v>-</v>
          </cell>
          <cell r="E275" t="str">
            <v>-</v>
          </cell>
          <cell r="F275" t="str">
            <v>-</v>
          </cell>
          <cell r="G275" t="str">
            <v>-</v>
          </cell>
          <cell r="H275" t="str">
            <v>-</v>
          </cell>
          <cell r="I275" t="str">
            <v>-</v>
          </cell>
          <cell r="J275">
            <v>0</v>
          </cell>
          <cell r="K275">
            <v>-10</v>
          </cell>
          <cell r="L275" t="str">
            <v>FALTA ENTREGA</v>
          </cell>
          <cell r="M275" t="str">
            <v>-</v>
          </cell>
          <cell r="N275" t="str">
            <v>OC'S METALFISA</v>
          </cell>
          <cell r="O275" t="str">
            <v>-</v>
          </cell>
          <cell r="Q275">
            <v>18</v>
          </cell>
          <cell r="S275" t="str">
            <v>-</v>
          </cell>
          <cell r="U275">
            <v>18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28</v>
          </cell>
          <cell r="AA275">
            <v>28</v>
          </cell>
          <cell r="AB275">
            <v>0</v>
          </cell>
          <cell r="AC275">
            <v>0</v>
          </cell>
          <cell r="AD275">
            <v>-28</v>
          </cell>
        </row>
        <row r="276">
          <cell r="A276" t="str">
            <v>21.23.03292</v>
          </cell>
          <cell r="B276" t="str">
            <v>REFORCO DO CORTE DA ESTEIRA \ 03_0210_02</v>
          </cell>
          <cell r="C276">
            <v>46066</v>
          </cell>
          <cell r="D276" t="str">
            <v>-</v>
          </cell>
          <cell r="E276" t="str">
            <v>-</v>
          </cell>
          <cell r="F276" t="str">
            <v>-</v>
          </cell>
          <cell r="G276" t="str">
            <v>-</v>
          </cell>
          <cell r="H276" t="str">
            <v>-</v>
          </cell>
          <cell r="I276" t="str">
            <v>-</v>
          </cell>
          <cell r="J276">
            <v>0</v>
          </cell>
          <cell r="K276">
            <v>11</v>
          </cell>
          <cell r="L276" t="str">
            <v>ENTREGA PARCIAL</v>
          </cell>
          <cell r="M276" t="str">
            <v>-</v>
          </cell>
          <cell r="N276" t="str">
            <v>OC'S METALFISA</v>
          </cell>
          <cell r="O276" t="str">
            <v>-</v>
          </cell>
          <cell r="Q276">
            <v>14</v>
          </cell>
          <cell r="S276" t="str">
            <v>-</v>
          </cell>
          <cell r="U276">
            <v>14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13</v>
          </cell>
          <cell r="AA276">
            <v>13</v>
          </cell>
          <cell r="AB276">
            <v>0</v>
          </cell>
          <cell r="AC276">
            <v>10</v>
          </cell>
          <cell r="AD276">
            <v>-3</v>
          </cell>
        </row>
        <row r="277">
          <cell r="A277" t="str">
            <v>21.23.03293</v>
          </cell>
          <cell r="B277" t="str">
            <v>REFORCO CENTRAL DA ESTEIRA \ 03_0211_00</v>
          </cell>
          <cell r="D277" t="str">
            <v>-</v>
          </cell>
          <cell r="E277" t="str">
            <v>-</v>
          </cell>
          <cell r="F277" t="str">
            <v>-</v>
          </cell>
          <cell r="G277" t="str">
            <v>-</v>
          </cell>
          <cell r="H277" t="str">
            <v>-</v>
          </cell>
          <cell r="I277" t="str">
            <v>-</v>
          </cell>
          <cell r="J277">
            <v>0</v>
          </cell>
          <cell r="K277">
            <v>0</v>
          </cell>
          <cell r="L277" t="str">
            <v>FALTA ENTREGA</v>
          </cell>
          <cell r="M277" t="str">
            <v>-</v>
          </cell>
          <cell r="N277" t="str">
            <v>OC'S METALFISA</v>
          </cell>
          <cell r="O277" t="str">
            <v>-</v>
          </cell>
          <cell r="Q277">
            <v>20</v>
          </cell>
          <cell r="S277" t="str">
            <v>-</v>
          </cell>
          <cell r="U277">
            <v>20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20</v>
          </cell>
          <cell r="AA277">
            <v>20</v>
          </cell>
          <cell r="AB277">
            <v>0</v>
          </cell>
          <cell r="AC277">
            <v>0</v>
          </cell>
          <cell r="AD277">
            <v>-20</v>
          </cell>
        </row>
        <row r="278">
          <cell r="A278" t="str">
            <v>21.23.03294</v>
          </cell>
          <cell r="B278" t="str">
            <v>BATENTE DA ESTEIRA \ 03_0212_00</v>
          </cell>
          <cell r="D278" t="str">
            <v>-</v>
          </cell>
          <cell r="E278" t="str">
            <v>-</v>
          </cell>
          <cell r="F278" t="str">
            <v>-</v>
          </cell>
          <cell r="G278" t="str">
            <v>-</v>
          </cell>
          <cell r="H278" t="str">
            <v>-</v>
          </cell>
          <cell r="I278" t="str">
            <v>-</v>
          </cell>
          <cell r="J278">
            <v>0</v>
          </cell>
          <cell r="K278">
            <v>-2</v>
          </cell>
          <cell r="L278" t="str">
            <v>FALTA ENTREGA</v>
          </cell>
          <cell r="M278" t="str">
            <v>-</v>
          </cell>
          <cell r="N278" t="str">
            <v>OC'S METALFISA</v>
          </cell>
          <cell r="O278" t="str">
            <v>-</v>
          </cell>
          <cell r="Q278">
            <v>24</v>
          </cell>
          <cell r="S278" t="str">
            <v>-</v>
          </cell>
          <cell r="U278">
            <v>24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26</v>
          </cell>
          <cell r="AA278">
            <v>26</v>
          </cell>
          <cell r="AB278">
            <v>0</v>
          </cell>
          <cell r="AC278">
            <v>0</v>
          </cell>
          <cell r="AD278">
            <v>-26</v>
          </cell>
        </row>
        <row r="279">
          <cell r="A279" t="str">
            <v>21.23.03295</v>
          </cell>
          <cell r="B279" t="str">
            <v>TRAVA DO ROLETE DE RETORNO 03 \ 03_0213_01</v>
          </cell>
          <cell r="C279">
            <v>46066</v>
          </cell>
          <cell r="D279" t="str">
            <v>-</v>
          </cell>
          <cell r="E279" t="str">
            <v>-</v>
          </cell>
          <cell r="F279" t="str">
            <v>-</v>
          </cell>
          <cell r="G279" t="str">
            <v>-</v>
          </cell>
          <cell r="H279" t="str">
            <v>-</v>
          </cell>
          <cell r="I279" t="str">
            <v>-</v>
          </cell>
          <cell r="J279">
            <v>0</v>
          </cell>
          <cell r="K279">
            <v>18</v>
          </cell>
          <cell r="L279" t="str">
            <v>ENTREGA TOTAL</v>
          </cell>
          <cell r="M279" t="str">
            <v>-</v>
          </cell>
          <cell r="N279" t="str">
            <v>OC'S METALFISA</v>
          </cell>
          <cell r="O279" t="str">
            <v>-</v>
          </cell>
          <cell r="Q279">
            <v>18</v>
          </cell>
          <cell r="S279" t="str">
            <v>-</v>
          </cell>
          <cell r="U279">
            <v>18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18</v>
          </cell>
          <cell r="AA279">
            <v>18</v>
          </cell>
          <cell r="AB279">
            <v>0</v>
          </cell>
          <cell r="AC279">
            <v>18</v>
          </cell>
          <cell r="AD279">
            <v>0</v>
          </cell>
        </row>
        <row r="280">
          <cell r="A280" t="str">
            <v>21.23.03297</v>
          </cell>
          <cell r="B280" t="str">
            <v>DISTANCIADOR DO ACABAMENTO \ 03_0215_00</v>
          </cell>
          <cell r="C280">
            <v>46066</v>
          </cell>
          <cell r="D280" t="str">
            <v>-</v>
          </cell>
          <cell r="E280" t="str">
            <v>-</v>
          </cell>
          <cell r="F280" t="str">
            <v>-</v>
          </cell>
          <cell r="G280" t="str">
            <v>-</v>
          </cell>
          <cell r="H280" t="str">
            <v>-</v>
          </cell>
          <cell r="I280" t="str">
            <v>-</v>
          </cell>
          <cell r="J280">
            <v>0</v>
          </cell>
          <cell r="K280">
            <v>1</v>
          </cell>
          <cell r="L280" t="str">
            <v>ENTREGA PARCIAL</v>
          </cell>
          <cell r="M280" t="str">
            <v>-</v>
          </cell>
          <cell r="N280" t="str">
            <v>OC'S METALFISA</v>
          </cell>
          <cell r="O280" t="str">
            <v>-</v>
          </cell>
          <cell r="Q280">
            <v>8</v>
          </cell>
          <cell r="S280" t="str">
            <v>-</v>
          </cell>
          <cell r="U280">
            <v>8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40</v>
          </cell>
          <cell r="AA280">
            <v>40</v>
          </cell>
          <cell r="AB280">
            <v>0</v>
          </cell>
          <cell r="AC280">
            <v>33</v>
          </cell>
          <cell r="AD280">
            <v>-7</v>
          </cell>
        </row>
        <row r="281">
          <cell r="A281" t="str">
            <v>21.23.03298</v>
          </cell>
          <cell r="B281" t="str">
            <v>TRAVA DO ROLETE \ 03_0216_01</v>
          </cell>
          <cell r="C281">
            <v>46072</v>
          </cell>
          <cell r="D281" t="str">
            <v>-</v>
          </cell>
          <cell r="E281" t="str">
            <v>-</v>
          </cell>
          <cell r="F281">
            <v>2</v>
          </cell>
          <cell r="G281" t="str">
            <v>-</v>
          </cell>
          <cell r="H281" t="str">
            <v>-</v>
          </cell>
          <cell r="I281" t="str">
            <v>-</v>
          </cell>
          <cell r="J281">
            <v>2</v>
          </cell>
          <cell r="K281">
            <v>22</v>
          </cell>
          <cell r="L281" t="str">
            <v>ENTREGA PARCIAL</v>
          </cell>
          <cell r="M281" t="str">
            <v>-</v>
          </cell>
          <cell r="N281" t="str">
            <v>OC'S METALFISA</v>
          </cell>
          <cell r="O281">
            <v>23</v>
          </cell>
          <cell r="P281" t="str">
            <v>OC'S GRANATO</v>
          </cell>
          <cell r="Q281" t="str">
            <v>-</v>
          </cell>
          <cell r="S281" t="str">
            <v>-</v>
          </cell>
          <cell r="U281">
            <v>23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7</v>
          </cell>
          <cell r="AA281">
            <v>7</v>
          </cell>
          <cell r="AB281">
            <v>0</v>
          </cell>
          <cell r="AC281">
            <v>4</v>
          </cell>
          <cell r="AD281">
            <v>-3</v>
          </cell>
        </row>
        <row r="282">
          <cell r="A282" t="str">
            <v>21.23.03300</v>
          </cell>
          <cell r="B282" t="str">
            <v>DISTANCIADOR ROLETE LIVRE \ 03_0218_00</v>
          </cell>
          <cell r="D282" t="str">
            <v>-</v>
          </cell>
          <cell r="E282" t="str">
            <v>-</v>
          </cell>
          <cell r="F282" t="str">
            <v>-</v>
          </cell>
          <cell r="G282" t="str">
            <v>-</v>
          </cell>
          <cell r="H282" t="str">
            <v>-</v>
          </cell>
          <cell r="I282" t="str">
            <v>-</v>
          </cell>
          <cell r="J282">
            <v>0</v>
          </cell>
          <cell r="K282">
            <v>20</v>
          </cell>
          <cell r="L282" t="str">
            <v>FALTA ENTREGA</v>
          </cell>
          <cell r="M282">
            <v>40</v>
          </cell>
          <cell r="N282" t="str">
            <v>OC'S METALFISA</v>
          </cell>
          <cell r="O282" t="str">
            <v>-</v>
          </cell>
          <cell r="Q282" t="str">
            <v>-</v>
          </cell>
          <cell r="S282" t="str">
            <v>-</v>
          </cell>
          <cell r="U282">
            <v>40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20</v>
          </cell>
          <cell r="AA282">
            <v>20</v>
          </cell>
          <cell r="AB282">
            <v>0</v>
          </cell>
          <cell r="AC282">
            <v>0</v>
          </cell>
          <cell r="AD282">
            <v>-20</v>
          </cell>
        </row>
        <row r="283">
          <cell r="A283" t="str">
            <v>21.23.03301</v>
          </cell>
          <cell r="B283" t="str">
            <v>TRAVA DO ROLETE \ 03_0219_01</v>
          </cell>
          <cell r="C283">
            <v>46059</v>
          </cell>
          <cell r="D283">
            <v>3</v>
          </cell>
          <cell r="E283" t="str">
            <v>-</v>
          </cell>
          <cell r="F283" t="str">
            <v>-</v>
          </cell>
          <cell r="G283" t="str">
            <v>-</v>
          </cell>
          <cell r="H283" t="str">
            <v>-</v>
          </cell>
          <cell r="I283" t="str">
            <v>-</v>
          </cell>
          <cell r="J283">
            <v>0</v>
          </cell>
          <cell r="K283">
            <v>33</v>
          </cell>
          <cell r="L283" t="str">
            <v>ENTREGA PARCIAL</v>
          </cell>
          <cell r="M283" t="str">
            <v>-</v>
          </cell>
          <cell r="N283" t="str">
            <v>OC'S METALFISA</v>
          </cell>
          <cell r="O283" t="str">
            <v>-</v>
          </cell>
          <cell r="Q283" t="str">
            <v>-</v>
          </cell>
          <cell r="S283">
            <v>33</v>
          </cell>
          <cell r="T283" t="str">
            <v>OC'S MAPHE</v>
          </cell>
          <cell r="U283">
            <v>33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13</v>
          </cell>
          <cell r="AA283">
            <v>13</v>
          </cell>
          <cell r="AB283">
            <v>0</v>
          </cell>
          <cell r="AC283">
            <v>10</v>
          </cell>
          <cell r="AD283">
            <v>-3</v>
          </cell>
        </row>
        <row r="284">
          <cell r="A284" t="str">
            <v>21.23.03302</v>
          </cell>
          <cell r="B284" t="str">
            <v>CHAPA PROTECAO DA ESTEIRA \ 03_0220_00</v>
          </cell>
          <cell r="C284">
            <v>46066</v>
          </cell>
          <cell r="D284" t="str">
            <v>-</v>
          </cell>
          <cell r="E284" t="str">
            <v>-</v>
          </cell>
          <cell r="F284" t="str">
            <v>-</v>
          </cell>
          <cell r="G284" t="str">
            <v>-</v>
          </cell>
          <cell r="H284" t="str">
            <v>-</v>
          </cell>
          <cell r="I284" t="str">
            <v>-</v>
          </cell>
          <cell r="J284">
            <v>0</v>
          </cell>
          <cell r="K284">
            <v>20</v>
          </cell>
          <cell r="L284" t="str">
            <v>ENTREGA TOTAL</v>
          </cell>
          <cell r="M284" t="str">
            <v>-</v>
          </cell>
          <cell r="N284" t="str">
            <v>OC'S METALFISA</v>
          </cell>
          <cell r="O284" t="str">
            <v>-</v>
          </cell>
          <cell r="Q284">
            <v>20</v>
          </cell>
          <cell r="S284" t="str">
            <v>-</v>
          </cell>
          <cell r="U284">
            <v>20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20</v>
          </cell>
          <cell r="AA284">
            <v>20</v>
          </cell>
          <cell r="AB284">
            <v>0</v>
          </cell>
          <cell r="AC284">
            <v>20</v>
          </cell>
          <cell r="AD284">
            <v>0</v>
          </cell>
        </row>
        <row r="285">
          <cell r="A285" t="str">
            <v>21.23.03311</v>
          </cell>
          <cell r="B285" t="str">
            <v>ACABAMENTO LATERAL \ 03_0229_00</v>
          </cell>
          <cell r="C285">
            <v>46066</v>
          </cell>
          <cell r="D285" t="str">
            <v>-</v>
          </cell>
          <cell r="E285" t="str">
            <v>-</v>
          </cell>
          <cell r="F285" t="str">
            <v>-</v>
          </cell>
          <cell r="G285" t="str">
            <v>-</v>
          </cell>
          <cell r="H285" t="str">
            <v>-</v>
          </cell>
          <cell r="I285" t="str">
            <v>-</v>
          </cell>
          <cell r="J285">
            <v>0</v>
          </cell>
          <cell r="K285">
            <v>23</v>
          </cell>
          <cell r="L285" t="str">
            <v>ENTREGA TOTAL</v>
          </cell>
          <cell r="M285">
            <v>18</v>
          </cell>
          <cell r="N285" t="str">
            <v>OC'S METALFISA</v>
          </cell>
          <cell r="O285" t="str">
            <v>-</v>
          </cell>
          <cell r="Q285" t="str">
            <v>-</v>
          </cell>
          <cell r="S285" t="str">
            <v>-</v>
          </cell>
          <cell r="U285">
            <v>18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5</v>
          </cell>
          <cell r="AA285">
            <v>5</v>
          </cell>
          <cell r="AB285">
            <v>0</v>
          </cell>
          <cell r="AC285">
            <v>10</v>
          </cell>
          <cell r="AD285">
            <v>5</v>
          </cell>
        </row>
        <row r="286">
          <cell r="A286" t="str">
            <v>21.23.03315</v>
          </cell>
          <cell r="B286" t="str">
            <v>SUPORTE DO ACABAMENTO DA ESTEIRA \ 03_0234_00</v>
          </cell>
          <cell r="D286" t="str">
            <v>-</v>
          </cell>
          <cell r="E286" t="str">
            <v>-</v>
          </cell>
          <cell r="F286" t="str">
            <v>-</v>
          </cell>
          <cell r="G286" t="str">
            <v>-</v>
          </cell>
          <cell r="H286" t="str">
            <v>-</v>
          </cell>
          <cell r="I286" t="str">
            <v>-</v>
          </cell>
          <cell r="J286">
            <v>0</v>
          </cell>
          <cell r="K286">
            <v>-4</v>
          </cell>
          <cell r="L286" t="str">
            <v>FALTA ENTREGA</v>
          </cell>
          <cell r="M286" t="str">
            <v>-</v>
          </cell>
          <cell r="N286" t="str">
            <v>OC'S METALFISA</v>
          </cell>
          <cell r="O286" t="str">
            <v>-</v>
          </cell>
          <cell r="Q286">
            <v>30</v>
          </cell>
          <cell r="S286" t="str">
            <v>-</v>
          </cell>
          <cell r="U286">
            <v>30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34</v>
          </cell>
          <cell r="AA286">
            <v>34</v>
          </cell>
          <cell r="AB286">
            <v>0</v>
          </cell>
          <cell r="AC286">
            <v>0</v>
          </cell>
          <cell r="AD286">
            <v>-34</v>
          </cell>
        </row>
        <row r="287">
          <cell r="A287" t="str">
            <v>21.23.03317</v>
          </cell>
          <cell r="B287" t="str">
            <v>SUPORTE DO SENSOR \ 03_0236_00</v>
          </cell>
          <cell r="D287" t="str">
            <v>-</v>
          </cell>
          <cell r="E287" t="str">
            <v>-</v>
          </cell>
          <cell r="F287" t="str">
            <v>-</v>
          </cell>
          <cell r="G287" t="str">
            <v>-</v>
          </cell>
          <cell r="H287" t="str">
            <v>-</v>
          </cell>
          <cell r="I287" t="str">
            <v>-</v>
          </cell>
          <cell r="J287">
            <v>0</v>
          </cell>
          <cell r="K287">
            <v>-11</v>
          </cell>
          <cell r="L287" t="str">
            <v>FALTA ENTREGA</v>
          </cell>
          <cell r="M287" t="str">
            <v>-</v>
          </cell>
          <cell r="N287" t="str">
            <v>OC'S METALFISA</v>
          </cell>
          <cell r="O287" t="str">
            <v>-</v>
          </cell>
          <cell r="Q287">
            <v>44</v>
          </cell>
          <cell r="S287" t="str">
            <v>-</v>
          </cell>
          <cell r="U287">
            <v>44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55</v>
          </cell>
          <cell r="AA287">
            <v>55</v>
          </cell>
          <cell r="AB287">
            <v>0</v>
          </cell>
          <cell r="AC287">
            <v>0</v>
          </cell>
          <cell r="AD287">
            <v>-55</v>
          </cell>
        </row>
        <row r="288">
          <cell r="A288" t="str">
            <v>21.23.03321</v>
          </cell>
          <cell r="B288" t="str">
            <v>EIXO POSICIONADOR \ 03_0270_00</v>
          </cell>
          <cell r="D288" t="str">
            <v>-</v>
          </cell>
          <cell r="E288" t="str">
            <v>-</v>
          </cell>
          <cell r="F288" t="str">
            <v>-</v>
          </cell>
          <cell r="G288" t="str">
            <v>-</v>
          </cell>
          <cell r="H288" t="str">
            <v>-</v>
          </cell>
          <cell r="I288" t="str">
            <v>-</v>
          </cell>
          <cell r="J288">
            <v>0</v>
          </cell>
          <cell r="K288">
            <v>42</v>
          </cell>
          <cell r="L288" t="str">
            <v>FALTA ENTREGA</v>
          </cell>
          <cell r="M288" t="str">
            <v>-</v>
          </cell>
          <cell r="N288" t="str">
            <v>OC'S METALFISA</v>
          </cell>
          <cell r="O288" t="str">
            <v>-</v>
          </cell>
          <cell r="Q288" t="str">
            <v>-</v>
          </cell>
          <cell r="S288">
            <v>57</v>
          </cell>
          <cell r="T288" t="str">
            <v>OC'S MAPHE</v>
          </cell>
          <cell r="U288">
            <v>57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15</v>
          </cell>
          <cell r="AA288">
            <v>15</v>
          </cell>
          <cell r="AB288">
            <v>0</v>
          </cell>
          <cell r="AC288">
            <v>0</v>
          </cell>
          <cell r="AD288">
            <v>-15</v>
          </cell>
        </row>
        <row r="289">
          <cell r="A289" t="str">
            <v>21.23.03322</v>
          </cell>
          <cell r="B289" t="str">
            <v>CHAPA FECHAMENTO COLIMADORES \ 03_0271_00</v>
          </cell>
          <cell r="C289">
            <v>46066</v>
          </cell>
          <cell r="D289" t="str">
            <v>-</v>
          </cell>
          <cell r="E289" t="str">
            <v>-</v>
          </cell>
          <cell r="F289" t="str">
            <v>-</v>
          </cell>
          <cell r="G289" t="str">
            <v>-</v>
          </cell>
          <cell r="H289" t="str">
            <v>-</v>
          </cell>
          <cell r="I289" t="str">
            <v>-</v>
          </cell>
          <cell r="J289">
            <v>0</v>
          </cell>
          <cell r="K289">
            <v>14</v>
          </cell>
          <cell r="L289" t="str">
            <v>ENTREGA TOTAL</v>
          </cell>
          <cell r="M289" t="str">
            <v>-</v>
          </cell>
          <cell r="N289" t="str">
            <v>OC'S METALFISA</v>
          </cell>
          <cell r="O289" t="str">
            <v>-</v>
          </cell>
          <cell r="Q289">
            <v>14</v>
          </cell>
          <cell r="S289" t="str">
            <v>-</v>
          </cell>
          <cell r="U289">
            <v>14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14</v>
          </cell>
          <cell r="AA289">
            <v>14</v>
          </cell>
          <cell r="AB289">
            <v>0</v>
          </cell>
          <cell r="AC289">
            <v>14</v>
          </cell>
          <cell r="AD289">
            <v>0</v>
          </cell>
        </row>
        <row r="290">
          <cell r="A290" t="str">
            <v>21.23.03325</v>
          </cell>
          <cell r="B290" t="str">
            <v>FECHAMENTO DOS COLIMADORES \ 03_0275_01</v>
          </cell>
          <cell r="D290" t="str">
            <v>-</v>
          </cell>
          <cell r="E290" t="str">
            <v>-</v>
          </cell>
          <cell r="F290" t="str">
            <v>-</v>
          </cell>
          <cell r="G290" t="str">
            <v>-</v>
          </cell>
          <cell r="H290" t="str">
            <v>-</v>
          </cell>
          <cell r="I290" t="str">
            <v>-</v>
          </cell>
          <cell r="J290">
            <v>0</v>
          </cell>
          <cell r="K290">
            <v>0</v>
          </cell>
          <cell r="L290" t="str">
            <v>FALTA ENTREGA</v>
          </cell>
          <cell r="M290" t="str">
            <v>-</v>
          </cell>
          <cell r="N290" t="str">
            <v>OC'S METALFISA</v>
          </cell>
          <cell r="O290" t="str">
            <v>-</v>
          </cell>
          <cell r="Q290">
            <v>28</v>
          </cell>
          <cell r="S290" t="str">
            <v>-</v>
          </cell>
          <cell r="U290">
            <v>28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28</v>
          </cell>
          <cell r="AA290">
            <v>28</v>
          </cell>
          <cell r="AB290">
            <v>0</v>
          </cell>
          <cell r="AC290">
            <v>0</v>
          </cell>
          <cell r="AD290">
            <v>-28</v>
          </cell>
        </row>
        <row r="291">
          <cell r="A291" t="str">
            <v>21.23.03328</v>
          </cell>
          <cell r="B291" t="str">
            <v>MAO FRANCESA \ 03_0281_00</v>
          </cell>
          <cell r="C291">
            <v>46066</v>
          </cell>
          <cell r="D291" t="str">
            <v>-</v>
          </cell>
          <cell r="E291" t="str">
            <v>-</v>
          </cell>
          <cell r="F291" t="str">
            <v>-</v>
          </cell>
          <cell r="G291" t="str">
            <v>-</v>
          </cell>
          <cell r="H291" t="str">
            <v>-</v>
          </cell>
          <cell r="I291" t="str">
            <v>-</v>
          </cell>
          <cell r="J291">
            <v>0</v>
          </cell>
          <cell r="K291">
            <v>10</v>
          </cell>
          <cell r="L291" t="str">
            <v>ENTREGA PARCIAL</v>
          </cell>
          <cell r="M291">
            <v>12</v>
          </cell>
          <cell r="N291" t="str">
            <v>OC'S METALFISA</v>
          </cell>
          <cell r="O291" t="str">
            <v>-</v>
          </cell>
          <cell r="Q291" t="str">
            <v>-</v>
          </cell>
          <cell r="S291">
            <v>1</v>
          </cell>
          <cell r="T291" t="str">
            <v>OC'S MAPHE</v>
          </cell>
          <cell r="U291">
            <v>13</v>
          </cell>
          <cell r="V291">
            <v>1</v>
          </cell>
          <cell r="W291">
            <v>0</v>
          </cell>
          <cell r="X291">
            <v>0</v>
          </cell>
          <cell r="Y291">
            <v>0</v>
          </cell>
          <cell r="Z291">
            <v>3</v>
          </cell>
          <cell r="AA291">
            <v>4</v>
          </cell>
          <cell r="AB291">
            <v>1</v>
          </cell>
          <cell r="AC291">
            <v>1</v>
          </cell>
          <cell r="AD291">
            <v>-3</v>
          </cell>
        </row>
        <row r="292">
          <cell r="A292" t="str">
            <v>21.23.03329</v>
          </cell>
          <cell r="B292" t="str">
            <v>MAO FRANCESA \ 03_0282_00</v>
          </cell>
          <cell r="C292">
            <v>46066</v>
          </cell>
          <cell r="D292" t="str">
            <v>-</v>
          </cell>
          <cell r="E292" t="str">
            <v>-</v>
          </cell>
          <cell r="F292" t="str">
            <v>-</v>
          </cell>
          <cell r="G292" t="str">
            <v>-</v>
          </cell>
          <cell r="H292" t="str">
            <v>-</v>
          </cell>
          <cell r="I292" t="str">
            <v>-</v>
          </cell>
          <cell r="J292">
            <v>0</v>
          </cell>
          <cell r="K292">
            <v>10</v>
          </cell>
          <cell r="L292" t="str">
            <v>ENTREGA PARCIAL</v>
          </cell>
          <cell r="M292">
            <v>12</v>
          </cell>
          <cell r="N292" t="str">
            <v>OC'S METALFISA</v>
          </cell>
          <cell r="O292" t="str">
            <v>-</v>
          </cell>
          <cell r="Q292" t="str">
            <v>-</v>
          </cell>
          <cell r="S292">
            <v>1</v>
          </cell>
          <cell r="T292" t="str">
            <v>OC'S MAPHE</v>
          </cell>
          <cell r="U292">
            <v>13</v>
          </cell>
          <cell r="V292">
            <v>1</v>
          </cell>
          <cell r="W292">
            <v>0</v>
          </cell>
          <cell r="X292">
            <v>0</v>
          </cell>
          <cell r="Y292">
            <v>0</v>
          </cell>
          <cell r="Z292">
            <v>3</v>
          </cell>
          <cell r="AA292">
            <v>4</v>
          </cell>
          <cell r="AB292">
            <v>1</v>
          </cell>
          <cell r="AC292">
            <v>1</v>
          </cell>
          <cell r="AD292">
            <v>-3</v>
          </cell>
        </row>
        <row r="293">
          <cell r="A293" t="str">
            <v>21.23.03330</v>
          </cell>
          <cell r="B293" t="str">
            <v>SUPORTE DA BASE DO TUBO \ 03_0283_03</v>
          </cell>
          <cell r="C293">
            <v>46076</v>
          </cell>
          <cell r="D293" t="str">
            <v>-</v>
          </cell>
          <cell r="E293" t="str">
            <v>-</v>
          </cell>
          <cell r="F293" t="str">
            <v>-</v>
          </cell>
          <cell r="G293" t="str">
            <v>-</v>
          </cell>
          <cell r="H293" t="str">
            <v>-</v>
          </cell>
          <cell r="I293" t="str">
            <v>-</v>
          </cell>
          <cell r="J293">
            <v>0</v>
          </cell>
          <cell r="K293" t="e">
            <v>#VALUE!</v>
          </cell>
          <cell r="L293" t="str">
            <v>ENTREGA TOTAL</v>
          </cell>
          <cell r="M293" t="str">
            <v>-</v>
          </cell>
          <cell r="N293" t="str">
            <v>OC'S METALFISA</v>
          </cell>
          <cell r="O293" t="str">
            <v>-</v>
          </cell>
          <cell r="Q293">
            <v>1</v>
          </cell>
          <cell r="S293">
            <v>1</v>
          </cell>
          <cell r="T293" t="str">
            <v>OC'S MAPHE</v>
          </cell>
          <cell r="U293">
            <v>2</v>
          </cell>
          <cell r="V293">
            <v>1</v>
          </cell>
          <cell r="W293">
            <v>0</v>
          </cell>
          <cell r="X293">
            <v>0</v>
          </cell>
          <cell r="Y293">
            <v>0</v>
          </cell>
          <cell r="Z293">
            <v>3</v>
          </cell>
          <cell r="AA293">
            <v>4</v>
          </cell>
          <cell r="AB293" t="str">
            <v>0</v>
          </cell>
          <cell r="AC293" t="str">
            <v>-</v>
          </cell>
          <cell r="AD293" t="str">
            <v>-</v>
          </cell>
        </row>
        <row r="294">
          <cell r="A294" t="str">
            <v>21.23.03363</v>
          </cell>
          <cell r="B294" t="str">
            <v>APOIO ACABAMENTO LATERAL \ 03_0352_00</v>
          </cell>
          <cell r="C294">
            <v>46066</v>
          </cell>
          <cell r="D294" t="str">
            <v>-</v>
          </cell>
          <cell r="E294" t="str">
            <v>-</v>
          </cell>
          <cell r="F294" t="str">
            <v>-</v>
          </cell>
          <cell r="G294" t="str">
            <v>-</v>
          </cell>
          <cell r="H294" t="str">
            <v>-</v>
          </cell>
          <cell r="I294" t="str">
            <v>-</v>
          </cell>
          <cell r="J294">
            <v>0</v>
          </cell>
          <cell r="K294">
            <v>10</v>
          </cell>
          <cell r="L294" t="str">
            <v>ENTREGA PARCIAL</v>
          </cell>
          <cell r="M294" t="str">
            <v>-</v>
          </cell>
          <cell r="N294" t="str">
            <v>OC'S METALFISA</v>
          </cell>
          <cell r="O294" t="str">
            <v>-</v>
          </cell>
          <cell r="Q294">
            <v>11</v>
          </cell>
          <cell r="S294">
            <v>1</v>
          </cell>
          <cell r="T294" t="str">
            <v>OC'S MAPHE</v>
          </cell>
          <cell r="U294">
            <v>12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3</v>
          </cell>
          <cell r="AA294">
            <v>3</v>
          </cell>
          <cell r="AB294">
            <v>0</v>
          </cell>
          <cell r="AC294">
            <v>1</v>
          </cell>
          <cell r="AD294">
            <v>-2</v>
          </cell>
        </row>
        <row r="295">
          <cell r="A295" t="str">
            <v>21.23.03364</v>
          </cell>
          <cell r="B295" t="str">
            <v>APOIO ACABAMENTO LATERAL \ 03_0353_00</v>
          </cell>
          <cell r="C295">
            <v>46066</v>
          </cell>
          <cell r="D295" t="str">
            <v>-</v>
          </cell>
          <cell r="E295" t="str">
            <v>-</v>
          </cell>
          <cell r="F295" t="str">
            <v>-</v>
          </cell>
          <cell r="G295" t="str">
            <v>-</v>
          </cell>
          <cell r="H295" t="str">
            <v>-</v>
          </cell>
          <cell r="I295" t="str">
            <v>-</v>
          </cell>
          <cell r="J295">
            <v>0</v>
          </cell>
          <cell r="K295">
            <v>9</v>
          </cell>
          <cell r="L295" t="str">
            <v>ENTREGA PARCIAL</v>
          </cell>
          <cell r="M295" t="str">
            <v>-</v>
          </cell>
          <cell r="N295" t="str">
            <v>OC'S METALFISA</v>
          </cell>
          <cell r="O295" t="str">
            <v>-</v>
          </cell>
          <cell r="Q295">
            <v>11</v>
          </cell>
          <cell r="S295">
            <v>1</v>
          </cell>
          <cell r="T295" t="str">
            <v>OC'S MAPHE</v>
          </cell>
          <cell r="U295">
            <v>12</v>
          </cell>
          <cell r="V295">
            <v>1</v>
          </cell>
          <cell r="W295">
            <v>0</v>
          </cell>
          <cell r="X295">
            <v>0</v>
          </cell>
          <cell r="Y295">
            <v>0</v>
          </cell>
          <cell r="Z295">
            <v>3</v>
          </cell>
          <cell r="AA295">
            <v>4</v>
          </cell>
          <cell r="AB295">
            <v>1</v>
          </cell>
          <cell r="AC295">
            <v>1</v>
          </cell>
          <cell r="AD295">
            <v>-3</v>
          </cell>
        </row>
        <row r="296">
          <cell r="A296" t="str">
            <v>21.23.03386</v>
          </cell>
          <cell r="B296" t="str">
            <v>CHAPA ACABAMENTO LATERAL \ 03_0520_00</v>
          </cell>
          <cell r="D296">
            <v>1</v>
          </cell>
          <cell r="E296" t="str">
            <v>-</v>
          </cell>
          <cell r="F296" t="str">
            <v>-</v>
          </cell>
          <cell r="G296" t="str">
            <v>-</v>
          </cell>
          <cell r="H296" t="str">
            <v>-</v>
          </cell>
          <cell r="I296" t="str">
            <v>-</v>
          </cell>
          <cell r="J296">
            <v>0</v>
          </cell>
          <cell r="K296" t="e">
            <v>#VALUE!</v>
          </cell>
          <cell r="L296" t="str">
            <v>ENTREGA TOTAL</v>
          </cell>
          <cell r="M296" t="str">
            <v>-</v>
          </cell>
          <cell r="N296" t="str">
            <v>OC'S METALFISA</v>
          </cell>
          <cell r="O296" t="str">
            <v>-</v>
          </cell>
          <cell r="Q296" t="str">
            <v>-</v>
          </cell>
          <cell r="S296">
            <v>16</v>
          </cell>
          <cell r="T296" t="str">
            <v>OC'S MAPHE</v>
          </cell>
          <cell r="U296">
            <v>16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7</v>
          </cell>
          <cell r="AA296">
            <v>7</v>
          </cell>
          <cell r="AB296" t="str">
            <v>0</v>
          </cell>
          <cell r="AC296" t="str">
            <v>-</v>
          </cell>
          <cell r="AD296" t="str">
            <v>-</v>
          </cell>
        </row>
        <row r="297">
          <cell r="A297" t="str">
            <v>21.23.03388</v>
          </cell>
          <cell r="B297" t="str">
            <v>ACABAMENTO INFERIOR COM ACESSO 6040 / 03_0521_01</v>
          </cell>
          <cell r="C297">
            <v>46066</v>
          </cell>
          <cell r="D297" t="str">
            <v>-</v>
          </cell>
          <cell r="E297" t="str">
            <v>-</v>
          </cell>
          <cell r="F297" t="str">
            <v>-</v>
          </cell>
          <cell r="G297" t="str">
            <v>-</v>
          </cell>
          <cell r="H297" t="str">
            <v>-</v>
          </cell>
          <cell r="I297">
            <v>1</v>
          </cell>
          <cell r="J297">
            <v>1</v>
          </cell>
          <cell r="K297">
            <v>40</v>
          </cell>
          <cell r="L297" t="str">
            <v>ENTREGA TOTAL</v>
          </cell>
          <cell r="M297" t="str">
            <v>-</v>
          </cell>
          <cell r="N297" t="str">
            <v>OC'S METALFISA</v>
          </cell>
          <cell r="O297" t="str">
            <v>-</v>
          </cell>
          <cell r="Q297" t="str">
            <v>-</v>
          </cell>
          <cell r="S297">
            <v>39</v>
          </cell>
          <cell r="T297" t="str">
            <v>OC'S MAPHE</v>
          </cell>
          <cell r="U297">
            <v>39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14</v>
          </cell>
          <cell r="AA297">
            <v>14</v>
          </cell>
          <cell r="AB297">
            <v>0</v>
          </cell>
          <cell r="AC297">
            <v>14</v>
          </cell>
          <cell r="AD297">
            <v>0</v>
          </cell>
        </row>
        <row r="298">
          <cell r="A298" t="str">
            <v>21.23.03392</v>
          </cell>
          <cell r="B298" t="str">
            <v>FECHAMENTO DO ACESSO ELETRICO \ 03_0522_01</v>
          </cell>
          <cell r="C298">
            <v>46076</v>
          </cell>
          <cell r="D298" t="str">
            <v>-</v>
          </cell>
          <cell r="E298" t="str">
            <v>-</v>
          </cell>
          <cell r="F298" t="str">
            <v>-</v>
          </cell>
          <cell r="G298" t="str">
            <v>-</v>
          </cell>
          <cell r="H298" t="str">
            <v>-</v>
          </cell>
          <cell r="I298" t="str">
            <v>-</v>
          </cell>
          <cell r="J298">
            <v>0</v>
          </cell>
          <cell r="K298">
            <v>23</v>
          </cell>
          <cell r="L298" t="str">
            <v>FALTA ENTREGA</v>
          </cell>
          <cell r="M298">
            <v>18</v>
          </cell>
          <cell r="N298" t="str">
            <v>OC'S METALFISA</v>
          </cell>
          <cell r="O298" t="str">
            <v>-</v>
          </cell>
          <cell r="Q298" t="str">
            <v>-</v>
          </cell>
          <cell r="S298">
            <v>14</v>
          </cell>
          <cell r="T298" t="str">
            <v>OC'S MAPHE</v>
          </cell>
          <cell r="U298">
            <v>32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9</v>
          </cell>
          <cell r="AA298">
            <v>9</v>
          </cell>
          <cell r="AB298">
            <v>0</v>
          </cell>
          <cell r="AC298">
            <v>0</v>
          </cell>
          <cell r="AD298">
            <v>-9</v>
          </cell>
        </row>
        <row r="299">
          <cell r="A299" t="str">
            <v>21.23.03393</v>
          </cell>
          <cell r="B299" t="str">
            <v>DOBRADICA MOVEL TAMPA LATERAL \ 03_0523_00</v>
          </cell>
          <cell r="D299" t="str">
            <v>-</v>
          </cell>
          <cell r="E299" t="str">
            <v>-</v>
          </cell>
          <cell r="F299" t="str">
            <v>-</v>
          </cell>
          <cell r="G299" t="str">
            <v>-</v>
          </cell>
          <cell r="H299" t="str">
            <v>-</v>
          </cell>
          <cell r="I299" t="str">
            <v>-</v>
          </cell>
          <cell r="J299">
            <v>0</v>
          </cell>
          <cell r="K299" t="e">
            <v>#VALUE!</v>
          </cell>
          <cell r="L299" t="str">
            <v>ENTREGA TOTAL</v>
          </cell>
          <cell r="M299" t="str">
            <v>-</v>
          </cell>
          <cell r="N299" t="str">
            <v>OC'S METALFISA</v>
          </cell>
          <cell r="O299" t="str">
            <v>-</v>
          </cell>
          <cell r="Q299" t="str">
            <v>-</v>
          </cell>
          <cell r="S299">
            <v>30</v>
          </cell>
          <cell r="T299" t="str">
            <v>OC'S MAPHE</v>
          </cell>
          <cell r="U299">
            <v>30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13</v>
          </cell>
          <cell r="AA299">
            <v>13</v>
          </cell>
          <cell r="AB299" t="str">
            <v>0</v>
          </cell>
          <cell r="AC299" t="str">
            <v>-</v>
          </cell>
          <cell r="AD299" t="str">
            <v>-</v>
          </cell>
        </row>
        <row r="300">
          <cell r="A300" t="str">
            <v>21.23.03394</v>
          </cell>
          <cell r="B300" t="str">
            <v>ACABAMENTO DO TUNEL \ 03_0524_00</v>
          </cell>
          <cell r="D300" t="str">
            <v>-</v>
          </cell>
          <cell r="E300" t="str">
            <v>-</v>
          </cell>
          <cell r="F300" t="str">
            <v>-</v>
          </cell>
          <cell r="G300" t="str">
            <v>-</v>
          </cell>
          <cell r="H300" t="str">
            <v>-</v>
          </cell>
          <cell r="I300" t="str">
            <v>-</v>
          </cell>
          <cell r="J300">
            <v>0</v>
          </cell>
          <cell r="K300">
            <v>33</v>
          </cell>
          <cell r="L300" t="str">
            <v>FALTA ENTREGA</v>
          </cell>
          <cell r="M300" t="str">
            <v>-</v>
          </cell>
          <cell r="N300" t="str">
            <v>OC'S METALFISA</v>
          </cell>
          <cell r="O300">
            <v>40</v>
          </cell>
          <cell r="P300" t="str">
            <v>OC'S GRANATO</v>
          </cell>
          <cell r="Q300" t="str">
            <v>-</v>
          </cell>
          <cell r="S300" t="str">
            <v>-</v>
          </cell>
          <cell r="U300">
            <v>40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7</v>
          </cell>
          <cell r="AA300">
            <v>7</v>
          </cell>
          <cell r="AB300">
            <v>0</v>
          </cell>
          <cell r="AC300">
            <v>0</v>
          </cell>
          <cell r="AD300">
            <v>-7</v>
          </cell>
        </row>
        <row r="301">
          <cell r="A301" t="str">
            <v>21.23.03399</v>
          </cell>
          <cell r="B301" t="str">
            <v>BASE TUBO SANDT SV \ 03_0401_05</v>
          </cell>
          <cell r="C301">
            <v>46059</v>
          </cell>
          <cell r="D301" t="str">
            <v>-</v>
          </cell>
          <cell r="E301" t="str">
            <v>-</v>
          </cell>
          <cell r="F301" t="str">
            <v>-</v>
          </cell>
          <cell r="G301" t="str">
            <v>-</v>
          </cell>
          <cell r="H301" t="str">
            <v>-</v>
          </cell>
          <cell r="I301" t="str">
            <v>-</v>
          </cell>
          <cell r="J301">
            <v>0</v>
          </cell>
          <cell r="K301">
            <v>-5</v>
          </cell>
          <cell r="L301" t="str">
            <v>ENTREGA PARCIAL</v>
          </cell>
          <cell r="M301" t="str">
            <v>-</v>
          </cell>
          <cell r="N301" t="str">
            <v>OC'S METALFISA</v>
          </cell>
          <cell r="O301" t="str">
            <v>-</v>
          </cell>
          <cell r="Q301" t="str">
            <v>-</v>
          </cell>
          <cell r="S301" t="str">
            <v>-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19</v>
          </cell>
          <cell r="AA301">
            <v>19</v>
          </cell>
          <cell r="AB301">
            <v>0</v>
          </cell>
          <cell r="AC301">
            <v>14</v>
          </cell>
          <cell r="AD301">
            <v>-5</v>
          </cell>
        </row>
        <row r="302">
          <cell r="A302" t="str">
            <v>21.23.03409</v>
          </cell>
          <cell r="B302" t="str">
            <v>BASE TUBO SANDT DV \ 03_0418_00</v>
          </cell>
          <cell r="C302">
            <v>46066</v>
          </cell>
          <cell r="D302" t="str">
            <v>-</v>
          </cell>
          <cell r="E302" t="str">
            <v>-</v>
          </cell>
          <cell r="F302" t="str">
            <v>-</v>
          </cell>
          <cell r="G302" t="str">
            <v>-</v>
          </cell>
          <cell r="H302" t="str">
            <v>-</v>
          </cell>
          <cell r="I302" t="str">
            <v>-</v>
          </cell>
          <cell r="J302">
            <v>0</v>
          </cell>
          <cell r="K302">
            <v>4</v>
          </cell>
          <cell r="L302" t="str">
            <v>ENTREGA TOTAL</v>
          </cell>
          <cell r="M302" t="str">
            <v>-</v>
          </cell>
          <cell r="N302" t="str">
            <v>OC'S METALFISA</v>
          </cell>
          <cell r="O302" t="str">
            <v>-</v>
          </cell>
          <cell r="Q302">
            <v>4</v>
          </cell>
          <cell r="S302" t="str">
            <v>-</v>
          </cell>
          <cell r="U302">
            <v>4</v>
          </cell>
          <cell r="V302">
            <v>1</v>
          </cell>
          <cell r="W302">
            <v>0</v>
          </cell>
          <cell r="X302">
            <v>0</v>
          </cell>
          <cell r="Y302">
            <v>0</v>
          </cell>
          <cell r="Z302">
            <v>3</v>
          </cell>
          <cell r="AA302">
            <v>4</v>
          </cell>
          <cell r="AB302">
            <v>0</v>
          </cell>
          <cell r="AC302">
            <v>4</v>
          </cell>
          <cell r="AD302">
            <v>0</v>
          </cell>
        </row>
        <row r="303">
          <cell r="A303" t="str">
            <v>21.23.03427</v>
          </cell>
          <cell r="B303" t="str">
            <v>APOIO DOS ACABAMENTOS LATERAIS \ 03_0108_00</v>
          </cell>
          <cell r="C303">
            <v>46066</v>
          </cell>
          <cell r="D303" t="str">
            <v>-</v>
          </cell>
          <cell r="E303" t="str">
            <v>-</v>
          </cell>
          <cell r="F303" t="str">
            <v>-</v>
          </cell>
          <cell r="G303" t="str">
            <v>-</v>
          </cell>
          <cell r="H303" t="str">
            <v>-</v>
          </cell>
          <cell r="I303" t="str">
            <v>-</v>
          </cell>
          <cell r="J303">
            <v>0</v>
          </cell>
          <cell r="K303">
            <v>53</v>
          </cell>
          <cell r="L303" t="str">
            <v>ENTREGA PARCIAL</v>
          </cell>
          <cell r="M303" t="str">
            <v>-</v>
          </cell>
          <cell r="N303" t="str">
            <v>OC'S METALFISA</v>
          </cell>
          <cell r="O303" t="str">
            <v>-</v>
          </cell>
          <cell r="Q303">
            <v>56</v>
          </cell>
          <cell r="S303" t="str">
            <v>-</v>
          </cell>
          <cell r="U303">
            <v>56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59</v>
          </cell>
          <cell r="AA303">
            <v>59</v>
          </cell>
          <cell r="AB303">
            <v>0</v>
          </cell>
          <cell r="AC303">
            <v>56</v>
          </cell>
          <cell r="AD303">
            <v>-3</v>
          </cell>
        </row>
        <row r="304">
          <cell r="A304" t="str">
            <v>21.23.03666</v>
          </cell>
          <cell r="B304" t="str">
            <v>PAINEL ELETRICO FLATSCAN \ AA_5732_02</v>
          </cell>
          <cell r="D304" t="str">
            <v>-</v>
          </cell>
          <cell r="E304" t="str">
            <v>-</v>
          </cell>
          <cell r="F304" t="str">
            <v>-</v>
          </cell>
          <cell r="G304" t="str">
            <v>-</v>
          </cell>
          <cell r="H304" t="str">
            <v>-</v>
          </cell>
          <cell r="I304" t="str">
            <v>-</v>
          </cell>
          <cell r="J304">
            <v>0</v>
          </cell>
          <cell r="K304">
            <v>0</v>
          </cell>
          <cell r="L304" t="str">
            <v>FALTA ENTREGA</v>
          </cell>
          <cell r="M304">
            <v>3</v>
          </cell>
          <cell r="N304" t="str">
            <v>OC'S METALFISA</v>
          </cell>
          <cell r="O304" t="str">
            <v>-</v>
          </cell>
          <cell r="Q304" t="str">
            <v>-</v>
          </cell>
          <cell r="S304" t="str">
            <v>-</v>
          </cell>
          <cell r="U304">
            <v>3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3</v>
          </cell>
          <cell r="AA304">
            <v>3</v>
          </cell>
          <cell r="AB304">
            <v>0</v>
          </cell>
          <cell r="AC304">
            <v>0</v>
          </cell>
          <cell r="AD304">
            <v>-3</v>
          </cell>
        </row>
        <row r="305">
          <cell r="A305" t="str">
            <v>21.23.03667</v>
          </cell>
          <cell r="B305" t="str">
            <v>ESTICADOR DA CORREIA \ AA_5733_00</v>
          </cell>
          <cell r="D305" t="str">
            <v>-</v>
          </cell>
          <cell r="E305" t="str">
            <v>-</v>
          </cell>
          <cell r="F305" t="str">
            <v>-</v>
          </cell>
          <cell r="G305" t="str">
            <v>-</v>
          </cell>
          <cell r="H305" t="str">
            <v>-</v>
          </cell>
          <cell r="I305" t="str">
            <v>-</v>
          </cell>
          <cell r="J305">
            <v>0</v>
          </cell>
          <cell r="K305">
            <v>0</v>
          </cell>
          <cell r="L305" t="str">
            <v>FALTA ENTREGA</v>
          </cell>
          <cell r="M305">
            <v>6</v>
          </cell>
          <cell r="N305" t="str">
            <v>OC'S METALFISA</v>
          </cell>
          <cell r="O305" t="str">
            <v>-</v>
          </cell>
          <cell r="Q305" t="str">
            <v>-</v>
          </cell>
          <cell r="S305" t="str">
            <v>-</v>
          </cell>
          <cell r="U305">
            <v>6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6</v>
          </cell>
          <cell r="AA305">
            <v>6</v>
          </cell>
          <cell r="AB305">
            <v>0</v>
          </cell>
          <cell r="AC305">
            <v>0</v>
          </cell>
          <cell r="AD305">
            <v>-6</v>
          </cell>
        </row>
        <row r="306">
          <cell r="A306" t="str">
            <v>21.23.03668</v>
          </cell>
          <cell r="B306" t="str">
            <v>DISTANCIADOR DO CHUMBO CARRINHO \ AA_5735_00</v>
          </cell>
          <cell r="D306" t="str">
            <v>-</v>
          </cell>
          <cell r="E306" t="str">
            <v>-</v>
          </cell>
          <cell r="F306" t="str">
            <v>-</v>
          </cell>
          <cell r="G306" t="str">
            <v>-</v>
          </cell>
          <cell r="H306" t="str">
            <v>-</v>
          </cell>
          <cell r="I306" t="str">
            <v>-</v>
          </cell>
          <cell r="J306">
            <v>0</v>
          </cell>
          <cell r="K306">
            <v>0</v>
          </cell>
          <cell r="L306" t="str">
            <v>FALTA ENTREGA</v>
          </cell>
          <cell r="M306">
            <v>4</v>
          </cell>
          <cell r="N306" t="str">
            <v>OC'S METALFISA</v>
          </cell>
          <cell r="O306" t="str">
            <v>-</v>
          </cell>
          <cell r="Q306" t="str">
            <v>-</v>
          </cell>
          <cell r="S306" t="str">
            <v>-</v>
          </cell>
          <cell r="U306">
            <v>4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4</v>
          </cell>
          <cell r="AA306">
            <v>4</v>
          </cell>
          <cell r="AB306">
            <v>0</v>
          </cell>
          <cell r="AC306">
            <v>0</v>
          </cell>
          <cell r="AD306">
            <v>-4</v>
          </cell>
        </row>
        <row r="307">
          <cell r="A307" t="str">
            <v>21.23.03669</v>
          </cell>
          <cell r="B307" t="str">
            <v>CORPO SUPERIOR CAMERA MULTILASER \ AA_5736_00</v>
          </cell>
          <cell r="D307" t="str">
            <v>-</v>
          </cell>
          <cell r="E307" t="str">
            <v>-</v>
          </cell>
          <cell r="F307" t="str">
            <v>-</v>
          </cell>
          <cell r="G307" t="str">
            <v>-</v>
          </cell>
          <cell r="H307" t="str">
            <v>-</v>
          </cell>
          <cell r="I307" t="str">
            <v>-</v>
          </cell>
          <cell r="J307">
            <v>0</v>
          </cell>
          <cell r="K307">
            <v>0</v>
          </cell>
          <cell r="L307" t="str">
            <v>FALTA ENTREGA</v>
          </cell>
          <cell r="M307">
            <v>2</v>
          </cell>
          <cell r="N307" t="str">
            <v>OC'S METALFISA</v>
          </cell>
          <cell r="O307" t="str">
            <v>-</v>
          </cell>
          <cell r="Q307" t="str">
            <v>-</v>
          </cell>
          <cell r="S307" t="str">
            <v>-</v>
          </cell>
          <cell r="U307">
            <v>2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2</v>
          </cell>
          <cell r="AA307">
            <v>2</v>
          </cell>
          <cell r="AB307">
            <v>0</v>
          </cell>
          <cell r="AC307">
            <v>0</v>
          </cell>
          <cell r="AD307">
            <v>-2</v>
          </cell>
        </row>
        <row r="308">
          <cell r="A308" t="str">
            <v>21.23.03670</v>
          </cell>
          <cell r="B308" t="str">
            <v>CALCO PARA MOTOR FLATPANEL \ AA_5739_00</v>
          </cell>
          <cell r="D308" t="str">
            <v>-</v>
          </cell>
          <cell r="E308" t="str">
            <v>-</v>
          </cell>
          <cell r="F308" t="str">
            <v>-</v>
          </cell>
          <cell r="G308" t="str">
            <v>-</v>
          </cell>
          <cell r="H308" t="str">
            <v>-</v>
          </cell>
          <cell r="I308" t="str">
            <v>-</v>
          </cell>
          <cell r="J308">
            <v>0</v>
          </cell>
          <cell r="K308">
            <v>0</v>
          </cell>
          <cell r="L308" t="str">
            <v>FALTA ENTREGA</v>
          </cell>
          <cell r="M308">
            <v>2</v>
          </cell>
          <cell r="N308" t="str">
            <v>OC'S METALFISA</v>
          </cell>
          <cell r="O308" t="str">
            <v>-</v>
          </cell>
          <cell r="Q308" t="str">
            <v>-</v>
          </cell>
          <cell r="S308" t="str">
            <v>-</v>
          </cell>
          <cell r="U308">
            <v>2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2</v>
          </cell>
          <cell r="AA308">
            <v>2</v>
          </cell>
          <cell r="AB308">
            <v>0</v>
          </cell>
          <cell r="AC308">
            <v>0</v>
          </cell>
          <cell r="AD308">
            <v>-2</v>
          </cell>
        </row>
        <row r="309">
          <cell r="A309" t="str">
            <v>21.23.03803</v>
          </cell>
          <cell r="B309" t="str">
            <v>SUPORTE TRAVA DA MOLA \ AA_5725_01</v>
          </cell>
          <cell r="D309" t="str">
            <v>-</v>
          </cell>
          <cell r="E309" t="str">
            <v>-</v>
          </cell>
          <cell r="F309" t="str">
            <v>-</v>
          </cell>
          <cell r="G309" t="str">
            <v>-</v>
          </cell>
          <cell r="H309" t="str">
            <v>-</v>
          </cell>
          <cell r="I309" t="str">
            <v>-</v>
          </cell>
          <cell r="J309">
            <v>0</v>
          </cell>
          <cell r="K309">
            <v>0</v>
          </cell>
          <cell r="L309" t="str">
            <v>FALTA ENTREGA</v>
          </cell>
          <cell r="M309">
            <v>2</v>
          </cell>
          <cell r="N309" t="str">
            <v>OC'S METALFISA</v>
          </cell>
          <cell r="O309" t="str">
            <v>-</v>
          </cell>
          <cell r="Q309" t="str">
            <v>-</v>
          </cell>
          <cell r="S309" t="str">
            <v>-</v>
          </cell>
          <cell r="U309">
            <v>2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2</v>
          </cell>
          <cell r="AA309">
            <v>2</v>
          </cell>
          <cell r="AB309">
            <v>0</v>
          </cell>
          <cell r="AC309">
            <v>0</v>
          </cell>
          <cell r="AD309">
            <v>-2</v>
          </cell>
        </row>
        <row r="310">
          <cell r="A310" t="str">
            <v>21.23.03918</v>
          </cell>
          <cell r="B310" t="str">
            <v>SUPORTE MANGUEIRA \ AA_5837_01</v>
          </cell>
          <cell r="C310">
            <v>46074</v>
          </cell>
          <cell r="D310" t="str">
            <v>-</v>
          </cell>
          <cell r="E310" t="str">
            <v>-</v>
          </cell>
          <cell r="F310" t="str">
            <v>-</v>
          </cell>
          <cell r="G310" t="str">
            <v>-</v>
          </cell>
          <cell r="H310" t="str">
            <v>-</v>
          </cell>
          <cell r="I310" t="str">
            <v>-</v>
          </cell>
          <cell r="J310">
            <v>0</v>
          </cell>
          <cell r="K310">
            <v>16</v>
          </cell>
          <cell r="L310" t="str">
            <v>ENTREGA TOTAL</v>
          </cell>
          <cell r="M310">
            <v>16</v>
          </cell>
          <cell r="N310" t="str">
            <v>OC'S METALFISA</v>
          </cell>
          <cell r="O310" t="str">
            <v>-</v>
          </cell>
          <cell r="Q310" t="str">
            <v>-</v>
          </cell>
          <cell r="S310" t="str">
            <v>-</v>
          </cell>
          <cell r="U310">
            <v>16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16</v>
          </cell>
          <cell r="AA310">
            <v>16</v>
          </cell>
          <cell r="AB310">
            <v>0</v>
          </cell>
          <cell r="AC310">
            <v>16</v>
          </cell>
          <cell r="AD310">
            <v>0</v>
          </cell>
        </row>
        <row r="311">
          <cell r="A311" t="str">
            <v>21.23.03919</v>
          </cell>
          <cell r="B311" t="str">
            <v>CAIXA DE DISTRIBUICAO DIREITO \ AA_5838_01</v>
          </cell>
          <cell r="C311">
            <v>46074</v>
          </cell>
          <cell r="D311" t="str">
            <v>-</v>
          </cell>
          <cell r="E311" t="str">
            <v>-</v>
          </cell>
          <cell r="F311" t="str">
            <v>-</v>
          </cell>
          <cell r="G311" t="str">
            <v>-</v>
          </cell>
          <cell r="H311" t="str">
            <v>-</v>
          </cell>
          <cell r="I311" t="str">
            <v>-</v>
          </cell>
          <cell r="J311">
            <v>0</v>
          </cell>
          <cell r="K311">
            <v>5</v>
          </cell>
          <cell r="L311" t="str">
            <v>ENTREGA TOTAL</v>
          </cell>
          <cell r="M311">
            <v>4</v>
          </cell>
          <cell r="N311" t="str">
            <v>OC'S METALFISA</v>
          </cell>
          <cell r="O311" t="str">
            <v>-</v>
          </cell>
          <cell r="Q311" t="str">
            <v>-</v>
          </cell>
          <cell r="S311" t="str">
            <v>-</v>
          </cell>
          <cell r="U311">
            <v>4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3</v>
          </cell>
          <cell r="AA311">
            <v>3</v>
          </cell>
          <cell r="AB311">
            <v>0</v>
          </cell>
          <cell r="AC311">
            <v>4</v>
          </cell>
          <cell r="AD311">
            <v>1</v>
          </cell>
        </row>
        <row r="312">
          <cell r="A312" t="str">
            <v>21.23.03988</v>
          </cell>
          <cell r="B312" t="str">
            <v>MANCAL DIREITO DA PORTA \ AA-5929-00</v>
          </cell>
          <cell r="D312" t="str">
            <v>-</v>
          </cell>
          <cell r="E312" t="str">
            <v>-</v>
          </cell>
          <cell r="F312" t="str">
            <v>-</v>
          </cell>
          <cell r="G312" t="str">
            <v>-</v>
          </cell>
          <cell r="H312" t="str">
            <v>-</v>
          </cell>
          <cell r="I312" t="str">
            <v>-</v>
          </cell>
          <cell r="J312">
            <v>0</v>
          </cell>
          <cell r="K312">
            <v>-1</v>
          </cell>
          <cell r="L312" t="str">
            <v>FALTA ENTREGA</v>
          </cell>
          <cell r="M312" t="str">
            <v>-</v>
          </cell>
          <cell r="N312" t="str">
            <v>OC'S METALFISA</v>
          </cell>
          <cell r="O312" t="str">
            <v>-</v>
          </cell>
          <cell r="Q312" t="str">
            <v>-</v>
          </cell>
          <cell r="S312" t="str">
            <v>-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1</v>
          </cell>
          <cell r="AA312">
            <v>1</v>
          </cell>
          <cell r="AB312">
            <v>0</v>
          </cell>
          <cell r="AC312">
            <v>0</v>
          </cell>
          <cell r="AD312">
            <v>-1</v>
          </cell>
        </row>
        <row r="313">
          <cell r="A313" t="str">
            <v>21.23.04025</v>
          </cell>
          <cell r="B313" t="str">
            <v>ABRACADEIRA DO INTERCOMUNICADOR II / 21.23.04025</v>
          </cell>
          <cell r="D313" t="str">
            <v>-</v>
          </cell>
          <cell r="E313" t="str">
            <v>-</v>
          </cell>
          <cell r="F313" t="str">
            <v>-</v>
          </cell>
          <cell r="G313" t="str">
            <v>-</v>
          </cell>
          <cell r="H313" t="str">
            <v>-</v>
          </cell>
          <cell r="I313" t="str">
            <v>-</v>
          </cell>
          <cell r="J313">
            <v>0</v>
          </cell>
          <cell r="K313">
            <v>29</v>
          </cell>
          <cell r="L313" t="str">
            <v>ENTREGA TOTAL</v>
          </cell>
          <cell r="M313" t="str">
            <v>-</v>
          </cell>
          <cell r="N313" t="str">
            <v>OC'S METALFISA</v>
          </cell>
          <cell r="O313" t="str">
            <v>-</v>
          </cell>
          <cell r="Q313" t="str">
            <v>-</v>
          </cell>
          <cell r="S313">
            <v>13</v>
          </cell>
          <cell r="T313" t="str">
            <v>OC'S MAPHE</v>
          </cell>
          <cell r="U313">
            <v>13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4</v>
          </cell>
          <cell r="AA313">
            <v>4</v>
          </cell>
          <cell r="AB313">
            <v>0</v>
          </cell>
          <cell r="AC313">
            <v>20</v>
          </cell>
          <cell r="AD313">
            <v>16</v>
          </cell>
        </row>
        <row r="314">
          <cell r="A314" t="str">
            <v>21.23.04056</v>
          </cell>
          <cell r="B314" t="str">
            <v>SUPORTE PARA SAIDA DOS CONECTORES / AA_9042_02</v>
          </cell>
          <cell r="D314" t="str">
            <v>-</v>
          </cell>
          <cell r="E314" t="str">
            <v>-</v>
          </cell>
          <cell r="F314" t="str">
            <v>-</v>
          </cell>
          <cell r="G314" t="str">
            <v>-</v>
          </cell>
          <cell r="H314" t="str">
            <v>-</v>
          </cell>
          <cell r="I314" t="str">
            <v>-</v>
          </cell>
          <cell r="J314">
            <v>0</v>
          </cell>
          <cell r="K314">
            <v>21</v>
          </cell>
          <cell r="L314" t="str">
            <v>FALTA ENTREGA</v>
          </cell>
          <cell r="M314" t="str">
            <v>-</v>
          </cell>
          <cell r="N314" t="str">
            <v>OC'S METALFISA</v>
          </cell>
          <cell r="O314" t="str">
            <v>-</v>
          </cell>
          <cell r="Q314" t="str">
            <v>-</v>
          </cell>
          <cell r="S314">
            <v>31</v>
          </cell>
          <cell r="T314" t="str">
            <v>OC'S MAPHE</v>
          </cell>
          <cell r="U314">
            <v>31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10</v>
          </cell>
          <cell r="AA314">
            <v>10</v>
          </cell>
          <cell r="AB314">
            <v>0</v>
          </cell>
          <cell r="AC314">
            <v>0</v>
          </cell>
          <cell r="AD314">
            <v>-10</v>
          </cell>
        </row>
        <row r="315">
          <cell r="A315" t="str">
            <v>21.23.04135</v>
          </cell>
          <cell r="B315" t="str">
            <v>CHAPA FECHAMENTO LATERAL TUNEL / 03_0396_00</v>
          </cell>
          <cell r="D315" t="str">
            <v>-</v>
          </cell>
          <cell r="E315" t="str">
            <v>-</v>
          </cell>
          <cell r="F315" t="str">
            <v>-</v>
          </cell>
          <cell r="G315" t="str">
            <v>-</v>
          </cell>
          <cell r="H315" t="str">
            <v>-</v>
          </cell>
          <cell r="I315" t="str">
            <v>-</v>
          </cell>
          <cell r="J315">
            <v>0</v>
          </cell>
          <cell r="K315">
            <v>0</v>
          </cell>
          <cell r="L315" t="str">
            <v>FALTA ENTREGA</v>
          </cell>
          <cell r="M315" t="str">
            <v>-</v>
          </cell>
          <cell r="N315" t="str">
            <v>OC'S METALFISA</v>
          </cell>
          <cell r="O315" t="str">
            <v>-</v>
          </cell>
          <cell r="Q315">
            <v>1</v>
          </cell>
          <cell r="S315" t="str">
            <v>-</v>
          </cell>
          <cell r="U315">
            <v>1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1</v>
          </cell>
          <cell r="AA315">
            <v>1</v>
          </cell>
          <cell r="AB315">
            <v>0</v>
          </cell>
          <cell r="AC315">
            <v>0</v>
          </cell>
          <cell r="AD315">
            <v>-1</v>
          </cell>
        </row>
        <row r="316">
          <cell r="A316" t="str">
            <v>21.23.04168</v>
          </cell>
          <cell r="B316" t="str">
            <v>ESPACADOR DO ACABAMENTO 02 / AA_9053_00</v>
          </cell>
          <cell r="D316" t="str">
            <v>-</v>
          </cell>
          <cell r="E316" t="str">
            <v>-</v>
          </cell>
          <cell r="F316" t="str">
            <v>-</v>
          </cell>
          <cell r="G316" t="str">
            <v>-</v>
          </cell>
          <cell r="H316" t="str">
            <v>-</v>
          </cell>
          <cell r="I316" t="str">
            <v>-</v>
          </cell>
          <cell r="J316">
            <v>0</v>
          </cell>
          <cell r="K316">
            <v>1</v>
          </cell>
          <cell r="L316" t="str">
            <v>FALTA ENTREGA</v>
          </cell>
          <cell r="M316">
            <v>33</v>
          </cell>
          <cell r="N316" t="str">
            <v>OC'S METALFISA</v>
          </cell>
          <cell r="O316" t="str">
            <v>-</v>
          </cell>
          <cell r="Q316" t="str">
            <v>-</v>
          </cell>
          <cell r="S316" t="str">
            <v>-</v>
          </cell>
          <cell r="U316">
            <v>33</v>
          </cell>
          <cell r="V316">
            <v>3</v>
          </cell>
          <cell r="W316">
            <v>0</v>
          </cell>
          <cell r="X316">
            <v>0</v>
          </cell>
          <cell r="Y316">
            <v>0</v>
          </cell>
          <cell r="Z316">
            <v>29</v>
          </cell>
          <cell r="AA316">
            <v>32</v>
          </cell>
          <cell r="AB316">
            <v>3</v>
          </cell>
          <cell r="AC316">
            <v>0</v>
          </cell>
          <cell r="AD316">
            <v>-32</v>
          </cell>
        </row>
        <row r="317">
          <cell r="A317" t="str">
            <v>21.23.04169</v>
          </cell>
          <cell r="B317" t="str">
            <v>ESPACADOR DO ACABAMENTO 03 / AA_9055_00</v>
          </cell>
          <cell r="D317" t="str">
            <v>-</v>
          </cell>
          <cell r="E317" t="str">
            <v>-</v>
          </cell>
          <cell r="F317" t="str">
            <v>-</v>
          </cell>
          <cell r="G317" t="str">
            <v>-</v>
          </cell>
          <cell r="H317" t="str">
            <v>-</v>
          </cell>
          <cell r="I317" t="str">
            <v>-</v>
          </cell>
          <cell r="J317">
            <v>0</v>
          </cell>
          <cell r="K317">
            <v>0</v>
          </cell>
          <cell r="L317" t="str">
            <v>FALTA ENTREGA</v>
          </cell>
          <cell r="M317">
            <v>33</v>
          </cell>
          <cell r="N317" t="str">
            <v>OC'S METALFISA</v>
          </cell>
          <cell r="O317" t="str">
            <v>-</v>
          </cell>
          <cell r="Q317" t="str">
            <v>-</v>
          </cell>
          <cell r="S317" t="str">
            <v>-</v>
          </cell>
          <cell r="U317">
            <v>33</v>
          </cell>
          <cell r="V317">
            <v>4</v>
          </cell>
          <cell r="W317">
            <v>0</v>
          </cell>
          <cell r="X317">
            <v>0</v>
          </cell>
          <cell r="Y317">
            <v>0</v>
          </cell>
          <cell r="Z317">
            <v>29</v>
          </cell>
          <cell r="AA317">
            <v>33</v>
          </cell>
          <cell r="AB317">
            <v>4</v>
          </cell>
          <cell r="AC317">
            <v>0</v>
          </cell>
          <cell r="AD317">
            <v>-33</v>
          </cell>
        </row>
        <row r="318">
          <cell r="A318" t="str">
            <v>21.23.04272</v>
          </cell>
          <cell r="B318" t="str">
            <v>MONTAGEM DA CHAPA DE ACESSO \ AA_6064_01</v>
          </cell>
          <cell r="D318" t="str">
            <v>-</v>
          </cell>
          <cell r="E318" t="str">
            <v>-</v>
          </cell>
          <cell r="F318" t="str">
            <v>-</v>
          </cell>
          <cell r="G318" t="str">
            <v>-</v>
          </cell>
          <cell r="H318" t="str">
            <v>-</v>
          </cell>
          <cell r="I318" t="str">
            <v>-</v>
          </cell>
          <cell r="J318">
            <v>0</v>
          </cell>
          <cell r="K318">
            <v>-1</v>
          </cell>
          <cell r="L318" t="str">
            <v>ENTREGA PARCIAL</v>
          </cell>
          <cell r="M318" t="str">
            <v>-</v>
          </cell>
          <cell r="N318" t="str">
            <v>OC'S METALFISA</v>
          </cell>
          <cell r="O318" t="str">
            <v>-</v>
          </cell>
          <cell r="Q318" t="str">
            <v>-</v>
          </cell>
          <cell r="S318" t="str">
            <v>-</v>
          </cell>
          <cell r="U318">
            <v>0</v>
          </cell>
          <cell r="V318">
            <v>3</v>
          </cell>
          <cell r="W318">
            <v>0</v>
          </cell>
          <cell r="X318">
            <v>0</v>
          </cell>
          <cell r="Y318">
            <v>0</v>
          </cell>
          <cell r="Z318">
            <v>29</v>
          </cell>
          <cell r="AA318">
            <v>32</v>
          </cell>
          <cell r="AB318">
            <v>0</v>
          </cell>
          <cell r="AC318">
            <v>31</v>
          </cell>
          <cell r="AD318">
            <v>-1</v>
          </cell>
        </row>
        <row r="319">
          <cell r="A319" t="str">
            <v>21.23.04335</v>
          </cell>
          <cell r="B319" t="str">
            <v>ACABAMENTO MOTOPOLIA ESQUERDO / AA_9161_00</v>
          </cell>
          <cell r="D319" t="str">
            <v>-</v>
          </cell>
          <cell r="E319" t="str">
            <v>-</v>
          </cell>
          <cell r="F319" t="str">
            <v>-</v>
          </cell>
          <cell r="G319" t="str">
            <v>-</v>
          </cell>
          <cell r="H319" t="str">
            <v>-</v>
          </cell>
          <cell r="I319" t="str">
            <v>-</v>
          </cell>
          <cell r="J319">
            <v>0</v>
          </cell>
          <cell r="K319">
            <v>-2</v>
          </cell>
          <cell r="L319" t="str">
            <v>FALTA ENTREGA</v>
          </cell>
          <cell r="M319" t="str">
            <v>-</v>
          </cell>
          <cell r="N319" t="str">
            <v>OC'S METALFISA</v>
          </cell>
          <cell r="O319" t="str">
            <v>-</v>
          </cell>
          <cell r="Q319" t="str">
            <v>-</v>
          </cell>
          <cell r="S319" t="str">
            <v>-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2</v>
          </cell>
          <cell r="AA319">
            <v>2</v>
          </cell>
          <cell r="AB319">
            <v>0</v>
          </cell>
          <cell r="AC319">
            <v>0</v>
          </cell>
          <cell r="AD319">
            <v>-2</v>
          </cell>
        </row>
        <row r="320">
          <cell r="A320" t="str">
            <v>21.23.04378</v>
          </cell>
          <cell r="B320" t="str">
            <v>ACABAMENTO DIANTEIRO SPECTRUM 6550 / AA_9180_00</v>
          </cell>
          <cell r="D320" t="str">
            <v>-</v>
          </cell>
          <cell r="E320" t="str">
            <v>-</v>
          </cell>
          <cell r="F320" t="str">
            <v>-</v>
          </cell>
          <cell r="G320" t="str">
            <v>-</v>
          </cell>
          <cell r="H320" t="str">
            <v>-</v>
          </cell>
          <cell r="I320" t="str">
            <v>-</v>
          </cell>
          <cell r="J320">
            <v>0</v>
          </cell>
          <cell r="K320">
            <v>-2</v>
          </cell>
          <cell r="L320" t="str">
            <v>FALTA ENTREGA</v>
          </cell>
          <cell r="M320" t="str">
            <v>-</v>
          </cell>
          <cell r="N320" t="str">
            <v>OC'S METALFISA</v>
          </cell>
          <cell r="O320" t="str">
            <v>-</v>
          </cell>
          <cell r="Q320" t="str">
            <v>-</v>
          </cell>
          <cell r="S320" t="str">
            <v>-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2</v>
          </cell>
          <cell r="AA320">
            <v>2</v>
          </cell>
          <cell r="AB320">
            <v>0</v>
          </cell>
          <cell r="AC320">
            <v>0</v>
          </cell>
          <cell r="AD320">
            <v>-2</v>
          </cell>
        </row>
        <row r="321">
          <cell r="A321" t="str">
            <v>21.23.04383</v>
          </cell>
          <cell r="B321" t="str">
            <v>FIXACAO MESA NO EQUIPAMENTO ESQUERDA / AA_9182_03</v>
          </cell>
          <cell r="C321">
            <v>46076</v>
          </cell>
          <cell r="D321" t="str">
            <v>-</v>
          </cell>
          <cell r="E321" t="str">
            <v>-</v>
          </cell>
          <cell r="F321" t="str">
            <v>-</v>
          </cell>
          <cell r="G321" t="str">
            <v>-</v>
          </cell>
          <cell r="H321" t="str">
            <v>-</v>
          </cell>
          <cell r="I321" t="str">
            <v>-</v>
          </cell>
          <cell r="J321">
            <v>0</v>
          </cell>
          <cell r="K321">
            <v>52</v>
          </cell>
          <cell r="L321" t="str">
            <v>FALTA ENTREGA</v>
          </cell>
          <cell r="M321" t="str">
            <v>-</v>
          </cell>
          <cell r="N321" t="str">
            <v>OC'S METALFISA</v>
          </cell>
          <cell r="O321" t="str">
            <v>-</v>
          </cell>
          <cell r="Q321" t="str">
            <v>-</v>
          </cell>
          <cell r="S321">
            <v>60</v>
          </cell>
          <cell r="T321" t="str">
            <v>OC'S MAPHE</v>
          </cell>
          <cell r="U321">
            <v>60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8</v>
          </cell>
          <cell r="AA321">
            <v>8</v>
          </cell>
          <cell r="AB321">
            <v>0</v>
          </cell>
          <cell r="AC321">
            <v>0</v>
          </cell>
          <cell r="AD321">
            <v>-8</v>
          </cell>
        </row>
        <row r="322">
          <cell r="A322" t="str">
            <v>21.23.04451</v>
          </cell>
          <cell r="B322" t="str">
            <v>SUPORTE PLACA DE LED 01 / 03_0702_00</v>
          </cell>
          <cell r="C322">
            <v>46066</v>
          </cell>
          <cell r="D322" t="str">
            <v>-</v>
          </cell>
          <cell r="E322" t="str">
            <v>-</v>
          </cell>
          <cell r="F322" t="str">
            <v>-</v>
          </cell>
          <cell r="G322" t="str">
            <v>-</v>
          </cell>
          <cell r="H322" t="str">
            <v>-</v>
          </cell>
          <cell r="I322" t="str">
            <v>-</v>
          </cell>
          <cell r="J322">
            <v>0</v>
          </cell>
          <cell r="K322">
            <v>17</v>
          </cell>
          <cell r="L322" t="str">
            <v>FALTA ENTREGA</v>
          </cell>
          <cell r="M322" t="str">
            <v>-</v>
          </cell>
          <cell r="N322" t="str">
            <v>OC'S METALFISA</v>
          </cell>
          <cell r="O322" t="str">
            <v>-</v>
          </cell>
          <cell r="Q322">
            <v>63</v>
          </cell>
          <cell r="S322">
            <v>2</v>
          </cell>
          <cell r="T322" t="str">
            <v>OC'S MAPHE</v>
          </cell>
          <cell r="U322">
            <v>65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48</v>
          </cell>
          <cell r="AA322">
            <v>48</v>
          </cell>
          <cell r="AB322">
            <v>0</v>
          </cell>
          <cell r="AC322">
            <v>0</v>
          </cell>
          <cell r="AD322">
            <v>-48</v>
          </cell>
        </row>
        <row r="323">
          <cell r="A323" t="str">
            <v>21.23.04452</v>
          </cell>
          <cell r="B323" t="str">
            <v>SUPORTE PLACA DE LED 02 / 03_0704_00</v>
          </cell>
          <cell r="D323" t="str">
            <v>-</v>
          </cell>
          <cell r="E323" t="str">
            <v>-</v>
          </cell>
          <cell r="F323" t="str">
            <v>-</v>
          </cell>
          <cell r="G323" t="str">
            <v>-</v>
          </cell>
          <cell r="H323" t="str">
            <v>-</v>
          </cell>
          <cell r="I323" t="str">
            <v>-</v>
          </cell>
          <cell r="J323">
            <v>0</v>
          </cell>
          <cell r="K323">
            <v>-6</v>
          </cell>
          <cell r="L323" t="str">
            <v>FALTA ENTREGA</v>
          </cell>
          <cell r="M323" t="str">
            <v>-</v>
          </cell>
          <cell r="N323" t="str">
            <v>OC'S METALFISA</v>
          </cell>
          <cell r="O323" t="str">
            <v>-</v>
          </cell>
          <cell r="Q323">
            <v>49</v>
          </cell>
          <cell r="S323" t="str">
            <v>-</v>
          </cell>
          <cell r="U323">
            <v>49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55</v>
          </cell>
          <cell r="AA323">
            <v>55</v>
          </cell>
          <cell r="AB323">
            <v>0</v>
          </cell>
          <cell r="AC323">
            <v>0</v>
          </cell>
          <cell r="AD323">
            <v>-55</v>
          </cell>
        </row>
        <row r="324">
          <cell r="A324" t="str">
            <v>21.23.04493</v>
          </cell>
          <cell r="B324" t="str">
            <v>REFORCO ESTEIRA BODYSCAN / AA_10045_03</v>
          </cell>
          <cell r="D324">
            <v>2</v>
          </cell>
          <cell r="E324" t="str">
            <v>-</v>
          </cell>
          <cell r="F324" t="str">
            <v>-</v>
          </cell>
          <cell r="G324" t="str">
            <v>-</v>
          </cell>
          <cell r="H324" t="str">
            <v>-</v>
          </cell>
          <cell r="I324" t="str">
            <v>-</v>
          </cell>
          <cell r="J324">
            <v>0</v>
          </cell>
          <cell r="K324">
            <v>-14</v>
          </cell>
          <cell r="L324" t="str">
            <v>FALTA ENTREGA</v>
          </cell>
          <cell r="M324" t="str">
            <v>-</v>
          </cell>
          <cell r="N324" t="str">
            <v>OC'S METALFISA</v>
          </cell>
          <cell r="O324" t="str">
            <v>-</v>
          </cell>
          <cell r="Q324" t="str">
            <v>-</v>
          </cell>
          <cell r="S324" t="str">
            <v>-</v>
          </cell>
          <cell r="U324">
            <v>0</v>
          </cell>
          <cell r="V324">
            <v>0</v>
          </cell>
          <cell r="W324">
            <v>0</v>
          </cell>
          <cell r="X324">
            <v>10</v>
          </cell>
          <cell r="Y324">
            <v>0</v>
          </cell>
          <cell r="Z324">
            <v>6</v>
          </cell>
          <cell r="AA324">
            <v>16</v>
          </cell>
          <cell r="AB324">
            <v>0</v>
          </cell>
          <cell r="AC324">
            <v>0</v>
          </cell>
          <cell r="AD324">
            <v>-16</v>
          </cell>
        </row>
        <row r="325">
          <cell r="A325" t="str">
            <v>21.23.04494</v>
          </cell>
          <cell r="B325" t="str">
            <v>CENTRO DO OBTURADOR / AA_10047_01</v>
          </cell>
          <cell r="C325">
            <v>46074</v>
          </cell>
          <cell r="D325" t="str">
            <v>-</v>
          </cell>
          <cell r="E325" t="str">
            <v>-</v>
          </cell>
          <cell r="F325" t="str">
            <v>-</v>
          </cell>
          <cell r="G325" t="str">
            <v>-</v>
          </cell>
          <cell r="H325" t="str">
            <v>-</v>
          </cell>
          <cell r="I325" t="str">
            <v>-</v>
          </cell>
          <cell r="J325">
            <v>0</v>
          </cell>
          <cell r="K325">
            <v>23</v>
          </cell>
          <cell r="L325" t="str">
            <v>ENTREGA PARCIAL</v>
          </cell>
          <cell r="M325">
            <v>31</v>
          </cell>
          <cell r="N325" t="str">
            <v>OC'S METALFISA</v>
          </cell>
          <cell r="O325" t="str">
            <v>-</v>
          </cell>
          <cell r="Q325">
            <v>1</v>
          </cell>
          <cell r="S325" t="str">
            <v>-</v>
          </cell>
          <cell r="U325">
            <v>32</v>
          </cell>
          <cell r="V325">
            <v>12</v>
          </cell>
          <cell r="W325">
            <v>0</v>
          </cell>
          <cell r="X325">
            <v>0</v>
          </cell>
          <cell r="Y325">
            <v>0</v>
          </cell>
          <cell r="Z325">
            <v>29</v>
          </cell>
          <cell r="AA325">
            <v>41</v>
          </cell>
          <cell r="AB325">
            <v>0</v>
          </cell>
          <cell r="AC325">
            <v>32</v>
          </cell>
          <cell r="AD325">
            <v>-9</v>
          </cell>
        </row>
        <row r="326">
          <cell r="A326" t="str">
            <v>21.23.04495</v>
          </cell>
          <cell r="B326" t="str">
            <v>CAIXA SOLENOIDE / AA_10052_00</v>
          </cell>
          <cell r="D326" t="str">
            <v>-</v>
          </cell>
          <cell r="E326" t="str">
            <v>-</v>
          </cell>
          <cell r="F326" t="str">
            <v>-</v>
          </cell>
          <cell r="G326" t="str">
            <v>-</v>
          </cell>
          <cell r="H326" t="str">
            <v>-</v>
          </cell>
          <cell r="I326" t="str">
            <v>-</v>
          </cell>
          <cell r="J326">
            <v>0</v>
          </cell>
          <cell r="K326">
            <v>-5</v>
          </cell>
          <cell r="L326" t="str">
            <v>FALTA ENTREGA</v>
          </cell>
          <cell r="M326">
            <v>33</v>
          </cell>
          <cell r="N326" t="str">
            <v>OC'S METALFISA</v>
          </cell>
          <cell r="O326" t="str">
            <v>-</v>
          </cell>
          <cell r="Q326" t="str">
            <v>-</v>
          </cell>
          <cell r="S326" t="str">
            <v>-</v>
          </cell>
          <cell r="U326">
            <v>33</v>
          </cell>
          <cell r="V326">
            <v>9</v>
          </cell>
          <cell r="W326">
            <v>0</v>
          </cell>
          <cell r="X326">
            <v>0</v>
          </cell>
          <cell r="Y326">
            <v>0</v>
          </cell>
          <cell r="Z326">
            <v>29</v>
          </cell>
          <cell r="AA326">
            <v>38</v>
          </cell>
          <cell r="AB326">
            <v>9</v>
          </cell>
          <cell r="AC326">
            <v>0</v>
          </cell>
          <cell r="AD326">
            <v>-38</v>
          </cell>
        </row>
        <row r="327">
          <cell r="A327" t="str">
            <v>21.23.04496</v>
          </cell>
          <cell r="B327" t="str">
            <v>SUPORTE FONTE WEG / AA_10053_00</v>
          </cell>
          <cell r="D327" t="str">
            <v>-</v>
          </cell>
          <cell r="E327" t="str">
            <v>-</v>
          </cell>
          <cell r="F327" t="str">
            <v>-</v>
          </cell>
          <cell r="G327" t="str">
            <v>-</v>
          </cell>
          <cell r="H327" t="str">
            <v>-</v>
          </cell>
          <cell r="I327" t="str">
            <v>-</v>
          </cell>
          <cell r="J327">
            <v>0</v>
          </cell>
          <cell r="K327">
            <v>1</v>
          </cell>
          <cell r="L327" t="str">
            <v>ENTREGA PARCIAL</v>
          </cell>
          <cell r="M327">
            <v>8</v>
          </cell>
          <cell r="N327" t="str">
            <v>OC'S METALFISA</v>
          </cell>
          <cell r="O327" t="str">
            <v>-</v>
          </cell>
          <cell r="Q327" t="str">
            <v>-</v>
          </cell>
          <cell r="S327" t="str">
            <v>-</v>
          </cell>
          <cell r="U327">
            <v>8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8</v>
          </cell>
          <cell r="AA327">
            <v>8</v>
          </cell>
          <cell r="AB327">
            <v>0</v>
          </cell>
          <cell r="AC327">
            <v>1</v>
          </cell>
          <cell r="AD327">
            <v>-7</v>
          </cell>
        </row>
        <row r="328">
          <cell r="A328" t="str">
            <v>21.23.04497</v>
          </cell>
          <cell r="B328" t="str">
            <v>SUPORTE FONTE WEG / AA_10055_02</v>
          </cell>
          <cell r="C328">
            <v>46066</v>
          </cell>
          <cell r="D328" t="str">
            <v>-</v>
          </cell>
          <cell r="E328" t="str">
            <v>-</v>
          </cell>
          <cell r="F328" t="str">
            <v>-</v>
          </cell>
          <cell r="G328" t="str">
            <v>-</v>
          </cell>
          <cell r="H328" t="str">
            <v>-</v>
          </cell>
          <cell r="I328" t="str">
            <v>-</v>
          </cell>
          <cell r="J328">
            <v>0</v>
          </cell>
          <cell r="K328">
            <v>7</v>
          </cell>
          <cell r="L328" t="str">
            <v>ENTREGA PARCIAL</v>
          </cell>
          <cell r="M328">
            <v>3</v>
          </cell>
          <cell r="N328" t="str">
            <v>OC'S METALFISA</v>
          </cell>
          <cell r="O328">
            <v>12</v>
          </cell>
          <cell r="P328" t="str">
            <v>OC'S GRANATO</v>
          </cell>
          <cell r="Q328" t="str">
            <v>-</v>
          </cell>
          <cell r="S328" t="str">
            <v>-</v>
          </cell>
          <cell r="U328">
            <v>15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10</v>
          </cell>
          <cell r="AA328">
            <v>10</v>
          </cell>
          <cell r="AB328">
            <v>0</v>
          </cell>
          <cell r="AC328">
            <v>2</v>
          </cell>
          <cell r="AD328">
            <v>-8</v>
          </cell>
        </row>
        <row r="329">
          <cell r="A329" t="str">
            <v>21.23.04498</v>
          </cell>
          <cell r="B329" t="str">
            <v>TAMPA FONTE WEG / AA_10056_00</v>
          </cell>
          <cell r="C329">
            <v>46072</v>
          </cell>
          <cell r="D329" t="str">
            <v>-</v>
          </cell>
          <cell r="E329" t="str">
            <v>-</v>
          </cell>
          <cell r="F329" t="str">
            <v>-</v>
          </cell>
          <cell r="G329" t="str">
            <v>-</v>
          </cell>
          <cell r="H329" t="str">
            <v>-</v>
          </cell>
          <cell r="I329" t="str">
            <v>-</v>
          </cell>
          <cell r="J329">
            <v>0</v>
          </cell>
          <cell r="K329">
            <v>18</v>
          </cell>
          <cell r="L329" t="str">
            <v>ENTREGA PARCIAL</v>
          </cell>
          <cell r="M329">
            <v>5</v>
          </cell>
          <cell r="N329" t="str">
            <v>OC'S METALFISA</v>
          </cell>
          <cell r="O329">
            <v>10</v>
          </cell>
          <cell r="P329" t="str">
            <v>OC'S GRANATO</v>
          </cell>
          <cell r="Q329">
            <v>10</v>
          </cell>
          <cell r="S329" t="str">
            <v>-</v>
          </cell>
          <cell r="U329">
            <v>25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13</v>
          </cell>
          <cell r="AA329">
            <v>13</v>
          </cell>
          <cell r="AB329">
            <v>0</v>
          </cell>
          <cell r="AC329">
            <v>6</v>
          </cell>
          <cell r="AD329">
            <v>-7</v>
          </cell>
        </row>
        <row r="330">
          <cell r="A330" t="str">
            <v>21.23.04506</v>
          </cell>
          <cell r="B330" t="str">
            <v>TRAVA PARA TRANSPORTE SUPERIOR / AA_9548_00</v>
          </cell>
          <cell r="C330">
            <v>46059</v>
          </cell>
          <cell r="D330" t="str">
            <v>-</v>
          </cell>
          <cell r="E330" t="str">
            <v>-</v>
          </cell>
          <cell r="F330" t="str">
            <v>-</v>
          </cell>
          <cell r="G330" t="str">
            <v>-</v>
          </cell>
          <cell r="H330" t="str">
            <v>-</v>
          </cell>
          <cell r="I330" t="str">
            <v>-</v>
          </cell>
          <cell r="J330">
            <v>0</v>
          </cell>
          <cell r="K330" t="e">
            <v>#VALUE!</v>
          </cell>
          <cell r="L330" t="str">
            <v>ENTREGA TOTAL</v>
          </cell>
          <cell r="M330">
            <v>65</v>
          </cell>
          <cell r="N330" t="str">
            <v>OC'S METALFISA</v>
          </cell>
          <cell r="O330" t="str">
            <v>-</v>
          </cell>
          <cell r="Q330" t="str">
            <v>-</v>
          </cell>
          <cell r="S330" t="str">
            <v>-</v>
          </cell>
          <cell r="U330">
            <v>65</v>
          </cell>
          <cell r="V330">
            <v>6</v>
          </cell>
          <cell r="W330">
            <v>0</v>
          </cell>
          <cell r="X330">
            <v>0</v>
          </cell>
          <cell r="Y330">
            <v>0</v>
          </cell>
          <cell r="Z330">
            <v>58</v>
          </cell>
          <cell r="AA330">
            <v>64</v>
          </cell>
          <cell r="AB330" t="str">
            <v>0</v>
          </cell>
          <cell r="AC330" t="str">
            <v>-</v>
          </cell>
          <cell r="AD330" t="str">
            <v>-</v>
          </cell>
        </row>
        <row r="331">
          <cell r="A331" t="str">
            <v>21.23.04507</v>
          </cell>
          <cell r="B331" t="str">
            <v>TRAVA DO MEIO PARA TRANSPORTE / AA_9427_00</v>
          </cell>
          <cell r="D331" t="str">
            <v>-</v>
          </cell>
          <cell r="E331" t="str">
            <v>-</v>
          </cell>
          <cell r="F331" t="str">
            <v>-</v>
          </cell>
          <cell r="G331" t="str">
            <v>-</v>
          </cell>
          <cell r="H331" t="str">
            <v>-</v>
          </cell>
          <cell r="I331" t="str">
            <v>-</v>
          </cell>
          <cell r="J331">
            <v>0</v>
          </cell>
          <cell r="K331">
            <v>-1</v>
          </cell>
          <cell r="L331" t="str">
            <v>FALTA ENTREGA</v>
          </cell>
          <cell r="M331">
            <v>1</v>
          </cell>
          <cell r="N331" t="str">
            <v>OC'S METALFISA</v>
          </cell>
          <cell r="O331" t="str">
            <v>-</v>
          </cell>
          <cell r="Q331" t="str">
            <v>-</v>
          </cell>
          <cell r="S331" t="str">
            <v>-</v>
          </cell>
          <cell r="U331">
            <v>1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2</v>
          </cell>
          <cell r="AA331">
            <v>2</v>
          </cell>
          <cell r="AB331">
            <v>0</v>
          </cell>
          <cell r="AC331">
            <v>0</v>
          </cell>
          <cell r="AD331">
            <v>-2</v>
          </cell>
        </row>
        <row r="332">
          <cell r="A332" t="str">
            <v>21.23.04558</v>
          </cell>
          <cell r="B332" t="str">
            <v>TRAVA PARA ROLAMENTO / AA_10132_00</v>
          </cell>
          <cell r="C332">
            <v>46074</v>
          </cell>
          <cell r="D332" t="str">
            <v>-</v>
          </cell>
          <cell r="E332" t="str">
            <v>-</v>
          </cell>
          <cell r="F332" t="str">
            <v>-</v>
          </cell>
          <cell r="G332" t="str">
            <v>-</v>
          </cell>
          <cell r="H332" t="str">
            <v>-</v>
          </cell>
          <cell r="I332" t="str">
            <v>-</v>
          </cell>
          <cell r="J332">
            <v>0</v>
          </cell>
          <cell r="K332">
            <v>59</v>
          </cell>
          <cell r="L332" t="str">
            <v>ENTREGA TOTAL</v>
          </cell>
          <cell r="M332">
            <v>35</v>
          </cell>
          <cell r="N332" t="str">
            <v>OC'S METALFISA</v>
          </cell>
          <cell r="O332" t="str">
            <v>-</v>
          </cell>
          <cell r="Q332" t="str">
            <v>-</v>
          </cell>
          <cell r="S332" t="str">
            <v>-</v>
          </cell>
          <cell r="U332">
            <v>35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11</v>
          </cell>
          <cell r="AA332">
            <v>11</v>
          </cell>
          <cell r="AB332">
            <v>0</v>
          </cell>
          <cell r="AC332">
            <v>35</v>
          </cell>
          <cell r="AD332">
            <v>24</v>
          </cell>
        </row>
        <row r="333">
          <cell r="A333" t="str">
            <v>21.23.04564</v>
          </cell>
          <cell r="B333" t="str">
            <v>SUPORTE PARA O GERADOR VMI 01 / AA_9243_01</v>
          </cell>
          <cell r="D333" t="str">
            <v>-</v>
          </cell>
          <cell r="E333" t="str">
            <v>-</v>
          </cell>
          <cell r="F333" t="str">
            <v>-</v>
          </cell>
          <cell r="G333" t="str">
            <v>-</v>
          </cell>
          <cell r="H333" t="str">
            <v>-</v>
          </cell>
          <cell r="I333" t="str">
            <v>-</v>
          </cell>
          <cell r="J333">
            <v>0</v>
          </cell>
          <cell r="K333">
            <v>-1</v>
          </cell>
          <cell r="L333" t="str">
            <v>FALTA ENTREGA</v>
          </cell>
          <cell r="M333" t="str">
            <v>-</v>
          </cell>
          <cell r="N333" t="str">
            <v>OC'S METALFISA</v>
          </cell>
          <cell r="O333" t="str">
            <v>-</v>
          </cell>
          <cell r="Q333" t="str">
            <v>-</v>
          </cell>
          <cell r="S333" t="str">
            <v>-</v>
          </cell>
          <cell r="U333">
            <v>0</v>
          </cell>
          <cell r="V333">
            <v>1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1</v>
          </cell>
          <cell r="AB333">
            <v>0</v>
          </cell>
          <cell r="AC333">
            <v>0</v>
          </cell>
          <cell r="AD333">
            <v>-1</v>
          </cell>
        </row>
        <row r="334">
          <cell r="A334" t="str">
            <v>21.23.04565</v>
          </cell>
          <cell r="B334" t="str">
            <v>SUPORTE PARA O GERADOR VMI 02 / AA_9244_01</v>
          </cell>
          <cell r="D334" t="str">
            <v>-</v>
          </cell>
          <cell r="E334" t="str">
            <v>-</v>
          </cell>
          <cell r="F334" t="str">
            <v>-</v>
          </cell>
          <cell r="G334" t="str">
            <v>-</v>
          </cell>
          <cell r="H334" t="str">
            <v>-</v>
          </cell>
          <cell r="I334" t="str">
            <v>-</v>
          </cell>
          <cell r="J334">
            <v>0</v>
          </cell>
          <cell r="K334">
            <v>-1</v>
          </cell>
          <cell r="L334" t="str">
            <v>FALTA ENTREGA</v>
          </cell>
          <cell r="M334" t="str">
            <v>-</v>
          </cell>
          <cell r="N334" t="str">
            <v>OC'S METALFISA</v>
          </cell>
          <cell r="O334" t="str">
            <v>-</v>
          </cell>
          <cell r="Q334" t="str">
            <v>-</v>
          </cell>
          <cell r="S334" t="str">
            <v>-</v>
          </cell>
          <cell r="U334">
            <v>0</v>
          </cell>
          <cell r="V334">
            <v>1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1</v>
          </cell>
          <cell r="AB334">
            <v>0</v>
          </cell>
          <cell r="AC334">
            <v>0</v>
          </cell>
          <cell r="AD334">
            <v>-1</v>
          </cell>
        </row>
        <row r="335">
          <cell r="A335" t="str">
            <v>21.23.04566</v>
          </cell>
          <cell r="B335" t="str">
            <v>SUPORTE PARA O GERADOR VMI 03 / AA_9246_01</v>
          </cell>
          <cell r="D335" t="str">
            <v>-</v>
          </cell>
          <cell r="E335" t="str">
            <v>-</v>
          </cell>
          <cell r="F335" t="str">
            <v>-</v>
          </cell>
          <cell r="G335" t="str">
            <v>-</v>
          </cell>
          <cell r="H335" t="str">
            <v>-</v>
          </cell>
          <cell r="I335" t="str">
            <v>-</v>
          </cell>
          <cell r="J335">
            <v>0</v>
          </cell>
          <cell r="K335">
            <v>-1</v>
          </cell>
          <cell r="L335" t="str">
            <v>FALTA ENTREGA</v>
          </cell>
          <cell r="M335" t="str">
            <v>-</v>
          </cell>
          <cell r="N335" t="str">
            <v>OC'S METALFISA</v>
          </cell>
          <cell r="O335" t="str">
            <v>-</v>
          </cell>
          <cell r="Q335" t="str">
            <v>-</v>
          </cell>
          <cell r="S335" t="str">
            <v>-</v>
          </cell>
          <cell r="U335">
            <v>0</v>
          </cell>
          <cell r="V335">
            <v>1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1</v>
          </cell>
          <cell r="AB335">
            <v>0</v>
          </cell>
          <cell r="AC335">
            <v>0</v>
          </cell>
          <cell r="AD335">
            <v>-1</v>
          </cell>
        </row>
        <row r="336">
          <cell r="A336" t="str">
            <v>21.23.04567</v>
          </cell>
          <cell r="B336" t="str">
            <v>SUPORTE PARA O GERADOR VMI 04 / AA_9247_01</v>
          </cell>
          <cell r="D336" t="str">
            <v>-</v>
          </cell>
          <cell r="E336" t="str">
            <v>-</v>
          </cell>
          <cell r="F336" t="str">
            <v>-</v>
          </cell>
          <cell r="G336" t="str">
            <v>-</v>
          </cell>
          <cell r="H336" t="str">
            <v>-</v>
          </cell>
          <cell r="I336" t="str">
            <v>-</v>
          </cell>
          <cell r="J336">
            <v>0</v>
          </cell>
          <cell r="K336">
            <v>-1</v>
          </cell>
          <cell r="L336" t="str">
            <v>FALTA ENTREGA</v>
          </cell>
          <cell r="M336" t="str">
            <v>-</v>
          </cell>
          <cell r="N336" t="str">
            <v>OC'S METALFISA</v>
          </cell>
          <cell r="O336" t="str">
            <v>-</v>
          </cell>
          <cell r="Q336" t="str">
            <v>-</v>
          </cell>
          <cell r="S336" t="str">
            <v>-</v>
          </cell>
          <cell r="U336">
            <v>0</v>
          </cell>
          <cell r="V336">
            <v>1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1</v>
          </cell>
          <cell r="AB336">
            <v>0</v>
          </cell>
          <cell r="AC336">
            <v>0</v>
          </cell>
          <cell r="AD336">
            <v>-1</v>
          </cell>
        </row>
        <row r="337">
          <cell r="A337" t="str">
            <v>21.23.04568</v>
          </cell>
          <cell r="B337" t="str">
            <v>REFORCO INFERIOR / AA_10140_00</v>
          </cell>
          <cell r="C337">
            <v>46066</v>
          </cell>
          <cell r="D337" t="str">
            <v>-</v>
          </cell>
          <cell r="E337" t="str">
            <v>-</v>
          </cell>
          <cell r="F337" t="str">
            <v>-</v>
          </cell>
          <cell r="G337" t="str">
            <v>-</v>
          </cell>
          <cell r="H337" t="str">
            <v>-</v>
          </cell>
          <cell r="I337" t="str">
            <v>-</v>
          </cell>
          <cell r="J337">
            <v>0</v>
          </cell>
          <cell r="K337">
            <v>40</v>
          </cell>
          <cell r="L337" t="str">
            <v>ENTREGA TOTAL</v>
          </cell>
          <cell r="M337" t="str">
            <v>-</v>
          </cell>
          <cell r="N337" t="str">
            <v>OC'S METALFISA</v>
          </cell>
          <cell r="O337" t="str">
            <v>-</v>
          </cell>
          <cell r="Q337" t="str">
            <v>-</v>
          </cell>
          <cell r="S337">
            <v>40</v>
          </cell>
          <cell r="T337" t="str">
            <v>OC'S MAPHE</v>
          </cell>
          <cell r="U337">
            <v>40</v>
          </cell>
          <cell r="V337">
            <v>10</v>
          </cell>
          <cell r="W337">
            <v>10</v>
          </cell>
          <cell r="X337">
            <v>0</v>
          </cell>
          <cell r="Y337">
            <v>0</v>
          </cell>
          <cell r="Z337">
            <v>20</v>
          </cell>
          <cell r="AA337">
            <v>40</v>
          </cell>
          <cell r="AB337">
            <v>0</v>
          </cell>
          <cell r="AC337">
            <v>40</v>
          </cell>
          <cell r="AD337">
            <v>0</v>
          </cell>
        </row>
        <row r="338">
          <cell r="A338" t="str">
            <v>21.23.04569</v>
          </cell>
          <cell r="B338" t="str">
            <v>LIMITADOR / AA_10139_00</v>
          </cell>
          <cell r="C338">
            <v>46066</v>
          </cell>
          <cell r="D338" t="str">
            <v>-</v>
          </cell>
          <cell r="E338" t="str">
            <v>-</v>
          </cell>
          <cell r="F338" t="str">
            <v>-</v>
          </cell>
          <cell r="G338" t="str">
            <v>-</v>
          </cell>
          <cell r="H338" t="str">
            <v>-</v>
          </cell>
          <cell r="I338" t="str">
            <v>-</v>
          </cell>
          <cell r="J338">
            <v>0</v>
          </cell>
          <cell r="K338">
            <v>112</v>
          </cell>
          <cell r="L338" t="str">
            <v>ENTREGA TOTAL</v>
          </cell>
          <cell r="M338" t="str">
            <v>-</v>
          </cell>
          <cell r="N338" t="str">
            <v>OC'S METALFISA</v>
          </cell>
          <cell r="O338" t="str">
            <v>-</v>
          </cell>
          <cell r="Q338">
            <v>28</v>
          </cell>
          <cell r="S338">
            <v>80</v>
          </cell>
          <cell r="T338" t="str">
            <v>OC'S MAPHE</v>
          </cell>
          <cell r="U338">
            <v>108</v>
          </cell>
          <cell r="V338">
            <v>44</v>
          </cell>
          <cell r="W338">
            <v>20</v>
          </cell>
          <cell r="X338">
            <v>0</v>
          </cell>
          <cell r="Y338">
            <v>0</v>
          </cell>
          <cell r="Z338">
            <v>40</v>
          </cell>
          <cell r="AA338">
            <v>104</v>
          </cell>
          <cell r="AB338">
            <v>0</v>
          </cell>
          <cell r="AC338">
            <v>108</v>
          </cell>
          <cell r="AD338">
            <v>4</v>
          </cell>
        </row>
        <row r="339">
          <cell r="A339" t="str">
            <v>21.23.04593</v>
          </cell>
          <cell r="B339" t="str">
            <v>ABRACADEIRA DO CHUMBO DA BOTA / AA_9698_01</v>
          </cell>
          <cell r="C339">
            <v>46074</v>
          </cell>
          <cell r="D339" t="str">
            <v>-</v>
          </cell>
          <cell r="E339" t="str">
            <v>-</v>
          </cell>
          <cell r="F339" t="str">
            <v>-</v>
          </cell>
          <cell r="G339" t="str">
            <v>-</v>
          </cell>
          <cell r="H339" t="str">
            <v>-</v>
          </cell>
          <cell r="I339" t="str">
            <v>-</v>
          </cell>
          <cell r="J339">
            <v>0</v>
          </cell>
          <cell r="K339">
            <v>14</v>
          </cell>
          <cell r="L339" t="str">
            <v>ENTREGA PARCIAL</v>
          </cell>
          <cell r="M339">
            <v>21</v>
          </cell>
          <cell r="N339" t="str">
            <v>OC'S METALFISA</v>
          </cell>
          <cell r="O339" t="str">
            <v>-</v>
          </cell>
          <cell r="Q339" t="str">
            <v>-</v>
          </cell>
          <cell r="S339" t="str">
            <v>-</v>
          </cell>
          <cell r="U339">
            <v>21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21</v>
          </cell>
          <cell r="AA339">
            <v>21</v>
          </cell>
          <cell r="AB339">
            <v>0</v>
          </cell>
          <cell r="AC339">
            <v>14</v>
          </cell>
          <cell r="AD339">
            <v>-7</v>
          </cell>
        </row>
        <row r="340">
          <cell r="A340" t="str">
            <v>21.23.04598</v>
          </cell>
          <cell r="B340" t="str">
            <v>SUPORTE FIM DE CURSO / AA_10147_00</v>
          </cell>
          <cell r="C340">
            <v>46074</v>
          </cell>
          <cell r="D340" t="str">
            <v>-</v>
          </cell>
          <cell r="E340" t="str">
            <v>-</v>
          </cell>
          <cell r="F340" t="str">
            <v>-</v>
          </cell>
          <cell r="G340" t="str">
            <v>-</v>
          </cell>
          <cell r="H340" t="str">
            <v>-</v>
          </cell>
          <cell r="I340" t="str">
            <v>-</v>
          </cell>
          <cell r="J340">
            <v>0</v>
          </cell>
          <cell r="K340">
            <v>6</v>
          </cell>
          <cell r="L340" t="str">
            <v>ENTREGA PARCIAL</v>
          </cell>
          <cell r="M340">
            <v>9</v>
          </cell>
          <cell r="N340" t="str">
            <v>OC'S METALFISA</v>
          </cell>
          <cell r="O340" t="str">
            <v>-</v>
          </cell>
          <cell r="Q340" t="str">
            <v>-</v>
          </cell>
          <cell r="S340" t="str">
            <v>-</v>
          </cell>
          <cell r="U340">
            <v>9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9</v>
          </cell>
          <cell r="AA340">
            <v>9</v>
          </cell>
          <cell r="AB340">
            <v>0</v>
          </cell>
          <cell r="AC340">
            <v>6</v>
          </cell>
          <cell r="AD340">
            <v>-3</v>
          </cell>
        </row>
        <row r="341">
          <cell r="A341" t="str">
            <v>21.23.04599</v>
          </cell>
          <cell r="B341" t="str">
            <v>FIXACAO DA CAMERA / AA_10148_00</v>
          </cell>
          <cell r="D341" t="str">
            <v>-</v>
          </cell>
          <cell r="E341" t="str">
            <v>-</v>
          </cell>
          <cell r="F341" t="str">
            <v>-</v>
          </cell>
          <cell r="G341" t="str">
            <v>-</v>
          </cell>
          <cell r="H341" t="str">
            <v>-</v>
          </cell>
          <cell r="I341" t="str">
            <v>-</v>
          </cell>
          <cell r="J341">
            <v>0</v>
          </cell>
          <cell r="K341">
            <v>0</v>
          </cell>
          <cell r="L341" t="str">
            <v>FALTA ENTREGA</v>
          </cell>
          <cell r="M341">
            <v>3</v>
          </cell>
          <cell r="N341" t="str">
            <v>OC'S METALFISA</v>
          </cell>
          <cell r="O341" t="str">
            <v>-</v>
          </cell>
          <cell r="Q341" t="str">
            <v>-</v>
          </cell>
          <cell r="S341" t="str">
            <v>-</v>
          </cell>
          <cell r="U341">
            <v>3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3</v>
          </cell>
          <cell r="AA341">
            <v>3</v>
          </cell>
          <cell r="AB341">
            <v>0</v>
          </cell>
          <cell r="AC341">
            <v>0</v>
          </cell>
          <cell r="AD341">
            <v>-3</v>
          </cell>
        </row>
        <row r="342">
          <cell r="A342" t="str">
            <v>21.23.04600</v>
          </cell>
          <cell r="B342" t="str">
            <v>FIXACAO DA CAMERA / AA_10150_00</v>
          </cell>
          <cell r="D342" t="str">
            <v>-</v>
          </cell>
          <cell r="E342" t="str">
            <v>-</v>
          </cell>
          <cell r="F342" t="str">
            <v>-</v>
          </cell>
          <cell r="G342" t="str">
            <v>-</v>
          </cell>
          <cell r="H342" t="str">
            <v>-</v>
          </cell>
          <cell r="I342" t="str">
            <v>-</v>
          </cell>
          <cell r="J342">
            <v>0</v>
          </cell>
          <cell r="K342">
            <v>0</v>
          </cell>
          <cell r="L342" t="str">
            <v>FALTA ENTREGA</v>
          </cell>
          <cell r="M342">
            <v>3</v>
          </cell>
          <cell r="N342" t="str">
            <v>OC'S METALFISA</v>
          </cell>
          <cell r="O342" t="str">
            <v>-</v>
          </cell>
          <cell r="Q342" t="str">
            <v>-</v>
          </cell>
          <cell r="S342" t="str">
            <v>-</v>
          </cell>
          <cell r="U342">
            <v>3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3</v>
          </cell>
          <cell r="AA342">
            <v>3</v>
          </cell>
          <cell r="AB342">
            <v>0</v>
          </cell>
          <cell r="AC342">
            <v>0</v>
          </cell>
          <cell r="AD342">
            <v>-3</v>
          </cell>
        </row>
        <row r="343">
          <cell r="A343" t="str">
            <v>21.23.04601</v>
          </cell>
          <cell r="B343" t="str">
            <v>ABRACADEIRA MENOR PARA BOTA / AA_9699_01</v>
          </cell>
          <cell r="D343" t="str">
            <v>-</v>
          </cell>
          <cell r="E343" t="str">
            <v>-</v>
          </cell>
          <cell r="F343" t="str">
            <v>-</v>
          </cell>
          <cell r="G343" t="str">
            <v>-</v>
          </cell>
          <cell r="H343" t="str">
            <v>-</v>
          </cell>
          <cell r="I343" t="str">
            <v>-</v>
          </cell>
          <cell r="J343">
            <v>0</v>
          </cell>
          <cell r="K343">
            <v>0</v>
          </cell>
          <cell r="L343" t="str">
            <v>FALTA ENTREGA</v>
          </cell>
          <cell r="M343">
            <v>6</v>
          </cell>
          <cell r="N343" t="str">
            <v>OC'S METALFISA</v>
          </cell>
          <cell r="O343" t="str">
            <v>-</v>
          </cell>
          <cell r="Q343" t="str">
            <v>-</v>
          </cell>
          <cell r="S343" t="str">
            <v>-</v>
          </cell>
          <cell r="U343">
            <v>6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6</v>
          </cell>
          <cell r="AA343">
            <v>6</v>
          </cell>
          <cell r="AB343">
            <v>0</v>
          </cell>
          <cell r="AC343">
            <v>0</v>
          </cell>
          <cell r="AD343">
            <v>-6</v>
          </cell>
        </row>
        <row r="344">
          <cell r="A344" t="str">
            <v>21.23.04602</v>
          </cell>
          <cell r="B344" t="str">
            <v>SUPORTE DO ACRILICO DO GERADOR VMI 02 / AA_9701_00</v>
          </cell>
          <cell r="D344" t="str">
            <v>-</v>
          </cell>
          <cell r="E344" t="str">
            <v>-</v>
          </cell>
          <cell r="F344" t="str">
            <v>-</v>
          </cell>
          <cell r="G344" t="str">
            <v>-</v>
          </cell>
          <cell r="H344" t="str">
            <v>-</v>
          </cell>
          <cell r="I344" t="str">
            <v>-</v>
          </cell>
          <cell r="J344">
            <v>0</v>
          </cell>
          <cell r="K344">
            <v>0</v>
          </cell>
          <cell r="L344" t="str">
            <v>FALTA ENTREGA</v>
          </cell>
          <cell r="M344">
            <v>6</v>
          </cell>
          <cell r="N344" t="str">
            <v>OC'S METALFISA</v>
          </cell>
          <cell r="O344" t="str">
            <v>-</v>
          </cell>
          <cell r="Q344" t="str">
            <v>-</v>
          </cell>
          <cell r="S344" t="str">
            <v>-</v>
          </cell>
          <cell r="U344">
            <v>6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6</v>
          </cell>
          <cell r="AA344">
            <v>6</v>
          </cell>
          <cell r="AB344">
            <v>0</v>
          </cell>
          <cell r="AC344">
            <v>0</v>
          </cell>
          <cell r="AD344">
            <v>-6</v>
          </cell>
        </row>
        <row r="345">
          <cell r="A345" t="str">
            <v>21.23.04605</v>
          </cell>
          <cell r="B345" t="str">
            <v>DISTANCIADOR PARA O TUBO / AA_9702_00</v>
          </cell>
          <cell r="D345" t="str">
            <v>-</v>
          </cell>
          <cell r="E345" t="str">
            <v>-</v>
          </cell>
          <cell r="F345" t="str">
            <v>-</v>
          </cell>
          <cell r="G345" t="str">
            <v>-</v>
          </cell>
          <cell r="H345" t="str">
            <v>-</v>
          </cell>
          <cell r="I345" t="str">
            <v>-</v>
          </cell>
          <cell r="J345">
            <v>0</v>
          </cell>
          <cell r="K345">
            <v>0</v>
          </cell>
          <cell r="L345" t="str">
            <v>FALTA ENTREGA</v>
          </cell>
          <cell r="M345">
            <v>10</v>
          </cell>
          <cell r="N345" t="str">
            <v>OC'S METALFISA</v>
          </cell>
          <cell r="O345" t="str">
            <v>-</v>
          </cell>
          <cell r="Q345" t="str">
            <v>-</v>
          </cell>
          <cell r="S345" t="str">
            <v>-</v>
          </cell>
          <cell r="U345">
            <v>10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10</v>
          </cell>
          <cell r="AA345">
            <v>10</v>
          </cell>
          <cell r="AB345">
            <v>0</v>
          </cell>
          <cell r="AC345">
            <v>0</v>
          </cell>
          <cell r="AD345">
            <v>-10</v>
          </cell>
        </row>
        <row r="346">
          <cell r="A346" t="str">
            <v>21.23.04608</v>
          </cell>
          <cell r="B346" t="str">
            <v>TRAVE DA MESA DIREITA / AA_9710_03</v>
          </cell>
          <cell r="D346" t="str">
            <v>-</v>
          </cell>
          <cell r="E346" t="str">
            <v>-</v>
          </cell>
          <cell r="F346" t="str">
            <v>-</v>
          </cell>
          <cell r="G346" t="str">
            <v>-</v>
          </cell>
          <cell r="H346" t="str">
            <v>-</v>
          </cell>
          <cell r="I346" t="str">
            <v>-</v>
          </cell>
          <cell r="J346">
            <v>0</v>
          </cell>
          <cell r="K346">
            <v>-1</v>
          </cell>
          <cell r="L346" t="str">
            <v>FALTA ENTREGA</v>
          </cell>
          <cell r="M346">
            <v>2</v>
          </cell>
          <cell r="N346" t="str">
            <v>OC'S METALFISA</v>
          </cell>
          <cell r="O346" t="str">
            <v>-</v>
          </cell>
          <cell r="Q346" t="str">
            <v>-</v>
          </cell>
          <cell r="S346" t="str">
            <v>-</v>
          </cell>
          <cell r="U346">
            <v>2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3</v>
          </cell>
          <cell r="AA346">
            <v>3</v>
          </cell>
          <cell r="AB346">
            <v>0</v>
          </cell>
          <cell r="AC346">
            <v>0</v>
          </cell>
          <cell r="AD346">
            <v>-3</v>
          </cell>
        </row>
        <row r="347">
          <cell r="A347" t="str">
            <v>21.23.04617</v>
          </cell>
          <cell r="B347" t="str">
            <v>SUPORTE BANDEJA CPU / AA_8200_00</v>
          </cell>
          <cell r="D347" t="str">
            <v>-</v>
          </cell>
          <cell r="E347" t="str">
            <v>-</v>
          </cell>
          <cell r="F347" t="str">
            <v>-</v>
          </cell>
          <cell r="G347" t="str">
            <v>-</v>
          </cell>
          <cell r="H347" t="str">
            <v>-</v>
          </cell>
          <cell r="I347" t="str">
            <v>-</v>
          </cell>
          <cell r="J347">
            <v>0</v>
          </cell>
          <cell r="K347">
            <v>0</v>
          </cell>
          <cell r="L347" t="str">
            <v>FALTA ENTREGA</v>
          </cell>
          <cell r="M347">
            <v>4</v>
          </cell>
          <cell r="N347" t="str">
            <v>OC'S METALFISA</v>
          </cell>
          <cell r="O347" t="str">
            <v>-</v>
          </cell>
          <cell r="Q347" t="str">
            <v>-</v>
          </cell>
          <cell r="S347" t="str">
            <v>-</v>
          </cell>
          <cell r="U347">
            <v>4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4</v>
          </cell>
          <cell r="AA347">
            <v>4</v>
          </cell>
          <cell r="AB347">
            <v>0</v>
          </cell>
          <cell r="AC347">
            <v>0</v>
          </cell>
          <cell r="AD347">
            <v>-4</v>
          </cell>
        </row>
        <row r="348">
          <cell r="A348" t="str">
            <v>21.23.04618</v>
          </cell>
          <cell r="B348" t="str">
            <v>CHAPA PROTECAO LATERAL / AA_8202_00</v>
          </cell>
          <cell r="D348" t="str">
            <v>-</v>
          </cell>
          <cell r="E348" t="str">
            <v>-</v>
          </cell>
          <cell r="F348" t="str">
            <v>-</v>
          </cell>
          <cell r="G348" t="str">
            <v>-</v>
          </cell>
          <cell r="H348" t="str">
            <v>-</v>
          </cell>
          <cell r="I348" t="str">
            <v>-</v>
          </cell>
          <cell r="J348">
            <v>0</v>
          </cell>
          <cell r="K348">
            <v>0</v>
          </cell>
          <cell r="L348" t="str">
            <v>FALTA ENTREGA</v>
          </cell>
          <cell r="M348">
            <v>3</v>
          </cell>
          <cell r="N348" t="str">
            <v>OC'S METALFISA</v>
          </cell>
          <cell r="O348" t="str">
            <v>-</v>
          </cell>
          <cell r="Q348" t="str">
            <v>-</v>
          </cell>
          <cell r="S348" t="str">
            <v>-</v>
          </cell>
          <cell r="U348">
            <v>3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3</v>
          </cell>
          <cell r="AA348">
            <v>3</v>
          </cell>
          <cell r="AB348">
            <v>0</v>
          </cell>
          <cell r="AC348">
            <v>0</v>
          </cell>
          <cell r="AD348">
            <v>-3</v>
          </cell>
        </row>
        <row r="349">
          <cell r="A349" t="str">
            <v>21.23.04620</v>
          </cell>
          <cell r="B349" t="str">
            <v>SUPORTE MAIOR INTERLOCK / AA_8205_01</v>
          </cell>
          <cell r="D349" t="str">
            <v>-</v>
          </cell>
          <cell r="E349" t="str">
            <v>-</v>
          </cell>
          <cell r="F349" t="str">
            <v>-</v>
          </cell>
          <cell r="G349" t="str">
            <v>-</v>
          </cell>
          <cell r="H349" t="str">
            <v>-</v>
          </cell>
          <cell r="I349" t="str">
            <v>-</v>
          </cell>
          <cell r="J349">
            <v>0</v>
          </cell>
          <cell r="K349">
            <v>-1</v>
          </cell>
          <cell r="L349" t="str">
            <v>ENTREGA PARCIAL</v>
          </cell>
          <cell r="M349">
            <v>1</v>
          </cell>
          <cell r="N349" t="str">
            <v>OC'S METALFISA</v>
          </cell>
          <cell r="O349" t="str">
            <v>-</v>
          </cell>
          <cell r="Q349" t="str">
            <v>-</v>
          </cell>
          <cell r="S349" t="str">
            <v>-</v>
          </cell>
          <cell r="U349">
            <v>1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4</v>
          </cell>
          <cell r="AA349">
            <v>4</v>
          </cell>
          <cell r="AB349">
            <v>0</v>
          </cell>
          <cell r="AC349">
            <v>2</v>
          </cell>
          <cell r="AD349">
            <v>-2</v>
          </cell>
        </row>
        <row r="350">
          <cell r="A350" t="str">
            <v>21.23.04622</v>
          </cell>
          <cell r="B350" t="str">
            <v>CHAPA PROTECAO SUPERIOR GERADOR / AA_8208_01</v>
          </cell>
          <cell r="D350" t="str">
            <v>-</v>
          </cell>
          <cell r="E350" t="str">
            <v>-</v>
          </cell>
          <cell r="F350" t="str">
            <v>-</v>
          </cell>
          <cell r="G350" t="str">
            <v>-</v>
          </cell>
          <cell r="H350" t="str">
            <v>-</v>
          </cell>
          <cell r="I350" t="str">
            <v>-</v>
          </cell>
          <cell r="J350">
            <v>0</v>
          </cell>
          <cell r="K350">
            <v>0</v>
          </cell>
          <cell r="L350" t="str">
            <v>FALTA ENTREGA</v>
          </cell>
          <cell r="M350">
            <v>3</v>
          </cell>
          <cell r="N350" t="str">
            <v>OC'S METALFISA</v>
          </cell>
          <cell r="O350" t="str">
            <v>-</v>
          </cell>
          <cell r="Q350" t="str">
            <v>-</v>
          </cell>
          <cell r="S350" t="str">
            <v>-</v>
          </cell>
          <cell r="U350">
            <v>3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3</v>
          </cell>
          <cell r="AA350">
            <v>3</v>
          </cell>
          <cell r="AB350">
            <v>0</v>
          </cell>
          <cell r="AC350">
            <v>0</v>
          </cell>
          <cell r="AD350">
            <v>-3</v>
          </cell>
        </row>
        <row r="351">
          <cell r="A351" t="str">
            <v>21.23.04635</v>
          </cell>
          <cell r="B351" t="str">
            <v>PERFIL DE FIXACAO TUNEL 02 / AA_9718_01</v>
          </cell>
          <cell r="D351" t="str">
            <v>-</v>
          </cell>
          <cell r="E351" t="str">
            <v>-</v>
          </cell>
          <cell r="F351" t="str">
            <v>-</v>
          </cell>
          <cell r="G351" t="str">
            <v>-</v>
          </cell>
          <cell r="H351" t="str">
            <v>-</v>
          </cell>
          <cell r="I351" t="str">
            <v>-</v>
          </cell>
          <cell r="J351">
            <v>0</v>
          </cell>
          <cell r="K351">
            <v>0</v>
          </cell>
          <cell r="L351" t="str">
            <v>FALTA ENTREGA</v>
          </cell>
          <cell r="M351">
            <v>4</v>
          </cell>
          <cell r="N351" t="str">
            <v>OC'S METALFISA</v>
          </cell>
          <cell r="O351" t="str">
            <v>-</v>
          </cell>
          <cell r="Q351" t="str">
            <v>-</v>
          </cell>
          <cell r="S351" t="str">
            <v>-</v>
          </cell>
          <cell r="U351">
            <v>4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4</v>
          </cell>
          <cell r="AA351">
            <v>4</v>
          </cell>
          <cell r="AB351">
            <v>0</v>
          </cell>
          <cell r="AC351">
            <v>0</v>
          </cell>
          <cell r="AD351">
            <v>-4</v>
          </cell>
        </row>
        <row r="352">
          <cell r="A352" t="str">
            <v>21.23.04638</v>
          </cell>
          <cell r="B352" t="str">
            <v>CHAPA PARA UNIAO DAS TAMPAS EMBALAGENS / AA_9801_02</v>
          </cell>
          <cell r="D352" t="str">
            <v>-</v>
          </cell>
          <cell r="E352" t="str">
            <v>-</v>
          </cell>
          <cell r="F352" t="str">
            <v>-</v>
          </cell>
          <cell r="G352" t="str">
            <v>-</v>
          </cell>
          <cell r="H352" t="str">
            <v>-</v>
          </cell>
          <cell r="I352" t="str">
            <v>-</v>
          </cell>
          <cell r="J352">
            <v>0</v>
          </cell>
          <cell r="K352">
            <v>-784</v>
          </cell>
          <cell r="L352" t="str">
            <v>FALTA ENTREGA</v>
          </cell>
          <cell r="M352" t="str">
            <v>-</v>
          </cell>
          <cell r="N352" t="str">
            <v>OC'S METALFISA</v>
          </cell>
          <cell r="O352" t="str">
            <v>-</v>
          </cell>
          <cell r="Q352" t="str">
            <v>-</v>
          </cell>
          <cell r="S352" t="str">
            <v>-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784</v>
          </cell>
          <cell r="AA352">
            <v>784</v>
          </cell>
          <cell r="AB352">
            <v>0</v>
          </cell>
          <cell r="AC352">
            <v>0</v>
          </cell>
          <cell r="AD352">
            <v>-784</v>
          </cell>
        </row>
        <row r="353">
          <cell r="A353" t="str">
            <v>21.23.04654</v>
          </cell>
          <cell r="B353" t="str">
            <v>ACABAMENTO DA CARRUAGEM SEM JANELA 02 / AA_9859_03</v>
          </cell>
          <cell r="D353" t="str">
            <v>-</v>
          </cell>
          <cell r="E353" t="str">
            <v>-</v>
          </cell>
          <cell r="F353" t="str">
            <v>-</v>
          </cell>
          <cell r="G353" t="str">
            <v>-</v>
          </cell>
          <cell r="H353" t="str">
            <v>-</v>
          </cell>
          <cell r="I353" t="str">
            <v>-</v>
          </cell>
          <cell r="J353">
            <v>0</v>
          </cell>
          <cell r="K353">
            <v>-3</v>
          </cell>
          <cell r="L353" t="str">
            <v>FALTA ENTREGA</v>
          </cell>
          <cell r="M353" t="str">
            <v>-</v>
          </cell>
          <cell r="N353" t="str">
            <v>OC'S METALFISA</v>
          </cell>
          <cell r="O353" t="str">
            <v>-</v>
          </cell>
          <cell r="Q353" t="str">
            <v>-</v>
          </cell>
          <cell r="S353" t="str">
            <v>-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3</v>
          </cell>
          <cell r="AA353">
            <v>3</v>
          </cell>
          <cell r="AB353">
            <v>0</v>
          </cell>
          <cell r="AC353">
            <v>0</v>
          </cell>
          <cell r="AD353">
            <v>-3</v>
          </cell>
        </row>
        <row r="354">
          <cell r="A354" t="str">
            <v>21.23.04655</v>
          </cell>
          <cell r="B354" t="str">
            <v>ACABAMENTO DA CARRUAGEM TETO 02 / AA_9860_03</v>
          </cell>
          <cell r="D354" t="str">
            <v>-</v>
          </cell>
          <cell r="E354" t="str">
            <v>-</v>
          </cell>
          <cell r="F354" t="str">
            <v>-</v>
          </cell>
          <cell r="G354" t="str">
            <v>-</v>
          </cell>
          <cell r="H354" t="str">
            <v>-</v>
          </cell>
          <cell r="I354" t="str">
            <v>-</v>
          </cell>
          <cell r="J354">
            <v>0</v>
          </cell>
          <cell r="K354">
            <v>-4</v>
          </cell>
          <cell r="L354" t="str">
            <v>FALTA ENTREGA</v>
          </cell>
          <cell r="M354" t="str">
            <v>-</v>
          </cell>
          <cell r="N354" t="str">
            <v>OC'S METALFISA</v>
          </cell>
          <cell r="O354" t="str">
            <v>-</v>
          </cell>
          <cell r="Q354" t="str">
            <v>-</v>
          </cell>
          <cell r="S354" t="str">
            <v>-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4</v>
          </cell>
          <cell r="AA354">
            <v>4</v>
          </cell>
          <cell r="AB354">
            <v>0</v>
          </cell>
          <cell r="AC354">
            <v>0</v>
          </cell>
          <cell r="AD354">
            <v>-4</v>
          </cell>
        </row>
        <row r="355">
          <cell r="A355" t="str">
            <v>21.23.04679</v>
          </cell>
          <cell r="B355" t="str">
            <v>FECHAMENTO EXTREMIDADE OBTURADOR BS / AA_9985_00</v>
          </cell>
          <cell r="D355" t="str">
            <v>-</v>
          </cell>
          <cell r="E355" t="str">
            <v>-</v>
          </cell>
          <cell r="F355" t="str">
            <v>-</v>
          </cell>
          <cell r="G355" t="str">
            <v>-</v>
          </cell>
          <cell r="H355" t="str">
            <v>-</v>
          </cell>
          <cell r="I355" t="str">
            <v>-</v>
          </cell>
          <cell r="J355">
            <v>0</v>
          </cell>
          <cell r="K355" t="e">
            <v>#VALUE!</v>
          </cell>
          <cell r="L355" t="str">
            <v>ENTREGA TOTAL</v>
          </cell>
          <cell r="M355" t="str">
            <v>-</v>
          </cell>
          <cell r="N355" t="str">
            <v>OC'S METALFISA</v>
          </cell>
          <cell r="O355" t="str">
            <v>-</v>
          </cell>
          <cell r="Q355" t="str">
            <v>-</v>
          </cell>
          <cell r="S355" t="str">
            <v>-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4</v>
          </cell>
          <cell r="AA355">
            <v>4</v>
          </cell>
          <cell r="AB355" t="str">
            <v>0</v>
          </cell>
          <cell r="AC355" t="str">
            <v>-</v>
          </cell>
          <cell r="AD355" t="str">
            <v>-</v>
          </cell>
        </row>
        <row r="356">
          <cell r="A356" t="str">
            <v>21.23.04680</v>
          </cell>
          <cell r="B356" t="str">
            <v>REGUA DO OBTURADOR DV / AA_9990_01</v>
          </cell>
          <cell r="C356">
            <v>46066</v>
          </cell>
          <cell r="D356" t="str">
            <v>-</v>
          </cell>
          <cell r="E356" t="str">
            <v>-</v>
          </cell>
          <cell r="F356" t="str">
            <v>-</v>
          </cell>
          <cell r="G356" t="str">
            <v>-</v>
          </cell>
          <cell r="H356" t="str">
            <v>-</v>
          </cell>
          <cell r="I356" t="str">
            <v>-</v>
          </cell>
          <cell r="J356">
            <v>0</v>
          </cell>
          <cell r="K356">
            <v>0</v>
          </cell>
          <cell r="L356" t="str">
            <v>ENTREGA PARCIAL</v>
          </cell>
          <cell r="M356">
            <v>2</v>
          </cell>
          <cell r="N356" t="str">
            <v>OC'S METALFISA</v>
          </cell>
          <cell r="O356" t="str">
            <v>-</v>
          </cell>
          <cell r="Q356" t="str">
            <v>-</v>
          </cell>
          <cell r="S356" t="str">
            <v>-</v>
          </cell>
          <cell r="U356">
            <v>2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3</v>
          </cell>
          <cell r="AA356">
            <v>3</v>
          </cell>
          <cell r="AB356">
            <v>0</v>
          </cell>
          <cell r="AC356">
            <v>1</v>
          </cell>
          <cell r="AD356">
            <v>-2</v>
          </cell>
        </row>
        <row r="357">
          <cell r="A357" t="str">
            <v>21.23.04688</v>
          </cell>
          <cell r="B357" t="str">
            <v>ACABAMENTO LATERAL DV DIREITO SILK INGLE-FRANCES / 03_0726_00</v>
          </cell>
          <cell r="C357">
            <v>46066</v>
          </cell>
          <cell r="D357" t="str">
            <v>-</v>
          </cell>
          <cell r="E357" t="str">
            <v>-</v>
          </cell>
          <cell r="F357" t="str">
            <v>-</v>
          </cell>
          <cell r="G357" t="str">
            <v>-</v>
          </cell>
          <cell r="H357" t="str">
            <v>-</v>
          </cell>
          <cell r="I357">
            <v>3</v>
          </cell>
          <cell r="J357">
            <v>3</v>
          </cell>
          <cell r="K357">
            <v>2</v>
          </cell>
          <cell r="L357" t="str">
            <v>FALTA ENTREGA</v>
          </cell>
          <cell r="M357" t="str">
            <v>-</v>
          </cell>
          <cell r="N357" t="str">
            <v>OC'S METALFISA</v>
          </cell>
          <cell r="O357" t="str">
            <v>-</v>
          </cell>
          <cell r="Q357" t="str">
            <v>-</v>
          </cell>
          <cell r="S357" t="str">
            <v>-</v>
          </cell>
          <cell r="U357">
            <v>0</v>
          </cell>
          <cell r="V357">
            <v>1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1</v>
          </cell>
          <cell r="AB357">
            <v>1</v>
          </cell>
          <cell r="AC357">
            <v>0</v>
          </cell>
          <cell r="AD357">
            <v>-1</v>
          </cell>
        </row>
        <row r="358">
          <cell r="A358" t="str">
            <v>21.23.04700</v>
          </cell>
          <cell r="B358" t="str">
            <v>APOIO PARA PC AJUSTAVEL / AA_10231_03</v>
          </cell>
          <cell r="C358">
            <v>46074</v>
          </cell>
          <cell r="D358" t="str">
            <v>-</v>
          </cell>
          <cell r="E358" t="str">
            <v>-</v>
          </cell>
          <cell r="F358" t="str">
            <v>-</v>
          </cell>
          <cell r="G358" t="str">
            <v>-</v>
          </cell>
          <cell r="H358" t="str">
            <v>-</v>
          </cell>
          <cell r="I358" t="str">
            <v>-</v>
          </cell>
          <cell r="J358">
            <v>0</v>
          </cell>
          <cell r="K358">
            <v>11</v>
          </cell>
          <cell r="L358" t="str">
            <v>ENTREGA TOTAL</v>
          </cell>
          <cell r="M358" t="str">
            <v>-</v>
          </cell>
          <cell r="N358" t="str">
            <v>OC'S METALFISA</v>
          </cell>
          <cell r="O358" t="str">
            <v>-</v>
          </cell>
          <cell r="Q358">
            <v>8</v>
          </cell>
          <cell r="S358" t="str">
            <v>-</v>
          </cell>
          <cell r="U358">
            <v>8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5</v>
          </cell>
          <cell r="AA358">
            <v>5</v>
          </cell>
          <cell r="AB358">
            <v>0</v>
          </cell>
          <cell r="AC358">
            <v>8</v>
          </cell>
          <cell r="AD358">
            <v>3</v>
          </cell>
        </row>
        <row r="359">
          <cell r="A359" t="str">
            <v>21.23.04704</v>
          </cell>
          <cell r="B359" t="str">
            <v>UNIAO DAS PERNA / AA_8372_00</v>
          </cell>
          <cell r="C359">
            <v>46074</v>
          </cell>
          <cell r="D359" t="str">
            <v>-</v>
          </cell>
          <cell r="E359" t="str">
            <v>-</v>
          </cell>
          <cell r="F359" t="str">
            <v>-</v>
          </cell>
          <cell r="G359" t="str">
            <v>-</v>
          </cell>
          <cell r="H359" t="str">
            <v>-</v>
          </cell>
          <cell r="I359" t="str">
            <v>-</v>
          </cell>
          <cell r="J359">
            <v>0</v>
          </cell>
          <cell r="K359">
            <v>288</v>
          </cell>
          <cell r="L359" t="str">
            <v>ENTREGA TOTAL</v>
          </cell>
          <cell r="M359" t="str">
            <v>-</v>
          </cell>
          <cell r="N359" t="str">
            <v>OC'S METALFISA</v>
          </cell>
          <cell r="O359">
            <v>188</v>
          </cell>
          <cell r="P359" t="str">
            <v>OC'S GRANATO</v>
          </cell>
          <cell r="Q359" t="str">
            <v>-</v>
          </cell>
          <cell r="S359" t="str">
            <v>-</v>
          </cell>
          <cell r="U359">
            <v>188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88</v>
          </cell>
          <cell r="AA359">
            <v>88</v>
          </cell>
          <cell r="AB359">
            <v>0</v>
          </cell>
          <cell r="AC359">
            <v>188</v>
          </cell>
          <cell r="AD359">
            <v>100</v>
          </cell>
        </row>
        <row r="360">
          <cell r="A360" t="str">
            <v>21.23.04705</v>
          </cell>
          <cell r="B360" t="str">
            <v>PERNA DA MESA / AA_8371_00</v>
          </cell>
          <cell r="D360" t="str">
            <v>-</v>
          </cell>
          <cell r="E360" t="str">
            <v>-</v>
          </cell>
          <cell r="F360" t="str">
            <v>-</v>
          </cell>
          <cell r="G360" t="str">
            <v>-</v>
          </cell>
          <cell r="H360" t="str">
            <v>-</v>
          </cell>
          <cell r="I360" t="str">
            <v>-</v>
          </cell>
          <cell r="J360">
            <v>0</v>
          </cell>
          <cell r="K360">
            <v>83</v>
          </cell>
          <cell r="L360" t="str">
            <v>FALTA ENTREGA</v>
          </cell>
          <cell r="M360" t="str">
            <v>-</v>
          </cell>
          <cell r="N360" t="str">
            <v>OC'S METALFISA</v>
          </cell>
          <cell r="O360">
            <v>188</v>
          </cell>
          <cell r="P360" t="str">
            <v>OC'S GRANATO</v>
          </cell>
          <cell r="Q360" t="str">
            <v>-</v>
          </cell>
          <cell r="S360" t="str">
            <v>-</v>
          </cell>
          <cell r="U360">
            <v>188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105</v>
          </cell>
          <cell r="AA360">
            <v>105</v>
          </cell>
          <cell r="AB360">
            <v>0</v>
          </cell>
          <cell r="AC360">
            <v>0</v>
          </cell>
          <cell r="AD360">
            <v>-105</v>
          </cell>
        </row>
        <row r="361">
          <cell r="A361" t="str">
            <v>21.23.04712</v>
          </cell>
          <cell r="B361" t="str">
            <v>BASE PORTA DOCUMENTO / AA_8430_00</v>
          </cell>
          <cell r="D361" t="str">
            <v>-</v>
          </cell>
          <cell r="E361" t="str">
            <v>-</v>
          </cell>
          <cell r="F361" t="str">
            <v>-</v>
          </cell>
          <cell r="G361" t="str">
            <v>-</v>
          </cell>
          <cell r="H361" t="str">
            <v>-</v>
          </cell>
          <cell r="I361" t="str">
            <v>-</v>
          </cell>
          <cell r="J361">
            <v>0</v>
          </cell>
          <cell r="K361">
            <v>0</v>
          </cell>
          <cell r="L361" t="str">
            <v>FALTA ENTREGA</v>
          </cell>
          <cell r="M361">
            <v>3</v>
          </cell>
          <cell r="N361" t="str">
            <v>OC'S METALFISA</v>
          </cell>
          <cell r="O361" t="str">
            <v>-</v>
          </cell>
          <cell r="Q361" t="str">
            <v>-</v>
          </cell>
          <cell r="S361" t="str">
            <v>-</v>
          </cell>
          <cell r="U361">
            <v>3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3</v>
          </cell>
          <cell r="AA361">
            <v>3</v>
          </cell>
          <cell r="AB361">
            <v>0</v>
          </cell>
          <cell r="AC361">
            <v>0</v>
          </cell>
          <cell r="AD361">
            <v>-3</v>
          </cell>
        </row>
        <row r="362">
          <cell r="A362" t="str">
            <v>21.23.04713</v>
          </cell>
          <cell r="B362" t="str">
            <v>TAMPA PORTA DOCUMENTO / AA_8432_00</v>
          </cell>
          <cell r="C362">
            <v>46074</v>
          </cell>
          <cell r="D362" t="str">
            <v>-</v>
          </cell>
          <cell r="E362" t="str">
            <v>-</v>
          </cell>
          <cell r="F362" t="str">
            <v>-</v>
          </cell>
          <cell r="G362" t="str">
            <v>-</v>
          </cell>
          <cell r="H362" t="str">
            <v>-</v>
          </cell>
          <cell r="I362" t="str">
            <v>-</v>
          </cell>
          <cell r="J362">
            <v>0</v>
          </cell>
          <cell r="K362">
            <v>1</v>
          </cell>
          <cell r="L362" t="str">
            <v>ENTREGA PARCIAL</v>
          </cell>
          <cell r="M362">
            <v>3</v>
          </cell>
          <cell r="N362" t="str">
            <v>OC'S METALFISA</v>
          </cell>
          <cell r="O362" t="str">
            <v>-</v>
          </cell>
          <cell r="Q362" t="str">
            <v>-</v>
          </cell>
          <cell r="S362" t="str">
            <v>-</v>
          </cell>
          <cell r="U362">
            <v>3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3</v>
          </cell>
          <cell r="AA362">
            <v>3</v>
          </cell>
          <cell r="AB362">
            <v>0</v>
          </cell>
          <cell r="AC362">
            <v>1</v>
          </cell>
          <cell r="AD362">
            <v>-2</v>
          </cell>
        </row>
        <row r="363">
          <cell r="A363" t="str">
            <v>21.23.04736</v>
          </cell>
          <cell r="B363" t="str">
            <v>UNIAO DAS PERNAS / AA_8479_00</v>
          </cell>
          <cell r="D363" t="str">
            <v>-</v>
          </cell>
          <cell r="E363" t="str">
            <v>-</v>
          </cell>
          <cell r="F363" t="str">
            <v>-</v>
          </cell>
          <cell r="G363" t="str">
            <v>-</v>
          </cell>
          <cell r="H363" t="str">
            <v>-</v>
          </cell>
          <cell r="I363" t="str">
            <v>-</v>
          </cell>
          <cell r="J363">
            <v>0</v>
          </cell>
          <cell r="K363">
            <v>-10</v>
          </cell>
          <cell r="L363" t="str">
            <v>FALTA ENTREGA</v>
          </cell>
          <cell r="M363" t="str">
            <v>-</v>
          </cell>
          <cell r="N363" t="str">
            <v>OC'S METALFISA</v>
          </cell>
          <cell r="O363" t="str">
            <v>-</v>
          </cell>
          <cell r="Q363" t="str">
            <v>-</v>
          </cell>
          <cell r="S363" t="str">
            <v>-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10</v>
          </cell>
          <cell r="AA363">
            <v>10</v>
          </cell>
          <cell r="AB363">
            <v>0</v>
          </cell>
          <cell r="AC363">
            <v>0</v>
          </cell>
          <cell r="AD363">
            <v>-10</v>
          </cell>
        </row>
        <row r="364">
          <cell r="A364" t="str">
            <v>21.23.04787</v>
          </cell>
          <cell r="B364" t="str">
            <v>FECHAMENTO 8  /  AA_8595_01</v>
          </cell>
          <cell r="C364">
            <v>46074</v>
          </cell>
          <cell r="D364" t="str">
            <v>-</v>
          </cell>
          <cell r="E364" t="str">
            <v>-</v>
          </cell>
          <cell r="F364" t="str">
            <v>-</v>
          </cell>
          <cell r="G364" t="str">
            <v>-</v>
          </cell>
          <cell r="H364" t="str">
            <v>-</v>
          </cell>
          <cell r="I364" t="str">
            <v>-</v>
          </cell>
          <cell r="J364">
            <v>0</v>
          </cell>
          <cell r="K364">
            <v>34</v>
          </cell>
          <cell r="L364" t="str">
            <v>ENTREGA TOTAL</v>
          </cell>
          <cell r="M364">
            <v>32</v>
          </cell>
          <cell r="N364" t="str">
            <v>OC'S METALFISA</v>
          </cell>
          <cell r="O364" t="str">
            <v>-</v>
          </cell>
          <cell r="Q364" t="str">
            <v>-</v>
          </cell>
          <cell r="S364" t="str">
            <v>-</v>
          </cell>
          <cell r="U364">
            <v>32</v>
          </cell>
          <cell r="V364">
            <v>1</v>
          </cell>
          <cell r="W364">
            <v>0</v>
          </cell>
          <cell r="X364">
            <v>0</v>
          </cell>
          <cell r="Y364">
            <v>0</v>
          </cell>
          <cell r="Z364">
            <v>29</v>
          </cell>
          <cell r="AA364">
            <v>30</v>
          </cell>
          <cell r="AB364">
            <v>0</v>
          </cell>
          <cell r="AC364">
            <v>32</v>
          </cell>
          <cell r="AD364">
            <v>2</v>
          </cell>
        </row>
        <row r="365">
          <cell r="A365" t="str">
            <v>21.23.04806</v>
          </cell>
          <cell r="B365" t="str">
            <v>FECHAMENTO INFERIOR DA ESTEIRA / AA_8602_01</v>
          </cell>
          <cell r="D365" t="str">
            <v>-</v>
          </cell>
          <cell r="E365" t="str">
            <v>-</v>
          </cell>
          <cell r="F365" t="str">
            <v>-</v>
          </cell>
          <cell r="G365" t="str">
            <v>-</v>
          </cell>
          <cell r="H365" t="str">
            <v>-</v>
          </cell>
          <cell r="I365" t="str">
            <v>-</v>
          </cell>
          <cell r="J365">
            <v>0</v>
          </cell>
          <cell r="K365" t="e">
            <v>#VALUE!</v>
          </cell>
          <cell r="L365" t="str">
            <v>ENTREGA TOTAL</v>
          </cell>
          <cell r="M365" t="str">
            <v>-</v>
          </cell>
          <cell r="N365" t="str">
            <v>OC'S METALFISA</v>
          </cell>
          <cell r="O365" t="str">
            <v>-</v>
          </cell>
          <cell r="Q365" t="str">
            <v>-</v>
          </cell>
          <cell r="S365" t="str">
            <v>-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8</v>
          </cell>
          <cell r="AA365">
            <v>8</v>
          </cell>
          <cell r="AB365" t="str">
            <v>0</v>
          </cell>
          <cell r="AC365" t="str">
            <v>-</v>
          </cell>
          <cell r="AD365" t="str">
            <v>-</v>
          </cell>
        </row>
        <row r="366">
          <cell r="A366" t="str">
            <v>21.23.04807</v>
          </cell>
          <cell r="B366" t="str">
            <v>FECHAMENTO INFEERIOR DA ETEIRA 1 / AA_8603_01</v>
          </cell>
          <cell r="C366">
            <v>46074</v>
          </cell>
          <cell r="D366" t="str">
            <v>-</v>
          </cell>
          <cell r="E366" t="str">
            <v>-</v>
          </cell>
          <cell r="F366" t="str">
            <v>-</v>
          </cell>
          <cell r="G366" t="str">
            <v>-</v>
          </cell>
          <cell r="H366" t="str">
            <v>-</v>
          </cell>
          <cell r="I366" t="str">
            <v>-</v>
          </cell>
          <cell r="J366">
            <v>0</v>
          </cell>
          <cell r="K366">
            <v>34</v>
          </cell>
          <cell r="L366" t="str">
            <v>ENTREGA TOTAL</v>
          </cell>
          <cell r="M366">
            <v>33</v>
          </cell>
          <cell r="N366" t="str">
            <v>OC'S METALFISA</v>
          </cell>
          <cell r="O366" t="str">
            <v>-</v>
          </cell>
          <cell r="Q366" t="str">
            <v>-</v>
          </cell>
          <cell r="S366" t="str">
            <v>-</v>
          </cell>
          <cell r="U366">
            <v>33</v>
          </cell>
          <cell r="V366">
            <v>4</v>
          </cell>
          <cell r="W366">
            <v>0</v>
          </cell>
          <cell r="X366">
            <v>0</v>
          </cell>
          <cell r="Y366">
            <v>0</v>
          </cell>
          <cell r="Z366">
            <v>29</v>
          </cell>
          <cell r="AA366">
            <v>33</v>
          </cell>
          <cell r="AB366">
            <v>0</v>
          </cell>
          <cell r="AC366">
            <v>34</v>
          </cell>
          <cell r="AD366">
            <v>1</v>
          </cell>
        </row>
        <row r="367">
          <cell r="A367" t="str">
            <v>21.23.04810</v>
          </cell>
          <cell r="B367" t="str">
            <v>ACABAMENTO INFERIOR 1 / AA_8606_00</v>
          </cell>
          <cell r="D367" t="str">
            <v>-</v>
          </cell>
          <cell r="E367" t="str">
            <v>-</v>
          </cell>
          <cell r="F367" t="str">
            <v>-</v>
          </cell>
          <cell r="G367" t="str">
            <v>-</v>
          </cell>
          <cell r="H367" t="str">
            <v>-</v>
          </cell>
          <cell r="I367" t="str">
            <v>-</v>
          </cell>
          <cell r="J367">
            <v>0</v>
          </cell>
          <cell r="K367" t="e">
            <v>#VALUE!</v>
          </cell>
          <cell r="L367" t="str">
            <v>ENTREGA TOTAL</v>
          </cell>
          <cell r="M367" t="str">
            <v>-</v>
          </cell>
          <cell r="N367" t="str">
            <v>OC'S METALFISA</v>
          </cell>
          <cell r="O367" t="str">
            <v>-</v>
          </cell>
          <cell r="Q367" t="str">
            <v>-</v>
          </cell>
          <cell r="S367" t="str">
            <v>-</v>
          </cell>
          <cell r="U367">
            <v>0</v>
          </cell>
          <cell r="V367">
            <v>3</v>
          </cell>
          <cell r="W367">
            <v>0</v>
          </cell>
          <cell r="X367">
            <v>0</v>
          </cell>
          <cell r="Y367">
            <v>0</v>
          </cell>
          <cell r="Z367">
            <v>29</v>
          </cell>
          <cell r="AA367">
            <v>32</v>
          </cell>
          <cell r="AB367" t="str">
            <v>0</v>
          </cell>
          <cell r="AC367" t="str">
            <v>-</v>
          </cell>
          <cell r="AD367" t="str">
            <v>-</v>
          </cell>
        </row>
        <row r="368">
          <cell r="A368" t="str">
            <v>21.23.04811</v>
          </cell>
          <cell r="B368" t="str">
            <v>ACABAMENTO INFERIOR / AA_8607_00</v>
          </cell>
          <cell r="C368">
            <v>46059</v>
          </cell>
          <cell r="D368" t="str">
            <v>-</v>
          </cell>
          <cell r="E368" t="str">
            <v>-</v>
          </cell>
          <cell r="F368" t="str">
            <v>-</v>
          </cell>
          <cell r="G368" t="str">
            <v>-</v>
          </cell>
          <cell r="H368" t="str">
            <v>-</v>
          </cell>
          <cell r="I368" t="str">
            <v>-</v>
          </cell>
          <cell r="J368">
            <v>0</v>
          </cell>
          <cell r="K368" t="e">
            <v>#VALUE!</v>
          </cell>
          <cell r="L368" t="str">
            <v>ENTREGA TOTAL</v>
          </cell>
          <cell r="M368">
            <v>3</v>
          </cell>
          <cell r="N368" t="str">
            <v>OC'S METALFISA</v>
          </cell>
          <cell r="O368" t="str">
            <v>-</v>
          </cell>
          <cell r="Q368" t="str">
            <v>-</v>
          </cell>
          <cell r="S368" t="str">
            <v>-</v>
          </cell>
          <cell r="U368">
            <v>3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3</v>
          </cell>
          <cell r="AA368">
            <v>3</v>
          </cell>
          <cell r="AB368" t="str">
            <v>0</v>
          </cell>
          <cell r="AC368" t="str">
            <v>-</v>
          </cell>
          <cell r="AD368" t="str">
            <v>-</v>
          </cell>
        </row>
        <row r="369">
          <cell r="A369" t="str">
            <v>21.23.04812</v>
          </cell>
          <cell r="B369" t="str">
            <v>ACABAMENTO INFERIOR 3 / AA_8608_00</v>
          </cell>
          <cell r="D369" t="str">
            <v>-</v>
          </cell>
          <cell r="E369" t="str">
            <v>-</v>
          </cell>
          <cell r="F369" t="str">
            <v>-</v>
          </cell>
          <cell r="G369" t="str">
            <v>-</v>
          </cell>
          <cell r="H369" t="str">
            <v>-</v>
          </cell>
          <cell r="I369" t="str">
            <v>-</v>
          </cell>
          <cell r="J369">
            <v>0</v>
          </cell>
          <cell r="K369">
            <v>0</v>
          </cell>
          <cell r="L369" t="str">
            <v>FALTA ENTREGA</v>
          </cell>
          <cell r="M369">
            <v>33</v>
          </cell>
          <cell r="N369" t="str">
            <v>OC'S METALFISA</v>
          </cell>
          <cell r="O369" t="str">
            <v>-</v>
          </cell>
          <cell r="Q369" t="str">
            <v>-</v>
          </cell>
          <cell r="S369" t="str">
            <v>-</v>
          </cell>
          <cell r="U369">
            <v>33</v>
          </cell>
          <cell r="V369">
            <v>4</v>
          </cell>
          <cell r="W369">
            <v>0</v>
          </cell>
          <cell r="X369">
            <v>0</v>
          </cell>
          <cell r="Y369">
            <v>0</v>
          </cell>
          <cell r="Z369">
            <v>29</v>
          </cell>
          <cell r="AA369">
            <v>33</v>
          </cell>
          <cell r="AB369">
            <v>4</v>
          </cell>
          <cell r="AC369">
            <v>0</v>
          </cell>
          <cell r="AD369">
            <v>-33</v>
          </cell>
        </row>
        <row r="370">
          <cell r="A370" t="str">
            <v>21.23.04813</v>
          </cell>
          <cell r="B370" t="str">
            <v>ACABAMENTO INFERIOR 2 / AA_8609_00</v>
          </cell>
          <cell r="D370" t="str">
            <v>-</v>
          </cell>
          <cell r="E370" t="str">
            <v>-</v>
          </cell>
          <cell r="F370" t="str">
            <v>-</v>
          </cell>
          <cell r="G370" t="str">
            <v>-</v>
          </cell>
          <cell r="H370" t="str">
            <v>-</v>
          </cell>
          <cell r="I370" t="str">
            <v>-</v>
          </cell>
          <cell r="J370">
            <v>0</v>
          </cell>
          <cell r="K370">
            <v>-1</v>
          </cell>
          <cell r="L370" t="str">
            <v>FALTA ENTREGA</v>
          </cell>
          <cell r="M370" t="str">
            <v>-</v>
          </cell>
          <cell r="N370" t="str">
            <v>OC'S METALFISA</v>
          </cell>
          <cell r="O370" t="str">
            <v>-</v>
          </cell>
          <cell r="Q370" t="str">
            <v>-</v>
          </cell>
          <cell r="S370" t="str">
            <v>-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1</v>
          </cell>
          <cell r="AA370">
            <v>1</v>
          </cell>
          <cell r="AB370">
            <v>0</v>
          </cell>
          <cell r="AC370">
            <v>0</v>
          </cell>
          <cell r="AD370">
            <v>-1</v>
          </cell>
        </row>
        <row r="371">
          <cell r="A371" t="str">
            <v>21.23.04815</v>
          </cell>
          <cell r="B371" t="str">
            <v>ACAB. INFERIOR MOTOPOLIA DIR. / AA_8613_01</v>
          </cell>
          <cell r="C371">
            <v>46059</v>
          </cell>
          <cell r="D371" t="str">
            <v>-</v>
          </cell>
          <cell r="E371" t="str">
            <v>-</v>
          </cell>
          <cell r="F371" t="str">
            <v>-</v>
          </cell>
          <cell r="G371" t="str">
            <v>-</v>
          </cell>
          <cell r="H371" t="str">
            <v>-</v>
          </cell>
          <cell r="I371" t="str">
            <v>-</v>
          </cell>
          <cell r="J371">
            <v>0</v>
          </cell>
          <cell r="K371">
            <v>30</v>
          </cell>
          <cell r="L371" t="str">
            <v>ENTREGA PARCIAL</v>
          </cell>
          <cell r="M371">
            <v>32</v>
          </cell>
          <cell r="N371" t="str">
            <v>OC'S METALFISA</v>
          </cell>
          <cell r="O371" t="str">
            <v>-</v>
          </cell>
          <cell r="Q371" t="str">
            <v>-</v>
          </cell>
          <cell r="S371" t="str">
            <v>-</v>
          </cell>
          <cell r="U371">
            <v>32</v>
          </cell>
          <cell r="V371">
            <v>5</v>
          </cell>
          <cell r="W371">
            <v>0</v>
          </cell>
          <cell r="X371">
            <v>0</v>
          </cell>
          <cell r="Y371">
            <v>0</v>
          </cell>
          <cell r="Z371">
            <v>29</v>
          </cell>
          <cell r="AA371">
            <v>34</v>
          </cell>
          <cell r="AB371">
            <v>0</v>
          </cell>
          <cell r="AC371">
            <v>32</v>
          </cell>
          <cell r="AD371">
            <v>-2</v>
          </cell>
        </row>
        <row r="372">
          <cell r="A372" t="str">
            <v>21.23.04817</v>
          </cell>
          <cell r="B372" t="str">
            <v>ACABAMENTO ROLETE LIVRE ESQ. / AA_8619_01</v>
          </cell>
          <cell r="C372">
            <v>46059</v>
          </cell>
          <cell r="D372" t="str">
            <v>-</v>
          </cell>
          <cell r="E372" t="str">
            <v>-</v>
          </cell>
          <cell r="F372" t="str">
            <v>-</v>
          </cell>
          <cell r="G372" t="str">
            <v>-</v>
          </cell>
          <cell r="H372" t="str">
            <v>-</v>
          </cell>
          <cell r="I372" t="str">
            <v>-</v>
          </cell>
          <cell r="J372">
            <v>0</v>
          </cell>
          <cell r="K372" t="e">
            <v>#VALUE!</v>
          </cell>
          <cell r="L372" t="str">
            <v>ENTREGA TOTAL</v>
          </cell>
          <cell r="M372">
            <v>33</v>
          </cell>
          <cell r="N372" t="str">
            <v>OC'S METALFISA</v>
          </cell>
          <cell r="O372" t="str">
            <v>-</v>
          </cell>
          <cell r="Q372" t="str">
            <v>-</v>
          </cell>
          <cell r="S372" t="str">
            <v>-</v>
          </cell>
          <cell r="U372">
            <v>33</v>
          </cell>
          <cell r="V372">
            <v>3</v>
          </cell>
          <cell r="W372">
            <v>0</v>
          </cell>
          <cell r="X372">
            <v>0</v>
          </cell>
          <cell r="Y372">
            <v>0</v>
          </cell>
          <cell r="Z372">
            <v>29</v>
          </cell>
          <cell r="AA372">
            <v>32</v>
          </cell>
          <cell r="AB372" t="str">
            <v>0</v>
          </cell>
          <cell r="AC372" t="str">
            <v>-</v>
          </cell>
          <cell r="AD372" t="str">
            <v>-</v>
          </cell>
        </row>
        <row r="373">
          <cell r="A373" t="str">
            <v>21.23.04818</v>
          </cell>
          <cell r="B373" t="str">
            <v>SUPORTE DA CORTINA / AA_8627_01</v>
          </cell>
          <cell r="C373">
            <v>46074</v>
          </cell>
          <cell r="D373" t="str">
            <v>-</v>
          </cell>
          <cell r="E373" t="str">
            <v>-</v>
          </cell>
          <cell r="F373" t="str">
            <v>-</v>
          </cell>
          <cell r="G373" t="str">
            <v>-</v>
          </cell>
          <cell r="H373" t="str">
            <v>-</v>
          </cell>
          <cell r="I373" t="str">
            <v>-</v>
          </cell>
          <cell r="J373">
            <v>0</v>
          </cell>
          <cell r="K373">
            <v>4</v>
          </cell>
          <cell r="L373" t="str">
            <v>ENTREGA PARCIAL</v>
          </cell>
          <cell r="M373" t="str">
            <v>-</v>
          </cell>
          <cell r="N373" t="str">
            <v>OC'S METALFISA</v>
          </cell>
          <cell r="O373" t="str">
            <v>-</v>
          </cell>
          <cell r="Q373">
            <v>11</v>
          </cell>
          <cell r="S373" t="str">
            <v>-</v>
          </cell>
          <cell r="U373">
            <v>11</v>
          </cell>
          <cell r="V373">
            <v>0</v>
          </cell>
          <cell r="W373">
            <v>0</v>
          </cell>
          <cell r="X373">
            <v>0</v>
          </cell>
          <cell r="Y373">
            <v>17</v>
          </cell>
          <cell r="Z373">
            <v>0</v>
          </cell>
          <cell r="AA373">
            <v>17</v>
          </cell>
          <cell r="AB373">
            <v>0</v>
          </cell>
          <cell r="AC373">
            <v>10</v>
          </cell>
          <cell r="AD373">
            <v>-7</v>
          </cell>
        </row>
        <row r="374">
          <cell r="A374" t="str">
            <v>21.23.04819</v>
          </cell>
          <cell r="B374" t="str">
            <v>ESPELHO DA CORTINA/AA_8625_01</v>
          </cell>
          <cell r="C374">
            <v>46059</v>
          </cell>
          <cell r="D374" t="str">
            <v>-</v>
          </cell>
          <cell r="E374" t="str">
            <v>-</v>
          </cell>
          <cell r="F374" t="str">
            <v>-</v>
          </cell>
          <cell r="G374" t="str">
            <v>-</v>
          </cell>
          <cell r="H374" t="str">
            <v>-</v>
          </cell>
          <cell r="I374" t="str">
            <v>-</v>
          </cell>
          <cell r="J374">
            <v>0</v>
          </cell>
          <cell r="K374">
            <v>1</v>
          </cell>
          <cell r="L374" t="str">
            <v>ENTREGA PARCIAL</v>
          </cell>
          <cell r="M374" t="str">
            <v>-</v>
          </cell>
          <cell r="N374" t="str">
            <v>OC'S METALFISA</v>
          </cell>
          <cell r="O374" t="str">
            <v>-</v>
          </cell>
          <cell r="Q374">
            <v>5</v>
          </cell>
          <cell r="S374" t="str">
            <v>-</v>
          </cell>
          <cell r="U374">
            <v>5</v>
          </cell>
          <cell r="V374">
            <v>0</v>
          </cell>
          <cell r="W374">
            <v>0</v>
          </cell>
          <cell r="X374">
            <v>0</v>
          </cell>
          <cell r="Y374">
            <v>12</v>
          </cell>
          <cell r="Z374">
            <v>0</v>
          </cell>
          <cell r="AA374">
            <v>12</v>
          </cell>
          <cell r="AB374">
            <v>0</v>
          </cell>
          <cell r="AC374">
            <v>8</v>
          </cell>
          <cell r="AD374">
            <v>-4</v>
          </cell>
        </row>
        <row r="375">
          <cell r="A375" t="str">
            <v>21.49.00045</v>
          </cell>
          <cell r="B375" t="str">
            <v>TAMPA DE ACABAMENTO - PERFIL PARA 40 X 40</v>
          </cell>
          <cell r="D375" t="str">
            <v>-</v>
          </cell>
          <cell r="E375" t="str">
            <v>-</v>
          </cell>
          <cell r="F375" t="str">
            <v>-</v>
          </cell>
          <cell r="G375" t="str">
            <v>-</v>
          </cell>
          <cell r="H375" t="str">
            <v>-</v>
          </cell>
          <cell r="I375" t="str">
            <v>-</v>
          </cell>
          <cell r="J375">
            <v>0</v>
          </cell>
          <cell r="K375">
            <v>-2</v>
          </cell>
          <cell r="L375" t="str">
            <v>FALTA ENTREGA</v>
          </cell>
          <cell r="M375" t="str">
            <v>-</v>
          </cell>
          <cell r="N375" t="str">
            <v>OC'S METALFISA</v>
          </cell>
          <cell r="O375" t="str">
            <v>-</v>
          </cell>
          <cell r="Q375" t="str">
            <v>-</v>
          </cell>
          <cell r="S375" t="str">
            <v>-</v>
          </cell>
          <cell r="U375">
            <v>0</v>
          </cell>
          <cell r="V375">
            <v>2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2</v>
          </cell>
          <cell r="AB375">
            <v>2</v>
          </cell>
          <cell r="AC375">
            <v>0</v>
          </cell>
          <cell r="AD375">
            <v>-2</v>
          </cell>
        </row>
        <row r="376">
          <cell r="A376" t="str">
            <v>22.08.00080</v>
          </cell>
          <cell r="B376" t="str">
            <v>CARRINHO PARA PADIOLA 2200X900X790 MM</v>
          </cell>
          <cell r="D376" t="str">
            <v>-</v>
          </cell>
          <cell r="E376" t="str">
            <v>-</v>
          </cell>
          <cell r="F376" t="str">
            <v>-</v>
          </cell>
          <cell r="G376" t="str">
            <v>-</v>
          </cell>
          <cell r="H376" t="str">
            <v>-</v>
          </cell>
          <cell r="I376" t="str">
            <v>-</v>
          </cell>
          <cell r="J376">
            <v>0</v>
          </cell>
          <cell r="K376">
            <v>-3</v>
          </cell>
          <cell r="L376" t="str">
            <v>FALTA ENTREGA</v>
          </cell>
          <cell r="M376" t="str">
            <v>-</v>
          </cell>
          <cell r="N376" t="str">
            <v>OC'S METALFISA</v>
          </cell>
          <cell r="O376" t="str">
            <v>-</v>
          </cell>
          <cell r="Q376" t="str">
            <v>-</v>
          </cell>
          <cell r="S376" t="str">
            <v>-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3</v>
          </cell>
          <cell r="AA376">
            <v>3</v>
          </cell>
          <cell r="AB376">
            <v>0</v>
          </cell>
          <cell r="AC376">
            <v>0</v>
          </cell>
          <cell r="AD376">
            <v>-3</v>
          </cell>
        </row>
        <row r="377">
          <cell r="A377" t="str">
            <v>27.01.01003</v>
          </cell>
          <cell r="B377" t="str">
            <v>CONJUNTO MECANICO CABINE ACELERADOR SPECTRUM CARGO / 27.01.01003</v>
          </cell>
          <cell r="D377" t="str">
            <v>-</v>
          </cell>
          <cell r="E377" t="str">
            <v>-</v>
          </cell>
          <cell r="F377" t="str">
            <v>-</v>
          </cell>
          <cell r="G377" t="str">
            <v>-</v>
          </cell>
          <cell r="H377" t="str">
            <v>-</v>
          </cell>
          <cell r="I377" t="str">
            <v>-</v>
          </cell>
          <cell r="J377">
            <v>0</v>
          </cell>
          <cell r="K377">
            <v>-3</v>
          </cell>
          <cell r="L377" t="str">
            <v>FALTA ENTREGA</v>
          </cell>
          <cell r="M377" t="str">
            <v>-</v>
          </cell>
          <cell r="N377" t="str">
            <v>OC'S METALFISA</v>
          </cell>
          <cell r="O377" t="str">
            <v>-</v>
          </cell>
          <cell r="Q377" t="str">
            <v>-</v>
          </cell>
          <cell r="S377" t="str">
            <v>-</v>
          </cell>
          <cell r="U377">
            <v>0</v>
          </cell>
          <cell r="V377">
            <v>2</v>
          </cell>
          <cell r="W377">
            <v>0</v>
          </cell>
          <cell r="X377">
            <v>0</v>
          </cell>
          <cell r="Y377">
            <v>0</v>
          </cell>
          <cell r="Z377">
            <v>1</v>
          </cell>
          <cell r="AA377">
            <v>3</v>
          </cell>
          <cell r="AB377">
            <v>2</v>
          </cell>
          <cell r="AC377">
            <v>0</v>
          </cell>
          <cell r="AD377">
            <v>-3</v>
          </cell>
        </row>
        <row r="378">
          <cell r="A378" t="str">
            <v>33.02.10000.00</v>
          </cell>
          <cell r="B378" t="str">
            <v>SUPORTE MONTAGEM INDUTOR E FILTRO / 33.02.1000.00</v>
          </cell>
          <cell r="D378" t="str">
            <v>-</v>
          </cell>
          <cell r="E378" t="str">
            <v>-</v>
          </cell>
          <cell r="F378" t="str">
            <v>-</v>
          </cell>
          <cell r="G378" t="str">
            <v>-</v>
          </cell>
          <cell r="H378" t="str">
            <v>-</v>
          </cell>
          <cell r="I378" t="str">
            <v>-</v>
          </cell>
          <cell r="J378">
            <v>0</v>
          </cell>
          <cell r="K378">
            <v>-3</v>
          </cell>
          <cell r="L378" t="str">
            <v>FALTA ENTREGA</v>
          </cell>
          <cell r="M378" t="str">
            <v>-</v>
          </cell>
          <cell r="N378" t="str">
            <v>OC'S METALFISA</v>
          </cell>
          <cell r="O378" t="str">
            <v>-</v>
          </cell>
          <cell r="Q378" t="str">
            <v>-</v>
          </cell>
          <cell r="S378" t="str">
            <v>-</v>
          </cell>
          <cell r="U378">
            <v>0</v>
          </cell>
          <cell r="V378">
            <v>0</v>
          </cell>
          <cell r="W378">
            <v>0</v>
          </cell>
          <cell r="X378">
            <v>3</v>
          </cell>
          <cell r="Y378">
            <v>0</v>
          </cell>
          <cell r="Z378">
            <v>0</v>
          </cell>
          <cell r="AA378">
            <v>3</v>
          </cell>
          <cell r="AB378">
            <v>3</v>
          </cell>
          <cell r="AC378">
            <v>0</v>
          </cell>
          <cell r="AD378">
            <v>-3</v>
          </cell>
        </row>
        <row r="379">
          <cell r="A379" t="str">
            <v>33.02.10006.02</v>
          </cell>
          <cell r="B379" t="str">
            <v>CHAPA TAMPA VERTICAL CAIXA L 5333 / 33.02.10006.02</v>
          </cell>
          <cell r="D379" t="str">
            <v>-</v>
          </cell>
          <cell r="E379" t="str">
            <v>-</v>
          </cell>
          <cell r="F379" t="str">
            <v>-</v>
          </cell>
          <cell r="G379" t="str">
            <v>-</v>
          </cell>
          <cell r="H379" t="str">
            <v>-</v>
          </cell>
          <cell r="I379" t="str">
            <v>-</v>
          </cell>
          <cell r="J379">
            <v>0</v>
          </cell>
          <cell r="K379">
            <v>1</v>
          </cell>
          <cell r="L379" t="str">
            <v>FALTA ENTREGA</v>
          </cell>
          <cell r="M379" t="str">
            <v>-</v>
          </cell>
          <cell r="N379" t="str">
            <v>OC'S METALFISA</v>
          </cell>
          <cell r="O379" t="str">
            <v>-</v>
          </cell>
          <cell r="Q379">
            <v>6</v>
          </cell>
          <cell r="S379" t="str">
            <v>-</v>
          </cell>
          <cell r="U379">
            <v>6</v>
          </cell>
          <cell r="V379">
            <v>0</v>
          </cell>
          <cell r="W379">
            <v>0</v>
          </cell>
          <cell r="X379">
            <v>5</v>
          </cell>
          <cell r="Y379">
            <v>0</v>
          </cell>
          <cell r="Z379">
            <v>0</v>
          </cell>
          <cell r="AA379">
            <v>5</v>
          </cell>
          <cell r="AB379">
            <v>0</v>
          </cell>
          <cell r="AC379">
            <v>0</v>
          </cell>
          <cell r="AD379">
            <v>-5</v>
          </cell>
        </row>
        <row r="380">
          <cell r="A380" t="str">
            <v>33.02.10007.01</v>
          </cell>
          <cell r="B380" t="str">
            <v>CHAPA SUPORTE SENSOR CAIXA L 5333 VMI / 33.02.10007.01</v>
          </cell>
          <cell r="D380" t="str">
            <v>-</v>
          </cell>
          <cell r="E380" t="str">
            <v>-</v>
          </cell>
          <cell r="F380" t="str">
            <v>-</v>
          </cell>
          <cell r="G380" t="str">
            <v>-</v>
          </cell>
          <cell r="H380" t="str">
            <v>-</v>
          </cell>
          <cell r="I380" t="str">
            <v>-</v>
          </cell>
          <cell r="J380">
            <v>0</v>
          </cell>
          <cell r="K380">
            <v>-21</v>
          </cell>
          <cell r="L380" t="str">
            <v>FALTA ENTREGA</v>
          </cell>
          <cell r="M380" t="str">
            <v>-</v>
          </cell>
          <cell r="N380" t="str">
            <v>OC'S METALFISA</v>
          </cell>
          <cell r="O380" t="str">
            <v>-</v>
          </cell>
          <cell r="Q380" t="str">
            <v>-</v>
          </cell>
          <cell r="S380" t="str">
            <v>-</v>
          </cell>
          <cell r="U380">
            <v>0</v>
          </cell>
          <cell r="V380">
            <v>0</v>
          </cell>
          <cell r="W380">
            <v>0</v>
          </cell>
          <cell r="X380">
            <v>21</v>
          </cell>
          <cell r="Y380">
            <v>0</v>
          </cell>
          <cell r="Z380">
            <v>0</v>
          </cell>
          <cell r="AA380">
            <v>21</v>
          </cell>
          <cell r="AB380">
            <v>21</v>
          </cell>
          <cell r="AC380">
            <v>0</v>
          </cell>
          <cell r="AD380">
            <v>-21</v>
          </cell>
        </row>
        <row r="381">
          <cell r="A381" t="str">
            <v>33.02.10012.01</v>
          </cell>
          <cell r="B381" t="str">
            <v>ESTRUTURA DA ESTEIRA 5333 LADO 01 / 33.02.10012.01</v>
          </cell>
          <cell r="D381" t="str">
            <v>-</v>
          </cell>
          <cell r="E381" t="str">
            <v>-</v>
          </cell>
          <cell r="F381" t="str">
            <v>-</v>
          </cell>
          <cell r="G381" t="str">
            <v>-</v>
          </cell>
          <cell r="H381" t="str">
            <v>-</v>
          </cell>
          <cell r="I381" t="str">
            <v>-</v>
          </cell>
          <cell r="J381">
            <v>0</v>
          </cell>
          <cell r="K381">
            <v>15</v>
          </cell>
          <cell r="L381" t="str">
            <v>FALTA ENTREGA</v>
          </cell>
          <cell r="M381" t="str">
            <v>-</v>
          </cell>
          <cell r="N381" t="str">
            <v>OC'S METALFISA</v>
          </cell>
          <cell r="O381">
            <v>20</v>
          </cell>
          <cell r="P381" t="str">
            <v>OC'S GRANATO</v>
          </cell>
          <cell r="Q381" t="str">
            <v>-</v>
          </cell>
          <cell r="S381" t="str">
            <v>-</v>
          </cell>
          <cell r="U381">
            <v>20</v>
          </cell>
          <cell r="V381">
            <v>0</v>
          </cell>
          <cell r="W381">
            <v>0</v>
          </cell>
          <cell r="X381">
            <v>5</v>
          </cell>
          <cell r="Y381">
            <v>0</v>
          </cell>
          <cell r="Z381">
            <v>0</v>
          </cell>
          <cell r="AA381">
            <v>5</v>
          </cell>
          <cell r="AB381">
            <v>5</v>
          </cell>
          <cell r="AC381">
            <v>0</v>
          </cell>
          <cell r="AD381">
            <v>-5</v>
          </cell>
        </row>
        <row r="382">
          <cell r="A382" t="str">
            <v>33.02.10020.00</v>
          </cell>
          <cell r="B382" t="str">
            <v>TRAVA DA MOPOLIA / 33.02.10020.00</v>
          </cell>
          <cell r="C382">
            <v>46059</v>
          </cell>
          <cell r="D382" t="str">
            <v>-</v>
          </cell>
          <cell r="E382" t="str">
            <v>-</v>
          </cell>
          <cell r="F382" t="str">
            <v>-</v>
          </cell>
          <cell r="G382" t="str">
            <v>-</v>
          </cell>
          <cell r="H382" t="str">
            <v>-</v>
          </cell>
          <cell r="I382" t="str">
            <v>-</v>
          </cell>
          <cell r="J382">
            <v>0</v>
          </cell>
          <cell r="K382">
            <v>48</v>
          </cell>
          <cell r="L382" t="str">
            <v>ENTREGA PARCIAL</v>
          </cell>
          <cell r="M382" t="str">
            <v>-</v>
          </cell>
          <cell r="N382" t="str">
            <v>OC'S METALFISA</v>
          </cell>
          <cell r="O382" t="str">
            <v>-</v>
          </cell>
          <cell r="Q382" t="str">
            <v>-</v>
          </cell>
          <cell r="S382">
            <v>50</v>
          </cell>
          <cell r="T382" t="str">
            <v>OC'S MAPHE</v>
          </cell>
          <cell r="U382">
            <v>50</v>
          </cell>
          <cell r="V382">
            <v>0</v>
          </cell>
          <cell r="W382">
            <v>0</v>
          </cell>
          <cell r="X382">
            <v>10</v>
          </cell>
          <cell r="Y382">
            <v>0</v>
          </cell>
          <cell r="Z382">
            <v>0</v>
          </cell>
          <cell r="AA382">
            <v>10</v>
          </cell>
          <cell r="AB382">
            <v>2</v>
          </cell>
          <cell r="AC382">
            <v>8</v>
          </cell>
          <cell r="AD382">
            <v>-2</v>
          </cell>
        </row>
        <row r="383">
          <cell r="A383" t="str">
            <v>33.02.10022.02</v>
          </cell>
          <cell r="B383" t="str">
            <v>ESTRUTURA DA ESTEIRA 5333 LADO 02 / 33.02.10022.02</v>
          </cell>
          <cell r="D383" t="str">
            <v>-</v>
          </cell>
          <cell r="E383" t="str">
            <v>-</v>
          </cell>
          <cell r="F383" t="str">
            <v>-</v>
          </cell>
          <cell r="G383" t="str">
            <v>-</v>
          </cell>
          <cell r="H383" t="str">
            <v>-</v>
          </cell>
          <cell r="I383" t="str">
            <v>-</v>
          </cell>
          <cell r="J383">
            <v>0</v>
          </cell>
          <cell r="K383">
            <v>-5</v>
          </cell>
          <cell r="L383" t="str">
            <v>FALTA ENTREGA</v>
          </cell>
          <cell r="M383" t="str">
            <v>-</v>
          </cell>
          <cell r="N383" t="str">
            <v>OC'S METALFISA</v>
          </cell>
          <cell r="O383" t="str">
            <v>-</v>
          </cell>
          <cell r="Q383" t="str">
            <v>-</v>
          </cell>
          <cell r="S383" t="str">
            <v>-</v>
          </cell>
          <cell r="U383">
            <v>0</v>
          </cell>
          <cell r="V383">
            <v>0</v>
          </cell>
          <cell r="W383">
            <v>0</v>
          </cell>
          <cell r="X383">
            <v>5</v>
          </cell>
          <cell r="Y383">
            <v>0</v>
          </cell>
          <cell r="Z383">
            <v>0</v>
          </cell>
          <cell r="AA383">
            <v>5</v>
          </cell>
          <cell r="AB383">
            <v>5</v>
          </cell>
          <cell r="AC383">
            <v>0</v>
          </cell>
          <cell r="AD383">
            <v>-5</v>
          </cell>
        </row>
        <row r="384">
          <cell r="A384" t="str">
            <v>33.02.10026.00</v>
          </cell>
          <cell r="B384" t="str">
            <v>TRAVA DO ROLETE ESTICADOR / 33.02.10026.00</v>
          </cell>
          <cell r="D384" t="str">
            <v>-</v>
          </cell>
          <cell r="E384" t="str">
            <v>-</v>
          </cell>
          <cell r="F384" t="str">
            <v>-</v>
          </cell>
          <cell r="G384" t="str">
            <v>-</v>
          </cell>
          <cell r="H384" t="str">
            <v>-</v>
          </cell>
          <cell r="I384" t="str">
            <v>-</v>
          </cell>
          <cell r="J384">
            <v>0</v>
          </cell>
          <cell r="K384">
            <v>34</v>
          </cell>
          <cell r="L384" t="str">
            <v>FALTA ENTREGA</v>
          </cell>
          <cell r="M384" t="str">
            <v>-</v>
          </cell>
          <cell r="N384" t="str">
            <v>OC'S METALFISA</v>
          </cell>
          <cell r="O384">
            <v>40</v>
          </cell>
          <cell r="P384" t="str">
            <v>OC'S GRANATO</v>
          </cell>
          <cell r="Q384" t="str">
            <v>-</v>
          </cell>
          <cell r="S384" t="str">
            <v>-</v>
          </cell>
          <cell r="U384">
            <v>40</v>
          </cell>
          <cell r="V384">
            <v>0</v>
          </cell>
          <cell r="W384">
            <v>0</v>
          </cell>
          <cell r="X384">
            <v>6</v>
          </cell>
          <cell r="Y384">
            <v>0</v>
          </cell>
          <cell r="Z384">
            <v>0</v>
          </cell>
          <cell r="AA384">
            <v>6</v>
          </cell>
          <cell r="AB384">
            <v>6</v>
          </cell>
          <cell r="AC384">
            <v>0</v>
          </cell>
          <cell r="AD384">
            <v>-6</v>
          </cell>
        </row>
        <row r="385">
          <cell r="A385" t="str">
            <v>33.02.10034.02</v>
          </cell>
          <cell r="B385" t="str">
            <v>ACABAMENTO ESTEIRA MOTOPOLIA ESQUERDO / 33.02.10034.02</v>
          </cell>
          <cell r="D385" t="str">
            <v>-</v>
          </cell>
          <cell r="E385" t="str">
            <v>-</v>
          </cell>
          <cell r="F385" t="str">
            <v>-</v>
          </cell>
          <cell r="G385" t="str">
            <v>-</v>
          </cell>
          <cell r="H385" t="str">
            <v>-</v>
          </cell>
          <cell r="I385" t="str">
            <v>-</v>
          </cell>
          <cell r="J385">
            <v>0</v>
          </cell>
          <cell r="K385">
            <v>14</v>
          </cell>
          <cell r="L385" t="str">
            <v>FALTA ENTREGA</v>
          </cell>
          <cell r="M385">
            <v>20</v>
          </cell>
          <cell r="N385" t="str">
            <v>OC'S METALFISA</v>
          </cell>
          <cell r="O385" t="str">
            <v>-</v>
          </cell>
          <cell r="Q385" t="str">
            <v>-</v>
          </cell>
          <cell r="S385" t="str">
            <v>-</v>
          </cell>
          <cell r="U385">
            <v>20</v>
          </cell>
          <cell r="V385">
            <v>1</v>
          </cell>
          <cell r="W385">
            <v>0</v>
          </cell>
          <cell r="X385">
            <v>5</v>
          </cell>
          <cell r="Y385">
            <v>0</v>
          </cell>
          <cell r="Z385">
            <v>0</v>
          </cell>
          <cell r="AA385">
            <v>6</v>
          </cell>
          <cell r="AB385">
            <v>6</v>
          </cell>
          <cell r="AC385">
            <v>0</v>
          </cell>
          <cell r="AD385">
            <v>-6</v>
          </cell>
        </row>
        <row r="386">
          <cell r="A386" t="str">
            <v>33.02.10044.02</v>
          </cell>
          <cell r="B386" t="str">
            <v>ACABAMENTO ESTEIRA ROLETE DIREITO / 33.02.10044.02</v>
          </cell>
          <cell r="D386" t="str">
            <v>-</v>
          </cell>
          <cell r="E386" t="str">
            <v>-</v>
          </cell>
          <cell r="F386" t="str">
            <v>-</v>
          </cell>
          <cell r="G386" t="str">
            <v>-</v>
          </cell>
          <cell r="H386" t="str">
            <v>-</v>
          </cell>
          <cell r="I386">
            <v>2</v>
          </cell>
          <cell r="J386">
            <v>2</v>
          </cell>
          <cell r="K386">
            <v>19</v>
          </cell>
          <cell r="L386" t="str">
            <v>FALTA ENTREGA</v>
          </cell>
          <cell r="M386">
            <v>20</v>
          </cell>
          <cell r="N386" t="str">
            <v>OC'S METALFISA</v>
          </cell>
          <cell r="O386" t="str">
            <v>-</v>
          </cell>
          <cell r="Q386" t="str">
            <v>-</v>
          </cell>
          <cell r="S386" t="str">
            <v>-</v>
          </cell>
          <cell r="U386">
            <v>20</v>
          </cell>
          <cell r="V386">
            <v>0</v>
          </cell>
          <cell r="W386">
            <v>0</v>
          </cell>
          <cell r="X386">
            <v>3</v>
          </cell>
          <cell r="Y386">
            <v>0</v>
          </cell>
          <cell r="Z386">
            <v>0</v>
          </cell>
          <cell r="AA386">
            <v>3</v>
          </cell>
          <cell r="AB386">
            <v>3</v>
          </cell>
          <cell r="AC386">
            <v>0</v>
          </cell>
          <cell r="AD386">
            <v>-3</v>
          </cell>
        </row>
        <row r="387">
          <cell r="A387" t="str">
            <v>33.02.10061.00</v>
          </cell>
          <cell r="B387" t="str">
            <v>TAMPA SUPERIOR CINZA 5333 / 33.02.10061.00</v>
          </cell>
          <cell r="D387">
            <v>1</v>
          </cell>
          <cell r="E387" t="str">
            <v>-</v>
          </cell>
          <cell r="F387" t="str">
            <v>-</v>
          </cell>
          <cell r="G387" t="str">
            <v>-</v>
          </cell>
          <cell r="H387" t="str">
            <v>-</v>
          </cell>
          <cell r="I387">
            <v>3</v>
          </cell>
          <cell r="J387">
            <v>3</v>
          </cell>
          <cell r="K387">
            <v>19</v>
          </cell>
          <cell r="L387" t="str">
            <v>FALTA ENTREGA</v>
          </cell>
          <cell r="M387" t="str">
            <v>-</v>
          </cell>
          <cell r="N387" t="str">
            <v>OC'S METALFISA</v>
          </cell>
          <cell r="O387" t="str">
            <v>-</v>
          </cell>
          <cell r="Q387" t="str">
            <v>-</v>
          </cell>
          <cell r="S387">
            <v>20</v>
          </cell>
          <cell r="T387" t="str">
            <v>OC'S MAPHE</v>
          </cell>
          <cell r="U387">
            <v>20</v>
          </cell>
          <cell r="V387">
            <v>0</v>
          </cell>
          <cell r="W387">
            <v>0</v>
          </cell>
          <cell r="X387">
            <v>5</v>
          </cell>
          <cell r="Y387">
            <v>0</v>
          </cell>
          <cell r="Z387">
            <v>0</v>
          </cell>
          <cell r="AA387">
            <v>5</v>
          </cell>
          <cell r="AB387">
            <v>5</v>
          </cell>
          <cell r="AC387">
            <v>0</v>
          </cell>
          <cell r="AD387">
            <v>-5</v>
          </cell>
        </row>
        <row r="388">
          <cell r="A388" t="str">
            <v>33.03.10001.05</v>
          </cell>
          <cell r="B388" t="str">
            <v>BASE 6040 PED 042 / 33.03.10001.05</v>
          </cell>
          <cell r="D388" t="str">
            <v>-</v>
          </cell>
          <cell r="E388" t="str">
            <v>-</v>
          </cell>
          <cell r="F388" t="str">
            <v>-</v>
          </cell>
          <cell r="G388" t="str">
            <v>-</v>
          </cell>
          <cell r="H388" t="str">
            <v>-</v>
          </cell>
          <cell r="I388" t="str">
            <v>-</v>
          </cell>
          <cell r="J388">
            <v>0</v>
          </cell>
          <cell r="K388">
            <v>-1</v>
          </cell>
          <cell r="L388" t="str">
            <v>FALTA ENTREGA</v>
          </cell>
          <cell r="M388" t="str">
            <v>-</v>
          </cell>
          <cell r="N388" t="str">
            <v>OC'S METALFISA</v>
          </cell>
          <cell r="O388" t="str">
            <v>-</v>
          </cell>
          <cell r="Q388" t="str">
            <v>-</v>
          </cell>
          <cell r="S388" t="str">
            <v>-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1</v>
          </cell>
          <cell r="AA388">
            <v>1</v>
          </cell>
          <cell r="AB388">
            <v>0</v>
          </cell>
          <cell r="AC388">
            <v>0</v>
          </cell>
          <cell r="AD388">
            <v>-1</v>
          </cell>
        </row>
        <row r="389">
          <cell r="A389" t="str">
            <v>33.03.10001.06</v>
          </cell>
          <cell r="B389" t="str">
            <v>BASE 6040 PED 042 / 33.03.10001.06</v>
          </cell>
          <cell r="D389" t="str">
            <v>-</v>
          </cell>
          <cell r="E389" t="str">
            <v>-</v>
          </cell>
          <cell r="F389" t="str">
            <v>-</v>
          </cell>
          <cell r="G389" t="str">
            <v>-</v>
          </cell>
          <cell r="H389" t="str">
            <v>-</v>
          </cell>
          <cell r="I389" t="str">
            <v>-</v>
          </cell>
          <cell r="J389">
            <v>0</v>
          </cell>
          <cell r="K389" t="e">
            <v>#VALUE!</v>
          </cell>
          <cell r="L389" t="str">
            <v>ENTREGA TOTAL</v>
          </cell>
          <cell r="M389" t="str">
            <v>-</v>
          </cell>
          <cell r="N389" t="str">
            <v>OC'S METALFISA</v>
          </cell>
          <cell r="O389" t="str">
            <v>-</v>
          </cell>
          <cell r="Q389">
            <v>14</v>
          </cell>
          <cell r="S389" t="str">
            <v>-</v>
          </cell>
          <cell r="U389">
            <v>14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11</v>
          </cell>
          <cell r="AA389">
            <v>11</v>
          </cell>
          <cell r="AB389" t="str">
            <v>0</v>
          </cell>
          <cell r="AC389" t="str">
            <v>-</v>
          </cell>
          <cell r="AD389" t="str">
            <v>-</v>
          </cell>
        </row>
        <row r="390">
          <cell r="A390" t="str">
            <v>33.03.10001.07</v>
          </cell>
          <cell r="B390" t="str">
            <v>BASE 6040 PED 042 / 33.03.10001.07</v>
          </cell>
          <cell r="D390" t="str">
            <v>-</v>
          </cell>
          <cell r="E390" t="str">
            <v>-</v>
          </cell>
          <cell r="F390" t="str">
            <v>-</v>
          </cell>
          <cell r="G390" t="str">
            <v>-</v>
          </cell>
          <cell r="H390" t="str">
            <v>-</v>
          </cell>
          <cell r="I390" t="str">
            <v>-</v>
          </cell>
          <cell r="J390">
            <v>0</v>
          </cell>
          <cell r="K390">
            <v>17</v>
          </cell>
          <cell r="L390" t="str">
            <v>FALTA ENTREGA</v>
          </cell>
          <cell r="M390" t="str">
            <v>-</v>
          </cell>
          <cell r="N390" t="str">
            <v>OC'S METALFISA</v>
          </cell>
          <cell r="O390" t="str">
            <v>-</v>
          </cell>
          <cell r="Q390" t="str">
            <v>-</v>
          </cell>
          <cell r="S390">
            <v>18</v>
          </cell>
          <cell r="T390" t="str">
            <v>OC'S MAPHE</v>
          </cell>
          <cell r="U390">
            <v>18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1</v>
          </cell>
          <cell r="AA390">
            <v>1</v>
          </cell>
          <cell r="AB390">
            <v>0</v>
          </cell>
          <cell r="AC390">
            <v>0</v>
          </cell>
          <cell r="AD390">
            <v>-1</v>
          </cell>
        </row>
        <row r="391">
          <cell r="A391" t="str">
            <v>33.03.10008.00</v>
          </cell>
          <cell r="B391" t="str">
            <v>REGUA DO COLIMADOR / 33.03.10008.00</v>
          </cell>
          <cell r="D391" t="str">
            <v>-</v>
          </cell>
          <cell r="E391" t="str">
            <v>-</v>
          </cell>
          <cell r="F391" t="str">
            <v>-</v>
          </cell>
          <cell r="G391" t="str">
            <v>-</v>
          </cell>
          <cell r="H391" t="str">
            <v>-</v>
          </cell>
          <cell r="I391" t="str">
            <v>-</v>
          </cell>
          <cell r="J391">
            <v>0</v>
          </cell>
          <cell r="K391">
            <v>28</v>
          </cell>
          <cell r="L391" t="str">
            <v>FALTA ENTREGA</v>
          </cell>
          <cell r="M391" t="str">
            <v>-</v>
          </cell>
          <cell r="N391" t="str">
            <v>OC'S METALFISA</v>
          </cell>
          <cell r="O391" t="str">
            <v>-</v>
          </cell>
          <cell r="Q391">
            <v>30</v>
          </cell>
          <cell r="S391">
            <v>12</v>
          </cell>
          <cell r="T391" t="str">
            <v>OC'S MAPHE</v>
          </cell>
          <cell r="U391">
            <v>42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14</v>
          </cell>
          <cell r="AA391">
            <v>14</v>
          </cell>
          <cell r="AB391">
            <v>0</v>
          </cell>
          <cell r="AC391">
            <v>0</v>
          </cell>
          <cell r="AD391">
            <v>-14</v>
          </cell>
        </row>
        <row r="392">
          <cell r="A392" t="str">
            <v>33.03.10010.00</v>
          </cell>
          <cell r="B392" t="str">
            <v>ACABAMENTO LATERAL DV ESQUERDO CINZA / 33.03.10010.00</v>
          </cell>
          <cell r="D392" t="str">
            <v>-</v>
          </cell>
          <cell r="E392" t="str">
            <v>-</v>
          </cell>
          <cell r="F392" t="str">
            <v>-</v>
          </cell>
          <cell r="G392" t="str">
            <v>-</v>
          </cell>
          <cell r="H392" t="str">
            <v>-</v>
          </cell>
          <cell r="I392" t="str">
            <v>-</v>
          </cell>
          <cell r="J392">
            <v>0</v>
          </cell>
          <cell r="K392">
            <v>5</v>
          </cell>
          <cell r="L392" t="str">
            <v>FALTA ENTREGA</v>
          </cell>
          <cell r="M392" t="str">
            <v>-</v>
          </cell>
          <cell r="N392" t="str">
            <v>OC'S METALFISA</v>
          </cell>
          <cell r="O392" t="str">
            <v>-</v>
          </cell>
          <cell r="Q392" t="str">
            <v>-</v>
          </cell>
          <cell r="S392">
            <v>7</v>
          </cell>
          <cell r="T392" t="str">
            <v>OC'S MAPHE</v>
          </cell>
          <cell r="U392">
            <v>7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2</v>
          </cell>
          <cell r="AA392">
            <v>2</v>
          </cell>
          <cell r="AB392">
            <v>0</v>
          </cell>
          <cell r="AC392">
            <v>0</v>
          </cell>
          <cell r="AD392">
            <v>-2</v>
          </cell>
        </row>
        <row r="393">
          <cell r="A393" t="str">
            <v>33.03.10012.00</v>
          </cell>
          <cell r="B393" t="str">
            <v>TAMPA ACABAMENTO DIREITA CINZA / 33.03.10012.00</v>
          </cell>
          <cell r="C393">
            <v>46072</v>
          </cell>
          <cell r="D393" t="str">
            <v>-</v>
          </cell>
          <cell r="E393" t="str">
            <v>-</v>
          </cell>
          <cell r="F393" t="str">
            <v>-</v>
          </cell>
          <cell r="G393" t="str">
            <v>-</v>
          </cell>
          <cell r="H393" t="str">
            <v>-</v>
          </cell>
          <cell r="I393" t="str">
            <v>-</v>
          </cell>
          <cell r="J393">
            <v>0</v>
          </cell>
          <cell r="K393">
            <v>5</v>
          </cell>
          <cell r="L393" t="str">
            <v>ENTREGA PARCIAL</v>
          </cell>
          <cell r="M393" t="str">
            <v>-</v>
          </cell>
          <cell r="N393" t="str">
            <v>OC'S METALFISA</v>
          </cell>
          <cell r="O393" t="str">
            <v>-</v>
          </cell>
          <cell r="Q393" t="str">
            <v>-</v>
          </cell>
          <cell r="S393">
            <v>7</v>
          </cell>
          <cell r="T393" t="str">
            <v>OC'S MAPHE</v>
          </cell>
          <cell r="U393">
            <v>7</v>
          </cell>
          <cell r="V393">
            <v>1</v>
          </cell>
          <cell r="W393">
            <v>0</v>
          </cell>
          <cell r="X393">
            <v>0</v>
          </cell>
          <cell r="Y393">
            <v>0</v>
          </cell>
          <cell r="Z393">
            <v>2</v>
          </cell>
          <cell r="AA393">
            <v>3</v>
          </cell>
          <cell r="AB393">
            <v>0</v>
          </cell>
          <cell r="AC393">
            <v>1</v>
          </cell>
          <cell r="AD393">
            <v>-2</v>
          </cell>
        </row>
        <row r="394">
          <cell r="A394" t="str">
            <v>33.03.10021.00</v>
          </cell>
          <cell r="B394" t="str">
            <v>TAMPA ACABAMENTO CENTRAL PED42 CINZA ING / PORT / 33.03.10021.00</v>
          </cell>
          <cell r="D394" t="str">
            <v>-</v>
          </cell>
          <cell r="E394" t="str">
            <v>-</v>
          </cell>
          <cell r="F394" t="str">
            <v>-</v>
          </cell>
          <cell r="G394" t="str">
            <v>-</v>
          </cell>
          <cell r="H394" t="str">
            <v>-</v>
          </cell>
          <cell r="I394" t="str">
            <v>-</v>
          </cell>
          <cell r="J394">
            <v>0</v>
          </cell>
          <cell r="K394">
            <v>5</v>
          </cell>
          <cell r="L394" t="str">
            <v>FALTA ENTREGA</v>
          </cell>
          <cell r="M394" t="str">
            <v>-</v>
          </cell>
          <cell r="N394" t="str">
            <v>OC'S METALFISA</v>
          </cell>
          <cell r="O394" t="str">
            <v>-</v>
          </cell>
          <cell r="Q394" t="str">
            <v>-</v>
          </cell>
          <cell r="S394">
            <v>7</v>
          </cell>
          <cell r="T394" t="str">
            <v>OC'S MAPHE</v>
          </cell>
          <cell r="U394">
            <v>7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2</v>
          </cell>
          <cell r="AA394">
            <v>2</v>
          </cell>
          <cell r="AB394">
            <v>0</v>
          </cell>
          <cell r="AC394">
            <v>0</v>
          </cell>
          <cell r="AD394">
            <v>-2</v>
          </cell>
        </row>
        <row r="395">
          <cell r="A395" t="str">
            <v>33.03.10062.00</v>
          </cell>
          <cell r="B395" t="str">
            <v>SUPORTE CAMERA ELEVADO / 33.03.10062.00</v>
          </cell>
          <cell r="D395" t="str">
            <v>-</v>
          </cell>
          <cell r="E395" t="str">
            <v>-</v>
          </cell>
          <cell r="F395" t="str">
            <v>-</v>
          </cell>
          <cell r="G395" t="str">
            <v>-</v>
          </cell>
          <cell r="H395" t="str">
            <v>-</v>
          </cell>
          <cell r="I395" t="str">
            <v>-</v>
          </cell>
          <cell r="J395">
            <v>0</v>
          </cell>
          <cell r="K395" t="e">
            <v>#VALUE!</v>
          </cell>
          <cell r="L395" t="str">
            <v>ENTREGA TOTAL</v>
          </cell>
          <cell r="M395" t="str">
            <v>-</v>
          </cell>
          <cell r="N395" t="str">
            <v>OC'S METALFISA</v>
          </cell>
          <cell r="O395" t="str">
            <v>-</v>
          </cell>
          <cell r="Q395" t="str">
            <v>-</v>
          </cell>
          <cell r="S395" t="str">
            <v>-</v>
          </cell>
          <cell r="U395">
            <v>0</v>
          </cell>
          <cell r="V395">
            <v>1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1</v>
          </cell>
          <cell r="AB395" t="str">
            <v>0</v>
          </cell>
          <cell r="AC395" t="str">
            <v>-</v>
          </cell>
          <cell r="AD395" t="str">
            <v>-</v>
          </cell>
        </row>
        <row r="396">
          <cell r="A396" t="str">
            <v>33.03.10101.00</v>
          </cell>
          <cell r="B396" t="str">
            <v>ACABAMENTO CINZA / 33.03.10101.00</v>
          </cell>
          <cell r="D396" t="str">
            <v>-</v>
          </cell>
          <cell r="E396" t="str">
            <v>-</v>
          </cell>
          <cell r="F396" t="str">
            <v>-</v>
          </cell>
          <cell r="G396" t="str">
            <v>-</v>
          </cell>
          <cell r="H396" t="str">
            <v>-</v>
          </cell>
          <cell r="I396" t="str">
            <v>-</v>
          </cell>
          <cell r="J396">
            <v>0</v>
          </cell>
          <cell r="K396">
            <v>20</v>
          </cell>
          <cell r="L396" t="str">
            <v>FALTA ENTREGA</v>
          </cell>
          <cell r="M396" t="str">
            <v>-</v>
          </cell>
          <cell r="N396" t="str">
            <v>OC'S METALFISA</v>
          </cell>
          <cell r="O396" t="str">
            <v>-</v>
          </cell>
          <cell r="Q396" t="str">
            <v>-</v>
          </cell>
          <cell r="S396">
            <v>28</v>
          </cell>
          <cell r="T396" t="str">
            <v>OC'S MAPHE</v>
          </cell>
          <cell r="U396">
            <v>28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8</v>
          </cell>
          <cell r="AA396">
            <v>8</v>
          </cell>
          <cell r="AB396">
            <v>0</v>
          </cell>
          <cell r="AC396">
            <v>0</v>
          </cell>
          <cell r="AD396">
            <v>-8</v>
          </cell>
        </row>
        <row r="397">
          <cell r="A397" t="str">
            <v>33.03.10134.00</v>
          </cell>
          <cell r="B397" t="str">
            <v>SUPORTE DA CONTROLADORA SV / 33.03.10134.00</v>
          </cell>
          <cell r="C397">
            <v>46074</v>
          </cell>
          <cell r="D397" t="str">
            <v>-</v>
          </cell>
          <cell r="E397" t="str">
            <v>-</v>
          </cell>
          <cell r="F397" t="str">
            <v>-</v>
          </cell>
          <cell r="G397" t="str">
            <v>-</v>
          </cell>
          <cell r="H397" t="str">
            <v>-</v>
          </cell>
          <cell r="I397" t="str">
            <v>-</v>
          </cell>
          <cell r="J397">
            <v>0</v>
          </cell>
          <cell r="K397">
            <v>12</v>
          </cell>
          <cell r="L397" t="str">
            <v>ENTREGA PARCIAL</v>
          </cell>
          <cell r="M397" t="str">
            <v>-</v>
          </cell>
          <cell r="N397" t="str">
            <v>OC'S METALFISA</v>
          </cell>
          <cell r="O397" t="str">
            <v>-</v>
          </cell>
          <cell r="Q397">
            <v>2</v>
          </cell>
          <cell r="S397">
            <v>12</v>
          </cell>
          <cell r="T397" t="str">
            <v>OC'S MAPHE</v>
          </cell>
          <cell r="U397">
            <v>14</v>
          </cell>
          <cell r="V397">
            <v>2</v>
          </cell>
          <cell r="W397">
            <v>0</v>
          </cell>
          <cell r="X397">
            <v>0</v>
          </cell>
          <cell r="Y397">
            <v>0</v>
          </cell>
          <cell r="Z397">
            <v>2</v>
          </cell>
          <cell r="AA397">
            <v>4</v>
          </cell>
          <cell r="AB397">
            <v>0</v>
          </cell>
          <cell r="AC397">
            <v>2</v>
          </cell>
          <cell r="AD397">
            <v>-2</v>
          </cell>
        </row>
        <row r="398">
          <cell r="A398" t="str">
            <v>33.03.10200.00</v>
          </cell>
          <cell r="B398" t="str">
            <v>LATERAL DO TUNEL / 33.03.10200.00</v>
          </cell>
          <cell r="C398">
            <v>46074</v>
          </cell>
          <cell r="D398" t="str">
            <v>-</v>
          </cell>
          <cell r="E398" t="str">
            <v>-</v>
          </cell>
          <cell r="F398" t="str">
            <v>-</v>
          </cell>
          <cell r="G398" t="str">
            <v>-</v>
          </cell>
          <cell r="H398" t="str">
            <v>-</v>
          </cell>
          <cell r="I398" t="str">
            <v>-</v>
          </cell>
          <cell r="J398">
            <v>0</v>
          </cell>
          <cell r="K398">
            <v>50</v>
          </cell>
          <cell r="L398" t="str">
            <v>ENTREGA TOTAL</v>
          </cell>
          <cell r="M398" t="str">
            <v>-</v>
          </cell>
          <cell r="N398" t="str">
            <v>OC'S METALFISA</v>
          </cell>
          <cell r="O398" t="str">
            <v>-</v>
          </cell>
          <cell r="Q398">
            <v>17</v>
          </cell>
          <cell r="S398">
            <v>32</v>
          </cell>
          <cell r="T398" t="str">
            <v>OC'S MAPHE</v>
          </cell>
          <cell r="U398">
            <v>49</v>
          </cell>
          <cell r="V398">
            <v>4</v>
          </cell>
          <cell r="W398">
            <v>0</v>
          </cell>
          <cell r="X398">
            <v>0</v>
          </cell>
          <cell r="Y398">
            <v>0</v>
          </cell>
          <cell r="Z398">
            <v>12</v>
          </cell>
          <cell r="AA398">
            <v>16</v>
          </cell>
          <cell r="AB398">
            <v>0</v>
          </cell>
          <cell r="AC398">
            <v>17</v>
          </cell>
          <cell r="AD398">
            <v>1</v>
          </cell>
        </row>
        <row r="399">
          <cell r="A399" t="str">
            <v>33.03.10202.01</v>
          </cell>
          <cell r="B399" t="str">
            <v>TUNEL SUPERIOR / 33.03.10202.01</v>
          </cell>
          <cell r="D399" t="str">
            <v>-</v>
          </cell>
          <cell r="E399" t="str">
            <v>-</v>
          </cell>
          <cell r="F399" t="str">
            <v>-</v>
          </cell>
          <cell r="G399" t="str">
            <v>-</v>
          </cell>
          <cell r="H399" t="str">
            <v>-</v>
          </cell>
          <cell r="I399" t="str">
            <v>-</v>
          </cell>
          <cell r="J399">
            <v>0</v>
          </cell>
          <cell r="K399">
            <v>10</v>
          </cell>
          <cell r="L399" t="str">
            <v>FALTA ENTREGA</v>
          </cell>
          <cell r="M399" t="str">
            <v>-</v>
          </cell>
          <cell r="N399" t="str">
            <v>OC'S METALFISA</v>
          </cell>
          <cell r="O399" t="str">
            <v>-</v>
          </cell>
          <cell r="Q399" t="str">
            <v>-</v>
          </cell>
          <cell r="S399">
            <v>16</v>
          </cell>
          <cell r="T399" t="str">
            <v>OC'S MAPHE</v>
          </cell>
          <cell r="U399">
            <v>16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6</v>
          </cell>
          <cell r="AA399">
            <v>6</v>
          </cell>
          <cell r="AB399">
            <v>0</v>
          </cell>
          <cell r="AC399">
            <v>0</v>
          </cell>
          <cell r="AD399">
            <v>-6</v>
          </cell>
        </row>
        <row r="400">
          <cell r="A400" t="str">
            <v>33.03.10204.00</v>
          </cell>
          <cell r="B400" t="str">
            <v>FIXACAO  / 33.03.10204.00</v>
          </cell>
          <cell r="C400">
            <v>46076</v>
          </cell>
          <cell r="D400" t="str">
            <v>-</v>
          </cell>
          <cell r="E400" t="str">
            <v>-</v>
          </cell>
          <cell r="F400" t="str">
            <v>-</v>
          </cell>
          <cell r="G400" t="str">
            <v>-</v>
          </cell>
          <cell r="H400" t="str">
            <v>-</v>
          </cell>
          <cell r="I400" t="str">
            <v>-</v>
          </cell>
          <cell r="J400">
            <v>0</v>
          </cell>
          <cell r="K400">
            <v>20</v>
          </cell>
          <cell r="L400" t="str">
            <v>FALTA ENTREGA</v>
          </cell>
          <cell r="M400" t="str">
            <v>-</v>
          </cell>
          <cell r="N400" t="str">
            <v>OC'S METALFISA</v>
          </cell>
          <cell r="O400" t="str">
            <v>-</v>
          </cell>
          <cell r="Q400">
            <v>121</v>
          </cell>
          <cell r="R400" t="str">
            <v>OC'S VMI MEC</v>
          </cell>
          <cell r="S400">
            <v>28</v>
          </cell>
          <cell r="T400" t="str">
            <v>OC'S MAPHE</v>
          </cell>
          <cell r="U400">
            <v>149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129</v>
          </cell>
          <cell r="AA400">
            <v>129</v>
          </cell>
          <cell r="AB400">
            <v>0</v>
          </cell>
          <cell r="AC400">
            <v>0</v>
          </cell>
          <cell r="AD400">
            <v>-129</v>
          </cell>
        </row>
        <row r="401">
          <cell r="A401" t="str">
            <v>33.03.10206.00</v>
          </cell>
          <cell r="B401" t="str">
            <v>OB - TAMPA SUPERIOR / 33.03.10206.00</v>
          </cell>
          <cell r="C401">
            <v>46063</v>
          </cell>
          <cell r="D401" t="str">
            <v>-</v>
          </cell>
          <cell r="E401" t="str">
            <v>-</v>
          </cell>
          <cell r="F401" t="str">
            <v>-</v>
          </cell>
          <cell r="G401" t="str">
            <v>-</v>
          </cell>
          <cell r="H401" t="str">
            <v>-</v>
          </cell>
          <cell r="I401">
            <v>2</v>
          </cell>
          <cell r="J401">
            <v>2</v>
          </cell>
          <cell r="K401">
            <v>2</v>
          </cell>
          <cell r="L401" t="str">
            <v>ENTREGA PARCIAL</v>
          </cell>
          <cell r="M401">
            <v>7</v>
          </cell>
          <cell r="N401" t="str">
            <v>OC'S METALFISA</v>
          </cell>
          <cell r="O401" t="str">
            <v>-</v>
          </cell>
          <cell r="Q401" t="str">
            <v>-</v>
          </cell>
          <cell r="S401" t="str">
            <v>-</v>
          </cell>
          <cell r="U401">
            <v>7</v>
          </cell>
          <cell r="V401">
            <v>8</v>
          </cell>
          <cell r="W401">
            <v>0</v>
          </cell>
          <cell r="X401">
            <v>0</v>
          </cell>
          <cell r="Y401">
            <v>0</v>
          </cell>
          <cell r="Z401">
            <v>6</v>
          </cell>
          <cell r="AA401">
            <v>14</v>
          </cell>
          <cell r="AB401">
            <v>0</v>
          </cell>
          <cell r="AC401">
            <v>7</v>
          </cell>
          <cell r="AD401">
            <v>-7</v>
          </cell>
        </row>
        <row r="402">
          <cell r="A402" t="str">
            <v>33.03.10207.02</v>
          </cell>
          <cell r="B402" t="str">
            <v>SUPORTE CORTINA / 33.03.10207.02</v>
          </cell>
          <cell r="D402" t="str">
            <v>-</v>
          </cell>
          <cell r="E402" t="str">
            <v>-</v>
          </cell>
          <cell r="F402" t="str">
            <v>-</v>
          </cell>
          <cell r="G402" t="str">
            <v>-</v>
          </cell>
          <cell r="H402" t="str">
            <v>-</v>
          </cell>
          <cell r="I402" t="str">
            <v>-</v>
          </cell>
          <cell r="J402">
            <v>0</v>
          </cell>
          <cell r="K402">
            <v>-2</v>
          </cell>
          <cell r="L402" t="str">
            <v>FALTA ENTREGA</v>
          </cell>
          <cell r="M402" t="str">
            <v>-</v>
          </cell>
          <cell r="N402" t="str">
            <v>OC'S METALFISA</v>
          </cell>
          <cell r="O402" t="str">
            <v>-</v>
          </cell>
          <cell r="Q402" t="str">
            <v>-</v>
          </cell>
          <cell r="S402" t="str">
            <v>-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2</v>
          </cell>
          <cell r="AA402">
            <v>2</v>
          </cell>
          <cell r="AB402">
            <v>0</v>
          </cell>
          <cell r="AC402">
            <v>0</v>
          </cell>
          <cell r="AD402">
            <v>-2</v>
          </cell>
        </row>
        <row r="403">
          <cell r="A403" t="str">
            <v>33.03.10214.01</v>
          </cell>
          <cell r="B403" t="str">
            <v>COLUNA ESTEIRA / 33.03.10214.01</v>
          </cell>
          <cell r="D403" t="str">
            <v>-</v>
          </cell>
          <cell r="E403" t="str">
            <v>-</v>
          </cell>
          <cell r="F403" t="str">
            <v>-</v>
          </cell>
          <cell r="G403" t="str">
            <v>-</v>
          </cell>
          <cell r="H403" t="str">
            <v>-</v>
          </cell>
          <cell r="I403" t="str">
            <v>-</v>
          </cell>
          <cell r="J403">
            <v>0</v>
          </cell>
          <cell r="K403">
            <v>16</v>
          </cell>
          <cell r="L403" t="str">
            <v>FALTA ENTREGA</v>
          </cell>
          <cell r="M403">
            <v>22</v>
          </cell>
          <cell r="N403" t="str">
            <v>OC'S METALFISA</v>
          </cell>
          <cell r="O403" t="str">
            <v>-</v>
          </cell>
          <cell r="Q403" t="str">
            <v>-</v>
          </cell>
          <cell r="S403" t="str">
            <v>-</v>
          </cell>
          <cell r="U403">
            <v>22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6</v>
          </cell>
          <cell r="AA403">
            <v>6</v>
          </cell>
          <cell r="AB403">
            <v>0</v>
          </cell>
          <cell r="AC403">
            <v>0</v>
          </cell>
          <cell r="AD403">
            <v>-6</v>
          </cell>
        </row>
        <row r="404">
          <cell r="A404" t="str">
            <v>33.03.10220.01</v>
          </cell>
          <cell r="B404" t="str">
            <v>SUPORTE ROLETE / 33.03.10220.01</v>
          </cell>
          <cell r="D404" t="str">
            <v>-</v>
          </cell>
          <cell r="E404" t="str">
            <v>-</v>
          </cell>
          <cell r="F404" t="str">
            <v>-</v>
          </cell>
          <cell r="G404" t="str">
            <v>-</v>
          </cell>
          <cell r="H404" t="str">
            <v>-</v>
          </cell>
          <cell r="I404" t="str">
            <v>-</v>
          </cell>
          <cell r="J404">
            <v>0</v>
          </cell>
          <cell r="K404">
            <v>16</v>
          </cell>
          <cell r="L404" t="str">
            <v>ENTREGA PARCIAL</v>
          </cell>
          <cell r="M404" t="str">
            <v>-</v>
          </cell>
          <cell r="N404" t="str">
            <v>OC'S METALFISA</v>
          </cell>
          <cell r="O404">
            <v>18</v>
          </cell>
          <cell r="P404" t="str">
            <v>OC'S GRANATO</v>
          </cell>
          <cell r="Q404" t="str">
            <v>-</v>
          </cell>
          <cell r="S404" t="str">
            <v>-</v>
          </cell>
          <cell r="U404">
            <v>18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7</v>
          </cell>
          <cell r="AA404">
            <v>7</v>
          </cell>
          <cell r="AB404">
            <v>0</v>
          </cell>
          <cell r="AC404">
            <v>5</v>
          </cell>
          <cell r="AD404">
            <v>-2</v>
          </cell>
        </row>
        <row r="405">
          <cell r="A405" t="str">
            <v>33.03.10221.00</v>
          </cell>
          <cell r="B405" t="str">
            <v>SUPORTE ROLETE ESTICADOR / 33.03.10221.00</v>
          </cell>
          <cell r="D405" t="str">
            <v>-</v>
          </cell>
          <cell r="E405" t="str">
            <v>-</v>
          </cell>
          <cell r="F405" t="str">
            <v>-</v>
          </cell>
          <cell r="G405" t="str">
            <v>-</v>
          </cell>
          <cell r="H405" t="str">
            <v>-</v>
          </cell>
          <cell r="I405" t="str">
            <v>-</v>
          </cell>
          <cell r="J405">
            <v>0</v>
          </cell>
          <cell r="K405">
            <v>15</v>
          </cell>
          <cell r="L405" t="str">
            <v>FALTA ENTREGA</v>
          </cell>
          <cell r="M405" t="str">
            <v>-</v>
          </cell>
          <cell r="N405" t="str">
            <v>OC'S METALFISA</v>
          </cell>
          <cell r="O405">
            <v>16</v>
          </cell>
          <cell r="P405" t="str">
            <v>OC'S GRANATO</v>
          </cell>
          <cell r="Q405" t="str">
            <v>-</v>
          </cell>
          <cell r="S405" t="str">
            <v>-</v>
          </cell>
          <cell r="U405">
            <v>16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1</v>
          </cell>
          <cell r="AA405">
            <v>1</v>
          </cell>
          <cell r="AB405">
            <v>0</v>
          </cell>
          <cell r="AC405">
            <v>0</v>
          </cell>
          <cell r="AD405">
            <v>-1</v>
          </cell>
        </row>
        <row r="406">
          <cell r="A406" t="str">
            <v>33.03.10224.01</v>
          </cell>
          <cell r="B406" t="str">
            <v>REFORCO / 33.03.10224.01</v>
          </cell>
          <cell r="C406">
            <v>46074</v>
          </cell>
          <cell r="D406" t="str">
            <v>-</v>
          </cell>
          <cell r="E406" t="str">
            <v>-</v>
          </cell>
          <cell r="F406" t="str">
            <v>-</v>
          </cell>
          <cell r="G406" t="str">
            <v>-</v>
          </cell>
          <cell r="H406" t="str">
            <v>-</v>
          </cell>
          <cell r="I406" t="str">
            <v>-</v>
          </cell>
          <cell r="J406">
            <v>0</v>
          </cell>
          <cell r="K406">
            <v>48</v>
          </cell>
          <cell r="L406" t="str">
            <v>ENTREGA TOTAL</v>
          </cell>
          <cell r="M406" t="str">
            <v>-</v>
          </cell>
          <cell r="N406" t="str">
            <v>OC'S METALFISA</v>
          </cell>
          <cell r="O406" t="str">
            <v>-</v>
          </cell>
          <cell r="Q406">
            <v>16</v>
          </cell>
          <cell r="S406">
            <v>28</v>
          </cell>
          <cell r="T406" t="str">
            <v>OC'S MAPHE</v>
          </cell>
          <cell r="U406">
            <v>44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12</v>
          </cell>
          <cell r="AA406">
            <v>12</v>
          </cell>
          <cell r="AB406">
            <v>0</v>
          </cell>
          <cell r="AC406">
            <v>16</v>
          </cell>
          <cell r="AD406">
            <v>4</v>
          </cell>
        </row>
        <row r="407">
          <cell r="A407" t="str">
            <v>33.03.10231.01</v>
          </cell>
          <cell r="B407" t="str">
            <v>FUNDO ESTEIRA / 33.03.10231.01</v>
          </cell>
          <cell r="D407" t="str">
            <v>-</v>
          </cell>
          <cell r="E407" t="str">
            <v>-</v>
          </cell>
          <cell r="F407" t="str">
            <v>-</v>
          </cell>
          <cell r="G407" t="str">
            <v>-</v>
          </cell>
          <cell r="H407" t="str">
            <v>-</v>
          </cell>
          <cell r="I407" t="str">
            <v>-</v>
          </cell>
          <cell r="J407">
            <v>0</v>
          </cell>
          <cell r="K407">
            <v>7</v>
          </cell>
          <cell r="L407" t="str">
            <v>FALTA ENTREGA</v>
          </cell>
          <cell r="M407" t="str">
            <v>-</v>
          </cell>
          <cell r="N407" t="str">
            <v>OC'S METALFISA</v>
          </cell>
          <cell r="O407" t="str">
            <v>-</v>
          </cell>
          <cell r="Q407" t="str">
            <v>-</v>
          </cell>
          <cell r="S407">
            <v>8</v>
          </cell>
          <cell r="T407" t="str">
            <v>OC'S MAPHE</v>
          </cell>
          <cell r="U407">
            <v>8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1</v>
          </cell>
          <cell r="AA407">
            <v>1</v>
          </cell>
          <cell r="AB407">
            <v>0</v>
          </cell>
          <cell r="AC407">
            <v>0</v>
          </cell>
          <cell r="AD407">
            <v>-1</v>
          </cell>
        </row>
        <row r="408">
          <cell r="A408" t="str">
            <v>33.03.10236.02</v>
          </cell>
          <cell r="B408" t="str">
            <v>PROTECAO ROLETE ESTICADOR DIREITO / 33.03.10236.02</v>
          </cell>
          <cell r="C408">
            <v>46066</v>
          </cell>
          <cell r="D408" t="str">
            <v>-</v>
          </cell>
          <cell r="E408" t="str">
            <v>-</v>
          </cell>
          <cell r="F408" t="str">
            <v>-</v>
          </cell>
          <cell r="G408" t="str">
            <v>-</v>
          </cell>
          <cell r="H408" t="str">
            <v>-</v>
          </cell>
          <cell r="I408" t="str">
            <v>-</v>
          </cell>
          <cell r="J408">
            <v>0</v>
          </cell>
          <cell r="K408">
            <v>12</v>
          </cell>
          <cell r="L408" t="str">
            <v>ENTREGA TOTAL</v>
          </cell>
          <cell r="M408">
            <v>11</v>
          </cell>
          <cell r="N408" t="str">
            <v>OC'S METALFISA</v>
          </cell>
          <cell r="O408" t="str">
            <v>-</v>
          </cell>
          <cell r="Q408" t="str">
            <v>-</v>
          </cell>
          <cell r="S408" t="str">
            <v>-</v>
          </cell>
          <cell r="U408">
            <v>11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1</v>
          </cell>
          <cell r="AA408">
            <v>1</v>
          </cell>
          <cell r="AB408">
            <v>0</v>
          </cell>
          <cell r="AC408">
            <v>2</v>
          </cell>
          <cell r="AD408">
            <v>1</v>
          </cell>
        </row>
        <row r="409">
          <cell r="A409" t="str">
            <v>33.03.10240.02</v>
          </cell>
          <cell r="B409" t="str">
            <v>PROTECAO ROLETE ESTICADOR ESQUERDO / 33.03.10240.02</v>
          </cell>
          <cell r="C409">
            <v>46066</v>
          </cell>
          <cell r="D409" t="str">
            <v>-</v>
          </cell>
          <cell r="E409" t="str">
            <v>-</v>
          </cell>
          <cell r="F409" t="str">
            <v>-</v>
          </cell>
          <cell r="G409" t="str">
            <v>-</v>
          </cell>
          <cell r="H409" t="str">
            <v>-</v>
          </cell>
          <cell r="I409" t="str">
            <v>-</v>
          </cell>
          <cell r="J409">
            <v>0</v>
          </cell>
          <cell r="K409">
            <v>20</v>
          </cell>
          <cell r="L409" t="str">
            <v>ENTREGA TOTAL</v>
          </cell>
          <cell r="M409">
            <v>14</v>
          </cell>
          <cell r="N409" t="str">
            <v>OC'S METALFISA</v>
          </cell>
          <cell r="O409" t="str">
            <v>-</v>
          </cell>
          <cell r="Q409" t="str">
            <v>-</v>
          </cell>
          <cell r="S409" t="str">
            <v>-</v>
          </cell>
          <cell r="U409">
            <v>14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2</v>
          </cell>
          <cell r="AA409">
            <v>2</v>
          </cell>
          <cell r="AB409">
            <v>0</v>
          </cell>
          <cell r="AC409">
            <v>8</v>
          </cell>
          <cell r="AD409">
            <v>6</v>
          </cell>
        </row>
        <row r="410">
          <cell r="A410" t="str">
            <v>33.03.10242.00</v>
          </cell>
          <cell r="B410" t="str">
            <v>OB - FIXACAO MESA / 33.03.10242.00</v>
          </cell>
          <cell r="D410" t="str">
            <v>-</v>
          </cell>
          <cell r="E410" t="str">
            <v>-</v>
          </cell>
          <cell r="F410" t="str">
            <v>-</v>
          </cell>
          <cell r="G410" t="str">
            <v>-</v>
          </cell>
          <cell r="H410" t="str">
            <v>-</v>
          </cell>
          <cell r="I410" t="str">
            <v>-</v>
          </cell>
          <cell r="J410">
            <v>0</v>
          </cell>
          <cell r="K410">
            <v>27</v>
          </cell>
          <cell r="L410" t="str">
            <v>FALTA ENTREGA</v>
          </cell>
          <cell r="M410" t="str">
            <v>-</v>
          </cell>
          <cell r="N410" t="str">
            <v>OC'S METALFISA</v>
          </cell>
          <cell r="O410" t="str">
            <v>-</v>
          </cell>
          <cell r="Q410">
            <v>109</v>
          </cell>
          <cell r="R410" t="str">
            <v>OC'S VMI MEC</v>
          </cell>
          <cell r="S410" t="str">
            <v>-</v>
          </cell>
          <cell r="U410">
            <v>109</v>
          </cell>
          <cell r="V410">
            <v>12</v>
          </cell>
          <cell r="W410">
            <v>14</v>
          </cell>
          <cell r="X410">
            <v>0</v>
          </cell>
          <cell r="Y410">
            <v>0</v>
          </cell>
          <cell r="Z410">
            <v>56</v>
          </cell>
          <cell r="AA410">
            <v>82</v>
          </cell>
          <cell r="AB410">
            <v>0</v>
          </cell>
          <cell r="AC410">
            <v>0</v>
          </cell>
          <cell r="AD410">
            <v>-82</v>
          </cell>
        </row>
        <row r="411">
          <cell r="A411" t="str">
            <v>33.03.10243.00</v>
          </cell>
          <cell r="B411" t="str">
            <v>REGULAGEM / 33.03.10243.00</v>
          </cell>
          <cell r="D411" t="str">
            <v>-</v>
          </cell>
          <cell r="E411" t="str">
            <v>-</v>
          </cell>
          <cell r="F411" t="str">
            <v>-</v>
          </cell>
          <cell r="G411" t="str">
            <v>-</v>
          </cell>
          <cell r="H411" t="str">
            <v>-</v>
          </cell>
          <cell r="I411" t="str">
            <v>-</v>
          </cell>
          <cell r="J411">
            <v>0</v>
          </cell>
          <cell r="K411">
            <v>16</v>
          </cell>
          <cell r="L411" t="str">
            <v>FALTA ENTREGA</v>
          </cell>
          <cell r="M411" t="str">
            <v>-</v>
          </cell>
          <cell r="N411" t="str">
            <v>OC'S METALFISA</v>
          </cell>
          <cell r="O411" t="str">
            <v>-</v>
          </cell>
          <cell r="Q411">
            <v>8</v>
          </cell>
          <cell r="S411">
            <v>14</v>
          </cell>
          <cell r="T411" t="str">
            <v>OC'S MAPHE</v>
          </cell>
          <cell r="U411">
            <v>22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6</v>
          </cell>
          <cell r="AA411">
            <v>6</v>
          </cell>
          <cell r="AB411">
            <v>0</v>
          </cell>
          <cell r="AC411">
            <v>0</v>
          </cell>
          <cell r="AD411">
            <v>-6</v>
          </cell>
        </row>
        <row r="412">
          <cell r="A412" t="str">
            <v>33.03.10244.00</v>
          </cell>
          <cell r="B412" t="str">
            <v>VEDACAO / 33.03.10244.00</v>
          </cell>
          <cell r="C412">
            <v>46066</v>
          </cell>
          <cell r="D412" t="str">
            <v>-</v>
          </cell>
          <cell r="E412" t="str">
            <v>-</v>
          </cell>
          <cell r="F412" t="str">
            <v>-</v>
          </cell>
          <cell r="G412" t="str">
            <v>-</v>
          </cell>
          <cell r="H412" t="str">
            <v>-</v>
          </cell>
          <cell r="I412" t="str">
            <v>-</v>
          </cell>
          <cell r="J412">
            <v>0</v>
          </cell>
          <cell r="K412">
            <v>25</v>
          </cell>
          <cell r="L412" t="str">
            <v>ENTREGA TOTAL</v>
          </cell>
          <cell r="M412" t="str">
            <v>-</v>
          </cell>
          <cell r="N412" t="str">
            <v>OC'S METALFISA</v>
          </cell>
          <cell r="O412" t="str">
            <v>-</v>
          </cell>
          <cell r="Q412">
            <v>8</v>
          </cell>
          <cell r="S412">
            <v>16</v>
          </cell>
          <cell r="T412" t="str">
            <v>OC'S MAPHE</v>
          </cell>
          <cell r="U412">
            <v>24</v>
          </cell>
          <cell r="V412">
            <v>2</v>
          </cell>
          <cell r="W412">
            <v>0</v>
          </cell>
          <cell r="X412">
            <v>0</v>
          </cell>
          <cell r="Y412">
            <v>0</v>
          </cell>
          <cell r="Z412">
            <v>6</v>
          </cell>
          <cell r="AA412">
            <v>8</v>
          </cell>
          <cell r="AB412">
            <v>0</v>
          </cell>
          <cell r="AC412">
            <v>9</v>
          </cell>
          <cell r="AD412">
            <v>1</v>
          </cell>
        </row>
        <row r="413">
          <cell r="A413" t="str">
            <v>33.03.10246.01</v>
          </cell>
          <cell r="B413" t="str">
            <v>FIXACAO MESA / 33.03.10246.01</v>
          </cell>
          <cell r="C413">
            <v>46076</v>
          </cell>
          <cell r="D413" t="str">
            <v>-</v>
          </cell>
          <cell r="E413" t="str">
            <v>-</v>
          </cell>
          <cell r="F413" t="str">
            <v>-</v>
          </cell>
          <cell r="G413" t="str">
            <v>-</v>
          </cell>
          <cell r="H413" t="str">
            <v>-</v>
          </cell>
          <cell r="I413" t="str">
            <v>-</v>
          </cell>
          <cell r="J413">
            <v>0</v>
          </cell>
          <cell r="K413">
            <v>8</v>
          </cell>
          <cell r="L413" t="str">
            <v>FALTA ENTREGA</v>
          </cell>
          <cell r="M413" t="str">
            <v>-</v>
          </cell>
          <cell r="N413" t="str">
            <v>OC'S METALFISA</v>
          </cell>
          <cell r="O413" t="str">
            <v>-</v>
          </cell>
          <cell r="Q413">
            <v>33</v>
          </cell>
          <cell r="R413" t="str">
            <v>OC'S VMI MEC</v>
          </cell>
          <cell r="S413">
            <v>8</v>
          </cell>
          <cell r="T413" t="str">
            <v>OC'S MAPHE</v>
          </cell>
          <cell r="U413">
            <v>41</v>
          </cell>
          <cell r="V413">
            <v>0</v>
          </cell>
          <cell r="W413">
            <v>2</v>
          </cell>
          <cell r="X413">
            <v>0</v>
          </cell>
          <cell r="Y413">
            <v>0</v>
          </cell>
          <cell r="Z413">
            <v>31</v>
          </cell>
          <cell r="AA413">
            <v>33</v>
          </cell>
          <cell r="AB413">
            <v>0</v>
          </cell>
          <cell r="AC413">
            <v>0</v>
          </cell>
          <cell r="AD413">
            <v>-33</v>
          </cell>
        </row>
        <row r="414">
          <cell r="A414" t="str">
            <v>33.03.10248.02</v>
          </cell>
          <cell r="B414" t="str">
            <v>FIXACAO MESA / 33.03.10248.02</v>
          </cell>
          <cell r="C414">
            <v>46076</v>
          </cell>
          <cell r="D414" t="str">
            <v>-</v>
          </cell>
          <cell r="E414" t="str">
            <v>-</v>
          </cell>
          <cell r="F414" t="str">
            <v>-</v>
          </cell>
          <cell r="G414" t="str">
            <v>-</v>
          </cell>
          <cell r="H414" t="str">
            <v>-</v>
          </cell>
          <cell r="I414" t="str">
            <v>-</v>
          </cell>
          <cell r="J414">
            <v>0</v>
          </cell>
          <cell r="K414">
            <v>-8</v>
          </cell>
          <cell r="L414" t="str">
            <v>FALTA ENTREGA</v>
          </cell>
          <cell r="M414" t="str">
            <v>-</v>
          </cell>
          <cell r="N414" t="str">
            <v>OC'S METALFISA</v>
          </cell>
          <cell r="O414" t="str">
            <v>-</v>
          </cell>
          <cell r="Q414">
            <v>33</v>
          </cell>
          <cell r="R414" t="str">
            <v>OC'S VMI MEC</v>
          </cell>
          <cell r="S414">
            <v>8</v>
          </cell>
          <cell r="T414" t="str">
            <v>OC'S MAPHE</v>
          </cell>
          <cell r="U414">
            <v>41</v>
          </cell>
          <cell r="V414">
            <v>11</v>
          </cell>
          <cell r="W414">
            <v>7</v>
          </cell>
          <cell r="X414">
            <v>0</v>
          </cell>
          <cell r="Y414">
            <v>0</v>
          </cell>
          <cell r="Z414">
            <v>31</v>
          </cell>
          <cell r="AA414">
            <v>49</v>
          </cell>
          <cell r="AB414">
            <v>0</v>
          </cell>
          <cell r="AC414">
            <v>0</v>
          </cell>
          <cell r="AD414">
            <v>-49</v>
          </cell>
        </row>
        <row r="415">
          <cell r="A415" t="str">
            <v>33.03.10253.01</v>
          </cell>
          <cell r="B415" t="str">
            <v>REGULAGEM  / 33.03.10253.01</v>
          </cell>
          <cell r="D415" t="str">
            <v>-</v>
          </cell>
          <cell r="E415" t="str">
            <v>-</v>
          </cell>
          <cell r="F415" t="str">
            <v>-</v>
          </cell>
          <cell r="G415" t="str">
            <v>-</v>
          </cell>
          <cell r="H415" t="str">
            <v>-</v>
          </cell>
          <cell r="I415" t="str">
            <v>-</v>
          </cell>
          <cell r="J415">
            <v>0</v>
          </cell>
          <cell r="K415">
            <v>36</v>
          </cell>
          <cell r="L415" t="str">
            <v>FALTA ENTREGA</v>
          </cell>
          <cell r="M415" t="str">
            <v>-</v>
          </cell>
          <cell r="N415" t="str">
            <v>OC'S METALFISA</v>
          </cell>
          <cell r="O415" t="str">
            <v>-</v>
          </cell>
          <cell r="Q415">
            <v>28</v>
          </cell>
          <cell r="S415">
            <v>36</v>
          </cell>
          <cell r="T415" t="str">
            <v>OC'S MAPHE</v>
          </cell>
          <cell r="U415">
            <v>64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28</v>
          </cell>
          <cell r="AA415">
            <v>28</v>
          </cell>
          <cell r="AB415">
            <v>0</v>
          </cell>
          <cell r="AC415">
            <v>0</v>
          </cell>
          <cell r="AD415">
            <v>-28</v>
          </cell>
        </row>
        <row r="416">
          <cell r="A416" t="str">
            <v>33.03.10257.01</v>
          </cell>
          <cell r="B416" t="str">
            <v>REGUA COLIMADOR 1 / 33.03.10257.01</v>
          </cell>
          <cell r="C416">
            <v>46062</v>
          </cell>
          <cell r="D416" t="str">
            <v>-</v>
          </cell>
          <cell r="E416" t="str">
            <v>-</v>
          </cell>
          <cell r="F416" t="str">
            <v>-</v>
          </cell>
          <cell r="G416" t="str">
            <v>-</v>
          </cell>
          <cell r="H416" t="str">
            <v>-</v>
          </cell>
          <cell r="I416" t="str">
            <v>-</v>
          </cell>
          <cell r="J416">
            <v>0</v>
          </cell>
          <cell r="K416">
            <v>64</v>
          </cell>
          <cell r="L416" t="str">
            <v>ENTREGA PARCIAL</v>
          </cell>
          <cell r="M416" t="str">
            <v>-</v>
          </cell>
          <cell r="N416" t="str">
            <v>OC'S METALFISA</v>
          </cell>
          <cell r="O416" t="str">
            <v>-</v>
          </cell>
          <cell r="Q416">
            <v>29</v>
          </cell>
          <cell r="S416">
            <v>36</v>
          </cell>
          <cell r="T416" t="str">
            <v>OC'S MAPHE</v>
          </cell>
          <cell r="U416">
            <v>65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29</v>
          </cell>
          <cell r="AA416">
            <v>29</v>
          </cell>
          <cell r="AB416">
            <v>0</v>
          </cell>
          <cell r="AC416">
            <v>28</v>
          </cell>
          <cell r="AD416">
            <v>-1</v>
          </cell>
        </row>
        <row r="417">
          <cell r="A417" t="str">
            <v>33.03.10258.01</v>
          </cell>
          <cell r="B417" t="str">
            <v>LATERAL DIREITA COLIMADOR. / 33.03.10258.01</v>
          </cell>
          <cell r="D417" t="str">
            <v>-</v>
          </cell>
          <cell r="E417" t="str">
            <v>-</v>
          </cell>
          <cell r="F417" t="str">
            <v>-</v>
          </cell>
          <cell r="G417" t="str">
            <v>-</v>
          </cell>
          <cell r="H417" t="str">
            <v>-</v>
          </cell>
          <cell r="I417" t="str">
            <v>-</v>
          </cell>
          <cell r="J417">
            <v>0</v>
          </cell>
          <cell r="K417">
            <v>17</v>
          </cell>
          <cell r="L417" t="str">
            <v>FALTA ENTREGA</v>
          </cell>
          <cell r="M417" t="str">
            <v>-</v>
          </cell>
          <cell r="N417" t="str">
            <v>OC'S METALFISA</v>
          </cell>
          <cell r="O417" t="str">
            <v>-</v>
          </cell>
          <cell r="Q417">
            <v>15</v>
          </cell>
          <cell r="S417">
            <v>18</v>
          </cell>
          <cell r="T417" t="str">
            <v>OC'S MAPHE</v>
          </cell>
          <cell r="U417">
            <v>33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16</v>
          </cell>
          <cell r="AA417">
            <v>16</v>
          </cell>
          <cell r="AB417">
            <v>0</v>
          </cell>
          <cell r="AC417">
            <v>0</v>
          </cell>
          <cell r="AD417">
            <v>-16</v>
          </cell>
        </row>
        <row r="418">
          <cell r="A418" t="str">
            <v>33.03.10260.01</v>
          </cell>
          <cell r="B418" t="str">
            <v>LATERAL ESQUERDA COLIMADOR / 33.03.10260.01</v>
          </cell>
          <cell r="D418" t="str">
            <v>-</v>
          </cell>
          <cell r="E418" t="str">
            <v>-</v>
          </cell>
          <cell r="F418" t="str">
            <v>-</v>
          </cell>
          <cell r="G418" t="str">
            <v>-</v>
          </cell>
          <cell r="H418" t="str">
            <v>-</v>
          </cell>
          <cell r="I418" t="str">
            <v>-</v>
          </cell>
          <cell r="J418">
            <v>0</v>
          </cell>
          <cell r="K418">
            <v>20</v>
          </cell>
          <cell r="L418" t="str">
            <v>FALTA ENTREGA</v>
          </cell>
          <cell r="M418" t="str">
            <v>-</v>
          </cell>
          <cell r="N418" t="str">
            <v>OC'S METALFISA</v>
          </cell>
          <cell r="O418" t="str">
            <v>-</v>
          </cell>
          <cell r="Q418">
            <v>15</v>
          </cell>
          <cell r="S418">
            <v>18</v>
          </cell>
          <cell r="T418" t="str">
            <v>OC'S MAPHE</v>
          </cell>
          <cell r="U418">
            <v>33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13</v>
          </cell>
          <cell r="AA418">
            <v>13</v>
          </cell>
          <cell r="AB418">
            <v>0</v>
          </cell>
          <cell r="AC418">
            <v>0</v>
          </cell>
          <cell r="AD418">
            <v>-13</v>
          </cell>
        </row>
        <row r="419">
          <cell r="A419" t="str">
            <v>33.03.10264.00</v>
          </cell>
          <cell r="B419" t="str">
            <v>FRONTAL COLIMADOR. / 33.03.10264.00</v>
          </cell>
          <cell r="C419">
            <v>46066</v>
          </cell>
          <cell r="D419" t="str">
            <v>-</v>
          </cell>
          <cell r="E419" t="str">
            <v>-</v>
          </cell>
          <cell r="F419" t="str">
            <v>-</v>
          </cell>
          <cell r="G419" t="str">
            <v>-</v>
          </cell>
          <cell r="H419" t="str">
            <v>-</v>
          </cell>
          <cell r="I419" t="str">
            <v>-</v>
          </cell>
          <cell r="J419">
            <v>0</v>
          </cell>
          <cell r="K419">
            <v>34</v>
          </cell>
          <cell r="L419" t="str">
            <v>ENTREGA TOTAL</v>
          </cell>
          <cell r="M419" t="str">
            <v>-</v>
          </cell>
          <cell r="N419" t="str">
            <v>OC'S METALFISA</v>
          </cell>
          <cell r="O419" t="str">
            <v>-</v>
          </cell>
          <cell r="Q419">
            <v>15</v>
          </cell>
          <cell r="S419">
            <v>18</v>
          </cell>
          <cell r="T419" t="str">
            <v>OC'S MAPHE</v>
          </cell>
          <cell r="U419">
            <v>33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14</v>
          </cell>
          <cell r="AA419">
            <v>14</v>
          </cell>
          <cell r="AB419">
            <v>0</v>
          </cell>
          <cell r="AC419">
            <v>15</v>
          </cell>
          <cell r="AD419">
            <v>1</v>
          </cell>
        </row>
        <row r="420">
          <cell r="A420" t="str">
            <v>33.03.10265.01</v>
          </cell>
          <cell r="B420" t="str">
            <v>FUNDO COLIMADOR. / 33.03.10265.01</v>
          </cell>
          <cell r="C420">
            <v>46066</v>
          </cell>
          <cell r="D420" t="str">
            <v>-</v>
          </cell>
          <cell r="E420" t="str">
            <v>-</v>
          </cell>
          <cell r="F420" t="str">
            <v>-</v>
          </cell>
          <cell r="G420" t="str">
            <v>-</v>
          </cell>
          <cell r="H420" t="str">
            <v>-</v>
          </cell>
          <cell r="I420" t="str">
            <v>-</v>
          </cell>
          <cell r="J420">
            <v>0</v>
          </cell>
          <cell r="K420">
            <v>21</v>
          </cell>
          <cell r="L420" t="str">
            <v>ENTREGA PARCIAL</v>
          </cell>
          <cell r="M420" t="str">
            <v>-</v>
          </cell>
          <cell r="N420" t="str">
            <v>OC'S METALFISA</v>
          </cell>
          <cell r="O420" t="str">
            <v>-</v>
          </cell>
          <cell r="Q420">
            <v>15</v>
          </cell>
          <cell r="S420">
            <v>18</v>
          </cell>
          <cell r="T420" t="str">
            <v>OC'S MAPHE</v>
          </cell>
          <cell r="U420">
            <v>33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27</v>
          </cell>
          <cell r="AA420">
            <v>27</v>
          </cell>
          <cell r="AB420">
            <v>0</v>
          </cell>
          <cell r="AC420">
            <v>15</v>
          </cell>
          <cell r="AD420">
            <v>-12</v>
          </cell>
        </row>
        <row r="421">
          <cell r="A421" t="str">
            <v>33.03.10266.02</v>
          </cell>
          <cell r="B421" t="str">
            <v>SUPORTE COLIMADOR / 33.03.10266.02</v>
          </cell>
          <cell r="D421" t="str">
            <v>-</v>
          </cell>
          <cell r="E421" t="str">
            <v>-</v>
          </cell>
          <cell r="F421" t="str">
            <v>-</v>
          </cell>
          <cell r="G421" t="str">
            <v>-</v>
          </cell>
          <cell r="H421" t="str">
            <v>-</v>
          </cell>
          <cell r="I421" t="str">
            <v>-</v>
          </cell>
          <cell r="J421">
            <v>0</v>
          </cell>
          <cell r="K421">
            <v>38</v>
          </cell>
          <cell r="L421" t="str">
            <v>FALTA ENTREGA</v>
          </cell>
          <cell r="M421" t="str">
            <v>-</v>
          </cell>
          <cell r="N421" t="str">
            <v>OC'S METALFISA</v>
          </cell>
          <cell r="O421" t="str">
            <v>-</v>
          </cell>
          <cell r="Q421">
            <v>44</v>
          </cell>
          <cell r="S421">
            <v>36</v>
          </cell>
          <cell r="T421" t="str">
            <v>OC'S MAPHE</v>
          </cell>
          <cell r="U421">
            <v>80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42</v>
          </cell>
          <cell r="AA421">
            <v>42</v>
          </cell>
          <cell r="AB421">
            <v>0</v>
          </cell>
          <cell r="AC421">
            <v>0</v>
          </cell>
          <cell r="AD421">
            <v>-42</v>
          </cell>
        </row>
        <row r="422">
          <cell r="A422" t="str">
            <v>33.03.10272.00</v>
          </cell>
          <cell r="B422" t="str">
            <v>TUNEL MEIO / 33.03.10272.00</v>
          </cell>
          <cell r="D422" t="str">
            <v>-</v>
          </cell>
          <cell r="E422" t="str">
            <v>-</v>
          </cell>
          <cell r="F422" t="str">
            <v>-</v>
          </cell>
          <cell r="G422" t="str">
            <v>-</v>
          </cell>
          <cell r="H422" t="str">
            <v>-</v>
          </cell>
          <cell r="I422" t="str">
            <v>-</v>
          </cell>
          <cell r="J422">
            <v>0</v>
          </cell>
          <cell r="K422">
            <v>-1</v>
          </cell>
          <cell r="L422" t="str">
            <v>FALTA ENTREGA</v>
          </cell>
          <cell r="M422" t="str">
            <v>-</v>
          </cell>
          <cell r="N422" t="str">
            <v>OC'S METALFISA</v>
          </cell>
          <cell r="O422" t="str">
            <v>-</v>
          </cell>
          <cell r="Q422" t="str">
            <v>-</v>
          </cell>
          <cell r="S422" t="str">
            <v>-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1</v>
          </cell>
          <cell r="AA422">
            <v>1</v>
          </cell>
          <cell r="AB422">
            <v>0</v>
          </cell>
          <cell r="AC422">
            <v>0</v>
          </cell>
          <cell r="AD422">
            <v>-1</v>
          </cell>
        </row>
        <row r="423">
          <cell r="A423" t="str">
            <v>33.03.10272.01</v>
          </cell>
          <cell r="B423" t="str">
            <v>TUNEL MEIO / 33.03.10272.01</v>
          </cell>
          <cell r="C423">
            <v>46066</v>
          </cell>
          <cell r="D423" t="str">
            <v>-</v>
          </cell>
          <cell r="E423" t="str">
            <v>-</v>
          </cell>
          <cell r="F423" t="str">
            <v>-</v>
          </cell>
          <cell r="G423" t="str">
            <v>-</v>
          </cell>
          <cell r="H423" t="str">
            <v>-</v>
          </cell>
          <cell r="I423" t="str">
            <v>-</v>
          </cell>
          <cell r="J423">
            <v>0</v>
          </cell>
          <cell r="K423">
            <v>41</v>
          </cell>
          <cell r="L423" t="str">
            <v>ENTREGA TOTAL</v>
          </cell>
          <cell r="M423" t="str">
            <v>-</v>
          </cell>
          <cell r="N423" t="str">
            <v>OC'S METALFISA</v>
          </cell>
          <cell r="O423" t="str">
            <v>-</v>
          </cell>
          <cell r="Q423">
            <v>14</v>
          </cell>
          <cell r="S423">
            <v>18</v>
          </cell>
          <cell r="T423" t="str">
            <v>OC'S MAPHE</v>
          </cell>
          <cell r="U423">
            <v>32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5</v>
          </cell>
          <cell r="AA423">
            <v>5</v>
          </cell>
          <cell r="AB423">
            <v>0</v>
          </cell>
          <cell r="AC423">
            <v>14</v>
          </cell>
          <cell r="AD423">
            <v>9</v>
          </cell>
        </row>
        <row r="424">
          <cell r="A424" t="str">
            <v>33.03.10275.00</v>
          </cell>
          <cell r="B424" t="str">
            <v>CAIXA COLIMADOR / 33.03.10275.00</v>
          </cell>
          <cell r="D424" t="str">
            <v>-</v>
          </cell>
          <cell r="E424" t="str">
            <v>-</v>
          </cell>
          <cell r="F424" t="str">
            <v>-</v>
          </cell>
          <cell r="G424" t="str">
            <v>-</v>
          </cell>
          <cell r="H424" t="str">
            <v>-</v>
          </cell>
          <cell r="I424" t="str">
            <v>-</v>
          </cell>
          <cell r="J424">
            <v>0</v>
          </cell>
          <cell r="K424">
            <v>8</v>
          </cell>
          <cell r="L424" t="str">
            <v>FALTA ENTREGA</v>
          </cell>
          <cell r="M424">
            <v>12</v>
          </cell>
          <cell r="N424" t="str">
            <v>OC'S METALFISA</v>
          </cell>
          <cell r="O424" t="str">
            <v>-</v>
          </cell>
          <cell r="Q424" t="str">
            <v>-</v>
          </cell>
          <cell r="S424" t="str">
            <v>-</v>
          </cell>
          <cell r="U424">
            <v>12</v>
          </cell>
          <cell r="V424">
            <v>1</v>
          </cell>
          <cell r="W424">
            <v>0</v>
          </cell>
          <cell r="X424">
            <v>0</v>
          </cell>
          <cell r="Y424">
            <v>0</v>
          </cell>
          <cell r="Z424">
            <v>3</v>
          </cell>
          <cell r="AA424">
            <v>4</v>
          </cell>
          <cell r="AB424">
            <v>1</v>
          </cell>
          <cell r="AC424">
            <v>0</v>
          </cell>
          <cell r="AD424">
            <v>-4</v>
          </cell>
        </row>
        <row r="425">
          <cell r="A425" t="str">
            <v>33.03.10277.00</v>
          </cell>
          <cell r="B425" t="str">
            <v>COLIMADOR / 33.03.10277.00</v>
          </cell>
          <cell r="C425">
            <v>46066</v>
          </cell>
          <cell r="D425" t="str">
            <v>-</v>
          </cell>
          <cell r="E425" t="str">
            <v>-</v>
          </cell>
          <cell r="F425" t="str">
            <v>-</v>
          </cell>
          <cell r="G425" t="str">
            <v>-</v>
          </cell>
          <cell r="H425" t="str">
            <v>-</v>
          </cell>
          <cell r="I425" t="str">
            <v>-</v>
          </cell>
          <cell r="J425">
            <v>0</v>
          </cell>
          <cell r="K425">
            <v>12</v>
          </cell>
          <cell r="L425" t="str">
            <v>ENTREGA TOTAL</v>
          </cell>
          <cell r="M425" t="str">
            <v>-</v>
          </cell>
          <cell r="N425" t="str">
            <v>OC'S METALFISA</v>
          </cell>
          <cell r="O425" t="str">
            <v>-</v>
          </cell>
          <cell r="Q425">
            <v>4</v>
          </cell>
          <cell r="S425">
            <v>8</v>
          </cell>
          <cell r="T425" t="str">
            <v>OC'S MAPHE</v>
          </cell>
          <cell r="U425">
            <v>12</v>
          </cell>
          <cell r="V425">
            <v>1</v>
          </cell>
          <cell r="W425">
            <v>0</v>
          </cell>
          <cell r="X425">
            <v>0</v>
          </cell>
          <cell r="Y425">
            <v>0</v>
          </cell>
          <cell r="Z425">
            <v>3</v>
          </cell>
          <cell r="AA425">
            <v>4</v>
          </cell>
          <cell r="AB425">
            <v>0</v>
          </cell>
          <cell r="AC425">
            <v>4</v>
          </cell>
          <cell r="AD425">
            <v>0</v>
          </cell>
        </row>
        <row r="426">
          <cell r="A426" t="str">
            <v>33.03.10278.00</v>
          </cell>
          <cell r="B426" t="str">
            <v>REGUA DO COLIMADOR / 33.03.10278.00</v>
          </cell>
          <cell r="C426">
            <v>46059</v>
          </cell>
          <cell r="D426" t="str">
            <v>-</v>
          </cell>
          <cell r="E426" t="str">
            <v>-</v>
          </cell>
          <cell r="F426" t="str">
            <v>-</v>
          </cell>
          <cell r="G426" t="str">
            <v>-</v>
          </cell>
          <cell r="H426" t="str">
            <v>-</v>
          </cell>
          <cell r="I426" t="str">
            <v>-</v>
          </cell>
          <cell r="J426">
            <v>0</v>
          </cell>
          <cell r="K426">
            <v>16</v>
          </cell>
          <cell r="L426" t="str">
            <v>ENTREGA PARCIAL</v>
          </cell>
          <cell r="M426" t="str">
            <v>-</v>
          </cell>
          <cell r="N426" t="str">
            <v>OC'S METALFISA</v>
          </cell>
          <cell r="O426" t="str">
            <v>-</v>
          </cell>
          <cell r="Q426">
            <v>1</v>
          </cell>
          <cell r="S426">
            <v>16</v>
          </cell>
          <cell r="T426" t="str">
            <v>OC'S MAPHE</v>
          </cell>
          <cell r="U426">
            <v>17</v>
          </cell>
          <cell r="V426">
            <v>2</v>
          </cell>
          <cell r="W426">
            <v>0</v>
          </cell>
          <cell r="X426">
            <v>0</v>
          </cell>
          <cell r="Y426">
            <v>0</v>
          </cell>
          <cell r="Z426">
            <v>6</v>
          </cell>
          <cell r="AA426">
            <v>8</v>
          </cell>
          <cell r="AB426">
            <v>0</v>
          </cell>
          <cell r="AC426">
            <v>7</v>
          </cell>
          <cell r="AD426">
            <v>-1</v>
          </cell>
        </row>
        <row r="427">
          <cell r="A427" t="str">
            <v>33.03.10281.00</v>
          </cell>
          <cell r="B427" t="str">
            <v>ESPACADOR COLIMADOR / 33.03.10281.00</v>
          </cell>
          <cell r="C427">
            <v>46066</v>
          </cell>
          <cell r="D427" t="str">
            <v>-</v>
          </cell>
          <cell r="E427" t="str">
            <v>-</v>
          </cell>
          <cell r="F427" t="str">
            <v>-</v>
          </cell>
          <cell r="G427" t="str">
            <v>-</v>
          </cell>
          <cell r="H427" t="str">
            <v>-</v>
          </cell>
          <cell r="I427" t="str">
            <v>-</v>
          </cell>
          <cell r="J427">
            <v>0</v>
          </cell>
          <cell r="K427">
            <v>18</v>
          </cell>
          <cell r="L427" t="str">
            <v>ENTREGA TOTAL</v>
          </cell>
          <cell r="M427" t="str">
            <v>-</v>
          </cell>
          <cell r="N427" t="str">
            <v>OC'S METALFISA</v>
          </cell>
          <cell r="O427" t="str">
            <v>-</v>
          </cell>
          <cell r="Q427" t="str">
            <v>-</v>
          </cell>
          <cell r="S427">
            <v>16</v>
          </cell>
          <cell r="T427" t="str">
            <v>OC'S MAPHE</v>
          </cell>
          <cell r="U427">
            <v>16</v>
          </cell>
          <cell r="V427">
            <v>8</v>
          </cell>
          <cell r="W427">
            <v>0</v>
          </cell>
          <cell r="X427">
            <v>0</v>
          </cell>
          <cell r="Y427">
            <v>0</v>
          </cell>
          <cell r="Z427">
            <v>6</v>
          </cell>
          <cell r="AA427">
            <v>14</v>
          </cell>
          <cell r="AB427">
            <v>0</v>
          </cell>
          <cell r="AC427">
            <v>16</v>
          </cell>
          <cell r="AD427">
            <v>2</v>
          </cell>
        </row>
        <row r="428">
          <cell r="A428" t="str">
            <v>33.03.10282.00</v>
          </cell>
          <cell r="B428" t="str">
            <v>ESPACADOR COLIMADOR / 33.03.10282.00</v>
          </cell>
          <cell r="C428">
            <v>46066</v>
          </cell>
          <cell r="D428" t="str">
            <v>-</v>
          </cell>
          <cell r="E428" t="str">
            <v>-</v>
          </cell>
          <cell r="F428" t="str">
            <v>-</v>
          </cell>
          <cell r="G428" t="str">
            <v>-</v>
          </cell>
          <cell r="H428" t="str">
            <v>-</v>
          </cell>
          <cell r="I428" t="str">
            <v>-</v>
          </cell>
          <cell r="J428">
            <v>0</v>
          </cell>
          <cell r="K428">
            <v>18</v>
          </cell>
          <cell r="L428" t="str">
            <v>ENTREGA TOTAL</v>
          </cell>
          <cell r="M428" t="str">
            <v>-</v>
          </cell>
          <cell r="N428" t="str">
            <v>OC'S METALFISA</v>
          </cell>
          <cell r="O428" t="str">
            <v>-</v>
          </cell>
          <cell r="Q428">
            <v>2</v>
          </cell>
          <cell r="S428">
            <v>16</v>
          </cell>
          <cell r="T428" t="str">
            <v>OC'S MAPHE</v>
          </cell>
          <cell r="U428">
            <v>18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2</v>
          </cell>
          <cell r="AA428">
            <v>2</v>
          </cell>
          <cell r="AB428">
            <v>0</v>
          </cell>
          <cell r="AC428">
            <v>2</v>
          </cell>
          <cell r="AD428">
            <v>0</v>
          </cell>
        </row>
        <row r="429">
          <cell r="A429" t="str">
            <v>33.03.10287.00</v>
          </cell>
          <cell r="B429" t="str">
            <v>TAMPA DO COLIMADOR DV / 33.03.10287.00</v>
          </cell>
          <cell r="D429" t="str">
            <v>-</v>
          </cell>
          <cell r="E429" t="str">
            <v>-</v>
          </cell>
          <cell r="F429" t="str">
            <v>-</v>
          </cell>
          <cell r="G429" t="str">
            <v>-</v>
          </cell>
          <cell r="H429" t="str">
            <v>-</v>
          </cell>
          <cell r="I429" t="str">
            <v>-</v>
          </cell>
          <cell r="J429">
            <v>0</v>
          </cell>
          <cell r="K429">
            <v>38</v>
          </cell>
          <cell r="L429" t="str">
            <v>FALTA ENTREGA</v>
          </cell>
          <cell r="M429" t="str">
            <v>-</v>
          </cell>
          <cell r="N429" t="str">
            <v>OC'S METALFISA</v>
          </cell>
          <cell r="O429" t="str">
            <v>-</v>
          </cell>
          <cell r="Q429">
            <v>30</v>
          </cell>
          <cell r="S429">
            <v>36</v>
          </cell>
          <cell r="T429" t="str">
            <v>OC'S MAPHE</v>
          </cell>
          <cell r="U429">
            <v>66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28</v>
          </cell>
          <cell r="AA429">
            <v>28</v>
          </cell>
          <cell r="AB429">
            <v>0</v>
          </cell>
          <cell r="AC429">
            <v>0</v>
          </cell>
          <cell r="AD429">
            <v>-28</v>
          </cell>
        </row>
        <row r="430">
          <cell r="A430" t="str">
            <v>33.03.10294.00</v>
          </cell>
          <cell r="B430" t="str">
            <v>DISTANCIADOR 02/33.03.10294.00</v>
          </cell>
          <cell r="C430">
            <v>46066</v>
          </cell>
          <cell r="D430" t="str">
            <v>-</v>
          </cell>
          <cell r="E430" t="str">
            <v>-</v>
          </cell>
          <cell r="F430" t="str">
            <v>-</v>
          </cell>
          <cell r="G430" t="str">
            <v>-</v>
          </cell>
          <cell r="H430" t="str">
            <v>-</v>
          </cell>
          <cell r="I430" t="str">
            <v>-</v>
          </cell>
          <cell r="J430">
            <v>0</v>
          </cell>
          <cell r="K430">
            <v>112</v>
          </cell>
          <cell r="L430" t="str">
            <v>ENTREGA TOTAL</v>
          </cell>
          <cell r="M430" t="str">
            <v>-</v>
          </cell>
          <cell r="N430" t="str">
            <v>OC'S METALFISA</v>
          </cell>
          <cell r="O430" t="str">
            <v>-</v>
          </cell>
          <cell r="Q430">
            <v>101</v>
          </cell>
          <cell r="R430" t="str">
            <v>OC'S VMI MEC</v>
          </cell>
          <cell r="S430" t="str">
            <v>-</v>
          </cell>
          <cell r="U430">
            <v>101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90</v>
          </cell>
          <cell r="AA430">
            <v>90</v>
          </cell>
          <cell r="AB430">
            <v>0</v>
          </cell>
          <cell r="AC430">
            <v>101</v>
          </cell>
          <cell r="AD430">
            <v>11</v>
          </cell>
        </row>
        <row r="431">
          <cell r="A431" t="str">
            <v>33.03.10295.00</v>
          </cell>
          <cell r="B431" t="str">
            <v>DISTANCIADOR/33.03.10295.00</v>
          </cell>
          <cell r="C431">
            <v>46066</v>
          </cell>
          <cell r="D431" t="str">
            <v>-</v>
          </cell>
          <cell r="E431" t="str">
            <v>-</v>
          </cell>
          <cell r="F431" t="str">
            <v>-</v>
          </cell>
          <cell r="G431" t="str">
            <v>-</v>
          </cell>
          <cell r="H431" t="str">
            <v>-</v>
          </cell>
          <cell r="I431" t="str">
            <v>-</v>
          </cell>
          <cell r="J431">
            <v>0</v>
          </cell>
          <cell r="K431">
            <v>133</v>
          </cell>
          <cell r="L431" t="str">
            <v>ENTREGA PARCIAL</v>
          </cell>
          <cell r="M431" t="str">
            <v>-</v>
          </cell>
          <cell r="N431" t="str">
            <v>OC'S METALFISA</v>
          </cell>
          <cell r="O431" t="str">
            <v>-</v>
          </cell>
          <cell r="Q431">
            <v>164</v>
          </cell>
          <cell r="R431" t="str">
            <v>OC'S VMI MEC</v>
          </cell>
          <cell r="S431" t="str">
            <v>-</v>
          </cell>
          <cell r="U431">
            <v>164</v>
          </cell>
          <cell r="V431">
            <v>0</v>
          </cell>
          <cell r="W431">
            <v>28</v>
          </cell>
          <cell r="X431">
            <v>0</v>
          </cell>
          <cell r="Y431">
            <v>20</v>
          </cell>
          <cell r="Z431">
            <v>112</v>
          </cell>
          <cell r="AA431">
            <v>160</v>
          </cell>
          <cell r="AB431">
            <v>0</v>
          </cell>
          <cell r="AC431">
            <v>129</v>
          </cell>
          <cell r="AD431">
            <v>-31</v>
          </cell>
        </row>
        <row r="432">
          <cell r="A432" t="str">
            <v>33.03.10296.00</v>
          </cell>
          <cell r="B432" t="str">
            <v>DISTANCIADOR 01/33.03.10296.00</v>
          </cell>
          <cell r="C432">
            <v>46066</v>
          </cell>
          <cell r="D432" t="str">
            <v>-</v>
          </cell>
          <cell r="E432" t="str">
            <v>-</v>
          </cell>
          <cell r="F432" t="str">
            <v>-</v>
          </cell>
          <cell r="G432" t="str">
            <v>-</v>
          </cell>
          <cell r="H432" t="str">
            <v>-</v>
          </cell>
          <cell r="I432" t="str">
            <v>-</v>
          </cell>
          <cell r="J432">
            <v>0</v>
          </cell>
          <cell r="K432">
            <v>181</v>
          </cell>
          <cell r="L432" t="str">
            <v>ENTREGA TOTAL</v>
          </cell>
          <cell r="M432" t="str">
            <v>-</v>
          </cell>
          <cell r="N432" t="str">
            <v>OC'S METALFISA</v>
          </cell>
          <cell r="O432" t="str">
            <v>-</v>
          </cell>
          <cell r="Q432">
            <v>130</v>
          </cell>
          <cell r="R432" t="str">
            <v>OC'S VMI MEC</v>
          </cell>
          <cell r="S432" t="str">
            <v>-</v>
          </cell>
          <cell r="U432">
            <v>130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79</v>
          </cell>
          <cell r="AA432">
            <v>79</v>
          </cell>
          <cell r="AB432">
            <v>0</v>
          </cell>
          <cell r="AC432">
            <v>130</v>
          </cell>
          <cell r="AD432">
            <v>51</v>
          </cell>
        </row>
        <row r="433">
          <cell r="A433" t="str">
            <v>33.03.10297.00</v>
          </cell>
          <cell r="B433" t="str">
            <v>DISTANCIADOR 02/33.03.10297.00</v>
          </cell>
          <cell r="C433">
            <v>46066</v>
          </cell>
          <cell r="D433" t="str">
            <v>-</v>
          </cell>
          <cell r="E433" t="str">
            <v>-</v>
          </cell>
          <cell r="F433" t="str">
            <v>-</v>
          </cell>
          <cell r="G433" t="str">
            <v>-</v>
          </cell>
          <cell r="H433" t="str">
            <v>-</v>
          </cell>
          <cell r="I433" t="str">
            <v>-</v>
          </cell>
          <cell r="J433">
            <v>0</v>
          </cell>
          <cell r="K433">
            <v>129</v>
          </cell>
          <cell r="L433" t="str">
            <v>ENTREGA PARCIAL</v>
          </cell>
          <cell r="M433" t="str">
            <v>-</v>
          </cell>
          <cell r="N433" t="str">
            <v>OC'S METALFISA</v>
          </cell>
          <cell r="O433" t="str">
            <v>-</v>
          </cell>
          <cell r="Q433">
            <v>130</v>
          </cell>
          <cell r="R433" t="str">
            <v>OC'S VMI MEC</v>
          </cell>
          <cell r="S433" t="str">
            <v>-</v>
          </cell>
          <cell r="U433">
            <v>130</v>
          </cell>
          <cell r="V433">
            <v>0</v>
          </cell>
          <cell r="W433">
            <v>0</v>
          </cell>
          <cell r="X433">
            <v>0</v>
          </cell>
          <cell r="Y433">
            <v>19</v>
          </cell>
          <cell r="Z433">
            <v>112</v>
          </cell>
          <cell r="AA433">
            <v>131</v>
          </cell>
          <cell r="AB433">
            <v>0</v>
          </cell>
          <cell r="AC433">
            <v>130</v>
          </cell>
          <cell r="AD433">
            <v>-1</v>
          </cell>
        </row>
        <row r="434">
          <cell r="A434" t="str">
            <v>33.03.10298.01</v>
          </cell>
          <cell r="B434" t="str">
            <v>SUPORTE / 33.03.10298.01</v>
          </cell>
          <cell r="C434">
            <v>46066</v>
          </cell>
          <cell r="D434" t="str">
            <v>-</v>
          </cell>
          <cell r="E434" t="str">
            <v>-</v>
          </cell>
          <cell r="F434" t="str">
            <v>-</v>
          </cell>
          <cell r="G434" t="str">
            <v>-</v>
          </cell>
          <cell r="H434" t="str">
            <v>-</v>
          </cell>
          <cell r="I434" t="str">
            <v>-</v>
          </cell>
          <cell r="J434">
            <v>0</v>
          </cell>
          <cell r="K434">
            <v>608</v>
          </cell>
          <cell r="L434" t="str">
            <v>ENTREGA PARCIAL</v>
          </cell>
          <cell r="M434">
            <v>2</v>
          </cell>
          <cell r="N434" t="str">
            <v>OC'S METALFISA</v>
          </cell>
          <cell r="O434" t="str">
            <v>-</v>
          </cell>
          <cell r="Q434">
            <v>327</v>
          </cell>
          <cell r="R434" t="str">
            <v>OC'S VMI MEC</v>
          </cell>
          <cell r="S434">
            <v>326</v>
          </cell>
          <cell r="T434" t="str">
            <v>OC'S MAPHE</v>
          </cell>
          <cell r="U434">
            <v>655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374</v>
          </cell>
          <cell r="AA434">
            <v>374</v>
          </cell>
          <cell r="AB434">
            <v>0</v>
          </cell>
          <cell r="AC434">
            <v>327</v>
          </cell>
          <cell r="AD434">
            <v>-47</v>
          </cell>
        </row>
        <row r="435">
          <cell r="A435" t="str">
            <v>33.03.10300.00</v>
          </cell>
          <cell r="B435" t="str">
            <v>DISTANCIADOR 03 / 33.03.10300.00</v>
          </cell>
          <cell r="C435">
            <v>46066</v>
          </cell>
          <cell r="D435" t="str">
            <v>-</v>
          </cell>
          <cell r="E435" t="str">
            <v>-</v>
          </cell>
          <cell r="F435" t="str">
            <v>-</v>
          </cell>
          <cell r="G435" t="str">
            <v>-</v>
          </cell>
          <cell r="H435" t="str">
            <v>-</v>
          </cell>
          <cell r="I435" t="str">
            <v>-</v>
          </cell>
          <cell r="J435">
            <v>0</v>
          </cell>
          <cell r="K435">
            <v>637</v>
          </cell>
          <cell r="L435" t="str">
            <v>ENTREGA PARCIAL</v>
          </cell>
          <cell r="M435" t="str">
            <v>-</v>
          </cell>
          <cell r="N435" t="str">
            <v>OC'S METALFISA</v>
          </cell>
          <cell r="O435" t="str">
            <v>-</v>
          </cell>
          <cell r="Q435">
            <v>772</v>
          </cell>
          <cell r="R435" t="str">
            <v>OC'S VMI MEC</v>
          </cell>
          <cell r="S435">
            <v>160</v>
          </cell>
          <cell r="T435" t="str">
            <v>OC'S MAPHE</v>
          </cell>
          <cell r="U435">
            <v>932</v>
          </cell>
          <cell r="V435">
            <v>0</v>
          </cell>
          <cell r="W435">
            <v>91</v>
          </cell>
          <cell r="X435">
            <v>20</v>
          </cell>
          <cell r="Y435">
            <v>0</v>
          </cell>
          <cell r="Z435">
            <v>956</v>
          </cell>
          <cell r="AA435">
            <v>1067</v>
          </cell>
          <cell r="AB435">
            <v>0</v>
          </cell>
          <cell r="AC435">
            <v>772</v>
          </cell>
          <cell r="AD435">
            <v>-295</v>
          </cell>
        </row>
        <row r="436">
          <cell r="A436" t="str">
            <v>33.03.10306.02</v>
          </cell>
          <cell r="B436" t="str">
            <v>MONTAGEM DE REBITE SDAQ / 33.03.10306.02</v>
          </cell>
          <cell r="C436">
            <v>46066</v>
          </cell>
          <cell r="D436" t="str">
            <v>-</v>
          </cell>
          <cell r="E436" t="str">
            <v>-</v>
          </cell>
          <cell r="F436" t="str">
            <v>-</v>
          </cell>
          <cell r="G436" t="str">
            <v>-</v>
          </cell>
          <cell r="H436" t="str">
            <v>-</v>
          </cell>
          <cell r="I436" t="str">
            <v>-</v>
          </cell>
          <cell r="J436">
            <v>0</v>
          </cell>
          <cell r="K436">
            <v>96</v>
          </cell>
          <cell r="L436" t="str">
            <v>ENTREGA TOTAL</v>
          </cell>
          <cell r="M436">
            <v>34</v>
          </cell>
          <cell r="N436" t="str">
            <v>OC'S METALFISA</v>
          </cell>
          <cell r="O436" t="str">
            <v>-</v>
          </cell>
          <cell r="Q436">
            <v>46</v>
          </cell>
          <cell r="S436" t="str">
            <v>-</v>
          </cell>
          <cell r="U436">
            <v>80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30</v>
          </cell>
          <cell r="AA436">
            <v>30</v>
          </cell>
          <cell r="AB436">
            <v>0</v>
          </cell>
          <cell r="AC436">
            <v>46</v>
          </cell>
          <cell r="AD436">
            <v>16</v>
          </cell>
        </row>
        <row r="437">
          <cell r="A437" t="str">
            <v>33.03.10331.01</v>
          </cell>
          <cell r="B437" t="str">
            <v>TAMPA DO COLIMADOR DV / 33.03.10331.01</v>
          </cell>
          <cell r="D437" t="str">
            <v>-</v>
          </cell>
          <cell r="E437" t="str">
            <v>-</v>
          </cell>
          <cell r="F437" t="str">
            <v>-</v>
          </cell>
          <cell r="G437" t="str">
            <v>-</v>
          </cell>
          <cell r="H437" t="str">
            <v>-</v>
          </cell>
          <cell r="I437" t="str">
            <v>-</v>
          </cell>
          <cell r="J437">
            <v>0</v>
          </cell>
          <cell r="K437">
            <v>8</v>
          </cell>
          <cell r="L437" t="str">
            <v>FALTA ENTREGA</v>
          </cell>
          <cell r="M437" t="str">
            <v>-</v>
          </cell>
          <cell r="N437" t="str">
            <v>OC'S METALFISA</v>
          </cell>
          <cell r="O437" t="str">
            <v>-</v>
          </cell>
          <cell r="Q437">
            <v>3</v>
          </cell>
          <cell r="S437">
            <v>8</v>
          </cell>
          <cell r="T437" t="str">
            <v>OC'S MAPHE</v>
          </cell>
          <cell r="U437">
            <v>11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3</v>
          </cell>
          <cell r="AA437">
            <v>3</v>
          </cell>
          <cell r="AB437">
            <v>0</v>
          </cell>
          <cell r="AC437">
            <v>0</v>
          </cell>
          <cell r="AD437">
            <v>-3</v>
          </cell>
        </row>
        <row r="438">
          <cell r="A438" t="str">
            <v>33.03.10337.00</v>
          </cell>
          <cell r="B438" t="str">
            <v>SUPORTE CORTINA PLUMBIFERA 6040 / 33.03.10337.00</v>
          </cell>
          <cell r="D438" t="str">
            <v>-</v>
          </cell>
          <cell r="E438" t="str">
            <v>-</v>
          </cell>
          <cell r="F438" t="str">
            <v>-</v>
          </cell>
          <cell r="G438" t="str">
            <v>-</v>
          </cell>
          <cell r="H438" t="str">
            <v>-</v>
          </cell>
          <cell r="I438" t="str">
            <v>-</v>
          </cell>
          <cell r="J438">
            <v>0</v>
          </cell>
          <cell r="K438">
            <v>32</v>
          </cell>
          <cell r="L438" t="str">
            <v>FALTA ENTREGA</v>
          </cell>
          <cell r="M438" t="str">
            <v>-</v>
          </cell>
          <cell r="N438" t="str">
            <v>OC'S METALFISA</v>
          </cell>
          <cell r="O438" t="str">
            <v>-</v>
          </cell>
          <cell r="Q438">
            <v>28</v>
          </cell>
          <cell r="S438">
            <v>36</v>
          </cell>
          <cell r="T438" t="str">
            <v>OC'S MAPHE</v>
          </cell>
          <cell r="U438">
            <v>64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32</v>
          </cell>
          <cell r="AA438">
            <v>32</v>
          </cell>
          <cell r="AB438">
            <v>0</v>
          </cell>
          <cell r="AC438">
            <v>0</v>
          </cell>
          <cell r="AD438">
            <v>-32</v>
          </cell>
        </row>
        <row r="439">
          <cell r="A439" t="str">
            <v>33.03.10339.01</v>
          </cell>
          <cell r="B439" t="str">
            <v>ESPELHO CORTINA PLUMBIFERA 6040 / 33.03.10339.01</v>
          </cell>
          <cell r="C439">
            <v>46062</v>
          </cell>
          <cell r="D439" t="str">
            <v>-</v>
          </cell>
          <cell r="E439" t="str">
            <v>-</v>
          </cell>
          <cell r="F439" t="str">
            <v>-</v>
          </cell>
          <cell r="G439" t="str">
            <v>-</v>
          </cell>
          <cell r="H439" t="str">
            <v>-</v>
          </cell>
          <cell r="I439" t="str">
            <v>-</v>
          </cell>
          <cell r="J439">
            <v>0</v>
          </cell>
          <cell r="K439" t="e">
            <v>#VALUE!</v>
          </cell>
          <cell r="L439" t="str">
            <v>ENTREGA TOTAL</v>
          </cell>
          <cell r="M439" t="str">
            <v>-</v>
          </cell>
          <cell r="N439" t="str">
            <v>OC'S METALFISA</v>
          </cell>
          <cell r="O439" t="str">
            <v>-</v>
          </cell>
          <cell r="Q439">
            <v>126</v>
          </cell>
          <cell r="S439">
            <v>144</v>
          </cell>
          <cell r="T439" t="str">
            <v>OC'S MAPHE</v>
          </cell>
          <cell r="U439">
            <v>270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92</v>
          </cell>
          <cell r="AA439">
            <v>92</v>
          </cell>
          <cell r="AB439" t="str">
            <v>0</v>
          </cell>
          <cell r="AC439" t="str">
            <v>-</v>
          </cell>
          <cell r="AD439" t="str">
            <v>-</v>
          </cell>
        </row>
        <row r="440">
          <cell r="A440" t="str">
            <v>33.03.10343.00</v>
          </cell>
          <cell r="B440" t="str">
            <v>SUPORTE PARA INVERSOR / 33.03.10343.00</v>
          </cell>
          <cell r="C440">
            <v>46074</v>
          </cell>
          <cell r="D440" t="str">
            <v>-</v>
          </cell>
          <cell r="E440" t="str">
            <v>-</v>
          </cell>
          <cell r="F440" t="str">
            <v>-</v>
          </cell>
          <cell r="G440" t="str">
            <v>-</v>
          </cell>
          <cell r="H440" t="str">
            <v>-</v>
          </cell>
          <cell r="I440" t="str">
            <v>-</v>
          </cell>
          <cell r="J440">
            <v>0</v>
          </cell>
          <cell r="K440">
            <v>36</v>
          </cell>
          <cell r="L440" t="str">
            <v>ENTREGA PARCIAL</v>
          </cell>
          <cell r="M440">
            <v>37</v>
          </cell>
          <cell r="N440" t="str">
            <v>OC'S METALFISA</v>
          </cell>
          <cell r="O440" t="str">
            <v>-</v>
          </cell>
          <cell r="Q440">
            <v>1</v>
          </cell>
          <cell r="S440" t="str">
            <v>-</v>
          </cell>
          <cell r="U440">
            <v>38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6</v>
          </cell>
          <cell r="AA440">
            <v>6</v>
          </cell>
          <cell r="AB440">
            <v>0</v>
          </cell>
          <cell r="AC440">
            <v>4</v>
          </cell>
          <cell r="AD440">
            <v>-2</v>
          </cell>
        </row>
        <row r="441">
          <cell r="A441" t="str">
            <v>33.03.10345.00</v>
          </cell>
          <cell r="B441" t="str">
            <v>LATERAL DO COLIMADOR / 33.03.10345.00</v>
          </cell>
          <cell r="D441" t="str">
            <v>-</v>
          </cell>
          <cell r="E441" t="str">
            <v>-</v>
          </cell>
          <cell r="F441" t="str">
            <v>-</v>
          </cell>
          <cell r="G441" t="str">
            <v>-</v>
          </cell>
          <cell r="H441" t="str">
            <v>-</v>
          </cell>
          <cell r="I441" t="str">
            <v>-</v>
          </cell>
          <cell r="J441">
            <v>0</v>
          </cell>
          <cell r="K441">
            <v>17</v>
          </cell>
          <cell r="L441" t="str">
            <v>FALTA ENTREGA</v>
          </cell>
          <cell r="M441" t="str">
            <v>-</v>
          </cell>
          <cell r="N441" t="str">
            <v>OC'S METALFISA</v>
          </cell>
          <cell r="O441" t="str">
            <v>-</v>
          </cell>
          <cell r="Q441">
            <v>13</v>
          </cell>
          <cell r="S441">
            <v>18</v>
          </cell>
          <cell r="T441" t="str">
            <v>OC'S MAPHE</v>
          </cell>
          <cell r="U441">
            <v>31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14</v>
          </cell>
          <cell r="AA441">
            <v>14</v>
          </cell>
          <cell r="AB441">
            <v>0</v>
          </cell>
          <cell r="AC441">
            <v>0</v>
          </cell>
          <cell r="AD441">
            <v>-14</v>
          </cell>
        </row>
        <row r="442">
          <cell r="A442" t="str">
            <v>33.03.10347.00</v>
          </cell>
          <cell r="B442" t="str">
            <v>LATERAL DO COLIMADOR / 33.03.10347.00</v>
          </cell>
          <cell r="D442" t="str">
            <v>-</v>
          </cell>
          <cell r="E442" t="str">
            <v>-</v>
          </cell>
          <cell r="F442" t="str">
            <v>-</v>
          </cell>
          <cell r="G442" t="str">
            <v>-</v>
          </cell>
          <cell r="H442" t="str">
            <v>-</v>
          </cell>
          <cell r="I442" t="str">
            <v>-</v>
          </cell>
          <cell r="J442">
            <v>0</v>
          </cell>
          <cell r="K442">
            <v>18</v>
          </cell>
          <cell r="L442" t="str">
            <v>FALTA ENTREGA</v>
          </cell>
          <cell r="M442" t="str">
            <v>-</v>
          </cell>
          <cell r="N442" t="str">
            <v>OC'S METALFISA</v>
          </cell>
          <cell r="O442" t="str">
            <v>-</v>
          </cell>
          <cell r="Q442">
            <v>14</v>
          </cell>
          <cell r="S442">
            <v>18</v>
          </cell>
          <cell r="T442" t="str">
            <v>OC'S MAPHE</v>
          </cell>
          <cell r="U442">
            <v>32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14</v>
          </cell>
          <cell r="AA442">
            <v>14</v>
          </cell>
          <cell r="AB442">
            <v>0</v>
          </cell>
          <cell r="AC442">
            <v>0</v>
          </cell>
          <cell r="AD442">
            <v>-14</v>
          </cell>
        </row>
        <row r="443">
          <cell r="A443" t="str">
            <v>33.03.10351.01</v>
          </cell>
          <cell r="B443" t="str">
            <v>SUPORTE FIXACAO CONTROLADORA / 33.03.10351.01</v>
          </cell>
          <cell r="D443" t="str">
            <v>-</v>
          </cell>
          <cell r="E443" t="str">
            <v>-</v>
          </cell>
          <cell r="F443" t="str">
            <v>-</v>
          </cell>
          <cell r="G443" t="str">
            <v>-</v>
          </cell>
          <cell r="H443" t="str">
            <v>-</v>
          </cell>
          <cell r="I443" t="str">
            <v>-</v>
          </cell>
          <cell r="J443">
            <v>0</v>
          </cell>
          <cell r="K443">
            <v>-2</v>
          </cell>
          <cell r="L443" t="str">
            <v>FALTA ENTREGA</v>
          </cell>
          <cell r="M443" t="str">
            <v>-</v>
          </cell>
          <cell r="N443" t="str">
            <v>OC'S METALFISA</v>
          </cell>
          <cell r="O443" t="str">
            <v>-</v>
          </cell>
          <cell r="Q443" t="str">
            <v>-</v>
          </cell>
          <cell r="S443" t="str">
            <v>-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2</v>
          </cell>
          <cell r="AA443">
            <v>2</v>
          </cell>
          <cell r="AB443">
            <v>0</v>
          </cell>
          <cell r="AC443">
            <v>0</v>
          </cell>
          <cell r="AD443">
            <v>-2</v>
          </cell>
        </row>
        <row r="444">
          <cell r="A444" t="str">
            <v>33.03.10351.03</v>
          </cell>
          <cell r="B444" t="str">
            <v>SUPORTE FIXACAO CONTROLADORA / 33.03.10351.03</v>
          </cell>
          <cell r="C444">
            <v>46066</v>
          </cell>
          <cell r="D444" t="str">
            <v>-</v>
          </cell>
          <cell r="E444" t="str">
            <v>-</v>
          </cell>
          <cell r="F444" t="str">
            <v>-</v>
          </cell>
          <cell r="G444" t="str">
            <v>-</v>
          </cell>
          <cell r="H444" t="str">
            <v>-</v>
          </cell>
          <cell r="I444" t="str">
            <v>-</v>
          </cell>
          <cell r="J444">
            <v>0</v>
          </cell>
          <cell r="K444">
            <v>63</v>
          </cell>
          <cell r="L444" t="str">
            <v>ENTREGA TOTAL</v>
          </cell>
          <cell r="M444" t="str">
            <v>-</v>
          </cell>
          <cell r="N444" t="str">
            <v>OC'S METALFISA</v>
          </cell>
          <cell r="O444" t="str">
            <v>-</v>
          </cell>
          <cell r="Q444">
            <v>44</v>
          </cell>
          <cell r="R444" t="str">
            <v>OC'S VMI MEC</v>
          </cell>
          <cell r="S444">
            <v>19</v>
          </cell>
          <cell r="T444" t="str">
            <v>OC'S MAPHE</v>
          </cell>
          <cell r="U444">
            <v>63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44</v>
          </cell>
          <cell r="AA444">
            <v>44</v>
          </cell>
          <cell r="AB444">
            <v>0</v>
          </cell>
          <cell r="AC444">
            <v>44</v>
          </cell>
          <cell r="AD444">
            <v>0</v>
          </cell>
        </row>
        <row r="445">
          <cell r="A445" t="str">
            <v>33.03.10352.00</v>
          </cell>
          <cell r="B445" t="str">
            <v>DISTANCIADOR DO ROLETE 6040 M3 _01 / 33.03.10352.00</v>
          </cell>
          <cell r="C445">
            <v>46076</v>
          </cell>
          <cell r="D445" t="str">
            <v>-</v>
          </cell>
          <cell r="E445" t="str">
            <v>-</v>
          </cell>
          <cell r="F445" t="str">
            <v>-</v>
          </cell>
          <cell r="G445" t="str">
            <v>-</v>
          </cell>
          <cell r="H445" t="str">
            <v>-</v>
          </cell>
          <cell r="I445" t="str">
            <v>-</v>
          </cell>
          <cell r="J445">
            <v>0</v>
          </cell>
          <cell r="K445">
            <v>20</v>
          </cell>
          <cell r="L445" t="str">
            <v>FALTA ENTREGA</v>
          </cell>
          <cell r="M445" t="str">
            <v>-</v>
          </cell>
          <cell r="N445" t="str">
            <v>OC'S METALFISA</v>
          </cell>
          <cell r="O445" t="str">
            <v>-</v>
          </cell>
          <cell r="Q445">
            <v>20</v>
          </cell>
          <cell r="S445">
            <v>17</v>
          </cell>
          <cell r="T445" t="str">
            <v>OC'S MAPHE</v>
          </cell>
          <cell r="U445">
            <v>37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17</v>
          </cell>
          <cell r="AA445">
            <v>17</v>
          </cell>
          <cell r="AB445">
            <v>0</v>
          </cell>
          <cell r="AC445">
            <v>0</v>
          </cell>
          <cell r="AD445">
            <v>-17</v>
          </cell>
        </row>
        <row r="446">
          <cell r="A446" t="str">
            <v>33.03.10353.00</v>
          </cell>
          <cell r="B446" t="str">
            <v>DISTANCIADOR DO ROLETE 6040 M3 _02 / 33.03.10353.00</v>
          </cell>
          <cell r="C446">
            <v>46066</v>
          </cell>
          <cell r="D446" t="str">
            <v>-</v>
          </cell>
          <cell r="E446" t="str">
            <v>-</v>
          </cell>
          <cell r="F446" t="str">
            <v>-</v>
          </cell>
          <cell r="G446" t="str">
            <v>-</v>
          </cell>
          <cell r="H446" t="str">
            <v>-</v>
          </cell>
          <cell r="I446" t="str">
            <v>-</v>
          </cell>
          <cell r="J446">
            <v>0</v>
          </cell>
          <cell r="K446">
            <v>44</v>
          </cell>
          <cell r="L446" t="str">
            <v>ENTREGA TOTAL</v>
          </cell>
          <cell r="M446" t="str">
            <v>-</v>
          </cell>
          <cell r="N446" t="str">
            <v>OC'S METALFISA</v>
          </cell>
          <cell r="O446" t="str">
            <v>-</v>
          </cell>
          <cell r="Q446">
            <v>21</v>
          </cell>
          <cell r="S446">
            <v>20</v>
          </cell>
          <cell r="T446" t="str">
            <v>OC'S MAPHE</v>
          </cell>
          <cell r="U446">
            <v>41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18</v>
          </cell>
          <cell r="AA446">
            <v>18</v>
          </cell>
          <cell r="AB446">
            <v>0</v>
          </cell>
          <cell r="AC446">
            <v>21</v>
          </cell>
          <cell r="AD446">
            <v>3</v>
          </cell>
        </row>
        <row r="447">
          <cell r="A447" t="str">
            <v>33.03.10354.00</v>
          </cell>
          <cell r="B447" t="str">
            <v>FECHAMENTO MENOR COLIMADOR PRIMARIO / 33.03.10354.00</v>
          </cell>
          <cell r="C447">
            <v>46066</v>
          </cell>
          <cell r="D447" t="str">
            <v>-</v>
          </cell>
          <cell r="E447" t="str">
            <v>-</v>
          </cell>
          <cell r="F447" t="str">
            <v>-</v>
          </cell>
          <cell r="G447" t="str">
            <v>-</v>
          </cell>
          <cell r="H447" t="str">
            <v>-</v>
          </cell>
          <cell r="I447" t="str">
            <v>-</v>
          </cell>
          <cell r="J447">
            <v>0</v>
          </cell>
          <cell r="K447">
            <v>27</v>
          </cell>
          <cell r="L447" t="str">
            <v>ENTREGA PARCIAL</v>
          </cell>
          <cell r="M447" t="str">
            <v>-</v>
          </cell>
          <cell r="N447" t="str">
            <v>OC'S METALFISA</v>
          </cell>
          <cell r="O447" t="str">
            <v>-</v>
          </cell>
          <cell r="Q447">
            <v>13</v>
          </cell>
          <cell r="S447">
            <v>18</v>
          </cell>
          <cell r="T447" t="str">
            <v>OC'S MAPHE</v>
          </cell>
          <cell r="U447">
            <v>31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17</v>
          </cell>
          <cell r="AA447">
            <v>17</v>
          </cell>
          <cell r="AB447">
            <v>0</v>
          </cell>
          <cell r="AC447">
            <v>13</v>
          </cell>
          <cell r="AD447">
            <v>-4</v>
          </cell>
        </row>
        <row r="448">
          <cell r="A448" t="str">
            <v>33.03.10355.00</v>
          </cell>
          <cell r="B448" t="str">
            <v>LATERAL COLIMADOR PRIMARIO / 33.03.10355.00</v>
          </cell>
          <cell r="D448" t="str">
            <v>-</v>
          </cell>
          <cell r="E448" t="str">
            <v>-</v>
          </cell>
          <cell r="F448" t="str">
            <v>-</v>
          </cell>
          <cell r="G448" t="str">
            <v>-</v>
          </cell>
          <cell r="H448" t="str">
            <v>-</v>
          </cell>
          <cell r="I448" t="str">
            <v>-</v>
          </cell>
          <cell r="J448">
            <v>0</v>
          </cell>
          <cell r="K448">
            <v>8</v>
          </cell>
          <cell r="L448" t="str">
            <v>FALTA ENTREGA</v>
          </cell>
          <cell r="M448" t="str">
            <v>-</v>
          </cell>
          <cell r="N448" t="str">
            <v>OC'S METALFISA</v>
          </cell>
          <cell r="O448" t="str">
            <v>-</v>
          </cell>
          <cell r="Q448">
            <v>4</v>
          </cell>
          <cell r="S448">
            <v>8</v>
          </cell>
          <cell r="T448" t="str">
            <v>OC'S MAPHE</v>
          </cell>
          <cell r="U448">
            <v>12</v>
          </cell>
          <cell r="V448">
            <v>1</v>
          </cell>
          <cell r="W448">
            <v>0</v>
          </cell>
          <cell r="X448">
            <v>0</v>
          </cell>
          <cell r="Y448">
            <v>0</v>
          </cell>
          <cell r="Z448">
            <v>3</v>
          </cell>
          <cell r="AA448">
            <v>4</v>
          </cell>
          <cell r="AB448">
            <v>1</v>
          </cell>
          <cell r="AC448">
            <v>0</v>
          </cell>
          <cell r="AD448">
            <v>-4</v>
          </cell>
        </row>
        <row r="449">
          <cell r="A449" t="str">
            <v>33.03.10357.00</v>
          </cell>
          <cell r="B449" t="str">
            <v>LATERAL DO COLIMADOR PRIMARIO / 33.03.10357.00</v>
          </cell>
          <cell r="D449" t="str">
            <v>-</v>
          </cell>
          <cell r="E449" t="str">
            <v>-</v>
          </cell>
          <cell r="F449" t="str">
            <v>-</v>
          </cell>
          <cell r="G449" t="str">
            <v>-</v>
          </cell>
          <cell r="H449" t="str">
            <v>-</v>
          </cell>
          <cell r="I449" t="str">
            <v>-</v>
          </cell>
          <cell r="J449">
            <v>0</v>
          </cell>
          <cell r="K449">
            <v>8</v>
          </cell>
          <cell r="L449" t="str">
            <v>FALTA ENTREGA</v>
          </cell>
          <cell r="M449" t="str">
            <v>-</v>
          </cell>
          <cell r="N449" t="str">
            <v>OC'S METALFISA</v>
          </cell>
          <cell r="O449" t="str">
            <v>-</v>
          </cell>
          <cell r="Q449">
            <v>4</v>
          </cell>
          <cell r="S449">
            <v>8</v>
          </cell>
          <cell r="T449" t="str">
            <v>OC'S MAPHE</v>
          </cell>
          <cell r="U449">
            <v>12</v>
          </cell>
          <cell r="V449">
            <v>1</v>
          </cell>
          <cell r="W449">
            <v>0</v>
          </cell>
          <cell r="X449">
            <v>0</v>
          </cell>
          <cell r="Y449">
            <v>0</v>
          </cell>
          <cell r="Z449">
            <v>3</v>
          </cell>
          <cell r="AA449">
            <v>4</v>
          </cell>
          <cell r="AB449">
            <v>1</v>
          </cell>
          <cell r="AC449">
            <v>0</v>
          </cell>
          <cell r="AD449">
            <v>-4</v>
          </cell>
        </row>
        <row r="450">
          <cell r="A450" t="str">
            <v>33.03.10359.00</v>
          </cell>
          <cell r="B450" t="str">
            <v>FECHAMENTO MAIOR COLIMADOR PRIMARIO / 33.03.10359.00</v>
          </cell>
          <cell r="D450" t="str">
            <v>-</v>
          </cell>
          <cell r="E450" t="str">
            <v>-</v>
          </cell>
          <cell r="F450" t="str">
            <v>-</v>
          </cell>
          <cell r="G450" t="str">
            <v>-</v>
          </cell>
          <cell r="H450" t="str">
            <v>-</v>
          </cell>
          <cell r="I450" t="str">
            <v>-</v>
          </cell>
          <cell r="J450">
            <v>0</v>
          </cell>
          <cell r="K450">
            <v>8</v>
          </cell>
          <cell r="L450" t="str">
            <v>FALTA ENTREGA</v>
          </cell>
          <cell r="M450" t="str">
            <v>-</v>
          </cell>
          <cell r="N450" t="str">
            <v>OC'S METALFISA</v>
          </cell>
          <cell r="O450" t="str">
            <v>-</v>
          </cell>
          <cell r="Q450">
            <v>1</v>
          </cell>
          <cell r="S450">
            <v>8</v>
          </cell>
          <cell r="T450" t="str">
            <v>OC'S MAPHE</v>
          </cell>
          <cell r="U450">
            <v>9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</v>
          </cell>
          <cell r="AA450">
            <v>1</v>
          </cell>
          <cell r="AB450">
            <v>0</v>
          </cell>
          <cell r="AC450">
            <v>0</v>
          </cell>
          <cell r="AD450">
            <v>-1</v>
          </cell>
        </row>
        <row r="451">
          <cell r="A451" t="str">
            <v>33.03.10361.00</v>
          </cell>
          <cell r="B451" t="str">
            <v>ACABAMENTO SUPERIOR 6040 / 33.03.10361.00</v>
          </cell>
          <cell r="C451">
            <v>46059</v>
          </cell>
          <cell r="D451" t="str">
            <v>-</v>
          </cell>
          <cell r="E451" t="str">
            <v>-</v>
          </cell>
          <cell r="F451" t="str">
            <v>-</v>
          </cell>
          <cell r="G451" t="str">
            <v>-</v>
          </cell>
          <cell r="H451" t="str">
            <v>-</v>
          </cell>
          <cell r="I451">
            <v>7</v>
          </cell>
          <cell r="J451">
            <v>7</v>
          </cell>
          <cell r="K451">
            <v>47</v>
          </cell>
          <cell r="L451" t="str">
            <v>ENTREGA PARCIAL</v>
          </cell>
          <cell r="M451" t="str">
            <v>-</v>
          </cell>
          <cell r="N451" t="str">
            <v>OC'S METALFISA</v>
          </cell>
          <cell r="O451" t="str">
            <v>-</v>
          </cell>
          <cell r="Q451" t="str">
            <v>-</v>
          </cell>
          <cell r="S451">
            <v>55</v>
          </cell>
          <cell r="T451" t="str">
            <v>OC'S MAPHE</v>
          </cell>
          <cell r="U451">
            <v>55</v>
          </cell>
          <cell r="V451">
            <v>1</v>
          </cell>
          <cell r="W451">
            <v>0</v>
          </cell>
          <cell r="X451">
            <v>0</v>
          </cell>
          <cell r="Y451">
            <v>0</v>
          </cell>
          <cell r="Z451">
            <v>28</v>
          </cell>
          <cell r="AA451">
            <v>29</v>
          </cell>
          <cell r="AB451">
            <v>0</v>
          </cell>
          <cell r="AC451">
            <v>14</v>
          </cell>
          <cell r="AD451">
            <v>-15</v>
          </cell>
        </row>
        <row r="452">
          <cell r="A452" t="str">
            <v>33.03.10372.01</v>
          </cell>
          <cell r="B452" t="str">
            <v>VEDACAO DA ESTEIRA / 33.03.10372.01</v>
          </cell>
          <cell r="D452" t="str">
            <v>-</v>
          </cell>
          <cell r="E452" t="str">
            <v>-</v>
          </cell>
          <cell r="F452" t="str">
            <v>-</v>
          </cell>
          <cell r="G452" t="str">
            <v>-</v>
          </cell>
          <cell r="H452" t="str">
            <v>-</v>
          </cell>
          <cell r="I452" t="str">
            <v>-</v>
          </cell>
          <cell r="J452">
            <v>0</v>
          </cell>
          <cell r="K452">
            <v>38</v>
          </cell>
          <cell r="L452" t="str">
            <v>FALTA ENTREGA</v>
          </cell>
          <cell r="M452" t="str">
            <v>-</v>
          </cell>
          <cell r="N452" t="str">
            <v>OC'S METALFISA</v>
          </cell>
          <cell r="O452" t="str">
            <v>-</v>
          </cell>
          <cell r="Q452">
            <v>1</v>
          </cell>
          <cell r="S452">
            <v>40</v>
          </cell>
          <cell r="T452" t="str">
            <v>OC'S MAPHE</v>
          </cell>
          <cell r="U452">
            <v>41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3</v>
          </cell>
          <cell r="AA452">
            <v>3</v>
          </cell>
          <cell r="AB452">
            <v>0</v>
          </cell>
          <cell r="AC452">
            <v>0</v>
          </cell>
          <cell r="AD452">
            <v>-3</v>
          </cell>
        </row>
        <row r="453">
          <cell r="A453" t="str">
            <v>33.03.10375.00</v>
          </cell>
          <cell r="B453" t="str">
            <v>SUPORTE DO ACABAMENTO DA ESTEIRA / 33.03.10375.00</v>
          </cell>
          <cell r="D453" t="str">
            <v>-</v>
          </cell>
          <cell r="E453" t="str">
            <v>-</v>
          </cell>
          <cell r="F453" t="str">
            <v>-</v>
          </cell>
          <cell r="G453" t="str">
            <v>-</v>
          </cell>
          <cell r="H453" t="str">
            <v>-</v>
          </cell>
          <cell r="I453" t="str">
            <v>-</v>
          </cell>
          <cell r="J453">
            <v>0</v>
          </cell>
          <cell r="K453">
            <v>27</v>
          </cell>
          <cell r="L453" t="str">
            <v>FALTA ENTREGA</v>
          </cell>
          <cell r="M453" t="str">
            <v>-</v>
          </cell>
          <cell r="N453" t="str">
            <v>OC'S METALFISA</v>
          </cell>
          <cell r="O453" t="str">
            <v>-</v>
          </cell>
          <cell r="Q453">
            <v>21</v>
          </cell>
          <cell r="S453">
            <v>19</v>
          </cell>
          <cell r="T453" t="str">
            <v>OC'S MAPHE</v>
          </cell>
          <cell r="U453">
            <v>40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13</v>
          </cell>
          <cell r="AA453">
            <v>13</v>
          </cell>
          <cell r="AB453">
            <v>0</v>
          </cell>
          <cell r="AC453">
            <v>0</v>
          </cell>
          <cell r="AD453">
            <v>-13</v>
          </cell>
        </row>
        <row r="454">
          <cell r="A454" t="str">
            <v>33.03.10540.00</v>
          </cell>
          <cell r="B454" t="str">
            <v>COLUNA DE SUSTENTACAO 01 / 33.03.10540.00</v>
          </cell>
          <cell r="D454" t="str">
            <v>-</v>
          </cell>
          <cell r="E454" t="str">
            <v>-</v>
          </cell>
          <cell r="F454" t="str">
            <v>-</v>
          </cell>
          <cell r="G454" t="str">
            <v>-</v>
          </cell>
          <cell r="H454" t="str">
            <v>-</v>
          </cell>
          <cell r="I454" t="str">
            <v>-</v>
          </cell>
          <cell r="J454">
            <v>0</v>
          </cell>
          <cell r="K454">
            <v>10</v>
          </cell>
          <cell r="L454" t="str">
            <v>FALTA ENTREGA</v>
          </cell>
          <cell r="M454" t="str">
            <v>-</v>
          </cell>
          <cell r="N454" t="str">
            <v>OC'S METALFISA</v>
          </cell>
          <cell r="O454" t="str">
            <v>-</v>
          </cell>
          <cell r="Q454" t="str">
            <v>-</v>
          </cell>
          <cell r="S454">
            <v>12</v>
          </cell>
          <cell r="T454" t="str">
            <v>OC'S MAPHE</v>
          </cell>
          <cell r="U454">
            <v>12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2</v>
          </cell>
          <cell r="AA454">
            <v>2</v>
          </cell>
          <cell r="AB454">
            <v>0</v>
          </cell>
          <cell r="AC454">
            <v>0</v>
          </cell>
          <cell r="AD454">
            <v>-2</v>
          </cell>
        </row>
        <row r="455">
          <cell r="A455" t="str">
            <v>33.03.10542.00</v>
          </cell>
          <cell r="B455" t="str">
            <v>COLUNA DE SUSTENTACAO 02 / 33.03.10542.00</v>
          </cell>
          <cell r="D455" t="str">
            <v>-</v>
          </cell>
          <cell r="E455" t="str">
            <v>-</v>
          </cell>
          <cell r="F455" t="str">
            <v>-</v>
          </cell>
          <cell r="G455" t="str">
            <v>-</v>
          </cell>
          <cell r="H455" t="str">
            <v>-</v>
          </cell>
          <cell r="I455" t="str">
            <v>-</v>
          </cell>
          <cell r="J455">
            <v>0</v>
          </cell>
          <cell r="K455">
            <v>10</v>
          </cell>
          <cell r="L455" t="str">
            <v>FALTA ENTREGA</v>
          </cell>
          <cell r="M455" t="str">
            <v>-</v>
          </cell>
          <cell r="N455" t="str">
            <v>OC'S METALFISA</v>
          </cell>
          <cell r="O455" t="str">
            <v>-</v>
          </cell>
          <cell r="Q455" t="str">
            <v>-</v>
          </cell>
          <cell r="S455">
            <v>12</v>
          </cell>
          <cell r="T455" t="str">
            <v>OC'S MAPHE</v>
          </cell>
          <cell r="U455">
            <v>12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2</v>
          </cell>
          <cell r="AA455">
            <v>2</v>
          </cell>
          <cell r="AB455">
            <v>0</v>
          </cell>
          <cell r="AC455">
            <v>0</v>
          </cell>
          <cell r="AD455">
            <v>-2</v>
          </cell>
        </row>
        <row r="456">
          <cell r="A456" t="str">
            <v>33.03.10544.00</v>
          </cell>
          <cell r="B456" t="str">
            <v>SUPORTE COOLERS TUBO 6040 SV / 33.03.10544.00</v>
          </cell>
          <cell r="D456" t="str">
            <v>-</v>
          </cell>
          <cell r="E456" t="str">
            <v>-</v>
          </cell>
          <cell r="F456" t="str">
            <v>-</v>
          </cell>
          <cell r="G456" t="str">
            <v>-</v>
          </cell>
          <cell r="H456" t="str">
            <v>-</v>
          </cell>
          <cell r="I456" t="str">
            <v>-</v>
          </cell>
          <cell r="J456">
            <v>0</v>
          </cell>
          <cell r="K456">
            <v>-4</v>
          </cell>
          <cell r="L456" t="str">
            <v>FALTA ENTREGA</v>
          </cell>
          <cell r="M456" t="str">
            <v>-</v>
          </cell>
          <cell r="N456" t="str">
            <v>OC'S METALFISA</v>
          </cell>
          <cell r="O456" t="str">
            <v>-</v>
          </cell>
          <cell r="Q456" t="str">
            <v>-</v>
          </cell>
          <cell r="S456">
            <v>18</v>
          </cell>
          <cell r="T456" t="str">
            <v>OC'S MAPHE</v>
          </cell>
          <cell r="U456">
            <v>18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22</v>
          </cell>
          <cell r="AA456">
            <v>22</v>
          </cell>
          <cell r="AB456">
            <v>0</v>
          </cell>
          <cell r="AC456">
            <v>0</v>
          </cell>
          <cell r="AD456">
            <v>-22</v>
          </cell>
        </row>
        <row r="457">
          <cell r="A457" t="str">
            <v>33.03.11184.01</v>
          </cell>
          <cell r="B457" t="str">
            <v>SUPORTE FONTE WEG / 33.03.11184.01</v>
          </cell>
          <cell r="C457">
            <v>46074</v>
          </cell>
          <cell r="D457" t="str">
            <v>-</v>
          </cell>
          <cell r="E457" t="str">
            <v>-</v>
          </cell>
          <cell r="F457" t="str">
            <v>-</v>
          </cell>
          <cell r="G457" t="str">
            <v>-</v>
          </cell>
          <cell r="H457" t="str">
            <v>-</v>
          </cell>
          <cell r="I457" t="str">
            <v>-</v>
          </cell>
          <cell r="J457">
            <v>0</v>
          </cell>
          <cell r="K457">
            <v>184</v>
          </cell>
          <cell r="L457" t="str">
            <v>ENTREGA TOTAL</v>
          </cell>
          <cell r="M457">
            <v>4</v>
          </cell>
          <cell r="N457" t="str">
            <v>OC'S METALFISA</v>
          </cell>
          <cell r="O457">
            <v>16</v>
          </cell>
          <cell r="P457" t="str">
            <v>OC'S GRANATO</v>
          </cell>
          <cell r="Q457">
            <v>101</v>
          </cell>
          <cell r="R457" t="str">
            <v>OC'S VMI MEC</v>
          </cell>
          <cell r="S457">
            <v>14</v>
          </cell>
          <cell r="T457" t="str">
            <v>OC'S MAPHE</v>
          </cell>
          <cell r="U457">
            <v>135</v>
          </cell>
          <cell r="V457">
            <v>0</v>
          </cell>
          <cell r="W457">
            <v>0</v>
          </cell>
          <cell r="X457">
            <v>7</v>
          </cell>
          <cell r="Y457">
            <v>0</v>
          </cell>
          <cell r="Z457">
            <v>88</v>
          </cell>
          <cell r="AA457">
            <v>95</v>
          </cell>
          <cell r="AB457">
            <v>0</v>
          </cell>
          <cell r="AC457">
            <v>144</v>
          </cell>
          <cell r="AD457">
            <v>49</v>
          </cell>
        </row>
        <row r="458">
          <cell r="A458" t="str">
            <v>33.03.11306.01</v>
          </cell>
          <cell r="B458" t="str">
            <v>BASE INFERIOR / 33.03.11306.01</v>
          </cell>
          <cell r="C458">
            <v>46074</v>
          </cell>
          <cell r="D458" t="str">
            <v>-</v>
          </cell>
          <cell r="E458" t="str">
            <v>-</v>
          </cell>
          <cell r="F458" t="str">
            <v>-</v>
          </cell>
          <cell r="G458" t="str">
            <v>-</v>
          </cell>
          <cell r="H458" t="str">
            <v>-</v>
          </cell>
          <cell r="I458" t="str">
            <v>-</v>
          </cell>
          <cell r="J458">
            <v>0</v>
          </cell>
          <cell r="K458">
            <v>34</v>
          </cell>
          <cell r="L458" t="str">
            <v>ENTREGA PARCIAL</v>
          </cell>
          <cell r="M458" t="str">
            <v>-</v>
          </cell>
          <cell r="N458" t="str">
            <v>OC'S METALFISA</v>
          </cell>
          <cell r="O458" t="str">
            <v>-</v>
          </cell>
          <cell r="Q458">
            <v>38</v>
          </cell>
          <cell r="R458" t="str">
            <v>OC'S VMI MEC</v>
          </cell>
          <cell r="S458" t="str">
            <v>-</v>
          </cell>
          <cell r="U458">
            <v>38</v>
          </cell>
          <cell r="V458">
            <v>1</v>
          </cell>
          <cell r="W458">
            <v>7</v>
          </cell>
          <cell r="X458">
            <v>0</v>
          </cell>
          <cell r="Y458">
            <v>0</v>
          </cell>
          <cell r="Z458">
            <v>28</v>
          </cell>
          <cell r="AA458">
            <v>36</v>
          </cell>
          <cell r="AB458">
            <v>0</v>
          </cell>
          <cell r="AC458">
            <v>32</v>
          </cell>
          <cell r="AD458">
            <v>-4</v>
          </cell>
        </row>
        <row r="459">
          <cell r="A459" t="str">
            <v>33.03.11311.01</v>
          </cell>
          <cell r="B459" t="str">
            <v>BASE SUPERIOR / 33.03.11311.01</v>
          </cell>
          <cell r="C459">
            <v>46074</v>
          </cell>
          <cell r="D459" t="str">
            <v>-</v>
          </cell>
          <cell r="E459" t="str">
            <v>-</v>
          </cell>
          <cell r="F459" t="str">
            <v>-</v>
          </cell>
          <cell r="G459" t="str">
            <v>-</v>
          </cell>
          <cell r="H459" t="str">
            <v>-</v>
          </cell>
          <cell r="I459" t="str">
            <v>-</v>
          </cell>
          <cell r="J459">
            <v>0</v>
          </cell>
          <cell r="K459">
            <v>30</v>
          </cell>
          <cell r="L459" t="str">
            <v>ENTREGA TOTAL</v>
          </cell>
          <cell r="M459" t="str">
            <v>-</v>
          </cell>
          <cell r="N459" t="str">
            <v>OC'S METALFISA</v>
          </cell>
          <cell r="O459" t="str">
            <v>-</v>
          </cell>
          <cell r="Q459">
            <v>30</v>
          </cell>
          <cell r="R459" t="str">
            <v>OC'S VMI MEC</v>
          </cell>
          <cell r="S459" t="str">
            <v>-</v>
          </cell>
          <cell r="U459">
            <v>30</v>
          </cell>
          <cell r="V459">
            <v>0</v>
          </cell>
          <cell r="W459">
            <v>2</v>
          </cell>
          <cell r="X459">
            <v>0</v>
          </cell>
          <cell r="Y459">
            <v>0</v>
          </cell>
          <cell r="Z459">
            <v>28</v>
          </cell>
          <cell r="AA459">
            <v>30</v>
          </cell>
          <cell r="AB459">
            <v>0</v>
          </cell>
          <cell r="AC459">
            <v>30</v>
          </cell>
          <cell r="AD459">
            <v>0</v>
          </cell>
        </row>
        <row r="460">
          <cell r="A460" t="str">
            <v>33.03.11319.01</v>
          </cell>
          <cell r="B460" t="str">
            <v>COLUNA A / 33.03.11319.01</v>
          </cell>
          <cell r="D460" t="str">
            <v>-</v>
          </cell>
          <cell r="E460" t="str">
            <v>-</v>
          </cell>
          <cell r="F460" t="str">
            <v>-</v>
          </cell>
          <cell r="G460" t="str">
            <v>-</v>
          </cell>
          <cell r="H460" t="str">
            <v>-</v>
          </cell>
          <cell r="I460" t="str">
            <v>-</v>
          </cell>
          <cell r="J460">
            <v>0</v>
          </cell>
          <cell r="K460">
            <v>-8</v>
          </cell>
          <cell r="L460" t="str">
            <v>FALTA ENTREGA</v>
          </cell>
          <cell r="M460" t="str">
            <v>-</v>
          </cell>
          <cell r="N460" t="str">
            <v>OC'S METALFISA</v>
          </cell>
          <cell r="O460" t="str">
            <v>-</v>
          </cell>
          <cell r="Q460" t="str">
            <v>-</v>
          </cell>
          <cell r="S460" t="str">
            <v>-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8</v>
          </cell>
          <cell r="AA460">
            <v>8</v>
          </cell>
          <cell r="AB460">
            <v>0</v>
          </cell>
          <cell r="AC460">
            <v>0</v>
          </cell>
          <cell r="AD460">
            <v>-8</v>
          </cell>
        </row>
        <row r="461">
          <cell r="A461" t="str">
            <v>33.03.11322.00</v>
          </cell>
          <cell r="B461" t="str">
            <v>SUPORTE HORIZONTAL TRAVA COLUNAS / 33.03.11322.00</v>
          </cell>
          <cell r="C461">
            <v>46074</v>
          </cell>
          <cell r="D461" t="str">
            <v>-</v>
          </cell>
          <cell r="E461" t="str">
            <v>-</v>
          </cell>
          <cell r="F461" t="str">
            <v>-</v>
          </cell>
          <cell r="G461" t="str">
            <v>-</v>
          </cell>
          <cell r="H461" t="str">
            <v>-</v>
          </cell>
          <cell r="I461" t="str">
            <v>-</v>
          </cell>
          <cell r="J461">
            <v>0</v>
          </cell>
          <cell r="K461">
            <v>60</v>
          </cell>
          <cell r="L461" t="str">
            <v>ENTREGA PARCIAL</v>
          </cell>
          <cell r="M461" t="str">
            <v>-</v>
          </cell>
          <cell r="N461" t="str">
            <v>OC'S METALFISA</v>
          </cell>
          <cell r="O461" t="str">
            <v>-</v>
          </cell>
          <cell r="Q461">
            <v>61</v>
          </cell>
          <cell r="R461" t="str">
            <v>OC'S VMI MEC</v>
          </cell>
          <cell r="S461" t="str">
            <v>-</v>
          </cell>
          <cell r="U461">
            <v>61</v>
          </cell>
          <cell r="V461">
            <v>0</v>
          </cell>
          <cell r="W461">
            <v>5</v>
          </cell>
          <cell r="X461">
            <v>0</v>
          </cell>
          <cell r="Y461">
            <v>0</v>
          </cell>
          <cell r="Z461">
            <v>56</v>
          </cell>
          <cell r="AA461">
            <v>61</v>
          </cell>
          <cell r="AB461">
            <v>0</v>
          </cell>
          <cell r="AC461">
            <v>60</v>
          </cell>
          <cell r="AD461">
            <v>-1</v>
          </cell>
        </row>
        <row r="462">
          <cell r="A462" t="str">
            <v>33.03.11324.01</v>
          </cell>
          <cell r="B462" t="str">
            <v>SUPORTE DO COLIMADOR / 33.03.11324.01</v>
          </cell>
          <cell r="D462" t="str">
            <v>-</v>
          </cell>
          <cell r="E462" t="str">
            <v>-</v>
          </cell>
          <cell r="F462" t="str">
            <v>-</v>
          </cell>
          <cell r="G462" t="str">
            <v>-</v>
          </cell>
          <cell r="H462" t="str">
            <v>-</v>
          </cell>
          <cell r="I462" t="str">
            <v>-</v>
          </cell>
          <cell r="J462">
            <v>0</v>
          </cell>
          <cell r="K462">
            <v>0</v>
          </cell>
          <cell r="L462" t="str">
            <v>FALTA ENTREGA</v>
          </cell>
          <cell r="M462" t="str">
            <v>-</v>
          </cell>
          <cell r="N462" t="str">
            <v>OC'S METALFISA</v>
          </cell>
          <cell r="O462" t="str">
            <v>-</v>
          </cell>
          <cell r="Q462">
            <v>30</v>
          </cell>
          <cell r="R462" t="str">
            <v>OC'S VMI MEC</v>
          </cell>
          <cell r="S462" t="str">
            <v>-</v>
          </cell>
          <cell r="U462">
            <v>30</v>
          </cell>
          <cell r="V462">
            <v>0</v>
          </cell>
          <cell r="W462">
            <v>2</v>
          </cell>
          <cell r="X462">
            <v>0</v>
          </cell>
          <cell r="Y462">
            <v>0</v>
          </cell>
          <cell r="Z462">
            <v>28</v>
          </cell>
          <cell r="AA462">
            <v>30</v>
          </cell>
          <cell r="AB462">
            <v>0</v>
          </cell>
          <cell r="AC462">
            <v>0</v>
          </cell>
          <cell r="AD462">
            <v>-30</v>
          </cell>
        </row>
        <row r="463">
          <cell r="A463" t="str">
            <v>33.03.11325.00</v>
          </cell>
          <cell r="B463" t="str">
            <v>SUPORTE TRAVA COLUNAS H E V / 33.03.11325.00</v>
          </cell>
          <cell r="D463" t="str">
            <v>-</v>
          </cell>
          <cell r="E463" t="str">
            <v>-</v>
          </cell>
          <cell r="F463" t="str">
            <v>-</v>
          </cell>
          <cell r="G463" t="str">
            <v>-</v>
          </cell>
          <cell r="H463" t="str">
            <v>-</v>
          </cell>
          <cell r="I463" t="str">
            <v>-</v>
          </cell>
          <cell r="J463">
            <v>0</v>
          </cell>
          <cell r="K463">
            <v>3</v>
          </cell>
          <cell r="L463" t="str">
            <v>FALTA ENTREGA</v>
          </cell>
          <cell r="M463" t="str">
            <v>-</v>
          </cell>
          <cell r="N463" t="str">
            <v>OC'S METALFISA</v>
          </cell>
          <cell r="O463" t="str">
            <v>-</v>
          </cell>
          <cell r="Q463">
            <v>120</v>
          </cell>
          <cell r="R463" t="str">
            <v>OC'S VMI MEC</v>
          </cell>
          <cell r="S463" t="str">
            <v>-</v>
          </cell>
          <cell r="U463">
            <v>120</v>
          </cell>
          <cell r="V463">
            <v>0</v>
          </cell>
          <cell r="W463">
            <v>5</v>
          </cell>
          <cell r="X463">
            <v>0</v>
          </cell>
          <cell r="Y463">
            <v>0</v>
          </cell>
          <cell r="Z463">
            <v>112</v>
          </cell>
          <cell r="AA463">
            <v>117</v>
          </cell>
          <cell r="AB463">
            <v>0</v>
          </cell>
          <cell r="AC463">
            <v>0</v>
          </cell>
          <cell r="AD463">
            <v>-117</v>
          </cell>
        </row>
        <row r="464">
          <cell r="A464" t="str">
            <v>33.03.11326.00</v>
          </cell>
          <cell r="B464" t="str">
            <v>REGUA DO COLIMADOR - A / 33.03.11326.00</v>
          </cell>
          <cell r="C464">
            <v>46066</v>
          </cell>
          <cell r="D464" t="str">
            <v>-</v>
          </cell>
          <cell r="E464" t="str">
            <v>-</v>
          </cell>
          <cell r="F464" t="str">
            <v>-</v>
          </cell>
          <cell r="G464" t="str">
            <v>-</v>
          </cell>
          <cell r="H464" t="str">
            <v>-</v>
          </cell>
          <cell r="I464" t="str">
            <v>-</v>
          </cell>
          <cell r="J464">
            <v>0</v>
          </cell>
          <cell r="K464">
            <v>50</v>
          </cell>
          <cell r="L464" t="str">
            <v>ENTREGA PARCIAL</v>
          </cell>
          <cell r="M464" t="str">
            <v>-</v>
          </cell>
          <cell r="N464" t="str">
            <v>OC'S METALFISA</v>
          </cell>
          <cell r="O464" t="str">
            <v>-</v>
          </cell>
          <cell r="Q464">
            <v>74</v>
          </cell>
          <cell r="R464" t="str">
            <v>OC'S VMI MEC</v>
          </cell>
          <cell r="S464" t="str">
            <v>-</v>
          </cell>
          <cell r="U464">
            <v>74</v>
          </cell>
          <cell r="V464">
            <v>14</v>
          </cell>
          <cell r="W464">
            <v>14</v>
          </cell>
          <cell r="X464">
            <v>0</v>
          </cell>
          <cell r="Y464">
            <v>0</v>
          </cell>
          <cell r="Z464">
            <v>56</v>
          </cell>
          <cell r="AA464">
            <v>84</v>
          </cell>
          <cell r="AB464">
            <v>0</v>
          </cell>
          <cell r="AC464">
            <v>60</v>
          </cell>
          <cell r="AD464">
            <v>-24</v>
          </cell>
        </row>
        <row r="465">
          <cell r="A465" t="str">
            <v>33.03.11327.01</v>
          </cell>
          <cell r="B465" t="str">
            <v>REGUA DO COLIMADOR - B / 33.03.11327.01</v>
          </cell>
          <cell r="C465">
            <v>46066</v>
          </cell>
          <cell r="D465" t="str">
            <v>-</v>
          </cell>
          <cell r="E465" t="str">
            <v>-</v>
          </cell>
          <cell r="F465" t="str">
            <v>-</v>
          </cell>
          <cell r="G465" t="str">
            <v>-</v>
          </cell>
          <cell r="H465" t="str">
            <v>-</v>
          </cell>
          <cell r="I465" t="str">
            <v>-</v>
          </cell>
          <cell r="J465">
            <v>0</v>
          </cell>
          <cell r="K465">
            <v>61</v>
          </cell>
          <cell r="L465" t="str">
            <v>ENTREGA TOTAL</v>
          </cell>
          <cell r="M465" t="str">
            <v>-</v>
          </cell>
          <cell r="N465" t="str">
            <v>OC'S METALFISA</v>
          </cell>
          <cell r="O465" t="str">
            <v>-</v>
          </cell>
          <cell r="Q465">
            <v>53</v>
          </cell>
          <cell r="R465" t="str">
            <v>OC'S VMI MEC</v>
          </cell>
          <cell r="S465" t="str">
            <v>-</v>
          </cell>
          <cell r="U465">
            <v>53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45</v>
          </cell>
          <cell r="AA465">
            <v>45</v>
          </cell>
          <cell r="AB465">
            <v>0</v>
          </cell>
          <cell r="AC465">
            <v>53</v>
          </cell>
          <cell r="AD465">
            <v>8</v>
          </cell>
        </row>
        <row r="466">
          <cell r="A466" t="str">
            <v>33.03.11335.01</v>
          </cell>
          <cell r="B466" t="str">
            <v>APOIO DO COLIMADOR - B / 33.03.11335.01</v>
          </cell>
          <cell r="C466">
            <v>46074</v>
          </cell>
          <cell r="D466" t="str">
            <v>-</v>
          </cell>
          <cell r="E466" t="str">
            <v>-</v>
          </cell>
          <cell r="F466" t="str">
            <v>-</v>
          </cell>
          <cell r="G466" t="str">
            <v>-</v>
          </cell>
          <cell r="H466" t="str">
            <v>-</v>
          </cell>
          <cell r="I466" t="str">
            <v>-</v>
          </cell>
          <cell r="J466">
            <v>0</v>
          </cell>
          <cell r="K466">
            <v>60</v>
          </cell>
          <cell r="L466" t="str">
            <v>ENTREGA TOTAL</v>
          </cell>
          <cell r="M466" t="str">
            <v>-</v>
          </cell>
          <cell r="N466" t="str">
            <v>OC'S METALFISA</v>
          </cell>
          <cell r="O466" t="str">
            <v>-</v>
          </cell>
          <cell r="Q466">
            <v>60</v>
          </cell>
          <cell r="R466" t="str">
            <v>OC'S VMI MEC</v>
          </cell>
          <cell r="S466" t="str">
            <v>-</v>
          </cell>
          <cell r="U466">
            <v>60</v>
          </cell>
          <cell r="V466">
            <v>0</v>
          </cell>
          <cell r="W466">
            <v>4</v>
          </cell>
          <cell r="X466">
            <v>0</v>
          </cell>
          <cell r="Y466">
            <v>0</v>
          </cell>
          <cell r="Z466">
            <v>56</v>
          </cell>
          <cell r="AA466">
            <v>60</v>
          </cell>
          <cell r="AB466">
            <v>0</v>
          </cell>
          <cell r="AC466">
            <v>60</v>
          </cell>
          <cell r="AD466">
            <v>0</v>
          </cell>
        </row>
        <row r="467">
          <cell r="A467" t="str">
            <v>33.03.11336.01</v>
          </cell>
          <cell r="B467" t="str">
            <v>CHASSI DA ESTEIRA / 33.03.11336.01</v>
          </cell>
          <cell r="C467">
            <v>46066</v>
          </cell>
          <cell r="D467" t="str">
            <v>-</v>
          </cell>
          <cell r="E467" t="str">
            <v>-</v>
          </cell>
          <cell r="F467" t="str">
            <v>-</v>
          </cell>
          <cell r="G467" t="str">
            <v>-</v>
          </cell>
          <cell r="H467" t="str">
            <v>-</v>
          </cell>
          <cell r="I467" t="str">
            <v>-</v>
          </cell>
          <cell r="J467">
            <v>0</v>
          </cell>
          <cell r="K467">
            <v>28</v>
          </cell>
          <cell r="L467" t="str">
            <v>ENTREGA TOTAL</v>
          </cell>
          <cell r="M467" t="str">
            <v>-</v>
          </cell>
          <cell r="N467" t="str">
            <v>OC'S METALFISA</v>
          </cell>
          <cell r="O467" t="str">
            <v>-</v>
          </cell>
          <cell r="Q467">
            <v>28</v>
          </cell>
          <cell r="R467" t="str">
            <v>OC'S VMI MEC</v>
          </cell>
          <cell r="S467" t="str">
            <v>-</v>
          </cell>
          <cell r="U467">
            <v>28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28</v>
          </cell>
          <cell r="AA467">
            <v>28</v>
          </cell>
          <cell r="AB467">
            <v>0</v>
          </cell>
          <cell r="AC467">
            <v>28</v>
          </cell>
          <cell r="AD467">
            <v>0</v>
          </cell>
        </row>
        <row r="468">
          <cell r="A468" t="str">
            <v>33.03.11339.01</v>
          </cell>
          <cell r="B468" t="str">
            <v>CONJ. SUPORTE P /  FIX. DO ROLETE DE RETORNO / 33.03.11339.01</v>
          </cell>
          <cell r="C468">
            <v>46074</v>
          </cell>
          <cell r="D468" t="str">
            <v>-</v>
          </cell>
          <cell r="E468" t="str">
            <v>-</v>
          </cell>
          <cell r="F468" t="str">
            <v>-</v>
          </cell>
          <cell r="G468" t="str">
            <v>-</v>
          </cell>
          <cell r="H468" t="str">
            <v>-</v>
          </cell>
          <cell r="I468" t="str">
            <v>-</v>
          </cell>
          <cell r="J468">
            <v>0</v>
          </cell>
          <cell r="K468">
            <v>141</v>
          </cell>
          <cell r="L468" t="str">
            <v>ENTREGA TOTAL</v>
          </cell>
          <cell r="M468" t="str">
            <v>-</v>
          </cell>
          <cell r="N468" t="str">
            <v>OC'S METALFISA</v>
          </cell>
          <cell r="O468" t="str">
            <v>-</v>
          </cell>
          <cell r="Q468">
            <v>120</v>
          </cell>
          <cell r="R468" t="str">
            <v>OC'S VMI MEC</v>
          </cell>
          <cell r="S468" t="str">
            <v>-</v>
          </cell>
          <cell r="U468">
            <v>120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99</v>
          </cell>
          <cell r="AA468">
            <v>99</v>
          </cell>
          <cell r="AB468">
            <v>0</v>
          </cell>
          <cell r="AC468">
            <v>120</v>
          </cell>
          <cell r="AD468">
            <v>21</v>
          </cell>
        </row>
        <row r="469">
          <cell r="A469" t="str">
            <v>33.03.11350.00</v>
          </cell>
          <cell r="B469" t="str">
            <v>CONJ. APOIO DO COLIMADOR - B / 33.03.11350.00</v>
          </cell>
          <cell r="C469">
            <v>46074</v>
          </cell>
          <cell r="D469" t="str">
            <v>-</v>
          </cell>
          <cell r="E469" t="str">
            <v>-</v>
          </cell>
          <cell r="F469" t="str">
            <v>-</v>
          </cell>
          <cell r="G469" t="str">
            <v>-</v>
          </cell>
          <cell r="H469" t="str">
            <v>-</v>
          </cell>
          <cell r="I469" t="str">
            <v>-</v>
          </cell>
          <cell r="J469">
            <v>0</v>
          </cell>
          <cell r="K469">
            <v>65</v>
          </cell>
          <cell r="L469" t="str">
            <v>ENTREGA TOTAL</v>
          </cell>
          <cell r="M469" t="str">
            <v>-</v>
          </cell>
          <cell r="N469" t="str">
            <v>OC'S METALFISA</v>
          </cell>
          <cell r="O469" t="str">
            <v>-</v>
          </cell>
          <cell r="Q469">
            <v>60</v>
          </cell>
          <cell r="R469" t="str">
            <v>OC'S VMI MEC</v>
          </cell>
          <cell r="S469" t="str">
            <v>-</v>
          </cell>
          <cell r="U469">
            <v>60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55</v>
          </cell>
          <cell r="AA469">
            <v>55</v>
          </cell>
          <cell r="AB469">
            <v>0</v>
          </cell>
          <cell r="AC469">
            <v>60</v>
          </cell>
          <cell r="AD469">
            <v>5</v>
          </cell>
        </row>
        <row r="470">
          <cell r="A470" t="str">
            <v>33.03.11355.01</v>
          </cell>
          <cell r="B470" t="str">
            <v>TAMPA DE ACESSO INFERIOR - A / 33.03.11355.01</v>
          </cell>
          <cell r="C470">
            <v>46066</v>
          </cell>
          <cell r="D470" t="str">
            <v>-</v>
          </cell>
          <cell r="E470" t="str">
            <v>-</v>
          </cell>
          <cell r="F470" t="str">
            <v>-</v>
          </cell>
          <cell r="G470" t="str">
            <v>-</v>
          </cell>
          <cell r="H470" t="str">
            <v>-</v>
          </cell>
          <cell r="I470" t="str">
            <v>-</v>
          </cell>
          <cell r="J470">
            <v>0</v>
          </cell>
          <cell r="K470">
            <v>28</v>
          </cell>
          <cell r="L470" t="str">
            <v>ENTREGA PARCIAL</v>
          </cell>
          <cell r="M470" t="str">
            <v>-</v>
          </cell>
          <cell r="N470" t="str">
            <v>OC'S METALFISA</v>
          </cell>
          <cell r="O470" t="str">
            <v>-</v>
          </cell>
          <cell r="Q470">
            <v>30</v>
          </cell>
          <cell r="R470" t="str">
            <v>OC'S VMI MEC</v>
          </cell>
          <cell r="S470" t="str">
            <v>-</v>
          </cell>
          <cell r="U470">
            <v>30</v>
          </cell>
          <cell r="V470">
            <v>0</v>
          </cell>
          <cell r="W470">
            <v>4</v>
          </cell>
          <cell r="X470">
            <v>0</v>
          </cell>
          <cell r="Y470">
            <v>0</v>
          </cell>
          <cell r="Z470">
            <v>28</v>
          </cell>
          <cell r="AA470">
            <v>32</v>
          </cell>
          <cell r="AB470">
            <v>0</v>
          </cell>
          <cell r="AC470">
            <v>30</v>
          </cell>
          <cell r="AD470">
            <v>-2</v>
          </cell>
        </row>
        <row r="471">
          <cell r="A471" t="str">
            <v>33.03.11356.00</v>
          </cell>
          <cell r="B471" t="str">
            <v>TAMPA DE ACESSO INFERIOR - B / 33.03.11356.00</v>
          </cell>
          <cell r="C471">
            <v>46066</v>
          </cell>
          <cell r="D471" t="str">
            <v>-</v>
          </cell>
          <cell r="E471" t="str">
            <v>-</v>
          </cell>
          <cell r="F471" t="str">
            <v>-</v>
          </cell>
          <cell r="G471" t="str">
            <v>-</v>
          </cell>
          <cell r="H471" t="str">
            <v>-</v>
          </cell>
          <cell r="I471" t="str">
            <v>-</v>
          </cell>
          <cell r="J471">
            <v>0</v>
          </cell>
          <cell r="K471">
            <v>30</v>
          </cell>
          <cell r="L471" t="str">
            <v>ENTREGA TOTAL</v>
          </cell>
          <cell r="M471" t="str">
            <v>-</v>
          </cell>
          <cell r="N471" t="str">
            <v>OC'S METALFISA</v>
          </cell>
          <cell r="O471" t="str">
            <v>-</v>
          </cell>
          <cell r="Q471">
            <v>30</v>
          </cell>
          <cell r="R471" t="str">
            <v>OC'S VMI MEC</v>
          </cell>
          <cell r="S471" t="str">
            <v>-</v>
          </cell>
          <cell r="U471">
            <v>30</v>
          </cell>
          <cell r="V471">
            <v>0</v>
          </cell>
          <cell r="W471">
            <v>2</v>
          </cell>
          <cell r="X471">
            <v>0</v>
          </cell>
          <cell r="Y471">
            <v>0</v>
          </cell>
          <cell r="Z471">
            <v>28</v>
          </cell>
          <cell r="AA471">
            <v>30</v>
          </cell>
          <cell r="AB471">
            <v>0</v>
          </cell>
          <cell r="AC471">
            <v>30</v>
          </cell>
          <cell r="AD471">
            <v>0</v>
          </cell>
        </row>
        <row r="472">
          <cell r="A472" t="str">
            <v>33.03.11357.01</v>
          </cell>
          <cell r="B472" t="str">
            <v>ACABAMENTO - A / 33.03.11357.01</v>
          </cell>
          <cell r="D472" t="str">
            <v>-</v>
          </cell>
          <cell r="E472" t="str">
            <v>-</v>
          </cell>
          <cell r="F472" t="str">
            <v>-</v>
          </cell>
          <cell r="G472" t="str">
            <v>-</v>
          </cell>
          <cell r="H472" t="str">
            <v>-</v>
          </cell>
          <cell r="I472" t="str">
            <v>-</v>
          </cell>
          <cell r="J472">
            <v>0</v>
          </cell>
          <cell r="K472">
            <v>-2</v>
          </cell>
          <cell r="L472" t="str">
            <v>ENTREGA PARCIAL</v>
          </cell>
          <cell r="M472" t="str">
            <v>-</v>
          </cell>
          <cell r="N472" t="str">
            <v>OC'S METALFISA</v>
          </cell>
          <cell r="O472" t="str">
            <v>-</v>
          </cell>
          <cell r="Q472" t="str">
            <v>-</v>
          </cell>
          <cell r="S472" t="str">
            <v>-</v>
          </cell>
          <cell r="U472">
            <v>0</v>
          </cell>
          <cell r="V472">
            <v>0</v>
          </cell>
          <cell r="W472">
            <v>6</v>
          </cell>
          <cell r="X472">
            <v>0</v>
          </cell>
          <cell r="Y472">
            <v>0</v>
          </cell>
          <cell r="Z472">
            <v>56</v>
          </cell>
          <cell r="AA472">
            <v>62</v>
          </cell>
          <cell r="AB472">
            <v>0</v>
          </cell>
          <cell r="AC472">
            <v>60</v>
          </cell>
          <cell r="AD472">
            <v>-2</v>
          </cell>
        </row>
        <row r="473">
          <cell r="A473" t="str">
            <v>33.03.11358.01</v>
          </cell>
          <cell r="B473" t="str">
            <v>ACABAMENTO - B / 33.03.11358.01</v>
          </cell>
          <cell r="D473" t="str">
            <v>-</v>
          </cell>
          <cell r="E473" t="str">
            <v>-</v>
          </cell>
          <cell r="F473" t="str">
            <v>-</v>
          </cell>
          <cell r="G473" t="str">
            <v>-</v>
          </cell>
          <cell r="H473" t="str">
            <v>-</v>
          </cell>
          <cell r="I473" t="str">
            <v>-</v>
          </cell>
          <cell r="J473">
            <v>0</v>
          </cell>
          <cell r="K473" t="e">
            <v>#VALUE!</v>
          </cell>
          <cell r="L473" t="str">
            <v>ENTREGA TOTAL</v>
          </cell>
          <cell r="M473" t="str">
            <v>-</v>
          </cell>
          <cell r="N473" t="str">
            <v>OC'S METALFISA</v>
          </cell>
          <cell r="O473" t="str">
            <v>-</v>
          </cell>
          <cell r="Q473" t="str">
            <v>-</v>
          </cell>
          <cell r="S473" t="str">
            <v>-</v>
          </cell>
          <cell r="U473">
            <v>0</v>
          </cell>
          <cell r="V473">
            <v>0</v>
          </cell>
          <cell r="W473">
            <v>2</v>
          </cell>
          <cell r="X473">
            <v>0</v>
          </cell>
          <cell r="Y473">
            <v>0</v>
          </cell>
          <cell r="Z473">
            <v>56</v>
          </cell>
          <cell r="AA473">
            <v>58</v>
          </cell>
          <cell r="AB473" t="str">
            <v>0</v>
          </cell>
          <cell r="AC473" t="str">
            <v>-</v>
          </cell>
          <cell r="AD473" t="str">
            <v>-</v>
          </cell>
        </row>
        <row r="474">
          <cell r="A474" t="str">
            <v>33.03.11361.01</v>
          </cell>
          <cell r="B474" t="str">
            <v>ACABAMENTO ESTEIRA - D / 33.03.11361.01</v>
          </cell>
          <cell r="C474">
            <v>46066</v>
          </cell>
          <cell r="D474" t="str">
            <v>-</v>
          </cell>
          <cell r="E474" t="str">
            <v>-</v>
          </cell>
          <cell r="F474" t="str">
            <v>-</v>
          </cell>
          <cell r="G474" t="str">
            <v>-</v>
          </cell>
          <cell r="H474" t="str">
            <v>-</v>
          </cell>
          <cell r="I474" t="str">
            <v>-</v>
          </cell>
          <cell r="J474">
            <v>0</v>
          </cell>
          <cell r="K474">
            <v>25</v>
          </cell>
          <cell r="L474" t="str">
            <v>ENTREGA PARCIAL</v>
          </cell>
          <cell r="M474">
            <v>1</v>
          </cell>
          <cell r="N474" t="str">
            <v>OC'S METALFISA</v>
          </cell>
          <cell r="O474" t="str">
            <v>-</v>
          </cell>
          <cell r="Q474" t="str">
            <v>-</v>
          </cell>
          <cell r="S474">
            <v>30</v>
          </cell>
          <cell r="T474" t="str">
            <v>OC'S MAPHE</v>
          </cell>
          <cell r="U474">
            <v>31</v>
          </cell>
          <cell r="V474">
            <v>1</v>
          </cell>
          <cell r="W474">
            <v>7</v>
          </cell>
          <cell r="X474">
            <v>0</v>
          </cell>
          <cell r="Y474">
            <v>0</v>
          </cell>
          <cell r="Z474">
            <v>28</v>
          </cell>
          <cell r="AA474">
            <v>36</v>
          </cell>
          <cell r="AB474">
            <v>0</v>
          </cell>
          <cell r="AC474">
            <v>30</v>
          </cell>
          <cell r="AD474">
            <v>-6</v>
          </cell>
        </row>
        <row r="475">
          <cell r="A475" t="str">
            <v>33.03.11364.01</v>
          </cell>
          <cell r="B475" t="str">
            <v>ACABAMENTO ESTEIRA - B / 33.03.11364.01</v>
          </cell>
          <cell r="C475">
            <v>46066</v>
          </cell>
          <cell r="D475">
            <v>1</v>
          </cell>
          <cell r="E475" t="str">
            <v>-</v>
          </cell>
          <cell r="F475" t="str">
            <v>-</v>
          </cell>
          <cell r="G475" t="str">
            <v>-</v>
          </cell>
          <cell r="H475" t="str">
            <v>-</v>
          </cell>
          <cell r="I475" t="str">
            <v>-</v>
          </cell>
          <cell r="J475">
            <v>0</v>
          </cell>
          <cell r="K475">
            <v>29</v>
          </cell>
          <cell r="L475" t="str">
            <v>ENTREGA PARCIAL</v>
          </cell>
          <cell r="M475" t="str">
            <v>-</v>
          </cell>
          <cell r="N475" t="str">
            <v>OC'S METALFISA</v>
          </cell>
          <cell r="O475" t="str">
            <v>-</v>
          </cell>
          <cell r="Q475" t="str">
            <v>-</v>
          </cell>
          <cell r="S475">
            <v>40</v>
          </cell>
          <cell r="T475" t="str">
            <v>OC'S MAPHE</v>
          </cell>
          <cell r="U475">
            <v>40</v>
          </cell>
          <cell r="V475">
            <v>5</v>
          </cell>
          <cell r="W475">
            <v>7</v>
          </cell>
          <cell r="X475">
            <v>0</v>
          </cell>
          <cell r="Y475">
            <v>0</v>
          </cell>
          <cell r="Z475">
            <v>28</v>
          </cell>
          <cell r="AA475">
            <v>40</v>
          </cell>
          <cell r="AB475">
            <v>0</v>
          </cell>
          <cell r="AC475">
            <v>28</v>
          </cell>
          <cell r="AD475">
            <v>-12</v>
          </cell>
        </row>
        <row r="476">
          <cell r="A476" t="str">
            <v>33.03.11366.01</v>
          </cell>
          <cell r="B476" t="str">
            <v>ACABAMENTO ESTEIRA - A / 33.03.11366.01</v>
          </cell>
          <cell r="D476" t="str">
            <v>-</v>
          </cell>
          <cell r="E476" t="str">
            <v>-</v>
          </cell>
          <cell r="F476" t="str">
            <v>-</v>
          </cell>
          <cell r="G476" t="str">
            <v>-</v>
          </cell>
          <cell r="H476" t="str">
            <v>-</v>
          </cell>
          <cell r="I476" t="str">
            <v>-</v>
          </cell>
          <cell r="J476">
            <v>0</v>
          </cell>
          <cell r="K476">
            <v>28</v>
          </cell>
          <cell r="L476" t="str">
            <v>ENTREGA TOTAL</v>
          </cell>
          <cell r="M476">
            <v>28</v>
          </cell>
          <cell r="N476" t="str">
            <v>OC'S METALFISA</v>
          </cell>
          <cell r="O476" t="str">
            <v>-</v>
          </cell>
          <cell r="Q476" t="str">
            <v>-</v>
          </cell>
          <cell r="S476" t="str">
            <v>-</v>
          </cell>
          <cell r="U476">
            <v>28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24</v>
          </cell>
          <cell r="AA476">
            <v>24</v>
          </cell>
          <cell r="AB476">
            <v>0</v>
          </cell>
          <cell r="AC476">
            <v>24</v>
          </cell>
          <cell r="AD476">
            <v>0</v>
          </cell>
        </row>
        <row r="477">
          <cell r="A477" t="str">
            <v>33.03.11368.01</v>
          </cell>
          <cell r="B477" t="str">
            <v>ACABAMENTO ESTEIRA - C / 33.03.11368.01</v>
          </cell>
          <cell r="C477">
            <v>46066</v>
          </cell>
          <cell r="D477" t="str">
            <v>-</v>
          </cell>
          <cell r="E477" t="str">
            <v>-</v>
          </cell>
          <cell r="F477" t="str">
            <v>-</v>
          </cell>
          <cell r="G477" t="str">
            <v>-</v>
          </cell>
          <cell r="H477" t="str">
            <v>-</v>
          </cell>
          <cell r="I477" t="str">
            <v>-</v>
          </cell>
          <cell r="J477">
            <v>0</v>
          </cell>
          <cell r="K477">
            <v>27</v>
          </cell>
          <cell r="L477" t="str">
            <v>ENTREGA TOTAL</v>
          </cell>
          <cell r="M477">
            <v>27</v>
          </cell>
          <cell r="N477" t="str">
            <v>OC'S METALFISA</v>
          </cell>
          <cell r="O477" t="str">
            <v>-</v>
          </cell>
          <cell r="Q477" t="str">
            <v>-</v>
          </cell>
          <cell r="S477" t="str">
            <v>-</v>
          </cell>
          <cell r="U477">
            <v>27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26</v>
          </cell>
          <cell r="AA477">
            <v>26</v>
          </cell>
          <cell r="AB477">
            <v>0</v>
          </cell>
          <cell r="AC477">
            <v>26</v>
          </cell>
          <cell r="AD477">
            <v>0</v>
          </cell>
        </row>
        <row r="478">
          <cell r="A478" t="str">
            <v>33.03.11369.01</v>
          </cell>
          <cell r="B478" t="str">
            <v>ACABAMENTO - C / 33.03.11369.01</v>
          </cell>
          <cell r="D478" t="str">
            <v>-</v>
          </cell>
          <cell r="E478" t="str">
            <v>-</v>
          </cell>
          <cell r="F478" t="str">
            <v>-</v>
          </cell>
          <cell r="G478" t="str">
            <v>-</v>
          </cell>
          <cell r="H478" t="str">
            <v>-</v>
          </cell>
          <cell r="I478" t="str">
            <v>-</v>
          </cell>
          <cell r="J478">
            <v>0</v>
          </cell>
          <cell r="K478">
            <v>-17</v>
          </cell>
          <cell r="L478" t="str">
            <v>ENTREGA PARCIAL</v>
          </cell>
          <cell r="M478" t="str">
            <v>-</v>
          </cell>
          <cell r="N478" t="str">
            <v>OC'S METALFISA</v>
          </cell>
          <cell r="O478" t="str">
            <v>-</v>
          </cell>
          <cell r="Q478" t="str">
            <v>-</v>
          </cell>
          <cell r="S478" t="str">
            <v>-</v>
          </cell>
          <cell r="U478">
            <v>0</v>
          </cell>
          <cell r="V478">
            <v>0</v>
          </cell>
          <cell r="W478">
            <v>37</v>
          </cell>
          <cell r="X478">
            <v>0</v>
          </cell>
          <cell r="Y478">
            <v>0</v>
          </cell>
          <cell r="Z478">
            <v>280</v>
          </cell>
          <cell r="AA478">
            <v>317</v>
          </cell>
          <cell r="AB478">
            <v>0</v>
          </cell>
          <cell r="AC478">
            <v>300</v>
          </cell>
          <cell r="AD478">
            <v>-17</v>
          </cell>
        </row>
        <row r="479">
          <cell r="A479" t="str">
            <v>33.03.11373.01</v>
          </cell>
          <cell r="B479" t="str">
            <v>FIXADOR POLICARBONATO E - 33.03.11373.01</v>
          </cell>
          <cell r="D479" t="str">
            <v>-</v>
          </cell>
          <cell r="E479" t="str">
            <v>-</v>
          </cell>
          <cell r="F479" t="str">
            <v>-</v>
          </cell>
          <cell r="G479" t="str">
            <v>-</v>
          </cell>
          <cell r="H479" t="str">
            <v>-</v>
          </cell>
          <cell r="I479" t="str">
            <v>-</v>
          </cell>
          <cell r="J479">
            <v>0</v>
          </cell>
          <cell r="K479">
            <v>1</v>
          </cell>
          <cell r="L479" t="str">
            <v>ENTREGA PARCIAL</v>
          </cell>
          <cell r="M479" t="str">
            <v>-</v>
          </cell>
          <cell r="N479" t="str">
            <v>OC'S METALFISA</v>
          </cell>
          <cell r="O479" t="str">
            <v>-</v>
          </cell>
          <cell r="Q479">
            <v>2</v>
          </cell>
          <cell r="R479" t="str">
            <v>OC'S VMI MEC</v>
          </cell>
          <cell r="S479" t="str">
            <v>-</v>
          </cell>
          <cell r="U479">
            <v>2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2</v>
          </cell>
          <cell r="AA479">
            <v>2</v>
          </cell>
          <cell r="AB479">
            <v>0</v>
          </cell>
          <cell r="AC479">
            <v>1</v>
          </cell>
          <cell r="AD479">
            <v>-1</v>
          </cell>
        </row>
        <row r="480">
          <cell r="A480" t="str">
            <v>33.03.11375.01</v>
          </cell>
          <cell r="B480" t="str">
            <v>SUPORTE DO SENSOR DE TUNEL - 33.03.11375.01</v>
          </cell>
          <cell r="D480" t="str">
            <v>-</v>
          </cell>
          <cell r="E480" t="str">
            <v>-</v>
          </cell>
          <cell r="F480" t="str">
            <v>-</v>
          </cell>
          <cell r="G480" t="str">
            <v>-</v>
          </cell>
          <cell r="H480" t="str">
            <v>-</v>
          </cell>
          <cell r="I480" t="str">
            <v>-</v>
          </cell>
          <cell r="J480">
            <v>0</v>
          </cell>
          <cell r="K480">
            <v>-4</v>
          </cell>
          <cell r="L480" t="str">
            <v>FALTA ENTREGA</v>
          </cell>
          <cell r="M480" t="str">
            <v>-</v>
          </cell>
          <cell r="N480" t="str">
            <v>OC'S METALFISA</v>
          </cell>
          <cell r="O480" t="str">
            <v>-</v>
          </cell>
          <cell r="Q480" t="str">
            <v>-</v>
          </cell>
          <cell r="S480" t="str">
            <v>-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4</v>
          </cell>
          <cell r="AA480">
            <v>4</v>
          </cell>
          <cell r="AB480">
            <v>0</v>
          </cell>
          <cell r="AC480">
            <v>0</v>
          </cell>
          <cell r="AD480">
            <v>-4</v>
          </cell>
        </row>
        <row r="481">
          <cell r="A481" t="str">
            <v>33.03.11376.00</v>
          </cell>
          <cell r="B481" t="str">
            <v>CHAPA PROTECAO SENSOR TUNEL / 33.03.11376.00</v>
          </cell>
          <cell r="C481">
            <v>46066</v>
          </cell>
          <cell r="D481" t="str">
            <v>-</v>
          </cell>
          <cell r="E481" t="str">
            <v>-</v>
          </cell>
          <cell r="F481" t="str">
            <v>-</v>
          </cell>
          <cell r="G481" t="str">
            <v>-</v>
          </cell>
          <cell r="H481" t="str">
            <v>-</v>
          </cell>
          <cell r="I481" t="str">
            <v>-</v>
          </cell>
          <cell r="J481">
            <v>0</v>
          </cell>
          <cell r="K481">
            <v>152</v>
          </cell>
          <cell r="L481" t="str">
            <v>ENTREGA TOTAL</v>
          </cell>
          <cell r="M481" t="str">
            <v>-</v>
          </cell>
          <cell r="N481" t="str">
            <v>OC'S METALFISA</v>
          </cell>
          <cell r="O481" t="str">
            <v>-</v>
          </cell>
          <cell r="Q481">
            <v>133</v>
          </cell>
          <cell r="R481" t="str">
            <v>OC'S VMI MEC</v>
          </cell>
          <cell r="S481" t="str">
            <v>-</v>
          </cell>
          <cell r="U481">
            <v>133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105</v>
          </cell>
          <cell r="AA481">
            <v>105</v>
          </cell>
          <cell r="AB481">
            <v>0</v>
          </cell>
          <cell r="AC481">
            <v>124</v>
          </cell>
          <cell r="AD481">
            <v>19</v>
          </cell>
        </row>
        <row r="482">
          <cell r="A482" t="str">
            <v>33.03.11377.01</v>
          </cell>
          <cell r="B482" t="str">
            <v>CONJ. TAMPA CENTRAL INFERIOR - 33.03.11377.01</v>
          </cell>
          <cell r="D482" t="str">
            <v>-</v>
          </cell>
          <cell r="E482" t="str">
            <v>-</v>
          </cell>
          <cell r="F482" t="str">
            <v>-</v>
          </cell>
          <cell r="G482" t="str">
            <v>-</v>
          </cell>
          <cell r="H482" t="str">
            <v>-</v>
          </cell>
          <cell r="I482" t="str">
            <v>-</v>
          </cell>
          <cell r="J482">
            <v>0</v>
          </cell>
          <cell r="K482">
            <v>0</v>
          </cell>
          <cell r="L482" t="str">
            <v>FALTA ENTREGA</v>
          </cell>
          <cell r="M482" t="str">
            <v>-</v>
          </cell>
          <cell r="N482" t="str">
            <v>OC'S METALFISA</v>
          </cell>
          <cell r="O482" t="str">
            <v>-</v>
          </cell>
          <cell r="Q482" t="str">
            <v>-</v>
          </cell>
          <cell r="S482">
            <v>42</v>
          </cell>
          <cell r="T482" t="str">
            <v>OC'S MAPHE</v>
          </cell>
          <cell r="U482">
            <v>42</v>
          </cell>
          <cell r="V482">
            <v>7</v>
          </cell>
          <cell r="W482">
            <v>7</v>
          </cell>
          <cell r="X482">
            <v>0</v>
          </cell>
          <cell r="Y482">
            <v>0</v>
          </cell>
          <cell r="Z482">
            <v>28</v>
          </cell>
          <cell r="AA482">
            <v>42</v>
          </cell>
          <cell r="AB482">
            <v>7</v>
          </cell>
          <cell r="AC482">
            <v>0</v>
          </cell>
          <cell r="AD482">
            <v>-42</v>
          </cell>
        </row>
        <row r="483">
          <cell r="A483" t="str">
            <v>33.03.11381.02</v>
          </cell>
          <cell r="B483" t="str">
            <v>LATERAL CAIXA U / D / 33.03.11381.02</v>
          </cell>
          <cell r="D483" t="str">
            <v>-</v>
          </cell>
          <cell r="E483" t="str">
            <v>-</v>
          </cell>
          <cell r="F483" t="str">
            <v>-</v>
          </cell>
          <cell r="G483" t="str">
            <v>-</v>
          </cell>
          <cell r="H483" t="str">
            <v>-</v>
          </cell>
          <cell r="I483" t="str">
            <v>-</v>
          </cell>
          <cell r="J483">
            <v>0</v>
          </cell>
          <cell r="K483">
            <v>0</v>
          </cell>
          <cell r="L483" t="str">
            <v>FALTA ENTREGA</v>
          </cell>
          <cell r="M483" t="str">
            <v>-</v>
          </cell>
          <cell r="N483" t="str">
            <v>OC'S METALFISA</v>
          </cell>
          <cell r="O483" t="str">
            <v>-</v>
          </cell>
          <cell r="Q483">
            <v>1</v>
          </cell>
          <cell r="R483" t="str">
            <v>OC'S VMI MEC</v>
          </cell>
          <cell r="S483" t="str">
            <v>-</v>
          </cell>
          <cell r="U483">
            <v>1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1</v>
          </cell>
          <cell r="AA483">
            <v>1</v>
          </cell>
          <cell r="AB483">
            <v>0</v>
          </cell>
          <cell r="AC483">
            <v>0</v>
          </cell>
          <cell r="AD483">
            <v>-1</v>
          </cell>
        </row>
        <row r="484">
          <cell r="A484" t="str">
            <v>33.03.11383.00</v>
          </cell>
          <cell r="B484" t="str">
            <v>TRAVA CAIXA U / 33.03.11383.00</v>
          </cell>
          <cell r="D484" t="str">
            <v>-</v>
          </cell>
          <cell r="E484" t="str">
            <v>-</v>
          </cell>
          <cell r="F484" t="str">
            <v>-</v>
          </cell>
          <cell r="G484" t="str">
            <v>-</v>
          </cell>
          <cell r="H484" t="str">
            <v>-</v>
          </cell>
          <cell r="I484" t="str">
            <v>-</v>
          </cell>
          <cell r="J484">
            <v>0</v>
          </cell>
          <cell r="K484">
            <v>-1</v>
          </cell>
          <cell r="L484" t="str">
            <v>FALTA ENTREGA</v>
          </cell>
          <cell r="M484" t="str">
            <v>-</v>
          </cell>
          <cell r="N484" t="str">
            <v>OC'S METALFISA</v>
          </cell>
          <cell r="O484" t="str">
            <v>-</v>
          </cell>
          <cell r="Q484">
            <v>296</v>
          </cell>
          <cell r="R484" t="str">
            <v>OC'S VMI MEC</v>
          </cell>
          <cell r="S484" t="str">
            <v>-</v>
          </cell>
          <cell r="U484">
            <v>296</v>
          </cell>
          <cell r="V484">
            <v>17</v>
          </cell>
          <cell r="W484">
            <v>56</v>
          </cell>
          <cell r="X484">
            <v>0</v>
          </cell>
          <cell r="Y484">
            <v>0</v>
          </cell>
          <cell r="Z484">
            <v>224</v>
          </cell>
          <cell r="AA484">
            <v>297</v>
          </cell>
          <cell r="AB484">
            <v>17</v>
          </cell>
          <cell r="AC484">
            <v>0</v>
          </cell>
          <cell r="AD484">
            <v>-297</v>
          </cell>
        </row>
        <row r="485">
          <cell r="A485" t="str">
            <v>33.03.11385.01</v>
          </cell>
          <cell r="B485" t="str">
            <v>TAMPA CENTRAL DOS DETECTORES / 33.03.11385.01</v>
          </cell>
          <cell r="D485">
            <v>3</v>
          </cell>
          <cell r="E485" t="str">
            <v>-</v>
          </cell>
          <cell r="F485" t="str">
            <v>-</v>
          </cell>
          <cell r="G485" t="str">
            <v>-</v>
          </cell>
          <cell r="H485" t="str">
            <v>-</v>
          </cell>
          <cell r="I485" t="str">
            <v>-</v>
          </cell>
          <cell r="J485">
            <v>0</v>
          </cell>
          <cell r="K485">
            <v>3</v>
          </cell>
          <cell r="L485" t="str">
            <v>FALTA ENTREGA</v>
          </cell>
          <cell r="M485" t="str">
            <v>-</v>
          </cell>
          <cell r="N485" t="str">
            <v>OC'S METALFISA</v>
          </cell>
          <cell r="O485" t="str">
            <v>-</v>
          </cell>
          <cell r="Q485">
            <v>1</v>
          </cell>
          <cell r="R485" t="str">
            <v>OC'S VMI MEC</v>
          </cell>
          <cell r="S485" t="str">
            <v>-</v>
          </cell>
          <cell r="U485">
            <v>1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1</v>
          </cell>
          <cell r="AA485">
            <v>1</v>
          </cell>
          <cell r="AB485">
            <v>0</v>
          </cell>
          <cell r="AC485">
            <v>0</v>
          </cell>
          <cell r="AD485">
            <v>-1</v>
          </cell>
        </row>
        <row r="486">
          <cell r="A486" t="str">
            <v>33.03.11386.01</v>
          </cell>
          <cell r="B486" t="str">
            <v>TAMPA LATERAL DOS DETECTORES / 33.03.11386.01</v>
          </cell>
          <cell r="D486" t="str">
            <v>-</v>
          </cell>
          <cell r="E486" t="str">
            <v>-</v>
          </cell>
          <cell r="F486" t="str">
            <v>-</v>
          </cell>
          <cell r="G486" t="str">
            <v>-</v>
          </cell>
          <cell r="H486" t="str">
            <v>-</v>
          </cell>
          <cell r="I486" t="str">
            <v>-</v>
          </cell>
          <cell r="J486">
            <v>0</v>
          </cell>
          <cell r="K486">
            <v>0</v>
          </cell>
          <cell r="L486" t="str">
            <v>FALTA ENTREGA</v>
          </cell>
          <cell r="M486" t="str">
            <v>-</v>
          </cell>
          <cell r="N486" t="str">
            <v>OC'S METALFISA</v>
          </cell>
          <cell r="O486" t="str">
            <v>-</v>
          </cell>
          <cell r="Q486">
            <v>30</v>
          </cell>
          <cell r="R486" t="str">
            <v>OC'S VMI MEC</v>
          </cell>
          <cell r="S486" t="str">
            <v>-</v>
          </cell>
          <cell r="U486">
            <v>30</v>
          </cell>
          <cell r="V486">
            <v>0</v>
          </cell>
          <cell r="W486">
            <v>2</v>
          </cell>
          <cell r="X486">
            <v>0</v>
          </cell>
          <cell r="Y486">
            <v>0</v>
          </cell>
          <cell r="Z486">
            <v>28</v>
          </cell>
          <cell r="AA486">
            <v>30</v>
          </cell>
          <cell r="AB486">
            <v>0</v>
          </cell>
          <cell r="AC486">
            <v>0</v>
          </cell>
          <cell r="AD486">
            <v>-30</v>
          </cell>
        </row>
        <row r="487">
          <cell r="A487" t="str">
            <v>33.03.11387.00</v>
          </cell>
          <cell r="B487" t="str">
            <v>TAMPA LATERAL DOS DETECTORES / 33.03.11387.00</v>
          </cell>
          <cell r="D487" t="str">
            <v>-</v>
          </cell>
          <cell r="E487" t="str">
            <v>-</v>
          </cell>
          <cell r="F487" t="str">
            <v>-</v>
          </cell>
          <cell r="G487" t="str">
            <v>-</v>
          </cell>
          <cell r="H487" t="str">
            <v>-</v>
          </cell>
          <cell r="I487" t="str">
            <v>-</v>
          </cell>
          <cell r="J487">
            <v>0</v>
          </cell>
          <cell r="K487">
            <v>0</v>
          </cell>
          <cell r="L487" t="str">
            <v>FALTA ENTREGA</v>
          </cell>
          <cell r="M487" t="str">
            <v>-</v>
          </cell>
          <cell r="N487" t="str">
            <v>OC'S METALFISA</v>
          </cell>
          <cell r="O487" t="str">
            <v>-</v>
          </cell>
          <cell r="Q487">
            <v>1</v>
          </cell>
          <cell r="R487" t="str">
            <v>OC'S VMI MEC</v>
          </cell>
          <cell r="S487" t="str">
            <v>-</v>
          </cell>
          <cell r="U487">
            <v>1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1</v>
          </cell>
          <cell r="AA487">
            <v>1</v>
          </cell>
          <cell r="AB487">
            <v>0</v>
          </cell>
          <cell r="AC487">
            <v>0</v>
          </cell>
          <cell r="AD487">
            <v>-1</v>
          </cell>
        </row>
        <row r="488">
          <cell r="A488" t="str">
            <v>33.03.11389.02</v>
          </cell>
          <cell r="B488" t="str">
            <v>BASE DA CAIXA X-DAQ / 33.03.11389.02</v>
          </cell>
          <cell r="D488" t="str">
            <v>-</v>
          </cell>
          <cell r="E488" t="str">
            <v>-</v>
          </cell>
          <cell r="F488" t="str">
            <v>-</v>
          </cell>
          <cell r="G488" t="str">
            <v>-</v>
          </cell>
          <cell r="H488" t="str">
            <v>-</v>
          </cell>
          <cell r="I488" t="str">
            <v>-</v>
          </cell>
          <cell r="J488">
            <v>0</v>
          </cell>
          <cell r="K488">
            <v>-3</v>
          </cell>
          <cell r="L488" t="str">
            <v>FALTA ENTREGA</v>
          </cell>
          <cell r="M488" t="str">
            <v>-</v>
          </cell>
          <cell r="N488" t="str">
            <v>OC'S METALFISA</v>
          </cell>
          <cell r="O488" t="str">
            <v>-</v>
          </cell>
          <cell r="Q488" t="str">
            <v>-</v>
          </cell>
          <cell r="S488" t="str">
            <v>-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3</v>
          </cell>
          <cell r="AA488">
            <v>3</v>
          </cell>
          <cell r="AB488">
            <v>0</v>
          </cell>
          <cell r="AC488">
            <v>0</v>
          </cell>
          <cell r="AD488">
            <v>-3</v>
          </cell>
        </row>
        <row r="489">
          <cell r="A489" t="str">
            <v>33.03.11409.01</v>
          </cell>
          <cell r="B489" t="str">
            <v>COLIMADOR 6040 3D - 33.03.11409.01</v>
          </cell>
          <cell r="D489" t="str">
            <v>-</v>
          </cell>
          <cell r="E489" t="str">
            <v>-</v>
          </cell>
          <cell r="F489" t="str">
            <v>-</v>
          </cell>
          <cell r="G489" t="str">
            <v>-</v>
          </cell>
          <cell r="H489" t="str">
            <v>-</v>
          </cell>
          <cell r="I489" t="str">
            <v>-</v>
          </cell>
          <cell r="J489">
            <v>0</v>
          </cell>
          <cell r="K489">
            <v>0</v>
          </cell>
          <cell r="L489" t="str">
            <v>ENTREGA PARCIAL</v>
          </cell>
          <cell r="M489">
            <v>1</v>
          </cell>
          <cell r="N489" t="str">
            <v>OC'S METALFISA</v>
          </cell>
          <cell r="O489" t="str">
            <v>-</v>
          </cell>
          <cell r="Q489" t="str">
            <v>-</v>
          </cell>
          <cell r="S489" t="str">
            <v>-</v>
          </cell>
          <cell r="U489">
            <v>1</v>
          </cell>
          <cell r="V489">
            <v>0</v>
          </cell>
          <cell r="W489">
            <v>2</v>
          </cell>
          <cell r="X489">
            <v>0</v>
          </cell>
          <cell r="Y489">
            <v>0</v>
          </cell>
          <cell r="Z489">
            <v>28</v>
          </cell>
          <cell r="AA489">
            <v>30</v>
          </cell>
          <cell r="AB489">
            <v>0</v>
          </cell>
          <cell r="AC489">
            <v>29</v>
          </cell>
          <cell r="AD489">
            <v>-1</v>
          </cell>
        </row>
        <row r="490">
          <cell r="A490" t="str">
            <v>33.03.11412.01</v>
          </cell>
          <cell r="B490" t="str">
            <v>TAMPA SUPERIOR - 33.03.11412.01</v>
          </cell>
          <cell r="D490" t="str">
            <v>-</v>
          </cell>
          <cell r="E490" t="str">
            <v>-</v>
          </cell>
          <cell r="F490" t="str">
            <v>-</v>
          </cell>
          <cell r="G490" t="str">
            <v>-</v>
          </cell>
          <cell r="H490" t="str">
            <v>-</v>
          </cell>
          <cell r="I490">
            <v>1</v>
          </cell>
          <cell r="J490">
            <v>1</v>
          </cell>
          <cell r="K490" t="e">
            <v>#VALUE!</v>
          </cell>
          <cell r="L490" t="str">
            <v>ENTREGA TOTAL</v>
          </cell>
          <cell r="M490" t="str">
            <v>-</v>
          </cell>
          <cell r="N490" t="str">
            <v>OC'S METALFISA</v>
          </cell>
          <cell r="O490" t="str">
            <v>-</v>
          </cell>
          <cell r="Q490" t="str">
            <v>-</v>
          </cell>
          <cell r="S490" t="str">
            <v>-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27</v>
          </cell>
          <cell r="AA490">
            <v>27</v>
          </cell>
          <cell r="AB490" t="str">
            <v>0</v>
          </cell>
          <cell r="AC490" t="str">
            <v>-</v>
          </cell>
          <cell r="AD490" t="str">
            <v>-</v>
          </cell>
        </row>
        <row r="491">
          <cell r="A491" t="str">
            <v>33.03.11418.01</v>
          </cell>
          <cell r="B491" t="str">
            <v>TAMPA LATERAL INGLES/PORTUGUES / 33.03.11418.01</v>
          </cell>
          <cell r="C491">
            <v>46072</v>
          </cell>
          <cell r="D491">
            <v>7</v>
          </cell>
          <cell r="E491" t="str">
            <v>-</v>
          </cell>
          <cell r="F491">
            <v>2</v>
          </cell>
          <cell r="G491" t="str">
            <v>-</v>
          </cell>
          <cell r="H491" t="str">
            <v>-</v>
          </cell>
          <cell r="I491">
            <v>3</v>
          </cell>
          <cell r="J491">
            <v>5</v>
          </cell>
          <cell r="K491">
            <v>16</v>
          </cell>
          <cell r="L491" t="str">
            <v>ENTREGA PARCIAL</v>
          </cell>
          <cell r="M491" t="str">
            <v>-</v>
          </cell>
          <cell r="N491" t="str">
            <v>OC'S METALFISA</v>
          </cell>
          <cell r="O491">
            <v>8</v>
          </cell>
          <cell r="P491" t="str">
            <v>OC'S GRANATO</v>
          </cell>
          <cell r="Q491" t="str">
            <v>-</v>
          </cell>
          <cell r="S491" t="str">
            <v>-</v>
          </cell>
          <cell r="U491">
            <v>8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14</v>
          </cell>
          <cell r="AA491">
            <v>14</v>
          </cell>
          <cell r="AB491">
            <v>0</v>
          </cell>
          <cell r="AC491">
            <v>10</v>
          </cell>
          <cell r="AD491">
            <v>-4</v>
          </cell>
        </row>
        <row r="492">
          <cell r="A492" t="str">
            <v>33.03.11421.01</v>
          </cell>
          <cell r="B492" t="str">
            <v>TAMPA CENTRAL INFERIOR - CONECTORES - 33.03.11421.01</v>
          </cell>
          <cell r="C492">
            <v>46066</v>
          </cell>
          <cell r="D492" t="str">
            <v>-</v>
          </cell>
          <cell r="E492" t="str">
            <v>-</v>
          </cell>
          <cell r="F492" t="str">
            <v>-</v>
          </cell>
          <cell r="G492" t="str">
            <v>-</v>
          </cell>
          <cell r="H492" t="str">
            <v>-</v>
          </cell>
          <cell r="I492">
            <v>1</v>
          </cell>
          <cell r="J492">
            <v>1</v>
          </cell>
          <cell r="K492">
            <v>46</v>
          </cell>
          <cell r="L492" t="str">
            <v>ENTREGA TOTAL</v>
          </cell>
          <cell r="M492" t="str">
            <v>-</v>
          </cell>
          <cell r="N492" t="str">
            <v>OC'S METALFISA</v>
          </cell>
          <cell r="O492" t="str">
            <v>-</v>
          </cell>
          <cell r="Q492" t="str">
            <v>-</v>
          </cell>
          <cell r="S492">
            <v>30</v>
          </cell>
          <cell r="T492" t="str">
            <v>OC'S MAPHE</v>
          </cell>
          <cell r="U492">
            <v>30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15</v>
          </cell>
          <cell r="AA492">
            <v>15</v>
          </cell>
          <cell r="AB492">
            <v>0</v>
          </cell>
          <cell r="AC492">
            <v>30</v>
          </cell>
          <cell r="AD492">
            <v>15</v>
          </cell>
        </row>
        <row r="493">
          <cell r="A493" t="str">
            <v>33.03.11424.00</v>
          </cell>
          <cell r="B493" t="str">
            <v>TAMPA DISJUNTORES / 33.03.11424.00</v>
          </cell>
          <cell r="C493">
            <v>46076</v>
          </cell>
          <cell r="D493" t="str">
            <v>-</v>
          </cell>
          <cell r="E493" t="str">
            <v>-</v>
          </cell>
          <cell r="F493" t="str">
            <v>-</v>
          </cell>
          <cell r="G493" t="str">
            <v>-</v>
          </cell>
          <cell r="H493" t="str">
            <v>-</v>
          </cell>
          <cell r="I493">
            <v>8</v>
          </cell>
          <cell r="J493">
            <v>8</v>
          </cell>
          <cell r="K493">
            <v>48</v>
          </cell>
          <cell r="L493" t="str">
            <v>FALTA ENTREGA</v>
          </cell>
          <cell r="M493" t="str">
            <v>-</v>
          </cell>
          <cell r="N493" t="str">
            <v>OC'S METALFISA</v>
          </cell>
          <cell r="O493" t="str">
            <v>-</v>
          </cell>
          <cell r="Q493" t="str">
            <v>-</v>
          </cell>
          <cell r="S493">
            <v>121</v>
          </cell>
          <cell r="T493" t="str">
            <v>OC'S MAPHE</v>
          </cell>
          <cell r="U493">
            <v>121</v>
          </cell>
          <cell r="V493">
            <v>0</v>
          </cell>
          <cell r="W493">
            <v>4</v>
          </cell>
          <cell r="X493">
            <v>10</v>
          </cell>
          <cell r="Y493">
            <v>0</v>
          </cell>
          <cell r="Z493">
            <v>67</v>
          </cell>
          <cell r="AA493">
            <v>81</v>
          </cell>
          <cell r="AB493">
            <v>2</v>
          </cell>
          <cell r="AC493">
            <v>0</v>
          </cell>
          <cell r="AD493">
            <v>-81</v>
          </cell>
        </row>
        <row r="494">
          <cell r="A494" t="str">
            <v>33.03.11426.00</v>
          </cell>
          <cell r="B494" t="str">
            <v>CHAPA PAINEL DE ACESSO - TOMADAS / 33.03.11426.00</v>
          </cell>
          <cell r="D494" t="str">
            <v>-</v>
          </cell>
          <cell r="E494" t="str">
            <v>-</v>
          </cell>
          <cell r="F494" t="str">
            <v>-</v>
          </cell>
          <cell r="G494" t="str">
            <v>-</v>
          </cell>
          <cell r="H494" t="str">
            <v>-</v>
          </cell>
          <cell r="I494" t="str">
            <v>-</v>
          </cell>
          <cell r="J494">
            <v>0</v>
          </cell>
          <cell r="K494">
            <v>-1</v>
          </cell>
          <cell r="L494" t="str">
            <v>FALTA ENTREGA</v>
          </cell>
          <cell r="M494" t="str">
            <v>-</v>
          </cell>
          <cell r="N494" t="str">
            <v>OC'S METALFISA</v>
          </cell>
          <cell r="O494" t="str">
            <v>-</v>
          </cell>
          <cell r="Q494">
            <v>28</v>
          </cell>
          <cell r="R494" t="str">
            <v>OC'S VMI MEC</v>
          </cell>
          <cell r="S494" t="str">
            <v>-</v>
          </cell>
          <cell r="U494">
            <v>28</v>
          </cell>
          <cell r="V494">
            <v>0</v>
          </cell>
          <cell r="W494">
            <v>1</v>
          </cell>
          <cell r="X494">
            <v>0</v>
          </cell>
          <cell r="Y494">
            <v>0</v>
          </cell>
          <cell r="Z494">
            <v>28</v>
          </cell>
          <cell r="AA494">
            <v>29</v>
          </cell>
          <cell r="AB494">
            <v>0</v>
          </cell>
          <cell r="AC494">
            <v>0</v>
          </cell>
          <cell r="AD494">
            <v>-29</v>
          </cell>
        </row>
        <row r="495">
          <cell r="A495" t="str">
            <v>33.03.11427.00</v>
          </cell>
          <cell r="B495" t="str">
            <v>SUPORTE DE REGULAGEM DO PAINEL / 33.03.11427.00</v>
          </cell>
          <cell r="C495">
            <v>46074</v>
          </cell>
          <cell r="D495" t="str">
            <v>-</v>
          </cell>
          <cell r="E495" t="str">
            <v>-</v>
          </cell>
          <cell r="F495" t="str">
            <v>-</v>
          </cell>
          <cell r="G495" t="str">
            <v>-</v>
          </cell>
          <cell r="H495" t="str">
            <v>-</v>
          </cell>
          <cell r="I495" t="str">
            <v>-</v>
          </cell>
          <cell r="J495">
            <v>0</v>
          </cell>
          <cell r="K495">
            <v>32</v>
          </cell>
          <cell r="L495" t="str">
            <v>ENTREGA PARCIAL</v>
          </cell>
          <cell r="M495" t="str">
            <v>-</v>
          </cell>
          <cell r="N495" t="str">
            <v>OC'S METALFISA</v>
          </cell>
          <cell r="O495" t="str">
            <v>-</v>
          </cell>
          <cell r="Q495">
            <v>33</v>
          </cell>
          <cell r="R495" t="str">
            <v>OC'S VMI MEC</v>
          </cell>
          <cell r="S495" t="str">
            <v>-</v>
          </cell>
          <cell r="U495">
            <v>33</v>
          </cell>
          <cell r="V495">
            <v>0</v>
          </cell>
          <cell r="W495">
            <v>4</v>
          </cell>
          <cell r="X495">
            <v>0</v>
          </cell>
          <cell r="Y495">
            <v>0</v>
          </cell>
          <cell r="Z495">
            <v>28</v>
          </cell>
          <cell r="AA495">
            <v>32</v>
          </cell>
          <cell r="AB495">
            <v>0</v>
          </cell>
          <cell r="AC495">
            <v>31</v>
          </cell>
          <cell r="AD495">
            <v>-1</v>
          </cell>
        </row>
        <row r="496">
          <cell r="A496" t="str">
            <v>33.03.11430.00</v>
          </cell>
          <cell r="B496" t="str">
            <v>CHAPA PAINEL DE ACESSO - SAIDAS / 33.03.11430.00</v>
          </cell>
          <cell r="D496" t="str">
            <v>-</v>
          </cell>
          <cell r="E496" t="str">
            <v>-</v>
          </cell>
          <cell r="F496" t="str">
            <v>-</v>
          </cell>
          <cell r="G496" t="str">
            <v>-</v>
          </cell>
          <cell r="H496" t="str">
            <v>-</v>
          </cell>
          <cell r="I496" t="str">
            <v>-</v>
          </cell>
          <cell r="J496">
            <v>0</v>
          </cell>
          <cell r="K496">
            <v>0</v>
          </cell>
          <cell r="L496" t="str">
            <v>FALTA ENTREGA</v>
          </cell>
          <cell r="M496" t="str">
            <v>-</v>
          </cell>
          <cell r="N496" t="str">
            <v>OC'S METALFISA</v>
          </cell>
          <cell r="O496" t="str">
            <v>-</v>
          </cell>
          <cell r="Q496">
            <v>30</v>
          </cell>
          <cell r="R496" t="str">
            <v>OC'S VMI MEC</v>
          </cell>
          <cell r="S496" t="str">
            <v>-</v>
          </cell>
          <cell r="U496">
            <v>30</v>
          </cell>
          <cell r="V496">
            <v>0</v>
          </cell>
          <cell r="W496">
            <v>2</v>
          </cell>
          <cell r="X496">
            <v>0</v>
          </cell>
          <cell r="Y496">
            <v>0</v>
          </cell>
          <cell r="Z496">
            <v>28</v>
          </cell>
          <cell r="AA496">
            <v>30</v>
          </cell>
          <cell r="AB496">
            <v>0</v>
          </cell>
          <cell r="AC496">
            <v>0</v>
          </cell>
          <cell r="AD496">
            <v>-30</v>
          </cell>
        </row>
        <row r="497">
          <cell r="A497" t="str">
            <v>33.03.11431.00</v>
          </cell>
          <cell r="B497" t="str">
            <v>SUPORTE DE REGULAGEM DO PAINEL / 33.03.11431.00</v>
          </cell>
          <cell r="D497" t="str">
            <v>-</v>
          </cell>
          <cell r="E497" t="str">
            <v>-</v>
          </cell>
          <cell r="F497" t="str">
            <v>-</v>
          </cell>
          <cell r="G497" t="str">
            <v>-</v>
          </cell>
          <cell r="H497" t="str">
            <v>-</v>
          </cell>
          <cell r="I497" t="str">
            <v>-</v>
          </cell>
          <cell r="J497">
            <v>0</v>
          </cell>
          <cell r="K497">
            <v>25</v>
          </cell>
          <cell r="L497" t="str">
            <v>ENTREGA TOTAL</v>
          </cell>
          <cell r="M497" t="str">
            <v>-</v>
          </cell>
          <cell r="N497" t="str">
            <v>OC'S METALFISA</v>
          </cell>
          <cell r="O497" t="str">
            <v>-</v>
          </cell>
          <cell r="Q497">
            <v>25</v>
          </cell>
          <cell r="R497" t="str">
            <v>OC'S VMI MEC</v>
          </cell>
          <cell r="S497" t="str">
            <v>-</v>
          </cell>
          <cell r="U497">
            <v>25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25</v>
          </cell>
          <cell r="AA497">
            <v>25</v>
          </cell>
          <cell r="AB497">
            <v>0</v>
          </cell>
          <cell r="AC497">
            <v>25</v>
          </cell>
          <cell r="AD497">
            <v>0</v>
          </cell>
        </row>
        <row r="498">
          <cell r="A498" t="str">
            <v>33.03.11433.00</v>
          </cell>
          <cell r="B498" t="str">
            <v>SUPORTE DOS LED´S - B / 33.03.11433.00</v>
          </cell>
          <cell r="C498">
            <v>46066</v>
          </cell>
          <cell r="D498" t="str">
            <v>-</v>
          </cell>
          <cell r="E498" t="str">
            <v>-</v>
          </cell>
          <cell r="F498" t="str">
            <v>-</v>
          </cell>
          <cell r="G498" t="str">
            <v>-</v>
          </cell>
          <cell r="H498" t="str">
            <v>-</v>
          </cell>
          <cell r="I498" t="str">
            <v>-</v>
          </cell>
          <cell r="J498">
            <v>0</v>
          </cell>
          <cell r="K498">
            <v>119</v>
          </cell>
          <cell r="L498" t="str">
            <v>ENTREGA PARCIAL</v>
          </cell>
          <cell r="M498" t="str">
            <v>-</v>
          </cell>
          <cell r="N498" t="str">
            <v>OC'S METALFISA</v>
          </cell>
          <cell r="O498" t="str">
            <v>-</v>
          </cell>
          <cell r="Q498">
            <v>120</v>
          </cell>
          <cell r="R498" t="str">
            <v>OC'S VMI MEC</v>
          </cell>
          <cell r="S498" t="str">
            <v>-</v>
          </cell>
          <cell r="U498">
            <v>120</v>
          </cell>
          <cell r="V498">
            <v>0</v>
          </cell>
          <cell r="W498">
            <v>20</v>
          </cell>
          <cell r="X498">
            <v>0</v>
          </cell>
          <cell r="Y498">
            <v>0</v>
          </cell>
          <cell r="Z498">
            <v>112</v>
          </cell>
          <cell r="AA498">
            <v>132</v>
          </cell>
          <cell r="AB498">
            <v>0</v>
          </cell>
          <cell r="AC498">
            <v>131</v>
          </cell>
          <cell r="AD498">
            <v>-1</v>
          </cell>
        </row>
        <row r="499">
          <cell r="A499" t="str">
            <v>33.03.11435.00</v>
          </cell>
          <cell r="B499" t="str">
            <v>SUPORTE DOS LED´S - A / 33.03.11435.00</v>
          </cell>
          <cell r="D499" t="str">
            <v>-</v>
          </cell>
          <cell r="E499" t="str">
            <v>-</v>
          </cell>
          <cell r="F499" t="str">
            <v>-</v>
          </cell>
          <cell r="G499" t="str">
            <v>-</v>
          </cell>
          <cell r="H499" t="str">
            <v>-</v>
          </cell>
          <cell r="I499" t="str">
            <v>-</v>
          </cell>
          <cell r="J499">
            <v>0</v>
          </cell>
          <cell r="K499">
            <v>19</v>
          </cell>
          <cell r="L499" t="str">
            <v>FALTA ENTREGA</v>
          </cell>
          <cell r="M499" t="str">
            <v>-</v>
          </cell>
          <cell r="N499" t="str">
            <v>OC'S METALFISA</v>
          </cell>
          <cell r="O499" t="str">
            <v>-</v>
          </cell>
          <cell r="Q499">
            <v>120</v>
          </cell>
          <cell r="R499" t="str">
            <v>OC'S VMI MEC</v>
          </cell>
          <cell r="S499" t="str">
            <v>-</v>
          </cell>
          <cell r="U499">
            <v>120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101</v>
          </cell>
          <cell r="AA499">
            <v>101</v>
          </cell>
          <cell r="AB499">
            <v>0</v>
          </cell>
          <cell r="AC499">
            <v>0</v>
          </cell>
          <cell r="AD499">
            <v>-101</v>
          </cell>
        </row>
        <row r="500">
          <cell r="A500" t="str">
            <v>33.03.11437.01</v>
          </cell>
          <cell r="B500" t="str">
            <v>SUPORTE DO QUADRO ALIMENTACAO / 33.03.11437.01</v>
          </cell>
          <cell r="C500">
            <v>46074</v>
          </cell>
          <cell r="D500" t="str">
            <v>-</v>
          </cell>
          <cell r="E500" t="str">
            <v>-</v>
          </cell>
          <cell r="F500" t="str">
            <v>-</v>
          </cell>
          <cell r="G500" t="str">
            <v>-</v>
          </cell>
          <cell r="H500" t="str">
            <v>-</v>
          </cell>
          <cell r="I500" t="str">
            <v>-</v>
          </cell>
          <cell r="J500">
            <v>0</v>
          </cell>
          <cell r="K500">
            <v>22</v>
          </cell>
          <cell r="L500" t="str">
            <v>ENTREGA PARCIAL</v>
          </cell>
          <cell r="M500" t="str">
            <v>-</v>
          </cell>
          <cell r="N500" t="str">
            <v>OC'S METALFISA</v>
          </cell>
          <cell r="O500" t="str">
            <v>-</v>
          </cell>
          <cell r="Q500">
            <v>30</v>
          </cell>
          <cell r="R500" t="str">
            <v>OC'S VMI MEC</v>
          </cell>
          <cell r="S500" t="str">
            <v>-</v>
          </cell>
          <cell r="U500">
            <v>30</v>
          </cell>
          <cell r="V500">
            <v>3</v>
          </cell>
          <cell r="W500">
            <v>7</v>
          </cell>
          <cell r="X500">
            <v>0</v>
          </cell>
          <cell r="Y500">
            <v>0</v>
          </cell>
          <cell r="Z500">
            <v>28</v>
          </cell>
          <cell r="AA500">
            <v>38</v>
          </cell>
          <cell r="AB500">
            <v>0</v>
          </cell>
          <cell r="AC500">
            <v>30</v>
          </cell>
          <cell r="AD500">
            <v>-8</v>
          </cell>
        </row>
        <row r="501">
          <cell r="A501" t="str">
            <v>33.03.11438.01</v>
          </cell>
          <cell r="B501" t="str">
            <v>TAMPA DO QUADRO ALIMENTACAO / 33.03.11438.01</v>
          </cell>
          <cell r="D501" t="str">
            <v>-</v>
          </cell>
          <cell r="E501" t="str">
            <v>-</v>
          </cell>
          <cell r="F501" t="str">
            <v>-</v>
          </cell>
          <cell r="G501" t="str">
            <v>-</v>
          </cell>
          <cell r="H501" t="str">
            <v>-</v>
          </cell>
          <cell r="I501" t="str">
            <v>-</v>
          </cell>
          <cell r="J501">
            <v>0</v>
          </cell>
          <cell r="K501">
            <v>-7</v>
          </cell>
          <cell r="L501" t="str">
            <v>FALTA ENTREGA</v>
          </cell>
          <cell r="M501" t="str">
            <v>-</v>
          </cell>
          <cell r="N501" t="str">
            <v>OC'S METALFISA</v>
          </cell>
          <cell r="O501" t="str">
            <v>-</v>
          </cell>
          <cell r="Q501" t="str">
            <v>-</v>
          </cell>
          <cell r="S501" t="str">
            <v>-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7</v>
          </cell>
          <cell r="AA501">
            <v>7</v>
          </cell>
          <cell r="AB501">
            <v>0</v>
          </cell>
          <cell r="AC501">
            <v>0</v>
          </cell>
          <cell r="AD501">
            <v>-7</v>
          </cell>
        </row>
        <row r="502">
          <cell r="A502" t="str">
            <v>33.03.11441.00</v>
          </cell>
          <cell r="B502" t="str">
            <v>SUPORTE ANGULAR PARA BORNES / 33.03.11441.00</v>
          </cell>
          <cell r="C502">
            <v>46066</v>
          </cell>
          <cell r="D502" t="str">
            <v>-</v>
          </cell>
          <cell r="E502" t="str">
            <v>-</v>
          </cell>
          <cell r="F502" t="str">
            <v>-</v>
          </cell>
          <cell r="G502" t="str">
            <v>-</v>
          </cell>
          <cell r="H502" t="str">
            <v>-</v>
          </cell>
          <cell r="I502" t="str">
            <v>-</v>
          </cell>
          <cell r="J502">
            <v>0</v>
          </cell>
          <cell r="K502">
            <v>15</v>
          </cell>
          <cell r="L502" t="str">
            <v>ENTREGA PARCIAL</v>
          </cell>
          <cell r="M502" t="str">
            <v>-</v>
          </cell>
          <cell r="N502" t="str">
            <v>OC'S METALFISA</v>
          </cell>
          <cell r="O502" t="str">
            <v>-</v>
          </cell>
          <cell r="Q502">
            <v>30</v>
          </cell>
          <cell r="R502" t="str">
            <v>OC'S VMI MEC</v>
          </cell>
          <cell r="S502" t="str">
            <v>-</v>
          </cell>
          <cell r="U502">
            <v>30</v>
          </cell>
          <cell r="V502">
            <v>9</v>
          </cell>
          <cell r="W502">
            <v>7</v>
          </cell>
          <cell r="X502">
            <v>0</v>
          </cell>
          <cell r="Y502">
            <v>0</v>
          </cell>
          <cell r="Z502">
            <v>28</v>
          </cell>
          <cell r="AA502">
            <v>44</v>
          </cell>
          <cell r="AB502">
            <v>0</v>
          </cell>
          <cell r="AC502">
            <v>29</v>
          </cell>
          <cell r="AD502">
            <v>-15</v>
          </cell>
        </row>
        <row r="503">
          <cell r="A503" t="str">
            <v>33.03.11445.00</v>
          </cell>
          <cell r="B503" t="str">
            <v>SUPORTE PARA FIXACAO DO VENTILADOR / 33.03.11445.00</v>
          </cell>
          <cell r="D503" t="str">
            <v>-</v>
          </cell>
          <cell r="E503" t="str">
            <v>-</v>
          </cell>
          <cell r="F503" t="str">
            <v>-</v>
          </cell>
          <cell r="G503" t="str">
            <v>-</v>
          </cell>
          <cell r="H503" t="str">
            <v>-</v>
          </cell>
          <cell r="I503" t="str">
            <v>-</v>
          </cell>
          <cell r="J503">
            <v>0</v>
          </cell>
          <cell r="K503">
            <v>-1</v>
          </cell>
          <cell r="L503" t="str">
            <v>FALTA ENTREGA</v>
          </cell>
          <cell r="M503" t="str">
            <v>-</v>
          </cell>
          <cell r="N503" t="str">
            <v>OC'S METALFISA</v>
          </cell>
          <cell r="O503" t="str">
            <v>-</v>
          </cell>
          <cell r="Q503">
            <v>60</v>
          </cell>
          <cell r="R503" t="str">
            <v>OC'S VMI MEC</v>
          </cell>
          <cell r="S503" t="str">
            <v>-</v>
          </cell>
          <cell r="U503">
            <v>60</v>
          </cell>
          <cell r="V503">
            <v>0</v>
          </cell>
          <cell r="W503">
            <v>5</v>
          </cell>
          <cell r="X503">
            <v>0</v>
          </cell>
          <cell r="Y503">
            <v>0</v>
          </cell>
          <cell r="Z503">
            <v>56</v>
          </cell>
          <cell r="AA503">
            <v>61</v>
          </cell>
          <cell r="AB503">
            <v>0</v>
          </cell>
          <cell r="AC503">
            <v>0</v>
          </cell>
          <cell r="AD503">
            <v>-61</v>
          </cell>
        </row>
        <row r="504">
          <cell r="A504" t="str">
            <v>33.03.11449.00</v>
          </cell>
          <cell r="B504" t="str">
            <v>TAMPA DA ESTRUTURA SUPERIOR DO TUNEL / 33.03.11449.00</v>
          </cell>
          <cell r="D504" t="str">
            <v>-</v>
          </cell>
          <cell r="E504" t="str">
            <v>-</v>
          </cell>
          <cell r="F504" t="str">
            <v>-</v>
          </cell>
          <cell r="G504" t="str">
            <v>-</v>
          </cell>
          <cell r="H504" t="str">
            <v>-</v>
          </cell>
          <cell r="I504" t="str">
            <v>-</v>
          </cell>
          <cell r="J504">
            <v>0</v>
          </cell>
          <cell r="K504">
            <v>60</v>
          </cell>
          <cell r="L504" t="str">
            <v>ENTREGA TOTAL</v>
          </cell>
          <cell r="M504" t="str">
            <v>-</v>
          </cell>
          <cell r="N504" t="str">
            <v>OC'S METALFISA</v>
          </cell>
          <cell r="O504" t="str">
            <v>-</v>
          </cell>
          <cell r="Q504">
            <v>60</v>
          </cell>
          <cell r="R504" t="str">
            <v>OC'S VMI MEC</v>
          </cell>
          <cell r="S504" t="str">
            <v>-</v>
          </cell>
          <cell r="U504">
            <v>60</v>
          </cell>
          <cell r="V504">
            <v>0</v>
          </cell>
          <cell r="W504">
            <v>4</v>
          </cell>
          <cell r="X504">
            <v>0</v>
          </cell>
          <cell r="Y504">
            <v>0</v>
          </cell>
          <cell r="Z504">
            <v>56</v>
          </cell>
          <cell r="AA504">
            <v>60</v>
          </cell>
          <cell r="AB504">
            <v>0</v>
          </cell>
          <cell r="AC504">
            <v>60</v>
          </cell>
          <cell r="AD504">
            <v>0</v>
          </cell>
        </row>
        <row r="505">
          <cell r="A505" t="str">
            <v>33.03.11451.00</v>
          </cell>
          <cell r="B505" t="str">
            <v>LATERAL DA ESTRUTURA DO TUNEL / 33.03.11451.00</v>
          </cell>
          <cell r="D505" t="str">
            <v>-</v>
          </cell>
          <cell r="E505" t="str">
            <v>-</v>
          </cell>
          <cell r="F505" t="str">
            <v>-</v>
          </cell>
          <cell r="G505" t="str">
            <v>-</v>
          </cell>
          <cell r="H505" t="str">
            <v>-</v>
          </cell>
          <cell r="I505" t="str">
            <v>-</v>
          </cell>
          <cell r="J505">
            <v>0</v>
          </cell>
          <cell r="K505" t="e">
            <v>#VALUE!</v>
          </cell>
          <cell r="L505" t="str">
            <v>ENTREGA TOTAL</v>
          </cell>
          <cell r="M505" t="str">
            <v>-</v>
          </cell>
          <cell r="N505" t="str">
            <v>OC'S METALFISA</v>
          </cell>
          <cell r="O505" t="str">
            <v>-</v>
          </cell>
          <cell r="Q505">
            <v>120</v>
          </cell>
          <cell r="R505" t="str">
            <v>OC'S VMI MEC</v>
          </cell>
          <cell r="S505" t="str">
            <v>-</v>
          </cell>
          <cell r="U505">
            <v>120</v>
          </cell>
          <cell r="V505">
            <v>0</v>
          </cell>
          <cell r="W505">
            <v>8</v>
          </cell>
          <cell r="X505">
            <v>0</v>
          </cell>
          <cell r="Y505">
            <v>0</v>
          </cell>
          <cell r="Z505">
            <v>112</v>
          </cell>
          <cell r="AA505">
            <v>120</v>
          </cell>
          <cell r="AB505" t="str">
            <v>0</v>
          </cell>
          <cell r="AC505" t="str">
            <v>-</v>
          </cell>
          <cell r="AD505" t="str">
            <v>-</v>
          </cell>
        </row>
        <row r="506">
          <cell r="A506" t="str">
            <v>33.03.11453.00</v>
          </cell>
          <cell r="B506" t="str">
            <v>SUPORTE / 33.03.11453.00</v>
          </cell>
          <cell r="C506">
            <v>46066</v>
          </cell>
          <cell r="D506" t="str">
            <v>-</v>
          </cell>
          <cell r="E506" t="str">
            <v>-</v>
          </cell>
          <cell r="F506" t="str">
            <v>-</v>
          </cell>
          <cell r="G506" t="str">
            <v>-</v>
          </cell>
          <cell r="H506" t="str">
            <v>-</v>
          </cell>
          <cell r="I506" t="str">
            <v>-</v>
          </cell>
          <cell r="J506">
            <v>0</v>
          </cell>
          <cell r="K506">
            <v>136</v>
          </cell>
          <cell r="L506" t="str">
            <v>ENTREGA PARCIAL</v>
          </cell>
          <cell r="M506" t="str">
            <v>-</v>
          </cell>
          <cell r="N506" t="str">
            <v>OC'S METALFISA</v>
          </cell>
          <cell r="O506" t="str">
            <v>-</v>
          </cell>
          <cell r="Q506">
            <v>120</v>
          </cell>
          <cell r="R506" t="str">
            <v>OC'S VMI MEC</v>
          </cell>
          <cell r="S506">
            <v>39</v>
          </cell>
          <cell r="T506" t="str">
            <v>OC'S MAPHE</v>
          </cell>
          <cell r="U506">
            <v>159</v>
          </cell>
          <cell r="V506">
            <v>0</v>
          </cell>
          <cell r="W506">
            <v>0</v>
          </cell>
          <cell r="X506">
            <v>7</v>
          </cell>
          <cell r="Y506">
            <v>0</v>
          </cell>
          <cell r="Z506">
            <v>136</v>
          </cell>
          <cell r="AA506">
            <v>143</v>
          </cell>
          <cell r="AB506">
            <v>0</v>
          </cell>
          <cell r="AC506">
            <v>120</v>
          </cell>
          <cell r="AD506">
            <v>-23</v>
          </cell>
        </row>
        <row r="507">
          <cell r="A507" t="str">
            <v>33.03.11455.00</v>
          </cell>
          <cell r="B507" t="str">
            <v>TAMPA SUPERIOR / 33.03.11455.00</v>
          </cell>
          <cell r="D507" t="str">
            <v>-</v>
          </cell>
          <cell r="E507" t="str">
            <v>-</v>
          </cell>
          <cell r="F507" t="str">
            <v>-</v>
          </cell>
          <cell r="G507" t="str">
            <v>-</v>
          </cell>
          <cell r="H507" t="str">
            <v>-</v>
          </cell>
          <cell r="I507">
            <v>1</v>
          </cell>
          <cell r="J507">
            <v>1</v>
          </cell>
          <cell r="K507" t="e">
            <v>#VALUE!</v>
          </cell>
          <cell r="L507" t="str">
            <v>ENTREGA TOTAL</v>
          </cell>
          <cell r="M507" t="str">
            <v>-</v>
          </cell>
          <cell r="N507" t="str">
            <v>OC'S METALFISA</v>
          </cell>
          <cell r="O507" t="str">
            <v>-</v>
          </cell>
          <cell r="Q507" t="str">
            <v>-</v>
          </cell>
          <cell r="S507" t="str">
            <v>-</v>
          </cell>
          <cell r="U507">
            <v>0</v>
          </cell>
          <cell r="V507">
            <v>0</v>
          </cell>
          <cell r="W507">
            <v>4</v>
          </cell>
          <cell r="X507">
            <v>0</v>
          </cell>
          <cell r="Y507">
            <v>0</v>
          </cell>
          <cell r="Z507">
            <v>56</v>
          </cell>
          <cell r="AA507">
            <v>60</v>
          </cell>
          <cell r="AB507" t="str">
            <v>0</v>
          </cell>
          <cell r="AC507" t="str">
            <v>-</v>
          </cell>
          <cell r="AD507" t="str">
            <v>-</v>
          </cell>
        </row>
        <row r="508">
          <cell r="A508" t="str">
            <v>33.03.11456.00</v>
          </cell>
          <cell r="B508" t="str">
            <v>TRAVA TAMPA / 33.03.11456.00</v>
          </cell>
          <cell r="D508" t="str">
            <v>-</v>
          </cell>
          <cell r="E508" t="str">
            <v>-</v>
          </cell>
          <cell r="F508" t="str">
            <v>-</v>
          </cell>
          <cell r="G508" t="str">
            <v>-</v>
          </cell>
          <cell r="H508" t="str">
            <v>-</v>
          </cell>
          <cell r="I508" t="str">
            <v>-</v>
          </cell>
          <cell r="J508">
            <v>0</v>
          </cell>
          <cell r="K508">
            <v>63</v>
          </cell>
          <cell r="L508" t="str">
            <v>FALTA ENTREGA</v>
          </cell>
          <cell r="M508" t="str">
            <v>-</v>
          </cell>
          <cell r="N508" t="str">
            <v>OC'S METALFISA</v>
          </cell>
          <cell r="O508" t="str">
            <v>-</v>
          </cell>
          <cell r="Q508">
            <v>240</v>
          </cell>
          <cell r="R508" t="str">
            <v>OC'S VMI MEC</v>
          </cell>
          <cell r="S508" t="str">
            <v>-</v>
          </cell>
          <cell r="U508">
            <v>240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177</v>
          </cell>
          <cell r="AA508">
            <v>177</v>
          </cell>
          <cell r="AB508">
            <v>0</v>
          </cell>
          <cell r="AC508">
            <v>0</v>
          </cell>
          <cell r="AD508">
            <v>-177</v>
          </cell>
        </row>
        <row r="509">
          <cell r="A509" t="str">
            <v>33.03.11458.00</v>
          </cell>
          <cell r="B509" t="str">
            <v>LATERAL DE ACABAMENTO DO TUNEL / 33.03.11458.00</v>
          </cell>
          <cell r="D509" t="str">
            <v>-</v>
          </cell>
          <cell r="E509" t="str">
            <v>-</v>
          </cell>
          <cell r="F509" t="str">
            <v>-</v>
          </cell>
          <cell r="G509" t="str">
            <v>-</v>
          </cell>
          <cell r="H509" t="str">
            <v>-</v>
          </cell>
          <cell r="I509">
            <v>1</v>
          </cell>
          <cell r="J509">
            <v>1</v>
          </cell>
          <cell r="K509">
            <v>0</v>
          </cell>
          <cell r="L509" t="str">
            <v>ENTREGA PARCIAL</v>
          </cell>
          <cell r="M509" t="str">
            <v>-</v>
          </cell>
          <cell r="N509" t="str">
            <v>OC'S METALFISA</v>
          </cell>
          <cell r="O509" t="str">
            <v>-</v>
          </cell>
          <cell r="Q509" t="str">
            <v>-</v>
          </cell>
          <cell r="S509" t="str">
            <v>-</v>
          </cell>
          <cell r="U509">
            <v>0</v>
          </cell>
          <cell r="V509">
            <v>0</v>
          </cell>
          <cell r="W509">
            <v>13</v>
          </cell>
          <cell r="X509">
            <v>0</v>
          </cell>
          <cell r="Y509">
            <v>0</v>
          </cell>
          <cell r="Z509">
            <v>108</v>
          </cell>
          <cell r="AA509">
            <v>121</v>
          </cell>
          <cell r="AB509">
            <v>0</v>
          </cell>
          <cell r="AC509">
            <v>120</v>
          </cell>
          <cell r="AD509">
            <v>-1</v>
          </cell>
        </row>
        <row r="510">
          <cell r="A510" t="str">
            <v>33.03.11460.00</v>
          </cell>
          <cell r="B510" t="str">
            <v>ACABAMENTO FRONTAL / 33.03.11460.00</v>
          </cell>
          <cell r="D510" t="str">
            <v>-</v>
          </cell>
          <cell r="E510" t="str">
            <v>-</v>
          </cell>
          <cell r="F510" t="str">
            <v>-</v>
          </cell>
          <cell r="G510" t="str">
            <v>-</v>
          </cell>
          <cell r="H510" t="str">
            <v>-</v>
          </cell>
          <cell r="I510" t="str">
            <v>-</v>
          </cell>
          <cell r="J510">
            <v>0</v>
          </cell>
          <cell r="K510">
            <v>-1</v>
          </cell>
          <cell r="L510" t="str">
            <v>ENTREGA PARCIAL</v>
          </cell>
          <cell r="M510" t="str">
            <v>-</v>
          </cell>
          <cell r="N510" t="str">
            <v>OC'S METALFISA</v>
          </cell>
          <cell r="O510" t="str">
            <v>-</v>
          </cell>
          <cell r="Q510" t="str">
            <v>-</v>
          </cell>
          <cell r="S510" t="str">
            <v>-</v>
          </cell>
          <cell r="U510">
            <v>0</v>
          </cell>
          <cell r="V510">
            <v>0</v>
          </cell>
          <cell r="W510">
            <v>9</v>
          </cell>
          <cell r="X510">
            <v>0</v>
          </cell>
          <cell r="Y510">
            <v>0</v>
          </cell>
          <cell r="Z510">
            <v>112</v>
          </cell>
          <cell r="AA510">
            <v>121</v>
          </cell>
          <cell r="AB510">
            <v>0</v>
          </cell>
          <cell r="AC510">
            <v>120</v>
          </cell>
          <cell r="AD510">
            <v>-1</v>
          </cell>
        </row>
        <row r="511">
          <cell r="A511" t="str">
            <v>33.03.11461.00</v>
          </cell>
          <cell r="B511" t="str">
            <v>APOIO PARA TAMPA / 33.03.11461.00</v>
          </cell>
          <cell r="D511" t="str">
            <v>-</v>
          </cell>
          <cell r="E511" t="str">
            <v>-</v>
          </cell>
          <cell r="F511" t="str">
            <v>-</v>
          </cell>
          <cell r="G511" t="str">
            <v>-</v>
          </cell>
          <cell r="H511" t="str">
            <v>-</v>
          </cell>
          <cell r="I511" t="str">
            <v>-</v>
          </cell>
          <cell r="J511">
            <v>0</v>
          </cell>
          <cell r="K511">
            <v>6</v>
          </cell>
          <cell r="L511" t="str">
            <v>FALTA ENTREGA</v>
          </cell>
          <cell r="M511" t="str">
            <v>-</v>
          </cell>
          <cell r="N511" t="str">
            <v>OC'S METALFISA</v>
          </cell>
          <cell r="O511" t="str">
            <v>-</v>
          </cell>
          <cell r="Q511">
            <v>126</v>
          </cell>
          <cell r="R511" t="str">
            <v>OC'S VMI MEC</v>
          </cell>
          <cell r="S511" t="str">
            <v>-</v>
          </cell>
          <cell r="U511">
            <v>126</v>
          </cell>
          <cell r="V511">
            <v>0</v>
          </cell>
          <cell r="W511">
            <v>8</v>
          </cell>
          <cell r="X511">
            <v>0</v>
          </cell>
          <cell r="Y511">
            <v>0</v>
          </cell>
          <cell r="Z511">
            <v>112</v>
          </cell>
          <cell r="AA511">
            <v>120</v>
          </cell>
          <cell r="AB511">
            <v>0</v>
          </cell>
          <cell r="AC511">
            <v>0</v>
          </cell>
          <cell r="AD511">
            <v>-120</v>
          </cell>
        </row>
        <row r="512">
          <cell r="A512" t="str">
            <v>33.03.11462.00</v>
          </cell>
          <cell r="B512" t="str">
            <v>FIXACAO DA CORTINA NO TUNEL SUPERIOR / 33.03.11462.00</v>
          </cell>
          <cell r="D512" t="str">
            <v>-</v>
          </cell>
          <cell r="E512" t="str">
            <v>-</v>
          </cell>
          <cell r="F512" t="str">
            <v>-</v>
          </cell>
          <cell r="G512" t="str">
            <v>-</v>
          </cell>
          <cell r="H512" t="str">
            <v>-</v>
          </cell>
          <cell r="I512" t="str">
            <v>-</v>
          </cell>
          <cell r="J512">
            <v>0</v>
          </cell>
          <cell r="K512">
            <v>-60</v>
          </cell>
          <cell r="L512" t="str">
            <v>FALTA ENTREGA</v>
          </cell>
          <cell r="M512" t="str">
            <v>-</v>
          </cell>
          <cell r="N512" t="str">
            <v>OC'S METALFISA</v>
          </cell>
          <cell r="O512" t="str">
            <v>-</v>
          </cell>
          <cell r="Q512">
            <v>72</v>
          </cell>
          <cell r="R512" t="str">
            <v>OC'S VMI MEC</v>
          </cell>
          <cell r="S512" t="str">
            <v>-</v>
          </cell>
          <cell r="U512">
            <v>72</v>
          </cell>
          <cell r="V512">
            <v>0</v>
          </cell>
          <cell r="W512">
            <v>20</v>
          </cell>
          <cell r="X512">
            <v>0</v>
          </cell>
          <cell r="Y512">
            <v>0</v>
          </cell>
          <cell r="Z512">
            <v>112</v>
          </cell>
          <cell r="AA512">
            <v>132</v>
          </cell>
          <cell r="AB512">
            <v>0</v>
          </cell>
          <cell r="AC512">
            <v>0</v>
          </cell>
          <cell r="AD512">
            <v>-132</v>
          </cell>
        </row>
        <row r="513">
          <cell r="A513" t="str">
            <v>33.03.11466.00</v>
          </cell>
          <cell r="B513" t="str">
            <v>SUPORTE CORTINA / 33.03.11466.00</v>
          </cell>
          <cell r="D513" t="str">
            <v>-</v>
          </cell>
          <cell r="E513" t="str">
            <v>-</v>
          </cell>
          <cell r="F513" t="str">
            <v>-</v>
          </cell>
          <cell r="G513" t="str">
            <v>-</v>
          </cell>
          <cell r="H513" t="str">
            <v>-</v>
          </cell>
          <cell r="I513" t="str">
            <v>-</v>
          </cell>
          <cell r="J513">
            <v>0</v>
          </cell>
          <cell r="K513">
            <v>-22</v>
          </cell>
          <cell r="L513" t="str">
            <v>FALTA ENTREGA</v>
          </cell>
          <cell r="M513" t="str">
            <v>-</v>
          </cell>
          <cell r="N513" t="str">
            <v>OC'S METALFISA</v>
          </cell>
          <cell r="O513" t="str">
            <v>-</v>
          </cell>
          <cell r="Q513">
            <v>120</v>
          </cell>
          <cell r="R513" t="str">
            <v>OC'S VMI MEC</v>
          </cell>
          <cell r="S513" t="str">
            <v>-</v>
          </cell>
          <cell r="U513">
            <v>120</v>
          </cell>
          <cell r="V513">
            <v>2</v>
          </cell>
          <cell r="W513">
            <v>28</v>
          </cell>
          <cell r="X513">
            <v>0</v>
          </cell>
          <cell r="Y513">
            <v>0</v>
          </cell>
          <cell r="Z513">
            <v>112</v>
          </cell>
          <cell r="AA513">
            <v>142</v>
          </cell>
          <cell r="AB513">
            <v>0</v>
          </cell>
          <cell r="AC513">
            <v>0</v>
          </cell>
          <cell r="AD513">
            <v>-142</v>
          </cell>
        </row>
        <row r="514">
          <cell r="A514" t="str">
            <v>33.03.11469.00</v>
          </cell>
          <cell r="B514" t="str">
            <v>AMARRA CABOS PARA PC / 33.03.11469.00</v>
          </cell>
          <cell r="C514">
            <v>46062</v>
          </cell>
          <cell r="D514" t="str">
            <v>-</v>
          </cell>
          <cell r="E514" t="str">
            <v>-</v>
          </cell>
          <cell r="F514" t="str">
            <v>-</v>
          </cell>
          <cell r="G514" t="str">
            <v>-</v>
          </cell>
          <cell r="H514" t="str">
            <v>-</v>
          </cell>
          <cell r="I514" t="str">
            <v>-</v>
          </cell>
          <cell r="J514">
            <v>0</v>
          </cell>
          <cell r="K514" t="e">
            <v>#VALUE!</v>
          </cell>
          <cell r="L514" t="str">
            <v>ENTREGA TOTAL</v>
          </cell>
          <cell r="M514" t="str">
            <v>-</v>
          </cell>
          <cell r="N514" t="str">
            <v>OC'S METALFISA</v>
          </cell>
          <cell r="O514" t="str">
            <v>-</v>
          </cell>
          <cell r="Q514">
            <v>34</v>
          </cell>
          <cell r="R514" t="str">
            <v>OC'S VMI MEC</v>
          </cell>
          <cell r="S514" t="str">
            <v>-</v>
          </cell>
          <cell r="U514">
            <v>34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28</v>
          </cell>
          <cell r="AA514">
            <v>28</v>
          </cell>
          <cell r="AB514" t="str">
            <v>0</v>
          </cell>
          <cell r="AC514" t="str">
            <v>-</v>
          </cell>
          <cell r="AD514" t="str">
            <v>-</v>
          </cell>
        </row>
        <row r="515">
          <cell r="A515" t="str">
            <v>33.03.11470.00</v>
          </cell>
          <cell r="B515" t="str">
            <v>SUPORTE PARA TRAVAR AMARRA CABOS DO PC / 33.03.11470.00</v>
          </cell>
          <cell r="C515">
            <v>46066</v>
          </cell>
          <cell r="D515" t="str">
            <v>-</v>
          </cell>
          <cell r="E515" t="str">
            <v>-</v>
          </cell>
          <cell r="F515" t="str">
            <v>-</v>
          </cell>
          <cell r="G515" t="str">
            <v>-</v>
          </cell>
          <cell r="H515" t="str">
            <v>-</v>
          </cell>
          <cell r="I515" t="str">
            <v>-</v>
          </cell>
          <cell r="J515">
            <v>0</v>
          </cell>
          <cell r="K515">
            <v>29</v>
          </cell>
          <cell r="L515" t="str">
            <v>ENTREGA PARCIAL</v>
          </cell>
          <cell r="M515" t="str">
            <v>-</v>
          </cell>
          <cell r="N515" t="str">
            <v>OC'S METALFISA</v>
          </cell>
          <cell r="O515" t="str">
            <v>-</v>
          </cell>
          <cell r="Q515">
            <v>31</v>
          </cell>
          <cell r="R515" t="str">
            <v>OC'S VMI MEC</v>
          </cell>
          <cell r="S515" t="str">
            <v>-</v>
          </cell>
          <cell r="U515">
            <v>31</v>
          </cell>
          <cell r="V515">
            <v>0</v>
          </cell>
          <cell r="W515">
            <v>4</v>
          </cell>
          <cell r="X515">
            <v>0</v>
          </cell>
          <cell r="Y515">
            <v>0</v>
          </cell>
          <cell r="Z515">
            <v>28</v>
          </cell>
          <cell r="AA515">
            <v>32</v>
          </cell>
          <cell r="AB515">
            <v>0</v>
          </cell>
          <cell r="AC515">
            <v>30</v>
          </cell>
          <cell r="AD515">
            <v>-2</v>
          </cell>
        </row>
        <row r="516">
          <cell r="A516" t="str">
            <v>33.03.11473.02</v>
          </cell>
          <cell r="B516" t="str">
            <v>SUPORTE PLACA / 33.03.11473.02</v>
          </cell>
          <cell r="C516">
            <v>46074</v>
          </cell>
          <cell r="D516" t="str">
            <v>-</v>
          </cell>
          <cell r="E516" t="str">
            <v>-</v>
          </cell>
          <cell r="F516" t="str">
            <v>-</v>
          </cell>
          <cell r="G516" t="str">
            <v>-</v>
          </cell>
          <cell r="H516" t="str">
            <v>-</v>
          </cell>
          <cell r="I516" t="str">
            <v>-</v>
          </cell>
          <cell r="J516">
            <v>0</v>
          </cell>
          <cell r="K516">
            <v>321</v>
          </cell>
          <cell r="L516" t="str">
            <v>ENTREGA PARCIAL</v>
          </cell>
          <cell r="M516" t="str">
            <v>-</v>
          </cell>
          <cell r="N516" t="str">
            <v>OC'S METALFISA</v>
          </cell>
          <cell r="O516" t="str">
            <v>-</v>
          </cell>
          <cell r="Q516">
            <v>331</v>
          </cell>
          <cell r="R516" t="str">
            <v>OC'S VMI MEC</v>
          </cell>
          <cell r="S516" t="str">
            <v>-</v>
          </cell>
          <cell r="U516">
            <v>331</v>
          </cell>
          <cell r="V516">
            <v>0</v>
          </cell>
          <cell r="W516">
            <v>29</v>
          </cell>
          <cell r="X516">
            <v>0</v>
          </cell>
          <cell r="Y516">
            <v>0</v>
          </cell>
          <cell r="Z516">
            <v>308</v>
          </cell>
          <cell r="AA516">
            <v>337</v>
          </cell>
          <cell r="AB516">
            <v>0</v>
          </cell>
          <cell r="AC516">
            <v>327</v>
          </cell>
          <cell r="AD516">
            <v>-10</v>
          </cell>
        </row>
        <row r="517">
          <cell r="A517" t="str">
            <v>33.03.11475.00</v>
          </cell>
          <cell r="B517" t="str">
            <v>EMENDA TUNEL / EXTENSAO DE TUNEL / 33.03.11475.00</v>
          </cell>
          <cell r="D517" t="str">
            <v>-</v>
          </cell>
          <cell r="E517" t="str">
            <v>-</v>
          </cell>
          <cell r="F517" t="str">
            <v>-</v>
          </cell>
          <cell r="G517" t="str">
            <v>-</v>
          </cell>
          <cell r="H517" t="str">
            <v>-</v>
          </cell>
          <cell r="I517" t="str">
            <v>-</v>
          </cell>
          <cell r="J517">
            <v>0</v>
          </cell>
          <cell r="K517">
            <v>1</v>
          </cell>
          <cell r="L517" t="str">
            <v>FALTA ENTREGA</v>
          </cell>
          <cell r="M517" t="str">
            <v>-</v>
          </cell>
          <cell r="N517" t="str">
            <v>OC'S METALFISA</v>
          </cell>
          <cell r="O517">
            <v>36</v>
          </cell>
          <cell r="P517" t="str">
            <v>OC'S GRANATO</v>
          </cell>
          <cell r="Q517" t="str">
            <v>-</v>
          </cell>
          <cell r="S517" t="str">
            <v>-</v>
          </cell>
          <cell r="U517">
            <v>36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35</v>
          </cell>
          <cell r="AA517">
            <v>35</v>
          </cell>
          <cell r="AB517">
            <v>0</v>
          </cell>
          <cell r="AC517">
            <v>0</v>
          </cell>
          <cell r="AD517">
            <v>-35</v>
          </cell>
        </row>
        <row r="518">
          <cell r="A518" t="str">
            <v>33.03.11476.00</v>
          </cell>
          <cell r="B518" t="str">
            <v>TAMPA DA ESTEIRA - B - 33.03.11476.00</v>
          </cell>
          <cell r="C518">
            <v>46062</v>
          </cell>
          <cell r="D518" t="str">
            <v>-</v>
          </cell>
          <cell r="E518" t="str">
            <v>-</v>
          </cell>
          <cell r="F518" t="str">
            <v>-</v>
          </cell>
          <cell r="G518" t="str">
            <v>-</v>
          </cell>
          <cell r="H518" t="str">
            <v>-</v>
          </cell>
          <cell r="I518" t="str">
            <v>-</v>
          </cell>
          <cell r="J518">
            <v>0</v>
          </cell>
          <cell r="K518" t="e">
            <v>#VALUE!</v>
          </cell>
          <cell r="L518" t="str">
            <v>ENTREGA TOTAL</v>
          </cell>
          <cell r="M518" t="str">
            <v>-</v>
          </cell>
          <cell r="N518" t="str">
            <v>OC'S METALFISA</v>
          </cell>
          <cell r="O518" t="str">
            <v>-</v>
          </cell>
          <cell r="Q518">
            <v>30</v>
          </cell>
          <cell r="R518" t="str">
            <v>OC'S VMI MEC</v>
          </cell>
          <cell r="S518" t="str">
            <v>-</v>
          </cell>
          <cell r="U518">
            <v>30</v>
          </cell>
          <cell r="V518">
            <v>0</v>
          </cell>
          <cell r="W518">
            <v>2</v>
          </cell>
          <cell r="X518">
            <v>0</v>
          </cell>
          <cell r="Y518">
            <v>0</v>
          </cell>
          <cell r="Z518">
            <v>28</v>
          </cell>
          <cell r="AA518">
            <v>30</v>
          </cell>
          <cell r="AB518" t="str">
            <v>0</v>
          </cell>
          <cell r="AC518" t="str">
            <v>-</v>
          </cell>
          <cell r="AD518" t="str">
            <v>-</v>
          </cell>
        </row>
        <row r="519">
          <cell r="A519" t="str">
            <v>33.03.11477.00</v>
          </cell>
          <cell r="B519" t="str">
            <v>TAMPA DA ESTEIRA - A - 33.03.11477.00</v>
          </cell>
          <cell r="C519">
            <v>46059</v>
          </cell>
          <cell r="D519" t="str">
            <v>-</v>
          </cell>
          <cell r="E519" t="str">
            <v>-</v>
          </cell>
          <cell r="F519" t="str">
            <v>-</v>
          </cell>
          <cell r="G519" t="str">
            <v>-</v>
          </cell>
          <cell r="H519" t="str">
            <v>-</v>
          </cell>
          <cell r="I519" t="str">
            <v>-</v>
          </cell>
          <cell r="J519">
            <v>0</v>
          </cell>
          <cell r="K519" t="e">
            <v>#VALUE!</v>
          </cell>
          <cell r="L519" t="str">
            <v>ENTREGA TOTAL</v>
          </cell>
          <cell r="M519" t="str">
            <v>-</v>
          </cell>
          <cell r="N519" t="str">
            <v>OC'S METALFISA</v>
          </cell>
          <cell r="O519" t="str">
            <v>-</v>
          </cell>
          <cell r="Q519">
            <v>7</v>
          </cell>
          <cell r="R519" t="str">
            <v>OC'S VMI MEC</v>
          </cell>
          <cell r="S519" t="str">
            <v>-</v>
          </cell>
          <cell r="U519">
            <v>7</v>
          </cell>
          <cell r="V519">
            <v>0</v>
          </cell>
          <cell r="W519">
            <v>2</v>
          </cell>
          <cell r="X519">
            <v>0</v>
          </cell>
          <cell r="Y519">
            <v>0</v>
          </cell>
          <cell r="Z519">
            <v>28</v>
          </cell>
          <cell r="AA519">
            <v>30</v>
          </cell>
          <cell r="AB519" t="str">
            <v>0</v>
          </cell>
          <cell r="AC519" t="str">
            <v>-</v>
          </cell>
          <cell r="AD519" t="str">
            <v>-</v>
          </cell>
        </row>
        <row r="520">
          <cell r="A520" t="str">
            <v>33.03.11478.00</v>
          </cell>
          <cell r="B520" t="str">
            <v>TAMPA DA ESTEIRA - C - 33.03.11478.00</v>
          </cell>
          <cell r="C520">
            <v>46066</v>
          </cell>
          <cell r="D520" t="str">
            <v>-</v>
          </cell>
          <cell r="E520" t="str">
            <v>-</v>
          </cell>
          <cell r="F520" t="str">
            <v>-</v>
          </cell>
          <cell r="G520" t="str">
            <v>-</v>
          </cell>
          <cell r="H520" t="str">
            <v>-</v>
          </cell>
          <cell r="I520" t="str">
            <v>-</v>
          </cell>
          <cell r="J520">
            <v>0</v>
          </cell>
          <cell r="K520">
            <v>58</v>
          </cell>
          <cell r="L520" t="str">
            <v>ENTREGA PARCIAL</v>
          </cell>
          <cell r="M520" t="str">
            <v>-</v>
          </cell>
          <cell r="N520" t="str">
            <v>OC'S METALFISA</v>
          </cell>
          <cell r="O520" t="str">
            <v>-</v>
          </cell>
          <cell r="Q520">
            <v>60</v>
          </cell>
          <cell r="R520" t="str">
            <v>OC'S VMI MEC</v>
          </cell>
          <cell r="S520" t="str">
            <v>-</v>
          </cell>
          <cell r="U520">
            <v>60</v>
          </cell>
          <cell r="V520">
            <v>0</v>
          </cell>
          <cell r="W520">
            <v>6</v>
          </cell>
          <cell r="X520">
            <v>0</v>
          </cell>
          <cell r="Y520">
            <v>0</v>
          </cell>
          <cell r="Z520">
            <v>56</v>
          </cell>
          <cell r="AA520">
            <v>62</v>
          </cell>
          <cell r="AB520">
            <v>0</v>
          </cell>
          <cell r="AC520">
            <v>60</v>
          </cell>
          <cell r="AD520">
            <v>-2</v>
          </cell>
        </row>
        <row r="521">
          <cell r="A521" t="str">
            <v>33.03.11479.00</v>
          </cell>
          <cell r="B521" t="str">
            <v>TAMPA DA ESTEIRA - D - 33.03.11479.00</v>
          </cell>
          <cell r="C521">
            <v>46066</v>
          </cell>
          <cell r="D521" t="str">
            <v>-</v>
          </cell>
          <cell r="E521" t="str">
            <v>-</v>
          </cell>
          <cell r="F521" t="str">
            <v>-</v>
          </cell>
          <cell r="G521" t="str">
            <v>-</v>
          </cell>
          <cell r="H521" t="str">
            <v>-</v>
          </cell>
          <cell r="I521" t="str">
            <v>-</v>
          </cell>
          <cell r="J521">
            <v>0</v>
          </cell>
          <cell r="K521">
            <v>154</v>
          </cell>
          <cell r="L521" t="str">
            <v>ENTREGA TOTAL</v>
          </cell>
          <cell r="M521" t="str">
            <v>-</v>
          </cell>
          <cell r="N521" t="str">
            <v>OC'S METALFISA</v>
          </cell>
          <cell r="O521" t="str">
            <v>-</v>
          </cell>
          <cell r="Q521">
            <v>151</v>
          </cell>
          <cell r="R521" t="str">
            <v>OC'S VMI MEC</v>
          </cell>
          <cell r="S521" t="str">
            <v>-</v>
          </cell>
          <cell r="U521">
            <v>151</v>
          </cell>
          <cell r="V521">
            <v>0</v>
          </cell>
          <cell r="W521">
            <v>4</v>
          </cell>
          <cell r="X521">
            <v>0</v>
          </cell>
          <cell r="Y521">
            <v>0</v>
          </cell>
          <cell r="Z521">
            <v>140</v>
          </cell>
          <cell r="AA521">
            <v>144</v>
          </cell>
          <cell r="AB521">
            <v>0</v>
          </cell>
          <cell r="AC521">
            <v>147</v>
          </cell>
          <cell r="AD521">
            <v>3</v>
          </cell>
        </row>
        <row r="522">
          <cell r="A522" t="str">
            <v>33.03.11484.00</v>
          </cell>
          <cell r="B522" t="str">
            <v>REFORCO PARA CAIXA L / 33.03.11484.00</v>
          </cell>
          <cell r="D522" t="str">
            <v>-</v>
          </cell>
          <cell r="E522" t="str">
            <v>-</v>
          </cell>
          <cell r="F522" t="str">
            <v>-</v>
          </cell>
          <cell r="G522" t="str">
            <v>-</v>
          </cell>
          <cell r="H522" t="str">
            <v>-</v>
          </cell>
          <cell r="I522" t="str">
            <v>-</v>
          </cell>
          <cell r="J522">
            <v>0</v>
          </cell>
          <cell r="K522">
            <v>-2</v>
          </cell>
          <cell r="L522" t="str">
            <v>ENTREGA PARCIAL</v>
          </cell>
          <cell r="M522" t="str">
            <v>-</v>
          </cell>
          <cell r="N522" t="str">
            <v>OC'S METALFISA</v>
          </cell>
          <cell r="O522" t="str">
            <v>-</v>
          </cell>
          <cell r="Q522">
            <v>53</v>
          </cell>
          <cell r="R522" t="str">
            <v>OC'S VMI MEC</v>
          </cell>
          <cell r="S522" t="str">
            <v>-</v>
          </cell>
          <cell r="U522">
            <v>53</v>
          </cell>
          <cell r="V522">
            <v>0</v>
          </cell>
          <cell r="W522">
            <v>5</v>
          </cell>
          <cell r="X522">
            <v>0</v>
          </cell>
          <cell r="Y522">
            <v>0</v>
          </cell>
          <cell r="Z522">
            <v>56</v>
          </cell>
          <cell r="AA522">
            <v>61</v>
          </cell>
          <cell r="AB522">
            <v>0</v>
          </cell>
          <cell r="AC522">
            <v>6</v>
          </cell>
          <cell r="AD522">
            <v>-55</v>
          </cell>
        </row>
        <row r="523">
          <cell r="A523" t="str">
            <v>33.03.11486.00</v>
          </cell>
          <cell r="B523" t="str">
            <v>TRAVA CAIXA U PARA REFORCO ESTRUTURAL - B / 33.03.11486.00</v>
          </cell>
          <cell r="D523" t="str">
            <v>-</v>
          </cell>
          <cell r="E523" t="str">
            <v>-</v>
          </cell>
          <cell r="F523" t="str">
            <v>-</v>
          </cell>
          <cell r="G523" t="str">
            <v>-</v>
          </cell>
          <cell r="H523" t="str">
            <v>-</v>
          </cell>
          <cell r="I523" t="str">
            <v>-</v>
          </cell>
          <cell r="J523">
            <v>0</v>
          </cell>
          <cell r="K523">
            <v>-35</v>
          </cell>
          <cell r="L523" t="str">
            <v>FALTA ENTREGA</v>
          </cell>
          <cell r="M523" t="str">
            <v>-</v>
          </cell>
          <cell r="N523" t="str">
            <v>OC'S METALFISA</v>
          </cell>
          <cell r="O523" t="str">
            <v>-</v>
          </cell>
          <cell r="Q523" t="str">
            <v>-</v>
          </cell>
          <cell r="S523">
            <v>7</v>
          </cell>
          <cell r="T523" t="str">
            <v>OC'S MAPHE</v>
          </cell>
          <cell r="U523">
            <v>7</v>
          </cell>
          <cell r="V523">
            <v>7</v>
          </cell>
          <cell r="W523">
            <v>7</v>
          </cell>
          <cell r="X523">
            <v>0</v>
          </cell>
          <cell r="Y523">
            <v>0</v>
          </cell>
          <cell r="Z523">
            <v>28</v>
          </cell>
          <cell r="AA523">
            <v>42</v>
          </cell>
          <cell r="AB523">
            <v>7</v>
          </cell>
          <cell r="AC523">
            <v>0</v>
          </cell>
          <cell r="AD523">
            <v>-42</v>
          </cell>
        </row>
        <row r="524">
          <cell r="A524" t="str">
            <v>33.03.11494.00</v>
          </cell>
          <cell r="B524" t="str">
            <v>TAMPA LATERAL INGLES/PORTUGUES / 33.03.11494.00 (CINZA)</v>
          </cell>
          <cell r="D524" t="str">
            <v>-</v>
          </cell>
          <cell r="E524" t="str">
            <v>-</v>
          </cell>
          <cell r="F524" t="str">
            <v>-</v>
          </cell>
          <cell r="G524" t="str">
            <v>-</v>
          </cell>
          <cell r="H524" t="str">
            <v>-</v>
          </cell>
          <cell r="I524" t="str">
            <v>-</v>
          </cell>
          <cell r="J524">
            <v>0</v>
          </cell>
          <cell r="K524">
            <v>-1</v>
          </cell>
          <cell r="L524" t="str">
            <v>FALTA ENTREGA</v>
          </cell>
          <cell r="M524" t="str">
            <v>-</v>
          </cell>
          <cell r="N524" t="str">
            <v>OC'S METALFISA</v>
          </cell>
          <cell r="O524" t="str">
            <v>-</v>
          </cell>
          <cell r="Q524" t="str">
            <v>-</v>
          </cell>
          <cell r="S524" t="str">
            <v>-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1</v>
          </cell>
          <cell r="AA524">
            <v>1</v>
          </cell>
          <cell r="AB524">
            <v>0</v>
          </cell>
          <cell r="AC524">
            <v>0</v>
          </cell>
          <cell r="AD524">
            <v>-1</v>
          </cell>
        </row>
        <row r="525">
          <cell r="A525" t="str">
            <v>33.03.11505.03</v>
          </cell>
          <cell r="B525" t="str">
            <v>CONJUNTO PRINCIPAL CAIXA L 6040 SV / 33.03.11505.03</v>
          </cell>
          <cell r="C525">
            <v>46074</v>
          </cell>
          <cell r="D525" t="str">
            <v>-</v>
          </cell>
          <cell r="E525" t="str">
            <v>-</v>
          </cell>
          <cell r="F525" t="str">
            <v>-</v>
          </cell>
          <cell r="G525" t="str">
            <v>-</v>
          </cell>
          <cell r="H525" t="str">
            <v>-</v>
          </cell>
          <cell r="I525" t="str">
            <v>-</v>
          </cell>
          <cell r="J525">
            <v>0</v>
          </cell>
          <cell r="K525">
            <v>26</v>
          </cell>
          <cell r="L525" t="str">
            <v>ENTREGA TOTAL</v>
          </cell>
          <cell r="M525" t="str">
            <v>-</v>
          </cell>
          <cell r="N525" t="str">
            <v>OC'S METALFISA</v>
          </cell>
          <cell r="O525" t="str">
            <v>-</v>
          </cell>
          <cell r="Q525">
            <v>14</v>
          </cell>
          <cell r="S525">
            <v>11</v>
          </cell>
          <cell r="T525" t="str">
            <v>OC'S MAPHE</v>
          </cell>
          <cell r="U525">
            <v>25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13</v>
          </cell>
          <cell r="AA525">
            <v>13</v>
          </cell>
          <cell r="AB525">
            <v>0</v>
          </cell>
          <cell r="AC525">
            <v>14</v>
          </cell>
          <cell r="AD525">
            <v>1</v>
          </cell>
        </row>
        <row r="526">
          <cell r="A526" t="str">
            <v>33.03.11512.00</v>
          </cell>
          <cell r="B526" t="str">
            <v>CHAPA TAMPA HORIZONTAL 6040 SV / 33.03.11512.00</v>
          </cell>
          <cell r="C526">
            <v>46066</v>
          </cell>
          <cell r="D526" t="str">
            <v>-</v>
          </cell>
          <cell r="E526" t="str">
            <v>-</v>
          </cell>
          <cell r="F526" t="str">
            <v>-</v>
          </cell>
          <cell r="G526" t="str">
            <v>-</v>
          </cell>
          <cell r="H526" t="str">
            <v>-</v>
          </cell>
          <cell r="I526" t="str">
            <v>-</v>
          </cell>
          <cell r="J526">
            <v>0</v>
          </cell>
          <cell r="K526">
            <v>13</v>
          </cell>
          <cell r="L526" t="str">
            <v>ENTREGA PARCIAL</v>
          </cell>
          <cell r="M526" t="str">
            <v>-</v>
          </cell>
          <cell r="N526" t="str">
            <v>OC'S METALFISA</v>
          </cell>
          <cell r="O526" t="str">
            <v>-</v>
          </cell>
          <cell r="Q526">
            <v>3</v>
          </cell>
          <cell r="S526">
            <v>11</v>
          </cell>
          <cell r="T526" t="str">
            <v>OC'S MAPHE</v>
          </cell>
          <cell r="U526">
            <v>14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2</v>
          </cell>
          <cell r="AA526">
            <v>2</v>
          </cell>
          <cell r="AB526">
            <v>0</v>
          </cell>
          <cell r="AC526">
            <v>1</v>
          </cell>
          <cell r="AD526">
            <v>-1</v>
          </cell>
        </row>
        <row r="527">
          <cell r="A527" t="str">
            <v>33.03.11513.00</v>
          </cell>
          <cell r="B527" t="str">
            <v>CHAPA TAMPA VERTICAL 6040 SV / 33.03.11513.00</v>
          </cell>
          <cell r="C527">
            <v>46066</v>
          </cell>
          <cell r="D527" t="str">
            <v>-</v>
          </cell>
          <cell r="E527" t="str">
            <v>-</v>
          </cell>
          <cell r="F527" t="str">
            <v>-</v>
          </cell>
          <cell r="G527" t="str">
            <v>-</v>
          </cell>
          <cell r="H527" t="str">
            <v>-</v>
          </cell>
          <cell r="I527" t="str">
            <v>-</v>
          </cell>
          <cell r="J527">
            <v>0</v>
          </cell>
          <cell r="K527">
            <v>26</v>
          </cell>
          <cell r="L527" t="str">
            <v>ENTREGA TOTAL</v>
          </cell>
          <cell r="M527" t="str">
            <v>-</v>
          </cell>
          <cell r="N527" t="str">
            <v>OC'S METALFISA</v>
          </cell>
          <cell r="O527" t="str">
            <v>-</v>
          </cell>
          <cell r="Q527">
            <v>14</v>
          </cell>
          <cell r="S527">
            <v>11</v>
          </cell>
          <cell r="T527" t="str">
            <v>OC'S MAPHE</v>
          </cell>
          <cell r="U527">
            <v>25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13</v>
          </cell>
          <cell r="AA527">
            <v>13</v>
          </cell>
          <cell r="AB527">
            <v>0</v>
          </cell>
          <cell r="AC527">
            <v>14</v>
          </cell>
          <cell r="AD527">
            <v>1</v>
          </cell>
        </row>
        <row r="528">
          <cell r="A528" t="str">
            <v>33.03.11514.02</v>
          </cell>
          <cell r="B528" t="str">
            <v>CHAPA 1 GAIOLA DETECTORAS VMI 6040 SV / 33.03.11514.02</v>
          </cell>
          <cell r="C528">
            <v>46076</v>
          </cell>
          <cell r="D528" t="str">
            <v>-</v>
          </cell>
          <cell r="E528" t="str">
            <v>-</v>
          </cell>
          <cell r="F528" t="str">
            <v>-</v>
          </cell>
          <cell r="G528" t="str">
            <v>-</v>
          </cell>
          <cell r="H528" t="str">
            <v>-</v>
          </cell>
          <cell r="I528" t="str">
            <v>-</v>
          </cell>
          <cell r="J528">
            <v>0</v>
          </cell>
          <cell r="K528">
            <v>8</v>
          </cell>
          <cell r="L528" t="str">
            <v>FALTA ENTREGA</v>
          </cell>
          <cell r="M528" t="str">
            <v>-</v>
          </cell>
          <cell r="N528" t="str">
            <v>OC'S METALFISA</v>
          </cell>
          <cell r="O528" t="str">
            <v>-</v>
          </cell>
          <cell r="Q528" t="str">
            <v>-</v>
          </cell>
          <cell r="S528">
            <v>11</v>
          </cell>
          <cell r="T528" t="str">
            <v>OC'S MAPHE</v>
          </cell>
          <cell r="U528">
            <v>11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3</v>
          </cell>
          <cell r="AA528">
            <v>3</v>
          </cell>
          <cell r="AB528">
            <v>0</v>
          </cell>
          <cell r="AC528">
            <v>0</v>
          </cell>
          <cell r="AD528">
            <v>-3</v>
          </cell>
        </row>
        <row r="529">
          <cell r="A529" t="str">
            <v>33.03.11517.00</v>
          </cell>
          <cell r="B529" t="str">
            <v>CHAPA DE FIXACAO DA CAIXA L 6040 SV - 33.03.11517.00</v>
          </cell>
          <cell r="C529">
            <v>46066</v>
          </cell>
          <cell r="D529" t="str">
            <v>-</v>
          </cell>
          <cell r="E529" t="str">
            <v>-</v>
          </cell>
          <cell r="F529" t="str">
            <v>-</v>
          </cell>
          <cell r="G529" t="str">
            <v>-</v>
          </cell>
          <cell r="H529" t="str">
            <v>-</v>
          </cell>
          <cell r="I529" t="str">
            <v>-</v>
          </cell>
          <cell r="J529">
            <v>0</v>
          </cell>
          <cell r="K529">
            <v>26</v>
          </cell>
          <cell r="L529" t="str">
            <v>ENTREGA TOTAL</v>
          </cell>
          <cell r="M529" t="str">
            <v>-</v>
          </cell>
          <cell r="N529" t="str">
            <v>OC'S METALFISA</v>
          </cell>
          <cell r="O529" t="str">
            <v>-</v>
          </cell>
          <cell r="Q529">
            <v>14</v>
          </cell>
          <cell r="S529">
            <v>11</v>
          </cell>
          <cell r="T529" t="str">
            <v>OC'S MAPHE</v>
          </cell>
          <cell r="U529">
            <v>25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13</v>
          </cell>
          <cell r="AA529">
            <v>13</v>
          </cell>
          <cell r="AB529">
            <v>0</v>
          </cell>
          <cell r="AC529">
            <v>14</v>
          </cell>
          <cell r="AD529">
            <v>1</v>
          </cell>
        </row>
        <row r="530">
          <cell r="A530" t="str">
            <v>33.03.11519.01</v>
          </cell>
          <cell r="B530" t="str">
            <v>CHAPA REFORCO TRANSVERSAL CAIXA L 6040 SV / 33.03.11519.01</v>
          </cell>
          <cell r="D530" t="str">
            <v>-</v>
          </cell>
          <cell r="E530" t="str">
            <v>-</v>
          </cell>
          <cell r="F530" t="str">
            <v>-</v>
          </cell>
          <cell r="G530" t="str">
            <v>-</v>
          </cell>
          <cell r="H530" t="str">
            <v>-</v>
          </cell>
          <cell r="I530" t="str">
            <v>-</v>
          </cell>
          <cell r="J530">
            <v>0</v>
          </cell>
          <cell r="K530">
            <v>12</v>
          </cell>
          <cell r="L530" t="str">
            <v>FALTA ENTREGA</v>
          </cell>
          <cell r="M530" t="str">
            <v>-</v>
          </cell>
          <cell r="N530" t="str">
            <v>OC'S METALFISA</v>
          </cell>
          <cell r="O530" t="str">
            <v>-</v>
          </cell>
          <cell r="Q530">
            <v>14</v>
          </cell>
          <cell r="S530">
            <v>11</v>
          </cell>
          <cell r="T530" t="str">
            <v>OC'S MAPHE</v>
          </cell>
          <cell r="U530">
            <v>25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13</v>
          </cell>
          <cell r="AA530">
            <v>13</v>
          </cell>
          <cell r="AB530">
            <v>0</v>
          </cell>
          <cell r="AC530">
            <v>0</v>
          </cell>
          <cell r="AD530">
            <v>-13</v>
          </cell>
        </row>
        <row r="531">
          <cell r="A531" t="str">
            <v>33.03.11632.01</v>
          </cell>
          <cell r="B531" t="str">
            <v>LATERAL CAIXA U / B / 33.03.11632.01</v>
          </cell>
          <cell r="C531">
            <v>46074</v>
          </cell>
          <cell r="D531" t="str">
            <v>-</v>
          </cell>
          <cell r="E531" t="str">
            <v>-</v>
          </cell>
          <cell r="F531" t="str">
            <v>-</v>
          </cell>
          <cell r="G531" t="str">
            <v>-</v>
          </cell>
          <cell r="H531" t="str">
            <v>-</v>
          </cell>
          <cell r="I531" t="str">
            <v>-</v>
          </cell>
          <cell r="J531">
            <v>0</v>
          </cell>
          <cell r="K531">
            <v>1</v>
          </cell>
          <cell r="L531" t="str">
            <v>ENTREGA PARCIAL</v>
          </cell>
          <cell r="M531" t="str">
            <v>-</v>
          </cell>
          <cell r="N531" t="str">
            <v>OC'S METALFISA</v>
          </cell>
          <cell r="O531" t="str">
            <v>-</v>
          </cell>
          <cell r="Q531">
            <v>2</v>
          </cell>
          <cell r="R531" t="str">
            <v>OC'S VMI MEC</v>
          </cell>
          <cell r="S531" t="str">
            <v>-</v>
          </cell>
          <cell r="U531">
            <v>2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2</v>
          </cell>
          <cell r="AA531">
            <v>2</v>
          </cell>
          <cell r="AB531">
            <v>0</v>
          </cell>
          <cell r="AC531">
            <v>1</v>
          </cell>
          <cell r="AD531">
            <v>-1</v>
          </cell>
        </row>
        <row r="532">
          <cell r="A532" t="str">
            <v>33.03.11710.00</v>
          </cell>
          <cell r="B532" t="str">
            <v>CONJ. SOLDADO DA GAIOLA DAS DETECTORAS SV / 33.03.11710.00</v>
          </cell>
          <cell r="D532" t="str">
            <v>-</v>
          </cell>
          <cell r="E532" t="str">
            <v>-</v>
          </cell>
          <cell r="F532" t="str">
            <v>-</v>
          </cell>
          <cell r="G532" t="str">
            <v>-</v>
          </cell>
          <cell r="H532" t="str">
            <v>-</v>
          </cell>
          <cell r="I532" t="str">
            <v>-</v>
          </cell>
          <cell r="J532">
            <v>0</v>
          </cell>
          <cell r="K532">
            <v>4</v>
          </cell>
          <cell r="L532" t="str">
            <v>FALTA ENTREGA</v>
          </cell>
          <cell r="M532" t="str">
            <v>-</v>
          </cell>
          <cell r="N532" t="str">
            <v>OC'S METALFISA</v>
          </cell>
          <cell r="O532" t="str">
            <v>-</v>
          </cell>
          <cell r="Q532" t="str">
            <v>-</v>
          </cell>
          <cell r="S532">
            <v>7</v>
          </cell>
          <cell r="T532" t="str">
            <v>OC'S MAPHE</v>
          </cell>
          <cell r="U532">
            <v>7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3</v>
          </cell>
          <cell r="AA532">
            <v>3</v>
          </cell>
          <cell r="AB532">
            <v>0</v>
          </cell>
          <cell r="AC532">
            <v>0</v>
          </cell>
          <cell r="AD532">
            <v>-3</v>
          </cell>
        </row>
        <row r="533">
          <cell r="A533" t="str">
            <v>33.03.11715.00</v>
          </cell>
          <cell r="B533" t="str">
            <v>CONJ. SOLDADO DA GAIOLA DAS DETECTORAS DV / 33.03.11715.00</v>
          </cell>
          <cell r="D533" t="str">
            <v>-</v>
          </cell>
          <cell r="E533" t="str">
            <v>-</v>
          </cell>
          <cell r="F533" t="str">
            <v>-</v>
          </cell>
          <cell r="G533" t="str">
            <v>-</v>
          </cell>
          <cell r="H533" t="str">
            <v>-</v>
          </cell>
          <cell r="I533" t="str">
            <v>-</v>
          </cell>
          <cell r="J533">
            <v>0</v>
          </cell>
          <cell r="K533">
            <v>5</v>
          </cell>
          <cell r="L533" t="str">
            <v>FALTA ENTREGA</v>
          </cell>
          <cell r="M533" t="str">
            <v>-</v>
          </cell>
          <cell r="N533" t="str">
            <v>OC'S METALFISA</v>
          </cell>
          <cell r="O533" t="str">
            <v>-</v>
          </cell>
          <cell r="Q533" t="str">
            <v>-</v>
          </cell>
          <cell r="S533">
            <v>7</v>
          </cell>
          <cell r="T533" t="str">
            <v>OC'S MAPHE</v>
          </cell>
          <cell r="U533">
            <v>7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2</v>
          </cell>
          <cell r="AA533">
            <v>2</v>
          </cell>
          <cell r="AB533">
            <v>0</v>
          </cell>
          <cell r="AC533">
            <v>0</v>
          </cell>
          <cell r="AD533">
            <v>-2</v>
          </cell>
        </row>
        <row r="534">
          <cell r="A534" t="str">
            <v>33.03.11720.00</v>
          </cell>
          <cell r="B534" t="str">
            <v>CONJUNTO SOLDADO DA CAIXA L 6040 SV / 33.03.11720.00</v>
          </cell>
          <cell r="D534" t="str">
            <v>-</v>
          </cell>
          <cell r="E534" t="str">
            <v>-</v>
          </cell>
          <cell r="F534" t="str">
            <v>-</v>
          </cell>
          <cell r="G534" t="str">
            <v>-</v>
          </cell>
          <cell r="H534" t="str">
            <v>-</v>
          </cell>
          <cell r="I534" t="str">
            <v>-</v>
          </cell>
          <cell r="J534">
            <v>0</v>
          </cell>
          <cell r="K534">
            <v>5</v>
          </cell>
          <cell r="L534" t="str">
            <v>FALTA ENTREGA</v>
          </cell>
          <cell r="M534" t="str">
            <v>-</v>
          </cell>
          <cell r="N534" t="str">
            <v>OC'S METALFISA</v>
          </cell>
          <cell r="O534" t="str">
            <v>-</v>
          </cell>
          <cell r="Q534" t="str">
            <v>-</v>
          </cell>
          <cell r="S534">
            <v>6</v>
          </cell>
          <cell r="T534" t="str">
            <v>OC'S MAPHE</v>
          </cell>
          <cell r="U534">
            <v>6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1</v>
          </cell>
          <cell r="AA534">
            <v>1</v>
          </cell>
          <cell r="AB534">
            <v>0</v>
          </cell>
          <cell r="AC534">
            <v>0</v>
          </cell>
          <cell r="AD534">
            <v>-1</v>
          </cell>
        </row>
        <row r="535">
          <cell r="A535" t="str">
            <v>33.03.11727.00</v>
          </cell>
          <cell r="B535" t="str">
            <v>CHAPA TAMPA HORIZONTAL 6040 SV / 33.03.11727.00</v>
          </cell>
          <cell r="D535" t="str">
            <v>-</v>
          </cell>
          <cell r="E535" t="str">
            <v>-</v>
          </cell>
          <cell r="F535" t="str">
            <v>-</v>
          </cell>
          <cell r="G535" t="str">
            <v>-</v>
          </cell>
          <cell r="H535" t="str">
            <v>-</v>
          </cell>
          <cell r="I535" t="str">
            <v>-</v>
          </cell>
          <cell r="J535">
            <v>0</v>
          </cell>
          <cell r="K535">
            <v>5</v>
          </cell>
          <cell r="L535" t="str">
            <v>FALTA ENTREGA</v>
          </cell>
          <cell r="M535" t="str">
            <v>-</v>
          </cell>
          <cell r="N535" t="str">
            <v>OC'S METALFISA</v>
          </cell>
          <cell r="O535" t="str">
            <v>-</v>
          </cell>
          <cell r="Q535" t="str">
            <v>-</v>
          </cell>
          <cell r="S535">
            <v>6</v>
          </cell>
          <cell r="T535" t="str">
            <v>OC'S MAPHE</v>
          </cell>
          <cell r="U535">
            <v>6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1</v>
          </cell>
          <cell r="AA535">
            <v>1</v>
          </cell>
          <cell r="AB535">
            <v>0</v>
          </cell>
          <cell r="AC535">
            <v>0</v>
          </cell>
          <cell r="AD535">
            <v>-1</v>
          </cell>
        </row>
        <row r="536">
          <cell r="A536" t="str">
            <v>33.03.11728.00</v>
          </cell>
          <cell r="B536" t="str">
            <v>CHAPA TAMPA VERTICAL 6040 SV / 33.03.11728.00</v>
          </cell>
          <cell r="D536" t="str">
            <v>-</v>
          </cell>
          <cell r="E536" t="str">
            <v>-</v>
          </cell>
          <cell r="F536" t="str">
            <v>-</v>
          </cell>
          <cell r="G536" t="str">
            <v>-</v>
          </cell>
          <cell r="H536" t="str">
            <v>-</v>
          </cell>
          <cell r="I536" t="str">
            <v>-</v>
          </cell>
          <cell r="J536">
            <v>0</v>
          </cell>
          <cell r="K536">
            <v>5</v>
          </cell>
          <cell r="L536" t="str">
            <v>FALTA ENTREGA</v>
          </cell>
          <cell r="M536" t="str">
            <v>-</v>
          </cell>
          <cell r="N536" t="str">
            <v>OC'S METALFISA</v>
          </cell>
          <cell r="O536" t="str">
            <v>-</v>
          </cell>
          <cell r="Q536" t="str">
            <v>-</v>
          </cell>
          <cell r="S536">
            <v>6</v>
          </cell>
          <cell r="T536" t="str">
            <v>OC'S MAPHE</v>
          </cell>
          <cell r="U536">
            <v>6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1</v>
          </cell>
          <cell r="AA536">
            <v>1</v>
          </cell>
          <cell r="AB536">
            <v>0</v>
          </cell>
          <cell r="AC536">
            <v>0</v>
          </cell>
          <cell r="AD536">
            <v>-1</v>
          </cell>
        </row>
        <row r="537">
          <cell r="A537" t="str">
            <v>33.03.11732.00</v>
          </cell>
          <cell r="B537" t="str">
            <v>CHAPA TAMPA HORIZONTAL 6040 DV / 33.03.11732.00</v>
          </cell>
          <cell r="D537" t="str">
            <v>-</v>
          </cell>
          <cell r="E537" t="str">
            <v>-</v>
          </cell>
          <cell r="F537" t="str">
            <v>-</v>
          </cell>
          <cell r="G537" t="str">
            <v>-</v>
          </cell>
          <cell r="H537" t="str">
            <v>-</v>
          </cell>
          <cell r="I537" t="str">
            <v>-</v>
          </cell>
          <cell r="J537">
            <v>0</v>
          </cell>
          <cell r="K537">
            <v>5</v>
          </cell>
          <cell r="L537" t="str">
            <v>FALTA ENTREGA</v>
          </cell>
          <cell r="M537" t="str">
            <v>-</v>
          </cell>
          <cell r="N537" t="str">
            <v>OC'S METALFISA</v>
          </cell>
          <cell r="O537" t="str">
            <v>-</v>
          </cell>
          <cell r="Q537" t="str">
            <v>-</v>
          </cell>
          <cell r="S537">
            <v>6</v>
          </cell>
          <cell r="T537" t="str">
            <v>OC'S MAPHE</v>
          </cell>
          <cell r="U537">
            <v>6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1</v>
          </cell>
          <cell r="AA537">
            <v>1</v>
          </cell>
          <cell r="AB537">
            <v>0</v>
          </cell>
          <cell r="AC537">
            <v>0</v>
          </cell>
          <cell r="AD537">
            <v>-1</v>
          </cell>
        </row>
        <row r="538">
          <cell r="A538" t="str">
            <v>33.03.11734.00</v>
          </cell>
          <cell r="B538" t="str">
            <v>CHAPA TAMPA VERTICAL 6040 DV / 33.03.11734.00</v>
          </cell>
          <cell r="D538" t="str">
            <v>-</v>
          </cell>
          <cell r="E538" t="str">
            <v>-</v>
          </cell>
          <cell r="F538" t="str">
            <v>-</v>
          </cell>
          <cell r="G538" t="str">
            <v>-</v>
          </cell>
          <cell r="H538" t="str">
            <v>-</v>
          </cell>
          <cell r="I538" t="str">
            <v>-</v>
          </cell>
          <cell r="J538">
            <v>0</v>
          </cell>
          <cell r="K538">
            <v>5</v>
          </cell>
          <cell r="L538" t="str">
            <v>FALTA ENTREGA</v>
          </cell>
          <cell r="M538" t="str">
            <v>-</v>
          </cell>
          <cell r="N538" t="str">
            <v>OC'S METALFISA</v>
          </cell>
          <cell r="O538" t="str">
            <v>-</v>
          </cell>
          <cell r="Q538" t="str">
            <v>-</v>
          </cell>
          <cell r="S538">
            <v>6</v>
          </cell>
          <cell r="T538" t="str">
            <v>OC'S MAPHE</v>
          </cell>
          <cell r="U538">
            <v>6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1</v>
          </cell>
          <cell r="AA538">
            <v>1</v>
          </cell>
          <cell r="AB538">
            <v>0</v>
          </cell>
          <cell r="AC538">
            <v>0</v>
          </cell>
          <cell r="AD538">
            <v>-1</v>
          </cell>
        </row>
        <row r="539">
          <cell r="A539" t="str">
            <v>33.03.11735.00</v>
          </cell>
          <cell r="B539" t="str">
            <v>CONJUNTO SOLDADO DA CAIXA L 6040 DV / 33.03.11735.00</v>
          </cell>
          <cell r="D539" t="str">
            <v>-</v>
          </cell>
          <cell r="E539" t="str">
            <v>-</v>
          </cell>
          <cell r="F539" t="str">
            <v>-</v>
          </cell>
          <cell r="G539" t="str">
            <v>-</v>
          </cell>
          <cell r="H539" t="str">
            <v>-</v>
          </cell>
          <cell r="I539" t="str">
            <v>-</v>
          </cell>
          <cell r="J539">
            <v>0</v>
          </cell>
          <cell r="K539">
            <v>5</v>
          </cell>
          <cell r="L539" t="str">
            <v>FALTA ENTREGA</v>
          </cell>
          <cell r="M539" t="str">
            <v>-</v>
          </cell>
          <cell r="N539" t="str">
            <v>OC'S METALFISA</v>
          </cell>
          <cell r="O539" t="str">
            <v>-</v>
          </cell>
          <cell r="Q539" t="str">
            <v>-</v>
          </cell>
          <cell r="S539">
            <v>6</v>
          </cell>
          <cell r="T539" t="str">
            <v>OC'S MAPHE</v>
          </cell>
          <cell r="U539">
            <v>6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1</v>
          </cell>
          <cell r="AA539">
            <v>1</v>
          </cell>
          <cell r="AB539">
            <v>0</v>
          </cell>
          <cell r="AC539">
            <v>0</v>
          </cell>
          <cell r="AD539">
            <v>-1</v>
          </cell>
        </row>
        <row r="540">
          <cell r="A540" t="str">
            <v>33.03.90024.00</v>
          </cell>
          <cell r="B540" t="str">
            <v>TAMPA SDAQ / 33.03.90024.00</v>
          </cell>
          <cell r="D540" t="str">
            <v>-</v>
          </cell>
          <cell r="E540" t="str">
            <v>-</v>
          </cell>
          <cell r="F540" t="str">
            <v>-</v>
          </cell>
          <cell r="G540" t="str">
            <v>-</v>
          </cell>
          <cell r="H540" t="str">
            <v>-</v>
          </cell>
          <cell r="I540" t="str">
            <v>-</v>
          </cell>
          <cell r="J540">
            <v>0</v>
          </cell>
          <cell r="K540" t="e">
            <v>#VALUE!</v>
          </cell>
          <cell r="L540" t="str">
            <v>ENTREGA TOTAL</v>
          </cell>
          <cell r="M540">
            <v>2</v>
          </cell>
          <cell r="N540" t="str">
            <v>OC'S METALFISA</v>
          </cell>
          <cell r="O540" t="str">
            <v>-</v>
          </cell>
          <cell r="Q540">
            <v>3</v>
          </cell>
          <cell r="S540" t="str">
            <v>-</v>
          </cell>
          <cell r="U540">
            <v>5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1</v>
          </cell>
          <cell r="AA540">
            <v>1</v>
          </cell>
          <cell r="AB540" t="str">
            <v>0</v>
          </cell>
          <cell r="AC540" t="str">
            <v>-</v>
          </cell>
          <cell r="AD540" t="str">
            <v>-</v>
          </cell>
        </row>
        <row r="541">
          <cell r="A541" t="str">
            <v>33.04.10001.00</v>
          </cell>
          <cell r="B541" t="str">
            <v>SUPORTE DA INTERLOCK / 33.04.10001.00</v>
          </cell>
          <cell r="D541" t="str">
            <v>-</v>
          </cell>
          <cell r="E541" t="str">
            <v>-</v>
          </cell>
          <cell r="F541" t="str">
            <v>-</v>
          </cell>
          <cell r="G541" t="str">
            <v>-</v>
          </cell>
          <cell r="H541" t="str">
            <v>-</v>
          </cell>
          <cell r="I541" t="str">
            <v>-</v>
          </cell>
          <cell r="J541">
            <v>0</v>
          </cell>
          <cell r="K541">
            <v>0</v>
          </cell>
          <cell r="L541" t="str">
            <v>FALTA ENTREGA</v>
          </cell>
          <cell r="M541" t="str">
            <v>-</v>
          </cell>
          <cell r="N541" t="str">
            <v>OC'S METALFISA</v>
          </cell>
          <cell r="O541" t="str">
            <v>-</v>
          </cell>
          <cell r="Q541">
            <v>14</v>
          </cell>
          <cell r="S541" t="str">
            <v>-</v>
          </cell>
          <cell r="U541">
            <v>14</v>
          </cell>
          <cell r="V541">
            <v>0</v>
          </cell>
          <cell r="W541">
            <v>0</v>
          </cell>
          <cell r="X541">
            <v>0</v>
          </cell>
          <cell r="Y541">
            <v>14</v>
          </cell>
          <cell r="Z541">
            <v>0</v>
          </cell>
          <cell r="AA541">
            <v>14</v>
          </cell>
          <cell r="AB541">
            <v>0</v>
          </cell>
          <cell r="AC541">
            <v>0</v>
          </cell>
          <cell r="AD541">
            <v>-14</v>
          </cell>
        </row>
        <row r="542">
          <cell r="A542" t="str">
            <v>33.04.10011.00</v>
          </cell>
          <cell r="B542" t="str">
            <v>CHAPA PORTA VERTICAL CAIXA L VMIS 5536 / 33.04.10011.00</v>
          </cell>
          <cell r="D542" t="str">
            <v>-</v>
          </cell>
          <cell r="E542" t="str">
            <v>-</v>
          </cell>
          <cell r="F542" t="str">
            <v>-</v>
          </cell>
          <cell r="G542" t="str">
            <v>-</v>
          </cell>
          <cell r="H542" t="str">
            <v>-</v>
          </cell>
          <cell r="I542" t="str">
            <v>-</v>
          </cell>
          <cell r="J542">
            <v>0</v>
          </cell>
          <cell r="K542">
            <v>0</v>
          </cell>
          <cell r="L542" t="str">
            <v>FALTA ENTREGA</v>
          </cell>
          <cell r="M542" t="str">
            <v>-</v>
          </cell>
          <cell r="N542" t="str">
            <v>OC'S METALFISA</v>
          </cell>
          <cell r="O542" t="str">
            <v>-</v>
          </cell>
          <cell r="Q542">
            <v>1</v>
          </cell>
          <cell r="S542" t="str">
            <v>-</v>
          </cell>
          <cell r="U542">
            <v>1</v>
          </cell>
          <cell r="V542">
            <v>0</v>
          </cell>
          <cell r="W542">
            <v>0</v>
          </cell>
          <cell r="X542">
            <v>0</v>
          </cell>
          <cell r="Y542">
            <v>1</v>
          </cell>
          <cell r="Z542">
            <v>0</v>
          </cell>
          <cell r="AA542">
            <v>1</v>
          </cell>
          <cell r="AB542">
            <v>0</v>
          </cell>
          <cell r="AC542">
            <v>0</v>
          </cell>
          <cell r="AD542">
            <v>-1</v>
          </cell>
        </row>
        <row r="543">
          <cell r="A543" t="str">
            <v>33.04.10016.00</v>
          </cell>
          <cell r="B543" t="str">
            <v>SUPORTE DETECTOR VMIS CAIXA L 5536 / 33.04.10016.00</v>
          </cell>
          <cell r="C543">
            <v>46066</v>
          </cell>
          <cell r="D543" t="str">
            <v>-</v>
          </cell>
          <cell r="E543" t="str">
            <v>-</v>
          </cell>
          <cell r="F543" t="str">
            <v>-</v>
          </cell>
          <cell r="G543" t="str">
            <v>-</v>
          </cell>
          <cell r="H543" t="str">
            <v>-</v>
          </cell>
          <cell r="I543" t="str">
            <v>-</v>
          </cell>
          <cell r="J543">
            <v>0</v>
          </cell>
          <cell r="K543">
            <v>34</v>
          </cell>
          <cell r="L543" t="str">
            <v>ENTREGA PARCIAL</v>
          </cell>
          <cell r="M543" t="str">
            <v>-</v>
          </cell>
          <cell r="N543" t="str">
            <v>OC'S METALFISA</v>
          </cell>
          <cell r="O543" t="str">
            <v>-</v>
          </cell>
          <cell r="Q543">
            <v>40</v>
          </cell>
          <cell r="S543" t="str">
            <v>-</v>
          </cell>
          <cell r="U543">
            <v>40</v>
          </cell>
          <cell r="V543">
            <v>0</v>
          </cell>
          <cell r="W543">
            <v>0</v>
          </cell>
          <cell r="X543">
            <v>0</v>
          </cell>
          <cell r="Y543">
            <v>46</v>
          </cell>
          <cell r="Z543">
            <v>0</v>
          </cell>
          <cell r="AA543">
            <v>46</v>
          </cell>
          <cell r="AB543">
            <v>0</v>
          </cell>
          <cell r="AC543">
            <v>40</v>
          </cell>
          <cell r="AD543">
            <v>-6</v>
          </cell>
        </row>
        <row r="544">
          <cell r="A544" t="str">
            <v>33.04.10017.00</v>
          </cell>
          <cell r="B544" t="str">
            <v>SUPORTE DO LED / 33.04.10017.00</v>
          </cell>
          <cell r="D544" t="str">
            <v>-</v>
          </cell>
          <cell r="E544" t="str">
            <v>-</v>
          </cell>
          <cell r="F544" t="str">
            <v>-</v>
          </cell>
          <cell r="G544" t="str">
            <v>-</v>
          </cell>
          <cell r="H544" t="str">
            <v>-</v>
          </cell>
          <cell r="I544" t="str">
            <v>-</v>
          </cell>
          <cell r="J544">
            <v>0</v>
          </cell>
          <cell r="K544">
            <v>-7</v>
          </cell>
          <cell r="L544" t="str">
            <v>FALTA ENTREGA</v>
          </cell>
          <cell r="M544" t="str">
            <v>-</v>
          </cell>
          <cell r="N544" t="str">
            <v>OC'S METALFISA</v>
          </cell>
          <cell r="O544" t="str">
            <v>-</v>
          </cell>
          <cell r="Q544" t="str">
            <v>-</v>
          </cell>
          <cell r="S544" t="str">
            <v>-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7</v>
          </cell>
          <cell r="Z544">
            <v>0</v>
          </cell>
          <cell r="AA544">
            <v>7</v>
          </cell>
          <cell r="AB544">
            <v>0</v>
          </cell>
          <cell r="AC544">
            <v>0</v>
          </cell>
          <cell r="AD544">
            <v>-7</v>
          </cell>
        </row>
        <row r="545">
          <cell r="A545" t="str">
            <v>33.06.10021.00</v>
          </cell>
          <cell r="B545" t="str">
            <v>PEFIL SUPERIOR TUNEL / 33.06.10021.00</v>
          </cell>
          <cell r="D545" t="str">
            <v>-</v>
          </cell>
          <cell r="E545" t="str">
            <v>-</v>
          </cell>
          <cell r="F545" t="str">
            <v>-</v>
          </cell>
          <cell r="G545" t="str">
            <v>-</v>
          </cell>
          <cell r="H545" t="str">
            <v>-</v>
          </cell>
          <cell r="I545" t="str">
            <v>-</v>
          </cell>
          <cell r="J545">
            <v>0</v>
          </cell>
          <cell r="K545">
            <v>-10</v>
          </cell>
          <cell r="L545" t="str">
            <v>FALTA ENTREGA</v>
          </cell>
          <cell r="M545" t="str">
            <v>-</v>
          </cell>
          <cell r="N545" t="str">
            <v>OC'S METALFISA</v>
          </cell>
          <cell r="O545" t="str">
            <v>-</v>
          </cell>
          <cell r="Q545" t="str">
            <v>-</v>
          </cell>
          <cell r="S545" t="str">
            <v>-</v>
          </cell>
          <cell r="U545">
            <v>0</v>
          </cell>
          <cell r="V545">
            <v>6</v>
          </cell>
          <cell r="W545">
            <v>0</v>
          </cell>
          <cell r="X545">
            <v>4</v>
          </cell>
          <cell r="Y545">
            <v>0</v>
          </cell>
          <cell r="Z545">
            <v>0</v>
          </cell>
          <cell r="AA545">
            <v>10</v>
          </cell>
          <cell r="AB545">
            <v>10</v>
          </cell>
          <cell r="AC545">
            <v>0</v>
          </cell>
          <cell r="AD545">
            <v>-10</v>
          </cell>
        </row>
        <row r="546">
          <cell r="A546" t="str">
            <v>33.06.10028.00</v>
          </cell>
          <cell r="B546" t="str">
            <v>SUPORTE DO SENSOR / 33.06.10028.00</v>
          </cell>
          <cell r="D546" t="str">
            <v>-</v>
          </cell>
          <cell r="E546" t="str">
            <v>-</v>
          </cell>
          <cell r="F546" t="str">
            <v>-</v>
          </cell>
          <cell r="G546" t="str">
            <v>-</v>
          </cell>
          <cell r="H546" t="str">
            <v>-</v>
          </cell>
          <cell r="I546" t="str">
            <v>-</v>
          </cell>
          <cell r="J546">
            <v>0</v>
          </cell>
          <cell r="K546">
            <v>0</v>
          </cell>
          <cell r="L546" t="str">
            <v>FALTA ENTREGA</v>
          </cell>
          <cell r="M546" t="str">
            <v>-</v>
          </cell>
          <cell r="N546" t="str">
            <v>OC'S METALFISA</v>
          </cell>
          <cell r="O546" t="str">
            <v>-</v>
          </cell>
          <cell r="Q546">
            <v>3</v>
          </cell>
          <cell r="S546" t="str">
            <v>-</v>
          </cell>
          <cell r="U546">
            <v>3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3</v>
          </cell>
          <cell r="AA546">
            <v>3</v>
          </cell>
          <cell r="AB546">
            <v>0</v>
          </cell>
          <cell r="AC546">
            <v>0</v>
          </cell>
          <cell r="AD546">
            <v>-3</v>
          </cell>
        </row>
        <row r="547">
          <cell r="A547" t="str">
            <v>33.06.10039.00</v>
          </cell>
          <cell r="B547" t="str">
            <v>FIXACAO ACABAMENTO / 33.06.10039.00</v>
          </cell>
          <cell r="D547" t="str">
            <v>-</v>
          </cell>
          <cell r="E547" t="str">
            <v>-</v>
          </cell>
          <cell r="F547" t="str">
            <v>-</v>
          </cell>
          <cell r="G547" t="str">
            <v>-</v>
          </cell>
          <cell r="H547" t="str">
            <v>-</v>
          </cell>
          <cell r="I547" t="str">
            <v>-</v>
          </cell>
          <cell r="J547">
            <v>0</v>
          </cell>
          <cell r="K547">
            <v>-8</v>
          </cell>
          <cell r="L547" t="str">
            <v>FALTA ENTREGA</v>
          </cell>
          <cell r="M547" t="str">
            <v>-</v>
          </cell>
          <cell r="N547" t="str">
            <v>OC'S METALFISA</v>
          </cell>
          <cell r="O547" t="str">
            <v>-</v>
          </cell>
          <cell r="Q547" t="str">
            <v>-</v>
          </cell>
          <cell r="S547" t="str">
            <v>-</v>
          </cell>
          <cell r="U547">
            <v>0</v>
          </cell>
          <cell r="V547">
            <v>0</v>
          </cell>
          <cell r="W547">
            <v>0</v>
          </cell>
          <cell r="X547">
            <v>4</v>
          </cell>
          <cell r="Y547">
            <v>0</v>
          </cell>
          <cell r="Z547">
            <v>4</v>
          </cell>
          <cell r="AA547">
            <v>8</v>
          </cell>
          <cell r="AB547">
            <v>4</v>
          </cell>
          <cell r="AC547">
            <v>0</v>
          </cell>
          <cell r="AD547">
            <v>-8</v>
          </cell>
        </row>
        <row r="548">
          <cell r="A548" t="str">
            <v>33.06.10050.00</v>
          </cell>
          <cell r="B548" t="str">
            <v>APOIO COLIMADOR SECUNDARIO / 33.06.10050.00</v>
          </cell>
          <cell r="D548" t="str">
            <v>-</v>
          </cell>
          <cell r="E548" t="str">
            <v>-</v>
          </cell>
          <cell r="F548" t="str">
            <v>-</v>
          </cell>
          <cell r="G548" t="str">
            <v>-</v>
          </cell>
          <cell r="H548" t="str">
            <v>-</v>
          </cell>
          <cell r="I548" t="str">
            <v>-</v>
          </cell>
          <cell r="J548">
            <v>0</v>
          </cell>
          <cell r="K548">
            <v>0</v>
          </cell>
          <cell r="L548" t="str">
            <v>FALTA ENTREGA</v>
          </cell>
          <cell r="M548" t="str">
            <v>-</v>
          </cell>
          <cell r="N548" t="str">
            <v>OC'S METALFISA</v>
          </cell>
          <cell r="O548" t="str">
            <v>-</v>
          </cell>
          <cell r="Q548">
            <v>1</v>
          </cell>
          <cell r="S548" t="str">
            <v>-</v>
          </cell>
          <cell r="U548">
            <v>1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1</v>
          </cell>
          <cell r="AA548">
            <v>1</v>
          </cell>
          <cell r="AB548">
            <v>0</v>
          </cell>
          <cell r="AC548">
            <v>0</v>
          </cell>
          <cell r="AD548">
            <v>-1</v>
          </cell>
        </row>
        <row r="549">
          <cell r="A549" t="str">
            <v>33.06.10067.00</v>
          </cell>
          <cell r="B549" t="str">
            <v>CHAPA FECHAMENTO COLIMADOR SECUNDARIO / 33.06.10067.00</v>
          </cell>
          <cell r="C549">
            <v>46074</v>
          </cell>
          <cell r="D549" t="str">
            <v>-</v>
          </cell>
          <cell r="E549" t="str">
            <v>-</v>
          </cell>
          <cell r="F549" t="str">
            <v>-</v>
          </cell>
          <cell r="G549" t="str">
            <v>-</v>
          </cell>
          <cell r="H549" t="str">
            <v>-</v>
          </cell>
          <cell r="I549" t="str">
            <v>-</v>
          </cell>
          <cell r="J549">
            <v>0</v>
          </cell>
          <cell r="K549">
            <v>1</v>
          </cell>
          <cell r="L549" t="str">
            <v>ENTREGA TOTAL</v>
          </cell>
          <cell r="M549" t="str">
            <v>-</v>
          </cell>
          <cell r="N549" t="str">
            <v>OC'S METALFISA</v>
          </cell>
          <cell r="O549" t="str">
            <v>-</v>
          </cell>
          <cell r="Q549">
            <v>1</v>
          </cell>
          <cell r="S549" t="str">
            <v>-</v>
          </cell>
          <cell r="U549">
            <v>1</v>
          </cell>
          <cell r="V549">
            <v>0</v>
          </cell>
          <cell r="W549">
            <v>0</v>
          </cell>
          <cell r="X549">
            <v>1</v>
          </cell>
          <cell r="Y549">
            <v>0</v>
          </cell>
          <cell r="Z549">
            <v>0</v>
          </cell>
          <cell r="AA549">
            <v>1</v>
          </cell>
          <cell r="AB549">
            <v>0</v>
          </cell>
          <cell r="AC549">
            <v>1</v>
          </cell>
          <cell r="AD549">
            <v>0</v>
          </cell>
        </row>
        <row r="550">
          <cell r="A550" t="str">
            <v>33.06.10091.00</v>
          </cell>
          <cell r="B550" t="str">
            <v>SUPORTE MICRO PARA TAMPAS / 33.06.10091.00</v>
          </cell>
          <cell r="C550">
            <v>46074</v>
          </cell>
          <cell r="D550" t="str">
            <v>-</v>
          </cell>
          <cell r="E550" t="str">
            <v>-</v>
          </cell>
          <cell r="F550" t="str">
            <v>-</v>
          </cell>
          <cell r="G550" t="str">
            <v>-</v>
          </cell>
          <cell r="H550" t="str">
            <v>-</v>
          </cell>
          <cell r="I550" t="str">
            <v>-</v>
          </cell>
          <cell r="J550">
            <v>0</v>
          </cell>
          <cell r="K550">
            <v>9</v>
          </cell>
          <cell r="L550" t="str">
            <v>ENTREGA TOTAL</v>
          </cell>
          <cell r="M550" t="str">
            <v>-</v>
          </cell>
          <cell r="N550" t="str">
            <v>OC'S METALFISA</v>
          </cell>
          <cell r="O550" t="str">
            <v>-</v>
          </cell>
          <cell r="Q550">
            <v>6</v>
          </cell>
          <cell r="S550" t="str">
            <v>-</v>
          </cell>
          <cell r="U550">
            <v>6</v>
          </cell>
          <cell r="V550">
            <v>0</v>
          </cell>
          <cell r="W550">
            <v>0</v>
          </cell>
          <cell r="X550">
            <v>1</v>
          </cell>
          <cell r="Y550">
            <v>0</v>
          </cell>
          <cell r="Z550">
            <v>2</v>
          </cell>
          <cell r="AA550">
            <v>3</v>
          </cell>
          <cell r="AB550">
            <v>0</v>
          </cell>
          <cell r="AC550">
            <v>6</v>
          </cell>
          <cell r="AD550">
            <v>3</v>
          </cell>
        </row>
        <row r="551">
          <cell r="A551" t="str">
            <v>33.06.10107.00</v>
          </cell>
          <cell r="B551" t="str">
            <v>CHAPA FECHAMENTO ENTRE COLIMADORES / 33.06.10107.00</v>
          </cell>
          <cell r="C551">
            <v>46074</v>
          </cell>
          <cell r="D551" t="str">
            <v>-</v>
          </cell>
          <cell r="E551" t="str">
            <v>-</v>
          </cell>
          <cell r="F551" t="str">
            <v>-</v>
          </cell>
          <cell r="G551" t="str">
            <v>-</v>
          </cell>
          <cell r="H551" t="str">
            <v>-</v>
          </cell>
          <cell r="I551" t="str">
            <v>-</v>
          </cell>
          <cell r="J551">
            <v>0</v>
          </cell>
          <cell r="K551">
            <v>1</v>
          </cell>
          <cell r="L551" t="str">
            <v>ENTREGA TOTAL</v>
          </cell>
          <cell r="M551" t="str">
            <v>-</v>
          </cell>
          <cell r="N551" t="str">
            <v>OC'S METALFISA</v>
          </cell>
          <cell r="O551" t="str">
            <v>-</v>
          </cell>
          <cell r="Q551">
            <v>1</v>
          </cell>
          <cell r="S551" t="str">
            <v>-</v>
          </cell>
          <cell r="U551">
            <v>1</v>
          </cell>
          <cell r="V551">
            <v>0</v>
          </cell>
          <cell r="W551">
            <v>0</v>
          </cell>
          <cell r="X551">
            <v>1</v>
          </cell>
          <cell r="Y551">
            <v>0</v>
          </cell>
          <cell r="Z551">
            <v>0</v>
          </cell>
          <cell r="AA551">
            <v>1</v>
          </cell>
          <cell r="AB551">
            <v>0</v>
          </cell>
          <cell r="AC551">
            <v>1</v>
          </cell>
          <cell r="AD551">
            <v>0</v>
          </cell>
        </row>
        <row r="552">
          <cell r="A552" t="str">
            <v>33.06.10114.00</v>
          </cell>
          <cell r="B552" t="str">
            <v>APOIO ACABAMENTO FRONTAL / 33.06.10114.00</v>
          </cell>
          <cell r="D552" t="str">
            <v>-</v>
          </cell>
          <cell r="E552" t="str">
            <v>-</v>
          </cell>
          <cell r="F552" t="str">
            <v>-</v>
          </cell>
          <cell r="G552" t="str">
            <v>-</v>
          </cell>
          <cell r="H552" t="str">
            <v>-</v>
          </cell>
          <cell r="I552" t="str">
            <v>-</v>
          </cell>
          <cell r="J552">
            <v>0</v>
          </cell>
          <cell r="K552">
            <v>-4</v>
          </cell>
          <cell r="L552" t="str">
            <v>FALTA ENTREGA</v>
          </cell>
          <cell r="M552" t="str">
            <v>-</v>
          </cell>
          <cell r="N552" t="str">
            <v>OC'S METALFISA</v>
          </cell>
          <cell r="O552" t="str">
            <v>-</v>
          </cell>
          <cell r="Q552" t="str">
            <v>-</v>
          </cell>
          <cell r="S552" t="str">
            <v>-</v>
          </cell>
          <cell r="U552">
            <v>0</v>
          </cell>
          <cell r="V552">
            <v>0</v>
          </cell>
          <cell r="W552">
            <v>0</v>
          </cell>
          <cell r="X552">
            <v>4</v>
          </cell>
          <cell r="Y552">
            <v>0</v>
          </cell>
          <cell r="Z552">
            <v>0</v>
          </cell>
          <cell r="AA552">
            <v>4</v>
          </cell>
          <cell r="AB552">
            <v>4</v>
          </cell>
          <cell r="AC552">
            <v>0</v>
          </cell>
          <cell r="AD552">
            <v>-4</v>
          </cell>
        </row>
        <row r="553">
          <cell r="A553" t="str">
            <v>33.06.10118.00</v>
          </cell>
          <cell r="B553" t="str">
            <v>TAMPA SUPERIOR / 33.06.10118.00</v>
          </cell>
          <cell r="D553" t="str">
            <v>-</v>
          </cell>
          <cell r="E553" t="str">
            <v>-</v>
          </cell>
          <cell r="F553" t="str">
            <v>-</v>
          </cell>
          <cell r="G553" t="str">
            <v>-</v>
          </cell>
          <cell r="H553" t="str">
            <v>-</v>
          </cell>
          <cell r="I553">
            <v>1</v>
          </cell>
          <cell r="J553">
            <v>1</v>
          </cell>
          <cell r="K553">
            <v>-1</v>
          </cell>
          <cell r="L553" t="str">
            <v>FALTA ENTREGA</v>
          </cell>
          <cell r="M553" t="str">
            <v>-</v>
          </cell>
          <cell r="N553" t="str">
            <v>OC'S METALFISA</v>
          </cell>
          <cell r="O553" t="str">
            <v>-</v>
          </cell>
          <cell r="Q553" t="str">
            <v>-</v>
          </cell>
          <cell r="S553" t="str">
            <v>-</v>
          </cell>
          <cell r="U553">
            <v>0</v>
          </cell>
          <cell r="V553">
            <v>0</v>
          </cell>
          <cell r="W553">
            <v>0</v>
          </cell>
          <cell r="X553">
            <v>2</v>
          </cell>
          <cell r="Y553">
            <v>0</v>
          </cell>
          <cell r="Z553">
            <v>0</v>
          </cell>
          <cell r="AA553">
            <v>2</v>
          </cell>
          <cell r="AB553">
            <v>2</v>
          </cell>
          <cell r="AC553">
            <v>0</v>
          </cell>
          <cell r="AD553">
            <v>-2</v>
          </cell>
        </row>
        <row r="554">
          <cell r="A554" t="str">
            <v>33.06.10123.00</v>
          </cell>
          <cell r="B554" t="str">
            <v>TAMPA LATERAL BILINGUE / 33.06.10123.00</v>
          </cell>
          <cell r="D554" t="str">
            <v>-</v>
          </cell>
          <cell r="E554" t="str">
            <v>-</v>
          </cell>
          <cell r="F554" t="str">
            <v>-</v>
          </cell>
          <cell r="G554" t="str">
            <v>-</v>
          </cell>
          <cell r="H554" t="str">
            <v>-</v>
          </cell>
          <cell r="I554">
            <v>1</v>
          </cell>
          <cell r="J554">
            <v>1</v>
          </cell>
          <cell r="K554">
            <v>-2</v>
          </cell>
          <cell r="L554" t="str">
            <v>FALTA ENTREGA</v>
          </cell>
          <cell r="M554" t="str">
            <v>-</v>
          </cell>
          <cell r="N554" t="str">
            <v>OC'S METALFISA</v>
          </cell>
          <cell r="O554" t="str">
            <v>-</v>
          </cell>
          <cell r="Q554" t="str">
            <v>-</v>
          </cell>
          <cell r="S554" t="str">
            <v>-</v>
          </cell>
          <cell r="U554">
            <v>0</v>
          </cell>
          <cell r="V554">
            <v>0</v>
          </cell>
          <cell r="W554">
            <v>0</v>
          </cell>
          <cell r="X554">
            <v>3</v>
          </cell>
          <cell r="Y554">
            <v>0</v>
          </cell>
          <cell r="Z554">
            <v>0</v>
          </cell>
          <cell r="AA554">
            <v>3</v>
          </cell>
          <cell r="AB554">
            <v>3</v>
          </cell>
          <cell r="AC554">
            <v>0</v>
          </cell>
          <cell r="AD554">
            <v>-3</v>
          </cell>
        </row>
        <row r="555">
          <cell r="A555" t="str">
            <v>33.06.10134.00</v>
          </cell>
          <cell r="B555" t="str">
            <v>TAMPA INFERIOR ESTEIRA FECHADA / 33.06.10134.00</v>
          </cell>
          <cell r="D555" t="str">
            <v>-</v>
          </cell>
          <cell r="E555" t="str">
            <v>-</v>
          </cell>
          <cell r="F555">
            <v>1</v>
          </cell>
          <cell r="G555" t="str">
            <v>-</v>
          </cell>
          <cell r="H555" t="str">
            <v>-</v>
          </cell>
          <cell r="I555" t="str">
            <v>-</v>
          </cell>
          <cell r="J555">
            <v>1</v>
          </cell>
          <cell r="K555">
            <v>-1</v>
          </cell>
          <cell r="L555" t="str">
            <v>FALTA ENTREGA</v>
          </cell>
          <cell r="M555" t="str">
            <v>-</v>
          </cell>
          <cell r="N555" t="str">
            <v>OC'S METALFISA</v>
          </cell>
          <cell r="O555" t="str">
            <v>-</v>
          </cell>
          <cell r="Q555" t="str">
            <v>-</v>
          </cell>
          <cell r="S555" t="str">
            <v>-</v>
          </cell>
          <cell r="U555">
            <v>0</v>
          </cell>
          <cell r="V555">
            <v>0</v>
          </cell>
          <cell r="W555">
            <v>0</v>
          </cell>
          <cell r="X555">
            <v>2</v>
          </cell>
          <cell r="Y555">
            <v>0</v>
          </cell>
          <cell r="Z555">
            <v>0</v>
          </cell>
          <cell r="AA555">
            <v>2</v>
          </cell>
          <cell r="AB555">
            <v>2</v>
          </cell>
          <cell r="AC555">
            <v>0</v>
          </cell>
          <cell r="AD555">
            <v>-2</v>
          </cell>
        </row>
        <row r="556">
          <cell r="A556" t="str">
            <v>33.06.10138.00</v>
          </cell>
          <cell r="B556" t="str">
            <v>ACABAMENTO LATERAL ESTEIRA 1 / 33.06.10138.00</v>
          </cell>
          <cell r="D556" t="str">
            <v>-</v>
          </cell>
          <cell r="E556" t="str">
            <v>-</v>
          </cell>
          <cell r="F556" t="str">
            <v>-</v>
          </cell>
          <cell r="G556" t="str">
            <v>-</v>
          </cell>
          <cell r="H556" t="str">
            <v>-</v>
          </cell>
          <cell r="I556">
            <v>1</v>
          </cell>
          <cell r="J556">
            <v>1</v>
          </cell>
          <cell r="K556">
            <v>-1</v>
          </cell>
          <cell r="L556" t="str">
            <v>FALTA ENTREGA</v>
          </cell>
          <cell r="M556" t="str">
            <v>-</v>
          </cell>
          <cell r="N556" t="str">
            <v>OC'S METALFISA</v>
          </cell>
          <cell r="O556" t="str">
            <v>-</v>
          </cell>
          <cell r="Q556" t="str">
            <v>-</v>
          </cell>
          <cell r="S556" t="str">
            <v>-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2</v>
          </cell>
          <cell r="AA556">
            <v>2</v>
          </cell>
          <cell r="AB556">
            <v>0</v>
          </cell>
          <cell r="AC556">
            <v>0</v>
          </cell>
          <cell r="AD556">
            <v>-2</v>
          </cell>
        </row>
        <row r="557">
          <cell r="A557" t="str">
            <v>33.06.10141.00</v>
          </cell>
          <cell r="B557" t="str">
            <v>ACABAMENTO LATERAL ESTEIRA 2 / 33.06.10141.00</v>
          </cell>
          <cell r="D557" t="str">
            <v>-</v>
          </cell>
          <cell r="E557" t="str">
            <v>-</v>
          </cell>
          <cell r="F557" t="str">
            <v>-</v>
          </cell>
          <cell r="G557" t="str">
            <v>-</v>
          </cell>
          <cell r="H557" t="str">
            <v>-</v>
          </cell>
          <cell r="I557">
            <v>1</v>
          </cell>
          <cell r="J557">
            <v>1</v>
          </cell>
          <cell r="K557">
            <v>-3</v>
          </cell>
          <cell r="L557" t="str">
            <v>FALTA ENTREGA</v>
          </cell>
          <cell r="M557" t="str">
            <v>-</v>
          </cell>
          <cell r="N557" t="str">
            <v>OC'S METALFISA</v>
          </cell>
          <cell r="O557" t="str">
            <v>-</v>
          </cell>
          <cell r="Q557" t="str">
            <v>-</v>
          </cell>
          <cell r="S557" t="str">
            <v>-</v>
          </cell>
          <cell r="U557">
            <v>0</v>
          </cell>
          <cell r="V557">
            <v>0</v>
          </cell>
          <cell r="W557">
            <v>0</v>
          </cell>
          <cell r="X557">
            <v>2</v>
          </cell>
          <cell r="Y557">
            <v>0</v>
          </cell>
          <cell r="Z557">
            <v>2</v>
          </cell>
          <cell r="AA557">
            <v>4</v>
          </cell>
          <cell r="AB557">
            <v>2</v>
          </cell>
          <cell r="AC557">
            <v>0</v>
          </cell>
          <cell r="AD557">
            <v>-4</v>
          </cell>
        </row>
        <row r="558">
          <cell r="A558" t="str">
            <v>33.06.10155.01</v>
          </cell>
          <cell r="B558" t="str">
            <v>ACABAMENTO ENTRADA DO TUNEL / 33.06.10155.01</v>
          </cell>
          <cell r="D558" t="str">
            <v>-</v>
          </cell>
          <cell r="E558" t="str">
            <v>-</v>
          </cell>
          <cell r="F558" t="str">
            <v>-</v>
          </cell>
          <cell r="G558" t="str">
            <v>-</v>
          </cell>
          <cell r="H558" t="str">
            <v>-</v>
          </cell>
          <cell r="I558">
            <v>3</v>
          </cell>
          <cell r="J558">
            <v>3</v>
          </cell>
          <cell r="K558">
            <v>-4</v>
          </cell>
          <cell r="L558" t="str">
            <v>FALTA ENTREGA</v>
          </cell>
          <cell r="M558" t="str">
            <v>-</v>
          </cell>
          <cell r="N558" t="str">
            <v>OC'S METALFISA</v>
          </cell>
          <cell r="O558" t="str">
            <v>-</v>
          </cell>
          <cell r="Q558" t="str">
            <v>-</v>
          </cell>
          <cell r="S558" t="str">
            <v>-</v>
          </cell>
          <cell r="U558">
            <v>0</v>
          </cell>
          <cell r="V558">
            <v>0</v>
          </cell>
          <cell r="W558">
            <v>0</v>
          </cell>
          <cell r="X558">
            <v>7</v>
          </cell>
          <cell r="Y558">
            <v>0</v>
          </cell>
          <cell r="Z558">
            <v>0</v>
          </cell>
          <cell r="AA558">
            <v>7</v>
          </cell>
          <cell r="AB558">
            <v>7</v>
          </cell>
          <cell r="AC558">
            <v>0</v>
          </cell>
          <cell r="AD558">
            <v>-7</v>
          </cell>
        </row>
        <row r="559">
          <cell r="A559" t="str">
            <v>33.06.10225.00</v>
          </cell>
          <cell r="B559" t="str">
            <v>TRAVA DO EIXO DE REGULAGEM / 33.06.10225.00</v>
          </cell>
          <cell r="D559" t="str">
            <v>-</v>
          </cell>
          <cell r="E559" t="str">
            <v>-</v>
          </cell>
          <cell r="F559" t="str">
            <v>-</v>
          </cell>
          <cell r="G559" t="str">
            <v>-</v>
          </cell>
          <cell r="H559" t="str">
            <v>-</v>
          </cell>
          <cell r="I559" t="str">
            <v>-</v>
          </cell>
          <cell r="J559">
            <v>0</v>
          </cell>
          <cell r="K559" t="e">
            <v>#VALUE!</v>
          </cell>
          <cell r="L559" t="str">
            <v>ENTREGA TOTAL</v>
          </cell>
          <cell r="M559" t="str">
            <v>-</v>
          </cell>
          <cell r="N559" t="str">
            <v>OC'S METALFISA</v>
          </cell>
          <cell r="O559" t="str">
            <v>-</v>
          </cell>
          <cell r="Q559" t="str">
            <v>-</v>
          </cell>
          <cell r="S559" t="str">
            <v>-</v>
          </cell>
          <cell r="U559">
            <v>0</v>
          </cell>
          <cell r="V559">
            <v>8</v>
          </cell>
          <cell r="W559">
            <v>0</v>
          </cell>
          <cell r="X559">
            <v>6</v>
          </cell>
          <cell r="Y559">
            <v>0</v>
          </cell>
          <cell r="Z559">
            <v>0</v>
          </cell>
          <cell r="AA559">
            <v>14</v>
          </cell>
          <cell r="AB559" t="str">
            <v>0</v>
          </cell>
          <cell r="AC559" t="str">
            <v>-</v>
          </cell>
          <cell r="AD559" t="str">
            <v>-</v>
          </cell>
        </row>
        <row r="560">
          <cell r="A560" t="str">
            <v>33.06.10244.00</v>
          </cell>
          <cell r="B560" t="str">
            <v>SUPORTE DO LED.01 / 33.06.10244.00</v>
          </cell>
          <cell r="D560" t="str">
            <v>-</v>
          </cell>
          <cell r="E560" t="str">
            <v>-</v>
          </cell>
          <cell r="F560" t="str">
            <v>-</v>
          </cell>
          <cell r="G560" t="str">
            <v>-</v>
          </cell>
          <cell r="H560" t="str">
            <v>-</v>
          </cell>
          <cell r="I560" t="str">
            <v>-</v>
          </cell>
          <cell r="J560">
            <v>0</v>
          </cell>
          <cell r="K560">
            <v>0</v>
          </cell>
          <cell r="L560" t="str">
            <v>ENTREGA PARCIAL</v>
          </cell>
          <cell r="M560" t="str">
            <v>-</v>
          </cell>
          <cell r="N560" t="str">
            <v>OC'S METALFISA</v>
          </cell>
          <cell r="O560" t="str">
            <v>-</v>
          </cell>
          <cell r="Q560">
            <v>1</v>
          </cell>
          <cell r="S560" t="str">
            <v>-</v>
          </cell>
          <cell r="U560">
            <v>1</v>
          </cell>
          <cell r="V560">
            <v>12</v>
          </cell>
          <cell r="W560">
            <v>0</v>
          </cell>
          <cell r="X560">
            <v>8</v>
          </cell>
          <cell r="Y560">
            <v>0</v>
          </cell>
          <cell r="Z560">
            <v>4</v>
          </cell>
          <cell r="AA560">
            <v>24</v>
          </cell>
          <cell r="AB560">
            <v>0</v>
          </cell>
          <cell r="AC560">
            <v>23</v>
          </cell>
          <cell r="AD560">
            <v>-1</v>
          </cell>
        </row>
        <row r="561">
          <cell r="A561" t="str">
            <v>33.06.10245.00</v>
          </cell>
          <cell r="B561" t="str">
            <v>SUPORTE DO LED.02 / 33.06.10245.00</v>
          </cell>
          <cell r="D561" t="str">
            <v>-</v>
          </cell>
          <cell r="E561" t="str">
            <v>-</v>
          </cell>
          <cell r="F561" t="str">
            <v>-</v>
          </cell>
          <cell r="G561" t="str">
            <v>-</v>
          </cell>
          <cell r="H561" t="str">
            <v>-</v>
          </cell>
          <cell r="I561" t="str">
            <v>-</v>
          </cell>
          <cell r="J561">
            <v>0</v>
          </cell>
          <cell r="K561" t="e">
            <v>#VALUE!</v>
          </cell>
          <cell r="L561" t="str">
            <v>ENTREGA TOTAL</v>
          </cell>
          <cell r="M561" t="str">
            <v>-</v>
          </cell>
          <cell r="N561" t="str">
            <v>OC'S METALFISA</v>
          </cell>
          <cell r="O561" t="str">
            <v>-</v>
          </cell>
          <cell r="Q561" t="str">
            <v>-</v>
          </cell>
          <cell r="S561" t="str">
            <v>-</v>
          </cell>
          <cell r="U561">
            <v>0</v>
          </cell>
          <cell r="V561">
            <v>12</v>
          </cell>
          <cell r="W561">
            <v>0</v>
          </cell>
          <cell r="X561">
            <v>8</v>
          </cell>
          <cell r="Y561">
            <v>0</v>
          </cell>
          <cell r="Z561">
            <v>4</v>
          </cell>
          <cell r="AA561">
            <v>24</v>
          </cell>
          <cell r="AB561" t="str">
            <v>0</v>
          </cell>
          <cell r="AC561" t="str">
            <v>-</v>
          </cell>
          <cell r="AD561" t="str">
            <v>-</v>
          </cell>
        </row>
        <row r="562">
          <cell r="A562" t="str">
            <v>33.08.10000.00</v>
          </cell>
          <cell r="B562" t="str">
            <v>PERFIL / 33.08.10000.00</v>
          </cell>
          <cell r="C562">
            <v>46062</v>
          </cell>
          <cell r="D562" t="str">
            <v>-</v>
          </cell>
          <cell r="E562" t="str">
            <v>-</v>
          </cell>
          <cell r="F562" t="str">
            <v>-</v>
          </cell>
          <cell r="G562" t="str">
            <v>-</v>
          </cell>
          <cell r="H562" t="str">
            <v>-</v>
          </cell>
          <cell r="I562" t="str">
            <v>-</v>
          </cell>
          <cell r="J562">
            <v>0</v>
          </cell>
          <cell r="K562">
            <v>16</v>
          </cell>
          <cell r="L562" t="str">
            <v>ENTREGA TOTAL</v>
          </cell>
          <cell r="M562" t="str">
            <v>-</v>
          </cell>
          <cell r="N562" t="str">
            <v>OC'S METALFISA</v>
          </cell>
          <cell r="O562" t="str">
            <v>-</v>
          </cell>
          <cell r="Q562">
            <v>8</v>
          </cell>
          <cell r="S562">
            <v>8</v>
          </cell>
          <cell r="T562" t="str">
            <v>OC'S MAPHE</v>
          </cell>
          <cell r="U562">
            <v>16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8</v>
          </cell>
          <cell r="AA562">
            <v>8</v>
          </cell>
          <cell r="AB562">
            <v>0</v>
          </cell>
          <cell r="AC562">
            <v>8</v>
          </cell>
          <cell r="AD562">
            <v>0</v>
          </cell>
        </row>
        <row r="563">
          <cell r="A563" t="str">
            <v>33.08.10002.00</v>
          </cell>
          <cell r="B563" t="str">
            <v>PERFIL / 33.08.10002.00</v>
          </cell>
          <cell r="C563">
            <v>46066</v>
          </cell>
          <cell r="D563" t="str">
            <v>-</v>
          </cell>
          <cell r="E563" t="str">
            <v>-</v>
          </cell>
          <cell r="F563" t="str">
            <v>-</v>
          </cell>
          <cell r="G563" t="str">
            <v>-</v>
          </cell>
          <cell r="H563" t="str">
            <v>-</v>
          </cell>
          <cell r="I563" t="str">
            <v>-</v>
          </cell>
          <cell r="J563">
            <v>0</v>
          </cell>
          <cell r="K563">
            <v>4</v>
          </cell>
          <cell r="L563" t="str">
            <v>ENTREGA TOTAL</v>
          </cell>
          <cell r="M563" t="str">
            <v>-</v>
          </cell>
          <cell r="N563" t="str">
            <v>OC'S METALFISA</v>
          </cell>
          <cell r="O563" t="str">
            <v>-</v>
          </cell>
          <cell r="Q563">
            <v>2</v>
          </cell>
          <cell r="S563">
            <v>2</v>
          </cell>
          <cell r="T563" t="str">
            <v>OC'S MAPHE</v>
          </cell>
          <cell r="U563">
            <v>4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2</v>
          </cell>
          <cell r="AA563">
            <v>2</v>
          </cell>
          <cell r="AB563">
            <v>0</v>
          </cell>
          <cell r="AC563">
            <v>2</v>
          </cell>
          <cell r="AD563">
            <v>0</v>
          </cell>
        </row>
        <row r="564">
          <cell r="A564" t="str">
            <v>33.08.10004.00</v>
          </cell>
          <cell r="B564" t="str">
            <v>PERFIL / 33.08.10004.00</v>
          </cell>
          <cell r="C564">
            <v>46062</v>
          </cell>
          <cell r="D564" t="str">
            <v>-</v>
          </cell>
          <cell r="E564" t="str">
            <v>-</v>
          </cell>
          <cell r="F564" t="str">
            <v>-</v>
          </cell>
          <cell r="G564" t="str">
            <v>-</v>
          </cell>
          <cell r="H564" t="str">
            <v>-</v>
          </cell>
          <cell r="I564" t="str">
            <v>-</v>
          </cell>
          <cell r="J564">
            <v>0</v>
          </cell>
          <cell r="K564" t="e">
            <v>#VALUE!</v>
          </cell>
          <cell r="L564" t="str">
            <v>ENTREGA TOTAL</v>
          </cell>
          <cell r="M564" t="str">
            <v>-</v>
          </cell>
          <cell r="N564" t="str">
            <v>OC'S METALFISA</v>
          </cell>
          <cell r="O564" t="str">
            <v>-</v>
          </cell>
          <cell r="Q564">
            <v>4</v>
          </cell>
          <cell r="S564">
            <v>4</v>
          </cell>
          <cell r="T564" t="str">
            <v>OC'S MAPHE</v>
          </cell>
          <cell r="U564">
            <v>8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4</v>
          </cell>
          <cell r="AA564">
            <v>4</v>
          </cell>
          <cell r="AB564" t="str">
            <v>0</v>
          </cell>
          <cell r="AC564" t="str">
            <v>-</v>
          </cell>
          <cell r="AD564" t="str">
            <v>-</v>
          </cell>
        </row>
        <row r="565">
          <cell r="A565" t="str">
            <v>33.08.10006.00</v>
          </cell>
          <cell r="B565" t="str">
            <v>PERFIL / 33.08.10006.00</v>
          </cell>
          <cell r="C565">
            <v>46066</v>
          </cell>
          <cell r="D565" t="str">
            <v>-</v>
          </cell>
          <cell r="E565" t="str">
            <v>-</v>
          </cell>
          <cell r="F565" t="str">
            <v>-</v>
          </cell>
          <cell r="G565" t="str">
            <v>-</v>
          </cell>
          <cell r="H565" t="str">
            <v>-</v>
          </cell>
          <cell r="I565" t="str">
            <v>-</v>
          </cell>
          <cell r="J565">
            <v>0</v>
          </cell>
          <cell r="K565">
            <v>4</v>
          </cell>
          <cell r="L565" t="str">
            <v>ENTREGA TOTAL</v>
          </cell>
          <cell r="M565" t="str">
            <v>-</v>
          </cell>
          <cell r="N565" t="str">
            <v>OC'S METALFISA</v>
          </cell>
          <cell r="O565" t="str">
            <v>-</v>
          </cell>
          <cell r="Q565">
            <v>2</v>
          </cell>
          <cell r="S565">
            <v>2</v>
          </cell>
          <cell r="T565" t="str">
            <v>OC'S MAPHE</v>
          </cell>
          <cell r="U565">
            <v>4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2</v>
          </cell>
          <cell r="AA565">
            <v>2</v>
          </cell>
          <cell r="AB565">
            <v>0</v>
          </cell>
          <cell r="AC565">
            <v>2</v>
          </cell>
          <cell r="AD565">
            <v>0</v>
          </cell>
        </row>
        <row r="566">
          <cell r="A566" t="str">
            <v>33.08.10008.00</v>
          </cell>
          <cell r="B566" t="str">
            <v>PERFIL / 33.08.10008.00</v>
          </cell>
          <cell r="C566">
            <v>46066</v>
          </cell>
          <cell r="D566" t="str">
            <v>-</v>
          </cell>
          <cell r="E566" t="str">
            <v>-</v>
          </cell>
          <cell r="F566" t="str">
            <v>-</v>
          </cell>
          <cell r="G566" t="str">
            <v>-</v>
          </cell>
          <cell r="H566" t="str">
            <v>-</v>
          </cell>
          <cell r="I566" t="str">
            <v>-</v>
          </cell>
          <cell r="J566">
            <v>0</v>
          </cell>
          <cell r="K566">
            <v>8</v>
          </cell>
          <cell r="L566" t="str">
            <v>ENTREGA TOTAL</v>
          </cell>
          <cell r="M566" t="str">
            <v>-</v>
          </cell>
          <cell r="N566" t="str">
            <v>OC'S METALFISA</v>
          </cell>
          <cell r="O566" t="str">
            <v>-</v>
          </cell>
          <cell r="Q566">
            <v>4</v>
          </cell>
          <cell r="S566">
            <v>4</v>
          </cell>
          <cell r="T566" t="str">
            <v>OC'S MAPHE</v>
          </cell>
          <cell r="U566">
            <v>8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4</v>
          </cell>
          <cell r="AA566">
            <v>4</v>
          </cell>
          <cell r="AB566">
            <v>0</v>
          </cell>
          <cell r="AC566">
            <v>4</v>
          </cell>
          <cell r="AD566">
            <v>0</v>
          </cell>
        </row>
        <row r="567">
          <cell r="A567" t="str">
            <v>33.08.10014.00</v>
          </cell>
          <cell r="B567" t="str">
            <v>REFORCO DO PERFIL / 33.08.10014.00</v>
          </cell>
          <cell r="C567">
            <v>46066</v>
          </cell>
          <cell r="D567" t="str">
            <v>-</v>
          </cell>
          <cell r="E567" t="str">
            <v>-</v>
          </cell>
          <cell r="F567" t="str">
            <v>-</v>
          </cell>
          <cell r="G567" t="str">
            <v>-</v>
          </cell>
          <cell r="H567" t="str">
            <v>-</v>
          </cell>
          <cell r="I567" t="str">
            <v>-</v>
          </cell>
          <cell r="J567">
            <v>0</v>
          </cell>
          <cell r="K567">
            <v>24</v>
          </cell>
          <cell r="L567" t="str">
            <v>ENTREGA TOTAL</v>
          </cell>
          <cell r="M567" t="str">
            <v>-</v>
          </cell>
          <cell r="N567" t="str">
            <v>OC'S METALFISA</v>
          </cell>
          <cell r="O567" t="str">
            <v>-</v>
          </cell>
          <cell r="Q567">
            <v>12</v>
          </cell>
          <cell r="S567">
            <v>12</v>
          </cell>
          <cell r="T567" t="str">
            <v>OC'S MAPHE</v>
          </cell>
          <cell r="U567">
            <v>24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12</v>
          </cell>
          <cell r="AA567">
            <v>12</v>
          </cell>
          <cell r="AB567">
            <v>0</v>
          </cell>
          <cell r="AC567">
            <v>12</v>
          </cell>
          <cell r="AD567">
            <v>0</v>
          </cell>
        </row>
        <row r="568">
          <cell r="A568" t="str">
            <v>33.08.10015.00</v>
          </cell>
          <cell r="B568" t="str">
            <v>BASE PARA PE NIVELADOR / 33.08.10015.00</v>
          </cell>
          <cell r="C568">
            <v>46066</v>
          </cell>
          <cell r="D568" t="str">
            <v>-</v>
          </cell>
          <cell r="E568" t="str">
            <v>-</v>
          </cell>
          <cell r="F568" t="str">
            <v>-</v>
          </cell>
          <cell r="G568" t="str">
            <v>-</v>
          </cell>
          <cell r="H568" t="str">
            <v>-</v>
          </cell>
          <cell r="I568" t="str">
            <v>-</v>
          </cell>
          <cell r="J568">
            <v>0</v>
          </cell>
          <cell r="K568">
            <v>73</v>
          </cell>
          <cell r="L568" t="str">
            <v>ENTREGA TOTAL</v>
          </cell>
          <cell r="M568" t="str">
            <v>-</v>
          </cell>
          <cell r="N568" t="str">
            <v>OC'S METALFISA</v>
          </cell>
          <cell r="O568" t="str">
            <v>-</v>
          </cell>
          <cell r="Q568">
            <v>64</v>
          </cell>
          <cell r="S568">
            <v>8</v>
          </cell>
          <cell r="T568" t="str">
            <v>OC'S MAPHE</v>
          </cell>
          <cell r="U568">
            <v>72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63</v>
          </cell>
          <cell r="AA568">
            <v>63</v>
          </cell>
          <cell r="AB568">
            <v>0</v>
          </cell>
          <cell r="AC568">
            <v>64</v>
          </cell>
          <cell r="AD568">
            <v>1</v>
          </cell>
        </row>
        <row r="569">
          <cell r="A569" t="str">
            <v>33.08.10017.00</v>
          </cell>
          <cell r="B569" t="str">
            <v>CHAPA APOIO ELETRICA / 33.08.10017.00</v>
          </cell>
          <cell r="D569" t="str">
            <v>-</v>
          </cell>
          <cell r="E569" t="str">
            <v>-</v>
          </cell>
          <cell r="F569" t="str">
            <v>-</v>
          </cell>
          <cell r="G569" t="str">
            <v>-</v>
          </cell>
          <cell r="H569" t="str">
            <v>-</v>
          </cell>
          <cell r="I569" t="str">
            <v>-</v>
          </cell>
          <cell r="J569">
            <v>0</v>
          </cell>
          <cell r="K569">
            <v>2</v>
          </cell>
          <cell r="L569" t="str">
            <v>FALTA ENTREGA</v>
          </cell>
          <cell r="M569" t="str">
            <v>-</v>
          </cell>
          <cell r="N569" t="str">
            <v>OC'S METALFISA</v>
          </cell>
          <cell r="O569" t="str">
            <v>-</v>
          </cell>
          <cell r="Q569">
            <v>4</v>
          </cell>
          <cell r="S569">
            <v>2</v>
          </cell>
          <cell r="T569" t="str">
            <v>OC'S MAPHE</v>
          </cell>
          <cell r="U569">
            <v>6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4</v>
          </cell>
          <cell r="AA569">
            <v>4</v>
          </cell>
          <cell r="AB569">
            <v>0</v>
          </cell>
          <cell r="AC569">
            <v>0</v>
          </cell>
          <cell r="AD569">
            <v>-4</v>
          </cell>
        </row>
        <row r="570">
          <cell r="A570" t="str">
            <v>33.08.10019.02</v>
          </cell>
          <cell r="B570" t="str">
            <v>CHAPA FECHAMENTO FUNDO / 33.08.10019.02</v>
          </cell>
          <cell r="D570" t="str">
            <v>-</v>
          </cell>
          <cell r="E570" t="str">
            <v>-</v>
          </cell>
          <cell r="F570" t="str">
            <v>-</v>
          </cell>
          <cell r="G570" t="str">
            <v>-</v>
          </cell>
          <cell r="H570" t="str">
            <v>-</v>
          </cell>
          <cell r="I570" t="str">
            <v>-</v>
          </cell>
          <cell r="J570">
            <v>0</v>
          </cell>
          <cell r="K570">
            <v>2</v>
          </cell>
          <cell r="L570" t="str">
            <v>FALTA ENTREGA</v>
          </cell>
          <cell r="M570" t="str">
            <v>-</v>
          </cell>
          <cell r="N570" t="str">
            <v>OC'S METALFISA</v>
          </cell>
          <cell r="O570" t="str">
            <v>-</v>
          </cell>
          <cell r="Q570">
            <v>1</v>
          </cell>
          <cell r="S570">
            <v>2</v>
          </cell>
          <cell r="T570" t="str">
            <v>OC'S MAPHE</v>
          </cell>
          <cell r="U570">
            <v>3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1</v>
          </cell>
          <cell r="AA570">
            <v>1</v>
          </cell>
          <cell r="AB570">
            <v>0</v>
          </cell>
          <cell r="AC570">
            <v>0</v>
          </cell>
          <cell r="AD570">
            <v>-1</v>
          </cell>
        </row>
        <row r="571">
          <cell r="A571" t="str">
            <v>33.08.10024.00</v>
          </cell>
          <cell r="B571" t="str">
            <v>CHAPA FECHAMENTO FUNDO / 33.08.10024.00</v>
          </cell>
          <cell r="C571">
            <v>46074</v>
          </cell>
          <cell r="D571" t="str">
            <v>-</v>
          </cell>
          <cell r="E571" t="str">
            <v>-</v>
          </cell>
          <cell r="F571" t="str">
            <v>-</v>
          </cell>
          <cell r="G571" t="str">
            <v>-</v>
          </cell>
          <cell r="H571" t="str">
            <v>-</v>
          </cell>
          <cell r="I571" t="str">
            <v>-</v>
          </cell>
          <cell r="J571">
            <v>0</v>
          </cell>
          <cell r="K571">
            <v>3</v>
          </cell>
          <cell r="L571" t="str">
            <v>ENTREGA PARCIAL</v>
          </cell>
          <cell r="M571" t="str">
            <v>-</v>
          </cell>
          <cell r="N571" t="str">
            <v>OC'S METALFISA</v>
          </cell>
          <cell r="O571" t="str">
            <v>-</v>
          </cell>
          <cell r="Q571">
            <v>4</v>
          </cell>
          <cell r="S571" t="str">
            <v>-</v>
          </cell>
          <cell r="U571">
            <v>4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2</v>
          </cell>
          <cell r="AA571">
            <v>2</v>
          </cell>
          <cell r="AB571">
            <v>0</v>
          </cell>
          <cell r="AC571">
            <v>1</v>
          </cell>
          <cell r="AD571">
            <v>-1</v>
          </cell>
        </row>
        <row r="572">
          <cell r="A572" t="str">
            <v>33.08.10026.00</v>
          </cell>
          <cell r="B572" t="str">
            <v>MONTAGEM COLUNA / 33.08.10026.00</v>
          </cell>
          <cell r="C572">
            <v>46074</v>
          </cell>
          <cell r="D572" t="str">
            <v>-</v>
          </cell>
          <cell r="E572" t="str">
            <v>-</v>
          </cell>
          <cell r="F572" t="str">
            <v>-</v>
          </cell>
          <cell r="G572" t="str">
            <v>-</v>
          </cell>
          <cell r="H572" t="str">
            <v>-</v>
          </cell>
          <cell r="I572" t="str">
            <v>-</v>
          </cell>
          <cell r="J572">
            <v>0</v>
          </cell>
          <cell r="K572">
            <v>24</v>
          </cell>
          <cell r="L572" t="str">
            <v>ENTREGA TOTAL</v>
          </cell>
          <cell r="M572" t="str">
            <v>-</v>
          </cell>
          <cell r="N572" t="str">
            <v>OC'S METALFISA</v>
          </cell>
          <cell r="O572" t="str">
            <v>-</v>
          </cell>
          <cell r="Q572">
            <v>12</v>
          </cell>
          <cell r="S572">
            <v>12</v>
          </cell>
          <cell r="T572" t="str">
            <v>OC'S MAPHE</v>
          </cell>
          <cell r="U572">
            <v>24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12</v>
          </cell>
          <cell r="AA572">
            <v>12</v>
          </cell>
          <cell r="AB572">
            <v>0</v>
          </cell>
          <cell r="AC572">
            <v>12</v>
          </cell>
          <cell r="AD572">
            <v>0</v>
          </cell>
        </row>
        <row r="573">
          <cell r="A573" t="str">
            <v>33.08.10029.00</v>
          </cell>
          <cell r="B573" t="str">
            <v>MONTAGEM COLUNA / 33.08.10029.00</v>
          </cell>
          <cell r="C573">
            <v>46074</v>
          </cell>
          <cell r="D573" t="str">
            <v>-</v>
          </cell>
          <cell r="E573" t="str">
            <v>-</v>
          </cell>
          <cell r="F573" t="str">
            <v>-</v>
          </cell>
          <cell r="G573" t="str">
            <v>-</v>
          </cell>
          <cell r="H573" t="str">
            <v>-</v>
          </cell>
          <cell r="I573" t="str">
            <v>-</v>
          </cell>
          <cell r="J573">
            <v>0</v>
          </cell>
          <cell r="K573">
            <v>8</v>
          </cell>
          <cell r="L573" t="str">
            <v>ENTREGA TOTAL</v>
          </cell>
          <cell r="M573" t="str">
            <v>-</v>
          </cell>
          <cell r="N573" t="str">
            <v>OC'S METALFISA</v>
          </cell>
          <cell r="O573" t="str">
            <v>-</v>
          </cell>
          <cell r="Q573">
            <v>4</v>
          </cell>
          <cell r="S573">
            <v>4</v>
          </cell>
          <cell r="T573" t="str">
            <v>OC'S MAPHE</v>
          </cell>
          <cell r="U573">
            <v>8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4</v>
          </cell>
          <cell r="AA573">
            <v>4</v>
          </cell>
          <cell r="AB573">
            <v>0</v>
          </cell>
          <cell r="AC573">
            <v>4</v>
          </cell>
          <cell r="AD573">
            <v>0</v>
          </cell>
        </row>
        <row r="574">
          <cell r="A574" t="str">
            <v>33.08.10031.00</v>
          </cell>
          <cell r="B574" t="str">
            <v>COLUNA / 33.08.10031.00</v>
          </cell>
          <cell r="C574">
            <v>46066</v>
          </cell>
          <cell r="D574" t="str">
            <v>-</v>
          </cell>
          <cell r="E574" t="str">
            <v>-</v>
          </cell>
          <cell r="F574" t="str">
            <v>-</v>
          </cell>
          <cell r="G574" t="str">
            <v>-</v>
          </cell>
          <cell r="H574" t="str">
            <v>-</v>
          </cell>
          <cell r="I574" t="str">
            <v>-</v>
          </cell>
          <cell r="J574">
            <v>0</v>
          </cell>
          <cell r="K574">
            <v>8</v>
          </cell>
          <cell r="L574" t="str">
            <v>ENTREGA TOTAL</v>
          </cell>
          <cell r="M574" t="str">
            <v>-</v>
          </cell>
          <cell r="N574" t="str">
            <v>OC'S METALFISA</v>
          </cell>
          <cell r="O574" t="str">
            <v>-</v>
          </cell>
          <cell r="Q574">
            <v>4</v>
          </cell>
          <cell r="S574">
            <v>4</v>
          </cell>
          <cell r="T574" t="str">
            <v>OC'S MAPHE</v>
          </cell>
          <cell r="U574">
            <v>8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4</v>
          </cell>
          <cell r="AA574">
            <v>4</v>
          </cell>
          <cell r="AB574">
            <v>0</v>
          </cell>
          <cell r="AC574">
            <v>4</v>
          </cell>
          <cell r="AD574">
            <v>0</v>
          </cell>
        </row>
        <row r="575">
          <cell r="A575" t="str">
            <v>33.08.10038.00</v>
          </cell>
          <cell r="B575" t="str">
            <v>TRAVE INFERIOR / 33.08.10038.00</v>
          </cell>
          <cell r="C575">
            <v>46066</v>
          </cell>
          <cell r="D575" t="str">
            <v>-</v>
          </cell>
          <cell r="E575" t="str">
            <v>-</v>
          </cell>
          <cell r="F575" t="str">
            <v>-</v>
          </cell>
          <cell r="G575" t="str">
            <v>-</v>
          </cell>
          <cell r="H575" t="str">
            <v>-</v>
          </cell>
          <cell r="I575" t="str">
            <v>-</v>
          </cell>
          <cell r="J575">
            <v>0</v>
          </cell>
          <cell r="K575">
            <v>6</v>
          </cell>
          <cell r="L575" t="str">
            <v>ENTREGA PARCIAL</v>
          </cell>
          <cell r="M575" t="str">
            <v>-</v>
          </cell>
          <cell r="N575" t="str">
            <v>OC'S METALFISA</v>
          </cell>
          <cell r="O575" t="str">
            <v>-</v>
          </cell>
          <cell r="Q575">
            <v>4</v>
          </cell>
          <cell r="S575">
            <v>6</v>
          </cell>
          <cell r="T575" t="str">
            <v>OC'S MAPHE</v>
          </cell>
          <cell r="U575">
            <v>10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8</v>
          </cell>
          <cell r="AA575">
            <v>8</v>
          </cell>
          <cell r="AB575">
            <v>0</v>
          </cell>
          <cell r="AC575">
            <v>4</v>
          </cell>
          <cell r="AD575">
            <v>-4</v>
          </cell>
        </row>
        <row r="576">
          <cell r="A576" t="str">
            <v>33.08.10040.00</v>
          </cell>
          <cell r="B576" t="str">
            <v>TRAVE INFERIOR / 33.08.10040.00</v>
          </cell>
          <cell r="C576">
            <v>46066</v>
          </cell>
          <cell r="D576" t="str">
            <v>-</v>
          </cell>
          <cell r="E576" t="str">
            <v>-</v>
          </cell>
          <cell r="F576" t="str">
            <v>-</v>
          </cell>
          <cell r="G576" t="str">
            <v>-</v>
          </cell>
          <cell r="H576" t="str">
            <v>-</v>
          </cell>
          <cell r="I576" t="str">
            <v>-</v>
          </cell>
          <cell r="J576">
            <v>0</v>
          </cell>
          <cell r="K576">
            <v>8</v>
          </cell>
          <cell r="L576" t="str">
            <v>ENTREGA PARCIAL</v>
          </cell>
          <cell r="M576" t="str">
            <v>-</v>
          </cell>
          <cell r="N576" t="str">
            <v>OC'S METALFISA</v>
          </cell>
          <cell r="O576" t="str">
            <v>-</v>
          </cell>
          <cell r="Q576">
            <v>7</v>
          </cell>
          <cell r="S576">
            <v>4</v>
          </cell>
          <cell r="T576" t="str">
            <v>OC'S MAPHE</v>
          </cell>
          <cell r="U576">
            <v>11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7</v>
          </cell>
          <cell r="AA576">
            <v>7</v>
          </cell>
          <cell r="AB576">
            <v>0</v>
          </cell>
          <cell r="AC576">
            <v>4</v>
          </cell>
          <cell r="AD576">
            <v>-3</v>
          </cell>
        </row>
        <row r="577">
          <cell r="A577" t="str">
            <v>33.08.10042.00</v>
          </cell>
          <cell r="B577" t="str">
            <v>LONGARINA TUNEL / 33.08.10042.00</v>
          </cell>
          <cell r="C577">
            <v>46062</v>
          </cell>
          <cell r="D577" t="str">
            <v>-</v>
          </cell>
          <cell r="E577" t="str">
            <v>-</v>
          </cell>
          <cell r="F577" t="str">
            <v>-</v>
          </cell>
          <cell r="G577" t="str">
            <v>-</v>
          </cell>
          <cell r="H577" t="str">
            <v>-</v>
          </cell>
          <cell r="I577" t="str">
            <v>-</v>
          </cell>
          <cell r="J577">
            <v>0</v>
          </cell>
          <cell r="K577">
            <v>3</v>
          </cell>
          <cell r="L577" t="str">
            <v>ENTREGA PARCIAL</v>
          </cell>
          <cell r="M577" t="str">
            <v>-</v>
          </cell>
          <cell r="N577" t="str">
            <v>OC'S METALFISA</v>
          </cell>
          <cell r="O577" t="str">
            <v>-</v>
          </cell>
          <cell r="Q577">
            <v>2</v>
          </cell>
          <cell r="S577">
            <v>2</v>
          </cell>
          <cell r="T577" t="str">
            <v>OC'S MAPHE</v>
          </cell>
          <cell r="U577">
            <v>4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3</v>
          </cell>
          <cell r="AA577">
            <v>3</v>
          </cell>
          <cell r="AB577">
            <v>0</v>
          </cell>
          <cell r="AC577">
            <v>2</v>
          </cell>
          <cell r="AD577">
            <v>-1</v>
          </cell>
        </row>
        <row r="578">
          <cell r="A578" t="str">
            <v>33.08.10045.00</v>
          </cell>
          <cell r="B578" t="str">
            <v>LONGARINA TUNEL / 33.08.10045.00</v>
          </cell>
          <cell r="C578">
            <v>46066</v>
          </cell>
          <cell r="D578" t="str">
            <v>-</v>
          </cell>
          <cell r="E578" t="str">
            <v>-</v>
          </cell>
          <cell r="F578" t="str">
            <v>-</v>
          </cell>
          <cell r="G578" t="str">
            <v>-</v>
          </cell>
          <cell r="H578" t="str">
            <v>-</v>
          </cell>
          <cell r="I578" t="str">
            <v>-</v>
          </cell>
          <cell r="J578">
            <v>0</v>
          </cell>
          <cell r="K578">
            <v>1</v>
          </cell>
          <cell r="L578" t="str">
            <v>ENTREGA PARCIAL</v>
          </cell>
          <cell r="M578" t="str">
            <v>-</v>
          </cell>
          <cell r="N578" t="str">
            <v>OC'S METALFISA</v>
          </cell>
          <cell r="O578" t="str">
            <v>-</v>
          </cell>
          <cell r="Q578">
            <v>2</v>
          </cell>
          <cell r="S578">
            <v>2</v>
          </cell>
          <cell r="T578" t="str">
            <v>OC'S MAPHE</v>
          </cell>
          <cell r="U578">
            <v>4</v>
          </cell>
          <cell r="V578">
            <v>0</v>
          </cell>
          <cell r="W578">
            <v>1</v>
          </cell>
          <cell r="X578">
            <v>0</v>
          </cell>
          <cell r="Y578">
            <v>0</v>
          </cell>
          <cell r="Z578">
            <v>4</v>
          </cell>
          <cell r="AA578">
            <v>5</v>
          </cell>
          <cell r="AB578">
            <v>0</v>
          </cell>
          <cell r="AC578">
            <v>2</v>
          </cell>
          <cell r="AD578">
            <v>-3</v>
          </cell>
        </row>
        <row r="579">
          <cell r="A579" t="str">
            <v>33.08.10047.00</v>
          </cell>
          <cell r="B579" t="str">
            <v>LONGARINA TUNEL / 33.08.10047.00</v>
          </cell>
          <cell r="C579">
            <v>46062</v>
          </cell>
          <cell r="D579" t="str">
            <v>-</v>
          </cell>
          <cell r="E579" t="str">
            <v>-</v>
          </cell>
          <cell r="F579" t="str">
            <v>-</v>
          </cell>
          <cell r="G579" t="str">
            <v>-</v>
          </cell>
          <cell r="H579" t="str">
            <v>-</v>
          </cell>
          <cell r="I579" t="str">
            <v>-</v>
          </cell>
          <cell r="J579">
            <v>0</v>
          </cell>
          <cell r="K579">
            <v>3</v>
          </cell>
          <cell r="L579" t="str">
            <v>ENTREGA PARCIAL</v>
          </cell>
          <cell r="M579" t="str">
            <v>-</v>
          </cell>
          <cell r="N579" t="str">
            <v>OC'S METALFISA</v>
          </cell>
          <cell r="O579" t="str">
            <v>-</v>
          </cell>
          <cell r="Q579">
            <v>2</v>
          </cell>
          <cell r="S579">
            <v>2</v>
          </cell>
          <cell r="T579" t="str">
            <v>OC'S MAPHE</v>
          </cell>
          <cell r="U579">
            <v>4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3</v>
          </cell>
          <cell r="AA579">
            <v>3</v>
          </cell>
          <cell r="AB579">
            <v>0</v>
          </cell>
          <cell r="AC579">
            <v>2</v>
          </cell>
          <cell r="AD579">
            <v>-1</v>
          </cell>
        </row>
        <row r="580">
          <cell r="A580" t="str">
            <v>33.08.10049.00</v>
          </cell>
          <cell r="B580" t="str">
            <v>MAO FRANCESA COLUNAS / 33.08.10049.00</v>
          </cell>
          <cell r="C580">
            <v>46066</v>
          </cell>
          <cell r="D580" t="str">
            <v>-</v>
          </cell>
          <cell r="E580" t="str">
            <v>-</v>
          </cell>
          <cell r="F580" t="str">
            <v>-</v>
          </cell>
          <cell r="G580" t="str">
            <v>-</v>
          </cell>
          <cell r="H580" t="str">
            <v>-</v>
          </cell>
          <cell r="I580" t="str">
            <v>-</v>
          </cell>
          <cell r="J580">
            <v>0</v>
          </cell>
          <cell r="K580">
            <v>15</v>
          </cell>
          <cell r="L580" t="str">
            <v>ENTREGA PARCIAL</v>
          </cell>
          <cell r="M580" t="str">
            <v>-</v>
          </cell>
          <cell r="N580" t="str">
            <v>OC'S METALFISA</v>
          </cell>
          <cell r="O580" t="str">
            <v>-</v>
          </cell>
          <cell r="Q580">
            <v>8</v>
          </cell>
          <cell r="S580">
            <v>8</v>
          </cell>
          <cell r="T580" t="str">
            <v>OC'S MAPHE</v>
          </cell>
          <cell r="U580">
            <v>16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9</v>
          </cell>
          <cell r="AA580">
            <v>9</v>
          </cell>
          <cell r="AB580">
            <v>0</v>
          </cell>
          <cell r="AC580">
            <v>8</v>
          </cell>
          <cell r="AD580">
            <v>-1</v>
          </cell>
        </row>
        <row r="581">
          <cell r="A581" t="str">
            <v>33.08.10050.00</v>
          </cell>
          <cell r="B581" t="str">
            <v>PERFIL / 33.08.10050.00</v>
          </cell>
          <cell r="C581">
            <v>46074</v>
          </cell>
          <cell r="D581" t="str">
            <v>-</v>
          </cell>
          <cell r="E581" t="str">
            <v>-</v>
          </cell>
          <cell r="F581" t="str">
            <v>-</v>
          </cell>
          <cell r="G581" t="str">
            <v>-</v>
          </cell>
          <cell r="H581" t="str">
            <v>-</v>
          </cell>
          <cell r="I581" t="str">
            <v>-</v>
          </cell>
          <cell r="J581">
            <v>0</v>
          </cell>
          <cell r="K581">
            <v>4</v>
          </cell>
          <cell r="L581" t="str">
            <v>ENTREGA PARCIAL</v>
          </cell>
          <cell r="M581" t="str">
            <v>-</v>
          </cell>
          <cell r="N581" t="str">
            <v>OC'S METALFISA</v>
          </cell>
          <cell r="O581" t="str">
            <v>-</v>
          </cell>
          <cell r="Q581">
            <v>5</v>
          </cell>
          <cell r="S581">
            <v>2</v>
          </cell>
          <cell r="T581" t="str">
            <v>OC'S MAPHE</v>
          </cell>
          <cell r="U581">
            <v>7</v>
          </cell>
          <cell r="V581">
            <v>0</v>
          </cell>
          <cell r="W581">
            <v>1</v>
          </cell>
          <cell r="X581">
            <v>0</v>
          </cell>
          <cell r="Y581">
            <v>0</v>
          </cell>
          <cell r="Z581">
            <v>4</v>
          </cell>
          <cell r="AA581">
            <v>5</v>
          </cell>
          <cell r="AB581">
            <v>0</v>
          </cell>
          <cell r="AC581">
            <v>2</v>
          </cell>
          <cell r="AD581">
            <v>-3</v>
          </cell>
        </row>
        <row r="582">
          <cell r="A582" t="str">
            <v>33.08.10057.00</v>
          </cell>
          <cell r="B582" t="str">
            <v>PERFIL TRAVAMENTO / 33.08.10057.00</v>
          </cell>
          <cell r="C582">
            <v>46066</v>
          </cell>
          <cell r="D582" t="str">
            <v>-</v>
          </cell>
          <cell r="E582" t="str">
            <v>-</v>
          </cell>
          <cell r="F582" t="str">
            <v>-</v>
          </cell>
          <cell r="G582" t="str">
            <v>-</v>
          </cell>
          <cell r="H582" t="str">
            <v>-</v>
          </cell>
          <cell r="I582" t="str">
            <v>-</v>
          </cell>
          <cell r="J582">
            <v>0</v>
          </cell>
          <cell r="K582">
            <v>8</v>
          </cell>
          <cell r="L582" t="str">
            <v>ENTREGA PARCIAL</v>
          </cell>
          <cell r="M582" t="str">
            <v>-</v>
          </cell>
          <cell r="N582" t="str">
            <v>OC'S METALFISA</v>
          </cell>
          <cell r="O582" t="str">
            <v>-</v>
          </cell>
          <cell r="Q582">
            <v>12</v>
          </cell>
          <cell r="S582">
            <v>4</v>
          </cell>
          <cell r="T582" t="str">
            <v>OC'S MAPHE</v>
          </cell>
          <cell r="U582">
            <v>16</v>
          </cell>
          <cell r="V582">
            <v>0</v>
          </cell>
          <cell r="W582">
            <v>4</v>
          </cell>
          <cell r="X582">
            <v>0</v>
          </cell>
          <cell r="Y582">
            <v>0</v>
          </cell>
          <cell r="Z582">
            <v>8</v>
          </cell>
          <cell r="AA582">
            <v>12</v>
          </cell>
          <cell r="AB582">
            <v>0</v>
          </cell>
          <cell r="AC582">
            <v>4</v>
          </cell>
          <cell r="AD582">
            <v>-8</v>
          </cell>
        </row>
        <row r="583">
          <cell r="A583" t="str">
            <v>33.08.10058.00</v>
          </cell>
          <cell r="B583" t="str">
            <v>PERFIL REFORCO BASE / 33.08.10058.00</v>
          </cell>
          <cell r="C583">
            <v>46066</v>
          </cell>
          <cell r="D583" t="str">
            <v>-</v>
          </cell>
          <cell r="E583" t="str">
            <v>-</v>
          </cell>
          <cell r="F583" t="str">
            <v>-</v>
          </cell>
          <cell r="G583" t="str">
            <v>-</v>
          </cell>
          <cell r="H583" t="str">
            <v>-</v>
          </cell>
          <cell r="I583" t="str">
            <v>-</v>
          </cell>
          <cell r="J583">
            <v>0</v>
          </cell>
          <cell r="K583">
            <v>12</v>
          </cell>
          <cell r="L583" t="str">
            <v>ENTREGA PARCIAL</v>
          </cell>
          <cell r="M583" t="str">
            <v>-</v>
          </cell>
          <cell r="N583" t="str">
            <v>OC'S METALFISA</v>
          </cell>
          <cell r="O583" t="str">
            <v>-</v>
          </cell>
          <cell r="Q583">
            <v>8</v>
          </cell>
          <cell r="S583">
            <v>8</v>
          </cell>
          <cell r="T583" t="str">
            <v>OC'S MAPHE</v>
          </cell>
          <cell r="U583">
            <v>16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8</v>
          </cell>
          <cell r="AA583">
            <v>8</v>
          </cell>
          <cell r="AB583">
            <v>0</v>
          </cell>
          <cell r="AC583">
            <v>4</v>
          </cell>
          <cell r="AD583">
            <v>-4</v>
          </cell>
        </row>
        <row r="584">
          <cell r="A584" t="str">
            <v>33.08.10059.01</v>
          </cell>
          <cell r="B584" t="str">
            <v>PERFIL / 33.08.10059.01</v>
          </cell>
          <cell r="C584">
            <v>46062</v>
          </cell>
          <cell r="D584" t="str">
            <v>-</v>
          </cell>
          <cell r="E584" t="str">
            <v>-</v>
          </cell>
          <cell r="F584" t="str">
            <v>-</v>
          </cell>
          <cell r="G584" t="str">
            <v>-</v>
          </cell>
          <cell r="H584" t="str">
            <v>-</v>
          </cell>
          <cell r="I584" t="str">
            <v>-</v>
          </cell>
          <cell r="J584">
            <v>0</v>
          </cell>
          <cell r="K584">
            <v>12</v>
          </cell>
          <cell r="L584" t="str">
            <v>ENTREGA TOTAL</v>
          </cell>
          <cell r="M584" t="str">
            <v>-</v>
          </cell>
          <cell r="N584" t="str">
            <v>OC'S METALFISA</v>
          </cell>
          <cell r="O584" t="str">
            <v>-</v>
          </cell>
          <cell r="Q584">
            <v>6</v>
          </cell>
          <cell r="S584">
            <v>6</v>
          </cell>
          <cell r="T584" t="str">
            <v>OC'S MAPHE</v>
          </cell>
          <cell r="U584">
            <v>12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6</v>
          </cell>
          <cell r="AA584">
            <v>6</v>
          </cell>
          <cell r="AB584">
            <v>0</v>
          </cell>
          <cell r="AC584">
            <v>6</v>
          </cell>
          <cell r="AD584">
            <v>0</v>
          </cell>
        </row>
        <row r="585">
          <cell r="A585" t="str">
            <v>33.08.10062.00</v>
          </cell>
          <cell r="B585" t="str">
            <v>TETO DO TUNEL / 33.08.10062.00</v>
          </cell>
          <cell r="D585" t="str">
            <v>-</v>
          </cell>
          <cell r="E585" t="str">
            <v>-</v>
          </cell>
          <cell r="F585" t="str">
            <v>-</v>
          </cell>
          <cell r="G585" t="str">
            <v>-</v>
          </cell>
          <cell r="H585" t="str">
            <v>-</v>
          </cell>
          <cell r="I585" t="str">
            <v>-</v>
          </cell>
          <cell r="J585">
            <v>0</v>
          </cell>
          <cell r="K585">
            <v>2</v>
          </cell>
          <cell r="L585" t="str">
            <v>FALTA ENTREGA</v>
          </cell>
          <cell r="M585" t="str">
            <v>-</v>
          </cell>
          <cell r="N585" t="str">
            <v>OC'S METALFISA</v>
          </cell>
          <cell r="O585" t="str">
            <v>-</v>
          </cell>
          <cell r="Q585" t="str">
            <v>-</v>
          </cell>
          <cell r="S585">
            <v>4</v>
          </cell>
          <cell r="T585" t="str">
            <v>OC'S MAPHE</v>
          </cell>
          <cell r="U585">
            <v>4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2</v>
          </cell>
          <cell r="AA585">
            <v>2</v>
          </cell>
          <cell r="AB585">
            <v>0</v>
          </cell>
          <cell r="AC585">
            <v>0</v>
          </cell>
          <cell r="AD585">
            <v>-2</v>
          </cell>
        </row>
        <row r="586">
          <cell r="A586" t="str">
            <v>33.08.10063.00</v>
          </cell>
          <cell r="B586" t="str">
            <v>LATERAL DO TUNEL / 33.08.10063.00</v>
          </cell>
          <cell r="D586" t="str">
            <v>-</v>
          </cell>
          <cell r="E586" t="str">
            <v>-</v>
          </cell>
          <cell r="F586" t="str">
            <v>-</v>
          </cell>
          <cell r="G586" t="str">
            <v>-</v>
          </cell>
          <cell r="H586" t="str">
            <v>-</v>
          </cell>
          <cell r="I586" t="str">
            <v>-</v>
          </cell>
          <cell r="J586">
            <v>0</v>
          </cell>
          <cell r="K586">
            <v>4</v>
          </cell>
          <cell r="L586" t="str">
            <v>FALTA ENTREGA</v>
          </cell>
          <cell r="M586" t="str">
            <v>-</v>
          </cell>
          <cell r="N586" t="str">
            <v>OC'S METALFISA</v>
          </cell>
          <cell r="O586" t="str">
            <v>-</v>
          </cell>
          <cell r="Q586">
            <v>4</v>
          </cell>
          <cell r="S586">
            <v>4</v>
          </cell>
          <cell r="T586" t="str">
            <v>OC'S MAPHE</v>
          </cell>
          <cell r="U586">
            <v>8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4</v>
          </cell>
          <cell r="AA586">
            <v>4</v>
          </cell>
          <cell r="AB586">
            <v>0</v>
          </cell>
          <cell r="AC586">
            <v>0</v>
          </cell>
          <cell r="AD586">
            <v>-4</v>
          </cell>
        </row>
        <row r="587">
          <cell r="A587" t="str">
            <v>33.08.10064.00</v>
          </cell>
          <cell r="B587" t="str">
            <v>LATERAL DO TUNEL / 33.08.10064.00</v>
          </cell>
          <cell r="D587" t="str">
            <v>-</v>
          </cell>
          <cell r="E587" t="str">
            <v>-</v>
          </cell>
          <cell r="F587" t="str">
            <v>-</v>
          </cell>
          <cell r="G587" t="str">
            <v>-</v>
          </cell>
          <cell r="H587" t="str">
            <v>-</v>
          </cell>
          <cell r="I587" t="str">
            <v>-</v>
          </cell>
          <cell r="J587">
            <v>0</v>
          </cell>
          <cell r="K587">
            <v>3</v>
          </cell>
          <cell r="L587" t="str">
            <v>FALTA ENTREGA</v>
          </cell>
          <cell r="M587" t="str">
            <v>-</v>
          </cell>
          <cell r="N587" t="str">
            <v>OC'S METALFISA</v>
          </cell>
          <cell r="O587" t="str">
            <v>-</v>
          </cell>
          <cell r="Q587">
            <v>3</v>
          </cell>
          <cell r="S587">
            <v>4</v>
          </cell>
          <cell r="T587" t="str">
            <v>OC'S MAPHE</v>
          </cell>
          <cell r="U587">
            <v>7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4</v>
          </cell>
          <cell r="AA587">
            <v>4</v>
          </cell>
          <cell r="AB587">
            <v>0</v>
          </cell>
          <cell r="AC587">
            <v>0</v>
          </cell>
          <cell r="AD587">
            <v>-4</v>
          </cell>
        </row>
        <row r="588">
          <cell r="A588" t="str">
            <v>33.08.10066.00</v>
          </cell>
          <cell r="B588" t="str">
            <v>TETO DO TUNEL / 33.08.10066.00</v>
          </cell>
          <cell r="C588">
            <v>46066</v>
          </cell>
          <cell r="D588" t="str">
            <v>-</v>
          </cell>
          <cell r="E588" t="str">
            <v>-</v>
          </cell>
          <cell r="F588" t="str">
            <v>-</v>
          </cell>
          <cell r="G588" t="str">
            <v>-</v>
          </cell>
          <cell r="H588" t="str">
            <v>-</v>
          </cell>
          <cell r="I588" t="str">
            <v>-</v>
          </cell>
          <cell r="J588">
            <v>0</v>
          </cell>
          <cell r="K588">
            <v>4</v>
          </cell>
          <cell r="L588" t="str">
            <v>ENTREGA TOTAL</v>
          </cell>
          <cell r="M588" t="str">
            <v>-</v>
          </cell>
          <cell r="N588" t="str">
            <v>OC'S METALFISA</v>
          </cell>
          <cell r="O588" t="str">
            <v>-</v>
          </cell>
          <cell r="Q588">
            <v>2</v>
          </cell>
          <cell r="S588">
            <v>2</v>
          </cell>
          <cell r="T588" t="str">
            <v>OC'S MAPHE</v>
          </cell>
          <cell r="U588">
            <v>4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2</v>
          </cell>
          <cell r="AA588">
            <v>2</v>
          </cell>
          <cell r="AB588">
            <v>0</v>
          </cell>
          <cell r="AC588">
            <v>2</v>
          </cell>
          <cell r="AD588">
            <v>0</v>
          </cell>
        </row>
        <row r="589">
          <cell r="A589" t="str">
            <v>33.08.10068.00</v>
          </cell>
          <cell r="B589" t="str">
            <v>SUPORTE PARA CAIXA L / 33.08.10068.00</v>
          </cell>
          <cell r="C589">
            <v>46062</v>
          </cell>
          <cell r="D589" t="str">
            <v>-</v>
          </cell>
          <cell r="E589" t="str">
            <v>-</v>
          </cell>
          <cell r="F589" t="str">
            <v>-</v>
          </cell>
          <cell r="G589" t="str">
            <v>-</v>
          </cell>
          <cell r="H589" t="str">
            <v>-</v>
          </cell>
          <cell r="I589" t="str">
            <v>-</v>
          </cell>
          <cell r="J589">
            <v>0</v>
          </cell>
          <cell r="K589">
            <v>4</v>
          </cell>
          <cell r="L589" t="str">
            <v>ENTREGA PARCIAL</v>
          </cell>
          <cell r="M589" t="str">
            <v>-</v>
          </cell>
          <cell r="N589" t="str">
            <v>OC'S METALFISA</v>
          </cell>
          <cell r="O589" t="str">
            <v>-</v>
          </cell>
          <cell r="Q589">
            <v>6</v>
          </cell>
          <cell r="S589">
            <v>2</v>
          </cell>
          <cell r="T589" t="str">
            <v>OC'S MAPHE</v>
          </cell>
          <cell r="U589">
            <v>8</v>
          </cell>
          <cell r="V589">
            <v>0</v>
          </cell>
          <cell r="W589">
            <v>2</v>
          </cell>
          <cell r="X589">
            <v>0</v>
          </cell>
          <cell r="Y589">
            <v>0</v>
          </cell>
          <cell r="Z589">
            <v>4</v>
          </cell>
          <cell r="AA589">
            <v>6</v>
          </cell>
          <cell r="AB589">
            <v>0</v>
          </cell>
          <cell r="AC589">
            <v>2</v>
          </cell>
          <cell r="AD589">
            <v>-4</v>
          </cell>
        </row>
        <row r="590">
          <cell r="A590" t="str">
            <v>33.08.10070.00</v>
          </cell>
          <cell r="B590" t="str">
            <v>PERFIL / 33.08.10070.00</v>
          </cell>
          <cell r="D590" t="str">
            <v>-</v>
          </cell>
          <cell r="E590" t="str">
            <v>-</v>
          </cell>
          <cell r="F590" t="str">
            <v>-</v>
          </cell>
          <cell r="G590" t="str">
            <v>-</v>
          </cell>
          <cell r="H590" t="str">
            <v>-</v>
          </cell>
          <cell r="I590" t="str">
            <v>-</v>
          </cell>
          <cell r="J590">
            <v>0</v>
          </cell>
          <cell r="K590">
            <v>16</v>
          </cell>
          <cell r="L590" t="str">
            <v>FALTA ENTREGA</v>
          </cell>
          <cell r="M590" t="str">
            <v>-</v>
          </cell>
          <cell r="N590" t="str">
            <v>OC'S METALFISA</v>
          </cell>
          <cell r="O590" t="str">
            <v>-</v>
          </cell>
          <cell r="Q590">
            <v>16</v>
          </cell>
          <cell r="S590">
            <v>16</v>
          </cell>
          <cell r="T590" t="str">
            <v>OC'S MAPHE</v>
          </cell>
          <cell r="U590">
            <v>32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16</v>
          </cell>
          <cell r="AA590">
            <v>16</v>
          </cell>
          <cell r="AB590">
            <v>0</v>
          </cell>
          <cell r="AC590">
            <v>0</v>
          </cell>
          <cell r="AD590">
            <v>-16</v>
          </cell>
        </row>
        <row r="591">
          <cell r="A591" t="str">
            <v>33.08.10077.00</v>
          </cell>
          <cell r="B591" t="str">
            <v>CHAPA ISOLAMENTO INFERIOR / 33.08.10077.00</v>
          </cell>
          <cell r="C591">
            <v>46062</v>
          </cell>
          <cell r="D591" t="str">
            <v>-</v>
          </cell>
          <cell r="E591" t="str">
            <v>-</v>
          </cell>
          <cell r="F591" t="str">
            <v>-</v>
          </cell>
          <cell r="G591" t="str">
            <v>-</v>
          </cell>
          <cell r="H591" t="str">
            <v>-</v>
          </cell>
          <cell r="I591" t="str">
            <v>-</v>
          </cell>
          <cell r="J591">
            <v>0</v>
          </cell>
          <cell r="K591" t="e">
            <v>#VALUE!</v>
          </cell>
          <cell r="L591" t="str">
            <v>ENTREGA TOTAL</v>
          </cell>
          <cell r="M591" t="str">
            <v>-</v>
          </cell>
          <cell r="N591" t="str">
            <v>OC'S METALFISA</v>
          </cell>
          <cell r="O591" t="str">
            <v>-</v>
          </cell>
          <cell r="Q591">
            <v>2</v>
          </cell>
          <cell r="S591">
            <v>6</v>
          </cell>
          <cell r="T591" t="str">
            <v>OC'S MAPHE</v>
          </cell>
          <cell r="U591">
            <v>8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1</v>
          </cell>
          <cell r="AA591">
            <v>1</v>
          </cell>
          <cell r="AB591" t="str">
            <v>0</v>
          </cell>
          <cell r="AC591" t="str">
            <v>-</v>
          </cell>
          <cell r="AD591" t="str">
            <v>-</v>
          </cell>
        </row>
        <row r="592">
          <cell r="A592" t="str">
            <v>33.08.10081.00</v>
          </cell>
          <cell r="B592" t="str">
            <v>BANDEJA DA ESTEIRA / 33.08.10081.00</v>
          </cell>
          <cell r="C592">
            <v>46062</v>
          </cell>
          <cell r="D592" t="str">
            <v>-</v>
          </cell>
          <cell r="E592" t="str">
            <v>-</v>
          </cell>
          <cell r="F592" t="str">
            <v>-</v>
          </cell>
          <cell r="G592" t="str">
            <v>-</v>
          </cell>
          <cell r="H592" t="str">
            <v>-</v>
          </cell>
          <cell r="I592" t="str">
            <v>-</v>
          </cell>
          <cell r="J592">
            <v>0</v>
          </cell>
          <cell r="K592" t="e">
            <v>#VALUE!</v>
          </cell>
          <cell r="L592" t="str">
            <v>ENTREGA TOTAL</v>
          </cell>
          <cell r="M592" t="str">
            <v>-</v>
          </cell>
          <cell r="N592" t="str">
            <v>OC'S METALFISA</v>
          </cell>
          <cell r="O592" t="str">
            <v>-</v>
          </cell>
          <cell r="Q592">
            <v>6</v>
          </cell>
          <cell r="S592">
            <v>6</v>
          </cell>
          <cell r="T592" t="str">
            <v>OC'S MAPHE</v>
          </cell>
          <cell r="U592">
            <v>12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6</v>
          </cell>
          <cell r="AA592">
            <v>6</v>
          </cell>
          <cell r="AB592" t="str">
            <v>0</v>
          </cell>
          <cell r="AC592" t="str">
            <v>-</v>
          </cell>
          <cell r="AD592" t="str">
            <v>-</v>
          </cell>
        </row>
        <row r="593">
          <cell r="A593" t="str">
            <v>33.08.10082.00</v>
          </cell>
          <cell r="B593" t="str">
            <v>REFORCO BANDEJA DA ESTEIRA / 33.08.10082.00</v>
          </cell>
          <cell r="C593">
            <v>46062</v>
          </cell>
          <cell r="D593" t="str">
            <v>-</v>
          </cell>
          <cell r="E593" t="str">
            <v>-</v>
          </cell>
          <cell r="F593" t="str">
            <v>-</v>
          </cell>
          <cell r="G593" t="str">
            <v>-</v>
          </cell>
          <cell r="H593" t="str">
            <v>-</v>
          </cell>
          <cell r="I593" t="str">
            <v>-</v>
          </cell>
          <cell r="J593">
            <v>0</v>
          </cell>
          <cell r="K593">
            <v>24</v>
          </cell>
          <cell r="L593" t="str">
            <v>ENTREGA PARCIAL</v>
          </cell>
          <cell r="M593" t="str">
            <v>-</v>
          </cell>
          <cell r="N593" t="str">
            <v>OC'S METALFISA</v>
          </cell>
          <cell r="O593" t="str">
            <v>-</v>
          </cell>
          <cell r="Q593">
            <v>12</v>
          </cell>
          <cell r="S593">
            <v>14</v>
          </cell>
          <cell r="T593" t="str">
            <v>OC'S MAPHE</v>
          </cell>
          <cell r="U593">
            <v>26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14</v>
          </cell>
          <cell r="AA593">
            <v>14</v>
          </cell>
          <cell r="AB593">
            <v>0</v>
          </cell>
          <cell r="AC593">
            <v>12</v>
          </cell>
          <cell r="AD593">
            <v>-2</v>
          </cell>
        </row>
        <row r="594">
          <cell r="A594" t="str">
            <v>33.08.10084.00</v>
          </cell>
          <cell r="B594" t="str">
            <v>BANDEJA DA ESTEIRA / 33.08.10084.00</v>
          </cell>
          <cell r="D594" t="str">
            <v>-</v>
          </cell>
          <cell r="E594" t="str">
            <v>-</v>
          </cell>
          <cell r="F594" t="str">
            <v>-</v>
          </cell>
          <cell r="G594" t="str">
            <v>-</v>
          </cell>
          <cell r="H594" t="str">
            <v>-</v>
          </cell>
          <cell r="I594" t="str">
            <v>-</v>
          </cell>
          <cell r="J594">
            <v>0</v>
          </cell>
          <cell r="K594" t="e">
            <v>#VALUE!</v>
          </cell>
          <cell r="L594" t="str">
            <v>ENTREGA TOTAL</v>
          </cell>
          <cell r="M594" t="str">
            <v>-</v>
          </cell>
          <cell r="N594" t="str">
            <v>OC'S METALFISA</v>
          </cell>
          <cell r="O594" t="str">
            <v>-</v>
          </cell>
          <cell r="Q594">
            <v>8</v>
          </cell>
          <cell r="S594">
            <v>8</v>
          </cell>
          <cell r="T594" t="str">
            <v>OC'S MAPHE</v>
          </cell>
          <cell r="U594">
            <v>16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8</v>
          </cell>
          <cell r="AA594">
            <v>8</v>
          </cell>
          <cell r="AB594" t="str">
            <v>0</v>
          </cell>
          <cell r="AC594" t="str">
            <v>-</v>
          </cell>
          <cell r="AD594" t="str">
            <v>-</v>
          </cell>
        </row>
        <row r="595">
          <cell r="A595" t="str">
            <v>33.08.10085.00</v>
          </cell>
          <cell r="B595" t="str">
            <v>FECHAMENTO INFERIOR BANDEJA / 33.08.10085.00</v>
          </cell>
          <cell r="D595" t="str">
            <v>-</v>
          </cell>
          <cell r="E595" t="str">
            <v>-</v>
          </cell>
          <cell r="F595" t="str">
            <v>-</v>
          </cell>
          <cell r="G595" t="str">
            <v>-</v>
          </cell>
          <cell r="H595" t="str">
            <v>-</v>
          </cell>
          <cell r="I595" t="str">
            <v>-</v>
          </cell>
          <cell r="J595">
            <v>0</v>
          </cell>
          <cell r="K595">
            <v>1</v>
          </cell>
          <cell r="L595" t="str">
            <v>FALTA ENTREGA</v>
          </cell>
          <cell r="M595" t="str">
            <v>-</v>
          </cell>
          <cell r="N595" t="str">
            <v>OC'S METALFISA</v>
          </cell>
          <cell r="O595" t="str">
            <v>-</v>
          </cell>
          <cell r="Q595" t="str">
            <v>-</v>
          </cell>
          <cell r="S595">
            <v>2</v>
          </cell>
          <cell r="T595" t="str">
            <v>OC'S MAPHE</v>
          </cell>
          <cell r="U595">
            <v>2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1</v>
          </cell>
          <cell r="AA595">
            <v>1</v>
          </cell>
          <cell r="AB595">
            <v>0</v>
          </cell>
          <cell r="AC595">
            <v>0</v>
          </cell>
          <cell r="AD595">
            <v>-1</v>
          </cell>
        </row>
        <row r="596">
          <cell r="A596" t="str">
            <v>33.08.10086.00</v>
          </cell>
          <cell r="B596" t="str">
            <v>MONTAGEM APOIO ESTEIRA / 33.08.10086.00</v>
          </cell>
          <cell r="C596">
            <v>46074</v>
          </cell>
          <cell r="D596" t="str">
            <v>-</v>
          </cell>
          <cell r="E596" t="str">
            <v>-</v>
          </cell>
          <cell r="F596" t="str">
            <v>-</v>
          </cell>
          <cell r="G596" t="str">
            <v>-</v>
          </cell>
          <cell r="H596" t="str">
            <v>-</v>
          </cell>
          <cell r="I596" t="str">
            <v>-</v>
          </cell>
          <cell r="J596">
            <v>0</v>
          </cell>
          <cell r="K596">
            <v>13</v>
          </cell>
          <cell r="L596" t="str">
            <v>ENTREGA TOTAL</v>
          </cell>
          <cell r="M596" t="str">
            <v>-</v>
          </cell>
          <cell r="N596" t="str">
            <v>OC'S METALFISA</v>
          </cell>
          <cell r="O596" t="str">
            <v>-</v>
          </cell>
          <cell r="Q596">
            <v>5</v>
          </cell>
          <cell r="S596">
            <v>6</v>
          </cell>
          <cell r="T596" t="str">
            <v>OC'S MAPHE</v>
          </cell>
          <cell r="U596">
            <v>11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2</v>
          </cell>
          <cell r="AA596">
            <v>2</v>
          </cell>
          <cell r="AB596">
            <v>0</v>
          </cell>
          <cell r="AC596">
            <v>4</v>
          </cell>
          <cell r="AD596">
            <v>2</v>
          </cell>
        </row>
        <row r="597">
          <cell r="A597" t="str">
            <v>33.08.10089.01</v>
          </cell>
          <cell r="B597" t="str">
            <v>APOIO ESTEIRA / 33.08.10089.01</v>
          </cell>
          <cell r="C597">
            <v>46066</v>
          </cell>
          <cell r="D597" t="str">
            <v>-</v>
          </cell>
          <cell r="E597" t="str">
            <v>-</v>
          </cell>
          <cell r="F597" t="str">
            <v>-</v>
          </cell>
          <cell r="G597" t="str">
            <v>-</v>
          </cell>
          <cell r="H597" t="str">
            <v>-</v>
          </cell>
          <cell r="I597" t="str">
            <v>-</v>
          </cell>
          <cell r="J597">
            <v>0</v>
          </cell>
          <cell r="K597">
            <v>6</v>
          </cell>
          <cell r="L597" t="str">
            <v>ENTREGA PARCIAL</v>
          </cell>
          <cell r="M597" t="str">
            <v>-</v>
          </cell>
          <cell r="N597" t="str">
            <v>OC'S METALFISA</v>
          </cell>
          <cell r="O597" t="str">
            <v>-</v>
          </cell>
          <cell r="Q597">
            <v>4</v>
          </cell>
          <cell r="S597">
            <v>4</v>
          </cell>
          <cell r="T597" t="str">
            <v>OC'S MAPHE</v>
          </cell>
          <cell r="U597">
            <v>8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6</v>
          </cell>
          <cell r="AA597">
            <v>6</v>
          </cell>
          <cell r="AB597">
            <v>0</v>
          </cell>
          <cell r="AC597">
            <v>4</v>
          </cell>
          <cell r="AD597">
            <v>-2</v>
          </cell>
        </row>
        <row r="598">
          <cell r="A598" t="str">
            <v>33.08.10091.01</v>
          </cell>
          <cell r="B598" t="str">
            <v>TRAVA DA ESTEIRA / 33.08.10091.01</v>
          </cell>
          <cell r="C598">
            <v>46066</v>
          </cell>
          <cell r="D598" t="str">
            <v>-</v>
          </cell>
          <cell r="E598" t="str">
            <v>-</v>
          </cell>
          <cell r="F598" t="str">
            <v>-</v>
          </cell>
          <cell r="G598" t="str">
            <v>-</v>
          </cell>
          <cell r="H598" t="str">
            <v>-</v>
          </cell>
          <cell r="I598" t="str">
            <v>-</v>
          </cell>
          <cell r="J598">
            <v>0</v>
          </cell>
          <cell r="K598">
            <v>8</v>
          </cell>
          <cell r="L598" t="str">
            <v>ENTREGA TOTAL</v>
          </cell>
          <cell r="M598" t="str">
            <v>-</v>
          </cell>
          <cell r="N598" t="str">
            <v>OC'S METALFISA</v>
          </cell>
          <cell r="O598" t="str">
            <v>-</v>
          </cell>
          <cell r="Q598">
            <v>4</v>
          </cell>
          <cell r="S598">
            <v>4</v>
          </cell>
          <cell r="T598" t="str">
            <v>OC'S MAPHE</v>
          </cell>
          <cell r="U598">
            <v>8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4</v>
          </cell>
          <cell r="AA598">
            <v>4</v>
          </cell>
          <cell r="AB598">
            <v>0</v>
          </cell>
          <cell r="AC598">
            <v>4</v>
          </cell>
          <cell r="AD598">
            <v>0</v>
          </cell>
        </row>
        <row r="599">
          <cell r="A599" t="str">
            <v>33.08.10094.01</v>
          </cell>
          <cell r="B599" t="str">
            <v>TRAVA DA ESTEIRA / 33.08.10094.01</v>
          </cell>
          <cell r="C599">
            <v>46066</v>
          </cell>
          <cell r="D599" t="str">
            <v>-</v>
          </cell>
          <cell r="E599" t="str">
            <v>-</v>
          </cell>
          <cell r="F599" t="str">
            <v>-</v>
          </cell>
          <cell r="G599" t="str">
            <v>-</v>
          </cell>
          <cell r="H599" t="str">
            <v>-</v>
          </cell>
          <cell r="I599" t="str">
            <v>-</v>
          </cell>
          <cell r="J599">
            <v>0</v>
          </cell>
          <cell r="K599">
            <v>8</v>
          </cell>
          <cell r="L599" t="str">
            <v>ENTREGA TOTAL</v>
          </cell>
          <cell r="M599" t="str">
            <v>-</v>
          </cell>
          <cell r="N599" t="str">
            <v>OC'S METALFISA</v>
          </cell>
          <cell r="O599" t="str">
            <v>-</v>
          </cell>
          <cell r="Q599">
            <v>4</v>
          </cell>
          <cell r="S599">
            <v>4</v>
          </cell>
          <cell r="T599" t="str">
            <v>OC'S MAPHE</v>
          </cell>
          <cell r="U599">
            <v>8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4</v>
          </cell>
          <cell r="AA599">
            <v>4</v>
          </cell>
          <cell r="AB599">
            <v>0</v>
          </cell>
          <cell r="AC599">
            <v>4</v>
          </cell>
          <cell r="AD599">
            <v>0</v>
          </cell>
        </row>
        <row r="600">
          <cell r="A600" t="str">
            <v>33.08.10096.00</v>
          </cell>
          <cell r="B600" t="str">
            <v>TRAVA ESTRUTURAL DA ESTEIRA / 33.08.10096.00</v>
          </cell>
          <cell r="C600">
            <v>46059</v>
          </cell>
          <cell r="D600" t="str">
            <v>-</v>
          </cell>
          <cell r="E600" t="str">
            <v>-</v>
          </cell>
          <cell r="F600" t="str">
            <v>-</v>
          </cell>
          <cell r="G600" t="str">
            <v>-</v>
          </cell>
          <cell r="H600" t="str">
            <v>-</v>
          </cell>
          <cell r="I600" t="str">
            <v>-</v>
          </cell>
          <cell r="J600">
            <v>0</v>
          </cell>
          <cell r="K600" t="e">
            <v>#VALUE!</v>
          </cell>
          <cell r="L600" t="str">
            <v>ENTREGA TOTAL</v>
          </cell>
          <cell r="M600" t="str">
            <v>-</v>
          </cell>
          <cell r="N600" t="str">
            <v>OC'S METALFISA</v>
          </cell>
          <cell r="O600" t="str">
            <v>-</v>
          </cell>
          <cell r="Q600" t="str">
            <v>-</v>
          </cell>
          <cell r="S600">
            <v>8</v>
          </cell>
          <cell r="T600" t="str">
            <v>OC'S MAPHE</v>
          </cell>
          <cell r="U600">
            <v>8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8</v>
          </cell>
          <cell r="AA600">
            <v>8</v>
          </cell>
          <cell r="AB600" t="str">
            <v>0</v>
          </cell>
          <cell r="AC600" t="str">
            <v>-</v>
          </cell>
          <cell r="AD600" t="str">
            <v>-</v>
          </cell>
        </row>
        <row r="601">
          <cell r="A601" t="str">
            <v>33.08.10097.00</v>
          </cell>
          <cell r="B601" t="str">
            <v>TRAVA EXTERNA DA ESTEIRA / 33.08.10097.00</v>
          </cell>
          <cell r="D601" t="str">
            <v>-</v>
          </cell>
          <cell r="E601" t="str">
            <v>-</v>
          </cell>
          <cell r="F601" t="str">
            <v>-</v>
          </cell>
          <cell r="G601" t="str">
            <v>-</v>
          </cell>
          <cell r="H601" t="str">
            <v>-</v>
          </cell>
          <cell r="I601" t="str">
            <v>-</v>
          </cell>
          <cell r="J601">
            <v>0</v>
          </cell>
          <cell r="K601">
            <v>5</v>
          </cell>
          <cell r="L601" t="str">
            <v>FALTA ENTREGA</v>
          </cell>
          <cell r="M601" t="str">
            <v>-</v>
          </cell>
          <cell r="N601" t="str">
            <v>OC'S METALFISA</v>
          </cell>
          <cell r="O601" t="str">
            <v>-</v>
          </cell>
          <cell r="Q601">
            <v>5</v>
          </cell>
          <cell r="S601">
            <v>4</v>
          </cell>
          <cell r="T601" t="str">
            <v>OC'S MAPHE</v>
          </cell>
          <cell r="U601">
            <v>9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4</v>
          </cell>
          <cell r="AA601">
            <v>4</v>
          </cell>
          <cell r="AB601">
            <v>0</v>
          </cell>
          <cell r="AC601">
            <v>0</v>
          </cell>
          <cell r="AD601">
            <v>-4</v>
          </cell>
        </row>
        <row r="602">
          <cell r="A602" t="str">
            <v>33.08.10099.00</v>
          </cell>
          <cell r="B602" t="str">
            <v>TRAVA EXTERNA DA ESTEIRA / 33.08.10099.00</v>
          </cell>
          <cell r="D602" t="str">
            <v>-</v>
          </cell>
          <cell r="E602" t="str">
            <v>-</v>
          </cell>
          <cell r="F602" t="str">
            <v>-</v>
          </cell>
          <cell r="G602" t="str">
            <v>-</v>
          </cell>
          <cell r="H602" t="str">
            <v>-</v>
          </cell>
          <cell r="I602" t="str">
            <v>-</v>
          </cell>
          <cell r="J602">
            <v>0</v>
          </cell>
          <cell r="K602">
            <v>4</v>
          </cell>
          <cell r="L602" t="str">
            <v>FALTA ENTREGA</v>
          </cell>
          <cell r="M602" t="str">
            <v>-</v>
          </cell>
          <cell r="N602" t="str">
            <v>OC'S METALFISA</v>
          </cell>
          <cell r="O602" t="str">
            <v>-</v>
          </cell>
          <cell r="Q602">
            <v>9</v>
          </cell>
          <cell r="S602">
            <v>4</v>
          </cell>
          <cell r="T602" t="str">
            <v>OC'S MAPHE</v>
          </cell>
          <cell r="U602">
            <v>13</v>
          </cell>
          <cell r="V602">
            <v>0</v>
          </cell>
          <cell r="W602">
            <v>1</v>
          </cell>
          <cell r="X602">
            <v>0</v>
          </cell>
          <cell r="Y602">
            <v>0</v>
          </cell>
          <cell r="Z602">
            <v>8</v>
          </cell>
          <cell r="AA602">
            <v>9</v>
          </cell>
          <cell r="AB602">
            <v>1</v>
          </cell>
          <cell r="AC602">
            <v>0</v>
          </cell>
          <cell r="AD602">
            <v>-9</v>
          </cell>
        </row>
        <row r="603">
          <cell r="A603" t="str">
            <v>33.08.10100.01</v>
          </cell>
          <cell r="B603" t="str">
            <v>BANDEJA DA ESTEIRA / 33.08.10100.01</v>
          </cell>
          <cell r="C603">
            <v>46066</v>
          </cell>
          <cell r="D603" t="str">
            <v>-</v>
          </cell>
          <cell r="E603" t="str">
            <v>-</v>
          </cell>
          <cell r="F603" t="str">
            <v>-</v>
          </cell>
          <cell r="G603" t="str">
            <v>-</v>
          </cell>
          <cell r="H603" t="str">
            <v>-</v>
          </cell>
          <cell r="I603" t="str">
            <v>-</v>
          </cell>
          <cell r="J603">
            <v>0</v>
          </cell>
          <cell r="K603">
            <v>8</v>
          </cell>
          <cell r="L603" t="str">
            <v>ENTREGA TOTAL</v>
          </cell>
          <cell r="M603" t="str">
            <v>-</v>
          </cell>
          <cell r="N603" t="str">
            <v>OC'S METALFISA</v>
          </cell>
          <cell r="O603" t="str">
            <v>-</v>
          </cell>
          <cell r="Q603">
            <v>4</v>
          </cell>
          <cell r="S603">
            <v>4</v>
          </cell>
          <cell r="T603" t="str">
            <v>OC'S MAPHE</v>
          </cell>
          <cell r="U603">
            <v>8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4</v>
          </cell>
          <cell r="AA603">
            <v>4</v>
          </cell>
          <cell r="AB603">
            <v>0</v>
          </cell>
          <cell r="AC603">
            <v>4</v>
          </cell>
          <cell r="AD603">
            <v>0</v>
          </cell>
        </row>
        <row r="604">
          <cell r="A604" t="str">
            <v>33.08.10106.01</v>
          </cell>
          <cell r="B604" t="str">
            <v>SUPORTE DO ROLETE / 33.08.10106.01</v>
          </cell>
          <cell r="D604" t="str">
            <v>-</v>
          </cell>
          <cell r="E604" t="str">
            <v>-</v>
          </cell>
          <cell r="F604" t="str">
            <v>-</v>
          </cell>
          <cell r="G604" t="str">
            <v>-</v>
          </cell>
          <cell r="H604" t="str">
            <v>-</v>
          </cell>
          <cell r="I604" t="str">
            <v>-</v>
          </cell>
          <cell r="J604">
            <v>0</v>
          </cell>
          <cell r="K604">
            <v>0</v>
          </cell>
          <cell r="L604" t="str">
            <v>FALTA ENTREGA</v>
          </cell>
          <cell r="M604" t="str">
            <v>-</v>
          </cell>
          <cell r="N604" t="str">
            <v>OC'S METALFISA</v>
          </cell>
          <cell r="O604" t="str">
            <v>-</v>
          </cell>
          <cell r="Q604" t="str">
            <v>-</v>
          </cell>
          <cell r="S604">
            <v>12</v>
          </cell>
          <cell r="T604" t="str">
            <v>OC'S MAPHE</v>
          </cell>
          <cell r="U604">
            <v>12</v>
          </cell>
          <cell r="V604">
            <v>0</v>
          </cell>
          <cell r="W604">
            <v>12</v>
          </cell>
          <cell r="X604">
            <v>0</v>
          </cell>
          <cell r="Y604">
            <v>0</v>
          </cell>
          <cell r="Z604">
            <v>0</v>
          </cell>
          <cell r="AA604">
            <v>12</v>
          </cell>
          <cell r="AB604">
            <v>0</v>
          </cell>
          <cell r="AC604">
            <v>0</v>
          </cell>
          <cell r="AD604">
            <v>-12</v>
          </cell>
        </row>
        <row r="605">
          <cell r="A605" t="str">
            <v>33.08.10107.00</v>
          </cell>
          <cell r="B605" t="str">
            <v>MONTAGEM APOIO ESTEIRA / 33.08.10107.00</v>
          </cell>
          <cell r="C605">
            <v>46066</v>
          </cell>
          <cell r="D605" t="str">
            <v>-</v>
          </cell>
          <cell r="E605" t="str">
            <v>-</v>
          </cell>
          <cell r="F605" t="str">
            <v>-</v>
          </cell>
          <cell r="G605" t="str">
            <v>-</v>
          </cell>
          <cell r="H605" t="str">
            <v>-</v>
          </cell>
          <cell r="I605" t="str">
            <v>-</v>
          </cell>
          <cell r="J605">
            <v>0</v>
          </cell>
          <cell r="K605">
            <v>16</v>
          </cell>
          <cell r="L605" t="str">
            <v>ENTREGA TOTAL</v>
          </cell>
          <cell r="M605" t="str">
            <v>-</v>
          </cell>
          <cell r="N605" t="str">
            <v>OC'S METALFISA</v>
          </cell>
          <cell r="O605" t="str">
            <v>-</v>
          </cell>
          <cell r="Q605">
            <v>8</v>
          </cell>
          <cell r="S605">
            <v>8</v>
          </cell>
          <cell r="T605" t="str">
            <v>OC'S MAPHE</v>
          </cell>
          <cell r="U605">
            <v>16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8</v>
          </cell>
          <cell r="AA605">
            <v>8</v>
          </cell>
          <cell r="AB605">
            <v>0</v>
          </cell>
          <cell r="AC605">
            <v>8</v>
          </cell>
          <cell r="AD605">
            <v>0</v>
          </cell>
        </row>
        <row r="606">
          <cell r="A606" t="str">
            <v>33.08.10109.00</v>
          </cell>
          <cell r="B606" t="str">
            <v>SUPORTE DO SENSOR DE TUNEL / 33.08.10109.00</v>
          </cell>
          <cell r="C606">
            <v>46076</v>
          </cell>
          <cell r="D606" t="str">
            <v>-</v>
          </cell>
          <cell r="E606" t="str">
            <v>-</v>
          </cell>
          <cell r="F606" t="str">
            <v>-</v>
          </cell>
          <cell r="G606" t="str">
            <v>-</v>
          </cell>
          <cell r="H606" t="str">
            <v>-</v>
          </cell>
          <cell r="I606" t="str">
            <v>-</v>
          </cell>
          <cell r="J606">
            <v>0</v>
          </cell>
          <cell r="K606">
            <v>12</v>
          </cell>
          <cell r="L606" t="str">
            <v>FALTA ENTREGA</v>
          </cell>
          <cell r="M606" t="str">
            <v>-</v>
          </cell>
          <cell r="N606" t="str">
            <v>OC'S METALFISA</v>
          </cell>
          <cell r="O606" t="str">
            <v>-</v>
          </cell>
          <cell r="Q606">
            <v>37</v>
          </cell>
          <cell r="S606">
            <v>8</v>
          </cell>
          <cell r="T606" t="str">
            <v>OC'S MAPHE</v>
          </cell>
          <cell r="U606">
            <v>45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33</v>
          </cell>
          <cell r="AA606">
            <v>33</v>
          </cell>
          <cell r="AB606">
            <v>0</v>
          </cell>
          <cell r="AC606">
            <v>0</v>
          </cell>
          <cell r="AD606">
            <v>-33</v>
          </cell>
        </row>
        <row r="607">
          <cell r="A607" t="str">
            <v>33.08.10111.00</v>
          </cell>
          <cell r="B607" t="str">
            <v>CHAPA PROTECAO SENSOR TUNEL / 33.08.10111.00</v>
          </cell>
          <cell r="C607">
            <v>46066</v>
          </cell>
          <cell r="D607" t="str">
            <v>-</v>
          </cell>
          <cell r="E607" t="str">
            <v>-</v>
          </cell>
          <cell r="F607" t="str">
            <v>-</v>
          </cell>
          <cell r="G607" t="str">
            <v>-</v>
          </cell>
          <cell r="H607" t="str">
            <v>-</v>
          </cell>
          <cell r="I607" t="str">
            <v>-</v>
          </cell>
          <cell r="J607">
            <v>0</v>
          </cell>
          <cell r="K607">
            <v>109</v>
          </cell>
          <cell r="L607" t="str">
            <v>ENTREGA TOTAL</v>
          </cell>
          <cell r="M607" t="str">
            <v>-</v>
          </cell>
          <cell r="N607" t="str">
            <v>OC'S METALFISA</v>
          </cell>
          <cell r="O607" t="str">
            <v>-</v>
          </cell>
          <cell r="Q607">
            <v>96</v>
          </cell>
          <cell r="S607">
            <v>8</v>
          </cell>
          <cell r="T607" t="str">
            <v>OC'S MAPHE</v>
          </cell>
          <cell r="U607">
            <v>104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36</v>
          </cell>
          <cell r="AA607">
            <v>36</v>
          </cell>
          <cell r="AB607">
            <v>0</v>
          </cell>
          <cell r="AC607">
            <v>41</v>
          </cell>
          <cell r="AD607">
            <v>5</v>
          </cell>
        </row>
        <row r="608">
          <cell r="A608" t="str">
            <v>33.08.10114.00</v>
          </cell>
          <cell r="B608" t="str">
            <v>CHAPA MONTAGEM ELETRICA  TAMPA / 33.08.10114.00</v>
          </cell>
          <cell r="D608" t="str">
            <v>-</v>
          </cell>
          <cell r="E608" t="str">
            <v>-</v>
          </cell>
          <cell r="F608" t="str">
            <v>-</v>
          </cell>
          <cell r="G608" t="str">
            <v>-</v>
          </cell>
          <cell r="H608" t="str">
            <v>-</v>
          </cell>
          <cell r="I608" t="str">
            <v>-</v>
          </cell>
          <cell r="J608">
            <v>0</v>
          </cell>
          <cell r="K608">
            <v>2</v>
          </cell>
          <cell r="L608" t="str">
            <v>FALTA ENTREGA</v>
          </cell>
          <cell r="M608" t="str">
            <v>-</v>
          </cell>
          <cell r="N608" t="str">
            <v>OC'S METALFISA</v>
          </cell>
          <cell r="O608" t="str">
            <v>-</v>
          </cell>
          <cell r="Q608">
            <v>2</v>
          </cell>
          <cell r="S608">
            <v>2</v>
          </cell>
          <cell r="T608" t="str">
            <v>OC'S MAPHE</v>
          </cell>
          <cell r="U608">
            <v>4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2</v>
          </cell>
          <cell r="AA608">
            <v>2</v>
          </cell>
          <cell r="AB608">
            <v>0</v>
          </cell>
          <cell r="AC608">
            <v>0</v>
          </cell>
          <cell r="AD608">
            <v>-2</v>
          </cell>
        </row>
        <row r="609">
          <cell r="A609" t="str">
            <v>33.08.10116.01</v>
          </cell>
          <cell r="B609" t="str">
            <v>CHAPA PROTECAO ELETRICA  TAMPA / 33.08.10116.01</v>
          </cell>
          <cell r="D609" t="str">
            <v>-</v>
          </cell>
          <cell r="E609" t="str">
            <v>-</v>
          </cell>
          <cell r="F609" t="str">
            <v>-</v>
          </cell>
          <cell r="G609" t="str">
            <v>-</v>
          </cell>
          <cell r="H609" t="str">
            <v>-</v>
          </cell>
          <cell r="I609" t="str">
            <v>-</v>
          </cell>
          <cell r="J609">
            <v>0</v>
          </cell>
          <cell r="K609">
            <v>1</v>
          </cell>
          <cell r="L609" t="str">
            <v>FALTA ENTREGA</v>
          </cell>
          <cell r="M609" t="str">
            <v>-</v>
          </cell>
          <cell r="N609" t="str">
            <v>OC'S METALFISA</v>
          </cell>
          <cell r="O609" t="str">
            <v>-</v>
          </cell>
          <cell r="Q609">
            <v>9</v>
          </cell>
          <cell r="S609" t="str">
            <v>-</v>
          </cell>
          <cell r="U609">
            <v>9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8</v>
          </cell>
          <cell r="AA609">
            <v>8</v>
          </cell>
          <cell r="AB609">
            <v>0</v>
          </cell>
          <cell r="AC609">
            <v>0</v>
          </cell>
          <cell r="AD609">
            <v>-8</v>
          </cell>
        </row>
        <row r="610">
          <cell r="A610" t="str">
            <v>33.08.10128.01</v>
          </cell>
          <cell r="B610" t="str">
            <v>SUPORTE TRAVA PORTA CAIXA L / 33.08.10128.01</v>
          </cell>
          <cell r="D610" t="str">
            <v>-</v>
          </cell>
          <cell r="E610" t="str">
            <v>-</v>
          </cell>
          <cell r="F610" t="str">
            <v>-</v>
          </cell>
          <cell r="G610" t="str">
            <v>-</v>
          </cell>
          <cell r="H610" t="str">
            <v>-</v>
          </cell>
          <cell r="I610" t="str">
            <v>-</v>
          </cell>
          <cell r="J610">
            <v>0</v>
          </cell>
          <cell r="K610">
            <v>-24</v>
          </cell>
          <cell r="L610" t="str">
            <v>FALTA ENTREGA</v>
          </cell>
          <cell r="M610" t="str">
            <v>-</v>
          </cell>
          <cell r="N610" t="str">
            <v>OC'S METALFISA</v>
          </cell>
          <cell r="O610" t="str">
            <v>-</v>
          </cell>
          <cell r="Q610" t="str">
            <v>-</v>
          </cell>
          <cell r="S610" t="str">
            <v>-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24</v>
          </cell>
          <cell r="AA610">
            <v>24</v>
          </cell>
          <cell r="AB610">
            <v>0</v>
          </cell>
          <cell r="AC610">
            <v>0</v>
          </cell>
          <cell r="AD610">
            <v>-24</v>
          </cell>
        </row>
        <row r="611">
          <cell r="A611" t="str">
            <v>33.08.10128.02</v>
          </cell>
          <cell r="B611" t="str">
            <v>SUPORTE TRAVA PORTA CAIXA L / 33.08.10128.02</v>
          </cell>
          <cell r="D611" t="str">
            <v>-</v>
          </cell>
          <cell r="E611" t="str">
            <v>-</v>
          </cell>
          <cell r="F611" t="str">
            <v>-</v>
          </cell>
          <cell r="G611" t="str">
            <v>-</v>
          </cell>
          <cell r="H611" t="str">
            <v>-</v>
          </cell>
          <cell r="I611" t="str">
            <v>-</v>
          </cell>
          <cell r="J611">
            <v>0</v>
          </cell>
          <cell r="K611">
            <v>18</v>
          </cell>
          <cell r="L611" t="str">
            <v>FALTA ENTREGA</v>
          </cell>
          <cell r="M611" t="str">
            <v>-</v>
          </cell>
          <cell r="N611" t="str">
            <v>OC'S METALFISA</v>
          </cell>
          <cell r="O611" t="str">
            <v>-</v>
          </cell>
          <cell r="Q611">
            <v>24</v>
          </cell>
          <cell r="S611" t="str">
            <v>-</v>
          </cell>
          <cell r="U611">
            <v>24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6</v>
          </cell>
          <cell r="AA611">
            <v>6</v>
          </cell>
          <cell r="AB611">
            <v>0</v>
          </cell>
          <cell r="AC611">
            <v>0</v>
          </cell>
          <cell r="AD611">
            <v>-6</v>
          </cell>
        </row>
        <row r="612">
          <cell r="A612" t="str">
            <v>33.08.10138.00</v>
          </cell>
          <cell r="B612" t="str">
            <v>TAMPA CAIXA X-DAQ / 33.08.10138.00</v>
          </cell>
          <cell r="D612" t="str">
            <v>-</v>
          </cell>
          <cell r="E612" t="str">
            <v>-</v>
          </cell>
          <cell r="F612" t="str">
            <v>-</v>
          </cell>
          <cell r="G612" t="str">
            <v>-</v>
          </cell>
          <cell r="H612" t="str">
            <v>-</v>
          </cell>
          <cell r="I612" t="str">
            <v>-</v>
          </cell>
          <cell r="J612">
            <v>0</v>
          </cell>
          <cell r="K612">
            <v>2</v>
          </cell>
          <cell r="L612" t="str">
            <v>FALTA ENTREGA</v>
          </cell>
          <cell r="M612" t="str">
            <v>-</v>
          </cell>
          <cell r="N612" t="str">
            <v>OC'S METALFISA</v>
          </cell>
          <cell r="O612" t="str">
            <v>-</v>
          </cell>
          <cell r="Q612">
            <v>4</v>
          </cell>
          <cell r="S612" t="str">
            <v>-</v>
          </cell>
          <cell r="U612">
            <v>4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2</v>
          </cell>
          <cell r="AA612">
            <v>2</v>
          </cell>
          <cell r="AB612">
            <v>0</v>
          </cell>
          <cell r="AC612">
            <v>0</v>
          </cell>
          <cell r="AD612">
            <v>-2</v>
          </cell>
        </row>
        <row r="613">
          <cell r="A613" t="str">
            <v>33.08.10139.00</v>
          </cell>
          <cell r="B613" t="str">
            <v>GRADE PORTA SILICA / 33.08.10139.00</v>
          </cell>
          <cell r="D613" t="str">
            <v>-</v>
          </cell>
          <cell r="E613" t="str">
            <v>-</v>
          </cell>
          <cell r="F613" t="str">
            <v>-</v>
          </cell>
          <cell r="G613" t="str">
            <v>-</v>
          </cell>
          <cell r="H613" t="str">
            <v>-</v>
          </cell>
          <cell r="I613" t="str">
            <v>-</v>
          </cell>
          <cell r="J613">
            <v>0</v>
          </cell>
          <cell r="K613">
            <v>-4</v>
          </cell>
          <cell r="L613" t="str">
            <v>FALTA ENTREGA</v>
          </cell>
          <cell r="M613" t="str">
            <v>-</v>
          </cell>
          <cell r="N613" t="str">
            <v>OC'S METALFISA</v>
          </cell>
          <cell r="O613" t="str">
            <v>-</v>
          </cell>
          <cell r="Q613" t="str">
            <v>-</v>
          </cell>
          <cell r="S613" t="str">
            <v>-</v>
          </cell>
          <cell r="U613">
            <v>0</v>
          </cell>
          <cell r="V613">
            <v>0</v>
          </cell>
          <cell r="W613">
            <v>2</v>
          </cell>
          <cell r="X613">
            <v>0</v>
          </cell>
          <cell r="Y613">
            <v>0</v>
          </cell>
          <cell r="Z613">
            <v>2</v>
          </cell>
          <cell r="AA613">
            <v>4</v>
          </cell>
          <cell r="AB613">
            <v>2</v>
          </cell>
          <cell r="AC613">
            <v>0</v>
          </cell>
          <cell r="AD613">
            <v>-4</v>
          </cell>
        </row>
        <row r="614">
          <cell r="A614" t="str">
            <v>33.08.10140.00</v>
          </cell>
          <cell r="B614" t="str">
            <v>LATERAL COLIMADOR SECUNDARIO SV / 33.08.10140.00</v>
          </cell>
          <cell r="C614">
            <v>46066</v>
          </cell>
          <cell r="D614" t="str">
            <v>-</v>
          </cell>
          <cell r="E614" t="str">
            <v>-</v>
          </cell>
          <cell r="F614" t="str">
            <v>-</v>
          </cell>
          <cell r="G614" t="str">
            <v>-</v>
          </cell>
          <cell r="H614" t="str">
            <v>-</v>
          </cell>
          <cell r="I614" t="str">
            <v>-</v>
          </cell>
          <cell r="J614">
            <v>0</v>
          </cell>
          <cell r="K614">
            <v>4</v>
          </cell>
          <cell r="L614" t="str">
            <v>ENTREGA TOTAL</v>
          </cell>
          <cell r="M614" t="str">
            <v>-</v>
          </cell>
          <cell r="N614" t="str">
            <v>OC'S METALFISA</v>
          </cell>
          <cell r="O614" t="str">
            <v>-</v>
          </cell>
          <cell r="Q614">
            <v>2</v>
          </cell>
          <cell r="S614">
            <v>2</v>
          </cell>
          <cell r="T614" t="str">
            <v>OC'S MAPHE</v>
          </cell>
          <cell r="U614">
            <v>4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2</v>
          </cell>
          <cell r="AA614">
            <v>2</v>
          </cell>
          <cell r="AB614">
            <v>0</v>
          </cell>
          <cell r="AC614">
            <v>2</v>
          </cell>
          <cell r="AD614">
            <v>0</v>
          </cell>
        </row>
        <row r="615">
          <cell r="A615" t="str">
            <v>33.08.10143.00</v>
          </cell>
          <cell r="B615" t="str">
            <v>SUPORTE COLIMADOR SECUNDARIO SV / 33.08.10143.00</v>
          </cell>
          <cell r="C615">
            <v>46066</v>
          </cell>
          <cell r="D615" t="str">
            <v>-</v>
          </cell>
          <cell r="E615" t="str">
            <v>-</v>
          </cell>
          <cell r="F615" t="str">
            <v>-</v>
          </cell>
          <cell r="G615" t="str">
            <v>-</v>
          </cell>
          <cell r="H615" t="str">
            <v>-</v>
          </cell>
          <cell r="I615" t="str">
            <v>-</v>
          </cell>
          <cell r="J615">
            <v>0</v>
          </cell>
          <cell r="K615">
            <v>24</v>
          </cell>
          <cell r="L615" t="str">
            <v>ENTREGA TOTAL</v>
          </cell>
          <cell r="M615" t="str">
            <v>-</v>
          </cell>
          <cell r="N615" t="str">
            <v>OC'S METALFISA</v>
          </cell>
          <cell r="O615" t="str">
            <v>-</v>
          </cell>
          <cell r="Q615">
            <v>12</v>
          </cell>
          <cell r="S615">
            <v>12</v>
          </cell>
          <cell r="T615" t="str">
            <v>OC'S MAPHE</v>
          </cell>
          <cell r="U615">
            <v>24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12</v>
          </cell>
          <cell r="AA615">
            <v>12</v>
          </cell>
          <cell r="AB615">
            <v>0</v>
          </cell>
          <cell r="AC615">
            <v>12</v>
          </cell>
          <cell r="AD615">
            <v>0</v>
          </cell>
        </row>
        <row r="616">
          <cell r="A616" t="str">
            <v>33.08.10144.00</v>
          </cell>
          <cell r="B616" t="str">
            <v>LATERAL COLIMADOR SECUNDARIO SV / 33.08.10144.00</v>
          </cell>
          <cell r="C616">
            <v>46066</v>
          </cell>
          <cell r="D616" t="str">
            <v>-</v>
          </cell>
          <cell r="E616" t="str">
            <v>-</v>
          </cell>
          <cell r="F616" t="str">
            <v>-</v>
          </cell>
          <cell r="G616" t="str">
            <v>-</v>
          </cell>
          <cell r="H616" t="str">
            <v>-</v>
          </cell>
          <cell r="I616" t="str">
            <v>-</v>
          </cell>
          <cell r="J616">
            <v>0</v>
          </cell>
          <cell r="K616">
            <v>4</v>
          </cell>
          <cell r="L616" t="str">
            <v>ENTREGA TOTAL</v>
          </cell>
          <cell r="M616" t="str">
            <v>-</v>
          </cell>
          <cell r="N616" t="str">
            <v>OC'S METALFISA</v>
          </cell>
          <cell r="O616" t="str">
            <v>-</v>
          </cell>
          <cell r="Q616">
            <v>2</v>
          </cell>
          <cell r="S616">
            <v>2</v>
          </cell>
          <cell r="T616" t="str">
            <v>OC'S MAPHE</v>
          </cell>
          <cell r="U616">
            <v>4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2</v>
          </cell>
          <cell r="AA616">
            <v>2</v>
          </cell>
          <cell r="AB616">
            <v>0</v>
          </cell>
          <cell r="AC616">
            <v>2</v>
          </cell>
          <cell r="AD616">
            <v>0</v>
          </cell>
        </row>
        <row r="617">
          <cell r="A617" t="str">
            <v>33.08.10146.00</v>
          </cell>
          <cell r="B617" t="str">
            <v>CHAPA TAMPA COLIMADOR  SECUNDARIO SV / 33.08.10146.00</v>
          </cell>
          <cell r="D617" t="str">
            <v>-</v>
          </cell>
          <cell r="E617" t="str">
            <v>-</v>
          </cell>
          <cell r="F617" t="str">
            <v>-</v>
          </cell>
          <cell r="G617" t="str">
            <v>-</v>
          </cell>
          <cell r="H617" t="str">
            <v>-</v>
          </cell>
          <cell r="I617" t="str">
            <v>-</v>
          </cell>
          <cell r="J617">
            <v>0</v>
          </cell>
          <cell r="K617">
            <v>2</v>
          </cell>
          <cell r="L617" t="str">
            <v>FALTA ENTREGA</v>
          </cell>
          <cell r="M617" t="str">
            <v>-</v>
          </cell>
          <cell r="N617" t="str">
            <v>OC'S METALFISA</v>
          </cell>
          <cell r="O617" t="str">
            <v>-</v>
          </cell>
          <cell r="Q617">
            <v>2</v>
          </cell>
          <cell r="S617">
            <v>2</v>
          </cell>
          <cell r="T617" t="str">
            <v>OC'S MAPHE</v>
          </cell>
          <cell r="U617">
            <v>4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2</v>
          </cell>
          <cell r="AA617">
            <v>2</v>
          </cell>
          <cell r="AB617">
            <v>0</v>
          </cell>
          <cell r="AC617">
            <v>0</v>
          </cell>
          <cell r="AD617">
            <v>-2</v>
          </cell>
        </row>
        <row r="618">
          <cell r="A618" t="str">
            <v>33.08.10147.00</v>
          </cell>
          <cell r="B618" t="str">
            <v>CHAPA TAMPA COLIMADOR  SECUNDARIO SV / 33.08.10147.00</v>
          </cell>
          <cell r="C618">
            <v>46074</v>
          </cell>
          <cell r="D618" t="str">
            <v>-</v>
          </cell>
          <cell r="E618" t="str">
            <v>-</v>
          </cell>
          <cell r="F618" t="str">
            <v>-</v>
          </cell>
          <cell r="G618" t="str">
            <v>-</v>
          </cell>
          <cell r="H618" t="str">
            <v>-</v>
          </cell>
          <cell r="I618" t="str">
            <v>-</v>
          </cell>
          <cell r="J618">
            <v>0</v>
          </cell>
          <cell r="K618">
            <v>6</v>
          </cell>
          <cell r="L618" t="str">
            <v>ENTREGA TOTAL</v>
          </cell>
          <cell r="M618" t="str">
            <v>-</v>
          </cell>
          <cell r="N618" t="str">
            <v>OC'S METALFISA</v>
          </cell>
          <cell r="O618" t="str">
            <v>-</v>
          </cell>
          <cell r="Q618">
            <v>4</v>
          </cell>
          <cell r="S618">
            <v>2</v>
          </cell>
          <cell r="T618" t="str">
            <v>OC'S MAPHE</v>
          </cell>
          <cell r="U618">
            <v>6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2</v>
          </cell>
          <cell r="AA618">
            <v>2</v>
          </cell>
          <cell r="AB618">
            <v>0</v>
          </cell>
          <cell r="AC618">
            <v>2</v>
          </cell>
          <cell r="AD618">
            <v>0</v>
          </cell>
        </row>
        <row r="619">
          <cell r="A619" t="str">
            <v>33.08.10150.00</v>
          </cell>
          <cell r="B619" t="str">
            <v>FRENTE COLIMADOR FINAL SV / 33.08.10150.00</v>
          </cell>
          <cell r="D619" t="str">
            <v>-</v>
          </cell>
          <cell r="E619" t="str">
            <v>-</v>
          </cell>
          <cell r="F619" t="str">
            <v>-</v>
          </cell>
          <cell r="G619" t="str">
            <v>-</v>
          </cell>
          <cell r="H619" t="str">
            <v>-</v>
          </cell>
          <cell r="I619" t="str">
            <v>-</v>
          </cell>
          <cell r="J619">
            <v>0</v>
          </cell>
          <cell r="K619">
            <v>4</v>
          </cell>
          <cell r="L619" t="str">
            <v>FALTA ENTREGA</v>
          </cell>
          <cell r="M619" t="str">
            <v>-</v>
          </cell>
          <cell r="N619" t="str">
            <v>OC'S METALFISA</v>
          </cell>
          <cell r="O619" t="str">
            <v>-</v>
          </cell>
          <cell r="Q619">
            <v>6</v>
          </cell>
          <cell r="S619">
            <v>4</v>
          </cell>
          <cell r="T619" t="str">
            <v>OC'S MAPHE</v>
          </cell>
          <cell r="U619">
            <v>10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6</v>
          </cell>
          <cell r="AA619">
            <v>6</v>
          </cell>
          <cell r="AB619">
            <v>0</v>
          </cell>
          <cell r="AC619">
            <v>0</v>
          </cell>
          <cell r="AD619">
            <v>-6</v>
          </cell>
        </row>
        <row r="620">
          <cell r="A620" t="str">
            <v>33.08.10151.00</v>
          </cell>
          <cell r="B620" t="str">
            <v>CHAPA COLIMADOR SECUNDARIO SV / 33.08.10151.00</v>
          </cell>
          <cell r="D620" t="str">
            <v>-</v>
          </cell>
          <cell r="E620" t="str">
            <v>-</v>
          </cell>
          <cell r="F620" t="str">
            <v>-</v>
          </cell>
          <cell r="G620" t="str">
            <v>-</v>
          </cell>
          <cell r="H620" t="str">
            <v>-</v>
          </cell>
          <cell r="I620" t="str">
            <v>-</v>
          </cell>
          <cell r="J620">
            <v>0</v>
          </cell>
          <cell r="K620">
            <v>1</v>
          </cell>
          <cell r="L620" t="str">
            <v>FALTA ENTREGA</v>
          </cell>
          <cell r="M620" t="str">
            <v>-</v>
          </cell>
          <cell r="N620" t="str">
            <v>OC'S METALFISA</v>
          </cell>
          <cell r="O620" t="str">
            <v>-</v>
          </cell>
          <cell r="Q620" t="str">
            <v>-</v>
          </cell>
          <cell r="S620">
            <v>2</v>
          </cell>
          <cell r="T620" t="str">
            <v>OC'S MAPHE</v>
          </cell>
          <cell r="U620">
            <v>2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1</v>
          </cell>
          <cell r="AA620">
            <v>1</v>
          </cell>
          <cell r="AB620">
            <v>0</v>
          </cell>
          <cell r="AC620">
            <v>0</v>
          </cell>
          <cell r="AD620">
            <v>-1</v>
          </cell>
        </row>
        <row r="621">
          <cell r="A621" t="str">
            <v>33.08.10153.01</v>
          </cell>
          <cell r="B621" t="str">
            <v>CHAPA FECHAMENTO LONGARINA / 33.08.10153.01</v>
          </cell>
          <cell r="C621">
            <v>46066</v>
          </cell>
          <cell r="D621" t="str">
            <v>-</v>
          </cell>
          <cell r="E621" t="str">
            <v>-</v>
          </cell>
          <cell r="F621" t="str">
            <v>-</v>
          </cell>
          <cell r="G621" t="str">
            <v>-</v>
          </cell>
          <cell r="H621" t="str">
            <v>-</v>
          </cell>
          <cell r="I621" t="str">
            <v>-</v>
          </cell>
          <cell r="J621">
            <v>0</v>
          </cell>
          <cell r="K621">
            <v>4</v>
          </cell>
          <cell r="L621" t="str">
            <v>ENTREGA TOTAL</v>
          </cell>
          <cell r="M621" t="str">
            <v>-</v>
          </cell>
          <cell r="N621" t="str">
            <v>OC'S METALFISA</v>
          </cell>
          <cell r="O621" t="str">
            <v>-</v>
          </cell>
          <cell r="Q621">
            <v>2</v>
          </cell>
          <cell r="S621">
            <v>2</v>
          </cell>
          <cell r="T621" t="str">
            <v>OC'S MAPHE</v>
          </cell>
          <cell r="U621">
            <v>4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2</v>
          </cell>
          <cell r="AA621">
            <v>2</v>
          </cell>
          <cell r="AB621">
            <v>0</v>
          </cell>
          <cell r="AC621">
            <v>2</v>
          </cell>
          <cell r="AD621">
            <v>0</v>
          </cell>
        </row>
        <row r="622">
          <cell r="A622" t="str">
            <v>33.08.10162.00</v>
          </cell>
          <cell r="B622" t="str">
            <v>CHAPA FECHAMENTO ENTRE COLIMADORES / 33.08.10162.00</v>
          </cell>
          <cell r="D622" t="str">
            <v>-</v>
          </cell>
          <cell r="E622" t="str">
            <v>-</v>
          </cell>
          <cell r="F622" t="str">
            <v>-</v>
          </cell>
          <cell r="G622" t="str">
            <v>-</v>
          </cell>
          <cell r="H622" t="str">
            <v>-</v>
          </cell>
          <cell r="I622" t="str">
            <v>-</v>
          </cell>
          <cell r="J622">
            <v>0</v>
          </cell>
          <cell r="K622">
            <v>-8</v>
          </cell>
          <cell r="L622" t="str">
            <v>FALTA ENTREGA</v>
          </cell>
          <cell r="M622" t="str">
            <v>-</v>
          </cell>
          <cell r="N622" t="str">
            <v>OC'S METALFISA</v>
          </cell>
          <cell r="O622" t="str">
            <v>-</v>
          </cell>
          <cell r="Q622" t="str">
            <v>-</v>
          </cell>
          <cell r="S622">
            <v>4</v>
          </cell>
          <cell r="T622" t="str">
            <v>OC'S MAPHE</v>
          </cell>
          <cell r="U622">
            <v>4</v>
          </cell>
          <cell r="V622">
            <v>0</v>
          </cell>
          <cell r="W622">
            <v>4</v>
          </cell>
          <cell r="X622">
            <v>0</v>
          </cell>
          <cell r="Y622">
            <v>0</v>
          </cell>
          <cell r="Z622">
            <v>8</v>
          </cell>
          <cell r="AA622">
            <v>12</v>
          </cell>
          <cell r="AB622">
            <v>4</v>
          </cell>
          <cell r="AC622">
            <v>0</v>
          </cell>
          <cell r="AD622">
            <v>-12</v>
          </cell>
        </row>
        <row r="623">
          <cell r="A623" t="str">
            <v>33.08.10169.00</v>
          </cell>
          <cell r="B623" t="str">
            <v>SUPORTE GERADOR SANDT / 33.08.10169.00</v>
          </cell>
          <cell r="C623">
            <v>46066</v>
          </cell>
          <cell r="D623" t="str">
            <v>-</v>
          </cell>
          <cell r="E623" t="str">
            <v>-</v>
          </cell>
          <cell r="F623" t="str">
            <v>-</v>
          </cell>
          <cell r="G623" t="str">
            <v>-</v>
          </cell>
          <cell r="H623" t="str">
            <v>-</v>
          </cell>
          <cell r="I623" t="str">
            <v>-</v>
          </cell>
          <cell r="J623">
            <v>0</v>
          </cell>
          <cell r="K623">
            <v>4</v>
          </cell>
          <cell r="L623" t="str">
            <v>ENTREGA TOTAL</v>
          </cell>
          <cell r="M623" t="str">
            <v>-</v>
          </cell>
          <cell r="N623" t="str">
            <v>OC'S METALFISA</v>
          </cell>
          <cell r="O623" t="str">
            <v>-</v>
          </cell>
          <cell r="Q623">
            <v>2</v>
          </cell>
          <cell r="S623">
            <v>2</v>
          </cell>
          <cell r="T623" t="str">
            <v>OC'S MAPHE</v>
          </cell>
          <cell r="U623">
            <v>4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2</v>
          </cell>
          <cell r="AA623">
            <v>2</v>
          </cell>
          <cell r="AB623">
            <v>0</v>
          </cell>
          <cell r="AC623">
            <v>2</v>
          </cell>
          <cell r="AD623">
            <v>0</v>
          </cell>
        </row>
        <row r="624">
          <cell r="A624" t="str">
            <v>33.08.10171.00</v>
          </cell>
          <cell r="B624" t="str">
            <v>TAMPA SUPORTE GERADOR SANDT / 33.08.10171.00</v>
          </cell>
          <cell r="D624" t="str">
            <v>-</v>
          </cell>
          <cell r="E624" t="str">
            <v>-</v>
          </cell>
          <cell r="F624" t="str">
            <v>-</v>
          </cell>
          <cell r="G624" t="str">
            <v>-</v>
          </cell>
          <cell r="H624" t="str">
            <v>-</v>
          </cell>
          <cell r="I624" t="str">
            <v>-</v>
          </cell>
          <cell r="J624">
            <v>0</v>
          </cell>
          <cell r="K624">
            <v>-1</v>
          </cell>
          <cell r="L624" t="str">
            <v>FALTA ENTREGA</v>
          </cell>
          <cell r="M624" t="str">
            <v>-</v>
          </cell>
          <cell r="N624" t="str">
            <v>OC'S METALFISA</v>
          </cell>
          <cell r="O624" t="str">
            <v>-</v>
          </cell>
          <cell r="Q624" t="str">
            <v>-</v>
          </cell>
          <cell r="S624" t="str">
            <v>-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1</v>
          </cell>
          <cell r="AA624">
            <v>1</v>
          </cell>
          <cell r="AB624">
            <v>0</v>
          </cell>
          <cell r="AC624">
            <v>0</v>
          </cell>
          <cell r="AD624">
            <v>-1</v>
          </cell>
        </row>
        <row r="625">
          <cell r="A625" t="str">
            <v>33.08.10171.01</v>
          </cell>
          <cell r="B625" t="str">
            <v>TAMPA SUPORTE GERADOR SANDT / 33.08.10171.01</v>
          </cell>
          <cell r="C625">
            <v>46059</v>
          </cell>
          <cell r="D625" t="str">
            <v>-</v>
          </cell>
          <cell r="E625" t="str">
            <v>-</v>
          </cell>
          <cell r="F625" t="str">
            <v>-</v>
          </cell>
          <cell r="G625" t="str">
            <v>-</v>
          </cell>
          <cell r="H625" t="str">
            <v>-</v>
          </cell>
          <cell r="I625" t="str">
            <v>-</v>
          </cell>
          <cell r="J625">
            <v>0</v>
          </cell>
          <cell r="K625" t="e">
            <v>#VALUE!</v>
          </cell>
          <cell r="L625" t="str">
            <v>ENTREGA TOTAL</v>
          </cell>
          <cell r="M625" t="str">
            <v>-</v>
          </cell>
          <cell r="N625" t="str">
            <v>OC'S METALFISA</v>
          </cell>
          <cell r="O625" t="str">
            <v>-</v>
          </cell>
          <cell r="Q625" t="str">
            <v>-</v>
          </cell>
          <cell r="S625">
            <v>2</v>
          </cell>
          <cell r="T625" t="str">
            <v>OC'S MAPHE</v>
          </cell>
          <cell r="U625">
            <v>2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1</v>
          </cell>
          <cell r="AA625">
            <v>1</v>
          </cell>
          <cell r="AB625" t="str">
            <v>0</v>
          </cell>
          <cell r="AC625" t="str">
            <v>-</v>
          </cell>
          <cell r="AD625" t="str">
            <v>-</v>
          </cell>
        </row>
        <row r="626">
          <cell r="A626" t="str">
            <v>33.08.10188.00</v>
          </cell>
          <cell r="B626" t="str">
            <v>SUPORTE PADRAO PARA GERADOR DV / 33.08.10188.00</v>
          </cell>
          <cell r="C626">
            <v>46062</v>
          </cell>
          <cell r="D626" t="str">
            <v>-</v>
          </cell>
          <cell r="E626" t="str">
            <v>-</v>
          </cell>
          <cell r="F626" t="str">
            <v>-</v>
          </cell>
          <cell r="G626" t="str">
            <v>-</v>
          </cell>
          <cell r="H626" t="str">
            <v>-</v>
          </cell>
          <cell r="I626" t="str">
            <v>-</v>
          </cell>
          <cell r="J626">
            <v>0</v>
          </cell>
          <cell r="K626" t="e">
            <v>#VALUE!</v>
          </cell>
          <cell r="L626" t="str">
            <v>ENTREGA TOTAL</v>
          </cell>
          <cell r="M626" t="str">
            <v>-</v>
          </cell>
          <cell r="N626" t="str">
            <v>OC'S METALFISA</v>
          </cell>
          <cell r="O626" t="str">
            <v>-</v>
          </cell>
          <cell r="Q626">
            <v>2</v>
          </cell>
          <cell r="S626">
            <v>2</v>
          </cell>
          <cell r="T626" t="str">
            <v>OC'S MAPHE</v>
          </cell>
          <cell r="U626">
            <v>4</v>
          </cell>
          <cell r="V626">
            <v>0</v>
          </cell>
          <cell r="W626">
            <v>1</v>
          </cell>
          <cell r="X626">
            <v>0</v>
          </cell>
          <cell r="Y626">
            <v>0</v>
          </cell>
          <cell r="Z626">
            <v>1</v>
          </cell>
          <cell r="AA626">
            <v>2</v>
          </cell>
          <cell r="AB626" t="str">
            <v>0</v>
          </cell>
          <cell r="AC626" t="str">
            <v>-</v>
          </cell>
          <cell r="AD626" t="str">
            <v>-</v>
          </cell>
        </row>
        <row r="627">
          <cell r="A627" t="str">
            <v>33.08.10194.00</v>
          </cell>
          <cell r="B627" t="str">
            <v>LATERAL COLIMADOR SECUNDARIO DV / 33.08.10194.00</v>
          </cell>
          <cell r="C627">
            <v>46066</v>
          </cell>
          <cell r="D627" t="str">
            <v>-</v>
          </cell>
          <cell r="E627" t="str">
            <v>-</v>
          </cell>
          <cell r="F627" t="str">
            <v>-</v>
          </cell>
          <cell r="G627" t="str">
            <v>-</v>
          </cell>
          <cell r="H627" t="str">
            <v>-</v>
          </cell>
          <cell r="I627" t="str">
            <v>-</v>
          </cell>
          <cell r="J627">
            <v>0</v>
          </cell>
          <cell r="K627">
            <v>4</v>
          </cell>
          <cell r="L627" t="str">
            <v>ENTREGA TOTAL</v>
          </cell>
          <cell r="M627" t="str">
            <v>-</v>
          </cell>
          <cell r="N627" t="str">
            <v>OC'S METALFISA</v>
          </cell>
          <cell r="O627" t="str">
            <v>-</v>
          </cell>
          <cell r="Q627">
            <v>2</v>
          </cell>
          <cell r="S627">
            <v>2</v>
          </cell>
          <cell r="T627" t="str">
            <v>OC'S MAPHE</v>
          </cell>
          <cell r="U627">
            <v>4</v>
          </cell>
          <cell r="V627">
            <v>0</v>
          </cell>
          <cell r="W627">
            <v>1</v>
          </cell>
          <cell r="X627">
            <v>0</v>
          </cell>
          <cell r="Y627">
            <v>0</v>
          </cell>
          <cell r="Z627">
            <v>1</v>
          </cell>
          <cell r="AA627">
            <v>2</v>
          </cell>
          <cell r="AB627">
            <v>0</v>
          </cell>
          <cell r="AC627">
            <v>2</v>
          </cell>
          <cell r="AD627">
            <v>0</v>
          </cell>
        </row>
        <row r="628">
          <cell r="A628" t="str">
            <v>33.08.10197.00</v>
          </cell>
          <cell r="B628" t="str">
            <v>LATERAL COLIMADOR SECUNDARIO DV / 33.08.10197.00</v>
          </cell>
          <cell r="C628">
            <v>46066</v>
          </cell>
          <cell r="D628" t="str">
            <v>-</v>
          </cell>
          <cell r="E628" t="str">
            <v>-</v>
          </cell>
          <cell r="F628" t="str">
            <v>-</v>
          </cell>
          <cell r="G628" t="str">
            <v>-</v>
          </cell>
          <cell r="H628" t="str">
            <v>-</v>
          </cell>
          <cell r="I628" t="str">
            <v>-</v>
          </cell>
          <cell r="J628">
            <v>0</v>
          </cell>
          <cell r="K628">
            <v>4</v>
          </cell>
          <cell r="L628" t="str">
            <v>ENTREGA TOTAL</v>
          </cell>
          <cell r="M628" t="str">
            <v>-</v>
          </cell>
          <cell r="N628" t="str">
            <v>OC'S METALFISA</v>
          </cell>
          <cell r="O628" t="str">
            <v>-</v>
          </cell>
          <cell r="Q628">
            <v>2</v>
          </cell>
          <cell r="S628">
            <v>2</v>
          </cell>
          <cell r="T628" t="str">
            <v>OC'S MAPHE</v>
          </cell>
          <cell r="U628">
            <v>4</v>
          </cell>
          <cell r="V628">
            <v>0</v>
          </cell>
          <cell r="W628">
            <v>1</v>
          </cell>
          <cell r="X628">
            <v>0</v>
          </cell>
          <cell r="Y628">
            <v>0</v>
          </cell>
          <cell r="Z628">
            <v>1</v>
          </cell>
          <cell r="AA628">
            <v>2</v>
          </cell>
          <cell r="AB628">
            <v>0</v>
          </cell>
          <cell r="AC628">
            <v>2</v>
          </cell>
          <cell r="AD628">
            <v>0</v>
          </cell>
        </row>
        <row r="629">
          <cell r="A629" t="str">
            <v>33.08.10199.00</v>
          </cell>
          <cell r="B629" t="str">
            <v>CHAPA TAMPA COLIMADOR  SECUNDARIO DV / 33.08.10199.00</v>
          </cell>
          <cell r="C629">
            <v>46074</v>
          </cell>
          <cell r="D629" t="str">
            <v>-</v>
          </cell>
          <cell r="E629" t="str">
            <v>-</v>
          </cell>
          <cell r="F629" t="str">
            <v>-</v>
          </cell>
          <cell r="G629" t="str">
            <v>-</v>
          </cell>
          <cell r="H629" t="str">
            <v>-</v>
          </cell>
          <cell r="I629" t="str">
            <v>-</v>
          </cell>
          <cell r="J629">
            <v>0</v>
          </cell>
          <cell r="K629">
            <v>4</v>
          </cell>
          <cell r="L629" t="str">
            <v>ENTREGA TOTAL</v>
          </cell>
          <cell r="M629" t="str">
            <v>-</v>
          </cell>
          <cell r="N629" t="str">
            <v>OC'S METALFISA</v>
          </cell>
          <cell r="O629" t="str">
            <v>-</v>
          </cell>
          <cell r="Q629">
            <v>2</v>
          </cell>
          <cell r="S629">
            <v>2</v>
          </cell>
          <cell r="T629" t="str">
            <v>OC'S MAPHE</v>
          </cell>
          <cell r="U629">
            <v>4</v>
          </cell>
          <cell r="V629">
            <v>0</v>
          </cell>
          <cell r="W629">
            <v>1</v>
          </cell>
          <cell r="X629">
            <v>0</v>
          </cell>
          <cell r="Y629">
            <v>0</v>
          </cell>
          <cell r="Z629">
            <v>1</v>
          </cell>
          <cell r="AA629">
            <v>2</v>
          </cell>
          <cell r="AB629">
            <v>0</v>
          </cell>
          <cell r="AC629">
            <v>2</v>
          </cell>
          <cell r="AD629">
            <v>0</v>
          </cell>
        </row>
        <row r="630">
          <cell r="A630" t="str">
            <v>33.08.10200.00</v>
          </cell>
          <cell r="B630" t="str">
            <v>CHAPA TAMPA COLIMADOR  SECUNDARIO DV / 33.08.10200.00</v>
          </cell>
          <cell r="C630">
            <v>46074</v>
          </cell>
          <cell r="D630" t="str">
            <v>-</v>
          </cell>
          <cell r="E630" t="str">
            <v>-</v>
          </cell>
          <cell r="F630" t="str">
            <v>-</v>
          </cell>
          <cell r="G630" t="str">
            <v>-</v>
          </cell>
          <cell r="H630" t="str">
            <v>-</v>
          </cell>
          <cell r="I630" t="str">
            <v>-</v>
          </cell>
          <cell r="J630">
            <v>0</v>
          </cell>
          <cell r="K630">
            <v>4</v>
          </cell>
          <cell r="L630" t="str">
            <v>ENTREGA TOTAL</v>
          </cell>
          <cell r="M630" t="str">
            <v>-</v>
          </cell>
          <cell r="N630" t="str">
            <v>OC'S METALFISA</v>
          </cell>
          <cell r="O630" t="str">
            <v>-</v>
          </cell>
          <cell r="Q630">
            <v>2</v>
          </cell>
          <cell r="S630">
            <v>2</v>
          </cell>
          <cell r="T630" t="str">
            <v>OC'S MAPHE</v>
          </cell>
          <cell r="U630">
            <v>4</v>
          </cell>
          <cell r="V630">
            <v>0</v>
          </cell>
          <cell r="W630">
            <v>1</v>
          </cell>
          <cell r="X630">
            <v>0</v>
          </cell>
          <cell r="Y630">
            <v>0</v>
          </cell>
          <cell r="Z630">
            <v>1</v>
          </cell>
          <cell r="AA630">
            <v>2</v>
          </cell>
          <cell r="AB630">
            <v>0</v>
          </cell>
          <cell r="AC630">
            <v>2</v>
          </cell>
          <cell r="AD630">
            <v>0</v>
          </cell>
        </row>
        <row r="631">
          <cell r="A631" t="str">
            <v>33.08.10201.00</v>
          </cell>
          <cell r="B631" t="str">
            <v>CHAPA COLIMADOR FINAL DV / 33.08.10201.00</v>
          </cell>
          <cell r="D631" t="str">
            <v>-</v>
          </cell>
          <cell r="E631" t="str">
            <v>-</v>
          </cell>
          <cell r="F631" t="str">
            <v>-</v>
          </cell>
          <cell r="G631" t="str">
            <v>-</v>
          </cell>
          <cell r="H631" t="str">
            <v>-</v>
          </cell>
          <cell r="I631" t="str">
            <v>-</v>
          </cell>
          <cell r="J631">
            <v>0</v>
          </cell>
          <cell r="K631">
            <v>3</v>
          </cell>
          <cell r="L631" t="str">
            <v>ENTREGA PARCIAL</v>
          </cell>
          <cell r="M631" t="str">
            <v>-</v>
          </cell>
          <cell r="N631" t="str">
            <v>OC'S METALFISA</v>
          </cell>
          <cell r="O631" t="str">
            <v>-</v>
          </cell>
          <cell r="Q631">
            <v>2</v>
          </cell>
          <cell r="S631">
            <v>2</v>
          </cell>
          <cell r="T631" t="str">
            <v>OC'S MAPHE</v>
          </cell>
          <cell r="U631">
            <v>4</v>
          </cell>
          <cell r="V631">
            <v>0</v>
          </cell>
          <cell r="W631">
            <v>2</v>
          </cell>
          <cell r="X631">
            <v>0</v>
          </cell>
          <cell r="Y631">
            <v>0</v>
          </cell>
          <cell r="Z631">
            <v>1</v>
          </cell>
          <cell r="AA631">
            <v>3</v>
          </cell>
          <cell r="AB631">
            <v>0</v>
          </cell>
          <cell r="AC631">
            <v>2</v>
          </cell>
          <cell r="AD631">
            <v>-1</v>
          </cell>
        </row>
        <row r="632">
          <cell r="A632" t="str">
            <v>33.08.10203.00</v>
          </cell>
          <cell r="B632" t="str">
            <v>FRENTE COLIMADOR FINAL DV / 33.08.10203.00</v>
          </cell>
          <cell r="D632" t="str">
            <v>-</v>
          </cell>
          <cell r="E632" t="str">
            <v>-</v>
          </cell>
          <cell r="F632" t="str">
            <v>-</v>
          </cell>
          <cell r="G632" t="str">
            <v>-</v>
          </cell>
          <cell r="H632" t="str">
            <v>-</v>
          </cell>
          <cell r="I632" t="str">
            <v>-</v>
          </cell>
          <cell r="J632">
            <v>0</v>
          </cell>
          <cell r="K632">
            <v>6</v>
          </cell>
          <cell r="L632" t="str">
            <v>ENTREGA PARCIAL</v>
          </cell>
          <cell r="M632" t="str">
            <v>-</v>
          </cell>
          <cell r="N632" t="str">
            <v>OC'S METALFISA</v>
          </cell>
          <cell r="O632" t="str">
            <v>-</v>
          </cell>
          <cell r="Q632">
            <v>9</v>
          </cell>
          <cell r="S632" t="str">
            <v>-</v>
          </cell>
          <cell r="U632">
            <v>9</v>
          </cell>
          <cell r="V632">
            <v>0</v>
          </cell>
          <cell r="W632">
            <v>2</v>
          </cell>
          <cell r="X632">
            <v>0</v>
          </cell>
          <cell r="Y632">
            <v>0</v>
          </cell>
          <cell r="Z632">
            <v>2</v>
          </cell>
          <cell r="AA632">
            <v>4</v>
          </cell>
          <cell r="AB632">
            <v>1</v>
          </cell>
          <cell r="AC632">
            <v>1</v>
          </cell>
          <cell r="AD632">
            <v>-3</v>
          </cell>
        </row>
        <row r="633">
          <cell r="A633" t="str">
            <v>33.08.10206.00</v>
          </cell>
          <cell r="B633" t="str">
            <v>BASE COLIMADOR SECUNDARIO DV / 33.08.10206.00</v>
          </cell>
          <cell r="C633">
            <v>46066</v>
          </cell>
          <cell r="D633" t="str">
            <v>-</v>
          </cell>
          <cell r="E633" t="str">
            <v>-</v>
          </cell>
          <cell r="F633" t="str">
            <v>-</v>
          </cell>
          <cell r="G633" t="str">
            <v>-</v>
          </cell>
          <cell r="H633" t="str">
            <v>-</v>
          </cell>
          <cell r="I633" t="str">
            <v>-</v>
          </cell>
          <cell r="J633">
            <v>0</v>
          </cell>
          <cell r="K633">
            <v>3</v>
          </cell>
          <cell r="L633" t="str">
            <v>ENTREGA PARCIAL</v>
          </cell>
          <cell r="M633" t="str">
            <v>-</v>
          </cell>
          <cell r="N633" t="str">
            <v>OC'S METALFISA</v>
          </cell>
          <cell r="O633" t="str">
            <v>-</v>
          </cell>
          <cell r="Q633">
            <v>2</v>
          </cell>
          <cell r="S633">
            <v>2</v>
          </cell>
          <cell r="T633" t="str">
            <v>OC'S MAPHE</v>
          </cell>
          <cell r="U633">
            <v>4</v>
          </cell>
          <cell r="V633">
            <v>0</v>
          </cell>
          <cell r="W633">
            <v>1</v>
          </cell>
          <cell r="X633">
            <v>0</v>
          </cell>
          <cell r="Y633">
            <v>0</v>
          </cell>
          <cell r="Z633">
            <v>1</v>
          </cell>
          <cell r="AA633">
            <v>2</v>
          </cell>
          <cell r="AB633">
            <v>0</v>
          </cell>
          <cell r="AC633">
            <v>1</v>
          </cell>
          <cell r="AD633">
            <v>-1</v>
          </cell>
        </row>
        <row r="634">
          <cell r="A634" t="str">
            <v>33.08.10209.00</v>
          </cell>
          <cell r="B634" t="str">
            <v>MAO FRANCESA BASE GERADOR DV / 33.08.10209.00</v>
          </cell>
          <cell r="C634">
            <v>46066</v>
          </cell>
          <cell r="D634" t="str">
            <v>-</v>
          </cell>
          <cell r="E634" t="str">
            <v>-</v>
          </cell>
          <cell r="F634" t="str">
            <v>-</v>
          </cell>
          <cell r="G634" t="str">
            <v>-</v>
          </cell>
          <cell r="H634" t="str">
            <v>-</v>
          </cell>
          <cell r="I634" t="str">
            <v>-</v>
          </cell>
          <cell r="J634">
            <v>0</v>
          </cell>
          <cell r="K634">
            <v>4</v>
          </cell>
          <cell r="L634" t="str">
            <v>ENTREGA TOTAL</v>
          </cell>
          <cell r="M634" t="str">
            <v>-</v>
          </cell>
          <cell r="N634" t="str">
            <v>OC'S METALFISA</v>
          </cell>
          <cell r="O634" t="str">
            <v>-</v>
          </cell>
          <cell r="Q634">
            <v>2</v>
          </cell>
          <cell r="S634">
            <v>2</v>
          </cell>
          <cell r="T634" t="str">
            <v>OC'S MAPHE</v>
          </cell>
          <cell r="U634">
            <v>4</v>
          </cell>
          <cell r="V634">
            <v>0</v>
          </cell>
          <cell r="W634">
            <v>1</v>
          </cell>
          <cell r="X634">
            <v>0</v>
          </cell>
          <cell r="Y634">
            <v>0</v>
          </cell>
          <cell r="Z634">
            <v>1</v>
          </cell>
          <cell r="AA634">
            <v>2</v>
          </cell>
          <cell r="AB634">
            <v>0</v>
          </cell>
          <cell r="AC634">
            <v>2</v>
          </cell>
          <cell r="AD634">
            <v>0</v>
          </cell>
        </row>
        <row r="635">
          <cell r="A635" t="str">
            <v>33.08.10210.00</v>
          </cell>
          <cell r="B635" t="str">
            <v>SUPORTE CONTROLADORA GERADOR VJ / 33.08.10210.00</v>
          </cell>
          <cell r="C635">
            <v>46074</v>
          </cell>
          <cell r="D635" t="str">
            <v>-</v>
          </cell>
          <cell r="E635" t="str">
            <v>-</v>
          </cell>
          <cell r="F635" t="str">
            <v>-</v>
          </cell>
          <cell r="G635" t="str">
            <v>-</v>
          </cell>
          <cell r="H635" t="str">
            <v>-</v>
          </cell>
          <cell r="I635" t="str">
            <v>-</v>
          </cell>
          <cell r="J635">
            <v>0</v>
          </cell>
          <cell r="K635">
            <v>4</v>
          </cell>
          <cell r="L635" t="str">
            <v>ENTREGA TOTAL</v>
          </cell>
          <cell r="M635" t="str">
            <v>-</v>
          </cell>
          <cell r="N635" t="str">
            <v>OC'S METALFISA</v>
          </cell>
          <cell r="O635" t="str">
            <v>-</v>
          </cell>
          <cell r="Q635">
            <v>2</v>
          </cell>
          <cell r="S635">
            <v>2</v>
          </cell>
          <cell r="T635" t="str">
            <v>OC'S MAPHE</v>
          </cell>
          <cell r="U635">
            <v>4</v>
          </cell>
          <cell r="V635">
            <v>0</v>
          </cell>
          <cell r="W635">
            <v>1</v>
          </cell>
          <cell r="X635">
            <v>0</v>
          </cell>
          <cell r="Y635">
            <v>0</v>
          </cell>
          <cell r="Z635">
            <v>1</v>
          </cell>
          <cell r="AA635">
            <v>2</v>
          </cell>
          <cell r="AB635">
            <v>0</v>
          </cell>
          <cell r="AC635">
            <v>2</v>
          </cell>
          <cell r="AD635">
            <v>0</v>
          </cell>
        </row>
        <row r="636">
          <cell r="A636" t="str">
            <v>33.08.10212.00</v>
          </cell>
          <cell r="B636" t="str">
            <v>SUPORTE TUBO SANDT / 33.08.10212.00</v>
          </cell>
          <cell r="C636">
            <v>46059</v>
          </cell>
          <cell r="D636" t="str">
            <v>-</v>
          </cell>
          <cell r="E636" t="str">
            <v>-</v>
          </cell>
          <cell r="F636" t="str">
            <v>-</v>
          </cell>
          <cell r="G636" t="str">
            <v>-</v>
          </cell>
          <cell r="H636" t="str">
            <v>-</v>
          </cell>
          <cell r="I636" t="str">
            <v>-</v>
          </cell>
          <cell r="J636">
            <v>0</v>
          </cell>
          <cell r="K636">
            <v>2</v>
          </cell>
          <cell r="L636" t="str">
            <v>ENTREGA PARCIAL</v>
          </cell>
          <cell r="M636" t="str">
            <v>-</v>
          </cell>
          <cell r="N636" t="str">
            <v>OC'S METALFISA</v>
          </cell>
          <cell r="O636" t="str">
            <v>-</v>
          </cell>
          <cell r="Q636" t="str">
            <v>-</v>
          </cell>
          <cell r="S636">
            <v>3</v>
          </cell>
          <cell r="T636" t="str">
            <v>OC'S MAPHE</v>
          </cell>
          <cell r="U636">
            <v>3</v>
          </cell>
          <cell r="V636">
            <v>0</v>
          </cell>
          <cell r="W636">
            <v>2</v>
          </cell>
          <cell r="X636">
            <v>0</v>
          </cell>
          <cell r="Y636">
            <v>0</v>
          </cell>
          <cell r="Z636">
            <v>1</v>
          </cell>
          <cell r="AA636">
            <v>3</v>
          </cell>
          <cell r="AB636">
            <v>0</v>
          </cell>
          <cell r="AC636">
            <v>2</v>
          </cell>
          <cell r="AD636">
            <v>-1</v>
          </cell>
        </row>
        <row r="637">
          <cell r="A637" t="str">
            <v>33.08.10217.00</v>
          </cell>
          <cell r="B637" t="str">
            <v>CHAPA MONTAGEM SUPORTE PLACA / 33.08.10217.00</v>
          </cell>
          <cell r="D637" t="str">
            <v>-</v>
          </cell>
          <cell r="E637" t="str">
            <v>-</v>
          </cell>
          <cell r="F637" t="str">
            <v>-</v>
          </cell>
          <cell r="G637" t="str">
            <v>-</v>
          </cell>
          <cell r="H637" t="str">
            <v>-</v>
          </cell>
          <cell r="I637" t="str">
            <v>-</v>
          </cell>
          <cell r="J637">
            <v>0</v>
          </cell>
          <cell r="K637">
            <v>-75</v>
          </cell>
          <cell r="L637" t="str">
            <v>FALTA ENTREGA</v>
          </cell>
          <cell r="M637" t="str">
            <v>-</v>
          </cell>
          <cell r="N637" t="str">
            <v>OC'S METALFISA</v>
          </cell>
          <cell r="O637" t="str">
            <v>-</v>
          </cell>
          <cell r="Q637" t="str">
            <v>-</v>
          </cell>
          <cell r="S637" t="str">
            <v>-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75</v>
          </cell>
          <cell r="AA637">
            <v>75</v>
          </cell>
          <cell r="AB637">
            <v>0</v>
          </cell>
          <cell r="AC637">
            <v>0</v>
          </cell>
          <cell r="AD637">
            <v>-75</v>
          </cell>
        </row>
        <row r="638">
          <cell r="A638" t="str">
            <v>33.08.10219.00</v>
          </cell>
          <cell r="B638" t="str">
            <v>TAMPA SUPERIOR / 33.08.10219.00</v>
          </cell>
          <cell r="D638" t="str">
            <v>-</v>
          </cell>
          <cell r="E638" t="str">
            <v>-</v>
          </cell>
          <cell r="F638" t="str">
            <v>-</v>
          </cell>
          <cell r="G638" t="str">
            <v>-</v>
          </cell>
          <cell r="H638" t="str">
            <v>-</v>
          </cell>
          <cell r="I638" t="str">
            <v>-</v>
          </cell>
          <cell r="J638">
            <v>0</v>
          </cell>
          <cell r="K638">
            <v>2</v>
          </cell>
          <cell r="L638" t="str">
            <v>FALTA ENTREGA</v>
          </cell>
          <cell r="M638">
            <v>5</v>
          </cell>
          <cell r="N638" t="str">
            <v>OC'S METALFISA</v>
          </cell>
          <cell r="O638" t="str">
            <v>-</v>
          </cell>
          <cell r="Q638" t="str">
            <v>-</v>
          </cell>
          <cell r="S638" t="str">
            <v>-</v>
          </cell>
          <cell r="U638">
            <v>5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3</v>
          </cell>
          <cell r="AA638">
            <v>3</v>
          </cell>
          <cell r="AB638">
            <v>0</v>
          </cell>
          <cell r="AC638">
            <v>0</v>
          </cell>
          <cell r="AD638">
            <v>-3</v>
          </cell>
        </row>
        <row r="639">
          <cell r="A639" t="str">
            <v>33.08.10222.00</v>
          </cell>
          <cell r="B639" t="str">
            <v>SUPORTE TAMPA SUPERIOR / 33.08.10222.00</v>
          </cell>
          <cell r="D639" t="str">
            <v>-</v>
          </cell>
          <cell r="E639" t="str">
            <v>-</v>
          </cell>
          <cell r="F639" t="str">
            <v>-</v>
          </cell>
          <cell r="G639" t="str">
            <v>-</v>
          </cell>
          <cell r="H639" t="str">
            <v>-</v>
          </cell>
          <cell r="I639" t="str">
            <v>-</v>
          </cell>
          <cell r="J639">
            <v>0</v>
          </cell>
          <cell r="K639">
            <v>6</v>
          </cell>
          <cell r="L639" t="str">
            <v>FALTA ENTREGA</v>
          </cell>
          <cell r="M639" t="str">
            <v>-</v>
          </cell>
          <cell r="N639" t="str">
            <v>OC'S METALFISA</v>
          </cell>
          <cell r="O639" t="str">
            <v>-</v>
          </cell>
          <cell r="Q639">
            <v>8</v>
          </cell>
          <cell r="S639">
            <v>16</v>
          </cell>
          <cell r="T639" t="str">
            <v>OC'S MAPHE</v>
          </cell>
          <cell r="U639">
            <v>24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18</v>
          </cell>
          <cell r="AA639">
            <v>18</v>
          </cell>
          <cell r="AB639">
            <v>0</v>
          </cell>
          <cell r="AC639">
            <v>0</v>
          </cell>
          <cell r="AD639">
            <v>-18</v>
          </cell>
        </row>
        <row r="640">
          <cell r="A640" t="str">
            <v>33.08.10226.00</v>
          </cell>
          <cell r="B640" t="str">
            <v>TAMPA INFERIOR ESTEIRA / 33.08.10226.00</v>
          </cell>
          <cell r="D640" t="str">
            <v>-</v>
          </cell>
          <cell r="E640" t="str">
            <v>-</v>
          </cell>
          <cell r="F640" t="str">
            <v>-</v>
          </cell>
          <cell r="G640" t="str">
            <v>-</v>
          </cell>
          <cell r="H640" t="str">
            <v>-</v>
          </cell>
          <cell r="I640" t="str">
            <v>-</v>
          </cell>
          <cell r="J640">
            <v>0</v>
          </cell>
          <cell r="K640">
            <v>2</v>
          </cell>
          <cell r="L640" t="str">
            <v>FALTA ENTREGA</v>
          </cell>
          <cell r="M640" t="str">
            <v>-</v>
          </cell>
          <cell r="N640" t="str">
            <v>OC'S METALFISA</v>
          </cell>
          <cell r="O640">
            <v>4</v>
          </cell>
          <cell r="P640" t="str">
            <v>OC'S GRANATO</v>
          </cell>
          <cell r="Q640" t="str">
            <v>-</v>
          </cell>
          <cell r="S640" t="str">
            <v>-</v>
          </cell>
          <cell r="U640">
            <v>4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2</v>
          </cell>
          <cell r="AA640">
            <v>2</v>
          </cell>
          <cell r="AB640">
            <v>0</v>
          </cell>
          <cell r="AC640">
            <v>0</v>
          </cell>
          <cell r="AD640">
            <v>-2</v>
          </cell>
        </row>
        <row r="641">
          <cell r="A641" t="str">
            <v>33.08.10228.02</v>
          </cell>
          <cell r="B641" t="str">
            <v>TAMPA LATERAL SILKAGEM / 33.08.10228.02</v>
          </cell>
          <cell r="D641" t="str">
            <v>-</v>
          </cell>
          <cell r="E641" t="str">
            <v>-</v>
          </cell>
          <cell r="F641" t="str">
            <v>-</v>
          </cell>
          <cell r="G641" t="str">
            <v>-</v>
          </cell>
          <cell r="H641" t="str">
            <v>-</v>
          </cell>
          <cell r="I641" t="str">
            <v>-</v>
          </cell>
          <cell r="J641">
            <v>0</v>
          </cell>
          <cell r="K641">
            <v>1</v>
          </cell>
          <cell r="L641" t="str">
            <v>FALTA ENTREGA</v>
          </cell>
          <cell r="M641" t="str">
            <v>-</v>
          </cell>
          <cell r="N641" t="str">
            <v>OC'S METALFISA</v>
          </cell>
          <cell r="O641">
            <v>4</v>
          </cell>
          <cell r="P641" t="str">
            <v>OC'S GRANATO</v>
          </cell>
          <cell r="Q641" t="str">
            <v>-</v>
          </cell>
          <cell r="S641" t="str">
            <v>-</v>
          </cell>
          <cell r="U641">
            <v>4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3</v>
          </cell>
          <cell r="AA641">
            <v>3</v>
          </cell>
          <cell r="AB641">
            <v>0</v>
          </cell>
          <cell r="AC641">
            <v>0</v>
          </cell>
          <cell r="AD641">
            <v>-3</v>
          </cell>
        </row>
        <row r="642">
          <cell r="A642" t="str">
            <v>33.08.10233.00</v>
          </cell>
          <cell r="B642" t="str">
            <v>TAMPA ACESSO ELETRICO LATERAL / 33.08.10233.00</v>
          </cell>
          <cell r="C642">
            <v>46076</v>
          </cell>
          <cell r="D642" t="str">
            <v>-</v>
          </cell>
          <cell r="E642" t="str">
            <v>-</v>
          </cell>
          <cell r="F642" t="str">
            <v>-</v>
          </cell>
          <cell r="G642" t="str">
            <v>-</v>
          </cell>
          <cell r="H642" t="str">
            <v>-</v>
          </cell>
          <cell r="I642" t="str">
            <v>-</v>
          </cell>
          <cell r="J642">
            <v>0</v>
          </cell>
          <cell r="K642">
            <v>2</v>
          </cell>
          <cell r="L642" t="str">
            <v>FALTA ENTREGA</v>
          </cell>
          <cell r="M642" t="str">
            <v>-</v>
          </cell>
          <cell r="N642" t="str">
            <v>OC'S METALFISA</v>
          </cell>
          <cell r="O642" t="str">
            <v>-</v>
          </cell>
          <cell r="Q642" t="str">
            <v>-</v>
          </cell>
          <cell r="S642">
            <v>4</v>
          </cell>
          <cell r="T642" t="str">
            <v>OC'S MAPHE</v>
          </cell>
          <cell r="U642">
            <v>4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2</v>
          </cell>
          <cell r="AA642">
            <v>2</v>
          </cell>
          <cell r="AB642">
            <v>0</v>
          </cell>
          <cell r="AC642">
            <v>0</v>
          </cell>
          <cell r="AD642">
            <v>-2</v>
          </cell>
        </row>
        <row r="643">
          <cell r="A643" t="str">
            <v>33.08.10238.01</v>
          </cell>
          <cell r="B643" t="str">
            <v>SILKAGEM TAMPA LATERAL / 33.08.10238.01</v>
          </cell>
          <cell r="D643" t="str">
            <v>-</v>
          </cell>
          <cell r="E643" t="str">
            <v>-</v>
          </cell>
          <cell r="F643" t="str">
            <v>-</v>
          </cell>
          <cell r="G643" t="str">
            <v>-</v>
          </cell>
          <cell r="H643" t="str">
            <v>-</v>
          </cell>
          <cell r="I643" t="str">
            <v>-</v>
          </cell>
          <cell r="J643">
            <v>0</v>
          </cell>
          <cell r="K643">
            <v>1</v>
          </cell>
          <cell r="L643" t="str">
            <v>FALTA ENTREGA</v>
          </cell>
          <cell r="M643" t="str">
            <v>-</v>
          </cell>
          <cell r="N643" t="str">
            <v>OC'S METALFISA</v>
          </cell>
          <cell r="O643">
            <v>5</v>
          </cell>
          <cell r="P643" t="str">
            <v>OC'S GRANATO</v>
          </cell>
          <cell r="Q643" t="str">
            <v>-</v>
          </cell>
          <cell r="S643" t="str">
            <v>-</v>
          </cell>
          <cell r="U643">
            <v>5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4</v>
          </cell>
          <cell r="AA643">
            <v>4</v>
          </cell>
          <cell r="AB643">
            <v>0</v>
          </cell>
          <cell r="AC643">
            <v>0</v>
          </cell>
          <cell r="AD643">
            <v>-4</v>
          </cell>
        </row>
        <row r="644">
          <cell r="A644" t="str">
            <v>33.08.10242.00</v>
          </cell>
          <cell r="B644" t="str">
            <v>TAMPA CENTRAL / 33.08.10242.00</v>
          </cell>
          <cell r="D644" t="str">
            <v>-</v>
          </cell>
          <cell r="E644" t="str">
            <v>-</v>
          </cell>
          <cell r="F644" t="str">
            <v>-</v>
          </cell>
          <cell r="G644" t="str">
            <v>-</v>
          </cell>
          <cell r="H644" t="str">
            <v>-</v>
          </cell>
          <cell r="I644">
            <v>1</v>
          </cell>
          <cell r="J644">
            <v>1</v>
          </cell>
          <cell r="K644">
            <v>-4</v>
          </cell>
          <cell r="L644" t="str">
            <v>FALTA ENTREGA</v>
          </cell>
          <cell r="M644">
            <v>4</v>
          </cell>
          <cell r="N644" t="str">
            <v>OC'S METALFISA</v>
          </cell>
          <cell r="O644" t="str">
            <v>-</v>
          </cell>
          <cell r="Q644" t="str">
            <v>-</v>
          </cell>
          <cell r="S644" t="str">
            <v>-</v>
          </cell>
          <cell r="U644">
            <v>4</v>
          </cell>
          <cell r="V644">
            <v>0</v>
          </cell>
          <cell r="W644">
            <v>2</v>
          </cell>
          <cell r="X644">
            <v>0</v>
          </cell>
          <cell r="Y644">
            <v>0</v>
          </cell>
          <cell r="Z644">
            <v>7</v>
          </cell>
          <cell r="AA644">
            <v>9</v>
          </cell>
          <cell r="AB644">
            <v>2</v>
          </cell>
          <cell r="AC644">
            <v>0</v>
          </cell>
          <cell r="AD644">
            <v>-9</v>
          </cell>
        </row>
        <row r="645">
          <cell r="A645" t="str">
            <v>33.08.10245.02</v>
          </cell>
          <cell r="B645" t="str">
            <v>ACABAMENTO ESTEIRA / 33.08.10245.02</v>
          </cell>
          <cell r="D645" t="str">
            <v>-</v>
          </cell>
          <cell r="E645">
            <v>10</v>
          </cell>
          <cell r="F645" t="str">
            <v>-</v>
          </cell>
          <cell r="G645" t="str">
            <v>-</v>
          </cell>
          <cell r="H645" t="str">
            <v>-</v>
          </cell>
          <cell r="I645" t="str">
            <v>-</v>
          </cell>
          <cell r="J645">
            <v>10</v>
          </cell>
          <cell r="K645">
            <v>10</v>
          </cell>
          <cell r="L645" t="str">
            <v>FALTA ENTREGA</v>
          </cell>
          <cell r="M645">
            <v>6</v>
          </cell>
          <cell r="N645" t="str">
            <v>OC'S METALFISA</v>
          </cell>
          <cell r="O645" t="str">
            <v>-</v>
          </cell>
          <cell r="Q645" t="str">
            <v>-</v>
          </cell>
          <cell r="S645" t="str">
            <v>-</v>
          </cell>
          <cell r="U645">
            <v>6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6</v>
          </cell>
          <cell r="AA645">
            <v>6</v>
          </cell>
          <cell r="AB645">
            <v>0</v>
          </cell>
          <cell r="AC645">
            <v>0</v>
          </cell>
          <cell r="AD645">
            <v>-6</v>
          </cell>
        </row>
        <row r="646">
          <cell r="A646" t="str">
            <v>33.08.10249.02</v>
          </cell>
          <cell r="B646" t="str">
            <v>ACABAMENTO ESTEIRA / 33.08.10249.02</v>
          </cell>
          <cell r="D646" t="str">
            <v>-</v>
          </cell>
          <cell r="E646">
            <v>7</v>
          </cell>
          <cell r="F646" t="str">
            <v>-</v>
          </cell>
          <cell r="G646" t="str">
            <v>-</v>
          </cell>
          <cell r="H646" t="str">
            <v>-</v>
          </cell>
          <cell r="I646" t="str">
            <v>-</v>
          </cell>
          <cell r="J646">
            <v>7</v>
          </cell>
          <cell r="K646">
            <v>-2</v>
          </cell>
          <cell r="L646" t="str">
            <v>FALTA ENTREGA</v>
          </cell>
          <cell r="M646">
            <v>6</v>
          </cell>
          <cell r="N646" t="str">
            <v>OC'S METALFISA</v>
          </cell>
          <cell r="O646" t="str">
            <v>-</v>
          </cell>
          <cell r="Q646" t="str">
            <v>-</v>
          </cell>
          <cell r="S646" t="str">
            <v>-</v>
          </cell>
          <cell r="U646">
            <v>6</v>
          </cell>
          <cell r="V646">
            <v>0</v>
          </cell>
          <cell r="W646">
            <v>7</v>
          </cell>
          <cell r="X646">
            <v>0</v>
          </cell>
          <cell r="Y646">
            <v>0</v>
          </cell>
          <cell r="Z646">
            <v>8</v>
          </cell>
          <cell r="AA646">
            <v>15</v>
          </cell>
          <cell r="AB646">
            <v>7</v>
          </cell>
          <cell r="AC646">
            <v>0</v>
          </cell>
          <cell r="AD646">
            <v>-15</v>
          </cell>
        </row>
        <row r="647">
          <cell r="A647" t="str">
            <v>33.08.10252.00</v>
          </cell>
          <cell r="B647" t="str">
            <v>ACABAMENTO DO TUNEL / 33.08.10252.00</v>
          </cell>
          <cell r="D647" t="str">
            <v>-</v>
          </cell>
          <cell r="E647" t="str">
            <v>-</v>
          </cell>
          <cell r="F647" t="str">
            <v>-</v>
          </cell>
          <cell r="G647" t="str">
            <v>-</v>
          </cell>
          <cell r="H647" t="str">
            <v>-</v>
          </cell>
          <cell r="I647" t="str">
            <v>-</v>
          </cell>
          <cell r="J647">
            <v>0</v>
          </cell>
          <cell r="K647">
            <v>0</v>
          </cell>
          <cell r="L647" t="str">
            <v>FALTA ENTREGA</v>
          </cell>
          <cell r="M647">
            <v>4</v>
          </cell>
          <cell r="N647" t="str">
            <v>OC'S METALFISA</v>
          </cell>
          <cell r="O647" t="str">
            <v>-</v>
          </cell>
          <cell r="Q647" t="str">
            <v>-</v>
          </cell>
          <cell r="S647" t="str">
            <v>-</v>
          </cell>
          <cell r="U647">
            <v>4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4</v>
          </cell>
          <cell r="AA647">
            <v>4</v>
          </cell>
          <cell r="AB647">
            <v>0</v>
          </cell>
          <cell r="AC647">
            <v>0</v>
          </cell>
          <cell r="AD647">
            <v>-4</v>
          </cell>
        </row>
        <row r="648">
          <cell r="A648" t="str">
            <v>33.08.10255.00</v>
          </cell>
          <cell r="B648" t="str">
            <v>ACABAMENTO DO TUNEL / 33.08.10255.00</v>
          </cell>
          <cell r="D648" t="str">
            <v>-</v>
          </cell>
          <cell r="E648" t="str">
            <v>-</v>
          </cell>
          <cell r="F648" t="str">
            <v>-</v>
          </cell>
          <cell r="G648" t="str">
            <v>-</v>
          </cell>
          <cell r="H648" t="str">
            <v>-</v>
          </cell>
          <cell r="I648" t="str">
            <v>-</v>
          </cell>
          <cell r="J648">
            <v>0</v>
          </cell>
          <cell r="K648">
            <v>1</v>
          </cell>
          <cell r="L648" t="str">
            <v>ENTREGA PARCIAL</v>
          </cell>
          <cell r="M648" t="str">
            <v>-</v>
          </cell>
          <cell r="N648" t="str">
            <v>OC'S METALFISA</v>
          </cell>
          <cell r="O648" t="str">
            <v>-</v>
          </cell>
          <cell r="Q648" t="str">
            <v>-</v>
          </cell>
          <cell r="S648">
            <v>3</v>
          </cell>
          <cell r="T648" t="str">
            <v>OC'S MAPHE</v>
          </cell>
          <cell r="U648">
            <v>3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6</v>
          </cell>
          <cell r="AA648">
            <v>6</v>
          </cell>
          <cell r="AB648">
            <v>0</v>
          </cell>
          <cell r="AC648">
            <v>4</v>
          </cell>
          <cell r="AD648">
            <v>-2</v>
          </cell>
        </row>
        <row r="649">
          <cell r="A649" t="str">
            <v>33.08.10258.00</v>
          </cell>
          <cell r="B649" t="str">
            <v>SUPORTE MICRORUPTOR / 33.08.10258.00</v>
          </cell>
          <cell r="C649">
            <v>46066</v>
          </cell>
          <cell r="D649" t="str">
            <v>-</v>
          </cell>
          <cell r="E649" t="str">
            <v>-</v>
          </cell>
          <cell r="F649" t="str">
            <v>-</v>
          </cell>
          <cell r="G649" t="str">
            <v>-</v>
          </cell>
          <cell r="H649" t="str">
            <v>-</v>
          </cell>
          <cell r="I649" t="str">
            <v>-</v>
          </cell>
          <cell r="J649">
            <v>0</v>
          </cell>
          <cell r="K649">
            <v>34</v>
          </cell>
          <cell r="L649" t="str">
            <v>ENTREGA PARCIAL</v>
          </cell>
          <cell r="M649" t="str">
            <v>-</v>
          </cell>
          <cell r="N649" t="str">
            <v>OC'S METALFISA</v>
          </cell>
          <cell r="O649" t="str">
            <v>-</v>
          </cell>
          <cell r="Q649">
            <v>17</v>
          </cell>
          <cell r="S649">
            <v>24</v>
          </cell>
          <cell r="T649" t="str">
            <v>OC'S MAPHE</v>
          </cell>
          <cell r="U649">
            <v>41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24</v>
          </cell>
          <cell r="AA649">
            <v>24</v>
          </cell>
          <cell r="AB649">
            <v>0</v>
          </cell>
          <cell r="AC649">
            <v>17</v>
          </cell>
          <cell r="AD649">
            <v>-7</v>
          </cell>
        </row>
        <row r="650">
          <cell r="A650" t="str">
            <v>33.08.10275.00</v>
          </cell>
          <cell r="B650" t="str">
            <v>TAMPA CENTRAL / 33.08.10275.00</v>
          </cell>
          <cell r="D650" t="str">
            <v>-</v>
          </cell>
          <cell r="E650" t="str">
            <v>-</v>
          </cell>
          <cell r="F650" t="str">
            <v>-</v>
          </cell>
          <cell r="G650" t="str">
            <v>-</v>
          </cell>
          <cell r="H650" t="str">
            <v>-</v>
          </cell>
          <cell r="I650" t="str">
            <v>-</v>
          </cell>
          <cell r="J650">
            <v>0</v>
          </cell>
          <cell r="K650">
            <v>1</v>
          </cell>
          <cell r="L650" t="str">
            <v>FALTA ENTREGA</v>
          </cell>
          <cell r="M650">
            <v>4</v>
          </cell>
          <cell r="N650" t="str">
            <v>OC'S METALFISA</v>
          </cell>
          <cell r="O650" t="str">
            <v>-</v>
          </cell>
          <cell r="Q650" t="str">
            <v>-</v>
          </cell>
          <cell r="S650" t="str">
            <v>-</v>
          </cell>
          <cell r="U650">
            <v>4</v>
          </cell>
          <cell r="V650">
            <v>0</v>
          </cell>
          <cell r="W650">
            <v>2</v>
          </cell>
          <cell r="X650">
            <v>0</v>
          </cell>
          <cell r="Y650">
            <v>0</v>
          </cell>
          <cell r="Z650">
            <v>1</v>
          </cell>
          <cell r="AA650">
            <v>3</v>
          </cell>
          <cell r="AB650">
            <v>2</v>
          </cell>
          <cell r="AC650">
            <v>0</v>
          </cell>
          <cell r="AD650">
            <v>-3</v>
          </cell>
        </row>
        <row r="651">
          <cell r="A651" t="str">
            <v>33.08.10278.00</v>
          </cell>
          <cell r="B651" t="str">
            <v>SUPORTE REGULAGEM GERADOR / 33.08.10278.00</v>
          </cell>
          <cell r="C651">
            <v>46074</v>
          </cell>
          <cell r="D651" t="str">
            <v>-</v>
          </cell>
          <cell r="E651" t="str">
            <v>-</v>
          </cell>
          <cell r="F651" t="str">
            <v>-</v>
          </cell>
          <cell r="G651" t="str">
            <v>-</v>
          </cell>
          <cell r="H651" t="str">
            <v>-</v>
          </cell>
          <cell r="I651" t="str">
            <v>-</v>
          </cell>
          <cell r="J651">
            <v>0</v>
          </cell>
          <cell r="K651">
            <v>9</v>
          </cell>
          <cell r="L651" t="str">
            <v>ENTREGA TOTAL</v>
          </cell>
          <cell r="M651" t="str">
            <v>-</v>
          </cell>
          <cell r="N651" t="str">
            <v>OC'S METALFISA</v>
          </cell>
          <cell r="O651" t="str">
            <v>-</v>
          </cell>
          <cell r="Q651">
            <v>5</v>
          </cell>
          <cell r="S651" t="str">
            <v>-</v>
          </cell>
          <cell r="U651">
            <v>5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1</v>
          </cell>
          <cell r="AA651">
            <v>1</v>
          </cell>
          <cell r="AB651">
            <v>0</v>
          </cell>
          <cell r="AC651">
            <v>5</v>
          </cell>
          <cell r="AD651">
            <v>4</v>
          </cell>
        </row>
        <row r="652">
          <cell r="A652" t="str">
            <v>33.08.10281.01</v>
          </cell>
          <cell r="B652" t="str">
            <v>SUPORTE MONTAGEM ACABAMENTOS / 33.08.10281.01</v>
          </cell>
          <cell r="C652">
            <v>46062</v>
          </cell>
          <cell r="D652" t="str">
            <v>-</v>
          </cell>
          <cell r="E652" t="str">
            <v>-</v>
          </cell>
          <cell r="F652" t="str">
            <v>-</v>
          </cell>
          <cell r="G652" t="str">
            <v>-</v>
          </cell>
          <cell r="H652" t="str">
            <v>-</v>
          </cell>
          <cell r="I652" t="str">
            <v>-</v>
          </cell>
          <cell r="J652">
            <v>0</v>
          </cell>
          <cell r="K652" t="e">
            <v>#VALUE!</v>
          </cell>
          <cell r="L652" t="str">
            <v>ENTREGA TOTAL</v>
          </cell>
          <cell r="M652" t="str">
            <v>-</v>
          </cell>
          <cell r="N652" t="str">
            <v>OC'S METALFISA</v>
          </cell>
          <cell r="O652" t="str">
            <v>-</v>
          </cell>
          <cell r="Q652">
            <v>4</v>
          </cell>
          <cell r="S652">
            <v>4</v>
          </cell>
          <cell r="T652" t="str">
            <v>OC'S MAPHE</v>
          </cell>
          <cell r="U652">
            <v>8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4</v>
          </cell>
          <cell r="AA652">
            <v>4</v>
          </cell>
          <cell r="AB652" t="str">
            <v>0</v>
          </cell>
          <cell r="AC652" t="str">
            <v>-</v>
          </cell>
          <cell r="AD652" t="str">
            <v>-</v>
          </cell>
        </row>
        <row r="653">
          <cell r="A653" t="str">
            <v>33.08.10283.00</v>
          </cell>
          <cell r="B653" t="str">
            <v>ESTICADOR ROLETE NA ESTEIRA / 33.08.10283.00</v>
          </cell>
          <cell r="D653" t="str">
            <v>-</v>
          </cell>
          <cell r="E653" t="str">
            <v>-</v>
          </cell>
          <cell r="F653" t="str">
            <v>-</v>
          </cell>
          <cell r="G653" t="str">
            <v>-</v>
          </cell>
          <cell r="H653" t="str">
            <v>-</v>
          </cell>
          <cell r="I653" t="str">
            <v>-</v>
          </cell>
          <cell r="J653">
            <v>0</v>
          </cell>
          <cell r="K653">
            <v>8</v>
          </cell>
          <cell r="L653" t="str">
            <v>FALTA ENTREGA</v>
          </cell>
          <cell r="M653">
            <v>108</v>
          </cell>
          <cell r="N653" t="str">
            <v>OC'S METALFISA</v>
          </cell>
          <cell r="O653" t="str">
            <v>-</v>
          </cell>
          <cell r="Q653" t="str">
            <v>-</v>
          </cell>
          <cell r="S653" t="str">
            <v>-</v>
          </cell>
          <cell r="U653">
            <v>108</v>
          </cell>
          <cell r="V653">
            <v>0</v>
          </cell>
          <cell r="W653">
            <v>20</v>
          </cell>
          <cell r="X653">
            <v>8</v>
          </cell>
          <cell r="Y653">
            <v>0</v>
          </cell>
          <cell r="Z653">
            <v>72</v>
          </cell>
          <cell r="AA653">
            <v>100</v>
          </cell>
          <cell r="AB653">
            <v>20</v>
          </cell>
          <cell r="AC653">
            <v>0</v>
          </cell>
          <cell r="AD653">
            <v>-100</v>
          </cell>
        </row>
        <row r="654">
          <cell r="A654" t="str">
            <v>33.08.10284.00</v>
          </cell>
          <cell r="B654" t="str">
            <v>CALCO SUPORTE DO ROLETE / 33.08.10284.00</v>
          </cell>
          <cell r="C654">
            <v>46074</v>
          </cell>
          <cell r="D654" t="str">
            <v>-</v>
          </cell>
          <cell r="E654" t="str">
            <v>-</v>
          </cell>
          <cell r="F654" t="str">
            <v>-</v>
          </cell>
          <cell r="G654" t="str">
            <v>-</v>
          </cell>
          <cell r="H654" t="str">
            <v>-</v>
          </cell>
          <cell r="I654" t="str">
            <v>-</v>
          </cell>
          <cell r="J654">
            <v>0</v>
          </cell>
          <cell r="K654">
            <v>44</v>
          </cell>
          <cell r="L654" t="str">
            <v>ENTREGA PARCIAL</v>
          </cell>
          <cell r="M654" t="str">
            <v>-</v>
          </cell>
          <cell r="N654" t="str">
            <v>OC'S METALFISA</v>
          </cell>
          <cell r="O654" t="str">
            <v>-</v>
          </cell>
          <cell r="Q654">
            <v>97</v>
          </cell>
          <cell r="S654">
            <v>4</v>
          </cell>
          <cell r="T654" t="str">
            <v>OC'S MAPHE</v>
          </cell>
          <cell r="U654">
            <v>101</v>
          </cell>
          <cell r="V654">
            <v>0</v>
          </cell>
          <cell r="W654">
            <v>23</v>
          </cell>
          <cell r="X654">
            <v>0</v>
          </cell>
          <cell r="Y654">
            <v>0</v>
          </cell>
          <cell r="Z654">
            <v>68</v>
          </cell>
          <cell r="AA654">
            <v>91</v>
          </cell>
          <cell r="AB654">
            <v>0</v>
          </cell>
          <cell r="AC654">
            <v>34</v>
          </cell>
          <cell r="AD654">
            <v>-57</v>
          </cell>
        </row>
        <row r="655">
          <cell r="A655" t="str">
            <v>33.08.10285.00</v>
          </cell>
          <cell r="B655" t="str">
            <v>SUPORTE DO ROLETE / 33.08.10285.00</v>
          </cell>
          <cell r="D655" t="str">
            <v>-</v>
          </cell>
          <cell r="E655">
            <v>4</v>
          </cell>
          <cell r="F655" t="str">
            <v>-</v>
          </cell>
          <cell r="G655" t="str">
            <v>-</v>
          </cell>
          <cell r="H655" t="str">
            <v>-</v>
          </cell>
          <cell r="I655" t="str">
            <v>-</v>
          </cell>
          <cell r="J655">
            <v>4</v>
          </cell>
          <cell r="K655">
            <v>16</v>
          </cell>
          <cell r="L655" t="str">
            <v>FALTA ENTREGA</v>
          </cell>
          <cell r="M655" t="str">
            <v>-</v>
          </cell>
          <cell r="N655" t="str">
            <v>OC'S METALFISA</v>
          </cell>
          <cell r="O655" t="str">
            <v>-</v>
          </cell>
          <cell r="Q655" t="str">
            <v>-</v>
          </cell>
          <cell r="S655">
            <v>36</v>
          </cell>
          <cell r="T655" t="str">
            <v>OC'S MAPHE</v>
          </cell>
          <cell r="U655">
            <v>36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24</v>
          </cell>
          <cell r="AA655">
            <v>24</v>
          </cell>
          <cell r="AB655">
            <v>0</v>
          </cell>
          <cell r="AC655">
            <v>0</v>
          </cell>
          <cell r="AD655">
            <v>-24</v>
          </cell>
        </row>
        <row r="656">
          <cell r="A656" t="str">
            <v>33.08.10288.01</v>
          </cell>
          <cell r="B656" t="str">
            <v>SUPORTE CORTINA NA MAQUINA / 33.08.10288.01</v>
          </cell>
          <cell r="C656">
            <v>46076</v>
          </cell>
          <cell r="D656" t="str">
            <v>-</v>
          </cell>
          <cell r="E656" t="str">
            <v>-</v>
          </cell>
          <cell r="F656" t="str">
            <v>-</v>
          </cell>
          <cell r="G656" t="str">
            <v>-</v>
          </cell>
          <cell r="H656" t="str">
            <v>-</v>
          </cell>
          <cell r="I656" t="str">
            <v>-</v>
          </cell>
          <cell r="J656">
            <v>0</v>
          </cell>
          <cell r="K656">
            <v>-12</v>
          </cell>
          <cell r="L656" t="str">
            <v>ENTREGA PARCIAL</v>
          </cell>
          <cell r="M656" t="str">
            <v>-</v>
          </cell>
          <cell r="N656" t="str">
            <v>OC'S METALFISA</v>
          </cell>
          <cell r="O656" t="str">
            <v>-</v>
          </cell>
          <cell r="Q656">
            <v>10</v>
          </cell>
          <cell r="S656">
            <v>8</v>
          </cell>
          <cell r="T656" t="str">
            <v>OC'S MAPHE</v>
          </cell>
          <cell r="U656">
            <v>18</v>
          </cell>
          <cell r="V656">
            <v>18</v>
          </cell>
          <cell r="W656">
            <v>8</v>
          </cell>
          <cell r="X656">
            <v>0</v>
          </cell>
          <cell r="Y656">
            <v>0</v>
          </cell>
          <cell r="Z656">
            <v>8</v>
          </cell>
          <cell r="AA656">
            <v>34</v>
          </cell>
          <cell r="AB656">
            <v>2</v>
          </cell>
          <cell r="AC656">
            <v>4</v>
          </cell>
          <cell r="AD656">
            <v>-30</v>
          </cell>
        </row>
        <row r="657">
          <cell r="A657" t="str">
            <v>33.08.10289.00</v>
          </cell>
          <cell r="B657" t="str">
            <v>CHAPA INTERMEDIARIA PARA CORTINA / 33.08.10289.00</v>
          </cell>
          <cell r="D657" t="str">
            <v>-</v>
          </cell>
          <cell r="E657" t="str">
            <v>-</v>
          </cell>
          <cell r="F657" t="str">
            <v>-</v>
          </cell>
          <cell r="G657" t="str">
            <v>-</v>
          </cell>
          <cell r="H657" t="str">
            <v>-</v>
          </cell>
          <cell r="I657" t="str">
            <v>-</v>
          </cell>
          <cell r="J657">
            <v>0</v>
          </cell>
          <cell r="K657">
            <v>-16</v>
          </cell>
          <cell r="L657" t="str">
            <v>FALTA ENTREGA</v>
          </cell>
          <cell r="M657" t="str">
            <v>-</v>
          </cell>
          <cell r="N657" t="str">
            <v>OC'S METALFISA</v>
          </cell>
          <cell r="O657" t="str">
            <v>-</v>
          </cell>
          <cell r="Q657">
            <v>11</v>
          </cell>
          <cell r="S657" t="str">
            <v>-</v>
          </cell>
          <cell r="U657">
            <v>11</v>
          </cell>
          <cell r="V657">
            <v>11</v>
          </cell>
          <cell r="W657">
            <v>8</v>
          </cell>
          <cell r="X657">
            <v>0</v>
          </cell>
          <cell r="Y657">
            <v>0</v>
          </cell>
          <cell r="Z657">
            <v>8</v>
          </cell>
          <cell r="AA657">
            <v>27</v>
          </cell>
          <cell r="AB657">
            <v>0</v>
          </cell>
          <cell r="AC657">
            <v>0</v>
          </cell>
          <cell r="AD657">
            <v>-27</v>
          </cell>
        </row>
        <row r="658">
          <cell r="A658" t="str">
            <v>33.08.10290.01</v>
          </cell>
          <cell r="B658" t="str">
            <v>CHAPA DE TRAVA DA CORTINA / 33.08.10290.01</v>
          </cell>
          <cell r="C658">
            <v>46066</v>
          </cell>
          <cell r="D658" t="str">
            <v>-</v>
          </cell>
          <cell r="E658" t="str">
            <v>-</v>
          </cell>
          <cell r="F658" t="str">
            <v>-</v>
          </cell>
          <cell r="G658" t="str">
            <v>-</v>
          </cell>
          <cell r="H658" t="str">
            <v>-</v>
          </cell>
          <cell r="I658" t="str">
            <v>-</v>
          </cell>
          <cell r="J658">
            <v>0</v>
          </cell>
          <cell r="K658">
            <v>28</v>
          </cell>
          <cell r="L658" t="str">
            <v>ENTREGA PARCIAL</v>
          </cell>
          <cell r="M658" t="str">
            <v>-</v>
          </cell>
          <cell r="N658" t="str">
            <v>OC'S METALFISA</v>
          </cell>
          <cell r="O658" t="str">
            <v>-</v>
          </cell>
          <cell r="Q658">
            <v>7</v>
          </cell>
          <cell r="S658">
            <v>24</v>
          </cell>
          <cell r="T658" t="str">
            <v>OC'S MAPHE</v>
          </cell>
          <cell r="U658">
            <v>31</v>
          </cell>
          <cell r="V658">
            <v>7</v>
          </cell>
          <cell r="W658">
            <v>8</v>
          </cell>
          <cell r="X658">
            <v>0</v>
          </cell>
          <cell r="Y658">
            <v>0</v>
          </cell>
          <cell r="Z658">
            <v>8</v>
          </cell>
          <cell r="AA658">
            <v>23</v>
          </cell>
          <cell r="AB658">
            <v>0</v>
          </cell>
          <cell r="AC658">
            <v>20</v>
          </cell>
          <cell r="AD658">
            <v>-3</v>
          </cell>
        </row>
        <row r="659">
          <cell r="A659" t="str">
            <v>33.08.10291.02</v>
          </cell>
          <cell r="B659" t="str">
            <v>TAMPA LATERAL COM CAMERA / 33.08.10291.02</v>
          </cell>
          <cell r="C659">
            <v>46072</v>
          </cell>
          <cell r="D659" t="str">
            <v>-</v>
          </cell>
          <cell r="E659" t="str">
            <v>-</v>
          </cell>
          <cell r="F659" t="str">
            <v>-</v>
          </cell>
          <cell r="G659" t="str">
            <v>-</v>
          </cell>
          <cell r="H659" t="str">
            <v>-</v>
          </cell>
          <cell r="I659" t="str">
            <v>-</v>
          </cell>
          <cell r="J659">
            <v>0</v>
          </cell>
          <cell r="K659">
            <v>8</v>
          </cell>
          <cell r="L659" t="str">
            <v>ENTREGA TOTAL</v>
          </cell>
          <cell r="M659" t="str">
            <v>-</v>
          </cell>
          <cell r="N659" t="str">
            <v>OC'S METALFISA</v>
          </cell>
          <cell r="O659" t="str">
            <v>-</v>
          </cell>
          <cell r="Q659" t="str">
            <v>-</v>
          </cell>
          <cell r="S659">
            <v>8</v>
          </cell>
          <cell r="T659" t="str">
            <v>OC'S MAPHE</v>
          </cell>
          <cell r="U659">
            <v>8</v>
          </cell>
          <cell r="V659">
            <v>0</v>
          </cell>
          <cell r="W659">
            <v>2</v>
          </cell>
          <cell r="X659">
            <v>0</v>
          </cell>
          <cell r="Y659">
            <v>0</v>
          </cell>
          <cell r="Z659">
            <v>2</v>
          </cell>
          <cell r="AA659">
            <v>4</v>
          </cell>
          <cell r="AB659">
            <v>0</v>
          </cell>
          <cell r="AC659">
            <v>4</v>
          </cell>
          <cell r="AD659">
            <v>0</v>
          </cell>
        </row>
        <row r="660">
          <cell r="A660" t="str">
            <v>33.08.10293.00</v>
          </cell>
          <cell r="B660" t="str">
            <v>TRAVESSA LADO DV / 33.08.10293.00</v>
          </cell>
          <cell r="C660">
            <v>46062</v>
          </cell>
          <cell r="D660" t="str">
            <v>-</v>
          </cell>
          <cell r="E660" t="str">
            <v>-</v>
          </cell>
          <cell r="F660" t="str">
            <v>-</v>
          </cell>
          <cell r="G660" t="str">
            <v>-</v>
          </cell>
          <cell r="H660" t="str">
            <v>-</v>
          </cell>
          <cell r="I660" t="str">
            <v>-</v>
          </cell>
          <cell r="J660">
            <v>0</v>
          </cell>
          <cell r="K660">
            <v>0</v>
          </cell>
          <cell r="L660" t="str">
            <v>ENTREGA PARCIAL</v>
          </cell>
          <cell r="M660" t="str">
            <v>-</v>
          </cell>
          <cell r="N660" t="str">
            <v>OC'S METALFISA</v>
          </cell>
          <cell r="O660" t="str">
            <v>-</v>
          </cell>
          <cell r="Q660">
            <v>2</v>
          </cell>
          <cell r="S660">
            <v>2</v>
          </cell>
          <cell r="T660" t="str">
            <v>OC'S MAPHE</v>
          </cell>
          <cell r="U660">
            <v>4</v>
          </cell>
          <cell r="V660">
            <v>0</v>
          </cell>
          <cell r="W660">
            <v>2</v>
          </cell>
          <cell r="X660">
            <v>0</v>
          </cell>
          <cell r="Y660">
            <v>0</v>
          </cell>
          <cell r="Z660">
            <v>4</v>
          </cell>
          <cell r="AA660">
            <v>6</v>
          </cell>
          <cell r="AB660">
            <v>0</v>
          </cell>
          <cell r="AC660">
            <v>2</v>
          </cell>
          <cell r="AD660">
            <v>-4</v>
          </cell>
        </row>
        <row r="661">
          <cell r="A661" t="str">
            <v>33.08.10303.01</v>
          </cell>
          <cell r="B661" t="str">
            <v>TRAVESSA LADO SV / 33.08.10303.01</v>
          </cell>
          <cell r="C661">
            <v>46062</v>
          </cell>
          <cell r="D661" t="str">
            <v>-</v>
          </cell>
          <cell r="E661" t="str">
            <v>-</v>
          </cell>
          <cell r="F661" t="str">
            <v>-</v>
          </cell>
          <cell r="G661" t="str">
            <v>-</v>
          </cell>
          <cell r="H661" t="str">
            <v>-</v>
          </cell>
          <cell r="I661" t="str">
            <v>-</v>
          </cell>
          <cell r="J661">
            <v>0</v>
          </cell>
          <cell r="K661">
            <v>3</v>
          </cell>
          <cell r="L661" t="str">
            <v>ENTREGA PARCIAL</v>
          </cell>
          <cell r="M661" t="str">
            <v>-</v>
          </cell>
          <cell r="N661" t="str">
            <v>OC'S METALFISA</v>
          </cell>
          <cell r="O661" t="str">
            <v>-</v>
          </cell>
          <cell r="Q661">
            <v>2</v>
          </cell>
          <cell r="S661">
            <v>2</v>
          </cell>
          <cell r="T661" t="str">
            <v>OC'S MAPHE</v>
          </cell>
          <cell r="U661">
            <v>4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3</v>
          </cell>
          <cell r="AA661">
            <v>3</v>
          </cell>
          <cell r="AB661">
            <v>0</v>
          </cell>
          <cell r="AC661">
            <v>2</v>
          </cell>
          <cell r="AD661">
            <v>-1</v>
          </cell>
        </row>
        <row r="662">
          <cell r="A662" t="str">
            <v>33.08.10305.00</v>
          </cell>
          <cell r="B662" t="str">
            <v>SILKAGEM TAMPA LATERAL INGLES FRANCES / 33.08.10305.00</v>
          </cell>
          <cell r="D662" t="str">
            <v>-</v>
          </cell>
          <cell r="E662" t="str">
            <v>-</v>
          </cell>
          <cell r="F662" t="str">
            <v>-</v>
          </cell>
          <cell r="G662" t="str">
            <v>-</v>
          </cell>
          <cell r="H662" t="str">
            <v>-</v>
          </cell>
          <cell r="I662">
            <v>2</v>
          </cell>
          <cell r="J662">
            <v>2</v>
          </cell>
          <cell r="K662">
            <v>4</v>
          </cell>
          <cell r="L662" t="str">
            <v>FALTA ENTREGA</v>
          </cell>
          <cell r="M662">
            <v>4</v>
          </cell>
          <cell r="N662" t="str">
            <v>OC'S METALFISA</v>
          </cell>
          <cell r="O662" t="str">
            <v>-</v>
          </cell>
          <cell r="Q662" t="str">
            <v>-</v>
          </cell>
          <cell r="S662" t="str">
            <v>-</v>
          </cell>
          <cell r="U662">
            <v>4</v>
          </cell>
          <cell r="V662">
            <v>0</v>
          </cell>
          <cell r="W662">
            <v>1</v>
          </cell>
          <cell r="X662">
            <v>0</v>
          </cell>
          <cell r="Y662">
            <v>0</v>
          </cell>
          <cell r="Z662">
            <v>1</v>
          </cell>
          <cell r="AA662">
            <v>2</v>
          </cell>
          <cell r="AB662">
            <v>1</v>
          </cell>
          <cell r="AC662">
            <v>0</v>
          </cell>
          <cell r="AD662">
            <v>-2</v>
          </cell>
        </row>
        <row r="663">
          <cell r="A663" t="str">
            <v>33.08.10307.00</v>
          </cell>
          <cell r="B663" t="str">
            <v>SILKAGEM TAMPA LATERAL INGLES FRANCES / 33.08.10307.00</v>
          </cell>
          <cell r="D663" t="str">
            <v>-</v>
          </cell>
          <cell r="E663" t="str">
            <v>-</v>
          </cell>
          <cell r="F663" t="str">
            <v>-</v>
          </cell>
          <cell r="G663" t="str">
            <v>-</v>
          </cell>
          <cell r="H663" t="str">
            <v>-</v>
          </cell>
          <cell r="I663">
            <v>2</v>
          </cell>
          <cell r="J663">
            <v>2</v>
          </cell>
          <cell r="K663">
            <v>5</v>
          </cell>
          <cell r="L663" t="str">
            <v>FALTA ENTREGA</v>
          </cell>
          <cell r="M663">
            <v>7</v>
          </cell>
          <cell r="N663" t="str">
            <v>OC'S METALFISA</v>
          </cell>
          <cell r="O663" t="str">
            <v>-</v>
          </cell>
          <cell r="Q663" t="str">
            <v>-</v>
          </cell>
          <cell r="S663" t="str">
            <v>-</v>
          </cell>
          <cell r="U663">
            <v>7</v>
          </cell>
          <cell r="V663">
            <v>0</v>
          </cell>
          <cell r="W663">
            <v>2</v>
          </cell>
          <cell r="X663">
            <v>0</v>
          </cell>
          <cell r="Y663">
            <v>0</v>
          </cell>
          <cell r="Z663">
            <v>2</v>
          </cell>
          <cell r="AA663">
            <v>4</v>
          </cell>
          <cell r="AB663">
            <v>1</v>
          </cell>
          <cell r="AC663">
            <v>0</v>
          </cell>
          <cell r="AD663">
            <v>-4</v>
          </cell>
        </row>
        <row r="664">
          <cell r="A664" t="str">
            <v>33.08.10308.00</v>
          </cell>
          <cell r="B664" t="str">
            <v>TAMPA CEGA ENTRADA CABOS NA BASE / 33.08.10308.00</v>
          </cell>
          <cell r="C664">
            <v>46076</v>
          </cell>
          <cell r="D664" t="str">
            <v>-</v>
          </cell>
          <cell r="E664" t="str">
            <v>-</v>
          </cell>
          <cell r="F664" t="str">
            <v>-</v>
          </cell>
          <cell r="G664" t="str">
            <v>-</v>
          </cell>
          <cell r="H664" t="str">
            <v>-</v>
          </cell>
          <cell r="I664" t="str">
            <v>-</v>
          </cell>
          <cell r="J664">
            <v>0</v>
          </cell>
          <cell r="K664">
            <v>2</v>
          </cell>
          <cell r="L664" t="str">
            <v>FALTA ENTREGA</v>
          </cell>
          <cell r="M664" t="str">
            <v>-</v>
          </cell>
          <cell r="N664" t="str">
            <v>OC'S METALFISA</v>
          </cell>
          <cell r="O664" t="str">
            <v>-</v>
          </cell>
          <cell r="Q664" t="str">
            <v>-</v>
          </cell>
          <cell r="S664">
            <v>5</v>
          </cell>
          <cell r="T664" t="str">
            <v>OC'S MAPHE</v>
          </cell>
          <cell r="U664">
            <v>5</v>
          </cell>
          <cell r="V664">
            <v>0</v>
          </cell>
          <cell r="W664">
            <v>3</v>
          </cell>
          <cell r="X664">
            <v>0</v>
          </cell>
          <cell r="Y664">
            <v>0</v>
          </cell>
          <cell r="Z664">
            <v>0</v>
          </cell>
          <cell r="AA664">
            <v>3</v>
          </cell>
          <cell r="AB664">
            <v>3</v>
          </cell>
          <cell r="AC664">
            <v>0</v>
          </cell>
          <cell r="AD664">
            <v>-3</v>
          </cell>
        </row>
        <row r="665">
          <cell r="A665" t="str">
            <v>33.08.10310.00</v>
          </cell>
          <cell r="B665" t="str">
            <v>REFORCO QUADRO ELETRICO / 33.08.10310.00</v>
          </cell>
          <cell r="C665">
            <v>46066</v>
          </cell>
          <cell r="D665" t="str">
            <v>-</v>
          </cell>
          <cell r="E665" t="str">
            <v>-</v>
          </cell>
          <cell r="F665" t="str">
            <v>-</v>
          </cell>
          <cell r="G665" t="str">
            <v>-</v>
          </cell>
          <cell r="H665" t="str">
            <v>-</v>
          </cell>
          <cell r="I665" t="str">
            <v>-</v>
          </cell>
          <cell r="J665">
            <v>0</v>
          </cell>
          <cell r="K665">
            <v>4</v>
          </cell>
          <cell r="L665" t="str">
            <v>ENTREGA TOTAL</v>
          </cell>
          <cell r="M665" t="str">
            <v>-</v>
          </cell>
          <cell r="N665" t="str">
            <v>OC'S METALFISA</v>
          </cell>
          <cell r="O665" t="str">
            <v>-</v>
          </cell>
          <cell r="Q665">
            <v>2</v>
          </cell>
          <cell r="S665">
            <v>2</v>
          </cell>
          <cell r="T665" t="str">
            <v>OC'S MAPHE</v>
          </cell>
          <cell r="U665">
            <v>4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2</v>
          </cell>
          <cell r="AA665">
            <v>2</v>
          </cell>
          <cell r="AB665">
            <v>0</v>
          </cell>
          <cell r="AC665">
            <v>2</v>
          </cell>
          <cell r="AD665">
            <v>0</v>
          </cell>
        </row>
        <row r="666">
          <cell r="A666" t="str">
            <v>33.08.10355.00</v>
          </cell>
          <cell r="B666" t="str">
            <v>CHAPA DO PAINEL ELETRICO / 33.08.10355.00</v>
          </cell>
          <cell r="D666" t="str">
            <v>-</v>
          </cell>
          <cell r="E666" t="str">
            <v>-</v>
          </cell>
          <cell r="F666" t="str">
            <v>-</v>
          </cell>
          <cell r="G666" t="str">
            <v>-</v>
          </cell>
          <cell r="H666" t="str">
            <v>-</v>
          </cell>
          <cell r="I666" t="str">
            <v>-</v>
          </cell>
          <cell r="J666">
            <v>0</v>
          </cell>
          <cell r="K666">
            <v>2</v>
          </cell>
          <cell r="L666" t="str">
            <v>FALTA ENTREGA</v>
          </cell>
          <cell r="M666" t="str">
            <v>-</v>
          </cell>
          <cell r="N666" t="str">
            <v>OC'S METALFISA</v>
          </cell>
          <cell r="O666" t="str">
            <v>-</v>
          </cell>
          <cell r="Q666">
            <v>2</v>
          </cell>
          <cell r="S666">
            <v>2</v>
          </cell>
          <cell r="T666" t="str">
            <v>OC'S MAPHE</v>
          </cell>
          <cell r="U666">
            <v>4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2</v>
          </cell>
          <cell r="AA666">
            <v>2</v>
          </cell>
          <cell r="AB666">
            <v>0</v>
          </cell>
          <cell r="AC666">
            <v>0</v>
          </cell>
          <cell r="AD666">
            <v>-2</v>
          </cell>
        </row>
        <row r="667">
          <cell r="A667" t="str">
            <v>33.08.10356.00</v>
          </cell>
          <cell r="B667" t="str">
            <v>SUPORTE PARA FIXACAO DO PAINEL ELETRICO / 33.08.10356.00</v>
          </cell>
          <cell r="C667">
            <v>46062</v>
          </cell>
          <cell r="D667" t="str">
            <v>-</v>
          </cell>
          <cell r="E667" t="str">
            <v>-</v>
          </cell>
          <cell r="F667" t="str">
            <v>-</v>
          </cell>
          <cell r="G667" t="str">
            <v>-</v>
          </cell>
          <cell r="H667" t="str">
            <v>-</v>
          </cell>
          <cell r="I667" t="str">
            <v>-</v>
          </cell>
          <cell r="J667">
            <v>0</v>
          </cell>
          <cell r="K667">
            <v>4</v>
          </cell>
          <cell r="L667" t="str">
            <v>ENTREGA TOTAL</v>
          </cell>
          <cell r="M667" t="str">
            <v>-</v>
          </cell>
          <cell r="N667" t="str">
            <v>OC'S METALFISA</v>
          </cell>
          <cell r="O667" t="str">
            <v>-</v>
          </cell>
          <cell r="Q667">
            <v>2</v>
          </cell>
          <cell r="S667">
            <v>2</v>
          </cell>
          <cell r="T667" t="str">
            <v>OC'S MAPHE</v>
          </cell>
          <cell r="U667">
            <v>4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2</v>
          </cell>
          <cell r="AA667">
            <v>2</v>
          </cell>
          <cell r="AB667">
            <v>0</v>
          </cell>
          <cell r="AC667">
            <v>2</v>
          </cell>
          <cell r="AD667">
            <v>0</v>
          </cell>
        </row>
        <row r="668">
          <cell r="A668" t="str">
            <v>33.08.10358.00</v>
          </cell>
          <cell r="B668" t="str">
            <v>SUPORTE PARA PAINEL ELETRICO / 33.08.10358.00</v>
          </cell>
          <cell r="C668">
            <v>46066</v>
          </cell>
          <cell r="D668" t="str">
            <v>-</v>
          </cell>
          <cell r="E668" t="str">
            <v>-</v>
          </cell>
          <cell r="F668" t="str">
            <v>-</v>
          </cell>
          <cell r="G668" t="str">
            <v>-</v>
          </cell>
          <cell r="H668" t="str">
            <v>-</v>
          </cell>
          <cell r="I668" t="str">
            <v>-</v>
          </cell>
          <cell r="J668">
            <v>0</v>
          </cell>
          <cell r="K668">
            <v>8</v>
          </cell>
          <cell r="L668" t="str">
            <v>ENTREGA TOTAL</v>
          </cell>
          <cell r="M668" t="str">
            <v>-</v>
          </cell>
          <cell r="N668" t="str">
            <v>OC'S METALFISA</v>
          </cell>
          <cell r="O668" t="str">
            <v>-</v>
          </cell>
          <cell r="Q668">
            <v>4</v>
          </cell>
          <cell r="S668">
            <v>4</v>
          </cell>
          <cell r="T668" t="str">
            <v>OC'S MAPHE</v>
          </cell>
          <cell r="U668">
            <v>8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4</v>
          </cell>
          <cell r="AA668">
            <v>4</v>
          </cell>
          <cell r="AB668">
            <v>0</v>
          </cell>
          <cell r="AC668">
            <v>4</v>
          </cell>
          <cell r="AD668">
            <v>0</v>
          </cell>
        </row>
        <row r="669">
          <cell r="A669" t="str">
            <v>33.08.10362.00</v>
          </cell>
          <cell r="B669" t="str">
            <v>SUPORTE PARA APOIO DO PAINEL ELETRICO / 33.08.10362.00</v>
          </cell>
          <cell r="D669" t="str">
            <v>-</v>
          </cell>
          <cell r="E669" t="str">
            <v>-</v>
          </cell>
          <cell r="F669" t="str">
            <v>-</v>
          </cell>
          <cell r="G669" t="str">
            <v>-</v>
          </cell>
          <cell r="H669" t="str">
            <v>-</v>
          </cell>
          <cell r="I669" t="str">
            <v>-</v>
          </cell>
          <cell r="J669">
            <v>0</v>
          </cell>
          <cell r="K669">
            <v>2</v>
          </cell>
          <cell r="L669" t="str">
            <v>FALTA ENTREGA</v>
          </cell>
          <cell r="M669" t="str">
            <v>-</v>
          </cell>
          <cell r="N669" t="str">
            <v>OC'S METALFISA</v>
          </cell>
          <cell r="O669" t="str">
            <v>-</v>
          </cell>
          <cell r="Q669">
            <v>1</v>
          </cell>
          <cell r="S669">
            <v>2</v>
          </cell>
          <cell r="T669" t="str">
            <v>OC'S MAPHE</v>
          </cell>
          <cell r="U669">
            <v>3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1</v>
          </cell>
          <cell r="AA669">
            <v>1</v>
          </cell>
          <cell r="AB669">
            <v>0</v>
          </cell>
          <cell r="AC669">
            <v>0</v>
          </cell>
          <cell r="AD669">
            <v>-1</v>
          </cell>
        </row>
        <row r="670">
          <cell r="A670" t="str">
            <v>33.08.10370.00</v>
          </cell>
          <cell r="B670" t="str">
            <v>ESTRUTURA GAIOLA HORIZONTAL DV 100100 H PLACAS VMIS / 33.08.10370.00</v>
          </cell>
          <cell r="D670" t="str">
            <v>-</v>
          </cell>
          <cell r="E670" t="str">
            <v>-</v>
          </cell>
          <cell r="F670" t="str">
            <v>-</v>
          </cell>
          <cell r="G670" t="str">
            <v>-</v>
          </cell>
          <cell r="H670" t="str">
            <v>-</v>
          </cell>
          <cell r="I670" t="str">
            <v>-</v>
          </cell>
          <cell r="J670">
            <v>0</v>
          </cell>
          <cell r="K670">
            <v>2</v>
          </cell>
          <cell r="L670" t="str">
            <v>FALTA ENTREGA</v>
          </cell>
          <cell r="M670" t="str">
            <v>-</v>
          </cell>
          <cell r="N670" t="str">
            <v>OC'S METALFISA</v>
          </cell>
          <cell r="O670" t="str">
            <v>-</v>
          </cell>
          <cell r="Q670">
            <v>2</v>
          </cell>
          <cell r="S670">
            <v>3</v>
          </cell>
          <cell r="T670" t="str">
            <v>OC'S MAPHE</v>
          </cell>
          <cell r="U670">
            <v>5</v>
          </cell>
          <cell r="V670">
            <v>0</v>
          </cell>
          <cell r="W670">
            <v>3</v>
          </cell>
          <cell r="X670">
            <v>0</v>
          </cell>
          <cell r="Y670">
            <v>0</v>
          </cell>
          <cell r="Z670">
            <v>0</v>
          </cell>
          <cell r="AA670">
            <v>3</v>
          </cell>
          <cell r="AB670">
            <v>3</v>
          </cell>
          <cell r="AC670">
            <v>0</v>
          </cell>
          <cell r="AD670">
            <v>-3</v>
          </cell>
        </row>
        <row r="671">
          <cell r="A671" t="str">
            <v>33.08.10395.00</v>
          </cell>
          <cell r="B671" t="str">
            <v>ESTRUTURA GAIOLA VERTICAL CAIXA L SV VMIS / 33.08.10395.00</v>
          </cell>
          <cell r="D671" t="str">
            <v>-</v>
          </cell>
          <cell r="E671" t="str">
            <v>-</v>
          </cell>
          <cell r="F671" t="str">
            <v>-</v>
          </cell>
          <cell r="G671" t="str">
            <v>-</v>
          </cell>
          <cell r="H671" t="str">
            <v>-</v>
          </cell>
          <cell r="I671" t="str">
            <v>-</v>
          </cell>
          <cell r="J671">
            <v>0</v>
          </cell>
          <cell r="K671">
            <v>2</v>
          </cell>
          <cell r="L671" t="str">
            <v>FALTA ENTREGA</v>
          </cell>
          <cell r="M671" t="str">
            <v>-</v>
          </cell>
          <cell r="N671" t="str">
            <v>OC'S METALFISA</v>
          </cell>
          <cell r="O671" t="str">
            <v>-</v>
          </cell>
          <cell r="Q671">
            <v>2</v>
          </cell>
          <cell r="S671">
            <v>3</v>
          </cell>
          <cell r="T671" t="str">
            <v>OC'S MAPHE</v>
          </cell>
          <cell r="U671">
            <v>5</v>
          </cell>
          <cell r="V671">
            <v>0</v>
          </cell>
          <cell r="W671">
            <v>3</v>
          </cell>
          <cell r="X671">
            <v>0</v>
          </cell>
          <cell r="Y671">
            <v>0</v>
          </cell>
          <cell r="Z671">
            <v>0</v>
          </cell>
          <cell r="AA671">
            <v>3</v>
          </cell>
          <cell r="AB671">
            <v>3</v>
          </cell>
          <cell r="AC671">
            <v>0</v>
          </cell>
          <cell r="AD671">
            <v>-3</v>
          </cell>
        </row>
        <row r="672">
          <cell r="A672" t="str">
            <v>33.08.10562.00</v>
          </cell>
          <cell r="B672" t="str">
            <v>ESTRUTURA GAIOLA VERTICAL DETECTORAS VMI / 33.08.10562.00</v>
          </cell>
          <cell r="D672" t="str">
            <v>-</v>
          </cell>
          <cell r="E672" t="str">
            <v>-</v>
          </cell>
          <cell r="F672" t="str">
            <v>-</v>
          </cell>
          <cell r="G672" t="str">
            <v>-</v>
          </cell>
          <cell r="H672" t="str">
            <v>-</v>
          </cell>
          <cell r="I672" t="str">
            <v>-</v>
          </cell>
          <cell r="J672">
            <v>0</v>
          </cell>
          <cell r="K672">
            <v>2</v>
          </cell>
          <cell r="L672" t="str">
            <v>FALTA ENTREGA</v>
          </cell>
          <cell r="M672" t="str">
            <v>-</v>
          </cell>
          <cell r="N672" t="str">
            <v>OC'S METALFISA</v>
          </cell>
          <cell r="O672" t="str">
            <v>-</v>
          </cell>
          <cell r="Q672">
            <v>2</v>
          </cell>
          <cell r="S672">
            <v>3</v>
          </cell>
          <cell r="T672" t="str">
            <v>OC'S MAPHE</v>
          </cell>
          <cell r="U672">
            <v>5</v>
          </cell>
          <cell r="V672">
            <v>0</v>
          </cell>
          <cell r="W672">
            <v>3</v>
          </cell>
          <cell r="X672">
            <v>0</v>
          </cell>
          <cell r="Y672">
            <v>0</v>
          </cell>
          <cell r="Z672">
            <v>0</v>
          </cell>
          <cell r="AA672">
            <v>3</v>
          </cell>
          <cell r="AB672">
            <v>3</v>
          </cell>
          <cell r="AC672">
            <v>0</v>
          </cell>
          <cell r="AD672">
            <v>-3</v>
          </cell>
        </row>
        <row r="673">
          <cell r="A673" t="str">
            <v>33.08.10567.00</v>
          </cell>
          <cell r="B673" t="str">
            <v>CHAPA CENTRAL GAIOLA SUPORTE DETECTOR / 33.08.10567.00</v>
          </cell>
          <cell r="D673" t="str">
            <v>-</v>
          </cell>
          <cell r="E673" t="str">
            <v>-</v>
          </cell>
          <cell r="F673" t="str">
            <v>-</v>
          </cell>
          <cell r="G673" t="str">
            <v>-</v>
          </cell>
          <cell r="H673" t="str">
            <v>-</v>
          </cell>
          <cell r="I673" t="str">
            <v>-</v>
          </cell>
          <cell r="J673">
            <v>0</v>
          </cell>
          <cell r="K673">
            <v>72</v>
          </cell>
          <cell r="L673" t="str">
            <v>FALTA ENTREGA</v>
          </cell>
          <cell r="M673" t="str">
            <v>-</v>
          </cell>
          <cell r="N673" t="str">
            <v>OC'S METALFISA</v>
          </cell>
          <cell r="O673" t="str">
            <v>-</v>
          </cell>
          <cell r="Q673">
            <v>72</v>
          </cell>
          <cell r="S673">
            <v>108</v>
          </cell>
          <cell r="T673" t="str">
            <v>OC'S MAPHE</v>
          </cell>
          <cell r="U673">
            <v>180</v>
          </cell>
          <cell r="V673">
            <v>0</v>
          </cell>
          <cell r="W673">
            <v>108</v>
          </cell>
          <cell r="X673">
            <v>0</v>
          </cell>
          <cell r="Y673">
            <v>0</v>
          </cell>
          <cell r="Z673">
            <v>0</v>
          </cell>
          <cell r="AA673">
            <v>108</v>
          </cell>
          <cell r="AB673">
            <v>108</v>
          </cell>
          <cell r="AC673">
            <v>0</v>
          </cell>
          <cell r="AD673">
            <v>-108</v>
          </cell>
        </row>
        <row r="674">
          <cell r="A674" t="str">
            <v>33.08.10568.00</v>
          </cell>
          <cell r="B674" t="str">
            <v>ESTRUTURA SOLDADA CAIXA L 100100 H DV VMI / 33.08.10568.00</v>
          </cell>
          <cell r="D674" t="str">
            <v>-</v>
          </cell>
          <cell r="E674" t="str">
            <v>-</v>
          </cell>
          <cell r="F674" t="str">
            <v>-</v>
          </cell>
          <cell r="G674" t="str">
            <v>-</v>
          </cell>
          <cell r="H674" t="str">
            <v>-</v>
          </cell>
          <cell r="I674" t="str">
            <v>-</v>
          </cell>
          <cell r="J674">
            <v>0</v>
          </cell>
          <cell r="K674">
            <v>2</v>
          </cell>
          <cell r="L674" t="str">
            <v>FALTA ENTREGA</v>
          </cell>
          <cell r="M674" t="str">
            <v>-</v>
          </cell>
          <cell r="N674" t="str">
            <v>OC'S METALFISA</v>
          </cell>
          <cell r="O674" t="str">
            <v>-</v>
          </cell>
          <cell r="Q674">
            <v>2</v>
          </cell>
          <cell r="S674">
            <v>3</v>
          </cell>
          <cell r="T674" t="str">
            <v>OC'S MAPHE</v>
          </cell>
          <cell r="U674">
            <v>5</v>
          </cell>
          <cell r="V674">
            <v>0</v>
          </cell>
          <cell r="W674">
            <v>3</v>
          </cell>
          <cell r="X674">
            <v>0</v>
          </cell>
          <cell r="Y674">
            <v>0</v>
          </cell>
          <cell r="Z674">
            <v>0</v>
          </cell>
          <cell r="AA674">
            <v>3</v>
          </cell>
          <cell r="AB674">
            <v>3</v>
          </cell>
          <cell r="AC674">
            <v>0</v>
          </cell>
          <cell r="AD674">
            <v>-3</v>
          </cell>
        </row>
        <row r="675">
          <cell r="A675" t="str">
            <v>33.08.10571.00</v>
          </cell>
          <cell r="B675" t="str">
            <v>TAMPA HORIZONTAL CAIXA L100100 H DV VMI / 33.08.10571.00</v>
          </cell>
          <cell r="D675" t="str">
            <v>-</v>
          </cell>
          <cell r="E675" t="str">
            <v>-</v>
          </cell>
          <cell r="F675" t="str">
            <v>-</v>
          </cell>
          <cell r="G675" t="str">
            <v>-</v>
          </cell>
          <cell r="H675" t="str">
            <v>-</v>
          </cell>
          <cell r="I675" t="str">
            <v>-</v>
          </cell>
          <cell r="J675">
            <v>0</v>
          </cell>
          <cell r="K675">
            <v>2</v>
          </cell>
          <cell r="L675" t="str">
            <v>FALTA ENTREGA</v>
          </cell>
          <cell r="M675" t="str">
            <v>-</v>
          </cell>
          <cell r="N675" t="str">
            <v>OC'S METALFISA</v>
          </cell>
          <cell r="O675" t="str">
            <v>-</v>
          </cell>
          <cell r="Q675">
            <v>2</v>
          </cell>
          <cell r="S675">
            <v>3</v>
          </cell>
          <cell r="T675" t="str">
            <v>OC'S MAPHE</v>
          </cell>
          <cell r="U675">
            <v>5</v>
          </cell>
          <cell r="V675">
            <v>0</v>
          </cell>
          <cell r="W675">
            <v>3</v>
          </cell>
          <cell r="X675">
            <v>0</v>
          </cell>
          <cell r="Y675">
            <v>0</v>
          </cell>
          <cell r="Z675">
            <v>0</v>
          </cell>
          <cell r="AA675">
            <v>3</v>
          </cell>
          <cell r="AB675">
            <v>3</v>
          </cell>
          <cell r="AC675">
            <v>0</v>
          </cell>
          <cell r="AD675">
            <v>-3</v>
          </cell>
        </row>
        <row r="676">
          <cell r="A676" t="str">
            <v>33.08.10574.00</v>
          </cell>
          <cell r="B676" t="str">
            <v>TAMPA CX S - DAQ CAIXA L / 33.08.10574.00</v>
          </cell>
          <cell r="D676" t="str">
            <v>-</v>
          </cell>
          <cell r="E676" t="str">
            <v>-</v>
          </cell>
          <cell r="F676" t="str">
            <v>-</v>
          </cell>
          <cell r="G676" t="str">
            <v>-</v>
          </cell>
          <cell r="H676" t="str">
            <v>-</v>
          </cell>
          <cell r="I676" t="str">
            <v>-</v>
          </cell>
          <cell r="J676">
            <v>0</v>
          </cell>
          <cell r="K676">
            <v>4</v>
          </cell>
          <cell r="L676" t="str">
            <v>FALTA ENTREGA</v>
          </cell>
          <cell r="M676" t="str">
            <v>-</v>
          </cell>
          <cell r="N676" t="str">
            <v>OC'S METALFISA</v>
          </cell>
          <cell r="O676" t="str">
            <v>-</v>
          </cell>
          <cell r="Q676" t="str">
            <v>-</v>
          </cell>
          <cell r="S676">
            <v>6</v>
          </cell>
          <cell r="T676" t="str">
            <v>OC'S MAPHE</v>
          </cell>
          <cell r="U676">
            <v>6</v>
          </cell>
          <cell r="V676">
            <v>0</v>
          </cell>
          <cell r="W676">
            <v>2</v>
          </cell>
          <cell r="X676">
            <v>0</v>
          </cell>
          <cell r="Y676">
            <v>0</v>
          </cell>
          <cell r="Z676">
            <v>0</v>
          </cell>
          <cell r="AA676">
            <v>2</v>
          </cell>
          <cell r="AB676">
            <v>2</v>
          </cell>
          <cell r="AC676">
            <v>0</v>
          </cell>
          <cell r="AD676">
            <v>-2</v>
          </cell>
        </row>
        <row r="677">
          <cell r="A677" t="str">
            <v>33.08.10575.00</v>
          </cell>
          <cell r="B677" t="str">
            <v>BASE CAIXA S - DAQ / 33.08.10575.00</v>
          </cell>
          <cell r="D677" t="str">
            <v>-</v>
          </cell>
          <cell r="E677" t="str">
            <v>-</v>
          </cell>
          <cell r="F677" t="str">
            <v>-</v>
          </cell>
          <cell r="G677" t="str">
            <v>-</v>
          </cell>
          <cell r="H677" t="str">
            <v>-</v>
          </cell>
          <cell r="I677" t="str">
            <v>-</v>
          </cell>
          <cell r="J677">
            <v>0</v>
          </cell>
          <cell r="K677">
            <v>4</v>
          </cell>
          <cell r="L677" t="str">
            <v>FALTA ENTREGA</v>
          </cell>
          <cell r="M677" t="str">
            <v>-</v>
          </cell>
          <cell r="N677" t="str">
            <v>OC'S METALFISA</v>
          </cell>
          <cell r="O677" t="str">
            <v>-</v>
          </cell>
          <cell r="Q677">
            <v>4</v>
          </cell>
          <cell r="S677">
            <v>6</v>
          </cell>
          <cell r="T677" t="str">
            <v>OC'S MAPHE</v>
          </cell>
          <cell r="U677">
            <v>10</v>
          </cell>
          <cell r="V677">
            <v>0</v>
          </cell>
          <cell r="W677">
            <v>6</v>
          </cell>
          <cell r="X677">
            <v>0</v>
          </cell>
          <cell r="Y677">
            <v>0</v>
          </cell>
          <cell r="Z677">
            <v>0</v>
          </cell>
          <cell r="AA677">
            <v>6</v>
          </cell>
          <cell r="AB677">
            <v>6</v>
          </cell>
          <cell r="AC677">
            <v>0</v>
          </cell>
          <cell r="AD677">
            <v>-6</v>
          </cell>
        </row>
        <row r="678">
          <cell r="A678" t="str">
            <v>33.08.10576.00</v>
          </cell>
          <cell r="B678" t="str">
            <v>FLANGE CAIXA S - DAQ / 33.08.10576.00</v>
          </cell>
          <cell r="C678">
            <v>46076</v>
          </cell>
          <cell r="D678" t="str">
            <v>-</v>
          </cell>
          <cell r="E678" t="str">
            <v>-</v>
          </cell>
          <cell r="F678" t="str">
            <v>-</v>
          </cell>
          <cell r="G678" t="str">
            <v>-</v>
          </cell>
          <cell r="H678" t="str">
            <v>-</v>
          </cell>
          <cell r="I678" t="str">
            <v>-</v>
          </cell>
          <cell r="J678">
            <v>0</v>
          </cell>
          <cell r="K678">
            <v>4</v>
          </cell>
          <cell r="L678" t="str">
            <v>FALTA ENTREGA</v>
          </cell>
          <cell r="M678" t="str">
            <v>-</v>
          </cell>
          <cell r="N678" t="str">
            <v>OC'S METALFISA</v>
          </cell>
          <cell r="O678" t="str">
            <v>-</v>
          </cell>
          <cell r="Q678">
            <v>4</v>
          </cell>
          <cell r="S678">
            <v>6</v>
          </cell>
          <cell r="T678" t="str">
            <v>OC'S MAPHE</v>
          </cell>
          <cell r="U678">
            <v>10</v>
          </cell>
          <cell r="V678">
            <v>0</v>
          </cell>
          <cell r="W678">
            <v>6</v>
          </cell>
          <cell r="X678">
            <v>0</v>
          </cell>
          <cell r="Y678">
            <v>0</v>
          </cell>
          <cell r="Z678">
            <v>0</v>
          </cell>
          <cell r="AA678">
            <v>6</v>
          </cell>
          <cell r="AB678">
            <v>6</v>
          </cell>
          <cell r="AC678">
            <v>0</v>
          </cell>
          <cell r="AD678">
            <v>-6</v>
          </cell>
        </row>
        <row r="679">
          <cell r="A679" t="str">
            <v>33.08.10579.00</v>
          </cell>
          <cell r="B679" t="str">
            <v>ESTRUTURA GAIOLA HORIZONTAL CAIXA L SV VMI / 33.08.10579.00</v>
          </cell>
          <cell r="D679" t="str">
            <v>-</v>
          </cell>
          <cell r="E679" t="str">
            <v>-</v>
          </cell>
          <cell r="F679" t="str">
            <v>-</v>
          </cell>
          <cell r="G679" t="str">
            <v>-</v>
          </cell>
          <cell r="H679" t="str">
            <v>-</v>
          </cell>
          <cell r="I679" t="str">
            <v>-</v>
          </cell>
          <cell r="J679">
            <v>0</v>
          </cell>
          <cell r="K679">
            <v>2</v>
          </cell>
          <cell r="L679" t="str">
            <v>FALTA ENTREGA</v>
          </cell>
          <cell r="M679" t="str">
            <v>-</v>
          </cell>
          <cell r="N679" t="str">
            <v>OC'S METALFISA</v>
          </cell>
          <cell r="O679" t="str">
            <v>-</v>
          </cell>
          <cell r="Q679">
            <v>2</v>
          </cell>
          <cell r="S679">
            <v>3</v>
          </cell>
          <cell r="T679" t="str">
            <v>OC'S MAPHE</v>
          </cell>
          <cell r="U679">
            <v>5</v>
          </cell>
          <cell r="V679">
            <v>0</v>
          </cell>
          <cell r="W679">
            <v>3</v>
          </cell>
          <cell r="X679">
            <v>0</v>
          </cell>
          <cell r="Y679">
            <v>0</v>
          </cell>
          <cell r="Z679">
            <v>0</v>
          </cell>
          <cell r="AA679">
            <v>3</v>
          </cell>
          <cell r="AB679">
            <v>3</v>
          </cell>
          <cell r="AC679">
            <v>0</v>
          </cell>
          <cell r="AD679">
            <v>-3</v>
          </cell>
        </row>
        <row r="680">
          <cell r="A680" t="str">
            <v>33.08.10580.00</v>
          </cell>
          <cell r="B680" t="str">
            <v>ESTRUTURA SOLDADA CAIXA L SV VMI / 33.08.10580.00</v>
          </cell>
          <cell r="D680" t="str">
            <v>-</v>
          </cell>
          <cell r="E680" t="str">
            <v>-</v>
          </cell>
          <cell r="F680" t="str">
            <v>-</v>
          </cell>
          <cell r="G680" t="str">
            <v>-</v>
          </cell>
          <cell r="H680" t="str">
            <v>-</v>
          </cell>
          <cell r="I680" t="str">
            <v>-</v>
          </cell>
          <cell r="J680">
            <v>0</v>
          </cell>
          <cell r="K680">
            <v>2</v>
          </cell>
          <cell r="L680" t="str">
            <v>FALTA ENTREGA</v>
          </cell>
          <cell r="M680" t="str">
            <v>-</v>
          </cell>
          <cell r="N680" t="str">
            <v>OC'S METALFISA</v>
          </cell>
          <cell r="O680" t="str">
            <v>-</v>
          </cell>
          <cell r="Q680">
            <v>2</v>
          </cell>
          <cell r="S680">
            <v>3</v>
          </cell>
          <cell r="T680" t="str">
            <v>OC'S MAPHE</v>
          </cell>
          <cell r="U680">
            <v>5</v>
          </cell>
          <cell r="V680">
            <v>0</v>
          </cell>
          <cell r="W680">
            <v>3</v>
          </cell>
          <cell r="X680">
            <v>0</v>
          </cell>
          <cell r="Y680">
            <v>0</v>
          </cell>
          <cell r="Z680">
            <v>0</v>
          </cell>
          <cell r="AA680">
            <v>3</v>
          </cell>
          <cell r="AB680">
            <v>3</v>
          </cell>
          <cell r="AC680">
            <v>0</v>
          </cell>
          <cell r="AD680">
            <v>-3</v>
          </cell>
        </row>
        <row r="681">
          <cell r="A681" t="str">
            <v>33.08.10586.00</v>
          </cell>
          <cell r="B681" t="str">
            <v>TAMPA CAIXA COMPLEMENTAR DETECTORAS 100100 H SV VMIS / 33.08.10586.00</v>
          </cell>
          <cell r="C681">
            <v>46066</v>
          </cell>
          <cell r="D681" t="str">
            <v>-</v>
          </cell>
          <cell r="E681" t="str">
            <v>-</v>
          </cell>
          <cell r="F681" t="str">
            <v>-</v>
          </cell>
          <cell r="G681" t="str">
            <v>-</v>
          </cell>
          <cell r="H681" t="str">
            <v>-</v>
          </cell>
          <cell r="I681" t="str">
            <v>-</v>
          </cell>
          <cell r="J681">
            <v>0</v>
          </cell>
          <cell r="K681">
            <v>4</v>
          </cell>
          <cell r="L681" t="str">
            <v>ENTREGA PARCIAL</v>
          </cell>
          <cell r="M681" t="str">
            <v>-</v>
          </cell>
          <cell r="N681" t="str">
            <v>OC'S METALFISA</v>
          </cell>
          <cell r="O681" t="str">
            <v>-</v>
          </cell>
          <cell r="Q681">
            <v>2</v>
          </cell>
          <cell r="S681">
            <v>3</v>
          </cell>
          <cell r="T681" t="str">
            <v>OC'S MAPHE</v>
          </cell>
          <cell r="U681">
            <v>5</v>
          </cell>
          <cell r="V681">
            <v>0</v>
          </cell>
          <cell r="W681">
            <v>3</v>
          </cell>
          <cell r="X681">
            <v>0</v>
          </cell>
          <cell r="Y681">
            <v>0</v>
          </cell>
          <cell r="Z681">
            <v>0</v>
          </cell>
          <cell r="AA681">
            <v>3</v>
          </cell>
          <cell r="AB681">
            <v>1</v>
          </cell>
          <cell r="AC681">
            <v>2</v>
          </cell>
          <cell r="AD681">
            <v>-1</v>
          </cell>
        </row>
        <row r="682">
          <cell r="A682" t="str">
            <v>33.08.10589.00</v>
          </cell>
          <cell r="B682" t="str">
            <v>COMPLEMENTO CAIXA L 100100 H SV VMIS / 33.08.10589.00</v>
          </cell>
          <cell r="D682" t="str">
            <v>-</v>
          </cell>
          <cell r="E682" t="str">
            <v>-</v>
          </cell>
          <cell r="F682" t="str">
            <v>-</v>
          </cell>
          <cell r="G682" t="str">
            <v>-</v>
          </cell>
          <cell r="H682" t="str">
            <v>-</v>
          </cell>
          <cell r="I682" t="str">
            <v>-</v>
          </cell>
          <cell r="J682">
            <v>0</v>
          </cell>
          <cell r="K682">
            <v>2</v>
          </cell>
          <cell r="L682" t="str">
            <v>FALTA ENTREGA</v>
          </cell>
          <cell r="M682" t="str">
            <v>-</v>
          </cell>
          <cell r="N682" t="str">
            <v>OC'S METALFISA</v>
          </cell>
          <cell r="O682" t="str">
            <v>-</v>
          </cell>
          <cell r="Q682">
            <v>2</v>
          </cell>
          <cell r="S682">
            <v>3</v>
          </cell>
          <cell r="T682" t="str">
            <v>OC'S MAPHE</v>
          </cell>
          <cell r="U682">
            <v>5</v>
          </cell>
          <cell r="V682">
            <v>0</v>
          </cell>
          <cell r="W682">
            <v>3</v>
          </cell>
          <cell r="X682">
            <v>0</v>
          </cell>
          <cell r="Y682">
            <v>0</v>
          </cell>
          <cell r="Z682">
            <v>0</v>
          </cell>
          <cell r="AA682">
            <v>3</v>
          </cell>
          <cell r="AB682">
            <v>3</v>
          </cell>
          <cell r="AC682">
            <v>0</v>
          </cell>
          <cell r="AD682">
            <v>-3</v>
          </cell>
        </row>
        <row r="683">
          <cell r="A683" t="str">
            <v>33.08.10590.00</v>
          </cell>
          <cell r="B683" t="str">
            <v>SUPORTE PLACA / 33.08.10590.00</v>
          </cell>
          <cell r="D683" t="str">
            <v>-</v>
          </cell>
          <cell r="E683" t="str">
            <v>-</v>
          </cell>
          <cell r="F683" t="str">
            <v>-</v>
          </cell>
          <cell r="G683" t="str">
            <v>-</v>
          </cell>
          <cell r="H683" t="str">
            <v>-</v>
          </cell>
          <cell r="I683" t="str">
            <v>-</v>
          </cell>
          <cell r="J683">
            <v>0</v>
          </cell>
          <cell r="K683">
            <v>2</v>
          </cell>
          <cell r="L683" t="str">
            <v>FALTA ENTREGA</v>
          </cell>
          <cell r="M683" t="str">
            <v>-</v>
          </cell>
          <cell r="N683" t="str">
            <v>OC'S METALFISA</v>
          </cell>
          <cell r="O683" t="str">
            <v>-</v>
          </cell>
          <cell r="Q683">
            <v>2</v>
          </cell>
          <cell r="S683">
            <v>3</v>
          </cell>
          <cell r="T683" t="str">
            <v>OC'S MAPHE</v>
          </cell>
          <cell r="U683">
            <v>5</v>
          </cell>
          <cell r="V683">
            <v>0</v>
          </cell>
          <cell r="W683">
            <v>3</v>
          </cell>
          <cell r="X683">
            <v>0</v>
          </cell>
          <cell r="Y683">
            <v>0</v>
          </cell>
          <cell r="Z683">
            <v>0</v>
          </cell>
          <cell r="AA683">
            <v>3</v>
          </cell>
          <cell r="AB683">
            <v>3</v>
          </cell>
          <cell r="AC683">
            <v>0</v>
          </cell>
          <cell r="AD683">
            <v>-3</v>
          </cell>
        </row>
        <row r="684">
          <cell r="A684" t="str">
            <v>33.08.10591.00</v>
          </cell>
          <cell r="B684" t="str">
            <v>CHAPA TAMPA HORIZONTAL CAIXA L SV VMI / 33.08.10591.00</v>
          </cell>
          <cell r="C684">
            <v>46074</v>
          </cell>
          <cell r="D684" t="str">
            <v>-</v>
          </cell>
          <cell r="E684" t="str">
            <v>-</v>
          </cell>
          <cell r="F684" t="str">
            <v>-</v>
          </cell>
          <cell r="G684" t="str">
            <v>-</v>
          </cell>
          <cell r="H684" t="str">
            <v>-</v>
          </cell>
          <cell r="I684" t="str">
            <v>-</v>
          </cell>
          <cell r="J684">
            <v>0</v>
          </cell>
          <cell r="K684">
            <v>4</v>
          </cell>
          <cell r="L684" t="str">
            <v>ENTREGA PARCIAL</v>
          </cell>
          <cell r="M684" t="str">
            <v>-</v>
          </cell>
          <cell r="N684" t="str">
            <v>OC'S METALFISA</v>
          </cell>
          <cell r="O684" t="str">
            <v>-</v>
          </cell>
          <cell r="Q684">
            <v>2</v>
          </cell>
          <cell r="S684">
            <v>3</v>
          </cell>
          <cell r="T684" t="str">
            <v>OC'S MAPHE</v>
          </cell>
          <cell r="U684">
            <v>5</v>
          </cell>
          <cell r="V684">
            <v>0</v>
          </cell>
          <cell r="W684">
            <v>3</v>
          </cell>
          <cell r="X684">
            <v>0</v>
          </cell>
          <cell r="Y684">
            <v>0</v>
          </cell>
          <cell r="Z684">
            <v>0</v>
          </cell>
          <cell r="AA684">
            <v>3</v>
          </cell>
          <cell r="AB684">
            <v>1</v>
          </cell>
          <cell r="AC684">
            <v>2</v>
          </cell>
          <cell r="AD684">
            <v>-1</v>
          </cell>
        </row>
        <row r="685">
          <cell r="A685" t="str">
            <v>33.08.10595.00</v>
          </cell>
          <cell r="B685" t="str">
            <v>TAMPA VERTICAL CAIXA L 100100H SV VMI / 33.08.10595.00</v>
          </cell>
          <cell r="D685" t="str">
            <v>-</v>
          </cell>
          <cell r="E685" t="str">
            <v>-</v>
          </cell>
          <cell r="F685" t="str">
            <v>-</v>
          </cell>
          <cell r="G685" t="str">
            <v>-</v>
          </cell>
          <cell r="H685" t="str">
            <v>-</v>
          </cell>
          <cell r="I685" t="str">
            <v>-</v>
          </cell>
          <cell r="J685">
            <v>0</v>
          </cell>
          <cell r="K685">
            <v>2</v>
          </cell>
          <cell r="L685" t="str">
            <v>FALTA ENTREGA</v>
          </cell>
          <cell r="M685" t="str">
            <v>-</v>
          </cell>
          <cell r="N685" t="str">
            <v>OC'S METALFISA</v>
          </cell>
          <cell r="O685" t="str">
            <v>-</v>
          </cell>
          <cell r="Q685">
            <v>2</v>
          </cell>
          <cell r="S685">
            <v>3</v>
          </cell>
          <cell r="T685" t="str">
            <v>OC'S MAPHE</v>
          </cell>
          <cell r="U685">
            <v>5</v>
          </cell>
          <cell r="V685">
            <v>0</v>
          </cell>
          <cell r="W685">
            <v>3</v>
          </cell>
          <cell r="X685">
            <v>0</v>
          </cell>
          <cell r="Y685">
            <v>0</v>
          </cell>
          <cell r="Z685">
            <v>0</v>
          </cell>
          <cell r="AA685">
            <v>3</v>
          </cell>
          <cell r="AB685">
            <v>3</v>
          </cell>
          <cell r="AC685">
            <v>0</v>
          </cell>
          <cell r="AD685">
            <v>-3</v>
          </cell>
        </row>
        <row r="686">
          <cell r="A686" t="str">
            <v>33.08.10597.00</v>
          </cell>
          <cell r="B686" t="str">
            <v>TRAVA LATERAL DA CAIXA L / 33.08.10597.00</v>
          </cell>
          <cell r="D686" t="str">
            <v>-</v>
          </cell>
          <cell r="E686" t="str">
            <v>-</v>
          </cell>
          <cell r="F686" t="str">
            <v>-</v>
          </cell>
          <cell r="G686" t="str">
            <v>-</v>
          </cell>
          <cell r="H686" t="str">
            <v>-</v>
          </cell>
          <cell r="I686" t="str">
            <v>-</v>
          </cell>
          <cell r="J686">
            <v>0</v>
          </cell>
          <cell r="K686">
            <v>4</v>
          </cell>
          <cell r="L686" t="str">
            <v>FALTA ENTREGA</v>
          </cell>
          <cell r="M686" t="str">
            <v>-</v>
          </cell>
          <cell r="N686" t="str">
            <v>OC'S METALFISA</v>
          </cell>
          <cell r="O686" t="str">
            <v>-</v>
          </cell>
          <cell r="Q686">
            <v>4</v>
          </cell>
          <cell r="S686">
            <v>6</v>
          </cell>
          <cell r="T686" t="str">
            <v>OC'S MAPHE</v>
          </cell>
          <cell r="U686">
            <v>10</v>
          </cell>
          <cell r="V686">
            <v>0</v>
          </cell>
          <cell r="W686">
            <v>6</v>
          </cell>
          <cell r="X686">
            <v>0</v>
          </cell>
          <cell r="Y686">
            <v>0</v>
          </cell>
          <cell r="Z686">
            <v>0</v>
          </cell>
          <cell r="AA686">
            <v>6</v>
          </cell>
          <cell r="AB686">
            <v>6</v>
          </cell>
          <cell r="AC686">
            <v>0</v>
          </cell>
          <cell r="AD686">
            <v>-6</v>
          </cell>
        </row>
        <row r="687">
          <cell r="A687" t="str">
            <v>33.08.10605.00</v>
          </cell>
          <cell r="B687" t="str">
            <v>CONJUNTO TAMPA VERTICAL / 33.08.10605.00</v>
          </cell>
          <cell r="C687">
            <v>46066</v>
          </cell>
          <cell r="D687" t="str">
            <v>-</v>
          </cell>
          <cell r="E687" t="str">
            <v>-</v>
          </cell>
          <cell r="F687" t="str">
            <v>-</v>
          </cell>
          <cell r="G687" t="str">
            <v>-</v>
          </cell>
          <cell r="H687" t="str">
            <v>-</v>
          </cell>
          <cell r="I687" t="str">
            <v>-</v>
          </cell>
          <cell r="J687">
            <v>0</v>
          </cell>
          <cell r="K687">
            <v>4</v>
          </cell>
          <cell r="L687" t="str">
            <v>ENTREGA PARCIAL</v>
          </cell>
          <cell r="M687" t="str">
            <v>-</v>
          </cell>
          <cell r="N687" t="str">
            <v>OC'S METALFISA</v>
          </cell>
          <cell r="O687" t="str">
            <v>-</v>
          </cell>
          <cell r="Q687">
            <v>2</v>
          </cell>
          <cell r="S687">
            <v>3</v>
          </cell>
          <cell r="T687" t="str">
            <v>OC'S MAPHE</v>
          </cell>
          <cell r="U687">
            <v>5</v>
          </cell>
          <cell r="V687">
            <v>0</v>
          </cell>
          <cell r="W687">
            <v>3</v>
          </cell>
          <cell r="X687">
            <v>0</v>
          </cell>
          <cell r="Y687">
            <v>0</v>
          </cell>
          <cell r="Z687">
            <v>0</v>
          </cell>
          <cell r="AA687">
            <v>3</v>
          </cell>
          <cell r="AB687">
            <v>1</v>
          </cell>
          <cell r="AC687">
            <v>2</v>
          </cell>
          <cell r="AD687">
            <v>-1</v>
          </cell>
        </row>
        <row r="688">
          <cell r="A688" t="str">
            <v>33.09.10097.00</v>
          </cell>
          <cell r="B688" t="str">
            <v>FECHAMENTO TUNEL / 33.09.10097.00</v>
          </cell>
          <cell r="D688" t="str">
            <v>-</v>
          </cell>
          <cell r="E688" t="str">
            <v>-</v>
          </cell>
          <cell r="F688" t="str">
            <v>-</v>
          </cell>
          <cell r="G688" t="str">
            <v>-</v>
          </cell>
          <cell r="H688" t="str">
            <v>-</v>
          </cell>
          <cell r="I688" t="str">
            <v>-</v>
          </cell>
          <cell r="J688">
            <v>0</v>
          </cell>
          <cell r="K688">
            <v>-2</v>
          </cell>
          <cell r="L688" t="str">
            <v>FALTA ENTREGA</v>
          </cell>
          <cell r="M688" t="str">
            <v>-</v>
          </cell>
          <cell r="N688" t="str">
            <v>OC'S METALFISA</v>
          </cell>
          <cell r="O688" t="str">
            <v>-</v>
          </cell>
          <cell r="Q688" t="str">
            <v>-</v>
          </cell>
          <cell r="S688" t="str">
            <v>-</v>
          </cell>
          <cell r="U688">
            <v>0</v>
          </cell>
          <cell r="V688">
            <v>2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2</v>
          </cell>
          <cell r="AB688">
            <v>2</v>
          </cell>
          <cell r="AC688">
            <v>0</v>
          </cell>
          <cell r="AD688">
            <v>-2</v>
          </cell>
        </row>
        <row r="689">
          <cell r="A689" t="str">
            <v>33.09.10486.00</v>
          </cell>
          <cell r="B689" t="str">
            <v>REGUA DE MONTAGE DA CORTINA / 33.09.10486.00</v>
          </cell>
          <cell r="C689">
            <v>46066</v>
          </cell>
          <cell r="D689" t="str">
            <v>-</v>
          </cell>
          <cell r="E689" t="str">
            <v>-</v>
          </cell>
          <cell r="F689" t="str">
            <v>-</v>
          </cell>
          <cell r="G689" t="str">
            <v>-</v>
          </cell>
          <cell r="H689" t="str">
            <v>-</v>
          </cell>
          <cell r="I689" t="str">
            <v>-</v>
          </cell>
          <cell r="J689">
            <v>0</v>
          </cell>
          <cell r="K689">
            <v>2</v>
          </cell>
          <cell r="L689" t="str">
            <v>ENTREGA TOTAL</v>
          </cell>
          <cell r="M689" t="str">
            <v>-</v>
          </cell>
          <cell r="N689" t="str">
            <v>OC'S METALFISA</v>
          </cell>
          <cell r="O689" t="str">
            <v>-</v>
          </cell>
          <cell r="Q689" t="str">
            <v>-</v>
          </cell>
          <cell r="S689">
            <v>2</v>
          </cell>
          <cell r="T689" t="str">
            <v>OC'S MAPHE</v>
          </cell>
          <cell r="U689">
            <v>2</v>
          </cell>
          <cell r="V689">
            <v>2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2</v>
          </cell>
          <cell r="AB689">
            <v>0</v>
          </cell>
          <cell r="AC689">
            <v>2</v>
          </cell>
          <cell r="AD689">
            <v>0</v>
          </cell>
        </row>
        <row r="690">
          <cell r="A690" t="str">
            <v>33.11.10000.04</v>
          </cell>
          <cell r="B690" t="str">
            <v>BASE MODULO SV / 33.11.10000.04</v>
          </cell>
          <cell r="D690" t="str">
            <v>-</v>
          </cell>
          <cell r="E690" t="str">
            <v>-</v>
          </cell>
          <cell r="F690" t="str">
            <v>-</v>
          </cell>
          <cell r="G690" t="str">
            <v>-</v>
          </cell>
          <cell r="H690" t="str">
            <v>-</v>
          </cell>
          <cell r="I690" t="str">
            <v>-</v>
          </cell>
          <cell r="J690">
            <v>0</v>
          </cell>
          <cell r="K690">
            <v>4</v>
          </cell>
          <cell r="L690" t="str">
            <v>ENTREGA PARCIAL</v>
          </cell>
          <cell r="M690">
            <v>2</v>
          </cell>
          <cell r="N690" t="str">
            <v>OC'S METALFISA</v>
          </cell>
          <cell r="O690">
            <v>8</v>
          </cell>
          <cell r="P690" t="str">
            <v>OC'S GRANATO</v>
          </cell>
          <cell r="Q690" t="str">
            <v>-</v>
          </cell>
          <cell r="S690" t="str">
            <v>-</v>
          </cell>
          <cell r="U690">
            <v>10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8</v>
          </cell>
          <cell r="AA690">
            <v>8</v>
          </cell>
          <cell r="AB690">
            <v>0</v>
          </cell>
          <cell r="AC690">
            <v>2</v>
          </cell>
          <cell r="AD690">
            <v>-6</v>
          </cell>
        </row>
        <row r="691">
          <cell r="A691" t="str">
            <v>33.11.10012.01</v>
          </cell>
          <cell r="B691" t="str">
            <v>COLUNA PRINCIPAL / 33.11.10012.01</v>
          </cell>
          <cell r="C691">
            <v>46059</v>
          </cell>
          <cell r="D691" t="str">
            <v>-</v>
          </cell>
          <cell r="E691" t="str">
            <v>-</v>
          </cell>
          <cell r="F691" t="str">
            <v>-</v>
          </cell>
          <cell r="G691" t="str">
            <v>-</v>
          </cell>
          <cell r="H691" t="str">
            <v>-</v>
          </cell>
          <cell r="I691" t="str">
            <v>-</v>
          </cell>
          <cell r="J691">
            <v>0</v>
          </cell>
          <cell r="K691">
            <v>2</v>
          </cell>
          <cell r="L691" t="str">
            <v>ENTREGA PARCIAL</v>
          </cell>
          <cell r="M691">
            <v>4</v>
          </cell>
          <cell r="N691" t="str">
            <v>OC'S METALFISA</v>
          </cell>
          <cell r="O691">
            <v>5</v>
          </cell>
          <cell r="P691" t="str">
            <v>OC'S GRANATO</v>
          </cell>
          <cell r="Q691" t="str">
            <v>-</v>
          </cell>
          <cell r="S691" t="str">
            <v>-</v>
          </cell>
          <cell r="U691">
            <v>9</v>
          </cell>
          <cell r="V691">
            <v>2</v>
          </cell>
          <cell r="W691">
            <v>0</v>
          </cell>
          <cell r="X691">
            <v>0</v>
          </cell>
          <cell r="Y691">
            <v>0</v>
          </cell>
          <cell r="Z691">
            <v>9</v>
          </cell>
          <cell r="AA691">
            <v>11</v>
          </cell>
          <cell r="AB691">
            <v>0</v>
          </cell>
          <cell r="AC691">
            <v>4</v>
          </cell>
          <cell r="AD691">
            <v>-7</v>
          </cell>
        </row>
        <row r="692">
          <cell r="A692" t="str">
            <v>33.11.10012.02</v>
          </cell>
          <cell r="B692" t="str">
            <v>COLUNA PRINCIPAL / 33.11.10012.02</v>
          </cell>
          <cell r="C692">
            <v>46066</v>
          </cell>
          <cell r="D692" t="str">
            <v>-</v>
          </cell>
          <cell r="E692" t="str">
            <v>-</v>
          </cell>
          <cell r="F692" t="str">
            <v>-</v>
          </cell>
          <cell r="G692" t="str">
            <v>-</v>
          </cell>
          <cell r="H692" t="str">
            <v>-</v>
          </cell>
          <cell r="I692" t="str">
            <v>-</v>
          </cell>
          <cell r="J692">
            <v>0</v>
          </cell>
          <cell r="K692">
            <v>18</v>
          </cell>
          <cell r="L692" t="str">
            <v>ENTREGA PARCIAL</v>
          </cell>
          <cell r="M692" t="str">
            <v>-</v>
          </cell>
          <cell r="N692" t="str">
            <v>OC'S METALFISA</v>
          </cell>
          <cell r="O692">
            <v>24</v>
          </cell>
          <cell r="P692" t="str">
            <v>OC'S GRANATO</v>
          </cell>
          <cell r="Q692" t="str">
            <v>-</v>
          </cell>
          <cell r="S692" t="str">
            <v>-</v>
          </cell>
          <cell r="U692">
            <v>24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12</v>
          </cell>
          <cell r="AA692">
            <v>12</v>
          </cell>
          <cell r="AB692">
            <v>0</v>
          </cell>
          <cell r="AC692">
            <v>6</v>
          </cell>
          <cell r="AD692">
            <v>-6</v>
          </cell>
        </row>
        <row r="693">
          <cell r="A693" t="str">
            <v>33.11.10017.01</v>
          </cell>
          <cell r="B693" t="str">
            <v>COLUNA / 33.11.10017.01</v>
          </cell>
          <cell r="D693" t="str">
            <v>-</v>
          </cell>
          <cell r="E693" t="str">
            <v>-</v>
          </cell>
          <cell r="F693" t="str">
            <v>-</v>
          </cell>
          <cell r="G693" t="str">
            <v>-</v>
          </cell>
          <cell r="H693" t="str">
            <v>-</v>
          </cell>
          <cell r="I693" t="str">
            <v>-</v>
          </cell>
          <cell r="J693">
            <v>0</v>
          </cell>
          <cell r="K693">
            <v>-1</v>
          </cell>
          <cell r="L693" t="str">
            <v>FALTA ENTREGA</v>
          </cell>
          <cell r="M693">
            <v>4</v>
          </cell>
          <cell r="N693" t="str">
            <v>OC'S METALFISA</v>
          </cell>
          <cell r="O693">
            <v>12</v>
          </cell>
          <cell r="P693" t="str">
            <v>OC'S GRANATO</v>
          </cell>
          <cell r="Q693" t="str">
            <v>-</v>
          </cell>
          <cell r="S693" t="str">
            <v>-</v>
          </cell>
          <cell r="U693">
            <v>16</v>
          </cell>
          <cell r="V693">
            <v>3</v>
          </cell>
          <cell r="W693">
            <v>0</v>
          </cell>
          <cell r="X693">
            <v>0</v>
          </cell>
          <cell r="Y693">
            <v>0</v>
          </cell>
          <cell r="Z693">
            <v>14</v>
          </cell>
          <cell r="AA693">
            <v>17</v>
          </cell>
          <cell r="AB693">
            <v>3</v>
          </cell>
          <cell r="AC693">
            <v>0</v>
          </cell>
          <cell r="AD693">
            <v>-17</v>
          </cell>
        </row>
        <row r="694">
          <cell r="A694" t="str">
            <v>33.11.10017.02</v>
          </cell>
          <cell r="B694" t="str">
            <v>COLUNA / 33.11.10017.02</v>
          </cell>
          <cell r="C694">
            <v>46066</v>
          </cell>
          <cell r="D694" t="str">
            <v>-</v>
          </cell>
          <cell r="E694" t="str">
            <v>-</v>
          </cell>
          <cell r="F694" t="str">
            <v>-</v>
          </cell>
          <cell r="G694" t="str">
            <v>-</v>
          </cell>
          <cell r="H694" t="str">
            <v>-</v>
          </cell>
          <cell r="I694" t="str">
            <v>-</v>
          </cell>
          <cell r="J694">
            <v>0</v>
          </cell>
          <cell r="K694">
            <v>24</v>
          </cell>
          <cell r="L694" t="str">
            <v>ENTREGA PARCIAL</v>
          </cell>
          <cell r="M694" t="str">
            <v>-</v>
          </cell>
          <cell r="N694" t="str">
            <v>OC'S METALFISA</v>
          </cell>
          <cell r="O694">
            <v>32</v>
          </cell>
          <cell r="P694" t="str">
            <v>OC'S GRANATO</v>
          </cell>
          <cell r="Q694" t="str">
            <v>-</v>
          </cell>
          <cell r="S694" t="str">
            <v>-</v>
          </cell>
          <cell r="U694">
            <v>32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16</v>
          </cell>
          <cell r="AA694">
            <v>16</v>
          </cell>
          <cell r="AB694">
            <v>0</v>
          </cell>
          <cell r="AC694">
            <v>8</v>
          </cell>
          <cell r="AD694">
            <v>-8</v>
          </cell>
        </row>
        <row r="695">
          <cell r="A695" t="str">
            <v>33.11.10020.01</v>
          </cell>
          <cell r="B695" t="str">
            <v>COLUNA SECUNDARIA TUNEL / 33.11.10020.01</v>
          </cell>
          <cell r="C695">
            <v>46076</v>
          </cell>
          <cell r="D695" t="str">
            <v>-</v>
          </cell>
          <cell r="E695" t="str">
            <v>-</v>
          </cell>
          <cell r="F695" t="str">
            <v>-</v>
          </cell>
          <cell r="G695" t="str">
            <v>-</v>
          </cell>
          <cell r="H695" t="str">
            <v>-</v>
          </cell>
          <cell r="I695" t="str">
            <v>-</v>
          </cell>
          <cell r="J695">
            <v>0</v>
          </cell>
          <cell r="K695">
            <v>5</v>
          </cell>
          <cell r="L695" t="str">
            <v>ENTREGA PARCIAL</v>
          </cell>
          <cell r="M695">
            <v>2</v>
          </cell>
          <cell r="N695" t="str">
            <v>OC'S METALFISA</v>
          </cell>
          <cell r="O695">
            <v>11</v>
          </cell>
          <cell r="P695" t="str">
            <v>OC'S GRANATO</v>
          </cell>
          <cell r="Q695" t="str">
            <v>-</v>
          </cell>
          <cell r="S695" t="str">
            <v>-</v>
          </cell>
          <cell r="U695">
            <v>13</v>
          </cell>
          <cell r="V695">
            <v>1</v>
          </cell>
          <cell r="W695">
            <v>0</v>
          </cell>
          <cell r="X695">
            <v>0</v>
          </cell>
          <cell r="Y695">
            <v>0</v>
          </cell>
          <cell r="Z695">
            <v>9</v>
          </cell>
          <cell r="AA695">
            <v>10</v>
          </cell>
          <cell r="AB695">
            <v>0</v>
          </cell>
          <cell r="AC695">
            <v>2</v>
          </cell>
          <cell r="AD695">
            <v>-8</v>
          </cell>
        </row>
        <row r="696">
          <cell r="A696" t="str">
            <v>33.11.10023.00</v>
          </cell>
          <cell r="B696" t="str">
            <v>COLUNA SECUNDARIA / 33.11.10023.00</v>
          </cell>
          <cell r="C696">
            <v>46074</v>
          </cell>
          <cell r="D696" t="str">
            <v>-</v>
          </cell>
          <cell r="E696" t="str">
            <v>-</v>
          </cell>
          <cell r="F696" t="str">
            <v>-</v>
          </cell>
          <cell r="G696" t="str">
            <v>-</v>
          </cell>
          <cell r="H696" t="str">
            <v>-</v>
          </cell>
          <cell r="I696" t="str">
            <v>-</v>
          </cell>
          <cell r="J696">
            <v>0</v>
          </cell>
          <cell r="K696">
            <v>8</v>
          </cell>
          <cell r="L696" t="str">
            <v>ENTREGA PARCIAL</v>
          </cell>
          <cell r="M696">
            <v>2</v>
          </cell>
          <cell r="N696" t="str">
            <v>OC'S METALFISA</v>
          </cell>
          <cell r="O696">
            <v>11</v>
          </cell>
          <cell r="P696" t="str">
            <v>OC'S GRANATO</v>
          </cell>
          <cell r="Q696" t="str">
            <v>-</v>
          </cell>
          <cell r="S696" t="str">
            <v>-</v>
          </cell>
          <cell r="U696">
            <v>13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9</v>
          </cell>
          <cell r="AA696">
            <v>9</v>
          </cell>
          <cell r="AB696">
            <v>0</v>
          </cell>
          <cell r="AC696">
            <v>4</v>
          </cell>
          <cell r="AD696">
            <v>-5</v>
          </cell>
        </row>
        <row r="697">
          <cell r="A697" t="str">
            <v>33.11.10026.00</v>
          </cell>
          <cell r="B697" t="str">
            <v>COLUNA PONTA / 33.11.10026.00</v>
          </cell>
          <cell r="C697">
            <v>46074</v>
          </cell>
          <cell r="D697" t="str">
            <v>-</v>
          </cell>
          <cell r="E697" t="str">
            <v>-</v>
          </cell>
          <cell r="F697" t="str">
            <v>-</v>
          </cell>
          <cell r="G697" t="str">
            <v>-</v>
          </cell>
          <cell r="H697" t="str">
            <v>-</v>
          </cell>
          <cell r="I697" t="str">
            <v>-</v>
          </cell>
          <cell r="J697">
            <v>0</v>
          </cell>
          <cell r="K697">
            <v>8</v>
          </cell>
          <cell r="L697" t="str">
            <v>ENTREGA PARCIAL</v>
          </cell>
          <cell r="M697">
            <v>2</v>
          </cell>
          <cell r="N697" t="str">
            <v>OC'S METALFISA</v>
          </cell>
          <cell r="O697">
            <v>11</v>
          </cell>
          <cell r="P697" t="str">
            <v>OC'S GRANATO</v>
          </cell>
          <cell r="Q697" t="str">
            <v>-</v>
          </cell>
          <cell r="S697" t="str">
            <v>-</v>
          </cell>
          <cell r="U697">
            <v>13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9</v>
          </cell>
          <cell r="AA697">
            <v>9</v>
          </cell>
          <cell r="AB697">
            <v>0</v>
          </cell>
          <cell r="AC697">
            <v>4</v>
          </cell>
          <cell r="AD697">
            <v>-5</v>
          </cell>
        </row>
        <row r="698">
          <cell r="A698" t="str">
            <v>33.11.10029.03</v>
          </cell>
          <cell r="B698" t="str">
            <v>COLUNA / 33.11.10029.03</v>
          </cell>
          <cell r="C698">
            <v>46066</v>
          </cell>
          <cell r="D698" t="str">
            <v>-</v>
          </cell>
          <cell r="E698" t="str">
            <v>-</v>
          </cell>
          <cell r="F698" t="str">
            <v>-</v>
          </cell>
          <cell r="G698" t="str">
            <v>-</v>
          </cell>
          <cell r="H698" t="str">
            <v>-</v>
          </cell>
          <cell r="I698" t="str">
            <v>-</v>
          </cell>
          <cell r="J698">
            <v>0</v>
          </cell>
          <cell r="K698">
            <v>29</v>
          </cell>
          <cell r="L698" t="str">
            <v>ENTREGA PARCIAL</v>
          </cell>
          <cell r="M698">
            <v>4</v>
          </cell>
          <cell r="N698" t="str">
            <v>OC'S METALFISA</v>
          </cell>
          <cell r="O698">
            <v>59</v>
          </cell>
          <cell r="P698" t="str">
            <v>OC'S GRANATO</v>
          </cell>
          <cell r="Q698" t="str">
            <v>-</v>
          </cell>
          <cell r="S698" t="str">
            <v>-</v>
          </cell>
          <cell r="U698">
            <v>63</v>
          </cell>
          <cell r="V698">
            <v>8</v>
          </cell>
          <cell r="W698">
            <v>0</v>
          </cell>
          <cell r="X698">
            <v>0</v>
          </cell>
          <cell r="Y698">
            <v>0</v>
          </cell>
          <cell r="Z698">
            <v>39</v>
          </cell>
          <cell r="AA698">
            <v>47</v>
          </cell>
          <cell r="AB698">
            <v>0</v>
          </cell>
          <cell r="AC698">
            <v>13</v>
          </cell>
          <cell r="AD698">
            <v>-34</v>
          </cell>
        </row>
        <row r="699">
          <cell r="A699" t="str">
            <v>33.11.10030.01</v>
          </cell>
          <cell r="B699" t="str">
            <v>SUPORTE ROLETE / 33.11.10030.01</v>
          </cell>
          <cell r="D699" t="str">
            <v>-</v>
          </cell>
          <cell r="E699" t="str">
            <v>-</v>
          </cell>
          <cell r="F699" t="str">
            <v>-</v>
          </cell>
          <cell r="G699" t="str">
            <v>-</v>
          </cell>
          <cell r="H699" t="str">
            <v>-</v>
          </cell>
          <cell r="I699" t="str">
            <v>-</v>
          </cell>
          <cell r="J699">
            <v>0</v>
          </cell>
          <cell r="K699">
            <v>4</v>
          </cell>
          <cell r="L699" t="str">
            <v>ENTREGA PARCIAL</v>
          </cell>
          <cell r="M699">
            <v>2</v>
          </cell>
          <cell r="N699" t="str">
            <v>OC'S METALFISA</v>
          </cell>
          <cell r="O699">
            <v>9</v>
          </cell>
          <cell r="P699" t="str">
            <v>OC'S GRANATO</v>
          </cell>
          <cell r="Q699" t="str">
            <v>-</v>
          </cell>
          <cell r="S699" t="str">
            <v>-</v>
          </cell>
          <cell r="U699">
            <v>11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9</v>
          </cell>
          <cell r="AA699">
            <v>9</v>
          </cell>
          <cell r="AB699">
            <v>0</v>
          </cell>
          <cell r="AC699">
            <v>2</v>
          </cell>
          <cell r="AD699">
            <v>-7</v>
          </cell>
        </row>
        <row r="700">
          <cell r="A700" t="str">
            <v>33.11.10033.00</v>
          </cell>
          <cell r="B700" t="str">
            <v>SUPORTE PESCOCO COLIMADOR / 33.11.10033.00</v>
          </cell>
          <cell r="D700" t="str">
            <v>-</v>
          </cell>
          <cell r="E700" t="str">
            <v>-</v>
          </cell>
          <cell r="F700" t="str">
            <v>-</v>
          </cell>
          <cell r="G700" t="str">
            <v>-</v>
          </cell>
          <cell r="H700" t="str">
            <v>-</v>
          </cell>
          <cell r="I700" t="str">
            <v>-</v>
          </cell>
          <cell r="J700">
            <v>0</v>
          </cell>
          <cell r="K700">
            <v>4</v>
          </cell>
          <cell r="L700" t="str">
            <v>ENTREGA PARCIAL</v>
          </cell>
          <cell r="M700">
            <v>2</v>
          </cell>
          <cell r="N700" t="str">
            <v>OC'S METALFISA</v>
          </cell>
          <cell r="O700">
            <v>8</v>
          </cell>
          <cell r="P700" t="str">
            <v>OC'S GRANATO</v>
          </cell>
          <cell r="Q700" t="str">
            <v>-</v>
          </cell>
          <cell r="S700" t="str">
            <v>-</v>
          </cell>
          <cell r="U700">
            <v>10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8</v>
          </cell>
          <cell r="AA700">
            <v>8</v>
          </cell>
          <cell r="AB700">
            <v>0</v>
          </cell>
          <cell r="AC700">
            <v>2</v>
          </cell>
          <cell r="AD700">
            <v>-6</v>
          </cell>
        </row>
        <row r="701">
          <cell r="A701" t="str">
            <v>33.11.10034.02</v>
          </cell>
          <cell r="B701" t="str">
            <v>SUPORTE ROLETE / 33.11.10034.02</v>
          </cell>
          <cell r="D701" t="str">
            <v>-</v>
          </cell>
          <cell r="E701" t="str">
            <v>-</v>
          </cell>
          <cell r="F701" t="str">
            <v>-</v>
          </cell>
          <cell r="G701" t="str">
            <v>-</v>
          </cell>
          <cell r="H701" t="str">
            <v>-</v>
          </cell>
          <cell r="I701" t="str">
            <v>-</v>
          </cell>
          <cell r="J701">
            <v>0</v>
          </cell>
          <cell r="K701">
            <v>1</v>
          </cell>
          <cell r="L701" t="str">
            <v>ENTREGA PARCIAL</v>
          </cell>
          <cell r="M701" t="str">
            <v>-</v>
          </cell>
          <cell r="N701" t="str">
            <v>OC'S METALFISA</v>
          </cell>
          <cell r="O701">
            <v>9</v>
          </cell>
          <cell r="P701" t="str">
            <v>OC'S GRANATO</v>
          </cell>
          <cell r="Q701" t="str">
            <v>-</v>
          </cell>
          <cell r="S701" t="str">
            <v>-</v>
          </cell>
          <cell r="U701">
            <v>9</v>
          </cell>
          <cell r="V701">
            <v>3</v>
          </cell>
          <cell r="W701">
            <v>0</v>
          </cell>
          <cell r="X701">
            <v>0</v>
          </cell>
          <cell r="Y701">
            <v>0</v>
          </cell>
          <cell r="Z701">
            <v>9</v>
          </cell>
          <cell r="AA701">
            <v>12</v>
          </cell>
          <cell r="AB701">
            <v>0</v>
          </cell>
          <cell r="AC701">
            <v>4</v>
          </cell>
          <cell r="AD701">
            <v>-8</v>
          </cell>
        </row>
        <row r="702">
          <cell r="A702" t="str">
            <v>33.11.10036.00</v>
          </cell>
          <cell r="B702" t="str">
            <v>COLUNA SECUNDARIA PARA TAMPA / 33.11.10036.00</v>
          </cell>
          <cell r="C702">
            <v>46076</v>
          </cell>
          <cell r="D702" t="str">
            <v>-</v>
          </cell>
          <cell r="E702" t="str">
            <v>-</v>
          </cell>
          <cell r="F702" t="str">
            <v>-</v>
          </cell>
          <cell r="G702" t="str">
            <v>-</v>
          </cell>
          <cell r="H702" t="str">
            <v>-</v>
          </cell>
          <cell r="I702" t="str">
            <v>-</v>
          </cell>
          <cell r="J702">
            <v>0</v>
          </cell>
          <cell r="K702">
            <v>12</v>
          </cell>
          <cell r="L702" t="str">
            <v>ENTREGA PARCIAL</v>
          </cell>
          <cell r="M702">
            <v>4</v>
          </cell>
          <cell r="N702" t="str">
            <v>OC'S METALFISA</v>
          </cell>
          <cell r="O702">
            <v>22</v>
          </cell>
          <cell r="P702" t="str">
            <v>OC'S GRANATO</v>
          </cell>
          <cell r="Q702" t="str">
            <v>-</v>
          </cell>
          <cell r="S702" t="str">
            <v>-</v>
          </cell>
          <cell r="U702">
            <v>26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18</v>
          </cell>
          <cell r="AA702">
            <v>18</v>
          </cell>
          <cell r="AB702">
            <v>0</v>
          </cell>
          <cell r="AC702">
            <v>4</v>
          </cell>
          <cell r="AD702">
            <v>-14</v>
          </cell>
        </row>
        <row r="703">
          <cell r="A703" t="str">
            <v>33.11.10040.00</v>
          </cell>
          <cell r="B703" t="str">
            <v>BASE DO MOTOR/33.11.10040.00</v>
          </cell>
          <cell r="C703">
            <v>46074</v>
          </cell>
          <cell r="D703" t="str">
            <v>-</v>
          </cell>
          <cell r="E703" t="str">
            <v>-</v>
          </cell>
          <cell r="F703" t="str">
            <v>-</v>
          </cell>
          <cell r="G703" t="str">
            <v>-</v>
          </cell>
          <cell r="H703" t="str">
            <v>-</v>
          </cell>
          <cell r="I703" t="str">
            <v>-</v>
          </cell>
          <cell r="J703">
            <v>0</v>
          </cell>
          <cell r="K703">
            <v>6</v>
          </cell>
          <cell r="L703" t="str">
            <v>ENTREGA PARCIAL</v>
          </cell>
          <cell r="M703">
            <v>2</v>
          </cell>
          <cell r="N703" t="str">
            <v>OC'S METALFISA</v>
          </cell>
          <cell r="O703">
            <v>8</v>
          </cell>
          <cell r="P703" t="str">
            <v>OC'S GRANATO</v>
          </cell>
          <cell r="Q703" t="str">
            <v>-</v>
          </cell>
          <cell r="S703" t="str">
            <v>-</v>
          </cell>
          <cell r="U703">
            <v>10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8</v>
          </cell>
          <cell r="AA703">
            <v>8</v>
          </cell>
          <cell r="AB703">
            <v>0</v>
          </cell>
          <cell r="AC703">
            <v>4</v>
          </cell>
          <cell r="AD703">
            <v>-4</v>
          </cell>
        </row>
        <row r="704">
          <cell r="A704" t="str">
            <v>33.11.10042.00</v>
          </cell>
          <cell r="B704" t="str">
            <v>TRAVA DAS COLUNAS / 33.11.10042.00</v>
          </cell>
          <cell r="C704">
            <v>46066</v>
          </cell>
          <cell r="D704" t="str">
            <v>-</v>
          </cell>
          <cell r="E704" t="str">
            <v>-</v>
          </cell>
          <cell r="F704" t="str">
            <v>-</v>
          </cell>
          <cell r="G704" t="str">
            <v>-</v>
          </cell>
          <cell r="H704" t="str">
            <v>-</v>
          </cell>
          <cell r="I704" t="str">
            <v>-</v>
          </cell>
          <cell r="J704">
            <v>0</v>
          </cell>
          <cell r="K704">
            <v>13</v>
          </cell>
          <cell r="L704" t="str">
            <v>ENTREGA PARCIAL</v>
          </cell>
          <cell r="M704" t="str">
            <v>-</v>
          </cell>
          <cell r="N704" t="str">
            <v>OC'S METALFISA</v>
          </cell>
          <cell r="O704">
            <v>21</v>
          </cell>
          <cell r="P704" t="str">
            <v>OC'S GRANATO</v>
          </cell>
          <cell r="Q704" t="str">
            <v>-</v>
          </cell>
          <cell r="S704" t="str">
            <v>-</v>
          </cell>
          <cell r="U704">
            <v>21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15</v>
          </cell>
          <cell r="AA704">
            <v>15</v>
          </cell>
          <cell r="AB704">
            <v>0</v>
          </cell>
          <cell r="AC704">
            <v>7</v>
          </cell>
          <cell r="AD704">
            <v>-8</v>
          </cell>
        </row>
        <row r="705">
          <cell r="A705" t="str">
            <v>33.11.10046.00</v>
          </cell>
          <cell r="B705" t="str">
            <v>TRAVA SUPERIOR / 33.11.10046.00</v>
          </cell>
          <cell r="C705">
            <v>46076</v>
          </cell>
          <cell r="D705" t="str">
            <v>-</v>
          </cell>
          <cell r="E705" t="str">
            <v>-</v>
          </cell>
          <cell r="F705" t="str">
            <v>-</v>
          </cell>
          <cell r="G705" t="str">
            <v>-</v>
          </cell>
          <cell r="H705" t="str">
            <v>-</v>
          </cell>
          <cell r="I705" t="str">
            <v>-</v>
          </cell>
          <cell r="J705">
            <v>0</v>
          </cell>
          <cell r="K705">
            <v>78</v>
          </cell>
          <cell r="L705" t="str">
            <v>ENTREGA PARCIAL</v>
          </cell>
          <cell r="M705">
            <v>8</v>
          </cell>
          <cell r="N705" t="str">
            <v>OC'S METALFISA</v>
          </cell>
          <cell r="O705">
            <v>138</v>
          </cell>
          <cell r="P705" t="str">
            <v>OC'S GRANATO</v>
          </cell>
          <cell r="Q705" t="str">
            <v>-</v>
          </cell>
          <cell r="S705" t="str">
            <v>-</v>
          </cell>
          <cell r="U705">
            <v>146</v>
          </cell>
          <cell r="V705">
            <v>10</v>
          </cell>
          <cell r="W705">
            <v>0</v>
          </cell>
          <cell r="X705">
            <v>0</v>
          </cell>
          <cell r="Y705">
            <v>0</v>
          </cell>
          <cell r="Z705">
            <v>90</v>
          </cell>
          <cell r="AA705">
            <v>100</v>
          </cell>
          <cell r="AB705">
            <v>0</v>
          </cell>
          <cell r="AC705">
            <v>32</v>
          </cell>
          <cell r="AD705">
            <v>-68</v>
          </cell>
        </row>
        <row r="706">
          <cell r="A706" t="str">
            <v>33.11.10047.01</v>
          </cell>
          <cell r="B706" t="str">
            <v>TRAVA DAS COLUNAS / 33.11.10047.01</v>
          </cell>
          <cell r="C706">
            <v>46066</v>
          </cell>
          <cell r="D706" t="str">
            <v>-</v>
          </cell>
          <cell r="E706" t="str">
            <v>-</v>
          </cell>
          <cell r="F706" t="str">
            <v>-</v>
          </cell>
          <cell r="G706" t="str">
            <v>-</v>
          </cell>
          <cell r="H706" t="str">
            <v>-</v>
          </cell>
          <cell r="I706" t="str">
            <v>-</v>
          </cell>
          <cell r="J706">
            <v>0</v>
          </cell>
          <cell r="K706">
            <v>13</v>
          </cell>
          <cell r="L706" t="str">
            <v>ENTREGA PARCIAL</v>
          </cell>
          <cell r="M706" t="str">
            <v>-</v>
          </cell>
          <cell r="N706" t="str">
            <v>OC'S METALFISA</v>
          </cell>
          <cell r="O706">
            <v>22</v>
          </cell>
          <cell r="P706" t="str">
            <v>OC'S GRANATO</v>
          </cell>
          <cell r="Q706" t="str">
            <v>-</v>
          </cell>
          <cell r="S706" t="str">
            <v>-</v>
          </cell>
          <cell r="U706">
            <v>22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15</v>
          </cell>
          <cell r="AA706">
            <v>15</v>
          </cell>
          <cell r="AB706">
            <v>0</v>
          </cell>
          <cell r="AC706">
            <v>6</v>
          </cell>
          <cell r="AD706">
            <v>-9</v>
          </cell>
        </row>
        <row r="707">
          <cell r="A707" t="str">
            <v>33.11.10050.01</v>
          </cell>
          <cell r="B707" t="str">
            <v>CAIXA L MODULO SV / 33.11.10050.01</v>
          </cell>
          <cell r="C707">
            <v>46066</v>
          </cell>
          <cell r="D707" t="str">
            <v>-</v>
          </cell>
          <cell r="E707" t="str">
            <v>-</v>
          </cell>
          <cell r="F707" t="str">
            <v>-</v>
          </cell>
          <cell r="G707" t="str">
            <v>-</v>
          </cell>
          <cell r="H707" t="str">
            <v>-</v>
          </cell>
          <cell r="I707" t="str">
            <v>-</v>
          </cell>
          <cell r="J707">
            <v>0</v>
          </cell>
          <cell r="K707">
            <v>6</v>
          </cell>
          <cell r="L707" t="str">
            <v>ENTREGA PARCIAL</v>
          </cell>
          <cell r="M707">
            <v>2</v>
          </cell>
          <cell r="N707" t="str">
            <v>OC'S METALFISA</v>
          </cell>
          <cell r="O707">
            <v>11</v>
          </cell>
          <cell r="P707" t="str">
            <v>OC'S GRANATO</v>
          </cell>
          <cell r="Q707" t="str">
            <v>-</v>
          </cell>
          <cell r="S707" t="str">
            <v>-</v>
          </cell>
          <cell r="U707">
            <v>13</v>
          </cell>
          <cell r="V707">
            <v>1</v>
          </cell>
          <cell r="W707">
            <v>0</v>
          </cell>
          <cell r="X707">
            <v>0</v>
          </cell>
          <cell r="Y707">
            <v>0</v>
          </cell>
          <cell r="Z707">
            <v>9</v>
          </cell>
          <cell r="AA707">
            <v>10</v>
          </cell>
          <cell r="AB707">
            <v>0</v>
          </cell>
          <cell r="AC707">
            <v>3</v>
          </cell>
          <cell r="AD707">
            <v>-7</v>
          </cell>
        </row>
        <row r="708">
          <cell r="A708" t="str">
            <v>33.11.10061.01</v>
          </cell>
          <cell r="B708" t="str">
            <v>TAMPA CAIXA L VERTICAL SV 03 / 33.11.10061.01</v>
          </cell>
          <cell r="D708" t="str">
            <v>-</v>
          </cell>
          <cell r="E708" t="str">
            <v>-</v>
          </cell>
          <cell r="F708" t="str">
            <v>-</v>
          </cell>
          <cell r="G708" t="str">
            <v>-</v>
          </cell>
          <cell r="H708" t="str">
            <v>-</v>
          </cell>
          <cell r="I708" t="str">
            <v>-</v>
          </cell>
          <cell r="J708">
            <v>0</v>
          </cell>
          <cell r="K708">
            <v>3</v>
          </cell>
          <cell r="L708" t="str">
            <v>ENTREGA PARCIAL</v>
          </cell>
          <cell r="M708">
            <v>2</v>
          </cell>
          <cell r="N708" t="str">
            <v>OC'S METALFISA</v>
          </cell>
          <cell r="O708">
            <v>9</v>
          </cell>
          <cell r="P708" t="str">
            <v>OC'S GRANATO</v>
          </cell>
          <cell r="Q708" t="str">
            <v>-</v>
          </cell>
          <cell r="S708" t="str">
            <v>-</v>
          </cell>
          <cell r="U708">
            <v>11</v>
          </cell>
          <cell r="V708">
            <v>1</v>
          </cell>
          <cell r="W708">
            <v>0</v>
          </cell>
          <cell r="X708">
            <v>0</v>
          </cell>
          <cell r="Y708">
            <v>0</v>
          </cell>
          <cell r="Z708">
            <v>9</v>
          </cell>
          <cell r="AA708">
            <v>10</v>
          </cell>
          <cell r="AB708">
            <v>0</v>
          </cell>
          <cell r="AC708">
            <v>2</v>
          </cell>
          <cell r="AD708">
            <v>-8</v>
          </cell>
        </row>
        <row r="709">
          <cell r="A709" t="str">
            <v>33.11.10064.01</v>
          </cell>
          <cell r="B709" t="str">
            <v>TAMPA CAIXA L VERTICAL SV 02 / 33.11.10064.01</v>
          </cell>
          <cell r="D709" t="str">
            <v>-</v>
          </cell>
          <cell r="E709" t="str">
            <v>-</v>
          </cell>
          <cell r="F709" t="str">
            <v>-</v>
          </cell>
          <cell r="G709" t="str">
            <v>-</v>
          </cell>
          <cell r="H709" t="str">
            <v>-</v>
          </cell>
          <cell r="I709" t="str">
            <v>-</v>
          </cell>
          <cell r="J709">
            <v>0</v>
          </cell>
          <cell r="K709">
            <v>3</v>
          </cell>
          <cell r="L709" t="str">
            <v>ENTREGA PARCIAL</v>
          </cell>
          <cell r="M709">
            <v>2</v>
          </cell>
          <cell r="N709" t="str">
            <v>OC'S METALFISA</v>
          </cell>
          <cell r="O709">
            <v>9</v>
          </cell>
          <cell r="P709" t="str">
            <v>OC'S GRANATO</v>
          </cell>
          <cell r="Q709" t="str">
            <v>-</v>
          </cell>
          <cell r="S709" t="str">
            <v>-</v>
          </cell>
          <cell r="U709">
            <v>11</v>
          </cell>
          <cell r="V709">
            <v>1</v>
          </cell>
          <cell r="W709">
            <v>0</v>
          </cell>
          <cell r="X709">
            <v>0</v>
          </cell>
          <cell r="Y709">
            <v>0</v>
          </cell>
          <cell r="Z709">
            <v>9</v>
          </cell>
          <cell r="AA709">
            <v>10</v>
          </cell>
          <cell r="AB709">
            <v>0</v>
          </cell>
          <cell r="AC709">
            <v>2</v>
          </cell>
          <cell r="AD709">
            <v>-8</v>
          </cell>
        </row>
        <row r="710">
          <cell r="A710" t="str">
            <v>33.11.10065.01</v>
          </cell>
          <cell r="B710" t="str">
            <v>TAMPA VERTICAL CAIXA L SV / 33.11.10065.01</v>
          </cell>
          <cell r="D710" t="str">
            <v>-</v>
          </cell>
          <cell r="E710" t="str">
            <v>-</v>
          </cell>
          <cell r="F710" t="str">
            <v>-</v>
          </cell>
          <cell r="G710" t="str">
            <v>-</v>
          </cell>
          <cell r="H710" t="str">
            <v>-</v>
          </cell>
          <cell r="I710" t="str">
            <v>-</v>
          </cell>
          <cell r="J710">
            <v>0</v>
          </cell>
          <cell r="K710">
            <v>3</v>
          </cell>
          <cell r="L710" t="str">
            <v>ENTREGA PARCIAL</v>
          </cell>
          <cell r="M710">
            <v>2</v>
          </cell>
          <cell r="N710" t="str">
            <v>OC'S METALFISA</v>
          </cell>
          <cell r="O710">
            <v>9</v>
          </cell>
          <cell r="P710" t="str">
            <v>OC'S GRANATO</v>
          </cell>
          <cell r="Q710" t="str">
            <v>-</v>
          </cell>
          <cell r="S710" t="str">
            <v>-</v>
          </cell>
          <cell r="U710">
            <v>11</v>
          </cell>
          <cell r="V710">
            <v>1</v>
          </cell>
          <cell r="W710">
            <v>0</v>
          </cell>
          <cell r="X710">
            <v>0</v>
          </cell>
          <cell r="Y710">
            <v>0</v>
          </cell>
          <cell r="Z710">
            <v>9</v>
          </cell>
          <cell r="AA710">
            <v>10</v>
          </cell>
          <cell r="AB710">
            <v>0</v>
          </cell>
          <cell r="AC710">
            <v>2</v>
          </cell>
          <cell r="AD710">
            <v>-8</v>
          </cell>
        </row>
        <row r="711">
          <cell r="A711" t="str">
            <v>33.11.10067.01</v>
          </cell>
          <cell r="B711" t="str">
            <v>TAMPA CAIXA L SV / 33.11.10067.01</v>
          </cell>
          <cell r="C711">
            <v>46074</v>
          </cell>
          <cell r="D711" t="str">
            <v>-</v>
          </cell>
          <cell r="E711" t="str">
            <v>-</v>
          </cell>
          <cell r="F711" t="str">
            <v>-</v>
          </cell>
          <cell r="G711" t="str">
            <v>-</v>
          </cell>
          <cell r="H711" t="str">
            <v>-</v>
          </cell>
          <cell r="I711" t="str">
            <v>-</v>
          </cell>
          <cell r="J711">
            <v>0</v>
          </cell>
          <cell r="K711">
            <v>16</v>
          </cell>
          <cell r="L711" t="str">
            <v>ENTREGA PARCIAL</v>
          </cell>
          <cell r="M711">
            <v>8</v>
          </cell>
          <cell r="N711" t="str">
            <v>OC'S METALFISA</v>
          </cell>
          <cell r="O711">
            <v>36</v>
          </cell>
          <cell r="P711" t="str">
            <v>OC'S GRANATO</v>
          </cell>
          <cell r="Q711" t="str">
            <v>-</v>
          </cell>
          <cell r="S711" t="str">
            <v>-</v>
          </cell>
          <cell r="U711">
            <v>44</v>
          </cell>
          <cell r="V711">
            <v>4</v>
          </cell>
          <cell r="W711">
            <v>0</v>
          </cell>
          <cell r="X711">
            <v>0</v>
          </cell>
          <cell r="Y711">
            <v>0</v>
          </cell>
          <cell r="Z711">
            <v>36</v>
          </cell>
          <cell r="AA711">
            <v>40</v>
          </cell>
          <cell r="AB711">
            <v>0</v>
          </cell>
          <cell r="AC711">
            <v>12</v>
          </cell>
          <cell r="AD711">
            <v>-28</v>
          </cell>
        </row>
        <row r="712">
          <cell r="A712" t="str">
            <v>33.11.10069.00</v>
          </cell>
          <cell r="B712" t="str">
            <v>VEDACAO TAMPA CAIXA L SV / 33.11.10069.00</v>
          </cell>
          <cell r="D712" t="str">
            <v>-</v>
          </cell>
          <cell r="E712" t="str">
            <v>-</v>
          </cell>
          <cell r="F712" t="str">
            <v>-</v>
          </cell>
          <cell r="G712" t="str">
            <v>-</v>
          </cell>
          <cell r="H712" t="str">
            <v>-</v>
          </cell>
          <cell r="I712" t="str">
            <v>-</v>
          </cell>
          <cell r="J712">
            <v>0</v>
          </cell>
          <cell r="K712">
            <v>12</v>
          </cell>
          <cell r="L712" t="str">
            <v>ENTREGA PARCIAL</v>
          </cell>
          <cell r="M712">
            <v>8</v>
          </cell>
          <cell r="N712" t="str">
            <v>OC'S METALFISA</v>
          </cell>
          <cell r="O712">
            <v>32</v>
          </cell>
          <cell r="P712" t="str">
            <v>OC'S GRANATO</v>
          </cell>
          <cell r="Q712" t="str">
            <v>-</v>
          </cell>
          <cell r="S712" t="str">
            <v>-</v>
          </cell>
          <cell r="U712">
            <v>40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36</v>
          </cell>
          <cell r="AA712">
            <v>36</v>
          </cell>
          <cell r="AB712">
            <v>0</v>
          </cell>
          <cell r="AC712">
            <v>8</v>
          </cell>
          <cell r="AD712">
            <v>-28</v>
          </cell>
        </row>
        <row r="713">
          <cell r="A713" t="str">
            <v>33.11.10070.01</v>
          </cell>
          <cell r="B713" t="str">
            <v>TAMPA CAIXA L SV / 33.11.10070.01</v>
          </cell>
          <cell r="D713" t="str">
            <v>-</v>
          </cell>
          <cell r="E713" t="str">
            <v>-</v>
          </cell>
          <cell r="F713" t="str">
            <v>-</v>
          </cell>
          <cell r="G713" t="str">
            <v>-</v>
          </cell>
          <cell r="H713" t="str">
            <v>-</v>
          </cell>
          <cell r="I713" t="str">
            <v>-</v>
          </cell>
          <cell r="J713">
            <v>0</v>
          </cell>
          <cell r="K713">
            <v>5</v>
          </cell>
          <cell r="L713" t="str">
            <v>ENTREGA PARCIAL</v>
          </cell>
          <cell r="M713">
            <v>2</v>
          </cell>
          <cell r="N713" t="str">
            <v>OC'S METALFISA</v>
          </cell>
          <cell r="O713">
            <v>11</v>
          </cell>
          <cell r="P713" t="str">
            <v>OC'S GRANATO</v>
          </cell>
          <cell r="Q713" t="str">
            <v>-</v>
          </cell>
          <cell r="S713" t="str">
            <v>-</v>
          </cell>
          <cell r="U713">
            <v>13</v>
          </cell>
          <cell r="V713">
            <v>1</v>
          </cell>
          <cell r="W713">
            <v>0</v>
          </cell>
          <cell r="X713">
            <v>0</v>
          </cell>
          <cell r="Y713">
            <v>0</v>
          </cell>
          <cell r="Z713">
            <v>9</v>
          </cell>
          <cell r="AA713">
            <v>10</v>
          </cell>
          <cell r="AB713">
            <v>0</v>
          </cell>
          <cell r="AC713">
            <v>2</v>
          </cell>
          <cell r="AD713">
            <v>-8</v>
          </cell>
        </row>
        <row r="714">
          <cell r="A714" t="str">
            <v>33.11.10072.00</v>
          </cell>
          <cell r="B714" t="str">
            <v>TAMPA  VEDACAO CAIXA L SV / 33.11.10072.00</v>
          </cell>
          <cell r="C714">
            <v>46066</v>
          </cell>
          <cell r="D714" t="str">
            <v>-</v>
          </cell>
          <cell r="E714" t="str">
            <v>-</v>
          </cell>
          <cell r="F714" t="str">
            <v>-</v>
          </cell>
          <cell r="G714" t="str">
            <v>-</v>
          </cell>
          <cell r="H714" t="str">
            <v>-</v>
          </cell>
          <cell r="I714" t="str">
            <v>-</v>
          </cell>
          <cell r="J714">
            <v>0</v>
          </cell>
          <cell r="K714">
            <v>10</v>
          </cell>
          <cell r="L714" t="str">
            <v>ENTREGA PARCIAL</v>
          </cell>
          <cell r="M714">
            <v>4</v>
          </cell>
          <cell r="N714" t="str">
            <v>OC'S METALFISA</v>
          </cell>
          <cell r="O714">
            <v>19</v>
          </cell>
          <cell r="P714" t="str">
            <v>OC'S GRANATO</v>
          </cell>
          <cell r="Q714" t="str">
            <v>-</v>
          </cell>
          <cell r="S714" t="str">
            <v>-</v>
          </cell>
          <cell r="U714">
            <v>23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17</v>
          </cell>
          <cell r="AA714">
            <v>17</v>
          </cell>
          <cell r="AB714">
            <v>0</v>
          </cell>
          <cell r="AC714">
            <v>4</v>
          </cell>
          <cell r="AD714">
            <v>-13</v>
          </cell>
        </row>
        <row r="715">
          <cell r="A715" t="str">
            <v>33.11.10073.00</v>
          </cell>
          <cell r="B715" t="str">
            <v>TRAVESSA COLUNA / 33.11.10073.00</v>
          </cell>
          <cell r="C715">
            <v>46069</v>
          </cell>
          <cell r="D715" t="str">
            <v>-</v>
          </cell>
          <cell r="E715" t="str">
            <v>-</v>
          </cell>
          <cell r="F715" t="str">
            <v>-</v>
          </cell>
          <cell r="G715" t="str">
            <v>-</v>
          </cell>
          <cell r="H715" t="str">
            <v>-</v>
          </cell>
          <cell r="I715" t="str">
            <v>-</v>
          </cell>
          <cell r="J715">
            <v>0</v>
          </cell>
          <cell r="K715">
            <v>7</v>
          </cell>
          <cell r="L715" t="str">
            <v>ENTREGA PARCIAL</v>
          </cell>
          <cell r="M715" t="str">
            <v>-</v>
          </cell>
          <cell r="N715" t="str">
            <v>OC'S METALFISA</v>
          </cell>
          <cell r="O715">
            <v>10</v>
          </cell>
          <cell r="P715" t="str">
            <v>OC'S GRANATO</v>
          </cell>
          <cell r="Q715" t="str">
            <v>-</v>
          </cell>
          <cell r="S715" t="str">
            <v>-</v>
          </cell>
          <cell r="U715">
            <v>10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7</v>
          </cell>
          <cell r="AA715">
            <v>7</v>
          </cell>
          <cell r="AB715">
            <v>0</v>
          </cell>
          <cell r="AC715">
            <v>4</v>
          </cell>
          <cell r="AD715">
            <v>-3</v>
          </cell>
        </row>
        <row r="716">
          <cell r="A716" t="str">
            <v>33.11.10074.00</v>
          </cell>
          <cell r="B716" t="str">
            <v>TUNEL / 33.11.10074.00</v>
          </cell>
          <cell r="C716">
            <v>46074</v>
          </cell>
          <cell r="D716" t="str">
            <v>-</v>
          </cell>
          <cell r="E716" t="str">
            <v>-</v>
          </cell>
          <cell r="F716" t="str">
            <v>-</v>
          </cell>
          <cell r="G716" t="str">
            <v>-</v>
          </cell>
          <cell r="H716" t="str">
            <v>-</v>
          </cell>
          <cell r="I716" t="str">
            <v>-</v>
          </cell>
          <cell r="J716">
            <v>0</v>
          </cell>
          <cell r="K716">
            <v>6</v>
          </cell>
          <cell r="L716" t="str">
            <v>ENTREGA PARCIAL</v>
          </cell>
          <cell r="M716">
            <v>1</v>
          </cell>
          <cell r="N716" t="str">
            <v>OC'S METALFISA</v>
          </cell>
          <cell r="O716">
            <v>11</v>
          </cell>
          <cell r="P716" t="str">
            <v>OC'S GRANATO</v>
          </cell>
          <cell r="Q716" t="str">
            <v>-</v>
          </cell>
          <cell r="S716" t="str">
            <v>-</v>
          </cell>
          <cell r="U716">
            <v>12</v>
          </cell>
          <cell r="V716">
            <v>1</v>
          </cell>
          <cell r="W716">
            <v>0</v>
          </cell>
          <cell r="X716">
            <v>0</v>
          </cell>
          <cell r="Y716">
            <v>0</v>
          </cell>
          <cell r="Z716">
            <v>9</v>
          </cell>
          <cell r="AA716">
            <v>10</v>
          </cell>
          <cell r="AB716">
            <v>0</v>
          </cell>
          <cell r="AC716">
            <v>4</v>
          </cell>
          <cell r="AD716">
            <v>-6</v>
          </cell>
        </row>
        <row r="717">
          <cell r="A717" t="str">
            <v>33.11.10075.00</v>
          </cell>
          <cell r="B717" t="str">
            <v>TUNEL ACESSO MOTOR / 33.11.10075.00</v>
          </cell>
          <cell r="D717" t="str">
            <v>-</v>
          </cell>
          <cell r="E717" t="str">
            <v>-</v>
          </cell>
          <cell r="F717" t="str">
            <v>-</v>
          </cell>
          <cell r="G717" t="str">
            <v>-</v>
          </cell>
          <cell r="H717" t="str">
            <v>-</v>
          </cell>
          <cell r="I717" t="str">
            <v>-</v>
          </cell>
          <cell r="J717">
            <v>0</v>
          </cell>
          <cell r="K717">
            <v>5</v>
          </cell>
          <cell r="L717" t="str">
            <v>ENTREGA PARCIAL</v>
          </cell>
          <cell r="M717">
            <v>2</v>
          </cell>
          <cell r="N717" t="str">
            <v>OC'S METALFISA</v>
          </cell>
          <cell r="O717">
            <v>11</v>
          </cell>
          <cell r="P717" t="str">
            <v>OC'S GRANATO</v>
          </cell>
          <cell r="Q717" t="str">
            <v>-</v>
          </cell>
          <cell r="S717" t="str">
            <v>-</v>
          </cell>
          <cell r="U717">
            <v>13</v>
          </cell>
          <cell r="V717">
            <v>1</v>
          </cell>
          <cell r="W717">
            <v>0</v>
          </cell>
          <cell r="X717">
            <v>0</v>
          </cell>
          <cell r="Y717">
            <v>0</v>
          </cell>
          <cell r="Z717">
            <v>9</v>
          </cell>
          <cell r="AA717">
            <v>10</v>
          </cell>
          <cell r="AB717">
            <v>0</v>
          </cell>
          <cell r="AC717">
            <v>2</v>
          </cell>
          <cell r="AD717">
            <v>-8</v>
          </cell>
        </row>
        <row r="718">
          <cell r="A718" t="str">
            <v>33.11.10076.01</v>
          </cell>
          <cell r="B718" t="str">
            <v>TUNEL / 33.11.10076.01</v>
          </cell>
          <cell r="D718" t="str">
            <v>-</v>
          </cell>
          <cell r="E718" t="str">
            <v>-</v>
          </cell>
          <cell r="F718" t="str">
            <v>-</v>
          </cell>
          <cell r="G718" t="str">
            <v>-</v>
          </cell>
          <cell r="H718" t="str">
            <v>-</v>
          </cell>
          <cell r="I718" t="str">
            <v>-</v>
          </cell>
          <cell r="J718">
            <v>0</v>
          </cell>
          <cell r="K718">
            <v>4</v>
          </cell>
          <cell r="L718" t="str">
            <v>FALTA ENTREGA</v>
          </cell>
          <cell r="M718">
            <v>2</v>
          </cell>
          <cell r="N718" t="str">
            <v>OC'S METALFISA</v>
          </cell>
          <cell r="O718">
            <v>11</v>
          </cell>
          <cell r="P718" t="str">
            <v>OC'S GRANATO</v>
          </cell>
          <cell r="Q718" t="str">
            <v>-</v>
          </cell>
          <cell r="S718" t="str">
            <v>-</v>
          </cell>
          <cell r="U718">
            <v>13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9</v>
          </cell>
          <cell r="AA718">
            <v>9</v>
          </cell>
          <cell r="AB718">
            <v>0</v>
          </cell>
          <cell r="AC718">
            <v>0</v>
          </cell>
          <cell r="AD718">
            <v>-9</v>
          </cell>
        </row>
        <row r="719">
          <cell r="A719" t="str">
            <v>33.11.10077.01</v>
          </cell>
          <cell r="B719" t="str">
            <v>TUNEL / 33.11.10077.01</v>
          </cell>
          <cell r="C719">
            <v>46059</v>
          </cell>
          <cell r="D719" t="str">
            <v>-</v>
          </cell>
          <cell r="E719" t="str">
            <v>-</v>
          </cell>
          <cell r="F719" t="str">
            <v>-</v>
          </cell>
          <cell r="G719" t="str">
            <v>-</v>
          </cell>
          <cell r="H719" t="str">
            <v>-</v>
          </cell>
          <cell r="I719" t="str">
            <v>-</v>
          </cell>
          <cell r="J719">
            <v>0</v>
          </cell>
          <cell r="K719">
            <v>6</v>
          </cell>
          <cell r="L719" t="str">
            <v>ENTREGA PARCIAL</v>
          </cell>
          <cell r="M719">
            <v>2</v>
          </cell>
          <cell r="N719" t="str">
            <v>OC'S METALFISA</v>
          </cell>
          <cell r="O719">
            <v>11</v>
          </cell>
          <cell r="P719" t="str">
            <v>OC'S GRANATO</v>
          </cell>
          <cell r="Q719" t="str">
            <v>-</v>
          </cell>
          <cell r="S719" t="str">
            <v>-</v>
          </cell>
          <cell r="U719">
            <v>13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9</v>
          </cell>
          <cell r="AA719">
            <v>9</v>
          </cell>
          <cell r="AB719">
            <v>0</v>
          </cell>
          <cell r="AC719">
            <v>2</v>
          </cell>
          <cell r="AD719">
            <v>-7</v>
          </cell>
        </row>
        <row r="720">
          <cell r="A720" t="str">
            <v>33.11.10078.01</v>
          </cell>
          <cell r="B720" t="str">
            <v>TUNEL SUPERIOR / 33.11.10078.01</v>
          </cell>
          <cell r="C720">
            <v>46059</v>
          </cell>
          <cell r="D720" t="str">
            <v>-</v>
          </cell>
          <cell r="E720" t="str">
            <v>-</v>
          </cell>
          <cell r="F720" t="str">
            <v>-</v>
          </cell>
          <cell r="G720" t="str">
            <v>-</v>
          </cell>
          <cell r="H720" t="str">
            <v>-</v>
          </cell>
          <cell r="I720" t="str">
            <v>-</v>
          </cell>
          <cell r="J720">
            <v>0</v>
          </cell>
          <cell r="K720">
            <v>7</v>
          </cell>
          <cell r="L720" t="str">
            <v>ENTREGA PARCIAL</v>
          </cell>
          <cell r="M720">
            <v>2</v>
          </cell>
          <cell r="N720" t="str">
            <v>OC'S METALFISA</v>
          </cell>
          <cell r="O720">
            <v>11</v>
          </cell>
          <cell r="P720" t="str">
            <v>OC'S GRANATO</v>
          </cell>
          <cell r="Q720" t="str">
            <v>-</v>
          </cell>
          <cell r="S720" t="str">
            <v>-</v>
          </cell>
          <cell r="U720">
            <v>13</v>
          </cell>
          <cell r="V720">
            <v>1</v>
          </cell>
          <cell r="W720">
            <v>0</v>
          </cell>
          <cell r="X720">
            <v>0</v>
          </cell>
          <cell r="Y720">
            <v>0</v>
          </cell>
          <cell r="Z720">
            <v>9</v>
          </cell>
          <cell r="AA720">
            <v>10</v>
          </cell>
          <cell r="AB720">
            <v>0</v>
          </cell>
          <cell r="AC720">
            <v>4</v>
          </cell>
          <cell r="AD720">
            <v>-6</v>
          </cell>
        </row>
        <row r="721">
          <cell r="A721" t="str">
            <v>33.11.10079.01</v>
          </cell>
          <cell r="B721" t="str">
            <v>TUNEL SUPERIOR / 33.11.10079.01</v>
          </cell>
          <cell r="C721">
            <v>46059</v>
          </cell>
          <cell r="D721" t="str">
            <v>-</v>
          </cell>
          <cell r="E721" t="str">
            <v>-</v>
          </cell>
          <cell r="F721" t="str">
            <v>-</v>
          </cell>
          <cell r="G721" t="str">
            <v>-</v>
          </cell>
          <cell r="H721" t="str">
            <v>-</v>
          </cell>
          <cell r="I721" t="str">
            <v>-</v>
          </cell>
          <cell r="J721">
            <v>0</v>
          </cell>
          <cell r="K721">
            <v>6</v>
          </cell>
          <cell r="L721" t="str">
            <v>ENTREGA PARCIAL</v>
          </cell>
          <cell r="M721">
            <v>2</v>
          </cell>
          <cell r="N721" t="str">
            <v>OC'S METALFISA</v>
          </cell>
          <cell r="O721">
            <v>11</v>
          </cell>
          <cell r="P721" t="str">
            <v>OC'S GRANATO</v>
          </cell>
          <cell r="Q721" t="str">
            <v>-</v>
          </cell>
          <cell r="S721" t="str">
            <v>-</v>
          </cell>
          <cell r="U721">
            <v>13</v>
          </cell>
          <cell r="V721">
            <v>1</v>
          </cell>
          <cell r="W721">
            <v>0</v>
          </cell>
          <cell r="X721">
            <v>0</v>
          </cell>
          <cell r="Y721">
            <v>0</v>
          </cell>
          <cell r="Z721">
            <v>9</v>
          </cell>
          <cell r="AA721">
            <v>10</v>
          </cell>
          <cell r="AB721">
            <v>0</v>
          </cell>
          <cell r="AC721">
            <v>3</v>
          </cell>
          <cell r="AD721">
            <v>-7</v>
          </cell>
        </row>
        <row r="722">
          <cell r="A722" t="str">
            <v>33.11.10080.02</v>
          </cell>
          <cell r="B722" t="str">
            <v>PESCOCO COLIMADOR SV / 33.11.10080.02</v>
          </cell>
          <cell r="C722">
            <v>46064</v>
          </cell>
          <cell r="D722" t="str">
            <v>-</v>
          </cell>
          <cell r="E722" t="str">
            <v>-</v>
          </cell>
          <cell r="F722" t="str">
            <v>-</v>
          </cell>
          <cell r="G722" t="str">
            <v>-</v>
          </cell>
          <cell r="H722" t="str">
            <v>-</v>
          </cell>
          <cell r="I722" t="str">
            <v>-</v>
          </cell>
          <cell r="J722">
            <v>0</v>
          </cell>
          <cell r="K722">
            <v>8</v>
          </cell>
          <cell r="L722" t="str">
            <v>ENTREGA PARCIAL</v>
          </cell>
          <cell r="M722" t="str">
            <v>-</v>
          </cell>
          <cell r="N722" t="str">
            <v>OC'S METALFISA</v>
          </cell>
          <cell r="O722">
            <v>12</v>
          </cell>
          <cell r="P722" t="str">
            <v>OC'S GRANATO</v>
          </cell>
          <cell r="Q722" t="str">
            <v>-</v>
          </cell>
          <cell r="S722" t="str">
            <v>-</v>
          </cell>
          <cell r="U722">
            <v>12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9</v>
          </cell>
          <cell r="AA722">
            <v>9</v>
          </cell>
          <cell r="AB722">
            <v>0</v>
          </cell>
          <cell r="AC722">
            <v>5</v>
          </cell>
          <cell r="AD722">
            <v>-4</v>
          </cell>
        </row>
        <row r="723">
          <cell r="A723" t="str">
            <v>33.11.10082.01</v>
          </cell>
          <cell r="B723" t="str">
            <v>SUPORTE RODA DENTADA / 33.11.10082.01</v>
          </cell>
          <cell r="D723" t="str">
            <v>-</v>
          </cell>
          <cell r="E723" t="str">
            <v>-</v>
          </cell>
          <cell r="F723" t="str">
            <v>-</v>
          </cell>
          <cell r="G723" t="str">
            <v>-</v>
          </cell>
          <cell r="H723" t="str">
            <v>-</v>
          </cell>
          <cell r="I723" t="str">
            <v>-</v>
          </cell>
          <cell r="J723">
            <v>0</v>
          </cell>
          <cell r="K723">
            <v>4</v>
          </cell>
          <cell r="L723" t="str">
            <v>ENTREGA PARCIAL</v>
          </cell>
          <cell r="M723" t="str">
            <v>-</v>
          </cell>
          <cell r="N723" t="str">
            <v>OC'S METALFISA</v>
          </cell>
          <cell r="O723">
            <v>9</v>
          </cell>
          <cell r="P723" t="str">
            <v>OC'S GRANATO</v>
          </cell>
          <cell r="Q723" t="str">
            <v>-</v>
          </cell>
          <cell r="S723" t="str">
            <v>-</v>
          </cell>
          <cell r="U723">
            <v>9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7</v>
          </cell>
          <cell r="AA723">
            <v>7</v>
          </cell>
          <cell r="AB723">
            <v>0</v>
          </cell>
          <cell r="AC723">
            <v>2</v>
          </cell>
          <cell r="AD723">
            <v>-5</v>
          </cell>
        </row>
        <row r="724">
          <cell r="A724" t="str">
            <v>33.11.10086.00</v>
          </cell>
          <cell r="B724" t="str">
            <v>TAMPA PESCOCO / 33.11.10086.00</v>
          </cell>
          <cell r="C724">
            <v>46066</v>
          </cell>
          <cell r="D724" t="str">
            <v>-</v>
          </cell>
          <cell r="E724" t="str">
            <v>-</v>
          </cell>
          <cell r="F724" t="str">
            <v>-</v>
          </cell>
          <cell r="G724" t="str">
            <v>-</v>
          </cell>
          <cell r="H724" t="str">
            <v>-</v>
          </cell>
          <cell r="I724" t="str">
            <v>-</v>
          </cell>
          <cell r="J724">
            <v>0</v>
          </cell>
          <cell r="K724">
            <v>5</v>
          </cell>
          <cell r="L724" t="str">
            <v>ENTREGA PARCIAL</v>
          </cell>
          <cell r="M724" t="str">
            <v>-</v>
          </cell>
          <cell r="N724" t="str">
            <v>OC'S METALFISA</v>
          </cell>
          <cell r="O724">
            <v>8</v>
          </cell>
          <cell r="P724" t="str">
            <v>OC'S GRANATO</v>
          </cell>
          <cell r="Q724" t="str">
            <v>-</v>
          </cell>
          <cell r="S724" t="str">
            <v>-</v>
          </cell>
          <cell r="U724">
            <v>8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7</v>
          </cell>
          <cell r="AA724">
            <v>7</v>
          </cell>
          <cell r="AB724">
            <v>0</v>
          </cell>
          <cell r="AC724">
            <v>4</v>
          </cell>
          <cell r="AD724">
            <v>-3</v>
          </cell>
        </row>
        <row r="725">
          <cell r="A725" t="str">
            <v>33.11.10088.00</v>
          </cell>
          <cell r="B725" t="str">
            <v>COLIAMDOR SV / 33.11.10088.00</v>
          </cell>
          <cell r="C725">
            <v>46074</v>
          </cell>
          <cell r="D725" t="str">
            <v>-</v>
          </cell>
          <cell r="E725" t="str">
            <v>-</v>
          </cell>
          <cell r="F725" t="str">
            <v>-</v>
          </cell>
          <cell r="G725" t="str">
            <v>-</v>
          </cell>
          <cell r="H725" t="str">
            <v>-</v>
          </cell>
          <cell r="I725" t="str">
            <v>-</v>
          </cell>
          <cell r="J725">
            <v>0</v>
          </cell>
          <cell r="K725">
            <v>20</v>
          </cell>
          <cell r="L725" t="str">
            <v>ENTREGA PARCIAL</v>
          </cell>
          <cell r="M725">
            <v>4</v>
          </cell>
          <cell r="N725" t="str">
            <v>OC'S METALFISA</v>
          </cell>
          <cell r="O725">
            <v>22</v>
          </cell>
          <cell r="P725" t="str">
            <v>OC'S GRANATO</v>
          </cell>
          <cell r="Q725" t="str">
            <v>-</v>
          </cell>
          <cell r="S725" t="str">
            <v>-</v>
          </cell>
          <cell r="U725">
            <v>26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18</v>
          </cell>
          <cell r="AA725">
            <v>18</v>
          </cell>
          <cell r="AB725">
            <v>0</v>
          </cell>
          <cell r="AC725">
            <v>12</v>
          </cell>
          <cell r="AD725">
            <v>-6</v>
          </cell>
        </row>
        <row r="726">
          <cell r="A726" t="str">
            <v>33.11.10090.00</v>
          </cell>
          <cell r="B726" t="str">
            <v>COLIMADOR / 33.11.10090.00</v>
          </cell>
          <cell r="C726">
            <v>46076</v>
          </cell>
          <cell r="D726" t="str">
            <v>-</v>
          </cell>
          <cell r="E726" t="str">
            <v>-</v>
          </cell>
          <cell r="F726" t="str">
            <v>-</v>
          </cell>
          <cell r="G726" t="str">
            <v>-</v>
          </cell>
          <cell r="H726" t="str">
            <v>-</v>
          </cell>
          <cell r="I726" t="str">
            <v>-</v>
          </cell>
          <cell r="J726">
            <v>0</v>
          </cell>
          <cell r="K726">
            <v>5</v>
          </cell>
          <cell r="L726" t="str">
            <v>ENTREGA PARCIAL</v>
          </cell>
          <cell r="M726">
            <v>2</v>
          </cell>
          <cell r="N726" t="str">
            <v>OC'S METALFISA</v>
          </cell>
          <cell r="O726">
            <v>9</v>
          </cell>
          <cell r="P726" t="str">
            <v>OC'S GRANATO</v>
          </cell>
          <cell r="Q726" t="str">
            <v>-</v>
          </cell>
          <cell r="S726" t="str">
            <v>-</v>
          </cell>
          <cell r="U726">
            <v>11</v>
          </cell>
          <cell r="V726">
            <v>1</v>
          </cell>
          <cell r="W726">
            <v>0</v>
          </cell>
          <cell r="X726">
            <v>0</v>
          </cell>
          <cell r="Y726">
            <v>0</v>
          </cell>
          <cell r="Z726">
            <v>9</v>
          </cell>
          <cell r="AA726">
            <v>10</v>
          </cell>
          <cell r="AB726">
            <v>0</v>
          </cell>
          <cell r="AC726">
            <v>4</v>
          </cell>
          <cell r="AD726">
            <v>-6</v>
          </cell>
        </row>
        <row r="727">
          <cell r="A727" t="str">
            <v>33.11.10091.01</v>
          </cell>
          <cell r="B727" t="str">
            <v>FIXACAO PESCOCO / 33.11.10091.01</v>
          </cell>
          <cell r="D727" t="str">
            <v>-</v>
          </cell>
          <cell r="E727" t="str">
            <v>-</v>
          </cell>
          <cell r="F727" t="str">
            <v>-</v>
          </cell>
          <cell r="G727" t="str">
            <v>-</v>
          </cell>
          <cell r="H727" t="str">
            <v>-</v>
          </cell>
          <cell r="I727" t="str">
            <v>-</v>
          </cell>
          <cell r="J727">
            <v>0</v>
          </cell>
          <cell r="K727">
            <v>10</v>
          </cell>
          <cell r="L727" t="str">
            <v>ENTREGA PARCIAL</v>
          </cell>
          <cell r="M727" t="str">
            <v>-</v>
          </cell>
          <cell r="N727" t="str">
            <v>OC'S METALFISA</v>
          </cell>
          <cell r="O727">
            <v>11</v>
          </cell>
          <cell r="P727" t="str">
            <v>OC'S GRANATO</v>
          </cell>
          <cell r="Q727" t="str">
            <v>-</v>
          </cell>
          <cell r="S727" t="str">
            <v>-</v>
          </cell>
          <cell r="U727">
            <v>11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3</v>
          </cell>
          <cell r="AA727">
            <v>3</v>
          </cell>
          <cell r="AB727">
            <v>0</v>
          </cell>
          <cell r="AC727">
            <v>2</v>
          </cell>
          <cell r="AD727">
            <v>-1</v>
          </cell>
        </row>
        <row r="728">
          <cell r="A728" t="str">
            <v>33.11.10092.01</v>
          </cell>
          <cell r="B728" t="str">
            <v>FIXACAO PESCOCO / 33.11.10092.01</v>
          </cell>
          <cell r="C728">
            <v>46064</v>
          </cell>
          <cell r="D728" t="str">
            <v>-</v>
          </cell>
          <cell r="E728" t="str">
            <v>-</v>
          </cell>
          <cell r="F728" t="str">
            <v>-</v>
          </cell>
          <cell r="G728" t="str">
            <v>-</v>
          </cell>
          <cell r="H728" t="str">
            <v>-</v>
          </cell>
          <cell r="I728" t="str">
            <v>-</v>
          </cell>
          <cell r="J728">
            <v>0</v>
          </cell>
          <cell r="K728">
            <v>5</v>
          </cell>
          <cell r="L728" t="str">
            <v>ENTREGA PARCIAL</v>
          </cell>
          <cell r="M728">
            <v>2</v>
          </cell>
          <cell r="N728" t="str">
            <v>OC'S METALFISA</v>
          </cell>
          <cell r="O728">
            <v>12</v>
          </cell>
          <cell r="P728" t="str">
            <v>OC'S GRANATO</v>
          </cell>
          <cell r="Q728" t="str">
            <v>-</v>
          </cell>
          <cell r="S728" t="str">
            <v>-</v>
          </cell>
          <cell r="U728">
            <v>14</v>
          </cell>
          <cell r="V728">
            <v>2</v>
          </cell>
          <cell r="W728">
            <v>0</v>
          </cell>
          <cell r="X728">
            <v>0</v>
          </cell>
          <cell r="Y728">
            <v>0</v>
          </cell>
          <cell r="Z728">
            <v>9</v>
          </cell>
          <cell r="AA728">
            <v>11</v>
          </cell>
          <cell r="AB728">
            <v>0</v>
          </cell>
          <cell r="AC728">
            <v>2</v>
          </cell>
          <cell r="AD728">
            <v>-9</v>
          </cell>
        </row>
        <row r="729">
          <cell r="A729" t="str">
            <v>33.11.10094.01</v>
          </cell>
          <cell r="B729" t="str">
            <v>PAINEL ELETRICO / 33.11.10094.01</v>
          </cell>
          <cell r="D729" t="str">
            <v>-</v>
          </cell>
          <cell r="E729" t="str">
            <v>-</v>
          </cell>
          <cell r="F729" t="str">
            <v>-</v>
          </cell>
          <cell r="G729" t="str">
            <v>-</v>
          </cell>
          <cell r="H729" t="str">
            <v>-</v>
          </cell>
          <cell r="I729" t="str">
            <v>-</v>
          </cell>
          <cell r="J729">
            <v>0</v>
          </cell>
          <cell r="K729">
            <v>6</v>
          </cell>
          <cell r="L729" t="str">
            <v>ENTREGA PARCIAL</v>
          </cell>
          <cell r="M729">
            <v>2</v>
          </cell>
          <cell r="N729" t="str">
            <v>OC'S METALFISA</v>
          </cell>
          <cell r="O729">
            <v>11</v>
          </cell>
          <cell r="P729" t="str">
            <v>OC'S GRANATO</v>
          </cell>
          <cell r="Q729" t="str">
            <v>-</v>
          </cell>
          <cell r="S729" t="str">
            <v>-</v>
          </cell>
          <cell r="U729">
            <v>13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9</v>
          </cell>
          <cell r="AA729">
            <v>9</v>
          </cell>
          <cell r="AB729">
            <v>0</v>
          </cell>
          <cell r="AC729">
            <v>2</v>
          </cell>
          <cell r="AD729">
            <v>-7</v>
          </cell>
        </row>
        <row r="730">
          <cell r="A730" t="str">
            <v>33.11.10101.00</v>
          </cell>
          <cell r="B730" t="str">
            <v>TRAVESSA / 33.11.10101.00</v>
          </cell>
          <cell r="C730">
            <v>46074</v>
          </cell>
          <cell r="D730" t="str">
            <v>-</v>
          </cell>
          <cell r="E730" t="str">
            <v>-</v>
          </cell>
          <cell r="F730" t="str">
            <v>-</v>
          </cell>
          <cell r="G730" t="str">
            <v>-</v>
          </cell>
          <cell r="H730" t="str">
            <v>-</v>
          </cell>
          <cell r="I730" t="str">
            <v>-</v>
          </cell>
          <cell r="J730">
            <v>0</v>
          </cell>
          <cell r="K730">
            <v>75</v>
          </cell>
          <cell r="L730" t="str">
            <v>ENTREGA PARCIAL</v>
          </cell>
          <cell r="M730">
            <v>8</v>
          </cell>
          <cell r="N730" t="str">
            <v>OC'S METALFISA</v>
          </cell>
          <cell r="O730">
            <v>113</v>
          </cell>
          <cell r="P730" t="str">
            <v>OC'S GRANATO</v>
          </cell>
          <cell r="Q730" t="str">
            <v>-</v>
          </cell>
          <cell r="S730" t="str">
            <v>-</v>
          </cell>
          <cell r="U730">
            <v>121</v>
          </cell>
          <cell r="V730">
            <v>4</v>
          </cell>
          <cell r="W730">
            <v>0</v>
          </cell>
          <cell r="X730">
            <v>0</v>
          </cell>
          <cell r="Y730">
            <v>0</v>
          </cell>
          <cell r="Z730">
            <v>72</v>
          </cell>
          <cell r="AA730">
            <v>76</v>
          </cell>
          <cell r="AB730">
            <v>0</v>
          </cell>
          <cell r="AC730">
            <v>30</v>
          </cell>
          <cell r="AD730">
            <v>-46</v>
          </cell>
        </row>
        <row r="731">
          <cell r="A731" t="str">
            <v>33.11.10103.00</v>
          </cell>
          <cell r="B731" t="str">
            <v>SUPORTE GERADOR / 33.11.10103.00</v>
          </cell>
          <cell r="D731" t="str">
            <v>-</v>
          </cell>
          <cell r="E731" t="str">
            <v>-</v>
          </cell>
          <cell r="F731" t="str">
            <v>-</v>
          </cell>
          <cell r="G731" t="str">
            <v>-</v>
          </cell>
          <cell r="H731" t="str">
            <v>-</v>
          </cell>
          <cell r="I731" t="str">
            <v>-</v>
          </cell>
          <cell r="J731">
            <v>0</v>
          </cell>
          <cell r="K731">
            <v>0</v>
          </cell>
          <cell r="L731" t="str">
            <v>FALTA ENTREGA</v>
          </cell>
          <cell r="M731" t="str">
            <v>-</v>
          </cell>
          <cell r="N731" t="str">
            <v>OC'S METALFISA</v>
          </cell>
          <cell r="O731">
            <v>3</v>
          </cell>
          <cell r="P731" t="str">
            <v>OC'S GRANATO</v>
          </cell>
          <cell r="Q731" t="str">
            <v>-</v>
          </cell>
          <cell r="S731" t="str">
            <v>-</v>
          </cell>
          <cell r="U731">
            <v>3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3</v>
          </cell>
          <cell r="AA731">
            <v>3</v>
          </cell>
          <cell r="AB731">
            <v>0</v>
          </cell>
          <cell r="AC731">
            <v>0</v>
          </cell>
          <cell r="AD731">
            <v>-3</v>
          </cell>
        </row>
        <row r="732">
          <cell r="A732" t="str">
            <v>33.11.10105.00</v>
          </cell>
          <cell r="B732" t="str">
            <v>SUPORTE / 33.11.10105.00</v>
          </cell>
          <cell r="D732" t="str">
            <v>-</v>
          </cell>
          <cell r="E732" t="str">
            <v>-</v>
          </cell>
          <cell r="F732" t="str">
            <v>-</v>
          </cell>
          <cell r="G732" t="str">
            <v>-</v>
          </cell>
          <cell r="H732" t="str">
            <v>-</v>
          </cell>
          <cell r="I732" t="str">
            <v>-</v>
          </cell>
          <cell r="J732">
            <v>0</v>
          </cell>
          <cell r="K732">
            <v>0</v>
          </cell>
          <cell r="L732" t="str">
            <v>FALTA ENTREGA</v>
          </cell>
          <cell r="M732" t="str">
            <v>-</v>
          </cell>
          <cell r="N732" t="str">
            <v>OC'S METALFISA</v>
          </cell>
          <cell r="O732">
            <v>3</v>
          </cell>
          <cell r="P732" t="str">
            <v>OC'S GRANATO</v>
          </cell>
          <cell r="Q732" t="str">
            <v>-</v>
          </cell>
          <cell r="S732" t="str">
            <v>-</v>
          </cell>
          <cell r="U732">
            <v>3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3</v>
          </cell>
          <cell r="AA732">
            <v>3</v>
          </cell>
          <cell r="AB732">
            <v>0</v>
          </cell>
          <cell r="AC732">
            <v>0</v>
          </cell>
          <cell r="AD732">
            <v>-3</v>
          </cell>
        </row>
        <row r="733">
          <cell r="A733" t="str">
            <v>33.11.10107.00</v>
          </cell>
          <cell r="B733" t="str">
            <v>SUPORTE TUBO SANDT / 33.11.10107.00</v>
          </cell>
          <cell r="D733" t="str">
            <v>-</v>
          </cell>
          <cell r="E733" t="str">
            <v>-</v>
          </cell>
          <cell r="F733" t="str">
            <v>-</v>
          </cell>
          <cell r="G733" t="str">
            <v>-</v>
          </cell>
          <cell r="H733" t="str">
            <v>-</v>
          </cell>
          <cell r="I733" t="str">
            <v>-</v>
          </cell>
          <cell r="J733">
            <v>0</v>
          </cell>
          <cell r="K733">
            <v>1</v>
          </cell>
          <cell r="L733" t="str">
            <v>FALTA ENTREGA</v>
          </cell>
          <cell r="M733" t="str">
            <v>-</v>
          </cell>
          <cell r="N733" t="str">
            <v>OC'S METALFISA</v>
          </cell>
          <cell r="O733">
            <v>3</v>
          </cell>
          <cell r="P733" t="str">
            <v>OC'S GRANATO</v>
          </cell>
          <cell r="Q733" t="str">
            <v>-</v>
          </cell>
          <cell r="S733" t="str">
            <v>-</v>
          </cell>
          <cell r="U733">
            <v>3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2</v>
          </cell>
          <cell r="AA733">
            <v>2</v>
          </cell>
          <cell r="AB733">
            <v>0</v>
          </cell>
          <cell r="AC733">
            <v>0</v>
          </cell>
          <cell r="AD733">
            <v>-2</v>
          </cell>
        </row>
        <row r="734">
          <cell r="A734" t="str">
            <v>33.11.10116.01</v>
          </cell>
          <cell r="B734" t="str">
            <v>DISTANCIADOR FUNDO / 33.11.10116.01</v>
          </cell>
          <cell r="D734" t="str">
            <v>-</v>
          </cell>
          <cell r="E734" t="str">
            <v>-</v>
          </cell>
          <cell r="F734" t="str">
            <v>-</v>
          </cell>
          <cell r="G734" t="str">
            <v>-</v>
          </cell>
          <cell r="H734" t="str">
            <v>-</v>
          </cell>
          <cell r="I734" t="str">
            <v>-</v>
          </cell>
          <cell r="J734">
            <v>0</v>
          </cell>
          <cell r="K734" t="e">
            <v>#VALUE!</v>
          </cell>
          <cell r="L734" t="str">
            <v>ENTREGA TOTAL</v>
          </cell>
          <cell r="M734" t="str">
            <v>-</v>
          </cell>
          <cell r="N734" t="str">
            <v>OC'S METALFISA</v>
          </cell>
          <cell r="O734" t="str">
            <v>-</v>
          </cell>
          <cell r="Q734" t="str">
            <v>-</v>
          </cell>
          <cell r="S734" t="str">
            <v>-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3</v>
          </cell>
          <cell r="AA734">
            <v>3</v>
          </cell>
          <cell r="AB734" t="str">
            <v>0</v>
          </cell>
          <cell r="AC734" t="str">
            <v>-</v>
          </cell>
          <cell r="AD734" t="str">
            <v>-</v>
          </cell>
        </row>
        <row r="735">
          <cell r="A735" t="str">
            <v>33.11.10117.01</v>
          </cell>
          <cell r="B735" t="str">
            <v>BASE DO COLIMADOR / 33.11.10117.01</v>
          </cell>
          <cell r="D735" t="str">
            <v>-</v>
          </cell>
          <cell r="E735" t="str">
            <v>-</v>
          </cell>
          <cell r="F735" t="str">
            <v>-</v>
          </cell>
          <cell r="G735" t="str">
            <v>-</v>
          </cell>
          <cell r="H735" t="str">
            <v>-</v>
          </cell>
          <cell r="I735" t="str">
            <v>-</v>
          </cell>
          <cell r="J735">
            <v>0</v>
          </cell>
          <cell r="K735">
            <v>0</v>
          </cell>
          <cell r="L735" t="str">
            <v>FALTA ENTREGA</v>
          </cell>
          <cell r="M735" t="str">
            <v>-</v>
          </cell>
          <cell r="N735" t="str">
            <v>OC'S METALFISA</v>
          </cell>
          <cell r="O735">
            <v>3</v>
          </cell>
          <cell r="P735" t="str">
            <v>OC'S GRANATO</v>
          </cell>
          <cell r="Q735" t="str">
            <v>-</v>
          </cell>
          <cell r="S735" t="str">
            <v>-</v>
          </cell>
          <cell r="U735">
            <v>3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3</v>
          </cell>
          <cell r="AA735">
            <v>3</v>
          </cell>
          <cell r="AB735">
            <v>0</v>
          </cell>
          <cell r="AC735">
            <v>0</v>
          </cell>
          <cell r="AD735">
            <v>-3</v>
          </cell>
        </row>
        <row r="736">
          <cell r="A736" t="str">
            <v>33.11.10120.00</v>
          </cell>
          <cell r="B736" t="str">
            <v>REGULADOR TUBO SANDT / 33.11.10120.00</v>
          </cell>
          <cell r="C736">
            <v>46074</v>
          </cell>
          <cell r="D736" t="str">
            <v>-</v>
          </cell>
          <cell r="E736" t="str">
            <v>-</v>
          </cell>
          <cell r="F736" t="str">
            <v>-</v>
          </cell>
          <cell r="G736" t="str">
            <v>-</v>
          </cell>
          <cell r="H736" t="str">
            <v>-</v>
          </cell>
          <cell r="I736" t="str">
            <v>-</v>
          </cell>
          <cell r="J736">
            <v>0</v>
          </cell>
          <cell r="K736">
            <v>5</v>
          </cell>
          <cell r="L736" t="str">
            <v>ENTREGA TOTAL</v>
          </cell>
          <cell r="M736" t="str">
            <v>-</v>
          </cell>
          <cell r="N736" t="str">
            <v>OC'S METALFISA</v>
          </cell>
          <cell r="O736">
            <v>5</v>
          </cell>
          <cell r="P736" t="str">
            <v>OC'S GRANATO</v>
          </cell>
          <cell r="Q736" t="str">
            <v>-</v>
          </cell>
          <cell r="S736" t="str">
            <v>-</v>
          </cell>
          <cell r="U736">
            <v>5</v>
          </cell>
          <cell r="V736">
            <v>2</v>
          </cell>
          <cell r="W736">
            <v>0</v>
          </cell>
          <cell r="X736">
            <v>0</v>
          </cell>
          <cell r="Y736">
            <v>0</v>
          </cell>
          <cell r="Z736">
            <v>3</v>
          </cell>
          <cell r="AA736">
            <v>5</v>
          </cell>
          <cell r="AB736">
            <v>0</v>
          </cell>
          <cell r="AC736">
            <v>5</v>
          </cell>
          <cell r="AD736">
            <v>0</v>
          </cell>
        </row>
        <row r="737">
          <cell r="A737" t="str">
            <v>33.11.10126.00</v>
          </cell>
          <cell r="B737" t="str">
            <v>SUPORTE DOS ROLETES / 33.11.10126.00</v>
          </cell>
          <cell r="C737">
            <v>46076</v>
          </cell>
          <cell r="D737" t="str">
            <v>-</v>
          </cell>
          <cell r="E737" t="str">
            <v>-</v>
          </cell>
          <cell r="F737" t="str">
            <v>-</v>
          </cell>
          <cell r="G737" t="str">
            <v>-</v>
          </cell>
          <cell r="H737" t="str">
            <v>-</v>
          </cell>
          <cell r="I737" t="str">
            <v>-</v>
          </cell>
          <cell r="J737">
            <v>0</v>
          </cell>
          <cell r="K737">
            <v>12</v>
          </cell>
          <cell r="L737" t="str">
            <v>ENTREGA PARCIAL</v>
          </cell>
          <cell r="M737" t="str">
            <v>-</v>
          </cell>
          <cell r="N737" t="str">
            <v>OC'S METALFISA</v>
          </cell>
          <cell r="O737">
            <v>16</v>
          </cell>
          <cell r="P737" t="str">
            <v>OC'S GRANATO</v>
          </cell>
          <cell r="Q737" t="str">
            <v>-</v>
          </cell>
          <cell r="S737" t="str">
            <v>-</v>
          </cell>
          <cell r="U737">
            <v>16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12</v>
          </cell>
          <cell r="AA737">
            <v>12</v>
          </cell>
          <cell r="AB737">
            <v>0</v>
          </cell>
          <cell r="AC737">
            <v>8</v>
          </cell>
          <cell r="AD737">
            <v>-4</v>
          </cell>
        </row>
        <row r="738">
          <cell r="A738" t="str">
            <v>33.11.10129.00</v>
          </cell>
          <cell r="B738" t="str">
            <v>SUPORTE CAIXA L / 33.11.10129.00</v>
          </cell>
          <cell r="C738">
            <v>46076</v>
          </cell>
          <cell r="D738" t="str">
            <v>-</v>
          </cell>
          <cell r="E738" t="str">
            <v>-</v>
          </cell>
          <cell r="F738" t="str">
            <v>-</v>
          </cell>
          <cell r="G738" t="str">
            <v>-</v>
          </cell>
          <cell r="H738" t="str">
            <v>-</v>
          </cell>
          <cell r="I738" t="str">
            <v>-</v>
          </cell>
          <cell r="J738">
            <v>0</v>
          </cell>
          <cell r="K738">
            <v>3</v>
          </cell>
          <cell r="L738" t="str">
            <v>ENTREGA PARCIAL</v>
          </cell>
          <cell r="M738" t="str">
            <v>-</v>
          </cell>
          <cell r="N738" t="str">
            <v>OC'S METALFISA</v>
          </cell>
          <cell r="O738">
            <v>8</v>
          </cell>
          <cell r="P738" t="str">
            <v>OC'S GRANATO</v>
          </cell>
          <cell r="Q738" t="str">
            <v>-</v>
          </cell>
          <cell r="S738" t="str">
            <v>-</v>
          </cell>
          <cell r="U738">
            <v>8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6</v>
          </cell>
          <cell r="AA738">
            <v>6</v>
          </cell>
          <cell r="AB738">
            <v>0</v>
          </cell>
          <cell r="AC738">
            <v>1</v>
          </cell>
          <cell r="AD738">
            <v>-5</v>
          </cell>
        </row>
        <row r="739">
          <cell r="A739" t="str">
            <v>33.11.10130.00</v>
          </cell>
          <cell r="B739" t="str">
            <v>SUPORTE CAIXA L / 33.11.10130.00</v>
          </cell>
          <cell r="D739" t="str">
            <v>-</v>
          </cell>
          <cell r="E739" t="str">
            <v>-</v>
          </cell>
          <cell r="F739" t="str">
            <v>-</v>
          </cell>
          <cell r="G739" t="str">
            <v>-</v>
          </cell>
          <cell r="H739" t="str">
            <v>-</v>
          </cell>
          <cell r="I739" t="str">
            <v>-</v>
          </cell>
          <cell r="J739">
            <v>0</v>
          </cell>
          <cell r="K739">
            <v>4</v>
          </cell>
          <cell r="L739" t="str">
            <v>ENTREGA PARCIAL</v>
          </cell>
          <cell r="M739" t="str">
            <v>-</v>
          </cell>
          <cell r="N739" t="str">
            <v>OC'S METALFISA</v>
          </cell>
          <cell r="O739">
            <v>8</v>
          </cell>
          <cell r="P739" t="str">
            <v>OC'S GRANATO</v>
          </cell>
          <cell r="Q739" t="str">
            <v>-</v>
          </cell>
          <cell r="S739" t="str">
            <v>-</v>
          </cell>
          <cell r="U739">
            <v>8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6</v>
          </cell>
          <cell r="AA739">
            <v>6</v>
          </cell>
          <cell r="AB739">
            <v>0</v>
          </cell>
          <cell r="AC739">
            <v>2</v>
          </cell>
          <cell r="AD739">
            <v>-4</v>
          </cell>
        </row>
        <row r="740">
          <cell r="A740" t="str">
            <v>33.11.10135.03</v>
          </cell>
          <cell r="B740" t="str">
            <v>BASE MODULO DV / 33.11.10135.03</v>
          </cell>
          <cell r="C740">
            <v>46066</v>
          </cell>
          <cell r="D740" t="str">
            <v>-</v>
          </cell>
          <cell r="E740" t="str">
            <v>-</v>
          </cell>
          <cell r="F740" t="str">
            <v>-</v>
          </cell>
          <cell r="G740" t="str">
            <v>-</v>
          </cell>
          <cell r="H740" t="str">
            <v>-</v>
          </cell>
          <cell r="I740" t="str">
            <v>-</v>
          </cell>
          <cell r="J740">
            <v>0</v>
          </cell>
          <cell r="K740">
            <v>6</v>
          </cell>
          <cell r="L740" t="str">
            <v>ENTREGA PARCIAL</v>
          </cell>
          <cell r="M740">
            <v>2</v>
          </cell>
          <cell r="N740" t="str">
            <v>OC'S METALFISA</v>
          </cell>
          <cell r="O740">
            <v>8</v>
          </cell>
          <cell r="P740" t="str">
            <v>OC'S GRANATO</v>
          </cell>
          <cell r="Q740" t="str">
            <v>-</v>
          </cell>
          <cell r="S740" t="str">
            <v>-</v>
          </cell>
          <cell r="U740">
            <v>10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6</v>
          </cell>
          <cell r="AA740">
            <v>6</v>
          </cell>
          <cell r="AB740">
            <v>0</v>
          </cell>
          <cell r="AC740">
            <v>2</v>
          </cell>
          <cell r="AD740">
            <v>-4</v>
          </cell>
        </row>
        <row r="741">
          <cell r="A741" t="str">
            <v>33.11.10139.01</v>
          </cell>
          <cell r="B741" t="str">
            <v>TRAVA DAS COLUNAS / 33.11.10139.01</v>
          </cell>
          <cell r="D741" t="str">
            <v>-</v>
          </cell>
          <cell r="E741" t="str">
            <v>-</v>
          </cell>
          <cell r="F741" t="str">
            <v>-</v>
          </cell>
          <cell r="G741" t="str">
            <v>-</v>
          </cell>
          <cell r="H741" t="str">
            <v>-</v>
          </cell>
          <cell r="I741" t="str">
            <v>-</v>
          </cell>
          <cell r="J741">
            <v>0</v>
          </cell>
          <cell r="K741">
            <v>4</v>
          </cell>
          <cell r="L741" t="str">
            <v>ENTREGA PARCIAL</v>
          </cell>
          <cell r="M741">
            <v>2</v>
          </cell>
          <cell r="N741" t="str">
            <v>OC'S METALFISA</v>
          </cell>
          <cell r="O741">
            <v>6</v>
          </cell>
          <cell r="P741" t="str">
            <v>OC'S GRANATO</v>
          </cell>
          <cell r="Q741" t="str">
            <v>-</v>
          </cell>
          <cell r="S741" t="str">
            <v>-</v>
          </cell>
          <cell r="U741">
            <v>8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6</v>
          </cell>
          <cell r="AA741">
            <v>6</v>
          </cell>
          <cell r="AB741">
            <v>0</v>
          </cell>
          <cell r="AC741">
            <v>2</v>
          </cell>
          <cell r="AD741">
            <v>-4</v>
          </cell>
        </row>
        <row r="742">
          <cell r="A742" t="str">
            <v>33.11.10145.01</v>
          </cell>
          <cell r="B742" t="str">
            <v>COLUNA / 33.11.10145.01</v>
          </cell>
          <cell r="C742">
            <v>46066</v>
          </cell>
          <cell r="D742" t="str">
            <v>-</v>
          </cell>
          <cell r="E742" t="str">
            <v>-</v>
          </cell>
          <cell r="F742" t="str">
            <v>-</v>
          </cell>
          <cell r="G742" t="str">
            <v>-</v>
          </cell>
          <cell r="H742" t="str">
            <v>-</v>
          </cell>
          <cell r="I742" t="str">
            <v>-</v>
          </cell>
          <cell r="J742">
            <v>0</v>
          </cell>
          <cell r="K742">
            <v>7</v>
          </cell>
          <cell r="L742" t="str">
            <v>ENTREGA PARCIAL</v>
          </cell>
          <cell r="M742">
            <v>1</v>
          </cell>
          <cell r="N742" t="str">
            <v>OC'S METALFISA</v>
          </cell>
          <cell r="O742">
            <v>9</v>
          </cell>
          <cell r="P742" t="str">
            <v>OC'S GRANATO</v>
          </cell>
          <cell r="Q742" t="str">
            <v>-</v>
          </cell>
          <cell r="S742" t="str">
            <v>-</v>
          </cell>
          <cell r="U742">
            <v>10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6</v>
          </cell>
          <cell r="AA742">
            <v>6</v>
          </cell>
          <cell r="AB742">
            <v>0</v>
          </cell>
          <cell r="AC742">
            <v>3</v>
          </cell>
          <cell r="AD742">
            <v>-3</v>
          </cell>
        </row>
        <row r="743">
          <cell r="A743" t="str">
            <v>33.11.10147.01</v>
          </cell>
          <cell r="B743" t="str">
            <v>COLUNA / 33.11.10147.01</v>
          </cell>
          <cell r="C743">
            <v>46066</v>
          </cell>
          <cell r="D743" t="str">
            <v>-</v>
          </cell>
          <cell r="E743" t="str">
            <v>-</v>
          </cell>
          <cell r="F743" t="str">
            <v>-</v>
          </cell>
          <cell r="G743" t="str">
            <v>-</v>
          </cell>
          <cell r="H743" t="str">
            <v>-</v>
          </cell>
          <cell r="I743" t="str">
            <v>-</v>
          </cell>
          <cell r="J743">
            <v>0</v>
          </cell>
          <cell r="K743">
            <v>7</v>
          </cell>
          <cell r="L743" t="str">
            <v>ENTREGA PARCIAL</v>
          </cell>
          <cell r="M743">
            <v>1</v>
          </cell>
          <cell r="N743" t="str">
            <v>OC'S METALFISA</v>
          </cell>
          <cell r="O743">
            <v>9</v>
          </cell>
          <cell r="P743" t="str">
            <v>OC'S GRANATO</v>
          </cell>
          <cell r="Q743" t="str">
            <v>-</v>
          </cell>
          <cell r="S743" t="str">
            <v>-</v>
          </cell>
          <cell r="U743">
            <v>10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6</v>
          </cell>
          <cell r="AA743">
            <v>6</v>
          </cell>
          <cell r="AB743">
            <v>0</v>
          </cell>
          <cell r="AC743">
            <v>3</v>
          </cell>
          <cell r="AD743">
            <v>-3</v>
          </cell>
        </row>
        <row r="744">
          <cell r="A744" t="str">
            <v>33.11.10148.01</v>
          </cell>
          <cell r="B744" t="str">
            <v>COLUNA / 33.11.10148.01</v>
          </cell>
          <cell r="C744">
            <v>46066</v>
          </cell>
          <cell r="D744" t="str">
            <v>-</v>
          </cell>
          <cell r="E744" t="str">
            <v>-</v>
          </cell>
          <cell r="F744" t="str">
            <v>-</v>
          </cell>
          <cell r="G744" t="str">
            <v>-</v>
          </cell>
          <cell r="H744" t="str">
            <v>-</v>
          </cell>
          <cell r="I744" t="str">
            <v>-</v>
          </cell>
          <cell r="J744">
            <v>0</v>
          </cell>
          <cell r="K744">
            <v>7</v>
          </cell>
          <cell r="L744" t="str">
            <v>ENTREGA PARCIAL</v>
          </cell>
          <cell r="M744">
            <v>1</v>
          </cell>
          <cell r="N744" t="str">
            <v>OC'S METALFISA</v>
          </cell>
          <cell r="O744">
            <v>9</v>
          </cell>
          <cell r="P744" t="str">
            <v>OC'S GRANATO</v>
          </cell>
          <cell r="Q744" t="str">
            <v>-</v>
          </cell>
          <cell r="S744" t="str">
            <v>-</v>
          </cell>
          <cell r="U744">
            <v>10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6</v>
          </cell>
          <cell r="AA744">
            <v>6</v>
          </cell>
          <cell r="AB744">
            <v>0</v>
          </cell>
          <cell r="AC744">
            <v>3</v>
          </cell>
          <cell r="AD744">
            <v>-3</v>
          </cell>
        </row>
        <row r="745">
          <cell r="A745" t="str">
            <v>33.11.10149.01</v>
          </cell>
          <cell r="B745" t="str">
            <v>COLUNA / 33.11.10149.01</v>
          </cell>
          <cell r="C745">
            <v>46066</v>
          </cell>
          <cell r="D745" t="str">
            <v>-</v>
          </cell>
          <cell r="E745" t="str">
            <v>-</v>
          </cell>
          <cell r="F745" t="str">
            <v>-</v>
          </cell>
          <cell r="G745" t="str">
            <v>-</v>
          </cell>
          <cell r="H745" t="str">
            <v>-</v>
          </cell>
          <cell r="I745" t="str">
            <v>-</v>
          </cell>
          <cell r="J745">
            <v>0</v>
          </cell>
          <cell r="K745">
            <v>6</v>
          </cell>
          <cell r="L745" t="str">
            <v>ENTREGA PARCIAL</v>
          </cell>
          <cell r="M745">
            <v>1</v>
          </cell>
          <cell r="N745" t="str">
            <v>OC'S METALFISA</v>
          </cell>
          <cell r="O745">
            <v>9</v>
          </cell>
          <cell r="P745" t="str">
            <v>OC'S GRANATO</v>
          </cell>
          <cell r="Q745" t="str">
            <v>-</v>
          </cell>
          <cell r="S745" t="str">
            <v>-</v>
          </cell>
          <cell r="U745">
            <v>10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6</v>
          </cell>
          <cell r="AA745">
            <v>6</v>
          </cell>
          <cell r="AB745">
            <v>0</v>
          </cell>
          <cell r="AC745">
            <v>2</v>
          </cell>
          <cell r="AD745">
            <v>-4</v>
          </cell>
        </row>
        <row r="746">
          <cell r="A746" t="str">
            <v>33.11.10150.00</v>
          </cell>
          <cell r="B746" t="str">
            <v>COLUNA / 33.11.10150.00</v>
          </cell>
          <cell r="D746" t="str">
            <v>-</v>
          </cell>
          <cell r="E746" t="str">
            <v>-</v>
          </cell>
          <cell r="F746" t="str">
            <v>-</v>
          </cell>
          <cell r="G746" t="str">
            <v>-</v>
          </cell>
          <cell r="H746" t="str">
            <v>-</v>
          </cell>
          <cell r="I746" t="str">
            <v>-</v>
          </cell>
          <cell r="J746">
            <v>0</v>
          </cell>
          <cell r="K746">
            <v>6</v>
          </cell>
          <cell r="L746" t="str">
            <v>ENTREGA PARCIAL</v>
          </cell>
          <cell r="M746">
            <v>1</v>
          </cell>
          <cell r="N746" t="str">
            <v>OC'S METALFISA</v>
          </cell>
          <cell r="O746">
            <v>9</v>
          </cell>
          <cell r="P746" t="str">
            <v>OC'S GRANATO</v>
          </cell>
          <cell r="Q746" t="str">
            <v>-</v>
          </cell>
          <cell r="S746" t="str">
            <v>-</v>
          </cell>
          <cell r="U746">
            <v>10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6</v>
          </cell>
          <cell r="AA746">
            <v>6</v>
          </cell>
          <cell r="AB746">
            <v>0</v>
          </cell>
          <cell r="AC746">
            <v>2</v>
          </cell>
          <cell r="AD746">
            <v>-4</v>
          </cell>
        </row>
        <row r="747">
          <cell r="A747" t="str">
            <v>33.11.10160.01</v>
          </cell>
          <cell r="B747" t="str">
            <v>VEDACAO MODULO / 33.11.10160.01</v>
          </cell>
          <cell r="C747">
            <v>46076</v>
          </cell>
          <cell r="D747" t="str">
            <v>-</v>
          </cell>
          <cell r="E747" t="str">
            <v>-</v>
          </cell>
          <cell r="F747" t="str">
            <v>-</v>
          </cell>
          <cell r="G747" t="str">
            <v>-</v>
          </cell>
          <cell r="H747" t="str">
            <v>-</v>
          </cell>
          <cell r="I747" t="str">
            <v>-</v>
          </cell>
          <cell r="J747">
            <v>0</v>
          </cell>
          <cell r="K747">
            <v>4</v>
          </cell>
          <cell r="L747" t="str">
            <v>FALTA ENTREGA</v>
          </cell>
          <cell r="M747">
            <v>2</v>
          </cell>
          <cell r="N747" t="str">
            <v>OC'S METALFISA</v>
          </cell>
          <cell r="O747">
            <v>8</v>
          </cell>
          <cell r="P747" t="str">
            <v>OC'S GRANATO</v>
          </cell>
          <cell r="Q747" t="str">
            <v>-</v>
          </cell>
          <cell r="S747" t="str">
            <v>-</v>
          </cell>
          <cell r="U747">
            <v>10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6</v>
          </cell>
          <cell r="AA747">
            <v>6</v>
          </cell>
          <cell r="AB747">
            <v>0</v>
          </cell>
          <cell r="AC747">
            <v>0</v>
          </cell>
          <cell r="AD747">
            <v>-6</v>
          </cell>
        </row>
        <row r="748">
          <cell r="A748" t="str">
            <v>33.11.10162.00</v>
          </cell>
          <cell r="B748" t="str">
            <v>COLUNA SECUNDARIA TUNEL ESQUERDA / 33.11.10162.00</v>
          </cell>
          <cell r="C748">
            <v>46076</v>
          </cell>
          <cell r="D748" t="str">
            <v>-</v>
          </cell>
          <cell r="E748" t="str">
            <v>-</v>
          </cell>
          <cell r="F748" t="str">
            <v>-</v>
          </cell>
          <cell r="G748" t="str">
            <v>-</v>
          </cell>
          <cell r="H748" t="str">
            <v>-</v>
          </cell>
          <cell r="I748" t="str">
            <v>-</v>
          </cell>
          <cell r="J748">
            <v>0</v>
          </cell>
          <cell r="K748">
            <v>6</v>
          </cell>
          <cell r="L748" t="str">
            <v>ENTREGA PARCIAL</v>
          </cell>
          <cell r="M748">
            <v>2</v>
          </cell>
          <cell r="N748" t="str">
            <v>OC'S METALFISA</v>
          </cell>
          <cell r="O748">
            <v>11</v>
          </cell>
          <cell r="P748" t="str">
            <v>OC'S GRANATO</v>
          </cell>
          <cell r="Q748" t="str">
            <v>-</v>
          </cell>
          <cell r="S748" t="str">
            <v>-</v>
          </cell>
          <cell r="U748">
            <v>13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9</v>
          </cell>
          <cell r="AA748">
            <v>9</v>
          </cell>
          <cell r="AB748">
            <v>0</v>
          </cell>
          <cell r="AC748">
            <v>2</v>
          </cell>
          <cell r="AD748">
            <v>-7</v>
          </cell>
        </row>
        <row r="749">
          <cell r="A749" t="str">
            <v>33.11.10170.00</v>
          </cell>
          <cell r="B749" t="str">
            <v>CHAPA DO TUNEL / 33.11.10170.00</v>
          </cell>
          <cell r="C749">
            <v>46059</v>
          </cell>
          <cell r="D749" t="str">
            <v>-</v>
          </cell>
          <cell r="E749" t="str">
            <v>-</v>
          </cell>
          <cell r="F749" t="str">
            <v>-</v>
          </cell>
          <cell r="G749" t="str">
            <v>-</v>
          </cell>
          <cell r="H749" t="str">
            <v>-</v>
          </cell>
          <cell r="I749" t="str">
            <v>-</v>
          </cell>
          <cell r="J749">
            <v>0</v>
          </cell>
          <cell r="K749">
            <v>12</v>
          </cell>
          <cell r="L749" t="str">
            <v>ENTREGA PARCIAL</v>
          </cell>
          <cell r="M749">
            <v>4</v>
          </cell>
          <cell r="N749" t="str">
            <v>OC'S METALFISA</v>
          </cell>
          <cell r="O749">
            <v>16</v>
          </cell>
          <cell r="P749" t="str">
            <v>OC'S GRANATO</v>
          </cell>
          <cell r="Q749" t="str">
            <v>-</v>
          </cell>
          <cell r="S749" t="str">
            <v>-</v>
          </cell>
          <cell r="U749">
            <v>20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12</v>
          </cell>
          <cell r="AA749">
            <v>12</v>
          </cell>
          <cell r="AB749">
            <v>0</v>
          </cell>
          <cell r="AC749">
            <v>4</v>
          </cell>
          <cell r="AD749">
            <v>-8</v>
          </cell>
        </row>
        <row r="750">
          <cell r="A750" t="str">
            <v>33.11.10171.00</v>
          </cell>
          <cell r="B750" t="str">
            <v>CHAPA DO TUNEL / 33.11.10171.00</v>
          </cell>
          <cell r="C750">
            <v>46059</v>
          </cell>
          <cell r="D750" t="str">
            <v>-</v>
          </cell>
          <cell r="E750" t="str">
            <v>-</v>
          </cell>
          <cell r="F750" t="str">
            <v>-</v>
          </cell>
          <cell r="G750" t="str">
            <v>-</v>
          </cell>
          <cell r="H750" t="str">
            <v>-</v>
          </cell>
          <cell r="I750" t="str">
            <v>-</v>
          </cell>
          <cell r="J750">
            <v>0</v>
          </cell>
          <cell r="K750">
            <v>12</v>
          </cell>
          <cell r="L750" t="str">
            <v>ENTREGA PARCIAL</v>
          </cell>
          <cell r="M750">
            <v>4</v>
          </cell>
          <cell r="N750" t="str">
            <v>OC'S METALFISA</v>
          </cell>
          <cell r="O750">
            <v>16</v>
          </cell>
          <cell r="P750" t="str">
            <v>OC'S GRANATO</v>
          </cell>
          <cell r="Q750" t="str">
            <v>-</v>
          </cell>
          <cell r="S750" t="str">
            <v>-</v>
          </cell>
          <cell r="U750">
            <v>20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12</v>
          </cell>
          <cell r="AA750">
            <v>12</v>
          </cell>
          <cell r="AB750">
            <v>0</v>
          </cell>
          <cell r="AC750">
            <v>4</v>
          </cell>
          <cell r="AD750">
            <v>-8</v>
          </cell>
        </row>
        <row r="751">
          <cell r="A751" t="str">
            <v>33.11.10172.00</v>
          </cell>
          <cell r="B751" t="str">
            <v>FECHAMENTO SUP. DO TUNEL / 33.11.10172.00</v>
          </cell>
          <cell r="C751">
            <v>46059</v>
          </cell>
          <cell r="D751" t="str">
            <v>-</v>
          </cell>
          <cell r="E751" t="str">
            <v>-</v>
          </cell>
          <cell r="F751" t="str">
            <v>-</v>
          </cell>
          <cell r="G751" t="str">
            <v>-</v>
          </cell>
          <cell r="H751" t="str">
            <v>-</v>
          </cell>
          <cell r="I751" t="str">
            <v>-</v>
          </cell>
          <cell r="J751">
            <v>0</v>
          </cell>
          <cell r="K751">
            <v>24</v>
          </cell>
          <cell r="L751" t="str">
            <v>ENTREGA PARCIAL</v>
          </cell>
          <cell r="M751">
            <v>8</v>
          </cell>
          <cell r="N751" t="str">
            <v>OC'S METALFISA</v>
          </cell>
          <cell r="O751">
            <v>32</v>
          </cell>
          <cell r="P751" t="str">
            <v>OC'S GRANATO</v>
          </cell>
          <cell r="Q751" t="str">
            <v>-</v>
          </cell>
          <cell r="S751" t="str">
            <v>-</v>
          </cell>
          <cell r="U751">
            <v>40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24</v>
          </cell>
          <cell r="AA751">
            <v>24</v>
          </cell>
          <cell r="AB751">
            <v>0</v>
          </cell>
          <cell r="AC751">
            <v>8</v>
          </cell>
          <cell r="AD751">
            <v>-16</v>
          </cell>
        </row>
        <row r="752">
          <cell r="A752" t="str">
            <v>33.11.10173.00</v>
          </cell>
          <cell r="B752" t="str">
            <v>FECHAMENTO DO TUNEL / 33.11.10173.00</v>
          </cell>
          <cell r="D752" t="str">
            <v>-</v>
          </cell>
          <cell r="E752" t="str">
            <v>-</v>
          </cell>
          <cell r="F752" t="str">
            <v>-</v>
          </cell>
          <cell r="G752" t="str">
            <v>-</v>
          </cell>
          <cell r="H752" t="str">
            <v>-</v>
          </cell>
          <cell r="I752" t="str">
            <v>-</v>
          </cell>
          <cell r="J752">
            <v>0</v>
          </cell>
          <cell r="K752">
            <v>24</v>
          </cell>
          <cell r="L752" t="str">
            <v>ENTREGA PARCIAL</v>
          </cell>
          <cell r="M752">
            <v>4</v>
          </cell>
          <cell r="N752" t="str">
            <v>OC'S METALFISA</v>
          </cell>
          <cell r="O752">
            <v>32</v>
          </cell>
          <cell r="P752" t="str">
            <v>OC'S GRANATO</v>
          </cell>
          <cell r="Q752" t="str">
            <v>-</v>
          </cell>
          <cell r="S752" t="str">
            <v>-</v>
          </cell>
          <cell r="U752">
            <v>36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24</v>
          </cell>
          <cell r="AA752">
            <v>24</v>
          </cell>
          <cell r="AB752">
            <v>0</v>
          </cell>
          <cell r="AC752">
            <v>12</v>
          </cell>
          <cell r="AD752">
            <v>-12</v>
          </cell>
        </row>
        <row r="753">
          <cell r="A753" t="str">
            <v>33.11.10174.00</v>
          </cell>
          <cell r="B753" t="str">
            <v>SUPORTE DA TAMPA / 33.11.10174.00</v>
          </cell>
          <cell r="C753">
            <v>46066</v>
          </cell>
          <cell r="D753" t="str">
            <v>-</v>
          </cell>
          <cell r="E753" t="str">
            <v>-</v>
          </cell>
          <cell r="F753" t="str">
            <v>-</v>
          </cell>
          <cell r="G753" t="str">
            <v>-</v>
          </cell>
          <cell r="H753" t="str">
            <v>-</v>
          </cell>
          <cell r="I753" t="str">
            <v>-</v>
          </cell>
          <cell r="J753">
            <v>0</v>
          </cell>
          <cell r="K753">
            <v>12</v>
          </cell>
          <cell r="L753" t="str">
            <v>ENTREGA PARCIAL</v>
          </cell>
          <cell r="M753" t="str">
            <v>-</v>
          </cell>
          <cell r="N753" t="str">
            <v>OC'S METALFISA</v>
          </cell>
          <cell r="O753">
            <v>16</v>
          </cell>
          <cell r="P753" t="str">
            <v>OC'S GRANATO</v>
          </cell>
          <cell r="Q753" t="str">
            <v>-</v>
          </cell>
          <cell r="S753" t="str">
            <v>-</v>
          </cell>
          <cell r="U753">
            <v>16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8</v>
          </cell>
          <cell r="AA753">
            <v>8</v>
          </cell>
          <cell r="AB753">
            <v>0</v>
          </cell>
          <cell r="AC753">
            <v>4</v>
          </cell>
          <cell r="AD753">
            <v>-4</v>
          </cell>
        </row>
        <row r="754">
          <cell r="A754" t="str">
            <v>33.11.10175.00</v>
          </cell>
          <cell r="B754" t="str">
            <v>SUPORTE DA TAMPA / 33.11.10175.00</v>
          </cell>
          <cell r="C754">
            <v>46066</v>
          </cell>
          <cell r="D754" t="str">
            <v>-</v>
          </cell>
          <cell r="E754" t="str">
            <v>-</v>
          </cell>
          <cell r="F754" t="str">
            <v>-</v>
          </cell>
          <cell r="G754" t="str">
            <v>-</v>
          </cell>
          <cell r="H754" t="str">
            <v>-</v>
          </cell>
          <cell r="I754" t="str">
            <v>-</v>
          </cell>
          <cell r="J754">
            <v>0</v>
          </cell>
          <cell r="K754">
            <v>12</v>
          </cell>
          <cell r="L754" t="str">
            <v>ENTREGA PARCIAL</v>
          </cell>
          <cell r="M754">
            <v>4</v>
          </cell>
          <cell r="N754" t="str">
            <v>OC'S METALFISA</v>
          </cell>
          <cell r="O754">
            <v>16</v>
          </cell>
          <cell r="P754" t="str">
            <v>OC'S GRANATO</v>
          </cell>
          <cell r="Q754" t="str">
            <v>-</v>
          </cell>
          <cell r="S754" t="str">
            <v>-</v>
          </cell>
          <cell r="U754">
            <v>20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12</v>
          </cell>
          <cell r="AA754">
            <v>12</v>
          </cell>
          <cell r="AB754">
            <v>0</v>
          </cell>
          <cell r="AC754">
            <v>4</v>
          </cell>
          <cell r="AD754">
            <v>-8</v>
          </cell>
        </row>
        <row r="755">
          <cell r="A755" t="str">
            <v>33.11.10176.01</v>
          </cell>
          <cell r="B755" t="str">
            <v>TRAVA DO EQUIPAMETO/33.11.10176.01</v>
          </cell>
          <cell r="C755">
            <v>46076</v>
          </cell>
          <cell r="D755" t="str">
            <v>-</v>
          </cell>
          <cell r="E755" t="str">
            <v>-</v>
          </cell>
          <cell r="F755" t="str">
            <v>-</v>
          </cell>
          <cell r="G755" t="str">
            <v>-</v>
          </cell>
          <cell r="H755" t="str">
            <v>-</v>
          </cell>
          <cell r="I755" t="str">
            <v>-</v>
          </cell>
          <cell r="J755">
            <v>0</v>
          </cell>
          <cell r="K755">
            <v>14</v>
          </cell>
          <cell r="L755" t="str">
            <v>ENTREGA PARCIAL</v>
          </cell>
          <cell r="M755" t="str">
            <v>-</v>
          </cell>
          <cell r="N755" t="str">
            <v>OC'S METALFISA</v>
          </cell>
          <cell r="O755">
            <v>28</v>
          </cell>
          <cell r="P755" t="str">
            <v>OC'S GRANATO</v>
          </cell>
          <cell r="Q755" t="str">
            <v>-</v>
          </cell>
          <cell r="S755" t="str">
            <v>-</v>
          </cell>
          <cell r="U755">
            <v>28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22</v>
          </cell>
          <cell r="AA755">
            <v>22</v>
          </cell>
          <cell r="AB755">
            <v>0</v>
          </cell>
          <cell r="AC755">
            <v>8</v>
          </cell>
          <cell r="AD755">
            <v>-14</v>
          </cell>
        </row>
        <row r="756">
          <cell r="A756" t="str">
            <v>33.11.10177.00</v>
          </cell>
          <cell r="B756" t="str">
            <v>TRAVA DO TETO / 33.11.10177.00</v>
          </cell>
          <cell r="D756" t="str">
            <v>-</v>
          </cell>
          <cell r="E756" t="str">
            <v>-</v>
          </cell>
          <cell r="F756" t="str">
            <v>-</v>
          </cell>
          <cell r="G756" t="str">
            <v>-</v>
          </cell>
          <cell r="H756" t="str">
            <v>-</v>
          </cell>
          <cell r="I756" t="str">
            <v>-</v>
          </cell>
          <cell r="J756">
            <v>0</v>
          </cell>
          <cell r="K756">
            <v>32</v>
          </cell>
          <cell r="L756" t="str">
            <v>ENTREGA TOTAL</v>
          </cell>
          <cell r="M756" t="str">
            <v>-</v>
          </cell>
          <cell r="N756" t="str">
            <v>OC'S METALFISA</v>
          </cell>
          <cell r="O756">
            <v>24</v>
          </cell>
          <cell r="P756" t="str">
            <v>OC'S GRANATO</v>
          </cell>
          <cell r="Q756" t="str">
            <v>-</v>
          </cell>
          <cell r="S756" t="str">
            <v>-</v>
          </cell>
          <cell r="U756">
            <v>24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8</v>
          </cell>
          <cell r="AA756">
            <v>8</v>
          </cell>
          <cell r="AB756">
            <v>0</v>
          </cell>
          <cell r="AC756">
            <v>16</v>
          </cell>
          <cell r="AD756">
            <v>8</v>
          </cell>
        </row>
        <row r="757">
          <cell r="A757" t="str">
            <v>33.11.10178.01</v>
          </cell>
          <cell r="B757" t="str">
            <v>BASE MODULO INTERMEDIARIO / 33.11.10178.01</v>
          </cell>
          <cell r="C757">
            <v>46066</v>
          </cell>
          <cell r="D757" t="str">
            <v>-</v>
          </cell>
          <cell r="E757" t="str">
            <v>-</v>
          </cell>
          <cell r="F757" t="str">
            <v>-</v>
          </cell>
          <cell r="G757" t="str">
            <v>-</v>
          </cell>
          <cell r="H757" t="str">
            <v>-</v>
          </cell>
          <cell r="I757" t="str">
            <v>-</v>
          </cell>
          <cell r="J757">
            <v>0</v>
          </cell>
          <cell r="K757">
            <v>12</v>
          </cell>
          <cell r="L757" t="str">
            <v>ENTREGA PARCIAL</v>
          </cell>
          <cell r="M757">
            <v>4</v>
          </cell>
          <cell r="N757" t="str">
            <v>OC'S METALFISA</v>
          </cell>
          <cell r="O757">
            <v>12</v>
          </cell>
          <cell r="P757" t="str">
            <v>OC'S GRANATO</v>
          </cell>
          <cell r="Q757" t="str">
            <v>-</v>
          </cell>
          <cell r="S757" t="str">
            <v>-</v>
          </cell>
          <cell r="U757">
            <v>16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12</v>
          </cell>
          <cell r="AA757">
            <v>12</v>
          </cell>
          <cell r="AB757">
            <v>0</v>
          </cell>
          <cell r="AC757">
            <v>8</v>
          </cell>
          <cell r="AD757">
            <v>-4</v>
          </cell>
        </row>
        <row r="758">
          <cell r="A758" t="str">
            <v>33.11.10180.00</v>
          </cell>
          <cell r="B758" t="str">
            <v>SUPORTE ROLETE / 33.11.10180.00</v>
          </cell>
          <cell r="C758">
            <v>46074</v>
          </cell>
          <cell r="D758" t="str">
            <v>-</v>
          </cell>
          <cell r="E758" t="str">
            <v>-</v>
          </cell>
          <cell r="F758" t="str">
            <v>-</v>
          </cell>
          <cell r="G758" t="str">
            <v>-</v>
          </cell>
          <cell r="H758" t="str">
            <v>-</v>
          </cell>
          <cell r="I758" t="str">
            <v>-</v>
          </cell>
          <cell r="J758">
            <v>0</v>
          </cell>
          <cell r="K758">
            <v>16</v>
          </cell>
          <cell r="L758" t="str">
            <v>ENTREGA PARCIAL</v>
          </cell>
          <cell r="M758">
            <v>4</v>
          </cell>
          <cell r="N758" t="str">
            <v>OC'S METALFISA</v>
          </cell>
          <cell r="O758">
            <v>16</v>
          </cell>
          <cell r="P758" t="str">
            <v>OC'S GRANATO</v>
          </cell>
          <cell r="Q758" t="str">
            <v>-</v>
          </cell>
          <cell r="S758" t="str">
            <v>-</v>
          </cell>
          <cell r="U758">
            <v>20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12</v>
          </cell>
          <cell r="AA758">
            <v>12</v>
          </cell>
          <cell r="AB758">
            <v>0</v>
          </cell>
          <cell r="AC758">
            <v>8</v>
          </cell>
          <cell r="AD758">
            <v>-4</v>
          </cell>
        </row>
        <row r="759">
          <cell r="A759" t="str">
            <v>33.11.10182.00</v>
          </cell>
          <cell r="B759" t="str">
            <v>TIRANTE AUXILIAR / 33.11.10182.00</v>
          </cell>
          <cell r="C759">
            <v>46066</v>
          </cell>
          <cell r="D759" t="str">
            <v>-</v>
          </cell>
          <cell r="E759" t="str">
            <v>-</v>
          </cell>
          <cell r="F759" t="str">
            <v>-</v>
          </cell>
          <cell r="G759" t="str">
            <v>-</v>
          </cell>
          <cell r="H759" t="str">
            <v>-</v>
          </cell>
          <cell r="I759" t="str">
            <v>-</v>
          </cell>
          <cell r="J759">
            <v>0</v>
          </cell>
          <cell r="K759">
            <v>15</v>
          </cell>
          <cell r="L759" t="str">
            <v>ENTREGA PARCIAL</v>
          </cell>
          <cell r="M759">
            <v>4</v>
          </cell>
          <cell r="N759" t="str">
            <v>OC'S METALFISA</v>
          </cell>
          <cell r="O759">
            <v>16</v>
          </cell>
          <cell r="P759" t="str">
            <v>OC'S GRANATO</v>
          </cell>
          <cell r="Q759" t="str">
            <v>-</v>
          </cell>
          <cell r="S759" t="str">
            <v>-</v>
          </cell>
          <cell r="U759">
            <v>20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12</v>
          </cell>
          <cell r="AA759">
            <v>12</v>
          </cell>
          <cell r="AB759">
            <v>0</v>
          </cell>
          <cell r="AC759">
            <v>7</v>
          </cell>
          <cell r="AD759">
            <v>-5</v>
          </cell>
        </row>
        <row r="760">
          <cell r="A760" t="str">
            <v>33.11.10183.00</v>
          </cell>
          <cell r="B760" t="str">
            <v>TRAVESSA AUXILIAR / 33.11.10183.00</v>
          </cell>
          <cell r="D760" t="str">
            <v>-</v>
          </cell>
          <cell r="E760" t="str">
            <v>-</v>
          </cell>
          <cell r="F760" t="str">
            <v>-</v>
          </cell>
          <cell r="G760" t="str">
            <v>-</v>
          </cell>
          <cell r="H760" t="str">
            <v>-</v>
          </cell>
          <cell r="I760" t="str">
            <v>-</v>
          </cell>
          <cell r="J760">
            <v>0</v>
          </cell>
          <cell r="K760">
            <v>16</v>
          </cell>
          <cell r="L760" t="str">
            <v>ENTREGA PARCIAL</v>
          </cell>
          <cell r="M760">
            <v>8</v>
          </cell>
          <cell r="N760" t="str">
            <v>OC'S METALFISA</v>
          </cell>
          <cell r="O760">
            <v>24</v>
          </cell>
          <cell r="P760" t="str">
            <v>OC'S GRANATO</v>
          </cell>
          <cell r="Q760" t="str">
            <v>-</v>
          </cell>
          <cell r="S760" t="str">
            <v>-</v>
          </cell>
          <cell r="U760">
            <v>32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24</v>
          </cell>
          <cell r="AA760">
            <v>24</v>
          </cell>
          <cell r="AB760">
            <v>0</v>
          </cell>
          <cell r="AC760">
            <v>8</v>
          </cell>
          <cell r="AD760">
            <v>-16</v>
          </cell>
        </row>
        <row r="761">
          <cell r="A761" t="str">
            <v>33.11.10185.01</v>
          </cell>
          <cell r="B761" t="str">
            <v>ACABAMENTO CORRENTE CENTRAL MODULO INTERMEDIARIO / 33.11.10185.01</v>
          </cell>
          <cell r="C761">
            <v>46072</v>
          </cell>
          <cell r="D761" t="str">
            <v>-</v>
          </cell>
          <cell r="E761" t="str">
            <v>-</v>
          </cell>
          <cell r="F761" t="str">
            <v>-</v>
          </cell>
          <cell r="G761" t="str">
            <v>-</v>
          </cell>
          <cell r="H761" t="str">
            <v>-</v>
          </cell>
          <cell r="I761" t="str">
            <v>-</v>
          </cell>
          <cell r="J761">
            <v>0</v>
          </cell>
          <cell r="K761">
            <v>12</v>
          </cell>
          <cell r="L761" t="str">
            <v>ENTREGA TOTAL</v>
          </cell>
          <cell r="M761" t="str">
            <v>-</v>
          </cell>
          <cell r="N761" t="str">
            <v>OC'S METALFISA</v>
          </cell>
          <cell r="O761">
            <v>12</v>
          </cell>
          <cell r="P761" t="str">
            <v>OC'S GRANATO</v>
          </cell>
          <cell r="Q761" t="str">
            <v>-</v>
          </cell>
          <cell r="S761" t="str">
            <v>-</v>
          </cell>
          <cell r="U761">
            <v>12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4</v>
          </cell>
          <cell r="AA761">
            <v>4</v>
          </cell>
          <cell r="AB761">
            <v>0</v>
          </cell>
          <cell r="AC761">
            <v>4</v>
          </cell>
          <cell r="AD761">
            <v>0</v>
          </cell>
        </row>
        <row r="762">
          <cell r="A762" t="str">
            <v>33.11.10186.01</v>
          </cell>
          <cell r="B762" t="str">
            <v>TAMPA SUPERIOR DE ACABAMENTO / 33.11.10186.01</v>
          </cell>
          <cell r="D762" t="str">
            <v>-</v>
          </cell>
          <cell r="E762" t="str">
            <v>-</v>
          </cell>
          <cell r="F762" t="str">
            <v>-</v>
          </cell>
          <cell r="G762" t="str">
            <v>-</v>
          </cell>
          <cell r="H762" t="str">
            <v>-</v>
          </cell>
          <cell r="I762" t="str">
            <v>-</v>
          </cell>
          <cell r="J762">
            <v>0</v>
          </cell>
          <cell r="K762">
            <v>8</v>
          </cell>
          <cell r="L762" t="str">
            <v>FALTA ENTREGA</v>
          </cell>
          <cell r="M762">
            <v>4</v>
          </cell>
          <cell r="N762" t="str">
            <v>OC'S METALFISA</v>
          </cell>
          <cell r="O762">
            <v>16</v>
          </cell>
          <cell r="P762" t="str">
            <v>OC'S GRANATO</v>
          </cell>
          <cell r="Q762" t="str">
            <v>-</v>
          </cell>
          <cell r="S762" t="str">
            <v>-</v>
          </cell>
          <cell r="U762">
            <v>20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12</v>
          </cell>
          <cell r="AA762">
            <v>12</v>
          </cell>
          <cell r="AB762">
            <v>0</v>
          </cell>
          <cell r="AC762">
            <v>0</v>
          </cell>
          <cell r="AD762">
            <v>-12</v>
          </cell>
        </row>
        <row r="763">
          <cell r="A763" t="str">
            <v>33.11.10200.00</v>
          </cell>
          <cell r="B763" t="str">
            <v>DISTANCIADOR TAMPA / 33.11.10200.00</v>
          </cell>
          <cell r="C763">
            <v>46074</v>
          </cell>
          <cell r="D763" t="str">
            <v>-</v>
          </cell>
          <cell r="E763" t="str">
            <v>-</v>
          </cell>
          <cell r="F763" t="str">
            <v>-</v>
          </cell>
          <cell r="G763" t="str">
            <v>-</v>
          </cell>
          <cell r="H763" t="str">
            <v>-</v>
          </cell>
          <cell r="I763" t="str">
            <v>-</v>
          </cell>
          <cell r="J763">
            <v>0</v>
          </cell>
          <cell r="K763">
            <v>14</v>
          </cell>
          <cell r="L763" t="str">
            <v>ENTREGA PARCIAL</v>
          </cell>
          <cell r="M763">
            <v>2</v>
          </cell>
          <cell r="N763" t="str">
            <v>OC'S METALFISA</v>
          </cell>
          <cell r="O763">
            <v>18</v>
          </cell>
          <cell r="P763" t="str">
            <v>OC'S GRANATO</v>
          </cell>
          <cell r="Q763" t="str">
            <v>-</v>
          </cell>
          <cell r="S763" t="str">
            <v>-</v>
          </cell>
          <cell r="U763">
            <v>20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12</v>
          </cell>
          <cell r="AA763">
            <v>12</v>
          </cell>
          <cell r="AB763">
            <v>0</v>
          </cell>
          <cell r="AC763">
            <v>6</v>
          </cell>
          <cell r="AD763">
            <v>-6</v>
          </cell>
        </row>
        <row r="764">
          <cell r="A764" t="str">
            <v>33.11.10201.02</v>
          </cell>
          <cell r="B764" t="str">
            <v>MAO FRANCESA / 33.11.10201.02</v>
          </cell>
          <cell r="C764">
            <v>46076</v>
          </cell>
          <cell r="D764" t="str">
            <v>-</v>
          </cell>
          <cell r="E764" t="str">
            <v>-</v>
          </cell>
          <cell r="F764" t="str">
            <v>-</v>
          </cell>
          <cell r="G764" t="str">
            <v>-</v>
          </cell>
          <cell r="H764" t="str">
            <v>-</v>
          </cell>
          <cell r="I764" t="str">
            <v>-</v>
          </cell>
          <cell r="J764">
            <v>0</v>
          </cell>
          <cell r="K764">
            <v>24</v>
          </cell>
          <cell r="L764" t="str">
            <v>ENTREGA PARCIAL</v>
          </cell>
          <cell r="M764" t="str">
            <v>-</v>
          </cell>
          <cell r="N764" t="str">
            <v>OC'S METALFISA</v>
          </cell>
          <cell r="O764">
            <v>61</v>
          </cell>
          <cell r="P764" t="str">
            <v>OC'S GRANATO</v>
          </cell>
          <cell r="Q764" t="str">
            <v>-</v>
          </cell>
          <cell r="S764" t="str">
            <v>-</v>
          </cell>
          <cell r="U764">
            <v>61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49</v>
          </cell>
          <cell r="AA764">
            <v>49</v>
          </cell>
          <cell r="AB764">
            <v>0</v>
          </cell>
          <cell r="AC764">
            <v>12</v>
          </cell>
          <cell r="AD764">
            <v>-37</v>
          </cell>
        </row>
        <row r="765">
          <cell r="A765" t="str">
            <v>33.11.10202.01</v>
          </cell>
          <cell r="B765" t="str">
            <v>MAO FRANCESA / 33.11.10202.01</v>
          </cell>
          <cell r="C765">
            <v>46076</v>
          </cell>
          <cell r="D765" t="str">
            <v>-</v>
          </cell>
          <cell r="E765" t="str">
            <v>-</v>
          </cell>
          <cell r="F765" t="str">
            <v>-</v>
          </cell>
          <cell r="G765" t="str">
            <v>-</v>
          </cell>
          <cell r="H765" t="str">
            <v>-</v>
          </cell>
          <cell r="I765" t="str">
            <v>-</v>
          </cell>
          <cell r="J765">
            <v>0</v>
          </cell>
          <cell r="K765">
            <v>24</v>
          </cell>
          <cell r="L765" t="str">
            <v>ENTREGA PARCIAL</v>
          </cell>
          <cell r="M765" t="str">
            <v>-</v>
          </cell>
          <cell r="N765" t="str">
            <v>OC'S METALFISA</v>
          </cell>
          <cell r="O765">
            <v>32</v>
          </cell>
          <cell r="P765" t="str">
            <v>OC'S GRANATO</v>
          </cell>
          <cell r="Q765" t="str">
            <v>-</v>
          </cell>
          <cell r="S765" t="str">
            <v>-</v>
          </cell>
          <cell r="U765">
            <v>32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16</v>
          </cell>
          <cell r="AA765">
            <v>16</v>
          </cell>
          <cell r="AB765">
            <v>0</v>
          </cell>
          <cell r="AC765">
            <v>8</v>
          </cell>
          <cell r="AD765">
            <v>-8</v>
          </cell>
        </row>
        <row r="766">
          <cell r="A766" t="str">
            <v>33.11.10204.00</v>
          </cell>
          <cell r="B766" t="str">
            <v>SUPORTE SENSOR / 33.11.10204.00</v>
          </cell>
          <cell r="C766">
            <v>46066</v>
          </cell>
          <cell r="D766" t="str">
            <v>-</v>
          </cell>
          <cell r="E766" t="str">
            <v>-</v>
          </cell>
          <cell r="F766" t="str">
            <v>-</v>
          </cell>
          <cell r="G766" t="str">
            <v>-</v>
          </cell>
          <cell r="H766" t="str">
            <v>-</v>
          </cell>
          <cell r="I766" t="str">
            <v>-</v>
          </cell>
          <cell r="J766">
            <v>0</v>
          </cell>
          <cell r="K766">
            <v>92</v>
          </cell>
          <cell r="L766" t="str">
            <v>ENTREGA PARCIAL</v>
          </cell>
          <cell r="M766">
            <v>16</v>
          </cell>
          <cell r="N766" t="str">
            <v>OC'S METALFISA</v>
          </cell>
          <cell r="O766">
            <v>112</v>
          </cell>
          <cell r="P766" t="str">
            <v>OC'S GRANATO</v>
          </cell>
          <cell r="Q766" t="str">
            <v>-</v>
          </cell>
          <cell r="S766" t="str">
            <v>-</v>
          </cell>
          <cell r="U766">
            <v>128</v>
          </cell>
          <cell r="V766">
            <v>16</v>
          </cell>
          <cell r="W766">
            <v>0</v>
          </cell>
          <cell r="X766">
            <v>0</v>
          </cell>
          <cell r="Y766">
            <v>0</v>
          </cell>
          <cell r="Z766">
            <v>84</v>
          </cell>
          <cell r="AA766">
            <v>100</v>
          </cell>
          <cell r="AB766">
            <v>0</v>
          </cell>
          <cell r="AC766">
            <v>64</v>
          </cell>
          <cell r="AD766">
            <v>-36</v>
          </cell>
        </row>
        <row r="767">
          <cell r="A767" t="str">
            <v>33.11.10205.02</v>
          </cell>
          <cell r="B767" t="str">
            <v>BASE MODULO DAS EXTREMIDADES / 33.11.10205.02</v>
          </cell>
          <cell r="C767">
            <v>46059</v>
          </cell>
          <cell r="D767" t="str">
            <v>-</v>
          </cell>
          <cell r="E767" t="str">
            <v>-</v>
          </cell>
          <cell r="F767" t="str">
            <v>-</v>
          </cell>
          <cell r="G767" t="str">
            <v>-</v>
          </cell>
          <cell r="H767" t="str">
            <v>-</v>
          </cell>
          <cell r="I767" t="str">
            <v>-</v>
          </cell>
          <cell r="J767">
            <v>0</v>
          </cell>
          <cell r="K767">
            <v>10</v>
          </cell>
          <cell r="L767" t="str">
            <v>ENTREGA PARCIAL</v>
          </cell>
          <cell r="M767">
            <v>2</v>
          </cell>
          <cell r="N767" t="str">
            <v>OC'S METALFISA</v>
          </cell>
          <cell r="O767">
            <v>26</v>
          </cell>
          <cell r="P767" t="str">
            <v>OC'S GRANATO</v>
          </cell>
          <cell r="Q767" t="str">
            <v>-</v>
          </cell>
          <cell r="S767" t="str">
            <v>-</v>
          </cell>
          <cell r="U767">
            <v>28</v>
          </cell>
          <cell r="V767">
            <v>6</v>
          </cell>
          <cell r="W767">
            <v>0</v>
          </cell>
          <cell r="X767">
            <v>0</v>
          </cell>
          <cell r="Y767">
            <v>0</v>
          </cell>
          <cell r="Z767">
            <v>18</v>
          </cell>
          <cell r="AA767">
            <v>24</v>
          </cell>
          <cell r="AB767">
            <v>0</v>
          </cell>
          <cell r="AC767">
            <v>6</v>
          </cell>
          <cell r="AD767">
            <v>-18</v>
          </cell>
        </row>
        <row r="768">
          <cell r="A768" t="str">
            <v>33.11.10210.01</v>
          </cell>
          <cell r="B768" t="str">
            <v>SUPORTE DOS ROLETES/33.11.10210.01</v>
          </cell>
          <cell r="C768">
            <v>46076</v>
          </cell>
          <cell r="D768" t="str">
            <v>-</v>
          </cell>
          <cell r="E768" t="str">
            <v>-</v>
          </cell>
          <cell r="F768" t="str">
            <v>-</v>
          </cell>
          <cell r="G768" t="str">
            <v>-</v>
          </cell>
          <cell r="H768" t="str">
            <v>-</v>
          </cell>
          <cell r="I768" t="str">
            <v>-</v>
          </cell>
          <cell r="J768">
            <v>0</v>
          </cell>
          <cell r="K768">
            <v>8</v>
          </cell>
          <cell r="L768" t="str">
            <v>ENTREGA PARCIAL</v>
          </cell>
          <cell r="M768">
            <v>2</v>
          </cell>
          <cell r="N768" t="str">
            <v>OC'S METALFISA</v>
          </cell>
          <cell r="O768">
            <v>22</v>
          </cell>
          <cell r="P768" t="str">
            <v>OC'S GRANATO</v>
          </cell>
          <cell r="Q768" t="str">
            <v>-</v>
          </cell>
          <cell r="S768" t="str">
            <v>-</v>
          </cell>
          <cell r="U768">
            <v>24</v>
          </cell>
          <cell r="V768">
            <v>4</v>
          </cell>
          <cell r="W768">
            <v>0</v>
          </cell>
          <cell r="X768">
            <v>0</v>
          </cell>
          <cell r="Y768">
            <v>0</v>
          </cell>
          <cell r="Z768">
            <v>18</v>
          </cell>
          <cell r="AA768">
            <v>22</v>
          </cell>
          <cell r="AB768">
            <v>0</v>
          </cell>
          <cell r="AC768">
            <v>6</v>
          </cell>
          <cell r="AD768">
            <v>-16</v>
          </cell>
        </row>
        <row r="769">
          <cell r="A769" t="str">
            <v>33.11.10213.01</v>
          </cell>
          <cell r="B769" t="str">
            <v>COLUNA / 33.11.10213.01</v>
          </cell>
          <cell r="C769">
            <v>46066</v>
          </cell>
          <cell r="D769" t="str">
            <v>-</v>
          </cell>
          <cell r="E769" t="str">
            <v>-</v>
          </cell>
          <cell r="F769" t="str">
            <v>-</v>
          </cell>
          <cell r="G769" t="str">
            <v>-</v>
          </cell>
          <cell r="H769" t="str">
            <v>-</v>
          </cell>
          <cell r="I769" t="str">
            <v>-</v>
          </cell>
          <cell r="J769">
            <v>0</v>
          </cell>
          <cell r="K769">
            <v>14</v>
          </cell>
          <cell r="L769" t="str">
            <v>ENTREGA PARCIAL</v>
          </cell>
          <cell r="M769">
            <v>2</v>
          </cell>
          <cell r="N769" t="str">
            <v>OC'S METALFISA</v>
          </cell>
          <cell r="O769">
            <v>26</v>
          </cell>
          <cell r="P769" t="str">
            <v>OC'S GRANATO</v>
          </cell>
          <cell r="Q769" t="str">
            <v>-</v>
          </cell>
          <cell r="S769" t="str">
            <v>-</v>
          </cell>
          <cell r="U769">
            <v>28</v>
          </cell>
          <cell r="V769">
            <v>2</v>
          </cell>
          <cell r="W769">
            <v>0</v>
          </cell>
          <cell r="X769">
            <v>0</v>
          </cell>
          <cell r="Y769">
            <v>0</v>
          </cell>
          <cell r="Z769">
            <v>18</v>
          </cell>
          <cell r="AA769">
            <v>20</v>
          </cell>
          <cell r="AB769">
            <v>0</v>
          </cell>
          <cell r="AC769">
            <v>6</v>
          </cell>
          <cell r="AD769">
            <v>-14</v>
          </cell>
        </row>
        <row r="770">
          <cell r="A770" t="str">
            <v>33.11.10214.01</v>
          </cell>
          <cell r="B770" t="str">
            <v>SUPORTE DO ACABAMENTO/33.11.10214.01</v>
          </cell>
          <cell r="C770">
            <v>46076</v>
          </cell>
          <cell r="D770" t="str">
            <v>-</v>
          </cell>
          <cell r="E770" t="str">
            <v>-</v>
          </cell>
          <cell r="F770" t="str">
            <v>-</v>
          </cell>
          <cell r="G770" t="str">
            <v>-</v>
          </cell>
          <cell r="H770" t="str">
            <v>-</v>
          </cell>
          <cell r="I770" t="str">
            <v>-</v>
          </cell>
          <cell r="J770">
            <v>0</v>
          </cell>
          <cell r="K770">
            <v>8</v>
          </cell>
          <cell r="L770" t="str">
            <v>ENTREGA PARCIAL</v>
          </cell>
          <cell r="M770" t="str">
            <v>-</v>
          </cell>
          <cell r="N770" t="str">
            <v>OC'S METALFISA</v>
          </cell>
          <cell r="O770">
            <v>16</v>
          </cell>
          <cell r="P770" t="str">
            <v>OC'S GRANATO</v>
          </cell>
          <cell r="Q770" t="str">
            <v>-</v>
          </cell>
          <cell r="S770" t="str">
            <v>-</v>
          </cell>
          <cell r="U770">
            <v>16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16</v>
          </cell>
          <cell r="AA770">
            <v>16</v>
          </cell>
          <cell r="AB770">
            <v>0</v>
          </cell>
          <cell r="AC770">
            <v>8</v>
          </cell>
          <cell r="AD770">
            <v>-8</v>
          </cell>
        </row>
        <row r="771">
          <cell r="A771" t="str">
            <v>33.11.10215.00</v>
          </cell>
          <cell r="B771" t="str">
            <v>CHAPA DE FECHAMENTO / 33.11.10215.00</v>
          </cell>
          <cell r="C771">
            <v>46059</v>
          </cell>
          <cell r="D771" t="str">
            <v>-</v>
          </cell>
          <cell r="E771" t="str">
            <v>-</v>
          </cell>
          <cell r="F771" t="str">
            <v>-</v>
          </cell>
          <cell r="G771" t="str">
            <v>-</v>
          </cell>
          <cell r="H771" t="str">
            <v>-</v>
          </cell>
          <cell r="I771" t="str">
            <v>-</v>
          </cell>
          <cell r="J771">
            <v>0</v>
          </cell>
          <cell r="K771">
            <v>12</v>
          </cell>
          <cell r="L771" t="str">
            <v>ENTREGA PARCIAL</v>
          </cell>
          <cell r="M771">
            <v>2</v>
          </cell>
          <cell r="N771" t="str">
            <v>OC'S METALFISA</v>
          </cell>
          <cell r="O771">
            <v>26</v>
          </cell>
          <cell r="P771" t="str">
            <v>OC'S GRANATO</v>
          </cell>
          <cell r="Q771" t="str">
            <v>-</v>
          </cell>
          <cell r="S771" t="str">
            <v>-</v>
          </cell>
          <cell r="U771">
            <v>28</v>
          </cell>
          <cell r="V771">
            <v>2</v>
          </cell>
          <cell r="W771">
            <v>0</v>
          </cell>
          <cell r="X771">
            <v>0</v>
          </cell>
          <cell r="Y771">
            <v>0</v>
          </cell>
          <cell r="Z771">
            <v>18</v>
          </cell>
          <cell r="AA771">
            <v>20</v>
          </cell>
          <cell r="AB771">
            <v>0</v>
          </cell>
          <cell r="AC771">
            <v>4</v>
          </cell>
          <cell r="AD771">
            <v>-16</v>
          </cell>
        </row>
        <row r="772">
          <cell r="A772" t="str">
            <v>33.11.10216.00</v>
          </cell>
          <cell r="B772" t="str">
            <v>CHAPA DE FECHAMENTO / 33.11.10216.00</v>
          </cell>
          <cell r="C772">
            <v>46059</v>
          </cell>
          <cell r="D772" t="str">
            <v>-</v>
          </cell>
          <cell r="E772" t="str">
            <v>-</v>
          </cell>
          <cell r="F772" t="str">
            <v>-</v>
          </cell>
          <cell r="G772" t="str">
            <v>-</v>
          </cell>
          <cell r="H772" t="str">
            <v>-</v>
          </cell>
          <cell r="I772" t="str">
            <v>-</v>
          </cell>
          <cell r="J772">
            <v>0</v>
          </cell>
          <cell r="K772">
            <v>10</v>
          </cell>
          <cell r="L772" t="str">
            <v>ENTREGA PARCIAL</v>
          </cell>
          <cell r="M772">
            <v>2</v>
          </cell>
          <cell r="N772" t="str">
            <v>OC'S METALFISA</v>
          </cell>
          <cell r="O772">
            <v>27</v>
          </cell>
          <cell r="P772" t="str">
            <v>OC'S GRANATO</v>
          </cell>
          <cell r="Q772" t="str">
            <v>-</v>
          </cell>
          <cell r="S772" t="str">
            <v>-</v>
          </cell>
          <cell r="U772">
            <v>29</v>
          </cell>
          <cell r="V772">
            <v>5</v>
          </cell>
          <cell r="W772">
            <v>0</v>
          </cell>
          <cell r="X772">
            <v>0</v>
          </cell>
          <cell r="Y772">
            <v>0</v>
          </cell>
          <cell r="Z772">
            <v>18</v>
          </cell>
          <cell r="AA772">
            <v>23</v>
          </cell>
          <cell r="AB772">
            <v>1</v>
          </cell>
          <cell r="AC772">
            <v>4</v>
          </cell>
          <cell r="AD772">
            <v>-19</v>
          </cell>
        </row>
        <row r="773">
          <cell r="A773" t="str">
            <v>33.11.10217.00</v>
          </cell>
          <cell r="B773" t="str">
            <v>CHAPA DO TUNEL / 33.11.10217.00</v>
          </cell>
          <cell r="C773">
            <v>46063</v>
          </cell>
          <cell r="D773" t="str">
            <v>-</v>
          </cell>
          <cell r="E773" t="str">
            <v>-</v>
          </cell>
          <cell r="F773" t="str">
            <v>-</v>
          </cell>
          <cell r="G773" t="str">
            <v>-</v>
          </cell>
          <cell r="H773" t="str">
            <v>-</v>
          </cell>
          <cell r="I773" t="str">
            <v>-</v>
          </cell>
          <cell r="J773">
            <v>0</v>
          </cell>
          <cell r="K773">
            <v>29</v>
          </cell>
          <cell r="L773" t="str">
            <v>ENTREGA PARCIAL</v>
          </cell>
          <cell r="M773">
            <v>4</v>
          </cell>
          <cell r="N773" t="str">
            <v>OC'S METALFISA</v>
          </cell>
          <cell r="O773">
            <v>52</v>
          </cell>
          <cell r="P773" t="str">
            <v>OC'S GRANATO</v>
          </cell>
          <cell r="Q773" t="str">
            <v>-</v>
          </cell>
          <cell r="S773" t="str">
            <v>-</v>
          </cell>
          <cell r="U773">
            <v>56</v>
          </cell>
          <cell r="V773">
            <v>3</v>
          </cell>
          <cell r="W773">
            <v>0</v>
          </cell>
          <cell r="X773">
            <v>0</v>
          </cell>
          <cell r="Y773">
            <v>0</v>
          </cell>
          <cell r="Z773">
            <v>36</v>
          </cell>
          <cell r="AA773">
            <v>39</v>
          </cell>
          <cell r="AB773">
            <v>0</v>
          </cell>
          <cell r="AC773">
            <v>12</v>
          </cell>
          <cell r="AD773">
            <v>-27</v>
          </cell>
        </row>
        <row r="774">
          <cell r="A774" t="str">
            <v>33.11.10218.00</v>
          </cell>
          <cell r="B774" t="str">
            <v>CHAPA DE FECHAMENTO / 33.11.10218.00</v>
          </cell>
          <cell r="C774">
            <v>46059</v>
          </cell>
          <cell r="D774" t="str">
            <v>-</v>
          </cell>
          <cell r="E774" t="str">
            <v>-</v>
          </cell>
          <cell r="F774" t="str">
            <v>-</v>
          </cell>
          <cell r="G774" t="str">
            <v>-</v>
          </cell>
          <cell r="H774" t="str">
            <v>-</v>
          </cell>
          <cell r="I774" t="str">
            <v>-</v>
          </cell>
          <cell r="J774">
            <v>0</v>
          </cell>
          <cell r="K774">
            <v>10</v>
          </cell>
          <cell r="L774" t="str">
            <v>ENTREGA PARCIAL</v>
          </cell>
          <cell r="M774">
            <v>2</v>
          </cell>
          <cell r="N774" t="str">
            <v>OC'S METALFISA</v>
          </cell>
          <cell r="O774">
            <v>25</v>
          </cell>
          <cell r="P774" t="str">
            <v>OC'S GRANATO</v>
          </cell>
          <cell r="Q774" t="str">
            <v>-</v>
          </cell>
          <cell r="S774" t="str">
            <v>-</v>
          </cell>
          <cell r="U774">
            <v>27</v>
          </cell>
          <cell r="V774">
            <v>3</v>
          </cell>
          <cell r="W774">
            <v>0</v>
          </cell>
          <cell r="X774">
            <v>0</v>
          </cell>
          <cell r="Y774">
            <v>0</v>
          </cell>
          <cell r="Z774">
            <v>18</v>
          </cell>
          <cell r="AA774">
            <v>21</v>
          </cell>
          <cell r="AB774">
            <v>0</v>
          </cell>
          <cell r="AC774">
            <v>4</v>
          </cell>
          <cell r="AD774">
            <v>-17</v>
          </cell>
        </row>
        <row r="775">
          <cell r="A775" t="str">
            <v>33.11.10220.00</v>
          </cell>
          <cell r="B775" t="str">
            <v>SUPORTE / 33.11.10220.00</v>
          </cell>
          <cell r="C775">
            <v>46059</v>
          </cell>
          <cell r="D775" t="str">
            <v>-</v>
          </cell>
          <cell r="E775" t="str">
            <v>-</v>
          </cell>
          <cell r="F775" t="str">
            <v>-</v>
          </cell>
          <cell r="G775" t="str">
            <v>-</v>
          </cell>
          <cell r="H775" t="str">
            <v>-</v>
          </cell>
          <cell r="I775" t="str">
            <v>-</v>
          </cell>
          <cell r="J775">
            <v>0</v>
          </cell>
          <cell r="K775">
            <v>23</v>
          </cell>
          <cell r="L775" t="str">
            <v>ENTREGA PARCIAL</v>
          </cell>
          <cell r="M775">
            <v>2</v>
          </cell>
          <cell r="N775" t="str">
            <v>OC'S METALFISA</v>
          </cell>
          <cell r="O775">
            <v>23</v>
          </cell>
          <cell r="P775" t="str">
            <v>OC'S GRANATO</v>
          </cell>
          <cell r="Q775" t="str">
            <v>-</v>
          </cell>
          <cell r="S775" t="str">
            <v>-</v>
          </cell>
          <cell r="U775">
            <v>25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13</v>
          </cell>
          <cell r="AA775">
            <v>13</v>
          </cell>
          <cell r="AB775">
            <v>0</v>
          </cell>
          <cell r="AC775">
            <v>11</v>
          </cell>
          <cell r="AD775">
            <v>-2</v>
          </cell>
        </row>
        <row r="776">
          <cell r="A776" t="str">
            <v>33.11.10221.00</v>
          </cell>
          <cell r="B776" t="str">
            <v>TIRANTE / 33.11.10221.00</v>
          </cell>
          <cell r="C776">
            <v>46076</v>
          </cell>
          <cell r="D776" t="str">
            <v>-</v>
          </cell>
          <cell r="E776" t="str">
            <v>-</v>
          </cell>
          <cell r="F776" t="str">
            <v>-</v>
          </cell>
          <cell r="G776" t="str">
            <v>-</v>
          </cell>
          <cell r="H776" t="str">
            <v>-</v>
          </cell>
          <cell r="I776" t="str">
            <v>-</v>
          </cell>
          <cell r="J776">
            <v>0</v>
          </cell>
          <cell r="K776">
            <v>10</v>
          </cell>
          <cell r="L776" t="str">
            <v>ENTREGA PARCIAL</v>
          </cell>
          <cell r="M776">
            <v>2</v>
          </cell>
          <cell r="N776" t="str">
            <v>OC'S METALFISA</v>
          </cell>
          <cell r="O776">
            <v>26</v>
          </cell>
          <cell r="P776" t="str">
            <v>OC'S GRANATO</v>
          </cell>
          <cell r="Q776" t="str">
            <v>-</v>
          </cell>
          <cell r="S776" t="str">
            <v>-</v>
          </cell>
          <cell r="U776">
            <v>28</v>
          </cell>
          <cell r="V776">
            <v>2</v>
          </cell>
          <cell r="W776">
            <v>0</v>
          </cell>
          <cell r="X776">
            <v>0</v>
          </cell>
          <cell r="Y776">
            <v>0</v>
          </cell>
          <cell r="Z776">
            <v>18</v>
          </cell>
          <cell r="AA776">
            <v>20</v>
          </cell>
          <cell r="AB776">
            <v>0</v>
          </cell>
          <cell r="AC776">
            <v>2</v>
          </cell>
          <cell r="AD776">
            <v>-18</v>
          </cell>
        </row>
        <row r="777">
          <cell r="A777" t="str">
            <v>33.11.10223.00</v>
          </cell>
          <cell r="B777" t="str">
            <v>SUPORTE / 33.11.10223.00</v>
          </cell>
          <cell r="C777">
            <v>46066</v>
          </cell>
          <cell r="D777" t="str">
            <v>-</v>
          </cell>
          <cell r="E777" t="str">
            <v>-</v>
          </cell>
          <cell r="F777" t="str">
            <v>-</v>
          </cell>
          <cell r="G777" t="str">
            <v>-</v>
          </cell>
          <cell r="H777" t="str">
            <v>-</v>
          </cell>
          <cell r="I777" t="str">
            <v>-</v>
          </cell>
          <cell r="J777">
            <v>0</v>
          </cell>
          <cell r="K777">
            <v>13</v>
          </cell>
          <cell r="L777" t="str">
            <v>ENTREGA PARCIAL</v>
          </cell>
          <cell r="M777">
            <v>4</v>
          </cell>
          <cell r="N777" t="str">
            <v>OC'S METALFISA</v>
          </cell>
          <cell r="O777">
            <v>43</v>
          </cell>
          <cell r="P777" t="str">
            <v>OC'S GRANATO</v>
          </cell>
          <cell r="Q777" t="str">
            <v>-</v>
          </cell>
          <cell r="S777" t="str">
            <v>-</v>
          </cell>
          <cell r="U777">
            <v>47</v>
          </cell>
          <cell r="V777">
            <v>6</v>
          </cell>
          <cell r="W777">
            <v>0</v>
          </cell>
          <cell r="X777">
            <v>0</v>
          </cell>
          <cell r="Y777">
            <v>0</v>
          </cell>
          <cell r="Z777">
            <v>36</v>
          </cell>
          <cell r="AA777">
            <v>42</v>
          </cell>
          <cell r="AB777">
            <v>0</v>
          </cell>
          <cell r="AC777">
            <v>8</v>
          </cell>
          <cell r="AD777">
            <v>-34</v>
          </cell>
        </row>
        <row r="778">
          <cell r="A778" t="str">
            <v>33.11.10225.00</v>
          </cell>
          <cell r="B778" t="str">
            <v>DISTANCIADOR / 33.11.10225.00</v>
          </cell>
          <cell r="D778" t="str">
            <v>-</v>
          </cell>
          <cell r="E778" t="str">
            <v>-</v>
          </cell>
          <cell r="F778" t="str">
            <v>-</v>
          </cell>
          <cell r="G778" t="str">
            <v>-</v>
          </cell>
          <cell r="H778" t="str">
            <v>-</v>
          </cell>
          <cell r="I778" t="str">
            <v>-</v>
          </cell>
          <cell r="J778">
            <v>0</v>
          </cell>
          <cell r="K778">
            <v>9</v>
          </cell>
          <cell r="L778" t="str">
            <v>ENTREGA PARCIAL</v>
          </cell>
          <cell r="M778">
            <v>2</v>
          </cell>
          <cell r="N778" t="str">
            <v>OC'S METALFISA</v>
          </cell>
          <cell r="O778">
            <v>24</v>
          </cell>
          <cell r="P778" t="str">
            <v>OC'S GRANATO</v>
          </cell>
          <cell r="Q778" t="str">
            <v>-</v>
          </cell>
          <cell r="S778" t="str">
            <v>-</v>
          </cell>
          <cell r="U778">
            <v>26</v>
          </cell>
          <cell r="V778">
            <v>3</v>
          </cell>
          <cell r="W778">
            <v>0</v>
          </cell>
          <cell r="X778">
            <v>0</v>
          </cell>
          <cell r="Y778">
            <v>0</v>
          </cell>
          <cell r="Z778">
            <v>18</v>
          </cell>
          <cell r="AA778">
            <v>21</v>
          </cell>
          <cell r="AB778">
            <v>0</v>
          </cell>
          <cell r="AC778">
            <v>4</v>
          </cell>
          <cell r="AD778">
            <v>-17</v>
          </cell>
        </row>
        <row r="779">
          <cell r="A779" t="str">
            <v>33.11.10227.00</v>
          </cell>
          <cell r="B779" t="str">
            <v>SUPORTE DO ACABAMENTO / 33.11.10227.00</v>
          </cell>
          <cell r="C779">
            <v>46069</v>
          </cell>
          <cell r="D779" t="str">
            <v>-</v>
          </cell>
          <cell r="E779" t="str">
            <v>-</v>
          </cell>
          <cell r="F779" t="str">
            <v>-</v>
          </cell>
          <cell r="G779" t="str">
            <v>-</v>
          </cell>
          <cell r="H779" t="str">
            <v>-</v>
          </cell>
          <cell r="I779" t="str">
            <v>-</v>
          </cell>
          <cell r="J779">
            <v>0</v>
          </cell>
          <cell r="K779">
            <v>15</v>
          </cell>
          <cell r="L779" t="str">
            <v>ENTREGA PARCIAL</v>
          </cell>
          <cell r="M779" t="str">
            <v>-</v>
          </cell>
          <cell r="N779" t="str">
            <v>OC'S METALFISA</v>
          </cell>
          <cell r="O779">
            <v>17</v>
          </cell>
          <cell r="P779" t="str">
            <v>OC'S GRANATO</v>
          </cell>
          <cell r="Q779" t="str">
            <v>-</v>
          </cell>
          <cell r="S779" t="str">
            <v>-</v>
          </cell>
          <cell r="U779">
            <v>17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14</v>
          </cell>
          <cell r="AA779">
            <v>14</v>
          </cell>
          <cell r="AB779">
            <v>0</v>
          </cell>
          <cell r="AC779">
            <v>12</v>
          </cell>
          <cell r="AD779">
            <v>-2</v>
          </cell>
        </row>
        <row r="780">
          <cell r="A780" t="str">
            <v>33.11.10232.01</v>
          </cell>
          <cell r="B780" t="str">
            <v>SUPORTE DOS LED´S / 33.11.10232.01</v>
          </cell>
          <cell r="C780">
            <v>46069</v>
          </cell>
          <cell r="D780" t="str">
            <v>-</v>
          </cell>
          <cell r="E780" t="str">
            <v>-</v>
          </cell>
          <cell r="F780" t="str">
            <v>-</v>
          </cell>
          <cell r="G780" t="str">
            <v>-</v>
          </cell>
          <cell r="H780" t="str">
            <v>-</v>
          </cell>
          <cell r="I780" t="str">
            <v>-</v>
          </cell>
          <cell r="J780">
            <v>0</v>
          </cell>
          <cell r="K780">
            <v>20</v>
          </cell>
          <cell r="L780" t="str">
            <v>ENTREGA PARCIAL</v>
          </cell>
          <cell r="M780">
            <v>2</v>
          </cell>
          <cell r="N780" t="str">
            <v>OC'S METALFISA</v>
          </cell>
          <cell r="O780">
            <v>26</v>
          </cell>
          <cell r="P780" t="str">
            <v>OC'S GRANATO</v>
          </cell>
          <cell r="Q780" t="str">
            <v>-</v>
          </cell>
          <cell r="S780" t="str">
            <v>-</v>
          </cell>
          <cell r="U780">
            <v>28</v>
          </cell>
          <cell r="V780">
            <v>2</v>
          </cell>
          <cell r="W780">
            <v>0</v>
          </cell>
          <cell r="X780">
            <v>0</v>
          </cell>
          <cell r="Y780">
            <v>0</v>
          </cell>
          <cell r="Z780">
            <v>18</v>
          </cell>
          <cell r="AA780">
            <v>20</v>
          </cell>
          <cell r="AB780">
            <v>0</v>
          </cell>
          <cell r="AC780">
            <v>12</v>
          </cell>
          <cell r="AD780">
            <v>-8</v>
          </cell>
        </row>
        <row r="781">
          <cell r="A781" t="str">
            <v>33.11.10234.01</v>
          </cell>
          <cell r="B781" t="str">
            <v>SUPORTE DOS LED´S / 33.11.10234.01</v>
          </cell>
          <cell r="C781">
            <v>46069</v>
          </cell>
          <cell r="D781" t="str">
            <v>-</v>
          </cell>
          <cell r="E781" t="str">
            <v>-</v>
          </cell>
          <cell r="F781" t="str">
            <v>-</v>
          </cell>
          <cell r="G781" t="str">
            <v>-</v>
          </cell>
          <cell r="H781" t="str">
            <v>-</v>
          </cell>
          <cell r="I781" t="str">
            <v>-</v>
          </cell>
          <cell r="J781">
            <v>0</v>
          </cell>
          <cell r="K781">
            <v>24</v>
          </cell>
          <cell r="L781" t="str">
            <v>ENTREGA PARCIAL</v>
          </cell>
          <cell r="M781">
            <v>2</v>
          </cell>
          <cell r="N781" t="str">
            <v>OC'S METALFISA</v>
          </cell>
          <cell r="O781">
            <v>24</v>
          </cell>
          <cell r="P781" t="str">
            <v>OC'S GRANATO</v>
          </cell>
          <cell r="Q781" t="str">
            <v>-</v>
          </cell>
          <cell r="S781" t="str">
            <v>-</v>
          </cell>
          <cell r="U781">
            <v>26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18</v>
          </cell>
          <cell r="AA781">
            <v>18</v>
          </cell>
          <cell r="AB781">
            <v>0</v>
          </cell>
          <cell r="AC781">
            <v>16</v>
          </cell>
          <cell r="AD781">
            <v>-2</v>
          </cell>
        </row>
        <row r="782">
          <cell r="A782" t="str">
            <v>33.11.10250.02</v>
          </cell>
          <cell r="B782" t="str">
            <v>ACABAMENTO / 33.11.10250.02</v>
          </cell>
          <cell r="C782">
            <v>46064</v>
          </cell>
          <cell r="D782" t="str">
            <v>-</v>
          </cell>
          <cell r="E782" t="str">
            <v>-</v>
          </cell>
          <cell r="F782" t="str">
            <v>-</v>
          </cell>
          <cell r="G782" t="str">
            <v>-</v>
          </cell>
          <cell r="H782" t="str">
            <v>-</v>
          </cell>
          <cell r="I782" t="str">
            <v>-</v>
          </cell>
          <cell r="J782">
            <v>0</v>
          </cell>
          <cell r="K782">
            <v>8</v>
          </cell>
          <cell r="L782" t="str">
            <v>FALTA ENTREGA</v>
          </cell>
          <cell r="M782">
            <v>2</v>
          </cell>
          <cell r="N782" t="str">
            <v>OC'S METALFISA</v>
          </cell>
          <cell r="O782">
            <v>26</v>
          </cell>
          <cell r="P782" t="str">
            <v>OC'S GRANATO</v>
          </cell>
          <cell r="Q782" t="str">
            <v>-</v>
          </cell>
          <cell r="S782" t="str">
            <v>-</v>
          </cell>
          <cell r="U782">
            <v>28</v>
          </cell>
          <cell r="V782">
            <v>2</v>
          </cell>
          <cell r="W782">
            <v>0</v>
          </cell>
          <cell r="X782">
            <v>0</v>
          </cell>
          <cell r="Y782">
            <v>0</v>
          </cell>
          <cell r="Z782">
            <v>18</v>
          </cell>
          <cell r="AA782">
            <v>20</v>
          </cell>
          <cell r="AB782">
            <v>4</v>
          </cell>
          <cell r="AC782">
            <v>0</v>
          </cell>
          <cell r="AD782">
            <v>-20</v>
          </cell>
        </row>
        <row r="783">
          <cell r="A783" t="str">
            <v>33.11.10263.00</v>
          </cell>
          <cell r="B783" t="str">
            <v>PROTECAO MOTOR / 33.11.10263.00</v>
          </cell>
          <cell r="D783" t="str">
            <v>-</v>
          </cell>
          <cell r="E783" t="str">
            <v>-</v>
          </cell>
          <cell r="F783" t="str">
            <v>-</v>
          </cell>
          <cell r="G783" t="str">
            <v>-</v>
          </cell>
          <cell r="H783" t="str">
            <v>-</v>
          </cell>
          <cell r="I783" t="str">
            <v>-</v>
          </cell>
          <cell r="J783">
            <v>0</v>
          </cell>
          <cell r="K783">
            <v>1</v>
          </cell>
          <cell r="L783" t="str">
            <v>ENTREGA PARCIAL</v>
          </cell>
          <cell r="M783">
            <v>2</v>
          </cell>
          <cell r="N783" t="str">
            <v>OC'S METALFISA</v>
          </cell>
          <cell r="O783">
            <v>9</v>
          </cell>
          <cell r="P783" t="str">
            <v>OC'S GRANATO</v>
          </cell>
          <cell r="Q783" t="str">
            <v>-</v>
          </cell>
          <cell r="S783" t="str">
            <v>-</v>
          </cell>
          <cell r="U783">
            <v>11</v>
          </cell>
          <cell r="V783">
            <v>3</v>
          </cell>
          <cell r="W783">
            <v>0</v>
          </cell>
          <cell r="X783">
            <v>0</v>
          </cell>
          <cell r="Y783">
            <v>0</v>
          </cell>
          <cell r="Z783">
            <v>9</v>
          </cell>
          <cell r="AA783">
            <v>12</v>
          </cell>
          <cell r="AB783">
            <v>1</v>
          </cell>
          <cell r="AC783">
            <v>2</v>
          </cell>
          <cell r="AD783">
            <v>-10</v>
          </cell>
        </row>
        <row r="784">
          <cell r="A784" t="str">
            <v>33.11.10270.00</v>
          </cell>
          <cell r="B784" t="str">
            <v>VEDACAO MOTOR / 33.11.10270.00</v>
          </cell>
          <cell r="C784">
            <v>46066</v>
          </cell>
          <cell r="D784" t="str">
            <v>-</v>
          </cell>
          <cell r="E784" t="str">
            <v>-</v>
          </cell>
          <cell r="F784" t="str">
            <v>-</v>
          </cell>
          <cell r="G784" t="str">
            <v>-</v>
          </cell>
          <cell r="H784" t="str">
            <v>-</v>
          </cell>
          <cell r="I784" t="str">
            <v>-</v>
          </cell>
          <cell r="J784">
            <v>0</v>
          </cell>
          <cell r="K784">
            <v>16</v>
          </cell>
          <cell r="L784" t="str">
            <v>ENTREGA PARCIAL</v>
          </cell>
          <cell r="M784">
            <v>4</v>
          </cell>
          <cell r="N784" t="str">
            <v>OC'S METALFISA</v>
          </cell>
          <cell r="O784">
            <v>18</v>
          </cell>
          <cell r="P784" t="str">
            <v>OC'S GRANATO</v>
          </cell>
          <cell r="Q784" t="str">
            <v>-</v>
          </cell>
          <cell r="S784" t="str">
            <v>-</v>
          </cell>
          <cell r="U784">
            <v>22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18</v>
          </cell>
          <cell r="AA784">
            <v>18</v>
          </cell>
          <cell r="AB784">
            <v>0</v>
          </cell>
          <cell r="AC784">
            <v>12</v>
          </cell>
          <cell r="AD784">
            <v>-6</v>
          </cell>
        </row>
        <row r="785">
          <cell r="A785" t="str">
            <v>33.11.10272.01</v>
          </cell>
          <cell r="B785" t="str">
            <v>LIGACAO COLUNA / 33.11.10272.01</v>
          </cell>
          <cell r="C785">
            <v>46076</v>
          </cell>
          <cell r="D785" t="str">
            <v>-</v>
          </cell>
          <cell r="E785" t="str">
            <v>-</v>
          </cell>
          <cell r="F785" t="str">
            <v>-</v>
          </cell>
          <cell r="G785" t="str">
            <v>-</v>
          </cell>
          <cell r="H785" t="str">
            <v>-</v>
          </cell>
          <cell r="I785" t="str">
            <v>-</v>
          </cell>
          <cell r="J785">
            <v>0</v>
          </cell>
          <cell r="K785">
            <v>6</v>
          </cell>
          <cell r="L785" t="str">
            <v>ENTREGA PARCIAL</v>
          </cell>
          <cell r="M785">
            <v>2</v>
          </cell>
          <cell r="N785" t="str">
            <v>OC'S METALFISA</v>
          </cell>
          <cell r="O785">
            <v>9</v>
          </cell>
          <cell r="P785" t="str">
            <v>OC'S GRANATO</v>
          </cell>
          <cell r="Q785" t="str">
            <v>-</v>
          </cell>
          <cell r="S785" t="str">
            <v>-</v>
          </cell>
          <cell r="U785">
            <v>11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9</v>
          </cell>
          <cell r="AA785">
            <v>9</v>
          </cell>
          <cell r="AB785">
            <v>0</v>
          </cell>
          <cell r="AC785">
            <v>4</v>
          </cell>
          <cell r="AD785">
            <v>-5</v>
          </cell>
        </row>
        <row r="786">
          <cell r="A786" t="str">
            <v>33.11.10275.00</v>
          </cell>
          <cell r="B786" t="str">
            <v>CAIXA X-DAQ / 33.11.10275.00</v>
          </cell>
          <cell r="C786">
            <v>46074</v>
          </cell>
          <cell r="D786" t="str">
            <v>-</v>
          </cell>
          <cell r="E786" t="str">
            <v>-</v>
          </cell>
          <cell r="F786" t="str">
            <v>-</v>
          </cell>
          <cell r="G786" t="str">
            <v>-</v>
          </cell>
          <cell r="H786" t="str">
            <v>-</v>
          </cell>
          <cell r="I786" t="str">
            <v>-</v>
          </cell>
          <cell r="J786">
            <v>0</v>
          </cell>
          <cell r="K786">
            <v>10</v>
          </cell>
          <cell r="L786" t="str">
            <v>ENTREGA PARCIAL</v>
          </cell>
          <cell r="M786">
            <v>2</v>
          </cell>
          <cell r="N786" t="str">
            <v>OC'S METALFISA</v>
          </cell>
          <cell r="O786">
            <v>10</v>
          </cell>
          <cell r="P786" t="str">
            <v>OC'S GRANATO</v>
          </cell>
          <cell r="Q786" t="str">
            <v>-</v>
          </cell>
          <cell r="S786" t="str">
            <v>-</v>
          </cell>
          <cell r="U786">
            <v>12</v>
          </cell>
          <cell r="V786">
            <v>1</v>
          </cell>
          <cell r="W786">
            <v>0</v>
          </cell>
          <cell r="X786">
            <v>0</v>
          </cell>
          <cell r="Y786">
            <v>0</v>
          </cell>
          <cell r="Z786">
            <v>9</v>
          </cell>
          <cell r="AA786">
            <v>10</v>
          </cell>
          <cell r="AB786">
            <v>0</v>
          </cell>
          <cell r="AC786">
            <v>8</v>
          </cell>
          <cell r="AD786">
            <v>-2</v>
          </cell>
        </row>
        <row r="787">
          <cell r="A787" t="str">
            <v>33.11.10277.00</v>
          </cell>
          <cell r="B787" t="str">
            <v>TAMPA DA CAIXA X-DAQ / 33.11.10277.00</v>
          </cell>
          <cell r="C787">
            <v>46072</v>
          </cell>
          <cell r="D787" t="str">
            <v>-</v>
          </cell>
          <cell r="E787" t="str">
            <v>-</v>
          </cell>
          <cell r="F787" t="str">
            <v>-</v>
          </cell>
          <cell r="G787" t="str">
            <v>-</v>
          </cell>
          <cell r="H787" t="str">
            <v>-</v>
          </cell>
          <cell r="I787" t="str">
            <v>-</v>
          </cell>
          <cell r="J787">
            <v>0</v>
          </cell>
          <cell r="K787">
            <v>8</v>
          </cell>
          <cell r="L787" t="str">
            <v>ENTREGA PARCIAL</v>
          </cell>
          <cell r="M787">
            <v>2</v>
          </cell>
          <cell r="N787" t="str">
            <v>OC'S METALFISA</v>
          </cell>
          <cell r="O787">
            <v>9</v>
          </cell>
          <cell r="P787" t="str">
            <v>OC'S GRANATO</v>
          </cell>
          <cell r="Q787" t="str">
            <v>-</v>
          </cell>
          <cell r="S787" t="str">
            <v>-</v>
          </cell>
          <cell r="U787">
            <v>11</v>
          </cell>
          <cell r="V787">
            <v>1</v>
          </cell>
          <cell r="W787">
            <v>0</v>
          </cell>
          <cell r="X787">
            <v>0</v>
          </cell>
          <cell r="Y787">
            <v>0</v>
          </cell>
          <cell r="Z787">
            <v>9</v>
          </cell>
          <cell r="AA787">
            <v>10</v>
          </cell>
          <cell r="AB787">
            <v>0</v>
          </cell>
          <cell r="AC787">
            <v>7</v>
          </cell>
          <cell r="AD787">
            <v>-3</v>
          </cell>
        </row>
        <row r="788">
          <cell r="A788" t="str">
            <v>33.11.10283.00</v>
          </cell>
          <cell r="B788" t="str">
            <v>TRAVA DO TUNEL / 33.11.10283.00</v>
          </cell>
          <cell r="C788">
            <v>46076</v>
          </cell>
          <cell r="D788" t="str">
            <v>-</v>
          </cell>
          <cell r="E788" t="str">
            <v>-</v>
          </cell>
          <cell r="F788" t="str">
            <v>-</v>
          </cell>
          <cell r="G788" t="str">
            <v>-</v>
          </cell>
          <cell r="H788" t="str">
            <v>-</v>
          </cell>
          <cell r="I788" t="str">
            <v>-</v>
          </cell>
          <cell r="J788">
            <v>0</v>
          </cell>
          <cell r="K788">
            <v>14</v>
          </cell>
          <cell r="L788" t="str">
            <v>ENTREGA PARCIAL</v>
          </cell>
          <cell r="M788">
            <v>2</v>
          </cell>
          <cell r="N788" t="str">
            <v>OC'S METALFISA</v>
          </cell>
          <cell r="O788">
            <v>18</v>
          </cell>
          <cell r="P788" t="str">
            <v>OC'S GRANATO</v>
          </cell>
          <cell r="Q788" t="str">
            <v>-</v>
          </cell>
          <cell r="S788" t="str">
            <v>-</v>
          </cell>
          <cell r="U788">
            <v>20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12</v>
          </cell>
          <cell r="AA788">
            <v>12</v>
          </cell>
          <cell r="AB788">
            <v>0</v>
          </cell>
          <cell r="AC788">
            <v>6</v>
          </cell>
          <cell r="AD788">
            <v>-6</v>
          </cell>
        </row>
        <row r="789">
          <cell r="A789" t="str">
            <v>33.11.10284.00</v>
          </cell>
          <cell r="B789" t="str">
            <v>BANDEJA DO CHILLER / 33.11.10284.00</v>
          </cell>
          <cell r="C789">
            <v>46066</v>
          </cell>
          <cell r="D789" t="str">
            <v>-</v>
          </cell>
          <cell r="E789" t="str">
            <v>-</v>
          </cell>
          <cell r="F789" t="str">
            <v>-</v>
          </cell>
          <cell r="G789" t="str">
            <v>-</v>
          </cell>
          <cell r="H789" t="str">
            <v>-</v>
          </cell>
          <cell r="I789" t="str">
            <v>-</v>
          </cell>
          <cell r="J789">
            <v>0</v>
          </cell>
          <cell r="K789">
            <v>9</v>
          </cell>
          <cell r="L789" t="str">
            <v>ENTREGA PARCIAL</v>
          </cell>
          <cell r="M789">
            <v>2</v>
          </cell>
          <cell r="N789" t="str">
            <v>OC'S METALFISA</v>
          </cell>
          <cell r="O789">
            <v>11</v>
          </cell>
          <cell r="P789" t="str">
            <v>OC'S GRANATO</v>
          </cell>
          <cell r="Q789" t="str">
            <v>-</v>
          </cell>
          <cell r="S789" t="str">
            <v>-</v>
          </cell>
          <cell r="U789">
            <v>13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9</v>
          </cell>
          <cell r="AA789">
            <v>9</v>
          </cell>
          <cell r="AB789">
            <v>0</v>
          </cell>
          <cell r="AC789">
            <v>5</v>
          </cell>
          <cell r="AD789">
            <v>-4</v>
          </cell>
        </row>
        <row r="790">
          <cell r="A790" t="str">
            <v>33.11.10286.00</v>
          </cell>
          <cell r="B790" t="str">
            <v>BANDEJA / 33.11.10286.00</v>
          </cell>
          <cell r="C790">
            <v>46074</v>
          </cell>
          <cell r="D790" t="str">
            <v>-</v>
          </cell>
          <cell r="E790" t="str">
            <v>-</v>
          </cell>
          <cell r="F790" t="str">
            <v>-</v>
          </cell>
          <cell r="G790" t="str">
            <v>-</v>
          </cell>
          <cell r="H790" t="str">
            <v>-</v>
          </cell>
          <cell r="I790" t="str">
            <v>-</v>
          </cell>
          <cell r="J790">
            <v>0</v>
          </cell>
          <cell r="K790">
            <v>6</v>
          </cell>
          <cell r="L790" t="str">
            <v>ENTREGA PARCIAL</v>
          </cell>
          <cell r="M790">
            <v>2</v>
          </cell>
          <cell r="N790" t="str">
            <v>OC'S METALFISA</v>
          </cell>
          <cell r="O790">
            <v>9</v>
          </cell>
          <cell r="P790" t="str">
            <v>OC'S GRANATO</v>
          </cell>
          <cell r="Q790" t="str">
            <v>-</v>
          </cell>
          <cell r="S790" t="str">
            <v>-</v>
          </cell>
          <cell r="U790">
            <v>11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9</v>
          </cell>
          <cell r="AA790">
            <v>9</v>
          </cell>
          <cell r="AB790">
            <v>0</v>
          </cell>
          <cell r="AC790">
            <v>4</v>
          </cell>
          <cell r="AD790">
            <v>-5</v>
          </cell>
        </row>
        <row r="791">
          <cell r="A791" t="str">
            <v>33.11.10287.00</v>
          </cell>
          <cell r="B791" t="str">
            <v>BANDEJA DO TRANSFORMADOR / 33.11.10287.00</v>
          </cell>
          <cell r="C791">
            <v>46059</v>
          </cell>
          <cell r="D791" t="str">
            <v>-</v>
          </cell>
          <cell r="E791" t="str">
            <v>-</v>
          </cell>
          <cell r="F791" t="str">
            <v>-</v>
          </cell>
          <cell r="G791" t="str">
            <v>-</v>
          </cell>
          <cell r="H791" t="str">
            <v>-</v>
          </cell>
          <cell r="I791" t="str">
            <v>-</v>
          </cell>
          <cell r="J791">
            <v>0</v>
          </cell>
          <cell r="K791">
            <v>6</v>
          </cell>
          <cell r="L791" t="str">
            <v>ENTREGA PARCIAL</v>
          </cell>
          <cell r="M791">
            <v>2</v>
          </cell>
          <cell r="N791" t="str">
            <v>OC'S METALFISA</v>
          </cell>
          <cell r="O791">
            <v>11</v>
          </cell>
          <cell r="P791" t="str">
            <v>OC'S GRANATO</v>
          </cell>
          <cell r="Q791" t="str">
            <v>-</v>
          </cell>
          <cell r="S791" t="str">
            <v>-</v>
          </cell>
          <cell r="U791">
            <v>13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9</v>
          </cell>
          <cell r="AA791">
            <v>9</v>
          </cell>
          <cell r="AB791">
            <v>0</v>
          </cell>
          <cell r="AC791">
            <v>2</v>
          </cell>
          <cell r="AD791">
            <v>-7</v>
          </cell>
        </row>
        <row r="792">
          <cell r="A792" t="str">
            <v>33.11.10288.00</v>
          </cell>
          <cell r="B792" t="str">
            <v>TRILHO PARA GERADOR 320 KV/33.11.10288.00</v>
          </cell>
          <cell r="D792" t="str">
            <v>-</v>
          </cell>
          <cell r="E792" t="str">
            <v>-</v>
          </cell>
          <cell r="F792" t="str">
            <v>-</v>
          </cell>
          <cell r="G792" t="str">
            <v>-</v>
          </cell>
          <cell r="H792" t="str">
            <v>-</v>
          </cell>
          <cell r="I792" t="str">
            <v>-</v>
          </cell>
          <cell r="J792">
            <v>0</v>
          </cell>
          <cell r="K792">
            <v>8</v>
          </cell>
          <cell r="L792" t="str">
            <v>FALTA ENTREGA</v>
          </cell>
          <cell r="M792">
            <v>4</v>
          </cell>
          <cell r="N792" t="str">
            <v>OC'S METALFISA</v>
          </cell>
          <cell r="O792">
            <v>16</v>
          </cell>
          <cell r="P792" t="str">
            <v>OC'S GRANATO</v>
          </cell>
          <cell r="Q792" t="str">
            <v>-</v>
          </cell>
          <cell r="S792" t="str">
            <v>-</v>
          </cell>
          <cell r="U792">
            <v>20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12</v>
          </cell>
          <cell r="AA792">
            <v>12</v>
          </cell>
          <cell r="AB792">
            <v>0</v>
          </cell>
          <cell r="AC792">
            <v>0</v>
          </cell>
          <cell r="AD792">
            <v>-12</v>
          </cell>
        </row>
        <row r="793">
          <cell r="A793" t="str">
            <v>33.11.10290.00</v>
          </cell>
          <cell r="B793" t="str">
            <v>ARMACAO DO TRILHO DO GERADOR/33.11.10290.00</v>
          </cell>
          <cell r="C793">
            <v>46059</v>
          </cell>
          <cell r="D793" t="str">
            <v>-</v>
          </cell>
          <cell r="E793" t="str">
            <v>-</v>
          </cell>
          <cell r="F793" t="str">
            <v>-</v>
          </cell>
          <cell r="G793" t="str">
            <v>-</v>
          </cell>
          <cell r="H793" t="str">
            <v>-</v>
          </cell>
          <cell r="I793" t="str">
            <v>-</v>
          </cell>
          <cell r="J793">
            <v>0</v>
          </cell>
          <cell r="K793">
            <v>6</v>
          </cell>
          <cell r="L793" t="str">
            <v>ENTREGA PARCIAL</v>
          </cell>
          <cell r="M793">
            <v>2</v>
          </cell>
          <cell r="N793" t="str">
            <v>OC'S METALFISA</v>
          </cell>
          <cell r="O793">
            <v>8</v>
          </cell>
          <cell r="P793" t="str">
            <v>OC'S GRANATO</v>
          </cell>
          <cell r="Q793" t="str">
            <v>-</v>
          </cell>
          <cell r="S793" t="str">
            <v>-</v>
          </cell>
          <cell r="U793">
            <v>10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6</v>
          </cell>
          <cell r="AA793">
            <v>6</v>
          </cell>
          <cell r="AB793">
            <v>0</v>
          </cell>
          <cell r="AC793">
            <v>2</v>
          </cell>
          <cell r="AD793">
            <v>-4</v>
          </cell>
        </row>
        <row r="794">
          <cell r="A794" t="str">
            <v>33.11.10298.00</v>
          </cell>
          <cell r="B794" t="str">
            <v>TRAVA GERADOR/33.11.10298.00</v>
          </cell>
          <cell r="C794">
            <v>46066</v>
          </cell>
          <cell r="D794" t="str">
            <v>-</v>
          </cell>
          <cell r="E794" t="str">
            <v>-</v>
          </cell>
          <cell r="F794" t="str">
            <v>-</v>
          </cell>
          <cell r="G794" t="str">
            <v>-</v>
          </cell>
          <cell r="H794" t="str">
            <v>-</v>
          </cell>
          <cell r="I794" t="str">
            <v>-</v>
          </cell>
          <cell r="J794">
            <v>0</v>
          </cell>
          <cell r="K794">
            <v>96</v>
          </cell>
          <cell r="L794" t="str">
            <v>ENTREGA PARCIAL</v>
          </cell>
          <cell r="M794" t="str">
            <v>-</v>
          </cell>
          <cell r="N794" t="str">
            <v>OC'S METALFISA</v>
          </cell>
          <cell r="O794">
            <v>128</v>
          </cell>
          <cell r="P794" t="str">
            <v>OC'S GRANATO</v>
          </cell>
          <cell r="Q794" t="str">
            <v>-</v>
          </cell>
          <cell r="S794" t="str">
            <v>-</v>
          </cell>
          <cell r="U794">
            <v>128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64</v>
          </cell>
          <cell r="AA794">
            <v>64</v>
          </cell>
          <cell r="AB794">
            <v>0</v>
          </cell>
          <cell r="AC794">
            <v>32</v>
          </cell>
          <cell r="AD794">
            <v>-32</v>
          </cell>
        </row>
        <row r="795">
          <cell r="A795" t="str">
            <v>33.11.10302.00</v>
          </cell>
          <cell r="B795" t="str">
            <v>REFORCO/33.11.10302.00</v>
          </cell>
          <cell r="C795">
            <v>46066</v>
          </cell>
          <cell r="D795" t="str">
            <v>-</v>
          </cell>
          <cell r="E795" t="str">
            <v>-</v>
          </cell>
          <cell r="F795" t="str">
            <v>-</v>
          </cell>
          <cell r="G795" t="str">
            <v>-</v>
          </cell>
          <cell r="H795" t="str">
            <v>-</v>
          </cell>
          <cell r="I795" t="str">
            <v>-</v>
          </cell>
          <cell r="J795">
            <v>0</v>
          </cell>
          <cell r="K795">
            <v>12</v>
          </cell>
          <cell r="L795" t="str">
            <v>ENTREGA PARCIAL</v>
          </cell>
          <cell r="M795" t="str">
            <v>-</v>
          </cell>
          <cell r="N795" t="str">
            <v>OC'S METALFISA</v>
          </cell>
          <cell r="O795">
            <v>16</v>
          </cell>
          <cell r="P795" t="str">
            <v>OC'S GRANATO</v>
          </cell>
          <cell r="Q795" t="str">
            <v>-</v>
          </cell>
          <cell r="S795" t="str">
            <v>-</v>
          </cell>
          <cell r="U795">
            <v>16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8</v>
          </cell>
          <cell r="AA795">
            <v>8</v>
          </cell>
          <cell r="AB795">
            <v>0</v>
          </cell>
          <cell r="AC795">
            <v>4</v>
          </cell>
          <cell r="AD795">
            <v>-4</v>
          </cell>
        </row>
        <row r="796">
          <cell r="A796" t="str">
            <v>33.11.10303.01</v>
          </cell>
          <cell r="B796" t="str">
            <v>LIGACAO COLUNA / 33.11.10303.01</v>
          </cell>
          <cell r="C796">
            <v>46069</v>
          </cell>
          <cell r="D796" t="str">
            <v>-</v>
          </cell>
          <cell r="E796" t="str">
            <v>-</v>
          </cell>
          <cell r="F796" t="str">
            <v>-</v>
          </cell>
          <cell r="G796" t="str">
            <v>-</v>
          </cell>
          <cell r="H796" t="str">
            <v>-</v>
          </cell>
          <cell r="I796" t="str">
            <v>-</v>
          </cell>
          <cell r="J796">
            <v>0</v>
          </cell>
          <cell r="K796">
            <v>5</v>
          </cell>
          <cell r="L796" t="str">
            <v>ENTREGA PARCIAL</v>
          </cell>
          <cell r="M796" t="str">
            <v>-</v>
          </cell>
          <cell r="N796" t="str">
            <v>OC'S METALFISA</v>
          </cell>
          <cell r="O796">
            <v>6</v>
          </cell>
          <cell r="P796" t="str">
            <v>OC'S GRANATO</v>
          </cell>
          <cell r="Q796" t="str">
            <v>-</v>
          </cell>
          <cell r="S796" t="str">
            <v>-</v>
          </cell>
          <cell r="U796">
            <v>6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6</v>
          </cell>
          <cell r="AA796">
            <v>6</v>
          </cell>
          <cell r="AB796">
            <v>0</v>
          </cell>
          <cell r="AC796">
            <v>5</v>
          </cell>
          <cell r="AD796">
            <v>-1</v>
          </cell>
        </row>
        <row r="797">
          <cell r="A797" t="str">
            <v>33.11.10314.02</v>
          </cell>
          <cell r="B797" t="str">
            <v>ACABAMENTO SUPERIOR / 33.11.10314.02</v>
          </cell>
          <cell r="C797">
            <v>46072</v>
          </cell>
          <cell r="D797" t="str">
            <v>-</v>
          </cell>
          <cell r="E797" t="str">
            <v>-</v>
          </cell>
          <cell r="F797" t="str">
            <v>-</v>
          </cell>
          <cell r="G797" t="str">
            <v>-</v>
          </cell>
          <cell r="H797" t="str">
            <v>-</v>
          </cell>
          <cell r="I797" t="str">
            <v>-</v>
          </cell>
          <cell r="J797">
            <v>0</v>
          </cell>
          <cell r="K797">
            <v>18</v>
          </cell>
          <cell r="L797" t="str">
            <v>ENTREGA PARCIAL</v>
          </cell>
          <cell r="M797">
            <v>4</v>
          </cell>
          <cell r="N797" t="str">
            <v>OC'S METALFISA</v>
          </cell>
          <cell r="O797">
            <v>41</v>
          </cell>
          <cell r="P797" t="str">
            <v>OC'S GRANATO</v>
          </cell>
          <cell r="Q797" t="str">
            <v>-</v>
          </cell>
          <cell r="S797" t="str">
            <v>-</v>
          </cell>
          <cell r="U797">
            <v>45</v>
          </cell>
          <cell r="V797">
            <v>5</v>
          </cell>
          <cell r="W797">
            <v>0</v>
          </cell>
          <cell r="X797">
            <v>0</v>
          </cell>
          <cell r="Y797">
            <v>0</v>
          </cell>
          <cell r="Z797">
            <v>30</v>
          </cell>
          <cell r="AA797">
            <v>35</v>
          </cell>
          <cell r="AB797">
            <v>0</v>
          </cell>
          <cell r="AC797">
            <v>8</v>
          </cell>
          <cell r="AD797">
            <v>-27</v>
          </cell>
        </row>
        <row r="798">
          <cell r="A798" t="str">
            <v>33.11.10322.01</v>
          </cell>
          <cell r="B798" t="str">
            <v>ACABAMENTO SUPERIOR / 33.11.10322.01</v>
          </cell>
          <cell r="C798">
            <v>46072</v>
          </cell>
          <cell r="D798" t="str">
            <v>-</v>
          </cell>
          <cell r="E798" t="str">
            <v>-</v>
          </cell>
          <cell r="F798" t="str">
            <v>-</v>
          </cell>
          <cell r="G798" t="str">
            <v>-</v>
          </cell>
          <cell r="H798" t="str">
            <v>-</v>
          </cell>
          <cell r="I798" t="str">
            <v>-</v>
          </cell>
          <cell r="J798">
            <v>0</v>
          </cell>
          <cell r="K798">
            <v>9</v>
          </cell>
          <cell r="L798" t="str">
            <v>ENTREGA PARCIAL</v>
          </cell>
          <cell r="M798">
            <v>2</v>
          </cell>
          <cell r="N798" t="str">
            <v>OC'S METALFISA</v>
          </cell>
          <cell r="O798">
            <v>11</v>
          </cell>
          <cell r="P798" t="str">
            <v>OC'S GRANATO</v>
          </cell>
          <cell r="Q798" t="str">
            <v>-</v>
          </cell>
          <cell r="S798" t="str">
            <v>-</v>
          </cell>
          <cell r="U798">
            <v>13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6</v>
          </cell>
          <cell r="AA798">
            <v>6</v>
          </cell>
          <cell r="AB798">
            <v>0</v>
          </cell>
          <cell r="AC798">
            <v>2</v>
          </cell>
          <cell r="AD798">
            <v>-4</v>
          </cell>
        </row>
        <row r="799">
          <cell r="A799" t="str">
            <v>33.11.10347.00</v>
          </cell>
          <cell r="B799" t="str">
            <v>REFORCO / 33.11.10347.00</v>
          </cell>
          <cell r="D799" t="str">
            <v>-</v>
          </cell>
          <cell r="E799" t="str">
            <v>-</v>
          </cell>
          <cell r="F799" t="str">
            <v>-</v>
          </cell>
          <cell r="G799" t="str">
            <v>-</v>
          </cell>
          <cell r="H799" t="str">
            <v>-</v>
          </cell>
          <cell r="I799" t="str">
            <v>-</v>
          </cell>
          <cell r="J799">
            <v>0</v>
          </cell>
          <cell r="K799">
            <v>16</v>
          </cell>
          <cell r="L799" t="str">
            <v>FALTA ENTREGA</v>
          </cell>
          <cell r="M799" t="str">
            <v>-</v>
          </cell>
          <cell r="N799" t="str">
            <v>OC'S METALFISA</v>
          </cell>
          <cell r="O799">
            <v>32</v>
          </cell>
          <cell r="P799" t="str">
            <v>OC'S GRANATO</v>
          </cell>
          <cell r="Q799" t="str">
            <v>-</v>
          </cell>
          <cell r="S799" t="str">
            <v>-</v>
          </cell>
          <cell r="U799">
            <v>32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16</v>
          </cell>
          <cell r="AA799">
            <v>16</v>
          </cell>
          <cell r="AB799">
            <v>0</v>
          </cell>
          <cell r="AC799">
            <v>0</v>
          </cell>
          <cell r="AD799">
            <v>-16</v>
          </cell>
        </row>
        <row r="800">
          <cell r="A800" t="str">
            <v>33.11.10351.00</v>
          </cell>
          <cell r="B800" t="str">
            <v>TRAVA PORTA / 33.11.10351.00</v>
          </cell>
          <cell r="C800">
            <v>46076</v>
          </cell>
          <cell r="D800" t="str">
            <v>-</v>
          </cell>
          <cell r="E800" t="str">
            <v>-</v>
          </cell>
          <cell r="F800" t="str">
            <v>-</v>
          </cell>
          <cell r="G800" t="str">
            <v>-</v>
          </cell>
          <cell r="H800" t="str">
            <v>-</v>
          </cell>
          <cell r="I800" t="str">
            <v>-</v>
          </cell>
          <cell r="J800">
            <v>0</v>
          </cell>
          <cell r="K800">
            <v>18</v>
          </cell>
          <cell r="L800" t="str">
            <v>ENTREGA PARCIAL</v>
          </cell>
          <cell r="M800" t="str">
            <v>-</v>
          </cell>
          <cell r="N800" t="str">
            <v>OC'S METALFISA</v>
          </cell>
          <cell r="O800">
            <v>32</v>
          </cell>
          <cell r="P800" t="str">
            <v>OC'S GRANATO</v>
          </cell>
          <cell r="Q800" t="str">
            <v>-</v>
          </cell>
          <cell r="S800" t="str">
            <v>-</v>
          </cell>
          <cell r="U800">
            <v>32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20</v>
          </cell>
          <cell r="AA800">
            <v>20</v>
          </cell>
          <cell r="AB800">
            <v>0</v>
          </cell>
          <cell r="AC800">
            <v>6</v>
          </cell>
          <cell r="AD800">
            <v>-14</v>
          </cell>
        </row>
        <row r="801">
          <cell r="A801" t="str">
            <v>33.11.10353.00</v>
          </cell>
          <cell r="B801" t="str">
            <v>TRAVA ESTRUTURA / 33.11.10353.00</v>
          </cell>
          <cell r="C801">
            <v>46069</v>
          </cell>
          <cell r="D801" t="str">
            <v>-</v>
          </cell>
          <cell r="E801" t="str">
            <v>-</v>
          </cell>
          <cell r="F801" t="str">
            <v>-</v>
          </cell>
          <cell r="G801" t="str">
            <v>-</v>
          </cell>
          <cell r="H801" t="str">
            <v>-</v>
          </cell>
          <cell r="I801" t="str">
            <v>-</v>
          </cell>
          <cell r="J801">
            <v>0</v>
          </cell>
          <cell r="K801">
            <v>7</v>
          </cell>
          <cell r="L801" t="str">
            <v>ENTREGA PARCIAL</v>
          </cell>
          <cell r="M801">
            <v>2</v>
          </cell>
          <cell r="N801" t="str">
            <v>OC'S METALFISA</v>
          </cell>
          <cell r="O801">
            <v>10</v>
          </cell>
          <cell r="P801" t="str">
            <v>OC'S GRANATO</v>
          </cell>
          <cell r="Q801" t="str">
            <v>-</v>
          </cell>
          <cell r="S801" t="str">
            <v>-</v>
          </cell>
          <cell r="U801">
            <v>12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9</v>
          </cell>
          <cell r="AA801">
            <v>9</v>
          </cell>
          <cell r="AB801">
            <v>0</v>
          </cell>
          <cell r="AC801">
            <v>4</v>
          </cell>
          <cell r="AD801">
            <v>-5</v>
          </cell>
        </row>
        <row r="802">
          <cell r="A802" t="str">
            <v>33.11.10380.00</v>
          </cell>
          <cell r="B802" t="str">
            <v>TAMPA LUMINARIA 180180 /  33.11.10380.00</v>
          </cell>
          <cell r="C802">
            <v>46059</v>
          </cell>
          <cell r="D802" t="str">
            <v>-</v>
          </cell>
          <cell r="E802" t="str">
            <v>-</v>
          </cell>
          <cell r="F802" t="str">
            <v>-</v>
          </cell>
          <cell r="G802" t="str">
            <v>-</v>
          </cell>
          <cell r="H802" t="str">
            <v>-</v>
          </cell>
          <cell r="I802" t="str">
            <v>-</v>
          </cell>
          <cell r="J802">
            <v>0</v>
          </cell>
          <cell r="K802">
            <v>12</v>
          </cell>
          <cell r="L802" t="str">
            <v>ENTREGA PARCIAL</v>
          </cell>
          <cell r="M802">
            <v>2</v>
          </cell>
          <cell r="N802" t="str">
            <v>OC'S METALFISA</v>
          </cell>
          <cell r="O802">
            <v>21</v>
          </cell>
          <cell r="P802" t="str">
            <v>OC'S GRANATO</v>
          </cell>
          <cell r="Q802" t="str">
            <v>-</v>
          </cell>
          <cell r="S802" t="str">
            <v>-</v>
          </cell>
          <cell r="U802">
            <v>23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15</v>
          </cell>
          <cell r="AA802">
            <v>15</v>
          </cell>
          <cell r="AB802">
            <v>0</v>
          </cell>
          <cell r="AC802">
            <v>4</v>
          </cell>
          <cell r="AD802">
            <v>-11</v>
          </cell>
        </row>
        <row r="803">
          <cell r="A803" t="str">
            <v>33.11.10382.00</v>
          </cell>
          <cell r="B803" t="str">
            <v>PESCOCO DV / 33.11.10382.00</v>
          </cell>
          <cell r="C803">
            <v>46064</v>
          </cell>
          <cell r="D803" t="str">
            <v>-</v>
          </cell>
          <cell r="E803" t="str">
            <v>-</v>
          </cell>
          <cell r="F803" t="str">
            <v>-</v>
          </cell>
          <cell r="G803" t="str">
            <v>-</v>
          </cell>
          <cell r="H803" t="str">
            <v>-</v>
          </cell>
          <cell r="I803" t="str">
            <v>-</v>
          </cell>
          <cell r="J803">
            <v>0</v>
          </cell>
          <cell r="K803">
            <v>7</v>
          </cell>
          <cell r="L803" t="str">
            <v>ENTREGA PARCIAL</v>
          </cell>
          <cell r="M803" t="str">
            <v>-</v>
          </cell>
          <cell r="N803" t="str">
            <v>OC'S METALFISA</v>
          </cell>
          <cell r="O803">
            <v>9</v>
          </cell>
          <cell r="P803" t="str">
            <v>OC'S GRANATO</v>
          </cell>
          <cell r="Q803" t="str">
            <v>-</v>
          </cell>
          <cell r="S803" t="str">
            <v>-</v>
          </cell>
          <cell r="U803">
            <v>9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5</v>
          </cell>
          <cell r="AA803">
            <v>5</v>
          </cell>
          <cell r="AB803">
            <v>0</v>
          </cell>
          <cell r="AC803">
            <v>3</v>
          </cell>
          <cell r="AD803">
            <v>-2</v>
          </cell>
        </row>
        <row r="804">
          <cell r="A804" t="str">
            <v>33.11.10395.02</v>
          </cell>
          <cell r="B804" t="str">
            <v>TRAVA / 33.11.10395.02</v>
          </cell>
          <cell r="C804">
            <v>46069</v>
          </cell>
          <cell r="D804" t="str">
            <v>-</v>
          </cell>
          <cell r="E804" t="str">
            <v>-</v>
          </cell>
          <cell r="F804" t="str">
            <v>-</v>
          </cell>
          <cell r="G804" t="str">
            <v>-</v>
          </cell>
          <cell r="H804" t="str">
            <v>-</v>
          </cell>
          <cell r="I804" t="str">
            <v>-</v>
          </cell>
          <cell r="J804">
            <v>0</v>
          </cell>
          <cell r="K804">
            <v>6</v>
          </cell>
          <cell r="L804" t="str">
            <v>ENTREGA TOTAL</v>
          </cell>
          <cell r="M804" t="str">
            <v>-</v>
          </cell>
          <cell r="N804" t="str">
            <v>OC'S METALFISA</v>
          </cell>
          <cell r="O804">
            <v>6</v>
          </cell>
          <cell r="P804" t="str">
            <v>OC'S GRANATO</v>
          </cell>
          <cell r="Q804" t="str">
            <v>-</v>
          </cell>
          <cell r="S804" t="str">
            <v>-</v>
          </cell>
          <cell r="U804">
            <v>6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4</v>
          </cell>
          <cell r="AA804">
            <v>4</v>
          </cell>
          <cell r="AB804">
            <v>0</v>
          </cell>
          <cell r="AC804">
            <v>4</v>
          </cell>
          <cell r="AD804">
            <v>0</v>
          </cell>
        </row>
        <row r="805">
          <cell r="A805" t="str">
            <v>33.11.10396.01</v>
          </cell>
          <cell r="B805" t="str">
            <v>SUPORTE TUNEL / 33.11.10396.01</v>
          </cell>
          <cell r="C805">
            <v>46074</v>
          </cell>
          <cell r="D805" t="str">
            <v>-</v>
          </cell>
          <cell r="E805" t="str">
            <v>-</v>
          </cell>
          <cell r="F805" t="str">
            <v>-</v>
          </cell>
          <cell r="G805" t="str">
            <v>-</v>
          </cell>
          <cell r="H805" t="str">
            <v>-</v>
          </cell>
          <cell r="I805" t="str">
            <v>-</v>
          </cell>
          <cell r="J805">
            <v>0</v>
          </cell>
          <cell r="K805">
            <v>10</v>
          </cell>
          <cell r="L805" t="str">
            <v>ENTREGA TOTAL</v>
          </cell>
          <cell r="M805">
            <v>2</v>
          </cell>
          <cell r="N805" t="str">
            <v>OC'S METALFISA</v>
          </cell>
          <cell r="O805">
            <v>8</v>
          </cell>
          <cell r="P805" t="str">
            <v>OC'S GRANATO</v>
          </cell>
          <cell r="Q805" t="str">
            <v>-</v>
          </cell>
          <cell r="S805" t="str">
            <v>-</v>
          </cell>
          <cell r="U805">
            <v>10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6</v>
          </cell>
          <cell r="AA805">
            <v>6</v>
          </cell>
          <cell r="AB805">
            <v>0</v>
          </cell>
          <cell r="AC805">
            <v>6</v>
          </cell>
          <cell r="AD805">
            <v>0</v>
          </cell>
        </row>
        <row r="806">
          <cell r="A806" t="str">
            <v>33.11.10397.01</v>
          </cell>
          <cell r="B806" t="str">
            <v>BASE / 33.11.10397.01</v>
          </cell>
          <cell r="C806">
            <v>46074</v>
          </cell>
          <cell r="D806" t="str">
            <v>-</v>
          </cell>
          <cell r="E806" t="str">
            <v>-</v>
          </cell>
          <cell r="F806" t="str">
            <v>-</v>
          </cell>
          <cell r="G806" t="str">
            <v>-</v>
          </cell>
          <cell r="H806" t="str">
            <v>-</v>
          </cell>
          <cell r="I806" t="str">
            <v>-</v>
          </cell>
          <cell r="J806">
            <v>0</v>
          </cell>
          <cell r="K806">
            <v>5</v>
          </cell>
          <cell r="L806" t="str">
            <v>ENTREGA PARCIAL</v>
          </cell>
          <cell r="M806">
            <v>1</v>
          </cell>
          <cell r="N806" t="str">
            <v>OC'S METALFISA</v>
          </cell>
          <cell r="O806">
            <v>6</v>
          </cell>
          <cell r="P806" t="str">
            <v>OC'S GRANATO</v>
          </cell>
          <cell r="Q806" t="str">
            <v>-</v>
          </cell>
          <cell r="S806" t="str">
            <v>-</v>
          </cell>
          <cell r="U806">
            <v>7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3</v>
          </cell>
          <cell r="AA806">
            <v>3</v>
          </cell>
          <cell r="AB806">
            <v>0</v>
          </cell>
          <cell r="AC806">
            <v>1</v>
          </cell>
          <cell r="AD806">
            <v>-2</v>
          </cell>
        </row>
        <row r="807">
          <cell r="A807" t="str">
            <v>33.11.10398.01</v>
          </cell>
          <cell r="B807" t="str">
            <v>BASE / 33.11.10398.01</v>
          </cell>
          <cell r="C807">
            <v>46074</v>
          </cell>
          <cell r="D807" t="str">
            <v>-</v>
          </cell>
          <cell r="E807" t="str">
            <v>-</v>
          </cell>
          <cell r="F807" t="str">
            <v>-</v>
          </cell>
          <cell r="G807" t="str">
            <v>-</v>
          </cell>
          <cell r="H807" t="str">
            <v>-</v>
          </cell>
          <cell r="I807" t="str">
            <v>-</v>
          </cell>
          <cell r="J807">
            <v>0</v>
          </cell>
          <cell r="K807">
            <v>5</v>
          </cell>
          <cell r="L807" t="str">
            <v>ENTREGA PARCIAL</v>
          </cell>
          <cell r="M807">
            <v>1</v>
          </cell>
          <cell r="N807" t="str">
            <v>OC'S METALFISA</v>
          </cell>
          <cell r="O807">
            <v>6</v>
          </cell>
          <cell r="P807" t="str">
            <v>OC'S GRANATO</v>
          </cell>
          <cell r="Q807" t="str">
            <v>-</v>
          </cell>
          <cell r="S807" t="str">
            <v>-</v>
          </cell>
          <cell r="U807">
            <v>7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3</v>
          </cell>
          <cell r="AA807">
            <v>3</v>
          </cell>
          <cell r="AB807">
            <v>0</v>
          </cell>
          <cell r="AC807">
            <v>1</v>
          </cell>
          <cell r="AD807">
            <v>-2</v>
          </cell>
        </row>
        <row r="808">
          <cell r="A808" t="str">
            <v>33.11.10399.00</v>
          </cell>
          <cell r="B808" t="str">
            <v>TAMPA / 33.11.10399.00</v>
          </cell>
          <cell r="C808">
            <v>46074</v>
          </cell>
          <cell r="D808" t="str">
            <v>-</v>
          </cell>
          <cell r="E808" t="str">
            <v>-</v>
          </cell>
          <cell r="F808" t="str">
            <v>-</v>
          </cell>
          <cell r="G808" t="str">
            <v>-</v>
          </cell>
          <cell r="H808" t="str">
            <v>-</v>
          </cell>
          <cell r="I808" t="str">
            <v>-</v>
          </cell>
          <cell r="J808">
            <v>0</v>
          </cell>
          <cell r="K808">
            <v>8</v>
          </cell>
          <cell r="L808" t="str">
            <v>ENTREGA TOTAL</v>
          </cell>
          <cell r="M808" t="str">
            <v>-</v>
          </cell>
          <cell r="N808" t="str">
            <v>OC'S METALFISA</v>
          </cell>
          <cell r="O808">
            <v>8</v>
          </cell>
          <cell r="P808" t="str">
            <v>OC'S GRANATO</v>
          </cell>
          <cell r="Q808" t="str">
            <v>-</v>
          </cell>
          <cell r="S808" t="str">
            <v>-</v>
          </cell>
          <cell r="U808">
            <v>8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4</v>
          </cell>
          <cell r="AA808">
            <v>4</v>
          </cell>
          <cell r="AB808">
            <v>0</v>
          </cell>
          <cell r="AC808">
            <v>4</v>
          </cell>
          <cell r="AD808">
            <v>0</v>
          </cell>
        </row>
        <row r="809">
          <cell r="A809" t="str">
            <v>33.11.10400.00</v>
          </cell>
          <cell r="B809" t="str">
            <v>PARAFUSO DE REGULAGEM / 33.11.10400.00</v>
          </cell>
          <cell r="C809">
            <v>46076</v>
          </cell>
          <cell r="D809" t="str">
            <v>-</v>
          </cell>
          <cell r="E809" t="str">
            <v>-</v>
          </cell>
          <cell r="F809" t="str">
            <v>-</v>
          </cell>
          <cell r="G809" t="str">
            <v>-</v>
          </cell>
          <cell r="H809" t="str">
            <v>-</v>
          </cell>
          <cell r="I809" t="str">
            <v>-</v>
          </cell>
          <cell r="J809">
            <v>0</v>
          </cell>
          <cell r="K809">
            <v>8</v>
          </cell>
          <cell r="L809" t="str">
            <v>FALTA ENTREGA</v>
          </cell>
          <cell r="M809">
            <v>2</v>
          </cell>
          <cell r="N809" t="str">
            <v>OC'S METALFISA</v>
          </cell>
          <cell r="O809">
            <v>16</v>
          </cell>
          <cell r="P809" t="str">
            <v>OC'S GRANATO</v>
          </cell>
          <cell r="Q809" t="str">
            <v>-</v>
          </cell>
          <cell r="S809" t="str">
            <v>-</v>
          </cell>
          <cell r="U809">
            <v>18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10</v>
          </cell>
          <cell r="AA809">
            <v>10</v>
          </cell>
          <cell r="AB809">
            <v>0</v>
          </cell>
          <cell r="AC809">
            <v>0</v>
          </cell>
          <cell r="AD809">
            <v>-10</v>
          </cell>
        </row>
        <row r="810">
          <cell r="A810" t="str">
            <v>33.11.10402.01</v>
          </cell>
          <cell r="B810" t="str">
            <v>FIXACAO PESCOCO / 33.11.10402.01</v>
          </cell>
          <cell r="C810">
            <v>46066</v>
          </cell>
          <cell r="D810" t="str">
            <v>-</v>
          </cell>
          <cell r="E810" t="str">
            <v>-</v>
          </cell>
          <cell r="F810" t="str">
            <v>-</v>
          </cell>
          <cell r="G810" t="str">
            <v>-</v>
          </cell>
          <cell r="H810" t="str">
            <v>-</v>
          </cell>
          <cell r="I810" t="str">
            <v>-</v>
          </cell>
          <cell r="J810">
            <v>0</v>
          </cell>
          <cell r="K810">
            <v>6</v>
          </cell>
          <cell r="L810" t="str">
            <v>ENTREGA PARCIAL</v>
          </cell>
          <cell r="M810" t="str">
            <v>-</v>
          </cell>
          <cell r="N810" t="str">
            <v>OC'S METALFISA</v>
          </cell>
          <cell r="O810">
            <v>8</v>
          </cell>
          <cell r="P810" t="str">
            <v>OC'S GRANATO</v>
          </cell>
          <cell r="Q810" t="str">
            <v>-</v>
          </cell>
          <cell r="S810" t="str">
            <v>-</v>
          </cell>
          <cell r="U810">
            <v>8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4</v>
          </cell>
          <cell r="AA810">
            <v>4</v>
          </cell>
          <cell r="AB810">
            <v>0</v>
          </cell>
          <cell r="AC810">
            <v>2</v>
          </cell>
          <cell r="AD810">
            <v>-2</v>
          </cell>
        </row>
        <row r="811">
          <cell r="A811" t="str">
            <v>33.11.10403.01</v>
          </cell>
          <cell r="B811" t="str">
            <v>FIXACAO PESCOCO / 33.11.10403.01</v>
          </cell>
          <cell r="C811">
            <v>46066</v>
          </cell>
          <cell r="D811" t="str">
            <v>-</v>
          </cell>
          <cell r="E811" t="str">
            <v>-</v>
          </cell>
          <cell r="F811" t="str">
            <v>-</v>
          </cell>
          <cell r="G811" t="str">
            <v>-</v>
          </cell>
          <cell r="H811" t="str">
            <v>-</v>
          </cell>
          <cell r="I811" t="str">
            <v>-</v>
          </cell>
          <cell r="J811">
            <v>0</v>
          </cell>
          <cell r="K811">
            <v>6</v>
          </cell>
          <cell r="L811" t="str">
            <v>ENTREGA PARCIAL</v>
          </cell>
          <cell r="M811">
            <v>1</v>
          </cell>
          <cell r="N811" t="str">
            <v>OC'S METALFISA</v>
          </cell>
          <cell r="O811">
            <v>9</v>
          </cell>
          <cell r="P811" t="str">
            <v>OC'S GRANATO</v>
          </cell>
          <cell r="Q811" t="str">
            <v>-</v>
          </cell>
          <cell r="S811" t="str">
            <v>-</v>
          </cell>
          <cell r="U811">
            <v>10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6</v>
          </cell>
          <cell r="AA811">
            <v>6</v>
          </cell>
          <cell r="AB811">
            <v>0</v>
          </cell>
          <cell r="AC811">
            <v>2</v>
          </cell>
          <cell r="AD811">
            <v>-4</v>
          </cell>
        </row>
        <row r="812">
          <cell r="A812" t="str">
            <v>33.11.10404.00</v>
          </cell>
          <cell r="B812" t="str">
            <v>COLIMADOR / 33.11.10404.00</v>
          </cell>
          <cell r="C812">
            <v>46076</v>
          </cell>
          <cell r="D812" t="str">
            <v>-</v>
          </cell>
          <cell r="E812" t="str">
            <v>-</v>
          </cell>
          <cell r="F812" t="str">
            <v>-</v>
          </cell>
          <cell r="G812" t="str">
            <v>-</v>
          </cell>
          <cell r="H812" t="str">
            <v>-</v>
          </cell>
          <cell r="I812" t="str">
            <v>-</v>
          </cell>
          <cell r="J812">
            <v>0</v>
          </cell>
          <cell r="K812">
            <v>4</v>
          </cell>
          <cell r="L812" t="str">
            <v>FALTA ENTREGA</v>
          </cell>
          <cell r="M812">
            <v>2</v>
          </cell>
          <cell r="N812" t="str">
            <v>OC'S METALFISA</v>
          </cell>
          <cell r="O812">
            <v>8</v>
          </cell>
          <cell r="P812" t="str">
            <v>OC'S GRANATO</v>
          </cell>
          <cell r="Q812" t="str">
            <v>-</v>
          </cell>
          <cell r="S812" t="str">
            <v>-</v>
          </cell>
          <cell r="U812">
            <v>10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6</v>
          </cell>
          <cell r="AA812">
            <v>6</v>
          </cell>
          <cell r="AB812">
            <v>0</v>
          </cell>
          <cell r="AC812">
            <v>0</v>
          </cell>
          <cell r="AD812">
            <v>-6</v>
          </cell>
        </row>
        <row r="813">
          <cell r="A813" t="str">
            <v>33.11.10410.00</v>
          </cell>
          <cell r="B813" t="str">
            <v>CHAPA FIXA CHUMBO / 33.11.10410.00</v>
          </cell>
          <cell r="C813">
            <v>46074</v>
          </cell>
          <cell r="D813" t="str">
            <v>-</v>
          </cell>
          <cell r="E813" t="str">
            <v>-</v>
          </cell>
          <cell r="F813" t="str">
            <v>-</v>
          </cell>
          <cell r="G813" t="str">
            <v>-</v>
          </cell>
          <cell r="H813" t="str">
            <v>-</v>
          </cell>
          <cell r="I813" t="str">
            <v>-</v>
          </cell>
          <cell r="J813">
            <v>0</v>
          </cell>
          <cell r="K813">
            <v>36</v>
          </cell>
          <cell r="L813" t="str">
            <v>ENTREGA PARCIAL</v>
          </cell>
          <cell r="M813">
            <v>12</v>
          </cell>
          <cell r="N813" t="str">
            <v>OC'S METALFISA</v>
          </cell>
          <cell r="O813">
            <v>60</v>
          </cell>
          <cell r="P813" t="str">
            <v>OC'S GRANATO</v>
          </cell>
          <cell r="Q813" t="str">
            <v>-</v>
          </cell>
          <cell r="S813" t="str">
            <v>-</v>
          </cell>
          <cell r="U813">
            <v>72</v>
          </cell>
          <cell r="V813">
            <v>6</v>
          </cell>
          <cell r="W813">
            <v>0</v>
          </cell>
          <cell r="X813">
            <v>0</v>
          </cell>
          <cell r="Y813">
            <v>0</v>
          </cell>
          <cell r="Z813">
            <v>54</v>
          </cell>
          <cell r="AA813">
            <v>60</v>
          </cell>
          <cell r="AB813">
            <v>0</v>
          </cell>
          <cell r="AC813">
            <v>24</v>
          </cell>
          <cell r="AD813">
            <v>-36</v>
          </cell>
        </row>
        <row r="814">
          <cell r="A814" t="str">
            <v>33.11.10414.01</v>
          </cell>
          <cell r="B814" t="str">
            <v>LATERAL MESA / 33.11.10414.01</v>
          </cell>
          <cell r="C814">
            <v>46064</v>
          </cell>
          <cell r="D814" t="str">
            <v>-</v>
          </cell>
          <cell r="E814" t="str">
            <v>-</v>
          </cell>
          <cell r="F814" t="str">
            <v>-</v>
          </cell>
          <cell r="G814" t="str">
            <v>-</v>
          </cell>
          <cell r="H814" t="str">
            <v>-</v>
          </cell>
          <cell r="I814" t="str">
            <v>-</v>
          </cell>
          <cell r="J814">
            <v>0</v>
          </cell>
          <cell r="K814">
            <v>58</v>
          </cell>
          <cell r="L814" t="str">
            <v>ENTREGA PARCIAL</v>
          </cell>
          <cell r="M814">
            <v>8</v>
          </cell>
          <cell r="N814" t="str">
            <v>OC'S METALFISA</v>
          </cell>
          <cell r="O814">
            <v>116</v>
          </cell>
          <cell r="P814" t="str">
            <v>OC'S GRANATO</v>
          </cell>
          <cell r="Q814" t="str">
            <v>-</v>
          </cell>
          <cell r="S814" t="str">
            <v>-</v>
          </cell>
          <cell r="U814">
            <v>124</v>
          </cell>
          <cell r="V814">
            <v>9</v>
          </cell>
          <cell r="W814">
            <v>0</v>
          </cell>
          <cell r="X814">
            <v>0</v>
          </cell>
          <cell r="Y814">
            <v>0</v>
          </cell>
          <cell r="Z814">
            <v>80</v>
          </cell>
          <cell r="AA814">
            <v>89</v>
          </cell>
          <cell r="AB814">
            <v>0</v>
          </cell>
          <cell r="AC814">
            <v>23</v>
          </cell>
          <cell r="AD814">
            <v>-66</v>
          </cell>
        </row>
        <row r="815">
          <cell r="A815" t="str">
            <v>33.11.10416.00</v>
          </cell>
          <cell r="B815" t="str">
            <v>TAMPA / 33.11.10416.00</v>
          </cell>
          <cell r="C815">
            <v>46072</v>
          </cell>
          <cell r="D815" t="str">
            <v>-</v>
          </cell>
          <cell r="E815" t="str">
            <v>-</v>
          </cell>
          <cell r="F815" t="str">
            <v>-</v>
          </cell>
          <cell r="G815" t="str">
            <v>-</v>
          </cell>
          <cell r="H815" t="str">
            <v>-</v>
          </cell>
          <cell r="I815" t="str">
            <v>-</v>
          </cell>
          <cell r="J815">
            <v>0</v>
          </cell>
          <cell r="K815">
            <v>55</v>
          </cell>
          <cell r="L815" t="str">
            <v>ENTREGA PARCIAL</v>
          </cell>
          <cell r="M815">
            <v>4</v>
          </cell>
          <cell r="N815" t="str">
            <v>OC'S METALFISA</v>
          </cell>
          <cell r="O815">
            <v>59</v>
          </cell>
          <cell r="P815" t="str">
            <v>OC'S GRANATO</v>
          </cell>
          <cell r="Q815" t="str">
            <v>-</v>
          </cell>
          <cell r="S815" t="str">
            <v>-</v>
          </cell>
          <cell r="U815">
            <v>63</v>
          </cell>
          <cell r="V815">
            <v>13</v>
          </cell>
          <cell r="W815">
            <v>0</v>
          </cell>
          <cell r="X815">
            <v>0</v>
          </cell>
          <cell r="Y815">
            <v>0</v>
          </cell>
          <cell r="Z815">
            <v>40</v>
          </cell>
          <cell r="AA815">
            <v>53</v>
          </cell>
          <cell r="AB815">
            <v>0</v>
          </cell>
          <cell r="AC815">
            <v>45</v>
          </cell>
          <cell r="AD815">
            <v>-8</v>
          </cell>
        </row>
        <row r="816">
          <cell r="A816" t="str">
            <v>33.11.10417.00</v>
          </cell>
          <cell r="B816" t="str">
            <v>TRAVESSA / 33.11.10417.00</v>
          </cell>
          <cell r="C816">
            <v>46064</v>
          </cell>
          <cell r="D816" t="str">
            <v>-</v>
          </cell>
          <cell r="E816" t="str">
            <v>-</v>
          </cell>
          <cell r="F816" t="str">
            <v>-</v>
          </cell>
          <cell r="G816" t="str">
            <v>-</v>
          </cell>
          <cell r="H816" t="str">
            <v>-</v>
          </cell>
          <cell r="I816" t="str">
            <v>-</v>
          </cell>
          <cell r="J816">
            <v>0</v>
          </cell>
          <cell r="K816">
            <v>36</v>
          </cell>
          <cell r="L816" t="str">
            <v>FALTA ENTREGA</v>
          </cell>
          <cell r="M816">
            <v>8</v>
          </cell>
          <cell r="N816" t="str">
            <v>OC'S METALFISA</v>
          </cell>
          <cell r="O816">
            <v>114</v>
          </cell>
          <cell r="P816" t="str">
            <v>OC'S GRANATO</v>
          </cell>
          <cell r="Q816" t="str">
            <v>-</v>
          </cell>
          <cell r="S816" t="str">
            <v>-</v>
          </cell>
          <cell r="U816">
            <v>122</v>
          </cell>
          <cell r="V816">
            <v>6</v>
          </cell>
          <cell r="W816">
            <v>0</v>
          </cell>
          <cell r="X816">
            <v>0</v>
          </cell>
          <cell r="Y816">
            <v>0</v>
          </cell>
          <cell r="Z816">
            <v>80</v>
          </cell>
          <cell r="AA816">
            <v>86</v>
          </cell>
          <cell r="AB816">
            <v>6</v>
          </cell>
          <cell r="AC816">
            <v>0</v>
          </cell>
          <cell r="AD816">
            <v>-86</v>
          </cell>
        </row>
        <row r="817">
          <cell r="A817" t="str">
            <v>33.11.10419.00</v>
          </cell>
          <cell r="B817" t="str">
            <v>SUPORTE SENSOR / 33.11.10419.00</v>
          </cell>
          <cell r="C817">
            <v>46066</v>
          </cell>
          <cell r="D817" t="str">
            <v>-</v>
          </cell>
          <cell r="E817" t="str">
            <v>-</v>
          </cell>
          <cell r="F817" t="str">
            <v>-</v>
          </cell>
          <cell r="G817" t="str">
            <v>-</v>
          </cell>
          <cell r="H817" t="str">
            <v>-</v>
          </cell>
          <cell r="I817" t="str">
            <v>-</v>
          </cell>
          <cell r="J817">
            <v>0</v>
          </cell>
          <cell r="K817">
            <v>50</v>
          </cell>
          <cell r="L817" t="str">
            <v>ENTREGA PARCIAL</v>
          </cell>
          <cell r="M817">
            <v>8</v>
          </cell>
          <cell r="N817" t="str">
            <v>OC'S METALFISA</v>
          </cell>
          <cell r="O817">
            <v>48</v>
          </cell>
          <cell r="P817" t="str">
            <v>OC'S GRANATO</v>
          </cell>
          <cell r="Q817" t="str">
            <v>-</v>
          </cell>
          <cell r="S817" t="str">
            <v>-</v>
          </cell>
          <cell r="U817">
            <v>56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38</v>
          </cell>
          <cell r="AA817">
            <v>38</v>
          </cell>
          <cell r="AB817">
            <v>0</v>
          </cell>
          <cell r="AC817">
            <v>32</v>
          </cell>
          <cell r="AD817">
            <v>-6</v>
          </cell>
        </row>
        <row r="818">
          <cell r="A818" t="str">
            <v>33.11.10420.01</v>
          </cell>
          <cell r="B818" t="str">
            <v>ACABAMENTO / 33.11.10420.01</v>
          </cell>
          <cell r="C818">
            <v>46072</v>
          </cell>
          <cell r="D818" t="str">
            <v>-</v>
          </cell>
          <cell r="E818" t="str">
            <v>-</v>
          </cell>
          <cell r="F818" t="str">
            <v>-</v>
          </cell>
          <cell r="G818" t="str">
            <v>-</v>
          </cell>
          <cell r="H818" t="str">
            <v>-</v>
          </cell>
          <cell r="I818" t="str">
            <v>-</v>
          </cell>
          <cell r="J818">
            <v>0</v>
          </cell>
          <cell r="K818">
            <v>31</v>
          </cell>
          <cell r="L818" t="str">
            <v>ENTREGA PARCIAL</v>
          </cell>
          <cell r="M818">
            <v>4</v>
          </cell>
          <cell r="N818" t="str">
            <v>OC'S METALFISA</v>
          </cell>
          <cell r="O818">
            <v>54</v>
          </cell>
          <cell r="P818" t="str">
            <v>OC'S GRANATO</v>
          </cell>
          <cell r="Q818" t="str">
            <v>-</v>
          </cell>
          <cell r="S818">
            <v>2</v>
          </cell>
          <cell r="T818" t="str">
            <v>OC'S MAPHE</v>
          </cell>
          <cell r="U818">
            <v>60</v>
          </cell>
          <cell r="V818">
            <v>4</v>
          </cell>
          <cell r="W818">
            <v>0</v>
          </cell>
          <cell r="X818">
            <v>0</v>
          </cell>
          <cell r="Y818">
            <v>0</v>
          </cell>
          <cell r="Z818">
            <v>40</v>
          </cell>
          <cell r="AA818">
            <v>44</v>
          </cell>
          <cell r="AB818">
            <v>0</v>
          </cell>
          <cell r="AC818">
            <v>15</v>
          </cell>
          <cell r="AD818">
            <v>-29</v>
          </cell>
        </row>
        <row r="819">
          <cell r="A819" t="str">
            <v>33.11.10422.02</v>
          </cell>
          <cell r="B819" t="str">
            <v>ACABAMENTO FRONTAL MESA / 33.11.10422.02</v>
          </cell>
          <cell r="C819">
            <v>46074</v>
          </cell>
          <cell r="D819" t="str">
            <v>-</v>
          </cell>
          <cell r="E819" t="str">
            <v>-</v>
          </cell>
          <cell r="F819" t="str">
            <v>-</v>
          </cell>
          <cell r="G819" t="str">
            <v>-</v>
          </cell>
          <cell r="H819" t="str">
            <v>-</v>
          </cell>
          <cell r="I819" t="str">
            <v>-</v>
          </cell>
          <cell r="J819">
            <v>0</v>
          </cell>
          <cell r="K819">
            <v>20</v>
          </cell>
          <cell r="L819" t="str">
            <v>ENTREGA PARCIAL</v>
          </cell>
          <cell r="M819">
            <v>4</v>
          </cell>
          <cell r="N819" t="str">
            <v>OC'S METALFISA</v>
          </cell>
          <cell r="O819">
            <v>52</v>
          </cell>
          <cell r="P819" t="str">
            <v>OC'S GRANATO</v>
          </cell>
          <cell r="Q819" t="str">
            <v>-</v>
          </cell>
          <cell r="S819">
            <v>2</v>
          </cell>
          <cell r="T819" t="str">
            <v>OC'S MAPHE</v>
          </cell>
          <cell r="U819">
            <v>58</v>
          </cell>
          <cell r="V819">
            <v>9</v>
          </cell>
          <cell r="W819">
            <v>0</v>
          </cell>
          <cell r="X819">
            <v>0</v>
          </cell>
          <cell r="Y819">
            <v>0</v>
          </cell>
          <cell r="Z819">
            <v>40</v>
          </cell>
          <cell r="AA819">
            <v>49</v>
          </cell>
          <cell r="AB819">
            <v>0</v>
          </cell>
          <cell r="AC819">
            <v>11</v>
          </cell>
          <cell r="AD819">
            <v>-38</v>
          </cell>
        </row>
        <row r="820">
          <cell r="A820" t="str">
            <v>33.11.10423.01</v>
          </cell>
          <cell r="B820" t="str">
            <v>TAMPA DE ACABAMENTO / 33.11.10423.01</v>
          </cell>
          <cell r="C820">
            <v>46074</v>
          </cell>
          <cell r="D820" t="str">
            <v>-</v>
          </cell>
          <cell r="E820" t="str">
            <v>-</v>
          </cell>
          <cell r="F820" t="str">
            <v>-</v>
          </cell>
          <cell r="G820" t="str">
            <v>-</v>
          </cell>
          <cell r="H820" t="str">
            <v>-</v>
          </cell>
          <cell r="I820" t="str">
            <v>-</v>
          </cell>
          <cell r="J820">
            <v>0</v>
          </cell>
          <cell r="K820">
            <v>15</v>
          </cell>
          <cell r="L820" t="str">
            <v>ENTREGA PARCIAL</v>
          </cell>
          <cell r="M820">
            <v>4</v>
          </cell>
          <cell r="N820" t="str">
            <v>OC'S METALFISA</v>
          </cell>
          <cell r="O820">
            <v>24</v>
          </cell>
          <cell r="P820" t="str">
            <v>OC'S GRANATO</v>
          </cell>
          <cell r="Q820" t="str">
            <v>-</v>
          </cell>
          <cell r="S820" t="str">
            <v>-</v>
          </cell>
          <cell r="U820">
            <v>28</v>
          </cell>
          <cell r="V820">
            <v>1</v>
          </cell>
          <cell r="W820">
            <v>0</v>
          </cell>
          <cell r="X820">
            <v>0</v>
          </cell>
          <cell r="Y820">
            <v>0</v>
          </cell>
          <cell r="Z820">
            <v>20</v>
          </cell>
          <cell r="AA820">
            <v>21</v>
          </cell>
          <cell r="AB820">
            <v>0</v>
          </cell>
          <cell r="AC820">
            <v>8</v>
          </cell>
          <cell r="AD820">
            <v>-13</v>
          </cell>
        </row>
        <row r="821">
          <cell r="A821" t="str">
            <v>33.11.10425.01</v>
          </cell>
          <cell r="B821" t="str">
            <v>ACABAMENTO SUPERIOR / 33.11.10425.01</v>
          </cell>
          <cell r="D821" t="str">
            <v>-</v>
          </cell>
          <cell r="E821" t="str">
            <v>-</v>
          </cell>
          <cell r="F821" t="str">
            <v>-</v>
          </cell>
          <cell r="G821" t="str">
            <v>-</v>
          </cell>
          <cell r="H821" t="str">
            <v>-</v>
          </cell>
          <cell r="I821" t="str">
            <v>-</v>
          </cell>
          <cell r="J821">
            <v>0</v>
          </cell>
          <cell r="K821">
            <v>7</v>
          </cell>
          <cell r="L821" t="str">
            <v>ENTREGA PARCIAL</v>
          </cell>
          <cell r="M821">
            <v>2</v>
          </cell>
          <cell r="N821" t="str">
            <v>OC'S METALFISA</v>
          </cell>
          <cell r="O821">
            <v>13</v>
          </cell>
          <cell r="P821" t="str">
            <v>OC'S GRANATO</v>
          </cell>
          <cell r="Q821" t="str">
            <v>-</v>
          </cell>
          <cell r="S821" t="str">
            <v>-</v>
          </cell>
          <cell r="U821">
            <v>15</v>
          </cell>
          <cell r="V821">
            <v>3</v>
          </cell>
          <cell r="W821">
            <v>0</v>
          </cell>
          <cell r="X821">
            <v>0</v>
          </cell>
          <cell r="Y821">
            <v>0</v>
          </cell>
          <cell r="Z821">
            <v>9</v>
          </cell>
          <cell r="AA821">
            <v>12</v>
          </cell>
          <cell r="AB821">
            <v>0</v>
          </cell>
          <cell r="AC821">
            <v>4</v>
          </cell>
          <cell r="AD821">
            <v>-8</v>
          </cell>
        </row>
        <row r="822">
          <cell r="A822" t="str">
            <v>33.11.10441.00</v>
          </cell>
          <cell r="B822" t="str">
            <v>TRAVESSA DA CORTINA / 33.11.10441.00</v>
          </cell>
          <cell r="C822">
            <v>46076</v>
          </cell>
          <cell r="D822" t="str">
            <v>-</v>
          </cell>
          <cell r="E822" t="str">
            <v>-</v>
          </cell>
          <cell r="F822" t="str">
            <v>-</v>
          </cell>
          <cell r="G822" t="str">
            <v>-</v>
          </cell>
          <cell r="H822" t="str">
            <v>-</v>
          </cell>
          <cell r="I822" t="str">
            <v>-</v>
          </cell>
          <cell r="J822">
            <v>0</v>
          </cell>
          <cell r="K822">
            <v>8</v>
          </cell>
          <cell r="L822" t="str">
            <v>FALTA ENTREGA</v>
          </cell>
          <cell r="M822">
            <v>2</v>
          </cell>
          <cell r="N822" t="str">
            <v>OC'S METALFISA</v>
          </cell>
          <cell r="O822">
            <v>24</v>
          </cell>
          <cell r="P822" t="str">
            <v>OC'S GRANATO</v>
          </cell>
          <cell r="Q822" t="str">
            <v>-</v>
          </cell>
          <cell r="S822" t="str">
            <v>-</v>
          </cell>
          <cell r="U822">
            <v>26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18</v>
          </cell>
          <cell r="AA822">
            <v>18</v>
          </cell>
          <cell r="AB822">
            <v>0</v>
          </cell>
          <cell r="AC822">
            <v>0</v>
          </cell>
          <cell r="AD822">
            <v>-18</v>
          </cell>
        </row>
        <row r="823">
          <cell r="A823" t="str">
            <v>33.11.10442.01</v>
          </cell>
          <cell r="B823" t="str">
            <v>COLUNA / 33.11.10442.01</v>
          </cell>
          <cell r="C823">
            <v>46066</v>
          </cell>
          <cell r="D823" t="str">
            <v>-</v>
          </cell>
          <cell r="E823" t="str">
            <v>-</v>
          </cell>
          <cell r="F823" t="str">
            <v>-</v>
          </cell>
          <cell r="G823" t="str">
            <v>-</v>
          </cell>
          <cell r="H823" t="str">
            <v>-</v>
          </cell>
          <cell r="I823" t="str">
            <v>-</v>
          </cell>
          <cell r="J823">
            <v>0</v>
          </cell>
          <cell r="K823">
            <v>5</v>
          </cell>
          <cell r="L823" t="str">
            <v>ENTREGA PARCIAL</v>
          </cell>
          <cell r="M823">
            <v>2</v>
          </cell>
          <cell r="N823" t="str">
            <v>OC'S METALFISA</v>
          </cell>
          <cell r="O823">
            <v>11</v>
          </cell>
          <cell r="P823" t="str">
            <v>OC'S GRANATO</v>
          </cell>
          <cell r="Q823" t="str">
            <v>-</v>
          </cell>
          <cell r="S823" t="str">
            <v>-</v>
          </cell>
          <cell r="U823">
            <v>13</v>
          </cell>
          <cell r="V823">
            <v>1</v>
          </cell>
          <cell r="W823">
            <v>0</v>
          </cell>
          <cell r="X823">
            <v>0</v>
          </cell>
          <cell r="Y823">
            <v>0</v>
          </cell>
          <cell r="Z823">
            <v>9</v>
          </cell>
          <cell r="AA823">
            <v>10</v>
          </cell>
          <cell r="AB823">
            <v>0</v>
          </cell>
          <cell r="AC823">
            <v>2</v>
          </cell>
          <cell r="AD823">
            <v>-8</v>
          </cell>
        </row>
        <row r="824">
          <cell r="A824" t="str">
            <v>33.11.10443.00</v>
          </cell>
          <cell r="B824" t="str">
            <v>LIGACAO COLUNA SUPERIOR MODULO DV / 33.11.10443.00</v>
          </cell>
          <cell r="D824" t="str">
            <v>-</v>
          </cell>
          <cell r="E824" t="str">
            <v>-</v>
          </cell>
          <cell r="F824" t="str">
            <v>-</v>
          </cell>
          <cell r="G824" t="str">
            <v>-</v>
          </cell>
          <cell r="H824" t="str">
            <v>-</v>
          </cell>
          <cell r="I824" t="str">
            <v>-</v>
          </cell>
          <cell r="J824">
            <v>0</v>
          </cell>
          <cell r="K824">
            <v>4</v>
          </cell>
          <cell r="L824" t="str">
            <v>ENTREGA PARCIAL</v>
          </cell>
          <cell r="M824" t="str">
            <v>-</v>
          </cell>
          <cell r="N824" t="str">
            <v>OC'S METALFISA</v>
          </cell>
          <cell r="O824">
            <v>6</v>
          </cell>
          <cell r="P824" t="str">
            <v>OC'S GRANATO</v>
          </cell>
          <cell r="Q824" t="str">
            <v>-</v>
          </cell>
          <cell r="S824" t="str">
            <v>-</v>
          </cell>
          <cell r="U824">
            <v>6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4</v>
          </cell>
          <cell r="AA824">
            <v>4</v>
          </cell>
          <cell r="AB824">
            <v>0</v>
          </cell>
          <cell r="AC824">
            <v>2</v>
          </cell>
          <cell r="AD824">
            <v>-2</v>
          </cell>
        </row>
        <row r="825">
          <cell r="A825" t="str">
            <v>33.11.10447.01</v>
          </cell>
          <cell r="B825" t="str">
            <v>TAMPA SUPERIOR / 33.11.10447.01</v>
          </cell>
          <cell r="C825">
            <v>46072</v>
          </cell>
          <cell r="D825" t="str">
            <v>-</v>
          </cell>
          <cell r="E825" t="str">
            <v>-</v>
          </cell>
          <cell r="F825" t="str">
            <v>-</v>
          </cell>
          <cell r="G825" t="str">
            <v>-</v>
          </cell>
          <cell r="H825" t="str">
            <v>-</v>
          </cell>
          <cell r="I825" t="str">
            <v>-</v>
          </cell>
          <cell r="J825">
            <v>0</v>
          </cell>
          <cell r="K825">
            <v>10</v>
          </cell>
          <cell r="L825" t="str">
            <v>ENTREGA PARCIAL</v>
          </cell>
          <cell r="M825">
            <v>2</v>
          </cell>
          <cell r="N825" t="str">
            <v>OC'S METALFISA</v>
          </cell>
          <cell r="O825">
            <v>14</v>
          </cell>
          <cell r="P825" t="str">
            <v>OC'S GRANATO</v>
          </cell>
          <cell r="Q825" t="str">
            <v>-</v>
          </cell>
          <cell r="S825" t="str">
            <v>-</v>
          </cell>
          <cell r="U825">
            <v>16</v>
          </cell>
          <cell r="V825">
            <v>1</v>
          </cell>
          <cell r="W825">
            <v>0</v>
          </cell>
          <cell r="X825">
            <v>0</v>
          </cell>
          <cell r="Y825">
            <v>0</v>
          </cell>
          <cell r="Z825">
            <v>9</v>
          </cell>
          <cell r="AA825">
            <v>10</v>
          </cell>
          <cell r="AB825">
            <v>0</v>
          </cell>
          <cell r="AC825">
            <v>4</v>
          </cell>
          <cell r="AD825">
            <v>-6</v>
          </cell>
        </row>
        <row r="826">
          <cell r="A826" t="str">
            <v>33.11.10452.00</v>
          </cell>
          <cell r="B826" t="str">
            <v>SUPORTE / 33.11.10452.00</v>
          </cell>
          <cell r="C826">
            <v>46059</v>
          </cell>
          <cell r="D826" t="str">
            <v>-</v>
          </cell>
          <cell r="E826" t="str">
            <v>-</v>
          </cell>
          <cell r="F826" t="str">
            <v>-</v>
          </cell>
          <cell r="G826" t="str">
            <v>-</v>
          </cell>
          <cell r="H826" t="str">
            <v>-</v>
          </cell>
          <cell r="I826" t="str">
            <v>-</v>
          </cell>
          <cell r="J826">
            <v>0</v>
          </cell>
          <cell r="K826">
            <v>8</v>
          </cell>
          <cell r="L826" t="str">
            <v>ENTREGA PARCIAL</v>
          </cell>
          <cell r="M826">
            <v>2</v>
          </cell>
          <cell r="N826" t="str">
            <v>OC'S METALFISA</v>
          </cell>
          <cell r="O826">
            <v>7</v>
          </cell>
          <cell r="P826" t="str">
            <v>OC'S GRANATO</v>
          </cell>
          <cell r="Q826" t="str">
            <v>-</v>
          </cell>
          <cell r="S826" t="str">
            <v>-</v>
          </cell>
          <cell r="U826">
            <v>9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4</v>
          </cell>
          <cell r="AA826">
            <v>4</v>
          </cell>
          <cell r="AB826">
            <v>0</v>
          </cell>
          <cell r="AC826">
            <v>3</v>
          </cell>
          <cell r="AD826">
            <v>-1</v>
          </cell>
        </row>
        <row r="827">
          <cell r="A827" t="str">
            <v>33.11.10453.02</v>
          </cell>
          <cell r="B827" t="str">
            <v>ACABAMENTO CENTRAL MODULO EXTREMIDADE / 33.11.10453.02</v>
          </cell>
          <cell r="C827">
            <v>46072</v>
          </cell>
          <cell r="D827" t="str">
            <v>-</v>
          </cell>
          <cell r="E827" t="str">
            <v>-</v>
          </cell>
          <cell r="F827" t="str">
            <v>-</v>
          </cell>
          <cell r="G827" t="str">
            <v>-</v>
          </cell>
          <cell r="H827" t="str">
            <v>-</v>
          </cell>
          <cell r="I827" t="str">
            <v>-</v>
          </cell>
          <cell r="J827">
            <v>0</v>
          </cell>
          <cell r="K827">
            <v>12</v>
          </cell>
          <cell r="L827" t="str">
            <v>ENTREGA TOTAL</v>
          </cell>
          <cell r="M827" t="str">
            <v>-</v>
          </cell>
          <cell r="N827" t="str">
            <v>OC'S METALFISA</v>
          </cell>
          <cell r="O827">
            <v>12</v>
          </cell>
          <cell r="P827" t="str">
            <v>OC'S GRANATO</v>
          </cell>
          <cell r="Q827" t="str">
            <v>-</v>
          </cell>
          <cell r="S827" t="str">
            <v>-</v>
          </cell>
          <cell r="U827">
            <v>12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12</v>
          </cell>
          <cell r="AA827">
            <v>12</v>
          </cell>
          <cell r="AB827">
            <v>0</v>
          </cell>
          <cell r="AC827">
            <v>12</v>
          </cell>
          <cell r="AD827">
            <v>0</v>
          </cell>
        </row>
        <row r="828">
          <cell r="A828" t="str">
            <v>33.11.10469.00</v>
          </cell>
          <cell r="B828" t="str">
            <v>REGULADOR DO TUBO / 33.11.10469.00</v>
          </cell>
          <cell r="C828">
            <v>46066</v>
          </cell>
          <cell r="D828" t="str">
            <v>-</v>
          </cell>
          <cell r="E828" t="str">
            <v>-</v>
          </cell>
          <cell r="F828" t="str">
            <v>-</v>
          </cell>
          <cell r="G828" t="str">
            <v>-</v>
          </cell>
          <cell r="H828" t="str">
            <v>-</v>
          </cell>
          <cell r="I828" t="str">
            <v>-</v>
          </cell>
          <cell r="J828">
            <v>0</v>
          </cell>
          <cell r="K828">
            <v>6</v>
          </cell>
          <cell r="L828" t="str">
            <v>ENTREGA PARCIAL</v>
          </cell>
          <cell r="M828" t="str">
            <v>-</v>
          </cell>
          <cell r="N828" t="str">
            <v>OC'S METALFISA</v>
          </cell>
          <cell r="O828">
            <v>8</v>
          </cell>
          <cell r="P828" t="str">
            <v>OC'S GRANATO</v>
          </cell>
          <cell r="Q828" t="str">
            <v>-</v>
          </cell>
          <cell r="S828" t="str">
            <v>-</v>
          </cell>
          <cell r="U828">
            <v>8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4</v>
          </cell>
          <cell r="AA828">
            <v>4</v>
          </cell>
          <cell r="AB828">
            <v>0</v>
          </cell>
          <cell r="AC828">
            <v>2</v>
          </cell>
          <cell r="AD828">
            <v>-2</v>
          </cell>
        </row>
        <row r="829">
          <cell r="A829" t="str">
            <v>33.11.10475.01</v>
          </cell>
          <cell r="B829" t="str">
            <v>TAMPA / 33.11.10475.01</v>
          </cell>
          <cell r="C829">
            <v>46072</v>
          </cell>
          <cell r="D829" t="str">
            <v>-</v>
          </cell>
          <cell r="E829" t="str">
            <v>-</v>
          </cell>
          <cell r="F829" t="str">
            <v>-</v>
          </cell>
          <cell r="G829" t="str">
            <v>-</v>
          </cell>
          <cell r="H829" t="str">
            <v>-</v>
          </cell>
          <cell r="I829" t="str">
            <v>-</v>
          </cell>
          <cell r="J829">
            <v>0</v>
          </cell>
          <cell r="K829">
            <v>6</v>
          </cell>
          <cell r="L829" t="str">
            <v>ENTREGA PARCIAL</v>
          </cell>
          <cell r="M829">
            <v>2</v>
          </cell>
          <cell r="N829" t="str">
            <v>OC'S METALFISA</v>
          </cell>
          <cell r="O829">
            <v>8</v>
          </cell>
          <cell r="P829" t="str">
            <v>OC'S GRANATO</v>
          </cell>
          <cell r="Q829" t="str">
            <v>-</v>
          </cell>
          <cell r="S829" t="str">
            <v>-</v>
          </cell>
          <cell r="U829">
            <v>10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6</v>
          </cell>
          <cell r="AA829">
            <v>6</v>
          </cell>
          <cell r="AB829">
            <v>0</v>
          </cell>
          <cell r="AC829">
            <v>2</v>
          </cell>
          <cell r="AD829">
            <v>-4</v>
          </cell>
        </row>
        <row r="830">
          <cell r="A830" t="str">
            <v>33.11.10488.00</v>
          </cell>
          <cell r="B830" t="str">
            <v>DISTANCIADOR / 33.11.10488.00</v>
          </cell>
          <cell r="C830">
            <v>46066</v>
          </cell>
          <cell r="D830" t="str">
            <v>-</v>
          </cell>
          <cell r="E830" t="str">
            <v>-</v>
          </cell>
          <cell r="F830" t="str">
            <v>-</v>
          </cell>
          <cell r="G830" t="str">
            <v>-</v>
          </cell>
          <cell r="H830" t="str">
            <v>-</v>
          </cell>
          <cell r="I830" t="str">
            <v>-</v>
          </cell>
          <cell r="J830">
            <v>0</v>
          </cell>
          <cell r="K830">
            <v>6</v>
          </cell>
          <cell r="L830" t="str">
            <v>ENTREGA PARCIAL</v>
          </cell>
          <cell r="M830">
            <v>2</v>
          </cell>
          <cell r="N830" t="str">
            <v>OC'S METALFISA</v>
          </cell>
          <cell r="O830">
            <v>8</v>
          </cell>
          <cell r="P830" t="str">
            <v>OC'S GRANATO</v>
          </cell>
          <cell r="Q830" t="str">
            <v>-</v>
          </cell>
          <cell r="S830" t="str">
            <v>-</v>
          </cell>
          <cell r="U830">
            <v>10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6</v>
          </cell>
          <cell r="AA830">
            <v>6</v>
          </cell>
          <cell r="AB830">
            <v>0</v>
          </cell>
          <cell r="AC830">
            <v>2</v>
          </cell>
          <cell r="AD830">
            <v>-4</v>
          </cell>
        </row>
        <row r="831">
          <cell r="A831" t="str">
            <v>33.11.10493.00</v>
          </cell>
          <cell r="B831" t="str">
            <v>BARRRA QUAD. INOX 304 - 5/16POL / 33.11.10493.00</v>
          </cell>
          <cell r="D831" t="str">
            <v>-</v>
          </cell>
          <cell r="E831" t="str">
            <v>-</v>
          </cell>
          <cell r="F831" t="str">
            <v>-</v>
          </cell>
          <cell r="G831" t="str">
            <v>-</v>
          </cell>
          <cell r="H831" t="str">
            <v>-</v>
          </cell>
          <cell r="I831" t="str">
            <v>-</v>
          </cell>
          <cell r="J831">
            <v>0</v>
          </cell>
          <cell r="K831">
            <v>28</v>
          </cell>
          <cell r="L831" t="str">
            <v>FALTA ENTREGA</v>
          </cell>
          <cell r="M831">
            <v>4</v>
          </cell>
          <cell r="N831" t="str">
            <v>OC'S METALFISA</v>
          </cell>
          <cell r="O831">
            <v>60</v>
          </cell>
          <cell r="P831" t="str">
            <v>OC'S GRANATO</v>
          </cell>
          <cell r="Q831" t="str">
            <v>-</v>
          </cell>
          <cell r="S831" t="str">
            <v>-</v>
          </cell>
          <cell r="U831">
            <v>64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36</v>
          </cell>
          <cell r="AA831">
            <v>36</v>
          </cell>
          <cell r="AB831">
            <v>0</v>
          </cell>
          <cell r="AC831">
            <v>0</v>
          </cell>
          <cell r="AD831">
            <v>-36</v>
          </cell>
        </row>
        <row r="832">
          <cell r="A832" t="str">
            <v>33.11.10494.01</v>
          </cell>
          <cell r="B832" t="str">
            <v>ACABAMENTO SUPERIOR / 33.11.10494.01</v>
          </cell>
          <cell r="C832">
            <v>46072</v>
          </cell>
          <cell r="D832" t="str">
            <v>-</v>
          </cell>
          <cell r="E832" t="str">
            <v>-</v>
          </cell>
          <cell r="F832" t="str">
            <v>-</v>
          </cell>
          <cell r="G832" t="str">
            <v>-</v>
          </cell>
          <cell r="H832" t="str">
            <v>-</v>
          </cell>
          <cell r="I832" t="str">
            <v>-</v>
          </cell>
          <cell r="J832">
            <v>0</v>
          </cell>
          <cell r="K832">
            <v>4</v>
          </cell>
          <cell r="L832" t="str">
            <v>ENTREGA PARCIAL</v>
          </cell>
          <cell r="M832">
            <v>2</v>
          </cell>
          <cell r="N832" t="str">
            <v>OC'S METALFISA</v>
          </cell>
          <cell r="O832">
            <v>11</v>
          </cell>
          <cell r="P832" t="str">
            <v>OC'S GRANATO</v>
          </cell>
          <cell r="Q832" t="str">
            <v>-</v>
          </cell>
          <cell r="S832" t="str">
            <v>-</v>
          </cell>
          <cell r="U832">
            <v>13</v>
          </cell>
          <cell r="V832">
            <v>2</v>
          </cell>
          <cell r="W832">
            <v>0</v>
          </cell>
          <cell r="X832">
            <v>0</v>
          </cell>
          <cell r="Y832">
            <v>0</v>
          </cell>
          <cell r="Z832">
            <v>9</v>
          </cell>
          <cell r="AA832">
            <v>11</v>
          </cell>
          <cell r="AB832">
            <v>0</v>
          </cell>
          <cell r="AC832">
            <v>2</v>
          </cell>
          <cell r="AD832">
            <v>-9</v>
          </cell>
        </row>
        <row r="833">
          <cell r="A833" t="str">
            <v>33.11.10495.00</v>
          </cell>
          <cell r="B833" t="str">
            <v>VEDACAO MOTOR / 33.11.10495.00</v>
          </cell>
          <cell r="C833">
            <v>46074</v>
          </cell>
          <cell r="D833" t="str">
            <v>-</v>
          </cell>
          <cell r="E833" t="str">
            <v>-</v>
          </cell>
          <cell r="F833" t="str">
            <v>-</v>
          </cell>
          <cell r="G833" t="str">
            <v>-</v>
          </cell>
          <cell r="H833" t="str">
            <v>-</v>
          </cell>
          <cell r="I833" t="str">
            <v>-</v>
          </cell>
          <cell r="J833">
            <v>0</v>
          </cell>
          <cell r="K833">
            <v>8</v>
          </cell>
          <cell r="L833" t="str">
            <v>ENTREGA PARCIAL</v>
          </cell>
          <cell r="M833">
            <v>2</v>
          </cell>
          <cell r="N833" t="str">
            <v>OC'S METALFISA</v>
          </cell>
          <cell r="O833">
            <v>8</v>
          </cell>
          <cell r="P833" t="str">
            <v>OC'S GRANATO</v>
          </cell>
          <cell r="Q833" t="str">
            <v>-</v>
          </cell>
          <cell r="S833" t="str">
            <v>-</v>
          </cell>
          <cell r="U833">
            <v>10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9</v>
          </cell>
          <cell r="AA833">
            <v>9</v>
          </cell>
          <cell r="AB833">
            <v>0</v>
          </cell>
          <cell r="AC833">
            <v>7</v>
          </cell>
          <cell r="AD833">
            <v>-2</v>
          </cell>
        </row>
        <row r="834">
          <cell r="A834" t="str">
            <v>33.11.10498.01</v>
          </cell>
          <cell r="B834" t="str">
            <v>COLUNA / 33.11.10498.01</v>
          </cell>
          <cell r="C834">
            <v>46066</v>
          </cell>
          <cell r="D834" t="str">
            <v>-</v>
          </cell>
          <cell r="E834" t="str">
            <v>-</v>
          </cell>
          <cell r="F834" t="str">
            <v>-</v>
          </cell>
          <cell r="G834" t="str">
            <v>-</v>
          </cell>
          <cell r="H834" t="str">
            <v>-</v>
          </cell>
          <cell r="I834" t="str">
            <v>-</v>
          </cell>
          <cell r="J834">
            <v>0</v>
          </cell>
          <cell r="K834">
            <v>5</v>
          </cell>
          <cell r="L834" t="str">
            <v>ENTREGA PARCIAL</v>
          </cell>
          <cell r="M834">
            <v>2</v>
          </cell>
          <cell r="N834" t="str">
            <v>OC'S METALFISA</v>
          </cell>
          <cell r="O834">
            <v>11</v>
          </cell>
          <cell r="P834" t="str">
            <v>OC'S GRANATO</v>
          </cell>
          <cell r="Q834" t="str">
            <v>-</v>
          </cell>
          <cell r="S834" t="str">
            <v>-</v>
          </cell>
          <cell r="U834">
            <v>13</v>
          </cell>
          <cell r="V834">
            <v>1</v>
          </cell>
          <cell r="W834">
            <v>0</v>
          </cell>
          <cell r="X834">
            <v>0</v>
          </cell>
          <cell r="Y834">
            <v>0</v>
          </cell>
          <cell r="Z834">
            <v>9</v>
          </cell>
          <cell r="AA834">
            <v>10</v>
          </cell>
          <cell r="AB834">
            <v>0</v>
          </cell>
          <cell r="AC834">
            <v>2</v>
          </cell>
          <cell r="AD834">
            <v>-8</v>
          </cell>
        </row>
        <row r="835">
          <cell r="A835" t="str">
            <v>33.11.10499.01</v>
          </cell>
          <cell r="B835" t="str">
            <v>COLUNA / 33.11.10499.01</v>
          </cell>
          <cell r="C835">
            <v>46066</v>
          </cell>
          <cell r="D835" t="str">
            <v>-</v>
          </cell>
          <cell r="E835" t="str">
            <v>-</v>
          </cell>
          <cell r="F835" t="str">
            <v>-</v>
          </cell>
          <cell r="G835" t="str">
            <v>-</v>
          </cell>
          <cell r="H835" t="str">
            <v>-</v>
          </cell>
          <cell r="I835" t="str">
            <v>-</v>
          </cell>
          <cell r="J835">
            <v>0</v>
          </cell>
          <cell r="K835">
            <v>5</v>
          </cell>
          <cell r="L835" t="str">
            <v>ENTREGA PARCIAL</v>
          </cell>
          <cell r="M835">
            <v>2</v>
          </cell>
          <cell r="N835" t="str">
            <v>OC'S METALFISA</v>
          </cell>
          <cell r="O835">
            <v>11</v>
          </cell>
          <cell r="P835" t="str">
            <v>OC'S GRANATO</v>
          </cell>
          <cell r="Q835" t="str">
            <v>-</v>
          </cell>
          <cell r="S835" t="str">
            <v>-</v>
          </cell>
          <cell r="U835">
            <v>13</v>
          </cell>
          <cell r="V835">
            <v>1</v>
          </cell>
          <cell r="W835">
            <v>0</v>
          </cell>
          <cell r="X835">
            <v>0</v>
          </cell>
          <cell r="Y835">
            <v>0</v>
          </cell>
          <cell r="Z835">
            <v>9</v>
          </cell>
          <cell r="AA835">
            <v>10</v>
          </cell>
          <cell r="AB835">
            <v>0</v>
          </cell>
          <cell r="AC835">
            <v>2</v>
          </cell>
          <cell r="AD835">
            <v>-8</v>
          </cell>
        </row>
        <row r="836">
          <cell r="A836" t="str">
            <v>33.11.10500.00</v>
          </cell>
          <cell r="B836" t="str">
            <v>SUPORTE PLACA / 33.11.10500.00</v>
          </cell>
          <cell r="C836">
            <v>46066</v>
          </cell>
          <cell r="D836" t="str">
            <v>-</v>
          </cell>
          <cell r="E836" t="str">
            <v>-</v>
          </cell>
          <cell r="F836" t="str">
            <v>-</v>
          </cell>
          <cell r="G836" t="str">
            <v>-</v>
          </cell>
          <cell r="H836" t="str">
            <v>-</v>
          </cell>
          <cell r="I836" t="str">
            <v>-</v>
          </cell>
          <cell r="J836">
            <v>0</v>
          </cell>
          <cell r="K836">
            <v>325</v>
          </cell>
          <cell r="L836" t="str">
            <v>ENTREGA PARCIAL</v>
          </cell>
          <cell r="M836" t="str">
            <v>-</v>
          </cell>
          <cell r="N836" t="str">
            <v>OC'S METALFISA</v>
          </cell>
          <cell r="O836">
            <v>428</v>
          </cell>
          <cell r="P836" t="str">
            <v>OC'S GRANATO</v>
          </cell>
          <cell r="Q836" t="str">
            <v>-</v>
          </cell>
          <cell r="S836" t="str">
            <v>-</v>
          </cell>
          <cell r="U836">
            <v>428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185</v>
          </cell>
          <cell r="AA836">
            <v>185</v>
          </cell>
          <cell r="AB836">
            <v>0</v>
          </cell>
          <cell r="AC836">
            <v>82</v>
          </cell>
          <cell r="AD836">
            <v>-103</v>
          </cell>
        </row>
        <row r="837">
          <cell r="A837" t="str">
            <v>33.11.10500.01</v>
          </cell>
          <cell r="B837" t="str">
            <v>SUPORTE PLACA / 33.11.10500.01</v>
          </cell>
          <cell r="C837">
            <v>46074</v>
          </cell>
          <cell r="D837" t="str">
            <v>-</v>
          </cell>
          <cell r="E837" t="str">
            <v>-</v>
          </cell>
          <cell r="F837" t="str">
            <v>-</v>
          </cell>
          <cell r="G837" t="str">
            <v>-</v>
          </cell>
          <cell r="H837" t="str">
            <v>-</v>
          </cell>
          <cell r="I837" t="str">
            <v>-</v>
          </cell>
          <cell r="J837">
            <v>0</v>
          </cell>
          <cell r="K837">
            <v>-38</v>
          </cell>
          <cell r="L837" t="str">
            <v>ENTREGA PARCIAL</v>
          </cell>
          <cell r="M837">
            <v>41</v>
          </cell>
          <cell r="N837" t="str">
            <v>OC'S METALFISA</v>
          </cell>
          <cell r="O837" t="str">
            <v>-</v>
          </cell>
          <cell r="Q837" t="str">
            <v>-</v>
          </cell>
          <cell r="S837" t="str">
            <v>-</v>
          </cell>
          <cell r="U837">
            <v>41</v>
          </cell>
          <cell r="V837">
            <v>38</v>
          </cell>
          <cell r="W837">
            <v>0</v>
          </cell>
          <cell r="X837">
            <v>0</v>
          </cell>
          <cell r="Y837">
            <v>0</v>
          </cell>
          <cell r="Z837">
            <v>82</v>
          </cell>
          <cell r="AA837">
            <v>120</v>
          </cell>
          <cell r="AB837">
            <v>0</v>
          </cell>
          <cell r="AC837">
            <v>41</v>
          </cell>
          <cell r="AD837">
            <v>-79</v>
          </cell>
        </row>
        <row r="838">
          <cell r="A838" t="str">
            <v>33.11.10505.00</v>
          </cell>
          <cell r="B838" t="str">
            <v>GAIOLA DE FIXACAO PLACAS / 33.11.10505.00</v>
          </cell>
          <cell r="D838" t="str">
            <v>-</v>
          </cell>
          <cell r="E838" t="str">
            <v>-</v>
          </cell>
          <cell r="F838" t="str">
            <v>-</v>
          </cell>
          <cell r="G838" t="str">
            <v>-</v>
          </cell>
          <cell r="H838" t="str">
            <v>-</v>
          </cell>
          <cell r="I838" t="str">
            <v>-</v>
          </cell>
          <cell r="J838">
            <v>0</v>
          </cell>
          <cell r="K838">
            <v>0</v>
          </cell>
          <cell r="L838" t="str">
            <v>FALTA ENTREGA</v>
          </cell>
          <cell r="M838">
            <v>2</v>
          </cell>
          <cell r="N838" t="str">
            <v>OC'S METALFISA</v>
          </cell>
          <cell r="O838" t="str">
            <v>-</v>
          </cell>
          <cell r="Q838" t="str">
            <v>-</v>
          </cell>
          <cell r="S838" t="str">
            <v>-</v>
          </cell>
          <cell r="U838">
            <v>2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2</v>
          </cell>
          <cell r="AA838">
            <v>2</v>
          </cell>
          <cell r="AB838">
            <v>0</v>
          </cell>
          <cell r="AC838">
            <v>0</v>
          </cell>
          <cell r="AD838">
            <v>-2</v>
          </cell>
        </row>
        <row r="839">
          <cell r="A839" t="str">
            <v>33.11.10515.00</v>
          </cell>
          <cell r="B839" t="str">
            <v>DISTANCIADOR / 33.11.10515.00</v>
          </cell>
          <cell r="C839">
            <v>46076</v>
          </cell>
          <cell r="D839" t="str">
            <v>-</v>
          </cell>
          <cell r="E839" t="str">
            <v>-</v>
          </cell>
          <cell r="F839" t="str">
            <v>-</v>
          </cell>
          <cell r="G839" t="str">
            <v>-</v>
          </cell>
          <cell r="H839" t="str">
            <v>-</v>
          </cell>
          <cell r="I839" t="str">
            <v>-</v>
          </cell>
          <cell r="J839">
            <v>0</v>
          </cell>
          <cell r="K839">
            <v>14</v>
          </cell>
          <cell r="L839" t="str">
            <v>FALTA ENTREGA</v>
          </cell>
          <cell r="M839">
            <v>8</v>
          </cell>
          <cell r="N839" t="str">
            <v>OC'S METALFISA</v>
          </cell>
          <cell r="O839">
            <v>33</v>
          </cell>
          <cell r="P839" t="str">
            <v>OC'S GRANATO</v>
          </cell>
          <cell r="Q839" t="str">
            <v>-</v>
          </cell>
          <cell r="S839" t="str">
            <v>-</v>
          </cell>
          <cell r="U839">
            <v>41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27</v>
          </cell>
          <cell r="AA839">
            <v>27</v>
          </cell>
          <cell r="AB839">
            <v>0</v>
          </cell>
          <cell r="AC839">
            <v>0</v>
          </cell>
          <cell r="AD839">
            <v>-27</v>
          </cell>
        </row>
        <row r="840">
          <cell r="A840" t="str">
            <v>33.11.10517.02</v>
          </cell>
          <cell r="B840" t="str">
            <v>DISTANCIADOR / 33.11.10517.02</v>
          </cell>
          <cell r="C840">
            <v>46076</v>
          </cell>
          <cell r="D840" t="str">
            <v>-</v>
          </cell>
          <cell r="E840" t="str">
            <v>-</v>
          </cell>
          <cell r="F840" t="str">
            <v>-</v>
          </cell>
          <cell r="G840" t="str">
            <v>-</v>
          </cell>
          <cell r="H840" t="str">
            <v>-</v>
          </cell>
          <cell r="I840" t="str">
            <v>-</v>
          </cell>
          <cell r="J840">
            <v>0</v>
          </cell>
          <cell r="K840">
            <v>23</v>
          </cell>
          <cell r="L840" t="str">
            <v>ENTREGA PARCIAL</v>
          </cell>
          <cell r="M840">
            <v>8</v>
          </cell>
          <cell r="N840" t="str">
            <v>OC'S METALFISA</v>
          </cell>
          <cell r="O840">
            <v>40</v>
          </cell>
          <cell r="P840" t="str">
            <v>OC'S GRANATO</v>
          </cell>
          <cell r="Q840" t="str">
            <v>-</v>
          </cell>
          <cell r="S840" t="str">
            <v>-</v>
          </cell>
          <cell r="U840">
            <v>48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36</v>
          </cell>
          <cell r="AA840">
            <v>36</v>
          </cell>
          <cell r="AB840">
            <v>0</v>
          </cell>
          <cell r="AC840">
            <v>11</v>
          </cell>
          <cell r="AD840">
            <v>-25</v>
          </cell>
        </row>
        <row r="841">
          <cell r="A841" t="str">
            <v>33.11.10530.01</v>
          </cell>
          <cell r="B841" t="str">
            <v>TAMPA / 33.11.10530.01</v>
          </cell>
          <cell r="D841" t="str">
            <v>-</v>
          </cell>
          <cell r="E841" t="str">
            <v>-</v>
          </cell>
          <cell r="F841" t="str">
            <v>-</v>
          </cell>
          <cell r="G841" t="str">
            <v>-</v>
          </cell>
          <cell r="H841" t="str">
            <v>-</v>
          </cell>
          <cell r="I841" t="str">
            <v>-</v>
          </cell>
          <cell r="J841">
            <v>0</v>
          </cell>
          <cell r="K841">
            <v>6</v>
          </cell>
          <cell r="L841" t="str">
            <v>ENTREGA PARCIAL</v>
          </cell>
          <cell r="M841">
            <v>2</v>
          </cell>
          <cell r="N841" t="str">
            <v>OC'S METALFISA</v>
          </cell>
          <cell r="O841">
            <v>8</v>
          </cell>
          <cell r="P841" t="str">
            <v>OC'S GRANATO</v>
          </cell>
          <cell r="Q841" t="str">
            <v>-</v>
          </cell>
          <cell r="S841" t="str">
            <v>-</v>
          </cell>
          <cell r="U841">
            <v>10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6</v>
          </cell>
          <cell r="AA841">
            <v>6</v>
          </cell>
          <cell r="AB841">
            <v>0</v>
          </cell>
          <cell r="AC841">
            <v>2</v>
          </cell>
          <cell r="AD841">
            <v>-4</v>
          </cell>
        </row>
        <row r="842">
          <cell r="A842" t="str">
            <v>33.11.10539.00</v>
          </cell>
          <cell r="B842" t="str">
            <v>COLUNA / 33.11.10539.00</v>
          </cell>
          <cell r="C842">
            <v>46076</v>
          </cell>
          <cell r="D842" t="str">
            <v>-</v>
          </cell>
          <cell r="E842" t="str">
            <v>-</v>
          </cell>
          <cell r="F842" t="str">
            <v>-</v>
          </cell>
          <cell r="G842" t="str">
            <v>-</v>
          </cell>
          <cell r="H842" t="str">
            <v>-</v>
          </cell>
          <cell r="I842" t="str">
            <v>-</v>
          </cell>
          <cell r="J842">
            <v>0</v>
          </cell>
          <cell r="K842">
            <v>5</v>
          </cell>
          <cell r="L842" t="str">
            <v>ENTREGA PARCIAL</v>
          </cell>
          <cell r="M842">
            <v>1</v>
          </cell>
          <cell r="N842" t="str">
            <v>OC'S METALFISA</v>
          </cell>
          <cell r="O842">
            <v>9</v>
          </cell>
          <cell r="P842" t="str">
            <v>OC'S GRANATO</v>
          </cell>
          <cell r="Q842" t="str">
            <v>-</v>
          </cell>
          <cell r="S842" t="str">
            <v>-</v>
          </cell>
          <cell r="U842">
            <v>10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6</v>
          </cell>
          <cell r="AA842">
            <v>6</v>
          </cell>
          <cell r="AB842">
            <v>0</v>
          </cell>
          <cell r="AC842">
            <v>1</v>
          </cell>
          <cell r="AD842">
            <v>-5</v>
          </cell>
        </row>
        <row r="843">
          <cell r="A843" t="str">
            <v>33.11.10540.00</v>
          </cell>
          <cell r="B843" t="str">
            <v>COJUNTO FIXACAO CORTINA / 33.11.10540.00</v>
          </cell>
          <cell r="C843">
            <v>46074</v>
          </cell>
          <cell r="D843" t="str">
            <v>-</v>
          </cell>
          <cell r="E843" t="str">
            <v>-</v>
          </cell>
          <cell r="F843" t="str">
            <v>-</v>
          </cell>
          <cell r="G843" t="str">
            <v>-</v>
          </cell>
          <cell r="H843" t="str">
            <v>-</v>
          </cell>
          <cell r="I843" t="str">
            <v>-</v>
          </cell>
          <cell r="J843">
            <v>0</v>
          </cell>
          <cell r="K843">
            <v>379</v>
          </cell>
          <cell r="L843" t="str">
            <v>ENTREGA PARCIAL</v>
          </cell>
          <cell r="M843">
            <v>28</v>
          </cell>
          <cell r="N843" t="str">
            <v>OC'S METALFISA</v>
          </cell>
          <cell r="O843">
            <v>336</v>
          </cell>
          <cell r="P843" t="str">
            <v>OC'S GRANATO</v>
          </cell>
          <cell r="Q843">
            <v>28</v>
          </cell>
          <cell r="S843">
            <v>40</v>
          </cell>
          <cell r="T843" t="str">
            <v>OC'S MAPHE</v>
          </cell>
          <cell r="U843">
            <v>432</v>
          </cell>
          <cell r="V843">
            <v>67</v>
          </cell>
          <cell r="W843">
            <v>0</v>
          </cell>
          <cell r="X843">
            <v>0</v>
          </cell>
          <cell r="Y843">
            <v>0</v>
          </cell>
          <cell r="Z843">
            <v>252</v>
          </cell>
          <cell r="AA843">
            <v>319</v>
          </cell>
          <cell r="AB843">
            <v>0</v>
          </cell>
          <cell r="AC843">
            <v>266</v>
          </cell>
          <cell r="AD843">
            <v>-53</v>
          </cell>
        </row>
        <row r="844">
          <cell r="A844" t="str">
            <v>33.11.10540.01</v>
          </cell>
          <cell r="B844" t="str">
            <v>COJUNTO FIXACAO CORTINA / 33.11.10540.01</v>
          </cell>
          <cell r="D844" t="str">
            <v>-</v>
          </cell>
          <cell r="E844" t="str">
            <v>-</v>
          </cell>
          <cell r="F844" t="str">
            <v>-</v>
          </cell>
          <cell r="G844" t="str">
            <v>-</v>
          </cell>
          <cell r="H844" t="str">
            <v>-</v>
          </cell>
          <cell r="I844" t="str">
            <v>-</v>
          </cell>
          <cell r="J844">
            <v>0</v>
          </cell>
          <cell r="K844">
            <v>-56</v>
          </cell>
          <cell r="L844" t="str">
            <v>FALTA ENTREGA</v>
          </cell>
          <cell r="M844" t="str">
            <v>-</v>
          </cell>
          <cell r="N844" t="str">
            <v>OC'S METALFISA</v>
          </cell>
          <cell r="O844" t="str">
            <v>-</v>
          </cell>
          <cell r="Q844" t="str">
            <v>-</v>
          </cell>
          <cell r="S844" t="str">
            <v>-</v>
          </cell>
          <cell r="U844">
            <v>0</v>
          </cell>
          <cell r="V844">
            <v>56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56</v>
          </cell>
          <cell r="AB844">
            <v>0</v>
          </cell>
          <cell r="AC844">
            <v>0</v>
          </cell>
          <cell r="AD844">
            <v>-56</v>
          </cell>
        </row>
        <row r="845">
          <cell r="A845" t="str">
            <v>33.11.10562.00</v>
          </cell>
          <cell r="B845" t="str">
            <v>SUPORTE TAMPA / 33.11.10562.00</v>
          </cell>
          <cell r="C845">
            <v>46059</v>
          </cell>
          <cell r="D845" t="str">
            <v>-</v>
          </cell>
          <cell r="E845" t="str">
            <v>-</v>
          </cell>
          <cell r="F845" t="str">
            <v>-</v>
          </cell>
          <cell r="G845" t="str">
            <v>-</v>
          </cell>
          <cell r="H845" t="str">
            <v>-</v>
          </cell>
          <cell r="I845" t="str">
            <v>-</v>
          </cell>
          <cell r="J845">
            <v>0</v>
          </cell>
          <cell r="K845">
            <v>6</v>
          </cell>
          <cell r="L845" t="str">
            <v>ENTREGA PARCIAL</v>
          </cell>
          <cell r="M845" t="str">
            <v>-</v>
          </cell>
          <cell r="N845" t="str">
            <v>OC'S METALFISA</v>
          </cell>
          <cell r="O845">
            <v>8</v>
          </cell>
          <cell r="P845" t="str">
            <v>OC'S GRANATO</v>
          </cell>
          <cell r="Q845" t="str">
            <v>-</v>
          </cell>
          <cell r="S845" t="str">
            <v>-</v>
          </cell>
          <cell r="U845">
            <v>8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4</v>
          </cell>
          <cell r="AA845">
            <v>4</v>
          </cell>
          <cell r="AB845">
            <v>0</v>
          </cell>
          <cell r="AC845">
            <v>2</v>
          </cell>
          <cell r="AD845">
            <v>-2</v>
          </cell>
        </row>
        <row r="846">
          <cell r="A846" t="str">
            <v>33.11.10568.00</v>
          </cell>
          <cell r="B846" t="str">
            <v>PROTECAO COLIMADOR / 33.11.10568.00</v>
          </cell>
          <cell r="C846">
            <v>46074</v>
          </cell>
          <cell r="D846" t="str">
            <v>-</v>
          </cell>
          <cell r="E846" t="str">
            <v>-</v>
          </cell>
          <cell r="F846" t="str">
            <v>-</v>
          </cell>
          <cell r="G846" t="str">
            <v>-</v>
          </cell>
          <cell r="H846" t="str">
            <v>-</v>
          </cell>
          <cell r="I846" t="str">
            <v>-</v>
          </cell>
          <cell r="J846">
            <v>0</v>
          </cell>
          <cell r="K846">
            <v>7</v>
          </cell>
          <cell r="L846" t="str">
            <v>ENTREGA PARCIAL</v>
          </cell>
          <cell r="M846">
            <v>2</v>
          </cell>
          <cell r="N846" t="str">
            <v>OC'S METALFISA</v>
          </cell>
          <cell r="O846">
            <v>10</v>
          </cell>
          <cell r="P846" t="str">
            <v>OC'S GRANATO</v>
          </cell>
          <cell r="Q846" t="str">
            <v>-</v>
          </cell>
          <cell r="S846" t="str">
            <v>-</v>
          </cell>
          <cell r="U846">
            <v>12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9</v>
          </cell>
          <cell r="AA846">
            <v>9</v>
          </cell>
          <cell r="AB846">
            <v>0</v>
          </cell>
          <cell r="AC846">
            <v>4</v>
          </cell>
          <cell r="AD846">
            <v>-5</v>
          </cell>
        </row>
        <row r="847">
          <cell r="A847" t="str">
            <v>33.11.10571.00</v>
          </cell>
          <cell r="B847" t="str">
            <v>TAMPA / 33.11.10571.00</v>
          </cell>
          <cell r="D847" t="str">
            <v>-</v>
          </cell>
          <cell r="E847" t="str">
            <v>-</v>
          </cell>
          <cell r="F847" t="str">
            <v>-</v>
          </cell>
          <cell r="G847" t="str">
            <v>-</v>
          </cell>
          <cell r="H847" t="str">
            <v>-</v>
          </cell>
          <cell r="I847" t="str">
            <v>-</v>
          </cell>
          <cell r="J847">
            <v>0</v>
          </cell>
          <cell r="K847">
            <v>5</v>
          </cell>
          <cell r="L847" t="str">
            <v>ENTREGA PARCIAL</v>
          </cell>
          <cell r="M847" t="str">
            <v>-</v>
          </cell>
          <cell r="N847" t="str">
            <v>OC'S METALFISA</v>
          </cell>
          <cell r="O847">
            <v>8</v>
          </cell>
          <cell r="P847" t="str">
            <v>OC'S GRANATO</v>
          </cell>
          <cell r="Q847" t="str">
            <v>-</v>
          </cell>
          <cell r="S847" t="str">
            <v>-</v>
          </cell>
          <cell r="U847">
            <v>8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5</v>
          </cell>
          <cell r="AA847">
            <v>5</v>
          </cell>
          <cell r="AB847">
            <v>0</v>
          </cell>
          <cell r="AC847">
            <v>2</v>
          </cell>
          <cell r="AD847">
            <v>-3</v>
          </cell>
        </row>
        <row r="848">
          <cell r="A848" t="str">
            <v>33.11.10572.04</v>
          </cell>
          <cell r="B848" t="str">
            <v>FIXACAO CONEXAO / 33.11.10572.04</v>
          </cell>
          <cell r="C848">
            <v>46066</v>
          </cell>
          <cell r="D848" t="str">
            <v>-</v>
          </cell>
          <cell r="E848" t="str">
            <v>-</v>
          </cell>
          <cell r="F848" t="str">
            <v>-</v>
          </cell>
          <cell r="G848" t="str">
            <v>-</v>
          </cell>
          <cell r="H848" t="str">
            <v>-</v>
          </cell>
          <cell r="I848" t="str">
            <v>-</v>
          </cell>
          <cell r="J848">
            <v>0</v>
          </cell>
          <cell r="K848">
            <v>7</v>
          </cell>
          <cell r="L848" t="str">
            <v>ENTREGA PARCIAL</v>
          </cell>
          <cell r="M848" t="str">
            <v>-</v>
          </cell>
          <cell r="N848" t="str">
            <v>OC'S METALFISA</v>
          </cell>
          <cell r="O848">
            <v>11</v>
          </cell>
          <cell r="P848" t="str">
            <v>OC'S GRANATO</v>
          </cell>
          <cell r="Q848" t="str">
            <v>-</v>
          </cell>
          <cell r="S848">
            <v>3</v>
          </cell>
          <cell r="T848" t="str">
            <v>OC'S MAPHE</v>
          </cell>
          <cell r="U848">
            <v>14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9</v>
          </cell>
          <cell r="AA848">
            <v>9</v>
          </cell>
          <cell r="AB848">
            <v>0</v>
          </cell>
          <cell r="AC848">
            <v>2</v>
          </cell>
          <cell r="AD848">
            <v>-7</v>
          </cell>
        </row>
        <row r="849">
          <cell r="A849" t="str">
            <v>33.11.10575.02</v>
          </cell>
          <cell r="B849" t="str">
            <v>TRAVESSA / 33.11.10575.02</v>
          </cell>
          <cell r="C849">
            <v>46064</v>
          </cell>
          <cell r="D849" t="str">
            <v>-</v>
          </cell>
          <cell r="E849" t="str">
            <v>-</v>
          </cell>
          <cell r="F849" t="str">
            <v>-</v>
          </cell>
          <cell r="G849" t="str">
            <v>-</v>
          </cell>
          <cell r="H849" t="str">
            <v>-</v>
          </cell>
          <cell r="I849" t="str">
            <v>-</v>
          </cell>
          <cell r="J849">
            <v>0</v>
          </cell>
          <cell r="K849">
            <v>18</v>
          </cell>
          <cell r="L849" t="str">
            <v>ENTREGA PARCIAL</v>
          </cell>
          <cell r="M849" t="str">
            <v>-</v>
          </cell>
          <cell r="N849" t="str">
            <v>OC'S METALFISA</v>
          </cell>
          <cell r="O849">
            <v>52</v>
          </cell>
          <cell r="P849" t="str">
            <v>OC'S GRANATO</v>
          </cell>
          <cell r="Q849" t="str">
            <v>-</v>
          </cell>
          <cell r="S849" t="str">
            <v>-</v>
          </cell>
          <cell r="U849">
            <v>52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36</v>
          </cell>
          <cell r="AA849">
            <v>36</v>
          </cell>
          <cell r="AB849">
            <v>0</v>
          </cell>
          <cell r="AC849">
            <v>2</v>
          </cell>
          <cell r="AD849">
            <v>-34</v>
          </cell>
        </row>
        <row r="850">
          <cell r="A850" t="str">
            <v>33.11.10584.01</v>
          </cell>
          <cell r="B850" t="str">
            <v>SUPORTE ELETRONICA DE ENTRADA / 33.11.10584.01</v>
          </cell>
          <cell r="D850" t="str">
            <v>-</v>
          </cell>
          <cell r="E850" t="str">
            <v>-</v>
          </cell>
          <cell r="F850" t="str">
            <v>-</v>
          </cell>
          <cell r="G850" t="str">
            <v>-</v>
          </cell>
          <cell r="H850" t="str">
            <v>-</v>
          </cell>
          <cell r="I850" t="str">
            <v>-</v>
          </cell>
          <cell r="J850">
            <v>0</v>
          </cell>
          <cell r="K850">
            <v>-1</v>
          </cell>
          <cell r="L850" t="str">
            <v>FALTA ENTREGA</v>
          </cell>
          <cell r="M850" t="str">
            <v>-</v>
          </cell>
          <cell r="N850" t="str">
            <v>OC'S METALFISA</v>
          </cell>
          <cell r="O850" t="str">
            <v>-</v>
          </cell>
          <cell r="Q850" t="str">
            <v>-</v>
          </cell>
          <cell r="S850" t="str">
            <v>-</v>
          </cell>
          <cell r="U850">
            <v>0</v>
          </cell>
          <cell r="V850">
            <v>1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1</v>
          </cell>
          <cell r="AB850">
            <v>0</v>
          </cell>
          <cell r="AC850">
            <v>0</v>
          </cell>
          <cell r="AD850">
            <v>-1</v>
          </cell>
        </row>
        <row r="851">
          <cell r="A851" t="str">
            <v>33.11.10584.02</v>
          </cell>
          <cell r="B851" t="str">
            <v>SUPORTE ELETRONICA DE ENTRADA / 33.11.10584.02</v>
          </cell>
          <cell r="C851">
            <v>46064</v>
          </cell>
          <cell r="D851" t="str">
            <v>-</v>
          </cell>
          <cell r="E851" t="str">
            <v>-</v>
          </cell>
          <cell r="F851" t="str">
            <v>-</v>
          </cell>
          <cell r="G851" t="str">
            <v>-</v>
          </cell>
          <cell r="H851" t="str">
            <v>-</v>
          </cell>
          <cell r="I851" t="str">
            <v>-</v>
          </cell>
          <cell r="J851">
            <v>0</v>
          </cell>
          <cell r="K851">
            <v>9</v>
          </cell>
          <cell r="L851" t="str">
            <v>ENTREGA TOTAL</v>
          </cell>
          <cell r="M851" t="str">
            <v>-</v>
          </cell>
          <cell r="N851" t="str">
            <v>OC'S METALFISA</v>
          </cell>
          <cell r="O851">
            <v>9</v>
          </cell>
          <cell r="P851" t="str">
            <v>OC'S GRANATO</v>
          </cell>
          <cell r="Q851" t="str">
            <v>-</v>
          </cell>
          <cell r="S851" t="str">
            <v>-</v>
          </cell>
          <cell r="U851">
            <v>9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3</v>
          </cell>
          <cell r="AA851">
            <v>3</v>
          </cell>
          <cell r="AB851">
            <v>0</v>
          </cell>
          <cell r="AC851">
            <v>3</v>
          </cell>
          <cell r="AD851">
            <v>0</v>
          </cell>
        </row>
        <row r="852">
          <cell r="A852" t="str">
            <v>33.11.10586.02</v>
          </cell>
          <cell r="B852" t="str">
            <v>COLUNA / 33.11.10586.02</v>
          </cell>
          <cell r="C852">
            <v>46066</v>
          </cell>
          <cell r="D852" t="str">
            <v>-</v>
          </cell>
          <cell r="E852" t="str">
            <v>-</v>
          </cell>
          <cell r="F852" t="str">
            <v>-</v>
          </cell>
          <cell r="G852" t="str">
            <v>-</v>
          </cell>
          <cell r="H852" t="str">
            <v>-</v>
          </cell>
          <cell r="I852" t="str">
            <v>-</v>
          </cell>
          <cell r="J852">
            <v>0</v>
          </cell>
          <cell r="K852">
            <v>23</v>
          </cell>
          <cell r="L852" t="str">
            <v>ENTREGA PARCIAL</v>
          </cell>
          <cell r="M852">
            <v>4</v>
          </cell>
          <cell r="N852" t="str">
            <v>OC'S METALFISA</v>
          </cell>
          <cell r="O852">
            <v>28</v>
          </cell>
          <cell r="P852" t="str">
            <v>OC'S GRANATO</v>
          </cell>
          <cell r="Q852" t="str">
            <v>-</v>
          </cell>
          <cell r="S852" t="str">
            <v>-</v>
          </cell>
          <cell r="U852">
            <v>32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19</v>
          </cell>
          <cell r="AA852">
            <v>19</v>
          </cell>
          <cell r="AB852">
            <v>0</v>
          </cell>
          <cell r="AC852">
            <v>10</v>
          </cell>
          <cell r="AD852">
            <v>-9</v>
          </cell>
        </row>
        <row r="853">
          <cell r="A853" t="str">
            <v>33.11.10588.00</v>
          </cell>
          <cell r="B853" t="str">
            <v>SUPORTE DOS ROLETES / 33.11.10588.00</v>
          </cell>
          <cell r="C853">
            <v>46076</v>
          </cell>
          <cell r="D853" t="str">
            <v>-</v>
          </cell>
          <cell r="E853" t="str">
            <v>-</v>
          </cell>
          <cell r="F853" t="str">
            <v>-</v>
          </cell>
          <cell r="G853" t="str">
            <v>-</v>
          </cell>
          <cell r="H853" t="str">
            <v>-</v>
          </cell>
          <cell r="I853" t="str">
            <v>-</v>
          </cell>
          <cell r="J853">
            <v>0</v>
          </cell>
          <cell r="K853">
            <v>7</v>
          </cell>
          <cell r="L853" t="str">
            <v>ENTREGA PARCIAL</v>
          </cell>
          <cell r="M853" t="str">
            <v>-</v>
          </cell>
          <cell r="N853" t="str">
            <v>OC'S METALFISA</v>
          </cell>
          <cell r="O853">
            <v>21</v>
          </cell>
          <cell r="P853" t="str">
            <v>OC'S GRANATO</v>
          </cell>
          <cell r="Q853" t="str">
            <v>-</v>
          </cell>
          <cell r="S853" t="str">
            <v>-</v>
          </cell>
          <cell r="U853">
            <v>21</v>
          </cell>
          <cell r="V853">
            <v>2</v>
          </cell>
          <cell r="W853">
            <v>0</v>
          </cell>
          <cell r="X853">
            <v>0</v>
          </cell>
          <cell r="Y853">
            <v>0</v>
          </cell>
          <cell r="Z853">
            <v>18</v>
          </cell>
          <cell r="AA853">
            <v>20</v>
          </cell>
          <cell r="AB853">
            <v>0</v>
          </cell>
          <cell r="AC853">
            <v>6</v>
          </cell>
          <cell r="AD853">
            <v>-14</v>
          </cell>
        </row>
        <row r="854">
          <cell r="A854" t="str">
            <v>33.11.10593.01</v>
          </cell>
          <cell r="B854" t="str">
            <v>SUPORTE CONECTOR 24 PINOS / 33.11.10593.01</v>
          </cell>
          <cell r="D854" t="str">
            <v>-</v>
          </cell>
          <cell r="E854" t="str">
            <v>-</v>
          </cell>
          <cell r="F854" t="str">
            <v>-</v>
          </cell>
          <cell r="G854" t="str">
            <v>-</v>
          </cell>
          <cell r="H854" t="str">
            <v>-</v>
          </cell>
          <cell r="I854" t="str">
            <v>-</v>
          </cell>
          <cell r="J854">
            <v>0</v>
          </cell>
          <cell r="K854">
            <v>22</v>
          </cell>
          <cell r="L854" t="str">
            <v>ENTREGA PARCIAL</v>
          </cell>
          <cell r="M854">
            <v>6</v>
          </cell>
          <cell r="N854" t="str">
            <v>OC'S METALFISA</v>
          </cell>
          <cell r="O854">
            <v>55</v>
          </cell>
          <cell r="P854" t="str">
            <v>OC'S GRANATO</v>
          </cell>
          <cell r="Q854" t="str">
            <v>-</v>
          </cell>
          <cell r="S854" t="str">
            <v>-</v>
          </cell>
          <cell r="U854">
            <v>61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45</v>
          </cell>
          <cell r="AA854">
            <v>45</v>
          </cell>
          <cell r="AB854">
            <v>0</v>
          </cell>
          <cell r="AC854">
            <v>6</v>
          </cell>
          <cell r="AD854">
            <v>-39</v>
          </cell>
        </row>
        <row r="855">
          <cell r="A855" t="str">
            <v>33.11.10594.00</v>
          </cell>
          <cell r="B855" t="str">
            <v>ICAMENTO COLIMADOR DV / 33.11.10594.00</v>
          </cell>
          <cell r="C855">
            <v>46072</v>
          </cell>
          <cell r="D855" t="str">
            <v>-</v>
          </cell>
          <cell r="E855" t="str">
            <v>-</v>
          </cell>
          <cell r="F855" t="str">
            <v>-</v>
          </cell>
          <cell r="G855" t="str">
            <v>-</v>
          </cell>
          <cell r="H855" t="str">
            <v>-</v>
          </cell>
          <cell r="I855" t="str">
            <v>-</v>
          </cell>
          <cell r="J855">
            <v>0</v>
          </cell>
          <cell r="K855">
            <v>6</v>
          </cell>
          <cell r="L855" t="str">
            <v>ENTREGA PARCIAL</v>
          </cell>
          <cell r="M855">
            <v>2</v>
          </cell>
          <cell r="N855" t="str">
            <v>OC'S METALFISA</v>
          </cell>
          <cell r="O855">
            <v>8</v>
          </cell>
          <cell r="P855" t="str">
            <v>OC'S GRANATO</v>
          </cell>
          <cell r="Q855" t="str">
            <v>-</v>
          </cell>
          <cell r="S855" t="str">
            <v>-</v>
          </cell>
          <cell r="U855">
            <v>10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6</v>
          </cell>
          <cell r="AA855">
            <v>6</v>
          </cell>
          <cell r="AB855">
            <v>0</v>
          </cell>
          <cell r="AC855">
            <v>2</v>
          </cell>
          <cell r="AD855">
            <v>-4</v>
          </cell>
        </row>
        <row r="856">
          <cell r="A856" t="str">
            <v>33.11.10603.00</v>
          </cell>
          <cell r="B856" t="str">
            <v>SUPORTE DO TUBO VARIAN DV / 33.11.10603.00</v>
          </cell>
          <cell r="C856">
            <v>46074</v>
          </cell>
          <cell r="D856" t="str">
            <v>-</v>
          </cell>
          <cell r="E856" t="str">
            <v>-</v>
          </cell>
          <cell r="F856" t="str">
            <v>-</v>
          </cell>
          <cell r="G856" t="str">
            <v>-</v>
          </cell>
          <cell r="H856" t="str">
            <v>-</v>
          </cell>
          <cell r="I856" t="str">
            <v>-</v>
          </cell>
          <cell r="J856">
            <v>0</v>
          </cell>
          <cell r="K856">
            <v>6</v>
          </cell>
          <cell r="L856" t="str">
            <v>ENTREGA PARCIAL</v>
          </cell>
          <cell r="M856">
            <v>2</v>
          </cell>
          <cell r="N856" t="str">
            <v>OC'S METALFISA</v>
          </cell>
          <cell r="O856">
            <v>6</v>
          </cell>
          <cell r="P856" t="str">
            <v>OC'S GRANATO</v>
          </cell>
          <cell r="Q856" t="str">
            <v>-</v>
          </cell>
          <cell r="S856" t="str">
            <v>-</v>
          </cell>
          <cell r="U856">
            <v>8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6</v>
          </cell>
          <cell r="AA856">
            <v>6</v>
          </cell>
          <cell r="AB856">
            <v>0</v>
          </cell>
          <cell r="AC856">
            <v>4</v>
          </cell>
          <cell r="AD856">
            <v>-2</v>
          </cell>
        </row>
        <row r="857">
          <cell r="A857" t="str">
            <v>33.11.10608.00</v>
          </cell>
          <cell r="B857" t="str">
            <v>GARRA DO TUBO VARIAN DV / 33.11.10608.00</v>
          </cell>
          <cell r="C857">
            <v>46074</v>
          </cell>
          <cell r="D857" t="str">
            <v>-</v>
          </cell>
          <cell r="E857" t="str">
            <v>-</v>
          </cell>
          <cell r="F857" t="str">
            <v>-</v>
          </cell>
          <cell r="G857" t="str">
            <v>-</v>
          </cell>
          <cell r="H857" t="str">
            <v>-</v>
          </cell>
          <cell r="I857" t="str">
            <v>-</v>
          </cell>
          <cell r="J857">
            <v>0</v>
          </cell>
          <cell r="K857">
            <v>5</v>
          </cell>
          <cell r="L857" t="str">
            <v>ENTREGA PARCIAL</v>
          </cell>
          <cell r="M857">
            <v>1</v>
          </cell>
          <cell r="N857" t="str">
            <v>OC'S METALFISA</v>
          </cell>
          <cell r="O857">
            <v>7</v>
          </cell>
          <cell r="P857" t="str">
            <v>OC'S GRANATO</v>
          </cell>
          <cell r="Q857" t="str">
            <v>-</v>
          </cell>
          <cell r="S857" t="str">
            <v>-</v>
          </cell>
          <cell r="U857">
            <v>8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4</v>
          </cell>
          <cell r="AA857">
            <v>4</v>
          </cell>
          <cell r="AB857">
            <v>0</v>
          </cell>
          <cell r="AC857">
            <v>1</v>
          </cell>
          <cell r="AD857">
            <v>-3</v>
          </cell>
        </row>
        <row r="858">
          <cell r="A858" t="str">
            <v>33.11.10611.01</v>
          </cell>
          <cell r="B858" t="str">
            <v>CAIXA BLINDADA DO TUBO VARIAN DV / 33.11.10611.01</v>
          </cell>
          <cell r="C858">
            <v>46064</v>
          </cell>
          <cell r="D858" t="str">
            <v>-</v>
          </cell>
          <cell r="E858" t="str">
            <v>-</v>
          </cell>
          <cell r="F858" t="str">
            <v>-</v>
          </cell>
          <cell r="G858" t="str">
            <v>-</v>
          </cell>
          <cell r="H858" t="str">
            <v>-</v>
          </cell>
          <cell r="I858" t="str">
            <v>-</v>
          </cell>
          <cell r="J858">
            <v>0</v>
          </cell>
          <cell r="K858">
            <v>6</v>
          </cell>
          <cell r="L858" t="str">
            <v>ENTREGA PARCIAL</v>
          </cell>
          <cell r="M858">
            <v>2</v>
          </cell>
          <cell r="N858" t="str">
            <v>OC'S METALFISA</v>
          </cell>
          <cell r="O858">
            <v>8</v>
          </cell>
          <cell r="P858" t="str">
            <v>OC'S GRANATO</v>
          </cell>
          <cell r="Q858" t="str">
            <v>-</v>
          </cell>
          <cell r="S858" t="str">
            <v>-</v>
          </cell>
          <cell r="U858">
            <v>10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6</v>
          </cell>
          <cell r="AA858">
            <v>6</v>
          </cell>
          <cell r="AB858">
            <v>0</v>
          </cell>
          <cell r="AC858">
            <v>2</v>
          </cell>
          <cell r="AD858">
            <v>-4</v>
          </cell>
        </row>
        <row r="859">
          <cell r="A859" t="str">
            <v>33.11.10615.00</v>
          </cell>
          <cell r="B859" t="str">
            <v>TAMPA DA CAIXA DO TUBO VARIAN DV / 33.11.10615.00</v>
          </cell>
          <cell r="C859">
            <v>46059</v>
          </cell>
          <cell r="D859" t="str">
            <v>-</v>
          </cell>
          <cell r="E859" t="str">
            <v>-</v>
          </cell>
          <cell r="F859" t="str">
            <v>-</v>
          </cell>
          <cell r="G859" t="str">
            <v>-</v>
          </cell>
          <cell r="H859" t="str">
            <v>-</v>
          </cell>
          <cell r="I859" t="str">
            <v>-</v>
          </cell>
          <cell r="J859">
            <v>0</v>
          </cell>
          <cell r="K859">
            <v>6</v>
          </cell>
          <cell r="L859" t="str">
            <v>ENTREGA PARCIAL</v>
          </cell>
          <cell r="M859" t="str">
            <v>-</v>
          </cell>
          <cell r="N859" t="str">
            <v>OC'S METALFISA</v>
          </cell>
          <cell r="O859">
            <v>8</v>
          </cell>
          <cell r="P859" t="str">
            <v>OC'S GRANATO</v>
          </cell>
          <cell r="Q859" t="str">
            <v>-</v>
          </cell>
          <cell r="S859" t="str">
            <v>-</v>
          </cell>
          <cell r="U859">
            <v>8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6</v>
          </cell>
          <cell r="AA859">
            <v>6</v>
          </cell>
          <cell r="AB859">
            <v>0</v>
          </cell>
          <cell r="AC859">
            <v>4</v>
          </cell>
          <cell r="AD859">
            <v>-2</v>
          </cell>
        </row>
        <row r="860">
          <cell r="A860" t="str">
            <v>33.11.10616.00</v>
          </cell>
          <cell r="B860" t="str">
            <v>COLIMADOR DO TUBO VARIAN DV / 33.11.10616.00</v>
          </cell>
          <cell r="C860">
            <v>46064</v>
          </cell>
          <cell r="D860" t="str">
            <v>-</v>
          </cell>
          <cell r="E860" t="str">
            <v>-</v>
          </cell>
          <cell r="F860" t="str">
            <v>-</v>
          </cell>
          <cell r="G860" t="str">
            <v>-</v>
          </cell>
          <cell r="H860" t="str">
            <v>-</v>
          </cell>
          <cell r="I860" t="str">
            <v>-</v>
          </cell>
          <cell r="J860">
            <v>0</v>
          </cell>
          <cell r="K860">
            <v>6</v>
          </cell>
          <cell r="L860" t="str">
            <v>ENTREGA PARCIAL</v>
          </cell>
          <cell r="M860">
            <v>2</v>
          </cell>
          <cell r="N860" t="str">
            <v>OC'S METALFISA</v>
          </cell>
          <cell r="O860">
            <v>8</v>
          </cell>
          <cell r="P860" t="str">
            <v>OC'S GRANATO</v>
          </cell>
          <cell r="Q860" t="str">
            <v>-</v>
          </cell>
          <cell r="S860" t="str">
            <v>-</v>
          </cell>
          <cell r="U860">
            <v>10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6</v>
          </cell>
          <cell r="AA860">
            <v>6</v>
          </cell>
          <cell r="AB860">
            <v>0</v>
          </cell>
          <cell r="AC860">
            <v>2</v>
          </cell>
          <cell r="AD860">
            <v>-4</v>
          </cell>
        </row>
        <row r="861">
          <cell r="A861" t="str">
            <v>33.11.10617.00</v>
          </cell>
          <cell r="B861" t="str">
            <v>PARAFUSO DE REGULAGEM DO TUBO DV / 33.11.10617.00</v>
          </cell>
          <cell r="D861" t="str">
            <v>-</v>
          </cell>
          <cell r="E861" t="str">
            <v>-</v>
          </cell>
          <cell r="F861" t="str">
            <v>-</v>
          </cell>
          <cell r="G861" t="str">
            <v>-</v>
          </cell>
          <cell r="H861" t="str">
            <v>-</v>
          </cell>
          <cell r="I861" t="str">
            <v>-</v>
          </cell>
          <cell r="J861">
            <v>0</v>
          </cell>
          <cell r="K861">
            <v>4</v>
          </cell>
          <cell r="L861" t="str">
            <v>FALTA ENTREGA</v>
          </cell>
          <cell r="M861" t="str">
            <v>-</v>
          </cell>
          <cell r="N861" t="str">
            <v>OC'S METALFISA</v>
          </cell>
          <cell r="O861">
            <v>8</v>
          </cell>
          <cell r="P861" t="str">
            <v>OC'S GRANATO</v>
          </cell>
          <cell r="Q861" t="str">
            <v>-</v>
          </cell>
          <cell r="S861" t="str">
            <v>-</v>
          </cell>
          <cell r="U861">
            <v>8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4</v>
          </cell>
          <cell r="AA861">
            <v>4</v>
          </cell>
          <cell r="AB861">
            <v>0</v>
          </cell>
          <cell r="AC861">
            <v>0</v>
          </cell>
          <cell r="AD861">
            <v>-4</v>
          </cell>
        </row>
        <row r="862">
          <cell r="A862" t="str">
            <v>33.11.10618.00</v>
          </cell>
          <cell r="B862" t="str">
            <v>GUIA DE REGULAGEM DO TUBO DV / 33.11.10618.00</v>
          </cell>
          <cell r="C862">
            <v>46064</v>
          </cell>
          <cell r="D862" t="str">
            <v>-</v>
          </cell>
          <cell r="E862" t="str">
            <v>-</v>
          </cell>
          <cell r="F862" t="str">
            <v>-</v>
          </cell>
          <cell r="G862" t="str">
            <v>-</v>
          </cell>
          <cell r="H862" t="str">
            <v>-</v>
          </cell>
          <cell r="I862" t="str">
            <v>-</v>
          </cell>
          <cell r="J862">
            <v>0</v>
          </cell>
          <cell r="K862">
            <v>12</v>
          </cell>
          <cell r="L862" t="str">
            <v>ENTREGA PARCIAL</v>
          </cell>
          <cell r="M862">
            <v>4</v>
          </cell>
          <cell r="N862" t="str">
            <v>OC'S METALFISA</v>
          </cell>
          <cell r="O862">
            <v>16</v>
          </cell>
          <cell r="P862" t="str">
            <v>OC'S GRANATO</v>
          </cell>
          <cell r="Q862" t="str">
            <v>-</v>
          </cell>
          <cell r="S862" t="str">
            <v>-</v>
          </cell>
          <cell r="U862">
            <v>20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12</v>
          </cell>
          <cell r="AA862">
            <v>12</v>
          </cell>
          <cell r="AB862">
            <v>0</v>
          </cell>
          <cell r="AC862">
            <v>4</v>
          </cell>
          <cell r="AD862">
            <v>-8</v>
          </cell>
        </row>
        <row r="863">
          <cell r="A863" t="str">
            <v>33.11.10619.00</v>
          </cell>
          <cell r="B863" t="str">
            <v>SUPORTE DO TUBO VARIAN SV / 33.11.10619.00</v>
          </cell>
          <cell r="C863">
            <v>46074</v>
          </cell>
          <cell r="D863" t="str">
            <v>-</v>
          </cell>
          <cell r="E863" t="str">
            <v>-</v>
          </cell>
          <cell r="F863" t="str">
            <v>-</v>
          </cell>
          <cell r="G863" t="str">
            <v>-</v>
          </cell>
          <cell r="H863" t="str">
            <v>-</v>
          </cell>
          <cell r="I863" t="str">
            <v>-</v>
          </cell>
          <cell r="J863">
            <v>0</v>
          </cell>
          <cell r="K863">
            <v>6</v>
          </cell>
          <cell r="L863" t="str">
            <v>ENTREGA PARCIAL</v>
          </cell>
          <cell r="M863">
            <v>2</v>
          </cell>
          <cell r="N863" t="str">
            <v>OC'S METALFISA</v>
          </cell>
          <cell r="O863">
            <v>6</v>
          </cell>
          <cell r="P863" t="str">
            <v>OC'S GRANATO</v>
          </cell>
          <cell r="Q863" t="str">
            <v>-</v>
          </cell>
          <cell r="S863" t="str">
            <v>-</v>
          </cell>
          <cell r="U863">
            <v>8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6</v>
          </cell>
          <cell r="AA863">
            <v>6</v>
          </cell>
          <cell r="AB863">
            <v>0</v>
          </cell>
          <cell r="AC863">
            <v>4</v>
          </cell>
          <cell r="AD863">
            <v>-2</v>
          </cell>
        </row>
        <row r="864">
          <cell r="A864" t="str">
            <v>33.11.10620.00</v>
          </cell>
          <cell r="B864" t="str">
            <v>GARRA DO TUBO VARIAN SV / 33.11.10620.00</v>
          </cell>
          <cell r="C864">
            <v>46074</v>
          </cell>
          <cell r="D864" t="str">
            <v>-</v>
          </cell>
          <cell r="E864" t="str">
            <v>-</v>
          </cell>
          <cell r="F864" t="str">
            <v>-</v>
          </cell>
          <cell r="G864" t="str">
            <v>-</v>
          </cell>
          <cell r="H864" t="str">
            <v>-</v>
          </cell>
          <cell r="I864" t="str">
            <v>-</v>
          </cell>
          <cell r="J864">
            <v>0</v>
          </cell>
          <cell r="K864">
            <v>6</v>
          </cell>
          <cell r="L864" t="str">
            <v>ENTREGA PARCIAL</v>
          </cell>
          <cell r="M864">
            <v>2</v>
          </cell>
          <cell r="N864" t="str">
            <v>OC'S METALFISA</v>
          </cell>
          <cell r="O864">
            <v>6</v>
          </cell>
          <cell r="P864" t="str">
            <v>OC'S GRANATO</v>
          </cell>
          <cell r="Q864" t="str">
            <v>-</v>
          </cell>
          <cell r="S864" t="str">
            <v>-</v>
          </cell>
          <cell r="U864">
            <v>8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4</v>
          </cell>
          <cell r="AA864">
            <v>4</v>
          </cell>
          <cell r="AB864">
            <v>0</v>
          </cell>
          <cell r="AC864">
            <v>2</v>
          </cell>
          <cell r="AD864">
            <v>-2</v>
          </cell>
        </row>
        <row r="865">
          <cell r="A865" t="str">
            <v>33.11.10621.01</v>
          </cell>
          <cell r="B865" t="str">
            <v>CAIXA BLINDADA DO TUBO VARIAN SV / 33.11.10621.01</v>
          </cell>
          <cell r="C865">
            <v>46064</v>
          </cell>
          <cell r="D865" t="str">
            <v>-</v>
          </cell>
          <cell r="E865" t="str">
            <v>-</v>
          </cell>
          <cell r="F865" t="str">
            <v>-</v>
          </cell>
          <cell r="G865" t="str">
            <v>-</v>
          </cell>
          <cell r="H865" t="str">
            <v>-</v>
          </cell>
          <cell r="I865" t="str">
            <v>-</v>
          </cell>
          <cell r="J865">
            <v>0</v>
          </cell>
          <cell r="K865">
            <v>6</v>
          </cell>
          <cell r="L865" t="str">
            <v>ENTREGA PARCIAL</v>
          </cell>
          <cell r="M865">
            <v>2</v>
          </cell>
          <cell r="N865" t="str">
            <v>OC'S METALFISA</v>
          </cell>
          <cell r="O865">
            <v>8</v>
          </cell>
          <cell r="P865" t="str">
            <v>OC'S GRANATO</v>
          </cell>
          <cell r="Q865" t="str">
            <v>-</v>
          </cell>
          <cell r="S865" t="str">
            <v>-</v>
          </cell>
          <cell r="U865">
            <v>10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6</v>
          </cell>
          <cell r="AA865">
            <v>6</v>
          </cell>
          <cell r="AB865">
            <v>0</v>
          </cell>
          <cell r="AC865">
            <v>2</v>
          </cell>
          <cell r="AD865">
            <v>-4</v>
          </cell>
        </row>
        <row r="866">
          <cell r="A866" t="str">
            <v>33.11.10622.00</v>
          </cell>
          <cell r="B866" t="str">
            <v>TAMPA DA CAIXA DO TUBO VARIAN SV / 33.11.10622.00</v>
          </cell>
          <cell r="C866">
            <v>46066</v>
          </cell>
          <cell r="D866" t="str">
            <v>-</v>
          </cell>
          <cell r="E866" t="str">
            <v>-</v>
          </cell>
          <cell r="F866" t="str">
            <v>-</v>
          </cell>
          <cell r="G866" t="str">
            <v>-</v>
          </cell>
          <cell r="H866" t="str">
            <v>-</v>
          </cell>
          <cell r="I866" t="str">
            <v>-</v>
          </cell>
          <cell r="J866">
            <v>0</v>
          </cell>
          <cell r="K866">
            <v>6</v>
          </cell>
          <cell r="L866" t="str">
            <v>ENTREGA PARCIAL</v>
          </cell>
          <cell r="M866" t="str">
            <v>-</v>
          </cell>
          <cell r="N866" t="str">
            <v>OC'S METALFISA</v>
          </cell>
          <cell r="O866">
            <v>8</v>
          </cell>
          <cell r="P866" t="str">
            <v>OC'S GRANATO</v>
          </cell>
          <cell r="Q866" t="str">
            <v>-</v>
          </cell>
          <cell r="S866" t="str">
            <v>-</v>
          </cell>
          <cell r="U866">
            <v>8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6</v>
          </cell>
          <cell r="AA866">
            <v>6</v>
          </cell>
          <cell r="AB866">
            <v>0</v>
          </cell>
          <cell r="AC866">
            <v>4</v>
          </cell>
          <cell r="AD866">
            <v>-2</v>
          </cell>
        </row>
        <row r="867">
          <cell r="A867" t="str">
            <v>33.11.10623.00</v>
          </cell>
          <cell r="B867" t="str">
            <v>COLIMADOR DO TUBO VARIAN SV / 33.11.10623.00</v>
          </cell>
          <cell r="C867">
            <v>46064</v>
          </cell>
          <cell r="D867" t="str">
            <v>-</v>
          </cell>
          <cell r="E867" t="str">
            <v>-</v>
          </cell>
          <cell r="F867" t="str">
            <v>-</v>
          </cell>
          <cell r="G867" t="str">
            <v>-</v>
          </cell>
          <cell r="H867" t="str">
            <v>-</v>
          </cell>
          <cell r="I867" t="str">
            <v>-</v>
          </cell>
          <cell r="J867">
            <v>0</v>
          </cell>
          <cell r="K867">
            <v>6</v>
          </cell>
          <cell r="L867" t="str">
            <v>ENTREGA PARCIAL</v>
          </cell>
          <cell r="M867">
            <v>2</v>
          </cell>
          <cell r="N867" t="str">
            <v>OC'S METALFISA</v>
          </cell>
          <cell r="O867">
            <v>8</v>
          </cell>
          <cell r="P867" t="str">
            <v>OC'S GRANATO</v>
          </cell>
          <cell r="Q867" t="str">
            <v>-</v>
          </cell>
          <cell r="S867" t="str">
            <v>-</v>
          </cell>
          <cell r="U867">
            <v>10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6</v>
          </cell>
          <cell r="AA867">
            <v>6</v>
          </cell>
          <cell r="AB867">
            <v>0</v>
          </cell>
          <cell r="AC867">
            <v>2</v>
          </cell>
          <cell r="AD867">
            <v>-4</v>
          </cell>
        </row>
        <row r="868">
          <cell r="A868" t="str">
            <v>33.11.10624.00</v>
          </cell>
          <cell r="B868" t="str">
            <v>PARAFUSO DE REGULAGEM DO TUBO SV / 33.11.10624.00</v>
          </cell>
          <cell r="D868" t="str">
            <v>-</v>
          </cell>
          <cell r="E868" t="str">
            <v>-</v>
          </cell>
          <cell r="F868" t="str">
            <v>-</v>
          </cell>
          <cell r="G868" t="str">
            <v>-</v>
          </cell>
          <cell r="H868" t="str">
            <v>-</v>
          </cell>
          <cell r="I868" t="str">
            <v>-</v>
          </cell>
          <cell r="J868">
            <v>0</v>
          </cell>
          <cell r="K868">
            <v>4</v>
          </cell>
          <cell r="L868" t="str">
            <v>FALTA ENTREGA</v>
          </cell>
          <cell r="M868" t="str">
            <v>-</v>
          </cell>
          <cell r="N868" t="str">
            <v>OC'S METALFISA</v>
          </cell>
          <cell r="O868">
            <v>8</v>
          </cell>
          <cell r="P868" t="str">
            <v>OC'S GRANATO</v>
          </cell>
          <cell r="Q868" t="str">
            <v>-</v>
          </cell>
          <cell r="S868" t="str">
            <v>-</v>
          </cell>
          <cell r="U868">
            <v>8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4</v>
          </cell>
          <cell r="AA868">
            <v>4</v>
          </cell>
          <cell r="AB868">
            <v>0</v>
          </cell>
          <cell r="AC868">
            <v>0</v>
          </cell>
          <cell r="AD868">
            <v>-4</v>
          </cell>
        </row>
        <row r="869">
          <cell r="A869" t="str">
            <v>33.11.10625.00</v>
          </cell>
          <cell r="B869" t="str">
            <v>GUIA DE REGULAGEM DO TUBO SV / 33.11.10625.00</v>
          </cell>
          <cell r="C869">
            <v>46064</v>
          </cell>
          <cell r="D869" t="str">
            <v>-</v>
          </cell>
          <cell r="E869" t="str">
            <v>-</v>
          </cell>
          <cell r="F869" t="str">
            <v>-</v>
          </cell>
          <cell r="G869" t="str">
            <v>-</v>
          </cell>
          <cell r="H869" t="str">
            <v>-</v>
          </cell>
          <cell r="I869" t="str">
            <v>-</v>
          </cell>
          <cell r="J869">
            <v>0</v>
          </cell>
          <cell r="K869">
            <v>12</v>
          </cell>
          <cell r="L869" t="str">
            <v>ENTREGA PARCIAL</v>
          </cell>
          <cell r="M869">
            <v>4</v>
          </cell>
          <cell r="N869" t="str">
            <v>OC'S METALFISA</v>
          </cell>
          <cell r="O869">
            <v>16</v>
          </cell>
          <cell r="P869" t="str">
            <v>OC'S GRANATO</v>
          </cell>
          <cell r="Q869" t="str">
            <v>-</v>
          </cell>
          <cell r="S869" t="str">
            <v>-</v>
          </cell>
          <cell r="U869">
            <v>20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12</v>
          </cell>
          <cell r="AA869">
            <v>12</v>
          </cell>
          <cell r="AB869">
            <v>0</v>
          </cell>
          <cell r="AC869">
            <v>4</v>
          </cell>
          <cell r="AD869">
            <v>-8</v>
          </cell>
        </row>
        <row r="870">
          <cell r="A870" t="str">
            <v>33.11.10633.00</v>
          </cell>
          <cell r="B870" t="str">
            <v>LATERAL A DA PROTECAO DO CABO DV / 33.11.10633.00</v>
          </cell>
          <cell r="C870">
            <v>46064</v>
          </cell>
          <cell r="D870" t="str">
            <v>-</v>
          </cell>
          <cell r="E870" t="str">
            <v>-</v>
          </cell>
          <cell r="F870" t="str">
            <v>-</v>
          </cell>
          <cell r="G870" t="str">
            <v>-</v>
          </cell>
          <cell r="H870" t="str">
            <v>-</v>
          </cell>
          <cell r="I870" t="str">
            <v>-</v>
          </cell>
          <cell r="J870">
            <v>0</v>
          </cell>
          <cell r="K870">
            <v>16</v>
          </cell>
          <cell r="L870" t="str">
            <v>ENTREGA PARCIAL</v>
          </cell>
          <cell r="M870">
            <v>4</v>
          </cell>
          <cell r="N870" t="str">
            <v>OC'S METALFISA</v>
          </cell>
          <cell r="O870">
            <v>16</v>
          </cell>
          <cell r="P870" t="str">
            <v>OC'S GRANATO</v>
          </cell>
          <cell r="Q870" t="str">
            <v>-</v>
          </cell>
          <cell r="S870" t="str">
            <v>-</v>
          </cell>
          <cell r="U870">
            <v>20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12</v>
          </cell>
          <cell r="AA870">
            <v>12</v>
          </cell>
          <cell r="AB870">
            <v>0</v>
          </cell>
          <cell r="AC870">
            <v>8</v>
          </cell>
          <cell r="AD870">
            <v>-4</v>
          </cell>
        </row>
        <row r="871">
          <cell r="A871" t="str">
            <v>33.11.10634.00</v>
          </cell>
          <cell r="B871" t="str">
            <v>LATERAL B DA PROTECAO DO CABO DV / 33.11.10634.00</v>
          </cell>
          <cell r="D871" t="str">
            <v>-</v>
          </cell>
          <cell r="E871" t="str">
            <v>-</v>
          </cell>
          <cell r="F871" t="str">
            <v>-</v>
          </cell>
          <cell r="G871" t="str">
            <v>-</v>
          </cell>
          <cell r="H871" t="str">
            <v>-</v>
          </cell>
          <cell r="I871" t="str">
            <v>-</v>
          </cell>
          <cell r="J871">
            <v>0</v>
          </cell>
          <cell r="K871">
            <v>8</v>
          </cell>
          <cell r="L871" t="str">
            <v>FALTA ENTREGA</v>
          </cell>
          <cell r="M871">
            <v>4</v>
          </cell>
          <cell r="N871" t="str">
            <v>OC'S METALFISA</v>
          </cell>
          <cell r="O871">
            <v>16</v>
          </cell>
          <cell r="P871" t="str">
            <v>OC'S GRANATO</v>
          </cell>
          <cell r="Q871" t="str">
            <v>-</v>
          </cell>
          <cell r="S871" t="str">
            <v>-</v>
          </cell>
          <cell r="U871">
            <v>20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12</v>
          </cell>
          <cell r="AA871">
            <v>12</v>
          </cell>
          <cell r="AB871">
            <v>0</v>
          </cell>
          <cell r="AC871">
            <v>0</v>
          </cell>
          <cell r="AD871">
            <v>-12</v>
          </cell>
        </row>
        <row r="872">
          <cell r="A872" t="str">
            <v>33.11.10640.00</v>
          </cell>
          <cell r="B872" t="str">
            <v>FECHAMENTO DAS MANGUEIRAS DE REFRIGERACAO SV / DV / 33.11.10640.00</v>
          </cell>
          <cell r="C872">
            <v>46074</v>
          </cell>
          <cell r="D872" t="str">
            <v>-</v>
          </cell>
          <cell r="E872" t="str">
            <v>-</v>
          </cell>
          <cell r="F872" t="str">
            <v>-</v>
          </cell>
          <cell r="G872" t="str">
            <v>-</v>
          </cell>
          <cell r="H872" t="str">
            <v>-</v>
          </cell>
          <cell r="I872" t="str">
            <v>-</v>
          </cell>
          <cell r="J872">
            <v>0</v>
          </cell>
          <cell r="K872">
            <v>28</v>
          </cell>
          <cell r="L872" t="str">
            <v>ENTREGA PARCIAL</v>
          </cell>
          <cell r="M872">
            <v>4</v>
          </cell>
          <cell r="N872" t="str">
            <v>OC'S METALFISA</v>
          </cell>
          <cell r="O872">
            <v>32</v>
          </cell>
          <cell r="P872" t="str">
            <v>OC'S GRANATO</v>
          </cell>
          <cell r="Q872" t="str">
            <v>-</v>
          </cell>
          <cell r="S872" t="str">
            <v>-</v>
          </cell>
          <cell r="U872">
            <v>36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20</v>
          </cell>
          <cell r="AA872">
            <v>20</v>
          </cell>
          <cell r="AB872">
            <v>0</v>
          </cell>
          <cell r="AC872">
            <v>12</v>
          </cell>
          <cell r="AD872">
            <v>-8</v>
          </cell>
        </row>
        <row r="873">
          <cell r="A873" t="str">
            <v>33.11.10641.00</v>
          </cell>
          <cell r="B873" t="str">
            <v>ALAVANCA DE AJUSTE A TUBO VARIAN DV / 33.11.10641.00</v>
          </cell>
          <cell r="D873" t="str">
            <v>-</v>
          </cell>
          <cell r="E873" t="str">
            <v>-</v>
          </cell>
          <cell r="F873" t="str">
            <v>-</v>
          </cell>
          <cell r="G873" t="str">
            <v>-</v>
          </cell>
          <cell r="H873" t="str">
            <v>-</v>
          </cell>
          <cell r="I873" t="str">
            <v>-</v>
          </cell>
          <cell r="J873">
            <v>0</v>
          </cell>
          <cell r="K873">
            <v>3</v>
          </cell>
          <cell r="L873" t="str">
            <v>FALTA ENTREGA</v>
          </cell>
          <cell r="M873" t="str">
            <v>-</v>
          </cell>
          <cell r="N873" t="str">
            <v>OC'S METALFISA</v>
          </cell>
          <cell r="O873">
            <v>9</v>
          </cell>
          <cell r="P873" t="str">
            <v>OC'S GRANATO</v>
          </cell>
          <cell r="Q873" t="str">
            <v>-</v>
          </cell>
          <cell r="S873" t="str">
            <v>-</v>
          </cell>
          <cell r="U873">
            <v>9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6</v>
          </cell>
          <cell r="AA873">
            <v>6</v>
          </cell>
          <cell r="AB873">
            <v>0</v>
          </cell>
          <cell r="AC873">
            <v>0</v>
          </cell>
          <cell r="AD873">
            <v>-6</v>
          </cell>
        </row>
        <row r="874">
          <cell r="A874" t="str">
            <v>33.11.10642.00</v>
          </cell>
          <cell r="B874" t="str">
            <v>ALAVANCA DE AJUSTE B TUBO VARIAN DV / 33.11.10642.00</v>
          </cell>
          <cell r="C874">
            <v>46069</v>
          </cell>
          <cell r="D874" t="str">
            <v>-</v>
          </cell>
          <cell r="E874" t="str">
            <v>-</v>
          </cell>
          <cell r="F874" t="str">
            <v>-</v>
          </cell>
          <cell r="G874" t="str">
            <v>-</v>
          </cell>
          <cell r="H874" t="str">
            <v>-</v>
          </cell>
          <cell r="I874" t="str">
            <v>-</v>
          </cell>
          <cell r="J874">
            <v>0</v>
          </cell>
          <cell r="K874">
            <v>7</v>
          </cell>
          <cell r="L874" t="str">
            <v>ENTREGA PARCIAL</v>
          </cell>
          <cell r="M874" t="str">
            <v>-</v>
          </cell>
          <cell r="N874" t="str">
            <v>OC'S METALFISA</v>
          </cell>
          <cell r="O874">
            <v>9</v>
          </cell>
          <cell r="P874" t="str">
            <v>OC'S GRANATO</v>
          </cell>
          <cell r="Q874" t="str">
            <v>-</v>
          </cell>
          <cell r="S874" t="str">
            <v>-</v>
          </cell>
          <cell r="U874">
            <v>9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4</v>
          </cell>
          <cell r="AA874">
            <v>4</v>
          </cell>
          <cell r="AB874">
            <v>0</v>
          </cell>
          <cell r="AC874">
            <v>2</v>
          </cell>
          <cell r="AD874">
            <v>-2</v>
          </cell>
        </row>
        <row r="875">
          <cell r="A875" t="str">
            <v>33.11.10647.00</v>
          </cell>
          <cell r="B875" t="str">
            <v>LATERAL A DA PROTECAO DO CABO SV / 33.11.10647.00</v>
          </cell>
          <cell r="C875">
            <v>46064</v>
          </cell>
          <cell r="D875" t="str">
            <v>-</v>
          </cell>
          <cell r="E875" t="str">
            <v>-</v>
          </cell>
          <cell r="F875" t="str">
            <v>-</v>
          </cell>
          <cell r="G875" t="str">
            <v>-</v>
          </cell>
          <cell r="H875" t="str">
            <v>-</v>
          </cell>
          <cell r="I875" t="str">
            <v>-</v>
          </cell>
          <cell r="J875">
            <v>0</v>
          </cell>
          <cell r="K875">
            <v>16</v>
          </cell>
          <cell r="L875" t="str">
            <v>ENTREGA PARCIAL</v>
          </cell>
          <cell r="M875">
            <v>4</v>
          </cell>
          <cell r="N875" t="str">
            <v>OC'S METALFISA</v>
          </cell>
          <cell r="O875">
            <v>16</v>
          </cell>
          <cell r="P875" t="str">
            <v>OC'S GRANATO</v>
          </cell>
          <cell r="Q875" t="str">
            <v>-</v>
          </cell>
          <cell r="S875" t="str">
            <v>-</v>
          </cell>
          <cell r="U875">
            <v>20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12</v>
          </cell>
          <cell r="AA875">
            <v>12</v>
          </cell>
          <cell r="AB875">
            <v>0</v>
          </cell>
          <cell r="AC875">
            <v>8</v>
          </cell>
          <cell r="AD875">
            <v>-4</v>
          </cell>
        </row>
        <row r="876">
          <cell r="A876" t="str">
            <v>33.11.10648.00</v>
          </cell>
          <cell r="B876" t="str">
            <v>LATERAL B DA PROTECAO DO CABO SV / 33.11.10648.00</v>
          </cell>
          <cell r="D876" t="str">
            <v>-</v>
          </cell>
          <cell r="E876" t="str">
            <v>-</v>
          </cell>
          <cell r="F876" t="str">
            <v>-</v>
          </cell>
          <cell r="G876" t="str">
            <v>-</v>
          </cell>
          <cell r="H876" t="str">
            <v>-</v>
          </cell>
          <cell r="I876" t="str">
            <v>-</v>
          </cell>
          <cell r="J876">
            <v>0</v>
          </cell>
          <cell r="K876">
            <v>8</v>
          </cell>
          <cell r="L876" t="str">
            <v>FALTA ENTREGA</v>
          </cell>
          <cell r="M876">
            <v>4</v>
          </cell>
          <cell r="N876" t="str">
            <v>OC'S METALFISA</v>
          </cell>
          <cell r="O876">
            <v>16</v>
          </cell>
          <cell r="P876" t="str">
            <v>OC'S GRANATO</v>
          </cell>
          <cell r="Q876" t="str">
            <v>-</v>
          </cell>
          <cell r="S876" t="str">
            <v>-</v>
          </cell>
          <cell r="U876">
            <v>20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12</v>
          </cell>
          <cell r="AA876">
            <v>12</v>
          </cell>
          <cell r="AB876">
            <v>0</v>
          </cell>
          <cell r="AC876">
            <v>0</v>
          </cell>
          <cell r="AD876">
            <v>-12</v>
          </cell>
        </row>
        <row r="877">
          <cell r="A877" t="str">
            <v>33.11.10654.00</v>
          </cell>
          <cell r="B877" t="str">
            <v>ALAVANCA DE AJUSTE A TUBO VARIAN SV / 33.11.10654.00</v>
          </cell>
          <cell r="D877" t="str">
            <v>-</v>
          </cell>
          <cell r="E877" t="str">
            <v>-</v>
          </cell>
          <cell r="F877" t="str">
            <v>-</v>
          </cell>
          <cell r="G877" t="str">
            <v>-</v>
          </cell>
          <cell r="H877" t="str">
            <v>-</v>
          </cell>
          <cell r="I877" t="str">
            <v>-</v>
          </cell>
          <cell r="J877">
            <v>0</v>
          </cell>
          <cell r="K877">
            <v>6</v>
          </cell>
          <cell r="L877" t="str">
            <v>ENTREGA PARCIAL</v>
          </cell>
          <cell r="M877" t="str">
            <v>-</v>
          </cell>
          <cell r="N877" t="str">
            <v>OC'S METALFISA</v>
          </cell>
          <cell r="O877">
            <v>7</v>
          </cell>
          <cell r="P877" t="str">
            <v>OC'S GRANATO</v>
          </cell>
          <cell r="Q877" t="str">
            <v>-</v>
          </cell>
          <cell r="S877" t="str">
            <v>-</v>
          </cell>
          <cell r="U877">
            <v>7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5</v>
          </cell>
          <cell r="AA877">
            <v>5</v>
          </cell>
          <cell r="AB877">
            <v>0</v>
          </cell>
          <cell r="AC877">
            <v>4</v>
          </cell>
          <cell r="AD877">
            <v>-1</v>
          </cell>
        </row>
        <row r="878">
          <cell r="A878" t="str">
            <v>33.11.10655.00</v>
          </cell>
          <cell r="B878" t="str">
            <v>ALAVANCA DE AJUSTE B TUBO VARIAN SV / 33.11.10655.00</v>
          </cell>
          <cell r="C878">
            <v>46066</v>
          </cell>
          <cell r="D878" t="str">
            <v>-</v>
          </cell>
          <cell r="E878" t="str">
            <v>-</v>
          </cell>
          <cell r="F878" t="str">
            <v>-</v>
          </cell>
          <cell r="G878" t="str">
            <v>-</v>
          </cell>
          <cell r="H878" t="str">
            <v>-</v>
          </cell>
          <cell r="I878" t="str">
            <v>-</v>
          </cell>
          <cell r="J878">
            <v>0</v>
          </cell>
          <cell r="K878">
            <v>6</v>
          </cell>
          <cell r="L878" t="str">
            <v>ENTREGA PARCIAL</v>
          </cell>
          <cell r="M878" t="str">
            <v>-</v>
          </cell>
          <cell r="N878" t="str">
            <v>OC'S METALFISA</v>
          </cell>
          <cell r="O878">
            <v>9</v>
          </cell>
          <cell r="P878" t="str">
            <v>OC'S GRANATO</v>
          </cell>
          <cell r="Q878" t="str">
            <v>-</v>
          </cell>
          <cell r="S878" t="str">
            <v>-</v>
          </cell>
          <cell r="U878">
            <v>9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5</v>
          </cell>
          <cell r="AA878">
            <v>5</v>
          </cell>
          <cell r="AB878">
            <v>0</v>
          </cell>
          <cell r="AC878">
            <v>2</v>
          </cell>
          <cell r="AD878">
            <v>-3</v>
          </cell>
        </row>
        <row r="879">
          <cell r="A879" t="str">
            <v>33.11.10658.00</v>
          </cell>
          <cell r="B879" t="str">
            <v>TRILHO EXTERNO PARA GERADOR 320 KV DV / 33.11.10658.00</v>
          </cell>
          <cell r="D879" t="str">
            <v>-</v>
          </cell>
          <cell r="E879" t="str">
            <v>-</v>
          </cell>
          <cell r="F879" t="str">
            <v>-</v>
          </cell>
          <cell r="G879" t="str">
            <v>-</v>
          </cell>
          <cell r="H879" t="str">
            <v>-</v>
          </cell>
          <cell r="I879" t="str">
            <v>-</v>
          </cell>
          <cell r="J879">
            <v>0</v>
          </cell>
          <cell r="K879">
            <v>8</v>
          </cell>
          <cell r="L879" t="str">
            <v>FALTA ENTREGA</v>
          </cell>
          <cell r="M879">
            <v>4</v>
          </cell>
          <cell r="N879" t="str">
            <v>OC'S METALFISA</v>
          </cell>
          <cell r="O879">
            <v>16</v>
          </cell>
          <cell r="P879" t="str">
            <v>OC'S GRANATO</v>
          </cell>
          <cell r="Q879" t="str">
            <v>-</v>
          </cell>
          <cell r="S879" t="str">
            <v>-</v>
          </cell>
          <cell r="U879">
            <v>20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12</v>
          </cell>
          <cell r="AA879">
            <v>12</v>
          </cell>
          <cell r="AB879">
            <v>0</v>
          </cell>
          <cell r="AC879">
            <v>0</v>
          </cell>
          <cell r="AD879">
            <v>-12</v>
          </cell>
        </row>
        <row r="880">
          <cell r="A880" t="str">
            <v>33.11.10659.00</v>
          </cell>
          <cell r="B880" t="str">
            <v>SUPORTE DO TRILHO DO GERADOR 320 KV DV / 33.11.10659.00</v>
          </cell>
          <cell r="C880">
            <v>46066</v>
          </cell>
          <cell r="D880" t="str">
            <v>-</v>
          </cell>
          <cell r="E880" t="str">
            <v>-</v>
          </cell>
          <cell r="F880" t="str">
            <v>-</v>
          </cell>
          <cell r="G880" t="str">
            <v>-</v>
          </cell>
          <cell r="H880" t="str">
            <v>-</v>
          </cell>
          <cell r="I880" t="str">
            <v>-</v>
          </cell>
          <cell r="J880">
            <v>0</v>
          </cell>
          <cell r="K880">
            <v>24</v>
          </cell>
          <cell r="L880" t="str">
            <v>ENTREGA PARCIAL</v>
          </cell>
          <cell r="M880" t="str">
            <v>-</v>
          </cell>
          <cell r="N880" t="str">
            <v>OC'S METALFISA</v>
          </cell>
          <cell r="O880">
            <v>33</v>
          </cell>
          <cell r="P880" t="str">
            <v>OC'S GRANATO</v>
          </cell>
          <cell r="Q880" t="str">
            <v>-</v>
          </cell>
          <cell r="S880" t="str">
            <v>-</v>
          </cell>
          <cell r="U880">
            <v>33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17</v>
          </cell>
          <cell r="AA880">
            <v>17</v>
          </cell>
          <cell r="AB880">
            <v>0</v>
          </cell>
          <cell r="AC880">
            <v>8</v>
          </cell>
          <cell r="AD880">
            <v>-9</v>
          </cell>
        </row>
        <row r="881">
          <cell r="A881" t="str">
            <v>33.11.10660.00</v>
          </cell>
          <cell r="B881" t="str">
            <v>TRILHO INTERNO PARA GERADOR 320 KV DV / 33.11.10660.00</v>
          </cell>
          <cell r="C881">
            <v>46059</v>
          </cell>
          <cell r="D881" t="str">
            <v>-</v>
          </cell>
          <cell r="E881" t="str">
            <v>-</v>
          </cell>
          <cell r="F881" t="str">
            <v>-</v>
          </cell>
          <cell r="G881" t="str">
            <v>-</v>
          </cell>
          <cell r="H881" t="str">
            <v>-</v>
          </cell>
          <cell r="I881" t="str">
            <v>-</v>
          </cell>
          <cell r="J881">
            <v>0</v>
          </cell>
          <cell r="K881">
            <v>7</v>
          </cell>
          <cell r="L881" t="str">
            <v>ENTREGA PARCIAL</v>
          </cell>
          <cell r="M881">
            <v>2</v>
          </cell>
          <cell r="N881" t="str">
            <v>OC'S METALFISA</v>
          </cell>
          <cell r="O881">
            <v>8</v>
          </cell>
          <cell r="P881" t="str">
            <v>OC'S GRANATO</v>
          </cell>
          <cell r="Q881" t="str">
            <v>-</v>
          </cell>
          <cell r="S881" t="str">
            <v>-</v>
          </cell>
          <cell r="U881">
            <v>10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6</v>
          </cell>
          <cell r="AA881">
            <v>6</v>
          </cell>
          <cell r="AB881">
            <v>0</v>
          </cell>
          <cell r="AC881">
            <v>3</v>
          </cell>
          <cell r="AD881">
            <v>-3</v>
          </cell>
        </row>
        <row r="882">
          <cell r="A882" t="str">
            <v>33.11.10666.00</v>
          </cell>
          <cell r="B882" t="str">
            <v>BATENTE/33.11.10666.00</v>
          </cell>
          <cell r="C882">
            <v>46064</v>
          </cell>
          <cell r="D882" t="str">
            <v>-</v>
          </cell>
          <cell r="E882" t="str">
            <v>-</v>
          </cell>
          <cell r="F882" t="str">
            <v>-</v>
          </cell>
          <cell r="G882" t="str">
            <v>-</v>
          </cell>
          <cell r="H882" t="str">
            <v>-</v>
          </cell>
          <cell r="I882">
            <v>1</v>
          </cell>
          <cell r="J882">
            <v>1</v>
          </cell>
          <cell r="K882">
            <v>8</v>
          </cell>
          <cell r="L882" t="str">
            <v>FALTA ENTREGA</v>
          </cell>
          <cell r="M882">
            <v>4</v>
          </cell>
          <cell r="N882" t="str">
            <v>OC'S METALFISA</v>
          </cell>
          <cell r="O882">
            <v>24</v>
          </cell>
          <cell r="P882" t="str">
            <v>OC'S GRANATO</v>
          </cell>
          <cell r="Q882" t="str">
            <v>-</v>
          </cell>
          <cell r="S882" t="str">
            <v>-</v>
          </cell>
          <cell r="U882">
            <v>28</v>
          </cell>
          <cell r="V882">
            <v>1</v>
          </cell>
          <cell r="W882">
            <v>0</v>
          </cell>
          <cell r="X882">
            <v>0</v>
          </cell>
          <cell r="Y882">
            <v>0</v>
          </cell>
          <cell r="Z882">
            <v>20</v>
          </cell>
          <cell r="AA882">
            <v>21</v>
          </cell>
          <cell r="AB882">
            <v>1</v>
          </cell>
          <cell r="AC882">
            <v>0</v>
          </cell>
          <cell r="AD882">
            <v>-21</v>
          </cell>
        </row>
        <row r="883">
          <cell r="A883" t="str">
            <v>33.11.10667.00</v>
          </cell>
          <cell r="B883" t="str">
            <v>ACABAMENTO/33.11.10667.00</v>
          </cell>
          <cell r="C883">
            <v>46074</v>
          </cell>
          <cell r="D883" t="str">
            <v>-</v>
          </cell>
          <cell r="E883" t="str">
            <v>-</v>
          </cell>
          <cell r="F883" t="str">
            <v>-</v>
          </cell>
          <cell r="G883" t="str">
            <v>-</v>
          </cell>
          <cell r="H883" t="str">
            <v>-</v>
          </cell>
          <cell r="I883" t="str">
            <v>-</v>
          </cell>
          <cell r="J883">
            <v>0</v>
          </cell>
          <cell r="K883">
            <v>14</v>
          </cell>
          <cell r="L883" t="str">
            <v>ENTREGA PARCIAL</v>
          </cell>
          <cell r="M883">
            <v>4</v>
          </cell>
          <cell r="N883" t="str">
            <v>OC'S METALFISA</v>
          </cell>
          <cell r="O883">
            <v>24</v>
          </cell>
          <cell r="P883" t="str">
            <v>OC'S GRANATO</v>
          </cell>
          <cell r="Q883" t="str">
            <v>-</v>
          </cell>
          <cell r="S883" t="str">
            <v>-</v>
          </cell>
          <cell r="U883">
            <v>28</v>
          </cell>
          <cell r="V883">
            <v>2</v>
          </cell>
          <cell r="W883">
            <v>0</v>
          </cell>
          <cell r="X883">
            <v>0</v>
          </cell>
          <cell r="Y883">
            <v>0</v>
          </cell>
          <cell r="Z883">
            <v>20</v>
          </cell>
          <cell r="AA883">
            <v>22</v>
          </cell>
          <cell r="AB883">
            <v>0</v>
          </cell>
          <cell r="AC883">
            <v>8</v>
          </cell>
          <cell r="AD883">
            <v>-14</v>
          </cell>
        </row>
        <row r="884">
          <cell r="A884" t="str">
            <v>33.11.10675.01</v>
          </cell>
          <cell r="B884" t="str">
            <v>SUSTENTACAO TUNEL / 33.11.10675.01</v>
          </cell>
          <cell r="C884">
            <v>46074</v>
          </cell>
          <cell r="D884" t="str">
            <v>-</v>
          </cell>
          <cell r="E884" t="str">
            <v>-</v>
          </cell>
          <cell r="F884" t="str">
            <v>-</v>
          </cell>
          <cell r="G884" t="str">
            <v>-</v>
          </cell>
          <cell r="H884" t="str">
            <v>-</v>
          </cell>
          <cell r="I884" t="str">
            <v>-</v>
          </cell>
          <cell r="J884">
            <v>0</v>
          </cell>
          <cell r="K884">
            <v>27</v>
          </cell>
          <cell r="L884" t="str">
            <v>ENTREGA PARCIAL</v>
          </cell>
          <cell r="M884">
            <v>4</v>
          </cell>
          <cell r="N884" t="str">
            <v>OC'S METALFISA</v>
          </cell>
          <cell r="O884">
            <v>45</v>
          </cell>
          <cell r="P884" t="str">
            <v>OC'S GRANATO</v>
          </cell>
          <cell r="Q884" t="str">
            <v>-</v>
          </cell>
          <cell r="S884" t="str">
            <v>-</v>
          </cell>
          <cell r="U884">
            <v>49</v>
          </cell>
          <cell r="V884">
            <v>5</v>
          </cell>
          <cell r="W884">
            <v>0</v>
          </cell>
          <cell r="X884">
            <v>0</v>
          </cell>
          <cell r="Y884">
            <v>0</v>
          </cell>
          <cell r="Z884">
            <v>30</v>
          </cell>
          <cell r="AA884">
            <v>35</v>
          </cell>
          <cell r="AB884">
            <v>0</v>
          </cell>
          <cell r="AC884">
            <v>13</v>
          </cell>
          <cell r="AD884">
            <v>-22</v>
          </cell>
        </row>
        <row r="885">
          <cell r="A885" t="str">
            <v>33.11.10681.00</v>
          </cell>
          <cell r="B885" t="str">
            <v>COLIMADOR / 33.11.10681.00</v>
          </cell>
          <cell r="C885">
            <v>46074</v>
          </cell>
          <cell r="D885" t="str">
            <v>-</v>
          </cell>
          <cell r="E885" t="str">
            <v>-</v>
          </cell>
          <cell r="F885" t="str">
            <v>-</v>
          </cell>
          <cell r="G885" t="str">
            <v>-</v>
          </cell>
          <cell r="H885" t="str">
            <v>-</v>
          </cell>
          <cell r="I885" t="str">
            <v>-</v>
          </cell>
          <cell r="J885">
            <v>0</v>
          </cell>
          <cell r="K885">
            <v>6</v>
          </cell>
          <cell r="L885" t="str">
            <v>ENTREGA TOTAL</v>
          </cell>
          <cell r="M885" t="str">
            <v>-</v>
          </cell>
          <cell r="N885" t="str">
            <v>OC'S METALFISA</v>
          </cell>
          <cell r="O885">
            <v>6</v>
          </cell>
          <cell r="P885" t="str">
            <v>OC'S GRANATO</v>
          </cell>
          <cell r="Q885" t="str">
            <v>-</v>
          </cell>
          <cell r="S885" t="str">
            <v>-</v>
          </cell>
          <cell r="U885">
            <v>6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6</v>
          </cell>
          <cell r="AA885">
            <v>6</v>
          </cell>
          <cell r="AB885">
            <v>0</v>
          </cell>
          <cell r="AC885">
            <v>6</v>
          </cell>
          <cell r="AD885">
            <v>0</v>
          </cell>
        </row>
        <row r="886">
          <cell r="A886" t="str">
            <v>33.11.10682.00</v>
          </cell>
          <cell r="B886" t="str">
            <v>COLIMADOR / 33.11.10682.00</v>
          </cell>
          <cell r="C886">
            <v>46066</v>
          </cell>
          <cell r="D886" t="str">
            <v>-</v>
          </cell>
          <cell r="E886" t="str">
            <v>-</v>
          </cell>
          <cell r="F886" t="str">
            <v>-</v>
          </cell>
          <cell r="G886" t="str">
            <v>-</v>
          </cell>
          <cell r="H886" t="str">
            <v>-</v>
          </cell>
          <cell r="I886" t="str">
            <v>-</v>
          </cell>
          <cell r="J886">
            <v>0</v>
          </cell>
          <cell r="K886">
            <v>8</v>
          </cell>
          <cell r="L886" t="str">
            <v>ENTREGA TOTAL</v>
          </cell>
          <cell r="M886" t="str">
            <v>-</v>
          </cell>
          <cell r="N886" t="str">
            <v>OC'S METALFISA</v>
          </cell>
          <cell r="O886">
            <v>6</v>
          </cell>
          <cell r="P886" t="str">
            <v>OC'S GRANATO</v>
          </cell>
          <cell r="Q886" t="str">
            <v>-</v>
          </cell>
          <cell r="S886" t="str">
            <v>-</v>
          </cell>
          <cell r="U886">
            <v>6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4</v>
          </cell>
          <cell r="AA886">
            <v>4</v>
          </cell>
          <cell r="AB886">
            <v>0</v>
          </cell>
          <cell r="AC886">
            <v>6</v>
          </cell>
          <cell r="AD886">
            <v>2</v>
          </cell>
        </row>
        <row r="887">
          <cell r="A887" t="str">
            <v>33.11.10683.00</v>
          </cell>
          <cell r="B887" t="str">
            <v>SUPORTE CORTINA EXTERNA EXTERMIDADE / 33.11.10683.00</v>
          </cell>
          <cell r="C887">
            <v>46069</v>
          </cell>
          <cell r="D887" t="str">
            <v>-</v>
          </cell>
          <cell r="E887" t="str">
            <v>-</v>
          </cell>
          <cell r="F887" t="str">
            <v>-</v>
          </cell>
          <cell r="G887" t="str">
            <v>-</v>
          </cell>
          <cell r="H887" t="str">
            <v>-</v>
          </cell>
          <cell r="I887" t="str">
            <v>-</v>
          </cell>
          <cell r="J887">
            <v>0</v>
          </cell>
          <cell r="K887">
            <v>10</v>
          </cell>
          <cell r="L887" t="str">
            <v>ENTREGA PARCIAL</v>
          </cell>
          <cell r="M887">
            <v>2</v>
          </cell>
          <cell r="N887" t="str">
            <v>OC'S METALFISA</v>
          </cell>
          <cell r="O887">
            <v>25</v>
          </cell>
          <cell r="P887" t="str">
            <v>OC'S GRANATO</v>
          </cell>
          <cell r="Q887" t="str">
            <v>-</v>
          </cell>
          <cell r="S887" t="str">
            <v>-</v>
          </cell>
          <cell r="U887">
            <v>27</v>
          </cell>
          <cell r="V887">
            <v>5</v>
          </cell>
          <cell r="W887">
            <v>0</v>
          </cell>
          <cell r="X887">
            <v>0</v>
          </cell>
          <cell r="Y887">
            <v>0</v>
          </cell>
          <cell r="Z887">
            <v>18</v>
          </cell>
          <cell r="AA887">
            <v>23</v>
          </cell>
          <cell r="AB887">
            <v>0</v>
          </cell>
          <cell r="AC887">
            <v>6</v>
          </cell>
          <cell r="AD887">
            <v>-17</v>
          </cell>
        </row>
        <row r="888">
          <cell r="A888" t="str">
            <v>33.11.10692.00</v>
          </cell>
          <cell r="B888" t="str">
            <v>FIXACAO ANODO E CATODO / 33.11.10692.00</v>
          </cell>
          <cell r="C888">
            <v>46066</v>
          </cell>
          <cell r="D888" t="str">
            <v>-</v>
          </cell>
          <cell r="E888" t="str">
            <v>-</v>
          </cell>
          <cell r="F888" t="str">
            <v>-</v>
          </cell>
          <cell r="G888" t="str">
            <v>-</v>
          </cell>
          <cell r="H888" t="str">
            <v>-</v>
          </cell>
          <cell r="I888" t="str">
            <v>-</v>
          </cell>
          <cell r="J888">
            <v>0</v>
          </cell>
          <cell r="K888">
            <v>24</v>
          </cell>
          <cell r="L888" t="str">
            <v>ENTREGA PARCIAL</v>
          </cell>
          <cell r="M888">
            <v>4</v>
          </cell>
          <cell r="N888" t="str">
            <v>OC'S METALFISA</v>
          </cell>
          <cell r="O888">
            <v>32</v>
          </cell>
          <cell r="P888" t="str">
            <v>OC'S GRANATO</v>
          </cell>
          <cell r="Q888" t="str">
            <v>-</v>
          </cell>
          <cell r="S888" t="str">
            <v>-</v>
          </cell>
          <cell r="U888">
            <v>36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20</v>
          </cell>
          <cell r="AA888">
            <v>20</v>
          </cell>
          <cell r="AB888">
            <v>0</v>
          </cell>
          <cell r="AC888">
            <v>8</v>
          </cell>
          <cell r="AD888">
            <v>-12</v>
          </cell>
        </row>
        <row r="889">
          <cell r="A889" t="str">
            <v>33.11.10694.01</v>
          </cell>
          <cell r="B889" t="str">
            <v>ROTACAO TAMPA / 33.11.10694.01</v>
          </cell>
          <cell r="C889">
            <v>46066</v>
          </cell>
          <cell r="D889" t="str">
            <v>-</v>
          </cell>
          <cell r="E889" t="str">
            <v>-</v>
          </cell>
          <cell r="F889" t="str">
            <v>-</v>
          </cell>
          <cell r="G889" t="str">
            <v>-</v>
          </cell>
          <cell r="H889" t="str">
            <v>-</v>
          </cell>
          <cell r="I889" t="str">
            <v>-</v>
          </cell>
          <cell r="J889">
            <v>0</v>
          </cell>
          <cell r="K889">
            <v>5</v>
          </cell>
          <cell r="L889" t="str">
            <v>ENTREGA PARCIAL</v>
          </cell>
          <cell r="M889">
            <v>1</v>
          </cell>
          <cell r="N889" t="str">
            <v>OC'S METALFISA</v>
          </cell>
          <cell r="O889">
            <v>8</v>
          </cell>
          <cell r="P889" t="str">
            <v>OC'S GRANATO</v>
          </cell>
          <cell r="Q889" t="str">
            <v>-</v>
          </cell>
          <cell r="S889" t="str">
            <v>-</v>
          </cell>
          <cell r="U889">
            <v>9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6</v>
          </cell>
          <cell r="AA889">
            <v>6</v>
          </cell>
          <cell r="AB889">
            <v>0</v>
          </cell>
          <cell r="AC889">
            <v>2</v>
          </cell>
          <cell r="AD889">
            <v>-4</v>
          </cell>
        </row>
        <row r="890">
          <cell r="A890" t="str">
            <v>33.11.10723.00</v>
          </cell>
          <cell r="B890" t="str">
            <v>BANDEJA / 33.11.10723.00</v>
          </cell>
          <cell r="D890" t="str">
            <v>-</v>
          </cell>
          <cell r="E890" t="str">
            <v>-</v>
          </cell>
          <cell r="F890" t="str">
            <v>-</v>
          </cell>
          <cell r="G890" t="str">
            <v>-</v>
          </cell>
          <cell r="H890" t="str">
            <v>-</v>
          </cell>
          <cell r="I890" t="str">
            <v>-</v>
          </cell>
          <cell r="J890">
            <v>0</v>
          </cell>
          <cell r="K890">
            <v>32</v>
          </cell>
          <cell r="L890" t="str">
            <v>ENTREGA PARCIAL</v>
          </cell>
          <cell r="M890">
            <v>4</v>
          </cell>
          <cell r="N890" t="str">
            <v>OC'S METALFISA</v>
          </cell>
          <cell r="O890">
            <v>44</v>
          </cell>
          <cell r="P890" t="str">
            <v>OC'S GRANATO</v>
          </cell>
          <cell r="Q890" t="str">
            <v>-</v>
          </cell>
          <cell r="S890" t="str">
            <v>-</v>
          </cell>
          <cell r="U890">
            <v>48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32</v>
          </cell>
          <cell r="AA890">
            <v>32</v>
          </cell>
          <cell r="AB890">
            <v>0</v>
          </cell>
          <cell r="AC890">
            <v>16</v>
          </cell>
          <cell r="AD890">
            <v>-16</v>
          </cell>
        </row>
        <row r="891">
          <cell r="A891" t="str">
            <v>33.11.10726.01</v>
          </cell>
          <cell r="B891" t="str">
            <v>BANDEJA MEIO DO EQUIPAMENTO / 33.11.10726.01</v>
          </cell>
          <cell r="D891" t="str">
            <v>-</v>
          </cell>
          <cell r="E891" t="str">
            <v>-</v>
          </cell>
          <cell r="F891" t="str">
            <v>-</v>
          </cell>
          <cell r="G891" t="str">
            <v>-</v>
          </cell>
          <cell r="H891" t="str">
            <v>-</v>
          </cell>
          <cell r="I891" t="str">
            <v>-</v>
          </cell>
          <cell r="J891">
            <v>0</v>
          </cell>
          <cell r="K891">
            <v>30</v>
          </cell>
          <cell r="L891" t="str">
            <v>ENTREGA PARCIAL</v>
          </cell>
          <cell r="M891">
            <v>8</v>
          </cell>
          <cell r="N891" t="str">
            <v>OC'S METALFISA</v>
          </cell>
          <cell r="O891">
            <v>37</v>
          </cell>
          <cell r="P891" t="str">
            <v>OC'S GRANATO</v>
          </cell>
          <cell r="Q891" t="str">
            <v>-</v>
          </cell>
          <cell r="S891" t="str">
            <v>-</v>
          </cell>
          <cell r="U891">
            <v>45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25</v>
          </cell>
          <cell r="AA891">
            <v>25</v>
          </cell>
          <cell r="AB891">
            <v>0</v>
          </cell>
          <cell r="AC891">
            <v>10</v>
          </cell>
          <cell r="AD891">
            <v>-15</v>
          </cell>
        </row>
        <row r="892">
          <cell r="A892" t="str">
            <v>33.11.10727.01</v>
          </cell>
          <cell r="B892" t="str">
            <v>BANDEJA MEIO DO EQUIPAMENTO / 33.11.10727.01</v>
          </cell>
          <cell r="D892" t="str">
            <v>-</v>
          </cell>
          <cell r="E892" t="str">
            <v>-</v>
          </cell>
          <cell r="F892" t="str">
            <v>-</v>
          </cell>
          <cell r="G892" t="str">
            <v>-</v>
          </cell>
          <cell r="H892" t="str">
            <v>-</v>
          </cell>
          <cell r="I892" t="str">
            <v>-</v>
          </cell>
          <cell r="J892">
            <v>0</v>
          </cell>
          <cell r="K892">
            <v>6</v>
          </cell>
          <cell r="L892" t="str">
            <v>ENTREGA PARCIAL</v>
          </cell>
          <cell r="M892">
            <v>2</v>
          </cell>
          <cell r="N892" t="str">
            <v>OC'S METALFISA</v>
          </cell>
          <cell r="O892">
            <v>9</v>
          </cell>
          <cell r="P892" t="str">
            <v>OC'S GRANATO</v>
          </cell>
          <cell r="Q892" t="str">
            <v>-</v>
          </cell>
          <cell r="S892" t="str">
            <v>-</v>
          </cell>
          <cell r="U892">
            <v>11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7</v>
          </cell>
          <cell r="AA892">
            <v>7</v>
          </cell>
          <cell r="AB892">
            <v>0</v>
          </cell>
          <cell r="AC892">
            <v>2</v>
          </cell>
          <cell r="AD892">
            <v>-5</v>
          </cell>
        </row>
        <row r="893">
          <cell r="A893" t="str">
            <v>33.11.10728.00</v>
          </cell>
          <cell r="B893" t="str">
            <v>TAMPA / 33.11.10728.00</v>
          </cell>
          <cell r="C893">
            <v>46064</v>
          </cell>
          <cell r="D893" t="str">
            <v>-</v>
          </cell>
          <cell r="E893" t="str">
            <v>-</v>
          </cell>
          <cell r="F893" t="str">
            <v>-</v>
          </cell>
          <cell r="G893" t="str">
            <v>-</v>
          </cell>
          <cell r="H893" t="str">
            <v>-</v>
          </cell>
          <cell r="I893" t="str">
            <v>-</v>
          </cell>
          <cell r="J893">
            <v>0</v>
          </cell>
          <cell r="K893">
            <v>7</v>
          </cell>
          <cell r="L893" t="str">
            <v>ENTREGA PARCIAL</v>
          </cell>
          <cell r="M893">
            <v>2</v>
          </cell>
          <cell r="N893" t="str">
            <v>OC'S METALFISA</v>
          </cell>
          <cell r="O893">
            <v>8</v>
          </cell>
          <cell r="P893" t="str">
            <v>OC'S GRANATO</v>
          </cell>
          <cell r="Q893" t="str">
            <v>-</v>
          </cell>
          <cell r="S893" t="str">
            <v>-</v>
          </cell>
          <cell r="U893">
            <v>10</v>
          </cell>
          <cell r="V893">
            <v>1</v>
          </cell>
          <cell r="W893">
            <v>0</v>
          </cell>
          <cell r="X893">
            <v>0</v>
          </cell>
          <cell r="Y893">
            <v>0</v>
          </cell>
          <cell r="Z893">
            <v>6</v>
          </cell>
          <cell r="AA893">
            <v>7</v>
          </cell>
          <cell r="AB893">
            <v>0</v>
          </cell>
          <cell r="AC893">
            <v>4</v>
          </cell>
          <cell r="AD893">
            <v>-3</v>
          </cell>
        </row>
        <row r="894">
          <cell r="A894" t="str">
            <v>33.11.10736.00</v>
          </cell>
          <cell r="B894" t="str">
            <v>ROTACAO PECA/33.11.10736.00</v>
          </cell>
          <cell r="C894">
            <v>46066</v>
          </cell>
          <cell r="D894" t="str">
            <v>-</v>
          </cell>
          <cell r="E894" t="str">
            <v>-</v>
          </cell>
          <cell r="F894" t="str">
            <v>-</v>
          </cell>
          <cell r="G894" t="str">
            <v>-</v>
          </cell>
          <cell r="H894" t="str">
            <v>-</v>
          </cell>
          <cell r="I894" t="str">
            <v>-</v>
          </cell>
          <cell r="J894">
            <v>0</v>
          </cell>
          <cell r="K894">
            <v>6</v>
          </cell>
          <cell r="L894" t="str">
            <v>ENTREGA PARCIAL</v>
          </cell>
          <cell r="M894">
            <v>2</v>
          </cell>
          <cell r="N894" t="str">
            <v>OC'S METALFISA</v>
          </cell>
          <cell r="O894">
            <v>8</v>
          </cell>
          <cell r="P894" t="str">
            <v>OC'S GRANATO</v>
          </cell>
          <cell r="Q894" t="str">
            <v>-</v>
          </cell>
          <cell r="S894" t="str">
            <v>-</v>
          </cell>
          <cell r="U894">
            <v>10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6</v>
          </cell>
          <cell r="AA894">
            <v>6</v>
          </cell>
          <cell r="AB894">
            <v>0</v>
          </cell>
          <cell r="AC894">
            <v>2</v>
          </cell>
          <cell r="AD894">
            <v>-4</v>
          </cell>
        </row>
        <row r="895">
          <cell r="A895" t="str">
            <v>33.11.10737.00</v>
          </cell>
          <cell r="B895" t="str">
            <v>SUPORTE TAMPA/33.11.10737.00</v>
          </cell>
          <cell r="C895">
            <v>46072</v>
          </cell>
          <cell r="D895" t="str">
            <v>-</v>
          </cell>
          <cell r="E895" t="str">
            <v>-</v>
          </cell>
          <cell r="F895" t="str">
            <v>-</v>
          </cell>
          <cell r="G895" t="str">
            <v>-</v>
          </cell>
          <cell r="H895" t="str">
            <v>-</v>
          </cell>
          <cell r="I895" t="str">
            <v>-</v>
          </cell>
          <cell r="J895">
            <v>0</v>
          </cell>
          <cell r="K895">
            <v>6</v>
          </cell>
          <cell r="L895" t="str">
            <v>ENTREGA PARCIAL</v>
          </cell>
          <cell r="M895" t="str">
            <v>-</v>
          </cell>
          <cell r="N895" t="str">
            <v>OC'S METALFISA</v>
          </cell>
          <cell r="O895">
            <v>8</v>
          </cell>
          <cell r="P895" t="str">
            <v>OC'S GRANATO</v>
          </cell>
          <cell r="Q895" t="str">
            <v>-</v>
          </cell>
          <cell r="S895" t="str">
            <v>-</v>
          </cell>
          <cell r="U895">
            <v>8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4</v>
          </cell>
          <cell r="AA895">
            <v>4</v>
          </cell>
          <cell r="AB895">
            <v>0</v>
          </cell>
          <cell r="AC895">
            <v>2</v>
          </cell>
          <cell r="AD895">
            <v>-2</v>
          </cell>
        </row>
        <row r="896">
          <cell r="A896" t="str">
            <v>33.11.10741.00</v>
          </cell>
          <cell r="B896" t="str">
            <v>LATERAL 1 - TUNEL MODULO DV / 33.11.10741.00</v>
          </cell>
          <cell r="D896" t="str">
            <v>-</v>
          </cell>
          <cell r="E896" t="str">
            <v>-</v>
          </cell>
          <cell r="F896" t="str">
            <v>-</v>
          </cell>
          <cell r="G896" t="str">
            <v>-</v>
          </cell>
          <cell r="H896" t="str">
            <v>-</v>
          </cell>
          <cell r="I896" t="str">
            <v>-</v>
          </cell>
          <cell r="J896">
            <v>0</v>
          </cell>
          <cell r="K896">
            <v>6</v>
          </cell>
          <cell r="L896" t="str">
            <v>ENTREGA PARCIAL</v>
          </cell>
          <cell r="M896">
            <v>2</v>
          </cell>
          <cell r="N896" t="str">
            <v>OC'S METALFISA</v>
          </cell>
          <cell r="O896">
            <v>8</v>
          </cell>
          <cell r="P896" t="str">
            <v>OC'S GRANATO</v>
          </cell>
          <cell r="Q896" t="str">
            <v>-</v>
          </cell>
          <cell r="S896" t="str">
            <v>-</v>
          </cell>
          <cell r="U896">
            <v>10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6</v>
          </cell>
          <cell r="AA896">
            <v>6</v>
          </cell>
          <cell r="AB896">
            <v>0</v>
          </cell>
          <cell r="AC896">
            <v>2</v>
          </cell>
          <cell r="AD896">
            <v>-4</v>
          </cell>
        </row>
        <row r="897">
          <cell r="A897" t="str">
            <v>33.11.10742.00</v>
          </cell>
          <cell r="B897" t="str">
            <v>LATERAL 2 - TUNEL MODULO DV / 33.11.10742.00</v>
          </cell>
          <cell r="C897">
            <v>46074</v>
          </cell>
          <cell r="D897" t="str">
            <v>-</v>
          </cell>
          <cell r="E897" t="str">
            <v>-</v>
          </cell>
          <cell r="F897" t="str">
            <v>-</v>
          </cell>
          <cell r="G897" t="str">
            <v>-</v>
          </cell>
          <cell r="H897" t="str">
            <v>-</v>
          </cell>
          <cell r="I897" t="str">
            <v>-</v>
          </cell>
          <cell r="J897">
            <v>0</v>
          </cell>
          <cell r="K897">
            <v>7</v>
          </cell>
          <cell r="L897" t="str">
            <v>ENTREGA PARCIAL</v>
          </cell>
          <cell r="M897">
            <v>1</v>
          </cell>
          <cell r="N897" t="str">
            <v>OC'S METALFISA</v>
          </cell>
          <cell r="O897">
            <v>8</v>
          </cell>
          <cell r="P897" t="str">
            <v>OC'S GRANATO</v>
          </cell>
          <cell r="Q897" t="str">
            <v>-</v>
          </cell>
          <cell r="S897" t="str">
            <v>-</v>
          </cell>
          <cell r="U897">
            <v>9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6</v>
          </cell>
          <cell r="AA897">
            <v>6</v>
          </cell>
          <cell r="AB897">
            <v>0</v>
          </cell>
          <cell r="AC897">
            <v>4</v>
          </cell>
          <cell r="AD897">
            <v>-2</v>
          </cell>
        </row>
        <row r="898">
          <cell r="A898" t="str">
            <v>33.11.10743.01</v>
          </cell>
          <cell r="B898" t="str">
            <v>LATERAL 3 - TUNEL MODULO DV / 33.11.10743.01</v>
          </cell>
          <cell r="D898" t="str">
            <v>-</v>
          </cell>
          <cell r="E898" t="str">
            <v>-</v>
          </cell>
          <cell r="F898" t="str">
            <v>-</v>
          </cell>
          <cell r="G898" t="str">
            <v>-</v>
          </cell>
          <cell r="H898" t="str">
            <v>-</v>
          </cell>
          <cell r="I898" t="str">
            <v>-</v>
          </cell>
          <cell r="J898">
            <v>0</v>
          </cell>
          <cell r="K898">
            <v>7</v>
          </cell>
          <cell r="L898" t="str">
            <v>ENTREGA PARCIAL</v>
          </cell>
          <cell r="M898">
            <v>1</v>
          </cell>
          <cell r="N898" t="str">
            <v>OC'S METALFISA</v>
          </cell>
          <cell r="O898">
            <v>8</v>
          </cell>
          <cell r="P898" t="str">
            <v>OC'S GRANATO</v>
          </cell>
          <cell r="Q898" t="str">
            <v>-</v>
          </cell>
          <cell r="S898" t="str">
            <v>-</v>
          </cell>
          <cell r="U898">
            <v>9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4</v>
          </cell>
          <cell r="AA898">
            <v>4</v>
          </cell>
          <cell r="AB898">
            <v>0</v>
          </cell>
          <cell r="AC898">
            <v>2</v>
          </cell>
          <cell r="AD898">
            <v>-2</v>
          </cell>
        </row>
        <row r="899">
          <cell r="A899" t="str">
            <v>33.11.10744.01</v>
          </cell>
          <cell r="B899" t="str">
            <v>LATERAL 4 - TUNEL MODULO DV / 33.11.10744.01</v>
          </cell>
          <cell r="C899">
            <v>46059</v>
          </cell>
          <cell r="D899" t="str">
            <v>-</v>
          </cell>
          <cell r="E899" t="str">
            <v>-</v>
          </cell>
          <cell r="F899" t="str">
            <v>-</v>
          </cell>
          <cell r="G899" t="str">
            <v>-</v>
          </cell>
          <cell r="H899" t="str">
            <v>-</v>
          </cell>
          <cell r="I899" t="str">
            <v>-</v>
          </cell>
          <cell r="J899">
            <v>0</v>
          </cell>
          <cell r="K899">
            <v>6</v>
          </cell>
          <cell r="L899" t="str">
            <v>ENTREGA PARCIAL</v>
          </cell>
          <cell r="M899">
            <v>2</v>
          </cell>
          <cell r="N899" t="str">
            <v>OC'S METALFISA</v>
          </cell>
          <cell r="O899">
            <v>8</v>
          </cell>
          <cell r="P899" t="str">
            <v>OC'S GRANATO</v>
          </cell>
          <cell r="Q899" t="str">
            <v>-</v>
          </cell>
          <cell r="S899" t="str">
            <v>-</v>
          </cell>
          <cell r="U899">
            <v>10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6</v>
          </cell>
          <cell r="AA899">
            <v>6</v>
          </cell>
          <cell r="AB899">
            <v>0</v>
          </cell>
          <cell r="AC899">
            <v>2</v>
          </cell>
          <cell r="AD899">
            <v>-4</v>
          </cell>
        </row>
        <row r="900">
          <cell r="A900" t="str">
            <v>33.11.10750.02</v>
          </cell>
          <cell r="B900" t="str">
            <v>SUPORTE OPOSTO 1 - ROLETES / 33.11.10750.02</v>
          </cell>
          <cell r="C900">
            <v>46076</v>
          </cell>
          <cell r="D900" t="str">
            <v>-</v>
          </cell>
          <cell r="E900" t="str">
            <v>-</v>
          </cell>
          <cell r="F900" t="str">
            <v>-</v>
          </cell>
          <cell r="G900" t="str">
            <v>-</v>
          </cell>
          <cell r="H900" t="str">
            <v>-</v>
          </cell>
          <cell r="I900" t="str">
            <v>-</v>
          </cell>
          <cell r="J900">
            <v>0</v>
          </cell>
          <cell r="K900">
            <v>6</v>
          </cell>
          <cell r="L900" t="str">
            <v>ENTREGA PARCIAL</v>
          </cell>
          <cell r="M900">
            <v>1</v>
          </cell>
          <cell r="N900" t="str">
            <v>OC'S METALFISA</v>
          </cell>
          <cell r="O900">
            <v>9</v>
          </cell>
          <cell r="P900" t="str">
            <v>OC'S GRANATO</v>
          </cell>
          <cell r="Q900" t="str">
            <v>-</v>
          </cell>
          <cell r="S900" t="str">
            <v>-</v>
          </cell>
          <cell r="U900">
            <v>10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6</v>
          </cell>
          <cell r="AA900">
            <v>6</v>
          </cell>
          <cell r="AB900">
            <v>0</v>
          </cell>
          <cell r="AC900">
            <v>2</v>
          </cell>
          <cell r="AD900">
            <v>-4</v>
          </cell>
        </row>
        <row r="901">
          <cell r="A901" t="str">
            <v>33.11.10752.01</v>
          </cell>
          <cell r="B901" t="str">
            <v>FECHAMENTO SUPERIOR 1 TUNEL DV / 33.11.10752.01</v>
          </cell>
          <cell r="C901">
            <v>46059</v>
          </cell>
          <cell r="D901" t="str">
            <v>-</v>
          </cell>
          <cell r="E901" t="str">
            <v>-</v>
          </cell>
          <cell r="F901" t="str">
            <v>-</v>
          </cell>
          <cell r="G901" t="str">
            <v>-</v>
          </cell>
          <cell r="H901" t="str">
            <v>-</v>
          </cell>
          <cell r="I901" t="str">
            <v>-</v>
          </cell>
          <cell r="J901">
            <v>0</v>
          </cell>
          <cell r="K901">
            <v>6</v>
          </cell>
          <cell r="L901" t="str">
            <v>ENTREGA PARCIAL</v>
          </cell>
          <cell r="M901">
            <v>2</v>
          </cell>
          <cell r="N901" t="str">
            <v>OC'S METALFISA</v>
          </cell>
          <cell r="O901">
            <v>8</v>
          </cell>
          <cell r="P901" t="str">
            <v>OC'S GRANATO</v>
          </cell>
          <cell r="Q901" t="str">
            <v>-</v>
          </cell>
          <cell r="S901" t="str">
            <v>-</v>
          </cell>
          <cell r="U901">
            <v>10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6</v>
          </cell>
          <cell r="AA901">
            <v>6</v>
          </cell>
          <cell r="AB901">
            <v>0</v>
          </cell>
          <cell r="AC901">
            <v>2</v>
          </cell>
          <cell r="AD901">
            <v>-4</v>
          </cell>
        </row>
        <row r="902">
          <cell r="A902" t="str">
            <v>33.11.10753.01</v>
          </cell>
          <cell r="B902" t="str">
            <v>FECHAMENTO SUPERIOR 2 TUNEL DV / 33.11.10753.01</v>
          </cell>
          <cell r="D902" t="str">
            <v>-</v>
          </cell>
          <cell r="E902" t="str">
            <v>-</v>
          </cell>
          <cell r="F902" t="str">
            <v>-</v>
          </cell>
          <cell r="G902" t="str">
            <v>-</v>
          </cell>
          <cell r="H902" t="str">
            <v>-</v>
          </cell>
          <cell r="I902" t="str">
            <v>-</v>
          </cell>
          <cell r="J902">
            <v>0</v>
          </cell>
          <cell r="K902">
            <v>6</v>
          </cell>
          <cell r="L902" t="str">
            <v>ENTREGA PARCIAL</v>
          </cell>
          <cell r="M902">
            <v>2</v>
          </cell>
          <cell r="N902" t="str">
            <v>OC'S METALFISA</v>
          </cell>
          <cell r="O902">
            <v>8</v>
          </cell>
          <cell r="P902" t="str">
            <v>OC'S GRANATO</v>
          </cell>
          <cell r="Q902" t="str">
            <v>-</v>
          </cell>
          <cell r="S902" t="str">
            <v>-</v>
          </cell>
          <cell r="U902">
            <v>10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6</v>
          </cell>
          <cell r="AA902">
            <v>6</v>
          </cell>
          <cell r="AB902">
            <v>0</v>
          </cell>
          <cell r="AC902">
            <v>2</v>
          </cell>
          <cell r="AD902">
            <v>-4</v>
          </cell>
        </row>
        <row r="903">
          <cell r="A903" t="str">
            <v>33.11.10755.02</v>
          </cell>
          <cell r="B903" t="str">
            <v>SUPORTE OPOSTO 2 - ROLETES / 33.11.10755.02</v>
          </cell>
          <cell r="C903">
            <v>46076</v>
          </cell>
          <cell r="D903" t="str">
            <v>-</v>
          </cell>
          <cell r="E903" t="str">
            <v>-</v>
          </cell>
          <cell r="F903" t="str">
            <v>-</v>
          </cell>
          <cell r="G903" t="str">
            <v>-</v>
          </cell>
          <cell r="H903" t="str">
            <v>-</v>
          </cell>
          <cell r="I903" t="str">
            <v>-</v>
          </cell>
          <cell r="J903">
            <v>0</v>
          </cell>
          <cell r="K903">
            <v>6</v>
          </cell>
          <cell r="L903" t="str">
            <v>ENTREGA PARCIAL</v>
          </cell>
          <cell r="M903">
            <v>1</v>
          </cell>
          <cell r="N903" t="str">
            <v>OC'S METALFISA</v>
          </cell>
          <cell r="O903">
            <v>9</v>
          </cell>
          <cell r="P903" t="str">
            <v>OC'S GRANATO</v>
          </cell>
          <cell r="Q903" t="str">
            <v>-</v>
          </cell>
          <cell r="S903" t="str">
            <v>-</v>
          </cell>
          <cell r="U903">
            <v>10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6</v>
          </cell>
          <cell r="AA903">
            <v>6</v>
          </cell>
          <cell r="AB903">
            <v>0</v>
          </cell>
          <cell r="AC903">
            <v>2</v>
          </cell>
          <cell r="AD903">
            <v>-4</v>
          </cell>
        </row>
        <row r="904">
          <cell r="A904" t="str">
            <v>33.11.10756.02</v>
          </cell>
          <cell r="B904" t="str">
            <v>ACABAMENTO CENTRO ESQUERDO MODULO DV / 33.11.10756.02</v>
          </cell>
          <cell r="C904">
            <v>46072</v>
          </cell>
          <cell r="D904" t="str">
            <v>-</v>
          </cell>
          <cell r="E904" t="str">
            <v>-</v>
          </cell>
          <cell r="F904" t="str">
            <v>-</v>
          </cell>
          <cell r="G904" t="str">
            <v>-</v>
          </cell>
          <cell r="H904" t="str">
            <v>-</v>
          </cell>
          <cell r="I904" t="str">
            <v>-</v>
          </cell>
          <cell r="J904">
            <v>0</v>
          </cell>
          <cell r="K904">
            <v>6</v>
          </cell>
          <cell r="L904" t="str">
            <v>ENTREGA TOTAL</v>
          </cell>
          <cell r="M904" t="str">
            <v>-</v>
          </cell>
          <cell r="N904" t="str">
            <v>OC'S METALFISA</v>
          </cell>
          <cell r="O904">
            <v>6</v>
          </cell>
          <cell r="P904" t="str">
            <v>OC'S GRANATO</v>
          </cell>
          <cell r="Q904" t="str">
            <v>-</v>
          </cell>
          <cell r="S904" t="str">
            <v>-</v>
          </cell>
          <cell r="U904">
            <v>6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2</v>
          </cell>
          <cell r="AA904">
            <v>2</v>
          </cell>
          <cell r="AB904">
            <v>0</v>
          </cell>
          <cell r="AC904">
            <v>2</v>
          </cell>
          <cell r="AD904">
            <v>0</v>
          </cell>
        </row>
        <row r="905">
          <cell r="A905" t="str">
            <v>33.11.10757.02</v>
          </cell>
          <cell r="B905" t="str">
            <v>ACABAMENTO CENTRO DIREITO MODULO DV / 33.11.10757.02</v>
          </cell>
          <cell r="C905">
            <v>46072</v>
          </cell>
          <cell r="D905" t="str">
            <v>-</v>
          </cell>
          <cell r="E905" t="str">
            <v>-</v>
          </cell>
          <cell r="F905" t="str">
            <v>-</v>
          </cell>
          <cell r="G905" t="str">
            <v>-</v>
          </cell>
          <cell r="H905" t="str">
            <v>-</v>
          </cell>
          <cell r="I905" t="str">
            <v>-</v>
          </cell>
          <cell r="J905">
            <v>0</v>
          </cell>
          <cell r="K905">
            <v>8</v>
          </cell>
          <cell r="L905" t="str">
            <v>ENTREGA TOTAL</v>
          </cell>
          <cell r="M905" t="str">
            <v>-</v>
          </cell>
          <cell r="N905" t="str">
            <v>OC'S METALFISA</v>
          </cell>
          <cell r="O905">
            <v>8</v>
          </cell>
          <cell r="P905" t="str">
            <v>OC'S GRANATO</v>
          </cell>
          <cell r="Q905" t="str">
            <v>-</v>
          </cell>
          <cell r="S905" t="str">
            <v>-</v>
          </cell>
          <cell r="U905">
            <v>8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4</v>
          </cell>
          <cell r="AA905">
            <v>4</v>
          </cell>
          <cell r="AB905">
            <v>0</v>
          </cell>
          <cell r="AC905">
            <v>4</v>
          </cell>
          <cell r="AD905">
            <v>0</v>
          </cell>
        </row>
        <row r="906">
          <cell r="A906" t="str">
            <v>33.11.10758.01</v>
          </cell>
          <cell r="B906" t="str">
            <v>PARAFUSO UNIAO DOS MODULOS / 33.11.10758.01</v>
          </cell>
          <cell r="D906" t="str">
            <v>-</v>
          </cell>
          <cell r="E906" t="str">
            <v>-</v>
          </cell>
          <cell r="F906" t="str">
            <v>-</v>
          </cell>
          <cell r="G906" t="str">
            <v>-</v>
          </cell>
          <cell r="H906" t="str">
            <v>-</v>
          </cell>
          <cell r="I906" t="str">
            <v>-</v>
          </cell>
          <cell r="J906">
            <v>0</v>
          </cell>
          <cell r="K906">
            <v>120</v>
          </cell>
          <cell r="L906" t="str">
            <v>FALTA ENTREGA</v>
          </cell>
          <cell r="M906">
            <v>24</v>
          </cell>
          <cell r="N906" t="str">
            <v>OC'S METALFISA</v>
          </cell>
          <cell r="O906">
            <v>255</v>
          </cell>
          <cell r="P906" t="str">
            <v>OC'S GRANATO</v>
          </cell>
          <cell r="Q906" t="str">
            <v>-</v>
          </cell>
          <cell r="S906" t="str">
            <v>-</v>
          </cell>
          <cell r="U906">
            <v>279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159</v>
          </cell>
          <cell r="AA906">
            <v>159</v>
          </cell>
          <cell r="AB906">
            <v>0</v>
          </cell>
          <cell r="AC906">
            <v>0</v>
          </cell>
          <cell r="AD906">
            <v>-159</v>
          </cell>
        </row>
        <row r="907">
          <cell r="A907" t="str">
            <v>33.11.10760.00</v>
          </cell>
          <cell r="B907" t="str">
            <v>CHAPA UNIAO DO MODULOS / 33.11.10760.00</v>
          </cell>
          <cell r="C907">
            <v>46066</v>
          </cell>
          <cell r="D907" t="str">
            <v>-</v>
          </cell>
          <cell r="E907" t="str">
            <v>-</v>
          </cell>
          <cell r="F907" t="str">
            <v>-</v>
          </cell>
          <cell r="G907" t="str">
            <v>-</v>
          </cell>
          <cell r="H907" t="str">
            <v>-</v>
          </cell>
          <cell r="I907" t="str">
            <v>-</v>
          </cell>
          <cell r="J907">
            <v>0</v>
          </cell>
          <cell r="K907">
            <v>60</v>
          </cell>
          <cell r="L907" t="str">
            <v>ENTREGA PARCIAL</v>
          </cell>
          <cell r="M907">
            <v>8</v>
          </cell>
          <cell r="N907" t="str">
            <v>OC'S METALFISA</v>
          </cell>
          <cell r="O907">
            <v>60</v>
          </cell>
          <cell r="P907" t="str">
            <v>OC'S GRANATO</v>
          </cell>
          <cell r="Q907" t="str">
            <v>-</v>
          </cell>
          <cell r="S907" t="str">
            <v>-</v>
          </cell>
          <cell r="U907">
            <v>68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56</v>
          </cell>
          <cell r="AA907">
            <v>56</v>
          </cell>
          <cell r="AB907">
            <v>0</v>
          </cell>
          <cell r="AC907">
            <v>48</v>
          </cell>
          <cell r="AD907">
            <v>-8</v>
          </cell>
        </row>
        <row r="908">
          <cell r="A908" t="str">
            <v>33.11.10770.00</v>
          </cell>
          <cell r="B908" t="str">
            <v>TAMPA FRONTAL BLINDAGEM GERADOR MODULO SV 180180 LADO 1 / 33.11.10770.00</v>
          </cell>
          <cell r="C908">
            <v>46066</v>
          </cell>
          <cell r="D908" t="str">
            <v>-</v>
          </cell>
          <cell r="E908" t="str">
            <v>-</v>
          </cell>
          <cell r="F908" t="str">
            <v>-</v>
          </cell>
          <cell r="G908" t="str">
            <v>-</v>
          </cell>
          <cell r="H908" t="str">
            <v>-</v>
          </cell>
          <cell r="I908" t="str">
            <v>-</v>
          </cell>
          <cell r="J908">
            <v>0</v>
          </cell>
          <cell r="K908">
            <v>6</v>
          </cell>
          <cell r="L908" t="str">
            <v>ENTREGA PARCIAL</v>
          </cell>
          <cell r="M908">
            <v>1</v>
          </cell>
          <cell r="N908" t="str">
            <v>OC'S METALFISA</v>
          </cell>
          <cell r="O908">
            <v>7</v>
          </cell>
          <cell r="P908" t="str">
            <v>OC'S GRANATO</v>
          </cell>
          <cell r="Q908" t="str">
            <v>-</v>
          </cell>
          <cell r="S908" t="str">
            <v>-</v>
          </cell>
          <cell r="U908">
            <v>8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4</v>
          </cell>
          <cell r="AA908">
            <v>4</v>
          </cell>
          <cell r="AB908">
            <v>0</v>
          </cell>
          <cell r="AC908">
            <v>2</v>
          </cell>
          <cell r="AD908">
            <v>-2</v>
          </cell>
        </row>
        <row r="909">
          <cell r="A909" t="str">
            <v>33.11.10772.00</v>
          </cell>
          <cell r="B909" t="str">
            <v>TAMPA SUPERIOR BLINDAGEM GERADOR MODULO SV 180180 TSA / 33.11.10772.00</v>
          </cell>
          <cell r="C909">
            <v>46066</v>
          </cell>
          <cell r="D909" t="str">
            <v>-</v>
          </cell>
          <cell r="E909" t="str">
            <v>-</v>
          </cell>
          <cell r="F909" t="str">
            <v>-</v>
          </cell>
          <cell r="G909" t="str">
            <v>-</v>
          </cell>
          <cell r="H909" t="str">
            <v>-</v>
          </cell>
          <cell r="I909" t="str">
            <v>-</v>
          </cell>
          <cell r="J909">
            <v>0</v>
          </cell>
          <cell r="K909">
            <v>6</v>
          </cell>
          <cell r="L909" t="str">
            <v>ENTREGA PARCIAL</v>
          </cell>
          <cell r="M909">
            <v>1</v>
          </cell>
          <cell r="N909" t="str">
            <v>OC'S METALFISA</v>
          </cell>
          <cell r="O909">
            <v>7</v>
          </cell>
          <cell r="P909" t="str">
            <v>OC'S GRANATO</v>
          </cell>
          <cell r="Q909" t="str">
            <v>-</v>
          </cell>
          <cell r="S909" t="str">
            <v>-</v>
          </cell>
          <cell r="U909">
            <v>8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4</v>
          </cell>
          <cell r="AA909">
            <v>4</v>
          </cell>
          <cell r="AB909">
            <v>0</v>
          </cell>
          <cell r="AC909">
            <v>2</v>
          </cell>
          <cell r="AD909">
            <v>-2</v>
          </cell>
        </row>
        <row r="910">
          <cell r="A910" t="str">
            <v>33.11.10773.00</v>
          </cell>
          <cell r="B910" t="str">
            <v>TAMPA LATERAL DIREITA BLINDAGEM GERADOR MODULO SV 180180 TSA / 33.11.10773.00</v>
          </cell>
          <cell r="C910">
            <v>46066</v>
          </cell>
          <cell r="D910" t="str">
            <v>-</v>
          </cell>
          <cell r="E910" t="str">
            <v>-</v>
          </cell>
          <cell r="F910" t="str">
            <v>-</v>
          </cell>
          <cell r="G910" t="str">
            <v>-</v>
          </cell>
          <cell r="H910" t="str">
            <v>-</v>
          </cell>
          <cell r="I910" t="str">
            <v>-</v>
          </cell>
          <cell r="J910">
            <v>0</v>
          </cell>
          <cell r="K910">
            <v>6</v>
          </cell>
          <cell r="L910" t="str">
            <v>ENTREGA PARCIAL</v>
          </cell>
          <cell r="M910">
            <v>1</v>
          </cell>
          <cell r="N910" t="str">
            <v>OC'S METALFISA</v>
          </cell>
          <cell r="O910">
            <v>7</v>
          </cell>
          <cell r="P910" t="str">
            <v>OC'S GRANATO</v>
          </cell>
          <cell r="Q910" t="str">
            <v>-</v>
          </cell>
          <cell r="S910" t="str">
            <v>-</v>
          </cell>
          <cell r="U910">
            <v>8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4</v>
          </cell>
          <cell r="AA910">
            <v>4</v>
          </cell>
          <cell r="AB910">
            <v>0</v>
          </cell>
          <cell r="AC910">
            <v>2</v>
          </cell>
          <cell r="AD910">
            <v>-2</v>
          </cell>
        </row>
        <row r="911">
          <cell r="A911" t="str">
            <v>33.11.10774.00</v>
          </cell>
          <cell r="B911" t="str">
            <v>TAMPA LATERAL ESQUERDA BLINDAGEM GERADOR MODULO SV 180180 TSA / 33.11.10774.00</v>
          </cell>
          <cell r="C911">
            <v>46066</v>
          </cell>
          <cell r="D911" t="str">
            <v>-</v>
          </cell>
          <cell r="E911" t="str">
            <v>-</v>
          </cell>
          <cell r="F911" t="str">
            <v>-</v>
          </cell>
          <cell r="G911" t="str">
            <v>-</v>
          </cell>
          <cell r="H911" t="str">
            <v>-</v>
          </cell>
          <cell r="I911" t="str">
            <v>-</v>
          </cell>
          <cell r="J911">
            <v>0</v>
          </cell>
          <cell r="K911">
            <v>6</v>
          </cell>
          <cell r="L911" t="str">
            <v>ENTREGA PARCIAL</v>
          </cell>
          <cell r="M911">
            <v>2</v>
          </cell>
          <cell r="N911" t="str">
            <v>OC'S METALFISA</v>
          </cell>
          <cell r="O911">
            <v>6</v>
          </cell>
          <cell r="P911" t="str">
            <v>OC'S GRANATO</v>
          </cell>
          <cell r="Q911" t="str">
            <v>-</v>
          </cell>
          <cell r="S911" t="str">
            <v>-</v>
          </cell>
          <cell r="U911">
            <v>8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6</v>
          </cell>
          <cell r="AA911">
            <v>6</v>
          </cell>
          <cell r="AB911">
            <v>0</v>
          </cell>
          <cell r="AC911">
            <v>4</v>
          </cell>
          <cell r="AD911">
            <v>-2</v>
          </cell>
        </row>
        <row r="912">
          <cell r="A912" t="str">
            <v>33.11.10775.00</v>
          </cell>
          <cell r="B912" t="str">
            <v>TAMPA FRONTAL BLINDAGEM GERADOR MODULO SV 180180 LADO 2 / 33.11.10775.00</v>
          </cell>
          <cell r="C912">
            <v>46064</v>
          </cell>
          <cell r="D912" t="str">
            <v>-</v>
          </cell>
          <cell r="E912" t="str">
            <v>-</v>
          </cell>
          <cell r="F912" t="str">
            <v>-</v>
          </cell>
          <cell r="G912" t="str">
            <v>-</v>
          </cell>
          <cell r="H912" t="str">
            <v>-</v>
          </cell>
          <cell r="I912" t="str">
            <v>-</v>
          </cell>
          <cell r="J912">
            <v>0</v>
          </cell>
          <cell r="K912">
            <v>6</v>
          </cell>
          <cell r="L912" t="str">
            <v>ENTREGA PARCIAL</v>
          </cell>
          <cell r="M912">
            <v>2</v>
          </cell>
          <cell r="N912" t="str">
            <v>OC'S METALFISA</v>
          </cell>
          <cell r="O912">
            <v>6</v>
          </cell>
          <cell r="P912" t="str">
            <v>OC'S GRANATO</v>
          </cell>
          <cell r="Q912" t="str">
            <v>-</v>
          </cell>
          <cell r="S912" t="str">
            <v>-</v>
          </cell>
          <cell r="U912">
            <v>8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5</v>
          </cell>
          <cell r="AA912">
            <v>5</v>
          </cell>
          <cell r="AB912">
            <v>0</v>
          </cell>
          <cell r="AC912">
            <v>3</v>
          </cell>
          <cell r="AD912">
            <v>-2</v>
          </cell>
        </row>
        <row r="913">
          <cell r="A913" t="str">
            <v>33.11.10776.00</v>
          </cell>
          <cell r="B913" t="str">
            <v>QUADRO SUPORTE VEDACAO TUBO DV 180180 TSA / 33.11.10776.00</v>
          </cell>
          <cell r="D913" t="str">
            <v>-</v>
          </cell>
          <cell r="E913" t="str">
            <v>-</v>
          </cell>
          <cell r="F913" t="str">
            <v>-</v>
          </cell>
          <cell r="G913" t="str">
            <v>-</v>
          </cell>
          <cell r="H913" t="str">
            <v>-</v>
          </cell>
          <cell r="I913" t="str">
            <v>-</v>
          </cell>
          <cell r="J913">
            <v>0</v>
          </cell>
          <cell r="K913">
            <v>4</v>
          </cell>
          <cell r="L913" t="str">
            <v>ENTREGA PARCIAL</v>
          </cell>
          <cell r="M913">
            <v>2</v>
          </cell>
          <cell r="N913" t="str">
            <v>OC'S METALFISA</v>
          </cell>
          <cell r="O913">
            <v>6</v>
          </cell>
          <cell r="P913" t="str">
            <v>OC'S GRANATO</v>
          </cell>
          <cell r="Q913" t="str">
            <v>-</v>
          </cell>
          <cell r="S913" t="str">
            <v>-</v>
          </cell>
          <cell r="U913">
            <v>8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6</v>
          </cell>
          <cell r="AA913">
            <v>6</v>
          </cell>
          <cell r="AB913">
            <v>0</v>
          </cell>
          <cell r="AC913">
            <v>2</v>
          </cell>
          <cell r="AD913">
            <v>-4</v>
          </cell>
        </row>
        <row r="914">
          <cell r="A914" t="str">
            <v>33.11.10785.01</v>
          </cell>
          <cell r="B914" t="str">
            <v>CHAPA EXTERNA TAMPA INFERIOR TRASEIRA CAIXA L SV 180180 TSA / 33.11.10785.01</v>
          </cell>
          <cell r="C914">
            <v>46066</v>
          </cell>
          <cell r="D914" t="str">
            <v>-</v>
          </cell>
          <cell r="E914" t="str">
            <v>-</v>
          </cell>
          <cell r="F914" t="str">
            <v>-</v>
          </cell>
          <cell r="G914" t="str">
            <v>-</v>
          </cell>
          <cell r="H914" t="str">
            <v>-</v>
          </cell>
          <cell r="I914" t="str">
            <v>-</v>
          </cell>
          <cell r="J914">
            <v>0</v>
          </cell>
          <cell r="K914">
            <v>6</v>
          </cell>
          <cell r="L914" t="str">
            <v>ENTREGA PARCIAL</v>
          </cell>
          <cell r="M914">
            <v>1</v>
          </cell>
          <cell r="N914" t="str">
            <v>OC'S METALFISA</v>
          </cell>
          <cell r="O914">
            <v>7</v>
          </cell>
          <cell r="P914" t="str">
            <v>OC'S GRANATO</v>
          </cell>
          <cell r="Q914" t="str">
            <v>-</v>
          </cell>
          <cell r="S914" t="str">
            <v>-</v>
          </cell>
          <cell r="U914">
            <v>8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4</v>
          </cell>
          <cell r="AA914">
            <v>4</v>
          </cell>
          <cell r="AB914">
            <v>0</v>
          </cell>
          <cell r="AC914">
            <v>2</v>
          </cell>
          <cell r="AD914">
            <v>-2</v>
          </cell>
        </row>
        <row r="915">
          <cell r="A915" t="str">
            <v>33.11.10786.01</v>
          </cell>
          <cell r="B915" t="str">
            <v>CHAPA EXTERNA TAMPA CENTRAL TRASEIRA CAIXA L SV 180180 TSA / 33.11.10786.01</v>
          </cell>
          <cell r="C915">
            <v>46066</v>
          </cell>
          <cell r="D915" t="str">
            <v>-</v>
          </cell>
          <cell r="E915" t="str">
            <v>-</v>
          </cell>
          <cell r="F915" t="str">
            <v>-</v>
          </cell>
          <cell r="G915" t="str">
            <v>-</v>
          </cell>
          <cell r="H915" t="str">
            <v>-</v>
          </cell>
          <cell r="I915" t="str">
            <v>-</v>
          </cell>
          <cell r="J915">
            <v>0</v>
          </cell>
          <cell r="K915">
            <v>6</v>
          </cell>
          <cell r="L915" t="str">
            <v>ENTREGA PARCIAL</v>
          </cell>
          <cell r="M915">
            <v>2</v>
          </cell>
          <cell r="N915" t="str">
            <v>OC'S METALFISA</v>
          </cell>
          <cell r="O915">
            <v>6</v>
          </cell>
          <cell r="P915" t="str">
            <v>OC'S GRANATO</v>
          </cell>
          <cell r="Q915" t="str">
            <v>-</v>
          </cell>
          <cell r="S915" t="str">
            <v>-</v>
          </cell>
          <cell r="U915">
            <v>8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4</v>
          </cell>
          <cell r="AA915">
            <v>4</v>
          </cell>
          <cell r="AB915">
            <v>0</v>
          </cell>
          <cell r="AC915">
            <v>2</v>
          </cell>
          <cell r="AD915">
            <v>-2</v>
          </cell>
        </row>
        <row r="916">
          <cell r="A916" t="str">
            <v>33.11.10787.00</v>
          </cell>
          <cell r="B916" t="str">
            <v>CHAPA EXTERNA TAMPA SUPERIOR TRASEIRA CAIXA L SV 180180 TSA / 33.11.10787.00</v>
          </cell>
          <cell r="C916">
            <v>46066</v>
          </cell>
          <cell r="D916" t="str">
            <v>-</v>
          </cell>
          <cell r="E916" t="str">
            <v>-</v>
          </cell>
          <cell r="F916" t="str">
            <v>-</v>
          </cell>
          <cell r="G916" t="str">
            <v>-</v>
          </cell>
          <cell r="H916" t="str">
            <v>-</v>
          </cell>
          <cell r="I916" t="str">
            <v>-</v>
          </cell>
          <cell r="J916">
            <v>0</v>
          </cell>
          <cell r="K916">
            <v>6</v>
          </cell>
          <cell r="L916" t="str">
            <v>ENTREGA PARCIAL</v>
          </cell>
          <cell r="M916">
            <v>2</v>
          </cell>
          <cell r="N916" t="str">
            <v>OC'S METALFISA</v>
          </cell>
          <cell r="O916">
            <v>6</v>
          </cell>
          <cell r="P916" t="str">
            <v>OC'S GRANATO</v>
          </cell>
          <cell r="Q916" t="str">
            <v>-</v>
          </cell>
          <cell r="S916" t="str">
            <v>-</v>
          </cell>
          <cell r="U916">
            <v>8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4</v>
          </cell>
          <cell r="AA916">
            <v>4</v>
          </cell>
          <cell r="AB916">
            <v>0</v>
          </cell>
          <cell r="AC916">
            <v>2</v>
          </cell>
          <cell r="AD916">
            <v>-2</v>
          </cell>
        </row>
        <row r="917">
          <cell r="A917" t="str">
            <v>33.11.10788.00</v>
          </cell>
          <cell r="B917" t="str">
            <v>CHAPA TRAVAMENTO CHUMBOS LATERAIS CAIXA L SV 180180 TSA / 33.11.10788.00</v>
          </cell>
          <cell r="C917">
            <v>46076</v>
          </cell>
          <cell r="D917" t="str">
            <v>-</v>
          </cell>
          <cell r="E917" t="str">
            <v>-</v>
          </cell>
          <cell r="F917" t="str">
            <v>-</v>
          </cell>
          <cell r="G917" t="str">
            <v>-</v>
          </cell>
          <cell r="H917" t="str">
            <v>-</v>
          </cell>
          <cell r="I917" t="str">
            <v>-</v>
          </cell>
          <cell r="J917">
            <v>0</v>
          </cell>
          <cell r="K917">
            <v>4</v>
          </cell>
          <cell r="L917" t="str">
            <v>FALTA ENTREGA</v>
          </cell>
          <cell r="M917" t="str">
            <v>-</v>
          </cell>
          <cell r="N917" t="str">
            <v>OC'S METALFISA</v>
          </cell>
          <cell r="O917">
            <v>8</v>
          </cell>
          <cell r="P917" t="str">
            <v>OC'S GRANATO</v>
          </cell>
          <cell r="Q917" t="str">
            <v>-</v>
          </cell>
          <cell r="S917" t="str">
            <v>-</v>
          </cell>
          <cell r="U917">
            <v>8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4</v>
          </cell>
          <cell r="AA917">
            <v>4</v>
          </cell>
          <cell r="AB917">
            <v>0</v>
          </cell>
          <cell r="AC917">
            <v>0</v>
          </cell>
          <cell r="AD917">
            <v>-4</v>
          </cell>
        </row>
        <row r="918">
          <cell r="A918" t="str">
            <v>33.11.10789.00</v>
          </cell>
          <cell r="B918" t="str">
            <v>CHAPA TRAVAMENTO TRANSVERSAL A CHUMBOS LATERAIS CAIXA L SV 180180 TSA / 33.11.10789.00</v>
          </cell>
          <cell r="D918" t="str">
            <v>-</v>
          </cell>
          <cell r="E918" t="str">
            <v>-</v>
          </cell>
          <cell r="F918" t="str">
            <v>-</v>
          </cell>
          <cell r="G918" t="str">
            <v>-</v>
          </cell>
          <cell r="H918" t="str">
            <v>-</v>
          </cell>
          <cell r="I918" t="str">
            <v>-</v>
          </cell>
          <cell r="J918">
            <v>0</v>
          </cell>
          <cell r="K918">
            <v>4</v>
          </cell>
          <cell r="L918" t="str">
            <v>FALTA ENTREGA</v>
          </cell>
          <cell r="M918" t="str">
            <v>-</v>
          </cell>
          <cell r="N918" t="str">
            <v>OC'S METALFISA</v>
          </cell>
          <cell r="O918">
            <v>6</v>
          </cell>
          <cell r="P918" t="str">
            <v>OC'S GRANATO</v>
          </cell>
          <cell r="Q918" t="str">
            <v>-</v>
          </cell>
          <cell r="S918" t="str">
            <v>-</v>
          </cell>
          <cell r="U918">
            <v>6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2</v>
          </cell>
          <cell r="AA918">
            <v>2</v>
          </cell>
          <cell r="AB918">
            <v>0</v>
          </cell>
          <cell r="AC918">
            <v>0</v>
          </cell>
          <cell r="AD918">
            <v>-2</v>
          </cell>
        </row>
        <row r="919">
          <cell r="A919" t="str">
            <v>33.11.10794.00</v>
          </cell>
          <cell r="B919" t="str">
            <v>CHAPA FRONTAL BLINDAGEM FINAL DV 180180 / 33.11.10794.00</v>
          </cell>
          <cell r="D919" t="str">
            <v>-</v>
          </cell>
          <cell r="E919" t="str">
            <v>-</v>
          </cell>
          <cell r="F919" t="str">
            <v>-</v>
          </cell>
          <cell r="G919" t="str">
            <v>-</v>
          </cell>
          <cell r="H919" t="str">
            <v>-</v>
          </cell>
          <cell r="I919" t="str">
            <v>-</v>
          </cell>
          <cell r="J919">
            <v>0</v>
          </cell>
          <cell r="K919">
            <v>6</v>
          </cell>
          <cell r="L919" t="str">
            <v>ENTREGA PARCIAL</v>
          </cell>
          <cell r="M919">
            <v>2</v>
          </cell>
          <cell r="N919" t="str">
            <v>OC'S METALFISA</v>
          </cell>
          <cell r="O919">
            <v>8</v>
          </cell>
          <cell r="P919" t="str">
            <v>OC'S GRANATO</v>
          </cell>
          <cell r="Q919" t="str">
            <v>-</v>
          </cell>
          <cell r="S919" t="str">
            <v>-</v>
          </cell>
          <cell r="U919">
            <v>10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6</v>
          </cell>
          <cell r="AA919">
            <v>6</v>
          </cell>
          <cell r="AB919">
            <v>0</v>
          </cell>
          <cell r="AC919">
            <v>2</v>
          </cell>
          <cell r="AD919">
            <v>-4</v>
          </cell>
        </row>
        <row r="920">
          <cell r="A920" t="str">
            <v>33.11.10795.00</v>
          </cell>
          <cell r="B920" t="str">
            <v>CHAPA LATERAL BLINDAGEM FINAL DV 180180 / 33.11.10795.00</v>
          </cell>
          <cell r="C920">
            <v>46074</v>
          </cell>
          <cell r="D920" t="str">
            <v>-</v>
          </cell>
          <cell r="E920" t="str">
            <v>-</v>
          </cell>
          <cell r="F920" t="str">
            <v>-</v>
          </cell>
          <cell r="G920" t="str">
            <v>-</v>
          </cell>
          <cell r="H920" t="str">
            <v>-</v>
          </cell>
          <cell r="I920" t="str">
            <v>-</v>
          </cell>
          <cell r="J920">
            <v>0</v>
          </cell>
          <cell r="K920">
            <v>14</v>
          </cell>
          <cell r="L920" t="str">
            <v>ENTREGA PARCIAL</v>
          </cell>
          <cell r="M920">
            <v>2</v>
          </cell>
          <cell r="N920" t="str">
            <v>OC'S METALFISA</v>
          </cell>
          <cell r="O920">
            <v>18</v>
          </cell>
          <cell r="P920" t="str">
            <v>OC'S GRANATO</v>
          </cell>
          <cell r="Q920" t="str">
            <v>-</v>
          </cell>
          <cell r="S920" t="str">
            <v>-</v>
          </cell>
          <cell r="U920">
            <v>20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12</v>
          </cell>
          <cell r="AA920">
            <v>12</v>
          </cell>
          <cell r="AB920">
            <v>0</v>
          </cell>
          <cell r="AC920">
            <v>6</v>
          </cell>
          <cell r="AD920">
            <v>-6</v>
          </cell>
        </row>
        <row r="921">
          <cell r="A921" t="str">
            <v>33.11.10796.00</v>
          </cell>
          <cell r="B921" t="str">
            <v>CHAPA LATERAL BLINDAGEM PARTE A DV 180180 / 33.11.10796.00</v>
          </cell>
          <cell r="C921">
            <v>46074</v>
          </cell>
          <cell r="D921" t="str">
            <v>-</v>
          </cell>
          <cell r="E921" t="str">
            <v>-</v>
          </cell>
          <cell r="F921" t="str">
            <v>-</v>
          </cell>
          <cell r="G921" t="str">
            <v>-</v>
          </cell>
          <cell r="H921" t="str">
            <v>-</v>
          </cell>
          <cell r="I921" t="str">
            <v>-</v>
          </cell>
          <cell r="J921">
            <v>0</v>
          </cell>
          <cell r="K921">
            <v>7</v>
          </cell>
          <cell r="L921" t="str">
            <v>ENTREGA PARCIAL</v>
          </cell>
          <cell r="M921">
            <v>2</v>
          </cell>
          <cell r="N921" t="str">
            <v>OC'S METALFISA</v>
          </cell>
          <cell r="O921">
            <v>8</v>
          </cell>
          <cell r="P921" t="str">
            <v>OC'S GRANATO</v>
          </cell>
          <cell r="Q921" t="str">
            <v>-</v>
          </cell>
          <cell r="S921" t="str">
            <v>-</v>
          </cell>
          <cell r="U921">
            <v>10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6</v>
          </cell>
          <cell r="AA921">
            <v>6</v>
          </cell>
          <cell r="AB921">
            <v>0</v>
          </cell>
          <cell r="AC921">
            <v>3</v>
          </cell>
          <cell r="AD921">
            <v>-3</v>
          </cell>
        </row>
        <row r="922">
          <cell r="A922" t="str">
            <v>33.11.10797.00</v>
          </cell>
          <cell r="B922" t="str">
            <v>CHAPA LATERAL BLINDAGEM PARTE B DV 180180 / 33.11.10797.00</v>
          </cell>
          <cell r="C922">
            <v>46074</v>
          </cell>
          <cell r="D922" t="str">
            <v>-</v>
          </cell>
          <cell r="E922" t="str">
            <v>-</v>
          </cell>
          <cell r="F922" t="str">
            <v>-</v>
          </cell>
          <cell r="G922" t="str">
            <v>-</v>
          </cell>
          <cell r="H922" t="str">
            <v>-</v>
          </cell>
          <cell r="I922" t="str">
            <v>-</v>
          </cell>
          <cell r="J922">
            <v>0</v>
          </cell>
          <cell r="K922">
            <v>8</v>
          </cell>
          <cell r="L922" t="str">
            <v>ENTREGA PARCIAL</v>
          </cell>
          <cell r="M922">
            <v>2</v>
          </cell>
          <cell r="N922" t="str">
            <v>OC'S METALFISA</v>
          </cell>
          <cell r="O922">
            <v>8</v>
          </cell>
          <cell r="P922" t="str">
            <v>OC'S GRANATO</v>
          </cell>
          <cell r="Q922" t="str">
            <v>-</v>
          </cell>
          <cell r="S922" t="str">
            <v>-</v>
          </cell>
          <cell r="U922">
            <v>10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6</v>
          </cell>
          <cell r="AA922">
            <v>6</v>
          </cell>
          <cell r="AB922">
            <v>0</v>
          </cell>
          <cell r="AC922">
            <v>4</v>
          </cell>
          <cell r="AD922">
            <v>-2</v>
          </cell>
        </row>
        <row r="923">
          <cell r="A923" t="str">
            <v>33.11.10798.00</v>
          </cell>
          <cell r="B923" t="str">
            <v>CHAPA SUPERIOR BLINDAGEM PARTE A DV 180180 / 33.11.10798.00</v>
          </cell>
          <cell r="D923" t="str">
            <v>-</v>
          </cell>
          <cell r="E923" t="str">
            <v>-</v>
          </cell>
          <cell r="F923" t="str">
            <v>-</v>
          </cell>
          <cell r="G923" t="str">
            <v>-</v>
          </cell>
          <cell r="H923" t="str">
            <v>-</v>
          </cell>
          <cell r="I923" t="str">
            <v>-</v>
          </cell>
          <cell r="J923">
            <v>0</v>
          </cell>
          <cell r="K923">
            <v>6</v>
          </cell>
          <cell r="L923" t="str">
            <v>ENTREGA PARCIAL</v>
          </cell>
          <cell r="M923">
            <v>1</v>
          </cell>
          <cell r="N923" t="str">
            <v>OC'S METALFISA</v>
          </cell>
          <cell r="O923">
            <v>9</v>
          </cell>
          <cell r="P923" t="str">
            <v>OC'S GRANATO</v>
          </cell>
          <cell r="Q923" t="str">
            <v>-</v>
          </cell>
          <cell r="S923" t="str">
            <v>-</v>
          </cell>
          <cell r="U923">
            <v>10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6</v>
          </cell>
          <cell r="AA923">
            <v>6</v>
          </cell>
          <cell r="AB923">
            <v>0</v>
          </cell>
          <cell r="AC923">
            <v>2</v>
          </cell>
          <cell r="AD923">
            <v>-4</v>
          </cell>
        </row>
        <row r="924">
          <cell r="A924" t="str">
            <v>33.11.10799.00</v>
          </cell>
          <cell r="B924" t="str">
            <v>CHAPA SUPERIOR BLINDAGEM PARTE B DV 180180 / 33.11.10799.00</v>
          </cell>
          <cell r="D924" t="str">
            <v>-</v>
          </cell>
          <cell r="E924" t="str">
            <v>-</v>
          </cell>
          <cell r="F924" t="str">
            <v>-</v>
          </cell>
          <cell r="G924" t="str">
            <v>-</v>
          </cell>
          <cell r="H924" t="str">
            <v>-</v>
          </cell>
          <cell r="I924" t="str">
            <v>-</v>
          </cell>
          <cell r="J924">
            <v>0</v>
          </cell>
          <cell r="K924">
            <v>6</v>
          </cell>
          <cell r="L924" t="str">
            <v>ENTREGA PARCIAL</v>
          </cell>
          <cell r="M924">
            <v>1</v>
          </cell>
          <cell r="N924" t="str">
            <v>OC'S METALFISA</v>
          </cell>
          <cell r="O924">
            <v>9</v>
          </cell>
          <cell r="P924" t="str">
            <v>OC'S GRANATO</v>
          </cell>
          <cell r="Q924" t="str">
            <v>-</v>
          </cell>
          <cell r="S924" t="str">
            <v>-</v>
          </cell>
          <cell r="U924">
            <v>10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6</v>
          </cell>
          <cell r="AA924">
            <v>6</v>
          </cell>
          <cell r="AB924">
            <v>0</v>
          </cell>
          <cell r="AC924">
            <v>2</v>
          </cell>
          <cell r="AD924">
            <v>-4</v>
          </cell>
        </row>
        <row r="925">
          <cell r="A925" t="str">
            <v>33.11.10800.00</v>
          </cell>
          <cell r="B925" t="str">
            <v>CHAPA TRAVAMENTO CHUMBOS LATERAIS CAIXA L DV 180180 TSA / 33.11.10800.00</v>
          </cell>
          <cell r="C925">
            <v>46076</v>
          </cell>
          <cell r="D925" t="str">
            <v>-</v>
          </cell>
          <cell r="E925" t="str">
            <v>-</v>
          </cell>
          <cell r="F925" t="str">
            <v>-</v>
          </cell>
          <cell r="G925" t="str">
            <v>-</v>
          </cell>
          <cell r="H925" t="str">
            <v>-</v>
          </cell>
          <cell r="I925" t="str">
            <v>-</v>
          </cell>
          <cell r="J925">
            <v>0</v>
          </cell>
          <cell r="K925">
            <v>5</v>
          </cell>
          <cell r="L925" t="str">
            <v>FALTA ENTREGA</v>
          </cell>
          <cell r="M925" t="str">
            <v>-</v>
          </cell>
          <cell r="N925" t="str">
            <v>OC'S METALFISA</v>
          </cell>
          <cell r="O925">
            <v>8</v>
          </cell>
          <cell r="P925" t="str">
            <v>OC'S GRANATO</v>
          </cell>
          <cell r="Q925" t="str">
            <v>-</v>
          </cell>
          <cell r="S925" t="str">
            <v>-</v>
          </cell>
          <cell r="U925">
            <v>8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3</v>
          </cell>
          <cell r="AA925">
            <v>3</v>
          </cell>
          <cell r="AB925">
            <v>0</v>
          </cell>
          <cell r="AC925">
            <v>0</v>
          </cell>
          <cell r="AD925">
            <v>-3</v>
          </cell>
        </row>
        <row r="926">
          <cell r="A926" t="str">
            <v>33.11.10801.00</v>
          </cell>
          <cell r="B926" t="str">
            <v>CHAPA TRAVAMENTO TRANSVERSAL A CHUMBOS LATERAIS CAIXA L DV 180180 TSA / 33.11.10801.00</v>
          </cell>
          <cell r="C926">
            <v>46066</v>
          </cell>
          <cell r="D926" t="str">
            <v>-</v>
          </cell>
          <cell r="E926" t="str">
            <v>-</v>
          </cell>
          <cell r="F926" t="str">
            <v>-</v>
          </cell>
          <cell r="G926" t="str">
            <v>-</v>
          </cell>
          <cell r="H926" t="str">
            <v>-</v>
          </cell>
          <cell r="I926" t="str">
            <v>-</v>
          </cell>
          <cell r="J926">
            <v>0</v>
          </cell>
          <cell r="K926">
            <v>7</v>
          </cell>
          <cell r="L926" t="str">
            <v>ENTREGA PARCIAL</v>
          </cell>
          <cell r="M926" t="str">
            <v>-</v>
          </cell>
          <cell r="N926" t="str">
            <v>OC'S METALFISA</v>
          </cell>
          <cell r="O926">
            <v>8</v>
          </cell>
          <cell r="P926" t="str">
            <v>OC'S GRANATO</v>
          </cell>
          <cell r="Q926" t="str">
            <v>-</v>
          </cell>
          <cell r="S926" t="str">
            <v>-</v>
          </cell>
          <cell r="U926">
            <v>8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2</v>
          </cell>
          <cell r="AA926">
            <v>2</v>
          </cell>
          <cell r="AB926">
            <v>0</v>
          </cell>
          <cell r="AC926">
            <v>1</v>
          </cell>
          <cell r="AD926">
            <v>-1</v>
          </cell>
        </row>
        <row r="927">
          <cell r="A927" t="str">
            <v>33.11.10802.00</v>
          </cell>
          <cell r="B927" t="str">
            <v>CHAPA TRAVAMENTO TRANSVERSAL B CHUMBOS LATERAIS CAIXA L DV 180180 TSA / 33.11.10802.00</v>
          </cell>
          <cell r="C927">
            <v>46072</v>
          </cell>
          <cell r="D927" t="str">
            <v>-</v>
          </cell>
          <cell r="E927" t="str">
            <v>-</v>
          </cell>
          <cell r="F927" t="str">
            <v>-</v>
          </cell>
          <cell r="G927" t="str">
            <v>-</v>
          </cell>
          <cell r="H927" t="str">
            <v>-</v>
          </cell>
          <cell r="I927" t="str">
            <v>-</v>
          </cell>
          <cell r="J927">
            <v>0</v>
          </cell>
          <cell r="K927">
            <v>6</v>
          </cell>
          <cell r="L927" t="str">
            <v>ENTREGA PARCIAL</v>
          </cell>
          <cell r="M927" t="str">
            <v>-</v>
          </cell>
          <cell r="N927" t="str">
            <v>OC'S METALFISA</v>
          </cell>
          <cell r="O927">
            <v>7</v>
          </cell>
          <cell r="P927" t="str">
            <v>OC'S GRANATO</v>
          </cell>
          <cell r="Q927" t="str">
            <v>-</v>
          </cell>
          <cell r="S927" t="str">
            <v>-</v>
          </cell>
          <cell r="U927">
            <v>7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3</v>
          </cell>
          <cell r="AA927">
            <v>3</v>
          </cell>
          <cell r="AB927">
            <v>0</v>
          </cell>
          <cell r="AC927">
            <v>2</v>
          </cell>
          <cell r="AD927">
            <v>-1</v>
          </cell>
        </row>
        <row r="928">
          <cell r="A928" t="str">
            <v>33.11.10803.00</v>
          </cell>
          <cell r="B928" t="str">
            <v>TRAVESSA FIXACAO CHUMBO BLINDAGEM EXTREMIDADE INFERIOR CAIXA L DV 180180 TSA / 33.11.10803</v>
          </cell>
          <cell r="C928">
            <v>46074</v>
          </cell>
          <cell r="D928" t="str">
            <v>-</v>
          </cell>
          <cell r="E928" t="str">
            <v>-</v>
          </cell>
          <cell r="F928" t="str">
            <v>-</v>
          </cell>
          <cell r="G928" t="str">
            <v>-</v>
          </cell>
          <cell r="H928" t="str">
            <v>-</v>
          </cell>
          <cell r="I928" t="str">
            <v>-</v>
          </cell>
          <cell r="J928">
            <v>0</v>
          </cell>
          <cell r="K928">
            <v>8</v>
          </cell>
          <cell r="L928" t="str">
            <v>ENTREGA TOTAL</v>
          </cell>
          <cell r="M928">
            <v>1</v>
          </cell>
          <cell r="N928" t="str">
            <v>OC'S METALFISA</v>
          </cell>
          <cell r="O928">
            <v>7</v>
          </cell>
          <cell r="P928" t="str">
            <v>OC'S GRANATO</v>
          </cell>
          <cell r="Q928" t="str">
            <v>-</v>
          </cell>
          <cell r="S928" t="str">
            <v>-</v>
          </cell>
          <cell r="U928">
            <v>8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4</v>
          </cell>
          <cell r="AA928">
            <v>4</v>
          </cell>
          <cell r="AB928">
            <v>0</v>
          </cell>
          <cell r="AC928">
            <v>4</v>
          </cell>
          <cell r="AD928">
            <v>0</v>
          </cell>
        </row>
        <row r="929">
          <cell r="A929" t="str">
            <v>33.11.10804.00</v>
          </cell>
          <cell r="B929" t="str">
            <v>REFORCO SUPORTE TAMPA PIVOTANTE MODULO SV 180180 TSA / 33.11.10804.00</v>
          </cell>
          <cell r="C929">
            <v>46066</v>
          </cell>
          <cell r="D929" t="str">
            <v>-</v>
          </cell>
          <cell r="E929" t="str">
            <v>-</v>
          </cell>
          <cell r="F929" t="str">
            <v>-</v>
          </cell>
          <cell r="G929" t="str">
            <v>-</v>
          </cell>
          <cell r="H929" t="str">
            <v>-</v>
          </cell>
          <cell r="I929" t="str">
            <v>-</v>
          </cell>
          <cell r="J929">
            <v>0</v>
          </cell>
          <cell r="K929">
            <v>7</v>
          </cell>
          <cell r="L929" t="str">
            <v>ENTREGA PARCIAL</v>
          </cell>
          <cell r="M929">
            <v>2</v>
          </cell>
          <cell r="N929" t="str">
            <v>OC'S METALFISA</v>
          </cell>
          <cell r="O929">
            <v>11</v>
          </cell>
          <cell r="P929" t="str">
            <v>OC'S GRANATO</v>
          </cell>
          <cell r="Q929" t="str">
            <v>-</v>
          </cell>
          <cell r="S929" t="str">
            <v>-</v>
          </cell>
          <cell r="U929">
            <v>13</v>
          </cell>
          <cell r="V929">
            <v>1</v>
          </cell>
          <cell r="W929">
            <v>0</v>
          </cell>
          <cell r="X929">
            <v>0</v>
          </cell>
          <cell r="Y929">
            <v>0</v>
          </cell>
          <cell r="Z929">
            <v>9</v>
          </cell>
          <cell r="AA929">
            <v>10</v>
          </cell>
          <cell r="AB929">
            <v>0</v>
          </cell>
          <cell r="AC929">
            <v>4</v>
          </cell>
          <cell r="AD929">
            <v>-6</v>
          </cell>
        </row>
        <row r="930">
          <cell r="A930" t="str">
            <v>33.11.10871.00</v>
          </cell>
          <cell r="B930" t="str">
            <v>SUPORTE INDUTOR MODULO SV 180180 TSA / 33.11.10871.00</v>
          </cell>
          <cell r="D930" t="str">
            <v>-</v>
          </cell>
          <cell r="E930" t="str">
            <v>-</v>
          </cell>
          <cell r="F930" t="str">
            <v>-</v>
          </cell>
          <cell r="G930" t="str">
            <v>-</v>
          </cell>
          <cell r="H930" t="str">
            <v>-</v>
          </cell>
          <cell r="I930" t="str">
            <v>-</v>
          </cell>
          <cell r="J930">
            <v>0</v>
          </cell>
          <cell r="K930">
            <v>4</v>
          </cell>
          <cell r="L930" t="str">
            <v>ENTREGA PARCIAL</v>
          </cell>
          <cell r="M930">
            <v>2</v>
          </cell>
          <cell r="N930" t="str">
            <v>OC'S METALFISA</v>
          </cell>
          <cell r="O930">
            <v>6</v>
          </cell>
          <cell r="P930" t="str">
            <v>OC'S GRANATO</v>
          </cell>
          <cell r="Q930" t="str">
            <v>-</v>
          </cell>
          <cell r="S930" t="str">
            <v>-</v>
          </cell>
          <cell r="U930">
            <v>8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6</v>
          </cell>
          <cell r="AA930">
            <v>6</v>
          </cell>
          <cell r="AB930">
            <v>0</v>
          </cell>
          <cell r="AC930">
            <v>2</v>
          </cell>
          <cell r="AD930">
            <v>-4</v>
          </cell>
        </row>
        <row r="931">
          <cell r="A931" t="str">
            <v>33.11.10875.00</v>
          </cell>
          <cell r="B931" t="str">
            <v>MAO FRANCESA CAIXA L DV 180180 TSA / 33.11.10875.00</v>
          </cell>
          <cell r="C931">
            <v>46072</v>
          </cell>
          <cell r="D931" t="str">
            <v>-</v>
          </cell>
          <cell r="E931" t="str">
            <v>-</v>
          </cell>
          <cell r="F931" t="str">
            <v>-</v>
          </cell>
          <cell r="G931" t="str">
            <v>-</v>
          </cell>
          <cell r="H931" t="str">
            <v>-</v>
          </cell>
          <cell r="I931" t="str">
            <v>-</v>
          </cell>
          <cell r="J931">
            <v>0</v>
          </cell>
          <cell r="K931">
            <v>48</v>
          </cell>
          <cell r="L931" t="str">
            <v>ENTREGA TOTAL</v>
          </cell>
          <cell r="M931" t="str">
            <v>-</v>
          </cell>
          <cell r="N931" t="str">
            <v>OC'S METALFISA</v>
          </cell>
          <cell r="O931">
            <v>48</v>
          </cell>
          <cell r="P931" t="str">
            <v>OC'S GRANATO</v>
          </cell>
          <cell r="Q931" t="str">
            <v>-</v>
          </cell>
          <cell r="S931" t="str">
            <v>-</v>
          </cell>
          <cell r="U931">
            <v>48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24</v>
          </cell>
          <cell r="AA931">
            <v>24</v>
          </cell>
          <cell r="AB931">
            <v>0</v>
          </cell>
          <cell r="AC931">
            <v>24</v>
          </cell>
          <cell r="AD931">
            <v>0</v>
          </cell>
        </row>
        <row r="932">
          <cell r="A932" t="str">
            <v>33.11.10877.01</v>
          </cell>
          <cell r="B932" t="str">
            <v>CONJUNTO APOIO DESLIZAMENTO DE CARGA MODULOS EXTREMIDADE / 33.11.10877.01</v>
          </cell>
          <cell r="C932">
            <v>46076</v>
          </cell>
          <cell r="D932" t="str">
            <v>-</v>
          </cell>
          <cell r="E932" t="str">
            <v>-</v>
          </cell>
          <cell r="F932" t="str">
            <v>-</v>
          </cell>
          <cell r="G932" t="str">
            <v>-</v>
          </cell>
          <cell r="H932" t="str">
            <v>-</v>
          </cell>
          <cell r="I932" t="str">
            <v>-</v>
          </cell>
          <cell r="J932">
            <v>0</v>
          </cell>
          <cell r="K932">
            <v>123</v>
          </cell>
          <cell r="L932" t="str">
            <v>ENTREGA PARCIAL</v>
          </cell>
          <cell r="M932">
            <v>16</v>
          </cell>
          <cell r="N932" t="str">
            <v>OC'S METALFISA</v>
          </cell>
          <cell r="O932">
            <v>224</v>
          </cell>
          <cell r="P932" t="str">
            <v>OC'S GRANATO</v>
          </cell>
          <cell r="Q932" t="str">
            <v>-</v>
          </cell>
          <cell r="S932" t="str">
            <v>-</v>
          </cell>
          <cell r="U932">
            <v>240</v>
          </cell>
          <cell r="V932">
            <v>32</v>
          </cell>
          <cell r="W932">
            <v>0</v>
          </cell>
          <cell r="X932">
            <v>0</v>
          </cell>
          <cell r="Y932">
            <v>0</v>
          </cell>
          <cell r="Z932">
            <v>144</v>
          </cell>
          <cell r="AA932">
            <v>176</v>
          </cell>
          <cell r="AB932">
            <v>0</v>
          </cell>
          <cell r="AC932">
            <v>59</v>
          </cell>
          <cell r="AD932">
            <v>-117</v>
          </cell>
        </row>
        <row r="933">
          <cell r="A933" t="str">
            <v>33.11.10879.01</v>
          </cell>
          <cell r="B933" t="str">
            <v>APOIO DESLIZAMENTO DE CARGA MODULOS SV/DV / 33.11.10879.01</v>
          </cell>
          <cell r="C933">
            <v>46072</v>
          </cell>
          <cell r="D933" t="str">
            <v>-</v>
          </cell>
          <cell r="E933" t="str">
            <v>-</v>
          </cell>
          <cell r="F933" t="str">
            <v>-</v>
          </cell>
          <cell r="G933" t="str">
            <v>-</v>
          </cell>
          <cell r="H933" t="str">
            <v>-</v>
          </cell>
          <cell r="I933" t="str">
            <v>-</v>
          </cell>
          <cell r="J933">
            <v>0</v>
          </cell>
          <cell r="K933">
            <v>18</v>
          </cell>
          <cell r="L933" t="str">
            <v>ENTREGA PARCIAL</v>
          </cell>
          <cell r="M933">
            <v>2</v>
          </cell>
          <cell r="N933" t="str">
            <v>OC'S METALFISA</v>
          </cell>
          <cell r="O933">
            <v>28</v>
          </cell>
          <cell r="P933" t="str">
            <v>OC'S GRANATO</v>
          </cell>
          <cell r="Q933" t="str">
            <v>-</v>
          </cell>
          <cell r="S933" t="str">
            <v>-</v>
          </cell>
          <cell r="U933">
            <v>30</v>
          </cell>
          <cell r="V933">
            <v>4</v>
          </cell>
          <cell r="W933">
            <v>0</v>
          </cell>
          <cell r="X933">
            <v>0</v>
          </cell>
          <cell r="Y933">
            <v>0</v>
          </cell>
          <cell r="Z933">
            <v>18</v>
          </cell>
          <cell r="AA933">
            <v>22</v>
          </cell>
          <cell r="AB933">
            <v>0</v>
          </cell>
          <cell r="AC933">
            <v>10</v>
          </cell>
          <cell r="AD933">
            <v>-12</v>
          </cell>
        </row>
        <row r="934">
          <cell r="A934" t="str">
            <v>33.11.10880.01</v>
          </cell>
          <cell r="B934" t="str">
            <v>CONJUNTO APOIO DESLIZAMENTO DE CARGA MODULOS SV/DV E INTERMEDIARIO / 33.11.10880.01</v>
          </cell>
          <cell r="C934">
            <v>46072</v>
          </cell>
          <cell r="D934" t="str">
            <v>-</v>
          </cell>
          <cell r="E934" t="str">
            <v>-</v>
          </cell>
          <cell r="F934" t="str">
            <v>-</v>
          </cell>
          <cell r="G934" t="str">
            <v>-</v>
          </cell>
          <cell r="H934" t="str">
            <v>-</v>
          </cell>
          <cell r="I934" t="str">
            <v>-</v>
          </cell>
          <cell r="J934">
            <v>0</v>
          </cell>
          <cell r="K934">
            <v>132</v>
          </cell>
          <cell r="L934" t="str">
            <v>ENTREGA PARCIAL</v>
          </cell>
          <cell r="M934">
            <v>20</v>
          </cell>
          <cell r="N934" t="str">
            <v>OC'S METALFISA</v>
          </cell>
          <cell r="O934">
            <v>179</v>
          </cell>
          <cell r="P934" t="str">
            <v>OC'S GRANATO</v>
          </cell>
          <cell r="Q934" t="str">
            <v>-</v>
          </cell>
          <cell r="S934" t="str">
            <v>-</v>
          </cell>
          <cell r="U934">
            <v>199</v>
          </cell>
          <cell r="V934">
            <v>11</v>
          </cell>
          <cell r="W934">
            <v>0</v>
          </cell>
          <cell r="X934">
            <v>0</v>
          </cell>
          <cell r="Y934">
            <v>0</v>
          </cell>
          <cell r="Z934">
            <v>120</v>
          </cell>
          <cell r="AA934">
            <v>131</v>
          </cell>
          <cell r="AB934">
            <v>0</v>
          </cell>
          <cell r="AC934">
            <v>64</v>
          </cell>
          <cell r="AD934">
            <v>-67</v>
          </cell>
        </row>
        <row r="935">
          <cell r="A935" t="str">
            <v>33.11.10882.01</v>
          </cell>
          <cell r="B935" t="str">
            <v>CONJUNTO APOIO DESLIZAMENTO DE CARGA MESA DE ROLETES / 33.11.10882.01</v>
          </cell>
          <cell r="C935">
            <v>46059</v>
          </cell>
          <cell r="D935" t="str">
            <v>-</v>
          </cell>
          <cell r="E935" t="str">
            <v>-</v>
          </cell>
          <cell r="F935" t="str">
            <v>-</v>
          </cell>
          <cell r="G935" t="str">
            <v>-</v>
          </cell>
          <cell r="H935" t="str">
            <v>-</v>
          </cell>
          <cell r="I935" t="str">
            <v>-</v>
          </cell>
          <cell r="J935">
            <v>0</v>
          </cell>
          <cell r="K935">
            <v>163</v>
          </cell>
          <cell r="L935" t="str">
            <v>ENTREGA PARCIAL</v>
          </cell>
          <cell r="M935">
            <v>20</v>
          </cell>
          <cell r="N935" t="str">
            <v>OC'S METALFISA</v>
          </cell>
          <cell r="O935">
            <v>301</v>
          </cell>
          <cell r="P935" t="str">
            <v>OC'S GRANATO</v>
          </cell>
          <cell r="Q935" t="str">
            <v>-</v>
          </cell>
          <cell r="S935" t="str">
            <v>-</v>
          </cell>
          <cell r="U935">
            <v>321</v>
          </cell>
          <cell r="V935">
            <v>39</v>
          </cell>
          <cell r="W935">
            <v>0</v>
          </cell>
          <cell r="X935">
            <v>0</v>
          </cell>
          <cell r="Y935">
            <v>0</v>
          </cell>
          <cell r="Z935">
            <v>200</v>
          </cell>
          <cell r="AA935">
            <v>239</v>
          </cell>
          <cell r="AB935">
            <v>0</v>
          </cell>
          <cell r="AC935">
            <v>81</v>
          </cell>
          <cell r="AD935">
            <v>-158</v>
          </cell>
        </row>
        <row r="936">
          <cell r="A936" t="str">
            <v>33.11.10893.00</v>
          </cell>
          <cell r="B936" t="str">
            <v>ACABAMENTO CENTRAL DIREITO MODULO SV / 33.11.10893.00</v>
          </cell>
          <cell r="C936">
            <v>46072</v>
          </cell>
          <cell r="D936" t="str">
            <v>-</v>
          </cell>
          <cell r="E936" t="str">
            <v>-</v>
          </cell>
          <cell r="F936" t="str">
            <v>-</v>
          </cell>
          <cell r="G936" t="str">
            <v>-</v>
          </cell>
          <cell r="H936" t="str">
            <v>-</v>
          </cell>
          <cell r="I936" t="str">
            <v>-</v>
          </cell>
          <cell r="J936">
            <v>0</v>
          </cell>
          <cell r="K936">
            <v>6</v>
          </cell>
          <cell r="L936" t="str">
            <v>ENTREGA PARCIAL</v>
          </cell>
          <cell r="M936" t="str">
            <v>-</v>
          </cell>
          <cell r="N936" t="str">
            <v>OC'S METALFISA</v>
          </cell>
          <cell r="O936">
            <v>8</v>
          </cell>
          <cell r="P936" t="str">
            <v>OC'S GRANATO</v>
          </cell>
          <cell r="Q936" t="str">
            <v>-</v>
          </cell>
          <cell r="S936" t="str">
            <v>-</v>
          </cell>
          <cell r="U936">
            <v>8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6</v>
          </cell>
          <cell r="AA936">
            <v>6</v>
          </cell>
          <cell r="AB936">
            <v>0</v>
          </cell>
          <cell r="AC936">
            <v>4</v>
          </cell>
          <cell r="AD936">
            <v>-2</v>
          </cell>
        </row>
        <row r="937">
          <cell r="A937" t="str">
            <v>33.11.10894.00</v>
          </cell>
          <cell r="B937" t="str">
            <v>ACABAMENTO EXTREMIDADE ESQUERDO MODULO SV / 33.11.10894.00</v>
          </cell>
          <cell r="C937">
            <v>46072</v>
          </cell>
          <cell r="D937" t="str">
            <v>-</v>
          </cell>
          <cell r="E937" t="str">
            <v>-</v>
          </cell>
          <cell r="F937" t="str">
            <v>-</v>
          </cell>
          <cell r="G937" t="str">
            <v>-</v>
          </cell>
          <cell r="H937" t="str">
            <v>-</v>
          </cell>
          <cell r="I937" t="str">
            <v>-</v>
          </cell>
          <cell r="J937">
            <v>0</v>
          </cell>
          <cell r="K937">
            <v>6</v>
          </cell>
          <cell r="L937" t="str">
            <v>ENTREGA TOTAL</v>
          </cell>
          <cell r="M937" t="str">
            <v>-</v>
          </cell>
          <cell r="N937" t="str">
            <v>OC'S METALFISA</v>
          </cell>
          <cell r="O937">
            <v>6</v>
          </cell>
          <cell r="P937" t="str">
            <v>OC'S GRANATO</v>
          </cell>
          <cell r="Q937" t="str">
            <v>-</v>
          </cell>
          <cell r="S937" t="str">
            <v>-</v>
          </cell>
          <cell r="U937">
            <v>6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2</v>
          </cell>
          <cell r="AA937">
            <v>2</v>
          </cell>
          <cell r="AB937">
            <v>0</v>
          </cell>
          <cell r="AC937">
            <v>2</v>
          </cell>
          <cell r="AD937">
            <v>0</v>
          </cell>
        </row>
        <row r="938">
          <cell r="A938" t="str">
            <v>33.11.10895.00</v>
          </cell>
          <cell r="B938" t="str">
            <v>ACABAMENTO EXTREMIDADE DIREITO MODULO SV / 33.11.10895.00</v>
          </cell>
          <cell r="C938">
            <v>46072</v>
          </cell>
          <cell r="D938" t="str">
            <v>-</v>
          </cell>
          <cell r="E938" t="str">
            <v>-</v>
          </cell>
          <cell r="F938" t="str">
            <v>-</v>
          </cell>
          <cell r="G938" t="str">
            <v>-</v>
          </cell>
          <cell r="H938" t="str">
            <v>-</v>
          </cell>
          <cell r="I938" t="str">
            <v>-</v>
          </cell>
          <cell r="J938">
            <v>0</v>
          </cell>
          <cell r="K938">
            <v>6</v>
          </cell>
          <cell r="L938" t="str">
            <v>ENTREGA TOTAL</v>
          </cell>
          <cell r="M938" t="str">
            <v>-</v>
          </cell>
          <cell r="N938" t="str">
            <v>OC'S METALFISA</v>
          </cell>
          <cell r="O938">
            <v>6</v>
          </cell>
          <cell r="P938" t="str">
            <v>OC'S GRANATO</v>
          </cell>
          <cell r="Q938" t="str">
            <v>-</v>
          </cell>
          <cell r="S938" t="str">
            <v>-</v>
          </cell>
          <cell r="U938">
            <v>6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2</v>
          </cell>
          <cell r="AA938">
            <v>2</v>
          </cell>
          <cell r="AB938">
            <v>0</v>
          </cell>
          <cell r="AC938">
            <v>2</v>
          </cell>
          <cell r="AD938">
            <v>0</v>
          </cell>
        </row>
        <row r="939">
          <cell r="A939" t="str">
            <v>33.11.10896.00</v>
          </cell>
          <cell r="B939" t="str">
            <v>ACABAMENTO EXTREMIDADE ESQUERDO MODULO DV / 33.11.10896.00</v>
          </cell>
          <cell r="C939">
            <v>46072</v>
          </cell>
          <cell r="D939" t="str">
            <v>-</v>
          </cell>
          <cell r="E939" t="str">
            <v>-</v>
          </cell>
          <cell r="F939" t="str">
            <v>-</v>
          </cell>
          <cell r="G939" t="str">
            <v>-</v>
          </cell>
          <cell r="H939" t="str">
            <v>-</v>
          </cell>
          <cell r="I939" t="str">
            <v>-</v>
          </cell>
          <cell r="J939">
            <v>0</v>
          </cell>
          <cell r="K939">
            <v>6</v>
          </cell>
          <cell r="L939" t="str">
            <v>ENTREGA PARCIAL</v>
          </cell>
          <cell r="M939">
            <v>2</v>
          </cell>
          <cell r="N939" t="str">
            <v>OC'S METALFISA</v>
          </cell>
          <cell r="O939">
            <v>6</v>
          </cell>
          <cell r="P939" t="str">
            <v>OC'S GRANATO</v>
          </cell>
          <cell r="Q939" t="str">
            <v>-</v>
          </cell>
          <cell r="S939" t="str">
            <v>-</v>
          </cell>
          <cell r="U939">
            <v>8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4</v>
          </cell>
          <cell r="AA939">
            <v>4</v>
          </cell>
          <cell r="AB939">
            <v>0</v>
          </cell>
          <cell r="AC939">
            <v>2</v>
          </cell>
          <cell r="AD939">
            <v>-2</v>
          </cell>
        </row>
        <row r="940">
          <cell r="A940" t="str">
            <v>33.11.10897.00</v>
          </cell>
          <cell r="B940" t="str">
            <v>ACABAMENTO LATERAL DIREITO MODULO DV / 33.11.10897.00</v>
          </cell>
          <cell r="C940">
            <v>46072</v>
          </cell>
          <cell r="D940" t="str">
            <v>-</v>
          </cell>
          <cell r="E940" t="str">
            <v>-</v>
          </cell>
          <cell r="F940" t="str">
            <v>-</v>
          </cell>
          <cell r="G940" t="str">
            <v>-</v>
          </cell>
          <cell r="H940" t="str">
            <v>-</v>
          </cell>
          <cell r="I940" t="str">
            <v>-</v>
          </cell>
          <cell r="J940">
            <v>0</v>
          </cell>
          <cell r="K940">
            <v>6</v>
          </cell>
          <cell r="L940" t="str">
            <v>ENTREGA PARCIAL</v>
          </cell>
          <cell r="M940">
            <v>2</v>
          </cell>
          <cell r="N940" t="str">
            <v>OC'S METALFISA</v>
          </cell>
          <cell r="O940">
            <v>6</v>
          </cell>
          <cell r="P940" t="str">
            <v>OC'S GRANATO</v>
          </cell>
          <cell r="Q940" t="str">
            <v>-</v>
          </cell>
          <cell r="S940" t="str">
            <v>-</v>
          </cell>
          <cell r="U940">
            <v>8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4</v>
          </cell>
          <cell r="AA940">
            <v>4</v>
          </cell>
          <cell r="AB940">
            <v>0</v>
          </cell>
          <cell r="AC940">
            <v>2</v>
          </cell>
          <cell r="AD940">
            <v>-2</v>
          </cell>
        </row>
        <row r="941">
          <cell r="A941" t="str">
            <v>33.11.10898.00</v>
          </cell>
          <cell r="B941" t="str">
            <v>ACABAMENTO ESQUERDO MODULO INTERMEDIARIO / 33.11.10898.00</v>
          </cell>
          <cell r="C941">
            <v>46072</v>
          </cell>
          <cell r="D941" t="str">
            <v>-</v>
          </cell>
          <cell r="E941" t="str">
            <v>-</v>
          </cell>
          <cell r="F941" t="str">
            <v>-</v>
          </cell>
          <cell r="G941" t="str">
            <v>-</v>
          </cell>
          <cell r="H941" t="str">
            <v>-</v>
          </cell>
          <cell r="I941" t="str">
            <v>-</v>
          </cell>
          <cell r="J941">
            <v>0</v>
          </cell>
          <cell r="K941">
            <v>12</v>
          </cell>
          <cell r="L941" t="str">
            <v>ENTREGA PARCIAL</v>
          </cell>
          <cell r="M941">
            <v>2</v>
          </cell>
          <cell r="N941" t="str">
            <v>OC'S METALFISA</v>
          </cell>
          <cell r="O941">
            <v>14</v>
          </cell>
          <cell r="P941" t="str">
            <v>OC'S GRANATO</v>
          </cell>
          <cell r="Q941" t="str">
            <v>-</v>
          </cell>
          <cell r="S941" t="str">
            <v>-</v>
          </cell>
          <cell r="U941">
            <v>16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8</v>
          </cell>
          <cell r="AA941">
            <v>8</v>
          </cell>
          <cell r="AB941">
            <v>0</v>
          </cell>
          <cell r="AC941">
            <v>4</v>
          </cell>
          <cell r="AD941">
            <v>-4</v>
          </cell>
        </row>
        <row r="942">
          <cell r="A942" t="str">
            <v>33.11.10899.00</v>
          </cell>
          <cell r="B942" t="str">
            <v>ACABAMENTO DIREITO MODULO INTERMEDIARIO / 33.11.10899.00</v>
          </cell>
          <cell r="C942">
            <v>46072</v>
          </cell>
          <cell r="D942" t="str">
            <v>-</v>
          </cell>
          <cell r="E942" t="str">
            <v>-</v>
          </cell>
          <cell r="F942" t="str">
            <v>-</v>
          </cell>
          <cell r="G942" t="str">
            <v>-</v>
          </cell>
          <cell r="H942" t="str">
            <v>-</v>
          </cell>
          <cell r="I942" t="str">
            <v>-</v>
          </cell>
          <cell r="J942">
            <v>0</v>
          </cell>
          <cell r="K942">
            <v>12</v>
          </cell>
          <cell r="L942" t="str">
            <v>ENTREGA PARCIAL</v>
          </cell>
          <cell r="M942" t="str">
            <v>-</v>
          </cell>
          <cell r="N942" t="str">
            <v>OC'S METALFISA</v>
          </cell>
          <cell r="O942">
            <v>14</v>
          </cell>
          <cell r="P942" t="str">
            <v>OC'S GRANATO</v>
          </cell>
          <cell r="Q942" t="str">
            <v>-</v>
          </cell>
          <cell r="S942" t="str">
            <v>-</v>
          </cell>
          <cell r="U942">
            <v>14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6</v>
          </cell>
          <cell r="AA942">
            <v>6</v>
          </cell>
          <cell r="AB942">
            <v>0</v>
          </cell>
          <cell r="AC942">
            <v>4</v>
          </cell>
          <cell r="AD942">
            <v>-2</v>
          </cell>
        </row>
        <row r="943">
          <cell r="A943" t="str">
            <v>33.11.10900.00</v>
          </cell>
          <cell r="B943" t="str">
            <v>ACABAMENTO ESQUERDO MODULO EXTREMIDADE / 33.11.10900.00</v>
          </cell>
          <cell r="C943">
            <v>46072</v>
          </cell>
          <cell r="D943" t="str">
            <v>-</v>
          </cell>
          <cell r="E943" t="str">
            <v>-</v>
          </cell>
          <cell r="F943" t="str">
            <v>-</v>
          </cell>
          <cell r="G943" t="str">
            <v>-</v>
          </cell>
          <cell r="H943" t="str">
            <v>-</v>
          </cell>
          <cell r="I943" t="str">
            <v>-</v>
          </cell>
          <cell r="J943">
            <v>0</v>
          </cell>
          <cell r="K943">
            <v>11</v>
          </cell>
          <cell r="L943" t="str">
            <v>ENTREGA PARCIAL</v>
          </cell>
          <cell r="M943" t="str">
            <v>-</v>
          </cell>
          <cell r="N943" t="str">
            <v>OC'S METALFISA</v>
          </cell>
          <cell r="O943">
            <v>12</v>
          </cell>
          <cell r="P943" t="str">
            <v>OC'S GRANATO</v>
          </cell>
          <cell r="Q943" t="str">
            <v>-</v>
          </cell>
          <cell r="S943" t="str">
            <v>-</v>
          </cell>
          <cell r="U943">
            <v>12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5</v>
          </cell>
          <cell r="AA943">
            <v>5</v>
          </cell>
          <cell r="AB943">
            <v>0</v>
          </cell>
          <cell r="AC943">
            <v>4</v>
          </cell>
          <cell r="AD943">
            <v>-1</v>
          </cell>
        </row>
        <row r="944">
          <cell r="A944" t="str">
            <v>33.11.10901.00</v>
          </cell>
          <cell r="B944" t="str">
            <v>ACABAMENTO DIREITO MODULO EXTREMIDADE / 33.11.10901.00</v>
          </cell>
          <cell r="D944" t="str">
            <v>-</v>
          </cell>
          <cell r="E944" t="str">
            <v>-</v>
          </cell>
          <cell r="F944" t="str">
            <v>-</v>
          </cell>
          <cell r="G944" t="str">
            <v>-</v>
          </cell>
          <cell r="H944" t="str">
            <v>-</v>
          </cell>
          <cell r="I944" t="str">
            <v>-</v>
          </cell>
          <cell r="J944">
            <v>0</v>
          </cell>
          <cell r="K944">
            <v>8</v>
          </cell>
          <cell r="L944" t="str">
            <v>FALTA ENTREGA</v>
          </cell>
          <cell r="M944" t="str">
            <v>-</v>
          </cell>
          <cell r="N944" t="str">
            <v>OC'S METALFISA</v>
          </cell>
          <cell r="O944">
            <v>12</v>
          </cell>
          <cell r="P944" t="str">
            <v>OC'S GRANATO</v>
          </cell>
          <cell r="Q944" t="str">
            <v>-</v>
          </cell>
          <cell r="S944" t="str">
            <v>-</v>
          </cell>
          <cell r="U944">
            <v>12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4</v>
          </cell>
          <cell r="AA944">
            <v>4</v>
          </cell>
          <cell r="AB944">
            <v>0</v>
          </cell>
          <cell r="AC944">
            <v>0</v>
          </cell>
          <cell r="AD944">
            <v>-4</v>
          </cell>
        </row>
        <row r="945">
          <cell r="A945" t="str">
            <v>33.11.10902.00</v>
          </cell>
          <cell r="B945" t="str">
            <v>TAMPA ACABAMENTO DIREITO MESA DE ROLETES / 33.11.10902.00</v>
          </cell>
          <cell r="C945">
            <v>46072</v>
          </cell>
          <cell r="D945" t="str">
            <v>-</v>
          </cell>
          <cell r="E945" t="str">
            <v>-</v>
          </cell>
          <cell r="F945" t="str">
            <v>-</v>
          </cell>
          <cell r="G945" t="str">
            <v>-</v>
          </cell>
          <cell r="H945" t="str">
            <v>-</v>
          </cell>
          <cell r="I945" t="str">
            <v>-</v>
          </cell>
          <cell r="J945">
            <v>0</v>
          </cell>
          <cell r="K945">
            <v>30</v>
          </cell>
          <cell r="L945" t="str">
            <v>ENTREGA PARCIAL</v>
          </cell>
          <cell r="M945">
            <v>4</v>
          </cell>
          <cell r="N945" t="str">
            <v>OC'S METALFISA</v>
          </cell>
          <cell r="O945">
            <v>54</v>
          </cell>
          <cell r="P945" t="str">
            <v>OC'S GRANATO</v>
          </cell>
          <cell r="Q945" t="str">
            <v>-</v>
          </cell>
          <cell r="S945">
            <v>2</v>
          </cell>
          <cell r="T945" t="str">
            <v>OC'S MAPHE</v>
          </cell>
          <cell r="U945">
            <v>60</v>
          </cell>
          <cell r="V945">
            <v>3</v>
          </cell>
          <cell r="W945">
            <v>0</v>
          </cell>
          <cell r="X945">
            <v>0</v>
          </cell>
          <cell r="Y945">
            <v>0</v>
          </cell>
          <cell r="Z945">
            <v>40</v>
          </cell>
          <cell r="AA945">
            <v>43</v>
          </cell>
          <cell r="AB945">
            <v>0</v>
          </cell>
          <cell r="AC945">
            <v>13</v>
          </cell>
          <cell r="AD945">
            <v>-30</v>
          </cell>
        </row>
        <row r="946">
          <cell r="A946" t="str">
            <v>33.11.10903.00</v>
          </cell>
          <cell r="B946" t="str">
            <v>TAMPA ACABAMENTO ESQUERDO MESA DE ROLETES / 33.11.10903.00</v>
          </cell>
          <cell r="C946">
            <v>46072</v>
          </cell>
          <cell r="D946" t="str">
            <v>-</v>
          </cell>
          <cell r="E946" t="str">
            <v>-</v>
          </cell>
          <cell r="F946" t="str">
            <v>-</v>
          </cell>
          <cell r="G946" t="str">
            <v>-</v>
          </cell>
          <cell r="H946" t="str">
            <v>-</v>
          </cell>
          <cell r="I946">
            <v>1</v>
          </cell>
          <cell r="J946">
            <v>1</v>
          </cell>
          <cell r="K946">
            <v>31</v>
          </cell>
          <cell r="L946" t="str">
            <v>ENTREGA PARCIAL</v>
          </cell>
          <cell r="M946">
            <v>4</v>
          </cell>
          <cell r="N946" t="str">
            <v>OC'S METALFISA</v>
          </cell>
          <cell r="O946">
            <v>54</v>
          </cell>
          <cell r="P946" t="str">
            <v>OC'S GRANATO</v>
          </cell>
          <cell r="Q946" t="str">
            <v>-</v>
          </cell>
          <cell r="S946">
            <v>2</v>
          </cell>
          <cell r="T946" t="str">
            <v>OC'S MAPHE</v>
          </cell>
          <cell r="U946">
            <v>60</v>
          </cell>
          <cell r="V946">
            <v>4</v>
          </cell>
          <cell r="W946">
            <v>0</v>
          </cell>
          <cell r="X946">
            <v>0</v>
          </cell>
          <cell r="Y946">
            <v>0</v>
          </cell>
          <cell r="Z946">
            <v>40</v>
          </cell>
          <cell r="AA946">
            <v>44</v>
          </cell>
          <cell r="AB946">
            <v>0</v>
          </cell>
          <cell r="AC946">
            <v>14</v>
          </cell>
          <cell r="AD946">
            <v>-30</v>
          </cell>
        </row>
        <row r="947">
          <cell r="A947" t="str">
            <v>33.11.10904.00</v>
          </cell>
          <cell r="B947" t="str">
            <v>TAMPA ACABAMENTO UNIAO MODULO MESA DE ROLETES / 33.11.10904.00</v>
          </cell>
          <cell r="C947">
            <v>46072</v>
          </cell>
          <cell r="D947" t="str">
            <v>-</v>
          </cell>
          <cell r="E947" t="str">
            <v>-</v>
          </cell>
          <cell r="F947" t="str">
            <v>-</v>
          </cell>
          <cell r="G947" t="str">
            <v>-</v>
          </cell>
          <cell r="H947" t="str">
            <v>-</v>
          </cell>
          <cell r="I947" t="str">
            <v>-</v>
          </cell>
          <cell r="J947">
            <v>0</v>
          </cell>
          <cell r="K947">
            <v>19</v>
          </cell>
          <cell r="L947" t="str">
            <v>ENTREGA PARCIAL</v>
          </cell>
          <cell r="M947">
            <v>4</v>
          </cell>
          <cell r="N947" t="str">
            <v>OC'S METALFISA</v>
          </cell>
          <cell r="O947">
            <v>24</v>
          </cell>
          <cell r="P947" t="str">
            <v>OC'S GRANATO</v>
          </cell>
          <cell r="Q947" t="str">
            <v>-</v>
          </cell>
          <cell r="S947">
            <v>2</v>
          </cell>
          <cell r="T947" t="str">
            <v>OC'S MAPHE</v>
          </cell>
          <cell r="U947">
            <v>30</v>
          </cell>
          <cell r="V947">
            <v>1</v>
          </cell>
          <cell r="W947">
            <v>0</v>
          </cell>
          <cell r="X947">
            <v>0</v>
          </cell>
          <cell r="Y947">
            <v>0</v>
          </cell>
          <cell r="Z947">
            <v>20</v>
          </cell>
          <cell r="AA947">
            <v>21</v>
          </cell>
          <cell r="AB947">
            <v>0</v>
          </cell>
          <cell r="AC947">
            <v>10</v>
          </cell>
          <cell r="AD947">
            <v>-11</v>
          </cell>
        </row>
        <row r="948">
          <cell r="A948" t="str">
            <v>33.11.10905.00</v>
          </cell>
          <cell r="B948" t="str">
            <v>TAMPA DE ACABAMENTO AUXILIAR ESQUERDO MOVEL / 33.11.10905.00</v>
          </cell>
          <cell r="C948">
            <v>46064</v>
          </cell>
          <cell r="D948" t="str">
            <v>-</v>
          </cell>
          <cell r="E948" t="str">
            <v>-</v>
          </cell>
          <cell r="F948" t="str">
            <v>-</v>
          </cell>
          <cell r="G948" t="str">
            <v>-</v>
          </cell>
          <cell r="H948" t="str">
            <v>-</v>
          </cell>
          <cell r="I948" t="str">
            <v>-</v>
          </cell>
          <cell r="J948">
            <v>0</v>
          </cell>
          <cell r="K948">
            <v>10</v>
          </cell>
          <cell r="L948" t="str">
            <v>ENTREGA PARCIAL</v>
          </cell>
          <cell r="M948">
            <v>4</v>
          </cell>
          <cell r="N948" t="str">
            <v>OC'S METALFISA</v>
          </cell>
          <cell r="O948">
            <v>24</v>
          </cell>
          <cell r="P948" t="str">
            <v>OC'S GRANATO</v>
          </cell>
          <cell r="Q948" t="str">
            <v>-</v>
          </cell>
          <cell r="S948" t="str">
            <v>-</v>
          </cell>
          <cell r="U948">
            <v>28</v>
          </cell>
          <cell r="V948">
            <v>2</v>
          </cell>
          <cell r="W948">
            <v>0</v>
          </cell>
          <cell r="X948">
            <v>0</v>
          </cell>
          <cell r="Y948">
            <v>0</v>
          </cell>
          <cell r="Z948">
            <v>20</v>
          </cell>
          <cell r="AA948">
            <v>22</v>
          </cell>
          <cell r="AB948">
            <v>0</v>
          </cell>
          <cell r="AC948">
            <v>4</v>
          </cell>
          <cell r="AD948">
            <v>-18</v>
          </cell>
        </row>
        <row r="949">
          <cell r="A949" t="str">
            <v>33.11.10906.00</v>
          </cell>
          <cell r="B949" t="str">
            <v>TAMPA DE ACABAMETO AUXILIAR DIREITO MOVEL / 33.11.10906.00</v>
          </cell>
          <cell r="C949">
            <v>46059</v>
          </cell>
          <cell r="D949" t="str">
            <v>-</v>
          </cell>
          <cell r="E949" t="str">
            <v>-</v>
          </cell>
          <cell r="F949" t="str">
            <v>-</v>
          </cell>
          <cell r="G949" t="str">
            <v>-</v>
          </cell>
          <cell r="H949" t="str">
            <v>-</v>
          </cell>
          <cell r="I949" t="str">
            <v>-</v>
          </cell>
          <cell r="J949">
            <v>0</v>
          </cell>
          <cell r="K949">
            <v>15</v>
          </cell>
          <cell r="L949" t="str">
            <v>ENTREGA PARCIAL</v>
          </cell>
          <cell r="M949">
            <v>4</v>
          </cell>
          <cell r="N949" t="str">
            <v>OC'S METALFISA</v>
          </cell>
          <cell r="O949">
            <v>24</v>
          </cell>
          <cell r="P949" t="str">
            <v>OC'S GRANATO</v>
          </cell>
          <cell r="Q949" t="str">
            <v>-</v>
          </cell>
          <cell r="S949" t="str">
            <v>-</v>
          </cell>
          <cell r="U949">
            <v>28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17</v>
          </cell>
          <cell r="AA949">
            <v>17</v>
          </cell>
          <cell r="AB949">
            <v>0</v>
          </cell>
          <cell r="AC949">
            <v>4</v>
          </cell>
          <cell r="AD949">
            <v>-13</v>
          </cell>
        </row>
        <row r="950">
          <cell r="A950" t="str">
            <v>33.11.10917.00</v>
          </cell>
          <cell r="B950" t="str">
            <v>CHAPA ACABAMENTO DIREITO MESA DE ROLETES / 33.11.10917.00</v>
          </cell>
          <cell r="C950">
            <v>46072</v>
          </cell>
          <cell r="D950" t="str">
            <v>-</v>
          </cell>
          <cell r="E950" t="str">
            <v>-</v>
          </cell>
          <cell r="F950" t="str">
            <v>-</v>
          </cell>
          <cell r="G950" t="str">
            <v>-</v>
          </cell>
          <cell r="H950" t="str">
            <v>-</v>
          </cell>
          <cell r="I950" t="str">
            <v>-</v>
          </cell>
          <cell r="J950">
            <v>0</v>
          </cell>
          <cell r="K950">
            <v>23</v>
          </cell>
          <cell r="L950" t="str">
            <v>ENTREGA PARCIAL</v>
          </cell>
          <cell r="M950">
            <v>4</v>
          </cell>
          <cell r="N950" t="str">
            <v>OC'S METALFISA</v>
          </cell>
          <cell r="O950">
            <v>52</v>
          </cell>
          <cell r="P950" t="str">
            <v>OC'S GRANATO</v>
          </cell>
          <cell r="Q950" t="str">
            <v>-</v>
          </cell>
          <cell r="S950">
            <v>2</v>
          </cell>
          <cell r="T950" t="str">
            <v>OC'S MAPHE</v>
          </cell>
          <cell r="U950">
            <v>58</v>
          </cell>
          <cell r="V950">
            <v>1</v>
          </cell>
          <cell r="W950">
            <v>0</v>
          </cell>
          <cell r="X950">
            <v>0</v>
          </cell>
          <cell r="Y950">
            <v>0</v>
          </cell>
          <cell r="Z950">
            <v>40</v>
          </cell>
          <cell r="AA950">
            <v>41</v>
          </cell>
          <cell r="AB950">
            <v>0</v>
          </cell>
          <cell r="AC950">
            <v>6</v>
          </cell>
          <cell r="AD950">
            <v>-35</v>
          </cell>
        </row>
        <row r="951">
          <cell r="A951" t="str">
            <v>33.11.10918.00</v>
          </cell>
          <cell r="B951" t="str">
            <v>CHAPA ACABAMENTO ESQUERDO MESA DE ROLETES / 33.11.10918.00</v>
          </cell>
          <cell r="C951">
            <v>46072</v>
          </cell>
          <cell r="D951" t="str">
            <v>-</v>
          </cell>
          <cell r="E951" t="str">
            <v>-</v>
          </cell>
          <cell r="F951" t="str">
            <v>-</v>
          </cell>
          <cell r="G951" t="str">
            <v>-</v>
          </cell>
          <cell r="H951" t="str">
            <v>-</v>
          </cell>
          <cell r="I951" t="str">
            <v>-</v>
          </cell>
          <cell r="J951">
            <v>0</v>
          </cell>
          <cell r="K951">
            <v>23</v>
          </cell>
          <cell r="L951" t="str">
            <v>ENTREGA PARCIAL</v>
          </cell>
          <cell r="M951">
            <v>4</v>
          </cell>
          <cell r="N951" t="str">
            <v>OC'S METALFISA</v>
          </cell>
          <cell r="O951">
            <v>52</v>
          </cell>
          <cell r="P951" t="str">
            <v>OC'S GRANATO</v>
          </cell>
          <cell r="Q951" t="str">
            <v>-</v>
          </cell>
          <cell r="S951">
            <v>2</v>
          </cell>
          <cell r="T951" t="str">
            <v>OC'S MAPHE</v>
          </cell>
          <cell r="U951">
            <v>58</v>
          </cell>
          <cell r="V951">
            <v>1</v>
          </cell>
          <cell r="W951">
            <v>0</v>
          </cell>
          <cell r="X951">
            <v>0</v>
          </cell>
          <cell r="Y951">
            <v>0</v>
          </cell>
          <cell r="Z951">
            <v>40</v>
          </cell>
          <cell r="AA951">
            <v>41</v>
          </cell>
          <cell r="AB951">
            <v>0</v>
          </cell>
          <cell r="AC951">
            <v>6</v>
          </cell>
          <cell r="AD951">
            <v>-35</v>
          </cell>
        </row>
        <row r="952">
          <cell r="A952" t="str">
            <v>33.11.10926.00</v>
          </cell>
          <cell r="B952" t="str">
            <v>APOIO DESLIZAMENTO DE CARGA MODULOS SV/DV OPOSTO / 33.11.10926.00</v>
          </cell>
          <cell r="C952">
            <v>46072</v>
          </cell>
          <cell r="D952" t="str">
            <v>-</v>
          </cell>
          <cell r="E952" t="str">
            <v>-</v>
          </cell>
          <cell r="F952" t="str">
            <v>-</v>
          </cell>
          <cell r="G952" t="str">
            <v>-</v>
          </cell>
          <cell r="H952" t="str">
            <v>-</v>
          </cell>
          <cell r="I952" t="str">
            <v>-</v>
          </cell>
          <cell r="J952">
            <v>0</v>
          </cell>
          <cell r="K952">
            <v>16</v>
          </cell>
          <cell r="L952" t="str">
            <v>ENTREGA PARCIAL</v>
          </cell>
          <cell r="M952">
            <v>2</v>
          </cell>
          <cell r="N952" t="str">
            <v>OC'S METALFISA</v>
          </cell>
          <cell r="O952">
            <v>23</v>
          </cell>
          <cell r="P952" t="str">
            <v>OC'S GRANATO</v>
          </cell>
          <cell r="Q952" t="str">
            <v>-</v>
          </cell>
          <cell r="S952" t="str">
            <v>-</v>
          </cell>
          <cell r="U952">
            <v>25</v>
          </cell>
          <cell r="V952">
            <v>2</v>
          </cell>
          <cell r="W952">
            <v>0</v>
          </cell>
          <cell r="X952">
            <v>0</v>
          </cell>
          <cell r="Y952">
            <v>0</v>
          </cell>
          <cell r="Z952">
            <v>15</v>
          </cell>
          <cell r="AA952">
            <v>17</v>
          </cell>
          <cell r="AB952">
            <v>0</v>
          </cell>
          <cell r="AC952">
            <v>8</v>
          </cell>
          <cell r="AD952">
            <v>-9</v>
          </cell>
        </row>
        <row r="953">
          <cell r="A953" t="str">
            <v>33.11.10933.00</v>
          </cell>
          <cell r="B953" t="str">
            <v>CHAPA DE FECHAMENTO SUP. DO TUNEL / 33.11.10933.00</v>
          </cell>
          <cell r="C953">
            <v>46066</v>
          </cell>
          <cell r="D953" t="str">
            <v>-</v>
          </cell>
          <cell r="E953" t="str">
            <v>-</v>
          </cell>
          <cell r="F953" t="str">
            <v>-</v>
          </cell>
          <cell r="G953" t="str">
            <v>-</v>
          </cell>
          <cell r="H953" t="str">
            <v>-</v>
          </cell>
          <cell r="I953" t="str">
            <v>-</v>
          </cell>
          <cell r="J953">
            <v>0</v>
          </cell>
          <cell r="K953">
            <v>12</v>
          </cell>
          <cell r="L953" t="str">
            <v>ENTREGA PARCIAL</v>
          </cell>
          <cell r="M953">
            <v>2</v>
          </cell>
          <cell r="N953" t="str">
            <v>OC'S METALFISA</v>
          </cell>
          <cell r="O953">
            <v>26</v>
          </cell>
          <cell r="P953" t="str">
            <v>OC'S GRANATO</v>
          </cell>
          <cell r="Q953" t="str">
            <v>-</v>
          </cell>
          <cell r="S953" t="str">
            <v>-</v>
          </cell>
          <cell r="U953">
            <v>28</v>
          </cell>
          <cell r="V953">
            <v>4</v>
          </cell>
          <cell r="W953">
            <v>0</v>
          </cell>
          <cell r="X953">
            <v>0</v>
          </cell>
          <cell r="Y953">
            <v>0</v>
          </cell>
          <cell r="Z953">
            <v>18</v>
          </cell>
          <cell r="AA953">
            <v>22</v>
          </cell>
          <cell r="AB953">
            <v>0</v>
          </cell>
          <cell r="AC953">
            <v>6</v>
          </cell>
          <cell r="AD953">
            <v>-16</v>
          </cell>
        </row>
        <row r="954">
          <cell r="A954" t="str">
            <v>33.11.10934.00</v>
          </cell>
          <cell r="B954" t="str">
            <v>BASE DE MONTAGEM DA DOBRADICA / 33.11.10934.00</v>
          </cell>
          <cell r="C954">
            <v>46069</v>
          </cell>
          <cell r="D954" t="str">
            <v>-</v>
          </cell>
          <cell r="E954" t="str">
            <v>-</v>
          </cell>
          <cell r="F954" t="str">
            <v>-</v>
          </cell>
          <cell r="G954" t="str">
            <v>-</v>
          </cell>
          <cell r="H954" t="str">
            <v>-</v>
          </cell>
          <cell r="I954" t="str">
            <v>-</v>
          </cell>
          <cell r="J954">
            <v>0</v>
          </cell>
          <cell r="K954">
            <v>10</v>
          </cell>
          <cell r="L954" t="str">
            <v>ENTREGA PARCIAL</v>
          </cell>
          <cell r="M954" t="str">
            <v>-</v>
          </cell>
          <cell r="N954" t="str">
            <v>OC'S METALFISA</v>
          </cell>
          <cell r="O954">
            <v>16</v>
          </cell>
          <cell r="P954" t="str">
            <v>OC'S GRANATO</v>
          </cell>
          <cell r="Q954" t="str">
            <v>-</v>
          </cell>
          <cell r="S954" t="str">
            <v>-</v>
          </cell>
          <cell r="U954">
            <v>16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10</v>
          </cell>
          <cell r="AA954">
            <v>10</v>
          </cell>
          <cell r="AB954">
            <v>0</v>
          </cell>
          <cell r="AC954">
            <v>4</v>
          </cell>
          <cell r="AD954">
            <v>-6</v>
          </cell>
        </row>
        <row r="955">
          <cell r="A955" t="str">
            <v>33.11.10935.00</v>
          </cell>
          <cell r="B955" t="str">
            <v>FIXACAO DA DOBRADICA DA CORTINA  / 33.11.10935.00</v>
          </cell>
          <cell r="C955">
            <v>46069</v>
          </cell>
          <cell r="D955" t="str">
            <v>-</v>
          </cell>
          <cell r="E955" t="str">
            <v>-</v>
          </cell>
          <cell r="F955" t="str">
            <v>-</v>
          </cell>
          <cell r="G955" t="str">
            <v>-</v>
          </cell>
          <cell r="H955" t="str">
            <v>-</v>
          </cell>
          <cell r="I955" t="str">
            <v>-</v>
          </cell>
          <cell r="J955">
            <v>0</v>
          </cell>
          <cell r="K955">
            <v>9</v>
          </cell>
          <cell r="L955" t="str">
            <v>ENTREGA PARCIAL</v>
          </cell>
          <cell r="M955" t="str">
            <v>-</v>
          </cell>
          <cell r="N955" t="str">
            <v>OC'S METALFISA</v>
          </cell>
          <cell r="O955">
            <v>16</v>
          </cell>
          <cell r="P955" t="str">
            <v>OC'S GRANATO</v>
          </cell>
          <cell r="Q955" t="str">
            <v>-</v>
          </cell>
          <cell r="S955" t="str">
            <v>-</v>
          </cell>
          <cell r="U955">
            <v>16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10</v>
          </cell>
          <cell r="AA955">
            <v>10</v>
          </cell>
          <cell r="AB955">
            <v>0</v>
          </cell>
          <cell r="AC955">
            <v>3</v>
          </cell>
          <cell r="AD955">
            <v>-7</v>
          </cell>
        </row>
        <row r="956">
          <cell r="A956" t="str">
            <v>33.11.10936.00</v>
          </cell>
          <cell r="B956" t="str">
            <v>SUPORTE DAS CORTINAS / 33.11.10936.00</v>
          </cell>
          <cell r="D956" t="str">
            <v>-</v>
          </cell>
          <cell r="E956" t="str">
            <v>-</v>
          </cell>
          <cell r="F956" t="str">
            <v>-</v>
          </cell>
          <cell r="G956" t="str">
            <v>-</v>
          </cell>
          <cell r="H956" t="str">
            <v>-</v>
          </cell>
          <cell r="I956" t="str">
            <v>-</v>
          </cell>
          <cell r="J956">
            <v>0</v>
          </cell>
          <cell r="K956">
            <v>6</v>
          </cell>
          <cell r="L956" t="str">
            <v>FALTA ENTREGA</v>
          </cell>
          <cell r="M956">
            <v>2</v>
          </cell>
          <cell r="N956" t="str">
            <v>OC'S METALFISA</v>
          </cell>
          <cell r="O956">
            <v>16</v>
          </cell>
          <cell r="P956" t="str">
            <v>OC'S GRANATO</v>
          </cell>
          <cell r="Q956" t="str">
            <v>-</v>
          </cell>
          <cell r="S956" t="str">
            <v>-</v>
          </cell>
          <cell r="U956">
            <v>18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12</v>
          </cell>
          <cell r="AA956">
            <v>12</v>
          </cell>
          <cell r="AB956">
            <v>0</v>
          </cell>
          <cell r="AC956">
            <v>0</v>
          </cell>
          <cell r="AD956">
            <v>-12</v>
          </cell>
        </row>
        <row r="957">
          <cell r="A957" t="str">
            <v>33.11.10937.00</v>
          </cell>
          <cell r="B957" t="str">
            <v>TRAVA DA CORTINA / 33.11.10937.00</v>
          </cell>
          <cell r="D957" t="str">
            <v>-</v>
          </cell>
          <cell r="E957" t="str">
            <v>-</v>
          </cell>
          <cell r="F957" t="str">
            <v>-</v>
          </cell>
          <cell r="G957" t="str">
            <v>-</v>
          </cell>
          <cell r="H957" t="str">
            <v>-</v>
          </cell>
          <cell r="I957" t="str">
            <v>-</v>
          </cell>
          <cell r="J957">
            <v>0</v>
          </cell>
          <cell r="K957">
            <v>153</v>
          </cell>
          <cell r="L957" t="str">
            <v>FALTA ENTREGA</v>
          </cell>
          <cell r="M957">
            <v>38</v>
          </cell>
          <cell r="N957" t="str">
            <v>OC'S METALFISA</v>
          </cell>
          <cell r="O957">
            <v>228</v>
          </cell>
          <cell r="P957" t="str">
            <v>OC'S GRANATO</v>
          </cell>
          <cell r="Q957" t="str">
            <v>-</v>
          </cell>
          <cell r="S957" t="str">
            <v>-</v>
          </cell>
          <cell r="U957">
            <v>266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113</v>
          </cell>
          <cell r="AA957">
            <v>113</v>
          </cell>
          <cell r="AB957">
            <v>0</v>
          </cell>
          <cell r="AC957">
            <v>0</v>
          </cell>
          <cell r="AD957">
            <v>-113</v>
          </cell>
        </row>
        <row r="958">
          <cell r="A958" t="str">
            <v>33.11.10940.00</v>
          </cell>
          <cell r="B958" t="str">
            <v>TRAVA DA EXTREMIDADE DA CORTINA  / 33.11.10940.00</v>
          </cell>
          <cell r="D958" t="str">
            <v>-</v>
          </cell>
          <cell r="E958" t="str">
            <v>-</v>
          </cell>
          <cell r="F958" t="str">
            <v>-</v>
          </cell>
          <cell r="G958" t="str">
            <v>-</v>
          </cell>
          <cell r="H958" t="str">
            <v>-</v>
          </cell>
          <cell r="I958" t="str">
            <v>-</v>
          </cell>
          <cell r="J958">
            <v>0</v>
          </cell>
          <cell r="K958">
            <v>12</v>
          </cell>
          <cell r="L958" t="str">
            <v>ENTREGA PARCIAL</v>
          </cell>
          <cell r="M958">
            <v>4</v>
          </cell>
          <cell r="N958" t="str">
            <v>OC'S METALFISA</v>
          </cell>
          <cell r="O958">
            <v>24</v>
          </cell>
          <cell r="P958" t="str">
            <v>OC'S GRANATO</v>
          </cell>
          <cell r="Q958" t="str">
            <v>-</v>
          </cell>
          <cell r="S958" t="str">
            <v>-</v>
          </cell>
          <cell r="U958">
            <v>28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17</v>
          </cell>
          <cell r="AA958">
            <v>17</v>
          </cell>
          <cell r="AB958">
            <v>0</v>
          </cell>
          <cell r="AC958">
            <v>1</v>
          </cell>
          <cell r="AD958">
            <v>-16</v>
          </cell>
        </row>
        <row r="959">
          <cell r="A959" t="str">
            <v>33.11.10942.00</v>
          </cell>
          <cell r="B959" t="str">
            <v>CHAPA DE MONTAGEM SUPERIOR DA CORTINA / 33.11.10942.00</v>
          </cell>
          <cell r="D959" t="str">
            <v>-</v>
          </cell>
          <cell r="E959" t="str">
            <v>-</v>
          </cell>
          <cell r="F959" t="str">
            <v>-</v>
          </cell>
          <cell r="G959" t="str">
            <v>-</v>
          </cell>
          <cell r="H959" t="str">
            <v>-</v>
          </cell>
          <cell r="I959" t="str">
            <v>-</v>
          </cell>
          <cell r="J959">
            <v>0</v>
          </cell>
          <cell r="K959">
            <v>6</v>
          </cell>
          <cell r="L959" t="str">
            <v>FALTA ENTREGA</v>
          </cell>
          <cell r="M959">
            <v>2</v>
          </cell>
          <cell r="N959" t="str">
            <v>OC'S METALFISA</v>
          </cell>
          <cell r="O959">
            <v>16</v>
          </cell>
          <cell r="P959" t="str">
            <v>OC'S GRANATO</v>
          </cell>
          <cell r="Q959" t="str">
            <v>-</v>
          </cell>
          <cell r="S959" t="str">
            <v>-</v>
          </cell>
          <cell r="U959">
            <v>18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12</v>
          </cell>
          <cell r="AA959">
            <v>12</v>
          </cell>
          <cell r="AB959">
            <v>0</v>
          </cell>
          <cell r="AC959">
            <v>0</v>
          </cell>
          <cell r="AD959">
            <v>-12</v>
          </cell>
        </row>
        <row r="960">
          <cell r="A960" t="str">
            <v>33.11.10965.00</v>
          </cell>
          <cell r="B960" t="str">
            <v>SUPORTE TAMPA HORIZONTAL MAIOR CAIXA L / 33.11.10965.00</v>
          </cell>
          <cell r="C960">
            <v>46074</v>
          </cell>
          <cell r="D960" t="str">
            <v>-</v>
          </cell>
          <cell r="E960" t="str">
            <v>-</v>
          </cell>
          <cell r="F960" t="str">
            <v>-</v>
          </cell>
          <cell r="G960" t="str">
            <v>-</v>
          </cell>
          <cell r="H960" t="str">
            <v>-</v>
          </cell>
          <cell r="I960" t="str">
            <v>-</v>
          </cell>
          <cell r="J960">
            <v>0</v>
          </cell>
          <cell r="K960">
            <v>49</v>
          </cell>
          <cell r="L960" t="str">
            <v>ENTREGA PARCIAL</v>
          </cell>
          <cell r="M960">
            <v>5</v>
          </cell>
          <cell r="N960" t="str">
            <v>OC'S METALFISA</v>
          </cell>
          <cell r="O960">
            <v>45</v>
          </cell>
          <cell r="P960" t="str">
            <v>OC'S GRANATO</v>
          </cell>
          <cell r="Q960" t="str">
            <v>-</v>
          </cell>
          <cell r="S960" t="str">
            <v>-</v>
          </cell>
          <cell r="U960">
            <v>50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25</v>
          </cell>
          <cell r="AA960">
            <v>25</v>
          </cell>
          <cell r="AB960">
            <v>0</v>
          </cell>
          <cell r="AC960">
            <v>24</v>
          </cell>
          <cell r="AD960">
            <v>-1</v>
          </cell>
        </row>
        <row r="961">
          <cell r="A961" t="str">
            <v>33.11.10966.00</v>
          </cell>
          <cell r="B961" t="str">
            <v>CHAPA TAMPA HORIZONTAL CAIXA L / 33.11.10966.00</v>
          </cell>
          <cell r="D961" t="str">
            <v>-</v>
          </cell>
          <cell r="E961" t="str">
            <v>-</v>
          </cell>
          <cell r="F961" t="str">
            <v>-</v>
          </cell>
          <cell r="G961" t="str">
            <v>-</v>
          </cell>
          <cell r="H961" t="str">
            <v>-</v>
          </cell>
          <cell r="I961" t="str">
            <v>-</v>
          </cell>
          <cell r="J961">
            <v>0</v>
          </cell>
          <cell r="K961">
            <v>4</v>
          </cell>
          <cell r="L961" t="str">
            <v>ENTREGA PARCIAL</v>
          </cell>
          <cell r="M961">
            <v>2</v>
          </cell>
          <cell r="N961" t="str">
            <v>OC'S METALFISA</v>
          </cell>
          <cell r="O961">
            <v>6</v>
          </cell>
          <cell r="P961" t="str">
            <v>OC'S GRANATO</v>
          </cell>
          <cell r="Q961" t="str">
            <v>-</v>
          </cell>
          <cell r="S961" t="str">
            <v>-</v>
          </cell>
          <cell r="U961">
            <v>8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5</v>
          </cell>
          <cell r="AA961">
            <v>5</v>
          </cell>
          <cell r="AB961">
            <v>0</v>
          </cell>
          <cell r="AC961">
            <v>1</v>
          </cell>
          <cell r="AD961">
            <v>-4</v>
          </cell>
        </row>
        <row r="962">
          <cell r="A962" t="str">
            <v>33.11.10967.00</v>
          </cell>
          <cell r="B962" t="str">
            <v>SUPORTE TAMPA HORIZONTAL MENOR CAIXA L / 33.11.10967.00</v>
          </cell>
          <cell r="C962">
            <v>46074</v>
          </cell>
          <cell r="D962" t="str">
            <v>-</v>
          </cell>
          <cell r="E962" t="str">
            <v>-</v>
          </cell>
          <cell r="F962" t="str">
            <v>-</v>
          </cell>
          <cell r="G962" t="str">
            <v>-</v>
          </cell>
          <cell r="H962" t="str">
            <v>-</v>
          </cell>
          <cell r="I962" t="str">
            <v>-</v>
          </cell>
          <cell r="J962">
            <v>0</v>
          </cell>
          <cell r="K962">
            <v>50</v>
          </cell>
          <cell r="L962" t="str">
            <v>ENTREGA TOTAL</v>
          </cell>
          <cell r="M962">
            <v>5</v>
          </cell>
          <cell r="N962" t="str">
            <v>OC'S METALFISA</v>
          </cell>
          <cell r="O962">
            <v>45</v>
          </cell>
          <cell r="P962" t="str">
            <v>OC'S GRANATO</v>
          </cell>
          <cell r="Q962" t="str">
            <v>-</v>
          </cell>
          <cell r="S962" t="str">
            <v>-</v>
          </cell>
          <cell r="U962">
            <v>50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25</v>
          </cell>
          <cell r="AA962">
            <v>25</v>
          </cell>
          <cell r="AB962">
            <v>0</v>
          </cell>
          <cell r="AC962">
            <v>25</v>
          </cell>
          <cell r="AD962">
            <v>0</v>
          </cell>
        </row>
        <row r="963">
          <cell r="A963" t="str">
            <v>33.11.10970.00</v>
          </cell>
          <cell r="B963" t="str">
            <v>DISTANCIADOR GAIOLA HORIZONTAL / 33.11.10970.00</v>
          </cell>
          <cell r="C963">
            <v>46074</v>
          </cell>
          <cell r="D963" t="str">
            <v>-</v>
          </cell>
          <cell r="E963" t="str">
            <v>-</v>
          </cell>
          <cell r="F963" t="str">
            <v>-</v>
          </cell>
          <cell r="G963" t="str">
            <v>-</v>
          </cell>
          <cell r="H963" t="str">
            <v>-</v>
          </cell>
          <cell r="I963" t="str">
            <v>-</v>
          </cell>
          <cell r="J963">
            <v>0</v>
          </cell>
          <cell r="K963">
            <v>69</v>
          </cell>
          <cell r="L963" t="str">
            <v>ENTREGA PARCIAL</v>
          </cell>
          <cell r="M963">
            <v>9</v>
          </cell>
          <cell r="N963" t="str">
            <v>OC'S METALFISA</v>
          </cell>
          <cell r="O963">
            <v>90</v>
          </cell>
          <cell r="P963" t="str">
            <v>OC'S GRANATO</v>
          </cell>
          <cell r="Q963" t="str">
            <v>-</v>
          </cell>
          <cell r="S963" t="str">
            <v>-</v>
          </cell>
          <cell r="U963">
            <v>99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59</v>
          </cell>
          <cell r="AA963">
            <v>59</v>
          </cell>
          <cell r="AB963">
            <v>0</v>
          </cell>
          <cell r="AC963">
            <v>29</v>
          </cell>
          <cell r="AD963">
            <v>-30</v>
          </cell>
        </row>
        <row r="964">
          <cell r="A964" t="str">
            <v>33.11.10978.00</v>
          </cell>
          <cell r="B964" t="str">
            <v>GAIOLA VERTICAL FIXACAO PLACAS CAIXA L 180180 SV VMIS / 33.11.10978.00</v>
          </cell>
          <cell r="C964">
            <v>46059</v>
          </cell>
          <cell r="D964" t="str">
            <v>-</v>
          </cell>
          <cell r="E964" t="str">
            <v>-</v>
          </cell>
          <cell r="F964" t="str">
            <v>-</v>
          </cell>
          <cell r="G964" t="str">
            <v>-</v>
          </cell>
          <cell r="H964" t="str">
            <v>-</v>
          </cell>
          <cell r="I964" t="str">
            <v>-</v>
          </cell>
          <cell r="J964">
            <v>0</v>
          </cell>
          <cell r="K964">
            <v>5</v>
          </cell>
          <cell r="L964" t="str">
            <v>ENTREGA PARCIAL</v>
          </cell>
          <cell r="M964" t="str">
            <v>-</v>
          </cell>
          <cell r="N964" t="str">
            <v>OC'S METALFISA</v>
          </cell>
          <cell r="O964">
            <v>11</v>
          </cell>
          <cell r="P964" t="str">
            <v>OC'S GRANATO</v>
          </cell>
          <cell r="Q964" t="str">
            <v>-</v>
          </cell>
          <cell r="S964" t="str">
            <v>-</v>
          </cell>
          <cell r="U964">
            <v>11</v>
          </cell>
          <cell r="V964">
            <v>1</v>
          </cell>
          <cell r="W964">
            <v>0</v>
          </cell>
          <cell r="X964">
            <v>0</v>
          </cell>
          <cell r="Y964">
            <v>0</v>
          </cell>
          <cell r="Z964">
            <v>7</v>
          </cell>
          <cell r="AA964">
            <v>8</v>
          </cell>
          <cell r="AB964">
            <v>0</v>
          </cell>
          <cell r="AC964">
            <v>2</v>
          </cell>
          <cell r="AD964">
            <v>-6</v>
          </cell>
        </row>
        <row r="965">
          <cell r="A965" t="str">
            <v>33.11.10979.00</v>
          </cell>
          <cell r="B965" t="str">
            <v>GAIOLA SUPERIOR HORIZONTAL FIXACAO PLACAS CAIXA L 180180 SV VMIS / 33.11.10979.00</v>
          </cell>
          <cell r="C965">
            <v>46059</v>
          </cell>
          <cell r="D965" t="str">
            <v>-</v>
          </cell>
          <cell r="E965" t="str">
            <v>-</v>
          </cell>
          <cell r="F965" t="str">
            <v>-</v>
          </cell>
          <cell r="G965" t="str">
            <v>-</v>
          </cell>
          <cell r="H965" t="str">
            <v>-</v>
          </cell>
          <cell r="I965" t="str">
            <v>-</v>
          </cell>
          <cell r="J965">
            <v>0</v>
          </cell>
          <cell r="K965">
            <v>6</v>
          </cell>
          <cell r="L965" t="str">
            <v>ENTREGA PARCIAL</v>
          </cell>
          <cell r="M965" t="str">
            <v>-</v>
          </cell>
          <cell r="N965" t="str">
            <v>OC'S METALFISA</v>
          </cell>
          <cell r="O965">
            <v>11</v>
          </cell>
          <cell r="P965" t="str">
            <v>OC'S GRANATO</v>
          </cell>
          <cell r="Q965" t="str">
            <v>-</v>
          </cell>
          <cell r="S965" t="str">
            <v>-</v>
          </cell>
          <cell r="U965">
            <v>11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7</v>
          </cell>
          <cell r="AA965">
            <v>7</v>
          </cell>
          <cell r="AB965">
            <v>0</v>
          </cell>
          <cell r="AC965">
            <v>2</v>
          </cell>
          <cell r="AD965">
            <v>-5</v>
          </cell>
        </row>
        <row r="966">
          <cell r="A966" t="str">
            <v>33.11.10985.00</v>
          </cell>
          <cell r="B966" t="str">
            <v>CHAPA GUIA REGULADOR / 33.11.10985.00</v>
          </cell>
          <cell r="C966">
            <v>46074</v>
          </cell>
          <cell r="D966" t="str">
            <v>-</v>
          </cell>
          <cell r="E966" t="str">
            <v>-</v>
          </cell>
          <cell r="F966" t="str">
            <v>-</v>
          </cell>
          <cell r="G966" t="str">
            <v>-</v>
          </cell>
          <cell r="H966" t="str">
            <v>-</v>
          </cell>
          <cell r="I966" t="str">
            <v>-</v>
          </cell>
          <cell r="J966">
            <v>0</v>
          </cell>
          <cell r="K966">
            <v>32</v>
          </cell>
          <cell r="L966" t="str">
            <v>ENTREGA PARCIAL</v>
          </cell>
          <cell r="M966">
            <v>8</v>
          </cell>
          <cell r="N966" t="str">
            <v>OC'S METALFISA</v>
          </cell>
          <cell r="O966">
            <v>36</v>
          </cell>
          <cell r="P966" t="str">
            <v>OC'S GRANATO</v>
          </cell>
          <cell r="Q966" t="str">
            <v>-</v>
          </cell>
          <cell r="S966" t="str">
            <v>-</v>
          </cell>
          <cell r="U966">
            <v>44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28</v>
          </cell>
          <cell r="AA966">
            <v>28</v>
          </cell>
          <cell r="AB966">
            <v>0</v>
          </cell>
          <cell r="AC966">
            <v>16</v>
          </cell>
          <cell r="AD966">
            <v>-12</v>
          </cell>
        </row>
        <row r="967">
          <cell r="A967" t="str">
            <v>33.11.10986.00</v>
          </cell>
          <cell r="B967" t="str">
            <v>GAIOLA VERTICAL FIXACAO PLACAS DT / 33.11.10986.00</v>
          </cell>
          <cell r="D967" t="str">
            <v>-</v>
          </cell>
          <cell r="E967" t="str">
            <v>-</v>
          </cell>
          <cell r="F967" t="str">
            <v>-</v>
          </cell>
          <cell r="G967" t="str">
            <v>-</v>
          </cell>
          <cell r="H967" t="str">
            <v>-</v>
          </cell>
          <cell r="I967" t="str">
            <v>-</v>
          </cell>
          <cell r="J967">
            <v>0</v>
          </cell>
          <cell r="K967">
            <v>0</v>
          </cell>
          <cell r="L967" t="str">
            <v>FALTA ENTREGA</v>
          </cell>
          <cell r="M967">
            <v>2</v>
          </cell>
          <cell r="N967" t="str">
            <v>OC'S METALFISA</v>
          </cell>
          <cell r="O967" t="str">
            <v>-</v>
          </cell>
          <cell r="Q967" t="str">
            <v>-</v>
          </cell>
          <cell r="S967" t="str">
            <v>-</v>
          </cell>
          <cell r="U967">
            <v>2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2</v>
          </cell>
          <cell r="AA967">
            <v>2</v>
          </cell>
          <cell r="AB967">
            <v>0</v>
          </cell>
          <cell r="AC967">
            <v>0</v>
          </cell>
          <cell r="AD967">
            <v>-2</v>
          </cell>
        </row>
        <row r="968">
          <cell r="A968" t="str">
            <v>33.11.10987.00</v>
          </cell>
          <cell r="B968" t="str">
            <v>GAIOLA SUPERIOR FIXACAO PLACAS DT / 33.11.10987.00</v>
          </cell>
          <cell r="D968" t="str">
            <v>-</v>
          </cell>
          <cell r="E968" t="str">
            <v>-</v>
          </cell>
          <cell r="F968" t="str">
            <v>-</v>
          </cell>
          <cell r="G968" t="str">
            <v>-</v>
          </cell>
          <cell r="H968" t="str">
            <v>-</v>
          </cell>
          <cell r="I968" t="str">
            <v>-</v>
          </cell>
          <cell r="J968">
            <v>0</v>
          </cell>
          <cell r="K968">
            <v>0</v>
          </cell>
          <cell r="L968" t="str">
            <v>FALTA ENTREGA</v>
          </cell>
          <cell r="M968">
            <v>2</v>
          </cell>
          <cell r="N968" t="str">
            <v>OC'S METALFISA</v>
          </cell>
          <cell r="O968" t="str">
            <v>-</v>
          </cell>
          <cell r="Q968" t="str">
            <v>-</v>
          </cell>
          <cell r="S968" t="str">
            <v>-</v>
          </cell>
          <cell r="U968">
            <v>2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2</v>
          </cell>
          <cell r="AA968">
            <v>2</v>
          </cell>
          <cell r="AB968">
            <v>0</v>
          </cell>
          <cell r="AC968">
            <v>0</v>
          </cell>
          <cell r="AD968">
            <v>-2</v>
          </cell>
        </row>
        <row r="969">
          <cell r="A969" t="str">
            <v>33.11.10989.00</v>
          </cell>
          <cell r="B969" t="str">
            <v>CAIXA S-DAQ / X-DAQ / 33.11.10989.00</v>
          </cell>
          <cell r="C969">
            <v>46074</v>
          </cell>
          <cell r="D969" t="str">
            <v>-</v>
          </cell>
          <cell r="E969" t="str">
            <v>-</v>
          </cell>
          <cell r="F969" t="str">
            <v>-</v>
          </cell>
          <cell r="G969" t="str">
            <v>-</v>
          </cell>
          <cell r="H969" t="str">
            <v>-</v>
          </cell>
          <cell r="I969" t="str">
            <v>-</v>
          </cell>
          <cell r="J969">
            <v>0</v>
          </cell>
          <cell r="K969">
            <v>10</v>
          </cell>
          <cell r="L969" t="str">
            <v>ENTREGA TOTAL</v>
          </cell>
          <cell r="M969">
            <v>2</v>
          </cell>
          <cell r="N969" t="str">
            <v>OC'S METALFISA</v>
          </cell>
          <cell r="O969">
            <v>8</v>
          </cell>
          <cell r="P969" t="str">
            <v>OC'S GRANATO</v>
          </cell>
          <cell r="Q969" t="str">
            <v>-</v>
          </cell>
          <cell r="S969" t="str">
            <v>-</v>
          </cell>
          <cell r="U969">
            <v>10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6</v>
          </cell>
          <cell r="AA969">
            <v>6</v>
          </cell>
          <cell r="AB969">
            <v>0</v>
          </cell>
          <cell r="AC969">
            <v>6</v>
          </cell>
          <cell r="AD969">
            <v>0</v>
          </cell>
        </row>
        <row r="970">
          <cell r="A970" t="str">
            <v>33.11.11006.00</v>
          </cell>
          <cell r="B970" t="str">
            <v>CHAPA TRAVAMENTO REGULAGEM GAIOLA / 33.11.11006.00</v>
          </cell>
          <cell r="C970">
            <v>46074</v>
          </cell>
          <cell r="D970" t="str">
            <v>-</v>
          </cell>
          <cell r="E970" t="str">
            <v>-</v>
          </cell>
          <cell r="F970" t="str">
            <v>-</v>
          </cell>
          <cell r="G970" t="str">
            <v>-</v>
          </cell>
          <cell r="H970" t="str">
            <v>-</v>
          </cell>
          <cell r="I970" t="str">
            <v>-</v>
          </cell>
          <cell r="J970">
            <v>0</v>
          </cell>
          <cell r="K970">
            <v>31</v>
          </cell>
          <cell r="L970" t="str">
            <v>ENTREGA PARCIAL</v>
          </cell>
          <cell r="M970">
            <v>8</v>
          </cell>
          <cell r="N970" t="str">
            <v>OC'S METALFISA</v>
          </cell>
          <cell r="O970">
            <v>32</v>
          </cell>
          <cell r="P970" t="str">
            <v>OC'S GRANATO</v>
          </cell>
          <cell r="Q970" t="str">
            <v>-</v>
          </cell>
          <cell r="S970" t="str">
            <v>-</v>
          </cell>
          <cell r="U970">
            <v>40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24</v>
          </cell>
          <cell r="AA970">
            <v>24</v>
          </cell>
          <cell r="AB970">
            <v>0</v>
          </cell>
          <cell r="AC970">
            <v>15</v>
          </cell>
          <cell r="AD970">
            <v>-9</v>
          </cell>
        </row>
        <row r="971">
          <cell r="A971" t="str">
            <v>33.11.11008.00</v>
          </cell>
          <cell r="B971" t="str">
            <v>CHAPA TAMPA CAIXA L / 33.11.11008.00</v>
          </cell>
          <cell r="C971">
            <v>46064</v>
          </cell>
          <cell r="D971" t="str">
            <v>-</v>
          </cell>
          <cell r="E971" t="str">
            <v>-</v>
          </cell>
          <cell r="F971" t="str">
            <v>-</v>
          </cell>
          <cell r="G971" t="str">
            <v>-</v>
          </cell>
          <cell r="H971" t="str">
            <v>-</v>
          </cell>
          <cell r="I971" t="str">
            <v>-</v>
          </cell>
          <cell r="J971">
            <v>0</v>
          </cell>
          <cell r="K971">
            <v>6</v>
          </cell>
          <cell r="L971" t="str">
            <v>ENTREGA PARCIAL</v>
          </cell>
          <cell r="M971">
            <v>2</v>
          </cell>
          <cell r="N971" t="str">
            <v>OC'S METALFISA</v>
          </cell>
          <cell r="O971">
            <v>8</v>
          </cell>
          <cell r="P971" t="str">
            <v>OC'S GRANATO</v>
          </cell>
          <cell r="Q971" t="str">
            <v>-</v>
          </cell>
          <cell r="S971" t="str">
            <v>-</v>
          </cell>
          <cell r="U971">
            <v>10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6</v>
          </cell>
          <cell r="AA971">
            <v>6</v>
          </cell>
          <cell r="AB971">
            <v>0</v>
          </cell>
          <cell r="AC971">
            <v>2</v>
          </cell>
          <cell r="AD971">
            <v>-4</v>
          </cell>
        </row>
        <row r="972">
          <cell r="A972" t="str">
            <v>33.11.11009.00</v>
          </cell>
          <cell r="B972" t="str">
            <v>TAMPA VERTICAL CAIXA L / 33.11.11009.00</v>
          </cell>
          <cell r="C972">
            <v>46064</v>
          </cell>
          <cell r="D972" t="str">
            <v>-</v>
          </cell>
          <cell r="E972" t="str">
            <v>-</v>
          </cell>
          <cell r="F972" t="str">
            <v>-</v>
          </cell>
          <cell r="G972" t="str">
            <v>-</v>
          </cell>
          <cell r="H972" t="str">
            <v>-</v>
          </cell>
          <cell r="I972" t="str">
            <v>-</v>
          </cell>
          <cell r="J972">
            <v>0</v>
          </cell>
          <cell r="K972">
            <v>6</v>
          </cell>
          <cell r="L972" t="str">
            <v>ENTREGA PARCIAL</v>
          </cell>
          <cell r="M972">
            <v>2</v>
          </cell>
          <cell r="N972" t="str">
            <v>OC'S METALFISA</v>
          </cell>
          <cell r="O972">
            <v>8</v>
          </cell>
          <cell r="P972" t="str">
            <v>OC'S GRANATO</v>
          </cell>
          <cell r="Q972" t="str">
            <v>-</v>
          </cell>
          <cell r="S972" t="str">
            <v>-</v>
          </cell>
          <cell r="U972">
            <v>10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6</v>
          </cell>
          <cell r="AA972">
            <v>6</v>
          </cell>
          <cell r="AB972">
            <v>0</v>
          </cell>
          <cell r="AC972">
            <v>2</v>
          </cell>
          <cell r="AD972">
            <v>-4</v>
          </cell>
        </row>
        <row r="973">
          <cell r="A973" t="str">
            <v>33.11.11011.00</v>
          </cell>
          <cell r="B973" t="str">
            <v>TAMPA VEDACAO PROLONGAMENTO CAIXA L / 33.11.11011.00</v>
          </cell>
          <cell r="D973" t="str">
            <v>-</v>
          </cell>
          <cell r="E973" t="str">
            <v>-</v>
          </cell>
          <cell r="F973" t="str">
            <v>-</v>
          </cell>
          <cell r="G973" t="str">
            <v>-</v>
          </cell>
          <cell r="H973" t="str">
            <v>-</v>
          </cell>
          <cell r="I973" t="str">
            <v>-</v>
          </cell>
          <cell r="J973">
            <v>0</v>
          </cell>
          <cell r="K973">
            <v>4</v>
          </cell>
          <cell r="L973" t="str">
            <v>ENTREGA PARCIAL</v>
          </cell>
          <cell r="M973">
            <v>2</v>
          </cell>
          <cell r="N973" t="str">
            <v>OC'S METALFISA</v>
          </cell>
          <cell r="O973">
            <v>6</v>
          </cell>
          <cell r="P973" t="str">
            <v>OC'S GRANATO</v>
          </cell>
          <cell r="Q973" t="str">
            <v>-</v>
          </cell>
          <cell r="S973" t="str">
            <v>-</v>
          </cell>
          <cell r="U973">
            <v>8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6</v>
          </cell>
          <cell r="AA973">
            <v>6</v>
          </cell>
          <cell r="AB973">
            <v>0</v>
          </cell>
          <cell r="AC973">
            <v>2</v>
          </cell>
          <cell r="AD973">
            <v>-4</v>
          </cell>
        </row>
        <row r="974">
          <cell r="A974" t="str">
            <v>33.11.11015.00</v>
          </cell>
          <cell r="B974" t="str">
            <v>CHAPA SUPORTE FIXACAO CHUMBO / 33.11.11015.00</v>
          </cell>
          <cell r="C974">
            <v>46072</v>
          </cell>
          <cell r="D974" t="str">
            <v>-</v>
          </cell>
          <cell r="E974" t="str">
            <v>-</v>
          </cell>
          <cell r="F974" t="str">
            <v>-</v>
          </cell>
          <cell r="G974" t="str">
            <v>-</v>
          </cell>
          <cell r="H974" t="str">
            <v>-</v>
          </cell>
          <cell r="I974" t="str">
            <v>-</v>
          </cell>
          <cell r="J974">
            <v>0</v>
          </cell>
          <cell r="K974">
            <v>48</v>
          </cell>
          <cell r="L974" t="str">
            <v>ENTREGA PARCIAL</v>
          </cell>
          <cell r="M974" t="str">
            <v>-</v>
          </cell>
          <cell r="N974" t="str">
            <v>OC'S METALFISA</v>
          </cell>
          <cell r="O974">
            <v>56</v>
          </cell>
          <cell r="P974" t="str">
            <v>OC'S GRANATO</v>
          </cell>
          <cell r="Q974" t="str">
            <v>-</v>
          </cell>
          <cell r="S974" t="str">
            <v>-</v>
          </cell>
          <cell r="U974">
            <v>56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24</v>
          </cell>
          <cell r="AA974">
            <v>24</v>
          </cell>
          <cell r="AB974">
            <v>0</v>
          </cell>
          <cell r="AC974">
            <v>16</v>
          </cell>
          <cell r="AD974">
            <v>-8</v>
          </cell>
        </row>
        <row r="975">
          <cell r="A975" t="str">
            <v>33.11.11019.00</v>
          </cell>
          <cell r="B975" t="str">
            <v>TAMPA SUPERIOR CAIXA L / 33.11.11019.00</v>
          </cell>
          <cell r="D975" t="str">
            <v>-</v>
          </cell>
          <cell r="E975" t="str">
            <v>-</v>
          </cell>
          <cell r="F975" t="str">
            <v>-</v>
          </cell>
          <cell r="G975" t="str">
            <v>-</v>
          </cell>
          <cell r="H975" t="str">
            <v>-</v>
          </cell>
          <cell r="I975" t="str">
            <v>-</v>
          </cell>
          <cell r="J975">
            <v>0</v>
          </cell>
          <cell r="K975">
            <v>4</v>
          </cell>
          <cell r="L975" t="str">
            <v>FALTA ENTREGA</v>
          </cell>
          <cell r="M975">
            <v>2</v>
          </cell>
          <cell r="N975" t="str">
            <v>OC'S METALFISA</v>
          </cell>
          <cell r="O975">
            <v>6</v>
          </cell>
          <cell r="P975" t="str">
            <v>OC'S GRANATO</v>
          </cell>
          <cell r="Q975" t="str">
            <v>-</v>
          </cell>
          <cell r="S975" t="str">
            <v>-</v>
          </cell>
          <cell r="U975">
            <v>8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4</v>
          </cell>
          <cell r="AA975">
            <v>4</v>
          </cell>
          <cell r="AB975">
            <v>0</v>
          </cell>
          <cell r="AC975">
            <v>0</v>
          </cell>
          <cell r="AD975">
            <v>-4</v>
          </cell>
        </row>
        <row r="976">
          <cell r="A976" t="str">
            <v>33.11.11020.00</v>
          </cell>
          <cell r="B976" t="str">
            <v>TAMPA CAIXA L / 33.11.11020.00</v>
          </cell>
          <cell r="D976" t="str">
            <v>-</v>
          </cell>
          <cell r="E976" t="str">
            <v>-</v>
          </cell>
          <cell r="F976" t="str">
            <v>-</v>
          </cell>
          <cell r="G976" t="str">
            <v>-</v>
          </cell>
          <cell r="H976" t="str">
            <v>-</v>
          </cell>
          <cell r="I976" t="str">
            <v>-</v>
          </cell>
          <cell r="J976">
            <v>0</v>
          </cell>
          <cell r="K976">
            <v>8</v>
          </cell>
          <cell r="L976" t="str">
            <v>ENTREGA PARCIAL</v>
          </cell>
          <cell r="M976" t="str">
            <v>-</v>
          </cell>
          <cell r="N976" t="str">
            <v>OC'S METALFISA</v>
          </cell>
          <cell r="O976">
            <v>12</v>
          </cell>
          <cell r="P976" t="str">
            <v>OC'S GRANATO</v>
          </cell>
          <cell r="Q976" t="str">
            <v>-</v>
          </cell>
          <cell r="S976" t="str">
            <v>-</v>
          </cell>
          <cell r="U976">
            <v>12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8</v>
          </cell>
          <cell r="AA976">
            <v>8</v>
          </cell>
          <cell r="AB976">
            <v>0</v>
          </cell>
          <cell r="AC976">
            <v>4</v>
          </cell>
          <cell r="AD976">
            <v>-4</v>
          </cell>
        </row>
        <row r="977">
          <cell r="A977" t="str">
            <v>33.11.11021.00</v>
          </cell>
          <cell r="B977" t="str">
            <v>TAMPA HORIZONTAL CAIXA L / 33.11.11021.00</v>
          </cell>
          <cell r="D977" t="str">
            <v>-</v>
          </cell>
          <cell r="E977" t="str">
            <v>-</v>
          </cell>
          <cell r="F977" t="str">
            <v>-</v>
          </cell>
          <cell r="G977" t="str">
            <v>-</v>
          </cell>
          <cell r="H977" t="str">
            <v>-</v>
          </cell>
          <cell r="I977" t="str">
            <v>-</v>
          </cell>
          <cell r="J977">
            <v>0</v>
          </cell>
          <cell r="K977">
            <v>8</v>
          </cell>
          <cell r="L977" t="str">
            <v>ENTREGA PARCIAL</v>
          </cell>
          <cell r="M977" t="str">
            <v>-</v>
          </cell>
          <cell r="N977" t="str">
            <v>OC'S METALFISA</v>
          </cell>
          <cell r="O977">
            <v>12</v>
          </cell>
          <cell r="P977" t="str">
            <v>OC'S GRANATO</v>
          </cell>
          <cell r="Q977" t="str">
            <v>-</v>
          </cell>
          <cell r="S977" t="str">
            <v>-</v>
          </cell>
          <cell r="U977">
            <v>12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6</v>
          </cell>
          <cell r="AA977">
            <v>6</v>
          </cell>
          <cell r="AB977">
            <v>0</v>
          </cell>
          <cell r="AC977">
            <v>2</v>
          </cell>
          <cell r="AD977">
            <v>-4</v>
          </cell>
        </row>
        <row r="978">
          <cell r="A978" t="str">
            <v>33.11.11022.00</v>
          </cell>
          <cell r="B978" t="str">
            <v>TAMPA CAIXA L / 33.11.11022.00</v>
          </cell>
          <cell r="D978" t="str">
            <v>-</v>
          </cell>
          <cell r="E978" t="str">
            <v>-</v>
          </cell>
          <cell r="F978" t="str">
            <v>-</v>
          </cell>
          <cell r="G978" t="str">
            <v>-</v>
          </cell>
          <cell r="H978" t="str">
            <v>-</v>
          </cell>
          <cell r="I978" t="str">
            <v>-</v>
          </cell>
          <cell r="J978">
            <v>0</v>
          </cell>
          <cell r="K978">
            <v>4</v>
          </cell>
          <cell r="L978" t="str">
            <v>FALTA ENTREGA</v>
          </cell>
          <cell r="M978">
            <v>2</v>
          </cell>
          <cell r="N978" t="str">
            <v>OC'S METALFISA</v>
          </cell>
          <cell r="O978">
            <v>6</v>
          </cell>
          <cell r="P978" t="str">
            <v>OC'S GRANATO</v>
          </cell>
          <cell r="Q978" t="str">
            <v>-</v>
          </cell>
          <cell r="S978" t="str">
            <v>-</v>
          </cell>
          <cell r="U978">
            <v>8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4</v>
          </cell>
          <cell r="AA978">
            <v>4</v>
          </cell>
          <cell r="AB978">
            <v>0</v>
          </cell>
          <cell r="AC978">
            <v>0</v>
          </cell>
          <cell r="AD978">
            <v>-4</v>
          </cell>
        </row>
        <row r="979">
          <cell r="A979" t="str">
            <v>33.11.11023.00</v>
          </cell>
          <cell r="B979" t="str">
            <v>TAMPA CAIXA L / 33.11.11023.00</v>
          </cell>
          <cell r="D979" t="str">
            <v>-</v>
          </cell>
          <cell r="E979" t="str">
            <v>-</v>
          </cell>
          <cell r="F979" t="str">
            <v>-</v>
          </cell>
          <cell r="G979" t="str">
            <v>-</v>
          </cell>
          <cell r="H979" t="str">
            <v>-</v>
          </cell>
          <cell r="I979" t="str">
            <v>-</v>
          </cell>
          <cell r="J979">
            <v>0</v>
          </cell>
          <cell r="K979">
            <v>4</v>
          </cell>
          <cell r="L979" t="str">
            <v>ENTREGA PARCIAL</v>
          </cell>
          <cell r="M979">
            <v>2</v>
          </cell>
          <cell r="N979" t="str">
            <v>OC'S METALFISA</v>
          </cell>
          <cell r="O979">
            <v>6</v>
          </cell>
          <cell r="P979" t="str">
            <v>OC'S GRANATO</v>
          </cell>
          <cell r="Q979" t="str">
            <v>-</v>
          </cell>
          <cell r="S979" t="str">
            <v>-</v>
          </cell>
          <cell r="U979">
            <v>8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6</v>
          </cell>
          <cell r="AA979">
            <v>6</v>
          </cell>
          <cell r="AB979">
            <v>0</v>
          </cell>
          <cell r="AC979">
            <v>2</v>
          </cell>
          <cell r="AD979">
            <v>-4</v>
          </cell>
        </row>
        <row r="980">
          <cell r="A980" t="str">
            <v>33.11.11024.00</v>
          </cell>
          <cell r="B980" t="str">
            <v>TAMPA CAIXA S-DAQ / X-DAQ / 33.11.11024.00</v>
          </cell>
          <cell r="C980">
            <v>46066</v>
          </cell>
          <cell r="D980" t="str">
            <v>-</v>
          </cell>
          <cell r="E980" t="str">
            <v>-</v>
          </cell>
          <cell r="F980" t="str">
            <v>-</v>
          </cell>
          <cell r="G980" t="str">
            <v>-</v>
          </cell>
          <cell r="H980" t="str">
            <v>-</v>
          </cell>
          <cell r="I980" t="str">
            <v>-</v>
          </cell>
          <cell r="J980">
            <v>0</v>
          </cell>
          <cell r="K980">
            <v>7</v>
          </cell>
          <cell r="L980" t="str">
            <v>ENTREGA TOTAL</v>
          </cell>
          <cell r="M980">
            <v>1</v>
          </cell>
          <cell r="N980" t="str">
            <v>OC'S METALFISA</v>
          </cell>
          <cell r="O980">
            <v>6</v>
          </cell>
          <cell r="P980" t="str">
            <v>OC'S GRANATO</v>
          </cell>
          <cell r="Q980" t="str">
            <v>-</v>
          </cell>
          <cell r="S980" t="str">
            <v>-</v>
          </cell>
          <cell r="U980">
            <v>7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4</v>
          </cell>
          <cell r="AA980">
            <v>4</v>
          </cell>
          <cell r="AB980">
            <v>0</v>
          </cell>
          <cell r="AC980">
            <v>4</v>
          </cell>
          <cell r="AD980">
            <v>0</v>
          </cell>
        </row>
        <row r="981">
          <cell r="A981" t="str">
            <v>33.11.11025.00</v>
          </cell>
          <cell r="B981" t="str">
            <v>CAIXA L DV GAIOLA BIPARTIDA / 33.11.11025.00</v>
          </cell>
          <cell r="C981">
            <v>46066</v>
          </cell>
          <cell r="D981" t="str">
            <v>-</v>
          </cell>
          <cell r="E981" t="str">
            <v>-</v>
          </cell>
          <cell r="F981" t="str">
            <v>-</v>
          </cell>
          <cell r="G981" t="str">
            <v>-</v>
          </cell>
          <cell r="H981" t="str">
            <v>-</v>
          </cell>
          <cell r="I981" t="str">
            <v>-</v>
          </cell>
          <cell r="J981">
            <v>0</v>
          </cell>
          <cell r="K981">
            <v>6</v>
          </cell>
          <cell r="L981" t="str">
            <v>ENTREGA PARCIAL</v>
          </cell>
          <cell r="M981">
            <v>2</v>
          </cell>
          <cell r="N981" t="str">
            <v>OC'S METALFISA</v>
          </cell>
          <cell r="O981">
            <v>8</v>
          </cell>
          <cell r="P981" t="str">
            <v>OC'S GRANATO</v>
          </cell>
          <cell r="Q981" t="str">
            <v>-</v>
          </cell>
          <cell r="S981" t="str">
            <v>-</v>
          </cell>
          <cell r="U981">
            <v>10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6</v>
          </cell>
          <cell r="AA981">
            <v>6</v>
          </cell>
          <cell r="AB981">
            <v>0</v>
          </cell>
          <cell r="AC981">
            <v>2</v>
          </cell>
          <cell r="AD981">
            <v>-4</v>
          </cell>
        </row>
        <row r="982">
          <cell r="A982" t="str">
            <v>33.11.11027.00</v>
          </cell>
          <cell r="B982" t="str">
            <v>CHAPA SUPORTE PLACA SDAQ / 33.11.11027.00</v>
          </cell>
          <cell r="C982">
            <v>46066</v>
          </cell>
          <cell r="D982" t="str">
            <v>-</v>
          </cell>
          <cell r="E982" t="str">
            <v>-</v>
          </cell>
          <cell r="F982" t="str">
            <v>-</v>
          </cell>
          <cell r="G982" t="str">
            <v>-</v>
          </cell>
          <cell r="H982" t="str">
            <v>-</v>
          </cell>
          <cell r="I982" t="str">
            <v>-</v>
          </cell>
          <cell r="J982">
            <v>0</v>
          </cell>
          <cell r="K982">
            <v>12</v>
          </cell>
          <cell r="L982" t="str">
            <v>ENTREGA PARCIAL</v>
          </cell>
          <cell r="M982" t="str">
            <v>-</v>
          </cell>
          <cell r="N982" t="str">
            <v>OC'S METALFISA</v>
          </cell>
          <cell r="O982">
            <v>16</v>
          </cell>
          <cell r="P982" t="str">
            <v>OC'S GRANATO</v>
          </cell>
          <cell r="Q982" t="str">
            <v>-</v>
          </cell>
          <cell r="S982" t="str">
            <v>-</v>
          </cell>
          <cell r="U982">
            <v>16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8</v>
          </cell>
          <cell r="AA982">
            <v>8</v>
          </cell>
          <cell r="AB982">
            <v>0</v>
          </cell>
          <cell r="AC982">
            <v>4</v>
          </cell>
          <cell r="AD982">
            <v>-4</v>
          </cell>
        </row>
        <row r="983">
          <cell r="A983" t="str">
            <v>33.11.11028.00</v>
          </cell>
          <cell r="B983" t="str">
            <v>TAMPA VERTICAL CAIXA L / 33.11.11028.00</v>
          </cell>
          <cell r="C983">
            <v>46074</v>
          </cell>
          <cell r="D983" t="str">
            <v>-</v>
          </cell>
          <cell r="E983" t="str">
            <v>-</v>
          </cell>
          <cell r="F983" t="str">
            <v>-</v>
          </cell>
          <cell r="G983" t="str">
            <v>-</v>
          </cell>
          <cell r="H983" t="str">
            <v>-</v>
          </cell>
          <cell r="I983" t="str">
            <v>-</v>
          </cell>
          <cell r="J983">
            <v>0</v>
          </cell>
          <cell r="K983">
            <v>8</v>
          </cell>
          <cell r="L983" t="str">
            <v>ENTREGA PARCIAL</v>
          </cell>
          <cell r="M983">
            <v>2</v>
          </cell>
          <cell r="N983" t="str">
            <v>OC'S METALFISA</v>
          </cell>
          <cell r="O983">
            <v>8</v>
          </cell>
          <cell r="P983" t="str">
            <v>OC'S GRANATO</v>
          </cell>
          <cell r="Q983" t="str">
            <v>-</v>
          </cell>
          <cell r="S983" t="str">
            <v>-</v>
          </cell>
          <cell r="U983">
            <v>10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6</v>
          </cell>
          <cell r="AA983">
            <v>6</v>
          </cell>
          <cell r="AB983">
            <v>0</v>
          </cell>
          <cell r="AC983">
            <v>4</v>
          </cell>
          <cell r="AD983">
            <v>-2</v>
          </cell>
        </row>
        <row r="984">
          <cell r="A984" t="str">
            <v>33.11.11030.00</v>
          </cell>
          <cell r="B984" t="str">
            <v>GAIOLA HORIZONTAL CAIXA L DETECTORAS VMI / 33.11.11030.00</v>
          </cell>
          <cell r="D984" t="str">
            <v>-</v>
          </cell>
          <cell r="E984" t="str">
            <v>-</v>
          </cell>
          <cell r="F984" t="str">
            <v>-</v>
          </cell>
          <cell r="G984" t="str">
            <v>-</v>
          </cell>
          <cell r="H984" t="str">
            <v>-</v>
          </cell>
          <cell r="I984" t="str">
            <v>-</v>
          </cell>
          <cell r="J984">
            <v>0</v>
          </cell>
          <cell r="K984">
            <v>4</v>
          </cell>
          <cell r="L984" t="str">
            <v>FALTA ENTREGA</v>
          </cell>
          <cell r="M984" t="str">
            <v>-</v>
          </cell>
          <cell r="N984" t="str">
            <v>OC'S METALFISA</v>
          </cell>
          <cell r="O984">
            <v>8</v>
          </cell>
          <cell r="P984" t="str">
            <v>OC'S GRANATO</v>
          </cell>
          <cell r="Q984" t="str">
            <v>-</v>
          </cell>
          <cell r="S984" t="str">
            <v>-</v>
          </cell>
          <cell r="U984">
            <v>8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4</v>
          </cell>
          <cell r="AA984">
            <v>4</v>
          </cell>
          <cell r="AB984">
            <v>0</v>
          </cell>
          <cell r="AC984">
            <v>0</v>
          </cell>
          <cell r="AD984">
            <v>-4</v>
          </cell>
        </row>
        <row r="985">
          <cell r="A985" t="str">
            <v>33.11.11031.00</v>
          </cell>
          <cell r="B985" t="str">
            <v>GAIOLA VERTICAL CAIXA L DETECTORAS VMI / 33.11.11031.00</v>
          </cell>
          <cell r="C985">
            <v>46059</v>
          </cell>
          <cell r="D985" t="str">
            <v>-</v>
          </cell>
          <cell r="E985" t="str">
            <v>-</v>
          </cell>
          <cell r="F985" t="str">
            <v>-</v>
          </cell>
          <cell r="G985" t="str">
            <v>-</v>
          </cell>
          <cell r="H985" t="str">
            <v>-</v>
          </cell>
          <cell r="I985" t="str">
            <v>-</v>
          </cell>
          <cell r="J985">
            <v>0</v>
          </cell>
          <cell r="K985">
            <v>6</v>
          </cell>
          <cell r="L985" t="str">
            <v>ENTREGA PARCIAL</v>
          </cell>
          <cell r="M985" t="str">
            <v>-</v>
          </cell>
          <cell r="N985" t="str">
            <v>OC'S METALFISA</v>
          </cell>
          <cell r="O985">
            <v>8</v>
          </cell>
          <cell r="P985" t="str">
            <v>OC'S GRANATO</v>
          </cell>
          <cell r="Q985" t="str">
            <v>-</v>
          </cell>
          <cell r="S985" t="str">
            <v>-</v>
          </cell>
          <cell r="U985">
            <v>8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4</v>
          </cell>
          <cell r="AA985">
            <v>4</v>
          </cell>
          <cell r="AB985">
            <v>0</v>
          </cell>
          <cell r="AC985">
            <v>2</v>
          </cell>
          <cell r="AD985">
            <v>-2</v>
          </cell>
        </row>
        <row r="986">
          <cell r="A986" t="str">
            <v>33.11.11032.00</v>
          </cell>
          <cell r="B986" t="str">
            <v>TAMPA CAIXA L / 33.11.11032.00</v>
          </cell>
          <cell r="C986">
            <v>46074</v>
          </cell>
          <cell r="D986" t="str">
            <v>-</v>
          </cell>
          <cell r="E986" t="str">
            <v>-</v>
          </cell>
          <cell r="F986" t="str">
            <v>-</v>
          </cell>
          <cell r="G986" t="str">
            <v>-</v>
          </cell>
          <cell r="H986" t="str">
            <v>-</v>
          </cell>
          <cell r="I986" t="str">
            <v>-</v>
          </cell>
          <cell r="J986">
            <v>0</v>
          </cell>
          <cell r="K986">
            <v>7</v>
          </cell>
          <cell r="L986" t="str">
            <v>ENTREGA PARCIAL</v>
          </cell>
          <cell r="M986">
            <v>2</v>
          </cell>
          <cell r="N986" t="str">
            <v>OC'S METALFISA</v>
          </cell>
          <cell r="O986">
            <v>8</v>
          </cell>
          <cell r="P986" t="str">
            <v>OC'S GRANATO</v>
          </cell>
          <cell r="Q986" t="str">
            <v>-</v>
          </cell>
          <cell r="S986" t="str">
            <v>-</v>
          </cell>
          <cell r="U986">
            <v>10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6</v>
          </cell>
          <cell r="AA986">
            <v>6</v>
          </cell>
          <cell r="AB986">
            <v>0</v>
          </cell>
          <cell r="AC986">
            <v>3</v>
          </cell>
          <cell r="AD986">
            <v>-3</v>
          </cell>
        </row>
        <row r="987">
          <cell r="A987" t="str">
            <v>33.11.11033.00</v>
          </cell>
          <cell r="B987" t="str">
            <v>TAMPA CAIXA L / 33.11.11033.00</v>
          </cell>
          <cell r="C987">
            <v>46074</v>
          </cell>
          <cell r="D987" t="str">
            <v>-</v>
          </cell>
          <cell r="E987" t="str">
            <v>-</v>
          </cell>
          <cell r="F987" t="str">
            <v>-</v>
          </cell>
          <cell r="G987" t="str">
            <v>-</v>
          </cell>
          <cell r="H987" t="str">
            <v>-</v>
          </cell>
          <cell r="I987" t="str">
            <v>-</v>
          </cell>
          <cell r="J987">
            <v>0</v>
          </cell>
          <cell r="K987">
            <v>7</v>
          </cell>
          <cell r="L987" t="str">
            <v>ENTREGA PARCIAL</v>
          </cell>
          <cell r="M987">
            <v>2</v>
          </cell>
          <cell r="N987" t="str">
            <v>OC'S METALFISA</v>
          </cell>
          <cell r="O987">
            <v>8</v>
          </cell>
          <cell r="P987" t="str">
            <v>OC'S GRANATO</v>
          </cell>
          <cell r="Q987" t="str">
            <v>-</v>
          </cell>
          <cell r="S987" t="str">
            <v>-</v>
          </cell>
          <cell r="U987">
            <v>10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6</v>
          </cell>
          <cell r="AA987">
            <v>6</v>
          </cell>
          <cell r="AB987">
            <v>0</v>
          </cell>
          <cell r="AC987">
            <v>3</v>
          </cell>
          <cell r="AD987">
            <v>-3</v>
          </cell>
        </row>
        <row r="988">
          <cell r="A988" t="str">
            <v>33.11.11037.00</v>
          </cell>
          <cell r="B988" t="str">
            <v>DISTANCIADOR GAIOLA VERTICAL VMI / 33.11.11037.00</v>
          </cell>
          <cell r="C988">
            <v>46066</v>
          </cell>
          <cell r="D988" t="str">
            <v>-</v>
          </cell>
          <cell r="E988" t="str">
            <v>-</v>
          </cell>
          <cell r="F988" t="str">
            <v>-</v>
          </cell>
          <cell r="G988" t="str">
            <v>-</v>
          </cell>
          <cell r="H988" t="str">
            <v>-</v>
          </cell>
          <cell r="I988" t="str">
            <v>-</v>
          </cell>
          <cell r="J988">
            <v>0</v>
          </cell>
          <cell r="K988">
            <v>35</v>
          </cell>
          <cell r="L988" t="str">
            <v>ENTREGA PARCIAL</v>
          </cell>
          <cell r="M988" t="str">
            <v>-</v>
          </cell>
          <cell r="N988" t="str">
            <v>OC'S METALFISA</v>
          </cell>
          <cell r="O988">
            <v>48</v>
          </cell>
          <cell r="P988" t="str">
            <v>OC'S GRANATO</v>
          </cell>
          <cell r="Q988" t="str">
            <v>-</v>
          </cell>
          <cell r="S988" t="str">
            <v>-</v>
          </cell>
          <cell r="U988">
            <v>48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24</v>
          </cell>
          <cell r="AA988">
            <v>24</v>
          </cell>
          <cell r="AB988">
            <v>0</v>
          </cell>
          <cell r="AC988">
            <v>11</v>
          </cell>
          <cell r="AD988">
            <v>-13</v>
          </cell>
        </row>
        <row r="989">
          <cell r="A989" t="str">
            <v>33.11.11040.00</v>
          </cell>
          <cell r="B989" t="str">
            <v>CHAPA FIXACAO SUPORTE CHUMBO TAMPA / 33.11.11040.00</v>
          </cell>
          <cell r="C989">
            <v>46074</v>
          </cell>
          <cell r="D989" t="str">
            <v>-</v>
          </cell>
          <cell r="E989" t="str">
            <v>-</v>
          </cell>
          <cell r="F989" t="str">
            <v>-</v>
          </cell>
          <cell r="G989" t="str">
            <v>-</v>
          </cell>
          <cell r="H989" t="str">
            <v>-</v>
          </cell>
          <cell r="I989" t="str">
            <v>-</v>
          </cell>
          <cell r="J989">
            <v>0</v>
          </cell>
          <cell r="K989">
            <v>71</v>
          </cell>
          <cell r="L989" t="str">
            <v>ENTREGA TOTAL</v>
          </cell>
          <cell r="M989">
            <v>11</v>
          </cell>
          <cell r="N989" t="str">
            <v>OC'S METALFISA</v>
          </cell>
          <cell r="O989">
            <v>60</v>
          </cell>
          <cell r="P989" t="str">
            <v>OC'S GRANATO</v>
          </cell>
          <cell r="Q989" t="str">
            <v>-</v>
          </cell>
          <cell r="S989" t="str">
            <v>-</v>
          </cell>
          <cell r="U989">
            <v>71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51</v>
          </cell>
          <cell r="AA989">
            <v>51</v>
          </cell>
          <cell r="AB989">
            <v>0</v>
          </cell>
          <cell r="AC989">
            <v>51</v>
          </cell>
          <cell r="AD989">
            <v>0</v>
          </cell>
        </row>
        <row r="990">
          <cell r="A990" t="str">
            <v>33.11.11046.00</v>
          </cell>
          <cell r="B990" t="str">
            <v>DISTANCIADOR GAIOLA VERTICAL DEETEE / 33.11.11046.00</v>
          </cell>
          <cell r="C990">
            <v>46074</v>
          </cell>
          <cell r="D990" t="str">
            <v>-</v>
          </cell>
          <cell r="E990" t="str">
            <v>-</v>
          </cell>
          <cell r="F990" t="str">
            <v>-</v>
          </cell>
          <cell r="G990" t="str">
            <v>-</v>
          </cell>
          <cell r="H990" t="str">
            <v>-</v>
          </cell>
          <cell r="I990" t="str">
            <v>-</v>
          </cell>
          <cell r="J990">
            <v>0</v>
          </cell>
          <cell r="K990">
            <v>12</v>
          </cell>
          <cell r="L990" t="str">
            <v>ENTREGA TOTAL</v>
          </cell>
          <cell r="M990">
            <v>12</v>
          </cell>
          <cell r="N990" t="str">
            <v>OC'S METALFISA</v>
          </cell>
          <cell r="O990" t="str">
            <v>-</v>
          </cell>
          <cell r="Q990" t="str">
            <v>-</v>
          </cell>
          <cell r="S990" t="str">
            <v>-</v>
          </cell>
          <cell r="U990">
            <v>12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12</v>
          </cell>
          <cell r="AA990">
            <v>12</v>
          </cell>
          <cell r="AB990">
            <v>0</v>
          </cell>
          <cell r="AC990">
            <v>12</v>
          </cell>
          <cell r="AD990">
            <v>0</v>
          </cell>
        </row>
        <row r="991">
          <cell r="A991" t="str">
            <v>33.11.11049.00</v>
          </cell>
          <cell r="B991" t="str">
            <v>TAMPA VERTICAL CAIXA L / 33.11.11049.00</v>
          </cell>
          <cell r="C991">
            <v>46066</v>
          </cell>
          <cell r="D991" t="str">
            <v>-</v>
          </cell>
          <cell r="E991" t="str">
            <v>-</v>
          </cell>
          <cell r="F991" t="str">
            <v>-</v>
          </cell>
          <cell r="G991" t="str">
            <v>-</v>
          </cell>
          <cell r="H991" t="str">
            <v>-</v>
          </cell>
          <cell r="I991" t="str">
            <v>-</v>
          </cell>
          <cell r="J991">
            <v>0</v>
          </cell>
          <cell r="K991">
            <v>6</v>
          </cell>
          <cell r="L991" t="str">
            <v>ENTREGA PARCIAL</v>
          </cell>
          <cell r="M991">
            <v>2</v>
          </cell>
          <cell r="N991" t="str">
            <v>OC'S METALFISA</v>
          </cell>
          <cell r="O991">
            <v>8</v>
          </cell>
          <cell r="P991" t="str">
            <v>OC'S GRANATO</v>
          </cell>
          <cell r="Q991" t="str">
            <v>-</v>
          </cell>
          <cell r="S991" t="str">
            <v>-</v>
          </cell>
          <cell r="U991">
            <v>10</v>
          </cell>
          <cell r="V991">
            <v>1</v>
          </cell>
          <cell r="W991">
            <v>0</v>
          </cell>
          <cell r="X991">
            <v>0</v>
          </cell>
          <cell r="Y991">
            <v>0</v>
          </cell>
          <cell r="Z991">
            <v>6</v>
          </cell>
          <cell r="AA991">
            <v>7</v>
          </cell>
          <cell r="AB991">
            <v>0</v>
          </cell>
          <cell r="AC991">
            <v>3</v>
          </cell>
          <cell r="AD991">
            <v>-4</v>
          </cell>
        </row>
        <row r="992">
          <cell r="A992" t="str">
            <v>33.11.11050.00</v>
          </cell>
          <cell r="B992" t="str">
            <v>BASE ESTRUTURAL SUPORTE ROLETES / 33.11.11050.00</v>
          </cell>
          <cell r="C992">
            <v>46066</v>
          </cell>
          <cell r="D992" t="str">
            <v>-</v>
          </cell>
          <cell r="E992" t="str">
            <v>-</v>
          </cell>
          <cell r="F992" t="str">
            <v>-</v>
          </cell>
          <cell r="G992" t="str">
            <v>-</v>
          </cell>
          <cell r="H992" t="str">
            <v>-</v>
          </cell>
          <cell r="I992" t="str">
            <v>-</v>
          </cell>
          <cell r="J992">
            <v>0</v>
          </cell>
          <cell r="K992">
            <v>6</v>
          </cell>
          <cell r="L992" t="str">
            <v>ENTREGA PARCIAL</v>
          </cell>
          <cell r="M992" t="str">
            <v>-</v>
          </cell>
          <cell r="N992" t="str">
            <v>OC'S METALFISA</v>
          </cell>
          <cell r="O992">
            <v>8</v>
          </cell>
          <cell r="P992" t="str">
            <v>OC'S GRANATO</v>
          </cell>
          <cell r="Q992" t="str">
            <v>-</v>
          </cell>
          <cell r="S992" t="str">
            <v>-</v>
          </cell>
          <cell r="U992">
            <v>8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6</v>
          </cell>
          <cell r="AA992">
            <v>6</v>
          </cell>
          <cell r="AB992">
            <v>0</v>
          </cell>
          <cell r="AC992">
            <v>4</v>
          </cell>
          <cell r="AD992">
            <v>-2</v>
          </cell>
        </row>
        <row r="993">
          <cell r="A993" t="str">
            <v>33.11.11060.00</v>
          </cell>
          <cell r="B993" t="str">
            <v>GAIOLA HORIZONTAL CAIXA L DETECTORAS DEETEE / 33.11.11060.00</v>
          </cell>
          <cell r="D993" t="str">
            <v>-</v>
          </cell>
          <cell r="E993" t="str">
            <v>-</v>
          </cell>
          <cell r="F993" t="str">
            <v>-</v>
          </cell>
          <cell r="G993" t="str">
            <v>-</v>
          </cell>
          <cell r="H993" t="str">
            <v>-</v>
          </cell>
          <cell r="I993" t="str">
            <v>-</v>
          </cell>
          <cell r="J993">
            <v>0</v>
          </cell>
          <cell r="K993">
            <v>0</v>
          </cell>
          <cell r="L993" t="str">
            <v>FALTA ENTREGA</v>
          </cell>
          <cell r="M993">
            <v>2</v>
          </cell>
          <cell r="N993" t="str">
            <v>OC'S METALFISA</v>
          </cell>
          <cell r="O993" t="str">
            <v>-</v>
          </cell>
          <cell r="Q993" t="str">
            <v>-</v>
          </cell>
          <cell r="S993" t="str">
            <v>-</v>
          </cell>
          <cell r="U993">
            <v>2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2</v>
          </cell>
          <cell r="AA993">
            <v>2</v>
          </cell>
          <cell r="AB993">
            <v>0</v>
          </cell>
          <cell r="AC993">
            <v>0</v>
          </cell>
          <cell r="AD993">
            <v>-2</v>
          </cell>
        </row>
        <row r="994">
          <cell r="A994" t="str">
            <v>33.11.11061.00</v>
          </cell>
          <cell r="B994" t="str">
            <v>GAIOLA VERTICAL CAIXA L DETECTORAS DEETEE / 33.11.11061.00</v>
          </cell>
          <cell r="D994" t="str">
            <v>-</v>
          </cell>
          <cell r="E994" t="str">
            <v>-</v>
          </cell>
          <cell r="F994" t="str">
            <v>-</v>
          </cell>
          <cell r="G994" t="str">
            <v>-</v>
          </cell>
          <cell r="H994" t="str">
            <v>-</v>
          </cell>
          <cell r="I994" t="str">
            <v>-</v>
          </cell>
          <cell r="J994">
            <v>0</v>
          </cell>
          <cell r="K994">
            <v>0</v>
          </cell>
          <cell r="L994" t="str">
            <v>FALTA ENTREGA</v>
          </cell>
          <cell r="M994">
            <v>2</v>
          </cell>
          <cell r="N994" t="str">
            <v>OC'S METALFISA</v>
          </cell>
          <cell r="O994" t="str">
            <v>-</v>
          </cell>
          <cell r="Q994" t="str">
            <v>-</v>
          </cell>
          <cell r="S994" t="str">
            <v>-</v>
          </cell>
          <cell r="U994">
            <v>2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2</v>
          </cell>
          <cell r="AA994">
            <v>2</v>
          </cell>
          <cell r="AB994">
            <v>0</v>
          </cell>
          <cell r="AC994">
            <v>0</v>
          </cell>
          <cell r="AD994">
            <v>-2</v>
          </cell>
        </row>
        <row r="995">
          <cell r="A995" t="str">
            <v>33.11.11070.00</v>
          </cell>
          <cell r="B995" t="str">
            <v>TAMPA DE ACABAMENTO CINZA / 33.11.11070.00</v>
          </cell>
          <cell r="C995">
            <v>46069</v>
          </cell>
          <cell r="D995" t="str">
            <v>-</v>
          </cell>
          <cell r="E995" t="str">
            <v>-</v>
          </cell>
          <cell r="F995" t="str">
            <v>-</v>
          </cell>
          <cell r="G995" t="str">
            <v>-</v>
          </cell>
          <cell r="H995" t="str">
            <v>-</v>
          </cell>
          <cell r="I995" t="str">
            <v>-</v>
          </cell>
          <cell r="J995">
            <v>0</v>
          </cell>
          <cell r="K995">
            <v>35</v>
          </cell>
          <cell r="L995" t="str">
            <v>ENTREGA PARCIAL</v>
          </cell>
          <cell r="M995">
            <v>12</v>
          </cell>
          <cell r="N995" t="str">
            <v>OC'S METALFISA</v>
          </cell>
          <cell r="O995">
            <v>48</v>
          </cell>
          <cell r="P995" t="str">
            <v>OC'S GRANATO</v>
          </cell>
          <cell r="Q995" t="str">
            <v>-</v>
          </cell>
          <cell r="S995" t="str">
            <v>-</v>
          </cell>
          <cell r="U995">
            <v>60</v>
          </cell>
          <cell r="V995">
            <v>1</v>
          </cell>
          <cell r="W995">
            <v>0</v>
          </cell>
          <cell r="X995">
            <v>0</v>
          </cell>
          <cell r="Y995">
            <v>0</v>
          </cell>
          <cell r="Z995">
            <v>36</v>
          </cell>
          <cell r="AA995">
            <v>37</v>
          </cell>
          <cell r="AB995">
            <v>1</v>
          </cell>
          <cell r="AC995">
            <v>12</v>
          </cell>
          <cell r="AD995">
            <v>-25</v>
          </cell>
        </row>
        <row r="996">
          <cell r="A996" t="str">
            <v>33.11.11071.00</v>
          </cell>
          <cell r="B996" t="str">
            <v>TAMPA MENOR CINZA / 33.11.11071.00</v>
          </cell>
          <cell r="C996">
            <v>46069</v>
          </cell>
          <cell r="D996" t="str">
            <v>-</v>
          </cell>
          <cell r="E996" t="str">
            <v>-</v>
          </cell>
          <cell r="F996" t="str">
            <v>-</v>
          </cell>
          <cell r="G996" t="str">
            <v>-</v>
          </cell>
          <cell r="H996" t="str">
            <v>-</v>
          </cell>
          <cell r="I996" t="str">
            <v>-</v>
          </cell>
          <cell r="J996">
            <v>0</v>
          </cell>
          <cell r="K996">
            <v>13</v>
          </cell>
          <cell r="L996" t="str">
            <v>ENTREGA PARCIAL</v>
          </cell>
          <cell r="M996">
            <v>4</v>
          </cell>
          <cell r="N996" t="str">
            <v>OC'S METALFISA</v>
          </cell>
          <cell r="O996">
            <v>16</v>
          </cell>
          <cell r="P996" t="str">
            <v>OC'S GRANATO</v>
          </cell>
          <cell r="Q996" t="str">
            <v>-</v>
          </cell>
          <cell r="S996" t="str">
            <v>-</v>
          </cell>
          <cell r="U996">
            <v>20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11</v>
          </cell>
          <cell r="AA996">
            <v>11</v>
          </cell>
          <cell r="AB996">
            <v>0</v>
          </cell>
          <cell r="AC996">
            <v>4</v>
          </cell>
          <cell r="AD996">
            <v>-7</v>
          </cell>
        </row>
        <row r="997">
          <cell r="A997" t="str">
            <v>33.11.11072.00</v>
          </cell>
          <cell r="B997" t="str">
            <v>FECHAMENTO CINZA / 33.11.11072.00</v>
          </cell>
          <cell r="D997" t="str">
            <v>-</v>
          </cell>
          <cell r="E997" t="str">
            <v>-</v>
          </cell>
          <cell r="F997" t="str">
            <v>-</v>
          </cell>
          <cell r="G997" t="str">
            <v>-</v>
          </cell>
          <cell r="H997" t="str">
            <v>-</v>
          </cell>
          <cell r="I997" t="str">
            <v>-</v>
          </cell>
          <cell r="J997">
            <v>0</v>
          </cell>
          <cell r="K997">
            <v>9</v>
          </cell>
          <cell r="L997" t="str">
            <v>ENTREGA PARCIAL</v>
          </cell>
          <cell r="M997" t="str">
            <v>-</v>
          </cell>
          <cell r="N997" t="str">
            <v>OC'S METALFISA</v>
          </cell>
          <cell r="O997">
            <v>16</v>
          </cell>
          <cell r="P997" t="str">
            <v>OC'S GRANATO</v>
          </cell>
          <cell r="Q997" t="str">
            <v>-</v>
          </cell>
          <cell r="S997" t="str">
            <v>-</v>
          </cell>
          <cell r="U997">
            <v>16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11</v>
          </cell>
          <cell r="AA997">
            <v>11</v>
          </cell>
          <cell r="AB997">
            <v>0</v>
          </cell>
          <cell r="AC997">
            <v>4</v>
          </cell>
          <cell r="AD997">
            <v>-7</v>
          </cell>
        </row>
        <row r="998">
          <cell r="A998" t="str">
            <v>33.11.11073.00</v>
          </cell>
          <cell r="B998" t="str">
            <v>ACABAMENTO CINZA / 33.11.11073.00</v>
          </cell>
          <cell r="C998">
            <v>46064</v>
          </cell>
          <cell r="D998" t="str">
            <v>-</v>
          </cell>
          <cell r="E998" t="str">
            <v>-</v>
          </cell>
          <cell r="F998" t="str">
            <v>-</v>
          </cell>
          <cell r="G998" t="str">
            <v>-</v>
          </cell>
          <cell r="H998" t="str">
            <v>-</v>
          </cell>
          <cell r="I998">
            <v>2</v>
          </cell>
          <cell r="J998">
            <v>2</v>
          </cell>
          <cell r="K998">
            <v>7</v>
          </cell>
          <cell r="L998" t="str">
            <v>FALTA ENTREGA</v>
          </cell>
          <cell r="M998">
            <v>2</v>
          </cell>
          <cell r="N998" t="str">
            <v>OC'S METALFISA</v>
          </cell>
          <cell r="O998">
            <v>25</v>
          </cell>
          <cell r="P998" t="str">
            <v>OC'S GRANATO</v>
          </cell>
          <cell r="Q998" t="str">
            <v>-</v>
          </cell>
          <cell r="S998" t="str">
            <v>-</v>
          </cell>
          <cell r="U998">
            <v>27</v>
          </cell>
          <cell r="V998">
            <v>4</v>
          </cell>
          <cell r="W998">
            <v>0</v>
          </cell>
          <cell r="X998">
            <v>0</v>
          </cell>
          <cell r="Y998">
            <v>0</v>
          </cell>
          <cell r="Z998">
            <v>18</v>
          </cell>
          <cell r="AA998">
            <v>22</v>
          </cell>
          <cell r="AB998">
            <v>5</v>
          </cell>
          <cell r="AC998">
            <v>0</v>
          </cell>
          <cell r="AD998">
            <v>-22</v>
          </cell>
        </row>
        <row r="999">
          <cell r="A999" t="str">
            <v>33.11.11074.00</v>
          </cell>
          <cell r="B999" t="str">
            <v>ACABAMENTO CINZA / 33.11.11074.00</v>
          </cell>
          <cell r="D999" t="str">
            <v>-</v>
          </cell>
          <cell r="E999" t="str">
            <v>-</v>
          </cell>
          <cell r="F999" t="str">
            <v>-</v>
          </cell>
          <cell r="G999" t="str">
            <v>-</v>
          </cell>
          <cell r="H999" t="str">
            <v>-</v>
          </cell>
          <cell r="I999" t="str">
            <v>-</v>
          </cell>
          <cell r="J999">
            <v>0</v>
          </cell>
          <cell r="K999">
            <v>14</v>
          </cell>
          <cell r="L999" t="str">
            <v>FALTA ENTREGA</v>
          </cell>
          <cell r="M999">
            <v>2</v>
          </cell>
          <cell r="N999" t="str">
            <v>OC'S METALFISA</v>
          </cell>
          <cell r="O999">
            <v>26</v>
          </cell>
          <cell r="P999" t="str">
            <v>OC'S GRANATO</v>
          </cell>
          <cell r="Q999" t="str">
            <v>-</v>
          </cell>
          <cell r="S999" t="str">
            <v>-</v>
          </cell>
          <cell r="U999">
            <v>28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14</v>
          </cell>
          <cell r="AA999">
            <v>14</v>
          </cell>
          <cell r="AB999">
            <v>0</v>
          </cell>
          <cell r="AC999">
            <v>0</v>
          </cell>
          <cell r="AD999">
            <v>-14</v>
          </cell>
        </row>
        <row r="1000">
          <cell r="A1000" t="str">
            <v>33.11.11075.00</v>
          </cell>
          <cell r="B1000" t="str">
            <v>ACABAMENTO CINZA / 33.11.11075.00</v>
          </cell>
          <cell r="C1000">
            <v>46064</v>
          </cell>
          <cell r="D1000" t="str">
            <v>-</v>
          </cell>
          <cell r="E1000" t="str">
            <v>-</v>
          </cell>
          <cell r="F1000" t="str">
            <v>-</v>
          </cell>
          <cell r="G1000" t="str">
            <v>-</v>
          </cell>
          <cell r="H1000" t="str">
            <v>-</v>
          </cell>
          <cell r="I1000" t="str">
            <v>-</v>
          </cell>
          <cell r="J1000">
            <v>0</v>
          </cell>
          <cell r="K1000">
            <v>8</v>
          </cell>
          <cell r="L1000" t="str">
            <v>FALTA ENTREGA</v>
          </cell>
          <cell r="M1000">
            <v>2</v>
          </cell>
          <cell r="N1000" t="str">
            <v>OC'S METALFISA</v>
          </cell>
          <cell r="O1000">
            <v>28</v>
          </cell>
          <cell r="P1000" t="str">
            <v>OC'S GRANATO</v>
          </cell>
          <cell r="Q1000" t="str">
            <v>-</v>
          </cell>
          <cell r="S1000" t="str">
            <v>-</v>
          </cell>
          <cell r="U1000">
            <v>30</v>
          </cell>
          <cell r="V1000">
            <v>4</v>
          </cell>
          <cell r="W1000">
            <v>0</v>
          </cell>
          <cell r="X1000">
            <v>0</v>
          </cell>
          <cell r="Y1000">
            <v>0</v>
          </cell>
          <cell r="Z1000">
            <v>18</v>
          </cell>
          <cell r="AA1000">
            <v>22</v>
          </cell>
          <cell r="AB1000">
            <v>4</v>
          </cell>
          <cell r="AC1000">
            <v>0</v>
          </cell>
          <cell r="AD1000">
            <v>-22</v>
          </cell>
        </row>
        <row r="1001">
          <cell r="A1001" t="str">
            <v>33.11.11076.00</v>
          </cell>
          <cell r="B1001" t="str">
            <v>CHAPA DE ACABAMENTO CINZA / 33.11.11076.00</v>
          </cell>
          <cell r="D1001" t="str">
            <v>-</v>
          </cell>
          <cell r="E1001" t="str">
            <v>-</v>
          </cell>
          <cell r="F1001" t="str">
            <v>-</v>
          </cell>
          <cell r="G1001" t="str">
            <v>-</v>
          </cell>
          <cell r="H1001" t="str">
            <v>-</v>
          </cell>
          <cell r="I1001" t="str">
            <v>-</v>
          </cell>
          <cell r="J1001">
            <v>0</v>
          </cell>
          <cell r="K1001">
            <v>7</v>
          </cell>
          <cell r="L1001" t="str">
            <v>ENTREGA PARCIAL</v>
          </cell>
          <cell r="M1001" t="str">
            <v>-</v>
          </cell>
          <cell r="N1001" t="str">
            <v>OC'S METALFISA</v>
          </cell>
          <cell r="O1001">
            <v>11</v>
          </cell>
          <cell r="P1001" t="str">
            <v>OC'S GRANATO</v>
          </cell>
          <cell r="Q1001" t="str">
            <v>-</v>
          </cell>
          <cell r="S1001" t="str">
            <v>-</v>
          </cell>
          <cell r="U1001">
            <v>11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6</v>
          </cell>
          <cell r="AA1001">
            <v>6</v>
          </cell>
          <cell r="AB1001">
            <v>0</v>
          </cell>
          <cell r="AC1001">
            <v>2</v>
          </cell>
          <cell r="AD1001">
            <v>-4</v>
          </cell>
        </row>
        <row r="1002">
          <cell r="A1002" t="str">
            <v>33.11.11077.00</v>
          </cell>
          <cell r="B1002" t="str">
            <v>SUPORTE DO PINO CINZA / 33.11.11077.00</v>
          </cell>
          <cell r="C1002">
            <v>46059</v>
          </cell>
          <cell r="D1002" t="str">
            <v>-</v>
          </cell>
          <cell r="E1002" t="str">
            <v>-</v>
          </cell>
          <cell r="F1002" t="str">
            <v>-</v>
          </cell>
          <cell r="G1002" t="str">
            <v>-</v>
          </cell>
          <cell r="H1002" t="str">
            <v>-</v>
          </cell>
          <cell r="I1002" t="str">
            <v>-</v>
          </cell>
          <cell r="J1002">
            <v>0</v>
          </cell>
          <cell r="K1002">
            <v>7</v>
          </cell>
          <cell r="L1002" t="str">
            <v>ENTREGA PARCIAL</v>
          </cell>
          <cell r="M1002">
            <v>2</v>
          </cell>
          <cell r="N1002" t="str">
            <v>OC'S METALFISA</v>
          </cell>
          <cell r="O1002">
            <v>13</v>
          </cell>
          <cell r="P1002" t="str">
            <v>OC'S GRANATO</v>
          </cell>
          <cell r="Q1002" t="str">
            <v>-</v>
          </cell>
          <cell r="S1002" t="str">
            <v>-</v>
          </cell>
          <cell r="U1002">
            <v>15</v>
          </cell>
          <cell r="V1002">
            <v>1</v>
          </cell>
          <cell r="W1002">
            <v>0</v>
          </cell>
          <cell r="X1002">
            <v>0</v>
          </cell>
          <cell r="Y1002">
            <v>0</v>
          </cell>
          <cell r="Z1002">
            <v>9</v>
          </cell>
          <cell r="AA1002">
            <v>10</v>
          </cell>
          <cell r="AB1002">
            <v>0</v>
          </cell>
          <cell r="AC1002">
            <v>2</v>
          </cell>
          <cell r="AD1002">
            <v>-8</v>
          </cell>
        </row>
        <row r="1003">
          <cell r="A1003" t="str">
            <v>33.11.11078.00</v>
          </cell>
          <cell r="B1003" t="str">
            <v>ACABAMENTO CINZA / 33.11.11078.00</v>
          </cell>
          <cell r="D1003" t="str">
            <v>-</v>
          </cell>
          <cell r="E1003" t="str">
            <v>-</v>
          </cell>
          <cell r="F1003" t="str">
            <v>-</v>
          </cell>
          <cell r="G1003" t="str">
            <v>-</v>
          </cell>
          <cell r="H1003" t="str">
            <v>-</v>
          </cell>
          <cell r="I1003" t="str">
            <v>-</v>
          </cell>
          <cell r="J1003">
            <v>0</v>
          </cell>
          <cell r="K1003">
            <v>3</v>
          </cell>
          <cell r="L1003" t="str">
            <v>FALTA ENTREGA</v>
          </cell>
          <cell r="M1003">
            <v>2</v>
          </cell>
          <cell r="N1003" t="str">
            <v>OC'S METALFISA</v>
          </cell>
          <cell r="O1003">
            <v>9</v>
          </cell>
          <cell r="P1003" t="str">
            <v>OC'S GRANATO</v>
          </cell>
          <cell r="Q1003" t="str">
            <v>-</v>
          </cell>
          <cell r="S1003" t="str">
            <v>-</v>
          </cell>
          <cell r="U1003">
            <v>11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8</v>
          </cell>
          <cell r="AA1003">
            <v>8</v>
          </cell>
          <cell r="AB1003">
            <v>0</v>
          </cell>
          <cell r="AC1003">
            <v>0</v>
          </cell>
          <cell r="AD1003">
            <v>-8</v>
          </cell>
        </row>
        <row r="1004">
          <cell r="A1004" t="str">
            <v>33.11.11079.00</v>
          </cell>
          <cell r="B1004" t="str">
            <v>ACABAMENTO CINZA / 33.11.11079.00</v>
          </cell>
          <cell r="D1004" t="str">
            <v>-</v>
          </cell>
          <cell r="E1004" t="str">
            <v>-</v>
          </cell>
          <cell r="F1004" t="str">
            <v>-</v>
          </cell>
          <cell r="G1004" t="str">
            <v>-</v>
          </cell>
          <cell r="H1004" t="str">
            <v>-</v>
          </cell>
          <cell r="I1004" t="str">
            <v>-</v>
          </cell>
          <cell r="J1004">
            <v>0</v>
          </cell>
          <cell r="K1004">
            <v>4</v>
          </cell>
          <cell r="L1004" t="str">
            <v>FALTA ENTREGA</v>
          </cell>
          <cell r="M1004">
            <v>2</v>
          </cell>
          <cell r="N1004" t="str">
            <v>OC'S METALFISA</v>
          </cell>
          <cell r="O1004">
            <v>11</v>
          </cell>
          <cell r="P1004" t="str">
            <v>OC'S GRANATO</v>
          </cell>
          <cell r="Q1004" t="str">
            <v>-</v>
          </cell>
          <cell r="S1004" t="str">
            <v>-</v>
          </cell>
          <cell r="U1004">
            <v>13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9</v>
          </cell>
          <cell r="AA1004">
            <v>9</v>
          </cell>
          <cell r="AB1004">
            <v>0</v>
          </cell>
          <cell r="AC1004">
            <v>0</v>
          </cell>
          <cell r="AD1004">
            <v>-9</v>
          </cell>
        </row>
        <row r="1005">
          <cell r="A1005" t="str">
            <v>33.11.11080.00</v>
          </cell>
          <cell r="B1005" t="str">
            <v>ACABAMENTO CINZA / 33.11.11080.00</v>
          </cell>
          <cell r="C1005">
            <v>46072</v>
          </cell>
          <cell r="D1005" t="str">
            <v>-</v>
          </cell>
          <cell r="E1005" t="str">
            <v>-</v>
          </cell>
          <cell r="F1005" t="str">
            <v>-</v>
          </cell>
          <cell r="G1005" t="str">
            <v>-</v>
          </cell>
          <cell r="H1005" t="str">
            <v>-</v>
          </cell>
          <cell r="I1005" t="str">
            <v>-</v>
          </cell>
          <cell r="J1005">
            <v>0</v>
          </cell>
          <cell r="K1005">
            <v>6</v>
          </cell>
          <cell r="L1005" t="str">
            <v>ENTREGA PARCIAL</v>
          </cell>
          <cell r="M1005">
            <v>2</v>
          </cell>
          <cell r="N1005" t="str">
            <v>OC'S METALFISA</v>
          </cell>
          <cell r="O1005">
            <v>11</v>
          </cell>
          <cell r="P1005" t="str">
            <v>OC'S GRANATO</v>
          </cell>
          <cell r="Q1005" t="str">
            <v>-</v>
          </cell>
          <cell r="S1005" t="str">
            <v>-</v>
          </cell>
          <cell r="U1005">
            <v>13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9</v>
          </cell>
          <cell r="AA1005">
            <v>9</v>
          </cell>
          <cell r="AB1005">
            <v>0</v>
          </cell>
          <cell r="AC1005">
            <v>2</v>
          </cell>
          <cell r="AD1005">
            <v>-7</v>
          </cell>
        </row>
        <row r="1006">
          <cell r="A1006" t="str">
            <v>33.11.11081.00</v>
          </cell>
          <cell r="B1006" t="str">
            <v>ACABAMENTO COLUNA CINZA / 33.11.11081.00</v>
          </cell>
          <cell r="D1006" t="str">
            <v>-</v>
          </cell>
          <cell r="E1006" t="str">
            <v>-</v>
          </cell>
          <cell r="F1006" t="str">
            <v>-</v>
          </cell>
          <cell r="G1006" t="str">
            <v>-</v>
          </cell>
          <cell r="H1006" t="str">
            <v>-</v>
          </cell>
          <cell r="I1006" t="str">
            <v>-</v>
          </cell>
          <cell r="J1006">
            <v>0</v>
          </cell>
          <cell r="K1006">
            <v>4</v>
          </cell>
          <cell r="L1006" t="str">
            <v>FALTA ENTREGA</v>
          </cell>
          <cell r="M1006">
            <v>2</v>
          </cell>
          <cell r="N1006" t="str">
            <v>OC'S METALFISA</v>
          </cell>
          <cell r="O1006">
            <v>11</v>
          </cell>
          <cell r="P1006" t="str">
            <v>OC'S GRANATO</v>
          </cell>
          <cell r="Q1006" t="str">
            <v>-</v>
          </cell>
          <cell r="S1006" t="str">
            <v>-</v>
          </cell>
          <cell r="U1006">
            <v>13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9</v>
          </cell>
          <cell r="AA1006">
            <v>9</v>
          </cell>
          <cell r="AB1006">
            <v>0</v>
          </cell>
          <cell r="AC1006">
            <v>0</v>
          </cell>
          <cell r="AD1006">
            <v>-9</v>
          </cell>
        </row>
        <row r="1007">
          <cell r="A1007" t="str">
            <v>33.11.11082.00</v>
          </cell>
          <cell r="B1007" t="str">
            <v>ACABAMENTO COLUNA CINZA / 33.11.11082.00</v>
          </cell>
          <cell r="D1007" t="str">
            <v>-</v>
          </cell>
          <cell r="E1007" t="str">
            <v>-</v>
          </cell>
          <cell r="F1007" t="str">
            <v>-</v>
          </cell>
          <cell r="G1007" t="str">
            <v>-</v>
          </cell>
          <cell r="H1007" t="str">
            <v>-</v>
          </cell>
          <cell r="I1007" t="str">
            <v>-</v>
          </cell>
          <cell r="J1007">
            <v>0</v>
          </cell>
          <cell r="K1007">
            <v>0</v>
          </cell>
          <cell r="L1007" t="str">
            <v>FALTA ENTREGA</v>
          </cell>
          <cell r="M1007" t="str">
            <v>-</v>
          </cell>
          <cell r="N1007" t="str">
            <v>OC'S METALFISA</v>
          </cell>
          <cell r="O1007">
            <v>3</v>
          </cell>
          <cell r="P1007" t="str">
            <v>OC'S GRANATO</v>
          </cell>
          <cell r="Q1007" t="str">
            <v>-</v>
          </cell>
          <cell r="S1007" t="str">
            <v>-</v>
          </cell>
          <cell r="U1007">
            <v>3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3</v>
          </cell>
          <cell r="AA1007">
            <v>3</v>
          </cell>
          <cell r="AB1007">
            <v>0</v>
          </cell>
          <cell r="AC1007">
            <v>0</v>
          </cell>
          <cell r="AD1007">
            <v>-3</v>
          </cell>
        </row>
        <row r="1008">
          <cell r="A1008" t="str">
            <v>33.11.11083.00</v>
          </cell>
          <cell r="B1008" t="str">
            <v>ACABAMENTO CINZA / 33.11.11083.00</v>
          </cell>
          <cell r="C1008">
            <v>46074</v>
          </cell>
          <cell r="D1008" t="str">
            <v>-</v>
          </cell>
          <cell r="E1008" t="str">
            <v>-</v>
          </cell>
          <cell r="F1008" t="str">
            <v>-</v>
          </cell>
          <cell r="G1008" t="str">
            <v>-</v>
          </cell>
          <cell r="H1008" t="str">
            <v>-</v>
          </cell>
          <cell r="I1008" t="str">
            <v>-</v>
          </cell>
          <cell r="J1008">
            <v>0</v>
          </cell>
          <cell r="K1008">
            <v>3</v>
          </cell>
          <cell r="L1008" t="str">
            <v>ENTREGA TOTAL</v>
          </cell>
          <cell r="M1008" t="str">
            <v>-</v>
          </cell>
          <cell r="N1008" t="str">
            <v>OC'S METALFISA</v>
          </cell>
          <cell r="O1008">
            <v>3</v>
          </cell>
          <cell r="P1008" t="str">
            <v>OC'S GRANATO</v>
          </cell>
          <cell r="Q1008" t="str">
            <v>-</v>
          </cell>
          <cell r="S1008" t="str">
            <v>-</v>
          </cell>
          <cell r="U1008">
            <v>3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3</v>
          </cell>
          <cell r="AA1008">
            <v>3</v>
          </cell>
          <cell r="AB1008">
            <v>0</v>
          </cell>
          <cell r="AC1008">
            <v>3</v>
          </cell>
          <cell r="AD1008">
            <v>0</v>
          </cell>
        </row>
        <row r="1009">
          <cell r="A1009" t="str">
            <v>33.11.11084.00</v>
          </cell>
          <cell r="B1009" t="str">
            <v>ACABAMENTO CINZA / 33.11.11084.00</v>
          </cell>
          <cell r="C1009">
            <v>46074</v>
          </cell>
          <cell r="D1009" t="str">
            <v>-</v>
          </cell>
          <cell r="E1009" t="str">
            <v>-</v>
          </cell>
          <cell r="F1009" t="str">
            <v>-</v>
          </cell>
          <cell r="G1009" t="str">
            <v>-</v>
          </cell>
          <cell r="H1009" t="str">
            <v>-</v>
          </cell>
          <cell r="I1009" t="str">
            <v>-</v>
          </cell>
          <cell r="J1009">
            <v>0</v>
          </cell>
          <cell r="K1009">
            <v>1</v>
          </cell>
          <cell r="L1009" t="str">
            <v>ENTREGA PARCIAL</v>
          </cell>
          <cell r="M1009" t="str">
            <v>-</v>
          </cell>
          <cell r="N1009" t="str">
            <v>OC'S METALFISA</v>
          </cell>
          <cell r="O1009">
            <v>4</v>
          </cell>
          <cell r="P1009" t="str">
            <v>OC'S GRANATO</v>
          </cell>
          <cell r="Q1009" t="str">
            <v>-</v>
          </cell>
          <cell r="S1009" t="str">
            <v>-</v>
          </cell>
          <cell r="U1009">
            <v>4</v>
          </cell>
          <cell r="V1009">
            <v>1</v>
          </cell>
          <cell r="W1009">
            <v>0</v>
          </cell>
          <cell r="X1009">
            <v>0</v>
          </cell>
          <cell r="Y1009">
            <v>0</v>
          </cell>
          <cell r="Z1009">
            <v>3</v>
          </cell>
          <cell r="AA1009">
            <v>4</v>
          </cell>
          <cell r="AB1009">
            <v>0</v>
          </cell>
          <cell r="AC1009">
            <v>1</v>
          </cell>
          <cell r="AD1009">
            <v>-3</v>
          </cell>
        </row>
        <row r="1010">
          <cell r="A1010" t="str">
            <v>33.11.11085.00</v>
          </cell>
          <cell r="B1010" t="str">
            <v>ACABAMENTO PIVOTANTE CINZA / 33.11.11085.00</v>
          </cell>
          <cell r="D1010" t="str">
            <v>-</v>
          </cell>
          <cell r="E1010" t="str">
            <v>-</v>
          </cell>
          <cell r="F1010" t="str">
            <v>-</v>
          </cell>
          <cell r="G1010" t="str">
            <v>-</v>
          </cell>
          <cell r="H1010" t="str">
            <v>-</v>
          </cell>
          <cell r="I1010" t="str">
            <v>-</v>
          </cell>
          <cell r="J1010">
            <v>0</v>
          </cell>
          <cell r="K1010">
            <v>4</v>
          </cell>
          <cell r="L1010" t="str">
            <v>FALTA ENTREGA</v>
          </cell>
          <cell r="M1010">
            <v>2</v>
          </cell>
          <cell r="N1010" t="str">
            <v>OC'S METALFISA</v>
          </cell>
          <cell r="O1010">
            <v>11</v>
          </cell>
          <cell r="P1010" t="str">
            <v>OC'S GRANATO</v>
          </cell>
          <cell r="Q1010" t="str">
            <v>-</v>
          </cell>
          <cell r="S1010" t="str">
            <v>-</v>
          </cell>
          <cell r="U1010">
            <v>13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9</v>
          </cell>
          <cell r="AA1010">
            <v>9</v>
          </cell>
          <cell r="AB1010">
            <v>0</v>
          </cell>
          <cell r="AC1010">
            <v>0</v>
          </cell>
          <cell r="AD1010">
            <v>-9</v>
          </cell>
        </row>
        <row r="1011">
          <cell r="A1011" t="str">
            <v>33.11.11086.00</v>
          </cell>
          <cell r="B1011" t="str">
            <v>ACABAMENTO PIVOTANTE CINZA / 33.11.11086.00</v>
          </cell>
          <cell r="C1011">
            <v>46074</v>
          </cell>
          <cell r="D1011" t="str">
            <v>-</v>
          </cell>
          <cell r="E1011" t="str">
            <v>-</v>
          </cell>
          <cell r="F1011" t="str">
            <v>-</v>
          </cell>
          <cell r="G1011" t="str">
            <v>-</v>
          </cell>
          <cell r="H1011" t="str">
            <v>-</v>
          </cell>
          <cell r="I1011" t="str">
            <v>-</v>
          </cell>
          <cell r="J1011">
            <v>0</v>
          </cell>
          <cell r="K1011">
            <v>8</v>
          </cell>
          <cell r="L1011" t="str">
            <v>ENTREGA PARCIAL</v>
          </cell>
          <cell r="M1011">
            <v>2</v>
          </cell>
          <cell r="N1011" t="str">
            <v>OC'S METALFISA</v>
          </cell>
          <cell r="O1011">
            <v>11</v>
          </cell>
          <cell r="P1011" t="str">
            <v>OC'S GRANATO</v>
          </cell>
          <cell r="Q1011" t="str">
            <v>-</v>
          </cell>
          <cell r="S1011" t="str">
            <v>-</v>
          </cell>
          <cell r="U1011">
            <v>13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7</v>
          </cell>
          <cell r="AA1011">
            <v>7</v>
          </cell>
          <cell r="AB1011">
            <v>0</v>
          </cell>
          <cell r="AC1011">
            <v>2</v>
          </cell>
          <cell r="AD1011">
            <v>-5</v>
          </cell>
        </row>
        <row r="1012">
          <cell r="A1012" t="str">
            <v>33.11.11087.00</v>
          </cell>
          <cell r="B1012" t="str">
            <v>ACABAMENTO PIVOTANTE CINZA / 33.11.11087.00</v>
          </cell>
          <cell r="D1012" t="str">
            <v>-</v>
          </cell>
          <cell r="E1012" t="str">
            <v>-</v>
          </cell>
          <cell r="F1012" t="str">
            <v>-</v>
          </cell>
          <cell r="G1012" t="str">
            <v>-</v>
          </cell>
          <cell r="H1012" t="str">
            <v>-</v>
          </cell>
          <cell r="I1012" t="str">
            <v>-</v>
          </cell>
          <cell r="J1012">
            <v>0</v>
          </cell>
          <cell r="K1012">
            <v>4</v>
          </cell>
          <cell r="L1012" t="str">
            <v>FALTA ENTREGA</v>
          </cell>
          <cell r="M1012">
            <v>2</v>
          </cell>
          <cell r="N1012" t="str">
            <v>OC'S METALFISA</v>
          </cell>
          <cell r="O1012">
            <v>11</v>
          </cell>
          <cell r="P1012" t="str">
            <v>OC'S GRANATO</v>
          </cell>
          <cell r="Q1012" t="str">
            <v>-</v>
          </cell>
          <cell r="S1012" t="str">
            <v>-</v>
          </cell>
          <cell r="U1012">
            <v>13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9</v>
          </cell>
          <cell r="AA1012">
            <v>9</v>
          </cell>
          <cell r="AB1012">
            <v>0</v>
          </cell>
          <cell r="AC1012">
            <v>0</v>
          </cell>
          <cell r="AD1012">
            <v>-9</v>
          </cell>
        </row>
        <row r="1013">
          <cell r="A1013" t="str">
            <v>33.11.11088.00</v>
          </cell>
          <cell r="B1013" t="str">
            <v>ACABAMENTO MOLDURA CINZA / 33.11.11088.00</v>
          </cell>
          <cell r="D1013" t="str">
            <v>-</v>
          </cell>
          <cell r="E1013" t="str">
            <v>-</v>
          </cell>
          <cell r="F1013" t="str">
            <v>-</v>
          </cell>
          <cell r="G1013" t="str">
            <v>-</v>
          </cell>
          <cell r="H1013" t="str">
            <v>-</v>
          </cell>
          <cell r="I1013" t="str">
            <v>-</v>
          </cell>
          <cell r="J1013">
            <v>0</v>
          </cell>
          <cell r="K1013">
            <v>4</v>
          </cell>
          <cell r="L1013" t="str">
            <v>ENTREGA PARCIAL</v>
          </cell>
          <cell r="M1013" t="str">
            <v>-</v>
          </cell>
          <cell r="N1013" t="str">
            <v>OC'S METALFISA</v>
          </cell>
          <cell r="O1013">
            <v>11</v>
          </cell>
          <cell r="P1013" t="str">
            <v>OC'S GRANATO</v>
          </cell>
          <cell r="Q1013" t="str">
            <v>-</v>
          </cell>
          <cell r="S1013" t="str">
            <v>-</v>
          </cell>
          <cell r="U1013">
            <v>11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9</v>
          </cell>
          <cell r="AA1013">
            <v>9</v>
          </cell>
          <cell r="AB1013">
            <v>0</v>
          </cell>
          <cell r="AC1013">
            <v>2</v>
          </cell>
          <cell r="AD1013">
            <v>-7</v>
          </cell>
        </row>
        <row r="1014">
          <cell r="A1014" t="str">
            <v>33.11.11089.00</v>
          </cell>
          <cell r="B1014" t="str">
            <v>ACABAMENTO PIVOTANTE CINZA / 33.11.11089.00</v>
          </cell>
          <cell r="C1014">
            <v>46064</v>
          </cell>
          <cell r="D1014" t="str">
            <v>-</v>
          </cell>
          <cell r="E1014" t="str">
            <v>-</v>
          </cell>
          <cell r="F1014" t="str">
            <v>-</v>
          </cell>
          <cell r="G1014" t="str">
            <v>-</v>
          </cell>
          <cell r="H1014" t="str">
            <v>-</v>
          </cell>
          <cell r="I1014" t="str">
            <v>-</v>
          </cell>
          <cell r="J1014">
            <v>0</v>
          </cell>
          <cell r="K1014">
            <v>2</v>
          </cell>
          <cell r="L1014" t="str">
            <v>FALTA ENTREGA</v>
          </cell>
          <cell r="M1014">
            <v>2</v>
          </cell>
          <cell r="N1014" t="str">
            <v>OC'S METALFISA</v>
          </cell>
          <cell r="O1014">
            <v>10</v>
          </cell>
          <cell r="P1014" t="str">
            <v>OC'S GRANATO</v>
          </cell>
          <cell r="Q1014" t="str">
            <v>-</v>
          </cell>
          <cell r="S1014" t="str">
            <v>-</v>
          </cell>
          <cell r="U1014">
            <v>12</v>
          </cell>
          <cell r="V1014">
            <v>1</v>
          </cell>
          <cell r="W1014">
            <v>0</v>
          </cell>
          <cell r="X1014">
            <v>0</v>
          </cell>
          <cell r="Y1014">
            <v>0</v>
          </cell>
          <cell r="Z1014">
            <v>9</v>
          </cell>
          <cell r="AA1014">
            <v>10</v>
          </cell>
          <cell r="AB1014">
            <v>1</v>
          </cell>
          <cell r="AC1014">
            <v>0</v>
          </cell>
          <cell r="AD1014">
            <v>-10</v>
          </cell>
        </row>
        <row r="1015">
          <cell r="A1015" t="str">
            <v>33.11.11090.00</v>
          </cell>
          <cell r="B1015" t="str">
            <v>ACABAMENTO ESQ. ING/FRAN CINZA MODULO EXT. ESQ. / 33.11.11090.00</v>
          </cell>
          <cell r="C1015">
            <v>46074</v>
          </cell>
          <cell r="D1015" t="str">
            <v>-</v>
          </cell>
          <cell r="E1015" t="str">
            <v>-</v>
          </cell>
          <cell r="F1015" t="str">
            <v>-</v>
          </cell>
          <cell r="G1015" t="str">
            <v>-</v>
          </cell>
          <cell r="H1015" t="str">
            <v>-</v>
          </cell>
          <cell r="I1015" t="str">
            <v>-</v>
          </cell>
          <cell r="J1015">
            <v>0</v>
          </cell>
          <cell r="K1015">
            <v>6</v>
          </cell>
          <cell r="L1015" t="str">
            <v>ENTREGA PARCIAL</v>
          </cell>
          <cell r="M1015">
            <v>3</v>
          </cell>
          <cell r="N1015" t="str">
            <v>OC'S METALFISA</v>
          </cell>
          <cell r="O1015">
            <v>8</v>
          </cell>
          <cell r="P1015" t="str">
            <v>OC'S GRANATO</v>
          </cell>
          <cell r="Q1015" t="str">
            <v>-</v>
          </cell>
          <cell r="S1015" t="str">
            <v>-</v>
          </cell>
          <cell r="U1015">
            <v>11</v>
          </cell>
          <cell r="V1015">
            <v>1</v>
          </cell>
          <cell r="W1015">
            <v>0</v>
          </cell>
          <cell r="X1015">
            <v>0</v>
          </cell>
          <cell r="Y1015">
            <v>0</v>
          </cell>
          <cell r="Z1015">
            <v>6</v>
          </cell>
          <cell r="AA1015">
            <v>7</v>
          </cell>
          <cell r="AB1015">
            <v>0</v>
          </cell>
          <cell r="AC1015">
            <v>2</v>
          </cell>
          <cell r="AD1015">
            <v>-5</v>
          </cell>
        </row>
        <row r="1016">
          <cell r="A1016" t="str">
            <v>33.11.11091.00</v>
          </cell>
          <cell r="B1016" t="str">
            <v>ACABAMENTO CINZA / 33.11.11091.00</v>
          </cell>
          <cell r="C1016">
            <v>46064</v>
          </cell>
          <cell r="D1016" t="str">
            <v>-</v>
          </cell>
          <cell r="E1016" t="str">
            <v>-</v>
          </cell>
          <cell r="F1016" t="str">
            <v>-</v>
          </cell>
          <cell r="G1016" t="str">
            <v>-</v>
          </cell>
          <cell r="H1016" t="str">
            <v>-</v>
          </cell>
          <cell r="I1016" t="str">
            <v>-</v>
          </cell>
          <cell r="J1016">
            <v>0</v>
          </cell>
          <cell r="K1016">
            <v>8</v>
          </cell>
          <cell r="L1016" t="str">
            <v>FALTA ENTREGA</v>
          </cell>
          <cell r="M1016">
            <v>2</v>
          </cell>
          <cell r="N1016" t="str">
            <v>OC'S METALFISA</v>
          </cell>
          <cell r="O1016">
            <v>26</v>
          </cell>
          <cell r="P1016" t="str">
            <v>OC'S GRANATO</v>
          </cell>
          <cell r="Q1016" t="str">
            <v>-</v>
          </cell>
          <cell r="S1016" t="str">
            <v>-</v>
          </cell>
          <cell r="U1016">
            <v>28</v>
          </cell>
          <cell r="V1016">
            <v>2</v>
          </cell>
          <cell r="W1016">
            <v>0</v>
          </cell>
          <cell r="X1016">
            <v>0</v>
          </cell>
          <cell r="Y1016">
            <v>0</v>
          </cell>
          <cell r="Z1016">
            <v>18</v>
          </cell>
          <cell r="AA1016">
            <v>20</v>
          </cell>
          <cell r="AB1016">
            <v>3</v>
          </cell>
          <cell r="AC1016">
            <v>0</v>
          </cell>
          <cell r="AD1016">
            <v>-20</v>
          </cell>
        </row>
        <row r="1017">
          <cell r="A1017" t="str">
            <v>33.11.11092.00</v>
          </cell>
          <cell r="B1017" t="str">
            <v>ACABAMENTO DIR. ING/FRAN CINZA MODULO EXT. ESQ. / 33.11.11092.00</v>
          </cell>
          <cell r="C1017">
            <v>46074</v>
          </cell>
          <cell r="D1017" t="str">
            <v>-</v>
          </cell>
          <cell r="E1017" t="str">
            <v>-</v>
          </cell>
          <cell r="F1017" t="str">
            <v>-</v>
          </cell>
          <cell r="G1017" t="str">
            <v>-</v>
          </cell>
          <cell r="H1017" t="str">
            <v>-</v>
          </cell>
          <cell r="I1017" t="str">
            <v>-</v>
          </cell>
          <cell r="J1017">
            <v>0</v>
          </cell>
          <cell r="K1017">
            <v>6</v>
          </cell>
          <cell r="L1017" t="str">
            <v>ENTREGA PARCIAL</v>
          </cell>
          <cell r="M1017">
            <v>2</v>
          </cell>
          <cell r="N1017" t="str">
            <v>OC'S METALFISA</v>
          </cell>
          <cell r="O1017">
            <v>8</v>
          </cell>
          <cell r="P1017" t="str">
            <v>OC'S GRANATO</v>
          </cell>
          <cell r="Q1017" t="str">
            <v>-</v>
          </cell>
          <cell r="S1017" t="str">
            <v>-</v>
          </cell>
          <cell r="U1017">
            <v>10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6</v>
          </cell>
          <cell r="AA1017">
            <v>6</v>
          </cell>
          <cell r="AB1017">
            <v>0</v>
          </cell>
          <cell r="AC1017">
            <v>2</v>
          </cell>
          <cell r="AD1017">
            <v>-4</v>
          </cell>
        </row>
        <row r="1018">
          <cell r="A1018" t="str">
            <v>33.11.11093.00</v>
          </cell>
          <cell r="B1018" t="str">
            <v>ACABAMENTO DIR. ING/FRAN CINZA MODULO EXT. DIR. / 33.11.11093.00</v>
          </cell>
          <cell r="C1018">
            <v>46074</v>
          </cell>
          <cell r="D1018" t="str">
            <v>-</v>
          </cell>
          <cell r="E1018" t="str">
            <v>-</v>
          </cell>
          <cell r="F1018" t="str">
            <v>-</v>
          </cell>
          <cell r="G1018" t="str">
            <v>-</v>
          </cell>
          <cell r="H1018" t="str">
            <v>-</v>
          </cell>
          <cell r="I1018" t="str">
            <v>-</v>
          </cell>
          <cell r="J1018">
            <v>0</v>
          </cell>
          <cell r="K1018">
            <v>8</v>
          </cell>
          <cell r="L1018" t="str">
            <v>ENTREGA PARCIAL</v>
          </cell>
          <cell r="M1018">
            <v>2</v>
          </cell>
          <cell r="N1018" t="str">
            <v>OC'S METALFISA</v>
          </cell>
          <cell r="O1018">
            <v>8</v>
          </cell>
          <cell r="P1018" t="str">
            <v>OC'S GRANATO</v>
          </cell>
          <cell r="Q1018" t="str">
            <v>-</v>
          </cell>
          <cell r="S1018" t="str">
            <v>-</v>
          </cell>
          <cell r="U1018">
            <v>10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5</v>
          </cell>
          <cell r="AA1018">
            <v>5</v>
          </cell>
          <cell r="AB1018">
            <v>0</v>
          </cell>
          <cell r="AC1018">
            <v>3</v>
          </cell>
          <cell r="AD1018">
            <v>-2</v>
          </cell>
        </row>
        <row r="1019">
          <cell r="A1019" t="str">
            <v>33.11.11094.00</v>
          </cell>
          <cell r="B1019" t="str">
            <v>ACABAMENTO ESQ. ING/FRAN CINZA MODULO EXT. DIR. / 33.11.11094.00</v>
          </cell>
          <cell r="C1019">
            <v>46074</v>
          </cell>
          <cell r="D1019" t="str">
            <v>-</v>
          </cell>
          <cell r="E1019" t="str">
            <v>-</v>
          </cell>
          <cell r="F1019" t="str">
            <v>-</v>
          </cell>
          <cell r="G1019" t="str">
            <v>-</v>
          </cell>
          <cell r="H1019" t="str">
            <v>-</v>
          </cell>
          <cell r="I1019" t="str">
            <v>-</v>
          </cell>
          <cell r="J1019">
            <v>0</v>
          </cell>
          <cell r="K1019">
            <v>6</v>
          </cell>
          <cell r="L1019" t="str">
            <v>ENTREGA PARCIAL</v>
          </cell>
          <cell r="M1019">
            <v>2</v>
          </cell>
          <cell r="N1019" t="str">
            <v>OC'S METALFISA</v>
          </cell>
          <cell r="O1019">
            <v>8</v>
          </cell>
          <cell r="P1019" t="str">
            <v>OC'S GRANATO</v>
          </cell>
          <cell r="Q1019" t="str">
            <v>-</v>
          </cell>
          <cell r="S1019" t="str">
            <v>-</v>
          </cell>
          <cell r="U1019">
            <v>10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6</v>
          </cell>
          <cell r="AA1019">
            <v>6</v>
          </cell>
          <cell r="AB1019">
            <v>0</v>
          </cell>
          <cell r="AC1019">
            <v>2</v>
          </cell>
          <cell r="AD1019">
            <v>-4</v>
          </cell>
        </row>
        <row r="1020">
          <cell r="A1020" t="str">
            <v>33.11.11095.00</v>
          </cell>
          <cell r="B1020" t="str">
            <v>TAMPA ACABAMENTO CINZA / 33.11.11095.00</v>
          </cell>
          <cell r="C1020">
            <v>46069</v>
          </cell>
          <cell r="D1020" t="str">
            <v>-</v>
          </cell>
          <cell r="E1020" t="str">
            <v>-</v>
          </cell>
          <cell r="F1020" t="str">
            <v>-</v>
          </cell>
          <cell r="G1020" t="str">
            <v>-</v>
          </cell>
          <cell r="H1020" t="str">
            <v>-</v>
          </cell>
          <cell r="I1020" t="str">
            <v>-</v>
          </cell>
          <cell r="J1020">
            <v>0</v>
          </cell>
          <cell r="K1020">
            <v>11</v>
          </cell>
          <cell r="L1020" t="str">
            <v>ENTREGA PARCIAL</v>
          </cell>
          <cell r="M1020">
            <v>3</v>
          </cell>
          <cell r="N1020" t="str">
            <v>OC'S METALFISA</v>
          </cell>
          <cell r="O1020">
            <v>16</v>
          </cell>
          <cell r="P1020" t="str">
            <v>OC'S GRANATO</v>
          </cell>
          <cell r="Q1020" t="str">
            <v>-</v>
          </cell>
          <cell r="S1020" t="str">
            <v>-</v>
          </cell>
          <cell r="U1020">
            <v>19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12</v>
          </cell>
          <cell r="AA1020">
            <v>12</v>
          </cell>
          <cell r="AB1020">
            <v>0</v>
          </cell>
          <cell r="AC1020">
            <v>4</v>
          </cell>
          <cell r="AD1020">
            <v>-8</v>
          </cell>
        </row>
        <row r="1021">
          <cell r="A1021" t="str">
            <v>33.11.11096.00</v>
          </cell>
          <cell r="B1021" t="str">
            <v>TAMPA ACABAMENTO CINZA / 33.11.11096.00</v>
          </cell>
          <cell r="C1021">
            <v>46072</v>
          </cell>
          <cell r="D1021" t="str">
            <v>-</v>
          </cell>
          <cell r="E1021" t="str">
            <v>-</v>
          </cell>
          <cell r="F1021" t="str">
            <v>-</v>
          </cell>
          <cell r="G1021" t="str">
            <v>-</v>
          </cell>
          <cell r="H1021" t="str">
            <v>-</v>
          </cell>
          <cell r="I1021" t="str">
            <v>-</v>
          </cell>
          <cell r="J1021">
            <v>0</v>
          </cell>
          <cell r="K1021">
            <v>6</v>
          </cell>
          <cell r="L1021" t="str">
            <v>ENTREGA PARCIAL</v>
          </cell>
          <cell r="M1021">
            <v>1</v>
          </cell>
          <cell r="N1021" t="str">
            <v>OC'S METALFISA</v>
          </cell>
          <cell r="O1021">
            <v>8</v>
          </cell>
          <cell r="P1021" t="str">
            <v>OC'S GRANATO</v>
          </cell>
          <cell r="Q1021" t="str">
            <v>-</v>
          </cell>
          <cell r="S1021" t="str">
            <v>-</v>
          </cell>
          <cell r="U1021">
            <v>9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5</v>
          </cell>
          <cell r="AA1021">
            <v>5</v>
          </cell>
          <cell r="AB1021">
            <v>0</v>
          </cell>
          <cell r="AC1021">
            <v>2</v>
          </cell>
          <cell r="AD1021">
            <v>-3</v>
          </cell>
        </row>
        <row r="1022">
          <cell r="A1022" t="str">
            <v>33.11.11097.00</v>
          </cell>
          <cell r="B1022" t="str">
            <v>TAMPA ACABAMENTO CINZA / 33.11.11097.00</v>
          </cell>
          <cell r="C1022">
            <v>46074</v>
          </cell>
          <cell r="D1022" t="str">
            <v>-</v>
          </cell>
          <cell r="E1022" t="str">
            <v>-</v>
          </cell>
          <cell r="F1022" t="str">
            <v>-</v>
          </cell>
          <cell r="G1022" t="str">
            <v>-</v>
          </cell>
          <cell r="H1022" t="str">
            <v>-</v>
          </cell>
          <cell r="I1022" t="str">
            <v>-</v>
          </cell>
          <cell r="J1022">
            <v>0</v>
          </cell>
          <cell r="K1022">
            <v>6</v>
          </cell>
          <cell r="L1022" t="str">
            <v>ENTREGA PARCIAL</v>
          </cell>
          <cell r="M1022">
            <v>2</v>
          </cell>
          <cell r="N1022" t="str">
            <v>OC'S METALFISA</v>
          </cell>
          <cell r="O1022">
            <v>8</v>
          </cell>
          <cell r="P1022" t="str">
            <v>OC'S GRANATO</v>
          </cell>
          <cell r="Q1022" t="str">
            <v>-</v>
          </cell>
          <cell r="S1022" t="str">
            <v>-</v>
          </cell>
          <cell r="U1022">
            <v>10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6</v>
          </cell>
          <cell r="AA1022">
            <v>6</v>
          </cell>
          <cell r="AB1022">
            <v>0</v>
          </cell>
          <cell r="AC1022">
            <v>2</v>
          </cell>
          <cell r="AD1022">
            <v>-4</v>
          </cell>
        </row>
        <row r="1023">
          <cell r="A1023" t="str">
            <v>33.11.11098.00</v>
          </cell>
          <cell r="B1023" t="str">
            <v>TAMPA CINZA / 33.11.11098.00</v>
          </cell>
          <cell r="D1023" t="str">
            <v>-</v>
          </cell>
          <cell r="E1023" t="str">
            <v>-</v>
          </cell>
          <cell r="F1023" t="str">
            <v>-</v>
          </cell>
          <cell r="G1023" t="str">
            <v>-</v>
          </cell>
          <cell r="H1023" t="str">
            <v>-</v>
          </cell>
          <cell r="I1023" t="str">
            <v>-</v>
          </cell>
          <cell r="J1023">
            <v>0</v>
          </cell>
          <cell r="K1023">
            <v>4</v>
          </cell>
          <cell r="L1023" t="str">
            <v>ENTREGA PARCIAL</v>
          </cell>
          <cell r="M1023" t="str">
            <v>-</v>
          </cell>
          <cell r="N1023" t="str">
            <v>OC'S METALFISA</v>
          </cell>
          <cell r="O1023">
            <v>8</v>
          </cell>
          <cell r="P1023" t="str">
            <v>OC'S GRANATO</v>
          </cell>
          <cell r="Q1023" t="str">
            <v>-</v>
          </cell>
          <cell r="S1023" t="str">
            <v>-</v>
          </cell>
          <cell r="U1023">
            <v>8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6</v>
          </cell>
          <cell r="AA1023">
            <v>6</v>
          </cell>
          <cell r="AB1023">
            <v>0</v>
          </cell>
          <cell r="AC1023">
            <v>2</v>
          </cell>
          <cell r="AD1023">
            <v>-4</v>
          </cell>
        </row>
        <row r="1024">
          <cell r="A1024" t="str">
            <v>33.11.11099.00</v>
          </cell>
          <cell r="B1024" t="str">
            <v>TAMPA PIVOTANTE CINZA / 33.11.11099.00</v>
          </cell>
          <cell r="D1024" t="str">
            <v>-</v>
          </cell>
          <cell r="E1024" t="str">
            <v>-</v>
          </cell>
          <cell r="F1024" t="str">
            <v>-</v>
          </cell>
          <cell r="G1024" t="str">
            <v>-</v>
          </cell>
          <cell r="H1024" t="str">
            <v>-</v>
          </cell>
          <cell r="I1024" t="str">
            <v>-</v>
          </cell>
          <cell r="J1024">
            <v>0</v>
          </cell>
          <cell r="K1024">
            <v>4</v>
          </cell>
          <cell r="L1024" t="str">
            <v>FALTA ENTREGA</v>
          </cell>
          <cell r="M1024">
            <v>2</v>
          </cell>
          <cell r="N1024" t="str">
            <v>OC'S METALFISA</v>
          </cell>
          <cell r="O1024">
            <v>8</v>
          </cell>
          <cell r="P1024" t="str">
            <v>OC'S GRANATO</v>
          </cell>
          <cell r="Q1024" t="str">
            <v>-</v>
          </cell>
          <cell r="S1024" t="str">
            <v>-</v>
          </cell>
          <cell r="U1024">
            <v>10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6</v>
          </cell>
          <cell r="AA1024">
            <v>6</v>
          </cell>
          <cell r="AB1024">
            <v>0</v>
          </cell>
          <cell r="AC1024">
            <v>0</v>
          </cell>
          <cell r="AD1024">
            <v>-6</v>
          </cell>
        </row>
        <row r="1025">
          <cell r="A1025" t="str">
            <v>33.11.11100.00</v>
          </cell>
          <cell r="B1025" t="str">
            <v>TAMPA ACABAMENTO CINZA / 33.11.11100.00</v>
          </cell>
          <cell r="D1025" t="str">
            <v>-</v>
          </cell>
          <cell r="E1025" t="str">
            <v>-</v>
          </cell>
          <cell r="F1025" t="str">
            <v>-</v>
          </cell>
          <cell r="G1025" t="str">
            <v>-</v>
          </cell>
          <cell r="H1025" t="str">
            <v>-</v>
          </cell>
          <cell r="I1025" t="str">
            <v>-</v>
          </cell>
          <cell r="J1025">
            <v>0</v>
          </cell>
          <cell r="K1025">
            <v>4</v>
          </cell>
          <cell r="L1025" t="str">
            <v>FALTA ENTREGA</v>
          </cell>
          <cell r="M1025">
            <v>2</v>
          </cell>
          <cell r="N1025" t="str">
            <v>OC'S METALFISA</v>
          </cell>
          <cell r="O1025">
            <v>8</v>
          </cell>
          <cell r="P1025" t="str">
            <v>OC'S GRANATO</v>
          </cell>
          <cell r="Q1025" t="str">
            <v>-</v>
          </cell>
          <cell r="S1025" t="str">
            <v>-</v>
          </cell>
          <cell r="U1025">
            <v>10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6</v>
          </cell>
          <cell r="AA1025">
            <v>6</v>
          </cell>
          <cell r="AB1025">
            <v>0</v>
          </cell>
          <cell r="AC1025">
            <v>0</v>
          </cell>
          <cell r="AD1025">
            <v>-6</v>
          </cell>
        </row>
        <row r="1026">
          <cell r="A1026" t="str">
            <v>33.11.11101.00</v>
          </cell>
          <cell r="B1026" t="str">
            <v>ACABAMENTO CINZA / 33.11.11101.00</v>
          </cell>
          <cell r="D1026" t="str">
            <v>-</v>
          </cell>
          <cell r="E1026" t="str">
            <v>-</v>
          </cell>
          <cell r="F1026" t="str">
            <v>-</v>
          </cell>
          <cell r="G1026" t="str">
            <v>-</v>
          </cell>
          <cell r="H1026" t="str">
            <v>-</v>
          </cell>
          <cell r="I1026" t="str">
            <v>-</v>
          </cell>
          <cell r="J1026">
            <v>0</v>
          </cell>
          <cell r="K1026">
            <v>4</v>
          </cell>
          <cell r="L1026" t="str">
            <v>ENTREGA PARCIAL</v>
          </cell>
          <cell r="M1026" t="str">
            <v>-</v>
          </cell>
          <cell r="N1026" t="str">
            <v>OC'S METALFISA</v>
          </cell>
          <cell r="O1026">
            <v>8</v>
          </cell>
          <cell r="P1026" t="str">
            <v>OC'S GRANATO</v>
          </cell>
          <cell r="Q1026" t="str">
            <v>-</v>
          </cell>
          <cell r="S1026" t="str">
            <v>-</v>
          </cell>
          <cell r="U1026">
            <v>8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6</v>
          </cell>
          <cell r="AA1026">
            <v>6</v>
          </cell>
          <cell r="AB1026">
            <v>0</v>
          </cell>
          <cell r="AC1026">
            <v>2</v>
          </cell>
          <cell r="AD1026">
            <v>-4</v>
          </cell>
        </row>
        <row r="1027">
          <cell r="A1027" t="str">
            <v>33.11.11102.00</v>
          </cell>
          <cell r="B1027" t="str">
            <v>GUIA DO VARAO CINZA / 33.11.11102.00</v>
          </cell>
          <cell r="C1027">
            <v>46059</v>
          </cell>
          <cell r="D1027" t="str">
            <v>-</v>
          </cell>
          <cell r="E1027" t="str">
            <v>-</v>
          </cell>
          <cell r="F1027" t="str">
            <v>-</v>
          </cell>
          <cell r="G1027" t="str">
            <v>-</v>
          </cell>
          <cell r="H1027" t="str">
            <v>-</v>
          </cell>
          <cell r="I1027" t="str">
            <v>-</v>
          </cell>
          <cell r="J1027">
            <v>0</v>
          </cell>
          <cell r="K1027">
            <v>22</v>
          </cell>
          <cell r="L1027" t="str">
            <v>ENTREGA PARCIAL</v>
          </cell>
          <cell r="M1027">
            <v>4</v>
          </cell>
          <cell r="N1027" t="str">
            <v>OC'S METALFISA</v>
          </cell>
          <cell r="O1027">
            <v>42</v>
          </cell>
          <cell r="P1027" t="str">
            <v>OC'S GRANATO</v>
          </cell>
          <cell r="Q1027" t="str">
            <v>-</v>
          </cell>
          <cell r="S1027" t="str">
            <v>-</v>
          </cell>
          <cell r="U1027">
            <v>46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28</v>
          </cell>
          <cell r="AA1027">
            <v>28</v>
          </cell>
          <cell r="AB1027">
            <v>0</v>
          </cell>
          <cell r="AC1027">
            <v>4</v>
          </cell>
          <cell r="AD1027">
            <v>-24</v>
          </cell>
        </row>
        <row r="1028">
          <cell r="A1028" t="str">
            <v>33.11.11103.00</v>
          </cell>
          <cell r="B1028" t="str">
            <v>SUPORTE GUIA CINZA / 33.11.11103.00</v>
          </cell>
          <cell r="C1028">
            <v>46059</v>
          </cell>
          <cell r="D1028" t="str">
            <v>-</v>
          </cell>
          <cell r="E1028" t="str">
            <v>-</v>
          </cell>
          <cell r="F1028" t="str">
            <v>-</v>
          </cell>
          <cell r="G1028" t="str">
            <v>-</v>
          </cell>
          <cell r="H1028" t="str">
            <v>-</v>
          </cell>
          <cell r="I1028" t="str">
            <v>-</v>
          </cell>
          <cell r="J1028">
            <v>0</v>
          </cell>
          <cell r="K1028">
            <v>22</v>
          </cell>
          <cell r="L1028" t="str">
            <v>ENTREGA PARCIAL</v>
          </cell>
          <cell r="M1028">
            <v>4</v>
          </cell>
          <cell r="N1028" t="str">
            <v>OC'S METALFISA</v>
          </cell>
          <cell r="O1028">
            <v>42</v>
          </cell>
          <cell r="P1028" t="str">
            <v>OC'S GRANATO</v>
          </cell>
          <cell r="Q1028" t="str">
            <v>-</v>
          </cell>
          <cell r="S1028" t="str">
            <v>-</v>
          </cell>
          <cell r="U1028">
            <v>46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28</v>
          </cell>
          <cell r="AA1028">
            <v>28</v>
          </cell>
          <cell r="AB1028">
            <v>0</v>
          </cell>
          <cell r="AC1028">
            <v>4</v>
          </cell>
          <cell r="AD1028">
            <v>-24</v>
          </cell>
        </row>
        <row r="1029">
          <cell r="A1029" t="str">
            <v>33.11.11104.00</v>
          </cell>
          <cell r="B1029" t="str">
            <v>TAMPA CINZA / 33.11.11104.00</v>
          </cell>
          <cell r="D1029" t="str">
            <v>-</v>
          </cell>
          <cell r="E1029" t="str">
            <v>-</v>
          </cell>
          <cell r="F1029" t="str">
            <v>-</v>
          </cell>
          <cell r="G1029" t="str">
            <v>-</v>
          </cell>
          <cell r="H1029" t="str">
            <v>-</v>
          </cell>
          <cell r="I1029" t="str">
            <v>-</v>
          </cell>
          <cell r="J1029">
            <v>0</v>
          </cell>
          <cell r="K1029">
            <v>4</v>
          </cell>
          <cell r="L1029" t="str">
            <v>ENTREGA PARCIAL</v>
          </cell>
          <cell r="M1029" t="str">
            <v>-</v>
          </cell>
          <cell r="N1029" t="str">
            <v>OC'S METALFISA</v>
          </cell>
          <cell r="O1029">
            <v>8</v>
          </cell>
          <cell r="P1029" t="str">
            <v>OC'S GRANATO</v>
          </cell>
          <cell r="Q1029" t="str">
            <v>-</v>
          </cell>
          <cell r="S1029" t="str">
            <v>-</v>
          </cell>
          <cell r="U1029">
            <v>8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6</v>
          </cell>
          <cell r="AA1029">
            <v>6</v>
          </cell>
          <cell r="AB1029">
            <v>0</v>
          </cell>
          <cell r="AC1029">
            <v>2</v>
          </cell>
          <cell r="AD1029">
            <v>-4</v>
          </cell>
        </row>
        <row r="1030">
          <cell r="A1030" t="str">
            <v>33.11.11105.00</v>
          </cell>
          <cell r="B1030" t="str">
            <v>TAMPA ACABAMENTO CINZA / 33.11.11105.00</v>
          </cell>
          <cell r="D1030" t="str">
            <v>-</v>
          </cell>
          <cell r="E1030" t="str">
            <v>-</v>
          </cell>
          <cell r="F1030" t="str">
            <v>-</v>
          </cell>
          <cell r="G1030" t="str">
            <v>-</v>
          </cell>
          <cell r="H1030" t="str">
            <v>-</v>
          </cell>
          <cell r="I1030" t="str">
            <v>-</v>
          </cell>
          <cell r="J1030">
            <v>0</v>
          </cell>
          <cell r="K1030">
            <v>4</v>
          </cell>
          <cell r="L1030" t="str">
            <v>FALTA ENTREGA</v>
          </cell>
          <cell r="M1030">
            <v>2</v>
          </cell>
          <cell r="N1030" t="str">
            <v>OC'S METALFISA</v>
          </cell>
          <cell r="O1030">
            <v>8</v>
          </cell>
          <cell r="P1030" t="str">
            <v>OC'S GRANATO</v>
          </cell>
          <cell r="Q1030" t="str">
            <v>-</v>
          </cell>
          <cell r="S1030" t="str">
            <v>-</v>
          </cell>
          <cell r="U1030">
            <v>10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6</v>
          </cell>
          <cell r="AA1030">
            <v>6</v>
          </cell>
          <cell r="AB1030">
            <v>0</v>
          </cell>
          <cell r="AC1030">
            <v>0</v>
          </cell>
          <cell r="AD1030">
            <v>-6</v>
          </cell>
        </row>
        <row r="1031">
          <cell r="A1031" t="str">
            <v>33.11.11106.00</v>
          </cell>
          <cell r="B1031" t="str">
            <v>ACABAMENTO CINZA / 33.11.11106.00</v>
          </cell>
          <cell r="C1031">
            <v>46064</v>
          </cell>
          <cell r="D1031" t="str">
            <v>-</v>
          </cell>
          <cell r="E1031" t="str">
            <v>-</v>
          </cell>
          <cell r="F1031" t="str">
            <v>-</v>
          </cell>
          <cell r="G1031" t="str">
            <v>-</v>
          </cell>
          <cell r="H1031" t="str">
            <v>-</v>
          </cell>
          <cell r="I1031">
            <v>1</v>
          </cell>
          <cell r="J1031">
            <v>1</v>
          </cell>
          <cell r="K1031">
            <v>4</v>
          </cell>
          <cell r="L1031" t="str">
            <v>FALTA ENTREGA</v>
          </cell>
          <cell r="M1031">
            <v>2</v>
          </cell>
          <cell r="N1031" t="str">
            <v>OC'S METALFISA</v>
          </cell>
          <cell r="O1031">
            <v>11</v>
          </cell>
          <cell r="P1031" t="str">
            <v>OC'S GRANATO</v>
          </cell>
          <cell r="Q1031" t="str">
            <v>-</v>
          </cell>
          <cell r="S1031" t="str">
            <v>-</v>
          </cell>
          <cell r="U1031">
            <v>13</v>
          </cell>
          <cell r="V1031">
            <v>1</v>
          </cell>
          <cell r="W1031">
            <v>0</v>
          </cell>
          <cell r="X1031">
            <v>0</v>
          </cell>
          <cell r="Y1031">
            <v>0</v>
          </cell>
          <cell r="Z1031">
            <v>9</v>
          </cell>
          <cell r="AA1031">
            <v>10</v>
          </cell>
          <cell r="AB1031">
            <v>0</v>
          </cell>
          <cell r="AC1031">
            <v>0</v>
          </cell>
          <cell r="AD1031">
            <v>-10</v>
          </cell>
        </row>
        <row r="1032">
          <cell r="A1032" t="str">
            <v>33.11.11108.00</v>
          </cell>
          <cell r="B1032" t="str">
            <v>TAMPA CINZA / 33.11.11108.00</v>
          </cell>
          <cell r="C1032">
            <v>46074</v>
          </cell>
          <cell r="D1032" t="str">
            <v>-</v>
          </cell>
          <cell r="E1032" t="str">
            <v>-</v>
          </cell>
          <cell r="F1032" t="str">
            <v>-</v>
          </cell>
          <cell r="G1032" t="str">
            <v>-</v>
          </cell>
          <cell r="H1032" t="str">
            <v>-</v>
          </cell>
          <cell r="I1032" t="str">
            <v>-</v>
          </cell>
          <cell r="J1032">
            <v>0</v>
          </cell>
          <cell r="K1032">
            <v>6</v>
          </cell>
          <cell r="L1032" t="str">
            <v>ENTREGA PARCIAL</v>
          </cell>
          <cell r="M1032">
            <v>2</v>
          </cell>
          <cell r="N1032" t="str">
            <v>OC'S METALFISA</v>
          </cell>
          <cell r="O1032">
            <v>10</v>
          </cell>
          <cell r="P1032" t="str">
            <v>OC'S GRANATO</v>
          </cell>
          <cell r="Q1032" t="str">
            <v>-</v>
          </cell>
          <cell r="S1032" t="str">
            <v>-</v>
          </cell>
          <cell r="U1032">
            <v>12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8</v>
          </cell>
          <cell r="AA1032">
            <v>8</v>
          </cell>
          <cell r="AB1032">
            <v>0</v>
          </cell>
          <cell r="AC1032">
            <v>2</v>
          </cell>
          <cell r="AD1032">
            <v>-6</v>
          </cell>
        </row>
        <row r="1033">
          <cell r="A1033" t="str">
            <v>33.11.11110.00</v>
          </cell>
          <cell r="B1033" t="str">
            <v>TAMPA PIVOTANTE CINZA / 33.11.11110.00</v>
          </cell>
          <cell r="D1033" t="str">
            <v>-</v>
          </cell>
          <cell r="E1033" t="str">
            <v>-</v>
          </cell>
          <cell r="F1033" t="str">
            <v>-</v>
          </cell>
          <cell r="G1033" t="str">
            <v>-</v>
          </cell>
          <cell r="H1033" t="str">
            <v>-</v>
          </cell>
          <cell r="I1033" t="str">
            <v>-</v>
          </cell>
          <cell r="J1033">
            <v>0</v>
          </cell>
          <cell r="K1033">
            <v>4</v>
          </cell>
          <cell r="L1033" t="str">
            <v>FALTA ENTREGA</v>
          </cell>
          <cell r="M1033">
            <v>2</v>
          </cell>
          <cell r="N1033" t="str">
            <v>OC'S METALFISA</v>
          </cell>
          <cell r="O1033">
            <v>8</v>
          </cell>
          <cell r="P1033" t="str">
            <v>OC'S GRANATO</v>
          </cell>
          <cell r="Q1033" t="str">
            <v>-</v>
          </cell>
          <cell r="S1033" t="str">
            <v>-</v>
          </cell>
          <cell r="U1033">
            <v>10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6</v>
          </cell>
          <cell r="AA1033">
            <v>6</v>
          </cell>
          <cell r="AB1033">
            <v>0</v>
          </cell>
          <cell r="AC1033">
            <v>0</v>
          </cell>
          <cell r="AD1033">
            <v>-6</v>
          </cell>
        </row>
        <row r="1034">
          <cell r="A1034" t="str">
            <v>33.11.11111.00</v>
          </cell>
          <cell r="B1034" t="str">
            <v>ACABAMENTO CINZA / 33.11.11111.00</v>
          </cell>
          <cell r="D1034" t="str">
            <v>-</v>
          </cell>
          <cell r="E1034" t="str">
            <v>-</v>
          </cell>
          <cell r="F1034" t="str">
            <v>-</v>
          </cell>
          <cell r="G1034" t="str">
            <v>-</v>
          </cell>
          <cell r="H1034" t="str">
            <v>-</v>
          </cell>
          <cell r="I1034" t="str">
            <v>-</v>
          </cell>
          <cell r="J1034">
            <v>0</v>
          </cell>
          <cell r="K1034">
            <v>2</v>
          </cell>
          <cell r="L1034" t="str">
            <v>FALTA ENTREGA</v>
          </cell>
          <cell r="M1034">
            <v>2</v>
          </cell>
          <cell r="N1034" t="str">
            <v>OC'S METALFISA</v>
          </cell>
          <cell r="O1034">
            <v>11</v>
          </cell>
          <cell r="P1034" t="str">
            <v>OC'S GRANATO</v>
          </cell>
          <cell r="Q1034" t="str">
            <v>-</v>
          </cell>
          <cell r="S1034" t="str">
            <v>-</v>
          </cell>
          <cell r="U1034">
            <v>13</v>
          </cell>
          <cell r="V1034">
            <v>2</v>
          </cell>
          <cell r="W1034">
            <v>0</v>
          </cell>
          <cell r="X1034">
            <v>0</v>
          </cell>
          <cell r="Y1034">
            <v>0</v>
          </cell>
          <cell r="Z1034">
            <v>9</v>
          </cell>
          <cell r="AA1034">
            <v>11</v>
          </cell>
          <cell r="AB1034">
            <v>3</v>
          </cell>
          <cell r="AC1034">
            <v>0</v>
          </cell>
          <cell r="AD1034">
            <v>-11</v>
          </cell>
        </row>
        <row r="1035">
          <cell r="A1035" t="str">
            <v>33.11.11112.00</v>
          </cell>
          <cell r="B1035" t="str">
            <v>TAMPA CINZA / 33.11.11112.00</v>
          </cell>
          <cell r="C1035">
            <v>46074</v>
          </cell>
          <cell r="D1035" t="str">
            <v>-</v>
          </cell>
          <cell r="E1035" t="str">
            <v>-</v>
          </cell>
          <cell r="F1035" t="str">
            <v>-</v>
          </cell>
          <cell r="G1035" t="str">
            <v>-</v>
          </cell>
          <cell r="H1035" t="str">
            <v>-</v>
          </cell>
          <cell r="I1035" t="str">
            <v>-</v>
          </cell>
          <cell r="J1035">
            <v>0</v>
          </cell>
          <cell r="K1035">
            <v>6</v>
          </cell>
          <cell r="L1035" t="str">
            <v>ENTREGA PARCIAL</v>
          </cell>
          <cell r="M1035">
            <v>2</v>
          </cell>
          <cell r="N1035" t="str">
            <v>OC'S METALFISA</v>
          </cell>
          <cell r="O1035">
            <v>11</v>
          </cell>
          <cell r="P1035" t="str">
            <v>OC'S GRANATO</v>
          </cell>
          <cell r="Q1035" t="str">
            <v>-</v>
          </cell>
          <cell r="S1035" t="str">
            <v>-</v>
          </cell>
          <cell r="U1035">
            <v>13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9</v>
          </cell>
          <cell r="AA1035">
            <v>9</v>
          </cell>
          <cell r="AB1035">
            <v>0</v>
          </cell>
          <cell r="AC1035">
            <v>2</v>
          </cell>
          <cell r="AD1035">
            <v>-7</v>
          </cell>
        </row>
        <row r="1036">
          <cell r="A1036" t="str">
            <v>33.11.11113.00</v>
          </cell>
          <cell r="B1036" t="str">
            <v>CHAPA SUPERIOR MOVEL FIXACAO ELETRODUTO CINZA / 33.11.11113.00</v>
          </cell>
          <cell r="C1036">
            <v>46064</v>
          </cell>
          <cell r="D1036" t="str">
            <v>-</v>
          </cell>
          <cell r="E1036" t="str">
            <v>-</v>
          </cell>
          <cell r="F1036" t="str">
            <v>-</v>
          </cell>
          <cell r="G1036" t="str">
            <v>-</v>
          </cell>
          <cell r="H1036" t="str">
            <v>-</v>
          </cell>
          <cell r="I1036" t="str">
            <v>-</v>
          </cell>
          <cell r="J1036">
            <v>0</v>
          </cell>
          <cell r="K1036">
            <v>5</v>
          </cell>
          <cell r="L1036" t="str">
            <v>ENTREGA PARCIAL</v>
          </cell>
          <cell r="M1036">
            <v>2</v>
          </cell>
          <cell r="N1036" t="str">
            <v>OC'S METALFISA</v>
          </cell>
          <cell r="O1036">
            <v>14</v>
          </cell>
          <cell r="P1036" t="str">
            <v>OC'S GRANATO</v>
          </cell>
          <cell r="Q1036" t="str">
            <v>-</v>
          </cell>
          <cell r="S1036" t="str">
            <v>-</v>
          </cell>
          <cell r="U1036">
            <v>16</v>
          </cell>
          <cell r="V1036">
            <v>4</v>
          </cell>
          <cell r="W1036">
            <v>0</v>
          </cell>
          <cell r="X1036">
            <v>0</v>
          </cell>
          <cell r="Y1036">
            <v>0</v>
          </cell>
          <cell r="Z1036">
            <v>9</v>
          </cell>
          <cell r="AA1036">
            <v>13</v>
          </cell>
          <cell r="AB1036">
            <v>1</v>
          </cell>
          <cell r="AC1036">
            <v>2</v>
          </cell>
          <cell r="AD1036">
            <v>-11</v>
          </cell>
        </row>
        <row r="1037">
          <cell r="A1037" t="str">
            <v>33.11.11114.00</v>
          </cell>
          <cell r="B1037" t="str">
            <v>CHAPA SUPERIOR FIX. ELETRODUTO CINZA / 33.11.11114.00</v>
          </cell>
          <cell r="C1037">
            <v>46064</v>
          </cell>
          <cell r="D1037" t="str">
            <v>-</v>
          </cell>
          <cell r="E1037" t="str">
            <v>-</v>
          </cell>
          <cell r="F1037" t="str">
            <v>-</v>
          </cell>
          <cell r="G1037" t="str">
            <v>-</v>
          </cell>
          <cell r="H1037" t="str">
            <v>-</v>
          </cell>
          <cell r="I1037" t="str">
            <v>-</v>
          </cell>
          <cell r="J1037">
            <v>0</v>
          </cell>
          <cell r="K1037">
            <v>5</v>
          </cell>
          <cell r="L1037" t="str">
            <v>ENTREGA PARCIAL</v>
          </cell>
          <cell r="M1037">
            <v>2</v>
          </cell>
          <cell r="N1037" t="str">
            <v>OC'S METALFISA</v>
          </cell>
          <cell r="O1037">
            <v>14</v>
          </cell>
          <cell r="P1037" t="str">
            <v>OC'S GRANATO</v>
          </cell>
          <cell r="Q1037" t="str">
            <v>-</v>
          </cell>
          <cell r="S1037" t="str">
            <v>-</v>
          </cell>
          <cell r="U1037">
            <v>16</v>
          </cell>
          <cell r="V1037">
            <v>4</v>
          </cell>
          <cell r="W1037">
            <v>0</v>
          </cell>
          <cell r="X1037">
            <v>0</v>
          </cell>
          <cell r="Y1037">
            <v>0</v>
          </cell>
          <cell r="Z1037">
            <v>9</v>
          </cell>
          <cell r="AA1037">
            <v>13</v>
          </cell>
          <cell r="AB1037">
            <v>1</v>
          </cell>
          <cell r="AC1037">
            <v>2</v>
          </cell>
          <cell r="AD1037">
            <v>-11</v>
          </cell>
        </row>
        <row r="1038">
          <cell r="A1038" t="str">
            <v>33.11.11115.00</v>
          </cell>
          <cell r="B1038" t="str">
            <v>ACABAMENTO ESQ POR/ING CINZA MODULO EXT. B 180180 / 33.11.11115.00</v>
          </cell>
          <cell r="D1038" t="str">
            <v>-</v>
          </cell>
          <cell r="E1038" t="str">
            <v>-</v>
          </cell>
          <cell r="F1038" t="str">
            <v>-</v>
          </cell>
          <cell r="G1038" t="str">
            <v>-</v>
          </cell>
          <cell r="H1038" t="str">
            <v>-</v>
          </cell>
          <cell r="I1038" t="str">
            <v>-</v>
          </cell>
          <cell r="J1038">
            <v>0</v>
          </cell>
          <cell r="K1038">
            <v>0</v>
          </cell>
          <cell r="L1038" t="str">
            <v>FALTA ENTREGA</v>
          </cell>
          <cell r="M1038" t="str">
            <v>-</v>
          </cell>
          <cell r="N1038" t="str">
            <v>OC'S METALFISA</v>
          </cell>
          <cell r="O1038">
            <v>1</v>
          </cell>
          <cell r="P1038" t="str">
            <v>OC'S GRANATO</v>
          </cell>
          <cell r="Q1038" t="str">
            <v>-</v>
          </cell>
          <cell r="S1038" t="str">
            <v>-</v>
          </cell>
          <cell r="U1038">
            <v>1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1</v>
          </cell>
          <cell r="AA1038">
            <v>1</v>
          </cell>
          <cell r="AB1038">
            <v>0</v>
          </cell>
          <cell r="AC1038">
            <v>0</v>
          </cell>
          <cell r="AD1038">
            <v>-1</v>
          </cell>
        </row>
        <row r="1039">
          <cell r="A1039" t="str">
            <v>33.11.11117.00</v>
          </cell>
          <cell r="B1039" t="str">
            <v>ACABAMENTO DIR POR/ING CINZA MODULO EXT. A 180180 / 33.11.11117.00</v>
          </cell>
          <cell r="D1039" t="str">
            <v>-</v>
          </cell>
          <cell r="E1039" t="str">
            <v>-</v>
          </cell>
          <cell r="F1039" t="str">
            <v>-</v>
          </cell>
          <cell r="G1039" t="str">
            <v>-</v>
          </cell>
          <cell r="H1039" t="str">
            <v>-</v>
          </cell>
          <cell r="I1039" t="str">
            <v>-</v>
          </cell>
          <cell r="J1039">
            <v>0</v>
          </cell>
          <cell r="K1039">
            <v>-2</v>
          </cell>
          <cell r="L1039" t="str">
            <v>FALTA ENTREGA</v>
          </cell>
          <cell r="M1039" t="str">
            <v>-</v>
          </cell>
          <cell r="N1039" t="str">
            <v>OC'S METALFISA</v>
          </cell>
          <cell r="O1039">
            <v>1</v>
          </cell>
          <cell r="P1039" t="str">
            <v>OC'S GRANATO</v>
          </cell>
          <cell r="Q1039" t="str">
            <v>-</v>
          </cell>
          <cell r="S1039" t="str">
            <v>-</v>
          </cell>
          <cell r="U1039">
            <v>1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3</v>
          </cell>
          <cell r="AA1039">
            <v>3</v>
          </cell>
          <cell r="AB1039">
            <v>0</v>
          </cell>
          <cell r="AC1039">
            <v>0</v>
          </cell>
          <cell r="AD1039">
            <v>-3</v>
          </cell>
        </row>
        <row r="1040">
          <cell r="A1040" t="str">
            <v>33.11.11118.00</v>
          </cell>
          <cell r="B1040" t="str">
            <v>ACABAMENTO ESQ. POR/ING CINZA MODULO EXT. A 180180 / 33.11.11118.00</v>
          </cell>
          <cell r="D1040" t="str">
            <v>-</v>
          </cell>
          <cell r="E1040" t="str">
            <v>-</v>
          </cell>
          <cell r="F1040" t="str">
            <v>-</v>
          </cell>
          <cell r="G1040" t="str">
            <v>-</v>
          </cell>
          <cell r="H1040" t="str">
            <v>-</v>
          </cell>
          <cell r="I1040" t="str">
            <v>-</v>
          </cell>
          <cell r="J1040">
            <v>0</v>
          </cell>
          <cell r="K1040">
            <v>-1</v>
          </cell>
          <cell r="L1040" t="str">
            <v>FALTA ENTREGA</v>
          </cell>
          <cell r="M1040" t="str">
            <v>-</v>
          </cell>
          <cell r="N1040" t="str">
            <v>OC'S METALFISA</v>
          </cell>
          <cell r="O1040">
            <v>1</v>
          </cell>
          <cell r="P1040" t="str">
            <v>OC'S GRANATO</v>
          </cell>
          <cell r="Q1040" t="str">
            <v>-</v>
          </cell>
          <cell r="S1040" t="str">
            <v>-</v>
          </cell>
          <cell r="U1040">
            <v>1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2</v>
          </cell>
          <cell r="AA1040">
            <v>2</v>
          </cell>
          <cell r="AB1040">
            <v>0</v>
          </cell>
          <cell r="AC1040">
            <v>0</v>
          </cell>
          <cell r="AD1040">
            <v>-2</v>
          </cell>
        </row>
        <row r="1041">
          <cell r="A1041" t="str">
            <v>33.12.10025.01</v>
          </cell>
          <cell r="B1041" t="str">
            <v>ACABAMENTO DA CORTINA DE LUZ / 33.12.10025.01</v>
          </cell>
          <cell r="D1041" t="str">
            <v>-</v>
          </cell>
          <cell r="E1041" t="str">
            <v>-</v>
          </cell>
          <cell r="F1041" t="str">
            <v>-</v>
          </cell>
          <cell r="G1041" t="str">
            <v>-</v>
          </cell>
          <cell r="H1041" t="str">
            <v>-</v>
          </cell>
          <cell r="I1041" t="str">
            <v>-</v>
          </cell>
          <cell r="J1041">
            <v>0</v>
          </cell>
          <cell r="K1041" t="e">
            <v>#VALUE!</v>
          </cell>
          <cell r="L1041" t="str">
            <v>ENTREGA TOTAL</v>
          </cell>
          <cell r="M1041" t="str">
            <v>-</v>
          </cell>
          <cell r="N1041" t="str">
            <v>OC'S METALFISA</v>
          </cell>
          <cell r="O1041" t="str">
            <v>-</v>
          </cell>
          <cell r="Q1041" t="str">
            <v>-</v>
          </cell>
          <cell r="S1041" t="str">
            <v>-</v>
          </cell>
          <cell r="U1041">
            <v>0</v>
          </cell>
          <cell r="V1041">
            <v>12</v>
          </cell>
          <cell r="W1041">
            <v>0</v>
          </cell>
          <cell r="X1041">
            <v>0</v>
          </cell>
          <cell r="Y1041">
            <v>0</v>
          </cell>
          <cell r="Z1041">
            <v>96</v>
          </cell>
          <cell r="AA1041">
            <v>108</v>
          </cell>
          <cell r="AB1041" t="str">
            <v>0</v>
          </cell>
          <cell r="AC1041" t="str">
            <v>-</v>
          </cell>
          <cell r="AD1041" t="str">
            <v>-</v>
          </cell>
        </row>
        <row r="1042">
          <cell r="A1042" t="str">
            <v>33.12.10027.01</v>
          </cell>
          <cell r="B1042" t="str">
            <v>SUPORTE DA CORTINA DE LUZ / 33.12.10027.01</v>
          </cell>
          <cell r="D1042" t="str">
            <v>-</v>
          </cell>
          <cell r="E1042" t="str">
            <v>-</v>
          </cell>
          <cell r="F1042" t="str">
            <v>-</v>
          </cell>
          <cell r="G1042" t="str">
            <v>-</v>
          </cell>
          <cell r="H1042" t="str">
            <v>-</v>
          </cell>
          <cell r="I1042" t="str">
            <v>-</v>
          </cell>
          <cell r="J1042">
            <v>0</v>
          </cell>
          <cell r="K1042">
            <v>-7</v>
          </cell>
          <cell r="L1042" t="str">
            <v>FALTA ENTREGA</v>
          </cell>
          <cell r="M1042" t="str">
            <v>-</v>
          </cell>
          <cell r="N1042" t="str">
            <v>OC'S METALFISA</v>
          </cell>
          <cell r="O1042" t="str">
            <v>-</v>
          </cell>
          <cell r="Q1042" t="str">
            <v>-</v>
          </cell>
          <cell r="S1042" t="str">
            <v>-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7</v>
          </cell>
          <cell r="AA1042">
            <v>7</v>
          </cell>
          <cell r="AB1042">
            <v>0</v>
          </cell>
          <cell r="AC1042">
            <v>0</v>
          </cell>
          <cell r="AD1042">
            <v>-7</v>
          </cell>
        </row>
        <row r="1043">
          <cell r="A1043" t="str">
            <v>33.12.10138.00</v>
          </cell>
          <cell r="B1043" t="str">
            <v>ACABAMENTO INT. COLIMADORES - INGL / PORT / 33.12.10138.00</v>
          </cell>
          <cell r="D1043">
            <v>1</v>
          </cell>
          <cell r="E1043" t="str">
            <v>-</v>
          </cell>
          <cell r="F1043" t="str">
            <v>-</v>
          </cell>
          <cell r="G1043" t="str">
            <v>-</v>
          </cell>
          <cell r="H1043" t="str">
            <v>-</v>
          </cell>
          <cell r="I1043" t="str">
            <v>-</v>
          </cell>
          <cell r="J1043">
            <v>0</v>
          </cell>
          <cell r="K1043">
            <v>-28</v>
          </cell>
          <cell r="L1043" t="str">
            <v>FALTA ENTREGA</v>
          </cell>
          <cell r="M1043" t="str">
            <v>-</v>
          </cell>
          <cell r="N1043" t="str">
            <v>OC'S METALFISA</v>
          </cell>
          <cell r="O1043" t="str">
            <v>-</v>
          </cell>
          <cell r="Q1043" t="str">
            <v>-</v>
          </cell>
          <cell r="S1043">
            <v>3</v>
          </cell>
          <cell r="T1043" t="str">
            <v>OC'S MAPHE</v>
          </cell>
          <cell r="U1043">
            <v>3</v>
          </cell>
          <cell r="V1043">
            <v>9</v>
          </cell>
          <cell r="W1043">
            <v>0</v>
          </cell>
          <cell r="X1043">
            <v>0</v>
          </cell>
          <cell r="Y1043">
            <v>0</v>
          </cell>
          <cell r="Z1043">
            <v>23</v>
          </cell>
          <cell r="AA1043">
            <v>32</v>
          </cell>
          <cell r="AB1043">
            <v>9</v>
          </cell>
          <cell r="AC1043">
            <v>0</v>
          </cell>
          <cell r="AD1043">
            <v>-32</v>
          </cell>
        </row>
        <row r="1044">
          <cell r="A1044" t="str">
            <v>33.12.10198.00</v>
          </cell>
          <cell r="B1044" t="str">
            <v>ACABAMENTO LATERAL ENTRADA SV / 33.12.10198.00</v>
          </cell>
          <cell r="D1044" t="str">
            <v>-</v>
          </cell>
          <cell r="E1044" t="str">
            <v>-</v>
          </cell>
          <cell r="F1044" t="str">
            <v>-</v>
          </cell>
          <cell r="G1044" t="str">
            <v>-</v>
          </cell>
          <cell r="H1044" t="str">
            <v>-</v>
          </cell>
          <cell r="I1044" t="str">
            <v>-</v>
          </cell>
          <cell r="J1044">
            <v>0</v>
          </cell>
          <cell r="K1044">
            <v>0</v>
          </cell>
          <cell r="L1044" t="str">
            <v>FALTA ENTREGA</v>
          </cell>
          <cell r="M1044" t="str">
            <v>-</v>
          </cell>
          <cell r="N1044" t="str">
            <v>OC'S METALFISA</v>
          </cell>
          <cell r="O1044" t="str">
            <v>-</v>
          </cell>
          <cell r="Q1044" t="str">
            <v>-</v>
          </cell>
          <cell r="S1044">
            <v>31</v>
          </cell>
          <cell r="T1044" t="str">
            <v>OC'S MAPHE</v>
          </cell>
          <cell r="U1044">
            <v>31</v>
          </cell>
          <cell r="V1044">
            <v>8</v>
          </cell>
          <cell r="W1044">
            <v>0</v>
          </cell>
          <cell r="X1044">
            <v>0</v>
          </cell>
          <cell r="Y1044">
            <v>0</v>
          </cell>
          <cell r="Z1044">
            <v>23</v>
          </cell>
          <cell r="AA1044">
            <v>31</v>
          </cell>
          <cell r="AB1044">
            <v>8</v>
          </cell>
          <cell r="AC1044">
            <v>0</v>
          </cell>
          <cell r="AD1044">
            <v>-31</v>
          </cell>
        </row>
        <row r="1045">
          <cell r="A1045" t="str">
            <v>33.12.10285.01</v>
          </cell>
          <cell r="B1045" t="str">
            <v>GARRA / 33.12.10285.01</v>
          </cell>
          <cell r="D1045" t="str">
            <v>-</v>
          </cell>
          <cell r="E1045" t="str">
            <v>-</v>
          </cell>
          <cell r="F1045" t="str">
            <v>-</v>
          </cell>
          <cell r="G1045" t="str">
            <v>-</v>
          </cell>
          <cell r="H1045" t="str">
            <v>-</v>
          </cell>
          <cell r="I1045" t="str">
            <v>-</v>
          </cell>
          <cell r="J1045">
            <v>0</v>
          </cell>
          <cell r="K1045">
            <v>1</v>
          </cell>
          <cell r="L1045" t="str">
            <v>ENTREGA TOTAL</v>
          </cell>
          <cell r="M1045" t="str">
            <v>-</v>
          </cell>
          <cell r="N1045" t="str">
            <v>OC'S METALFISA</v>
          </cell>
          <cell r="O1045" t="str">
            <v>-</v>
          </cell>
          <cell r="Q1045" t="str">
            <v>-</v>
          </cell>
          <cell r="S1045" t="str">
            <v>-</v>
          </cell>
          <cell r="U1045">
            <v>0</v>
          </cell>
          <cell r="V1045">
            <v>2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2</v>
          </cell>
          <cell r="AB1045">
            <v>0</v>
          </cell>
          <cell r="AC1045">
            <v>3</v>
          </cell>
          <cell r="AD1045">
            <v>1</v>
          </cell>
        </row>
        <row r="1046">
          <cell r="A1046" t="str">
            <v>33.12.10303.00</v>
          </cell>
          <cell r="B1046" t="str">
            <v>SUPORTE DOS LED'S A / 33.12.10303.00</v>
          </cell>
          <cell r="D1046" t="str">
            <v>-</v>
          </cell>
          <cell r="E1046" t="str">
            <v>-</v>
          </cell>
          <cell r="F1046" t="str">
            <v>-</v>
          </cell>
          <cell r="G1046" t="str">
            <v>-</v>
          </cell>
          <cell r="H1046" t="str">
            <v>-</v>
          </cell>
          <cell r="I1046" t="str">
            <v>-</v>
          </cell>
          <cell r="J1046">
            <v>0</v>
          </cell>
          <cell r="K1046">
            <v>-2</v>
          </cell>
          <cell r="L1046" t="str">
            <v>FALTA ENTREGA</v>
          </cell>
          <cell r="M1046" t="str">
            <v>-</v>
          </cell>
          <cell r="N1046" t="str">
            <v>OC'S METALFISA</v>
          </cell>
          <cell r="O1046" t="str">
            <v>-</v>
          </cell>
          <cell r="Q1046" t="str">
            <v>-</v>
          </cell>
          <cell r="S1046" t="str">
            <v>-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2</v>
          </cell>
          <cell r="AA1046">
            <v>2</v>
          </cell>
          <cell r="AB1046">
            <v>0</v>
          </cell>
          <cell r="AC1046">
            <v>0</v>
          </cell>
          <cell r="AD1046">
            <v>-2</v>
          </cell>
        </row>
        <row r="1047">
          <cell r="A1047" t="str">
            <v>33.12.10391.02</v>
          </cell>
          <cell r="B1047" t="str">
            <v>GUIA DA BALANCA / 33.12.10391.02</v>
          </cell>
          <cell r="D1047" t="str">
            <v>-</v>
          </cell>
          <cell r="E1047" t="str">
            <v>-</v>
          </cell>
          <cell r="F1047" t="str">
            <v>-</v>
          </cell>
          <cell r="G1047" t="str">
            <v>-</v>
          </cell>
          <cell r="H1047" t="str">
            <v>-</v>
          </cell>
          <cell r="I1047" t="str">
            <v>-</v>
          </cell>
          <cell r="J1047">
            <v>0</v>
          </cell>
          <cell r="K1047">
            <v>12</v>
          </cell>
          <cell r="L1047" t="str">
            <v>ENTREGA PARCIAL</v>
          </cell>
          <cell r="M1047" t="str">
            <v>-</v>
          </cell>
          <cell r="N1047" t="str">
            <v>OC'S METALFISA</v>
          </cell>
          <cell r="O1047">
            <v>13</v>
          </cell>
          <cell r="P1047" t="str">
            <v>OC'S GRANATO</v>
          </cell>
          <cell r="Q1047" t="str">
            <v>-</v>
          </cell>
          <cell r="S1047" t="str">
            <v>-</v>
          </cell>
          <cell r="U1047">
            <v>13</v>
          </cell>
          <cell r="V1047">
            <v>6</v>
          </cell>
          <cell r="W1047">
            <v>0</v>
          </cell>
          <cell r="X1047">
            <v>0</v>
          </cell>
          <cell r="Y1047">
            <v>0</v>
          </cell>
          <cell r="Z1047">
            <v>8</v>
          </cell>
          <cell r="AA1047">
            <v>14</v>
          </cell>
          <cell r="AB1047">
            <v>0</v>
          </cell>
          <cell r="AC1047">
            <v>13</v>
          </cell>
          <cell r="AD1047">
            <v>-1</v>
          </cell>
        </row>
        <row r="1048">
          <cell r="A1048" t="str">
            <v>33.12.10394.02</v>
          </cell>
          <cell r="B1048" t="str">
            <v>SUPORTE DA BALANCA / 33.12.10394.02</v>
          </cell>
          <cell r="C1048">
            <v>46072</v>
          </cell>
          <cell r="D1048" t="str">
            <v>-</v>
          </cell>
          <cell r="E1048" t="str">
            <v>-</v>
          </cell>
          <cell r="F1048" t="str">
            <v>-</v>
          </cell>
          <cell r="G1048" t="str">
            <v>-</v>
          </cell>
          <cell r="H1048" t="str">
            <v>-</v>
          </cell>
          <cell r="I1048" t="str">
            <v>-</v>
          </cell>
          <cell r="J1048">
            <v>0</v>
          </cell>
          <cell r="K1048">
            <v>15</v>
          </cell>
          <cell r="L1048" t="str">
            <v>ENTREGA TOTAL</v>
          </cell>
          <cell r="M1048" t="str">
            <v>-</v>
          </cell>
          <cell r="N1048" t="str">
            <v>OC'S METALFISA</v>
          </cell>
          <cell r="O1048">
            <v>13</v>
          </cell>
          <cell r="P1048" t="str">
            <v>OC'S GRANATO</v>
          </cell>
          <cell r="Q1048" t="str">
            <v>-</v>
          </cell>
          <cell r="S1048" t="str">
            <v>-</v>
          </cell>
          <cell r="U1048">
            <v>13</v>
          </cell>
          <cell r="V1048">
            <v>3</v>
          </cell>
          <cell r="W1048">
            <v>0</v>
          </cell>
          <cell r="X1048">
            <v>0</v>
          </cell>
          <cell r="Y1048">
            <v>0</v>
          </cell>
          <cell r="Z1048">
            <v>8</v>
          </cell>
          <cell r="AA1048">
            <v>11</v>
          </cell>
          <cell r="AB1048">
            <v>0</v>
          </cell>
          <cell r="AC1048">
            <v>13</v>
          </cell>
          <cell r="AD1048">
            <v>2</v>
          </cell>
        </row>
        <row r="1049">
          <cell r="A1049" t="str">
            <v>33.12.10397.00</v>
          </cell>
          <cell r="B1049" t="str">
            <v>TRAVA DA BALANCA - ESQUERDA / 33.12.10397.00</v>
          </cell>
          <cell r="D1049" t="str">
            <v>-</v>
          </cell>
          <cell r="E1049" t="str">
            <v>-</v>
          </cell>
          <cell r="F1049" t="str">
            <v>-</v>
          </cell>
          <cell r="G1049" t="str">
            <v>-</v>
          </cell>
          <cell r="H1049" t="str">
            <v>-</v>
          </cell>
          <cell r="I1049" t="str">
            <v>-</v>
          </cell>
          <cell r="J1049">
            <v>0</v>
          </cell>
          <cell r="K1049" t="e">
            <v>#VALUE!</v>
          </cell>
          <cell r="L1049" t="str">
            <v>ENTREGA TOTAL</v>
          </cell>
          <cell r="M1049" t="str">
            <v>-</v>
          </cell>
          <cell r="N1049" t="str">
            <v>OC'S METALFISA</v>
          </cell>
          <cell r="O1049">
            <v>1</v>
          </cell>
          <cell r="P1049" t="str">
            <v>OC'S GRANATO</v>
          </cell>
          <cell r="Q1049" t="str">
            <v>-</v>
          </cell>
          <cell r="S1049" t="str">
            <v>-</v>
          </cell>
          <cell r="U1049">
            <v>1</v>
          </cell>
          <cell r="V1049">
            <v>2</v>
          </cell>
          <cell r="W1049">
            <v>0</v>
          </cell>
          <cell r="X1049">
            <v>0</v>
          </cell>
          <cell r="Y1049">
            <v>0</v>
          </cell>
          <cell r="Z1049">
            <v>8</v>
          </cell>
          <cell r="AA1049">
            <v>10</v>
          </cell>
          <cell r="AB1049" t="str">
            <v>0</v>
          </cell>
          <cell r="AC1049" t="str">
            <v>-</v>
          </cell>
          <cell r="AD1049" t="str">
            <v>-</v>
          </cell>
        </row>
        <row r="1050">
          <cell r="A1050" t="str">
            <v>33.12.10398.00</v>
          </cell>
          <cell r="B1050" t="str">
            <v>TRAVA DA BALANCA - DIREITA / 33.12.10398.00</v>
          </cell>
          <cell r="D1050" t="str">
            <v>-</v>
          </cell>
          <cell r="E1050" t="str">
            <v>-</v>
          </cell>
          <cell r="F1050" t="str">
            <v>-</v>
          </cell>
          <cell r="G1050" t="str">
            <v>-</v>
          </cell>
          <cell r="H1050" t="str">
            <v>-</v>
          </cell>
          <cell r="I1050" t="str">
            <v>-</v>
          </cell>
          <cell r="J1050">
            <v>0</v>
          </cell>
          <cell r="K1050" t="e">
            <v>#VALUE!</v>
          </cell>
          <cell r="L1050" t="str">
            <v>ENTREGA TOTAL</v>
          </cell>
          <cell r="M1050">
            <v>1</v>
          </cell>
          <cell r="N1050" t="str">
            <v>OC'S METALFISA</v>
          </cell>
          <cell r="O1050">
            <v>1</v>
          </cell>
          <cell r="P1050" t="str">
            <v>OC'S GRANATO</v>
          </cell>
          <cell r="Q1050" t="str">
            <v>-</v>
          </cell>
          <cell r="S1050" t="str">
            <v>-</v>
          </cell>
          <cell r="U1050">
            <v>2</v>
          </cell>
          <cell r="V1050">
            <v>3</v>
          </cell>
          <cell r="W1050">
            <v>0</v>
          </cell>
          <cell r="X1050">
            <v>0</v>
          </cell>
          <cell r="Y1050">
            <v>0</v>
          </cell>
          <cell r="Z1050">
            <v>8</v>
          </cell>
          <cell r="AA1050">
            <v>11</v>
          </cell>
          <cell r="AB1050" t="str">
            <v>0</v>
          </cell>
          <cell r="AC1050" t="str">
            <v>-</v>
          </cell>
          <cell r="AD1050" t="str">
            <v>-</v>
          </cell>
        </row>
        <row r="1051">
          <cell r="A1051" t="str">
            <v>33.12.10410.00</v>
          </cell>
          <cell r="B1051" t="str">
            <v>SUPORTE DOS LED´S A / 33.12.10410.00</v>
          </cell>
          <cell r="D1051" t="str">
            <v>-</v>
          </cell>
          <cell r="E1051" t="str">
            <v>-</v>
          </cell>
          <cell r="F1051" t="str">
            <v>-</v>
          </cell>
          <cell r="G1051" t="str">
            <v>-</v>
          </cell>
          <cell r="H1051" t="str">
            <v>-</v>
          </cell>
          <cell r="I1051" t="str">
            <v>-</v>
          </cell>
          <cell r="J1051">
            <v>0</v>
          </cell>
          <cell r="K1051">
            <v>-3</v>
          </cell>
          <cell r="L1051" t="str">
            <v>FALTA ENTREGA</v>
          </cell>
          <cell r="M1051">
            <v>62</v>
          </cell>
          <cell r="N1051" t="str">
            <v>OC'S METALFISA</v>
          </cell>
          <cell r="O1051" t="str">
            <v>-</v>
          </cell>
          <cell r="Q1051" t="str">
            <v>-</v>
          </cell>
          <cell r="S1051" t="str">
            <v>-</v>
          </cell>
          <cell r="U1051">
            <v>62</v>
          </cell>
          <cell r="V1051">
            <v>17</v>
          </cell>
          <cell r="W1051">
            <v>0</v>
          </cell>
          <cell r="X1051">
            <v>0</v>
          </cell>
          <cell r="Y1051">
            <v>0</v>
          </cell>
          <cell r="Z1051">
            <v>48</v>
          </cell>
          <cell r="AA1051">
            <v>65</v>
          </cell>
          <cell r="AB1051">
            <v>17</v>
          </cell>
          <cell r="AC1051">
            <v>0</v>
          </cell>
          <cell r="AD1051">
            <v>-65</v>
          </cell>
        </row>
        <row r="1052">
          <cell r="A1052" t="str">
            <v>33.12.10411.00</v>
          </cell>
          <cell r="B1052" t="str">
            <v>SUPORTE DOS LED´S B / 33.12.10411.00</v>
          </cell>
          <cell r="D1052" t="str">
            <v>-</v>
          </cell>
          <cell r="E1052" t="str">
            <v>-</v>
          </cell>
          <cell r="F1052" t="str">
            <v>-</v>
          </cell>
          <cell r="G1052" t="str">
            <v>-</v>
          </cell>
          <cell r="H1052" t="str">
            <v>-</v>
          </cell>
          <cell r="I1052" t="str">
            <v>-</v>
          </cell>
          <cell r="J1052">
            <v>0</v>
          </cell>
          <cell r="K1052">
            <v>2</v>
          </cell>
          <cell r="L1052" t="str">
            <v>FALTA ENTREGA</v>
          </cell>
          <cell r="M1052">
            <v>62</v>
          </cell>
          <cell r="N1052" t="str">
            <v>OC'S METALFISA</v>
          </cell>
          <cell r="O1052" t="str">
            <v>-</v>
          </cell>
          <cell r="Q1052" t="str">
            <v>-</v>
          </cell>
          <cell r="S1052" t="str">
            <v>-</v>
          </cell>
          <cell r="U1052">
            <v>62</v>
          </cell>
          <cell r="V1052">
            <v>12</v>
          </cell>
          <cell r="W1052">
            <v>0</v>
          </cell>
          <cell r="X1052">
            <v>0</v>
          </cell>
          <cell r="Y1052">
            <v>0</v>
          </cell>
          <cell r="Z1052">
            <v>48</v>
          </cell>
          <cell r="AA1052">
            <v>60</v>
          </cell>
          <cell r="AB1052">
            <v>12</v>
          </cell>
          <cell r="AC1052">
            <v>0</v>
          </cell>
          <cell r="AD1052">
            <v>-60</v>
          </cell>
        </row>
        <row r="1053">
          <cell r="A1053" t="str">
            <v>33.12.10519.00</v>
          </cell>
          <cell r="B1053" t="str">
            <v>ACABAMENTO LATERAL ENTRADA DV / 33.12.10519.00</v>
          </cell>
          <cell r="D1053" t="str">
            <v>-</v>
          </cell>
          <cell r="E1053" t="str">
            <v>-</v>
          </cell>
          <cell r="F1053" t="str">
            <v>-</v>
          </cell>
          <cell r="G1053" t="str">
            <v>-</v>
          </cell>
          <cell r="H1053" t="str">
            <v>-</v>
          </cell>
          <cell r="I1053">
            <v>1</v>
          </cell>
          <cell r="J1053">
            <v>1</v>
          </cell>
          <cell r="K1053">
            <v>-27</v>
          </cell>
          <cell r="L1053" t="str">
            <v>FALTA ENTREGA</v>
          </cell>
          <cell r="M1053" t="str">
            <v>-</v>
          </cell>
          <cell r="N1053" t="str">
            <v>OC'S METALFISA</v>
          </cell>
          <cell r="O1053" t="str">
            <v>-</v>
          </cell>
          <cell r="Q1053" t="str">
            <v>-</v>
          </cell>
          <cell r="S1053">
            <v>4</v>
          </cell>
          <cell r="T1053" t="str">
            <v>OC'S MAPHE</v>
          </cell>
          <cell r="U1053">
            <v>4</v>
          </cell>
          <cell r="V1053">
            <v>9</v>
          </cell>
          <cell r="W1053">
            <v>0</v>
          </cell>
          <cell r="X1053">
            <v>0</v>
          </cell>
          <cell r="Y1053">
            <v>0</v>
          </cell>
          <cell r="Z1053">
            <v>23</v>
          </cell>
          <cell r="AA1053">
            <v>32</v>
          </cell>
          <cell r="AB1053">
            <v>9</v>
          </cell>
          <cell r="AC1053">
            <v>0</v>
          </cell>
          <cell r="AD1053">
            <v>-32</v>
          </cell>
        </row>
        <row r="1054">
          <cell r="A1054" t="str">
            <v>33.12.10520.05</v>
          </cell>
          <cell r="B1054" t="str">
            <v>CAIXA "C" DETECTORES VMIS / 33.12.10520.05</v>
          </cell>
          <cell r="D1054">
            <v>1</v>
          </cell>
          <cell r="E1054" t="str">
            <v>-</v>
          </cell>
          <cell r="F1054" t="str">
            <v>-</v>
          </cell>
          <cell r="G1054" t="str">
            <v>-</v>
          </cell>
          <cell r="H1054" t="str">
            <v>-</v>
          </cell>
          <cell r="I1054" t="str">
            <v>-</v>
          </cell>
          <cell r="J1054">
            <v>0</v>
          </cell>
          <cell r="K1054" t="e">
            <v>#VALUE!</v>
          </cell>
          <cell r="L1054" t="str">
            <v>ENTREGA TOTAL</v>
          </cell>
          <cell r="M1054" t="str">
            <v>-</v>
          </cell>
          <cell r="N1054" t="str">
            <v>OC'S METALFISA</v>
          </cell>
          <cell r="O1054" t="str">
            <v>-</v>
          </cell>
          <cell r="Q1054" t="str">
            <v>-</v>
          </cell>
          <cell r="S1054">
            <v>8</v>
          </cell>
          <cell r="T1054" t="str">
            <v>OC'S MAPHE</v>
          </cell>
          <cell r="U1054">
            <v>8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9</v>
          </cell>
          <cell r="AA1054">
            <v>9</v>
          </cell>
          <cell r="AB1054" t="str">
            <v>0</v>
          </cell>
          <cell r="AC1054" t="str">
            <v>-</v>
          </cell>
          <cell r="AD1054" t="str">
            <v>-</v>
          </cell>
        </row>
        <row r="1055">
          <cell r="A1055" t="str">
            <v>33.12.10537.00</v>
          </cell>
          <cell r="B1055" t="str">
            <v>SUPORTE PLACA / 33.12.10537.00</v>
          </cell>
          <cell r="C1055">
            <v>46066</v>
          </cell>
          <cell r="D1055" t="str">
            <v>-</v>
          </cell>
          <cell r="E1055" t="str">
            <v>-</v>
          </cell>
          <cell r="F1055" t="str">
            <v>-</v>
          </cell>
          <cell r="G1055" t="str">
            <v>-</v>
          </cell>
          <cell r="H1055" t="str">
            <v>-</v>
          </cell>
          <cell r="I1055" t="str">
            <v>-</v>
          </cell>
          <cell r="J1055">
            <v>0</v>
          </cell>
          <cell r="K1055">
            <v>437</v>
          </cell>
          <cell r="L1055" t="str">
            <v>ENTREGA PARCIAL</v>
          </cell>
          <cell r="M1055">
            <v>1452</v>
          </cell>
          <cell r="N1055" t="str">
            <v>OC'S METALFISA</v>
          </cell>
          <cell r="O1055" t="str">
            <v>-</v>
          </cell>
          <cell r="Q1055" t="str">
            <v>-</v>
          </cell>
          <cell r="S1055" t="str">
            <v>-</v>
          </cell>
          <cell r="U1055">
            <v>1452</v>
          </cell>
          <cell r="V1055">
            <v>430</v>
          </cell>
          <cell r="W1055">
            <v>44</v>
          </cell>
          <cell r="X1055">
            <v>0</v>
          </cell>
          <cell r="Y1055">
            <v>0</v>
          </cell>
          <cell r="Z1055">
            <v>1276</v>
          </cell>
          <cell r="AA1055">
            <v>1750</v>
          </cell>
          <cell r="AB1055">
            <v>0</v>
          </cell>
          <cell r="AC1055">
            <v>735</v>
          </cell>
          <cell r="AD1055">
            <v>-1015</v>
          </cell>
        </row>
        <row r="1056">
          <cell r="A1056" t="str">
            <v>33.12.10542.00</v>
          </cell>
          <cell r="B1056" t="str">
            <v>PORTA  CAIXA "C" / 33.12.10542.00</v>
          </cell>
          <cell r="C1056">
            <v>46066</v>
          </cell>
          <cell r="D1056" t="str">
            <v>-</v>
          </cell>
          <cell r="E1056" t="str">
            <v>-</v>
          </cell>
          <cell r="F1056" t="str">
            <v>-</v>
          </cell>
          <cell r="G1056" t="str">
            <v>-</v>
          </cell>
          <cell r="H1056" t="str">
            <v>-</v>
          </cell>
          <cell r="I1056" t="str">
            <v>-</v>
          </cell>
          <cell r="J1056">
            <v>0</v>
          </cell>
          <cell r="K1056">
            <v>33</v>
          </cell>
          <cell r="L1056" t="str">
            <v>ENTREGA TOTAL</v>
          </cell>
          <cell r="M1056">
            <v>33</v>
          </cell>
          <cell r="N1056" t="str">
            <v>OC'S METALFISA</v>
          </cell>
          <cell r="O1056" t="str">
            <v>-</v>
          </cell>
          <cell r="Q1056" t="str">
            <v>-</v>
          </cell>
          <cell r="S1056" t="str">
            <v>-</v>
          </cell>
          <cell r="U1056">
            <v>33</v>
          </cell>
          <cell r="V1056">
            <v>3</v>
          </cell>
          <cell r="W1056">
            <v>1</v>
          </cell>
          <cell r="X1056">
            <v>0</v>
          </cell>
          <cell r="Y1056">
            <v>0</v>
          </cell>
          <cell r="Z1056">
            <v>29</v>
          </cell>
          <cell r="AA1056">
            <v>33</v>
          </cell>
          <cell r="AB1056">
            <v>0</v>
          </cell>
          <cell r="AC1056">
            <v>33</v>
          </cell>
          <cell r="AD1056">
            <v>0</v>
          </cell>
        </row>
        <row r="1057">
          <cell r="A1057" t="str">
            <v>33.12.10545.03</v>
          </cell>
          <cell r="B1057" t="str">
            <v>SUPORTE PLACA / 33.12.10545.03</v>
          </cell>
          <cell r="C1057">
            <v>46074</v>
          </cell>
          <cell r="D1057" t="str">
            <v>-</v>
          </cell>
          <cell r="E1057" t="str">
            <v>-</v>
          </cell>
          <cell r="F1057" t="str">
            <v>-</v>
          </cell>
          <cell r="G1057" t="str">
            <v>-</v>
          </cell>
          <cell r="H1057" t="str">
            <v>-</v>
          </cell>
          <cell r="I1057" t="str">
            <v>-</v>
          </cell>
          <cell r="J1057">
            <v>0</v>
          </cell>
          <cell r="K1057">
            <v>1221</v>
          </cell>
          <cell r="L1057" t="str">
            <v>ENTREGA TOTAL</v>
          </cell>
          <cell r="M1057">
            <v>726</v>
          </cell>
          <cell r="N1057" t="str">
            <v>OC'S METALFISA</v>
          </cell>
          <cell r="O1057" t="str">
            <v>-</v>
          </cell>
          <cell r="Q1057" t="str">
            <v>-</v>
          </cell>
          <cell r="S1057" t="str">
            <v>-</v>
          </cell>
          <cell r="U1057">
            <v>726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150</v>
          </cell>
          <cell r="AA1057">
            <v>150</v>
          </cell>
          <cell r="AB1057">
            <v>0</v>
          </cell>
          <cell r="AC1057">
            <v>645</v>
          </cell>
          <cell r="AD1057">
            <v>495</v>
          </cell>
        </row>
        <row r="1058">
          <cell r="A1058" t="str">
            <v>33.12.10548.01</v>
          </cell>
          <cell r="B1058" t="str">
            <v>SUPORTE S_CARD / 33.12.10548.01</v>
          </cell>
          <cell r="D1058" t="str">
            <v>-</v>
          </cell>
          <cell r="E1058" t="str">
            <v>-</v>
          </cell>
          <cell r="F1058" t="str">
            <v>-</v>
          </cell>
          <cell r="G1058" t="str">
            <v>-</v>
          </cell>
          <cell r="H1058" t="str">
            <v>-</v>
          </cell>
          <cell r="I1058" t="str">
            <v>-</v>
          </cell>
          <cell r="J1058">
            <v>0</v>
          </cell>
          <cell r="K1058">
            <v>101</v>
          </cell>
          <cell r="L1058" t="str">
            <v>FALTA ENTREGA</v>
          </cell>
          <cell r="M1058">
            <v>110</v>
          </cell>
          <cell r="N1058" t="str">
            <v>OC'S METALFISA</v>
          </cell>
          <cell r="O1058" t="str">
            <v>-</v>
          </cell>
          <cell r="Q1058">
            <v>15</v>
          </cell>
          <cell r="S1058" t="str">
            <v>-</v>
          </cell>
          <cell r="U1058">
            <v>125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24</v>
          </cell>
          <cell r="AA1058">
            <v>24</v>
          </cell>
          <cell r="AB1058">
            <v>0</v>
          </cell>
          <cell r="AC1058">
            <v>0</v>
          </cell>
          <cell r="AD1058">
            <v>-24</v>
          </cell>
        </row>
        <row r="1059">
          <cell r="A1059" t="str">
            <v>33.12.10550.01</v>
          </cell>
          <cell r="B1059" t="str">
            <v>SOLDA CAIXA DETECTORA DV / 33.12.10550.01</v>
          </cell>
          <cell r="D1059" t="str">
            <v>-</v>
          </cell>
          <cell r="E1059" t="str">
            <v>-</v>
          </cell>
          <cell r="F1059" t="str">
            <v>-</v>
          </cell>
          <cell r="G1059" t="str">
            <v>-</v>
          </cell>
          <cell r="H1059" t="str">
            <v>-</v>
          </cell>
          <cell r="I1059" t="str">
            <v>-</v>
          </cell>
          <cell r="J1059">
            <v>0</v>
          </cell>
          <cell r="K1059">
            <v>0</v>
          </cell>
          <cell r="L1059" t="str">
            <v>FALTA ENTREGA</v>
          </cell>
          <cell r="M1059">
            <v>1</v>
          </cell>
          <cell r="N1059" t="str">
            <v>OC'S METALFISA</v>
          </cell>
          <cell r="O1059" t="str">
            <v>-</v>
          </cell>
          <cell r="Q1059" t="str">
            <v>-</v>
          </cell>
          <cell r="S1059" t="str">
            <v>-</v>
          </cell>
          <cell r="U1059">
            <v>1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1</v>
          </cell>
          <cell r="AA1059">
            <v>1</v>
          </cell>
          <cell r="AB1059">
            <v>0</v>
          </cell>
          <cell r="AC1059">
            <v>0</v>
          </cell>
          <cell r="AD1059">
            <v>-1</v>
          </cell>
        </row>
        <row r="1060">
          <cell r="A1060" t="str">
            <v>33.12.10556.00</v>
          </cell>
          <cell r="B1060" t="str">
            <v>CAIXA S-DAQ / 33.12.10556.00</v>
          </cell>
          <cell r="D1060" t="str">
            <v>-</v>
          </cell>
          <cell r="E1060" t="str">
            <v>-</v>
          </cell>
          <cell r="F1060" t="str">
            <v>-</v>
          </cell>
          <cell r="G1060" t="str">
            <v>-</v>
          </cell>
          <cell r="H1060" t="str">
            <v>-</v>
          </cell>
          <cell r="I1060" t="str">
            <v>-</v>
          </cell>
          <cell r="J1060">
            <v>0</v>
          </cell>
          <cell r="K1060">
            <v>-4</v>
          </cell>
          <cell r="L1060" t="str">
            <v>FALTA ENTREGA</v>
          </cell>
          <cell r="M1060" t="str">
            <v>-</v>
          </cell>
          <cell r="N1060" t="str">
            <v>OC'S METALFISA</v>
          </cell>
          <cell r="O1060" t="str">
            <v>-</v>
          </cell>
          <cell r="Q1060" t="str">
            <v>-</v>
          </cell>
          <cell r="S1060" t="str">
            <v>-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4</v>
          </cell>
          <cell r="AA1060">
            <v>4</v>
          </cell>
          <cell r="AB1060">
            <v>0</v>
          </cell>
          <cell r="AC1060">
            <v>0</v>
          </cell>
          <cell r="AD1060">
            <v>-4</v>
          </cell>
        </row>
        <row r="1061">
          <cell r="A1061" t="str">
            <v>33.12.10574.01</v>
          </cell>
          <cell r="B1061" t="str">
            <v>CHAPA PIVOTANTE / 33.12.10574.01</v>
          </cell>
          <cell r="D1061" t="str">
            <v>-</v>
          </cell>
          <cell r="E1061" t="str">
            <v>-</v>
          </cell>
          <cell r="F1061" t="str">
            <v>-</v>
          </cell>
          <cell r="G1061" t="str">
            <v>-</v>
          </cell>
          <cell r="H1061" t="str">
            <v>-</v>
          </cell>
          <cell r="I1061" t="str">
            <v>-</v>
          </cell>
          <cell r="J1061">
            <v>0</v>
          </cell>
          <cell r="K1061">
            <v>1</v>
          </cell>
          <cell r="L1061" t="str">
            <v>ENTREGA PARCIAL</v>
          </cell>
          <cell r="M1061">
            <v>20</v>
          </cell>
          <cell r="N1061" t="str">
            <v>OC'S METALFISA</v>
          </cell>
          <cell r="O1061" t="str">
            <v>-</v>
          </cell>
          <cell r="Q1061" t="str">
            <v>-</v>
          </cell>
          <cell r="S1061" t="str">
            <v>-</v>
          </cell>
          <cell r="U1061">
            <v>20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20</v>
          </cell>
          <cell r="AA1061">
            <v>20</v>
          </cell>
          <cell r="AB1061">
            <v>0</v>
          </cell>
          <cell r="AC1061">
            <v>1</v>
          </cell>
          <cell r="AD1061">
            <v>-19</v>
          </cell>
        </row>
        <row r="1062">
          <cell r="A1062" t="str">
            <v>33.12.10578.01</v>
          </cell>
          <cell r="B1062" t="str">
            <v>SUPORTE PARA FIXACAO DO ACABAMENTO A / 33.12.10578.01</v>
          </cell>
          <cell r="D1062" t="str">
            <v>-</v>
          </cell>
          <cell r="E1062" t="str">
            <v>-</v>
          </cell>
          <cell r="F1062" t="str">
            <v>-</v>
          </cell>
          <cell r="G1062" t="str">
            <v>-</v>
          </cell>
          <cell r="H1062" t="str">
            <v>-</v>
          </cell>
          <cell r="I1062" t="str">
            <v>-</v>
          </cell>
          <cell r="J1062">
            <v>0</v>
          </cell>
          <cell r="K1062">
            <v>21</v>
          </cell>
          <cell r="L1062" t="str">
            <v>FALTA ENTREGA</v>
          </cell>
          <cell r="M1062" t="str">
            <v>-</v>
          </cell>
          <cell r="N1062" t="str">
            <v>OC'S METALFISA</v>
          </cell>
          <cell r="O1062" t="str">
            <v>-</v>
          </cell>
          <cell r="Q1062">
            <v>25</v>
          </cell>
          <cell r="S1062" t="str">
            <v>-</v>
          </cell>
          <cell r="U1062">
            <v>25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4</v>
          </cell>
          <cell r="AA1062">
            <v>4</v>
          </cell>
          <cell r="AB1062">
            <v>0</v>
          </cell>
          <cell r="AC1062">
            <v>0</v>
          </cell>
          <cell r="AD1062">
            <v>-4</v>
          </cell>
        </row>
        <row r="1063">
          <cell r="A1063" t="str">
            <v>33.12.10580.00</v>
          </cell>
          <cell r="B1063" t="str">
            <v>SUPORTE PARA FIXACAO DO ACABAMENTO B / 33.12.10580.00</v>
          </cell>
          <cell r="D1063" t="str">
            <v>-</v>
          </cell>
          <cell r="E1063" t="str">
            <v>-</v>
          </cell>
          <cell r="F1063" t="str">
            <v>-</v>
          </cell>
          <cell r="G1063" t="str">
            <v>-</v>
          </cell>
          <cell r="H1063" t="str">
            <v>-</v>
          </cell>
          <cell r="I1063" t="str">
            <v>-</v>
          </cell>
          <cell r="J1063">
            <v>0</v>
          </cell>
          <cell r="K1063">
            <v>-7</v>
          </cell>
          <cell r="L1063" t="str">
            <v>FALTA ENTREGA</v>
          </cell>
          <cell r="M1063" t="str">
            <v>-</v>
          </cell>
          <cell r="N1063" t="str">
            <v>OC'S METALFISA</v>
          </cell>
          <cell r="O1063" t="str">
            <v>-</v>
          </cell>
          <cell r="Q1063" t="str">
            <v>-</v>
          </cell>
          <cell r="S1063" t="str">
            <v>-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7</v>
          </cell>
          <cell r="AA1063">
            <v>7</v>
          </cell>
          <cell r="AB1063">
            <v>0</v>
          </cell>
          <cell r="AC1063">
            <v>0</v>
          </cell>
          <cell r="AD1063">
            <v>-7</v>
          </cell>
        </row>
        <row r="1064">
          <cell r="A1064" t="str">
            <v>33.12.10582.01</v>
          </cell>
          <cell r="B1064" t="str">
            <v>SUPORTE PARA FIXACAO DO ACABAMENTO C / 33.12.10582.01</v>
          </cell>
          <cell r="D1064" t="str">
            <v>-</v>
          </cell>
          <cell r="E1064" t="str">
            <v>-</v>
          </cell>
          <cell r="F1064" t="str">
            <v>-</v>
          </cell>
          <cell r="G1064" t="str">
            <v>-</v>
          </cell>
          <cell r="H1064" t="str">
            <v>-</v>
          </cell>
          <cell r="I1064" t="str">
            <v>-</v>
          </cell>
          <cell r="J1064">
            <v>0</v>
          </cell>
          <cell r="K1064">
            <v>17</v>
          </cell>
          <cell r="L1064" t="str">
            <v>FALTA ENTREGA</v>
          </cell>
          <cell r="M1064" t="str">
            <v>-</v>
          </cell>
          <cell r="N1064" t="str">
            <v>OC'S METALFISA</v>
          </cell>
          <cell r="O1064" t="str">
            <v>-</v>
          </cell>
          <cell r="Q1064">
            <v>20</v>
          </cell>
          <cell r="S1064" t="str">
            <v>-</v>
          </cell>
          <cell r="U1064">
            <v>20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3</v>
          </cell>
          <cell r="AA1064">
            <v>3</v>
          </cell>
          <cell r="AB1064">
            <v>0</v>
          </cell>
          <cell r="AC1064">
            <v>0</v>
          </cell>
          <cell r="AD1064">
            <v>-3</v>
          </cell>
        </row>
        <row r="1065">
          <cell r="A1065" t="str">
            <v>33.12.10584.00</v>
          </cell>
          <cell r="B1065" t="str">
            <v>SUPORTE PARA FIXACAO DO ACABAMENTO D / 33.12.10584.00</v>
          </cell>
          <cell r="D1065" t="str">
            <v>-</v>
          </cell>
          <cell r="E1065" t="str">
            <v>-</v>
          </cell>
          <cell r="F1065" t="str">
            <v>-</v>
          </cell>
          <cell r="G1065" t="str">
            <v>-</v>
          </cell>
          <cell r="H1065" t="str">
            <v>-</v>
          </cell>
          <cell r="I1065" t="str">
            <v>-</v>
          </cell>
          <cell r="J1065">
            <v>0</v>
          </cell>
          <cell r="K1065">
            <v>19</v>
          </cell>
          <cell r="L1065" t="str">
            <v>FALTA ENTREGA</v>
          </cell>
          <cell r="M1065">
            <v>1</v>
          </cell>
          <cell r="N1065" t="str">
            <v>OC'S METALFISA</v>
          </cell>
          <cell r="O1065" t="str">
            <v>-</v>
          </cell>
          <cell r="Q1065">
            <v>19</v>
          </cell>
          <cell r="S1065" t="str">
            <v>-</v>
          </cell>
          <cell r="U1065">
            <v>20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1</v>
          </cell>
          <cell r="AA1065">
            <v>1</v>
          </cell>
          <cell r="AB1065">
            <v>0</v>
          </cell>
          <cell r="AC1065">
            <v>0</v>
          </cell>
          <cell r="AD1065">
            <v>-1</v>
          </cell>
        </row>
        <row r="1066">
          <cell r="A1066" t="str">
            <v>33.12.10590.01</v>
          </cell>
          <cell r="B1066" t="str">
            <v>CORPO DA ESTEIRA - LADO DO ROLETE LIVRE / 33.12.10590.01</v>
          </cell>
          <cell r="C1066">
            <v>46066</v>
          </cell>
          <cell r="D1066" t="str">
            <v>-</v>
          </cell>
          <cell r="E1066" t="str">
            <v>-</v>
          </cell>
          <cell r="F1066" t="str">
            <v>-</v>
          </cell>
          <cell r="G1066" t="str">
            <v>-</v>
          </cell>
          <cell r="H1066" t="str">
            <v>-</v>
          </cell>
          <cell r="I1066" t="str">
            <v>-</v>
          </cell>
          <cell r="J1066">
            <v>0</v>
          </cell>
          <cell r="K1066">
            <v>17</v>
          </cell>
          <cell r="L1066" t="str">
            <v>ENTREGA PARCIAL</v>
          </cell>
          <cell r="M1066">
            <v>23</v>
          </cell>
          <cell r="N1066" t="str">
            <v>OC'S METALFISA</v>
          </cell>
          <cell r="O1066" t="str">
            <v>-</v>
          </cell>
          <cell r="Q1066" t="str">
            <v>-</v>
          </cell>
          <cell r="S1066" t="str">
            <v>-</v>
          </cell>
          <cell r="U1066">
            <v>23</v>
          </cell>
          <cell r="V1066">
            <v>5</v>
          </cell>
          <cell r="W1066">
            <v>0</v>
          </cell>
          <cell r="X1066">
            <v>0</v>
          </cell>
          <cell r="Y1066">
            <v>0</v>
          </cell>
          <cell r="Z1066">
            <v>29</v>
          </cell>
          <cell r="AA1066">
            <v>34</v>
          </cell>
          <cell r="AB1066">
            <v>0</v>
          </cell>
          <cell r="AC1066">
            <v>28</v>
          </cell>
          <cell r="AD1066">
            <v>-6</v>
          </cell>
        </row>
        <row r="1067">
          <cell r="A1067" t="str">
            <v>33.12.10591.01</v>
          </cell>
          <cell r="B1067" t="str">
            <v>CORPO DA ESTEIRA - CENTRAL / 33.12.10591.01</v>
          </cell>
          <cell r="D1067" t="str">
            <v>-</v>
          </cell>
          <cell r="E1067" t="str">
            <v>-</v>
          </cell>
          <cell r="F1067" t="str">
            <v>-</v>
          </cell>
          <cell r="G1067" t="str">
            <v>-</v>
          </cell>
          <cell r="H1067" t="str">
            <v>-</v>
          </cell>
          <cell r="I1067" t="str">
            <v>-</v>
          </cell>
          <cell r="J1067">
            <v>0</v>
          </cell>
          <cell r="K1067">
            <v>30</v>
          </cell>
          <cell r="L1067" t="str">
            <v>ENTREGA PARCIAL</v>
          </cell>
          <cell r="M1067">
            <v>33</v>
          </cell>
          <cell r="N1067" t="str">
            <v>OC'S METALFISA</v>
          </cell>
          <cell r="O1067" t="str">
            <v>-</v>
          </cell>
          <cell r="Q1067" t="str">
            <v>-</v>
          </cell>
          <cell r="S1067" t="str">
            <v>-</v>
          </cell>
          <cell r="U1067">
            <v>33</v>
          </cell>
          <cell r="V1067">
            <v>4</v>
          </cell>
          <cell r="W1067">
            <v>0</v>
          </cell>
          <cell r="X1067">
            <v>0</v>
          </cell>
          <cell r="Y1067">
            <v>0</v>
          </cell>
          <cell r="Z1067">
            <v>29</v>
          </cell>
          <cell r="AA1067">
            <v>33</v>
          </cell>
          <cell r="AB1067">
            <v>0</v>
          </cell>
          <cell r="AC1067">
            <v>30</v>
          </cell>
          <cell r="AD1067">
            <v>-3</v>
          </cell>
        </row>
        <row r="1068">
          <cell r="A1068" t="str">
            <v>33.12.10592.01</v>
          </cell>
          <cell r="B1068" t="str">
            <v>CORPO DA ESTEIRA - LADO DA MOTOPOLIA / 33.12.10592.01</v>
          </cell>
          <cell r="C1068">
            <v>46066</v>
          </cell>
          <cell r="D1068" t="str">
            <v>-</v>
          </cell>
          <cell r="E1068" t="str">
            <v>-</v>
          </cell>
          <cell r="F1068" t="str">
            <v>-</v>
          </cell>
          <cell r="G1068" t="str">
            <v>-</v>
          </cell>
          <cell r="H1068" t="str">
            <v>-</v>
          </cell>
          <cell r="I1068" t="str">
            <v>-</v>
          </cell>
          <cell r="J1068">
            <v>0</v>
          </cell>
          <cell r="K1068">
            <v>25</v>
          </cell>
          <cell r="L1068" t="str">
            <v>ENTREGA PARCIAL</v>
          </cell>
          <cell r="M1068">
            <v>33</v>
          </cell>
          <cell r="N1068" t="str">
            <v>OC'S METALFISA</v>
          </cell>
          <cell r="O1068" t="str">
            <v>-</v>
          </cell>
          <cell r="Q1068" t="str">
            <v>-</v>
          </cell>
          <cell r="S1068" t="str">
            <v>-</v>
          </cell>
          <cell r="U1068">
            <v>33</v>
          </cell>
          <cell r="V1068">
            <v>6</v>
          </cell>
          <cell r="W1068">
            <v>0</v>
          </cell>
          <cell r="X1068">
            <v>0</v>
          </cell>
          <cell r="Y1068">
            <v>0</v>
          </cell>
          <cell r="Z1068">
            <v>29</v>
          </cell>
          <cell r="AA1068">
            <v>35</v>
          </cell>
          <cell r="AB1068">
            <v>0</v>
          </cell>
          <cell r="AC1068">
            <v>27</v>
          </cell>
          <cell r="AD1068">
            <v>-8</v>
          </cell>
        </row>
        <row r="1069">
          <cell r="A1069" t="str">
            <v>33.12.10594.00</v>
          </cell>
          <cell r="B1069" t="str">
            <v>SUPORTE DOS LED'S B / 33.12.10594.00</v>
          </cell>
          <cell r="D1069" t="str">
            <v>-</v>
          </cell>
          <cell r="E1069" t="str">
            <v>-</v>
          </cell>
          <cell r="F1069" t="str">
            <v>-</v>
          </cell>
          <cell r="G1069" t="str">
            <v>-</v>
          </cell>
          <cell r="H1069" t="str">
            <v>-</v>
          </cell>
          <cell r="I1069" t="str">
            <v>-</v>
          </cell>
          <cell r="J1069">
            <v>0</v>
          </cell>
          <cell r="K1069">
            <v>-2</v>
          </cell>
          <cell r="L1069" t="str">
            <v>FALTA ENTREGA</v>
          </cell>
          <cell r="M1069" t="str">
            <v>-</v>
          </cell>
          <cell r="N1069" t="str">
            <v>OC'S METALFISA</v>
          </cell>
          <cell r="O1069" t="str">
            <v>-</v>
          </cell>
          <cell r="Q1069" t="str">
            <v>-</v>
          </cell>
          <cell r="S1069" t="str">
            <v>-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2</v>
          </cell>
          <cell r="AA1069">
            <v>2</v>
          </cell>
          <cell r="AB1069">
            <v>0</v>
          </cell>
          <cell r="AC1069">
            <v>0</v>
          </cell>
          <cell r="AD1069">
            <v>-2</v>
          </cell>
        </row>
        <row r="1070">
          <cell r="A1070" t="str">
            <v>33.12.10595.00</v>
          </cell>
          <cell r="B1070" t="str">
            <v>PROTECAO DO SENSOR/ 33.12.10595.00</v>
          </cell>
          <cell r="C1070">
            <v>46063</v>
          </cell>
          <cell r="D1070" t="str">
            <v>-</v>
          </cell>
          <cell r="E1070" t="str">
            <v>-</v>
          </cell>
          <cell r="F1070" t="str">
            <v>-</v>
          </cell>
          <cell r="G1070" t="str">
            <v>-</v>
          </cell>
          <cell r="H1070" t="str">
            <v>-</v>
          </cell>
          <cell r="I1070" t="str">
            <v>-</v>
          </cell>
          <cell r="J1070">
            <v>0</v>
          </cell>
          <cell r="K1070">
            <v>247</v>
          </cell>
          <cell r="L1070" t="str">
            <v>ENTREGA PARCIAL</v>
          </cell>
          <cell r="M1070">
            <v>264</v>
          </cell>
          <cell r="N1070" t="str">
            <v>OC'S METALFISA</v>
          </cell>
          <cell r="O1070">
            <v>1</v>
          </cell>
          <cell r="P1070" t="str">
            <v>OC'S GRANATO</v>
          </cell>
          <cell r="Q1070" t="str">
            <v>-</v>
          </cell>
          <cell r="S1070" t="str">
            <v>-</v>
          </cell>
          <cell r="U1070">
            <v>265</v>
          </cell>
          <cell r="V1070">
            <v>44</v>
          </cell>
          <cell r="W1070">
            <v>0</v>
          </cell>
          <cell r="X1070">
            <v>0</v>
          </cell>
          <cell r="Y1070">
            <v>0</v>
          </cell>
          <cell r="Z1070">
            <v>232</v>
          </cell>
          <cell r="AA1070">
            <v>276</v>
          </cell>
          <cell r="AB1070">
            <v>0</v>
          </cell>
          <cell r="AC1070">
            <v>258</v>
          </cell>
          <cell r="AD1070">
            <v>-18</v>
          </cell>
        </row>
        <row r="1071">
          <cell r="A1071" t="str">
            <v>33.12.10598.00</v>
          </cell>
          <cell r="B1071" t="str">
            <v>ACABAMENTO DA ESTEIRA 01/ 33.12.10598.00</v>
          </cell>
          <cell r="C1071">
            <v>46072</v>
          </cell>
          <cell r="D1071" t="str">
            <v>-</v>
          </cell>
          <cell r="E1071" t="str">
            <v>-</v>
          </cell>
          <cell r="F1071">
            <v>1</v>
          </cell>
          <cell r="G1071" t="str">
            <v>-</v>
          </cell>
          <cell r="H1071" t="str">
            <v>-</v>
          </cell>
          <cell r="I1071" t="str">
            <v>-</v>
          </cell>
          <cell r="J1071">
            <v>1</v>
          </cell>
          <cell r="K1071">
            <v>1</v>
          </cell>
          <cell r="L1071" t="str">
            <v>ENTREGA TOTAL</v>
          </cell>
          <cell r="M1071" t="str">
            <v>-</v>
          </cell>
          <cell r="N1071" t="str">
            <v>OC'S METALFISA</v>
          </cell>
          <cell r="O1071" t="str">
            <v>-</v>
          </cell>
          <cell r="Q1071" t="str">
            <v>-</v>
          </cell>
          <cell r="S1071" t="str">
            <v>-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2</v>
          </cell>
          <cell r="AA1071">
            <v>2</v>
          </cell>
          <cell r="AB1071">
            <v>0</v>
          </cell>
          <cell r="AC1071">
            <v>2</v>
          </cell>
          <cell r="AD1071">
            <v>0</v>
          </cell>
        </row>
        <row r="1072">
          <cell r="A1072" t="str">
            <v>33.12.10601.00</v>
          </cell>
          <cell r="B1072" t="str">
            <v>ACABAMENTO ESTEIRA 02/ 33.12.10601.00</v>
          </cell>
          <cell r="D1072" t="str">
            <v>-</v>
          </cell>
          <cell r="E1072" t="str">
            <v>-</v>
          </cell>
          <cell r="F1072" t="str">
            <v>-</v>
          </cell>
          <cell r="G1072" t="str">
            <v>-</v>
          </cell>
          <cell r="H1072" t="str">
            <v>-</v>
          </cell>
          <cell r="I1072">
            <v>2</v>
          </cell>
          <cell r="J1072">
            <v>2</v>
          </cell>
          <cell r="K1072">
            <v>0</v>
          </cell>
          <cell r="L1072" t="str">
            <v>FALTA ENTREGA</v>
          </cell>
          <cell r="M1072" t="str">
            <v>-</v>
          </cell>
          <cell r="N1072" t="str">
            <v>OC'S METALFISA</v>
          </cell>
          <cell r="O1072" t="str">
            <v>-</v>
          </cell>
          <cell r="Q1072" t="str">
            <v>-</v>
          </cell>
          <cell r="S1072" t="str">
            <v>-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2</v>
          </cell>
          <cell r="AA1072">
            <v>2</v>
          </cell>
          <cell r="AB1072">
            <v>0</v>
          </cell>
          <cell r="AC1072">
            <v>0</v>
          </cell>
          <cell r="AD1072">
            <v>-2</v>
          </cell>
        </row>
        <row r="1073">
          <cell r="A1073" t="str">
            <v>33.12.10604.00</v>
          </cell>
          <cell r="B1073" t="str">
            <v>ACABAMENTO DA ESTEIRA 03/ 33.12.10604.00</v>
          </cell>
          <cell r="D1073" t="str">
            <v>-</v>
          </cell>
          <cell r="E1073" t="str">
            <v>-</v>
          </cell>
          <cell r="F1073" t="str">
            <v>-</v>
          </cell>
          <cell r="G1073" t="str">
            <v>-</v>
          </cell>
          <cell r="H1073" t="str">
            <v>-</v>
          </cell>
          <cell r="I1073" t="str">
            <v>-</v>
          </cell>
          <cell r="J1073">
            <v>0</v>
          </cell>
          <cell r="K1073">
            <v>0</v>
          </cell>
          <cell r="L1073" t="str">
            <v>FALTA ENTREGA</v>
          </cell>
          <cell r="M1073">
            <v>33</v>
          </cell>
          <cell r="N1073" t="str">
            <v>OC'S METALFISA</v>
          </cell>
          <cell r="O1073" t="str">
            <v>-</v>
          </cell>
          <cell r="Q1073" t="str">
            <v>-</v>
          </cell>
          <cell r="S1073" t="str">
            <v>-</v>
          </cell>
          <cell r="U1073">
            <v>33</v>
          </cell>
          <cell r="V1073">
            <v>4</v>
          </cell>
          <cell r="W1073">
            <v>0</v>
          </cell>
          <cell r="X1073">
            <v>0</v>
          </cell>
          <cell r="Y1073">
            <v>0</v>
          </cell>
          <cell r="Z1073">
            <v>29</v>
          </cell>
          <cell r="AA1073">
            <v>33</v>
          </cell>
          <cell r="AB1073">
            <v>4</v>
          </cell>
          <cell r="AC1073">
            <v>0</v>
          </cell>
          <cell r="AD1073">
            <v>-33</v>
          </cell>
        </row>
        <row r="1074">
          <cell r="A1074" t="str">
            <v>33.12.10607.00</v>
          </cell>
          <cell r="B1074" t="str">
            <v>ACABAMENTO DA ESTEIRA 04/ 33.12.10607.00</v>
          </cell>
          <cell r="D1074">
            <v>1</v>
          </cell>
          <cell r="E1074" t="str">
            <v>-</v>
          </cell>
          <cell r="F1074" t="str">
            <v>-</v>
          </cell>
          <cell r="G1074" t="str">
            <v>-</v>
          </cell>
          <cell r="H1074" t="str">
            <v>-</v>
          </cell>
          <cell r="I1074">
            <v>1</v>
          </cell>
          <cell r="J1074">
            <v>1</v>
          </cell>
          <cell r="K1074">
            <v>-4</v>
          </cell>
          <cell r="L1074" t="str">
            <v>FALTA ENTREGA</v>
          </cell>
          <cell r="M1074" t="str">
            <v>-</v>
          </cell>
          <cell r="N1074" t="str">
            <v>OC'S METALFISA</v>
          </cell>
          <cell r="O1074" t="str">
            <v>-</v>
          </cell>
          <cell r="Q1074" t="str">
            <v>-</v>
          </cell>
          <cell r="S1074" t="str">
            <v>-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6</v>
          </cell>
          <cell r="AA1074">
            <v>6</v>
          </cell>
          <cell r="AB1074">
            <v>0</v>
          </cell>
          <cell r="AC1074">
            <v>0</v>
          </cell>
          <cell r="AD1074">
            <v>-6</v>
          </cell>
        </row>
        <row r="1075">
          <cell r="A1075" t="str">
            <v>33.12.10612.00</v>
          </cell>
          <cell r="B1075" t="str">
            <v>TRAVA PARA COLIMADOR DV - 33.12.10612.00</v>
          </cell>
          <cell r="D1075" t="str">
            <v>-</v>
          </cell>
          <cell r="E1075" t="str">
            <v>-</v>
          </cell>
          <cell r="F1075" t="str">
            <v>-</v>
          </cell>
          <cell r="G1075" t="str">
            <v>-</v>
          </cell>
          <cell r="H1075" t="str">
            <v>-</v>
          </cell>
          <cell r="I1075" t="str">
            <v>-</v>
          </cell>
          <cell r="J1075">
            <v>0</v>
          </cell>
          <cell r="K1075">
            <v>0</v>
          </cell>
          <cell r="L1075" t="str">
            <v>FALTA ENTREGA</v>
          </cell>
          <cell r="M1075">
            <v>1</v>
          </cell>
          <cell r="N1075" t="str">
            <v>OC'S METALFISA</v>
          </cell>
          <cell r="O1075" t="str">
            <v>-</v>
          </cell>
          <cell r="Q1075" t="str">
            <v>-</v>
          </cell>
          <cell r="S1075" t="str">
            <v>-</v>
          </cell>
          <cell r="U1075">
            <v>1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1</v>
          </cell>
          <cell r="AA1075">
            <v>1</v>
          </cell>
          <cell r="AB1075">
            <v>0</v>
          </cell>
          <cell r="AC1075">
            <v>0</v>
          </cell>
          <cell r="AD1075">
            <v>-1</v>
          </cell>
        </row>
        <row r="1076">
          <cell r="A1076" t="str">
            <v>33.12.10613.00</v>
          </cell>
          <cell r="B1076" t="str">
            <v>REFORCO PARA FIXACAO DO COLIMADOR DV - 33.12.10613.00</v>
          </cell>
          <cell r="D1076" t="str">
            <v>-</v>
          </cell>
          <cell r="E1076" t="str">
            <v>-</v>
          </cell>
          <cell r="F1076" t="str">
            <v>-</v>
          </cell>
          <cell r="G1076" t="str">
            <v>-</v>
          </cell>
          <cell r="H1076" t="str">
            <v>-</v>
          </cell>
          <cell r="I1076" t="str">
            <v>-</v>
          </cell>
          <cell r="J1076">
            <v>0</v>
          </cell>
          <cell r="K1076">
            <v>6</v>
          </cell>
          <cell r="L1076" t="str">
            <v>FALTA ENTREGA</v>
          </cell>
          <cell r="M1076">
            <v>4</v>
          </cell>
          <cell r="N1076" t="str">
            <v>OC'S METALFISA</v>
          </cell>
          <cell r="O1076" t="str">
            <v>-</v>
          </cell>
          <cell r="Q1076">
            <v>4</v>
          </cell>
          <cell r="S1076" t="str">
            <v>-</v>
          </cell>
          <cell r="U1076">
            <v>8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2</v>
          </cell>
          <cell r="AA1076">
            <v>2</v>
          </cell>
          <cell r="AB1076">
            <v>0</v>
          </cell>
          <cell r="AC1076">
            <v>0</v>
          </cell>
          <cell r="AD1076">
            <v>-2</v>
          </cell>
        </row>
        <row r="1077">
          <cell r="A1077" t="str">
            <v>33.12.10616.00</v>
          </cell>
          <cell r="B1077" t="str">
            <v>TRAVA SUPERIOR PARA COLIMADOR DV - 33.12.10616.00</v>
          </cell>
          <cell r="D1077" t="str">
            <v>-</v>
          </cell>
          <cell r="E1077" t="str">
            <v>-</v>
          </cell>
          <cell r="F1077" t="str">
            <v>-</v>
          </cell>
          <cell r="G1077" t="str">
            <v>-</v>
          </cell>
          <cell r="H1077" t="str">
            <v>-</v>
          </cell>
          <cell r="I1077" t="str">
            <v>-</v>
          </cell>
          <cell r="J1077">
            <v>0</v>
          </cell>
          <cell r="K1077">
            <v>14</v>
          </cell>
          <cell r="L1077" t="str">
            <v>ENTREGA PARCIAL</v>
          </cell>
          <cell r="M1077">
            <v>2</v>
          </cell>
          <cell r="N1077" t="str">
            <v>OC'S METALFISA</v>
          </cell>
          <cell r="O1077" t="str">
            <v>-</v>
          </cell>
          <cell r="Q1077" t="str">
            <v>-</v>
          </cell>
          <cell r="S1077">
            <v>13</v>
          </cell>
          <cell r="T1077" t="str">
            <v>OC'S MAPHE</v>
          </cell>
          <cell r="U1077">
            <v>15</v>
          </cell>
          <cell r="V1077">
            <v>3</v>
          </cell>
          <cell r="W1077">
            <v>0</v>
          </cell>
          <cell r="X1077">
            <v>0</v>
          </cell>
          <cell r="Y1077">
            <v>0</v>
          </cell>
          <cell r="Z1077">
            <v>11</v>
          </cell>
          <cell r="AA1077">
            <v>14</v>
          </cell>
          <cell r="AB1077">
            <v>0</v>
          </cell>
          <cell r="AC1077">
            <v>13</v>
          </cell>
          <cell r="AD1077">
            <v>-1</v>
          </cell>
        </row>
        <row r="1078">
          <cell r="A1078" t="str">
            <v>33.12.10617.01</v>
          </cell>
          <cell r="B1078" t="str">
            <v>REFORCO PARA FIXACAO SUPERIOR DO COLIMADOR DV - 33.12.10617.01</v>
          </cell>
          <cell r="D1078" t="str">
            <v>-</v>
          </cell>
          <cell r="E1078" t="str">
            <v>-</v>
          </cell>
          <cell r="F1078" t="str">
            <v>-</v>
          </cell>
          <cell r="G1078" t="str">
            <v>-</v>
          </cell>
          <cell r="H1078" t="str">
            <v>-</v>
          </cell>
          <cell r="I1078" t="str">
            <v>-</v>
          </cell>
          <cell r="J1078">
            <v>0</v>
          </cell>
          <cell r="K1078">
            <v>0</v>
          </cell>
          <cell r="L1078" t="str">
            <v>FALTA ENTREGA</v>
          </cell>
          <cell r="M1078">
            <v>2</v>
          </cell>
          <cell r="N1078" t="str">
            <v>OC'S METALFISA</v>
          </cell>
          <cell r="O1078" t="str">
            <v>-</v>
          </cell>
          <cell r="Q1078" t="str">
            <v>-</v>
          </cell>
          <cell r="S1078" t="str">
            <v>-</v>
          </cell>
          <cell r="U1078">
            <v>2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2</v>
          </cell>
          <cell r="AA1078">
            <v>2</v>
          </cell>
          <cell r="AB1078">
            <v>0</v>
          </cell>
          <cell r="AC1078">
            <v>0</v>
          </cell>
          <cell r="AD1078">
            <v>-2</v>
          </cell>
        </row>
        <row r="1079">
          <cell r="A1079" t="str">
            <v>33.12.10620.00</v>
          </cell>
          <cell r="B1079" t="str">
            <v>TRAVESSA APOIO ESTEIRA BODYSCAN / 33.12.10620.00</v>
          </cell>
          <cell r="D1079" t="str">
            <v>-</v>
          </cell>
          <cell r="E1079" t="str">
            <v>-</v>
          </cell>
          <cell r="F1079" t="str">
            <v>-</v>
          </cell>
          <cell r="G1079" t="str">
            <v>-</v>
          </cell>
          <cell r="H1079" t="str">
            <v>-</v>
          </cell>
          <cell r="I1079" t="str">
            <v>-</v>
          </cell>
          <cell r="J1079">
            <v>0</v>
          </cell>
          <cell r="K1079" t="e">
            <v>#VALUE!</v>
          </cell>
          <cell r="L1079" t="str">
            <v>ENTREGA TOTAL</v>
          </cell>
          <cell r="M1079" t="str">
            <v>-</v>
          </cell>
          <cell r="N1079" t="str">
            <v>OC'S METALFISA</v>
          </cell>
          <cell r="O1079" t="str">
            <v>-</v>
          </cell>
          <cell r="Q1079" t="str">
            <v>-</v>
          </cell>
          <cell r="S1079" t="str">
            <v>-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37</v>
          </cell>
          <cell r="AA1079">
            <v>37</v>
          </cell>
          <cell r="AB1079" t="str">
            <v>0</v>
          </cell>
          <cell r="AC1079" t="str">
            <v>-</v>
          </cell>
          <cell r="AD1079" t="str">
            <v>-</v>
          </cell>
        </row>
        <row r="1080">
          <cell r="A1080" t="str">
            <v>33.12.10630.00</v>
          </cell>
          <cell r="B1080" t="str">
            <v>MONTAGEM SUPORTE DO CONSOLE CHAVE APEM \ 33.12.10630.00 / 33.12.10630.00</v>
          </cell>
          <cell r="D1080" t="str">
            <v>-</v>
          </cell>
          <cell r="E1080" t="str">
            <v>-</v>
          </cell>
          <cell r="F1080" t="str">
            <v>-</v>
          </cell>
          <cell r="G1080" t="str">
            <v>-</v>
          </cell>
          <cell r="H1080" t="str">
            <v>-</v>
          </cell>
          <cell r="I1080">
            <v>3</v>
          </cell>
          <cell r="J1080">
            <v>3</v>
          </cell>
          <cell r="K1080">
            <v>10</v>
          </cell>
          <cell r="L1080" t="str">
            <v>FALTA ENTREGA</v>
          </cell>
          <cell r="M1080" t="str">
            <v>-</v>
          </cell>
          <cell r="N1080" t="str">
            <v>OC'S METALFISA</v>
          </cell>
          <cell r="O1080" t="str">
            <v>-</v>
          </cell>
          <cell r="Q1080" t="str">
            <v>-</v>
          </cell>
          <cell r="S1080">
            <v>13</v>
          </cell>
          <cell r="T1080" t="str">
            <v>OC'S MAPHE</v>
          </cell>
          <cell r="U1080">
            <v>13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6</v>
          </cell>
          <cell r="AA1080">
            <v>6</v>
          </cell>
          <cell r="AB1080">
            <v>0</v>
          </cell>
          <cell r="AC1080">
            <v>0</v>
          </cell>
          <cell r="AD1080">
            <v>-6</v>
          </cell>
        </row>
        <row r="1081">
          <cell r="A1081" t="str">
            <v>33.12.10630.01</v>
          </cell>
          <cell r="B1081" t="str">
            <v>MONTAGEM SUPORTE DO CONSOLE CHAVE APEM / 33.12.10630.01</v>
          </cell>
          <cell r="D1081" t="str">
            <v>-</v>
          </cell>
          <cell r="E1081" t="str">
            <v>-</v>
          </cell>
          <cell r="F1081" t="str">
            <v>-</v>
          </cell>
          <cell r="G1081" t="str">
            <v>-</v>
          </cell>
          <cell r="H1081" t="str">
            <v>-</v>
          </cell>
          <cell r="I1081" t="str">
            <v>-</v>
          </cell>
          <cell r="J1081">
            <v>0</v>
          </cell>
          <cell r="K1081">
            <v>-5</v>
          </cell>
          <cell r="L1081" t="str">
            <v>FALTA ENTREGA</v>
          </cell>
          <cell r="M1081" t="str">
            <v>-</v>
          </cell>
          <cell r="N1081" t="str">
            <v>OC'S METALFISA</v>
          </cell>
          <cell r="O1081" t="str">
            <v>-</v>
          </cell>
          <cell r="Q1081" t="str">
            <v>-</v>
          </cell>
          <cell r="S1081" t="str">
            <v>-</v>
          </cell>
          <cell r="U1081">
            <v>0</v>
          </cell>
          <cell r="V1081">
            <v>5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5</v>
          </cell>
          <cell r="AB1081">
            <v>5</v>
          </cell>
          <cell r="AC1081">
            <v>0</v>
          </cell>
          <cell r="AD1081">
            <v>-5</v>
          </cell>
        </row>
        <row r="1082">
          <cell r="A1082" t="str">
            <v>33.12.10660.00</v>
          </cell>
          <cell r="B1082" t="str">
            <v>SUPORTE CPU IA INTERNO DO BODYSCAN / 33.12.10660.00</v>
          </cell>
          <cell r="D1082" t="str">
            <v>-</v>
          </cell>
          <cell r="E1082" t="str">
            <v>-</v>
          </cell>
          <cell r="F1082" t="str">
            <v>-</v>
          </cell>
          <cell r="G1082" t="str">
            <v>-</v>
          </cell>
          <cell r="H1082" t="str">
            <v>-</v>
          </cell>
          <cell r="I1082" t="str">
            <v>-</v>
          </cell>
          <cell r="J1082">
            <v>0</v>
          </cell>
          <cell r="K1082">
            <v>13</v>
          </cell>
          <cell r="L1082" t="str">
            <v>ENTREGA TOTAL</v>
          </cell>
          <cell r="M1082" t="str">
            <v>-</v>
          </cell>
          <cell r="N1082" t="str">
            <v>OC'S METALFISA</v>
          </cell>
          <cell r="O1082" t="str">
            <v>-</v>
          </cell>
          <cell r="Q1082" t="str">
            <v>-</v>
          </cell>
          <cell r="S1082">
            <v>13</v>
          </cell>
          <cell r="T1082" t="str">
            <v>OC'S MAPHE</v>
          </cell>
          <cell r="U1082">
            <v>13</v>
          </cell>
          <cell r="V1082">
            <v>6</v>
          </cell>
          <cell r="W1082">
            <v>0</v>
          </cell>
          <cell r="X1082">
            <v>0</v>
          </cell>
          <cell r="Y1082">
            <v>0</v>
          </cell>
          <cell r="Z1082">
            <v>7</v>
          </cell>
          <cell r="AA1082">
            <v>13</v>
          </cell>
          <cell r="AB1082">
            <v>0</v>
          </cell>
          <cell r="AC1082">
            <v>13</v>
          </cell>
          <cell r="AD1082">
            <v>0</v>
          </cell>
        </row>
        <row r="1083">
          <cell r="A1083" t="str">
            <v>33.12.10661.00</v>
          </cell>
          <cell r="B1083" t="str">
            <v>SUPORTE NVR INTERNO DO BODYSCAN / 33.12.10661.00</v>
          </cell>
          <cell r="D1083" t="str">
            <v>-</v>
          </cell>
          <cell r="E1083" t="str">
            <v>-</v>
          </cell>
          <cell r="F1083" t="str">
            <v>-</v>
          </cell>
          <cell r="G1083" t="str">
            <v>-</v>
          </cell>
          <cell r="H1083" t="str">
            <v>-</v>
          </cell>
          <cell r="I1083" t="str">
            <v>-</v>
          </cell>
          <cell r="J1083">
            <v>0</v>
          </cell>
          <cell r="K1083">
            <v>13</v>
          </cell>
          <cell r="L1083" t="str">
            <v>ENTREGA TOTAL</v>
          </cell>
          <cell r="M1083" t="str">
            <v>-</v>
          </cell>
          <cell r="N1083" t="str">
            <v>OC'S METALFISA</v>
          </cell>
          <cell r="O1083" t="str">
            <v>-</v>
          </cell>
          <cell r="Q1083" t="str">
            <v>-</v>
          </cell>
          <cell r="S1083">
            <v>13</v>
          </cell>
          <cell r="T1083" t="str">
            <v>OC'S MAPHE</v>
          </cell>
          <cell r="U1083">
            <v>13</v>
          </cell>
          <cell r="V1083">
            <v>6</v>
          </cell>
          <cell r="W1083">
            <v>0</v>
          </cell>
          <cell r="X1083">
            <v>0</v>
          </cell>
          <cell r="Y1083">
            <v>0</v>
          </cell>
          <cell r="Z1083">
            <v>7</v>
          </cell>
          <cell r="AA1083">
            <v>13</v>
          </cell>
          <cell r="AB1083">
            <v>0</v>
          </cell>
          <cell r="AC1083">
            <v>13</v>
          </cell>
          <cell r="AD1083">
            <v>0</v>
          </cell>
        </row>
        <row r="1084">
          <cell r="A1084" t="str">
            <v>33.14.10239.00</v>
          </cell>
          <cell r="B1084" t="str">
            <v>GARRA SUPORTE EVS 4343 / 33.14.10239.00</v>
          </cell>
          <cell r="D1084" t="str">
            <v>-</v>
          </cell>
          <cell r="E1084" t="str">
            <v>-</v>
          </cell>
          <cell r="F1084" t="str">
            <v>-</v>
          </cell>
          <cell r="G1084" t="str">
            <v>-</v>
          </cell>
          <cell r="H1084" t="str">
            <v>-</v>
          </cell>
          <cell r="I1084" t="str">
            <v>-</v>
          </cell>
          <cell r="J1084">
            <v>0</v>
          </cell>
          <cell r="K1084">
            <v>0</v>
          </cell>
          <cell r="L1084" t="str">
            <v>FALTA ENTREGA</v>
          </cell>
          <cell r="M1084">
            <v>18</v>
          </cell>
          <cell r="N1084" t="str">
            <v>OC'S METALFISA</v>
          </cell>
          <cell r="O1084" t="str">
            <v>-</v>
          </cell>
          <cell r="Q1084" t="str">
            <v>-</v>
          </cell>
          <cell r="S1084" t="str">
            <v>-</v>
          </cell>
          <cell r="U1084">
            <v>18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18</v>
          </cell>
          <cell r="AA1084">
            <v>18</v>
          </cell>
          <cell r="AB1084">
            <v>0</v>
          </cell>
          <cell r="AC1084">
            <v>0</v>
          </cell>
          <cell r="AD1084">
            <v>-18</v>
          </cell>
        </row>
        <row r="1085">
          <cell r="A1085" t="str">
            <v>33.14.10244.01</v>
          </cell>
          <cell r="B1085" t="str">
            <v>SUPORTE DA ESTEIRA / 33.14.10244.01</v>
          </cell>
          <cell r="D1085" t="str">
            <v>-</v>
          </cell>
          <cell r="E1085" t="str">
            <v>-</v>
          </cell>
          <cell r="F1085" t="str">
            <v>-</v>
          </cell>
          <cell r="G1085" t="str">
            <v>-</v>
          </cell>
          <cell r="H1085" t="str">
            <v>-</v>
          </cell>
          <cell r="I1085" t="str">
            <v>-</v>
          </cell>
          <cell r="J1085">
            <v>0</v>
          </cell>
          <cell r="K1085">
            <v>-1</v>
          </cell>
          <cell r="L1085" t="str">
            <v>FALTA ENTREGA</v>
          </cell>
          <cell r="M1085">
            <v>3</v>
          </cell>
          <cell r="N1085" t="str">
            <v>OC'S METALFISA</v>
          </cell>
          <cell r="O1085" t="str">
            <v>-</v>
          </cell>
          <cell r="Q1085" t="str">
            <v>-</v>
          </cell>
          <cell r="S1085" t="str">
            <v>-</v>
          </cell>
          <cell r="U1085">
            <v>3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4</v>
          </cell>
          <cell r="AA1085">
            <v>4</v>
          </cell>
          <cell r="AB1085">
            <v>0</v>
          </cell>
          <cell r="AC1085">
            <v>0</v>
          </cell>
          <cell r="AD1085">
            <v>-4</v>
          </cell>
        </row>
        <row r="1086">
          <cell r="A1086" t="str">
            <v>33.14.10252.00</v>
          </cell>
          <cell r="B1086" t="str">
            <v>CHAPA DE FIXACAO DAS ROLDANAS - 3,0 / 33.14.10252.00</v>
          </cell>
          <cell r="D1086" t="str">
            <v>-</v>
          </cell>
          <cell r="E1086" t="str">
            <v>-</v>
          </cell>
          <cell r="F1086" t="str">
            <v>-</v>
          </cell>
          <cell r="G1086" t="str">
            <v>-</v>
          </cell>
          <cell r="H1086" t="str">
            <v>-</v>
          </cell>
          <cell r="I1086" t="str">
            <v>-</v>
          </cell>
          <cell r="J1086">
            <v>0</v>
          </cell>
          <cell r="K1086">
            <v>0</v>
          </cell>
          <cell r="L1086" t="str">
            <v>FALTA ENTREGA</v>
          </cell>
          <cell r="M1086">
            <v>18</v>
          </cell>
          <cell r="N1086" t="str">
            <v>OC'S METALFISA</v>
          </cell>
          <cell r="O1086" t="str">
            <v>-</v>
          </cell>
          <cell r="Q1086" t="str">
            <v>-</v>
          </cell>
          <cell r="S1086" t="str">
            <v>-</v>
          </cell>
          <cell r="U1086">
            <v>18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18</v>
          </cell>
          <cell r="AA1086">
            <v>18</v>
          </cell>
          <cell r="AB1086">
            <v>0</v>
          </cell>
          <cell r="AC1086">
            <v>0</v>
          </cell>
          <cell r="AD1086">
            <v>-18</v>
          </cell>
        </row>
        <row r="1087">
          <cell r="A1087" t="str">
            <v>33.14.10254.00</v>
          </cell>
          <cell r="B1087" t="str">
            <v>CHAPA DE FIXACAO DAS ROLDANAS - 1,5 / 33.14.10254.00</v>
          </cell>
          <cell r="D1087" t="str">
            <v>-</v>
          </cell>
          <cell r="E1087" t="str">
            <v>-</v>
          </cell>
          <cell r="F1087" t="str">
            <v>-</v>
          </cell>
          <cell r="G1087" t="str">
            <v>-</v>
          </cell>
          <cell r="H1087" t="str">
            <v>-</v>
          </cell>
          <cell r="I1087" t="str">
            <v>-</v>
          </cell>
          <cell r="J1087">
            <v>0</v>
          </cell>
          <cell r="K1087">
            <v>0</v>
          </cell>
          <cell r="L1087" t="str">
            <v>FALTA ENTREGA</v>
          </cell>
          <cell r="M1087">
            <v>10</v>
          </cell>
          <cell r="N1087" t="str">
            <v>OC'S METALFISA</v>
          </cell>
          <cell r="O1087" t="str">
            <v>-</v>
          </cell>
          <cell r="Q1087" t="str">
            <v>-</v>
          </cell>
          <cell r="S1087" t="str">
            <v>-</v>
          </cell>
          <cell r="U1087">
            <v>10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10</v>
          </cell>
          <cell r="AA1087">
            <v>10</v>
          </cell>
          <cell r="AB1087">
            <v>0</v>
          </cell>
          <cell r="AC1087">
            <v>0</v>
          </cell>
          <cell r="AD1087">
            <v>-10</v>
          </cell>
        </row>
        <row r="1088">
          <cell r="A1088" t="str">
            <v>33.14.10255.00</v>
          </cell>
          <cell r="B1088" t="str">
            <v>CHAPA DE FIXACAO DAS ROLDANAS - 0,75 / 33.14.10255.00</v>
          </cell>
          <cell r="D1088" t="str">
            <v>-</v>
          </cell>
          <cell r="E1088" t="str">
            <v>-</v>
          </cell>
          <cell r="F1088" t="str">
            <v>-</v>
          </cell>
          <cell r="G1088" t="str">
            <v>-</v>
          </cell>
          <cell r="H1088" t="str">
            <v>-</v>
          </cell>
          <cell r="I1088" t="str">
            <v>-</v>
          </cell>
          <cell r="J1088">
            <v>0</v>
          </cell>
          <cell r="K1088">
            <v>0</v>
          </cell>
          <cell r="L1088" t="str">
            <v>FALTA ENTREGA</v>
          </cell>
          <cell r="M1088">
            <v>6</v>
          </cell>
          <cell r="N1088" t="str">
            <v>OC'S METALFISA</v>
          </cell>
          <cell r="O1088" t="str">
            <v>-</v>
          </cell>
          <cell r="Q1088" t="str">
            <v>-</v>
          </cell>
          <cell r="S1088" t="str">
            <v>-</v>
          </cell>
          <cell r="U1088">
            <v>6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6</v>
          </cell>
          <cell r="AA1088">
            <v>6</v>
          </cell>
          <cell r="AB1088">
            <v>0</v>
          </cell>
          <cell r="AC1088">
            <v>0</v>
          </cell>
          <cell r="AD1088">
            <v>-6</v>
          </cell>
        </row>
        <row r="1089">
          <cell r="A1089" t="str">
            <v>33.14.10257.00</v>
          </cell>
          <cell r="B1089" t="str">
            <v>TRILHO DO FLAT PANEL ESQUERDO - ZINCADO / 33.14.10257.00</v>
          </cell>
          <cell r="D1089" t="str">
            <v>-</v>
          </cell>
          <cell r="E1089" t="str">
            <v>-</v>
          </cell>
          <cell r="F1089" t="str">
            <v>-</v>
          </cell>
          <cell r="G1089" t="str">
            <v>-</v>
          </cell>
          <cell r="H1089" t="str">
            <v>-</v>
          </cell>
          <cell r="I1089" t="str">
            <v>-</v>
          </cell>
          <cell r="J1089">
            <v>0</v>
          </cell>
          <cell r="K1089">
            <v>0</v>
          </cell>
          <cell r="L1089" t="str">
            <v>FALTA ENTREGA</v>
          </cell>
          <cell r="M1089">
            <v>3</v>
          </cell>
          <cell r="N1089" t="str">
            <v>OC'S METALFISA</v>
          </cell>
          <cell r="O1089" t="str">
            <v>-</v>
          </cell>
          <cell r="Q1089" t="str">
            <v>-</v>
          </cell>
          <cell r="S1089" t="str">
            <v>-</v>
          </cell>
          <cell r="U1089">
            <v>3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3</v>
          </cell>
          <cell r="AA1089">
            <v>3</v>
          </cell>
          <cell r="AB1089">
            <v>0</v>
          </cell>
          <cell r="AC1089">
            <v>0</v>
          </cell>
          <cell r="AD1089">
            <v>-3</v>
          </cell>
        </row>
        <row r="1090">
          <cell r="A1090" t="str">
            <v>33.14.10258.00</v>
          </cell>
          <cell r="B1090" t="str">
            <v>TRILHO DO FLAT PANEL DIREITO - ZINCADO / 33.14.10258.00</v>
          </cell>
          <cell r="D1090" t="str">
            <v>-</v>
          </cell>
          <cell r="E1090" t="str">
            <v>-</v>
          </cell>
          <cell r="F1090" t="str">
            <v>-</v>
          </cell>
          <cell r="G1090" t="str">
            <v>-</v>
          </cell>
          <cell r="H1090" t="str">
            <v>-</v>
          </cell>
          <cell r="I1090" t="str">
            <v>-</v>
          </cell>
          <cell r="J1090">
            <v>0</v>
          </cell>
          <cell r="K1090">
            <v>0</v>
          </cell>
          <cell r="L1090" t="str">
            <v>FALTA ENTREGA</v>
          </cell>
          <cell r="M1090">
            <v>3</v>
          </cell>
          <cell r="N1090" t="str">
            <v>OC'S METALFISA</v>
          </cell>
          <cell r="O1090" t="str">
            <v>-</v>
          </cell>
          <cell r="Q1090" t="str">
            <v>-</v>
          </cell>
          <cell r="S1090" t="str">
            <v>-</v>
          </cell>
          <cell r="U1090">
            <v>3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3</v>
          </cell>
          <cell r="AA1090">
            <v>3</v>
          </cell>
          <cell r="AB1090">
            <v>0</v>
          </cell>
          <cell r="AC1090">
            <v>0</v>
          </cell>
          <cell r="AD1090">
            <v>-3</v>
          </cell>
        </row>
        <row r="1091">
          <cell r="A1091" t="str">
            <v>33.14.10259.00</v>
          </cell>
          <cell r="B1091" t="str">
            <v>SUPORTE DAS ROLDANAS TRATADO / 33.14.10259.00</v>
          </cell>
          <cell r="D1091" t="str">
            <v>-</v>
          </cell>
          <cell r="E1091" t="str">
            <v>-</v>
          </cell>
          <cell r="F1091" t="str">
            <v>-</v>
          </cell>
          <cell r="G1091" t="str">
            <v>-</v>
          </cell>
          <cell r="H1091" t="str">
            <v>-</v>
          </cell>
          <cell r="I1091" t="str">
            <v>-</v>
          </cell>
          <cell r="J1091">
            <v>0</v>
          </cell>
          <cell r="K1091">
            <v>0</v>
          </cell>
          <cell r="L1091" t="str">
            <v>FALTA ENTREGA</v>
          </cell>
          <cell r="M1091">
            <v>8</v>
          </cell>
          <cell r="N1091" t="str">
            <v>OC'S METALFISA</v>
          </cell>
          <cell r="O1091" t="str">
            <v>-</v>
          </cell>
          <cell r="Q1091" t="str">
            <v>-</v>
          </cell>
          <cell r="S1091" t="str">
            <v>-</v>
          </cell>
          <cell r="U1091">
            <v>8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8</v>
          </cell>
          <cell r="AA1091">
            <v>8</v>
          </cell>
          <cell r="AB1091">
            <v>0</v>
          </cell>
          <cell r="AC1091">
            <v>0</v>
          </cell>
          <cell r="AD1091">
            <v>-8</v>
          </cell>
        </row>
        <row r="1092">
          <cell r="A1092" t="str">
            <v>33.14.10260.00</v>
          </cell>
          <cell r="B1092" t="str">
            <v>ESPACADOR PARA ROLDANA / 33.14.10260.00</v>
          </cell>
          <cell r="D1092" t="str">
            <v>-</v>
          </cell>
          <cell r="E1092" t="str">
            <v>-</v>
          </cell>
          <cell r="F1092" t="str">
            <v>-</v>
          </cell>
          <cell r="G1092" t="str">
            <v>-</v>
          </cell>
          <cell r="H1092" t="str">
            <v>-</v>
          </cell>
          <cell r="I1092" t="str">
            <v>-</v>
          </cell>
          <cell r="J1092">
            <v>0</v>
          </cell>
          <cell r="K1092">
            <v>0</v>
          </cell>
          <cell r="L1092" t="str">
            <v>FALTA ENTREGA</v>
          </cell>
          <cell r="M1092">
            <v>4</v>
          </cell>
          <cell r="N1092" t="str">
            <v>OC'S METALFISA</v>
          </cell>
          <cell r="O1092" t="str">
            <v>-</v>
          </cell>
          <cell r="Q1092" t="str">
            <v>-</v>
          </cell>
          <cell r="S1092" t="str">
            <v>-</v>
          </cell>
          <cell r="U1092">
            <v>4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4</v>
          </cell>
          <cell r="AA1092">
            <v>4</v>
          </cell>
          <cell r="AB1092">
            <v>0</v>
          </cell>
          <cell r="AC1092">
            <v>0</v>
          </cell>
          <cell r="AD1092">
            <v>-4</v>
          </cell>
        </row>
        <row r="1093">
          <cell r="A1093" t="str">
            <v>33.14.10265.00</v>
          </cell>
          <cell r="B1093" t="str">
            <v>TAMPA DE PROTECAO DO TUBO / 33.14.10265.00</v>
          </cell>
          <cell r="C1093">
            <v>46074</v>
          </cell>
          <cell r="D1093" t="str">
            <v>-</v>
          </cell>
          <cell r="E1093" t="str">
            <v>-</v>
          </cell>
          <cell r="F1093" t="str">
            <v>-</v>
          </cell>
          <cell r="G1093" t="str">
            <v>-</v>
          </cell>
          <cell r="H1093" t="str">
            <v>-</v>
          </cell>
          <cell r="I1093" t="str">
            <v>-</v>
          </cell>
          <cell r="J1093">
            <v>0</v>
          </cell>
          <cell r="K1093">
            <v>2</v>
          </cell>
          <cell r="L1093" t="str">
            <v>ENTREGA TOTAL</v>
          </cell>
          <cell r="M1093">
            <v>2</v>
          </cell>
          <cell r="N1093" t="str">
            <v>OC'S METALFISA</v>
          </cell>
          <cell r="O1093" t="str">
            <v>-</v>
          </cell>
          <cell r="Q1093" t="str">
            <v>-</v>
          </cell>
          <cell r="S1093" t="str">
            <v>-</v>
          </cell>
          <cell r="U1093">
            <v>2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2</v>
          </cell>
          <cell r="AA1093">
            <v>2</v>
          </cell>
          <cell r="AB1093">
            <v>0</v>
          </cell>
          <cell r="AC1093">
            <v>2</v>
          </cell>
          <cell r="AD1093">
            <v>0</v>
          </cell>
        </row>
        <row r="1094">
          <cell r="A1094" t="str">
            <v>33.14.10267.00</v>
          </cell>
          <cell r="B1094" t="str">
            <v>FIXACAO DA DOBRADICA / 33.14.10267.00</v>
          </cell>
          <cell r="D1094" t="str">
            <v>-</v>
          </cell>
          <cell r="E1094" t="str">
            <v>-</v>
          </cell>
          <cell r="F1094" t="str">
            <v>-</v>
          </cell>
          <cell r="G1094" t="str">
            <v>-</v>
          </cell>
          <cell r="H1094" t="str">
            <v>-</v>
          </cell>
          <cell r="I1094" t="str">
            <v>-</v>
          </cell>
          <cell r="J1094">
            <v>0</v>
          </cell>
          <cell r="K1094">
            <v>0</v>
          </cell>
          <cell r="L1094" t="str">
            <v>FALTA ENTREGA</v>
          </cell>
          <cell r="M1094">
            <v>6</v>
          </cell>
          <cell r="N1094" t="str">
            <v>OC'S METALFISA</v>
          </cell>
          <cell r="O1094" t="str">
            <v>-</v>
          </cell>
          <cell r="Q1094" t="str">
            <v>-</v>
          </cell>
          <cell r="S1094" t="str">
            <v>-</v>
          </cell>
          <cell r="U1094">
            <v>6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6</v>
          </cell>
          <cell r="AA1094">
            <v>6</v>
          </cell>
          <cell r="AB1094">
            <v>0</v>
          </cell>
          <cell r="AC1094">
            <v>0</v>
          </cell>
          <cell r="AD1094">
            <v>-6</v>
          </cell>
        </row>
        <row r="1095">
          <cell r="A1095" t="str">
            <v>33.14.10268.00</v>
          </cell>
          <cell r="B1095" t="str">
            <v>SUPORTE DE ACIONAMENTO DO MICRORRUPTOR / 33.14.10268.00</v>
          </cell>
          <cell r="D1095" t="str">
            <v>-</v>
          </cell>
          <cell r="E1095" t="str">
            <v>-</v>
          </cell>
          <cell r="F1095" t="str">
            <v>-</v>
          </cell>
          <cell r="G1095" t="str">
            <v>-</v>
          </cell>
          <cell r="H1095" t="str">
            <v>-</v>
          </cell>
          <cell r="I1095" t="str">
            <v>-</v>
          </cell>
          <cell r="J1095">
            <v>0</v>
          </cell>
          <cell r="K1095">
            <v>0</v>
          </cell>
          <cell r="L1095" t="str">
            <v>FALTA ENTREGA</v>
          </cell>
          <cell r="M1095">
            <v>3</v>
          </cell>
          <cell r="N1095" t="str">
            <v>OC'S METALFISA</v>
          </cell>
          <cell r="O1095" t="str">
            <v>-</v>
          </cell>
          <cell r="Q1095" t="str">
            <v>-</v>
          </cell>
          <cell r="S1095" t="str">
            <v>-</v>
          </cell>
          <cell r="U1095">
            <v>3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3</v>
          </cell>
          <cell r="AA1095">
            <v>3</v>
          </cell>
          <cell r="AB1095">
            <v>0</v>
          </cell>
          <cell r="AC1095">
            <v>0</v>
          </cell>
          <cell r="AD1095">
            <v>-3</v>
          </cell>
        </row>
        <row r="1096">
          <cell r="A1096" t="str">
            <v>33.14.10269.00</v>
          </cell>
          <cell r="B1096" t="str">
            <v>SUPORTE DO MICRORRUPTOR DETECTOR / 33.14.10269.00</v>
          </cell>
          <cell r="D1096" t="str">
            <v>-</v>
          </cell>
          <cell r="E1096" t="str">
            <v>-</v>
          </cell>
          <cell r="F1096" t="str">
            <v>-</v>
          </cell>
          <cell r="G1096" t="str">
            <v>-</v>
          </cell>
          <cell r="H1096" t="str">
            <v>-</v>
          </cell>
          <cell r="I1096" t="str">
            <v>-</v>
          </cell>
          <cell r="J1096">
            <v>0</v>
          </cell>
          <cell r="K1096">
            <v>0</v>
          </cell>
          <cell r="L1096" t="str">
            <v>ENTREGA PARCIAL</v>
          </cell>
          <cell r="M1096">
            <v>1</v>
          </cell>
          <cell r="N1096" t="str">
            <v>OC'S METALFISA</v>
          </cell>
          <cell r="O1096" t="str">
            <v>-</v>
          </cell>
          <cell r="Q1096" t="str">
            <v>-</v>
          </cell>
          <cell r="S1096" t="str">
            <v>-</v>
          </cell>
          <cell r="U1096">
            <v>1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3</v>
          </cell>
          <cell r="AA1096">
            <v>3</v>
          </cell>
          <cell r="AB1096">
            <v>0</v>
          </cell>
          <cell r="AC1096">
            <v>2</v>
          </cell>
          <cell r="AD1096">
            <v>-1</v>
          </cell>
        </row>
        <row r="1097">
          <cell r="A1097" t="str">
            <v>33.14.10270.00</v>
          </cell>
          <cell r="B1097" t="str">
            <v>SUPORTE DO MICRORRUPTOR TUBO/ 33.14.10270.00</v>
          </cell>
          <cell r="D1097" t="str">
            <v>-</v>
          </cell>
          <cell r="E1097" t="str">
            <v>-</v>
          </cell>
          <cell r="F1097" t="str">
            <v>-</v>
          </cell>
          <cell r="G1097" t="str">
            <v>-</v>
          </cell>
          <cell r="H1097" t="str">
            <v>-</v>
          </cell>
          <cell r="I1097" t="str">
            <v>-</v>
          </cell>
          <cell r="J1097">
            <v>0</v>
          </cell>
          <cell r="K1097">
            <v>0</v>
          </cell>
          <cell r="L1097" t="str">
            <v>FALTA ENTREGA</v>
          </cell>
          <cell r="M1097">
            <v>4</v>
          </cell>
          <cell r="N1097" t="str">
            <v>OC'S METALFISA</v>
          </cell>
          <cell r="O1097" t="str">
            <v>-</v>
          </cell>
          <cell r="Q1097" t="str">
            <v>-</v>
          </cell>
          <cell r="S1097" t="str">
            <v>-</v>
          </cell>
          <cell r="U1097">
            <v>4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4</v>
          </cell>
          <cell r="AA1097">
            <v>4</v>
          </cell>
          <cell r="AB1097">
            <v>0</v>
          </cell>
          <cell r="AC1097">
            <v>0</v>
          </cell>
          <cell r="AD1097">
            <v>-4</v>
          </cell>
        </row>
        <row r="1098">
          <cell r="A1098" t="str">
            <v>33.14.10271.00</v>
          </cell>
          <cell r="B1098" t="str">
            <v>SUPORTE DE ACIONAMENTO DO MICRORRUPTOR TUBO / 33.14.10271.00</v>
          </cell>
          <cell r="D1098" t="str">
            <v>-</v>
          </cell>
          <cell r="E1098" t="str">
            <v>-</v>
          </cell>
          <cell r="F1098" t="str">
            <v>-</v>
          </cell>
          <cell r="G1098" t="str">
            <v>-</v>
          </cell>
          <cell r="H1098" t="str">
            <v>-</v>
          </cell>
          <cell r="I1098" t="str">
            <v>-</v>
          </cell>
          <cell r="J1098">
            <v>0</v>
          </cell>
          <cell r="K1098">
            <v>0</v>
          </cell>
          <cell r="L1098" t="str">
            <v>FALTA ENTREGA</v>
          </cell>
          <cell r="M1098">
            <v>2</v>
          </cell>
          <cell r="N1098" t="str">
            <v>OC'S METALFISA</v>
          </cell>
          <cell r="O1098" t="str">
            <v>-</v>
          </cell>
          <cell r="Q1098" t="str">
            <v>-</v>
          </cell>
          <cell r="S1098" t="str">
            <v>-</v>
          </cell>
          <cell r="U1098">
            <v>2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2</v>
          </cell>
          <cell r="AA1098">
            <v>2</v>
          </cell>
          <cell r="AB1098">
            <v>0</v>
          </cell>
          <cell r="AC1098">
            <v>0</v>
          </cell>
          <cell r="AD1098">
            <v>-2</v>
          </cell>
        </row>
        <row r="1099">
          <cell r="A1099" t="str">
            <v>33.14.10274.00</v>
          </cell>
          <cell r="B1099" t="str">
            <v>TAMPA LATERAL DA PONTA ESQUERDA INGLES / PORTUGUES / 33.14.10274.00</v>
          </cell>
          <cell r="D1099" t="str">
            <v>-</v>
          </cell>
          <cell r="E1099" t="str">
            <v>-</v>
          </cell>
          <cell r="F1099" t="str">
            <v>-</v>
          </cell>
          <cell r="G1099" t="str">
            <v>-</v>
          </cell>
          <cell r="H1099" t="str">
            <v>-</v>
          </cell>
          <cell r="I1099" t="str">
            <v>-</v>
          </cell>
          <cell r="J1099">
            <v>0</v>
          </cell>
          <cell r="K1099">
            <v>0</v>
          </cell>
          <cell r="L1099" t="str">
            <v>FALTA ENTREGA</v>
          </cell>
          <cell r="M1099">
            <v>4</v>
          </cell>
          <cell r="N1099" t="str">
            <v>OC'S METALFISA</v>
          </cell>
          <cell r="O1099" t="str">
            <v>-</v>
          </cell>
          <cell r="Q1099" t="str">
            <v>-</v>
          </cell>
          <cell r="S1099" t="str">
            <v>-</v>
          </cell>
          <cell r="U1099">
            <v>4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4</v>
          </cell>
          <cell r="AA1099">
            <v>4</v>
          </cell>
          <cell r="AB1099">
            <v>0</v>
          </cell>
          <cell r="AC1099">
            <v>0</v>
          </cell>
          <cell r="AD1099">
            <v>-4</v>
          </cell>
        </row>
        <row r="1100">
          <cell r="A1100" t="str">
            <v>33.15.10024.01</v>
          </cell>
          <cell r="B1100" t="str">
            <v>BASE DO X-RAY HEAD / 33.15.10024.01</v>
          </cell>
          <cell r="D1100" t="str">
            <v>-</v>
          </cell>
          <cell r="E1100" t="str">
            <v>-</v>
          </cell>
          <cell r="F1100" t="str">
            <v>-</v>
          </cell>
          <cell r="G1100" t="str">
            <v>-</v>
          </cell>
          <cell r="H1100" t="str">
            <v>-</v>
          </cell>
          <cell r="I1100" t="str">
            <v>-</v>
          </cell>
          <cell r="J1100">
            <v>0</v>
          </cell>
          <cell r="K1100">
            <v>1</v>
          </cell>
          <cell r="L1100" t="str">
            <v>FALTA ENTREGA</v>
          </cell>
          <cell r="M1100" t="str">
            <v>-</v>
          </cell>
          <cell r="N1100" t="str">
            <v>OC'S METALFISA</v>
          </cell>
          <cell r="O1100">
            <v>2</v>
          </cell>
          <cell r="P1100" t="str">
            <v>OC'S GRANATO</v>
          </cell>
          <cell r="Q1100" t="str">
            <v>-</v>
          </cell>
          <cell r="S1100" t="str">
            <v>-</v>
          </cell>
          <cell r="U1100">
            <v>2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1</v>
          </cell>
          <cell r="AA1100">
            <v>1</v>
          </cell>
          <cell r="AB1100">
            <v>0</v>
          </cell>
          <cell r="AC1100">
            <v>0</v>
          </cell>
          <cell r="AD1100">
            <v>-1</v>
          </cell>
        </row>
        <row r="1101">
          <cell r="A1101" t="str">
            <v>33.15.10061.01</v>
          </cell>
          <cell r="B1101" t="str">
            <v>POSICIONADOR DA BASE / 33.15.10061.01</v>
          </cell>
          <cell r="D1101" t="str">
            <v>-</v>
          </cell>
          <cell r="E1101" t="str">
            <v>-</v>
          </cell>
          <cell r="F1101" t="str">
            <v>-</v>
          </cell>
          <cell r="G1101" t="str">
            <v>-</v>
          </cell>
          <cell r="H1101" t="str">
            <v>-</v>
          </cell>
          <cell r="I1101" t="str">
            <v>-</v>
          </cell>
          <cell r="J1101">
            <v>0</v>
          </cell>
          <cell r="K1101">
            <v>2</v>
          </cell>
          <cell r="L1101" t="str">
            <v>FALTA ENTREGA</v>
          </cell>
          <cell r="M1101" t="str">
            <v>-</v>
          </cell>
          <cell r="N1101" t="str">
            <v>OC'S METALFISA</v>
          </cell>
          <cell r="O1101">
            <v>4</v>
          </cell>
          <cell r="P1101" t="str">
            <v>OC'S GRANATO</v>
          </cell>
          <cell r="Q1101" t="str">
            <v>-</v>
          </cell>
          <cell r="S1101" t="str">
            <v>-</v>
          </cell>
          <cell r="U1101">
            <v>4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2</v>
          </cell>
          <cell r="AA1101">
            <v>2</v>
          </cell>
          <cell r="AB1101">
            <v>0</v>
          </cell>
          <cell r="AC1101">
            <v>0</v>
          </cell>
          <cell r="AD1101">
            <v>-2</v>
          </cell>
        </row>
        <row r="1102">
          <cell r="A1102" t="str">
            <v>33.15.10092.00</v>
          </cell>
          <cell r="B1102" t="str">
            <v>TAMPA / 33.15.10092.00</v>
          </cell>
          <cell r="D1102" t="str">
            <v>-</v>
          </cell>
          <cell r="E1102" t="str">
            <v>-</v>
          </cell>
          <cell r="F1102" t="str">
            <v>-</v>
          </cell>
          <cell r="G1102" t="str">
            <v>-</v>
          </cell>
          <cell r="H1102" t="str">
            <v>-</v>
          </cell>
          <cell r="I1102" t="str">
            <v>-</v>
          </cell>
          <cell r="J1102">
            <v>0</v>
          </cell>
          <cell r="K1102">
            <v>0</v>
          </cell>
          <cell r="L1102" t="str">
            <v>FALTA ENTREGA</v>
          </cell>
          <cell r="M1102" t="str">
            <v>-</v>
          </cell>
          <cell r="N1102" t="str">
            <v>OC'S METALFISA</v>
          </cell>
          <cell r="O1102">
            <v>1</v>
          </cell>
          <cell r="P1102" t="str">
            <v>OC'S GRANATO</v>
          </cell>
          <cell r="Q1102" t="str">
            <v>-</v>
          </cell>
          <cell r="S1102" t="str">
            <v>-</v>
          </cell>
          <cell r="U1102">
            <v>1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1</v>
          </cell>
          <cell r="AA1102">
            <v>1</v>
          </cell>
          <cell r="AB1102">
            <v>0</v>
          </cell>
          <cell r="AC1102">
            <v>0</v>
          </cell>
          <cell r="AD1102">
            <v>-1</v>
          </cell>
        </row>
        <row r="1103">
          <cell r="A1103" t="str">
            <v>33.15.10093.00</v>
          </cell>
          <cell r="B1103" t="str">
            <v>TAMPA / 33.15.10093.00</v>
          </cell>
          <cell r="D1103" t="str">
            <v>-</v>
          </cell>
          <cell r="E1103" t="str">
            <v>-</v>
          </cell>
          <cell r="F1103" t="str">
            <v>-</v>
          </cell>
          <cell r="G1103" t="str">
            <v>-</v>
          </cell>
          <cell r="H1103" t="str">
            <v>-</v>
          </cell>
          <cell r="I1103" t="str">
            <v>-</v>
          </cell>
          <cell r="J1103">
            <v>0</v>
          </cell>
          <cell r="K1103">
            <v>0</v>
          </cell>
          <cell r="L1103" t="str">
            <v>FALTA ENTREGA</v>
          </cell>
          <cell r="M1103" t="str">
            <v>-</v>
          </cell>
          <cell r="N1103" t="str">
            <v>OC'S METALFISA</v>
          </cell>
          <cell r="O1103">
            <v>1</v>
          </cell>
          <cell r="P1103" t="str">
            <v>OC'S GRANATO</v>
          </cell>
          <cell r="Q1103" t="str">
            <v>-</v>
          </cell>
          <cell r="S1103" t="str">
            <v>-</v>
          </cell>
          <cell r="U1103">
            <v>1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1</v>
          </cell>
          <cell r="AA1103">
            <v>1</v>
          </cell>
          <cell r="AB1103">
            <v>0</v>
          </cell>
          <cell r="AC1103">
            <v>0</v>
          </cell>
          <cell r="AD1103">
            <v>-1</v>
          </cell>
        </row>
        <row r="1104">
          <cell r="A1104" t="str">
            <v>33.15.10095.02</v>
          </cell>
          <cell r="B1104" t="str">
            <v>PROTECAO / 33.15.10095.02</v>
          </cell>
          <cell r="D1104" t="str">
            <v>-</v>
          </cell>
          <cell r="E1104" t="str">
            <v>-</v>
          </cell>
          <cell r="F1104" t="str">
            <v>-</v>
          </cell>
          <cell r="G1104" t="str">
            <v>-</v>
          </cell>
          <cell r="H1104" t="str">
            <v>-</v>
          </cell>
          <cell r="I1104" t="str">
            <v>-</v>
          </cell>
          <cell r="J1104">
            <v>0</v>
          </cell>
          <cell r="K1104">
            <v>1</v>
          </cell>
          <cell r="L1104" t="str">
            <v>FALTA ENTREGA</v>
          </cell>
          <cell r="M1104" t="str">
            <v>-</v>
          </cell>
          <cell r="N1104" t="str">
            <v>OC'S METALFISA</v>
          </cell>
          <cell r="O1104">
            <v>2</v>
          </cell>
          <cell r="P1104" t="str">
            <v>OC'S GRANATO</v>
          </cell>
          <cell r="Q1104" t="str">
            <v>-</v>
          </cell>
          <cell r="S1104" t="str">
            <v>-</v>
          </cell>
          <cell r="U1104">
            <v>2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1</v>
          </cell>
          <cell r="AA1104">
            <v>1</v>
          </cell>
          <cell r="AB1104">
            <v>0</v>
          </cell>
          <cell r="AC1104">
            <v>0</v>
          </cell>
          <cell r="AD1104">
            <v>-1</v>
          </cell>
        </row>
        <row r="1105">
          <cell r="A1105" t="str">
            <v>33.15.10101.02</v>
          </cell>
          <cell r="B1105" t="str">
            <v>SUPORTE DOBRADICA / 33.15.10101.02</v>
          </cell>
          <cell r="D1105" t="str">
            <v>-</v>
          </cell>
          <cell r="E1105" t="str">
            <v>-</v>
          </cell>
          <cell r="F1105" t="str">
            <v>-</v>
          </cell>
          <cell r="G1105" t="str">
            <v>-</v>
          </cell>
          <cell r="H1105" t="str">
            <v>-</v>
          </cell>
          <cell r="I1105" t="str">
            <v>-</v>
          </cell>
          <cell r="J1105">
            <v>0</v>
          </cell>
          <cell r="K1105">
            <v>33</v>
          </cell>
          <cell r="L1105" t="str">
            <v>FALTA ENTREGA</v>
          </cell>
          <cell r="M1105" t="str">
            <v>-</v>
          </cell>
          <cell r="N1105" t="str">
            <v>OC'S METALFISA</v>
          </cell>
          <cell r="O1105">
            <v>66</v>
          </cell>
          <cell r="P1105" t="str">
            <v>OC'S GRANATO</v>
          </cell>
          <cell r="Q1105" t="str">
            <v>-</v>
          </cell>
          <cell r="S1105" t="str">
            <v>-</v>
          </cell>
          <cell r="U1105">
            <v>66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33</v>
          </cell>
          <cell r="AA1105">
            <v>33</v>
          </cell>
          <cell r="AB1105">
            <v>0</v>
          </cell>
          <cell r="AC1105">
            <v>0</v>
          </cell>
          <cell r="AD1105">
            <v>-33</v>
          </cell>
        </row>
        <row r="1106">
          <cell r="A1106" t="str">
            <v>33.15.10110.08</v>
          </cell>
          <cell r="B1106" t="str">
            <v>COLUNA VERTICAL / 33.15.10110.08</v>
          </cell>
          <cell r="D1106" t="str">
            <v>-</v>
          </cell>
          <cell r="E1106" t="str">
            <v>-</v>
          </cell>
          <cell r="F1106" t="str">
            <v>-</v>
          </cell>
          <cell r="G1106" t="str">
            <v>-</v>
          </cell>
          <cell r="H1106" t="str">
            <v>-</v>
          </cell>
          <cell r="I1106" t="str">
            <v>-</v>
          </cell>
          <cell r="J1106">
            <v>0</v>
          </cell>
          <cell r="K1106">
            <v>0</v>
          </cell>
          <cell r="L1106" t="str">
            <v>FALTA ENTREGA</v>
          </cell>
          <cell r="M1106" t="str">
            <v>-</v>
          </cell>
          <cell r="N1106" t="str">
            <v>OC'S METALFISA</v>
          </cell>
          <cell r="O1106">
            <v>1</v>
          </cell>
          <cell r="P1106" t="str">
            <v>OC'S GRANATO</v>
          </cell>
          <cell r="Q1106" t="str">
            <v>-</v>
          </cell>
          <cell r="S1106" t="str">
            <v>-</v>
          </cell>
          <cell r="U1106">
            <v>1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1</v>
          </cell>
          <cell r="AA1106">
            <v>1</v>
          </cell>
          <cell r="AB1106">
            <v>0</v>
          </cell>
          <cell r="AC1106">
            <v>0</v>
          </cell>
          <cell r="AD1106">
            <v>-1</v>
          </cell>
        </row>
        <row r="1107">
          <cell r="A1107" t="str">
            <v>33.15.10125.01</v>
          </cell>
          <cell r="B1107" t="str">
            <v>ACABAMENTO CENTRAL COLUNA - 33.15.10125.01</v>
          </cell>
          <cell r="D1107" t="str">
            <v>-</v>
          </cell>
          <cell r="E1107" t="str">
            <v>-</v>
          </cell>
          <cell r="F1107" t="str">
            <v>-</v>
          </cell>
          <cell r="G1107" t="str">
            <v>-</v>
          </cell>
          <cell r="H1107" t="str">
            <v>-</v>
          </cell>
          <cell r="I1107" t="str">
            <v>-</v>
          </cell>
          <cell r="J1107">
            <v>0</v>
          </cell>
          <cell r="K1107">
            <v>1</v>
          </cell>
          <cell r="L1107" t="str">
            <v>FALTA ENTREGA</v>
          </cell>
          <cell r="M1107" t="str">
            <v>-</v>
          </cell>
          <cell r="N1107" t="str">
            <v>OC'S METALFISA</v>
          </cell>
          <cell r="O1107">
            <v>2</v>
          </cell>
          <cell r="P1107" t="str">
            <v>OC'S GRANATO</v>
          </cell>
          <cell r="Q1107" t="str">
            <v>-</v>
          </cell>
          <cell r="S1107" t="str">
            <v>-</v>
          </cell>
          <cell r="U1107">
            <v>2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1</v>
          </cell>
          <cell r="AA1107">
            <v>1</v>
          </cell>
          <cell r="AB1107">
            <v>0</v>
          </cell>
          <cell r="AC1107">
            <v>0</v>
          </cell>
          <cell r="AD1107">
            <v>-1</v>
          </cell>
        </row>
        <row r="1108">
          <cell r="A1108" t="str">
            <v>33.15.10134.01</v>
          </cell>
          <cell r="B1108" t="str">
            <v>ACABAMENTO INFERIOR COLUNA - 33.15.10134.01</v>
          </cell>
          <cell r="D1108" t="str">
            <v>-</v>
          </cell>
          <cell r="E1108" t="str">
            <v>-</v>
          </cell>
          <cell r="F1108" t="str">
            <v>-</v>
          </cell>
          <cell r="G1108" t="str">
            <v>-</v>
          </cell>
          <cell r="H1108" t="str">
            <v>-</v>
          </cell>
          <cell r="I1108" t="str">
            <v>-</v>
          </cell>
          <cell r="J1108">
            <v>0</v>
          </cell>
          <cell r="K1108">
            <v>1</v>
          </cell>
          <cell r="L1108" t="str">
            <v>FALTA ENTREGA</v>
          </cell>
          <cell r="M1108" t="str">
            <v>-</v>
          </cell>
          <cell r="N1108" t="str">
            <v>OC'S METALFISA</v>
          </cell>
          <cell r="O1108">
            <v>2</v>
          </cell>
          <cell r="P1108" t="str">
            <v>OC'S GRANATO</v>
          </cell>
          <cell r="Q1108" t="str">
            <v>-</v>
          </cell>
          <cell r="S1108" t="str">
            <v>-</v>
          </cell>
          <cell r="U1108">
            <v>2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1</v>
          </cell>
          <cell r="AA1108">
            <v>1</v>
          </cell>
          <cell r="AB1108">
            <v>0</v>
          </cell>
          <cell r="AC1108">
            <v>0</v>
          </cell>
          <cell r="AD1108">
            <v>-1</v>
          </cell>
        </row>
        <row r="1109">
          <cell r="A1109" t="str">
            <v>33.15.10138.01</v>
          </cell>
          <cell r="B1109" t="str">
            <v>TAMPA / 33.15.10138.01</v>
          </cell>
          <cell r="C1109">
            <v>46072</v>
          </cell>
          <cell r="D1109" t="str">
            <v>-</v>
          </cell>
          <cell r="E1109" t="str">
            <v>-</v>
          </cell>
          <cell r="F1109" t="str">
            <v>-</v>
          </cell>
          <cell r="G1109" t="str">
            <v>-</v>
          </cell>
          <cell r="H1109" t="str">
            <v>-</v>
          </cell>
          <cell r="I1109" t="str">
            <v>-</v>
          </cell>
          <cell r="J1109">
            <v>0</v>
          </cell>
          <cell r="K1109">
            <v>10</v>
          </cell>
          <cell r="L1109" t="str">
            <v>ENTREGA TOTAL</v>
          </cell>
          <cell r="M1109" t="str">
            <v>-</v>
          </cell>
          <cell r="N1109" t="str">
            <v>OC'S METALFISA</v>
          </cell>
          <cell r="O1109">
            <v>10</v>
          </cell>
          <cell r="P1109" t="str">
            <v>OC'S GRANATO</v>
          </cell>
          <cell r="Q1109" t="str">
            <v>-</v>
          </cell>
          <cell r="S1109" t="str">
            <v>-</v>
          </cell>
          <cell r="U1109">
            <v>10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5</v>
          </cell>
          <cell r="AA1109">
            <v>5</v>
          </cell>
          <cell r="AB1109">
            <v>0</v>
          </cell>
          <cell r="AC1109">
            <v>5</v>
          </cell>
          <cell r="AD1109">
            <v>0</v>
          </cell>
        </row>
        <row r="1110">
          <cell r="A1110" t="str">
            <v>33.15.10139.02</v>
          </cell>
          <cell r="B1110" t="str">
            <v>BASE / 33.15.10139.02</v>
          </cell>
          <cell r="D1110" t="str">
            <v>-</v>
          </cell>
          <cell r="E1110" t="str">
            <v>-</v>
          </cell>
          <cell r="F1110" t="str">
            <v>-</v>
          </cell>
          <cell r="G1110" t="str">
            <v>-</v>
          </cell>
          <cell r="H1110" t="str">
            <v>-</v>
          </cell>
          <cell r="I1110" t="str">
            <v>-</v>
          </cell>
          <cell r="J1110">
            <v>0</v>
          </cell>
          <cell r="K1110">
            <v>0</v>
          </cell>
          <cell r="L1110" t="str">
            <v>FALTA ENTREGA</v>
          </cell>
          <cell r="M1110" t="str">
            <v>-</v>
          </cell>
          <cell r="N1110" t="str">
            <v>OC'S METALFISA</v>
          </cell>
          <cell r="O1110">
            <v>2</v>
          </cell>
          <cell r="P1110" t="str">
            <v>OC'S GRANATO</v>
          </cell>
          <cell r="Q1110" t="str">
            <v>-</v>
          </cell>
          <cell r="S1110" t="str">
            <v>-</v>
          </cell>
          <cell r="U1110">
            <v>2</v>
          </cell>
          <cell r="V1110">
            <v>1</v>
          </cell>
          <cell r="W1110">
            <v>0</v>
          </cell>
          <cell r="X1110">
            <v>0</v>
          </cell>
          <cell r="Y1110">
            <v>0</v>
          </cell>
          <cell r="Z1110">
            <v>1</v>
          </cell>
          <cell r="AA1110">
            <v>2</v>
          </cell>
          <cell r="AB1110">
            <v>1</v>
          </cell>
          <cell r="AC1110">
            <v>0</v>
          </cell>
          <cell r="AD1110">
            <v>-2</v>
          </cell>
        </row>
        <row r="1111">
          <cell r="A1111" t="str">
            <v>33.15.10145.06</v>
          </cell>
          <cell r="B1111" t="str">
            <v>COLUNA / 33.15.10145.06</v>
          </cell>
          <cell r="D1111" t="str">
            <v>-</v>
          </cell>
          <cell r="E1111" t="str">
            <v>-</v>
          </cell>
          <cell r="F1111" t="str">
            <v>-</v>
          </cell>
          <cell r="G1111" t="str">
            <v>-</v>
          </cell>
          <cell r="H1111" t="str">
            <v>-</v>
          </cell>
          <cell r="I1111" t="str">
            <v>-</v>
          </cell>
          <cell r="J1111">
            <v>0</v>
          </cell>
          <cell r="K1111">
            <v>1</v>
          </cell>
          <cell r="L1111" t="str">
            <v>FALTA ENTREGA</v>
          </cell>
          <cell r="M1111" t="str">
            <v>-</v>
          </cell>
          <cell r="N1111" t="str">
            <v>OC'S METALFISA</v>
          </cell>
          <cell r="O1111">
            <v>2</v>
          </cell>
          <cell r="P1111" t="str">
            <v>OC'S GRANATO</v>
          </cell>
          <cell r="Q1111" t="str">
            <v>-</v>
          </cell>
          <cell r="S1111" t="str">
            <v>-</v>
          </cell>
          <cell r="U1111">
            <v>2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1</v>
          </cell>
          <cell r="AA1111">
            <v>1</v>
          </cell>
          <cell r="AB1111">
            <v>0</v>
          </cell>
          <cell r="AC1111">
            <v>0</v>
          </cell>
          <cell r="AD1111">
            <v>-1</v>
          </cell>
        </row>
        <row r="1112">
          <cell r="A1112" t="str">
            <v>33.15.10147.00</v>
          </cell>
          <cell r="B1112" t="str">
            <v>TAMPA / 33.15.10147.00</v>
          </cell>
          <cell r="C1112">
            <v>46072</v>
          </cell>
          <cell r="D1112" t="str">
            <v>-</v>
          </cell>
          <cell r="E1112" t="str">
            <v>-</v>
          </cell>
          <cell r="F1112" t="str">
            <v>-</v>
          </cell>
          <cell r="G1112" t="str">
            <v>-</v>
          </cell>
          <cell r="H1112" t="str">
            <v>-</v>
          </cell>
          <cell r="I1112" t="str">
            <v>-</v>
          </cell>
          <cell r="J1112">
            <v>0</v>
          </cell>
          <cell r="K1112">
            <v>6</v>
          </cell>
          <cell r="L1112" t="str">
            <v>ENTREGA TOTAL</v>
          </cell>
          <cell r="M1112" t="str">
            <v>-</v>
          </cell>
          <cell r="N1112" t="str">
            <v>OC'S METALFISA</v>
          </cell>
          <cell r="O1112">
            <v>6</v>
          </cell>
          <cell r="P1112" t="str">
            <v>OC'S GRANATO</v>
          </cell>
          <cell r="Q1112" t="str">
            <v>-</v>
          </cell>
          <cell r="S1112" t="str">
            <v>-</v>
          </cell>
          <cell r="U1112">
            <v>6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3</v>
          </cell>
          <cell r="AA1112">
            <v>3</v>
          </cell>
          <cell r="AB1112">
            <v>0</v>
          </cell>
          <cell r="AC1112">
            <v>3</v>
          </cell>
          <cell r="AD1112">
            <v>0</v>
          </cell>
        </row>
        <row r="1113">
          <cell r="A1113" t="str">
            <v>33.15.10154.01</v>
          </cell>
          <cell r="B1113" t="str">
            <v>REGULADOR / 33.15.10154.01</v>
          </cell>
          <cell r="C1113">
            <v>46072</v>
          </cell>
          <cell r="D1113" t="str">
            <v>-</v>
          </cell>
          <cell r="E1113" t="str">
            <v>-</v>
          </cell>
          <cell r="F1113" t="str">
            <v>-</v>
          </cell>
          <cell r="G1113" t="str">
            <v>-</v>
          </cell>
          <cell r="H1113" t="str">
            <v>-</v>
          </cell>
          <cell r="I1113" t="str">
            <v>-</v>
          </cell>
          <cell r="J1113">
            <v>0</v>
          </cell>
          <cell r="K1113">
            <v>16</v>
          </cell>
          <cell r="L1113" t="str">
            <v>ENTREGA TOTAL</v>
          </cell>
          <cell r="M1113" t="str">
            <v>-</v>
          </cell>
          <cell r="N1113" t="str">
            <v>OC'S METALFISA</v>
          </cell>
          <cell r="O1113">
            <v>16</v>
          </cell>
          <cell r="P1113" t="str">
            <v>OC'S GRANATO</v>
          </cell>
          <cell r="Q1113" t="str">
            <v>-</v>
          </cell>
          <cell r="S1113" t="str">
            <v>-</v>
          </cell>
          <cell r="U1113">
            <v>16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8</v>
          </cell>
          <cell r="AA1113">
            <v>8</v>
          </cell>
          <cell r="AB1113">
            <v>0</v>
          </cell>
          <cell r="AC1113">
            <v>8</v>
          </cell>
          <cell r="AD1113">
            <v>0</v>
          </cell>
        </row>
        <row r="1114">
          <cell r="A1114" t="str">
            <v>33.15.10160.07</v>
          </cell>
          <cell r="B1114" t="str">
            <v>REFORCO HORIZONTAL DA ESTRUTURA / 33.15.10160.07</v>
          </cell>
          <cell r="D1114" t="str">
            <v>-</v>
          </cell>
          <cell r="E1114" t="str">
            <v>-</v>
          </cell>
          <cell r="F1114" t="str">
            <v>-</v>
          </cell>
          <cell r="G1114" t="str">
            <v>-</v>
          </cell>
          <cell r="H1114" t="str">
            <v>-</v>
          </cell>
          <cell r="I1114" t="str">
            <v>-</v>
          </cell>
          <cell r="J1114">
            <v>0</v>
          </cell>
          <cell r="K1114">
            <v>1</v>
          </cell>
          <cell r="L1114" t="str">
            <v>FALTA ENTREGA</v>
          </cell>
          <cell r="M1114" t="str">
            <v>-</v>
          </cell>
          <cell r="N1114" t="str">
            <v>OC'S METALFISA</v>
          </cell>
          <cell r="O1114">
            <v>2</v>
          </cell>
          <cell r="P1114" t="str">
            <v>OC'S GRANATO</v>
          </cell>
          <cell r="Q1114" t="str">
            <v>-</v>
          </cell>
          <cell r="S1114" t="str">
            <v>-</v>
          </cell>
          <cell r="U1114">
            <v>2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1</v>
          </cell>
          <cell r="AA1114">
            <v>1</v>
          </cell>
          <cell r="AB1114">
            <v>0</v>
          </cell>
          <cell r="AC1114">
            <v>0</v>
          </cell>
          <cell r="AD1114">
            <v>-1</v>
          </cell>
        </row>
        <row r="1115">
          <cell r="A1115" t="str">
            <v>33.15.10166.02</v>
          </cell>
          <cell r="B1115" t="str">
            <v>FIXACAO MICROVENTILADOR / 33.15.10166.02</v>
          </cell>
          <cell r="D1115" t="str">
            <v>-</v>
          </cell>
          <cell r="E1115" t="str">
            <v>-</v>
          </cell>
          <cell r="F1115" t="str">
            <v>-</v>
          </cell>
          <cell r="G1115" t="str">
            <v>-</v>
          </cell>
          <cell r="H1115" t="str">
            <v>-</v>
          </cell>
          <cell r="I1115" t="str">
            <v>-</v>
          </cell>
          <cell r="J1115">
            <v>0</v>
          </cell>
          <cell r="K1115">
            <v>1</v>
          </cell>
          <cell r="L1115" t="str">
            <v>FALTA ENTREGA</v>
          </cell>
          <cell r="M1115" t="str">
            <v>-</v>
          </cell>
          <cell r="N1115" t="str">
            <v>OC'S METALFISA</v>
          </cell>
          <cell r="O1115">
            <v>2</v>
          </cell>
          <cell r="P1115" t="str">
            <v>OC'S GRANATO</v>
          </cell>
          <cell r="Q1115" t="str">
            <v>-</v>
          </cell>
          <cell r="S1115" t="str">
            <v>-</v>
          </cell>
          <cell r="U1115">
            <v>2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1</v>
          </cell>
          <cell r="AA1115">
            <v>1</v>
          </cell>
          <cell r="AB1115">
            <v>0</v>
          </cell>
          <cell r="AC1115">
            <v>0</v>
          </cell>
          <cell r="AD1115">
            <v>-1</v>
          </cell>
        </row>
        <row r="1116">
          <cell r="A1116" t="str">
            <v>33.15.10180.02</v>
          </cell>
          <cell r="B1116" t="str">
            <v>FECHAMENTO TAMPA HORIZONTAL / 33.15.10180.02</v>
          </cell>
          <cell r="D1116" t="str">
            <v>-</v>
          </cell>
          <cell r="E1116" t="str">
            <v>-</v>
          </cell>
          <cell r="F1116" t="str">
            <v>-</v>
          </cell>
          <cell r="G1116" t="str">
            <v>-</v>
          </cell>
          <cell r="H1116" t="str">
            <v>-</v>
          </cell>
          <cell r="I1116" t="str">
            <v>-</v>
          </cell>
          <cell r="J1116">
            <v>0</v>
          </cell>
          <cell r="K1116">
            <v>1</v>
          </cell>
          <cell r="L1116" t="str">
            <v>FALTA ENTREGA</v>
          </cell>
          <cell r="M1116" t="str">
            <v>-</v>
          </cell>
          <cell r="N1116" t="str">
            <v>OC'S METALFISA</v>
          </cell>
          <cell r="O1116">
            <v>2</v>
          </cell>
          <cell r="P1116" t="str">
            <v>OC'S GRANATO</v>
          </cell>
          <cell r="Q1116" t="str">
            <v>-</v>
          </cell>
          <cell r="S1116" t="str">
            <v>-</v>
          </cell>
          <cell r="U1116">
            <v>2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1</v>
          </cell>
          <cell r="AA1116">
            <v>1</v>
          </cell>
          <cell r="AB1116">
            <v>0</v>
          </cell>
          <cell r="AC1116">
            <v>0</v>
          </cell>
          <cell r="AD1116">
            <v>-1</v>
          </cell>
        </row>
        <row r="1117">
          <cell r="A1117" t="str">
            <v>33.15.10196.00</v>
          </cell>
          <cell r="B1117" t="str">
            <v>FECHAMENTO / 33.15.10196.00</v>
          </cell>
          <cell r="D1117" t="str">
            <v>-</v>
          </cell>
          <cell r="E1117" t="str">
            <v>-</v>
          </cell>
          <cell r="F1117" t="str">
            <v>-</v>
          </cell>
          <cell r="G1117" t="str">
            <v>-</v>
          </cell>
          <cell r="H1117" t="str">
            <v>-</v>
          </cell>
          <cell r="I1117" t="str">
            <v>-</v>
          </cell>
          <cell r="J1117">
            <v>0</v>
          </cell>
          <cell r="K1117">
            <v>0</v>
          </cell>
          <cell r="L1117" t="str">
            <v>FALTA ENTREGA</v>
          </cell>
          <cell r="M1117" t="str">
            <v>-</v>
          </cell>
          <cell r="N1117" t="str">
            <v>OC'S METALFISA</v>
          </cell>
          <cell r="O1117">
            <v>1</v>
          </cell>
          <cell r="P1117" t="str">
            <v>OC'S GRANATO</v>
          </cell>
          <cell r="Q1117" t="str">
            <v>-</v>
          </cell>
          <cell r="S1117" t="str">
            <v>-</v>
          </cell>
          <cell r="U1117">
            <v>1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1</v>
          </cell>
          <cell r="AA1117">
            <v>1</v>
          </cell>
          <cell r="AB1117">
            <v>0</v>
          </cell>
          <cell r="AC1117">
            <v>0</v>
          </cell>
          <cell r="AD1117">
            <v>-1</v>
          </cell>
        </row>
        <row r="1118">
          <cell r="A1118" t="str">
            <v>33.15.10197.00</v>
          </cell>
          <cell r="B1118" t="str">
            <v>FECHAMENTO / 33.15.10197.00</v>
          </cell>
          <cell r="D1118" t="str">
            <v>-</v>
          </cell>
          <cell r="E1118" t="str">
            <v>-</v>
          </cell>
          <cell r="F1118" t="str">
            <v>-</v>
          </cell>
          <cell r="G1118" t="str">
            <v>-</v>
          </cell>
          <cell r="H1118" t="str">
            <v>-</v>
          </cell>
          <cell r="I1118" t="str">
            <v>-</v>
          </cell>
          <cell r="J1118">
            <v>0</v>
          </cell>
          <cell r="K1118">
            <v>0</v>
          </cell>
          <cell r="L1118" t="str">
            <v>FALTA ENTREGA</v>
          </cell>
          <cell r="M1118" t="str">
            <v>-</v>
          </cell>
          <cell r="N1118" t="str">
            <v>OC'S METALFISA</v>
          </cell>
          <cell r="O1118">
            <v>1</v>
          </cell>
          <cell r="P1118" t="str">
            <v>OC'S GRANATO</v>
          </cell>
          <cell r="Q1118" t="str">
            <v>-</v>
          </cell>
          <cell r="S1118" t="str">
            <v>-</v>
          </cell>
          <cell r="U1118">
            <v>1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1</v>
          </cell>
          <cell r="AA1118">
            <v>1</v>
          </cell>
          <cell r="AB1118">
            <v>0</v>
          </cell>
          <cell r="AC1118">
            <v>0</v>
          </cell>
          <cell r="AD1118">
            <v>-1</v>
          </cell>
        </row>
        <row r="1119">
          <cell r="A1119" t="str">
            <v>33.15.10203.02</v>
          </cell>
          <cell r="B1119" t="str">
            <v>PROTECAO AR / 33.15.10203.02</v>
          </cell>
          <cell r="C1119">
            <v>46072</v>
          </cell>
          <cell r="D1119" t="str">
            <v>-</v>
          </cell>
          <cell r="E1119" t="str">
            <v>-</v>
          </cell>
          <cell r="F1119" t="str">
            <v>-</v>
          </cell>
          <cell r="G1119" t="str">
            <v>-</v>
          </cell>
          <cell r="H1119" t="str">
            <v>-</v>
          </cell>
          <cell r="I1119" t="str">
            <v>-</v>
          </cell>
          <cell r="J1119">
            <v>0</v>
          </cell>
          <cell r="K1119">
            <v>2</v>
          </cell>
          <cell r="L1119" t="str">
            <v>ENTREGA TOTAL</v>
          </cell>
          <cell r="M1119" t="str">
            <v>-</v>
          </cell>
          <cell r="N1119" t="str">
            <v>OC'S METALFISA</v>
          </cell>
          <cell r="O1119">
            <v>2</v>
          </cell>
          <cell r="P1119" t="str">
            <v>OC'S GRANATO</v>
          </cell>
          <cell r="Q1119" t="str">
            <v>-</v>
          </cell>
          <cell r="S1119" t="str">
            <v>-</v>
          </cell>
          <cell r="U1119">
            <v>2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1</v>
          </cell>
          <cell r="AA1119">
            <v>1</v>
          </cell>
          <cell r="AB1119">
            <v>0</v>
          </cell>
          <cell r="AC1119">
            <v>1</v>
          </cell>
          <cell r="AD1119">
            <v>0</v>
          </cell>
        </row>
        <row r="1120">
          <cell r="A1120" t="str">
            <v>33.15.10206.02</v>
          </cell>
          <cell r="B1120" t="str">
            <v>SUPORTE LAMPADA / 33.15.10206.02</v>
          </cell>
          <cell r="C1120">
            <v>46072</v>
          </cell>
          <cell r="D1120" t="str">
            <v>-</v>
          </cell>
          <cell r="E1120" t="str">
            <v>-</v>
          </cell>
          <cell r="F1120">
            <v>6</v>
          </cell>
          <cell r="G1120" t="str">
            <v>-</v>
          </cell>
          <cell r="H1120" t="str">
            <v>-</v>
          </cell>
          <cell r="I1120" t="str">
            <v>-</v>
          </cell>
          <cell r="J1120">
            <v>6</v>
          </cell>
          <cell r="K1120">
            <v>24</v>
          </cell>
          <cell r="L1120" t="str">
            <v>ENTREGA TOTAL</v>
          </cell>
          <cell r="M1120" t="str">
            <v>-</v>
          </cell>
          <cell r="N1120" t="str">
            <v>OC'S METALFISA</v>
          </cell>
          <cell r="O1120">
            <v>12</v>
          </cell>
          <cell r="P1120" t="str">
            <v>OC'S GRANATO</v>
          </cell>
          <cell r="Q1120" t="str">
            <v>-</v>
          </cell>
          <cell r="S1120" t="str">
            <v>-</v>
          </cell>
          <cell r="U1120">
            <v>12</v>
          </cell>
          <cell r="V1120">
            <v>6</v>
          </cell>
          <cell r="W1120">
            <v>0</v>
          </cell>
          <cell r="X1120">
            <v>0</v>
          </cell>
          <cell r="Y1120">
            <v>0</v>
          </cell>
          <cell r="Z1120">
            <v>6</v>
          </cell>
          <cell r="AA1120">
            <v>12</v>
          </cell>
          <cell r="AB1120">
            <v>0</v>
          </cell>
          <cell r="AC1120">
            <v>18</v>
          </cell>
          <cell r="AD1120">
            <v>6</v>
          </cell>
        </row>
        <row r="1121">
          <cell r="A1121" t="str">
            <v>33.15.10207.01</v>
          </cell>
          <cell r="B1121" t="str">
            <v>BASE / 33.15.10207.01</v>
          </cell>
          <cell r="D1121" t="str">
            <v>-</v>
          </cell>
          <cell r="E1121" t="str">
            <v>-</v>
          </cell>
          <cell r="F1121" t="str">
            <v>-</v>
          </cell>
          <cell r="G1121" t="str">
            <v>-</v>
          </cell>
          <cell r="H1121" t="str">
            <v>-</v>
          </cell>
          <cell r="I1121" t="str">
            <v>-</v>
          </cell>
          <cell r="J1121">
            <v>0</v>
          </cell>
          <cell r="K1121">
            <v>1</v>
          </cell>
          <cell r="L1121" t="str">
            <v>FALTA ENTREGA</v>
          </cell>
          <cell r="M1121" t="str">
            <v>-</v>
          </cell>
          <cell r="N1121" t="str">
            <v>OC'S METALFISA</v>
          </cell>
          <cell r="O1121">
            <v>2</v>
          </cell>
          <cell r="P1121" t="str">
            <v>OC'S GRANATO</v>
          </cell>
          <cell r="Q1121" t="str">
            <v>-</v>
          </cell>
          <cell r="S1121" t="str">
            <v>-</v>
          </cell>
          <cell r="U1121">
            <v>2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1</v>
          </cell>
          <cell r="AA1121">
            <v>1</v>
          </cell>
          <cell r="AB1121">
            <v>0</v>
          </cell>
          <cell r="AC1121">
            <v>0</v>
          </cell>
          <cell r="AD1121">
            <v>-1</v>
          </cell>
        </row>
        <row r="1122">
          <cell r="A1122" t="str">
            <v>33.15.10209.03</v>
          </cell>
          <cell r="B1122" t="str">
            <v>BASE / 33.15.10209.03</v>
          </cell>
          <cell r="D1122" t="str">
            <v>-</v>
          </cell>
          <cell r="E1122" t="str">
            <v>-</v>
          </cell>
          <cell r="F1122" t="str">
            <v>-</v>
          </cell>
          <cell r="G1122" t="str">
            <v>-</v>
          </cell>
          <cell r="H1122" t="str">
            <v>-</v>
          </cell>
          <cell r="I1122" t="str">
            <v>-</v>
          </cell>
          <cell r="J1122">
            <v>0</v>
          </cell>
          <cell r="K1122">
            <v>1</v>
          </cell>
          <cell r="L1122" t="str">
            <v>FALTA ENTREGA</v>
          </cell>
          <cell r="M1122" t="str">
            <v>-</v>
          </cell>
          <cell r="N1122" t="str">
            <v>OC'S METALFISA</v>
          </cell>
          <cell r="O1122">
            <v>2</v>
          </cell>
          <cell r="P1122" t="str">
            <v>OC'S GRANATO</v>
          </cell>
          <cell r="Q1122" t="str">
            <v>-</v>
          </cell>
          <cell r="S1122" t="str">
            <v>-</v>
          </cell>
          <cell r="U1122">
            <v>2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1</v>
          </cell>
          <cell r="AA1122">
            <v>1</v>
          </cell>
          <cell r="AB1122">
            <v>0</v>
          </cell>
          <cell r="AC1122">
            <v>0</v>
          </cell>
          <cell r="AD1122">
            <v>-1</v>
          </cell>
        </row>
        <row r="1123">
          <cell r="A1123" t="str">
            <v>33.15.10213.00</v>
          </cell>
          <cell r="B1123" t="str">
            <v>TAMPA / 33.15.10213.00</v>
          </cell>
          <cell r="D1123" t="str">
            <v>-</v>
          </cell>
          <cell r="E1123" t="str">
            <v>-</v>
          </cell>
          <cell r="F1123" t="str">
            <v>-</v>
          </cell>
          <cell r="G1123" t="str">
            <v>-</v>
          </cell>
          <cell r="H1123" t="str">
            <v>-</v>
          </cell>
          <cell r="I1123" t="str">
            <v>-</v>
          </cell>
          <cell r="J1123">
            <v>0</v>
          </cell>
          <cell r="K1123">
            <v>1</v>
          </cell>
          <cell r="L1123" t="str">
            <v>FALTA ENTREGA</v>
          </cell>
          <cell r="M1123" t="str">
            <v>-</v>
          </cell>
          <cell r="N1123" t="str">
            <v>OC'S METALFISA</v>
          </cell>
          <cell r="O1123">
            <v>2</v>
          </cell>
          <cell r="P1123" t="str">
            <v>OC'S GRANATO</v>
          </cell>
          <cell r="Q1123" t="str">
            <v>-</v>
          </cell>
          <cell r="S1123" t="str">
            <v>-</v>
          </cell>
          <cell r="U1123">
            <v>2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1</v>
          </cell>
          <cell r="AA1123">
            <v>1</v>
          </cell>
          <cell r="AB1123">
            <v>0</v>
          </cell>
          <cell r="AC1123">
            <v>0</v>
          </cell>
          <cell r="AD1123">
            <v>-1</v>
          </cell>
        </row>
        <row r="1124">
          <cell r="A1124" t="str">
            <v>33.15.10214.00</v>
          </cell>
          <cell r="B1124" t="str">
            <v>TAMPA / 33.15.10214.00</v>
          </cell>
          <cell r="C1124">
            <v>46072</v>
          </cell>
          <cell r="D1124" t="str">
            <v>-</v>
          </cell>
          <cell r="E1124" t="str">
            <v>-</v>
          </cell>
          <cell r="F1124" t="str">
            <v>-</v>
          </cell>
          <cell r="G1124" t="str">
            <v>-</v>
          </cell>
          <cell r="H1124" t="str">
            <v>-</v>
          </cell>
          <cell r="I1124" t="str">
            <v>-</v>
          </cell>
          <cell r="J1124">
            <v>0</v>
          </cell>
          <cell r="K1124">
            <v>2</v>
          </cell>
          <cell r="L1124" t="str">
            <v>ENTREGA TOTAL</v>
          </cell>
          <cell r="M1124" t="str">
            <v>-</v>
          </cell>
          <cell r="N1124" t="str">
            <v>OC'S METALFISA</v>
          </cell>
          <cell r="O1124">
            <v>2</v>
          </cell>
          <cell r="P1124" t="str">
            <v>OC'S GRANATO</v>
          </cell>
          <cell r="Q1124" t="str">
            <v>-</v>
          </cell>
          <cell r="S1124" t="str">
            <v>-</v>
          </cell>
          <cell r="U1124">
            <v>2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1</v>
          </cell>
          <cell r="AA1124">
            <v>1</v>
          </cell>
          <cell r="AB1124">
            <v>0</v>
          </cell>
          <cell r="AC1124">
            <v>1</v>
          </cell>
          <cell r="AD1124">
            <v>0</v>
          </cell>
        </row>
        <row r="1125">
          <cell r="A1125" t="str">
            <v>33.15.10215.04</v>
          </cell>
          <cell r="B1125" t="str">
            <v>SUPORTE AR / 33.15.10215.04</v>
          </cell>
          <cell r="D1125" t="str">
            <v>-</v>
          </cell>
          <cell r="E1125" t="str">
            <v>-</v>
          </cell>
          <cell r="F1125" t="str">
            <v>-</v>
          </cell>
          <cell r="G1125" t="str">
            <v>-</v>
          </cell>
          <cell r="H1125" t="str">
            <v>-</v>
          </cell>
          <cell r="I1125" t="str">
            <v>-</v>
          </cell>
          <cell r="J1125">
            <v>0</v>
          </cell>
          <cell r="K1125">
            <v>1</v>
          </cell>
          <cell r="L1125" t="str">
            <v>FALTA ENTREGA</v>
          </cell>
          <cell r="M1125" t="str">
            <v>-</v>
          </cell>
          <cell r="N1125" t="str">
            <v>OC'S METALFISA</v>
          </cell>
          <cell r="O1125">
            <v>2</v>
          </cell>
          <cell r="P1125" t="str">
            <v>OC'S GRANATO</v>
          </cell>
          <cell r="Q1125" t="str">
            <v>-</v>
          </cell>
          <cell r="S1125" t="str">
            <v>-</v>
          </cell>
          <cell r="U1125">
            <v>2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1</v>
          </cell>
          <cell r="AA1125">
            <v>1</v>
          </cell>
          <cell r="AB1125">
            <v>0</v>
          </cell>
          <cell r="AC1125">
            <v>0</v>
          </cell>
          <cell r="AD1125">
            <v>-1</v>
          </cell>
        </row>
        <row r="1126">
          <cell r="A1126" t="str">
            <v>33.15.10238.02</v>
          </cell>
          <cell r="B1126" t="str">
            <v>PASSA CABO / 33.15.10238.02</v>
          </cell>
          <cell r="D1126" t="str">
            <v>-</v>
          </cell>
          <cell r="E1126" t="str">
            <v>-</v>
          </cell>
          <cell r="F1126" t="str">
            <v>-</v>
          </cell>
          <cell r="G1126" t="str">
            <v>-</v>
          </cell>
          <cell r="H1126" t="str">
            <v>-</v>
          </cell>
          <cell r="I1126" t="str">
            <v>-</v>
          </cell>
          <cell r="J1126">
            <v>0</v>
          </cell>
          <cell r="K1126">
            <v>2</v>
          </cell>
          <cell r="L1126" t="str">
            <v>FALTA ENTREGA</v>
          </cell>
          <cell r="M1126" t="str">
            <v>-</v>
          </cell>
          <cell r="N1126" t="str">
            <v>OC'S METALFISA</v>
          </cell>
          <cell r="O1126">
            <v>4</v>
          </cell>
          <cell r="P1126" t="str">
            <v>OC'S GRANATO</v>
          </cell>
          <cell r="Q1126" t="str">
            <v>-</v>
          </cell>
          <cell r="S1126" t="str">
            <v>-</v>
          </cell>
          <cell r="U1126">
            <v>4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2</v>
          </cell>
          <cell r="AA1126">
            <v>2</v>
          </cell>
          <cell r="AB1126">
            <v>0</v>
          </cell>
          <cell r="AC1126">
            <v>0</v>
          </cell>
          <cell r="AD1126">
            <v>-2</v>
          </cell>
        </row>
        <row r="1127">
          <cell r="A1127" t="str">
            <v>33.15.10240.00</v>
          </cell>
          <cell r="B1127" t="str">
            <v>MAO FRANCESA / 33.15.10240.00</v>
          </cell>
          <cell r="C1127">
            <v>46072</v>
          </cell>
          <cell r="D1127" t="str">
            <v>-</v>
          </cell>
          <cell r="E1127" t="str">
            <v>-</v>
          </cell>
          <cell r="F1127" t="str">
            <v>-</v>
          </cell>
          <cell r="G1127" t="str">
            <v>-</v>
          </cell>
          <cell r="H1127" t="str">
            <v>-</v>
          </cell>
          <cell r="I1127" t="str">
            <v>-</v>
          </cell>
          <cell r="J1127">
            <v>0</v>
          </cell>
          <cell r="K1127">
            <v>2</v>
          </cell>
          <cell r="L1127" t="str">
            <v>ENTREGA TOTAL</v>
          </cell>
          <cell r="M1127" t="str">
            <v>-</v>
          </cell>
          <cell r="N1127" t="str">
            <v>OC'S METALFISA</v>
          </cell>
          <cell r="O1127">
            <v>2</v>
          </cell>
          <cell r="P1127" t="str">
            <v>OC'S GRANATO</v>
          </cell>
          <cell r="Q1127" t="str">
            <v>-</v>
          </cell>
          <cell r="S1127" t="str">
            <v>-</v>
          </cell>
          <cell r="U1127">
            <v>2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1</v>
          </cell>
          <cell r="AA1127">
            <v>1</v>
          </cell>
          <cell r="AB1127">
            <v>0</v>
          </cell>
          <cell r="AC1127">
            <v>1</v>
          </cell>
          <cell r="AD1127">
            <v>0</v>
          </cell>
        </row>
        <row r="1128">
          <cell r="A1128" t="str">
            <v>33.15.10250.03</v>
          </cell>
          <cell r="B1128" t="str">
            <v>POSTE DE SUPORTE SENSOR / 33.15.10250.03</v>
          </cell>
          <cell r="C1128">
            <v>46072</v>
          </cell>
          <cell r="D1128" t="str">
            <v>-</v>
          </cell>
          <cell r="E1128" t="str">
            <v>-</v>
          </cell>
          <cell r="F1128" t="str">
            <v>-</v>
          </cell>
          <cell r="G1128" t="str">
            <v>-</v>
          </cell>
          <cell r="H1128" t="str">
            <v>-</v>
          </cell>
          <cell r="I1128" t="str">
            <v>-</v>
          </cell>
          <cell r="J1128">
            <v>0</v>
          </cell>
          <cell r="K1128">
            <v>17</v>
          </cell>
          <cell r="L1128" t="str">
            <v>ENTREGA TOTAL</v>
          </cell>
          <cell r="M1128" t="str">
            <v>-</v>
          </cell>
          <cell r="N1128" t="str">
            <v>OC'S METALFISA</v>
          </cell>
          <cell r="O1128">
            <v>12</v>
          </cell>
          <cell r="P1128" t="str">
            <v>OC'S GRANATO</v>
          </cell>
          <cell r="Q1128" t="str">
            <v>-</v>
          </cell>
          <cell r="S1128" t="str">
            <v>-</v>
          </cell>
          <cell r="U1128">
            <v>12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1</v>
          </cell>
          <cell r="AA1128">
            <v>1</v>
          </cell>
          <cell r="AB1128">
            <v>0</v>
          </cell>
          <cell r="AC1128">
            <v>6</v>
          </cell>
          <cell r="AD1128">
            <v>5</v>
          </cell>
        </row>
        <row r="1129">
          <cell r="A1129" t="str">
            <v>33.15.10258.02</v>
          </cell>
          <cell r="B1129" t="str">
            <v>POSTE DE SUPORTE SENSOR / 33.15.10258.02</v>
          </cell>
          <cell r="C1129">
            <v>46072</v>
          </cell>
          <cell r="D1129" t="str">
            <v>-</v>
          </cell>
          <cell r="E1129" t="str">
            <v>-</v>
          </cell>
          <cell r="F1129" t="str">
            <v>-</v>
          </cell>
          <cell r="G1129" t="str">
            <v>-</v>
          </cell>
          <cell r="H1129" t="str">
            <v>-</v>
          </cell>
          <cell r="I1129" t="str">
            <v>-</v>
          </cell>
          <cell r="J1129">
            <v>0</v>
          </cell>
          <cell r="K1129">
            <v>24</v>
          </cell>
          <cell r="L1129" t="str">
            <v>ENTREGA TOTAL</v>
          </cell>
          <cell r="M1129" t="str">
            <v>-</v>
          </cell>
          <cell r="N1129" t="str">
            <v>OC'S METALFISA</v>
          </cell>
          <cell r="O1129">
            <v>16</v>
          </cell>
          <cell r="P1129" t="str">
            <v>OC'S GRANATO</v>
          </cell>
          <cell r="Q1129" t="str">
            <v>-</v>
          </cell>
          <cell r="S1129" t="str">
            <v>-</v>
          </cell>
          <cell r="U1129">
            <v>16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4</v>
          </cell>
          <cell r="AA1129">
            <v>4</v>
          </cell>
          <cell r="AB1129">
            <v>0</v>
          </cell>
          <cell r="AC1129">
            <v>12</v>
          </cell>
          <cell r="AD1129">
            <v>8</v>
          </cell>
        </row>
        <row r="1130">
          <cell r="A1130" t="str">
            <v>33.15.10265.02</v>
          </cell>
          <cell r="B1130" t="str">
            <v>SUPORTE CAMERA / 33.15.10265.02</v>
          </cell>
          <cell r="C1130">
            <v>46072</v>
          </cell>
          <cell r="D1130" t="str">
            <v>-</v>
          </cell>
          <cell r="E1130" t="str">
            <v>-</v>
          </cell>
          <cell r="F1130" t="str">
            <v>-</v>
          </cell>
          <cell r="G1130" t="str">
            <v>-</v>
          </cell>
          <cell r="H1130" t="str">
            <v>-</v>
          </cell>
          <cell r="I1130" t="str">
            <v>-</v>
          </cell>
          <cell r="J1130">
            <v>0</v>
          </cell>
          <cell r="K1130">
            <v>4</v>
          </cell>
          <cell r="L1130" t="str">
            <v>ENTREGA TOTAL</v>
          </cell>
          <cell r="M1130" t="str">
            <v>-</v>
          </cell>
          <cell r="N1130" t="str">
            <v>OC'S METALFISA</v>
          </cell>
          <cell r="O1130">
            <v>4</v>
          </cell>
          <cell r="P1130" t="str">
            <v>OC'S GRANATO</v>
          </cell>
          <cell r="Q1130" t="str">
            <v>-</v>
          </cell>
          <cell r="S1130" t="str">
            <v>-</v>
          </cell>
          <cell r="U1130">
            <v>4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2</v>
          </cell>
          <cell r="AA1130">
            <v>2</v>
          </cell>
          <cell r="AB1130">
            <v>0</v>
          </cell>
          <cell r="AC1130">
            <v>2</v>
          </cell>
          <cell r="AD1130">
            <v>0</v>
          </cell>
        </row>
        <row r="1131">
          <cell r="A1131" t="str">
            <v>33.15.10276.01</v>
          </cell>
          <cell r="B1131" t="str">
            <v>POSTE PARA SENSOR CANCELA / 33.15.10276.01</v>
          </cell>
          <cell r="D1131" t="str">
            <v>-</v>
          </cell>
          <cell r="E1131" t="str">
            <v>-</v>
          </cell>
          <cell r="F1131" t="str">
            <v>-</v>
          </cell>
          <cell r="G1131" t="str">
            <v>-</v>
          </cell>
          <cell r="H1131" t="str">
            <v>-</v>
          </cell>
          <cell r="I1131" t="str">
            <v>-</v>
          </cell>
          <cell r="J1131">
            <v>0</v>
          </cell>
          <cell r="K1131">
            <v>-2</v>
          </cell>
          <cell r="L1131" t="str">
            <v>FALTA ENTREGA</v>
          </cell>
          <cell r="M1131" t="str">
            <v>-</v>
          </cell>
          <cell r="N1131" t="str">
            <v>OC'S METALFISA</v>
          </cell>
          <cell r="O1131" t="str">
            <v>-</v>
          </cell>
          <cell r="Q1131" t="str">
            <v>-</v>
          </cell>
          <cell r="S1131" t="str">
            <v>-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2</v>
          </cell>
          <cell r="AA1131">
            <v>2</v>
          </cell>
          <cell r="AB1131">
            <v>0</v>
          </cell>
          <cell r="AC1131">
            <v>0</v>
          </cell>
          <cell r="AD1131">
            <v>-2</v>
          </cell>
        </row>
        <row r="1132">
          <cell r="A1132" t="str">
            <v>33.15.10285.01</v>
          </cell>
          <cell r="B1132" t="str">
            <v>TAMPA SOLDADA PARA DETECTORES VERTICAIS / 33.15.10285.01</v>
          </cell>
          <cell r="C1132">
            <v>46072</v>
          </cell>
          <cell r="D1132" t="str">
            <v>-</v>
          </cell>
          <cell r="E1132" t="str">
            <v>-</v>
          </cell>
          <cell r="F1132" t="str">
            <v>-</v>
          </cell>
          <cell r="G1132" t="str">
            <v>-</v>
          </cell>
          <cell r="H1132" t="str">
            <v>-</v>
          </cell>
          <cell r="I1132" t="str">
            <v>-</v>
          </cell>
          <cell r="J1132">
            <v>0</v>
          </cell>
          <cell r="K1132">
            <v>11</v>
          </cell>
          <cell r="L1132" t="str">
            <v>ENTREGA PARCIAL</v>
          </cell>
          <cell r="M1132" t="str">
            <v>-</v>
          </cell>
          <cell r="N1132" t="str">
            <v>OC'S METALFISA</v>
          </cell>
          <cell r="O1132">
            <v>12</v>
          </cell>
          <cell r="P1132" t="str">
            <v>OC'S GRANATO</v>
          </cell>
          <cell r="Q1132" t="str">
            <v>-</v>
          </cell>
          <cell r="S1132" t="str">
            <v>-</v>
          </cell>
          <cell r="U1132">
            <v>12</v>
          </cell>
          <cell r="V1132">
            <v>1</v>
          </cell>
          <cell r="W1132">
            <v>0</v>
          </cell>
          <cell r="X1132">
            <v>0</v>
          </cell>
          <cell r="Y1132">
            <v>0</v>
          </cell>
          <cell r="Z1132">
            <v>6</v>
          </cell>
          <cell r="AA1132">
            <v>7</v>
          </cell>
          <cell r="AB1132">
            <v>0</v>
          </cell>
          <cell r="AC1132">
            <v>6</v>
          </cell>
          <cell r="AD1132">
            <v>-1</v>
          </cell>
        </row>
        <row r="1133">
          <cell r="A1133" t="str">
            <v>33.15.10290.00</v>
          </cell>
          <cell r="B1133" t="str">
            <v>CONJUNTO CABINE ACELERADOR LONGITUDINAL / 33.15.10290.00</v>
          </cell>
          <cell r="D1133" t="str">
            <v>-</v>
          </cell>
          <cell r="E1133" t="str">
            <v>-</v>
          </cell>
          <cell r="F1133" t="str">
            <v>-</v>
          </cell>
          <cell r="G1133" t="str">
            <v>-</v>
          </cell>
          <cell r="H1133" t="str">
            <v>-</v>
          </cell>
          <cell r="I1133" t="str">
            <v>-</v>
          </cell>
          <cell r="J1133">
            <v>0</v>
          </cell>
          <cell r="K1133">
            <v>0</v>
          </cell>
          <cell r="L1133" t="str">
            <v>ENTREGA TOTAL</v>
          </cell>
          <cell r="M1133" t="str">
            <v>-</v>
          </cell>
          <cell r="N1133" t="str">
            <v>OC'S METALFISA</v>
          </cell>
          <cell r="O1133" t="str">
            <v>-</v>
          </cell>
          <cell r="Q1133" t="str">
            <v>-</v>
          </cell>
          <cell r="S1133" t="str">
            <v>-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1</v>
          </cell>
          <cell r="AA1133">
            <v>1</v>
          </cell>
          <cell r="AB1133">
            <v>0</v>
          </cell>
          <cell r="AC1133">
            <v>1</v>
          </cell>
          <cell r="AD1133">
            <v>0</v>
          </cell>
        </row>
        <row r="1134">
          <cell r="A1134" t="str">
            <v>33.15.10294.00</v>
          </cell>
          <cell r="B1134" t="str">
            <v>TRAVESSA SUPERIOR LIMITADOR DE ALTURA E OCR - TUBO QUADRADO / 33.15.10294.00</v>
          </cell>
          <cell r="D1134" t="str">
            <v>-</v>
          </cell>
          <cell r="E1134" t="str">
            <v>-</v>
          </cell>
          <cell r="F1134" t="str">
            <v>-</v>
          </cell>
          <cell r="G1134" t="str">
            <v>-</v>
          </cell>
          <cell r="H1134" t="str">
            <v>-</v>
          </cell>
          <cell r="I1134" t="str">
            <v>-</v>
          </cell>
          <cell r="J1134">
            <v>0</v>
          </cell>
          <cell r="K1134">
            <v>1</v>
          </cell>
          <cell r="L1134" t="str">
            <v>FALTA ENTREGA</v>
          </cell>
          <cell r="M1134" t="str">
            <v>-</v>
          </cell>
          <cell r="N1134" t="str">
            <v>OC'S METALFISA</v>
          </cell>
          <cell r="O1134">
            <v>2</v>
          </cell>
          <cell r="P1134" t="str">
            <v>OC'S GRANATO</v>
          </cell>
          <cell r="Q1134" t="str">
            <v>-</v>
          </cell>
          <cell r="S1134" t="str">
            <v>-</v>
          </cell>
          <cell r="U1134">
            <v>2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1</v>
          </cell>
          <cell r="AA1134">
            <v>1</v>
          </cell>
          <cell r="AB1134">
            <v>0</v>
          </cell>
          <cell r="AC1134">
            <v>0</v>
          </cell>
          <cell r="AD1134">
            <v>-1</v>
          </cell>
        </row>
        <row r="1135">
          <cell r="A1135" t="str">
            <v>33.15.10356.00</v>
          </cell>
          <cell r="B1135" t="str">
            <v>SUPORTE PARA SINALIZADOR / 33.15.10356.00</v>
          </cell>
          <cell r="C1135">
            <v>46072</v>
          </cell>
          <cell r="D1135" t="str">
            <v>-</v>
          </cell>
          <cell r="E1135" t="str">
            <v>-</v>
          </cell>
          <cell r="F1135" t="str">
            <v>-</v>
          </cell>
          <cell r="G1135" t="str">
            <v>-</v>
          </cell>
          <cell r="H1135" t="str">
            <v>-</v>
          </cell>
          <cell r="I1135" t="str">
            <v>-</v>
          </cell>
          <cell r="J1135">
            <v>0</v>
          </cell>
          <cell r="K1135">
            <v>2</v>
          </cell>
          <cell r="L1135" t="str">
            <v>ENTREGA TOTAL</v>
          </cell>
          <cell r="M1135" t="str">
            <v>-</v>
          </cell>
          <cell r="N1135" t="str">
            <v>OC'S METALFISA</v>
          </cell>
          <cell r="O1135">
            <v>2</v>
          </cell>
          <cell r="P1135" t="str">
            <v>OC'S GRANATO</v>
          </cell>
          <cell r="Q1135" t="str">
            <v>-</v>
          </cell>
          <cell r="S1135" t="str">
            <v>-</v>
          </cell>
          <cell r="U1135">
            <v>2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1</v>
          </cell>
          <cell r="AA1135">
            <v>1</v>
          </cell>
          <cell r="AB1135">
            <v>0</v>
          </cell>
          <cell r="AC1135">
            <v>1</v>
          </cell>
          <cell r="AD1135">
            <v>0</v>
          </cell>
        </row>
        <row r="1136">
          <cell r="A1136" t="str">
            <v>33.15.10357.00</v>
          </cell>
          <cell r="B1136" t="str">
            <v>ACABAMENTO SUPORTE PARA SINALIZADOR / 33.15.10357.00</v>
          </cell>
          <cell r="D1136" t="str">
            <v>-</v>
          </cell>
          <cell r="E1136" t="str">
            <v>-</v>
          </cell>
          <cell r="F1136" t="str">
            <v>-</v>
          </cell>
          <cell r="G1136" t="str">
            <v>-</v>
          </cell>
          <cell r="H1136" t="str">
            <v>-</v>
          </cell>
          <cell r="I1136" t="str">
            <v>-</v>
          </cell>
          <cell r="J1136">
            <v>0</v>
          </cell>
          <cell r="K1136">
            <v>1</v>
          </cell>
          <cell r="L1136" t="str">
            <v>FALTA ENTREGA</v>
          </cell>
          <cell r="M1136" t="str">
            <v>-</v>
          </cell>
          <cell r="N1136" t="str">
            <v>OC'S METALFISA</v>
          </cell>
          <cell r="O1136">
            <v>2</v>
          </cell>
          <cell r="P1136" t="str">
            <v>OC'S GRANATO</v>
          </cell>
          <cell r="Q1136" t="str">
            <v>-</v>
          </cell>
          <cell r="S1136" t="str">
            <v>-</v>
          </cell>
          <cell r="U1136">
            <v>2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1</v>
          </cell>
          <cell r="AA1136">
            <v>1</v>
          </cell>
          <cell r="AB1136">
            <v>0</v>
          </cell>
          <cell r="AC1136">
            <v>0</v>
          </cell>
          <cell r="AD1136">
            <v>-1</v>
          </cell>
        </row>
        <row r="1137">
          <cell r="A1137" t="str">
            <v>33.15.10358.00</v>
          </cell>
          <cell r="B1137" t="str">
            <v>CHAPA DE SUPORTE PARA CABOS / 33.15.10358.00</v>
          </cell>
          <cell r="D1137" t="str">
            <v>-</v>
          </cell>
          <cell r="E1137" t="str">
            <v>-</v>
          </cell>
          <cell r="F1137" t="str">
            <v>-</v>
          </cell>
          <cell r="G1137" t="str">
            <v>-</v>
          </cell>
          <cell r="H1137" t="str">
            <v>-</v>
          </cell>
          <cell r="I1137" t="str">
            <v>-</v>
          </cell>
          <cell r="J1137">
            <v>0</v>
          </cell>
          <cell r="K1137" t="e">
            <v>#VALUE!</v>
          </cell>
          <cell r="L1137" t="str">
            <v>ENTREGA TOTAL</v>
          </cell>
          <cell r="M1137" t="str">
            <v>-</v>
          </cell>
          <cell r="N1137" t="str">
            <v>OC'S METALFISA</v>
          </cell>
          <cell r="O1137">
            <v>1</v>
          </cell>
          <cell r="P1137" t="str">
            <v>OC'S GRANATO</v>
          </cell>
          <cell r="Q1137" t="str">
            <v>-</v>
          </cell>
          <cell r="S1137" t="str">
            <v>-</v>
          </cell>
          <cell r="U1137">
            <v>1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1</v>
          </cell>
          <cell r="AA1137">
            <v>1</v>
          </cell>
          <cell r="AB1137" t="str">
            <v>0</v>
          </cell>
          <cell r="AC1137" t="str">
            <v>-</v>
          </cell>
          <cell r="AD1137" t="str">
            <v>-</v>
          </cell>
        </row>
        <row r="1138">
          <cell r="A1138" t="str">
            <v>33.15.10414.00</v>
          </cell>
          <cell r="B1138" t="str">
            <v>CONJUNTO TAMPA SUPORTE MICRORRUPTORES CABINE / 33.15.10414.00</v>
          </cell>
          <cell r="C1138">
            <v>46072</v>
          </cell>
          <cell r="D1138" t="str">
            <v>-</v>
          </cell>
          <cell r="E1138" t="str">
            <v>-</v>
          </cell>
          <cell r="F1138" t="str">
            <v>-</v>
          </cell>
          <cell r="G1138" t="str">
            <v>-</v>
          </cell>
          <cell r="H1138" t="str">
            <v>-</v>
          </cell>
          <cell r="I1138" t="str">
            <v>-</v>
          </cell>
          <cell r="J1138">
            <v>0</v>
          </cell>
          <cell r="K1138">
            <v>6</v>
          </cell>
          <cell r="L1138" t="str">
            <v>ENTREGA TOTAL</v>
          </cell>
          <cell r="M1138" t="str">
            <v>-</v>
          </cell>
          <cell r="N1138" t="str">
            <v>OC'S METALFISA</v>
          </cell>
          <cell r="O1138">
            <v>6</v>
          </cell>
          <cell r="P1138" t="str">
            <v>OC'S GRANATO</v>
          </cell>
          <cell r="Q1138" t="str">
            <v>-</v>
          </cell>
          <cell r="S1138" t="str">
            <v>-</v>
          </cell>
          <cell r="U1138">
            <v>6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3</v>
          </cell>
          <cell r="AA1138">
            <v>3</v>
          </cell>
          <cell r="AB1138">
            <v>0</v>
          </cell>
          <cell r="AC1138">
            <v>3</v>
          </cell>
          <cell r="AD1138">
            <v>0</v>
          </cell>
        </row>
        <row r="1139">
          <cell r="A1139" t="str">
            <v>33.15.10422.00</v>
          </cell>
          <cell r="B1139" t="str">
            <v>COLUNA ESQUERDA LIMITADOR DE ALTURA E OCR - TUBO QUADRADO / 33.15.10422.00</v>
          </cell>
          <cell r="D1139" t="str">
            <v>-</v>
          </cell>
          <cell r="E1139" t="str">
            <v>-</v>
          </cell>
          <cell r="F1139" t="str">
            <v>-</v>
          </cell>
          <cell r="G1139" t="str">
            <v>-</v>
          </cell>
          <cell r="H1139" t="str">
            <v>-</v>
          </cell>
          <cell r="I1139" t="str">
            <v>-</v>
          </cell>
          <cell r="J1139">
            <v>0</v>
          </cell>
          <cell r="K1139">
            <v>1</v>
          </cell>
          <cell r="L1139" t="str">
            <v>FALTA ENTREGA</v>
          </cell>
          <cell r="M1139" t="str">
            <v>-</v>
          </cell>
          <cell r="N1139" t="str">
            <v>OC'S METALFISA</v>
          </cell>
          <cell r="O1139">
            <v>2</v>
          </cell>
          <cell r="P1139" t="str">
            <v>OC'S GRANATO</v>
          </cell>
          <cell r="Q1139" t="str">
            <v>-</v>
          </cell>
          <cell r="S1139" t="str">
            <v>-</v>
          </cell>
          <cell r="U1139">
            <v>2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1</v>
          </cell>
          <cell r="AA1139">
            <v>1</v>
          </cell>
          <cell r="AB1139">
            <v>0</v>
          </cell>
          <cell r="AC1139">
            <v>0</v>
          </cell>
          <cell r="AD1139">
            <v>-1</v>
          </cell>
        </row>
        <row r="1140">
          <cell r="A1140" t="str">
            <v>33.15.10450.02</v>
          </cell>
          <cell r="B1140" t="str">
            <v>SUPORTE 90 GRAUS DA CAMERA / 33.15.10450.02</v>
          </cell>
          <cell r="D1140" t="str">
            <v>-</v>
          </cell>
          <cell r="E1140" t="str">
            <v>-</v>
          </cell>
          <cell r="F1140" t="str">
            <v>-</v>
          </cell>
          <cell r="G1140" t="str">
            <v>-</v>
          </cell>
          <cell r="H1140" t="str">
            <v>-</v>
          </cell>
          <cell r="I1140" t="str">
            <v>-</v>
          </cell>
          <cell r="J1140">
            <v>0</v>
          </cell>
          <cell r="K1140">
            <v>2</v>
          </cell>
          <cell r="L1140" t="str">
            <v>FALTA ENTREGA</v>
          </cell>
          <cell r="M1140" t="str">
            <v>-</v>
          </cell>
          <cell r="N1140" t="str">
            <v>OC'S METALFISA</v>
          </cell>
          <cell r="O1140">
            <v>4</v>
          </cell>
          <cell r="P1140" t="str">
            <v>OC'S GRANATO</v>
          </cell>
          <cell r="Q1140" t="str">
            <v>-</v>
          </cell>
          <cell r="S1140" t="str">
            <v>-</v>
          </cell>
          <cell r="U1140">
            <v>4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2</v>
          </cell>
          <cell r="AA1140">
            <v>2</v>
          </cell>
          <cell r="AB1140">
            <v>0</v>
          </cell>
          <cell r="AC1140">
            <v>0</v>
          </cell>
          <cell r="AD1140">
            <v>-2</v>
          </cell>
        </row>
        <row r="1141">
          <cell r="A1141" t="str">
            <v>33.15.10451.01</v>
          </cell>
          <cell r="B1141" t="str">
            <v>CHAPA SUPORTE 90 GRAUS CAMERA / 33.15.10451.01</v>
          </cell>
          <cell r="C1141">
            <v>46072</v>
          </cell>
          <cell r="D1141" t="str">
            <v>-</v>
          </cell>
          <cell r="E1141" t="str">
            <v>-</v>
          </cell>
          <cell r="F1141" t="str">
            <v>-</v>
          </cell>
          <cell r="G1141" t="str">
            <v>-</v>
          </cell>
          <cell r="H1141" t="str">
            <v>-</v>
          </cell>
          <cell r="I1141" t="str">
            <v>-</v>
          </cell>
          <cell r="J1141">
            <v>0</v>
          </cell>
          <cell r="K1141">
            <v>4</v>
          </cell>
          <cell r="L1141" t="str">
            <v>ENTREGA TOTAL</v>
          </cell>
          <cell r="M1141" t="str">
            <v>-</v>
          </cell>
          <cell r="N1141" t="str">
            <v>OC'S METALFISA</v>
          </cell>
          <cell r="O1141">
            <v>4</v>
          </cell>
          <cell r="P1141" t="str">
            <v>OC'S GRANATO</v>
          </cell>
          <cell r="Q1141" t="str">
            <v>-</v>
          </cell>
          <cell r="S1141" t="str">
            <v>-</v>
          </cell>
          <cell r="U1141">
            <v>4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2</v>
          </cell>
          <cell r="AA1141">
            <v>2</v>
          </cell>
          <cell r="AB1141">
            <v>0</v>
          </cell>
          <cell r="AC1141">
            <v>2</v>
          </cell>
          <cell r="AD1141">
            <v>0</v>
          </cell>
        </row>
        <row r="1142">
          <cell r="A1142" t="str">
            <v>33.15.10491.00</v>
          </cell>
          <cell r="B1142" t="str">
            <v>COLUNA DIREITA LIMITADOR DE ALTURA E OCR - TUBO QUADRADO / 33.15.10491.00</v>
          </cell>
          <cell r="D1142" t="str">
            <v>-</v>
          </cell>
          <cell r="E1142" t="str">
            <v>-</v>
          </cell>
          <cell r="F1142" t="str">
            <v>-</v>
          </cell>
          <cell r="G1142" t="str">
            <v>-</v>
          </cell>
          <cell r="H1142" t="str">
            <v>-</v>
          </cell>
          <cell r="I1142" t="str">
            <v>-</v>
          </cell>
          <cell r="J1142">
            <v>0</v>
          </cell>
          <cell r="K1142">
            <v>1</v>
          </cell>
          <cell r="L1142" t="str">
            <v>FALTA ENTREGA</v>
          </cell>
          <cell r="M1142" t="str">
            <v>-</v>
          </cell>
          <cell r="N1142" t="str">
            <v>OC'S METALFISA</v>
          </cell>
          <cell r="O1142">
            <v>2</v>
          </cell>
          <cell r="P1142" t="str">
            <v>OC'S GRANATO</v>
          </cell>
          <cell r="Q1142" t="str">
            <v>-</v>
          </cell>
          <cell r="S1142" t="str">
            <v>-</v>
          </cell>
          <cell r="U1142">
            <v>2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1</v>
          </cell>
          <cell r="AA1142">
            <v>1</v>
          </cell>
          <cell r="AB1142">
            <v>0</v>
          </cell>
          <cell r="AC1142">
            <v>0</v>
          </cell>
          <cell r="AD1142">
            <v>-1</v>
          </cell>
        </row>
        <row r="1143">
          <cell r="A1143" t="str">
            <v>33.15.10519.00</v>
          </cell>
          <cell r="B1143" t="str">
            <v>BASE MONTAGEM DOS LED HORIZONTAL / 33.15.10519.00</v>
          </cell>
          <cell r="D1143" t="str">
            <v>-</v>
          </cell>
          <cell r="E1143" t="str">
            <v>-</v>
          </cell>
          <cell r="F1143" t="str">
            <v>-</v>
          </cell>
          <cell r="G1143" t="str">
            <v>-</v>
          </cell>
          <cell r="H1143" t="str">
            <v>-</v>
          </cell>
          <cell r="I1143" t="str">
            <v>-</v>
          </cell>
          <cell r="J1143">
            <v>0</v>
          </cell>
          <cell r="K1143">
            <v>1</v>
          </cell>
          <cell r="L1143" t="str">
            <v>FALTA ENTREGA</v>
          </cell>
          <cell r="M1143" t="str">
            <v>-</v>
          </cell>
          <cell r="N1143" t="str">
            <v>OC'S METALFISA</v>
          </cell>
          <cell r="O1143">
            <v>2</v>
          </cell>
          <cell r="P1143" t="str">
            <v>OC'S GRANATO</v>
          </cell>
          <cell r="Q1143" t="str">
            <v>-</v>
          </cell>
          <cell r="S1143" t="str">
            <v>-</v>
          </cell>
          <cell r="U1143">
            <v>2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1</v>
          </cell>
          <cell r="AA1143">
            <v>1</v>
          </cell>
          <cell r="AB1143">
            <v>0</v>
          </cell>
          <cell r="AC1143">
            <v>0</v>
          </cell>
          <cell r="AD1143">
            <v>-1</v>
          </cell>
        </row>
        <row r="1144">
          <cell r="A1144" t="str">
            <v>33.15.10599.01</v>
          </cell>
          <cell r="B1144" t="str">
            <v>PROTECAO SENSOR BARREIRA WEG - EO10 - 1GB1LD / 33.15.10599.01</v>
          </cell>
          <cell r="C1144">
            <v>46072</v>
          </cell>
          <cell r="D1144" t="str">
            <v>-</v>
          </cell>
          <cell r="E1144" t="str">
            <v>-</v>
          </cell>
          <cell r="F1144" t="str">
            <v>-</v>
          </cell>
          <cell r="G1144" t="str">
            <v>-</v>
          </cell>
          <cell r="H1144" t="str">
            <v>-</v>
          </cell>
          <cell r="I1144" t="str">
            <v>-</v>
          </cell>
          <cell r="J1144">
            <v>0</v>
          </cell>
          <cell r="K1144">
            <v>30</v>
          </cell>
          <cell r="L1144" t="str">
            <v>ENTREGA TOTAL</v>
          </cell>
          <cell r="M1144" t="str">
            <v>-</v>
          </cell>
          <cell r="N1144" t="str">
            <v>OC'S METALFISA</v>
          </cell>
          <cell r="O1144">
            <v>30</v>
          </cell>
          <cell r="P1144" t="str">
            <v>OC'S GRANATO</v>
          </cell>
          <cell r="Q1144" t="str">
            <v>-</v>
          </cell>
          <cell r="S1144" t="str">
            <v>-</v>
          </cell>
          <cell r="U1144">
            <v>30</v>
          </cell>
          <cell r="V1144">
            <v>10</v>
          </cell>
          <cell r="W1144">
            <v>0</v>
          </cell>
          <cell r="X1144">
            <v>0</v>
          </cell>
          <cell r="Y1144">
            <v>0</v>
          </cell>
          <cell r="Z1144">
            <v>10</v>
          </cell>
          <cell r="AA1144">
            <v>20</v>
          </cell>
          <cell r="AB1144">
            <v>0</v>
          </cell>
          <cell r="AC1144">
            <v>20</v>
          </cell>
          <cell r="AD1144">
            <v>0</v>
          </cell>
        </row>
        <row r="1145">
          <cell r="A1145" t="str">
            <v>33.15.10602.00</v>
          </cell>
          <cell r="B1145" t="str">
            <v>SUPORTE FIXACAO SENSOR BARREIRA  WEG - EO10 - 1GB1LD / 33.15.10602.00</v>
          </cell>
          <cell r="D1145" t="str">
            <v>-</v>
          </cell>
          <cell r="E1145" t="str">
            <v>-</v>
          </cell>
          <cell r="F1145" t="str">
            <v>-</v>
          </cell>
          <cell r="G1145" t="str">
            <v>-</v>
          </cell>
          <cell r="H1145" t="str">
            <v>-</v>
          </cell>
          <cell r="I1145" t="str">
            <v>-</v>
          </cell>
          <cell r="J1145">
            <v>0</v>
          </cell>
          <cell r="K1145">
            <v>8</v>
          </cell>
          <cell r="L1145" t="str">
            <v>FALTA ENTREGA</v>
          </cell>
          <cell r="M1145" t="str">
            <v>-</v>
          </cell>
          <cell r="N1145" t="str">
            <v>OC'S METALFISA</v>
          </cell>
          <cell r="O1145">
            <v>10</v>
          </cell>
          <cell r="P1145" t="str">
            <v>OC'S GRANATO</v>
          </cell>
          <cell r="Q1145" t="str">
            <v>-</v>
          </cell>
          <cell r="S1145" t="str">
            <v>-</v>
          </cell>
          <cell r="U1145">
            <v>10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2</v>
          </cell>
          <cell r="AA1145">
            <v>2</v>
          </cell>
          <cell r="AB1145">
            <v>0</v>
          </cell>
          <cell r="AC1145">
            <v>0</v>
          </cell>
          <cell r="AD1145">
            <v>-2</v>
          </cell>
        </row>
        <row r="1146">
          <cell r="A1146" t="str">
            <v>33.15.10658.01</v>
          </cell>
          <cell r="B1146" t="str">
            <v>SUPORTE PLACAS HORIZONTAIS / 33.15.10658.01</v>
          </cell>
          <cell r="D1146" t="str">
            <v>-</v>
          </cell>
          <cell r="E1146" t="str">
            <v>-</v>
          </cell>
          <cell r="F1146" t="str">
            <v>-</v>
          </cell>
          <cell r="G1146" t="str">
            <v>-</v>
          </cell>
          <cell r="H1146" t="str">
            <v>-</v>
          </cell>
          <cell r="I1146" t="str">
            <v>-</v>
          </cell>
          <cell r="J1146">
            <v>0</v>
          </cell>
          <cell r="K1146">
            <v>0</v>
          </cell>
          <cell r="L1146" t="str">
            <v>FALTA ENTREGA</v>
          </cell>
          <cell r="M1146" t="str">
            <v>-</v>
          </cell>
          <cell r="N1146" t="str">
            <v>OC'S METALFISA</v>
          </cell>
          <cell r="O1146">
            <v>1</v>
          </cell>
          <cell r="P1146" t="str">
            <v>OC'S GRANATO</v>
          </cell>
          <cell r="Q1146" t="str">
            <v>-</v>
          </cell>
          <cell r="S1146" t="str">
            <v>-</v>
          </cell>
          <cell r="U1146">
            <v>1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1</v>
          </cell>
          <cell r="AA1146">
            <v>1</v>
          </cell>
          <cell r="AB1146">
            <v>0</v>
          </cell>
          <cell r="AC1146">
            <v>0</v>
          </cell>
          <cell r="AD1146">
            <v>-1</v>
          </cell>
        </row>
        <row r="1147">
          <cell r="A1147" t="str">
            <v>33.15.10662.01</v>
          </cell>
          <cell r="B1147" t="str">
            <v>SUPORTE PLACAS DETECTORAS VERTICAL / 33.15.10662.01</v>
          </cell>
          <cell r="D1147" t="str">
            <v>-</v>
          </cell>
          <cell r="E1147" t="str">
            <v>-</v>
          </cell>
          <cell r="F1147" t="str">
            <v>-</v>
          </cell>
          <cell r="G1147" t="str">
            <v>-</v>
          </cell>
          <cell r="H1147" t="str">
            <v>-</v>
          </cell>
          <cell r="I1147" t="str">
            <v>-</v>
          </cell>
          <cell r="J1147">
            <v>0</v>
          </cell>
          <cell r="K1147">
            <v>0</v>
          </cell>
          <cell r="L1147" t="str">
            <v>FALTA ENTREGA</v>
          </cell>
          <cell r="M1147" t="str">
            <v>-</v>
          </cell>
          <cell r="N1147" t="str">
            <v>OC'S METALFISA</v>
          </cell>
          <cell r="O1147">
            <v>1</v>
          </cell>
          <cell r="P1147" t="str">
            <v>OC'S GRANATO</v>
          </cell>
          <cell r="Q1147" t="str">
            <v>-</v>
          </cell>
          <cell r="S1147" t="str">
            <v>-</v>
          </cell>
          <cell r="U1147">
            <v>1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1</v>
          </cell>
          <cell r="AA1147">
            <v>1</v>
          </cell>
          <cell r="AB1147">
            <v>0</v>
          </cell>
          <cell r="AC1147">
            <v>0</v>
          </cell>
          <cell r="AD1147">
            <v>-1</v>
          </cell>
        </row>
        <row r="1148">
          <cell r="A1148" t="str">
            <v>33.15.10681.00</v>
          </cell>
          <cell r="B1148" t="str">
            <v>CHAPA DE LIGACAO - 33.15.10681.00</v>
          </cell>
          <cell r="D1148" t="str">
            <v>-</v>
          </cell>
          <cell r="E1148" t="str">
            <v>-</v>
          </cell>
          <cell r="F1148" t="str">
            <v>-</v>
          </cell>
          <cell r="G1148" t="str">
            <v>-</v>
          </cell>
          <cell r="H1148" t="str">
            <v>-</v>
          </cell>
          <cell r="I1148" t="str">
            <v>-</v>
          </cell>
          <cell r="J1148">
            <v>0</v>
          </cell>
          <cell r="K1148">
            <v>1</v>
          </cell>
          <cell r="L1148" t="str">
            <v>FALTA ENTREGA</v>
          </cell>
          <cell r="M1148" t="str">
            <v>-</v>
          </cell>
          <cell r="N1148" t="str">
            <v>OC'S METALFISA</v>
          </cell>
          <cell r="O1148">
            <v>2</v>
          </cell>
          <cell r="P1148" t="str">
            <v>OC'S GRANATO</v>
          </cell>
          <cell r="Q1148" t="str">
            <v>-</v>
          </cell>
          <cell r="S1148" t="str">
            <v>-</v>
          </cell>
          <cell r="U1148">
            <v>2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1</v>
          </cell>
          <cell r="AA1148">
            <v>1</v>
          </cell>
          <cell r="AB1148">
            <v>0</v>
          </cell>
          <cell r="AC1148">
            <v>0</v>
          </cell>
          <cell r="AD1148">
            <v>-1</v>
          </cell>
        </row>
        <row r="1149">
          <cell r="A1149" t="str">
            <v>33.15.10699.01</v>
          </cell>
          <cell r="B1149" t="str">
            <v>ESTRUTURA SOLDADA CAIXA HORIZONTAL / 33.15.10699.01</v>
          </cell>
          <cell r="D1149" t="str">
            <v>-</v>
          </cell>
          <cell r="E1149" t="str">
            <v>-</v>
          </cell>
          <cell r="F1149" t="str">
            <v>-</v>
          </cell>
          <cell r="G1149" t="str">
            <v>-</v>
          </cell>
          <cell r="H1149" t="str">
            <v>-</v>
          </cell>
          <cell r="I1149" t="str">
            <v>-</v>
          </cell>
          <cell r="J1149">
            <v>0</v>
          </cell>
          <cell r="K1149">
            <v>0</v>
          </cell>
          <cell r="L1149" t="str">
            <v>FALTA ENTREGA</v>
          </cell>
          <cell r="M1149" t="str">
            <v>-</v>
          </cell>
          <cell r="N1149" t="str">
            <v>OC'S METALFISA</v>
          </cell>
          <cell r="O1149">
            <v>1</v>
          </cell>
          <cell r="P1149" t="str">
            <v>OC'S GRANATO</v>
          </cell>
          <cell r="Q1149" t="str">
            <v>-</v>
          </cell>
          <cell r="S1149" t="str">
            <v>-</v>
          </cell>
          <cell r="U1149">
            <v>1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1</v>
          </cell>
          <cell r="AA1149">
            <v>1</v>
          </cell>
          <cell r="AB1149">
            <v>0</v>
          </cell>
          <cell r="AC1149">
            <v>0</v>
          </cell>
          <cell r="AD1149">
            <v>-1</v>
          </cell>
        </row>
        <row r="1150">
          <cell r="A1150" t="str">
            <v>33.15.10705.01</v>
          </cell>
          <cell r="B1150" t="str">
            <v>CAIXA SOLDADO CAIXA VERTICAL / 33.15.10705.01</v>
          </cell>
          <cell r="D1150" t="str">
            <v>-</v>
          </cell>
          <cell r="E1150" t="str">
            <v>-</v>
          </cell>
          <cell r="F1150" t="str">
            <v>-</v>
          </cell>
          <cell r="G1150" t="str">
            <v>-</v>
          </cell>
          <cell r="H1150" t="str">
            <v>-</v>
          </cell>
          <cell r="I1150" t="str">
            <v>-</v>
          </cell>
          <cell r="J1150">
            <v>0</v>
          </cell>
          <cell r="K1150">
            <v>0</v>
          </cell>
          <cell r="L1150" t="str">
            <v>FALTA ENTREGA</v>
          </cell>
          <cell r="M1150" t="str">
            <v>-</v>
          </cell>
          <cell r="N1150" t="str">
            <v>OC'S METALFISA</v>
          </cell>
          <cell r="O1150">
            <v>1</v>
          </cell>
          <cell r="P1150" t="str">
            <v>OC'S GRANATO</v>
          </cell>
          <cell r="Q1150" t="str">
            <v>-</v>
          </cell>
          <cell r="S1150" t="str">
            <v>-</v>
          </cell>
          <cell r="U1150">
            <v>1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1</v>
          </cell>
          <cell r="AA1150">
            <v>1</v>
          </cell>
          <cell r="AB1150">
            <v>0</v>
          </cell>
          <cell r="AC1150">
            <v>0</v>
          </cell>
          <cell r="AD1150">
            <v>-1</v>
          </cell>
        </row>
        <row r="1151">
          <cell r="A1151" t="str">
            <v>33.15.10745.00</v>
          </cell>
          <cell r="B1151" t="str">
            <v>SUPORTE SENSOR CORTINA LIMITADOR ALTURA E OCR - TUBO QUADRADO / 33.15.10745.00</v>
          </cell>
          <cell r="D1151" t="str">
            <v>-</v>
          </cell>
          <cell r="E1151" t="str">
            <v>-</v>
          </cell>
          <cell r="F1151" t="str">
            <v>-</v>
          </cell>
          <cell r="G1151" t="str">
            <v>-</v>
          </cell>
          <cell r="H1151" t="str">
            <v>-</v>
          </cell>
          <cell r="I1151" t="str">
            <v>-</v>
          </cell>
          <cell r="J1151">
            <v>0</v>
          </cell>
          <cell r="K1151">
            <v>2</v>
          </cell>
          <cell r="L1151" t="str">
            <v>FALTA ENTREGA</v>
          </cell>
          <cell r="M1151" t="str">
            <v>-</v>
          </cell>
          <cell r="N1151" t="str">
            <v>OC'S METALFISA</v>
          </cell>
          <cell r="O1151">
            <v>4</v>
          </cell>
          <cell r="P1151" t="str">
            <v>OC'S GRANATO</v>
          </cell>
          <cell r="Q1151" t="str">
            <v>-</v>
          </cell>
          <cell r="S1151" t="str">
            <v>-</v>
          </cell>
          <cell r="U1151">
            <v>4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2</v>
          </cell>
          <cell r="AA1151">
            <v>2</v>
          </cell>
          <cell r="AB1151">
            <v>0</v>
          </cell>
          <cell r="AC1151">
            <v>0</v>
          </cell>
          <cell r="AD1151">
            <v>-2</v>
          </cell>
        </row>
        <row r="1152">
          <cell r="A1152" t="str">
            <v>33.15.10746.00</v>
          </cell>
          <cell r="B1152" t="str">
            <v>TAMPA CEGA #2.65 X 122 X 328 LIMITADOR ALTURA E OCR / 33.15.10746.00</v>
          </cell>
          <cell r="C1152">
            <v>46072</v>
          </cell>
          <cell r="D1152" t="str">
            <v>-</v>
          </cell>
          <cell r="E1152" t="str">
            <v>-</v>
          </cell>
          <cell r="F1152" t="str">
            <v>-</v>
          </cell>
          <cell r="G1152" t="str">
            <v>-</v>
          </cell>
          <cell r="H1152" t="str">
            <v>-</v>
          </cell>
          <cell r="I1152" t="str">
            <v>-</v>
          </cell>
          <cell r="J1152">
            <v>0</v>
          </cell>
          <cell r="K1152">
            <v>2</v>
          </cell>
          <cell r="L1152" t="str">
            <v>ENTREGA TOTAL</v>
          </cell>
          <cell r="M1152" t="str">
            <v>-</v>
          </cell>
          <cell r="N1152" t="str">
            <v>OC'S METALFISA</v>
          </cell>
          <cell r="O1152">
            <v>2</v>
          </cell>
          <cell r="P1152" t="str">
            <v>OC'S GRANATO</v>
          </cell>
          <cell r="Q1152" t="str">
            <v>-</v>
          </cell>
          <cell r="S1152" t="str">
            <v>-</v>
          </cell>
          <cell r="U1152">
            <v>2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1</v>
          </cell>
          <cell r="AA1152">
            <v>1</v>
          </cell>
          <cell r="AB1152">
            <v>0</v>
          </cell>
          <cell r="AC1152">
            <v>1</v>
          </cell>
          <cell r="AD1152">
            <v>0</v>
          </cell>
        </row>
        <row r="1153">
          <cell r="A1153" t="str">
            <v>33.15.10748.00</v>
          </cell>
          <cell r="B1153" t="str">
            <v>CONJ. CAIXA DAS TOMADAS 24P SUPERIORES / 33.15.10748.00</v>
          </cell>
          <cell r="D1153" t="str">
            <v>-</v>
          </cell>
          <cell r="E1153" t="str">
            <v>-</v>
          </cell>
          <cell r="F1153" t="str">
            <v>-</v>
          </cell>
          <cell r="G1153" t="str">
            <v>-</v>
          </cell>
          <cell r="H1153" t="str">
            <v>-</v>
          </cell>
          <cell r="I1153" t="str">
            <v>-</v>
          </cell>
          <cell r="J1153">
            <v>0</v>
          </cell>
          <cell r="K1153">
            <v>1</v>
          </cell>
          <cell r="L1153" t="str">
            <v>FALTA ENTREGA</v>
          </cell>
          <cell r="M1153" t="str">
            <v>-</v>
          </cell>
          <cell r="N1153" t="str">
            <v>OC'S METALFISA</v>
          </cell>
          <cell r="O1153">
            <v>2</v>
          </cell>
          <cell r="P1153" t="str">
            <v>OC'S GRANATO</v>
          </cell>
          <cell r="Q1153" t="str">
            <v>-</v>
          </cell>
          <cell r="S1153" t="str">
            <v>-</v>
          </cell>
          <cell r="U1153">
            <v>2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1</v>
          </cell>
          <cell r="AA1153">
            <v>1</v>
          </cell>
          <cell r="AB1153">
            <v>0</v>
          </cell>
          <cell r="AC1153">
            <v>0</v>
          </cell>
          <cell r="AD1153">
            <v>-1</v>
          </cell>
        </row>
        <row r="1154">
          <cell r="A1154" t="str">
            <v>33.15.10756.00</v>
          </cell>
          <cell r="B1154" t="str">
            <v>SUPORTE DO LED / 33.15.10756.00</v>
          </cell>
          <cell r="C1154">
            <v>46072</v>
          </cell>
          <cell r="D1154" t="str">
            <v>-</v>
          </cell>
          <cell r="E1154" t="str">
            <v>-</v>
          </cell>
          <cell r="F1154" t="str">
            <v>-</v>
          </cell>
          <cell r="G1154" t="str">
            <v>-</v>
          </cell>
          <cell r="H1154" t="str">
            <v>-</v>
          </cell>
          <cell r="I1154" t="str">
            <v>-</v>
          </cell>
          <cell r="J1154">
            <v>0</v>
          </cell>
          <cell r="K1154">
            <v>8</v>
          </cell>
          <cell r="L1154" t="str">
            <v>ENTREGA TOTAL</v>
          </cell>
          <cell r="M1154" t="str">
            <v>-</v>
          </cell>
          <cell r="N1154" t="str">
            <v>OC'S METALFISA</v>
          </cell>
          <cell r="O1154">
            <v>8</v>
          </cell>
          <cell r="P1154" t="str">
            <v>OC'S GRANATO</v>
          </cell>
          <cell r="Q1154" t="str">
            <v>-</v>
          </cell>
          <cell r="S1154" t="str">
            <v>-</v>
          </cell>
          <cell r="U1154">
            <v>8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4</v>
          </cell>
          <cell r="AA1154">
            <v>4</v>
          </cell>
          <cell r="AB1154">
            <v>0</v>
          </cell>
          <cell r="AC1154">
            <v>4</v>
          </cell>
          <cell r="AD1154">
            <v>0</v>
          </cell>
        </row>
        <row r="1155">
          <cell r="A1155" t="str">
            <v>33.15.10757.00</v>
          </cell>
          <cell r="B1155" t="str">
            <v>TAMPA DA CAIXA DAS TOMADAS 24P SUPERIORES / 33.15.10757.00</v>
          </cell>
          <cell r="C1155">
            <v>46072</v>
          </cell>
          <cell r="D1155" t="str">
            <v>-</v>
          </cell>
          <cell r="E1155" t="str">
            <v>-</v>
          </cell>
          <cell r="F1155" t="str">
            <v>-</v>
          </cell>
          <cell r="G1155" t="str">
            <v>-</v>
          </cell>
          <cell r="H1155" t="str">
            <v>-</v>
          </cell>
          <cell r="I1155" t="str">
            <v>-</v>
          </cell>
          <cell r="J1155">
            <v>0</v>
          </cell>
          <cell r="K1155">
            <v>2</v>
          </cell>
          <cell r="L1155" t="str">
            <v>ENTREGA TOTAL</v>
          </cell>
          <cell r="M1155" t="str">
            <v>-</v>
          </cell>
          <cell r="N1155" t="str">
            <v>OC'S METALFISA</v>
          </cell>
          <cell r="O1155">
            <v>2</v>
          </cell>
          <cell r="P1155" t="str">
            <v>OC'S GRANATO</v>
          </cell>
          <cell r="Q1155" t="str">
            <v>-</v>
          </cell>
          <cell r="S1155" t="str">
            <v>-</v>
          </cell>
          <cell r="U1155">
            <v>2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1</v>
          </cell>
          <cell r="AA1155">
            <v>1</v>
          </cell>
          <cell r="AB1155">
            <v>0</v>
          </cell>
          <cell r="AC1155">
            <v>1</v>
          </cell>
          <cell r="AD1155">
            <v>0</v>
          </cell>
        </row>
        <row r="1156">
          <cell r="A1156" t="str">
            <v>33.15.10759.00</v>
          </cell>
          <cell r="B1156" t="str">
            <v>SUPORTE DO SEMAFORO / 33.15.10759.00</v>
          </cell>
          <cell r="D1156" t="str">
            <v>-</v>
          </cell>
          <cell r="E1156" t="str">
            <v>-</v>
          </cell>
          <cell r="F1156" t="str">
            <v>-</v>
          </cell>
          <cell r="G1156" t="str">
            <v>-</v>
          </cell>
          <cell r="H1156" t="str">
            <v>-</v>
          </cell>
          <cell r="I1156" t="str">
            <v>-</v>
          </cell>
          <cell r="J1156">
            <v>0</v>
          </cell>
          <cell r="K1156">
            <v>2</v>
          </cell>
          <cell r="L1156" t="str">
            <v>FALTA ENTREGA</v>
          </cell>
          <cell r="M1156" t="str">
            <v>-</v>
          </cell>
          <cell r="N1156" t="str">
            <v>OC'S METALFISA</v>
          </cell>
          <cell r="O1156">
            <v>4</v>
          </cell>
          <cell r="P1156" t="str">
            <v>OC'S GRANATO</v>
          </cell>
          <cell r="Q1156" t="str">
            <v>-</v>
          </cell>
          <cell r="S1156" t="str">
            <v>-</v>
          </cell>
          <cell r="U1156">
            <v>4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2</v>
          </cell>
          <cell r="AA1156">
            <v>2</v>
          </cell>
          <cell r="AB1156">
            <v>0</v>
          </cell>
          <cell r="AC1156">
            <v>0</v>
          </cell>
          <cell r="AD1156">
            <v>-2</v>
          </cell>
        </row>
        <row r="1157">
          <cell r="A1157" t="str">
            <v>33.15.10790.00</v>
          </cell>
          <cell r="B1157" t="str">
            <v>QUADRO ELETRICO CABINE ACELERADOR / 33.15.10790.00</v>
          </cell>
          <cell r="D1157" t="str">
            <v>-</v>
          </cell>
          <cell r="E1157" t="str">
            <v>-</v>
          </cell>
          <cell r="F1157" t="str">
            <v>-</v>
          </cell>
          <cell r="G1157" t="str">
            <v>-</v>
          </cell>
          <cell r="H1157" t="str">
            <v>-</v>
          </cell>
          <cell r="I1157" t="str">
            <v>-</v>
          </cell>
          <cell r="J1157">
            <v>0</v>
          </cell>
          <cell r="K1157">
            <v>0</v>
          </cell>
          <cell r="L1157" t="str">
            <v>ENTREGA TOTAL</v>
          </cell>
          <cell r="M1157" t="str">
            <v>-</v>
          </cell>
          <cell r="N1157" t="str">
            <v>OC'S METALFISA</v>
          </cell>
          <cell r="O1157" t="str">
            <v>-</v>
          </cell>
          <cell r="Q1157" t="str">
            <v>-</v>
          </cell>
          <cell r="S1157" t="str">
            <v>-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1</v>
          </cell>
          <cell r="AA1157">
            <v>1</v>
          </cell>
          <cell r="AB1157">
            <v>0</v>
          </cell>
          <cell r="AC1157">
            <v>1</v>
          </cell>
          <cell r="AD1157">
            <v>0</v>
          </cell>
        </row>
        <row r="1158">
          <cell r="A1158" t="str">
            <v>33.15.10814.00</v>
          </cell>
          <cell r="B1158" t="str">
            <v>FLANGE DE PASSAGEM DE CABOS / 33.15.10814.00</v>
          </cell>
          <cell r="C1158">
            <v>46072</v>
          </cell>
          <cell r="D1158" t="str">
            <v>-</v>
          </cell>
          <cell r="E1158" t="str">
            <v>-</v>
          </cell>
          <cell r="F1158" t="str">
            <v>-</v>
          </cell>
          <cell r="G1158" t="str">
            <v>-</v>
          </cell>
          <cell r="H1158" t="str">
            <v>-</v>
          </cell>
          <cell r="I1158" t="str">
            <v>-</v>
          </cell>
          <cell r="J1158">
            <v>0</v>
          </cell>
          <cell r="K1158">
            <v>11</v>
          </cell>
          <cell r="L1158" t="str">
            <v>ENTREGA TOTAL</v>
          </cell>
          <cell r="M1158" t="str">
            <v>-</v>
          </cell>
          <cell r="N1158" t="str">
            <v>OC'S METALFISA</v>
          </cell>
          <cell r="O1158">
            <v>7</v>
          </cell>
          <cell r="P1158" t="str">
            <v>OC'S GRANATO</v>
          </cell>
          <cell r="Q1158" t="str">
            <v>-</v>
          </cell>
          <cell r="S1158" t="str">
            <v>-</v>
          </cell>
          <cell r="U1158">
            <v>7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1</v>
          </cell>
          <cell r="AA1158">
            <v>1</v>
          </cell>
          <cell r="AB1158">
            <v>0</v>
          </cell>
          <cell r="AC1158">
            <v>5</v>
          </cell>
          <cell r="AD1158">
            <v>4</v>
          </cell>
        </row>
        <row r="1159">
          <cell r="A1159" t="str">
            <v>33.15.10818.00</v>
          </cell>
          <cell r="B1159" t="str">
            <v>ESPELHO MONTAGEM DO AR - CONDICIONADO / 33.15.10818.00</v>
          </cell>
          <cell r="D1159" t="str">
            <v>-</v>
          </cell>
          <cell r="E1159" t="str">
            <v>-</v>
          </cell>
          <cell r="F1159" t="str">
            <v>-</v>
          </cell>
          <cell r="G1159" t="str">
            <v>-</v>
          </cell>
          <cell r="H1159" t="str">
            <v>-</v>
          </cell>
          <cell r="I1159" t="str">
            <v>-</v>
          </cell>
          <cell r="J1159">
            <v>0</v>
          </cell>
          <cell r="K1159">
            <v>1</v>
          </cell>
          <cell r="L1159" t="str">
            <v>FALTA ENTREGA</v>
          </cell>
          <cell r="M1159" t="str">
            <v>-</v>
          </cell>
          <cell r="N1159" t="str">
            <v>OC'S METALFISA</v>
          </cell>
          <cell r="O1159">
            <v>2</v>
          </cell>
          <cell r="P1159" t="str">
            <v>OC'S GRANATO</v>
          </cell>
          <cell r="Q1159" t="str">
            <v>-</v>
          </cell>
          <cell r="S1159" t="str">
            <v>-</v>
          </cell>
          <cell r="U1159">
            <v>2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1</v>
          </cell>
          <cell r="AA1159">
            <v>1</v>
          </cell>
          <cell r="AB1159">
            <v>0</v>
          </cell>
          <cell r="AC1159">
            <v>0</v>
          </cell>
          <cell r="AD1159">
            <v>-1</v>
          </cell>
        </row>
        <row r="1160">
          <cell r="A1160" t="str">
            <v>33.15.10823.00</v>
          </cell>
          <cell r="B1160" t="str">
            <v>CONJUNTO CONE DE SAIDA DE AR / 33.15.10823.00</v>
          </cell>
          <cell r="D1160" t="str">
            <v>-</v>
          </cell>
          <cell r="E1160" t="str">
            <v>-</v>
          </cell>
          <cell r="F1160" t="str">
            <v>-</v>
          </cell>
          <cell r="G1160" t="str">
            <v>-</v>
          </cell>
          <cell r="H1160" t="str">
            <v>-</v>
          </cell>
          <cell r="I1160" t="str">
            <v>-</v>
          </cell>
          <cell r="J1160">
            <v>0</v>
          </cell>
          <cell r="K1160">
            <v>1</v>
          </cell>
          <cell r="L1160" t="str">
            <v>FALTA ENTREGA</v>
          </cell>
          <cell r="M1160" t="str">
            <v>-</v>
          </cell>
          <cell r="N1160" t="str">
            <v>OC'S METALFISA</v>
          </cell>
          <cell r="O1160">
            <v>2</v>
          </cell>
          <cell r="P1160" t="str">
            <v>OC'S GRANATO</v>
          </cell>
          <cell r="Q1160" t="str">
            <v>-</v>
          </cell>
          <cell r="S1160" t="str">
            <v>-</v>
          </cell>
          <cell r="U1160">
            <v>2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1</v>
          </cell>
          <cell r="AA1160">
            <v>1</v>
          </cell>
          <cell r="AB1160">
            <v>0</v>
          </cell>
          <cell r="AC1160">
            <v>0</v>
          </cell>
          <cell r="AD1160">
            <v>-1</v>
          </cell>
        </row>
        <row r="1161">
          <cell r="A1161" t="str">
            <v>33.15.10831.00</v>
          </cell>
          <cell r="B1161" t="str">
            <v>BASE FIXACAO DO AR CONDICIONADO / 33.15.10831.00</v>
          </cell>
          <cell r="C1161">
            <v>46072</v>
          </cell>
          <cell r="D1161" t="str">
            <v>-</v>
          </cell>
          <cell r="E1161" t="str">
            <v>-</v>
          </cell>
          <cell r="F1161" t="str">
            <v>-</v>
          </cell>
          <cell r="G1161" t="str">
            <v>-</v>
          </cell>
          <cell r="H1161" t="str">
            <v>-</v>
          </cell>
          <cell r="I1161" t="str">
            <v>-</v>
          </cell>
          <cell r="J1161">
            <v>0</v>
          </cell>
          <cell r="K1161">
            <v>2</v>
          </cell>
          <cell r="L1161" t="str">
            <v>ENTREGA TOTAL</v>
          </cell>
          <cell r="M1161" t="str">
            <v>-</v>
          </cell>
          <cell r="N1161" t="str">
            <v>OC'S METALFISA</v>
          </cell>
          <cell r="O1161">
            <v>2</v>
          </cell>
          <cell r="P1161" t="str">
            <v>OC'S GRANATO</v>
          </cell>
          <cell r="Q1161" t="str">
            <v>-</v>
          </cell>
          <cell r="S1161" t="str">
            <v>-</v>
          </cell>
          <cell r="U1161">
            <v>2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1</v>
          </cell>
          <cell r="AA1161">
            <v>1</v>
          </cell>
          <cell r="AB1161">
            <v>0</v>
          </cell>
          <cell r="AC1161">
            <v>1</v>
          </cell>
          <cell r="AD1161">
            <v>0</v>
          </cell>
        </row>
        <row r="1162">
          <cell r="A1162" t="str">
            <v>33.15.10835.00</v>
          </cell>
          <cell r="B1162" t="str">
            <v>CONJUNTO FIXACAO AR CONDICIONADO / 33.15.10835.00</v>
          </cell>
          <cell r="C1162">
            <v>46072</v>
          </cell>
          <cell r="D1162" t="str">
            <v>-</v>
          </cell>
          <cell r="E1162" t="str">
            <v>-</v>
          </cell>
          <cell r="F1162" t="str">
            <v>-</v>
          </cell>
          <cell r="G1162" t="str">
            <v>-</v>
          </cell>
          <cell r="H1162" t="str">
            <v>-</v>
          </cell>
          <cell r="I1162" t="str">
            <v>-</v>
          </cell>
          <cell r="J1162">
            <v>0</v>
          </cell>
          <cell r="K1162">
            <v>2</v>
          </cell>
          <cell r="L1162" t="str">
            <v>ENTREGA TOTAL</v>
          </cell>
          <cell r="M1162" t="str">
            <v>-</v>
          </cell>
          <cell r="N1162" t="str">
            <v>OC'S METALFISA</v>
          </cell>
          <cell r="O1162">
            <v>2</v>
          </cell>
          <cell r="P1162" t="str">
            <v>OC'S GRANATO</v>
          </cell>
          <cell r="Q1162" t="str">
            <v>-</v>
          </cell>
          <cell r="S1162" t="str">
            <v>-</v>
          </cell>
          <cell r="U1162">
            <v>2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1</v>
          </cell>
          <cell r="AA1162">
            <v>1</v>
          </cell>
          <cell r="AB1162">
            <v>0</v>
          </cell>
          <cell r="AC1162">
            <v>1</v>
          </cell>
          <cell r="AD1162">
            <v>0</v>
          </cell>
        </row>
        <row r="1163">
          <cell r="A1163" t="str">
            <v>33.15.10837.00</v>
          </cell>
          <cell r="B1163" t="str">
            <v>SOBRETETO DO AR CONDICIONADO / 33.15.10837.00</v>
          </cell>
          <cell r="C1163">
            <v>46072</v>
          </cell>
          <cell r="D1163" t="str">
            <v>-</v>
          </cell>
          <cell r="E1163" t="str">
            <v>-</v>
          </cell>
          <cell r="F1163" t="str">
            <v>-</v>
          </cell>
          <cell r="G1163" t="str">
            <v>-</v>
          </cell>
          <cell r="H1163" t="str">
            <v>-</v>
          </cell>
          <cell r="I1163" t="str">
            <v>-</v>
          </cell>
          <cell r="J1163">
            <v>0</v>
          </cell>
          <cell r="K1163">
            <v>2</v>
          </cell>
          <cell r="L1163" t="str">
            <v>ENTREGA TOTAL</v>
          </cell>
          <cell r="M1163" t="str">
            <v>-</v>
          </cell>
          <cell r="N1163" t="str">
            <v>OC'S METALFISA</v>
          </cell>
          <cell r="O1163">
            <v>2</v>
          </cell>
          <cell r="P1163" t="str">
            <v>OC'S GRANATO</v>
          </cell>
          <cell r="Q1163" t="str">
            <v>-</v>
          </cell>
          <cell r="S1163" t="str">
            <v>-</v>
          </cell>
          <cell r="U1163">
            <v>2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1</v>
          </cell>
          <cell r="AA1163">
            <v>1</v>
          </cell>
          <cell r="AB1163">
            <v>0</v>
          </cell>
          <cell r="AC1163">
            <v>1</v>
          </cell>
          <cell r="AD1163">
            <v>0</v>
          </cell>
        </row>
        <row r="1164">
          <cell r="A1164" t="str">
            <v>33.15.10838.00</v>
          </cell>
          <cell r="B1164" t="str">
            <v>CHAPA BASE DAS DOBRADICAS AR CONDICIONADO / 33.15.10838.00</v>
          </cell>
          <cell r="D1164" t="str">
            <v>-</v>
          </cell>
          <cell r="E1164" t="str">
            <v>-</v>
          </cell>
          <cell r="F1164" t="str">
            <v>-</v>
          </cell>
          <cell r="G1164" t="str">
            <v>-</v>
          </cell>
          <cell r="H1164" t="str">
            <v>-</v>
          </cell>
          <cell r="I1164" t="str">
            <v>-</v>
          </cell>
          <cell r="J1164">
            <v>0</v>
          </cell>
          <cell r="K1164">
            <v>1</v>
          </cell>
          <cell r="L1164" t="str">
            <v>FALTA ENTREGA</v>
          </cell>
          <cell r="M1164" t="str">
            <v>-</v>
          </cell>
          <cell r="N1164" t="str">
            <v>OC'S METALFISA</v>
          </cell>
          <cell r="O1164">
            <v>2</v>
          </cell>
          <cell r="P1164" t="str">
            <v>OC'S GRANATO</v>
          </cell>
          <cell r="Q1164" t="str">
            <v>-</v>
          </cell>
          <cell r="S1164" t="str">
            <v>-</v>
          </cell>
          <cell r="U1164">
            <v>2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1</v>
          </cell>
          <cell r="AA1164">
            <v>1</v>
          </cell>
          <cell r="AB1164">
            <v>0</v>
          </cell>
          <cell r="AC1164">
            <v>0</v>
          </cell>
          <cell r="AD1164">
            <v>-1</v>
          </cell>
        </row>
        <row r="1165">
          <cell r="A1165" t="str">
            <v>33.15.10926.01</v>
          </cell>
          <cell r="B1165" t="str">
            <v>CONJUNTO TAMPA SOLDADA DETECTORES HORIZONTAIS / 33.15.10926.01</v>
          </cell>
          <cell r="C1165">
            <v>46072</v>
          </cell>
          <cell r="D1165" t="str">
            <v>-</v>
          </cell>
          <cell r="E1165" t="str">
            <v>-</v>
          </cell>
          <cell r="F1165" t="str">
            <v>-</v>
          </cell>
          <cell r="G1165" t="str">
            <v>-</v>
          </cell>
          <cell r="H1165" t="str">
            <v>-</v>
          </cell>
          <cell r="I1165" t="str">
            <v>-</v>
          </cell>
          <cell r="J1165">
            <v>0</v>
          </cell>
          <cell r="K1165">
            <v>10</v>
          </cell>
          <cell r="L1165" t="str">
            <v>ENTREGA TOTAL</v>
          </cell>
          <cell r="M1165" t="str">
            <v>-</v>
          </cell>
          <cell r="N1165" t="str">
            <v>OC'S METALFISA</v>
          </cell>
          <cell r="O1165">
            <v>10</v>
          </cell>
          <cell r="P1165" t="str">
            <v>OC'S GRANATO</v>
          </cell>
          <cell r="Q1165" t="str">
            <v>-</v>
          </cell>
          <cell r="S1165" t="str">
            <v>-</v>
          </cell>
          <cell r="U1165">
            <v>10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5</v>
          </cell>
          <cell r="AA1165">
            <v>5</v>
          </cell>
          <cell r="AB1165">
            <v>0</v>
          </cell>
          <cell r="AC1165">
            <v>5</v>
          </cell>
          <cell r="AD1165">
            <v>0</v>
          </cell>
        </row>
        <row r="1166">
          <cell r="A1166" t="str">
            <v>33.15.10933.00</v>
          </cell>
          <cell r="B1166" t="str">
            <v>CHAPA FIXACAO PAINEL ELETRICO NA CABINE / 33.15.10933.00</v>
          </cell>
          <cell r="D1166" t="str">
            <v>-</v>
          </cell>
          <cell r="E1166" t="str">
            <v>-</v>
          </cell>
          <cell r="F1166" t="str">
            <v>-</v>
          </cell>
          <cell r="G1166" t="str">
            <v>-</v>
          </cell>
          <cell r="H1166" t="str">
            <v>-</v>
          </cell>
          <cell r="I1166" t="str">
            <v>-</v>
          </cell>
          <cell r="J1166">
            <v>0</v>
          </cell>
          <cell r="K1166">
            <v>4</v>
          </cell>
          <cell r="L1166" t="str">
            <v>FALTA ENTREGA</v>
          </cell>
          <cell r="M1166" t="str">
            <v>-</v>
          </cell>
          <cell r="N1166" t="str">
            <v>OC'S METALFISA</v>
          </cell>
          <cell r="O1166">
            <v>6</v>
          </cell>
          <cell r="P1166" t="str">
            <v>OC'S GRANATO</v>
          </cell>
          <cell r="Q1166" t="str">
            <v>-</v>
          </cell>
          <cell r="S1166" t="str">
            <v>-</v>
          </cell>
          <cell r="U1166">
            <v>6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2</v>
          </cell>
          <cell r="AA1166">
            <v>2</v>
          </cell>
          <cell r="AB1166">
            <v>0</v>
          </cell>
          <cell r="AC1166">
            <v>0</v>
          </cell>
          <cell r="AD1166">
            <v>-2</v>
          </cell>
        </row>
        <row r="1167">
          <cell r="A1167" t="str">
            <v>33.15.10937.00</v>
          </cell>
          <cell r="B1167" t="str">
            <v>PASSA CABO MENOR / 33.15.10937.00</v>
          </cell>
          <cell r="D1167" t="str">
            <v>-</v>
          </cell>
          <cell r="E1167" t="str">
            <v>-</v>
          </cell>
          <cell r="F1167" t="str">
            <v>-</v>
          </cell>
          <cell r="G1167" t="str">
            <v>-</v>
          </cell>
          <cell r="H1167" t="str">
            <v>-</v>
          </cell>
          <cell r="I1167" t="str">
            <v>-</v>
          </cell>
          <cell r="J1167">
            <v>0</v>
          </cell>
          <cell r="K1167">
            <v>0</v>
          </cell>
          <cell r="L1167" t="str">
            <v>FALTA ENTREGA</v>
          </cell>
          <cell r="M1167" t="str">
            <v>-</v>
          </cell>
          <cell r="N1167" t="str">
            <v>OC'S METALFISA</v>
          </cell>
          <cell r="O1167">
            <v>1</v>
          </cell>
          <cell r="P1167" t="str">
            <v>OC'S GRANATO</v>
          </cell>
          <cell r="Q1167" t="str">
            <v>-</v>
          </cell>
          <cell r="S1167" t="str">
            <v>-</v>
          </cell>
          <cell r="U1167">
            <v>1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1</v>
          </cell>
          <cell r="AA1167">
            <v>1</v>
          </cell>
          <cell r="AB1167">
            <v>0</v>
          </cell>
          <cell r="AC1167">
            <v>0</v>
          </cell>
          <cell r="AD1167">
            <v>-1</v>
          </cell>
        </row>
        <row r="1168">
          <cell r="A1168" t="str">
            <v>33.15.10994.00</v>
          </cell>
          <cell r="B1168" t="str">
            <v>SUPORTE SENSOR REF CARGO AFEGANISTAO / 33.15.10994.00</v>
          </cell>
          <cell r="D1168" t="str">
            <v>-</v>
          </cell>
          <cell r="E1168" t="str">
            <v>-</v>
          </cell>
          <cell r="F1168" t="str">
            <v>-</v>
          </cell>
          <cell r="G1168" t="str">
            <v>-</v>
          </cell>
          <cell r="H1168" t="str">
            <v>-</v>
          </cell>
          <cell r="I1168" t="str">
            <v>-</v>
          </cell>
          <cell r="J1168">
            <v>0</v>
          </cell>
          <cell r="K1168">
            <v>0</v>
          </cell>
          <cell r="L1168" t="str">
            <v>FALTA ENTREGA</v>
          </cell>
          <cell r="M1168" t="str">
            <v>-</v>
          </cell>
          <cell r="N1168" t="str">
            <v>OC'S METALFISA</v>
          </cell>
          <cell r="O1168">
            <v>1</v>
          </cell>
          <cell r="P1168" t="str">
            <v>OC'S GRANATO</v>
          </cell>
          <cell r="Q1168" t="str">
            <v>-</v>
          </cell>
          <cell r="S1168" t="str">
            <v>-</v>
          </cell>
          <cell r="U1168">
            <v>1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1</v>
          </cell>
          <cell r="AA1168">
            <v>1</v>
          </cell>
          <cell r="AB1168">
            <v>0</v>
          </cell>
          <cell r="AC1168">
            <v>0</v>
          </cell>
          <cell r="AD1168">
            <v>-1</v>
          </cell>
        </row>
        <row r="1169">
          <cell r="A1169" t="str">
            <v>33.15.11016.00</v>
          </cell>
          <cell r="B1169" t="str">
            <v>SUPORTE FIXACAO MICRORUPTOR PORTA CABINE / 33.15.11016.00</v>
          </cell>
          <cell r="C1169">
            <v>46072</v>
          </cell>
          <cell r="D1169" t="str">
            <v>-</v>
          </cell>
          <cell r="E1169" t="str">
            <v>-</v>
          </cell>
          <cell r="F1169" t="str">
            <v>-</v>
          </cell>
          <cell r="G1169" t="str">
            <v>-</v>
          </cell>
          <cell r="H1169" t="str">
            <v>-</v>
          </cell>
          <cell r="I1169" t="str">
            <v>-</v>
          </cell>
          <cell r="J1169">
            <v>0</v>
          </cell>
          <cell r="K1169">
            <v>4</v>
          </cell>
          <cell r="L1169" t="str">
            <v>ENTREGA TOTAL</v>
          </cell>
          <cell r="M1169" t="str">
            <v>-</v>
          </cell>
          <cell r="N1169" t="str">
            <v>OC'S METALFISA</v>
          </cell>
          <cell r="O1169">
            <v>4</v>
          </cell>
          <cell r="P1169" t="str">
            <v>OC'S GRANATO</v>
          </cell>
          <cell r="Q1169" t="str">
            <v>-</v>
          </cell>
          <cell r="S1169" t="str">
            <v>-</v>
          </cell>
          <cell r="U1169">
            <v>4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2</v>
          </cell>
          <cell r="AA1169">
            <v>2</v>
          </cell>
          <cell r="AB1169">
            <v>0</v>
          </cell>
          <cell r="AC1169">
            <v>2</v>
          </cell>
          <cell r="AD1169">
            <v>0</v>
          </cell>
        </row>
        <row r="1170">
          <cell r="A1170" t="str">
            <v>33.15.11156.00</v>
          </cell>
          <cell r="B1170" t="str">
            <v>CHAPA SUP DET REF VERTICAL / 33.15.11156.00</v>
          </cell>
          <cell r="D1170" t="str">
            <v>-</v>
          </cell>
          <cell r="E1170" t="str">
            <v>-</v>
          </cell>
          <cell r="F1170" t="str">
            <v>-</v>
          </cell>
          <cell r="G1170" t="str">
            <v>-</v>
          </cell>
          <cell r="H1170" t="str">
            <v>-</v>
          </cell>
          <cell r="I1170" t="str">
            <v>-</v>
          </cell>
          <cell r="J1170">
            <v>0</v>
          </cell>
          <cell r="K1170">
            <v>0</v>
          </cell>
          <cell r="L1170" t="str">
            <v>FALTA ENTREGA</v>
          </cell>
          <cell r="M1170" t="str">
            <v>-</v>
          </cell>
          <cell r="N1170" t="str">
            <v>OC'S METALFISA</v>
          </cell>
          <cell r="O1170">
            <v>1</v>
          </cell>
          <cell r="P1170" t="str">
            <v>OC'S GRANATO</v>
          </cell>
          <cell r="Q1170" t="str">
            <v>-</v>
          </cell>
          <cell r="S1170" t="str">
            <v>-</v>
          </cell>
          <cell r="U1170">
            <v>1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1</v>
          </cell>
          <cell r="AA1170">
            <v>1</v>
          </cell>
          <cell r="AB1170">
            <v>0</v>
          </cell>
          <cell r="AC1170">
            <v>0</v>
          </cell>
          <cell r="AD1170">
            <v>-1</v>
          </cell>
        </row>
        <row r="1171">
          <cell r="A1171" t="str">
            <v>33.15.11160.00</v>
          </cell>
          <cell r="B1171" t="str">
            <v>CONJ. CAIXA DOS CONECTORES INFERIORES / 33.15.11160.00</v>
          </cell>
          <cell r="C1171">
            <v>46072</v>
          </cell>
          <cell r="D1171" t="str">
            <v>-</v>
          </cell>
          <cell r="E1171" t="str">
            <v>-</v>
          </cell>
          <cell r="F1171" t="str">
            <v>-</v>
          </cell>
          <cell r="G1171" t="str">
            <v>-</v>
          </cell>
          <cell r="H1171" t="str">
            <v>-</v>
          </cell>
          <cell r="I1171" t="str">
            <v>-</v>
          </cell>
          <cell r="J1171">
            <v>0</v>
          </cell>
          <cell r="K1171">
            <v>2</v>
          </cell>
          <cell r="L1171" t="str">
            <v>ENTREGA TOTAL</v>
          </cell>
          <cell r="M1171" t="str">
            <v>-</v>
          </cell>
          <cell r="N1171" t="str">
            <v>OC'S METALFISA</v>
          </cell>
          <cell r="O1171">
            <v>2</v>
          </cell>
          <cell r="P1171" t="str">
            <v>OC'S GRANATO</v>
          </cell>
          <cell r="Q1171" t="str">
            <v>-</v>
          </cell>
          <cell r="S1171" t="str">
            <v>-</v>
          </cell>
          <cell r="U1171">
            <v>2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1</v>
          </cell>
          <cell r="AA1171">
            <v>1</v>
          </cell>
          <cell r="AB1171">
            <v>0</v>
          </cell>
          <cell r="AC1171">
            <v>1</v>
          </cell>
          <cell r="AD1171">
            <v>0</v>
          </cell>
        </row>
        <row r="1172">
          <cell r="A1172" t="str">
            <v>33.15.11161.00</v>
          </cell>
          <cell r="B1172" t="str">
            <v>TAMPA DA CAIXA DOS CONECTORES INFERIORES / 33.15.11161.00</v>
          </cell>
          <cell r="D1172" t="str">
            <v>-</v>
          </cell>
          <cell r="E1172" t="str">
            <v>-</v>
          </cell>
          <cell r="F1172" t="str">
            <v>-</v>
          </cell>
          <cell r="G1172" t="str">
            <v>-</v>
          </cell>
          <cell r="H1172" t="str">
            <v>-</v>
          </cell>
          <cell r="I1172" t="str">
            <v>-</v>
          </cell>
          <cell r="J1172">
            <v>0</v>
          </cell>
          <cell r="K1172">
            <v>1</v>
          </cell>
          <cell r="L1172" t="str">
            <v>FALTA ENTREGA</v>
          </cell>
          <cell r="M1172" t="str">
            <v>-</v>
          </cell>
          <cell r="N1172" t="str">
            <v>OC'S METALFISA</v>
          </cell>
          <cell r="O1172">
            <v>2</v>
          </cell>
          <cell r="P1172" t="str">
            <v>OC'S GRANATO</v>
          </cell>
          <cell r="Q1172" t="str">
            <v>-</v>
          </cell>
          <cell r="S1172" t="str">
            <v>-</v>
          </cell>
          <cell r="U1172">
            <v>2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1</v>
          </cell>
          <cell r="AA1172">
            <v>1</v>
          </cell>
          <cell r="AB1172">
            <v>0</v>
          </cell>
          <cell r="AC1172">
            <v>0</v>
          </cell>
          <cell r="AD1172">
            <v>-1</v>
          </cell>
        </row>
        <row r="1173">
          <cell r="A1173" t="str">
            <v>33.15.11163.00</v>
          </cell>
          <cell r="B1173" t="str">
            <v>CONJ. CAIXA DAS TOMADAS 24P INFERIORES / 33.15.11163.00</v>
          </cell>
          <cell r="D1173" t="str">
            <v>-</v>
          </cell>
          <cell r="E1173" t="str">
            <v>-</v>
          </cell>
          <cell r="F1173" t="str">
            <v>-</v>
          </cell>
          <cell r="G1173" t="str">
            <v>-</v>
          </cell>
          <cell r="H1173" t="str">
            <v>-</v>
          </cell>
          <cell r="I1173" t="str">
            <v>-</v>
          </cell>
          <cell r="J1173">
            <v>0</v>
          </cell>
          <cell r="K1173">
            <v>1</v>
          </cell>
          <cell r="L1173" t="str">
            <v>FALTA ENTREGA</v>
          </cell>
          <cell r="M1173" t="str">
            <v>-</v>
          </cell>
          <cell r="N1173" t="str">
            <v>OC'S METALFISA</v>
          </cell>
          <cell r="O1173">
            <v>2</v>
          </cell>
          <cell r="P1173" t="str">
            <v>OC'S GRANATO</v>
          </cell>
          <cell r="Q1173" t="str">
            <v>-</v>
          </cell>
          <cell r="S1173" t="str">
            <v>-</v>
          </cell>
          <cell r="U1173">
            <v>2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1</v>
          </cell>
          <cell r="AA1173">
            <v>1</v>
          </cell>
          <cell r="AB1173">
            <v>0</v>
          </cell>
          <cell r="AC1173">
            <v>0</v>
          </cell>
          <cell r="AD1173">
            <v>-1</v>
          </cell>
        </row>
        <row r="1174">
          <cell r="A1174" t="str">
            <v>33.15.11169.00</v>
          </cell>
          <cell r="B1174" t="str">
            <v>TAMPA DA CAIXA DAS TOMADAS 24P SUPERIORES / 33.15.11169.00</v>
          </cell>
          <cell r="C1174">
            <v>46072</v>
          </cell>
          <cell r="D1174" t="str">
            <v>-</v>
          </cell>
          <cell r="E1174" t="str">
            <v>-</v>
          </cell>
          <cell r="F1174" t="str">
            <v>-</v>
          </cell>
          <cell r="G1174" t="str">
            <v>-</v>
          </cell>
          <cell r="H1174" t="str">
            <v>-</v>
          </cell>
          <cell r="I1174" t="str">
            <v>-</v>
          </cell>
          <cell r="J1174">
            <v>0</v>
          </cell>
          <cell r="K1174">
            <v>2</v>
          </cell>
          <cell r="L1174" t="str">
            <v>ENTREGA TOTAL</v>
          </cell>
          <cell r="M1174" t="str">
            <v>-</v>
          </cell>
          <cell r="N1174" t="str">
            <v>OC'S METALFISA</v>
          </cell>
          <cell r="O1174">
            <v>2</v>
          </cell>
          <cell r="P1174" t="str">
            <v>OC'S GRANATO</v>
          </cell>
          <cell r="Q1174" t="str">
            <v>-</v>
          </cell>
          <cell r="S1174" t="str">
            <v>-</v>
          </cell>
          <cell r="U1174">
            <v>2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1</v>
          </cell>
          <cell r="AA1174">
            <v>1</v>
          </cell>
          <cell r="AB1174">
            <v>0</v>
          </cell>
          <cell r="AC1174">
            <v>1</v>
          </cell>
          <cell r="AD1174">
            <v>0</v>
          </cell>
        </row>
        <row r="1175">
          <cell r="A1175" t="str">
            <v>33.15.11176.00</v>
          </cell>
          <cell r="B1175" t="str">
            <v>CONJ. CAIXA DAS TOMADAS 24P SUPERIORES / 33.15.11176.00</v>
          </cell>
          <cell r="C1175">
            <v>46072</v>
          </cell>
          <cell r="D1175" t="str">
            <v>-</v>
          </cell>
          <cell r="E1175" t="str">
            <v>-</v>
          </cell>
          <cell r="F1175" t="str">
            <v>-</v>
          </cell>
          <cell r="G1175" t="str">
            <v>-</v>
          </cell>
          <cell r="H1175" t="str">
            <v>-</v>
          </cell>
          <cell r="I1175" t="str">
            <v>-</v>
          </cell>
          <cell r="J1175">
            <v>0</v>
          </cell>
          <cell r="K1175">
            <v>2</v>
          </cell>
          <cell r="L1175" t="str">
            <v>ENTREGA TOTAL</v>
          </cell>
          <cell r="M1175" t="str">
            <v>-</v>
          </cell>
          <cell r="N1175" t="str">
            <v>OC'S METALFISA</v>
          </cell>
          <cell r="O1175">
            <v>2</v>
          </cell>
          <cell r="P1175" t="str">
            <v>OC'S GRANATO</v>
          </cell>
          <cell r="Q1175" t="str">
            <v>-</v>
          </cell>
          <cell r="S1175" t="str">
            <v>-</v>
          </cell>
          <cell r="U1175">
            <v>2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1</v>
          </cell>
          <cell r="AA1175">
            <v>1</v>
          </cell>
          <cell r="AB1175">
            <v>0</v>
          </cell>
          <cell r="AC1175">
            <v>1</v>
          </cell>
          <cell r="AD1175">
            <v>0</v>
          </cell>
        </row>
        <row r="1176">
          <cell r="A1176" t="str">
            <v>33.15.11447.00</v>
          </cell>
          <cell r="B1176" t="str">
            <v>SUPORTE PLACA / 33.15.11447.00</v>
          </cell>
          <cell r="C1176">
            <v>46072</v>
          </cell>
          <cell r="D1176" t="str">
            <v>-</v>
          </cell>
          <cell r="E1176" t="str">
            <v>-</v>
          </cell>
          <cell r="F1176" t="str">
            <v>-</v>
          </cell>
          <cell r="G1176" t="str">
            <v>-</v>
          </cell>
          <cell r="H1176" t="str">
            <v>-</v>
          </cell>
          <cell r="I1176" t="str">
            <v>-</v>
          </cell>
          <cell r="J1176">
            <v>0</v>
          </cell>
          <cell r="K1176">
            <v>12</v>
          </cell>
          <cell r="L1176" t="str">
            <v>ENTREGA TOTAL</v>
          </cell>
          <cell r="M1176" t="str">
            <v>-</v>
          </cell>
          <cell r="N1176" t="str">
            <v>OC'S METALFISA</v>
          </cell>
          <cell r="O1176">
            <v>12</v>
          </cell>
          <cell r="P1176" t="str">
            <v>OC'S GRANATO</v>
          </cell>
          <cell r="Q1176" t="str">
            <v>-</v>
          </cell>
          <cell r="S1176" t="str">
            <v>-</v>
          </cell>
          <cell r="U1176">
            <v>12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6</v>
          </cell>
          <cell r="AA1176">
            <v>6</v>
          </cell>
          <cell r="AB1176">
            <v>0</v>
          </cell>
          <cell r="AC1176">
            <v>6</v>
          </cell>
          <cell r="AD1176">
            <v>0</v>
          </cell>
        </row>
        <row r="1177">
          <cell r="A1177" t="str">
            <v>33.15.11923.01</v>
          </cell>
          <cell r="B1177" t="str">
            <v>TAMPA CEGA #2.65 X 100 X 170 LIMITADOR ALTURA E OCR / 33.15.11923.01</v>
          </cell>
          <cell r="C1177">
            <v>46072</v>
          </cell>
          <cell r="D1177" t="str">
            <v>-</v>
          </cell>
          <cell r="E1177" t="str">
            <v>-</v>
          </cell>
          <cell r="F1177" t="str">
            <v>-</v>
          </cell>
          <cell r="G1177" t="str">
            <v>-</v>
          </cell>
          <cell r="H1177" t="str">
            <v>-</v>
          </cell>
          <cell r="I1177" t="str">
            <v>-</v>
          </cell>
          <cell r="J1177">
            <v>0</v>
          </cell>
          <cell r="K1177">
            <v>26</v>
          </cell>
          <cell r="L1177" t="str">
            <v>ENTREGA TOTAL</v>
          </cell>
          <cell r="M1177" t="str">
            <v>-</v>
          </cell>
          <cell r="N1177" t="str">
            <v>OC'S METALFISA</v>
          </cell>
          <cell r="O1177">
            <v>26</v>
          </cell>
          <cell r="P1177" t="str">
            <v>OC'S GRANATO</v>
          </cell>
          <cell r="Q1177" t="str">
            <v>-</v>
          </cell>
          <cell r="S1177" t="str">
            <v>-</v>
          </cell>
          <cell r="U1177">
            <v>26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13</v>
          </cell>
          <cell r="AA1177">
            <v>13</v>
          </cell>
          <cell r="AB1177">
            <v>0</v>
          </cell>
          <cell r="AC1177">
            <v>13</v>
          </cell>
          <cell r="AD1177">
            <v>0</v>
          </cell>
        </row>
        <row r="1178">
          <cell r="A1178" t="str">
            <v>33.15.11927.01</v>
          </cell>
          <cell r="B1178" t="str">
            <v>TAMPA CONECTOR AD28,5 M25 - #2.65 X 80 X 80 / 33.15.11927.01</v>
          </cell>
          <cell r="D1178" t="str">
            <v>-</v>
          </cell>
          <cell r="E1178" t="str">
            <v>-</v>
          </cell>
          <cell r="F1178" t="str">
            <v>-</v>
          </cell>
          <cell r="G1178" t="str">
            <v>-</v>
          </cell>
          <cell r="H1178" t="str">
            <v>-</v>
          </cell>
          <cell r="I1178" t="str">
            <v>-</v>
          </cell>
          <cell r="J1178">
            <v>0</v>
          </cell>
          <cell r="K1178">
            <v>13</v>
          </cell>
          <cell r="L1178" t="str">
            <v>FALTA ENTREGA</v>
          </cell>
          <cell r="M1178" t="str">
            <v>-</v>
          </cell>
          <cell r="N1178" t="str">
            <v>OC'S METALFISA</v>
          </cell>
          <cell r="O1178">
            <v>26</v>
          </cell>
          <cell r="P1178" t="str">
            <v>OC'S GRANATO</v>
          </cell>
          <cell r="Q1178" t="str">
            <v>-</v>
          </cell>
          <cell r="S1178" t="str">
            <v>-</v>
          </cell>
          <cell r="U1178">
            <v>26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13</v>
          </cell>
          <cell r="AA1178">
            <v>13</v>
          </cell>
          <cell r="AB1178">
            <v>0</v>
          </cell>
          <cell r="AC1178">
            <v>0</v>
          </cell>
          <cell r="AD1178">
            <v>-13</v>
          </cell>
        </row>
        <row r="1179">
          <cell r="A1179" t="str">
            <v>33.15.11928.01</v>
          </cell>
          <cell r="B1179" t="str">
            <v>TAMPA CEGA - #2.65 X 80 X 80 LIMITADOR ALTURA E OCR / 33.15.11928.01</v>
          </cell>
          <cell r="D1179" t="str">
            <v>-</v>
          </cell>
          <cell r="E1179" t="str">
            <v>-</v>
          </cell>
          <cell r="F1179" t="str">
            <v>-</v>
          </cell>
          <cell r="G1179" t="str">
            <v>-</v>
          </cell>
          <cell r="H1179" t="str">
            <v>-</v>
          </cell>
          <cell r="I1179" t="str">
            <v>-</v>
          </cell>
          <cell r="J1179">
            <v>0</v>
          </cell>
          <cell r="K1179">
            <v>5</v>
          </cell>
          <cell r="L1179" t="str">
            <v>FALTA ENTREGA</v>
          </cell>
          <cell r="M1179" t="str">
            <v>-</v>
          </cell>
          <cell r="N1179" t="str">
            <v>OC'S METALFISA</v>
          </cell>
          <cell r="O1179">
            <v>10</v>
          </cell>
          <cell r="P1179" t="str">
            <v>OC'S GRANATO</v>
          </cell>
          <cell r="Q1179" t="str">
            <v>-</v>
          </cell>
          <cell r="S1179" t="str">
            <v>-</v>
          </cell>
          <cell r="U1179">
            <v>10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5</v>
          </cell>
          <cell r="AA1179">
            <v>5</v>
          </cell>
          <cell r="AB1179">
            <v>0</v>
          </cell>
          <cell r="AC1179">
            <v>0</v>
          </cell>
          <cell r="AD1179">
            <v>-5</v>
          </cell>
        </row>
        <row r="1180">
          <cell r="A1180" t="str">
            <v>33.15.11936.00</v>
          </cell>
          <cell r="B1180" t="str">
            <v>COLUNA ESQUERDA LIMITADOR DE ALTURA E OCR - TUBO QUADRADO / 33.15.11936.00</v>
          </cell>
          <cell r="D1180" t="str">
            <v>-</v>
          </cell>
          <cell r="E1180" t="str">
            <v>-</v>
          </cell>
          <cell r="F1180" t="str">
            <v>-</v>
          </cell>
          <cell r="G1180" t="str">
            <v>-</v>
          </cell>
          <cell r="H1180" t="str">
            <v>-</v>
          </cell>
          <cell r="I1180" t="str">
            <v>-</v>
          </cell>
          <cell r="J1180">
            <v>0</v>
          </cell>
          <cell r="K1180">
            <v>-2</v>
          </cell>
          <cell r="L1180" t="str">
            <v>FALTA ENTREGA</v>
          </cell>
          <cell r="M1180" t="str">
            <v>-</v>
          </cell>
          <cell r="N1180" t="str">
            <v>OC'S METALFISA</v>
          </cell>
          <cell r="O1180" t="str">
            <v>-</v>
          </cell>
          <cell r="Q1180" t="str">
            <v>-</v>
          </cell>
          <cell r="S1180" t="str">
            <v>-</v>
          </cell>
          <cell r="U1180">
            <v>0</v>
          </cell>
          <cell r="V1180">
            <v>2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2</v>
          </cell>
          <cell r="AB1180">
            <v>2</v>
          </cell>
          <cell r="AC1180">
            <v>0</v>
          </cell>
          <cell r="AD1180">
            <v>-2</v>
          </cell>
        </row>
        <row r="1181">
          <cell r="A1181" t="str">
            <v>33.15.11937.00</v>
          </cell>
          <cell r="B1181" t="str">
            <v>COLUNA DIREITA LIMITADOR DE ALTURA E OCR - TUBO QUADRADO / 33.15.11937.00</v>
          </cell>
          <cell r="D1181" t="str">
            <v>-</v>
          </cell>
          <cell r="E1181" t="str">
            <v>-</v>
          </cell>
          <cell r="F1181" t="str">
            <v>-</v>
          </cell>
          <cell r="G1181" t="str">
            <v>-</v>
          </cell>
          <cell r="H1181" t="str">
            <v>-</v>
          </cell>
          <cell r="I1181" t="str">
            <v>-</v>
          </cell>
          <cell r="J1181">
            <v>0</v>
          </cell>
          <cell r="K1181">
            <v>-2</v>
          </cell>
          <cell r="L1181" t="str">
            <v>FALTA ENTREGA</v>
          </cell>
          <cell r="M1181" t="str">
            <v>-</v>
          </cell>
          <cell r="N1181" t="str">
            <v>OC'S METALFISA</v>
          </cell>
          <cell r="O1181" t="str">
            <v>-</v>
          </cell>
          <cell r="Q1181" t="str">
            <v>-</v>
          </cell>
          <cell r="S1181" t="str">
            <v>-</v>
          </cell>
          <cell r="U1181">
            <v>0</v>
          </cell>
          <cell r="V1181">
            <v>2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2</v>
          </cell>
          <cell r="AB1181">
            <v>2</v>
          </cell>
          <cell r="AC1181">
            <v>0</v>
          </cell>
          <cell r="AD1181">
            <v>-2</v>
          </cell>
        </row>
        <row r="1182">
          <cell r="A1182" t="str">
            <v>33.15.11938.00</v>
          </cell>
          <cell r="B1182" t="str">
            <v>TRAVESSA SUPERIOR LIMITADOR DE ALTURA E OCR - TUBO QUADRADO / 33.15.11938.00</v>
          </cell>
          <cell r="D1182" t="str">
            <v>-</v>
          </cell>
          <cell r="E1182" t="str">
            <v>-</v>
          </cell>
          <cell r="F1182" t="str">
            <v>-</v>
          </cell>
          <cell r="G1182" t="str">
            <v>-</v>
          </cell>
          <cell r="H1182" t="str">
            <v>-</v>
          </cell>
          <cell r="I1182" t="str">
            <v>-</v>
          </cell>
          <cell r="J1182">
            <v>0</v>
          </cell>
          <cell r="K1182">
            <v>-2</v>
          </cell>
          <cell r="L1182" t="str">
            <v>FALTA ENTREGA</v>
          </cell>
          <cell r="M1182" t="str">
            <v>-</v>
          </cell>
          <cell r="N1182" t="str">
            <v>OC'S METALFISA</v>
          </cell>
          <cell r="O1182" t="str">
            <v>-</v>
          </cell>
          <cell r="Q1182" t="str">
            <v>-</v>
          </cell>
          <cell r="S1182" t="str">
            <v>-</v>
          </cell>
          <cell r="U1182">
            <v>0</v>
          </cell>
          <cell r="V1182">
            <v>2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2</v>
          </cell>
          <cell r="AB1182">
            <v>2</v>
          </cell>
          <cell r="AC1182">
            <v>0</v>
          </cell>
          <cell r="AD1182">
            <v>-2</v>
          </cell>
        </row>
        <row r="1183">
          <cell r="A1183" t="str">
            <v>33.15.11949.00</v>
          </cell>
          <cell r="B1183" t="str">
            <v>CHAPA PASSAGEM DIAFRAGMA DIAMETRO 19MM / 33.15.11949.00</v>
          </cell>
          <cell r="D1183" t="str">
            <v>-</v>
          </cell>
          <cell r="E1183" t="str">
            <v>-</v>
          </cell>
          <cell r="F1183" t="str">
            <v>-</v>
          </cell>
          <cell r="G1183" t="str">
            <v>-</v>
          </cell>
          <cell r="H1183" t="str">
            <v>-</v>
          </cell>
          <cell r="I1183" t="str">
            <v>-</v>
          </cell>
          <cell r="J1183">
            <v>0</v>
          </cell>
          <cell r="K1183">
            <v>12</v>
          </cell>
          <cell r="L1183" t="str">
            <v>FALTA ENTREGA</v>
          </cell>
          <cell r="M1183" t="str">
            <v>-</v>
          </cell>
          <cell r="N1183" t="str">
            <v>OC'S METALFISA</v>
          </cell>
          <cell r="O1183">
            <v>16</v>
          </cell>
          <cell r="P1183" t="str">
            <v>OC'S GRANATO</v>
          </cell>
          <cell r="Q1183" t="str">
            <v>-</v>
          </cell>
          <cell r="S1183" t="str">
            <v>-</v>
          </cell>
          <cell r="U1183">
            <v>16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4</v>
          </cell>
          <cell r="AA1183">
            <v>4</v>
          </cell>
          <cell r="AB1183">
            <v>0</v>
          </cell>
          <cell r="AC1183">
            <v>0</v>
          </cell>
          <cell r="AD1183">
            <v>-4</v>
          </cell>
        </row>
        <row r="1184">
          <cell r="A1184" t="str">
            <v>33.15.11964.00</v>
          </cell>
          <cell r="B1184" t="str">
            <v>SUPORTE QUADRADO CAMERA DO OCR / 33.15.11964.00</v>
          </cell>
          <cell r="D1184" t="str">
            <v>-</v>
          </cell>
          <cell r="E1184" t="str">
            <v>-</v>
          </cell>
          <cell r="F1184" t="str">
            <v>-</v>
          </cell>
          <cell r="G1184" t="str">
            <v>-</v>
          </cell>
          <cell r="H1184" t="str">
            <v>-</v>
          </cell>
          <cell r="I1184" t="str">
            <v>-</v>
          </cell>
          <cell r="J1184">
            <v>0</v>
          </cell>
          <cell r="K1184">
            <v>1</v>
          </cell>
          <cell r="L1184" t="str">
            <v>FALTA ENTREGA</v>
          </cell>
          <cell r="M1184" t="str">
            <v>-</v>
          </cell>
          <cell r="N1184" t="str">
            <v>OC'S METALFISA</v>
          </cell>
          <cell r="O1184">
            <v>2</v>
          </cell>
          <cell r="P1184" t="str">
            <v>OC'S GRANATO</v>
          </cell>
          <cell r="Q1184" t="str">
            <v>-</v>
          </cell>
          <cell r="S1184" t="str">
            <v>-</v>
          </cell>
          <cell r="U1184">
            <v>2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1</v>
          </cell>
          <cell r="AA1184">
            <v>1</v>
          </cell>
          <cell r="AB1184">
            <v>0</v>
          </cell>
          <cell r="AC1184">
            <v>0</v>
          </cell>
          <cell r="AD1184">
            <v>-1</v>
          </cell>
        </row>
        <row r="1185">
          <cell r="A1185" t="str">
            <v>33.15.12139.00</v>
          </cell>
          <cell r="B1185" t="str">
            <v>CALCO PARA NIVELAMENTO / 33.15.12139.00</v>
          </cell>
          <cell r="D1185" t="str">
            <v>-</v>
          </cell>
          <cell r="E1185" t="str">
            <v>-</v>
          </cell>
          <cell r="F1185" t="str">
            <v>-</v>
          </cell>
          <cell r="G1185" t="str">
            <v>-</v>
          </cell>
          <cell r="H1185" t="str">
            <v>-</v>
          </cell>
          <cell r="I1185" t="str">
            <v>-</v>
          </cell>
          <cell r="J1185">
            <v>0</v>
          </cell>
          <cell r="K1185">
            <v>0</v>
          </cell>
          <cell r="L1185" t="str">
            <v>FALTA ENTREGA</v>
          </cell>
          <cell r="M1185" t="str">
            <v>-</v>
          </cell>
          <cell r="N1185" t="str">
            <v>OC'S METALFISA</v>
          </cell>
          <cell r="O1185">
            <v>30</v>
          </cell>
          <cell r="P1185" t="str">
            <v>OC'S GRANATO</v>
          </cell>
          <cell r="Q1185" t="str">
            <v>-</v>
          </cell>
          <cell r="S1185" t="str">
            <v>-</v>
          </cell>
          <cell r="U1185">
            <v>30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30</v>
          </cell>
          <cell r="AA1185">
            <v>30</v>
          </cell>
          <cell r="AB1185">
            <v>0</v>
          </cell>
          <cell r="AC1185">
            <v>0</v>
          </cell>
          <cell r="AD1185">
            <v>-30</v>
          </cell>
        </row>
        <row r="1186">
          <cell r="A1186" t="str">
            <v>33.15.13001.00</v>
          </cell>
          <cell r="B1186" t="str">
            <v>TAMPA 2 FECHAMENTO SUPERIOR / 33.15.13001.00</v>
          </cell>
          <cell r="D1186" t="str">
            <v>-</v>
          </cell>
          <cell r="E1186" t="str">
            <v>-</v>
          </cell>
          <cell r="F1186" t="str">
            <v>-</v>
          </cell>
          <cell r="G1186" t="str">
            <v>-</v>
          </cell>
          <cell r="H1186" t="str">
            <v>-</v>
          </cell>
          <cell r="I1186" t="str">
            <v>-</v>
          </cell>
          <cell r="J1186">
            <v>0</v>
          </cell>
          <cell r="K1186">
            <v>1</v>
          </cell>
          <cell r="L1186" t="str">
            <v>FALTA ENTREGA</v>
          </cell>
          <cell r="M1186" t="str">
            <v>-</v>
          </cell>
          <cell r="N1186" t="str">
            <v>OC'S METALFISA</v>
          </cell>
          <cell r="O1186">
            <v>2</v>
          </cell>
          <cell r="P1186" t="str">
            <v>OC'S GRANATO</v>
          </cell>
          <cell r="Q1186" t="str">
            <v>-</v>
          </cell>
          <cell r="S1186" t="str">
            <v>-</v>
          </cell>
          <cell r="U1186">
            <v>2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1</v>
          </cell>
          <cell r="AA1186">
            <v>1</v>
          </cell>
          <cell r="AB1186">
            <v>0</v>
          </cell>
          <cell r="AC1186">
            <v>0</v>
          </cell>
          <cell r="AD1186">
            <v>-1</v>
          </cell>
        </row>
        <row r="1187">
          <cell r="A1187" t="str">
            <v>33.15.13003.00</v>
          </cell>
          <cell r="B1187" t="str">
            <v>TAMPA 1 FECHAMENTO SUPERIOR / 33.15.13003.00</v>
          </cell>
          <cell r="D1187" t="str">
            <v>-</v>
          </cell>
          <cell r="E1187" t="str">
            <v>-</v>
          </cell>
          <cell r="F1187" t="str">
            <v>-</v>
          </cell>
          <cell r="G1187" t="str">
            <v>-</v>
          </cell>
          <cell r="H1187" t="str">
            <v>-</v>
          </cell>
          <cell r="I1187" t="str">
            <v>-</v>
          </cell>
          <cell r="J1187">
            <v>0</v>
          </cell>
          <cell r="K1187">
            <v>1</v>
          </cell>
          <cell r="L1187" t="str">
            <v>FALTA ENTREGA</v>
          </cell>
          <cell r="M1187" t="str">
            <v>-</v>
          </cell>
          <cell r="N1187" t="str">
            <v>OC'S METALFISA</v>
          </cell>
          <cell r="O1187">
            <v>2</v>
          </cell>
          <cell r="P1187" t="str">
            <v>OC'S GRANATO</v>
          </cell>
          <cell r="Q1187" t="str">
            <v>-</v>
          </cell>
          <cell r="S1187" t="str">
            <v>-</v>
          </cell>
          <cell r="U1187">
            <v>2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1</v>
          </cell>
          <cell r="AA1187">
            <v>1</v>
          </cell>
          <cell r="AB1187">
            <v>0</v>
          </cell>
          <cell r="AC1187">
            <v>0</v>
          </cell>
          <cell r="AD1187">
            <v>-1</v>
          </cell>
        </row>
        <row r="1188">
          <cell r="A1188" t="str">
            <v>33.15.13006.00</v>
          </cell>
          <cell r="B1188" t="str">
            <v>ACABAMENTO LIGACAO COLUNAS / 33.15.13006.00</v>
          </cell>
          <cell r="D1188" t="str">
            <v>-</v>
          </cell>
          <cell r="E1188" t="str">
            <v>-</v>
          </cell>
          <cell r="F1188" t="str">
            <v>-</v>
          </cell>
          <cell r="G1188" t="str">
            <v>-</v>
          </cell>
          <cell r="H1188" t="str">
            <v>-</v>
          </cell>
          <cell r="I1188" t="str">
            <v>-</v>
          </cell>
          <cell r="J1188">
            <v>0</v>
          </cell>
          <cell r="K1188">
            <v>1</v>
          </cell>
          <cell r="L1188" t="str">
            <v>FALTA ENTREGA</v>
          </cell>
          <cell r="M1188" t="str">
            <v>-</v>
          </cell>
          <cell r="N1188" t="str">
            <v>OC'S METALFISA</v>
          </cell>
          <cell r="O1188">
            <v>2</v>
          </cell>
          <cell r="P1188" t="str">
            <v>OC'S GRANATO</v>
          </cell>
          <cell r="Q1188" t="str">
            <v>-</v>
          </cell>
          <cell r="S1188" t="str">
            <v>-</v>
          </cell>
          <cell r="U1188">
            <v>2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1</v>
          </cell>
          <cell r="AA1188">
            <v>1</v>
          </cell>
          <cell r="AB1188">
            <v>0</v>
          </cell>
          <cell r="AC1188">
            <v>0</v>
          </cell>
          <cell r="AD1188">
            <v>-1</v>
          </cell>
        </row>
        <row r="1189">
          <cell r="A1189" t="str">
            <v>33.20.10018.01</v>
          </cell>
          <cell r="B1189" t="str">
            <v>TRAVESSA LONGITUDINAL 01 / 33.20.10018.01</v>
          </cell>
          <cell r="C1189">
            <v>46062</v>
          </cell>
          <cell r="D1189" t="str">
            <v>-</v>
          </cell>
          <cell r="E1189" t="str">
            <v>-</v>
          </cell>
          <cell r="F1189" t="str">
            <v>-</v>
          </cell>
          <cell r="G1189" t="str">
            <v>-</v>
          </cell>
          <cell r="H1189" t="str">
            <v>-</v>
          </cell>
          <cell r="I1189" t="str">
            <v>-</v>
          </cell>
          <cell r="J1189">
            <v>0</v>
          </cell>
          <cell r="K1189">
            <v>2</v>
          </cell>
          <cell r="L1189" t="str">
            <v>ENTREGA PARCIAL</v>
          </cell>
          <cell r="M1189" t="str">
            <v>-</v>
          </cell>
          <cell r="N1189" t="str">
            <v>OC'S METALFISA</v>
          </cell>
          <cell r="O1189" t="str">
            <v>-</v>
          </cell>
          <cell r="Q1189">
            <v>4</v>
          </cell>
          <cell r="S1189" t="str">
            <v>-</v>
          </cell>
          <cell r="U1189">
            <v>4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6</v>
          </cell>
          <cell r="AA1189">
            <v>6</v>
          </cell>
          <cell r="AB1189">
            <v>0</v>
          </cell>
          <cell r="AC1189">
            <v>4</v>
          </cell>
          <cell r="AD1189">
            <v>-2</v>
          </cell>
        </row>
        <row r="1190">
          <cell r="A1190" t="str">
            <v>33.20.10021.01</v>
          </cell>
          <cell r="B1190" t="str">
            <v>BANDEJA MONTAGEM CAIXA L SV / 33.20.10021.01</v>
          </cell>
          <cell r="C1190">
            <v>46059</v>
          </cell>
          <cell r="D1190" t="str">
            <v>-</v>
          </cell>
          <cell r="E1190" t="str">
            <v>-</v>
          </cell>
          <cell r="F1190" t="str">
            <v>-</v>
          </cell>
          <cell r="G1190" t="str">
            <v>-</v>
          </cell>
          <cell r="H1190" t="str">
            <v>-</v>
          </cell>
          <cell r="I1190" t="str">
            <v>-</v>
          </cell>
          <cell r="J1190">
            <v>0</v>
          </cell>
          <cell r="K1190" t="e">
            <v>#VALUE!</v>
          </cell>
          <cell r="L1190" t="str">
            <v>ENTREGA TOTAL</v>
          </cell>
          <cell r="M1190" t="str">
            <v>-</v>
          </cell>
          <cell r="N1190" t="str">
            <v>OC'S METALFISA</v>
          </cell>
          <cell r="O1190" t="str">
            <v>-</v>
          </cell>
          <cell r="Q1190" t="str">
            <v>-</v>
          </cell>
          <cell r="S1190" t="str">
            <v>-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7</v>
          </cell>
          <cell r="AA1190">
            <v>7</v>
          </cell>
          <cell r="AB1190" t="str">
            <v>0</v>
          </cell>
          <cell r="AC1190" t="str">
            <v>-</v>
          </cell>
          <cell r="AD1190" t="str">
            <v>-</v>
          </cell>
        </row>
        <row r="1191">
          <cell r="A1191" t="str">
            <v>33.20.10024.02</v>
          </cell>
          <cell r="B1191" t="str">
            <v>TRAVESSA LONGITUDINAL 02 / 33.20.10024.02</v>
          </cell>
          <cell r="C1191">
            <v>46062</v>
          </cell>
          <cell r="D1191" t="str">
            <v>-</v>
          </cell>
          <cell r="E1191" t="str">
            <v>-</v>
          </cell>
          <cell r="F1191" t="str">
            <v>-</v>
          </cell>
          <cell r="G1191" t="str">
            <v>-</v>
          </cell>
          <cell r="H1191" t="str">
            <v>-</v>
          </cell>
          <cell r="I1191" t="str">
            <v>-</v>
          </cell>
          <cell r="J1191">
            <v>0</v>
          </cell>
          <cell r="K1191" t="e">
            <v>#VALUE!</v>
          </cell>
          <cell r="L1191" t="str">
            <v>ENTREGA TOTAL</v>
          </cell>
          <cell r="M1191" t="str">
            <v>-</v>
          </cell>
          <cell r="N1191" t="str">
            <v>OC'S METALFISA</v>
          </cell>
          <cell r="O1191" t="str">
            <v>-</v>
          </cell>
          <cell r="Q1191">
            <v>17</v>
          </cell>
          <cell r="S1191" t="str">
            <v>-</v>
          </cell>
          <cell r="U1191">
            <v>17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7</v>
          </cell>
          <cell r="AA1191">
            <v>7</v>
          </cell>
          <cell r="AB1191" t="str">
            <v>0</v>
          </cell>
          <cell r="AC1191" t="str">
            <v>-</v>
          </cell>
          <cell r="AD1191" t="str">
            <v>-</v>
          </cell>
        </row>
        <row r="1192">
          <cell r="A1192" t="str">
            <v>33.20.10026.02</v>
          </cell>
          <cell r="B1192" t="str">
            <v>LONGARINA CHASSI 01 / 33.20.10026.02</v>
          </cell>
          <cell r="C1192">
            <v>46059</v>
          </cell>
          <cell r="D1192" t="str">
            <v>-</v>
          </cell>
          <cell r="E1192" t="str">
            <v>-</v>
          </cell>
          <cell r="F1192" t="str">
            <v>-</v>
          </cell>
          <cell r="G1192" t="str">
            <v>-</v>
          </cell>
          <cell r="H1192" t="str">
            <v>-</v>
          </cell>
          <cell r="I1192" t="str">
            <v>-</v>
          </cell>
          <cell r="J1192">
            <v>0</v>
          </cell>
          <cell r="K1192" t="e">
            <v>#VALUE!</v>
          </cell>
          <cell r="L1192" t="str">
            <v>ENTREGA TOTAL</v>
          </cell>
          <cell r="M1192" t="str">
            <v>-</v>
          </cell>
          <cell r="N1192" t="str">
            <v>OC'S METALFISA</v>
          </cell>
          <cell r="O1192" t="str">
            <v>-</v>
          </cell>
          <cell r="Q1192" t="str">
            <v>-</v>
          </cell>
          <cell r="S1192" t="str">
            <v>-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6</v>
          </cell>
          <cell r="AA1192">
            <v>6</v>
          </cell>
          <cell r="AB1192" t="str">
            <v>0</v>
          </cell>
          <cell r="AC1192" t="str">
            <v>-</v>
          </cell>
          <cell r="AD1192" t="str">
            <v>-</v>
          </cell>
        </row>
        <row r="1193">
          <cell r="A1193" t="str">
            <v>33.20.10029.01</v>
          </cell>
          <cell r="B1193" t="str">
            <v>COLUNA DE REFORCO / 33.20.10029.01</v>
          </cell>
          <cell r="D1193" t="str">
            <v>-</v>
          </cell>
          <cell r="E1193" t="str">
            <v>-</v>
          </cell>
          <cell r="F1193" t="str">
            <v>-</v>
          </cell>
          <cell r="G1193" t="str">
            <v>-</v>
          </cell>
          <cell r="H1193" t="str">
            <v>-</v>
          </cell>
          <cell r="I1193" t="str">
            <v>-</v>
          </cell>
          <cell r="J1193">
            <v>0</v>
          </cell>
          <cell r="K1193">
            <v>0</v>
          </cell>
          <cell r="L1193" t="str">
            <v>FALTA ENTREGA</v>
          </cell>
          <cell r="M1193" t="str">
            <v>-</v>
          </cell>
          <cell r="N1193" t="str">
            <v>OC'S METALFISA</v>
          </cell>
          <cell r="O1193">
            <v>1</v>
          </cell>
          <cell r="P1193" t="str">
            <v>OC'S GRANATO</v>
          </cell>
          <cell r="Q1193" t="str">
            <v>-</v>
          </cell>
          <cell r="S1193" t="str">
            <v>-</v>
          </cell>
          <cell r="U1193">
            <v>1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1</v>
          </cell>
          <cell r="AA1193">
            <v>1</v>
          </cell>
          <cell r="AB1193">
            <v>0</v>
          </cell>
          <cell r="AC1193">
            <v>0</v>
          </cell>
          <cell r="AD1193">
            <v>-1</v>
          </cell>
        </row>
        <row r="1194">
          <cell r="A1194" t="str">
            <v>33.20.10031.02</v>
          </cell>
          <cell r="B1194" t="str">
            <v>LONGARINA CHASSI 02 / 33.20.10031.02</v>
          </cell>
          <cell r="C1194">
            <v>46066</v>
          </cell>
          <cell r="D1194" t="str">
            <v>-</v>
          </cell>
          <cell r="E1194" t="str">
            <v>-</v>
          </cell>
          <cell r="F1194" t="str">
            <v>-</v>
          </cell>
          <cell r="G1194" t="str">
            <v>-</v>
          </cell>
          <cell r="H1194" t="str">
            <v>-</v>
          </cell>
          <cell r="I1194" t="str">
            <v>-</v>
          </cell>
          <cell r="J1194">
            <v>0</v>
          </cell>
          <cell r="K1194">
            <v>10</v>
          </cell>
          <cell r="L1194" t="str">
            <v>ENTREGA TOTAL</v>
          </cell>
          <cell r="M1194" t="str">
            <v>-</v>
          </cell>
          <cell r="N1194" t="str">
            <v>OC'S METALFISA</v>
          </cell>
          <cell r="O1194" t="str">
            <v>-</v>
          </cell>
          <cell r="Q1194">
            <v>7</v>
          </cell>
          <cell r="S1194" t="str">
            <v>-</v>
          </cell>
          <cell r="U1194">
            <v>7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4</v>
          </cell>
          <cell r="AA1194">
            <v>4</v>
          </cell>
          <cell r="AB1194">
            <v>0</v>
          </cell>
          <cell r="AC1194">
            <v>7</v>
          </cell>
          <cell r="AD1194">
            <v>3</v>
          </cell>
        </row>
        <row r="1195">
          <cell r="A1195" t="str">
            <v>33.20.10033.01</v>
          </cell>
          <cell r="B1195" t="str">
            <v>SUPORTE BANDEJA CAIXA L SV / 33.20.10033.01</v>
          </cell>
          <cell r="C1195">
            <v>46066</v>
          </cell>
          <cell r="D1195" t="str">
            <v>-</v>
          </cell>
          <cell r="E1195" t="str">
            <v>-</v>
          </cell>
          <cell r="F1195" t="str">
            <v>-</v>
          </cell>
          <cell r="G1195" t="str">
            <v>-</v>
          </cell>
          <cell r="H1195" t="str">
            <v>-</v>
          </cell>
          <cell r="I1195" t="str">
            <v>-</v>
          </cell>
          <cell r="J1195">
            <v>0</v>
          </cell>
          <cell r="K1195">
            <v>12</v>
          </cell>
          <cell r="L1195" t="str">
            <v>ENTREGA PARCIAL</v>
          </cell>
          <cell r="M1195" t="str">
            <v>-</v>
          </cell>
          <cell r="N1195" t="str">
            <v>OC'S METALFISA</v>
          </cell>
          <cell r="O1195" t="str">
            <v>-</v>
          </cell>
          <cell r="Q1195">
            <v>14</v>
          </cell>
          <cell r="S1195" t="str">
            <v>-</v>
          </cell>
          <cell r="U1195">
            <v>14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14</v>
          </cell>
          <cell r="AA1195">
            <v>14</v>
          </cell>
          <cell r="AB1195">
            <v>0</v>
          </cell>
          <cell r="AC1195">
            <v>12</v>
          </cell>
          <cell r="AD1195">
            <v>-2</v>
          </cell>
        </row>
        <row r="1196">
          <cell r="A1196" t="str">
            <v>33.20.10035.01</v>
          </cell>
          <cell r="B1196" t="str">
            <v>MAO FRANCESA ESTRUTURA / 33.20.10035.01</v>
          </cell>
          <cell r="C1196">
            <v>46066</v>
          </cell>
          <cell r="D1196" t="str">
            <v>-</v>
          </cell>
          <cell r="E1196" t="str">
            <v>-</v>
          </cell>
          <cell r="F1196" t="str">
            <v>-</v>
          </cell>
          <cell r="G1196" t="str">
            <v>-</v>
          </cell>
          <cell r="H1196" t="str">
            <v>-</v>
          </cell>
          <cell r="I1196" t="str">
            <v>-</v>
          </cell>
          <cell r="J1196">
            <v>0</v>
          </cell>
          <cell r="K1196">
            <v>36</v>
          </cell>
          <cell r="L1196" t="str">
            <v>ENTREGA TOTAL</v>
          </cell>
          <cell r="M1196" t="str">
            <v>-</v>
          </cell>
          <cell r="N1196" t="str">
            <v>OC'S METALFISA</v>
          </cell>
          <cell r="O1196" t="str">
            <v>-</v>
          </cell>
          <cell r="Q1196">
            <v>32</v>
          </cell>
          <cell r="S1196" t="str">
            <v>-</v>
          </cell>
          <cell r="U1196">
            <v>32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28</v>
          </cell>
          <cell r="AA1196">
            <v>28</v>
          </cell>
          <cell r="AB1196">
            <v>0</v>
          </cell>
          <cell r="AC1196">
            <v>32</v>
          </cell>
          <cell r="AD1196">
            <v>4</v>
          </cell>
        </row>
        <row r="1197">
          <cell r="A1197" t="str">
            <v>33.20.10036.01</v>
          </cell>
          <cell r="B1197" t="str">
            <v>TRAVESSA SUPERIOR TUNEL / 33.20.10036.01</v>
          </cell>
          <cell r="C1197">
            <v>46062</v>
          </cell>
          <cell r="D1197" t="str">
            <v>-</v>
          </cell>
          <cell r="E1197" t="str">
            <v>-</v>
          </cell>
          <cell r="F1197" t="str">
            <v>-</v>
          </cell>
          <cell r="G1197" t="str">
            <v>-</v>
          </cell>
          <cell r="H1197" t="str">
            <v>-</v>
          </cell>
          <cell r="I1197" t="str">
            <v>-</v>
          </cell>
          <cell r="J1197">
            <v>0</v>
          </cell>
          <cell r="K1197">
            <v>14</v>
          </cell>
          <cell r="L1197" t="str">
            <v>ENTREGA TOTAL</v>
          </cell>
          <cell r="M1197" t="str">
            <v>-</v>
          </cell>
          <cell r="N1197" t="str">
            <v>OC'S METALFISA</v>
          </cell>
          <cell r="O1197" t="str">
            <v>-</v>
          </cell>
          <cell r="Q1197">
            <v>14</v>
          </cell>
          <cell r="S1197" t="str">
            <v>-</v>
          </cell>
          <cell r="U1197">
            <v>14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14</v>
          </cell>
          <cell r="AA1197">
            <v>14</v>
          </cell>
          <cell r="AB1197">
            <v>0</v>
          </cell>
          <cell r="AC1197">
            <v>14</v>
          </cell>
          <cell r="AD1197">
            <v>0</v>
          </cell>
        </row>
        <row r="1198">
          <cell r="A1198" t="str">
            <v>33.20.10038.02</v>
          </cell>
          <cell r="B1198" t="str">
            <v>TRAVESSA LATERAL TUNEL / 33.20.10038.02</v>
          </cell>
          <cell r="D1198" t="str">
            <v>-</v>
          </cell>
          <cell r="E1198" t="str">
            <v>-</v>
          </cell>
          <cell r="F1198" t="str">
            <v>-</v>
          </cell>
          <cell r="G1198" t="str">
            <v>-</v>
          </cell>
          <cell r="H1198" t="str">
            <v>-</v>
          </cell>
          <cell r="I1198" t="str">
            <v>-</v>
          </cell>
          <cell r="J1198">
            <v>0</v>
          </cell>
          <cell r="K1198">
            <v>0</v>
          </cell>
          <cell r="L1198" t="str">
            <v>FALTA ENTREGA</v>
          </cell>
          <cell r="M1198" t="str">
            <v>-</v>
          </cell>
          <cell r="N1198" t="str">
            <v>OC'S METALFISA</v>
          </cell>
          <cell r="O1198" t="str">
            <v>-</v>
          </cell>
          <cell r="Q1198">
            <v>28</v>
          </cell>
          <cell r="S1198" t="str">
            <v>-</v>
          </cell>
          <cell r="U1198">
            <v>28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28</v>
          </cell>
          <cell r="AA1198">
            <v>28</v>
          </cell>
          <cell r="AB1198">
            <v>0</v>
          </cell>
          <cell r="AC1198">
            <v>0</v>
          </cell>
          <cell r="AD1198">
            <v>-28</v>
          </cell>
        </row>
        <row r="1199">
          <cell r="A1199" t="str">
            <v>33.20.10040.02</v>
          </cell>
          <cell r="B1199" t="str">
            <v>SUPORTE REGULAGEM GERADOR SV / 33.20.10040.02</v>
          </cell>
          <cell r="C1199">
            <v>46074</v>
          </cell>
          <cell r="D1199" t="str">
            <v>-</v>
          </cell>
          <cell r="E1199" t="str">
            <v>-</v>
          </cell>
          <cell r="F1199" t="str">
            <v>-</v>
          </cell>
          <cell r="G1199" t="str">
            <v>-</v>
          </cell>
          <cell r="H1199" t="str">
            <v>-</v>
          </cell>
          <cell r="I1199" t="str">
            <v>-</v>
          </cell>
          <cell r="J1199">
            <v>0</v>
          </cell>
          <cell r="K1199">
            <v>12</v>
          </cell>
          <cell r="L1199" t="str">
            <v>ENTREGA TOTAL</v>
          </cell>
          <cell r="M1199" t="str">
            <v>-</v>
          </cell>
          <cell r="N1199" t="str">
            <v>OC'S METALFISA</v>
          </cell>
          <cell r="O1199" t="str">
            <v>-</v>
          </cell>
          <cell r="Q1199">
            <v>7</v>
          </cell>
          <cell r="S1199" t="str">
            <v>-</v>
          </cell>
          <cell r="U1199">
            <v>7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2</v>
          </cell>
          <cell r="AA1199">
            <v>2</v>
          </cell>
          <cell r="AB1199">
            <v>0</v>
          </cell>
          <cell r="AC1199">
            <v>7</v>
          </cell>
          <cell r="AD1199">
            <v>5</v>
          </cell>
        </row>
        <row r="1200">
          <cell r="A1200" t="str">
            <v>33.20.10046.02</v>
          </cell>
          <cell r="B1200" t="str">
            <v>CHAPA LATERAL DO TUNEL / 33.20.10046.02</v>
          </cell>
          <cell r="D1200" t="str">
            <v>-</v>
          </cell>
          <cell r="E1200" t="str">
            <v>-</v>
          </cell>
          <cell r="F1200" t="str">
            <v>-</v>
          </cell>
          <cell r="G1200" t="str">
            <v>-</v>
          </cell>
          <cell r="H1200" t="str">
            <v>-</v>
          </cell>
          <cell r="I1200" t="str">
            <v>-</v>
          </cell>
          <cell r="J1200">
            <v>0</v>
          </cell>
          <cell r="K1200">
            <v>0</v>
          </cell>
          <cell r="L1200" t="str">
            <v>FALTA ENTREGA</v>
          </cell>
          <cell r="M1200" t="str">
            <v>-</v>
          </cell>
          <cell r="N1200" t="str">
            <v>OC'S METALFISA</v>
          </cell>
          <cell r="O1200" t="str">
            <v>-</v>
          </cell>
          <cell r="Q1200">
            <v>1</v>
          </cell>
          <cell r="S1200" t="str">
            <v>-</v>
          </cell>
          <cell r="U1200">
            <v>1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1</v>
          </cell>
          <cell r="AA1200">
            <v>1</v>
          </cell>
          <cell r="AB1200">
            <v>0</v>
          </cell>
          <cell r="AC1200">
            <v>0</v>
          </cell>
          <cell r="AD1200">
            <v>-1</v>
          </cell>
        </row>
        <row r="1201">
          <cell r="A1201" t="str">
            <v>33.20.10048.01</v>
          </cell>
          <cell r="B1201" t="str">
            <v>CHAPA TETO CENTRAL DO TUNEL / 33.20.10048.01</v>
          </cell>
          <cell r="D1201" t="str">
            <v>-</v>
          </cell>
          <cell r="E1201" t="str">
            <v>-</v>
          </cell>
          <cell r="F1201" t="str">
            <v>-</v>
          </cell>
          <cell r="G1201" t="str">
            <v>-</v>
          </cell>
          <cell r="H1201" t="str">
            <v>-</v>
          </cell>
          <cell r="I1201" t="str">
            <v>-</v>
          </cell>
          <cell r="J1201">
            <v>0</v>
          </cell>
          <cell r="K1201">
            <v>2</v>
          </cell>
          <cell r="L1201" t="str">
            <v>FALTA ENTREGA</v>
          </cell>
          <cell r="M1201" t="str">
            <v>-</v>
          </cell>
          <cell r="N1201" t="str">
            <v>OC'S METALFISA</v>
          </cell>
          <cell r="O1201" t="str">
            <v>-</v>
          </cell>
          <cell r="Q1201">
            <v>7</v>
          </cell>
          <cell r="S1201" t="str">
            <v>-</v>
          </cell>
          <cell r="U1201">
            <v>7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5</v>
          </cell>
          <cell r="AA1201">
            <v>5</v>
          </cell>
          <cell r="AB1201">
            <v>0</v>
          </cell>
          <cell r="AC1201">
            <v>0</v>
          </cell>
          <cell r="AD1201">
            <v>-5</v>
          </cell>
        </row>
        <row r="1202">
          <cell r="A1202" t="str">
            <v>33.20.10050.01</v>
          </cell>
          <cell r="B1202" t="str">
            <v>CHAPA LATERAL DO TUNEL MENOR /33.20.10050.01</v>
          </cell>
          <cell r="D1202" t="str">
            <v>-</v>
          </cell>
          <cell r="E1202" t="str">
            <v>-</v>
          </cell>
          <cell r="F1202" t="str">
            <v>-</v>
          </cell>
          <cell r="G1202" t="str">
            <v>-</v>
          </cell>
          <cell r="H1202" t="str">
            <v>-</v>
          </cell>
          <cell r="I1202" t="str">
            <v>-</v>
          </cell>
          <cell r="J1202">
            <v>0</v>
          </cell>
          <cell r="K1202">
            <v>-1</v>
          </cell>
          <cell r="L1202" t="str">
            <v>FALTA ENTREGA</v>
          </cell>
          <cell r="M1202" t="str">
            <v>-</v>
          </cell>
          <cell r="N1202" t="str">
            <v>OC'S METALFISA</v>
          </cell>
          <cell r="O1202" t="str">
            <v>-</v>
          </cell>
          <cell r="Q1202">
            <v>14</v>
          </cell>
          <cell r="S1202" t="str">
            <v>-</v>
          </cell>
          <cell r="U1202">
            <v>14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15</v>
          </cell>
          <cell r="AA1202">
            <v>15</v>
          </cell>
          <cell r="AB1202">
            <v>0</v>
          </cell>
          <cell r="AC1202">
            <v>0</v>
          </cell>
          <cell r="AD1202">
            <v>-15</v>
          </cell>
        </row>
        <row r="1203">
          <cell r="A1203" t="str">
            <v>33.20.10051.01</v>
          </cell>
          <cell r="B1203" t="str">
            <v>SUPORTE TAMPA SUPERIOR / 33.20.10051.01</v>
          </cell>
          <cell r="D1203" t="str">
            <v>-</v>
          </cell>
          <cell r="E1203" t="str">
            <v>-</v>
          </cell>
          <cell r="F1203" t="str">
            <v>-</v>
          </cell>
          <cell r="G1203" t="str">
            <v>-</v>
          </cell>
          <cell r="H1203" t="str">
            <v>-</v>
          </cell>
          <cell r="I1203" t="str">
            <v>-</v>
          </cell>
          <cell r="J1203">
            <v>0</v>
          </cell>
          <cell r="K1203">
            <v>0</v>
          </cell>
          <cell r="L1203" t="str">
            <v>FALTA ENTREGA</v>
          </cell>
          <cell r="M1203" t="str">
            <v>-</v>
          </cell>
          <cell r="N1203" t="str">
            <v>OC'S METALFISA</v>
          </cell>
          <cell r="O1203" t="str">
            <v>-</v>
          </cell>
          <cell r="Q1203">
            <v>7</v>
          </cell>
          <cell r="S1203" t="str">
            <v>-</v>
          </cell>
          <cell r="U1203">
            <v>7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7</v>
          </cell>
          <cell r="AA1203">
            <v>7</v>
          </cell>
          <cell r="AB1203">
            <v>0</v>
          </cell>
          <cell r="AC1203">
            <v>0</v>
          </cell>
          <cell r="AD1203">
            <v>-7</v>
          </cell>
        </row>
        <row r="1204">
          <cell r="A1204" t="str">
            <v>33.20.10056.01</v>
          </cell>
          <cell r="B1204" t="str">
            <v>CHAPA BANDEJA INTERNA TUNEL 01 / 33.20.10056.01</v>
          </cell>
          <cell r="D1204" t="str">
            <v>-</v>
          </cell>
          <cell r="E1204" t="str">
            <v>-</v>
          </cell>
          <cell r="F1204" t="str">
            <v>-</v>
          </cell>
          <cell r="G1204" t="str">
            <v>-</v>
          </cell>
          <cell r="H1204" t="str">
            <v>-</v>
          </cell>
          <cell r="I1204" t="str">
            <v>-</v>
          </cell>
          <cell r="J1204">
            <v>0</v>
          </cell>
          <cell r="K1204" t="e">
            <v>#VALUE!</v>
          </cell>
          <cell r="L1204" t="str">
            <v>ENTREGA TOTAL</v>
          </cell>
          <cell r="M1204" t="str">
            <v>-</v>
          </cell>
          <cell r="N1204" t="str">
            <v>OC'S METALFISA</v>
          </cell>
          <cell r="O1204" t="str">
            <v>-</v>
          </cell>
          <cell r="Q1204" t="str">
            <v>-</v>
          </cell>
          <cell r="S1204" t="str">
            <v>-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21</v>
          </cell>
          <cell r="AA1204">
            <v>21</v>
          </cell>
          <cell r="AB1204" t="str">
            <v>0</v>
          </cell>
          <cell r="AC1204" t="str">
            <v>-</v>
          </cell>
          <cell r="AD1204" t="str">
            <v>-</v>
          </cell>
        </row>
        <row r="1205">
          <cell r="A1205" t="str">
            <v>33.20.10059.01</v>
          </cell>
          <cell r="B1205" t="str">
            <v>CHAPA BANDEJA INTERNA TUNEL 02 / 33.20.10059.01</v>
          </cell>
          <cell r="D1205" t="str">
            <v>-</v>
          </cell>
          <cell r="E1205" t="str">
            <v>-</v>
          </cell>
          <cell r="F1205" t="str">
            <v>-</v>
          </cell>
          <cell r="G1205" t="str">
            <v>-</v>
          </cell>
          <cell r="H1205" t="str">
            <v>-</v>
          </cell>
          <cell r="I1205" t="str">
            <v>-</v>
          </cell>
          <cell r="J1205">
            <v>0</v>
          </cell>
          <cell r="K1205" t="e">
            <v>#VALUE!</v>
          </cell>
          <cell r="L1205" t="str">
            <v>ENTREGA TOTAL</v>
          </cell>
          <cell r="M1205" t="str">
            <v>-</v>
          </cell>
          <cell r="N1205" t="str">
            <v>OC'S METALFISA</v>
          </cell>
          <cell r="O1205" t="str">
            <v>-</v>
          </cell>
          <cell r="Q1205" t="str">
            <v>-</v>
          </cell>
          <cell r="S1205" t="str">
            <v>-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25</v>
          </cell>
          <cell r="AA1205">
            <v>25</v>
          </cell>
          <cell r="AB1205" t="str">
            <v>0</v>
          </cell>
          <cell r="AC1205" t="str">
            <v>-</v>
          </cell>
          <cell r="AD1205" t="str">
            <v>-</v>
          </cell>
        </row>
        <row r="1206">
          <cell r="A1206" t="str">
            <v>33.20.10123.01</v>
          </cell>
          <cell r="B1206" t="str">
            <v>SUPORTE 2 COLIMADOR SV / 33.20.10123.01</v>
          </cell>
          <cell r="C1206">
            <v>46074</v>
          </cell>
          <cell r="D1206" t="str">
            <v>-</v>
          </cell>
          <cell r="E1206" t="str">
            <v>-</v>
          </cell>
          <cell r="F1206" t="str">
            <v>-</v>
          </cell>
          <cell r="G1206" t="str">
            <v>-</v>
          </cell>
          <cell r="H1206" t="str">
            <v>-</v>
          </cell>
          <cell r="I1206" t="str">
            <v>-</v>
          </cell>
          <cell r="J1206">
            <v>0</v>
          </cell>
          <cell r="K1206">
            <v>9</v>
          </cell>
          <cell r="L1206" t="str">
            <v>ENTREGA TOTAL</v>
          </cell>
          <cell r="M1206" t="str">
            <v>-</v>
          </cell>
          <cell r="N1206" t="str">
            <v>OC'S METALFISA</v>
          </cell>
          <cell r="O1206" t="str">
            <v>-</v>
          </cell>
          <cell r="Q1206">
            <v>8</v>
          </cell>
          <cell r="S1206" t="str">
            <v>-</v>
          </cell>
          <cell r="U1206">
            <v>8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9</v>
          </cell>
          <cell r="AA1206">
            <v>9</v>
          </cell>
          <cell r="AB1206">
            <v>0</v>
          </cell>
          <cell r="AC1206">
            <v>10</v>
          </cell>
          <cell r="AD1206">
            <v>1</v>
          </cell>
        </row>
        <row r="1207">
          <cell r="A1207" t="str">
            <v>33.20.10124.01</v>
          </cell>
          <cell r="B1207" t="str">
            <v>SUPORTE 1 COLIMADOR SV / 33.20.10124.01</v>
          </cell>
          <cell r="C1207">
            <v>46074</v>
          </cell>
          <cell r="D1207" t="str">
            <v>-</v>
          </cell>
          <cell r="E1207" t="str">
            <v>-</v>
          </cell>
          <cell r="F1207" t="str">
            <v>-</v>
          </cell>
          <cell r="G1207" t="str">
            <v>-</v>
          </cell>
          <cell r="H1207" t="str">
            <v>-</v>
          </cell>
          <cell r="I1207" t="str">
            <v>-</v>
          </cell>
          <cell r="J1207">
            <v>0</v>
          </cell>
          <cell r="K1207">
            <v>5</v>
          </cell>
          <cell r="L1207" t="str">
            <v>ENTREGA TOTAL</v>
          </cell>
          <cell r="M1207" t="str">
            <v>-</v>
          </cell>
          <cell r="N1207" t="str">
            <v>OC'S METALFISA</v>
          </cell>
          <cell r="O1207" t="str">
            <v>-</v>
          </cell>
          <cell r="Q1207">
            <v>5</v>
          </cell>
          <cell r="S1207" t="str">
            <v>-</v>
          </cell>
          <cell r="U1207">
            <v>5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5</v>
          </cell>
          <cell r="AA1207">
            <v>5</v>
          </cell>
          <cell r="AB1207">
            <v>0</v>
          </cell>
          <cell r="AC1207">
            <v>5</v>
          </cell>
          <cell r="AD1207">
            <v>0</v>
          </cell>
        </row>
        <row r="1208">
          <cell r="A1208" t="str">
            <v>33.20.10125.01</v>
          </cell>
          <cell r="B1208" t="str">
            <v>CHAPA FECHAMENTO FIXO COLIMADOR SV / 33.20.10125.01</v>
          </cell>
          <cell r="D1208" t="str">
            <v>-</v>
          </cell>
          <cell r="E1208" t="str">
            <v>-</v>
          </cell>
          <cell r="F1208" t="str">
            <v>-</v>
          </cell>
          <cell r="G1208" t="str">
            <v>-</v>
          </cell>
          <cell r="H1208" t="str">
            <v>-</v>
          </cell>
          <cell r="I1208" t="str">
            <v>-</v>
          </cell>
          <cell r="J1208">
            <v>0</v>
          </cell>
          <cell r="K1208">
            <v>1</v>
          </cell>
          <cell r="L1208" t="str">
            <v>FALTA ENTREGA</v>
          </cell>
          <cell r="M1208" t="str">
            <v>-</v>
          </cell>
          <cell r="N1208" t="str">
            <v>OC'S METALFISA</v>
          </cell>
          <cell r="O1208" t="str">
            <v>-</v>
          </cell>
          <cell r="Q1208">
            <v>8</v>
          </cell>
          <cell r="S1208" t="str">
            <v>-</v>
          </cell>
          <cell r="U1208">
            <v>8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7</v>
          </cell>
          <cell r="AA1208">
            <v>7</v>
          </cell>
          <cell r="AB1208">
            <v>0</v>
          </cell>
          <cell r="AC1208">
            <v>0</v>
          </cell>
          <cell r="AD1208">
            <v>-7</v>
          </cell>
        </row>
        <row r="1209">
          <cell r="A1209" t="str">
            <v>33.20.10126.01</v>
          </cell>
          <cell r="B1209" t="str">
            <v>CHAPA MANIPULO COLIMADOR DV / 33.20.10126.01</v>
          </cell>
          <cell r="D1209" t="str">
            <v>-</v>
          </cell>
          <cell r="E1209" t="str">
            <v>-</v>
          </cell>
          <cell r="F1209" t="str">
            <v>-</v>
          </cell>
          <cell r="G1209" t="str">
            <v>-</v>
          </cell>
          <cell r="H1209" t="str">
            <v>-</v>
          </cell>
          <cell r="I1209" t="str">
            <v>-</v>
          </cell>
          <cell r="J1209">
            <v>0</v>
          </cell>
          <cell r="K1209">
            <v>4</v>
          </cell>
          <cell r="L1209" t="str">
            <v>ENTREGA PARCIAL</v>
          </cell>
          <cell r="M1209" t="str">
            <v>-</v>
          </cell>
          <cell r="N1209" t="str">
            <v>OC'S METALFISA</v>
          </cell>
          <cell r="O1209" t="str">
            <v>-</v>
          </cell>
          <cell r="Q1209">
            <v>12</v>
          </cell>
          <cell r="S1209" t="str">
            <v>-</v>
          </cell>
          <cell r="U1209">
            <v>12</v>
          </cell>
          <cell r="V1209">
            <v>11</v>
          </cell>
          <cell r="W1209">
            <v>0</v>
          </cell>
          <cell r="X1209">
            <v>0</v>
          </cell>
          <cell r="Y1209">
            <v>0</v>
          </cell>
          <cell r="Z1209">
            <v>12</v>
          </cell>
          <cell r="AA1209">
            <v>23</v>
          </cell>
          <cell r="AB1209">
            <v>0</v>
          </cell>
          <cell r="AC1209">
            <v>15</v>
          </cell>
          <cell r="AD1209">
            <v>-8</v>
          </cell>
        </row>
        <row r="1210">
          <cell r="A1210" t="str">
            <v>33.20.10128.01</v>
          </cell>
          <cell r="B1210" t="str">
            <v>CHAPA MONTAGEM VEDACAO COLIMADOR DV / 33.20.10128.01</v>
          </cell>
          <cell r="C1210">
            <v>46066</v>
          </cell>
          <cell r="D1210" t="str">
            <v>-</v>
          </cell>
          <cell r="E1210" t="str">
            <v>-</v>
          </cell>
          <cell r="F1210" t="str">
            <v>-</v>
          </cell>
          <cell r="G1210" t="str">
            <v>-</v>
          </cell>
          <cell r="H1210" t="str">
            <v>-</v>
          </cell>
          <cell r="I1210" t="str">
            <v>-</v>
          </cell>
          <cell r="J1210">
            <v>0</v>
          </cell>
          <cell r="K1210">
            <v>4</v>
          </cell>
          <cell r="L1210" t="str">
            <v>ENTREGA TOTAL</v>
          </cell>
          <cell r="M1210" t="str">
            <v>-</v>
          </cell>
          <cell r="N1210" t="str">
            <v>OC'S METALFISA</v>
          </cell>
          <cell r="O1210" t="str">
            <v>-</v>
          </cell>
          <cell r="Q1210">
            <v>4</v>
          </cell>
          <cell r="S1210" t="str">
            <v>-</v>
          </cell>
          <cell r="U1210">
            <v>4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4</v>
          </cell>
          <cell r="AA1210">
            <v>4</v>
          </cell>
          <cell r="AB1210">
            <v>0</v>
          </cell>
          <cell r="AC1210">
            <v>4</v>
          </cell>
          <cell r="AD1210">
            <v>0</v>
          </cell>
        </row>
        <row r="1211">
          <cell r="A1211" t="str">
            <v>33.20.10133.02</v>
          </cell>
          <cell r="B1211" t="str">
            <v>PAINEL ELETRICO 100100 / 33.20.10133.02</v>
          </cell>
          <cell r="D1211" t="str">
            <v>-</v>
          </cell>
          <cell r="E1211" t="str">
            <v>-</v>
          </cell>
          <cell r="F1211" t="str">
            <v>-</v>
          </cell>
          <cell r="G1211" t="str">
            <v>-</v>
          </cell>
          <cell r="H1211" t="str">
            <v>-</v>
          </cell>
          <cell r="I1211" t="str">
            <v>-</v>
          </cell>
          <cell r="J1211">
            <v>0</v>
          </cell>
          <cell r="K1211">
            <v>0</v>
          </cell>
          <cell r="L1211" t="str">
            <v>FALTA ENTREGA</v>
          </cell>
          <cell r="M1211" t="str">
            <v>-</v>
          </cell>
          <cell r="N1211" t="str">
            <v>OC'S METALFISA</v>
          </cell>
          <cell r="O1211" t="str">
            <v>-</v>
          </cell>
          <cell r="Q1211">
            <v>7</v>
          </cell>
          <cell r="S1211" t="str">
            <v>-</v>
          </cell>
          <cell r="U1211">
            <v>7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7</v>
          </cell>
          <cell r="AA1211">
            <v>7</v>
          </cell>
          <cell r="AB1211">
            <v>0</v>
          </cell>
          <cell r="AC1211">
            <v>0</v>
          </cell>
          <cell r="AD1211">
            <v>-7</v>
          </cell>
        </row>
        <row r="1212">
          <cell r="A1212" t="str">
            <v>33.20.10135.01</v>
          </cell>
          <cell r="B1212" t="str">
            <v>TRAVE SUSTENTACAO COLIMADOR SV / 33.20.10135.01</v>
          </cell>
          <cell r="D1212" t="str">
            <v>-</v>
          </cell>
          <cell r="E1212" t="str">
            <v>-</v>
          </cell>
          <cell r="F1212" t="str">
            <v>-</v>
          </cell>
          <cell r="G1212" t="str">
            <v>-</v>
          </cell>
          <cell r="H1212" t="str">
            <v>-</v>
          </cell>
          <cell r="I1212" t="str">
            <v>-</v>
          </cell>
          <cell r="J1212">
            <v>0</v>
          </cell>
          <cell r="K1212">
            <v>11</v>
          </cell>
          <cell r="L1212" t="str">
            <v>ENTREGA TOTAL</v>
          </cell>
          <cell r="M1212" t="str">
            <v>-</v>
          </cell>
          <cell r="N1212" t="str">
            <v>OC'S METALFISA</v>
          </cell>
          <cell r="O1212" t="str">
            <v>-</v>
          </cell>
          <cell r="Q1212">
            <v>8</v>
          </cell>
          <cell r="S1212" t="str">
            <v>-</v>
          </cell>
          <cell r="U1212">
            <v>8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3</v>
          </cell>
          <cell r="AA1212">
            <v>3</v>
          </cell>
          <cell r="AB1212">
            <v>0</v>
          </cell>
          <cell r="AC1212">
            <v>6</v>
          </cell>
          <cell r="AD1212">
            <v>3</v>
          </cell>
        </row>
        <row r="1213">
          <cell r="A1213" t="str">
            <v>33.20.10143.01</v>
          </cell>
          <cell r="B1213" t="str">
            <v>MONTAGEM REBITES COLIMADOR FINAL / 33.20.10143.01</v>
          </cell>
          <cell r="C1213">
            <v>46074</v>
          </cell>
          <cell r="D1213" t="str">
            <v>-</v>
          </cell>
          <cell r="E1213" t="str">
            <v>-</v>
          </cell>
          <cell r="F1213" t="str">
            <v>-</v>
          </cell>
          <cell r="G1213" t="str">
            <v>-</v>
          </cell>
          <cell r="H1213" t="str">
            <v>-</v>
          </cell>
          <cell r="I1213" t="str">
            <v>-</v>
          </cell>
          <cell r="J1213">
            <v>0</v>
          </cell>
          <cell r="K1213">
            <v>7</v>
          </cell>
          <cell r="L1213" t="str">
            <v>ENTREGA TOTAL</v>
          </cell>
          <cell r="M1213" t="str">
            <v>-</v>
          </cell>
          <cell r="N1213" t="str">
            <v>OC'S METALFISA</v>
          </cell>
          <cell r="O1213" t="str">
            <v>-</v>
          </cell>
          <cell r="Q1213">
            <v>7</v>
          </cell>
          <cell r="S1213" t="str">
            <v>-</v>
          </cell>
          <cell r="U1213">
            <v>7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7</v>
          </cell>
          <cell r="AA1213">
            <v>7</v>
          </cell>
          <cell r="AB1213">
            <v>0</v>
          </cell>
          <cell r="AC1213">
            <v>7</v>
          </cell>
          <cell r="AD1213">
            <v>0</v>
          </cell>
        </row>
        <row r="1214">
          <cell r="A1214" t="str">
            <v>33.20.10145.01</v>
          </cell>
          <cell r="B1214" t="str">
            <v>CHAPA FECHAMENTO COLIMADOR FINAL / 33.20.10145.01</v>
          </cell>
          <cell r="C1214">
            <v>46059</v>
          </cell>
          <cell r="D1214" t="str">
            <v>-</v>
          </cell>
          <cell r="E1214" t="str">
            <v>-</v>
          </cell>
          <cell r="F1214" t="str">
            <v>-</v>
          </cell>
          <cell r="G1214" t="str">
            <v>-</v>
          </cell>
          <cell r="H1214" t="str">
            <v>-</v>
          </cell>
          <cell r="I1214" t="str">
            <v>-</v>
          </cell>
          <cell r="J1214">
            <v>0</v>
          </cell>
          <cell r="K1214" t="e">
            <v>#VALUE!</v>
          </cell>
          <cell r="L1214" t="str">
            <v>ENTREGA TOTAL</v>
          </cell>
          <cell r="M1214" t="str">
            <v>-</v>
          </cell>
          <cell r="N1214" t="str">
            <v>OC'S METALFISA</v>
          </cell>
          <cell r="O1214" t="str">
            <v>-</v>
          </cell>
          <cell r="Q1214" t="str">
            <v>-</v>
          </cell>
          <cell r="S1214" t="str">
            <v>-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14</v>
          </cell>
          <cell r="AA1214">
            <v>14</v>
          </cell>
          <cell r="AB1214" t="str">
            <v>0</v>
          </cell>
          <cell r="AC1214" t="str">
            <v>-</v>
          </cell>
          <cell r="AD1214" t="str">
            <v>-</v>
          </cell>
        </row>
        <row r="1215">
          <cell r="A1215" t="str">
            <v>33.20.10146.01</v>
          </cell>
          <cell r="B1215" t="str">
            <v>CHAPA MONTAGEM VEDACAO COLIMADOR SV / 33.20.10146.01</v>
          </cell>
          <cell r="D1215" t="str">
            <v>-</v>
          </cell>
          <cell r="E1215" t="str">
            <v>-</v>
          </cell>
          <cell r="F1215" t="str">
            <v>-</v>
          </cell>
          <cell r="G1215" t="str">
            <v>-</v>
          </cell>
          <cell r="H1215" t="str">
            <v>-</v>
          </cell>
          <cell r="I1215" t="str">
            <v>-</v>
          </cell>
          <cell r="J1215">
            <v>0</v>
          </cell>
          <cell r="K1215">
            <v>1</v>
          </cell>
          <cell r="L1215" t="str">
            <v>FALTA ENTREGA</v>
          </cell>
          <cell r="M1215" t="str">
            <v>-</v>
          </cell>
          <cell r="N1215" t="str">
            <v>OC'S METALFISA</v>
          </cell>
          <cell r="O1215" t="str">
            <v>-</v>
          </cell>
          <cell r="Q1215">
            <v>9</v>
          </cell>
          <cell r="S1215" t="str">
            <v>-</v>
          </cell>
          <cell r="U1215">
            <v>9</v>
          </cell>
          <cell r="V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8</v>
          </cell>
          <cell r="AA1215">
            <v>8</v>
          </cell>
          <cell r="AB1215">
            <v>0</v>
          </cell>
          <cell r="AC1215">
            <v>0</v>
          </cell>
          <cell r="AD1215">
            <v>-8</v>
          </cell>
        </row>
        <row r="1216">
          <cell r="A1216" t="str">
            <v>33.20.10147.01</v>
          </cell>
          <cell r="B1216" t="str">
            <v>CHAPA FECHAMENTO MOVEL COLIMADOR SV / 33.20.10147.01</v>
          </cell>
          <cell r="D1216" t="str">
            <v>-</v>
          </cell>
          <cell r="E1216" t="str">
            <v>-</v>
          </cell>
          <cell r="F1216" t="str">
            <v>-</v>
          </cell>
          <cell r="G1216" t="str">
            <v>-</v>
          </cell>
          <cell r="H1216" t="str">
            <v>-</v>
          </cell>
          <cell r="I1216" t="str">
            <v>-</v>
          </cell>
          <cell r="J1216">
            <v>0</v>
          </cell>
          <cell r="K1216">
            <v>5</v>
          </cell>
          <cell r="L1216" t="str">
            <v>FALTA ENTREGA</v>
          </cell>
          <cell r="M1216">
            <v>18</v>
          </cell>
          <cell r="N1216" t="str">
            <v>OC'S METALFISA</v>
          </cell>
          <cell r="O1216" t="str">
            <v>-</v>
          </cell>
          <cell r="Q1216" t="str">
            <v>-</v>
          </cell>
          <cell r="S1216" t="str">
            <v>-</v>
          </cell>
          <cell r="U1216">
            <v>18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13</v>
          </cell>
          <cell r="AA1216">
            <v>13</v>
          </cell>
          <cell r="AB1216">
            <v>0</v>
          </cell>
          <cell r="AC1216">
            <v>0</v>
          </cell>
          <cell r="AD1216">
            <v>-13</v>
          </cell>
        </row>
        <row r="1217">
          <cell r="A1217" t="str">
            <v>33.20.10148.02</v>
          </cell>
          <cell r="B1217" t="str">
            <v>SUPORTE GERADOR SV / 33.20.10148.02</v>
          </cell>
          <cell r="C1217">
            <v>46059</v>
          </cell>
          <cell r="D1217" t="str">
            <v>-</v>
          </cell>
          <cell r="E1217" t="str">
            <v>-</v>
          </cell>
          <cell r="F1217" t="str">
            <v>-</v>
          </cell>
          <cell r="G1217" t="str">
            <v>-</v>
          </cell>
          <cell r="H1217" t="str">
            <v>-</v>
          </cell>
          <cell r="I1217" t="str">
            <v>-</v>
          </cell>
          <cell r="J1217">
            <v>0</v>
          </cell>
          <cell r="K1217" t="e">
            <v>#VALUE!</v>
          </cell>
          <cell r="L1217" t="str">
            <v>ENTREGA TOTAL</v>
          </cell>
          <cell r="M1217" t="str">
            <v>-</v>
          </cell>
          <cell r="N1217" t="str">
            <v>OC'S METALFISA</v>
          </cell>
          <cell r="O1217" t="str">
            <v>-</v>
          </cell>
          <cell r="Q1217">
            <v>2</v>
          </cell>
          <cell r="S1217" t="str">
            <v>-</v>
          </cell>
          <cell r="U1217">
            <v>2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4</v>
          </cell>
          <cell r="AA1217">
            <v>4</v>
          </cell>
          <cell r="AB1217" t="str">
            <v>0</v>
          </cell>
          <cell r="AC1217" t="str">
            <v>-</v>
          </cell>
          <cell r="AD1217" t="str">
            <v>-</v>
          </cell>
        </row>
        <row r="1218">
          <cell r="A1218" t="str">
            <v>33.20.10169.01</v>
          </cell>
          <cell r="B1218" t="str">
            <v>CHAPA LATERAL 01 COLIMADOR DV / 33.20.10169.01</v>
          </cell>
          <cell r="C1218">
            <v>46074</v>
          </cell>
          <cell r="D1218" t="str">
            <v>-</v>
          </cell>
          <cell r="E1218" t="str">
            <v>-</v>
          </cell>
          <cell r="F1218" t="str">
            <v>-</v>
          </cell>
          <cell r="G1218" t="str">
            <v>-</v>
          </cell>
          <cell r="H1218" t="str">
            <v>-</v>
          </cell>
          <cell r="I1218" t="str">
            <v>-</v>
          </cell>
          <cell r="J1218">
            <v>0</v>
          </cell>
          <cell r="K1218">
            <v>2</v>
          </cell>
          <cell r="L1218" t="str">
            <v>ENTREGA TOTAL</v>
          </cell>
          <cell r="M1218" t="str">
            <v>-</v>
          </cell>
          <cell r="N1218" t="str">
            <v>OC'S METALFISA</v>
          </cell>
          <cell r="O1218" t="str">
            <v>-</v>
          </cell>
          <cell r="Q1218">
            <v>2</v>
          </cell>
          <cell r="S1218" t="str">
            <v>-</v>
          </cell>
          <cell r="U1218">
            <v>2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2</v>
          </cell>
          <cell r="AA1218">
            <v>2</v>
          </cell>
          <cell r="AB1218">
            <v>0</v>
          </cell>
          <cell r="AC1218">
            <v>2</v>
          </cell>
          <cell r="AD1218">
            <v>0</v>
          </cell>
        </row>
        <row r="1219">
          <cell r="A1219" t="str">
            <v>33.20.10172.01</v>
          </cell>
          <cell r="B1219" t="str">
            <v>CHAPA LATERAL 02 COLIMADOR DV / 33.20.10172.01</v>
          </cell>
          <cell r="C1219">
            <v>46074</v>
          </cell>
          <cell r="D1219" t="str">
            <v>-</v>
          </cell>
          <cell r="E1219" t="str">
            <v>-</v>
          </cell>
          <cell r="F1219" t="str">
            <v>-</v>
          </cell>
          <cell r="G1219" t="str">
            <v>-</v>
          </cell>
          <cell r="H1219" t="str">
            <v>-</v>
          </cell>
          <cell r="I1219" t="str">
            <v>-</v>
          </cell>
          <cell r="J1219">
            <v>0</v>
          </cell>
          <cell r="K1219">
            <v>2</v>
          </cell>
          <cell r="L1219" t="str">
            <v>ENTREGA TOTAL</v>
          </cell>
          <cell r="M1219" t="str">
            <v>-</v>
          </cell>
          <cell r="N1219" t="str">
            <v>OC'S METALFISA</v>
          </cell>
          <cell r="O1219" t="str">
            <v>-</v>
          </cell>
          <cell r="Q1219">
            <v>2</v>
          </cell>
          <cell r="S1219" t="str">
            <v>-</v>
          </cell>
          <cell r="U1219">
            <v>2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2</v>
          </cell>
          <cell r="AA1219">
            <v>2</v>
          </cell>
          <cell r="AB1219">
            <v>0</v>
          </cell>
          <cell r="AC1219">
            <v>2</v>
          </cell>
          <cell r="AD1219">
            <v>0</v>
          </cell>
        </row>
        <row r="1220">
          <cell r="A1220" t="str">
            <v>33.20.10173.01</v>
          </cell>
          <cell r="B1220" t="str">
            <v>CHAPA FECHAMENTO INFERIOR COLIMADOR / 33.20.10173.01</v>
          </cell>
          <cell r="D1220" t="str">
            <v>-</v>
          </cell>
          <cell r="E1220" t="str">
            <v>-</v>
          </cell>
          <cell r="F1220" t="str">
            <v>-</v>
          </cell>
          <cell r="G1220" t="str">
            <v>-</v>
          </cell>
          <cell r="H1220" t="str">
            <v>-</v>
          </cell>
          <cell r="I1220" t="str">
            <v>-</v>
          </cell>
          <cell r="J1220">
            <v>0</v>
          </cell>
          <cell r="K1220">
            <v>0</v>
          </cell>
          <cell r="L1220" t="str">
            <v>FALTA ENTREGA</v>
          </cell>
          <cell r="M1220" t="str">
            <v>-</v>
          </cell>
          <cell r="N1220" t="str">
            <v>OC'S METALFISA</v>
          </cell>
          <cell r="O1220" t="str">
            <v>-</v>
          </cell>
          <cell r="Q1220">
            <v>2</v>
          </cell>
          <cell r="S1220" t="str">
            <v>-</v>
          </cell>
          <cell r="U1220">
            <v>2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2</v>
          </cell>
          <cell r="AA1220">
            <v>2</v>
          </cell>
          <cell r="AB1220">
            <v>0</v>
          </cell>
          <cell r="AC1220">
            <v>0</v>
          </cell>
          <cell r="AD1220">
            <v>-2</v>
          </cell>
        </row>
        <row r="1221">
          <cell r="A1221" t="str">
            <v>33.20.10174.01</v>
          </cell>
          <cell r="B1221" t="str">
            <v>CHAPA FECHAMENTO SUPERIOR COLIMADOR / 33.20.10174.01</v>
          </cell>
          <cell r="C1221">
            <v>46074</v>
          </cell>
          <cell r="D1221" t="str">
            <v>-</v>
          </cell>
          <cell r="E1221" t="str">
            <v>-</v>
          </cell>
          <cell r="F1221" t="str">
            <v>-</v>
          </cell>
          <cell r="G1221" t="str">
            <v>-</v>
          </cell>
          <cell r="H1221" t="str">
            <v>-</v>
          </cell>
          <cell r="I1221" t="str">
            <v>-</v>
          </cell>
          <cell r="J1221">
            <v>0</v>
          </cell>
          <cell r="K1221">
            <v>2</v>
          </cell>
          <cell r="L1221" t="str">
            <v>ENTREGA TOTAL</v>
          </cell>
          <cell r="M1221" t="str">
            <v>-</v>
          </cell>
          <cell r="N1221" t="str">
            <v>OC'S METALFISA</v>
          </cell>
          <cell r="O1221" t="str">
            <v>-</v>
          </cell>
          <cell r="Q1221">
            <v>2</v>
          </cell>
          <cell r="S1221" t="str">
            <v>-</v>
          </cell>
          <cell r="U1221">
            <v>2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2</v>
          </cell>
          <cell r="AA1221">
            <v>2</v>
          </cell>
          <cell r="AB1221">
            <v>0</v>
          </cell>
          <cell r="AC1221">
            <v>2</v>
          </cell>
          <cell r="AD1221">
            <v>0</v>
          </cell>
        </row>
        <row r="1222">
          <cell r="A1222" t="str">
            <v>33.20.10175.01</v>
          </cell>
          <cell r="B1222" t="str">
            <v>CHAPA TAMPA COLIMADOR DV / 33.20.10175.01</v>
          </cell>
          <cell r="C1222">
            <v>46062</v>
          </cell>
          <cell r="D1222" t="str">
            <v>-</v>
          </cell>
          <cell r="E1222" t="str">
            <v>-</v>
          </cell>
          <cell r="F1222" t="str">
            <v>-</v>
          </cell>
          <cell r="G1222" t="str">
            <v>-</v>
          </cell>
          <cell r="H1222" t="str">
            <v>-</v>
          </cell>
          <cell r="I1222" t="str">
            <v>-</v>
          </cell>
          <cell r="J1222">
            <v>0</v>
          </cell>
          <cell r="K1222" t="e">
            <v>#VALUE!</v>
          </cell>
          <cell r="L1222" t="str">
            <v>ENTREGA TOTAL</v>
          </cell>
          <cell r="M1222" t="str">
            <v>-</v>
          </cell>
          <cell r="N1222" t="str">
            <v>OC'S METALFISA</v>
          </cell>
          <cell r="O1222" t="str">
            <v>-</v>
          </cell>
          <cell r="Q1222">
            <v>2</v>
          </cell>
          <cell r="S1222" t="str">
            <v>-</v>
          </cell>
          <cell r="U1222">
            <v>2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2</v>
          </cell>
          <cell r="AA1222">
            <v>2</v>
          </cell>
          <cell r="AB1222" t="str">
            <v>0</v>
          </cell>
          <cell r="AC1222" t="str">
            <v>-</v>
          </cell>
          <cell r="AD1222" t="str">
            <v>-</v>
          </cell>
        </row>
        <row r="1223">
          <cell r="A1223" t="str">
            <v>33.20.10178.01</v>
          </cell>
          <cell r="B1223" t="str">
            <v>CHAPA COLIMACAO FINAL DV / 33.20.10178.01</v>
          </cell>
          <cell r="C1223">
            <v>46074</v>
          </cell>
          <cell r="D1223" t="str">
            <v>-</v>
          </cell>
          <cell r="E1223" t="str">
            <v>-</v>
          </cell>
          <cell r="F1223" t="str">
            <v>-</v>
          </cell>
          <cell r="G1223" t="str">
            <v>-</v>
          </cell>
          <cell r="H1223" t="str">
            <v>-</v>
          </cell>
          <cell r="I1223" t="str">
            <v>-</v>
          </cell>
          <cell r="J1223">
            <v>0</v>
          </cell>
          <cell r="K1223">
            <v>3</v>
          </cell>
          <cell r="L1223" t="str">
            <v>ENTREGA TOTAL</v>
          </cell>
          <cell r="M1223" t="str">
            <v>-</v>
          </cell>
          <cell r="N1223" t="str">
            <v>OC'S METALFISA</v>
          </cell>
          <cell r="O1223" t="str">
            <v>-</v>
          </cell>
          <cell r="Q1223">
            <v>3</v>
          </cell>
          <cell r="S1223" t="str">
            <v>-</v>
          </cell>
          <cell r="U1223">
            <v>3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3</v>
          </cell>
          <cell r="AA1223">
            <v>3</v>
          </cell>
          <cell r="AB1223">
            <v>0</v>
          </cell>
          <cell r="AC1223">
            <v>3</v>
          </cell>
          <cell r="AD1223">
            <v>0</v>
          </cell>
        </row>
        <row r="1224">
          <cell r="A1224" t="str">
            <v>33.20.10227.02</v>
          </cell>
          <cell r="B1224" t="str">
            <v>TAMPA SUPERIOR LATERAL / 33.20.10227.02</v>
          </cell>
          <cell r="D1224" t="str">
            <v>-</v>
          </cell>
          <cell r="E1224" t="str">
            <v>-</v>
          </cell>
          <cell r="F1224" t="str">
            <v>-</v>
          </cell>
          <cell r="G1224" t="str">
            <v>-</v>
          </cell>
          <cell r="H1224" t="str">
            <v>-</v>
          </cell>
          <cell r="I1224">
            <v>1</v>
          </cell>
          <cell r="J1224">
            <v>1</v>
          </cell>
          <cell r="K1224">
            <v>-4</v>
          </cell>
          <cell r="L1224" t="str">
            <v>FALTA ENTREGA</v>
          </cell>
          <cell r="M1224">
            <v>14</v>
          </cell>
          <cell r="N1224" t="str">
            <v>OC'S METALFISA</v>
          </cell>
          <cell r="O1224" t="str">
            <v>-</v>
          </cell>
          <cell r="Q1224" t="str">
            <v>-</v>
          </cell>
          <cell r="S1224" t="str">
            <v>-</v>
          </cell>
          <cell r="U1224">
            <v>14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19</v>
          </cell>
          <cell r="AA1224">
            <v>19</v>
          </cell>
          <cell r="AB1224">
            <v>0</v>
          </cell>
          <cell r="AC1224">
            <v>0</v>
          </cell>
          <cell r="AD1224">
            <v>-19</v>
          </cell>
        </row>
        <row r="1225">
          <cell r="A1225" t="str">
            <v>33.20.10251.02</v>
          </cell>
          <cell r="B1225" t="str">
            <v>ACABAMENTO ESTEIRA 01 / 33.20.10251.02</v>
          </cell>
          <cell r="C1225">
            <v>46059</v>
          </cell>
          <cell r="D1225" t="str">
            <v>-</v>
          </cell>
          <cell r="E1225" t="str">
            <v>-</v>
          </cell>
          <cell r="F1225" t="str">
            <v>-</v>
          </cell>
          <cell r="G1225" t="str">
            <v>-</v>
          </cell>
          <cell r="H1225" t="str">
            <v>-</v>
          </cell>
          <cell r="I1225" t="str">
            <v>-</v>
          </cell>
          <cell r="J1225">
            <v>0</v>
          </cell>
          <cell r="K1225">
            <v>14</v>
          </cell>
          <cell r="L1225" t="str">
            <v>ENTREGA PARCIAL</v>
          </cell>
          <cell r="M1225">
            <v>2</v>
          </cell>
          <cell r="N1225" t="str">
            <v>OC'S METALFISA</v>
          </cell>
          <cell r="O1225" t="str">
            <v>-</v>
          </cell>
          <cell r="Q1225" t="str">
            <v>-</v>
          </cell>
          <cell r="S1225">
            <v>14</v>
          </cell>
          <cell r="T1225" t="str">
            <v>OC'S MAPHE</v>
          </cell>
          <cell r="U1225">
            <v>16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16</v>
          </cell>
          <cell r="AA1225">
            <v>16</v>
          </cell>
          <cell r="AB1225">
            <v>0</v>
          </cell>
          <cell r="AC1225">
            <v>14</v>
          </cell>
          <cell r="AD1225">
            <v>-2</v>
          </cell>
        </row>
        <row r="1226">
          <cell r="A1226" t="str">
            <v>33.20.10253.02</v>
          </cell>
          <cell r="B1226" t="str">
            <v>ACABAMENTO ESTEIRA 02 / 33.20.10253.02</v>
          </cell>
          <cell r="C1226">
            <v>46059</v>
          </cell>
          <cell r="D1226" t="str">
            <v>-</v>
          </cell>
          <cell r="E1226" t="str">
            <v>-</v>
          </cell>
          <cell r="F1226" t="str">
            <v>-</v>
          </cell>
          <cell r="G1226" t="str">
            <v>-</v>
          </cell>
          <cell r="H1226" t="str">
            <v>-</v>
          </cell>
          <cell r="I1226">
            <v>1</v>
          </cell>
          <cell r="J1226">
            <v>1</v>
          </cell>
          <cell r="K1226">
            <v>7</v>
          </cell>
          <cell r="L1226" t="str">
            <v>ENTREGA PARCIAL</v>
          </cell>
          <cell r="M1226">
            <v>11</v>
          </cell>
          <cell r="N1226" t="str">
            <v>OC'S METALFISA</v>
          </cell>
          <cell r="O1226" t="str">
            <v>-</v>
          </cell>
          <cell r="Q1226" t="str">
            <v>-</v>
          </cell>
          <cell r="S1226">
            <v>6</v>
          </cell>
          <cell r="T1226" t="str">
            <v>OC'S MAPHE</v>
          </cell>
          <cell r="U1226">
            <v>17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17</v>
          </cell>
          <cell r="AA1226">
            <v>17</v>
          </cell>
          <cell r="AB1226">
            <v>0</v>
          </cell>
          <cell r="AC1226">
            <v>6</v>
          </cell>
          <cell r="AD1226">
            <v>-11</v>
          </cell>
        </row>
        <row r="1227">
          <cell r="A1227" t="str">
            <v>33.20.10255.01</v>
          </cell>
          <cell r="B1227" t="str">
            <v>ACABAMENTO DO TUNEL 01 / 33.20.10255.01</v>
          </cell>
          <cell r="D1227" t="str">
            <v>-</v>
          </cell>
          <cell r="E1227" t="str">
            <v>-</v>
          </cell>
          <cell r="F1227" t="str">
            <v>-</v>
          </cell>
          <cell r="G1227" t="str">
            <v>-</v>
          </cell>
          <cell r="H1227" t="str">
            <v>-</v>
          </cell>
          <cell r="I1227">
            <v>2</v>
          </cell>
          <cell r="J1227">
            <v>2</v>
          </cell>
          <cell r="K1227">
            <v>0</v>
          </cell>
          <cell r="L1227" t="str">
            <v>FALTA ENTREGA</v>
          </cell>
          <cell r="M1227">
            <v>2</v>
          </cell>
          <cell r="N1227" t="str">
            <v>OC'S METALFISA</v>
          </cell>
          <cell r="O1227" t="str">
            <v>-</v>
          </cell>
          <cell r="Q1227" t="str">
            <v>-</v>
          </cell>
          <cell r="S1227" t="str">
            <v>-</v>
          </cell>
          <cell r="U1227">
            <v>2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4</v>
          </cell>
          <cell r="AA1227">
            <v>4</v>
          </cell>
          <cell r="AB1227">
            <v>0</v>
          </cell>
          <cell r="AC1227">
            <v>0</v>
          </cell>
          <cell r="AD1227">
            <v>-4</v>
          </cell>
        </row>
        <row r="1228">
          <cell r="A1228" t="str">
            <v>33.20.10257.01</v>
          </cell>
          <cell r="B1228" t="str">
            <v>ACABAMENTO DO TUNEL 02 / 33.20.10257.01</v>
          </cell>
          <cell r="D1228" t="str">
            <v>-</v>
          </cell>
          <cell r="E1228" t="str">
            <v>-</v>
          </cell>
          <cell r="F1228" t="str">
            <v>-</v>
          </cell>
          <cell r="G1228" t="str">
            <v>-</v>
          </cell>
          <cell r="H1228" t="str">
            <v>-</v>
          </cell>
          <cell r="I1228" t="str">
            <v>-</v>
          </cell>
          <cell r="J1228">
            <v>0</v>
          </cell>
          <cell r="K1228">
            <v>-7</v>
          </cell>
          <cell r="L1228" t="str">
            <v>FALTA ENTREGA</v>
          </cell>
          <cell r="M1228">
            <v>2</v>
          </cell>
          <cell r="N1228" t="str">
            <v>OC'S METALFISA</v>
          </cell>
          <cell r="O1228" t="str">
            <v>-</v>
          </cell>
          <cell r="Q1228" t="str">
            <v>-</v>
          </cell>
          <cell r="S1228" t="str">
            <v>-</v>
          </cell>
          <cell r="U1228">
            <v>2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9</v>
          </cell>
          <cell r="AA1228">
            <v>9</v>
          </cell>
          <cell r="AB1228">
            <v>0</v>
          </cell>
          <cell r="AC1228">
            <v>0</v>
          </cell>
          <cell r="AD1228">
            <v>-9</v>
          </cell>
        </row>
        <row r="1229">
          <cell r="A1229" t="str">
            <v>33.20.10263.01</v>
          </cell>
          <cell r="B1229" t="str">
            <v>FECHAMENTO 01 TAMPAS LATERAIS / 33.20.10263.01</v>
          </cell>
          <cell r="C1229">
            <v>46066</v>
          </cell>
          <cell r="D1229" t="str">
            <v>-</v>
          </cell>
          <cell r="E1229" t="str">
            <v>-</v>
          </cell>
          <cell r="F1229" t="str">
            <v>-</v>
          </cell>
          <cell r="G1229" t="str">
            <v>-</v>
          </cell>
          <cell r="H1229" t="str">
            <v>-</v>
          </cell>
          <cell r="I1229" t="str">
            <v>-</v>
          </cell>
          <cell r="J1229">
            <v>0</v>
          </cell>
          <cell r="K1229">
            <v>15</v>
          </cell>
          <cell r="L1229" t="str">
            <v>ENTREGA TOTAL</v>
          </cell>
          <cell r="M1229" t="str">
            <v>-</v>
          </cell>
          <cell r="N1229" t="str">
            <v>OC'S METALFISA</v>
          </cell>
          <cell r="O1229" t="str">
            <v>-</v>
          </cell>
          <cell r="Q1229">
            <v>15</v>
          </cell>
          <cell r="S1229" t="str">
            <v>-</v>
          </cell>
          <cell r="U1229">
            <v>15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14</v>
          </cell>
          <cell r="AA1229">
            <v>14</v>
          </cell>
          <cell r="AB1229">
            <v>0</v>
          </cell>
          <cell r="AC1229">
            <v>14</v>
          </cell>
          <cell r="AD1229">
            <v>0</v>
          </cell>
        </row>
        <row r="1230">
          <cell r="A1230" t="str">
            <v>33.20.10264.01</v>
          </cell>
          <cell r="B1230" t="str">
            <v>FECHAMENTO 02 TAMPAS LATERAIS / 33.20.10264.01</v>
          </cell>
          <cell r="C1230">
            <v>46066</v>
          </cell>
          <cell r="D1230" t="str">
            <v>-</v>
          </cell>
          <cell r="E1230" t="str">
            <v>-</v>
          </cell>
          <cell r="F1230" t="str">
            <v>-</v>
          </cell>
          <cell r="G1230" t="str">
            <v>-</v>
          </cell>
          <cell r="H1230" t="str">
            <v>-</v>
          </cell>
          <cell r="I1230" t="str">
            <v>-</v>
          </cell>
          <cell r="J1230">
            <v>0</v>
          </cell>
          <cell r="K1230">
            <v>14</v>
          </cell>
          <cell r="L1230" t="str">
            <v>ENTREGA TOTAL</v>
          </cell>
          <cell r="M1230" t="str">
            <v>-</v>
          </cell>
          <cell r="N1230" t="str">
            <v>OC'S METALFISA</v>
          </cell>
          <cell r="O1230" t="str">
            <v>-</v>
          </cell>
          <cell r="Q1230">
            <v>14</v>
          </cell>
          <cell r="S1230" t="str">
            <v>-</v>
          </cell>
          <cell r="U1230">
            <v>14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14</v>
          </cell>
          <cell r="AA1230">
            <v>14</v>
          </cell>
          <cell r="AB1230">
            <v>0</v>
          </cell>
          <cell r="AC1230">
            <v>14</v>
          </cell>
          <cell r="AD1230">
            <v>0</v>
          </cell>
        </row>
        <row r="1231">
          <cell r="A1231" t="str">
            <v>33.20.10272.00</v>
          </cell>
          <cell r="B1231" t="str">
            <v>MASCARA FIXACAO ACRILICO / 33.20.10272.00</v>
          </cell>
          <cell r="C1231">
            <v>46066</v>
          </cell>
          <cell r="D1231" t="str">
            <v>-</v>
          </cell>
          <cell r="E1231" t="str">
            <v>-</v>
          </cell>
          <cell r="F1231" t="str">
            <v>-</v>
          </cell>
          <cell r="G1231" t="str">
            <v>-</v>
          </cell>
          <cell r="H1231" t="str">
            <v>-</v>
          </cell>
          <cell r="I1231" t="str">
            <v>-</v>
          </cell>
          <cell r="J1231">
            <v>0</v>
          </cell>
          <cell r="K1231">
            <v>90</v>
          </cell>
          <cell r="L1231" t="str">
            <v>ENTREGA TOTAL</v>
          </cell>
          <cell r="M1231" t="str">
            <v>-</v>
          </cell>
          <cell r="N1231" t="str">
            <v>OC'S METALFISA</v>
          </cell>
          <cell r="O1231" t="str">
            <v>-</v>
          </cell>
          <cell r="Q1231">
            <v>72</v>
          </cell>
          <cell r="S1231" t="str">
            <v>-</v>
          </cell>
          <cell r="U1231">
            <v>72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54</v>
          </cell>
          <cell r="AA1231">
            <v>54</v>
          </cell>
          <cell r="AB1231">
            <v>0</v>
          </cell>
          <cell r="AC1231">
            <v>72</v>
          </cell>
          <cell r="AD1231">
            <v>18</v>
          </cell>
        </row>
        <row r="1232">
          <cell r="A1232" t="str">
            <v>33.20.10275.01</v>
          </cell>
          <cell r="B1232" t="str">
            <v>APOIO CONTROLADORA SV / 33.20.10275.01</v>
          </cell>
          <cell r="D1232" t="str">
            <v>-</v>
          </cell>
          <cell r="E1232" t="str">
            <v>-</v>
          </cell>
          <cell r="F1232" t="str">
            <v>-</v>
          </cell>
          <cell r="G1232" t="str">
            <v>-</v>
          </cell>
          <cell r="H1232" t="str">
            <v>-</v>
          </cell>
          <cell r="I1232" t="str">
            <v>-</v>
          </cell>
          <cell r="J1232">
            <v>0</v>
          </cell>
          <cell r="K1232">
            <v>5</v>
          </cell>
          <cell r="L1232" t="str">
            <v>ENTREGA PARCIAL</v>
          </cell>
          <cell r="M1232" t="str">
            <v>-</v>
          </cell>
          <cell r="N1232" t="str">
            <v>OC'S METALFISA</v>
          </cell>
          <cell r="O1232" t="str">
            <v>-</v>
          </cell>
          <cell r="Q1232">
            <v>7</v>
          </cell>
          <cell r="S1232" t="str">
            <v>-</v>
          </cell>
          <cell r="U1232">
            <v>7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9</v>
          </cell>
          <cell r="AA1232">
            <v>9</v>
          </cell>
          <cell r="AB1232">
            <v>0</v>
          </cell>
          <cell r="AC1232">
            <v>7</v>
          </cell>
          <cell r="AD1232">
            <v>-2</v>
          </cell>
        </row>
        <row r="1233">
          <cell r="A1233" t="str">
            <v>33.20.10306.03</v>
          </cell>
          <cell r="B1233" t="str">
            <v>TAMPA VERTICAL CAIXA  L - 100100 SV VMI / 33.20.10306.03</v>
          </cell>
          <cell r="D1233" t="str">
            <v>-</v>
          </cell>
          <cell r="E1233" t="str">
            <v>-</v>
          </cell>
          <cell r="F1233" t="str">
            <v>-</v>
          </cell>
          <cell r="G1233" t="str">
            <v>-</v>
          </cell>
          <cell r="H1233" t="str">
            <v>-</v>
          </cell>
          <cell r="I1233" t="str">
            <v>-</v>
          </cell>
          <cell r="J1233">
            <v>0</v>
          </cell>
          <cell r="K1233">
            <v>10</v>
          </cell>
          <cell r="L1233" t="str">
            <v>ENTREGA PARCIAL</v>
          </cell>
          <cell r="M1233" t="str">
            <v>-</v>
          </cell>
          <cell r="N1233" t="str">
            <v>OC'S METALFISA</v>
          </cell>
          <cell r="O1233" t="str">
            <v>-</v>
          </cell>
          <cell r="Q1233">
            <v>15</v>
          </cell>
          <cell r="S1233" t="str">
            <v>-</v>
          </cell>
          <cell r="U1233">
            <v>15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12</v>
          </cell>
          <cell r="AA1233">
            <v>12</v>
          </cell>
          <cell r="AB1233">
            <v>0</v>
          </cell>
          <cell r="AC1233">
            <v>7</v>
          </cell>
          <cell r="AD1233">
            <v>-5</v>
          </cell>
        </row>
        <row r="1234">
          <cell r="A1234" t="str">
            <v>33.20.10307.02</v>
          </cell>
          <cell r="B1234" t="str">
            <v>BASE SOLDADA / 33.20.10307.02</v>
          </cell>
          <cell r="D1234" t="str">
            <v>-</v>
          </cell>
          <cell r="E1234" t="str">
            <v>-</v>
          </cell>
          <cell r="F1234" t="str">
            <v>-</v>
          </cell>
          <cell r="G1234" t="str">
            <v>-</v>
          </cell>
          <cell r="H1234" t="str">
            <v>-</v>
          </cell>
          <cell r="I1234" t="str">
            <v>-</v>
          </cell>
          <cell r="J1234">
            <v>0</v>
          </cell>
          <cell r="K1234">
            <v>2</v>
          </cell>
          <cell r="L1234" t="str">
            <v>ENTREGA PARCIAL</v>
          </cell>
          <cell r="M1234">
            <v>8</v>
          </cell>
          <cell r="N1234" t="str">
            <v>OC'S METALFISA</v>
          </cell>
          <cell r="O1234" t="str">
            <v>-</v>
          </cell>
          <cell r="Q1234" t="str">
            <v>-</v>
          </cell>
          <cell r="S1234" t="str">
            <v>-</v>
          </cell>
          <cell r="U1234">
            <v>8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8</v>
          </cell>
          <cell r="AA1234">
            <v>8</v>
          </cell>
          <cell r="AB1234">
            <v>0</v>
          </cell>
          <cell r="AC1234">
            <v>2</v>
          </cell>
          <cell r="AD1234">
            <v>-6</v>
          </cell>
        </row>
        <row r="1235">
          <cell r="A1235" t="str">
            <v>33.20.10335.01</v>
          </cell>
          <cell r="B1235" t="str">
            <v>PORTAL SOLDADO / 33.20.10335.01</v>
          </cell>
          <cell r="C1235">
            <v>46074</v>
          </cell>
          <cell r="D1235" t="str">
            <v>-</v>
          </cell>
          <cell r="E1235" t="str">
            <v>-</v>
          </cell>
          <cell r="F1235" t="str">
            <v>-</v>
          </cell>
          <cell r="G1235" t="str">
            <v>-</v>
          </cell>
          <cell r="H1235" t="str">
            <v>-</v>
          </cell>
          <cell r="I1235" t="str">
            <v>-</v>
          </cell>
          <cell r="J1235">
            <v>0</v>
          </cell>
          <cell r="K1235">
            <v>8</v>
          </cell>
          <cell r="L1235" t="str">
            <v>ENTREGA PARCIAL</v>
          </cell>
          <cell r="M1235">
            <v>28</v>
          </cell>
          <cell r="N1235" t="str">
            <v>OC'S METALFISA</v>
          </cell>
          <cell r="O1235" t="str">
            <v>-</v>
          </cell>
          <cell r="Q1235" t="str">
            <v>-</v>
          </cell>
          <cell r="S1235" t="str">
            <v>-</v>
          </cell>
          <cell r="U1235">
            <v>28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29</v>
          </cell>
          <cell r="AA1235">
            <v>29</v>
          </cell>
          <cell r="AB1235">
            <v>0</v>
          </cell>
          <cell r="AC1235">
            <v>9</v>
          </cell>
          <cell r="AD1235">
            <v>-20</v>
          </cell>
        </row>
        <row r="1236">
          <cell r="A1236" t="str">
            <v>33.20.10342.05</v>
          </cell>
          <cell r="B1236" t="str">
            <v>CAIXA DETECTOR - 100100 SV VMI / 33.20.10342.05</v>
          </cell>
          <cell r="C1236">
            <v>46074</v>
          </cell>
          <cell r="D1236" t="str">
            <v>-</v>
          </cell>
          <cell r="E1236" t="str">
            <v>-</v>
          </cell>
          <cell r="F1236" t="str">
            <v>-</v>
          </cell>
          <cell r="G1236" t="str">
            <v>-</v>
          </cell>
          <cell r="H1236" t="str">
            <v>-</v>
          </cell>
          <cell r="I1236" t="str">
            <v>-</v>
          </cell>
          <cell r="J1236">
            <v>0</v>
          </cell>
          <cell r="K1236">
            <v>9</v>
          </cell>
          <cell r="L1236" t="str">
            <v>ENTREGA TOTAL</v>
          </cell>
          <cell r="M1236" t="str">
            <v>-</v>
          </cell>
          <cell r="N1236" t="str">
            <v>OC'S METALFISA</v>
          </cell>
          <cell r="O1236" t="str">
            <v>-</v>
          </cell>
          <cell r="Q1236">
            <v>9</v>
          </cell>
          <cell r="S1236" t="str">
            <v>-</v>
          </cell>
          <cell r="U1236">
            <v>9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7</v>
          </cell>
          <cell r="AA1236">
            <v>7</v>
          </cell>
          <cell r="AB1236">
            <v>0</v>
          </cell>
          <cell r="AC1236">
            <v>7</v>
          </cell>
          <cell r="AD1236">
            <v>0</v>
          </cell>
        </row>
        <row r="1237">
          <cell r="A1237" t="str">
            <v>33.20.10343.02</v>
          </cell>
          <cell r="B1237" t="str">
            <v>SUPORTE DETECTOR / 33.20.10343.02</v>
          </cell>
          <cell r="C1237">
            <v>46076</v>
          </cell>
          <cell r="D1237" t="str">
            <v>-</v>
          </cell>
          <cell r="E1237" t="str">
            <v>-</v>
          </cell>
          <cell r="F1237" t="str">
            <v>-</v>
          </cell>
          <cell r="G1237" t="str">
            <v>-</v>
          </cell>
          <cell r="H1237" t="str">
            <v>-</v>
          </cell>
          <cell r="I1237" t="str">
            <v>-</v>
          </cell>
          <cell r="J1237">
            <v>0</v>
          </cell>
          <cell r="K1237">
            <v>71</v>
          </cell>
          <cell r="L1237" t="str">
            <v>FALTA ENTREGA</v>
          </cell>
          <cell r="M1237" t="str">
            <v>-</v>
          </cell>
          <cell r="N1237" t="str">
            <v>OC'S METALFISA</v>
          </cell>
          <cell r="O1237" t="str">
            <v>-</v>
          </cell>
          <cell r="Q1237">
            <v>13</v>
          </cell>
          <cell r="S1237">
            <v>119</v>
          </cell>
          <cell r="T1237" t="str">
            <v>OC'S MAPHE</v>
          </cell>
          <cell r="U1237">
            <v>132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61</v>
          </cell>
          <cell r="AA1237">
            <v>61</v>
          </cell>
          <cell r="AB1237">
            <v>0</v>
          </cell>
          <cell r="AC1237">
            <v>0</v>
          </cell>
          <cell r="AD1237">
            <v>-61</v>
          </cell>
        </row>
        <row r="1238">
          <cell r="A1238" t="str">
            <v>33.20.10345.02</v>
          </cell>
          <cell r="B1238" t="str">
            <v>REGULADOR INFERIOR CAIXA  L - 100100 SV VMI / 33.20.10345.02</v>
          </cell>
          <cell r="C1238">
            <v>46074</v>
          </cell>
          <cell r="D1238" t="str">
            <v>-</v>
          </cell>
          <cell r="E1238">
            <v>5</v>
          </cell>
          <cell r="F1238" t="str">
            <v>-</v>
          </cell>
          <cell r="G1238" t="str">
            <v>-</v>
          </cell>
          <cell r="H1238" t="str">
            <v>-</v>
          </cell>
          <cell r="I1238" t="str">
            <v>-</v>
          </cell>
          <cell r="J1238">
            <v>5</v>
          </cell>
          <cell r="K1238">
            <v>16</v>
          </cell>
          <cell r="L1238" t="str">
            <v>ENTREGA TOTAL</v>
          </cell>
          <cell r="M1238" t="str">
            <v>-</v>
          </cell>
          <cell r="N1238" t="str">
            <v>OC'S METALFISA</v>
          </cell>
          <cell r="O1238" t="str">
            <v>-</v>
          </cell>
          <cell r="Q1238">
            <v>11</v>
          </cell>
          <cell r="S1238" t="str">
            <v>-</v>
          </cell>
          <cell r="U1238">
            <v>11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11</v>
          </cell>
          <cell r="AA1238">
            <v>11</v>
          </cell>
          <cell r="AB1238">
            <v>0</v>
          </cell>
          <cell r="AC1238">
            <v>11</v>
          </cell>
          <cell r="AD1238">
            <v>0</v>
          </cell>
        </row>
        <row r="1239">
          <cell r="A1239" t="str">
            <v>33.20.10346.02</v>
          </cell>
          <cell r="B1239" t="str">
            <v>CHAPA REGULADOR INFERIOR CAIXA  L - 100100 SV VMI / 33.20.10346.02</v>
          </cell>
          <cell r="C1239">
            <v>46074</v>
          </cell>
          <cell r="D1239" t="str">
            <v>-</v>
          </cell>
          <cell r="E1239" t="str">
            <v>-</v>
          </cell>
          <cell r="F1239" t="str">
            <v>-</v>
          </cell>
          <cell r="G1239" t="str">
            <v>-</v>
          </cell>
          <cell r="H1239" t="str">
            <v>-</v>
          </cell>
          <cell r="I1239" t="str">
            <v>-</v>
          </cell>
          <cell r="J1239">
            <v>0</v>
          </cell>
          <cell r="K1239">
            <v>8</v>
          </cell>
          <cell r="L1239" t="str">
            <v>ENTREGA TOTAL</v>
          </cell>
          <cell r="M1239" t="str">
            <v>-</v>
          </cell>
          <cell r="N1239" t="str">
            <v>OC'S METALFISA</v>
          </cell>
          <cell r="O1239" t="str">
            <v>-</v>
          </cell>
          <cell r="Q1239">
            <v>7</v>
          </cell>
          <cell r="S1239" t="str">
            <v>-</v>
          </cell>
          <cell r="U1239">
            <v>7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6</v>
          </cell>
          <cell r="AA1239">
            <v>6</v>
          </cell>
          <cell r="AB1239">
            <v>0</v>
          </cell>
          <cell r="AC1239">
            <v>7</v>
          </cell>
          <cell r="AD1239">
            <v>1</v>
          </cell>
        </row>
        <row r="1240">
          <cell r="A1240" t="str">
            <v>33.20.10349.02</v>
          </cell>
          <cell r="B1240" t="str">
            <v>CHAPA REGULADOR LATERAL  CAIXA  L - 100100 SV VMI/ 33.20.10349.02</v>
          </cell>
          <cell r="C1240">
            <v>46074</v>
          </cell>
          <cell r="D1240" t="str">
            <v>-</v>
          </cell>
          <cell r="E1240" t="str">
            <v>-</v>
          </cell>
          <cell r="F1240" t="str">
            <v>-</v>
          </cell>
          <cell r="G1240" t="str">
            <v>-</v>
          </cell>
          <cell r="H1240" t="str">
            <v>-</v>
          </cell>
          <cell r="I1240" t="str">
            <v>-</v>
          </cell>
          <cell r="J1240">
            <v>0</v>
          </cell>
          <cell r="K1240">
            <v>7</v>
          </cell>
          <cell r="L1240" t="str">
            <v>ENTREGA TOTAL</v>
          </cell>
          <cell r="M1240" t="str">
            <v>-</v>
          </cell>
          <cell r="N1240" t="str">
            <v>OC'S METALFISA</v>
          </cell>
          <cell r="O1240" t="str">
            <v>-</v>
          </cell>
          <cell r="Q1240">
            <v>7</v>
          </cell>
          <cell r="S1240" t="str">
            <v>-</v>
          </cell>
          <cell r="U1240">
            <v>7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7</v>
          </cell>
          <cell r="AA1240">
            <v>7</v>
          </cell>
          <cell r="AB1240">
            <v>0</v>
          </cell>
          <cell r="AC1240">
            <v>7</v>
          </cell>
          <cell r="AD1240">
            <v>0</v>
          </cell>
        </row>
        <row r="1241">
          <cell r="A1241" t="str">
            <v>33.20.10350.02</v>
          </cell>
          <cell r="B1241" t="str">
            <v>TRAVA DA  CAIXA  L - 100100 SV VMI / 33.20.10350.02</v>
          </cell>
          <cell r="D1241" t="str">
            <v>-</v>
          </cell>
          <cell r="E1241" t="str">
            <v>-</v>
          </cell>
          <cell r="F1241" t="str">
            <v>-</v>
          </cell>
          <cell r="G1241" t="str">
            <v>-</v>
          </cell>
          <cell r="H1241" t="str">
            <v>-</v>
          </cell>
          <cell r="I1241" t="str">
            <v>-</v>
          </cell>
          <cell r="J1241">
            <v>0</v>
          </cell>
          <cell r="K1241">
            <v>0</v>
          </cell>
          <cell r="L1241" t="str">
            <v>FALTA ENTREGA</v>
          </cell>
          <cell r="M1241" t="str">
            <v>-</v>
          </cell>
          <cell r="N1241" t="str">
            <v>OC'S METALFISA</v>
          </cell>
          <cell r="O1241" t="str">
            <v>-</v>
          </cell>
          <cell r="Q1241">
            <v>7</v>
          </cell>
          <cell r="S1241" t="str">
            <v>-</v>
          </cell>
          <cell r="U1241">
            <v>7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7</v>
          </cell>
          <cell r="AA1241">
            <v>7</v>
          </cell>
          <cell r="AB1241">
            <v>0</v>
          </cell>
          <cell r="AC1241">
            <v>0</v>
          </cell>
          <cell r="AD1241">
            <v>-7</v>
          </cell>
        </row>
        <row r="1242">
          <cell r="A1242" t="str">
            <v>33.20.10353.04</v>
          </cell>
          <cell r="B1242" t="str">
            <v>CAIXA DETECTOR DV / 33.20.10353.04</v>
          </cell>
          <cell r="C1242">
            <v>46074</v>
          </cell>
          <cell r="D1242" t="str">
            <v>-</v>
          </cell>
          <cell r="E1242" t="str">
            <v>-</v>
          </cell>
          <cell r="F1242" t="str">
            <v>-</v>
          </cell>
          <cell r="G1242" t="str">
            <v>-</v>
          </cell>
          <cell r="H1242" t="str">
            <v>-</v>
          </cell>
          <cell r="I1242" t="str">
            <v>-</v>
          </cell>
          <cell r="J1242">
            <v>0</v>
          </cell>
          <cell r="K1242">
            <v>2</v>
          </cell>
          <cell r="L1242" t="str">
            <v>ENTREGA TOTAL</v>
          </cell>
          <cell r="M1242" t="str">
            <v>-</v>
          </cell>
          <cell r="N1242" t="str">
            <v>OC'S METALFISA</v>
          </cell>
          <cell r="O1242" t="str">
            <v>-</v>
          </cell>
          <cell r="Q1242">
            <v>2</v>
          </cell>
          <cell r="S1242" t="str">
            <v>-</v>
          </cell>
          <cell r="U1242">
            <v>2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2</v>
          </cell>
          <cell r="AA1242">
            <v>2</v>
          </cell>
          <cell r="AB1242">
            <v>0</v>
          </cell>
          <cell r="AC1242">
            <v>2</v>
          </cell>
          <cell r="AD1242">
            <v>0</v>
          </cell>
        </row>
        <row r="1243">
          <cell r="A1243" t="str">
            <v>33.20.10364.00</v>
          </cell>
          <cell r="B1243" t="str">
            <v>CHAPA AMARRADOR CABOS / 33.20.10364.00</v>
          </cell>
          <cell r="C1243">
            <v>46066</v>
          </cell>
          <cell r="D1243" t="str">
            <v>-</v>
          </cell>
          <cell r="E1243" t="str">
            <v>-</v>
          </cell>
          <cell r="F1243" t="str">
            <v>-</v>
          </cell>
          <cell r="G1243" t="str">
            <v>-</v>
          </cell>
          <cell r="H1243" t="str">
            <v>-</v>
          </cell>
          <cell r="I1243" t="str">
            <v>-</v>
          </cell>
          <cell r="J1243">
            <v>0</v>
          </cell>
          <cell r="K1243">
            <v>4</v>
          </cell>
          <cell r="L1243" t="str">
            <v>ENTREGA TOTAL</v>
          </cell>
          <cell r="M1243" t="str">
            <v>-</v>
          </cell>
          <cell r="N1243" t="str">
            <v>OC'S METALFISA</v>
          </cell>
          <cell r="O1243" t="str">
            <v>-</v>
          </cell>
          <cell r="Q1243">
            <v>2</v>
          </cell>
          <cell r="S1243">
            <v>2</v>
          </cell>
          <cell r="T1243" t="str">
            <v>OC'S MAPHE</v>
          </cell>
          <cell r="U1243">
            <v>4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2</v>
          </cell>
          <cell r="AA1243">
            <v>2</v>
          </cell>
          <cell r="AB1243">
            <v>0</v>
          </cell>
          <cell r="AC1243">
            <v>2</v>
          </cell>
          <cell r="AD1243">
            <v>0</v>
          </cell>
        </row>
        <row r="1244">
          <cell r="A1244" t="str">
            <v>33.20.10365.02</v>
          </cell>
          <cell r="B1244" t="str">
            <v>CHAPA TAMPA ENTRADA CABO FORCA / 33.20.10365.02</v>
          </cell>
          <cell r="D1244" t="str">
            <v>-</v>
          </cell>
          <cell r="E1244" t="str">
            <v>-</v>
          </cell>
          <cell r="F1244" t="str">
            <v>-</v>
          </cell>
          <cell r="G1244" t="str">
            <v>-</v>
          </cell>
          <cell r="H1244" t="str">
            <v>-</v>
          </cell>
          <cell r="I1244" t="str">
            <v>-</v>
          </cell>
          <cell r="J1244">
            <v>0</v>
          </cell>
          <cell r="K1244">
            <v>4</v>
          </cell>
          <cell r="L1244" t="str">
            <v>FALTA ENTREGA</v>
          </cell>
          <cell r="M1244" t="str">
            <v>-</v>
          </cell>
          <cell r="N1244" t="str">
            <v>OC'S METALFISA</v>
          </cell>
          <cell r="O1244" t="str">
            <v>-</v>
          </cell>
          <cell r="Q1244">
            <v>9</v>
          </cell>
          <cell r="S1244">
            <v>2</v>
          </cell>
          <cell r="T1244" t="str">
            <v>OC'S MAPHE</v>
          </cell>
          <cell r="U1244">
            <v>11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7</v>
          </cell>
          <cell r="AA1244">
            <v>7</v>
          </cell>
          <cell r="AB1244">
            <v>0</v>
          </cell>
          <cell r="AC1244">
            <v>0</v>
          </cell>
          <cell r="AD1244">
            <v>-7</v>
          </cell>
        </row>
        <row r="1245">
          <cell r="A1245" t="str">
            <v>33.20.10367.00</v>
          </cell>
          <cell r="B1245" t="str">
            <v>TRAVA BUCHA NYLON \ 33.20.10367.00</v>
          </cell>
          <cell r="D1245" t="str">
            <v>-</v>
          </cell>
          <cell r="E1245" t="str">
            <v>-</v>
          </cell>
          <cell r="F1245" t="str">
            <v>-</v>
          </cell>
          <cell r="G1245" t="str">
            <v>-</v>
          </cell>
          <cell r="H1245" t="str">
            <v>-</v>
          </cell>
          <cell r="I1245" t="str">
            <v>-</v>
          </cell>
          <cell r="J1245">
            <v>0</v>
          </cell>
          <cell r="K1245">
            <v>4</v>
          </cell>
          <cell r="L1245" t="str">
            <v>FALTA ENTREGA</v>
          </cell>
          <cell r="M1245" t="str">
            <v>-</v>
          </cell>
          <cell r="N1245" t="str">
            <v>OC'S METALFISA</v>
          </cell>
          <cell r="O1245" t="str">
            <v>-</v>
          </cell>
          <cell r="Q1245">
            <v>15</v>
          </cell>
          <cell r="S1245" t="str">
            <v>-</v>
          </cell>
          <cell r="U1245">
            <v>15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11</v>
          </cell>
          <cell r="AA1245">
            <v>11</v>
          </cell>
          <cell r="AB1245">
            <v>0</v>
          </cell>
          <cell r="AC1245">
            <v>0</v>
          </cell>
          <cell r="AD1245">
            <v>-11</v>
          </cell>
        </row>
        <row r="1246">
          <cell r="A1246" t="str">
            <v>33.20.10367.01</v>
          </cell>
          <cell r="B1246" t="str">
            <v>TRAVA BUCHA NYLON / 33.20.10367.01</v>
          </cell>
          <cell r="D1246" t="str">
            <v>-</v>
          </cell>
          <cell r="E1246" t="str">
            <v>-</v>
          </cell>
          <cell r="F1246" t="str">
            <v>-</v>
          </cell>
          <cell r="G1246" t="str">
            <v>-</v>
          </cell>
          <cell r="H1246" t="str">
            <v>-</v>
          </cell>
          <cell r="I1246" t="str">
            <v>-</v>
          </cell>
          <cell r="J1246">
            <v>0</v>
          </cell>
          <cell r="K1246">
            <v>28</v>
          </cell>
          <cell r="L1246" t="str">
            <v>FALTA ENTREGA</v>
          </cell>
          <cell r="M1246" t="str">
            <v>-</v>
          </cell>
          <cell r="N1246" t="str">
            <v>OC'S METALFISA</v>
          </cell>
          <cell r="O1246" t="str">
            <v>-</v>
          </cell>
          <cell r="Q1246">
            <v>22</v>
          </cell>
          <cell r="S1246">
            <v>36</v>
          </cell>
          <cell r="T1246" t="str">
            <v>OC'S MAPHE</v>
          </cell>
          <cell r="U1246">
            <v>58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30</v>
          </cell>
          <cell r="AA1246">
            <v>30</v>
          </cell>
          <cell r="AB1246">
            <v>0</v>
          </cell>
          <cell r="AC1246">
            <v>0</v>
          </cell>
          <cell r="AD1246">
            <v>-30</v>
          </cell>
        </row>
        <row r="1247">
          <cell r="A1247" t="str">
            <v>33.20.10369.00</v>
          </cell>
          <cell r="B1247" t="str">
            <v>DISTANCIADOR DO REFORCO / 33.20.10369.00</v>
          </cell>
          <cell r="C1247">
            <v>46066</v>
          </cell>
          <cell r="D1247" t="str">
            <v>-</v>
          </cell>
          <cell r="E1247" t="str">
            <v>-</v>
          </cell>
          <cell r="F1247" t="str">
            <v>-</v>
          </cell>
          <cell r="G1247" t="str">
            <v>-</v>
          </cell>
          <cell r="H1247" t="str">
            <v>-</v>
          </cell>
          <cell r="I1247" t="str">
            <v>-</v>
          </cell>
          <cell r="J1247">
            <v>0</v>
          </cell>
          <cell r="K1247">
            <v>18</v>
          </cell>
          <cell r="L1247" t="str">
            <v>ENTREGA PARCIAL</v>
          </cell>
          <cell r="M1247" t="str">
            <v>-</v>
          </cell>
          <cell r="N1247" t="str">
            <v>OC'S METALFISA</v>
          </cell>
          <cell r="O1247" t="str">
            <v>-</v>
          </cell>
          <cell r="Q1247">
            <v>28</v>
          </cell>
          <cell r="S1247" t="str">
            <v>-</v>
          </cell>
          <cell r="U1247">
            <v>28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38</v>
          </cell>
          <cell r="AA1247">
            <v>38</v>
          </cell>
          <cell r="AB1247">
            <v>0</v>
          </cell>
          <cell r="AC1247">
            <v>28</v>
          </cell>
          <cell r="AD1247">
            <v>-10</v>
          </cell>
        </row>
        <row r="1248">
          <cell r="A1248" t="str">
            <v>33.20.10375.00</v>
          </cell>
          <cell r="B1248" t="str">
            <v>REFORCO DA BANDEJA 2 / 33.20.10375.00</v>
          </cell>
          <cell r="C1248">
            <v>46059</v>
          </cell>
          <cell r="D1248" t="str">
            <v>-</v>
          </cell>
          <cell r="E1248" t="str">
            <v>-</v>
          </cell>
          <cell r="F1248" t="str">
            <v>-</v>
          </cell>
          <cell r="G1248" t="str">
            <v>-</v>
          </cell>
          <cell r="H1248" t="str">
            <v>-</v>
          </cell>
          <cell r="I1248" t="str">
            <v>-</v>
          </cell>
          <cell r="J1248">
            <v>0</v>
          </cell>
          <cell r="K1248" t="e">
            <v>#VALUE!</v>
          </cell>
          <cell r="L1248" t="str">
            <v>ENTREGA TOTAL</v>
          </cell>
          <cell r="M1248" t="str">
            <v>-</v>
          </cell>
          <cell r="N1248" t="str">
            <v>OC'S METALFISA</v>
          </cell>
          <cell r="O1248" t="str">
            <v>-</v>
          </cell>
          <cell r="Q1248">
            <v>1</v>
          </cell>
          <cell r="S1248" t="str">
            <v>-</v>
          </cell>
          <cell r="U1248">
            <v>1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49</v>
          </cell>
          <cell r="AA1248">
            <v>49</v>
          </cell>
          <cell r="AB1248" t="str">
            <v>0</v>
          </cell>
          <cell r="AC1248" t="str">
            <v>-</v>
          </cell>
          <cell r="AD1248" t="str">
            <v>-</v>
          </cell>
        </row>
        <row r="1249">
          <cell r="A1249" t="str">
            <v>33.20.10490.00</v>
          </cell>
          <cell r="B1249" t="str">
            <v>TIRANTE REGULAGEM GAIOLA 100100 SV DETECTORAS VMIS / 33.20.10490.00</v>
          </cell>
          <cell r="C1249">
            <v>46076</v>
          </cell>
          <cell r="D1249" t="str">
            <v>-</v>
          </cell>
          <cell r="E1249" t="str">
            <v>-</v>
          </cell>
          <cell r="F1249" t="str">
            <v>-</v>
          </cell>
          <cell r="G1249" t="str">
            <v>-</v>
          </cell>
          <cell r="H1249" t="str">
            <v>-</v>
          </cell>
          <cell r="I1249" t="str">
            <v>-</v>
          </cell>
          <cell r="J1249">
            <v>0</v>
          </cell>
          <cell r="K1249">
            <v>12</v>
          </cell>
          <cell r="L1249" t="str">
            <v>FALTA ENTREGA</v>
          </cell>
          <cell r="M1249" t="str">
            <v>-</v>
          </cell>
          <cell r="N1249" t="str">
            <v>OC'S METALFISA</v>
          </cell>
          <cell r="O1249" t="str">
            <v>-</v>
          </cell>
          <cell r="Q1249" t="str">
            <v>-</v>
          </cell>
          <cell r="S1249">
            <v>36</v>
          </cell>
          <cell r="T1249" t="str">
            <v>OC'S MAPHE</v>
          </cell>
          <cell r="U1249">
            <v>36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24</v>
          </cell>
          <cell r="AA1249">
            <v>24</v>
          </cell>
          <cell r="AB1249">
            <v>0</v>
          </cell>
          <cell r="AC1249">
            <v>0</v>
          </cell>
          <cell r="AD1249">
            <v>-24</v>
          </cell>
        </row>
        <row r="1250">
          <cell r="A1250" t="str">
            <v>33.20.10497.01</v>
          </cell>
          <cell r="B1250" t="str">
            <v>MONTAGEM CHASSI ESTEIRA / 33.20.10497.01</v>
          </cell>
          <cell r="C1250">
            <v>46062</v>
          </cell>
          <cell r="D1250" t="str">
            <v>-</v>
          </cell>
          <cell r="E1250" t="str">
            <v>-</v>
          </cell>
          <cell r="F1250" t="str">
            <v>-</v>
          </cell>
          <cell r="G1250" t="str">
            <v>-</v>
          </cell>
          <cell r="H1250" t="str">
            <v>-</v>
          </cell>
          <cell r="I1250" t="str">
            <v>-</v>
          </cell>
          <cell r="J1250">
            <v>0</v>
          </cell>
          <cell r="K1250" t="e">
            <v>#VALUE!</v>
          </cell>
          <cell r="L1250" t="str">
            <v>ENTREGA TOTAL</v>
          </cell>
          <cell r="M1250" t="str">
            <v>-</v>
          </cell>
          <cell r="N1250" t="str">
            <v>OC'S METALFISA</v>
          </cell>
          <cell r="O1250" t="str">
            <v>-</v>
          </cell>
          <cell r="Q1250">
            <v>14</v>
          </cell>
          <cell r="S1250" t="str">
            <v>-</v>
          </cell>
          <cell r="U1250">
            <v>14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14</v>
          </cell>
          <cell r="AA1250">
            <v>14</v>
          </cell>
          <cell r="AB1250" t="str">
            <v>0</v>
          </cell>
          <cell r="AC1250" t="str">
            <v>-</v>
          </cell>
          <cell r="AD1250" t="str">
            <v>-</v>
          </cell>
        </row>
        <row r="1251">
          <cell r="A1251" t="str">
            <v>33.20.10498.00</v>
          </cell>
          <cell r="B1251" t="str">
            <v>BANDEJA DA ESTEIRA / 33.20.10498.00</v>
          </cell>
          <cell r="D1251" t="str">
            <v>-</v>
          </cell>
          <cell r="E1251" t="str">
            <v>-</v>
          </cell>
          <cell r="F1251" t="str">
            <v>-</v>
          </cell>
          <cell r="G1251" t="str">
            <v>-</v>
          </cell>
          <cell r="H1251" t="str">
            <v>-</v>
          </cell>
          <cell r="I1251" t="str">
            <v>-</v>
          </cell>
          <cell r="J1251">
            <v>0</v>
          </cell>
          <cell r="K1251">
            <v>0</v>
          </cell>
          <cell r="L1251" t="str">
            <v>FALTA ENTREGA</v>
          </cell>
          <cell r="M1251" t="str">
            <v>-</v>
          </cell>
          <cell r="N1251" t="str">
            <v>OC'S METALFISA</v>
          </cell>
          <cell r="O1251" t="str">
            <v>-</v>
          </cell>
          <cell r="Q1251">
            <v>30</v>
          </cell>
          <cell r="S1251" t="str">
            <v>-</v>
          </cell>
          <cell r="U1251">
            <v>30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30</v>
          </cell>
          <cell r="AA1251">
            <v>30</v>
          </cell>
          <cell r="AB1251">
            <v>0</v>
          </cell>
          <cell r="AC1251">
            <v>0</v>
          </cell>
          <cell r="AD1251">
            <v>-30</v>
          </cell>
        </row>
        <row r="1252">
          <cell r="A1252" t="str">
            <v>33.20.10500.01</v>
          </cell>
          <cell r="B1252" t="str">
            <v>SUPORTE DA SAPATA / 33.20.10500.01</v>
          </cell>
          <cell r="C1252">
            <v>46074</v>
          </cell>
          <cell r="D1252" t="str">
            <v>-</v>
          </cell>
          <cell r="E1252" t="str">
            <v>-</v>
          </cell>
          <cell r="F1252" t="str">
            <v>-</v>
          </cell>
          <cell r="G1252" t="str">
            <v>-</v>
          </cell>
          <cell r="H1252" t="str">
            <v>-</v>
          </cell>
          <cell r="I1252" t="str">
            <v>-</v>
          </cell>
          <cell r="J1252">
            <v>0</v>
          </cell>
          <cell r="K1252">
            <v>32</v>
          </cell>
          <cell r="L1252" t="str">
            <v>ENTREGA TOTAL</v>
          </cell>
          <cell r="M1252" t="str">
            <v>-</v>
          </cell>
          <cell r="N1252" t="str">
            <v>OC'S METALFISA</v>
          </cell>
          <cell r="O1252" t="str">
            <v>-</v>
          </cell>
          <cell r="Q1252">
            <v>28</v>
          </cell>
          <cell r="S1252" t="str">
            <v>-</v>
          </cell>
          <cell r="U1252">
            <v>28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24</v>
          </cell>
          <cell r="AA1252">
            <v>24</v>
          </cell>
          <cell r="AB1252">
            <v>0</v>
          </cell>
          <cell r="AC1252">
            <v>28</v>
          </cell>
          <cell r="AD1252">
            <v>4</v>
          </cell>
        </row>
        <row r="1253">
          <cell r="A1253" t="str">
            <v>33.20.10501.00</v>
          </cell>
          <cell r="B1253" t="str">
            <v>REFORCO DA BANDEJA / 33.20.10501.00</v>
          </cell>
          <cell r="C1253">
            <v>46062</v>
          </cell>
          <cell r="D1253" t="str">
            <v>-</v>
          </cell>
          <cell r="E1253" t="str">
            <v>-</v>
          </cell>
          <cell r="F1253" t="str">
            <v>-</v>
          </cell>
          <cell r="G1253" t="str">
            <v>-</v>
          </cell>
          <cell r="H1253" t="str">
            <v>-</v>
          </cell>
          <cell r="I1253" t="str">
            <v>-</v>
          </cell>
          <cell r="J1253">
            <v>0</v>
          </cell>
          <cell r="K1253" t="e">
            <v>#VALUE!</v>
          </cell>
          <cell r="L1253" t="str">
            <v>ENTREGA TOTAL</v>
          </cell>
          <cell r="M1253" t="str">
            <v>-</v>
          </cell>
          <cell r="N1253" t="str">
            <v>OC'S METALFISA</v>
          </cell>
          <cell r="O1253" t="str">
            <v>-</v>
          </cell>
          <cell r="Q1253">
            <v>28</v>
          </cell>
          <cell r="S1253" t="str">
            <v>-</v>
          </cell>
          <cell r="U1253">
            <v>28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28</v>
          </cell>
          <cell r="AA1253">
            <v>28</v>
          </cell>
          <cell r="AB1253" t="str">
            <v>0</v>
          </cell>
          <cell r="AC1253" t="str">
            <v>-</v>
          </cell>
          <cell r="AD1253" t="str">
            <v>-</v>
          </cell>
        </row>
        <row r="1254">
          <cell r="A1254" t="str">
            <v>33.20.10502.00</v>
          </cell>
          <cell r="B1254" t="str">
            <v>LONGARINA CHASSI 03 / 33.20.10502.00</v>
          </cell>
          <cell r="C1254">
            <v>46059</v>
          </cell>
          <cell r="D1254" t="str">
            <v>-</v>
          </cell>
          <cell r="E1254" t="str">
            <v>-</v>
          </cell>
          <cell r="F1254" t="str">
            <v>-</v>
          </cell>
          <cell r="G1254" t="str">
            <v>-</v>
          </cell>
          <cell r="H1254" t="str">
            <v>-</v>
          </cell>
          <cell r="I1254" t="str">
            <v>-</v>
          </cell>
          <cell r="J1254">
            <v>0</v>
          </cell>
          <cell r="K1254" t="e">
            <v>#VALUE!</v>
          </cell>
          <cell r="L1254" t="str">
            <v>ENTREGA TOTAL</v>
          </cell>
          <cell r="M1254" t="str">
            <v>-</v>
          </cell>
          <cell r="N1254" t="str">
            <v>OC'S METALFISA</v>
          </cell>
          <cell r="O1254" t="str">
            <v>-</v>
          </cell>
          <cell r="Q1254" t="str">
            <v>-</v>
          </cell>
          <cell r="S1254" t="str">
            <v>-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7</v>
          </cell>
          <cell r="AA1254">
            <v>7</v>
          </cell>
          <cell r="AB1254" t="str">
            <v>0</v>
          </cell>
          <cell r="AC1254" t="str">
            <v>-</v>
          </cell>
          <cell r="AD1254" t="str">
            <v>-</v>
          </cell>
        </row>
        <row r="1255">
          <cell r="A1255" t="str">
            <v>33.20.10504.00</v>
          </cell>
          <cell r="B1255" t="str">
            <v>LONGARINA CHASSI 04 / 33.20.10504.00</v>
          </cell>
          <cell r="C1255">
            <v>46066</v>
          </cell>
          <cell r="D1255" t="str">
            <v>-</v>
          </cell>
          <cell r="E1255" t="str">
            <v>-</v>
          </cell>
          <cell r="F1255" t="str">
            <v>-</v>
          </cell>
          <cell r="G1255" t="str">
            <v>-</v>
          </cell>
          <cell r="H1255" t="str">
            <v>-</v>
          </cell>
          <cell r="I1255" t="str">
            <v>-</v>
          </cell>
          <cell r="J1255">
            <v>0</v>
          </cell>
          <cell r="K1255">
            <v>7</v>
          </cell>
          <cell r="L1255" t="str">
            <v>ENTREGA TOTAL</v>
          </cell>
          <cell r="M1255" t="str">
            <v>-</v>
          </cell>
          <cell r="N1255" t="str">
            <v>OC'S METALFISA</v>
          </cell>
          <cell r="O1255" t="str">
            <v>-</v>
          </cell>
          <cell r="Q1255">
            <v>7</v>
          </cell>
          <cell r="S1255" t="str">
            <v>-</v>
          </cell>
          <cell r="U1255">
            <v>7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7</v>
          </cell>
          <cell r="AA1255">
            <v>7</v>
          </cell>
          <cell r="AB1255">
            <v>0</v>
          </cell>
          <cell r="AC1255">
            <v>7</v>
          </cell>
          <cell r="AD1255">
            <v>0</v>
          </cell>
        </row>
        <row r="1256">
          <cell r="A1256" t="str">
            <v>33.20.10506.00</v>
          </cell>
          <cell r="B1256" t="str">
            <v>VIGA DE SUSTENTACAO TUBO DV / 33.20.10506.00</v>
          </cell>
          <cell r="C1256">
            <v>46062</v>
          </cell>
          <cell r="D1256" t="str">
            <v>-</v>
          </cell>
          <cell r="E1256" t="str">
            <v>-</v>
          </cell>
          <cell r="F1256" t="str">
            <v>-</v>
          </cell>
          <cell r="G1256" t="str">
            <v>-</v>
          </cell>
          <cell r="H1256" t="str">
            <v>-</v>
          </cell>
          <cell r="I1256" t="str">
            <v>-</v>
          </cell>
          <cell r="J1256">
            <v>0</v>
          </cell>
          <cell r="K1256">
            <v>4</v>
          </cell>
          <cell r="L1256" t="str">
            <v>ENTREGA TOTAL</v>
          </cell>
          <cell r="M1256" t="str">
            <v>-</v>
          </cell>
          <cell r="N1256" t="str">
            <v>OC'S METALFISA</v>
          </cell>
          <cell r="O1256" t="str">
            <v>-</v>
          </cell>
          <cell r="Q1256">
            <v>4</v>
          </cell>
          <cell r="S1256" t="str">
            <v>-</v>
          </cell>
          <cell r="U1256">
            <v>4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4</v>
          </cell>
          <cell r="AA1256">
            <v>4</v>
          </cell>
          <cell r="AB1256">
            <v>0</v>
          </cell>
          <cell r="AC1256">
            <v>4</v>
          </cell>
          <cell r="AD1256">
            <v>0</v>
          </cell>
        </row>
        <row r="1257">
          <cell r="A1257" t="str">
            <v>33.20.10514.00</v>
          </cell>
          <cell r="B1257" t="str">
            <v>REGULAGEM DO TUBO / 33.20.10514.00</v>
          </cell>
          <cell r="D1257" t="str">
            <v>-</v>
          </cell>
          <cell r="E1257" t="str">
            <v>-</v>
          </cell>
          <cell r="F1257" t="str">
            <v>-</v>
          </cell>
          <cell r="G1257" t="str">
            <v>-</v>
          </cell>
          <cell r="H1257" t="str">
            <v>-</v>
          </cell>
          <cell r="I1257" t="str">
            <v>-</v>
          </cell>
          <cell r="J1257">
            <v>0</v>
          </cell>
          <cell r="K1257">
            <v>1</v>
          </cell>
          <cell r="L1257" t="str">
            <v>FALTA ENTREGA</v>
          </cell>
          <cell r="M1257" t="str">
            <v>-</v>
          </cell>
          <cell r="N1257" t="str">
            <v>OC'S METALFISA</v>
          </cell>
          <cell r="O1257" t="str">
            <v>-</v>
          </cell>
          <cell r="Q1257">
            <v>7</v>
          </cell>
          <cell r="S1257" t="str">
            <v>-</v>
          </cell>
          <cell r="U1257">
            <v>7</v>
          </cell>
          <cell r="V1257">
            <v>3</v>
          </cell>
          <cell r="W1257">
            <v>0</v>
          </cell>
          <cell r="X1257">
            <v>0</v>
          </cell>
          <cell r="Y1257">
            <v>0</v>
          </cell>
          <cell r="Z1257">
            <v>3</v>
          </cell>
          <cell r="AA1257">
            <v>6</v>
          </cell>
          <cell r="AB1257">
            <v>3</v>
          </cell>
          <cell r="AC1257">
            <v>0</v>
          </cell>
          <cell r="AD1257">
            <v>-6</v>
          </cell>
        </row>
        <row r="1258">
          <cell r="A1258" t="str">
            <v>33.20.10517.00</v>
          </cell>
          <cell r="B1258" t="str">
            <v>FECHAMENTO TAMPAS CENTRAIS / 33.20.10517.00</v>
          </cell>
          <cell r="C1258">
            <v>46062</v>
          </cell>
          <cell r="D1258" t="str">
            <v>-</v>
          </cell>
          <cell r="E1258" t="str">
            <v>-</v>
          </cell>
          <cell r="F1258" t="str">
            <v>-</v>
          </cell>
          <cell r="G1258" t="str">
            <v>-</v>
          </cell>
          <cell r="H1258" t="str">
            <v>-</v>
          </cell>
          <cell r="I1258" t="str">
            <v>-</v>
          </cell>
          <cell r="J1258">
            <v>0</v>
          </cell>
          <cell r="K1258">
            <v>11</v>
          </cell>
          <cell r="L1258" t="str">
            <v>ENTREGA PARCIAL</v>
          </cell>
          <cell r="M1258" t="str">
            <v>-</v>
          </cell>
          <cell r="N1258" t="str">
            <v>OC'S METALFISA</v>
          </cell>
          <cell r="O1258" t="str">
            <v>-</v>
          </cell>
          <cell r="Q1258">
            <v>12</v>
          </cell>
          <cell r="S1258" t="str">
            <v>-</v>
          </cell>
          <cell r="U1258">
            <v>12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12</v>
          </cell>
          <cell r="AA1258">
            <v>12</v>
          </cell>
          <cell r="AB1258">
            <v>0</v>
          </cell>
          <cell r="AC1258">
            <v>11</v>
          </cell>
          <cell r="AD1258">
            <v>-1</v>
          </cell>
        </row>
        <row r="1259">
          <cell r="A1259" t="str">
            <v>33.20.10518.00</v>
          </cell>
          <cell r="B1259" t="str">
            <v>CHAPA FECHAMENTO TAMPA MODULO DV / 33.20.10518.00</v>
          </cell>
          <cell r="C1259">
            <v>46062</v>
          </cell>
          <cell r="D1259" t="str">
            <v>-</v>
          </cell>
          <cell r="E1259" t="str">
            <v>-</v>
          </cell>
          <cell r="F1259" t="str">
            <v>-</v>
          </cell>
          <cell r="G1259" t="str">
            <v>-</v>
          </cell>
          <cell r="H1259" t="str">
            <v>-</v>
          </cell>
          <cell r="I1259" t="str">
            <v>-</v>
          </cell>
          <cell r="J1259">
            <v>0</v>
          </cell>
          <cell r="K1259">
            <v>10</v>
          </cell>
          <cell r="L1259" t="str">
            <v>ENTREGA TOTAL</v>
          </cell>
          <cell r="M1259" t="str">
            <v>-</v>
          </cell>
          <cell r="N1259" t="str">
            <v>OC'S METALFISA</v>
          </cell>
          <cell r="O1259" t="str">
            <v>-</v>
          </cell>
          <cell r="Q1259">
            <v>6</v>
          </cell>
          <cell r="S1259" t="str">
            <v>-</v>
          </cell>
          <cell r="U1259">
            <v>6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2</v>
          </cell>
          <cell r="AA1259">
            <v>2</v>
          </cell>
          <cell r="AB1259">
            <v>0</v>
          </cell>
          <cell r="AC1259">
            <v>6</v>
          </cell>
          <cell r="AD1259">
            <v>4</v>
          </cell>
        </row>
        <row r="1260">
          <cell r="A1260" t="str">
            <v>33.20.10521.02</v>
          </cell>
          <cell r="B1260" t="str">
            <v>MONTAGEM SUPORTE DA CORTINA / 33.20.10521.02</v>
          </cell>
          <cell r="C1260">
            <v>46074</v>
          </cell>
          <cell r="D1260" t="str">
            <v>-</v>
          </cell>
          <cell r="E1260" t="str">
            <v>-</v>
          </cell>
          <cell r="F1260" t="str">
            <v>-</v>
          </cell>
          <cell r="G1260" t="str">
            <v>-</v>
          </cell>
          <cell r="H1260" t="str">
            <v>-</v>
          </cell>
          <cell r="I1260" t="str">
            <v>-</v>
          </cell>
          <cell r="J1260">
            <v>0</v>
          </cell>
          <cell r="K1260">
            <v>13</v>
          </cell>
          <cell r="L1260" t="str">
            <v>ENTREGA PARCIAL</v>
          </cell>
          <cell r="M1260" t="str">
            <v>-</v>
          </cell>
          <cell r="N1260" t="str">
            <v>OC'S METALFISA</v>
          </cell>
          <cell r="O1260" t="str">
            <v>-</v>
          </cell>
          <cell r="Q1260">
            <v>14</v>
          </cell>
          <cell r="S1260" t="str">
            <v>-</v>
          </cell>
          <cell r="U1260">
            <v>14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15</v>
          </cell>
          <cell r="AA1260">
            <v>15</v>
          </cell>
          <cell r="AB1260">
            <v>0</v>
          </cell>
          <cell r="AC1260">
            <v>14</v>
          </cell>
          <cell r="AD1260">
            <v>-1</v>
          </cell>
        </row>
        <row r="1261">
          <cell r="A1261" t="str">
            <v>33.20.10522.00</v>
          </cell>
          <cell r="B1261" t="str">
            <v>ESPELHO DO SUPORTE DA CORTINA/ 33.20.10522.00</v>
          </cell>
          <cell r="C1261">
            <v>46074</v>
          </cell>
          <cell r="D1261" t="str">
            <v>-</v>
          </cell>
          <cell r="E1261" t="str">
            <v>-</v>
          </cell>
          <cell r="F1261" t="str">
            <v>-</v>
          </cell>
          <cell r="G1261" t="str">
            <v>-</v>
          </cell>
          <cell r="H1261" t="str">
            <v>-</v>
          </cell>
          <cell r="I1261" t="str">
            <v>-</v>
          </cell>
          <cell r="J1261">
            <v>0</v>
          </cell>
          <cell r="K1261">
            <v>14</v>
          </cell>
          <cell r="L1261" t="str">
            <v>ENTREGA TOTAL</v>
          </cell>
          <cell r="M1261" t="str">
            <v>-</v>
          </cell>
          <cell r="N1261" t="str">
            <v>OC'S METALFISA</v>
          </cell>
          <cell r="O1261" t="str">
            <v>-</v>
          </cell>
          <cell r="Q1261">
            <v>14</v>
          </cell>
          <cell r="S1261" t="str">
            <v>-</v>
          </cell>
          <cell r="U1261">
            <v>14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14</v>
          </cell>
          <cell r="AA1261">
            <v>14</v>
          </cell>
          <cell r="AB1261">
            <v>0</v>
          </cell>
          <cell r="AC1261">
            <v>14</v>
          </cell>
          <cell r="AD1261">
            <v>0</v>
          </cell>
        </row>
        <row r="1262">
          <cell r="A1262" t="str">
            <v>33.20.10525.00</v>
          </cell>
          <cell r="B1262" t="str">
            <v>SUPORTE MICRORRUPTOR / 33.20.10525.00</v>
          </cell>
          <cell r="D1262" t="str">
            <v>-</v>
          </cell>
          <cell r="E1262" t="str">
            <v>-</v>
          </cell>
          <cell r="F1262" t="str">
            <v>-</v>
          </cell>
          <cell r="G1262" t="str">
            <v>-</v>
          </cell>
          <cell r="H1262" t="str">
            <v>-</v>
          </cell>
          <cell r="I1262" t="str">
            <v>-</v>
          </cell>
          <cell r="J1262">
            <v>0</v>
          </cell>
          <cell r="K1262">
            <v>2</v>
          </cell>
          <cell r="L1262" t="str">
            <v>FALTA ENTREGA</v>
          </cell>
          <cell r="M1262" t="str">
            <v>-</v>
          </cell>
          <cell r="N1262" t="str">
            <v>OC'S METALFISA</v>
          </cell>
          <cell r="O1262" t="str">
            <v>-</v>
          </cell>
          <cell r="Q1262">
            <v>8</v>
          </cell>
          <cell r="S1262" t="str">
            <v>-</v>
          </cell>
          <cell r="U1262">
            <v>8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6</v>
          </cell>
          <cell r="AA1262">
            <v>6</v>
          </cell>
          <cell r="AB1262">
            <v>0</v>
          </cell>
          <cell r="AC1262">
            <v>0</v>
          </cell>
          <cell r="AD1262">
            <v>-6</v>
          </cell>
        </row>
        <row r="1263">
          <cell r="A1263" t="str">
            <v>33.20.10543.00</v>
          </cell>
          <cell r="B1263" t="str">
            <v>LATERAL DO COLIMADOR SV / 33.20.10543.00</v>
          </cell>
          <cell r="C1263">
            <v>46074</v>
          </cell>
          <cell r="D1263" t="str">
            <v>-</v>
          </cell>
          <cell r="E1263" t="str">
            <v>-</v>
          </cell>
          <cell r="F1263" t="str">
            <v>-</v>
          </cell>
          <cell r="G1263" t="str">
            <v>-</v>
          </cell>
          <cell r="H1263" t="str">
            <v>-</v>
          </cell>
          <cell r="I1263" t="str">
            <v>-</v>
          </cell>
          <cell r="J1263">
            <v>0</v>
          </cell>
          <cell r="K1263">
            <v>9</v>
          </cell>
          <cell r="L1263" t="str">
            <v>ENTREGA TOTAL</v>
          </cell>
          <cell r="M1263" t="str">
            <v>-</v>
          </cell>
          <cell r="N1263" t="str">
            <v>OC'S METALFISA</v>
          </cell>
          <cell r="O1263" t="str">
            <v>-</v>
          </cell>
          <cell r="Q1263">
            <v>8</v>
          </cell>
          <cell r="S1263" t="str">
            <v>-</v>
          </cell>
          <cell r="U1263">
            <v>8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7</v>
          </cell>
          <cell r="AA1263">
            <v>7</v>
          </cell>
          <cell r="AB1263">
            <v>0</v>
          </cell>
          <cell r="AC1263">
            <v>8</v>
          </cell>
          <cell r="AD1263">
            <v>1</v>
          </cell>
        </row>
        <row r="1264">
          <cell r="A1264" t="str">
            <v>33.20.10544.00</v>
          </cell>
          <cell r="B1264" t="str">
            <v>LATERAL DO COLIMADOR SV / 33.20.10544.00</v>
          </cell>
          <cell r="C1264">
            <v>46074</v>
          </cell>
          <cell r="D1264" t="str">
            <v>-</v>
          </cell>
          <cell r="E1264" t="str">
            <v>-</v>
          </cell>
          <cell r="F1264" t="str">
            <v>-</v>
          </cell>
          <cell r="G1264" t="str">
            <v>-</v>
          </cell>
          <cell r="H1264" t="str">
            <v>-</v>
          </cell>
          <cell r="I1264" t="str">
            <v>-</v>
          </cell>
          <cell r="J1264">
            <v>0</v>
          </cell>
          <cell r="K1264">
            <v>12</v>
          </cell>
          <cell r="L1264" t="str">
            <v>ENTREGA TOTAL</v>
          </cell>
          <cell r="M1264" t="str">
            <v>-</v>
          </cell>
          <cell r="N1264" t="str">
            <v>OC'S METALFISA</v>
          </cell>
          <cell r="O1264" t="str">
            <v>-</v>
          </cell>
          <cell r="Q1264">
            <v>8</v>
          </cell>
          <cell r="S1264" t="str">
            <v>-</v>
          </cell>
          <cell r="U1264">
            <v>8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4</v>
          </cell>
          <cell r="AA1264">
            <v>4</v>
          </cell>
          <cell r="AB1264">
            <v>0</v>
          </cell>
          <cell r="AC1264">
            <v>8</v>
          </cell>
          <cell r="AD1264">
            <v>4</v>
          </cell>
        </row>
        <row r="1265">
          <cell r="A1265" t="str">
            <v>33.20.10558.00</v>
          </cell>
          <cell r="B1265" t="str">
            <v>SUPORTE DO ACABAMENTO SUPERIOR / 33.20.10558.00</v>
          </cell>
          <cell r="D1265" t="str">
            <v>-</v>
          </cell>
          <cell r="E1265" t="str">
            <v>-</v>
          </cell>
          <cell r="F1265" t="str">
            <v>-</v>
          </cell>
          <cell r="G1265" t="str">
            <v>-</v>
          </cell>
          <cell r="H1265" t="str">
            <v>-</v>
          </cell>
          <cell r="I1265" t="str">
            <v>-</v>
          </cell>
          <cell r="J1265">
            <v>0</v>
          </cell>
          <cell r="K1265">
            <v>0</v>
          </cell>
          <cell r="L1265" t="str">
            <v>FALTA ENTREGA</v>
          </cell>
          <cell r="M1265" t="str">
            <v>-</v>
          </cell>
          <cell r="N1265" t="str">
            <v>OC'S METALFISA</v>
          </cell>
          <cell r="O1265" t="str">
            <v>-</v>
          </cell>
          <cell r="Q1265">
            <v>28</v>
          </cell>
          <cell r="S1265" t="str">
            <v>-</v>
          </cell>
          <cell r="U1265">
            <v>28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28</v>
          </cell>
          <cell r="AA1265">
            <v>28</v>
          </cell>
          <cell r="AB1265">
            <v>0</v>
          </cell>
          <cell r="AC1265">
            <v>0</v>
          </cell>
          <cell r="AD1265">
            <v>-28</v>
          </cell>
        </row>
        <row r="1266">
          <cell r="A1266" t="str">
            <v>33.20.10559.00</v>
          </cell>
          <cell r="B1266" t="str">
            <v>TAMPA LATERAL 02 COM ACESSO QUADRO ELETRICO / 33.20.10559.00</v>
          </cell>
          <cell r="D1266" t="str">
            <v>-</v>
          </cell>
          <cell r="E1266" t="str">
            <v>-</v>
          </cell>
          <cell r="F1266" t="str">
            <v>-</v>
          </cell>
          <cell r="G1266" t="str">
            <v>-</v>
          </cell>
          <cell r="H1266" t="str">
            <v>-</v>
          </cell>
          <cell r="I1266">
            <v>5</v>
          </cell>
          <cell r="J1266">
            <v>5</v>
          </cell>
          <cell r="K1266">
            <v>0</v>
          </cell>
          <cell r="L1266" t="str">
            <v>FALTA ENTREGA</v>
          </cell>
          <cell r="M1266" t="str">
            <v>-</v>
          </cell>
          <cell r="N1266" t="str">
            <v>OC'S METALFISA</v>
          </cell>
          <cell r="O1266">
            <v>1</v>
          </cell>
          <cell r="P1266" t="str">
            <v>OC'S GRANATO</v>
          </cell>
          <cell r="Q1266" t="str">
            <v>-</v>
          </cell>
          <cell r="S1266" t="str">
            <v>-</v>
          </cell>
          <cell r="U1266">
            <v>1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6</v>
          </cell>
          <cell r="AA1266">
            <v>6</v>
          </cell>
          <cell r="AB1266">
            <v>0</v>
          </cell>
          <cell r="AC1266">
            <v>0</v>
          </cell>
          <cell r="AD1266">
            <v>-6</v>
          </cell>
        </row>
        <row r="1267">
          <cell r="A1267" t="str">
            <v>33.20.10561.00</v>
          </cell>
          <cell r="B1267" t="str">
            <v>TAMPA ACESSO ELETRICO / 33.20.10561.00</v>
          </cell>
          <cell r="C1267">
            <v>46074</v>
          </cell>
          <cell r="D1267" t="str">
            <v>-</v>
          </cell>
          <cell r="E1267" t="str">
            <v>-</v>
          </cell>
          <cell r="F1267" t="str">
            <v>-</v>
          </cell>
          <cell r="G1267" t="str">
            <v>-</v>
          </cell>
          <cell r="H1267" t="str">
            <v>-</v>
          </cell>
          <cell r="I1267" t="str">
            <v>-</v>
          </cell>
          <cell r="J1267">
            <v>0</v>
          </cell>
          <cell r="K1267">
            <v>0</v>
          </cell>
          <cell r="L1267" t="str">
            <v>ENTREGA PARCIAL</v>
          </cell>
          <cell r="M1267">
            <v>7</v>
          </cell>
          <cell r="N1267" t="str">
            <v>OC'S METALFISA</v>
          </cell>
          <cell r="O1267" t="str">
            <v>-</v>
          </cell>
          <cell r="Q1267" t="str">
            <v>-</v>
          </cell>
          <cell r="S1267" t="str">
            <v>-</v>
          </cell>
          <cell r="U1267">
            <v>7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14</v>
          </cell>
          <cell r="AA1267">
            <v>14</v>
          </cell>
          <cell r="AB1267">
            <v>0</v>
          </cell>
          <cell r="AC1267">
            <v>7</v>
          </cell>
          <cell r="AD1267">
            <v>-7</v>
          </cell>
        </row>
        <row r="1268">
          <cell r="A1268" t="str">
            <v>33.20.10563.00</v>
          </cell>
          <cell r="B1268" t="str">
            <v>TAMPA LATERAL 02 / 33.20.10563.00</v>
          </cell>
          <cell r="D1268" t="str">
            <v>-</v>
          </cell>
          <cell r="E1268" t="str">
            <v>-</v>
          </cell>
          <cell r="F1268" t="str">
            <v>-</v>
          </cell>
          <cell r="G1268" t="str">
            <v>-</v>
          </cell>
          <cell r="H1268" t="str">
            <v>-</v>
          </cell>
          <cell r="I1268">
            <v>1</v>
          </cell>
          <cell r="J1268">
            <v>1</v>
          </cell>
          <cell r="K1268">
            <v>-10</v>
          </cell>
          <cell r="L1268" t="str">
            <v>FALTA ENTREGA</v>
          </cell>
          <cell r="M1268" t="str">
            <v>-</v>
          </cell>
          <cell r="N1268" t="str">
            <v>OC'S METALFISA</v>
          </cell>
          <cell r="O1268" t="str">
            <v>-</v>
          </cell>
          <cell r="Q1268" t="str">
            <v>-</v>
          </cell>
          <cell r="S1268" t="str">
            <v>-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11</v>
          </cell>
          <cell r="AA1268">
            <v>11</v>
          </cell>
          <cell r="AB1268">
            <v>0</v>
          </cell>
          <cell r="AC1268">
            <v>0</v>
          </cell>
          <cell r="AD1268">
            <v>-11</v>
          </cell>
        </row>
        <row r="1269">
          <cell r="A1269" t="str">
            <v>33.20.10571.00</v>
          </cell>
          <cell r="B1269" t="str">
            <v>BANDEJA BLINDAGEM DA BASE 03 / 33.20.10571.00</v>
          </cell>
          <cell r="D1269" t="str">
            <v>-</v>
          </cell>
          <cell r="E1269" t="str">
            <v>-</v>
          </cell>
          <cell r="F1269" t="str">
            <v>-</v>
          </cell>
          <cell r="G1269" t="str">
            <v>-</v>
          </cell>
          <cell r="H1269" t="str">
            <v>-</v>
          </cell>
          <cell r="I1269" t="str">
            <v>-</v>
          </cell>
          <cell r="J1269">
            <v>0</v>
          </cell>
          <cell r="K1269">
            <v>0</v>
          </cell>
          <cell r="L1269" t="str">
            <v>FALTA ENTREGA</v>
          </cell>
          <cell r="M1269" t="str">
            <v>-</v>
          </cell>
          <cell r="N1269" t="str">
            <v>OC'S METALFISA</v>
          </cell>
          <cell r="O1269" t="str">
            <v>-</v>
          </cell>
          <cell r="Q1269">
            <v>7</v>
          </cell>
          <cell r="S1269" t="str">
            <v>-</v>
          </cell>
          <cell r="U1269">
            <v>7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7</v>
          </cell>
          <cell r="AA1269">
            <v>7</v>
          </cell>
          <cell r="AB1269">
            <v>0</v>
          </cell>
          <cell r="AC1269">
            <v>0</v>
          </cell>
          <cell r="AD1269">
            <v>-7</v>
          </cell>
        </row>
        <row r="1270">
          <cell r="A1270" t="str">
            <v>33.20.10573.01</v>
          </cell>
          <cell r="B1270" t="str">
            <v>FECHAMENTO COLIMADOR DV / 33.20.10573.01</v>
          </cell>
          <cell r="C1270">
            <v>46066</v>
          </cell>
          <cell r="D1270" t="str">
            <v>-</v>
          </cell>
          <cell r="E1270" t="str">
            <v>-</v>
          </cell>
          <cell r="F1270" t="str">
            <v>-</v>
          </cell>
          <cell r="G1270" t="str">
            <v>-</v>
          </cell>
          <cell r="H1270" t="str">
            <v>-</v>
          </cell>
          <cell r="I1270" t="str">
            <v>-</v>
          </cell>
          <cell r="J1270">
            <v>0</v>
          </cell>
          <cell r="K1270">
            <v>1</v>
          </cell>
          <cell r="L1270" t="str">
            <v>ENTREGA PARCIAL</v>
          </cell>
          <cell r="M1270" t="str">
            <v>-</v>
          </cell>
          <cell r="N1270" t="str">
            <v>OC'S METALFISA</v>
          </cell>
          <cell r="O1270" t="str">
            <v>-</v>
          </cell>
          <cell r="Q1270">
            <v>2</v>
          </cell>
          <cell r="S1270" t="str">
            <v>-</v>
          </cell>
          <cell r="U1270">
            <v>2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3</v>
          </cell>
          <cell r="AA1270">
            <v>3</v>
          </cell>
          <cell r="AB1270">
            <v>0</v>
          </cell>
          <cell r="AC1270">
            <v>2</v>
          </cell>
          <cell r="AD1270">
            <v>-1</v>
          </cell>
        </row>
        <row r="1271">
          <cell r="A1271" t="str">
            <v>33.20.10574.00</v>
          </cell>
          <cell r="B1271" t="str">
            <v>FECHAMENTO COLIMADOR DV 02 / 33.20.10574.00</v>
          </cell>
          <cell r="C1271">
            <v>46066</v>
          </cell>
          <cell r="D1271" t="str">
            <v>-</v>
          </cell>
          <cell r="E1271" t="str">
            <v>-</v>
          </cell>
          <cell r="F1271" t="str">
            <v>-</v>
          </cell>
          <cell r="G1271" t="str">
            <v>-</v>
          </cell>
          <cell r="H1271" t="str">
            <v>-</v>
          </cell>
          <cell r="I1271" t="str">
            <v>-</v>
          </cell>
          <cell r="J1271">
            <v>0</v>
          </cell>
          <cell r="K1271">
            <v>2</v>
          </cell>
          <cell r="L1271" t="str">
            <v>ENTREGA TOTAL</v>
          </cell>
          <cell r="M1271" t="str">
            <v>-</v>
          </cell>
          <cell r="N1271" t="str">
            <v>OC'S METALFISA</v>
          </cell>
          <cell r="O1271" t="str">
            <v>-</v>
          </cell>
          <cell r="Q1271">
            <v>2</v>
          </cell>
          <cell r="S1271" t="str">
            <v>-</v>
          </cell>
          <cell r="U1271">
            <v>2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2</v>
          </cell>
          <cell r="AA1271">
            <v>2</v>
          </cell>
          <cell r="AB1271">
            <v>0</v>
          </cell>
          <cell r="AC1271">
            <v>2</v>
          </cell>
          <cell r="AD1271">
            <v>0</v>
          </cell>
        </row>
        <row r="1272">
          <cell r="A1272" t="str">
            <v>33.20.10576.00</v>
          </cell>
          <cell r="B1272" t="str">
            <v>FECHAMENTO TUNEL SUPERIOR SV / 33.20.10576.00</v>
          </cell>
          <cell r="D1272" t="str">
            <v>-</v>
          </cell>
          <cell r="E1272" t="str">
            <v>-</v>
          </cell>
          <cell r="F1272" t="str">
            <v>-</v>
          </cell>
          <cell r="G1272" t="str">
            <v>-</v>
          </cell>
          <cell r="H1272" t="str">
            <v>-</v>
          </cell>
          <cell r="I1272" t="str">
            <v>-</v>
          </cell>
          <cell r="J1272">
            <v>0</v>
          </cell>
          <cell r="K1272">
            <v>-4</v>
          </cell>
          <cell r="L1272" t="str">
            <v>FALTA ENTREGA</v>
          </cell>
          <cell r="M1272" t="str">
            <v>-</v>
          </cell>
          <cell r="N1272" t="str">
            <v>OC'S METALFISA</v>
          </cell>
          <cell r="O1272" t="str">
            <v>-</v>
          </cell>
          <cell r="Q1272" t="str">
            <v>-</v>
          </cell>
          <cell r="S1272" t="str">
            <v>-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4</v>
          </cell>
          <cell r="AA1272">
            <v>4</v>
          </cell>
          <cell r="AB1272">
            <v>0</v>
          </cell>
          <cell r="AC1272">
            <v>0</v>
          </cell>
          <cell r="AD1272">
            <v>-4</v>
          </cell>
        </row>
        <row r="1273">
          <cell r="A1273" t="str">
            <v>33.20.10587.01</v>
          </cell>
          <cell r="B1273" t="str">
            <v>SUPORTE DO DETECTOR AJUSTAVEL 02 / 33.20.10587.01</v>
          </cell>
          <cell r="D1273" t="str">
            <v>-</v>
          </cell>
          <cell r="E1273" t="str">
            <v>-</v>
          </cell>
          <cell r="F1273" t="str">
            <v>-</v>
          </cell>
          <cell r="G1273" t="str">
            <v>-</v>
          </cell>
          <cell r="H1273" t="str">
            <v>-</v>
          </cell>
          <cell r="I1273" t="str">
            <v>-</v>
          </cell>
          <cell r="J1273">
            <v>0</v>
          </cell>
          <cell r="K1273" t="e">
            <v>#VALUE!</v>
          </cell>
          <cell r="L1273" t="str">
            <v>ENTREGA TOTAL</v>
          </cell>
          <cell r="M1273" t="str">
            <v>-</v>
          </cell>
          <cell r="N1273" t="str">
            <v>OC'S METALFISA</v>
          </cell>
          <cell r="O1273" t="str">
            <v>-</v>
          </cell>
          <cell r="Q1273">
            <v>8</v>
          </cell>
          <cell r="S1273" t="str">
            <v>-</v>
          </cell>
          <cell r="U1273">
            <v>8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7</v>
          </cell>
          <cell r="AA1273">
            <v>7</v>
          </cell>
          <cell r="AB1273" t="str">
            <v>0</v>
          </cell>
          <cell r="AC1273" t="str">
            <v>-</v>
          </cell>
          <cell r="AD1273" t="str">
            <v>-</v>
          </cell>
        </row>
        <row r="1274">
          <cell r="A1274" t="str">
            <v>33.20.10588.00</v>
          </cell>
          <cell r="B1274" t="str">
            <v>TRAVA DA BUCHA DE NYLON / 33.20.10588.00</v>
          </cell>
          <cell r="C1274">
            <v>46066</v>
          </cell>
          <cell r="D1274" t="str">
            <v>-</v>
          </cell>
          <cell r="E1274" t="str">
            <v>-</v>
          </cell>
          <cell r="F1274" t="str">
            <v>-</v>
          </cell>
          <cell r="G1274" t="str">
            <v>-</v>
          </cell>
          <cell r="H1274" t="str">
            <v>-</v>
          </cell>
          <cell r="I1274" t="str">
            <v>-</v>
          </cell>
          <cell r="J1274">
            <v>0</v>
          </cell>
          <cell r="K1274">
            <v>8</v>
          </cell>
          <cell r="L1274" t="str">
            <v>ENTREGA PARCIAL</v>
          </cell>
          <cell r="M1274" t="str">
            <v>-</v>
          </cell>
          <cell r="N1274" t="str">
            <v>OC'S METALFISA</v>
          </cell>
          <cell r="O1274" t="str">
            <v>-</v>
          </cell>
          <cell r="Q1274">
            <v>15</v>
          </cell>
          <cell r="S1274" t="str">
            <v>-</v>
          </cell>
          <cell r="U1274">
            <v>15</v>
          </cell>
          <cell r="V1274">
            <v>3</v>
          </cell>
          <cell r="W1274">
            <v>0</v>
          </cell>
          <cell r="X1274">
            <v>0</v>
          </cell>
          <cell r="Y1274">
            <v>0</v>
          </cell>
          <cell r="Z1274">
            <v>12</v>
          </cell>
          <cell r="AA1274">
            <v>15</v>
          </cell>
          <cell r="AB1274">
            <v>0</v>
          </cell>
          <cell r="AC1274">
            <v>8</v>
          </cell>
          <cell r="AD1274">
            <v>-7</v>
          </cell>
        </row>
        <row r="1275">
          <cell r="A1275" t="str">
            <v>33.20.10604.00</v>
          </cell>
          <cell r="B1275" t="str">
            <v>TAMPA SUPERIOR CENTRAL / 33.20.10604.00</v>
          </cell>
          <cell r="D1275" t="str">
            <v>-</v>
          </cell>
          <cell r="E1275" t="str">
            <v>-</v>
          </cell>
          <cell r="F1275" t="str">
            <v>-</v>
          </cell>
          <cell r="G1275" t="str">
            <v>-</v>
          </cell>
          <cell r="H1275" t="str">
            <v>-</v>
          </cell>
          <cell r="I1275" t="str">
            <v>-</v>
          </cell>
          <cell r="J1275">
            <v>0</v>
          </cell>
          <cell r="K1275" t="e">
            <v>#VALUE!</v>
          </cell>
          <cell r="L1275" t="str">
            <v>ENTREGA TOTAL</v>
          </cell>
          <cell r="M1275" t="str">
            <v>-</v>
          </cell>
          <cell r="N1275" t="str">
            <v>OC'S METALFISA</v>
          </cell>
          <cell r="O1275" t="str">
            <v>-</v>
          </cell>
          <cell r="Q1275" t="str">
            <v>-</v>
          </cell>
          <cell r="S1275" t="str">
            <v>-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8</v>
          </cell>
          <cell r="AA1275">
            <v>8</v>
          </cell>
          <cell r="AB1275" t="str">
            <v>0</v>
          </cell>
          <cell r="AC1275" t="str">
            <v>-</v>
          </cell>
          <cell r="AD1275" t="str">
            <v>-</v>
          </cell>
        </row>
        <row r="1276">
          <cell r="A1276" t="str">
            <v>33.20.10605.00</v>
          </cell>
          <cell r="B1276" t="str">
            <v>CHAPA DE PORTECAO TUBO SV / 33.20.10605.00</v>
          </cell>
          <cell r="C1276">
            <v>46074</v>
          </cell>
          <cell r="D1276" t="str">
            <v>-</v>
          </cell>
          <cell r="E1276" t="str">
            <v>-</v>
          </cell>
          <cell r="F1276" t="str">
            <v>-</v>
          </cell>
          <cell r="G1276" t="str">
            <v>-</v>
          </cell>
          <cell r="H1276" t="str">
            <v>-</v>
          </cell>
          <cell r="I1276" t="str">
            <v>-</v>
          </cell>
          <cell r="J1276">
            <v>0</v>
          </cell>
          <cell r="K1276">
            <v>9</v>
          </cell>
          <cell r="L1276" t="str">
            <v>ENTREGA TOTAL</v>
          </cell>
          <cell r="M1276" t="str">
            <v>-</v>
          </cell>
          <cell r="N1276" t="str">
            <v>OC'S METALFISA</v>
          </cell>
          <cell r="O1276" t="str">
            <v>-</v>
          </cell>
          <cell r="Q1276">
            <v>7</v>
          </cell>
          <cell r="S1276" t="str">
            <v>-</v>
          </cell>
          <cell r="U1276">
            <v>7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5</v>
          </cell>
          <cell r="AA1276">
            <v>5</v>
          </cell>
          <cell r="AB1276">
            <v>0</v>
          </cell>
          <cell r="AC1276">
            <v>7</v>
          </cell>
          <cell r="AD1276">
            <v>2</v>
          </cell>
        </row>
        <row r="1277">
          <cell r="A1277" t="str">
            <v>33.20.10625.00</v>
          </cell>
          <cell r="B1277" t="str">
            <v>CHAPA PROTECAO TUBO SV 100100 VENTILADORES / 33.20.10625.00</v>
          </cell>
          <cell r="D1277" t="str">
            <v>-</v>
          </cell>
          <cell r="E1277" t="str">
            <v>-</v>
          </cell>
          <cell r="F1277" t="str">
            <v>-</v>
          </cell>
          <cell r="G1277" t="str">
            <v>-</v>
          </cell>
          <cell r="H1277" t="str">
            <v>-</v>
          </cell>
          <cell r="I1277" t="str">
            <v>-</v>
          </cell>
          <cell r="J1277">
            <v>0</v>
          </cell>
          <cell r="K1277">
            <v>-14</v>
          </cell>
          <cell r="L1277" t="str">
            <v>FALTA ENTREGA</v>
          </cell>
          <cell r="M1277" t="str">
            <v>-</v>
          </cell>
          <cell r="N1277" t="str">
            <v>OC'S METALFISA</v>
          </cell>
          <cell r="O1277" t="str">
            <v>-</v>
          </cell>
          <cell r="Q1277" t="str">
            <v>-</v>
          </cell>
          <cell r="S1277" t="str">
            <v>-</v>
          </cell>
          <cell r="U1277">
            <v>0</v>
          </cell>
          <cell r="V1277">
            <v>0</v>
          </cell>
          <cell r="W1277">
            <v>1</v>
          </cell>
          <cell r="X1277">
            <v>0</v>
          </cell>
          <cell r="Y1277">
            <v>0</v>
          </cell>
          <cell r="Z1277">
            <v>13</v>
          </cell>
          <cell r="AA1277">
            <v>14</v>
          </cell>
          <cell r="AB1277">
            <v>4</v>
          </cell>
          <cell r="AC1277">
            <v>0</v>
          </cell>
          <cell r="AD1277">
            <v>-14</v>
          </cell>
        </row>
        <row r="1278">
          <cell r="A1278" t="str">
            <v>33.21.10547.01</v>
          </cell>
          <cell r="B1278" t="str">
            <v>DETECTOR / 33.21.10547.01</v>
          </cell>
          <cell r="D1278" t="str">
            <v>-</v>
          </cell>
          <cell r="E1278" t="str">
            <v>-</v>
          </cell>
          <cell r="F1278" t="str">
            <v>-</v>
          </cell>
          <cell r="G1278" t="str">
            <v>-</v>
          </cell>
          <cell r="H1278" t="str">
            <v>-</v>
          </cell>
          <cell r="I1278" t="str">
            <v>-</v>
          </cell>
          <cell r="J1278">
            <v>0</v>
          </cell>
          <cell r="K1278">
            <v>12</v>
          </cell>
          <cell r="L1278" t="str">
            <v>FALTA ENTREGA</v>
          </cell>
          <cell r="M1278">
            <v>35</v>
          </cell>
          <cell r="N1278" t="str">
            <v>OC'S METALFISA</v>
          </cell>
          <cell r="O1278" t="str">
            <v>-</v>
          </cell>
          <cell r="Q1278" t="str">
            <v>-</v>
          </cell>
          <cell r="S1278" t="str">
            <v>-</v>
          </cell>
          <cell r="U1278">
            <v>35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23</v>
          </cell>
          <cell r="AA1278">
            <v>23</v>
          </cell>
          <cell r="AB1278">
            <v>0</v>
          </cell>
          <cell r="AC1278">
            <v>0</v>
          </cell>
          <cell r="AD1278">
            <v>-23</v>
          </cell>
        </row>
        <row r="1279">
          <cell r="A1279" t="str">
            <v>33.23.10015.00</v>
          </cell>
          <cell r="B1279" t="str">
            <v>PROTECAO LATERAL  / 33.23.10015.00</v>
          </cell>
          <cell r="D1279" t="str">
            <v>-</v>
          </cell>
          <cell r="E1279" t="str">
            <v>-</v>
          </cell>
          <cell r="F1279" t="str">
            <v>-</v>
          </cell>
          <cell r="G1279" t="str">
            <v>-</v>
          </cell>
          <cell r="H1279" t="str">
            <v>-</v>
          </cell>
          <cell r="I1279" t="str">
            <v>-</v>
          </cell>
          <cell r="J1279">
            <v>0</v>
          </cell>
          <cell r="K1279">
            <v>-2</v>
          </cell>
          <cell r="L1279" t="str">
            <v>ENTREGA PARCIAL</v>
          </cell>
          <cell r="M1279" t="str">
            <v>-</v>
          </cell>
          <cell r="N1279" t="str">
            <v>OC'S METALFISA</v>
          </cell>
          <cell r="O1279" t="str">
            <v>-</v>
          </cell>
          <cell r="Q1279" t="str">
            <v>-</v>
          </cell>
          <cell r="S1279" t="str">
            <v>-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3</v>
          </cell>
          <cell r="AA1279">
            <v>3</v>
          </cell>
          <cell r="AB1279">
            <v>0</v>
          </cell>
          <cell r="AC1279">
            <v>1</v>
          </cell>
          <cell r="AD1279">
            <v>-2</v>
          </cell>
        </row>
        <row r="1280">
          <cell r="A1280" t="str">
            <v>33.23.10032.01</v>
          </cell>
          <cell r="B1280" t="str">
            <v>ARRUELA DA BUCHA DE REGULAGEM / 33.23.10032.01</v>
          </cell>
          <cell r="D1280" t="str">
            <v>-</v>
          </cell>
          <cell r="E1280" t="str">
            <v>-</v>
          </cell>
          <cell r="F1280" t="str">
            <v>-</v>
          </cell>
          <cell r="G1280" t="str">
            <v>-</v>
          </cell>
          <cell r="H1280" t="str">
            <v>-</v>
          </cell>
          <cell r="I1280" t="str">
            <v>-</v>
          </cell>
          <cell r="J1280">
            <v>0</v>
          </cell>
          <cell r="K1280">
            <v>161</v>
          </cell>
          <cell r="L1280" t="str">
            <v>FALTA ENTREGA</v>
          </cell>
          <cell r="M1280" t="str">
            <v>-</v>
          </cell>
          <cell r="N1280" t="str">
            <v>OC'S METALFISA</v>
          </cell>
          <cell r="O1280" t="str">
            <v>-</v>
          </cell>
          <cell r="Q1280">
            <v>337</v>
          </cell>
          <cell r="S1280" t="str">
            <v>-</v>
          </cell>
          <cell r="U1280">
            <v>337</v>
          </cell>
          <cell r="V1280">
            <v>0</v>
          </cell>
          <cell r="W1280">
            <v>11</v>
          </cell>
          <cell r="X1280">
            <v>30</v>
          </cell>
          <cell r="Y1280">
            <v>0</v>
          </cell>
          <cell r="Z1280">
            <v>135</v>
          </cell>
          <cell r="AA1280">
            <v>176</v>
          </cell>
          <cell r="AB1280">
            <v>29</v>
          </cell>
          <cell r="AC1280">
            <v>0</v>
          </cell>
          <cell r="AD1280">
            <v>-176</v>
          </cell>
        </row>
        <row r="1281">
          <cell r="A1281" t="str">
            <v>33.23.10054.03</v>
          </cell>
          <cell r="B1281" t="str">
            <v>TRAVA DE MONTAGEM DA MOTOPOLIA / 33.23.10054.03</v>
          </cell>
          <cell r="D1281" t="str">
            <v>-</v>
          </cell>
          <cell r="E1281" t="str">
            <v>-</v>
          </cell>
          <cell r="F1281" t="str">
            <v>-</v>
          </cell>
          <cell r="G1281" t="str">
            <v>-</v>
          </cell>
          <cell r="H1281" t="str">
            <v>-</v>
          </cell>
          <cell r="I1281" t="str">
            <v>-</v>
          </cell>
          <cell r="J1281">
            <v>0</v>
          </cell>
          <cell r="K1281">
            <v>2</v>
          </cell>
          <cell r="L1281" t="str">
            <v>FALTA ENTREGA</v>
          </cell>
          <cell r="M1281" t="str">
            <v>-</v>
          </cell>
          <cell r="N1281" t="str">
            <v>OC'S METALFISA</v>
          </cell>
          <cell r="O1281" t="str">
            <v>-</v>
          </cell>
          <cell r="Q1281">
            <v>83</v>
          </cell>
          <cell r="S1281" t="str">
            <v>-</v>
          </cell>
          <cell r="U1281">
            <v>83</v>
          </cell>
          <cell r="V1281">
            <v>0</v>
          </cell>
          <cell r="W1281">
            <v>0</v>
          </cell>
          <cell r="X1281">
            <v>3</v>
          </cell>
          <cell r="Y1281">
            <v>0</v>
          </cell>
          <cell r="Z1281">
            <v>78</v>
          </cell>
          <cell r="AA1281">
            <v>81</v>
          </cell>
          <cell r="AB1281">
            <v>0</v>
          </cell>
          <cell r="AC1281">
            <v>0</v>
          </cell>
          <cell r="AD1281">
            <v>-81</v>
          </cell>
        </row>
        <row r="1282">
          <cell r="A1282" t="str">
            <v>33.23.10076.00</v>
          </cell>
          <cell r="B1282" t="str">
            <v>SUPORTE DA CORTINA / 33.23.10076.00</v>
          </cell>
          <cell r="C1282">
            <v>46074</v>
          </cell>
          <cell r="D1282" t="str">
            <v>-</v>
          </cell>
          <cell r="E1282" t="str">
            <v>-</v>
          </cell>
          <cell r="F1282" t="str">
            <v>-</v>
          </cell>
          <cell r="G1282" t="str">
            <v>-</v>
          </cell>
          <cell r="H1282" t="str">
            <v>-</v>
          </cell>
          <cell r="I1282" t="str">
            <v>-</v>
          </cell>
          <cell r="J1282">
            <v>0</v>
          </cell>
          <cell r="K1282">
            <v>29</v>
          </cell>
          <cell r="L1282" t="str">
            <v>ENTREGA PARCIAL</v>
          </cell>
          <cell r="M1282" t="str">
            <v>-</v>
          </cell>
          <cell r="N1282" t="str">
            <v>OC'S METALFISA</v>
          </cell>
          <cell r="O1282" t="str">
            <v>-</v>
          </cell>
          <cell r="Q1282">
            <v>45</v>
          </cell>
          <cell r="S1282" t="str">
            <v>-</v>
          </cell>
          <cell r="U1282">
            <v>45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60</v>
          </cell>
          <cell r="AA1282">
            <v>60</v>
          </cell>
          <cell r="AB1282">
            <v>0</v>
          </cell>
          <cell r="AC1282">
            <v>44</v>
          </cell>
          <cell r="AD1282">
            <v>-16</v>
          </cell>
        </row>
        <row r="1283">
          <cell r="A1283" t="str">
            <v>33.23.10078.00</v>
          </cell>
          <cell r="B1283" t="str">
            <v>CONJ. ACABAMENTO LATERAL DIREITO / 33.23.10078.00</v>
          </cell>
          <cell r="D1283" t="str">
            <v>-</v>
          </cell>
          <cell r="E1283" t="str">
            <v>-</v>
          </cell>
          <cell r="F1283" t="str">
            <v>-</v>
          </cell>
          <cell r="G1283" t="str">
            <v>-</v>
          </cell>
          <cell r="H1283" t="str">
            <v>-</v>
          </cell>
          <cell r="I1283">
            <v>13</v>
          </cell>
          <cell r="J1283">
            <v>13</v>
          </cell>
          <cell r="K1283">
            <v>8</v>
          </cell>
          <cell r="L1283" t="str">
            <v>FALTA ENTREGA</v>
          </cell>
          <cell r="M1283" t="str">
            <v>-</v>
          </cell>
          <cell r="N1283" t="str">
            <v>OC'S METALFISA</v>
          </cell>
          <cell r="O1283" t="str">
            <v>-</v>
          </cell>
          <cell r="Q1283" t="str">
            <v>-</v>
          </cell>
          <cell r="S1283">
            <v>35</v>
          </cell>
          <cell r="T1283" t="str">
            <v>OC'S MAPHE</v>
          </cell>
          <cell r="U1283">
            <v>35</v>
          </cell>
          <cell r="V1283">
            <v>0</v>
          </cell>
          <cell r="W1283">
            <v>0</v>
          </cell>
          <cell r="X1283">
            <v>1</v>
          </cell>
          <cell r="Y1283">
            <v>0</v>
          </cell>
          <cell r="Z1283">
            <v>39</v>
          </cell>
          <cell r="AA1283">
            <v>40</v>
          </cell>
          <cell r="AB1283">
            <v>7</v>
          </cell>
          <cell r="AC1283">
            <v>0</v>
          </cell>
          <cell r="AD1283">
            <v>-40</v>
          </cell>
        </row>
        <row r="1284">
          <cell r="A1284" t="str">
            <v>33.23.10085.03</v>
          </cell>
          <cell r="B1284" t="str">
            <v>FIXACAO SUPERIOR DO GERADOR / 33.23.10085.03</v>
          </cell>
          <cell r="C1284">
            <v>46066</v>
          </cell>
          <cell r="D1284" t="str">
            <v>-</v>
          </cell>
          <cell r="E1284" t="str">
            <v>-</v>
          </cell>
          <cell r="F1284" t="str">
            <v>-</v>
          </cell>
          <cell r="G1284" t="str">
            <v>-</v>
          </cell>
          <cell r="H1284" t="str">
            <v>-</v>
          </cell>
          <cell r="I1284" t="str">
            <v>-</v>
          </cell>
          <cell r="J1284">
            <v>0</v>
          </cell>
          <cell r="K1284">
            <v>36</v>
          </cell>
          <cell r="L1284" t="str">
            <v>ENTREGA TOTAL</v>
          </cell>
          <cell r="M1284" t="str">
            <v>-</v>
          </cell>
          <cell r="N1284" t="str">
            <v>OC'S METALFISA</v>
          </cell>
          <cell r="O1284" t="str">
            <v>-</v>
          </cell>
          <cell r="Q1284">
            <v>30</v>
          </cell>
          <cell r="S1284" t="str">
            <v>-</v>
          </cell>
          <cell r="U1284">
            <v>30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24</v>
          </cell>
          <cell r="AA1284">
            <v>24</v>
          </cell>
          <cell r="AB1284">
            <v>0</v>
          </cell>
          <cell r="AC1284">
            <v>30</v>
          </cell>
          <cell r="AD1284">
            <v>6</v>
          </cell>
        </row>
        <row r="1285">
          <cell r="A1285" t="str">
            <v>33.23.10110.03</v>
          </cell>
          <cell r="B1285" t="str">
            <v>PESCOCO DO COLIMADOR / 33.23.10110.03</v>
          </cell>
          <cell r="D1285" t="str">
            <v>-</v>
          </cell>
          <cell r="E1285" t="str">
            <v>-</v>
          </cell>
          <cell r="F1285" t="str">
            <v>-</v>
          </cell>
          <cell r="G1285" t="str">
            <v>-</v>
          </cell>
          <cell r="H1285" t="str">
            <v>-</v>
          </cell>
          <cell r="I1285" t="str">
            <v>-</v>
          </cell>
          <cell r="J1285">
            <v>0</v>
          </cell>
          <cell r="K1285">
            <v>2</v>
          </cell>
          <cell r="L1285" t="str">
            <v>FALTA ENTREGA</v>
          </cell>
          <cell r="M1285" t="str">
            <v>-</v>
          </cell>
          <cell r="N1285" t="str">
            <v>OC'S METALFISA</v>
          </cell>
          <cell r="O1285" t="str">
            <v>-</v>
          </cell>
          <cell r="Q1285">
            <v>30</v>
          </cell>
          <cell r="S1285" t="str">
            <v>-</v>
          </cell>
          <cell r="U1285">
            <v>30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28</v>
          </cell>
          <cell r="AA1285">
            <v>28</v>
          </cell>
          <cell r="AB1285">
            <v>0</v>
          </cell>
          <cell r="AC1285">
            <v>0</v>
          </cell>
          <cell r="AD1285">
            <v>-28</v>
          </cell>
        </row>
        <row r="1286">
          <cell r="A1286" t="str">
            <v>33.23.10111.03</v>
          </cell>
          <cell r="B1286" t="str">
            <v>PERFIL DE FECHAMENTO DO COLIMADOR / 33.23.10111.03</v>
          </cell>
          <cell r="D1286" t="str">
            <v>-</v>
          </cell>
          <cell r="E1286" t="str">
            <v>-</v>
          </cell>
          <cell r="F1286" t="str">
            <v>-</v>
          </cell>
          <cell r="G1286" t="str">
            <v>-</v>
          </cell>
          <cell r="H1286" t="str">
            <v>-</v>
          </cell>
          <cell r="I1286" t="str">
            <v>-</v>
          </cell>
          <cell r="J1286">
            <v>0</v>
          </cell>
          <cell r="K1286">
            <v>65</v>
          </cell>
          <cell r="L1286" t="str">
            <v>ENTREGA TOTAL</v>
          </cell>
          <cell r="M1286" t="str">
            <v>-</v>
          </cell>
          <cell r="N1286" t="str">
            <v>OC'S METALFISA</v>
          </cell>
          <cell r="O1286" t="str">
            <v>-</v>
          </cell>
          <cell r="Q1286">
            <v>60</v>
          </cell>
          <cell r="S1286" t="str">
            <v>-</v>
          </cell>
          <cell r="U1286">
            <v>60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55</v>
          </cell>
          <cell r="AA1286">
            <v>55</v>
          </cell>
          <cell r="AB1286">
            <v>0</v>
          </cell>
          <cell r="AC1286">
            <v>60</v>
          </cell>
          <cell r="AD1286">
            <v>5</v>
          </cell>
        </row>
        <row r="1287">
          <cell r="A1287" t="str">
            <v>33.23.10138.03</v>
          </cell>
          <cell r="B1287" t="str">
            <v>FIXACAO CORTINA / 33.23.10138.03</v>
          </cell>
          <cell r="C1287">
            <v>46066</v>
          </cell>
          <cell r="D1287" t="str">
            <v>-</v>
          </cell>
          <cell r="E1287" t="str">
            <v>-</v>
          </cell>
          <cell r="F1287" t="str">
            <v>-</v>
          </cell>
          <cell r="G1287" t="str">
            <v>-</v>
          </cell>
          <cell r="H1287" t="str">
            <v>-</v>
          </cell>
          <cell r="I1287" t="str">
            <v>-</v>
          </cell>
          <cell r="J1287">
            <v>0</v>
          </cell>
          <cell r="K1287">
            <v>63</v>
          </cell>
          <cell r="L1287" t="str">
            <v>ENTREGA PARCIAL</v>
          </cell>
          <cell r="M1287" t="str">
            <v>-</v>
          </cell>
          <cell r="N1287" t="str">
            <v>OC'S METALFISA</v>
          </cell>
          <cell r="O1287" t="str">
            <v>-</v>
          </cell>
          <cell r="Q1287">
            <v>177</v>
          </cell>
          <cell r="S1287" t="str">
            <v>-</v>
          </cell>
          <cell r="U1287">
            <v>177</v>
          </cell>
          <cell r="V1287">
            <v>0</v>
          </cell>
          <cell r="W1287">
            <v>1</v>
          </cell>
          <cell r="X1287">
            <v>60</v>
          </cell>
          <cell r="Y1287">
            <v>0</v>
          </cell>
          <cell r="Z1287">
            <v>234</v>
          </cell>
          <cell r="AA1287">
            <v>295</v>
          </cell>
          <cell r="AB1287">
            <v>0</v>
          </cell>
          <cell r="AC1287">
            <v>181</v>
          </cell>
          <cell r="AD1287">
            <v>-114</v>
          </cell>
        </row>
        <row r="1288">
          <cell r="A1288" t="str">
            <v>33.23.10140.01</v>
          </cell>
          <cell r="B1288" t="str">
            <v>SUPORTE DA CORTINA LADO DIREITO / 33.23.10140.01</v>
          </cell>
          <cell r="C1288">
            <v>46066</v>
          </cell>
          <cell r="D1288" t="str">
            <v>-</v>
          </cell>
          <cell r="E1288" t="str">
            <v>-</v>
          </cell>
          <cell r="F1288" t="str">
            <v>-</v>
          </cell>
          <cell r="G1288" t="str">
            <v>-</v>
          </cell>
          <cell r="H1288" t="str">
            <v>-</v>
          </cell>
          <cell r="I1288" t="str">
            <v>-</v>
          </cell>
          <cell r="J1288">
            <v>0</v>
          </cell>
          <cell r="K1288">
            <v>16</v>
          </cell>
          <cell r="L1288" t="str">
            <v>ENTREGA PARCIAL</v>
          </cell>
          <cell r="M1288" t="str">
            <v>-</v>
          </cell>
          <cell r="N1288" t="str">
            <v>OC'S METALFISA</v>
          </cell>
          <cell r="O1288" t="str">
            <v>-</v>
          </cell>
          <cell r="Q1288">
            <v>27</v>
          </cell>
          <cell r="S1288" t="str">
            <v>-</v>
          </cell>
          <cell r="U1288">
            <v>27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75</v>
          </cell>
          <cell r="AA1288">
            <v>75</v>
          </cell>
          <cell r="AB1288">
            <v>0</v>
          </cell>
          <cell r="AC1288">
            <v>64</v>
          </cell>
          <cell r="AD1288">
            <v>-11</v>
          </cell>
        </row>
        <row r="1289">
          <cell r="A1289" t="str">
            <v>33.23.10149.01</v>
          </cell>
          <cell r="B1289" t="str">
            <v>CAIXA DE MONTAGEM DA CHAVE LIGA/DESLIGA / 33.23.10149.01</v>
          </cell>
          <cell r="D1289" t="str">
            <v>-</v>
          </cell>
          <cell r="E1289" t="str">
            <v>-</v>
          </cell>
          <cell r="F1289" t="str">
            <v>-</v>
          </cell>
          <cell r="G1289" t="str">
            <v>-</v>
          </cell>
          <cell r="H1289" t="str">
            <v>-</v>
          </cell>
          <cell r="I1289">
            <v>9</v>
          </cell>
          <cell r="J1289">
            <v>9</v>
          </cell>
          <cell r="K1289">
            <v>20</v>
          </cell>
          <cell r="L1289" t="str">
            <v>FALTA ENTREGA</v>
          </cell>
          <cell r="M1289" t="str">
            <v>-</v>
          </cell>
          <cell r="N1289" t="str">
            <v>OC'S METALFISA</v>
          </cell>
          <cell r="O1289" t="str">
            <v>-</v>
          </cell>
          <cell r="Q1289" t="str">
            <v>-</v>
          </cell>
          <cell r="S1289">
            <v>50</v>
          </cell>
          <cell r="T1289" t="str">
            <v>OC'S MAPHE</v>
          </cell>
          <cell r="U1289">
            <v>50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39</v>
          </cell>
          <cell r="AA1289">
            <v>39</v>
          </cell>
          <cell r="AB1289">
            <v>9</v>
          </cell>
          <cell r="AC1289">
            <v>0</v>
          </cell>
          <cell r="AD1289">
            <v>-39</v>
          </cell>
        </row>
        <row r="1290">
          <cell r="A1290" t="str">
            <v>33.23.10155.02</v>
          </cell>
          <cell r="B1290" t="str">
            <v>ACABAMENTO FRONTAL INFERIOR COM ACESSO QUADRO DE ALIMENTACAO / 33.23.10155.02</v>
          </cell>
          <cell r="D1290" t="str">
            <v>-</v>
          </cell>
          <cell r="E1290" t="str">
            <v>-</v>
          </cell>
          <cell r="F1290" t="str">
            <v>-</v>
          </cell>
          <cell r="G1290" t="str">
            <v>-</v>
          </cell>
          <cell r="H1290" t="str">
            <v>-</v>
          </cell>
          <cell r="I1290" t="str">
            <v>-</v>
          </cell>
          <cell r="J1290">
            <v>0</v>
          </cell>
          <cell r="K1290" t="e">
            <v>#VALUE!</v>
          </cell>
          <cell r="L1290" t="str">
            <v>ENTREGA TOTAL</v>
          </cell>
          <cell r="M1290" t="str">
            <v>-</v>
          </cell>
          <cell r="N1290" t="str">
            <v>OC'S METALFISA</v>
          </cell>
          <cell r="O1290" t="str">
            <v>-</v>
          </cell>
          <cell r="Q1290" t="str">
            <v>-</v>
          </cell>
          <cell r="S1290">
            <v>14</v>
          </cell>
          <cell r="T1290" t="str">
            <v>OC'S MAPHE</v>
          </cell>
          <cell r="U1290">
            <v>14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26</v>
          </cell>
          <cell r="AA1290">
            <v>26</v>
          </cell>
          <cell r="AB1290" t="str">
            <v>0</v>
          </cell>
          <cell r="AC1290" t="str">
            <v>-</v>
          </cell>
          <cell r="AD1290" t="str">
            <v>-</v>
          </cell>
        </row>
        <row r="1291">
          <cell r="A1291" t="str">
            <v>33.23.10158.02</v>
          </cell>
          <cell r="B1291" t="str">
            <v>CHAPA DO QUADRO ALIMENT. DISJUNTORES / 33.23.10158.02</v>
          </cell>
          <cell r="D1291" t="str">
            <v>-</v>
          </cell>
          <cell r="E1291" t="str">
            <v>-</v>
          </cell>
          <cell r="F1291" t="str">
            <v>-</v>
          </cell>
          <cell r="G1291" t="str">
            <v>-</v>
          </cell>
          <cell r="H1291" t="str">
            <v>-</v>
          </cell>
          <cell r="I1291" t="str">
            <v>-</v>
          </cell>
          <cell r="J1291">
            <v>0</v>
          </cell>
          <cell r="K1291">
            <v>-8</v>
          </cell>
          <cell r="L1291" t="str">
            <v>FALTA ENTREGA</v>
          </cell>
          <cell r="M1291" t="str">
            <v>-</v>
          </cell>
          <cell r="N1291" t="str">
            <v>OC'S METALFISA</v>
          </cell>
          <cell r="O1291" t="str">
            <v>-</v>
          </cell>
          <cell r="Q1291">
            <v>30</v>
          </cell>
          <cell r="S1291" t="str">
            <v>-</v>
          </cell>
          <cell r="U1291">
            <v>30</v>
          </cell>
          <cell r="V1291">
            <v>3</v>
          </cell>
          <cell r="W1291">
            <v>2</v>
          </cell>
          <cell r="X1291">
            <v>2</v>
          </cell>
          <cell r="Y1291">
            <v>0</v>
          </cell>
          <cell r="Z1291">
            <v>31</v>
          </cell>
          <cell r="AA1291">
            <v>38</v>
          </cell>
          <cell r="AB1291">
            <v>0</v>
          </cell>
          <cell r="AC1291">
            <v>0</v>
          </cell>
          <cell r="AD1291">
            <v>-38</v>
          </cell>
        </row>
        <row r="1292">
          <cell r="A1292" t="str">
            <v>33.23.10161.02</v>
          </cell>
          <cell r="B1292" t="str">
            <v>CHAPA SUPORTE DO SENSOR / 33.23.10161.02</v>
          </cell>
          <cell r="C1292">
            <v>46076</v>
          </cell>
          <cell r="D1292" t="str">
            <v>-</v>
          </cell>
          <cell r="E1292" t="str">
            <v>-</v>
          </cell>
          <cell r="F1292" t="str">
            <v>-</v>
          </cell>
          <cell r="G1292" t="str">
            <v>-</v>
          </cell>
          <cell r="H1292" t="str">
            <v>-</v>
          </cell>
          <cell r="I1292" t="str">
            <v>-</v>
          </cell>
          <cell r="J1292">
            <v>0</v>
          </cell>
          <cell r="K1292">
            <v>197</v>
          </cell>
          <cell r="L1292" t="str">
            <v>ENTREGA PARCIAL</v>
          </cell>
          <cell r="M1292" t="str">
            <v>-</v>
          </cell>
          <cell r="N1292" t="str">
            <v>OC'S METALFISA</v>
          </cell>
          <cell r="O1292" t="str">
            <v>-</v>
          </cell>
          <cell r="Q1292" t="str">
            <v>-</v>
          </cell>
          <cell r="S1292">
            <v>200</v>
          </cell>
          <cell r="T1292" t="str">
            <v>OC'S MAPHE</v>
          </cell>
          <cell r="U1292">
            <v>200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123</v>
          </cell>
          <cell r="AA1292">
            <v>123</v>
          </cell>
          <cell r="AB1292">
            <v>0</v>
          </cell>
          <cell r="AC1292">
            <v>120</v>
          </cell>
          <cell r="AD1292">
            <v>-3</v>
          </cell>
        </row>
        <row r="1293">
          <cell r="A1293" t="str">
            <v>33.23.10162.02</v>
          </cell>
          <cell r="B1293" t="str">
            <v>BASE FIXACAO DA REGUA DE POLICARBONATO / 33.23.10162.02</v>
          </cell>
          <cell r="C1293">
            <v>46059</v>
          </cell>
          <cell r="D1293" t="str">
            <v>-</v>
          </cell>
          <cell r="E1293" t="str">
            <v>-</v>
          </cell>
          <cell r="F1293" t="str">
            <v>-</v>
          </cell>
          <cell r="G1293" t="str">
            <v>-</v>
          </cell>
          <cell r="H1293" t="str">
            <v>-</v>
          </cell>
          <cell r="I1293" t="str">
            <v>-</v>
          </cell>
          <cell r="J1293">
            <v>0</v>
          </cell>
          <cell r="K1293" t="e">
            <v>#VALUE!</v>
          </cell>
          <cell r="L1293" t="str">
            <v>ENTREGA TOTAL</v>
          </cell>
          <cell r="M1293" t="str">
            <v>-</v>
          </cell>
          <cell r="N1293" t="str">
            <v>OC'S METALFISA</v>
          </cell>
          <cell r="O1293" t="str">
            <v>-</v>
          </cell>
          <cell r="Q1293" t="str">
            <v>-</v>
          </cell>
          <cell r="S1293" t="str">
            <v>-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24</v>
          </cell>
          <cell r="AA1293">
            <v>24</v>
          </cell>
          <cell r="AB1293" t="str">
            <v>0</v>
          </cell>
          <cell r="AC1293" t="str">
            <v>-</v>
          </cell>
          <cell r="AD1293" t="str">
            <v>-</v>
          </cell>
        </row>
        <row r="1294">
          <cell r="A1294" t="str">
            <v>33.23.10180.04</v>
          </cell>
          <cell r="B1294" t="str">
            <v>ESTRUTURA SOLDADA DA 6040 COMPACT / 33.23.10180.04</v>
          </cell>
          <cell r="C1294">
            <v>46062</v>
          </cell>
          <cell r="D1294" t="str">
            <v>-</v>
          </cell>
          <cell r="E1294" t="str">
            <v>-</v>
          </cell>
          <cell r="F1294" t="str">
            <v>-</v>
          </cell>
          <cell r="G1294" t="str">
            <v>-</v>
          </cell>
          <cell r="H1294" t="str">
            <v>-</v>
          </cell>
          <cell r="I1294" t="str">
            <v>-</v>
          </cell>
          <cell r="J1294">
            <v>0</v>
          </cell>
          <cell r="K1294" t="e">
            <v>#VALUE!</v>
          </cell>
          <cell r="L1294" t="str">
            <v>ENTREGA TOTAL</v>
          </cell>
          <cell r="M1294" t="str">
            <v>-</v>
          </cell>
          <cell r="N1294" t="str">
            <v>OC'S METALFISA</v>
          </cell>
          <cell r="O1294" t="str">
            <v>-</v>
          </cell>
          <cell r="Q1294">
            <v>30</v>
          </cell>
          <cell r="S1294" t="str">
            <v>-</v>
          </cell>
          <cell r="U1294">
            <v>30</v>
          </cell>
          <cell r="V1294">
            <v>0</v>
          </cell>
          <cell r="W1294">
            <v>2</v>
          </cell>
          <cell r="X1294">
            <v>0</v>
          </cell>
          <cell r="Y1294">
            <v>0</v>
          </cell>
          <cell r="Z1294">
            <v>28</v>
          </cell>
          <cell r="AA1294">
            <v>30</v>
          </cell>
          <cell r="AB1294" t="str">
            <v>0</v>
          </cell>
          <cell r="AC1294" t="str">
            <v>-</v>
          </cell>
          <cell r="AD1294" t="str">
            <v>-</v>
          </cell>
        </row>
        <row r="1295">
          <cell r="A1295" t="str">
            <v>33.23.10182.01</v>
          </cell>
          <cell r="B1295" t="str">
            <v>TAMPA DA GAIOLA DA REGUA DE COLIMACAO / 33.23.10182.01</v>
          </cell>
          <cell r="C1295">
            <v>46066</v>
          </cell>
          <cell r="D1295" t="str">
            <v>-</v>
          </cell>
          <cell r="E1295" t="str">
            <v>-</v>
          </cell>
          <cell r="F1295" t="str">
            <v>-</v>
          </cell>
          <cell r="G1295" t="str">
            <v>-</v>
          </cell>
          <cell r="H1295" t="str">
            <v>-</v>
          </cell>
          <cell r="I1295" t="str">
            <v>-</v>
          </cell>
          <cell r="J1295">
            <v>0</v>
          </cell>
          <cell r="K1295">
            <v>33</v>
          </cell>
          <cell r="L1295" t="str">
            <v>ENTREGA TOTAL</v>
          </cell>
          <cell r="M1295" t="str">
            <v>-</v>
          </cell>
          <cell r="N1295" t="str">
            <v>OC'S METALFISA</v>
          </cell>
          <cell r="O1295" t="str">
            <v>-</v>
          </cell>
          <cell r="Q1295">
            <v>30</v>
          </cell>
          <cell r="S1295" t="str">
            <v>-</v>
          </cell>
          <cell r="U1295">
            <v>30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27</v>
          </cell>
          <cell r="AA1295">
            <v>27</v>
          </cell>
          <cell r="AB1295">
            <v>0</v>
          </cell>
          <cell r="AC1295">
            <v>30</v>
          </cell>
          <cell r="AD1295">
            <v>3</v>
          </cell>
        </row>
        <row r="1296">
          <cell r="A1296" t="str">
            <v>33.23.10185.03</v>
          </cell>
          <cell r="B1296" t="str">
            <v>TRAVA DO PINO DE REGULAGEM DO COLIMADOR / 33.23.10185.03</v>
          </cell>
          <cell r="D1296" t="str">
            <v>-</v>
          </cell>
          <cell r="E1296" t="str">
            <v>-</v>
          </cell>
          <cell r="F1296" t="str">
            <v>-</v>
          </cell>
          <cell r="G1296" t="str">
            <v>-</v>
          </cell>
          <cell r="H1296" t="str">
            <v>-</v>
          </cell>
          <cell r="I1296" t="str">
            <v>-</v>
          </cell>
          <cell r="J1296">
            <v>0</v>
          </cell>
          <cell r="K1296">
            <v>-10</v>
          </cell>
          <cell r="L1296" t="str">
            <v>FALTA ENTREGA</v>
          </cell>
          <cell r="M1296" t="str">
            <v>-</v>
          </cell>
          <cell r="N1296" t="str">
            <v>OC'S METALFISA</v>
          </cell>
          <cell r="O1296" t="str">
            <v>-</v>
          </cell>
          <cell r="Q1296" t="str">
            <v>-</v>
          </cell>
          <cell r="S1296" t="str">
            <v>-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10</v>
          </cell>
          <cell r="AA1296">
            <v>10</v>
          </cell>
          <cell r="AB1296">
            <v>0</v>
          </cell>
          <cell r="AC1296">
            <v>0</v>
          </cell>
          <cell r="AD1296">
            <v>-10</v>
          </cell>
        </row>
        <row r="1297">
          <cell r="A1297" t="str">
            <v>33.23.10186.02</v>
          </cell>
          <cell r="B1297" t="str">
            <v>REGUA DE MONTAGE DA CORTINA / 33.23.10186.02</v>
          </cell>
          <cell r="C1297">
            <v>46074</v>
          </cell>
          <cell r="D1297" t="str">
            <v>-</v>
          </cell>
          <cell r="E1297" t="str">
            <v>-</v>
          </cell>
          <cell r="F1297" t="str">
            <v>-</v>
          </cell>
          <cell r="G1297" t="str">
            <v>-</v>
          </cell>
          <cell r="H1297" t="str">
            <v>-</v>
          </cell>
          <cell r="I1297" t="str">
            <v>-</v>
          </cell>
          <cell r="J1297">
            <v>0</v>
          </cell>
          <cell r="K1297">
            <v>40</v>
          </cell>
          <cell r="L1297" t="str">
            <v>ENTREGA PARCIAL</v>
          </cell>
          <cell r="M1297" t="str">
            <v>-</v>
          </cell>
          <cell r="N1297" t="str">
            <v>OC'S METALFISA</v>
          </cell>
          <cell r="O1297" t="str">
            <v>-</v>
          </cell>
          <cell r="Q1297">
            <v>60</v>
          </cell>
          <cell r="S1297" t="str">
            <v>-</v>
          </cell>
          <cell r="U1297">
            <v>60</v>
          </cell>
          <cell r="V1297">
            <v>0</v>
          </cell>
          <cell r="W1297">
            <v>0</v>
          </cell>
          <cell r="X1297">
            <v>2</v>
          </cell>
          <cell r="Y1297">
            <v>0</v>
          </cell>
          <cell r="Z1297">
            <v>78</v>
          </cell>
          <cell r="AA1297">
            <v>80</v>
          </cell>
          <cell r="AB1297">
            <v>0</v>
          </cell>
          <cell r="AC1297">
            <v>60</v>
          </cell>
          <cell r="AD1297">
            <v>-20</v>
          </cell>
        </row>
        <row r="1298">
          <cell r="A1298" t="str">
            <v>33.23.10201.03</v>
          </cell>
          <cell r="B1298" t="str">
            <v>SUP. MOVEL DE FIXACAO DO ROLETE / 33.23.10201.03</v>
          </cell>
          <cell r="C1298">
            <v>46066</v>
          </cell>
          <cell r="D1298" t="str">
            <v>-</v>
          </cell>
          <cell r="E1298" t="str">
            <v>-</v>
          </cell>
          <cell r="F1298" t="str">
            <v>-</v>
          </cell>
          <cell r="G1298" t="str">
            <v>-</v>
          </cell>
          <cell r="H1298" t="str">
            <v>-</v>
          </cell>
          <cell r="I1298" t="str">
            <v>-</v>
          </cell>
          <cell r="J1298">
            <v>0</v>
          </cell>
          <cell r="K1298">
            <v>118</v>
          </cell>
          <cell r="L1298" t="str">
            <v>ENTREGA TOTAL</v>
          </cell>
          <cell r="M1298" t="str">
            <v>-</v>
          </cell>
          <cell r="N1298" t="str">
            <v>OC'S METALFISA</v>
          </cell>
          <cell r="O1298" t="str">
            <v>-</v>
          </cell>
          <cell r="Q1298">
            <v>108</v>
          </cell>
          <cell r="S1298" t="str">
            <v>-</v>
          </cell>
          <cell r="U1298">
            <v>108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48</v>
          </cell>
          <cell r="AA1298">
            <v>48</v>
          </cell>
          <cell r="AB1298">
            <v>0</v>
          </cell>
          <cell r="AC1298">
            <v>58</v>
          </cell>
          <cell r="AD1298">
            <v>10</v>
          </cell>
        </row>
        <row r="1299">
          <cell r="A1299" t="str">
            <v>33.23.10202.03</v>
          </cell>
          <cell r="B1299" t="str">
            <v>SUP. FIXO DO ROLETE ALINHADOR / 33.23.10202.03</v>
          </cell>
          <cell r="D1299" t="str">
            <v>-</v>
          </cell>
          <cell r="E1299" t="str">
            <v>-</v>
          </cell>
          <cell r="F1299" t="str">
            <v>-</v>
          </cell>
          <cell r="G1299" t="str">
            <v>-</v>
          </cell>
          <cell r="H1299" t="str">
            <v>-</v>
          </cell>
          <cell r="I1299" t="str">
            <v>-</v>
          </cell>
          <cell r="J1299">
            <v>0</v>
          </cell>
          <cell r="K1299">
            <v>-2</v>
          </cell>
          <cell r="L1299" t="str">
            <v>FALTA ENTREGA</v>
          </cell>
          <cell r="M1299" t="str">
            <v>-</v>
          </cell>
          <cell r="N1299" t="str">
            <v>OC'S METALFISA</v>
          </cell>
          <cell r="O1299" t="str">
            <v>-</v>
          </cell>
          <cell r="Q1299">
            <v>101</v>
          </cell>
          <cell r="S1299" t="str">
            <v>-</v>
          </cell>
          <cell r="U1299">
            <v>101</v>
          </cell>
          <cell r="V1299">
            <v>0</v>
          </cell>
          <cell r="W1299">
            <v>5</v>
          </cell>
          <cell r="X1299">
            <v>20</v>
          </cell>
          <cell r="Y1299">
            <v>0</v>
          </cell>
          <cell r="Z1299">
            <v>78</v>
          </cell>
          <cell r="AA1299">
            <v>103</v>
          </cell>
          <cell r="AB1299">
            <v>17</v>
          </cell>
          <cell r="AC1299">
            <v>0</v>
          </cell>
          <cell r="AD1299">
            <v>-103</v>
          </cell>
        </row>
        <row r="1300">
          <cell r="A1300" t="str">
            <v>33.23.10217.00</v>
          </cell>
          <cell r="B1300" t="str">
            <v>APOIO DAS TAMPAS DE ACABAMENTO / 33.23.10217.00</v>
          </cell>
          <cell r="C1300">
            <v>46066</v>
          </cell>
          <cell r="D1300" t="str">
            <v>-</v>
          </cell>
          <cell r="E1300" t="str">
            <v>-</v>
          </cell>
          <cell r="F1300" t="str">
            <v>-</v>
          </cell>
          <cell r="G1300" t="str">
            <v>-</v>
          </cell>
          <cell r="H1300" t="str">
            <v>-</v>
          </cell>
          <cell r="I1300" t="str">
            <v>-</v>
          </cell>
          <cell r="J1300">
            <v>0</v>
          </cell>
          <cell r="K1300">
            <v>-79</v>
          </cell>
          <cell r="L1300" t="str">
            <v>ENTREGA PARCIAL</v>
          </cell>
          <cell r="M1300" t="str">
            <v>-</v>
          </cell>
          <cell r="N1300" t="str">
            <v>OC'S METALFISA</v>
          </cell>
          <cell r="O1300" t="str">
            <v>-</v>
          </cell>
          <cell r="Q1300">
            <v>120</v>
          </cell>
          <cell r="S1300" t="str">
            <v>-</v>
          </cell>
          <cell r="U1300">
            <v>120</v>
          </cell>
          <cell r="V1300">
            <v>105</v>
          </cell>
          <cell r="W1300">
            <v>16</v>
          </cell>
          <cell r="X1300">
            <v>40</v>
          </cell>
          <cell r="Y1300">
            <v>0</v>
          </cell>
          <cell r="Z1300">
            <v>156</v>
          </cell>
          <cell r="AA1300">
            <v>317</v>
          </cell>
          <cell r="AB1300">
            <v>27</v>
          </cell>
          <cell r="AC1300">
            <v>118</v>
          </cell>
          <cell r="AD1300">
            <v>-199</v>
          </cell>
        </row>
        <row r="1301">
          <cell r="A1301" t="str">
            <v>33.23.10219.03</v>
          </cell>
          <cell r="B1301" t="str">
            <v>JANELA LAT. ESQ. PROTECAO EXTERNA TRANSPARENTE / 33.23.10219.03</v>
          </cell>
          <cell r="D1301" t="str">
            <v>-</v>
          </cell>
          <cell r="E1301" t="str">
            <v>-</v>
          </cell>
          <cell r="F1301" t="str">
            <v>-</v>
          </cell>
          <cell r="G1301" t="str">
            <v>-</v>
          </cell>
          <cell r="H1301" t="str">
            <v>-</v>
          </cell>
          <cell r="I1301" t="str">
            <v>-</v>
          </cell>
          <cell r="J1301">
            <v>0</v>
          </cell>
          <cell r="K1301">
            <v>-4</v>
          </cell>
          <cell r="L1301" t="str">
            <v>FALTA ENTREGA</v>
          </cell>
          <cell r="M1301" t="str">
            <v>-</v>
          </cell>
          <cell r="N1301" t="str">
            <v>OC'S METALFISA</v>
          </cell>
          <cell r="O1301" t="str">
            <v>-</v>
          </cell>
          <cell r="Q1301" t="str">
            <v>-</v>
          </cell>
          <cell r="S1301" t="str">
            <v>-</v>
          </cell>
          <cell r="U1301">
            <v>0</v>
          </cell>
          <cell r="V1301">
            <v>0</v>
          </cell>
          <cell r="W1301">
            <v>4</v>
          </cell>
          <cell r="X1301">
            <v>0</v>
          </cell>
          <cell r="Y1301">
            <v>0</v>
          </cell>
          <cell r="Z1301">
            <v>0</v>
          </cell>
          <cell r="AA1301">
            <v>4</v>
          </cell>
          <cell r="AB1301">
            <v>4</v>
          </cell>
          <cell r="AC1301">
            <v>0</v>
          </cell>
          <cell r="AD1301">
            <v>-4</v>
          </cell>
        </row>
        <row r="1302">
          <cell r="A1302" t="str">
            <v>33.23.10220.03</v>
          </cell>
          <cell r="B1302" t="str">
            <v>JANELA LAT. DIR. PROTECAO EXTERNA TRANSPARENTE / 33.23.10220.03</v>
          </cell>
          <cell r="D1302" t="str">
            <v>-</v>
          </cell>
          <cell r="E1302" t="str">
            <v>-</v>
          </cell>
          <cell r="F1302" t="str">
            <v>-</v>
          </cell>
          <cell r="G1302" t="str">
            <v>-</v>
          </cell>
          <cell r="H1302" t="str">
            <v>-</v>
          </cell>
          <cell r="I1302" t="str">
            <v>-</v>
          </cell>
          <cell r="J1302">
            <v>0</v>
          </cell>
          <cell r="K1302">
            <v>-4</v>
          </cell>
          <cell r="L1302" t="str">
            <v>FALTA ENTREGA</v>
          </cell>
          <cell r="M1302" t="str">
            <v>-</v>
          </cell>
          <cell r="N1302" t="str">
            <v>OC'S METALFISA</v>
          </cell>
          <cell r="O1302" t="str">
            <v>-</v>
          </cell>
          <cell r="Q1302" t="str">
            <v>-</v>
          </cell>
          <cell r="S1302" t="str">
            <v>-</v>
          </cell>
          <cell r="U1302">
            <v>0</v>
          </cell>
          <cell r="V1302">
            <v>0</v>
          </cell>
          <cell r="W1302">
            <v>4</v>
          </cell>
          <cell r="X1302">
            <v>0</v>
          </cell>
          <cell r="Y1302">
            <v>0</v>
          </cell>
          <cell r="Z1302">
            <v>0</v>
          </cell>
          <cell r="AA1302">
            <v>4</v>
          </cell>
          <cell r="AB1302">
            <v>4</v>
          </cell>
          <cell r="AC1302">
            <v>0</v>
          </cell>
          <cell r="AD1302">
            <v>-4</v>
          </cell>
        </row>
        <row r="1303">
          <cell r="A1303" t="str">
            <v>33.23.10221.02</v>
          </cell>
          <cell r="B1303" t="str">
            <v>JANELA SUPERIOR PROTECAO EXTERNA TRANSPARENTE / 33.23.10221.02</v>
          </cell>
          <cell r="D1303" t="str">
            <v>-</v>
          </cell>
          <cell r="E1303" t="str">
            <v>-</v>
          </cell>
          <cell r="F1303" t="str">
            <v>-</v>
          </cell>
          <cell r="G1303" t="str">
            <v>-</v>
          </cell>
          <cell r="H1303" t="str">
            <v>-</v>
          </cell>
          <cell r="I1303" t="str">
            <v>-</v>
          </cell>
          <cell r="J1303">
            <v>0</v>
          </cell>
          <cell r="K1303">
            <v>-4</v>
          </cell>
          <cell r="L1303" t="str">
            <v>FALTA ENTREGA</v>
          </cell>
          <cell r="M1303" t="str">
            <v>-</v>
          </cell>
          <cell r="N1303" t="str">
            <v>OC'S METALFISA</v>
          </cell>
          <cell r="O1303" t="str">
            <v>-</v>
          </cell>
          <cell r="Q1303" t="str">
            <v>-</v>
          </cell>
          <cell r="S1303" t="str">
            <v>-</v>
          </cell>
          <cell r="U1303">
            <v>0</v>
          </cell>
          <cell r="V1303">
            <v>0</v>
          </cell>
          <cell r="W1303">
            <v>4</v>
          </cell>
          <cell r="X1303">
            <v>0</v>
          </cell>
          <cell r="Y1303">
            <v>0</v>
          </cell>
          <cell r="Z1303">
            <v>0</v>
          </cell>
          <cell r="AA1303">
            <v>4</v>
          </cell>
          <cell r="AB1303">
            <v>4</v>
          </cell>
          <cell r="AC1303">
            <v>0</v>
          </cell>
          <cell r="AD1303">
            <v>-4</v>
          </cell>
        </row>
        <row r="1304">
          <cell r="A1304" t="str">
            <v>33.23.10234.00</v>
          </cell>
          <cell r="B1304" t="str">
            <v>MONTAGEM DA GRADE DA SILICA / 33.23.10234.00</v>
          </cell>
          <cell r="C1304">
            <v>46074</v>
          </cell>
          <cell r="D1304" t="str">
            <v>-</v>
          </cell>
          <cell r="E1304" t="str">
            <v>-</v>
          </cell>
          <cell r="F1304" t="str">
            <v>-</v>
          </cell>
          <cell r="G1304" t="str">
            <v>-</v>
          </cell>
          <cell r="H1304" t="str">
            <v>-</v>
          </cell>
          <cell r="I1304" t="str">
            <v>-</v>
          </cell>
          <cell r="J1304">
            <v>0</v>
          </cell>
          <cell r="K1304">
            <v>53</v>
          </cell>
          <cell r="L1304" t="str">
            <v>ENTREGA TOTAL</v>
          </cell>
          <cell r="M1304" t="str">
            <v>-</v>
          </cell>
          <cell r="N1304" t="str">
            <v>OC'S METALFISA</v>
          </cell>
          <cell r="O1304" t="str">
            <v>-</v>
          </cell>
          <cell r="Q1304">
            <v>29</v>
          </cell>
          <cell r="S1304" t="str">
            <v>-</v>
          </cell>
          <cell r="U1304">
            <v>29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5</v>
          </cell>
          <cell r="AA1304">
            <v>5</v>
          </cell>
          <cell r="AB1304">
            <v>0</v>
          </cell>
          <cell r="AC1304">
            <v>29</v>
          </cell>
          <cell r="AD1304">
            <v>24</v>
          </cell>
        </row>
        <row r="1305">
          <cell r="A1305" t="str">
            <v>33.23.10238.00</v>
          </cell>
          <cell r="B1305" t="str">
            <v>TRAVA DO EIXO DE REGULAGEM CAIXA L / 33.23.10238.00</v>
          </cell>
          <cell r="D1305" t="str">
            <v>-</v>
          </cell>
          <cell r="E1305" t="str">
            <v>-</v>
          </cell>
          <cell r="F1305" t="str">
            <v>-</v>
          </cell>
          <cell r="G1305" t="str">
            <v>-</v>
          </cell>
          <cell r="H1305" t="str">
            <v>-</v>
          </cell>
          <cell r="I1305" t="str">
            <v>-</v>
          </cell>
          <cell r="J1305">
            <v>0</v>
          </cell>
          <cell r="K1305">
            <v>-3</v>
          </cell>
          <cell r="L1305" t="str">
            <v>FALTA ENTREGA</v>
          </cell>
          <cell r="M1305" t="str">
            <v>-</v>
          </cell>
          <cell r="N1305" t="str">
            <v>OC'S METALFISA</v>
          </cell>
          <cell r="O1305" t="str">
            <v>-</v>
          </cell>
          <cell r="Q1305">
            <v>106</v>
          </cell>
          <cell r="S1305" t="str">
            <v>-</v>
          </cell>
          <cell r="U1305">
            <v>106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109</v>
          </cell>
          <cell r="AA1305">
            <v>109</v>
          </cell>
          <cell r="AB1305">
            <v>0</v>
          </cell>
          <cell r="AC1305">
            <v>0</v>
          </cell>
          <cell r="AD1305">
            <v>-109</v>
          </cell>
        </row>
        <row r="1306">
          <cell r="A1306" t="str">
            <v>33.23.10239.01</v>
          </cell>
          <cell r="B1306" t="str">
            <v>SUPORTE MONTAGEM DE MICRO INTERRUPTOR / 33.23.10239.01</v>
          </cell>
          <cell r="D1306" t="str">
            <v>-</v>
          </cell>
          <cell r="E1306" t="str">
            <v>-</v>
          </cell>
          <cell r="F1306" t="str">
            <v>-</v>
          </cell>
          <cell r="G1306" t="str">
            <v>-</v>
          </cell>
          <cell r="H1306" t="str">
            <v>-</v>
          </cell>
          <cell r="I1306" t="str">
            <v>-</v>
          </cell>
          <cell r="J1306">
            <v>0</v>
          </cell>
          <cell r="K1306">
            <v>18</v>
          </cell>
          <cell r="L1306" t="str">
            <v>FALTA ENTREGA</v>
          </cell>
          <cell r="M1306" t="str">
            <v>-</v>
          </cell>
          <cell r="N1306" t="str">
            <v>OC'S METALFISA</v>
          </cell>
          <cell r="O1306" t="str">
            <v>-</v>
          </cell>
          <cell r="Q1306">
            <v>60</v>
          </cell>
          <cell r="S1306" t="str">
            <v>-</v>
          </cell>
          <cell r="U1306">
            <v>60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42</v>
          </cell>
          <cell r="AA1306">
            <v>42</v>
          </cell>
          <cell r="AB1306">
            <v>0</v>
          </cell>
          <cell r="AC1306">
            <v>0</v>
          </cell>
          <cell r="AD1306">
            <v>-42</v>
          </cell>
        </row>
        <row r="1307">
          <cell r="A1307" t="str">
            <v>33.23.10240.00</v>
          </cell>
          <cell r="B1307" t="str">
            <v>BLINDAGEM CONTRA RAIO-X DA ESTEIRA / 33.23.10240.00</v>
          </cell>
          <cell r="D1307" t="str">
            <v>-</v>
          </cell>
          <cell r="E1307" t="str">
            <v>-</v>
          </cell>
          <cell r="F1307" t="str">
            <v>-</v>
          </cell>
          <cell r="G1307" t="str">
            <v>-</v>
          </cell>
          <cell r="H1307" t="str">
            <v>-</v>
          </cell>
          <cell r="I1307" t="str">
            <v>-</v>
          </cell>
          <cell r="J1307">
            <v>0</v>
          </cell>
          <cell r="K1307">
            <v>31</v>
          </cell>
          <cell r="L1307" t="str">
            <v>ENTREGA TOTAL</v>
          </cell>
          <cell r="M1307" t="str">
            <v>-</v>
          </cell>
          <cell r="N1307" t="str">
            <v>OC'S METALFISA</v>
          </cell>
          <cell r="O1307" t="str">
            <v>-</v>
          </cell>
          <cell r="Q1307">
            <v>31</v>
          </cell>
          <cell r="S1307" t="str">
            <v>-</v>
          </cell>
          <cell r="U1307">
            <v>31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31</v>
          </cell>
          <cell r="AA1307">
            <v>31</v>
          </cell>
          <cell r="AB1307">
            <v>0</v>
          </cell>
          <cell r="AC1307">
            <v>31</v>
          </cell>
          <cell r="AD1307">
            <v>0</v>
          </cell>
        </row>
        <row r="1308">
          <cell r="A1308" t="str">
            <v>33.23.10241.00</v>
          </cell>
          <cell r="B1308" t="str">
            <v>BLINDAGEM ESQ. RAIO-X DA ESTEIRA / 33.23.10241.00</v>
          </cell>
          <cell r="D1308" t="str">
            <v>-</v>
          </cell>
          <cell r="E1308" t="str">
            <v>-</v>
          </cell>
          <cell r="F1308" t="str">
            <v>-</v>
          </cell>
          <cell r="G1308" t="str">
            <v>-</v>
          </cell>
          <cell r="H1308" t="str">
            <v>-</v>
          </cell>
          <cell r="I1308" t="str">
            <v>-</v>
          </cell>
          <cell r="J1308">
            <v>0</v>
          </cell>
          <cell r="K1308">
            <v>28</v>
          </cell>
          <cell r="L1308" t="str">
            <v>ENTREGA PARCIAL</v>
          </cell>
          <cell r="M1308" t="str">
            <v>-</v>
          </cell>
          <cell r="N1308" t="str">
            <v>OC'S METALFISA</v>
          </cell>
          <cell r="O1308" t="str">
            <v>-</v>
          </cell>
          <cell r="Q1308">
            <v>30</v>
          </cell>
          <cell r="S1308" t="str">
            <v>-</v>
          </cell>
          <cell r="U1308">
            <v>30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31</v>
          </cell>
          <cell r="AA1308">
            <v>31</v>
          </cell>
          <cell r="AB1308">
            <v>0</v>
          </cell>
          <cell r="AC1308">
            <v>29</v>
          </cell>
          <cell r="AD1308">
            <v>-2</v>
          </cell>
        </row>
        <row r="1309">
          <cell r="A1309" t="str">
            <v>33.23.10252.00</v>
          </cell>
          <cell r="B1309" t="str">
            <v>SUPORTE MONTAGEM DAS PLACAS ELETRICAS / 33.23.10252.00</v>
          </cell>
          <cell r="D1309" t="str">
            <v>-</v>
          </cell>
          <cell r="E1309" t="str">
            <v>-</v>
          </cell>
          <cell r="F1309" t="str">
            <v>-</v>
          </cell>
          <cell r="G1309" t="str">
            <v>-</v>
          </cell>
          <cell r="H1309" t="str">
            <v>-</v>
          </cell>
          <cell r="I1309" t="str">
            <v>-</v>
          </cell>
          <cell r="J1309">
            <v>0</v>
          </cell>
          <cell r="K1309">
            <v>-8</v>
          </cell>
          <cell r="L1309" t="str">
            <v>FALTA ENTREGA</v>
          </cell>
          <cell r="M1309" t="str">
            <v>-</v>
          </cell>
          <cell r="N1309" t="str">
            <v>OC'S METALFISA</v>
          </cell>
          <cell r="O1309" t="str">
            <v>-</v>
          </cell>
          <cell r="Q1309" t="str">
            <v>-</v>
          </cell>
          <cell r="S1309" t="str">
            <v>-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8</v>
          </cell>
          <cell r="AA1309">
            <v>8</v>
          </cell>
          <cell r="AB1309">
            <v>0</v>
          </cell>
          <cell r="AC1309">
            <v>0</v>
          </cell>
          <cell r="AD1309">
            <v>-8</v>
          </cell>
        </row>
        <row r="1310">
          <cell r="A1310" t="str">
            <v>33.23.10256.00</v>
          </cell>
          <cell r="B1310" t="str">
            <v>EXTENSAO DO TUNEL SUPERIOR EXTERNA / 33.23.10256.00</v>
          </cell>
          <cell r="D1310">
            <v>2</v>
          </cell>
          <cell r="E1310" t="str">
            <v>-</v>
          </cell>
          <cell r="F1310" t="str">
            <v>-</v>
          </cell>
          <cell r="G1310" t="str">
            <v>-</v>
          </cell>
          <cell r="H1310" t="str">
            <v>-</v>
          </cell>
          <cell r="I1310">
            <v>1</v>
          </cell>
          <cell r="J1310">
            <v>1</v>
          </cell>
          <cell r="K1310">
            <v>6</v>
          </cell>
          <cell r="L1310" t="str">
            <v>ENTREGA PARCIAL</v>
          </cell>
          <cell r="M1310" t="str">
            <v>-</v>
          </cell>
          <cell r="N1310" t="str">
            <v>OC'S METALFISA</v>
          </cell>
          <cell r="O1310" t="str">
            <v>-</v>
          </cell>
          <cell r="Q1310" t="str">
            <v>-</v>
          </cell>
          <cell r="S1310">
            <v>59</v>
          </cell>
          <cell r="T1310" t="str">
            <v>OC'S MAPHE</v>
          </cell>
          <cell r="U1310">
            <v>59</v>
          </cell>
          <cell r="V1310">
            <v>59</v>
          </cell>
          <cell r="W1310">
            <v>0</v>
          </cell>
          <cell r="X1310">
            <v>0</v>
          </cell>
          <cell r="Y1310">
            <v>0</v>
          </cell>
          <cell r="Z1310">
            <v>2</v>
          </cell>
          <cell r="AA1310">
            <v>61</v>
          </cell>
          <cell r="AB1310">
            <v>82</v>
          </cell>
          <cell r="AC1310">
            <v>5</v>
          </cell>
          <cell r="AD1310">
            <v>-56</v>
          </cell>
        </row>
        <row r="1311">
          <cell r="A1311" t="str">
            <v>33.23.10256.01</v>
          </cell>
          <cell r="B1311" t="str">
            <v>EXTENSAO DO TUNEL SUPERIOR EXTERNA / 33.23.10256.01</v>
          </cell>
          <cell r="D1311" t="str">
            <v>-</v>
          </cell>
          <cell r="E1311" t="str">
            <v>-</v>
          </cell>
          <cell r="F1311" t="str">
            <v>-</v>
          </cell>
          <cell r="G1311" t="str">
            <v>-</v>
          </cell>
          <cell r="H1311" t="str">
            <v>-</v>
          </cell>
          <cell r="I1311" t="str">
            <v>-</v>
          </cell>
          <cell r="J1311">
            <v>0</v>
          </cell>
          <cell r="K1311" t="e">
            <v>#VALUE!</v>
          </cell>
          <cell r="L1311" t="str">
            <v>ENTREGA TOTAL</v>
          </cell>
          <cell r="M1311" t="str">
            <v>-</v>
          </cell>
          <cell r="N1311" t="str">
            <v>OC'S METALFISA</v>
          </cell>
          <cell r="O1311" t="str">
            <v>-</v>
          </cell>
          <cell r="Q1311" t="str">
            <v>-</v>
          </cell>
          <cell r="S1311">
            <v>60</v>
          </cell>
          <cell r="T1311" t="str">
            <v>OC'S MAPHE</v>
          </cell>
          <cell r="U1311">
            <v>60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59</v>
          </cell>
          <cell r="AA1311">
            <v>59</v>
          </cell>
          <cell r="AB1311" t="str">
            <v>0</v>
          </cell>
          <cell r="AC1311" t="str">
            <v>-</v>
          </cell>
          <cell r="AD1311" t="str">
            <v>-</v>
          </cell>
        </row>
        <row r="1312">
          <cell r="A1312" t="str">
            <v>33.23.10258.00</v>
          </cell>
          <cell r="B1312" t="str">
            <v>EXTENSAO DO TUNEL LAT. ESQ. EXTERNA / 33.23.10258.00</v>
          </cell>
          <cell r="D1312" t="str">
            <v>-</v>
          </cell>
          <cell r="E1312" t="str">
            <v>-</v>
          </cell>
          <cell r="F1312" t="str">
            <v>-</v>
          </cell>
          <cell r="G1312" t="str">
            <v>-</v>
          </cell>
          <cell r="H1312" t="str">
            <v>-</v>
          </cell>
          <cell r="I1312" t="str">
            <v>-</v>
          </cell>
          <cell r="J1312">
            <v>0</v>
          </cell>
          <cell r="K1312">
            <v>0</v>
          </cell>
          <cell r="L1312" t="str">
            <v>FALTA ENTREGA</v>
          </cell>
          <cell r="M1312" t="str">
            <v>-</v>
          </cell>
          <cell r="N1312" t="str">
            <v>OC'S METALFISA</v>
          </cell>
          <cell r="O1312" t="str">
            <v>-</v>
          </cell>
          <cell r="Q1312" t="str">
            <v>-</v>
          </cell>
          <cell r="S1312">
            <v>36</v>
          </cell>
          <cell r="T1312" t="str">
            <v>OC'S MAPHE</v>
          </cell>
          <cell r="U1312">
            <v>36</v>
          </cell>
          <cell r="V1312">
            <v>34</v>
          </cell>
          <cell r="W1312">
            <v>0</v>
          </cell>
          <cell r="X1312">
            <v>0</v>
          </cell>
          <cell r="Y1312">
            <v>0</v>
          </cell>
          <cell r="Z1312">
            <v>2</v>
          </cell>
          <cell r="AA1312">
            <v>36</v>
          </cell>
          <cell r="AB1312">
            <v>34</v>
          </cell>
          <cell r="AC1312">
            <v>0</v>
          </cell>
          <cell r="AD1312">
            <v>-36</v>
          </cell>
        </row>
        <row r="1313">
          <cell r="A1313" t="str">
            <v>33.23.10259.01</v>
          </cell>
          <cell r="B1313" t="str">
            <v>EXTENSAO DO TUNEL LAT. DIR. EXTERNA / 33.23.10259.01</v>
          </cell>
          <cell r="D1313" t="str">
            <v>-</v>
          </cell>
          <cell r="E1313" t="str">
            <v>-</v>
          </cell>
          <cell r="F1313" t="str">
            <v>-</v>
          </cell>
          <cell r="G1313" t="str">
            <v>-</v>
          </cell>
          <cell r="H1313" t="str">
            <v>-</v>
          </cell>
          <cell r="I1313" t="str">
            <v>-</v>
          </cell>
          <cell r="J1313">
            <v>0</v>
          </cell>
          <cell r="K1313">
            <v>-48</v>
          </cell>
          <cell r="L1313" t="str">
            <v>FALTA ENTREGA</v>
          </cell>
          <cell r="M1313" t="str">
            <v>-</v>
          </cell>
          <cell r="N1313" t="str">
            <v>OC'S METALFISA</v>
          </cell>
          <cell r="O1313" t="str">
            <v>-</v>
          </cell>
          <cell r="Q1313" t="str">
            <v>-</v>
          </cell>
          <cell r="S1313" t="str">
            <v>-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48</v>
          </cell>
          <cell r="AA1313">
            <v>48</v>
          </cell>
          <cell r="AB1313">
            <v>0</v>
          </cell>
          <cell r="AC1313">
            <v>0</v>
          </cell>
          <cell r="AD1313">
            <v>-48</v>
          </cell>
        </row>
        <row r="1314">
          <cell r="A1314" t="str">
            <v>33.23.10265.00</v>
          </cell>
          <cell r="B1314" t="str">
            <v>SUPORTE MONTAGEM DO COOLER DO GERADOR / 33.23.10265.00</v>
          </cell>
          <cell r="D1314" t="str">
            <v>-</v>
          </cell>
          <cell r="E1314" t="str">
            <v>-</v>
          </cell>
          <cell r="F1314" t="str">
            <v>-</v>
          </cell>
          <cell r="G1314" t="str">
            <v>-</v>
          </cell>
          <cell r="H1314" t="str">
            <v>-</v>
          </cell>
          <cell r="I1314" t="str">
            <v>-</v>
          </cell>
          <cell r="J1314">
            <v>0</v>
          </cell>
          <cell r="K1314">
            <v>-1</v>
          </cell>
          <cell r="L1314" t="str">
            <v>FALTA ENTREGA</v>
          </cell>
          <cell r="M1314" t="str">
            <v>-</v>
          </cell>
          <cell r="N1314" t="str">
            <v>OC'S METALFISA</v>
          </cell>
          <cell r="O1314" t="str">
            <v>-</v>
          </cell>
          <cell r="Q1314" t="str">
            <v>-</v>
          </cell>
          <cell r="S1314" t="str">
            <v>-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1</v>
          </cell>
          <cell r="AA1314">
            <v>1</v>
          </cell>
          <cell r="AB1314">
            <v>0</v>
          </cell>
          <cell r="AC1314">
            <v>0</v>
          </cell>
          <cell r="AD1314">
            <v>-1</v>
          </cell>
        </row>
        <row r="1315">
          <cell r="A1315" t="str">
            <v>33.23.10273.00</v>
          </cell>
          <cell r="B1315" t="str">
            <v>PESCOCO DO COLIMADOR GERADOR 180KV / 33.23.10273.00</v>
          </cell>
          <cell r="D1315" t="str">
            <v>-</v>
          </cell>
          <cell r="E1315" t="str">
            <v>-</v>
          </cell>
          <cell r="F1315" t="str">
            <v>-</v>
          </cell>
          <cell r="G1315" t="str">
            <v>-</v>
          </cell>
          <cell r="H1315" t="str">
            <v>-</v>
          </cell>
          <cell r="I1315" t="str">
            <v>-</v>
          </cell>
          <cell r="J1315">
            <v>0</v>
          </cell>
          <cell r="K1315">
            <v>-1</v>
          </cell>
          <cell r="L1315" t="str">
            <v>FALTA ENTREGA</v>
          </cell>
          <cell r="M1315" t="str">
            <v>-</v>
          </cell>
          <cell r="N1315" t="str">
            <v>OC'S METALFISA</v>
          </cell>
          <cell r="O1315" t="str">
            <v>-</v>
          </cell>
          <cell r="Q1315" t="str">
            <v>-</v>
          </cell>
          <cell r="S1315" t="str">
            <v>-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1</v>
          </cell>
          <cell r="AA1315">
            <v>1</v>
          </cell>
          <cell r="AB1315">
            <v>0</v>
          </cell>
          <cell r="AC1315">
            <v>0</v>
          </cell>
          <cell r="AD1315">
            <v>-1</v>
          </cell>
        </row>
        <row r="1316">
          <cell r="A1316" t="str">
            <v>33.23.10287.00</v>
          </cell>
          <cell r="B1316" t="str">
            <v>ESTRUTURA PROTECAO DE TUNEL 6040 C 1 MT / 33.23.10287.00</v>
          </cell>
          <cell r="D1316" t="str">
            <v>-</v>
          </cell>
          <cell r="E1316" t="str">
            <v>-</v>
          </cell>
          <cell r="F1316" t="str">
            <v>-</v>
          </cell>
          <cell r="G1316" t="str">
            <v>-</v>
          </cell>
          <cell r="H1316" t="str">
            <v>-</v>
          </cell>
          <cell r="I1316" t="str">
            <v>-</v>
          </cell>
          <cell r="J1316">
            <v>0</v>
          </cell>
          <cell r="K1316">
            <v>-2</v>
          </cell>
          <cell r="L1316" t="str">
            <v>FALTA ENTREGA</v>
          </cell>
          <cell r="M1316" t="str">
            <v>-</v>
          </cell>
          <cell r="N1316" t="str">
            <v>OC'S METALFISA</v>
          </cell>
          <cell r="O1316" t="str">
            <v>-</v>
          </cell>
          <cell r="Q1316" t="str">
            <v>-</v>
          </cell>
          <cell r="S1316" t="str">
            <v>-</v>
          </cell>
          <cell r="U1316">
            <v>0</v>
          </cell>
          <cell r="V1316">
            <v>0</v>
          </cell>
          <cell r="W1316">
            <v>2</v>
          </cell>
          <cell r="X1316">
            <v>0</v>
          </cell>
          <cell r="Y1316">
            <v>0</v>
          </cell>
          <cell r="Z1316">
            <v>0</v>
          </cell>
          <cell r="AA1316">
            <v>2</v>
          </cell>
          <cell r="AB1316">
            <v>2</v>
          </cell>
          <cell r="AC1316">
            <v>0</v>
          </cell>
          <cell r="AD1316">
            <v>-2</v>
          </cell>
        </row>
        <row r="1317">
          <cell r="A1317" t="str">
            <v>33.23.10288.00</v>
          </cell>
          <cell r="B1317" t="str">
            <v>SUPORTE NVR 6040 C / 33.23.10288.00</v>
          </cell>
          <cell r="D1317" t="str">
            <v>-</v>
          </cell>
          <cell r="E1317" t="str">
            <v>-</v>
          </cell>
          <cell r="F1317" t="str">
            <v>-</v>
          </cell>
          <cell r="G1317" t="str">
            <v>-</v>
          </cell>
          <cell r="H1317" t="str">
            <v>-</v>
          </cell>
          <cell r="I1317" t="str">
            <v>-</v>
          </cell>
          <cell r="J1317">
            <v>0</v>
          </cell>
          <cell r="K1317">
            <v>-2</v>
          </cell>
          <cell r="L1317" t="str">
            <v>FALTA ENTREGA</v>
          </cell>
          <cell r="M1317" t="str">
            <v>-</v>
          </cell>
          <cell r="N1317" t="str">
            <v>OC'S METALFISA</v>
          </cell>
          <cell r="O1317" t="str">
            <v>-</v>
          </cell>
          <cell r="Q1317" t="str">
            <v>-</v>
          </cell>
          <cell r="S1317" t="str">
            <v>-</v>
          </cell>
          <cell r="U1317">
            <v>0</v>
          </cell>
          <cell r="V1317">
            <v>0</v>
          </cell>
          <cell r="W1317">
            <v>2</v>
          </cell>
          <cell r="X1317">
            <v>0</v>
          </cell>
          <cell r="Y1317">
            <v>0</v>
          </cell>
          <cell r="Z1317">
            <v>0</v>
          </cell>
          <cell r="AA1317">
            <v>2</v>
          </cell>
          <cell r="AB1317">
            <v>2</v>
          </cell>
          <cell r="AC1317">
            <v>0</v>
          </cell>
          <cell r="AD1317">
            <v>-2</v>
          </cell>
        </row>
        <row r="1318">
          <cell r="A1318" t="str">
            <v>33.23.10290.00</v>
          </cell>
          <cell r="B1318" t="str">
            <v>SUP. CAMERA P / EXTENSAO DE TUNEL 6040 C / 33.23.10290.00</v>
          </cell>
          <cell r="C1318">
            <v>46059</v>
          </cell>
          <cell r="D1318" t="str">
            <v>-</v>
          </cell>
          <cell r="E1318" t="str">
            <v>-</v>
          </cell>
          <cell r="F1318" t="str">
            <v>-</v>
          </cell>
          <cell r="G1318" t="str">
            <v>-</v>
          </cell>
          <cell r="H1318" t="str">
            <v>-</v>
          </cell>
          <cell r="I1318" t="str">
            <v>-</v>
          </cell>
          <cell r="J1318">
            <v>0</v>
          </cell>
          <cell r="K1318">
            <v>12</v>
          </cell>
          <cell r="L1318" t="str">
            <v>ENTREGA TOTAL</v>
          </cell>
          <cell r="M1318" t="str">
            <v>-</v>
          </cell>
          <cell r="N1318" t="str">
            <v>OC'S METALFISA</v>
          </cell>
          <cell r="O1318" t="str">
            <v>-</v>
          </cell>
          <cell r="Q1318" t="str">
            <v>-</v>
          </cell>
          <cell r="S1318">
            <v>7</v>
          </cell>
          <cell r="T1318" t="str">
            <v>OC'S MAPHE</v>
          </cell>
          <cell r="U1318">
            <v>7</v>
          </cell>
          <cell r="V1318">
            <v>0</v>
          </cell>
          <cell r="W1318">
            <v>2</v>
          </cell>
          <cell r="X1318">
            <v>0</v>
          </cell>
          <cell r="Y1318">
            <v>0</v>
          </cell>
          <cell r="Z1318">
            <v>0</v>
          </cell>
          <cell r="AA1318">
            <v>2</v>
          </cell>
          <cell r="AB1318">
            <v>0</v>
          </cell>
          <cell r="AC1318">
            <v>7</v>
          </cell>
          <cell r="AD1318">
            <v>5</v>
          </cell>
        </row>
        <row r="1319">
          <cell r="A1319" t="str">
            <v>33.23.10303.02</v>
          </cell>
          <cell r="B1319" t="str">
            <v>CONJ. ACABAMENTO LATERAL ESQUERDO / 33.23.10303.02</v>
          </cell>
          <cell r="C1319">
            <v>46066</v>
          </cell>
          <cell r="D1319">
            <v>1</v>
          </cell>
          <cell r="E1319" t="str">
            <v>-</v>
          </cell>
          <cell r="F1319" t="str">
            <v>-</v>
          </cell>
          <cell r="G1319" t="str">
            <v>-</v>
          </cell>
          <cell r="H1319" t="str">
            <v>-</v>
          </cell>
          <cell r="I1319">
            <v>5</v>
          </cell>
          <cell r="J1319">
            <v>5</v>
          </cell>
          <cell r="K1319">
            <v>45</v>
          </cell>
          <cell r="L1319" t="str">
            <v>ENTREGA PARCIAL</v>
          </cell>
          <cell r="M1319" t="str">
            <v>-</v>
          </cell>
          <cell r="N1319" t="str">
            <v>OC'S METALFISA</v>
          </cell>
          <cell r="O1319" t="str">
            <v>-</v>
          </cell>
          <cell r="Q1319" t="str">
            <v>-</v>
          </cell>
          <cell r="S1319">
            <v>65</v>
          </cell>
          <cell r="T1319" t="str">
            <v>OC'S MAPHE</v>
          </cell>
          <cell r="U1319">
            <v>65</v>
          </cell>
          <cell r="V1319">
            <v>10</v>
          </cell>
          <cell r="W1319">
            <v>4</v>
          </cell>
          <cell r="X1319">
            <v>10</v>
          </cell>
          <cell r="Y1319">
            <v>0</v>
          </cell>
          <cell r="Z1319">
            <v>39</v>
          </cell>
          <cell r="AA1319">
            <v>63</v>
          </cell>
          <cell r="AB1319">
            <v>23</v>
          </cell>
          <cell r="AC1319">
            <v>37</v>
          </cell>
          <cell r="AD1319">
            <v>-26</v>
          </cell>
        </row>
        <row r="1320">
          <cell r="A1320" t="str">
            <v>33.23.10306.02</v>
          </cell>
          <cell r="B1320" t="str">
            <v>ACABAMENTO FRONT. POSTERIOR DIR. BILINGUE / 33.23.10306.02</v>
          </cell>
          <cell r="C1320">
            <v>46076</v>
          </cell>
          <cell r="D1320">
            <v>2</v>
          </cell>
          <cell r="E1320" t="str">
            <v>-</v>
          </cell>
          <cell r="F1320" t="str">
            <v>-</v>
          </cell>
          <cell r="G1320" t="str">
            <v>-</v>
          </cell>
          <cell r="H1320" t="str">
            <v>-</v>
          </cell>
          <cell r="I1320">
            <v>16</v>
          </cell>
          <cell r="J1320">
            <v>16</v>
          </cell>
          <cell r="K1320">
            <v>97</v>
          </cell>
          <cell r="L1320" t="str">
            <v>ENTREGA PARCIAL</v>
          </cell>
          <cell r="M1320" t="str">
            <v>-</v>
          </cell>
          <cell r="N1320" t="str">
            <v>OC'S METALFISA</v>
          </cell>
          <cell r="O1320" t="str">
            <v>-</v>
          </cell>
          <cell r="Q1320" t="str">
            <v>-</v>
          </cell>
          <cell r="S1320">
            <v>155</v>
          </cell>
          <cell r="T1320" t="str">
            <v>OC'S MAPHE</v>
          </cell>
          <cell r="U1320">
            <v>155</v>
          </cell>
          <cell r="V1320">
            <v>31</v>
          </cell>
          <cell r="W1320">
            <v>8</v>
          </cell>
          <cell r="X1320">
            <v>20</v>
          </cell>
          <cell r="Y1320">
            <v>0</v>
          </cell>
          <cell r="Z1320">
            <v>78</v>
          </cell>
          <cell r="AA1320">
            <v>137</v>
          </cell>
          <cell r="AB1320">
            <v>14</v>
          </cell>
          <cell r="AC1320">
            <v>61</v>
          </cell>
          <cell r="AD1320">
            <v>-76</v>
          </cell>
        </row>
        <row r="1321">
          <cell r="A1321" t="str">
            <v>33.23.10310.02</v>
          </cell>
          <cell r="B1321" t="str">
            <v>ACABAMENTO POSTERIOR ESQ. BILINGUE / 33.23.10310.02</v>
          </cell>
          <cell r="D1321">
            <v>9</v>
          </cell>
          <cell r="E1321" t="str">
            <v>-</v>
          </cell>
          <cell r="F1321" t="str">
            <v>-</v>
          </cell>
          <cell r="G1321" t="str">
            <v>-</v>
          </cell>
          <cell r="H1321" t="str">
            <v>-</v>
          </cell>
          <cell r="I1321">
            <v>3</v>
          </cell>
          <cell r="J1321">
            <v>3</v>
          </cell>
          <cell r="K1321">
            <v>72</v>
          </cell>
          <cell r="L1321" t="str">
            <v>ENTREGA PARCIAL</v>
          </cell>
          <cell r="M1321" t="str">
            <v>-</v>
          </cell>
          <cell r="N1321" t="str">
            <v>OC'S METALFISA</v>
          </cell>
          <cell r="O1321" t="str">
            <v>-</v>
          </cell>
          <cell r="Q1321" t="str">
            <v>-</v>
          </cell>
          <cell r="S1321">
            <v>75</v>
          </cell>
          <cell r="T1321" t="str">
            <v>OC'S MAPHE</v>
          </cell>
          <cell r="U1321">
            <v>75</v>
          </cell>
          <cell r="V1321">
            <v>0</v>
          </cell>
          <cell r="W1321">
            <v>0</v>
          </cell>
          <cell r="X1321">
            <v>6</v>
          </cell>
          <cell r="Y1321">
            <v>0</v>
          </cell>
          <cell r="Z1321">
            <v>39</v>
          </cell>
          <cell r="AA1321">
            <v>45</v>
          </cell>
          <cell r="AB1321">
            <v>0</v>
          </cell>
          <cell r="AC1321">
            <v>30</v>
          </cell>
          <cell r="AD1321">
            <v>-15</v>
          </cell>
        </row>
        <row r="1322">
          <cell r="A1322" t="str">
            <v>33.23.10313.02</v>
          </cell>
          <cell r="B1322" t="str">
            <v>ACABAMENTO FRONTAL ESQUERDO BILINGUE / 33.23.10313.02</v>
          </cell>
          <cell r="D1322">
            <v>7</v>
          </cell>
          <cell r="E1322" t="str">
            <v>-</v>
          </cell>
          <cell r="F1322" t="str">
            <v>-</v>
          </cell>
          <cell r="G1322" t="str">
            <v>-</v>
          </cell>
          <cell r="H1322" t="str">
            <v>-</v>
          </cell>
          <cell r="I1322">
            <v>8</v>
          </cell>
          <cell r="J1322">
            <v>8</v>
          </cell>
          <cell r="K1322">
            <v>49</v>
          </cell>
          <cell r="L1322" t="str">
            <v>ENTREGA PARCIAL</v>
          </cell>
          <cell r="M1322" t="str">
            <v>-</v>
          </cell>
          <cell r="N1322" t="str">
            <v>OC'S METALFISA</v>
          </cell>
          <cell r="O1322" t="str">
            <v>-</v>
          </cell>
          <cell r="Q1322" t="str">
            <v>-</v>
          </cell>
          <cell r="S1322">
            <v>59</v>
          </cell>
          <cell r="T1322" t="str">
            <v>OC'S MAPHE</v>
          </cell>
          <cell r="U1322">
            <v>59</v>
          </cell>
          <cell r="V1322">
            <v>13</v>
          </cell>
          <cell r="W1322">
            <v>4</v>
          </cell>
          <cell r="X1322">
            <v>10</v>
          </cell>
          <cell r="Y1322">
            <v>0</v>
          </cell>
          <cell r="Z1322">
            <v>39</v>
          </cell>
          <cell r="AA1322">
            <v>66</v>
          </cell>
          <cell r="AB1322">
            <v>0</v>
          </cell>
          <cell r="AC1322">
            <v>41</v>
          </cell>
          <cell r="AD1322">
            <v>-25</v>
          </cell>
        </row>
        <row r="1323">
          <cell r="A1323" t="str">
            <v>33.23.10316.03</v>
          </cell>
          <cell r="B1323" t="str">
            <v>ACABAMENTO FRONTAL SUPERIOR / 33.23.10316.03</v>
          </cell>
          <cell r="D1323">
            <v>2</v>
          </cell>
          <cell r="E1323" t="str">
            <v>-</v>
          </cell>
          <cell r="F1323" t="str">
            <v>-</v>
          </cell>
          <cell r="G1323" t="str">
            <v>-</v>
          </cell>
          <cell r="H1323" t="str">
            <v>-</v>
          </cell>
          <cell r="I1323">
            <v>4</v>
          </cell>
          <cell r="J1323">
            <v>4</v>
          </cell>
          <cell r="K1323">
            <v>118</v>
          </cell>
          <cell r="L1323" t="str">
            <v>ENTREGA TOTAL</v>
          </cell>
          <cell r="M1323" t="str">
            <v>-</v>
          </cell>
          <cell r="N1323" t="str">
            <v>OC'S METALFISA</v>
          </cell>
          <cell r="O1323" t="str">
            <v>-</v>
          </cell>
          <cell r="Q1323" t="str">
            <v>-</v>
          </cell>
          <cell r="S1323">
            <v>107</v>
          </cell>
          <cell r="T1323" t="str">
            <v>OC'S MAPHE</v>
          </cell>
          <cell r="U1323">
            <v>107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7</v>
          </cell>
          <cell r="AA1323">
            <v>7</v>
          </cell>
          <cell r="AB1323">
            <v>0</v>
          </cell>
          <cell r="AC1323">
            <v>12</v>
          </cell>
          <cell r="AD1323">
            <v>5</v>
          </cell>
        </row>
        <row r="1324">
          <cell r="A1324" t="str">
            <v>33.23.10317.01</v>
          </cell>
          <cell r="B1324" t="str">
            <v>CONJUNTO SOLDADO DA GAIOLA DAS DETECTORAS / 33.23.10317.01</v>
          </cell>
          <cell r="D1324" t="str">
            <v>-</v>
          </cell>
          <cell r="E1324" t="str">
            <v>-</v>
          </cell>
          <cell r="F1324" t="str">
            <v>-</v>
          </cell>
          <cell r="G1324" t="str">
            <v>-</v>
          </cell>
          <cell r="H1324" t="str">
            <v>-</v>
          </cell>
          <cell r="I1324" t="str">
            <v>-</v>
          </cell>
          <cell r="J1324">
            <v>0</v>
          </cell>
          <cell r="K1324">
            <v>10</v>
          </cell>
          <cell r="L1324" t="str">
            <v>FALTA ENTREGA</v>
          </cell>
          <cell r="M1324" t="str">
            <v>-</v>
          </cell>
          <cell r="N1324" t="str">
            <v>OC'S METALFISA</v>
          </cell>
          <cell r="O1324" t="str">
            <v>-</v>
          </cell>
          <cell r="Q1324">
            <v>34</v>
          </cell>
          <cell r="S1324" t="str">
            <v>-</v>
          </cell>
          <cell r="U1324">
            <v>34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24</v>
          </cell>
          <cell r="AA1324">
            <v>24</v>
          </cell>
          <cell r="AB1324">
            <v>0</v>
          </cell>
          <cell r="AC1324">
            <v>0</v>
          </cell>
          <cell r="AD1324">
            <v>-24</v>
          </cell>
        </row>
        <row r="1325">
          <cell r="A1325" t="str">
            <v>33.23.10325.00</v>
          </cell>
          <cell r="B1325" t="str">
            <v>SUPORTE FIXACAO DA TAMPA VERTICAL / 33.23.10325.00</v>
          </cell>
          <cell r="C1325">
            <v>46066</v>
          </cell>
          <cell r="D1325" t="str">
            <v>-</v>
          </cell>
          <cell r="E1325" t="str">
            <v>-</v>
          </cell>
          <cell r="F1325" t="str">
            <v>-</v>
          </cell>
          <cell r="G1325" t="str">
            <v>-</v>
          </cell>
          <cell r="H1325" t="str">
            <v>-</v>
          </cell>
          <cell r="I1325" t="str">
            <v>-</v>
          </cell>
          <cell r="J1325">
            <v>0</v>
          </cell>
          <cell r="K1325">
            <v>29</v>
          </cell>
          <cell r="L1325" t="str">
            <v>ENTREGA PARCIAL</v>
          </cell>
          <cell r="M1325" t="str">
            <v>-</v>
          </cell>
          <cell r="N1325" t="str">
            <v>OC'S METALFISA</v>
          </cell>
          <cell r="O1325" t="str">
            <v>-</v>
          </cell>
          <cell r="Q1325">
            <v>30</v>
          </cell>
          <cell r="S1325" t="str">
            <v>-</v>
          </cell>
          <cell r="U1325">
            <v>30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31</v>
          </cell>
          <cell r="AA1325">
            <v>31</v>
          </cell>
          <cell r="AB1325">
            <v>0</v>
          </cell>
          <cell r="AC1325">
            <v>30</v>
          </cell>
          <cell r="AD1325">
            <v>-1</v>
          </cell>
        </row>
        <row r="1326">
          <cell r="A1326" t="str">
            <v>33.23.10328.01</v>
          </cell>
          <cell r="B1326" t="str">
            <v>CONJUNTO SOLDADO DA CAIXA L / 33.23.10328.01</v>
          </cell>
          <cell r="D1326" t="str">
            <v>-</v>
          </cell>
          <cell r="E1326" t="str">
            <v>-</v>
          </cell>
          <cell r="F1326" t="str">
            <v>-</v>
          </cell>
          <cell r="G1326" t="str">
            <v>-</v>
          </cell>
          <cell r="H1326" t="str">
            <v>-</v>
          </cell>
          <cell r="I1326" t="str">
            <v>-</v>
          </cell>
          <cell r="J1326">
            <v>0</v>
          </cell>
          <cell r="K1326">
            <v>-1</v>
          </cell>
          <cell r="L1326" t="str">
            <v>FALTA ENTREGA</v>
          </cell>
          <cell r="M1326" t="str">
            <v>-</v>
          </cell>
          <cell r="N1326" t="str">
            <v>OC'S METALFISA</v>
          </cell>
          <cell r="O1326" t="str">
            <v>-</v>
          </cell>
          <cell r="Q1326">
            <v>29</v>
          </cell>
          <cell r="S1326" t="str">
            <v>-</v>
          </cell>
          <cell r="U1326">
            <v>29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30</v>
          </cell>
          <cell r="AA1326">
            <v>30</v>
          </cell>
          <cell r="AB1326">
            <v>0</v>
          </cell>
          <cell r="AC1326">
            <v>0</v>
          </cell>
          <cell r="AD1326">
            <v>-30</v>
          </cell>
        </row>
        <row r="1327">
          <cell r="A1327" t="str">
            <v>33.23.10334.00</v>
          </cell>
          <cell r="B1327" t="str">
            <v>SUPORTE REMOVIVEL DA PLACA DETECTORA / 33.23.10334.00</v>
          </cell>
          <cell r="D1327" t="str">
            <v>-</v>
          </cell>
          <cell r="E1327" t="str">
            <v>-</v>
          </cell>
          <cell r="F1327" t="str">
            <v>-</v>
          </cell>
          <cell r="G1327" t="str">
            <v>-</v>
          </cell>
          <cell r="H1327" t="str">
            <v>-</v>
          </cell>
          <cell r="I1327" t="str">
            <v>-</v>
          </cell>
          <cell r="J1327">
            <v>0</v>
          </cell>
          <cell r="K1327">
            <v>-19</v>
          </cell>
          <cell r="L1327" t="str">
            <v>FALTA ENTREGA</v>
          </cell>
          <cell r="M1327" t="str">
            <v>-</v>
          </cell>
          <cell r="N1327" t="str">
            <v>OC'S METALFISA</v>
          </cell>
          <cell r="O1327" t="str">
            <v>-</v>
          </cell>
          <cell r="Q1327">
            <v>48</v>
          </cell>
          <cell r="S1327" t="str">
            <v>-</v>
          </cell>
          <cell r="U1327">
            <v>48</v>
          </cell>
          <cell r="V1327">
            <v>9</v>
          </cell>
          <cell r="W1327">
            <v>0</v>
          </cell>
          <cell r="X1327">
            <v>0</v>
          </cell>
          <cell r="Y1327">
            <v>0</v>
          </cell>
          <cell r="Z1327">
            <v>58</v>
          </cell>
          <cell r="AA1327">
            <v>67</v>
          </cell>
          <cell r="AB1327">
            <v>0</v>
          </cell>
          <cell r="AC1327">
            <v>0</v>
          </cell>
          <cell r="AD1327">
            <v>-67</v>
          </cell>
        </row>
        <row r="1328">
          <cell r="A1328" t="str">
            <v>33.23.10334.01</v>
          </cell>
          <cell r="B1328" t="str">
            <v>SUPORTE REMOVIVEL DA PLACA DETECTORA / 33.23.10334.01</v>
          </cell>
          <cell r="D1328" t="str">
            <v>-</v>
          </cell>
          <cell r="E1328" t="str">
            <v>-</v>
          </cell>
          <cell r="F1328" t="str">
            <v>-</v>
          </cell>
          <cell r="G1328" t="str">
            <v>-</v>
          </cell>
          <cell r="H1328" t="str">
            <v>-</v>
          </cell>
          <cell r="I1328" t="str">
            <v>-</v>
          </cell>
          <cell r="J1328">
            <v>0</v>
          </cell>
          <cell r="K1328">
            <v>121</v>
          </cell>
          <cell r="L1328" t="str">
            <v>FALTA ENTREGA</v>
          </cell>
          <cell r="M1328" t="str">
            <v>-</v>
          </cell>
          <cell r="N1328" t="str">
            <v>OC'S METALFISA</v>
          </cell>
          <cell r="O1328" t="str">
            <v>-</v>
          </cell>
          <cell r="Q1328">
            <v>252</v>
          </cell>
          <cell r="S1328" t="str">
            <v>-</v>
          </cell>
          <cell r="U1328">
            <v>252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131</v>
          </cell>
          <cell r="AA1328">
            <v>131</v>
          </cell>
          <cell r="AB1328">
            <v>0</v>
          </cell>
          <cell r="AC1328">
            <v>0</v>
          </cell>
          <cell r="AD1328">
            <v>-131</v>
          </cell>
        </row>
        <row r="1329">
          <cell r="A1329" t="str">
            <v>33.23.10335.00</v>
          </cell>
          <cell r="B1329" t="str">
            <v>BASE DA CAIXA S-DAQ CAIXA L / 33.23.10335.00</v>
          </cell>
          <cell r="D1329" t="str">
            <v>-</v>
          </cell>
          <cell r="E1329" t="str">
            <v>-</v>
          </cell>
          <cell r="F1329" t="str">
            <v>-</v>
          </cell>
          <cell r="G1329" t="str">
            <v>-</v>
          </cell>
          <cell r="H1329" t="str">
            <v>-</v>
          </cell>
          <cell r="I1329" t="str">
            <v>-</v>
          </cell>
          <cell r="J1329">
            <v>0</v>
          </cell>
          <cell r="K1329">
            <v>-2</v>
          </cell>
          <cell r="L1329" t="str">
            <v>FALTA ENTREGA</v>
          </cell>
          <cell r="M1329" t="str">
            <v>-</v>
          </cell>
          <cell r="N1329" t="str">
            <v>OC'S METALFISA</v>
          </cell>
          <cell r="O1329" t="str">
            <v>-</v>
          </cell>
          <cell r="Q1329" t="str">
            <v>-</v>
          </cell>
          <cell r="S1329" t="str">
            <v>-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2</v>
          </cell>
          <cell r="AA1329">
            <v>2</v>
          </cell>
          <cell r="AB1329">
            <v>0</v>
          </cell>
          <cell r="AC1329">
            <v>0</v>
          </cell>
          <cell r="AD1329">
            <v>-2</v>
          </cell>
        </row>
        <row r="1330">
          <cell r="A1330" t="str">
            <v>33.23.10337.00</v>
          </cell>
          <cell r="B1330" t="str">
            <v>TAMPA DA CAIXA S-DAQ / 33.23.10337.00</v>
          </cell>
          <cell r="D1330" t="str">
            <v>-</v>
          </cell>
          <cell r="E1330" t="str">
            <v>-</v>
          </cell>
          <cell r="F1330" t="str">
            <v>-</v>
          </cell>
          <cell r="G1330" t="str">
            <v>-</v>
          </cell>
          <cell r="H1330" t="str">
            <v>-</v>
          </cell>
          <cell r="I1330" t="str">
            <v>-</v>
          </cell>
          <cell r="J1330">
            <v>0</v>
          </cell>
          <cell r="K1330">
            <v>1</v>
          </cell>
          <cell r="L1330" t="str">
            <v>FALTA ENTREGA</v>
          </cell>
          <cell r="M1330" t="str">
            <v>-</v>
          </cell>
          <cell r="N1330" t="str">
            <v>OC'S METALFISA</v>
          </cell>
          <cell r="O1330" t="str">
            <v>-</v>
          </cell>
          <cell r="Q1330">
            <v>30</v>
          </cell>
          <cell r="S1330" t="str">
            <v>-</v>
          </cell>
          <cell r="U1330">
            <v>30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29</v>
          </cell>
          <cell r="AA1330">
            <v>29</v>
          </cell>
          <cell r="AB1330">
            <v>0</v>
          </cell>
          <cell r="AC1330">
            <v>0</v>
          </cell>
          <cell r="AD1330">
            <v>-29</v>
          </cell>
        </row>
        <row r="1331">
          <cell r="A1331" t="str">
            <v>33.23.10345.01</v>
          </cell>
          <cell r="B1331" t="str">
            <v>TUNEL / 33.23.10345.01</v>
          </cell>
          <cell r="D1331" t="str">
            <v>-</v>
          </cell>
          <cell r="E1331" t="str">
            <v>-</v>
          </cell>
          <cell r="F1331" t="str">
            <v>-</v>
          </cell>
          <cell r="G1331" t="str">
            <v>-</v>
          </cell>
          <cell r="H1331" t="str">
            <v>-</v>
          </cell>
          <cell r="I1331" t="str">
            <v>-</v>
          </cell>
          <cell r="J1331">
            <v>0</v>
          </cell>
          <cell r="K1331">
            <v>-3</v>
          </cell>
          <cell r="L1331" t="str">
            <v>FALTA ENTREGA</v>
          </cell>
          <cell r="M1331" t="str">
            <v>-</v>
          </cell>
          <cell r="N1331" t="str">
            <v>OC'S METALFISA</v>
          </cell>
          <cell r="O1331" t="str">
            <v>-</v>
          </cell>
          <cell r="Q1331">
            <v>1</v>
          </cell>
          <cell r="S1331" t="str">
            <v>-</v>
          </cell>
          <cell r="U1331">
            <v>1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4</v>
          </cell>
          <cell r="AA1331">
            <v>4</v>
          </cell>
          <cell r="AB1331">
            <v>0</v>
          </cell>
          <cell r="AC1331">
            <v>0</v>
          </cell>
          <cell r="AD1331">
            <v>-4</v>
          </cell>
        </row>
        <row r="1332">
          <cell r="A1332" t="str">
            <v>33.23.10360.00</v>
          </cell>
          <cell r="B1332" t="str">
            <v>ACABAMENTO FRONTAL INFERIOR COM ETHERNET / 33.23.10360.00</v>
          </cell>
          <cell r="D1332" t="str">
            <v>-</v>
          </cell>
          <cell r="E1332" t="str">
            <v>-</v>
          </cell>
          <cell r="F1332" t="str">
            <v>-</v>
          </cell>
          <cell r="G1332" t="str">
            <v>-</v>
          </cell>
          <cell r="H1332" t="str">
            <v>-</v>
          </cell>
          <cell r="I1332">
            <v>2</v>
          </cell>
          <cell r="J1332">
            <v>2</v>
          </cell>
          <cell r="K1332">
            <v>21</v>
          </cell>
          <cell r="L1332" t="str">
            <v>ENTREGA PARCIAL</v>
          </cell>
          <cell r="M1332" t="str">
            <v>-</v>
          </cell>
          <cell r="N1332" t="str">
            <v>OC'S METALFISA</v>
          </cell>
          <cell r="O1332" t="str">
            <v>-</v>
          </cell>
          <cell r="Q1332" t="str">
            <v>-</v>
          </cell>
          <cell r="S1332">
            <v>20</v>
          </cell>
          <cell r="T1332" t="str">
            <v>OC'S MAPHE</v>
          </cell>
          <cell r="U1332">
            <v>20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27</v>
          </cell>
          <cell r="AA1332">
            <v>27</v>
          </cell>
          <cell r="AB1332">
            <v>0</v>
          </cell>
          <cell r="AC1332">
            <v>26</v>
          </cell>
          <cell r="AD1332">
            <v>-1</v>
          </cell>
        </row>
        <row r="1333">
          <cell r="A1333" t="str">
            <v>33.23.10364.00</v>
          </cell>
          <cell r="B1333" t="str">
            <v>SUPORTE SOLDADO DA PLACA POWER BOARD / 33.23.10364.03323</v>
          </cell>
          <cell r="D1333" t="str">
            <v>-</v>
          </cell>
          <cell r="E1333" t="str">
            <v>-</v>
          </cell>
          <cell r="F1333" t="str">
            <v>-</v>
          </cell>
          <cell r="G1333" t="str">
            <v>-</v>
          </cell>
          <cell r="H1333" t="str">
            <v>-</v>
          </cell>
          <cell r="I1333" t="str">
            <v>-</v>
          </cell>
          <cell r="J1333">
            <v>0</v>
          </cell>
          <cell r="K1333">
            <v>-1</v>
          </cell>
          <cell r="L1333" t="str">
            <v>FALTA ENTREGA</v>
          </cell>
          <cell r="M1333" t="str">
            <v>-</v>
          </cell>
          <cell r="N1333" t="str">
            <v>OC'S METALFISA</v>
          </cell>
          <cell r="O1333" t="str">
            <v>-</v>
          </cell>
          <cell r="Q1333" t="str">
            <v>-</v>
          </cell>
          <cell r="S1333" t="str">
            <v>-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1</v>
          </cell>
          <cell r="AA1333">
            <v>1</v>
          </cell>
          <cell r="AB1333">
            <v>0</v>
          </cell>
          <cell r="AC1333">
            <v>0</v>
          </cell>
          <cell r="AD1333">
            <v>-1</v>
          </cell>
        </row>
        <row r="1334">
          <cell r="A1334" t="str">
            <v>33.23.10371.01</v>
          </cell>
          <cell r="B1334" t="str">
            <v>TAMPA PARA ENTRADA DE CABOS / 33.23.10371.01</v>
          </cell>
          <cell r="D1334" t="str">
            <v>-</v>
          </cell>
          <cell r="E1334" t="str">
            <v>-</v>
          </cell>
          <cell r="F1334" t="str">
            <v>-</v>
          </cell>
          <cell r="G1334" t="str">
            <v>-</v>
          </cell>
          <cell r="H1334" t="str">
            <v>-</v>
          </cell>
          <cell r="I1334" t="str">
            <v>-</v>
          </cell>
          <cell r="J1334">
            <v>0</v>
          </cell>
          <cell r="K1334">
            <v>36</v>
          </cell>
          <cell r="L1334" t="str">
            <v>FALTA ENTREGA</v>
          </cell>
          <cell r="M1334" t="str">
            <v>-</v>
          </cell>
          <cell r="N1334" t="str">
            <v>OC'S METALFISA</v>
          </cell>
          <cell r="O1334" t="str">
            <v>-</v>
          </cell>
          <cell r="Q1334">
            <v>58</v>
          </cell>
          <cell r="S1334" t="str">
            <v>-</v>
          </cell>
          <cell r="U1334">
            <v>58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22</v>
          </cell>
          <cell r="AA1334">
            <v>22</v>
          </cell>
          <cell r="AB1334">
            <v>0</v>
          </cell>
          <cell r="AC1334">
            <v>0</v>
          </cell>
          <cell r="AD1334">
            <v>-22</v>
          </cell>
        </row>
        <row r="1335">
          <cell r="A1335" t="str">
            <v>33.23.10377.00</v>
          </cell>
          <cell r="B1335" t="str">
            <v>SUPORTE DA REGUA DE COLIMACAO / 33.23.10377.00</v>
          </cell>
          <cell r="D1335" t="str">
            <v>-</v>
          </cell>
          <cell r="E1335" t="str">
            <v>-</v>
          </cell>
          <cell r="F1335" t="str">
            <v>-</v>
          </cell>
          <cell r="G1335" t="str">
            <v>-</v>
          </cell>
          <cell r="H1335" t="str">
            <v>-</v>
          </cell>
          <cell r="I1335" t="str">
            <v>-</v>
          </cell>
          <cell r="J1335">
            <v>0</v>
          </cell>
          <cell r="K1335">
            <v>-17</v>
          </cell>
          <cell r="L1335" t="str">
            <v>FALTA ENTREGA</v>
          </cell>
          <cell r="M1335" t="str">
            <v>-</v>
          </cell>
          <cell r="N1335" t="str">
            <v>OC'S METALFISA</v>
          </cell>
          <cell r="O1335" t="str">
            <v>-</v>
          </cell>
          <cell r="Q1335" t="str">
            <v>-</v>
          </cell>
          <cell r="S1335" t="str">
            <v>-</v>
          </cell>
          <cell r="U1335">
            <v>0</v>
          </cell>
          <cell r="V1335">
            <v>17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17</v>
          </cell>
          <cell r="AB1335">
            <v>17</v>
          </cell>
          <cell r="AC1335">
            <v>0</v>
          </cell>
          <cell r="AD1335">
            <v>-17</v>
          </cell>
        </row>
        <row r="1336">
          <cell r="A1336" t="str">
            <v>33.23.10377.01</v>
          </cell>
          <cell r="B1336" t="str">
            <v>SUPORTE DA REGUA DE COLIMACAO / 33.23.10377.01</v>
          </cell>
          <cell r="C1336">
            <v>46074</v>
          </cell>
          <cell r="D1336" t="str">
            <v>-</v>
          </cell>
          <cell r="E1336" t="str">
            <v>-</v>
          </cell>
          <cell r="F1336" t="str">
            <v>-</v>
          </cell>
          <cell r="G1336" t="str">
            <v>-</v>
          </cell>
          <cell r="H1336" t="str">
            <v>-</v>
          </cell>
          <cell r="I1336" t="str">
            <v>-</v>
          </cell>
          <cell r="J1336">
            <v>0</v>
          </cell>
          <cell r="K1336">
            <v>54</v>
          </cell>
          <cell r="L1336" t="str">
            <v>ENTREGA TOTAL</v>
          </cell>
          <cell r="M1336" t="str">
            <v>-</v>
          </cell>
          <cell r="N1336" t="str">
            <v>OC'S METALFISA</v>
          </cell>
          <cell r="O1336" t="str">
            <v>-</v>
          </cell>
          <cell r="Q1336">
            <v>30</v>
          </cell>
          <cell r="S1336" t="str">
            <v>-</v>
          </cell>
          <cell r="U1336">
            <v>30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6</v>
          </cell>
          <cell r="AA1336">
            <v>6</v>
          </cell>
          <cell r="AB1336">
            <v>0</v>
          </cell>
          <cell r="AC1336">
            <v>30</v>
          </cell>
          <cell r="AD1336">
            <v>24</v>
          </cell>
        </row>
        <row r="1337">
          <cell r="A1337" t="str">
            <v>33.23.10381.00</v>
          </cell>
          <cell r="B1337" t="str">
            <v>REFORCO DA BASE DA REGUA DO COLIMADOR / 33.23.10381.00</v>
          </cell>
          <cell r="C1337">
            <v>46066</v>
          </cell>
          <cell r="D1337" t="str">
            <v>-</v>
          </cell>
          <cell r="E1337" t="str">
            <v>-</v>
          </cell>
          <cell r="F1337" t="str">
            <v>-</v>
          </cell>
          <cell r="G1337" t="str">
            <v>-</v>
          </cell>
          <cell r="H1337" t="str">
            <v>-</v>
          </cell>
          <cell r="I1337" t="str">
            <v>-</v>
          </cell>
          <cell r="J1337">
            <v>0</v>
          </cell>
          <cell r="K1337">
            <v>30</v>
          </cell>
          <cell r="L1337" t="str">
            <v>ENTREGA PARCIAL</v>
          </cell>
          <cell r="M1337" t="str">
            <v>-</v>
          </cell>
          <cell r="N1337" t="str">
            <v>OC'S METALFISA</v>
          </cell>
          <cell r="O1337" t="str">
            <v>-</v>
          </cell>
          <cell r="Q1337">
            <v>31</v>
          </cell>
          <cell r="S1337" t="str">
            <v>-</v>
          </cell>
          <cell r="U1337">
            <v>31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31</v>
          </cell>
          <cell r="AA1337">
            <v>31</v>
          </cell>
          <cell r="AB1337">
            <v>0</v>
          </cell>
          <cell r="AC1337">
            <v>30</v>
          </cell>
          <cell r="AD1337">
            <v>-1</v>
          </cell>
        </row>
        <row r="1338">
          <cell r="A1338" t="str">
            <v>33.23.10393.01</v>
          </cell>
          <cell r="B1338" t="str">
            <v>CONJUNTO ACABAMENTO SUPERIOR CENTRAL / 33.23.10393.01</v>
          </cell>
          <cell r="C1338">
            <v>46066</v>
          </cell>
          <cell r="D1338">
            <v>1</v>
          </cell>
          <cell r="E1338" t="str">
            <v>-</v>
          </cell>
          <cell r="F1338" t="str">
            <v>-</v>
          </cell>
          <cell r="G1338" t="str">
            <v>-</v>
          </cell>
          <cell r="H1338" t="str">
            <v>-</v>
          </cell>
          <cell r="I1338">
            <v>3</v>
          </cell>
          <cell r="J1338">
            <v>3</v>
          </cell>
          <cell r="K1338">
            <v>60</v>
          </cell>
          <cell r="L1338" t="str">
            <v>ENTREGA PARCIAL</v>
          </cell>
          <cell r="M1338" t="str">
            <v>-</v>
          </cell>
          <cell r="N1338" t="str">
            <v>OC'S METALFISA</v>
          </cell>
          <cell r="O1338" t="str">
            <v>-</v>
          </cell>
          <cell r="Q1338" t="str">
            <v>-</v>
          </cell>
          <cell r="S1338">
            <v>60</v>
          </cell>
          <cell r="T1338" t="str">
            <v>OC'S MAPHE</v>
          </cell>
          <cell r="U1338">
            <v>60</v>
          </cell>
          <cell r="V1338">
            <v>11</v>
          </cell>
          <cell r="W1338">
            <v>4</v>
          </cell>
          <cell r="X1338">
            <v>10</v>
          </cell>
          <cell r="Y1338">
            <v>0</v>
          </cell>
          <cell r="Z1338">
            <v>39</v>
          </cell>
          <cell r="AA1338">
            <v>64</v>
          </cell>
          <cell r="AB1338">
            <v>0</v>
          </cell>
          <cell r="AC1338">
            <v>60</v>
          </cell>
          <cell r="AD1338">
            <v>-4</v>
          </cell>
        </row>
        <row r="1339">
          <cell r="A1339" t="str">
            <v>33.23.10412.01</v>
          </cell>
          <cell r="B1339" t="str">
            <v>TRAVA DA ESTRUTURA DAS MESAS DE ROLETES / 33.23.10412.01</v>
          </cell>
          <cell r="C1339">
            <v>46066</v>
          </cell>
          <cell r="D1339" t="str">
            <v>-</v>
          </cell>
          <cell r="E1339" t="str">
            <v>-</v>
          </cell>
          <cell r="F1339" t="str">
            <v>-</v>
          </cell>
          <cell r="G1339" t="str">
            <v>-</v>
          </cell>
          <cell r="H1339" t="str">
            <v>-</v>
          </cell>
          <cell r="I1339" t="str">
            <v>-</v>
          </cell>
          <cell r="J1339">
            <v>0</v>
          </cell>
          <cell r="K1339">
            <v>222</v>
          </cell>
          <cell r="L1339" t="str">
            <v>ENTREGA TOTAL</v>
          </cell>
          <cell r="M1339" t="str">
            <v>-</v>
          </cell>
          <cell r="N1339" t="str">
            <v>OC'S METALFISA</v>
          </cell>
          <cell r="O1339" t="str">
            <v>-</v>
          </cell>
          <cell r="Q1339" t="str">
            <v>-</v>
          </cell>
          <cell r="S1339">
            <v>122</v>
          </cell>
          <cell r="T1339" t="str">
            <v>OC'S MAPHE</v>
          </cell>
          <cell r="U1339">
            <v>122</v>
          </cell>
          <cell r="V1339">
            <v>12</v>
          </cell>
          <cell r="W1339">
            <v>0</v>
          </cell>
          <cell r="X1339">
            <v>0</v>
          </cell>
          <cell r="Y1339">
            <v>0</v>
          </cell>
          <cell r="Z1339">
            <v>8</v>
          </cell>
          <cell r="AA1339">
            <v>20</v>
          </cell>
          <cell r="AB1339">
            <v>0</v>
          </cell>
          <cell r="AC1339">
            <v>120</v>
          </cell>
          <cell r="AD1339">
            <v>100</v>
          </cell>
        </row>
        <row r="1340">
          <cell r="A1340" t="str">
            <v>33.23.10413.01</v>
          </cell>
          <cell r="B1340" t="str">
            <v>LIGACAO DAS MESAS / 33.23.10413.01</v>
          </cell>
          <cell r="C1340">
            <v>46072</v>
          </cell>
          <cell r="D1340" t="str">
            <v>-</v>
          </cell>
          <cell r="E1340" t="str">
            <v>-</v>
          </cell>
          <cell r="F1340" t="str">
            <v>-</v>
          </cell>
          <cell r="G1340" t="str">
            <v>-</v>
          </cell>
          <cell r="H1340" t="str">
            <v>-</v>
          </cell>
          <cell r="I1340" t="str">
            <v>-</v>
          </cell>
          <cell r="J1340">
            <v>0</v>
          </cell>
          <cell r="K1340">
            <v>32</v>
          </cell>
          <cell r="L1340" t="str">
            <v>ENTREGA PARCIAL</v>
          </cell>
          <cell r="M1340" t="str">
            <v>-</v>
          </cell>
          <cell r="N1340" t="str">
            <v>OC'S METALFISA</v>
          </cell>
          <cell r="O1340" t="str">
            <v>-</v>
          </cell>
          <cell r="Q1340" t="str">
            <v>-</v>
          </cell>
          <cell r="S1340">
            <v>120</v>
          </cell>
          <cell r="T1340" t="str">
            <v>OC'S MAPHE</v>
          </cell>
          <cell r="U1340">
            <v>120</v>
          </cell>
          <cell r="V1340">
            <v>120</v>
          </cell>
          <cell r="W1340">
            <v>0</v>
          </cell>
          <cell r="X1340">
            <v>0</v>
          </cell>
          <cell r="Y1340">
            <v>0</v>
          </cell>
          <cell r="Z1340">
            <v>8</v>
          </cell>
          <cell r="AA1340">
            <v>128</v>
          </cell>
          <cell r="AB1340">
            <v>80</v>
          </cell>
          <cell r="AC1340">
            <v>40</v>
          </cell>
          <cell r="AD1340">
            <v>-88</v>
          </cell>
        </row>
        <row r="1341">
          <cell r="A1341" t="str">
            <v>33.23.10414.02</v>
          </cell>
          <cell r="B1341" t="str">
            <v>PERFIL ESQ. MESAS ROLETES MEIO / FINAL / 33.23.10414.02</v>
          </cell>
          <cell r="C1341">
            <v>46072</v>
          </cell>
          <cell r="D1341">
            <v>20</v>
          </cell>
          <cell r="E1341" t="str">
            <v>-</v>
          </cell>
          <cell r="F1341" t="str">
            <v>-</v>
          </cell>
          <cell r="G1341" t="str">
            <v>-</v>
          </cell>
          <cell r="H1341" t="str">
            <v>-</v>
          </cell>
          <cell r="I1341" t="str">
            <v>-</v>
          </cell>
          <cell r="J1341">
            <v>0</v>
          </cell>
          <cell r="K1341">
            <v>36</v>
          </cell>
          <cell r="L1341" t="str">
            <v>ENTREGA PARCIAL</v>
          </cell>
          <cell r="M1341" t="str">
            <v>-</v>
          </cell>
          <cell r="N1341" t="str">
            <v>OC'S METALFISA</v>
          </cell>
          <cell r="O1341" t="str">
            <v>-</v>
          </cell>
          <cell r="Q1341" t="str">
            <v>-</v>
          </cell>
          <cell r="S1341">
            <v>49</v>
          </cell>
          <cell r="T1341" t="str">
            <v>OC'S MAPHE</v>
          </cell>
          <cell r="U1341">
            <v>49</v>
          </cell>
          <cell r="V1341">
            <v>49</v>
          </cell>
          <cell r="W1341">
            <v>0</v>
          </cell>
          <cell r="X1341">
            <v>0</v>
          </cell>
          <cell r="Y1341">
            <v>0</v>
          </cell>
          <cell r="Z1341">
            <v>4</v>
          </cell>
          <cell r="AA1341">
            <v>53</v>
          </cell>
          <cell r="AB1341">
            <v>9</v>
          </cell>
          <cell r="AC1341">
            <v>20</v>
          </cell>
          <cell r="AD1341">
            <v>-33</v>
          </cell>
        </row>
        <row r="1342">
          <cell r="A1342" t="str">
            <v>33.23.10415.02</v>
          </cell>
          <cell r="B1342" t="str">
            <v>PERFIL DIR. MESAS ROLETES MEIO / FINAL / 33.23.10415.02</v>
          </cell>
          <cell r="C1342">
            <v>46072</v>
          </cell>
          <cell r="D1342" t="str">
            <v>-</v>
          </cell>
          <cell r="E1342" t="str">
            <v>-</v>
          </cell>
          <cell r="F1342" t="str">
            <v>-</v>
          </cell>
          <cell r="G1342" t="str">
            <v>-</v>
          </cell>
          <cell r="H1342" t="str">
            <v>-</v>
          </cell>
          <cell r="I1342" t="str">
            <v>-</v>
          </cell>
          <cell r="J1342">
            <v>0</v>
          </cell>
          <cell r="K1342">
            <v>16</v>
          </cell>
          <cell r="L1342" t="str">
            <v>ENTREGA PARCIAL</v>
          </cell>
          <cell r="M1342" t="str">
            <v>-</v>
          </cell>
          <cell r="N1342" t="str">
            <v>OC'S METALFISA</v>
          </cell>
          <cell r="O1342" t="str">
            <v>-</v>
          </cell>
          <cell r="Q1342" t="str">
            <v>-</v>
          </cell>
          <cell r="S1342">
            <v>40</v>
          </cell>
          <cell r="T1342" t="str">
            <v>OC'S MAPHE</v>
          </cell>
          <cell r="U1342">
            <v>40</v>
          </cell>
          <cell r="V1342">
            <v>40</v>
          </cell>
          <cell r="W1342">
            <v>0</v>
          </cell>
          <cell r="X1342">
            <v>0</v>
          </cell>
          <cell r="Y1342">
            <v>0</v>
          </cell>
          <cell r="Z1342">
            <v>4</v>
          </cell>
          <cell r="AA1342">
            <v>44</v>
          </cell>
          <cell r="AB1342">
            <v>20</v>
          </cell>
          <cell r="AC1342">
            <v>20</v>
          </cell>
          <cell r="AD1342">
            <v>-24</v>
          </cell>
        </row>
        <row r="1343">
          <cell r="A1343" t="str">
            <v>33.23.10518.00</v>
          </cell>
          <cell r="B1343" t="str">
            <v>APOIO DA TAMPA / 33.23.10518.00</v>
          </cell>
          <cell r="C1343">
            <v>46076</v>
          </cell>
          <cell r="D1343" t="str">
            <v>-</v>
          </cell>
          <cell r="E1343" t="str">
            <v>-</v>
          </cell>
          <cell r="F1343" t="str">
            <v>-</v>
          </cell>
          <cell r="G1343" t="str">
            <v>-</v>
          </cell>
          <cell r="H1343" t="str">
            <v>-</v>
          </cell>
          <cell r="I1343" t="str">
            <v>-</v>
          </cell>
          <cell r="J1343">
            <v>0</v>
          </cell>
          <cell r="K1343">
            <v>30</v>
          </cell>
          <cell r="L1343" t="str">
            <v>ENTREGA PARCIAL</v>
          </cell>
          <cell r="M1343" t="str">
            <v>-</v>
          </cell>
          <cell r="N1343" t="str">
            <v>OC'S METALFISA</v>
          </cell>
          <cell r="O1343" t="str">
            <v>-</v>
          </cell>
          <cell r="Q1343" t="str">
            <v>-</v>
          </cell>
          <cell r="S1343">
            <v>160</v>
          </cell>
          <cell r="T1343" t="str">
            <v>OC'S MAPHE</v>
          </cell>
          <cell r="U1343">
            <v>160</v>
          </cell>
          <cell r="V1343">
            <v>0</v>
          </cell>
          <cell r="W1343">
            <v>0</v>
          </cell>
          <cell r="X1343">
            <v>58</v>
          </cell>
          <cell r="Y1343">
            <v>0</v>
          </cell>
          <cell r="Z1343">
            <v>312</v>
          </cell>
          <cell r="AA1343">
            <v>370</v>
          </cell>
          <cell r="AB1343">
            <v>0</v>
          </cell>
          <cell r="AC1343">
            <v>240</v>
          </cell>
          <cell r="AD1343">
            <v>-130</v>
          </cell>
        </row>
        <row r="1344">
          <cell r="A1344" t="str">
            <v>33.23.10600.00</v>
          </cell>
          <cell r="B1344" t="str">
            <v>LOGARINA SOLDADA ESQ./ DIR. DA ESTEIRA / 33.23.10600.00</v>
          </cell>
          <cell r="D1344" t="str">
            <v>-</v>
          </cell>
          <cell r="E1344" t="str">
            <v>-</v>
          </cell>
          <cell r="F1344" t="str">
            <v>-</v>
          </cell>
          <cell r="G1344" t="str">
            <v>-</v>
          </cell>
          <cell r="H1344" t="str">
            <v>-</v>
          </cell>
          <cell r="I1344" t="str">
            <v>-</v>
          </cell>
          <cell r="J1344">
            <v>0</v>
          </cell>
          <cell r="K1344">
            <v>45</v>
          </cell>
          <cell r="L1344" t="str">
            <v>FALTA ENTREGA</v>
          </cell>
          <cell r="M1344" t="str">
            <v>-</v>
          </cell>
          <cell r="N1344" t="str">
            <v>OC'S METALFISA</v>
          </cell>
          <cell r="O1344" t="str">
            <v>-</v>
          </cell>
          <cell r="Q1344" t="str">
            <v>-</v>
          </cell>
          <cell r="S1344">
            <v>100</v>
          </cell>
          <cell r="T1344" t="str">
            <v>OC'S MAPHE</v>
          </cell>
          <cell r="U1344">
            <v>100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55</v>
          </cell>
          <cell r="AA1344">
            <v>55</v>
          </cell>
          <cell r="AB1344">
            <v>0</v>
          </cell>
          <cell r="AC1344">
            <v>0</v>
          </cell>
          <cell r="AD1344">
            <v>-55</v>
          </cell>
        </row>
        <row r="1345">
          <cell r="A1345" t="str">
            <v>33.23.10604.01</v>
          </cell>
          <cell r="B1345" t="str">
            <v>CONJ. SOLDADO DIREITO POLIA ESTICADORA / 33.23.10604.01</v>
          </cell>
          <cell r="C1345">
            <v>46059</v>
          </cell>
          <cell r="D1345" t="str">
            <v>-</v>
          </cell>
          <cell r="E1345" t="str">
            <v>-</v>
          </cell>
          <cell r="F1345" t="str">
            <v>-</v>
          </cell>
          <cell r="G1345" t="str">
            <v>-</v>
          </cell>
          <cell r="H1345" t="str">
            <v>-</v>
          </cell>
          <cell r="I1345" t="str">
            <v>-</v>
          </cell>
          <cell r="J1345">
            <v>0</v>
          </cell>
          <cell r="K1345" t="e">
            <v>#VALUE!</v>
          </cell>
          <cell r="L1345" t="str">
            <v>ENTREGA TOTAL</v>
          </cell>
          <cell r="M1345" t="str">
            <v>-</v>
          </cell>
          <cell r="N1345" t="str">
            <v>OC'S METALFISA</v>
          </cell>
          <cell r="O1345" t="str">
            <v>-</v>
          </cell>
          <cell r="Q1345" t="str">
            <v>-</v>
          </cell>
          <cell r="S1345" t="str">
            <v>-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13</v>
          </cell>
          <cell r="AA1345">
            <v>13</v>
          </cell>
          <cell r="AB1345" t="str">
            <v>0</v>
          </cell>
          <cell r="AC1345" t="str">
            <v>-</v>
          </cell>
          <cell r="AD1345" t="str">
            <v>-</v>
          </cell>
        </row>
        <row r="1346">
          <cell r="A1346" t="str">
            <v>33.23.10612.01</v>
          </cell>
          <cell r="B1346" t="str">
            <v>CONJ. SOLDADO ESQUERDO POLIA ESTICADORA / 33.23.10612.01</v>
          </cell>
          <cell r="C1346">
            <v>46059</v>
          </cell>
          <cell r="D1346" t="str">
            <v>-</v>
          </cell>
          <cell r="E1346" t="str">
            <v>-</v>
          </cell>
          <cell r="F1346" t="str">
            <v>-</v>
          </cell>
          <cell r="G1346" t="str">
            <v>-</v>
          </cell>
          <cell r="H1346" t="str">
            <v>-</v>
          </cell>
          <cell r="I1346" t="str">
            <v>-</v>
          </cell>
          <cell r="J1346">
            <v>0</v>
          </cell>
          <cell r="K1346" t="e">
            <v>#VALUE!</v>
          </cell>
          <cell r="L1346" t="str">
            <v>ENTREGA TOTAL</v>
          </cell>
          <cell r="M1346" t="str">
            <v>-</v>
          </cell>
          <cell r="N1346" t="str">
            <v>OC'S METALFISA</v>
          </cell>
          <cell r="O1346" t="str">
            <v>-</v>
          </cell>
          <cell r="Q1346" t="str">
            <v>-</v>
          </cell>
          <cell r="S1346" t="str">
            <v>-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14</v>
          </cell>
          <cell r="AA1346">
            <v>14</v>
          </cell>
          <cell r="AB1346" t="str">
            <v>0</v>
          </cell>
          <cell r="AC1346" t="str">
            <v>-</v>
          </cell>
          <cell r="AD1346" t="str">
            <v>-</v>
          </cell>
        </row>
        <row r="1347">
          <cell r="A1347" t="str">
            <v>33.23.10615.00</v>
          </cell>
          <cell r="B1347" t="str">
            <v>ACABAMENTO INFERIOR DA ESTEIRA / 33.23.10615.00</v>
          </cell>
          <cell r="D1347" t="str">
            <v>-</v>
          </cell>
          <cell r="E1347" t="str">
            <v>-</v>
          </cell>
          <cell r="F1347" t="str">
            <v>-</v>
          </cell>
          <cell r="G1347" t="str">
            <v>-</v>
          </cell>
          <cell r="H1347" t="str">
            <v>-</v>
          </cell>
          <cell r="I1347" t="str">
            <v>-</v>
          </cell>
          <cell r="J1347">
            <v>0</v>
          </cell>
          <cell r="K1347">
            <v>18</v>
          </cell>
          <cell r="L1347" t="str">
            <v>FALTA ENTREGA</v>
          </cell>
          <cell r="M1347" t="str">
            <v>-</v>
          </cell>
          <cell r="N1347" t="str">
            <v>OC'S METALFISA</v>
          </cell>
          <cell r="O1347" t="str">
            <v>-</v>
          </cell>
          <cell r="Q1347" t="str">
            <v>-</v>
          </cell>
          <cell r="S1347">
            <v>20</v>
          </cell>
          <cell r="T1347" t="str">
            <v>OC'S MAPHE</v>
          </cell>
          <cell r="U1347">
            <v>20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2</v>
          </cell>
          <cell r="AA1347">
            <v>2</v>
          </cell>
          <cell r="AB1347">
            <v>0</v>
          </cell>
          <cell r="AC1347">
            <v>0</v>
          </cell>
          <cell r="AD1347">
            <v>-2</v>
          </cell>
        </row>
        <row r="1348">
          <cell r="A1348" t="str">
            <v>33.23.10616.00</v>
          </cell>
          <cell r="B1348" t="str">
            <v>ACABAMENTO ESQ. DA POLIA ESTICADORA / 33.23.10616.00</v>
          </cell>
          <cell r="C1348">
            <v>46072</v>
          </cell>
          <cell r="D1348" t="str">
            <v>-</v>
          </cell>
          <cell r="E1348" t="str">
            <v>-</v>
          </cell>
          <cell r="F1348" t="str">
            <v>-</v>
          </cell>
          <cell r="G1348" t="str">
            <v>-</v>
          </cell>
          <cell r="H1348" t="str">
            <v>-</v>
          </cell>
          <cell r="I1348">
            <v>4</v>
          </cell>
          <cell r="J1348">
            <v>4</v>
          </cell>
          <cell r="K1348">
            <v>51</v>
          </cell>
          <cell r="L1348" t="str">
            <v>ENTREGA PARCIAL</v>
          </cell>
          <cell r="M1348" t="str">
            <v>-</v>
          </cell>
          <cell r="N1348" t="str">
            <v>OC'S METALFISA</v>
          </cell>
          <cell r="O1348" t="str">
            <v>-</v>
          </cell>
          <cell r="Q1348" t="str">
            <v>-</v>
          </cell>
          <cell r="S1348">
            <v>48</v>
          </cell>
          <cell r="T1348" t="str">
            <v>OC'S MAPHE</v>
          </cell>
          <cell r="U1348">
            <v>48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37</v>
          </cell>
          <cell r="AA1348">
            <v>37</v>
          </cell>
          <cell r="AB1348">
            <v>0</v>
          </cell>
          <cell r="AC1348">
            <v>36</v>
          </cell>
          <cell r="AD1348">
            <v>-1</v>
          </cell>
        </row>
        <row r="1349">
          <cell r="A1349" t="str">
            <v>33.23.10619.00</v>
          </cell>
          <cell r="B1349" t="str">
            <v>ACABAMENTO DIR. DA POLIA ESTICADORA / 33.23.10619.00</v>
          </cell>
          <cell r="C1349">
            <v>46076</v>
          </cell>
          <cell r="D1349">
            <v>2</v>
          </cell>
          <cell r="E1349" t="str">
            <v>-</v>
          </cell>
          <cell r="F1349" t="str">
            <v>-</v>
          </cell>
          <cell r="G1349" t="str">
            <v>-</v>
          </cell>
          <cell r="H1349" t="str">
            <v>-</v>
          </cell>
          <cell r="I1349">
            <v>3</v>
          </cell>
          <cell r="J1349">
            <v>3</v>
          </cell>
          <cell r="K1349">
            <v>21</v>
          </cell>
          <cell r="L1349" t="str">
            <v>ENTREGA PARCIAL</v>
          </cell>
          <cell r="M1349" t="str">
            <v>-</v>
          </cell>
          <cell r="N1349" t="str">
            <v>OC'S METALFISA</v>
          </cell>
          <cell r="O1349" t="str">
            <v>-</v>
          </cell>
          <cell r="Q1349" t="str">
            <v>-</v>
          </cell>
          <cell r="S1349">
            <v>44</v>
          </cell>
          <cell r="T1349" t="str">
            <v>OC'S MAPHE</v>
          </cell>
          <cell r="U1349">
            <v>44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32</v>
          </cell>
          <cell r="AA1349">
            <v>32</v>
          </cell>
          <cell r="AB1349">
            <v>0</v>
          </cell>
          <cell r="AC1349">
            <v>4</v>
          </cell>
          <cell r="AD1349">
            <v>-28</v>
          </cell>
        </row>
        <row r="1350">
          <cell r="A1350" t="str">
            <v>33.23.10622.01</v>
          </cell>
          <cell r="B1350" t="str">
            <v>CONJ. SOLDADO BASE LATERAL ESQ. MOTOPOLIA / 33.23.10622.01</v>
          </cell>
          <cell r="C1350">
            <v>46059</v>
          </cell>
          <cell r="D1350" t="str">
            <v>-</v>
          </cell>
          <cell r="E1350" t="str">
            <v>-</v>
          </cell>
          <cell r="F1350" t="str">
            <v>-</v>
          </cell>
          <cell r="G1350" t="str">
            <v>-</v>
          </cell>
          <cell r="H1350" t="str">
            <v>-</v>
          </cell>
          <cell r="I1350" t="str">
            <v>-</v>
          </cell>
          <cell r="J1350">
            <v>0</v>
          </cell>
          <cell r="K1350" t="e">
            <v>#VALUE!</v>
          </cell>
          <cell r="L1350" t="str">
            <v>ENTREGA TOTAL</v>
          </cell>
          <cell r="M1350" t="str">
            <v>-</v>
          </cell>
          <cell r="N1350" t="str">
            <v>OC'S METALFISA</v>
          </cell>
          <cell r="O1350" t="str">
            <v>-</v>
          </cell>
          <cell r="Q1350" t="str">
            <v>-</v>
          </cell>
          <cell r="S1350" t="str">
            <v>-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14</v>
          </cell>
          <cell r="AA1350">
            <v>14</v>
          </cell>
          <cell r="AB1350" t="str">
            <v>0</v>
          </cell>
          <cell r="AC1350" t="str">
            <v>-</v>
          </cell>
          <cell r="AD1350" t="str">
            <v>-</v>
          </cell>
        </row>
        <row r="1351">
          <cell r="A1351" t="str">
            <v>33.23.10627.01</v>
          </cell>
          <cell r="B1351" t="str">
            <v>CONJ. SOLDADO BASE LATERAL DIR. MOTOPOLIA / 33.23.10627.01</v>
          </cell>
          <cell r="C1351">
            <v>46059</v>
          </cell>
          <cell r="D1351" t="str">
            <v>-</v>
          </cell>
          <cell r="E1351" t="str">
            <v>-</v>
          </cell>
          <cell r="F1351" t="str">
            <v>-</v>
          </cell>
          <cell r="G1351" t="str">
            <v>-</v>
          </cell>
          <cell r="H1351" t="str">
            <v>-</v>
          </cell>
          <cell r="I1351" t="str">
            <v>-</v>
          </cell>
          <cell r="J1351">
            <v>0</v>
          </cell>
          <cell r="K1351" t="e">
            <v>#VALUE!</v>
          </cell>
          <cell r="L1351" t="str">
            <v>ENTREGA TOTAL</v>
          </cell>
          <cell r="M1351" t="str">
            <v>-</v>
          </cell>
          <cell r="N1351" t="str">
            <v>OC'S METALFISA</v>
          </cell>
          <cell r="O1351" t="str">
            <v>-</v>
          </cell>
          <cell r="Q1351" t="str">
            <v>-</v>
          </cell>
          <cell r="S1351" t="str">
            <v>-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14</v>
          </cell>
          <cell r="AA1351">
            <v>14</v>
          </cell>
          <cell r="AB1351" t="str">
            <v>0</v>
          </cell>
          <cell r="AC1351" t="str">
            <v>-</v>
          </cell>
          <cell r="AD1351" t="str">
            <v>-</v>
          </cell>
        </row>
        <row r="1352">
          <cell r="A1352" t="str">
            <v>33.23.10629.00</v>
          </cell>
          <cell r="B1352" t="str">
            <v>ACABAMENTO INFERIOR MOTOPOLIA / 33.23.10629.00</v>
          </cell>
          <cell r="C1352">
            <v>46066</v>
          </cell>
          <cell r="D1352" t="str">
            <v>-</v>
          </cell>
          <cell r="E1352" t="str">
            <v>-</v>
          </cell>
          <cell r="F1352" t="str">
            <v>-</v>
          </cell>
          <cell r="G1352" t="str">
            <v>-</v>
          </cell>
          <cell r="H1352" t="str">
            <v>-</v>
          </cell>
          <cell r="I1352" t="str">
            <v>-</v>
          </cell>
          <cell r="J1352">
            <v>0</v>
          </cell>
          <cell r="K1352">
            <v>29</v>
          </cell>
          <cell r="L1352" t="str">
            <v>ENTREGA PARCIAL</v>
          </cell>
          <cell r="M1352" t="str">
            <v>-</v>
          </cell>
          <cell r="N1352" t="str">
            <v>OC'S METALFISA</v>
          </cell>
          <cell r="O1352" t="str">
            <v>-</v>
          </cell>
          <cell r="Q1352" t="str">
            <v>-</v>
          </cell>
          <cell r="S1352">
            <v>50</v>
          </cell>
          <cell r="T1352" t="str">
            <v>OC'S MAPHE</v>
          </cell>
          <cell r="U1352">
            <v>50</v>
          </cell>
          <cell r="V1352">
            <v>0</v>
          </cell>
          <cell r="W1352">
            <v>3</v>
          </cell>
          <cell r="X1352">
            <v>10</v>
          </cell>
          <cell r="Y1352">
            <v>0</v>
          </cell>
          <cell r="Z1352">
            <v>39</v>
          </cell>
          <cell r="AA1352">
            <v>52</v>
          </cell>
          <cell r="AB1352">
            <v>0</v>
          </cell>
          <cell r="AC1352">
            <v>31</v>
          </cell>
          <cell r="AD1352">
            <v>-21</v>
          </cell>
        </row>
        <row r="1353">
          <cell r="A1353" t="str">
            <v>33.23.10630.01</v>
          </cell>
          <cell r="B1353" t="str">
            <v>TAMPA SUPERIOR DAS EXTREMIDADES / 33.23.10630.01</v>
          </cell>
          <cell r="C1353">
            <v>46062</v>
          </cell>
          <cell r="D1353" t="str">
            <v>-</v>
          </cell>
          <cell r="E1353" t="str">
            <v>-</v>
          </cell>
          <cell r="F1353" t="str">
            <v>-</v>
          </cell>
          <cell r="G1353" t="str">
            <v>-</v>
          </cell>
          <cell r="H1353" t="str">
            <v>-</v>
          </cell>
          <cell r="I1353" t="str">
            <v>-</v>
          </cell>
          <cell r="J1353">
            <v>0</v>
          </cell>
          <cell r="K1353" t="e">
            <v>#VALUE!</v>
          </cell>
          <cell r="L1353" t="str">
            <v>ENTREGA TOTAL</v>
          </cell>
          <cell r="M1353" t="str">
            <v>-</v>
          </cell>
          <cell r="N1353" t="str">
            <v>OC'S METALFISA</v>
          </cell>
          <cell r="O1353" t="str">
            <v>-</v>
          </cell>
          <cell r="Q1353">
            <v>52</v>
          </cell>
          <cell r="S1353" t="str">
            <v>-</v>
          </cell>
          <cell r="U1353">
            <v>52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31</v>
          </cell>
          <cell r="AA1353">
            <v>31</v>
          </cell>
          <cell r="AB1353" t="str">
            <v>0</v>
          </cell>
          <cell r="AC1353" t="str">
            <v>-</v>
          </cell>
          <cell r="AD1353" t="str">
            <v>-</v>
          </cell>
        </row>
        <row r="1354">
          <cell r="A1354" t="str">
            <v>33.23.10631.00</v>
          </cell>
          <cell r="B1354" t="str">
            <v>ACABAMENTO ESQ. DA MOTOPOLIA / 33.23.10631.00</v>
          </cell>
          <cell r="C1354">
            <v>46072</v>
          </cell>
          <cell r="D1354">
            <v>1</v>
          </cell>
          <cell r="E1354" t="str">
            <v>-</v>
          </cell>
          <cell r="F1354" t="str">
            <v>-</v>
          </cell>
          <cell r="G1354" t="str">
            <v>-</v>
          </cell>
          <cell r="H1354" t="str">
            <v>-</v>
          </cell>
          <cell r="I1354" t="str">
            <v>-</v>
          </cell>
          <cell r="J1354">
            <v>0</v>
          </cell>
          <cell r="K1354">
            <v>50</v>
          </cell>
          <cell r="L1354" t="str">
            <v>ENTREGA PARCIAL</v>
          </cell>
          <cell r="M1354" t="str">
            <v>-</v>
          </cell>
          <cell r="N1354" t="str">
            <v>OC'S METALFISA</v>
          </cell>
          <cell r="O1354" t="str">
            <v>-</v>
          </cell>
          <cell r="Q1354" t="str">
            <v>-</v>
          </cell>
          <cell r="S1354">
            <v>50</v>
          </cell>
          <cell r="T1354" t="str">
            <v>OC'S MAPHE</v>
          </cell>
          <cell r="U1354">
            <v>50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31</v>
          </cell>
          <cell r="AA1354">
            <v>31</v>
          </cell>
          <cell r="AB1354">
            <v>0</v>
          </cell>
          <cell r="AC1354">
            <v>30</v>
          </cell>
          <cell r="AD1354">
            <v>-1</v>
          </cell>
        </row>
        <row r="1355">
          <cell r="A1355" t="str">
            <v>33.23.10634.01</v>
          </cell>
          <cell r="B1355" t="str">
            <v>CONJUNTO SOLDADO DA BANDELA SUPERIOR / 33.23.10634.01</v>
          </cell>
          <cell r="C1355">
            <v>46059</v>
          </cell>
          <cell r="D1355" t="str">
            <v>-</v>
          </cell>
          <cell r="E1355" t="str">
            <v>-</v>
          </cell>
          <cell r="F1355" t="str">
            <v>-</v>
          </cell>
          <cell r="G1355" t="str">
            <v>-</v>
          </cell>
          <cell r="H1355" t="str">
            <v>-</v>
          </cell>
          <cell r="I1355" t="str">
            <v>-</v>
          </cell>
          <cell r="J1355">
            <v>0</v>
          </cell>
          <cell r="K1355" t="e">
            <v>#VALUE!</v>
          </cell>
          <cell r="L1355" t="str">
            <v>ENTREGA TOTAL</v>
          </cell>
          <cell r="M1355" t="str">
            <v>-</v>
          </cell>
          <cell r="N1355" t="str">
            <v>OC'S METALFISA</v>
          </cell>
          <cell r="O1355" t="str">
            <v>-</v>
          </cell>
          <cell r="Q1355" t="str">
            <v>-</v>
          </cell>
          <cell r="S1355" t="str">
            <v>-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43</v>
          </cell>
          <cell r="AA1355">
            <v>43</v>
          </cell>
          <cell r="AB1355" t="str">
            <v>0</v>
          </cell>
          <cell r="AC1355" t="str">
            <v>-</v>
          </cell>
          <cell r="AD1355" t="str">
            <v>-</v>
          </cell>
        </row>
        <row r="1356">
          <cell r="A1356" t="str">
            <v>33.23.10664.00</v>
          </cell>
          <cell r="B1356" t="str">
            <v>ACABAMENTO DIR. DA MOTOPOLIA / 33.23.10664.00</v>
          </cell>
          <cell r="C1356">
            <v>46072</v>
          </cell>
          <cell r="D1356">
            <v>1</v>
          </cell>
          <cell r="E1356" t="str">
            <v>-</v>
          </cell>
          <cell r="F1356" t="str">
            <v>-</v>
          </cell>
          <cell r="G1356" t="str">
            <v>-</v>
          </cell>
          <cell r="H1356" t="str">
            <v>-</v>
          </cell>
          <cell r="I1356">
            <v>1</v>
          </cell>
          <cell r="J1356">
            <v>1</v>
          </cell>
          <cell r="K1356">
            <v>49</v>
          </cell>
          <cell r="L1356" t="str">
            <v>ENTREGA PARCIAL</v>
          </cell>
          <cell r="M1356" t="str">
            <v>-</v>
          </cell>
          <cell r="N1356" t="str">
            <v>OC'S METALFISA</v>
          </cell>
          <cell r="O1356" t="str">
            <v>-</v>
          </cell>
          <cell r="Q1356" t="str">
            <v>-</v>
          </cell>
          <cell r="S1356">
            <v>50</v>
          </cell>
          <cell r="T1356" t="str">
            <v>OC'S MAPHE</v>
          </cell>
          <cell r="U1356">
            <v>50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33</v>
          </cell>
          <cell r="AA1356">
            <v>33</v>
          </cell>
          <cell r="AB1356">
            <v>0</v>
          </cell>
          <cell r="AC1356">
            <v>30</v>
          </cell>
          <cell r="AD1356">
            <v>-3</v>
          </cell>
        </row>
        <row r="1357">
          <cell r="A1357" t="str">
            <v>33.23.10667.00</v>
          </cell>
          <cell r="B1357" t="str">
            <v>CONJ. SOLDADO ESQ. FIXACAO DO ACABAMENTO / 33.23.10667.00</v>
          </cell>
          <cell r="D1357" t="str">
            <v>-</v>
          </cell>
          <cell r="E1357" t="str">
            <v>-</v>
          </cell>
          <cell r="F1357" t="str">
            <v>-</v>
          </cell>
          <cell r="G1357" t="str">
            <v>-</v>
          </cell>
          <cell r="H1357" t="str">
            <v>-</v>
          </cell>
          <cell r="I1357" t="str">
            <v>-</v>
          </cell>
          <cell r="J1357">
            <v>0</v>
          </cell>
          <cell r="K1357">
            <v>29</v>
          </cell>
          <cell r="L1357" t="str">
            <v>FALTA ENTREGA</v>
          </cell>
          <cell r="M1357" t="str">
            <v>-</v>
          </cell>
          <cell r="N1357" t="str">
            <v>OC'S METALFISA</v>
          </cell>
          <cell r="O1357" t="str">
            <v>-</v>
          </cell>
          <cell r="Q1357">
            <v>30</v>
          </cell>
          <cell r="S1357" t="str">
            <v>-</v>
          </cell>
          <cell r="U1357">
            <v>30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1</v>
          </cell>
          <cell r="AA1357">
            <v>1</v>
          </cell>
          <cell r="AB1357">
            <v>0</v>
          </cell>
          <cell r="AC1357">
            <v>0</v>
          </cell>
          <cell r="AD1357">
            <v>-1</v>
          </cell>
        </row>
        <row r="1358">
          <cell r="A1358" t="str">
            <v>33.23.10670.00</v>
          </cell>
          <cell r="B1358" t="str">
            <v>CONJ. SOLDADO DIR. FIXACAO DO ACABAMENTO / 33.23.10670.00</v>
          </cell>
          <cell r="D1358" t="str">
            <v>-</v>
          </cell>
          <cell r="E1358" t="str">
            <v>-</v>
          </cell>
          <cell r="F1358" t="str">
            <v>-</v>
          </cell>
          <cell r="G1358" t="str">
            <v>-</v>
          </cell>
          <cell r="H1358" t="str">
            <v>-</v>
          </cell>
          <cell r="I1358" t="str">
            <v>-</v>
          </cell>
          <cell r="J1358">
            <v>0</v>
          </cell>
          <cell r="K1358">
            <v>25</v>
          </cell>
          <cell r="L1358" t="str">
            <v>FALTA ENTREGA</v>
          </cell>
          <cell r="M1358" t="str">
            <v>-</v>
          </cell>
          <cell r="N1358" t="str">
            <v>OC'S METALFISA</v>
          </cell>
          <cell r="O1358" t="str">
            <v>-</v>
          </cell>
          <cell r="Q1358">
            <v>30</v>
          </cell>
          <cell r="S1358" t="str">
            <v>-</v>
          </cell>
          <cell r="U1358">
            <v>30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5</v>
          </cell>
          <cell r="AA1358">
            <v>5</v>
          </cell>
          <cell r="AB1358">
            <v>0</v>
          </cell>
          <cell r="AC1358">
            <v>0</v>
          </cell>
          <cell r="AD1358">
            <v>-5</v>
          </cell>
        </row>
        <row r="1359">
          <cell r="A1359" t="str">
            <v>33.30.10027.00</v>
          </cell>
          <cell r="B1359" t="str">
            <v>CONJUNTO PESCOCO COLIMADOR 1 / 33.30.10027.00</v>
          </cell>
          <cell r="D1359" t="str">
            <v>-</v>
          </cell>
          <cell r="E1359" t="str">
            <v>-</v>
          </cell>
          <cell r="F1359" t="str">
            <v>-</v>
          </cell>
          <cell r="G1359" t="str">
            <v>-</v>
          </cell>
          <cell r="H1359" t="str">
            <v>-</v>
          </cell>
          <cell r="I1359" t="str">
            <v>-</v>
          </cell>
          <cell r="J1359">
            <v>0</v>
          </cell>
          <cell r="K1359">
            <v>0</v>
          </cell>
          <cell r="L1359" t="str">
            <v>FALTA ENTREGA</v>
          </cell>
          <cell r="M1359" t="str">
            <v>-</v>
          </cell>
          <cell r="N1359" t="str">
            <v>OC'S METALFISA</v>
          </cell>
          <cell r="O1359">
            <v>1</v>
          </cell>
          <cell r="P1359" t="str">
            <v>OC'S GRANATO</v>
          </cell>
          <cell r="Q1359" t="str">
            <v>-</v>
          </cell>
          <cell r="S1359" t="str">
            <v>-</v>
          </cell>
          <cell r="U1359">
            <v>1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1</v>
          </cell>
          <cell r="AA1359">
            <v>1</v>
          </cell>
          <cell r="AB1359">
            <v>0</v>
          </cell>
          <cell r="AC1359">
            <v>0</v>
          </cell>
          <cell r="AD1359">
            <v>-1</v>
          </cell>
        </row>
        <row r="1360">
          <cell r="A1360" t="str">
            <v>33.30.10034.01</v>
          </cell>
          <cell r="B1360" t="str">
            <v>CONJUNTO REGULAGEM INFERIOR COLIMADOR / 33.30.10034.01</v>
          </cell>
          <cell r="D1360" t="str">
            <v>-</v>
          </cell>
          <cell r="E1360" t="str">
            <v>-</v>
          </cell>
          <cell r="F1360" t="str">
            <v>-</v>
          </cell>
          <cell r="G1360" t="str">
            <v>-</v>
          </cell>
          <cell r="H1360" t="str">
            <v>-</v>
          </cell>
          <cell r="I1360" t="str">
            <v>-</v>
          </cell>
          <cell r="J1360">
            <v>0</v>
          </cell>
          <cell r="K1360">
            <v>0</v>
          </cell>
          <cell r="L1360" t="str">
            <v>FALTA ENTREGA</v>
          </cell>
          <cell r="M1360" t="str">
            <v>-</v>
          </cell>
          <cell r="N1360" t="str">
            <v>OC'S METALFISA</v>
          </cell>
          <cell r="O1360">
            <v>1</v>
          </cell>
          <cell r="P1360" t="str">
            <v>OC'S GRANATO</v>
          </cell>
          <cell r="Q1360" t="str">
            <v>-</v>
          </cell>
          <cell r="S1360" t="str">
            <v>-</v>
          </cell>
          <cell r="U1360">
            <v>1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1</v>
          </cell>
          <cell r="AA1360">
            <v>1</v>
          </cell>
          <cell r="AB1360">
            <v>0</v>
          </cell>
          <cell r="AC1360">
            <v>0</v>
          </cell>
          <cell r="AD1360">
            <v>-1</v>
          </cell>
        </row>
        <row r="1361">
          <cell r="A1361" t="str">
            <v>33.30.10038.01</v>
          </cell>
          <cell r="B1361" t="str">
            <v>FIXADOR PESCOCO COLIMADOR SUPERIOR / 33.30.10038.01</v>
          </cell>
          <cell r="D1361" t="str">
            <v>-</v>
          </cell>
          <cell r="E1361" t="str">
            <v>-</v>
          </cell>
          <cell r="F1361" t="str">
            <v>-</v>
          </cell>
          <cell r="G1361" t="str">
            <v>-</v>
          </cell>
          <cell r="H1361" t="str">
            <v>-</v>
          </cell>
          <cell r="I1361" t="str">
            <v>-</v>
          </cell>
          <cell r="J1361">
            <v>0</v>
          </cell>
          <cell r="K1361">
            <v>0</v>
          </cell>
          <cell r="L1361" t="str">
            <v>FALTA ENTREGA</v>
          </cell>
          <cell r="M1361" t="str">
            <v>-</v>
          </cell>
          <cell r="N1361" t="str">
            <v>OC'S METALFISA</v>
          </cell>
          <cell r="O1361">
            <v>1</v>
          </cell>
          <cell r="P1361" t="str">
            <v>OC'S GRANATO</v>
          </cell>
          <cell r="Q1361" t="str">
            <v>-</v>
          </cell>
          <cell r="S1361" t="str">
            <v>-</v>
          </cell>
          <cell r="U1361">
            <v>1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1</v>
          </cell>
          <cell r="AA1361">
            <v>1</v>
          </cell>
          <cell r="AB1361">
            <v>0</v>
          </cell>
          <cell r="AC1361">
            <v>0</v>
          </cell>
          <cell r="AD1361">
            <v>-1</v>
          </cell>
        </row>
        <row r="1362">
          <cell r="A1362" t="str">
            <v>33.30.10040.01</v>
          </cell>
          <cell r="B1362" t="str">
            <v>CONJUNTO PESCOCO COLIMADOR 2 / 33.30.10040.01</v>
          </cell>
          <cell r="D1362" t="str">
            <v>-</v>
          </cell>
          <cell r="E1362" t="str">
            <v>-</v>
          </cell>
          <cell r="F1362" t="str">
            <v>-</v>
          </cell>
          <cell r="G1362" t="str">
            <v>-</v>
          </cell>
          <cell r="H1362" t="str">
            <v>-</v>
          </cell>
          <cell r="I1362" t="str">
            <v>-</v>
          </cell>
          <cell r="J1362">
            <v>0</v>
          </cell>
          <cell r="K1362">
            <v>0</v>
          </cell>
          <cell r="L1362" t="str">
            <v>FALTA ENTREGA</v>
          </cell>
          <cell r="M1362" t="str">
            <v>-</v>
          </cell>
          <cell r="N1362" t="str">
            <v>OC'S METALFISA</v>
          </cell>
          <cell r="O1362">
            <v>1</v>
          </cell>
          <cell r="P1362" t="str">
            <v>OC'S GRANATO</v>
          </cell>
          <cell r="Q1362" t="str">
            <v>-</v>
          </cell>
          <cell r="S1362" t="str">
            <v>-</v>
          </cell>
          <cell r="U1362">
            <v>1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1</v>
          </cell>
          <cell r="AA1362">
            <v>1</v>
          </cell>
          <cell r="AB1362">
            <v>0</v>
          </cell>
          <cell r="AC1362">
            <v>0</v>
          </cell>
          <cell r="AD1362">
            <v>-1</v>
          </cell>
        </row>
        <row r="1363">
          <cell r="A1363" t="str">
            <v>33.30.10042.00</v>
          </cell>
          <cell r="B1363" t="str">
            <v>PARAFUSO REGULAGEM PESCOCO COLIMADOR / 33.30.10042.00</v>
          </cell>
          <cell r="D1363" t="str">
            <v>-</v>
          </cell>
          <cell r="E1363" t="str">
            <v>-</v>
          </cell>
          <cell r="F1363" t="str">
            <v>-</v>
          </cell>
          <cell r="G1363" t="str">
            <v>-</v>
          </cell>
          <cell r="H1363" t="str">
            <v>-</v>
          </cell>
          <cell r="I1363" t="str">
            <v>-</v>
          </cell>
          <cell r="J1363">
            <v>0</v>
          </cell>
          <cell r="K1363">
            <v>-4</v>
          </cell>
          <cell r="L1363" t="str">
            <v>FALTA ENTREGA</v>
          </cell>
          <cell r="M1363" t="str">
            <v>-</v>
          </cell>
          <cell r="N1363" t="str">
            <v>OC'S METALFISA</v>
          </cell>
          <cell r="O1363">
            <v>8</v>
          </cell>
          <cell r="P1363" t="str">
            <v>OC'S GRANATO</v>
          </cell>
          <cell r="Q1363" t="str">
            <v>-</v>
          </cell>
          <cell r="S1363" t="str">
            <v>-</v>
          </cell>
          <cell r="U1363">
            <v>8</v>
          </cell>
          <cell r="V1363">
            <v>4</v>
          </cell>
          <cell r="W1363">
            <v>0</v>
          </cell>
          <cell r="X1363">
            <v>0</v>
          </cell>
          <cell r="Y1363">
            <v>0</v>
          </cell>
          <cell r="Z1363">
            <v>8</v>
          </cell>
          <cell r="AA1363">
            <v>12</v>
          </cell>
          <cell r="AB1363">
            <v>4</v>
          </cell>
          <cell r="AC1363">
            <v>0</v>
          </cell>
          <cell r="AD1363">
            <v>-12</v>
          </cell>
        </row>
        <row r="1364">
          <cell r="A1364" t="str">
            <v>33.30.10044.00</v>
          </cell>
          <cell r="B1364" t="str">
            <v>CONJ. FIXACAO CHUMBO SUP / 33.30.10044.00</v>
          </cell>
          <cell r="C1364">
            <v>46072</v>
          </cell>
          <cell r="D1364" t="str">
            <v>-</v>
          </cell>
          <cell r="E1364" t="str">
            <v>-</v>
          </cell>
          <cell r="F1364" t="str">
            <v>-</v>
          </cell>
          <cell r="G1364" t="str">
            <v>-</v>
          </cell>
          <cell r="H1364" t="str">
            <v>-</v>
          </cell>
          <cell r="I1364" t="str">
            <v>-</v>
          </cell>
          <cell r="J1364">
            <v>0</v>
          </cell>
          <cell r="K1364">
            <v>-1</v>
          </cell>
          <cell r="L1364" t="str">
            <v>ENTREGA PARCIAL</v>
          </cell>
          <cell r="M1364" t="str">
            <v>-</v>
          </cell>
          <cell r="N1364" t="str">
            <v>OC'S METALFISA</v>
          </cell>
          <cell r="O1364">
            <v>1</v>
          </cell>
          <cell r="P1364" t="str">
            <v>OC'S GRANATO</v>
          </cell>
          <cell r="Q1364" t="str">
            <v>-</v>
          </cell>
          <cell r="S1364" t="str">
            <v>-</v>
          </cell>
          <cell r="U1364">
            <v>1</v>
          </cell>
          <cell r="V1364">
            <v>2</v>
          </cell>
          <cell r="W1364">
            <v>0</v>
          </cell>
          <cell r="X1364">
            <v>0</v>
          </cell>
          <cell r="Y1364">
            <v>0</v>
          </cell>
          <cell r="Z1364">
            <v>1</v>
          </cell>
          <cell r="AA1364">
            <v>3</v>
          </cell>
          <cell r="AB1364">
            <v>1</v>
          </cell>
          <cell r="AC1364">
            <v>1</v>
          </cell>
          <cell r="AD1364">
            <v>-2</v>
          </cell>
        </row>
        <row r="1365">
          <cell r="A1365" t="str">
            <v>33.30.10070.01</v>
          </cell>
          <cell r="B1365" t="str">
            <v>CONJ. REGULAGEM PESCOCO 2 / 33.30.10070.01</v>
          </cell>
          <cell r="D1365" t="str">
            <v>-</v>
          </cell>
          <cell r="E1365" t="str">
            <v>-</v>
          </cell>
          <cell r="F1365" t="str">
            <v>-</v>
          </cell>
          <cell r="G1365" t="str">
            <v>-</v>
          </cell>
          <cell r="H1365" t="str">
            <v>-</v>
          </cell>
          <cell r="I1365" t="str">
            <v>-</v>
          </cell>
          <cell r="J1365">
            <v>0</v>
          </cell>
          <cell r="K1365">
            <v>0</v>
          </cell>
          <cell r="L1365" t="str">
            <v>FALTA ENTREGA</v>
          </cell>
          <cell r="M1365" t="str">
            <v>-</v>
          </cell>
          <cell r="N1365" t="str">
            <v>OC'S METALFISA</v>
          </cell>
          <cell r="O1365">
            <v>1</v>
          </cell>
          <cell r="P1365" t="str">
            <v>OC'S GRANATO</v>
          </cell>
          <cell r="Q1365" t="str">
            <v>-</v>
          </cell>
          <cell r="S1365" t="str">
            <v>-</v>
          </cell>
          <cell r="U1365">
            <v>1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1</v>
          </cell>
          <cell r="AA1365">
            <v>1</v>
          </cell>
          <cell r="AB1365">
            <v>0</v>
          </cell>
          <cell r="AC1365">
            <v>0</v>
          </cell>
          <cell r="AD1365">
            <v>-1</v>
          </cell>
        </row>
        <row r="1366">
          <cell r="A1366" t="str">
            <v>33.30.10075.01</v>
          </cell>
          <cell r="B1366" t="str">
            <v>SUPORTE INFERIOR COLIMADOR / 33.30.10075.01</v>
          </cell>
          <cell r="D1366" t="str">
            <v>-</v>
          </cell>
          <cell r="E1366" t="str">
            <v>-</v>
          </cell>
          <cell r="F1366" t="str">
            <v>-</v>
          </cell>
          <cell r="G1366" t="str">
            <v>-</v>
          </cell>
          <cell r="H1366" t="str">
            <v>-</v>
          </cell>
          <cell r="I1366" t="str">
            <v>-</v>
          </cell>
          <cell r="J1366">
            <v>0</v>
          </cell>
          <cell r="K1366">
            <v>0</v>
          </cell>
          <cell r="L1366" t="str">
            <v>FALTA ENTREGA</v>
          </cell>
          <cell r="M1366" t="str">
            <v>-</v>
          </cell>
          <cell r="N1366" t="str">
            <v>OC'S METALFISA</v>
          </cell>
          <cell r="O1366">
            <v>1</v>
          </cell>
          <cell r="P1366" t="str">
            <v>OC'S GRANATO</v>
          </cell>
          <cell r="Q1366" t="str">
            <v>-</v>
          </cell>
          <cell r="S1366" t="str">
            <v>-</v>
          </cell>
          <cell r="U1366">
            <v>1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1</v>
          </cell>
          <cell r="AA1366">
            <v>1</v>
          </cell>
          <cell r="AB1366">
            <v>0</v>
          </cell>
          <cell r="AC1366">
            <v>0</v>
          </cell>
          <cell r="AD1366">
            <v>-1</v>
          </cell>
        </row>
        <row r="1367">
          <cell r="A1367" t="str">
            <v>33.30.10114.00</v>
          </cell>
          <cell r="B1367" t="str">
            <v>SUPORTE DA ESTEIRA DE CABOS / 33.30.10114.00</v>
          </cell>
          <cell r="D1367" t="str">
            <v>-</v>
          </cell>
          <cell r="E1367" t="str">
            <v>-</v>
          </cell>
          <cell r="F1367" t="str">
            <v>-</v>
          </cell>
          <cell r="G1367" t="str">
            <v>-</v>
          </cell>
          <cell r="H1367" t="str">
            <v>-</v>
          </cell>
          <cell r="I1367" t="str">
            <v>-</v>
          </cell>
          <cell r="J1367">
            <v>0</v>
          </cell>
          <cell r="K1367">
            <v>-1</v>
          </cell>
          <cell r="L1367" t="str">
            <v>FALTA ENTREGA</v>
          </cell>
          <cell r="M1367" t="str">
            <v>-</v>
          </cell>
          <cell r="N1367" t="str">
            <v>OC'S METALFISA</v>
          </cell>
          <cell r="O1367" t="str">
            <v>-</v>
          </cell>
          <cell r="Q1367" t="str">
            <v>-</v>
          </cell>
          <cell r="S1367" t="str">
            <v>-</v>
          </cell>
          <cell r="U1367">
            <v>0</v>
          </cell>
          <cell r="V1367">
            <v>1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1</v>
          </cell>
          <cell r="AB1367">
            <v>1</v>
          </cell>
          <cell r="AC1367">
            <v>0</v>
          </cell>
          <cell r="AD1367">
            <v>-1</v>
          </cell>
        </row>
        <row r="1368">
          <cell r="A1368" t="str">
            <v>33.30.10122.00</v>
          </cell>
          <cell r="B1368" t="str">
            <v>POSICIONADOR DA BASE / 33.30.10122.00</v>
          </cell>
          <cell r="D1368" t="str">
            <v>-</v>
          </cell>
          <cell r="E1368" t="str">
            <v>-</v>
          </cell>
          <cell r="F1368" t="str">
            <v>-</v>
          </cell>
          <cell r="G1368" t="str">
            <v>-</v>
          </cell>
          <cell r="H1368" t="str">
            <v>-</v>
          </cell>
          <cell r="I1368" t="str">
            <v>-</v>
          </cell>
          <cell r="J1368">
            <v>0</v>
          </cell>
          <cell r="K1368">
            <v>-2</v>
          </cell>
          <cell r="L1368" t="str">
            <v>FALTA ENTREGA</v>
          </cell>
          <cell r="M1368" t="str">
            <v>-</v>
          </cell>
          <cell r="N1368" t="str">
            <v>OC'S METALFISA</v>
          </cell>
          <cell r="O1368" t="str">
            <v>-</v>
          </cell>
          <cell r="Q1368" t="str">
            <v>-</v>
          </cell>
          <cell r="S1368" t="str">
            <v>-</v>
          </cell>
          <cell r="U1368">
            <v>0</v>
          </cell>
          <cell r="V1368">
            <v>2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2</v>
          </cell>
          <cell r="AB1368">
            <v>2</v>
          </cell>
          <cell r="AC1368">
            <v>0</v>
          </cell>
          <cell r="AD1368">
            <v>-2</v>
          </cell>
        </row>
        <row r="1369">
          <cell r="A1369" t="str">
            <v>33.30.10123.00</v>
          </cell>
          <cell r="B1369" t="str">
            <v>CH REFORCO CABECIERA - CARGO GANTRY 01 / 33.30.10123.00</v>
          </cell>
          <cell r="D1369" t="str">
            <v>-</v>
          </cell>
          <cell r="E1369" t="str">
            <v>-</v>
          </cell>
          <cell r="F1369" t="str">
            <v>-</v>
          </cell>
          <cell r="G1369" t="str">
            <v>-</v>
          </cell>
          <cell r="H1369" t="str">
            <v>-</v>
          </cell>
          <cell r="I1369" t="str">
            <v>-</v>
          </cell>
          <cell r="J1369">
            <v>0</v>
          </cell>
          <cell r="K1369">
            <v>-8</v>
          </cell>
          <cell r="L1369" t="str">
            <v>FALTA ENTREGA</v>
          </cell>
          <cell r="M1369" t="str">
            <v>-</v>
          </cell>
          <cell r="N1369" t="str">
            <v>OC'S METALFISA</v>
          </cell>
          <cell r="O1369" t="str">
            <v>-</v>
          </cell>
          <cell r="Q1369" t="str">
            <v>-</v>
          </cell>
          <cell r="S1369" t="str">
            <v>-</v>
          </cell>
          <cell r="U1369">
            <v>0</v>
          </cell>
          <cell r="V1369">
            <v>8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8</v>
          </cell>
          <cell r="AB1369">
            <v>8</v>
          </cell>
          <cell r="AC1369">
            <v>0</v>
          </cell>
          <cell r="AD1369">
            <v>-8</v>
          </cell>
        </row>
        <row r="1370">
          <cell r="A1370" t="str">
            <v>33.30.10141.00</v>
          </cell>
          <cell r="B1370" t="str">
            <v>CONJ. CAIXA DAS TOMADAS 24P INFERIORES / 33.30.10141.00</v>
          </cell>
          <cell r="D1370" t="str">
            <v>-</v>
          </cell>
          <cell r="E1370" t="str">
            <v>-</v>
          </cell>
          <cell r="F1370" t="str">
            <v>-</v>
          </cell>
          <cell r="G1370" t="str">
            <v>-</v>
          </cell>
          <cell r="H1370" t="str">
            <v>-</v>
          </cell>
          <cell r="I1370" t="str">
            <v>-</v>
          </cell>
          <cell r="J1370">
            <v>0</v>
          </cell>
          <cell r="K1370">
            <v>-1</v>
          </cell>
          <cell r="L1370" t="str">
            <v>FALTA ENTREGA</v>
          </cell>
          <cell r="M1370" t="str">
            <v>-</v>
          </cell>
          <cell r="N1370" t="str">
            <v>OC'S METALFISA</v>
          </cell>
          <cell r="O1370" t="str">
            <v>-</v>
          </cell>
          <cell r="Q1370" t="str">
            <v>-</v>
          </cell>
          <cell r="S1370" t="str">
            <v>-</v>
          </cell>
          <cell r="U1370">
            <v>0</v>
          </cell>
          <cell r="V1370">
            <v>1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1</v>
          </cell>
          <cell r="AB1370">
            <v>1</v>
          </cell>
          <cell r="AC1370">
            <v>0</v>
          </cell>
          <cell r="AD1370">
            <v>-1</v>
          </cell>
        </row>
        <row r="1371">
          <cell r="A1371" t="str">
            <v>33.30.10144.00</v>
          </cell>
          <cell r="B1371" t="str">
            <v>TAMPA DA CAIXA DAS TOMADAS 24P INFERIORES / 33.30.10144.00</v>
          </cell>
          <cell r="D1371" t="str">
            <v>-</v>
          </cell>
          <cell r="E1371" t="str">
            <v>-</v>
          </cell>
          <cell r="F1371" t="str">
            <v>-</v>
          </cell>
          <cell r="G1371" t="str">
            <v>-</v>
          </cell>
          <cell r="H1371" t="str">
            <v>-</v>
          </cell>
          <cell r="I1371" t="str">
            <v>-</v>
          </cell>
          <cell r="J1371">
            <v>0</v>
          </cell>
          <cell r="K1371">
            <v>-1</v>
          </cell>
          <cell r="L1371" t="str">
            <v>FALTA ENTREGA</v>
          </cell>
          <cell r="M1371" t="str">
            <v>-</v>
          </cell>
          <cell r="N1371" t="str">
            <v>OC'S METALFISA</v>
          </cell>
          <cell r="O1371" t="str">
            <v>-</v>
          </cell>
          <cell r="Q1371" t="str">
            <v>-</v>
          </cell>
          <cell r="S1371" t="str">
            <v>-</v>
          </cell>
          <cell r="U1371">
            <v>0</v>
          </cell>
          <cell r="V1371">
            <v>1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1</v>
          </cell>
          <cell r="AB1371">
            <v>1</v>
          </cell>
          <cell r="AC1371">
            <v>0</v>
          </cell>
          <cell r="AD1371">
            <v>-1</v>
          </cell>
        </row>
        <row r="1372">
          <cell r="A1372" t="str">
            <v>33.30.10200.00</v>
          </cell>
          <cell r="B1372" t="str">
            <v>CH COLUNA QUADRADA SOLDADA NA CABECEIRA / 33.30.10200.00</v>
          </cell>
          <cell r="D1372" t="str">
            <v>-</v>
          </cell>
          <cell r="E1372" t="str">
            <v>-</v>
          </cell>
          <cell r="F1372" t="str">
            <v>-</v>
          </cell>
          <cell r="G1372" t="str">
            <v>-</v>
          </cell>
          <cell r="H1372" t="str">
            <v>-</v>
          </cell>
          <cell r="I1372" t="str">
            <v>-</v>
          </cell>
          <cell r="J1372">
            <v>0</v>
          </cell>
          <cell r="K1372">
            <v>-1</v>
          </cell>
          <cell r="L1372" t="str">
            <v>FALTA ENTREGA</v>
          </cell>
          <cell r="M1372" t="str">
            <v>-</v>
          </cell>
          <cell r="N1372" t="str">
            <v>OC'S METALFISA</v>
          </cell>
          <cell r="O1372" t="str">
            <v>-</v>
          </cell>
          <cell r="Q1372" t="str">
            <v>-</v>
          </cell>
          <cell r="S1372" t="str">
            <v>-</v>
          </cell>
          <cell r="U1372">
            <v>0</v>
          </cell>
          <cell r="V1372">
            <v>1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1</v>
          </cell>
          <cell r="AB1372">
            <v>1</v>
          </cell>
          <cell r="AC1372">
            <v>0</v>
          </cell>
          <cell r="AD1372">
            <v>-1</v>
          </cell>
        </row>
        <row r="1373">
          <cell r="A1373" t="str">
            <v>33.30.10201.00</v>
          </cell>
          <cell r="B1373" t="str">
            <v>CHAPA COLUNA H SOLDADA NA CABECEIRA / 33.30.10201.00</v>
          </cell>
          <cell r="D1373" t="str">
            <v>-</v>
          </cell>
          <cell r="E1373" t="str">
            <v>-</v>
          </cell>
          <cell r="F1373" t="str">
            <v>-</v>
          </cell>
          <cell r="G1373" t="str">
            <v>-</v>
          </cell>
          <cell r="H1373" t="str">
            <v>-</v>
          </cell>
          <cell r="I1373" t="str">
            <v>-</v>
          </cell>
          <cell r="J1373">
            <v>0</v>
          </cell>
          <cell r="K1373">
            <v>-2</v>
          </cell>
          <cell r="L1373" t="str">
            <v>FALTA ENTREGA</v>
          </cell>
          <cell r="M1373" t="str">
            <v>-</v>
          </cell>
          <cell r="N1373" t="str">
            <v>OC'S METALFISA</v>
          </cell>
          <cell r="O1373" t="str">
            <v>-</v>
          </cell>
          <cell r="Q1373" t="str">
            <v>-</v>
          </cell>
          <cell r="S1373" t="str">
            <v>-</v>
          </cell>
          <cell r="U1373">
            <v>0</v>
          </cell>
          <cell r="V1373">
            <v>2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2</v>
          </cell>
          <cell r="AB1373">
            <v>2</v>
          </cell>
          <cell r="AC1373">
            <v>0</v>
          </cell>
          <cell r="AD1373">
            <v>-2</v>
          </cell>
        </row>
        <row r="1374">
          <cell r="A1374" t="str">
            <v>33.30.10202.00</v>
          </cell>
          <cell r="B1374" t="str">
            <v>CHAPA FIXACAO CORTINA DE LUZ SOLDADA NA CABECEIRA / 33.30.10202.00</v>
          </cell>
          <cell r="D1374" t="str">
            <v>-</v>
          </cell>
          <cell r="E1374" t="str">
            <v>-</v>
          </cell>
          <cell r="F1374" t="str">
            <v>-</v>
          </cell>
          <cell r="G1374" t="str">
            <v>-</v>
          </cell>
          <cell r="H1374" t="str">
            <v>-</v>
          </cell>
          <cell r="I1374" t="str">
            <v>-</v>
          </cell>
          <cell r="J1374">
            <v>0</v>
          </cell>
          <cell r="K1374">
            <v>-4</v>
          </cell>
          <cell r="L1374" t="str">
            <v>FALTA ENTREGA</v>
          </cell>
          <cell r="M1374" t="str">
            <v>-</v>
          </cell>
          <cell r="N1374" t="str">
            <v>OC'S METALFISA</v>
          </cell>
          <cell r="O1374" t="str">
            <v>-</v>
          </cell>
          <cell r="Q1374" t="str">
            <v>-</v>
          </cell>
          <cell r="S1374" t="str">
            <v>-</v>
          </cell>
          <cell r="U1374">
            <v>0</v>
          </cell>
          <cell r="V1374">
            <v>4</v>
          </cell>
          <cell r="W1374">
            <v>0</v>
          </cell>
          <cell r="X1374">
            <v>0</v>
          </cell>
          <cell r="Y1374">
            <v>0</v>
          </cell>
          <cell r="Z1374">
            <v>0</v>
          </cell>
          <cell r="AA1374">
            <v>4</v>
          </cell>
          <cell r="AB1374">
            <v>4</v>
          </cell>
          <cell r="AC1374">
            <v>0</v>
          </cell>
          <cell r="AD1374">
            <v>-4</v>
          </cell>
        </row>
        <row r="1375">
          <cell r="A1375" t="str">
            <v>33.30.10203.00</v>
          </cell>
          <cell r="B1375" t="str">
            <v>CHAPA REFORCO COLUNA H SOLDADA NA CABECEIRA / 33.30.10203.00</v>
          </cell>
          <cell r="D1375" t="str">
            <v>-</v>
          </cell>
          <cell r="E1375" t="str">
            <v>-</v>
          </cell>
          <cell r="F1375" t="str">
            <v>-</v>
          </cell>
          <cell r="G1375" t="str">
            <v>-</v>
          </cell>
          <cell r="H1375" t="str">
            <v>-</v>
          </cell>
          <cell r="I1375" t="str">
            <v>-</v>
          </cell>
          <cell r="J1375">
            <v>0</v>
          </cell>
          <cell r="K1375">
            <v>-10</v>
          </cell>
          <cell r="L1375" t="str">
            <v>FALTA ENTREGA</v>
          </cell>
          <cell r="M1375" t="str">
            <v>-</v>
          </cell>
          <cell r="N1375" t="str">
            <v>OC'S METALFISA</v>
          </cell>
          <cell r="O1375" t="str">
            <v>-</v>
          </cell>
          <cell r="Q1375" t="str">
            <v>-</v>
          </cell>
          <cell r="S1375" t="str">
            <v>-</v>
          </cell>
          <cell r="U1375">
            <v>0</v>
          </cell>
          <cell r="V1375">
            <v>10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  <cell r="AA1375">
            <v>10</v>
          </cell>
          <cell r="AB1375">
            <v>10</v>
          </cell>
          <cell r="AC1375">
            <v>0</v>
          </cell>
          <cell r="AD1375">
            <v>-10</v>
          </cell>
        </row>
        <row r="1376">
          <cell r="A1376" t="str">
            <v>33.30.10207.00</v>
          </cell>
          <cell r="B1376" t="str">
            <v>BASE SOLDADA CHILLER / 33.30.10207.00</v>
          </cell>
          <cell r="D1376" t="str">
            <v>-</v>
          </cell>
          <cell r="E1376" t="str">
            <v>-</v>
          </cell>
          <cell r="F1376" t="str">
            <v>-</v>
          </cell>
          <cell r="G1376" t="str">
            <v>-</v>
          </cell>
          <cell r="H1376" t="str">
            <v>-</v>
          </cell>
          <cell r="I1376" t="str">
            <v>-</v>
          </cell>
          <cell r="J1376">
            <v>0</v>
          </cell>
          <cell r="K1376">
            <v>-1</v>
          </cell>
          <cell r="L1376" t="str">
            <v>FALTA ENTREGA</v>
          </cell>
          <cell r="M1376" t="str">
            <v>-</v>
          </cell>
          <cell r="N1376" t="str">
            <v>OC'S METALFISA</v>
          </cell>
          <cell r="O1376" t="str">
            <v>-</v>
          </cell>
          <cell r="Q1376" t="str">
            <v>-</v>
          </cell>
          <cell r="S1376" t="str">
            <v>-</v>
          </cell>
          <cell r="U1376">
            <v>0</v>
          </cell>
          <cell r="V1376">
            <v>1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1</v>
          </cell>
          <cell r="AB1376">
            <v>1</v>
          </cell>
          <cell r="AC1376">
            <v>0</v>
          </cell>
          <cell r="AD1376">
            <v>-1</v>
          </cell>
        </row>
        <row r="1377">
          <cell r="A1377" t="str">
            <v>33.30.10211.00</v>
          </cell>
          <cell r="B1377" t="str">
            <v>BASE DE REGULAGEM DO LINATRON / 33.30.10211.00</v>
          </cell>
          <cell r="D1377" t="str">
            <v>-</v>
          </cell>
          <cell r="E1377" t="str">
            <v>-</v>
          </cell>
          <cell r="F1377" t="str">
            <v>-</v>
          </cell>
          <cell r="G1377" t="str">
            <v>-</v>
          </cell>
          <cell r="H1377" t="str">
            <v>-</v>
          </cell>
          <cell r="I1377" t="str">
            <v>-</v>
          </cell>
          <cell r="J1377">
            <v>0</v>
          </cell>
          <cell r="K1377">
            <v>-1</v>
          </cell>
          <cell r="L1377" t="str">
            <v>FALTA ENTREGA</v>
          </cell>
          <cell r="M1377" t="str">
            <v>-</v>
          </cell>
          <cell r="N1377" t="str">
            <v>OC'S METALFISA</v>
          </cell>
          <cell r="O1377" t="str">
            <v>-</v>
          </cell>
          <cell r="Q1377" t="str">
            <v>-</v>
          </cell>
          <cell r="S1377" t="str">
            <v>-</v>
          </cell>
          <cell r="U1377">
            <v>0</v>
          </cell>
          <cell r="V1377">
            <v>1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1</v>
          </cell>
          <cell r="AB1377">
            <v>1</v>
          </cell>
          <cell r="AC1377">
            <v>0</v>
          </cell>
          <cell r="AD1377">
            <v>-1</v>
          </cell>
        </row>
        <row r="1378">
          <cell r="A1378" t="str">
            <v>33.30.10227.00</v>
          </cell>
          <cell r="B1378" t="str">
            <v>CANTONEIRA SUSTENTACAO DA BASE / 33.30.10227.00</v>
          </cell>
          <cell r="D1378" t="str">
            <v>-</v>
          </cell>
          <cell r="E1378" t="str">
            <v>-</v>
          </cell>
          <cell r="F1378" t="str">
            <v>-</v>
          </cell>
          <cell r="G1378" t="str">
            <v>-</v>
          </cell>
          <cell r="H1378" t="str">
            <v>-</v>
          </cell>
          <cell r="I1378" t="str">
            <v>-</v>
          </cell>
          <cell r="J1378">
            <v>0</v>
          </cell>
          <cell r="K1378">
            <v>-4</v>
          </cell>
          <cell r="L1378" t="str">
            <v>FALTA ENTREGA</v>
          </cell>
          <cell r="M1378" t="str">
            <v>-</v>
          </cell>
          <cell r="N1378" t="str">
            <v>OC'S METALFISA</v>
          </cell>
          <cell r="O1378" t="str">
            <v>-</v>
          </cell>
          <cell r="Q1378" t="str">
            <v>-</v>
          </cell>
          <cell r="S1378" t="str">
            <v>-</v>
          </cell>
          <cell r="U1378">
            <v>0</v>
          </cell>
          <cell r="V1378">
            <v>4</v>
          </cell>
          <cell r="W1378">
            <v>0</v>
          </cell>
          <cell r="X1378">
            <v>0</v>
          </cell>
          <cell r="Y1378">
            <v>0</v>
          </cell>
          <cell r="Z1378">
            <v>0</v>
          </cell>
          <cell r="AA1378">
            <v>4</v>
          </cell>
          <cell r="AB1378">
            <v>4</v>
          </cell>
          <cell r="AC1378">
            <v>0</v>
          </cell>
          <cell r="AD1378">
            <v>-4</v>
          </cell>
        </row>
        <row r="1379">
          <cell r="A1379" t="str">
            <v>33.30.10231.00</v>
          </cell>
          <cell r="B1379" t="str">
            <v>CHAPA XADREZ PISO - CARGO GANTRY 01 / 33.30.10231.00</v>
          </cell>
          <cell r="D1379" t="str">
            <v>-</v>
          </cell>
          <cell r="E1379" t="str">
            <v>-</v>
          </cell>
          <cell r="F1379" t="str">
            <v>-</v>
          </cell>
          <cell r="G1379" t="str">
            <v>-</v>
          </cell>
          <cell r="H1379" t="str">
            <v>-</v>
          </cell>
          <cell r="I1379" t="str">
            <v>-</v>
          </cell>
          <cell r="J1379">
            <v>0</v>
          </cell>
          <cell r="K1379">
            <v>-1</v>
          </cell>
          <cell r="L1379" t="str">
            <v>FALTA ENTREGA</v>
          </cell>
          <cell r="M1379" t="str">
            <v>-</v>
          </cell>
          <cell r="N1379" t="str">
            <v>OC'S METALFISA</v>
          </cell>
          <cell r="O1379" t="str">
            <v>-</v>
          </cell>
          <cell r="Q1379" t="str">
            <v>-</v>
          </cell>
          <cell r="S1379" t="str">
            <v>-</v>
          </cell>
          <cell r="U1379">
            <v>0</v>
          </cell>
          <cell r="V1379">
            <v>1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A1379">
            <v>1</v>
          </cell>
          <cell r="AB1379">
            <v>1</v>
          </cell>
          <cell r="AC1379">
            <v>0</v>
          </cell>
          <cell r="AD1379">
            <v>-1</v>
          </cell>
        </row>
        <row r="1380">
          <cell r="A1380" t="str">
            <v>33.30.10246.00</v>
          </cell>
          <cell r="B1380" t="str">
            <v>BASE SOLDADA CARGO GANTRY / 33.30.10246.00</v>
          </cell>
          <cell r="D1380" t="str">
            <v>-</v>
          </cell>
          <cell r="E1380" t="str">
            <v>-</v>
          </cell>
          <cell r="F1380" t="str">
            <v>-</v>
          </cell>
          <cell r="G1380" t="str">
            <v>-</v>
          </cell>
          <cell r="H1380" t="str">
            <v>-</v>
          </cell>
          <cell r="I1380" t="str">
            <v>-</v>
          </cell>
          <cell r="J1380">
            <v>0</v>
          </cell>
          <cell r="K1380">
            <v>-1</v>
          </cell>
          <cell r="L1380" t="str">
            <v>FALTA ENTREGA</v>
          </cell>
          <cell r="M1380" t="str">
            <v>-</v>
          </cell>
          <cell r="N1380" t="str">
            <v>OC'S METALFISA</v>
          </cell>
          <cell r="O1380" t="str">
            <v>-</v>
          </cell>
          <cell r="Q1380" t="str">
            <v>-</v>
          </cell>
          <cell r="S1380" t="str">
            <v>-</v>
          </cell>
          <cell r="U1380">
            <v>0</v>
          </cell>
          <cell r="V1380">
            <v>1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1</v>
          </cell>
          <cell r="AB1380">
            <v>1</v>
          </cell>
          <cell r="AC1380">
            <v>0</v>
          </cell>
          <cell r="AD1380">
            <v>-1</v>
          </cell>
        </row>
        <row r="1381">
          <cell r="A1381" t="str">
            <v>33.30.10248.00</v>
          </cell>
          <cell r="B1381" t="str">
            <v>CH FRONTAL SUPORTE HUB / 33.30.10248.00</v>
          </cell>
          <cell r="D1381" t="str">
            <v>-</v>
          </cell>
          <cell r="E1381" t="str">
            <v>-</v>
          </cell>
          <cell r="F1381" t="str">
            <v>-</v>
          </cell>
          <cell r="G1381" t="str">
            <v>-</v>
          </cell>
          <cell r="H1381" t="str">
            <v>-</v>
          </cell>
          <cell r="I1381" t="str">
            <v>-</v>
          </cell>
          <cell r="J1381">
            <v>0</v>
          </cell>
          <cell r="K1381">
            <v>-2</v>
          </cell>
          <cell r="L1381" t="str">
            <v>FALTA ENTREGA</v>
          </cell>
          <cell r="M1381" t="str">
            <v>-</v>
          </cell>
          <cell r="N1381" t="str">
            <v>OC'S METALFISA</v>
          </cell>
          <cell r="O1381" t="str">
            <v>-</v>
          </cell>
          <cell r="Q1381" t="str">
            <v>-</v>
          </cell>
          <cell r="S1381" t="str">
            <v>-</v>
          </cell>
          <cell r="U1381">
            <v>0</v>
          </cell>
          <cell r="V1381">
            <v>2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2</v>
          </cell>
          <cell r="AB1381">
            <v>2</v>
          </cell>
          <cell r="AC1381">
            <v>0</v>
          </cell>
          <cell r="AD1381">
            <v>-2</v>
          </cell>
        </row>
        <row r="1382">
          <cell r="A1382" t="str">
            <v>33.30.10251.00</v>
          </cell>
          <cell r="B1382" t="str">
            <v>ESTRUTURA SUPORTE HUB / 33.30.10251.00</v>
          </cell>
          <cell r="D1382" t="str">
            <v>-</v>
          </cell>
          <cell r="E1382" t="str">
            <v>-</v>
          </cell>
          <cell r="F1382" t="str">
            <v>-</v>
          </cell>
          <cell r="G1382" t="str">
            <v>-</v>
          </cell>
          <cell r="H1382" t="str">
            <v>-</v>
          </cell>
          <cell r="I1382" t="str">
            <v>-</v>
          </cell>
          <cell r="J1382">
            <v>0</v>
          </cell>
          <cell r="K1382">
            <v>-1</v>
          </cell>
          <cell r="L1382" t="str">
            <v>FALTA ENTREGA</v>
          </cell>
          <cell r="M1382" t="str">
            <v>-</v>
          </cell>
          <cell r="N1382" t="str">
            <v>OC'S METALFISA</v>
          </cell>
          <cell r="O1382" t="str">
            <v>-</v>
          </cell>
          <cell r="Q1382" t="str">
            <v>-</v>
          </cell>
          <cell r="S1382" t="str">
            <v>-</v>
          </cell>
          <cell r="U1382">
            <v>0</v>
          </cell>
          <cell r="V1382">
            <v>1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A1382">
            <v>1</v>
          </cell>
          <cell r="AB1382">
            <v>1</v>
          </cell>
          <cell r="AC1382">
            <v>0</v>
          </cell>
          <cell r="AD1382">
            <v>-1</v>
          </cell>
        </row>
        <row r="1383">
          <cell r="A1383" t="str">
            <v>33.30.10254.00</v>
          </cell>
          <cell r="B1383" t="str">
            <v>TAMPA CALHA VERTICAL PAINEL / 33.30.10254.00</v>
          </cell>
          <cell r="D1383" t="str">
            <v>-</v>
          </cell>
          <cell r="E1383" t="str">
            <v>-</v>
          </cell>
          <cell r="F1383" t="str">
            <v>-</v>
          </cell>
          <cell r="G1383" t="str">
            <v>-</v>
          </cell>
          <cell r="H1383" t="str">
            <v>-</v>
          </cell>
          <cell r="I1383" t="str">
            <v>-</v>
          </cell>
          <cell r="J1383">
            <v>0</v>
          </cell>
          <cell r="K1383">
            <v>-1</v>
          </cell>
          <cell r="L1383" t="str">
            <v>FALTA ENTREGA</v>
          </cell>
          <cell r="M1383" t="str">
            <v>-</v>
          </cell>
          <cell r="N1383" t="str">
            <v>OC'S METALFISA</v>
          </cell>
          <cell r="O1383" t="str">
            <v>-</v>
          </cell>
          <cell r="Q1383" t="str">
            <v>-</v>
          </cell>
          <cell r="S1383" t="str">
            <v>-</v>
          </cell>
          <cell r="U1383">
            <v>0</v>
          </cell>
          <cell r="V1383">
            <v>1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1</v>
          </cell>
          <cell r="AB1383">
            <v>1</v>
          </cell>
          <cell r="AC1383">
            <v>0</v>
          </cell>
          <cell r="AD1383">
            <v>-1</v>
          </cell>
        </row>
        <row r="1384">
          <cell r="A1384" t="str">
            <v>33.30.10255.00</v>
          </cell>
          <cell r="B1384" t="str">
            <v>TAMPA CALHA CHILLER / 33.30.10255.00</v>
          </cell>
          <cell r="D1384" t="str">
            <v>-</v>
          </cell>
          <cell r="E1384" t="str">
            <v>-</v>
          </cell>
          <cell r="F1384" t="str">
            <v>-</v>
          </cell>
          <cell r="G1384" t="str">
            <v>-</v>
          </cell>
          <cell r="H1384" t="str">
            <v>-</v>
          </cell>
          <cell r="I1384" t="str">
            <v>-</v>
          </cell>
          <cell r="J1384">
            <v>0</v>
          </cell>
          <cell r="K1384">
            <v>-3</v>
          </cell>
          <cell r="L1384" t="str">
            <v>FALTA ENTREGA</v>
          </cell>
          <cell r="M1384" t="str">
            <v>-</v>
          </cell>
          <cell r="N1384" t="str">
            <v>OC'S METALFISA</v>
          </cell>
          <cell r="O1384" t="str">
            <v>-</v>
          </cell>
          <cell r="Q1384" t="str">
            <v>-</v>
          </cell>
          <cell r="S1384" t="str">
            <v>-</v>
          </cell>
          <cell r="U1384">
            <v>0</v>
          </cell>
          <cell r="V1384">
            <v>3</v>
          </cell>
          <cell r="W1384">
            <v>0</v>
          </cell>
          <cell r="X1384">
            <v>0</v>
          </cell>
          <cell r="Y1384">
            <v>0</v>
          </cell>
          <cell r="Z1384">
            <v>0</v>
          </cell>
          <cell r="AA1384">
            <v>3</v>
          </cell>
          <cell r="AB1384">
            <v>3</v>
          </cell>
          <cell r="AC1384">
            <v>0</v>
          </cell>
          <cell r="AD1384">
            <v>-3</v>
          </cell>
        </row>
        <row r="1385">
          <cell r="A1385" t="str">
            <v>33.31.10056.00</v>
          </cell>
          <cell r="B1385" t="str">
            <v>ACABAMENTO INFERIOR TUNEL / 33.31.10056.00</v>
          </cell>
          <cell r="D1385" t="str">
            <v>-</v>
          </cell>
          <cell r="E1385" t="str">
            <v>-</v>
          </cell>
          <cell r="F1385" t="str">
            <v>-</v>
          </cell>
          <cell r="G1385" t="str">
            <v>-</v>
          </cell>
          <cell r="H1385" t="str">
            <v>-</v>
          </cell>
          <cell r="I1385" t="str">
            <v>-</v>
          </cell>
          <cell r="J1385">
            <v>0</v>
          </cell>
          <cell r="K1385">
            <v>2</v>
          </cell>
          <cell r="L1385" t="str">
            <v>ENTREGA TOTAL</v>
          </cell>
          <cell r="M1385" t="str">
            <v>-</v>
          </cell>
          <cell r="N1385" t="str">
            <v>OC'S METALFISA</v>
          </cell>
          <cell r="O1385">
            <v>2</v>
          </cell>
          <cell r="P1385" t="str">
            <v>OC'S GRANATO</v>
          </cell>
          <cell r="Q1385" t="str">
            <v>-</v>
          </cell>
          <cell r="S1385" t="str">
            <v>-</v>
          </cell>
          <cell r="U1385">
            <v>2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2</v>
          </cell>
          <cell r="AA1385">
            <v>2</v>
          </cell>
          <cell r="AB1385">
            <v>0</v>
          </cell>
          <cell r="AC1385">
            <v>2</v>
          </cell>
          <cell r="AD1385">
            <v>0</v>
          </cell>
        </row>
        <row r="1386">
          <cell r="A1386" t="str">
            <v>33.31.10061.00</v>
          </cell>
          <cell r="B1386" t="str">
            <v>BASE DO CONJUNTO PEDESTAL / 33.31.10061.00</v>
          </cell>
          <cell r="D1386" t="str">
            <v>-</v>
          </cell>
          <cell r="E1386" t="str">
            <v>-</v>
          </cell>
          <cell r="F1386" t="str">
            <v>-</v>
          </cell>
          <cell r="G1386" t="str">
            <v>-</v>
          </cell>
          <cell r="H1386" t="str">
            <v>-</v>
          </cell>
          <cell r="I1386" t="str">
            <v>-</v>
          </cell>
          <cell r="J1386">
            <v>0</v>
          </cell>
          <cell r="K1386" t="e">
            <v>#VALUE!</v>
          </cell>
          <cell r="L1386" t="str">
            <v>ENTREGA TOTAL</v>
          </cell>
          <cell r="M1386" t="str">
            <v>-</v>
          </cell>
          <cell r="N1386" t="str">
            <v>OC'S METALFISA</v>
          </cell>
          <cell r="O1386" t="str">
            <v>-</v>
          </cell>
          <cell r="Q1386" t="str">
            <v>-</v>
          </cell>
          <cell r="S1386" t="str">
            <v>-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1</v>
          </cell>
          <cell r="AA1386">
            <v>1</v>
          </cell>
          <cell r="AB1386" t="str">
            <v>0</v>
          </cell>
          <cell r="AC1386" t="str">
            <v>-</v>
          </cell>
          <cell r="AD1386" t="str">
            <v>-</v>
          </cell>
        </row>
        <row r="1387">
          <cell r="A1387" t="str">
            <v>33.31.10065.01</v>
          </cell>
          <cell r="B1387" t="str">
            <v>BATENTE PARA GUIA DO TECLADO / 33.31.10065.01</v>
          </cell>
          <cell r="D1387" t="str">
            <v>-</v>
          </cell>
          <cell r="E1387" t="str">
            <v>-</v>
          </cell>
          <cell r="F1387" t="str">
            <v>-</v>
          </cell>
          <cell r="G1387" t="str">
            <v>-</v>
          </cell>
          <cell r="H1387" t="str">
            <v>-</v>
          </cell>
          <cell r="I1387" t="str">
            <v>-</v>
          </cell>
          <cell r="J1387">
            <v>0</v>
          </cell>
          <cell r="K1387" t="e">
            <v>#VALUE!</v>
          </cell>
          <cell r="L1387" t="str">
            <v>ENTREGA TOTAL</v>
          </cell>
          <cell r="M1387" t="str">
            <v>-</v>
          </cell>
          <cell r="N1387" t="str">
            <v>OC'S METALFISA</v>
          </cell>
          <cell r="O1387" t="str">
            <v>-</v>
          </cell>
          <cell r="Q1387" t="str">
            <v>-</v>
          </cell>
          <cell r="S1387" t="str">
            <v>-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1</v>
          </cell>
          <cell r="AA1387">
            <v>1</v>
          </cell>
          <cell r="AB1387" t="str">
            <v>0</v>
          </cell>
          <cell r="AC1387" t="str">
            <v>-</v>
          </cell>
          <cell r="AD1387" t="str">
            <v>-</v>
          </cell>
        </row>
        <row r="1388">
          <cell r="A1388" t="str">
            <v>33.31.10066.00</v>
          </cell>
          <cell r="B1388" t="str">
            <v>TAMPA TRASEIRA DO CONJ. PEDESTAL / 33.31.10066.00</v>
          </cell>
          <cell r="D1388" t="str">
            <v>-</v>
          </cell>
          <cell r="E1388" t="str">
            <v>-</v>
          </cell>
          <cell r="F1388" t="str">
            <v>-</v>
          </cell>
          <cell r="G1388" t="str">
            <v>-</v>
          </cell>
          <cell r="H1388" t="str">
            <v>-</v>
          </cell>
          <cell r="I1388" t="str">
            <v>-</v>
          </cell>
          <cell r="J1388">
            <v>0</v>
          </cell>
          <cell r="K1388">
            <v>0</v>
          </cell>
          <cell r="L1388" t="str">
            <v>FALTA ENTREGA</v>
          </cell>
          <cell r="M1388" t="str">
            <v>-</v>
          </cell>
          <cell r="N1388" t="str">
            <v>OC'S METALFISA</v>
          </cell>
          <cell r="O1388">
            <v>1</v>
          </cell>
          <cell r="P1388" t="str">
            <v>OC'S GRANATO</v>
          </cell>
          <cell r="Q1388" t="str">
            <v>-</v>
          </cell>
          <cell r="S1388" t="str">
            <v>-</v>
          </cell>
          <cell r="U1388">
            <v>1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1</v>
          </cell>
          <cell r="AA1388">
            <v>1</v>
          </cell>
          <cell r="AB1388">
            <v>0</v>
          </cell>
          <cell r="AC1388">
            <v>0</v>
          </cell>
          <cell r="AD1388">
            <v>-1</v>
          </cell>
        </row>
        <row r="1389">
          <cell r="A1389" t="str">
            <v>33.31.10067.01</v>
          </cell>
          <cell r="B1389" t="str">
            <v>ESTRUTURA DO CONJUNTO PEDESTAL / 33.31.10067.01</v>
          </cell>
          <cell r="D1389" t="str">
            <v>-</v>
          </cell>
          <cell r="E1389" t="str">
            <v>-</v>
          </cell>
          <cell r="F1389" t="str">
            <v>-</v>
          </cell>
          <cell r="G1389" t="str">
            <v>-</v>
          </cell>
          <cell r="H1389" t="str">
            <v>-</v>
          </cell>
          <cell r="I1389" t="str">
            <v>-</v>
          </cell>
          <cell r="J1389">
            <v>0</v>
          </cell>
          <cell r="K1389" t="e">
            <v>#VALUE!</v>
          </cell>
          <cell r="L1389" t="str">
            <v>ENTREGA TOTAL</v>
          </cell>
          <cell r="M1389" t="str">
            <v>-</v>
          </cell>
          <cell r="N1389" t="str">
            <v>OC'S METALFISA</v>
          </cell>
          <cell r="O1389" t="str">
            <v>-</v>
          </cell>
          <cell r="Q1389" t="str">
            <v>-</v>
          </cell>
          <cell r="S1389" t="str">
            <v>-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1</v>
          </cell>
          <cell r="AA1389">
            <v>1</v>
          </cell>
          <cell r="AB1389" t="str">
            <v>0</v>
          </cell>
          <cell r="AC1389" t="str">
            <v>-</v>
          </cell>
          <cell r="AD1389" t="str">
            <v>-</v>
          </cell>
        </row>
        <row r="1390">
          <cell r="A1390" t="str">
            <v>33.31.10068.01</v>
          </cell>
          <cell r="B1390" t="str">
            <v>SUPORTE DO TECLADO DO CONJUNTO PEDESTAL / 33.31.10068.01</v>
          </cell>
          <cell r="D1390" t="str">
            <v>-</v>
          </cell>
          <cell r="E1390" t="str">
            <v>-</v>
          </cell>
          <cell r="F1390" t="str">
            <v>-</v>
          </cell>
          <cell r="G1390" t="str">
            <v>-</v>
          </cell>
          <cell r="H1390" t="str">
            <v>-</v>
          </cell>
          <cell r="I1390" t="str">
            <v>-</v>
          </cell>
          <cell r="J1390">
            <v>0</v>
          </cell>
          <cell r="K1390" t="e">
            <v>#VALUE!</v>
          </cell>
          <cell r="L1390" t="str">
            <v>ENTREGA TOTAL</v>
          </cell>
          <cell r="M1390" t="str">
            <v>-</v>
          </cell>
          <cell r="N1390" t="str">
            <v>OC'S METALFISA</v>
          </cell>
          <cell r="O1390" t="str">
            <v>-</v>
          </cell>
          <cell r="Q1390" t="str">
            <v>-</v>
          </cell>
          <cell r="S1390" t="str">
            <v>-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1</v>
          </cell>
          <cell r="AA1390">
            <v>1</v>
          </cell>
          <cell r="AB1390" t="str">
            <v>0</v>
          </cell>
          <cell r="AC1390" t="str">
            <v>-</v>
          </cell>
          <cell r="AD1390" t="str">
            <v>-</v>
          </cell>
        </row>
        <row r="1391">
          <cell r="A1391" t="str">
            <v>33.31.10080.01</v>
          </cell>
          <cell r="B1391" t="str">
            <v>ESTRUTURA DO QUADRO GABINETE PC / 33.31.10080.01</v>
          </cell>
          <cell r="D1391" t="str">
            <v>-</v>
          </cell>
          <cell r="E1391" t="str">
            <v>-</v>
          </cell>
          <cell r="F1391" t="str">
            <v>-</v>
          </cell>
          <cell r="G1391" t="str">
            <v>-</v>
          </cell>
          <cell r="H1391" t="str">
            <v>-</v>
          </cell>
          <cell r="I1391" t="str">
            <v>-</v>
          </cell>
          <cell r="J1391">
            <v>0</v>
          </cell>
          <cell r="K1391" t="e">
            <v>#VALUE!</v>
          </cell>
          <cell r="L1391" t="str">
            <v>ENTREGA TOTAL</v>
          </cell>
          <cell r="M1391" t="str">
            <v>-</v>
          </cell>
          <cell r="N1391" t="str">
            <v>OC'S METALFISA</v>
          </cell>
          <cell r="O1391" t="str">
            <v>-</v>
          </cell>
          <cell r="Q1391" t="str">
            <v>-</v>
          </cell>
          <cell r="S1391" t="str">
            <v>-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1</v>
          </cell>
          <cell r="AA1391">
            <v>1</v>
          </cell>
          <cell r="AB1391" t="str">
            <v>0</v>
          </cell>
          <cell r="AC1391" t="str">
            <v>-</v>
          </cell>
          <cell r="AD1391" t="str">
            <v>-</v>
          </cell>
        </row>
        <row r="1392">
          <cell r="A1392" t="str">
            <v>33.31.10093.00</v>
          </cell>
          <cell r="B1392" t="str">
            <v>SUPORTE AMARRA CABOS / 33.31.10093.00</v>
          </cell>
          <cell r="C1392">
            <v>46066</v>
          </cell>
          <cell r="D1392" t="str">
            <v>-</v>
          </cell>
          <cell r="E1392" t="str">
            <v>-</v>
          </cell>
          <cell r="F1392" t="str">
            <v>-</v>
          </cell>
          <cell r="G1392" t="str">
            <v>-</v>
          </cell>
          <cell r="H1392" t="str">
            <v>-</v>
          </cell>
          <cell r="I1392" t="str">
            <v>-</v>
          </cell>
          <cell r="J1392">
            <v>0</v>
          </cell>
          <cell r="K1392">
            <v>4</v>
          </cell>
          <cell r="L1392" t="str">
            <v>ENTREGA TOTAL</v>
          </cell>
          <cell r="M1392" t="str">
            <v>-</v>
          </cell>
          <cell r="N1392" t="str">
            <v>OC'S METALFISA</v>
          </cell>
          <cell r="O1392">
            <v>4</v>
          </cell>
          <cell r="P1392" t="str">
            <v>OC'S GRANATO</v>
          </cell>
          <cell r="Q1392" t="str">
            <v>-</v>
          </cell>
          <cell r="S1392" t="str">
            <v>-</v>
          </cell>
          <cell r="U1392">
            <v>4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4</v>
          </cell>
          <cell r="AA1392">
            <v>4</v>
          </cell>
          <cell r="AB1392">
            <v>0</v>
          </cell>
          <cell r="AC1392">
            <v>4</v>
          </cell>
          <cell r="AD1392">
            <v>0</v>
          </cell>
        </row>
        <row r="1393">
          <cell r="A1393" t="str">
            <v>33.31.10517.01</v>
          </cell>
          <cell r="B1393" t="str">
            <v>RODIZIO SUPERIOR / 33.31.10517.01</v>
          </cell>
          <cell r="D1393" t="str">
            <v>-</v>
          </cell>
          <cell r="E1393" t="str">
            <v>-</v>
          </cell>
          <cell r="F1393" t="str">
            <v>-</v>
          </cell>
          <cell r="G1393" t="str">
            <v>-</v>
          </cell>
          <cell r="H1393" t="str">
            <v>-</v>
          </cell>
          <cell r="I1393" t="str">
            <v>-</v>
          </cell>
          <cell r="J1393">
            <v>0</v>
          </cell>
          <cell r="K1393">
            <v>12</v>
          </cell>
          <cell r="L1393" t="str">
            <v>FALTA ENTREGA</v>
          </cell>
          <cell r="M1393" t="str">
            <v>-</v>
          </cell>
          <cell r="N1393" t="str">
            <v>OC'S METALFISA</v>
          </cell>
          <cell r="O1393">
            <v>16</v>
          </cell>
          <cell r="P1393" t="str">
            <v>OC'S GRANATO</v>
          </cell>
          <cell r="Q1393" t="str">
            <v>-</v>
          </cell>
          <cell r="S1393" t="str">
            <v>-</v>
          </cell>
          <cell r="U1393">
            <v>16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4</v>
          </cell>
          <cell r="AA1393">
            <v>4</v>
          </cell>
          <cell r="AB1393">
            <v>0</v>
          </cell>
          <cell r="AC1393">
            <v>0</v>
          </cell>
          <cell r="AD1393">
            <v>-4</v>
          </cell>
        </row>
        <row r="1394">
          <cell r="A1394" t="str">
            <v>33.31.10525.00</v>
          </cell>
          <cell r="B1394" t="str">
            <v>PERFIL INF. 01 / 33.31.10525.00</v>
          </cell>
          <cell r="D1394" t="str">
            <v>-</v>
          </cell>
          <cell r="E1394" t="str">
            <v>-</v>
          </cell>
          <cell r="F1394" t="str">
            <v>-</v>
          </cell>
          <cell r="G1394" t="str">
            <v>-</v>
          </cell>
          <cell r="H1394" t="str">
            <v>-</v>
          </cell>
          <cell r="I1394" t="str">
            <v>-</v>
          </cell>
          <cell r="J1394">
            <v>0</v>
          </cell>
          <cell r="K1394">
            <v>-5</v>
          </cell>
          <cell r="L1394" t="str">
            <v>FALTA ENTREGA</v>
          </cell>
          <cell r="M1394" t="str">
            <v>-</v>
          </cell>
          <cell r="N1394" t="str">
            <v>OC'S METALFISA</v>
          </cell>
          <cell r="O1394" t="str">
            <v>-</v>
          </cell>
          <cell r="Q1394" t="str">
            <v>-</v>
          </cell>
          <cell r="S1394" t="str">
            <v>-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5</v>
          </cell>
          <cell r="AA1394">
            <v>5</v>
          </cell>
          <cell r="AB1394">
            <v>0</v>
          </cell>
          <cell r="AC1394">
            <v>0</v>
          </cell>
          <cell r="AD1394">
            <v>-5</v>
          </cell>
        </row>
        <row r="1395">
          <cell r="A1395" t="str">
            <v>33.31.10544.01</v>
          </cell>
          <cell r="B1395" t="str">
            <v>MONT. SUP. DA PORTA. / 33.31.10544.01</v>
          </cell>
          <cell r="D1395" t="str">
            <v>-</v>
          </cell>
          <cell r="E1395" t="str">
            <v>-</v>
          </cell>
          <cell r="F1395" t="str">
            <v>-</v>
          </cell>
          <cell r="G1395" t="str">
            <v>-</v>
          </cell>
          <cell r="H1395" t="str">
            <v>-</v>
          </cell>
          <cell r="I1395" t="str">
            <v>-</v>
          </cell>
          <cell r="J1395">
            <v>0</v>
          </cell>
          <cell r="K1395">
            <v>-2</v>
          </cell>
          <cell r="L1395" t="str">
            <v>FALTA ENTREGA</v>
          </cell>
          <cell r="M1395" t="str">
            <v>-</v>
          </cell>
          <cell r="N1395" t="str">
            <v>OC'S METALFISA</v>
          </cell>
          <cell r="O1395" t="str">
            <v>-</v>
          </cell>
          <cell r="Q1395" t="str">
            <v>-</v>
          </cell>
          <cell r="S1395" t="str">
            <v>-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2</v>
          </cell>
          <cell r="AA1395">
            <v>2</v>
          </cell>
          <cell r="AB1395">
            <v>0</v>
          </cell>
          <cell r="AC1395">
            <v>0</v>
          </cell>
          <cell r="AD1395">
            <v>-2</v>
          </cell>
        </row>
        <row r="1396">
          <cell r="A1396" t="str">
            <v>33.31.10554.00</v>
          </cell>
          <cell r="B1396" t="str">
            <v>CALHA DE CABOS / 33.31.10554.00</v>
          </cell>
          <cell r="D1396" t="str">
            <v>-</v>
          </cell>
          <cell r="E1396" t="str">
            <v>-</v>
          </cell>
          <cell r="F1396" t="str">
            <v>-</v>
          </cell>
          <cell r="G1396" t="str">
            <v>-</v>
          </cell>
          <cell r="H1396" t="str">
            <v>-</v>
          </cell>
          <cell r="I1396" t="str">
            <v>-</v>
          </cell>
          <cell r="J1396">
            <v>0</v>
          </cell>
          <cell r="K1396">
            <v>-2</v>
          </cell>
          <cell r="L1396" t="str">
            <v>FALTA ENTREGA</v>
          </cell>
          <cell r="M1396" t="str">
            <v>-</v>
          </cell>
          <cell r="N1396" t="str">
            <v>OC'S METALFISA</v>
          </cell>
          <cell r="O1396" t="str">
            <v>-</v>
          </cell>
          <cell r="Q1396" t="str">
            <v>-</v>
          </cell>
          <cell r="S1396" t="str">
            <v>-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2</v>
          </cell>
          <cell r="AA1396">
            <v>2</v>
          </cell>
          <cell r="AB1396">
            <v>0</v>
          </cell>
          <cell r="AC1396">
            <v>0</v>
          </cell>
          <cell r="AD1396">
            <v>-2</v>
          </cell>
        </row>
        <row r="1397">
          <cell r="A1397" t="str">
            <v>33.31.10557.00</v>
          </cell>
          <cell r="B1397" t="str">
            <v>TRAVA BIOMBO SUPERIOR E / 33.31.10557.00</v>
          </cell>
          <cell r="D1397" t="str">
            <v>-</v>
          </cell>
          <cell r="E1397" t="str">
            <v>-</v>
          </cell>
          <cell r="F1397" t="str">
            <v>-</v>
          </cell>
          <cell r="G1397" t="str">
            <v>-</v>
          </cell>
          <cell r="H1397" t="str">
            <v>-</v>
          </cell>
          <cell r="I1397" t="str">
            <v>-</v>
          </cell>
          <cell r="J1397">
            <v>0</v>
          </cell>
          <cell r="K1397">
            <v>-1</v>
          </cell>
          <cell r="L1397" t="str">
            <v>FALTA ENTREGA</v>
          </cell>
          <cell r="M1397" t="str">
            <v>-</v>
          </cell>
          <cell r="N1397" t="str">
            <v>OC'S METALFISA</v>
          </cell>
          <cell r="O1397" t="str">
            <v>-</v>
          </cell>
          <cell r="Q1397" t="str">
            <v>-</v>
          </cell>
          <cell r="S1397" t="str">
            <v>-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1</v>
          </cell>
          <cell r="AA1397">
            <v>1</v>
          </cell>
          <cell r="AB1397">
            <v>0</v>
          </cell>
          <cell r="AC1397">
            <v>0</v>
          </cell>
          <cell r="AD1397">
            <v>-1</v>
          </cell>
        </row>
        <row r="1398">
          <cell r="A1398" t="str">
            <v>33.31.11114.00</v>
          </cell>
          <cell r="B1398" t="str">
            <v>CHAPA FECHAMENTO SUPERIOR / 33.31.11114.00</v>
          </cell>
          <cell r="D1398" t="str">
            <v>-</v>
          </cell>
          <cell r="E1398" t="str">
            <v>-</v>
          </cell>
          <cell r="F1398" t="str">
            <v>-</v>
          </cell>
          <cell r="G1398" t="str">
            <v>-</v>
          </cell>
          <cell r="H1398" t="str">
            <v>-</v>
          </cell>
          <cell r="I1398" t="str">
            <v>-</v>
          </cell>
          <cell r="J1398">
            <v>0</v>
          </cell>
          <cell r="K1398">
            <v>-1</v>
          </cell>
          <cell r="L1398" t="str">
            <v>FALTA ENTREGA</v>
          </cell>
          <cell r="M1398" t="str">
            <v>-</v>
          </cell>
          <cell r="N1398" t="str">
            <v>OC'S METALFISA</v>
          </cell>
          <cell r="O1398" t="str">
            <v>-</v>
          </cell>
          <cell r="Q1398" t="str">
            <v>-</v>
          </cell>
          <cell r="S1398" t="str">
            <v>-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1</v>
          </cell>
          <cell r="AA1398">
            <v>1</v>
          </cell>
          <cell r="AB1398">
            <v>0</v>
          </cell>
          <cell r="AC1398">
            <v>0</v>
          </cell>
          <cell r="AD1398">
            <v>-1</v>
          </cell>
        </row>
        <row r="1399">
          <cell r="A1399" t="str">
            <v>33.31.11184.00</v>
          </cell>
          <cell r="B1399" t="str">
            <v>TRAVESSAS SUSTENTACAO ACABAMENTO RAD. / 33.31.11184.00</v>
          </cell>
          <cell r="D1399" t="str">
            <v>-</v>
          </cell>
          <cell r="E1399" t="str">
            <v>-</v>
          </cell>
          <cell r="F1399" t="str">
            <v>-</v>
          </cell>
          <cell r="G1399" t="str">
            <v>-</v>
          </cell>
          <cell r="H1399" t="str">
            <v>-</v>
          </cell>
          <cell r="I1399" t="str">
            <v>-</v>
          </cell>
          <cell r="J1399">
            <v>0</v>
          </cell>
          <cell r="K1399">
            <v>-1</v>
          </cell>
          <cell r="L1399" t="str">
            <v>FALTA ENTREGA</v>
          </cell>
          <cell r="M1399" t="str">
            <v>-</v>
          </cell>
          <cell r="N1399" t="str">
            <v>OC'S METALFISA</v>
          </cell>
          <cell r="O1399" t="str">
            <v>-</v>
          </cell>
          <cell r="Q1399" t="str">
            <v>-</v>
          </cell>
          <cell r="S1399" t="str">
            <v>-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1</v>
          </cell>
          <cell r="AA1399">
            <v>1</v>
          </cell>
          <cell r="AB1399">
            <v>0</v>
          </cell>
          <cell r="AC1399">
            <v>0</v>
          </cell>
          <cell r="AD1399">
            <v>-1</v>
          </cell>
        </row>
        <row r="1400">
          <cell r="A1400" t="str">
            <v>33.31.12028.00</v>
          </cell>
          <cell r="B1400" t="str">
            <v>DUTO VENTILACAO MAIOR INOX / 33.31.12028.00</v>
          </cell>
          <cell r="D1400" t="str">
            <v>-</v>
          </cell>
          <cell r="E1400" t="str">
            <v>-</v>
          </cell>
          <cell r="F1400" t="str">
            <v>-</v>
          </cell>
          <cell r="G1400" t="str">
            <v>-</v>
          </cell>
          <cell r="H1400" t="str">
            <v>-</v>
          </cell>
          <cell r="I1400" t="str">
            <v>-</v>
          </cell>
          <cell r="J1400">
            <v>0</v>
          </cell>
          <cell r="K1400" t="e">
            <v>#VALUE!</v>
          </cell>
          <cell r="L1400" t="str">
            <v>ENTREGA TOTAL</v>
          </cell>
          <cell r="M1400" t="str">
            <v>-</v>
          </cell>
          <cell r="N1400" t="str">
            <v>OC'S METALFISA</v>
          </cell>
          <cell r="O1400" t="str">
            <v>-</v>
          </cell>
          <cell r="Q1400" t="str">
            <v>-</v>
          </cell>
          <cell r="S1400" t="str">
            <v>-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1</v>
          </cell>
          <cell r="AA1400">
            <v>1</v>
          </cell>
          <cell r="AB1400" t="str">
            <v>0</v>
          </cell>
          <cell r="AC1400" t="str">
            <v>-</v>
          </cell>
          <cell r="AD1400" t="str">
            <v>-</v>
          </cell>
        </row>
        <row r="1401">
          <cell r="A1401" t="str">
            <v>33.31.12029.00</v>
          </cell>
          <cell r="B1401" t="str">
            <v>DUTO VENTILACAO MENOR INOX / 33.31.12029.00</v>
          </cell>
          <cell r="D1401" t="str">
            <v>-</v>
          </cell>
          <cell r="E1401" t="str">
            <v>-</v>
          </cell>
          <cell r="F1401" t="str">
            <v>-</v>
          </cell>
          <cell r="G1401" t="str">
            <v>-</v>
          </cell>
          <cell r="H1401" t="str">
            <v>-</v>
          </cell>
          <cell r="I1401" t="str">
            <v>-</v>
          </cell>
          <cell r="J1401">
            <v>0</v>
          </cell>
          <cell r="K1401" t="e">
            <v>#VALUE!</v>
          </cell>
          <cell r="L1401" t="str">
            <v>ENTREGA TOTAL</v>
          </cell>
          <cell r="M1401" t="str">
            <v>-</v>
          </cell>
          <cell r="N1401" t="str">
            <v>OC'S METALFISA</v>
          </cell>
          <cell r="O1401" t="str">
            <v>-</v>
          </cell>
          <cell r="Q1401" t="str">
            <v>-</v>
          </cell>
          <cell r="S1401" t="str">
            <v>-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1</v>
          </cell>
          <cell r="AA1401">
            <v>1</v>
          </cell>
          <cell r="AB1401" t="str">
            <v>0</v>
          </cell>
          <cell r="AC1401" t="str">
            <v>-</v>
          </cell>
          <cell r="AD1401" t="str">
            <v>-</v>
          </cell>
        </row>
        <row r="1402">
          <cell r="A1402" t="str">
            <v>33.31.12039.00</v>
          </cell>
          <cell r="B1402" t="str">
            <v>ESTRUTURA DO CAIXA DE COMANDO CME863 / 33.31.12039.00</v>
          </cell>
          <cell r="C1402">
            <v>46059</v>
          </cell>
          <cell r="D1402" t="str">
            <v>-</v>
          </cell>
          <cell r="E1402" t="str">
            <v>-</v>
          </cell>
          <cell r="F1402" t="str">
            <v>-</v>
          </cell>
          <cell r="G1402" t="str">
            <v>-</v>
          </cell>
          <cell r="H1402" t="str">
            <v>-</v>
          </cell>
          <cell r="I1402" t="str">
            <v>-</v>
          </cell>
          <cell r="J1402">
            <v>0</v>
          </cell>
          <cell r="K1402" t="e">
            <v>#VALUE!</v>
          </cell>
          <cell r="L1402" t="str">
            <v>ENTREGA TOTAL</v>
          </cell>
          <cell r="M1402" t="str">
            <v>-</v>
          </cell>
          <cell r="N1402" t="str">
            <v>OC'S METALFISA</v>
          </cell>
          <cell r="O1402">
            <v>1</v>
          </cell>
          <cell r="P1402" t="str">
            <v>OC'S GRANATO</v>
          </cell>
          <cell r="Q1402" t="str">
            <v>-</v>
          </cell>
          <cell r="S1402" t="str">
            <v>-</v>
          </cell>
          <cell r="U1402">
            <v>1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1</v>
          </cell>
          <cell r="AA1402">
            <v>1</v>
          </cell>
          <cell r="AB1402" t="str">
            <v>0</v>
          </cell>
          <cell r="AC1402" t="str">
            <v>-</v>
          </cell>
          <cell r="AD1402" t="str">
            <v>-</v>
          </cell>
        </row>
        <row r="1403">
          <cell r="A1403" t="str">
            <v>33.31.12060.00</v>
          </cell>
          <cell r="B1403" t="str">
            <v>ACABAMENTO INTERMEDIARIO TUNEL / 33.31.12060.00</v>
          </cell>
          <cell r="D1403" t="str">
            <v>-</v>
          </cell>
          <cell r="E1403" t="str">
            <v>-</v>
          </cell>
          <cell r="F1403" t="str">
            <v>-</v>
          </cell>
          <cell r="G1403" t="str">
            <v>-</v>
          </cell>
          <cell r="H1403" t="str">
            <v>-</v>
          </cell>
          <cell r="I1403" t="str">
            <v>-</v>
          </cell>
          <cell r="J1403">
            <v>0</v>
          </cell>
          <cell r="K1403" t="e">
            <v>#VALUE!</v>
          </cell>
          <cell r="L1403" t="str">
            <v>ENTREGA TOTAL</v>
          </cell>
          <cell r="M1403" t="str">
            <v>-</v>
          </cell>
          <cell r="N1403" t="str">
            <v>OC'S METALFISA</v>
          </cell>
          <cell r="O1403" t="str">
            <v>-</v>
          </cell>
          <cell r="Q1403" t="str">
            <v>-</v>
          </cell>
          <cell r="S1403" t="str">
            <v>-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1</v>
          </cell>
          <cell r="AA1403">
            <v>1</v>
          </cell>
          <cell r="AB1403" t="str">
            <v>0</v>
          </cell>
          <cell r="AC1403" t="str">
            <v>-</v>
          </cell>
          <cell r="AD1403" t="str">
            <v>-</v>
          </cell>
        </row>
        <row r="1404">
          <cell r="A1404" t="str">
            <v>33.31.12119.00</v>
          </cell>
          <cell r="B1404" t="str">
            <v>ACABAMENTO LATERAL SUPERIOR / 33.31.12119.00</v>
          </cell>
          <cell r="C1404">
            <v>46066</v>
          </cell>
          <cell r="D1404" t="str">
            <v>-</v>
          </cell>
          <cell r="E1404" t="str">
            <v>-</v>
          </cell>
          <cell r="F1404" t="str">
            <v>-</v>
          </cell>
          <cell r="G1404" t="str">
            <v>-</v>
          </cell>
          <cell r="H1404" t="str">
            <v>-</v>
          </cell>
          <cell r="I1404" t="str">
            <v>-</v>
          </cell>
          <cell r="J1404">
            <v>0</v>
          </cell>
          <cell r="K1404">
            <v>2</v>
          </cell>
          <cell r="L1404" t="str">
            <v>ENTREGA TOTAL</v>
          </cell>
          <cell r="M1404" t="str">
            <v>-</v>
          </cell>
          <cell r="N1404" t="str">
            <v>OC'S METALFISA</v>
          </cell>
          <cell r="O1404">
            <v>2</v>
          </cell>
          <cell r="P1404" t="str">
            <v>OC'S GRANATO</v>
          </cell>
          <cell r="Q1404" t="str">
            <v>-</v>
          </cell>
          <cell r="S1404" t="str">
            <v>-</v>
          </cell>
          <cell r="U1404">
            <v>2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2</v>
          </cell>
          <cell r="AA1404">
            <v>2</v>
          </cell>
          <cell r="AB1404">
            <v>0</v>
          </cell>
          <cell r="AC1404">
            <v>2</v>
          </cell>
          <cell r="AD1404">
            <v>0</v>
          </cell>
        </row>
        <row r="1405">
          <cell r="A1405" t="str">
            <v>33.31.12130.00</v>
          </cell>
          <cell r="B1405" t="str">
            <v>BASE DA CAIXA S - DAQ CAIXA L INOX / 33.31.12130.00</v>
          </cell>
          <cell r="D1405" t="str">
            <v>-</v>
          </cell>
          <cell r="E1405" t="str">
            <v>-</v>
          </cell>
          <cell r="F1405" t="str">
            <v>-</v>
          </cell>
          <cell r="G1405" t="str">
            <v>-</v>
          </cell>
          <cell r="H1405" t="str">
            <v>-</v>
          </cell>
          <cell r="I1405" t="str">
            <v>-</v>
          </cell>
          <cell r="J1405">
            <v>0</v>
          </cell>
          <cell r="K1405" t="e">
            <v>#VALUE!</v>
          </cell>
          <cell r="L1405" t="str">
            <v>ENTREGA TOTAL</v>
          </cell>
          <cell r="M1405" t="str">
            <v>-</v>
          </cell>
          <cell r="N1405" t="str">
            <v>OC'S METALFISA</v>
          </cell>
          <cell r="O1405" t="str">
            <v>-</v>
          </cell>
          <cell r="Q1405" t="str">
            <v>-</v>
          </cell>
          <cell r="S1405" t="str">
            <v>-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1</v>
          </cell>
          <cell r="AA1405">
            <v>1</v>
          </cell>
          <cell r="AB1405" t="str">
            <v>0</v>
          </cell>
          <cell r="AC1405" t="str">
            <v>-</v>
          </cell>
          <cell r="AD1405" t="str">
            <v>-</v>
          </cell>
        </row>
        <row r="1406">
          <cell r="A1406" t="str">
            <v>33.31.12275.00</v>
          </cell>
          <cell r="B1406" t="str">
            <v>CAIXA DE MONTAGEM CME221 / 33.31.12275.00</v>
          </cell>
          <cell r="C1406">
            <v>46066</v>
          </cell>
          <cell r="D1406" t="str">
            <v>-</v>
          </cell>
          <cell r="E1406" t="str">
            <v>-</v>
          </cell>
          <cell r="F1406" t="str">
            <v>-</v>
          </cell>
          <cell r="G1406" t="str">
            <v>-</v>
          </cell>
          <cell r="H1406" t="str">
            <v>-</v>
          </cell>
          <cell r="I1406" t="str">
            <v>-</v>
          </cell>
          <cell r="J1406">
            <v>0</v>
          </cell>
          <cell r="K1406">
            <v>1</v>
          </cell>
          <cell r="L1406" t="str">
            <v>ENTREGA TOTAL</v>
          </cell>
          <cell r="M1406" t="str">
            <v>-</v>
          </cell>
          <cell r="N1406" t="str">
            <v>OC'S METALFISA</v>
          </cell>
          <cell r="O1406">
            <v>1</v>
          </cell>
          <cell r="P1406" t="str">
            <v>OC'S GRANATO</v>
          </cell>
          <cell r="Q1406" t="str">
            <v>-</v>
          </cell>
          <cell r="S1406" t="str">
            <v>-</v>
          </cell>
          <cell r="U1406">
            <v>1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1</v>
          </cell>
          <cell r="AA1406">
            <v>1</v>
          </cell>
          <cell r="AB1406">
            <v>0</v>
          </cell>
          <cell r="AC1406">
            <v>1</v>
          </cell>
          <cell r="AD1406">
            <v>0</v>
          </cell>
        </row>
        <row r="1407">
          <cell r="A1407" t="str">
            <v>33.31.12300.00</v>
          </cell>
          <cell r="B1407" t="str">
            <v>CME331 CAIXA DE MONTAGEM ELETRICA. / 33.31.12300.00</v>
          </cell>
          <cell r="D1407" t="str">
            <v>-</v>
          </cell>
          <cell r="E1407" t="str">
            <v>-</v>
          </cell>
          <cell r="F1407" t="str">
            <v>-</v>
          </cell>
          <cell r="G1407" t="str">
            <v>-</v>
          </cell>
          <cell r="H1407" t="str">
            <v>-</v>
          </cell>
          <cell r="I1407" t="str">
            <v>-</v>
          </cell>
          <cell r="J1407">
            <v>0</v>
          </cell>
          <cell r="K1407" t="e">
            <v>#VALUE!</v>
          </cell>
          <cell r="L1407" t="str">
            <v>ENTREGA TOTAL</v>
          </cell>
          <cell r="M1407" t="str">
            <v>-</v>
          </cell>
          <cell r="N1407" t="str">
            <v>OC'S METALFISA</v>
          </cell>
          <cell r="O1407" t="str">
            <v>-</v>
          </cell>
          <cell r="Q1407" t="str">
            <v>-</v>
          </cell>
          <cell r="S1407" t="str">
            <v>-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1</v>
          </cell>
          <cell r="AA1407">
            <v>1</v>
          </cell>
          <cell r="AB1407" t="str">
            <v>0</v>
          </cell>
          <cell r="AC1407" t="str">
            <v>-</v>
          </cell>
          <cell r="AD1407" t="str">
            <v>-</v>
          </cell>
        </row>
        <row r="1408">
          <cell r="A1408" t="str">
            <v>33.31.12589.00</v>
          </cell>
          <cell r="B1408" t="str">
            <v>DUTO VENTILACAO EXTERNA / 33.31.12589.00</v>
          </cell>
          <cell r="D1408" t="str">
            <v>-</v>
          </cell>
          <cell r="E1408" t="str">
            <v>-</v>
          </cell>
          <cell r="F1408" t="str">
            <v>-</v>
          </cell>
          <cell r="G1408" t="str">
            <v>-</v>
          </cell>
          <cell r="H1408" t="str">
            <v>-</v>
          </cell>
          <cell r="I1408" t="str">
            <v>-</v>
          </cell>
          <cell r="J1408">
            <v>0</v>
          </cell>
          <cell r="K1408" t="e">
            <v>#VALUE!</v>
          </cell>
          <cell r="L1408" t="str">
            <v>ENTREGA TOTAL</v>
          </cell>
          <cell r="M1408" t="str">
            <v>-</v>
          </cell>
          <cell r="N1408" t="str">
            <v>OC'S METALFISA</v>
          </cell>
          <cell r="O1408" t="str">
            <v>-</v>
          </cell>
          <cell r="Q1408" t="str">
            <v>-</v>
          </cell>
          <cell r="S1408" t="str">
            <v>-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2</v>
          </cell>
          <cell r="AA1408">
            <v>2</v>
          </cell>
          <cell r="AB1408" t="str">
            <v>0</v>
          </cell>
          <cell r="AC1408" t="str">
            <v>-</v>
          </cell>
          <cell r="AD1408" t="str">
            <v>-</v>
          </cell>
        </row>
        <row r="1409">
          <cell r="A1409" t="str">
            <v>33.94.10151.00</v>
          </cell>
          <cell r="B1409" t="str">
            <v>CHAPA TRAVAMENTO MODULOS PARA TRANSPORTE DIREITO / 33.94.10151.00</v>
          </cell>
          <cell r="C1409">
            <v>46066</v>
          </cell>
          <cell r="D1409" t="str">
            <v>-</v>
          </cell>
          <cell r="E1409" t="str">
            <v>-</v>
          </cell>
          <cell r="F1409" t="str">
            <v>-</v>
          </cell>
          <cell r="G1409" t="str">
            <v>-</v>
          </cell>
          <cell r="H1409" t="str">
            <v>-</v>
          </cell>
          <cell r="I1409" t="str">
            <v>-</v>
          </cell>
          <cell r="J1409">
            <v>0</v>
          </cell>
          <cell r="K1409">
            <v>28</v>
          </cell>
          <cell r="L1409" t="str">
            <v>ENTREGA TOTAL</v>
          </cell>
          <cell r="M1409" t="str">
            <v>-</v>
          </cell>
          <cell r="N1409" t="str">
            <v>OC'S METALFISA</v>
          </cell>
          <cell r="O1409">
            <v>24</v>
          </cell>
          <cell r="P1409" t="str">
            <v>OC'S GRANATO</v>
          </cell>
          <cell r="Q1409" t="str">
            <v>-</v>
          </cell>
          <cell r="S1409" t="str">
            <v>-</v>
          </cell>
          <cell r="U1409">
            <v>24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15</v>
          </cell>
          <cell r="AA1409">
            <v>15</v>
          </cell>
          <cell r="AB1409">
            <v>0</v>
          </cell>
          <cell r="AC1409">
            <v>19</v>
          </cell>
          <cell r="AD1409">
            <v>4</v>
          </cell>
        </row>
        <row r="1410">
          <cell r="A1410" t="str">
            <v>33.94.10152.00</v>
          </cell>
          <cell r="B1410" t="str">
            <v>CHAPA TRAVAMENTO MODULOS PARA TRANSPORTE ESQUERDO / 33.94.10152.00</v>
          </cell>
          <cell r="C1410">
            <v>46066</v>
          </cell>
          <cell r="D1410" t="str">
            <v>-</v>
          </cell>
          <cell r="E1410" t="str">
            <v>-</v>
          </cell>
          <cell r="F1410" t="str">
            <v>-</v>
          </cell>
          <cell r="G1410" t="str">
            <v>-</v>
          </cell>
          <cell r="H1410" t="str">
            <v>-</v>
          </cell>
          <cell r="I1410" t="str">
            <v>-</v>
          </cell>
          <cell r="J1410">
            <v>0</v>
          </cell>
          <cell r="K1410">
            <v>27</v>
          </cell>
          <cell r="L1410" t="str">
            <v>ENTREGA TOTAL</v>
          </cell>
          <cell r="M1410" t="str">
            <v>-</v>
          </cell>
          <cell r="N1410" t="str">
            <v>OC'S METALFISA</v>
          </cell>
          <cell r="O1410">
            <v>24</v>
          </cell>
          <cell r="P1410" t="str">
            <v>OC'S GRANATO</v>
          </cell>
          <cell r="Q1410" t="str">
            <v>-</v>
          </cell>
          <cell r="S1410" t="str">
            <v>-</v>
          </cell>
          <cell r="U1410">
            <v>24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16</v>
          </cell>
          <cell r="AA1410">
            <v>16</v>
          </cell>
          <cell r="AB1410">
            <v>0</v>
          </cell>
          <cell r="AC1410">
            <v>19</v>
          </cell>
          <cell r="AD1410">
            <v>3</v>
          </cell>
        </row>
        <row r="1411">
          <cell r="A1411" t="str">
            <v>33.95.90010.00</v>
          </cell>
          <cell r="B1411" t="str">
            <v>APOIO DESLIZANTE / 33.95.90010.00</v>
          </cell>
          <cell r="D1411" t="str">
            <v>-</v>
          </cell>
          <cell r="E1411" t="str">
            <v>-</v>
          </cell>
          <cell r="F1411" t="str">
            <v>-</v>
          </cell>
          <cell r="G1411" t="str">
            <v>-</v>
          </cell>
          <cell r="H1411" t="str">
            <v>-</v>
          </cell>
          <cell r="I1411" t="str">
            <v>-</v>
          </cell>
          <cell r="J1411">
            <v>0</v>
          </cell>
          <cell r="K1411">
            <v>0</v>
          </cell>
          <cell r="L1411" t="str">
            <v>FALTA ENTREGA</v>
          </cell>
          <cell r="M1411" t="str">
            <v>-</v>
          </cell>
          <cell r="N1411" t="str">
            <v>OC'S METALFISA</v>
          </cell>
          <cell r="O1411" t="str">
            <v>-</v>
          </cell>
          <cell r="Q1411" t="str">
            <v>-</v>
          </cell>
          <cell r="S1411">
            <v>24</v>
          </cell>
          <cell r="T1411" t="str">
            <v>OC'S MAPHE</v>
          </cell>
          <cell r="U1411">
            <v>24</v>
          </cell>
          <cell r="V1411">
            <v>24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24</v>
          </cell>
          <cell r="AB1411">
            <v>24</v>
          </cell>
          <cell r="AC1411">
            <v>0</v>
          </cell>
          <cell r="AD1411">
            <v>-24</v>
          </cell>
        </row>
        <row r="1412">
          <cell r="A1412" t="str">
            <v>33.95.90011.00</v>
          </cell>
          <cell r="B1412" t="str">
            <v>TRAVA DO EQUIPAMENTO / 33.95.90011.00</v>
          </cell>
          <cell r="D1412" t="str">
            <v>-</v>
          </cell>
          <cell r="E1412" t="str">
            <v>-</v>
          </cell>
          <cell r="F1412" t="str">
            <v>-</v>
          </cell>
          <cell r="G1412" t="str">
            <v>-</v>
          </cell>
          <cell r="H1412" t="str">
            <v>-</v>
          </cell>
          <cell r="I1412" t="str">
            <v>-</v>
          </cell>
          <cell r="J1412">
            <v>0</v>
          </cell>
          <cell r="K1412">
            <v>-4</v>
          </cell>
          <cell r="L1412" t="str">
            <v>FALTA ENTREGA</v>
          </cell>
          <cell r="M1412" t="str">
            <v>-</v>
          </cell>
          <cell r="N1412" t="str">
            <v>OC'S METALFISA</v>
          </cell>
          <cell r="O1412" t="str">
            <v>-</v>
          </cell>
          <cell r="Q1412" t="str">
            <v>-</v>
          </cell>
          <cell r="S1412" t="str">
            <v>-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4</v>
          </cell>
          <cell r="AA1412">
            <v>4</v>
          </cell>
          <cell r="AB1412">
            <v>0</v>
          </cell>
          <cell r="AC1412">
            <v>0</v>
          </cell>
          <cell r="AD1412">
            <v>-4</v>
          </cell>
        </row>
        <row r="1413">
          <cell r="A1413" t="str">
            <v>33.97.10061.01</v>
          </cell>
          <cell r="B1413" t="str">
            <v>SUPORTE / 33.97.10061.01</v>
          </cell>
          <cell r="D1413" t="str">
            <v>-</v>
          </cell>
          <cell r="E1413" t="str">
            <v>-</v>
          </cell>
          <cell r="F1413" t="str">
            <v>-</v>
          </cell>
          <cell r="G1413" t="str">
            <v>-</v>
          </cell>
          <cell r="H1413" t="str">
            <v>-</v>
          </cell>
          <cell r="I1413" t="str">
            <v>-</v>
          </cell>
          <cell r="J1413">
            <v>0</v>
          </cell>
          <cell r="K1413">
            <v>-1</v>
          </cell>
          <cell r="L1413" t="str">
            <v>FALTA ENTREGA</v>
          </cell>
          <cell r="M1413" t="str">
            <v>-</v>
          </cell>
          <cell r="N1413" t="str">
            <v>OC'S METALFISA</v>
          </cell>
          <cell r="O1413" t="str">
            <v>-</v>
          </cell>
          <cell r="Q1413" t="str">
            <v>-</v>
          </cell>
          <cell r="S1413" t="str">
            <v>-</v>
          </cell>
          <cell r="U1413">
            <v>0</v>
          </cell>
          <cell r="V1413">
            <v>1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1</v>
          </cell>
          <cell r="AB1413">
            <v>1</v>
          </cell>
          <cell r="AC1413">
            <v>0</v>
          </cell>
          <cell r="AD1413">
            <v>-1</v>
          </cell>
        </row>
        <row r="1414">
          <cell r="A1414" t="str">
            <v>33.97.10113.01</v>
          </cell>
          <cell r="B1414" t="str">
            <v>CAVALETE ACESSORIOS / 33.97.10113.01</v>
          </cell>
          <cell r="D1414" t="str">
            <v>-</v>
          </cell>
          <cell r="E1414" t="str">
            <v>-</v>
          </cell>
          <cell r="F1414" t="str">
            <v>-</v>
          </cell>
          <cell r="G1414" t="str">
            <v>-</v>
          </cell>
          <cell r="H1414" t="str">
            <v>-</v>
          </cell>
          <cell r="I1414" t="str">
            <v>-</v>
          </cell>
          <cell r="J1414">
            <v>0</v>
          </cell>
          <cell r="K1414">
            <v>1</v>
          </cell>
          <cell r="L1414" t="str">
            <v>FALTA ENTREGA</v>
          </cell>
          <cell r="M1414" t="str">
            <v>-</v>
          </cell>
          <cell r="N1414" t="str">
            <v>OC'S METALFISA</v>
          </cell>
          <cell r="O1414">
            <v>2</v>
          </cell>
          <cell r="P1414" t="str">
            <v>OC'S GRANATO</v>
          </cell>
          <cell r="Q1414" t="str">
            <v>-</v>
          </cell>
          <cell r="S1414" t="str">
            <v>-</v>
          </cell>
          <cell r="U1414">
            <v>2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1</v>
          </cell>
          <cell r="AA1414">
            <v>1</v>
          </cell>
          <cell r="AB1414">
            <v>1</v>
          </cell>
          <cell r="AC1414">
            <v>0</v>
          </cell>
          <cell r="AD1414">
            <v>-1</v>
          </cell>
        </row>
        <row r="1415">
          <cell r="A1415" t="str">
            <v>33.97.10132.00</v>
          </cell>
          <cell r="B1415" t="str">
            <v>OBJETO DE TESTE - 0.91MM / 33.97.10132.00</v>
          </cell>
          <cell r="D1415" t="str">
            <v>-</v>
          </cell>
          <cell r="E1415" t="str">
            <v>-</v>
          </cell>
          <cell r="F1415" t="str">
            <v>-</v>
          </cell>
          <cell r="G1415" t="str">
            <v>-</v>
          </cell>
          <cell r="H1415" t="str">
            <v>-</v>
          </cell>
          <cell r="I1415" t="str">
            <v>-</v>
          </cell>
          <cell r="J1415">
            <v>0</v>
          </cell>
          <cell r="K1415">
            <v>0</v>
          </cell>
          <cell r="L1415" t="str">
            <v>FALTA ENTREGA</v>
          </cell>
          <cell r="M1415" t="str">
            <v>-</v>
          </cell>
          <cell r="N1415" t="str">
            <v>OC'S METALFISA</v>
          </cell>
          <cell r="O1415">
            <v>5</v>
          </cell>
          <cell r="P1415" t="str">
            <v>OC'S GRANATO</v>
          </cell>
          <cell r="Q1415" t="str">
            <v>-</v>
          </cell>
          <cell r="S1415" t="str">
            <v>-</v>
          </cell>
          <cell r="U1415">
            <v>5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5</v>
          </cell>
          <cell r="AA1415">
            <v>5</v>
          </cell>
          <cell r="AB1415">
            <v>5</v>
          </cell>
          <cell r="AC1415">
            <v>0</v>
          </cell>
          <cell r="AD1415">
            <v>-5</v>
          </cell>
        </row>
        <row r="1416">
          <cell r="A1416" t="str">
            <v>33.97.10212.00</v>
          </cell>
          <cell r="B1416" t="str">
            <v>TRAVA FIXACAO TRANSPORTE / 33.97.10212.00</v>
          </cell>
          <cell r="D1416" t="str">
            <v>-</v>
          </cell>
          <cell r="E1416" t="str">
            <v>-</v>
          </cell>
          <cell r="F1416" t="str">
            <v>-</v>
          </cell>
          <cell r="G1416" t="str">
            <v>-</v>
          </cell>
          <cell r="H1416" t="str">
            <v>-</v>
          </cell>
          <cell r="I1416" t="str">
            <v>-</v>
          </cell>
          <cell r="J1416">
            <v>0</v>
          </cell>
          <cell r="K1416">
            <v>-6</v>
          </cell>
          <cell r="L1416" t="str">
            <v>FALTA ENTREGA</v>
          </cell>
          <cell r="M1416" t="str">
            <v>-</v>
          </cell>
          <cell r="N1416" t="str">
            <v>OC'S METALFISA</v>
          </cell>
          <cell r="O1416" t="str">
            <v>-</v>
          </cell>
          <cell r="Q1416" t="str">
            <v>-</v>
          </cell>
          <cell r="S1416" t="str">
            <v>-</v>
          </cell>
          <cell r="U1416">
            <v>0</v>
          </cell>
          <cell r="V1416">
            <v>6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6</v>
          </cell>
          <cell r="AB1416">
            <v>6</v>
          </cell>
          <cell r="AC1416">
            <v>0</v>
          </cell>
          <cell r="AD1416">
            <v>-6</v>
          </cell>
        </row>
        <row r="1417">
          <cell r="A1417" t="str">
            <v>33.97.10240.00</v>
          </cell>
          <cell r="B1417" t="str">
            <v>BASE SUPORTE PHATOM 180180 / 33.97.10240.00</v>
          </cell>
          <cell r="D1417" t="str">
            <v>-</v>
          </cell>
          <cell r="E1417" t="str">
            <v>-</v>
          </cell>
          <cell r="F1417" t="str">
            <v>-</v>
          </cell>
          <cell r="G1417" t="str">
            <v>-</v>
          </cell>
          <cell r="H1417" t="str">
            <v>-</v>
          </cell>
          <cell r="I1417" t="str">
            <v>-</v>
          </cell>
          <cell r="J1417">
            <v>0</v>
          </cell>
          <cell r="K1417">
            <v>-1</v>
          </cell>
          <cell r="L1417" t="str">
            <v>FALTA ENTREGA</v>
          </cell>
          <cell r="M1417" t="str">
            <v>-</v>
          </cell>
          <cell r="N1417" t="str">
            <v>OC'S METALFISA</v>
          </cell>
          <cell r="O1417" t="str">
            <v>-</v>
          </cell>
          <cell r="Q1417" t="str">
            <v>-</v>
          </cell>
          <cell r="S1417" t="str">
            <v>-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1</v>
          </cell>
          <cell r="AA1417">
            <v>1</v>
          </cell>
          <cell r="AB1417">
            <v>0</v>
          </cell>
          <cell r="AC1417">
            <v>0</v>
          </cell>
          <cell r="AD1417">
            <v>-1</v>
          </cell>
        </row>
        <row r="1418">
          <cell r="A1418" t="str">
            <v>33.97.10243.00</v>
          </cell>
          <cell r="B1418" t="str">
            <v>CONJUNTO SUPORTE PRINCIPAL PHANTOM / 33.97.10243.00</v>
          </cell>
          <cell r="D1418" t="str">
            <v>-</v>
          </cell>
          <cell r="E1418" t="str">
            <v>-</v>
          </cell>
          <cell r="F1418" t="str">
            <v>-</v>
          </cell>
          <cell r="G1418" t="str">
            <v>-</v>
          </cell>
          <cell r="H1418" t="str">
            <v>-</v>
          </cell>
          <cell r="I1418" t="str">
            <v>-</v>
          </cell>
          <cell r="J1418">
            <v>0</v>
          </cell>
          <cell r="K1418">
            <v>-1</v>
          </cell>
          <cell r="L1418" t="str">
            <v>FALTA ENTREGA</v>
          </cell>
          <cell r="M1418" t="str">
            <v>-</v>
          </cell>
          <cell r="N1418" t="str">
            <v>OC'S METALFISA</v>
          </cell>
          <cell r="O1418" t="str">
            <v>-</v>
          </cell>
          <cell r="Q1418" t="str">
            <v>-</v>
          </cell>
          <cell r="S1418" t="str">
            <v>-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1</v>
          </cell>
          <cell r="AA1418">
            <v>1</v>
          </cell>
          <cell r="AB1418">
            <v>0</v>
          </cell>
          <cell r="AC1418">
            <v>0</v>
          </cell>
          <cell r="AD1418">
            <v>-1</v>
          </cell>
        </row>
        <row r="1419">
          <cell r="A1419" t="str">
            <v>33.97.10245.00</v>
          </cell>
          <cell r="B1419" t="str">
            <v>CHAPA PRINCIPAL PROVA / 33.97.10245.00</v>
          </cell>
          <cell r="D1419" t="str">
            <v>-</v>
          </cell>
          <cell r="E1419" t="str">
            <v>-</v>
          </cell>
          <cell r="F1419" t="str">
            <v>-</v>
          </cell>
          <cell r="G1419" t="str">
            <v>-</v>
          </cell>
          <cell r="H1419" t="str">
            <v>-</v>
          </cell>
          <cell r="I1419" t="str">
            <v>-</v>
          </cell>
          <cell r="J1419">
            <v>0</v>
          </cell>
          <cell r="K1419">
            <v>-1</v>
          </cell>
          <cell r="L1419" t="str">
            <v>FALTA ENTREGA</v>
          </cell>
          <cell r="M1419" t="str">
            <v>-</v>
          </cell>
          <cell r="N1419" t="str">
            <v>OC'S METALFISA</v>
          </cell>
          <cell r="O1419" t="str">
            <v>-</v>
          </cell>
          <cell r="Q1419" t="str">
            <v>-</v>
          </cell>
          <cell r="S1419" t="str">
            <v>-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1</v>
          </cell>
          <cell r="AA1419">
            <v>1</v>
          </cell>
          <cell r="AB1419">
            <v>0</v>
          </cell>
          <cell r="AC1419">
            <v>0</v>
          </cell>
          <cell r="AD1419">
            <v>-1</v>
          </cell>
        </row>
        <row r="1420">
          <cell r="A1420" t="str">
            <v>33.97.10246.00</v>
          </cell>
          <cell r="B1420" t="str">
            <v>OBJETO DE TESTE - 9,5MM / 33.97.10246.00</v>
          </cell>
          <cell r="D1420" t="str">
            <v>-</v>
          </cell>
          <cell r="E1420" t="str">
            <v>-</v>
          </cell>
          <cell r="F1420" t="str">
            <v>-</v>
          </cell>
          <cell r="G1420" t="str">
            <v>-</v>
          </cell>
          <cell r="H1420" t="str">
            <v>-</v>
          </cell>
          <cell r="I1420" t="str">
            <v>-</v>
          </cell>
          <cell r="J1420">
            <v>0</v>
          </cell>
          <cell r="K1420">
            <v>-3</v>
          </cell>
          <cell r="L1420" t="str">
            <v>FALTA ENTREGA</v>
          </cell>
          <cell r="M1420" t="str">
            <v>-</v>
          </cell>
          <cell r="N1420" t="str">
            <v>OC'S METALFISA</v>
          </cell>
          <cell r="O1420" t="str">
            <v>-</v>
          </cell>
          <cell r="Q1420" t="str">
            <v>-</v>
          </cell>
          <cell r="S1420" t="str">
            <v>-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3</v>
          </cell>
          <cell r="AA1420">
            <v>3</v>
          </cell>
          <cell r="AB1420">
            <v>0</v>
          </cell>
          <cell r="AC1420">
            <v>0</v>
          </cell>
          <cell r="AD1420">
            <v>-3</v>
          </cell>
        </row>
        <row r="1421">
          <cell r="A1421" t="str">
            <v>33.97.10250.00</v>
          </cell>
          <cell r="B1421" t="str">
            <v>CHAPA PRINCIPAL PROVA MAIOR / 33.97.10250.00</v>
          </cell>
          <cell r="D1421" t="str">
            <v>-</v>
          </cell>
          <cell r="E1421" t="str">
            <v>-</v>
          </cell>
          <cell r="F1421" t="str">
            <v>-</v>
          </cell>
          <cell r="G1421" t="str">
            <v>-</v>
          </cell>
          <cell r="H1421" t="str">
            <v>-</v>
          </cell>
          <cell r="I1421" t="str">
            <v>-</v>
          </cell>
          <cell r="J1421">
            <v>0</v>
          </cell>
          <cell r="K1421">
            <v>-8</v>
          </cell>
          <cell r="L1421" t="str">
            <v>FALTA ENTREGA</v>
          </cell>
          <cell r="M1421" t="str">
            <v>-</v>
          </cell>
          <cell r="N1421" t="str">
            <v>OC'S METALFISA</v>
          </cell>
          <cell r="O1421" t="str">
            <v>-</v>
          </cell>
          <cell r="Q1421" t="str">
            <v>-</v>
          </cell>
          <cell r="S1421" t="str">
            <v>-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8</v>
          </cell>
          <cell r="AA1421">
            <v>8</v>
          </cell>
          <cell r="AB1421">
            <v>0</v>
          </cell>
          <cell r="AC1421">
            <v>0</v>
          </cell>
          <cell r="AD1421">
            <v>-8</v>
          </cell>
        </row>
        <row r="1422">
          <cell r="A1422" t="str">
            <v>33.99.10030.00</v>
          </cell>
          <cell r="B1422" t="str">
            <v>GRADE DA SILICA / 33.99.10030.00</v>
          </cell>
          <cell r="D1422" t="str">
            <v>-</v>
          </cell>
          <cell r="E1422" t="str">
            <v>-</v>
          </cell>
          <cell r="F1422" t="str">
            <v>-</v>
          </cell>
          <cell r="G1422" t="str">
            <v>-</v>
          </cell>
          <cell r="H1422" t="str">
            <v>-</v>
          </cell>
          <cell r="I1422" t="str">
            <v>-</v>
          </cell>
          <cell r="J1422">
            <v>0</v>
          </cell>
          <cell r="K1422">
            <v>41</v>
          </cell>
          <cell r="L1422" t="str">
            <v>FALTA ENTREGA</v>
          </cell>
          <cell r="M1422" t="str">
            <v>-</v>
          </cell>
          <cell r="N1422" t="str">
            <v>OC'S METALFISA</v>
          </cell>
          <cell r="O1422" t="str">
            <v>-</v>
          </cell>
          <cell r="Q1422">
            <v>130</v>
          </cell>
          <cell r="R1422" t="str">
            <v>OC'S VMI MEC</v>
          </cell>
          <cell r="S1422" t="str">
            <v>-</v>
          </cell>
          <cell r="U1422">
            <v>130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89</v>
          </cell>
          <cell r="AA1422">
            <v>89</v>
          </cell>
          <cell r="AB1422">
            <v>0</v>
          </cell>
          <cell r="AC1422">
            <v>0</v>
          </cell>
          <cell r="AD1422">
            <v>-89</v>
          </cell>
        </row>
        <row r="1423">
          <cell r="A1423" t="str">
            <v>33.99.10031.00</v>
          </cell>
          <cell r="B1423" t="str">
            <v>PRENSA CABO / 33.99.10031.00</v>
          </cell>
          <cell r="C1423">
            <v>46074</v>
          </cell>
          <cell r="D1423" t="str">
            <v>-</v>
          </cell>
          <cell r="E1423" t="str">
            <v>-</v>
          </cell>
          <cell r="F1423" t="str">
            <v>-</v>
          </cell>
          <cell r="G1423" t="str">
            <v>-</v>
          </cell>
          <cell r="H1423" t="str">
            <v>-</v>
          </cell>
          <cell r="I1423" t="str">
            <v>-</v>
          </cell>
          <cell r="J1423">
            <v>0</v>
          </cell>
          <cell r="K1423">
            <v>127</v>
          </cell>
          <cell r="L1423" t="str">
            <v>ENTREGA TOTAL</v>
          </cell>
          <cell r="M1423">
            <v>123</v>
          </cell>
          <cell r="N1423" t="str">
            <v>OC'S METALFISA</v>
          </cell>
          <cell r="O1423" t="str">
            <v>-</v>
          </cell>
          <cell r="Q1423" t="str">
            <v>-</v>
          </cell>
          <cell r="S1423" t="str">
            <v>-</v>
          </cell>
          <cell r="U1423">
            <v>123</v>
          </cell>
          <cell r="V1423">
            <v>0</v>
          </cell>
          <cell r="W1423">
            <v>4</v>
          </cell>
          <cell r="X1423">
            <v>0</v>
          </cell>
          <cell r="Y1423">
            <v>0</v>
          </cell>
          <cell r="Z1423">
            <v>112</v>
          </cell>
          <cell r="AA1423">
            <v>116</v>
          </cell>
          <cell r="AB1423">
            <v>0</v>
          </cell>
          <cell r="AC1423">
            <v>120</v>
          </cell>
          <cell r="AD1423">
            <v>4</v>
          </cell>
        </row>
        <row r="1424">
          <cell r="A1424" t="str">
            <v>33.99.10032.00</v>
          </cell>
          <cell r="B1424" t="str">
            <v>FIXACAO CORTINA / 33.99.10032.00</v>
          </cell>
          <cell r="C1424">
            <v>46062</v>
          </cell>
          <cell r="D1424" t="str">
            <v>-</v>
          </cell>
          <cell r="E1424" t="str">
            <v>-</v>
          </cell>
          <cell r="F1424" t="str">
            <v>-</v>
          </cell>
          <cell r="G1424" t="str">
            <v>-</v>
          </cell>
          <cell r="H1424" t="str">
            <v>-</v>
          </cell>
          <cell r="I1424" t="str">
            <v>-</v>
          </cell>
          <cell r="J1424">
            <v>0</v>
          </cell>
          <cell r="K1424">
            <v>261</v>
          </cell>
          <cell r="L1424" t="str">
            <v>ENTREGA PARCIAL</v>
          </cell>
          <cell r="M1424" t="str">
            <v>-</v>
          </cell>
          <cell r="N1424" t="str">
            <v>OC'S METALFISA</v>
          </cell>
          <cell r="O1424" t="str">
            <v>-</v>
          </cell>
          <cell r="Q1424">
            <v>535</v>
          </cell>
          <cell r="R1424" t="str">
            <v>OC'S VMI MEC</v>
          </cell>
          <cell r="S1424" t="str">
            <v>-</v>
          </cell>
          <cell r="U1424">
            <v>535</v>
          </cell>
          <cell r="V1424">
            <v>70</v>
          </cell>
          <cell r="W1424">
            <v>112</v>
          </cell>
          <cell r="X1424">
            <v>0</v>
          </cell>
          <cell r="Y1424">
            <v>0</v>
          </cell>
          <cell r="Z1424">
            <v>448</v>
          </cell>
          <cell r="AA1424">
            <v>630</v>
          </cell>
          <cell r="AB1424">
            <v>0</v>
          </cell>
          <cell r="AC1424">
            <v>356</v>
          </cell>
          <cell r="AD1424">
            <v>-274</v>
          </cell>
        </row>
        <row r="1425">
          <cell r="A1425" t="str">
            <v>33.99.10042.00</v>
          </cell>
          <cell r="B1425" t="str">
            <v>ESTICADOR DA MOTOPOLIA / 33.99.10042.00</v>
          </cell>
          <cell r="C1425">
            <v>46059</v>
          </cell>
          <cell r="D1425" t="str">
            <v>-</v>
          </cell>
          <cell r="E1425" t="str">
            <v>-</v>
          </cell>
          <cell r="F1425" t="str">
            <v>-</v>
          </cell>
          <cell r="G1425" t="str">
            <v>-</v>
          </cell>
          <cell r="H1425" t="str">
            <v>-</v>
          </cell>
          <cell r="I1425" t="str">
            <v>-</v>
          </cell>
          <cell r="J1425">
            <v>0</v>
          </cell>
          <cell r="K1425">
            <v>13</v>
          </cell>
          <cell r="L1425" t="str">
            <v>ENTREGA PARCIAL</v>
          </cell>
          <cell r="M1425" t="str">
            <v>-</v>
          </cell>
          <cell r="N1425" t="str">
            <v>OC'S METALFISA</v>
          </cell>
          <cell r="O1425" t="str">
            <v>-</v>
          </cell>
          <cell r="Q1425" t="str">
            <v>-</v>
          </cell>
          <cell r="S1425">
            <v>20</v>
          </cell>
          <cell r="T1425" t="str">
            <v>OC'S MAPHE</v>
          </cell>
          <cell r="U1425">
            <v>20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21</v>
          </cell>
          <cell r="AA1425">
            <v>21</v>
          </cell>
          <cell r="AB1425">
            <v>0</v>
          </cell>
          <cell r="AC1425">
            <v>14</v>
          </cell>
          <cell r="AD1425">
            <v>-7</v>
          </cell>
        </row>
        <row r="1426">
          <cell r="A1426" t="str">
            <v>33.99.10042.01</v>
          </cell>
          <cell r="B1426" t="str">
            <v>ESTICADOR DA MOTOPOLIA / 33.99.10042.01</v>
          </cell>
          <cell r="D1426" t="str">
            <v>-</v>
          </cell>
          <cell r="E1426" t="str">
            <v>-</v>
          </cell>
          <cell r="F1426" t="str">
            <v>-</v>
          </cell>
          <cell r="G1426" t="str">
            <v>-</v>
          </cell>
          <cell r="H1426" t="str">
            <v>-</v>
          </cell>
          <cell r="I1426" t="str">
            <v>-</v>
          </cell>
          <cell r="J1426">
            <v>0</v>
          </cell>
          <cell r="K1426">
            <v>19</v>
          </cell>
          <cell r="L1426" t="str">
            <v>FALTA ENTREGA</v>
          </cell>
          <cell r="M1426">
            <v>82</v>
          </cell>
          <cell r="N1426" t="str">
            <v>OC'S METALFISA</v>
          </cell>
          <cell r="O1426" t="str">
            <v>-</v>
          </cell>
          <cell r="Q1426" t="str">
            <v>-</v>
          </cell>
          <cell r="S1426" t="str">
            <v>-</v>
          </cell>
          <cell r="U1426">
            <v>82</v>
          </cell>
          <cell r="V1426">
            <v>0</v>
          </cell>
          <cell r="W1426">
            <v>1</v>
          </cell>
          <cell r="X1426">
            <v>0</v>
          </cell>
          <cell r="Y1426">
            <v>0</v>
          </cell>
          <cell r="Z1426">
            <v>62</v>
          </cell>
          <cell r="AA1426">
            <v>63</v>
          </cell>
          <cell r="AB1426">
            <v>0</v>
          </cell>
          <cell r="AC1426">
            <v>0</v>
          </cell>
          <cell r="AD1426">
            <v>-63</v>
          </cell>
        </row>
        <row r="1427">
          <cell r="A1427" t="str">
            <v>33.99.10043.00</v>
          </cell>
          <cell r="B1427" t="str">
            <v>ESTICADOR DO ROLETE / 33.99.10043.00</v>
          </cell>
          <cell r="D1427" t="str">
            <v>-</v>
          </cell>
          <cell r="E1427" t="str">
            <v>-</v>
          </cell>
          <cell r="F1427" t="str">
            <v>-</v>
          </cell>
          <cell r="G1427" t="str">
            <v>-</v>
          </cell>
          <cell r="H1427" t="str">
            <v>-</v>
          </cell>
          <cell r="I1427" t="str">
            <v>-</v>
          </cell>
          <cell r="J1427">
            <v>0</v>
          </cell>
          <cell r="K1427">
            <v>27</v>
          </cell>
          <cell r="L1427" t="str">
            <v>FALTA ENTREGA</v>
          </cell>
          <cell r="M1427">
            <v>74</v>
          </cell>
          <cell r="N1427" t="str">
            <v>OC'S METALFISA</v>
          </cell>
          <cell r="O1427" t="str">
            <v>-</v>
          </cell>
          <cell r="Q1427" t="str">
            <v>-</v>
          </cell>
          <cell r="S1427">
            <v>3</v>
          </cell>
          <cell r="T1427" t="str">
            <v>OC'S MAPHE</v>
          </cell>
          <cell r="U1427">
            <v>77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50</v>
          </cell>
          <cell r="AA1427">
            <v>50</v>
          </cell>
          <cell r="AB1427">
            <v>0</v>
          </cell>
          <cell r="AC1427">
            <v>0</v>
          </cell>
          <cell r="AD1427">
            <v>-50</v>
          </cell>
        </row>
        <row r="1428">
          <cell r="A1428" t="str">
            <v>33.99.10053.00</v>
          </cell>
          <cell r="B1428" t="str">
            <v>SUPORTE DE PLACA BIVOLT AUTOMATICO / 33.99.10053.00</v>
          </cell>
          <cell r="C1428">
            <v>46074</v>
          </cell>
          <cell r="D1428" t="str">
            <v>-</v>
          </cell>
          <cell r="E1428" t="str">
            <v>-</v>
          </cell>
          <cell r="F1428" t="str">
            <v>-</v>
          </cell>
          <cell r="G1428" t="str">
            <v>-</v>
          </cell>
          <cell r="H1428" t="str">
            <v>-</v>
          </cell>
          <cell r="I1428" t="str">
            <v>-</v>
          </cell>
          <cell r="J1428">
            <v>0</v>
          </cell>
          <cell r="K1428">
            <v>30</v>
          </cell>
          <cell r="L1428" t="str">
            <v>ENTREGA PARCIAL</v>
          </cell>
          <cell r="M1428">
            <v>102</v>
          </cell>
          <cell r="N1428" t="str">
            <v>OC'S METALFISA</v>
          </cell>
          <cell r="O1428" t="str">
            <v>-</v>
          </cell>
          <cell r="Q1428" t="str">
            <v>-</v>
          </cell>
          <cell r="S1428" t="str">
            <v>-</v>
          </cell>
          <cell r="U1428">
            <v>102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75</v>
          </cell>
          <cell r="AA1428">
            <v>75</v>
          </cell>
          <cell r="AB1428">
            <v>0</v>
          </cell>
          <cell r="AC1428">
            <v>3</v>
          </cell>
          <cell r="AD1428">
            <v>-72</v>
          </cell>
        </row>
        <row r="1429">
          <cell r="A1429" t="str">
            <v>33.99.10055.00</v>
          </cell>
          <cell r="B1429" t="str">
            <v>QUADRO ELETRICO / 33.99.10055.00</v>
          </cell>
          <cell r="D1429" t="str">
            <v>-</v>
          </cell>
          <cell r="E1429" t="str">
            <v>-</v>
          </cell>
          <cell r="F1429" t="str">
            <v>-</v>
          </cell>
          <cell r="G1429" t="str">
            <v>-</v>
          </cell>
          <cell r="H1429" t="str">
            <v>-</v>
          </cell>
          <cell r="I1429" t="str">
            <v>-</v>
          </cell>
          <cell r="J1429">
            <v>0</v>
          </cell>
          <cell r="K1429">
            <v>-1</v>
          </cell>
          <cell r="L1429" t="str">
            <v>FALTA ENTREGA</v>
          </cell>
          <cell r="M1429" t="str">
            <v>-</v>
          </cell>
          <cell r="N1429" t="str">
            <v>OC'S METALFISA</v>
          </cell>
          <cell r="O1429" t="str">
            <v>-</v>
          </cell>
          <cell r="Q1429" t="str">
            <v>-</v>
          </cell>
          <cell r="S1429" t="str">
            <v>-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1</v>
          </cell>
          <cell r="AA1429">
            <v>1</v>
          </cell>
          <cell r="AB1429">
            <v>0</v>
          </cell>
          <cell r="AC1429">
            <v>0</v>
          </cell>
          <cell r="AD1429">
            <v>-1</v>
          </cell>
        </row>
        <row r="1430">
          <cell r="A1430" t="str">
            <v>33.99.10055.01</v>
          </cell>
          <cell r="B1430" t="str">
            <v>QUADRO ELETRICO / 33.99.10055.01</v>
          </cell>
          <cell r="C1430">
            <v>46062</v>
          </cell>
          <cell r="D1430" t="str">
            <v>-</v>
          </cell>
          <cell r="E1430" t="str">
            <v>-</v>
          </cell>
          <cell r="F1430" t="str">
            <v>-</v>
          </cell>
          <cell r="G1430" t="str">
            <v>-</v>
          </cell>
          <cell r="H1430" t="str">
            <v>-</v>
          </cell>
          <cell r="I1430" t="str">
            <v>-</v>
          </cell>
          <cell r="J1430">
            <v>0</v>
          </cell>
          <cell r="K1430">
            <v>27</v>
          </cell>
          <cell r="L1430" t="str">
            <v>ENTREGA PARCIAL</v>
          </cell>
          <cell r="M1430" t="str">
            <v>-</v>
          </cell>
          <cell r="N1430" t="str">
            <v>OC'S METALFISA</v>
          </cell>
          <cell r="O1430" t="str">
            <v>-</v>
          </cell>
          <cell r="Q1430">
            <v>44</v>
          </cell>
          <cell r="R1430" t="str">
            <v>OC'S VMI MEC</v>
          </cell>
          <cell r="S1430" t="str">
            <v>-</v>
          </cell>
          <cell r="U1430">
            <v>44</v>
          </cell>
          <cell r="V1430">
            <v>0</v>
          </cell>
          <cell r="W1430">
            <v>3</v>
          </cell>
          <cell r="X1430">
            <v>2</v>
          </cell>
          <cell r="Y1430">
            <v>0</v>
          </cell>
          <cell r="Z1430">
            <v>56</v>
          </cell>
          <cell r="AA1430">
            <v>61</v>
          </cell>
          <cell r="AB1430">
            <v>0</v>
          </cell>
          <cell r="AC1430">
            <v>44</v>
          </cell>
          <cell r="AD1430">
            <v>-17</v>
          </cell>
        </row>
        <row r="1431">
          <cell r="A1431" t="str">
            <v>33.99.10056.00</v>
          </cell>
          <cell r="B1431" t="str">
            <v>CHAPA INTERNA BASE SUPORTE MONITORES / 33.99.10056.00</v>
          </cell>
          <cell r="C1431">
            <v>46066</v>
          </cell>
          <cell r="D1431" t="str">
            <v>-</v>
          </cell>
          <cell r="E1431" t="str">
            <v>-</v>
          </cell>
          <cell r="F1431" t="str">
            <v>-</v>
          </cell>
          <cell r="G1431" t="str">
            <v>-</v>
          </cell>
          <cell r="H1431" t="str">
            <v>-</v>
          </cell>
          <cell r="I1431" t="str">
            <v>-</v>
          </cell>
          <cell r="J1431">
            <v>0</v>
          </cell>
          <cell r="K1431">
            <v>1</v>
          </cell>
          <cell r="L1431" t="str">
            <v>ENTREGA TOTAL</v>
          </cell>
          <cell r="M1431" t="str">
            <v>-</v>
          </cell>
          <cell r="N1431" t="str">
            <v>OC'S METALFISA</v>
          </cell>
          <cell r="O1431">
            <v>1</v>
          </cell>
          <cell r="P1431" t="str">
            <v>OC'S GRANATO</v>
          </cell>
          <cell r="Q1431" t="str">
            <v>-</v>
          </cell>
          <cell r="S1431" t="str">
            <v>-</v>
          </cell>
          <cell r="U1431">
            <v>1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1</v>
          </cell>
          <cell r="AA1431">
            <v>1</v>
          </cell>
          <cell r="AB1431">
            <v>0</v>
          </cell>
          <cell r="AC1431">
            <v>1</v>
          </cell>
          <cell r="AD1431">
            <v>0</v>
          </cell>
        </row>
        <row r="1432">
          <cell r="A1432" t="str">
            <v>33.99.20003.00</v>
          </cell>
          <cell r="B1432" t="str">
            <v>BARRA ROSCADA M10 / 33.99.20003.00</v>
          </cell>
          <cell r="C1432">
            <v>46076</v>
          </cell>
          <cell r="D1432" t="str">
            <v>-</v>
          </cell>
          <cell r="E1432" t="str">
            <v>-</v>
          </cell>
          <cell r="F1432" t="str">
            <v>-</v>
          </cell>
          <cell r="G1432" t="str">
            <v>-</v>
          </cell>
          <cell r="H1432" t="str">
            <v>-</v>
          </cell>
          <cell r="I1432" t="str">
            <v>-</v>
          </cell>
          <cell r="J1432">
            <v>0</v>
          </cell>
          <cell r="K1432">
            <v>34</v>
          </cell>
          <cell r="L1432" t="str">
            <v>FALTA ENTREGA</v>
          </cell>
          <cell r="M1432" t="str">
            <v>-</v>
          </cell>
          <cell r="N1432" t="str">
            <v>OC'S METALFISA</v>
          </cell>
          <cell r="O1432" t="str">
            <v>-</v>
          </cell>
          <cell r="Q1432" t="str">
            <v>-</v>
          </cell>
          <cell r="S1432">
            <v>64</v>
          </cell>
          <cell r="T1432" t="str">
            <v>OC'S MAPHE</v>
          </cell>
          <cell r="U1432">
            <v>64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30</v>
          </cell>
          <cell r="AA1432">
            <v>30</v>
          </cell>
          <cell r="AB1432">
            <v>0</v>
          </cell>
          <cell r="AC1432">
            <v>0</v>
          </cell>
          <cell r="AD1432">
            <v>-30</v>
          </cell>
        </row>
        <row r="1433">
          <cell r="A1433" t="str">
            <v>34.01.10061.01</v>
          </cell>
          <cell r="B1433" t="str">
            <v>BASE TOTEM CARGO / 34.01.10061.01</v>
          </cell>
          <cell r="D1433" t="str">
            <v>-</v>
          </cell>
          <cell r="E1433" t="str">
            <v>-</v>
          </cell>
          <cell r="F1433" t="str">
            <v>-</v>
          </cell>
          <cell r="G1433" t="str">
            <v>-</v>
          </cell>
          <cell r="H1433" t="str">
            <v>-</v>
          </cell>
          <cell r="I1433" t="str">
            <v>-</v>
          </cell>
          <cell r="J1433">
            <v>0</v>
          </cell>
          <cell r="K1433">
            <v>1</v>
          </cell>
          <cell r="L1433" t="str">
            <v>FALTA ENTREGA</v>
          </cell>
          <cell r="M1433" t="str">
            <v>-</v>
          </cell>
          <cell r="N1433" t="str">
            <v>OC'S METALFISA</v>
          </cell>
          <cell r="O1433">
            <v>2</v>
          </cell>
          <cell r="P1433" t="str">
            <v>OC'S GRANATO</v>
          </cell>
          <cell r="Q1433" t="str">
            <v>-</v>
          </cell>
          <cell r="S1433" t="str">
            <v>-</v>
          </cell>
          <cell r="U1433">
            <v>2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1</v>
          </cell>
          <cell r="AA1433">
            <v>1</v>
          </cell>
          <cell r="AB1433">
            <v>0</v>
          </cell>
          <cell r="AC1433">
            <v>0</v>
          </cell>
          <cell r="AD1433">
            <v>-1</v>
          </cell>
        </row>
        <row r="1434">
          <cell r="A1434" t="str">
            <v>34.01.10063.00</v>
          </cell>
          <cell r="B1434" t="str">
            <v>FRONTAL TOTEM CARGO / 34.01.10063.00</v>
          </cell>
          <cell r="D1434" t="str">
            <v>-</v>
          </cell>
          <cell r="E1434" t="str">
            <v>-</v>
          </cell>
          <cell r="F1434" t="str">
            <v>-</v>
          </cell>
          <cell r="G1434" t="str">
            <v>-</v>
          </cell>
          <cell r="H1434" t="str">
            <v>-</v>
          </cell>
          <cell r="I1434" t="str">
            <v>-</v>
          </cell>
          <cell r="J1434">
            <v>0</v>
          </cell>
          <cell r="K1434" t="e">
            <v>#VALUE!</v>
          </cell>
          <cell r="L1434" t="str">
            <v>ENTREGA TOTAL</v>
          </cell>
          <cell r="M1434" t="str">
            <v>-</v>
          </cell>
          <cell r="N1434" t="str">
            <v>OC'S METALFISA</v>
          </cell>
          <cell r="O1434">
            <v>1</v>
          </cell>
          <cell r="P1434" t="str">
            <v>OC'S GRANATO</v>
          </cell>
          <cell r="Q1434" t="str">
            <v>-</v>
          </cell>
          <cell r="S1434" t="str">
            <v>-</v>
          </cell>
          <cell r="U1434">
            <v>1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1</v>
          </cell>
          <cell r="AA1434">
            <v>1</v>
          </cell>
          <cell r="AB1434" t="str">
            <v>0</v>
          </cell>
          <cell r="AC1434" t="str">
            <v>-</v>
          </cell>
          <cell r="AD1434" t="str">
            <v>-</v>
          </cell>
        </row>
        <row r="1435">
          <cell r="A1435" t="str">
            <v>34.01.10065.00</v>
          </cell>
          <cell r="B1435" t="str">
            <v>TRASEIRO TOTEM CARGO / 34.01.10065.00</v>
          </cell>
          <cell r="D1435" t="str">
            <v>-</v>
          </cell>
          <cell r="E1435" t="str">
            <v>-</v>
          </cell>
          <cell r="F1435" t="str">
            <v>-</v>
          </cell>
          <cell r="G1435" t="str">
            <v>-</v>
          </cell>
          <cell r="H1435" t="str">
            <v>-</v>
          </cell>
          <cell r="I1435" t="str">
            <v>-</v>
          </cell>
          <cell r="J1435">
            <v>0</v>
          </cell>
          <cell r="K1435">
            <v>1</v>
          </cell>
          <cell r="L1435" t="str">
            <v>FALTA ENTREGA</v>
          </cell>
          <cell r="M1435" t="str">
            <v>-</v>
          </cell>
          <cell r="N1435" t="str">
            <v>OC'S METALFISA</v>
          </cell>
          <cell r="O1435">
            <v>2</v>
          </cell>
          <cell r="P1435" t="str">
            <v>OC'S GRANATO</v>
          </cell>
          <cell r="Q1435" t="str">
            <v>-</v>
          </cell>
          <cell r="S1435" t="str">
            <v>-</v>
          </cell>
          <cell r="U1435">
            <v>2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1</v>
          </cell>
          <cell r="AA1435">
            <v>1</v>
          </cell>
          <cell r="AB1435">
            <v>0</v>
          </cell>
          <cell r="AC1435">
            <v>0</v>
          </cell>
          <cell r="AD1435">
            <v>-1</v>
          </cell>
        </row>
        <row r="1436">
          <cell r="A1436" t="str">
            <v>34.01.10067.01</v>
          </cell>
          <cell r="B1436" t="str">
            <v>TETO TOTEM CARGO / 34.01.10067.01</v>
          </cell>
          <cell r="D1436" t="str">
            <v>-</v>
          </cell>
          <cell r="E1436" t="str">
            <v>-</v>
          </cell>
          <cell r="F1436" t="str">
            <v>-</v>
          </cell>
          <cell r="G1436" t="str">
            <v>-</v>
          </cell>
          <cell r="H1436" t="str">
            <v>-</v>
          </cell>
          <cell r="I1436" t="str">
            <v>-</v>
          </cell>
          <cell r="J1436">
            <v>0</v>
          </cell>
          <cell r="K1436">
            <v>1</v>
          </cell>
          <cell r="L1436" t="str">
            <v>FALTA ENTREGA</v>
          </cell>
          <cell r="M1436" t="str">
            <v>-</v>
          </cell>
          <cell r="N1436" t="str">
            <v>OC'S METALFISA</v>
          </cell>
          <cell r="O1436">
            <v>2</v>
          </cell>
          <cell r="P1436" t="str">
            <v>OC'S GRANATO</v>
          </cell>
          <cell r="Q1436" t="str">
            <v>-</v>
          </cell>
          <cell r="S1436" t="str">
            <v>-</v>
          </cell>
          <cell r="U1436">
            <v>2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1</v>
          </cell>
          <cell r="AA1436">
            <v>1</v>
          </cell>
          <cell r="AB1436">
            <v>0</v>
          </cell>
          <cell r="AC1436">
            <v>0</v>
          </cell>
          <cell r="AD1436">
            <v>-1</v>
          </cell>
        </row>
        <row r="1437">
          <cell r="A1437" t="str">
            <v>34.01.10070.01</v>
          </cell>
          <cell r="B1437" t="str">
            <v>CHAPA AMARRA CABOS TOTEM CARGO / 34.01.10070.01</v>
          </cell>
          <cell r="C1437">
            <v>46072</v>
          </cell>
          <cell r="D1437" t="str">
            <v>-</v>
          </cell>
          <cell r="E1437" t="str">
            <v>-</v>
          </cell>
          <cell r="F1437" t="str">
            <v>-</v>
          </cell>
          <cell r="G1437" t="str">
            <v>-</v>
          </cell>
          <cell r="H1437" t="str">
            <v>-</v>
          </cell>
          <cell r="I1437" t="str">
            <v>-</v>
          </cell>
          <cell r="J1437">
            <v>0</v>
          </cell>
          <cell r="K1437">
            <v>4</v>
          </cell>
          <cell r="L1437" t="str">
            <v>ENTREGA TOTAL</v>
          </cell>
          <cell r="M1437" t="str">
            <v>-</v>
          </cell>
          <cell r="N1437" t="str">
            <v>OC'S METALFISA</v>
          </cell>
          <cell r="O1437">
            <v>4</v>
          </cell>
          <cell r="P1437" t="str">
            <v>OC'S GRANATO</v>
          </cell>
          <cell r="Q1437" t="str">
            <v>-</v>
          </cell>
          <cell r="S1437" t="str">
            <v>-</v>
          </cell>
          <cell r="U1437">
            <v>4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2</v>
          </cell>
          <cell r="AA1437">
            <v>2</v>
          </cell>
          <cell r="AB1437">
            <v>0</v>
          </cell>
          <cell r="AC1437">
            <v>2</v>
          </cell>
          <cell r="AD1437">
            <v>0</v>
          </cell>
        </row>
        <row r="1438">
          <cell r="A1438" t="str">
            <v>34.01.10072.01</v>
          </cell>
          <cell r="B1438" t="str">
            <v>TAMPA SUPERIOR TOTEM CARGO / 34.01.10072.01</v>
          </cell>
          <cell r="C1438">
            <v>46074</v>
          </cell>
          <cell r="D1438" t="str">
            <v>-</v>
          </cell>
          <cell r="E1438" t="str">
            <v>-</v>
          </cell>
          <cell r="F1438" t="str">
            <v>-</v>
          </cell>
          <cell r="G1438" t="str">
            <v>-</v>
          </cell>
          <cell r="H1438" t="str">
            <v>-</v>
          </cell>
          <cell r="I1438" t="str">
            <v>-</v>
          </cell>
          <cell r="J1438">
            <v>0</v>
          </cell>
          <cell r="K1438">
            <v>2</v>
          </cell>
          <cell r="L1438" t="str">
            <v>ENTREGA TOTAL</v>
          </cell>
          <cell r="M1438" t="str">
            <v>-</v>
          </cell>
          <cell r="N1438" t="str">
            <v>OC'S METALFISA</v>
          </cell>
          <cell r="O1438">
            <v>2</v>
          </cell>
          <cell r="P1438" t="str">
            <v>OC'S GRANATO</v>
          </cell>
          <cell r="Q1438" t="str">
            <v>-</v>
          </cell>
          <cell r="S1438" t="str">
            <v>-</v>
          </cell>
          <cell r="U1438">
            <v>2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1</v>
          </cell>
          <cell r="AA1438">
            <v>1</v>
          </cell>
          <cell r="AB1438">
            <v>0</v>
          </cell>
          <cell r="AC1438">
            <v>1</v>
          </cell>
          <cell r="AD1438">
            <v>0</v>
          </cell>
        </row>
        <row r="1439">
          <cell r="A1439" t="str">
            <v>34.01.10073.00</v>
          </cell>
          <cell r="B1439" t="str">
            <v>TAMPA TRASEIRA TOTEM CARGO / 34.01.10073.00</v>
          </cell>
          <cell r="C1439">
            <v>46074</v>
          </cell>
          <cell r="D1439" t="str">
            <v>-</v>
          </cell>
          <cell r="E1439" t="str">
            <v>-</v>
          </cell>
          <cell r="F1439" t="str">
            <v>-</v>
          </cell>
          <cell r="G1439" t="str">
            <v>-</v>
          </cell>
          <cell r="H1439" t="str">
            <v>-</v>
          </cell>
          <cell r="I1439" t="str">
            <v>-</v>
          </cell>
          <cell r="J1439">
            <v>0</v>
          </cell>
          <cell r="K1439">
            <v>2</v>
          </cell>
          <cell r="L1439" t="str">
            <v>ENTREGA TOTAL</v>
          </cell>
          <cell r="M1439" t="str">
            <v>-</v>
          </cell>
          <cell r="N1439" t="str">
            <v>OC'S METALFISA</v>
          </cell>
          <cell r="O1439">
            <v>2</v>
          </cell>
          <cell r="P1439" t="str">
            <v>OC'S GRANATO</v>
          </cell>
          <cell r="Q1439" t="str">
            <v>-</v>
          </cell>
          <cell r="S1439" t="str">
            <v>-</v>
          </cell>
          <cell r="U1439">
            <v>2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1</v>
          </cell>
          <cell r="AA1439">
            <v>1</v>
          </cell>
          <cell r="AB1439">
            <v>0</v>
          </cell>
          <cell r="AC1439">
            <v>1</v>
          </cell>
          <cell r="AD1439">
            <v>0</v>
          </cell>
        </row>
        <row r="1440">
          <cell r="A1440" t="str">
            <v>34.02.10012.00</v>
          </cell>
          <cell r="B1440" t="str">
            <v>PE DA MESA / 34.02.10012.00</v>
          </cell>
          <cell r="D1440" t="str">
            <v>-</v>
          </cell>
          <cell r="E1440" t="str">
            <v>-</v>
          </cell>
          <cell r="F1440" t="str">
            <v>-</v>
          </cell>
          <cell r="G1440" t="str">
            <v>-</v>
          </cell>
          <cell r="H1440" t="str">
            <v>-</v>
          </cell>
          <cell r="I1440" t="str">
            <v>-</v>
          </cell>
          <cell r="J1440">
            <v>0</v>
          </cell>
          <cell r="K1440">
            <v>89</v>
          </cell>
          <cell r="L1440" t="str">
            <v>FALTA ENTREGA</v>
          </cell>
          <cell r="M1440" t="str">
            <v>-</v>
          </cell>
          <cell r="N1440" t="str">
            <v>OC'S METALFISA</v>
          </cell>
          <cell r="O1440">
            <v>130</v>
          </cell>
          <cell r="P1440" t="str">
            <v>OC'S GRANATO</v>
          </cell>
          <cell r="Q1440" t="str">
            <v>-</v>
          </cell>
          <cell r="S1440" t="str">
            <v>-</v>
          </cell>
          <cell r="U1440">
            <v>130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41</v>
          </cell>
          <cell r="AA1440">
            <v>41</v>
          </cell>
          <cell r="AB1440">
            <v>0</v>
          </cell>
          <cell r="AC1440">
            <v>0</v>
          </cell>
          <cell r="AD1440">
            <v>-41</v>
          </cell>
        </row>
        <row r="1441">
          <cell r="A1441" t="str">
            <v>34.02.10218.00</v>
          </cell>
          <cell r="B1441" t="str">
            <v>FIXACAO MESA  / 34.02.10218.00</v>
          </cell>
          <cell r="D1441" t="str">
            <v>-</v>
          </cell>
          <cell r="E1441" t="str">
            <v>-</v>
          </cell>
          <cell r="F1441" t="str">
            <v>-</v>
          </cell>
          <cell r="G1441" t="str">
            <v>-</v>
          </cell>
          <cell r="H1441" t="str">
            <v>-</v>
          </cell>
          <cell r="I1441">
            <v>20</v>
          </cell>
          <cell r="J1441">
            <v>20</v>
          </cell>
          <cell r="K1441" t="e">
            <v>#VALUE!</v>
          </cell>
          <cell r="L1441" t="str">
            <v>ENTREGA TOTAL</v>
          </cell>
          <cell r="M1441" t="str">
            <v>-</v>
          </cell>
          <cell r="N1441" t="str">
            <v>OC'S METALFISA</v>
          </cell>
          <cell r="O1441" t="str">
            <v>-</v>
          </cell>
          <cell r="Q1441" t="str">
            <v>-</v>
          </cell>
          <cell r="S1441">
            <v>2</v>
          </cell>
          <cell r="T1441" t="str">
            <v>OC'S MAPHE</v>
          </cell>
          <cell r="U1441">
            <v>2</v>
          </cell>
          <cell r="V1441">
            <v>2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2</v>
          </cell>
          <cell r="AB1441" t="str">
            <v>0</v>
          </cell>
          <cell r="AC1441" t="str">
            <v>-</v>
          </cell>
          <cell r="AD1441" t="str">
            <v>-</v>
          </cell>
        </row>
        <row r="1442">
          <cell r="A1442" t="str">
            <v>34.02.10222.00</v>
          </cell>
          <cell r="B1442" t="str">
            <v>TRAVA DA ESTRUTURA / 34.02.10222.00</v>
          </cell>
          <cell r="D1442" t="str">
            <v>-</v>
          </cell>
          <cell r="E1442" t="str">
            <v>-</v>
          </cell>
          <cell r="F1442" t="str">
            <v>-</v>
          </cell>
          <cell r="G1442" t="str">
            <v>-</v>
          </cell>
          <cell r="H1442" t="str">
            <v>-</v>
          </cell>
          <cell r="I1442" t="str">
            <v>-</v>
          </cell>
          <cell r="J1442">
            <v>0</v>
          </cell>
          <cell r="K1442">
            <v>0</v>
          </cell>
          <cell r="L1442" t="str">
            <v>FALTA ENTREGA</v>
          </cell>
          <cell r="M1442" t="str">
            <v>-</v>
          </cell>
          <cell r="N1442" t="str">
            <v>OC'S METALFISA</v>
          </cell>
          <cell r="O1442" t="str">
            <v>-</v>
          </cell>
          <cell r="Q1442" t="str">
            <v>-</v>
          </cell>
          <cell r="S1442">
            <v>10</v>
          </cell>
          <cell r="T1442" t="str">
            <v>OC'S MAPHE</v>
          </cell>
          <cell r="U1442">
            <v>10</v>
          </cell>
          <cell r="V1442">
            <v>10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10</v>
          </cell>
          <cell r="AB1442">
            <v>8</v>
          </cell>
          <cell r="AC1442">
            <v>0</v>
          </cell>
          <cell r="AD1442">
            <v>-10</v>
          </cell>
        </row>
        <row r="1443">
          <cell r="A1443" t="str">
            <v>34.02.10223.00</v>
          </cell>
          <cell r="B1443" t="str">
            <v>TRAVA DA ESTRUTURA / 34.02.10223.00</v>
          </cell>
          <cell r="D1443" t="str">
            <v>-</v>
          </cell>
          <cell r="E1443" t="str">
            <v>-</v>
          </cell>
          <cell r="F1443" t="str">
            <v>-</v>
          </cell>
          <cell r="G1443" t="str">
            <v>-</v>
          </cell>
          <cell r="H1443" t="str">
            <v>-</v>
          </cell>
          <cell r="I1443" t="str">
            <v>-</v>
          </cell>
          <cell r="J1443">
            <v>0</v>
          </cell>
          <cell r="K1443">
            <v>0</v>
          </cell>
          <cell r="L1443" t="str">
            <v>FALTA ENTREGA</v>
          </cell>
          <cell r="M1443" t="str">
            <v>-</v>
          </cell>
          <cell r="N1443" t="str">
            <v>OC'S METALFISA</v>
          </cell>
          <cell r="O1443" t="str">
            <v>-</v>
          </cell>
          <cell r="Q1443" t="str">
            <v>-</v>
          </cell>
          <cell r="S1443">
            <v>6</v>
          </cell>
          <cell r="T1443" t="str">
            <v>OC'S MAPHE</v>
          </cell>
          <cell r="U1443">
            <v>6</v>
          </cell>
          <cell r="V1443">
            <v>6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6</v>
          </cell>
          <cell r="AB1443">
            <v>2</v>
          </cell>
          <cell r="AC1443">
            <v>0</v>
          </cell>
          <cell r="AD1443">
            <v>-6</v>
          </cell>
        </row>
        <row r="1444">
          <cell r="A1444" t="str">
            <v>34.02.10225.00</v>
          </cell>
          <cell r="B1444" t="str">
            <v>SUPORTE PERNAS DA MESA / 34.02.10225.00</v>
          </cell>
          <cell r="D1444" t="str">
            <v>-</v>
          </cell>
          <cell r="E1444" t="str">
            <v>-</v>
          </cell>
          <cell r="F1444" t="str">
            <v>-</v>
          </cell>
          <cell r="G1444" t="str">
            <v>-</v>
          </cell>
          <cell r="H1444" t="str">
            <v>-</v>
          </cell>
          <cell r="I1444" t="str">
            <v>-</v>
          </cell>
          <cell r="J1444">
            <v>0</v>
          </cell>
          <cell r="K1444">
            <v>0</v>
          </cell>
          <cell r="L1444" t="str">
            <v>FALTA ENTREGA</v>
          </cell>
          <cell r="M1444" t="str">
            <v>-</v>
          </cell>
          <cell r="N1444" t="str">
            <v>OC'S METALFISA</v>
          </cell>
          <cell r="O1444" t="str">
            <v>-</v>
          </cell>
          <cell r="Q1444" t="str">
            <v>-</v>
          </cell>
          <cell r="S1444">
            <v>4</v>
          </cell>
          <cell r="T1444" t="str">
            <v>OC'S MAPHE</v>
          </cell>
          <cell r="U1444">
            <v>4</v>
          </cell>
          <cell r="V1444">
            <v>4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4</v>
          </cell>
          <cell r="AB1444">
            <v>4</v>
          </cell>
          <cell r="AC1444">
            <v>0</v>
          </cell>
          <cell r="AD1444">
            <v>-4</v>
          </cell>
        </row>
        <row r="1445">
          <cell r="A1445" t="str">
            <v>34.02.10229.00</v>
          </cell>
          <cell r="B1445" t="str">
            <v>ACABAMENTO LATERAL / 34.02.10229.00</v>
          </cell>
          <cell r="D1445" t="str">
            <v>-</v>
          </cell>
          <cell r="E1445" t="str">
            <v>-</v>
          </cell>
          <cell r="F1445" t="str">
            <v>-</v>
          </cell>
          <cell r="G1445" t="str">
            <v>-</v>
          </cell>
          <cell r="H1445" t="str">
            <v>-</v>
          </cell>
          <cell r="I1445" t="str">
            <v>-</v>
          </cell>
          <cell r="J1445">
            <v>0</v>
          </cell>
          <cell r="K1445">
            <v>0</v>
          </cell>
          <cell r="L1445" t="str">
            <v>FALTA ENTREGA</v>
          </cell>
          <cell r="M1445" t="str">
            <v>-</v>
          </cell>
          <cell r="N1445" t="str">
            <v>OC'S METALFISA</v>
          </cell>
          <cell r="O1445" t="str">
            <v>-</v>
          </cell>
          <cell r="Q1445" t="str">
            <v>-</v>
          </cell>
          <cell r="S1445">
            <v>2</v>
          </cell>
          <cell r="T1445" t="str">
            <v>OC'S MAPHE</v>
          </cell>
          <cell r="U1445">
            <v>2</v>
          </cell>
          <cell r="V1445">
            <v>2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2</v>
          </cell>
          <cell r="AB1445">
            <v>2</v>
          </cell>
          <cell r="AC1445">
            <v>0</v>
          </cell>
          <cell r="AD1445">
            <v>-2</v>
          </cell>
        </row>
        <row r="1446">
          <cell r="A1446" t="str">
            <v>34.02.10230.00</v>
          </cell>
          <cell r="B1446" t="str">
            <v>ACABAMENTO LATERAL / 34.02.10230.00</v>
          </cell>
          <cell r="D1446" t="str">
            <v>-</v>
          </cell>
          <cell r="E1446" t="str">
            <v>-</v>
          </cell>
          <cell r="F1446" t="str">
            <v>-</v>
          </cell>
          <cell r="G1446" t="str">
            <v>-</v>
          </cell>
          <cell r="H1446" t="str">
            <v>-</v>
          </cell>
          <cell r="I1446" t="str">
            <v>-</v>
          </cell>
          <cell r="J1446">
            <v>0</v>
          </cell>
          <cell r="K1446">
            <v>0</v>
          </cell>
          <cell r="L1446" t="str">
            <v>FALTA ENTREGA</v>
          </cell>
          <cell r="M1446" t="str">
            <v>-</v>
          </cell>
          <cell r="N1446" t="str">
            <v>OC'S METALFISA</v>
          </cell>
          <cell r="O1446" t="str">
            <v>-</v>
          </cell>
          <cell r="Q1446" t="str">
            <v>-</v>
          </cell>
          <cell r="S1446">
            <v>2</v>
          </cell>
          <cell r="T1446" t="str">
            <v>OC'S MAPHE</v>
          </cell>
          <cell r="U1446">
            <v>2</v>
          </cell>
          <cell r="V1446">
            <v>2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2</v>
          </cell>
          <cell r="AB1446">
            <v>2</v>
          </cell>
          <cell r="AC1446">
            <v>0</v>
          </cell>
          <cell r="AD1446">
            <v>-2</v>
          </cell>
        </row>
        <row r="1447">
          <cell r="A1447" t="str">
            <v>34.02.10231.00</v>
          </cell>
          <cell r="B1447" t="str">
            <v>LIGACAO DAS MESAS / 34.02.10231.00</v>
          </cell>
          <cell r="D1447" t="str">
            <v>-</v>
          </cell>
          <cell r="E1447" t="str">
            <v>-</v>
          </cell>
          <cell r="F1447" t="str">
            <v>-</v>
          </cell>
          <cell r="G1447" t="str">
            <v>-</v>
          </cell>
          <cell r="H1447" t="str">
            <v>-</v>
          </cell>
          <cell r="I1447">
            <v>8</v>
          </cell>
          <cell r="J1447">
            <v>8</v>
          </cell>
          <cell r="K1447" t="e">
            <v>#VALUE!</v>
          </cell>
          <cell r="L1447" t="str">
            <v>ENTREGA TOTAL</v>
          </cell>
          <cell r="M1447" t="str">
            <v>-</v>
          </cell>
          <cell r="N1447" t="str">
            <v>OC'S METALFISA</v>
          </cell>
          <cell r="O1447" t="str">
            <v>-</v>
          </cell>
          <cell r="Q1447" t="str">
            <v>-</v>
          </cell>
          <cell r="S1447" t="str">
            <v>-</v>
          </cell>
          <cell r="U1447">
            <v>0</v>
          </cell>
          <cell r="V1447">
            <v>8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8</v>
          </cell>
          <cell r="AB1447" t="str">
            <v>0</v>
          </cell>
          <cell r="AC1447" t="str">
            <v>-</v>
          </cell>
          <cell r="AD1447" t="str">
            <v>-</v>
          </cell>
        </row>
        <row r="1448">
          <cell r="A1448" t="str">
            <v>34.02.10266.00</v>
          </cell>
          <cell r="B1448" t="str">
            <v>BARRA TRAVAMENTO INFERIOR LATERAIS MESA ROLETES 100100 / 34.02.10266.00</v>
          </cell>
          <cell r="D1448" t="str">
            <v>-</v>
          </cell>
          <cell r="E1448" t="str">
            <v>-</v>
          </cell>
          <cell r="F1448" t="str">
            <v>-</v>
          </cell>
          <cell r="G1448" t="str">
            <v>-</v>
          </cell>
          <cell r="H1448" t="str">
            <v>-</v>
          </cell>
          <cell r="I1448" t="str">
            <v>-</v>
          </cell>
          <cell r="J1448">
            <v>0</v>
          </cell>
          <cell r="K1448">
            <v>-3</v>
          </cell>
          <cell r="L1448" t="str">
            <v>FALTA ENTREGA</v>
          </cell>
          <cell r="M1448" t="str">
            <v>-</v>
          </cell>
          <cell r="N1448" t="str">
            <v>OC'S METALFISA</v>
          </cell>
          <cell r="O1448">
            <v>1</v>
          </cell>
          <cell r="P1448" t="str">
            <v>OC'S GRANATO</v>
          </cell>
          <cell r="Q1448" t="str">
            <v>-</v>
          </cell>
          <cell r="S1448" t="str">
            <v>-</v>
          </cell>
          <cell r="U1448">
            <v>1</v>
          </cell>
          <cell r="V1448">
            <v>4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4</v>
          </cell>
          <cell r="AB1448">
            <v>0</v>
          </cell>
          <cell r="AC1448">
            <v>0</v>
          </cell>
          <cell r="AD1448">
            <v>-4</v>
          </cell>
        </row>
        <row r="1449">
          <cell r="A1449" t="str">
            <v>34.02.10268.00</v>
          </cell>
          <cell r="B1449" t="str">
            <v>TRAVAMENTO FRONTAL BATENTE MESA ROLETES 100100 / 34.02.10268.00</v>
          </cell>
          <cell r="D1449" t="str">
            <v>-</v>
          </cell>
          <cell r="E1449" t="str">
            <v>-</v>
          </cell>
          <cell r="F1449" t="str">
            <v>-</v>
          </cell>
          <cell r="G1449" t="str">
            <v>-</v>
          </cell>
          <cell r="H1449" t="str">
            <v>-</v>
          </cell>
          <cell r="I1449" t="str">
            <v>-</v>
          </cell>
          <cell r="J1449">
            <v>0</v>
          </cell>
          <cell r="K1449">
            <v>-4</v>
          </cell>
          <cell r="L1449" t="str">
            <v>FALTA ENTREGA</v>
          </cell>
          <cell r="M1449" t="str">
            <v>-</v>
          </cell>
          <cell r="N1449" t="str">
            <v>OC'S METALFISA</v>
          </cell>
          <cell r="O1449" t="str">
            <v>-</v>
          </cell>
          <cell r="Q1449" t="str">
            <v>-</v>
          </cell>
          <cell r="S1449" t="str">
            <v>-</v>
          </cell>
          <cell r="U1449">
            <v>0</v>
          </cell>
          <cell r="V1449">
            <v>4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4</v>
          </cell>
          <cell r="AB1449">
            <v>0</v>
          </cell>
          <cell r="AC1449">
            <v>0</v>
          </cell>
          <cell r="AD1449">
            <v>-4</v>
          </cell>
        </row>
        <row r="1450">
          <cell r="A1450" t="str">
            <v>34.03.10009.03</v>
          </cell>
          <cell r="B1450" t="str">
            <v>EXTENSAO DE TUNEL 400MM 100100 / 34.03.10009.03</v>
          </cell>
          <cell r="D1450" t="str">
            <v>-</v>
          </cell>
          <cell r="E1450" t="str">
            <v>-</v>
          </cell>
          <cell r="F1450" t="str">
            <v>-</v>
          </cell>
          <cell r="G1450" t="str">
            <v>-</v>
          </cell>
          <cell r="H1450" t="str">
            <v>-</v>
          </cell>
          <cell r="I1450" t="str">
            <v>-</v>
          </cell>
          <cell r="J1450">
            <v>0</v>
          </cell>
          <cell r="K1450">
            <v>-2</v>
          </cell>
          <cell r="L1450" t="str">
            <v>FALTA ENTREGA</v>
          </cell>
          <cell r="M1450" t="str">
            <v>-</v>
          </cell>
          <cell r="N1450" t="str">
            <v>OC'S METALFISA</v>
          </cell>
          <cell r="O1450" t="str">
            <v>-</v>
          </cell>
          <cell r="Q1450" t="str">
            <v>-</v>
          </cell>
          <cell r="S1450" t="str">
            <v>-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2</v>
          </cell>
          <cell r="AA1450">
            <v>2</v>
          </cell>
          <cell r="AB1450">
            <v>0</v>
          </cell>
          <cell r="AC1450">
            <v>0</v>
          </cell>
          <cell r="AD1450">
            <v>-2</v>
          </cell>
        </row>
        <row r="1451">
          <cell r="A1451" t="str">
            <v>34.03.10014.00</v>
          </cell>
          <cell r="B1451" t="str">
            <v>CONJ. LATERAL 1 EXTENSAO TUNEL 180180 / 34.03.10014.00</v>
          </cell>
          <cell r="D1451" t="str">
            <v>-</v>
          </cell>
          <cell r="E1451" t="str">
            <v>-</v>
          </cell>
          <cell r="F1451" t="str">
            <v>-</v>
          </cell>
          <cell r="G1451" t="str">
            <v>-</v>
          </cell>
          <cell r="H1451" t="str">
            <v>-</v>
          </cell>
          <cell r="I1451" t="str">
            <v>-</v>
          </cell>
          <cell r="J1451">
            <v>0</v>
          </cell>
          <cell r="K1451" t="e">
            <v>#VALUE!</v>
          </cell>
          <cell r="L1451" t="str">
            <v>ENTREGA TOTAL</v>
          </cell>
          <cell r="M1451" t="str">
            <v>-</v>
          </cell>
          <cell r="N1451" t="str">
            <v>OC'S METALFISA</v>
          </cell>
          <cell r="O1451" t="str">
            <v>-</v>
          </cell>
          <cell r="Q1451" t="str">
            <v>-</v>
          </cell>
          <cell r="S1451" t="str">
            <v>-</v>
          </cell>
          <cell r="U1451">
            <v>0</v>
          </cell>
          <cell r="V1451">
            <v>6</v>
          </cell>
          <cell r="W1451">
            <v>0</v>
          </cell>
          <cell r="X1451">
            <v>0</v>
          </cell>
          <cell r="Y1451">
            <v>0</v>
          </cell>
          <cell r="Z1451">
            <v>4</v>
          </cell>
          <cell r="AA1451">
            <v>10</v>
          </cell>
          <cell r="AB1451" t="str">
            <v>0</v>
          </cell>
          <cell r="AC1451" t="str">
            <v>-</v>
          </cell>
          <cell r="AD1451" t="str">
            <v>-</v>
          </cell>
        </row>
        <row r="1452">
          <cell r="A1452" t="str">
            <v>34.03.10017.00</v>
          </cell>
          <cell r="B1452" t="str">
            <v>CONJ. SUPERIOR EXTENSAO TUNEL / 34.03.10017.00</v>
          </cell>
          <cell r="D1452" t="str">
            <v>-</v>
          </cell>
          <cell r="E1452" t="str">
            <v>-</v>
          </cell>
          <cell r="F1452" t="str">
            <v>-</v>
          </cell>
          <cell r="G1452" t="str">
            <v>-</v>
          </cell>
          <cell r="H1452" t="str">
            <v>-</v>
          </cell>
          <cell r="I1452" t="str">
            <v>-</v>
          </cell>
          <cell r="J1452">
            <v>0</v>
          </cell>
          <cell r="K1452">
            <v>-2</v>
          </cell>
          <cell r="L1452" t="str">
            <v>ENTREGA PARCIAL</v>
          </cell>
          <cell r="M1452" t="str">
            <v>-</v>
          </cell>
          <cell r="N1452" t="str">
            <v>OC'S METALFISA</v>
          </cell>
          <cell r="O1452" t="str">
            <v>-</v>
          </cell>
          <cell r="Q1452" t="str">
            <v>-</v>
          </cell>
          <cell r="S1452" t="str">
            <v>-</v>
          </cell>
          <cell r="U1452">
            <v>0</v>
          </cell>
          <cell r="V1452">
            <v>8</v>
          </cell>
          <cell r="W1452">
            <v>0</v>
          </cell>
          <cell r="X1452">
            <v>0</v>
          </cell>
          <cell r="Y1452">
            <v>0</v>
          </cell>
          <cell r="Z1452">
            <v>4</v>
          </cell>
          <cell r="AA1452">
            <v>12</v>
          </cell>
          <cell r="AB1452">
            <v>0</v>
          </cell>
          <cell r="AC1452">
            <v>10</v>
          </cell>
          <cell r="AD1452">
            <v>-2</v>
          </cell>
        </row>
        <row r="1453">
          <cell r="A1453" t="str">
            <v>34.03.10025.00</v>
          </cell>
          <cell r="B1453" t="str">
            <v>CONJ. LATERAL 2 EXTENSAO TUNEL 180180 / 34.03.10025.00</v>
          </cell>
          <cell r="D1453" t="str">
            <v>-</v>
          </cell>
          <cell r="E1453" t="str">
            <v>-</v>
          </cell>
          <cell r="F1453" t="str">
            <v>-</v>
          </cell>
          <cell r="G1453" t="str">
            <v>-</v>
          </cell>
          <cell r="H1453" t="str">
            <v>-</v>
          </cell>
          <cell r="I1453" t="str">
            <v>-</v>
          </cell>
          <cell r="J1453">
            <v>0</v>
          </cell>
          <cell r="K1453" t="e">
            <v>#VALUE!</v>
          </cell>
          <cell r="L1453" t="str">
            <v>ENTREGA TOTAL</v>
          </cell>
          <cell r="M1453" t="str">
            <v>-</v>
          </cell>
          <cell r="N1453" t="str">
            <v>OC'S METALFISA</v>
          </cell>
          <cell r="O1453" t="str">
            <v>-</v>
          </cell>
          <cell r="Q1453" t="str">
            <v>-</v>
          </cell>
          <cell r="S1453" t="str">
            <v>-</v>
          </cell>
          <cell r="U1453">
            <v>0</v>
          </cell>
          <cell r="V1453">
            <v>6</v>
          </cell>
          <cell r="W1453">
            <v>0</v>
          </cell>
          <cell r="X1453">
            <v>0</v>
          </cell>
          <cell r="Y1453">
            <v>0</v>
          </cell>
          <cell r="Z1453">
            <v>4</v>
          </cell>
          <cell r="AA1453">
            <v>10</v>
          </cell>
          <cell r="AB1453" t="str">
            <v>0</v>
          </cell>
          <cell r="AC1453" t="str">
            <v>-</v>
          </cell>
          <cell r="AD1453" t="str">
            <v>-</v>
          </cell>
        </row>
        <row r="1454">
          <cell r="A1454" t="str">
            <v>34.03.10028.00</v>
          </cell>
          <cell r="B1454" t="str">
            <v>TAMPA FECH. BOTOEIRA / 34.03.10028.00</v>
          </cell>
          <cell r="D1454" t="str">
            <v>-</v>
          </cell>
          <cell r="E1454" t="str">
            <v>-</v>
          </cell>
          <cell r="F1454" t="str">
            <v>-</v>
          </cell>
          <cell r="G1454" t="str">
            <v>-</v>
          </cell>
          <cell r="H1454" t="str">
            <v>-</v>
          </cell>
          <cell r="I1454" t="str">
            <v>-</v>
          </cell>
          <cell r="J1454">
            <v>0</v>
          </cell>
          <cell r="K1454" t="e">
            <v>#VALUE!</v>
          </cell>
          <cell r="L1454" t="str">
            <v>ENTREGA TOTAL</v>
          </cell>
          <cell r="M1454" t="str">
            <v>-</v>
          </cell>
          <cell r="N1454" t="str">
            <v>OC'S METALFISA</v>
          </cell>
          <cell r="O1454" t="str">
            <v>-</v>
          </cell>
          <cell r="Q1454" t="str">
            <v>-</v>
          </cell>
          <cell r="S1454" t="str">
            <v>-</v>
          </cell>
          <cell r="U1454">
            <v>0</v>
          </cell>
          <cell r="V1454">
            <v>12</v>
          </cell>
          <cell r="W1454">
            <v>0</v>
          </cell>
          <cell r="X1454">
            <v>0</v>
          </cell>
          <cell r="Y1454">
            <v>0</v>
          </cell>
          <cell r="Z1454">
            <v>8</v>
          </cell>
          <cell r="AA1454">
            <v>20</v>
          </cell>
          <cell r="AB1454" t="str">
            <v>0</v>
          </cell>
          <cell r="AC1454" t="str">
            <v>-</v>
          </cell>
          <cell r="AD1454" t="str">
            <v>-</v>
          </cell>
        </row>
        <row r="1455">
          <cell r="A1455" t="str">
            <v>34.03.10034.00</v>
          </cell>
          <cell r="B1455" t="str">
            <v>MOLDURA FIX POLICARBONATO 2 / 34.03.10034.00</v>
          </cell>
          <cell r="D1455" t="str">
            <v>-</v>
          </cell>
          <cell r="E1455" t="str">
            <v>-</v>
          </cell>
          <cell r="F1455" t="str">
            <v>-</v>
          </cell>
          <cell r="G1455" t="str">
            <v>-</v>
          </cell>
          <cell r="H1455" t="str">
            <v>-</v>
          </cell>
          <cell r="I1455" t="str">
            <v>-</v>
          </cell>
          <cell r="J1455">
            <v>0</v>
          </cell>
          <cell r="K1455" t="e">
            <v>#VALUE!</v>
          </cell>
          <cell r="L1455" t="str">
            <v>ENTREGA TOTAL</v>
          </cell>
          <cell r="M1455" t="str">
            <v>-</v>
          </cell>
          <cell r="N1455" t="str">
            <v>OC'S METALFISA</v>
          </cell>
          <cell r="O1455" t="str">
            <v>-</v>
          </cell>
          <cell r="Q1455" t="str">
            <v>-</v>
          </cell>
          <cell r="S1455" t="str">
            <v>-</v>
          </cell>
          <cell r="U1455">
            <v>0</v>
          </cell>
          <cell r="V1455">
            <v>24</v>
          </cell>
          <cell r="W1455">
            <v>0</v>
          </cell>
          <cell r="X1455">
            <v>0</v>
          </cell>
          <cell r="Y1455">
            <v>0</v>
          </cell>
          <cell r="Z1455">
            <v>16</v>
          </cell>
          <cell r="AA1455">
            <v>40</v>
          </cell>
          <cell r="AB1455" t="str">
            <v>0</v>
          </cell>
          <cell r="AC1455" t="str">
            <v>-</v>
          </cell>
          <cell r="AD1455" t="str">
            <v>-</v>
          </cell>
        </row>
        <row r="1456">
          <cell r="A1456" t="str">
            <v>34.03.10045.01</v>
          </cell>
          <cell r="B1456" t="str">
            <v>CHAPA DE ANCORAGEM CONJUNTO BANDEJA / 34.03.10045.01</v>
          </cell>
          <cell r="D1456" t="str">
            <v>-</v>
          </cell>
          <cell r="E1456" t="str">
            <v>-</v>
          </cell>
          <cell r="F1456" t="str">
            <v>-</v>
          </cell>
          <cell r="G1456" t="str">
            <v>-</v>
          </cell>
          <cell r="H1456" t="str">
            <v>-</v>
          </cell>
          <cell r="I1456" t="str">
            <v>-</v>
          </cell>
          <cell r="J1456">
            <v>0</v>
          </cell>
          <cell r="K1456">
            <v>0</v>
          </cell>
          <cell r="L1456" t="str">
            <v>FALTA ENTREGA</v>
          </cell>
          <cell r="M1456" t="str">
            <v>-</v>
          </cell>
          <cell r="N1456" t="str">
            <v>OC'S METALFISA</v>
          </cell>
          <cell r="O1456" t="str">
            <v>-</v>
          </cell>
          <cell r="Q1456" t="str">
            <v>-</v>
          </cell>
          <cell r="S1456">
            <v>1</v>
          </cell>
          <cell r="T1456" t="str">
            <v>OC'S MAPHE</v>
          </cell>
          <cell r="U1456">
            <v>1</v>
          </cell>
          <cell r="V1456">
            <v>1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1</v>
          </cell>
          <cell r="AB1456">
            <v>0</v>
          </cell>
          <cell r="AC1456">
            <v>0</v>
          </cell>
          <cell r="AD1456">
            <v>-1</v>
          </cell>
        </row>
        <row r="1457">
          <cell r="A1457" t="str">
            <v>34.03.10048.01</v>
          </cell>
          <cell r="B1457" t="str">
            <v>SUP. CAMERA P / EXTENSAO DE TUNEL / 34.03.10048.01</v>
          </cell>
          <cell r="D1457" t="str">
            <v>-</v>
          </cell>
          <cell r="E1457" t="str">
            <v>-</v>
          </cell>
          <cell r="F1457" t="str">
            <v>-</v>
          </cell>
          <cell r="G1457" t="str">
            <v>-</v>
          </cell>
          <cell r="H1457" t="str">
            <v>-</v>
          </cell>
          <cell r="I1457" t="str">
            <v>-</v>
          </cell>
          <cell r="J1457">
            <v>0</v>
          </cell>
          <cell r="K1457" t="e">
            <v>#VALUE!</v>
          </cell>
          <cell r="L1457" t="str">
            <v>ENTREGA TOTAL</v>
          </cell>
          <cell r="M1457" t="str">
            <v>-</v>
          </cell>
          <cell r="N1457" t="str">
            <v>OC'S METALFISA</v>
          </cell>
          <cell r="O1457" t="str">
            <v>-</v>
          </cell>
          <cell r="Q1457" t="str">
            <v>-</v>
          </cell>
          <cell r="S1457" t="str">
            <v>-</v>
          </cell>
          <cell r="U1457">
            <v>0</v>
          </cell>
          <cell r="V1457">
            <v>1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A1457">
            <v>1</v>
          </cell>
          <cell r="AB1457" t="str">
            <v>0</v>
          </cell>
          <cell r="AC1457" t="str">
            <v>-</v>
          </cell>
          <cell r="AD1457" t="str">
            <v>-</v>
          </cell>
        </row>
        <row r="1458">
          <cell r="A1458" t="str">
            <v>34.03.10150.00</v>
          </cell>
          <cell r="B1458" t="str">
            <v>CALCO MONTAGEM EXTENSAO TUNEL 180180 - 1MM / 34.03.10150.00</v>
          </cell>
          <cell r="D1458" t="str">
            <v>-</v>
          </cell>
          <cell r="E1458" t="str">
            <v>-</v>
          </cell>
          <cell r="F1458" t="str">
            <v>-</v>
          </cell>
          <cell r="G1458" t="str">
            <v>-</v>
          </cell>
          <cell r="H1458" t="str">
            <v>-</v>
          </cell>
          <cell r="I1458" t="str">
            <v>-</v>
          </cell>
          <cell r="J1458">
            <v>0</v>
          </cell>
          <cell r="K1458">
            <v>-4</v>
          </cell>
          <cell r="L1458" t="str">
            <v>FALTA ENTREGA</v>
          </cell>
          <cell r="M1458" t="str">
            <v>-</v>
          </cell>
          <cell r="N1458" t="str">
            <v>OC'S METALFISA</v>
          </cell>
          <cell r="O1458" t="str">
            <v>-</v>
          </cell>
          <cell r="Q1458" t="str">
            <v>-</v>
          </cell>
          <cell r="S1458" t="str">
            <v>-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4</v>
          </cell>
          <cell r="AA1458">
            <v>4</v>
          </cell>
          <cell r="AB1458">
            <v>4</v>
          </cell>
          <cell r="AC1458">
            <v>0</v>
          </cell>
          <cell r="AD1458">
            <v>-4</v>
          </cell>
        </row>
        <row r="1459">
          <cell r="A1459" t="str">
            <v>34.03.10155.00</v>
          </cell>
          <cell r="B1459" t="str">
            <v>CALCO MONTAGEM EXTENSAO TUNEL 180180 - 2MM / 34.03.10155.00</v>
          </cell>
          <cell r="D1459" t="str">
            <v>-</v>
          </cell>
          <cell r="E1459" t="str">
            <v>-</v>
          </cell>
          <cell r="F1459" t="str">
            <v>-</v>
          </cell>
          <cell r="G1459" t="str">
            <v>-</v>
          </cell>
          <cell r="H1459" t="str">
            <v>-</v>
          </cell>
          <cell r="I1459" t="str">
            <v>-</v>
          </cell>
          <cell r="J1459">
            <v>0</v>
          </cell>
          <cell r="K1459">
            <v>-4</v>
          </cell>
          <cell r="L1459" t="str">
            <v>FALTA ENTREGA</v>
          </cell>
          <cell r="M1459" t="str">
            <v>-</v>
          </cell>
          <cell r="N1459" t="str">
            <v>OC'S METALFISA</v>
          </cell>
          <cell r="O1459" t="str">
            <v>-</v>
          </cell>
          <cell r="Q1459" t="str">
            <v>-</v>
          </cell>
          <cell r="S1459" t="str">
            <v>-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4</v>
          </cell>
          <cell r="AA1459">
            <v>4</v>
          </cell>
          <cell r="AB1459">
            <v>4</v>
          </cell>
          <cell r="AC1459">
            <v>0</v>
          </cell>
          <cell r="AD1459">
            <v>-4</v>
          </cell>
        </row>
        <row r="1460">
          <cell r="A1460" t="str">
            <v>34.03.10160.00</v>
          </cell>
          <cell r="B1460" t="str">
            <v>CALCO MONTAGEM EXTENSAO TUNEL 180180 - 3MM / 34.03.10160.00</v>
          </cell>
          <cell r="D1460" t="str">
            <v>-</v>
          </cell>
          <cell r="E1460" t="str">
            <v>-</v>
          </cell>
          <cell r="F1460" t="str">
            <v>-</v>
          </cell>
          <cell r="G1460" t="str">
            <v>-</v>
          </cell>
          <cell r="H1460" t="str">
            <v>-</v>
          </cell>
          <cell r="I1460" t="str">
            <v>-</v>
          </cell>
          <cell r="J1460">
            <v>0</v>
          </cell>
          <cell r="K1460">
            <v>-4</v>
          </cell>
          <cell r="L1460" t="str">
            <v>FALTA ENTREGA</v>
          </cell>
          <cell r="M1460" t="str">
            <v>-</v>
          </cell>
          <cell r="N1460" t="str">
            <v>OC'S METALFISA</v>
          </cell>
          <cell r="O1460" t="str">
            <v>-</v>
          </cell>
          <cell r="Q1460" t="str">
            <v>-</v>
          </cell>
          <cell r="S1460" t="str">
            <v>-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4</v>
          </cell>
          <cell r="AA1460">
            <v>4</v>
          </cell>
          <cell r="AB1460">
            <v>4</v>
          </cell>
          <cell r="AC1460">
            <v>0</v>
          </cell>
          <cell r="AD1460">
            <v>-4</v>
          </cell>
        </row>
        <row r="1461">
          <cell r="A1461" t="str">
            <v>34.03.30003.00</v>
          </cell>
          <cell r="B1461" t="str">
            <v>CH. FECH. POLICARBONATO CRISTAL-1650X690X3 / 34.03.30003.00</v>
          </cell>
          <cell r="D1461" t="str">
            <v>-</v>
          </cell>
          <cell r="E1461" t="str">
            <v>-</v>
          </cell>
          <cell r="F1461" t="str">
            <v>-</v>
          </cell>
          <cell r="G1461" t="str">
            <v>-</v>
          </cell>
          <cell r="H1461" t="str">
            <v>-</v>
          </cell>
          <cell r="I1461" t="str">
            <v>-</v>
          </cell>
          <cell r="J1461">
            <v>0</v>
          </cell>
          <cell r="K1461">
            <v>-4</v>
          </cell>
          <cell r="L1461" t="str">
            <v>FALTA ENTREGA</v>
          </cell>
          <cell r="M1461" t="str">
            <v>-</v>
          </cell>
          <cell r="N1461" t="str">
            <v>OC'S METALFISA</v>
          </cell>
          <cell r="O1461" t="str">
            <v>-</v>
          </cell>
          <cell r="Q1461" t="str">
            <v>-</v>
          </cell>
          <cell r="S1461" t="str">
            <v>-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4</v>
          </cell>
          <cell r="AA1461">
            <v>4</v>
          </cell>
          <cell r="AB1461">
            <v>0</v>
          </cell>
          <cell r="AC1461">
            <v>0</v>
          </cell>
          <cell r="AD1461">
            <v>-4</v>
          </cell>
        </row>
        <row r="1462">
          <cell r="A1462" t="str">
            <v>34.03.30004.00</v>
          </cell>
          <cell r="B1462" t="str">
            <v>CH2. FECH. POLICARBONATO CRISTAL-1983X690X3 / 34.03.30004.00</v>
          </cell>
          <cell r="D1462" t="str">
            <v>-</v>
          </cell>
          <cell r="E1462" t="str">
            <v>-</v>
          </cell>
          <cell r="F1462" t="str">
            <v>-</v>
          </cell>
          <cell r="G1462" t="str">
            <v>-</v>
          </cell>
          <cell r="H1462" t="str">
            <v>-</v>
          </cell>
          <cell r="I1462" t="str">
            <v>-</v>
          </cell>
          <cell r="J1462">
            <v>0</v>
          </cell>
          <cell r="K1462">
            <v>-4</v>
          </cell>
          <cell r="L1462" t="str">
            <v>FALTA ENTREGA</v>
          </cell>
          <cell r="M1462" t="str">
            <v>-</v>
          </cell>
          <cell r="N1462" t="str">
            <v>OC'S METALFISA</v>
          </cell>
          <cell r="O1462" t="str">
            <v>-</v>
          </cell>
          <cell r="Q1462" t="str">
            <v>-</v>
          </cell>
          <cell r="S1462" t="str">
            <v>-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4</v>
          </cell>
          <cell r="AA1462">
            <v>4</v>
          </cell>
          <cell r="AB1462">
            <v>0</v>
          </cell>
          <cell r="AC1462">
            <v>0</v>
          </cell>
          <cell r="AD1462">
            <v>-4</v>
          </cell>
        </row>
        <row r="1463">
          <cell r="A1463" t="str">
            <v>34.06.10000.03</v>
          </cell>
          <cell r="B1463" t="str">
            <v>CASE TECLADO SPECTRUM / 34.06.10000.03</v>
          </cell>
          <cell r="C1463">
            <v>46072</v>
          </cell>
          <cell r="D1463" t="str">
            <v>-</v>
          </cell>
          <cell r="E1463" t="str">
            <v>-</v>
          </cell>
          <cell r="F1463" t="str">
            <v>-</v>
          </cell>
          <cell r="G1463" t="str">
            <v>-</v>
          </cell>
          <cell r="H1463" t="str">
            <v>-</v>
          </cell>
          <cell r="I1463">
            <v>21</v>
          </cell>
          <cell r="J1463">
            <v>21</v>
          </cell>
          <cell r="K1463">
            <v>3</v>
          </cell>
          <cell r="L1463" t="str">
            <v>FALTA ENTREGA</v>
          </cell>
          <cell r="M1463">
            <v>14</v>
          </cell>
          <cell r="N1463" t="str">
            <v>OC'S METALFISA</v>
          </cell>
          <cell r="O1463" t="str">
            <v>-</v>
          </cell>
          <cell r="Q1463" t="str">
            <v>-</v>
          </cell>
          <cell r="S1463">
            <v>7</v>
          </cell>
          <cell r="T1463" t="str">
            <v>OC'S MAPHE</v>
          </cell>
          <cell r="U1463">
            <v>21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39</v>
          </cell>
          <cell r="AA1463">
            <v>39</v>
          </cell>
          <cell r="AB1463">
            <v>0</v>
          </cell>
          <cell r="AC1463">
            <v>0</v>
          </cell>
          <cell r="AD1463">
            <v>-39</v>
          </cell>
        </row>
        <row r="1464">
          <cell r="A1464" t="str">
            <v>34.06.10000.04</v>
          </cell>
          <cell r="B1464" t="str">
            <v>CASE TECLADO SPECTRUM / 34.06.10000.04</v>
          </cell>
          <cell r="C1464">
            <v>46074</v>
          </cell>
          <cell r="D1464" t="str">
            <v>-</v>
          </cell>
          <cell r="E1464" t="str">
            <v>-</v>
          </cell>
          <cell r="F1464" t="str">
            <v>-</v>
          </cell>
          <cell r="G1464" t="str">
            <v>-</v>
          </cell>
          <cell r="H1464" t="str">
            <v>-</v>
          </cell>
          <cell r="I1464">
            <v>3</v>
          </cell>
          <cell r="J1464">
            <v>3</v>
          </cell>
          <cell r="K1464">
            <v>122</v>
          </cell>
          <cell r="L1464" t="str">
            <v>ENTREGA PARCIAL</v>
          </cell>
          <cell r="M1464" t="str">
            <v>-</v>
          </cell>
          <cell r="N1464" t="str">
            <v>OC'S METALFISA</v>
          </cell>
          <cell r="O1464">
            <v>8</v>
          </cell>
          <cell r="P1464" t="str">
            <v>OC'S GRANATO</v>
          </cell>
          <cell r="Q1464" t="str">
            <v>-</v>
          </cell>
          <cell r="S1464">
            <v>113</v>
          </cell>
          <cell r="T1464" t="str">
            <v>OC'S MAPHE</v>
          </cell>
          <cell r="U1464">
            <v>121</v>
          </cell>
          <cell r="V1464">
            <v>0</v>
          </cell>
          <cell r="W1464">
            <v>6</v>
          </cell>
          <cell r="X1464">
            <v>2</v>
          </cell>
          <cell r="Y1464">
            <v>5</v>
          </cell>
          <cell r="Z1464">
            <v>55</v>
          </cell>
          <cell r="AA1464">
            <v>68</v>
          </cell>
          <cell r="AB1464">
            <v>0</v>
          </cell>
          <cell r="AC1464">
            <v>66</v>
          </cell>
          <cell r="AD1464">
            <v>-2</v>
          </cell>
        </row>
        <row r="1465">
          <cell r="A1465" t="str">
            <v>34.06.10002.01</v>
          </cell>
          <cell r="B1465" t="str">
            <v>FUNDO TECLADO SPECTRUM / 34.06.10002.01</v>
          </cell>
          <cell r="C1465">
            <v>46074</v>
          </cell>
          <cell r="D1465" t="str">
            <v>-</v>
          </cell>
          <cell r="E1465" t="str">
            <v>-</v>
          </cell>
          <cell r="F1465" t="str">
            <v>-</v>
          </cell>
          <cell r="G1465" t="str">
            <v>-</v>
          </cell>
          <cell r="H1465" t="str">
            <v>-</v>
          </cell>
          <cell r="I1465">
            <v>3</v>
          </cell>
          <cell r="J1465">
            <v>3</v>
          </cell>
          <cell r="K1465">
            <v>133</v>
          </cell>
          <cell r="L1465" t="str">
            <v>ENTREGA TOTAL</v>
          </cell>
          <cell r="M1465" t="str">
            <v>-</v>
          </cell>
          <cell r="N1465" t="str">
            <v>OC'S METALFISA</v>
          </cell>
          <cell r="O1465">
            <v>8</v>
          </cell>
          <cell r="P1465" t="str">
            <v>OC'S GRANATO</v>
          </cell>
          <cell r="Q1465" t="str">
            <v>-</v>
          </cell>
          <cell r="S1465">
            <v>118</v>
          </cell>
          <cell r="T1465" t="str">
            <v>OC'S MAPHE</v>
          </cell>
          <cell r="U1465">
            <v>126</v>
          </cell>
          <cell r="V1465">
            <v>34</v>
          </cell>
          <cell r="W1465">
            <v>19</v>
          </cell>
          <cell r="X1465">
            <v>2</v>
          </cell>
          <cell r="Y1465">
            <v>5</v>
          </cell>
          <cell r="Z1465">
            <v>83</v>
          </cell>
          <cell r="AA1465">
            <v>143</v>
          </cell>
          <cell r="AB1465">
            <v>0</v>
          </cell>
          <cell r="AC1465">
            <v>147</v>
          </cell>
          <cell r="AD1465">
            <v>4</v>
          </cell>
        </row>
        <row r="1466">
          <cell r="A1466" t="str">
            <v>34.06.10013.00</v>
          </cell>
          <cell r="B1466" t="str">
            <v>TAMPA TECLADO ANTIVANDALISMO / 34.06.10013.00</v>
          </cell>
          <cell r="D1466" t="str">
            <v>-</v>
          </cell>
          <cell r="E1466" t="str">
            <v>-</v>
          </cell>
          <cell r="F1466" t="str">
            <v>-</v>
          </cell>
          <cell r="G1466" t="str">
            <v>-</v>
          </cell>
          <cell r="H1466" t="str">
            <v>-</v>
          </cell>
          <cell r="I1466" t="str">
            <v>-</v>
          </cell>
          <cell r="J1466">
            <v>0</v>
          </cell>
          <cell r="K1466">
            <v>-2</v>
          </cell>
          <cell r="L1466" t="str">
            <v>FALTA ENTREGA</v>
          </cell>
          <cell r="M1466" t="str">
            <v>-</v>
          </cell>
          <cell r="N1466" t="str">
            <v>OC'S METALFISA</v>
          </cell>
          <cell r="O1466" t="str">
            <v>-</v>
          </cell>
          <cell r="Q1466" t="str">
            <v>-</v>
          </cell>
          <cell r="S1466" t="str">
            <v>-</v>
          </cell>
          <cell r="U1466">
            <v>0</v>
          </cell>
          <cell r="V1466">
            <v>2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2</v>
          </cell>
          <cell r="AB1466">
            <v>0</v>
          </cell>
          <cell r="AC1466">
            <v>0</v>
          </cell>
          <cell r="AD1466">
            <v>-2</v>
          </cell>
        </row>
        <row r="1467">
          <cell r="A1467" t="str">
            <v>34.06.10015.00</v>
          </cell>
          <cell r="B1467" t="str">
            <v>TRAVA DE SEGURANCA DO TECLADO / 34.06.10015.00</v>
          </cell>
          <cell r="D1467" t="str">
            <v>-</v>
          </cell>
          <cell r="E1467" t="str">
            <v>-</v>
          </cell>
          <cell r="F1467" t="str">
            <v>-</v>
          </cell>
          <cell r="G1467" t="str">
            <v>-</v>
          </cell>
          <cell r="H1467" t="str">
            <v>-</v>
          </cell>
          <cell r="I1467" t="str">
            <v>-</v>
          </cell>
          <cell r="J1467">
            <v>0</v>
          </cell>
          <cell r="K1467" t="e">
            <v>#VALUE!</v>
          </cell>
          <cell r="L1467" t="str">
            <v>ENTREGA TOTAL</v>
          </cell>
          <cell r="M1467" t="str">
            <v>-</v>
          </cell>
          <cell r="N1467" t="str">
            <v>OC'S METALFISA</v>
          </cell>
          <cell r="O1467" t="str">
            <v>-</v>
          </cell>
          <cell r="Q1467" t="str">
            <v>-</v>
          </cell>
          <cell r="S1467" t="str">
            <v>-</v>
          </cell>
          <cell r="U1467">
            <v>0</v>
          </cell>
          <cell r="V1467">
            <v>1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1</v>
          </cell>
          <cell r="AB1467" t="str">
            <v>0</v>
          </cell>
          <cell r="AC1467" t="str">
            <v>-</v>
          </cell>
          <cell r="AD1467" t="str">
            <v>-</v>
          </cell>
        </row>
        <row r="1468">
          <cell r="A1468" t="str">
            <v>34.06.10020.01</v>
          </cell>
          <cell r="B1468" t="str">
            <v>CASE TECLADO SPECTRUM CHAVE APEM / 34.06.10020.01</v>
          </cell>
          <cell r="D1468" t="str">
            <v>-</v>
          </cell>
          <cell r="E1468" t="str">
            <v>-</v>
          </cell>
          <cell r="F1468" t="str">
            <v>-</v>
          </cell>
          <cell r="G1468" t="str">
            <v>-</v>
          </cell>
          <cell r="H1468" t="str">
            <v>-</v>
          </cell>
          <cell r="I1468">
            <v>10</v>
          </cell>
          <cell r="J1468">
            <v>10</v>
          </cell>
          <cell r="K1468">
            <v>4</v>
          </cell>
          <cell r="L1468" t="str">
            <v>FALTA ENTREGA</v>
          </cell>
          <cell r="M1468" t="str">
            <v>-</v>
          </cell>
          <cell r="N1468" t="str">
            <v>OC'S METALFISA</v>
          </cell>
          <cell r="O1468" t="str">
            <v>-</v>
          </cell>
          <cell r="Q1468" t="str">
            <v>-</v>
          </cell>
          <cell r="S1468">
            <v>22</v>
          </cell>
          <cell r="T1468" t="str">
            <v>OC'S MAPHE</v>
          </cell>
          <cell r="U1468">
            <v>22</v>
          </cell>
          <cell r="V1468">
            <v>13</v>
          </cell>
          <cell r="W1468">
            <v>7</v>
          </cell>
          <cell r="X1468">
            <v>0</v>
          </cell>
          <cell r="Y1468">
            <v>0</v>
          </cell>
          <cell r="Z1468">
            <v>8</v>
          </cell>
          <cell r="AA1468">
            <v>28</v>
          </cell>
          <cell r="AB1468">
            <v>1</v>
          </cell>
          <cell r="AC1468">
            <v>0</v>
          </cell>
          <cell r="AD1468">
            <v>-28</v>
          </cell>
        </row>
        <row r="1469">
          <cell r="A1469" t="str">
            <v>34.06.10056.02</v>
          </cell>
          <cell r="B1469" t="str">
            <v>CASE NOVO TECLADO (DISPLAYPORT) / 34.06.10056.02</v>
          </cell>
          <cell r="D1469" t="str">
            <v>-</v>
          </cell>
          <cell r="E1469" t="str">
            <v>-</v>
          </cell>
          <cell r="F1469" t="str">
            <v>-</v>
          </cell>
          <cell r="G1469" t="str">
            <v>-</v>
          </cell>
          <cell r="H1469" t="str">
            <v>-</v>
          </cell>
          <cell r="I1469" t="str">
            <v>-</v>
          </cell>
          <cell r="J1469">
            <v>0</v>
          </cell>
          <cell r="K1469">
            <v>-20</v>
          </cell>
          <cell r="L1469" t="str">
            <v>FALTA ENTREGA</v>
          </cell>
          <cell r="M1469" t="str">
            <v>-</v>
          </cell>
          <cell r="N1469" t="str">
            <v>OC'S METALFISA</v>
          </cell>
          <cell r="O1469" t="str">
            <v>-</v>
          </cell>
          <cell r="Q1469" t="str">
            <v>-</v>
          </cell>
          <cell r="S1469" t="str">
            <v>-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20</v>
          </cell>
          <cell r="AA1469">
            <v>20</v>
          </cell>
          <cell r="AB1469">
            <v>0</v>
          </cell>
          <cell r="AC1469">
            <v>0</v>
          </cell>
          <cell r="AD1469">
            <v>-20</v>
          </cell>
        </row>
        <row r="1470">
          <cell r="A1470" t="str">
            <v>34.06.10058.00</v>
          </cell>
          <cell r="B1470" t="str">
            <v>TAMPA DE FECHAMENTO TRASEIRO DO TECLADO / 34.06.10058.00</v>
          </cell>
          <cell r="D1470" t="str">
            <v>-</v>
          </cell>
          <cell r="E1470" t="str">
            <v>-</v>
          </cell>
          <cell r="F1470" t="str">
            <v>-</v>
          </cell>
          <cell r="G1470" t="str">
            <v>-</v>
          </cell>
          <cell r="H1470" t="str">
            <v>-</v>
          </cell>
          <cell r="I1470" t="str">
            <v>-</v>
          </cell>
          <cell r="J1470">
            <v>0</v>
          </cell>
          <cell r="K1470">
            <v>2</v>
          </cell>
          <cell r="L1470" t="str">
            <v>FALTA ENTREGA</v>
          </cell>
          <cell r="M1470" t="str">
            <v>-</v>
          </cell>
          <cell r="N1470" t="str">
            <v>OC'S METALFISA</v>
          </cell>
          <cell r="O1470" t="str">
            <v>-</v>
          </cell>
          <cell r="Q1470" t="str">
            <v>-</v>
          </cell>
          <cell r="S1470">
            <v>22</v>
          </cell>
          <cell r="T1470" t="str">
            <v>OC'S MAPHE</v>
          </cell>
          <cell r="U1470">
            <v>22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20</v>
          </cell>
          <cell r="AA1470">
            <v>20</v>
          </cell>
          <cell r="AB1470">
            <v>0</v>
          </cell>
          <cell r="AC1470">
            <v>0</v>
          </cell>
          <cell r="AD1470">
            <v>-20</v>
          </cell>
        </row>
        <row r="1471">
          <cell r="A1471" t="str">
            <v>34.06.10059.00</v>
          </cell>
          <cell r="B1471" t="str">
            <v>TRAVA CABO / 34.06.10059.00</v>
          </cell>
          <cell r="D1471" t="str">
            <v>-</v>
          </cell>
          <cell r="E1471" t="str">
            <v>-</v>
          </cell>
          <cell r="F1471" t="str">
            <v>-</v>
          </cell>
          <cell r="G1471" t="str">
            <v>-</v>
          </cell>
          <cell r="H1471" t="str">
            <v>-</v>
          </cell>
          <cell r="I1471" t="str">
            <v>-</v>
          </cell>
          <cell r="J1471">
            <v>0</v>
          </cell>
          <cell r="K1471">
            <v>2</v>
          </cell>
          <cell r="L1471" t="str">
            <v>FALTA ENTREGA</v>
          </cell>
          <cell r="M1471" t="str">
            <v>-</v>
          </cell>
          <cell r="N1471" t="str">
            <v>OC'S METALFISA</v>
          </cell>
          <cell r="O1471" t="str">
            <v>-</v>
          </cell>
          <cell r="Q1471" t="str">
            <v>-</v>
          </cell>
          <cell r="S1471">
            <v>22</v>
          </cell>
          <cell r="T1471" t="str">
            <v>OC'S MAPHE</v>
          </cell>
          <cell r="U1471">
            <v>22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20</v>
          </cell>
          <cell r="AA1471">
            <v>20</v>
          </cell>
          <cell r="AB1471">
            <v>0</v>
          </cell>
          <cell r="AC1471">
            <v>0</v>
          </cell>
          <cell r="AD1471">
            <v>-20</v>
          </cell>
        </row>
        <row r="1472">
          <cell r="A1472" t="str">
            <v>34.12.10002.00</v>
          </cell>
          <cell r="B1472" t="str">
            <v>TRAVESSA FIXACAO LAMPADA LED 30CM 5W CABINE BODYSCAN / 34.12.10002.00</v>
          </cell>
          <cell r="D1472" t="str">
            <v>-</v>
          </cell>
          <cell r="E1472" t="str">
            <v>-</v>
          </cell>
          <cell r="F1472" t="str">
            <v>-</v>
          </cell>
          <cell r="G1472" t="str">
            <v>-</v>
          </cell>
          <cell r="H1472" t="str">
            <v>-</v>
          </cell>
          <cell r="I1472" t="str">
            <v>-</v>
          </cell>
          <cell r="J1472">
            <v>0</v>
          </cell>
          <cell r="K1472">
            <v>-4</v>
          </cell>
          <cell r="L1472" t="str">
            <v>FALTA ENTREGA</v>
          </cell>
          <cell r="M1472" t="str">
            <v>-</v>
          </cell>
          <cell r="N1472" t="str">
            <v>OC'S METALFISA</v>
          </cell>
          <cell r="O1472" t="str">
            <v>-</v>
          </cell>
          <cell r="Q1472" t="str">
            <v>-</v>
          </cell>
          <cell r="S1472" t="str">
            <v>-</v>
          </cell>
          <cell r="U1472">
            <v>0</v>
          </cell>
          <cell r="V1472">
            <v>4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4</v>
          </cell>
          <cell r="AB1472">
            <v>4</v>
          </cell>
          <cell r="AC1472">
            <v>0</v>
          </cell>
          <cell r="AD1472">
            <v>-4</v>
          </cell>
        </row>
        <row r="1473">
          <cell r="A1473" t="str">
            <v>34.13.10008.00</v>
          </cell>
          <cell r="B1473" t="str">
            <v>SUPORTE DE PLACA ELETRONICA / 34.13.10008.00</v>
          </cell>
          <cell r="D1473" t="str">
            <v>-</v>
          </cell>
          <cell r="E1473" t="str">
            <v>-</v>
          </cell>
          <cell r="F1473" t="str">
            <v>-</v>
          </cell>
          <cell r="G1473" t="str">
            <v>-</v>
          </cell>
          <cell r="H1473" t="str">
            <v>-</v>
          </cell>
          <cell r="I1473" t="str">
            <v>-</v>
          </cell>
          <cell r="J1473">
            <v>0</v>
          </cell>
          <cell r="K1473">
            <v>-1</v>
          </cell>
          <cell r="L1473" t="str">
            <v>FALTA ENTREGA</v>
          </cell>
          <cell r="M1473" t="str">
            <v>-</v>
          </cell>
          <cell r="N1473" t="str">
            <v>OC'S METALFISA</v>
          </cell>
          <cell r="O1473">
            <v>1</v>
          </cell>
          <cell r="P1473" t="str">
            <v>OC'S GRANATO</v>
          </cell>
          <cell r="Q1473" t="str">
            <v>-</v>
          </cell>
          <cell r="S1473" t="str">
            <v>-</v>
          </cell>
          <cell r="U1473">
            <v>1</v>
          </cell>
          <cell r="V1473">
            <v>1</v>
          </cell>
          <cell r="W1473">
            <v>0</v>
          </cell>
          <cell r="X1473">
            <v>0</v>
          </cell>
          <cell r="Y1473">
            <v>0</v>
          </cell>
          <cell r="Z1473">
            <v>1</v>
          </cell>
          <cell r="AA1473">
            <v>2</v>
          </cell>
          <cell r="AB1473">
            <v>1</v>
          </cell>
          <cell r="AC1473">
            <v>0</v>
          </cell>
          <cell r="AD1473">
            <v>-2</v>
          </cell>
        </row>
        <row r="1474">
          <cell r="A1474" t="str">
            <v>34.13.20000.00</v>
          </cell>
          <cell r="B1474" t="str">
            <v>FIXACAO ESQ. DAS PLACAS DE CHUMBO / 34.13.20000.00</v>
          </cell>
          <cell r="D1474" t="str">
            <v>-</v>
          </cell>
          <cell r="E1474" t="str">
            <v>-</v>
          </cell>
          <cell r="F1474" t="str">
            <v>-</v>
          </cell>
          <cell r="G1474" t="str">
            <v>-</v>
          </cell>
          <cell r="H1474" t="str">
            <v>-</v>
          </cell>
          <cell r="I1474" t="str">
            <v>-</v>
          </cell>
          <cell r="J1474">
            <v>0</v>
          </cell>
          <cell r="K1474">
            <v>51</v>
          </cell>
          <cell r="L1474" t="str">
            <v>FALTA ENTREGA</v>
          </cell>
          <cell r="M1474" t="str">
            <v>-</v>
          </cell>
          <cell r="N1474" t="str">
            <v>OC'S METALFISA</v>
          </cell>
          <cell r="O1474">
            <v>96</v>
          </cell>
          <cell r="P1474" t="str">
            <v>OC'S GRANATO</v>
          </cell>
          <cell r="Q1474" t="str">
            <v>-</v>
          </cell>
          <cell r="S1474" t="str">
            <v>-</v>
          </cell>
          <cell r="U1474">
            <v>96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45</v>
          </cell>
          <cell r="AA1474">
            <v>45</v>
          </cell>
          <cell r="AB1474">
            <v>0</v>
          </cell>
          <cell r="AC1474">
            <v>0</v>
          </cell>
          <cell r="AD1474">
            <v>-45</v>
          </cell>
        </row>
        <row r="1475">
          <cell r="A1475" t="str">
            <v>34.13.20001.00</v>
          </cell>
          <cell r="B1475" t="str">
            <v>FIXACAO DIR. DAS PLACAS DE CHUMBO / 34.13.20001.00</v>
          </cell>
          <cell r="D1475" t="str">
            <v>-</v>
          </cell>
          <cell r="E1475" t="str">
            <v>-</v>
          </cell>
          <cell r="F1475" t="str">
            <v>-</v>
          </cell>
          <cell r="G1475" t="str">
            <v>-</v>
          </cell>
          <cell r="H1475" t="str">
            <v>-</v>
          </cell>
          <cell r="I1475" t="str">
            <v>-</v>
          </cell>
          <cell r="J1475">
            <v>0</v>
          </cell>
          <cell r="K1475">
            <v>45</v>
          </cell>
          <cell r="L1475" t="str">
            <v>FALTA ENTREGA</v>
          </cell>
          <cell r="M1475" t="str">
            <v>-</v>
          </cell>
          <cell r="N1475" t="str">
            <v>OC'S METALFISA</v>
          </cell>
          <cell r="O1475">
            <v>96</v>
          </cell>
          <cell r="P1475" t="str">
            <v>OC'S GRANATO</v>
          </cell>
          <cell r="Q1475" t="str">
            <v>-</v>
          </cell>
          <cell r="S1475" t="str">
            <v>-</v>
          </cell>
          <cell r="U1475">
            <v>96</v>
          </cell>
          <cell r="V1475">
            <v>3</v>
          </cell>
          <cell r="W1475">
            <v>0</v>
          </cell>
          <cell r="X1475">
            <v>0</v>
          </cell>
          <cell r="Y1475">
            <v>0</v>
          </cell>
          <cell r="Z1475">
            <v>48</v>
          </cell>
          <cell r="AA1475">
            <v>51</v>
          </cell>
          <cell r="AB1475">
            <v>3</v>
          </cell>
          <cell r="AC1475">
            <v>0</v>
          </cell>
          <cell r="AD1475">
            <v>-51</v>
          </cell>
        </row>
        <row r="1476">
          <cell r="A1476" t="str">
            <v>34.17.10006.00</v>
          </cell>
          <cell r="B1476" t="str">
            <v>SUPORTE PRIM. ARCO DE LEITURA / 34.17.10006.00</v>
          </cell>
          <cell r="C1476">
            <v>46076</v>
          </cell>
          <cell r="D1476" t="str">
            <v>-</v>
          </cell>
          <cell r="E1476" t="str">
            <v>-</v>
          </cell>
          <cell r="F1476" t="str">
            <v>-</v>
          </cell>
          <cell r="G1476" t="str">
            <v>-</v>
          </cell>
          <cell r="H1476" t="str">
            <v>-</v>
          </cell>
          <cell r="I1476" t="str">
            <v>-</v>
          </cell>
          <cell r="J1476">
            <v>0</v>
          </cell>
          <cell r="K1476">
            <v>3</v>
          </cell>
          <cell r="L1476" t="str">
            <v>FALTA ENTREGA</v>
          </cell>
          <cell r="M1476" t="str">
            <v>-</v>
          </cell>
          <cell r="N1476" t="str">
            <v>OC'S METALFISA</v>
          </cell>
          <cell r="O1476">
            <v>6</v>
          </cell>
          <cell r="P1476" t="str">
            <v>OC'S GRANATO</v>
          </cell>
          <cell r="Q1476" t="str">
            <v>-</v>
          </cell>
          <cell r="S1476" t="str">
            <v>-</v>
          </cell>
          <cell r="U1476">
            <v>6</v>
          </cell>
          <cell r="V1476">
            <v>3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3</v>
          </cell>
          <cell r="AB1476">
            <v>3</v>
          </cell>
          <cell r="AC1476">
            <v>0</v>
          </cell>
          <cell r="AD1476">
            <v>-3</v>
          </cell>
        </row>
        <row r="1477">
          <cell r="A1477" t="str">
            <v>34.17.10008.00</v>
          </cell>
          <cell r="B1477" t="str">
            <v>SUPORTE INTER. ARCO DE LEITURA / 34.17.10008.00</v>
          </cell>
          <cell r="C1477">
            <v>46076</v>
          </cell>
          <cell r="D1477" t="str">
            <v>-</v>
          </cell>
          <cell r="E1477" t="str">
            <v>-</v>
          </cell>
          <cell r="F1477" t="str">
            <v>-</v>
          </cell>
          <cell r="G1477" t="str">
            <v>-</v>
          </cell>
          <cell r="H1477" t="str">
            <v>-</v>
          </cell>
          <cell r="I1477" t="str">
            <v>-</v>
          </cell>
          <cell r="J1477">
            <v>0</v>
          </cell>
          <cell r="K1477">
            <v>3</v>
          </cell>
          <cell r="L1477" t="str">
            <v>FALTA ENTREGA</v>
          </cell>
          <cell r="M1477" t="str">
            <v>-</v>
          </cell>
          <cell r="N1477" t="str">
            <v>OC'S METALFISA</v>
          </cell>
          <cell r="O1477">
            <v>6</v>
          </cell>
          <cell r="P1477" t="str">
            <v>OC'S GRANATO</v>
          </cell>
          <cell r="Q1477" t="str">
            <v>-</v>
          </cell>
          <cell r="S1477" t="str">
            <v>-</v>
          </cell>
          <cell r="U1477">
            <v>6</v>
          </cell>
          <cell r="V1477">
            <v>3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3</v>
          </cell>
          <cell r="AB1477">
            <v>3</v>
          </cell>
          <cell r="AC1477">
            <v>0</v>
          </cell>
          <cell r="AD1477">
            <v>-3</v>
          </cell>
        </row>
        <row r="1478">
          <cell r="A1478" t="str">
            <v>34.17.10009.00</v>
          </cell>
          <cell r="B1478" t="str">
            <v>CHAPA FIXACAO PRINCIPAL ESTRUTURA / 34.17.10009.00</v>
          </cell>
          <cell r="C1478">
            <v>46076</v>
          </cell>
          <cell r="D1478" t="str">
            <v>-</v>
          </cell>
          <cell r="E1478" t="str">
            <v>-</v>
          </cell>
          <cell r="F1478" t="str">
            <v>-</v>
          </cell>
          <cell r="G1478" t="str">
            <v>-</v>
          </cell>
          <cell r="H1478" t="str">
            <v>-</v>
          </cell>
          <cell r="I1478" t="str">
            <v>-</v>
          </cell>
          <cell r="J1478">
            <v>0</v>
          </cell>
          <cell r="K1478">
            <v>3</v>
          </cell>
          <cell r="L1478" t="str">
            <v>FALTA ENTREGA</v>
          </cell>
          <cell r="M1478" t="str">
            <v>-</v>
          </cell>
          <cell r="N1478" t="str">
            <v>OC'S METALFISA</v>
          </cell>
          <cell r="O1478">
            <v>6</v>
          </cell>
          <cell r="P1478" t="str">
            <v>OC'S GRANATO</v>
          </cell>
          <cell r="Q1478" t="str">
            <v>-</v>
          </cell>
          <cell r="S1478" t="str">
            <v>-</v>
          </cell>
          <cell r="U1478">
            <v>6</v>
          </cell>
          <cell r="V1478">
            <v>3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3</v>
          </cell>
          <cell r="AB1478">
            <v>3</v>
          </cell>
          <cell r="AC1478">
            <v>0</v>
          </cell>
          <cell r="AD1478">
            <v>-3</v>
          </cell>
        </row>
        <row r="1479">
          <cell r="A1479" t="str">
            <v>34.17.10011.00</v>
          </cell>
          <cell r="B1479" t="str">
            <v>TRAVA PERFIS LATERAIS / 34.17.10011.00</v>
          </cell>
          <cell r="C1479">
            <v>46074</v>
          </cell>
          <cell r="D1479" t="str">
            <v>-</v>
          </cell>
          <cell r="E1479" t="str">
            <v>-</v>
          </cell>
          <cell r="F1479" t="str">
            <v>-</v>
          </cell>
          <cell r="G1479" t="str">
            <v>-</v>
          </cell>
          <cell r="H1479" t="str">
            <v>-</v>
          </cell>
          <cell r="I1479" t="str">
            <v>-</v>
          </cell>
          <cell r="J1479">
            <v>0</v>
          </cell>
          <cell r="K1479">
            <v>12</v>
          </cell>
          <cell r="L1479" t="str">
            <v>ENTREGA TOTAL</v>
          </cell>
          <cell r="M1479" t="str">
            <v>-</v>
          </cell>
          <cell r="N1479" t="str">
            <v>OC'S METALFISA</v>
          </cell>
          <cell r="O1479">
            <v>8</v>
          </cell>
          <cell r="P1479" t="str">
            <v>OC'S GRANATO</v>
          </cell>
          <cell r="Q1479" t="str">
            <v>-</v>
          </cell>
          <cell r="S1479" t="str">
            <v>-</v>
          </cell>
          <cell r="U1479">
            <v>8</v>
          </cell>
          <cell r="V1479">
            <v>4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4</v>
          </cell>
          <cell r="AB1479">
            <v>0</v>
          </cell>
          <cell r="AC1479">
            <v>8</v>
          </cell>
          <cell r="AD1479">
            <v>4</v>
          </cell>
        </row>
        <row r="1480">
          <cell r="A1480" t="str">
            <v>34.17.10012.00</v>
          </cell>
          <cell r="B1480" t="str">
            <v>TRAVA CANTO INFERIOR / 34.17.10012.00</v>
          </cell>
          <cell r="C1480">
            <v>46076</v>
          </cell>
          <cell r="D1480" t="str">
            <v>-</v>
          </cell>
          <cell r="E1480" t="str">
            <v>-</v>
          </cell>
          <cell r="F1480" t="str">
            <v>-</v>
          </cell>
          <cell r="G1480" t="str">
            <v>-</v>
          </cell>
          <cell r="H1480" t="str">
            <v>-</v>
          </cell>
          <cell r="I1480" t="str">
            <v>-</v>
          </cell>
          <cell r="J1480">
            <v>0</v>
          </cell>
          <cell r="K1480">
            <v>15</v>
          </cell>
          <cell r="L1480" t="str">
            <v>ENTREGA PARCIAL</v>
          </cell>
          <cell r="M1480" t="str">
            <v>-</v>
          </cell>
          <cell r="N1480" t="str">
            <v>OC'S METALFISA</v>
          </cell>
          <cell r="O1480">
            <v>16</v>
          </cell>
          <cell r="P1480" t="str">
            <v>OC'S GRANATO</v>
          </cell>
          <cell r="Q1480" t="str">
            <v>-</v>
          </cell>
          <cell r="S1480" t="str">
            <v>-</v>
          </cell>
          <cell r="U1480">
            <v>16</v>
          </cell>
          <cell r="V1480">
            <v>8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8</v>
          </cell>
          <cell r="AB1480">
            <v>1</v>
          </cell>
          <cell r="AC1480">
            <v>7</v>
          </cell>
          <cell r="AD1480">
            <v>-1</v>
          </cell>
        </row>
        <row r="1481">
          <cell r="A1481" t="str">
            <v>34.18.10007.00</v>
          </cell>
          <cell r="B1481" t="str">
            <v>SUPORTE ARTICULADO / 34.18.10007.00</v>
          </cell>
          <cell r="D1481" t="str">
            <v>-</v>
          </cell>
          <cell r="E1481" t="str">
            <v>-</v>
          </cell>
          <cell r="F1481" t="str">
            <v>-</v>
          </cell>
          <cell r="G1481" t="str">
            <v>-</v>
          </cell>
          <cell r="H1481" t="str">
            <v>-</v>
          </cell>
          <cell r="I1481" t="str">
            <v>-</v>
          </cell>
          <cell r="J1481">
            <v>0</v>
          </cell>
          <cell r="K1481" t="e">
            <v>#VALUE!</v>
          </cell>
          <cell r="L1481" t="str">
            <v>ENTREGA TOTAL</v>
          </cell>
          <cell r="M1481" t="str">
            <v>-</v>
          </cell>
          <cell r="N1481" t="str">
            <v>OC'S METALFISA</v>
          </cell>
          <cell r="O1481" t="str">
            <v>-</v>
          </cell>
          <cell r="Q1481" t="str">
            <v>-</v>
          </cell>
          <cell r="S1481" t="str">
            <v>-</v>
          </cell>
          <cell r="U1481">
            <v>0</v>
          </cell>
          <cell r="V1481">
            <v>1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1</v>
          </cell>
          <cell r="AB1481" t="str">
            <v>0</v>
          </cell>
          <cell r="AC1481" t="str">
            <v>-</v>
          </cell>
          <cell r="AD1481" t="str">
            <v>-</v>
          </cell>
        </row>
        <row r="1482">
          <cell r="A1482" t="str">
            <v>34.18.10012.00</v>
          </cell>
          <cell r="B1482" t="str">
            <v>SUPORTE FRONTAL TECLADO INCLINACAO / 34.18.10012.00</v>
          </cell>
          <cell r="D1482" t="str">
            <v>-</v>
          </cell>
          <cell r="E1482" t="str">
            <v>-</v>
          </cell>
          <cell r="F1482" t="str">
            <v>-</v>
          </cell>
          <cell r="G1482" t="str">
            <v>-</v>
          </cell>
          <cell r="H1482" t="str">
            <v>-</v>
          </cell>
          <cell r="I1482" t="str">
            <v>-</v>
          </cell>
          <cell r="J1482">
            <v>0</v>
          </cell>
          <cell r="K1482" t="e">
            <v>#VALUE!</v>
          </cell>
          <cell r="L1482" t="str">
            <v>ENTREGA TOTAL</v>
          </cell>
          <cell r="M1482" t="str">
            <v>-</v>
          </cell>
          <cell r="N1482" t="str">
            <v>OC'S METALFISA</v>
          </cell>
          <cell r="O1482" t="str">
            <v>-</v>
          </cell>
          <cell r="Q1482" t="str">
            <v>-</v>
          </cell>
          <cell r="S1482" t="str">
            <v>-</v>
          </cell>
          <cell r="U1482">
            <v>0</v>
          </cell>
          <cell r="V1482">
            <v>1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1</v>
          </cell>
          <cell r="AB1482" t="str">
            <v>0</v>
          </cell>
          <cell r="AC1482" t="str">
            <v>-</v>
          </cell>
          <cell r="AD1482" t="str">
            <v>-</v>
          </cell>
        </row>
        <row r="1483">
          <cell r="A1483" t="str">
            <v>34.18.10013.00</v>
          </cell>
          <cell r="B1483" t="str">
            <v>BANDEJA INCLINDACAO TECLADO / 34.18.10013.00</v>
          </cell>
          <cell r="D1483" t="str">
            <v>-</v>
          </cell>
          <cell r="E1483" t="str">
            <v>-</v>
          </cell>
          <cell r="F1483" t="str">
            <v>-</v>
          </cell>
          <cell r="G1483" t="str">
            <v>-</v>
          </cell>
          <cell r="H1483" t="str">
            <v>-</v>
          </cell>
          <cell r="I1483" t="str">
            <v>-</v>
          </cell>
          <cell r="J1483">
            <v>0</v>
          </cell>
          <cell r="K1483" t="e">
            <v>#VALUE!</v>
          </cell>
          <cell r="L1483" t="str">
            <v>ENTREGA TOTAL</v>
          </cell>
          <cell r="M1483" t="str">
            <v>-</v>
          </cell>
          <cell r="N1483" t="str">
            <v>OC'S METALFISA</v>
          </cell>
          <cell r="O1483" t="str">
            <v>-</v>
          </cell>
          <cell r="Q1483" t="str">
            <v>-</v>
          </cell>
          <cell r="S1483">
            <v>1</v>
          </cell>
          <cell r="T1483" t="str">
            <v>OC'S MAPHE</v>
          </cell>
          <cell r="U1483">
            <v>1</v>
          </cell>
          <cell r="V1483">
            <v>1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1</v>
          </cell>
          <cell r="AB1483" t="str">
            <v>0</v>
          </cell>
          <cell r="AC1483" t="str">
            <v>-</v>
          </cell>
          <cell r="AD1483" t="str">
            <v>-</v>
          </cell>
        </row>
        <row r="1484">
          <cell r="A1484" t="str">
            <v>34.20.10001.00</v>
          </cell>
          <cell r="B1484" t="str">
            <v>COLUNA GUARD RAIL - MESA DE ROLETES / 34.20.10001.00</v>
          </cell>
          <cell r="D1484" t="str">
            <v>-</v>
          </cell>
          <cell r="E1484" t="str">
            <v>-</v>
          </cell>
          <cell r="F1484" t="str">
            <v>-</v>
          </cell>
          <cell r="G1484" t="str">
            <v>-</v>
          </cell>
          <cell r="H1484" t="str">
            <v>-</v>
          </cell>
          <cell r="I1484" t="str">
            <v>-</v>
          </cell>
          <cell r="J1484">
            <v>0</v>
          </cell>
          <cell r="K1484" t="e">
            <v>#VALUE!</v>
          </cell>
          <cell r="L1484" t="str">
            <v>ENTREGA TOTAL</v>
          </cell>
          <cell r="M1484" t="str">
            <v>-</v>
          </cell>
          <cell r="N1484" t="str">
            <v>OC'S METALFISA</v>
          </cell>
          <cell r="O1484" t="str">
            <v>-</v>
          </cell>
          <cell r="Q1484" t="str">
            <v>-</v>
          </cell>
          <cell r="S1484" t="str">
            <v>-</v>
          </cell>
          <cell r="U1484">
            <v>0</v>
          </cell>
          <cell r="V1484">
            <v>24</v>
          </cell>
          <cell r="W1484">
            <v>0</v>
          </cell>
          <cell r="X1484">
            <v>0</v>
          </cell>
          <cell r="Y1484">
            <v>0</v>
          </cell>
          <cell r="Z1484">
            <v>6</v>
          </cell>
          <cell r="AA1484">
            <v>30</v>
          </cell>
          <cell r="AB1484" t="str">
            <v>0</v>
          </cell>
          <cell r="AC1484" t="str">
            <v>-</v>
          </cell>
          <cell r="AD1484" t="str">
            <v>-</v>
          </cell>
        </row>
        <row r="1485">
          <cell r="A1485" t="str">
            <v>34.20.10007.00</v>
          </cell>
          <cell r="B1485" t="str">
            <v>BATENTE GUARD RAIL - MESA DE ROLETES / 34.20.10007.00</v>
          </cell>
          <cell r="D1485" t="str">
            <v>-</v>
          </cell>
          <cell r="E1485" t="str">
            <v>-</v>
          </cell>
          <cell r="F1485" t="str">
            <v>-</v>
          </cell>
          <cell r="G1485" t="str">
            <v>-</v>
          </cell>
          <cell r="H1485" t="str">
            <v>-</v>
          </cell>
          <cell r="I1485" t="str">
            <v>-</v>
          </cell>
          <cell r="J1485">
            <v>0</v>
          </cell>
          <cell r="K1485" t="e">
            <v>#VALUE!</v>
          </cell>
          <cell r="L1485" t="str">
            <v>ENTREGA TOTAL</v>
          </cell>
          <cell r="M1485" t="str">
            <v>-</v>
          </cell>
          <cell r="N1485" t="str">
            <v>OC'S METALFISA</v>
          </cell>
          <cell r="O1485" t="str">
            <v>-</v>
          </cell>
          <cell r="Q1485" t="str">
            <v>-</v>
          </cell>
          <cell r="S1485" t="str">
            <v>-</v>
          </cell>
          <cell r="U1485">
            <v>0</v>
          </cell>
          <cell r="V1485">
            <v>8</v>
          </cell>
          <cell r="W1485">
            <v>0</v>
          </cell>
          <cell r="X1485">
            <v>0</v>
          </cell>
          <cell r="Y1485">
            <v>0</v>
          </cell>
          <cell r="Z1485">
            <v>2</v>
          </cell>
          <cell r="AA1485">
            <v>10</v>
          </cell>
          <cell r="AB1485" t="str">
            <v>0</v>
          </cell>
          <cell r="AC1485" t="str">
            <v>-</v>
          </cell>
          <cell r="AD1485" t="str">
            <v>-</v>
          </cell>
        </row>
        <row r="1486">
          <cell r="D1486" t="str">
            <v>-</v>
          </cell>
          <cell r="E1486" t="str">
            <v>-</v>
          </cell>
          <cell r="F1486" t="str">
            <v>-</v>
          </cell>
          <cell r="G1486" t="str">
            <v>-</v>
          </cell>
          <cell r="H1486" t="str">
            <v>-</v>
          </cell>
          <cell r="I1486" t="str">
            <v>-</v>
          </cell>
          <cell r="J1486">
            <v>0</v>
          </cell>
          <cell r="K1486" t="e">
            <v>#VALUE!</v>
          </cell>
          <cell r="L1486" t="str">
            <v>ENTREGA TOTAL</v>
          </cell>
          <cell r="M1486" t="str">
            <v>-</v>
          </cell>
          <cell r="N1486" t="str">
            <v>OC'S METALFISA</v>
          </cell>
          <cell r="O1486" t="str">
            <v>-</v>
          </cell>
          <cell r="Q1486" t="str">
            <v>-</v>
          </cell>
          <cell r="S1486" t="str">
            <v>-</v>
          </cell>
          <cell r="U1486">
            <v>0</v>
          </cell>
          <cell r="AB1486" t="str">
            <v>0</v>
          </cell>
          <cell r="AC1486" t="str">
            <v>-</v>
          </cell>
          <cell r="AD1486" t="str">
            <v>-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ÇÃO DE OC'S VMI MEC 030226"/>
    </sheetNames>
    <sheetDataSet>
      <sheetData sheetId="0">
        <row r="1">
          <cell r="D1" t="str">
            <v>DADOS ENVIADOS EM 09/01/26</v>
          </cell>
          <cell r="E1"/>
          <cell r="F1">
            <v>46056</v>
          </cell>
          <cell r="G1"/>
        </row>
        <row r="2">
          <cell r="C2" t="str">
            <v>LEGENDA</v>
          </cell>
          <cell r="D2" t="str">
            <v>TOTAL DE ITENS- 09/01/26</v>
          </cell>
          <cell r="E2" t="str">
            <v>TOTAL DE PEÇAS-09/01/26</v>
          </cell>
          <cell r="F2" t="str">
            <v>TOTAL DE ITENS- ATUALIZADO EM 03/02/26</v>
          </cell>
          <cell r="G2" t="str">
            <v>TOTAL DE PEÇAS-ATUALIZADO EM 03/02/26</v>
          </cell>
          <cell r="H2"/>
          <cell r="I2"/>
          <cell r="O2"/>
          <cell r="P2"/>
        </row>
        <row r="3">
          <cell r="C3" t="str">
            <v>DENTRO DO PRAZO DE ENTREGA</v>
          </cell>
          <cell r="D3">
            <v>189</v>
          </cell>
          <cell r="E3">
            <v>6041</v>
          </cell>
          <cell r="F3">
            <v>188</v>
          </cell>
          <cell r="G3">
            <v>5990</v>
          </cell>
          <cell r="H3"/>
          <cell r="I3"/>
          <cell r="P3"/>
        </row>
        <row r="4">
          <cell r="C4" t="str">
            <v>ENTREGA EM ATRASO</v>
          </cell>
          <cell r="D4">
            <v>782</v>
          </cell>
          <cell r="E4">
            <v>17491</v>
          </cell>
          <cell r="F4">
            <v>636</v>
          </cell>
          <cell r="G4">
            <v>13640</v>
          </cell>
          <cell r="H4"/>
          <cell r="I4"/>
          <cell r="P4"/>
        </row>
        <row r="6">
          <cell r="B6" t="str">
            <v>CONCATENAR</v>
          </cell>
          <cell r="C6" t="str">
            <v>OC</v>
          </cell>
          <cell r="D6" t="str">
            <v>ITEM_OC</v>
          </cell>
          <cell r="E6" t="str">
            <v>PRODUTO</v>
          </cell>
          <cell r="F6" t="str">
            <v>DESC_PRODUTO</v>
          </cell>
          <cell r="G6" t="str">
            <v>NOME_FORNECEDOR</v>
          </cell>
          <cell r="H6" t="str">
            <v>DT_EMISSAO</v>
          </cell>
          <cell r="I6" t="str">
            <v>RESPONSAVEL</v>
          </cell>
          <cell r="J6" t="str">
            <v>QTDE_EM_ABERTO</v>
          </cell>
          <cell r="K6" t="str">
            <v>CUSTO_UNI</v>
          </cell>
          <cell r="L6" t="str">
            <v>CUSTO_TOTAL</v>
          </cell>
          <cell r="M6" t="str">
            <v>SITUACAO</v>
          </cell>
          <cell r="N6" t="str">
            <v>ARM</v>
          </cell>
          <cell r="O6" t="str">
            <v>DT_NEG</v>
          </cell>
          <cell r="P6" t="str">
            <v xml:space="preserve">MÊS DE PRODUÇÃO </v>
          </cell>
        </row>
        <row r="7">
          <cell r="B7" t="str">
            <v>035139003021.23.00894</v>
          </cell>
          <cell r="C7" t="str">
            <v>035139</v>
          </cell>
          <cell r="D7" t="str">
            <v>0030</v>
          </cell>
          <cell r="E7" t="str">
            <v>21.23.00894</v>
          </cell>
          <cell r="F7" t="str">
            <v>MONTAGEM BLINDAGEM APOIO ABERTO ESTEIRA \ AA_5025_00</v>
          </cell>
          <cell r="G7" t="str">
            <v>VMI TECNOLOGIAS LTDA</v>
          </cell>
          <cell r="H7">
            <v>45679</v>
          </cell>
          <cell r="I7" t="str">
            <v>MARCO</v>
          </cell>
          <cell r="J7">
            <v>3</v>
          </cell>
          <cell r="K7">
            <v>29.2</v>
          </cell>
          <cell r="L7">
            <v>525.6</v>
          </cell>
          <cell r="M7" t="str">
            <v>APROVADO</v>
          </cell>
          <cell r="N7" t="str">
            <v>10</v>
          </cell>
          <cell r="O7">
            <v>45717</v>
          </cell>
          <cell r="P7" t="str">
            <v>OUTUBRO</v>
          </cell>
        </row>
        <row r="8">
          <cell r="B8" t="str">
            <v>035139003921.23.00931</v>
          </cell>
          <cell r="C8" t="str">
            <v>035139</v>
          </cell>
          <cell r="D8" t="str">
            <v>0039</v>
          </cell>
          <cell r="E8" t="str">
            <v>21.23.00931</v>
          </cell>
          <cell r="F8" t="str">
            <v>MONTAGEM FIXACAO ACABAMENTO ROLETE LIVRE \ AA_5121_01</v>
          </cell>
          <cell r="G8" t="str">
            <v>VMI TECNOLOGIAS LTDA</v>
          </cell>
          <cell r="H8">
            <v>45679</v>
          </cell>
          <cell r="I8" t="str">
            <v>MARCO</v>
          </cell>
          <cell r="J8">
            <v>1</v>
          </cell>
          <cell r="K8">
            <v>13.513500000000001</v>
          </cell>
          <cell r="L8">
            <v>486.49</v>
          </cell>
          <cell r="M8" t="str">
            <v>APROVADO</v>
          </cell>
          <cell r="N8" t="str">
            <v>10</v>
          </cell>
          <cell r="O8">
            <v>45718</v>
          </cell>
          <cell r="P8" t="str">
            <v>OUTUBRO</v>
          </cell>
        </row>
        <row r="9">
          <cell r="B9" t="str">
            <v>035295007421.23.02235</v>
          </cell>
          <cell r="C9" t="str">
            <v>035295</v>
          </cell>
          <cell r="D9" t="str">
            <v>0074</v>
          </cell>
          <cell r="E9" t="str">
            <v>21.23.02235</v>
          </cell>
          <cell r="F9" t="str">
            <v>COLUNA DA BASE 5333 / AA_7237_02</v>
          </cell>
          <cell r="G9" t="str">
            <v>VMI TECNOLOGIAS LTDA</v>
          </cell>
          <cell r="H9">
            <v>45694</v>
          </cell>
          <cell r="I9" t="str">
            <v>MARCO</v>
          </cell>
          <cell r="J9">
            <v>15</v>
          </cell>
          <cell r="K9">
            <v>115.66</v>
          </cell>
          <cell r="L9">
            <v>1734.9</v>
          </cell>
          <cell r="M9" t="str">
            <v>APROVADO</v>
          </cell>
          <cell r="N9" t="str">
            <v>10</v>
          </cell>
          <cell r="O9">
            <v>45694</v>
          </cell>
          <cell r="P9" t="str">
            <v>OUTUBRO</v>
          </cell>
        </row>
        <row r="10">
          <cell r="B10" t="str">
            <v>035299000121.23.00876</v>
          </cell>
          <cell r="C10" t="str">
            <v>035299</v>
          </cell>
          <cell r="D10" t="str">
            <v>0001</v>
          </cell>
          <cell r="E10" t="str">
            <v>21.23.00876</v>
          </cell>
          <cell r="F10" t="str">
            <v>UNIAO DAS PERNAS \ AA_3073_01</v>
          </cell>
          <cell r="G10" t="str">
            <v>VMI TECNOLOGIAS LTDA</v>
          </cell>
          <cell r="H10">
            <v>45694</v>
          </cell>
          <cell r="I10" t="str">
            <v>MARCO</v>
          </cell>
          <cell r="J10">
            <v>12</v>
          </cell>
          <cell r="K10">
            <v>45.6</v>
          </cell>
          <cell r="L10">
            <v>547.20000000000005</v>
          </cell>
          <cell r="M10" t="str">
            <v>APROVADO</v>
          </cell>
          <cell r="N10" t="str">
            <v>10</v>
          </cell>
          <cell r="O10">
            <v>45694</v>
          </cell>
          <cell r="P10" t="str">
            <v>OUTUBRO</v>
          </cell>
        </row>
        <row r="11">
          <cell r="B11" t="str">
            <v>035303006733.23.10041.02</v>
          </cell>
          <cell r="C11" t="str">
            <v>035303</v>
          </cell>
          <cell r="D11" t="str">
            <v>0067</v>
          </cell>
          <cell r="E11" t="str">
            <v>33.23.10041.02</v>
          </cell>
          <cell r="F11" t="str">
            <v>SUP. DE FIXACAO DA POLIA ESTICADORA / 33.23.10041.02</v>
          </cell>
          <cell r="G11" t="str">
            <v>VMI TECNOLOGIAS LTDA</v>
          </cell>
          <cell r="H11">
            <v>45694</v>
          </cell>
          <cell r="I11" t="str">
            <v>MARCO</v>
          </cell>
          <cell r="J11">
            <v>52</v>
          </cell>
          <cell r="K11">
            <v>35.200000000000003</v>
          </cell>
          <cell r="L11">
            <v>2182.4</v>
          </cell>
          <cell r="M11" t="str">
            <v>APROVADO</v>
          </cell>
          <cell r="N11" t="str">
            <v>10</v>
          </cell>
          <cell r="O11">
            <v>45694</v>
          </cell>
          <cell r="P11" t="str">
            <v>OUTUBRO</v>
          </cell>
        </row>
        <row r="12">
          <cell r="B12" t="str">
            <v>036784001921.23.00158</v>
          </cell>
          <cell r="C12" t="str">
            <v>036784</v>
          </cell>
          <cell r="D12" t="str">
            <v>0019</v>
          </cell>
          <cell r="E12" t="str">
            <v>21.23.00158</v>
          </cell>
          <cell r="F12" t="str">
            <v>BANDEJA DOS ELETRONICOS 5333 / AA_0954_06</v>
          </cell>
          <cell r="G12" t="str">
            <v>VMI TECNOLOGIAS LTDA</v>
          </cell>
          <cell r="H12">
            <v>45740</v>
          </cell>
          <cell r="I12" t="str">
            <v>MARCO</v>
          </cell>
          <cell r="J12">
            <v>2</v>
          </cell>
          <cell r="K12">
            <v>116</v>
          </cell>
          <cell r="L12">
            <v>812</v>
          </cell>
          <cell r="M12" t="str">
            <v>APROVADO</v>
          </cell>
          <cell r="N12" t="str">
            <v>10</v>
          </cell>
          <cell r="O12">
            <v>45778</v>
          </cell>
          <cell r="P12" t="str">
            <v>OUTUBRO</v>
          </cell>
        </row>
        <row r="13">
          <cell r="B13" t="str">
            <v>036784003521.23.00923</v>
          </cell>
          <cell r="C13" t="str">
            <v>036784</v>
          </cell>
          <cell r="D13" t="str">
            <v>0035</v>
          </cell>
          <cell r="E13" t="str">
            <v>21.23.00923</v>
          </cell>
          <cell r="F13" t="str">
            <v>MONTAGEM BASE LAMINAS COLIMDAOR SECUNDAR \ AA_5102_00</v>
          </cell>
          <cell r="G13" t="str">
            <v>VMI TECNOLOGIAS LTDA</v>
          </cell>
          <cell r="H13">
            <v>45740</v>
          </cell>
          <cell r="I13" t="str">
            <v>MARCO</v>
          </cell>
          <cell r="J13">
            <v>4</v>
          </cell>
          <cell r="K13">
            <v>97</v>
          </cell>
          <cell r="L13">
            <v>1067</v>
          </cell>
          <cell r="M13" t="str">
            <v>APROVADO</v>
          </cell>
          <cell r="N13" t="str">
            <v>10</v>
          </cell>
          <cell r="O13">
            <v>45778</v>
          </cell>
          <cell r="P13" t="str">
            <v>OUTUBRO</v>
          </cell>
        </row>
        <row r="14">
          <cell r="B14" t="str">
            <v>036784007721.23.03230</v>
          </cell>
          <cell r="C14" t="str">
            <v>036784</v>
          </cell>
          <cell r="D14" t="str">
            <v>0077</v>
          </cell>
          <cell r="E14" t="str">
            <v>21.23.03230</v>
          </cell>
          <cell r="F14" t="str">
            <v>COLUNA DE SUSTENTACAO 02 \ 03_0114_00</v>
          </cell>
          <cell r="G14" t="str">
            <v>VMI TECNOLOGIAS LTDA</v>
          </cell>
          <cell r="H14">
            <v>45740</v>
          </cell>
          <cell r="I14" t="str">
            <v>MARCO</v>
          </cell>
          <cell r="J14">
            <v>1</v>
          </cell>
          <cell r="K14">
            <v>152.62</v>
          </cell>
          <cell r="L14">
            <v>305.24</v>
          </cell>
          <cell r="M14" t="str">
            <v>APROVADO</v>
          </cell>
          <cell r="N14" t="str">
            <v>10</v>
          </cell>
          <cell r="O14">
            <v>45778</v>
          </cell>
          <cell r="P14" t="str">
            <v>OUTUBRO</v>
          </cell>
        </row>
        <row r="15">
          <cell r="B15" t="str">
            <v>036784008521.23.03243</v>
          </cell>
          <cell r="C15" t="str">
            <v>036784</v>
          </cell>
          <cell r="D15" t="str">
            <v>0085</v>
          </cell>
          <cell r="E15" t="str">
            <v>21.23.03243</v>
          </cell>
          <cell r="F15" t="str">
            <v>CHAPA MONTAGEM ELETRICA TAMPA \ 03_0139_00</v>
          </cell>
          <cell r="G15" t="str">
            <v>VMI TECNOLOGIAS LTDA</v>
          </cell>
          <cell r="H15">
            <v>45740</v>
          </cell>
          <cell r="I15" t="str">
            <v>MARCO</v>
          </cell>
          <cell r="J15">
            <v>1</v>
          </cell>
          <cell r="K15">
            <v>45.045000000000002</v>
          </cell>
          <cell r="L15">
            <v>90.09</v>
          </cell>
          <cell r="M15" t="str">
            <v>APROVADO</v>
          </cell>
          <cell r="N15" t="str">
            <v>10</v>
          </cell>
          <cell r="O15">
            <v>45778</v>
          </cell>
          <cell r="P15" t="str">
            <v>OUTUBRO</v>
          </cell>
        </row>
        <row r="16">
          <cell r="B16" t="str">
            <v>036784014121.23.04819</v>
          </cell>
          <cell r="C16" t="str">
            <v>036784</v>
          </cell>
          <cell r="D16" t="str">
            <v>0141</v>
          </cell>
          <cell r="E16" t="str">
            <v>21.23.04819</v>
          </cell>
          <cell r="F16" t="str">
            <v>ESPELHO DA CORTINA/AA_8625_01</v>
          </cell>
          <cell r="G16" t="str">
            <v>VMI TECNOLOGIAS LTDA</v>
          </cell>
          <cell r="H16">
            <v>45740</v>
          </cell>
          <cell r="I16" t="str">
            <v>MARCO</v>
          </cell>
          <cell r="J16">
            <v>1</v>
          </cell>
          <cell r="K16">
            <v>44.488315999999998</v>
          </cell>
          <cell r="L16">
            <v>667.32</v>
          </cell>
          <cell r="M16" t="str">
            <v>APROVADO</v>
          </cell>
          <cell r="N16" t="str">
            <v>10</v>
          </cell>
          <cell r="O16">
            <v>45778</v>
          </cell>
          <cell r="P16" t="str">
            <v>OUTUBRO</v>
          </cell>
        </row>
        <row r="17">
          <cell r="B17" t="str">
            <v>036784015333.03.10204.00</v>
          </cell>
          <cell r="C17" t="str">
            <v>036784</v>
          </cell>
          <cell r="D17" t="str">
            <v>0153</v>
          </cell>
          <cell r="E17" t="str">
            <v>33.03.10204.00</v>
          </cell>
          <cell r="F17" t="str">
            <v>FIXACAO  / 33.03.10204.00</v>
          </cell>
          <cell r="G17" t="str">
            <v>VMI TECNOLOGIAS LTDA</v>
          </cell>
          <cell r="H17">
            <v>45740</v>
          </cell>
          <cell r="I17" t="str">
            <v>MARCO</v>
          </cell>
          <cell r="J17">
            <v>1</v>
          </cell>
          <cell r="K17">
            <v>3.4784000000000002</v>
          </cell>
          <cell r="L17">
            <v>146.09</v>
          </cell>
          <cell r="M17" t="str">
            <v>APROVADO</v>
          </cell>
          <cell r="N17" t="str">
            <v>10</v>
          </cell>
          <cell r="O17">
            <v>45778</v>
          </cell>
          <cell r="P17" t="str">
            <v>OUTUBRO</v>
          </cell>
        </row>
        <row r="18">
          <cell r="B18" t="str">
            <v>036784033733.08.10064.00</v>
          </cell>
          <cell r="C18" t="str">
            <v>036784</v>
          </cell>
          <cell r="D18" t="str">
            <v>0337</v>
          </cell>
          <cell r="E18" t="str">
            <v>33.08.10064.00</v>
          </cell>
          <cell r="F18" t="str">
            <v>LATERAL DO TUNEL / 33.08.10064.00</v>
          </cell>
          <cell r="G18" t="str">
            <v>VMI TECNOLOGIAS LTDA</v>
          </cell>
          <cell r="H18">
            <v>45740</v>
          </cell>
          <cell r="I18" t="str">
            <v>MARCO</v>
          </cell>
          <cell r="J18">
            <v>1</v>
          </cell>
          <cell r="K18">
            <v>137.63399999999999</v>
          </cell>
          <cell r="L18">
            <v>2477.41</v>
          </cell>
          <cell r="M18" t="str">
            <v>APROVADO</v>
          </cell>
          <cell r="N18" t="str">
            <v>10</v>
          </cell>
          <cell r="O18">
            <v>45778</v>
          </cell>
          <cell r="P18" t="str">
            <v>OUTUBRO</v>
          </cell>
        </row>
        <row r="19">
          <cell r="B19" t="str">
            <v>036784037333.08.10136.01</v>
          </cell>
          <cell r="C19" t="str">
            <v>036784</v>
          </cell>
          <cell r="D19" t="str">
            <v>0373</v>
          </cell>
          <cell r="E19" t="str">
            <v>33.08.10136.01</v>
          </cell>
          <cell r="F19" t="str">
            <v>CAIXA X-DAQ / 33.08.10136.01</v>
          </cell>
          <cell r="G19" t="str">
            <v>VMI TECNOLOGIAS LTDA</v>
          </cell>
          <cell r="H19">
            <v>45740</v>
          </cell>
          <cell r="I19" t="str">
            <v>MARCO</v>
          </cell>
          <cell r="J19">
            <v>1</v>
          </cell>
          <cell r="K19">
            <v>92.35</v>
          </cell>
          <cell r="L19">
            <v>831.15</v>
          </cell>
          <cell r="M19" t="str">
            <v>APROVADO</v>
          </cell>
          <cell r="N19" t="str">
            <v>10</v>
          </cell>
          <cell r="O19">
            <v>45778</v>
          </cell>
          <cell r="P19" t="str">
            <v>OUTUBRO</v>
          </cell>
        </row>
        <row r="20">
          <cell r="B20" t="str">
            <v>036784038633.08.10150.00</v>
          </cell>
          <cell r="C20" t="str">
            <v>036784</v>
          </cell>
          <cell r="D20" t="str">
            <v>0386</v>
          </cell>
          <cell r="E20" t="str">
            <v>33.08.10150.00</v>
          </cell>
          <cell r="F20" t="str">
            <v>FRENTE COLIMADOR FINAL SV / 33.08.10150.00</v>
          </cell>
          <cell r="G20" t="str">
            <v>VMI TECNOLOGIAS LTDA</v>
          </cell>
          <cell r="H20">
            <v>45740</v>
          </cell>
          <cell r="I20" t="str">
            <v>MARCO</v>
          </cell>
          <cell r="J20">
            <v>2</v>
          </cell>
          <cell r="K20">
            <v>17.25</v>
          </cell>
          <cell r="L20">
            <v>310.5</v>
          </cell>
          <cell r="M20" t="str">
            <v>APROVADO</v>
          </cell>
          <cell r="N20" t="str">
            <v>10</v>
          </cell>
          <cell r="O20">
            <v>45778</v>
          </cell>
          <cell r="P20" t="str">
            <v>OUTUBRO</v>
          </cell>
        </row>
        <row r="21">
          <cell r="B21" t="str">
            <v>036784050433.20.10146.01</v>
          </cell>
          <cell r="C21" t="str">
            <v>036784</v>
          </cell>
          <cell r="D21" t="str">
            <v>0504</v>
          </cell>
          <cell r="E21" t="str">
            <v>33.20.10146.01</v>
          </cell>
          <cell r="F21" t="str">
            <v>CHAPA MONTAGEM VEDACAO COLIMADOR SV / 33.20.10146.01</v>
          </cell>
          <cell r="G21" t="str">
            <v>VMI TECNOLOGIAS LTDA</v>
          </cell>
          <cell r="H21">
            <v>45740</v>
          </cell>
          <cell r="I21" t="str">
            <v>MARCO</v>
          </cell>
          <cell r="J21">
            <v>2</v>
          </cell>
          <cell r="K21">
            <v>41</v>
          </cell>
          <cell r="L21">
            <v>205</v>
          </cell>
          <cell r="M21" t="str">
            <v>APROVADO</v>
          </cell>
          <cell r="N21" t="str">
            <v>10</v>
          </cell>
          <cell r="O21">
            <v>45778</v>
          </cell>
          <cell r="P21" t="str">
            <v>OUTUBRO</v>
          </cell>
        </row>
        <row r="22">
          <cell r="B22" t="str">
            <v>036784054933.20.10517.00</v>
          </cell>
          <cell r="C22" t="str">
            <v>036784</v>
          </cell>
          <cell r="D22" t="str">
            <v>0549</v>
          </cell>
          <cell r="E22" t="str">
            <v>33.20.10517.00</v>
          </cell>
          <cell r="F22" t="str">
            <v>FECHAMENTO TAMPAS CENTRAIS / 33.20.10517.00</v>
          </cell>
          <cell r="G22" t="str">
            <v>VMI TECNOLOGIAS LTDA</v>
          </cell>
          <cell r="H22">
            <v>45740</v>
          </cell>
          <cell r="I22" t="str">
            <v>MARCO</v>
          </cell>
          <cell r="J22">
            <v>1</v>
          </cell>
          <cell r="K22">
            <v>115.395</v>
          </cell>
          <cell r="L22">
            <v>1846.32</v>
          </cell>
          <cell r="M22" t="str">
            <v>APROVADO</v>
          </cell>
          <cell r="N22" t="str">
            <v>10</v>
          </cell>
          <cell r="O22">
            <v>45778</v>
          </cell>
          <cell r="P22" t="str">
            <v>OUTUBRO</v>
          </cell>
        </row>
        <row r="23">
          <cell r="B23" t="str">
            <v>036784058833.23.10076.00</v>
          </cell>
          <cell r="C23" t="str">
            <v>036784</v>
          </cell>
          <cell r="D23" t="str">
            <v>0588</v>
          </cell>
          <cell r="E23" t="str">
            <v>33.23.10076.00</v>
          </cell>
          <cell r="F23" t="str">
            <v>SUPORTE DA CORTINA / 33.23.10076.00</v>
          </cell>
          <cell r="G23" t="str">
            <v>VMI TECNOLOGIAS LTDA</v>
          </cell>
          <cell r="H23">
            <v>45740</v>
          </cell>
          <cell r="I23" t="str">
            <v>MARCO</v>
          </cell>
          <cell r="J23">
            <v>1</v>
          </cell>
          <cell r="K23">
            <v>80.099999999999994</v>
          </cell>
          <cell r="L23">
            <v>4966.2</v>
          </cell>
          <cell r="M23" t="str">
            <v>APROVADO</v>
          </cell>
          <cell r="N23" t="str">
            <v>10</v>
          </cell>
          <cell r="O23">
            <v>45778</v>
          </cell>
          <cell r="P23" t="str">
            <v>OUTUBRO</v>
          </cell>
        </row>
        <row r="24">
          <cell r="B24" t="str">
            <v>037478000501.33.00026</v>
          </cell>
          <cell r="C24" t="str">
            <v>037478</v>
          </cell>
          <cell r="D24" t="str">
            <v>0005</v>
          </cell>
          <cell r="E24" t="str">
            <v>01.33.00026</v>
          </cell>
          <cell r="F24" t="str">
            <v>SUPORTE SENSOR ENTRADA/ SAIDA TUNEL \ AA_0768_02</v>
          </cell>
          <cell r="G24" t="str">
            <v>VMI TECNOLOGIAS LTDA</v>
          </cell>
          <cell r="H24">
            <v>45770</v>
          </cell>
          <cell r="I24" t="str">
            <v>MARCO</v>
          </cell>
          <cell r="J24">
            <v>1</v>
          </cell>
          <cell r="K24">
            <v>2.02</v>
          </cell>
          <cell r="L24">
            <v>10.1</v>
          </cell>
          <cell r="M24" t="str">
            <v>APROVADO</v>
          </cell>
          <cell r="N24" t="str">
            <v>10</v>
          </cell>
          <cell r="O24">
            <v>45810</v>
          </cell>
          <cell r="P24" t="str">
            <v>OUTUBRO</v>
          </cell>
        </row>
        <row r="25">
          <cell r="B25" t="str">
            <v>037478009433.08.10138.00</v>
          </cell>
          <cell r="C25" t="str">
            <v>037478</v>
          </cell>
          <cell r="D25" t="str">
            <v>0094</v>
          </cell>
          <cell r="E25" t="str">
            <v>33.08.10138.00</v>
          </cell>
          <cell r="F25" t="str">
            <v>TAMPA CAIXA X-DAQ / 33.08.10138.00</v>
          </cell>
          <cell r="G25" t="str">
            <v>VMI TECNOLOGIAS LTDA</v>
          </cell>
          <cell r="H25">
            <v>45770</v>
          </cell>
          <cell r="I25" t="str">
            <v>MARCO</v>
          </cell>
          <cell r="J25">
            <v>4</v>
          </cell>
          <cell r="K25">
            <v>12.005250999999999</v>
          </cell>
          <cell r="L25">
            <v>60.03</v>
          </cell>
          <cell r="M25" t="str">
            <v>APROVADO</v>
          </cell>
          <cell r="N25" t="str">
            <v>10</v>
          </cell>
          <cell r="O25">
            <v>45810</v>
          </cell>
          <cell r="P25" t="str">
            <v>OUTUBRO</v>
          </cell>
        </row>
        <row r="26">
          <cell r="B26" t="str">
            <v>037478015333.23.10032.01</v>
          </cell>
          <cell r="C26" t="str">
            <v>037478</v>
          </cell>
          <cell r="D26" t="str">
            <v>0153</v>
          </cell>
          <cell r="E26" t="str">
            <v>33.23.10032.01</v>
          </cell>
          <cell r="F26" t="str">
            <v>ARRUELA DA BUCHA DE REGULAGEM / 33.23.10032.01</v>
          </cell>
          <cell r="G26" t="str">
            <v>VMI TECNOLOGIAS LTDA</v>
          </cell>
          <cell r="H26">
            <v>45770</v>
          </cell>
          <cell r="I26" t="str">
            <v>MARCO</v>
          </cell>
          <cell r="J26">
            <v>4</v>
          </cell>
          <cell r="K26">
            <v>1.2</v>
          </cell>
          <cell r="L26">
            <v>91.2</v>
          </cell>
          <cell r="M26" t="str">
            <v>APROVADO</v>
          </cell>
          <cell r="N26" t="str">
            <v>10</v>
          </cell>
          <cell r="O26">
            <v>45810</v>
          </cell>
          <cell r="P26" t="str">
            <v>OUTUBRO</v>
          </cell>
        </row>
        <row r="27">
          <cell r="B27" t="str">
            <v>037478016233.08.10040.00</v>
          </cell>
          <cell r="C27" t="str">
            <v>037478</v>
          </cell>
          <cell r="D27" t="str">
            <v>0162</v>
          </cell>
          <cell r="E27" t="str">
            <v>33.08.10040.00</v>
          </cell>
          <cell r="F27" t="str">
            <v>TRAVE INFERIOR / 33.08.10040.00</v>
          </cell>
          <cell r="G27" t="str">
            <v>VMI TECNOLOGIAS LTDA</v>
          </cell>
          <cell r="H27">
            <v>45770</v>
          </cell>
          <cell r="I27" t="str">
            <v>MARCO</v>
          </cell>
          <cell r="J27">
            <v>3</v>
          </cell>
          <cell r="K27">
            <v>107.61</v>
          </cell>
          <cell r="L27">
            <v>430.44</v>
          </cell>
          <cell r="M27" t="str">
            <v>APROVADO</v>
          </cell>
          <cell r="N27" t="str">
            <v>10</v>
          </cell>
          <cell r="O27">
            <v>45814</v>
          </cell>
          <cell r="P27" t="str">
            <v>OUTUBRO</v>
          </cell>
        </row>
        <row r="28">
          <cell r="B28" t="str">
            <v>037635003921.23.03299</v>
          </cell>
          <cell r="C28" t="str">
            <v>037635</v>
          </cell>
          <cell r="D28" t="str">
            <v>0039</v>
          </cell>
          <cell r="E28" t="str">
            <v>21.23.03299</v>
          </cell>
          <cell r="F28" t="str">
            <v>DISTANCIADOR ROLETE \ 03_0217_00</v>
          </cell>
          <cell r="G28" t="str">
            <v>VMI TECNOLOGIAS LTDA</v>
          </cell>
          <cell r="H28">
            <v>45779</v>
          </cell>
          <cell r="I28" t="str">
            <v>MARCO</v>
          </cell>
          <cell r="J28">
            <v>4</v>
          </cell>
          <cell r="K28">
            <v>35.78</v>
          </cell>
          <cell r="L28">
            <v>1216.52</v>
          </cell>
          <cell r="M28" t="str">
            <v>APROVADO</v>
          </cell>
          <cell r="N28" t="str">
            <v>10</v>
          </cell>
          <cell r="O28">
            <v>45839</v>
          </cell>
          <cell r="P28" t="str">
            <v>OUTUBRO</v>
          </cell>
        </row>
        <row r="29">
          <cell r="B29" t="str">
            <v>037635011633.08.10102.00</v>
          </cell>
          <cell r="C29" t="str">
            <v>037635</v>
          </cell>
          <cell r="D29" t="str">
            <v>0116</v>
          </cell>
          <cell r="E29" t="str">
            <v>33.08.10102.00</v>
          </cell>
          <cell r="F29" t="str">
            <v>REFORCO BANDEJA DA ESTEIRA / 33.08.10102.00</v>
          </cell>
          <cell r="G29" t="str">
            <v>VMI TECNOLOGIAS LTDA</v>
          </cell>
          <cell r="H29">
            <v>45779</v>
          </cell>
          <cell r="I29" t="str">
            <v>MARCO</v>
          </cell>
          <cell r="J29">
            <v>5</v>
          </cell>
          <cell r="K29">
            <v>59.839500000000001</v>
          </cell>
          <cell r="L29">
            <v>299.2</v>
          </cell>
          <cell r="M29" t="str">
            <v>APROVADO</v>
          </cell>
          <cell r="N29" t="str">
            <v>10</v>
          </cell>
          <cell r="O29">
            <v>45839</v>
          </cell>
          <cell r="P29" t="str">
            <v>OUTUBRO</v>
          </cell>
        </row>
        <row r="30">
          <cell r="B30" t="str">
            <v>037635020533.20.10514.00</v>
          </cell>
          <cell r="C30" t="str">
            <v>037635</v>
          </cell>
          <cell r="D30" t="str">
            <v>0205</v>
          </cell>
          <cell r="E30" t="str">
            <v>33.20.10514.00</v>
          </cell>
          <cell r="F30" t="str">
            <v>REGULAGEM DO TUBO / 33.20.10514.00</v>
          </cell>
          <cell r="G30" t="str">
            <v>VMI TECNOLOGIAS LTDA</v>
          </cell>
          <cell r="H30">
            <v>45779</v>
          </cell>
          <cell r="I30" t="str">
            <v>MARCO</v>
          </cell>
          <cell r="J30">
            <v>5</v>
          </cell>
          <cell r="K30">
            <v>39</v>
          </cell>
          <cell r="L30">
            <v>195</v>
          </cell>
          <cell r="M30" t="str">
            <v>APROVADO</v>
          </cell>
          <cell r="N30" t="str">
            <v>10</v>
          </cell>
          <cell r="O30">
            <v>45792</v>
          </cell>
          <cell r="P30" t="str">
            <v>OUTUBRO</v>
          </cell>
        </row>
        <row r="31">
          <cell r="B31" t="str">
            <v>037635028233.23.10627.00</v>
          </cell>
          <cell r="C31" t="str">
            <v>037635</v>
          </cell>
          <cell r="D31" t="str">
            <v>0282</v>
          </cell>
          <cell r="E31" t="str">
            <v>33.23.10627.00</v>
          </cell>
          <cell r="F31" t="str">
            <v>CONJ. SOLDADO BASE LATERAL DIR. MOTOPOLIA / 33.23.10627.00</v>
          </cell>
          <cell r="G31" t="str">
            <v>VMI TECNOLOGIAS LTDA</v>
          </cell>
          <cell r="H31">
            <v>45779</v>
          </cell>
          <cell r="I31" t="str">
            <v>MARCO</v>
          </cell>
          <cell r="J31">
            <v>1</v>
          </cell>
          <cell r="K31">
            <v>132</v>
          </cell>
          <cell r="L31">
            <v>7920</v>
          </cell>
          <cell r="M31" t="str">
            <v>APROVADO</v>
          </cell>
          <cell r="N31" t="str">
            <v>10</v>
          </cell>
          <cell r="O31">
            <v>45792</v>
          </cell>
          <cell r="P31" t="str">
            <v>OUTUBRO</v>
          </cell>
        </row>
        <row r="32">
          <cell r="B32" t="str">
            <v>039339000833.08.10023.00</v>
          </cell>
          <cell r="C32" t="str">
            <v>039339</v>
          </cell>
          <cell r="D32" t="str">
            <v>0008</v>
          </cell>
          <cell r="E32" t="str">
            <v>33.08.10023.00</v>
          </cell>
          <cell r="F32" t="str">
            <v>CHAPA FECHAMENTO FUNDO / 33.08.10023.00</v>
          </cell>
          <cell r="G32" t="str">
            <v>VMI TECNOLOGIAS LTDA</v>
          </cell>
          <cell r="H32">
            <v>45804</v>
          </cell>
          <cell r="I32" t="str">
            <v>MARCO</v>
          </cell>
          <cell r="J32">
            <v>9</v>
          </cell>
          <cell r="K32">
            <v>48.762</v>
          </cell>
          <cell r="L32">
            <v>438.86</v>
          </cell>
          <cell r="M32" t="str">
            <v>APROVADO</v>
          </cell>
          <cell r="N32" t="str">
            <v>10</v>
          </cell>
          <cell r="O32">
            <v>45804</v>
          </cell>
          <cell r="P32" t="str">
            <v>OUTUBRO</v>
          </cell>
        </row>
        <row r="33">
          <cell r="B33" t="str">
            <v>039339000933.08.10025.00</v>
          </cell>
          <cell r="C33" t="str">
            <v>039339</v>
          </cell>
          <cell r="D33" t="str">
            <v>0009</v>
          </cell>
          <cell r="E33" t="str">
            <v>33.08.10025.00</v>
          </cell>
          <cell r="F33" t="str">
            <v>CHAPA FECHAMENTO FUNDO / 33.08.10025.00</v>
          </cell>
          <cell r="G33" t="str">
            <v>VMI TECNOLOGIAS LTDA</v>
          </cell>
          <cell r="H33">
            <v>45804</v>
          </cell>
          <cell r="I33" t="str">
            <v>MARCO</v>
          </cell>
          <cell r="J33">
            <v>9</v>
          </cell>
          <cell r="K33">
            <v>48.468000000000004</v>
          </cell>
          <cell r="L33">
            <v>436.21</v>
          </cell>
          <cell r="M33" t="str">
            <v>APROVADO</v>
          </cell>
          <cell r="N33" t="str">
            <v>10</v>
          </cell>
          <cell r="O33">
            <v>45804</v>
          </cell>
          <cell r="P33" t="str">
            <v>OUTUBRO</v>
          </cell>
        </row>
        <row r="34">
          <cell r="B34" t="str">
            <v>040127000633.23.10317.01</v>
          </cell>
          <cell r="C34" t="str">
            <v>040127</v>
          </cell>
          <cell r="D34" t="str">
            <v>0006</v>
          </cell>
          <cell r="E34" t="str">
            <v>33.23.10317.01</v>
          </cell>
          <cell r="F34" t="str">
            <v>CONJUNTO SOLDADO DA GAIOLA DAS DETECTORAS / 33.23.10317.01</v>
          </cell>
          <cell r="G34" t="str">
            <v>VMI TECNOLOGIAS LTDA</v>
          </cell>
          <cell r="H34">
            <v>45806</v>
          </cell>
          <cell r="I34" t="str">
            <v>MARCO</v>
          </cell>
          <cell r="J34">
            <v>3</v>
          </cell>
          <cell r="K34">
            <v>474.08</v>
          </cell>
          <cell r="L34">
            <v>1422.24</v>
          </cell>
          <cell r="M34" t="str">
            <v>APROVADO</v>
          </cell>
          <cell r="N34" t="str">
            <v>10</v>
          </cell>
          <cell r="O34">
            <v>45806</v>
          </cell>
          <cell r="P34" t="str">
            <v>OUTUBRO</v>
          </cell>
        </row>
        <row r="35">
          <cell r="B35" t="str">
            <v>046816000421.23.01414</v>
          </cell>
          <cell r="C35" t="str">
            <v>046816</v>
          </cell>
          <cell r="D35" t="str">
            <v>0004</v>
          </cell>
          <cell r="E35" t="str">
            <v>21.23.01414</v>
          </cell>
          <cell r="F35" t="str">
            <v>TRAVA DO NYLON \ AA_4558_01</v>
          </cell>
          <cell r="G35" t="str">
            <v>VMI TECNOLOGIAS LTDA</v>
          </cell>
          <cell r="H35">
            <v>45814</v>
          </cell>
          <cell r="I35" t="str">
            <v>MARCO</v>
          </cell>
          <cell r="J35">
            <v>13</v>
          </cell>
          <cell r="K35">
            <v>7.68485</v>
          </cell>
          <cell r="L35">
            <v>99.9</v>
          </cell>
          <cell r="M35" t="str">
            <v>APROVADO</v>
          </cell>
          <cell r="N35" t="str">
            <v>10</v>
          </cell>
          <cell r="O35">
            <v>45814</v>
          </cell>
          <cell r="P35" t="str">
            <v>OUTUBRO</v>
          </cell>
        </row>
        <row r="36">
          <cell r="B36" t="str">
            <v>046816002521.23.03289</v>
          </cell>
          <cell r="C36" t="str">
            <v>046816</v>
          </cell>
          <cell r="D36" t="str">
            <v>0025</v>
          </cell>
          <cell r="E36" t="str">
            <v>21.23.03289</v>
          </cell>
          <cell r="F36" t="str">
            <v>TRAVA DO ROLETE DE RETORNO \ 03_0207_01</v>
          </cell>
          <cell r="G36" t="str">
            <v>VMI TECNOLOGIAS LTDA</v>
          </cell>
          <cell r="H36">
            <v>45814</v>
          </cell>
          <cell r="I36" t="str">
            <v>MARCO</v>
          </cell>
          <cell r="J36">
            <v>3</v>
          </cell>
          <cell r="K36">
            <v>20</v>
          </cell>
          <cell r="L36">
            <v>60</v>
          </cell>
          <cell r="M36" t="str">
            <v>APROVADO</v>
          </cell>
          <cell r="N36" t="str">
            <v>10</v>
          </cell>
          <cell r="O36">
            <v>45840</v>
          </cell>
          <cell r="P36" t="str">
            <v>OUTUBRO</v>
          </cell>
        </row>
        <row r="37">
          <cell r="B37" t="str">
            <v>046816021933.23.10334.00</v>
          </cell>
          <cell r="C37" t="str">
            <v>046816</v>
          </cell>
          <cell r="D37" t="str">
            <v>0219</v>
          </cell>
          <cell r="E37" t="str">
            <v>33.23.10334.00</v>
          </cell>
          <cell r="F37" t="str">
            <v>SUPORTE REMOVIVEL DA PLACA DETECTORA / 33.23.10334.00</v>
          </cell>
          <cell r="G37" t="str">
            <v>VMI TECNOLOGIAS LTDA</v>
          </cell>
          <cell r="H37">
            <v>45814</v>
          </cell>
          <cell r="I37" t="str">
            <v>MARCO</v>
          </cell>
          <cell r="J37">
            <v>4</v>
          </cell>
          <cell r="K37">
            <v>13.9</v>
          </cell>
          <cell r="L37">
            <v>69.5</v>
          </cell>
          <cell r="M37" t="str">
            <v>APROVADO</v>
          </cell>
          <cell r="N37" t="str">
            <v>10</v>
          </cell>
          <cell r="O37">
            <v>45729</v>
          </cell>
          <cell r="P37" t="str">
            <v>OUTUBRO</v>
          </cell>
        </row>
        <row r="38">
          <cell r="B38" t="str">
            <v>047032000333.03.10375.00</v>
          </cell>
          <cell r="C38" t="str">
            <v>047032</v>
          </cell>
          <cell r="D38" t="str">
            <v>0003</v>
          </cell>
          <cell r="E38" t="str">
            <v>33.03.10375.00</v>
          </cell>
          <cell r="F38" t="str">
            <v>SUPORTE DO ACABAMENTO DA ESTEIRA / 33.03.10375.00</v>
          </cell>
          <cell r="G38" t="str">
            <v>VMI TECNOLOGIAS LTDA</v>
          </cell>
          <cell r="H38">
            <v>45824</v>
          </cell>
          <cell r="I38" t="str">
            <v>MARCO</v>
          </cell>
          <cell r="J38">
            <v>1</v>
          </cell>
          <cell r="K38">
            <v>10.87</v>
          </cell>
          <cell r="L38">
            <v>21.74</v>
          </cell>
          <cell r="M38" t="str">
            <v>APROVADO</v>
          </cell>
          <cell r="N38" t="str">
            <v>10</v>
          </cell>
          <cell r="O38">
            <v>45824</v>
          </cell>
          <cell r="P38" t="str">
            <v>OUTUBRO</v>
          </cell>
        </row>
        <row r="39">
          <cell r="B39" t="str">
            <v>047032000933.08.10203.00</v>
          </cell>
          <cell r="C39" t="str">
            <v>047032</v>
          </cell>
          <cell r="D39" t="str">
            <v>0009</v>
          </cell>
          <cell r="E39" t="str">
            <v>33.08.10203.00</v>
          </cell>
          <cell r="F39" t="str">
            <v>FRENTE COLIMADOR FINAL DV / 33.08.10203.00</v>
          </cell>
          <cell r="G39" t="str">
            <v>VMI TECNOLOGIAS LTDA</v>
          </cell>
          <cell r="H39">
            <v>45824</v>
          </cell>
          <cell r="I39" t="str">
            <v>MARCO</v>
          </cell>
          <cell r="J39">
            <v>3</v>
          </cell>
          <cell r="K39">
            <v>25</v>
          </cell>
          <cell r="L39">
            <v>125</v>
          </cell>
          <cell r="M39" t="str">
            <v>APROVADO</v>
          </cell>
          <cell r="N39" t="str">
            <v>10</v>
          </cell>
          <cell r="O39">
            <v>45824</v>
          </cell>
          <cell r="P39" t="str">
            <v>OUTUBRO</v>
          </cell>
        </row>
        <row r="40">
          <cell r="B40" t="str">
            <v>047032001721.23.03292</v>
          </cell>
          <cell r="C40" t="str">
            <v>047032</v>
          </cell>
          <cell r="D40" t="str">
            <v>0017</v>
          </cell>
          <cell r="E40" t="str">
            <v>21.23.03292</v>
          </cell>
          <cell r="F40" t="str">
            <v>REFORCO DO CORTE DA ESTEIRA \ 03_0210_02</v>
          </cell>
          <cell r="G40" t="str">
            <v>VMI TECNOLOGIAS LTDA</v>
          </cell>
          <cell r="H40">
            <v>45824</v>
          </cell>
          <cell r="I40" t="str">
            <v>MARCO</v>
          </cell>
          <cell r="J40">
            <v>4</v>
          </cell>
          <cell r="K40">
            <v>59.997</v>
          </cell>
          <cell r="L40">
            <v>239.99</v>
          </cell>
          <cell r="M40" t="str">
            <v>APROVADO</v>
          </cell>
          <cell r="N40" t="str">
            <v>10</v>
          </cell>
          <cell r="O40">
            <v>45824</v>
          </cell>
          <cell r="P40" t="str">
            <v>OUTUBRO</v>
          </cell>
        </row>
        <row r="41">
          <cell r="B41" t="str">
            <v>047609001833.03.11339.01</v>
          </cell>
          <cell r="C41" t="str">
            <v>047609</v>
          </cell>
          <cell r="D41" t="str">
            <v>0018</v>
          </cell>
          <cell r="E41" t="str">
            <v>33.03.11339.01</v>
          </cell>
          <cell r="F41" t="str">
            <v>CONJ. SUPORTE P /  FIX. DO ROLETE DE RETORNO / 33.03.11339.01</v>
          </cell>
          <cell r="G41" t="str">
            <v>VMI TECNOLOGIAS LTDA</v>
          </cell>
          <cell r="H41">
            <v>45852</v>
          </cell>
          <cell r="I41" t="str">
            <v>MARCO</v>
          </cell>
          <cell r="J41">
            <v>2</v>
          </cell>
          <cell r="K41">
            <v>12.766999999999999</v>
          </cell>
          <cell r="L41">
            <v>51.07</v>
          </cell>
          <cell r="M41" t="str">
            <v>APROVADO</v>
          </cell>
          <cell r="N41" t="str">
            <v>10</v>
          </cell>
          <cell r="O41">
            <v>45901</v>
          </cell>
          <cell r="P41" t="str">
            <v>OUTUBRO</v>
          </cell>
        </row>
        <row r="42">
          <cell r="B42" t="str">
            <v>048014001021.16.00389</v>
          </cell>
          <cell r="C42" t="str">
            <v>048014</v>
          </cell>
          <cell r="D42" t="str">
            <v>0010</v>
          </cell>
          <cell r="E42" t="str">
            <v>21.16.00389</v>
          </cell>
          <cell r="F42" t="str">
            <v>CHAPA SUPERIOR ENTRE COLIMADORES \ 03_0276_00</v>
          </cell>
          <cell r="G42" t="str">
            <v>VMI TECNOLOGIAS LTDA</v>
          </cell>
          <cell r="H42">
            <v>45862</v>
          </cell>
          <cell r="I42" t="str">
            <v>RAFAEL</v>
          </cell>
          <cell r="J42">
            <v>1</v>
          </cell>
          <cell r="K42">
            <v>7.4619499999999999</v>
          </cell>
          <cell r="L42">
            <v>89.54</v>
          </cell>
          <cell r="M42" t="str">
            <v>APROVADO</v>
          </cell>
          <cell r="N42" t="str">
            <v>10</v>
          </cell>
          <cell r="O42">
            <v>45931</v>
          </cell>
          <cell r="P42" t="str">
            <v>OUTUBRO</v>
          </cell>
        </row>
        <row r="43">
          <cell r="B43" t="str">
            <v>048014003221.23.00923</v>
          </cell>
          <cell r="C43" t="str">
            <v>048014</v>
          </cell>
          <cell r="D43" t="str">
            <v>0032</v>
          </cell>
          <cell r="E43" t="str">
            <v>21.23.00923</v>
          </cell>
          <cell r="F43" t="str">
            <v>MONTAGEM BASE LAMINAS COLIMDAOR SECUNDAR \ AA_5102_00</v>
          </cell>
          <cell r="G43" t="str">
            <v>VMI TECNOLOGIAS LTDA</v>
          </cell>
          <cell r="H43">
            <v>45862</v>
          </cell>
          <cell r="I43" t="str">
            <v>RAFAEL</v>
          </cell>
          <cell r="J43">
            <v>1</v>
          </cell>
          <cell r="K43">
            <v>97</v>
          </cell>
          <cell r="L43">
            <v>873</v>
          </cell>
          <cell r="M43" t="str">
            <v>APROVADO</v>
          </cell>
          <cell r="N43" t="str">
            <v>10</v>
          </cell>
          <cell r="O43">
            <v>45931</v>
          </cell>
          <cell r="P43" t="str">
            <v>OUTUBRO</v>
          </cell>
        </row>
        <row r="44">
          <cell r="B44" t="str">
            <v>048014003721.23.00931</v>
          </cell>
          <cell r="C44" t="str">
            <v>048014</v>
          </cell>
          <cell r="D44" t="str">
            <v>0037</v>
          </cell>
          <cell r="E44" t="str">
            <v>21.23.00931</v>
          </cell>
          <cell r="F44" t="str">
            <v>MONTAGEM FIXACAO ACABAMENTO ROLETE LIVRE \ AA_5121_01</v>
          </cell>
          <cell r="G44" t="str">
            <v>VMI TECNOLOGIAS LTDA</v>
          </cell>
          <cell r="H44">
            <v>45862</v>
          </cell>
          <cell r="I44" t="str">
            <v>RAFAEL</v>
          </cell>
          <cell r="J44">
            <v>2</v>
          </cell>
          <cell r="K44">
            <v>13.513500000000001</v>
          </cell>
          <cell r="L44">
            <v>27.03</v>
          </cell>
          <cell r="M44" t="str">
            <v>APROVADO</v>
          </cell>
          <cell r="N44" t="str">
            <v>10</v>
          </cell>
          <cell r="O44">
            <v>45931</v>
          </cell>
          <cell r="P44" t="str">
            <v>OUTUBRO</v>
          </cell>
        </row>
        <row r="45">
          <cell r="B45" t="str">
            <v>048014004321.23.00941</v>
          </cell>
          <cell r="C45" t="str">
            <v>048014</v>
          </cell>
          <cell r="D45" t="str">
            <v>0043</v>
          </cell>
          <cell r="E45" t="str">
            <v>21.23.00941</v>
          </cell>
          <cell r="F45" t="str">
            <v>MONTAGEM CHAPA BLINDAGEM ESTEIRA \ AA_5152_02</v>
          </cell>
          <cell r="G45" t="str">
            <v>VMI TECNOLOGIAS LTDA</v>
          </cell>
          <cell r="H45">
            <v>45862</v>
          </cell>
          <cell r="I45" t="str">
            <v>RAFAEL</v>
          </cell>
          <cell r="J45">
            <v>1</v>
          </cell>
          <cell r="K45">
            <v>62.180999999999997</v>
          </cell>
          <cell r="L45">
            <v>1492.34</v>
          </cell>
          <cell r="M45" t="str">
            <v>APROVADO</v>
          </cell>
          <cell r="N45" t="str">
            <v>10</v>
          </cell>
          <cell r="O45">
            <v>45931</v>
          </cell>
          <cell r="P45" t="str">
            <v>OUTUBRO</v>
          </cell>
        </row>
        <row r="46">
          <cell r="B46" t="str">
            <v>048014005821.23.02367</v>
          </cell>
          <cell r="C46" t="str">
            <v>048014</v>
          </cell>
          <cell r="D46" t="str">
            <v>0058</v>
          </cell>
          <cell r="E46" t="str">
            <v>21.23.02367</v>
          </cell>
          <cell r="F46" t="str">
            <v>APOIO SUPORTE DETECTOR RX \ AA_6258_01</v>
          </cell>
          <cell r="G46" t="str">
            <v>VMI TECNOLOGIAS LTDA</v>
          </cell>
          <cell r="H46">
            <v>45862</v>
          </cell>
          <cell r="I46" t="str">
            <v>RAFAEL</v>
          </cell>
          <cell r="J46">
            <v>144</v>
          </cell>
          <cell r="K46">
            <v>12.559758</v>
          </cell>
          <cell r="L46">
            <v>1808.61</v>
          </cell>
          <cell r="M46" t="str">
            <v>APROVADO</v>
          </cell>
          <cell r="N46" t="str">
            <v>10</v>
          </cell>
          <cell r="O46">
            <v>45931</v>
          </cell>
          <cell r="P46" t="str">
            <v>OUTUBRO</v>
          </cell>
        </row>
        <row r="47">
          <cell r="B47" t="str">
            <v>048014011121.23.04135</v>
          </cell>
          <cell r="C47" t="str">
            <v>048014</v>
          </cell>
          <cell r="D47" t="str">
            <v>0111</v>
          </cell>
          <cell r="E47" t="str">
            <v>21.23.04135</v>
          </cell>
          <cell r="F47" t="str">
            <v>CHAPA FECHAMENTO LATERAL TUNEL / 03_0396_00</v>
          </cell>
          <cell r="G47" t="str">
            <v>VMI TECNOLOGIAS LTDA</v>
          </cell>
          <cell r="H47">
            <v>45862</v>
          </cell>
          <cell r="I47" t="str">
            <v>RAFAEL</v>
          </cell>
          <cell r="J47">
            <v>1</v>
          </cell>
          <cell r="K47">
            <v>20.191500000000001</v>
          </cell>
          <cell r="L47">
            <v>20.190000000000001</v>
          </cell>
          <cell r="M47" t="str">
            <v>APROVADO</v>
          </cell>
          <cell r="N47" t="str">
            <v>10</v>
          </cell>
          <cell r="O47">
            <v>45931</v>
          </cell>
          <cell r="P47" t="str">
            <v>OUTUBRO</v>
          </cell>
        </row>
        <row r="48">
          <cell r="B48" t="str">
            <v>048014011621.23.04818</v>
          </cell>
          <cell r="C48" t="str">
            <v>048014</v>
          </cell>
          <cell r="D48" t="str">
            <v>0116</v>
          </cell>
          <cell r="E48" t="str">
            <v>21.23.04818</v>
          </cell>
          <cell r="F48" t="str">
            <v>SUPORTE DA CORTINA / AA_8627_01</v>
          </cell>
          <cell r="G48" t="str">
            <v>VMI TECNOLOGIAS LTDA</v>
          </cell>
          <cell r="H48">
            <v>45862</v>
          </cell>
          <cell r="I48" t="str">
            <v>RAFAEL</v>
          </cell>
          <cell r="J48">
            <v>1</v>
          </cell>
          <cell r="K48">
            <v>63</v>
          </cell>
          <cell r="L48">
            <v>63</v>
          </cell>
          <cell r="M48" t="str">
            <v>APROVADO</v>
          </cell>
          <cell r="N48" t="str">
            <v>10</v>
          </cell>
          <cell r="O48">
            <v>45931</v>
          </cell>
          <cell r="P48" t="str">
            <v>OUTUBRO</v>
          </cell>
        </row>
        <row r="49">
          <cell r="B49" t="str">
            <v>048014012021.23.04821</v>
          </cell>
          <cell r="C49" t="str">
            <v>048014</v>
          </cell>
          <cell r="D49" t="str">
            <v>0120</v>
          </cell>
          <cell r="E49" t="str">
            <v>21.23.04821</v>
          </cell>
          <cell r="F49" t="str">
            <v>APOIO DO TRAFO E INDUTOR 100100 / AA_10312_04</v>
          </cell>
          <cell r="G49" t="str">
            <v>VMI TECNOLOGIAS LTDA</v>
          </cell>
          <cell r="H49">
            <v>45862</v>
          </cell>
          <cell r="I49" t="str">
            <v>RAFAEL</v>
          </cell>
          <cell r="J49">
            <v>1</v>
          </cell>
          <cell r="K49">
            <v>85.343999999999994</v>
          </cell>
          <cell r="L49">
            <v>170.69</v>
          </cell>
          <cell r="M49" t="str">
            <v>APROVADO</v>
          </cell>
          <cell r="N49" t="str">
            <v>10</v>
          </cell>
          <cell r="O49">
            <v>45931</v>
          </cell>
          <cell r="P49" t="str">
            <v>OUTUBRO</v>
          </cell>
        </row>
        <row r="50">
          <cell r="B50" t="str">
            <v>048014014733.03.10229.01</v>
          </cell>
          <cell r="C50" t="str">
            <v>048014</v>
          </cell>
          <cell r="D50" t="str">
            <v>0147</v>
          </cell>
          <cell r="E50" t="str">
            <v>33.03.10229.01</v>
          </cell>
          <cell r="F50" t="str">
            <v>BANDEJA / 33.03.10229.01</v>
          </cell>
          <cell r="G50" t="str">
            <v>VMI TECNOLOGIAS LTDA</v>
          </cell>
          <cell r="H50">
            <v>45862</v>
          </cell>
          <cell r="I50" t="str">
            <v>RAFAEL</v>
          </cell>
          <cell r="J50">
            <v>1</v>
          </cell>
          <cell r="K50">
            <v>85.788150000000002</v>
          </cell>
          <cell r="L50">
            <v>85.79</v>
          </cell>
          <cell r="M50" t="str">
            <v>APROVADO</v>
          </cell>
          <cell r="N50" t="str">
            <v>10</v>
          </cell>
          <cell r="O50">
            <v>45931</v>
          </cell>
          <cell r="P50" t="str">
            <v>OUTUBRO</v>
          </cell>
        </row>
        <row r="51">
          <cell r="B51" t="str">
            <v>048014018133.03.10339.01</v>
          </cell>
          <cell r="C51" t="str">
            <v>048014</v>
          </cell>
          <cell r="D51" t="str">
            <v>0181</v>
          </cell>
          <cell r="E51" t="str">
            <v>33.03.10339.01</v>
          </cell>
          <cell r="F51" t="str">
            <v>ESPELHO CORTINA PLUMBIFERA 6040 / 33.03.10339.01</v>
          </cell>
          <cell r="G51" t="str">
            <v>VMI TECNOLOGIAS LTDA</v>
          </cell>
          <cell r="H51">
            <v>45862</v>
          </cell>
          <cell r="I51" t="str">
            <v>RAFAEL</v>
          </cell>
          <cell r="J51">
            <v>1</v>
          </cell>
          <cell r="K51">
            <v>4.4000000000000004</v>
          </cell>
          <cell r="L51">
            <v>35.200000000000003</v>
          </cell>
          <cell r="M51" t="str">
            <v>APROVADO</v>
          </cell>
          <cell r="N51" t="str">
            <v>10</v>
          </cell>
          <cell r="O51">
            <v>45931</v>
          </cell>
          <cell r="P51" t="str">
            <v>OUTUBRO</v>
          </cell>
        </row>
        <row r="52">
          <cell r="B52" t="str">
            <v>048014018233.03.10339.01</v>
          </cell>
          <cell r="C52" t="str">
            <v>048014</v>
          </cell>
          <cell r="D52" t="str">
            <v>0182</v>
          </cell>
          <cell r="E52" t="str">
            <v>33.03.10339.01</v>
          </cell>
          <cell r="F52" t="str">
            <v>ESPELHO CORTINA PLUMBIFERA 6040 / 33.03.10339.01</v>
          </cell>
          <cell r="G52" t="str">
            <v>VMI TECNOLOGIAS LTDA</v>
          </cell>
          <cell r="H52">
            <v>45862</v>
          </cell>
          <cell r="I52" t="str">
            <v>RAFAEL</v>
          </cell>
          <cell r="J52">
            <v>13</v>
          </cell>
          <cell r="K52">
            <v>4.4000000000000004</v>
          </cell>
          <cell r="L52">
            <v>88</v>
          </cell>
          <cell r="M52" t="str">
            <v>APROVADO</v>
          </cell>
          <cell r="N52" t="str">
            <v>10</v>
          </cell>
          <cell r="O52">
            <v>45931</v>
          </cell>
          <cell r="P52" t="str">
            <v>OUTUBRO</v>
          </cell>
        </row>
        <row r="53">
          <cell r="B53" t="str">
            <v>048014018733.03.10353.00</v>
          </cell>
          <cell r="C53" t="str">
            <v>048014</v>
          </cell>
          <cell r="D53" t="str">
            <v>0187</v>
          </cell>
          <cell r="E53" t="str">
            <v>33.03.10353.00</v>
          </cell>
          <cell r="F53" t="str">
            <v>DISTANCIADOR DO ROLETE 6040 M3 _02 / 33.03.10353.00</v>
          </cell>
          <cell r="G53" t="str">
            <v>VMI TECNOLOGIAS LTDA</v>
          </cell>
          <cell r="H53">
            <v>45862</v>
          </cell>
          <cell r="I53" t="str">
            <v>RAFAEL</v>
          </cell>
          <cell r="J53">
            <v>1</v>
          </cell>
          <cell r="K53">
            <v>3.3930940000000001</v>
          </cell>
          <cell r="L53">
            <v>3.39</v>
          </cell>
          <cell r="M53" t="str">
            <v>APROVADO</v>
          </cell>
          <cell r="N53" t="str">
            <v>10</v>
          </cell>
          <cell r="O53">
            <v>45931</v>
          </cell>
          <cell r="P53" t="str">
            <v>OUTUBRO</v>
          </cell>
        </row>
        <row r="54">
          <cell r="B54" t="str">
            <v>048014020833.03.11322.00</v>
          </cell>
          <cell r="C54" t="str">
            <v>048014</v>
          </cell>
          <cell r="D54" t="str">
            <v>0208</v>
          </cell>
          <cell r="E54" t="str">
            <v>33.03.11322.00</v>
          </cell>
          <cell r="F54" t="str">
            <v>SUPORTE HORIZONTAL TRAVA COLUNAS / 33.03.11322.00</v>
          </cell>
          <cell r="G54" t="str">
            <v>VMI TECNOLOGIAS LTDA</v>
          </cell>
          <cell r="H54">
            <v>45862</v>
          </cell>
          <cell r="I54" t="str">
            <v>RAFAEL</v>
          </cell>
          <cell r="J54">
            <v>1</v>
          </cell>
          <cell r="K54">
            <v>54.5</v>
          </cell>
          <cell r="L54">
            <v>218</v>
          </cell>
          <cell r="M54" t="str">
            <v>APROVADO</v>
          </cell>
          <cell r="N54" t="str">
            <v>10</v>
          </cell>
          <cell r="O54">
            <v>45931</v>
          </cell>
          <cell r="P54" t="str">
            <v>OUTUBRO</v>
          </cell>
        </row>
        <row r="55">
          <cell r="B55" t="str">
            <v>048014023933.03.11387.00</v>
          </cell>
          <cell r="C55" t="str">
            <v>048014</v>
          </cell>
          <cell r="D55" t="str">
            <v>0239</v>
          </cell>
          <cell r="E55" t="str">
            <v>33.03.11387.00</v>
          </cell>
          <cell r="F55" t="str">
            <v>TAMPA LATERAL DOS DETECTORES / 33.03.11387.00</v>
          </cell>
          <cell r="G55" t="str">
            <v>VMI TECNOLOGIAS LTDA</v>
          </cell>
          <cell r="H55">
            <v>45862</v>
          </cell>
          <cell r="I55" t="str">
            <v>RAFAEL</v>
          </cell>
          <cell r="J55">
            <v>1</v>
          </cell>
          <cell r="K55">
            <v>71.043000000000006</v>
          </cell>
          <cell r="L55">
            <v>142.09</v>
          </cell>
          <cell r="M55" t="str">
            <v>APROVADO</v>
          </cell>
          <cell r="N55" t="str">
            <v>10</v>
          </cell>
          <cell r="O55">
            <v>45931</v>
          </cell>
          <cell r="P55" t="str">
            <v>OUTUBRO</v>
          </cell>
        </row>
        <row r="56">
          <cell r="B56" t="str">
            <v>048014024533.03.11433.00</v>
          </cell>
          <cell r="C56" t="str">
            <v>048014</v>
          </cell>
          <cell r="D56" t="str">
            <v>0245</v>
          </cell>
          <cell r="E56" t="str">
            <v>33.03.11433.00</v>
          </cell>
          <cell r="F56" t="str">
            <v>SUPORTE DOS LED´S - B / 33.03.11433.00</v>
          </cell>
          <cell r="G56" t="str">
            <v>VMI TECNOLOGIAS LTDA</v>
          </cell>
          <cell r="H56">
            <v>45862</v>
          </cell>
          <cell r="I56" t="str">
            <v>RAFAEL</v>
          </cell>
          <cell r="J56">
            <v>12</v>
          </cell>
          <cell r="K56">
            <v>3.5</v>
          </cell>
          <cell r="L56">
            <v>42</v>
          </cell>
          <cell r="M56" t="str">
            <v>APROVADO</v>
          </cell>
          <cell r="N56" t="str">
            <v>10</v>
          </cell>
          <cell r="O56">
            <v>45931</v>
          </cell>
          <cell r="P56" t="str">
            <v>OUTUBRO</v>
          </cell>
        </row>
        <row r="57">
          <cell r="B57" t="str">
            <v>048014026333.03.11479.00</v>
          </cell>
          <cell r="C57" t="str">
            <v>048014</v>
          </cell>
          <cell r="D57" t="str">
            <v>0263</v>
          </cell>
          <cell r="E57" t="str">
            <v>33.03.11479.00</v>
          </cell>
          <cell r="F57" t="str">
            <v>TAMPA DA ESTEIRA - D - 33.03.11479.00</v>
          </cell>
          <cell r="G57" t="str">
            <v>VMI TECNOLOGIAS LTDA</v>
          </cell>
          <cell r="H57">
            <v>45862</v>
          </cell>
          <cell r="I57" t="str">
            <v>RAFAEL</v>
          </cell>
          <cell r="J57">
            <v>1</v>
          </cell>
          <cell r="K57">
            <v>53.745719999999999</v>
          </cell>
          <cell r="L57">
            <v>806.19</v>
          </cell>
          <cell r="M57" t="str">
            <v>APROVADO</v>
          </cell>
          <cell r="N57" t="str">
            <v>10</v>
          </cell>
          <cell r="O57">
            <v>45931</v>
          </cell>
          <cell r="P57" t="str">
            <v>OUTUBRO</v>
          </cell>
        </row>
        <row r="58">
          <cell r="B58" t="str">
            <v>048014027933.04.10001.00</v>
          </cell>
          <cell r="C58" t="str">
            <v>048014</v>
          </cell>
          <cell r="D58" t="str">
            <v>0279</v>
          </cell>
          <cell r="E58" t="str">
            <v>33.04.10001.00</v>
          </cell>
          <cell r="F58" t="str">
            <v>SUPORTE DA INTERLOCK / 33.04.10001.00</v>
          </cell>
          <cell r="G58" t="str">
            <v>VMI TECNOLOGIAS LTDA</v>
          </cell>
          <cell r="H58">
            <v>45862</v>
          </cell>
          <cell r="I58" t="str">
            <v>RAFAEL</v>
          </cell>
          <cell r="J58">
            <v>2</v>
          </cell>
          <cell r="K58">
            <v>5.2</v>
          </cell>
          <cell r="L58">
            <v>10.4</v>
          </cell>
          <cell r="M58" t="str">
            <v>APROVADO</v>
          </cell>
          <cell r="N58" t="str">
            <v>10</v>
          </cell>
          <cell r="O58">
            <v>45931</v>
          </cell>
          <cell r="P58" t="str">
            <v>OUTUBRO</v>
          </cell>
        </row>
        <row r="59">
          <cell r="B59" t="str">
            <v>048014028033.04.10001.00</v>
          </cell>
          <cell r="C59" t="str">
            <v>048014</v>
          </cell>
          <cell r="D59" t="str">
            <v>0280</v>
          </cell>
          <cell r="E59" t="str">
            <v>33.04.10001.00</v>
          </cell>
          <cell r="F59" t="str">
            <v>SUPORTE DA INTERLOCK / 33.04.10001.00</v>
          </cell>
          <cell r="G59" t="str">
            <v>VMI TECNOLOGIAS LTDA</v>
          </cell>
          <cell r="H59">
            <v>45862</v>
          </cell>
          <cell r="I59" t="str">
            <v>RAFAEL</v>
          </cell>
          <cell r="J59">
            <v>2</v>
          </cell>
          <cell r="K59">
            <v>5.2</v>
          </cell>
          <cell r="L59">
            <v>124.8</v>
          </cell>
          <cell r="M59" t="str">
            <v>APROVADO</v>
          </cell>
          <cell r="N59" t="str">
            <v>10</v>
          </cell>
          <cell r="O59">
            <v>45931</v>
          </cell>
          <cell r="P59" t="str">
            <v>OUTUBRO</v>
          </cell>
        </row>
        <row r="60">
          <cell r="B60" t="str">
            <v>048014040133.08.10217.01</v>
          </cell>
          <cell r="C60" t="str">
            <v>048014</v>
          </cell>
          <cell r="D60" t="str">
            <v>0401</v>
          </cell>
          <cell r="E60" t="str">
            <v>33.08.10217.01</v>
          </cell>
          <cell r="F60" t="str">
            <v>CHAPA MONTAGEM SUPORTE PLACA / 33.08.10217.01</v>
          </cell>
          <cell r="G60" t="str">
            <v>VMI TECNOLOGIAS LTDA</v>
          </cell>
          <cell r="H60">
            <v>45862</v>
          </cell>
          <cell r="I60" t="str">
            <v>RAFAEL</v>
          </cell>
          <cell r="J60">
            <v>19</v>
          </cell>
          <cell r="K60">
            <v>8.5554810000000003</v>
          </cell>
          <cell r="L60">
            <v>1163.55</v>
          </cell>
          <cell r="M60" t="str">
            <v>APROVADO</v>
          </cell>
          <cell r="N60" t="str">
            <v>10</v>
          </cell>
          <cell r="O60">
            <v>45931</v>
          </cell>
          <cell r="P60" t="str">
            <v>OUTUBRO</v>
          </cell>
        </row>
        <row r="61">
          <cell r="B61" t="str">
            <v>048014041033.08.10290.01</v>
          </cell>
          <cell r="C61" t="str">
            <v>048014</v>
          </cell>
          <cell r="D61" t="str">
            <v>0410</v>
          </cell>
          <cell r="E61" t="str">
            <v>33.08.10290.01</v>
          </cell>
          <cell r="F61" t="str">
            <v>CHAPA DE TRAVA DA CORTINA / 33.08.10290.01</v>
          </cell>
          <cell r="G61" t="str">
            <v>VMI TECNOLOGIAS LTDA</v>
          </cell>
          <cell r="H61">
            <v>45862</v>
          </cell>
          <cell r="I61" t="str">
            <v>RAFAEL</v>
          </cell>
          <cell r="J61">
            <v>3</v>
          </cell>
          <cell r="K61">
            <v>60</v>
          </cell>
          <cell r="L61">
            <v>240</v>
          </cell>
          <cell r="M61" t="str">
            <v>APROVADO</v>
          </cell>
          <cell r="N61" t="str">
            <v>10</v>
          </cell>
          <cell r="O61">
            <v>45931</v>
          </cell>
          <cell r="P61" t="str">
            <v>OUTUBRO</v>
          </cell>
        </row>
        <row r="62">
          <cell r="B62" t="str">
            <v>048014042833.20.10123.01</v>
          </cell>
          <cell r="C62" t="str">
            <v>048014</v>
          </cell>
          <cell r="D62" t="str">
            <v>0428</v>
          </cell>
          <cell r="E62" t="str">
            <v>33.20.10123.01</v>
          </cell>
          <cell r="F62" t="str">
            <v>SUPORTE 2 COLIMADOR SV / 33.20.10123.01</v>
          </cell>
          <cell r="G62" t="str">
            <v>VMI TECNOLOGIAS LTDA</v>
          </cell>
          <cell r="H62">
            <v>45862</v>
          </cell>
          <cell r="I62" t="str">
            <v>RAFAEL</v>
          </cell>
          <cell r="J62">
            <v>2</v>
          </cell>
          <cell r="K62">
            <v>49</v>
          </cell>
          <cell r="L62">
            <v>98</v>
          </cell>
          <cell r="M62" t="str">
            <v>APROVADO</v>
          </cell>
          <cell r="N62" t="str">
            <v>10</v>
          </cell>
          <cell r="O62">
            <v>45931</v>
          </cell>
          <cell r="P62" t="str">
            <v>OUTUBRO</v>
          </cell>
        </row>
        <row r="63">
          <cell r="B63" t="str">
            <v>048014043133.20.10126.01</v>
          </cell>
          <cell r="C63" t="str">
            <v>048014</v>
          </cell>
          <cell r="D63" t="str">
            <v>0431</v>
          </cell>
          <cell r="E63" t="str">
            <v>33.20.10126.01</v>
          </cell>
          <cell r="F63" t="str">
            <v>CHAPA MANIPULO COLIMADOR DV / 33.20.10126.01</v>
          </cell>
          <cell r="G63" t="str">
            <v>VMI TECNOLOGIAS LTDA</v>
          </cell>
          <cell r="H63">
            <v>45862</v>
          </cell>
          <cell r="I63" t="str">
            <v>RAFAEL</v>
          </cell>
          <cell r="J63">
            <v>7</v>
          </cell>
          <cell r="K63">
            <v>12.327</v>
          </cell>
          <cell r="L63">
            <v>86.29</v>
          </cell>
          <cell r="M63" t="str">
            <v>APROVADO</v>
          </cell>
          <cell r="N63" t="str">
            <v>10</v>
          </cell>
          <cell r="O63">
            <v>45931</v>
          </cell>
          <cell r="P63" t="str">
            <v>OUTUBRO</v>
          </cell>
        </row>
        <row r="64">
          <cell r="B64" t="str">
            <v>048014043833.20.10148.02</v>
          </cell>
          <cell r="C64" t="str">
            <v>048014</v>
          </cell>
          <cell r="D64" t="str">
            <v>0438</v>
          </cell>
          <cell r="E64" t="str">
            <v>33.20.10148.02</v>
          </cell>
          <cell r="F64" t="str">
            <v>SUPORTE GERADOR SV / 33.20.10148.02</v>
          </cell>
          <cell r="G64" t="str">
            <v>VMI TECNOLOGIAS LTDA</v>
          </cell>
          <cell r="H64">
            <v>45862</v>
          </cell>
          <cell r="I64" t="str">
            <v>RAFAEL</v>
          </cell>
          <cell r="J64">
            <v>2</v>
          </cell>
          <cell r="K64">
            <v>273.75</v>
          </cell>
          <cell r="L64">
            <v>547.5</v>
          </cell>
          <cell r="M64" t="str">
            <v>APROVADO</v>
          </cell>
          <cell r="N64" t="str">
            <v>10</v>
          </cell>
          <cell r="O64">
            <v>45931</v>
          </cell>
          <cell r="P64" t="str">
            <v>OUTUBRO</v>
          </cell>
        </row>
        <row r="65">
          <cell r="B65" t="str">
            <v>048014044933.20.10225.01</v>
          </cell>
          <cell r="C65" t="str">
            <v>048014</v>
          </cell>
          <cell r="D65" t="str">
            <v>0449</v>
          </cell>
          <cell r="E65" t="str">
            <v>33.20.10225.01</v>
          </cell>
          <cell r="F65" t="str">
            <v>SUPORTE TAMPA / 33.20.10225.01</v>
          </cell>
          <cell r="G65" t="str">
            <v>VMI TECNOLOGIAS LTDA</v>
          </cell>
          <cell r="H65">
            <v>45862</v>
          </cell>
          <cell r="I65" t="str">
            <v>RAFAEL</v>
          </cell>
          <cell r="J65">
            <v>10</v>
          </cell>
          <cell r="K65">
            <v>15.8</v>
          </cell>
          <cell r="L65">
            <v>189.6</v>
          </cell>
          <cell r="M65" t="str">
            <v>APROVADO</v>
          </cell>
          <cell r="N65" t="str">
            <v>10</v>
          </cell>
          <cell r="O65">
            <v>45931</v>
          </cell>
          <cell r="P65" t="str">
            <v>OUTUBRO</v>
          </cell>
        </row>
        <row r="66">
          <cell r="B66" t="str">
            <v>048014047833.23.10032.01</v>
          </cell>
          <cell r="C66" t="str">
            <v>048014</v>
          </cell>
          <cell r="D66" t="str">
            <v>0478</v>
          </cell>
          <cell r="E66" t="str">
            <v>33.23.10032.01</v>
          </cell>
          <cell r="F66" t="str">
            <v>ARRUELA DA BUCHA DE REGULAGEM / 33.23.10032.01</v>
          </cell>
          <cell r="G66" t="str">
            <v>VMI TECNOLOGIAS LTDA</v>
          </cell>
          <cell r="H66">
            <v>45862</v>
          </cell>
          <cell r="I66" t="str">
            <v>RAFAEL</v>
          </cell>
          <cell r="J66">
            <v>55</v>
          </cell>
          <cell r="K66">
            <v>1.2</v>
          </cell>
          <cell r="L66">
            <v>66</v>
          </cell>
          <cell r="M66" t="str">
            <v>APROVADO</v>
          </cell>
          <cell r="N66" t="str">
            <v>10</v>
          </cell>
          <cell r="O66">
            <v>45931</v>
          </cell>
          <cell r="P66" t="str">
            <v>OUTUBRO</v>
          </cell>
        </row>
        <row r="67">
          <cell r="B67" t="str">
            <v>048014049333.23.10138.03</v>
          </cell>
          <cell r="C67" t="str">
            <v>048014</v>
          </cell>
          <cell r="D67" t="str">
            <v>0493</v>
          </cell>
          <cell r="E67" t="str">
            <v>33.23.10138.03</v>
          </cell>
          <cell r="F67" t="str">
            <v>FIXACAO CORTINA / 33.23.10138.03</v>
          </cell>
          <cell r="G67" t="str">
            <v>VMI TECNOLOGIAS LTDA</v>
          </cell>
          <cell r="H67">
            <v>45862</v>
          </cell>
          <cell r="I67" t="str">
            <v>RAFAEL</v>
          </cell>
          <cell r="J67">
            <v>1</v>
          </cell>
          <cell r="K67">
            <v>4.1500000000000004</v>
          </cell>
          <cell r="L67">
            <v>535.35</v>
          </cell>
          <cell r="M67" t="str">
            <v>APROVADO</v>
          </cell>
          <cell r="N67" t="str">
            <v>10</v>
          </cell>
          <cell r="O67">
            <v>45931</v>
          </cell>
          <cell r="P67" t="str">
            <v>OUTUBRO</v>
          </cell>
        </row>
        <row r="68">
          <cell r="B68" t="str">
            <v>048014049833.23.10143.01</v>
          </cell>
          <cell r="C68" t="str">
            <v>048014</v>
          </cell>
          <cell r="D68" t="str">
            <v>0498</v>
          </cell>
          <cell r="E68" t="str">
            <v>33.23.10143.01</v>
          </cell>
          <cell r="F68" t="str">
            <v>TRAVA DA ESTEIRA / 33.23.10143.01</v>
          </cell>
          <cell r="G68" t="str">
            <v>VMI TECNOLOGIAS LTDA</v>
          </cell>
          <cell r="H68">
            <v>45862</v>
          </cell>
          <cell r="I68" t="str">
            <v>RAFAEL</v>
          </cell>
          <cell r="J68">
            <v>16</v>
          </cell>
          <cell r="K68">
            <v>5.55</v>
          </cell>
          <cell r="L68">
            <v>910.2</v>
          </cell>
          <cell r="M68" t="str">
            <v>APROVADO</v>
          </cell>
          <cell r="N68" t="str">
            <v>10</v>
          </cell>
          <cell r="O68">
            <v>45931</v>
          </cell>
          <cell r="P68" t="str">
            <v>OUTUBRO</v>
          </cell>
        </row>
        <row r="69">
          <cell r="B69" t="str">
            <v>048014051433.23.10202.03</v>
          </cell>
          <cell r="C69" t="str">
            <v>048014</v>
          </cell>
          <cell r="D69" t="str">
            <v>0514</v>
          </cell>
          <cell r="E69" t="str">
            <v>33.23.10202.03</v>
          </cell>
          <cell r="F69" t="str">
            <v>SUP. FIXO DO ROLETE ALINHADOR / 33.23.10202.03</v>
          </cell>
          <cell r="G69" t="str">
            <v>VMI TECNOLOGIAS LTDA</v>
          </cell>
          <cell r="H69">
            <v>45862</v>
          </cell>
          <cell r="I69" t="str">
            <v>RAFAEL</v>
          </cell>
          <cell r="J69">
            <v>2</v>
          </cell>
          <cell r="K69">
            <v>22.22</v>
          </cell>
          <cell r="L69">
            <v>44.44</v>
          </cell>
          <cell r="M69" t="str">
            <v>APROVADO</v>
          </cell>
          <cell r="N69" t="str">
            <v>10</v>
          </cell>
          <cell r="O69">
            <v>45931</v>
          </cell>
          <cell r="P69" t="str">
            <v>OUTUBRO</v>
          </cell>
        </row>
        <row r="70">
          <cell r="B70" t="str">
            <v>048014051533.23.10202.03</v>
          </cell>
          <cell r="C70" t="str">
            <v>048014</v>
          </cell>
          <cell r="D70" t="str">
            <v>0515</v>
          </cell>
          <cell r="E70" t="str">
            <v>33.23.10202.03</v>
          </cell>
          <cell r="F70" t="str">
            <v>SUP. FIXO DO ROLETE ALINHADOR / 33.23.10202.03</v>
          </cell>
          <cell r="G70" t="str">
            <v>VMI TECNOLOGIAS LTDA</v>
          </cell>
          <cell r="H70">
            <v>45862</v>
          </cell>
          <cell r="I70" t="str">
            <v>RAFAEL</v>
          </cell>
          <cell r="J70">
            <v>24</v>
          </cell>
          <cell r="K70">
            <v>22.22</v>
          </cell>
          <cell r="L70">
            <v>1710.94</v>
          </cell>
          <cell r="M70" t="str">
            <v>APROVADO</v>
          </cell>
          <cell r="N70" t="str">
            <v>10</v>
          </cell>
          <cell r="O70">
            <v>45931</v>
          </cell>
          <cell r="P70" t="str">
            <v>OUTUBRO</v>
          </cell>
        </row>
        <row r="71">
          <cell r="B71" t="str">
            <v>048014052533.23.10240.00</v>
          </cell>
          <cell r="C71" t="str">
            <v>048014</v>
          </cell>
          <cell r="D71" t="str">
            <v>0525</v>
          </cell>
          <cell r="E71" t="str">
            <v>33.23.10240.00</v>
          </cell>
          <cell r="F71" t="str">
            <v>BLINDAGEM CONTRA RAIO-X DA ESTEIRA / 33.23.10240.00</v>
          </cell>
          <cell r="G71" t="str">
            <v>VMI TECNOLOGIAS LTDA</v>
          </cell>
          <cell r="H71">
            <v>45862</v>
          </cell>
          <cell r="I71" t="str">
            <v>RAFAEL</v>
          </cell>
          <cell r="J71">
            <v>1</v>
          </cell>
          <cell r="K71">
            <v>28.38</v>
          </cell>
          <cell r="L71">
            <v>141.9</v>
          </cell>
          <cell r="M71" t="str">
            <v>APROVADO</v>
          </cell>
          <cell r="N71" t="str">
            <v>10</v>
          </cell>
          <cell r="O71">
            <v>45931</v>
          </cell>
          <cell r="P71" t="str">
            <v>OUTUBRO</v>
          </cell>
        </row>
        <row r="72">
          <cell r="B72" t="str">
            <v>048014054033.23.10334.00</v>
          </cell>
          <cell r="C72" t="str">
            <v>048014</v>
          </cell>
          <cell r="D72" t="str">
            <v>0540</v>
          </cell>
          <cell r="E72" t="str">
            <v>33.23.10334.00</v>
          </cell>
          <cell r="F72" t="str">
            <v>SUPORTE REMOVIVEL DA PLACA DETECTORA / 33.23.10334.00</v>
          </cell>
          <cell r="G72" t="str">
            <v>VMI TECNOLOGIAS LTDA</v>
          </cell>
          <cell r="H72">
            <v>45862</v>
          </cell>
          <cell r="I72" t="str">
            <v>RAFAEL</v>
          </cell>
          <cell r="J72">
            <v>25</v>
          </cell>
          <cell r="K72">
            <v>13.9</v>
          </cell>
          <cell r="L72">
            <v>347.5</v>
          </cell>
          <cell r="M72" t="str">
            <v>APROVADO</v>
          </cell>
          <cell r="N72" t="str">
            <v>10</v>
          </cell>
          <cell r="O72">
            <v>45931</v>
          </cell>
          <cell r="P72" t="str">
            <v>OUTUBRO</v>
          </cell>
        </row>
        <row r="73">
          <cell r="B73" t="str">
            <v>048014054133.23.10334.01</v>
          </cell>
          <cell r="C73" t="str">
            <v>048014</v>
          </cell>
          <cell r="D73" t="str">
            <v>0541</v>
          </cell>
          <cell r="E73" t="str">
            <v>33.23.10334.01</v>
          </cell>
          <cell r="F73" t="str">
            <v>SUPORTE REMOVIVEL DA PLACA DETECTORA / 33.23.10334.01</v>
          </cell>
          <cell r="G73" t="str">
            <v>VMI TECNOLOGIAS LTDA</v>
          </cell>
          <cell r="H73">
            <v>45862</v>
          </cell>
          <cell r="I73" t="str">
            <v>RAFAEL</v>
          </cell>
          <cell r="J73">
            <v>1</v>
          </cell>
          <cell r="K73">
            <v>13.9</v>
          </cell>
          <cell r="L73">
            <v>5129.1000000000004</v>
          </cell>
          <cell r="M73" t="str">
            <v>APROVADO</v>
          </cell>
          <cell r="N73" t="str">
            <v>10</v>
          </cell>
          <cell r="O73">
            <v>45931</v>
          </cell>
          <cell r="P73" t="str">
            <v>OUTUBRO</v>
          </cell>
        </row>
        <row r="74">
          <cell r="B74" t="str">
            <v>048014054433.23.10345.01</v>
          </cell>
          <cell r="C74" t="str">
            <v>048014</v>
          </cell>
          <cell r="D74" t="str">
            <v>0544</v>
          </cell>
          <cell r="E74" t="str">
            <v>33.23.10345.01</v>
          </cell>
          <cell r="F74" t="str">
            <v>TUNEL / 33.23.10345.01</v>
          </cell>
          <cell r="G74" t="str">
            <v>VMI TECNOLOGIAS LTDA</v>
          </cell>
          <cell r="H74">
            <v>45862</v>
          </cell>
          <cell r="I74" t="str">
            <v>RAFAEL</v>
          </cell>
          <cell r="J74">
            <v>1</v>
          </cell>
          <cell r="K74">
            <v>271.63</v>
          </cell>
          <cell r="L74">
            <v>271.63</v>
          </cell>
          <cell r="M74" t="str">
            <v>APROVADO</v>
          </cell>
          <cell r="N74" t="str">
            <v>10</v>
          </cell>
          <cell r="O74">
            <v>45931</v>
          </cell>
          <cell r="P74" t="str">
            <v>OUTUBRO</v>
          </cell>
        </row>
        <row r="75">
          <cell r="B75" t="str">
            <v>048014055233.23.10368.00</v>
          </cell>
          <cell r="C75" t="str">
            <v>048014</v>
          </cell>
          <cell r="D75" t="str">
            <v>0552</v>
          </cell>
          <cell r="E75" t="str">
            <v>33.23.10368.00</v>
          </cell>
          <cell r="F75" t="str">
            <v>SUPORTE DA CONTROLADORA SANDT / 33.23.10368.00</v>
          </cell>
          <cell r="G75" t="str">
            <v>VMI TECNOLOGIAS LTDA</v>
          </cell>
          <cell r="H75">
            <v>45862</v>
          </cell>
          <cell r="I75" t="str">
            <v>RAFAEL</v>
          </cell>
          <cell r="J75">
            <v>1</v>
          </cell>
          <cell r="K75">
            <v>106.5</v>
          </cell>
          <cell r="L75">
            <v>106.5</v>
          </cell>
          <cell r="M75" t="str">
            <v>APROVADO</v>
          </cell>
          <cell r="N75" t="str">
            <v>10</v>
          </cell>
          <cell r="O75">
            <v>45931</v>
          </cell>
          <cell r="P75" t="str">
            <v>OUTUBRO</v>
          </cell>
        </row>
        <row r="76">
          <cell r="B76" t="str">
            <v>048700000201.33.00016</v>
          </cell>
          <cell r="C76" t="str">
            <v>048700</v>
          </cell>
          <cell r="D76" t="str">
            <v>0002</v>
          </cell>
          <cell r="E76" t="str">
            <v>01.33.00016</v>
          </cell>
          <cell r="F76" t="str">
            <v>MONTAGEM APOIO SUPORTE DO GERADOR 02 \ AA_0739_03</v>
          </cell>
          <cell r="G76" t="str">
            <v>VMI TECNOLOGIAS LTDA</v>
          </cell>
          <cell r="H76">
            <v>45896</v>
          </cell>
          <cell r="I76" t="str">
            <v>MARCO</v>
          </cell>
          <cell r="J76">
            <v>1</v>
          </cell>
          <cell r="K76">
            <v>69.08</v>
          </cell>
          <cell r="L76">
            <v>69.08</v>
          </cell>
          <cell r="M76" t="str">
            <v>BLOQUEADO</v>
          </cell>
          <cell r="N76" t="str">
            <v>10</v>
          </cell>
          <cell r="O76">
            <v>45764</v>
          </cell>
          <cell r="P76" t="str">
            <v>NOVEMBRO E DEZEMBRO</v>
          </cell>
        </row>
        <row r="77">
          <cell r="B77" t="str">
            <v>048700000301.33.00016</v>
          </cell>
          <cell r="C77" t="str">
            <v>048700</v>
          </cell>
          <cell r="D77" t="str">
            <v>0003</v>
          </cell>
          <cell r="E77" t="str">
            <v>01.33.00016</v>
          </cell>
          <cell r="F77" t="str">
            <v>MONTAGEM APOIO SUPORTE DO GERADOR 02 \ AA_0739_03</v>
          </cell>
          <cell r="G77" t="str">
            <v>VMI TECNOLOGIAS LTDA</v>
          </cell>
          <cell r="H77">
            <v>45896</v>
          </cell>
          <cell r="I77" t="str">
            <v>MARCO</v>
          </cell>
          <cell r="J77">
            <v>6</v>
          </cell>
          <cell r="K77">
            <v>69.08</v>
          </cell>
          <cell r="L77">
            <v>621.72</v>
          </cell>
          <cell r="M77" t="str">
            <v>BLOQUEADO</v>
          </cell>
          <cell r="N77" t="str">
            <v>10</v>
          </cell>
          <cell r="O77">
            <v>45964</v>
          </cell>
          <cell r="P77" t="str">
            <v>NOVEMBRO E DEZEMBRO</v>
          </cell>
        </row>
        <row r="78">
          <cell r="B78" t="str">
            <v>048700001313.03.00008</v>
          </cell>
          <cell r="C78" t="str">
            <v>048700</v>
          </cell>
          <cell r="D78" t="str">
            <v>0013</v>
          </cell>
          <cell r="E78" t="str">
            <v>13.03.00008</v>
          </cell>
          <cell r="F78" t="str">
            <v>PECA  APOIO PRIMEIRO ROLETE LIVRE \ AA_0145_03</v>
          </cell>
          <cell r="G78" t="str">
            <v>VMI TECNOLOGIAS LTDA</v>
          </cell>
          <cell r="H78">
            <v>45896</v>
          </cell>
          <cell r="I78" t="str">
            <v>MARCO</v>
          </cell>
          <cell r="J78">
            <v>161</v>
          </cell>
          <cell r="K78">
            <v>11.13</v>
          </cell>
          <cell r="L78">
            <v>7345.8</v>
          </cell>
          <cell r="M78" t="str">
            <v>BLOQUEADO</v>
          </cell>
          <cell r="N78" t="str">
            <v>10</v>
          </cell>
          <cell r="O78">
            <v>45969</v>
          </cell>
          <cell r="P78" t="str">
            <v>NOVEMBRO E DEZEMBRO</v>
          </cell>
        </row>
        <row r="79">
          <cell r="B79" t="str">
            <v>048700002021.23.00887</v>
          </cell>
          <cell r="C79" t="str">
            <v>048700</v>
          </cell>
          <cell r="D79" t="str">
            <v>0020</v>
          </cell>
          <cell r="E79" t="str">
            <v>21.23.00887</v>
          </cell>
          <cell r="F79" t="str">
            <v>APOIO ESTEIRA / AA_5012_03 / 21.23.00887</v>
          </cell>
          <cell r="G79" t="str">
            <v>VMI TECNOLOGIAS LTDA</v>
          </cell>
          <cell r="H79">
            <v>45896</v>
          </cell>
          <cell r="I79" t="str">
            <v>MARCO</v>
          </cell>
          <cell r="J79">
            <v>10</v>
          </cell>
          <cell r="K79">
            <v>170</v>
          </cell>
          <cell r="L79">
            <v>1700</v>
          </cell>
          <cell r="M79" t="str">
            <v>BLOQUEADO</v>
          </cell>
          <cell r="N79" t="str">
            <v>10</v>
          </cell>
          <cell r="O79">
            <v>45962</v>
          </cell>
          <cell r="P79" t="str">
            <v>NOVEMBRO E DEZEMBRO</v>
          </cell>
        </row>
        <row r="80">
          <cell r="B80" t="str">
            <v>048700002221.23.00889</v>
          </cell>
          <cell r="C80" t="str">
            <v>048700</v>
          </cell>
          <cell r="D80" t="str">
            <v>0022</v>
          </cell>
          <cell r="E80" t="str">
            <v>21.23.00889</v>
          </cell>
          <cell r="F80" t="str">
            <v>MONTAGEM APOIO COLIMADOR SECUNDARIO \ AA_5017_00</v>
          </cell>
          <cell r="G80" t="str">
            <v>VMI TECNOLOGIAS LTDA</v>
          </cell>
          <cell r="H80">
            <v>45896</v>
          </cell>
          <cell r="I80" t="str">
            <v>MARCO</v>
          </cell>
          <cell r="J80">
            <v>10</v>
          </cell>
          <cell r="K80">
            <v>25.1</v>
          </cell>
          <cell r="L80">
            <v>251</v>
          </cell>
          <cell r="M80" t="str">
            <v>BLOQUEADO</v>
          </cell>
          <cell r="N80" t="str">
            <v>10</v>
          </cell>
          <cell r="O80">
            <v>45962</v>
          </cell>
          <cell r="P80" t="str">
            <v>NOVEMBRO E DEZEMBRO</v>
          </cell>
        </row>
        <row r="81">
          <cell r="B81" t="str">
            <v>048700004621.23.00969</v>
          </cell>
          <cell r="C81" t="str">
            <v>048700</v>
          </cell>
          <cell r="D81" t="str">
            <v>0046</v>
          </cell>
          <cell r="E81" t="str">
            <v>21.23.00969</v>
          </cell>
          <cell r="F81" t="str">
            <v>TRAVA DA ESTEIRA \ AA_4085_01</v>
          </cell>
          <cell r="G81" t="str">
            <v>VMI TECNOLOGIAS LTDA</v>
          </cell>
          <cell r="H81">
            <v>45896</v>
          </cell>
          <cell r="I81" t="str">
            <v>MARCO</v>
          </cell>
          <cell r="J81">
            <v>11</v>
          </cell>
          <cell r="K81">
            <v>27.310500000000001</v>
          </cell>
          <cell r="L81">
            <v>764.69</v>
          </cell>
          <cell r="M81" t="str">
            <v>BLOQUEADO</v>
          </cell>
          <cell r="N81" t="str">
            <v>10</v>
          </cell>
          <cell r="O81">
            <v>45873</v>
          </cell>
          <cell r="P81" t="str">
            <v>NOVEMBRO E DEZEMBRO</v>
          </cell>
        </row>
        <row r="82">
          <cell r="B82" t="str">
            <v>048700004721.23.00969</v>
          </cell>
          <cell r="C82" t="str">
            <v>048700</v>
          </cell>
          <cell r="D82" t="str">
            <v>0047</v>
          </cell>
          <cell r="E82" t="str">
            <v>21.23.00969</v>
          </cell>
          <cell r="F82" t="str">
            <v>TRAVA DA ESTEIRA \ AA_4085_01</v>
          </cell>
          <cell r="G82" t="str">
            <v>VMI TECNOLOGIAS LTDA</v>
          </cell>
          <cell r="H82">
            <v>45896</v>
          </cell>
          <cell r="I82" t="str">
            <v>MARCO</v>
          </cell>
          <cell r="J82">
            <v>8</v>
          </cell>
          <cell r="K82">
            <v>27.310500000000001</v>
          </cell>
          <cell r="L82">
            <v>245.79</v>
          </cell>
          <cell r="M82" t="str">
            <v>BLOQUEADO</v>
          </cell>
          <cell r="N82" t="str">
            <v>10</v>
          </cell>
          <cell r="O82">
            <v>45971</v>
          </cell>
          <cell r="P82" t="str">
            <v>NOVEMBRO E DEZEMBRO</v>
          </cell>
        </row>
        <row r="83">
          <cell r="B83" t="str">
            <v>048700005221.23.00990</v>
          </cell>
          <cell r="C83" t="str">
            <v>048700</v>
          </cell>
          <cell r="D83" t="str">
            <v>0052</v>
          </cell>
          <cell r="E83" t="str">
            <v>21.23.00990</v>
          </cell>
          <cell r="F83" t="str">
            <v>FILTRO DE ALUMINIO DO COLIMADOR DO TORAX \ AA_4129_00</v>
          </cell>
          <cell r="G83" t="str">
            <v>VMI TECNOLOGIAS LTDA</v>
          </cell>
          <cell r="H83">
            <v>45896</v>
          </cell>
          <cell r="I83" t="str">
            <v>MARCO</v>
          </cell>
          <cell r="J83">
            <v>6</v>
          </cell>
          <cell r="K83">
            <v>9.8000000000000007</v>
          </cell>
          <cell r="L83">
            <v>58.8</v>
          </cell>
          <cell r="M83" t="str">
            <v>BLOQUEADO</v>
          </cell>
          <cell r="N83" t="str">
            <v>10</v>
          </cell>
          <cell r="O83">
            <v>45889</v>
          </cell>
          <cell r="P83" t="str">
            <v>NOVEMBRO E DEZEMBRO</v>
          </cell>
        </row>
        <row r="84">
          <cell r="B84" t="str">
            <v>048700006321.23.01021</v>
          </cell>
          <cell r="C84" t="str">
            <v>048700</v>
          </cell>
          <cell r="D84" t="str">
            <v>0063</v>
          </cell>
          <cell r="E84" t="str">
            <v>21.23.01021</v>
          </cell>
          <cell r="F84" t="str">
            <v>TRAVA INFERIOR DO PINO 02 \ AA_4207_00</v>
          </cell>
          <cell r="G84" t="str">
            <v>VMI TECNOLOGIAS LTDA</v>
          </cell>
          <cell r="H84">
            <v>45896</v>
          </cell>
          <cell r="I84" t="str">
            <v>MARCO</v>
          </cell>
          <cell r="J84">
            <v>36</v>
          </cell>
          <cell r="K84">
            <v>11.96</v>
          </cell>
          <cell r="L84">
            <v>430.56</v>
          </cell>
          <cell r="M84" t="str">
            <v>BLOQUEADO</v>
          </cell>
          <cell r="N84" t="str">
            <v>10</v>
          </cell>
          <cell r="O84">
            <v>45730</v>
          </cell>
          <cell r="P84" t="str">
            <v>NOVEMBRO E DEZEMBRO</v>
          </cell>
        </row>
        <row r="85">
          <cell r="B85" t="str">
            <v>048700006421.23.01021</v>
          </cell>
          <cell r="C85" t="str">
            <v>048700</v>
          </cell>
          <cell r="D85" t="str">
            <v>0064</v>
          </cell>
          <cell r="E85" t="str">
            <v>21.23.01021</v>
          </cell>
          <cell r="F85" t="str">
            <v>TRAVA INFERIOR DO PINO 02 \ AA_4207_00</v>
          </cell>
          <cell r="G85" t="str">
            <v>VMI TECNOLOGIAS LTDA</v>
          </cell>
          <cell r="H85">
            <v>45896</v>
          </cell>
          <cell r="I85" t="str">
            <v>MARCO</v>
          </cell>
          <cell r="J85">
            <v>6</v>
          </cell>
          <cell r="K85">
            <v>11.96</v>
          </cell>
          <cell r="L85">
            <v>71.760000000000005</v>
          </cell>
          <cell r="M85" t="str">
            <v>BLOQUEADO</v>
          </cell>
          <cell r="N85" t="str">
            <v>10</v>
          </cell>
          <cell r="O85">
            <v>45997</v>
          </cell>
          <cell r="P85" t="str">
            <v>NOVEMBRO E DEZEMBRO</v>
          </cell>
        </row>
        <row r="86">
          <cell r="B86" t="str">
            <v>048700007521.23.01117</v>
          </cell>
          <cell r="C86" t="str">
            <v>048700</v>
          </cell>
          <cell r="D86" t="str">
            <v>0075</v>
          </cell>
          <cell r="E86" t="str">
            <v>21.23.01117</v>
          </cell>
          <cell r="F86" t="str">
            <v>CAIXA DO GEL SILICA / AA_5264_01</v>
          </cell>
          <cell r="G86" t="str">
            <v>VMI TECNOLOGIAS LTDA</v>
          </cell>
          <cell r="H86">
            <v>45896</v>
          </cell>
          <cell r="I86" t="str">
            <v>MARCO</v>
          </cell>
          <cell r="J86">
            <v>1</v>
          </cell>
          <cell r="K86">
            <v>29.814240000000002</v>
          </cell>
          <cell r="L86">
            <v>596.28</v>
          </cell>
          <cell r="M86" t="str">
            <v>BLOQUEADO</v>
          </cell>
          <cell r="N86" t="str">
            <v>10</v>
          </cell>
          <cell r="O86">
            <v>45965</v>
          </cell>
          <cell r="P86" t="str">
            <v>NOVEMBRO E DEZEMBRO</v>
          </cell>
        </row>
        <row r="87">
          <cell r="B87" t="str">
            <v>048700007821.23.01287</v>
          </cell>
          <cell r="C87" t="str">
            <v>048700</v>
          </cell>
          <cell r="D87" t="str">
            <v>0078</v>
          </cell>
          <cell r="E87" t="str">
            <v>21.23.01287</v>
          </cell>
          <cell r="F87" t="str">
            <v>PECA DE ICAMENTO DO PESCOCO \ AA_4471_00</v>
          </cell>
          <cell r="G87" t="str">
            <v>VMI TECNOLOGIAS LTDA</v>
          </cell>
          <cell r="H87">
            <v>45896</v>
          </cell>
          <cell r="I87" t="str">
            <v>MARCO</v>
          </cell>
          <cell r="J87">
            <v>20</v>
          </cell>
          <cell r="K87">
            <v>19.87</v>
          </cell>
          <cell r="L87">
            <v>417.27</v>
          </cell>
          <cell r="M87" t="str">
            <v>BLOQUEADO</v>
          </cell>
          <cell r="N87" t="str">
            <v>10</v>
          </cell>
          <cell r="O87">
            <v>45720</v>
          </cell>
          <cell r="P87" t="str">
            <v>NOVEMBRO E DEZEMBRO</v>
          </cell>
        </row>
        <row r="88">
          <cell r="B88" t="str">
            <v>048700008221.23.01290</v>
          </cell>
          <cell r="C88" t="str">
            <v>048700</v>
          </cell>
          <cell r="D88" t="str">
            <v>0082</v>
          </cell>
          <cell r="E88" t="str">
            <v>21.23.01290</v>
          </cell>
          <cell r="F88" t="str">
            <v>SUPORTE DO SINALEIRO \ AA_4477_00</v>
          </cell>
          <cell r="G88" t="str">
            <v>VMI TECNOLOGIAS LTDA</v>
          </cell>
          <cell r="H88">
            <v>45896</v>
          </cell>
          <cell r="I88" t="str">
            <v>MARCO</v>
          </cell>
          <cell r="J88">
            <v>18</v>
          </cell>
          <cell r="K88">
            <v>3.04</v>
          </cell>
          <cell r="L88">
            <v>63.84</v>
          </cell>
          <cell r="M88" t="str">
            <v>BLOQUEADO</v>
          </cell>
          <cell r="N88" t="str">
            <v>10</v>
          </cell>
          <cell r="O88">
            <v>45720</v>
          </cell>
          <cell r="P88" t="str">
            <v>NOVEMBRO E DEZEMBRO</v>
          </cell>
        </row>
        <row r="89">
          <cell r="B89" t="str">
            <v>048700008321.23.01292</v>
          </cell>
          <cell r="C89" t="str">
            <v>048700</v>
          </cell>
          <cell r="D89" t="str">
            <v>0083</v>
          </cell>
          <cell r="E89" t="str">
            <v>21.23.01292</v>
          </cell>
          <cell r="F89" t="str">
            <v>TRAVA SUP. DO PAINEL \ AA_4481_01</v>
          </cell>
          <cell r="G89" t="str">
            <v>VMI TECNOLOGIAS LTDA</v>
          </cell>
          <cell r="H89">
            <v>45896</v>
          </cell>
          <cell r="I89" t="str">
            <v>MARCO</v>
          </cell>
          <cell r="J89">
            <v>21</v>
          </cell>
          <cell r="K89">
            <v>12.42</v>
          </cell>
          <cell r="L89">
            <v>260.82</v>
          </cell>
          <cell r="M89" t="str">
            <v>BLOQUEADO</v>
          </cell>
          <cell r="N89" t="str">
            <v>10</v>
          </cell>
          <cell r="O89">
            <v>45720</v>
          </cell>
          <cell r="P89" t="str">
            <v>NOVEMBRO E DEZEMBRO</v>
          </cell>
        </row>
        <row r="90">
          <cell r="B90" t="str">
            <v>048700009221.23.02248</v>
          </cell>
          <cell r="C90" t="str">
            <v>048700</v>
          </cell>
          <cell r="D90" t="str">
            <v>0092</v>
          </cell>
          <cell r="E90" t="str">
            <v>21.23.02248</v>
          </cell>
          <cell r="F90" t="str">
            <v>SUPORTE VIDRO BODYSCAN \ AA_7251_00</v>
          </cell>
          <cell r="G90" t="str">
            <v>VMI TECNOLOGIAS LTDA</v>
          </cell>
          <cell r="H90">
            <v>45896</v>
          </cell>
          <cell r="I90" t="str">
            <v>MARCO</v>
          </cell>
          <cell r="J90">
            <v>40</v>
          </cell>
          <cell r="K90">
            <v>9.57</v>
          </cell>
          <cell r="L90">
            <v>382.8</v>
          </cell>
          <cell r="M90" t="str">
            <v>BLOQUEADO</v>
          </cell>
          <cell r="N90" t="str">
            <v>10</v>
          </cell>
          <cell r="O90">
            <v>45970</v>
          </cell>
          <cell r="P90" t="str">
            <v>NOVEMBRO E DEZEMBRO</v>
          </cell>
        </row>
        <row r="91">
          <cell r="B91" t="str">
            <v>048700009321.23.02248</v>
          </cell>
          <cell r="C91" t="str">
            <v>048700</v>
          </cell>
          <cell r="D91" t="str">
            <v>0093</v>
          </cell>
          <cell r="E91" t="str">
            <v>21.23.02248</v>
          </cell>
          <cell r="F91" t="str">
            <v>SUPORTE VIDRO BODYSCAN \ AA_7251_00</v>
          </cell>
          <cell r="G91" t="str">
            <v>VMI TECNOLOGIAS LTDA</v>
          </cell>
          <cell r="H91">
            <v>45896</v>
          </cell>
          <cell r="I91" t="str">
            <v>MARCO</v>
          </cell>
          <cell r="J91">
            <v>44</v>
          </cell>
          <cell r="K91">
            <v>9.57</v>
          </cell>
          <cell r="L91">
            <v>421.08</v>
          </cell>
          <cell r="M91" t="str">
            <v>BLOQUEADO</v>
          </cell>
          <cell r="N91" t="str">
            <v>10</v>
          </cell>
          <cell r="O91">
            <v>45889</v>
          </cell>
          <cell r="P91" t="str">
            <v>NOVEMBRO E DEZEMBRO</v>
          </cell>
        </row>
        <row r="92">
          <cell r="B92" t="str">
            <v>048700013821.23.02314</v>
          </cell>
          <cell r="C92" t="str">
            <v>048700</v>
          </cell>
          <cell r="D92" t="str">
            <v>0138</v>
          </cell>
          <cell r="E92" t="str">
            <v>21.23.02314</v>
          </cell>
          <cell r="F92" t="str">
            <v>TRAVA DO ROLAMENTO / AA_6028_01</v>
          </cell>
          <cell r="G92" t="str">
            <v>VMI TECNOLOGIAS LTDA</v>
          </cell>
          <cell r="H92">
            <v>45896</v>
          </cell>
          <cell r="I92" t="str">
            <v>MARCO</v>
          </cell>
          <cell r="J92">
            <v>4</v>
          </cell>
          <cell r="K92">
            <v>38.299999999999997</v>
          </cell>
          <cell r="L92">
            <v>229.8</v>
          </cell>
          <cell r="M92" t="str">
            <v>BLOQUEADO</v>
          </cell>
          <cell r="N92" t="str">
            <v>10</v>
          </cell>
          <cell r="O92">
            <v>45889</v>
          </cell>
          <cell r="P92" t="str">
            <v>NOVEMBRO E DEZEMBRO</v>
          </cell>
        </row>
        <row r="93">
          <cell r="B93" t="str">
            <v>048700014221.23.02318</v>
          </cell>
          <cell r="C93" t="str">
            <v>048700</v>
          </cell>
          <cell r="D93" t="str">
            <v>0142</v>
          </cell>
          <cell r="E93" t="str">
            <v>21.23.02318</v>
          </cell>
          <cell r="F93" t="str">
            <v>TRAVA SUPERIOR DO COLIMADOR \ AA_6034_00</v>
          </cell>
          <cell r="G93" t="str">
            <v>VMI TECNOLOGIAS LTDA</v>
          </cell>
          <cell r="H93">
            <v>45896</v>
          </cell>
          <cell r="I93" t="str">
            <v>MARCO</v>
          </cell>
          <cell r="J93">
            <v>3</v>
          </cell>
          <cell r="K93">
            <v>42.134999999999998</v>
          </cell>
          <cell r="L93">
            <v>252.81</v>
          </cell>
          <cell r="M93" t="str">
            <v>BLOQUEADO</v>
          </cell>
          <cell r="N93" t="str">
            <v>10</v>
          </cell>
          <cell r="O93">
            <v>45873</v>
          </cell>
          <cell r="P93" t="str">
            <v>NOVEMBRO E DEZEMBRO</v>
          </cell>
        </row>
        <row r="94">
          <cell r="B94" t="str">
            <v>048700015821.23.02392</v>
          </cell>
          <cell r="C94" t="str">
            <v>048700</v>
          </cell>
          <cell r="D94" t="str">
            <v>0158</v>
          </cell>
          <cell r="E94" t="str">
            <v>21.23.02392</v>
          </cell>
          <cell r="F94" t="str">
            <v>ACOPLAMENTO DO GEL SILICA \ AA_6297_00</v>
          </cell>
          <cell r="G94" t="str">
            <v>VMI TECNOLOGIAS LTDA</v>
          </cell>
          <cell r="H94">
            <v>45896</v>
          </cell>
          <cell r="I94" t="str">
            <v>MARCO</v>
          </cell>
          <cell r="J94">
            <v>10</v>
          </cell>
          <cell r="K94">
            <v>28.674755000000001</v>
          </cell>
          <cell r="L94">
            <v>286.75</v>
          </cell>
          <cell r="M94" t="str">
            <v>BLOQUEADO</v>
          </cell>
          <cell r="N94" t="str">
            <v>10</v>
          </cell>
          <cell r="O94">
            <v>45965</v>
          </cell>
          <cell r="P94" t="str">
            <v>NOVEMBRO E DEZEMBRO</v>
          </cell>
        </row>
        <row r="95">
          <cell r="B95" t="str">
            <v>048700015921.23.02445</v>
          </cell>
          <cell r="C95" t="str">
            <v>048700</v>
          </cell>
          <cell r="D95" t="str">
            <v>0159</v>
          </cell>
          <cell r="E95" t="str">
            <v>21.23.02445</v>
          </cell>
          <cell r="F95" t="str">
            <v>DISTANCIADOR PARA DOBRADICA \ AA_5561_00</v>
          </cell>
          <cell r="G95" t="str">
            <v>VMI TECNOLOGIAS LTDA</v>
          </cell>
          <cell r="H95">
            <v>45896</v>
          </cell>
          <cell r="I95" t="str">
            <v>MARCO</v>
          </cell>
          <cell r="J95">
            <v>10</v>
          </cell>
          <cell r="K95">
            <v>2.527698</v>
          </cell>
          <cell r="L95">
            <v>50.55</v>
          </cell>
          <cell r="M95" t="str">
            <v>BLOQUEADO</v>
          </cell>
          <cell r="N95" t="str">
            <v>10</v>
          </cell>
          <cell r="O95">
            <v>45961</v>
          </cell>
          <cell r="P95" t="str">
            <v>NOVEMBRO E DEZEMBRO</v>
          </cell>
        </row>
        <row r="96">
          <cell r="B96" t="str">
            <v>048700016321.23.02847</v>
          </cell>
          <cell r="C96" t="str">
            <v>048700</v>
          </cell>
          <cell r="D96" t="str">
            <v>0163</v>
          </cell>
          <cell r="E96" t="str">
            <v>21.23.02847</v>
          </cell>
          <cell r="F96" t="str">
            <v>SUPORTE MICRORRUPTOR \ AA_6299_00</v>
          </cell>
          <cell r="G96" t="str">
            <v>VMI TECNOLOGIAS LTDA</v>
          </cell>
          <cell r="H96">
            <v>45896</v>
          </cell>
          <cell r="I96" t="str">
            <v>MARCO</v>
          </cell>
          <cell r="J96">
            <v>4</v>
          </cell>
          <cell r="K96">
            <v>2.7180390000000001</v>
          </cell>
          <cell r="L96">
            <v>19.03</v>
          </cell>
          <cell r="M96" t="str">
            <v>BLOQUEADO</v>
          </cell>
          <cell r="N96" t="str">
            <v>10</v>
          </cell>
          <cell r="O96">
            <v>45964</v>
          </cell>
          <cell r="P96" t="str">
            <v>NOVEMBRO E DEZEMBRO</v>
          </cell>
        </row>
        <row r="97">
          <cell r="B97" t="str">
            <v>048700017321.23.03234</v>
          </cell>
          <cell r="C97" t="str">
            <v>048700</v>
          </cell>
          <cell r="D97" t="str">
            <v>0173</v>
          </cell>
          <cell r="E97" t="str">
            <v>21.23.03234</v>
          </cell>
          <cell r="F97" t="str">
            <v>CHAPA PARA CHUMBO DA ESTEIRA \ 03_0118_02</v>
          </cell>
          <cell r="G97" t="str">
            <v>VMI TECNOLOGIAS LTDA</v>
          </cell>
          <cell r="H97">
            <v>45896</v>
          </cell>
          <cell r="I97" t="str">
            <v>MARCO</v>
          </cell>
          <cell r="J97">
            <v>1</v>
          </cell>
          <cell r="K97">
            <v>117.789</v>
          </cell>
          <cell r="L97">
            <v>1531.26</v>
          </cell>
          <cell r="M97" t="str">
            <v>BLOQUEADO</v>
          </cell>
          <cell r="N97" t="str">
            <v>10</v>
          </cell>
          <cell r="O97">
            <v>45836</v>
          </cell>
          <cell r="P97" t="str">
            <v>NOVEMBRO E DEZEMBRO</v>
          </cell>
        </row>
        <row r="98">
          <cell r="B98" t="str">
            <v>048700017421.23.03234</v>
          </cell>
          <cell r="C98" t="str">
            <v>048700</v>
          </cell>
          <cell r="D98" t="str">
            <v>0174</v>
          </cell>
          <cell r="E98" t="str">
            <v>21.23.03234</v>
          </cell>
          <cell r="F98" t="str">
            <v>CHAPA PARA CHUMBO DA ESTEIRA \ 03_0118_02</v>
          </cell>
          <cell r="G98" t="str">
            <v>VMI TECNOLOGIAS LTDA</v>
          </cell>
          <cell r="H98">
            <v>45896</v>
          </cell>
          <cell r="I98" t="str">
            <v>MARCO</v>
          </cell>
          <cell r="J98">
            <v>1</v>
          </cell>
          <cell r="K98">
            <v>117.789</v>
          </cell>
          <cell r="L98">
            <v>1295.68</v>
          </cell>
          <cell r="M98" t="str">
            <v>BLOQUEADO</v>
          </cell>
          <cell r="N98" t="str">
            <v>10</v>
          </cell>
          <cell r="O98">
            <v>45989</v>
          </cell>
          <cell r="P98" t="str">
            <v>NOVEMBRO E DEZEMBRO</v>
          </cell>
        </row>
        <row r="99">
          <cell r="B99" t="str">
            <v>048700019421.23.03294</v>
          </cell>
          <cell r="C99" t="str">
            <v>048700</v>
          </cell>
          <cell r="D99" t="str">
            <v>0194</v>
          </cell>
          <cell r="E99" t="str">
            <v>21.23.03294</v>
          </cell>
          <cell r="F99" t="str">
            <v>BATENTE DA ESTEIRA \ 03_0212_00</v>
          </cell>
          <cell r="G99" t="str">
            <v>VMI TECNOLOGIAS LTDA</v>
          </cell>
          <cell r="H99">
            <v>45896</v>
          </cell>
          <cell r="I99" t="str">
            <v>MARCO</v>
          </cell>
          <cell r="J99">
            <v>4</v>
          </cell>
          <cell r="K99">
            <v>4.7961549999999997</v>
          </cell>
          <cell r="L99">
            <v>47.96</v>
          </cell>
          <cell r="M99" t="str">
            <v>BLOQUEADO</v>
          </cell>
          <cell r="N99" t="str">
            <v>10</v>
          </cell>
          <cell r="O99">
            <v>45840</v>
          </cell>
          <cell r="P99" t="str">
            <v>NOVEMBRO E DEZEMBRO</v>
          </cell>
        </row>
        <row r="100">
          <cell r="B100" t="str">
            <v>048700019821.23.03315</v>
          </cell>
          <cell r="C100" t="str">
            <v>048700</v>
          </cell>
          <cell r="D100" t="str">
            <v>0198</v>
          </cell>
          <cell r="E100" t="str">
            <v>21.23.03315</v>
          </cell>
          <cell r="F100" t="str">
            <v>SUPORTE DO ACABAMENTO DA ESTEIRA \ 03_0234_00</v>
          </cell>
          <cell r="G100" t="str">
            <v>VMI TECNOLOGIAS LTDA</v>
          </cell>
          <cell r="H100">
            <v>45896</v>
          </cell>
          <cell r="I100" t="str">
            <v>MARCO</v>
          </cell>
          <cell r="J100">
            <v>10</v>
          </cell>
          <cell r="K100">
            <v>10.345565000000001</v>
          </cell>
          <cell r="L100">
            <v>103.46</v>
          </cell>
          <cell r="M100" t="str">
            <v>BLOQUEADO</v>
          </cell>
          <cell r="N100" t="str">
            <v>10</v>
          </cell>
          <cell r="O100">
            <v>45840</v>
          </cell>
          <cell r="P100" t="str">
            <v>NOVEMBRO E DEZEMBRO</v>
          </cell>
        </row>
        <row r="101">
          <cell r="B101" t="str">
            <v>048700023421.23.04494</v>
          </cell>
          <cell r="C101" t="str">
            <v>048700</v>
          </cell>
          <cell r="D101" t="str">
            <v>0234</v>
          </cell>
          <cell r="E101" t="str">
            <v>21.23.04494</v>
          </cell>
          <cell r="F101" t="str">
            <v>CENTRO DO OBTURADOR / AA_10047_01</v>
          </cell>
          <cell r="G101" t="str">
            <v>VMI TECNOLOGIAS LTDA</v>
          </cell>
          <cell r="H101">
            <v>45896</v>
          </cell>
          <cell r="I101" t="str">
            <v>MARCO</v>
          </cell>
          <cell r="J101">
            <v>1</v>
          </cell>
          <cell r="K101">
            <v>89.15</v>
          </cell>
          <cell r="L101">
            <v>2050.4499999999998</v>
          </cell>
          <cell r="M101" t="str">
            <v>BLOQUEADO</v>
          </cell>
          <cell r="N101" t="str">
            <v>10</v>
          </cell>
          <cell r="O101">
            <v>45889</v>
          </cell>
          <cell r="P101" t="str">
            <v>NOVEMBRO E DEZEMBRO</v>
          </cell>
        </row>
        <row r="102">
          <cell r="B102" t="str">
            <v>048700025821.23.04819</v>
          </cell>
          <cell r="C102" t="str">
            <v>048700</v>
          </cell>
          <cell r="D102" t="str">
            <v>0258</v>
          </cell>
          <cell r="E102" t="str">
            <v>21.23.04819</v>
          </cell>
          <cell r="F102" t="str">
            <v>ESPELHO DA CORTINA/AA_8625_01</v>
          </cell>
          <cell r="G102" t="str">
            <v>VMI TECNOLOGIAS LTDA</v>
          </cell>
          <cell r="H102">
            <v>45896</v>
          </cell>
          <cell r="I102" t="str">
            <v>MARCO</v>
          </cell>
          <cell r="J102">
            <v>2</v>
          </cell>
          <cell r="K102">
            <v>44.488315999999998</v>
          </cell>
          <cell r="L102">
            <v>889.77</v>
          </cell>
          <cell r="M102" t="str">
            <v>BLOQUEADO</v>
          </cell>
          <cell r="N102" t="str">
            <v>10</v>
          </cell>
          <cell r="O102">
            <v>45963</v>
          </cell>
          <cell r="P102" t="str">
            <v>NOVEMBRO E DEZEMBRO</v>
          </cell>
        </row>
        <row r="103">
          <cell r="B103" t="str">
            <v>048700026233.02.10006.02</v>
          </cell>
          <cell r="C103" t="str">
            <v>048700</v>
          </cell>
          <cell r="D103" t="str">
            <v>0262</v>
          </cell>
          <cell r="E103" t="str">
            <v>33.02.10006.02</v>
          </cell>
          <cell r="F103" t="str">
            <v>CHAPA TAMPA VERTICAL CAIXA L 5333 / 33.02.10006.02</v>
          </cell>
          <cell r="G103" t="str">
            <v>VMI TECNOLOGIAS LTDA</v>
          </cell>
          <cell r="H103">
            <v>45896</v>
          </cell>
          <cell r="I103" t="str">
            <v>MARCO</v>
          </cell>
          <cell r="J103">
            <v>6</v>
          </cell>
          <cell r="K103">
            <v>37.14</v>
          </cell>
          <cell r="L103">
            <v>371.4</v>
          </cell>
          <cell r="M103" t="str">
            <v>BLOQUEADO</v>
          </cell>
          <cell r="N103" t="str">
            <v>10</v>
          </cell>
          <cell r="O103">
            <v>45934</v>
          </cell>
          <cell r="P103" t="str">
            <v>NOVEMBRO E DEZEMBRO</v>
          </cell>
        </row>
        <row r="104">
          <cell r="B104" t="str">
            <v>048700026633.02.10028.00</v>
          </cell>
          <cell r="C104" t="str">
            <v>048700</v>
          </cell>
          <cell r="D104" t="str">
            <v>0266</v>
          </cell>
          <cell r="E104" t="str">
            <v>33.02.10028.00</v>
          </cell>
          <cell r="F104" t="str">
            <v>SUPORTE DO ACABAMENTO LADO MOTOPOLIA ESQUERDO / 33.02.10028.00</v>
          </cell>
          <cell r="G104" t="str">
            <v>VMI TECNOLOGIAS LTDA</v>
          </cell>
          <cell r="H104">
            <v>45896</v>
          </cell>
          <cell r="I104" t="str">
            <v>MARCO</v>
          </cell>
          <cell r="J104">
            <v>9</v>
          </cell>
          <cell r="K104">
            <v>17.986499999999999</v>
          </cell>
          <cell r="L104">
            <v>179.87</v>
          </cell>
          <cell r="M104" t="str">
            <v>BLOQUEADO</v>
          </cell>
          <cell r="N104" t="str">
            <v>10</v>
          </cell>
          <cell r="O104">
            <v>45963</v>
          </cell>
          <cell r="P104" t="str">
            <v>NOVEMBRO E DEZEMBRO</v>
          </cell>
        </row>
        <row r="105">
          <cell r="B105" t="str">
            <v>048700037033.03.11184.01</v>
          </cell>
          <cell r="C105" t="str">
            <v>048700</v>
          </cell>
          <cell r="D105" t="str">
            <v>0370</v>
          </cell>
          <cell r="E105" t="str">
            <v>33.03.11184.01</v>
          </cell>
          <cell r="F105" t="str">
            <v>SUPORTE FONTE WEG / 33.03.11184.01</v>
          </cell>
          <cell r="G105" t="str">
            <v>VMI TECNOLOGIAS LTDA</v>
          </cell>
          <cell r="H105">
            <v>45896</v>
          </cell>
          <cell r="I105" t="str">
            <v>MARCO</v>
          </cell>
          <cell r="J105">
            <v>50</v>
          </cell>
          <cell r="K105">
            <v>26.6</v>
          </cell>
          <cell r="L105">
            <v>1489.6</v>
          </cell>
          <cell r="M105" t="str">
            <v>BLOQUEADO</v>
          </cell>
          <cell r="N105" t="str">
            <v>10</v>
          </cell>
          <cell r="O105">
            <v>45888</v>
          </cell>
          <cell r="P105" t="str">
            <v>NOVEMBRO E DEZEMBRO</v>
          </cell>
        </row>
        <row r="106">
          <cell r="B106" t="str">
            <v>048700040933.03.11427.00</v>
          </cell>
          <cell r="C106" t="str">
            <v>048700</v>
          </cell>
          <cell r="D106" t="str">
            <v>0409</v>
          </cell>
          <cell r="E106" t="str">
            <v>33.03.11427.00</v>
          </cell>
          <cell r="F106" t="str">
            <v>SUPORTE DE REGULAGEM DO PAINEL / 33.03.11427.00</v>
          </cell>
          <cell r="G106" t="str">
            <v>VMI TECNOLOGIAS LTDA</v>
          </cell>
          <cell r="H106">
            <v>45896</v>
          </cell>
          <cell r="I106" t="str">
            <v>MARCO</v>
          </cell>
          <cell r="J106">
            <v>1</v>
          </cell>
          <cell r="K106">
            <v>7.69</v>
          </cell>
          <cell r="L106">
            <v>38.450000000000003</v>
          </cell>
          <cell r="M106" t="str">
            <v>BLOQUEADO</v>
          </cell>
          <cell r="N106" t="str">
            <v>10</v>
          </cell>
          <cell r="O106">
            <v>45968</v>
          </cell>
          <cell r="P106" t="str">
            <v>NOVEMBRO E DEZEMBRO</v>
          </cell>
        </row>
        <row r="107">
          <cell r="B107" t="str">
            <v>048700042033.03.11461.00</v>
          </cell>
          <cell r="C107" t="str">
            <v>048700</v>
          </cell>
          <cell r="D107" t="str">
            <v>0420</v>
          </cell>
          <cell r="E107" t="str">
            <v>33.03.11461.00</v>
          </cell>
          <cell r="F107" t="str">
            <v>APOIO PARA TAMPA / 33.03.11461.00</v>
          </cell>
          <cell r="G107" t="str">
            <v>VMI TECNOLOGIAS LTDA</v>
          </cell>
          <cell r="H107">
            <v>45896</v>
          </cell>
          <cell r="I107" t="str">
            <v>MARCO</v>
          </cell>
          <cell r="J107">
            <v>6</v>
          </cell>
          <cell r="K107">
            <v>8.59</v>
          </cell>
          <cell r="L107">
            <v>137.44</v>
          </cell>
          <cell r="M107" t="str">
            <v>BLOQUEADO</v>
          </cell>
          <cell r="N107" t="str">
            <v>10</v>
          </cell>
          <cell r="O107">
            <v>45673</v>
          </cell>
          <cell r="P107" t="str">
            <v>NOVEMBRO E DEZEMBRO</v>
          </cell>
        </row>
        <row r="108">
          <cell r="B108" t="str">
            <v>048700051533.08.10017.00</v>
          </cell>
          <cell r="C108" t="str">
            <v>048700</v>
          </cell>
          <cell r="D108" t="str">
            <v>0515</v>
          </cell>
          <cell r="E108" t="str">
            <v>33.08.10017.00</v>
          </cell>
          <cell r="F108" t="str">
            <v>CHAPA APOIO ELETRICA / 33.08.10017.00</v>
          </cell>
          <cell r="G108" t="str">
            <v>VMI TECNOLOGIAS LTDA</v>
          </cell>
          <cell r="H108">
            <v>45896</v>
          </cell>
          <cell r="I108" t="str">
            <v>MARCO</v>
          </cell>
          <cell r="J108">
            <v>4</v>
          </cell>
          <cell r="K108">
            <v>153.18450000000001</v>
          </cell>
          <cell r="L108">
            <v>612.74</v>
          </cell>
          <cell r="M108" t="str">
            <v>BLOQUEADO</v>
          </cell>
          <cell r="N108" t="str">
            <v>10</v>
          </cell>
          <cell r="O108">
            <v>45966</v>
          </cell>
          <cell r="P108" t="str">
            <v>NOVEMBRO E DEZEMBRO</v>
          </cell>
        </row>
        <row r="109">
          <cell r="B109" t="str">
            <v>048700053133.08.10050.00</v>
          </cell>
          <cell r="C109" t="str">
            <v>048700</v>
          </cell>
          <cell r="D109" t="str">
            <v>0531</v>
          </cell>
          <cell r="E109" t="str">
            <v>33.08.10050.00</v>
          </cell>
          <cell r="F109" t="str">
            <v>PERFIL / 33.08.10050.00</v>
          </cell>
          <cell r="G109" t="str">
            <v>VMI TECNOLOGIAS LTDA</v>
          </cell>
          <cell r="H109">
            <v>45896</v>
          </cell>
          <cell r="I109" t="str">
            <v>MARCO</v>
          </cell>
          <cell r="J109">
            <v>4</v>
          </cell>
          <cell r="K109">
            <v>190.7955</v>
          </cell>
          <cell r="L109">
            <v>763.18</v>
          </cell>
          <cell r="M109" t="str">
            <v>BLOQUEADO</v>
          </cell>
          <cell r="N109" t="str">
            <v>10</v>
          </cell>
          <cell r="O109">
            <v>45966</v>
          </cell>
          <cell r="P109" t="str">
            <v>NOVEMBRO E DEZEMBRO</v>
          </cell>
        </row>
        <row r="110">
          <cell r="B110" t="str">
            <v>048700053433.08.10057.00</v>
          </cell>
          <cell r="C110" t="str">
            <v>048700</v>
          </cell>
          <cell r="D110" t="str">
            <v>0534</v>
          </cell>
          <cell r="E110" t="str">
            <v>33.08.10057.00</v>
          </cell>
          <cell r="F110" t="str">
            <v>PERFIL TRAVAMENTO / 33.08.10057.00</v>
          </cell>
          <cell r="G110" t="str">
            <v>VMI TECNOLOGIAS LTDA</v>
          </cell>
          <cell r="H110">
            <v>45896</v>
          </cell>
          <cell r="I110" t="str">
            <v>MARCO</v>
          </cell>
          <cell r="J110">
            <v>8</v>
          </cell>
          <cell r="K110">
            <v>69.583500000000001</v>
          </cell>
          <cell r="L110">
            <v>556.66999999999996</v>
          </cell>
          <cell r="M110" t="str">
            <v>BLOQUEADO</v>
          </cell>
          <cell r="N110" t="str">
            <v>10</v>
          </cell>
          <cell r="O110">
            <v>45966</v>
          </cell>
          <cell r="P110" t="str">
            <v>NOVEMBRO E DEZEMBRO</v>
          </cell>
        </row>
        <row r="111">
          <cell r="B111" t="str">
            <v>048700054233.08.10068.00</v>
          </cell>
          <cell r="C111" t="str">
            <v>048700</v>
          </cell>
          <cell r="D111" t="str">
            <v>0542</v>
          </cell>
          <cell r="E111" t="str">
            <v>33.08.10068.00</v>
          </cell>
          <cell r="F111" t="str">
            <v>SUPORTE PARA CAIXA L / 33.08.10068.00</v>
          </cell>
          <cell r="G111" t="str">
            <v>VMI TECNOLOGIAS LTDA</v>
          </cell>
          <cell r="H111">
            <v>45896</v>
          </cell>
          <cell r="I111" t="str">
            <v>MARCO</v>
          </cell>
          <cell r="J111">
            <v>4</v>
          </cell>
          <cell r="K111">
            <v>36.435000000000002</v>
          </cell>
          <cell r="L111">
            <v>145.74</v>
          </cell>
          <cell r="M111" t="str">
            <v>BLOQUEADO</v>
          </cell>
          <cell r="N111" t="str">
            <v>10</v>
          </cell>
          <cell r="O111">
            <v>45966</v>
          </cell>
          <cell r="P111" t="str">
            <v>NOVEMBRO E DEZEMBRO</v>
          </cell>
        </row>
        <row r="112">
          <cell r="B112" t="str">
            <v>048700054633.08.10077.00</v>
          </cell>
          <cell r="C112" t="str">
            <v>048700</v>
          </cell>
          <cell r="D112" t="str">
            <v>0546</v>
          </cell>
          <cell r="E112" t="str">
            <v>33.08.10077.00</v>
          </cell>
          <cell r="F112" t="str">
            <v>CHAPA ISOLAMENTO INFERIOR / 33.08.10077.00</v>
          </cell>
          <cell r="G112" t="str">
            <v>VMI TECNOLOGIAS LTDA</v>
          </cell>
          <cell r="H112">
            <v>45896</v>
          </cell>
          <cell r="I112" t="str">
            <v>MARCO</v>
          </cell>
          <cell r="J112">
            <v>1</v>
          </cell>
          <cell r="K112">
            <v>27.846</v>
          </cell>
          <cell r="L112">
            <v>334.15</v>
          </cell>
          <cell r="M112" t="str">
            <v>BLOQUEADO</v>
          </cell>
          <cell r="N112" t="str">
            <v>10</v>
          </cell>
          <cell r="O112">
            <v>45964</v>
          </cell>
          <cell r="P112" t="str">
            <v>NOVEMBRO E DEZEMBRO</v>
          </cell>
        </row>
        <row r="113">
          <cell r="B113" t="str">
            <v>048700055133.08.10086.00</v>
          </cell>
          <cell r="C113" t="str">
            <v>048700</v>
          </cell>
          <cell r="D113" t="str">
            <v>0551</v>
          </cell>
          <cell r="E113" t="str">
            <v>33.08.10086.00</v>
          </cell>
          <cell r="F113" t="str">
            <v>MONTAGEM APOIO ESTEIRA / 33.08.10086.00</v>
          </cell>
          <cell r="G113" t="str">
            <v>VMI TECNOLOGIAS LTDA</v>
          </cell>
          <cell r="H113">
            <v>45896</v>
          </cell>
          <cell r="I113" t="str">
            <v>MARCO</v>
          </cell>
          <cell r="J113">
            <v>1</v>
          </cell>
          <cell r="K113">
            <v>110.922</v>
          </cell>
          <cell r="L113">
            <v>887.38</v>
          </cell>
          <cell r="M113" t="str">
            <v>BLOQUEADO</v>
          </cell>
          <cell r="N113" t="str">
            <v>10</v>
          </cell>
          <cell r="O113">
            <v>45966</v>
          </cell>
          <cell r="P113" t="str">
            <v>NOVEMBRO E DEZEMBRO</v>
          </cell>
        </row>
        <row r="114">
          <cell r="B114" t="str">
            <v>048700055633.08.10097.00</v>
          </cell>
          <cell r="C114" t="str">
            <v>048700</v>
          </cell>
          <cell r="D114" t="str">
            <v>0556</v>
          </cell>
          <cell r="E114" t="str">
            <v>33.08.10097.00</v>
          </cell>
          <cell r="F114" t="str">
            <v>TRAVA EXTERNA DA ESTEIRA / 33.08.10097.00</v>
          </cell>
          <cell r="G114" t="str">
            <v>VMI TECNOLOGIAS LTDA</v>
          </cell>
          <cell r="H114">
            <v>45896</v>
          </cell>
          <cell r="I114" t="str">
            <v>MARCO</v>
          </cell>
          <cell r="J114">
            <v>1</v>
          </cell>
          <cell r="K114">
            <v>35.994934000000001</v>
          </cell>
          <cell r="L114">
            <v>287.95999999999998</v>
          </cell>
          <cell r="M114" t="str">
            <v>BLOQUEADO</v>
          </cell>
          <cell r="N114" t="str">
            <v>10</v>
          </cell>
          <cell r="O114">
            <v>45966</v>
          </cell>
          <cell r="P114" t="str">
            <v>NOVEMBRO E DEZEMBRO</v>
          </cell>
        </row>
        <row r="115">
          <cell r="B115" t="str">
            <v>048700055733.08.10099.00</v>
          </cell>
          <cell r="C115" t="str">
            <v>048700</v>
          </cell>
          <cell r="D115" t="str">
            <v>0557</v>
          </cell>
          <cell r="E115" t="str">
            <v>33.08.10099.00</v>
          </cell>
          <cell r="F115" t="str">
            <v>TRAVA EXTERNA DA ESTEIRA / 33.08.10099.00</v>
          </cell>
          <cell r="G115" t="str">
            <v>VMI TECNOLOGIAS LTDA</v>
          </cell>
          <cell r="H115">
            <v>45896</v>
          </cell>
          <cell r="I115" t="str">
            <v>MARCO</v>
          </cell>
          <cell r="J115">
            <v>5</v>
          </cell>
          <cell r="K115">
            <v>36.224100999999997</v>
          </cell>
          <cell r="L115">
            <v>289.79000000000002</v>
          </cell>
          <cell r="M115" t="str">
            <v>BLOQUEADO</v>
          </cell>
          <cell r="N115" t="str">
            <v>10</v>
          </cell>
          <cell r="O115">
            <v>45966</v>
          </cell>
          <cell r="P115" t="str">
            <v>NOVEMBRO E DEZEMBRO</v>
          </cell>
        </row>
        <row r="116">
          <cell r="B116" t="str">
            <v>048700056033.08.10109.00</v>
          </cell>
          <cell r="C116" t="str">
            <v>048700</v>
          </cell>
          <cell r="D116" t="str">
            <v>0560</v>
          </cell>
          <cell r="E116" t="str">
            <v>33.08.10109.00</v>
          </cell>
          <cell r="F116" t="str">
            <v>SUPORTE DO SENSOR DE TUNEL / 33.08.10109.00</v>
          </cell>
          <cell r="G116" t="str">
            <v>VMI TECNOLOGIAS LTDA</v>
          </cell>
          <cell r="H116">
            <v>45896</v>
          </cell>
          <cell r="I116" t="str">
            <v>MARCO</v>
          </cell>
          <cell r="J116">
            <v>1</v>
          </cell>
          <cell r="K116">
            <v>7.5</v>
          </cell>
          <cell r="L116">
            <v>450</v>
          </cell>
          <cell r="M116" t="str">
            <v>BLOQUEADO</v>
          </cell>
          <cell r="N116" t="str">
            <v>10</v>
          </cell>
          <cell r="O116">
            <v>45963</v>
          </cell>
          <cell r="P116" t="str">
            <v>NOVEMBRO E DEZEMBRO</v>
          </cell>
        </row>
        <row r="117">
          <cell r="B117" t="str">
            <v>048700056133.08.10111.00</v>
          </cell>
          <cell r="C117" t="str">
            <v>048700</v>
          </cell>
          <cell r="D117" t="str">
            <v>0561</v>
          </cell>
          <cell r="E117" t="str">
            <v>33.08.10111.00</v>
          </cell>
          <cell r="F117" t="str">
            <v>CHAPA PROTECAO SENSOR TUNEL / 33.08.10111.00</v>
          </cell>
          <cell r="G117" t="str">
            <v>VMI TECNOLOGIAS LTDA</v>
          </cell>
          <cell r="H117">
            <v>45896</v>
          </cell>
          <cell r="I117" t="str">
            <v>MARCO</v>
          </cell>
          <cell r="J117">
            <v>60</v>
          </cell>
          <cell r="K117">
            <v>9</v>
          </cell>
          <cell r="L117">
            <v>540</v>
          </cell>
          <cell r="M117" t="str">
            <v>BLOQUEADO</v>
          </cell>
          <cell r="N117" t="str">
            <v>10</v>
          </cell>
          <cell r="O117">
            <v>45963</v>
          </cell>
          <cell r="P117" t="str">
            <v>NOVEMBRO E DEZEMBRO</v>
          </cell>
        </row>
        <row r="118">
          <cell r="B118" t="str">
            <v>048700056533.08.10116.01</v>
          </cell>
          <cell r="C118" t="str">
            <v>048700</v>
          </cell>
          <cell r="D118" t="str">
            <v>0565</v>
          </cell>
          <cell r="E118" t="str">
            <v>33.08.10116.01</v>
          </cell>
          <cell r="F118" t="str">
            <v>CHAPA PROTECAO ELETRICA  TAMPA / 33.08.10116.01</v>
          </cell>
          <cell r="G118" t="str">
            <v>VMI TECNOLOGIAS LTDA</v>
          </cell>
          <cell r="H118">
            <v>45896</v>
          </cell>
          <cell r="I118" t="str">
            <v>MARCO</v>
          </cell>
          <cell r="J118">
            <v>1</v>
          </cell>
          <cell r="K118">
            <v>36.204000000000001</v>
          </cell>
          <cell r="L118">
            <v>289.63</v>
          </cell>
          <cell r="M118" t="str">
            <v>BLOQUEADO</v>
          </cell>
          <cell r="N118" t="str">
            <v>10</v>
          </cell>
          <cell r="O118">
            <v>45843</v>
          </cell>
          <cell r="P118" t="str">
            <v>NOVEMBRO E DEZEMBRO</v>
          </cell>
        </row>
        <row r="119">
          <cell r="B119" t="str">
            <v>048700056633.08.10128.02</v>
          </cell>
          <cell r="C119" t="str">
            <v>048700</v>
          </cell>
          <cell r="D119" t="str">
            <v>0566</v>
          </cell>
          <cell r="E119" t="str">
            <v>33.08.10128.02</v>
          </cell>
          <cell r="F119" t="str">
            <v>SUPORTE TRAVA PORTA CAIXA L / 33.08.10128.02</v>
          </cell>
          <cell r="G119" t="str">
            <v>VMI TECNOLOGIAS LTDA</v>
          </cell>
          <cell r="H119">
            <v>45896</v>
          </cell>
          <cell r="I119" t="str">
            <v>MARCO</v>
          </cell>
          <cell r="J119">
            <v>24</v>
          </cell>
          <cell r="K119">
            <v>5.9304199999999998</v>
          </cell>
          <cell r="L119">
            <v>142.33000000000001</v>
          </cell>
          <cell r="M119" t="str">
            <v>BLOQUEADO</v>
          </cell>
          <cell r="N119" t="str">
            <v>10</v>
          </cell>
          <cell r="O119">
            <v>45964</v>
          </cell>
          <cell r="P119" t="str">
            <v>NOVEMBRO E DEZEMBRO</v>
          </cell>
        </row>
        <row r="120">
          <cell r="B120" t="str">
            <v>048700057633.08.10147.00</v>
          </cell>
          <cell r="C120" t="str">
            <v>048700</v>
          </cell>
          <cell r="D120" t="str">
            <v>0576</v>
          </cell>
          <cell r="E120" t="str">
            <v>33.08.10147.00</v>
          </cell>
          <cell r="F120" t="str">
            <v>CHAPA TAMPA COLIMADOR  SECUNDARIO SV / 33.08.10147.00</v>
          </cell>
          <cell r="G120" t="str">
            <v>VMI TECNOLOGIAS LTDA</v>
          </cell>
          <cell r="H120">
            <v>45896</v>
          </cell>
          <cell r="I120" t="str">
            <v>MARCO</v>
          </cell>
          <cell r="J120">
            <v>4</v>
          </cell>
          <cell r="K120">
            <v>24.632999999999999</v>
          </cell>
          <cell r="L120">
            <v>98.53</v>
          </cell>
          <cell r="M120" t="str">
            <v>BLOQUEADO</v>
          </cell>
          <cell r="N120" t="str">
            <v>10</v>
          </cell>
          <cell r="O120">
            <v>45963</v>
          </cell>
          <cell r="P120" t="str">
            <v>NOVEMBRO E DEZEMBRO</v>
          </cell>
        </row>
        <row r="121">
          <cell r="B121" t="str">
            <v>048700058633.08.10175.00</v>
          </cell>
          <cell r="C121" t="str">
            <v>048700</v>
          </cell>
          <cell r="D121" t="str">
            <v>0586</v>
          </cell>
          <cell r="E121" t="str">
            <v>33.08.10175.00</v>
          </cell>
          <cell r="F121" t="str">
            <v>FECHAMENTO COLIMADOR PRIMARIO / 33.08.10175.00</v>
          </cell>
          <cell r="G121" t="str">
            <v>VMI TECNOLOGIAS LTDA</v>
          </cell>
          <cell r="H121">
            <v>45896</v>
          </cell>
          <cell r="I121" t="str">
            <v>MARCO</v>
          </cell>
          <cell r="J121">
            <v>8</v>
          </cell>
          <cell r="K121">
            <v>30</v>
          </cell>
          <cell r="L121">
            <v>240</v>
          </cell>
          <cell r="M121" t="str">
            <v>BLOQUEADO</v>
          </cell>
          <cell r="N121" t="str">
            <v>10</v>
          </cell>
          <cell r="O121">
            <v>45963</v>
          </cell>
          <cell r="P121" t="str">
            <v>NOVEMBRO E DEZEMBRO</v>
          </cell>
        </row>
        <row r="122">
          <cell r="B122" t="str">
            <v>048700058733.08.10176.00</v>
          </cell>
          <cell r="C122" t="str">
            <v>048700</v>
          </cell>
          <cell r="D122" t="str">
            <v>0587</v>
          </cell>
          <cell r="E122" t="str">
            <v>33.08.10176.00</v>
          </cell>
          <cell r="F122" t="str">
            <v>FECHAMENTO COLIMADOR PRIMARIO / 33.08.10176.00</v>
          </cell>
          <cell r="G122" t="str">
            <v>VMI TECNOLOGIAS LTDA</v>
          </cell>
          <cell r="H122">
            <v>45896</v>
          </cell>
          <cell r="I122" t="str">
            <v>MARCO</v>
          </cell>
          <cell r="J122">
            <v>5</v>
          </cell>
          <cell r="K122">
            <v>28</v>
          </cell>
          <cell r="L122">
            <v>224</v>
          </cell>
          <cell r="M122" t="str">
            <v>BLOQUEADO</v>
          </cell>
          <cell r="N122" t="str">
            <v>10</v>
          </cell>
          <cell r="O122">
            <v>45963</v>
          </cell>
          <cell r="P122" t="str">
            <v>NOVEMBRO E DEZEMBRO</v>
          </cell>
        </row>
        <row r="123">
          <cell r="B123" t="str">
            <v>048700059433.08.10203.00</v>
          </cell>
          <cell r="C123" t="str">
            <v>048700</v>
          </cell>
          <cell r="D123" t="str">
            <v>0594</v>
          </cell>
          <cell r="E123" t="str">
            <v>33.08.10203.00</v>
          </cell>
          <cell r="F123" t="str">
            <v>FRENTE COLIMADOR FINAL DV / 33.08.10203.00</v>
          </cell>
          <cell r="G123" t="str">
            <v>VMI TECNOLOGIAS LTDA</v>
          </cell>
          <cell r="H123">
            <v>45896</v>
          </cell>
          <cell r="I123" t="str">
            <v>MARCO</v>
          </cell>
          <cell r="J123">
            <v>2</v>
          </cell>
          <cell r="K123">
            <v>25</v>
          </cell>
          <cell r="L123">
            <v>175</v>
          </cell>
          <cell r="M123" t="str">
            <v>BLOQUEADO</v>
          </cell>
          <cell r="N123" t="str">
            <v>10</v>
          </cell>
          <cell r="O123">
            <v>45994</v>
          </cell>
          <cell r="P123" t="str">
            <v>NOVEMBRO E DEZEMBRO</v>
          </cell>
        </row>
        <row r="124">
          <cell r="B124" t="str">
            <v>048700060133.08.10217.01</v>
          </cell>
          <cell r="C124" t="str">
            <v>048700</v>
          </cell>
          <cell r="D124" t="str">
            <v>0601</v>
          </cell>
          <cell r="E124" t="str">
            <v>33.08.10217.01</v>
          </cell>
          <cell r="F124" t="str">
            <v>CHAPA MONTAGEM SUPORTE PLACA / 33.08.10217.01</v>
          </cell>
          <cell r="G124" t="str">
            <v>VMI TECNOLOGIAS LTDA</v>
          </cell>
          <cell r="H124">
            <v>45896</v>
          </cell>
          <cell r="I124" t="str">
            <v>MARCO</v>
          </cell>
          <cell r="J124">
            <v>136</v>
          </cell>
          <cell r="K124">
            <v>8.5554810000000003</v>
          </cell>
          <cell r="L124">
            <v>2600.87</v>
          </cell>
          <cell r="M124" t="str">
            <v>BLOQUEADO</v>
          </cell>
          <cell r="N124" t="str">
            <v>10</v>
          </cell>
          <cell r="O124">
            <v>45964</v>
          </cell>
          <cell r="P124" t="str">
            <v>NOVEMBRO E DEZEMBRO</v>
          </cell>
        </row>
        <row r="125">
          <cell r="B125" t="str">
            <v>048700060833.08.10284.00</v>
          </cell>
          <cell r="C125" t="str">
            <v>048700</v>
          </cell>
          <cell r="D125" t="str">
            <v>0608</v>
          </cell>
          <cell r="E125" t="str">
            <v>33.08.10284.00</v>
          </cell>
          <cell r="F125" t="str">
            <v>CALCO SUPORTE DO ROLETE / 33.08.10284.00</v>
          </cell>
          <cell r="G125" t="str">
            <v>VMI TECNOLOGIAS LTDA</v>
          </cell>
          <cell r="H125">
            <v>45896</v>
          </cell>
          <cell r="I125" t="str">
            <v>MARCO</v>
          </cell>
          <cell r="J125">
            <v>57</v>
          </cell>
          <cell r="K125">
            <v>17.127901000000001</v>
          </cell>
          <cell r="L125">
            <v>1027.67</v>
          </cell>
          <cell r="M125" t="str">
            <v>BLOQUEADO</v>
          </cell>
          <cell r="N125" t="str">
            <v>10</v>
          </cell>
          <cell r="O125">
            <v>45965</v>
          </cell>
          <cell r="P125" t="str">
            <v>NOVEMBRO E DEZEMBRO</v>
          </cell>
        </row>
        <row r="126">
          <cell r="B126" t="str">
            <v>048700060933.08.10288.01</v>
          </cell>
          <cell r="C126" t="str">
            <v>048700</v>
          </cell>
          <cell r="D126" t="str">
            <v>0609</v>
          </cell>
          <cell r="E126" t="str">
            <v>33.08.10288.01</v>
          </cell>
          <cell r="F126" t="str">
            <v>SUPORTE CORTINA NA MAQUINA / 33.08.10288.01</v>
          </cell>
          <cell r="G126" t="str">
            <v>VMI TECNOLOGIAS LTDA</v>
          </cell>
          <cell r="H126">
            <v>45896</v>
          </cell>
          <cell r="I126" t="str">
            <v>MARCO</v>
          </cell>
          <cell r="J126">
            <v>7</v>
          </cell>
          <cell r="K126">
            <v>77.430000000000007</v>
          </cell>
          <cell r="L126">
            <v>619.44000000000005</v>
          </cell>
          <cell r="M126" t="str">
            <v>BLOQUEADO</v>
          </cell>
          <cell r="N126" t="str">
            <v>10</v>
          </cell>
          <cell r="O126">
            <v>45965</v>
          </cell>
          <cell r="P126" t="str">
            <v>NOVEMBRO E DEZEMBRO</v>
          </cell>
        </row>
        <row r="127">
          <cell r="B127" t="str">
            <v>048700061033.08.10289.00</v>
          </cell>
          <cell r="C127" t="str">
            <v>048700</v>
          </cell>
          <cell r="D127" t="str">
            <v>0610</v>
          </cell>
          <cell r="E127" t="str">
            <v>33.08.10289.00</v>
          </cell>
          <cell r="F127" t="str">
            <v>CHAPA INTERMEDIARIA PARA CORTINA / 33.08.10289.00</v>
          </cell>
          <cell r="G127" t="str">
            <v>VMI TECNOLOGIAS LTDA</v>
          </cell>
          <cell r="H127">
            <v>45896</v>
          </cell>
          <cell r="I127" t="str">
            <v>MARCO</v>
          </cell>
          <cell r="J127">
            <v>7</v>
          </cell>
          <cell r="K127">
            <v>15.08</v>
          </cell>
          <cell r="L127">
            <v>120.64</v>
          </cell>
          <cell r="M127" t="str">
            <v>BLOQUEADO</v>
          </cell>
          <cell r="N127" t="str">
            <v>10</v>
          </cell>
          <cell r="O127">
            <v>45965</v>
          </cell>
          <cell r="P127" t="str">
            <v>NOVEMBRO E DEZEMBRO</v>
          </cell>
        </row>
        <row r="128">
          <cell r="B128" t="str">
            <v>048700061733.08.10320.00</v>
          </cell>
          <cell r="C128" t="str">
            <v>048700</v>
          </cell>
          <cell r="D128" t="str">
            <v>0617</v>
          </cell>
          <cell r="E128" t="str">
            <v>33.08.10320.00</v>
          </cell>
          <cell r="F128" t="str">
            <v>CHAPA FECHAMENTO DO TUNEL / 33.08.10320.00</v>
          </cell>
          <cell r="G128" t="str">
            <v>VMI TECNOLOGIAS LTDA</v>
          </cell>
          <cell r="H128">
            <v>45896</v>
          </cell>
          <cell r="I128" t="str">
            <v>MARCO</v>
          </cell>
          <cell r="J128">
            <v>2</v>
          </cell>
          <cell r="K128">
            <v>57</v>
          </cell>
          <cell r="L128">
            <v>114</v>
          </cell>
          <cell r="M128" t="str">
            <v>BLOQUEADO</v>
          </cell>
          <cell r="N128" t="str">
            <v>10</v>
          </cell>
          <cell r="O128">
            <v>45994</v>
          </cell>
          <cell r="P128" t="str">
            <v>NOVEMBRO E DEZEMBRO</v>
          </cell>
        </row>
        <row r="129">
          <cell r="B129" t="str">
            <v>048700062933.08.10362.00</v>
          </cell>
          <cell r="C129" t="str">
            <v>048700</v>
          </cell>
          <cell r="D129" t="str">
            <v>0629</v>
          </cell>
          <cell r="E129" t="str">
            <v>33.08.10362.00</v>
          </cell>
          <cell r="F129" t="str">
            <v>SUPORTE PARA APOIO DO PAINEL ELETRICO / 33.08.10362.00</v>
          </cell>
          <cell r="G129" t="str">
            <v>VMI TECNOLOGIAS LTDA</v>
          </cell>
          <cell r="H129">
            <v>45896</v>
          </cell>
          <cell r="I129" t="str">
            <v>MARCO</v>
          </cell>
          <cell r="J129">
            <v>1</v>
          </cell>
          <cell r="K129">
            <v>73</v>
          </cell>
          <cell r="L129">
            <v>292</v>
          </cell>
          <cell r="M129" t="str">
            <v>BLOQUEADO</v>
          </cell>
          <cell r="N129" t="str">
            <v>10</v>
          </cell>
          <cell r="O129">
            <v>45964</v>
          </cell>
          <cell r="P129" t="str">
            <v>NOVEMBRO E DEZEMBRO</v>
          </cell>
        </row>
        <row r="130">
          <cell r="B130" t="str">
            <v>048700064233.12.10548.01</v>
          </cell>
          <cell r="C130" t="str">
            <v>048700</v>
          </cell>
          <cell r="D130" t="str">
            <v>0642</v>
          </cell>
          <cell r="E130" t="str">
            <v>33.12.10548.01</v>
          </cell>
          <cell r="F130" t="str">
            <v>SUPORTE S_CARD / 33.12.10548.01</v>
          </cell>
          <cell r="G130" t="str">
            <v>VMI TECNOLOGIAS LTDA</v>
          </cell>
          <cell r="H130">
            <v>45896</v>
          </cell>
          <cell r="I130" t="str">
            <v>MARCO</v>
          </cell>
          <cell r="J130">
            <v>15</v>
          </cell>
          <cell r="K130">
            <v>4.8</v>
          </cell>
          <cell r="L130">
            <v>393.6</v>
          </cell>
          <cell r="M130" t="str">
            <v>BLOQUEADO</v>
          </cell>
          <cell r="N130" t="str">
            <v>10</v>
          </cell>
          <cell r="O130">
            <v>45889</v>
          </cell>
          <cell r="P130" t="str">
            <v>NOVEMBRO E DEZEMBRO</v>
          </cell>
        </row>
        <row r="131">
          <cell r="B131" t="str">
            <v>048700064633.12.10578.01</v>
          </cell>
          <cell r="C131" t="str">
            <v>048700</v>
          </cell>
          <cell r="D131" t="str">
            <v>0646</v>
          </cell>
          <cell r="E131" t="str">
            <v>33.12.10578.01</v>
          </cell>
          <cell r="F131" t="str">
            <v>SUPORTE PARA FIXACAO DO ACABAMENTO A / 33.12.10578.01</v>
          </cell>
          <cell r="G131" t="str">
            <v>VMI TECNOLOGIAS LTDA</v>
          </cell>
          <cell r="H131">
            <v>45896</v>
          </cell>
          <cell r="I131" t="str">
            <v>MARCO</v>
          </cell>
          <cell r="J131">
            <v>19</v>
          </cell>
          <cell r="K131">
            <v>47.795999999999999</v>
          </cell>
          <cell r="L131">
            <v>908.12</v>
          </cell>
          <cell r="M131" t="str">
            <v>BLOQUEADO</v>
          </cell>
          <cell r="N131" t="str">
            <v>10</v>
          </cell>
          <cell r="O131">
            <v>45965</v>
          </cell>
          <cell r="P131" t="str">
            <v>NOVEMBRO E DEZEMBRO</v>
          </cell>
        </row>
        <row r="132">
          <cell r="B132" t="str">
            <v>048700064833.12.10582.01</v>
          </cell>
          <cell r="C132" t="str">
            <v>048700</v>
          </cell>
          <cell r="D132" t="str">
            <v>0648</v>
          </cell>
          <cell r="E132" t="str">
            <v>33.12.10582.01</v>
          </cell>
          <cell r="F132" t="str">
            <v>SUPORTE PARA FIXACAO DO ACABAMENTO C / 33.12.10582.01</v>
          </cell>
          <cell r="G132" t="str">
            <v>VMI TECNOLOGIAS LTDA</v>
          </cell>
          <cell r="H132">
            <v>45896</v>
          </cell>
          <cell r="I132" t="str">
            <v>MARCO</v>
          </cell>
          <cell r="J132">
            <v>20</v>
          </cell>
          <cell r="K132">
            <v>46.787999999999997</v>
          </cell>
          <cell r="L132">
            <v>982.55</v>
          </cell>
          <cell r="M132" t="str">
            <v>BLOQUEADO</v>
          </cell>
          <cell r="N132" t="str">
            <v>10</v>
          </cell>
          <cell r="O132">
            <v>45889</v>
          </cell>
          <cell r="P132" t="str">
            <v>NOVEMBRO E DEZEMBRO</v>
          </cell>
        </row>
        <row r="133">
          <cell r="B133" t="str">
            <v>048700064933.12.10584.00</v>
          </cell>
          <cell r="C133" t="str">
            <v>048700</v>
          </cell>
          <cell r="D133" t="str">
            <v>0649</v>
          </cell>
          <cell r="E133" t="str">
            <v>33.12.10584.00</v>
          </cell>
          <cell r="F133" t="str">
            <v>SUPORTE PARA FIXACAO DO ACABAMENTO D / 33.12.10584.00</v>
          </cell>
          <cell r="G133" t="str">
            <v>VMI TECNOLOGIAS LTDA</v>
          </cell>
          <cell r="H133">
            <v>45896</v>
          </cell>
          <cell r="I133" t="str">
            <v>MARCO</v>
          </cell>
          <cell r="J133">
            <v>19</v>
          </cell>
          <cell r="K133">
            <v>46.924500000000002</v>
          </cell>
          <cell r="L133">
            <v>985.41</v>
          </cell>
          <cell r="M133" t="str">
            <v>BLOQUEADO</v>
          </cell>
          <cell r="N133" t="str">
            <v>10</v>
          </cell>
          <cell r="O133">
            <v>45889</v>
          </cell>
          <cell r="P133" t="str">
            <v>NOVEMBRO E DEZEMBRO</v>
          </cell>
        </row>
        <row r="134">
          <cell r="B134" t="str">
            <v>048700065233.12.10613.00</v>
          </cell>
          <cell r="C134" t="str">
            <v>048700</v>
          </cell>
          <cell r="D134" t="str">
            <v>0652</v>
          </cell>
          <cell r="E134" t="str">
            <v>33.12.10613.00</v>
          </cell>
          <cell r="F134" t="str">
            <v>REFORCO PARA FIXACAO DO COLIMADOR DV - 33.12.10613.00</v>
          </cell>
          <cell r="G134" t="str">
            <v>VMI TECNOLOGIAS LTDA</v>
          </cell>
          <cell r="H134">
            <v>45896</v>
          </cell>
          <cell r="I134" t="str">
            <v>MARCO</v>
          </cell>
          <cell r="J134">
            <v>4</v>
          </cell>
          <cell r="K134">
            <v>12.47</v>
          </cell>
          <cell r="L134">
            <v>74.819999999999993</v>
          </cell>
          <cell r="M134" t="str">
            <v>BLOQUEADO</v>
          </cell>
          <cell r="N134" t="str">
            <v>10</v>
          </cell>
          <cell r="O134">
            <v>45889</v>
          </cell>
          <cell r="P134" t="str">
            <v>NOVEMBRO E DEZEMBRO</v>
          </cell>
        </row>
        <row r="135">
          <cell r="B135" t="str">
            <v>048700066033.20.10024.02</v>
          </cell>
          <cell r="C135" t="str">
            <v>048700</v>
          </cell>
          <cell r="D135" t="str">
            <v>0660</v>
          </cell>
          <cell r="E135" t="str">
            <v>33.20.10024.02</v>
          </cell>
          <cell r="F135" t="str">
            <v>TRAVESSA LONGITUDINAL 02 / 33.20.10024.02</v>
          </cell>
          <cell r="G135" t="str">
            <v>VMI TECNOLOGIAS LTDA</v>
          </cell>
          <cell r="H135">
            <v>45896</v>
          </cell>
          <cell r="I135" t="str">
            <v>MARCO</v>
          </cell>
          <cell r="J135">
            <v>10</v>
          </cell>
          <cell r="K135">
            <v>209.58</v>
          </cell>
          <cell r="L135">
            <v>2095.8000000000002</v>
          </cell>
          <cell r="M135" t="str">
            <v>BLOQUEADO</v>
          </cell>
          <cell r="N135" t="str">
            <v>10</v>
          </cell>
          <cell r="O135">
            <v>45842</v>
          </cell>
          <cell r="P135" t="str">
            <v>NOVEMBRO E DEZEMBRO</v>
          </cell>
        </row>
        <row r="136">
          <cell r="B136" t="str">
            <v>048700067533.20.10052.03</v>
          </cell>
          <cell r="C136" t="str">
            <v>048700</v>
          </cell>
          <cell r="D136" t="str">
            <v>0675</v>
          </cell>
          <cell r="E136" t="str">
            <v>33.20.10052.03</v>
          </cell>
          <cell r="F136" t="str">
            <v>SUPORTE GERADOR DV / 33.20.10052.03</v>
          </cell>
          <cell r="G136" t="str">
            <v>VMI TECNOLOGIAS LTDA</v>
          </cell>
          <cell r="H136">
            <v>45896</v>
          </cell>
          <cell r="I136" t="str">
            <v>MARCO</v>
          </cell>
          <cell r="J136">
            <v>4</v>
          </cell>
          <cell r="K136">
            <v>158.37</v>
          </cell>
          <cell r="L136">
            <v>791.85</v>
          </cell>
          <cell r="M136" t="str">
            <v>BLOQUEADO</v>
          </cell>
          <cell r="N136" t="str">
            <v>10</v>
          </cell>
          <cell r="O136">
            <v>45967</v>
          </cell>
          <cell r="P136" t="str">
            <v>NOVEMBRO E DEZEMBRO</v>
          </cell>
        </row>
        <row r="137">
          <cell r="B137" t="str">
            <v>048700069033.20.10126.01</v>
          </cell>
          <cell r="C137" t="str">
            <v>048700</v>
          </cell>
          <cell r="D137" t="str">
            <v>0690</v>
          </cell>
          <cell r="E137" t="str">
            <v>33.20.10126.01</v>
          </cell>
          <cell r="F137" t="str">
            <v>CHAPA MANIPULO COLIMADOR DV / 33.20.10126.01</v>
          </cell>
          <cell r="G137" t="str">
            <v>VMI TECNOLOGIAS LTDA</v>
          </cell>
          <cell r="H137">
            <v>45896</v>
          </cell>
          <cell r="I137" t="str">
            <v>MARCO</v>
          </cell>
          <cell r="J137">
            <v>3</v>
          </cell>
          <cell r="K137">
            <v>12.327</v>
          </cell>
          <cell r="L137">
            <v>36.979999999999997</v>
          </cell>
          <cell r="M137" t="str">
            <v>BLOQUEADO</v>
          </cell>
          <cell r="N137" t="str">
            <v>10</v>
          </cell>
          <cell r="O137">
            <v>45842</v>
          </cell>
          <cell r="P137" t="str">
            <v>NOVEMBRO E DEZEMBRO</v>
          </cell>
        </row>
        <row r="138">
          <cell r="B138" t="str">
            <v>048700069133.20.10126.01</v>
          </cell>
          <cell r="C138" t="str">
            <v>048700</v>
          </cell>
          <cell r="D138" t="str">
            <v>0691</v>
          </cell>
          <cell r="E138" t="str">
            <v>33.20.10126.01</v>
          </cell>
          <cell r="F138" t="str">
            <v>CHAPA MANIPULO COLIMADOR DV / 33.20.10126.01</v>
          </cell>
          <cell r="G138" t="str">
            <v>VMI TECNOLOGIAS LTDA</v>
          </cell>
          <cell r="H138">
            <v>45896</v>
          </cell>
          <cell r="I138" t="str">
            <v>MARCO</v>
          </cell>
          <cell r="J138">
            <v>5</v>
          </cell>
          <cell r="K138">
            <v>12.327</v>
          </cell>
          <cell r="L138">
            <v>209.56</v>
          </cell>
          <cell r="M138" t="str">
            <v>BLOQUEADO</v>
          </cell>
          <cell r="N138" t="str">
            <v>10</v>
          </cell>
          <cell r="O138">
            <v>45965</v>
          </cell>
          <cell r="P138" t="str">
            <v>NOVEMBRO E DEZEMBRO</v>
          </cell>
        </row>
        <row r="139">
          <cell r="B139" t="str">
            <v>048700069833.20.10135.01</v>
          </cell>
          <cell r="C139" t="str">
            <v>048700</v>
          </cell>
          <cell r="D139" t="str">
            <v>0698</v>
          </cell>
          <cell r="E139" t="str">
            <v>33.20.10135.01</v>
          </cell>
          <cell r="F139" t="str">
            <v>TRAVE SUSTENTACAO COLIMADOR SV / 33.20.10135.01</v>
          </cell>
          <cell r="G139" t="str">
            <v>VMI TECNOLOGIAS LTDA</v>
          </cell>
          <cell r="H139">
            <v>45896</v>
          </cell>
          <cell r="I139" t="str">
            <v>MARCO</v>
          </cell>
          <cell r="J139">
            <v>1</v>
          </cell>
          <cell r="K139">
            <v>48</v>
          </cell>
          <cell r="L139">
            <v>768</v>
          </cell>
          <cell r="M139" t="str">
            <v>BLOQUEADO</v>
          </cell>
          <cell r="N139" t="str">
            <v>10</v>
          </cell>
          <cell r="O139">
            <v>45965</v>
          </cell>
          <cell r="P139" t="str">
            <v>NOVEMBRO E DEZEMBRO</v>
          </cell>
        </row>
        <row r="140">
          <cell r="B140" t="str">
            <v>048700072733.20.10263.01</v>
          </cell>
          <cell r="C140" t="str">
            <v>048700</v>
          </cell>
          <cell r="D140" t="str">
            <v>0727</v>
          </cell>
          <cell r="E140" t="str">
            <v>33.20.10263.01</v>
          </cell>
          <cell r="F140" t="str">
            <v>FECHAMENTO 01 TAMPAS LATERAIS / 33.20.10263.01</v>
          </cell>
          <cell r="G140" t="str">
            <v>VMI TECNOLOGIAS LTDA</v>
          </cell>
          <cell r="H140">
            <v>45896</v>
          </cell>
          <cell r="I140" t="str">
            <v>MARCO</v>
          </cell>
          <cell r="J140">
            <v>1</v>
          </cell>
          <cell r="K140">
            <v>68</v>
          </cell>
          <cell r="L140">
            <v>1496</v>
          </cell>
          <cell r="M140" t="str">
            <v>BLOQUEADO</v>
          </cell>
          <cell r="N140" t="str">
            <v>10</v>
          </cell>
          <cell r="O140">
            <v>45965</v>
          </cell>
          <cell r="P140" t="str">
            <v>NOVEMBRO E DEZEMBRO</v>
          </cell>
        </row>
        <row r="141">
          <cell r="B141" t="str">
            <v>048700073133.20.10306.03</v>
          </cell>
          <cell r="C141" t="str">
            <v>048700</v>
          </cell>
          <cell r="D141" t="str">
            <v>0731</v>
          </cell>
          <cell r="E141" t="str">
            <v>33.20.10306.03</v>
          </cell>
          <cell r="F141" t="str">
            <v>TAMPA VERTICAL CAIXA  L - 100100 SV VMI / 33.20.10306.03</v>
          </cell>
          <cell r="G141" t="str">
            <v>VMI TECNOLOGIAS LTDA</v>
          </cell>
          <cell r="H141">
            <v>45896</v>
          </cell>
          <cell r="I141" t="str">
            <v>MARCO</v>
          </cell>
          <cell r="J141">
            <v>8</v>
          </cell>
          <cell r="K141">
            <v>92.872500000000002</v>
          </cell>
          <cell r="L141">
            <v>742.98</v>
          </cell>
          <cell r="M141" t="str">
            <v>BLOQUEADO</v>
          </cell>
          <cell r="N141" t="str">
            <v>10</v>
          </cell>
          <cell r="O141">
            <v>45841</v>
          </cell>
          <cell r="P141" t="str">
            <v>NOVEMBRO E DEZEMBRO</v>
          </cell>
        </row>
        <row r="142">
          <cell r="B142" t="str">
            <v>048700074433.20.10367.00</v>
          </cell>
          <cell r="C142" t="str">
            <v>048700</v>
          </cell>
          <cell r="D142" t="str">
            <v>0744</v>
          </cell>
          <cell r="E142" t="str">
            <v>33.20.10367.00</v>
          </cell>
          <cell r="F142" t="str">
            <v>TRAVA BUCHA NYLON \ 33.20.10367.00</v>
          </cell>
          <cell r="G142" t="str">
            <v>VMI TECNOLOGIAS LTDA</v>
          </cell>
          <cell r="H142">
            <v>45896</v>
          </cell>
          <cell r="I142" t="str">
            <v>MARCO</v>
          </cell>
          <cell r="J142">
            <v>15</v>
          </cell>
          <cell r="K142">
            <v>6.18</v>
          </cell>
          <cell r="L142">
            <v>92.7</v>
          </cell>
          <cell r="M142" t="str">
            <v>BLOQUEADO</v>
          </cell>
          <cell r="N142" t="str">
            <v>10</v>
          </cell>
          <cell r="O142">
            <v>45834</v>
          </cell>
          <cell r="P142" t="str">
            <v>NOVEMBRO E DEZEMBRO</v>
          </cell>
        </row>
        <row r="143">
          <cell r="B143" t="str">
            <v>048700074733.20.10375.00</v>
          </cell>
          <cell r="C143" t="str">
            <v>048700</v>
          </cell>
          <cell r="D143" t="str">
            <v>0747</v>
          </cell>
          <cell r="E143" t="str">
            <v>33.20.10375.00</v>
          </cell>
          <cell r="F143" t="str">
            <v>REFORCO DA BANDEJA 2 / 33.20.10375.00</v>
          </cell>
          <cell r="G143" t="str">
            <v>VMI TECNOLOGIAS LTDA</v>
          </cell>
          <cell r="H143">
            <v>45896</v>
          </cell>
          <cell r="I143" t="str">
            <v>MARCO</v>
          </cell>
          <cell r="J143">
            <v>1</v>
          </cell>
          <cell r="K143">
            <v>48.706454999999998</v>
          </cell>
          <cell r="L143">
            <v>3019.8</v>
          </cell>
          <cell r="M143" t="str">
            <v>BLOQUEADO</v>
          </cell>
          <cell r="N143" t="str">
            <v>10</v>
          </cell>
          <cell r="O143">
            <v>45963</v>
          </cell>
          <cell r="P143" t="str">
            <v>NOVEMBRO E DEZEMBRO</v>
          </cell>
        </row>
        <row r="144">
          <cell r="B144" t="str">
            <v>048700075233.20.10498.00</v>
          </cell>
          <cell r="C144" t="str">
            <v>048700</v>
          </cell>
          <cell r="D144" t="str">
            <v>0752</v>
          </cell>
          <cell r="E144" t="str">
            <v>33.20.10498.00</v>
          </cell>
          <cell r="F144" t="str">
            <v>BANDEJA DA ESTEIRA / 33.20.10498.00</v>
          </cell>
          <cell r="G144" t="str">
            <v>VMI TECNOLOGIAS LTDA</v>
          </cell>
          <cell r="H144">
            <v>45896</v>
          </cell>
          <cell r="I144" t="str">
            <v>MARCO</v>
          </cell>
          <cell r="J144">
            <v>2</v>
          </cell>
          <cell r="K144">
            <v>189.90299999999999</v>
          </cell>
          <cell r="L144">
            <v>6836.51</v>
          </cell>
          <cell r="M144" t="str">
            <v>BLOQUEADO</v>
          </cell>
          <cell r="N144" t="str">
            <v>10</v>
          </cell>
          <cell r="O144">
            <v>45965</v>
          </cell>
          <cell r="P144" t="str">
            <v>NOVEMBRO E DEZEMBRO</v>
          </cell>
        </row>
        <row r="145">
          <cell r="B145" t="str">
            <v>048700080233.23.10032.01</v>
          </cell>
          <cell r="C145" t="str">
            <v>048700</v>
          </cell>
          <cell r="D145" t="str">
            <v>0802</v>
          </cell>
          <cell r="E145" t="str">
            <v>33.23.10032.01</v>
          </cell>
          <cell r="F145" t="str">
            <v>ARRUELA DA BUCHA DE REGULAGEM / 33.23.10032.01</v>
          </cell>
          <cell r="G145" t="str">
            <v>VMI TECNOLOGIAS LTDA</v>
          </cell>
          <cell r="H145">
            <v>45896</v>
          </cell>
          <cell r="I145" t="str">
            <v>MARCO</v>
          </cell>
          <cell r="J145">
            <v>125</v>
          </cell>
          <cell r="K145">
            <v>1.2</v>
          </cell>
          <cell r="L145">
            <v>150</v>
          </cell>
          <cell r="M145" t="str">
            <v>BLOQUEADO</v>
          </cell>
          <cell r="N145" t="str">
            <v>10</v>
          </cell>
          <cell r="O145">
            <v>45818</v>
          </cell>
          <cell r="P145" t="str">
            <v>NOVEMBRO E DEZEMBRO</v>
          </cell>
        </row>
        <row r="146">
          <cell r="B146" t="str">
            <v>048700080333.23.10032.01</v>
          </cell>
          <cell r="C146" t="str">
            <v>048700</v>
          </cell>
          <cell r="D146" t="str">
            <v>0803</v>
          </cell>
          <cell r="E146" t="str">
            <v>33.23.10032.01</v>
          </cell>
          <cell r="F146" t="str">
            <v>ARRUELA DA BUCHA DE REGULAGEM / 33.23.10032.01</v>
          </cell>
          <cell r="G146" t="str">
            <v>VMI TECNOLOGIAS LTDA</v>
          </cell>
          <cell r="H146">
            <v>45896</v>
          </cell>
          <cell r="I146" t="str">
            <v>MARCO</v>
          </cell>
          <cell r="J146">
            <v>55</v>
          </cell>
          <cell r="K146">
            <v>1.2</v>
          </cell>
          <cell r="L146">
            <v>66</v>
          </cell>
          <cell r="M146" t="str">
            <v>BLOQUEADO</v>
          </cell>
          <cell r="N146" t="str">
            <v>10</v>
          </cell>
          <cell r="O146">
            <v>45991</v>
          </cell>
          <cell r="P146" t="str">
            <v>NOVEMBRO E DEZEMBRO</v>
          </cell>
        </row>
        <row r="147">
          <cell r="B147" t="str">
            <v>048700080533.23.10054.03</v>
          </cell>
          <cell r="C147" t="str">
            <v>048700</v>
          </cell>
          <cell r="D147" t="str">
            <v>0805</v>
          </cell>
          <cell r="E147" t="str">
            <v>33.23.10054.03</v>
          </cell>
          <cell r="F147" t="str">
            <v>TRAVA DE MONTAGEM DA MOTOPOLIA / 33.23.10054.03</v>
          </cell>
          <cell r="G147" t="str">
            <v>VMI TECNOLOGIAS LTDA</v>
          </cell>
          <cell r="H147">
            <v>45896</v>
          </cell>
          <cell r="I147" t="str">
            <v>MARCO</v>
          </cell>
          <cell r="J147">
            <v>43</v>
          </cell>
          <cell r="K147">
            <v>27.46</v>
          </cell>
          <cell r="L147">
            <v>3295.2</v>
          </cell>
          <cell r="M147" t="str">
            <v>BLOQUEADO</v>
          </cell>
          <cell r="N147" t="str">
            <v>10</v>
          </cell>
          <cell r="O147">
            <v>45965</v>
          </cell>
          <cell r="P147" t="str">
            <v>NOVEMBRO E DEZEMBRO</v>
          </cell>
        </row>
        <row r="148">
          <cell r="B148" t="str">
            <v>048700082133.23.10142.02</v>
          </cell>
          <cell r="C148" t="str">
            <v>048700</v>
          </cell>
          <cell r="D148" t="str">
            <v>0821</v>
          </cell>
          <cell r="E148" t="str">
            <v>33.23.10142.02</v>
          </cell>
          <cell r="F148" t="str">
            <v>FIXACAO INFERIOR DO GERADOR / 33.23.10142.02</v>
          </cell>
          <cell r="G148" t="str">
            <v>VMI TECNOLOGIAS LTDA</v>
          </cell>
          <cell r="H148">
            <v>45896</v>
          </cell>
          <cell r="I148" t="str">
            <v>MARCO</v>
          </cell>
          <cell r="J148">
            <v>1</v>
          </cell>
          <cell r="K148">
            <v>1.68</v>
          </cell>
          <cell r="L148">
            <v>94.08</v>
          </cell>
          <cell r="M148" t="str">
            <v>BLOQUEADO</v>
          </cell>
          <cell r="N148" t="str">
            <v>10</v>
          </cell>
          <cell r="O148">
            <v>45963</v>
          </cell>
          <cell r="P148" t="str">
            <v>NOVEMBRO E DEZEMBRO</v>
          </cell>
        </row>
        <row r="149">
          <cell r="B149" t="str">
            <v>048700083333.23.10201.03</v>
          </cell>
          <cell r="C149" t="str">
            <v>048700</v>
          </cell>
          <cell r="D149" t="str">
            <v>0833</v>
          </cell>
          <cell r="E149" t="str">
            <v>33.23.10201.03</v>
          </cell>
          <cell r="F149" t="str">
            <v>SUP. MOVEL DE FIXACAO DO ROLETE / 33.23.10201.03</v>
          </cell>
          <cell r="G149" t="str">
            <v>VMI TECNOLOGIAS LTDA</v>
          </cell>
          <cell r="H149">
            <v>45896</v>
          </cell>
          <cell r="I149" t="str">
            <v>MARCO</v>
          </cell>
          <cell r="J149">
            <v>108</v>
          </cell>
          <cell r="K149">
            <v>29.36</v>
          </cell>
          <cell r="L149">
            <v>4697.6000000000004</v>
          </cell>
          <cell r="M149" t="str">
            <v>BLOQUEADO</v>
          </cell>
          <cell r="N149" t="str">
            <v>10</v>
          </cell>
          <cell r="O149">
            <v>45969</v>
          </cell>
          <cell r="P149" t="str">
            <v>NOVEMBRO E DEZEMBRO</v>
          </cell>
        </row>
        <row r="150">
          <cell r="B150" t="str">
            <v>048700083433.23.10202.03</v>
          </cell>
          <cell r="C150" t="str">
            <v>048700</v>
          </cell>
          <cell r="D150" t="str">
            <v>0834</v>
          </cell>
          <cell r="E150" t="str">
            <v>33.23.10202.03</v>
          </cell>
          <cell r="F150" t="str">
            <v>SUP. FIXO DO ROLETE ALINHADOR / 33.23.10202.03</v>
          </cell>
          <cell r="G150" t="str">
            <v>VMI TECNOLOGIAS LTDA</v>
          </cell>
          <cell r="H150">
            <v>45896</v>
          </cell>
          <cell r="I150" t="str">
            <v>MARCO</v>
          </cell>
          <cell r="J150">
            <v>28</v>
          </cell>
          <cell r="K150">
            <v>22.22</v>
          </cell>
          <cell r="L150">
            <v>2666.4</v>
          </cell>
          <cell r="M150" t="str">
            <v>BLOQUEADO</v>
          </cell>
          <cell r="N150" t="str">
            <v>10</v>
          </cell>
          <cell r="O150">
            <v>45887</v>
          </cell>
          <cell r="P150" t="str">
            <v>NOVEMBRO E DEZEMBRO</v>
          </cell>
        </row>
        <row r="151">
          <cell r="B151" t="str">
            <v>048700085033.23.10250.00</v>
          </cell>
          <cell r="C151" t="str">
            <v>048700</v>
          </cell>
          <cell r="D151" t="str">
            <v>0850</v>
          </cell>
          <cell r="E151" t="str">
            <v>33.23.10250.00</v>
          </cell>
          <cell r="F151" t="str">
            <v>SUPORTE MONTAGEM DO ACABAMENTO / 33.23.10250.00</v>
          </cell>
          <cell r="G151" t="str">
            <v>VMI TECNOLOGIAS LTDA</v>
          </cell>
          <cell r="H151">
            <v>45896</v>
          </cell>
          <cell r="I151" t="str">
            <v>MARCO</v>
          </cell>
          <cell r="J151">
            <v>102</v>
          </cell>
          <cell r="K151">
            <v>17.850000000000001</v>
          </cell>
          <cell r="L151">
            <v>6872.25</v>
          </cell>
          <cell r="M151" t="str">
            <v>BLOQUEADO</v>
          </cell>
          <cell r="N151" t="str">
            <v>10</v>
          </cell>
          <cell r="O151">
            <v>45969</v>
          </cell>
          <cell r="P151" t="str">
            <v>NOVEMBRO E DEZEMBRO</v>
          </cell>
        </row>
        <row r="152">
          <cell r="B152" t="str">
            <v>048700085333.23.10317.01</v>
          </cell>
          <cell r="C152" t="str">
            <v>048700</v>
          </cell>
          <cell r="D152" t="str">
            <v>0853</v>
          </cell>
          <cell r="E152" t="str">
            <v>33.23.10317.01</v>
          </cell>
          <cell r="F152" t="str">
            <v>CONJUNTO SOLDADO DA GAIOLA DAS DETECTORAS / 33.23.10317.01</v>
          </cell>
          <cell r="G152" t="str">
            <v>VMI TECNOLOGIAS LTDA</v>
          </cell>
          <cell r="H152">
            <v>45896</v>
          </cell>
          <cell r="I152" t="str">
            <v>MARCO</v>
          </cell>
          <cell r="J152">
            <v>2</v>
          </cell>
          <cell r="K152">
            <v>474.08</v>
          </cell>
          <cell r="L152">
            <v>28444.799999999999</v>
          </cell>
          <cell r="M152" t="str">
            <v>BLOQUEADO</v>
          </cell>
          <cell r="N152" t="str">
            <v>10</v>
          </cell>
          <cell r="O152">
            <v>45757</v>
          </cell>
          <cell r="P152" t="str">
            <v>NOVEMBRO E DEZEMBRO</v>
          </cell>
        </row>
        <row r="153">
          <cell r="B153" t="str">
            <v>048700088233.23.10381.00</v>
          </cell>
          <cell r="C153" t="str">
            <v>048700</v>
          </cell>
          <cell r="D153" t="str">
            <v>0882</v>
          </cell>
          <cell r="E153" t="str">
            <v>33.23.10381.00</v>
          </cell>
          <cell r="F153" t="str">
            <v>REFORCO DA BASE DA REGUA DO COLIMADOR / 33.23.10381.00</v>
          </cell>
          <cell r="G153" t="str">
            <v>VMI TECNOLOGIAS LTDA</v>
          </cell>
          <cell r="H153">
            <v>45896</v>
          </cell>
          <cell r="I153" t="str">
            <v>MARCO</v>
          </cell>
          <cell r="J153">
            <v>1</v>
          </cell>
          <cell r="K153">
            <v>9.4499999999999993</v>
          </cell>
          <cell r="L153">
            <v>340.2</v>
          </cell>
          <cell r="M153" t="str">
            <v>BLOQUEADO</v>
          </cell>
          <cell r="N153" t="str">
            <v>10</v>
          </cell>
          <cell r="O153">
            <v>45961</v>
          </cell>
          <cell r="P153" t="str">
            <v>NOVEMBRO E DEZEMBRO</v>
          </cell>
        </row>
        <row r="154">
          <cell r="B154" t="str">
            <v>048700089233.99.10024.00</v>
          </cell>
          <cell r="C154" t="str">
            <v>048700</v>
          </cell>
          <cell r="D154" t="str">
            <v>0892</v>
          </cell>
          <cell r="E154" t="str">
            <v>33.99.10024.00</v>
          </cell>
          <cell r="F154" t="str">
            <v>SUPORTE FIXACAO CPU 02 / 33.99.10024.00</v>
          </cell>
          <cell r="G154" t="str">
            <v>VMI TECNOLOGIAS LTDA</v>
          </cell>
          <cell r="H154">
            <v>45896</v>
          </cell>
          <cell r="I154" t="str">
            <v>MARCO</v>
          </cell>
          <cell r="J154">
            <v>21</v>
          </cell>
          <cell r="K154">
            <v>4.6100000000000003</v>
          </cell>
          <cell r="L154">
            <v>640.79</v>
          </cell>
          <cell r="M154" t="str">
            <v>BLOQUEADO</v>
          </cell>
          <cell r="N154" t="str">
            <v>10</v>
          </cell>
          <cell r="O154">
            <v>45965</v>
          </cell>
          <cell r="P154" t="str">
            <v>NOVEMBRO E DEZEMBRO</v>
          </cell>
        </row>
        <row r="155">
          <cell r="B155" t="str">
            <v>048700091621.23.01054</v>
          </cell>
          <cell r="C155" t="str">
            <v>048700</v>
          </cell>
          <cell r="D155" t="str">
            <v>0916</v>
          </cell>
          <cell r="E155" t="str">
            <v>21.23.01054</v>
          </cell>
          <cell r="F155" t="str">
            <v>TAMPA SUP. DO COLIMADOR \ AA_4170_00</v>
          </cell>
          <cell r="G155" t="str">
            <v>VMI TECNOLOGIAS LTDA</v>
          </cell>
          <cell r="H155">
            <v>45896</v>
          </cell>
          <cell r="I155" t="str">
            <v>MARCO</v>
          </cell>
          <cell r="J155">
            <v>2</v>
          </cell>
          <cell r="K155">
            <v>4.5999999999999996</v>
          </cell>
          <cell r="L155">
            <v>9.1999999999999993</v>
          </cell>
          <cell r="M155" t="str">
            <v>BLOQUEADO</v>
          </cell>
          <cell r="N155" t="str">
            <v>10</v>
          </cell>
          <cell r="O155">
            <v>46056</v>
          </cell>
          <cell r="P155" t="str">
            <v>NOVEMBRO E DEZEMBRO</v>
          </cell>
        </row>
        <row r="156">
          <cell r="B156" t="str">
            <v>048700091721.23.04807</v>
          </cell>
          <cell r="C156" t="str">
            <v>048700</v>
          </cell>
          <cell r="D156" t="str">
            <v>0917</v>
          </cell>
          <cell r="E156" t="str">
            <v>21.23.04807</v>
          </cell>
          <cell r="F156" t="str">
            <v>FECHAMENTO INFEERIOR DA ETEIRA 1 / AA_8603_01</v>
          </cell>
          <cell r="G156" t="str">
            <v>VMI TECNOLOGIAS LTDA</v>
          </cell>
          <cell r="H156">
            <v>45896</v>
          </cell>
          <cell r="I156" t="str">
            <v>MARCO</v>
          </cell>
          <cell r="J156">
            <v>1</v>
          </cell>
          <cell r="K156">
            <v>75.260000000000005</v>
          </cell>
          <cell r="L156">
            <v>75.260000000000005</v>
          </cell>
          <cell r="M156" t="str">
            <v>BLOQUEADO</v>
          </cell>
          <cell r="N156" t="str">
            <v>10</v>
          </cell>
          <cell r="O156">
            <v>46056</v>
          </cell>
          <cell r="P156" t="str">
            <v>NOVEMBRO E DEZEMBRO</v>
          </cell>
        </row>
        <row r="157">
          <cell r="B157" t="str">
            <v>048972005421.23.02319</v>
          </cell>
          <cell r="C157" t="str">
            <v>048972</v>
          </cell>
          <cell r="D157" t="str">
            <v>0054</v>
          </cell>
          <cell r="E157" t="str">
            <v>21.23.02319</v>
          </cell>
          <cell r="F157" t="str">
            <v>FECHAMENTO SUPERIOR DO COLIMADOR \ AA_6035_00</v>
          </cell>
          <cell r="G157" t="str">
            <v>VMI TECNOLOGIAS LTDA</v>
          </cell>
          <cell r="H157">
            <v>45909</v>
          </cell>
          <cell r="I157" t="str">
            <v>MARCO</v>
          </cell>
          <cell r="J157">
            <v>2</v>
          </cell>
          <cell r="K157">
            <v>120.18</v>
          </cell>
          <cell r="L157">
            <v>240.36</v>
          </cell>
          <cell r="M157" t="str">
            <v>APROVADO</v>
          </cell>
          <cell r="N157" t="str">
            <v>10</v>
          </cell>
          <cell r="O157">
            <v>45995</v>
          </cell>
          <cell r="P157" t="str">
            <v>OUTUBRO</v>
          </cell>
        </row>
        <row r="158">
          <cell r="B158" t="str">
            <v>048972006433.02.10071.02</v>
          </cell>
          <cell r="C158" t="str">
            <v>048972</v>
          </cell>
          <cell r="D158" t="str">
            <v>0064</v>
          </cell>
          <cell r="E158" t="str">
            <v>33.02.10071.02</v>
          </cell>
          <cell r="F158" t="str">
            <v>QUADRO ELETRICO 5333 / 33.02.10071.02</v>
          </cell>
          <cell r="G158" t="str">
            <v>VMI TECNOLOGIAS LTDA</v>
          </cell>
          <cell r="H158">
            <v>45909</v>
          </cell>
          <cell r="I158" t="str">
            <v>MARCO</v>
          </cell>
          <cell r="J158">
            <v>5</v>
          </cell>
          <cell r="K158">
            <v>245.9</v>
          </cell>
          <cell r="L158">
            <v>1229.5</v>
          </cell>
          <cell r="M158" t="str">
            <v>APROVADO</v>
          </cell>
          <cell r="N158" t="str">
            <v>10</v>
          </cell>
          <cell r="O158">
            <v>45898</v>
          </cell>
          <cell r="P158" t="str">
            <v>OUTUBRO</v>
          </cell>
        </row>
        <row r="159">
          <cell r="B159" t="str">
            <v>049269001633.20.10225.01</v>
          </cell>
          <cell r="C159" t="str">
            <v>049269</v>
          </cell>
          <cell r="D159" t="str">
            <v>0016</v>
          </cell>
          <cell r="E159" t="str">
            <v>33.20.10225.01</v>
          </cell>
          <cell r="F159" t="str">
            <v>SUPORTE TAMPA / 33.20.10225.01</v>
          </cell>
          <cell r="G159" t="str">
            <v>VMI TECNOLOGIAS LTDA</v>
          </cell>
          <cell r="H159">
            <v>45918</v>
          </cell>
          <cell r="I159" t="str">
            <v>MARCO</v>
          </cell>
          <cell r="J159">
            <v>1</v>
          </cell>
          <cell r="K159">
            <v>15.8</v>
          </cell>
          <cell r="L159">
            <v>79</v>
          </cell>
          <cell r="M159" t="str">
            <v>APROVADO</v>
          </cell>
          <cell r="N159" t="str">
            <v>10</v>
          </cell>
          <cell r="O159">
            <v>46029</v>
          </cell>
          <cell r="P159" t="str">
            <v>OUTUBRO</v>
          </cell>
        </row>
        <row r="160">
          <cell r="B160" t="str">
            <v>049270000821.23.01424</v>
          </cell>
          <cell r="C160" t="str">
            <v>049270</v>
          </cell>
          <cell r="D160" t="str">
            <v>0008</v>
          </cell>
          <cell r="E160" t="str">
            <v>21.23.01424</v>
          </cell>
          <cell r="F160" t="str">
            <v>TRAVA DO ROLAMENTO \ AA_4571_00</v>
          </cell>
          <cell r="G160" t="str">
            <v>VMI TECNOLOGIAS LTDA</v>
          </cell>
          <cell r="H160">
            <v>45918</v>
          </cell>
          <cell r="I160" t="str">
            <v>MARCO</v>
          </cell>
          <cell r="J160">
            <v>4</v>
          </cell>
          <cell r="K160">
            <v>9.2925000000000004</v>
          </cell>
          <cell r="L160">
            <v>37.17</v>
          </cell>
          <cell r="M160" t="str">
            <v>APROVADO</v>
          </cell>
          <cell r="N160" t="str">
            <v>10</v>
          </cell>
          <cell r="O160">
            <v>45992</v>
          </cell>
          <cell r="P160" t="str">
            <v>DEZEMBRO</v>
          </cell>
        </row>
        <row r="161">
          <cell r="B161" t="str">
            <v>049270001021.23.01427</v>
          </cell>
          <cell r="C161" t="str">
            <v>049270</v>
          </cell>
          <cell r="D161" t="str">
            <v>0010</v>
          </cell>
          <cell r="E161" t="str">
            <v>21.23.01427</v>
          </cell>
          <cell r="F161" t="str">
            <v>FECHAMENTO DA POLIA \ AA_4574_00</v>
          </cell>
          <cell r="G161" t="str">
            <v>VMI TECNOLOGIAS LTDA</v>
          </cell>
          <cell r="H161">
            <v>45918</v>
          </cell>
          <cell r="I161" t="str">
            <v>MARCO</v>
          </cell>
          <cell r="J161">
            <v>4</v>
          </cell>
          <cell r="K161">
            <v>11.465999999999999</v>
          </cell>
          <cell r="L161">
            <v>45.86</v>
          </cell>
          <cell r="M161" t="str">
            <v>APROVADO</v>
          </cell>
          <cell r="N161" t="str">
            <v>10</v>
          </cell>
          <cell r="O161">
            <v>45992</v>
          </cell>
          <cell r="P161" t="str">
            <v>DEZEMBRO</v>
          </cell>
        </row>
        <row r="162">
          <cell r="B162" t="str">
            <v>049270001521.23.04498</v>
          </cell>
          <cell r="C162" t="str">
            <v>049270</v>
          </cell>
          <cell r="D162" t="str">
            <v>0015</v>
          </cell>
          <cell r="E162" t="str">
            <v>21.23.04498</v>
          </cell>
          <cell r="F162" t="str">
            <v>TAMPA FONTE WEG / AA_10056_00</v>
          </cell>
          <cell r="G162" t="str">
            <v>VMI TECNOLOGIAS LTDA</v>
          </cell>
          <cell r="H162">
            <v>45918</v>
          </cell>
          <cell r="I162" t="str">
            <v>MARCO</v>
          </cell>
          <cell r="J162">
            <v>10</v>
          </cell>
          <cell r="K162">
            <v>9.9329999999999998</v>
          </cell>
          <cell r="L162">
            <v>99.33</v>
          </cell>
          <cell r="M162" t="str">
            <v>APROVADO</v>
          </cell>
          <cell r="N162" t="str">
            <v>10</v>
          </cell>
          <cell r="O162">
            <v>45992</v>
          </cell>
          <cell r="P162" t="str">
            <v>DEZEMBRO</v>
          </cell>
        </row>
        <row r="163">
          <cell r="B163" t="str">
            <v>049270001721.23.04569</v>
          </cell>
          <cell r="C163" t="str">
            <v>049270</v>
          </cell>
          <cell r="D163" t="str">
            <v>0017</v>
          </cell>
          <cell r="E163" t="str">
            <v>21.23.04569</v>
          </cell>
          <cell r="F163" t="str">
            <v>LIMITADOR / AA_10139_00</v>
          </cell>
          <cell r="G163" t="str">
            <v>VMI TECNOLOGIAS LTDA</v>
          </cell>
          <cell r="H163">
            <v>45918</v>
          </cell>
          <cell r="I163" t="str">
            <v>MARCO</v>
          </cell>
          <cell r="J163">
            <v>10</v>
          </cell>
          <cell r="K163">
            <v>7.875</v>
          </cell>
          <cell r="L163">
            <v>78.75</v>
          </cell>
          <cell r="M163" t="str">
            <v>APROVADO</v>
          </cell>
          <cell r="N163" t="str">
            <v>10</v>
          </cell>
          <cell r="O163">
            <v>45992</v>
          </cell>
          <cell r="P163" t="str">
            <v>DEZEMBRO</v>
          </cell>
        </row>
        <row r="164">
          <cell r="B164" t="str">
            <v>049270003533.06.10050.00</v>
          </cell>
          <cell r="C164" t="str">
            <v>049270</v>
          </cell>
          <cell r="D164" t="str">
            <v>0035</v>
          </cell>
          <cell r="E164" t="str">
            <v>33.06.10050.00</v>
          </cell>
          <cell r="F164" t="str">
            <v>APOIO COLIMADOR SECUNDARIO / 33.06.10050.00</v>
          </cell>
          <cell r="G164" t="str">
            <v>VMI TECNOLOGIAS LTDA</v>
          </cell>
          <cell r="H164">
            <v>45918</v>
          </cell>
          <cell r="I164" t="str">
            <v>MARCO</v>
          </cell>
          <cell r="J164">
            <v>1</v>
          </cell>
          <cell r="K164">
            <v>67.871200000000002</v>
          </cell>
          <cell r="L164">
            <v>271.48</v>
          </cell>
          <cell r="M164" t="str">
            <v>APROVADO</v>
          </cell>
          <cell r="N164" t="str">
            <v>10</v>
          </cell>
          <cell r="O164">
            <v>45992</v>
          </cell>
          <cell r="P164" t="str">
            <v>DEZEMBRO</v>
          </cell>
        </row>
        <row r="165">
          <cell r="B165" t="str">
            <v>049270004633.06.10075.00</v>
          </cell>
          <cell r="C165" t="str">
            <v>049270</v>
          </cell>
          <cell r="D165" t="str">
            <v>0046</v>
          </cell>
          <cell r="E165" t="str">
            <v>33.06.10075.00</v>
          </cell>
          <cell r="F165" t="str">
            <v>TRAVA 2 / 33.06.10075.00</v>
          </cell>
          <cell r="G165" t="str">
            <v>VMI TECNOLOGIAS LTDA</v>
          </cell>
          <cell r="H165">
            <v>45918</v>
          </cell>
          <cell r="I165" t="str">
            <v>MARCO</v>
          </cell>
          <cell r="J165">
            <v>16</v>
          </cell>
          <cell r="K165">
            <v>11.80326</v>
          </cell>
          <cell r="L165">
            <v>188.85</v>
          </cell>
          <cell r="M165" t="str">
            <v>APROVADO</v>
          </cell>
          <cell r="N165" t="str">
            <v>10</v>
          </cell>
          <cell r="O165">
            <v>45992</v>
          </cell>
          <cell r="P165" t="str">
            <v>DEZEMBRO</v>
          </cell>
        </row>
        <row r="166">
          <cell r="B166" t="str">
            <v>049270005033.06.10091.00</v>
          </cell>
          <cell r="C166" t="str">
            <v>049270</v>
          </cell>
          <cell r="D166" t="str">
            <v>0050</v>
          </cell>
          <cell r="E166" t="str">
            <v>33.06.10091.00</v>
          </cell>
          <cell r="F166" t="str">
            <v>SUPORTE MICRO PARA TAMPAS / 33.06.10091.00</v>
          </cell>
          <cell r="G166" t="str">
            <v>VMI TECNOLOGIAS LTDA</v>
          </cell>
          <cell r="H166">
            <v>45918</v>
          </cell>
          <cell r="I166" t="str">
            <v>MARCO</v>
          </cell>
          <cell r="J166">
            <v>3</v>
          </cell>
          <cell r="K166">
            <v>41.795499999999997</v>
          </cell>
          <cell r="L166">
            <v>334.36</v>
          </cell>
          <cell r="M166" t="str">
            <v>APROVADO</v>
          </cell>
          <cell r="N166" t="str">
            <v>10</v>
          </cell>
          <cell r="O166">
            <v>45992</v>
          </cell>
          <cell r="P166" t="str">
            <v>DEZEMBRO</v>
          </cell>
        </row>
        <row r="167">
          <cell r="B167" t="str">
            <v>049270006333.06.10225.00</v>
          </cell>
          <cell r="C167" t="str">
            <v>049270</v>
          </cell>
          <cell r="D167" t="str">
            <v>0063</v>
          </cell>
          <cell r="E167" t="str">
            <v>33.06.10225.00</v>
          </cell>
          <cell r="F167" t="str">
            <v>TRAVA DO EIXO DE REGULAGEM / 33.06.10225.00</v>
          </cell>
          <cell r="G167" t="str">
            <v>VMI TECNOLOGIAS LTDA</v>
          </cell>
          <cell r="H167">
            <v>45918</v>
          </cell>
          <cell r="I167" t="str">
            <v>MARCO</v>
          </cell>
          <cell r="J167">
            <v>12</v>
          </cell>
          <cell r="K167">
            <v>30.974900000000002</v>
          </cell>
          <cell r="L167">
            <v>371.7</v>
          </cell>
          <cell r="M167" t="str">
            <v>APROVADO</v>
          </cell>
          <cell r="N167" t="str">
            <v>10</v>
          </cell>
          <cell r="O167">
            <v>45992</v>
          </cell>
          <cell r="P167" t="str">
            <v>DEZEMBRO</v>
          </cell>
        </row>
        <row r="168">
          <cell r="B168" t="str">
            <v>049270006933.06.10241.00</v>
          </cell>
          <cell r="C168" t="str">
            <v>049270</v>
          </cell>
          <cell r="D168" t="str">
            <v>0069</v>
          </cell>
          <cell r="E168" t="str">
            <v>33.06.10241.00</v>
          </cell>
          <cell r="F168" t="str">
            <v>TAMPA DO COLIMADOR / 33.06.10241.00</v>
          </cell>
          <cell r="G168" t="str">
            <v>VMI TECNOLOGIAS LTDA</v>
          </cell>
          <cell r="H168">
            <v>45918</v>
          </cell>
          <cell r="I168" t="str">
            <v>MARCO</v>
          </cell>
          <cell r="J168">
            <v>3</v>
          </cell>
          <cell r="K168">
            <v>67.762500000000003</v>
          </cell>
          <cell r="L168">
            <v>271.05</v>
          </cell>
          <cell r="M168" t="str">
            <v>APROVADO</v>
          </cell>
          <cell r="N168" t="str">
            <v>10</v>
          </cell>
          <cell r="O168">
            <v>45992</v>
          </cell>
          <cell r="P168" t="str">
            <v>DEZEMBRO</v>
          </cell>
        </row>
        <row r="169">
          <cell r="B169" t="str">
            <v>049270007233.06.10244.00</v>
          </cell>
          <cell r="C169" t="str">
            <v>049270</v>
          </cell>
          <cell r="D169" t="str">
            <v>0072</v>
          </cell>
          <cell r="E169" t="str">
            <v>33.06.10244.00</v>
          </cell>
          <cell r="F169" t="str">
            <v>SUPORTE DO LED.01 / 33.06.10244.00</v>
          </cell>
          <cell r="G169" t="str">
            <v>VMI TECNOLOGIAS LTDA</v>
          </cell>
          <cell r="H169">
            <v>45918</v>
          </cell>
          <cell r="I169" t="str">
            <v>MARCO</v>
          </cell>
          <cell r="J169">
            <v>16</v>
          </cell>
          <cell r="K169">
            <v>36.264899999999997</v>
          </cell>
          <cell r="L169">
            <v>580.24</v>
          </cell>
          <cell r="M169" t="str">
            <v>APROVADO</v>
          </cell>
          <cell r="N169" t="str">
            <v>10</v>
          </cell>
          <cell r="O169">
            <v>45992</v>
          </cell>
          <cell r="P169" t="str">
            <v>DEZEMBRO</v>
          </cell>
        </row>
        <row r="170">
          <cell r="B170" t="str">
            <v>049270007333.06.10245.00</v>
          </cell>
          <cell r="C170" t="str">
            <v>049270</v>
          </cell>
          <cell r="D170" t="str">
            <v>0073</v>
          </cell>
          <cell r="E170" t="str">
            <v>33.06.10245.00</v>
          </cell>
          <cell r="F170" t="str">
            <v>SUPORTE DO LED.02 / 33.06.10245.00</v>
          </cell>
          <cell r="G170" t="str">
            <v>VMI TECNOLOGIAS LTDA</v>
          </cell>
          <cell r="H170">
            <v>45918</v>
          </cell>
          <cell r="I170" t="str">
            <v>MARCO</v>
          </cell>
          <cell r="J170">
            <v>16</v>
          </cell>
          <cell r="K170">
            <v>36.802199999999999</v>
          </cell>
          <cell r="L170">
            <v>588.84</v>
          </cell>
          <cell r="M170" t="str">
            <v>APROVADO</v>
          </cell>
          <cell r="N170" t="str">
            <v>10</v>
          </cell>
          <cell r="O170">
            <v>45992</v>
          </cell>
          <cell r="P170" t="str">
            <v>DEZEMBRO</v>
          </cell>
        </row>
        <row r="171">
          <cell r="B171" t="str">
            <v>049270008001.33.00015</v>
          </cell>
          <cell r="C171" t="str">
            <v>049270</v>
          </cell>
          <cell r="D171" t="str">
            <v>0080</v>
          </cell>
          <cell r="E171" t="str">
            <v>01.33.00015</v>
          </cell>
          <cell r="F171" t="str">
            <v>MONTAGEM SOLDA APOIO SUPORTE GERADOR 01 \ AA_0737_02</v>
          </cell>
          <cell r="G171" t="str">
            <v>VMI TECNOLOGIAS LTDA</v>
          </cell>
          <cell r="H171">
            <v>45918</v>
          </cell>
          <cell r="I171" t="str">
            <v>MARCO</v>
          </cell>
          <cell r="J171">
            <v>1</v>
          </cell>
          <cell r="K171">
            <v>82.361999999999995</v>
          </cell>
          <cell r="L171">
            <v>82.36</v>
          </cell>
          <cell r="M171" t="str">
            <v>APROVADO</v>
          </cell>
          <cell r="N171" t="str">
            <v>10</v>
          </cell>
          <cell r="O171">
            <v>45925</v>
          </cell>
          <cell r="P171" t="str">
            <v>DEZEMBRO</v>
          </cell>
        </row>
        <row r="172">
          <cell r="B172" t="str">
            <v>049270008621.16.00389</v>
          </cell>
          <cell r="C172" t="str">
            <v>049270</v>
          </cell>
          <cell r="D172" t="str">
            <v>0086</v>
          </cell>
          <cell r="E172" t="str">
            <v>21.16.00389</v>
          </cell>
          <cell r="F172" t="str">
            <v>CHAPA SUPERIOR ENTRE COLIMADORES \ 03_0276_00</v>
          </cell>
          <cell r="G172" t="str">
            <v>VMI TECNOLOGIAS LTDA</v>
          </cell>
          <cell r="H172">
            <v>45918</v>
          </cell>
          <cell r="I172" t="str">
            <v>MARCO</v>
          </cell>
          <cell r="J172">
            <v>14</v>
          </cell>
          <cell r="K172">
            <v>7.4619499999999999</v>
          </cell>
          <cell r="L172">
            <v>104.47</v>
          </cell>
          <cell r="M172" t="str">
            <v>APROVADO</v>
          </cell>
          <cell r="N172" t="str">
            <v>10</v>
          </cell>
          <cell r="O172">
            <v>45925</v>
          </cell>
          <cell r="P172" t="str">
            <v>DEZEMBRO</v>
          </cell>
        </row>
        <row r="173">
          <cell r="B173" t="str">
            <v>049270009321.23.01424</v>
          </cell>
          <cell r="C173" t="str">
            <v>049270</v>
          </cell>
          <cell r="D173" t="str">
            <v>0093</v>
          </cell>
          <cell r="E173" t="str">
            <v>21.23.01424</v>
          </cell>
          <cell r="F173" t="str">
            <v>TRAVA DO ROLAMENTO \ AA_4571_00</v>
          </cell>
          <cell r="G173" t="str">
            <v>VMI TECNOLOGIAS LTDA</v>
          </cell>
          <cell r="H173">
            <v>45918</v>
          </cell>
          <cell r="I173" t="str">
            <v>MARCO</v>
          </cell>
          <cell r="J173">
            <v>10</v>
          </cell>
          <cell r="K173">
            <v>9.2925000000000004</v>
          </cell>
          <cell r="L173">
            <v>92.93</v>
          </cell>
          <cell r="M173" t="str">
            <v>APROVADO</v>
          </cell>
          <cell r="N173" t="str">
            <v>10</v>
          </cell>
          <cell r="O173">
            <v>45925</v>
          </cell>
          <cell r="P173" t="str">
            <v>DEZEMBRO</v>
          </cell>
        </row>
        <row r="174">
          <cell r="B174" t="str">
            <v>049270009521.23.01427</v>
          </cell>
          <cell r="C174" t="str">
            <v>049270</v>
          </cell>
          <cell r="D174" t="str">
            <v>0095</v>
          </cell>
          <cell r="E174" t="str">
            <v>21.23.01427</v>
          </cell>
          <cell r="F174" t="str">
            <v>FECHAMENTO DA POLIA \ AA_4574_00</v>
          </cell>
          <cell r="G174" t="str">
            <v>VMI TECNOLOGIAS LTDA</v>
          </cell>
          <cell r="H174">
            <v>45918</v>
          </cell>
          <cell r="I174" t="str">
            <v>MARCO</v>
          </cell>
          <cell r="J174">
            <v>10</v>
          </cell>
          <cell r="K174">
            <v>11.465999999999999</v>
          </cell>
          <cell r="L174">
            <v>114.66</v>
          </cell>
          <cell r="M174" t="str">
            <v>APROVADO</v>
          </cell>
          <cell r="N174" t="str">
            <v>10</v>
          </cell>
          <cell r="O174">
            <v>45925</v>
          </cell>
          <cell r="P174" t="str">
            <v>DEZEMBRO</v>
          </cell>
        </row>
        <row r="175">
          <cell r="B175" t="str">
            <v>049270009721.23.03225</v>
          </cell>
          <cell r="C175" t="str">
            <v>049270</v>
          </cell>
          <cell r="D175" t="str">
            <v>0097</v>
          </cell>
          <cell r="E175" t="str">
            <v>21.23.03225</v>
          </cell>
          <cell r="F175" t="str">
            <v>PERFIL SUPERIOR \ 03_0109_01</v>
          </cell>
          <cell r="G175" t="str">
            <v>VMI TECNOLOGIAS LTDA</v>
          </cell>
          <cell r="H175">
            <v>45918</v>
          </cell>
          <cell r="I175" t="str">
            <v>MARCO</v>
          </cell>
          <cell r="J175">
            <v>20</v>
          </cell>
          <cell r="K175">
            <v>88.446015000000003</v>
          </cell>
          <cell r="L175">
            <v>2476.4899999999998</v>
          </cell>
          <cell r="M175" t="str">
            <v>APROVADO</v>
          </cell>
          <cell r="N175" t="str">
            <v>10</v>
          </cell>
          <cell r="O175">
            <v>45925</v>
          </cell>
          <cell r="P175" t="str">
            <v>DEZEMBRO</v>
          </cell>
        </row>
        <row r="176">
          <cell r="B176" t="str">
            <v>049270010021.23.03230</v>
          </cell>
          <cell r="C176" t="str">
            <v>049270</v>
          </cell>
          <cell r="D176" t="str">
            <v>0100</v>
          </cell>
          <cell r="E176" t="str">
            <v>21.23.03230</v>
          </cell>
          <cell r="F176" t="str">
            <v>COLUNA DE SUSTENTACAO 02 \ 03_0114_00</v>
          </cell>
          <cell r="G176" t="str">
            <v>VMI TECNOLOGIAS LTDA</v>
          </cell>
          <cell r="H176">
            <v>45918</v>
          </cell>
          <cell r="I176" t="str">
            <v>MARCO</v>
          </cell>
          <cell r="J176">
            <v>1</v>
          </cell>
          <cell r="K176">
            <v>152.62</v>
          </cell>
          <cell r="L176">
            <v>1831.44</v>
          </cell>
          <cell r="M176" t="str">
            <v>APROVADO</v>
          </cell>
          <cell r="N176" t="str">
            <v>10</v>
          </cell>
          <cell r="O176">
            <v>45925</v>
          </cell>
          <cell r="P176" t="str">
            <v>DEZEMBRO</v>
          </cell>
        </row>
        <row r="177">
          <cell r="B177" t="str">
            <v>049270011321.23.03363</v>
          </cell>
          <cell r="C177" t="str">
            <v>049270</v>
          </cell>
          <cell r="D177" t="str">
            <v>0113</v>
          </cell>
          <cell r="E177" t="str">
            <v>21.23.03363</v>
          </cell>
          <cell r="F177" t="str">
            <v>APOIO ACABAMENTO LATERAL \ 03_0352_00</v>
          </cell>
          <cell r="G177" t="str">
            <v>VMI TECNOLOGIAS LTDA</v>
          </cell>
          <cell r="H177">
            <v>45918</v>
          </cell>
          <cell r="I177" t="str">
            <v>MARCO</v>
          </cell>
          <cell r="J177">
            <v>7</v>
          </cell>
          <cell r="K177">
            <v>24.9</v>
          </cell>
          <cell r="L177">
            <v>199.2</v>
          </cell>
          <cell r="M177" t="str">
            <v>APROVADO</v>
          </cell>
          <cell r="N177" t="str">
            <v>10</v>
          </cell>
          <cell r="O177">
            <v>45925</v>
          </cell>
          <cell r="P177" t="str">
            <v>DEZEMBRO</v>
          </cell>
        </row>
        <row r="178">
          <cell r="B178" t="str">
            <v>049270011421.23.03364</v>
          </cell>
          <cell r="C178" t="str">
            <v>049270</v>
          </cell>
          <cell r="D178" t="str">
            <v>0114</v>
          </cell>
          <cell r="E178" t="str">
            <v>21.23.03364</v>
          </cell>
          <cell r="F178" t="str">
            <v>APOIO ACABAMENTO LATERAL \ 03_0353_00</v>
          </cell>
          <cell r="G178" t="str">
            <v>VMI TECNOLOGIAS LTDA</v>
          </cell>
          <cell r="H178">
            <v>45918</v>
          </cell>
          <cell r="I178" t="str">
            <v>MARCO</v>
          </cell>
          <cell r="J178">
            <v>7</v>
          </cell>
          <cell r="K178">
            <v>24.29</v>
          </cell>
          <cell r="L178">
            <v>170.03</v>
          </cell>
          <cell r="M178" t="str">
            <v>APROVADO</v>
          </cell>
          <cell r="N178" t="str">
            <v>10</v>
          </cell>
          <cell r="O178">
            <v>45925</v>
          </cell>
          <cell r="P178" t="str">
            <v>DEZEMBRO</v>
          </cell>
        </row>
        <row r="179">
          <cell r="B179" t="str">
            <v>049270012621.23.04569</v>
          </cell>
          <cell r="C179" t="str">
            <v>049270</v>
          </cell>
          <cell r="D179" t="str">
            <v>0126</v>
          </cell>
          <cell r="E179" t="str">
            <v>21.23.04569</v>
          </cell>
          <cell r="F179" t="str">
            <v>LIMITADOR / AA_10139_00</v>
          </cell>
          <cell r="G179" t="str">
            <v>VMI TECNOLOGIAS LTDA</v>
          </cell>
          <cell r="H179">
            <v>45918</v>
          </cell>
          <cell r="I179" t="str">
            <v>MARCO</v>
          </cell>
          <cell r="J179">
            <v>18</v>
          </cell>
          <cell r="K179">
            <v>7.875</v>
          </cell>
          <cell r="L179">
            <v>141.75</v>
          </cell>
          <cell r="M179" t="str">
            <v>APROVADO</v>
          </cell>
          <cell r="N179" t="str">
            <v>10</v>
          </cell>
          <cell r="O179">
            <v>45925</v>
          </cell>
          <cell r="P179" t="str">
            <v>DEZEMBRO</v>
          </cell>
        </row>
        <row r="180">
          <cell r="B180" t="str">
            <v>049270013033.03.10134.00</v>
          </cell>
          <cell r="C180" t="str">
            <v>049270</v>
          </cell>
          <cell r="D180" t="str">
            <v>0130</v>
          </cell>
          <cell r="E180" t="str">
            <v>33.03.10134.00</v>
          </cell>
          <cell r="F180" t="str">
            <v>SUPORTE DA CONTROLADORA SV / 33.03.10134.00</v>
          </cell>
          <cell r="G180" t="str">
            <v>VMI TECNOLOGIAS LTDA</v>
          </cell>
          <cell r="H180">
            <v>45918</v>
          </cell>
          <cell r="I180" t="str">
            <v>MARCO</v>
          </cell>
          <cell r="J180">
            <v>2</v>
          </cell>
          <cell r="K180">
            <v>17.77</v>
          </cell>
          <cell r="L180">
            <v>35.54</v>
          </cell>
          <cell r="M180" t="str">
            <v>APROVADO</v>
          </cell>
          <cell r="N180" t="str">
            <v>10</v>
          </cell>
          <cell r="O180">
            <v>45925</v>
          </cell>
          <cell r="P180" t="str">
            <v>DEZEMBRO</v>
          </cell>
        </row>
        <row r="181">
          <cell r="B181" t="str">
            <v>049270013133.03.10200.00</v>
          </cell>
          <cell r="C181" t="str">
            <v>049270</v>
          </cell>
          <cell r="D181" t="str">
            <v>0131</v>
          </cell>
          <cell r="E181" t="str">
            <v>33.03.10200.00</v>
          </cell>
          <cell r="F181" t="str">
            <v>LATERAL DO TUNEL / 33.03.10200.00</v>
          </cell>
          <cell r="G181" t="str">
            <v>VMI TECNOLOGIAS LTDA</v>
          </cell>
          <cell r="H181">
            <v>45918</v>
          </cell>
          <cell r="I181" t="str">
            <v>MARCO</v>
          </cell>
          <cell r="J181">
            <v>1</v>
          </cell>
          <cell r="K181">
            <v>103.971</v>
          </cell>
          <cell r="L181">
            <v>2911.19</v>
          </cell>
          <cell r="M181" t="str">
            <v>APROVADO</v>
          </cell>
          <cell r="N181" t="str">
            <v>10</v>
          </cell>
          <cell r="O181">
            <v>45925</v>
          </cell>
          <cell r="P181" t="str">
            <v>DEZEMBRO</v>
          </cell>
        </row>
        <row r="182">
          <cell r="B182" t="str">
            <v>049270013733.03.10226.00</v>
          </cell>
          <cell r="C182" t="str">
            <v>049270</v>
          </cell>
          <cell r="D182" t="str">
            <v>0137</v>
          </cell>
          <cell r="E182" t="str">
            <v>33.03.10226.00</v>
          </cell>
          <cell r="F182" t="str">
            <v>APOIO PARA TAMPA / 33.03.10226.00</v>
          </cell>
          <cell r="G182" t="str">
            <v>VMI TECNOLOGIAS LTDA</v>
          </cell>
          <cell r="H182">
            <v>45918</v>
          </cell>
          <cell r="I182" t="str">
            <v>MARCO</v>
          </cell>
          <cell r="J182">
            <v>12</v>
          </cell>
          <cell r="K182">
            <v>12.5</v>
          </cell>
          <cell r="L182">
            <v>350</v>
          </cell>
          <cell r="M182" t="str">
            <v>APROVADO</v>
          </cell>
          <cell r="N182" t="str">
            <v>10</v>
          </cell>
          <cell r="O182">
            <v>45925</v>
          </cell>
          <cell r="P182" t="str">
            <v>DEZEMBRO</v>
          </cell>
        </row>
        <row r="183">
          <cell r="B183" t="str">
            <v>049270014133.03.10232.01</v>
          </cell>
          <cell r="C183" t="str">
            <v>049270</v>
          </cell>
          <cell r="D183" t="str">
            <v>0141</v>
          </cell>
          <cell r="E183" t="str">
            <v>33.03.10232.01</v>
          </cell>
          <cell r="F183" t="str">
            <v>REGUA / 33.03.10232.01</v>
          </cell>
          <cell r="G183" t="str">
            <v>VMI TECNOLOGIAS LTDA</v>
          </cell>
          <cell r="H183">
            <v>45918</v>
          </cell>
          <cell r="I183" t="str">
            <v>MARCO</v>
          </cell>
          <cell r="J183">
            <v>13</v>
          </cell>
          <cell r="K183">
            <v>31.531500000000001</v>
          </cell>
          <cell r="L183">
            <v>756.76</v>
          </cell>
          <cell r="M183" t="str">
            <v>APROVADO</v>
          </cell>
          <cell r="N183" t="str">
            <v>10</v>
          </cell>
          <cell r="O183">
            <v>45925</v>
          </cell>
          <cell r="P183" t="str">
            <v>DEZEMBRO</v>
          </cell>
        </row>
        <row r="184">
          <cell r="B184" t="str">
            <v>049270014233.03.10242.00</v>
          </cell>
          <cell r="C184" t="str">
            <v>049270</v>
          </cell>
          <cell r="D184" t="str">
            <v>0142</v>
          </cell>
          <cell r="E184" t="str">
            <v>33.03.10242.00</v>
          </cell>
          <cell r="F184" t="str">
            <v>OB - FIXACAO MESA / 33.03.10242.00</v>
          </cell>
          <cell r="G184" t="str">
            <v>VMI TECNOLOGIAS LTDA</v>
          </cell>
          <cell r="H184">
            <v>45918</v>
          </cell>
          <cell r="I184" t="str">
            <v>MARCO</v>
          </cell>
          <cell r="J184">
            <v>43</v>
          </cell>
          <cell r="K184">
            <v>12.5</v>
          </cell>
          <cell r="L184">
            <v>562.5</v>
          </cell>
          <cell r="M184" t="str">
            <v>APROVADO</v>
          </cell>
          <cell r="N184" t="str">
            <v>10</v>
          </cell>
          <cell r="O184">
            <v>45641</v>
          </cell>
          <cell r="P184" t="str">
            <v>DEZEMBRO</v>
          </cell>
        </row>
        <row r="185">
          <cell r="B185" t="str">
            <v>049270015033.03.10257.01</v>
          </cell>
          <cell r="C185" t="str">
            <v>049270</v>
          </cell>
          <cell r="D185" t="str">
            <v>0150</v>
          </cell>
          <cell r="E185" t="str">
            <v>33.03.10257.01</v>
          </cell>
          <cell r="F185" t="str">
            <v>REGUA COLIMADOR 1 / 33.03.10257.01</v>
          </cell>
          <cell r="G185" t="str">
            <v>VMI TECNOLOGIAS LTDA</v>
          </cell>
          <cell r="H185">
            <v>45918</v>
          </cell>
          <cell r="I185" t="str">
            <v>MARCO</v>
          </cell>
          <cell r="J185">
            <v>1</v>
          </cell>
          <cell r="K185">
            <v>31.846499999999999</v>
          </cell>
          <cell r="L185">
            <v>445.85</v>
          </cell>
          <cell r="M185" t="str">
            <v>APROVADO</v>
          </cell>
          <cell r="N185" t="str">
            <v>10</v>
          </cell>
          <cell r="O185">
            <v>45925</v>
          </cell>
          <cell r="P185" t="str">
            <v>DEZEMBRO</v>
          </cell>
        </row>
        <row r="186">
          <cell r="B186" t="str">
            <v>049270015533.03.10266.02</v>
          </cell>
          <cell r="C186" t="str">
            <v>049270</v>
          </cell>
          <cell r="D186" t="str">
            <v>0155</v>
          </cell>
          <cell r="E186" t="str">
            <v>33.03.10266.02</v>
          </cell>
          <cell r="F186" t="str">
            <v>SUPORTE COLIMADOR / 33.03.10266.02</v>
          </cell>
          <cell r="G186" t="str">
            <v>VMI TECNOLOGIAS LTDA</v>
          </cell>
          <cell r="H186">
            <v>45918</v>
          </cell>
          <cell r="I186" t="str">
            <v>MARCO</v>
          </cell>
          <cell r="J186">
            <v>14</v>
          </cell>
          <cell r="K186">
            <v>19.68</v>
          </cell>
          <cell r="L186">
            <v>275.52</v>
          </cell>
          <cell r="M186" t="str">
            <v>APROVADO</v>
          </cell>
          <cell r="N186" t="str">
            <v>10</v>
          </cell>
          <cell r="O186">
            <v>45925</v>
          </cell>
          <cell r="P186" t="str">
            <v>DEZEMBRO</v>
          </cell>
        </row>
        <row r="187">
          <cell r="B187" t="str">
            <v>049270016433.03.10282.00</v>
          </cell>
          <cell r="C187" t="str">
            <v>049270</v>
          </cell>
          <cell r="D187" t="str">
            <v>0164</v>
          </cell>
          <cell r="E187" t="str">
            <v>33.03.10282.00</v>
          </cell>
          <cell r="F187" t="str">
            <v>ESPACADOR COLIMADOR / 33.03.10282.00</v>
          </cell>
          <cell r="G187" t="str">
            <v>VMI TECNOLOGIAS LTDA</v>
          </cell>
          <cell r="H187">
            <v>45918</v>
          </cell>
          <cell r="I187" t="str">
            <v>MARCO</v>
          </cell>
          <cell r="J187">
            <v>2</v>
          </cell>
          <cell r="K187">
            <v>6.2</v>
          </cell>
          <cell r="L187">
            <v>12.4</v>
          </cell>
          <cell r="M187" t="str">
            <v>APROVADO</v>
          </cell>
          <cell r="N187" t="str">
            <v>10</v>
          </cell>
          <cell r="O187">
            <v>45993</v>
          </cell>
          <cell r="P187" t="str">
            <v>DEZEMBRO</v>
          </cell>
        </row>
        <row r="188">
          <cell r="B188" t="str">
            <v>049270016733.03.10295.00</v>
          </cell>
          <cell r="C188" t="str">
            <v>049270</v>
          </cell>
          <cell r="D188" t="str">
            <v>0167</v>
          </cell>
          <cell r="E188" t="str">
            <v>33.03.10295.00</v>
          </cell>
          <cell r="F188" t="str">
            <v>DISTANCIADOR/33.03.10295.00</v>
          </cell>
          <cell r="G188" t="str">
            <v>VMI TECNOLOGIAS LTDA</v>
          </cell>
          <cell r="H188">
            <v>45918</v>
          </cell>
          <cell r="I188" t="str">
            <v>MARCO</v>
          </cell>
          <cell r="J188">
            <v>34</v>
          </cell>
          <cell r="K188">
            <v>6.5</v>
          </cell>
          <cell r="L188">
            <v>240.5</v>
          </cell>
          <cell r="M188" t="str">
            <v>APROVADO</v>
          </cell>
          <cell r="N188" t="str">
            <v>10</v>
          </cell>
          <cell r="O188">
            <v>45583</v>
          </cell>
          <cell r="P188" t="str">
            <v>DEZEMBRO</v>
          </cell>
        </row>
        <row r="189">
          <cell r="B189" t="str">
            <v>049270017933.03.10345.00</v>
          </cell>
          <cell r="C189" t="str">
            <v>049270</v>
          </cell>
          <cell r="D189" t="str">
            <v>0179</v>
          </cell>
          <cell r="E189" t="str">
            <v>33.03.10345.00</v>
          </cell>
          <cell r="F189" t="str">
            <v>LATERAL DO COLIMADOR / 33.03.10345.00</v>
          </cell>
          <cell r="G189" t="str">
            <v>VMI TECNOLOGIAS LTDA</v>
          </cell>
          <cell r="H189">
            <v>45918</v>
          </cell>
          <cell r="I189" t="str">
            <v>MARCO</v>
          </cell>
          <cell r="J189">
            <v>2</v>
          </cell>
          <cell r="K189">
            <v>28.51</v>
          </cell>
          <cell r="L189">
            <v>85.53</v>
          </cell>
          <cell r="M189" t="str">
            <v>APROVADO</v>
          </cell>
          <cell r="N189" t="str">
            <v>10</v>
          </cell>
          <cell r="O189">
            <v>45925</v>
          </cell>
          <cell r="P189" t="str">
            <v>DEZEMBRO</v>
          </cell>
        </row>
        <row r="190">
          <cell r="B190" t="str">
            <v>049270018633.03.10359.00</v>
          </cell>
          <cell r="C190" t="str">
            <v>049270</v>
          </cell>
          <cell r="D190" t="str">
            <v>0186</v>
          </cell>
          <cell r="E190" t="str">
            <v>33.03.10359.00</v>
          </cell>
          <cell r="F190" t="str">
            <v>FECHAMENTO MAIOR COLIMADOR PRIMARIO / 33.03.10359.00</v>
          </cell>
          <cell r="G190" t="str">
            <v>VMI TECNOLOGIAS LTDA</v>
          </cell>
          <cell r="H190">
            <v>45918</v>
          </cell>
          <cell r="I190" t="str">
            <v>MARCO</v>
          </cell>
          <cell r="J190">
            <v>1</v>
          </cell>
          <cell r="K190">
            <v>15.981</v>
          </cell>
          <cell r="L190">
            <v>111.87</v>
          </cell>
          <cell r="M190" t="str">
            <v>APROVADO</v>
          </cell>
          <cell r="N190" t="str">
            <v>10</v>
          </cell>
          <cell r="O190">
            <v>45925</v>
          </cell>
          <cell r="P190" t="str">
            <v>DEZEMBRO</v>
          </cell>
        </row>
        <row r="191">
          <cell r="B191" t="str">
            <v>049270019133.03.11184.01</v>
          </cell>
          <cell r="C191" t="str">
            <v>049270</v>
          </cell>
          <cell r="D191" t="str">
            <v>0191</v>
          </cell>
          <cell r="E191" t="str">
            <v>33.03.11184.01</v>
          </cell>
          <cell r="F191" t="str">
            <v>SUPORTE FONTE WEG / 33.03.11184.01</v>
          </cell>
          <cell r="G191" t="str">
            <v>VMI TECNOLOGIAS LTDA</v>
          </cell>
          <cell r="H191">
            <v>45918</v>
          </cell>
          <cell r="I191" t="str">
            <v>MARCO</v>
          </cell>
          <cell r="J191">
            <v>12</v>
          </cell>
          <cell r="K191">
            <v>3.15</v>
          </cell>
          <cell r="L191">
            <v>37.799999999999997</v>
          </cell>
          <cell r="M191" t="str">
            <v>APROVADO</v>
          </cell>
          <cell r="N191" t="str">
            <v>10</v>
          </cell>
          <cell r="O191">
            <v>45929</v>
          </cell>
          <cell r="P191" t="str">
            <v>DEZEMBRO</v>
          </cell>
        </row>
        <row r="192">
          <cell r="B192" t="str">
            <v>049270019233.03.11306.01</v>
          </cell>
          <cell r="C192" t="str">
            <v>049270</v>
          </cell>
          <cell r="D192" t="str">
            <v>0192</v>
          </cell>
          <cell r="E192" t="str">
            <v>33.03.11306.01</v>
          </cell>
          <cell r="F192" t="str">
            <v>BASE INFERIOR / 33.03.11306.01</v>
          </cell>
          <cell r="G192" t="str">
            <v>VMI TECNOLOGIAS LTDA</v>
          </cell>
          <cell r="H192">
            <v>45918</v>
          </cell>
          <cell r="I192" t="str">
            <v>MARCO</v>
          </cell>
          <cell r="J192">
            <v>6</v>
          </cell>
          <cell r="K192">
            <v>907.60950000000003</v>
          </cell>
          <cell r="L192">
            <v>6353.27</v>
          </cell>
          <cell r="M192" t="str">
            <v>APROVADO</v>
          </cell>
          <cell r="N192" t="str">
            <v>10</v>
          </cell>
          <cell r="O192">
            <v>45664</v>
          </cell>
          <cell r="P192" t="str">
            <v>DEZEMBRO</v>
          </cell>
        </row>
        <row r="193">
          <cell r="B193" t="str">
            <v>049270020333.03.11326.00</v>
          </cell>
          <cell r="C193" t="str">
            <v>049270</v>
          </cell>
          <cell r="D193" t="str">
            <v>0203</v>
          </cell>
          <cell r="E193" t="str">
            <v>33.03.11326.00</v>
          </cell>
          <cell r="F193" t="str">
            <v>REGUA DO COLIMADOR - A / 33.03.11326.00</v>
          </cell>
          <cell r="G193" t="str">
            <v>VMI TECNOLOGIAS LTDA</v>
          </cell>
          <cell r="H193">
            <v>45918</v>
          </cell>
          <cell r="I193" t="str">
            <v>MARCO</v>
          </cell>
          <cell r="J193">
            <v>13</v>
          </cell>
          <cell r="K193">
            <v>14.5</v>
          </cell>
          <cell r="L193">
            <v>188.5</v>
          </cell>
          <cell r="M193" t="str">
            <v>APROVADO</v>
          </cell>
          <cell r="N193" t="str">
            <v>10</v>
          </cell>
          <cell r="O193">
            <v>45634</v>
          </cell>
          <cell r="P193" t="str">
            <v>DEZEMBRO</v>
          </cell>
        </row>
        <row r="194">
          <cell r="B194" t="str">
            <v>049270020433.03.11326.00</v>
          </cell>
          <cell r="C194" t="str">
            <v>049270</v>
          </cell>
          <cell r="D194" t="str">
            <v>0204</v>
          </cell>
          <cell r="E194" t="str">
            <v>33.03.11326.00</v>
          </cell>
          <cell r="F194" t="str">
            <v>REGUA DO COLIMADOR - A / 33.03.11326.00</v>
          </cell>
          <cell r="G194" t="str">
            <v>VMI TECNOLOGIAS LTDA</v>
          </cell>
          <cell r="H194">
            <v>45918</v>
          </cell>
          <cell r="I194" t="str">
            <v>MARCO</v>
          </cell>
          <cell r="J194">
            <v>1</v>
          </cell>
          <cell r="K194">
            <v>14.5</v>
          </cell>
          <cell r="L194">
            <v>14.5</v>
          </cell>
          <cell r="M194" t="str">
            <v>APROVADO</v>
          </cell>
          <cell r="N194" t="str">
            <v>10</v>
          </cell>
          <cell r="O194">
            <v>45909</v>
          </cell>
          <cell r="P194" t="str">
            <v>DEZEMBRO</v>
          </cell>
        </row>
        <row r="195">
          <cell r="B195" t="str">
            <v>049270022133.03.11373.01</v>
          </cell>
          <cell r="C195" t="str">
            <v>049270</v>
          </cell>
          <cell r="D195" t="str">
            <v>0221</v>
          </cell>
          <cell r="E195" t="str">
            <v>33.03.11373.01</v>
          </cell>
          <cell r="F195" t="str">
            <v>FIXADOR POLICARBONATO E - 33.03.11373.01</v>
          </cell>
          <cell r="G195" t="str">
            <v>VMI TECNOLOGIAS LTDA</v>
          </cell>
          <cell r="H195">
            <v>45918</v>
          </cell>
          <cell r="I195" t="str">
            <v>MARCO</v>
          </cell>
          <cell r="J195">
            <v>2</v>
          </cell>
          <cell r="K195">
            <v>19.519500000000001</v>
          </cell>
          <cell r="L195">
            <v>273.27</v>
          </cell>
          <cell r="M195" t="str">
            <v>APROVADO</v>
          </cell>
          <cell r="N195" t="str">
            <v>10</v>
          </cell>
          <cell r="O195">
            <v>45634</v>
          </cell>
          <cell r="P195" t="str">
            <v>DEZEMBRO</v>
          </cell>
        </row>
        <row r="196">
          <cell r="B196" t="str">
            <v>049270022333.03.11376.00</v>
          </cell>
          <cell r="C196" t="str">
            <v>049270</v>
          </cell>
          <cell r="D196" t="str">
            <v>0223</v>
          </cell>
          <cell r="E196" t="str">
            <v>33.03.11376.00</v>
          </cell>
          <cell r="F196" t="str">
            <v>CHAPA PROTECAO SENSOR TUNEL / 33.03.11376.00</v>
          </cell>
          <cell r="G196" t="str">
            <v>VMI TECNOLOGIAS LTDA</v>
          </cell>
          <cell r="H196">
            <v>45918</v>
          </cell>
          <cell r="I196" t="str">
            <v>MARCO</v>
          </cell>
          <cell r="J196">
            <v>17</v>
          </cell>
          <cell r="K196">
            <v>12</v>
          </cell>
          <cell r="L196">
            <v>444</v>
          </cell>
          <cell r="M196" t="str">
            <v>APROVADO</v>
          </cell>
          <cell r="N196" t="str">
            <v>10</v>
          </cell>
          <cell r="O196">
            <v>45634</v>
          </cell>
          <cell r="P196" t="str">
            <v>DEZEMBRO</v>
          </cell>
        </row>
        <row r="197">
          <cell r="B197" t="str">
            <v>049270022633.03.11383.00</v>
          </cell>
          <cell r="C197" t="str">
            <v>049270</v>
          </cell>
          <cell r="D197" t="str">
            <v>0226</v>
          </cell>
          <cell r="E197" t="str">
            <v>33.03.11383.00</v>
          </cell>
          <cell r="F197" t="str">
            <v>TRAVA CAIXA U / 33.03.11383.00</v>
          </cell>
          <cell r="G197" t="str">
            <v>VMI TECNOLOGIAS LTDA</v>
          </cell>
          <cell r="H197">
            <v>45918</v>
          </cell>
          <cell r="I197" t="str">
            <v>MARCO</v>
          </cell>
          <cell r="J197">
            <v>56</v>
          </cell>
          <cell r="K197">
            <v>6.41</v>
          </cell>
          <cell r="L197">
            <v>358.96</v>
          </cell>
          <cell r="M197" t="str">
            <v>APROVADO</v>
          </cell>
          <cell r="N197" t="str">
            <v>10</v>
          </cell>
          <cell r="O197">
            <v>45925</v>
          </cell>
          <cell r="P197" t="str">
            <v>DEZEMBRO</v>
          </cell>
        </row>
        <row r="198">
          <cell r="B198" t="str">
            <v>049270023133.03.11389.03</v>
          </cell>
          <cell r="C198" t="str">
            <v>049270</v>
          </cell>
          <cell r="D198" t="str">
            <v>0231</v>
          </cell>
          <cell r="E198" t="str">
            <v>33.03.11389.03</v>
          </cell>
          <cell r="F198" t="str">
            <v>BASE DA CAIXA X - DAQ / 33.03.11389.03</v>
          </cell>
          <cell r="G198" t="str">
            <v>VMI TECNOLOGIAS LTDA</v>
          </cell>
          <cell r="H198">
            <v>45918</v>
          </cell>
          <cell r="I198" t="str">
            <v>MARCO</v>
          </cell>
          <cell r="J198">
            <v>1</v>
          </cell>
          <cell r="K198">
            <v>55.68</v>
          </cell>
          <cell r="L198">
            <v>946.56</v>
          </cell>
          <cell r="M198" t="str">
            <v>APROVADO</v>
          </cell>
          <cell r="N198" t="str">
            <v>10</v>
          </cell>
          <cell r="O198">
            <v>45925</v>
          </cell>
          <cell r="P198" t="str">
            <v>DEZEMBRO</v>
          </cell>
        </row>
        <row r="199">
          <cell r="B199" t="str">
            <v>049270023633.03.11427.00</v>
          </cell>
          <cell r="C199" t="str">
            <v>049270</v>
          </cell>
          <cell r="D199" t="str">
            <v>0236</v>
          </cell>
          <cell r="E199" t="str">
            <v>33.03.11427.00</v>
          </cell>
          <cell r="F199" t="str">
            <v>SUPORTE DE REGULAGEM DO PAINEL / 33.03.11427.00</v>
          </cell>
          <cell r="G199" t="str">
            <v>VMI TECNOLOGIAS LTDA</v>
          </cell>
          <cell r="H199">
            <v>45918</v>
          </cell>
          <cell r="I199" t="str">
            <v>MARCO</v>
          </cell>
          <cell r="J199">
            <v>2</v>
          </cell>
          <cell r="K199">
            <v>7.69</v>
          </cell>
          <cell r="L199">
            <v>46.14</v>
          </cell>
          <cell r="M199" t="str">
            <v>APROVADO</v>
          </cell>
          <cell r="N199" t="str">
            <v>10</v>
          </cell>
          <cell r="O199">
            <v>45925</v>
          </cell>
          <cell r="P199" t="str">
            <v>DEZEMBRO</v>
          </cell>
        </row>
        <row r="200">
          <cell r="B200" t="str">
            <v>049270025533.03.11469.00</v>
          </cell>
          <cell r="C200" t="str">
            <v>049270</v>
          </cell>
          <cell r="D200" t="str">
            <v>0255</v>
          </cell>
          <cell r="E200" t="str">
            <v>33.03.11469.00</v>
          </cell>
          <cell r="F200" t="str">
            <v>AMARRA CABOS PARA PC / 33.03.11469.00</v>
          </cell>
          <cell r="G200" t="str">
            <v>VMI TECNOLOGIAS LTDA</v>
          </cell>
          <cell r="H200">
            <v>45918</v>
          </cell>
          <cell r="I200" t="str">
            <v>MARCO</v>
          </cell>
          <cell r="J200">
            <v>4</v>
          </cell>
          <cell r="K200">
            <v>22.1</v>
          </cell>
          <cell r="L200">
            <v>132.6</v>
          </cell>
          <cell r="M200" t="str">
            <v>APROVADO</v>
          </cell>
          <cell r="N200" t="str">
            <v>10</v>
          </cell>
          <cell r="O200">
            <v>45925</v>
          </cell>
          <cell r="P200" t="str">
            <v>DEZEMBRO</v>
          </cell>
        </row>
        <row r="201">
          <cell r="B201" t="str">
            <v>049270025733.03.11470.00</v>
          </cell>
          <cell r="C201" t="str">
            <v>049270</v>
          </cell>
          <cell r="D201" t="str">
            <v>0257</v>
          </cell>
          <cell r="E201" t="str">
            <v>33.03.11470.00</v>
          </cell>
          <cell r="F201" t="str">
            <v>SUPORTE PARA TRAVAR AMARRA CABOS DO PC / 33.03.11470.00</v>
          </cell>
          <cell r="G201" t="str">
            <v>VMI TECNOLOGIAS LTDA</v>
          </cell>
          <cell r="H201">
            <v>45918</v>
          </cell>
          <cell r="I201" t="str">
            <v>MARCO</v>
          </cell>
          <cell r="J201">
            <v>1</v>
          </cell>
          <cell r="K201">
            <v>12.096</v>
          </cell>
          <cell r="L201">
            <v>24.19</v>
          </cell>
          <cell r="M201" t="str">
            <v>APROVADO</v>
          </cell>
          <cell r="N201" t="str">
            <v>10</v>
          </cell>
          <cell r="O201">
            <v>45925</v>
          </cell>
          <cell r="P201" t="str">
            <v>DEZEMBRO</v>
          </cell>
        </row>
        <row r="202">
          <cell r="B202" t="str">
            <v>049270025833.03.11473.02</v>
          </cell>
          <cell r="C202" t="str">
            <v>049270</v>
          </cell>
          <cell r="D202" t="str">
            <v>0258</v>
          </cell>
          <cell r="E202" t="str">
            <v>33.03.11473.02</v>
          </cell>
          <cell r="F202" t="str">
            <v>SUPORTE PLACA / 33.03.11473.02</v>
          </cell>
          <cell r="G202" t="str">
            <v>VMI TECNOLOGIAS LTDA</v>
          </cell>
          <cell r="H202">
            <v>45918</v>
          </cell>
          <cell r="I202" t="str">
            <v>MARCO</v>
          </cell>
          <cell r="J202">
            <v>1</v>
          </cell>
          <cell r="K202">
            <v>6.3</v>
          </cell>
          <cell r="L202">
            <v>485.1</v>
          </cell>
          <cell r="M202" t="str">
            <v>APROVADO</v>
          </cell>
          <cell r="N202" t="str">
            <v>10</v>
          </cell>
          <cell r="O202">
            <v>45925</v>
          </cell>
          <cell r="P202" t="str">
            <v>DEZEMBRO</v>
          </cell>
        </row>
        <row r="203">
          <cell r="B203" t="str">
            <v>049270026133.03.11477.00</v>
          </cell>
          <cell r="C203" t="str">
            <v>049270</v>
          </cell>
          <cell r="D203" t="str">
            <v>0261</v>
          </cell>
          <cell r="E203" t="str">
            <v>33.03.11477.00</v>
          </cell>
          <cell r="F203" t="str">
            <v>TAMPA DA ESTEIRA - A - 33.03.11477.00</v>
          </cell>
          <cell r="G203" t="str">
            <v>VMI TECNOLOGIAS LTDA</v>
          </cell>
          <cell r="H203">
            <v>45918</v>
          </cell>
          <cell r="I203" t="str">
            <v>MARCO</v>
          </cell>
          <cell r="J203">
            <v>7</v>
          </cell>
          <cell r="K203">
            <v>42.30303</v>
          </cell>
          <cell r="L203">
            <v>296.12</v>
          </cell>
          <cell r="M203" t="str">
            <v>APROVADO</v>
          </cell>
          <cell r="N203" t="str">
            <v>10</v>
          </cell>
          <cell r="O203">
            <v>45641</v>
          </cell>
          <cell r="P203" t="str">
            <v>DEZEMBRO</v>
          </cell>
        </row>
        <row r="204">
          <cell r="B204" t="str">
            <v>049270027433.03.11512.00</v>
          </cell>
          <cell r="C204" t="str">
            <v>049270</v>
          </cell>
          <cell r="D204" t="str">
            <v>0274</v>
          </cell>
          <cell r="E204" t="str">
            <v>33.03.11512.00</v>
          </cell>
          <cell r="F204" t="str">
            <v>CHAPA TAMPA HORIZONTAL 6040 SV / 33.03.11512.00</v>
          </cell>
          <cell r="G204" t="str">
            <v>VMI TECNOLOGIAS LTDA</v>
          </cell>
          <cell r="H204">
            <v>45918</v>
          </cell>
          <cell r="I204" t="str">
            <v>MARCO</v>
          </cell>
          <cell r="J204">
            <v>1</v>
          </cell>
          <cell r="K204">
            <v>49.297499999999999</v>
          </cell>
          <cell r="L204">
            <v>492.98</v>
          </cell>
          <cell r="M204" t="str">
            <v>APROVADO</v>
          </cell>
          <cell r="N204" t="str">
            <v>10</v>
          </cell>
          <cell r="O204">
            <v>45925</v>
          </cell>
          <cell r="P204" t="str">
            <v>DEZEMBRO</v>
          </cell>
        </row>
        <row r="205">
          <cell r="B205" t="str">
            <v>049270029833.06.10028.00</v>
          </cell>
          <cell r="C205" t="str">
            <v>049270</v>
          </cell>
          <cell r="D205" t="str">
            <v>0298</v>
          </cell>
          <cell r="E205" t="str">
            <v>33.06.10028.00</v>
          </cell>
          <cell r="F205" t="str">
            <v>SUPORTE DO SENSOR / 33.06.10028.00</v>
          </cell>
          <cell r="G205" t="str">
            <v>VMI TECNOLOGIAS LTDA</v>
          </cell>
          <cell r="H205">
            <v>45918</v>
          </cell>
          <cell r="I205" t="str">
            <v>MARCO</v>
          </cell>
          <cell r="J205">
            <v>3</v>
          </cell>
          <cell r="K205">
            <v>24.374199999999998</v>
          </cell>
          <cell r="L205">
            <v>194.99</v>
          </cell>
          <cell r="M205" t="str">
            <v>APROVADO</v>
          </cell>
          <cell r="N205" t="str">
            <v>10</v>
          </cell>
          <cell r="O205">
            <v>45925</v>
          </cell>
          <cell r="P205" t="str">
            <v>DEZEMBRO</v>
          </cell>
        </row>
        <row r="206">
          <cell r="B206" t="str">
            <v>049270030633.06.10058.00</v>
          </cell>
          <cell r="C206" t="str">
            <v>049270</v>
          </cell>
          <cell r="D206" t="str">
            <v>0306</v>
          </cell>
          <cell r="E206" t="str">
            <v>33.06.10058.00</v>
          </cell>
          <cell r="F206" t="str">
            <v>BASE LAMINAS COLIMADOR / 33.06.10058.00</v>
          </cell>
          <cell r="G206" t="str">
            <v>VMI TECNOLOGIAS LTDA</v>
          </cell>
          <cell r="H206">
            <v>45918</v>
          </cell>
          <cell r="I206" t="str">
            <v>MARCO</v>
          </cell>
          <cell r="J206">
            <v>1</v>
          </cell>
          <cell r="K206">
            <v>127</v>
          </cell>
          <cell r="L206">
            <v>254</v>
          </cell>
          <cell r="M206" t="str">
            <v>APROVADO</v>
          </cell>
          <cell r="N206" t="str">
            <v>10</v>
          </cell>
          <cell r="O206">
            <v>45925</v>
          </cell>
          <cell r="P206" t="str">
            <v>DEZEMBRO</v>
          </cell>
        </row>
        <row r="207">
          <cell r="B207" t="str">
            <v>049270031033.06.10064.00</v>
          </cell>
          <cell r="C207" t="str">
            <v>049270</v>
          </cell>
          <cell r="D207" t="str">
            <v>0310</v>
          </cell>
          <cell r="E207" t="str">
            <v>33.06.10064.00</v>
          </cell>
          <cell r="F207" t="str">
            <v>FECHAMENTO FRONTAL COLIMADOR / 33.06.10064.00</v>
          </cell>
          <cell r="G207" t="str">
            <v>VMI TECNOLOGIAS LTDA</v>
          </cell>
          <cell r="H207">
            <v>45918</v>
          </cell>
          <cell r="I207" t="str">
            <v>MARCO</v>
          </cell>
          <cell r="J207">
            <v>1</v>
          </cell>
          <cell r="K207">
            <v>45.384099999999997</v>
          </cell>
          <cell r="L207">
            <v>90.77</v>
          </cell>
          <cell r="M207" t="str">
            <v>APROVADO</v>
          </cell>
          <cell r="N207" t="str">
            <v>10</v>
          </cell>
          <cell r="O207">
            <v>45925</v>
          </cell>
          <cell r="P207" t="str">
            <v>DEZEMBRO</v>
          </cell>
        </row>
        <row r="208">
          <cell r="B208" t="str">
            <v>049270031233.06.10067.00</v>
          </cell>
          <cell r="C208" t="str">
            <v>049270</v>
          </cell>
          <cell r="D208" t="str">
            <v>0312</v>
          </cell>
          <cell r="E208" t="str">
            <v>33.06.10067.00</v>
          </cell>
          <cell r="F208" t="str">
            <v>CHAPA FECHAMENTO COLIMADOR SECUNDARIO / 33.06.10067.00</v>
          </cell>
          <cell r="G208" t="str">
            <v>VMI TECNOLOGIAS LTDA</v>
          </cell>
          <cell r="H208">
            <v>45918</v>
          </cell>
          <cell r="I208" t="str">
            <v>MARCO</v>
          </cell>
          <cell r="J208">
            <v>1</v>
          </cell>
          <cell r="K208">
            <v>43.978700000000003</v>
          </cell>
          <cell r="L208">
            <v>87.96</v>
          </cell>
          <cell r="M208" t="str">
            <v>APROVADO</v>
          </cell>
          <cell r="N208" t="str">
            <v>10</v>
          </cell>
          <cell r="O208">
            <v>45925</v>
          </cell>
          <cell r="P208" t="str">
            <v>DEZEMBRO</v>
          </cell>
        </row>
        <row r="209">
          <cell r="B209" t="str">
            <v>049270031533.06.10075.00</v>
          </cell>
          <cell r="C209" t="str">
            <v>049270</v>
          </cell>
          <cell r="D209" t="str">
            <v>0315</v>
          </cell>
          <cell r="E209" t="str">
            <v>33.06.10075.00</v>
          </cell>
          <cell r="F209" t="str">
            <v>TRAVA 2 / 33.06.10075.00</v>
          </cell>
          <cell r="G209" t="str">
            <v>VMI TECNOLOGIAS LTDA</v>
          </cell>
          <cell r="H209">
            <v>45918</v>
          </cell>
          <cell r="I209" t="str">
            <v>MARCO</v>
          </cell>
          <cell r="J209">
            <v>8</v>
          </cell>
          <cell r="K209">
            <v>11.80326</v>
          </cell>
          <cell r="L209">
            <v>94.43</v>
          </cell>
          <cell r="M209" t="str">
            <v>APROVADO</v>
          </cell>
          <cell r="N209" t="str">
            <v>10</v>
          </cell>
          <cell r="O209">
            <v>45925</v>
          </cell>
          <cell r="P209" t="str">
            <v>DEZEMBRO</v>
          </cell>
        </row>
        <row r="210">
          <cell r="B210" t="str">
            <v>049270031933.06.10091.00</v>
          </cell>
          <cell r="C210" t="str">
            <v>049270</v>
          </cell>
          <cell r="D210" t="str">
            <v>0319</v>
          </cell>
          <cell r="E210" t="str">
            <v>33.06.10091.00</v>
          </cell>
          <cell r="F210" t="str">
            <v>SUPORTE MICRO PARA TAMPAS / 33.06.10091.00</v>
          </cell>
          <cell r="G210" t="str">
            <v>VMI TECNOLOGIAS LTDA</v>
          </cell>
          <cell r="H210">
            <v>45918</v>
          </cell>
          <cell r="I210" t="str">
            <v>MARCO</v>
          </cell>
          <cell r="J210">
            <v>3</v>
          </cell>
          <cell r="K210">
            <v>41.795499999999997</v>
          </cell>
          <cell r="L210">
            <v>167.18</v>
          </cell>
          <cell r="M210" t="str">
            <v>APROVADO</v>
          </cell>
          <cell r="N210" t="str">
            <v>10</v>
          </cell>
          <cell r="O210">
            <v>45925</v>
          </cell>
          <cell r="P210" t="str">
            <v>DEZEMBRO</v>
          </cell>
        </row>
        <row r="211">
          <cell r="B211" t="str">
            <v>049270032333.06.10107.00</v>
          </cell>
          <cell r="C211" t="str">
            <v>049270</v>
          </cell>
          <cell r="D211" t="str">
            <v>0323</v>
          </cell>
          <cell r="E211" t="str">
            <v>33.06.10107.00</v>
          </cell>
          <cell r="F211" t="str">
            <v>CHAPA FECHAMENTO ENTRE COLIMADORES / 33.06.10107.00</v>
          </cell>
          <cell r="G211" t="str">
            <v>VMI TECNOLOGIAS LTDA</v>
          </cell>
          <cell r="H211">
            <v>45918</v>
          </cell>
          <cell r="I211" t="str">
            <v>MARCO</v>
          </cell>
          <cell r="J211">
            <v>1</v>
          </cell>
          <cell r="K211">
            <v>35.318300000000001</v>
          </cell>
          <cell r="L211">
            <v>141.27000000000001</v>
          </cell>
          <cell r="M211" t="str">
            <v>APROVADO</v>
          </cell>
          <cell r="N211" t="str">
            <v>10</v>
          </cell>
          <cell r="O211">
            <v>45925</v>
          </cell>
          <cell r="P211" t="str">
            <v>DEZEMBRO</v>
          </cell>
        </row>
        <row r="212">
          <cell r="B212" t="str">
            <v>049270033233.06.10225.00</v>
          </cell>
          <cell r="C212" t="str">
            <v>049270</v>
          </cell>
          <cell r="D212" t="str">
            <v>0332</v>
          </cell>
          <cell r="E212" t="str">
            <v>33.06.10225.00</v>
          </cell>
          <cell r="F212" t="str">
            <v>TRAVA DO EIXO DE REGULAGEM / 33.06.10225.00</v>
          </cell>
          <cell r="G212" t="str">
            <v>VMI TECNOLOGIAS LTDA</v>
          </cell>
          <cell r="H212">
            <v>45918</v>
          </cell>
          <cell r="I212" t="str">
            <v>MARCO</v>
          </cell>
          <cell r="J212">
            <v>2</v>
          </cell>
          <cell r="K212">
            <v>30.974900000000002</v>
          </cell>
          <cell r="L212">
            <v>185.85</v>
          </cell>
          <cell r="M212" t="str">
            <v>APROVADO</v>
          </cell>
          <cell r="N212" t="str">
            <v>10</v>
          </cell>
          <cell r="O212">
            <v>45925</v>
          </cell>
          <cell r="P212" t="str">
            <v>DEZEMBRO</v>
          </cell>
        </row>
        <row r="213">
          <cell r="B213" t="str">
            <v>049270033433.06.10232.00</v>
          </cell>
          <cell r="C213" t="str">
            <v>049270</v>
          </cell>
          <cell r="D213" t="str">
            <v>0334</v>
          </cell>
          <cell r="E213" t="str">
            <v>33.06.10232.00</v>
          </cell>
          <cell r="F213" t="str">
            <v>CHAPA TAMPA HORIZONTAL CAIXA L / 33.06.10232.00</v>
          </cell>
          <cell r="G213" t="str">
            <v>VMI TECNOLOGIAS LTDA</v>
          </cell>
          <cell r="H213">
            <v>45918</v>
          </cell>
          <cell r="I213" t="str">
            <v>MARCO</v>
          </cell>
          <cell r="J213">
            <v>2</v>
          </cell>
          <cell r="K213">
            <v>120.7567</v>
          </cell>
          <cell r="L213">
            <v>241.51</v>
          </cell>
          <cell r="M213" t="str">
            <v>APROVADO</v>
          </cell>
          <cell r="N213" t="str">
            <v>10</v>
          </cell>
          <cell r="O213">
            <v>45925</v>
          </cell>
          <cell r="P213" t="str">
            <v>DEZEMBRO</v>
          </cell>
        </row>
        <row r="214">
          <cell r="B214" t="str">
            <v>049270033633.06.10235.00</v>
          </cell>
          <cell r="C214" t="str">
            <v>049270</v>
          </cell>
          <cell r="D214" t="str">
            <v>0336</v>
          </cell>
          <cell r="E214" t="str">
            <v>33.06.10235.00</v>
          </cell>
          <cell r="F214" t="str">
            <v>ESTRUTURA SOLDADA CAIXA L 7560 / 33.06.10235.00</v>
          </cell>
          <cell r="G214" t="str">
            <v>VMI TECNOLOGIAS LTDA</v>
          </cell>
          <cell r="H214">
            <v>45918</v>
          </cell>
          <cell r="I214" t="str">
            <v>MARCO</v>
          </cell>
          <cell r="J214">
            <v>2</v>
          </cell>
          <cell r="K214">
            <v>758.14</v>
          </cell>
          <cell r="L214">
            <v>1516.28</v>
          </cell>
          <cell r="M214" t="str">
            <v>APROVADO</v>
          </cell>
          <cell r="N214" t="str">
            <v>10</v>
          </cell>
          <cell r="O214">
            <v>45925</v>
          </cell>
          <cell r="P214" t="str">
            <v>DEZEMBRO</v>
          </cell>
        </row>
        <row r="215">
          <cell r="B215" t="str">
            <v>049270033833.06.10241.00</v>
          </cell>
          <cell r="C215" t="str">
            <v>049270</v>
          </cell>
          <cell r="D215" t="str">
            <v>0338</v>
          </cell>
          <cell r="E215" t="str">
            <v>33.06.10241.00</v>
          </cell>
          <cell r="F215" t="str">
            <v>TAMPA DO COLIMADOR / 33.06.10241.00</v>
          </cell>
          <cell r="G215" t="str">
            <v>VMI TECNOLOGIAS LTDA</v>
          </cell>
          <cell r="H215">
            <v>45918</v>
          </cell>
          <cell r="I215" t="str">
            <v>MARCO</v>
          </cell>
          <cell r="J215">
            <v>2</v>
          </cell>
          <cell r="K215">
            <v>67.762500000000003</v>
          </cell>
          <cell r="L215">
            <v>135.53</v>
          </cell>
          <cell r="M215" t="str">
            <v>APROVADO</v>
          </cell>
          <cell r="N215" t="str">
            <v>10</v>
          </cell>
          <cell r="O215">
            <v>45925</v>
          </cell>
          <cell r="P215" t="str">
            <v>DEZEMBRO</v>
          </cell>
        </row>
        <row r="216">
          <cell r="B216" t="str">
            <v>049270033933.06.10242.00</v>
          </cell>
          <cell r="C216" t="str">
            <v>049270</v>
          </cell>
          <cell r="D216" t="str">
            <v>0339</v>
          </cell>
          <cell r="E216" t="str">
            <v>33.06.10242.00</v>
          </cell>
          <cell r="F216" t="str">
            <v>BLINDAGEM FECHAMENTO COLIMADOR 02 / 33.06.10242.00</v>
          </cell>
          <cell r="G216" t="str">
            <v>VMI TECNOLOGIAS LTDA</v>
          </cell>
          <cell r="H216">
            <v>45918</v>
          </cell>
          <cell r="I216" t="str">
            <v>MARCO</v>
          </cell>
          <cell r="J216">
            <v>1</v>
          </cell>
          <cell r="K216">
            <v>75.4876</v>
          </cell>
          <cell r="L216">
            <v>150.97999999999999</v>
          </cell>
          <cell r="M216" t="str">
            <v>APROVADO</v>
          </cell>
          <cell r="N216" t="str">
            <v>10</v>
          </cell>
          <cell r="O216">
            <v>45925</v>
          </cell>
          <cell r="P216" t="str">
            <v>DEZEMBRO</v>
          </cell>
        </row>
        <row r="217">
          <cell r="B217" t="str">
            <v>049270034133.06.10244.00</v>
          </cell>
          <cell r="C217" t="str">
            <v>049270</v>
          </cell>
          <cell r="D217" t="str">
            <v>0341</v>
          </cell>
          <cell r="E217" t="str">
            <v>33.06.10244.00</v>
          </cell>
          <cell r="F217" t="str">
            <v>SUPORTE DO LED.01 / 33.06.10244.00</v>
          </cell>
          <cell r="G217" t="str">
            <v>VMI TECNOLOGIAS LTDA</v>
          </cell>
          <cell r="H217">
            <v>45918</v>
          </cell>
          <cell r="I217" t="str">
            <v>MARCO</v>
          </cell>
          <cell r="J217">
            <v>8</v>
          </cell>
          <cell r="K217">
            <v>36.264899999999997</v>
          </cell>
          <cell r="L217">
            <v>290.12</v>
          </cell>
          <cell r="M217" t="str">
            <v>APROVADO</v>
          </cell>
          <cell r="N217" t="str">
            <v>10</v>
          </cell>
          <cell r="O217">
            <v>45925</v>
          </cell>
          <cell r="P217" t="str">
            <v>DEZEMBRO</v>
          </cell>
        </row>
        <row r="218">
          <cell r="B218" t="str">
            <v>049270034233.06.10245.00</v>
          </cell>
          <cell r="C218" t="str">
            <v>049270</v>
          </cell>
          <cell r="D218" t="str">
            <v>0342</v>
          </cell>
          <cell r="E218" t="str">
            <v>33.06.10245.00</v>
          </cell>
          <cell r="F218" t="str">
            <v>SUPORTE DO LED.02 / 33.06.10245.00</v>
          </cell>
          <cell r="G218" t="str">
            <v>VMI TECNOLOGIAS LTDA</v>
          </cell>
          <cell r="H218">
            <v>45918</v>
          </cell>
          <cell r="I218" t="str">
            <v>MARCO</v>
          </cell>
          <cell r="J218">
            <v>8</v>
          </cell>
          <cell r="K218">
            <v>36.802199999999999</v>
          </cell>
          <cell r="L218">
            <v>294.42</v>
          </cell>
          <cell r="M218" t="str">
            <v>APROVADO</v>
          </cell>
          <cell r="N218" t="str">
            <v>10</v>
          </cell>
          <cell r="O218">
            <v>45925</v>
          </cell>
          <cell r="P218" t="str">
            <v>DEZEMBRO</v>
          </cell>
        </row>
        <row r="219">
          <cell r="B219" t="str">
            <v>049270035133.20.10342.05</v>
          </cell>
          <cell r="C219" t="str">
            <v>049270</v>
          </cell>
          <cell r="D219" t="str">
            <v>0351</v>
          </cell>
          <cell r="E219" t="str">
            <v>33.20.10342.05</v>
          </cell>
          <cell r="F219" t="str">
            <v>CAIXA DETECTOR - 100100 SV VMI / 33.20.10342.05</v>
          </cell>
          <cell r="G219" t="str">
            <v>VMI TECNOLOGIAS LTDA</v>
          </cell>
          <cell r="H219">
            <v>45918</v>
          </cell>
          <cell r="I219" t="str">
            <v>MARCO</v>
          </cell>
          <cell r="J219">
            <v>2</v>
          </cell>
          <cell r="K219">
            <v>858</v>
          </cell>
          <cell r="L219">
            <v>1716</v>
          </cell>
          <cell r="M219" t="str">
            <v>APROVADO</v>
          </cell>
          <cell r="N219" t="str">
            <v>10</v>
          </cell>
          <cell r="O219">
            <v>45925</v>
          </cell>
          <cell r="P219" t="str">
            <v>DEZEMBRO</v>
          </cell>
        </row>
        <row r="220">
          <cell r="B220" t="str">
            <v>049270035933.20.10588.00</v>
          </cell>
          <cell r="C220" t="str">
            <v>049270</v>
          </cell>
          <cell r="D220" t="str">
            <v>0359</v>
          </cell>
          <cell r="E220" t="str">
            <v>33.20.10588.00</v>
          </cell>
          <cell r="F220" t="str">
            <v>TRAVA DA BUCHA DE NYLON / 33.20.10588.00</v>
          </cell>
          <cell r="G220" t="str">
            <v>VMI TECNOLOGIAS LTDA</v>
          </cell>
          <cell r="H220">
            <v>45918</v>
          </cell>
          <cell r="I220" t="str">
            <v>MARCO</v>
          </cell>
          <cell r="J220">
            <v>7</v>
          </cell>
          <cell r="K220">
            <v>1.6</v>
          </cell>
          <cell r="L220">
            <v>12.8</v>
          </cell>
          <cell r="M220" t="str">
            <v>APROVADO</v>
          </cell>
          <cell r="N220" t="str">
            <v>10</v>
          </cell>
          <cell r="O220">
            <v>45925</v>
          </cell>
          <cell r="P220" t="str">
            <v>DEZEMBRO</v>
          </cell>
        </row>
        <row r="221">
          <cell r="B221" t="str">
            <v>049270036133.23.10032.01</v>
          </cell>
          <cell r="C221" t="str">
            <v>049270</v>
          </cell>
          <cell r="D221" t="str">
            <v>0361</v>
          </cell>
          <cell r="E221" t="str">
            <v>33.23.10032.01</v>
          </cell>
          <cell r="F221" t="str">
            <v>ARRUELA DA BUCHA DE REGULAGEM / 33.23.10032.01</v>
          </cell>
          <cell r="G221" t="str">
            <v>VMI TECNOLOGIAS LTDA</v>
          </cell>
          <cell r="H221">
            <v>45918</v>
          </cell>
          <cell r="I221" t="str">
            <v>MARCO</v>
          </cell>
          <cell r="J221">
            <v>8</v>
          </cell>
          <cell r="K221">
            <v>1.2</v>
          </cell>
          <cell r="L221">
            <v>9.6</v>
          </cell>
          <cell r="M221" t="str">
            <v>APROVADO</v>
          </cell>
          <cell r="N221" t="str">
            <v>10</v>
          </cell>
          <cell r="O221">
            <v>45925</v>
          </cell>
          <cell r="P221" t="str">
            <v>DEZEMBRO</v>
          </cell>
        </row>
        <row r="222">
          <cell r="B222" t="str">
            <v>049270036533.23.10323.00</v>
          </cell>
          <cell r="C222" t="str">
            <v>049270</v>
          </cell>
          <cell r="D222" t="str">
            <v>0365</v>
          </cell>
          <cell r="E222" t="str">
            <v>33.23.10323.00</v>
          </cell>
          <cell r="F222" t="str">
            <v>TAMPA HORIZONTAL DA CAIXA L / 33.23.10323.00</v>
          </cell>
          <cell r="G222" t="str">
            <v>VMI TECNOLOGIAS LTDA</v>
          </cell>
          <cell r="H222">
            <v>45918</v>
          </cell>
          <cell r="I222" t="str">
            <v>MARCO</v>
          </cell>
          <cell r="J222">
            <v>1</v>
          </cell>
          <cell r="K222">
            <v>61.04</v>
          </cell>
          <cell r="L222">
            <v>61.04</v>
          </cell>
          <cell r="M222" t="str">
            <v>APROVADO</v>
          </cell>
          <cell r="N222" t="str">
            <v>10</v>
          </cell>
          <cell r="O222">
            <v>45925</v>
          </cell>
          <cell r="P222" t="str">
            <v>DEZEMBRO</v>
          </cell>
        </row>
        <row r="223">
          <cell r="B223" t="str">
            <v>049270036833.23.10334.00</v>
          </cell>
          <cell r="C223" t="str">
            <v>049270</v>
          </cell>
          <cell r="D223" t="str">
            <v>0368</v>
          </cell>
          <cell r="E223" t="str">
            <v>33.23.10334.00</v>
          </cell>
          <cell r="F223" t="str">
            <v>SUPORTE REMOVIVEL DA PLACA DETECTORA / 33.23.10334.00</v>
          </cell>
          <cell r="G223" t="str">
            <v>VMI TECNOLOGIAS LTDA</v>
          </cell>
          <cell r="H223">
            <v>45918</v>
          </cell>
          <cell r="I223" t="str">
            <v>MARCO</v>
          </cell>
          <cell r="J223">
            <v>19</v>
          </cell>
          <cell r="K223">
            <v>13.9</v>
          </cell>
          <cell r="L223">
            <v>264.10000000000002</v>
          </cell>
          <cell r="M223" t="str">
            <v>APROVADO</v>
          </cell>
          <cell r="N223" t="str">
            <v>10</v>
          </cell>
          <cell r="O223">
            <v>45925</v>
          </cell>
          <cell r="P223" t="str">
            <v>DEZEMBRO</v>
          </cell>
        </row>
        <row r="224">
          <cell r="B224" t="str">
            <v>049270037433.99.10032.00</v>
          </cell>
          <cell r="C224" t="str">
            <v>049270</v>
          </cell>
          <cell r="D224" t="str">
            <v>0374</v>
          </cell>
          <cell r="E224" t="str">
            <v>33.99.10032.00</v>
          </cell>
          <cell r="F224" t="str">
            <v>FIXACAO CORTINA / 33.99.10032.00</v>
          </cell>
          <cell r="G224" t="str">
            <v>VMI TECNOLOGIAS LTDA</v>
          </cell>
          <cell r="H224">
            <v>45918</v>
          </cell>
          <cell r="I224" t="str">
            <v>MARCO</v>
          </cell>
          <cell r="J224">
            <v>213</v>
          </cell>
          <cell r="K224">
            <v>3.25</v>
          </cell>
          <cell r="L224">
            <v>877.5</v>
          </cell>
          <cell r="M224" t="str">
            <v>APROVADO</v>
          </cell>
          <cell r="N224" t="str">
            <v>10</v>
          </cell>
          <cell r="O224">
            <v>45641</v>
          </cell>
          <cell r="P224" t="str">
            <v>DEZEMBRO</v>
          </cell>
        </row>
        <row r="225">
          <cell r="B225" t="str">
            <v>049827000221.16.00389</v>
          </cell>
          <cell r="C225" t="str">
            <v>049827</v>
          </cell>
          <cell r="D225" t="str">
            <v>0002</v>
          </cell>
          <cell r="E225" t="str">
            <v>21.16.00389</v>
          </cell>
          <cell r="F225" t="str">
            <v>CHAPA SUPERIOR ENTRE COLIMADORES \ 03_0276_00</v>
          </cell>
          <cell r="G225" t="str">
            <v>VMI TECNOLOGIAS LTDA</v>
          </cell>
          <cell r="H225">
            <v>45934</v>
          </cell>
          <cell r="I225" t="str">
            <v>MARCO</v>
          </cell>
          <cell r="J225">
            <v>1</v>
          </cell>
          <cell r="K225">
            <v>7.4619499999999999</v>
          </cell>
          <cell r="L225">
            <v>208.93</v>
          </cell>
          <cell r="M225" t="str">
            <v>APROVADO</v>
          </cell>
          <cell r="N225" t="str">
            <v>10</v>
          </cell>
          <cell r="O225">
            <v>46034</v>
          </cell>
          <cell r="P225" t="str">
            <v>PRODUÇÃO DE JANEIRO DE 2026</v>
          </cell>
        </row>
        <row r="226">
          <cell r="B226" t="str">
            <v>049827000421.23.00885</v>
          </cell>
          <cell r="C226" t="str">
            <v>049827</v>
          </cell>
          <cell r="D226" t="str">
            <v>0004</v>
          </cell>
          <cell r="E226" t="str">
            <v>21.23.00885</v>
          </cell>
          <cell r="F226" t="str">
            <v>BASE / AA_5006_04</v>
          </cell>
          <cell r="G226" t="str">
            <v>VMI TECNOLOGIAS LTDA</v>
          </cell>
          <cell r="H226">
            <v>45934</v>
          </cell>
          <cell r="I226" t="str">
            <v>MARCO</v>
          </cell>
          <cell r="J226">
            <v>3</v>
          </cell>
          <cell r="K226">
            <v>1317.0360000000001</v>
          </cell>
          <cell r="L226">
            <v>3951.11</v>
          </cell>
          <cell r="M226" t="str">
            <v>APROVADO</v>
          </cell>
          <cell r="N226" t="str">
            <v>10</v>
          </cell>
          <cell r="O226">
            <v>46034</v>
          </cell>
          <cell r="P226" t="str">
            <v>PRODUÇÃO DE JANEIRO DE 2026</v>
          </cell>
        </row>
        <row r="227">
          <cell r="B227" t="str">
            <v>049827000521.23.00885</v>
          </cell>
          <cell r="C227" t="str">
            <v>049827</v>
          </cell>
          <cell r="D227" t="str">
            <v>0005</v>
          </cell>
          <cell r="E227" t="str">
            <v>21.23.00885</v>
          </cell>
          <cell r="F227" t="str">
            <v>BASE / AA_5006_04</v>
          </cell>
          <cell r="G227" t="str">
            <v>VMI TECNOLOGIAS LTDA</v>
          </cell>
          <cell r="H227">
            <v>45934</v>
          </cell>
          <cell r="I227" t="str">
            <v>MARCO</v>
          </cell>
          <cell r="J227">
            <v>3</v>
          </cell>
          <cell r="K227">
            <v>1317.0360000000001</v>
          </cell>
          <cell r="L227">
            <v>3951.11</v>
          </cell>
          <cell r="M227" t="str">
            <v>APROVADO</v>
          </cell>
          <cell r="N227" t="str">
            <v>10</v>
          </cell>
          <cell r="O227">
            <v>46034</v>
          </cell>
          <cell r="P227" t="str">
            <v>PRODUÇÃO DE JANEIRO DE 2026</v>
          </cell>
        </row>
        <row r="228">
          <cell r="B228" t="str">
            <v>049827000621.23.00886</v>
          </cell>
          <cell r="C228" t="str">
            <v>049827</v>
          </cell>
          <cell r="D228" t="str">
            <v>0006</v>
          </cell>
          <cell r="E228" t="str">
            <v>21.23.00886</v>
          </cell>
          <cell r="F228" t="str">
            <v>COLUNA ESTRUTURA / AA_5009_03 / 21.23.00886</v>
          </cell>
          <cell r="G228" t="str">
            <v>VMI TECNOLOGIAS LTDA</v>
          </cell>
          <cell r="H228">
            <v>45934</v>
          </cell>
          <cell r="I228" t="str">
            <v>MARCO</v>
          </cell>
          <cell r="J228">
            <v>20</v>
          </cell>
          <cell r="K228">
            <v>173.11349999999999</v>
          </cell>
          <cell r="L228">
            <v>3462.27</v>
          </cell>
          <cell r="M228" t="str">
            <v>APROVADO</v>
          </cell>
          <cell r="N228" t="str">
            <v>10</v>
          </cell>
          <cell r="O228">
            <v>46034</v>
          </cell>
          <cell r="P228" t="str">
            <v>PRODUÇÃO DE JANEIRO DE 2026</v>
          </cell>
        </row>
        <row r="229">
          <cell r="B229" t="str">
            <v>049827000721.23.00887</v>
          </cell>
          <cell r="C229" t="str">
            <v>049827</v>
          </cell>
          <cell r="D229" t="str">
            <v>0007</v>
          </cell>
          <cell r="E229" t="str">
            <v>21.23.00887</v>
          </cell>
          <cell r="F229" t="str">
            <v>APOIO ESTEIRA / AA_5012_03 / 21.23.00887</v>
          </cell>
          <cell r="G229" t="str">
            <v>VMI TECNOLOGIAS LTDA</v>
          </cell>
          <cell r="H229">
            <v>45934</v>
          </cell>
          <cell r="I229" t="str">
            <v>MARCO</v>
          </cell>
          <cell r="J229">
            <v>5</v>
          </cell>
          <cell r="K229">
            <v>170</v>
          </cell>
          <cell r="L229">
            <v>850</v>
          </cell>
          <cell r="M229" t="str">
            <v>APROVADO</v>
          </cell>
          <cell r="N229" t="str">
            <v>10</v>
          </cell>
          <cell r="O229">
            <v>46034</v>
          </cell>
          <cell r="P229" t="str">
            <v>PRODUÇÃO DE JANEIRO DE 2026</v>
          </cell>
        </row>
        <row r="230">
          <cell r="B230" t="str">
            <v>049827000821.23.00888</v>
          </cell>
          <cell r="C230" t="str">
            <v>049827</v>
          </cell>
          <cell r="D230" t="str">
            <v>0008</v>
          </cell>
          <cell r="E230" t="str">
            <v>21.23.00888</v>
          </cell>
          <cell r="F230" t="str">
            <v>APOIO ABERTO ESTEIRA \ AA_5015_04 / 21.23.00888</v>
          </cell>
          <cell r="G230" t="str">
            <v>VMI TECNOLOGIAS LTDA</v>
          </cell>
          <cell r="H230">
            <v>45934</v>
          </cell>
          <cell r="I230" t="str">
            <v>MARCO</v>
          </cell>
          <cell r="J230">
            <v>5</v>
          </cell>
          <cell r="K230">
            <v>187</v>
          </cell>
          <cell r="L230">
            <v>935</v>
          </cell>
          <cell r="M230" t="str">
            <v>APROVADO</v>
          </cell>
          <cell r="N230" t="str">
            <v>10</v>
          </cell>
          <cell r="O230">
            <v>46034</v>
          </cell>
          <cell r="P230" t="str">
            <v>PRODUÇÃO DE JANEIRO DE 2026</v>
          </cell>
        </row>
        <row r="231">
          <cell r="B231" t="str">
            <v>049827001021.23.00890</v>
          </cell>
          <cell r="C231" t="str">
            <v>049827</v>
          </cell>
          <cell r="D231" t="str">
            <v>0010</v>
          </cell>
          <cell r="E231" t="str">
            <v>21.23.00890</v>
          </cell>
          <cell r="F231" t="str">
            <v>TRAVESSA PASSA CABOS \ AA_5018_00</v>
          </cell>
          <cell r="G231" t="str">
            <v>VMI TECNOLOGIAS LTDA</v>
          </cell>
          <cell r="H231">
            <v>45934</v>
          </cell>
          <cell r="I231" t="str">
            <v>MARCO</v>
          </cell>
          <cell r="J231">
            <v>9</v>
          </cell>
          <cell r="K231">
            <v>26.1</v>
          </cell>
          <cell r="L231">
            <v>261</v>
          </cell>
          <cell r="M231" t="str">
            <v>APROVADO</v>
          </cell>
          <cell r="N231" t="str">
            <v>10</v>
          </cell>
          <cell r="O231">
            <v>46034</v>
          </cell>
          <cell r="P231" t="str">
            <v>PRODUÇÃO DE JANEIRO DE 2026</v>
          </cell>
        </row>
        <row r="232">
          <cell r="B232" t="str">
            <v>049827001621.23.00897</v>
          </cell>
          <cell r="C232" t="str">
            <v>049827</v>
          </cell>
          <cell r="D232" t="str">
            <v>0016</v>
          </cell>
          <cell r="E232" t="str">
            <v>21.23.00897</v>
          </cell>
          <cell r="F232" t="str">
            <v>MONTAGEM APOIO COLIMADOR SECUNDARIO \ AA_5042_00</v>
          </cell>
          <cell r="G232" t="str">
            <v>VMI TECNOLOGIAS LTDA</v>
          </cell>
          <cell r="H232">
            <v>45934</v>
          </cell>
          <cell r="I232" t="str">
            <v>MARCO</v>
          </cell>
          <cell r="J232">
            <v>10</v>
          </cell>
          <cell r="K232">
            <v>49.083150000000003</v>
          </cell>
          <cell r="L232">
            <v>490.83</v>
          </cell>
          <cell r="M232" t="str">
            <v>APROVADO</v>
          </cell>
          <cell r="N232" t="str">
            <v>10</v>
          </cell>
          <cell r="O232">
            <v>46034</v>
          </cell>
          <cell r="P232" t="str">
            <v>PRODUÇÃO DE JANEIRO DE 2026</v>
          </cell>
        </row>
        <row r="233">
          <cell r="B233" t="str">
            <v>049827001721.23.00898</v>
          </cell>
          <cell r="C233" t="str">
            <v>049827</v>
          </cell>
          <cell r="D233" t="str">
            <v>0017</v>
          </cell>
          <cell r="E233" t="str">
            <v>21.23.00898</v>
          </cell>
          <cell r="F233" t="str">
            <v>MONTAGEM CHAPA FIXACAO GERADOR \ AA_5045_02</v>
          </cell>
          <cell r="G233" t="str">
            <v>VMI TECNOLOGIAS LTDA</v>
          </cell>
          <cell r="H233">
            <v>45934</v>
          </cell>
          <cell r="I233" t="str">
            <v>MARCO</v>
          </cell>
          <cell r="J233">
            <v>5</v>
          </cell>
          <cell r="K233">
            <v>52.45</v>
          </cell>
          <cell r="L233">
            <v>262.25</v>
          </cell>
          <cell r="M233" t="str">
            <v>APROVADO</v>
          </cell>
          <cell r="N233" t="str">
            <v>10</v>
          </cell>
          <cell r="O233">
            <v>46034</v>
          </cell>
          <cell r="P233" t="str">
            <v>PRODUÇÃO DE JANEIRO DE 2026</v>
          </cell>
        </row>
        <row r="234">
          <cell r="B234" t="str">
            <v>049827002021.23.00923</v>
          </cell>
          <cell r="C234" t="str">
            <v>049827</v>
          </cell>
          <cell r="D234" t="str">
            <v>0020</v>
          </cell>
          <cell r="E234" t="str">
            <v>21.23.00923</v>
          </cell>
          <cell r="F234" t="str">
            <v>MONTAGEM BASE LAMINAS COLIMDAOR SECUNDAR \ AA_5102_00</v>
          </cell>
          <cell r="G234" t="str">
            <v>VMI TECNOLOGIAS LTDA</v>
          </cell>
          <cell r="H234">
            <v>45934</v>
          </cell>
          <cell r="I234" t="str">
            <v>MARCO</v>
          </cell>
          <cell r="J234">
            <v>5</v>
          </cell>
          <cell r="K234">
            <v>97</v>
          </cell>
          <cell r="L234">
            <v>485</v>
          </cell>
          <cell r="M234" t="str">
            <v>APROVADO</v>
          </cell>
          <cell r="N234" t="str">
            <v>10</v>
          </cell>
          <cell r="O234">
            <v>46034</v>
          </cell>
          <cell r="P234" t="str">
            <v>PRODUÇÃO DE JANEIRO DE 2026</v>
          </cell>
        </row>
        <row r="235">
          <cell r="B235" t="str">
            <v>049827002121.23.00925</v>
          </cell>
          <cell r="C235" t="str">
            <v>049827</v>
          </cell>
          <cell r="D235" t="str">
            <v>0021</v>
          </cell>
          <cell r="E235" t="str">
            <v>21.23.00925</v>
          </cell>
          <cell r="F235" t="str">
            <v>ABA APOIO COLIMADOR SECUNDARIO 5536 DIREITO \ AA_5108_02</v>
          </cell>
          <cell r="G235" t="str">
            <v>VMI TECNOLOGIAS LTDA</v>
          </cell>
          <cell r="H235">
            <v>45934</v>
          </cell>
          <cell r="I235" t="str">
            <v>MARCO</v>
          </cell>
          <cell r="J235">
            <v>5</v>
          </cell>
          <cell r="K235">
            <v>26.242303</v>
          </cell>
          <cell r="L235">
            <v>131.21</v>
          </cell>
          <cell r="M235" t="str">
            <v>APROVADO</v>
          </cell>
          <cell r="N235" t="str">
            <v>10</v>
          </cell>
          <cell r="O235">
            <v>46034</v>
          </cell>
          <cell r="P235" t="str">
            <v>PRODUÇÃO DE JANEIRO DE 2026</v>
          </cell>
        </row>
        <row r="236">
          <cell r="B236" t="str">
            <v>049827002221.23.00926</v>
          </cell>
          <cell r="C236" t="str">
            <v>049827</v>
          </cell>
          <cell r="D236" t="str">
            <v>0022</v>
          </cell>
          <cell r="E236" t="str">
            <v>21.23.00926</v>
          </cell>
          <cell r="F236" t="str">
            <v>FECHAMENTO COLIMADOR SECUNDARIO \ AA_5109_00</v>
          </cell>
          <cell r="G236" t="str">
            <v>VMI TECNOLOGIAS LTDA</v>
          </cell>
          <cell r="H236">
            <v>45934</v>
          </cell>
          <cell r="I236" t="str">
            <v>MARCO</v>
          </cell>
          <cell r="J236">
            <v>5</v>
          </cell>
          <cell r="K236">
            <v>6.2847780000000002</v>
          </cell>
          <cell r="L236">
            <v>31.42</v>
          </cell>
          <cell r="M236" t="str">
            <v>APROVADO</v>
          </cell>
          <cell r="N236" t="str">
            <v>10</v>
          </cell>
          <cell r="O236">
            <v>46034</v>
          </cell>
          <cell r="P236" t="str">
            <v>PRODUÇÃO DE JANEIRO DE 2026</v>
          </cell>
        </row>
        <row r="237">
          <cell r="B237" t="str">
            <v>049827002321.23.00931</v>
          </cell>
          <cell r="C237" t="str">
            <v>049827</v>
          </cell>
          <cell r="D237" t="str">
            <v>0023</v>
          </cell>
          <cell r="E237" t="str">
            <v>21.23.00931</v>
          </cell>
          <cell r="F237" t="str">
            <v>MONTAGEM FIXACAO ACABAMENTO ROLETE LIVRE \ AA_5121_01</v>
          </cell>
          <cell r="G237" t="str">
            <v>VMI TECNOLOGIAS LTDA</v>
          </cell>
          <cell r="H237">
            <v>45934</v>
          </cell>
          <cell r="I237" t="str">
            <v>MARCO</v>
          </cell>
          <cell r="J237">
            <v>10</v>
          </cell>
          <cell r="K237">
            <v>13.513500000000001</v>
          </cell>
          <cell r="L237">
            <v>135.13999999999999</v>
          </cell>
          <cell r="M237" t="str">
            <v>APROVADO</v>
          </cell>
          <cell r="N237" t="str">
            <v>10</v>
          </cell>
          <cell r="O237">
            <v>46034</v>
          </cell>
          <cell r="P237" t="str">
            <v>PRODUÇÃO DE JANEIRO DE 2026</v>
          </cell>
        </row>
        <row r="238">
          <cell r="B238" t="str">
            <v>049827002421.23.00933</v>
          </cell>
          <cell r="C238" t="str">
            <v>049827</v>
          </cell>
          <cell r="D238" t="str">
            <v>0024</v>
          </cell>
          <cell r="E238" t="str">
            <v>21.23.00933</v>
          </cell>
          <cell r="F238" t="str">
            <v>MONTAGEM FIXACAO ACABAMENTO MOTOPOLIA \ AA_5123_00</v>
          </cell>
          <cell r="G238" t="str">
            <v>VMI TECNOLOGIAS LTDA</v>
          </cell>
          <cell r="H238">
            <v>45934</v>
          </cell>
          <cell r="I238" t="str">
            <v>MARCO</v>
          </cell>
          <cell r="J238">
            <v>10</v>
          </cell>
          <cell r="K238">
            <v>15.834</v>
          </cell>
          <cell r="L238">
            <v>158.34</v>
          </cell>
          <cell r="M238" t="str">
            <v>APROVADO</v>
          </cell>
          <cell r="N238" t="str">
            <v>10</v>
          </cell>
          <cell r="O238">
            <v>46034</v>
          </cell>
          <cell r="P238" t="str">
            <v>PRODUÇÃO DE JANEIRO DE 2026</v>
          </cell>
        </row>
        <row r="239">
          <cell r="B239" t="str">
            <v>049827002521.23.00934</v>
          </cell>
          <cell r="C239" t="str">
            <v>049827</v>
          </cell>
          <cell r="D239" t="str">
            <v>0025</v>
          </cell>
          <cell r="E239" t="str">
            <v>21.23.00934</v>
          </cell>
          <cell r="F239" t="str">
            <v>MONTAGEM FIXACAO ACABAMENTO LATERAL \ AA_5130_00</v>
          </cell>
          <cell r="G239" t="str">
            <v>VMI TECNOLOGIAS LTDA</v>
          </cell>
          <cell r="H239">
            <v>45934</v>
          </cell>
          <cell r="I239" t="str">
            <v>MARCO</v>
          </cell>
          <cell r="J239">
            <v>20</v>
          </cell>
          <cell r="K239">
            <v>13.2195</v>
          </cell>
          <cell r="L239">
            <v>264.39</v>
          </cell>
          <cell r="M239" t="str">
            <v>APROVADO</v>
          </cell>
          <cell r="N239" t="str">
            <v>10</v>
          </cell>
          <cell r="O239">
            <v>46034</v>
          </cell>
          <cell r="P239" t="str">
            <v>PRODUÇÃO DE JANEIRO DE 2026</v>
          </cell>
        </row>
        <row r="240">
          <cell r="B240" t="str">
            <v>049827002721.23.01117</v>
          </cell>
          <cell r="C240" t="str">
            <v>049827</v>
          </cell>
          <cell r="D240" t="str">
            <v>0027</v>
          </cell>
          <cell r="E240" t="str">
            <v>21.23.01117</v>
          </cell>
          <cell r="F240" t="str">
            <v>CAIXA DO GEL SILICA / AA_5264_01</v>
          </cell>
          <cell r="G240" t="str">
            <v>VMI TECNOLOGIAS LTDA</v>
          </cell>
          <cell r="H240">
            <v>45934</v>
          </cell>
          <cell r="I240" t="str">
            <v>MARCO</v>
          </cell>
          <cell r="J240">
            <v>10</v>
          </cell>
          <cell r="K240">
            <v>29.814240000000002</v>
          </cell>
          <cell r="L240">
            <v>298.14</v>
          </cell>
          <cell r="M240" t="str">
            <v>APROVADO</v>
          </cell>
          <cell r="N240" t="str">
            <v>10</v>
          </cell>
          <cell r="O240">
            <v>46034</v>
          </cell>
          <cell r="P240" t="str">
            <v>PRODUÇÃO DE JANEIRO DE 2026</v>
          </cell>
        </row>
        <row r="241">
          <cell r="B241" t="str">
            <v>049827002821.23.01179</v>
          </cell>
          <cell r="C241" t="str">
            <v>049827</v>
          </cell>
          <cell r="D241" t="str">
            <v>0028</v>
          </cell>
          <cell r="E241" t="str">
            <v>21.23.01179</v>
          </cell>
          <cell r="F241" t="str">
            <v>COLIMADOR SV SANDT / AA_3235_02</v>
          </cell>
          <cell r="G241" t="str">
            <v>VMI TECNOLOGIAS LTDA</v>
          </cell>
          <cell r="H241">
            <v>45934</v>
          </cell>
          <cell r="I241" t="str">
            <v>MARCO</v>
          </cell>
          <cell r="J241">
            <v>1</v>
          </cell>
          <cell r="K241">
            <v>104.5</v>
          </cell>
          <cell r="L241">
            <v>104.5</v>
          </cell>
          <cell r="M241" t="str">
            <v>APROVADO</v>
          </cell>
          <cell r="N241" t="str">
            <v>10</v>
          </cell>
          <cell r="O241">
            <v>46034</v>
          </cell>
          <cell r="P241" t="str">
            <v>PRODUÇÃO DE JANEIRO DE 2026</v>
          </cell>
        </row>
        <row r="242">
          <cell r="B242" t="str">
            <v>049827002921.23.01179</v>
          </cell>
          <cell r="C242" t="str">
            <v>049827</v>
          </cell>
          <cell r="D242" t="str">
            <v>0029</v>
          </cell>
          <cell r="E242" t="str">
            <v>21.23.01179</v>
          </cell>
          <cell r="F242" t="str">
            <v>COLIMADOR SV SANDT / AA_3235_02</v>
          </cell>
          <cell r="G242" t="str">
            <v>VMI TECNOLOGIAS LTDA</v>
          </cell>
          <cell r="H242">
            <v>45934</v>
          </cell>
          <cell r="I242" t="str">
            <v>MARCO</v>
          </cell>
          <cell r="J242">
            <v>5</v>
          </cell>
          <cell r="K242">
            <v>104.5</v>
          </cell>
          <cell r="L242">
            <v>522.5</v>
          </cell>
          <cell r="M242" t="str">
            <v>APROVADO</v>
          </cell>
          <cell r="N242" t="str">
            <v>10</v>
          </cell>
          <cell r="O242">
            <v>46034</v>
          </cell>
          <cell r="P242" t="str">
            <v>PRODUÇÃO DE JANEIRO DE 2026</v>
          </cell>
        </row>
        <row r="243">
          <cell r="B243" t="str">
            <v>049827003121.23.01635</v>
          </cell>
          <cell r="C243" t="str">
            <v>049827</v>
          </cell>
          <cell r="D243" t="str">
            <v>0031</v>
          </cell>
          <cell r="E243" t="str">
            <v>21.23.01635</v>
          </cell>
          <cell r="F243" t="str">
            <v>MONTAGEM DO APOIO DO RODIZIO \ AA_4642_01</v>
          </cell>
          <cell r="G243" t="str">
            <v>VMI TECNOLOGIAS LTDA</v>
          </cell>
          <cell r="H243">
            <v>45934</v>
          </cell>
          <cell r="I243" t="str">
            <v>MARCO</v>
          </cell>
          <cell r="J243">
            <v>10</v>
          </cell>
          <cell r="K243">
            <v>126.777</v>
          </cell>
          <cell r="L243">
            <v>1267.77</v>
          </cell>
          <cell r="M243" t="str">
            <v>APROVADO</v>
          </cell>
          <cell r="N243" t="str">
            <v>10</v>
          </cell>
          <cell r="O243">
            <v>46034</v>
          </cell>
          <cell r="P243" t="str">
            <v>PRODUÇÃO DE JANEIRO DE 2026</v>
          </cell>
        </row>
        <row r="244">
          <cell r="B244" t="str">
            <v>049827003221.23.02445</v>
          </cell>
          <cell r="C244" t="str">
            <v>049827</v>
          </cell>
          <cell r="D244" t="str">
            <v>0032</v>
          </cell>
          <cell r="E244" t="str">
            <v>21.23.02445</v>
          </cell>
          <cell r="F244" t="str">
            <v>DISTANCIADOR PARA DOBRADICA \ AA_5561_00</v>
          </cell>
          <cell r="G244" t="str">
            <v>VMI TECNOLOGIAS LTDA</v>
          </cell>
          <cell r="H244">
            <v>45934</v>
          </cell>
          <cell r="I244" t="str">
            <v>MARCO</v>
          </cell>
          <cell r="J244">
            <v>10</v>
          </cell>
          <cell r="K244">
            <v>2.527698</v>
          </cell>
          <cell r="L244">
            <v>25.28</v>
          </cell>
          <cell r="M244" t="str">
            <v>APROVADO</v>
          </cell>
          <cell r="N244" t="str">
            <v>10</v>
          </cell>
          <cell r="O244">
            <v>46034</v>
          </cell>
          <cell r="P244" t="str">
            <v>PRODUÇÃO DE JANEIRO DE 2026</v>
          </cell>
        </row>
        <row r="245">
          <cell r="B245" t="str">
            <v>049827003321.23.02678</v>
          </cell>
          <cell r="C245" t="str">
            <v>049827</v>
          </cell>
          <cell r="D245" t="str">
            <v>0033</v>
          </cell>
          <cell r="E245" t="str">
            <v>21.23.02678</v>
          </cell>
          <cell r="F245" t="str">
            <v>ABA APOIO COLIMADOR SECUNDARIO 5536 ESQUERDO \ AA_5583_01</v>
          </cell>
          <cell r="G245" t="str">
            <v>VMI TECNOLOGIAS LTDA</v>
          </cell>
          <cell r="H245">
            <v>45934</v>
          </cell>
          <cell r="I245" t="str">
            <v>MARCO</v>
          </cell>
          <cell r="J245">
            <v>5</v>
          </cell>
          <cell r="K245">
            <v>33.195894000000003</v>
          </cell>
          <cell r="L245">
            <v>165.98</v>
          </cell>
          <cell r="M245" t="str">
            <v>APROVADO</v>
          </cell>
          <cell r="N245" t="str">
            <v>10</v>
          </cell>
          <cell r="O245">
            <v>46034</v>
          </cell>
          <cell r="P245" t="str">
            <v>PRODUÇÃO DE JANEIRO DE 2026</v>
          </cell>
        </row>
        <row r="246">
          <cell r="B246" t="str">
            <v>049827003421.23.02923</v>
          </cell>
          <cell r="C246" t="str">
            <v>049827</v>
          </cell>
          <cell r="D246" t="str">
            <v>0034</v>
          </cell>
          <cell r="E246" t="str">
            <v>21.23.02923</v>
          </cell>
          <cell r="F246" t="str">
            <v>SUPORTE GERADORA DV \ AA_7307_01</v>
          </cell>
          <cell r="G246" t="str">
            <v>VMI TECNOLOGIAS LTDA</v>
          </cell>
          <cell r="H246">
            <v>45934</v>
          </cell>
          <cell r="I246" t="str">
            <v>MARCO</v>
          </cell>
          <cell r="J246">
            <v>5</v>
          </cell>
          <cell r="K246">
            <v>104.181</v>
          </cell>
          <cell r="L246">
            <v>520.91</v>
          </cell>
          <cell r="M246" t="str">
            <v>APROVADO</v>
          </cell>
          <cell r="N246" t="str">
            <v>10</v>
          </cell>
          <cell r="O246">
            <v>46034</v>
          </cell>
          <cell r="P246" t="str">
            <v>PRODUÇÃO DE JANEIRO DE 2026</v>
          </cell>
        </row>
        <row r="247">
          <cell r="B247" t="str">
            <v>049827003521.23.03225</v>
          </cell>
          <cell r="C247" t="str">
            <v>049827</v>
          </cell>
          <cell r="D247" t="str">
            <v>0035</v>
          </cell>
          <cell r="E247" t="str">
            <v>21.23.03225</v>
          </cell>
          <cell r="F247" t="str">
            <v>PERFIL SUPERIOR \ 03_0109_01</v>
          </cell>
          <cell r="G247" t="str">
            <v>VMI TECNOLOGIAS LTDA</v>
          </cell>
          <cell r="H247">
            <v>45934</v>
          </cell>
          <cell r="I247" t="str">
            <v>MARCO</v>
          </cell>
          <cell r="J247">
            <v>56</v>
          </cell>
          <cell r="K247">
            <v>88.446015000000003</v>
          </cell>
          <cell r="L247">
            <v>4952.9799999999996</v>
          </cell>
          <cell r="M247" t="str">
            <v>APROVADO</v>
          </cell>
          <cell r="N247" t="str">
            <v>10</v>
          </cell>
          <cell r="O247">
            <v>46034</v>
          </cell>
          <cell r="P247" t="str">
            <v>PRODUÇÃO DE JANEIRO DE 2026</v>
          </cell>
        </row>
        <row r="248">
          <cell r="B248" t="str">
            <v>049827003621.23.03228</v>
          </cell>
          <cell r="C248" t="str">
            <v>049827</v>
          </cell>
          <cell r="D248" t="str">
            <v>0036</v>
          </cell>
          <cell r="E248" t="str">
            <v>21.23.03228</v>
          </cell>
          <cell r="F248" t="str">
            <v>PERFIL DE SUSTENTACAO DA ESTEIRA \ 03_0112_05</v>
          </cell>
          <cell r="G248" t="str">
            <v>VMI TECNOLOGIAS LTDA</v>
          </cell>
          <cell r="H248">
            <v>45934</v>
          </cell>
          <cell r="I248" t="str">
            <v>MARCO</v>
          </cell>
          <cell r="J248">
            <v>28</v>
          </cell>
          <cell r="K248">
            <v>138.75749999999999</v>
          </cell>
          <cell r="L248">
            <v>3885.21</v>
          </cell>
          <cell r="M248" t="str">
            <v>APROVADO</v>
          </cell>
          <cell r="N248" t="str">
            <v>10</v>
          </cell>
          <cell r="O248">
            <v>46034</v>
          </cell>
          <cell r="P248" t="str">
            <v>PRODUÇÃO DE JANEIRO DE 2026</v>
          </cell>
        </row>
        <row r="249">
          <cell r="B249" t="str">
            <v>049827003721.23.03229</v>
          </cell>
          <cell r="C249" t="str">
            <v>049827</v>
          </cell>
          <cell r="D249" t="str">
            <v>0037</v>
          </cell>
          <cell r="E249" t="str">
            <v>21.23.03229</v>
          </cell>
          <cell r="F249" t="str">
            <v>COLUNA DE SUSTENTACAO 01 \ 03_0113_00</v>
          </cell>
          <cell r="G249" t="str">
            <v>VMI TECNOLOGIAS LTDA</v>
          </cell>
          <cell r="H249">
            <v>45934</v>
          </cell>
          <cell r="I249" t="str">
            <v>MARCO</v>
          </cell>
          <cell r="J249">
            <v>28</v>
          </cell>
          <cell r="K249">
            <v>132.49950000000001</v>
          </cell>
          <cell r="L249">
            <v>3709.99</v>
          </cell>
          <cell r="M249" t="str">
            <v>APROVADO</v>
          </cell>
          <cell r="N249" t="str">
            <v>10</v>
          </cell>
          <cell r="O249">
            <v>46034</v>
          </cell>
          <cell r="P249" t="str">
            <v>PRODUÇÃO DE JANEIRO DE 2026</v>
          </cell>
        </row>
        <row r="250">
          <cell r="B250" t="str">
            <v>049827003821.23.03230</v>
          </cell>
          <cell r="C250" t="str">
            <v>049827</v>
          </cell>
          <cell r="D250" t="str">
            <v>0038</v>
          </cell>
          <cell r="E250" t="str">
            <v>21.23.03230</v>
          </cell>
          <cell r="F250" t="str">
            <v>COLUNA DE SUSTENTACAO 02 \ 03_0114_00</v>
          </cell>
          <cell r="G250" t="str">
            <v>VMI TECNOLOGIAS LTDA</v>
          </cell>
          <cell r="H250">
            <v>45934</v>
          </cell>
          <cell r="I250" t="str">
            <v>MARCO</v>
          </cell>
          <cell r="J250">
            <v>28</v>
          </cell>
          <cell r="K250">
            <v>152.62</v>
          </cell>
          <cell r="L250">
            <v>4273.3599999999997</v>
          </cell>
          <cell r="M250" t="str">
            <v>APROVADO</v>
          </cell>
          <cell r="N250" t="str">
            <v>10</v>
          </cell>
          <cell r="O250">
            <v>46034</v>
          </cell>
          <cell r="P250" t="str">
            <v>PRODUÇÃO DE JANEIRO DE 2026</v>
          </cell>
        </row>
        <row r="251">
          <cell r="B251" t="str">
            <v>049827003921.23.03231</v>
          </cell>
          <cell r="C251" t="str">
            <v>049827</v>
          </cell>
          <cell r="D251" t="str">
            <v>0039</v>
          </cell>
          <cell r="E251" t="str">
            <v>21.23.03231</v>
          </cell>
          <cell r="F251" t="str">
            <v>MAO FRANCESA \ 03_0115_00</v>
          </cell>
          <cell r="G251" t="str">
            <v>VMI TECNOLOGIAS LTDA</v>
          </cell>
          <cell r="H251">
            <v>45934</v>
          </cell>
          <cell r="I251" t="str">
            <v>MARCO</v>
          </cell>
          <cell r="J251">
            <v>54</v>
          </cell>
          <cell r="K251">
            <v>41.2</v>
          </cell>
          <cell r="L251">
            <v>2307.1999999999998</v>
          </cell>
          <cell r="M251" t="str">
            <v>APROVADO</v>
          </cell>
          <cell r="N251" t="str">
            <v>10</v>
          </cell>
          <cell r="O251">
            <v>46034</v>
          </cell>
          <cell r="P251" t="str">
            <v>PRODUÇÃO DE JANEIRO DE 2026</v>
          </cell>
        </row>
        <row r="252">
          <cell r="B252" t="str">
            <v>049827004021.23.03234</v>
          </cell>
          <cell r="C252" t="str">
            <v>049827</v>
          </cell>
          <cell r="D252" t="str">
            <v>0040</v>
          </cell>
          <cell r="E252" t="str">
            <v>21.23.03234</v>
          </cell>
          <cell r="F252" t="str">
            <v>CHAPA PARA CHUMBO DA ESTEIRA \ 03_0118_02</v>
          </cell>
          <cell r="G252" t="str">
            <v>VMI TECNOLOGIAS LTDA</v>
          </cell>
          <cell r="H252">
            <v>45934</v>
          </cell>
          <cell r="I252" t="str">
            <v>MARCO</v>
          </cell>
          <cell r="J252">
            <v>2</v>
          </cell>
          <cell r="K252">
            <v>117.789</v>
          </cell>
          <cell r="L252">
            <v>3298.09</v>
          </cell>
          <cell r="M252" t="str">
            <v>APROVADO</v>
          </cell>
          <cell r="N252" t="str">
            <v>10</v>
          </cell>
          <cell r="O252">
            <v>46034</v>
          </cell>
          <cell r="P252" t="str">
            <v>PRODUÇÃO DE JANEIRO DE 2026</v>
          </cell>
        </row>
        <row r="253">
          <cell r="B253" t="str">
            <v>049827004121.23.03239</v>
          </cell>
          <cell r="C253" t="str">
            <v>049827</v>
          </cell>
          <cell r="D253" t="str">
            <v>0041</v>
          </cell>
          <cell r="E253" t="str">
            <v>21.23.03239</v>
          </cell>
          <cell r="F253" t="str">
            <v>TRAVA DO INTERLOCKED \ 03_0135_02</v>
          </cell>
          <cell r="G253" t="str">
            <v>VMI TECNOLOGIAS LTDA</v>
          </cell>
          <cell r="H253">
            <v>45934</v>
          </cell>
          <cell r="I253" t="str">
            <v>MARCO</v>
          </cell>
          <cell r="J253">
            <v>28</v>
          </cell>
          <cell r="K253">
            <v>12.455843</v>
          </cell>
          <cell r="L253">
            <v>348.76</v>
          </cell>
          <cell r="M253" t="str">
            <v>APROVADO</v>
          </cell>
          <cell r="N253" t="str">
            <v>10</v>
          </cell>
          <cell r="O253">
            <v>46034</v>
          </cell>
          <cell r="P253" t="str">
            <v>PRODUÇÃO DE JANEIRO DE 2026</v>
          </cell>
        </row>
        <row r="254">
          <cell r="B254" t="str">
            <v>049827004321.23.03243</v>
          </cell>
          <cell r="C254" t="str">
            <v>049827</v>
          </cell>
          <cell r="D254" t="str">
            <v>0043</v>
          </cell>
          <cell r="E254" t="str">
            <v>21.23.03243</v>
          </cell>
          <cell r="F254" t="str">
            <v>CHAPA MONTAGEM ELETRICA TAMPA \ 03_0139_00</v>
          </cell>
          <cell r="G254" t="str">
            <v>VMI TECNOLOGIAS LTDA</v>
          </cell>
          <cell r="H254">
            <v>45934</v>
          </cell>
          <cell r="I254" t="str">
            <v>MARCO</v>
          </cell>
          <cell r="J254">
            <v>14</v>
          </cell>
          <cell r="K254">
            <v>45.045000000000002</v>
          </cell>
          <cell r="L254">
            <v>630.63</v>
          </cell>
          <cell r="M254" t="str">
            <v>APROVADO</v>
          </cell>
          <cell r="N254" t="str">
            <v>10</v>
          </cell>
          <cell r="O254">
            <v>46034</v>
          </cell>
          <cell r="P254" t="str">
            <v>PRODUÇÃO DE JANEIRO DE 2026</v>
          </cell>
        </row>
        <row r="255">
          <cell r="B255" t="str">
            <v>049827004421.23.03244</v>
          </cell>
          <cell r="C255" t="str">
            <v>049827</v>
          </cell>
          <cell r="D255" t="str">
            <v>0044</v>
          </cell>
          <cell r="E255" t="str">
            <v>21.23.03244</v>
          </cell>
          <cell r="F255" t="str">
            <v>FECHAMENTO MONTAGEM ELETRICA TAMPA \ 03_0140_00</v>
          </cell>
          <cell r="G255" t="str">
            <v>VMI TECNOLOGIAS LTDA</v>
          </cell>
          <cell r="H255">
            <v>45934</v>
          </cell>
          <cell r="I255" t="str">
            <v>MARCO</v>
          </cell>
          <cell r="J255">
            <v>2</v>
          </cell>
          <cell r="K255">
            <v>19.940000000000001</v>
          </cell>
          <cell r="L255">
            <v>279.16000000000003</v>
          </cell>
          <cell r="M255" t="str">
            <v>APROVADO</v>
          </cell>
          <cell r="N255" t="str">
            <v>10</v>
          </cell>
          <cell r="O255">
            <v>46034</v>
          </cell>
          <cell r="P255" t="str">
            <v>PRODUÇÃO DE JANEIRO DE 2026</v>
          </cell>
        </row>
        <row r="256">
          <cell r="B256" t="str">
            <v>049827004621.23.03287</v>
          </cell>
          <cell r="C256" t="str">
            <v>049827</v>
          </cell>
          <cell r="D256" t="str">
            <v>0046</v>
          </cell>
          <cell r="E256" t="str">
            <v>21.23.03287</v>
          </cell>
          <cell r="F256" t="str">
            <v>CORPO DA ESTEIRA MAIOR \ 03_0205_04</v>
          </cell>
          <cell r="G256" t="str">
            <v>VMI TECNOLOGIAS LTDA</v>
          </cell>
          <cell r="H256">
            <v>45934</v>
          </cell>
          <cell r="I256" t="str">
            <v>MARCO</v>
          </cell>
          <cell r="J256">
            <v>4</v>
          </cell>
          <cell r="K256">
            <v>1133.7320560000001</v>
          </cell>
          <cell r="L256">
            <v>11337.32</v>
          </cell>
          <cell r="M256" t="str">
            <v>APROVADO</v>
          </cell>
          <cell r="N256" t="str">
            <v>10</v>
          </cell>
          <cell r="O256">
            <v>46034</v>
          </cell>
          <cell r="P256" t="str">
            <v>PRODUÇÃO DE JANEIRO DE 2026</v>
          </cell>
        </row>
        <row r="257">
          <cell r="B257" t="str">
            <v>049827004721.23.03288</v>
          </cell>
          <cell r="C257" t="str">
            <v>049827</v>
          </cell>
          <cell r="D257" t="str">
            <v>0047</v>
          </cell>
          <cell r="E257" t="str">
            <v>21.23.03288</v>
          </cell>
          <cell r="F257" t="str">
            <v>REFORCO DA ESTEIRA \ 03_0206_01</v>
          </cell>
          <cell r="G257" t="str">
            <v>VMI TECNOLOGIAS LTDA</v>
          </cell>
          <cell r="H257">
            <v>45934</v>
          </cell>
          <cell r="I257" t="str">
            <v>MARCO</v>
          </cell>
          <cell r="J257">
            <v>50</v>
          </cell>
          <cell r="K257">
            <v>45.86</v>
          </cell>
          <cell r="L257">
            <v>2293</v>
          </cell>
          <cell r="M257" t="str">
            <v>APROVADO</v>
          </cell>
          <cell r="N257" t="str">
            <v>10</v>
          </cell>
          <cell r="O257">
            <v>46034</v>
          </cell>
          <cell r="P257" t="str">
            <v>PRODUÇÃO DE JANEIRO DE 2026</v>
          </cell>
        </row>
        <row r="258">
          <cell r="B258" t="str">
            <v>049827004821.23.03289</v>
          </cell>
          <cell r="C258" t="str">
            <v>049827</v>
          </cell>
          <cell r="D258" t="str">
            <v>0048</v>
          </cell>
          <cell r="E258" t="str">
            <v>21.23.03289</v>
          </cell>
          <cell r="F258" t="str">
            <v>TRAVA DO ROLETE DE RETORNO \ 03_0207_01</v>
          </cell>
          <cell r="G258" t="str">
            <v>VMI TECNOLOGIAS LTDA</v>
          </cell>
          <cell r="H258">
            <v>45934</v>
          </cell>
          <cell r="I258" t="str">
            <v>MARCO</v>
          </cell>
          <cell r="J258">
            <v>15</v>
          </cell>
          <cell r="K258">
            <v>20</v>
          </cell>
          <cell r="L258">
            <v>300</v>
          </cell>
          <cell r="M258" t="str">
            <v>APROVADO</v>
          </cell>
          <cell r="N258" t="str">
            <v>10</v>
          </cell>
          <cell r="O258">
            <v>46034</v>
          </cell>
          <cell r="P258" t="str">
            <v>PRODUÇÃO DE JANEIRO DE 2026</v>
          </cell>
        </row>
        <row r="259">
          <cell r="B259" t="str">
            <v>049827004921.23.03292</v>
          </cell>
          <cell r="C259" t="str">
            <v>049827</v>
          </cell>
          <cell r="D259" t="str">
            <v>0049</v>
          </cell>
          <cell r="E259" t="str">
            <v>21.23.03292</v>
          </cell>
          <cell r="F259" t="str">
            <v>REFORCO DO CORTE DA ESTEIRA \ 03_0210_02</v>
          </cell>
          <cell r="G259" t="str">
            <v>VMI TECNOLOGIAS LTDA</v>
          </cell>
          <cell r="H259">
            <v>45934</v>
          </cell>
          <cell r="I259" t="str">
            <v>MARCO</v>
          </cell>
          <cell r="J259">
            <v>10</v>
          </cell>
          <cell r="K259">
            <v>59.997</v>
          </cell>
          <cell r="L259">
            <v>599.97</v>
          </cell>
          <cell r="M259" t="str">
            <v>APROVADO</v>
          </cell>
          <cell r="N259" t="str">
            <v>10</v>
          </cell>
          <cell r="O259">
            <v>46034</v>
          </cell>
          <cell r="P259" t="str">
            <v>PRODUÇÃO DE JANEIRO DE 2026</v>
          </cell>
        </row>
        <row r="260">
          <cell r="B260" t="str">
            <v>049827005021.23.03293</v>
          </cell>
          <cell r="C260" t="str">
            <v>049827</v>
          </cell>
          <cell r="D260" t="str">
            <v>0050</v>
          </cell>
          <cell r="E260" t="str">
            <v>21.23.03293</v>
          </cell>
          <cell r="F260" t="str">
            <v>REFORCO CENTRAL DA ESTEIRA \ 03_0211_00</v>
          </cell>
          <cell r="G260" t="str">
            <v>VMI TECNOLOGIAS LTDA</v>
          </cell>
          <cell r="H260">
            <v>45934</v>
          </cell>
          <cell r="I260" t="str">
            <v>MARCO</v>
          </cell>
          <cell r="J260">
            <v>20</v>
          </cell>
          <cell r="K260">
            <v>17.441980000000001</v>
          </cell>
          <cell r="L260">
            <v>348.84</v>
          </cell>
          <cell r="M260" t="str">
            <v>APROVADO</v>
          </cell>
          <cell r="N260" t="str">
            <v>10</v>
          </cell>
          <cell r="O260">
            <v>46034</v>
          </cell>
          <cell r="P260" t="str">
            <v>PRODUÇÃO DE JANEIRO DE 2026</v>
          </cell>
        </row>
        <row r="261">
          <cell r="B261" t="str">
            <v>049827005121.23.03294</v>
          </cell>
          <cell r="C261" t="str">
            <v>049827</v>
          </cell>
          <cell r="D261" t="str">
            <v>0051</v>
          </cell>
          <cell r="E261" t="str">
            <v>21.23.03294</v>
          </cell>
          <cell r="F261" t="str">
            <v>BATENTE DA ESTEIRA \ 03_0212_00</v>
          </cell>
          <cell r="G261" t="str">
            <v>VMI TECNOLOGIAS LTDA</v>
          </cell>
          <cell r="H261">
            <v>45934</v>
          </cell>
          <cell r="I261" t="str">
            <v>MARCO</v>
          </cell>
          <cell r="J261">
            <v>20</v>
          </cell>
          <cell r="K261">
            <v>4.7961549999999997</v>
          </cell>
          <cell r="L261">
            <v>95.92</v>
          </cell>
          <cell r="M261" t="str">
            <v>APROVADO</v>
          </cell>
          <cell r="N261" t="str">
            <v>10</v>
          </cell>
          <cell r="O261">
            <v>46034</v>
          </cell>
          <cell r="P261" t="str">
            <v>PRODUÇÃO DE JANEIRO DE 2026</v>
          </cell>
        </row>
        <row r="262">
          <cell r="B262" t="str">
            <v>049827005221.23.03295</v>
          </cell>
          <cell r="C262" t="str">
            <v>049827</v>
          </cell>
          <cell r="D262" t="str">
            <v>0052</v>
          </cell>
          <cell r="E262" t="str">
            <v>21.23.03295</v>
          </cell>
          <cell r="F262" t="str">
            <v>TRAVA DO ROLETE DE RETORNO 03 \ 03_0213_01</v>
          </cell>
          <cell r="G262" t="str">
            <v>VMI TECNOLOGIAS LTDA</v>
          </cell>
          <cell r="H262">
            <v>45934</v>
          </cell>
          <cell r="I262" t="str">
            <v>MARCO</v>
          </cell>
          <cell r="J262">
            <v>18</v>
          </cell>
          <cell r="K262">
            <v>20</v>
          </cell>
          <cell r="L262">
            <v>400</v>
          </cell>
          <cell r="M262" t="str">
            <v>APROVADO</v>
          </cell>
          <cell r="N262" t="str">
            <v>10</v>
          </cell>
          <cell r="O262">
            <v>46034</v>
          </cell>
          <cell r="P262" t="str">
            <v>PRODUÇÃO DE JANEIRO DE 2026</v>
          </cell>
        </row>
        <row r="263">
          <cell r="B263" t="str">
            <v>049827005321.23.03297</v>
          </cell>
          <cell r="C263" t="str">
            <v>049827</v>
          </cell>
          <cell r="D263" t="str">
            <v>0053</v>
          </cell>
          <cell r="E263" t="str">
            <v>21.23.03297</v>
          </cell>
          <cell r="F263" t="str">
            <v>DISTANCIADOR DO ACABAMENTO \ 03_0215_00</v>
          </cell>
          <cell r="G263" t="str">
            <v>VMI TECNOLOGIAS LTDA</v>
          </cell>
          <cell r="H263">
            <v>45934</v>
          </cell>
          <cell r="I263" t="str">
            <v>MARCO</v>
          </cell>
          <cell r="J263">
            <v>40</v>
          </cell>
          <cell r="K263">
            <v>17.632992999999999</v>
          </cell>
          <cell r="L263">
            <v>705.32</v>
          </cell>
          <cell r="M263" t="str">
            <v>APROVADO</v>
          </cell>
          <cell r="N263" t="str">
            <v>10</v>
          </cell>
          <cell r="O263">
            <v>46034</v>
          </cell>
          <cell r="P263" t="str">
            <v>PRODUÇÃO DE JANEIRO DE 2026</v>
          </cell>
        </row>
        <row r="264">
          <cell r="B264" t="str">
            <v>049827005421.23.03302</v>
          </cell>
          <cell r="C264" t="str">
            <v>049827</v>
          </cell>
          <cell r="D264" t="str">
            <v>0054</v>
          </cell>
          <cell r="E264" t="str">
            <v>21.23.03302</v>
          </cell>
          <cell r="F264" t="str">
            <v>CHAPA PROTECAO DA ESTEIRA \ 03_0220_00</v>
          </cell>
          <cell r="G264" t="str">
            <v>VMI TECNOLOGIAS LTDA</v>
          </cell>
          <cell r="H264">
            <v>45934</v>
          </cell>
          <cell r="I264" t="str">
            <v>MARCO</v>
          </cell>
          <cell r="J264">
            <v>20</v>
          </cell>
          <cell r="K264">
            <v>42.774040999999997</v>
          </cell>
          <cell r="L264">
            <v>855.48</v>
          </cell>
          <cell r="M264" t="str">
            <v>APROVADO</v>
          </cell>
          <cell r="N264" t="str">
            <v>10</v>
          </cell>
          <cell r="O264">
            <v>46034</v>
          </cell>
          <cell r="P264" t="str">
            <v>PRODUÇÃO DE JANEIRO DE 2026</v>
          </cell>
        </row>
        <row r="265">
          <cell r="B265" t="str">
            <v>049827005521.23.03315</v>
          </cell>
          <cell r="C265" t="str">
            <v>049827</v>
          </cell>
          <cell r="D265" t="str">
            <v>0055</v>
          </cell>
          <cell r="E265" t="str">
            <v>21.23.03315</v>
          </cell>
          <cell r="F265" t="str">
            <v>SUPORTE DO ACABAMENTO DA ESTEIRA \ 03_0234_00</v>
          </cell>
          <cell r="G265" t="str">
            <v>VMI TECNOLOGIAS LTDA</v>
          </cell>
          <cell r="H265">
            <v>45934</v>
          </cell>
          <cell r="I265" t="str">
            <v>MARCO</v>
          </cell>
          <cell r="J265">
            <v>20</v>
          </cell>
          <cell r="K265">
            <v>10.345565000000001</v>
          </cell>
          <cell r="L265">
            <v>206.91</v>
          </cell>
          <cell r="M265" t="str">
            <v>APROVADO</v>
          </cell>
          <cell r="N265" t="str">
            <v>10</v>
          </cell>
          <cell r="O265">
            <v>46034</v>
          </cell>
          <cell r="P265" t="str">
            <v>PRODUÇÃO DE JANEIRO DE 2026</v>
          </cell>
        </row>
        <row r="266">
          <cell r="B266" t="str">
            <v>049827005621.23.03317</v>
          </cell>
          <cell r="C266" t="str">
            <v>049827</v>
          </cell>
          <cell r="D266" t="str">
            <v>0056</v>
          </cell>
          <cell r="E266" t="str">
            <v>21.23.03317</v>
          </cell>
          <cell r="F266" t="str">
            <v>SUPORTE DO SENSOR \ 03_0236_00</v>
          </cell>
          <cell r="G266" t="str">
            <v>VMI TECNOLOGIAS LTDA</v>
          </cell>
          <cell r="H266">
            <v>45934</v>
          </cell>
          <cell r="I266" t="str">
            <v>MARCO</v>
          </cell>
          <cell r="J266">
            <v>44</v>
          </cell>
          <cell r="K266">
            <v>3.3258589999999999</v>
          </cell>
          <cell r="L266">
            <v>186.25</v>
          </cell>
          <cell r="M266" t="str">
            <v>APROVADO</v>
          </cell>
          <cell r="N266" t="str">
            <v>10</v>
          </cell>
          <cell r="O266">
            <v>46034</v>
          </cell>
          <cell r="P266" t="str">
            <v>PRODUÇÃO DE JANEIRO DE 2026</v>
          </cell>
        </row>
        <row r="267">
          <cell r="B267" t="str">
            <v>049827005921.23.03322</v>
          </cell>
          <cell r="C267" t="str">
            <v>049827</v>
          </cell>
          <cell r="D267" t="str">
            <v>0059</v>
          </cell>
          <cell r="E267" t="str">
            <v>21.23.03322</v>
          </cell>
          <cell r="F267" t="str">
            <v>CHAPA FECHAMENTO COLIMADORES \ 03_0271_00</v>
          </cell>
          <cell r="G267" t="str">
            <v>VMI TECNOLOGIAS LTDA</v>
          </cell>
          <cell r="H267">
            <v>45934</v>
          </cell>
          <cell r="I267" t="str">
            <v>MARCO</v>
          </cell>
          <cell r="J267">
            <v>14</v>
          </cell>
          <cell r="K267">
            <v>14.140890000000001</v>
          </cell>
          <cell r="L267">
            <v>197.97</v>
          </cell>
          <cell r="M267" t="str">
            <v>APROVADO</v>
          </cell>
          <cell r="N267" t="str">
            <v>10</v>
          </cell>
          <cell r="O267">
            <v>46034</v>
          </cell>
          <cell r="P267" t="str">
            <v>PRODUÇÃO DE JANEIRO DE 2026</v>
          </cell>
        </row>
        <row r="268">
          <cell r="B268" t="str">
            <v>049827006021.23.03325</v>
          </cell>
          <cell r="C268" t="str">
            <v>049827</v>
          </cell>
          <cell r="D268" t="str">
            <v>0060</v>
          </cell>
          <cell r="E268" t="str">
            <v>21.23.03325</v>
          </cell>
          <cell r="F268" t="str">
            <v>FECHAMENTO DOS COLIMADORES \ 03_0275_01</v>
          </cell>
          <cell r="G268" t="str">
            <v>VMI TECNOLOGIAS LTDA</v>
          </cell>
          <cell r="H268">
            <v>45934</v>
          </cell>
          <cell r="I268" t="str">
            <v>MARCO</v>
          </cell>
          <cell r="J268">
            <v>8</v>
          </cell>
          <cell r="K268">
            <v>7.8641319999999997</v>
          </cell>
          <cell r="L268">
            <v>62.91</v>
          </cell>
          <cell r="M268" t="str">
            <v>APROVADO</v>
          </cell>
          <cell r="N268" t="str">
            <v>10</v>
          </cell>
          <cell r="O268">
            <v>46034</v>
          </cell>
          <cell r="P268" t="str">
            <v>PRODUÇÃO DE JANEIRO DE 2026</v>
          </cell>
        </row>
        <row r="269">
          <cell r="B269" t="str">
            <v>049827006121.23.03325</v>
          </cell>
          <cell r="C269" t="str">
            <v>049827</v>
          </cell>
          <cell r="D269" t="str">
            <v>0061</v>
          </cell>
          <cell r="E269" t="str">
            <v>21.23.03325</v>
          </cell>
          <cell r="F269" t="str">
            <v>FECHAMENTO DOS COLIMADORES \ 03_0275_01</v>
          </cell>
          <cell r="G269" t="str">
            <v>VMI TECNOLOGIAS LTDA</v>
          </cell>
          <cell r="H269">
            <v>45934</v>
          </cell>
          <cell r="I269" t="str">
            <v>MARCO</v>
          </cell>
          <cell r="J269">
            <v>20</v>
          </cell>
          <cell r="K269">
            <v>7.8641319999999997</v>
          </cell>
          <cell r="L269">
            <v>157.28</v>
          </cell>
          <cell r="M269" t="str">
            <v>APROVADO</v>
          </cell>
          <cell r="N269" t="str">
            <v>10</v>
          </cell>
          <cell r="O269">
            <v>46034</v>
          </cell>
          <cell r="P269" t="str">
            <v>PRODUÇÃO DE JANEIRO DE 2026</v>
          </cell>
        </row>
        <row r="270">
          <cell r="B270" t="str">
            <v>049827006221.23.03330</v>
          </cell>
          <cell r="C270" t="str">
            <v>049827</v>
          </cell>
          <cell r="D270" t="str">
            <v>0062</v>
          </cell>
          <cell r="E270" t="str">
            <v>21.23.03330</v>
          </cell>
          <cell r="F270" t="str">
            <v>SUPORTE DA BASE DO TUBO \ 03_0283_03</v>
          </cell>
          <cell r="G270" t="str">
            <v>VMI TECNOLOGIAS LTDA</v>
          </cell>
          <cell r="H270">
            <v>45934</v>
          </cell>
          <cell r="I270" t="str">
            <v>MARCO</v>
          </cell>
          <cell r="J270">
            <v>5</v>
          </cell>
          <cell r="K270">
            <v>160.71299999999999</v>
          </cell>
          <cell r="L270">
            <v>803.57</v>
          </cell>
          <cell r="M270" t="str">
            <v>APROVADO</v>
          </cell>
          <cell r="N270" t="str">
            <v>10</v>
          </cell>
          <cell r="O270">
            <v>46034</v>
          </cell>
          <cell r="P270" t="str">
            <v>PRODUÇÃO DE JANEIRO DE 2026</v>
          </cell>
        </row>
        <row r="271">
          <cell r="B271" t="str">
            <v>049827006321.23.03363</v>
          </cell>
          <cell r="C271" t="str">
            <v>049827</v>
          </cell>
          <cell r="D271" t="str">
            <v>0063</v>
          </cell>
          <cell r="E271" t="str">
            <v>21.23.03363</v>
          </cell>
          <cell r="F271" t="str">
            <v>APOIO ACABAMENTO LATERAL \ 03_0352_00</v>
          </cell>
          <cell r="G271" t="str">
            <v>VMI TECNOLOGIAS LTDA</v>
          </cell>
          <cell r="H271">
            <v>45934</v>
          </cell>
          <cell r="I271" t="str">
            <v>MARCO</v>
          </cell>
          <cell r="J271">
            <v>4</v>
          </cell>
          <cell r="K271">
            <v>24.29</v>
          </cell>
          <cell r="L271">
            <v>97.16</v>
          </cell>
          <cell r="M271" t="str">
            <v>APROVADO</v>
          </cell>
          <cell r="N271" t="str">
            <v>10</v>
          </cell>
          <cell r="O271">
            <v>46034</v>
          </cell>
          <cell r="P271" t="str">
            <v>PRODUÇÃO DE JANEIRO DE 2026</v>
          </cell>
        </row>
        <row r="272">
          <cell r="B272" t="str">
            <v>049827006421.23.03364</v>
          </cell>
          <cell r="C272" t="str">
            <v>049827</v>
          </cell>
          <cell r="D272" t="str">
            <v>0064</v>
          </cell>
          <cell r="E272" t="str">
            <v>21.23.03364</v>
          </cell>
          <cell r="F272" t="str">
            <v>APOIO ACABAMENTO LATERAL \ 03_0353_00</v>
          </cell>
          <cell r="G272" t="str">
            <v>VMI TECNOLOGIAS LTDA</v>
          </cell>
          <cell r="H272">
            <v>45934</v>
          </cell>
          <cell r="I272" t="str">
            <v>MARCO</v>
          </cell>
          <cell r="J272">
            <v>4</v>
          </cell>
          <cell r="K272">
            <v>24.29</v>
          </cell>
          <cell r="L272">
            <v>97.16</v>
          </cell>
          <cell r="M272" t="str">
            <v>APROVADO</v>
          </cell>
          <cell r="N272" t="str">
            <v>10</v>
          </cell>
          <cell r="O272">
            <v>46034</v>
          </cell>
          <cell r="P272" t="str">
            <v>PRODUÇÃO DE JANEIRO DE 2026</v>
          </cell>
        </row>
        <row r="273">
          <cell r="B273" t="str">
            <v>049827006521.23.03377</v>
          </cell>
          <cell r="C273" t="str">
            <v>049827</v>
          </cell>
          <cell r="D273" t="str">
            <v>0065</v>
          </cell>
          <cell r="E273" t="str">
            <v>21.23.03377</v>
          </cell>
          <cell r="F273" t="str">
            <v>FECHAMENTO ACABAMENTO LATERAL \ 03_0366_00</v>
          </cell>
          <cell r="G273" t="str">
            <v>VMI TECNOLOGIAS LTDA</v>
          </cell>
          <cell r="H273">
            <v>45934</v>
          </cell>
          <cell r="I273" t="str">
            <v>MARCO</v>
          </cell>
          <cell r="J273">
            <v>4</v>
          </cell>
          <cell r="K273">
            <v>22.3</v>
          </cell>
          <cell r="L273">
            <v>89.2</v>
          </cell>
          <cell r="M273" t="str">
            <v>APROVADO</v>
          </cell>
          <cell r="N273" t="str">
            <v>10</v>
          </cell>
          <cell r="O273">
            <v>46034</v>
          </cell>
          <cell r="P273" t="str">
            <v>PRODUÇÃO DE JANEIRO DE 2026</v>
          </cell>
        </row>
        <row r="274">
          <cell r="B274" t="str">
            <v>049827006621.23.03381</v>
          </cell>
          <cell r="C274" t="str">
            <v>049827</v>
          </cell>
          <cell r="D274" t="str">
            <v>0066</v>
          </cell>
          <cell r="E274" t="str">
            <v>21.23.03381</v>
          </cell>
          <cell r="F274" t="str">
            <v>FECHAMENTO ACABAMENTO LATERAL \ 03_0370_00</v>
          </cell>
          <cell r="G274" t="str">
            <v>VMI TECNOLOGIAS LTDA</v>
          </cell>
          <cell r="H274">
            <v>45934</v>
          </cell>
          <cell r="I274" t="str">
            <v>MARCO</v>
          </cell>
          <cell r="J274">
            <v>4</v>
          </cell>
          <cell r="K274">
            <v>22.3</v>
          </cell>
          <cell r="L274">
            <v>89.2</v>
          </cell>
          <cell r="M274" t="str">
            <v>APROVADO</v>
          </cell>
          <cell r="N274" t="str">
            <v>10</v>
          </cell>
          <cell r="O274">
            <v>46034</v>
          </cell>
          <cell r="P274" t="str">
            <v>PRODUÇÃO DE JANEIRO DE 2026</v>
          </cell>
        </row>
        <row r="275">
          <cell r="B275" t="str">
            <v>049827006721.23.03385</v>
          </cell>
          <cell r="C275" t="str">
            <v>049827</v>
          </cell>
          <cell r="D275" t="str">
            <v>0067</v>
          </cell>
          <cell r="E275" t="str">
            <v>21.23.03385</v>
          </cell>
          <cell r="F275" t="str">
            <v>FECHAMENTO ACABAMENTO CENTRAL \ 03_0374_00</v>
          </cell>
          <cell r="G275" t="str">
            <v>VMI TECNOLOGIAS LTDA</v>
          </cell>
          <cell r="H275">
            <v>45934</v>
          </cell>
          <cell r="I275" t="str">
            <v>MARCO</v>
          </cell>
          <cell r="J275">
            <v>4</v>
          </cell>
          <cell r="K275">
            <v>33.46</v>
          </cell>
          <cell r="L275">
            <v>133.84</v>
          </cell>
          <cell r="M275" t="str">
            <v>APROVADO</v>
          </cell>
          <cell r="N275" t="str">
            <v>10</v>
          </cell>
          <cell r="O275">
            <v>46034</v>
          </cell>
          <cell r="P275" t="str">
            <v>PRODUÇÃO DE JANEIRO DE 2026</v>
          </cell>
        </row>
        <row r="276">
          <cell r="B276" t="str">
            <v>049827006821.23.03399</v>
          </cell>
          <cell r="C276" t="str">
            <v>049827</v>
          </cell>
          <cell r="D276" t="str">
            <v>0068</v>
          </cell>
          <cell r="E276" t="str">
            <v>21.23.03399</v>
          </cell>
          <cell r="F276" t="str">
            <v>BASE TUBO SANDT SV \ 03_0401_05</v>
          </cell>
          <cell r="G276" t="str">
            <v>VMI TECNOLOGIAS LTDA</v>
          </cell>
          <cell r="H276">
            <v>45934</v>
          </cell>
          <cell r="I276" t="str">
            <v>MARCO</v>
          </cell>
          <cell r="J276">
            <v>14</v>
          </cell>
          <cell r="K276">
            <v>231.672</v>
          </cell>
          <cell r="L276">
            <v>3243.41</v>
          </cell>
          <cell r="M276" t="str">
            <v>APROVADO</v>
          </cell>
          <cell r="N276" t="str">
            <v>10</v>
          </cell>
          <cell r="O276">
            <v>46034</v>
          </cell>
          <cell r="P276" t="str">
            <v>PRODUÇÃO DE JANEIRO DE 2026</v>
          </cell>
        </row>
        <row r="277">
          <cell r="B277" t="str">
            <v>049827006921.23.03409</v>
          </cell>
          <cell r="C277" t="str">
            <v>049827</v>
          </cell>
          <cell r="D277" t="str">
            <v>0069</v>
          </cell>
          <cell r="E277" t="str">
            <v>21.23.03409</v>
          </cell>
          <cell r="F277" t="str">
            <v>BASE TUBO SANDT DV \ 03_0418_00</v>
          </cell>
          <cell r="G277" t="str">
            <v>VMI TECNOLOGIAS LTDA</v>
          </cell>
          <cell r="H277">
            <v>45934</v>
          </cell>
          <cell r="I277" t="str">
            <v>MARCO</v>
          </cell>
          <cell r="J277">
            <v>4</v>
          </cell>
          <cell r="K277">
            <v>166.18350000000001</v>
          </cell>
          <cell r="L277">
            <v>664.73</v>
          </cell>
          <cell r="M277" t="str">
            <v>APROVADO</v>
          </cell>
          <cell r="N277" t="str">
            <v>10</v>
          </cell>
          <cell r="O277">
            <v>46034</v>
          </cell>
          <cell r="P277" t="str">
            <v>PRODUÇÃO DE JANEIRO DE 2026</v>
          </cell>
        </row>
        <row r="278">
          <cell r="B278" t="str">
            <v>049827007021.23.03427</v>
          </cell>
          <cell r="C278" t="str">
            <v>049827</v>
          </cell>
          <cell r="D278" t="str">
            <v>0070</v>
          </cell>
          <cell r="E278" t="str">
            <v>21.23.03427</v>
          </cell>
          <cell r="F278" t="str">
            <v>APOIO DOS ACABAMENTOS LATERAIS \ 03_0108_00</v>
          </cell>
          <cell r="G278" t="str">
            <v>VMI TECNOLOGIAS LTDA</v>
          </cell>
          <cell r="H278">
            <v>45934</v>
          </cell>
          <cell r="I278" t="str">
            <v>MARCO</v>
          </cell>
          <cell r="J278">
            <v>56</v>
          </cell>
          <cell r="K278">
            <v>23.5</v>
          </cell>
          <cell r="L278">
            <v>1316</v>
          </cell>
          <cell r="M278" t="str">
            <v>APROVADO</v>
          </cell>
          <cell r="N278" t="str">
            <v>10</v>
          </cell>
          <cell r="O278">
            <v>46034</v>
          </cell>
          <cell r="P278" t="str">
            <v>PRODUÇÃO DE JANEIRO DE 2026</v>
          </cell>
        </row>
        <row r="279">
          <cell r="B279" t="str">
            <v>049827007321.23.04451</v>
          </cell>
          <cell r="C279" t="str">
            <v>049827</v>
          </cell>
          <cell r="D279" t="str">
            <v>0073</v>
          </cell>
          <cell r="E279" t="str">
            <v>21.23.04451</v>
          </cell>
          <cell r="F279" t="str">
            <v>SUPORTE PLACA DE LED 01 / 03_0702_00</v>
          </cell>
          <cell r="G279" t="str">
            <v>VMI TECNOLOGIAS LTDA</v>
          </cell>
          <cell r="H279">
            <v>45934</v>
          </cell>
          <cell r="I279" t="str">
            <v>MARCO</v>
          </cell>
          <cell r="J279">
            <v>63</v>
          </cell>
          <cell r="K279">
            <v>8.7100000000000009</v>
          </cell>
          <cell r="L279">
            <v>557.44000000000005</v>
          </cell>
          <cell r="M279" t="str">
            <v>APROVADO</v>
          </cell>
          <cell r="N279" t="str">
            <v>10</v>
          </cell>
          <cell r="O279">
            <v>46034</v>
          </cell>
          <cell r="P279" t="str">
            <v>PRODUÇÃO DE JANEIRO DE 2026</v>
          </cell>
        </row>
        <row r="280">
          <cell r="B280" t="str">
            <v>049827007421.23.04452</v>
          </cell>
          <cell r="C280" t="str">
            <v>049827</v>
          </cell>
          <cell r="D280" t="str">
            <v>0074</v>
          </cell>
          <cell r="E280" t="str">
            <v>21.23.04452</v>
          </cell>
          <cell r="F280" t="str">
            <v>SUPORTE PLACA DE LED 02 / 03_0704_00</v>
          </cell>
          <cell r="G280" t="str">
            <v>VMI TECNOLOGIAS LTDA</v>
          </cell>
          <cell r="H280">
            <v>45934</v>
          </cell>
          <cell r="I280" t="str">
            <v>MARCO</v>
          </cell>
          <cell r="J280">
            <v>49</v>
          </cell>
          <cell r="K280">
            <v>8.7100000000000009</v>
          </cell>
          <cell r="L280">
            <v>487.76</v>
          </cell>
          <cell r="M280" t="str">
            <v>APROVADO</v>
          </cell>
          <cell r="N280" t="str">
            <v>10</v>
          </cell>
          <cell r="O280">
            <v>46034</v>
          </cell>
          <cell r="P280" t="str">
            <v>PRODUÇÃO DE JANEIRO DE 2026</v>
          </cell>
        </row>
        <row r="281">
          <cell r="B281" t="str">
            <v>049827007521.23.04700</v>
          </cell>
          <cell r="C281" t="str">
            <v>049827</v>
          </cell>
          <cell r="D281" t="str">
            <v>0075</v>
          </cell>
          <cell r="E281" t="str">
            <v>21.23.04700</v>
          </cell>
          <cell r="F281" t="str">
            <v>APOIO PARA PC AJUSTAVEL / AA_10231_03</v>
          </cell>
          <cell r="G281" t="str">
            <v>VMI TECNOLOGIAS LTDA</v>
          </cell>
          <cell r="H281">
            <v>45934</v>
          </cell>
          <cell r="I281" t="str">
            <v>MARCO</v>
          </cell>
          <cell r="J281">
            <v>8</v>
          </cell>
          <cell r="K281">
            <v>53.854500000000002</v>
          </cell>
          <cell r="L281">
            <v>430.84</v>
          </cell>
          <cell r="M281" t="str">
            <v>APROVADO</v>
          </cell>
          <cell r="N281" t="str">
            <v>10</v>
          </cell>
          <cell r="O281">
            <v>46034</v>
          </cell>
          <cell r="P281" t="str">
            <v>PRODUÇÃO DE JANEIRO DE 2026</v>
          </cell>
        </row>
        <row r="282">
          <cell r="B282" t="str">
            <v>049827007621.23.04752</v>
          </cell>
          <cell r="C282" t="str">
            <v>049827</v>
          </cell>
          <cell r="D282" t="str">
            <v>0076</v>
          </cell>
          <cell r="E282" t="str">
            <v>21.23.04752</v>
          </cell>
          <cell r="F282" t="str">
            <v>FECHAMENTO INF. DA ESTEIRA / AA_8485_00</v>
          </cell>
          <cell r="G282" t="str">
            <v>VMI TECNOLOGIAS LTDA</v>
          </cell>
          <cell r="H282">
            <v>45934</v>
          </cell>
          <cell r="I282" t="str">
            <v>MARCO</v>
          </cell>
          <cell r="J282">
            <v>1</v>
          </cell>
          <cell r="K282">
            <v>39.679499999999997</v>
          </cell>
          <cell r="L282">
            <v>1904.62</v>
          </cell>
          <cell r="M282" t="str">
            <v>APROVADO</v>
          </cell>
          <cell r="N282" t="str">
            <v>10</v>
          </cell>
          <cell r="O282">
            <v>46034</v>
          </cell>
          <cell r="P282" t="str">
            <v>PRODUÇÃO DE JANEIRO DE 2026</v>
          </cell>
        </row>
        <row r="283">
          <cell r="B283" t="str">
            <v>049827007721.23.04818</v>
          </cell>
          <cell r="C283" t="str">
            <v>049827</v>
          </cell>
          <cell r="D283" t="str">
            <v>0077</v>
          </cell>
          <cell r="E283" t="str">
            <v>21.23.04818</v>
          </cell>
          <cell r="F283" t="str">
            <v>SUPORTE DA CORTINA / AA_8627_01</v>
          </cell>
          <cell r="G283" t="str">
            <v>VMI TECNOLOGIAS LTDA</v>
          </cell>
          <cell r="H283">
            <v>45934</v>
          </cell>
          <cell r="I283" t="str">
            <v>MARCO</v>
          </cell>
          <cell r="J283">
            <v>10</v>
          </cell>
          <cell r="K283">
            <v>63</v>
          </cell>
          <cell r="L283">
            <v>630</v>
          </cell>
          <cell r="M283" t="str">
            <v>APROVADO</v>
          </cell>
          <cell r="N283" t="str">
            <v>10</v>
          </cell>
          <cell r="O283">
            <v>46034</v>
          </cell>
          <cell r="P283" t="str">
            <v>PRODUÇÃO DE JANEIRO DE 2026</v>
          </cell>
        </row>
        <row r="284">
          <cell r="B284" t="str">
            <v>049827007821.23.04819</v>
          </cell>
          <cell r="C284" t="str">
            <v>049827</v>
          </cell>
          <cell r="D284" t="str">
            <v>0078</v>
          </cell>
          <cell r="E284" t="str">
            <v>21.23.04819</v>
          </cell>
          <cell r="F284" t="str">
            <v>ESPELHO DA CORTINA/AA_8625_01</v>
          </cell>
          <cell r="G284" t="str">
            <v>VMI TECNOLOGIAS LTDA</v>
          </cell>
          <cell r="H284">
            <v>45934</v>
          </cell>
          <cell r="I284" t="str">
            <v>MARCO</v>
          </cell>
          <cell r="J284">
            <v>10</v>
          </cell>
          <cell r="K284">
            <v>44.488315999999998</v>
          </cell>
          <cell r="L284">
            <v>444.88</v>
          </cell>
          <cell r="M284" t="str">
            <v>APROVADO</v>
          </cell>
          <cell r="N284" t="str">
            <v>10</v>
          </cell>
          <cell r="O284">
            <v>46034</v>
          </cell>
          <cell r="P284" t="str">
            <v>PRODUÇÃO DE JANEIRO DE 2026</v>
          </cell>
        </row>
        <row r="285">
          <cell r="B285" t="str">
            <v>049827008033.03.10001.06</v>
          </cell>
          <cell r="C285" t="str">
            <v>049827</v>
          </cell>
          <cell r="D285" t="str">
            <v>0080</v>
          </cell>
          <cell r="E285" t="str">
            <v>33.03.10001.06</v>
          </cell>
          <cell r="F285" t="str">
            <v>BASE 6040 PED 042 / 33.03.10001.06</v>
          </cell>
          <cell r="G285" t="str">
            <v>VMI TECNOLOGIAS LTDA</v>
          </cell>
          <cell r="H285">
            <v>45934</v>
          </cell>
          <cell r="I285" t="str">
            <v>MARCO</v>
          </cell>
          <cell r="J285">
            <v>14</v>
          </cell>
          <cell r="K285">
            <v>1553.77</v>
          </cell>
          <cell r="L285">
            <v>21752.78</v>
          </cell>
          <cell r="M285" t="str">
            <v>APROVADO</v>
          </cell>
          <cell r="N285" t="str">
            <v>10</v>
          </cell>
          <cell r="O285">
            <v>46034</v>
          </cell>
          <cell r="P285" t="str">
            <v>PRODUÇÃO DE JANEIRO DE 2026</v>
          </cell>
        </row>
        <row r="286">
          <cell r="B286" t="str">
            <v>049827008133.03.10008.00</v>
          </cell>
          <cell r="C286" t="str">
            <v>049827</v>
          </cell>
          <cell r="D286" t="str">
            <v>0081</v>
          </cell>
          <cell r="E286" t="str">
            <v>33.03.10008.00</v>
          </cell>
          <cell r="F286" t="str">
            <v>REGUA DO COLIMADOR / 33.03.10008.00</v>
          </cell>
          <cell r="G286" t="str">
            <v>VMI TECNOLOGIAS LTDA</v>
          </cell>
          <cell r="H286">
            <v>45934</v>
          </cell>
          <cell r="I286" t="str">
            <v>MARCO</v>
          </cell>
          <cell r="J286">
            <v>30</v>
          </cell>
          <cell r="K286">
            <v>57.9</v>
          </cell>
          <cell r="L286">
            <v>1737</v>
          </cell>
          <cell r="M286" t="str">
            <v>APROVADO</v>
          </cell>
          <cell r="N286" t="str">
            <v>10</v>
          </cell>
          <cell r="O286">
            <v>46034</v>
          </cell>
          <cell r="P286" t="str">
            <v>PRODUÇÃO DE JANEIRO DE 2026</v>
          </cell>
        </row>
        <row r="287">
          <cell r="B287" t="str">
            <v>049827008233.03.10200.00</v>
          </cell>
          <cell r="C287" t="str">
            <v>049827</v>
          </cell>
          <cell r="D287" t="str">
            <v>0082</v>
          </cell>
          <cell r="E287" t="str">
            <v>33.03.10200.00</v>
          </cell>
          <cell r="F287" t="str">
            <v>LATERAL DO TUNEL / 33.03.10200.00</v>
          </cell>
          <cell r="G287" t="str">
            <v>VMI TECNOLOGIAS LTDA</v>
          </cell>
          <cell r="H287">
            <v>45934</v>
          </cell>
          <cell r="I287" t="str">
            <v>MARCO</v>
          </cell>
          <cell r="J287">
            <v>16</v>
          </cell>
          <cell r="K287">
            <v>103.971</v>
          </cell>
          <cell r="L287">
            <v>1663.54</v>
          </cell>
          <cell r="M287" t="str">
            <v>APROVADO</v>
          </cell>
          <cell r="N287" t="str">
            <v>10</v>
          </cell>
          <cell r="O287">
            <v>46034</v>
          </cell>
          <cell r="P287" t="str">
            <v>PRODUÇÃO DE JANEIRO DE 2026</v>
          </cell>
        </row>
        <row r="288">
          <cell r="B288" t="str">
            <v>049827008433.03.10204.00</v>
          </cell>
          <cell r="C288" t="str">
            <v>049827</v>
          </cell>
          <cell r="D288" t="str">
            <v>0084</v>
          </cell>
          <cell r="E288" t="str">
            <v>33.03.10204.00</v>
          </cell>
          <cell r="F288" t="str">
            <v>FIXACAO  / 33.03.10204.00</v>
          </cell>
          <cell r="G288" t="str">
            <v>VMI TECNOLOGIAS LTDA</v>
          </cell>
          <cell r="H288">
            <v>45934</v>
          </cell>
          <cell r="I288" t="str">
            <v>MARCO</v>
          </cell>
          <cell r="J288">
            <v>120</v>
          </cell>
          <cell r="K288">
            <v>3.4784000000000002</v>
          </cell>
          <cell r="L288">
            <v>417.41</v>
          </cell>
          <cell r="M288" t="str">
            <v>APROVADO</v>
          </cell>
          <cell r="N288" t="str">
            <v>10</v>
          </cell>
          <cell r="O288">
            <v>46034</v>
          </cell>
          <cell r="P288" t="str">
            <v>PRODUÇÃO DE JANEIRO DE 2026</v>
          </cell>
        </row>
        <row r="289">
          <cell r="B289" t="str">
            <v>049827008533.03.10213.00</v>
          </cell>
          <cell r="C289" t="str">
            <v>049827</v>
          </cell>
          <cell r="D289" t="str">
            <v>0085</v>
          </cell>
          <cell r="E289" t="str">
            <v>33.03.10213.00</v>
          </cell>
          <cell r="F289" t="str">
            <v>TRAVA TAMPA / 33.03.10213.00</v>
          </cell>
          <cell r="G289" t="str">
            <v>VMI TECNOLOGIAS LTDA</v>
          </cell>
          <cell r="H289">
            <v>45934</v>
          </cell>
          <cell r="I289" t="str">
            <v>MARCO</v>
          </cell>
          <cell r="J289">
            <v>24</v>
          </cell>
          <cell r="K289">
            <v>6</v>
          </cell>
          <cell r="L289">
            <v>192</v>
          </cell>
          <cell r="M289" t="str">
            <v>APROVADO</v>
          </cell>
          <cell r="N289" t="str">
            <v>10</v>
          </cell>
          <cell r="O289">
            <v>46034</v>
          </cell>
          <cell r="P289" t="str">
            <v>PRODUÇÃO DE JANEIRO DE 2026</v>
          </cell>
        </row>
        <row r="290">
          <cell r="B290" t="str">
            <v>049827008733.03.10224.01</v>
          </cell>
          <cell r="C290" t="str">
            <v>049827</v>
          </cell>
          <cell r="D290" t="str">
            <v>0087</v>
          </cell>
          <cell r="E290" t="str">
            <v>33.03.10224.01</v>
          </cell>
          <cell r="F290" t="str">
            <v>REFORCO / 33.03.10224.01</v>
          </cell>
          <cell r="G290" t="str">
            <v>VMI TECNOLOGIAS LTDA</v>
          </cell>
          <cell r="H290">
            <v>45934</v>
          </cell>
          <cell r="I290" t="str">
            <v>MARCO</v>
          </cell>
          <cell r="J290">
            <v>16</v>
          </cell>
          <cell r="K290">
            <v>40.654215000000001</v>
          </cell>
          <cell r="L290">
            <v>650.47</v>
          </cell>
          <cell r="M290" t="str">
            <v>APROVADO</v>
          </cell>
          <cell r="N290" t="str">
            <v>10</v>
          </cell>
          <cell r="O290">
            <v>46034</v>
          </cell>
          <cell r="P290" t="str">
            <v>PRODUÇÃO DE JANEIRO DE 2026</v>
          </cell>
        </row>
        <row r="291">
          <cell r="B291" t="str">
            <v>049827008833.03.10226.00</v>
          </cell>
          <cell r="C291" t="str">
            <v>049827</v>
          </cell>
          <cell r="D291" t="str">
            <v>0088</v>
          </cell>
          <cell r="E291" t="str">
            <v>33.03.10226.00</v>
          </cell>
          <cell r="F291" t="str">
            <v>APOIO PARA TAMPA / 33.03.10226.00</v>
          </cell>
          <cell r="G291" t="str">
            <v>VMI TECNOLOGIAS LTDA</v>
          </cell>
          <cell r="H291">
            <v>45934</v>
          </cell>
          <cell r="I291" t="str">
            <v>MARCO</v>
          </cell>
          <cell r="J291">
            <v>12</v>
          </cell>
          <cell r="K291">
            <v>12.5</v>
          </cell>
          <cell r="L291">
            <v>200</v>
          </cell>
          <cell r="M291" t="str">
            <v>APROVADO</v>
          </cell>
          <cell r="N291" t="str">
            <v>10</v>
          </cell>
          <cell r="O291">
            <v>46034</v>
          </cell>
          <cell r="P291" t="str">
            <v>PRODUÇÃO DE JANEIRO DE 2026</v>
          </cell>
        </row>
        <row r="292">
          <cell r="B292" t="str">
            <v>049827009233.03.10232.01</v>
          </cell>
          <cell r="C292" t="str">
            <v>049827</v>
          </cell>
          <cell r="D292" t="str">
            <v>0092</v>
          </cell>
          <cell r="E292" t="str">
            <v>33.03.10232.01</v>
          </cell>
          <cell r="F292" t="str">
            <v>REGUA / 33.03.10232.01</v>
          </cell>
          <cell r="G292" t="str">
            <v>VMI TECNOLOGIAS LTDA</v>
          </cell>
          <cell r="H292">
            <v>45934</v>
          </cell>
          <cell r="I292" t="str">
            <v>MARCO</v>
          </cell>
          <cell r="J292">
            <v>16</v>
          </cell>
          <cell r="K292">
            <v>31.531500000000001</v>
          </cell>
          <cell r="L292">
            <v>504.5</v>
          </cell>
          <cell r="M292" t="str">
            <v>APROVADO</v>
          </cell>
          <cell r="N292" t="str">
            <v>10</v>
          </cell>
          <cell r="O292">
            <v>46034</v>
          </cell>
          <cell r="P292" t="str">
            <v>PRODUÇÃO DE JANEIRO DE 2026</v>
          </cell>
        </row>
        <row r="293">
          <cell r="B293" t="str">
            <v>049827009333.03.10242.00</v>
          </cell>
          <cell r="C293" t="str">
            <v>049827</v>
          </cell>
          <cell r="D293" t="str">
            <v>0093</v>
          </cell>
          <cell r="E293" t="str">
            <v>33.03.10242.00</v>
          </cell>
          <cell r="F293" t="str">
            <v>OB - FIXACAO MESA / 33.03.10242.00</v>
          </cell>
          <cell r="G293" t="str">
            <v>VMI TECNOLOGIAS LTDA</v>
          </cell>
          <cell r="H293">
            <v>45934</v>
          </cell>
          <cell r="I293" t="str">
            <v>MARCO</v>
          </cell>
          <cell r="J293">
            <v>6</v>
          </cell>
          <cell r="K293">
            <v>12.5</v>
          </cell>
          <cell r="L293">
            <v>100</v>
          </cell>
          <cell r="M293" t="str">
            <v>APROVADO</v>
          </cell>
          <cell r="N293" t="str">
            <v>10</v>
          </cell>
          <cell r="O293">
            <v>46034</v>
          </cell>
          <cell r="P293" t="str">
            <v>PRODUÇÃO DE JANEIRO DE 2026</v>
          </cell>
        </row>
        <row r="294">
          <cell r="B294" t="str">
            <v>049827009433.03.10242.00</v>
          </cell>
          <cell r="C294" t="str">
            <v>049827</v>
          </cell>
          <cell r="D294" t="str">
            <v>0094</v>
          </cell>
          <cell r="E294" t="str">
            <v>33.03.10242.00</v>
          </cell>
          <cell r="F294" t="str">
            <v>OB - FIXACAO MESA / 33.03.10242.00</v>
          </cell>
          <cell r="G294" t="str">
            <v>VMI TECNOLOGIAS LTDA</v>
          </cell>
          <cell r="H294">
            <v>45934</v>
          </cell>
          <cell r="I294" t="str">
            <v>MARCO</v>
          </cell>
          <cell r="J294">
            <v>60</v>
          </cell>
          <cell r="K294">
            <v>12.5</v>
          </cell>
          <cell r="L294">
            <v>750</v>
          </cell>
          <cell r="M294" t="str">
            <v>APROVADO</v>
          </cell>
          <cell r="N294" t="str">
            <v>10</v>
          </cell>
          <cell r="O294">
            <v>46034</v>
          </cell>
          <cell r="P294" t="str">
            <v>PRODUÇÃO DE JANEIRO DE 2026</v>
          </cell>
        </row>
        <row r="295">
          <cell r="B295" t="str">
            <v>049827009533.03.10243.00</v>
          </cell>
          <cell r="C295" t="str">
            <v>049827</v>
          </cell>
          <cell r="D295" t="str">
            <v>0095</v>
          </cell>
          <cell r="E295" t="str">
            <v>33.03.10243.00</v>
          </cell>
          <cell r="F295" t="str">
            <v>REGULAGEM / 33.03.10243.00</v>
          </cell>
          <cell r="G295" t="str">
            <v>VMI TECNOLOGIAS LTDA</v>
          </cell>
          <cell r="H295">
            <v>45934</v>
          </cell>
          <cell r="I295" t="str">
            <v>MARCO</v>
          </cell>
          <cell r="J295">
            <v>8</v>
          </cell>
          <cell r="K295">
            <v>25</v>
          </cell>
          <cell r="L295">
            <v>200</v>
          </cell>
          <cell r="M295" t="str">
            <v>APROVADO</v>
          </cell>
          <cell r="N295" t="str">
            <v>10</v>
          </cell>
          <cell r="O295">
            <v>46034</v>
          </cell>
          <cell r="P295" t="str">
            <v>PRODUÇÃO DE JANEIRO DE 2026</v>
          </cell>
        </row>
        <row r="296">
          <cell r="B296" t="str">
            <v>049827009633.03.10244.00</v>
          </cell>
          <cell r="C296" t="str">
            <v>049827</v>
          </cell>
          <cell r="D296" t="str">
            <v>0096</v>
          </cell>
          <cell r="E296" t="str">
            <v>33.03.10244.00</v>
          </cell>
          <cell r="F296" t="str">
            <v>VEDACAO / 33.03.10244.00</v>
          </cell>
          <cell r="G296" t="str">
            <v>VMI TECNOLOGIAS LTDA</v>
          </cell>
          <cell r="H296">
            <v>45934</v>
          </cell>
          <cell r="I296" t="str">
            <v>MARCO</v>
          </cell>
          <cell r="J296">
            <v>8</v>
          </cell>
          <cell r="K296">
            <v>56.563499999999998</v>
          </cell>
          <cell r="L296">
            <v>452.51</v>
          </cell>
          <cell r="M296" t="str">
            <v>APROVADO</v>
          </cell>
          <cell r="N296" t="str">
            <v>10</v>
          </cell>
          <cell r="O296">
            <v>46034</v>
          </cell>
          <cell r="P296" t="str">
            <v>PRODUÇÃO DE JANEIRO DE 2026</v>
          </cell>
        </row>
        <row r="297">
          <cell r="B297" t="str">
            <v>049827009733.03.10246.01</v>
          </cell>
          <cell r="C297" t="str">
            <v>049827</v>
          </cell>
          <cell r="D297" t="str">
            <v>0097</v>
          </cell>
          <cell r="E297" t="str">
            <v>33.03.10246.01</v>
          </cell>
          <cell r="F297" t="str">
            <v>FIXACAO MESA / 33.03.10246.01</v>
          </cell>
          <cell r="G297" t="str">
            <v>VMI TECNOLOGIAS LTDA</v>
          </cell>
          <cell r="H297">
            <v>45934</v>
          </cell>
          <cell r="I297" t="str">
            <v>MARCO</v>
          </cell>
          <cell r="J297">
            <v>29</v>
          </cell>
          <cell r="K297">
            <v>18</v>
          </cell>
          <cell r="L297">
            <v>540</v>
          </cell>
          <cell r="M297" t="str">
            <v>APROVADO</v>
          </cell>
          <cell r="N297" t="str">
            <v>10</v>
          </cell>
          <cell r="O297">
            <v>46034</v>
          </cell>
          <cell r="P297" t="str">
            <v>PRODUÇÃO DE JANEIRO DE 2026</v>
          </cell>
        </row>
        <row r="298">
          <cell r="B298" t="str">
            <v>049827009833.03.10246.01</v>
          </cell>
          <cell r="C298" t="str">
            <v>049827</v>
          </cell>
          <cell r="D298" t="str">
            <v>0098</v>
          </cell>
          <cell r="E298" t="str">
            <v>33.03.10246.01</v>
          </cell>
          <cell r="F298" t="str">
            <v>FIXACAO MESA / 33.03.10246.01</v>
          </cell>
          <cell r="G298" t="str">
            <v>VMI TECNOLOGIAS LTDA</v>
          </cell>
          <cell r="H298">
            <v>45934</v>
          </cell>
          <cell r="I298" t="str">
            <v>MARCO</v>
          </cell>
          <cell r="J298">
            <v>4</v>
          </cell>
          <cell r="K298">
            <v>18</v>
          </cell>
          <cell r="L298">
            <v>72</v>
          </cell>
          <cell r="M298" t="str">
            <v>APROVADO</v>
          </cell>
          <cell r="N298" t="str">
            <v>10</v>
          </cell>
          <cell r="O298">
            <v>46034</v>
          </cell>
          <cell r="P298" t="str">
            <v>PRODUÇÃO DE JANEIRO DE 2026</v>
          </cell>
        </row>
        <row r="299">
          <cell r="B299" t="str">
            <v>049827009933.03.10248.02</v>
          </cell>
          <cell r="C299" t="str">
            <v>049827</v>
          </cell>
          <cell r="D299" t="str">
            <v>0099</v>
          </cell>
          <cell r="E299" t="str">
            <v>33.03.10248.02</v>
          </cell>
          <cell r="F299" t="str">
            <v>FIXACAO MESA / 33.03.10248.02</v>
          </cell>
          <cell r="G299" t="str">
            <v>VMI TECNOLOGIAS LTDA</v>
          </cell>
          <cell r="H299">
            <v>45934</v>
          </cell>
          <cell r="I299" t="str">
            <v>MARCO</v>
          </cell>
          <cell r="J299">
            <v>3</v>
          </cell>
          <cell r="K299">
            <v>18</v>
          </cell>
          <cell r="L299">
            <v>72</v>
          </cell>
          <cell r="M299" t="str">
            <v>APROVADO</v>
          </cell>
          <cell r="N299" t="str">
            <v>10</v>
          </cell>
          <cell r="O299">
            <v>46034</v>
          </cell>
          <cell r="P299" t="str">
            <v>PRODUÇÃO DE JANEIRO DE 2026</v>
          </cell>
        </row>
        <row r="300">
          <cell r="B300" t="str">
            <v>049827010033.03.10248.02</v>
          </cell>
          <cell r="C300" t="str">
            <v>049827</v>
          </cell>
          <cell r="D300" t="str">
            <v>0100</v>
          </cell>
          <cell r="E300" t="str">
            <v>33.03.10248.02</v>
          </cell>
          <cell r="F300" t="str">
            <v>FIXACAO MESA / 33.03.10248.02</v>
          </cell>
          <cell r="G300" t="str">
            <v>VMI TECNOLOGIAS LTDA</v>
          </cell>
          <cell r="H300">
            <v>45934</v>
          </cell>
          <cell r="I300" t="str">
            <v>MARCO</v>
          </cell>
          <cell r="J300">
            <v>30</v>
          </cell>
          <cell r="K300">
            <v>18</v>
          </cell>
          <cell r="L300">
            <v>540</v>
          </cell>
          <cell r="M300" t="str">
            <v>APROVADO</v>
          </cell>
          <cell r="N300" t="str">
            <v>10</v>
          </cell>
          <cell r="O300">
            <v>46034</v>
          </cell>
          <cell r="P300" t="str">
            <v>PRODUÇÃO DE JANEIRO DE 2026</v>
          </cell>
        </row>
        <row r="301">
          <cell r="B301" t="str">
            <v>049827010133.03.10253.01</v>
          </cell>
          <cell r="C301" t="str">
            <v>049827</v>
          </cell>
          <cell r="D301" t="str">
            <v>0101</v>
          </cell>
          <cell r="E301" t="str">
            <v>33.03.10253.01</v>
          </cell>
          <cell r="F301" t="str">
            <v>REGULAGEM  / 33.03.10253.01</v>
          </cell>
          <cell r="G301" t="str">
            <v>VMI TECNOLOGIAS LTDA</v>
          </cell>
          <cell r="H301">
            <v>45934</v>
          </cell>
          <cell r="I301" t="str">
            <v>MARCO</v>
          </cell>
          <cell r="J301">
            <v>28</v>
          </cell>
          <cell r="K301">
            <v>16.16</v>
          </cell>
          <cell r="L301">
            <v>452.48</v>
          </cell>
          <cell r="M301" t="str">
            <v>APROVADO</v>
          </cell>
          <cell r="N301" t="str">
            <v>10</v>
          </cell>
          <cell r="O301">
            <v>46034</v>
          </cell>
          <cell r="P301" t="str">
            <v>PRODUÇÃO DE JANEIRO DE 2026</v>
          </cell>
        </row>
        <row r="302">
          <cell r="B302" t="str">
            <v>049827010233.03.10257.01</v>
          </cell>
          <cell r="C302" t="str">
            <v>049827</v>
          </cell>
          <cell r="D302" t="str">
            <v>0102</v>
          </cell>
          <cell r="E302" t="str">
            <v>33.03.10257.01</v>
          </cell>
          <cell r="F302" t="str">
            <v>REGUA COLIMADOR 1 / 33.03.10257.01</v>
          </cell>
          <cell r="G302" t="str">
            <v>VMI TECNOLOGIAS LTDA</v>
          </cell>
          <cell r="H302">
            <v>45934</v>
          </cell>
          <cell r="I302" t="str">
            <v>MARCO</v>
          </cell>
          <cell r="J302">
            <v>28</v>
          </cell>
          <cell r="K302">
            <v>31.846499999999999</v>
          </cell>
          <cell r="L302">
            <v>891.7</v>
          </cell>
          <cell r="M302" t="str">
            <v>APROVADO</v>
          </cell>
          <cell r="N302" t="str">
            <v>10</v>
          </cell>
          <cell r="O302">
            <v>46034</v>
          </cell>
          <cell r="P302" t="str">
            <v>PRODUÇÃO DE JANEIRO DE 2026</v>
          </cell>
        </row>
        <row r="303">
          <cell r="B303" t="str">
            <v>049827010333.03.10258.01</v>
          </cell>
          <cell r="C303" t="str">
            <v>049827</v>
          </cell>
          <cell r="D303" t="str">
            <v>0103</v>
          </cell>
          <cell r="E303" t="str">
            <v>33.03.10258.01</v>
          </cell>
          <cell r="F303" t="str">
            <v>LATERAL DIREITA COLIMADOR. / 33.03.10258.01</v>
          </cell>
          <cell r="G303" t="str">
            <v>VMI TECNOLOGIAS LTDA</v>
          </cell>
          <cell r="H303">
            <v>45934</v>
          </cell>
          <cell r="I303" t="str">
            <v>MARCO</v>
          </cell>
          <cell r="J303">
            <v>15</v>
          </cell>
          <cell r="K303">
            <v>35.6</v>
          </cell>
          <cell r="L303">
            <v>534</v>
          </cell>
          <cell r="M303" t="str">
            <v>APROVADO</v>
          </cell>
          <cell r="N303" t="str">
            <v>10</v>
          </cell>
          <cell r="O303">
            <v>46034</v>
          </cell>
          <cell r="P303" t="str">
            <v>PRODUÇÃO DE JANEIRO DE 2026</v>
          </cell>
        </row>
        <row r="304">
          <cell r="B304" t="str">
            <v>049827010433.03.10260.01</v>
          </cell>
          <cell r="C304" t="str">
            <v>049827</v>
          </cell>
          <cell r="D304" t="str">
            <v>0104</v>
          </cell>
          <cell r="E304" t="str">
            <v>33.03.10260.01</v>
          </cell>
          <cell r="F304" t="str">
            <v>LATERAL ESQUERDA COLIMADOR / 33.03.10260.01</v>
          </cell>
          <cell r="G304" t="str">
            <v>VMI TECNOLOGIAS LTDA</v>
          </cell>
          <cell r="H304">
            <v>45934</v>
          </cell>
          <cell r="I304" t="str">
            <v>MARCO</v>
          </cell>
          <cell r="J304">
            <v>15</v>
          </cell>
          <cell r="K304">
            <v>34.5</v>
          </cell>
          <cell r="L304">
            <v>517.5</v>
          </cell>
          <cell r="M304" t="str">
            <v>APROVADO</v>
          </cell>
          <cell r="N304" t="str">
            <v>10</v>
          </cell>
          <cell r="O304">
            <v>46034</v>
          </cell>
          <cell r="P304" t="str">
            <v>PRODUÇÃO DE JANEIRO DE 2026</v>
          </cell>
        </row>
        <row r="305">
          <cell r="B305" t="str">
            <v>049827010533.03.10264.00</v>
          </cell>
          <cell r="C305" t="str">
            <v>049827</v>
          </cell>
          <cell r="D305" t="str">
            <v>0105</v>
          </cell>
          <cell r="E305" t="str">
            <v>33.03.10264.00</v>
          </cell>
          <cell r="F305" t="str">
            <v>FRONTAL COLIMADOR. / 33.03.10264.00</v>
          </cell>
          <cell r="G305" t="str">
            <v>VMI TECNOLOGIAS LTDA</v>
          </cell>
          <cell r="H305">
            <v>45934</v>
          </cell>
          <cell r="I305" t="str">
            <v>MARCO</v>
          </cell>
          <cell r="J305">
            <v>15</v>
          </cell>
          <cell r="K305">
            <v>16.440000000000001</v>
          </cell>
          <cell r="L305">
            <v>246.6</v>
          </cell>
          <cell r="M305" t="str">
            <v>APROVADO</v>
          </cell>
          <cell r="N305" t="str">
            <v>10</v>
          </cell>
          <cell r="O305">
            <v>46034</v>
          </cell>
          <cell r="P305" t="str">
            <v>PRODUÇÃO DE JANEIRO DE 2026</v>
          </cell>
        </row>
        <row r="306">
          <cell r="B306" t="str">
            <v>049827010633.03.10265.01</v>
          </cell>
          <cell r="C306" t="str">
            <v>049827</v>
          </cell>
          <cell r="D306" t="str">
            <v>0106</v>
          </cell>
          <cell r="E306" t="str">
            <v>33.03.10265.01</v>
          </cell>
          <cell r="F306" t="str">
            <v>FUNDO COLIMADOR. / 33.03.10265.01</v>
          </cell>
          <cell r="G306" t="str">
            <v>VMI TECNOLOGIAS LTDA</v>
          </cell>
          <cell r="H306">
            <v>45934</v>
          </cell>
          <cell r="I306" t="str">
            <v>MARCO</v>
          </cell>
          <cell r="J306">
            <v>15</v>
          </cell>
          <cell r="K306">
            <v>15.13</v>
          </cell>
          <cell r="L306">
            <v>226.95</v>
          </cell>
          <cell r="M306" t="str">
            <v>APROVADO</v>
          </cell>
          <cell r="N306" t="str">
            <v>10</v>
          </cell>
          <cell r="O306">
            <v>46034</v>
          </cell>
          <cell r="P306" t="str">
            <v>PRODUÇÃO DE JANEIRO DE 2026</v>
          </cell>
        </row>
        <row r="307">
          <cell r="B307" t="str">
            <v>049827010733.03.10266.02</v>
          </cell>
          <cell r="C307" t="str">
            <v>049827</v>
          </cell>
          <cell r="D307" t="str">
            <v>0107</v>
          </cell>
          <cell r="E307" t="str">
            <v>33.03.10266.02</v>
          </cell>
          <cell r="F307" t="str">
            <v>SUPORTE COLIMADOR / 33.03.10266.02</v>
          </cell>
          <cell r="G307" t="str">
            <v>VMI TECNOLOGIAS LTDA</v>
          </cell>
          <cell r="H307">
            <v>45934</v>
          </cell>
          <cell r="I307" t="str">
            <v>MARCO</v>
          </cell>
          <cell r="J307">
            <v>30</v>
          </cell>
          <cell r="K307">
            <v>19.68</v>
          </cell>
          <cell r="L307">
            <v>590.4</v>
          </cell>
          <cell r="M307" t="str">
            <v>APROVADO</v>
          </cell>
          <cell r="N307" t="str">
            <v>10</v>
          </cell>
          <cell r="O307">
            <v>46034</v>
          </cell>
          <cell r="P307" t="str">
            <v>PRODUÇÃO DE JANEIRO DE 2026</v>
          </cell>
        </row>
        <row r="308">
          <cell r="B308" t="str">
            <v>049827010933.03.10272.01</v>
          </cell>
          <cell r="C308" t="str">
            <v>049827</v>
          </cell>
          <cell r="D308" t="str">
            <v>0109</v>
          </cell>
          <cell r="E308" t="str">
            <v>33.03.10272.01</v>
          </cell>
          <cell r="F308" t="str">
            <v>TUNEL MEIO / 33.03.10272.01</v>
          </cell>
          <cell r="G308" t="str">
            <v>VMI TECNOLOGIAS LTDA</v>
          </cell>
          <cell r="H308">
            <v>45934</v>
          </cell>
          <cell r="I308" t="str">
            <v>MARCO</v>
          </cell>
          <cell r="J308">
            <v>14</v>
          </cell>
          <cell r="K308">
            <v>69.13</v>
          </cell>
          <cell r="L308">
            <v>967.82</v>
          </cell>
          <cell r="M308" t="str">
            <v>APROVADO</v>
          </cell>
          <cell r="N308" t="str">
            <v>10</v>
          </cell>
          <cell r="O308">
            <v>46034</v>
          </cell>
          <cell r="P308" t="str">
            <v>PRODUÇÃO DE JANEIRO DE 2026</v>
          </cell>
        </row>
        <row r="309">
          <cell r="B309" t="str">
            <v>049827011133.03.10277.00</v>
          </cell>
          <cell r="C309" t="str">
            <v>049827</v>
          </cell>
          <cell r="D309" t="str">
            <v>0111</v>
          </cell>
          <cell r="E309" t="str">
            <v>33.03.10277.00</v>
          </cell>
          <cell r="F309" t="str">
            <v>COLIMADOR / 33.03.10277.00</v>
          </cell>
          <cell r="G309" t="str">
            <v>VMI TECNOLOGIAS LTDA</v>
          </cell>
          <cell r="H309">
            <v>45934</v>
          </cell>
          <cell r="I309" t="str">
            <v>MARCO</v>
          </cell>
          <cell r="J309">
            <v>4</v>
          </cell>
          <cell r="K309">
            <v>64.186499999999995</v>
          </cell>
          <cell r="L309">
            <v>256.75</v>
          </cell>
          <cell r="M309" t="str">
            <v>APROVADO</v>
          </cell>
          <cell r="N309" t="str">
            <v>10</v>
          </cell>
          <cell r="O309">
            <v>46034</v>
          </cell>
          <cell r="P309" t="str">
            <v>PRODUÇÃO DE JANEIRO DE 2026</v>
          </cell>
        </row>
        <row r="310">
          <cell r="B310" t="str">
            <v>049827011233.03.10278.00</v>
          </cell>
          <cell r="C310" t="str">
            <v>049827</v>
          </cell>
          <cell r="D310" t="str">
            <v>0112</v>
          </cell>
          <cell r="E310" t="str">
            <v>33.03.10278.00</v>
          </cell>
          <cell r="F310" t="str">
            <v>REGUA DO COLIMADOR / 33.03.10278.00</v>
          </cell>
          <cell r="G310" t="str">
            <v>VMI TECNOLOGIAS LTDA</v>
          </cell>
          <cell r="H310">
            <v>45934</v>
          </cell>
          <cell r="I310" t="str">
            <v>MARCO</v>
          </cell>
          <cell r="J310">
            <v>8</v>
          </cell>
          <cell r="K310">
            <v>14.4795</v>
          </cell>
          <cell r="L310">
            <v>115.84</v>
          </cell>
          <cell r="M310" t="str">
            <v>APROVADO</v>
          </cell>
          <cell r="N310" t="str">
            <v>10</v>
          </cell>
          <cell r="O310">
            <v>46034</v>
          </cell>
          <cell r="P310" t="str">
            <v>PRODUÇÃO DE JANEIRO DE 2026</v>
          </cell>
        </row>
        <row r="311">
          <cell r="B311" t="str">
            <v>049827011333.03.10280.00</v>
          </cell>
          <cell r="C311" t="str">
            <v>049827</v>
          </cell>
          <cell r="D311" t="str">
            <v>0113</v>
          </cell>
          <cell r="E311" t="str">
            <v>33.03.10280.00</v>
          </cell>
          <cell r="F311" t="str">
            <v>TAMPA DO COLIMADOR / 33.03.10280.00</v>
          </cell>
          <cell r="G311" t="str">
            <v>VMI TECNOLOGIAS LTDA</v>
          </cell>
          <cell r="H311">
            <v>45934</v>
          </cell>
          <cell r="I311" t="str">
            <v>MARCO</v>
          </cell>
          <cell r="J311">
            <v>5</v>
          </cell>
          <cell r="K311">
            <v>16.483740000000001</v>
          </cell>
          <cell r="L311">
            <v>82.42</v>
          </cell>
          <cell r="M311" t="str">
            <v>APROVADO</v>
          </cell>
          <cell r="N311" t="str">
            <v>10</v>
          </cell>
          <cell r="O311">
            <v>46034</v>
          </cell>
          <cell r="P311" t="str">
            <v>PRODUÇÃO DE JANEIRO DE 2026</v>
          </cell>
        </row>
        <row r="312">
          <cell r="B312" t="str">
            <v>049827011633.03.10287.00</v>
          </cell>
          <cell r="C312" t="str">
            <v>049827</v>
          </cell>
          <cell r="D312" t="str">
            <v>0116</v>
          </cell>
          <cell r="E312" t="str">
            <v>33.03.10287.00</v>
          </cell>
          <cell r="F312" t="str">
            <v>TAMPA DO COLIMADOR DV / 33.03.10287.00</v>
          </cell>
          <cell r="G312" t="str">
            <v>VMI TECNOLOGIAS LTDA</v>
          </cell>
          <cell r="H312">
            <v>45934</v>
          </cell>
          <cell r="I312" t="str">
            <v>MARCO</v>
          </cell>
          <cell r="J312">
            <v>30</v>
          </cell>
          <cell r="K312">
            <v>29.3</v>
          </cell>
          <cell r="L312">
            <v>879</v>
          </cell>
          <cell r="M312" t="str">
            <v>APROVADO</v>
          </cell>
          <cell r="N312" t="str">
            <v>10</v>
          </cell>
          <cell r="O312">
            <v>46034</v>
          </cell>
          <cell r="P312" t="str">
            <v>PRODUÇÃO DE JANEIRO DE 2026</v>
          </cell>
        </row>
        <row r="313">
          <cell r="B313" t="str">
            <v>049827011733.03.10294.00</v>
          </cell>
          <cell r="C313" t="str">
            <v>049827</v>
          </cell>
          <cell r="D313" t="str">
            <v>0117</v>
          </cell>
          <cell r="E313" t="str">
            <v>33.03.10294.00</v>
          </cell>
          <cell r="F313" t="str">
            <v>DISTANCIADOR 02/33.03.10294.00</v>
          </cell>
          <cell r="G313" t="str">
            <v>VMI TECNOLOGIAS LTDA</v>
          </cell>
          <cell r="H313">
            <v>45934</v>
          </cell>
          <cell r="I313" t="str">
            <v>MARCO</v>
          </cell>
          <cell r="J313">
            <v>101</v>
          </cell>
          <cell r="K313">
            <v>2.5</v>
          </cell>
          <cell r="L313">
            <v>300</v>
          </cell>
          <cell r="M313" t="str">
            <v>APROVADO</v>
          </cell>
          <cell r="N313" t="str">
            <v>10</v>
          </cell>
          <cell r="O313">
            <v>46034</v>
          </cell>
          <cell r="P313" t="str">
            <v>PRODUÇÃO DE JANEIRO DE 2026</v>
          </cell>
        </row>
        <row r="314">
          <cell r="B314" t="str">
            <v>049827011833.03.10295.00</v>
          </cell>
          <cell r="C314" t="str">
            <v>049827</v>
          </cell>
          <cell r="D314" t="str">
            <v>0118</v>
          </cell>
          <cell r="E314" t="str">
            <v>33.03.10295.00</v>
          </cell>
          <cell r="F314" t="str">
            <v>DISTANCIADOR/33.03.10295.00</v>
          </cell>
          <cell r="G314" t="str">
            <v>VMI TECNOLOGIAS LTDA</v>
          </cell>
          <cell r="H314">
            <v>45934</v>
          </cell>
          <cell r="I314" t="str">
            <v>MARCO</v>
          </cell>
          <cell r="J314">
            <v>130</v>
          </cell>
          <cell r="K314">
            <v>6.5</v>
          </cell>
          <cell r="L314">
            <v>845</v>
          </cell>
          <cell r="M314" t="str">
            <v>APROVADO</v>
          </cell>
          <cell r="N314" t="str">
            <v>10</v>
          </cell>
          <cell r="O314">
            <v>46034</v>
          </cell>
          <cell r="P314" t="str">
            <v>PRODUÇÃO DE JANEIRO DE 2026</v>
          </cell>
        </row>
        <row r="315">
          <cell r="B315" t="str">
            <v>049827011933.03.10296.00</v>
          </cell>
          <cell r="C315" t="str">
            <v>049827</v>
          </cell>
          <cell r="D315" t="str">
            <v>0119</v>
          </cell>
          <cell r="E315" t="str">
            <v>33.03.10296.00</v>
          </cell>
          <cell r="F315" t="str">
            <v>DISTANCIADOR 01/33.03.10296.00</v>
          </cell>
          <cell r="G315" t="str">
            <v>VMI TECNOLOGIAS LTDA</v>
          </cell>
          <cell r="H315">
            <v>45934</v>
          </cell>
          <cell r="I315" t="str">
            <v>MARCO</v>
          </cell>
          <cell r="J315">
            <v>130</v>
          </cell>
          <cell r="K315">
            <v>2.5</v>
          </cell>
          <cell r="L315">
            <v>325</v>
          </cell>
          <cell r="M315" t="str">
            <v>APROVADO</v>
          </cell>
          <cell r="N315" t="str">
            <v>10</v>
          </cell>
          <cell r="O315">
            <v>46034</v>
          </cell>
          <cell r="P315" t="str">
            <v>PRODUÇÃO DE JANEIRO DE 2026</v>
          </cell>
        </row>
        <row r="316">
          <cell r="B316" t="str">
            <v>049827012033.03.10297.00</v>
          </cell>
          <cell r="C316" t="str">
            <v>049827</v>
          </cell>
          <cell r="D316" t="str">
            <v>0120</v>
          </cell>
          <cell r="E316" t="str">
            <v>33.03.10297.00</v>
          </cell>
          <cell r="F316" t="str">
            <v>DISTANCIADOR 02/33.03.10297.00</v>
          </cell>
          <cell r="G316" t="str">
            <v>VMI TECNOLOGIAS LTDA</v>
          </cell>
          <cell r="H316">
            <v>45934</v>
          </cell>
          <cell r="I316" t="str">
            <v>MARCO</v>
          </cell>
          <cell r="J316">
            <v>130</v>
          </cell>
          <cell r="K316">
            <v>6.5</v>
          </cell>
          <cell r="L316">
            <v>845</v>
          </cell>
          <cell r="M316" t="str">
            <v>APROVADO</v>
          </cell>
          <cell r="N316" t="str">
            <v>10</v>
          </cell>
          <cell r="O316">
            <v>46034</v>
          </cell>
          <cell r="P316" t="str">
            <v>PRODUÇÃO DE JANEIRO DE 2026</v>
          </cell>
        </row>
        <row r="317">
          <cell r="B317" t="str">
            <v>049827012133.03.10298.01</v>
          </cell>
          <cell r="C317" t="str">
            <v>049827</v>
          </cell>
          <cell r="D317" t="str">
            <v>0121</v>
          </cell>
          <cell r="E317" t="str">
            <v>33.03.10298.01</v>
          </cell>
          <cell r="F317" t="str">
            <v>SUPORTE / 33.03.10298.01</v>
          </cell>
          <cell r="G317" t="str">
            <v>VMI TECNOLOGIAS LTDA</v>
          </cell>
          <cell r="H317">
            <v>45934</v>
          </cell>
          <cell r="I317" t="str">
            <v>MARCO</v>
          </cell>
          <cell r="J317">
            <v>327</v>
          </cell>
          <cell r="K317">
            <v>6.5</v>
          </cell>
          <cell r="L317">
            <v>2125.5</v>
          </cell>
          <cell r="M317" t="str">
            <v>APROVADO</v>
          </cell>
          <cell r="N317" t="str">
            <v>10</v>
          </cell>
          <cell r="O317">
            <v>46034</v>
          </cell>
          <cell r="P317" t="str">
            <v>PRODUÇÃO DE JANEIRO DE 2026</v>
          </cell>
        </row>
        <row r="318">
          <cell r="B318" t="str">
            <v>049827012233.03.10300.00</v>
          </cell>
          <cell r="C318" t="str">
            <v>049827</v>
          </cell>
          <cell r="D318" t="str">
            <v>0122</v>
          </cell>
          <cell r="E318" t="str">
            <v>33.03.10300.00</v>
          </cell>
          <cell r="F318" t="str">
            <v>DISTANCIADOR 03 / 33.03.10300.00</v>
          </cell>
          <cell r="G318" t="str">
            <v>VMI TECNOLOGIAS LTDA</v>
          </cell>
          <cell r="H318">
            <v>45934</v>
          </cell>
          <cell r="I318" t="str">
            <v>MARCO</v>
          </cell>
          <cell r="J318">
            <v>772</v>
          </cell>
          <cell r="K318">
            <v>2.2000000000000002</v>
          </cell>
          <cell r="L318">
            <v>1784.2</v>
          </cell>
          <cell r="M318" t="str">
            <v>APROVADO</v>
          </cell>
          <cell r="N318" t="str">
            <v>10</v>
          </cell>
          <cell r="O318">
            <v>46034</v>
          </cell>
          <cell r="P318" t="str">
            <v>PRODUÇÃO DE JANEIRO DE 2026</v>
          </cell>
        </row>
        <row r="319">
          <cell r="B319" t="str">
            <v>049827012333.03.10305.03</v>
          </cell>
          <cell r="C319" t="str">
            <v>049827</v>
          </cell>
          <cell r="D319" t="str">
            <v>0123</v>
          </cell>
          <cell r="E319" t="str">
            <v>33.03.10305.03</v>
          </cell>
          <cell r="F319" t="str">
            <v>TAMPA SDAQ / 33.03.10305.03</v>
          </cell>
          <cell r="G319" t="str">
            <v>VMI TECNOLOGIAS LTDA</v>
          </cell>
          <cell r="H319">
            <v>45934</v>
          </cell>
          <cell r="I319" t="str">
            <v>MARCO</v>
          </cell>
          <cell r="J319">
            <v>1</v>
          </cell>
          <cell r="K319">
            <v>8.1199999999999992</v>
          </cell>
          <cell r="L319">
            <v>373.52</v>
          </cell>
          <cell r="M319" t="str">
            <v>APROVADO</v>
          </cell>
          <cell r="N319" t="str">
            <v>10</v>
          </cell>
          <cell r="O319">
            <v>46034</v>
          </cell>
          <cell r="P319" t="str">
            <v>PRODUÇÃO DE JANEIRO DE 2026</v>
          </cell>
        </row>
        <row r="320">
          <cell r="B320" t="str">
            <v>049827012433.03.10306.02</v>
          </cell>
          <cell r="C320" t="str">
            <v>049827</v>
          </cell>
          <cell r="D320" t="str">
            <v>0124</v>
          </cell>
          <cell r="E320" t="str">
            <v>33.03.10306.02</v>
          </cell>
          <cell r="F320" t="str">
            <v>MONTAGEM DE REBITE SDAQ / 33.03.10306.02</v>
          </cell>
          <cell r="G320" t="str">
            <v>VMI TECNOLOGIAS LTDA</v>
          </cell>
          <cell r="H320">
            <v>45934</v>
          </cell>
          <cell r="I320" t="str">
            <v>MARCO</v>
          </cell>
          <cell r="J320">
            <v>46</v>
          </cell>
          <cell r="K320">
            <v>38.82</v>
          </cell>
          <cell r="L320">
            <v>1785.72</v>
          </cell>
          <cell r="M320" t="str">
            <v>APROVADO</v>
          </cell>
          <cell r="N320" t="str">
            <v>10</v>
          </cell>
          <cell r="O320">
            <v>46034</v>
          </cell>
          <cell r="P320" t="str">
            <v>PRODUÇÃO DE JANEIRO DE 2026</v>
          </cell>
        </row>
        <row r="321">
          <cell r="B321" t="str">
            <v>049827012533.03.10308.01</v>
          </cell>
          <cell r="C321" t="str">
            <v>049827</v>
          </cell>
          <cell r="D321" t="str">
            <v>0125</v>
          </cell>
          <cell r="E321" t="str">
            <v>33.03.10308.01</v>
          </cell>
          <cell r="F321" t="str">
            <v>CAIXA SILICA / 33.03.10308.01</v>
          </cell>
          <cell r="G321" t="str">
            <v>VMI TECNOLOGIAS LTDA</v>
          </cell>
          <cell r="H321">
            <v>45934</v>
          </cell>
          <cell r="I321" t="str">
            <v>MARCO</v>
          </cell>
          <cell r="J321">
            <v>14</v>
          </cell>
          <cell r="K321">
            <v>24.21</v>
          </cell>
          <cell r="L321">
            <v>338.94</v>
          </cell>
          <cell r="M321" t="str">
            <v>APROVADO</v>
          </cell>
          <cell r="N321" t="str">
            <v>10</v>
          </cell>
          <cell r="O321">
            <v>46034</v>
          </cell>
          <cell r="P321" t="str">
            <v>PRODUÇÃO DE JANEIRO DE 2026</v>
          </cell>
        </row>
        <row r="322">
          <cell r="B322" t="str">
            <v>049827012633.03.10308.01</v>
          </cell>
          <cell r="C322" t="str">
            <v>049827</v>
          </cell>
          <cell r="D322" t="str">
            <v>0126</v>
          </cell>
          <cell r="E322" t="str">
            <v>33.03.10308.01</v>
          </cell>
          <cell r="F322" t="str">
            <v>CAIXA SILICA / 33.03.10308.01</v>
          </cell>
          <cell r="G322" t="str">
            <v>VMI TECNOLOGIAS LTDA</v>
          </cell>
          <cell r="H322">
            <v>45934</v>
          </cell>
          <cell r="I322" t="str">
            <v>MARCO</v>
          </cell>
          <cell r="J322">
            <v>4</v>
          </cell>
          <cell r="K322">
            <v>24.21</v>
          </cell>
          <cell r="L322">
            <v>96.84</v>
          </cell>
          <cell r="M322" t="str">
            <v>APROVADO</v>
          </cell>
          <cell r="N322" t="str">
            <v>10</v>
          </cell>
          <cell r="O322">
            <v>46034</v>
          </cell>
          <cell r="P322" t="str">
            <v>PRODUÇÃO DE JANEIRO DE 2026</v>
          </cell>
        </row>
        <row r="323">
          <cell r="B323" t="str">
            <v>049827012733.03.10331.01</v>
          </cell>
          <cell r="C323" t="str">
            <v>049827</v>
          </cell>
          <cell r="D323" t="str">
            <v>0127</v>
          </cell>
          <cell r="E323" t="str">
            <v>33.03.10331.01</v>
          </cell>
          <cell r="F323" t="str">
            <v>TAMPA DO COLIMADOR DV / 33.03.10331.01</v>
          </cell>
          <cell r="G323" t="str">
            <v>VMI TECNOLOGIAS LTDA</v>
          </cell>
          <cell r="H323">
            <v>45934</v>
          </cell>
          <cell r="I323" t="str">
            <v>MARCO</v>
          </cell>
          <cell r="J323">
            <v>3</v>
          </cell>
          <cell r="K323">
            <v>38.148705</v>
          </cell>
          <cell r="L323">
            <v>152.59</v>
          </cell>
          <cell r="M323" t="str">
            <v>APROVADO</v>
          </cell>
          <cell r="N323" t="str">
            <v>10</v>
          </cell>
          <cell r="O323">
            <v>46034</v>
          </cell>
          <cell r="P323" t="str">
            <v>PRODUÇÃO DE JANEIRO DE 2026</v>
          </cell>
        </row>
        <row r="324">
          <cell r="B324" t="str">
            <v>049827012833.03.10337.00</v>
          </cell>
          <cell r="C324" t="str">
            <v>049827</v>
          </cell>
          <cell r="D324" t="str">
            <v>0128</v>
          </cell>
          <cell r="E324" t="str">
            <v>33.03.10337.00</v>
          </cell>
          <cell r="F324" t="str">
            <v>SUPORTE CORTINA PLUMBIFERA 6040 / 33.03.10337.00</v>
          </cell>
          <cell r="G324" t="str">
            <v>VMI TECNOLOGIAS LTDA</v>
          </cell>
          <cell r="H324">
            <v>45934</v>
          </cell>
          <cell r="I324" t="str">
            <v>MARCO</v>
          </cell>
          <cell r="J324">
            <v>28</v>
          </cell>
          <cell r="K324">
            <v>106.16549999999999</v>
          </cell>
          <cell r="L324">
            <v>2972.63</v>
          </cell>
          <cell r="M324" t="str">
            <v>APROVADO</v>
          </cell>
          <cell r="N324" t="str">
            <v>10</v>
          </cell>
          <cell r="O324">
            <v>46034</v>
          </cell>
          <cell r="P324" t="str">
            <v>PRODUÇÃO DE JANEIRO DE 2026</v>
          </cell>
        </row>
        <row r="325">
          <cell r="B325" t="str">
            <v>049827012933.03.10339.01</v>
          </cell>
          <cell r="C325" t="str">
            <v>049827</v>
          </cell>
          <cell r="D325" t="str">
            <v>0129</v>
          </cell>
          <cell r="E325" t="str">
            <v>33.03.10339.01</v>
          </cell>
          <cell r="F325" t="str">
            <v>ESPELHO CORTINA PLUMBIFERA 6040 / 33.03.10339.01</v>
          </cell>
          <cell r="G325" t="str">
            <v>VMI TECNOLOGIAS LTDA</v>
          </cell>
          <cell r="H325">
            <v>45934</v>
          </cell>
          <cell r="I325" t="str">
            <v>MARCO</v>
          </cell>
          <cell r="J325">
            <v>112</v>
          </cell>
          <cell r="K325">
            <v>4.4000000000000004</v>
          </cell>
          <cell r="L325">
            <v>492.8</v>
          </cell>
          <cell r="M325" t="str">
            <v>APROVADO</v>
          </cell>
          <cell r="N325" t="str">
            <v>10</v>
          </cell>
          <cell r="O325">
            <v>46034</v>
          </cell>
          <cell r="P325" t="str">
            <v>PRODUÇÃO DE JANEIRO DE 2026</v>
          </cell>
        </row>
        <row r="326">
          <cell r="B326" t="str">
            <v>049827013033.03.10343.00</v>
          </cell>
          <cell r="C326" t="str">
            <v>049827</v>
          </cell>
          <cell r="D326" t="str">
            <v>0130</v>
          </cell>
          <cell r="E326" t="str">
            <v>33.03.10343.00</v>
          </cell>
          <cell r="F326" t="str">
            <v>SUPORTE PARA INVERSOR / 33.03.10343.00</v>
          </cell>
          <cell r="G326" t="str">
            <v>VMI TECNOLOGIAS LTDA</v>
          </cell>
          <cell r="H326">
            <v>45934</v>
          </cell>
          <cell r="I326" t="str">
            <v>MARCO</v>
          </cell>
          <cell r="J326">
            <v>1</v>
          </cell>
          <cell r="K326">
            <v>12.5</v>
          </cell>
          <cell r="L326">
            <v>587.5</v>
          </cell>
          <cell r="M326" t="str">
            <v>APROVADO</v>
          </cell>
          <cell r="N326" t="str">
            <v>10</v>
          </cell>
          <cell r="O326">
            <v>46034</v>
          </cell>
          <cell r="P326" t="str">
            <v>PRODUÇÃO DE JANEIRO DE 2026</v>
          </cell>
        </row>
        <row r="327">
          <cell r="B327" t="str">
            <v>049827013133.03.10345.00</v>
          </cell>
          <cell r="C327" t="str">
            <v>049827</v>
          </cell>
          <cell r="D327" t="str">
            <v>0131</v>
          </cell>
          <cell r="E327" t="str">
            <v>33.03.10345.00</v>
          </cell>
          <cell r="F327" t="str">
            <v>LATERAL DO COLIMADOR / 33.03.10345.00</v>
          </cell>
          <cell r="G327" t="str">
            <v>VMI TECNOLOGIAS LTDA</v>
          </cell>
          <cell r="H327">
            <v>45934</v>
          </cell>
          <cell r="I327" t="str">
            <v>MARCO</v>
          </cell>
          <cell r="J327">
            <v>1</v>
          </cell>
          <cell r="K327">
            <v>28.51</v>
          </cell>
          <cell r="L327">
            <v>114.04</v>
          </cell>
          <cell r="M327" t="str">
            <v>APROVADO</v>
          </cell>
          <cell r="N327" t="str">
            <v>10</v>
          </cell>
          <cell r="O327">
            <v>46034</v>
          </cell>
          <cell r="P327" t="str">
            <v>PRODUÇÃO DE JANEIRO DE 2026</v>
          </cell>
        </row>
        <row r="328">
          <cell r="B328" t="str">
            <v>049827013233.03.10345.00</v>
          </cell>
          <cell r="C328" t="str">
            <v>049827</v>
          </cell>
          <cell r="D328" t="str">
            <v>0132</v>
          </cell>
          <cell r="E328" t="str">
            <v>33.03.10345.00</v>
          </cell>
          <cell r="F328" t="str">
            <v>LATERAL DO COLIMADOR / 33.03.10345.00</v>
          </cell>
          <cell r="G328" t="str">
            <v>VMI TECNOLOGIAS LTDA</v>
          </cell>
          <cell r="H328">
            <v>45934</v>
          </cell>
          <cell r="I328" t="str">
            <v>MARCO</v>
          </cell>
          <cell r="J328">
            <v>10</v>
          </cell>
          <cell r="K328">
            <v>28.51</v>
          </cell>
          <cell r="L328">
            <v>285.10000000000002</v>
          </cell>
          <cell r="M328" t="str">
            <v>APROVADO</v>
          </cell>
          <cell r="N328" t="str">
            <v>10</v>
          </cell>
          <cell r="O328">
            <v>46034</v>
          </cell>
          <cell r="P328" t="str">
            <v>PRODUÇÃO DE JANEIRO DE 2026</v>
          </cell>
        </row>
        <row r="329">
          <cell r="B329" t="str">
            <v>049827013333.03.10347.00</v>
          </cell>
          <cell r="C329" t="str">
            <v>049827</v>
          </cell>
          <cell r="D329" t="str">
            <v>0133</v>
          </cell>
          <cell r="E329" t="str">
            <v>33.03.10347.00</v>
          </cell>
          <cell r="F329" t="str">
            <v>LATERAL DO COLIMADOR / 33.03.10347.00</v>
          </cell>
          <cell r="G329" t="str">
            <v>VMI TECNOLOGIAS LTDA</v>
          </cell>
          <cell r="H329">
            <v>45934</v>
          </cell>
          <cell r="I329" t="str">
            <v>MARCO</v>
          </cell>
          <cell r="J329">
            <v>4</v>
          </cell>
          <cell r="K329">
            <v>28.51</v>
          </cell>
          <cell r="L329">
            <v>114.04</v>
          </cell>
          <cell r="M329" t="str">
            <v>APROVADO</v>
          </cell>
          <cell r="N329" t="str">
            <v>10</v>
          </cell>
          <cell r="O329">
            <v>46034</v>
          </cell>
          <cell r="P329" t="str">
            <v>PRODUÇÃO DE JANEIRO DE 2026</v>
          </cell>
        </row>
        <row r="330">
          <cell r="B330" t="str">
            <v>049827013433.03.10347.00</v>
          </cell>
          <cell r="C330" t="str">
            <v>049827</v>
          </cell>
          <cell r="D330" t="str">
            <v>0134</v>
          </cell>
          <cell r="E330" t="str">
            <v>33.03.10347.00</v>
          </cell>
          <cell r="F330" t="str">
            <v>LATERAL DO COLIMADOR / 33.03.10347.00</v>
          </cell>
          <cell r="G330" t="str">
            <v>VMI TECNOLOGIAS LTDA</v>
          </cell>
          <cell r="H330">
            <v>45934</v>
          </cell>
          <cell r="I330" t="str">
            <v>MARCO</v>
          </cell>
          <cell r="J330">
            <v>10</v>
          </cell>
          <cell r="K330">
            <v>28.51</v>
          </cell>
          <cell r="L330">
            <v>285.10000000000002</v>
          </cell>
          <cell r="M330" t="str">
            <v>APROVADO</v>
          </cell>
          <cell r="N330" t="str">
            <v>10</v>
          </cell>
          <cell r="O330">
            <v>46034</v>
          </cell>
          <cell r="P330" t="str">
            <v>PRODUÇÃO DE JANEIRO DE 2026</v>
          </cell>
        </row>
        <row r="331">
          <cell r="B331" t="str">
            <v>049827013733.03.10351.03</v>
          </cell>
          <cell r="C331" t="str">
            <v>049827</v>
          </cell>
          <cell r="D331" t="str">
            <v>0137</v>
          </cell>
          <cell r="E331" t="str">
            <v>33.03.10351.03</v>
          </cell>
          <cell r="F331" t="str">
            <v>SUPORTE FIXACAO CONTROLADORA / 33.03.10351.03</v>
          </cell>
          <cell r="G331" t="str">
            <v>VMI TECNOLOGIAS LTDA</v>
          </cell>
          <cell r="H331">
            <v>45934</v>
          </cell>
          <cell r="I331" t="str">
            <v>MARCO</v>
          </cell>
          <cell r="J331">
            <v>30</v>
          </cell>
          <cell r="K331">
            <v>117.08</v>
          </cell>
          <cell r="L331">
            <v>3512.4</v>
          </cell>
          <cell r="M331" t="str">
            <v>APROVADO</v>
          </cell>
          <cell r="N331" t="str">
            <v>10</v>
          </cell>
          <cell r="O331">
            <v>46034</v>
          </cell>
          <cell r="P331" t="str">
            <v>PRODUÇÃO DE JANEIRO DE 2026</v>
          </cell>
        </row>
        <row r="332">
          <cell r="B332" t="str">
            <v>049827013833.03.10351.03</v>
          </cell>
          <cell r="C332" t="str">
            <v>049827</v>
          </cell>
          <cell r="D332" t="str">
            <v>0138</v>
          </cell>
          <cell r="E332" t="str">
            <v>33.03.10351.03</v>
          </cell>
          <cell r="F332" t="str">
            <v>SUPORTE FIXACAO CONTROLADORA / 33.03.10351.03</v>
          </cell>
          <cell r="G332" t="str">
            <v>VMI TECNOLOGIAS LTDA</v>
          </cell>
          <cell r="H332">
            <v>45934</v>
          </cell>
          <cell r="I332" t="str">
            <v>MARCO</v>
          </cell>
          <cell r="J332">
            <v>14</v>
          </cell>
          <cell r="K332">
            <v>117.08</v>
          </cell>
          <cell r="L332">
            <v>1639.12</v>
          </cell>
          <cell r="M332" t="str">
            <v>APROVADO</v>
          </cell>
          <cell r="N332" t="str">
            <v>10</v>
          </cell>
          <cell r="O332">
            <v>46034</v>
          </cell>
          <cell r="P332" t="str">
            <v>PRODUÇÃO DE JANEIRO DE 2026</v>
          </cell>
        </row>
        <row r="333">
          <cell r="B333" t="str">
            <v>049827013933.03.10352.00</v>
          </cell>
          <cell r="C333" t="str">
            <v>049827</v>
          </cell>
          <cell r="D333" t="str">
            <v>0139</v>
          </cell>
          <cell r="E333" t="str">
            <v>33.03.10352.00</v>
          </cell>
          <cell r="F333" t="str">
            <v>DISTANCIADOR DO ROLETE 6040 M3 _01 / 33.03.10352.00</v>
          </cell>
          <cell r="G333" t="str">
            <v>VMI TECNOLOGIAS LTDA</v>
          </cell>
          <cell r="H333">
            <v>45934</v>
          </cell>
          <cell r="I333" t="str">
            <v>MARCO</v>
          </cell>
          <cell r="J333">
            <v>20</v>
          </cell>
          <cell r="K333">
            <v>3.0755669999999999</v>
          </cell>
          <cell r="L333">
            <v>61.51</v>
          </cell>
          <cell r="M333" t="str">
            <v>APROVADO</v>
          </cell>
          <cell r="N333" t="str">
            <v>10</v>
          </cell>
          <cell r="O333">
            <v>46034</v>
          </cell>
          <cell r="P333" t="str">
            <v>PRODUÇÃO DE JANEIRO DE 2026</v>
          </cell>
        </row>
        <row r="334">
          <cell r="B334" t="str">
            <v>049827014033.03.10353.00</v>
          </cell>
          <cell r="C334" t="str">
            <v>049827</v>
          </cell>
          <cell r="D334" t="str">
            <v>0140</v>
          </cell>
          <cell r="E334" t="str">
            <v>33.03.10353.00</v>
          </cell>
          <cell r="F334" t="str">
            <v>DISTANCIADOR DO ROLETE 6040 M3 _02 / 33.03.10353.00</v>
          </cell>
          <cell r="G334" t="str">
            <v>VMI TECNOLOGIAS LTDA</v>
          </cell>
          <cell r="H334">
            <v>45934</v>
          </cell>
          <cell r="I334" t="str">
            <v>MARCO</v>
          </cell>
          <cell r="J334">
            <v>20</v>
          </cell>
          <cell r="K334">
            <v>3.3930940000000001</v>
          </cell>
          <cell r="L334">
            <v>67.86</v>
          </cell>
          <cell r="M334" t="str">
            <v>APROVADO</v>
          </cell>
          <cell r="N334" t="str">
            <v>10</v>
          </cell>
          <cell r="O334">
            <v>46034</v>
          </cell>
          <cell r="P334" t="str">
            <v>PRODUÇÃO DE JANEIRO DE 2026</v>
          </cell>
        </row>
        <row r="335">
          <cell r="B335" t="str">
            <v>049827014133.03.10354.00</v>
          </cell>
          <cell r="C335" t="str">
            <v>049827</v>
          </cell>
          <cell r="D335" t="str">
            <v>0141</v>
          </cell>
          <cell r="E335" t="str">
            <v>33.03.10354.00</v>
          </cell>
          <cell r="F335" t="str">
            <v>FECHAMENTO MENOR COLIMADOR PRIMARIO / 33.03.10354.00</v>
          </cell>
          <cell r="G335" t="str">
            <v>VMI TECNOLOGIAS LTDA</v>
          </cell>
          <cell r="H335">
            <v>45934</v>
          </cell>
          <cell r="I335" t="str">
            <v>MARCO</v>
          </cell>
          <cell r="J335">
            <v>3</v>
          </cell>
          <cell r="K335">
            <v>4.284179</v>
          </cell>
          <cell r="L335">
            <v>17.14</v>
          </cell>
          <cell r="M335" t="str">
            <v>APROVADO</v>
          </cell>
          <cell r="N335" t="str">
            <v>10</v>
          </cell>
          <cell r="O335">
            <v>46034</v>
          </cell>
          <cell r="P335" t="str">
            <v>PRODUÇÃO DE JANEIRO DE 2026</v>
          </cell>
        </row>
        <row r="336">
          <cell r="B336" t="str">
            <v>049827014233.03.10354.00</v>
          </cell>
          <cell r="C336" t="str">
            <v>049827</v>
          </cell>
          <cell r="D336" t="str">
            <v>0142</v>
          </cell>
          <cell r="E336" t="str">
            <v>33.03.10354.00</v>
          </cell>
          <cell r="F336" t="str">
            <v>FECHAMENTO MENOR COLIMADOR PRIMARIO / 33.03.10354.00</v>
          </cell>
          <cell r="G336" t="str">
            <v>VMI TECNOLOGIAS LTDA</v>
          </cell>
          <cell r="H336">
            <v>45934</v>
          </cell>
          <cell r="I336" t="str">
            <v>MARCO</v>
          </cell>
          <cell r="J336">
            <v>10</v>
          </cell>
          <cell r="K336">
            <v>4.284179</v>
          </cell>
          <cell r="L336">
            <v>42.84</v>
          </cell>
          <cell r="M336" t="str">
            <v>APROVADO</v>
          </cell>
          <cell r="N336" t="str">
            <v>10</v>
          </cell>
          <cell r="O336">
            <v>46034</v>
          </cell>
          <cell r="P336" t="str">
            <v>PRODUÇÃO DE JANEIRO DE 2026</v>
          </cell>
        </row>
        <row r="337">
          <cell r="B337" t="str">
            <v>049827014333.03.10355.00</v>
          </cell>
          <cell r="C337" t="str">
            <v>049827</v>
          </cell>
          <cell r="D337" t="str">
            <v>0143</v>
          </cell>
          <cell r="E337" t="str">
            <v>33.03.10355.00</v>
          </cell>
          <cell r="F337" t="str">
            <v>LATERAL COLIMADOR PRIMARIO / 33.03.10355.00</v>
          </cell>
          <cell r="G337" t="str">
            <v>VMI TECNOLOGIAS LTDA</v>
          </cell>
          <cell r="H337">
            <v>45934</v>
          </cell>
          <cell r="I337" t="str">
            <v>MARCO</v>
          </cell>
          <cell r="J337">
            <v>4</v>
          </cell>
          <cell r="K337">
            <v>25.326000000000001</v>
          </cell>
          <cell r="L337">
            <v>101.3</v>
          </cell>
          <cell r="M337" t="str">
            <v>APROVADO</v>
          </cell>
          <cell r="N337" t="str">
            <v>10</v>
          </cell>
          <cell r="O337">
            <v>46034</v>
          </cell>
          <cell r="P337" t="str">
            <v>PRODUÇÃO DE JANEIRO DE 2026</v>
          </cell>
        </row>
        <row r="338">
          <cell r="B338" t="str">
            <v>049827014433.03.10357.00</v>
          </cell>
          <cell r="C338" t="str">
            <v>049827</v>
          </cell>
          <cell r="D338" t="str">
            <v>0144</v>
          </cell>
          <cell r="E338" t="str">
            <v>33.03.10357.00</v>
          </cell>
          <cell r="F338" t="str">
            <v>LATERAL DO COLIMADOR PRIMARIO / 33.03.10357.00</v>
          </cell>
          <cell r="G338" t="str">
            <v>VMI TECNOLOGIAS LTDA</v>
          </cell>
          <cell r="H338">
            <v>45934</v>
          </cell>
          <cell r="I338" t="str">
            <v>MARCO</v>
          </cell>
          <cell r="J338">
            <v>4</v>
          </cell>
          <cell r="K338">
            <v>25.326000000000001</v>
          </cell>
          <cell r="L338">
            <v>101.3</v>
          </cell>
          <cell r="M338" t="str">
            <v>APROVADO</v>
          </cell>
          <cell r="N338" t="str">
            <v>10</v>
          </cell>
          <cell r="O338">
            <v>46034</v>
          </cell>
          <cell r="P338" t="str">
            <v>PRODUÇÃO DE JANEIRO DE 2026</v>
          </cell>
        </row>
        <row r="339">
          <cell r="B339" t="str">
            <v>049827014733.03.10372.01</v>
          </cell>
          <cell r="C339" t="str">
            <v>049827</v>
          </cell>
          <cell r="D339" t="str">
            <v>0147</v>
          </cell>
          <cell r="E339" t="str">
            <v>33.03.10372.01</v>
          </cell>
          <cell r="F339" t="str">
            <v>VEDACAO DA ESTEIRA / 33.03.10372.01</v>
          </cell>
          <cell r="G339" t="str">
            <v>VMI TECNOLOGIAS LTDA</v>
          </cell>
          <cell r="H339">
            <v>45934</v>
          </cell>
          <cell r="I339" t="str">
            <v>MARCO</v>
          </cell>
          <cell r="J339">
            <v>1</v>
          </cell>
          <cell r="K339">
            <v>40.929000000000002</v>
          </cell>
          <cell r="L339">
            <v>1637.16</v>
          </cell>
          <cell r="M339" t="str">
            <v>APROVADO</v>
          </cell>
          <cell r="N339" t="str">
            <v>10</v>
          </cell>
          <cell r="O339">
            <v>46034</v>
          </cell>
          <cell r="P339" t="str">
            <v>PRODUÇÃO DE JANEIRO DE 2026</v>
          </cell>
        </row>
        <row r="340">
          <cell r="B340" t="str">
            <v>049827014833.03.10375.00</v>
          </cell>
          <cell r="C340" t="str">
            <v>049827</v>
          </cell>
          <cell r="D340" t="str">
            <v>0148</v>
          </cell>
          <cell r="E340" t="str">
            <v>33.03.10375.00</v>
          </cell>
          <cell r="F340" t="str">
            <v>SUPORTE DO ACABAMENTO DA ESTEIRA / 33.03.10375.00</v>
          </cell>
          <cell r="G340" t="str">
            <v>VMI TECNOLOGIAS LTDA</v>
          </cell>
          <cell r="H340">
            <v>45934</v>
          </cell>
          <cell r="I340" t="str">
            <v>MARCO</v>
          </cell>
          <cell r="J340">
            <v>20</v>
          </cell>
          <cell r="K340">
            <v>10.867259000000001</v>
          </cell>
          <cell r="L340">
            <v>217.35</v>
          </cell>
          <cell r="M340" t="str">
            <v>APROVADO</v>
          </cell>
          <cell r="N340" t="str">
            <v>10</v>
          </cell>
          <cell r="O340">
            <v>46034</v>
          </cell>
          <cell r="P340" t="str">
            <v>PRODUÇÃO DE JANEIRO DE 2026</v>
          </cell>
        </row>
        <row r="341">
          <cell r="B341" t="str">
            <v>049827015033.03.11184.01</v>
          </cell>
          <cell r="C341" t="str">
            <v>049827</v>
          </cell>
          <cell r="D341" t="str">
            <v>0150</v>
          </cell>
          <cell r="E341" t="str">
            <v>33.03.11184.01</v>
          </cell>
          <cell r="F341" t="str">
            <v>SUPORTE FONTE WEG / 33.03.11184.01</v>
          </cell>
          <cell r="G341" t="str">
            <v>VMI TECNOLOGIAS LTDA</v>
          </cell>
          <cell r="H341">
            <v>45934</v>
          </cell>
          <cell r="I341" t="str">
            <v>MARCO</v>
          </cell>
          <cell r="J341">
            <v>4</v>
          </cell>
          <cell r="K341">
            <v>3.15</v>
          </cell>
          <cell r="L341">
            <v>12.6</v>
          </cell>
          <cell r="M341" t="str">
            <v>APROVADO</v>
          </cell>
          <cell r="N341" t="str">
            <v>10</v>
          </cell>
          <cell r="O341">
            <v>46034</v>
          </cell>
          <cell r="P341" t="str">
            <v>PRODUÇÃO DE JANEIRO DE 2026</v>
          </cell>
        </row>
        <row r="342">
          <cell r="B342" t="str">
            <v>049827015133.03.11184.01</v>
          </cell>
          <cell r="C342" t="str">
            <v>049827</v>
          </cell>
          <cell r="D342" t="str">
            <v>0151</v>
          </cell>
          <cell r="E342" t="str">
            <v>33.03.11184.01</v>
          </cell>
          <cell r="F342" t="str">
            <v>SUPORTE FONTE WEG / 33.03.11184.01</v>
          </cell>
          <cell r="G342" t="str">
            <v>VMI TECNOLOGIAS LTDA</v>
          </cell>
          <cell r="H342">
            <v>45934</v>
          </cell>
          <cell r="I342" t="str">
            <v>MARCO</v>
          </cell>
          <cell r="J342">
            <v>62</v>
          </cell>
          <cell r="K342">
            <v>3.15</v>
          </cell>
          <cell r="L342">
            <v>195.3</v>
          </cell>
          <cell r="M342" t="str">
            <v>APROVADO</v>
          </cell>
          <cell r="N342" t="str">
            <v>10</v>
          </cell>
          <cell r="O342">
            <v>46034</v>
          </cell>
          <cell r="P342" t="str">
            <v>PRODUÇÃO DE JANEIRO DE 2026</v>
          </cell>
        </row>
        <row r="343">
          <cell r="B343" t="str">
            <v>049827015233.03.11184.01</v>
          </cell>
          <cell r="C343" t="str">
            <v>049827</v>
          </cell>
          <cell r="D343" t="str">
            <v>0152</v>
          </cell>
          <cell r="E343" t="str">
            <v>33.03.11184.01</v>
          </cell>
          <cell r="F343" t="str">
            <v>SUPORTE FONTE WEG / 33.03.11184.01</v>
          </cell>
          <cell r="G343" t="str">
            <v>VMI TECNOLOGIAS LTDA</v>
          </cell>
          <cell r="H343">
            <v>45934</v>
          </cell>
          <cell r="I343" t="str">
            <v>MARCO</v>
          </cell>
          <cell r="J343">
            <v>20</v>
          </cell>
          <cell r="K343">
            <v>3.15</v>
          </cell>
          <cell r="L343">
            <v>63</v>
          </cell>
          <cell r="M343" t="str">
            <v>APROVADO</v>
          </cell>
          <cell r="N343" t="str">
            <v>10</v>
          </cell>
          <cell r="O343">
            <v>46034</v>
          </cell>
          <cell r="P343" t="str">
            <v>PRODUÇÃO DE JANEIRO DE 2026</v>
          </cell>
        </row>
        <row r="344">
          <cell r="B344" t="str">
            <v>049827015333.03.11306.01</v>
          </cell>
          <cell r="C344" t="str">
            <v>049827</v>
          </cell>
          <cell r="D344" t="str">
            <v>0153</v>
          </cell>
          <cell r="E344" t="str">
            <v>33.03.11306.01</v>
          </cell>
          <cell r="F344" t="str">
            <v>BASE INFERIOR / 33.03.11306.01</v>
          </cell>
          <cell r="G344" t="str">
            <v>VMI TECNOLOGIAS LTDA</v>
          </cell>
          <cell r="H344">
            <v>45934</v>
          </cell>
          <cell r="I344" t="str">
            <v>MARCO</v>
          </cell>
          <cell r="J344">
            <v>2</v>
          </cell>
          <cell r="K344">
            <v>907.60950000000003</v>
          </cell>
          <cell r="L344">
            <v>1815.22</v>
          </cell>
          <cell r="M344" t="str">
            <v>APROVADO</v>
          </cell>
          <cell r="N344" t="str">
            <v>10</v>
          </cell>
          <cell r="O344">
            <v>46034</v>
          </cell>
          <cell r="P344" t="str">
            <v>PRODUÇÃO DE JANEIRO DE 2026</v>
          </cell>
        </row>
        <row r="345">
          <cell r="B345" t="str">
            <v>049827015433.03.11306.01</v>
          </cell>
          <cell r="C345" t="str">
            <v>049827</v>
          </cell>
          <cell r="D345" t="str">
            <v>0154</v>
          </cell>
          <cell r="E345" t="str">
            <v>33.03.11306.01</v>
          </cell>
          <cell r="F345" t="str">
            <v>BASE INFERIOR / 33.03.11306.01</v>
          </cell>
          <cell r="G345" t="str">
            <v>VMI TECNOLOGIAS LTDA</v>
          </cell>
          <cell r="H345">
            <v>45934</v>
          </cell>
          <cell r="I345" t="str">
            <v>MARCO</v>
          </cell>
          <cell r="J345">
            <v>30</v>
          </cell>
          <cell r="K345">
            <v>907.60950000000003</v>
          </cell>
          <cell r="L345">
            <v>27228.29</v>
          </cell>
          <cell r="M345" t="str">
            <v>APROVADO</v>
          </cell>
          <cell r="N345" t="str">
            <v>10</v>
          </cell>
          <cell r="O345">
            <v>46034</v>
          </cell>
          <cell r="P345" t="str">
            <v>PRODUÇÃO DE JANEIRO DE 2026</v>
          </cell>
        </row>
        <row r="346">
          <cell r="B346" t="str">
            <v>049827015533.03.11311.01</v>
          </cell>
          <cell r="C346" t="str">
            <v>049827</v>
          </cell>
          <cell r="D346" t="str">
            <v>0155</v>
          </cell>
          <cell r="E346" t="str">
            <v>33.03.11311.01</v>
          </cell>
          <cell r="F346" t="str">
            <v>BASE SUPERIOR / 33.03.11311.01</v>
          </cell>
          <cell r="G346" t="str">
            <v>VMI TECNOLOGIAS LTDA</v>
          </cell>
          <cell r="H346">
            <v>45934</v>
          </cell>
          <cell r="I346" t="str">
            <v>MARCO</v>
          </cell>
          <cell r="J346">
            <v>30</v>
          </cell>
          <cell r="K346">
            <v>839.73749999999995</v>
          </cell>
          <cell r="L346">
            <v>25192.13</v>
          </cell>
          <cell r="M346" t="str">
            <v>APROVADO</v>
          </cell>
          <cell r="N346" t="str">
            <v>10</v>
          </cell>
          <cell r="O346">
            <v>46034</v>
          </cell>
          <cell r="P346" t="str">
            <v>PRODUÇÃO DE JANEIRO DE 2026</v>
          </cell>
        </row>
        <row r="347">
          <cell r="B347" t="str">
            <v>049827016133.03.11322.00</v>
          </cell>
          <cell r="C347" t="str">
            <v>049827</v>
          </cell>
          <cell r="D347" t="str">
            <v>0161</v>
          </cell>
          <cell r="E347" t="str">
            <v>33.03.11322.00</v>
          </cell>
          <cell r="F347" t="str">
            <v>SUPORTE HORIZONTAL TRAVA COLUNAS / 33.03.11322.00</v>
          </cell>
          <cell r="G347" t="str">
            <v>VMI TECNOLOGIAS LTDA</v>
          </cell>
          <cell r="H347">
            <v>45934</v>
          </cell>
          <cell r="I347" t="str">
            <v>MARCO</v>
          </cell>
          <cell r="J347">
            <v>60</v>
          </cell>
          <cell r="K347">
            <v>54.5</v>
          </cell>
          <cell r="L347">
            <v>3270</v>
          </cell>
          <cell r="M347" t="str">
            <v>APROVADO</v>
          </cell>
          <cell r="N347" t="str">
            <v>10</v>
          </cell>
          <cell r="O347">
            <v>46034</v>
          </cell>
          <cell r="P347" t="str">
            <v>PRODUÇÃO DE JANEIRO DE 2026</v>
          </cell>
        </row>
        <row r="348">
          <cell r="B348" t="str">
            <v>049827016233.03.11324.01</v>
          </cell>
          <cell r="C348" t="str">
            <v>049827</v>
          </cell>
          <cell r="D348" t="str">
            <v>0162</v>
          </cell>
          <cell r="E348" t="str">
            <v>33.03.11324.01</v>
          </cell>
          <cell r="F348" t="str">
            <v>SUPORTE DO COLIMADOR / 33.03.11324.01</v>
          </cell>
          <cell r="G348" t="str">
            <v>VMI TECNOLOGIAS LTDA</v>
          </cell>
          <cell r="H348">
            <v>45934</v>
          </cell>
          <cell r="I348" t="str">
            <v>MARCO</v>
          </cell>
          <cell r="J348">
            <v>30</v>
          </cell>
          <cell r="K348">
            <v>46.3</v>
          </cell>
          <cell r="L348">
            <v>1389</v>
          </cell>
          <cell r="M348" t="str">
            <v>APROVADO</v>
          </cell>
          <cell r="N348" t="str">
            <v>10</v>
          </cell>
          <cell r="O348">
            <v>46034</v>
          </cell>
          <cell r="P348" t="str">
            <v>PRODUÇÃO DE JANEIRO DE 2026</v>
          </cell>
        </row>
        <row r="349">
          <cell r="B349" t="str">
            <v>049827016333.03.11325.00</v>
          </cell>
          <cell r="C349" t="str">
            <v>049827</v>
          </cell>
          <cell r="D349" t="str">
            <v>0163</v>
          </cell>
          <cell r="E349" t="str">
            <v>33.03.11325.00</v>
          </cell>
          <cell r="F349" t="str">
            <v>SUPORTE TRAVA COLUNAS H E V / 33.03.11325.00</v>
          </cell>
          <cell r="G349" t="str">
            <v>VMI TECNOLOGIAS LTDA</v>
          </cell>
          <cell r="H349">
            <v>45934</v>
          </cell>
          <cell r="I349" t="str">
            <v>MARCO</v>
          </cell>
          <cell r="J349">
            <v>120</v>
          </cell>
          <cell r="K349">
            <v>6.2</v>
          </cell>
          <cell r="L349">
            <v>744</v>
          </cell>
          <cell r="M349" t="str">
            <v>APROVADO</v>
          </cell>
          <cell r="N349" t="str">
            <v>10</v>
          </cell>
          <cell r="O349">
            <v>46034</v>
          </cell>
          <cell r="P349" t="str">
            <v>PRODUÇÃO DE JANEIRO DE 2026</v>
          </cell>
        </row>
        <row r="350">
          <cell r="B350" t="str">
            <v>049827016433.03.11326.00</v>
          </cell>
          <cell r="C350" t="str">
            <v>049827</v>
          </cell>
          <cell r="D350" t="str">
            <v>0164</v>
          </cell>
          <cell r="E350" t="str">
            <v>33.03.11326.00</v>
          </cell>
          <cell r="F350" t="str">
            <v>REGUA DO COLIMADOR - A / 33.03.11326.00</v>
          </cell>
          <cell r="G350" t="str">
            <v>VMI TECNOLOGIAS LTDA</v>
          </cell>
          <cell r="H350">
            <v>45934</v>
          </cell>
          <cell r="I350" t="str">
            <v>MARCO</v>
          </cell>
          <cell r="J350">
            <v>60</v>
          </cell>
          <cell r="K350">
            <v>14.5</v>
          </cell>
          <cell r="L350">
            <v>870</v>
          </cell>
          <cell r="M350" t="str">
            <v>APROVADO</v>
          </cell>
          <cell r="N350" t="str">
            <v>10</v>
          </cell>
          <cell r="O350">
            <v>46034</v>
          </cell>
          <cell r="P350" t="str">
            <v>PRODUÇÃO DE JANEIRO DE 2026</v>
          </cell>
        </row>
        <row r="351">
          <cell r="B351" t="str">
            <v>049827016533.03.11327.01</v>
          </cell>
          <cell r="C351" t="str">
            <v>049827</v>
          </cell>
          <cell r="D351" t="str">
            <v>0165</v>
          </cell>
          <cell r="E351" t="str">
            <v>33.03.11327.01</v>
          </cell>
          <cell r="F351" t="str">
            <v>REGUA DO COLIMADOR - B / 33.03.11327.01</v>
          </cell>
          <cell r="G351" t="str">
            <v>VMI TECNOLOGIAS LTDA</v>
          </cell>
          <cell r="H351">
            <v>45934</v>
          </cell>
          <cell r="I351" t="str">
            <v>MARCO</v>
          </cell>
          <cell r="J351">
            <v>53</v>
          </cell>
          <cell r="K351">
            <v>15.5</v>
          </cell>
          <cell r="L351">
            <v>914.5</v>
          </cell>
          <cell r="M351" t="str">
            <v>APROVADO</v>
          </cell>
          <cell r="N351" t="str">
            <v>10</v>
          </cell>
          <cell r="O351">
            <v>46034</v>
          </cell>
          <cell r="P351" t="str">
            <v>PRODUÇÃO DE JANEIRO DE 2026</v>
          </cell>
        </row>
        <row r="352">
          <cell r="B352" t="str">
            <v>049827016633.03.11335.01</v>
          </cell>
          <cell r="C352" t="str">
            <v>049827</v>
          </cell>
          <cell r="D352" t="str">
            <v>0166</v>
          </cell>
          <cell r="E352" t="str">
            <v>33.03.11335.01</v>
          </cell>
          <cell r="F352" t="str">
            <v>APOIO DO COLIMADOR - B / 33.03.11335.01</v>
          </cell>
          <cell r="G352" t="str">
            <v>VMI TECNOLOGIAS LTDA</v>
          </cell>
          <cell r="H352">
            <v>45934</v>
          </cell>
          <cell r="I352" t="str">
            <v>MARCO</v>
          </cell>
          <cell r="J352">
            <v>60</v>
          </cell>
          <cell r="K352">
            <v>48.447000000000003</v>
          </cell>
          <cell r="L352">
            <v>2906.82</v>
          </cell>
          <cell r="M352" t="str">
            <v>APROVADO</v>
          </cell>
          <cell r="N352" t="str">
            <v>10</v>
          </cell>
          <cell r="O352">
            <v>46034</v>
          </cell>
          <cell r="P352" t="str">
            <v>PRODUÇÃO DE JANEIRO DE 2026</v>
          </cell>
        </row>
        <row r="353">
          <cell r="B353" t="str">
            <v>049827016733.03.11336.01</v>
          </cell>
          <cell r="C353" t="str">
            <v>049827</v>
          </cell>
          <cell r="D353" t="str">
            <v>0167</v>
          </cell>
          <cell r="E353" t="str">
            <v>33.03.11336.01</v>
          </cell>
          <cell r="F353" t="str">
            <v>CHASSI DA ESTEIRA / 33.03.11336.01</v>
          </cell>
          <cell r="G353" t="str">
            <v>VMI TECNOLOGIAS LTDA</v>
          </cell>
          <cell r="H353">
            <v>45934</v>
          </cell>
          <cell r="I353" t="str">
            <v>MARCO</v>
          </cell>
          <cell r="J353">
            <v>28</v>
          </cell>
          <cell r="K353">
            <v>1222.7985000000001</v>
          </cell>
          <cell r="L353">
            <v>36683.96</v>
          </cell>
          <cell r="M353" t="str">
            <v>APROVADO</v>
          </cell>
          <cell r="N353" t="str">
            <v>10</v>
          </cell>
          <cell r="O353">
            <v>46034</v>
          </cell>
          <cell r="P353" t="str">
            <v>PRODUÇÃO DE JANEIRO DE 2026</v>
          </cell>
        </row>
        <row r="354">
          <cell r="B354" t="str">
            <v>049827016833.03.11339.01</v>
          </cell>
          <cell r="C354" t="str">
            <v>049827</v>
          </cell>
          <cell r="D354" t="str">
            <v>0168</v>
          </cell>
          <cell r="E354" t="str">
            <v>33.03.11339.01</v>
          </cell>
          <cell r="F354" t="str">
            <v>CONJ. SUPORTE P /  FIX. DO ROLETE DE RETORNO / 33.03.11339.01</v>
          </cell>
          <cell r="G354" t="str">
            <v>VMI TECNOLOGIAS LTDA</v>
          </cell>
          <cell r="H354">
            <v>45934</v>
          </cell>
          <cell r="I354" t="str">
            <v>MARCO</v>
          </cell>
          <cell r="J354">
            <v>118</v>
          </cell>
          <cell r="K354">
            <v>15.02</v>
          </cell>
          <cell r="L354">
            <v>1802.4</v>
          </cell>
          <cell r="M354" t="str">
            <v>APROVADO</v>
          </cell>
          <cell r="N354" t="str">
            <v>10</v>
          </cell>
          <cell r="O354">
            <v>46034</v>
          </cell>
          <cell r="P354" t="str">
            <v>PRODUÇÃO DE JANEIRO DE 2026</v>
          </cell>
        </row>
        <row r="355">
          <cell r="B355" t="str">
            <v>049827016933.03.11350.00</v>
          </cell>
          <cell r="C355" t="str">
            <v>049827</v>
          </cell>
          <cell r="D355" t="str">
            <v>0169</v>
          </cell>
          <cell r="E355" t="str">
            <v>33.03.11350.00</v>
          </cell>
          <cell r="F355" t="str">
            <v>CONJ. APOIO DO COLIMADOR - B / 33.03.11350.00</v>
          </cell>
          <cell r="G355" t="str">
            <v>VMI TECNOLOGIAS LTDA</v>
          </cell>
          <cell r="H355">
            <v>45934</v>
          </cell>
          <cell r="I355" t="str">
            <v>MARCO</v>
          </cell>
          <cell r="J355">
            <v>60</v>
          </cell>
          <cell r="K355">
            <v>28.3</v>
          </cell>
          <cell r="L355">
            <v>1698</v>
          </cell>
          <cell r="M355" t="str">
            <v>APROVADO</v>
          </cell>
          <cell r="N355" t="str">
            <v>10</v>
          </cell>
          <cell r="O355">
            <v>46034</v>
          </cell>
          <cell r="P355" t="str">
            <v>PRODUÇÃO DE JANEIRO DE 2026</v>
          </cell>
        </row>
        <row r="356">
          <cell r="B356" t="str">
            <v>049827017033.03.11355.01</v>
          </cell>
          <cell r="C356" t="str">
            <v>049827</v>
          </cell>
          <cell r="D356" t="str">
            <v>0170</v>
          </cell>
          <cell r="E356" t="str">
            <v>33.03.11355.01</v>
          </cell>
          <cell r="F356" t="str">
            <v>TAMPA DE ACESSO INFERIOR - A / 33.03.11355.01</v>
          </cell>
          <cell r="G356" t="str">
            <v>VMI TECNOLOGIAS LTDA</v>
          </cell>
          <cell r="H356">
            <v>45934</v>
          </cell>
          <cell r="I356" t="str">
            <v>MARCO</v>
          </cell>
          <cell r="J356">
            <v>30</v>
          </cell>
          <cell r="K356">
            <v>75.725999999999999</v>
          </cell>
          <cell r="L356">
            <v>2271.7800000000002</v>
          </cell>
          <cell r="M356" t="str">
            <v>APROVADO</v>
          </cell>
          <cell r="N356" t="str">
            <v>10</v>
          </cell>
          <cell r="O356">
            <v>46034</v>
          </cell>
          <cell r="P356" t="str">
            <v>PRODUÇÃO DE JANEIRO DE 2026</v>
          </cell>
        </row>
        <row r="357">
          <cell r="B357" t="str">
            <v>049827017133.03.11356.00</v>
          </cell>
          <cell r="C357" t="str">
            <v>049827</v>
          </cell>
          <cell r="D357" t="str">
            <v>0171</v>
          </cell>
          <cell r="E357" t="str">
            <v>33.03.11356.00</v>
          </cell>
          <cell r="F357" t="str">
            <v>TAMPA DE ACESSO INFERIOR - B / 33.03.11356.00</v>
          </cell>
          <cell r="G357" t="str">
            <v>VMI TECNOLOGIAS LTDA</v>
          </cell>
          <cell r="H357">
            <v>45934</v>
          </cell>
          <cell r="I357" t="str">
            <v>MARCO</v>
          </cell>
          <cell r="J357">
            <v>30</v>
          </cell>
          <cell r="K357">
            <v>86.404499999999999</v>
          </cell>
          <cell r="L357">
            <v>2592.14</v>
          </cell>
          <cell r="M357" t="str">
            <v>APROVADO</v>
          </cell>
          <cell r="N357" t="str">
            <v>10</v>
          </cell>
          <cell r="O357">
            <v>46034</v>
          </cell>
          <cell r="P357" t="str">
            <v>PRODUÇÃO DE JANEIRO DE 2026</v>
          </cell>
        </row>
        <row r="358">
          <cell r="B358" t="str">
            <v>049827017533.03.11373.01</v>
          </cell>
          <cell r="C358" t="str">
            <v>049827</v>
          </cell>
          <cell r="D358" t="str">
            <v>0175</v>
          </cell>
          <cell r="E358" t="str">
            <v>33.03.11373.01</v>
          </cell>
          <cell r="F358" t="str">
            <v>FIXADOR POLICARBONATO E - 33.03.11373.01</v>
          </cell>
          <cell r="G358" t="str">
            <v>VMI TECNOLOGIAS LTDA</v>
          </cell>
          <cell r="H358">
            <v>45934</v>
          </cell>
          <cell r="I358" t="str">
            <v>MARCO</v>
          </cell>
          <cell r="J358">
            <v>1</v>
          </cell>
          <cell r="K358">
            <v>19.519500000000001</v>
          </cell>
          <cell r="L358">
            <v>1171.17</v>
          </cell>
          <cell r="M358" t="str">
            <v>APROVADO</v>
          </cell>
          <cell r="N358" t="str">
            <v>10</v>
          </cell>
          <cell r="O358">
            <v>46034</v>
          </cell>
          <cell r="P358" t="str">
            <v>PRODUÇÃO DE JANEIRO DE 2026</v>
          </cell>
        </row>
        <row r="359">
          <cell r="B359" t="str">
            <v>049827017733.03.11376.00</v>
          </cell>
          <cell r="C359" t="str">
            <v>049827</v>
          </cell>
          <cell r="D359" t="str">
            <v>0177</v>
          </cell>
          <cell r="E359" t="str">
            <v>33.03.11376.00</v>
          </cell>
          <cell r="F359" t="str">
            <v>CHAPA PROTECAO SENSOR TUNEL / 33.03.11376.00</v>
          </cell>
          <cell r="G359" t="str">
            <v>VMI TECNOLOGIAS LTDA</v>
          </cell>
          <cell r="H359">
            <v>45934</v>
          </cell>
          <cell r="I359" t="str">
            <v>MARCO</v>
          </cell>
          <cell r="J359">
            <v>120</v>
          </cell>
          <cell r="K359">
            <v>12</v>
          </cell>
          <cell r="L359">
            <v>1440</v>
          </cell>
          <cell r="M359" t="str">
            <v>APROVADO</v>
          </cell>
          <cell r="N359" t="str">
            <v>10</v>
          </cell>
          <cell r="O359">
            <v>46034</v>
          </cell>
          <cell r="P359" t="str">
            <v>PRODUÇÃO DE JANEIRO DE 2026</v>
          </cell>
        </row>
        <row r="360">
          <cell r="B360" t="str">
            <v>049827017933.03.11381.02</v>
          </cell>
          <cell r="C360" t="str">
            <v>049827</v>
          </cell>
          <cell r="D360" t="str">
            <v>0179</v>
          </cell>
          <cell r="E360" t="str">
            <v>33.03.11381.02</v>
          </cell>
          <cell r="F360" t="str">
            <v>LATERAL CAIXA U / D / 33.03.11381.02</v>
          </cell>
          <cell r="G360" t="str">
            <v>VMI TECNOLOGIAS LTDA</v>
          </cell>
          <cell r="H360">
            <v>45934</v>
          </cell>
          <cell r="I360" t="str">
            <v>MARCO</v>
          </cell>
          <cell r="J360">
            <v>1</v>
          </cell>
          <cell r="K360">
            <v>30.9435</v>
          </cell>
          <cell r="L360">
            <v>928.31</v>
          </cell>
          <cell r="M360" t="str">
            <v>APROVADO</v>
          </cell>
          <cell r="N360" t="str">
            <v>10</v>
          </cell>
          <cell r="O360">
            <v>46034</v>
          </cell>
          <cell r="P360" t="str">
            <v>PRODUÇÃO DE JANEIRO DE 2026</v>
          </cell>
        </row>
        <row r="361">
          <cell r="B361" t="str">
            <v>049827018033.03.11383.00</v>
          </cell>
          <cell r="C361" t="str">
            <v>049827</v>
          </cell>
          <cell r="D361" t="str">
            <v>0180</v>
          </cell>
          <cell r="E361" t="str">
            <v>33.03.11383.00</v>
          </cell>
          <cell r="F361" t="str">
            <v>TRAVA CAIXA U / 33.03.11383.00</v>
          </cell>
          <cell r="G361" t="str">
            <v>VMI TECNOLOGIAS LTDA</v>
          </cell>
          <cell r="H361">
            <v>45934</v>
          </cell>
          <cell r="I361" t="str">
            <v>MARCO</v>
          </cell>
          <cell r="J361">
            <v>240</v>
          </cell>
          <cell r="K361">
            <v>6.41</v>
          </cell>
          <cell r="L361">
            <v>1538.4</v>
          </cell>
          <cell r="M361" t="str">
            <v>APROVADO</v>
          </cell>
          <cell r="N361" t="str">
            <v>10</v>
          </cell>
          <cell r="O361">
            <v>46034</v>
          </cell>
          <cell r="P361" t="str">
            <v>PRODUÇÃO DE JANEIRO DE 2026</v>
          </cell>
        </row>
        <row r="362">
          <cell r="B362" t="str">
            <v>049827018233.03.11385.01</v>
          </cell>
          <cell r="C362" t="str">
            <v>049827</v>
          </cell>
          <cell r="D362" t="str">
            <v>0182</v>
          </cell>
          <cell r="E362" t="str">
            <v>33.03.11385.01</v>
          </cell>
          <cell r="F362" t="str">
            <v>TAMPA CENTRAL DOS DETECTORES / 33.03.11385.01</v>
          </cell>
          <cell r="G362" t="str">
            <v>VMI TECNOLOGIAS LTDA</v>
          </cell>
          <cell r="H362">
            <v>45934</v>
          </cell>
          <cell r="I362" t="str">
            <v>MARCO</v>
          </cell>
          <cell r="J362">
            <v>1</v>
          </cell>
          <cell r="K362">
            <v>79.653000000000006</v>
          </cell>
          <cell r="L362">
            <v>2389.59</v>
          </cell>
          <cell r="M362" t="str">
            <v>APROVADO</v>
          </cell>
          <cell r="N362" t="str">
            <v>10</v>
          </cell>
          <cell r="O362">
            <v>46034</v>
          </cell>
          <cell r="P362" t="str">
            <v>PRODUÇÃO DE JANEIRO DE 2026</v>
          </cell>
        </row>
        <row r="363">
          <cell r="B363" t="str">
            <v>049827018333.03.11386.01</v>
          </cell>
          <cell r="C363" t="str">
            <v>049827</v>
          </cell>
          <cell r="D363" t="str">
            <v>0183</v>
          </cell>
          <cell r="E363" t="str">
            <v>33.03.11386.01</v>
          </cell>
          <cell r="F363" t="str">
            <v>TAMPA LATERAL DOS DETECTORES / 33.03.11386.01</v>
          </cell>
          <cell r="G363" t="str">
            <v>VMI TECNOLOGIAS LTDA</v>
          </cell>
          <cell r="H363">
            <v>45934</v>
          </cell>
          <cell r="I363" t="str">
            <v>MARCO</v>
          </cell>
          <cell r="J363">
            <v>30</v>
          </cell>
          <cell r="K363">
            <v>71.043000000000006</v>
          </cell>
          <cell r="L363">
            <v>2131.29</v>
          </cell>
          <cell r="M363" t="str">
            <v>APROVADO</v>
          </cell>
          <cell r="N363" t="str">
            <v>10</v>
          </cell>
          <cell r="O363">
            <v>46034</v>
          </cell>
          <cell r="P363" t="str">
            <v>PRODUÇÃO DE JANEIRO DE 2026</v>
          </cell>
        </row>
        <row r="364">
          <cell r="B364" t="str">
            <v>049827018633.03.11390.01</v>
          </cell>
          <cell r="C364" t="str">
            <v>049827</v>
          </cell>
          <cell r="D364" t="str">
            <v>0186</v>
          </cell>
          <cell r="E364" t="str">
            <v>33.03.11390.01</v>
          </cell>
          <cell r="F364" t="str">
            <v>CHAPA DA TAMPA DA CAIXA X-DAQ - 33.03.11390.01</v>
          </cell>
          <cell r="G364" t="str">
            <v>VMI TECNOLOGIAS LTDA</v>
          </cell>
          <cell r="H364">
            <v>45934</v>
          </cell>
          <cell r="I364" t="str">
            <v>MARCO</v>
          </cell>
          <cell r="J364">
            <v>1</v>
          </cell>
          <cell r="K364">
            <v>31.71</v>
          </cell>
          <cell r="L364">
            <v>1395.24</v>
          </cell>
          <cell r="M364" t="str">
            <v>APROVADO</v>
          </cell>
          <cell r="N364" t="str">
            <v>10</v>
          </cell>
          <cell r="O364">
            <v>46034</v>
          </cell>
          <cell r="P364" t="str">
            <v>PRODUÇÃO DE JANEIRO DE 2026</v>
          </cell>
        </row>
        <row r="365">
          <cell r="B365" t="str">
            <v>049827018733.03.11393.00</v>
          </cell>
          <cell r="C365" t="str">
            <v>049827</v>
          </cell>
          <cell r="D365" t="str">
            <v>0187</v>
          </cell>
          <cell r="E365" t="str">
            <v>33.03.11393.00</v>
          </cell>
          <cell r="F365" t="str">
            <v>FLANGE DA BASE DA CAIXA / 33.03.11393.00</v>
          </cell>
          <cell r="G365" t="str">
            <v>VMI TECNOLOGIAS LTDA</v>
          </cell>
          <cell r="H365">
            <v>45934</v>
          </cell>
          <cell r="I365" t="str">
            <v>MARCO</v>
          </cell>
          <cell r="J365">
            <v>6</v>
          </cell>
          <cell r="K365">
            <v>12.5</v>
          </cell>
          <cell r="L365">
            <v>550</v>
          </cell>
          <cell r="M365" t="str">
            <v>APROVADO</v>
          </cell>
          <cell r="N365" t="str">
            <v>10</v>
          </cell>
          <cell r="O365">
            <v>46034</v>
          </cell>
          <cell r="P365" t="str">
            <v>PRODUÇÃO DE JANEIRO DE 2026</v>
          </cell>
        </row>
        <row r="366">
          <cell r="B366" t="str">
            <v>049827018933.03.11426.00</v>
          </cell>
          <cell r="C366" t="str">
            <v>049827</v>
          </cell>
          <cell r="D366" t="str">
            <v>0189</v>
          </cell>
          <cell r="E366" t="str">
            <v>33.03.11426.00</v>
          </cell>
          <cell r="F366" t="str">
            <v>CHAPA PAINEL DE ACESSO - TOMADAS / 33.03.11426.00</v>
          </cell>
          <cell r="G366" t="str">
            <v>VMI TECNOLOGIAS LTDA</v>
          </cell>
          <cell r="H366">
            <v>45934</v>
          </cell>
          <cell r="I366" t="str">
            <v>MARCO</v>
          </cell>
          <cell r="J366">
            <v>28</v>
          </cell>
          <cell r="K366">
            <v>85</v>
          </cell>
          <cell r="L366">
            <v>2550</v>
          </cell>
          <cell r="M366" t="str">
            <v>APROVADO</v>
          </cell>
          <cell r="N366" t="str">
            <v>10</v>
          </cell>
          <cell r="O366">
            <v>46034</v>
          </cell>
          <cell r="P366" t="str">
            <v>PRODUÇÃO DE JANEIRO DE 2026</v>
          </cell>
        </row>
        <row r="367">
          <cell r="B367" t="str">
            <v>049827019033.03.11427.00</v>
          </cell>
          <cell r="C367" t="str">
            <v>049827</v>
          </cell>
          <cell r="D367" t="str">
            <v>0190</v>
          </cell>
          <cell r="E367" t="str">
            <v>33.03.11427.00</v>
          </cell>
          <cell r="F367" t="str">
            <v>SUPORTE DE REGULAGEM DO PAINEL / 33.03.11427.00</v>
          </cell>
          <cell r="G367" t="str">
            <v>VMI TECNOLOGIAS LTDA</v>
          </cell>
          <cell r="H367">
            <v>45934</v>
          </cell>
          <cell r="I367" t="str">
            <v>MARCO</v>
          </cell>
          <cell r="J367">
            <v>30</v>
          </cell>
          <cell r="K367">
            <v>7.69</v>
          </cell>
          <cell r="L367">
            <v>230.7</v>
          </cell>
          <cell r="M367" t="str">
            <v>APROVADO</v>
          </cell>
          <cell r="N367" t="str">
            <v>10</v>
          </cell>
          <cell r="O367">
            <v>46034</v>
          </cell>
          <cell r="P367" t="str">
            <v>PRODUÇÃO DE JANEIRO DE 2026</v>
          </cell>
        </row>
        <row r="368">
          <cell r="B368" t="str">
            <v>049827019133.03.11430.00</v>
          </cell>
          <cell r="C368" t="str">
            <v>049827</v>
          </cell>
          <cell r="D368" t="str">
            <v>0191</v>
          </cell>
          <cell r="E368" t="str">
            <v>33.03.11430.00</v>
          </cell>
          <cell r="F368" t="str">
            <v>CHAPA PAINEL DE ACESSO - SAIDAS / 33.03.11430.00</v>
          </cell>
          <cell r="G368" t="str">
            <v>VMI TECNOLOGIAS LTDA</v>
          </cell>
          <cell r="H368">
            <v>45934</v>
          </cell>
          <cell r="I368" t="str">
            <v>MARCO</v>
          </cell>
          <cell r="J368">
            <v>11</v>
          </cell>
          <cell r="K368">
            <v>102.375</v>
          </cell>
          <cell r="L368">
            <v>1126.1300000000001</v>
          </cell>
          <cell r="M368" t="str">
            <v>APROVADO</v>
          </cell>
          <cell r="N368" t="str">
            <v>10</v>
          </cell>
          <cell r="O368">
            <v>46034</v>
          </cell>
          <cell r="P368" t="str">
            <v>PRODUÇÃO DE JANEIRO DE 2026</v>
          </cell>
        </row>
        <row r="369">
          <cell r="B369" t="str">
            <v>049827019233.03.11430.00</v>
          </cell>
          <cell r="C369" t="str">
            <v>049827</v>
          </cell>
          <cell r="D369" t="str">
            <v>0192</v>
          </cell>
          <cell r="E369" t="str">
            <v>33.03.11430.00</v>
          </cell>
          <cell r="F369" t="str">
            <v>CHAPA PAINEL DE ACESSO - SAIDAS / 33.03.11430.00</v>
          </cell>
          <cell r="G369" t="str">
            <v>VMI TECNOLOGIAS LTDA</v>
          </cell>
          <cell r="H369">
            <v>45934</v>
          </cell>
          <cell r="I369" t="str">
            <v>MARCO</v>
          </cell>
          <cell r="J369">
            <v>19</v>
          </cell>
          <cell r="K369">
            <v>102.375</v>
          </cell>
          <cell r="L369">
            <v>1945.13</v>
          </cell>
          <cell r="M369" t="str">
            <v>APROVADO</v>
          </cell>
          <cell r="N369" t="str">
            <v>10</v>
          </cell>
          <cell r="O369">
            <v>46034</v>
          </cell>
          <cell r="P369" t="str">
            <v>PRODUÇÃO DE JANEIRO DE 2026</v>
          </cell>
        </row>
        <row r="370">
          <cell r="B370" t="str">
            <v>049827019333.03.11431.00</v>
          </cell>
          <cell r="C370" t="str">
            <v>049827</v>
          </cell>
          <cell r="D370" t="str">
            <v>0193</v>
          </cell>
          <cell r="E370" t="str">
            <v>33.03.11431.00</v>
          </cell>
          <cell r="F370" t="str">
            <v>SUPORTE DE REGULAGEM DO PAINEL / 33.03.11431.00</v>
          </cell>
          <cell r="G370" t="str">
            <v>VMI TECNOLOGIAS LTDA</v>
          </cell>
          <cell r="H370">
            <v>45934</v>
          </cell>
          <cell r="I370" t="str">
            <v>MARCO</v>
          </cell>
          <cell r="J370">
            <v>25</v>
          </cell>
          <cell r="K370">
            <v>24.160499999999999</v>
          </cell>
          <cell r="L370">
            <v>604.01</v>
          </cell>
          <cell r="M370" t="str">
            <v>APROVADO</v>
          </cell>
          <cell r="N370" t="str">
            <v>10</v>
          </cell>
          <cell r="O370">
            <v>46034</v>
          </cell>
          <cell r="P370" t="str">
            <v>PRODUÇÃO DE JANEIRO DE 2026</v>
          </cell>
        </row>
        <row r="371">
          <cell r="B371" t="str">
            <v>049827019433.03.11433.00</v>
          </cell>
          <cell r="C371" t="str">
            <v>049827</v>
          </cell>
          <cell r="D371" t="str">
            <v>0194</v>
          </cell>
          <cell r="E371" t="str">
            <v>33.03.11433.00</v>
          </cell>
          <cell r="F371" t="str">
            <v>SUPORTE DOS LED´S - B / 33.03.11433.00</v>
          </cell>
          <cell r="G371" t="str">
            <v>VMI TECNOLOGIAS LTDA</v>
          </cell>
          <cell r="H371">
            <v>45934</v>
          </cell>
          <cell r="I371" t="str">
            <v>MARCO</v>
          </cell>
          <cell r="J371">
            <v>120</v>
          </cell>
          <cell r="K371">
            <v>3.5</v>
          </cell>
          <cell r="L371">
            <v>420</v>
          </cell>
          <cell r="M371" t="str">
            <v>APROVADO</v>
          </cell>
          <cell r="N371" t="str">
            <v>10</v>
          </cell>
          <cell r="O371">
            <v>46034</v>
          </cell>
          <cell r="P371" t="str">
            <v>PRODUÇÃO DE JANEIRO DE 2026</v>
          </cell>
        </row>
        <row r="372">
          <cell r="B372" t="str">
            <v>049827019533.03.11435.00</v>
          </cell>
          <cell r="C372" t="str">
            <v>049827</v>
          </cell>
          <cell r="D372" t="str">
            <v>0195</v>
          </cell>
          <cell r="E372" t="str">
            <v>33.03.11435.00</v>
          </cell>
          <cell r="F372" t="str">
            <v>SUPORTE DOS LED´S - A / 33.03.11435.00</v>
          </cell>
          <cell r="G372" t="str">
            <v>VMI TECNOLOGIAS LTDA</v>
          </cell>
          <cell r="H372">
            <v>45934</v>
          </cell>
          <cell r="I372" t="str">
            <v>MARCO</v>
          </cell>
          <cell r="J372">
            <v>120</v>
          </cell>
          <cell r="K372">
            <v>3.5</v>
          </cell>
          <cell r="L372">
            <v>420</v>
          </cell>
          <cell r="M372" t="str">
            <v>APROVADO</v>
          </cell>
          <cell r="N372" t="str">
            <v>10</v>
          </cell>
          <cell r="O372">
            <v>46034</v>
          </cell>
          <cell r="P372" t="str">
            <v>PRODUÇÃO DE JANEIRO DE 2026</v>
          </cell>
        </row>
        <row r="373">
          <cell r="B373" t="str">
            <v>049827019633.03.11437.01</v>
          </cell>
          <cell r="C373" t="str">
            <v>049827</v>
          </cell>
          <cell r="D373" t="str">
            <v>0196</v>
          </cell>
          <cell r="E373" t="str">
            <v>33.03.11437.01</v>
          </cell>
          <cell r="F373" t="str">
            <v>SUPORTE DO QUADRO ALIMENTACAO / 33.03.11437.01</v>
          </cell>
          <cell r="G373" t="str">
            <v>VMI TECNOLOGIAS LTDA</v>
          </cell>
          <cell r="H373">
            <v>45934</v>
          </cell>
          <cell r="I373" t="str">
            <v>MARCO</v>
          </cell>
          <cell r="J373">
            <v>30</v>
          </cell>
          <cell r="K373">
            <v>68.5</v>
          </cell>
          <cell r="L373">
            <v>2055</v>
          </cell>
          <cell r="M373" t="str">
            <v>APROVADO</v>
          </cell>
          <cell r="N373" t="str">
            <v>10</v>
          </cell>
          <cell r="O373">
            <v>46034</v>
          </cell>
          <cell r="P373" t="str">
            <v>PRODUÇÃO DE JANEIRO DE 2026</v>
          </cell>
        </row>
        <row r="374">
          <cell r="B374" t="str">
            <v>049827019833.03.11441.00</v>
          </cell>
          <cell r="C374" t="str">
            <v>049827</v>
          </cell>
          <cell r="D374" t="str">
            <v>0198</v>
          </cell>
          <cell r="E374" t="str">
            <v>33.03.11441.00</v>
          </cell>
          <cell r="F374" t="str">
            <v>SUPORTE ANGULAR PARA BORNES / 33.03.11441.00</v>
          </cell>
          <cell r="G374" t="str">
            <v>VMI TECNOLOGIAS LTDA</v>
          </cell>
          <cell r="H374">
            <v>45934</v>
          </cell>
          <cell r="I374" t="str">
            <v>MARCO</v>
          </cell>
          <cell r="J374">
            <v>30</v>
          </cell>
          <cell r="K374">
            <v>27.3</v>
          </cell>
          <cell r="L374">
            <v>819</v>
          </cell>
          <cell r="M374" t="str">
            <v>APROVADO</v>
          </cell>
          <cell r="N374" t="str">
            <v>10</v>
          </cell>
          <cell r="O374">
            <v>46034</v>
          </cell>
          <cell r="P374" t="str">
            <v>PRODUÇÃO DE JANEIRO DE 2026</v>
          </cell>
        </row>
        <row r="375">
          <cell r="B375" t="str">
            <v>049827019933.03.11445.00</v>
          </cell>
          <cell r="C375" t="str">
            <v>049827</v>
          </cell>
          <cell r="D375" t="str">
            <v>0199</v>
          </cell>
          <cell r="E375" t="str">
            <v>33.03.11445.00</v>
          </cell>
          <cell r="F375" t="str">
            <v>SUPORTE PARA FIXACAO DO VENTILADOR / 33.03.11445.00</v>
          </cell>
          <cell r="G375" t="str">
            <v>VMI TECNOLOGIAS LTDA</v>
          </cell>
          <cell r="H375">
            <v>45934</v>
          </cell>
          <cell r="I375" t="str">
            <v>MARCO</v>
          </cell>
          <cell r="J375">
            <v>60</v>
          </cell>
          <cell r="K375">
            <v>42.1</v>
          </cell>
          <cell r="L375">
            <v>2526</v>
          </cell>
          <cell r="M375" t="str">
            <v>APROVADO</v>
          </cell>
          <cell r="N375" t="str">
            <v>10</v>
          </cell>
          <cell r="O375">
            <v>46034</v>
          </cell>
          <cell r="P375" t="str">
            <v>PRODUÇÃO DE JANEIRO DE 2026</v>
          </cell>
        </row>
        <row r="376">
          <cell r="B376" t="str">
            <v>049827020033.03.11449.00</v>
          </cell>
          <cell r="C376" t="str">
            <v>049827</v>
          </cell>
          <cell r="D376" t="str">
            <v>0200</v>
          </cell>
          <cell r="E376" t="str">
            <v>33.03.11449.00</v>
          </cell>
          <cell r="F376" t="str">
            <v>TAMPA DA ESTRUTURA SUPERIOR DO TUNEL / 33.03.11449.00</v>
          </cell>
          <cell r="G376" t="str">
            <v>VMI TECNOLOGIAS LTDA</v>
          </cell>
          <cell r="H376">
            <v>45934</v>
          </cell>
          <cell r="I376" t="str">
            <v>MARCO</v>
          </cell>
          <cell r="J376">
            <v>60</v>
          </cell>
          <cell r="K376">
            <v>98.5</v>
          </cell>
          <cell r="L376">
            <v>5910</v>
          </cell>
          <cell r="M376" t="str">
            <v>APROVADO</v>
          </cell>
          <cell r="N376" t="str">
            <v>10</v>
          </cell>
          <cell r="O376">
            <v>46034</v>
          </cell>
          <cell r="P376" t="str">
            <v>PRODUÇÃO DE JANEIRO DE 2026</v>
          </cell>
        </row>
        <row r="377">
          <cell r="B377" t="str">
            <v>049827020133.03.11451.00</v>
          </cell>
          <cell r="C377" t="str">
            <v>049827</v>
          </cell>
          <cell r="D377" t="str">
            <v>0201</v>
          </cell>
          <cell r="E377" t="str">
            <v>33.03.11451.00</v>
          </cell>
          <cell r="F377" t="str">
            <v>LATERAL DA ESTRUTURA DO TUNEL / 33.03.11451.00</v>
          </cell>
          <cell r="G377" t="str">
            <v>VMI TECNOLOGIAS LTDA</v>
          </cell>
          <cell r="H377">
            <v>45934</v>
          </cell>
          <cell r="I377" t="str">
            <v>MARCO</v>
          </cell>
          <cell r="J377">
            <v>120</v>
          </cell>
          <cell r="K377">
            <v>87.3</v>
          </cell>
          <cell r="L377">
            <v>10476</v>
          </cell>
          <cell r="M377" t="str">
            <v>APROVADO</v>
          </cell>
          <cell r="N377" t="str">
            <v>10</v>
          </cell>
          <cell r="O377">
            <v>46034</v>
          </cell>
          <cell r="P377" t="str">
            <v>PRODUÇÃO DE JANEIRO DE 2026</v>
          </cell>
        </row>
        <row r="378">
          <cell r="B378" t="str">
            <v>049827020233.03.11453.00</v>
          </cell>
          <cell r="C378" t="str">
            <v>049827</v>
          </cell>
          <cell r="D378" t="str">
            <v>0202</v>
          </cell>
          <cell r="E378" t="str">
            <v>33.03.11453.00</v>
          </cell>
          <cell r="F378" t="str">
            <v>SUPORTE / 33.03.11453.00</v>
          </cell>
          <cell r="G378" t="str">
            <v>VMI TECNOLOGIAS LTDA</v>
          </cell>
          <cell r="H378">
            <v>45934</v>
          </cell>
          <cell r="I378" t="str">
            <v>MARCO</v>
          </cell>
          <cell r="J378">
            <v>120</v>
          </cell>
          <cell r="K378">
            <v>6.67</v>
          </cell>
          <cell r="L378">
            <v>800.4</v>
          </cell>
          <cell r="M378" t="str">
            <v>APROVADO</v>
          </cell>
          <cell r="N378" t="str">
            <v>10</v>
          </cell>
          <cell r="O378">
            <v>46034</v>
          </cell>
          <cell r="P378" t="str">
            <v>PRODUÇÃO DE JANEIRO DE 2026</v>
          </cell>
        </row>
        <row r="379">
          <cell r="B379" t="str">
            <v>049827020333.03.11456.00</v>
          </cell>
          <cell r="C379" t="str">
            <v>049827</v>
          </cell>
          <cell r="D379" t="str">
            <v>0203</v>
          </cell>
          <cell r="E379" t="str">
            <v>33.03.11456.00</v>
          </cell>
          <cell r="F379" t="str">
            <v>TRAVA TAMPA / 33.03.11456.00</v>
          </cell>
          <cell r="G379" t="str">
            <v>VMI TECNOLOGIAS LTDA</v>
          </cell>
          <cell r="H379">
            <v>45934</v>
          </cell>
          <cell r="I379" t="str">
            <v>MARCO</v>
          </cell>
          <cell r="J379">
            <v>240</v>
          </cell>
          <cell r="K379">
            <v>4.5</v>
          </cell>
          <cell r="L379">
            <v>1080</v>
          </cell>
          <cell r="M379" t="str">
            <v>APROVADO</v>
          </cell>
          <cell r="N379" t="str">
            <v>10</v>
          </cell>
          <cell r="O379">
            <v>46034</v>
          </cell>
          <cell r="P379" t="str">
            <v>PRODUÇÃO DE JANEIRO DE 2026</v>
          </cell>
        </row>
        <row r="380">
          <cell r="B380" t="str">
            <v>049827020433.03.11461.00</v>
          </cell>
          <cell r="C380" t="str">
            <v>049827</v>
          </cell>
          <cell r="D380" t="str">
            <v>0204</v>
          </cell>
          <cell r="E380" t="str">
            <v>33.03.11461.00</v>
          </cell>
          <cell r="F380" t="str">
            <v>APOIO PARA TAMPA / 33.03.11461.00</v>
          </cell>
          <cell r="G380" t="str">
            <v>VMI TECNOLOGIAS LTDA</v>
          </cell>
          <cell r="H380">
            <v>45934</v>
          </cell>
          <cell r="I380" t="str">
            <v>MARCO</v>
          </cell>
          <cell r="J380">
            <v>120</v>
          </cell>
          <cell r="K380">
            <v>8.59</v>
          </cell>
          <cell r="L380">
            <v>1030.8</v>
          </cell>
          <cell r="M380" t="str">
            <v>APROVADO</v>
          </cell>
          <cell r="N380" t="str">
            <v>10</v>
          </cell>
          <cell r="O380">
            <v>46034</v>
          </cell>
          <cell r="P380" t="str">
            <v>PRODUÇÃO DE JANEIRO DE 2026</v>
          </cell>
        </row>
        <row r="381">
          <cell r="B381" t="str">
            <v>049827020533.03.11462.00</v>
          </cell>
          <cell r="C381" t="str">
            <v>049827</v>
          </cell>
          <cell r="D381" t="str">
            <v>0205</v>
          </cell>
          <cell r="E381" t="str">
            <v>33.03.11462.00</v>
          </cell>
          <cell r="F381" t="str">
            <v>FIXACAO DA CORTINA NO TUNEL SUPERIOR / 33.03.11462.00</v>
          </cell>
          <cell r="G381" t="str">
            <v>VMI TECNOLOGIAS LTDA</v>
          </cell>
          <cell r="H381">
            <v>45934</v>
          </cell>
          <cell r="I381" t="str">
            <v>MARCO</v>
          </cell>
          <cell r="J381">
            <v>72</v>
          </cell>
          <cell r="K381">
            <v>57.886499999999998</v>
          </cell>
          <cell r="L381">
            <v>4167.83</v>
          </cell>
          <cell r="M381" t="str">
            <v>APROVADO</v>
          </cell>
          <cell r="N381" t="str">
            <v>10</v>
          </cell>
          <cell r="O381">
            <v>46034</v>
          </cell>
          <cell r="P381" t="str">
            <v>PRODUÇÃO DE JANEIRO DE 2026</v>
          </cell>
        </row>
        <row r="382">
          <cell r="B382" t="str">
            <v>049827020633.03.11466.00</v>
          </cell>
          <cell r="C382" t="str">
            <v>049827</v>
          </cell>
          <cell r="D382" t="str">
            <v>0206</v>
          </cell>
          <cell r="E382" t="str">
            <v>33.03.11466.00</v>
          </cell>
          <cell r="F382" t="str">
            <v>SUPORTE CORTINA / 33.03.11466.00</v>
          </cell>
          <cell r="G382" t="str">
            <v>VMI TECNOLOGIAS LTDA</v>
          </cell>
          <cell r="H382">
            <v>45934</v>
          </cell>
          <cell r="I382" t="str">
            <v>MARCO</v>
          </cell>
          <cell r="J382">
            <v>120</v>
          </cell>
          <cell r="K382">
            <v>48.7</v>
          </cell>
          <cell r="L382">
            <v>5844</v>
          </cell>
          <cell r="M382" t="str">
            <v>APROVADO</v>
          </cell>
          <cell r="N382" t="str">
            <v>10</v>
          </cell>
          <cell r="O382">
            <v>46034</v>
          </cell>
          <cell r="P382" t="str">
            <v>PRODUÇÃO DE JANEIRO DE 2026</v>
          </cell>
        </row>
        <row r="383">
          <cell r="B383" t="str">
            <v>049827020733.03.11469.00</v>
          </cell>
          <cell r="C383" t="str">
            <v>049827</v>
          </cell>
          <cell r="D383" t="str">
            <v>0207</v>
          </cell>
          <cell r="E383" t="str">
            <v>33.03.11469.00</v>
          </cell>
          <cell r="F383" t="str">
            <v>AMARRA CABOS PARA PC / 33.03.11469.00</v>
          </cell>
          <cell r="G383" t="str">
            <v>VMI TECNOLOGIAS LTDA</v>
          </cell>
          <cell r="H383">
            <v>45934</v>
          </cell>
          <cell r="I383" t="str">
            <v>MARCO</v>
          </cell>
          <cell r="J383">
            <v>30</v>
          </cell>
          <cell r="K383">
            <v>22.1</v>
          </cell>
          <cell r="L383">
            <v>663</v>
          </cell>
          <cell r="M383" t="str">
            <v>APROVADO</v>
          </cell>
          <cell r="N383" t="str">
            <v>10</v>
          </cell>
          <cell r="O383">
            <v>46034</v>
          </cell>
          <cell r="P383" t="str">
            <v>PRODUÇÃO DE JANEIRO DE 2026</v>
          </cell>
        </row>
        <row r="384">
          <cell r="B384" t="str">
            <v>049827020833.03.11470.00</v>
          </cell>
          <cell r="C384" t="str">
            <v>049827</v>
          </cell>
          <cell r="D384" t="str">
            <v>0208</v>
          </cell>
          <cell r="E384" t="str">
            <v>33.03.11470.00</v>
          </cell>
          <cell r="F384" t="str">
            <v>SUPORTE PARA TRAVAR AMARRA CABOS DO PC / 33.03.11470.00</v>
          </cell>
          <cell r="G384" t="str">
            <v>VMI TECNOLOGIAS LTDA</v>
          </cell>
          <cell r="H384">
            <v>45934</v>
          </cell>
          <cell r="I384" t="str">
            <v>MARCO</v>
          </cell>
          <cell r="J384">
            <v>30</v>
          </cell>
          <cell r="K384">
            <v>12.096</v>
          </cell>
          <cell r="L384">
            <v>362.88</v>
          </cell>
          <cell r="M384" t="str">
            <v>APROVADO</v>
          </cell>
          <cell r="N384" t="str">
            <v>10</v>
          </cell>
          <cell r="O384">
            <v>46034</v>
          </cell>
          <cell r="P384" t="str">
            <v>PRODUÇÃO DE JANEIRO DE 2026</v>
          </cell>
        </row>
        <row r="385">
          <cell r="B385" t="str">
            <v>049827020933.03.11473.02</v>
          </cell>
          <cell r="C385" t="str">
            <v>049827</v>
          </cell>
          <cell r="D385" t="str">
            <v>0209</v>
          </cell>
          <cell r="E385" t="str">
            <v>33.03.11473.02</v>
          </cell>
          <cell r="F385" t="str">
            <v>SUPORTE PLACA / 33.03.11473.02</v>
          </cell>
          <cell r="G385" t="str">
            <v>VMI TECNOLOGIAS LTDA</v>
          </cell>
          <cell r="H385">
            <v>45934</v>
          </cell>
          <cell r="I385" t="str">
            <v>MARCO</v>
          </cell>
          <cell r="J385">
            <v>330</v>
          </cell>
          <cell r="K385">
            <v>6.3</v>
          </cell>
          <cell r="L385">
            <v>2079</v>
          </cell>
          <cell r="M385" t="str">
            <v>APROVADO</v>
          </cell>
          <cell r="N385" t="str">
            <v>10</v>
          </cell>
          <cell r="O385">
            <v>46034</v>
          </cell>
          <cell r="P385" t="str">
            <v>PRODUÇÃO DE JANEIRO DE 2026</v>
          </cell>
        </row>
        <row r="386">
          <cell r="B386" t="str">
            <v>049827021233.03.11476.00</v>
          </cell>
          <cell r="C386" t="str">
            <v>049827</v>
          </cell>
          <cell r="D386" t="str">
            <v>0212</v>
          </cell>
          <cell r="E386" t="str">
            <v>33.03.11476.00</v>
          </cell>
          <cell r="F386" t="str">
            <v>TAMPA DA ESTEIRA - B - 33.03.11476.00</v>
          </cell>
          <cell r="G386" t="str">
            <v>VMI TECNOLOGIAS LTDA</v>
          </cell>
          <cell r="H386">
            <v>45934</v>
          </cell>
          <cell r="I386" t="str">
            <v>MARCO</v>
          </cell>
          <cell r="J386">
            <v>30</v>
          </cell>
          <cell r="K386">
            <v>55.905045000000001</v>
          </cell>
          <cell r="L386">
            <v>1677.15</v>
          </cell>
          <cell r="M386" t="str">
            <v>APROVADO</v>
          </cell>
          <cell r="N386" t="str">
            <v>10</v>
          </cell>
          <cell r="O386">
            <v>46034</v>
          </cell>
          <cell r="P386" t="str">
            <v>PRODUÇÃO DE JANEIRO DE 2026</v>
          </cell>
        </row>
        <row r="387">
          <cell r="B387" t="str">
            <v>049827021333.03.11477.00</v>
          </cell>
          <cell r="C387" t="str">
            <v>049827</v>
          </cell>
          <cell r="D387" t="str">
            <v>0213</v>
          </cell>
          <cell r="E387" t="str">
            <v>33.03.11477.00</v>
          </cell>
          <cell r="F387" t="str">
            <v>TAMPA DA ESTEIRA - A - 33.03.11477.00</v>
          </cell>
          <cell r="G387" t="str">
            <v>VMI TECNOLOGIAS LTDA</v>
          </cell>
          <cell r="H387">
            <v>45934</v>
          </cell>
          <cell r="I387" t="str">
            <v>MARCO</v>
          </cell>
          <cell r="J387">
            <v>30</v>
          </cell>
          <cell r="K387">
            <v>42.30303</v>
          </cell>
          <cell r="L387">
            <v>1269.0899999999999</v>
          </cell>
          <cell r="M387" t="str">
            <v>APROVADO</v>
          </cell>
          <cell r="N387" t="str">
            <v>10</v>
          </cell>
          <cell r="O387">
            <v>46034</v>
          </cell>
          <cell r="P387" t="str">
            <v>PRODUÇÃO DE JANEIRO DE 2026</v>
          </cell>
        </row>
        <row r="388">
          <cell r="B388" t="str">
            <v>049827021433.03.11478.00</v>
          </cell>
          <cell r="C388" t="str">
            <v>049827</v>
          </cell>
          <cell r="D388" t="str">
            <v>0214</v>
          </cell>
          <cell r="E388" t="str">
            <v>33.03.11478.00</v>
          </cell>
          <cell r="F388" t="str">
            <v>TAMPA DA ESTEIRA - C - 33.03.11478.00</v>
          </cell>
          <cell r="G388" t="str">
            <v>VMI TECNOLOGIAS LTDA</v>
          </cell>
          <cell r="H388">
            <v>45934</v>
          </cell>
          <cell r="I388" t="str">
            <v>MARCO</v>
          </cell>
          <cell r="J388">
            <v>60</v>
          </cell>
          <cell r="K388">
            <v>63.096705</v>
          </cell>
          <cell r="L388">
            <v>3785.8</v>
          </cell>
          <cell r="M388" t="str">
            <v>APROVADO</v>
          </cell>
          <cell r="N388" t="str">
            <v>10</v>
          </cell>
          <cell r="O388">
            <v>46034</v>
          </cell>
          <cell r="P388" t="str">
            <v>PRODUÇÃO DE JANEIRO DE 2026</v>
          </cell>
        </row>
        <row r="389">
          <cell r="B389" t="str">
            <v>049827021533.03.11479.00</v>
          </cell>
          <cell r="C389" t="str">
            <v>049827</v>
          </cell>
          <cell r="D389" t="str">
            <v>0215</v>
          </cell>
          <cell r="E389" t="str">
            <v>33.03.11479.00</v>
          </cell>
          <cell r="F389" t="str">
            <v>TAMPA DA ESTEIRA - D - 33.03.11479.00</v>
          </cell>
          <cell r="G389" t="str">
            <v>VMI TECNOLOGIAS LTDA</v>
          </cell>
          <cell r="H389">
            <v>45934</v>
          </cell>
          <cell r="I389" t="str">
            <v>MARCO</v>
          </cell>
          <cell r="J389">
            <v>150</v>
          </cell>
          <cell r="K389">
            <v>53.745719999999999</v>
          </cell>
          <cell r="L389">
            <v>8061.86</v>
          </cell>
          <cell r="M389" t="str">
            <v>APROVADO</v>
          </cell>
          <cell r="N389" t="str">
            <v>10</v>
          </cell>
          <cell r="O389">
            <v>46034</v>
          </cell>
          <cell r="P389" t="str">
            <v>PRODUÇÃO DE JANEIRO DE 2026</v>
          </cell>
        </row>
        <row r="390">
          <cell r="B390" t="str">
            <v>049827021733.03.11484.00</v>
          </cell>
          <cell r="C390" t="str">
            <v>049827</v>
          </cell>
          <cell r="D390" t="str">
            <v>0217</v>
          </cell>
          <cell r="E390" t="str">
            <v>33.03.11484.00</v>
          </cell>
          <cell r="F390" t="str">
            <v>REFORCO PARA CAIXA L / 33.03.11484.00</v>
          </cell>
          <cell r="G390" t="str">
            <v>VMI TECNOLOGIAS LTDA</v>
          </cell>
          <cell r="H390">
            <v>45934</v>
          </cell>
          <cell r="I390" t="str">
            <v>MARCO</v>
          </cell>
          <cell r="J390">
            <v>59</v>
          </cell>
          <cell r="K390">
            <v>26.6</v>
          </cell>
          <cell r="L390">
            <v>1596</v>
          </cell>
          <cell r="M390" t="str">
            <v>APROVADO</v>
          </cell>
          <cell r="N390" t="str">
            <v>10</v>
          </cell>
          <cell r="O390">
            <v>46034</v>
          </cell>
          <cell r="P390" t="str">
            <v>PRODUÇÃO DE JANEIRO DE 2026</v>
          </cell>
        </row>
        <row r="391">
          <cell r="B391" t="str">
            <v>049827022033.03.11505.03</v>
          </cell>
          <cell r="C391" t="str">
            <v>049827</v>
          </cell>
          <cell r="D391" t="str">
            <v>0220</v>
          </cell>
          <cell r="E391" t="str">
            <v>33.03.11505.03</v>
          </cell>
          <cell r="F391" t="str">
            <v>CONJUNTO PRINCIPAL CAIXA L 6040 SV / 33.03.11505.03</v>
          </cell>
          <cell r="G391" t="str">
            <v>VMI TECNOLOGIAS LTDA</v>
          </cell>
          <cell r="H391">
            <v>45934</v>
          </cell>
          <cell r="I391" t="str">
            <v>MARCO</v>
          </cell>
          <cell r="J391">
            <v>14</v>
          </cell>
          <cell r="K391">
            <v>209</v>
          </cell>
          <cell r="L391">
            <v>2926</v>
          </cell>
          <cell r="M391" t="str">
            <v>APROVADO</v>
          </cell>
          <cell r="N391" t="str">
            <v>10</v>
          </cell>
          <cell r="O391">
            <v>46034</v>
          </cell>
          <cell r="P391" t="str">
            <v>PRODUÇÃO DE JANEIRO DE 2026</v>
          </cell>
        </row>
        <row r="392">
          <cell r="B392" t="str">
            <v>049827022233.03.11512.00</v>
          </cell>
          <cell r="C392" t="str">
            <v>049827</v>
          </cell>
          <cell r="D392" t="str">
            <v>0222</v>
          </cell>
          <cell r="E392" t="str">
            <v>33.03.11512.00</v>
          </cell>
          <cell r="F392" t="str">
            <v>CHAPA TAMPA HORIZONTAL 6040 SV / 33.03.11512.00</v>
          </cell>
          <cell r="G392" t="str">
            <v>VMI TECNOLOGIAS LTDA</v>
          </cell>
          <cell r="H392">
            <v>45934</v>
          </cell>
          <cell r="I392" t="str">
            <v>MARCO</v>
          </cell>
          <cell r="J392">
            <v>2</v>
          </cell>
          <cell r="K392">
            <v>49.297499999999999</v>
          </cell>
          <cell r="L392">
            <v>739.46</v>
          </cell>
          <cell r="M392" t="str">
            <v>APROVADO</v>
          </cell>
          <cell r="N392" t="str">
            <v>10</v>
          </cell>
          <cell r="O392">
            <v>46034</v>
          </cell>
          <cell r="P392" t="str">
            <v>PRODUÇÃO DE JANEIRO DE 2026</v>
          </cell>
        </row>
        <row r="393">
          <cell r="B393" t="str">
            <v>049827022333.03.11513.00</v>
          </cell>
          <cell r="C393" t="str">
            <v>049827</v>
          </cell>
          <cell r="D393" t="str">
            <v>0223</v>
          </cell>
          <cell r="E393" t="str">
            <v>33.03.11513.00</v>
          </cell>
          <cell r="F393" t="str">
            <v>CHAPA TAMPA VERTICAL 6040 SV / 33.03.11513.00</v>
          </cell>
          <cell r="G393" t="str">
            <v>VMI TECNOLOGIAS LTDA</v>
          </cell>
          <cell r="H393">
            <v>45934</v>
          </cell>
          <cell r="I393" t="str">
            <v>MARCO</v>
          </cell>
          <cell r="J393">
            <v>14</v>
          </cell>
          <cell r="K393">
            <v>36.886499999999998</v>
          </cell>
          <cell r="L393">
            <v>516.41</v>
          </cell>
          <cell r="M393" t="str">
            <v>APROVADO</v>
          </cell>
          <cell r="N393" t="str">
            <v>10</v>
          </cell>
          <cell r="O393">
            <v>46034</v>
          </cell>
          <cell r="P393" t="str">
            <v>PRODUÇÃO DE JANEIRO DE 2026</v>
          </cell>
        </row>
        <row r="394">
          <cell r="B394" t="str">
            <v>049827022633.03.11517.00</v>
          </cell>
          <cell r="C394" t="str">
            <v>049827</v>
          </cell>
          <cell r="D394" t="str">
            <v>0226</v>
          </cell>
          <cell r="E394" t="str">
            <v>33.03.11517.00</v>
          </cell>
          <cell r="F394" t="str">
            <v>CHAPA DE FIXACAO DA CAIXA L 6040 SV - 33.03.11517.00</v>
          </cell>
          <cell r="G394" t="str">
            <v>VMI TECNOLOGIAS LTDA</v>
          </cell>
          <cell r="H394">
            <v>45934</v>
          </cell>
          <cell r="I394" t="str">
            <v>MARCO</v>
          </cell>
          <cell r="J394">
            <v>14</v>
          </cell>
          <cell r="K394">
            <v>5.13</v>
          </cell>
          <cell r="L394">
            <v>71.819999999999993</v>
          </cell>
          <cell r="M394" t="str">
            <v>APROVADO</v>
          </cell>
          <cell r="N394" t="str">
            <v>10</v>
          </cell>
          <cell r="O394">
            <v>46034</v>
          </cell>
          <cell r="P394" t="str">
            <v>PRODUÇÃO DE JANEIRO DE 2026</v>
          </cell>
        </row>
        <row r="395">
          <cell r="B395" t="str">
            <v>049827022733.03.11519.01</v>
          </cell>
          <cell r="C395" t="str">
            <v>049827</v>
          </cell>
          <cell r="D395" t="str">
            <v>0227</v>
          </cell>
          <cell r="E395" t="str">
            <v>33.03.11519.01</v>
          </cell>
          <cell r="F395" t="str">
            <v>CHAPA REFORCO TRANSVERSAL CAIXA L 6040 SV / 33.03.11519.01</v>
          </cell>
          <cell r="G395" t="str">
            <v>VMI TECNOLOGIAS LTDA</v>
          </cell>
          <cell r="H395">
            <v>45934</v>
          </cell>
          <cell r="I395" t="str">
            <v>MARCO</v>
          </cell>
          <cell r="J395">
            <v>14</v>
          </cell>
          <cell r="K395">
            <v>18.059999999999999</v>
          </cell>
          <cell r="L395">
            <v>252.84</v>
          </cell>
          <cell r="M395" t="str">
            <v>APROVADO</v>
          </cell>
          <cell r="N395" t="str">
            <v>10</v>
          </cell>
          <cell r="O395">
            <v>46034</v>
          </cell>
          <cell r="P395" t="str">
            <v>PRODUÇÃO DE JANEIRO DE 2026</v>
          </cell>
        </row>
        <row r="396">
          <cell r="B396" t="str">
            <v>049827022933.03.11632.01</v>
          </cell>
          <cell r="C396" t="str">
            <v>049827</v>
          </cell>
          <cell r="D396" t="str">
            <v>0229</v>
          </cell>
          <cell r="E396" t="str">
            <v>33.03.11632.01</v>
          </cell>
          <cell r="F396" t="str">
            <v>LATERAL CAIXA U / B / 33.03.11632.01</v>
          </cell>
          <cell r="G396" t="str">
            <v>VMI TECNOLOGIAS LTDA</v>
          </cell>
          <cell r="H396">
            <v>45934</v>
          </cell>
          <cell r="I396" t="str">
            <v>MARCO</v>
          </cell>
          <cell r="J396">
            <v>2</v>
          </cell>
          <cell r="K396">
            <v>132.85650000000001</v>
          </cell>
          <cell r="L396">
            <v>3985.7</v>
          </cell>
          <cell r="M396" t="str">
            <v>APROVADO</v>
          </cell>
          <cell r="N396" t="str">
            <v>10</v>
          </cell>
          <cell r="O396">
            <v>46034</v>
          </cell>
          <cell r="P396" t="str">
            <v>PRODUÇÃO DE JANEIRO DE 2026</v>
          </cell>
        </row>
        <row r="397">
          <cell r="B397" t="str">
            <v>049827023033.03.90024.00</v>
          </cell>
          <cell r="C397" t="str">
            <v>049827</v>
          </cell>
          <cell r="D397" t="str">
            <v>0230</v>
          </cell>
          <cell r="E397" t="str">
            <v>33.03.90024.00</v>
          </cell>
          <cell r="F397" t="str">
            <v>TAMPA SDAQ / 33.03.90024.00</v>
          </cell>
          <cell r="G397" t="str">
            <v>VMI TECNOLOGIAS LTDA</v>
          </cell>
          <cell r="H397">
            <v>45934</v>
          </cell>
          <cell r="I397" t="str">
            <v>MARCO</v>
          </cell>
          <cell r="J397">
            <v>5</v>
          </cell>
          <cell r="K397">
            <v>30.45</v>
          </cell>
          <cell r="L397">
            <v>152.25</v>
          </cell>
          <cell r="M397" t="str">
            <v>APROVADO</v>
          </cell>
          <cell r="N397" t="str">
            <v>10</v>
          </cell>
          <cell r="O397">
            <v>46034</v>
          </cell>
          <cell r="P397" t="str">
            <v>PRODUÇÃO DE JANEIRO DE 2026</v>
          </cell>
        </row>
        <row r="398">
          <cell r="B398" t="str">
            <v>049827023133.04.10001.00</v>
          </cell>
          <cell r="C398" t="str">
            <v>049827</v>
          </cell>
          <cell r="D398" t="str">
            <v>0231</v>
          </cell>
          <cell r="E398" t="str">
            <v>33.04.10001.00</v>
          </cell>
          <cell r="F398" t="str">
            <v>SUPORTE DA INTERLOCK / 33.04.10001.00</v>
          </cell>
          <cell r="G398" t="str">
            <v>VMI TECNOLOGIAS LTDA</v>
          </cell>
          <cell r="H398">
            <v>45934</v>
          </cell>
          <cell r="I398" t="str">
            <v>MARCO</v>
          </cell>
          <cell r="J398">
            <v>10</v>
          </cell>
          <cell r="K398">
            <v>5.2</v>
          </cell>
          <cell r="L398">
            <v>52</v>
          </cell>
          <cell r="M398" t="str">
            <v>APROVADO</v>
          </cell>
          <cell r="N398" t="str">
            <v>10</v>
          </cell>
          <cell r="O398">
            <v>46034</v>
          </cell>
          <cell r="P398" t="str">
            <v>PRODUÇÃO DE JANEIRO DE 2026</v>
          </cell>
        </row>
        <row r="399">
          <cell r="B399" t="str">
            <v>049827023433.04.10011.00</v>
          </cell>
          <cell r="C399" t="str">
            <v>049827</v>
          </cell>
          <cell r="D399" t="str">
            <v>0234</v>
          </cell>
          <cell r="E399" t="str">
            <v>33.04.10011.00</v>
          </cell>
          <cell r="F399" t="str">
            <v>CHAPA PORTA VERTICAL CAIXA L VMIS 5536 / 33.04.10011.00</v>
          </cell>
          <cell r="G399" t="str">
            <v>VMI TECNOLOGIAS LTDA</v>
          </cell>
          <cell r="H399">
            <v>45934</v>
          </cell>
          <cell r="I399" t="str">
            <v>MARCO</v>
          </cell>
          <cell r="J399">
            <v>1</v>
          </cell>
          <cell r="K399">
            <v>46.9</v>
          </cell>
          <cell r="L399">
            <v>234.5</v>
          </cell>
          <cell r="M399" t="str">
            <v>APROVADO</v>
          </cell>
          <cell r="N399" t="str">
            <v>10</v>
          </cell>
          <cell r="O399">
            <v>46034</v>
          </cell>
          <cell r="P399" t="str">
            <v>PRODUÇÃO DE JANEIRO DE 2026</v>
          </cell>
        </row>
        <row r="400">
          <cell r="B400" t="str">
            <v>049827023833.04.10016.00</v>
          </cell>
          <cell r="C400" t="str">
            <v>049827</v>
          </cell>
          <cell r="D400" t="str">
            <v>0238</v>
          </cell>
          <cell r="E400" t="str">
            <v>33.04.10016.00</v>
          </cell>
          <cell r="F400" t="str">
            <v>SUPORTE DETECTOR VMIS CAIXA L 5536 / 33.04.10016.00</v>
          </cell>
          <cell r="G400" t="str">
            <v>VMI TECNOLOGIAS LTDA</v>
          </cell>
          <cell r="H400">
            <v>45934</v>
          </cell>
          <cell r="I400" t="str">
            <v>MARCO</v>
          </cell>
          <cell r="J400">
            <v>40</v>
          </cell>
          <cell r="K400">
            <v>14.95</v>
          </cell>
          <cell r="L400">
            <v>598</v>
          </cell>
          <cell r="M400" t="str">
            <v>APROVADO</v>
          </cell>
          <cell r="N400" t="str">
            <v>10</v>
          </cell>
          <cell r="O400">
            <v>46034</v>
          </cell>
          <cell r="P400" t="str">
            <v>PRODUÇÃO DE JANEIRO DE 2026</v>
          </cell>
        </row>
        <row r="401">
          <cell r="B401" t="str">
            <v>049827024233.08.10000.00</v>
          </cell>
          <cell r="C401" t="str">
            <v>049827</v>
          </cell>
          <cell r="D401" t="str">
            <v>0242</v>
          </cell>
          <cell r="E401" t="str">
            <v>33.08.10000.00</v>
          </cell>
          <cell r="F401" t="str">
            <v>PERFIL / 33.08.10000.00</v>
          </cell>
          <cell r="G401" t="str">
            <v>VMI TECNOLOGIAS LTDA</v>
          </cell>
          <cell r="H401">
            <v>45934</v>
          </cell>
          <cell r="I401" t="str">
            <v>MARCO</v>
          </cell>
          <cell r="J401">
            <v>8</v>
          </cell>
          <cell r="K401">
            <v>204.351</v>
          </cell>
          <cell r="L401">
            <v>1634.81</v>
          </cell>
          <cell r="M401" t="str">
            <v>APROVADO</v>
          </cell>
          <cell r="N401" t="str">
            <v>10</v>
          </cell>
          <cell r="O401">
            <v>46034</v>
          </cell>
          <cell r="P401" t="str">
            <v>PRODUÇÃO DE JANEIRO DE 2026</v>
          </cell>
        </row>
        <row r="402">
          <cell r="B402" t="str">
            <v>049827024333.08.10002.00</v>
          </cell>
          <cell r="C402" t="str">
            <v>049827</v>
          </cell>
          <cell r="D402" t="str">
            <v>0243</v>
          </cell>
          <cell r="E402" t="str">
            <v>33.08.10002.00</v>
          </cell>
          <cell r="F402" t="str">
            <v>PERFIL / 33.08.10002.00</v>
          </cell>
          <cell r="G402" t="str">
            <v>VMI TECNOLOGIAS LTDA</v>
          </cell>
          <cell r="H402">
            <v>45934</v>
          </cell>
          <cell r="I402" t="str">
            <v>MARCO</v>
          </cell>
          <cell r="J402">
            <v>2</v>
          </cell>
          <cell r="K402">
            <v>71.158500000000004</v>
          </cell>
          <cell r="L402">
            <v>142.32</v>
          </cell>
          <cell r="M402" t="str">
            <v>APROVADO</v>
          </cell>
          <cell r="N402" t="str">
            <v>10</v>
          </cell>
          <cell r="O402">
            <v>46034</v>
          </cell>
          <cell r="P402" t="str">
            <v>PRODUÇÃO DE JANEIRO DE 2026</v>
          </cell>
        </row>
        <row r="403">
          <cell r="B403" t="str">
            <v>049827024433.08.10004.00</v>
          </cell>
          <cell r="C403" t="str">
            <v>049827</v>
          </cell>
          <cell r="D403" t="str">
            <v>0244</v>
          </cell>
          <cell r="E403" t="str">
            <v>33.08.10004.00</v>
          </cell>
          <cell r="F403" t="str">
            <v>PERFIL / 33.08.10004.00</v>
          </cell>
          <cell r="G403" t="str">
            <v>VMI TECNOLOGIAS LTDA</v>
          </cell>
          <cell r="H403">
            <v>45934</v>
          </cell>
          <cell r="I403" t="str">
            <v>MARCO</v>
          </cell>
          <cell r="J403">
            <v>4</v>
          </cell>
          <cell r="K403">
            <v>256.78800000000001</v>
          </cell>
          <cell r="L403">
            <v>1027.1500000000001</v>
          </cell>
          <cell r="M403" t="str">
            <v>APROVADO</v>
          </cell>
          <cell r="N403" t="str">
            <v>10</v>
          </cell>
          <cell r="O403">
            <v>46034</v>
          </cell>
          <cell r="P403" t="str">
            <v>PRODUÇÃO DE JANEIRO DE 2026</v>
          </cell>
        </row>
        <row r="404">
          <cell r="B404" t="str">
            <v>049827024533.08.10006.00</v>
          </cell>
          <cell r="C404" t="str">
            <v>049827</v>
          </cell>
          <cell r="D404" t="str">
            <v>0245</v>
          </cell>
          <cell r="E404" t="str">
            <v>33.08.10006.00</v>
          </cell>
          <cell r="F404" t="str">
            <v>PERFIL / 33.08.10006.00</v>
          </cell>
          <cell r="G404" t="str">
            <v>VMI TECNOLOGIAS LTDA</v>
          </cell>
          <cell r="H404">
            <v>45934</v>
          </cell>
          <cell r="I404" t="str">
            <v>MARCO</v>
          </cell>
          <cell r="J404">
            <v>2</v>
          </cell>
          <cell r="K404">
            <v>79.191000000000003</v>
          </cell>
          <cell r="L404">
            <v>158.38</v>
          </cell>
          <cell r="M404" t="str">
            <v>APROVADO</v>
          </cell>
          <cell r="N404" t="str">
            <v>10</v>
          </cell>
          <cell r="O404">
            <v>46034</v>
          </cell>
          <cell r="P404" t="str">
            <v>PRODUÇÃO DE JANEIRO DE 2026</v>
          </cell>
        </row>
        <row r="405">
          <cell r="B405" t="str">
            <v>049827024633.08.10008.00</v>
          </cell>
          <cell r="C405" t="str">
            <v>049827</v>
          </cell>
          <cell r="D405" t="str">
            <v>0246</v>
          </cell>
          <cell r="E405" t="str">
            <v>33.08.10008.00</v>
          </cell>
          <cell r="F405" t="str">
            <v>PERFIL / 33.08.10008.00</v>
          </cell>
          <cell r="G405" t="str">
            <v>VMI TECNOLOGIAS LTDA</v>
          </cell>
          <cell r="H405">
            <v>45934</v>
          </cell>
          <cell r="I405" t="str">
            <v>MARCO</v>
          </cell>
          <cell r="J405">
            <v>4</v>
          </cell>
          <cell r="K405">
            <v>51.533999999999999</v>
          </cell>
          <cell r="L405">
            <v>206.14</v>
          </cell>
          <cell r="M405" t="str">
            <v>APROVADO</v>
          </cell>
          <cell r="N405" t="str">
            <v>10</v>
          </cell>
          <cell r="O405">
            <v>46034</v>
          </cell>
          <cell r="P405" t="str">
            <v>PRODUÇÃO DE JANEIRO DE 2026</v>
          </cell>
        </row>
        <row r="406">
          <cell r="B406" t="str">
            <v>049827024733.08.10014.00</v>
          </cell>
          <cell r="C406" t="str">
            <v>049827</v>
          </cell>
          <cell r="D406" t="str">
            <v>0247</v>
          </cell>
          <cell r="E406" t="str">
            <v>33.08.10014.00</v>
          </cell>
          <cell r="F406" t="str">
            <v>REFORCO DO PERFIL / 33.08.10014.00</v>
          </cell>
          <cell r="G406" t="str">
            <v>VMI TECNOLOGIAS LTDA</v>
          </cell>
          <cell r="H406">
            <v>45934</v>
          </cell>
          <cell r="I406" t="str">
            <v>MARCO</v>
          </cell>
          <cell r="J406">
            <v>12</v>
          </cell>
          <cell r="K406">
            <v>8.7464999999999993</v>
          </cell>
          <cell r="L406">
            <v>104.96</v>
          </cell>
          <cell r="M406" t="str">
            <v>APROVADO</v>
          </cell>
          <cell r="N406" t="str">
            <v>10</v>
          </cell>
          <cell r="O406">
            <v>46034</v>
          </cell>
          <cell r="P406" t="str">
            <v>PRODUÇÃO DE JANEIRO DE 2026</v>
          </cell>
        </row>
        <row r="407">
          <cell r="B407" t="str">
            <v>049827024833.08.10015.00</v>
          </cell>
          <cell r="C407" t="str">
            <v>049827</v>
          </cell>
          <cell r="D407" t="str">
            <v>0248</v>
          </cell>
          <cell r="E407" t="str">
            <v>33.08.10015.00</v>
          </cell>
          <cell r="F407" t="str">
            <v>BASE PARA PE NIVELADOR / 33.08.10015.00</v>
          </cell>
          <cell r="G407" t="str">
            <v>VMI TECNOLOGIAS LTDA</v>
          </cell>
          <cell r="H407">
            <v>45934</v>
          </cell>
          <cell r="I407" t="str">
            <v>MARCO</v>
          </cell>
          <cell r="J407">
            <v>64</v>
          </cell>
          <cell r="K407">
            <v>14.869028999999999</v>
          </cell>
          <cell r="L407">
            <v>951.62</v>
          </cell>
          <cell r="M407" t="str">
            <v>APROVADO</v>
          </cell>
          <cell r="N407" t="str">
            <v>10</v>
          </cell>
          <cell r="O407">
            <v>46034</v>
          </cell>
          <cell r="P407" t="str">
            <v>PRODUÇÃO DE JANEIRO DE 2026</v>
          </cell>
        </row>
        <row r="408">
          <cell r="B408" t="str">
            <v>049827025033.08.10019.02</v>
          </cell>
          <cell r="C408" t="str">
            <v>049827</v>
          </cell>
          <cell r="D408" t="str">
            <v>0250</v>
          </cell>
          <cell r="E408" t="str">
            <v>33.08.10019.02</v>
          </cell>
          <cell r="F408" t="str">
            <v>CHAPA FECHAMENTO FUNDO / 33.08.10019.02</v>
          </cell>
          <cell r="G408" t="str">
            <v>VMI TECNOLOGIAS LTDA</v>
          </cell>
          <cell r="H408">
            <v>45934</v>
          </cell>
          <cell r="I408" t="str">
            <v>MARCO</v>
          </cell>
          <cell r="J408">
            <v>1</v>
          </cell>
          <cell r="K408">
            <v>54.473999999999997</v>
          </cell>
          <cell r="L408">
            <v>108.95</v>
          </cell>
          <cell r="M408" t="str">
            <v>APROVADO</v>
          </cell>
          <cell r="N408" t="str">
            <v>10</v>
          </cell>
          <cell r="O408">
            <v>46034</v>
          </cell>
          <cell r="P408" t="str">
            <v>PRODUÇÃO DE JANEIRO DE 2026</v>
          </cell>
        </row>
        <row r="409">
          <cell r="B409" t="str">
            <v>049827025333.08.10024.00</v>
          </cell>
          <cell r="C409" t="str">
            <v>049827</v>
          </cell>
          <cell r="D409" t="str">
            <v>0253</v>
          </cell>
          <cell r="E409" t="str">
            <v>33.08.10024.00</v>
          </cell>
          <cell r="F409" t="str">
            <v>CHAPA FECHAMENTO FUNDO / 33.08.10024.00</v>
          </cell>
          <cell r="G409" t="str">
            <v>VMI TECNOLOGIAS LTDA</v>
          </cell>
          <cell r="H409">
            <v>45934</v>
          </cell>
          <cell r="I409" t="str">
            <v>MARCO</v>
          </cell>
          <cell r="J409">
            <v>2</v>
          </cell>
          <cell r="K409">
            <v>45.024000000000001</v>
          </cell>
          <cell r="L409">
            <v>90.05</v>
          </cell>
          <cell r="M409" t="str">
            <v>APROVADO</v>
          </cell>
          <cell r="N409" t="str">
            <v>10</v>
          </cell>
          <cell r="O409">
            <v>46034</v>
          </cell>
          <cell r="P409" t="str">
            <v>PRODUÇÃO DE JANEIRO DE 2026</v>
          </cell>
        </row>
        <row r="410">
          <cell r="B410" t="str">
            <v>049827025533.08.10026.00</v>
          </cell>
          <cell r="C410" t="str">
            <v>049827</v>
          </cell>
          <cell r="D410" t="str">
            <v>0255</v>
          </cell>
          <cell r="E410" t="str">
            <v>33.08.10026.00</v>
          </cell>
          <cell r="F410" t="str">
            <v>MONTAGEM COLUNA / 33.08.10026.00</v>
          </cell>
          <cell r="G410" t="str">
            <v>VMI TECNOLOGIAS LTDA</v>
          </cell>
          <cell r="H410">
            <v>45934</v>
          </cell>
          <cell r="I410" t="str">
            <v>MARCO</v>
          </cell>
          <cell r="J410">
            <v>12</v>
          </cell>
          <cell r="K410">
            <v>199.542</v>
          </cell>
          <cell r="L410">
            <v>2394.5</v>
          </cell>
          <cell r="M410" t="str">
            <v>APROVADO</v>
          </cell>
          <cell r="N410" t="str">
            <v>10</v>
          </cell>
          <cell r="O410">
            <v>46034</v>
          </cell>
          <cell r="P410" t="str">
            <v>PRODUÇÃO DE JANEIRO DE 2026</v>
          </cell>
        </row>
        <row r="411">
          <cell r="B411" t="str">
            <v>049827025633.08.10029.00</v>
          </cell>
          <cell r="C411" t="str">
            <v>049827</v>
          </cell>
          <cell r="D411" t="str">
            <v>0256</v>
          </cell>
          <cell r="E411" t="str">
            <v>33.08.10029.00</v>
          </cell>
          <cell r="F411" t="str">
            <v>MONTAGEM COLUNA / 33.08.10029.00</v>
          </cell>
          <cell r="G411" t="str">
            <v>VMI TECNOLOGIAS LTDA</v>
          </cell>
          <cell r="H411">
            <v>45934</v>
          </cell>
          <cell r="I411" t="str">
            <v>MARCO</v>
          </cell>
          <cell r="J411">
            <v>4</v>
          </cell>
          <cell r="K411">
            <v>149.79300000000001</v>
          </cell>
          <cell r="L411">
            <v>599.16999999999996</v>
          </cell>
          <cell r="M411" t="str">
            <v>APROVADO</v>
          </cell>
          <cell r="N411" t="str">
            <v>10</v>
          </cell>
          <cell r="O411">
            <v>46034</v>
          </cell>
          <cell r="P411" t="str">
            <v>PRODUÇÃO DE JANEIRO DE 2026</v>
          </cell>
        </row>
        <row r="412">
          <cell r="B412" t="str">
            <v>049827025733.08.10031.00</v>
          </cell>
          <cell r="C412" t="str">
            <v>049827</v>
          </cell>
          <cell r="D412" t="str">
            <v>0257</v>
          </cell>
          <cell r="E412" t="str">
            <v>33.08.10031.00</v>
          </cell>
          <cell r="F412" t="str">
            <v>COLUNA / 33.08.10031.00</v>
          </cell>
          <cell r="G412" t="str">
            <v>VMI TECNOLOGIAS LTDA</v>
          </cell>
          <cell r="H412">
            <v>45934</v>
          </cell>
          <cell r="I412" t="str">
            <v>MARCO</v>
          </cell>
          <cell r="J412">
            <v>4</v>
          </cell>
          <cell r="K412">
            <v>42.472499999999997</v>
          </cell>
          <cell r="L412">
            <v>169.89</v>
          </cell>
          <cell r="M412" t="str">
            <v>APROVADO</v>
          </cell>
          <cell r="N412" t="str">
            <v>10</v>
          </cell>
          <cell r="O412">
            <v>46034</v>
          </cell>
          <cell r="P412" t="str">
            <v>PRODUÇÃO DE JANEIRO DE 2026</v>
          </cell>
        </row>
        <row r="413">
          <cell r="B413" t="str">
            <v>049827025833.08.10038.00</v>
          </cell>
          <cell r="C413" t="str">
            <v>049827</v>
          </cell>
          <cell r="D413" t="str">
            <v>0258</v>
          </cell>
          <cell r="E413" t="str">
            <v>33.08.10038.00</v>
          </cell>
          <cell r="F413" t="str">
            <v>TRAVE INFERIOR / 33.08.10038.00</v>
          </cell>
          <cell r="G413" t="str">
            <v>VMI TECNOLOGIAS LTDA</v>
          </cell>
          <cell r="H413">
            <v>45934</v>
          </cell>
          <cell r="I413" t="str">
            <v>MARCO</v>
          </cell>
          <cell r="J413">
            <v>4</v>
          </cell>
          <cell r="K413">
            <v>110.523</v>
          </cell>
          <cell r="L413">
            <v>442.09</v>
          </cell>
          <cell r="M413" t="str">
            <v>APROVADO</v>
          </cell>
          <cell r="N413" t="str">
            <v>10</v>
          </cell>
          <cell r="O413">
            <v>46034</v>
          </cell>
          <cell r="P413" t="str">
            <v>PRODUÇÃO DE JANEIRO DE 2026</v>
          </cell>
        </row>
        <row r="414">
          <cell r="B414" t="str">
            <v>049827025933.08.10040.00</v>
          </cell>
          <cell r="C414" t="str">
            <v>049827</v>
          </cell>
          <cell r="D414" t="str">
            <v>0259</v>
          </cell>
          <cell r="E414" t="str">
            <v>33.08.10040.00</v>
          </cell>
          <cell r="F414" t="str">
            <v>TRAVE INFERIOR / 33.08.10040.00</v>
          </cell>
          <cell r="G414" t="str">
            <v>VMI TECNOLOGIAS LTDA</v>
          </cell>
          <cell r="H414">
            <v>45934</v>
          </cell>
          <cell r="I414" t="str">
            <v>MARCO</v>
          </cell>
          <cell r="J414">
            <v>4</v>
          </cell>
          <cell r="K414">
            <v>107.61450000000001</v>
          </cell>
          <cell r="L414">
            <v>430.46</v>
          </cell>
          <cell r="M414" t="str">
            <v>APROVADO</v>
          </cell>
          <cell r="N414" t="str">
            <v>10</v>
          </cell>
          <cell r="O414">
            <v>46034</v>
          </cell>
          <cell r="P414" t="str">
            <v>PRODUÇÃO DE JANEIRO DE 2026</v>
          </cell>
        </row>
        <row r="415">
          <cell r="B415" t="str">
            <v>049827026033.08.10042.00</v>
          </cell>
          <cell r="C415" t="str">
            <v>049827</v>
          </cell>
          <cell r="D415" t="str">
            <v>0260</v>
          </cell>
          <cell r="E415" t="str">
            <v>33.08.10042.00</v>
          </cell>
          <cell r="F415" t="str">
            <v>LONGARINA TUNEL / 33.08.10042.00</v>
          </cell>
          <cell r="G415" t="str">
            <v>VMI TECNOLOGIAS LTDA</v>
          </cell>
          <cell r="H415">
            <v>45934</v>
          </cell>
          <cell r="I415" t="str">
            <v>MARCO</v>
          </cell>
          <cell r="J415">
            <v>2</v>
          </cell>
          <cell r="K415">
            <v>294.44099999999997</v>
          </cell>
          <cell r="L415">
            <v>588.88</v>
          </cell>
          <cell r="M415" t="str">
            <v>APROVADO</v>
          </cell>
          <cell r="N415" t="str">
            <v>10</v>
          </cell>
          <cell r="O415">
            <v>46034</v>
          </cell>
          <cell r="P415" t="str">
            <v>PRODUÇÃO DE JANEIRO DE 2026</v>
          </cell>
        </row>
        <row r="416">
          <cell r="B416" t="str">
            <v>049827026133.08.10045.00</v>
          </cell>
          <cell r="C416" t="str">
            <v>049827</v>
          </cell>
          <cell r="D416" t="str">
            <v>0261</v>
          </cell>
          <cell r="E416" t="str">
            <v>33.08.10045.00</v>
          </cell>
          <cell r="F416" t="str">
            <v>LONGARINA TUNEL / 33.08.10045.00</v>
          </cell>
          <cell r="G416" t="str">
            <v>VMI TECNOLOGIAS LTDA</v>
          </cell>
          <cell r="H416">
            <v>45934</v>
          </cell>
          <cell r="I416" t="str">
            <v>MARCO</v>
          </cell>
          <cell r="J416">
            <v>2</v>
          </cell>
          <cell r="K416">
            <v>185.619</v>
          </cell>
          <cell r="L416">
            <v>371.24</v>
          </cell>
          <cell r="M416" t="str">
            <v>APROVADO</v>
          </cell>
          <cell r="N416" t="str">
            <v>10</v>
          </cell>
          <cell r="O416">
            <v>46034</v>
          </cell>
          <cell r="P416" t="str">
            <v>PRODUÇÃO DE JANEIRO DE 2026</v>
          </cell>
        </row>
        <row r="417">
          <cell r="B417" t="str">
            <v>049827026233.08.10047.00</v>
          </cell>
          <cell r="C417" t="str">
            <v>049827</v>
          </cell>
          <cell r="D417" t="str">
            <v>0262</v>
          </cell>
          <cell r="E417" t="str">
            <v>33.08.10047.00</v>
          </cell>
          <cell r="F417" t="str">
            <v>LONGARINA TUNEL / 33.08.10047.00</v>
          </cell>
          <cell r="G417" t="str">
            <v>VMI TECNOLOGIAS LTDA</v>
          </cell>
          <cell r="H417">
            <v>45934</v>
          </cell>
          <cell r="I417" t="str">
            <v>MARCO</v>
          </cell>
          <cell r="J417">
            <v>2</v>
          </cell>
          <cell r="K417">
            <v>151.10550000000001</v>
          </cell>
          <cell r="L417">
            <v>302.20999999999998</v>
          </cell>
          <cell r="M417" t="str">
            <v>APROVADO</v>
          </cell>
          <cell r="N417" t="str">
            <v>10</v>
          </cell>
          <cell r="O417">
            <v>46034</v>
          </cell>
          <cell r="P417" t="str">
            <v>PRODUÇÃO DE JANEIRO DE 2026</v>
          </cell>
        </row>
        <row r="418">
          <cell r="B418" t="str">
            <v>049827026333.08.10049.00</v>
          </cell>
          <cell r="C418" t="str">
            <v>049827</v>
          </cell>
          <cell r="D418" t="str">
            <v>0263</v>
          </cell>
          <cell r="E418" t="str">
            <v>33.08.10049.00</v>
          </cell>
          <cell r="F418" t="str">
            <v>MAO FRANCESA COLUNAS / 33.08.10049.00</v>
          </cell>
          <cell r="G418" t="str">
            <v>VMI TECNOLOGIAS LTDA</v>
          </cell>
          <cell r="H418">
            <v>45934</v>
          </cell>
          <cell r="I418" t="str">
            <v>MARCO</v>
          </cell>
          <cell r="J418">
            <v>8</v>
          </cell>
          <cell r="K418">
            <v>19.099499999999999</v>
          </cell>
          <cell r="L418">
            <v>152.80000000000001</v>
          </cell>
          <cell r="M418" t="str">
            <v>APROVADO</v>
          </cell>
          <cell r="N418" t="str">
            <v>10</v>
          </cell>
          <cell r="O418">
            <v>46034</v>
          </cell>
          <cell r="P418" t="str">
            <v>PRODUÇÃO DE JANEIRO DE 2026</v>
          </cell>
        </row>
        <row r="419">
          <cell r="B419" t="str">
            <v>049827026433.08.10050.00</v>
          </cell>
          <cell r="C419" t="str">
            <v>049827</v>
          </cell>
          <cell r="D419" t="str">
            <v>0264</v>
          </cell>
          <cell r="E419" t="str">
            <v>33.08.10050.00</v>
          </cell>
          <cell r="F419" t="str">
            <v>PERFIL / 33.08.10050.00</v>
          </cell>
          <cell r="G419" t="str">
            <v>VMI TECNOLOGIAS LTDA</v>
          </cell>
          <cell r="H419">
            <v>45934</v>
          </cell>
          <cell r="I419" t="str">
            <v>MARCO</v>
          </cell>
          <cell r="J419">
            <v>1</v>
          </cell>
          <cell r="K419">
            <v>190.7955</v>
          </cell>
          <cell r="L419">
            <v>381.59</v>
          </cell>
          <cell r="M419" t="str">
            <v>APROVADO</v>
          </cell>
          <cell r="N419" t="str">
            <v>10</v>
          </cell>
          <cell r="O419">
            <v>46034</v>
          </cell>
          <cell r="P419" t="str">
            <v>PRODUÇÃO DE JANEIRO DE 2026</v>
          </cell>
        </row>
        <row r="420">
          <cell r="B420" t="str">
            <v>049827026633.08.10057.00</v>
          </cell>
          <cell r="C420" t="str">
            <v>049827</v>
          </cell>
          <cell r="D420" t="str">
            <v>0266</v>
          </cell>
          <cell r="E420" t="str">
            <v>33.08.10057.00</v>
          </cell>
          <cell r="F420" t="str">
            <v>PERFIL TRAVAMENTO / 33.08.10057.00</v>
          </cell>
          <cell r="G420" t="str">
            <v>VMI TECNOLOGIAS LTDA</v>
          </cell>
          <cell r="H420">
            <v>45934</v>
          </cell>
          <cell r="I420" t="str">
            <v>MARCO</v>
          </cell>
          <cell r="J420">
            <v>4</v>
          </cell>
          <cell r="K420">
            <v>69.583500000000001</v>
          </cell>
          <cell r="L420">
            <v>278.33</v>
          </cell>
          <cell r="M420" t="str">
            <v>APROVADO</v>
          </cell>
          <cell r="N420" t="str">
            <v>10</v>
          </cell>
          <cell r="O420">
            <v>46034</v>
          </cell>
          <cell r="P420" t="str">
            <v>PRODUÇÃO DE JANEIRO DE 2026</v>
          </cell>
        </row>
        <row r="421">
          <cell r="B421" t="str">
            <v>049827026733.08.10058.00</v>
          </cell>
          <cell r="C421" t="str">
            <v>049827</v>
          </cell>
          <cell r="D421" t="str">
            <v>0267</v>
          </cell>
          <cell r="E421" t="str">
            <v>33.08.10058.00</v>
          </cell>
          <cell r="F421" t="str">
            <v>PERFIL REFORCO BASE / 33.08.10058.00</v>
          </cell>
          <cell r="G421" t="str">
            <v>VMI TECNOLOGIAS LTDA</v>
          </cell>
          <cell r="H421">
            <v>45934</v>
          </cell>
          <cell r="I421" t="str">
            <v>MARCO</v>
          </cell>
          <cell r="J421">
            <v>8</v>
          </cell>
          <cell r="K421">
            <v>32.539499999999997</v>
          </cell>
          <cell r="L421">
            <v>260.32</v>
          </cell>
          <cell r="M421" t="str">
            <v>APROVADO</v>
          </cell>
          <cell r="N421" t="str">
            <v>10</v>
          </cell>
          <cell r="O421">
            <v>46034</v>
          </cell>
          <cell r="P421" t="str">
            <v>PRODUÇÃO DE JANEIRO DE 2026</v>
          </cell>
        </row>
        <row r="422">
          <cell r="B422" t="str">
            <v>049827026833.08.10059.01</v>
          </cell>
          <cell r="C422" t="str">
            <v>049827</v>
          </cell>
          <cell r="D422" t="str">
            <v>0268</v>
          </cell>
          <cell r="E422" t="str">
            <v>33.08.10059.01</v>
          </cell>
          <cell r="F422" t="str">
            <v>PERFIL / 33.08.10059.01</v>
          </cell>
          <cell r="G422" t="str">
            <v>VMI TECNOLOGIAS LTDA</v>
          </cell>
          <cell r="H422">
            <v>45934</v>
          </cell>
          <cell r="I422" t="str">
            <v>MARCO</v>
          </cell>
          <cell r="J422">
            <v>6</v>
          </cell>
          <cell r="K422">
            <v>114.2085</v>
          </cell>
          <cell r="L422">
            <v>685.25</v>
          </cell>
          <cell r="M422" t="str">
            <v>APROVADO</v>
          </cell>
          <cell r="N422" t="str">
            <v>10</v>
          </cell>
          <cell r="O422">
            <v>46034</v>
          </cell>
          <cell r="P422" t="str">
            <v>PRODUÇÃO DE JANEIRO DE 2026</v>
          </cell>
        </row>
        <row r="423">
          <cell r="B423" t="str">
            <v>049827027033.08.10063.00</v>
          </cell>
          <cell r="C423" t="str">
            <v>049827</v>
          </cell>
          <cell r="D423" t="str">
            <v>0270</v>
          </cell>
          <cell r="E423" t="str">
            <v>33.08.10063.00</v>
          </cell>
          <cell r="F423" t="str">
            <v>LATERAL DO TUNEL / 33.08.10063.00</v>
          </cell>
          <cell r="G423" t="str">
            <v>VMI TECNOLOGIAS LTDA</v>
          </cell>
          <cell r="H423">
            <v>45934</v>
          </cell>
          <cell r="I423" t="str">
            <v>MARCO</v>
          </cell>
          <cell r="J423">
            <v>4</v>
          </cell>
          <cell r="K423">
            <v>136.48949999999999</v>
          </cell>
          <cell r="L423">
            <v>545.96</v>
          </cell>
          <cell r="M423" t="str">
            <v>APROVADO</v>
          </cell>
          <cell r="N423" t="str">
            <v>10</v>
          </cell>
          <cell r="O423">
            <v>46034</v>
          </cell>
          <cell r="P423" t="str">
            <v>PRODUÇÃO DE JANEIRO DE 2026</v>
          </cell>
        </row>
        <row r="424">
          <cell r="B424" t="str">
            <v>049827027133.08.10064.00</v>
          </cell>
          <cell r="C424" t="str">
            <v>049827</v>
          </cell>
          <cell r="D424" t="str">
            <v>0271</v>
          </cell>
          <cell r="E424" t="str">
            <v>33.08.10064.00</v>
          </cell>
          <cell r="F424" t="str">
            <v>LATERAL DO TUNEL / 33.08.10064.00</v>
          </cell>
          <cell r="G424" t="str">
            <v>VMI TECNOLOGIAS LTDA</v>
          </cell>
          <cell r="H424">
            <v>45934</v>
          </cell>
          <cell r="I424" t="str">
            <v>MARCO</v>
          </cell>
          <cell r="J424">
            <v>2</v>
          </cell>
          <cell r="K424">
            <v>137.63399999999999</v>
          </cell>
          <cell r="L424">
            <v>550.54</v>
          </cell>
          <cell r="M424" t="str">
            <v>APROVADO</v>
          </cell>
          <cell r="N424" t="str">
            <v>10</v>
          </cell>
          <cell r="O424">
            <v>46034</v>
          </cell>
          <cell r="P424" t="str">
            <v>PRODUÇÃO DE JANEIRO DE 2026</v>
          </cell>
        </row>
        <row r="425">
          <cell r="B425" t="str">
            <v>049827027233.08.10066.00</v>
          </cell>
          <cell r="C425" t="str">
            <v>049827</v>
          </cell>
          <cell r="D425" t="str">
            <v>0272</v>
          </cell>
          <cell r="E425" t="str">
            <v>33.08.10066.00</v>
          </cell>
          <cell r="F425" t="str">
            <v>TETO DO TUNEL / 33.08.10066.00</v>
          </cell>
          <cell r="G425" t="str">
            <v>VMI TECNOLOGIAS LTDA</v>
          </cell>
          <cell r="H425">
            <v>45934</v>
          </cell>
          <cell r="I425" t="str">
            <v>MARCO</v>
          </cell>
          <cell r="J425">
            <v>2</v>
          </cell>
          <cell r="K425">
            <v>58.831499999999998</v>
          </cell>
          <cell r="L425">
            <v>117.66</v>
          </cell>
          <cell r="M425" t="str">
            <v>APROVADO</v>
          </cell>
          <cell r="N425" t="str">
            <v>10</v>
          </cell>
          <cell r="O425">
            <v>46034</v>
          </cell>
          <cell r="P425" t="str">
            <v>PRODUÇÃO DE JANEIRO DE 2026</v>
          </cell>
        </row>
        <row r="426">
          <cell r="B426" t="str">
            <v>049827027433.08.10068.00</v>
          </cell>
          <cell r="C426" t="str">
            <v>049827</v>
          </cell>
          <cell r="D426" t="str">
            <v>0274</v>
          </cell>
          <cell r="E426" t="str">
            <v>33.08.10068.00</v>
          </cell>
          <cell r="F426" t="str">
            <v>SUPORTE PARA CAIXA L / 33.08.10068.00</v>
          </cell>
          <cell r="G426" t="str">
            <v>VMI TECNOLOGIAS LTDA</v>
          </cell>
          <cell r="H426">
            <v>45934</v>
          </cell>
          <cell r="I426" t="str">
            <v>MARCO</v>
          </cell>
          <cell r="J426">
            <v>2</v>
          </cell>
          <cell r="K426">
            <v>36.435000000000002</v>
          </cell>
          <cell r="L426">
            <v>72.87</v>
          </cell>
          <cell r="M426" t="str">
            <v>APROVADO</v>
          </cell>
          <cell r="N426" t="str">
            <v>10</v>
          </cell>
          <cell r="O426">
            <v>46034</v>
          </cell>
          <cell r="P426" t="str">
            <v>PRODUÇÃO DE JANEIRO DE 2026</v>
          </cell>
        </row>
        <row r="427">
          <cell r="B427" t="str">
            <v>049827027533.08.10070.00</v>
          </cell>
          <cell r="C427" t="str">
            <v>049827</v>
          </cell>
          <cell r="D427" t="str">
            <v>0275</v>
          </cell>
          <cell r="E427" t="str">
            <v>33.08.10070.00</v>
          </cell>
          <cell r="F427" t="str">
            <v>PERFIL / 33.08.10070.00</v>
          </cell>
          <cell r="G427" t="str">
            <v>VMI TECNOLOGIAS LTDA</v>
          </cell>
          <cell r="H427">
            <v>45934</v>
          </cell>
          <cell r="I427" t="str">
            <v>MARCO</v>
          </cell>
          <cell r="J427">
            <v>16</v>
          </cell>
          <cell r="K427">
            <v>130.47300000000001</v>
          </cell>
          <cell r="L427">
            <v>2087.5700000000002</v>
          </cell>
          <cell r="M427" t="str">
            <v>APROVADO</v>
          </cell>
          <cell r="N427" t="str">
            <v>10</v>
          </cell>
          <cell r="O427">
            <v>46034</v>
          </cell>
          <cell r="P427" t="str">
            <v>PRODUÇÃO DE JANEIRO DE 2026</v>
          </cell>
        </row>
        <row r="428">
          <cell r="B428" t="str">
            <v>049827027833.08.10077.00</v>
          </cell>
          <cell r="C428" t="str">
            <v>049827</v>
          </cell>
          <cell r="D428" t="str">
            <v>0278</v>
          </cell>
          <cell r="E428" t="str">
            <v>33.08.10077.00</v>
          </cell>
          <cell r="F428" t="str">
            <v>CHAPA ISOLAMENTO INFERIOR / 33.08.10077.00</v>
          </cell>
          <cell r="G428" t="str">
            <v>VMI TECNOLOGIAS LTDA</v>
          </cell>
          <cell r="H428">
            <v>45934</v>
          </cell>
          <cell r="I428" t="str">
            <v>MARCO</v>
          </cell>
          <cell r="J428">
            <v>1</v>
          </cell>
          <cell r="K428">
            <v>27.846</v>
          </cell>
          <cell r="L428">
            <v>167.08</v>
          </cell>
          <cell r="M428" t="str">
            <v>APROVADO</v>
          </cell>
          <cell r="N428" t="str">
            <v>10</v>
          </cell>
          <cell r="O428">
            <v>46034</v>
          </cell>
          <cell r="P428" t="str">
            <v>PRODUÇÃO DE JANEIRO DE 2026</v>
          </cell>
        </row>
        <row r="429">
          <cell r="B429" t="str">
            <v>049827027933.08.10081.00</v>
          </cell>
          <cell r="C429" t="str">
            <v>049827</v>
          </cell>
          <cell r="D429" t="str">
            <v>0279</v>
          </cell>
          <cell r="E429" t="str">
            <v>33.08.10081.00</v>
          </cell>
          <cell r="F429" t="str">
            <v>BANDEJA DA ESTEIRA / 33.08.10081.00</v>
          </cell>
          <cell r="G429" t="str">
            <v>VMI TECNOLOGIAS LTDA</v>
          </cell>
          <cell r="H429">
            <v>45934</v>
          </cell>
          <cell r="I429" t="str">
            <v>MARCO</v>
          </cell>
          <cell r="J429">
            <v>6</v>
          </cell>
          <cell r="K429">
            <v>82.802999999999997</v>
          </cell>
          <cell r="L429">
            <v>496.82</v>
          </cell>
          <cell r="M429" t="str">
            <v>APROVADO</v>
          </cell>
          <cell r="N429" t="str">
            <v>10</v>
          </cell>
          <cell r="O429">
            <v>46034</v>
          </cell>
          <cell r="P429" t="str">
            <v>PRODUÇÃO DE JANEIRO DE 2026</v>
          </cell>
        </row>
        <row r="430">
          <cell r="B430" t="str">
            <v>049827028033.08.10082.00</v>
          </cell>
          <cell r="C430" t="str">
            <v>049827</v>
          </cell>
          <cell r="D430" t="str">
            <v>0280</v>
          </cell>
          <cell r="E430" t="str">
            <v>33.08.10082.00</v>
          </cell>
          <cell r="F430" t="str">
            <v>REFORCO BANDEJA DA ESTEIRA / 33.08.10082.00</v>
          </cell>
          <cell r="G430" t="str">
            <v>VMI TECNOLOGIAS LTDA</v>
          </cell>
          <cell r="H430">
            <v>45934</v>
          </cell>
          <cell r="I430" t="str">
            <v>MARCO</v>
          </cell>
          <cell r="J430">
            <v>12</v>
          </cell>
          <cell r="K430">
            <v>51.576000000000001</v>
          </cell>
          <cell r="L430">
            <v>618.91</v>
          </cell>
          <cell r="M430" t="str">
            <v>APROVADO</v>
          </cell>
          <cell r="N430" t="str">
            <v>10</v>
          </cell>
          <cell r="O430">
            <v>46034</v>
          </cell>
          <cell r="P430" t="str">
            <v>PRODUÇÃO DE JANEIRO DE 2026</v>
          </cell>
        </row>
        <row r="431">
          <cell r="B431" t="str">
            <v>049827028133.08.10084.00</v>
          </cell>
          <cell r="C431" t="str">
            <v>049827</v>
          </cell>
          <cell r="D431" t="str">
            <v>0281</v>
          </cell>
          <cell r="E431" t="str">
            <v>33.08.10084.00</v>
          </cell>
          <cell r="F431" t="str">
            <v>BANDEJA DA ESTEIRA / 33.08.10084.00</v>
          </cell>
          <cell r="G431" t="str">
            <v>VMI TECNOLOGIAS LTDA</v>
          </cell>
          <cell r="H431">
            <v>45934</v>
          </cell>
          <cell r="I431" t="str">
            <v>MARCO</v>
          </cell>
          <cell r="J431">
            <v>8</v>
          </cell>
          <cell r="K431">
            <v>97.6815</v>
          </cell>
          <cell r="L431">
            <v>781.45</v>
          </cell>
          <cell r="M431" t="str">
            <v>APROVADO</v>
          </cell>
          <cell r="N431" t="str">
            <v>10</v>
          </cell>
          <cell r="O431">
            <v>46034</v>
          </cell>
          <cell r="P431" t="str">
            <v>PRODUÇÃO DE JANEIRO DE 2026</v>
          </cell>
        </row>
        <row r="432">
          <cell r="B432" t="str">
            <v>049827028333.08.10086.00</v>
          </cell>
          <cell r="C432" t="str">
            <v>049827</v>
          </cell>
          <cell r="D432" t="str">
            <v>0283</v>
          </cell>
          <cell r="E432" t="str">
            <v>33.08.10086.00</v>
          </cell>
          <cell r="F432" t="str">
            <v>MONTAGEM APOIO ESTEIRA / 33.08.10086.00</v>
          </cell>
          <cell r="G432" t="str">
            <v>VMI TECNOLOGIAS LTDA</v>
          </cell>
          <cell r="H432">
            <v>45934</v>
          </cell>
          <cell r="I432" t="str">
            <v>MARCO</v>
          </cell>
          <cell r="J432">
            <v>4</v>
          </cell>
          <cell r="K432">
            <v>110.922</v>
          </cell>
          <cell r="L432">
            <v>443.69</v>
          </cell>
          <cell r="M432" t="str">
            <v>APROVADO</v>
          </cell>
          <cell r="N432" t="str">
            <v>10</v>
          </cell>
          <cell r="O432">
            <v>46034</v>
          </cell>
          <cell r="P432" t="str">
            <v>PRODUÇÃO DE JANEIRO DE 2026</v>
          </cell>
        </row>
        <row r="433">
          <cell r="B433" t="str">
            <v>049827028433.08.10089.01</v>
          </cell>
          <cell r="C433" t="str">
            <v>049827</v>
          </cell>
          <cell r="D433" t="str">
            <v>0284</v>
          </cell>
          <cell r="E433" t="str">
            <v>33.08.10089.01</v>
          </cell>
          <cell r="F433" t="str">
            <v>APOIO ESTEIRA / 33.08.10089.01</v>
          </cell>
          <cell r="G433" t="str">
            <v>VMI TECNOLOGIAS LTDA</v>
          </cell>
          <cell r="H433">
            <v>45934</v>
          </cell>
          <cell r="I433" t="str">
            <v>MARCO</v>
          </cell>
          <cell r="J433">
            <v>4</v>
          </cell>
          <cell r="K433">
            <v>111.13200000000001</v>
          </cell>
          <cell r="L433">
            <v>444.53</v>
          </cell>
          <cell r="M433" t="str">
            <v>APROVADO</v>
          </cell>
          <cell r="N433" t="str">
            <v>10</v>
          </cell>
          <cell r="O433">
            <v>46034</v>
          </cell>
          <cell r="P433" t="str">
            <v>PRODUÇÃO DE JANEIRO DE 2026</v>
          </cell>
        </row>
        <row r="434">
          <cell r="B434" t="str">
            <v>049827028533.08.10091.01</v>
          </cell>
          <cell r="C434" t="str">
            <v>049827</v>
          </cell>
          <cell r="D434" t="str">
            <v>0285</v>
          </cell>
          <cell r="E434" t="str">
            <v>33.08.10091.01</v>
          </cell>
          <cell r="F434" t="str">
            <v>TRAVA DA ESTEIRA / 33.08.10091.01</v>
          </cell>
          <cell r="G434" t="str">
            <v>VMI TECNOLOGIAS LTDA</v>
          </cell>
          <cell r="H434">
            <v>45934</v>
          </cell>
          <cell r="I434" t="str">
            <v>MARCO</v>
          </cell>
          <cell r="J434">
            <v>4</v>
          </cell>
          <cell r="K434">
            <v>62</v>
          </cell>
          <cell r="L434">
            <v>248</v>
          </cell>
          <cell r="M434" t="str">
            <v>APROVADO</v>
          </cell>
          <cell r="N434" t="str">
            <v>10</v>
          </cell>
          <cell r="O434">
            <v>46034</v>
          </cell>
          <cell r="P434" t="str">
            <v>PRODUÇÃO DE JANEIRO DE 2026</v>
          </cell>
        </row>
        <row r="435">
          <cell r="B435" t="str">
            <v>049827028633.08.10094.01</v>
          </cell>
          <cell r="C435" t="str">
            <v>049827</v>
          </cell>
          <cell r="D435" t="str">
            <v>0286</v>
          </cell>
          <cell r="E435" t="str">
            <v>33.08.10094.01</v>
          </cell>
          <cell r="F435" t="str">
            <v>TRAVA DA ESTEIRA / 33.08.10094.01</v>
          </cell>
          <cell r="G435" t="str">
            <v>VMI TECNOLOGIAS LTDA</v>
          </cell>
          <cell r="H435">
            <v>45934</v>
          </cell>
          <cell r="I435" t="str">
            <v>MARCO</v>
          </cell>
          <cell r="J435">
            <v>4</v>
          </cell>
          <cell r="K435">
            <v>62</v>
          </cell>
          <cell r="L435">
            <v>248</v>
          </cell>
          <cell r="M435" t="str">
            <v>APROVADO</v>
          </cell>
          <cell r="N435" t="str">
            <v>10</v>
          </cell>
          <cell r="O435">
            <v>46034</v>
          </cell>
          <cell r="P435" t="str">
            <v>PRODUÇÃO DE JANEIRO DE 2026</v>
          </cell>
        </row>
        <row r="436">
          <cell r="B436" t="str">
            <v>049827028733.08.10096.00</v>
          </cell>
          <cell r="C436" t="str">
            <v>049827</v>
          </cell>
          <cell r="D436" t="str">
            <v>0287</v>
          </cell>
          <cell r="E436" t="str">
            <v>33.08.10096.00</v>
          </cell>
          <cell r="F436" t="str">
            <v>TRAVA ESTRUTURAL DA ESTEIRA / 33.08.10096.00</v>
          </cell>
          <cell r="G436" t="str">
            <v>VMI TECNOLOGIAS LTDA</v>
          </cell>
          <cell r="H436">
            <v>45934</v>
          </cell>
          <cell r="I436" t="str">
            <v>MARCO</v>
          </cell>
          <cell r="J436">
            <v>8</v>
          </cell>
          <cell r="K436">
            <v>41.348999999999997</v>
          </cell>
          <cell r="L436">
            <v>330.79</v>
          </cell>
          <cell r="M436" t="str">
            <v>APROVADO</v>
          </cell>
          <cell r="N436" t="str">
            <v>10</v>
          </cell>
          <cell r="O436">
            <v>46034</v>
          </cell>
          <cell r="P436" t="str">
            <v>PRODUÇÃO DE JANEIRO DE 2026</v>
          </cell>
        </row>
        <row r="437">
          <cell r="B437" t="str">
            <v>049827028833.08.10097.00</v>
          </cell>
          <cell r="C437" t="str">
            <v>049827</v>
          </cell>
          <cell r="D437" t="str">
            <v>0288</v>
          </cell>
          <cell r="E437" t="str">
            <v>33.08.10097.00</v>
          </cell>
          <cell r="F437" t="str">
            <v>TRAVA EXTERNA DA ESTEIRA / 33.08.10097.00</v>
          </cell>
          <cell r="G437" t="str">
            <v>VMI TECNOLOGIAS LTDA</v>
          </cell>
          <cell r="H437">
            <v>45934</v>
          </cell>
          <cell r="I437" t="str">
            <v>MARCO</v>
          </cell>
          <cell r="J437">
            <v>4</v>
          </cell>
          <cell r="K437">
            <v>35.994934000000001</v>
          </cell>
          <cell r="L437">
            <v>143.97999999999999</v>
          </cell>
          <cell r="M437" t="str">
            <v>APROVADO</v>
          </cell>
          <cell r="N437" t="str">
            <v>10</v>
          </cell>
          <cell r="O437">
            <v>46034</v>
          </cell>
          <cell r="P437" t="str">
            <v>PRODUÇÃO DE JANEIRO DE 2026</v>
          </cell>
        </row>
        <row r="438">
          <cell r="B438" t="str">
            <v>049827028933.08.10099.00</v>
          </cell>
          <cell r="C438" t="str">
            <v>049827</v>
          </cell>
          <cell r="D438" t="str">
            <v>0289</v>
          </cell>
          <cell r="E438" t="str">
            <v>33.08.10099.00</v>
          </cell>
          <cell r="F438" t="str">
            <v>TRAVA EXTERNA DA ESTEIRA / 33.08.10099.00</v>
          </cell>
          <cell r="G438" t="str">
            <v>VMI TECNOLOGIAS LTDA</v>
          </cell>
          <cell r="H438">
            <v>45934</v>
          </cell>
          <cell r="I438" t="str">
            <v>MARCO</v>
          </cell>
          <cell r="J438">
            <v>4</v>
          </cell>
          <cell r="K438">
            <v>36.224100999999997</v>
          </cell>
          <cell r="L438">
            <v>144.9</v>
          </cell>
          <cell r="M438" t="str">
            <v>APROVADO</v>
          </cell>
          <cell r="N438" t="str">
            <v>10</v>
          </cell>
          <cell r="O438">
            <v>46034</v>
          </cell>
          <cell r="P438" t="str">
            <v>PRODUÇÃO DE JANEIRO DE 2026</v>
          </cell>
        </row>
        <row r="439">
          <cell r="B439" t="str">
            <v>049827029033.08.10100.01</v>
          </cell>
          <cell r="C439" t="str">
            <v>049827</v>
          </cell>
          <cell r="D439" t="str">
            <v>0290</v>
          </cell>
          <cell r="E439" t="str">
            <v>33.08.10100.01</v>
          </cell>
          <cell r="F439" t="str">
            <v>BANDEJA DA ESTEIRA / 33.08.10100.01</v>
          </cell>
          <cell r="G439" t="str">
            <v>VMI TECNOLOGIAS LTDA</v>
          </cell>
          <cell r="H439">
            <v>45934</v>
          </cell>
          <cell r="I439" t="str">
            <v>MARCO</v>
          </cell>
          <cell r="J439">
            <v>4</v>
          </cell>
          <cell r="K439">
            <v>317.60399999999998</v>
          </cell>
          <cell r="L439">
            <v>1270.42</v>
          </cell>
          <cell r="M439" t="str">
            <v>APROVADO</v>
          </cell>
          <cell r="N439" t="str">
            <v>10</v>
          </cell>
          <cell r="O439">
            <v>46034</v>
          </cell>
          <cell r="P439" t="str">
            <v>PRODUÇÃO DE JANEIRO DE 2026</v>
          </cell>
        </row>
        <row r="440">
          <cell r="B440" t="str">
            <v>049827029133.08.10107.00</v>
          </cell>
          <cell r="C440" t="str">
            <v>049827</v>
          </cell>
          <cell r="D440" t="str">
            <v>0291</v>
          </cell>
          <cell r="E440" t="str">
            <v>33.08.10107.00</v>
          </cell>
          <cell r="F440" t="str">
            <v>MONTAGEM APOIO ESTEIRA / 33.08.10107.00</v>
          </cell>
          <cell r="G440" t="str">
            <v>VMI TECNOLOGIAS LTDA</v>
          </cell>
          <cell r="H440">
            <v>45934</v>
          </cell>
          <cell r="I440" t="str">
            <v>MARCO</v>
          </cell>
          <cell r="J440">
            <v>8</v>
          </cell>
          <cell r="K440">
            <v>47</v>
          </cell>
          <cell r="L440">
            <v>376</v>
          </cell>
          <cell r="M440" t="str">
            <v>APROVADO</v>
          </cell>
          <cell r="N440" t="str">
            <v>10</v>
          </cell>
          <cell r="O440">
            <v>46034</v>
          </cell>
          <cell r="P440" t="str">
            <v>PRODUÇÃO DE JANEIRO DE 2026</v>
          </cell>
        </row>
        <row r="441">
          <cell r="B441" t="str">
            <v>049827029233.08.10109.00</v>
          </cell>
          <cell r="C441" t="str">
            <v>049827</v>
          </cell>
          <cell r="D441" t="str">
            <v>0292</v>
          </cell>
          <cell r="E441" t="str">
            <v>33.08.10109.00</v>
          </cell>
          <cell r="F441" t="str">
            <v>SUPORTE DO SENSOR DE TUNEL / 33.08.10109.00</v>
          </cell>
          <cell r="G441" t="str">
            <v>VMI TECNOLOGIAS LTDA</v>
          </cell>
          <cell r="H441">
            <v>45934</v>
          </cell>
          <cell r="I441" t="str">
            <v>MARCO</v>
          </cell>
          <cell r="J441">
            <v>8</v>
          </cell>
          <cell r="K441">
            <v>7.5</v>
          </cell>
          <cell r="L441">
            <v>60</v>
          </cell>
          <cell r="M441" t="str">
            <v>APROVADO</v>
          </cell>
          <cell r="N441" t="str">
            <v>10</v>
          </cell>
          <cell r="O441">
            <v>46034</v>
          </cell>
          <cell r="P441" t="str">
            <v>PRODUÇÃO DE JANEIRO DE 2026</v>
          </cell>
        </row>
        <row r="442">
          <cell r="B442" t="str">
            <v>049827029333.08.10109.00</v>
          </cell>
          <cell r="C442" t="str">
            <v>049827</v>
          </cell>
          <cell r="D442" t="str">
            <v>0293</v>
          </cell>
          <cell r="E442" t="str">
            <v>33.08.10109.00</v>
          </cell>
          <cell r="F442" t="str">
            <v>SUPORTE DO SENSOR DE TUNEL / 33.08.10109.00</v>
          </cell>
          <cell r="G442" t="str">
            <v>VMI TECNOLOGIAS LTDA</v>
          </cell>
          <cell r="H442">
            <v>45934</v>
          </cell>
          <cell r="I442" t="str">
            <v>MARCO</v>
          </cell>
          <cell r="J442">
            <v>28</v>
          </cell>
          <cell r="K442">
            <v>7.5</v>
          </cell>
          <cell r="L442">
            <v>210</v>
          </cell>
          <cell r="M442" t="str">
            <v>APROVADO</v>
          </cell>
          <cell r="N442" t="str">
            <v>10</v>
          </cell>
          <cell r="O442">
            <v>46034</v>
          </cell>
          <cell r="P442" t="str">
            <v>PRODUÇÃO DE JANEIRO DE 2026</v>
          </cell>
        </row>
        <row r="443">
          <cell r="B443" t="str">
            <v>049827029433.08.10111.00</v>
          </cell>
          <cell r="C443" t="str">
            <v>049827</v>
          </cell>
          <cell r="D443" t="str">
            <v>0294</v>
          </cell>
          <cell r="E443" t="str">
            <v>33.08.10111.00</v>
          </cell>
          <cell r="F443" t="str">
            <v>CHAPA PROTECAO SENSOR TUNEL / 33.08.10111.00</v>
          </cell>
          <cell r="G443" t="str">
            <v>VMI TECNOLOGIAS LTDA</v>
          </cell>
          <cell r="H443">
            <v>45934</v>
          </cell>
          <cell r="I443" t="str">
            <v>MARCO</v>
          </cell>
          <cell r="J443">
            <v>4</v>
          </cell>
          <cell r="K443">
            <v>9</v>
          </cell>
          <cell r="L443">
            <v>72</v>
          </cell>
          <cell r="M443" t="str">
            <v>APROVADO</v>
          </cell>
          <cell r="N443" t="str">
            <v>10</v>
          </cell>
          <cell r="O443">
            <v>46034</v>
          </cell>
          <cell r="P443" t="str">
            <v>PRODUÇÃO DE JANEIRO DE 2026</v>
          </cell>
        </row>
        <row r="444">
          <cell r="B444" t="str">
            <v>049827029533.08.10111.00</v>
          </cell>
          <cell r="C444" t="str">
            <v>049827</v>
          </cell>
          <cell r="D444" t="str">
            <v>0295</v>
          </cell>
          <cell r="E444" t="str">
            <v>33.08.10111.00</v>
          </cell>
          <cell r="F444" t="str">
            <v>CHAPA PROTECAO SENSOR TUNEL / 33.08.10111.00</v>
          </cell>
          <cell r="G444" t="str">
            <v>VMI TECNOLOGIAS LTDA</v>
          </cell>
          <cell r="H444">
            <v>45934</v>
          </cell>
          <cell r="I444" t="str">
            <v>MARCO</v>
          </cell>
          <cell r="J444">
            <v>32</v>
          </cell>
          <cell r="K444">
            <v>9</v>
          </cell>
          <cell r="L444">
            <v>288</v>
          </cell>
          <cell r="M444" t="str">
            <v>APROVADO</v>
          </cell>
          <cell r="N444" t="str">
            <v>10</v>
          </cell>
          <cell r="O444">
            <v>46034</v>
          </cell>
          <cell r="P444" t="str">
            <v>PRODUÇÃO DE JANEIRO DE 2026</v>
          </cell>
        </row>
        <row r="445">
          <cell r="B445" t="str">
            <v>049827029733.08.10114.00</v>
          </cell>
          <cell r="C445" t="str">
            <v>049827</v>
          </cell>
          <cell r="D445" t="str">
            <v>0297</v>
          </cell>
          <cell r="E445" t="str">
            <v>33.08.10114.00</v>
          </cell>
          <cell r="F445" t="str">
            <v>CHAPA MONTAGEM ELETRICA  TAMPA / 33.08.10114.00</v>
          </cell>
          <cell r="G445" t="str">
            <v>VMI TECNOLOGIAS LTDA</v>
          </cell>
          <cell r="H445">
            <v>45934</v>
          </cell>
          <cell r="I445" t="str">
            <v>MARCO</v>
          </cell>
          <cell r="J445">
            <v>2</v>
          </cell>
          <cell r="K445">
            <v>43.669499999999999</v>
          </cell>
          <cell r="L445">
            <v>87.34</v>
          </cell>
          <cell r="M445" t="str">
            <v>APROVADO</v>
          </cell>
          <cell r="N445" t="str">
            <v>10</v>
          </cell>
          <cell r="O445">
            <v>46034</v>
          </cell>
          <cell r="P445" t="str">
            <v>PRODUÇÃO DE JANEIRO DE 2026</v>
          </cell>
        </row>
        <row r="446">
          <cell r="B446" t="str">
            <v>049827029833.08.10116.01</v>
          </cell>
          <cell r="C446" t="str">
            <v>049827</v>
          </cell>
          <cell r="D446" t="str">
            <v>0298</v>
          </cell>
          <cell r="E446" t="str">
            <v>33.08.10116.01</v>
          </cell>
          <cell r="F446" t="str">
            <v>CHAPA PROTECAO ELETRICA  TAMPA / 33.08.10116.01</v>
          </cell>
          <cell r="G446" t="str">
            <v>VMI TECNOLOGIAS LTDA</v>
          </cell>
          <cell r="H446">
            <v>45934</v>
          </cell>
          <cell r="I446" t="str">
            <v>MARCO</v>
          </cell>
          <cell r="J446">
            <v>8</v>
          </cell>
          <cell r="K446">
            <v>36.204000000000001</v>
          </cell>
          <cell r="L446">
            <v>289.63</v>
          </cell>
          <cell r="M446" t="str">
            <v>APROVADO</v>
          </cell>
          <cell r="N446" t="str">
            <v>10</v>
          </cell>
          <cell r="O446">
            <v>46034</v>
          </cell>
          <cell r="P446" t="str">
            <v>PRODUÇÃO DE JANEIRO DE 2026</v>
          </cell>
        </row>
        <row r="447">
          <cell r="B447" t="str">
            <v>049827029933.08.10140.00</v>
          </cell>
          <cell r="C447" t="str">
            <v>049827</v>
          </cell>
          <cell r="D447" t="str">
            <v>0299</v>
          </cell>
          <cell r="E447" t="str">
            <v>33.08.10140.00</v>
          </cell>
          <cell r="F447" t="str">
            <v>LATERAL COLIMADOR SECUNDARIO SV / 33.08.10140.00</v>
          </cell>
          <cell r="G447" t="str">
            <v>VMI TECNOLOGIAS LTDA</v>
          </cell>
          <cell r="H447">
            <v>45934</v>
          </cell>
          <cell r="I447" t="str">
            <v>MARCO</v>
          </cell>
          <cell r="J447">
            <v>2</v>
          </cell>
          <cell r="K447">
            <v>210</v>
          </cell>
          <cell r="L447">
            <v>420</v>
          </cell>
          <cell r="M447" t="str">
            <v>APROVADO</v>
          </cell>
          <cell r="N447" t="str">
            <v>10</v>
          </cell>
          <cell r="O447">
            <v>46034</v>
          </cell>
          <cell r="P447" t="str">
            <v>PRODUÇÃO DE JANEIRO DE 2026</v>
          </cell>
        </row>
        <row r="448">
          <cell r="B448" t="str">
            <v>049827030033.08.10143.00</v>
          </cell>
          <cell r="C448" t="str">
            <v>049827</v>
          </cell>
          <cell r="D448" t="str">
            <v>0300</v>
          </cell>
          <cell r="E448" t="str">
            <v>33.08.10143.00</v>
          </cell>
          <cell r="F448" t="str">
            <v>SUPORTE COLIMADOR SECUNDARIO SV / 33.08.10143.00</v>
          </cell>
          <cell r="G448" t="str">
            <v>VMI TECNOLOGIAS LTDA</v>
          </cell>
          <cell r="H448">
            <v>45934</v>
          </cell>
          <cell r="I448" t="str">
            <v>MARCO</v>
          </cell>
          <cell r="J448">
            <v>12</v>
          </cell>
          <cell r="K448">
            <v>8</v>
          </cell>
          <cell r="L448">
            <v>96</v>
          </cell>
          <cell r="M448" t="str">
            <v>APROVADO</v>
          </cell>
          <cell r="N448" t="str">
            <v>10</v>
          </cell>
          <cell r="O448">
            <v>46034</v>
          </cell>
          <cell r="P448" t="str">
            <v>PRODUÇÃO DE JANEIRO DE 2026</v>
          </cell>
        </row>
        <row r="449">
          <cell r="B449" t="str">
            <v>049827030133.08.10144.00</v>
          </cell>
          <cell r="C449" t="str">
            <v>049827</v>
          </cell>
          <cell r="D449" t="str">
            <v>0301</v>
          </cell>
          <cell r="E449" t="str">
            <v>33.08.10144.00</v>
          </cell>
          <cell r="F449" t="str">
            <v>LATERAL COLIMADOR SECUNDARIO SV / 33.08.10144.00</v>
          </cell>
          <cell r="G449" t="str">
            <v>VMI TECNOLOGIAS LTDA</v>
          </cell>
          <cell r="H449">
            <v>45934</v>
          </cell>
          <cell r="I449" t="str">
            <v>MARCO</v>
          </cell>
          <cell r="J449">
            <v>2</v>
          </cell>
          <cell r="K449">
            <v>210</v>
          </cell>
          <cell r="L449">
            <v>420</v>
          </cell>
          <cell r="M449" t="str">
            <v>APROVADO</v>
          </cell>
          <cell r="N449" t="str">
            <v>10</v>
          </cell>
          <cell r="O449">
            <v>46034</v>
          </cell>
          <cell r="P449" t="str">
            <v>PRODUÇÃO DE JANEIRO DE 2026</v>
          </cell>
        </row>
        <row r="450">
          <cell r="B450" t="str">
            <v>049827030233.08.10146.00</v>
          </cell>
          <cell r="C450" t="str">
            <v>049827</v>
          </cell>
          <cell r="D450" t="str">
            <v>0302</v>
          </cell>
          <cell r="E450" t="str">
            <v>33.08.10146.00</v>
          </cell>
          <cell r="F450" t="str">
            <v>CHAPA TAMPA COLIMADOR  SECUNDARIO SV / 33.08.10146.00</v>
          </cell>
          <cell r="G450" t="str">
            <v>VMI TECNOLOGIAS LTDA</v>
          </cell>
          <cell r="H450">
            <v>45934</v>
          </cell>
          <cell r="I450" t="str">
            <v>MARCO</v>
          </cell>
          <cell r="J450">
            <v>2</v>
          </cell>
          <cell r="K450">
            <v>40</v>
          </cell>
          <cell r="L450">
            <v>80</v>
          </cell>
          <cell r="M450" t="str">
            <v>APROVADO</v>
          </cell>
          <cell r="N450" t="str">
            <v>10</v>
          </cell>
          <cell r="O450">
            <v>46034</v>
          </cell>
          <cell r="P450" t="str">
            <v>PRODUÇÃO DE JANEIRO DE 2026</v>
          </cell>
        </row>
        <row r="451">
          <cell r="B451" t="str">
            <v>049827030433.08.10148.00</v>
          </cell>
          <cell r="C451" t="str">
            <v>049827</v>
          </cell>
          <cell r="D451" t="str">
            <v>0304</v>
          </cell>
          <cell r="E451" t="str">
            <v>33.08.10148.00</v>
          </cell>
          <cell r="F451" t="str">
            <v>CHAPA COLIMADOR FINAL SV / 33.08.10148.00</v>
          </cell>
          <cell r="G451" t="str">
            <v>VMI TECNOLOGIAS LTDA</v>
          </cell>
          <cell r="H451">
            <v>45934</v>
          </cell>
          <cell r="I451" t="str">
            <v>MARCO</v>
          </cell>
          <cell r="J451">
            <v>2</v>
          </cell>
          <cell r="K451">
            <v>65</v>
          </cell>
          <cell r="L451">
            <v>130</v>
          </cell>
          <cell r="M451" t="str">
            <v>APROVADO</v>
          </cell>
          <cell r="N451" t="str">
            <v>10</v>
          </cell>
          <cell r="O451">
            <v>46034</v>
          </cell>
          <cell r="P451" t="str">
            <v>PRODUÇÃO DE JANEIRO DE 2026</v>
          </cell>
        </row>
        <row r="452">
          <cell r="B452" t="str">
            <v>049827030533.08.10150.00</v>
          </cell>
          <cell r="C452" t="str">
            <v>049827</v>
          </cell>
          <cell r="D452" t="str">
            <v>0305</v>
          </cell>
          <cell r="E452" t="str">
            <v>33.08.10150.00</v>
          </cell>
          <cell r="F452" t="str">
            <v>FRENTE COLIMADOR FINAL SV / 33.08.10150.00</v>
          </cell>
          <cell r="G452" t="str">
            <v>VMI TECNOLOGIAS LTDA</v>
          </cell>
          <cell r="H452">
            <v>45934</v>
          </cell>
          <cell r="I452" t="str">
            <v>MARCO</v>
          </cell>
          <cell r="J452">
            <v>4</v>
          </cell>
          <cell r="K452">
            <v>17.25</v>
          </cell>
          <cell r="L452">
            <v>69</v>
          </cell>
          <cell r="M452" t="str">
            <v>APROVADO</v>
          </cell>
          <cell r="N452" t="str">
            <v>10</v>
          </cell>
          <cell r="O452">
            <v>46034</v>
          </cell>
          <cell r="P452" t="str">
            <v>PRODUÇÃO DE JANEIRO DE 2026</v>
          </cell>
        </row>
        <row r="453">
          <cell r="B453" t="str">
            <v>049827030733.08.10153.01</v>
          </cell>
          <cell r="C453" t="str">
            <v>049827</v>
          </cell>
          <cell r="D453" t="str">
            <v>0307</v>
          </cell>
          <cell r="E453" t="str">
            <v>33.08.10153.01</v>
          </cell>
          <cell r="F453" t="str">
            <v>CHAPA FECHAMENTO LONGARINA / 33.08.10153.01</v>
          </cell>
          <cell r="G453" t="str">
            <v>VMI TECNOLOGIAS LTDA</v>
          </cell>
          <cell r="H453">
            <v>45934</v>
          </cell>
          <cell r="I453" t="str">
            <v>MARCO</v>
          </cell>
          <cell r="J453">
            <v>2</v>
          </cell>
          <cell r="K453">
            <v>35</v>
          </cell>
          <cell r="L453">
            <v>70</v>
          </cell>
          <cell r="M453" t="str">
            <v>APROVADO</v>
          </cell>
          <cell r="N453" t="str">
            <v>10</v>
          </cell>
          <cell r="O453">
            <v>46034</v>
          </cell>
          <cell r="P453" t="str">
            <v>PRODUÇÃO DE JANEIRO DE 2026</v>
          </cell>
        </row>
        <row r="454">
          <cell r="B454" t="str">
            <v>049827030933.08.10169.00</v>
          </cell>
          <cell r="C454" t="str">
            <v>049827</v>
          </cell>
          <cell r="D454" t="str">
            <v>0309</v>
          </cell>
          <cell r="E454" t="str">
            <v>33.08.10169.00</v>
          </cell>
          <cell r="F454" t="str">
            <v>SUPORTE GERADOR SANDT / 33.08.10169.00</v>
          </cell>
          <cell r="G454" t="str">
            <v>VMI TECNOLOGIAS LTDA</v>
          </cell>
          <cell r="H454">
            <v>45934</v>
          </cell>
          <cell r="I454" t="str">
            <v>MARCO</v>
          </cell>
          <cell r="J454">
            <v>2</v>
          </cell>
          <cell r="K454">
            <v>367</v>
          </cell>
          <cell r="L454">
            <v>734</v>
          </cell>
          <cell r="M454" t="str">
            <v>APROVADO</v>
          </cell>
          <cell r="N454" t="str">
            <v>10</v>
          </cell>
          <cell r="O454">
            <v>46034</v>
          </cell>
          <cell r="P454" t="str">
            <v>PRODUÇÃO DE JANEIRO DE 2026</v>
          </cell>
        </row>
        <row r="455">
          <cell r="B455" t="str">
            <v>049827031033.08.10171.01</v>
          </cell>
          <cell r="C455" t="str">
            <v>049827</v>
          </cell>
          <cell r="D455" t="str">
            <v>0310</v>
          </cell>
          <cell r="E455" t="str">
            <v>33.08.10171.01</v>
          </cell>
          <cell r="F455" t="str">
            <v>TAMPA SUPORTE GERADOR SANDT / 33.08.10171.01</v>
          </cell>
          <cell r="G455" t="str">
            <v>VMI TECNOLOGIAS LTDA</v>
          </cell>
          <cell r="H455">
            <v>45934</v>
          </cell>
          <cell r="I455" t="str">
            <v>MARCO</v>
          </cell>
          <cell r="J455">
            <v>2</v>
          </cell>
          <cell r="K455">
            <v>143</v>
          </cell>
          <cell r="L455">
            <v>286</v>
          </cell>
          <cell r="M455" t="str">
            <v>APROVADO</v>
          </cell>
          <cell r="N455" t="str">
            <v>10</v>
          </cell>
          <cell r="O455">
            <v>46034</v>
          </cell>
          <cell r="P455" t="str">
            <v>PRODUÇÃO DE JANEIRO DE 2026</v>
          </cell>
        </row>
        <row r="456">
          <cell r="B456" t="str">
            <v>049827031433.08.10176.00</v>
          </cell>
          <cell r="C456" t="str">
            <v>049827</v>
          </cell>
          <cell r="D456" t="str">
            <v>0314</v>
          </cell>
          <cell r="E456" t="str">
            <v>33.08.10176.00</v>
          </cell>
          <cell r="F456" t="str">
            <v>FECHAMENTO COLIMADOR PRIMARIO / 33.08.10176.00</v>
          </cell>
          <cell r="G456" t="str">
            <v>VMI TECNOLOGIAS LTDA</v>
          </cell>
          <cell r="H456">
            <v>45934</v>
          </cell>
          <cell r="I456" t="str">
            <v>MARCO</v>
          </cell>
          <cell r="J456">
            <v>2</v>
          </cell>
          <cell r="K456">
            <v>28</v>
          </cell>
          <cell r="L456">
            <v>112</v>
          </cell>
          <cell r="M456" t="str">
            <v>APROVADO</v>
          </cell>
          <cell r="N456" t="str">
            <v>10</v>
          </cell>
          <cell r="O456">
            <v>46034</v>
          </cell>
          <cell r="P456" t="str">
            <v>PRODUÇÃO DE JANEIRO DE 2026</v>
          </cell>
        </row>
        <row r="457">
          <cell r="B457" t="str">
            <v>049827031533.08.10188.00</v>
          </cell>
          <cell r="C457" t="str">
            <v>049827</v>
          </cell>
          <cell r="D457" t="str">
            <v>0315</v>
          </cell>
          <cell r="E457" t="str">
            <v>33.08.10188.00</v>
          </cell>
          <cell r="F457" t="str">
            <v>SUPORTE PADRAO PARA GERADOR DV / 33.08.10188.00</v>
          </cell>
          <cell r="G457" t="str">
            <v>VMI TECNOLOGIAS LTDA</v>
          </cell>
          <cell r="H457">
            <v>45934</v>
          </cell>
          <cell r="I457" t="str">
            <v>MARCO</v>
          </cell>
          <cell r="J457">
            <v>2</v>
          </cell>
          <cell r="K457">
            <v>278.32350000000002</v>
          </cell>
          <cell r="L457">
            <v>556.65</v>
          </cell>
          <cell r="M457" t="str">
            <v>APROVADO</v>
          </cell>
          <cell r="N457" t="str">
            <v>10</v>
          </cell>
          <cell r="O457">
            <v>46034</v>
          </cell>
          <cell r="P457" t="str">
            <v>PRODUÇÃO DE JANEIRO DE 2026</v>
          </cell>
        </row>
        <row r="458">
          <cell r="B458" t="str">
            <v>049827031633.08.10194.00</v>
          </cell>
          <cell r="C458" t="str">
            <v>049827</v>
          </cell>
          <cell r="D458" t="str">
            <v>0316</v>
          </cell>
          <cell r="E458" t="str">
            <v>33.08.10194.00</v>
          </cell>
          <cell r="F458" t="str">
            <v>LATERAL COLIMADOR SECUNDARIO DV / 33.08.10194.00</v>
          </cell>
          <cell r="G458" t="str">
            <v>VMI TECNOLOGIAS LTDA</v>
          </cell>
          <cell r="H458">
            <v>45934</v>
          </cell>
          <cell r="I458" t="str">
            <v>MARCO</v>
          </cell>
          <cell r="J458">
            <v>2</v>
          </cell>
          <cell r="K458">
            <v>190</v>
          </cell>
          <cell r="L458">
            <v>380</v>
          </cell>
          <cell r="M458" t="str">
            <v>APROVADO</v>
          </cell>
          <cell r="N458" t="str">
            <v>10</v>
          </cell>
          <cell r="O458">
            <v>46034</v>
          </cell>
          <cell r="P458" t="str">
            <v>PRODUÇÃO DE JANEIRO DE 2026</v>
          </cell>
        </row>
        <row r="459">
          <cell r="B459" t="str">
            <v>049827031733.08.10197.00</v>
          </cell>
          <cell r="C459" t="str">
            <v>049827</v>
          </cell>
          <cell r="D459" t="str">
            <v>0317</v>
          </cell>
          <cell r="E459" t="str">
            <v>33.08.10197.00</v>
          </cell>
          <cell r="F459" t="str">
            <v>LATERAL COLIMADOR SECUNDARIO DV / 33.08.10197.00</v>
          </cell>
          <cell r="G459" t="str">
            <v>VMI TECNOLOGIAS LTDA</v>
          </cell>
          <cell r="H459">
            <v>45934</v>
          </cell>
          <cell r="I459" t="str">
            <v>MARCO</v>
          </cell>
          <cell r="J459">
            <v>2</v>
          </cell>
          <cell r="K459">
            <v>190</v>
          </cell>
          <cell r="L459">
            <v>380</v>
          </cell>
          <cell r="M459" t="str">
            <v>APROVADO</v>
          </cell>
          <cell r="N459" t="str">
            <v>10</v>
          </cell>
          <cell r="O459">
            <v>46034</v>
          </cell>
          <cell r="P459" t="str">
            <v>PRODUÇÃO DE JANEIRO DE 2026</v>
          </cell>
        </row>
        <row r="460">
          <cell r="B460" t="str">
            <v>049827031833.08.10199.00</v>
          </cell>
          <cell r="C460" t="str">
            <v>049827</v>
          </cell>
          <cell r="D460" t="str">
            <v>0318</v>
          </cell>
          <cell r="E460" t="str">
            <v>33.08.10199.00</v>
          </cell>
          <cell r="F460" t="str">
            <v>CHAPA TAMPA COLIMADOR  SECUNDARIO DV / 33.08.10199.00</v>
          </cell>
          <cell r="G460" t="str">
            <v>VMI TECNOLOGIAS LTDA</v>
          </cell>
          <cell r="H460">
            <v>45934</v>
          </cell>
          <cell r="I460" t="str">
            <v>MARCO</v>
          </cell>
          <cell r="J460">
            <v>2</v>
          </cell>
          <cell r="K460">
            <v>35</v>
          </cell>
          <cell r="L460">
            <v>70</v>
          </cell>
          <cell r="M460" t="str">
            <v>APROVADO</v>
          </cell>
          <cell r="N460" t="str">
            <v>10</v>
          </cell>
          <cell r="O460">
            <v>46034</v>
          </cell>
          <cell r="P460" t="str">
            <v>PRODUÇÃO DE JANEIRO DE 2026</v>
          </cell>
        </row>
        <row r="461">
          <cell r="B461" t="str">
            <v>049827031933.08.10200.00</v>
          </cell>
          <cell r="C461" t="str">
            <v>049827</v>
          </cell>
          <cell r="D461" t="str">
            <v>0319</v>
          </cell>
          <cell r="E461" t="str">
            <v>33.08.10200.00</v>
          </cell>
          <cell r="F461" t="str">
            <v>CHAPA TAMPA COLIMADOR  SECUNDARIO DV / 33.08.10200.00</v>
          </cell>
          <cell r="G461" t="str">
            <v>VMI TECNOLOGIAS LTDA</v>
          </cell>
          <cell r="H461">
            <v>45934</v>
          </cell>
          <cell r="I461" t="str">
            <v>MARCO</v>
          </cell>
          <cell r="J461">
            <v>2</v>
          </cell>
          <cell r="K461">
            <v>35</v>
          </cell>
          <cell r="L461">
            <v>70</v>
          </cell>
          <cell r="M461" t="str">
            <v>APROVADO</v>
          </cell>
          <cell r="N461" t="str">
            <v>10</v>
          </cell>
          <cell r="O461">
            <v>46034</v>
          </cell>
          <cell r="P461" t="str">
            <v>PRODUÇÃO DE JANEIRO DE 2026</v>
          </cell>
        </row>
        <row r="462">
          <cell r="B462" t="str">
            <v>049827032033.08.10201.00</v>
          </cell>
          <cell r="C462" t="str">
            <v>049827</v>
          </cell>
          <cell r="D462" t="str">
            <v>0320</v>
          </cell>
          <cell r="E462" t="str">
            <v>33.08.10201.00</v>
          </cell>
          <cell r="F462" t="str">
            <v>CHAPA COLIMADOR FINAL DV / 33.08.10201.00</v>
          </cell>
          <cell r="G462" t="str">
            <v>VMI TECNOLOGIAS LTDA</v>
          </cell>
          <cell r="H462">
            <v>45934</v>
          </cell>
          <cell r="I462" t="str">
            <v>MARCO</v>
          </cell>
          <cell r="J462">
            <v>2</v>
          </cell>
          <cell r="K462">
            <v>65</v>
          </cell>
          <cell r="L462">
            <v>130</v>
          </cell>
          <cell r="M462" t="str">
            <v>APROVADO</v>
          </cell>
          <cell r="N462" t="str">
            <v>10</v>
          </cell>
          <cell r="O462">
            <v>46034</v>
          </cell>
          <cell r="P462" t="str">
            <v>PRODUÇÃO DE JANEIRO DE 2026</v>
          </cell>
        </row>
        <row r="463">
          <cell r="B463" t="str">
            <v>049827032133.08.10203.00</v>
          </cell>
          <cell r="C463" t="str">
            <v>049827</v>
          </cell>
          <cell r="D463" t="str">
            <v>0321</v>
          </cell>
          <cell r="E463" t="str">
            <v>33.08.10203.00</v>
          </cell>
          <cell r="F463" t="str">
            <v>FRENTE COLIMADOR FINAL DV / 33.08.10203.00</v>
          </cell>
          <cell r="G463" t="str">
            <v>VMI TECNOLOGIAS LTDA</v>
          </cell>
          <cell r="H463">
            <v>45934</v>
          </cell>
          <cell r="I463" t="str">
            <v>MARCO</v>
          </cell>
          <cell r="J463">
            <v>5</v>
          </cell>
          <cell r="K463">
            <v>25</v>
          </cell>
          <cell r="L463">
            <v>125</v>
          </cell>
          <cell r="M463" t="str">
            <v>APROVADO</v>
          </cell>
          <cell r="N463" t="str">
            <v>10</v>
          </cell>
          <cell r="O463">
            <v>46034</v>
          </cell>
          <cell r="P463" t="str">
            <v>PRODUÇÃO DE JANEIRO DE 2026</v>
          </cell>
        </row>
        <row r="464">
          <cell r="B464" t="str">
            <v>049827032433.08.10206.00</v>
          </cell>
          <cell r="C464" t="str">
            <v>049827</v>
          </cell>
          <cell r="D464" t="str">
            <v>0324</v>
          </cell>
          <cell r="E464" t="str">
            <v>33.08.10206.00</v>
          </cell>
          <cell r="F464" t="str">
            <v>BASE COLIMADOR SECUNDARIO DV / 33.08.10206.00</v>
          </cell>
          <cell r="G464" t="str">
            <v>VMI TECNOLOGIAS LTDA</v>
          </cell>
          <cell r="H464">
            <v>45934</v>
          </cell>
          <cell r="I464" t="str">
            <v>MARCO</v>
          </cell>
          <cell r="J464">
            <v>2</v>
          </cell>
          <cell r="K464">
            <v>72</v>
          </cell>
          <cell r="L464">
            <v>144</v>
          </cell>
          <cell r="M464" t="str">
            <v>APROVADO</v>
          </cell>
          <cell r="N464" t="str">
            <v>10</v>
          </cell>
          <cell r="O464">
            <v>46034</v>
          </cell>
          <cell r="P464" t="str">
            <v>PRODUÇÃO DE JANEIRO DE 2026</v>
          </cell>
        </row>
        <row r="465">
          <cell r="B465" t="str">
            <v>049827032533.08.10209.00</v>
          </cell>
          <cell r="C465" t="str">
            <v>049827</v>
          </cell>
          <cell r="D465" t="str">
            <v>0325</v>
          </cell>
          <cell r="E465" t="str">
            <v>33.08.10209.00</v>
          </cell>
          <cell r="F465" t="str">
            <v>MAO FRANCESA BASE GERADOR DV / 33.08.10209.00</v>
          </cell>
          <cell r="G465" t="str">
            <v>VMI TECNOLOGIAS LTDA</v>
          </cell>
          <cell r="H465">
            <v>45934</v>
          </cell>
          <cell r="I465" t="str">
            <v>MARCO</v>
          </cell>
          <cell r="J465">
            <v>2</v>
          </cell>
          <cell r="K465">
            <v>89</v>
          </cell>
          <cell r="L465">
            <v>178</v>
          </cell>
          <cell r="M465" t="str">
            <v>APROVADO</v>
          </cell>
          <cell r="N465" t="str">
            <v>10</v>
          </cell>
          <cell r="O465">
            <v>46034</v>
          </cell>
          <cell r="P465" t="str">
            <v>PRODUÇÃO DE JANEIRO DE 2026</v>
          </cell>
        </row>
        <row r="466">
          <cell r="B466" t="str">
            <v>049827032633.08.10210.00</v>
          </cell>
          <cell r="C466" t="str">
            <v>049827</v>
          </cell>
          <cell r="D466" t="str">
            <v>0326</v>
          </cell>
          <cell r="E466" t="str">
            <v>33.08.10210.00</v>
          </cell>
          <cell r="F466" t="str">
            <v>SUPORTE CONTROLADORA GERADOR VJ / 33.08.10210.00</v>
          </cell>
          <cell r="G466" t="str">
            <v>VMI TECNOLOGIAS LTDA</v>
          </cell>
          <cell r="H466">
            <v>45934</v>
          </cell>
          <cell r="I466" t="str">
            <v>MARCO</v>
          </cell>
          <cell r="J466">
            <v>2</v>
          </cell>
          <cell r="K466">
            <v>91</v>
          </cell>
          <cell r="L466">
            <v>182</v>
          </cell>
          <cell r="M466" t="str">
            <v>APROVADO</v>
          </cell>
          <cell r="N466" t="str">
            <v>10</v>
          </cell>
          <cell r="O466">
            <v>46034</v>
          </cell>
          <cell r="P466" t="str">
            <v>PRODUÇÃO DE JANEIRO DE 2026</v>
          </cell>
        </row>
        <row r="467">
          <cell r="B467" t="str">
            <v>049827032733.08.10212.00</v>
          </cell>
          <cell r="C467" t="str">
            <v>049827</v>
          </cell>
          <cell r="D467" t="str">
            <v>0327</v>
          </cell>
          <cell r="E467" t="str">
            <v>33.08.10212.00</v>
          </cell>
          <cell r="F467" t="str">
            <v>SUPORTE TUBO SANDT / 33.08.10212.00</v>
          </cell>
          <cell r="G467" t="str">
            <v>VMI TECNOLOGIAS LTDA</v>
          </cell>
          <cell r="H467">
            <v>45934</v>
          </cell>
          <cell r="I467" t="str">
            <v>MARCO</v>
          </cell>
          <cell r="J467">
            <v>2</v>
          </cell>
          <cell r="K467">
            <v>221.15100000000001</v>
          </cell>
          <cell r="L467">
            <v>442.3</v>
          </cell>
          <cell r="M467" t="str">
            <v>APROVADO</v>
          </cell>
          <cell r="N467" t="str">
            <v>10</v>
          </cell>
          <cell r="O467">
            <v>46034</v>
          </cell>
          <cell r="P467" t="str">
            <v>PRODUÇÃO DE JANEIRO DE 2026</v>
          </cell>
        </row>
        <row r="468">
          <cell r="B468" t="str">
            <v>049827032833.08.10222.00</v>
          </cell>
          <cell r="C468" t="str">
            <v>049827</v>
          </cell>
          <cell r="D468" t="str">
            <v>0328</v>
          </cell>
          <cell r="E468" t="str">
            <v>33.08.10222.00</v>
          </cell>
          <cell r="F468" t="str">
            <v>SUPORTE TAMPA SUPERIOR / 33.08.10222.00</v>
          </cell>
          <cell r="G468" t="str">
            <v>VMI TECNOLOGIAS LTDA</v>
          </cell>
          <cell r="H468">
            <v>45934</v>
          </cell>
          <cell r="I468" t="str">
            <v>MARCO</v>
          </cell>
          <cell r="J468">
            <v>8</v>
          </cell>
          <cell r="K468">
            <v>11</v>
          </cell>
          <cell r="L468">
            <v>176</v>
          </cell>
          <cell r="M468" t="str">
            <v>APROVADO</v>
          </cell>
          <cell r="N468" t="str">
            <v>10</v>
          </cell>
          <cell r="O468">
            <v>46034</v>
          </cell>
          <cell r="P468" t="str">
            <v>PRODUÇÃO DE JANEIRO DE 2026</v>
          </cell>
        </row>
        <row r="469">
          <cell r="B469" t="str">
            <v>049827032933.08.10258.00</v>
          </cell>
          <cell r="C469" t="str">
            <v>049827</v>
          </cell>
          <cell r="D469" t="str">
            <v>0329</v>
          </cell>
          <cell r="E469" t="str">
            <v>33.08.10258.00</v>
          </cell>
          <cell r="F469" t="str">
            <v>SUPORTE MICRORUPTOR / 33.08.10258.00</v>
          </cell>
          <cell r="G469" t="str">
            <v>VMI TECNOLOGIAS LTDA</v>
          </cell>
          <cell r="H469">
            <v>45934</v>
          </cell>
          <cell r="I469" t="str">
            <v>MARCO</v>
          </cell>
          <cell r="J469">
            <v>17</v>
          </cell>
          <cell r="K469">
            <v>15</v>
          </cell>
          <cell r="L469">
            <v>255</v>
          </cell>
          <cell r="M469" t="str">
            <v>APROVADO</v>
          </cell>
          <cell r="N469" t="str">
            <v>10</v>
          </cell>
          <cell r="O469">
            <v>46034</v>
          </cell>
          <cell r="P469" t="str">
            <v>PRODUÇÃO DE JANEIRO DE 2026</v>
          </cell>
        </row>
        <row r="470">
          <cell r="B470" t="str">
            <v>049827033233.08.10265.00</v>
          </cell>
          <cell r="C470" t="str">
            <v>049827</v>
          </cell>
          <cell r="D470" t="str">
            <v>0332</v>
          </cell>
          <cell r="E470" t="str">
            <v>33.08.10265.00</v>
          </cell>
          <cell r="F470" t="str">
            <v>SUPORTE TAMPA ACABAMENTO SUPERIOR / 33.08.10265.00</v>
          </cell>
          <cell r="G470" t="str">
            <v>VMI TECNOLOGIAS LTDA</v>
          </cell>
          <cell r="H470">
            <v>45934</v>
          </cell>
          <cell r="I470" t="str">
            <v>MARCO</v>
          </cell>
          <cell r="J470">
            <v>8</v>
          </cell>
          <cell r="K470">
            <v>30</v>
          </cell>
          <cell r="L470">
            <v>240</v>
          </cell>
          <cell r="M470" t="str">
            <v>APROVADO</v>
          </cell>
          <cell r="N470" t="str">
            <v>10</v>
          </cell>
          <cell r="O470">
            <v>46034</v>
          </cell>
          <cell r="P470" t="str">
            <v>PRODUÇÃO DE JANEIRO DE 2026</v>
          </cell>
        </row>
        <row r="471">
          <cell r="B471" t="str">
            <v>049827033333.08.10278.00</v>
          </cell>
          <cell r="C471" t="str">
            <v>049827</v>
          </cell>
          <cell r="D471" t="str">
            <v>0333</v>
          </cell>
          <cell r="E471" t="str">
            <v>33.08.10278.00</v>
          </cell>
          <cell r="F471" t="str">
            <v>SUPORTE REGULAGEM GERADOR / 33.08.10278.00</v>
          </cell>
          <cell r="G471" t="str">
            <v>VMI TECNOLOGIAS LTDA</v>
          </cell>
          <cell r="H471">
            <v>45934</v>
          </cell>
          <cell r="I471" t="str">
            <v>MARCO</v>
          </cell>
          <cell r="J471">
            <v>5</v>
          </cell>
          <cell r="K471">
            <v>24</v>
          </cell>
          <cell r="L471">
            <v>120</v>
          </cell>
          <cell r="M471" t="str">
            <v>APROVADO</v>
          </cell>
          <cell r="N471" t="str">
            <v>10</v>
          </cell>
          <cell r="O471">
            <v>46034</v>
          </cell>
          <cell r="P471" t="str">
            <v>PRODUÇÃO DE JANEIRO DE 2026</v>
          </cell>
        </row>
        <row r="472">
          <cell r="B472" t="str">
            <v>049827033433.08.10281.01</v>
          </cell>
          <cell r="C472" t="str">
            <v>049827</v>
          </cell>
          <cell r="D472" t="str">
            <v>0334</v>
          </cell>
          <cell r="E472" t="str">
            <v>33.08.10281.01</v>
          </cell>
          <cell r="F472" t="str">
            <v>SUPORTE MONTAGEM ACABAMENTOS / 33.08.10281.01</v>
          </cell>
          <cell r="G472" t="str">
            <v>VMI TECNOLOGIAS LTDA</v>
          </cell>
          <cell r="H472">
            <v>45934</v>
          </cell>
          <cell r="I472" t="str">
            <v>MARCO</v>
          </cell>
          <cell r="J472">
            <v>4</v>
          </cell>
          <cell r="K472">
            <v>163.01249999999999</v>
          </cell>
          <cell r="L472">
            <v>652.04999999999995</v>
          </cell>
          <cell r="M472" t="str">
            <v>APROVADO</v>
          </cell>
          <cell r="N472" t="str">
            <v>10</v>
          </cell>
          <cell r="O472">
            <v>46034</v>
          </cell>
          <cell r="P472" t="str">
            <v>PRODUÇÃO DE JANEIRO DE 2026</v>
          </cell>
        </row>
        <row r="473">
          <cell r="B473" t="str">
            <v>049827033533.08.10284.00</v>
          </cell>
          <cell r="C473" t="str">
            <v>049827</v>
          </cell>
          <cell r="D473" t="str">
            <v>0335</v>
          </cell>
          <cell r="E473" t="str">
            <v>33.08.10284.00</v>
          </cell>
          <cell r="F473" t="str">
            <v>CALCO SUPORTE DO ROLETE / 33.08.10284.00</v>
          </cell>
          <cell r="G473" t="str">
            <v>VMI TECNOLOGIAS LTDA</v>
          </cell>
          <cell r="H473">
            <v>45934</v>
          </cell>
          <cell r="I473" t="str">
            <v>MARCO</v>
          </cell>
          <cell r="J473">
            <v>32</v>
          </cell>
          <cell r="K473">
            <v>17.127901000000001</v>
          </cell>
          <cell r="L473">
            <v>548.09</v>
          </cell>
          <cell r="M473" t="str">
            <v>APROVADO</v>
          </cell>
          <cell r="N473" t="str">
            <v>10</v>
          </cell>
          <cell r="O473">
            <v>46034</v>
          </cell>
          <cell r="P473" t="str">
            <v>PRODUÇÃO DE JANEIRO DE 2026</v>
          </cell>
        </row>
        <row r="474">
          <cell r="B474" t="str">
            <v>049827033633.08.10284.00</v>
          </cell>
          <cell r="C474" t="str">
            <v>049827</v>
          </cell>
          <cell r="D474" t="str">
            <v>0336</v>
          </cell>
          <cell r="E474" t="str">
            <v>33.08.10284.00</v>
          </cell>
          <cell r="F474" t="str">
            <v>CALCO SUPORTE DO ROLETE / 33.08.10284.00</v>
          </cell>
          <cell r="G474" t="str">
            <v>VMI TECNOLOGIAS LTDA</v>
          </cell>
          <cell r="H474">
            <v>45934</v>
          </cell>
          <cell r="I474" t="str">
            <v>MARCO</v>
          </cell>
          <cell r="J474">
            <v>8</v>
          </cell>
          <cell r="K474">
            <v>17.127901000000001</v>
          </cell>
          <cell r="L474">
            <v>137.02000000000001</v>
          </cell>
          <cell r="M474" t="str">
            <v>APROVADO</v>
          </cell>
          <cell r="N474" t="str">
            <v>10</v>
          </cell>
          <cell r="O474">
            <v>46034</v>
          </cell>
          <cell r="P474" t="str">
            <v>PRODUÇÃO DE JANEIRO DE 2026</v>
          </cell>
        </row>
        <row r="475">
          <cell r="B475" t="str">
            <v>049827033733.08.10288.01</v>
          </cell>
          <cell r="C475" t="str">
            <v>049827</v>
          </cell>
          <cell r="D475" t="str">
            <v>0337</v>
          </cell>
          <cell r="E475" t="str">
            <v>33.08.10288.01</v>
          </cell>
          <cell r="F475" t="str">
            <v>SUPORTE CORTINA NA MAQUINA / 33.08.10288.01</v>
          </cell>
          <cell r="G475" t="str">
            <v>VMI TECNOLOGIAS LTDA</v>
          </cell>
          <cell r="H475">
            <v>45934</v>
          </cell>
          <cell r="I475" t="str">
            <v>MARCO</v>
          </cell>
          <cell r="J475">
            <v>3</v>
          </cell>
          <cell r="K475">
            <v>77.430000000000007</v>
          </cell>
          <cell r="L475">
            <v>309.72000000000003</v>
          </cell>
          <cell r="M475" t="str">
            <v>APROVADO</v>
          </cell>
          <cell r="N475" t="str">
            <v>10</v>
          </cell>
          <cell r="O475">
            <v>46034</v>
          </cell>
          <cell r="P475" t="str">
            <v>PRODUÇÃO DE JANEIRO DE 2026</v>
          </cell>
        </row>
        <row r="476">
          <cell r="B476" t="str">
            <v>049827033833.08.10289.00</v>
          </cell>
          <cell r="C476" t="str">
            <v>049827</v>
          </cell>
          <cell r="D476" t="str">
            <v>0338</v>
          </cell>
          <cell r="E476" t="str">
            <v>33.08.10289.00</v>
          </cell>
          <cell r="F476" t="str">
            <v>CHAPA INTERMEDIARIA PARA CORTINA / 33.08.10289.00</v>
          </cell>
          <cell r="G476" t="str">
            <v>VMI TECNOLOGIAS LTDA</v>
          </cell>
          <cell r="H476">
            <v>45934</v>
          </cell>
          <cell r="I476" t="str">
            <v>MARCO</v>
          </cell>
          <cell r="J476">
            <v>4</v>
          </cell>
          <cell r="K476">
            <v>15.08</v>
          </cell>
          <cell r="L476">
            <v>60.32</v>
          </cell>
          <cell r="M476" t="str">
            <v>APROVADO</v>
          </cell>
          <cell r="N476" t="str">
            <v>10</v>
          </cell>
          <cell r="O476">
            <v>46034</v>
          </cell>
          <cell r="P476" t="str">
            <v>PRODUÇÃO DE JANEIRO DE 2026</v>
          </cell>
        </row>
        <row r="477">
          <cell r="B477" t="str">
            <v>049827033933.08.10290.01</v>
          </cell>
          <cell r="C477" t="str">
            <v>049827</v>
          </cell>
          <cell r="D477" t="str">
            <v>0339</v>
          </cell>
          <cell r="E477" t="str">
            <v>33.08.10290.01</v>
          </cell>
          <cell r="F477" t="str">
            <v>CHAPA DE TRAVA DA CORTINA / 33.08.10290.01</v>
          </cell>
          <cell r="G477" t="str">
            <v>VMI TECNOLOGIAS LTDA</v>
          </cell>
          <cell r="H477">
            <v>45934</v>
          </cell>
          <cell r="I477" t="str">
            <v>MARCO</v>
          </cell>
          <cell r="J477">
            <v>4</v>
          </cell>
          <cell r="K477">
            <v>60</v>
          </cell>
          <cell r="L477">
            <v>240</v>
          </cell>
          <cell r="M477" t="str">
            <v>APROVADO</v>
          </cell>
          <cell r="N477" t="str">
            <v>10</v>
          </cell>
          <cell r="O477">
            <v>46034</v>
          </cell>
          <cell r="P477" t="str">
            <v>PRODUÇÃO DE JANEIRO DE 2026</v>
          </cell>
        </row>
        <row r="478">
          <cell r="B478" t="str">
            <v>049827034033.08.10293.00</v>
          </cell>
          <cell r="C478" t="str">
            <v>049827</v>
          </cell>
          <cell r="D478" t="str">
            <v>0340</v>
          </cell>
          <cell r="E478" t="str">
            <v>33.08.10293.00</v>
          </cell>
          <cell r="F478" t="str">
            <v>TRAVESSA LADO DV / 33.08.10293.00</v>
          </cell>
          <cell r="G478" t="str">
            <v>VMI TECNOLOGIAS LTDA</v>
          </cell>
          <cell r="H478">
            <v>45934</v>
          </cell>
          <cell r="I478" t="str">
            <v>MARCO</v>
          </cell>
          <cell r="J478">
            <v>2</v>
          </cell>
          <cell r="K478">
            <v>346.54199999999997</v>
          </cell>
          <cell r="L478">
            <v>693.08</v>
          </cell>
          <cell r="M478" t="str">
            <v>APROVADO</v>
          </cell>
          <cell r="N478" t="str">
            <v>10</v>
          </cell>
          <cell r="O478">
            <v>46034</v>
          </cell>
          <cell r="P478" t="str">
            <v>PRODUÇÃO DE JANEIRO DE 2026</v>
          </cell>
        </row>
        <row r="479">
          <cell r="B479" t="str">
            <v>049827034133.08.10303.01</v>
          </cell>
          <cell r="C479" t="str">
            <v>049827</v>
          </cell>
          <cell r="D479" t="str">
            <v>0341</v>
          </cell>
          <cell r="E479" t="str">
            <v>33.08.10303.01</v>
          </cell>
          <cell r="F479" t="str">
            <v>TRAVESSA LADO SV / 33.08.10303.01</v>
          </cell>
          <cell r="G479" t="str">
            <v>VMI TECNOLOGIAS LTDA</v>
          </cell>
          <cell r="H479">
            <v>45934</v>
          </cell>
          <cell r="I479" t="str">
            <v>MARCO</v>
          </cell>
          <cell r="J479">
            <v>2</v>
          </cell>
          <cell r="K479">
            <v>366.69150000000002</v>
          </cell>
          <cell r="L479">
            <v>733.38</v>
          </cell>
          <cell r="M479" t="str">
            <v>APROVADO</v>
          </cell>
          <cell r="N479" t="str">
            <v>10</v>
          </cell>
          <cell r="O479">
            <v>46034</v>
          </cell>
          <cell r="P479" t="str">
            <v>PRODUÇÃO DE JANEIRO DE 2026</v>
          </cell>
        </row>
        <row r="480">
          <cell r="B480" t="str">
            <v>049827034233.08.10310.00</v>
          </cell>
          <cell r="C480" t="str">
            <v>049827</v>
          </cell>
          <cell r="D480" t="str">
            <v>0342</v>
          </cell>
          <cell r="E480" t="str">
            <v>33.08.10310.00</v>
          </cell>
          <cell r="F480" t="str">
            <v>REFORCO QUADRO ELETRICO / 33.08.10310.00</v>
          </cell>
          <cell r="G480" t="str">
            <v>VMI TECNOLOGIAS LTDA</v>
          </cell>
          <cell r="H480">
            <v>45934</v>
          </cell>
          <cell r="I480" t="str">
            <v>MARCO</v>
          </cell>
          <cell r="J480">
            <v>2</v>
          </cell>
          <cell r="K480">
            <v>6.95</v>
          </cell>
          <cell r="L480">
            <v>13.9</v>
          </cell>
          <cell r="M480" t="str">
            <v>APROVADO</v>
          </cell>
          <cell r="N480" t="str">
            <v>10</v>
          </cell>
          <cell r="O480">
            <v>46034</v>
          </cell>
          <cell r="P480" t="str">
            <v>PRODUÇÃO DE JANEIRO DE 2026</v>
          </cell>
        </row>
        <row r="481">
          <cell r="B481" t="str">
            <v>049827034433.08.10355.00</v>
          </cell>
          <cell r="C481" t="str">
            <v>049827</v>
          </cell>
          <cell r="D481" t="str">
            <v>0344</v>
          </cell>
          <cell r="E481" t="str">
            <v>33.08.10355.00</v>
          </cell>
          <cell r="F481" t="str">
            <v>CHAPA DO PAINEL ELETRICO / 33.08.10355.00</v>
          </cell>
          <cell r="G481" t="str">
            <v>VMI TECNOLOGIAS LTDA</v>
          </cell>
          <cell r="H481">
            <v>45934</v>
          </cell>
          <cell r="I481" t="str">
            <v>MARCO</v>
          </cell>
          <cell r="J481">
            <v>2</v>
          </cell>
          <cell r="K481">
            <v>132.678</v>
          </cell>
          <cell r="L481">
            <v>265.36</v>
          </cell>
          <cell r="M481" t="str">
            <v>APROVADO</v>
          </cell>
          <cell r="N481" t="str">
            <v>10</v>
          </cell>
          <cell r="O481">
            <v>46034</v>
          </cell>
          <cell r="P481" t="str">
            <v>PRODUÇÃO DE JANEIRO DE 2026</v>
          </cell>
        </row>
        <row r="482">
          <cell r="B482" t="str">
            <v>049827034533.08.10356.00</v>
          </cell>
          <cell r="C482" t="str">
            <v>049827</v>
          </cell>
          <cell r="D482" t="str">
            <v>0345</v>
          </cell>
          <cell r="E482" t="str">
            <v>33.08.10356.00</v>
          </cell>
          <cell r="F482" t="str">
            <v>SUPORTE PARA FIXACAO DO PAINEL ELETRICO / 33.08.10356.00</v>
          </cell>
          <cell r="G482" t="str">
            <v>VMI TECNOLOGIAS LTDA</v>
          </cell>
          <cell r="H482">
            <v>45934</v>
          </cell>
          <cell r="I482" t="str">
            <v>MARCO</v>
          </cell>
          <cell r="J482">
            <v>2</v>
          </cell>
          <cell r="K482">
            <v>68.206320000000005</v>
          </cell>
          <cell r="L482">
            <v>136.41</v>
          </cell>
          <cell r="M482" t="str">
            <v>APROVADO</v>
          </cell>
          <cell r="N482" t="str">
            <v>10</v>
          </cell>
          <cell r="O482">
            <v>46034</v>
          </cell>
          <cell r="P482" t="str">
            <v>PRODUÇÃO DE JANEIRO DE 2026</v>
          </cell>
        </row>
        <row r="483">
          <cell r="B483" t="str">
            <v>049827034633.08.10358.00</v>
          </cell>
          <cell r="C483" t="str">
            <v>049827</v>
          </cell>
          <cell r="D483" t="str">
            <v>0346</v>
          </cell>
          <cell r="E483" t="str">
            <v>33.08.10358.00</v>
          </cell>
          <cell r="F483" t="str">
            <v>SUPORTE PARA PAINEL ELETRICO / 33.08.10358.00</v>
          </cell>
          <cell r="G483" t="str">
            <v>VMI TECNOLOGIAS LTDA</v>
          </cell>
          <cell r="H483">
            <v>45934</v>
          </cell>
          <cell r="I483" t="str">
            <v>MARCO</v>
          </cell>
          <cell r="J483">
            <v>4</v>
          </cell>
          <cell r="K483">
            <v>26.963816000000001</v>
          </cell>
          <cell r="L483">
            <v>107.86</v>
          </cell>
          <cell r="M483" t="str">
            <v>APROVADO</v>
          </cell>
          <cell r="N483" t="str">
            <v>10</v>
          </cell>
          <cell r="O483">
            <v>46034</v>
          </cell>
          <cell r="P483" t="str">
            <v>PRODUÇÃO DE JANEIRO DE 2026</v>
          </cell>
        </row>
        <row r="484">
          <cell r="B484" t="str">
            <v>049827034833.08.10370.00</v>
          </cell>
          <cell r="C484" t="str">
            <v>049827</v>
          </cell>
          <cell r="D484" t="str">
            <v>0348</v>
          </cell>
          <cell r="E484" t="str">
            <v>33.08.10370.00</v>
          </cell>
          <cell r="F484" t="str">
            <v>ESTRUTURA GAIOLA HORIZONTAL DV 100100 H PLACAS VMIS / 33.08.10370.00</v>
          </cell>
          <cell r="G484" t="str">
            <v>VMI TECNOLOGIAS LTDA</v>
          </cell>
          <cell r="H484">
            <v>45934</v>
          </cell>
          <cell r="I484" t="str">
            <v>MARCO</v>
          </cell>
          <cell r="J484">
            <v>2</v>
          </cell>
          <cell r="K484">
            <v>395.27</v>
          </cell>
          <cell r="L484">
            <v>790.54</v>
          </cell>
          <cell r="M484" t="str">
            <v>APROVADO</v>
          </cell>
          <cell r="N484" t="str">
            <v>10</v>
          </cell>
          <cell r="O484">
            <v>46034</v>
          </cell>
          <cell r="P484" t="str">
            <v>PRODUÇÃO DE JANEIRO DE 2026</v>
          </cell>
        </row>
        <row r="485">
          <cell r="B485" t="str">
            <v>049827034933.08.10395.00</v>
          </cell>
          <cell r="C485" t="str">
            <v>049827</v>
          </cell>
          <cell r="D485" t="str">
            <v>0349</v>
          </cell>
          <cell r="E485" t="str">
            <v>33.08.10395.00</v>
          </cell>
          <cell r="F485" t="str">
            <v>ESTRUTURA GAIOLA VERTICAL CAIXA L SV VMIS / 33.08.10395.00</v>
          </cell>
          <cell r="G485" t="str">
            <v>VMI TECNOLOGIAS LTDA</v>
          </cell>
          <cell r="H485">
            <v>45934</v>
          </cell>
          <cell r="I485" t="str">
            <v>MARCO</v>
          </cell>
          <cell r="J485">
            <v>2</v>
          </cell>
          <cell r="K485">
            <v>385.63</v>
          </cell>
          <cell r="L485">
            <v>771.26</v>
          </cell>
          <cell r="M485" t="str">
            <v>APROVADO</v>
          </cell>
          <cell r="N485" t="str">
            <v>10</v>
          </cell>
          <cell r="O485">
            <v>46034</v>
          </cell>
          <cell r="P485" t="str">
            <v>PRODUÇÃO DE JANEIRO DE 2026</v>
          </cell>
        </row>
        <row r="486">
          <cell r="B486" t="str">
            <v>049827035033.08.10562.00</v>
          </cell>
          <cell r="C486" t="str">
            <v>049827</v>
          </cell>
          <cell r="D486" t="str">
            <v>0350</v>
          </cell>
          <cell r="E486" t="str">
            <v>33.08.10562.00</v>
          </cell>
          <cell r="F486" t="str">
            <v>ESTRUTURA GAIOLA VERTICAL DETECTORAS VMI / 33.08.10562.00</v>
          </cell>
          <cell r="G486" t="str">
            <v>VMI TECNOLOGIAS LTDA</v>
          </cell>
          <cell r="H486">
            <v>45934</v>
          </cell>
          <cell r="I486" t="str">
            <v>MARCO</v>
          </cell>
          <cell r="J486">
            <v>2</v>
          </cell>
          <cell r="K486">
            <v>464.66</v>
          </cell>
          <cell r="L486">
            <v>929.32</v>
          </cell>
          <cell r="M486" t="str">
            <v>APROVADO</v>
          </cell>
          <cell r="N486" t="str">
            <v>10</v>
          </cell>
          <cell r="O486">
            <v>46034</v>
          </cell>
          <cell r="P486" t="str">
            <v>PRODUÇÃO DE JANEIRO DE 2026</v>
          </cell>
        </row>
        <row r="487">
          <cell r="B487" t="str">
            <v>049827035133.08.10567.00</v>
          </cell>
          <cell r="C487" t="str">
            <v>049827</v>
          </cell>
          <cell r="D487" t="str">
            <v>0351</v>
          </cell>
          <cell r="E487" t="str">
            <v>33.08.10567.00</v>
          </cell>
          <cell r="F487" t="str">
            <v>CHAPA CENTRAL GAIOLA SUPORTE DETECTOR / 33.08.10567.00</v>
          </cell>
          <cell r="G487" t="str">
            <v>VMI TECNOLOGIAS LTDA</v>
          </cell>
          <cell r="H487">
            <v>45934</v>
          </cell>
          <cell r="I487" t="str">
            <v>MARCO</v>
          </cell>
          <cell r="J487">
            <v>72</v>
          </cell>
          <cell r="K487">
            <v>6.89</v>
          </cell>
          <cell r="L487">
            <v>496.08</v>
          </cell>
          <cell r="M487" t="str">
            <v>APROVADO</v>
          </cell>
          <cell r="N487" t="str">
            <v>10</v>
          </cell>
          <cell r="O487">
            <v>46034</v>
          </cell>
          <cell r="P487" t="str">
            <v>PRODUÇÃO DE JANEIRO DE 2026</v>
          </cell>
        </row>
        <row r="488">
          <cell r="B488" t="str">
            <v>049827035233.08.10568.00</v>
          </cell>
          <cell r="C488" t="str">
            <v>049827</v>
          </cell>
          <cell r="D488" t="str">
            <v>0352</v>
          </cell>
          <cell r="E488" t="str">
            <v>33.08.10568.00</v>
          </cell>
          <cell r="F488" t="str">
            <v>ESTRUTURA SOLDADA CAIXA L 100100 H DV VMI / 33.08.10568.00</v>
          </cell>
          <cell r="G488" t="str">
            <v>VMI TECNOLOGIAS LTDA</v>
          </cell>
          <cell r="H488">
            <v>45934</v>
          </cell>
          <cell r="I488" t="str">
            <v>MARCO</v>
          </cell>
          <cell r="J488">
            <v>2</v>
          </cell>
          <cell r="K488">
            <v>814.81</v>
          </cell>
          <cell r="L488">
            <v>1629.62</v>
          </cell>
          <cell r="M488" t="str">
            <v>APROVADO</v>
          </cell>
          <cell r="N488" t="str">
            <v>10</v>
          </cell>
          <cell r="O488">
            <v>46034</v>
          </cell>
          <cell r="P488" t="str">
            <v>PRODUÇÃO DE JANEIRO DE 2026</v>
          </cell>
        </row>
        <row r="489">
          <cell r="B489" t="str">
            <v>049827035333.08.10571.00</v>
          </cell>
          <cell r="C489" t="str">
            <v>049827</v>
          </cell>
          <cell r="D489" t="str">
            <v>0353</v>
          </cell>
          <cell r="E489" t="str">
            <v>33.08.10571.00</v>
          </cell>
          <cell r="F489" t="str">
            <v>TAMPA HORIZONTAL CAIXA L100100 H DV VMI / 33.08.10571.00</v>
          </cell>
          <cell r="G489" t="str">
            <v>VMI TECNOLOGIAS LTDA</v>
          </cell>
          <cell r="H489">
            <v>45934</v>
          </cell>
          <cell r="I489" t="str">
            <v>MARCO</v>
          </cell>
          <cell r="J489">
            <v>2</v>
          </cell>
          <cell r="K489">
            <v>166.38</v>
          </cell>
          <cell r="L489">
            <v>332.76</v>
          </cell>
          <cell r="M489" t="str">
            <v>APROVADO</v>
          </cell>
          <cell r="N489" t="str">
            <v>10</v>
          </cell>
          <cell r="O489">
            <v>46034</v>
          </cell>
          <cell r="P489" t="str">
            <v>PRODUÇÃO DE JANEIRO DE 2026</v>
          </cell>
        </row>
        <row r="490">
          <cell r="B490" t="str">
            <v>049827035533.08.10575.00</v>
          </cell>
          <cell r="C490" t="str">
            <v>049827</v>
          </cell>
          <cell r="D490" t="str">
            <v>0355</v>
          </cell>
          <cell r="E490" t="str">
            <v>33.08.10575.00</v>
          </cell>
          <cell r="F490" t="str">
            <v>BASE CAIXA S - DAQ / 33.08.10575.00</v>
          </cell>
          <cell r="G490" t="str">
            <v>VMI TECNOLOGIAS LTDA</v>
          </cell>
          <cell r="H490">
            <v>45934</v>
          </cell>
          <cell r="I490" t="str">
            <v>MARCO</v>
          </cell>
          <cell r="J490">
            <v>4</v>
          </cell>
          <cell r="K490">
            <v>18.86</v>
          </cell>
          <cell r="L490">
            <v>75.44</v>
          </cell>
          <cell r="M490" t="str">
            <v>APROVADO</v>
          </cell>
          <cell r="N490" t="str">
            <v>10</v>
          </cell>
          <cell r="O490">
            <v>46034</v>
          </cell>
          <cell r="P490" t="str">
            <v>PRODUÇÃO DE JANEIRO DE 2026</v>
          </cell>
        </row>
        <row r="491">
          <cell r="B491" t="str">
            <v>049827035633.08.10576.00</v>
          </cell>
          <cell r="C491" t="str">
            <v>049827</v>
          </cell>
          <cell r="D491" t="str">
            <v>0356</v>
          </cell>
          <cell r="E491" t="str">
            <v>33.08.10576.00</v>
          </cell>
          <cell r="F491" t="str">
            <v>FLANGE CAIXA S - DAQ / 33.08.10576.00</v>
          </cell>
          <cell r="G491" t="str">
            <v>VMI TECNOLOGIAS LTDA</v>
          </cell>
          <cell r="H491">
            <v>45934</v>
          </cell>
          <cell r="I491" t="str">
            <v>MARCO</v>
          </cell>
          <cell r="J491">
            <v>4</v>
          </cell>
          <cell r="K491">
            <v>3.59</v>
          </cell>
          <cell r="L491">
            <v>14.36</v>
          </cell>
          <cell r="M491" t="str">
            <v>APROVADO</v>
          </cell>
          <cell r="N491" t="str">
            <v>10</v>
          </cell>
          <cell r="O491">
            <v>46034</v>
          </cell>
          <cell r="P491" t="str">
            <v>PRODUÇÃO DE JANEIRO DE 2026</v>
          </cell>
        </row>
        <row r="492">
          <cell r="B492" t="str">
            <v>049827035733.08.10579.00</v>
          </cell>
          <cell r="C492" t="str">
            <v>049827</v>
          </cell>
          <cell r="D492" t="str">
            <v>0357</v>
          </cell>
          <cell r="E492" t="str">
            <v>33.08.10579.00</v>
          </cell>
          <cell r="F492" t="str">
            <v>ESTRUTURA GAIOLA HORIZONTAL CAIXA L SV VMI / 33.08.10579.00</v>
          </cell>
          <cell r="G492" t="str">
            <v>VMI TECNOLOGIAS LTDA</v>
          </cell>
          <cell r="H492">
            <v>45934</v>
          </cell>
          <cell r="I492" t="str">
            <v>MARCO</v>
          </cell>
          <cell r="J492">
            <v>2</v>
          </cell>
          <cell r="K492">
            <v>509.63</v>
          </cell>
          <cell r="L492">
            <v>1019.26</v>
          </cell>
          <cell r="M492" t="str">
            <v>APROVADO</v>
          </cell>
          <cell r="N492" t="str">
            <v>10</v>
          </cell>
          <cell r="O492">
            <v>46034</v>
          </cell>
          <cell r="P492" t="str">
            <v>PRODUÇÃO DE JANEIRO DE 2026</v>
          </cell>
        </row>
        <row r="493">
          <cell r="B493" t="str">
            <v>049827035833.08.10580.00</v>
          </cell>
          <cell r="C493" t="str">
            <v>049827</v>
          </cell>
          <cell r="D493" t="str">
            <v>0358</v>
          </cell>
          <cell r="E493" t="str">
            <v>33.08.10580.00</v>
          </cell>
          <cell r="F493" t="str">
            <v>ESTRUTURA SOLDADA CAIXA L SV VMI / 33.08.10580.00</v>
          </cell>
          <cell r="G493" t="str">
            <v>VMI TECNOLOGIAS LTDA</v>
          </cell>
          <cell r="H493">
            <v>45934</v>
          </cell>
          <cell r="I493" t="str">
            <v>MARCO</v>
          </cell>
          <cell r="J493">
            <v>2</v>
          </cell>
          <cell r="K493">
            <v>847.42</v>
          </cell>
          <cell r="L493">
            <v>1694.84</v>
          </cell>
          <cell r="M493" t="str">
            <v>APROVADO</v>
          </cell>
          <cell r="N493" t="str">
            <v>10</v>
          </cell>
          <cell r="O493">
            <v>46034</v>
          </cell>
          <cell r="P493" t="str">
            <v>PRODUÇÃO DE JANEIRO DE 2026</v>
          </cell>
        </row>
        <row r="494">
          <cell r="B494" t="str">
            <v>049827035933.08.10586.00</v>
          </cell>
          <cell r="C494" t="str">
            <v>049827</v>
          </cell>
          <cell r="D494" t="str">
            <v>0359</v>
          </cell>
          <cell r="E494" t="str">
            <v>33.08.10586.00</v>
          </cell>
          <cell r="F494" t="str">
            <v>TAMPA CAIXA COMPLEMENTAR DETECTORAS 100100 H SV VMIS / 33.08.10586.00</v>
          </cell>
          <cell r="G494" t="str">
            <v>VMI TECNOLOGIAS LTDA</v>
          </cell>
          <cell r="H494">
            <v>45934</v>
          </cell>
          <cell r="I494" t="str">
            <v>MARCO</v>
          </cell>
          <cell r="J494">
            <v>2</v>
          </cell>
          <cell r="K494">
            <v>98.17</v>
          </cell>
          <cell r="L494">
            <v>196.34</v>
          </cell>
          <cell r="M494" t="str">
            <v>APROVADO</v>
          </cell>
          <cell r="N494" t="str">
            <v>10</v>
          </cell>
          <cell r="O494">
            <v>46034</v>
          </cell>
          <cell r="P494" t="str">
            <v>PRODUÇÃO DE JANEIRO DE 2026</v>
          </cell>
        </row>
        <row r="495">
          <cell r="B495" t="str">
            <v>049827036033.08.10589.00</v>
          </cell>
          <cell r="C495" t="str">
            <v>049827</v>
          </cell>
          <cell r="D495" t="str">
            <v>0360</v>
          </cell>
          <cell r="E495" t="str">
            <v>33.08.10589.00</v>
          </cell>
          <cell r="F495" t="str">
            <v>COMPLEMENTO CAIXA L 100100 H SV VMIS / 33.08.10589.00</v>
          </cell>
          <cell r="G495" t="str">
            <v>VMI TECNOLOGIAS LTDA</v>
          </cell>
          <cell r="H495">
            <v>45934</v>
          </cell>
          <cell r="I495" t="str">
            <v>MARCO</v>
          </cell>
          <cell r="J495">
            <v>2</v>
          </cell>
          <cell r="K495">
            <v>411.56</v>
          </cell>
          <cell r="L495">
            <v>823.12</v>
          </cell>
          <cell r="M495" t="str">
            <v>APROVADO</v>
          </cell>
          <cell r="N495" t="str">
            <v>10</v>
          </cell>
          <cell r="O495">
            <v>46034</v>
          </cell>
          <cell r="P495" t="str">
            <v>PRODUÇÃO DE JANEIRO DE 2026</v>
          </cell>
        </row>
        <row r="496">
          <cell r="B496" t="str">
            <v>049827036133.08.10590.00</v>
          </cell>
          <cell r="C496" t="str">
            <v>049827</v>
          </cell>
          <cell r="D496" t="str">
            <v>0361</v>
          </cell>
          <cell r="E496" t="str">
            <v>33.08.10590.00</v>
          </cell>
          <cell r="F496" t="str">
            <v>SUPORTE PLACA / 33.08.10590.00</v>
          </cell>
          <cell r="G496" t="str">
            <v>VMI TECNOLOGIAS LTDA</v>
          </cell>
          <cell r="H496">
            <v>45934</v>
          </cell>
          <cell r="I496" t="str">
            <v>MARCO</v>
          </cell>
          <cell r="J496">
            <v>2</v>
          </cell>
          <cell r="K496">
            <v>18.190000000000001</v>
          </cell>
          <cell r="L496">
            <v>36.380000000000003</v>
          </cell>
          <cell r="M496" t="str">
            <v>APROVADO</v>
          </cell>
          <cell r="N496" t="str">
            <v>10</v>
          </cell>
          <cell r="O496">
            <v>46034</v>
          </cell>
          <cell r="P496" t="str">
            <v>PRODUÇÃO DE JANEIRO DE 2026</v>
          </cell>
        </row>
        <row r="497">
          <cell r="B497" t="str">
            <v>049827036233.08.10591.00</v>
          </cell>
          <cell r="C497" t="str">
            <v>049827</v>
          </cell>
          <cell r="D497" t="str">
            <v>0362</v>
          </cell>
          <cell r="E497" t="str">
            <v>33.08.10591.00</v>
          </cell>
          <cell r="F497" t="str">
            <v>CHAPA TAMPA HORIZONTAL CAIXA L SV VMI / 33.08.10591.00</v>
          </cell>
          <cell r="G497" t="str">
            <v>VMI TECNOLOGIAS LTDA</v>
          </cell>
          <cell r="H497">
            <v>45934</v>
          </cell>
          <cell r="I497" t="str">
            <v>MARCO</v>
          </cell>
          <cell r="J497">
            <v>2</v>
          </cell>
          <cell r="K497">
            <v>177.38</v>
          </cell>
          <cell r="L497">
            <v>354.76</v>
          </cell>
          <cell r="M497" t="str">
            <v>APROVADO</v>
          </cell>
          <cell r="N497" t="str">
            <v>10</v>
          </cell>
          <cell r="O497">
            <v>46034</v>
          </cell>
          <cell r="P497" t="str">
            <v>PRODUÇÃO DE JANEIRO DE 2026</v>
          </cell>
        </row>
        <row r="498">
          <cell r="B498" t="str">
            <v>049827036333.08.10595.00</v>
          </cell>
          <cell r="C498" t="str">
            <v>049827</v>
          </cell>
          <cell r="D498" t="str">
            <v>0363</v>
          </cell>
          <cell r="E498" t="str">
            <v>33.08.10595.00</v>
          </cell>
          <cell r="F498" t="str">
            <v>TAMPA VERTICAL CAIXA L 100100H SV VMI / 33.08.10595.00</v>
          </cell>
          <cell r="G498" t="str">
            <v>VMI TECNOLOGIAS LTDA</v>
          </cell>
          <cell r="H498">
            <v>45934</v>
          </cell>
          <cell r="I498" t="str">
            <v>MARCO</v>
          </cell>
          <cell r="J498">
            <v>2</v>
          </cell>
          <cell r="K498">
            <v>185.28</v>
          </cell>
          <cell r="L498">
            <v>370.56</v>
          </cell>
          <cell r="M498" t="str">
            <v>APROVADO</v>
          </cell>
          <cell r="N498" t="str">
            <v>10</v>
          </cell>
          <cell r="O498">
            <v>46034</v>
          </cell>
          <cell r="P498" t="str">
            <v>PRODUÇÃO DE JANEIRO DE 2026</v>
          </cell>
        </row>
        <row r="499">
          <cell r="B499" t="str">
            <v>049827036433.08.10597.00</v>
          </cell>
          <cell r="C499" t="str">
            <v>049827</v>
          </cell>
          <cell r="D499" t="str">
            <v>0364</v>
          </cell>
          <cell r="E499" t="str">
            <v>33.08.10597.00</v>
          </cell>
          <cell r="F499" t="str">
            <v>TRAVA LATERAL DA CAIXA L / 33.08.10597.00</v>
          </cell>
          <cell r="G499" t="str">
            <v>VMI TECNOLOGIAS LTDA</v>
          </cell>
          <cell r="H499">
            <v>45934</v>
          </cell>
          <cell r="I499" t="str">
            <v>MARCO</v>
          </cell>
          <cell r="J499">
            <v>4</v>
          </cell>
          <cell r="K499">
            <v>28.08</v>
          </cell>
          <cell r="L499">
            <v>112.32</v>
          </cell>
          <cell r="M499" t="str">
            <v>APROVADO</v>
          </cell>
          <cell r="N499" t="str">
            <v>10</v>
          </cell>
          <cell r="O499">
            <v>46034</v>
          </cell>
          <cell r="P499" t="str">
            <v>PRODUÇÃO DE JANEIRO DE 2026</v>
          </cell>
        </row>
        <row r="500">
          <cell r="B500" t="str">
            <v>049827036533.08.10605.00</v>
          </cell>
          <cell r="C500" t="str">
            <v>049827</v>
          </cell>
          <cell r="D500" t="str">
            <v>0365</v>
          </cell>
          <cell r="E500" t="str">
            <v>33.08.10605.00</v>
          </cell>
          <cell r="F500" t="str">
            <v>CONJUNTO TAMPA VERTICAL / 33.08.10605.00</v>
          </cell>
          <cell r="G500" t="str">
            <v>VMI TECNOLOGIAS LTDA</v>
          </cell>
          <cell r="H500">
            <v>45934</v>
          </cell>
          <cell r="I500" t="str">
            <v>MARCO</v>
          </cell>
          <cell r="J500">
            <v>2</v>
          </cell>
          <cell r="K500">
            <v>186.3</v>
          </cell>
          <cell r="L500">
            <v>372.6</v>
          </cell>
          <cell r="M500" t="str">
            <v>APROVADO</v>
          </cell>
          <cell r="N500" t="str">
            <v>10</v>
          </cell>
          <cell r="O500">
            <v>46034</v>
          </cell>
          <cell r="P500" t="str">
            <v>PRODUÇÃO DE JANEIRO DE 2026</v>
          </cell>
        </row>
        <row r="501">
          <cell r="B501" t="str">
            <v>049827036633.11.10540.00</v>
          </cell>
          <cell r="C501" t="str">
            <v>049827</v>
          </cell>
          <cell r="D501" t="str">
            <v>0366</v>
          </cell>
          <cell r="E501" t="str">
            <v>33.11.10540.00</v>
          </cell>
          <cell r="F501" t="str">
            <v>COJUNTO FIXACAO CORTINA / 33.11.10540.00</v>
          </cell>
          <cell r="G501" t="str">
            <v>VMI TECNOLOGIAS LTDA</v>
          </cell>
          <cell r="H501">
            <v>45934</v>
          </cell>
          <cell r="I501" t="str">
            <v>MARCO</v>
          </cell>
          <cell r="J501">
            <v>28</v>
          </cell>
          <cell r="K501">
            <v>28.36</v>
          </cell>
          <cell r="L501">
            <v>794.08</v>
          </cell>
          <cell r="M501" t="str">
            <v>APROVADO</v>
          </cell>
          <cell r="N501" t="str">
            <v>10</v>
          </cell>
          <cell r="O501">
            <v>46034</v>
          </cell>
          <cell r="P501" t="str">
            <v>PRODUÇÃO DE JANEIRO DE 2026</v>
          </cell>
        </row>
        <row r="502">
          <cell r="B502" t="str">
            <v>049827036733.20.10018.01</v>
          </cell>
          <cell r="C502" t="str">
            <v>049827</v>
          </cell>
          <cell r="D502" t="str">
            <v>0367</v>
          </cell>
          <cell r="E502" t="str">
            <v>33.20.10018.01</v>
          </cell>
          <cell r="F502" t="str">
            <v>TRAVESSA LONGITUDINAL 01 / 33.20.10018.01</v>
          </cell>
          <cell r="G502" t="str">
            <v>VMI TECNOLOGIAS LTDA</v>
          </cell>
          <cell r="H502">
            <v>45934</v>
          </cell>
          <cell r="I502" t="str">
            <v>MARCO</v>
          </cell>
          <cell r="J502">
            <v>4</v>
          </cell>
          <cell r="K502">
            <v>328.67</v>
          </cell>
          <cell r="L502">
            <v>1314.68</v>
          </cell>
          <cell r="M502" t="str">
            <v>APROVADO</v>
          </cell>
          <cell r="N502" t="str">
            <v>10</v>
          </cell>
          <cell r="O502">
            <v>46034</v>
          </cell>
          <cell r="P502" t="str">
            <v>PRODUÇÃO DE JANEIRO DE 2026</v>
          </cell>
        </row>
        <row r="503">
          <cell r="B503" t="str">
            <v>049827036833.20.10021.01</v>
          </cell>
          <cell r="C503" t="str">
            <v>049827</v>
          </cell>
          <cell r="D503" t="str">
            <v>0368</v>
          </cell>
          <cell r="E503" t="str">
            <v>33.20.10021.01</v>
          </cell>
          <cell r="F503" t="str">
            <v>BANDEJA MONTAGEM CAIXA L SV / 33.20.10021.01</v>
          </cell>
          <cell r="G503" t="str">
            <v>VMI TECNOLOGIAS LTDA</v>
          </cell>
          <cell r="H503">
            <v>45934</v>
          </cell>
          <cell r="I503" t="str">
            <v>MARCO</v>
          </cell>
          <cell r="J503">
            <v>8</v>
          </cell>
          <cell r="K503">
            <v>320.42849999999999</v>
          </cell>
          <cell r="L503">
            <v>2563.4299999999998</v>
          </cell>
          <cell r="M503" t="str">
            <v>APROVADO</v>
          </cell>
          <cell r="N503" t="str">
            <v>10</v>
          </cell>
          <cell r="O503">
            <v>46034</v>
          </cell>
          <cell r="P503" t="str">
            <v>PRODUÇÃO DE JANEIRO DE 2026</v>
          </cell>
        </row>
        <row r="504">
          <cell r="B504" t="str">
            <v>049827036933.20.10024.02</v>
          </cell>
          <cell r="C504" t="str">
            <v>049827</v>
          </cell>
          <cell r="D504" t="str">
            <v>0369</v>
          </cell>
          <cell r="E504" t="str">
            <v>33.20.10024.02</v>
          </cell>
          <cell r="F504" t="str">
            <v>TRAVESSA LONGITUDINAL 02 / 33.20.10024.02</v>
          </cell>
          <cell r="G504" t="str">
            <v>VMI TECNOLOGIAS LTDA</v>
          </cell>
          <cell r="H504">
            <v>45934</v>
          </cell>
          <cell r="I504" t="str">
            <v>MARCO</v>
          </cell>
          <cell r="J504">
            <v>7</v>
          </cell>
          <cell r="K504">
            <v>209.58</v>
          </cell>
          <cell r="L504">
            <v>1467.06</v>
          </cell>
          <cell r="M504" t="str">
            <v>APROVADO</v>
          </cell>
          <cell r="N504" t="str">
            <v>10</v>
          </cell>
          <cell r="O504">
            <v>46034</v>
          </cell>
          <cell r="P504" t="str">
            <v>PRODUÇÃO DE JANEIRO DE 2026</v>
          </cell>
        </row>
        <row r="505">
          <cell r="B505" t="str">
            <v>049827037033.20.10026.02</v>
          </cell>
          <cell r="C505" t="str">
            <v>049827</v>
          </cell>
          <cell r="D505" t="str">
            <v>0370</v>
          </cell>
          <cell r="E505" t="str">
            <v>33.20.10026.02</v>
          </cell>
          <cell r="F505" t="str">
            <v>LONGARINA CHASSI 01 / 33.20.10026.02</v>
          </cell>
          <cell r="G505" t="str">
            <v>VMI TECNOLOGIAS LTDA</v>
          </cell>
          <cell r="H505">
            <v>45934</v>
          </cell>
          <cell r="I505" t="str">
            <v>MARCO</v>
          </cell>
          <cell r="J505">
            <v>7</v>
          </cell>
          <cell r="K505">
            <v>178.63650000000001</v>
          </cell>
          <cell r="L505">
            <v>1250.46</v>
          </cell>
          <cell r="M505" t="str">
            <v>APROVADO</v>
          </cell>
          <cell r="N505" t="str">
            <v>10</v>
          </cell>
          <cell r="O505">
            <v>46034</v>
          </cell>
          <cell r="P505" t="str">
            <v>PRODUÇÃO DE JANEIRO DE 2026</v>
          </cell>
        </row>
        <row r="506">
          <cell r="B506" t="str">
            <v>049827037133.20.10031.02</v>
          </cell>
          <cell r="C506" t="str">
            <v>049827</v>
          </cell>
          <cell r="D506" t="str">
            <v>0371</v>
          </cell>
          <cell r="E506" t="str">
            <v>33.20.10031.02</v>
          </cell>
          <cell r="F506" t="str">
            <v>LONGARINA CHASSI 02 / 33.20.10031.02</v>
          </cell>
          <cell r="G506" t="str">
            <v>VMI TECNOLOGIAS LTDA</v>
          </cell>
          <cell r="H506">
            <v>45934</v>
          </cell>
          <cell r="I506" t="str">
            <v>MARCO</v>
          </cell>
          <cell r="J506">
            <v>7</v>
          </cell>
          <cell r="K506">
            <v>178.63650000000001</v>
          </cell>
          <cell r="L506">
            <v>1250.46</v>
          </cell>
          <cell r="M506" t="str">
            <v>APROVADO</v>
          </cell>
          <cell r="N506" t="str">
            <v>10</v>
          </cell>
          <cell r="O506">
            <v>46034</v>
          </cell>
          <cell r="P506" t="str">
            <v>PRODUÇÃO DE JANEIRO DE 2026</v>
          </cell>
        </row>
        <row r="507">
          <cell r="B507" t="str">
            <v>049827037233.20.10033.01</v>
          </cell>
          <cell r="C507" t="str">
            <v>049827</v>
          </cell>
          <cell r="D507" t="str">
            <v>0372</v>
          </cell>
          <cell r="E507" t="str">
            <v>33.20.10033.01</v>
          </cell>
          <cell r="F507" t="str">
            <v>SUPORTE BANDEJA CAIXA L SV / 33.20.10033.01</v>
          </cell>
          <cell r="G507" t="str">
            <v>VMI TECNOLOGIAS LTDA</v>
          </cell>
          <cell r="H507">
            <v>45934</v>
          </cell>
          <cell r="I507" t="str">
            <v>MARCO</v>
          </cell>
          <cell r="J507">
            <v>15</v>
          </cell>
          <cell r="K507">
            <v>49.5</v>
          </cell>
          <cell r="L507">
            <v>742.5</v>
          </cell>
          <cell r="M507" t="str">
            <v>APROVADO</v>
          </cell>
          <cell r="N507" t="str">
            <v>10</v>
          </cell>
          <cell r="O507">
            <v>46034</v>
          </cell>
          <cell r="P507" t="str">
            <v>PRODUÇÃO DE JANEIRO DE 2026</v>
          </cell>
        </row>
        <row r="508">
          <cell r="B508" t="str">
            <v>049827037333.20.10035.01</v>
          </cell>
          <cell r="C508" t="str">
            <v>049827</v>
          </cell>
          <cell r="D508" t="str">
            <v>0373</v>
          </cell>
          <cell r="E508" t="str">
            <v>33.20.10035.01</v>
          </cell>
          <cell r="F508" t="str">
            <v>MAO FRANCESA ESTRUTURA / 33.20.10035.01</v>
          </cell>
          <cell r="G508" t="str">
            <v>VMI TECNOLOGIAS LTDA</v>
          </cell>
          <cell r="H508">
            <v>45934</v>
          </cell>
          <cell r="I508" t="str">
            <v>MARCO</v>
          </cell>
          <cell r="J508">
            <v>32</v>
          </cell>
          <cell r="K508">
            <v>18.7</v>
          </cell>
          <cell r="L508">
            <v>598.4</v>
          </cell>
          <cell r="M508" t="str">
            <v>APROVADO</v>
          </cell>
          <cell r="N508" t="str">
            <v>10</v>
          </cell>
          <cell r="O508">
            <v>46034</v>
          </cell>
          <cell r="P508" t="str">
            <v>PRODUÇÃO DE JANEIRO DE 2026</v>
          </cell>
        </row>
        <row r="509">
          <cell r="B509" t="str">
            <v>049827037433.20.10036.01</v>
          </cell>
          <cell r="C509" t="str">
            <v>049827</v>
          </cell>
          <cell r="D509" t="str">
            <v>0374</v>
          </cell>
          <cell r="E509" t="str">
            <v>33.20.10036.01</v>
          </cell>
          <cell r="F509" t="str">
            <v>TRAVESSA SUPERIOR TUNEL / 33.20.10036.01</v>
          </cell>
          <cell r="G509" t="str">
            <v>VMI TECNOLOGIAS LTDA</v>
          </cell>
          <cell r="H509">
            <v>45934</v>
          </cell>
          <cell r="I509" t="str">
            <v>MARCO</v>
          </cell>
          <cell r="J509">
            <v>14</v>
          </cell>
          <cell r="K509">
            <v>201.97800000000001</v>
          </cell>
          <cell r="L509">
            <v>2827.69</v>
          </cell>
          <cell r="M509" t="str">
            <v>APROVADO</v>
          </cell>
          <cell r="N509" t="str">
            <v>10</v>
          </cell>
          <cell r="O509">
            <v>46034</v>
          </cell>
          <cell r="P509" t="str">
            <v>PRODUÇÃO DE JANEIRO DE 2026</v>
          </cell>
        </row>
        <row r="510">
          <cell r="B510" t="str">
            <v>049827037533.20.10038.02</v>
          </cell>
          <cell r="C510" t="str">
            <v>049827</v>
          </cell>
          <cell r="D510" t="str">
            <v>0375</v>
          </cell>
          <cell r="E510" t="str">
            <v>33.20.10038.02</v>
          </cell>
          <cell r="F510" t="str">
            <v>TRAVESSA LATERAL TUNEL / 33.20.10038.02</v>
          </cell>
          <cell r="G510" t="str">
            <v>VMI TECNOLOGIAS LTDA</v>
          </cell>
          <cell r="H510">
            <v>45934</v>
          </cell>
          <cell r="I510" t="str">
            <v>MARCO</v>
          </cell>
          <cell r="J510">
            <v>28</v>
          </cell>
          <cell r="K510">
            <v>101.241</v>
          </cell>
          <cell r="L510">
            <v>2834.75</v>
          </cell>
          <cell r="M510" t="str">
            <v>APROVADO</v>
          </cell>
          <cell r="N510" t="str">
            <v>10</v>
          </cell>
          <cell r="O510">
            <v>46034</v>
          </cell>
          <cell r="P510" t="str">
            <v>PRODUÇÃO DE JANEIRO DE 2026</v>
          </cell>
        </row>
        <row r="511">
          <cell r="B511" t="str">
            <v>049827037633.20.10040.02</v>
          </cell>
          <cell r="C511" t="str">
            <v>049827</v>
          </cell>
          <cell r="D511" t="str">
            <v>0376</v>
          </cell>
          <cell r="E511" t="str">
            <v>33.20.10040.02</v>
          </cell>
          <cell r="F511" t="str">
            <v>SUPORTE REGULAGEM GERADOR SV / 33.20.10040.02</v>
          </cell>
          <cell r="G511" t="str">
            <v>VMI TECNOLOGIAS LTDA</v>
          </cell>
          <cell r="H511">
            <v>45934</v>
          </cell>
          <cell r="I511" t="str">
            <v>MARCO</v>
          </cell>
          <cell r="J511">
            <v>7</v>
          </cell>
          <cell r="K511">
            <v>35</v>
          </cell>
          <cell r="L511">
            <v>245</v>
          </cell>
          <cell r="M511" t="str">
            <v>APROVADO</v>
          </cell>
          <cell r="N511" t="str">
            <v>10</v>
          </cell>
          <cell r="O511">
            <v>46034</v>
          </cell>
          <cell r="P511" t="str">
            <v>PRODUÇÃO DE JANEIRO DE 2026</v>
          </cell>
        </row>
        <row r="512">
          <cell r="B512" t="str">
            <v>049827037933.20.10046.02</v>
          </cell>
          <cell r="C512" t="str">
            <v>049827</v>
          </cell>
          <cell r="D512" t="str">
            <v>0379</v>
          </cell>
          <cell r="E512" t="str">
            <v>33.20.10046.02</v>
          </cell>
          <cell r="F512" t="str">
            <v>CHAPA LATERAL DO TUNEL / 33.20.10046.02</v>
          </cell>
          <cell r="G512" t="str">
            <v>VMI TECNOLOGIAS LTDA</v>
          </cell>
          <cell r="H512">
            <v>45934</v>
          </cell>
          <cell r="I512" t="str">
            <v>MARCO</v>
          </cell>
          <cell r="J512">
            <v>1</v>
          </cell>
          <cell r="K512">
            <v>177.702</v>
          </cell>
          <cell r="L512">
            <v>4975.66</v>
          </cell>
          <cell r="M512" t="str">
            <v>APROVADO</v>
          </cell>
          <cell r="N512" t="str">
            <v>10</v>
          </cell>
          <cell r="O512">
            <v>46034</v>
          </cell>
          <cell r="P512" t="str">
            <v>PRODUÇÃO DE JANEIRO DE 2026</v>
          </cell>
        </row>
        <row r="513">
          <cell r="B513" t="str">
            <v>049827038033.20.10048.01</v>
          </cell>
          <cell r="C513" t="str">
            <v>049827</v>
          </cell>
          <cell r="D513" t="str">
            <v>0380</v>
          </cell>
          <cell r="E513" t="str">
            <v>33.20.10048.01</v>
          </cell>
          <cell r="F513" t="str">
            <v>CHAPA TETO CENTRAL DO TUNEL / 33.20.10048.01</v>
          </cell>
          <cell r="G513" t="str">
            <v>VMI TECNOLOGIAS LTDA</v>
          </cell>
          <cell r="H513">
            <v>45934</v>
          </cell>
          <cell r="I513" t="str">
            <v>MARCO</v>
          </cell>
          <cell r="J513">
            <v>7</v>
          </cell>
          <cell r="K513">
            <v>99.991500000000002</v>
          </cell>
          <cell r="L513">
            <v>699.94</v>
          </cell>
          <cell r="M513" t="str">
            <v>APROVADO</v>
          </cell>
          <cell r="N513" t="str">
            <v>10</v>
          </cell>
          <cell r="O513">
            <v>46034</v>
          </cell>
          <cell r="P513" t="str">
            <v>PRODUÇÃO DE JANEIRO DE 2026</v>
          </cell>
        </row>
        <row r="514">
          <cell r="B514" t="str">
            <v>049827038133.20.10050.01</v>
          </cell>
          <cell r="C514" t="str">
            <v>049827</v>
          </cell>
          <cell r="D514" t="str">
            <v>0381</v>
          </cell>
          <cell r="E514" t="str">
            <v>33.20.10050.01</v>
          </cell>
          <cell r="F514" t="str">
            <v>CHAPA LATERAL DO TUNEL MENOR /33.20.10050.01</v>
          </cell>
          <cell r="G514" t="str">
            <v>VMI TECNOLOGIAS LTDA</v>
          </cell>
          <cell r="H514">
            <v>45934</v>
          </cell>
          <cell r="I514" t="str">
            <v>MARCO</v>
          </cell>
          <cell r="J514">
            <v>14</v>
          </cell>
          <cell r="K514">
            <v>85.228499999999997</v>
          </cell>
          <cell r="L514">
            <v>1193.2</v>
          </cell>
          <cell r="M514" t="str">
            <v>APROVADO</v>
          </cell>
          <cell r="N514" t="str">
            <v>10</v>
          </cell>
          <cell r="O514">
            <v>46034</v>
          </cell>
          <cell r="P514" t="str">
            <v>PRODUÇÃO DE JANEIRO DE 2026</v>
          </cell>
        </row>
        <row r="515">
          <cell r="B515" t="str">
            <v>049827038233.20.10051.01</v>
          </cell>
          <cell r="C515" t="str">
            <v>049827</v>
          </cell>
          <cell r="D515" t="str">
            <v>0382</v>
          </cell>
          <cell r="E515" t="str">
            <v>33.20.10051.01</v>
          </cell>
          <cell r="F515" t="str">
            <v>SUPORTE TAMPA SUPERIOR / 33.20.10051.01</v>
          </cell>
          <cell r="G515" t="str">
            <v>VMI TECNOLOGIAS LTDA</v>
          </cell>
          <cell r="H515">
            <v>45934</v>
          </cell>
          <cell r="I515" t="str">
            <v>MARCO</v>
          </cell>
          <cell r="J515">
            <v>7</v>
          </cell>
          <cell r="K515">
            <v>87</v>
          </cell>
          <cell r="L515">
            <v>609</v>
          </cell>
          <cell r="M515" t="str">
            <v>APROVADO</v>
          </cell>
          <cell r="N515" t="str">
            <v>10</v>
          </cell>
          <cell r="O515">
            <v>46034</v>
          </cell>
          <cell r="P515" t="str">
            <v>PRODUÇÃO DE JANEIRO DE 2026</v>
          </cell>
        </row>
        <row r="516">
          <cell r="B516" t="str">
            <v>049827038333.20.10052.03</v>
          </cell>
          <cell r="C516" t="str">
            <v>049827</v>
          </cell>
          <cell r="D516" t="str">
            <v>0383</v>
          </cell>
          <cell r="E516" t="str">
            <v>33.20.10052.03</v>
          </cell>
          <cell r="F516" t="str">
            <v>SUPORTE GERADOR DV / 33.20.10052.03</v>
          </cell>
          <cell r="G516" t="str">
            <v>VMI TECNOLOGIAS LTDA</v>
          </cell>
          <cell r="H516">
            <v>45934</v>
          </cell>
          <cell r="I516" t="str">
            <v>MARCO</v>
          </cell>
          <cell r="J516">
            <v>2</v>
          </cell>
          <cell r="K516">
            <v>158.37</v>
          </cell>
          <cell r="L516">
            <v>316.74</v>
          </cell>
          <cell r="M516" t="str">
            <v>APROVADO</v>
          </cell>
          <cell r="N516" t="str">
            <v>10</v>
          </cell>
          <cell r="O516">
            <v>46034</v>
          </cell>
          <cell r="P516" t="str">
            <v>PRODUÇÃO DE JANEIRO DE 2026</v>
          </cell>
        </row>
        <row r="517">
          <cell r="B517" t="str">
            <v>049827038533.20.10056.01</v>
          </cell>
          <cell r="C517" t="str">
            <v>049827</v>
          </cell>
          <cell r="D517" t="str">
            <v>0385</v>
          </cell>
          <cell r="E517" t="str">
            <v>33.20.10056.01</v>
          </cell>
          <cell r="F517" t="str">
            <v>CHAPA BANDEJA INTERNA TUNEL 01 / 33.20.10056.01</v>
          </cell>
          <cell r="G517" t="str">
            <v>VMI TECNOLOGIAS LTDA</v>
          </cell>
          <cell r="H517">
            <v>45934</v>
          </cell>
          <cell r="I517" t="str">
            <v>MARCO</v>
          </cell>
          <cell r="J517">
            <v>21</v>
          </cell>
          <cell r="K517">
            <v>204.876</v>
          </cell>
          <cell r="L517">
            <v>4302.3999999999996</v>
          </cell>
          <cell r="M517" t="str">
            <v>APROVADO</v>
          </cell>
          <cell r="N517" t="str">
            <v>10</v>
          </cell>
          <cell r="O517">
            <v>46034</v>
          </cell>
          <cell r="P517" t="str">
            <v>PRODUÇÃO DE JANEIRO DE 2026</v>
          </cell>
        </row>
        <row r="518">
          <cell r="B518" t="str">
            <v>049827038633.20.10059.01</v>
          </cell>
          <cell r="C518" t="str">
            <v>049827</v>
          </cell>
          <cell r="D518" t="str">
            <v>0386</v>
          </cell>
          <cell r="E518" t="str">
            <v>33.20.10059.01</v>
          </cell>
          <cell r="F518" t="str">
            <v>CHAPA BANDEJA INTERNA TUNEL 02 / 33.20.10059.01</v>
          </cell>
          <cell r="G518" t="str">
            <v>VMI TECNOLOGIAS LTDA</v>
          </cell>
          <cell r="H518">
            <v>45934</v>
          </cell>
          <cell r="I518" t="str">
            <v>MARCO</v>
          </cell>
          <cell r="J518">
            <v>25</v>
          </cell>
          <cell r="K518">
            <v>194.18700000000001</v>
          </cell>
          <cell r="L518">
            <v>4854.68</v>
          </cell>
          <cell r="M518" t="str">
            <v>APROVADO</v>
          </cell>
          <cell r="N518" t="str">
            <v>10</v>
          </cell>
          <cell r="O518">
            <v>46034</v>
          </cell>
          <cell r="P518" t="str">
            <v>PRODUÇÃO DE JANEIRO DE 2026</v>
          </cell>
        </row>
        <row r="519">
          <cell r="B519" t="str">
            <v>049827038933.20.10112.02</v>
          </cell>
          <cell r="C519" t="str">
            <v>049827</v>
          </cell>
          <cell r="D519" t="str">
            <v>0389</v>
          </cell>
          <cell r="E519" t="str">
            <v>33.20.10112.02</v>
          </cell>
          <cell r="F519" t="str">
            <v>GRADE SILICA CAIXA L - 100100 SV VMI / 33.20.10112.02</v>
          </cell>
          <cell r="G519" t="str">
            <v>VMI TECNOLOGIAS LTDA</v>
          </cell>
          <cell r="H519">
            <v>45934</v>
          </cell>
          <cell r="I519" t="str">
            <v>MARCO</v>
          </cell>
          <cell r="J519">
            <v>18</v>
          </cell>
          <cell r="K519">
            <v>23.31</v>
          </cell>
          <cell r="L519">
            <v>419.58</v>
          </cell>
          <cell r="M519" t="str">
            <v>APROVADO</v>
          </cell>
          <cell r="N519" t="str">
            <v>10</v>
          </cell>
          <cell r="O519">
            <v>46034</v>
          </cell>
          <cell r="P519" t="str">
            <v>PRODUÇÃO DE JANEIRO DE 2026</v>
          </cell>
        </row>
        <row r="520">
          <cell r="B520" t="str">
            <v>049827039433.20.10123.01</v>
          </cell>
          <cell r="C520" t="str">
            <v>049827</v>
          </cell>
          <cell r="D520" t="str">
            <v>0394</v>
          </cell>
          <cell r="E520" t="str">
            <v>33.20.10123.01</v>
          </cell>
          <cell r="F520" t="str">
            <v>SUPORTE 2 COLIMADOR SV / 33.20.10123.01</v>
          </cell>
          <cell r="G520" t="str">
            <v>VMI TECNOLOGIAS LTDA</v>
          </cell>
          <cell r="H520">
            <v>45934</v>
          </cell>
          <cell r="I520" t="str">
            <v>MARCO</v>
          </cell>
          <cell r="J520">
            <v>8</v>
          </cell>
          <cell r="K520">
            <v>49</v>
          </cell>
          <cell r="L520">
            <v>392</v>
          </cell>
          <cell r="M520" t="str">
            <v>APROVADO</v>
          </cell>
          <cell r="N520" t="str">
            <v>10</v>
          </cell>
          <cell r="O520">
            <v>46034</v>
          </cell>
          <cell r="P520" t="str">
            <v>PRODUÇÃO DE JANEIRO DE 2026</v>
          </cell>
        </row>
        <row r="521">
          <cell r="B521" t="str">
            <v>049827039533.20.10124.01</v>
          </cell>
          <cell r="C521" t="str">
            <v>049827</v>
          </cell>
          <cell r="D521" t="str">
            <v>0395</v>
          </cell>
          <cell r="E521" t="str">
            <v>33.20.10124.01</v>
          </cell>
          <cell r="F521" t="str">
            <v>SUPORTE 1 COLIMADOR SV / 33.20.10124.01</v>
          </cell>
          <cell r="G521" t="str">
            <v>VMI TECNOLOGIAS LTDA</v>
          </cell>
          <cell r="H521">
            <v>45934</v>
          </cell>
          <cell r="I521" t="str">
            <v>MARCO</v>
          </cell>
          <cell r="J521">
            <v>5</v>
          </cell>
          <cell r="K521">
            <v>49</v>
          </cell>
          <cell r="L521">
            <v>392</v>
          </cell>
          <cell r="M521" t="str">
            <v>APROVADO</v>
          </cell>
          <cell r="N521" t="str">
            <v>10</v>
          </cell>
          <cell r="O521">
            <v>46034</v>
          </cell>
          <cell r="P521" t="str">
            <v>PRODUÇÃO DE JANEIRO DE 2026</v>
          </cell>
        </row>
        <row r="522">
          <cell r="B522" t="str">
            <v>049827039633.20.10125.01</v>
          </cell>
          <cell r="C522" t="str">
            <v>049827</v>
          </cell>
          <cell r="D522" t="str">
            <v>0396</v>
          </cell>
          <cell r="E522" t="str">
            <v>33.20.10125.01</v>
          </cell>
          <cell r="F522" t="str">
            <v>CHAPA FECHAMENTO FIXO COLIMADOR SV / 33.20.10125.01</v>
          </cell>
          <cell r="G522" t="str">
            <v>VMI TECNOLOGIAS LTDA</v>
          </cell>
          <cell r="H522">
            <v>45934</v>
          </cell>
          <cell r="I522" t="str">
            <v>MARCO</v>
          </cell>
          <cell r="J522">
            <v>8</v>
          </cell>
          <cell r="K522">
            <v>38</v>
          </cell>
          <cell r="L522">
            <v>304</v>
          </cell>
          <cell r="M522" t="str">
            <v>APROVADO</v>
          </cell>
          <cell r="N522" t="str">
            <v>10</v>
          </cell>
          <cell r="O522">
            <v>46034</v>
          </cell>
          <cell r="P522" t="str">
            <v>PRODUÇÃO DE JANEIRO DE 2026</v>
          </cell>
        </row>
        <row r="523">
          <cell r="B523" t="str">
            <v>049827039733.20.10126.01</v>
          </cell>
          <cell r="C523" t="str">
            <v>049827</v>
          </cell>
          <cell r="D523" t="str">
            <v>0397</v>
          </cell>
          <cell r="E523" t="str">
            <v>33.20.10126.01</v>
          </cell>
          <cell r="F523" t="str">
            <v>CHAPA MANIPULO COLIMADOR DV / 33.20.10126.01</v>
          </cell>
          <cell r="G523" t="str">
            <v>VMI TECNOLOGIAS LTDA</v>
          </cell>
          <cell r="H523">
            <v>45934</v>
          </cell>
          <cell r="I523" t="str">
            <v>MARCO</v>
          </cell>
          <cell r="J523">
            <v>12</v>
          </cell>
          <cell r="K523">
            <v>12.327</v>
          </cell>
          <cell r="L523">
            <v>147.91999999999999</v>
          </cell>
          <cell r="M523" t="str">
            <v>APROVADO</v>
          </cell>
          <cell r="N523" t="str">
            <v>10</v>
          </cell>
          <cell r="O523">
            <v>46034</v>
          </cell>
          <cell r="P523" t="str">
            <v>PRODUÇÃO DE JANEIRO DE 2026</v>
          </cell>
        </row>
        <row r="524">
          <cell r="B524" t="str">
            <v>049827039833.20.10128.01</v>
          </cell>
          <cell r="C524" t="str">
            <v>049827</v>
          </cell>
          <cell r="D524" t="str">
            <v>0398</v>
          </cell>
          <cell r="E524" t="str">
            <v>33.20.10128.01</v>
          </cell>
          <cell r="F524" t="str">
            <v>CHAPA MONTAGEM VEDACAO COLIMADOR DV / 33.20.10128.01</v>
          </cell>
          <cell r="G524" t="str">
            <v>VMI TECNOLOGIAS LTDA</v>
          </cell>
          <cell r="H524">
            <v>45934</v>
          </cell>
          <cell r="I524" t="str">
            <v>MARCO</v>
          </cell>
          <cell r="J524">
            <v>4</v>
          </cell>
          <cell r="K524">
            <v>16.946999999999999</v>
          </cell>
          <cell r="L524">
            <v>67.790000000000006</v>
          </cell>
          <cell r="M524" t="str">
            <v>APROVADO</v>
          </cell>
          <cell r="N524" t="str">
            <v>10</v>
          </cell>
          <cell r="O524">
            <v>46034</v>
          </cell>
          <cell r="P524" t="str">
            <v>PRODUÇÃO DE JANEIRO DE 2026</v>
          </cell>
        </row>
        <row r="525">
          <cell r="B525" t="str">
            <v>049827040133.20.10133.02</v>
          </cell>
          <cell r="C525" t="str">
            <v>049827</v>
          </cell>
          <cell r="D525" t="str">
            <v>0401</v>
          </cell>
          <cell r="E525" t="str">
            <v>33.20.10133.02</v>
          </cell>
          <cell r="F525" t="str">
            <v>PAINEL ELETRICO 100100 / 33.20.10133.02</v>
          </cell>
          <cell r="G525" t="str">
            <v>VMI TECNOLOGIAS LTDA</v>
          </cell>
          <cell r="H525">
            <v>45934</v>
          </cell>
          <cell r="I525" t="str">
            <v>MARCO</v>
          </cell>
          <cell r="J525">
            <v>7</v>
          </cell>
          <cell r="K525">
            <v>72</v>
          </cell>
          <cell r="L525">
            <v>504</v>
          </cell>
          <cell r="M525" t="str">
            <v>APROVADO</v>
          </cell>
          <cell r="N525" t="str">
            <v>10</v>
          </cell>
          <cell r="O525">
            <v>46034</v>
          </cell>
          <cell r="P525" t="str">
            <v>PRODUÇÃO DE JANEIRO DE 2026</v>
          </cell>
        </row>
        <row r="526">
          <cell r="B526" t="str">
            <v>049827040233.20.10135.01</v>
          </cell>
          <cell r="C526" t="str">
            <v>049827</v>
          </cell>
          <cell r="D526" t="str">
            <v>0402</v>
          </cell>
          <cell r="E526" t="str">
            <v>33.20.10135.01</v>
          </cell>
          <cell r="F526" t="str">
            <v>TRAVE SUSTENTACAO COLIMADOR SV / 33.20.10135.01</v>
          </cell>
          <cell r="G526" t="str">
            <v>VMI TECNOLOGIAS LTDA</v>
          </cell>
          <cell r="H526">
            <v>45934</v>
          </cell>
          <cell r="I526" t="str">
            <v>MARCO</v>
          </cell>
          <cell r="J526">
            <v>7</v>
          </cell>
          <cell r="K526">
            <v>48</v>
          </cell>
          <cell r="L526">
            <v>336</v>
          </cell>
          <cell r="M526" t="str">
            <v>APROVADO</v>
          </cell>
          <cell r="N526" t="str">
            <v>10</v>
          </cell>
          <cell r="O526">
            <v>46034</v>
          </cell>
          <cell r="P526" t="str">
            <v>PRODUÇÃO DE JANEIRO DE 2026</v>
          </cell>
        </row>
        <row r="527">
          <cell r="B527" t="str">
            <v>049827040333.20.10143.01</v>
          </cell>
          <cell r="C527" t="str">
            <v>049827</v>
          </cell>
          <cell r="D527" t="str">
            <v>0403</v>
          </cell>
          <cell r="E527" t="str">
            <v>33.20.10143.01</v>
          </cell>
          <cell r="F527" t="str">
            <v>MONTAGEM REBITES COLIMADOR FINAL / 33.20.10143.01</v>
          </cell>
          <cell r="G527" t="str">
            <v>VMI TECNOLOGIAS LTDA</v>
          </cell>
          <cell r="H527">
            <v>45934</v>
          </cell>
          <cell r="I527" t="str">
            <v>MARCO</v>
          </cell>
          <cell r="J527">
            <v>7</v>
          </cell>
          <cell r="K527">
            <v>74</v>
          </cell>
          <cell r="L527">
            <v>518</v>
          </cell>
          <cell r="M527" t="str">
            <v>APROVADO</v>
          </cell>
          <cell r="N527" t="str">
            <v>10</v>
          </cell>
          <cell r="O527">
            <v>46034</v>
          </cell>
          <cell r="P527" t="str">
            <v>PRODUÇÃO DE JANEIRO DE 2026</v>
          </cell>
        </row>
        <row r="528">
          <cell r="B528" t="str">
            <v>049827040433.20.10145.01</v>
          </cell>
          <cell r="C528" t="str">
            <v>049827</v>
          </cell>
          <cell r="D528" t="str">
            <v>0404</v>
          </cell>
          <cell r="E528" t="str">
            <v>33.20.10145.01</v>
          </cell>
          <cell r="F528" t="str">
            <v>CHAPA FECHAMENTO COLIMADOR FINAL / 33.20.10145.01</v>
          </cell>
          <cell r="G528" t="str">
            <v>VMI TECNOLOGIAS LTDA</v>
          </cell>
          <cell r="H528">
            <v>45934</v>
          </cell>
          <cell r="I528" t="str">
            <v>MARCO</v>
          </cell>
          <cell r="J528">
            <v>14</v>
          </cell>
          <cell r="K528">
            <v>38</v>
          </cell>
          <cell r="L528">
            <v>532</v>
          </cell>
          <cell r="M528" t="str">
            <v>APROVADO</v>
          </cell>
          <cell r="N528" t="str">
            <v>10</v>
          </cell>
          <cell r="O528">
            <v>46034</v>
          </cell>
          <cell r="P528" t="str">
            <v>PRODUÇÃO DE JANEIRO DE 2026</v>
          </cell>
        </row>
        <row r="529">
          <cell r="B529" t="str">
            <v>049827040533.20.10146.01</v>
          </cell>
          <cell r="C529" t="str">
            <v>049827</v>
          </cell>
          <cell r="D529" t="str">
            <v>0405</v>
          </cell>
          <cell r="E529" t="str">
            <v>33.20.10146.01</v>
          </cell>
          <cell r="F529" t="str">
            <v>CHAPA MONTAGEM VEDACAO COLIMADOR SV / 33.20.10146.01</v>
          </cell>
          <cell r="G529" t="str">
            <v>VMI TECNOLOGIAS LTDA</v>
          </cell>
          <cell r="H529">
            <v>45934</v>
          </cell>
          <cell r="I529" t="str">
            <v>MARCO</v>
          </cell>
          <cell r="J529">
            <v>7</v>
          </cell>
          <cell r="K529">
            <v>41</v>
          </cell>
          <cell r="L529">
            <v>287</v>
          </cell>
          <cell r="M529" t="str">
            <v>APROVADO</v>
          </cell>
          <cell r="N529" t="str">
            <v>10</v>
          </cell>
          <cell r="O529">
            <v>46034</v>
          </cell>
          <cell r="P529" t="str">
            <v>PRODUÇÃO DE JANEIRO DE 2026</v>
          </cell>
        </row>
        <row r="530">
          <cell r="B530" t="str">
            <v>049827040633.20.10148.02</v>
          </cell>
          <cell r="C530" t="str">
            <v>049827</v>
          </cell>
          <cell r="D530" t="str">
            <v>0406</v>
          </cell>
          <cell r="E530" t="str">
            <v>33.20.10148.02</v>
          </cell>
          <cell r="F530" t="str">
            <v>SUPORTE GERADOR SV / 33.20.10148.02</v>
          </cell>
          <cell r="G530" t="str">
            <v>VMI TECNOLOGIAS LTDA</v>
          </cell>
          <cell r="H530">
            <v>45934</v>
          </cell>
          <cell r="I530" t="str">
            <v>MARCO</v>
          </cell>
          <cell r="J530">
            <v>7</v>
          </cell>
          <cell r="K530">
            <v>273.75</v>
          </cell>
          <cell r="L530">
            <v>1916.25</v>
          </cell>
          <cell r="M530" t="str">
            <v>APROVADO</v>
          </cell>
          <cell r="N530" t="str">
            <v>10</v>
          </cell>
          <cell r="O530">
            <v>46034</v>
          </cell>
          <cell r="P530" t="str">
            <v>PRODUÇÃO DE JANEIRO DE 2026</v>
          </cell>
        </row>
        <row r="531">
          <cell r="B531" t="str">
            <v>049827040833.20.10169.01</v>
          </cell>
          <cell r="C531" t="str">
            <v>049827</v>
          </cell>
          <cell r="D531" t="str">
            <v>0408</v>
          </cell>
          <cell r="E531" t="str">
            <v>33.20.10169.01</v>
          </cell>
          <cell r="F531" t="str">
            <v>CHAPA LATERAL 01 COLIMADOR DV / 33.20.10169.01</v>
          </cell>
          <cell r="G531" t="str">
            <v>VMI TECNOLOGIAS LTDA</v>
          </cell>
          <cell r="H531">
            <v>45934</v>
          </cell>
          <cell r="I531" t="str">
            <v>MARCO</v>
          </cell>
          <cell r="J531">
            <v>2</v>
          </cell>
          <cell r="K531">
            <v>171.32849999999999</v>
          </cell>
          <cell r="L531">
            <v>342.66</v>
          </cell>
          <cell r="M531" t="str">
            <v>APROVADO</v>
          </cell>
          <cell r="N531" t="str">
            <v>10</v>
          </cell>
          <cell r="O531">
            <v>46034</v>
          </cell>
          <cell r="P531" t="str">
            <v>PRODUÇÃO DE JANEIRO DE 2026</v>
          </cell>
        </row>
        <row r="532">
          <cell r="B532" t="str">
            <v>049827040933.20.10172.01</v>
          </cell>
          <cell r="C532" t="str">
            <v>049827</v>
          </cell>
          <cell r="D532" t="str">
            <v>0409</v>
          </cell>
          <cell r="E532" t="str">
            <v>33.20.10172.01</v>
          </cell>
          <cell r="F532" t="str">
            <v>CHAPA LATERAL 02 COLIMADOR DV / 33.20.10172.01</v>
          </cell>
          <cell r="G532" t="str">
            <v>VMI TECNOLOGIAS LTDA</v>
          </cell>
          <cell r="H532">
            <v>45934</v>
          </cell>
          <cell r="I532" t="str">
            <v>MARCO</v>
          </cell>
          <cell r="J532">
            <v>2</v>
          </cell>
          <cell r="K532">
            <v>171.32849999999999</v>
          </cell>
          <cell r="L532">
            <v>342.66</v>
          </cell>
          <cell r="M532" t="str">
            <v>APROVADO</v>
          </cell>
          <cell r="N532" t="str">
            <v>10</v>
          </cell>
          <cell r="O532">
            <v>46034</v>
          </cell>
          <cell r="P532" t="str">
            <v>PRODUÇÃO DE JANEIRO DE 2026</v>
          </cell>
        </row>
        <row r="533">
          <cell r="B533" t="str">
            <v>049827041033.20.10173.01</v>
          </cell>
          <cell r="C533" t="str">
            <v>049827</v>
          </cell>
          <cell r="D533" t="str">
            <v>0410</v>
          </cell>
          <cell r="E533" t="str">
            <v>33.20.10173.01</v>
          </cell>
          <cell r="F533" t="str">
            <v>CHAPA FECHAMENTO INFERIOR COLIMADOR / 33.20.10173.01</v>
          </cell>
          <cell r="G533" t="str">
            <v>VMI TECNOLOGIAS LTDA</v>
          </cell>
          <cell r="H533">
            <v>45934</v>
          </cell>
          <cell r="I533" t="str">
            <v>MARCO</v>
          </cell>
          <cell r="J533">
            <v>2</v>
          </cell>
          <cell r="K533">
            <v>40</v>
          </cell>
          <cell r="L533">
            <v>80</v>
          </cell>
          <cell r="M533" t="str">
            <v>APROVADO</v>
          </cell>
          <cell r="N533" t="str">
            <v>10</v>
          </cell>
          <cell r="O533">
            <v>46034</v>
          </cell>
          <cell r="P533" t="str">
            <v>PRODUÇÃO DE JANEIRO DE 2026</v>
          </cell>
        </row>
        <row r="534">
          <cell r="B534" t="str">
            <v>049827041133.20.10174.01</v>
          </cell>
          <cell r="C534" t="str">
            <v>049827</v>
          </cell>
          <cell r="D534" t="str">
            <v>0411</v>
          </cell>
          <cell r="E534" t="str">
            <v>33.20.10174.01</v>
          </cell>
          <cell r="F534" t="str">
            <v>CHAPA FECHAMENTO SUPERIOR COLIMADOR / 33.20.10174.01</v>
          </cell>
          <cell r="G534" t="str">
            <v>VMI TECNOLOGIAS LTDA</v>
          </cell>
          <cell r="H534">
            <v>45934</v>
          </cell>
          <cell r="I534" t="str">
            <v>MARCO</v>
          </cell>
          <cell r="J534">
            <v>2</v>
          </cell>
          <cell r="K534">
            <v>38</v>
          </cell>
          <cell r="L534">
            <v>76</v>
          </cell>
          <cell r="M534" t="str">
            <v>APROVADO</v>
          </cell>
          <cell r="N534" t="str">
            <v>10</v>
          </cell>
          <cell r="O534">
            <v>46034</v>
          </cell>
          <cell r="P534" t="str">
            <v>PRODUÇÃO DE JANEIRO DE 2026</v>
          </cell>
        </row>
        <row r="535">
          <cell r="B535" t="str">
            <v>049827041233.20.10175.01</v>
          </cell>
          <cell r="C535" t="str">
            <v>049827</v>
          </cell>
          <cell r="D535" t="str">
            <v>0412</v>
          </cell>
          <cell r="E535" t="str">
            <v>33.20.10175.01</v>
          </cell>
          <cell r="F535" t="str">
            <v>CHAPA TAMPA COLIMADOR DV / 33.20.10175.01</v>
          </cell>
          <cell r="G535" t="str">
            <v>VMI TECNOLOGIAS LTDA</v>
          </cell>
          <cell r="H535">
            <v>45934</v>
          </cell>
          <cell r="I535" t="str">
            <v>MARCO</v>
          </cell>
          <cell r="J535">
            <v>2</v>
          </cell>
          <cell r="K535">
            <v>35</v>
          </cell>
          <cell r="L535">
            <v>70</v>
          </cell>
          <cell r="M535" t="str">
            <v>APROVADO</v>
          </cell>
          <cell r="N535" t="str">
            <v>10</v>
          </cell>
          <cell r="O535">
            <v>46034</v>
          </cell>
          <cell r="P535" t="str">
            <v>PRODUÇÃO DE JANEIRO DE 2026</v>
          </cell>
        </row>
        <row r="536">
          <cell r="B536" t="str">
            <v>049827041333.20.10176.01</v>
          </cell>
          <cell r="C536" t="str">
            <v>049827</v>
          </cell>
          <cell r="D536" t="str">
            <v>0413</v>
          </cell>
          <cell r="E536" t="str">
            <v>33.20.10176.01</v>
          </cell>
          <cell r="F536" t="str">
            <v>COLIMADOR FINAL DV / 33.20.10176.01</v>
          </cell>
          <cell r="G536" t="str">
            <v>VMI TECNOLOGIAS LTDA</v>
          </cell>
          <cell r="H536">
            <v>45934</v>
          </cell>
          <cell r="I536" t="str">
            <v>MARCO</v>
          </cell>
          <cell r="J536">
            <v>1</v>
          </cell>
          <cell r="K536">
            <v>61</v>
          </cell>
          <cell r="L536">
            <v>122</v>
          </cell>
          <cell r="M536" t="str">
            <v>APROVADO</v>
          </cell>
          <cell r="N536" t="str">
            <v>10</v>
          </cell>
          <cell r="O536">
            <v>46034</v>
          </cell>
          <cell r="P536" t="str">
            <v>PRODUÇÃO DE JANEIRO DE 2026</v>
          </cell>
        </row>
        <row r="537">
          <cell r="B537" t="str">
            <v>049827041433.20.10178.01</v>
          </cell>
          <cell r="C537" t="str">
            <v>049827</v>
          </cell>
          <cell r="D537" t="str">
            <v>0414</v>
          </cell>
          <cell r="E537" t="str">
            <v>33.20.10178.01</v>
          </cell>
          <cell r="F537" t="str">
            <v>CHAPA COLIMACAO FINAL DV / 33.20.10178.01</v>
          </cell>
          <cell r="G537" t="str">
            <v>VMI TECNOLOGIAS LTDA</v>
          </cell>
          <cell r="H537">
            <v>45934</v>
          </cell>
          <cell r="I537" t="str">
            <v>MARCO</v>
          </cell>
          <cell r="J537">
            <v>3</v>
          </cell>
          <cell r="K537">
            <v>14.5</v>
          </cell>
          <cell r="L537">
            <v>58</v>
          </cell>
          <cell r="M537" t="str">
            <v>APROVADO</v>
          </cell>
          <cell r="N537" t="str">
            <v>10</v>
          </cell>
          <cell r="O537">
            <v>46034</v>
          </cell>
          <cell r="P537" t="str">
            <v>PRODUÇÃO DE JANEIRO DE 2026</v>
          </cell>
        </row>
        <row r="538">
          <cell r="B538" t="str">
            <v>049827041733.20.10225.01</v>
          </cell>
          <cell r="C538" t="str">
            <v>049827</v>
          </cell>
          <cell r="D538" t="str">
            <v>0417</v>
          </cell>
          <cell r="E538" t="str">
            <v>33.20.10225.01</v>
          </cell>
          <cell r="F538" t="str">
            <v>SUPORTE TAMPA / 33.20.10225.01</v>
          </cell>
          <cell r="G538" t="str">
            <v>VMI TECNOLOGIAS LTDA</v>
          </cell>
          <cell r="H538">
            <v>45934</v>
          </cell>
          <cell r="I538" t="str">
            <v>MARCO</v>
          </cell>
          <cell r="J538">
            <v>1</v>
          </cell>
          <cell r="K538">
            <v>15.8</v>
          </cell>
          <cell r="L538">
            <v>663.6</v>
          </cell>
          <cell r="M538" t="str">
            <v>APROVADO</v>
          </cell>
          <cell r="N538" t="str">
            <v>10</v>
          </cell>
          <cell r="O538">
            <v>46034</v>
          </cell>
          <cell r="P538" t="str">
            <v>PRODUÇÃO DE JANEIRO DE 2026</v>
          </cell>
        </row>
        <row r="539">
          <cell r="B539" t="str">
            <v>049827041833.20.10263.01</v>
          </cell>
          <cell r="C539" t="str">
            <v>049827</v>
          </cell>
          <cell r="D539" t="str">
            <v>0418</v>
          </cell>
          <cell r="E539" t="str">
            <v>33.20.10263.01</v>
          </cell>
          <cell r="F539" t="str">
            <v>FECHAMENTO 01 TAMPAS LATERAIS / 33.20.10263.01</v>
          </cell>
          <cell r="G539" t="str">
            <v>VMI TECNOLOGIAS LTDA</v>
          </cell>
          <cell r="H539">
            <v>45934</v>
          </cell>
          <cell r="I539" t="str">
            <v>MARCO</v>
          </cell>
          <cell r="J539">
            <v>14</v>
          </cell>
          <cell r="K539">
            <v>68</v>
          </cell>
          <cell r="L539">
            <v>952</v>
          </cell>
          <cell r="M539" t="str">
            <v>APROVADO</v>
          </cell>
          <cell r="N539" t="str">
            <v>10</v>
          </cell>
          <cell r="O539">
            <v>46034</v>
          </cell>
          <cell r="P539" t="str">
            <v>PRODUÇÃO DE JANEIRO DE 2026</v>
          </cell>
        </row>
        <row r="540">
          <cell r="B540" t="str">
            <v>049827041933.20.10264.01</v>
          </cell>
          <cell r="C540" t="str">
            <v>049827</v>
          </cell>
          <cell r="D540" t="str">
            <v>0419</v>
          </cell>
          <cell r="E540" t="str">
            <v>33.20.10264.01</v>
          </cell>
          <cell r="F540" t="str">
            <v>FECHAMENTO 02 TAMPAS LATERAIS / 33.20.10264.01</v>
          </cell>
          <cell r="G540" t="str">
            <v>VMI TECNOLOGIAS LTDA</v>
          </cell>
          <cell r="H540">
            <v>45934</v>
          </cell>
          <cell r="I540" t="str">
            <v>MARCO</v>
          </cell>
          <cell r="J540">
            <v>14</v>
          </cell>
          <cell r="K540">
            <v>68</v>
          </cell>
          <cell r="L540">
            <v>952</v>
          </cell>
          <cell r="M540" t="str">
            <v>APROVADO</v>
          </cell>
          <cell r="N540" t="str">
            <v>10</v>
          </cell>
          <cell r="O540">
            <v>46034</v>
          </cell>
          <cell r="P540" t="str">
            <v>PRODUÇÃO DE JANEIRO DE 2026</v>
          </cell>
        </row>
        <row r="541">
          <cell r="B541" t="str">
            <v>049827042033.20.10272.00</v>
          </cell>
          <cell r="C541" t="str">
            <v>049827</v>
          </cell>
          <cell r="D541" t="str">
            <v>0420</v>
          </cell>
          <cell r="E541" t="str">
            <v>33.20.10272.00</v>
          </cell>
          <cell r="F541" t="str">
            <v>MASCARA FIXACAO ACRILICO / 33.20.10272.00</v>
          </cell>
          <cell r="G541" t="str">
            <v>VMI TECNOLOGIAS LTDA</v>
          </cell>
          <cell r="H541">
            <v>45934</v>
          </cell>
          <cell r="I541" t="str">
            <v>MARCO</v>
          </cell>
          <cell r="J541">
            <v>72</v>
          </cell>
          <cell r="K541">
            <v>9.6074999999999999</v>
          </cell>
          <cell r="L541">
            <v>691.74</v>
          </cell>
          <cell r="M541" t="str">
            <v>APROVADO</v>
          </cell>
          <cell r="N541" t="str">
            <v>10</v>
          </cell>
          <cell r="O541">
            <v>46034</v>
          </cell>
          <cell r="P541" t="str">
            <v>PRODUÇÃO DE JANEIRO DE 2026</v>
          </cell>
        </row>
        <row r="542">
          <cell r="B542" t="str">
            <v>049827042133.20.10275.01</v>
          </cell>
          <cell r="C542" t="str">
            <v>049827</v>
          </cell>
          <cell r="D542" t="str">
            <v>0421</v>
          </cell>
          <cell r="E542" t="str">
            <v>33.20.10275.01</v>
          </cell>
          <cell r="F542" t="str">
            <v>APOIO CONTROLADORA SV / 33.20.10275.01</v>
          </cell>
          <cell r="G542" t="str">
            <v>VMI TECNOLOGIAS LTDA</v>
          </cell>
          <cell r="H542">
            <v>45934</v>
          </cell>
          <cell r="I542" t="str">
            <v>MARCO</v>
          </cell>
          <cell r="J542">
            <v>7</v>
          </cell>
          <cell r="K542">
            <v>45</v>
          </cell>
          <cell r="L542">
            <v>315</v>
          </cell>
          <cell r="M542" t="str">
            <v>APROVADO</v>
          </cell>
          <cell r="N542" t="str">
            <v>10</v>
          </cell>
          <cell r="O542">
            <v>46034</v>
          </cell>
          <cell r="P542" t="str">
            <v>PRODUÇÃO DE JANEIRO DE 2026</v>
          </cell>
        </row>
        <row r="543">
          <cell r="B543" t="str">
            <v>049827042233.20.10306.03</v>
          </cell>
          <cell r="C543" t="str">
            <v>049827</v>
          </cell>
          <cell r="D543" t="str">
            <v>0422</v>
          </cell>
          <cell r="E543" t="str">
            <v>33.20.10306.03</v>
          </cell>
          <cell r="F543" t="str">
            <v>TAMPA VERTICAL CAIXA  L - 100100 SV VMI / 33.20.10306.03</v>
          </cell>
          <cell r="G543" t="str">
            <v>VMI TECNOLOGIAS LTDA</v>
          </cell>
          <cell r="H543">
            <v>45934</v>
          </cell>
          <cell r="I543" t="str">
            <v>MARCO</v>
          </cell>
          <cell r="J543">
            <v>6</v>
          </cell>
          <cell r="K543">
            <v>92.872500000000002</v>
          </cell>
          <cell r="L543">
            <v>557.24</v>
          </cell>
          <cell r="M543" t="str">
            <v>APROVADO</v>
          </cell>
          <cell r="N543" t="str">
            <v>10</v>
          </cell>
          <cell r="O543">
            <v>46034</v>
          </cell>
          <cell r="P543" t="str">
            <v>PRODUÇÃO DE JANEIRO DE 2026</v>
          </cell>
        </row>
        <row r="544">
          <cell r="B544" t="str">
            <v>049827042333.20.10306.03</v>
          </cell>
          <cell r="C544" t="str">
            <v>049827</v>
          </cell>
          <cell r="D544" t="str">
            <v>0423</v>
          </cell>
          <cell r="E544" t="str">
            <v>33.20.10306.03</v>
          </cell>
          <cell r="F544" t="str">
            <v>TAMPA VERTICAL CAIXA  L - 100100 SV VMI / 33.20.10306.03</v>
          </cell>
          <cell r="G544" t="str">
            <v>VMI TECNOLOGIAS LTDA</v>
          </cell>
          <cell r="H544">
            <v>45934</v>
          </cell>
          <cell r="I544" t="str">
            <v>MARCO</v>
          </cell>
          <cell r="J544">
            <v>1</v>
          </cell>
          <cell r="K544">
            <v>92.872500000000002</v>
          </cell>
          <cell r="L544">
            <v>92.87</v>
          </cell>
          <cell r="M544" t="str">
            <v>APROVADO</v>
          </cell>
          <cell r="N544" t="str">
            <v>10</v>
          </cell>
          <cell r="O544">
            <v>46034</v>
          </cell>
          <cell r="P544" t="str">
            <v>PRODUÇÃO DE JANEIRO DE 2026</v>
          </cell>
        </row>
        <row r="545">
          <cell r="B545" t="str">
            <v>049827042433.20.10342.05</v>
          </cell>
          <cell r="C545" t="str">
            <v>049827</v>
          </cell>
          <cell r="D545" t="str">
            <v>0424</v>
          </cell>
          <cell r="E545" t="str">
            <v>33.20.10342.05</v>
          </cell>
          <cell r="F545" t="str">
            <v>CAIXA DETECTOR - 100100 SV VMI / 33.20.10342.05</v>
          </cell>
          <cell r="G545" t="str">
            <v>VMI TECNOLOGIAS LTDA</v>
          </cell>
          <cell r="H545">
            <v>45934</v>
          </cell>
          <cell r="I545" t="str">
            <v>MARCO</v>
          </cell>
          <cell r="J545">
            <v>7</v>
          </cell>
          <cell r="K545">
            <v>858</v>
          </cell>
          <cell r="L545">
            <v>6006</v>
          </cell>
          <cell r="M545" t="str">
            <v>APROVADO</v>
          </cell>
          <cell r="N545" t="str">
            <v>10</v>
          </cell>
          <cell r="O545">
            <v>46034</v>
          </cell>
          <cell r="P545" t="str">
            <v>PRODUÇÃO DE JANEIRO DE 2026</v>
          </cell>
        </row>
        <row r="546">
          <cell r="B546" t="str">
            <v>049827042533.20.10343.02</v>
          </cell>
          <cell r="C546" t="str">
            <v>049827</v>
          </cell>
          <cell r="D546" t="str">
            <v>0425</v>
          </cell>
          <cell r="E546" t="str">
            <v>33.20.10343.02</v>
          </cell>
          <cell r="F546" t="str">
            <v>SUPORTE DETECTOR / 33.20.10343.02</v>
          </cell>
          <cell r="G546" t="str">
            <v>VMI TECNOLOGIAS LTDA</v>
          </cell>
          <cell r="H546">
            <v>45934</v>
          </cell>
          <cell r="I546" t="str">
            <v>MARCO</v>
          </cell>
          <cell r="J546">
            <v>13</v>
          </cell>
          <cell r="K546">
            <v>10.88</v>
          </cell>
          <cell r="L546">
            <v>391.68</v>
          </cell>
          <cell r="M546" t="str">
            <v>APROVADO</v>
          </cell>
          <cell r="N546" t="str">
            <v>10</v>
          </cell>
          <cell r="O546">
            <v>46034</v>
          </cell>
          <cell r="P546" t="str">
            <v>PRODUÇÃO DE JANEIRO DE 2026</v>
          </cell>
        </row>
        <row r="547">
          <cell r="B547" t="str">
            <v>049827042733.20.10345.02</v>
          </cell>
          <cell r="C547" t="str">
            <v>049827</v>
          </cell>
          <cell r="D547" t="str">
            <v>0427</v>
          </cell>
          <cell r="E547" t="str">
            <v>33.20.10345.02</v>
          </cell>
          <cell r="F547" t="str">
            <v>REGULADOR INFERIOR CAIXA  L - 100100 SV VMI / 33.20.10345.02</v>
          </cell>
          <cell r="G547" t="str">
            <v>VMI TECNOLOGIAS LTDA</v>
          </cell>
          <cell r="H547">
            <v>45934</v>
          </cell>
          <cell r="I547" t="str">
            <v>MARCO</v>
          </cell>
          <cell r="J547">
            <v>4</v>
          </cell>
          <cell r="K547">
            <v>60.648000000000003</v>
          </cell>
          <cell r="L547">
            <v>242.59</v>
          </cell>
          <cell r="M547" t="str">
            <v>APROVADO</v>
          </cell>
          <cell r="N547" t="str">
            <v>10</v>
          </cell>
          <cell r="O547">
            <v>46034</v>
          </cell>
          <cell r="P547" t="str">
            <v>PRODUÇÃO DE JANEIRO DE 2026</v>
          </cell>
        </row>
        <row r="548">
          <cell r="B548" t="str">
            <v>049827042833.20.10345.02</v>
          </cell>
          <cell r="C548" t="str">
            <v>049827</v>
          </cell>
          <cell r="D548" t="str">
            <v>0428</v>
          </cell>
          <cell r="E548" t="str">
            <v>33.20.10345.02</v>
          </cell>
          <cell r="F548" t="str">
            <v>REGULADOR INFERIOR CAIXA  L - 100100 SV VMI / 33.20.10345.02</v>
          </cell>
          <cell r="G548" t="str">
            <v>VMI TECNOLOGIAS LTDA</v>
          </cell>
          <cell r="H548">
            <v>45934</v>
          </cell>
          <cell r="I548" t="str">
            <v>MARCO</v>
          </cell>
          <cell r="J548">
            <v>6</v>
          </cell>
          <cell r="K548">
            <v>60.648000000000003</v>
          </cell>
          <cell r="L548">
            <v>363.89</v>
          </cell>
          <cell r="M548" t="str">
            <v>APROVADO</v>
          </cell>
          <cell r="N548" t="str">
            <v>10</v>
          </cell>
          <cell r="O548">
            <v>46034</v>
          </cell>
          <cell r="P548" t="str">
            <v>PRODUÇÃO DE JANEIRO DE 2026</v>
          </cell>
        </row>
        <row r="549">
          <cell r="B549" t="str">
            <v>049827042933.20.10345.02</v>
          </cell>
          <cell r="C549" t="str">
            <v>049827</v>
          </cell>
          <cell r="D549" t="str">
            <v>0429</v>
          </cell>
          <cell r="E549" t="str">
            <v>33.20.10345.02</v>
          </cell>
          <cell r="F549" t="str">
            <v>REGULADOR INFERIOR CAIXA  L - 100100 SV VMI / 33.20.10345.02</v>
          </cell>
          <cell r="G549" t="str">
            <v>VMI TECNOLOGIAS LTDA</v>
          </cell>
          <cell r="H549">
            <v>45934</v>
          </cell>
          <cell r="I549" t="str">
            <v>MARCO</v>
          </cell>
          <cell r="J549">
            <v>1</v>
          </cell>
          <cell r="K549">
            <v>60.648000000000003</v>
          </cell>
          <cell r="L549">
            <v>60.65</v>
          </cell>
          <cell r="M549" t="str">
            <v>APROVADO</v>
          </cell>
          <cell r="N549" t="str">
            <v>10</v>
          </cell>
          <cell r="O549">
            <v>46034</v>
          </cell>
          <cell r="P549" t="str">
            <v>PRODUÇÃO DE JANEIRO DE 2026</v>
          </cell>
        </row>
        <row r="550">
          <cell r="B550" t="str">
            <v>049827043033.20.10346.02</v>
          </cell>
          <cell r="C550" t="str">
            <v>049827</v>
          </cell>
          <cell r="D550" t="str">
            <v>0430</v>
          </cell>
          <cell r="E550" t="str">
            <v>33.20.10346.02</v>
          </cell>
          <cell r="F550" t="str">
            <v>CHAPA REGULADOR INFERIOR CAIXA  L - 100100 SV VMI / 33.20.10346.02</v>
          </cell>
          <cell r="G550" t="str">
            <v>VMI TECNOLOGIAS LTDA</v>
          </cell>
          <cell r="H550">
            <v>45934</v>
          </cell>
          <cell r="I550" t="str">
            <v>MARCO</v>
          </cell>
          <cell r="J550">
            <v>6</v>
          </cell>
          <cell r="K550">
            <v>59.85</v>
          </cell>
          <cell r="L550">
            <v>359.1</v>
          </cell>
          <cell r="M550" t="str">
            <v>APROVADO</v>
          </cell>
          <cell r="N550" t="str">
            <v>10</v>
          </cell>
          <cell r="O550">
            <v>46034</v>
          </cell>
          <cell r="P550" t="str">
            <v>PRODUÇÃO DE JANEIRO DE 2026</v>
          </cell>
        </row>
        <row r="551">
          <cell r="B551" t="str">
            <v>049827043133.20.10346.02</v>
          </cell>
          <cell r="C551" t="str">
            <v>049827</v>
          </cell>
          <cell r="D551" t="str">
            <v>0431</v>
          </cell>
          <cell r="E551" t="str">
            <v>33.20.10346.02</v>
          </cell>
          <cell r="F551" t="str">
            <v>CHAPA REGULADOR INFERIOR CAIXA  L - 100100 SV VMI / 33.20.10346.02</v>
          </cell>
          <cell r="G551" t="str">
            <v>VMI TECNOLOGIAS LTDA</v>
          </cell>
          <cell r="H551">
            <v>45934</v>
          </cell>
          <cell r="I551" t="str">
            <v>MARCO</v>
          </cell>
          <cell r="J551">
            <v>1</v>
          </cell>
          <cell r="K551">
            <v>59.85</v>
          </cell>
          <cell r="L551">
            <v>59.85</v>
          </cell>
          <cell r="M551" t="str">
            <v>APROVADO</v>
          </cell>
          <cell r="N551" t="str">
            <v>10</v>
          </cell>
          <cell r="O551">
            <v>46034</v>
          </cell>
          <cell r="P551" t="str">
            <v>PRODUÇÃO DE JANEIRO DE 2026</v>
          </cell>
        </row>
        <row r="552">
          <cell r="B552" t="str">
            <v>049827043233.20.10349.02</v>
          </cell>
          <cell r="C552" t="str">
            <v>049827</v>
          </cell>
          <cell r="D552" t="str">
            <v>0432</v>
          </cell>
          <cell r="E552" t="str">
            <v>33.20.10349.02</v>
          </cell>
          <cell r="F552" t="str">
            <v>CHAPA REGULADOR LATERAL  CAIXA  L - 100100 SV VMI/ 33.20.10349.02</v>
          </cell>
          <cell r="G552" t="str">
            <v>VMI TECNOLOGIAS LTDA</v>
          </cell>
          <cell r="H552">
            <v>45934</v>
          </cell>
          <cell r="I552" t="str">
            <v>MARCO</v>
          </cell>
          <cell r="J552">
            <v>6</v>
          </cell>
          <cell r="K552">
            <v>59.85</v>
          </cell>
          <cell r="L552">
            <v>359.1</v>
          </cell>
          <cell r="M552" t="str">
            <v>APROVADO</v>
          </cell>
          <cell r="N552" t="str">
            <v>10</v>
          </cell>
          <cell r="O552">
            <v>46034</v>
          </cell>
          <cell r="P552" t="str">
            <v>PRODUÇÃO DE JANEIRO DE 2026</v>
          </cell>
        </row>
        <row r="553">
          <cell r="B553" t="str">
            <v>049827043333.20.10349.02</v>
          </cell>
          <cell r="C553" t="str">
            <v>049827</v>
          </cell>
          <cell r="D553" t="str">
            <v>0433</v>
          </cell>
          <cell r="E553" t="str">
            <v>33.20.10349.02</v>
          </cell>
          <cell r="F553" t="str">
            <v>CHAPA REGULADOR LATERAL  CAIXA  L - 100100 SV VMI/ 33.20.10349.02</v>
          </cell>
          <cell r="G553" t="str">
            <v>VMI TECNOLOGIAS LTDA</v>
          </cell>
          <cell r="H553">
            <v>45934</v>
          </cell>
          <cell r="I553" t="str">
            <v>MARCO</v>
          </cell>
          <cell r="J553">
            <v>1</v>
          </cell>
          <cell r="K553">
            <v>59.85</v>
          </cell>
          <cell r="L553">
            <v>59.85</v>
          </cell>
          <cell r="M553" t="str">
            <v>APROVADO</v>
          </cell>
          <cell r="N553" t="str">
            <v>10</v>
          </cell>
          <cell r="O553">
            <v>46034</v>
          </cell>
          <cell r="P553" t="str">
            <v>PRODUÇÃO DE JANEIRO DE 2026</v>
          </cell>
        </row>
        <row r="554">
          <cell r="B554" t="str">
            <v>049827043433.20.10350.02</v>
          </cell>
          <cell r="C554" t="str">
            <v>049827</v>
          </cell>
          <cell r="D554" t="str">
            <v>0434</v>
          </cell>
          <cell r="E554" t="str">
            <v>33.20.10350.02</v>
          </cell>
          <cell r="F554" t="str">
            <v>TRAVA DA  CAIXA  L - 100100 SV VMI / 33.20.10350.02</v>
          </cell>
          <cell r="G554" t="str">
            <v>VMI TECNOLOGIAS LTDA</v>
          </cell>
          <cell r="H554">
            <v>45934</v>
          </cell>
          <cell r="I554" t="str">
            <v>MARCO</v>
          </cell>
          <cell r="J554">
            <v>7</v>
          </cell>
          <cell r="K554">
            <v>12.09</v>
          </cell>
          <cell r="L554">
            <v>84.63</v>
          </cell>
          <cell r="M554" t="str">
            <v>APROVADO</v>
          </cell>
          <cell r="N554" t="str">
            <v>10</v>
          </cell>
          <cell r="O554">
            <v>46034</v>
          </cell>
          <cell r="P554" t="str">
            <v>PRODUÇÃO DE JANEIRO DE 2026</v>
          </cell>
        </row>
        <row r="555">
          <cell r="B555" t="str">
            <v>049827043533.20.10353.04</v>
          </cell>
          <cell r="C555" t="str">
            <v>049827</v>
          </cell>
          <cell r="D555" t="str">
            <v>0435</v>
          </cell>
          <cell r="E555" t="str">
            <v>33.20.10353.04</v>
          </cell>
          <cell r="F555" t="str">
            <v>CAIXA DETECTOR DV / 33.20.10353.04</v>
          </cell>
          <cell r="G555" t="str">
            <v>VMI TECNOLOGIAS LTDA</v>
          </cell>
          <cell r="H555">
            <v>45934</v>
          </cell>
          <cell r="I555" t="str">
            <v>MARCO</v>
          </cell>
          <cell r="J555">
            <v>2</v>
          </cell>
          <cell r="K555">
            <v>788.42399999999998</v>
          </cell>
          <cell r="L555">
            <v>1576.85</v>
          </cell>
          <cell r="M555" t="str">
            <v>APROVADO</v>
          </cell>
          <cell r="N555" t="str">
            <v>10</v>
          </cell>
          <cell r="O555">
            <v>46034</v>
          </cell>
          <cell r="P555" t="str">
            <v>PRODUÇÃO DE JANEIRO DE 2026</v>
          </cell>
        </row>
        <row r="556">
          <cell r="B556" t="str">
            <v>049827043633.20.10364.00</v>
          </cell>
          <cell r="C556" t="str">
            <v>049827</v>
          </cell>
          <cell r="D556" t="str">
            <v>0436</v>
          </cell>
          <cell r="E556" t="str">
            <v>33.20.10364.00</v>
          </cell>
          <cell r="F556" t="str">
            <v>CHAPA AMARRADOR CABOS / 33.20.10364.00</v>
          </cell>
          <cell r="G556" t="str">
            <v>VMI TECNOLOGIAS LTDA</v>
          </cell>
          <cell r="H556">
            <v>45934</v>
          </cell>
          <cell r="I556" t="str">
            <v>MARCO</v>
          </cell>
          <cell r="J556">
            <v>2</v>
          </cell>
          <cell r="K556">
            <v>5.36</v>
          </cell>
          <cell r="L556">
            <v>10.72</v>
          </cell>
          <cell r="M556" t="str">
            <v>APROVADO</v>
          </cell>
          <cell r="N556" t="str">
            <v>10</v>
          </cell>
          <cell r="O556">
            <v>46034</v>
          </cell>
          <cell r="P556" t="str">
            <v>PRODUÇÃO DE JANEIRO DE 2026</v>
          </cell>
        </row>
        <row r="557">
          <cell r="B557" t="str">
            <v>049827043733.20.10364.01</v>
          </cell>
          <cell r="C557" t="str">
            <v>049827</v>
          </cell>
          <cell r="D557" t="str">
            <v>0437</v>
          </cell>
          <cell r="E557" t="str">
            <v>33.20.10364.01</v>
          </cell>
          <cell r="F557" t="str">
            <v>CHAPA AMARRADOR CABOS / 33.20.10364.01</v>
          </cell>
          <cell r="G557" t="str">
            <v>VMI TECNOLOGIAS LTDA</v>
          </cell>
          <cell r="H557">
            <v>45934</v>
          </cell>
          <cell r="I557" t="str">
            <v>MARCO</v>
          </cell>
          <cell r="J557">
            <v>7</v>
          </cell>
          <cell r="K557">
            <v>35</v>
          </cell>
          <cell r="L557">
            <v>245</v>
          </cell>
          <cell r="M557" t="str">
            <v>APROVADO</v>
          </cell>
          <cell r="N557" t="str">
            <v>10</v>
          </cell>
          <cell r="O557">
            <v>46034</v>
          </cell>
          <cell r="P557" t="str">
            <v>PRODUÇÃO DE JANEIRO DE 2026</v>
          </cell>
        </row>
        <row r="558">
          <cell r="B558" t="str">
            <v>049827043833.20.10365.02</v>
          </cell>
          <cell r="C558" t="str">
            <v>049827</v>
          </cell>
          <cell r="D558" t="str">
            <v>0438</v>
          </cell>
          <cell r="E558" t="str">
            <v>33.20.10365.02</v>
          </cell>
          <cell r="F558" t="str">
            <v>CHAPA TAMPA ENTRADA CABO FORCA / 33.20.10365.02</v>
          </cell>
          <cell r="G558" t="str">
            <v>VMI TECNOLOGIAS LTDA</v>
          </cell>
          <cell r="H558">
            <v>45934</v>
          </cell>
          <cell r="I558" t="str">
            <v>MARCO</v>
          </cell>
          <cell r="J558">
            <v>2</v>
          </cell>
          <cell r="K558">
            <v>9.5</v>
          </cell>
          <cell r="L558">
            <v>19</v>
          </cell>
          <cell r="M558" t="str">
            <v>APROVADO</v>
          </cell>
          <cell r="N558" t="str">
            <v>10</v>
          </cell>
          <cell r="O558">
            <v>46034</v>
          </cell>
          <cell r="P558" t="str">
            <v>PRODUÇÃO DE JANEIRO DE 2026</v>
          </cell>
        </row>
        <row r="559">
          <cell r="B559" t="str">
            <v>049827043933.20.10365.02</v>
          </cell>
          <cell r="C559" t="str">
            <v>049827</v>
          </cell>
          <cell r="D559" t="str">
            <v>0439</v>
          </cell>
          <cell r="E559" t="str">
            <v>33.20.10365.02</v>
          </cell>
          <cell r="F559" t="str">
            <v>CHAPA TAMPA ENTRADA CABO FORCA / 33.20.10365.02</v>
          </cell>
          <cell r="G559" t="str">
            <v>VMI TECNOLOGIAS LTDA</v>
          </cell>
          <cell r="H559">
            <v>45934</v>
          </cell>
          <cell r="I559" t="str">
            <v>MARCO</v>
          </cell>
          <cell r="J559">
            <v>7</v>
          </cell>
          <cell r="K559">
            <v>9.5</v>
          </cell>
          <cell r="L559">
            <v>66.5</v>
          </cell>
          <cell r="M559" t="str">
            <v>APROVADO</v>
          </cell>
          <cell r="N559" t="str">
            <v>10</v>
          </cell>
          <cell r="O559">
            <v>46034</v>
          </cell>
          <cell r="P559" t="str">
            <v>PRODUÇÃO DE JANEIRO DE 2026</v>
          </cell>
        </row>
        <row r="560">
          <cell r="B560" t="str">
            <v>049827044033.20.10367.01</v>
          </cell>
          <cell r="C560" t="str">
            <v>049827</v>
          </cell>
          <cell r="D560" t="str">
            <v>0440</v>
          </cell>
          <cell r="E560" t="str">
            <v>33.20.10367.01</v>
          </cell>
          <cell r="F560" t="str">
            <v>TRAVA BUCHA NYLON / 33.20.10367.01</v>
          </cell>
          <cell r="G560" t="str">
            <v>VMI TECNOLOGIAS LTDA</v>
          </cell>
          <cell r="H560">
            <v>45934</v>
          </cell>
          <cell r="I560" t="str">
            <v>MARCO</v>
          </cell>
          <cell r="J560">
            <v>12</v>
          </cell>
          <cell r="K560">
            <v>3.2653949999999998</v>
          </cell>
          <cell r="L560">
            <v>39.18</v>
          </cell>
          <cell r="M560" t="str">
            <v>APROVADO</v>
          </cell>
          <cell r="N560" t="str">
            <v>10</v>
          </cell>
          <cell r="O560">
            <v>46034</v>
          </cell>
          <cell r="P560" t="str">
            <v>PRODUÇÃO DE JANEIRO DE 2026</v>
          </cell>
        </row>
        <row r="561">
          <cell r="B561" t="str">
            <v>049827044133.20.10367.01</v>
          </cell>
          <cell r="C561" t="str">
            <v>049827</v>
          </cell>
          <cell r="D561" t="str">
            <v>0441</v>
          </cell>
          <cell r="E561" t="str">
            <v>33.20.10367.01</v>
          </cell>
          <cell r="F561" t="str">
            <v>TRAVA BUCHA NYLON / 33.20.10367.01</v>
          </cell>
          <cell r="G561" t="str">
            <v>VMI TECNOLOGIAS LTDA</v>
          </cell>
          <cell r="H561">
            <v>45934</v>
          </cell>
          <cell r="I561" t="str">
            <v>MARCO</v>
          </cell>
          <cell r="J561">
            <v>10</v>
          </cell>
          <cell r="K561">
            <v>3.2653949999999998</v>
          </cell>
          <cell r="L561">
            <v>32.65</v>
          </cell>
          <cell r="M561" t="str">
            <v>APROVADO</v>
          </cell>
          <cell r="N561" t="str">
            <v>10</v>
          </cell>
          <cell r="O561">
            <v>46034</v>
          </cell>
          <cell r="P561" t="str">
            <v>PRODUÇÃO DE JANEIRO DE 2026</v>
          </cell>
        </row>
        <row r="562">
          <cell r="B562" t="str">
            <v>049827044233.20.10369.00</v>
          </cell>
          <cell r="C562" t="str">
            <v>049827</v>
          </cell>
          <cell r="D562" t="str">
            <v>0442</v>
          </cell>
          <cell r="E562" t="str">
            <v>33.20.10369.00</v>
          </cell>
          <cell r="F562" t="str">
            <v>DISTANCIADOR DO REFORCO / 33.20.10369.00</v>
          </cell>
          <cell r="G562" t="str">
            <v>VMI TECNOLOGIAS LTDA</v>
          </cell>
          <cell r="H562">
            <v>45934</v>
          </cell>
          <cell r="I562" t="str">
            <v>MARCO</v>
          </cell>
          <cell r="J562">
            <v>28</v>
          </cell>
          <cell r="K562">
            <v>26.38</v>
          </cell>
          <cell r="L562">
            <v>738.64</v>
          </cell>
          <cell r="M562" t="str">
            <v>APROVADO</v>
          </cell>
          <cell r="N562" t="str">
            <v>10</v>
          </cell>
          <cell r="O562">
            <v>46034</v>
          </cell>
          <cell r="P562" t="str">
            <v>PRODUÇÃO DE JANEIRO DE 2026</v>
          </cell>
        </row>
        <row r="563">
          <cell r="B563" t="str">
            <v>049827044333.20.10375.00</v>
          </cell>
          <cell r="C563" t="str">
            <v>049827</v>
          </cell>
          <cell r="D563" t="str">
            <v>0443</v>
          </cell>
          <cell r="E563" t="str">
            <v>33.20.10375.00</v>
          </cell>
          <cell r="F563" t="str">
            <v>REFORCO DA BANDEJA 2 / 33.20.10375.00</v>
          </cell>
          <cell r="G563" t="str">
            <v>VMI TECNOLOGIAS LTDA</v>
          </cell>
          <cell r="H563">
            <v>45934</v>
          </cell>
          <cell r="I563" t="str">
            <v>MARCO</v>
          </cell>
          <cell r="J563">
            <v>49</v>
          </cell>
          <cell r="K563">
            <v>48.706454999999998</v>
          </cell>
          <cell r="L563">
            <v>2386.62</v>
          </cell>
          <cell r="M563" t="str">
            <v>APROVADO</v>
          </cell>
          <cell r="N563" t="str">
            <v>10</v>
          </cell>
          <cell r="O563">
            <v>46034</v>
          </cell>
          <cell r="P563" t="str">
            <v>PRODUÇÃO DE JANEIRO DE 2026</v>
          </cell>
        </row>
        <row r="564">
          <cell r="B564" t="str">
            <v>049827044533.20.10497.01</v>
          </cell>
          <cell r="C564" t="str">
            <v>049827</v>
          </cell>
          <cell r="D564" t="str">
            <v>0445</v>
          </cell>
          <cell r="E564" t="str">
            <v>33.20.10497.01</v>
          </cell>
          <cell r="F564" t="str">
            <v>MONTAGEM CHASSI ESTEIRA / 33.20.10497.01</v>
          </cell>
          <cell r="G564" t="str">
            <v>VMI TECNOLOGIAS LTDA</v>
          </cell>
          <cell r="H564">
            <v>45934</v>
          </cell>
          <cell r="I564" t="str">
            <v>MARCO</v>
          </cell>
          <cell r="J564">
            <v>14</v>
          </cell>
          <cell r="K564">
            <v>376.12049999999999</v>
          </cell>
          <cell r="L564">
            <v>5265.69</v>
          </cell>
          <cell r="M564" t="str">
            <v>APROVADO</v>
          </cell>
          <cell r="N564" t="str">
            <v>10</v>
          </cell>
          <cell r="O564">
            <v>46034</v>
          </cell>
          <cell r="P564" t="str">
            <v>PRODUÇÃO DE JANEIRO DE 2026</v>
          </cell>
        </row>
        <row r="565">
          <cell r="B565" t="str">
            <v>049827044633.20.10498.00</v>
          </cell>
          <cell r="C565" t="str">
            <v>049827</v>
          </cell>
          <cell r="D565" t="str">
            <v>0446</v>
          </cell>
          <cell r="E565" t="str">
            <v>33.20.10498.00</v>
          </cell>
          <cell r="F565" t="str">
            <v>BANDEJA DA ESTEIRA / 33.20.10498.00</v>
          </cell>
          <cell r="G565" t="str">
            <v>VMI TECNOLOGIAS LTDA</v>
          </cell>
          <cell r="H565">
            <v>45934</v>
          </cell>
          <cell r="I565" t="str">
            <v>MARCO</v>
          </cell>
          <cell r="J565">
            <v>28</v>
          </cell>
          <cell r="K565">
            <v>189.90299999999999</v>
          </cell>
          <cell r="L565">
            <v>5317.28</v>
          </cell>
          <cell r="M565" t="str">
            <v>APROVADO</v>
          </cell>
          <cell r="N565" t="str">
            <v>10</v>
          </cell>
          <cell r="O565">
            <v>46034</v>
          </cell>
          <cell r="P565" t="str">
            <v>PRODUÇÃO DE JANEIRO DE 2026</v>
          </cell>
        </row>
        <row r="566">
          <cell r="B566" t="str">
            <v>049827044733.20.10500.01</v>
          </cell>
          <cell r="C566" t="str">
            <v>049827</v>
          </cell>
          <cell r="D566" t="str">
            <v>0447</v>
          </cell>
          <cell r="E566" t="str">
            <v>33.20.10500.01</v>
          </cell>
          <cell r="F566" t="str">
            <v>SUPORTE DA SAPATA / 33.20.10500.01</v>
          </cell>
          <cell r="G566" t="str">
            <v>VMI TECNOLOGIAS LTDA</v>
          </cell>
          <cell r="H566">
            <v>45934</v>
          </cell>
          <cell r="I566" t="str">
            <v>MARCO</v>
          </cell>
          <cell r="J566">
            <v>28</v>
          </cell>
          <cell r="K566">
            <v>74.28</v>
          </cell>
          <cell r="L566">
            <v>2079.84</v>
          </cell>
          <cell r="M566" t="str">
            <v>APROVADO</v>
          </cell>
          <cell r="N566" t="str">
            <v>10</v>
          </cell>
          <cell r="O566">
            <v>46034</v>
          </cell>
          <cell r="P566" t="str">
            <v>PRODUÇÃO DE JANEIRO DE 2026</v>
          </cell>
        </row>
        <row r="567">
          <cell r="B567" t="str">
            <v>049827044833.20.10501.00</v>
          </cell>
          <cell r="C567" t="str">
            <v>049827</v>
          </cell>
          <cell r="D567" t="str">
            <v>0448</v>
          </cell>
          <cell r="E567" t="str">
            <v>33.20.10501.00</v>
          </cell>
          <cell r="F567" t="str">
            <v>REFORCO DA BANDEJA / 33.20.10501.00</v>
          </cell>
          <cell r="G567" t="str">
            <v>VMI TECNOLOGIAS LTDA</v>
          </cell>
          <cell r="H567">
            <v>45934</v>
          </cell>
          <cell r="I567" t="str">
            <v>MARCO</v>
          </cell>
          <cell r="J567">
            <v>28</v>
          </cell>
          <cell r="K567">
            <v>53.770499999999998</v>
          </cell>
          <cell r="L567">
            <v>1505.57</v>
          </cell>
          <cell r="M567" t="str">
            <v>APROVADO</v>
          </cell>
          <cell r="N567" t="str">
            <v>10</v>
          </cell>
          <cell r="O567">
            <v>46034</v>
          </cell>
          <cell r="P567" t="str">
            <v>PRODUÇÃO DE JANEIRO DE 2026</v>
          </cell>
        </row>
        <row r="568">
          <cell r="B568" t="str">
            <v>049827044933.20.10502.00</v>
          </cell>
          <cell r="C568" t="str">
            <v>049827</v>
          </cell>
          <cell r="D568" t="str">
            <v>0449</v>
          </cell>
          <cell r="E568" t="str">
            <v>33.20.10502.00</v>
          </cell>
          <cell r="F568" t="str">
            <v>LONGARINA CHASSI 03 / 33.20.10502.00</v>
          </cell>
          <cell r="G568" t="str">
            <v>VMI TECNOLOGIAS LTDA</v>
          </cell>
          <cell r="H568">
            <v>45934</v>
          </cell>
          <cell r="I568" t="str">
            <v>MARCO</v>
          </cell>
          <cell r="J568">
            <v>7</v>
          </cell>
          <cell r="K568">
            <v>205.18049999999999</v>
          </cell>
          <cell r="L568">
            <v>1436.26</v>
          </cell>
          <cell r="M568" t="str">
            <v>APROVADO</v>
          </cell>
          <cell r="N568" t="str">
            <v>10</v>
          </cell>
          <cell r="O568">
            <v>46034</v>
          </cell>
          <cell r="P568" t="str">
            <v>PRODUÇÃO DE JANEIRO DE 2026</v>
          </cell>
        </row>
        <row r="569">
          <cell r="B569" t="str">
            <v>049827045033.20.10504.00</v>
          </cell>
          <cell r="C569" t="str">
            <v>049827</v>
          </cell>
          <cell r="D569" t="str">
            <v>0450</v>
          </cell>
          <cell r="E569" t="str">
            <v>33.20.10504.00</v>
          </cell>
          <cell r="F569" t="str">
            <v>LONGARINA CHASSI 04 / 33.20.10504.00</v>
          </cell>
          <cell r="G569" t="str">
            <v>VMI TECNOLOGIAS LTDA</v>
          </cell>
          <cell r="H569">
            <v>45934</v>
          </cell>
          <cell r="I569" t="str">
            <v>MARCO</v>
          </cell>
          <cell r="J569">
            <v>7</v>
          </cell>
          <cell r="K569">
            <v>234.37049999999999</v>
          </cell>
          <cell r="L569">
            <v>1640.59</v>
          </cell>
          <cell r="M569" t="str">
            <v>APROVADO</v>
          </cell>
          <cell r="N569" t="str">
            <v>10</v>
          </cell>
          <cell r="O569">
            <v>46034</v>
          </cell>
          <cell r="P569" t="str">
            <v>PRODUÇÃO DE JANEIRO DE 2026</v>
          </cell>
        </row>
        <row r="570">
          <cell r="B570" t="str">
            <v>049827045133.20.10506.00</v>
          </cell>
          <cell r="C570" t="str">
            <v>049827</v>
          </cell>
          <cell r="D570" t="str">
            <v>0451</v>
          </cell>
          <cell r="E570" t="str">
            <v>33.20.10506.00</v>
          </cell>
          <cell r="F570" t="str">
            <v>VIGA DE SUSTENTACAO TUBO DV / 33.20.10506.00</v>
          </cell>
          <cell r="G570" t="str">
            <v>VMI TECNOLOGIAS LTDA</v>
          </cell>
          <cell r="H570">
            <v>45934</v>
          </cell>
          <cell r="I570" t="str">
            <v>MARCO</v>
          </cell>
          <cell r="J570">
            <v>4</v>
          </cell>
          <cell r="K570">
            <v>288</v>
          </cell>
          <cell r="L570">
            <v>1152</v>
          </cell>
          <cell r="M570" t="str">
            <v>APROVADO</v>
          </cell>
          <cell r="N570" t="str">
            <v>10</v>
          </cell>
          <cell r="O570">
            <v>46034</v>
          </cell>
          <cell r="P570" t="str">
            <v>PRODUÇÃO DE JANEIRO DE 2026</v>
          </cell>
        </row>
        <row r="571">
          <cell r="B571" t="str">
            <v>049827045233.20.10514.00</v>
          </cell>
          <cell r="C571" t="str">
            <v>049827</v>
          </cell>
          <cell r="D571" t="str">
            <v>0452</v>
          </cell>
          <cell r="E571" t="str">
            <v>33.20.10514.00</v>
          </cell>
          <cell r="F571" t="str">
            <v>REGULAGEM DO TUBO / 33.20.10514.00</v>
          </cell>
          <cell r="G571" t="str">
            <v>VMI TECNOLOGIAS LTDA</v>
          </cell>
          <cell r="H571">
            <v>45934</v>
          </cell>
          <cell r="I571" t="str">
            <v>MARCO</v>
          </cell>
          <cell r="J571">
            <v>2</v>
          </cell>
          <cell r="K571">
            <v>39</v>
          </cell>
          <cell r="L571">
            <v>78</v>
          </cell>
          <cell r="M571" t="str">
            <v>APROVADO</v>
          </cell>
          <cell r="N571" t="str">
            <v>10</v>
          </cell>
          <cell r="O571">
            <v>46034</v>
          </cell>
          <cell r="P571" t="str">
            <v>PRODUÇÃO DE JANEIRO DE 2026</v>
          </cell>
        </row>
        <row r="572">
          <cell r="B572" t="str">
            <v>049827045333.20.10517.00</v>
          </cell>
          <cell r="C572" t="str">
            <v>049827</v>
          </cell>
          <cell r="D572" t="str">
            <v>0453</v>
          </cell>
          <cell r="E572" t="str">
            <v>33.20.10517.00</v>
          </cell>
          <cell r="F572" t="str">
            <v>FECHAMENTO TAMPAS CENTRAIS / 33.20.10517.00</v>
          </cell>
          <cell r="G572" t="str">
            <v>VMI TECNOLOGIAS LTDA</v>
          </cell>
          <cell r="H572">
            <v>45934</v>
          </cell>
          <cell r="I572" t="str">
            <v>MARCO</v>
          </cell>
          <cell r="J572">
            <v>11</v>
          </cell>
          <cell r="K572">
            <v>115.395</v>
          </cell>
          <cell r="L572">
            <v>1269.3499999999999</v>
          </cell>
          <cell r="M572" t="str">
            <v>APROVADO</v>
          </cell>
          <cell r="N572" t="str">
            <v>10</v>
          </cell>
          <cell r="O572">
            <v>46034</v>
          </cell>
          <cell r="P572" t="str">
            <v>PRODUÇÃO DE JANEIRO DE 2026</v>
          </cell>
        </row>
        <row r="573">
          <cell r="B573" t="str">
            <v>049827045433.20.10518.00</v>
          </cell>
          <cell r="C573" t="str">
            <v>049827</v>
          </cell>
          <cell r="D573" t="str">
            <v>0454</v>
          </cell>
          <cell r="E573" t="str">
            <v>33.20.10518.00</v>
          </cell>
          <cell r="F573" t="str">
            <v>CHAPA FECHAMENTO TAMPA MODULO DV / 33.20.10518.00</v>
          </cell>
          <cell r="G573" t="str">
            <v>VMI TECNOLOGIAS LTDA</v>
          </cell>
          <cell r="H573">
            <v>45934</v>
          </cell>
          <cell r="I573" t="str">
            <v>MARCO</v>
          </cell>
          <cell r="J573">
            <v>2</v>
          </cell>
          <cell r="K573">
            <v>58</v>
          </cell>
          <cell r="L573">
            <v>116</v>
          </cell>
          <cell r="M573" t="str">
            <v>APROVADO</v>
          </cell>
          <cell r="N573" t="str">
            <v>10</v>
          </cell>
          <cell r="O573">
            <v>46034</v>
          </cell>
          <cell r="P573" t="str">
            <v>PRODUÇÃO DE JANEIRO DE 2026</v>
          </cell>
        </row>
        <row r="574">
          <cell r="B574" t="str">
            <v>049827045633.20.10521.02</v>
          </cell>
          <cell r="C574" t="str">
            <v>049827</v>
          </cell>
          <cell r="D574" t="str">
            <v>0456</v>
          </cell>
          <cell r="E574" t="str">
            <v>33.20.10521.02</v>
          </cell>
          <cell r="F574" t="str">
            <v>MONTAGEM SUPORTE DA CORTINA / 33.20.10521.02</v>
          </cell>
          <cell r="G574" t="str">
            <v>VMI TECNOLOGIAS LTDA</v>
          </cell>
          <cell r="H574">
            <v>45934</v>
          </cell>
          <cell r="I574" t="str">
            <v>MARCO</v>
          </cell>
          <cell r="J574">
            <v>14</v>
          </cell>
          <cell r="K574">
            <v>45.73</v>
          </cell>
          <cell r="L574">
            <v>640.22</v>
          </cell>
          <cell r="M574" t="str">
            <v>APROVADO</v>
          </cell>
          <cell r="N574" t="str">
            <v>10</v>
          </cell>
          <cell r="O574">
            <v>46034</v>
          </cell>
          <cell r="P574" t="str">
            <v>PRODUÇÃO DE JANEIRO DE 2026</v>
          </cell>
        </row>
        <row r="575">
          <cell r="B575" t="str">
            <v>049827045733.20.10522.00</v>
          </cell>
          <cell r="C575" t="str">
            <v>049827</v>
          </cell>
          <cell r="D575" t="str">
            <v>0457</v>
          </cell>
          <cell r="E575" t="str">
            <v>33.20.10522.00</v>
          </cell>
          <cell r="F575" t="str">
            <v>ESPELHO DO SUPORTE DA CORTINA/ 33.20.10522.00</v>
          </cell>
          <cell r="G575" t="str">
            <v>VMI TECNOLOGIAS LTDA</v>
          </cell>
          <cell r="H575">
            <v>45934</v>
          </cell>
          <cell r="I575" t="str">
            <v>MARCO</v>
          </cell>
          <cell r="J575">
            <v>14</v>
          </cell>
          <cell r="K575">
            <v>46</v>
          </cell>
          <cell r="L575">
            <v>644</v>
          </cell>
          <cell r="M575" t="str">
            <v>APROVADO</v>
          </cell>
          <cell r="N575" t="str">
            <v>10</v>
          </cell>
          <cell r="O575">
            <v>46034</v>
          </cell>
          <cell r="P575" t="str">
            <v>PRODUÇÃO DE JANEIRO DE 2026</v>
          </cell>
        </row>
        <row r="576">
          <cell r="B576" t="str">
            <v>049827045933.20.10525.00</v>
          </cell>
          <cell r="C576" t="str">
            <v>049827</v>
          </cell>
          <cell r="D576" t="str">
            <v>0459</v>
          </cell>
          <cell r="E576" t="str">
            <v>33.20.10525.00</v>
          </cell>
          <cell r="F576" t="str">
            <v>SUPORTE MICRORRUPTOR / 33.20.10525.00</v>
          </cell>
          <cell r="G576" t="str">
            <v>VMI TECNOLOGIAS LTDA</v>
          </cell>
          <cell r="H576">
            <v>45934</v>
          </cell>
          <cell r="I576" t="str">
            <v>MARCO</v>
          </cell>
          <cell r="J576">
            <v>8</v>
          </cell>
          <cell r="K576">
            <v>41</v>
          </cell>
          <cell r="L576">
            <v>328</v>
          </cell>
          <cell r="M576" t="str">
            <v>APROVADO</v>
          </cell>
          <cell r="N576" t="str">
            <v>10</v>
          </cell>
          <cell r="O576">
            <v>46034</v>
          </cell>
          <cell r="P576" t="str">
            <v>PRODUÇÃO DE JANEIRO DE 2026</v>
          </cell>
        </row>
        <row r="577">
          <cell r="B577" t="str">
            <v>049827046133.20.10543.00</v>
          </cell>
          <cell r="C577" t="str">
            <v>049827</v>
          </cell>
          <cell r="D577" t="str">
            <v>0461</v>
          </cell>
          <cell r="E577" t="str">
            <v>33.20.10543.00</v>
          </cell>
          <cell r="F577" t="str">
            <v>LATERAL DO COLIMADOR SV / 33.20.10543.00</v>
          </cell>
          <cell r="G577" t="str">
            <v>VMI TECNOLOGIAS LTDA</v>
          </cell>
          <cell r="H577">
            <v>45934</v>
          </cell>
          <cell r="I577" t="str">
            <v>MARCO</v>
          </cell>
          <cell r="J577">
            <v>8</v>
          </cell>
          <cell r="K577">
            <v>61.7</v>
          </cell>
          <cell r="L577">
            <v>493.6</v>
          </cell>
          <cell r="M577" t="str">
            <v>APROVADO</v>
          </cell>
          <cell r="N577" t="str">
            <v>10</v>
          </cell>
          <cell r="O577">
            <v>46034</v>
          </cell>
          <cell r="P577" t="str">
            <v>PRODUÇÃO DE JANEIRO DE 2026</v>
          </cell>
        </row>
        <row r="578">
          <cell r="B578" t="str">
            <v>049827046233.20.10544.00</v>
          </cell>
          <cell r="C578" t="str">
            <v>049827</v>
          </cell>
          <cell r="D578" t="str">
            <v>0462</v>
          </cell>
          <cell r="E578" t="str">
            <v>33.20.10544.00</v>
          </cell>
          <cell r="F578" t="str">
            <v>LATERAL DO COLIMADOR SV / 33.20.10544.00</v>
          </cell>
          <cell r="G578" t="str">
            <v>VMI TECNOLOGIAS LTDA</v>
          </cell>
          <cell r="H578">
            <v>45934</v>
          </cell>
          <cell r="I578" t="str">
            <v>MARCO</v>
          </cell>
          <cell r="J578">
            <v>8</v>
          </cell>
          <cell r="K578">
            <v>61.7</v>
          </cell>
          <cell r="L578">
            <v>493.6</v>
          </cell>
          <cell r="M578" t="str">
            <v>APROVADO</v>
          </cell>
          <cell r="N578" t="str">
            <v>10</v>
          </cell>
          <cell r="O578">
            <v>46034</v>
          </cell>
          <cell r="P578" t="str">
            <v>PRODUÇÃO DE JANEIRO DE 2026</v>
          </cell>
        </row>
        <row r="579">
          <cell r="B579" t="str">
            <v>049827046333.20.10558.00</v>
          </cell>
          <cell r="C579" t="str">
            <v>049827</v>
          </cell>
          <cell r="D579" t="str">
            <v>0463</v>
          </cell>
          <cell r="E579" t="str">
            <v>33.20.10558.00</v>
          </cell>
          <cell r="F579" t="str">
            <v>SUPORTE DO ACABAMENTO SUPERIOR / 33.20.10558.00</v>
          </cell>
          <cell r="G579" t="str">
            <v>VMI TECNOLOGIAS LTDA</v>
          </cell>
          <cell r="H579">
            <v>45934</v>
          </cell>
          <cell r="I579" t="str">
            <v>MARCO</v>
          </cell>
          <cell r="J579">
            <v>28</v>
          </cell>
          <cell r="K579">
            <v>17.5</v>
          </cell>
          <cell r="L579">
            <v>490</v>
          </cell>
          <cell r="M579" t="str">
            <v>APROVADO</v>
          </cell>
          <cell r="N579" t="str">
            <v>10</v>
          </cell>
          <cell r="O579">
            <v>46034</v>
          </cell>
          <cell r="P579" t="str">
            <v>PRODUÇÃO DE JANEIRO DE 2026</v>
          </cell>
        </row>
        <row r="580">
          <cell r="B580" t="str">
            <v>049827046633.20.10571.00</v>
          </cell>
          <cell r="C580" t="str">
            <v>049827</v>
          </cell>
          <cell r="D580" t="str">
            <v>0466</v>
          </cell>
          <cell r="E580" t="str">
            <v>33.20.10571.00</v>
          </cell>
          <cell r="F580" t="str">
            <v>BANDEJA BLINDAGEM DA BASE 03 / 33.20.10571.00</v>
          </cell>
          <cell r="G580" t="str">
            <v>VMI TECNOLOGIAS LTDA</v>
          </cell>
          <cell r="H580">
            <v>45934</v>
          </cell>
          <cell r="I580" t="str">
            <v>MARCO</v>
          </cell>
          <cell r="J580">
            <v>7</v>
          </cell>
          <cell r="K580">
            <v>63.104999999999997</v>
          </cell>
          <cell r="L580">
            <v>441.74</v>
          </cell>
          <cell r="M580" t="str">
            <v>APROVADO</v>
          </cell>
          <cell r="N580" t="str">
            <v>10</v>
          </cell>
          <cell r="O580">
            <v>46034</v>
          </cell>
          <cell r="P580" t="str">
            <v>PRODUÇÃO DE JANEIRO DE 2026</v>
          </cell>
        </row>
        <row r="581">
          <cell r="B581" t="str">
            <v>049827046833.20.10573.01</v>
          </cell>
          <cell r="C581" t="str">
            <v>049827</v>
          </cell>
          <cell r="D581" t="str">
            <v>0468</v>
          </cell>
          <cell r="E581" t="str">
            <v>33.20.10573.01</v>
          </cell>
          <cell r="F581" t="str">
            <v>FECHAMENTO COLIMADOR DV / 33.20.10573.01</v>
          </cell>
          <cell r="G581" t="str">
            <v>VMI TECNOLOGIAS LTDA</v>
          </cell>
          <cell r="H581">
            <v>45934</v>
          </cell>
          <cell r="I581" t="str">
            <v>MARCO</v>
          </cell>
          <cell r="J581">
            <v>2</v>
          </cell>
          <cell r="K581">
            <v>19.404</v>
          </cell>
          <cell r="L581">
            <v>38.81</v>
          </cell>
          <cell r="M581" t="str">
            <v>APROVADO</v>
          </cell>
          <cell r="N581" t="str">
            <v>10</v>
          </cell>
          <cell r="O581">
            <v>46034</v>
          </cell>
          <cell r="P581" t="str">
            <v>PRODUÇÃO DE JANEIRO DE 2026</v>
          </cell>
        </row>
        <row r="582">
          <cell r="B582" t="str">
            <v>049827046933.20.10574.00</v>
          </cell>
          <cell r="C582" t="str">
            <v>049827</v>
          </cell>
          <cell r="D582" t="str">
            <v>0469</v>
          </cell>
          <cell r="E582" t="str">
            <v>33.20.10574.00</v>
          </cell>
          <cell r="F582" t="str">
            <v>FECHAMENTO COLIMADOR DV 02 / 33.20.10574.00</v>
          </cell>
          <cell r="G582" t="str">
            <v>VMI TECNOLOGIAS LTDA</v>
          </cell>
          <cell r="H582">
            <v>45934</v>
          </cell>
          <cell r="I582" t="str">
            <v>MARCO</v>
          </cell>
          <cell r="J582">
            <v>2</v>
          </cell>
          <cell r="K582">
            <v>22.0185</v>
          </cell>
          <cell r="L582">
            <v>44.04</v>
          </cell>
          <cell r="M582" t="str">
            <v>APROVADO</v>
          </cell>
          <cell r="N582" t="str">
            <v>10</v>
          </cell>
          <cell r="O582">
            <v>46034</v>
          </cell>
          <cell r="P582" t="str">
            <v>PRODUÇÃO DE JANEIRO DE 2026</v>
          </cell>
        </row>
        <row r="583">
          <cell r="B583" t="str">
            <v>049827047233.20.10586.01</v>
          </cell>
          <cell r="C583" t="str">
            <v>049827</v>
          </cell>
          <cell r="D583" t="str">
            <v>0472</v>
          </cell>
          <cell r="E583" t="str">
            <v>33.20.10586.01</v>
          </cell>
          <cell r="F583" t="str">
            <v>SUPORTE DO DETECTOR AJUSTAVEL 01 / 33.20.10586.01</v>
          </cell>
          <cell r="G583" t="str">
            <v>VMI TECNOLOGIAS LTDA</v>
          </cell>
          <cell r="H583">
            <v>45934</v>
          </cell>
          <cell r="I583" t="str">
            <v>MARCO</v>
          </cell>
          <cell r="J583">
            <v>7</v>
          </cell>
          <cell r="K583">
            <v>19.600000000000001</v>
          </cell>
          <cell r="L583">
            <v>352.8</v>
          </cell>
          <cell r="M583" t="str">
            <v>APROVADO</v>
          </cell>
          <cell r="N583" t="str">
            <v>10</v>
          </cell>
          <cell r="O583">
            <v>46034</v>
          </cell>
          <cell r="P583" t="str">
            <v>PRODUÇÃO DE JANEIRO DE 2026</v>
          </cell>
        </row>
        <row r="584">
          <cell r="B584" t="str">
            <v>049827047433.20.10587.01</v>
          </cell>
          <cell r="C584" t="str">
            <v>049827</v>
          </cell>
          <cell r="D584" t="str">
            <v>0474</v>
          </cell>
          <cell r="E584" t="str">
            <v>33.20.10587.01</v>
          </cell>
          <cell r="F584" t="str">
            <v>SUPORTE DO DETECTOR AJUSTAVEL 02 / 33.20.10587.01</v>
          </cell>
          <cell r="G584" t="str">
            <v>VMI TECNOLOGIAS LTDA</v>
          </cell>
          <cell r="H584">
            <v>45934</v>
          </cell>
          <cell r="I584" t="str">
            <v>MARCO</v>
          </cell>
          <cell r="J584">
            <v>8</v>
          </cell>
          <cell r="K584">
            <v>12.1</v>
          </cell>
          <cell r="L584">
            <v>217.8</v>
          </cell>
          <cell r="M584" t="str">
            <v>APROVADO</v>
          </cell>
          <cell r="N584" t="str">
            <v>10</v>
          </cell>
          <cell r="O584">
            <v>46034</v>
          </cell>
          <cell r="P584" t="str">
            <v>PRODUÇÃO DE JANEIRO DE 2026</v>
          </cell>
        </row>
        <row r="585">
          <cell r="B585" t="str">
            <v>049827047533.20.10588.00</v>
          </cell>
          <cell r="C585" t="str">
            <v>049827</v>
          </cell>
          <cell r="D585" t="str">
            <v>0475</v>
          </cell>
          <cell r="E585" t="str">
            <v>33.20.10588.00</v>
          </cell>
          <cell r="F585" t="str">
            <v>TRAVA DA BUCHA DE NYLON / 33.20.10588.00</v>
          </cell>
          <cell r="G585" t="str">
            <v>VMI TECNOLOGIAS LTDA</v>
          </cell>
          <cell r="H585">
            <v>45934</v>
          </cell>
          <cell r="I585" t="str">
            <v>MARCO</v>
          </cell>
          <cell r="J585">
            <v>8</v>
          </cell>
          <cell r="K585">
            <v>1.6</v>
          </cell>
          <cell r="L585">
            <v>12.8</v>
          </cell>
          <cell r="M585" t="str">
            <v>APROVADO</v>
          </cell>
          <cell r="N585" t="str">
            <v>10</v>
          </cell>
          <cell r="O585">
            <v>46034</v>
          </cell>
          <cell r="P585" t="str">
            <v>PRODUÇÃO DE JANEIRO DE 2026</v>
          </cell>
        </row>
        <row r="586">
          <cell r="B586" t="str">
            <v>049827047733.20.10605.00</v>
          </cell>
          <cell r="C586" t="str">
            <v>049827</v>
          </cell>
          <cell r="D586" t="str">
            <v>0477</v>
          </cell>
          <cell r="E586" t="str">
            <v>33.20.10605.00</v>
          </cell>
          <cell r="F586" t="str">
            <v>CHAPA DE PORTECAO TUBO SV / 33.20.10605.00</v>
          </cell>
          <cell r="G586" t="str">
            <v>VMI TECNOLOGIAS LTDA</v>
          </cell>
          <cell r="H586">
            <v>45934</v>
          </cell>
          <cell r="I586" t="str">
            <v>MARCO</v>
          </cell>
          <cell r="J586">
            <v>7</v>
          </cell>
          <cell r="K586">
            <v>48.6</v>
          </cell>
          <cell r="L586">
            <v>340.2</v>
          </cell>
          <cell r="M586" t="str">
            <v>APROVADO</v>
          </cell>
          <cell r="N586" t="str">
            <v>10</v>
          </cell>
          <cell r="O586">
            <v>46034</v>
          </cell>
          <cell r="P586" t="str">
            <v>PRODUÇÃO DE JANEIRO DE 2026</v>
          </cell>
        </row>
        <row r="587">
          <cell r="B587" t="str">
            <v>049827048033.23.10032.01</v>
          </cell>
          <cell r="C587" t="str">
            <v>049827</v>
          </cell>
          <cell r="D587" t="str">
            <v>0480</v>
          </cell>
          <cell r="E587" t="str">
            <v>33.23.10032.01</v>
          </cell>
          <cell r="F587" t="str">
            <v>ARRUELA DA BUCHA DE REGULAGEM / 33.23.10032.01</v>
          </cell>
          <cell r="G587" t="str">
            <v>VMI TECNOLOGIAS LTDA</v>
          </cell>
          <cell r="H587">
            <v>45934</v>
          </cell>
          <cell r="I587" t="str">
            <v>MARCO</v>
          </cell>
          <cell r="J587">
            <v>90</v>
          </cell>
          <cell r="K587">
            <v>1.2</v>
          </cell>
          <cell r="L587">
            <v>108</v>
          </cell>
          <cell r="M587" t="str">
            <v>APROVADO</v>
          </cell>
          <cell r="N587" t="str">
            <v>10</v>
          </cell>
          <cell r="O587">
            <v>46034</v>
          </cell>
          <cell r="P587" t="str">
            <v>PRODUÇÃO DE JANEIRO DE 2026</v>
          </cell>
        </row>
        <row r="588">
          <cell r="B588" t="str">
            <v>049827048233.23.10054.03</v>
          </cell>
          <cell r="C588" t="str">
            <v>049827</v>
          </cell>
          <cell r="D588" t="str">
            <v>0482</v>
          </cell>
          <cell r="E588" t="str">
            <v>33.23.10054.03</v>
          </cell>
          <cell r="F588" t="str">
            <v>TRAVA DE MONTAGEM DA MOTOPOLIA / 33.23.10054.03</v>
          </cell>
          <cell r="G588" t="str">
            <v>VMI TECNOLOGIAS LTDA</v>
          </cell>
          <cell r="H588">
            <v>45934</v>
          </cell>
          <cell r="I588" t="str">
            <v>MARCO</v>
          </cell>
          <cell r="J588">
            <v>40</v>
          </cell>
          <cell r="K588">
            <v>27.46</v>
          </cell>
          <cell r="L588">
            <v>1098.4000000000001</v>
          </cell>
          <cell r="M588" t="str">
            <v>APROVADO</v>
          </cell>
          <cell r="N588" t="str">
            <v>10</v>
          </cell>
          <cell r="O588">
            <v>46034</v>
          </cell>
          <cell r="P588" t="str">
            <v>PRODUÇÃO DE JANEIRO DE 2026</v>
          </cell>
        </row>
        <row r="589">
          <cell r="B589" t="str">
            <v>049827048333.23.10076.00</v>
          </cell>
          <cell r="C589" t="str">
            <v>049827</v>
          </cell>
          <cell r="D589" t="str">
            <v>0483</v>
          </cell>
          <cell r="E589" t="str">
            <v>33.23.10076.00</v>
          </cell>
          <cell r="F589" t="str">
            <v>SUPORTE DA CORTINA / 33.23.10076.00</v>
          </cell>
          <cell r="G589" t="str">
            <v>VMI TECNOLOGIAS LTDA</v>
          </cell>
          <cell r="H589">
            <v>45934</v>
          </cell>
          <cell r="I589" t="str">
            <v>MARCO</v>
          </cell>
          <cell r="J589">
            <v>44</v>
          </cell>
          <cell r="K589">
            <v>80.099999999999994</v>
          </cell>
          <cell r="L589">
            <v>3524.4</v>
          </cell>
          <cell r="M589" t="str">
            <v>APROVADO</v>
          </cell>
          <cell r="N589" t="str">
            <v>10</v>
          </cell>
          <cell r="O589">
            <v>46034</v>
          </cell>
          <cell r="P589" t="str">
            <v>PRODUÇÃO DE JANEIRO DE 2026</v>
          </cell>
        </row>
        <row r="590">
          <cell r="B590" t="str">
            <v>049827048533.23.10085.03</v>
          </cell>
          <cell r="C590" t="str">
            <v>049827</v>
          </cell>
          <cell r="D590" t="str">
            <v>0485</v>
          </cell>
          <cell r="E590" t="str">
            <v>33.23.10085.03</v>
          </cell>
          <cell r="F590" t="str">
            <v>FIXACAO SUPERIOR DO GERADOR / 33.23.10085.03</v>
          </cell>
          <cell r="G590" t="str">
            <v>VMI TECNOLOGIAS LTDA</v>
          </cell>
          <cell r="H590">
            <v>45934</v>
          </cell>
          <cell r="I590" t="str">
            <v>MARCO</v>
          </cell>
          <cell r="J590">
            <v>30</v>
          </cell>
          <cell r="K590">
            <v>33.6</v>
          </cell>
          <cell r="L590">
            <v>1008</v>
          </cell>
          <cell r="M590" t="str">
            <v>APROVADO</v>
          </cell>
          <cell r="N590" t="str">
            <v>10</v>
          </cell>
          <cell r="O590">
            <v>46034</v>
          </cell>
          <cell r="P590" t="str">
            <v>PRODUÇÃO DE JANEIRO DE 2026</v>
          </cell>
        </row>
        <row r="591">
          <cell r="B591" t="str">
            <v>049827048633.23.10110.03</v>
          </cell>
          <cell r="C591" t="str">
            <v>049827</v>
          </cell>
          <cell r="D591" t="str">
            <v>0486</v>
          </cell>
          <cell r="E591" t="str">
            <v>33.23.10110.03</v>
          </cell>
          <cell r="F591" t="str">
            <v>PESCOCO DO COLIMADOR / 33.23.10110.03</v>
          </cell>
          <cell r="G591" t="str">
            <v>VMI TECNOLOGIAS LTDA</v>
          </cell>
          <cell r="H591">
            <v>45934</v>
          </cell>
          <cell r="I591" t="str">
            <v>MARCO</v>
          </cell>
          <cell r="J591">
            <v>30</v>
          </cell>
          <cell r="K591">
            <v>108.59</v>
          </cell>
          <cell r="L591">
            <v>3257.7</v>
          </cell>
          <cell r="M591" t="str">
            <v>APROVADO</v>
          </cell>
          <cell r="N591" t="str">
            <v>10</v>
          </cell>
          <cell r="O591">
            <v>46034</v>
          </cell>
          <cell r="P591" t="str">
            <v>PRODUÇÃO DE JANEIRO DE 2026</v>
          </cell>
        </row>
        <row r="592">
          <cell r="B592" t="str">
            <v>049827048733.23.10111.03</v>
          </cell>
          <cell r="C592" t="str">
            <v>049827</v>
          </cell>
          <cell r="D592" t="str">
            <v>0487</v>
          </cell>
          <cell r="E592" t="str">
            <v>33.23.10111.03</v>
          </cell>
          <cell r="F592" t="str">
            <v>PERFIL DE FECHAMENTO DO COLIMADOR / 33.23.10111.03</v>
          </cell>
          <cell r="G592" t="str">
            <v>VMI TECNOLOGIAS LTDA</v>
          </cell>
          <cell r="H592">
            <v>45934</v>
          </cell>
          <cell r="I592" t="str">
            <v>MARCO</v>
          </cell>
          <cell r="J592">
            <v>60</v>
          </cell>
          <cell r="K592">
            <v>10.26</v>
          </cell>
          <cell r="L592">
            <v>615.6</v>
          </cell>
          <cell r="M592" t="str">
            <v>APROVADO</v>
          </cell>
          <cell r="N592" t="str">
            <v>10</v>
          </cell>
          <cell r="O592">
            <v>46034</v>
          </cell>
          <cell r="P592" t="str">
            <v>PRODUÇÃO DE JANEIRO DE 2026</v>
          </cell>
        </row>
        <row r="593">
          <cell r="B593" t="str">
            <v>049827048933.23.10138.03</v>
          </cell>
          <cell r="C593" t="str">
            <v>049827</v>
          </cell>
          <cell r="D593" t="str">
            <v>0489</v>
          </cell>
          <cell r="E593" t="str">
            <v>33.23.10138.03</v>
          </cell>
          <cell r="F593" t="str">
            <v>FIXACAO CORTINA / 33.23.10138.03</v>
          </cell>
          <cell r="G593" t="str">
            <v>VMI TECNOLOGIAS LTDA</v>
          </cell>
          <cell r="H593">
            <v>45934</v>
          </cell>
          <cell r="I593" t="str">
            <v>MARCO</v>
          </cell>
          <cell r="J593">
            <v>171</v>
          </cell>
          <cell r="K593">
            <v>4.1500000000000004</v>
          </cell>
          <cell r="L593">
            <v>722.1</v>
          </cell>
          <cell r="M593" t="str">
            <v>APROVADO</v>
          </cell>
          <cell r="N593" t="str">
            <v>10</v>
          </cell>
          <cell r="O593">
            <v>46034</v>
          </cell>
          <cell r="P593" t="str">
            <v>PRODUÇÃO DE JANEIRO DE 2026</v>
          </cell>
        </row>
        <row r="594">
          <cell r="B594" t="str">
            <v>049827049033.23.10138.03</v>
          </cell>
          <cell r="C594" t="str">
            <v>049827</v>
          </cell>
          <cell r="D594" t="str">
            <v>0490</v>
          </cell>
          <cell r="E594" t="str">
            <v>33.23.10138.03</v>
          </cell>
          <cell r="F594" t="str">
            <v>FIXACAO CORTINA / 33.23.10138.03</v>
          </cell>
          <cell r="G594" t="str">
            <v>VMI TECNOLOGIAS LTDA</v>
          </cell>
          <cell r="H594">
            <v>45934</v>
          </cell>
          <cell r="I594" t="str">
            <v>MARCO</v>
          </cell>
          <cell r="J594">
            <v>6</v>
          </cell>
          <cell r="K594">
            <v>4.1500000000000004</v>
          </cell>
          <cell r="L594">
            <v>24.9</v>
          </cell>
          <cell r="M594" t="str">
            <v>APROVADO</v>
          </cell>
          <cell r="N594" t="str">
            <v>10</v>
          </cell>
          <cell r="O594">
            <v>46034</v>
          </cell>
          <cell r="P594" t="str">
            <v>PRODUÇÃO DE JANEIRO DE 2026</v>
          </cell>
        </row>
        <row r="595">
          <cell r="B595" t="str">
            <v>049827049133.23.10140.01</v>
          </cell>
          <cell r="C595" t="str">
            <v>049827</v>
          </cell>
          <cell r="D595" t="str">
            <v>0491</v>
          </cell>
          <cell r="E595" t="str">
            <v>33.23.10140.01</v>
          </cell>
          <cell r="F595" t="str">
            <v>SUPORTE DA CORTINA LADO DIREITO / 33.23.10140.01</v>
          </cell>
          <cell r="G595" t="str">
            <v>VMI TECNOLOGIAS LTDA</v>
          </cell>
          <cell r="H595">
            <v>45934</v>
          </cell>
          <cell r="I595" t="str">
            <v>MARCO</v>
          </cell>
          <cell r="J595">
            <v>26</v>
          </cell>
          <cell r="K595">
            <v>3.58</v>
          </cell>
          <cell r="L595">
            <v>207.64</v>
          </cell>
          <cell r="M595" t="str">
            <v>APROVADO</v>
          </cell>
          <cell r="N595" t="str">
            <v>10</v>
          </cell>
          <cell r="O595">
            <v>46034</v>
          </cell>
          <cell r="P595" t="str">
            <v>PRODUÇÃO DE JANEIRO DE 2026</v>
          </cell>
        </row>
        <row r="596">
          <cell r="B596" t="str">
            <v>049827049233.23.10140.01</v>
          </cell>
          <cell r="C596" t="str">
            <v>049827</v>
          </cell>
          <cell r="D596" t="str">
            <v>0492</v>
          </cell>
          <cell r="E596" t="str">
            <v>33.23.10140.01</v>
          </cell>
          <cell r="F596" t="str">
            <v>SUPORTE DA CORTINA LADO DIREITO / 33.23.10140.01</v>
          </cell>
          <cell r="G596" t="str">
            <v>VMI TECNOLOGIAS LTDA</v>
          </cell>
          <cell r="H596">
            <v>45934</v>
          </cell>
          <cell r="I596" t="str">
            <v>MARCO</v>
          </cell>
          <cell r="J596">
            <v>2</v>
          </cell>
          <cell r="K596">
            <v>3.58</v>
          </cell>
          <cell r="L596">
            <v>7.16</v>
          </cell>
          <cell r="M596" t="str">
            <v>APROVADO</v>
          </cell>
          <cell r="N596" t="str">
            <v>10</v>
          </cell>
          <cell r="O596">
            <v>46034</v>
          </cell>
          <cell r="P596" t="str">
            <v>PRODUÇÃO DE JANEIRO DE 2026</v>
          </cell>
        </row>
        <row r="597">
          <cell r="B597" t="str">
            <v>049827049333.23.10142.02</v>
          </cell>
          <cell r="C597" t="str">
            <v>049827</v>
          </cell>
          <cell r="D597" t="str">
            <v>0493</v>
          </cell>
          <cell r="E597" t="str">
            <v>33.23.10142.02</v>
          </cell>
          <cell r="F597" t="str">
            <v>FIXACAO INFERIOR DO GERADOR / 33.23.10142.02</v>
          </cell>
          <cell r="G597" t="str">
            <v>VMI TECNOLOGIAS LTDA</v>
          </cell>
          <cell r="H597">
            <v>45934</v>
          </cell>
          <cell r="I597" t="str">
            <v>MARCO</v>
          </cell>
          <cell r="J597">
            <v>1</v>
          </cell>
          <cell r="K597">
            <v>1.68</v>
          </cell>
          <cell r="L597">
            <v>50.4</v>
          </cell>
          <cell r="M597" t="str">
            <v>APROVADO</v>
          </cell>
          <cell r="N597" t="str">
            <v>10</v>
          </cell>
          <cell r="O597">
            <v>46034</v>
          </cell>
          <cell r="P597" t="str">
            <v>PRODUÇÃO DE JANEIRO DE 2026</v>
          </cell>
        </row>
        <row r="598">
          <cell r="B598" t="str">
            <v>049827049433.23.10143.01</v>
          </cell>
          <cell r="C598" t="str">
            <v>049827</v>
          </cell>
          <cell r="D598" t="str">
            <v>0494</v>
          </cell>
          <cell r="E598" t="str">
            <v>33.23.10143.01</v>
          </cell>
          <cell r="F598" t="str">
            <v>TRAVA DA ESTEIRA / 33.23.10143.01</v>
          </cell>
          <cell r="G598" t="str">
            <v>VMI TECNOLOGIAS LTDA</v>
          </cell>
          <cell r="H598">
            <v>45934</v>
          </cell>
          <cell r="I598" t="str">
            <v>MARCO</v>
          </cell>
          <cell r="J598">
            <v>20</v>
          </cell>
          <cell r="K598">
            <v>5.55</v>
          </cell>
          <cell r="L598">
            <v>666</v>
          </cell>
          <cell r="M598" t="str">
            <v>APROVADO</v>
          </cell>
          <cell r="N598" t="str">
            <v>10</v>
          </cell>
          <cell r="O598">
            <v>46034</v>
          </cell>
          <cell r="P598" t="str">
            <v>PRODUÇÃO DE JANEIRO DE 2026</v>
          </cell>
        </row>
        <row r="599">
          <cell r="B599" t="str">
            <v>049827049533.23.10158.02</v>
          </cell>
          <cell r="C599" t="str">
            <v>049827</v>
          </cell>
          <cell r="D599" t="str">
            <v>0495</v>
          </cell>
          <cell r="E599" t="str">
            <v>33.23.10158.02</v>
          </cell>
          <cell r="F599" t="str">
            <v>CHAPA DO QUADRO ALIMENT. DISJUNTORES / 33.23.10158.02</v>
          </cell>
          <cell r="G599" t="str">
            <v>VMI TECNOLOGIAS LTDA</v>
          </cell>
          <cell r="H599">
            <v>45934</v>
          </cell>
          <cell r="I599" t="str">
            <v>MARCO</v>
          </cell>
          <cell r="J599">
            <v>24</v>
          </cell>
          <cell r="K599">
            <v>95.5</v>
          </cell>
          <cell r="L599">
            <v>2292</v>
          </cell>
          <cell r="M599" t="str">
            <v>APROVADO</v>
          </cell>
          <cell r="N599" t="str">
            <v>10</v>
          </cell>
          <cell r="O599">
            <v>46034</v>
          </cell>
          <cell r="P599" t="str">
            <v>PRODUÇÃO DE JANEIRO DE 2026</v>
          </cell>
        </row>
        <row r="600">
          <cell r="B600" t="str">
            <v>049827049633.23.10158.02</v>
          </cell>
          <cell r="C600" t="str">
            <v>049827</v>
          </cell>
          <cell r="D600" t="str">
            <v>0496</v>
          </cell>
          <cell r="E600" t="str">
            <v>33.23.10158.02</v>
          </cell>
          <cell r="F600" t="str">
            <v>CHAPA DO QUADRO ALIMENT. DISJUNTORES / 33.23.10158.02</v>
          </cell>
          <cell r="G600" t="str">
            <v>VMI TECNOLOGIAS LTDA</v>
          </cell>
          <cell r="H600">
            <v>45934</v>
          </cell>
          <cell r="I600" t="str">
            <v>MARCO</v>
          </cell>
          <cell r="J600">
            <v>6</v>
          </cell>
          <cell r="K600">
            <v>95.5</v>
          </cell>
          <cell r="L600">
            <v>573</v>
          </cell>
          <cell r="M600" t="str">
            <v>APROVADO</v>
          </cell>
          <cell r="N600" t="str">
            <v>10</v>
          </cell>
          <cell r="O600">
            <v>46034</v>
          </cell>
          <cell r="P600" t="str">
            <v>PRODUÇÃO DE JANEIRO DE 2026</v>
          </cell>
        </row>
        <row r="601">
          <cell r="B601" t="str">
            <v>049827049933.23.10162.02</v>
          </cell>
          <cell r="C601" t="str">
            <v>049827</v>
          </cell>
          <cell r="D601" t="str">
            <v>0499</v>
          </cell>
          <cell r="E601" t="str">
            <v>33.23.10162.02</v>
          </cell>
          <cell r="F601" t="str">
            <v>BASE FIXACAO DA REGUA DE POLICARBONATO / 33.23.10162.02</v>
          </cell>
          <cell r="G601" t="str">
            <v>VMI TECNOLOGIAS LTDA</v>
          </cell>
          <cell r="H601">
            <v>45934</v>
          </cell>
          <cell r="I601" t="str">
            <v>MARCO</v>
          </cell>
          <cell r="J601">
            <v>30</v>
          </cell>
          <cell r="K601">
            <v>23.65</v>
          </cell>
          <cell r="L601">
            <v>709.5</v>
          </cell>
          <cell r="M601" t="str">
            <v>APROVADO</v>
          </cell>
          <cell r="N601" t="str">
            <v>10</v>
          </cell>
          <cell r="O601">
            <v>46034</v>
          </cell>
          <cell r="P601" t="str">
            <v>PRODUÇÃO DE JANEIRO DE 2026</v>
          </cell>
        </row>
        <row r="602">
          <cell r="B602" t="str">
            <v>049827050033.23.10180.04</v>
          </cell>
          <cell r="C602" t="str">
            <v>049827</v>
          </cell>
          <cell r="D602" t="str">
            <v>0500</v>
          </cell>
          <cell r="E602" t="str">
            <v>33.23.10180.04</v>
          </cell>
          <cell r="F602" t="str">
            <v>ESTRUTURA SOLDADA DA 6040 COMPACT / 33.23.10180.04</v>
          </cell>
          <cell r="G602" t="str">
            <v>VMI TECNOLOGIAS LTDA</v>
          </cell>
          <cell r="H602">
            <v>45934</v>
          </cell>
          <cell r="I602" t="str">
            <v>MARCO</v>
          </cell>
          <cell r="J602">
            <v>30</v>
          </cell>
          <cell r="K602">
            <v>1201.99</v>
          </cell>
          <cell r="L602">
            <v>36059.699999999997</v>
          </cell>
          <cell r="M602" t="str">
            <v>APROVADO</v>
          </cell>
          <cell r="N602" t="str">
            <v>10</v>
          </cell>
          <cell r="O602">
            <v>46034</v>
          </cell>
          <cell r="P602" t="str">
            <v>PRODUÇÃO DE JANEIRO DE 2026</v>
          </cell>
        </row>
        <row r="603">
          <cell r="B603" t="str">
            <v>049827050133.23.10182.01</v>
          </cell>
          <cell r="C603" t="str">
            <v>049827</v>
          </cell>
          <cell r="D603" t="str">
            <v>0501</v>
          </cell>
          <cell r="E603" t="str">
            <v>33.23.10182.01</v>
          </cell>
          <cell r="F603" t="str">
            <v>TAMPA DA GAIOLA DA REGUA DE COLIMACAO / 33.23.10182.01</v>
          </cell>
          <cell r="G603" t="str">
            <v>VMI TECNOLOGIAS LTDA</v>
          </cell>
          <cell r="H603">
            <v>45934</v>
          </cell>
          <cell r="I603" t="str">
            <v>MARCO</v>
          </cell>
          <cell r="J603">
            <v>30</v>
          </cell>
          <cell r="K603">
            <v>4.04</v>
          </cell>
          <cell r="L603">
            <v>121.2</v>
          </cell>
          <cell r="M603" t="str">
            <v>APROVADO</v>
          </cell>
          <cell r="N603" t="str">
            <v>10</v>
          </cell>
          <cell r="O603">
            <v>46034</v>
          </cell>
          <cell r="P603" t="str">
            <v>PRODUÇÃO DE JANEIRO DE 2026</v>
          </cell>
        </row>
        <row r="604">
          <cell r="B604" t="str">
            <v>049827050233.23.10186.02</v>
          </cell>
          <cell r="C604" t="str">
            <v>049827</v>
          </cell>
          <cell r="D604" t="str">
            <v>0502</v>
          </cell>
          <cell r="E604" t="str">
            <v>33.23.10186.02</v>
          </cell>
          <cell r="F604" t="str">
            <v>REGUA DE MONTAGE DA CORTINA / 33.23.10186.02</v>
          </cell>
          <cell r="G604" t="str">
            <v>VMI TECNOLOGIAS LTDA</v>
          </cell>
          <cell r="H604">
            <v>45934</v>
          </cell>
          <cell r="I604" t="str">
            <v>MARCO</v>
          </cell>
          <cell r="J604">
            <v>58</v>
          </cell>
          <cell r="K604">
            <v>110.86</v>
          </cell>
          <cell r="L604">
            <v>6429.88</v>
          </cell>
          <cell r="M604" t="str">
            <v>APROVADO</v>
          </cell>
          <cell r="N604" t="str">
            <v>10</v>
          </cell>
          <cell r="O604">
            <v>46034</v>
          </cell>
          <cell r="P604" t="str">
            <v>PRODUÇÃO DE JANEIRO DE 2026</v>
          </cell>
        </row>
        <row r="605">
          <cell r="B605" t="str">
            <v>049827050333.23.10186.02</v>
          </cell>
          <cell r="C605" t="str">
            <v>049827</v>
          </cell>
          <cell r="D605" t="str">
            <v>0503</v>
          </cell>
          <cell r="E605" t="str">
            <v>33.23.10186.02</v>
          </cell>
          <cell r="F605" t="str">
            <v>REGUA DE MONTAGE DA CORTINA / 33.23.10186.02</v>
          </cell>
          <cell r="G605" t="str">
            <v>VMI TECNOLOGIAS LTDA</v>
          </cell>
          <cell r="H605">
            <v>45934</v>
          </cell>
          <cell r="I605" t="str">
            <v>MARCO</v>
          </cell>
          <cell r="J605">
            <v>2</v>
          </cell>
          <cell r="K605">
            <v>110.86</v>
          </cell>
          <cell r="L605">
            <v>221.72</v>
          </cell>
          <cell r="M605" t="str">
            <v>APROVADO</v>
          </cell>
          <cell r="N605" t="str">
            <v>10</v>
          </cell>
          <cell r="O605">
            <v>46034</v>
          </cell>
          <cell r="P605" t="str">
            <v>PRODUÇÃO DE JANEIRO DE 2026</v>
          </cell>
        </row>
        <row r="606">
          <cell r="B606" t="str">
            <v>049827050533.23.10202.03</v>
          </cell>
          <cell r="C606" t="str">
            <v>049827</v>
          </cell>
          <cell r="D606" t="str">
            <v>0505</v>
          </cell>
          <cell r="E606" t="str">
            <v>33.23.10202.03</v>
          </cell>
          <cell r="F606" t="str">
            <v>SUP. FIXO DO ROLETE ALINHADOR / 33.23.10202.03</v>
          </cell>
          <cell r="G606" t="str">
            <v>VMI TECNOLOGIAS LTDA</v>
          </cell>
          <cell r="H606">
            <v>45934</v>
          </cell>
          <cell r="I606" t="str">
            <v>MARCO</v>
          </cell>
          <cell r="J606">
            <v>47</v>
          </cell>
          <cell r="K606">
            <v>22.22</v>
          </cell>
          <cell r="L606">
            <v>1044.3399999999999</v>
          </cell>
          <cell r="M606" t="str">
            <v>APROVADO</v>
          </cell>
          <cell r="N606" t="str">
            <v>10</v>
          </cell>
          <cell r="O606">
            <v>46034</v>
          </cell>
          <cell r="P606" t="str">
            <v>PRODUÇÃO DE JANEIRO DE 2026</v>
          </cell>
        </row>
        <row r="607">
          <cell r="B607" t="str">
            <v>049827050733.23.10217.00</v>
          </cell>
          <cell r="C607" t="str">
            <v>049827</v>
          </cell>
          <cell r="D607" t="str">
            <v>0507</v>
          </cell>
          <cell r="E607" t="str">
            <v>33.23.10217.00</v>
          </cell>
          <cell r="F607" t="str">
            <v>APOIO DAS TAMPAS DE ACABAMENTO / 33.23.10217.00</v>
          </cell>
          <cell r="G607" t="str">
            <v>VMI TECNOLOGIAS LTDA</v>
          </cell>
          <cell r="H607">
            <v>45934</v>
          </cell>
          <cell r="I607" t="str">
            <v>MARCO</v>
          </cell>
          <cell r="J607">
            <v>120</v>
          </cell>
          <cell r="K607">
            <v>5.75</v>
          </cell>
          <cell r="L607">
            <v>690</v>
          </cell>
          <cell r="M607" t="str">
            <v>APROVADO</v>
          </cell>
          <cell r="N607" t="str">
            <v>10</v>
          </cell>
          <cell r="O607">
            <v>46034</v>
          </cell>
          <cell r="P607" t="str">
            <v>PRODUÇÃO DE JANEIRO DE 2026</v>
          </cell>
        </row>
        <row r="608">
          <cell r="B608" t="str">
            <v>049827050833.23.10234.00</v>
          </cell>
          <cell r="C608" t="str">
            <v>049827</v>
          </cell>
          <cell r="D608" t="str">
            <v>0508</v>
          </cell>
          <cell r="E608" t="str">
            <v>33.23.10234.00</v>
          </cell>
          <cell r="F608" t="str">
            <v>MONTAGEM DA GRADE DA SILICA / 33.23.10234.00</v>
          </cell>
          <cell r="G608" t="str">
            <v>VMI TECNOLOGIAS LTDA</v>
          </cell>
          <cell r="H608">
            <v>45934</v>
          </cell>
          <cell r="I608" t="str">
            <v>MARCO</v>
          </cell>
          <cell r="J608">
            <v>29</v>
          </cell>
          <cell r="K608">
            <v>23.15</v>
          </cell>
          <cell r="L608">
            <v>694.5</v>
          </cell>
          <cell r="M608" t="str">
            <v>APROVADO</v>
          </cell>
          <cell r="N608" t="str">
            <v>10</v>
          </cell>
          <cell r="O608">
            <v>46034</v>
          </cell>
          <cell r="P608" t="str">
            <v>PRODUÇÃO DE JANEIRO DE 2026</v>
          </cell>
        </row>
        <row r="609">
          <cell r="B609" t="str">
            <v>049827051033.23.10238.00</v>
          </cell>
          <cell r="C609" t="str">
            <v>049827</v>
          </cell>
          <cell r="D609" t="str">
            <v>0510</v>
          </cell>
          <cell r="E609" t="str">
            <v>33.23.10238.00</v>
          </cell>
          <cell r="F609" t="str">
            <v>TRAVA DO EIXO DE REGULAGEM CAIXA L / 33.23.10238.00</v>
          </cell>
          <cell r="G609" t="str">
            <v>VMI TECNOLOGIAS LTDA</v>
          </cell>
          <cell r="H609">
            <v>45934</v>
          </cell>
          <cell r="I609" t="str">
            <v>MARCO</v>
          </cell>
          <cell r="J609">
            <v>106</v>
          </cell>
          <cell r="K609">
            <v>3.16</v>
          </cell>
          <cell r="L609">
            <v>334.96</v>
          </cell>
          <cell r="M609" t="str">
            <v>APROVADO</v>
          </cell>
          <cell r="N609" t="str">
            <v>10</v>
          </cell>
          <cell r="O609">
            <v>46034</v>
          </cell>
          <cell r="P609" t="str">
            <v>PRODUÇÃO DE JANEIRO DE 2026</v>
          </cell>
        </row>
        <row r="610">
          <cell r="B610" t="str">
            <v>049827051133.23.10239.01</v>
          </cell>
          <cell r="C610" t="str">
            <v>049827</v>
          </cell>
          <cell r="D610" t="str">
            <v>0511</v>
          </cell>
          <cell r="E610" t="str">
            <v>33.23.10239.01</v>
          </cell>
          <cell r="F610" t="str">
            <v>SUPORTE MONTAGEM DE MICRO INTERRUPTOR / 33.23.10239.01</v>
          </cell>
          <cell r="G610" t="str">
            <v>VMI TECNOLOGIAS LTDA</v>
          </cell>
          <cell r="H610">
            <v>45934</v>
          </cell>
          <cell r="I610" t="str">
            <v>MARCO</v>
          </cell>
          <cell r="J610">
            <v>60</v>
          </cell>
          <cell r="K610">
            <v>8.35</v>
          </cell>
          <cell r="L610">
            <v>501</v>
          </cell>
          <cell r="M610" t="str">
            <v>APROVADO</v>
          </cell>
          <cell r="N610" t="str">
            <v>10</v>
          </cell>
          <cell r="O610">
            <v>46034</v>
          </cell>
          <cell r="P610" t="str">
            <v>PRODUÇÃO DE JANEIRO DE 2026</v>
          </cell>
        </row>
        <row r="611">
          <cell r="B611" t="str">
            <v>049827051233.23.10240.00</v>
          </cell>
          <cell r="C611" t="str">
            <v>049827</v>
          </cell>
          <cell r="D611" t="str">
            <v>0512</v>
          </cell>
          <cell r="E611" t="str">
            <v>33.23.10240.00</v>
          </cell>
          <cell r="F611" t="str">
            <v>BLINDAGEM CONTRA RAIO-X DA ESTEIRA / 33.23.10240.00</v>
          </cell>
          <cell r="G611" t="str">
            <v>VMI TECNOLOGIAS LTDA</v>
          </cell>
          <cell r="H611">
            <v>45934</v>
          </cell>
          <cell r="I611" t="str">
            <v>MARCO</v>
          </cell>
          <cell r="J611">
            <v>30</v>
          </cell>
          <cell r="K611">
            <v>28.38</v>
          </cell>
          <cell r="L611">
            <v>851.4</v>
          </cell>
          <cell r="M611" t="str">
            <v>APROVADO</v>
          </cell>
          <cell r="N611" t="str">
            <v>10</v>
          </cell>
          <cell r="O611">
            <v>46034</v>
          </cell>
          <cell r="P611" t="str">
            <v>PRODUÇÃO DE JANEIRO DE 2026</v>
          </cell>
        </row>
        <row r="612">
          <cell r="B612" t="str">
            <v>049827051333.23.10241.00</v>
          </cell>
          <cell r="C612" t="str">
            <v>049827</v>
          </cell>
          <cell r="D612" t="str">
            <v>0513</v>
          </cell>
          <cell r="E612" t="str">
            <v>33.23.10241.00</v>
          </cell>
          <cell r="F612" t="str">
            <v>BLINDAGEM ESQ. RAIO-X DA ESTEIRA / 33.23.10241.00</v>
          </cell>
          <cell r="G612" t="str">
            <v>VMI TECNOLOGIAS LTDA</v>
          </cell>
          <cell r="H612">
            <v>45934</v>
          </cell>
          <cell r="I612" t="str">
            <v>MARCO</v>
          </cell>
          <cell r="J612">
            <v>30</v>
          </cell>
          <cell r="K612">
            <v>28.38</v>
          </cell>
          <cell r="L612">
            <v>851.4</v>
          </cell>
          <cell r="M612" t="str">
            <v>APROVADO</v>
          </cell>
          <cell r="N612" t="str">
            <v>10</v>
          </cell>
          <cell r="O612">
            <v>46034</v>
          </cell>
          <cell r="P612" t="str">
            <v>PRODUÇÃO DE JANEIRO DE 2026</v>
          </cell>
        </row>
        <row r="613">
          <cell r="B613" t="str">
            <v>049827051433.23.10250.00</v>
          </cell>
          <cell r="C613" t="str">
            <v>049827</v>
          </cell>
          <cell r="D613" t="str">
            <v>0514</v>
          </cell>
          <cell r="E613" t="str">
            <v>33.23.10250.00</v>
          </cell>
          <cell r="F613" t="str">
            <v>SUPORTE MONTAGEM DO ACABAMENTO / 33.23.10250.00</v>
          </cell>
          <cell r="G613" t="str">
            <v>VMI TECNOLOGIAS LTDA</v>
          </cell>
          <cell r="H613">
            <v>45934</v>
          </cell>
          <cell r="I613" t="str">
            <v>MARCO</v>
          </cell>
          <cell r="J613">
            <v>17</v>
          </cell>
          <cell r="K613">
            <v>17.850000000000001</v>
          </cell>
          <cell r="L613">
            <v>2142</v>
          </cell>
          <cell r="M613" t="str">
            <v>APROVADO</v>
          </cell>
          <cell r="N613" t="str">
            <v>10</v>
          </cell>
          <cell r="O613">
            <v>46034</v>
          </cell>
          <cell r="P613" t="str">
            <v>PRODUÇÃO DE JANEIRO DE 2026</v>
          </cell>
        </row>
        <row r="614">
          <cell r="B614" t="str">
            <v>049827051733.23.10317.01</v>
          </cell>
          <cell r="C614" t="str">
            <v>049827</v>
          </cell>
          <cell r="D614" t="str">
            <v>0517</v>
          </cell>
          <cell r="E614" t="str">
            <v>33.23.10317.01</v>
          </cell>
          <cell r="F614" t="str">
            <v>CONJUNTO SOLDADO DA GAIOLA DAS DETECTORAS / 33.23.10317.01</v>
          </cell>
          <cell r="G614" t="str">
            <v>VMI TECNOLOGIAS LTDA</v>
          </cell>
          <cell r="H614">
            <v>45934</v>
          </cell>
          <cell r="I614" t="str">
            <v>MARCO</v>
          </cell>
          <cell r="J614">
            <v>29</v>
          </cell>
          <cell r="K614">
            <v>474.08</v>
          </cell>
          <cell r="L614">
            <v>13748.32</v>
          </cell>
          <cell r="M614" t="str">
            <v>APROVADO</v>
          </cell>
          <cell r="N614" t="str">
            <v>10</v>
          </cell>
          <cell r="O614">
            <v>46034</v>
          </cell>
          <cell r="P614" t="str">
            <v>PRODUÇÃO DE JANEIRO DE 2026</v>
          </cell>
        </row>
        <row r="615">
          <cell r="B615" t="str">
            <v>049827051933.23.10325.00</v>
          </cell>
          <cell r="C615" t="str">
            <v>049827</v>
          </cell>
          <cell r="D615" t="str">
            <v>0519</v>
          </cell>
          <cell r="E615" t="str">
            <v>33.23.10325.00</v>
          </cell>
          <cell r="F615" t="str">
            <v>SUPORTE FIXACAO DA TAMPA VERTICAL / 33.23.10325.00</v>
          </cell>
          <cell r="G615" t="str">
            <v>VMI TECNOLOGIAS LTDA</v>
          </cell>
          <cell r="H615">
            <v>45934</v>
          </cell>
          <cell r="I615" t="str">
            <v>MARCO</v>
          </cell>
          <cell r="J615">
            <v>30</v>
          </cell>
          <cell r="K615">
            <v>22.25</v>
          </cell>
          <cell r="L615">
            <v>667.5</v>
          </cell>
          <cell r="M615" t="str">
            <v>APROVADO</v>
          </cell>
          <cell r="N615" t="str">
            <v>10</v>
          </cell>
          <cell r="O615">
            <v>46034</v>
          </cell>
          <cell r="P615" t="str">
            <v>PRODUÇÃO DE JANEIRO DE 2026</v>
          </cell>
        </row>
        <row r="616">
          <cell r="B616" t="str">
            <v>049827052133.23.10328.01</v>
          </cell>
          <cell r="C616" t="str">
            <v>049827</v>
          </cell>
          <cell r="D616" t="str">
            <v>0521</v>
          </cell>
          <cell r="E616" t="str">
            <v>33.23.10328.01</v>
          </cell>
          <cell r="F616" t="str">
            <v>CONJUNTO SOLDADO DA CAIXA L / 33.23.10328.01</v>
          </cell>
          <cell r="G616" t="str">
            <v>VMI TECNOLOGIAS LTDA</v>
          </cell>
          <cell r="H616">
            <v>45934</v>
          </cell>
          <cell r="I616" t="str">
            <v>MARCO</v>
          </cell>
          <cell r="J616">
            <v>29</v>
          </cell>
          <cell r="K616">
            <v>302</v>
          </cell>
          <cell r="L616">
            <v>8758</v>
          </cell>
          <cell r="M616" t="str">
            <v>APROVADO</v>
          </cell>
          <cell r="N616" t="str">
            <v>10</v>
          </cell>
          <cell r="O616">
            <v>46034</v>
          </cell>
          <cell r="P616" t="str">
            <v>PRODUÇÃO DE JANEIRO DE 2026</v>
          </cell>
        </row>
        <row r="617">
          <cell r="B617" t="str">
            <v>049827052233.23.10334.01</v>
          </cell>
          <cell r="C617" t="str">
            <v>049827</v>
          </cell>
          <cell r="D617" t="str">
            <v>0522</v>
          </cell>
          <cell r="E617" t="str">
            <v>33.23.10334.01</v>
          </cell>
          <cell r="F617" t="str">
            <v>SUPORTE REMOVIVEL DA PLACA DETECTORA / 33.23.10334.01</v>
          </cell>
          <cell r="G617" t="str">
            <v>VMI TECNOLOGIAS LTDA</v>
          </cell>
          <cell r="H617">
            <v>45934</v>
          </cell>
          <cell r="I617" t="str">
            <v>MARCO</v>
          </cell>
          <cell r="J617">
            <v>251</v>
          </cell>
          <cell r="K617">
            <v>13.9</v>
          </cell>
          <cell r="L617">
            <v>3753</v>
          </cell>
          <cell r="M617" t="str">
            <v>APROVADO</v>
          </cell>
          <cell r="N617" t="str">
            <v>10</v>
          </cell>
          <cell r="O617">
            <v>46034</v>
          </cell>
          <cell r="P617" t="str">
            <v>PRODUÇÃO DE JANEIRO DE 2026</v>
          </cell>
        </row>
        <row r="618">
          <cell r="B618" t="str">
            <v>049827052433.23.10337.00</v>
          </cell>
          <cell r="C618" t="str">
            <v>049827</v>
          </cell>
          <cell r="D618" t="str">
            <v>0524</v>
          </cell>
          <cell r="E618" t="str">
            <v>33.23.10337.00</v>
          </cell>
          <cell r="F618" t="str">
            <v>TAMPA DA CAIXA S-DAQ / 33.23.10337.00</v>
          </cell>
          <cell r="G618" t="str">
            <v>VMI TECNOLOGIAS LTDA</v>
          </cell>
          <cell r="H618">
            <v>45934</v>
          </cell>
          <cell r="I618" t="str">
            <v>MARCO</v>
          </cell>
          <cell r="J618">
            <v>30</v>
          </cell>
          <cell r="K618">
            <v>21.88</v>
          </cell>
          <cell r="L618">
            <v>656.4</v>
          </cell>
          <cell r="M618" t="str">
            <v>APROVADO</v>
          </cell>
          <cell r="N618" t="str">
            <v>10</v>
          </cell>
          <cell r="O618">
            <v>46034</v>
          </cell>
          <cell r="P618" t="str">
            <v>PRODUÇÃO DE JANEIRO DE 2026</v>
          </cell>
        </row>
        <row r="619">
          <cell r="B619" t="str">
            <v>049827052533.23.10367.00</v>
          </cell>
          <cell r="C619" t="str">
            <v>049827</v>
          </cell>
          <cell r="D619" t="str">
            <v>0525</v>
          </cell>
          <cell r="E619" t="str">
            <v>33.23.10367.00</v>
          </cell>
          <cell r="F619" t="str">
            <v>SUPORTE DE FIXACAO DO CABO DA MOTOPOLIA / 33.23.10367.00</v>
          </cell>
          <cell r="G619" t="str">
            <v>VMI TECNOLOGIAS LTDA</v>
          </cell>
          <cell r="H619">
            <v>45934</v>
          </cell>
          <cell r="I619" t="str">
            <v>MARCO</v>
          </cell>
          <cell r="J619">
            <v>30</v>
          </cell>
          <cell r="K619">
            <v>14.355</v>
          </cell>
          <cell r="L619">
            <v>430.65</v>
          </cell>
          <cell r="M619" t="str">
            <v>APROVADO</v>
          </cell>
          <cell r="N619" t="str">
            <v>10</v>
          </cell>
          <cell r="O619">
            <v>46034</v>
          </cell>
          <cell r="P619" t="str">
            <v>PRODUÇÃO DE JANEIRO DE 2026</v>
          </cell>
        </row>
        <row r="620">
          <cell r="B620" t="str">
            <v>049827052733.23.10368.01</v>
          </cell>
          <cell r="C620" t="str">
            <v>049827</v>
          </cell>
          <cell r="D620" t="str">
            <v>0527</v>
          </cell>
          <cell r="E620" t="str">
            <v>33.23.10368.01</v>
          </cell>
          <cell r="F620" t="str">
            <v>SUPORTE DA CONTROLADORA SANDT / 33.23.10368.01</v>
          </cell>
          <cell r="G620" t="str">
            <v>VMI TECNOLOGIAS LTDA</v>
          </cell>
          <cell r="H620">
            <v>45934</v>
          </cell>
          <cell r="I620" t="str">
            <v>MARCO</v>
          </cell>
          <cell r="J620">
            <v>30</v>
          </cell>
          <cell r="K620">
            <v>66.59</v>
          </cell>
          <cell r="L620">
            <v>1997.7</v>
          </cell>
          <cell r="M620" t="str">
            <v>APROVADO</v>
          </cell>
          <cell r="N620" t="str">
            <v>10</v>
          </cell>
          <cell r="O620">
            <v>46034</v>
          </cell>
          <cell r="P620" t="str">
            <v>PRODUÇÃO DE JANEIRO DE 2026</v>
          </cell>
        </row>
        <row r="621">
          <cell r="B621" t="str">
            <v>049827052833.23.10371.01</v>
          </cell>
          <cell r="C621" t="str">
            <v>049827</v>
          </cell>
          <cell r="D621" t="str">
            <v>0528</v>
          </cell>
          <cell r="E621" t="str">
            <v>33.23.10371.01</v>
          </cell>
          <cell r="F621" t="str">
            <v>TAMPA PARA ENTRADA DE CABOS / 33.23.10371.01</v>
          </cell>
          <cell r="G621" t="str">
            <v>VMI TECNOLOGIAS LTDA</v>
          </cell>
          <cell r="H621">
            <v>45934</v>
          </cell>
          <cell r="I621" t="str">
            <v>MARCO</v>
          </cell>
          <cell r="J621">
            <v>58</v>
          </cell>
          <cell r="K621">
            <v>4.82</v>
          </cell>
          <cell r="L621">
            <v>289.2</v>
          </cell>
          <cell r="M621" t="str">
            <v>APROVADO</v>
          </cell>
          <cell r="N621" t="str">
            <v>10</v>
          </cell>
          <cell r="O621">
            <v>46034</v>
          </cell>
          <cell r="P621" t="str">
            <v>PRODUÇÃO DE JANEIRO DE 2026</v>
          </cell>
        </row>
        <row r="622">
          <cell r="B622" t="str">
            <v>049827052933.23.10377.01</v>
          </cell>
          <cell r="C622" t="str">
            <v>049827</v>
          </cell>
          <cell r="D622" t="str">
            <v>0529</v>
          </cell>
          <cell r="E622" t="str">
            <v>33.23.10377.01</v>
          </cell>
          <cell r="F622" t="str">
            <v>SUPORTE DA REGUA DE COLIMACAO / 33.23.10377.01</v>
          </cell>
          <cell r="G622" t="str">
            <v>VMI TECNOLOGIAS LTDA</v>
          </cell>
          <cell r="H622">
            <v>45934</v>
          </cell>
          <cell r="I622" t="str">
            <v>MARCO</v>
          </cell>
          <cell r="J622">
            <v>30</v>
          </cell>
          <cell r="K622">
            <v>130.6</v>
          </cell>
          <cell r="L622">
            <v>3918</v>
          </cell>
          <cell r="M622" t="str">
            <v>APROVADO</v>
          </cell>
          <cell r="N622" t="str">
            <v>10</v>
          </cell>
          <cell r="O622">
            <v>46034</v>
          </cell>
          <cell r="P622" t="str">
            <v>PRODUÇÃO DE JANEIRO DE 2026</v>
          </cell>
        </row>
        <row r="623">
          <cell r="B623" t="str">
            <v>049827053033.23.10381.00</v>
          </cell>
          <cell r="C623" t="str">
            <v>049827</v>
          </cell>
          <cell r="D623" t="str">
            <v>0530</v>
          </cell>
          <cell r="E623" t="str">
            <v>33.23.10381.00</v>
          </cell>
          <cell r="F623" t="str">
            <v>REFORCO DA BASE DA REGUA DO COLIMADOR / 33.23.10381.00</v>
          </cell>
          <cell r="G623" t="str">
            <v>VMI TECNOLOGIAS LTDA</v>
          </cell>
          <cell r="H623">
            <v>45934</v>
          </cell>
          <cell r="I623" t="str">
            <v>MARCO</v>
          </cell>
          <cell r="J623">
            <v>30</v>
          </cell>
          <cell r="K623">
            <v>9.4499999999999993</v>
          </cell>
          <cell r="L623">
            <v>283.5</v>
          </cell>
          <cell r="M623" t="str">
            <v>APROVADO</v>
          </cell>
          <cell r="N623" t="str">
            <v>10</v>
          </cell>
          <cell r="O623">
            <v>46034</v>
          </cell>
          <cell r="P623" t="str">
            <v>PRODUÇÃO DE JANEIRO DE 2026</v>
          </cell>
        </row>
        <row r="624">
          <cell r="B624" t="str">
            <v>049827053133.23.10395.00</v>
          </cell>
          <cell r="C624" t="str">
            <v>049827</v>
          </cell>
          <cell r="D624" t="str">
            <v>0531</v>
          </cell>
          <cell r="E624" t="str">
            <v>33.23.10395.00</v>
          </cell>
          <cell r="F624" t="str">
            <v>SUPORTE MONTAGEM CONTROLADORA / 33.23.10395.00</v>
          </cell>
          <cell r="G624" t="str">
            <v>VMI TECNOLOGIAS LTDA</v>
          </cell>
          <cell r="H624">
            <v>45934</v>
          </cell>
          <cell r="I624" t="str">
            <v>MARCO</v>
          </cell>
          <cell r="J624">
            <v>30</v>
          </cell>
          <cell r="K624">
            <v>2.2999999999999998</v>
          </cell>
          <cell r="L624">
            <v>69</v>
          </cell>
          <cell r="M624" t="str">
            <v>APROVADO</v>
          </cell>
          <cell r="N624" t="str">
            <v>10</v>
          </cell>
          <cell r="O624">
            <v>46034</v>
          </cell>
          <cell r="P624" t="str">
            <v>PRODUÇÃO DE JANEIRO DE 2026</v>
          </cell>
        </row>
        <row r="625">
          <cell r="B625" t="str">
            <v>049827053233.23.10604.01</v>
          </cell>
          <cell r="C625" t="str">
            <v>049827</v>
          </cell>
          <cell r="D625" t="str">
            <v>0532</v>
          </cell>
          <cell r="E625" t="str">
            <v>33.23.10604.01</v>
          </cell>
          <cell r="F625" t="str">
            <v>CONJ. SOLDADO DIREITO POLIA ESTICADORA / 33.23.10604.01</v>
          </cell>
          <cell r="G625" t="str">
            <v>VMI TECNOLOGIAS LTDA</v>
          </cell>
          <cell r="H625">
            <v>45934</v>
          </cell>
          <cell r="I625" t="str">
            <v>MARCO</v>
          </cell>
          <cell r="J625">
            <v>25</v>
          </cell>
          <cell r="K625">
            <v>81.319999999999993</v>
          </cell>
          <cell r="L625">
            <v>2033</v>
          </cell>
          <cell r="M625" t="str">
            <v>APROVADO</v>
          </cell>
          <cell r="N625" t="str">
            <v>10</v>
          </cell>
          <cell r="O625">
            <v>46034</v>
          </cell>
          <cell r="P625" t="str">
            <v>PRODUÇÃO DE JANEIRO DE 2026</v>
          </cell>
        </row>
        <row r="626">
          <cell r="B626" t="str">
            <v>049827053333.23.10612.01</v>
          </cell>
          <cell r="C626" t="str">
            <v>049827</v>
          </cell>
          <cell r="D626" t="str">
            <v>0533</v>
          </cell>
          <cell r="E626" t="str">
            <v>33.23.10612.01</v>
          </cell>
          <cell r="F626" t="str">
            <v>CONJ. SOLDADO ESQUERDO POLIA ESTICADORA / 33.23.10612.01</v>
          </cell>
          <cell r="G626" t="str">
            <v>VMI TECNOLOGIAS LTDA</v>
          </cell>
          <cell r="H626">
            <v>45934</v>
          </cell>
          <cell r="I626" t="str">
            <v>MARCO</v>
          </cell>
          <cell r="J626">
            <v>25</v>
          </cell>
          <cell r="K626">
            <v>81.319999999999993</v>
          </cell>
          <cell r="L626">
            <v>2033</v>
          </cell>
          <cell r="M626" t="str">
            <v>APROVADO</v>
          </cell>
          <cell r="N626" t="str">
            <v>10</v>
          </cell>
          <cell r="O626">
            <v>46034</v>
          </cell>
          <cell r="P626" t="str">
            <v>PRODUÇÃO DE JANEIRO DE 2026</v>
          </cell>
        </row>
        <row r="627">
          <cell r="B627" t="str">
            <v>049827053433.23.10622.01</v>
          </cell>
          <cell r="C627" t="str">
            <v>049827</v>
          </cell>
          <cell r="D627" t="str">
            <v>0534</v>
          </cell>
          <cell r="E627" t="str">
            <v>33.23.10622.01</v>
          </cell>
          <cell r="F627" t="str">
            <v>CONJ. SOLDADO BASE LATERAL ESQ. MOTOPOLIA / 33.23.10622.01</v>
          </cell>
          <cell r="G627" t="str">
            <v>VMI TECNOLOGIAS LTDA</v>
          </cell>
          <cell r="H627">
            <v>45934</v>
          </cell>
          <cell r="I627" t="str">
            <v>MARCO</v>
          </cell>
          <cell r="J627">
            <v>25</v>
          </cell>
          <cell r="K627">
            <v>69.599999999999994</v>
          </cell>
          <cell r="L627">
            <v>1740</v>
          </cell>
          <cell r="M627" t="str">
            <v>APROVADO</v>
          </cell>
          <cell r="N627" t="str">
            <v>10</v>
          </cell>
          <cell r="O627">
            <v>46034</v>
          </cell>
          <cell r="P627" t="str">
            <v>PRODUÇÃO DE JANEIRO DE 2026</v>
          </cell>
        </row>
        <row r="628">
          <cell r="B628" t="str">
            <v>049827053533.23.10627.01</v>
          </cell>
          <cell r="C628" t="str">
            <v>049827</v>
          </cell>
          <cell r="D628" t="str">
            <v>0535</v>
          </cell>
          <cell r="E628" t="str">
            <v>33.23.10627.01</v>
          </cell>
          <cell r="F628" t="str">
            <v>CONJ. SOLDADO BASE LATERAL DIR. MOTOPOLIA / 33.23.10627.01</v>
          </cell>
          <cell r="G628" t="str">
            <v>VMI TECNOLOGIAS LTDA</v>
          </cell>
          <cell r="H628">
            <v>45934</v>
          </cell>
          <cell r="I628" t="str">
            <v>MARCO</v>
          </cell>
          <cell r="J628">
            <v>25</v>
          </cell>
          <cell r="K628">
            <v>69.599999999999994</v>
          </cell>
          <cell r="L628">
            <v>1740</v>
          </cell>
          <cell r="M628" t="str">
            <v>APROVADO</v>
          </cell>
          <cell r="N628" t="str">
            <v>10</v>
          </cell>
          <cell r="O628">
            <v>46034</v>
          </cell>
          <cell r="P628" t="str">
            <v>PRODUÇÃO DE JANEIRO DE 2026</v>
          </cell>
        </row>
        <row r="629">
          <cell r="B629" t="str">
            <v>049827053633.23.10630.01</v>
          </cell>
          <cell r="C629" t="str">
            <v>049827</v>
          </cell>
          <cell r="D629" t="str">
            <v>0536</v>
          </cell>
          <cell r="E629" t="str">
            <v>33.23.10630.01</v>
          </cell>
          <cell r="F629" t="str">
            <v>TAMPA SUPERIOR DAS EXTREMIDADES / 33.23.10630.01</v>
          </cell>
          <cell r="G629" t="str">
            <v>VMI TECNOLOGIAS LTDA</v>
          </cell>
          <cell r="H629">
            <v>45934</v>
          </cell>
          <cell r="I629" t="str">
            <v>MARCO</v>
          </cell>
          <cell r="J629">
            <v>52</v>
          </cell>
          <cell r="K629">
            <v>64.88</v>
          </cell>
          <cell r="L629">
            <v>3373.76</v>
          </cell>
          <cell r="M629" t="str">
            <v>APROVADO</v>
          </cell>
          <cell r="N629" t="str">
            <v>10</v>
          </cell>
          <cell r="O629">
            <v>46034</v>
          </cell>
          <cell r="P629" t="str">
            <v>PRODUÇÃO DE JANEIRO DE 2026</v>
          </cell>
        </row>
        <row r="630">
          <cell r="B630" t="str">
            <v>049827053733.23.10634.01</v>
          </cell>
          <cell r="C630" t="str">
            <v>049827</v>
          </cell>
          <cell r="D630" t="str">
            <v>0537</v>
          </cell>
          <cell r="E630" t="str">
            <v>33.23.10634.01</v>
          </cell>
          <cell r="F630" t="str">
            <v>CONJUNTO SOLDADO DA BANDELA SUPERIOR / 33.23.10634.01</v>
          </cell>
          <cell r="G630" t="str">
            <v>VMI TECNOLOGIAS LTDA</v>
          </cell>
          <cell r="H630">
            <v>45934</v>
          </cell>
          <cell r="I630" t="str">
            <v>MARCO</v>
          </cell>
          <cell r="J630">
            <v>68</v>
          </cell>
          <cell r="K630">
            <v>60.73</v>
          </cell>
          <cell r="L630">
            <v>4129.6400000000003</v>
          </cell>
          <cell r="M630" t="str">
            <v>APROVADO</v>
          </cell>
          <cell r="N630" t="str">
            <v>10</v>
          </cell>
          <cell r="O630">
            <v>46034</v>
          </cell>
          <cell r="P630" t="str">
            <v>PRODUÇÃO DE JANEIRO DE 2026</v>
          </cell>
        </row>
        <row r="631">
          <cell r="B631" t="str">
            <v>049827053833.23.10667.00</v>
          </cell>
          <cell r="C631" t="str">
            <v>049827</v>
          </cell>
          <cell r="D631" t="str">
            <v>0538</v>
          </cell>
          <cell r="E631" t="str">
            <v>33.23.10667.00</v>
          </cell>
          <cell r="F631" t="str">
            <v>CONJ. SOLDADO ESQ. FIXACAO DO ACABAMENTO / 33.23.10667.00</v>
          </cell>
          <cell r="G631" t="str">
            <v>VMI TECNOLOGIAS LTDA</v>
          </cell>
          <cell r="H631">
            <v>45934</v>
          </cell>
          <cell r="I631" t="str">
            <v>MARCO</v>
          </cell>
          <cell r="J631">
            <v>30</v>
          </cell>
          <cell r="K631">
            <v>28.9</v>
          </cell>
          <cell r="L631">
            <v>867</v>
          </cell>
          <cell r="M631" t="str">
            <v>APROVADO</v>
          </cell>
          <cell r="N631" t="str">
            <v>10</v>
          </cell>
          <cell r="O631">
            <v>46034</v>
          </cell>
          <cell r="P631" t="str">
            <v>PRODUÇÃO DE JANEIRO DE 2026</v>
          </cell>
        </row>
        <row r="632">
          <cell r="B632" t="str">
            <v>049827053933.23.10670.00</v>
          </cell>
          <cell r="C632" t="str">
            <v>049827</v>
          </cell>
          <cell r="D632" t="str">
            <v>0539</v>
          </cell>
          <cell r="E632" t="str">
            <v>33.23.10670.00</v>
          </cell>
          <cell r="F632" t="str">
            <v>CONJ. SOLDADO DIR. FIXACAO DO ACABAMENTO / 33.23.10670.00</v>
          </cell>
          <cell r="G632" t="str">
            <v>VMI TECNOLOGIAS LTDA</v>
          </cell>
          <cell r="H632">
            <v>45934</v>
          </cell>
          <cell r="I632" t="str">
            <v>MARCO</v>
          </cell>
          <cell r="J632">
            <v>30</v>
          </cell>
          <cell r="K632">
            <v>28.9</v>
          </cell>
          <cell r="L632">
            <v>867</v>
          </cell>
          <cell r="M632" t="str">
            <v>APROVADO</v>
          </cell>
          <cell r="N632" t="str">
            <v>10</v>
          </cell>
          <cell r="O632">
            <v>46034</v>
          </cell>
          <cell r="P632" t="str">
            <v>PRODUÇÃO DE JANEIRO DE 2026</v>
          </cell>
        </row>
        <row r="633">
          <cell r="B633" t="str">
            <v>049827054033.99.10030.00</v>
          </cell>
          <cell r="C633" t="str">
            <v>049827</v>
          </cell>
          <cell r="D633" t="str">
            <v>0540</v>
          </cell>
          <cell r="E633" t="str">
            <v>33.99.10030.00</v>
          </cell>
          <cell r="F633" t="str">
            <v>GRADE DA SILICA / 33.99.10030.00</v>
          </cell>
          <cell r="G633" t="str">
            <v>VMI TECNOLOGIAS LTDA</v>
          </cell>
          <cell r="H633">
            <v>45934</v>
          </cell>
          <cell r="I633" t="str">
            <v>MARCO</v>
          </cell>
          <cell r="J633">
            <v>130</v>
          </cell>
          <cell r="K633">
            <v>8.5</v>
          </cell>
          <cell r="L633">
            <v>1105</v>
          </cell>
          <cell r="M633" t="str">
            <v>APROVADO</v>
          </cell>
          <cell r="N633" t="str">
            <v>10</v>
          </cell>
          <cell r="O633">
            <v>46034</v>
          </cell>
          <cell r="P633" t="str">
            <v>PRODUÇÃO DE JANEIRO DE 2026</v>
          </cell>
        </row>
        <row r="634">
          <cell r="B634" t="str">
            <v>049827054133.99.10032.00</v>
          </cell>
          <cell r="C634" t="str">
            <v>049827</v>
          </cell>
          <cell r="D634" t="str">
            <v>0541</v>
          </cell>
          <cell r="E634" t="str">
            <v>33.99.10032.00</v>
          </cell>
          <cell r="F634" t="str">
            <v>FIXACAO CORTINA / 33.99.10032.00</v>
          </cell>
          <cell r="G634" t="str">
            <v>VMI TECNOLOGIAS LTDA</v>
          </cell>
          <cell r="H634">
            <v>45934</v>
          </cell>
          <cell r="I634" t="str">
            <v>MARCO</v>
          </cell>
          <cell r="J634">
            <v>290</v>
          </cell>
          <cell r="K634">
            <v>3.25</v>
          </cell>
          <cell r="L634">
            <v>942.5</v>
          </cell>
          <cell r="M634" t="str">
            <v>APROVADO</v>
          </cell>
          <cell r="N634" t="str">
            <v>10</v>
          </cell>
          <cell r="O634">
            <v>46034</v>
          </cell>
          <cell r="P634" t="str">
            <v>PRODUÇÃO DE JANEIRO DE 2026</v>
          </cell>
        </row>
        <row r="635">
          <cell r="B635" t="str">
            <v>049827054233.99.10032.00</v>
          </cell>
          <cell r="C635" t="str">
            <v>049827</v>
          </cell>
          <cell r="D635" t="str">
            <v>0542</v>
          </cell>
          <cell r="E635" t="str">
            <v>33.99.10032.00</v>
          </cell>
          <cell r="F635" t="str">
            <v>FIXACAO CORTINA / 33.99.10032.00</v>
          </cell>
          <cell r="G635" t="str">
            <v>VMI TECNOLOGIAS LTDA</v>
          </cell>
          <cell r="H635">
            <v>45934</v>
          </cell>
          <cell r="I635" t="str">
            <v>MARCO</v>
          </cell>
          <cell r="J635">
            <v>16</v>
          </cell>
          <cell r="K635">
            <v>3.25</v>
          </cell>
          <cell r="L635">
            <v>52</v>
          </cell>
          <cell r="M635" t="str">
            <v>APROVADO</v>
          </cell>
          <cell r="N635" t="str">
            <v>10</v>
          </cell>
          <cell r="O635">
            <v>46034</v>
          </cell>
          <cell r="P635" t="str">
            <v>PRODUÇÃO DE JANEIRO DE 2026</v>
          </cell>
        </row>
        <row r="636">
          <cell r="B636" t="str">
            <v>049827054333.99.10032.00</v>
          </cell>
          <cell r="C636" t="str">
            <v>049827</v>
          </cell>
          <cell r="D636" t="str">
            <v>0543</v>
          </cell>
          <cell r="E636" t="str">
            <v>33.99.10032.00</v>
          </cell>
          <cell r="F636" t="str">
            <v>FIXACAO CORTINA / 33.99.10032.00</v>
          </cell>
          <cell r="G636" t="str">
            <v>VMI TECNOLOGIAS LTDA</v>
          </cell>
          <cell r="H636">
            <v>45934</v>
          </cell>
          <cell r="I636" t="str">
            <v>MARCO</v>
          </cell>
          <cell r="J636">
            <v>16</v>
          </cell>
          <cell r="K636">
            <v>3.25</v>
          </cell>
          <cell r="L636">
            <v>52</v>
          </cell>
          <cell r="M636" t="str">
            <v>APROVADO</v>
          </cell>
          <cell r="N636" t="str">
            <v>10</v>
          </cell>
          <cell r="O636">
            <v>46034</v>
          </cell>
          <cell r="P636" t="str">
            <v>PRODUÇÃO DE JANEIRO DE 2026</v>
          </cell>
        </row>
        <row r="637">
          <cell r="B637" t="str">
            <v>049827054733.99.10055.01</v>
          </cell>
          <cell r="C637" t="str">
            <v>049827</v>
          </cell>
          <cell r="D637" t="str">
            <v>0547</v>
          </cell>
          <cell r="E637" t="str">
            <v>33.99.10055.01</v>
          </cell>
          <cell r="F637" t="str">
            <v>QUADRO ELETRICO / 33.99.10055.01</v>
          </cell>
          <cell r="G637" t="str">
            <v>VMI TECNOLOGIAS LTDA</v>
          </cell>
          <cell r="H637">
            <v>45934</v>
          </cell>
          <cell r="I637" t="str">
            <v>MARCO</v>
          </cell>
          <cell r="J637">
            <v>44</v>
          </cell>
          <cell r="K637">
            <v>149.29949999999999</v>
          </cell>
          <cell r="L637">
            <v>6569.18</v>
          </cell>
          <cell r="M637" t="str">
            <v>APROVADO</v>
          </cell>
          <cell r="N637" t="str">
            <v>10</v>
          </cell>
          <cell r="O637">
            <v>46034</v>
          </cell>
          <cell r="P637" t="str">
            <v>PRODUÇÃO DE JANEIRO DE 2026</v>
          </cell>
        </row>
        <row r="638">
          <cell r="B638" t="str">
            <v>051452000133.06.10074.00</v>
          </cell>
          <cell r="C638" t="str">
            <v>051452</v>
          </cell>
          <cell r="D638" t="str">
            <v>0001</v>
          </cell>
          <cell r="E638" t="str">
            <v>33.06.10074.00</v>
          </cell>
          <cell r="F638" t="str">
            <v>TRAVA 1 / 33.06.10074.00</v>
          </cell>
          <cell r="G638" t="str">
            <v>VMI TECNOLOGIAS LTDA</v>
          </cell>
          <cell r="H638">
            <v>45994</v>
          </cell>
          <cell r="I638" t="str">
            <v>RAFAEL</v>
          </cell>
          <cell r="J638">
            <v>5</v>
          </cell>
          <cell r="K638">
            <v>12.75</v>
          </cell>
          <cell r="L638">
            <v>306</v>
          </cell>
          <cell r="M638" t="str">
            <v>APROVADO</v>
          </cell>
          <cell r="N638" t="str">
            <v>10</v>
          </cell>
          <cell r="O638">
            <v>45994</v>
          </cell>
          <cell r="P638" t="str">
            <v>DEZEMBRO</v>
          </cell>
        </row>
        <row r="639">
          <cell r="B639" t="str">
            <v>051457000533.12.10578.01</v>
          </cell>
          <cell r="C639" t="str">
            <v>051457</v>
          </cell>
          <cell r="D639" t="str">
            <v>0005</v>
          </cell>
          <cell r="E639" t="str">
            <v>33.12.10578.01</v>
          </cell>
          <cell r="F639" t="str">
            <v>SUPORTE PARA FIXACAO DO ACABAMENTO A / 33.12.10578.01</v>
          </cell>
          <cell r="G639" t="str">
            <v>VMI TECNOLOGIAS LTDA</v>
          </cell>
          <cell r="H639">
            <v>45994</v>
          </cell>
          <cell r="I639" t="str">
            <v>VICTOR</v>
          </cell>
          <cell r="J639">
            <v>6</v>
          </cell>
          <cell r="K639">
            <v>47.796154000000001</v>
          </cell>
          <cell r="L639">
            <v>621.35</v>
          </cell>
          <cell r="M639" t="str">
            <v>APROVADO</v>
          </cell>
          <cell r="N639" t="str">
            <v>10</v>
          </cell>
          <cell r="O639">
            <v>45994</v>
          </cell>
          <cell r="P639" t="str">
            <v>DEZEMBRO</v>
          </cell>
        </row>
        <row r="640">
          <cell r="B640" t="str">
            <v>051457000733.08.10139.01</v>
          </cell>
          <cell r="C640" t="str">
            <v>051457</v>
          </cell>
          <cell r="D640" t="str">
            <v>0007</v>
          </cell>
          <cell r="E640" t="str">
            <v>33.08.10139.01</v>
          </cell>
          <cell r="F640" t="str">
            <v>GRADE PORTA SILICA / 33.08.10139.01</v>
          </cell>
          <cell r="G640" t="str">
            <v>VMI TECNOLOGIAS LTDA</v>
          </cell>
          <cell r="H640">
            <v>45994</v>
          </cell>
          <cell r="I640" t="str">
            <v>VICTOR</v>
          </cell>
          <cell r="J640">
            <v>15</v>
          </cell>
          <cell r="K640">
            <v>25</v>
          </cell>
          <cell r="L640">
            <v>625</v>
          </cell>
          <cell r="M640" t="str">
            <v>APROVADO</v>
          </cell>
          <cell r="N640" t="str">
            <v>10</v>
          </cell>
          <cell r="O640">
            <v>45994</v>
          </cell>
          <cell r="P640" t="str">
            <v>DEZEMBRO</v>
          </cell>
        </row>
        <row r="641">
          <cell r="B641" t="str">
            <v>051457000921.23.04269</v>
          </cell>
          <cell r="C641" t="str">
            <v>051457</v>
          </cell>
          <cell r="D641" t="str">
            <v>0009</v>
          </cell>
          <cell r="E641" t="str">
            <v>21.23.04269</v>
          </cell>
          <cell r="F641" t="str">
            <v>FECHAMENTO INFERIOR 5333 05 / AA_9085_01</v>
          </cell>
          <cell r="G641" t="str">
            <v>VMI TECNOLOGIAS LTDA</v>
          </cell>
          <cell r="H641">
            <v>45994</v>
          </cell>
          <cell r="I641" t="str">
            <v>VICTOR</v>
          </cell>
          <cell r="J641">
            <v>10</v>
          </cell>
          <cell r="K641">
            <v>104.5</v>
          </cell>
          <cell r="L641">
            <v>1045</v>
          </cell>
          <cell r="M641" t="str">
            <v>APROVADO</v>
          </cell>
          <cell r="N641" t="str">
            <v>10</v>
          </cell>
          <cell r="O641">
            <v>45994</v>
          </cell>
          <cell r="P641" t="str">
            <v>DEZEMBRO</v>
          </cell>
        </row>
        <row r="642">
          <cell r="B642" t="str">
            <v>051525000233.08.10138.01</v>
          </cell>
          <cell r="C642" t="str">
            <v>051525</v>
          </cell>
          <cell r="D642" t="str">
            <v>0002</v>
          </cell>
          <cell r="E642" t="str">
            <v>33.08.10138.01</v>
          </cell>
          <cell r="F642" t="str">
            <v>TAMPA CAIXA X-DAQ / 33.08.10138.01</v>
          </cell>
          <cell r="G642" t="str">
            <v>VMI TECNOLOGIAS LTDA</v>
          </cell>
          <cell r="H642">
            <v>45995</v>
          </cell>
          <cell r="I642" t="str">
            <v>VICTOR</v>
          </cell>
          <cell r="J642">
            <v>5</v>
          </cell>
          <cell r="K642">
            <v>12.006</v>
          </cell>
          <cell r="L642">
            <v>60.03</v>
          </cell>
          <cell r="M642" t="str">
            <v>APROVADO</v>
          </cell>
          <cell r="N642" t="str">
            <v>10</v>
          </cell>
          <cell r="O642">
            <v>45995</v>
          </cell>
          <cell r="P642" t="str">
            <v>DEZEMBRO</v>
          </cell>
        </row>
        <row r="643">
          <cell r="B643" t="str">
            <v>051525000421.23.04134</v>
          </cell>
          <cell r="C643" t="str">
            <v>051525</v>
          </cell>
          <cell r="D643" t="str">
            <v>0004</v>
          </cell>
          <cell r="E643" t="str">
            <v>21.23.04134</v>
          </cell>
          <cell r="F643" t="str">
            <v>CHAPA FECHAMENTO SUPERIOR TUNEL / 03_0392_00</v>
          </cell>
          <cell r="G643" t="str">
            <v>VMI TECNOLOGIAS LTDA</v>
          </cell>
          <cell r="H643">
            <v>45995</v>
          </cell>
          <cell r="I643" t="str">
            <v>VICTOR</v>
          </cell>
          <cell r="J643">
            <v>1</v>
          </cell>
          <cell r="K643">
            <v>29.21</v>
          </cell>
          <cell r="L643">
            <v>29.21</v>
          </cell>
          <cell r="M643" t="str">
            <v>APROVADO</v>
          </cell>
          <cell r="N643" t="str">
            <v>10</v>
          </cell>
          <cell r="O643">
            <v>45995</v>
          </cell>
          <cell r="P643" t="str">
            <v>DEZEMBRO</v>
          </cell>
        </row>
        <row r="644">
          <cell r="B644" t="str">
            <v>051525000533.08.10024.00</v>
          </cell>
          <cell r="C644" t="str">
            <v>051525</v>
          </cell>
          <cell r="D644" t="str">
            <v>0005</v>
          </cell>
          <cell r="E644" t="str">
            <v>33.08.10024.00</v>
          </cell>
          <cell r="F644" t="str">
            <v>CHAPA FECHAMENTO FUNDO / 33.08.10024.00</v>
          </cell>
          <cell r="G644" t="str">
            <v>VMI TECNOLOGIAS LTDA</v>
          </cell>
          <cell r="H644">
            <v>45995</v>
          </cell>
          <cell r="I644" t="str">
            <v>VICTOR</v>
          </cell>
          <cell r="J644">
            <v>2</v>
          </cell>
          <cell r="K644">
            <v>45.024999999999999</v>
          </cell>
          <cell r="L644">
            <v>90.05</v>
          </cell>
          <cell r="M644" t="str">
            <v>APROVADO</v>
          </cell>
          <cell r="N644" t="str">
            <v>10</v>
          </cell>
          <cell r="O644">
            <v>45995</v>
          </cell>
          <cell r="P644" t="str">
            <v>DEZEMBRO</v>
          </cell>
        </row>
        <row r="645">
          <cell r="B645" t="str">
            <v>052136000101.33.00015</v>
          </cell>
          <cell r="C645" t="str">
            <v>052136</v>
          </cell>
          <cell r="D645" t="str">
            <v>0001</v>
          </cell>
          <cell r="E645" t="str">
            <v>01.33.00015</v>
          </cell>
          <cell r="F645" t="str">
            <v>MONTAGEM SOLDA APOIO SUPORTE GERADOR 01 \ AA_0737_02</v>
          </cell>
          <cell r="G645" t="str">
            <v>VMI TECNOLOGIAS LTDA</v>
          </cell>
          <cell r="H645">
            <v>46028</v>
          </cell>
          <cell r="I645" t="str">
            <v>MARCO</v>
          </cell>
          <cell r="J645">
            <v>20</v>
          </cell>
          <cell r="K645">
            <v>84.997584000000003</v>
          </cell>
          <cell r="L645">
            <v>1699.95</v>
          </cell>
          <cell r="M645" t="str">
            <v>APROVADO</v>
          </cell>
          <cell r="N645" t="str">
            <v>10</v>
          </cell>
          <cell r="O645">
            <v>46090</v>
          </cell>
          <cell r="P645" t="str">
            <v>PRODUÇÃO DE MARÇO DE 2026</v>
          </cell>
        </row>
        <row r="646">
          <cell r="B646" t="str">
            <v>052136000201.33.00016</v>
          </cell>
          <cell r="C646" t="str">
            <v>052136</v>
          </cell>
          <cell r="D646" t="str">
            <v>0002</v>
          </cell>
          <cell r="E646" t="str">
            <v>01.33.00016</v>
          </cell>
          <cell r="F646" t="str">
            <v>MONTAGEM APOIO SUPORTE DO GERADOR 02 \ AA_0739_03</v>
          </cell>
          <cell r="G646" t="str">
            <v>VMI TECNOLOGIAS LTDA</v>
          </cell>
          <cell r="H646">
            <v>46028</v>
          </cell>
          <cell r="I646" t="str">
            <v>MARCO</v>
          </cell>
          <cell r="J646">
            <v>9</v>
          </cell>
          <cell r="K646">
            <v>71.290559999999999</v>
          </cell>
          <cell r="L646">
            <v>641.62</v>
          </cell>
          <cell r="M646" t="str">
            <v>APROVADO</v>
          </cell>
          <cell r="N646" t="str">
            <v>10</v>
          </cell>
          <cell r="O646">
            <v>46090</v>
          </cell>
          <cell r="P646" t="str">
            <v>PRODUÇÃO DE MARÇO DE 2026</v>
          </cell>
        </row>
        <row r="647">
          <cell r="B647" t="str">
            <v>052136000301.33.00017</v>
          </cell>
          <cell r="C647" t="str">
            <v>052136</v>
          </cell>
          <cell r="D647" t="str">
            <v>0003</v>
          </cell>
          <cell r="E647" t="str">
            <v>01.33.00017</v>
          </cell>
          <cell r="F647" t="str">
            <v>TRAVA MONTADA DO TUNEL 4 \ AA_0746_08</v>
          </cell>
          <cell r="G647" t="str">
            <v>VMI TECNOLOGIAS LTDA</v>
          </cell>
          <cell r="H647">
            <v>46028</v>
          </cell>
          <cell r="I647" t="str">
            <v>MARCO</v>
          </cell>
          <cell r="J647">
            <v>20</v>
          </cell>
          <cell r="K647">
            <v>40.093200000000003</v>
          </cell>
          <cell r="L647">
            <v>801.86</v>
          </cell>
          <cell r="M647" t="str">
            <v>APROVADO</v>
          </cell>
          <cell r="N647" t="str">
            <v>10</v>
          </cell>
          <cell r="O647">
            <v>46090</v>
          </cell>
          <cell r="P647" t="str">
            <v>PRODUÇÃO DE MARÇO DE 2026</v>
          </cell>
        </row>
        <row r="648">
          <cell r="B648" t="str">
            <v>052136000401.33.00023</v>
          </cell>
          <cell r="C648" t="str">
            <v>052136</v>
          </cell>
          <cell r="D648" t="str">
            <v>0004</v>
          </cell>
          <cell r="E648" t="str">
            <v>01.33.00023</v>
          </cell>
          <cell r="F648" t="str">
            <v>MONTAGEM SOLDA SUPORTE DO TUBO RAIOS-X \ AA_0761_03</v>
          </cell>
          <cell r="G648" t="str">
            <v>VMI TECNOLOGIAS LTDA</v>
          </cell>
          <cell r="H648">
            <v>46028</v>
          </cell>
          <cell r="I648" t="str">
            <v>MARCO</v>
          </cell>
          <cell r="J648">
            <v>20</v>
          </cell>
          <cell r="K648">
            <v>242.93279999999999</v>
          </cell>
          <cell r="L648">
            <v>4858.66</v>
          </cell>
          <cell r="M648" t="str">
            <v>APROVADO</v>
          </cell>
          <cell r="N648" t="str">
            <v>10</v>
          </cell>
          <cell r="O648">
            <v>46090</v>
          </cell>
          <cell r="P648" t="str">
            <v>PRODUÇÃO DE MARÇO DE 2026</v>
          </cell>
        </row>
        <row r="649">
          <cell r="B649" t="str">
            <v>052136000501.33.00025</v>
          </cell>
          <cell r="C649" t="str">
            <v>052136</v>
          </cell>
          <cell r="D649" t="str">
            <v>0005</v>
          </cell>
          <cell r="E649" t="str">
            <v>01.33.00025</v>
          </cell>
          <cell r="F649" t="str">
            <v>SUPORTE DO INTERLOCK \ AA_0767_05</v>
          </cell>
          <cell r="G649" t="str">
            <v>VMI TECNOLOGIAS LTDA</v>
          </cell>
          <cell r="H649">
            <v>46028</v>
          </cell>
          <cell r="I649" t="str">
            <v>MARCO</v>
          </cell>
          <cell r="J649">
            <v>40</v>
          </cell>
          <cell r="K649">
            <v>17.059168</v>
          </cell>
          <cell r="L649">
            <v>682.37</v>
          </cell>
          <cell r="M649" t="str">
            <v>APROVADO</v>
          </cell>
          <cell r="N649" t="str">
            <v>10</v>
          </cell>
          <cell r="O649">
            <v>46090</v>
          </cell>
          <cell r="P649" t="str">
            <v>PRODUÇÃO DE MARÇO DE 2026</v>
          </cell>
        </row>
        <row r="650">
          <cell r="B650" t="str">
            <v>052136000601.33.00026</v>
          </cell>
          <cell r="C650" t="str">
            <v>052136</v>
          </cell>
          <cell r="D650" t="str">
            <v>0006</v>
          </cell>
          <cell r="E650" t="str">
            <v>01.33.00026</v>
          </cell>
          <cell r="F650" t="str">
            <v>SUPORTE SENSOR ENTRADA/ SAIDA TUNEL \ AA_0768_02</v>
          </cell>
          <cell r="G650" t="str">
            <v>VMI TECNOLOGIAS LTDA</v>
          </cell>
          <cell r="H650">
            <v>46028</v>
          </cell>
          <cell r="I650" t="str">
            <v>MARCO</v>
          </cell>
          <cell r="J650">
            <v>79</v>
          </cell>
          <cell r="K650">
            <v>2.0846399999999998</v>
          </cell>
          <cell r="L650">
            <v>164.69</v>
          </cell>
          <cell r="M650" t="str">
            <v>APROVADO</v>
          </cell>
          <cell r="N650" t="str">
            <v>10</v>
          </cell>
          <cell r="O650">
            <v>46090</v>
          </cell>
          <cell r="P650" t="str">
            <v>PRODUÇÃO DE MARÇO DE 2026</v>
          </cell>
        </row>
        <row r="651">
          <cell r="B651" t="str">
            <v>052136000701.33.00029</v>
          </cell>
          <cell r="C651" t="str">
            <v>052136</v>
          </cell>
          <cell r="D651" t="str">
            <v>0007</v>
          </cell>
          <cell r="E651" t="str">
            <v>01.33.00029</v>
          </cell>
          <cell r="F651" t="str">
            <v>SUPORTE DOS LEDS \ AA_0771_03</v>
          </cell>
          <cell r="G651" t="str">
            <v>VMI TECNOLOGIAS LTDA</v>
          </cell>
          <cell r="H651">
            <v>46028</v>
          </cell>
          <cell r="I651" t="str">
            <v>MARCO</v>
          </cell>
          <cell r="J651">
            <v>48</v>
          </cell>
          <cell r="K651">
            <v>24.727751999999999</v>
          </cell>
          <cell r="L651">
            <v>1186.93</v>
          </cell>
          <cell r="M651" t="str">
            <v>APROVADO</v>
          </cell>
          <cell r="N651" t="str">
            <v>10</v>
          </cell>
          <cell r="O651">
            <v>46090</v>
          </cell>
          <cell r="P651" t="str">
            <v>PRODUÇÃO DE MARÇO DE 2026</v>
          </cell>
        </row>
        <row r="652">
          <cell r="B652" t="str">
            <v>052136000801.33.00037</v>
          </cell>
          <cell r="C652" t="str">
            <v>052136</v>
          </cell>
          <cell r="D652" t="str">
            <v>0008</v>
          </cell>
          <cell r="E652" t="str">
            <v>01.33.00037</v>
          </cell>
          <cell r="F652" t="str">
            <v>MONTAGEM DA TRAVA MONTADA NO TUNEL \ AA_0624_04</v>
          </cell>
          <cell r="G652" t="str">
            <v>VMI TECNOLOGIAS LTDA</v>
          </cell>
          <cell r="H652">
            <v>46028</v>
          </cell>
          <cell r="I652" t="str">
            <v>MARCO</v>
          </cell>
          <cell r="J652">
            <v>80</v>
          </cell>
          <cell r="K652">
            <v>74.190479999999994</v>
          </cell>
          <cell r="L652">
            <v>5935.24</v>
          </cell>
          <cell r="M652" t="str">
            <v>APROVADO</v>
          </cell>
          <cell r="N652" t="str">
            <v>10</v>
          </cell>
          <cell r="O652">
            <v>46090</v>
          </cell>
          <cell r="P652" t="str">
            <v>PRODUÇÃO DE MARÇO DE 2026</v>
          </cell>
        </row>
        <row r="653">
          <cell r="B653" t="str">
            <v>052136000901.33.00038</v>
          </cell>
          <cell r="C653" t="str">
            <v>052136</v>
          </cell>
          <cell r="D653" t="str">
            <v>0009</v>
          </cell>
          <cell r="E653" t="str">
            <v>01.33.00038</v>
          </cell>
          <cell r="F653" t="str">
            <v>MONTAGEM DO SUPORTE DO COOLER \ AA_0629_03</v>
          </cell>
          <cell r="G653" t="str">
            <v>VMI TECNOLOGIAS LTDA</v>
          </cell>
          <cell r="H653">
            <v>46028</v>
          </cell>
          <cell r="I653" t="str">
            <v>MARCO</v>
          </cell>
          <cell r="J653">
            <v>40</v>
          </cell>
          <cell r="K653">
            <v>30.443999999999999</v>
          </cell>
          <cell r="L653">
            <v>1217.76</v>
          </cell>
          <cell r="M653" t="str">
            <v>APROVADO</v>
          </cell>
          <cell r="N653" t="str">
            <v>10</v>
          </cell>
          <cell r="O653">
            <v>46090</v>
          </cell>
          <cell r="P653" t="str">
            <v>PRODUÇÃO DE MARÇO DE 2026</v>
          </cell>
        </row>
        <row r="654">
          <cell r="B654" t="str">
            <v>052136001001.33.00039</v>
          </cell>
          <cell r="C654" t="str">
            <v>052136</v>
          </cell>
          <cell r="D654" t="str">
            <v>0010</v>
          </cell>
          <cell r="E654" t="str">
            <v>01.33.00039</v>
          </cell>
          <cell r="F654" t="str">
            <v>TRAVA MONTADA DO TUNEL 2 \ AA_0627_05</v>
          </cell>
          <cell r="G654" t="str">
            <v>VMI TECNOLOGIAS LTDA</v>
          </cell>
          <cell r="H654">
            <v>46028</v>
          </cell>
          <cell r="I654" t="str">
            <v>MARCO</v>
          </cell>
          <cell r="J654">
            <v>20</v>
          </cell>
          <cell r="K654">
            <v>36.532800000000002</v>
          </cell>
          <cell r="L654">
            <v>730.66</v>
          </cell>
          <cell r="M654" t="str">
            <v>APROVADO</v>
          </cell>
          <cell r="N654" t="str">
            <v>10</v>
          </cell>
          <cell r="O654">
            <v>46090</v>
          </cell>
          <cell r="P654" t="str">
            <v>PRODUÇÃO DE MARÇO DE 2026</v>
          </cell>
        </row>
        <row r="655">
          <cell r="B655" t="str">
            <v>052136001101.33.00042</v>
          </cell>
          <cell r="C655" t="str">
            <v>052136</v>
          </cell>
          <cell r="D655" t="str">
            <v>0011</v>
          </cell>
          <cell r="E655" t="str">
            <v>01.33.00042</v>
          </cell>
          <cell r="F655" t="str">
            <v>MONTAGEM DO ARCO DO GERADOR \ AA_0632_01</v>
          </cell>
          <cell r="G655" t="str">
            <v>VMI TECNOLOGIAS LTDA</v>
          </cell>
          <cell r="H655">
            <v>46028</v>
          </cell>
          <cell r="I655" t="str">
            <v>MARCO</v>
          </cell>
          <cell r="J655">
            <v>39</v>
          </cell>
          <cell r="K655">
            <v>68.101680000000002</v>
          </cell>
          <cell r="L655">
            <v>2655.97</v>
          </cell>
          <cell r="M655" t="str">
            <v>APROVADO</v>
          </cell>
          <cell r="N655" t="str">
            <v>10</v>
          </cell>
          <cell r="O655">
            <v>46090</v>
          </cell>
          <cell r="P655" t="str">
            <v>PRODUÇÃO DE MARÇO DE 2026</v>
          </cell>
        </row>
        <row r="656">
          <cell r="B656" t="str">
            <v>052136001213.03.00008</v>
          </cell>
          <cell r="C656" t="str">
            <v>052136</v>
          </cell>
          <cell r="D656" t="str">
            <v>0012</v>
          </cell>
          <cell r="E656" t="str">
            <v>13.03.00008</v>
          </cell>
          <cell r="F656" t="str">
            <v>PECA  APOIO PRIMEIRO ROLETE LIVRE \ AA_0145_03</v>
          </cell>
          <cell r="G656" t="str">
            <v>VMI TECNOLOGIAS LTDA</v>
          </cell>
          <cell r="H656">
            <v>46028</v>
          </cell>
          <cell r="I656" t="str">
            <v>MARCO</v>
          </cell>
          <cell r="J656">
            <v>6</v>
          </cell>
          <cell r="K656">
            <v>11.48616</v>
          </cell>
          <cell r="L656">
            <v>68.92</v>
          </cell>
          <cell r="M656" t="str">
            <v>APROVADO</v>
          </cell>
          <cell r="N656" t="str">
            <v>10</v>
          </cell>
          <cell r="O656">
            <v>46090</v>
          </cell>
          <cell r="P656" t="str">
            <v>PRODUÇÃO DE MARÇO DE 2026</v>
          </cell>
        </row>
        <row r="657">
          <cell r="B657" t="str">
            <v>052136001313.03.00008</v>
          </cell>
          <cell r="C657" t="str">
            <v>052136</v>
          </cell>
          <cell r="D657" t="str">
            <v>0013</v>
          </cell>
          <cell r="E657" t="str">
            <v>13.03.00008</v>
          </cell>
          <cell r="F657" t="str">
            <v>PECA  APOIO PRIMEIRO ROLETE LIVRE \ AA_0145_03</v>
          </cell>
          <cell r="G657" t="str">
            <v>VMI TECNOLOGIAS LTDA</v>
          </cell>
          <cell r="H657">
            <v>46028</v>
          </cell>
          <cell r="I657" t="str">
            <v>MARCO</v>
          </cell>
          <cell r="J657">
            <v>18</v>
          </cell>
          <cell r="K657">
            <v>11.48616</v>
          </cell>
          <cell r="L657">
            <v>206.75</v>
          </cell>
          <cell r="M657" t="str">
            <v>APROVADO</v>
          </cell>
          <cell r="N657" t="str">
            <v>10</v>
          </cell>
          <cell r="O657">
            <v>46090</v>
          </cell>
          <cell r="P657" t="str">
            <v>PRODUÇÃO DE MARÇO DE 2026</v>
          </cell>
        </row>
        <row r="658">
          <cell r="B658" t="str">
            <v>052136001413.03.00008</v>
          </cell>
          <cell r="C658" t="str">
            <v>052136</v>
          </cell>
          <cell r="D658" t="str">
            <v>0014</v>
          </cell>
          <cell r="E658" t="str">
            <v>13.03.00008</v>
          </cell>
          <cell r="F658" t="str">
            <v>PECA  APOIO PRIMEIRO ROLETE LIVRE \ AA_0145_03</v>
          </cell>
          <cell r="G658" t="str">
            <v>VMI TECNOLOGIAS LTDA</v>
          </cell>
          <cell r="H658">
            <v>46028</v>
          </cell>
          <cell r="I658" t="str">
            <v>MARCO</v>
          </cell>
          <cell r="J658">
            <v>416</v>
          </cell>
          <cell r="K658">
            <v>11.48616</v>
          </cell>
          <cell r="L658">
            <v>4778.24</v>
          </cell>
          <cell r="M658" t="str">
            <v>APROVADO</v>
          </cell>
          <cell r="N658" t="str">
            <v>10</v>
          </cell>
          <cell r="O658">
            <v>46090</v>
          </cell>
          <cell r="P658" t="str">
            <v>PRODUÇÃO DE MARÇO DE 2026</v>
          </cell>
        </row>
        <row r="659">
          <cell r="B659" t="str">
            <v>052136001521.16.00388</v>
          </cell>
          <cell r="C659" t="str">
            <v>052136</v>
          </cell>
          <cell r="D659" t="str">
            <v>0015</v>
          </cell>
          <cell r="E659" t="str">
            <v>21.16.00388</v>
          </cell>
          <cell r="F659" t="str">
            <v>CHAPA FECHAMENTO COLIMADORES \ 03_0273_00</v>
          </cell>
          <cell r="G659" t="str">
            <v>VMI TECNOLOGIAS LTDA</v>
          </cell>
          <cell r="H659">
            <v>46028</v>
          </cell>
          <cell r="I659" t="str">
            <v>MARCO</v>
          </cell>
          <cell r="J659">
            <v>1</v>
          </cell>
          <cell r="K659">
            <v>13.105494</v>
          </cell>
          <cell r="L659">
            <v>13.11</v>
          </cell>
          <cell r="M659" t="str">
            <v>APROVADO</v>
          </cell>
          <cell r="N659" t="str">
            <v>10</v>
          </cell>
          <cell r="O659">
            <v>46090</v>
          </cell>
          <cell r="P659" t="str">
            <v>PRODUÇÃO DE MARÇO DE 2026</v>
          </cell>
        </row>
        <row r="660">
          <cell r="B660" t="str">
            <v>052136001621.16.00388</v>
          </cell>
          <cell r="C660" t="str">
            <v>052136</v>
          </cell>
          <cell r="D660" t="str">
            <v>0016</v>
          </cell>
          <cell r="E660" t="str">
            <v>21.16.00388</v>
          </cell>
          <cell r="F660" t="str">
            <v>CHAPA FECHAMENTO COLIMADORES \ 03_0273_00</v>
          </cell>
          <cell r="G660" t="str">
            <v>VMI TECNOLOGIAS LTDA</v>
          </cell>
          <cell r="H660">
            <v>46028</v>
          </cell>
          <cell r="I660" t="str">
            <v>MARCO</v>
          </cell>
          <cell r="J660">
            <v>17</v>
          </cell>
          <cell r="K660">
            <v>13.105494</v>
          </cell>
          <cell r="L660">
            <v>222.79</v>
          </cell>
          <cell r="M660" t="str">
            <v>APROVADO</v>
          </cell>
          <cell r="N660" t="str">
            <v>10</v>
          </cell>
          <cell r="O660">
            <v>46090</v>
          </cell>
          <cell r="P660" t="str">
            <v>PRODUÇÃO DE MARÇO DE 2026</v>
          </cell>
        </row>
        <row r="661">
          <cell r="B661" t="str">
            <v>052136001721.16.00389</v>
          </cell>
          <cell r="C661" t="str">
            <v>052136</v>
          </cell>
          <cell r="D661" t="str">
            <v>0017</v>
          </cell>
          <cell r="E661" t="str">
            <v>21.16.00389</v>
          </cell>
          <cell r="F661" t="str">
            <v>CHAPA SUPERIOR ENTRE COLIMADORES \ 03_0276_00</v>
          </cell>
          <cell r="G661" t="str">
            <v>VMI TECNOLOGIAS LTDA</v>
          </cell>
          <cell r="H661">
            <v>46028</v>
          </cell>
          <cell r="I661" t="str">
            <v>MARCO</v>
          </cell>
          <cell r="J661">
            <v>2</v>
          </cell>
          <cell r="K661">
            <v>7.7007329999999996</v>
          </cell>
          <cell r="L661">
            <v>15.4</v>
          </cell>
          <cell r="M661" t="str">
            <v>APROVADO</v>
          </cell>
          <cell r="N661" t="str">
            <v>10</v>
          </cell>
          <cell r="O661">
            <v>46090</v>
          </cell>
          <cell r="P661" t="str">
            <v>PRODUÇÃO DE MARÇO DE 2026</v>
          </cell>
        </row>
        <row r="662">
          <cell r="B662" t="str">
            <v>052136001821.16.00389</v>
          </cell>
          <cell r="C662" t="str">
            <v>052136</v>
          </cell>
          <cell r="D662" t="str">
            <v>0018</v>
          </cell>
          <cell r="E662" t="str">
            <v>21.16.00389</v>
          </cell>
          <cell r="F662" t="str">
            <v>CHAPA SUPERIOR ENTRE COLIMADORES \ 03_0276_00</v>
          </cell>
          <cell r="G662" t="str">
            <v>VMI TECNOLOGIAS LTDA</v>
          </cell>
          <cell r="H662">
            <v>46028</v>
          </cell>
          <cell r="I662" t="str">
            <v>MARCO</v>
          </cell>
          <cell r="J662">
            <v>34</v>
          </cell>
          <cell r="K662">
            <v>7.7007329999999996</v>
          </cell>
          <cell r="L662">
            <v>261.82</v>
          </cell>
          <cell r="M662" t="str">
            <v>APROVADO</v>
          </cell>
          <cell r="N662" t="str">
            <v>10</v>
          </cell>
          <cell r="O662">
            <v>46090</v>
          </cell>
          <cell r="P662" t="str">
            <v>PRODUÇÃO DE MARÇO DE 2026</v>
          </cell>
        </row>
        <row r="663">
          <cell r="B663" t="str">
            <v>052136001921.23.01311</v>
          </cell>
          <cell r="C663" t="str">
            <v>052136</v>
          </cell>
          <cell r="D663" t="str">
            <v>0019</v>
          </cell>
          <cell r="E663" t="str">
            <v>21.23.01311</v>
          </cell>
          <cell r="F663" t="str">
            <v>REFORCO PUXADOR \ AA_3305_01</v>
          </cell>
          <cell r="G663" t="str">
            <v>VMI TECNOLOGIAS LTDA</v>
          </cell>
          <cell r="H663">
            <v>46028</v>
          </cell>
          <cell r="I663" t="str">
            <v>MARCO</v>
          </cell>
          <cell r="J663">
            <v>128</v>
          </cell>
          <cell r="K663">
            <v>15.95472</v>
          </cell>
          <cell r="L663">
            <v>2042.2</v>
          </cell>
          <cell r="M663" t="str">
            <v>APROVADO</v>
          </cell>
          <cell r="N663" t="str">
            <v>10</v>
          </cell>
          <cell r="O663">
            <v>46090</v>
          </cell>
          <cell r="P663" t="str">
            <v>PRODUÇÃO DE MARÇO DE 2026</v>
          </cell>
        </row>
        <row r="664">
          <cell r="B664" t="str">
            <v>052136002021.23.01411</v>
          </cell>
          <cell r="C664" t="str">
            <v>052136</v>
          </cell>
          <cell r="D664" t="str">
            <v>0020</v>
          </cell>
          <cell r="E664" t="str">
            <v>21.23.01411</v>
          </cell>
          <cell r="F664" t="str">
            <v>TRAVA CABO 01 \ AA_4553_00</v>
          </cell>
          <cell r="G664" t="str">
            <v>VMI TECNOLOGIAS LTDA</v>
          </cell>
          <cell r="H664">
            <v>46028</v>
          </cell>
          <cell r="I664" t="str">
            <v>MARCO</v>
          </cell>
          <cell r="J664">
            <v>10</v>
          </cell>
          <cell r="K664">
            <v>12.280799999999999</v>
          </cell>
          <cell r="L664">
            <v>122.81</v>
          </cell>
          <cell r="M664" t="str">
            <v>APROVADO</v>
          </cell>
          <cell r="N664" t="str">
            <v>10</v>
          </cell>
          <cell r="O664">
            <v>46090</v>
          </cell>
          <cell r="P664" t="str">
            <v>PRODUÇÃO DE MARÇO DE 2026</v>
          </cell>
        </row>
        <row r="665">
          <cell r="B665" t="str">
            <v>052136002121.23.01412</v>
          </cell>
          <cell r="C665" t="str">
            <v>052136</v>
          </cell>
          <cell r="D665" t="str">
            <v>0021</v>
          </cell>
          <cell r="E665" t="str">
            <v>21.23.01412</v>
          </cell>
          <cell r="F665" t="str">
            <v>TRAVA CABO 02 \ AA_4554_00</v>
          </cell>
          <cell r="G665" t="str">
            <v>VMI TECNOLOGIAS LTDA</v>
          </cell>
          <cell r="H665">
            <v>46028</v>
          </cell>
          <cell r="I665" t="str">
            <v>MARCO</v>
          </cell>
          <cell r="J665">
            <v>10</v>
          </cell>
          <cell r="K665">
            <v>2.4972639999999999</v>
          </cell>
          <cell r="L665">
            <v>24.97</v>
          </cell>
          <cell r="M665" t="str">
            <v>APROVADO</v>
          </cell>
          <cell r="N665" t="str">
            <v>10</v>
          </cell>
          <cell r="O665">
            <v>46090</v>
          </cell>
          <cell r="P665" t="str">
            <v>PRODUÇÃO DE MARÇO DE 2026</v>
          </cell>
        </row>
        <row r="666">
          <cell r="B666" t="str">
            <v>052136002221.23.01414</v>
          </cell>
          <cell r="C666" t="str">
            <v>052136</v>
          </cell>
          <cell r="D666" t="str">
            <v>0022</v>
          </cell>
          <cell r="E666" t="str">
            <v>21.23.01414</v>
          </cell>
          <cell r="F666" t="str">
            <v>TRAVA DO NYLON \ AA_4558_01</v>
          </cell>
          <cell r="G666" t="str">
            <v>VMI TECNOLOGIAS LTDA</v>
          </cell>
          <cell r="H666">
            <v>46028</v>
          </cell>
          <cell r="I666" t="str">
            <v>MARCO</v>
          </cell>
          <cell r="J666">
            <v>40</v>
          </cell>
          <cell r="K666">
            <v>8.701416</v>
          </cell>
          <cell r="L666">
            <v>348.06</v>
          </cell>
          <cell r="M666" t="str">
            <v>APROVADO</v>
          </cell>
          <cell r="N666" t="str">
            <v>10</v>
          </cell>
          <cell r="O666">
            <v>46090</v>
          </cell>
          <cell r="P666" t="str">
            <v>PRODUÇÃO DE MARÇO DE 2026</v>
          </cell>
        </row>
        <row r="667">
          <cell r="B667" t="str">
            <v>052136002321.23.01417</v>
          </cell>
          <cell r="C667" t="str">
            <v>052136</v>
          </cell>
          <cell r="D667" t="str">
            <v>0023</v>
          </cell>
          <cell r="E667" t="str">
            <v>21.23.01417</v>
          </cell>
          <cell r="F667" t="str">
            <v>TRAVA DA CORREDICA \ AA_4561_02</v>
          </cell>
          <cell r="G667" t="str">
            <v>VMI TECNOLOGIAS LTDA</v>
          </cell>
          <cell r="H667">
            <v>46028</v>
          </cell>
          <cell r="I667" t="str">
            <v>MARCO</v>
          </cell>
          <cell r="J667">
            <v>10</v>
          </cell>
          <cell r="K667">
            <v>45.706248000000002</v>
          </cell>
          <cell r="L667">
            <v>457.06</v>
          </cell>
          <cell r="M667" t="str">
            <v>APROVADO</v>
          </cell>
          <cell r="N667" t="str">
            <v>10</v>
          </cell>
          <cell r="O667">
            <v>46090</v>
          </cell>
          <cell r="P667" t="str">
            <v>PRODUÇÃO DE MARÇO DE 2026</v>
          </cell>
        </row>
        <row r="668">
          <cell r="B668" t="str">
            <v>052136002421.23.01420</v>
          </cell>
          <cell r="C668" t="str">
            <v>052136</v>
          </cell>
          <cell r="D668" t="str">
            <v>0024</v>
          </cell>
          <cell r="E668" t="str">
            <v>21.23.01420</v>
          </cell>
          <cell r="F668" t="str">
            <v>TRAVA DO CONTRA PESO SUP. \ AA_4566_01</v>
          </cell>
          <cell r="G668" t="str">
            <v>VMI TECNOLOGIAS LTDA</v>
          </cell>
          <cell r="H668">
            <v>46028</v>
          </cell>
          <cell r="I668" t="str">
            <v>MARCO</v>
          </cell>
          <cell r="J668">
            <v>10</v>
          </cell>
          <cell r="K668">
            <v>22.136399999999998</v>
          </cell>
          <cell r="L668">
            <v>221.36</v>
          </cell>
          <cell r="M668" t="str">
            <v>APROVADO</v>
          </cell>
          <cell r="N668" t="str">
            <v>10</v>
          </cell>
          <cell r="O668">
            <v>46090</v>
          </cell>
          <cell r="P668" t="str">
            <v>PRODUÇÃO DE MARÇO DE 2026</v>
          </cell>
        </row>
        <row r="669">
          <cell r="B669" t="str">
            <v>052136002521.23.01422</v>
          </cell>
          <cell r="C669" t="str">
            <v>052136</v>
          </cell>
          <cell r="D669" t="str">
            <v>0025</v>
          </cell>
          <cell r="E669" t="str">
            <v>21.23.01422</v>
          </cell>
          <cell r="F669" t="str">
            <v>CONTRA PESO 01 \ AA_4568_01</v>
          </cell>
          <cell r="G669" t="str">
            <v>VMI TECNOLOGIAS LTDA</v>
          </cell>
          <cell r="H669">
            <v>46028</v>
          </cell>
          <cell r="I669" t="str">
            <v>MARCO</v>
          </cell>
          <cell r="J669">
            <v>50</v>
          </cell>
          <cell r="K669">
            <v>9.2105999999999995</v>
          </cell>
          <cell r="L669">
            <v>460.53</v>
          </cell>
          <cell r="M669" t="str">
            <v>APROVADO</v>
          </cell>
          <cell r="N669" t="str">
            <v>10</v>
          </cell>
          <cell r="O669">
            <v>46090</v>
          </cell>
          <cell r="P669" t="str">
            <v>PRODUÇÃO DE MARÇO DE 2026</v>
          </cell>
        </row>
        <row r="670">
          <cell r="B670" t="str">
            <v>052136002621.23.01424</v>
          </cell>
          <cell r="C670" t="str">
            <v>052136</v>
          </cell>
          <cell r="D670" t="str">
            <v>0026</v>
          </cell>
          <cell r="E670" t="str">
            <v>21.23.01424</v>
          </cell>
          <cell r="F670" t="str">
            <v>TRAVA DO ROLAMENTO \ AA_4571_00</v>
          </cell>
          <cell r="G670" t="str">
            <v>VMI TECNOLOGIAS LTDA</v>
          </cell>
          <cell r="H670">
            <v>46028</v>
          </cell>
          <cell r="I670" t="str">
            <v>MARCO</v>
          </cell>
          <cell r="J670">
            <v>10</v>
          </cell>
          <cell r="K670">
            <v>7.8432000000000004</v>
          </cell>
          <cell r="L670">
            <v>78.430000000000007</v>
          </cell>
          <cell r="M670" t="str">
            <v>APROVADO</v>
          </cell>
          <cell r="N670" t="str">
            <v>10</v>
          </cell>
          <cell r="O670">
            <v>46090</v>
          </cell>
          <cell r="P670" t="str">
            <v>PRODUÇÃO DE MARÇO DE 2026</v>
          </cell>
        </row>
        <row r="671">
          <cell r="B671" t="str">
            <v>052136002721.23.01426</v>
          </cell>
          <cell r="C671" t="str">
            <v>052136</v>
          </cell>
          <cell r="D671" t="str">
            <v>0027</v>
          </cell>
          <cell r="E671" t="str">
            <v>21.23.01426</v>
          </cell>
          <cell r="F671" t="str">
            <v>TRAVA DO EIXO DA POLIA \ AA_4573_01</v>
          </cell>
          <cell r="G671" t="str">
            <v>VMI TECNOLOGIAS LTDA</v>
          </cell>
          <cell r="H671">
            <v>46028</v>
          </cell>
          <cell r="I671" t="str">
            <v>MARCO</v>
          </cell>
          <cell r="J671">
            <v>20</v>
          </cell>
          <cell r="K671">
            <v>9.7523999999999997</v>
          </cell>
          <cell r="L671">
            <v>195.05</v>
          </cell>
          <cell r="M671" t="str">
            <v>APROVADO</v>
          </cell>
          <cell r="N671" t="str">
            <v>10</v>
          </cell>
          <cell r="O671">
            <v>46090</v>
          </cell>
          <cell r="P671" t="str">
            <v>PRODUÇÃO DE MARÇO DE 2026</v>
          </cell>
        </row>
        <row r="672">
          <cell r="B672" t="str">
            <v>052136002821.23.01427</v>
          </cell>
          <cell r="C672" t="str">
            <v>052136</v>
          </cell>
          <cell r="D672" t="str">
            <v>0028</v>
          </cell>
          <cell r="E672" t="str">
            <v>21.23.01427</v>
          </cell>
          <cell r="F672" t="str">
            <v>FECHAMENTO DA POLIA \ AA_4574_00</v>
          </cell>
          <cell r="G672" t="str">
            <v>VMI TECNOLOGIAS LTDA</v>
          </cell>
          <cell r="H672">
            <v>46028</v>
          </cell>
          <cell r="I672" t="str">
            <v>MARCO</v>
          </cell>
          <cell r="J672">
            <v>10</v>
          </cell>
          <cell r="K672">
            <v>10.836</v>
          </cell>
          <cell r="L672">
            <v>108.36</v>
          </cell>
          <cell r="M672" t="str">
            <v>APROVADO</v>
          </cell>
          <cell r="N672" t="str">
            <v>10</v>
          </cell>
          <cell r="O672">
            <v>46090</v>
          </cell>
          <cell r="P672" t="str">
            <v>PRODUÇÃO DE MARÇO DE 2026</v>
          </cell>
        </row>
        <row r="673">
          <cell r="B673" t="str">
            <v>052136002921.23.01635</v>
          </cell>
          <cell r="C673" t="str">
            <v>052136</v>
          </cell>
          <cell r="D673" t="str">
            <v>0029</v>
          </cell>
          <cell r="E673" t="str">
            <v>21.23.01635</v>
          </cell>
          <cell r="F673" t="str">
            <v>MONTAGEM DO APOIO DO RODIZIO \ AA_4642_01</v>
          </cell>
          <cell r="G673" t="str">
            <v>VMI TECNOLOGIAS LTDA</v>
          </cell>
          <cell r="H673">
            <v>46028</v>
          </cell>
          <cell r="I673" t="str">
            <v>MARCO</v>
          </cell>
          <cell r="J673">
            <v>6</v>
          </cell>
          <cell r="K673">
            <v>130.83386400000001</v>
          </cell>
          <cell r="L673">
            <v>785</v>
          </cell>
          <cell r="M673" t="str">
            <v>APROVADO</v>
          </cell>
          <cell r="N673" t="str">
            <v>10</v>
          </cell>
          <cell r="O673">
            <v>46090</v>
          </cell>
          <cell r="P673" t="str">
            <v>PRODUÇÃO DE MARÇO DE 2026</v>
          </cell>
        </row>
        <row r="674">
          <cell r="B674" t="str">
            <v>052136003021.23.02020</v>
          </cell>
          <cell r="C674" t="str">
            <v>052136</v>
          </cell>
          <cell r="D674" t="str">
            <v>0030</v>
          </cell>
          <cell r="E674" t="str">
            <v>21.23.02020</v>
          </cell>
          <cell r="F674" t="str">
            <v>SUPORTE MOLA AEREA \ AA_7088_01</v>
          </cell>
          <cell r="G674" t="str">
            <v>VMI TECNOLOGIAS LTDA</v>
          </cell>
          <cell r="H674">
            <v>46028</v>
          </cell>
          <cell r="I674" t="str">
            <v>MARCO</v>
          </cell>
          <cell r="J674">
            <v>32</v>
          </cell>
          <cell r="K674">
            <v>22.126080000000002</v>
          </cell>
          <cell r="L674">
            <v>708.03</v>
          </cell>
          <cell r="M674" t="str">
            <v>APROVADO</v>
          </cell>
          <cell r="N674" t="str">
            <v>10</v>
          </cell>
          <cell r="O674">
            <v>46090</v>
          </cell>
          <cell r="P674" t="str">
            <v>PRODUÇÃO DE MARÇO DE 2026</v>
          </cell>
        </row>
        <row r="675">
          <cell r="B675" t="str">
            <v>052136003121.23.02795</v>
          </cell>
          <cell r="C675" t="str">
            <v>052136</v>
          </cell>
          <cell r="D675" t="str">
            <v>0031</v>
          </cell>
          <cell r="E675" t="str">
            <v>21.23.02795</v>
          </cell>
          <cell r="F675" t="str">
            <v>MAO FRANCESA INTERNA \ AA_7572_02</v>
          </cell>
          <cell r="G675" t="str">
            <v>VMI TECNOLOGIAS LTDA</v>
          </cell>
          <cell r="H675">
            <v>46028</v>
          </cell>
          <cell r="I675" t="str">
            <v>MARCO</v>
          </cell>
          <cell r="J675">
            <v>128</v>
          </cell>
          <cell r="K675">
            <v>30.8568</v>
          </cell>
          <cell r="L675">
            <v>3949.67</v>
          </cell>
          <cell r="M675" t="str">
            <v>APROVADO</v>
          </cell>
          <cell r="N675" t="str">
            <v>10</v>
          </cell>
          <cell r="O675">
            <v>46090</v>
          </cell>
          <cell r="P675" t="str">
            <v>PRODUÇÃO DE MARÇO DE 2026</v>
          </cell>
        </row>
        <row r="676">
          <cell r="B676" t="str">
            <v>052136003221.23.02798</v>
          </cell>
          <cell r="C676" t="str">
            <v>052136</v>
          </cell>
          <cell r="D676" t="str">
            <v>0032</v>
          </cell>
          <cell r="E676" t="str">
            <v>21.23.02798</v>
          </cell>
          <cell r="F676" t="str">
            <v>CALCO PARA MAO FRANCESA \ AA_7630_00</v>
          </cell>
          <cell r="G676" t="str">
            <v>VMI TECNOLOGIAS LTDA</v>
          </cell>
          <cell r="H676">
            <v>46028</v>
          </cell>
          <cell r="I676" t="str">
            <v>MARCO</v>
          </cell>
          <cell r="J676">
            <v>64</v>
          </cell>
          <cell r="K676">
            <v>7.7812799999999998</v>
          </cell>
          <cell r="L676">
            <v>498</v>
          </cell>
          <cell r="M676" t="str">
            <v>APROVADO</v>
          </cell>
          <cell r="N676" t="str">
            <v>10</v>
          </cell>
          <cell r="O676">
            <v>46090</v>
          </cell>
          <cell r="P676" t="str">
            <v>PRODUÇÃO DE MARÇO DE 2026</v>
          </cell>
        </row>
        <row r="677">
          <cell r="B677" t="str">
            <v>052136003321.23.03225</v>
          </cell>
          <cell r="C677" t="str">
            <v>052136</v>
          </cell>
          <cell r="D677" t="str">
            <v>0033</v>
          </cell>
          <cell r="E677" t="str">
            <v>21.23.03225</v>
          </cell>
          <cell r="F677" t="str">
            <v>PERFIL SUPERIOR \ 03_0109_01</v>
          </cell>
          <cell r="G677" t="str">
            <v>VMI TECNOLOGIAS LTDA</v>
          </cell>
          <cell r="H677">
            <v>46028</v>
          </cell>
          <cell r="I677" t="str">
            <v>MARCO</v>
          </cell>
          <cell r="J677">
            <v>72</v>
          </cell>
          <cell r="K677">
            <v>91.276286999999996</v>
          </cell>
          <cell r="L677">
            <v>6571.89</v>
          </cell>
          <cell r="M677" t="str">
            <v>APROVADO</v>
          </cell>
          <cell r="N677" t="str">
            <v>10</v>
          </cell>
          <cell r="O677">
            <v>46090</v>
          </cell>
          <cell r="P677" t="str">
            <v>PRODUÇÃO DE MARÇO DE 2026</v>
          </cell>
        </row>
        <row r="678">
          <cell r="B678" t="str">
            <v>052136003421.23.03228</v>
          </cell>
          <cell r="C678" t="str">
            <v>052136</v>
          </cell>
          <cell r="D678" t="str">
            <v>0034</v>
          </cell>
          <cell r="E678" t="str">
            <v>21.23.03228</v>
          </cell>
          <cell r="F678" t="str">
            <v>PERFIL DE SUSTENTACAO DA ESTEIRA \ 03_0112_05</v>
          </cell>
          <cell r="G678" t="str">
            <v>VMI TECNOLOGIAS LTDA</v>
          </cell>
          <cell r="H678">
            <v>46028</v>
          </cell>
          <cell r="I678" t="str">
            <v>MARCO</v>
          </cell>
          <cell r="J678">
            <v>36</v>
          </cell>
          <cell r="K678">
            <v>143.19774000000001</v>
          </cell>
          <cell r="L678">
            <v>5155.12</v>
          </cell>
          <cell r="M678" t="str">
            <v>APROVADO</v>
          </cell>
          <cell r="N678" t="str">
            <v>10</v>
          </cell>
          <cell r="O678">
            <v>46090</v>
          </cell>
          <cell r="P678" t="str">
            <v>PRODUÇÃO DE MARÇO DE 2026</v>
          </cell>
        </row>
        <row r="679">
          <cell r="B679" t="str">
            <v>052136003521.23.03229</v>
          </cell>
          <cell r="C679" t="str">
            <v>052136</v>
          </cell>
          <cell r="D679" t="str">
            <v>0035</v>
          </cell>
          <cell r="E679" t="str">
            <v>21.23.03229</v>
          </cell>
          <cell r="F679" t="str">
            <v>COLUNA DE SUSTENTACAO 01 \ 03_0113_00</v>
          </cell>
          <cell r="G679" t="str">
            <v>VMI TECNOLOGIAS LTDA</v>
          </cell>
          <cell r="H679">
            <v>46028</v>
          </cell>
          <cell r="I679" t="str">
            <v>MARCO</v>
          </cell>
          <cell r="J679">
            <v>22</v>
          </cell>
          <cell r="K679">
            <v>136.739484</v>
          </cell>
          <cell r="L679">
            <v>3008.27</v>
          </cell>
          <cell r="M679" t="str">
            <v>APROVADO</v>
          </cell>
          <cell r="N679" t="str">
            <v>10</v>
          </cell>
          <cell r="O679">
            <v>46090</v>
          </cell>
          <cell r="P679" t="str">
            <v>PRODUÇÃO DE MARÇO DE 2026</v>
          </cell>
        </row>
        <row r="680">
          <cell r="B680" t="str">
            <v>052136003621.23.03230</v>
          </cell>
          <cell r="C680" t="str">
            <v>052136</v>
          </cell>
          <cell r="D680" t="str">
            <v>0036</v>
          </cell>
          <cell r="E680" t="str">
            <v>21.23.03230</v>
          </cell>
          <cell r="F680" t="str">
            <v>COLUNA DE SUSTENTACAO 02 \ 03_0114_00</v>
          </cell>
          <cell r="G680" t="str">
            <v>VMI TECNOLOGIAS LTDA</v>
          </cell>
          <cell r="H680">
            <v>46028</v>
          </cell>
          <cell r="I680" t="str">
            <v>MARCO</v>
          </cell>
          <cell r="J680">
            <v>22</v>
          </cell>
          <cell r="K680">
            <v>157.50384</v>
          </cell>
          <cell r="L680">
            <v>3465.08</v>
          </cell>
          <cell r="M680" t="str">
            <v>APROVADO</v>
          </cell>
          <cell r="N680" t="str">
            <v>10</v>
          </cell>
          <cell r="O680">
            <v>46090</v>
          </cell>
          <cell r="P680" t="str">
            <v>PRODUÇÃO DE MARÇO DE 2026</v>
          </cell>
        </row>
        <row r="681">
          <cell r="B681" t="str">
            <v>052136003721.23.03231</v>
          </cell>
          <cell r="C681" t="str">
            <v>052136</v>
          </cell>
          <cell r="D681" t="str">
            <v>0037</v>
          </cell>
          <cell r="E681" t="str">
            <v>21.23.03231</v>
          </cell>
          <cell r="F681" t="str">
            <v>MAO FRANCESA \ 03_0115_00</v>
          </cell>
          <cell r="G681" t="str">
            <v>VMI TECNOLOGIAS LTDA</v>
          </cell>
          <cell r="H681">
            <v>46028</v>
          </cell>
          <cell r="I681" t="str">
            <v>MARCO</v>
          </cell>
          <cell r="J681">
            <v>72</v>
          </cell>
          <cell r="K681">
            <v>42.5184</v>
          </cell>
          <cell r="L681">
            <v>3061.32</v>
          </cell>
          <cell r="M681" t="str">
            <v>APROVADO</v>
          </cell>
          <cell r="N681" t="str">
            <v>10</v>
          </cell>
          <cell r="O681">
            <v>46090</v>
          </cell>
          <cell r="P681" t="str">
            <v>PRODUÇÃO DE MARÇO DE 2026</v>
          </cell>
        </row>
        <row r="682">
          <cell r="B682" t="str">
            <v>052136003821.23.03234</v>
          </cell>
          <cell r="C682" t="str">
            <v>052136</v>
          </cell>
          <cell r="D682" t="str">
            <v>0038</v>
          </cell>
          <cell r="E682" t="str">
            <v>21.23.03234</v>
          </cell>
          <cell r="F682" t="str">
            <v>CHAPA PARA CHUMBO DA ESTEIRA \ 03_0118_02</v>
          </cell>
          <cell r="G682" t="str">
            <v>VMI TECNOLOGIAS LTDA</v>
          </cell>
          <cell r="H682">
            <v>46028</v>
          </cell>
          <cell r="I682" t="str">
            <v>MARCO</v>
          </cell>
          <cell r="J682">
            <v>36</v>
          </cell>
          <cell r="K682">
            <v>121.55824800000001</v>
          </cell>
          <cell r="L682">
            <v>4376.1000000000004</v>
          </cell>
          <cell r="M682" t="str">
            <v>APROVADO</v>
          </cell>
          <cell r="N682" t="str">
            <v>10</v>
          </cell>
          <cell r="O682">
            <v>46090</v>
          </cell>
          <cell r="P682" t="str">
            <v>PRODUÇÃO DE MARÇO DE 2026</v>
          </cell>
        </row>
        <row r="683">
          <cell r="B683" t="str">
            <v>052136003921.23.03239</v>
          </cell>
          <cell r="C683" t="str">
            <v>052136</v>
          </cell>
          <cell r="D683" t="str">
            <v>0039</v>
          </cell>
          <cell r="E683" t="str">
            <v>21.23.03239</v>
          </cell>
          <cell r="F683" t="str">
            <v>TRAVA DO INTERLOCKED \ 03_0135_02</v>
          </cell>
          <cell r="G683" t="str">
            <v>VMI TECNOLOGIAS LTDA</v>
          </cell>
          <cell r="H683">
            <v>46028</v>
          </cell>
          <cell r="I683" t="str">
            <v>MARCO</v>
          </cell>
          <cell r="J683">
            <v>36</v>
          </cell>
          <cell r="K683">
            <v>12.854430000000001</v>
          </cell>
          <cell r="L683">
            <v>462.76</v>
          </cell>
          <cell r="M683" t="str">
            <v>APROVADO</v>
          </cell>
          <cell r="N683" t="str">
            <v>10</v>
          </cell>
          <cell r="O683">
            <v>46090</v>
          </cell>
          <cell r="P683" t="str">
            <v>PRODUÇÃO DE MARÇO DE 2026</v>
          </cell>
        </row>
        <row r="684">
          <cell r="B684" t="str">
            <v>052136004021.23.03240</v>
          </cell>
          <cell r="C684" t="str">
            <v>052136</v>
          </cell>
          <cell r="D684" t="str">
            <v>0040</v>
          </cell>
          <cell r="E684" t="str">
            <v>21.23.03240</v>
          </cell>
          <cell r="F684" t="str">
            <v>TRAVA CABOS DA BASE \ 03_0136_00</v>
          </cell>
          <cell r="G684" t="str">
            <v>VMI TECNOLOGIAS LTDA</v>
          </cell>
          <cell r="H684">
            <v>46028</v>
          </cell>
          <cell r="I684" t="str">
            <v>MARCO</v>
          </cell>
          <cell r="J684">
            <v>36</v>
          </cell>
          <cell r="K684">
            <v>7.9259529999999998</v>
          </cell>
          <cell r="L684">
            <v>285.33</v>
          </cell>
          <cell r="M684" t="str">
            <v>APROVADO</v>
          </cell>
          <cell r="N684" t="str">
            <v>10</v>
          </cell>
          <cell r="O684">
            <v>46090</v>
          </cell>
          <cell r="P684" t="str">
            <v>PRODUÇÃO DE MARÇO DE 2026</v>
          </cell>
        </row>
        <row r="685">
          <cell r="B685" t="str">
            <v>052136004121.23.03243</v>
          </cell>
          <cell r="C685" t="str">
            <v>052136</v>
          </cell>
          <cell r="D685" t="str">
            <v>0041</v>
          </cell>
          <cell r="E685" t="str">
            <v>21.23.03243</v>
          </cell>
          <cell r="F685" t="str">
            <v>CHAPA MONTAGEM ELETRICA TAMPA \ 03_0139_00</v>
          </cell>
          <cell r="G685" t="str">
            <v>VMI TECNOLOGIAS LTDA</v>
          </cell>
          <cell r="H685">
            <v>46028</v>
          </cell>
          <cell r="I685" t="str">
            <v>MARCO</v>
          </cell>
          <cell r="J685">
            <v>18</v>
          </cell>
          <cell r="K685">
            <v>46.486440000000002</v>
          </cell>
          <cell r="L685">
            <v>836.76</v>
          </cell>
          <cell r="M685" t="str">
            <v>APROVADO</v>
          </cell>
          <cell r="N685" t="str">
            <v>10</v>
          </cell>
          <cell r="O685">
            <v>46090</v>
          </cell>
          <cell r="P685" t="str">
            <v>PRODUÇÃO DE MARÇO DE 2026</v>
          </cell>
        </row>
        <row r="686">
          <cell r="B686" t="str">
            <v>052136004221.23.03244</v>
          </cell>
          <cell r="C686" t="str">
            <v>052136</v>
          </cell>
          <cell r="D686" t="str">
            <v>0042</v>
          </cell>
          <cell r="E686" t="str">
            <v>21.23.03244</v>
          </cell>
          <cell r="F686" t="str">
            <v>FECHAMENTO MONTAGEM ELETRICA TAMPA \ 03_0140_00</v>
          </cell>
          <cell r="G686" t="str">
            <v>VMI TECNOLOGIAS LTDA</v>
          </cell>
          <cell r="H686">
            <v>46028</v>
          </cell>
          <cell r="I686" t="str">
            <v>MARCO</v>
          </cell>
          <cell r="J686">
            <v>18</v>
          </cell>
          <cell r="K686">
            <v>13.35408</v>
          </cell>
          <cell r="L686">
            <v>240.37</v>
          </cell>
          <cell r="M686" t="str">
            <v>APROVADO</v>
          </cell>
          <cell r="N686" t="str">
            <v>10</v>
          </cell>
          <cell r="O686">
            <v>46090</v>
          </cell>
          <cell r="P686" t="str">
            <v>PRODUÇÃO DE MARÇO DE 2026</v>
          </cell>
        </row>
        <row r="687">
          <cell r="B687" t="str">
            <v>052136004321.23.03252</v>
          </cell>
          <cell r="C687" t="str">
            <v>052136</v>
          </cell>
          <cell r="D687" t="str">
            <v>0043</v>
          </cell>
          <cell r="E687" t="str">
            <v>21.23.03252</v>
          </cell>
          <cell r="F687" t="str">
            <v>FECHAMENTO DO TUNEL \ 03_0148_00</v>
          </cell>
          <cell r="G687" t="str">
            <v>VMI TECNOLOGIAS LTDA</v>
          </cell>
          <cell r="H687">
            <v>46028</v>
          </cell>
          <cell r="I687" t="str">
            <v>MARCO</v>
          </cell>
          <cell r="J687">
            <v>18</v>
          </cell>
          <cell r="K687">
            <v>46.342728000000001</v>
          </cell>
          <cell r="L687">
            <v>834.17</v>
          </cell>
          <cell r="M687" t="str">
            <v>APROVADO</v>
          </cell>
          <cell r="N687" t="str">
            <v>10</v>
          </cell>
          <cell r="O687">
            <v>46090</v>
          </cell>
          <cell r="P687" t="str">
            <v>PRODUÇÃO DE MARÇO DE 2026</v>
          </cell>
        </row>
        <row r="688">
          <cell r="B688" t="str">
            <v>052136004421.23.03287</v>
          </cell>
          <cell r="C688" t="str">
            <v>052136</v>
          </cell>
          <cell r="D688" t="str">
            <v>0044</v>
          </cell>
          <cell r="E688" t="str">
            <v>21.23.03287</v>
          </cell>
          <cell r="F688" t="str">
            <v>CORPO DA ESTEIRA MAIOR \ 03_0205_04</v>
          </cell>
          <cell r="G688" t="str">
            <v>VMI TECNOLOGIAS LTDA</v>
          </cell>
          <cell r="H688">
            <v>46028</v>
          </cell>
          <cell r="I688" t="str">
            <v>MARCO</v>
          </cell>
          <cell r="J688">
            <v>8</v>
          </cell>
          <cell r="K688">
            <v>1170.0114819999999</v>
          </cell>
          <cell r="L688">
            <v>9360.09</v>
          </cell>
          <cell r="M688" t="str">
            <v>APROVADO</v>
          </cell>
          <cell r="N688" t="str">
            <v>10</v>
          </cell>
          <cell r="O688">
            <v>46090</v>
          </cell>
          <cell r="P688" t="str">
            <v>PRODUÇÃO DE MARÇO DE 2026</v>
          </cell>
        </row>
        <row r="689">
          <cell r="B689" t="str">
            <v>052136004521.23.03288</v>
          </cell>
          <cell r="C689" t="str">
            <v>052136</v>
          </cell>
          <cell r="D689" t="str">
            <v>0045</v>
          </cell>
          <cell r="E689" t="str">
            <v>21.23.03288</v>
          </cell>
          <cell r="F689" t="str">
            <v>REFORCO DA ESTEIRA \ 03_0206_01</v>
          </cell>
          <cell r="G689" t="str">
            <v>VMI TECNOLOGIAS LTDA</v>
          </cell>
          <cell r="H689">
            <v>46028</v>
          </cell>
          <cell r="I689" t="str">
            <v>MARCO</v>
          </cell>
          <cell r="J689">
            <v>50</v>
          </cell>
          <cell r="K689">
            <v>47.32752</v>
          </cell>
          <cell r="L689">
            <v>2366.38</v>
          </cell>
          <cell r="M689" t="str">
            <v>APROVADO</v>
          </cell>
          <cell r="N689" t="str">
            <v>10</v>
          </cell>
          <cell r="O689">
            <v>46090</v>
          </cell>
          <cell r="P689" t="str">
            <v>PRODUÇÃO DE MARÇO DE 2026</v>
          </cell>
        </row>
        <row r="690">
          <cell r="B690" t="str">
            <v>052136004621.23.03289</v>
          </cell>
          <cell r="C690" t="str">
            <v>052136</v>
          </cell>
          <cell r="D690" t="str">
            <v>0046</v>
          </cell>
          <cell r="E690" t="str">
            <v>21.23.03289</v>
          </cell>
          <cell r="F690" t="str">
            <v>TRAVA DO ROLETE DE RETORNO \ 03_0207_01</v>
          </cell>
          <cell r="G690" t="str">
            <v>VMI TECNOLOGIAS LTDA</v>
          </cell>
          <cell r="H690">
            <v>46028</v>
          </cell>
          <cell r="I690" t="str">
            <v>MARCO</v>
          </cell>
          <cell r="J690">
            <v>20</v>
          </cell>
          <cell r="K690">
            <v>20.64</v>
          </cell>
          <cell r="L690">
            <v>412.8</v>
          </cell>
          <cell r="M690" t="str">
            <v>APROVADO</v>
          </cell>
          <cell r="N690" t="str">
            <v>10</v>
          </cell>
          <cell r="O690">
            <v>46090</v>
          </cell>
          <cell r="P690" t="str">
            <v>PRODUÇÃO DE MARÇO DE 2026</v>
          </cell>
        </row>
        <row r="691">
          <cell r="B691" t="str">
            <v>052136004721.23.03292</v>
          </cell>
          <cell r="C691" t="str">
            <v>052136</v>
          </cell>
          <cell r="D691" t="str">
            <v>0047</v>
          </cell>
          <cell r="E691" t="str">
            <v>21.23.03292</v>
          </cell>
          <cell r="F691" t="str">
            <v>REFORCO DO CORTE DA ESTEIRA \ 03_0210_02</v>
          </cell>
          <cell r="G691" t="str">
            <v>VMI TECNOLOGIAS LTDA</v>
          </cell>
          <cell r="H691">
            <v>46028</v>
          </cell>
          <cell r="I691" t="str">
            <v>MARCO</v>
          </cell>
          <cell r="J691">
            <v>9</v>
          </cell>
          <cell r="K691">
            <v>61.916904000000002</v>
          </cell>
          <cell r="L691">
            <v>557.25</v>
          </cell>
          <cell r="M691" t="str">
            <v>APROVADO</v>
          </cell>
          <cell r="N691" t="str">
            <v>10</v>
          </cell>
          <cell r="O691">
            <v>46090</v>
          </cell>
          <cell r="P691" t="str">
            <v>PRODUÇÃO DE MARÇO DE 2026</v>
          </cell>
        </row>
        <row r="692">
          <cell r="B692" t="str">
            <v>052136004821.23.03293</v>
          </cell>
          <cell r="C692" t="str">
            <v>052136</v>
          </cell>
          <cell r="D692" t="str">
            <v>0048</v>
          </cell>
          <cell r="E692" t="str">
            <v>21.23.03293</v>
          </cell>
          <cell r="F692" t="str">
            <v>REFORCO CENTRAL DA ESTEIRA \ 03_0211_00</v>
          </cell>
          <cell r="G692" t="str">
            <v>VMI TECNOLOGIAS LTDA</v>
          </cell>
          <cell r="H692">
            <v>46028</v>
          </cell>
          <cell r="I692" t="str">
            <v>MARCO</v>
          </cell>
          <cell r="J692">
            <v>20</v>
          </cell>
          <cell r="K692">
            <v>18.000124</v>
          </cell>
          <cell r="L692">
            <v>360</v>
          </cell>
          <cell r="M692" t="str">
            <v>APROVADO</v>
          </cell>
          <cell r="N692" t="str">
            <v>10</v>
          </cell>
          <cell r="O692">
            <v>46090</v>
          </cell>
          <cell r="P692" t="str">
            <v>PRODUÇÃO DE MARÇO DE 2026</v>
          </cell>
        </row>
        <row r="693">
          <cell r="B693" t="str">
            <v>052136004921.23.03294</v>
          </cell>
          <cell r="C693" t="str">
            <v>052136</v>
          </cell>
          <cell r="D693" t="str">
            <v>0049</v>
          </cell>
          <cell r="E693" t="str">
            <v>21.23.03294</v>
          </cell>
          <cell r="F693" t="str">
            <v>BATENTE DA ESTEIRA \ 03_0212_00</v>
          </cell>
          <cell r="G693" t="str">
            <v>VMI TECNOLOGIAS LTDA</v>
          </cell>
          <cell r="H693">
            <v>46028</v>
          </cell>
          <cell r="I693" t="str">
            <v>MARCO</v>
          </cell>
          <cell r="J693">
            <v>20</v>
          </cell>
          <cell r="K693">
            <v>4.9496320000000003</v>
          </cell>
          <cell r="L693">
            <v>98.99</v>
          </cell>
          <cell r="M693" t="str">
            <v>APROVADO</v>
          </cell>
          <cell r="N693" t="str">
            <v>10</v>
          </cell>
          <cell r="O693">
            <v>46090</v>
          </cell>
          <cell r="P693" t="str">
            <v>PRODUÇÃO DE MARÇO DE 2026</v>
          </cell>
        </row>
        <row r="694">
          <cell r="B694" t="str">
            <v>052136005021.23.03295</v>
          </cell>
          <cell r="C694" t="str">
            <v>052136</v>
          </cell>
          <cell r="D694" t="str">
            <v>0050</v>
          </cell>
          <cell r="E694" t="str">
            <v>21.23.03295</v>
          </cell>
          <cell r="F694" t="str">
            <v>TRAVA DO ROLETE DE RETORNO 03 \ 03_0213_01</v>
          </cell>
          <cell r="G694" t="str">
            <v>VMI TECNOLOGIAS LTDA</v>
          </cell>
          <cell r="H694">
            <v>46028</v>
          </cell>
          <cell r="I694" t="str">
            <v>MARCO</v>
          </cell>
          <cell r="J694">
            <v>20</v>
          </cell>
          <cell r="K694">
            <v>20.64</v>
          </cell>
          <cell r="L694">
            <v>412.8</v>
          </cell>
          <cell r="M694" t="str">
            <v>APROVADO</v>
          </cell>
          <cell r="N694" t="str">
            <v>10</v>
          </cell>
          <cell r="O694">
            <v>46090</v>
          </cell>
          <cell r="P694" t="str">
            <v>PRODUÇÃO DE MARÇO DE 2026</v>
          </cell>
        </row>
        <row r="695">
          <cell r="B695" t="str">
            <v>052136005121.23.03297</v>
          </cell>
          <cell r="C695" t="str">
            <v>052136</v>
          </cell>
          <cell r="D695" t="str">
            <v>0051</v>
          </cell>
          <cell r="E695" t="str">
            <v>21.23.03297</v>
          </cell>
          <cell r="F695" t="str">
            <v>DISTANCIADOR DO ACABAMENTO \ 03_0215_00</v>
          </cell>
          <cell r="G695" t="str">
            <v>VMI TECNOLOGIAS LTDA</v>
          </cell>
          <cell r="H695">
            <v>46028</v>
          </cell>
          <cell r="I695" t="str">
            <v>MARCO</v>
          </cell>
          <cell r="J695">
            <v>40</v>
          </cell>
          <cell r="K695">
            <v>18.197248999999999</v>
          </cell>
          <cell r="L695">
            <v>727.89</v>
          </cell>
          <cell r="M695" t="str">
            <v>APROVADO</v>
          </cell>
          <cell r="N695" t="str">
            <v>10</v>
          </cell>
          <cell r="O695">
            <v>46090</v>
          </cell>
          <cell r="P695" t="str">
            <v>PRODUÇÃO DE MARÇO DE 2026</v>
          </cell>
        </row>
        <row r="696">
          <cell r="B696" t="str">
            <v>052136005221.23.03302</v>
          </cell>
          <cell r="C696" t="str">
            <v>052136</v>
          </cell>
          <cell r="D696" t="str">
            <v>0052</v>
          </cell>
          <cell r="E696" t="str">
            <v>21.23.03302</v>
          </cell>
          <cell r="F696" t="str">
            <v>CHAPA PROTECAO DA ESTEIRA \ 03_0220_00</v>
          </cell>
          <cell r="G696" t="str">
            <v>VMI TECNOLOGIAS LTDA</v>
          </cell>
          <cell r="H696">
            <v>46028</v>
          </cell>
          <cell r="I696" t="str">
            <v>MARCO</v>
          </cell>
          <cell r="J696">
            <v>20</v>
          </cell>
          <cell r="K696">
            <v>44.142811000000002</v>
          </cell>
          <cell r="L696">
            <v>882.86</v>
          </cell>
          <cell r="M696" t="str">
            <v>APROVADO</v>
          </cell>
          <cell r="N696" t="str">
            <v>10</v>
          </cell>
          <cell r="O696">
            <v>46090</v>
          </cell>
          <cell r="P696" t="str">
            <v>PRODUÇÃO DE MARÇO DE 2026</v>
          </cell>
        </row>
        <row r="697">
          <cell r="B697" t="str">
            <v>052136005321.23.03315</v>
          </cell>
          <cell r="C697" t="str">
            <v>052136</v>
          </cell>
          <cell r="D697" t="str">
            <v>0053</v>
          </cell>
          <cell r="E697" t="str">
            <v>21.23.03315</v>
          </cell>
          <cell r="F697" t="str">
            <v>SUPORTE DO ACABAMENTO DA ESTEIRA \ 03_0234_00</v>
          </cell>
          <cell r="G697" t="str">
            <v>VMI TECNOLOGIAS LTDA</v>
          </cell>
          <cell r="H697">
            <v>46028</v>
          </cell>
          <cell r="I697" t="str">
            <v>MARCO</v>
          </cell>
          <cell r="J697">
            <v>20</v>
          </cell>
          <cell r="K697">
            <v>10.676622999999999</v>
          </cell>
          <cell r="L697">
            <v>213.53</v>
          </cell>
          <cell r="M697" t="str">
            <v>APROVADO</v>
          </cell>
          <cell r="N697" t="str">
            <v>10</v>
          </cell>
          <cell r="O697">
            <v>46090</v>
          </cell>
          <cell r="P697" t="str">
            <v>PRODUÇÃO DE MARÇO DE 2026</v>
          </cell>
        </row>
        <row r="698">
          <cell r="B698" t="str">
            <v>052136005421.23.03317</v>
          </cell>
          <cell r="C698" t="str">
            <v>052136</v>
          </cell>
          <cell r="D698" t="str">
            <v>0054</v>
          </cell>
          <cell r="E698" t="str">
            <v>21.23.03317</v>
          </cell>
          <cell r="F698" t="str">
            <v>SUPORTE DO SENSOR \ 03_0236_00</v>
          </cell>
          <cell r="G698" t="str">
            <v>VMI TECNOLOGIAS LTDA</v>
          </cell>
          <cell r="H698">
            <v>46028</v>
          </cell>
          <cell r="I698" t="str">
            <v>MARCO</v>
          </cell>
          <cell r="J698">
            <v>4</v>
          </cell>
          <cell r="K698">
            <v>3.4322870000000001</v>
          </cell>
          <cell r="L698">
            <v>13.73</v>
          </cell>
          <cell r="M698" t="str">
            <v>APROVADO</v>
          </cell>
          <cell r="N698" t="str">
            <v>10</v>
          </cell>
          <cell r="O698">
            <v>46090</v>
          </cell>
          <cell r="P698" t="str">
            <v>PRODUÇÃO DE MARÇO DE 2026</v>
          </cell>
        </row>
        <row r="699">
          <cell r="B699" t="str">
            <v>052136005521.23.03317</v>
          </cell>
          <cell r="C699" t="str">
            <v>052136</v>
          </cell>
          <cell r="D699" t="str">
            <v>0055</v>
          </cell>
          <cell r="E699" t="str">
            <v>21.23.03317</v>
          </cell>
          <cell r="F699" t="str">
            <v>SUPORTE DO SENSOR \ 03_0236_00</v>
          </cell>
          <cell r="G699" t="str">
            <v>VMI TECNOLOGIAS LTDA</v>
          </cell>
          <cell r="H699">
            <v>46028</v>
          </cell>
          <cell r="I699" t="str">
            <v>MARCO</v>
          </cell>
          <cell r="J699">
            <v>68</v>
          </cell>
          <cell r="K699">
            <v>3.4322870000000001</v>
          </cell>
          <cell r="L699">
            <v>233.4</v>
          </cell>
          <cell r="M699" t="str">
            <v>APROVADO</v>
          </cell>
          <cell r="N699" t="str">
            <v>10</v>
          </cell>
          <cell r="O699">
            <v>46090</v>
          </cell>
          <cell r="P699" t="str">
            <v>PRODUÇÃO DE MARÇO DE 2026</v>
          </cell>
        </row>
        <row r="700">
          <cell r="B700" t="str">
            <v>052136005621.23.03319</v>
          </cell>
          <cell r="C700" t="str">
            <v>052136</v>
          </cell>
          <cell r="D700" t="str">
            <v>0056</v>
          </cell>
          <cell r="E700" t="str">
            <v>21.23.03319</v>
          </cell>
          <cell r="F700" t="str">
            <v>PROTECAO SENSOR TUNEL \ 03_0238_01</v>
          </cell>
          <cell r="G700" t="str">
            <v>VMI TECNOLOGIAS LTDA</v>
          </cell>
          <cell r="H700">
            <v>46028</v>
          </cell>
          <cell r="I700" t="str">
            <v>MARCO</v>
          </cell>
          <cell r="J700">
            <v>4</v>
          </cell>
          <cell r="K700">
            <v>9.6455950000000001</v>
          </cell>
          <cell r="L700">
            <v>38.58</v>
          </cell>
          <cell r="M700" t="str">
            <v>APROVADO</v>
          </cell>
          <cell r="N700" t="str">
            <v>10</v>
          </cell>
          <cell r="O700">
            <v>46090</v>
          </cell>
          <cell r="P700" t="str">
            <v>PRODUÇÃO DE MARÇO DE 2026</v>
          </cell>
        </row>
        <row r="701">
          <cell r="B701" t="str">
            <v>052136005721.23.03319</v>
          </cell>
          <cell r="C701" t="str">
            <v>052136</v>
          </cell>
          <cell r="D701" t="str">
            <v>0057</v>
          </cell>
          <cell r="E701" t="str">
            <v>21.23.03319</v>
          </cell>
          <cell r="F701" t="str">
            <v>PROTECAO SENSOR TUNEL \ 03_0238_01</v>
          </cell>
          <cell r="G701" t="str">
            <v>VMI TECNOLOGIAS LTDA</v>
          </cell>
          <cell r="H701">
            <v>46028</v>
          </cell>
          <cell r="I701" t="str">
            <v>MARCO</v>
          </cell>
          <cell r="J701">
            <v>68</v>
          </cell>
          <cell r="K701">
            <v>9.6455950000000001</v>
          </cell>
          <cell r="L701">
            <v>655.9</v>
          </cell>
          <cell r="M701" t="str">
            <v>APROVADO</v>
          </cell>
          <cell r="N701" t="str">
            <v>10</v>
          </cell>
          <cell r="O701">
            <v>46090</v>
          </cell>
          <cell r="P701" t="str">
            <v>PRODUÇÃO DE MARÇO DE 2026</v>
          </cell>
        </row>
        <row r="702">
          <cell r="B702" t="str">
            <v>052136005821.23.03322</v>
          </cell>
          <cell r="C702" t="str">
            <v>052136</v>
          </cell>
          <cell r="D702" t="str">
            <v>0058</v>
          </cell>
          <cell r="E702" t="str">
            <v>21.23.03322</v>
          </cell>
          <cell r="F702" t="str">
            <v>CHAPA FECHAMENTO COLIMADORES \ 03_0271_00</v>
          </cell>
          <cell r="G702" t="str">
            <v>VMI TECNOLOGIAS LTDA</v>
          </cell>
          <cell r="H702">
            <v>46028</v>
          </cell>
          <cell r="I702" t="str">
            <v>MARCO</v>
          </cell>
          <cell r="J702">
            <v>18</v>
          </cell>
          <cell r="K702">
            <v>14.593398000000001</v>
          </cell>
          <cell r="L702">
            <v>262.68</v>
          </cell>
          <cell r="M702" t="str">
            <v>APROVADO</v>
          </cell>
          <cell r="N702" t="str">
            <v>10</v>
          </cell>
          <cell r="O702">
            <v>46090</v>
          </cell>
          <cell r="P702" t="str">
            <v>PRODUÇÃO DE MARÇO DE 2026</v>
          </cell>
        </row>
        <row r="703">
          <cell r="B703" t="str">
            <v>052136005921.23.03325</v>
          </cell>
          <cell r="C703" t="str">
            <v>052136</v>
          </cell>
          <cell r="D703" t="str">
            <v>0059</v>
          </cell>
          <cell r="E703" t="str">
            <v>21.23.03325</v>
          </cell>
          <cell r="F703" t="str">
            <v>FECHAMENTO DOS COLIMADORES \ 03_0275_01</v>
          </cell>
          <cell r="G703" t="str">
            <v>VMI TECNOLOGIAS LTDA</v>
          </cell>
          <cell r="H703">
            <v>46028</v>
          </cell>
          <cell r="I703" t="str">
            <v>MARCO</v>
          </cell>
          <cell r="J703">
            <v>2</v>
          </cell>
          <cell r="K703">
            <v>8.1157850000000007</v>
          </cell>
          <cell r="L703">
            <v>16.23</v>
          </cell>
          <cell r="M703" t="str">
            <v>APROVADO</v>
          </cell>
          <cell r="N703" t="str">
            <v>10</v>
          </cell>
          <cell r="O703">
            <v>46090</v>
          </cell>
          <cell r="P703" t="str">
            <v>PRODUÇÃO DE MARÇO DE 2026</v>
          </cell>
        </row>
        <row r="704">
          <cell r="B704" t="str">
            <v>052136006021.23.03325</v>
          </cell>
          <cell r="C704" t="str">
            <v>052136</v>
          </cell>
          <cell r="D704" t="str">
            <v>0060</v>
          </cell>
          <cell r="E704" t="str">
            <v>21.23.03325</v>
          </cell>
          <cell r="F704" t="str">
            <v>FECHAMENTO DOS COLIMADORES \ 03_0275_01</v>
          </cell>
          <cell r="G704" t="str">
            <v>VMI TECNOLOGIAS LTDA</v>
          </cell>
          <cell r="H704">
            <v>46028</v>
          </cell>
          <cell r="I704" t="str">
            <v>MARCO</v>
          </cell>
          <cell r="J704">
            <v>34</v>
          </cell>
          <cell r="K704">
            <v>8.1157850000000007</v>
          </cell>
          <cell r="L704">
            <v>275.94</v>
          </cell>
          <cell r="M704" t="str">
            <v>APROVADO</v>
          </cell>
          <cell r="N704" t="str">
            <v>10</v>
          </cell>
          <cell r="O704">
            <v>46090</v>
          </cell>
          <cell r="P704" t="str">
            <v>PRODUÇÃO DE MARÇO DE 2026</v>
          </cell>
        </row>
        <row r="705">
          <cell r="B705" t="str">
            <v>052136006121.23.03330</v>
          </cell>
          <cell r="C705" t="str">
            <v>052136</v>
          </cell>
          <cell r="D705" t="str">
            <v>0061</v>
          </cell>
          <cell r="E705" t="str">
            <v>21.23.03330</v>
          </cell>
          <cell r="F705" t="str">
            <v>SUPORTE DA BASE DO TUBO \ 03_0283_03</v>
          </cell>
          <cell r="G705" t="str">
            <v>VMI TECNOLOGIAS LTDA</v>
          </cell>
          <cell r="H705">
            <v>46028</v>
          </cell>
          <cell r="I705" t="str">
            <v>MARCO</v>
          </cell>
          <cell r="J705">
            <v>8</v>
          </cell>
          <cell r="K705">
            <v>165.855816</v>
          </cell>
          <cell r="L705">
            <v>1326.85</v>
          </cell>
          <cell r="M705" t="str">
            <v>APROVADO</v>
          </cell>
          <cell r="N705" t="str">
            <v>10</v>
          </cell>
          <cell r="O705">
            <v>46090</v>
          </cell>
          <cell r="P705" t="str">
            <v>PRODUÇÃO DE MARÇO DE 2026</v>
          </cell>
        </row>
        <row r="706">
          <cell r="B706" t="str">
            <v>052136006221.23.03363</v>
          </cell>
          <cell r="C706" t="str">
            <v>052136</v>
          </cell>
          <cell r="D706" t="str">
            <v>0062</v>
          </cell>
          <cell r="E706" t="str">
            <v>21.23.03363</v>
          </cell>
          <cell r="F706" t="str">
            <v>APOIO ACABAMENTO LATERAL \ 03_0352_00</v>
          </cell>
          <cell r="G706" t="str">
            <v>VMI TECNOLOGIAS LTDA</v>
          </cell>
          <cell r="H706">
            <v>46028</v>
          </cell>
          <cell r="I706" t="str">
            <v>MARCO</v>
          </cell>
          <cell r="J706">
            <v>8</v>
          </cell>
          <cell r="K706">
            <v>25.06728</v>
          </cell>
          <cell r="L706">
            <v>200.54</v>
          </cell>
          <cell r="M706" t="str">
            <v>APROVADO</v>
          </cell>
          <cell r="N706" t="str">
            <v>10</v>
          </cell>
          <cell r="O706">
            <v>46090</v>
          </cell>
          <cell r="P706" t="str">
            <v>PRODUÇÃO DE MARÇO DE 2026</v>
          </cell>
        </row>
        <row r="707">
          <cell r="B707" t="str">
            <v>052136006321.23.03364</v>
          </cell>
          <cell r="C707" t="str">
            <v>052136</v>
          </cell>
          <cell r="D707" t="str">
            <v>0063</v>
          </cell>
          <cell r="E707" t="str">
            <v>21.23.03364</v>
          </cell>
          <cell r="F707" t="str">
            <v>APOIO ACABAMENTO LATERAL \ 03_0353_00</v>
          </cell>
          <cell r="G707" t="str">
            <v>VMI TECNOLOGIAS LTDA</v>
          </cell>
          <cell r="H707">
            <v>46028</v>
          </cell>
          <cell r="I707" t="str">
            <v>MARCO</v>
          </cell>
          <cell r="J707">
            <v>1</v>
          </cell>
          <cell r="K707">
            <v>25.06728</v>
          </cell>
          <cell r="L707">
            <v>25.07</v>
          </cell>
          <cell r="M707" t="str">
            <v>APROVADO</v>
          </cell>
          <cell r="N707" t="str">
            <v>10</v>
          </cell>
          <cell r="O707">
            <v>46090</v>
          </cell>
          <cell r="P707" t="str">
            <v>PRODUÇÃO DE MARÇO DE 2026</v>
          </cell>
        </row>
        <row r="708">
          <cell r="B708" t="str">
            <v>052136006421.23.03364</v>
          </cell>
          <cell r="C708" t="str">
            <v>052136</v>
          </cell>
          <cell r="D708" t="str">
            <v>0064</v>
          </cell>
          <cell r="E708" t="str">
            <v>21.23.03364</v>
          </cell>
          <cell r="F708" t="str">
            <v>APOIO ACABAMENTO LATERAL \ 03_0353_00</v>
          </cell>
          <cell r="G708" t="str">
            <v>VMI TECNOLOGIAS LTDA</v>
          </cell>
          <cell r="H708">
            <v>46028</v>
          </cell>
          <cell r="I708" t="str">
            <v>MARCO</v>
          </cell>
          <cell r="J708">
            <v>7</v>
          </cell>
          <cell r="K708">
            <v>25.06728</v>
          </cell>
          <cell r="L708">
            <v>175.47</v>
          </cell>
          <cell r="M708" t="str">
            <v>APROVADO</v>
          </cell>
          <cell r="N708" t="str">
            <v>10</v>
          </cell>
          <cell r="O708">
            <v>46090</v>
          </cell>
          <cell r="P708" t="str">
            <v>PRODUÇÃO DE MARÇO DE 2026</v>
          </cell>
        </row>
        <row r="709">
          <cell r="B709" t="str">
            <v>052136006621.23.03377</v>
          </cell>
          <cell r="C709" t="str">
            <v>052136</v>
          </cell>
          <cell r="D709" t="str">
            <v>0066</v>
          </cell>
          <cell r="E709" t="str">
            <v>21.23.03377</v>
          </cell>
          <cell r="F709" t="str">
            <v>FECHAMENTO ACABAMENTO LATERAL \ 03_0366_00</v>
          </cell>
          <cell r="G709" t="str">
            <v>VMI TECNOLOGIAS LTDA</v>
          </cell>
          <cell r="H709">
            <v>46028</v>
          </cell>
          <cell r="I709" t="str">
            <v>MARCO</v>
          </cell>
          <cell r="J709">
            <v>7</v>
          </cell>
          <cell r="K709">
            <v>23.0136</v>
          </cell>
          <cell r="L709">
            <v>161.1</v>
          </cell>
          <cell r="M709" t="str">
            <v>APROVADO</v>
          </cell>
          <cell r="N709" t="str">
            <v>10</v>
          </cell>
          <cell r="O709">
            <v>46090</v>
          </cell>
          <cell r="P709" t="str">
            <v>PRODUÇÃO DE MARÇO DE 2026</v>
          </cell>
        </row>
        <row r="710">
          <cell r="B710" t="str">
            <v>052136006721.23.03381</v>
          </cell>
          <cell r="C710" t="str">
            <v>052136</v>
          </cell>
          <cell r="D710" t="str">
            <v>0067</v>
          </cell>
          <cell r="E710" t="str">
            <v>21.23.03381</v>
          </cell>
          <cell r="F710" t="str">
            <v>FECHAMENTO ACABAMENTO LATERAL \ 03_0370_00</v>
          </cell>
          <cell r="G710" t="str">
            <v>VMI TECNOLOGIAS LTDA</v>
          </cell>
          <cell r="H710">
            <v>46028</v>
          </cell>
          <cell r="I710" t="str">
            <v>MARCO</v>
          </cell>
          <cell r="J710">
            <v>1</v>
          </cell>
          <cell r="K710">
            <v>23.0136</v>
          </cell>
          <cell r="L710">
            <v>23.01</v>
          </cell>
          <cell r="M710" t="str">
            <v>APROVADO</v>
          </cell>
          <cell r="N710" t="str">
            <v>10</v>
          </cell>
          <cell r="O710">
            <v>46090</v>
          </cell>
          <cell r="P710" t="str">
            <v>PRODUÇÃO DE MARÇO DE 2026</v>
          </cell>
        </row>
        <row r="711">
          <cell r="B711" t="str">
            <v>052136006821.23.03381</v>
          </cell>
          <cell r="C711" t="str">
            <v>052136</v>
          </cell>
          <cell r="D711" t="str">
            <v>0068</v>
          </cell>
          <cell r="E711" t="str">
            <v>21.23.03381</v>
          </cell>
          <cell r="F711" t="str">
            <v>FECHAMENTO ACABAMENTO LATERAL \ 03_0370_00</v>
          </cell>
          <cell r="G711" t="str">
            <v>VMI TECNOLOGIAS LTDA</v>
          </cell>
          <cell r="H711">
            <v>46028</v>
          </cell>
          <cell r="I711" t="str">
            <v>MARCO</v>
          </cell>
          <cell r="J711">
            <v>7</v>
          </cell>
          <cell r="K711">
            <v>23.0136</v>
          </cell>
          <cell r="L711">
            <v>161.1</v>
          </cell>
          <cell r="M711" t="str">
            <v>APROVADO</v>
          </cell>
          <cell r="N711" t="str">
            <v>10</v>
          </cell>
          <cell r="O711">
            <v>46090</v>
          </cell>
          <cell r="P711" t="str">
            <v>PRODUÇÃO DE MARÇO DE 2026</v>
          </cell>
        </row>
        <row r="712">
          <cell r="B712" t="str">
            <v>052136006921.23.03385</v>
          </cell>
          <cell r="C712" t="str">
            <v>052136</v>
          </cell>
          <cell r="D712" t="str">
            <v>0069</v>
          </cell>
          <cell r="E712" t="str">
            <v>21.23.03385</v>
          </cell>
          <cell r="F712" t="str">
            <v>FECHAMENTO ACABAMENTO CENTRAL \ 03_0374_00</v>
          </cell>
          <cell r="G712" t="str">
            <v>VMI TECNOLOGIAS LTDA</v>
          </cell>
          <cell r="H712">
            <v>46028</v>
          </cell>
          <cell r="I712" t="str">
            <v>MARCO</v>
          </cell>
          <cell r="J712">
            <v>1</v>
          </cell>
          <cell r="K712">
            <v>34.530720000000002</v>
          </cell>
          <cell r="L712">
            <v>34.53</v>
          </cell>
          <cell r="M712" t="str">
            <v>APROVADO</v>
          </cell>
          <cell r="N712" t="str">
            <v>10</v>
          </cell>
          <cell r="O712">
            <v>46090</v>
          </cell>
          <cell r="P712" t="str">
            <v>PRODUÇÃO DE MARÇO DE 2026</v>
          </cell>
        </row>
        <row r="713">
          <cell r="B713" t="str">
            <v>052136007021.23.03385</v>
          </cell>
          <cell r="C713" t="str">
            <v>052136</v>
          </cell>
          <cell r="D713" t="str">
            <v>0070</v>
          </cell>
          <cell r="E713" t="str">
            <v>21.23.03385</v>
          </cell>
          <cell r="F713" t="str">
            <v>FECHAMENTO ACABAMENTO CENTRAL \ 03_0374_00</v>
          </cell>
          <cell r="G713" t="str">
            <v>VMI TECNOLOGIAS LTDA</v>
          </cell>
          <cell r="H713">
            <v>46028</v>
          </cell>
          <cell r="I713" t="str">
            <v>MARCO</v>
          </cell>
          <cell r="J713">
            <v>3</v>
          </cell>
          <cell r="K713">
            <v>34.530720000000002</v>
          </cell>
          <cell r="L713">
            <v>103.59</v>
          </cell>
          <cell r="M713" t="str">
            <v>APROVADO</v>
          </cell>
          <cell r="N713" t="str">
            <v>10</v>
          </cell>
          <cell r="O713">
            <v>46090</v>
          </cell>
          <cell r="P713" t="str">
            <v>PRODUÇÃO DE MARÇO DE 2026</v>
          </cell>
        </row>
        <row r="714">
          <cell r="B714" t="str">
            <v>052136007121.23.03399</v>
          </cell>
          <cell r="C714" t="str">
            <v>052136</v>
          </cell>
          <cell r="D714" t="str">
            <v>0071</v>
          </cell>
          <cell r="E714" t="str">
            <v>21.23.03399</v>
          </cell>
          <cell r="F714" t="str">
            <v>BASE TUBO SANDT SV \ 03_0401_05</v>
          </cell>
          <cell r="G714" t="str">
            <v>VMI TECNOLOGIAS LTDA</v>
          </cell>
          <cell r="H714">
            <v>46028</v>
          </cell>
          <cell r="I714" t="str">
            <v>MARCO</v>
          </cell>
          <cell r="J714">
            <v>1</v>
          </cell>
          <cell r="K714">
            <v>239.08550399999999</v>
          </cell>
          <cell r="L714">
            <v>239.09</v>
          </cell>
          <cell r="M714" t="str">
            <v>APROVADO</v>
          </cell>
          <cell r="N714" t="str">
            <v>10</v>
          </cell>
          <cell r="O714">
            <v>46090</v>
          </cell>
          <cell r="P714" t="str">
            <v>PRODUÇÃO DE MARÇO DE 2026</v>
          </cell>
        </row>
        <row r="715">
          <cell r="B715" t="str">
            <v>052136007221.23.03399</v>
          </cell>
          <cell r="C715" t="str">
            <v>052136</v>
          </cell>
          <cell r="D715" t="str">
            <v>0072</v>
          </cell>
          <cell r="E715" t="str">
            <v>21.23.03399</v>
          </cell>
          <cell r="F715" t="str">
            <v>BASE TUBO SANDT SV \ 03_0401_05</v>
          </cell>
          <cell r="G715" t="str">
            <v>VMI TECNOLOGIAS LTDA</v>
          </cell>
          <cell r="H715">
            <v>46028</v>
          </cell>
          <cell r="I715" t="str">
            <v>MARCO</v>
          </cell>
          <cell r="J715">
            <v>17</v>
          </cell>
          <cell r="K715">
            <v>239.08550399999999</v>
          </cell>
          <cell r="L715">
            <v>4064.45</v>
          </cell>
          <cell r="M715" t="str">
            <v>APROVADO</v>
          </cell>
          <cell r="N715" t="str">
            <v>10</v>
          </cell>
          <cell r="O715">
            <v>46090</v>
          </cell>
          <cell r="P715" t="str">
            <v>PRODUÇÃO DE MARÇO DE 2026</v>
          </cell>
        </row>
        <row r="716">
          <cell r="B716" t="str">
            <v>052136007321.23.03409</v>
          </cell>
          <cell r="C716" t="str">
            <v>052136</v>
          </cell>
          <cell r="D716" t="str">
            <v>0073</v>
          </cell>
          <cell r="E716" t="str">
            <v>21.23.03409</v>
          </cell>
          <cell r="F716" t="str">
            <v>BASE TUBO SANDT DV \ 03_0418_00</v>
          </cell>
          <cell r="G716" t="str">
            <v>VMI TECNOLOGIAS LTDA</v>
          </cell>
          <cell r="H716">
            <v>46028</v>
          </cell>
          <cell r="I716" t="str">
            <v>MARCO</v>
          </cell>
          <cell r="J716">
            <v>1</v>
          </cell>
          <cell r="K716">
            <v>171.501372</v>
          </cell>
          <cell r="L716">
            <v>171.5</v>
          </cell>
          <cell r="M716" t="str">
            <v>APROVADO</v>
          </cell>
          <cell r="N716" t="str">
            <v>10</v>
          </cell>
          <cell r="O716">
            <v>46090</v>
          </cell>
          <cell r="P716" t="str">
            <v>PRODUÇÃO DE MARÇO DE 2026</v>
          </cell>
        </row>
        <row r="717">
          <cell r="B717" t="str">
            <v>052136007421.23.03409</v>
          </cell>
          <cell r="C717" t="str">
            <v>052136</v>
          </cell>
          <cell r="D717" t="str">
            <v>0074</v>
          </cell>
          <cell r="E717" t="str">
            <v>21.23.03409</v>
          </cell>
          <cell r="F717" t="str">
            <v>BASE TUBO SANDT DV \ 03_0418_00</v>
          </cell>
          <cell r="G717" t="str">
            <v>VMI TECNOLOGIAS LTDA</v>
          </cell>
          <cell r="H717">
            <v>46028</v>
          </cell>
          <cell r="I717" t="str">
            <v>MARCO</v>
          </cell>
          <cell r="J717">
            <v>7</v>
          </cell>
          <cell r="K717">
            <v>171.501372</v>
          </cell>
          <cell r="L717">
            <v>1200.51</v>
          </cell>
          <cell r="M717" t="str">
            <v>APROVADO</v>
          </cell>
          <cell r="N717" t="str">
            <v>10</v>
          </cell>
          <cell r="O717">
            <v>46090</v>
          </cell>
          <cell r="P717" t="str">
            <v>PRODUÇÃO DE MARÇO DE 2026</v>
          </cell>
        </row>
        <row r="718">
          <cell r="B718" t="str">
            <v>052136007521.23.03427</v>
          </cell>
          <cell r="C718" t="str">
            <v>052136</v>
          </cell>
          <cell r="D718" t="str">
            <v>0075</v>
          </cell>
          <cell r="E718" t="str">
            <v>21.23.03427</v>
          </cell>
          <cell r="F718" t="str">
            <v>APOIO DOS ACABAMENTOS LATERAIS \ 03_0108_00</v>
          </cell>
          <cell r="G718" t="str">
            <v>VMI TECNOLOGIAS LTDA</v>
          </cell>
          <cell r="H718">
            <v>46028</v>
          </cell>
          <cell r="I718" t="str">
            <v>MARCO</v>
          </cell>
          <cell r="J718">
            <v>4</v>
          </cell>
          <cell r="K718">
            <v>24.251999999999999</v>
          </cell>
          <cell r="L718">
            <v>97.01</v>
          </cell>
          <cell r="M718" t="str">
            <v>APROVADO</v>
          </cell>
          <cell r="N718" t="str">
            <v>10</v>
          </cell>
          <cell r="O718">
            <v>46090</v>
          </cell>
          <cell r="P718" t="str">
            <v>PRODUÇÃO DE MARÇO DE 2026</v>
          </cell>
        </row>
        <row r="719">
          <cell r="B719" t="str">
            <v>052136007621.23.03427</v>
          </cell>
          <cell r="C719" t="str">
            <v>052136</v>
          </cell>
          <cell r="D719" t="str">
            <v>0076</v>
          </cell>
          <cell r="E719" t="str">
            <v>21.23.03427</v>
          </cell>
          <cell r="F719" t="str">
            <v>APOIO DOS ACABAMENTOS LATERAIS \ 03_0108_00</v>
          </cell>
          <cell r="G719" t="str">
            <v>VMI TECNOLOGIAS LTDA</v>
          </cell>
          <cell r="H719">
            <v>46028</v>
          </cell>
          <cell r="I719" t="str">
            <v>MARCO</v>
          </cell>
          <cell r="J719">
            <v>68</v>
          </cell>
          <cell r="K719">
            <v>24.251999999999999</v>
          </cell>
          <cell r="L719">
            <v>1649.14</v>
          </cell>
          <cell r="M719" t="str">
            <v>APROVADO</v>
          </cell>
          <cell r="N719" t="str">
            <v>10</v>
          </cell>
          <cell r="O719">
            <v>46090</v>
          </cell>
          <cell r="P719" t="str">
            <v>PRODUÇÃO DE MARÇO DE 2026</v>
          </cell>
        </row>
        <row r="720">
          <cell r="B720" t="str">
            <v>052136007721.23.04134</v>
          </cell>
          <cell r="C720" t="str">
            <v>052136</v>
          </cell>
          <cell r="D720" t="str">
            <v>0077</v>
          </cell>
          <cell r="E720" t="str">
            <v>21.23.04134</v>
          </cell>
          <cell r="F720" t="str">
            <v>CHAPA FECHAMENTO SUPERIOR TUNEL / 03_0392_00</v>
          </cell>
          <cell r="G720" t="str">
            <v>VMI TECNOLOGIAS LTDA</v>
          </cell>
          <cell r="H720">
            <v>46028</v>
          </cell>
          <cell r="I720" t="str">
            <v>MARCO</v>
          </cell>
          <cell r="J720">
            <v>8</v>
          </cell>
          <cell r="K720">
            <v>30.145752000000002</v>
          </cell>
          <cell r="L720">
            <v>241.17</v>
          </cell>
          <cell r="M720" t="str">
            <v>APROVADO</v>
          </cell>
          <cell r="N720" t="str">
            <v>10</v>
          </cell>
          <cell r="O720">
            <v>46090</v>
          </cell>
          <cell r="P720" t="str">
            <v>PRODUÇÃO DE MARÇO DE 2026</v>
          </cell>
        </row>
        <row r="721">
          <cell r="B721" t="str">
            <v>052136007821.23.04135</v>
          </cell>
          <cell r="C721" t="str">
            <v>052136</v>
          </cell>
          <cell r="D721" t="str">
            <v>0078</v>
          </cell>
          <cell r="E721" t="str">
            <v>21.23.04135</v>
          </cell>
          <cell r="F721" t="str">
            <v>CHAPA FECHAMENTO LATERAL TUNEL / 03_0396_00</v>
          </cell>
          <cell r="G721" t="str">
            <v>VMI TECNOLOGIAS LTDA</v>
          </cell>
          <cell r="H721">
            <v>46028</v>
          </cell>
          <cell r="I721" t="str">
            <v>MARCO</v>
          </cell>
          <cell r="J721">
            <v>20</v>
          </cell>
          <cell r="K721">
            <v>20.837627999999999</v>
          </cell>
          <cell r="L721">
            <v>416.75</v>
          </cell>
          <cell r="M721" t="str">
            <v>APROVADO</v>
          </cell>
          <cell r="N721" t="str">
            <v>10</v>
          </cell>
          <cell r="O721">
            <v>46090</v>
          </cell>
          <cell r="P721" t="str">
            <v>PRODUÇÃO DE MARÇO DE 2026</v>
          </cell>
        </row>
        <row r="722">
          <cell r="B722" t="str">
            <v>052136007921.23.04268</v>
          </cell>
          <cell r="C722" t="str">
            <v>052136</v>
          </cell>
          <cell r="D722" t="str">
            <v>0079</v>
          </cell>
          <cell r="E722" t="str">
            <v>21.23.04268</v>
          </cell>
          <cell r="F722" t="str">
            <v>FECHAMENTO INFERIOR 5333 04 / AA_9084_00</v>
          </cell>
          <cell r="G722" t="str">
            <v>VMI TECNOLOGIAS LTDA</v>
          </cell>
          <cell r="H722">
            <v>46028</v>
          </cell>
          <cell r="I722" t="str">
            <v>MARCO</v>
          </cell>
          <cell r="J722">
            <v>20</v>
          </cell>
          <cell r="K722">
            <v>41.566896</v>
          </cell>
          <cell r="L722">
            <v>831.34</v>
          </cell>
          <cell r="M722" t="str">
            <v>APROVADO</v>
          </cell>
          <cell r="N722" t="str">
            <v>10</v>
          </cell>
          <cell r="O722">
            <v>46090</v>
          </cell>
          <cell r="P722" t="str">
            <v>PRODUÇÃO DE MARÇO DE 2026</v>
          </cell>
        </row>
        <row r="723">
          <cell r="B723" t="str">
            <v>052136008021.23.04451</v>
          </cell>
          <cell r="C723" t="str">
            <v>052136</v>
          </cell>
          <cell r="D723" t="str">
            <v>0080</v>
          </cell>
          <cell r="E723" t="str">
            <v>21.23.04451</v>
          </cell>
          <cell r="F723" t="str">
            <v>SUPORTE PLACA DE LED 01 / 03_0702_00</v>
          </cell>
          <cell r="G723" t="str">
            <v>VMI TECNOLOGIAS LTDA</v>
          </cell>
          <cell r="H723">
            <v>46028</v>
          </cell>
          <cell r="I723" t="str">
            <v>MARCO</v>
          </cell>
          <cell r="J723">
            <v>88</v>
          </cell>
          <cell r="K723">
            <v>8.9887200000000007</v>
          </cell>
          <cell r="L723">
            <v>791.01</v>
          </cell>
          <cell r="M723" t="str">
            <v>APROVADO</v>
          </cell>
          <cell r="N723" t="str">
            <v>10</v>
          </cell>
          <cell r="O723">
            <v>46090</v>
          </cell>
          <cell r="P723" t="str">
            <v>PRODUÇÃO DE MARÇO DE 2026</v>
          </cell>
        </row>
        <row r="724">
          <cell r="B724" t="str">
            <v>052136008121.23.04452</v>
          </cell>
          <cell r="C724" t="str">
            <v>052136</v>
          </cell>
          <cell r="D724" t="str">
            <v>0081</v>
          </cell>
          <cell r="E724" t="str">
            <v>21.23.04452</v>
          </cell>
          <cell r="F724" t="str">
            <v>SUPORTE PLACA DE LED 02 / 03_0704_00</v>
          </cell>
          <cell r="G724" t="str">
            <v>VMI TECNOLOGIAS LTDA</v>
          </cell>
          <cell r="H724">
            <v>46028</v>
          </cell>
          <cell r="I724" t="str">
            <v>MARCO</v>
          </cell>
          <cell r="J724">
            <v>4</v>
          </cell>
          <cell r="K724">
            <v>8.9887200000000007</v>
          </cell>
          <cell r="L724">
            <v>35.950000000000003</v>
          </cell>
          <cell r="M724" t="str">
            <v>APROVADO</v>
          </cell>
          <cell r="N724" t="str">
            <v>10</v>
          </cell>
          <cell r="O724">
            <v>46090</v>
          </cell>
          <cell r="P724" t="str">
            <v>PRODUÇÃO DE MARÇO DE 2026</v>
          </cell>
        </row>
        <row r="725">
          <cell r="B725" t="str">
            <v>052136008221.23.04452</v>
          </cell>
          <cell r="C725" t="str">
            <v>052136</v>
          </cell>
          <cell r="D725" t="str">
            <v>0082</v>
          </cell>
          <cell r="E725" t="str">
            <v>21.23.04452</v>
          </cell>
          <cell r="F725" t="str">
            <v>SUPORTE PLACA DE LED 02 / 03_0704_00</v>
          </cell>
          <cell r="G725" t="str">
            <v>VMI TECNOLOGIAS LTDA</v>
          </cell>
          <cell r="H725">
            <v>46028</v>
          </cell>
          <cell r="I725" t="str">
            <v>MARCO</v>
          </cell>
          <cell r="J725">
            <v>68</v>
          </cell>
          <cell r="K725">
            <v>8.9887200000000007</v>
          </cell>
          <cell r="L725">
            <v>611.23</v>
          </cell>
          <cell r="M725" t="str">
            <v>APROVADO</v>
          </cell>
          <cell r="N725" t="str">
            <v>10</v>
          </cell>
          <cell r="O725">
            <v>46090</v>
          </cell>
          <cell r="P725" t="str">
            <v>PRODUÇÃO DE MARÇO DE 2026</v>
          </cell>
        </row>
        <row r="726">
          <cell r="B726" t="str">
            <v>052136008321.23.04492</v>
          </cell>
          <cell r="C726" t="str">
            <v>052136</v>
          </cell>
          <cell r="D726" t="str">
            <v>0083</v>
          </cell>
          <cell r="E726" t="str">
            <v>21.23.04492</v>
          </cell>
          <cell r="F726" t="str">
            <v>REFORCO ESTEIRA BODYSCAN / AA_10044_03</v>
          </cell>
          <cell r="G726" t="str">
            <v>VMI TECNOLOGIAS LTDA</v>
          </cell>
          <cell r="H726">
            <v>46028</v>
          </cell>
          <cell r="I726" t="str">
            <v>MARCO</v>
          </cell>
          <cell r="J726">
            <v>32</v>
          </cell>
          <cell r="K726">
            <v>196.24511999999999</v>
          </cell>
          <cell r="L726">
            <v>6279.84</v>
          </cell>
          <cell r="M726" t="str">
            <v>APROVADO</v>
          </cell>
          <cell r="N726" t="str">
            <v>10</v>
          </cell>
          <cell r="O726">
            <v>46090</v>
          </cell>
          <cell r="P726" t="str">
            <v>PRODUÇÃO DE MARÇO DE 2026</v>
          </cell>
        </row>
        <row r="727">
          <cell r="B727" t="str">
            <v>052136008421.23.04493</v>
          </cell>
          <cell r="C727" t="str">
            <v>052136</v>
          </cell>
          <cell r="D727" t="str">
            <v>0084</v>
          </cell>
          <cell r="E727" t="str">
            <v>21.23.04493</v>
          </cell>
          <cell r="F727" t="str">
            <v>REFORCO ESTEIRA BODYSCAN / AA_10045_03</v>
          </cell>
          <cell r="G727" t="str">
            <v>VMI TECNOLOGIAS LTDA</v>
          </cell>
          <cell r="H727">
            <v>46028</v>
          </cell>
          <cell r="I727" t="str">
            <v>MARCO</v>
          </cell>
          <cell r="J727">
            <v>32</v>
          </cell>
          <cell r="K727">
            <v>196.24511999999999</v>
          </cell>
          <cell r="L727">
            <v>6279.84</v>
          </cell>
          <cell r="M727" t="str">
            <v>APROVADO</v>
          </cell>
          <cell r="N727" t="str">
            <v>10</v>
          </cell>
          <cell r="O727">
            <v>46090</v>
          </cell>
          <cell r="P727" t="str">
            <v>PRODUÇÃO DE MARÇO DE 2026</v>
          </cell>
        </row>
        <row r="728">
          <cell r="B728" t="str">
            <v>052136008521.23.04568</v>
          </cell>
          <cell r="C728" t="str">
            <v>052136</v>
          </cell>
          <cell r="D728" t="str">
            <v>0085</v>
          </cell>
          <cell r="E728" t="str">
            <v>21.23.04568</v>
          </cell>
          <cell r="F728" t="str">
            <v>REFORCO INFERIOR / AA_10140_00</v>
          </cell>
          <cell r="G728" t="str">
            <v>VMI TECNOLOGIAS LTDA</v>
          </cell>
          <cell r="H728">
            <v>46028</v>
          </cell>
          <cell r="I728" t="str">
            <v>MARCO</v>
          </cell>
          <cell r="J728">
            <v>10</v>
          </cell>
          <cell r="K728">
            <v>5.8823999999999996</v>
          </cell>
          <cell r="L728">
            <v>58.82</v>
          </cell>
          <cell r="M728" t="str">
            <v>APROVADO</v>
          </cell>
          <cell r="N728" t="str">
            <v>10</v>
          </cell>
          <cell r="O728">
            <v>46090</v>
          </cell>
          <cell r="P728" t="str">
            <v>PRODUÇÃO DE MARÇO DE 2026</v>
          </cell>
        </row>
        <row r="729">
          <cell r="B729" t="str">
            <v>052136008621.23.04569</v>
          </cell>
          <cell r="C729" t="str">
            <v>052136</v>
          </cell>
          <cell r="D729" t="str">
            <v>0086</v>
          </cell>
          <cell r="E729" t="str">
            <v>21.23.04569</v>
          </cell>
          <cell r="F729" t="str">
            <v>LIMITADOR / AA_10139_00</v>
          </cell>
          <cell r="G729" t="str">
            <v>VMI TECNOLOGIAS LTDA</v>
          </cell>
          <cell r="H729">
            <v>46028</v>
          </cell>
          <cell r="I729" t="str">
            <v>MARCO</v>
          </cell>
          <cell r="J729">
            <v>20</v>
          </cell>
          <cell r="K729">
            <v>7.1208</v>
          </cell>
          <cell r="L729">
            <v>142.41999999999999</v>
          </cell>
          <cell r="M729" t="str">
            <v>APROVADO</v>
          </cell>
          <cell r="N729" t="str">
            <v>10</v>
          </cell>
          <cell r="O729">
            <v>46090</v>
          </cell>
          <cell r="P729" t="str">
            <v>PRODUÇÃO DE MARÇO DE 2026</v>
          </cell>
        </row>
        <row r="730">
          <cell r="B730" t="str">
            <v>052136008921.23.04692</v>
          </cell>
          <cell r="C730" t="str">
            <v>052136</v>
          </cell>
          <cell r="D730" t="str">
            <v>0089</v>
          </cell>
          <cell r="E730" t="str">
            <v>21.23.04692</v>
          </cell>
          <cell r="F730" t="str">
            <v>SUPORTE CPU 1 / AA_ 8300_03</v>
          </cell>
          <cell r="G730" t="str">
            <v>VMI TECNOLOGIAS LTDA</v>
          </cell>
          <cell r="H730">
            <v>46028</v>
          </cell>
          <cell r="I730" t="str">
            <v>MARCO</v>
          </cell>
          <cell r="J730">
            <v>20</v>
          </cell>
          <cell r="K730">
            <v>36.303668000000002</v>
          </cell>
          <cell r="L730">
            <v>726.07</v>
          </cell>
          <cell r="M730" t="str">
            <v>APROVADO</v>
          </cell>
          <cell r="N730" t="str">
            <v>10</v>
          </cell>
          <cell r="O730">
            <v>46090</v>
          </cell>
          <cell r="P730" t="str">
            <v>PRODUÇÃO DE MARÇO DE 2026</v>
          </cell>
        </row>
        <row r="731">
          <cell r="B731" t="str">
            <v>052136009021.23.04693</v>
          </cell>
          <cell r="C731" t="str">
            <v>052136</v>
          </cell>
          <cell r="D731" t="str">
            <v>0090</v>
          </cell>
          <cell r="E731" t="str">
            <v>21.23.04693</v>
          </cell>
          <cell r="F731" t="str">
            <v>SUPORTE CPU 2 / AA_ 8302_01</v>
          </cell>
          <cell r="G731" t="str">
            <v>VMI TECNOLOGIAS LTDA</v>
          </cell>
          <cell r="H731">
            <v>46028</v>
          </cell>
          <cell r="I731" t="str">
            <v>MARCO</v>
          </cell>
          <cell r="J731">
            <v>20</v>
          </cell>
          <cell r="K731">
            <v>36.070715999999997</v>
          </cell>
          <cell r="L731">
            <v>721.41</v>
          </cell>
          <cell r="M731" t="str">
            <v>APROVADO</v>
          </cell>
          <cell r="N731" t="str">
            <v>10</v>
          </cell>
          <cell r="O731">
            <v>46090</v>
          </cell>
          <cell r="P731" t="str">
            <v>PRODUÇÃO DE MARÇO DE 2026</v>
          </cell>
        </row>
        <row r="732">
          <cell r="B732" t="str">
            <v>052136009221.23.04752</v>
          </cell>
          <cell r="C732" t="str">
            <v>052136</v>
          </cell>
          <cell r="D732" t="str">
            <v>0092</v>
          </cell>
          <cell r="E732" t="str">
            <v>21.23.04752</v>
          </cell>
          <cell r="F732" t="str">
            <v>FECHAMENTO INF. DA ESTEIRA / AA_8485_00</v>
          </cell>
          <cell r="G732" t="str">
            <v>VMI TECNOLOGIAS LTDA</v>
          </cell>
          <cell r="H732">
            <v>46028</v>
          </cell>
          <cell r="I732" t="str">
            <v>MARCO</v>
          </cell>
          <cell r="J732">
            <v>54</v>
          </cell>
          <cell r="K732">
            <v>40.949244</v>
          </cell>
          <cell r="L732">
            <v>2211.2600000000002</v>
          </cell>
          <cell r="M732" t="str">
            <v>APROVADO</v>
          </cell>
          <cell r="N732" t="str">
            <v>10</v>
          </cell>
          <cell r="O732">
            <v>46090</v>
          </cell>
          <cell r="P732" t="str">
            <v>PRODUÇÃO DE MARÇO DE 2026</v>
          </cell>
        </row>
        <row r="733">
          <cell r="B733" t="str">
            <v>052136009333.02.10000.00</v>
          </cell>
          <cell r="C733" t="str">
            <v>052136</v>
          </cell>
          <cell r="D733" t="str">
            <v>0093</v>
          </cell>
          <cell r="E733" t="str">
            <v>33.02.10000.00</v>
          </cell>
          <cell r="F733" t="str">
            <v>SUPORTE MONTAGEM INDUTOR E FILTRO / 33.02.1000.00</v>
          </cell>
          <cell r="G733" t="str">
            <v>VMI TECNOLOGIAS LTDA</v>
          </cell>
          <cell r="H733">
            <v>46028</v>
          </cell>
          <cell r="I733" t="str">
            <v>MARCO</v>
          </cell>
          <cell r="J733">
            <v>20</v>
          </cell>
          <cell r="K733">
            <v>16.305599999999998</v>
          </cell>
          <cell r="L733">
            <v>326.11</v>
          </cell>
          <cell r="M733" t="str">
            <v>APROVADO</v>
          </cell>
          <cell r="N733" t="str">
            <v>10</v>
          </cell>
          <cell r="O733">
            <v>46090</v>
          </cell>
          <cell r="P733" t="str">
            <v>PRODUÇÃO DE MARÇO DE 2026</v>
          </cell>
        </row>
        <row r="734">
          <cell r="B734" t="str">
            <v>052136009433.02.10005.02</v>
          </cell>
          <cell r="C734" t="str">
            <v>052136</v>
          </cell>
          <cell r="D734" t="str">
            <v>0094</v>
          </cell>
          <cell r="E734" t="str">
            <v>33.02.10005.02</v>
          </cell>
          <cell r="F734" t="str">
            <v>CHAPA TAMPA INFERIOR CAIXA L 5333 / 33.02.10005.02</v>
          </cell>
          <cell r="G734" t="str">
            <v>VMI TECNOLOGIAS LTDA</v>
          </cell>
          <cell r="H734">
            <v>46028</v>
          </cell>
          <cell r="I734" t="str">
            <v>MARCO</v>
          </cell>
          <cell r="J734">
            <v>12</v>
          </cell>
          <cell r="K734">
            <v>54.262560000000001</v>
          </cell>
          <cell r="L734">
            <v>651.15</v>
          </cell>
          <cell r="M734" t="str">
            <v>APROVADO</v>
          </cell>
          <cell r="N734" t="str">
            <v>10</v>
          </cell>
          <cell r="O734">
            <v>46090</v>
          </cell>
          <cell r="P734" t="str">
            <v>PRODUÇÃO DE MARÇO DE 2026</v>
          </cell>
        </row>
        <row r="735">
          <cell r="B735" t="str">
            <v>052136009533.02.10006.03</v>
          </cell>
          <cell r="C735" t="str">
            <v>052136</v>
          </cell>
          <cell r="D735" t="str">
            <v>0095</v>
          </cell>
          <cell r="E735" t="str">
            <v>33.02.10006.03</v>
          </cell>
          <cell r="F735" t="str">
            <v>CHAPA TAMPA VERTICAL CAIXA L 5333 / 33.02.10006.03</v>
          </cell>
          <cell r="G735" t="str">
            <v>VMI TECNOLOGIAS LTDA</v>
          </cell>
          <cell r="H735">
            <v>46028</v>
          </cell>
          <cell r="I735" t="str">
            <v>MARCO</v>
          </cell>
          <cell r="J735">
            <v>20</v>
          </cell>
          <cell r="K735">
            <v>38.328479999999999</v>
          </cell>
          <cell r="L735">
            <v>766.57</v>
          </cell>
          <cell r="M735" t="str">
            <v>APROVADO</v>
          </cell>
          <cell r="N735" t="str">
            <v>10</v>
          </cell>
          <cell r="O735">
            <v>46090</v>
          </cell>
          <cell r="P735" t="str">
            <v>PRODUÇÃO DE MARÇO DE 2026</v>
          </cell>
        </row>
        <row r="736">
          <cell r="B736" t="str">
            <v>052136009633.02.10007.01</v>
          </cell>
          <cell r="C736" t="str">
            <v>052136</v>
          </cell>
          <cell r="D736" t="str">
            <v>0096</v>
          </cell>
          <cell r="E736" t="str">
            <v>33.02.10007.01</v>
          </cell>
          <cell r="F736" t="str">
            <v>CHAPA SUPORTE SENSOR CAIXA L 5333 VMI / 33.02.10007.01</v>
          </cell>
          <cell r="G736" t="str">
            <v>VMI TECNOLOGIAS LTDA</v>
          </cell>
          <cell r="H736">
            <v>46028</v>
          </cell>
          <cell r="I736" t="str">
            <v>MARCO</v>
          </cell>
          <cell r="J736">
            <v>133</v>
          </cell>
          <cell r="K736">
            <v>13.02384</v>
          </cell>
          <cell r="L736">
            <v>2083.81</v>
          </cell>
          <cell r="M736" t="str">
            <v>APROVADO</v>
          </cell>
          <cell r="N736" t="str">
            <v>10</v>
          </cell>
          <cell r="O736">
            <v>46090</v>
          </cell>
          <cell r="P736" t="str">
            <v>PRODUÇÃO DE MARÇO DE 2026</v>
          </cell>
        </row>
        <row r="737">
          <cell r="B737" t="str">
            <v>052136009733.02.10009.03</v>
          </cell>
          <cell r="C737" t="str">
            <v>052136</v>
          </cell>
          <cell r="D737" t="str">
            <v>0097</v>
          </cell>
          <cell r="E737" t="str">
            <v>33.02.10009.03</v>
          </cell>
          <cell r="F737" t="str">
            <v>CAIXA L 5333 VMI / 33.02.10009.03</v>
          </cell>
          <cell r="G737" t="str">
            <v>VMI TECNOLOGIAS LTDA</v>
          </cell>
          <cell r="H737">
            <v>46028</v>
          </cell>
          <cell r="I737" t="str">
            <v>MARCO</v>
          </cell>
          <cell r="J737">
            <v>20</v>
          </cell>
          <cell r="K737">
            <v>453.12024000000002</v>
          </cell>
          <cell r="L737">
            <v>9062.4</v>
          </cell>
          <cell r="M737" t="str">
            <v>APROVADO</v>
          </cell>
          <cell r="N737" t="str">
            <v>10</v>
          </cell>
          <cell r="O737">
            <v>46090</v>
          </cell>
          <cell r="P737" t="str">
            <v>PRODUÇÃO DE MARÇO DE 2026</v>
          </cell>
        </row>
        <row r="738">
          <cell r="B738" t="str">
            <v>052136009833.02.10021.00</v>
          </cell>
          <cell r="C738" t="str">
            <v>052136</v>
          </cell>
          <cell r="D738" t="str">
            <v>0098</v>
          </cell>
          <cell r="E738" t="str">
            <v>33.02.10021.00</v>
          </cell>
          <cell r="F738" t="str">
            <v>ESPACADOR TRAVA DA MOPOLIA / 33.02.10021.00</v>
          </cell>
          <cell r="G738" t="str">
            <v>VMI TECNOLOGIAS LTDA</v>
          </cell>
          <cell r="H738">
            <v>46028</v>
          </cell>
          <cell r="I738" t="str">
            <v>MARCO</v>
          </cell>
          <cell r="J738">
            <v>39</v>
          </cell>
          <cell r="K738">
            <v>6.6531710000000004</v>
          </cell>
          <cell r="L738">
            <v>259.47000000000003</v>
          </cell>
          <cell r="M738" t="str">
            <v>APROVADO</v>
          </cell>
          <cell r="N738" t="str">
            <v>10</v>
          </cell>
          <cell r="O738">
            <v>46090</v>
          </cell>
          <cell r="P738" t="str">
            <v>PRODUÇÃO DE MARÇO DE 2026</v>
          </cell>
        </row>
        <row r="739">
          <cell r="B739" t="str">
            <v>052136009933.02.10027.00</v>
          </cell>
          <cell r="C739" t="str">
            <v>052136</v>
          </cell>
          <cell r="D739" t="str">
            <v>0099</v>
          </cell>
          <cell r="E739" t="str">
            <v>33.02.10027.00</v>
          </cell>
          <cell r="F739" t="str">
            <v>ESPACADOR TRAVA DA ESTICADOR / 33.02.10027.00</v>
          </cell>
          <cell r="G739" t="str">
            <v>VMI TECNOLOGIAS LTDA</v>
          </cell>
          <cell r="H739">
            <v>46028</v>
          </cell>
          <cell r="I739" t="str">
            <v>MARCO</v>
          </cell>
          <cell r="J739">
            <v>31</v>
          </cell>
          <cell r="K739">
            <v>6.1917220000000004</v>
          </cell>
          <cell r="L739">
            <v>191.94</v>
          </cell>
          <cell r="M739" t="str">
            <v>APROVADO</v>
          </cell>
          <cell r="N739" t="str">
            <v>10</v>
          </cell>
          <cell r="O739">
            <v>46090</v>
          </cell>
          <cell r="P739" t="str">
            <v>PRODUÇÃO DE MARÇO DE 2026</v>
          </cell>
        </row>
        <row r="740">
          <cell r="B740" t="str">
            <v>052136010033.02.10028.00</v>
          </cell>
          <cell r="C740" t="str">
            <v>052136</v>
          </cell>
          <cell r="D740" t="str">
            <v>0100</v>
          </cell>
          <cell r="E740" t="str">
            <v>33.02.10028.00</v>
          </cell>
          <cell r="F740" t="str">
            <v>SUPORTE DO ACABAMENTO LADO MOTOPOLIA ESQUERDO / 33.02.10028.00</v>
          </cell>
          <cell r="G740" t="str">
            <v>VMI TECNOLOGIAS LTDA</v>
          </cell>
          <cell r="H740">
            <v>46028</v>
          </cell>
          <cell r="I740" t="str">
            <v>MARCO</v>
          </cell>
          <cell r="J740">
            <v>16</v>
          </cell>
          <cell r="K740">
            <v>18.562068</v>
          </cell>
          <cell r="L740">
            <v>296.99</v>
          </cell>
          <cell r="M740" t="str">
            <v>APROVADO</v>
          </cell>
          <cell r="N740" t="str">
            <v>10</v>
          </cell>
          <cell r="O740">
            <v>46090</v>
          </cell>
          <cell r="P740" t="str">
            <v>PRODUÇÃO DE MARÇO DE 2026</v>
          </cell>
        </row>
        <row r="741">
          <cell r="B741" t="str">
            <v>052136010133.02.10032.00</v>
          </cell>
          <cell r="C741" t="str">
            <v>052136</v>
          </cell>
          <cell r="D741" t="str">
            <v>0101</v>
          </cell>
          <cell r="E741" t="str">
            <v>33.02.10032.00</v>
          </cell>
          <cell r="F741" t="str">
            <v>SUPORTE DO ACABABAMENTO LADO ROLETE / 33.02.10032.00</v>
          </cell>
          <cell r="G741" t="str">
            <v>VMI TECNOLOGIAS LTDA</v>
          </cell>
          <cell r="H741">
            <v>46028</v>
          </cell>
          <cell r="I741" t="str">
            <v>MARCO</v>
          </cell>
          <cell r="J741">
            <v>31</v>
          </cell>
          <cell r="K741">
            <v>18.576000000000001</v>
          </cell>
          <cell r="L741">
            <v>575.86</v>
          </cell>
          <cell r="M741" t="str">
            <v>APROVADO</v>
          </cell>
          <cell r="N741" t="str">
            <v>10</v>
          </cell>
          <cell r="O741">
            <v>46090</v>
          </cell>
          <cell r="P741" t="str">
            <v>PRODUÇÃO DE MARÇO DE 2026</v>
          </cell>
        </row>
        <row r="742">
          <cell r="B742" t="str">
            <v>052136010233.02.10047.00</v>
          </cell>
          <cell r="C742" t="str">
            <v>052136</v>
          </cell>
          <cell r="D742" t="str">
            <v>0102</v>
          </cell>
          <cell r="E742" t="str">
            <v>33.02.10047.00</v>
          </cell>
          <cell r="F742" t="str">
            <v>BASE DO TRANSFORMADOR / 33.02.10047.00</v>
          </cell>
          <cell r="G742" t="str">
            <v>VMI TECNOLOGIAS LTDA</v>
          </cell>
          <cell r="H742">
            <v>46028</v>
          </cell>
          <cell r="I742" t="str">
            <v>MARCO</v>
          </cell>
          <cell r="J742">
            <v>19</v>
          </cell>
          <cell r="K742">
            <v>51.160961</v>
          </cell>
          <cell r="L742">
            <v>972.06</v>
          </cell>
          <cell r="M742" t="str">
            <v>APROVADO</v>
          </cell>
          <cell r="N742" t="str">
            <v>10</v>
          </cell>
          <cell r="O742">
            <v>46090</v>
          </cell>
          <cell r="P742" t="str">
            <v>PRODUÇÃO DE MARÇO DE 2026</v>
          </cell>
        </row>
        <row r="743">
          <cell r="B743" t="str">
            <v>052136010333.02.10053.02</v>
          </cell>
          <cell r="C743" t="str">
            <v>052136</v>
          </cell>
          <cell r="D743" t="str">
            <v>0103</v>
          </cell>
          <cell r="E743" t="str">
            <v>33.02.10053.02</v>
          </cell>
          <cell r="F743" t="str">
            <v>SUPORTE CORTINA PLUMBIFERA / 33.02.10053.02</v>
          </cell>
          <cell r="G743" t="str">
            <v>VMI TECNOLOGIAS LTDA</v>
          </cell>
          <cell r="H743">
            <v>46028</v>
          </cell>
          <cell r="I743" t="str">
            <v>MARCO</v>
          </cell>
          <cell r="J743">
            <v>10</v>
          </cell>
          <cell r="K743">
            <v>95.191680000000005</v>
          </cell>
          <cell r="L743">
            <v>951.92</v>
          </cell>
          <cell r="M743" t="str">
            <v>APROVADO</v>
          </cell>
          <cell r="N743" t="str">
            <v>10</v>
          </cell>
          <cell r="O743">
            <v>46090</v>
          </cell>
          <cell r="P743" t="str">
            <v>PRODUÇÃO DE MARÇO DE 2026</v>
          </cell>
        </row>
        <row r="744">
          <cell r="B744" t="str">
            <v>052136010433.02.10053.02</v>
          </cell>
          <cell r="C744" t="str">
            <v>052136</v>
          </cell>
          <cell r="D744" t="str">
            <v>0104</v>
          </cell>
          <cell r="E744" t="str">
            <v>33.02.10053.02</v>
          </cell>
          <cell r="F744" t="str">
            <v>SUPORTE CORTINA PLUMBIFERA / 33.02.10053.02</v>
          </cell>
          <cell r="G744" t="str">
            <v>VMI TECNOLOGIAS LTDA</v>
          </cell>
          <cell r="H744">
            <v>46028</v>
          </cell>
          <cell r="I744" t="str">
            <v>MARCO</v>
          </cell>
          <cell r="J744">
            <v>19</v>
          </cell>
          <cell r="K744">
            <v>95.191680000000005</v>
          </cell>
          <cell r="L744">
            <v>1808.64</v>
          </cell>
          <cell r="M744" t="str">
            <v>APROVADO</v>
          </cell>
          <cell r="N744" t="str">
            <v>10</v>
          </cell>
          <cell r="O744">
            <v>46090</v>
          </cell>
          <cell r="P744" t="str">
            <v>PRODUÇÃO DE MARÇO DE 2026</v>
          </cell>
        </row>
        <row r="745">
          <cell r="B745" t="str">
            <v>052136010633.02.10056.00</v>
          </cell>
          <cell r="C745" t="str">
            <v>052136</v>
          </cell>
          <cell r="D745" t="str">
            <v>0106</v>
          </cell>
          <cell r="E745" t="str">
            <v>33.02.10056.00</v>
          </cell>
          <cell r="F745" t="str">
            <v>DISTANCIADOR DOBRADICA / 33.02.10056.00</v>
          </cell>
          <cell r="G745" t="str">
            <v>VMI TECNOLOGIAS LTDA</v>
          </cell>
          <cell r="H745">
            <v>46028</v>
          </cell>
          <cell r="I745" t="str">
            <v>MARCO</v>
          </cell>
          <cell r="J745">
            <v>36</v>
          </cell>
          <cell r="K745">
            <v>3.0134400000000001</v>
          </cell>
          <cell r="L745">
            <v>108.48</v>
          </cell>
          <cell r="M745" t="str">
            <v>APROVADO</v>
          </cell>
          <cell r="N745" t="str">
            <v>10</v>
          </cell>
          <cell r="O745">
            <v>46090</v>
          </cell>
          <cell r="P745" t="str">
            <v>PRODUÇÃO DE MARÇO DE 2026</v>
          </cell>
        </row>
        <row r="746">
          <cell r="B746" t="str">
            <v>052136010733.02.10063.00</v>
          </cell>
          <cell r="C746" t="str">
            <v>052136</v>
          </cell>
          <cell r="D746" t="str">
            <v>0107</v>
          </cell>
          <cell r="E746" t="str">
            <v>33.02.10063.00</v>
          </cell>
          <cell r="F746" t="str">
            <v>CHAPA TRAVAMENTO SUP. 5333 / 33.02.10063.00</v>
          </cell>
          <cell r="G746" t="str">
            <v>VMI TECNOLOGIAS LTDA</v>
          </cell>
          <cell r="H746">
            <v>46028</v>
          </cell>
          <cell r="I746" t="str">
            <v>MARCO</v>
          </cell>
          <cell r="J746">
            <v>40</v>
          </cell>
          <cell r="K746">
            <v>26.212800000000001</v>
          </cell>
          <cell r="L746">
            <v>1048.51</v>
          </cell>
          <cell r="M746" t="str">
            <v>APROVADO</v>
          </cell>
          <cell r="N746" t="str">
            <v>10</v>
          </cell>
          <cell r="O746">
            <v>46090</v>
          </cell>
          <cell r="P746" t="str">
            <v>PRODUÇÃO DE MARÇO DE 2026</v>
          </cell>
        </row>
        <row r="747">
          <cell r="B747" t="str">
            <v>052136010833.02.10070.00</v>
          </cell>
          <cell r="C747" t="str">
            <v>052136</v>
          </cell>
          <cell r="D747" t="str">
            <v>0108</v>
          </cell>
          <cell r="E747" t="str">
            <v>33.02.10070.00</v>
          </cell>
          <cell r="F747" t="str">
            <v>CHAPA TRAVAMENTO SECCIONADO CORTINAS 5333 / 33.02.10070.00</v>
          </cell>
          <cell r="G747" t="str">
            <v>VMI TECNOLOGIAS LTDA</v>
          </cell>
          <cell r="H747">
            <v>46028</v>
          </cell>
          <cell r="I747" t="str">
            <v>MARCO</v>
          </cell>
          <cell r="J747">
            <v>235</v>
          </cell>
          <cell r="K747">
            <v>1.47576</v>
          </cell>
          <cell r="L747">
            <v>346.8</v>
          </cell>
          <cell r="M747" t="str">
            <v>APROVADO</v>
          </cell>
          <cell r="N747" t="str">
            <v>10</v>
          </cell>
          <cell r="O747">
            <v>46090</v>
          </cell>
          <cell r="P747" t="str">
            <v>PRODUÇÃO DE MARÇO DE 2026</v>
          </cell>
        </row>
        <row r="748">
          <cell r="B748" t="str">
            <v>052136010933.02.10071.02</v>
          </cell>
          <cell r="C748" t="str">
            <v>052136</v>
          </cell>
          <cell r="D748" t="str">
            <v>0109</v>
          </cell>
          <cell r="E748" t="str">
            <v>33.02.10071.02</v>
          </cell>
          <cell r="F748" t="str">
            <v>QUADRO ELETRICO 5333 / 33.02.10071.02</v>
          </cell>
          <cell r="G748" t="str">
            <v>VMI TECNOLOGIAS LTDA</v>
          </cell>
          <cell r="H748">
            <v>46028</v>
          </cell>
          <cell r="I748" t="str">
            <v>MARCO</v>
          </cell>
          <cell r="J748">
            <v>5</v>
          </cell>
          <cell r="K748">
            <v>253.7688</v>
          </cell>
          <cell r="L748">
            <v>1268.8399999999999</v>
          </cell>
          <cell r="M748" t="str">
            <v>APROVADO</v>
          </cell>
          <cell r="N748" t="str">
            <v>10</v>
          </cell>
          <cell r="O748">
            <v>46090</v>
          </cell>
          <cell r="P748" t="str">
            <v>PRODUÇÃO DE MARÇO DE 2026</v>
          </cell>
        </row>
        <row r="749">
          <cell r="B749" t="str">
            <v>052136011033.02.10071.02</v>
          </cell>
          <cell r="C749" t="str">
            <v>052136</v>
          </cell>
          <cell r="D749" t="str">
            <v>0110</v>
          </cell>
          <cell r="E749" t="str">
            <v>33.02.10071.02</v>
          </cell>
          <cell r="F749" t="str">
            <v>QUADRO ELETRICO 5333 / 33.02.10071.02</v>
          </cell>
          <cell r="G749" t="str">
            <v>VMI TECNOLOGIAS LTDA</v>
          </cell>
          <cell r="H749">
            <v>46028</v>
          </cell>
          <cell r="I749" t="str">
            <v>MARCO</v>
          </cell>
          <cell r="J749">
            <v>6</v>
          </cell>
          <cell r="K749">
            <v>253.7688</v>
          </cell>
          <cell r="L749">
            <v>1522.61</v>
          </cell>
          <cell r="M749" t="str">
            <v>APROVADO</v>
          </cell>
          <cell r="N749" t="str">
            <v>10</v>
          </cell>
          <cell r="O749">
            <v>46090</v>
          </cell>
          <cell r="P749" t="str">
            <v>PRODUÇÃO DE MARÇO DE 2026</v>
          </cell>
        </row>
        <row r="750">
          <cell r="B750" t="str">
            <v>052136011133.02.10091.00</v>
          </cell>
          <cell r="C750" t="str">
            <v>052136</v>
          </cell>
          <cell r="D750" t="str">
            <v>0111</v>
          </cell>
          <cell r="E750" t="str">
            <v>33.02.10091.00</v>
          </cell>
          <cell r="F750" t="str">
            <v>BANDEJA INFERIOR 5333 / 33.02.10091.00</v>
          </cell>
          <cell r="G750" t="str">
            <v>VMI TECNOLOGIAS LTDA</v>
          </cell>
          <cell r="H750">
            <v>46028</v>
          </cell>
          <cell r="I750" t="str">
            <v>MARCO</v>
          </cell>
          <cell r="J750">
            <v>20</v>
          </cell>
          <cell r="K750">
            <v>73.478399999999993</v>
          </cell>
          <cell r="L750">
            <v>1469.57</v>
          </cell>
          <cell r="M750" t="str">
            <v>APROVADO</v>
          </cell>
          <cell r="N750" t="str">
            <v>10</v>
          </cell>
          <cell r="O750">
            <v>46090</v>
          </cell>
          <cell r="P750" t="str">
            <v>PRODUÇÃO DE MARÇO DE 2026</v>
          </cell>
        </row>
        <row r="751">
          <cell r="B751" t="str">
            <v>052136011233.02.10092.00</v>
          </cell>
          <cell r="C751" t="str">
            <v>052136</v>
          </cell>
          <cell r="D751" t="str">
            <v>0112</v>
          </cell>
          <cell r="E751" t="str">
            <v>33.02.10092.00</v>
          </cell>
          <cell r="F751" t="str">
            <v>FECHAMENTO LATERAL DO L / 33.02.10092.00</v>
          </cell>
          <cell r="G751" t="str">
            <v>VMI TECNOLOGIAS LTDA</v>
          </cell>
          <cell r="H751">
            <v>46028</v>
          </cell>
          <cell r="I751" t="str">
            <v>MARCO</v>
          </cell>
          <cell r="J751">
            <v>20</v>
          </cell>
          <cell r="K751">
            <v>17.027999999999999</v>
          </cell>
          <cell r="L751">
            <v>340.56</v>
          </cell>
          <cell r="M751" t="str">
            <v>APROVADO</v>
          </cell>
          <cell r="N751" t="str">
            <v>10</v>
          </cell>
          <cell r="O751">
            <v>46090</v>
          </cell>
          <cell r="P751" t="str">
            <v>PRODUÇÃO DE MARÇO DE 2026</v>
          </cell>
        </row>
        <row r="752">
          <cell r="B752" t="str">
            <v>052136011333.02.10093.00</v>
          </cell>
          <cell r="C752" t="str">
            <v>052136</v>
          </cell>
          <cell r="D752" t="str">
            <v>0113</v>
          </cell>
          <cell r="E752" t="str">
            <v>33.02.10093.00</v>
          </cell>
          <cell r="F752" t="str">
            <v>FECHAMENTO CAIXA L / 33.02.10093.00</v>
          </cell>
          <cell r="G752" t="str">
            <v>VMI TECNOLOGIAS LTDA</v>
          </cell>
          <cell r="H752">
            <v>46028</v>
          </cell>
          <cell r="I752" t="str">
            <v>MARCO</v>
          </cell>
          <cell r="J752">
            <v>20</v>
          </cell>
          <cell r="K752">
            <v>79.154399999999995</v>
          </cell>
          <cell r="L752">
            <v>1583.09</v>
          </cell>
          <cell r="M752" t="str">
            <v>APROVADO</v>
          </cell>
          <cell r="N752" t="str">
            <v>10</v>
          </cell>
          <cell r="O752">
            <v>46090</v>
          </cell>
          <cell r="P752" t="str">
            <v>PRODUÇÃO DE MARÇO DE 2026</v>
          </cell>
        </row>
        <row r="753">
          <cell r="B753" t="str">
            <v>052136011433.02.10096.00</v>
          </cell>
          <cell r="C753" t="str">
            <v>052136</v>
          </cell>
          <cell r="D753" t="str">
            <v>0114</v>
          </cell>
          <cell r="E753" t="str">
            <v>33.02.10096.00</v>
          </cell>
          <cell r="F753" t="str">
            <v>COLIMADOR TUBO 110KV / 33.02.10096.00</v>
          </cell>
          <cell r="G753" t="str">
            <v>VMI TECNOLOGIAS LTDA</v>
          </cell>
          <cell r="H753">
            <v>46028</v>
          </cell>
          <cell r="I753" t="str">
            <v>MARCO</v>
          </cell>
          <cell r="J753">
            <v>20</v>
          </cell>
          <cell r="K753">
            <v>99.381600000000006</v>
          </cell>
          <cell r="L753">
            <v>1987.63</v>
          </cell>
          <cell r="M753" t="str">
            <v>APROVADO</v>
          </cell>
          <cell r="N753" t="str">
            <v>10</v>
          </cell>
          <cell r="O753">
            <v>46090</v>
          </cell>
          <cell r="P753" t="str">
            <v>PRODUÇÃO DE MARÇO DE 2026</v>
          </cell>
        </row>
        <row r="754">
          <cell r="B754" t="str">
            <v>052136011533.02.10097.01</v>
          </cell>
          <cell r="C754" t="str">
            <v>052136</v>
          </cell>
          <cell r="D754" t="str">
            <v>0115</v>
          </cell>
          <cell r="E754" t="str">
            <v>33.02.10097.01</v>
          </cell>
          <cell r="F754" t="str">
            <v>CHAPA FIXACAO DO COLIMADOR 110KV / 33.02.10097.01</v>
          </cell>
          <cell r="G754" t="str">
            <v>VMI TECNOLOGIAS LTDA</v>
          </cell>
          <cell r="H754">
            <v>46028</v>
          </cell>
          <cell r="I754" t="str">
            <v>MARCO</v>
          </cell>
          <cell r="J754">
            <v>20</v>
          </cell>
          <cell r="K754">
            <v>33.6432</v>
          </cell>
          <cell r="L754">
            <v>672.86</v>
          </cell>
          <cell r="M754" t="str">
            <v>APROVADO</v>
          </cell>
          <cell r="N754" t="str">
            <v>10</v>
          </cell>
          <cell r="O754">
            <v>46090</v>
          </cell>
          <cell r="P754" t="str">
            <v>PRODUÇÃO DE MARÇO DE 2026</v>
          </cell>
        </row>
        <row r="755">
          <cell r="B755" t="str">
            <v>052136011633.02.10101.01</v>
          </cell>
          <cell r="C755" t="str">
            <v>052136</v>
          </cell>
          <cell r="D755" t="str">
            <v>0116</v>
          </cell>
          <cell r="E755" t="str">
            <v>33.02.10101.01</v>
          </cell>
          <cell r="F755" t="str">
            <v>COLIMADOR TUBO 110KV / 33.02.10101.01</v>
          </cell>
          <cell r="G755" t="str">
            <v>VMI TECNOLOGIAS LTDA</v>
          </cell>
          <cell r="H755">
            <v>46028</v>
          </cell>
          <cell r="I755" t="str">
            <v>MARCO</v>
          </cell>
          <cell r="J755">
            <v>20</v>
          </cell>
          <cell r="K755">
            <v>242.52</v>
          </cell>
          <cell r="L755">
            <v>4850.3999999999996</v>
          </cell>
          <cell r="M755" t="str">
            <v>APROVADO</v>
          </cell>
          <cell r="N755" t="str">
            <v>10</v>
          </cell>
          <cell r="O755">
            <v>46090</v>
          </cell>
          <cell r="P755" t="str">
            <v>PRODUÇÃO DE MARÇO DE 2026</v>
          </cell>
        </row>
        <row r="756">
          <cell r="B756" t="str">
            <v>052136011733.02.10102.01</v>
          </cell>
          <cell r="C756" t="str">
            <v>052136</v>
          </cell>
          <cell r="D756" t="str">
            <v>0117</v>
          </cell>
          <cell r="E756" t="str">
            <v>33.02.10102.01</v>
          </cell>
          <cell r="F756" t="str">
            <v>FIXACAO DO COLIMADOR / 33.02.10102.01</v>
          </cell>
          <cell r="G756" t="str">
            <v>VMI TECNOLOGIAS LTDA</v>
          </cell>
          <cell r="H756">
            <v>46028</v>
          </cell>
          <cell r="I756" t="str">
            <v>MARCO</v>
          </cell>
          <cell r="J756">
            <v>20</v>
          </cell>
          <cell r="K756">
            <v>14.0352</v>
          </cell>
          <cell r="L756">
            <v>280.7</v>
          </cell>
          <cell r="M756" t="str">
            <v>APROVADO</v>
          </cell>
          <cell r="N756" t="str">
            <v>10</v>
          </cell>
          <cell r="O756">
            <v>46090</v>
          </cell>
          <cell r="P756" t="str">
            <v>PRODUÇÃO DE MARÇO DE 2026</v>
          </cell>
        </row>
        <row r="757">
          <cell r="B757" t="str">
            <v>052136011833.02.10103.00</v>
          </cell>
          <cell r="C757" t="str">
            <v>052136</v>
          </cell>
          <cell r="D757" t="str">
            <v>0118</v>
          </cell>
          <cell r="E757" t="str">
            <v>33.02.10103.00</v>
          </cell>
          <cell r="F757" t="str">
            <v>COLIMADOR SECUNDARIO / 33.02.10103.00</v>
          </cell>
          <cell r="G757" t="str">
            <v>VMI TECNOLOGIAS LTDA</v>
          </cell>
          <cell r="H757">
            <v>46028</v>
          </cell>
          <cell r="I757" t="str">
            <v>MARCO</v>
          </cell>
          <cell r="J757">
            <v>20</v>
          </cell>
          <cell r="K757">
            <v>52.012799999999999</v>
          </cell>
          <cell r="L757">
            <v>1040.26</v>
          </cell>
          <cell r="M757" t="str">
            <v>APROVADO</v>
          </cell>
          <cell r="N757" t="str">
            <v>10</v>
          </cell>
          <cell r="O757">
            <v>46090</v>
          </cell>
          <cell r="P757" t="str">
            <v>PRODUÇÃO DE MARÇO DE 2026</v>
          </cell>
        </row>
        <row r="758">
          <cell r="B758" t="str">
            <v>052136011933.02.10104.00</v>
          </cell>
          <cell r="C758" t="str">
            <v>052136</v>
          </cell>
          <cell r="D758" t="str">
            <v>0119</v>
          </cell>
          <cell r="E758" t="str">
            <v>33.02.10104.00</v>
          </cell>
          <cell r="F758" t="str">
            <v>TAMPA SUPERIOR COLIMADOR / 33.02.10104.00</v>
          </cell>
          <cell r="G758" t="str">
            <v>VMI TECNOLOGIAS LTDA</v>
          </cell>
          <cell r="H758">
            <v>46028</v>
          </cell>
          <cell r="I758" t="str">
            <v>MARCO</v>
          </cell>
          <cell r="J758">
            <v>20</v>
          </cell>
          <cell r="K758">
            <v>18.8856</v>
          </cell>
          <cell r="L758">
            <v>377.71</v>
          </cell>
          <cell r="M758" t="str">
            <v>APROVADO</v>
          </cell>
          <cell r="N758" t="str">
            <v>10</v>
          </cell>
          <cell r="O758">
            <v>46090</v>
          </cell>
          <cell r="P758" t="str">
            <v>PRODUÇÃO DE MARÇO DE 2026</v>
          </cell>
        </row>
        <row r="759">
          <cell r="B759" t="str">
            <v>052136012033.02.10105.00</v>
          </cell>
          <cell r="C759" t="str">
            <v>052136</v>
          </cell>
          <cell r="D759" t="str">
            <v>0120</v>
          </cell>
          <cell r="E759" t="str">
            <v>33.02.10105.00</v>
          </cell>
          <cell r="F759" t="str">
            <v>CHAPA FECHAMENTO COLIMADOR / 33.02.10105.00</v>
          </cell>
          <cell r="G759" t="str">
            <v>VMI TECNOLOGIAS LTDA</v>
          </cell>
          <cell r="H759">
            <v>46028</v>
          </cell>
          <cell r="I759" t="str">
            <v>MARCO</v>
          </cell>
          <cell r="J759">
            <v>20</v>
          </cell>
          <cell r="K759">
            <v>13.106400000000001</v>
          </cell>
          <cell r="L759">
            <v>262.13</v>
          </cell>
          <cell r="M759" t="str">
            <v>APROVADO</v>
          </cell>
          <cell r="N759" t="str">
            <v>10</v>
          </cell>
          <cell r="O759">
            <v>46090</v>
          </cell>
          <cell r="P759" t="str">
            <v>PRODUÇÃO DE MARÇO DE 2026</v>
          </cell>
        </row>
        <row r="760">
          <cell r="B760" t="str">
            <v>052136012133.23.10014.04</v>
          </cell>
          <cell r="C760" t="str">
            <v>052136</v>
          </cell>
          <cell r="D760" t="str">
            <v>0121</v>
          </cell>
          <cell r="E760" t="str">
            <v>33.23.10014.04</v>
          </cell>
          <cell r="F760" t="str">
            <v>TUNEL 6040 C / 33.23.10014.04</v>
          </cell>
          <cell r="G760" t="str">
            <v>VMI TECNOLOGIAS LTDA</v>
          </cell>
          <cell r="H760">
            <v>46028</v>
          </cell>
          <cell r="I760" t="str">
            <v>MARCO</v>
          </cell>
          <cell r="J760">
            <v>20</v>
          </cell>
          <cell r="K760">
            <v>424.07976000000002</v>
          </cell>
          <cell r="L760">
            <v>8481.6</v>
          </cell>
          <cell r="M760" t="str">
            <v>APROVADO</v>
          </cell>
          <cell r="N760" t="str">
            <v>10</v>
          </cell>
          <cell r="O760">
            <v>46090</v>
          </cell>
          <cell r="P760" t="str">
            <v>PRODUÇÃO DE MARÇO DE 2026</v>
          </cell>
        </row>
        <row r="761">
          <cell r="B761" t="str">
            <v>052136012233.23.10015.00</v>
          </cell>
          <cell r="C761" t="str">
            <v>052136</v>
          </cell>
          <cell r="D761" t="str">
            <v>0122</v>
          </cell>
          <cell r="E761" t="str">
            <v>33.23.10015.00</v>
          </cell>
          <cell r="F761" t="str">
            <v>PROTECAO LATERAL  / 33.23.10015.00</v>
          </cell>
          <cell r="G761" t="str">
            <v>VMI TECNOLOGIAS LTDA</v>
          </cell>
          <cell r="H761">
            <v>46028</v>
          </cell>
          <cell r="I761" t="str">
            <v>MARCO</v>
          </cell>
          <cell r="J761">
            <v>20</v>
          </cell>
          <cell r="K761">
            <v>29.411999999999999</v>
          </cell>
          <cell r="L761">
            <v>588.24</v>
          </cell>
          <cell r="M761" t="str">
            <v>APROVADO</v>
          </cell>
          <cell r="N761" t="str">
            <v>10</v>
          </cell>
          <cell r="O761">
            <v>46090</v>
          </cell>
          <cell r="P761" t="str">
            <v>PRODUÇÃO DE MARÇO DE 2026</v>
          </cell>
        </row>
        <row r="762">
          <cell r="B762" t="str">
            <v>052136012333.23.10032.01</v>
          </cell>
          <cell r="C762" t="str">
            <v>052136</v>
          </cell>
          <cell r="D762" t="str">
            <v>0123</v>
          </cell>
          <cell r="E762" t="str">
            <v>33.23.10032.01</v>
          </cell>
          <cell r="F762" t="str">
            <v>ARRUELA DA BUCHA DE REGULAGEM / 33.23.10032.01</v>
          </cell>
          <cell r="G762" t="str">
            <v>VMI TECNOLOGIAS LTDA</v>
          </cell>
          <cell r="H762">
            <v>46028</v>
          </cell>
          <cell r="I762" t="str">
            <v>MARCO</v>
          </cell>
          <cell r="J762">
            <v>72</v>
          </cell>
          <cell r="K762">
            <v>1.2383999999999999</v>
          </cell>
          <cell r="L762">
            <v>89.16</v>
          </cell>
          <cell r="M762" t="str">
            <v>APROVADO</v>
          </cell>
          <cell r="N762" t="str">
            <v>10</v>
          </cell>
          <cell r="O762">
            <v>46090</v>
          </cell>
          <cell r="P762" t="str">
            <v>PRODUÇÃO DE MARÇO DE 2026</v>
          </cell>
        </row>
        <row r="763">
          <cell r="B763" t="str">
            <v>052136012433.23.10041.03</v>
          </cell>
          <cell r="C763" t="str">
            <v>052136</v>
          </cell>
          <cell r="D763" t="str">
            <v>0124</v>
          </cell>
          <cell r="E763" t="str">
            <v>33.23.10041.03</v>
          </cell>
          <cell r="F763" t="str">
            <v>SUP. DE FIXACAO DA POLIA ESTICADORA / 33.23.10041.03</v>
          </cell>
          <cell r="G763" t="str">
            <v>VMI TECNOLOGIAS LTDA</v>
          </cell>
          <cell r="H763">
            <v>46028</v>
          </cell>
          <cell r="I763" t="str">
            <v>MARCO</v>
          </cell>
          <cell r="J763">
            <v>40</v>
          </cell>
          <cell r="K763">
            <v>36.3264</v>
          </cell>
          <cell r="L763">
            <v>1453.06</v>
          </cell>
          <cell r="M763" t="str">
            <v>APROVADO</v>
          </cell>
          <cell r="N763" t="str">
            <v>10</v>
          </cell>
          <cell r="O763">
            <v>46090</v>
          </cell>
          <cell r="P763" t="str">
            <v>PRODUÇÃO DE MARÇO DE 2026</v>
          </cell>
        </row>
        <row r="764">
          <cell r="B764" t="str">
            <v>052136012533.23.10054.03</v>
          </cell>
          <cell r="C764" t="str">
            <v>052136</v>
          </cell>
          <cell r="D764" t="str">
            <v>0125</v>
          </cell>
          <cell r="E764" t="str">
            <v>33.23.10054.03</v>
          </cell>
          <cell r="F764" t="str">
            <v>TRAVA DE MONTAGEM DA MOTOPOLIA / 33.23.10054.03</v>
          </cell>
          <cell r="G764" t="str">
            <v>VMI TECNOLOGIAS LTDA</v>
          </cell>
          <cell r="H764">
            <v>46028</v>
          </cell>
          <cell r="I764" t="str">
            <v>MARCO</v>
          </cell>
          <cell r="J764">
            <v>32</v>
          </cell>
          <cell r="K764">
            <v>28.338719999999999</v>
          </cell>
          <cell r="L764">
            <v>906.84</v>
          </cell>
          <cell r="M764" t="str">
            <v>APROVADO</v>
          </cell>
          <cell r="N764" t="str">
            <v>10</v>
          </cell>
          <cell r="O764">
            <v>46090</v>
          </cell>
          <cell r="P764" t="str">
            <v>PRODUÇÃO DE MARÇO DE 2026</v>
          </cell>
        </row>
        <row r="765">
          <cell r="B765" t="str">
            <v>052136012633.23.10076.00</v>
          </cell>
          <cell r="C765" t="str">
            <v>052136</v>
          </cell>
          <cell r="D765" t="str">
            <v>0126</v>
          </cell>
          <cell r="E765" t="str">
            <v>33.23.10076.00</v>
          </cell>
          <cell r="F765" t="str">
            <v>SUPORTE DA CORTINA / 33.23.10076.00</v>
          </cell>
          <cell r="G765" t="str">
            <v>VMI TECNOLOGIAS LTDA</v>
          </cell>
          <cell r="H765">
            <v>46028</v>
          </cell>
          <cell r="I765" t="str">
            <v>MARCO</v>
          </cell>
          <cell r="J765">
            <v>40</v>
          </cell>
          <cell r="K765">
            <v>82.663200000000003</v>
          </cell>
          <cell r="L765">
            <v>3306.53</v>
          </cell>
          <cell r="M765" t="str">
            <v>APROVADO</v>
          </cell>
          <cell r="N765" t="str">
            <v>10</v>
          </cell>
          <cell r="O765">
            <v>46090</v>
          </cell>
          <cell r="P765" t="str">
            <v>PRODUÇÃO DE MARÇO DE 2026</v>
          </cell>
        </row>
        <row r="766">
          <cell r="B766" t="str">
            <v>052136012733.23.10080.04</v>
          </cell>
          <cell r="C766" t="str">
            <v>052136</v>
          </cell>
          <cell r="D766" t="str">
            <v>0127</v>
          </cell>
          <cell r="E766" t="str">
            <v>33.23.10080.04</v>
          </cell>
          <cell r="F766" t="str">
            <v>SUPORTE DO GERADOR / 33.23.10080.04</v>
          </cell>
          <cell r="G766" t="str">
            <v>VMI TECNOLOGIAS LTDA</v>
          </cell>
          <cell r="H766">
            <v>46028</v>
          </cell>
          <cell r="I766" t="str">
            <v>MARCO</v>
          </cell>
          <cell r="J766">
            <v>20</v>
          </cell>
          <cell r="K766">
            <v>268.21679999999998</v>
          </cell>
          <cell r="L766">
            <v>5364.34</v>
          </cell>
          <cell r="M766" t="str">
            <v>APROVADO</v>
          </cell>
          <cell r="N766" t="str">
            <v>10</v>
          </cell>
          <cell r="O766">
            <v>46090</v>
          </cell>
          <cell r="P766" t="str">
            <v>PRODUÇÃO DE MARÇO DE 2026</v>
          </cell>
        </row>
        <row r="767">
          <cell r="B767" t="str">
            <v>052136012833.23.10085.03</v>
          </cell>
          <cell r="C767" t="str">
            <v>052136</v>
          </cell>
          <cell r="D767" t="str">
            <v>0128</v>
          </cell>
          <cell r="E767" t="str">
            <v>33.23.10085.03</v>
          </cell>
          <cell r="F767" t="str">
            <v>FIXACAO SUPERIOR DO GERADOR / 33.23.10085.03</v>
          </cell>
          <cell r="G767" t="str">
            <v>VMI TECNOLOGIAS LTDA</v>
          </cell>
          <cell r="H767">
            <v>46028</v>
          </cell>
          <cell r="I767" t="str">
            <v>MARCO</v>
          </cell>
          <cell r="J767">
            <v>20</v>
          </cell>
          <cell r="K767">
            <v>34.675199999999997</v>
          </cell>
          <cell r="L767">
            <v>693.5</v>
          </cell>
          <cell r="M767" t="str">
            <v>APROVADO</v>
          </cell>
          <cell r="N767" t="str">
            <v>10</v>
          </cell>
          <cell r="O767">
            <v>46090</v>
          </cell>
          <cell r="P767" t="str">
            <v>PRODUÇÃO DE MARÇO DE 2026</v>
          </cell>
        </row>
        <row r="768">
          <cell r="B768" t="str">
            <v>052136012933.23.10110.03</v>
          </cell>
          <cell r="C768" t="str">
            <v>052136</v>
          </cell>
          <cell r="D768" t="str">
            <v>0129</v>
          </cell>
          <cell r="E768" t="str">
            <v>33.23.10110.03</v>
          </cell>
          <cell r="F768" t="str">
            <v>PESCOCO DO COLIMADOR / 33.23.10110.03</v>
          </cell>
          <cell r="G768" t="str">
            <v>VMI TECNOLOGIAS LTDA</v>
          </cell>
          <cell r="H768">
            <v>46028</v>
          </cell>
          <cell r="I768" t="str">
            <v>MARCO</v>
          </cell>
          <cell r="J768">
            <v>20</v>
          </cell>
          <cell r="K768">
            <v>112.06488</v>
          </cell>
          <cell r="L768">
            <v>2241.3000000000002</v>
          </cell>
          <cell r="M768" t="str">
            <v>APROVADO</v>
          </cell>
          <cell r="N768" t="str">
            <v>10</v>
          </cell>
          <cell r="O768">
            <v>46090</v>
          </cell>
          <cell r="P768" t="str">
            <v>PRODUÇÃO DE MARÇO DE 2026</v>
          </cell>
        </row>
        <row r="769">
          <cell r="B769" t="str">
            <v>052136013033.23.10111.03</v>
          </cell>
          <cell r="C769" t="str">
            <v>052136</v>
          </cell>
          <cell r="D769" t="str">
            <v>0130</v>
          </cell>
          <cell r="E769" t="str">
            <v>33.23.10111.03</v>
          </cell>
          <cell r="F769" t="str">
            <v>PERFIL DE FECHAMENTO DO COLIMADOR / 33.23.10111.03</v>
          </cell>
          <cell r="G769" t="str">
            <v>VMI TECNOLOGIAS LTDA</v>
          </cell>
          <cell r="H769">
            <v>46028</v>
          </cell>
          <cell r="I769" t="str">
            <v>MARCO</v>
          </cell>
          <cell r="J769">
            <v>40</v>
          </cell>
          <cell r="K769">
            <v>10.58832</v>
          </cell>
          <cell r="L769">
            <v>423.53</v>
          </cell>
          <cell r="M769" t="str">
            <v>APROVADO</v>
          </cell>
          <cell r="N769" t="str">
            <v>10</v>
          </cell>
          <cell r="O769">
            <v>46090</v>
          </cell>
          <cell r="P769" t="str">
            <v>PRODUÇÃO DE MARÇO DE 2026</v>
          </cell>
        </row>
        <row r="770">
          <cell r="B770" t="str">
            <v>052136013133.23.10121.03</v>
          </cell>
          <cell r="C770" t="str">
            <v>052136</v>
          </cell>
          <cell r="D770" t="str">
            <v>0131</v>
          </cell>
          <cell r="E770" t="str">
            <v>33.23.10121.03</v>
          </cell>
          <cell r="F770" t="str">
            <v>REFORCO LATERAL DA REGUA DO COLIMADOR / 33.23.10121.03</v>
          </cell>
          <cell r="G770" t="str">
            <v>VMI TECNOLOGIAS LTDA</v>
          </cell>
          <cell r="H770">
            <v>46028</v>
          </cell>
          <cell r="I770" t="str">
            <v>MARCO</v>
          </cell>
          <cell r="J770">
            <v>20</v>
          </cell>
          <cell r="K770">
            <v>24.984719999999999</v>
          </cell>
          <cell r="L770">
            <v>499.69</v>
          </cell>
          <cell r="M770" t="str">
            <v>APROVADO</v>
          </cell>
          <cell r="N770" t="str">
            <v>10</v>
          </cell>
          <cell r="O770">
            <v>46090</v>
          </cell>
          <cell r="P770" t="str">
            <v>PRODUÇÃO DE MARÇO DE 2026</v>
          </cell>
        </row>
        <row r="771">
          <cell r="B771" t="str">
            <v>052136013233.23.10138.03</v>
          </cell>
          <cell r="C771" t="str">
            <v>052136</v>
          </cell>
          <cell r="D771" t="str">
            <v>0132</v>
          </cell>
          <cell r="E771" t="str">
            <v>33.23.10138.03</v>
          </cell>
          <cell r="F771" t="str">
            <v>FIXACAO CORTINA / 33.23.10138.03</v>
          </cell>
          <cell r="G771" t="str">
            <v>VMI TECNOLOGIAS LTDA</v>
          </cell>
          <cell r="H771">
            <v>46028</v>
          </cell>
          <cell r="I771" t="str">
            <v>MARCO</v>
          </cell>
          <cell r="J771">
            <v>120</v>
          </cell>
          <cell r="K771">
            <v>4.2827999999999999</v>
          </cell>
          <cell r="L771">
            <v>513.94000000000005</v>
          </cell>
          <cell r="M771" t="str">
            <v>APROVADO</v>
          </cell>
          <cell r="N771" t="str">
            <v>10</v>
          </cell>
          <cell r="O771">
            <v>46090</v>
          </cell>
          <cell r="P771" t="str">
            <v>PRODUÇÃO DE MARÇO DE 2026</v>
          </cell>
        </row>
        <row r="772">
          <cell r="B772" t="str">
            <v>052136013333.23.10140.01</v>
          </cell>
          <cell r="C772" t="str">
            <v>052136</v>
          </cell>
          <cell r="D772" t="str">
            <v>0133</v>
          </cell>
          <cell r="E772" t="str">
            <v>33.23.10140.01</v>
          </cell>
          <cell r="F772" t="str">
            <v>SUPORTE DA CORTINA LADO DIREITO / 33.23.10140.01</v>
          </cell>
          <cell r="G772" t="str">
            <v>VMI TECNOLOGIAS LTDA</v>
          </cell>
          <cell r="H772">
            <v>46028</v>
          </cell>
          <cell r="I772" t="str">
            <v>MARCO</v>
          </cell>
          <cell r="J772">
            <v>40</v>
          </cell>
          <cell r="K772">
            <v>3.6945600000000001</v>
          </cell>
          <cell r="L772">
            <v>147.78</v>
          </cell>
          <cell r="M772" t="str">
            <v>APROVADO</v>
          </cell>
          <cell r="N772" t="str">
            <v>10</v>
          </cell>
          <cell r="O772">
            <v>46090</v>
          </cell>
          <cell r="P772" t="str">
            <v>PRODUÇÃO DE MARÇO DE 2026</v>
          </cell>
        </row>
        <row r="773">
          <cell r="B773" t="str">
            <v>052136013433.23.10142.02</v>
          </cell>
          <cell r="C773" t="str">
            <v>052136</v>
          </cell>
          <cell r="D773" t="str">
            <v>0134</v>
          </cell>
          <cell r="E773" t="str">
            <v>33.23.10142.02</v>
          </cell>
          <cell r="F773" t="str">
            <v>FIXACAO INFERIOR DO GERADOR / 33.23.10142.02</v>
          </cell>
          <cell r="G773" t="str">
            <v>VMI TECNOLOGIAS LTDA</v>
          </cell>
          <cell r="H773">
            <v>46028</v>
          </cell>
          <cell r="I773" t="str">
            <v>MARCO</v>
          </cell>
          <cell r="J773">
            <v>20</v>
          </cell>
          <cell r="K773">
            <v>1.73376</v>
          </cell>
          <cell r="L773">
            <v>34.68</v>
          </cell>
          <cell r="M773" t="str">
            <v>APROVADO</v>
          </cell>
          <cell r="N773" t="str">
            <v>10</v>
          </cell>
          <cell r="O773">
            <v>46090</v>
          </cell>
          <cell r="P773" t="str">
            <v>PRODUÇÃO DE MARÇO DE 2026</v>
          </cell>
        </row>
        <row r="774">
          <cell r="B774" t="str">
            <v>052136013533.23.10143.01</v>
          </cell>
          <cell r="C774" t="str">
            <v>052136</v>
          </cell>
          <cell r="D774" t="str">
            <v>0135</v>
          </cell>
          <cell r="E774" t="str">
            <v>33.23.10143.01</v>
          </cell>
          <cell r="F774" t="str">
            <v>TRAVA DA ESTEIRA / 33.23.10143.01</v>
          </cell>
          <cell r="G774" t="str">
            <v>VMI TECNOLOGIAS LTDA</v>
          </cell>
          <cell r="H774">
            <v>46028</v>
          </cell>
          <cell r="I774" t="str">
            <v>MARCO</v>
          </cell>
          <cell r="J774">
            <v>80</v>
          </cell>
          <cell r="K774">
            <v>5.7275999999999998</v>
          </cell>
          <cell r="L774">
            <v>458.21</v>
          </cell>
          <cell r="M774" t="str">
            <v>APROVADO</v>
          </cell>
          <cell r="N774" t="str">
            <v>10</v>
          </cell>
          <cell r="O774">
            <v>46090</v>
          </cell>
          <cell r="P774" t="str">
            <v>PRODUÇÃO DE MARÇO DE 2026</v>
          </cell>
        </row>
        <row r="775">
          <cell r="B775" t="str">
            <v>052136013633.23.10158.03</v>
          </cell>
          <cell r="C775" t="str">
            <v>052136</v>
          </cell>
          <cell r="D775" t="str">
            <v>0136</v>
          </cell>
          <cell r="E775" t="str">
            <v>33.23.10158.03</v>
          </cell>
          <cell r="F775" t="str">
            <v>CHAPA DO QUADRO ALIMENT. DISJUNTORES / 33.23.10158.03</v>
          </cell>
          <cell r="G775" t="str">
            <v>VMI TECNOLOGIAS LTDA</v>
          </cell>
          <cell r="H775">
            <v>46028</v>
          </cell>
          <cell r="I775" t="str">
            <v>MARCO</v>
          </cell>
          <cell r="J775">
            <v>20</v>
          </cell>
          <cell r="K775">
            <v>98.555999999999997</v>
          </cell>
          <cell r="L775">
            <v>1971.12</v>
          </cell>
          <cell r="M775" t="str">
            <v>APROVADO</v>
          </cell>
          <cell r="N775" t="str">
            <v>10</v>
          </cell>
          <cell r="O775">
            <v>46090</v>
          </cell>
          <cell r="P775" t="str">
            <v>PRODUÇÃO DE MARÇO DE 2026</v>
          </cell>
        </row>
        <row r="776">
          <cell r="B776" t="str">
            <v>052136013733.23.10160.02</v>
          </cell>
          <cell r="C776" t="str">
            <v>052136</v>
          </cell>
          <cell r="D776" t="str">
            <v>0137</v>
          </cell>
          <cell r="E776" t="str">
            <v>33.23.10160.02</v>
          </cell>
          <cell r="F776" t="str">
            <v>TAMPA DO QUADRO ALIMENT. DISJUNTORES / 33.23.10160.02</v>
          </cell>
          <cell r="G776" t="str">
            <v>VMI TECNOLOGIAS LTDA</v>
          </cell>
          <cell r="H776">
            <v>46028</v>
          </cell>
          <cell r="I776" t="str">
            <v>MARCO</v>
          </cell>
          <cell r="J776">
            <v>20</v>
          </cell>
          <cell r="K776">
            <v>12.590400000000001</v>
          </cell>
          <cell r="L776">
            <v>251.81</v>
          </cell>
          <cell r="M776" t="str">
            <v>APROVADO</v>
          </cell>
          <cell r="N776" t="str">
            <v>10</v>
          </cell>
          <cell r="O776">
            <v>46090</v>
          </cell>
          <cell r="P776" t="str">
            <v>PRODUÇÃO DE MARÇO DE 2026</v>
          </cell>
        </row>
        <row r="777">
          <cell r="B777" t="str">
            <v>052136013833.23.10162.02</v>
          </cell>
          <cell r="C777" t="str">
            <v>052136</v>
          </cell>
          <cell r="D777" t="str">
            <v>0138</v>
          </cell>
          <cell r="E777" t="str">
            <v>33.23.10162.02</v>
          </cell>
          <cell r="F777" t="str">
            <v>BASE FIXACAO DA REGUA DE POLICARBONATO / 33.23.10162.02</v>
          </cell>
          <cell r="G777" t="str">
            <v>VMI TECNOLOGIAS LTDA</v>
          </cell>
          <cell r="H777">
            <v>46028</v>
          </cell>
          <cell r="I777" t="str">
            <v>MARCO</v>
          </cell>
          <cell r="J777">
            <v>20</v>
          </cell>
          <cell r="K777">
            <v>24.4068</v>
          </cell>
          <cell r="L777">
            <v>488.14</v>
          </cell>
          <cell r="M777" t="str">
            <v>APROVADO</v>
          </cell>
          <cell r="N777" t="str">
            <v>10</v>
          </cell>
          <cell r="O777">
            <v>46090</v>
          </cell>
          <cell r="P777" t="str">
            <v>PRODUÇÃO DE MARÇO DE 2026</v>
          </cell>
        </row>
        <row r="778">
          <cell r="B778" t="str">
            <v>052136013933.23.10180.05</v>
          </cell>
          <cell r="C778" t="str">
            <v>052136</v>
          </cell>
          <cell r="D778" t="str">
            <v>0139</v>
          </cell>
          <cell r="E778" t="str">
            <v>33.23.10180.05</v>
          </cell>
          <cell r="F778" t="str">
            <v>ESTRUTURA SOLDADA DA 6040 COMPACT / 33.23.10180.05</v>
          </cell>
          <cell r="G778" t="str">
            <v>VMI TECNOLOGIAS LTDA</v>
          </cell>
          <cell r="H778">
            <v>46028</v>
          </cell>
          <cell r="I778" t="str">
            <v>MARCO</v>
          </cell>
          <cell r="J778">
            <v>20</v>
          </cell>
          <cell r="K778">
            <v>1240.4536800000001</v>
          </cell>
          <cell r="L778">
            <v>24809.07</v>
          </cell>
          <cell r="M778" t="str">
            <v>APROVADO</v>
          </cell>
          <cell r="N778" t="str">
            <v>10</v>
          </cell>
          <cell r="O778">
            <v>46090</v>
          </cell>
          <cell r="P778" t="str">
            <v>PRODUÇÃO DE MARÇO DE 2026</v>
          </cell>
        </row>
        <row r="779">
          <cell r="B779" t="str">
            <v>052136014033.23.10182.01</v>
          </cell>
          <cell r="C779" t="str">
            <v>052136</v>
          </cell>
          <cell r="D779" t="str">
            <v>0140</v>
          </cell>
          <cell r="E779" t="str">
            <v>33.23.10182.01</v>
          </cell>
          <cell r="F779" t="str">
            <v>TAMPA DA GAIOLA DA REGUA DE COLIMACAO / 33.23.10182.01</v>
          </cell>
          <cell r="G779" t="str">
            <v>VMI TECNOLOGIAS LTDA</v>
          </cell>
          <cell r="H779">
            <v>46028</v>
          </cell>
          <cell r="I779" t="str">
            <v>MARCO</v>
          </cell>
          <cell r="J779">
            <v>10</v>
          </cell>
          <cell r="K779">
            <v>4.1692799999999997</v>
          </cell>
          <cell r="L779">
            <v>41.69</v>
          </cell>
          <cell r="M779" t="str">
            <v>APROVADO</v>
          </cell>
          <cell r="N779" t="str">
            <v>10</v>
          </cell>
          <cell r="O779">
            <v>46090</v>
          </cell>
          <cell r="P779" t="str">
            <v>PRODUÇÃO DE MARÇO DE 2026</v>
          </cell>
        </row>
        <row r="780">
          <cell r="B780" t="str">
            <v>052136014133.23.10186.02</v>
          </cell>
          <cell r="C780" t="str">
            <v>052136</v>
          </cell>
          <cell r="D780" t="str">
            <v>0141</v>
          </cell>
          <cell r="E780" t="str">
            <v>33.23.10186.02</v>
          </cell>
          <cell r="F780" t="str">
            <v>REGUA DE MONTAGE DA CORTINA / 33.23.10186.02</v>
          </cell>
          <cell r="G780" t="str">
            <v>VMI TECNOLOGIAS LTDA</v>
          </cell>
          <cell r="H780">
            <v>46028</v>
          </cell>
          <cell r="I780" t="str">
            <v>MARCO</v>
          </cell>
          <cell r="J780">
            <v>40</v>
          </cell>
          <cell r="K780">
            <v>114.40752000000001</v>
          </cell>
          <cell r="L780">
            <v>4576.3</v>
          </cell>
          <cell r="M780" t="str">
            <v>APROVADO</v>
          </cell>
          <cell r="N780" t="str">
            <v>10</v>
          </cell>
          <cell r="O780">
            <v>46090</v>
          </cell>
          <cell r="P780" t="str">
            <v>PRODUÇÃO DE MARÇO DE 2026</v>
          </cell>
        </row>
        <row r="781">
          <cell r="B781" t="str">
            <v>052136014233.23.10202.03</v>
          </cell>
          <cell r="C781" t="str">
            <v>052136</v>
          </cell>
          <cell r="D781" t="str">
            <v>0142</v>
          </cell>
          <cell r="E781" t="str">
            <v>33.23.10202.03</v>
          </cell>
          <cell r="F781" t="str">
            <v>SUP. FIXO DO ROLETE ALINHADOR / 33.23.10202.03</v>
          </cell>
          <cell r="G781" t="str">
            <v>VMI TECNOLOGIAS LTDA</v>
          </cell>
          <cell r="H781">
            <v>46028</v>
          </cell>
          <cell r="I781" t="str">
            <v>MARCO</v>
          </cell>
          <cell r="J781">
            <v>38</v>
          </cell>
          <cell r="K781">
            <v>22.931039999999999</v>
          </cell>
          <cell r="L781">
            <v>871.38</v>
          </cell>
          <cell r="M781" t="str">
            <v>APROVADO</v>
          </cell>
          <cell r="N781" t="str">
            <v>10</v>
          </cell>
          <cell r="O781">
            <v>46090</v>
          </cell>
          <cell r="P781" t="str">
            <v>PRODUÇÃO DE MARÇO DE 2026</v>
          </cell>
        </row>
        <row r="782">
          <cell r="B782" t="str">
            <v>052136014333.23.10213.01</v>
          </cell>
          <cell r="C782" t="str">
            <v>052136</v>
          </cell>
          <cell r="D782" t="str">
            <v>0143</v>
          </cell>
          <cell r="E782" t="str">
            <v>33.23.10213.01</v>
          </cell>
          <cell r="F782" t="str">
            <v>LOGARINA DA ESTEIRA LADO DA MOTOPOLIA / 33.23.10213.01</v>
          </cell>
          <cell r="G782" t="str">
            <v>VMI TECNOLOGIAS LTDA</v>
          </cell>
          <cell r="H782">
            <v>46028</v>
          </cell>
          <cell r="I782" t="str">
            <v>MARCO</v>
          </cell>
          <cell r="J782">
            <v>40</v>
          </cell>
          <cell r="K782">
            <v>41.950800000000001</v>
          </cell>
          <cell r="L782">
            <v>1678.03</v>
          </cell>
          <cell r="M782" t="str">
            <v>APROVADO</v>
          </cell>
          <cell r="N782" t="str">
            <v>10</v>
          </cell>
          <cell r="O782">
            <v>46090</v>
          </cell>
          <cell r="P782" t="str">
            <v>PRODUÇÃO DE MARÇO DE 2026</v>
          </cell>
        </row>
        <row r="783">
          <cell r="B783" t="str">
            <v>052136014433.23.10217.00</v>
          </cell>
          <cell r="C783" t="str">
            <v>052136</v>
          </cell>
          <cell r="D783" t="str">
            <v>0144</v>
          </cell>
          <cell r="E783" t="str">
            <v>33.23.10217.00</v>
          </cell>
          <cell r="F783" t="str">
            <v>APOIO DAS TAMPAS DE ACABAMENTO / 33.23.10217.00</v>
          </cell>
          <cell r="G783" t="str">
            <v>VMI TECNOLOGIAS LTDA</v>
          </cell>
          <cell r="H783">
            <v>46028</v>
          </cell>
          <cell r="I783" t="str">
            <v>MARCO</v>
          </cell>
          <cell r="J783">
            <v>79</v>
          </cell>
          <cell r="K783">
            <v>5.9340000000000002</v>
          </cell>
          <cell r="L783">
            <v>468.79</v>
          </cell>
          <cell r="M783" t="str">
            <v>APROVADO</v>
          </cell>
          <cell r="N783" t="str">
            <v>10</v>
          </cell>
          <cell r="O783">
            <v>46090</v>
          </cell>
          <cell r="P783" t="str">
            <v>PRODUÇÃO DE MARÇO DE 2026</v>
          </cell>
        </row>
        <row r="784">
          <cell r="B784" t="str">
            <v>052136014533.23.10234.00</v>
          </cell>
          <cell r="C784" t="str">
            <v>052136</v>
          </cell>
          <cell r="D784" t="str">
            <v>0145</v>
          </cell>
          <cell r="E784" t="str">
            <v>33.23.10234.00</v>
          </cell>
          <cell r="F784" t="str">
            <v>MONTAGEM DA GRADE DA SILICA / 33.23.10234.00</v>
          </cell>
          <cell r="G784" t="str">
            <v>VMI TECNOLOGIAS LTDA</v>
          </cell>
          <cell r="H784">
            <v>46028</v>
          </cell>
          <cell r="I784" t="str">
            <v>MARCO</v>
          </cell>
          <cell r="J784">
            <v>20</v>
          </cell>
          <cell r="K784">
            <v>23.890799999999999</v>
          </cell>
          <cell r="L784">
            <v>477.82</v>
          </cell>
          <cell r="M784" t="str">
            <v>APROVADO</v>
          </cell>
          <cell r="N784" t="str">
            <v>10</v>
          </cell>
          <cell r="O784">
            <v>46090</v>
          </cell>
          <cell r="P784" t="str">
            <v>PRODUÇÃO DE MARÇO DE 2026</v>
          </cell>
        </row>
        <row r="785">
          <cell r="B785" t="str">
            <v>052136014633.23.10237.00</v>
          </cell>
          <cell r="C785" t="str">
            <v>052136</v>
          </cell>
          <cell r="D785" t="str">
            <v>0146</v>
          </cell>
          <cell r="E785" t="str">
            <v>33.23.10237.00</v>
          </cell>
          <cell r="F785" t="str">
            <v>FLANGE DO CABO FLEX DA S-DAQ / 33.23.10237.00</v>
          </cell>
          <cell r="G785" t="str">
            <v>VMI TECNOLOGIAS LTDA</v>
          </cell>
          <cell r="H785">
            <v>46028</v>
          </cell>
          <cell r="I785" t="str">
            <v>MARCO</v>
          </cell>
          <cell r="J785">
            <v>12</v>
          </cell>
          <cell r="K785">
            <v>22.6008</v>
          </cell>
          <cell r="L785">
            <v>768.43</v>
          </cell>
          <cell r="M785" t="str">
            <v>APROVADO</v>
          </cell>
          <cell r="N785" t="str">
            <v>10</v>
          </cell>
          <cell r="O785">
            <v>46090</v>
          </cell>
          <cell r="P785" t="str">
            <v>PRODUÇÃO DE MARÇO DE 2026</v>
          </cell>
        </row>
        <row r="786">
          <cell r="B786" t="str">
            <v>052136014733.23.10238.00</v>
          </cell>
          <cell r="C786" t="str">
            <v>052136</v>
          </cell>
          <cell r="D786" t="str">
            <v>0147</v>
          </cell>
          <cell r="E786" t="str">
            <v>33.23.10238.00</v>
          </cell>
          <cell r="F786" t="str">
            <v>TRAVA DO EIXO DE REGULAGEM CAIXA L / 33.23.10238.00</v>
          </cell>
          <cell r="G786" t="str">
            <v>VMI TECNOLOGIAS LTDA</v>
          </cell>
          <cell r="H786">
            <v>46028</v>
          </cell>
          <cell r="I786" t="str">
            <v>MARCO</v>
          </cell>
          <cell r="J786">
            <v>10</v>
          </cell>
          <cell r="K786">
            <v>3.26112</v>
          </cell>
          <cell r="L786">
            <v>32.61</v>
          </cell>
          <cell r="M786" t="str">
            <v>APROVADO</v>
          </cell>
          <cell r="N786" t="str">
            <v>10</v>
          </cell>
          <cell r="O786">
            <v>46090</v>
          </cell>
          <cell r="P786" t="str">
            <v>PRODUÇÃO DE MARÇO DE 2026</v>
          </cell>
        </row>
        <row r="787">
          <cell r="B787" t="str">
            <v>052136014833.23.10238.00</v>
          </cell>
          <cell r="C787" t="str">
            <v>052136</v>
          </cell>
          <cell r="D787" t="str">
            <v>0148</v>
          </cell>
          <cell r="E787" t="str">
            <v>33.23.10238.00</v>
          </cell>
          <cell r="F787" t="str">
            <v>TRAVA DO EIXO DE REGULAGEM CAIXA L / 33.23.10238.00</v>
          </cell>
          <cell r="G787" t="str">
            <v>VMI TECNOLOGIAS LTDA</v>
          </cell>
          <cell r="H787">
            <v>46028</v>
          </cell>
          <cell r="I787" t="str">
            <v>MARCO</v>
          </cell>
          <cell r="J787">
            <v>4</v>
          </cell>
          <cell r="K787">
            <v>3.26112</v>
          </cell>
          <cell r="L787">
            <v>13.04</v>
          </cell>
          <cell r="M787" t="str">
            <v>APROVADO</v>
          </cell>
          <cell r="N787" t="str">
            <v>10</v>
          </cell>
          <cell r="O787">
            <v>46090</v>
          </cell>
          <cell r="P787" t="str">
            <v>PRODUÇÃO DE MARÇO DE 2026</v>
          </cell>
        </row>
        <row r="788">
          <cell r="B788" t="str">
            <v>052136014933.23.10238.00</v>
          </cell>
          <cell r="C788" t="str">
            <v>052136</v>
          </cell>
          <cell r="D788" t="str">
            <v>0149</v>
          </cell>
          <cell r="E788" t="str">
            <v>33.23.10238.00</v>
          </cell>
          <cell r="F788" t="str">
            <v>TRAVA DO EIXO DE REGULAGEM CAIXA L / 33.23.10238.00</v>
          </cell>
          <cell r="G788" t="str">
            <v>VMI TECNOLOGIAS LTDA</v>
          </cell>
          <cell r="H788">
            <v>46028</v>
          </cell>
          <cell r="I788" t="str">
            <v>MARCO</v>
          </cell>
          <cell r="J788">
            <v>106</v>
          </cell>
          <cell r="K788">
            <v>3.26112</v>
          </cell>
          <cell r="L788">
            <v>345.68</v>
          </cell>
          <cell r="M788" t="str">
            <v>APROVADO</v>
          </cell>
          <cell r="N788" t="str">
            <v>10</v>
          </cell>
          <cell r="O788">
            <v>46090</v>
          </cell>
          <cell r="P788" t="str">
            <v>PRODUÇÃO DE MARÇO DE 2026</v>
          </cell>
        </row>
        <row r="789">
          <cell r="B789" t="str">
            <v>052136015033.23.10238.00</v>
          </cell>
          <cell r="C789" t="str">
            <v>052136</v>
          </cell>
          <cell r="D789" t="str">
            <v>0150</v>
          </cell>
          <cell r="E789" t="str">
            <v>33.23.10238.00</v>
          </cell>
          <cell r="F789" t="str">
            <v>TRAVA DO EIXO DE REGULAGEM CAIXA L / 33.23.10238.00</v>
          </cell>
          <cell r="G789" t="str">
            <v>VMI TECNOLOGIAS LTDA</v>
          </cell>
          <cell r="H789">
            <v>46028</v>
          </cell>
          <cell r="I789" t="str">
            <v>MARCO</v>
          </cell>
          <cell r="J789">
            <v>6</v>
          </cell>
          <cell r="K789">
            <v>3.26112</v>
          </cell>
          <cell r="L789">
            <v>19.57</v>
          </cell>
          <cell r="M789" t="str">
            <v>APROVADO</v>
          </cell>
          <cell r="N789" t="str">
            <v>10</v>
          </cell>
          <cell r="O789">
            <v>46090</v>
          </cell>
          <cell r="P789" t="str">
            <v>PRODUÇÃO DE MARÇO DE 2026</v>
          </cell>
        </row>
        <row r="790">
          <cell r="B790" t="str">
            <v>052136015133.23.10239.01</v>
          </cell>
          <cell r="C790" t="str">
            <v>052136</v>
          </cell>
          <cell r="D790" t="str">
            <v>0151</v>
          </cell>
          <cell r="E790" t="str">
            <v>33.23.10239.01</v>
          </cell>
          <cell r="F790" t="str">
            <v>SUPORTE MONTAGEM DE MICRO INTERRUPTOR / 33.23.10239.01</v>
          </cell>
          <cell r="G790" t="str">
            <v>VMI TECNOLOGIAS LTDA</v>
          </cell>
          <cell r="H790">
            <v>46028</v>
          </cell>
          <cell r="I790" t="str">
            <v>MARCO</v>
          </cell>
          <cell r="J790">
            <v>40</v>
          </cell>
          <cell r="K790">
            <v>8.6172000000000004</v>
          </cell>
          <cell r="L790">
            <v>344.69</v>
          </cell>
          <cell r="M790" t="str">
            <v>APROVADO</v>
          </cell>
          <cell r="N790" t="str">
            <v>10</v>
          </cell>
          <cell r="O790">
            <v>46090</v>
          </cell>
          <cell r="P790" t="str">
            <v>PRODUÇÃO DE MARÇO DE 2026</v>
          </cell>
        </row>
        <row r="791">
          <cell r="B791" t="str">
            <v>052136015233.23.10240.00</v>
          </cell>
          <cell r="C791" t="str">
            <v>052136</v>
          </cell>
          <cell r="D791" t="str">
            <v>0152</v>
          </cell>
          <cell r="E791" t="str">
            <v>33.23.10240.00</v>
          </cell>
          <cell r="F791" t="str">
            <v>BLINDAGEM CONTRA RAIO-X DA ESTEIRA / 33.23.10240.00</v>
          </cell>
          <cell r="G791" t="str">
            <v>VMI TECNOLOGIAS LTDA</v>
          </cell>
          <cell r="H791">
            <v>46028</v>
          </cell>
          <cell r="I791" t="str">
            <v>MARCO</v>
          </cell>
          <cell r="J791">
            <v>20</v>
          </cell>
          <cell r="K791">
            <v>29.288160000000001</v>
          </cell>
          <cell r="L791">
            <v>585.76</v>
          </cell>
          <cell r="M791" t="str">
            <v>APROVADO</v>
          </cell>
          <cell r="N791" t="str">
            <v>10</v>
          </cell>
          <cell r="O791">
            <v>46090</v>
          </cell>
          <cell r="P791" t="str">
            <v>PRODUÇÃO DE MARÇO DE 2026</v>
          </cell>
        </row>
        <row r="792">
          <cell r="B792" t="str">
            <v>052136015333.23.10241.00</v>
          </cell>
          <cell r="C792" t="str">
            <v>052136</v>
          </cell>
          <cell r="D792" t="str">
            <v>0153</v>
          </cell>
          <cell r="E792" t="str">
            <v>33.23.10241.00</v>
          </cell>
          <cell r="F792" t="str">
            <v>BLINDAGEM ESQ. RAIO-X DA ESTEIRA / 33.23.10241.00</v>
          </cell>
          <cell r="G792" t="str">
            <v>VMI TECNOLOGIAS LTDA</v>
          </cell>
          <cell r="H792">
            <v>46028</v>
          </cell>
          <cell r="I792" t="str">
            <v>MARCO</v>
          </cell>
          <cell r="J792">
            <v>20</v>
          </cell>
          <cell r="K792">
            <v>29.288160000000001</v>
          </cell>
          <cell r="L792">
            <v>585.76</v>
          </cell>
          <cell r="M792" t="str">
            <v>APROVADO</v>
          </cell>
          <cell r="N792" t="str">
            <v>10</v>
          </cell>
          <cell r="O792">
            <v>46090</v>
          </cell>
          <cell r="P792" t="str">
            <v>PRODUÇÃO DE MARÇO DE 2026</v>
          </cell>
        </row>
        <row r="793">
          <cell r="B793" t="str">
            <v>052136015433.23.10252.00</v>
          </cell>
          <cell r="C793" t="str">
            <v>052136</v>
          </cell>
          <cell r="D793" t="str">
            <v>0154</v>
          </cell>
          <cell r="E793" t="str">
            <v>33.23.10252.00</v>
          </cell>
          <cell r="F793" t="str">
            <v>SUPORTE MONTAGEM DAS PLACAS ELETRICAS / 33.23.10252.00</v>
          </cell>
          <cell r="G793" t="str">
            <v>VMI TECNOLOGIAS LTDA</v>
          </cell>
          <cell r="H793">
            <v>46028</v>
          </cell>
          <cell r="I793" t="str">
            <v>MARCO</v>
          </cell>
          <cell r="J793">
            <v>20</v>
          </cell>
          <cell r="K793">
            <v>94.139039999999994</v>
          </cell>
          <cell r="L793">
            <v>1882.78</v>
          </cell>
          <cell r="M793" t="str">
            <v>APROVADO</v>
          </cell>
          <cell r="N793" t="str">
            <v>10</v>
          </cell>
          <cell r="O793">
            <v>46090</v>
          </cell>
          <cell r="P793" t="str">
            <v>PRODUÇÃO DE MARÇO DE 2026</v>
          </cell>
        </row>
        <row r="794">
          <cell r="B794" t="str">
            <v>052136015533.23.10265.00</v>
          </cell>
          <cell r="C794" t="str">
            <v>052136</v>
          </cell>
          <cell r="D794" t="str">
            <v>0155</v>
          </cell>
          <cell r="E794" t="str">
            <v>33.23.10265.00</v>
          </cell>
          <cell r="F794" t="str">
            <v>SUPORTE MONTAGEM DO COOLER DO GERADOR / 33.23.10265.00</v>
          </cell>
          <cell r="G794" t="str">
            <v>VMI TECNOLOGIAS LTDA</v>
          </cell>
          <cell r="H794">
            <v>46028</v>
          </cell>
          <cell r="I794" t="str">
            <v>MARCO</v>
          </cell>
          <cell r="J794">
            <v>20</v>
          </cell>
          <cell r="K794">
            <v>26.233440000000002</v>
          </cell>
          <cell r="L794">
            <v>524.66999999999996</v>
          </cell>
          <cell r="M794" t="str">
            <v>APROVADO</v>
          </cell>
          <cell r="N794" t="str">
            <v>10</v>
          </cell>
          <cell r="O794">
            <v>46090</v>
          </cell>
          <cell r="P794" t="str">
            <v>PRODUÇÃO DE MARÇO DE 2026</v>
          </cell>
        </row>
        <row r="795">
          <cell r="B795" t="str">
            <v>052136015633.23.10317.01</v>
          </cell>
          <cell r="C795" t="str">
            <v>052136</v>
          </cell>
          <cell r="D795" t="str">
            <v>0156</v>
          </cell>
          <cell r="E795" t="str">
            <v>33.23.10317.01</v>
          </cell>
          <cell r="F795" t="str">
            <v>CONJUNTO SOLDADO DA GAIOLA DAS DETECTORAS / 33.23.10317.01</v>
          </cell>
          <cell r="G795" t="str">
            <v>VMI TECNOLOGIAS LTDA</v>
          </cell>
          <cell r="H795">
            <v>46028</v>
          </cell>
          <cell r="I795" t="str">
            <v>MARCO</v>
          </cell>
          <cell r="J795">
            <v>20</v>
          </cell>
          <cell r="K795">
            <v>489.25056000000001</v>
          </cell>
          <cell r="L795">
            <v>9785.01</v>
          </cell>
          <cell r="M795" t="str">
            <v>APROVADO</v>
          </cell>
          <cell r="N795" t="str">
            <v>10</v>
          </cell>
          <cell r="O795">
            <v>46090</v>
          </cell>
          <cell r="P795" t="str">
            <v>PRODUÇÃO DE MARÇO DE 2026</v>
          </cell>
        </row>
        <row r="796">
          <cell r="B796" t="str">
            <v>052136015733.23.10323.00</v>
          </cell>
          <cell r="C796" t="str">
            <v>052136</v>
          </cell>
          <cell r="D796" t="str">
            <v>0157</v>
          </cell>
          <cell r="E796" t="str">
            <v>33.23.10323.00</v>
          </cell>
          <cell r="F796" t="str">
            <v>TAMPA HORIZONTAL DA CAIXA L / 33.23.10323.00</v>
          </cell>
          <cell r="G796" t="str">
            <v>VMI TECNOLOGIAS LTDA</v>
          </cell>
          <cell r="H796">
            <v>46028</v>
          </cell>
          <cell r="I796" t="str">
            <v>MARCO</v>
          </cell>
          <cell r="J796">
            <v>20</v>
          </cell>
          <cell r="K796">
            <v>62.993279999999999</v>
          </cell>
          <cell r="L796">
            <v>1259.8699999999999</v>
          </cell>
          <cell r="M796" t="str">
            <v>APROVADO</v>
          </cell>
          <cell r="N796" t="str">
            <v>10</v>
          </cell>
          <cell r="O796">
            <v>46090</v>
          </cell>
          <cell r="P796" t="str">
            <v>PRODUÇÃO DE MARÇO DE 2026</v>
          </cell>
        </row>
        <row r="797">
          <cell r="B797" t="str">
            <v>052136015833.23.10325.00</v>
          </cell>
          <cell r="C797" t="str">
            <v>052136</v>
          </cell>
          <cell r="D797" t="str">
            <v>0158</v>
          </cell>
          <cell r="E797" t="str">
            <v>33.23.10325.00</v>
          </cell>
          <cell r="F797" t="str">
            <v>SUPORTE FIXACAO DA TAMPA VERTICAL / 33.23.10325.00</v>
          </cell>
          <cell r="G797" t="str">
            <v>VMI TECNOLOGIAS LTDA</v>
          </cell>
          <cell r="H797">
            <v>46028</v>
          </cell>
          <cell r="I797" t="str">
            <v>MARCO</v>
          </cell>
          <cell r="J797">
            <v>20</v>
          </cell>
          <cell r="K797">
            <v>22.962</v>
          </cell>
          <cell r="L797">
            <v>459.24</v>
          </cell>
          <cell r="M797" t="str">
            <v>APROVADO</v>
          </cell>
          <cell r="N797" t="str">
            <v>10</v>
          </cell>
          <cell r="O797">
            <v>46090</v>
          </cell>
          <cell r="P797" t="str">
            <v>PRODUÇÃO DE MARÇO DE 2026</v>
          </cell>
        </row>
        <row r="798">
          <cell r="B798" t="str">
            <v>052136015933.23.10326.01</v>
          </cell>
          <cell r="C798" t="str">
            <v>052136</v>
          </cell>
          <cell r="D798" t="str">
            <v>0159</v>
          </cell>
          <cell r="E798" t="str">
            <v>33.23.10326.01</v>
          </cell>
          <cell r="F798" t="str">
            <v>TAMPA VERTICAL SOLDADA DA CAIXA L / 33.23.10326.01</v>
          </cell>
          <cell r="G798" t="str">
            <v>VMI TECNOLOGIAS LTDA</v>
          </cell>
          <cell r="H798">
            <v>46028</v>
          </cell>
          <cell r="I798" t="str">
            <v>MARCO</v>
          </cell>
          <cell r="J798">
            <v>20</v>
          </cell>
          <cell r="K798">
            <v>73.261679999999998</v>
          </cell>
          <cell r="L798">
            <v>1465.23</v>
          </cell>
          <cell r="M798" t="str">
            <v>APROVADO</v>
          </cell>
          <cell r="N798" t="str">
            <v>10</v>
          </cell>
          <cell r="O798">
            <v>46090</v>
          </cell>
          <cell r="P798" t="str">
            <v>PRODUÇÃO DE MARÇO DE 2026</v>
          </cell>
        </row>
        <row r="799">
          <cell r="B799" t="str">
            <v>052136016033.23.10328.01</v>
          </cell>
          <cell r="C799" t="str">
            <v>052136</v>
          </cell>
          <cell r="D799" t="str">
            <v>0160</v>
          </cell>
          <cell r="E799" t="str">
            <v>33.23.10328.01</v>
          </cell>
          <cell r="F799" t="str">
            <v>CONJUNTO SOLDADO DA CAIXA L / 33.23.10328.01</v>
          </cell>
          <cell r="G799" t="str">
            <v>VMI TECNOLOGIAS LTDA</v>
          </cell>
          <cell r="H799">
            <v>46028</v>
          </cell>
          <cell r="I799" t="str">
            <v>MARCO</v>
          </cell>
          <cell r="J799">
            <v>20</v>
          </cell>
          <cell r="K799">
            <v>311.66399999999999</v>
          </cell>
          <cell r="L799">
            <v>6233.28</v>
          </cell>
          <cell r="M799" t="str">
            <v>APROVADO</v>
          </cell>
          <cell r="N799" t="str">
            <v>10</v>
          </cell>
          <cell r="O799">
            <v>46090</v>
          </cell>
          <cell r="P799" t="str">
            <v>PRODUÇÃO DE MARÇO DE 2026</v>
          </cell>
        </row>
        <row r="800">
          <cell r="B800" t="str">
            <v>052136016133.23.10334.00</v>
          </cell>
          <cell r="C800" t="str">
            <v>052136</v>
          </cell>
          <cell r="D800" t="str">
            <v>0161</v>
          </cell>
          <cell r="E800" t="str">
            <v>33.23.10334.00</v>
          </cell>
          <cell r="F800" t="str">
            <v>SUPORTE REMOVIVEL DA PLACA DETECTORA / 33.23.10334.00</v>
          </cell>
          <cell r="G800" t="str">
            <v>VMI TECNOLOGIAS LTDA</v>
          </cell>
          <cell r="H800">
            <v>46028</v>
          </cell>
          <cell r="I800" t="str">
            <v>MARCO</v>
          </cell>
          <cell r="J800">
            <v>114</v>
          </cell>
          <cell r="K800">
            <v>14.344799999999999</v>
          </cell>
          <cell r="L800">
            <v>1635.31</v>
          </cell>
          <cell r="M800" t="str">
            <v>APROVADO</v>
          </cell>
          <cell r="N800" t="str">
            <v>10</v>
          </cell>
          <cell r="O800">
            <v>46090</v>
          </cell>
          <cell r="P800" t="str">
            <v>PRODUÇÃO DE MARÇO DE 2026</v>
          </cell>
        </row>
        <row r="801">
          <cell r="B801" t="str">
            <v>052136016233.23.10334.01</v>
          </cell>
          <cell r="C801" t="str">
            <v>052136</v>
          </cell>
          <cell r="D801" t="str">
            <v>0162</v>
          </cell>
          <cell r="E801" t="str">
            <v>33.23.10334.01</v>
          </cell>
          <cell r="F801" t="str">
            <v>SUPORTE REMOVIVEL DA PLACA DETECTORA / 33.23.10334.01</v>
          </cell>
          <cell r="G801" t="str">
            <v>VMI TECNOLOGIAS LTDA</v>
          </cell>
          <cell r="H801">
            <v>46028</v>
          </cell>
          <cell r="I801" t="str">
            <v>MARCO</v>
          </cell>
          <cell r="J801">
            <v>180</v>
          </cell>
          <cell r="K801">
            <v>14.344799999999999</v>
          </cell>
          <cell r="L801">
            <v>2582.06</v>
          </cell>
          <cell r="M801" t="str">
            <v>APROVADO</v>
          </cell>
          <cell r="N801" t="str">
            <v>10</v>
          </cell>
          <cell r="O801">
            <v>46090</v>
          </cell>
          <cell r="P801" t="str">
            <v>PRODUÇÃO DE MARÇO DE 2026</v>
          </cell>
        </row>
        <row r="802">
          <cell r="B802" t="str">
            <v>052136016333.23.10335.00</v>
          </cell>
          <cell r="C802" t="str">
            <v>052136</v>
          </cell>
          <cell r="D802" t="str">
            <v>0163</v>
          </cell>
          <cell r="E802" t="str">
            <v>33.23.10335.00</v>
          </cell>
          <cell r="F802" t="str">
            <v>BASE DA CAIXA S-DAQ CAIXA L / 33.23.10335.00</v>
          </cell>
          <cell r="G802" t="str">
            <v>VMI TECNOLOGIAS LTDA</v>
          </cell>
          <cell r="H802">
            <v>46028</v>
          </cell>
          <cell r="I802" t="str">
            <v>MARCO</v>
          </cell>
          <cell r="J802">
            <v>32</v>
          </cell>
          <cell r="K802">
            <v>33.395519999999998</v>
          </cell>
          <cell r="L802">
            <v>1068.6600000000001</v>
          </cell>
          <cell r="M802" t="str">
            <v>APROVADO</v>
          </cell>
          <cell r="N802" t="str">
            <v>10</v>
          </cell>
          <cell r="O802">
            <v>46090</v>
          </cell>
          <cell r="P802" t="str">
            <v>PRODUÇÃO DE MARÇO DE 2026</v>
          </cell>
        </row>
        <row r="803">
          <cell r="B803" t="str">
            <v>052136016433.23.10335.00</v>
          </cell>
          <cell r="C803" t="str">
            <v>052136</v>
          </cell>
          <cell r="D803" t="str">
            <v>0164</v>
          </cell>
          <cell r="E803" t="str">
            <v>33.23.10335.00</v>
          </cell>
          <cell r="F803" t="str">
            <v>BASE DA CAIXA S-DAQ CAIXA L / 33.23.10335.00</v>
          </cell>
          <cell r="G803" t="str">
            <v>VMI TECNOLOGIAS LTDA</v>
          </cell>
          <cell r="H803">
            <v>46028</v>
          </cell>
          <cell r="I803" t="str">
            <v>MARCO</v>
          </cell>
          <cell r="J803">
            <v>2</v>
          </cell>
          <cell r="K803">
            <v>33.395519999999998</v>
          </cell>
          <cell r="L803">
            <v>66.790000000000006</v>
          </cell>
          <cell r="M803" t="str">
            <v>APROVADO</v>
          </cell>
          <cell r="N803" t="str">
            <v>10</v>
          </cell>
          <cell r="O803">
            <v>46090</v>
          </cell>
          <cell r="P803" t="str">
            <v>PRODUÇÃO DE MARÇO DE 2026</v>
          </cell>
        </row>
        <row r="804">
          <cell r="B804" t="str">
            <v>052136016533.23.10337.00</v>
          </cell>
          <cell r="C804" t="str">
            <v>052136</v>
          </cell>
          <cell r="D804" t="str">
            <v>0165</v>
          </cell>
          <cell r="E804" t="str">
            <v>33.23.10337.00</v>
          </cell>
          <cell r="F804" t="str">
            <v>TAMPA DA CAIXA S-DAQ / 33.23.10337.00</v>
          </cell>
          <cell r="G804" t="str">
            <v>VMI TECNOLOGIAS LTDA</v>
          </cell>
          <cell r="H804">
            <v>46028</v>
          </cell>
          <cell r="I804" t="str">
            <v>MARCO</v>
          </cell>
          <cell r="J804">
            <v>32</v>
          </cell>
          <cell r="K804">
            <v>22.580159999999999</v>
          </cell>
          <cell r="L804">
            <v>722.57</v>
          </cell>
          <cell r="M804" t="str">
            <v>APROVADO</v>
          </cell>
          <cell r="N804" t="str">
            <v>10</v>
          </cell>
          <cell r="O804">
            <v>46090</v>
          </cell>
          <cell r="P804" t="str">
            <v>PRODUÇÃO DE MARÇO DE 2026</v>
          </cell>
        </row>
        <row r="805">
          <cell r="B805" t="str">
            <v>052136016633.23.10337.00</v>
          </cell>
          <cell r="C805" t="str">
            <v>052136</v>
          </cell>
          <cell r="D805" t="str">
            <v>0166</v>
          </cell>
          <cell r="E805" t="str">
            <v>33.23.10337.00</v>
          </cell>
          <cell r="F805" t="str">
            <v>TAMPA DA CAIXA S-DAQ / 33.23.10337.00</v>
          </cell>
          <cell r="G805" t="str">
            <v>VMI TECNOLOGIAS LTDA</v>
          </cell>
          <cell r="H805">
            <v>46028</v>
          </cell>
          <cell r="I805" t="str">
            <v>MARCO</v>
          </cell>
          <cell r="J805">
            <v>2</v>
          </cell>
          <cell r="K805">
            <v>22.580159999999999</v>
          </cell>
          <cell r="L805">
            <v>45.16</v>
          </cell>
          <cell r="M805" t="str">
            <v>APROVADO</v>
          </cell>
          <cell r="N805" t="str">
            <v>10</v>
          </cell>
          <cell r="O805">
            <v>46090</v>
          </cell>
          <cell r="P805" t="str">
            <v>PRODUÇÃO DE MARÇO DE 2026</v>
          </cell>
        </row>
        <row r="806">
          <cell r="B806" t="str">
            <v>052136016733.23.10367.00</v>
          </cell>
          <cell r="C806" t="str">
            <v>052136</v>
          </cell>
          <cell r="D806" t="str">
            <v>0167</v>
          </cell>
          <cell r="E806" t="str">
            <v>33.23.10367.00</v>
          </cell>
          <cell r="F806" t="str">
            <v>SUPORTE DE FIXACAO DO CABO DA MOTOPOLIA / 33.23.10367.00</v>
          </cell>
          <cell r="G806" t="str">
            <v>VMI TECNOLOGIAS LTDA</v>
          </cell>
          <cell r="H806">
            <v>46028</v>
          </cell>
          <cell r="I806" t="str">
            <v>MARCO</v>
          </cell>
          <cell r="J806">
            <v>20</v>
          </cell>
          <cell r="K806">
            <v>14.814360000000001</v>
          </cell>
          <cell r="L806">
            <v>296.29000000000002</v>
          </cell>
          <cell r="M806" t="str">
            <v>APROVADO</v>
          </cell>
          <cell r="N806" t="str">
            <v>10</v>
          </cell>
          <cell r="O806">
            <v>46090</v>
          </cell>
          <cell r="P806" t="str">
            <v>PRODUÇÃO DE MARÇO DE 2026</v>
          </cell>
        </row>
        <row r="807">
          <cell r="B807" t="str">
            <v>052136016833.23.10367.01</v>
          </cell>
          <cell r="C807" t="str">
            <v>052136</v>
          </cell>
          <cell r="D807" t="str">
            <v>0168</v>
          </cell>
          <cell r="E807" t="str">
            <v>33.23.10367.01</v>
          </cell>
          <cell r="F807" t="str">
            <v>SUPORTE DE FIXACAO DO CABO DA MOTOPOLIA / 33.23.10367.01</v>
          </cell>
          <cell r="G807" t="str">
            <v>VMI TECNOLOGIAS LTDA</v>
          </cell>
          <cell r="H807">
            <v>46028</v>
          </cell>
          <cell r="I807" t="str">
            <v>MARCO</v>
          </cell>
          <cell r="J807">
            <v>20</v>
          </cell>
          <cell r="K807">
            <v>14.819520000000001</v>
          </cell>
          <cell r="L807">
            <v>296.39</v>
          </cell>
          <cell r="M807" t="str">
            <v>APROVADO</v>
          </cell>
          <cell r="N807" t="str">
            <v>10</v>
          </cell>
          <cell r="O807">
            <v>46090</v>
          </cell>
          <cell r="P807" t="str">
            <v>PRODUÇÃO DE MARÇO DE 2026</v>
          </cell>
        </row>
        <row r="808">
          <cell r="B808" t="str">
            <v>052136016933.23.10368.01</v>
          </cell>
          <cell r="C808" t="str">
            <v>052136</v>
          </cell>
          <cell r="D808" t="str">
            <v>0169</v>
          </cell>
          <cell r="E808" t="str">
            <v>33.23.10368.01</v>
          </cell>
          <cell r="F808" t="str">
            <v>SUPORTE DA CONTROLADORA SANDT / 33.23.10368.01</v>
          </cell>
          <cell r="G808" t="str">
            <v>VMI TECNOLOGIAS LTDA</v>
          </cell>
          <cell r="H808">
            <v>46028</v>
          </cell>
          <cell r="I808" t="str">
            <v>MARCO</v>
          </cell>
          <cell r="J808">
            <v>20</v>
          </cell>
          <cell r="K808">
            <v>68.720879999999994</v>
          </cell>
          <cell r="L808">
            <v>1374.42</v>
          </cell>
          <cell r="M808" t="str">
            <v>APROVADO</v>
          </cell>
          <cell r="N808" t="str">
            <v>10</v>
          </cell>
          <cell r="O808">
            <v>46090</v>
          </cell>
          <cell r="P808" t="str">
            <v>PRODUÇÃO DE MARÇO DE 2026</v>
          </cell>
        </row>
        <row r="809">
          <cell r="B809" t="str">
            <v>052136017033.23.10371.01</v>
          </cell>
          <cell r="C809" t="str">
            <v>052136</v>
          </cell>
          <cell r="D809" t="str">
            <v>0170</v>
          </cell>
          <cell r="E809" t="str">
            <v>33.23.10371.01</v>
          </cell>
          <cell r="F809" t="str">
            <v>TAMPA PARA ENTRADA DE CABOS / 33.23.10371.01</v>
          </cell>
          <cell r="G809" t="str">
            <v>VMI TECNOLOGIAS LTDA</v>
          </cell>
          <cell r="H809">
            <v>46028</v>
          </cell>
          <cell r="I809" t="str">
            <v>MARCO</v>
          </cell>
          <cell r="J809">
            <v>40</v>
          </cell>
          <cell r="K809">
            <v>4.97424</v>
          </cell>
          <cell r="L809">
            <v>198.97</v>
          </cell>
          <cell r="M809" t="str">
            <v>APROVADO</v>
          </cell>
          <cell r="N809" t="str">
            <v>10</v>
          </cell>
          <cell r="O809">
            <v>46090</v>
          </cell>
          <cell r="P809" t="str">
            <v>PRODUÇÃO DE MARÇO DE 2026</v>
          </cell>
        </row>
        <row r="810">
          <cell r="B810" t="str">
            <v>052136017133.23.10381.00</v>
          </cell>
          <cell r="C810" t="str">
            <v>052136</v>
          </cell>
          <cell r="D810" t="str">
            <v>0171</v>
          </cell>
          <cell r="E810" t="str">
            <v>33.23.10381.00</v>
          </cell>
          <cell r="F810" t="str">
            <v>REFORCO DA BASE DA REGUA DO COLIMADOR / 33.23.10381.00</v>
          </cell>
          <cell r="G810" t="str">
            <v>VMI TECNOLOGIAS LTDA</v>
          </cell>
          <cell r="H810">
            <v>46028</v>
          </cell>
          <cell r="I810" t="str">
            <v>MARCO</v>
          </cell>
          <cell r="J810">
            <v>20</v>
          </cell>
          <cell r="K810">
            <v>9.7523999999999997</v>
          </cell>
          <cell r="L810">
            <v>195.05</v>
          </cell>
          <cell r="M810" t="str">
            <v>APROVADO</v>
          </cell>
          <cell r="N810" t="str">
            <v>10</v>
          </cell>
          <cell r="O810">
            <v>46090</v>
          </cell>
          <cell r="P810" t="str">
            <v>PRODUÇÃO DE MARÇO DE 2026</v>
          </cell>
        </row>
        <row r="811">
          <cell r="B811" t="str">
            <v>052136017233.23.10395.00</v>
          </cell>
          <cell r="C811" t="str">
            <v>052136</v>
          </cell>
          <cell r="D811" t="str">
            <v>0172</v>
          </cell>
          <cell r="E811" t="str">
            <v>33.23.10395.00</v>
          </cell>
          <cell r="F811" t="str">
            <v>SUPORTE MONTAGEM CONTROLADORA / 33.23.10395.00</v>
          </cell>
          <cell r="G811" t="str">
            <v>VMI TECNOLOGIAS LTDA</v>
          </cell>
          <cell r="H811">
            <v>46028</v>
          </cell>
          <cell r="I811" t="str">
            <v>MARCO</v>
          </cell>
          <cell r="J811">
            <v>20</v>
          </cell>
          <cell r="K811">
            <v>2.3736000000000002</v>
          </cell>
          <cell r="L811">
            <v>47.47</v>
          </cell>
          <cell r="M811" t="str">
            <v>APROVADO</v>
          </cell>
          <cell r="N811" t="str">
            <v>10</v>
          </cell>
          <cell r="O811">
            <v>46090</v>
          </cell>
          <cell r="P811" t="str">
            <v>PRODUÇÃO DE MARÇO DE 2026</v>
          </cell>
        </row>
        <row r="812">
          <cell r="B812" t="str">
            <v>052136017333.23.10604.01</v>
          </cell>
          <cell r="C812" t="str">
            <v>052136</v>
          </cell>
          <cell r="D812" t="str">
            <v>0173</v>
          </cell>
          <cell r="E812" t="str">
            <v>33.23.10604.01</v>
          </cell>
          <cell r="F812" t="str">
            <v>CONJ. SOLDADO DIREITO POLIA ESTICADORA / 33.23.10604.01</v>
          </cell>
          <cell r="G812" t="str">
            <v>VMI TECNOLOGIAS LTDA</v>
          </cell>
          <cell r="H812">
            <v>46028</v>
          </cell>
          <cell r="I812" t="str">
            <v>MARCO</v>
          </cell>
          <cell r="J812">
            <v>20</v>
          </cell>
          <cell r="K812">
            <v>83.922240000000002</v>
          </cell>
          <cell r="L812">
            <v>1678.44</v>
          </cell>
          <cell r="M812" t="str">
            <v>APROVADO</v>
          </cell>
          <cell r="N812" t="str">
            <v>10</v>
          </cell>
          <cell r="O812">
            <v>46090</v>
          </cell>
          <cell r="P812" t="str">
            <v>PRODUÇÃO DE MARÇO DE 2026</v>
          </cell>
        </row>
        <row r="813">
          <cell r="B813" t="str">
            <v>052136017433.23.10612.01</v>
          </cell>
          <cell r="C813" t="str">
            <v>052136</v>
          </cell>
          <cell r="D813" t="str">
            <v>0174</v>
          </cell>
          <cell r="E813" t="str">
            <v>33.23.10612.01</v>
          </cell>
          <cell r="F813" t="str">
            <v>CONJ. SOLDADO ESQUERDO POLIA ESTICADORA / 33.23.10612.01</v>
          </cell>
          <cell r="G813" t="str">
            <v>VMI TECNOLOGIAS LTDA</v>
          </cell>
          <cell r="H813">
            <v>46028</v>
          </cell>
          <cell r="I813" t="str">
            <v>MARCO</v>
          </cell>
          <cell r="J813">
            <v>20</v>
          </cell>
          <cell r="K813">
            <v>83.922240000000002</v>
          </cell>
          <cell r="L813">
            <v>1678.44</v>
          </cell>
          <cell r="M813" t="str">
            <v>APROVADO</v>
          </cell>
          <cell r="N813" t="str">
            <v>10</v>
          </cell>
          <cell r="O813">
            <v>46090</v>
          </cell>
          <cell r="P813" t="str">
            <v>PRODUÇÃO DE MARÇO DE 2026</v>
          </cell>
        </row>
        <row r="814">
          <cell r="B814" t="str">
            <v>052136017533.23.10622.01</v>
          </cell>
          <cell r="C814" t="str">
            <v>052136</v>
          </cell>
          <cell r="D814" t="str">
            <v>0175</v>
          </cell>
          <cell r="E814" t="str">
            <v>33.23.10622.01</v>
          </cell>
          <cell r="F814" t="str">
            <v>CONJ. SOLDADO BASE LATERAL ESQ. MOTOPOLIA / 33.23.10622.01</v>
          </cell>
          <cell r="G814" t="str">
            <v>VMI TECNOLOGIAS LTDA</v>
          </cell>
          <cell r="H814">
            <v>46028</v>
          </cell>
          <cell r="I814" t="str">
            <v>MARCO</v>
          </cell>
          <cell r="J814">
            <v>20</v>
          </cell>
          <cell r="K814">
            <v>71.827200000000005</v>
          </cell>
          <cell r="L814">
            <v>1436.54</v>
          </cell>
          <cell r="M814" t="str">
            <v>APROVADO</v>
          </cell>
          <cell r="N814" t="str">
            <v>10</v>
          </cell>
          <cell r="O814">
            <v>46090</v>
          </cell>
          <cell r="P814" t="str">
            <v>PRODUÇÃO DE MARÇO DE 2026</v>
          </cell>
        </row>
        <row r="815">
          <cell r="B815" t="str">
            <v>052136017633.23.10627.01</v>
          </cell>
          <cell r="C815" t="str">
            <v>052136</v>
          </cell>
          <cell r="D815" t="str">
            <v>0176</v>
          </cell>
          <cell r="E815" t="str">
            <v>33.23.10627.01</v>
          </cell>
          <cell r="F815" t="str">
            <v>CONJ. SOLDADO BASE LATERAL DIR. MOTOPOLIA / 33.23.10627.01</v>
          </cell>
          <cell r="G815" t="str">
            <v>VMI TECNOLOGIAS LTDA</v>
          </cell>
          <cell r="H815">
            <v>46028</v>
          </cell>
          <cell r="I815" t="str">
            <v>MARCO</v>
          </cell>
          <cell r="J815">
            <v>20</v>
          </cell>
          <cell r="K815">
            <v>71.827200000000005</v>
          </cell>
          <cell r="L815">
            <v>1436.54</v>
          </cell>
          <cell r="M815" t="str">
            <v>APROVADO</v>
          </cell>
          <cell r="N815" t="str">
            <v>10</v>
          </cell>
          <cell r="O815">
            <v>46090</v>
          </cell>
          <cell r="P815" t="str">
            <v>PRODUÇÃO DE MARÇO DE 2026</v>
          </cell>
        </row>
        <row r="816">
          <cell r="B816" t="str">
            <v>052136017733.23.10630.01</v>
          </cell>
          <cell r="C816" t="str">
            <v>052136</v>
          </cell>
          <cell r="D816" t="str">
            <v>0177</v>
          </cell>
          <cell r="E816" t="str">
            <v>33.23.10630.01</v>
          </cell>
          <cell r="F816" t="str">
            <v>TAMPA SUPERIOR DAS EXTREMIDADES / 33.23.10630.01</v>
          </cell>
          <cell r="G816" t="str">
            <v>VMI TECNOLOGIAS LTDA</v>
          </cell>
          <cell r="H816">
            <v>46028</v>
          </cell>
          <cell r="I816" t="str">
            <v>MARCO</v>
          </cell>
          <cell r="J816">
            <v>40</v>
          </cell>
          <cell r="K816">
            <v>66.956159999999997</v>
          </cell>
          <cell r="L816">
            <v>2678.25</v>
          </cell>
          <cell r="M816" t="str">
            <v>APROVADO</v>
          </cell>
          <cell r="N816" t="str">
            <v>10</v>
          </cell>
          <cell r="O816">
            <v>46090</v>
          </cell>
          <cell r="P816" t="str">
            <v>PRODUÇÃO DE MARÇO DE 2026</v>
          </cell>
        </row>
        <row r="817">
          <cell r="B817" t="str">
            <v>052136017933.23.10634.01</v>
          </cell>
          <cell r="C817" t="str">
            <v>052136</v>
          </cell>
          <cell r="D817" t="str">
            <v>0179</v>
          </cell>
          <cell r="E817" t="str">
            <v>33.23.10634.01</v>
          </cell>
          <cell r="F817" t="str">
            <v>CONJUNTO SOLDADO DA BANDELA SUPERIOR / 33.23.10634.01</v>
          </cell>
          <cell r="G817" t="str">
            <v>VMI TECNOLOGIAS LTDA</v>
          </cell>
          <cell r="H817">
            <v>46028</v>
          </cell>
          <cell r="I817" t="str">
            <v>MARCO</v>
          </cell>
          <cell r="J817">
            <v>80</v>
          </cell>
          <cell r="K817">
            <v>62.673360000000002</v>
          </cell>
          <cell r="L817">
            <v>5013.87</v>
          </cell>
          <cell r="M817" t="str">
            <v>APROVADO</v>
          </cell>
          <cell r="N817" t="str">
            <v>10</v>
          </cell>
          <cell r="O817">
            <v>46090</v>
          </cell>
          <cell r="P817" t="str">
            <v>PRODUÇÃO DE MARÇO DE 2026</v>
          </cell>
        </row>
        <row r="818">
          <cell r="B818" t="str">
            <v>052136018033.23.10667.00</v>
          </cell>
          <cell r="C818" t="str">
            <v>052136</v>
          </cell>
          <cell r="D818" t="str">
            <v>0180</v>
          </cell>
          <cell r="E818" t="str">
            <v>33.23.10667.00</v>
          </cell>
          <cell r="F818" t="str">
            <v>CONJ. SOLDADO ESQ. FIXACAO DO ACABAMENTO / 33.23.10667.00</v>
          </cell>
          <cell r="G818" t="str">
            <v>VMI TECNOLOGIAS LTDA</v>
          </cell>
          <cell r="H818">
            <v>46028</v>
          </cell>
          <cell r="I818" t="str">
            <v>MARCO</v>
          </cell>
          <cell r="J818">
            <v>20</v>
          </cell>
          <cell r="K818">
            <v>29.8248</v>
          </cell>
          <cell r="L818">
            <v>596.5</v>
          </cell>
          <cell r="M818" t="str">
            <v>APROVADO</v>
          </cell>
          <cell r="N818" t="str">
            <v>10</v>
          </cell>
          <cell r="O818">
            <v>46090</v>
          </cell>
          <cell r="P818" t="str">
            <v>PRODUÇÃO DE MARÇO DE 2026</v>
          </cell>
        </row>
        <row r="819">
          <cell r="B819" t="str">
            <v>052136018133.23.10670.00</v>
          </cell>
          <cell r="C819" t="str">
            <v>052136</v>
          </cell>
          <cell r="D819" t="str">
            <v>0181</v>
          </cell>
          <cell r="E819" t="str">
            <v>33.23.10670.00</v>
          </cell>
          <cell r="F819" t="str">
            <v>CONJ. SOLDADO DIR. FIXACAO DO ACABAMENTO / 33.23.10670.00</v>
          </cell>
          <cell r="G819" t="str">
            <v>VMI TECNOLOGIAS LTDA</v>
          </cell>
          <cell r="H819">
            <v>46028</v>
          </cell>
          <cell r="I819" t="str">
            <v>MARCO</v>
          </cell>
          <cell r="J819">
            <v>20</v>
          </cell>
          <cell r="K819">
            <v>29.8248</v>
          </cell>
          <cell r="L819">
            <v>596.5</v>
          </cell>
          <cell r="M819" t="str">
            <v>APROVADO</v>
          </cell>
          <cell r="N819" t="str">
            <v>10</v>
          </cell>
          <cell r="O819">
            <v>46090</v>
          </cell>
          <cell r="P819" t="str">
            <v>PRODUÇÃO DE MARÇO DE 2026</v>
          </cell>
        </row>
        <row r="820">
          <cell r="B820" t="str">
            <v>052136018233.94.10152.00</v>
          </cell>
          <cell r="C820" t="str">
            <v>052136</v>
          </cell>
          <cell r="D820" t="str">
            <v>0182</v>
          </cell>
          <cell r="E820" t="str">
            <v>33.94.10152.00</v>
          </cell>
          <cell r="F820" t="str">
            <v>CHAPA TRAVAMENTO MODULOS PARA TRANSPORTE ESQUERDO / 33.94.10152.00</v>
          </cell>
          <cell r="G820" t="str">
            <v>VMI TECNOLOGIAS LTDA</v>
          </cell>
          <cell r="H820">
            <v>46028</v>
          </cell>
          <cell r="I820" t="str">
            <v>MARCO</v>
          </cell>
          <cell r="J820">
            <v>10</v>
          </cell>
          <cell r="K820">
            <v>79.195679999999996</v>
          </cell>
          <cell r="L820">
            <v>791.96</v>
          </cell>
          <cell r="M820" t="str">
            <v>APROVADO</v>
          </cell>
          <cell r="N820" t="str">
            <v>10</v>
          </cell>
          <cell r="O820">
            <v>46090</v>
          </cell>
          <cell r="P820" t="str">
            <v>PRODUÇÃO DE MARÇO DE 2026</v>
          </cell>
        </row>
        <row r="821">
          <cell r="B821" t="str">
            <v>052136018333.99.10023.00</v>
          </cell>
          <cell r="C821" t="str">
            <v>052136</v>
          </cell>
          <cell r="D821" t="str">
            <v>0183</v>
          </cell>
          <cell r="E821" t="str">
            <v>33.99.10023.00</v>
          </cell>
          <cell r="F821" t="str">
            <v>SUPORTE FIXACAO CPU 01 / 33.99.10023.00</v>
          </cell>
          <cell r="G821" t="str">
            <v>VMI TECNOLOGIAS LTDA</v>
          </cell>
          <cell r="H821">
            <v>46028</v>
          </cell>
          <cell r="I821" t="str">
            <v>MARCO</v>
          </cell>
          <cell r="J821">
            <v>66</v>
          </cell>
          <cell r="K821">
            <v>3.7667999999999999</v>
          </cell>
          <cell r="L821">
            <v>248.61</v>
          </cell>
          <cell r="M821" t="str">
            <v>APROVADO</v>
          </cell>
          <cell r="N821" t="str">
            <v>10</v>
          </cell>
          <cell r="O821">
            <v>46090</v>
          </cell>
          <cell r="P821" t="str">
            <v>PRODUÇÃO DE MARÇO DE 2026</v>
          </cell>
        </row>
        <row r="822">
          <cell r="B822" t="str">
            <v>052136018433.99.10023.00</v>
          </cell>
          <cell r="C822" t="str">
            <v>052136</v>
          </cell>
          <cell r="D822" t="str">
            <v>0184</v>
          </cell>
          <cell r="E822" t="str">
            <v>33.99.10023.00</v>
          </cell>
          <cell r="F822" t="str">
            <v>SUPORTE FIXACAO CPU 01 / 33.99.10023.00</v>
          </cell>
          <cell r="G822" t="str">
            <v>VMI TECNOLOGIAS LTDA</v>
          </cell>
          <cell r="H822">
            <v>46028</v>
          </cell>
          <cell r="I822" t="str">
            <v>MARCO</v>
          </cell>
          <cell r="J822">
            <v>1</v>
          </cell>
          <cell r="K822">
            <v>3.7667999999999999</v>
          </cell>
          <cell r="L822">
            <v>3.77</v>
          </cell>
          <cell r="M822" t="str">
            <v>APROVADO</v>
          </cell>
          <cell r="N822" t="str">
            <v>10</v>
          </cell>
          <cell r="O822">
            <v>46090</v>
          </cell>
          <cell r="P822" t="str">
            <v>PRODUÇÃO DE MARÇO DE 2026</v>
          </cell>
        </row>
        <row r="823">
          <cell r="B823" t="str">
            <v>052136018533.99.10024.00</v>
          </cell>
          <cell r="C823" t="str">
            <v>052136</v>
          </cell>
          <cell r="D823" t="str">
            <v>0185</v>
          </cell>
          <cell r="E823" t="str">
            <v>33.99.10024.00</v>
          </cell>
          <cell r="F823" t="str">
            <v>SUPORTE FIXACAO CPU 02 / 33.99.10024.00</v>
          </cell>
          <cell r="G823" t="str">
            <v>VMI TECNOLOGIAS LTDA</v>
          </cell>
          <cell r="H823">
            <v>46028</v>
          </cell>
          <cell r="I823" t="str">
            <v>MARCO</v>
          </cell>
          <cell r="J823">
            <v>1</v>
          </cell>
          <cell r="K823">
            <v>4.7575200000000004</v>
          </cell>
          <cell r="L823">
            <v>4.76</v>
          </cell>
          <cell r="M823" t="str">
            <v>APROVADO</v>
          </cell>
          <cell r="N823" t="str">
            <v>10</v>
          </cell>
          <cell r="O823">
            <v>46090</v>
          </cell>
          <cell r="P823" t="str">
            <v>PRODUÇÃO DE MARÇO DE 2026</v>
          </cell>
        </row>
        <row r="824">
          <cell r="B824" t="str">
            <v>052136018633.99.10024.00</v>
          </cell>
          <cell r="C824" t="str">
            <v>052136</v>
          </cell>
          <cell r="D824" t="str">
            <v>0186</v>
          </cell>
          <cell r="E824" t="str">
            <v>33.99.10024.00</v>
          </cell>
          <cell r="F824" t="str">
            <v>SUPORTE FIXACAO CPU 02 / 33.99.10024.00</v>
          </cell>
          <cell r="G824" t="str">
            <v>VMI TECNOLOGIAS LTDA</v>
          </cell>
          <cell r="H824">
            <v>46028</v>
          </cell>
          <cell r="I824" t="str">
            <v>MARCO</v>
          </cell>
          <cell r="J824">
            <v>110</v>
          </cell>
          <cell r="K824">
            <v>4.7575200000000004</v>
          </cell>
          <cell r="L824">
            <v>523.33000000000004</v>
          </cell>
          <cell r="M824" t="str">
            <v>APROVADO</v>
          </cell>
          <cell r="N824" t="str">
            <v>10</v>
          </cell>
          <cell r="O824">
            <v>46090</v>
          </cell>
          <cell r="P824" t="str">
            <v>PRODUÇÃO DE MARÇO DE 2026</v>
          </cell>
        </row>
        <row r="825">
          <cell r="B825" t="str">
            <v>052136018733.99.10030.00</v>
          </cell>
          <cell r="C825" t="str">
            <v>052136</v>
          </cell>
          <cell r="D825" t="str">
            <v>0187</v>
          </cell>
          <cell r="E825" t="str">
            <v>33.99.10030.00</v>
          </cell>
          <cell r="F825" t="str">
            <v>GRADE DA SILICA / 33.99.10030.00</v>
          </cell>
          <cell r="G825" t="str">
            <v>VMI TECNOLOGIAS LTDA</v>
          </cell>
          <cell r="H825">
            <v>46028</v>
          </cell>
          <cell r="I825" t="str">
            <v>MARCO</v>
          </cell>
          <cell r="J825">
            <v>2</v>
          </cell>
          <cell r="K825">
            <v>8.7720000000000002</v>
          </cell>
          <cell r="L825">
            <v>17.54</v>
          </cell>
          <cell r="M825" t="str">
            <v>APROVADO</v>
          </cell>
          <cell r="N825" t="str">
            <v>10</v>
          </cell>
          <cell r="O825">
            <v>46090</v>
          </cell>
          <cell r="P825" t="str">
            <v>PRODUÇÃO DE MARÇO DE 2026</v>
          </cell>
        </row>
        <row r="826">
          <cell r="B826" t="str">
            <v>052136018833.99.10030.00</v>
          </cell>
          <cell r="C826" t="str">
            <v>052136</v>
          </cell>
          <cell r="D826" t="str">
            <v>0188</v>
          </cell>
          <cell r="E826" t="str">
            <v>33.99.10030.00</v>
          </cell>
          <cell r="F826" t="str">
            <v>GRADE DA SILICA / 33.99.10030.00</v>
          </cell>
          <cell r="G826" t="str">
            <v>VMI TECNOLOGIAS LTDA</v>
          </cell>
          <cell r="H826">
            <v>46028</v>
          </cell>
          <cell r="I826" t="str">
            <v>MARCO</v>
          </cell>
          <cell r="J826">
            <v>67</v>
          </cell>
          <cell r="K826">
            <v>8.7720000000000002</v>
          </cell>
          <cell r="L826">
            <v>587.72</v>
          </cell>
          <cell r="M826" t="str">
            <v>APROVADO</v>
          </cell>
          <cell r="N826" t="str">
            <v>10</v>
          </cell>
          <cell r="O826">
            <v>46090</v>
          </cell>
          <cell r="P826" t="str">
            <v>PRODUÇÃO DE MARÇO DE 2026</v>
          </cell>
        </row>
        <row r="827">
          <cell r="B827" t="str">
            <v>052136018933.99.10040.02</v>
          </cell>
          <cell r="C827" t="str">
            <v>052136</v>
          </cell>
          <cell r="D827" t="str">
            <v>0189</v>
          </cell>
          <cell r="E827" t="str">
            <v>33.99.10040.02</v>
          </cell>
          <cell r="F827" t="str">
            <v>SUPORTE COOLERS TUBO DV / 33.99.10040.02</v>
          </cell>
          <cell r="G827" t="str">
            <v>VMI TECNOLOGIAS LTDA</v>
          </cell>
          <cell r="H827">
            <v>46028</v>
          </cell>
          <cell r="I827" t="str">
            <v>MARCO</v>
          </cell>
          <cell r="J827">
            <v>7</v>
          </cell>
          <cell r="K827">
            <v>60.279119999999999</v>
          </cell>
          <cell r="L827">
            <v>421.95</v>
          </cell>
          <cell r="M827" t="str">
            <v>APROVADO</v>
          </cell>
          <cell r="N827" t="str">
            <v>10</v>
          </cell>
          <cell r="O827">
            <v>46090</v>
          </cell>
          <cell r="P827" t="str">
            <v>PRODUÇÃO DE MARÇO DE 2026</v>
          </cell>
        </row>
        <row r="828">
          <cell r="B828" t="str">
            <v>052136019033.99.10040.02</v>
          </cell>
          <cell r="C828" t="str">
            <v>052136</v>
          </cell>
          <cell r="D828" t="str">
            <v>0190</v>
          </cell>
          <cell r="E828" t="str">
            <v>33.99.10040.02</v>
          </cell>
          <cell r="F828" t="str">
            <v>SUPORTE COOLERS TUBO DV / 33.99.10040.02</v>
          </cell>
          <cell r="G828" t="str">
            <v>VMI TECNOLOGIAS LTDA</v>
          </cell>
          <cell r="H828">
            <v>46028</v>
          </cell>
          <cell r="I828" t="str">
            <v>MARCO</v>
          </cell>
          <cell r="J828">
            <v>4</v>
          </cell>
          <cell r="K828">
            <v>60.279119999999999</v>
          </cell>
          <cell r="L828">
            <v>241.12</v>
          </cell>
          <cell r="M828" t="str">
            <v>APROVADO</v>
          </cell>
          <cell r="N828" t="str">
            <v>10</v>
          </cell>
          <cell r="O828">
            <v>46090</v>
          </cell>
          <cell r="P828" t="str">
            <v>PRODUÇÃO DE MARÇO DE 2026</v>
          </cell>
        </row>
        <row r="829">
          <cell r="B829" t="str">
            <v>052136019133.99.10053.00</v>
          </cell>
          <cell r="C829" t="str">
            <v>052136</v>
          </cell>
          <cell r="D829" t="str">
            <v>0191</v>
          </cell>
          <cell r="E829" t="str">
            <v>33.99.10053.00</v>
          </cell>
          <cell r="F829" t="str">
            <v>SUPORTE DE PLACA BIVOLT AUTOMATICO / 33.99.10053.00</v>
          </cell>
          <cell r="G829" t="str">
            <v>VMI TECNOLOGIAS LTDA</v>
          </cell>
          <cell r="H829">
            <v>46028</v>
          </cell>
          <cell r="I829" t="str">
            <v>MARCO</v>
          </cell>
          <cell r="J829">
            <v>13</v>
          </cell>
          <cell r="K829">
            <v>10.1652</v>
          </cell>
          <cell r="L829">
            <v>132.15</v>
          </cell>
          <cell r="M829" t="str">
            <v>APROVADO</v>
          </cell>
          <cell r="N829" t="str">
            <v>10</v>
          </cell>
          <cell r="O829">
            <v>46090</v>
          </cell>
          <cell r="P829" t="str">
            <v>PRODUÇÃO DE MARÇO DE 2026</v>
          </cell>
        </row>
        <row r="830">
          <cell r="B830" t="str">
            <v>052136019233.99.10055.01</v>
          </cell>
          <cell r="C830" t="str">
            <v>052136</v>
          </cell>
          <cell r="D830" t="str">
            <v>0192</v>
          </cell>
          <cell r="E830" t="str">
            <v>33.99.10055.01</v>
          </cell>
          <cell r="F830" t="str">
            <v>QUADRO ELETRICO / 33.99.10055.01</v>
          </cell>
          <cell r="G830" t="str">
            <v>VMI TECNOLOGIAS LTDA</v>
          </cell>
          <cell r="H830">
            <v>46028</v>
          </cell>
          <cell r="I830" t="str">
            <v>MARCO</v>
          </cell>
          <cell r="J830">
            <v>18</v>
          </cell>
          <cell r="K830">
            <v>154.07708400000001</v>
          </cell>
          <cell r="L830">
            <v>2773.39</v>
          </cell>
          <cell r="M830" t="str">
            <v>APROVADO</v>
          </cell>
          <cell r="N830" t="str">
            <v>10</v>
          </cell>
          <cell r="O830">
            <v>46090</v>
          </cell>
          <cell r="P830" t="str">
            <v>PRODUÇÃO DE MARÇO DE 2026</v>
          </cell>
        </row>
        <row r="831">
          <cell r="B831"/>
          <cell r="C831"/>
          <cell r="D831"/>
          <cell r="E831"/>
          <cell r="F831"/>
          <cell r="G831"/>
          <cell r="H831"/>
          <cell r="I831"/>
          <cell r="J831"/>
          <cell r="K831"/>
          <cell r="L831"/>
          <cell r="M831"/>
          <cell r="N831"/>
          <cell r="O831"/>
          <cell r="P831"/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rco Rosa" refreshedDate="46076.397457638886" createdVersion="5" refreshedVersion="5" minRefreshableVersion="3" recordCount="769">
  <cacheSource type="worksheet">
    <worksheetSource ref="A1:R770" sheet="OC'S METALFISA GERAL"/>
  </cacheSource>
  <cacheFields count="18">
    <cacheField name="CONCATENAR" numFmtId="0">
      <sharedItems/>
    </cacheField>
    <cacheField name="OC" numFmtId="0">
      <sharedItems count="27">
        <s v="036137"/>
        <s v="036605"/>
        <s v="036620"/>
        <s v="036622"/>
        <s v="037335"/>
        <s v="037485"/>
        <s v="037634"/>
        <s v="038053"/>
        <s v="046695"/>
        <s v="046755"/>
        <s v="047542"/>
        <s v="047809"/>
        <s v="047973"/>
        <s v="048098"/>
        <s v="048653"/>
        <s v="048978"/>
        <s v="049117"/>
        <s v="049151"/>
        <s v="049278"/>
        <s v="049541"/>
        <s v="049636"/>
        <s v="049818"/>
        <s v="049826"/>
        <s v="052204"/>
        <s v="052728"/>
        <s v="052814"/>
        <s v="049835" u="1"/>
      </sharedItems>
    </cacheField>
    <cacheField name="ITEM_OC" numFmtId="0">
      <sharedItems/>
    </cacheField>
    <cacheField name="PRODUTO" numFmtId="0">
      <sharedItems count="599">
        <s v="33.20.10147.01"/>
        <s v="34.01.10120.00"/>
        <s v="21.23.02329"/>
        <s v="33.12.10398.00"/>
        <s v="33.20.10253.02"/>
        <s v="33.20.10566.00"/>
        <s v="34.06.10000.03"/>
        <s v="33.08.10244.00"/>
        <s v="33.02.10037.01"/>
        <s v="21.23.01314"/>
        <s v="21.23.01329"/>
        <s v="21.23.01331"/>
        <s v="21.23.01468"/>
        <s v="21.23.02787"/>
        <s v="21.23.02788"/>
        <s v="21.23.02022"/>
        <s v="33.08.10242.00"/>
        <s v="21.23.02267"/>
        <s v="33.12.10550.00"/>
        <s v="21.23.01301"/>
        <s v="13.03.00124"/>
        <s v="13.03.00232"/>
        <s v="21.23.00222"/>
        <s v="21.23.04635"/>
        <s v="33.14.10274.00"/>
        <s v="33.99.10024.00"/>
        <s v="21.23.02280"/>
        <s v="33.03.10306.02"/>
        <s v="33.99.10023.00"/>
        <s v="21.23.01023"/>
        <s v="21.23.01026"/>
        <s v="21.23.00879"/>
        <s v="21.23.01302"/>
        <s v="21.23.01451"/>
        <s v="21.23.02281"/>
        <s v="21.23.02784"/>
        <s v="21.23.02786"/>
        <s v="21.23.03306"/>
        <s v="21.23.04292"/>
        <s v="33.08.10283.00"/>
        <s v="33.08.10305.00"/>
        <s v="33.08.10307.00"/>
        <s v="33.20.10255.01"/>
        <s v="33.20.10251.02"/>
        <s v="13.01.00054"/>
        <s v="13.03.00055"/>
        <s v="13.03.00056"/>
        <s v="13.03.00062"/>
        <s v="13.03.00065"/>
        <s v="13.03.00080"/>
        <s v="13.03.00111"/>
        <s v="13.03.00112"/>
        <s v="13.03.00123"/>
        <s v="13.03.00143"/>
        <s v="13.03.00165"/>
        <s v="13.03.00166"/>
        <s v="13.03.00212"/>
        <s v="21.23.00198"/>
        <s v="21.23.00202"/>
        <s v="21.23.00235"/>
        <s v="21.23.00239"/>
        <s v="21.23.00250"/>
        <s v="21.23.02069"/>
        <s v="21.23.02070"/>
        <s v="21.23.02078"/>
        <s v="21.23.02087"/>
        <s v="21.23.02088"/>
        <s v="21.23.02090"/>
        <s v="21.23.02091"/>
        <s v="21.23.02092"/>
        <s v="21.23.02104"/>
        <s v="21.23.03666"/>
        <s v="21.23.03667"/>
        <s v="21.23.04599"/>
        <s v="21.23.04600"/>
        <s v="21.23.04601"/>
        <s v="21.23.04602"/>
        <s v="21.23.04618"/>
        <s v="21.23.04620"/>
        <s v="21.23.04622"/>
        <s v="21.23.04712"/>
        <s v="21.23.04713"/>
        <s v="33.14.10239.00"/>
        <s v="33.14.10244.01"/>
        <s v="33.14.10252.00"/>
        <s v="33.14.10254.00"/>
        <s v="33.14.10255.00"/>
        <s v="33.14.10257.00"/>
        <s v="33.14.10258.00"/>
        <s v="33.14.10267.00"/>
        <s v="33.14.10268.00"/>
        <s v="33.14.10269.00"/>
        <s v="21.23.01324"/>
        <s v="21.23.02785"/>
        <s v="21.23.04496"/>
        <s v="33.11.10000.04"/>
        <s v="33.11.10017.01"/>
        <s v="33.11.10029.03"/>
        <s v="33.11.10030.01"/>
        <s v="33.11.10033.00"/>
        <s v="33.11.10050.01"/>
        <s v="33.11.10061.01"/>
        <s v="33.11.10064.01"/>
        <s v="33.11.10065.01"/>
        <s v="33.11.10067.01"/>
        <s v="33.11.10069.00"/>
        <s v="33.11.10070.01"/>
        <s v="33.11.10072.00"/>
        <s v="33.11.10075.00"/>
        <s v="33.11.10076.01"/>
        <s v="33.11.10077.01"/>
        <s v="33.11.10079.01"/>
        <s v="33.11.10092.01"/>
        <s v="33.11.10094.01"/>
        <s v="33.11.10135.03"/>
        <s v="33.11.10139.01"/>
        <s v="33.11.10149.01"/>
        <s v="33.11.10150.00"/>
        <s v="33.11.10160.01"/>
        <s v="33.11.10170.00"/>
        <s v="33.11.10171.00"/>
        <s v="33.11.10172.00"/>
        <s v="33.11.10173.00"/>
        <s v="33.11.10175.00"/>
        <s v="33.11.10182.00"/>
        <s v="33.11.10183.00"/>
        <s v="33.11.10186.01"/>
        <s v="33.11.10204.00"/>
        <s v="33.11.10215.00"/>
        <s v="33.11.10216.00"/>
        <s v="33.11.10218.00"/>
        <s v="33.11.10220.00"/>
        <s v="33.11.10223.00"/>
        <s v="33.11.10225.00"/>
        <s v="33.11.10232.01"/>
        <s v="33.11.10234.01"/>
        <s v="33.11.10250.02"/>
        <s v="33.11.10263.00"/>
        <s v="33.11.10270.00"/>
        <s v="33.11.10277.00"/>
        <s v="33.11.10284.00"/>
        <s v="33.11.10287.00"/>
        <s v="33.11.10288.00"/>
        <s v="33.11.10290.00"/>
        <s v="33.11.10314.02"/>
        <s v="33.11.10322.01"/>
        <s v="33.11.10380.00"/>
        <s v="33.11.10400.00"/>
        <s v="33.11.10403.01"/>
        <s v="33.11.10404.00"/>
        <s v="33.11.10417.00"/>
        <s v="33.11.10419.00"/>
        <s v="33.11.10425.01"/>
        <s v="33.11.10441.00"/>
        <s v="33.11.10442.01"/>
        <s v="33.11.10447.01"/>
        <s v="33.11.10452.00"/>
        <s v="33.11.10475.01"/>
        <s v="33.11.10488.00"/>
        <s v="33.11.10493.00"/>
        <s v="33.11.10494.01"/>
        <s v="33.11.10498.01"/>
        <s v="33.11.10499.01"/>
        <s v="33.11.10505.00"/>
        <s v="33.11.10515.00"/>
        <s v="33.11.10517.02"/>
        <s v="33.11.10530.01"/>
        <s v="33.11.10593.01"/>
        <s v="33.11.10594.00"/>
        <s v="33.11.10611.01"/>
        <s v="33.11.10616.00"/>
        <s v="33.11.10618.00"/>
        <s v="33.11.10621.01"/>
        <s v="33.11.10623.00"/>
        <s v="33.11.10625.00"/>
        <s v="33.11.10633.00"/>
        <s v="33.11.10634.00"/>
        <s v="33.11.10647.00"/>
        <s v="33.11.10648.00"/>
        <s v="33.11.10658.00"/>
        <s v="33.11.10660.00"/>
        <s v="33.11.10666.00"/>
        <s v="33.11.10675.01"/>
        <s v="33.11.10683.00"/>
        <s v="33.11.10692.00"/>
        <s v="33.11.10694.01"/>
        <s v="33.11.10723.00"/>
        <s v="33.11.10726.01"/>
        <s v="33.11.10727.01"/>
        <s v="33.11.10736.00"/>
        <s v="33.11.10741.00"/>
        <s v="33.11.10743.01"/>
        <s v="33.11.10744.01"/>
        <s v="33.11.10750.02"/>
        <s v="33.11.10752.01"/>
        <s v="33.11.10753.01"/>
        <s v="33.11.10755.02"/>
        <s v="33.11.10758.01"/>
        <s v="33.11.10760.00"/>
        <s v="33.11.10770.00"/>
        <s v="33.11.10772.00"/>
        <s v="33.11.10773.00"/>
        <s v="33.11.10774.00"/>
        <s v="33.11.10775.00"/>
        <s v="33.11.10776.00"/>
        <s v="33.11.10785.01"/>
        <s v="33.11.10786.01"/>
        <s v="33.11.10787.00"/>
        <s v="33.11.10794.00"/>
        <s v="33.11.10796.00"/>
        <s v="33.11.10798.00"/>
        <s v="33.11.10799.00"/>
        <s v="33.11.10803.00"/>
        <s v="33.11.10804.00"/>
        <s v="33.11.10871.00"/>
        <s v="33.11.10896.00"/>
        <s v="33.11.10897.00"/>
        <s v="33.11.10898.00"/>
        <s v="33.11.10926.00"/>
        <s v="33.11.10936.00"/>
        <s v="33.11.10937.00"/>
        <s v="33.11.10940.00"/>
        <s v="33.11.10942.00"/>
        <s v="33.11.10966.00"/>
        <s v="33.11.10986.00"/>
        <s v="33.11.10987.00"/>
        <s v="33.11.11008.00"/>
        <s v="33.11.11009.00"/>
        <s v="33.11.11011.00"/>
        <s v="33.11.11019.00"/>
        <s v="33.11.11022.00"/>
        <s v="33.11.11023.00"/>
        <s v="33.11.11024.00"/>
        <s v="33.11.11025.00"/>
        <s v="33.11.11032.00"/>
        <s v="33.11.11033.00"/>
        <s v="33.11.11049.00"/>
        <s v="33.11.11060.00"/>
        <s v="33.11.11061.00"/>
        <s v="33.11.11070.00"/>
        <s v="33.11.11071.00"/>
        <s v="33.11.11073.00"/>
        <s v="33.11.11074.00"/>
        <s v="33.11.11075.00"/>
        <s v="33.11.11078.00"/>
        <s v="33.11.11079.00"/>
        <s v="33.11.11080.00"/>
        <s v="33.11.11081.00"/>
        <s v="33.11.11085.00"/>
        <s v="33.11.11086.00"/>
        <s v="33.11.11087.00"/>
        <s v="33.11.11089.00"/>
        <s v="33.11.11090.00"/>
        <s v="33.11.11091.00"/>
        <s v="33.11.11092.00"/>
        <s v="33.11.11093.00"/>
        <s v="33.11.11094.00"/>
        <s v="33.11.11095.00"/>
        <s v="33.11.11096.00"/>
        <s v="33.11.11099.00"/>
        <s v="33.11.11100.00"/>
        <s v="33.11.11105.00"/>
        <s v="33.11.11106.00"/>
        <s v="33.11.11108.00"/>
        <s v="33.11.11110.00"/>
        <s v="33.11.11111.00"/>
        <s v="33.11.11112.00"/>
        <s v="33.21.10308.00"/>
        <s v="34.06.10002.00"/>
        <s v="33.03.11361.01"/>
        <s v="13.03.00005"/>
        <s v="13.03.00057"/>
        <s v="13.03.00059"/>
        <s v="13.03.00081"/>
        <s v="13.03.00110"/>
        <s v="13.03.00125"/>
        <s v="13.03.00164"/>
        <s v="13.03.00167"/>
        <s v="13.03.00186"/>
        <s v="13.03.00215"/>
        <s v="13.03.00227"/>
        <s v="21.23.00197"/>
        <s v="21.23.00201"/>
        <s v="21.23.00204"/>
        <s v="21.23.00211"/>
        <s v="21.23.00213"/>
        <s v="21.23.00215"/>
        <s v="21.23.00221"/>
        <s v="21.23.00224"/>
        <s v="21.23.00225"/>
        <s v="21.23.00226"/>
        <s v="21.23.00233"/>
        <s v="21.23.00245"/>
        <s v="21.23.01466"/>
        <s v="21.23.02046"/>
        <s v="21.23.02052"/>
        <s v="21.23.02053"/>
        <s v="21.23.02054"/>
        <s v="21.23.02055"/>
        <s v="21.23.02068"/>
        <s v="21.23.02071"/>
        <s v="21.23.02072"/>
        <s v="21.23.02073"/>
        <s v="21.23.02074"/>
        <s v="21.23.02075"/>
        <s v="21.23.02079"/>
        <s v="21.23.02080"/>
        <s v="21.23.02081"/>
        <s v="21.23.02082"/>
        <s v="21.23.02083"/>
        <s v="21.23.02084"/>
        <s v="21.23.02086"/>
        <s v="21.23.02097"/>
        <s v="21.23.02098"/>
        <s v="21.23.02100"/>
        <s v="21.23.02102"/>
        <s v="21.23.02103"/>
        <s v="21.23.02105"/>
        <s v="21.23.02107"/>
        <s v="21.23.02108"/>
        <s v="21.23.03668"/>
        <s v="21.23.03669"/>
        <s v="21.23.03670"/>
        <s v="21.23.03803"/>
        <s v="21.23.04593"/>
        <s v="21.23.04598"/>
        <s v="21.23.04605"/>
        <s v="21.23.04608"/>
        <s v="21.23.04617"/>
        <s v="33.14.10259.00"/>
        <s v="33.14.10260.00"/>
        <s v="33.14.10270.00"/>
        <s v="33.14.10271.00"/>
        <s v="21.23.00958"/>
        <s v="21.23.00964"/>
        <s v="21.23.00967"/>
        <s v="21.23.00971"/>
        <s v="21.23.00972"/>
        <s v="21.23.00973"/>
        <s v="21.23.00995"/>
        <s v="21.23.01007"/>
        <s v="21.23.01019"/>
        <s v="21.23.01032"/>
        <s v="21.23.01039"/>
        <s v="21.23.01172"/>
        <s v="21.23.01287"/>
        <s v="21.23.01288"/>
        <s v="21.23.01289"/>
        <s v="21.23.01290"/>
        <s v="21.23.01295"/>
        <s v="21.23.01296"/>
        <s v="21.23.01298"/>
        <s v="21.23.01662"/>
        <s v="21.23.02248"/>
        <s v="21.23.02258"/>
        <s v="21.23.02263"/>
        <s v="21.23.02265"/>
        <s v="21.23.02268"/>
        <s v="21.23.02270"/>
        <s v="21.23.02272"/>
        <s v="21.23.02274"/>
        <s v="21.23.02276"/>
        <s v="21.23.02279"/>
        <s v="21.23.02282"/>
        <s v="21.23.02284"/>
        <s v="21.23.02285"/>
        <s v="21.23.02288"/>
        <s v="21.23.02289"/>
        <s v="21.23.02291"/>
        <s v="21.23.02292"/>
        <s v="21.23.02300"/>
        <s v="21.23.02304"/>
        <s v="21.23.02307"/>
        <s v="21.23.02308"/>
        <s v="21.23.02313"/>
        <s v="21.23.02315"/>
        <s v="21.23.02316"/>
        <s v="21.23.02320"/>
        <s v="21.23.02322"/>
        <s v="21.23.02327"/>
        <s v="21.23.02333"/>
        <s v="21.23.02334"/>
        <s v="21.23.02338"/>
        <s v="21.23.04168"/>
        <s v="21.23.04169"/>
        <s v="21.23.04290"/>
        <s v="21.23.04291"/>
        <s v="21.23.04495"/>
        <s v="21.23.04497"/>
        <s v="21.23.04498"/>
        <s v="21.23.04507"/>
        <s v="21.23.04680"/>
        <s v="21.23.04779"/>
        <s v="21.23.04812"/>
        <s v="33.03.10298.01"/>
        <s v="33.03.10305.03"/>
        <s v="33.03.10343.00"/>
        <s v="33.03.90024.00"/>
        <s v="33.12.10410.00"/>
        <s v="33.12.10411.00"/>
        <s v="33.12.10537.00"/>
        <s v="33.12.10538.00"/>
        <s v="33.12.10545.03"/>
        <s v="33.12.10548.01"/>
        <s v="33.12.10550.01"/>
        <s v="33.12.10574.01"/>
        <s v="33.12.10584.00"/>
        <s v="33.12.10590.01"/>
        <s v="33.12.10591.01"/>
        <s v="33.12.10592.01"/>
        <s v="33.12.10595.00"/>
        <s v="33.12.10604.00"/>
        <s v="33.12.10612.00"/>
        <s v="33.12.10613.00"/>
        <s v="33.12.10616.00"/>
        <s v="33.12.10617.01"/>
        <s v="33.21.10547.01"/>
        <s v="33.99.10053.00"/>
        <s v="21.23.02931"/>
        <s v="21.23.03300"/>
        <s v="21.23.03320"/>
        <s v="21.23.03328"/>
        <s v="21.23.03329"/>
        <s v="33.03.10214.01"/>
        <s v="33.03.10225.00"/>
        <s v="33.03.10236.02"/>
        <s v="33.03.10275.00"/>
        <s v="33.03.11366.01"/>
        <s v="33.03.11368.01"/>
        <s v="33.03.11409.01"/>
        <s v="33.08.10219.00"/>
        <s v="33.08.10275.00"/>
        <s v="33.20.10227.02"/>
        <s v="33.20.10257.01"/>
        <s v="33.20.10307.02"/>
        <s v="33.20.10335.01"/>
        <s v="33.99.10031.00"/>
        <s v="33.99.10042.01"/>
        <s v="33.99.10043.00"/>
        <s v="21.23.01132"/>
        <s v="21.23.01140"/>
        <s v="21.23.01141"/>
        <s v="21.23.01150"/>
        <s v="21.23.01312"/>
        <s v="21.23.01313"/>
        <s v="21.23.01315"/>
        <s v="21.23.01317"/>
        <s v="21.23.01319"/>
        <s v="21.23.01320"/>
        <s v="21.23.01323"/>
        <s v="21.23.01330"/>
        <s v="21.23.01335"/>
        <s v="21.23.01336"/>
        <s v="21.23.01612"/>
        <s v="21.23.02014"/>
        <s v="21.23.02015"/>
        <s v="21.23.02016"/>
        <s v="21.23.02018"/>
        <s v="21.23.02019"/>
        <s v="21.23.02021"/>
        <s v="21.23.02789"/>
        <s v="21.23.02790"/>
        <s v="21.23.02796"/>
        <s v="21.23.02797"/>
        <s v="21.23.03309"/>
        <s v="21.23.03311"/>
        <s v="21.23.03392"/>
        <s v="33.02.10034.02"/>
        <s v="33.02.10037.02"/>
        <s v="33.02.10044.02"/>
        <s v="33.03.10207.01"/>
        <s v="33.03.10235.01"/>
        <s v="33.03.10239.01"/>
        <s v="33.03.10240.02"/>
        <s v="33.08.10245.02"/>
        <s v="33.08.10249.02"/>
        <s v="33.08.10252.00"/>
        <s v="21.23.00875"/>
        <s v="21.23.00877"/>
        <s v="21.23.02017"/>
        <s v="33.08.10291.02"/>
        <s v="13.03.00163"/>
        <s v="13.03.00191"/>
        <s v="13.03.00201"/>
        <s v="21.23.01042"/>
        <s v="21.23.01456"/>
        <s v="21.23.02106"/>
        <s v="21.23.02254"/>
        <s v="21.23.02309"/>
        <s v="21.23.02331"/>
        <s v="21.23.02343"/>
        <s v="21.23.02451"/>
        <s v="21.23.04272"/>
        <s v="21.23.04494"/>
        <s v="21.23.04493"/>
        <s v="21.23.04654"/>
        <s v="21.23.04655"/>
        <s v="21.23.04813"/>
        <s v="21.23.04815"/>
        <s v="33.08.10128.01"/>
        <s v="33.08.10217.00"/>
        <s v="33.11.10423.01"/>
        <s v="33.11.10728.00"/>
        <s v="33.11.10978.00"/>
        <s v="33.12.10027.01"/>
        <s v="33.12.10580.00"/>
        <s v="33.12.10598.00"/>
        <s v="33.12.10601.00"/>
        <s v="33.20.10018.01"/>
        <s v="33.20.10050.01"/>
        <s v="33.20.10275.01"/>
        <s v="33.20.10521.02"/>
        <s v="34.06.10013.00"/>
        <s v="34.13.20001.00"/>
        <s v="33.03.10351.03"/>
        <s v="21.23.01364"/>
        <s v="21.23.01409"/>
        <s v="21.23.04637"/>
        <s v="21.23.04638"/>
        <s v="33.03.10540.00"/>
        <s v="21.23.04807" u="1"/>
        <s v="21.23.04808" u="1"/>
        <s v="21.23.04809" u="1"/>
        <s v="13.03.00229" u="1"/>
        <s v="21.23.02093" u="1"/>
        <s v="21.23.01054" u="1"/>
        <s v="21.23.02095" u="1"/>
        <s v="21.23.02096" u="1"/>
        <s v="33.11.10090.00" u="1"/>
        <s v="21.23.02099" u="1"/>
        <s v="21.23.02085" u="1"/>
        <s v="21.23.02089" u="1"/>
        <s v="21.23.02290" u="1"/>
        <s v="33.11.10078.01" u="1"/>
        <s v="21.23.00212" u="1"/>
        <s v="33.11.10180.00" u="1"/>
        <s v="33.11.10088.00" u="1"/>
        <s v="33.11.10074.00" u="1"/>
        <s v="33.11.10178.01" u="1"/>
        <s v="21.23.02286" u="1"/>
        <s v="33.11.10272.01" u="1"/>
        <s v="33.11.10040.00" u="1"/>
        <s v="33.11.10396.01" u="1"/>
        <s v="33.11.10397.01" u="1"/>
        <s v="21.23.02277" u="1"/>
        <s v="33.11.10398.01" u="1"/>
        <s v="33.11.11097.00" u="1"/>
        <s v="33.03.11184.01" u="1"/>
        <s v="33.11.10286.00" u="1"/>
        <s v="33.11.10046.00" u="1"/>
        <s v="33.11.10275.00" u="1"/>
        <s v="33.11.10023.00" u="1"/>
        <s v="33.11.10026.00" u="1"/>
        <s v="33.11.10495.00" u="1"/>
        <s v="33.11.11040.00" u="1"/>
        <s v="21.23.02101" u="1"/>
        <s v="33.11.10210.01" u="1"/>
        <s v="33.11.10205.02" u="1"/>
        <s v="33.14.10263.00" u="1"/>
        <s v="33.11.11046.00" u="1"/>
        <s v="33.11.10353.00" u="1"/>
        <s v="33.11.10213.01" u="1"/>
        <s v="33.14.10265.00" u="1"/>
        <s v="33.11.10221.00" u="1"/>
        <s v="33.11.10101.00" u="1"/>
        <s v="33.11.10200.00" u="1"/>
        <s v="33.11.11028.00" u="1"/>
        <s v="33.11.10217.00" u="1"/>
        <s v="33.20.10561.00" u="1"/>
        <s v="21.23.02306" u="1"/>
        <s v="33.03.10206.00" u="1"/>
        <s v="33.11.10568.00" u="1"/>
        <s v="33.11.11006.00" u="1"/>
        <s v="33.11.10795.00" u="1"/>
        <s v="33.11.10540.00" u="1"/>
        <s v="33.11.10414.01" u="1"/>
        <s v="21.23.02415" u="1"/>
        <s v="33.11.10797.00" u="1"/>
        <s v="21.23.00924" u="1"/>
        <s v="33.11.10410.00" u="1"/>
        <s v="33.12.10542.00" u="1"/>
        <s v="33.11.10640.00" u="1"/>
        <s v="33.11.10500.01" u="1"/>
        <s v="33.11.10416.00" u="1"/>
        <s v="33.11.10620.00" u="1"/>
        <s v="33.11.10742.00" u="1"/>
        <s v="33.11.10970.00" u="1"/>
        <s v="33.11.10985.00" u="1"/>
        <s v="33.11.10989.00" u="1"/>
        <s v="33.11.10603.00" u="1"/>
        <s v="21.23.04558" u="1"/>
        <s v="33.11.10965.00" u="1"/>
        <s v="33.11.10619.00" u="1"/>
        <s v="33.11.10967.00" u="1"/>
        <s v="21.23.04787" u="1"/>
        <s v="33.11.10608.00" u="1"/>
        <s v="21.23.03920" u="1"/>
        <s v="21.23.03918" u="1"/>
        <s v="21.23.03919" u="1"/>
      </sharedItems>
    </cacheField>
    <cacheField name="DESC_PRODUTO" numFmtId="0">
      <sharedItems count="599">
        <s v="CHAPA FECHAMENTO MOVEL COLIMADOR SV / 33.20.10147.01"/>
        <s v="TOTEM  PARA MONITOR ATE 27 POL / 34.01.10120.00"/>
        <s v="FECHAMENTO SV AO LADO DA CAIXA 02 \ AA_6048_00"/>
        <s v="TRAVA DA BALANCA - DIREITA / 33.12.10398.00"/>
        <s v="ACABAMENTO ESTEIRA 02 / 33.20.10253.02"/>
        <s v="TAMPA CENTRAL 01 / 33.20.10566.00"/>
        <s v="CASE TECLADO SPECTRUM / 34.06.10000.03"/>
        <s v="TAMPA CENTRAL SILKADO / 33.08.10244.00"/>
        <s v="ACABAMENTO ESTEIRA MOTOPOLIA DIREITO / 33.02.10037.01"/>
        <s v="ACABAMENTO INTERNO MEIO \ AA_3310_01"/>
        <s v="ACABAMENTO DA QUINA \ AA_3330_01"/>
        <s v="TAMPA TRASEIRA \ AA_3334_01"/>
        <s v="DISTANCIADOR RODIZIO \ AA_3476_04"/>
        <s v="PECA EXTERNA DA PORTA 01 \ AA_7625_02"/>
        <s v="PECA INTERNA DA PORTA 01 \ AA_7626_00"/>
        <s v="CONJ. TRAVESSA COLUNA_PERFIL 01 \ AA_7092_02"/>
        <s v="TAMPA CENTRAL / 33.08.10242.00"/>
        <s v="APOIO DA SOLENOIDE / AA_9998_06"/>
        <s v="SOLDA CAIXA DETECTORA DV / 33.12.10550.00"/>
        <s v="FECHAMENTO 02 SEM CORRIMAO \ AA_4496_00"/>
        <s v="DMC-281 - TAMPA PORTA MENOR ESQUERDA \ AA_0281_04"/>
        <s v="DISTRIBUICAO CABOS 07 \ AA_1183_03"/>
        <s v="MANCAL \ AA_1617_01"/>
        <s v="PERFIL DE FIXACAO TUNEL 02 / AA_9718_01"/>
        <s v="TAMPA LATERAL DA PONTA ESQUERDA INGLES / PORTUGUES / 33.14.10274.00"/>
        <s v="SUPORTE FIXACAO CPU 02 / 33.99.10024.00"/>
        <s v="FECHAMENTO DO TETO INTERIOR \ AA_9515_00"/>
        <s v="MONTAGEM DE REBITE SDAQ / 33.03.10306.02"/>
        <s v="SUPORTE FIXACAO CPU 01 / 33.99.10023.00"/>
        <s v="PEFIL L DO ACABAMENTO \ AA_4209_01"/>
        <s v="DISTANCIADOR DOS ACABAMENTOS \ AA_4212_00"/>
        <s v="TRAVA DA ESTRUTURA \ AA_3078_01"/>
        <s v="FECHAMENTO 01 SEM CORRIMAO \ AA_4497_00"/>
        <s v="ACABAMENTO SUPERIOR MENOR.DIREITO \ AA_3336_01"/>
        <s v="ACABAMENTO LATERAL 02 \ AA_9516_00"/>
        <s v="QUADRO INTERNO PORTA \ AA_7619_00"/>
        <s v="PECA EXTERNA DA PORTA 03 \ AA_7624_00"/>
        <s v="ACABAMENTO LATERAL \ 03_0224_00"/>
        <s v="ACABAMENTO LATERAL ENTRADA 03 / AA_9544_02"/>
        <s v="ESTICADOR ROLETE NA ESTEIRA / 33.08.10283.00"/>
        <s v="SILKAGEM TAMPA LATERAL INGLES FRANCES / 33.08.10305.00"/>
        <s v="SILKAGEM TAMPA LATERAL INGLES FRANCES / 33.08.10307.00"/>
        <s v="ACABAMENTO DO TUNEL 01 / 33.20.10255.01"/>
        <s v="ACABAMENTO ESTEIRA 01 / 33.20.10251.02"/>
        <s v="DMC 457 - FIXACAO LAMPADA 02 \ AA_0457_02"/>
        <s v="PERFIL SUPERIOR ESTRUTURA / AA_0373_05"/>
        <s v="PERFIL SUPERIOR COM AFASTADOR / AA_0374_07"/>
        <s v="BANDEJA SUPORTE CPU / AA_0394_08"/>
        <s v="DMC-400 - RAMPA COLIMADOR FLATSCAN \ AA_0400_00"/>
        <s v="DMC-273 - CHASSI PROT. MESA FLAT \ AA_0273_10"/>
        <s v="DMC-216 - ACABAMENTO FRONTAL \ AA_0216_04"/>
        <s v="SUPORTE LED \ AA_0223_09"/>
        <s v="DMC-274 - BANDEJA DA MESA \ AA_0274_08"/>
        <s v="BASE SOLDADA \ AA_0387_08"/>
        <s v="DMC-440 - CHASSI PROT. MESA ESQ. FLAT \ AA_0440_09"/>
        <s v="DMC-441 - BANDEJA MESA ESQ. FLATSCAN \ AA_0441_07"/>
        <s v="FIXACAO ROLETE SEM CELULA \ AA_0523_05"/>
        <s v="SUPORTE DE APOIO L \ AA_1599_00"/>
        <s v="TAMPA DE PROTECAO TUBO LATERAL \ AA_1578_01"/>
        <s v="PERFIL ESTRUTURA / AA_1534_05"/>
        <s v="FIXACAO LED 02 \ AA_1546_04"/>
        <s v="TAMPA DE PROTECAO TUBO \ AA_1573_01"/>
        <s v="TAMPA MEIO \ AA_7128_02"/>
        <s v="TAMPA LATERAL DA PONTA DIREITA INGLES/PORTUGUES / AA_7129_03"/>
        <s v="TAMPA DA LATERAL DO MEIO DIREITA / AA_7137_03"/>
        <s v="ESTRUTURA MESA FRENTE / AA_7147_04"/>
        <s v="FIXACAO MOTOR SUSPENSO / AA_7148_03"/>
        <s v="COLUNA DOS ROLETES / AA_7150_05"/>
        <s v="COLUNA DOS ROLETES II / AA_7151_05"/>
        <s v="SUPORTE CAIXA PRETA / AA_7152_02"/>
        <s v="SUPORTE MONITOR / AA_7164_03"/>
        <s v="PAINEL ELETRICO FLATSCAN \ AA_5732_02"/>
        <s v="ESTICADOR DA CORREIA \ AA_5733_00"/>
        <s v="FIXACAO DA CAMERA / AA_10148_00"/>
        <s v="FIXACAO DA CAMERA / AA_10150_00"/>
        <s v="ABRACADEIRA MENOR PARA BOTA / AA_9699_01"/>
        <s v="SUPORTE DO ACRILICO DO GERADOR VMI 02 / AA_9701_00"/>
        <s v="CHAPA PROTECAO LATERAL / AA_8202_00"/>
        <s v="SUPORTE MAIOR INTERLOCK / AA_8205_01"/>
        <s v="CHAPA PROTECAO SUPERIOR GERADOR / AA_8208_01"/>
        <s v="BASE PORTA DOCUMENTO / AA_8430_00"/>
        <s v="TAMPA PORTA DOCUMENTO / AA_8432_00"/>
        <s v="GARRA SUPORTE EVS 4343 / 33.14.10239.00"/>
        <s v="SUPORTE DA ESTEIRA / 33.14.10244.01"/>
        <s v="CHAPA DE FIXACAO DAS ROLDANAS - 3,0 / 33.14.10252.00"/>
        <s v="CHAPA DE FIXACAO DAS ROLDANAS - 1,5 / 33.14.10254.00"/>
        <s v="CHAPA DE FIXACAO DAS ROLDANAS - 0,75 / 33.14.10255.00"/>
        <s v="TRILHO DO FLAT PANEL ESQUERDO - ZINCADO / 33.14.10257.00"/>
        <s v="TRILHO DO FLAT PANEL DIREITO - ZINCADO / 33.14.10258.00"/>
        <s v="FIXACAO DA DOBRADICA / 33.14.10267.00"/>
        <s v="SUPORTE DE ACIONAMENTO DO MICRORRUPTOR / 33.14.10268.00"/>
        <s v="SUPORTE DO MICRORRUPTOR DETECTOR / 33.14.10269.00"/>
        <s v="ACABAMENTO INTERIOR COM RASGO \ AA_3325_03"/>
        <s v="PECA EXTERNA DA PORTA 02 \ AA_7623_01"/>
        <s v="SUPORTE FONTE WEG / AA_10053_00"/>
        <s v="BASE MODULO SV / 33.11.10000.04"/>
        <s v="COLUNA / 33.11.10017.01"/>
        <s v="COLUNA / 33.11.10029.03"/>
        <s v="SUPORTE ROLETE / 33.11.10030.01"/>
        <s v="SUPORTE PESCOCO COLIMADOR / 33.11.10033.00"/>
        <s v="CAIXA L MODULO SV / 33.11.10050.01"/>
        <s v="TAMPA CAIXA L VERTICAL SV 03 / 33.11.10061.01"/>
        <s v="TAMPA CAIXA L VERTICAL SV 02 / 33.11.10064.01"/>
        <s v="TAMPA VERTICAL CAIXA L SV / 33.11.10065.01"/>
        <s v="TAMPA CAIXA L SV / 33.11.10067.01"/>
        <s v="VEDACAO TAMPA CAIXA L SV / 33.11.10069.00"/>
        <s v="TAMPA CAIXA L SV / 33.11.10070.01"/>
        <s v="TAMPA  VEDACAO CAIXA L SV / 33.11.10072.00"/>
        <s v="TUNEL ACESSO MOTOR / 33.11.10075.00"/>
        <s v="TUNEL / 33.11.10076.01"/>
        <s v="TUNEL / 33.11.10077.01"/>
        <s v="TUNEL SUPERIOR / 33.11.10079.01"/>
        <s v="FIXACAO PESCOCO / 33.11.10092.01"/>
        <s v="PAINEL ELETRICO / 33.11.10094.01"/>
        <s v="BASE MODULO DV / 33.11.10135.03"/>
        <s v="TRAVA DAS COLUNAS / 33.11.10139.01"/>
        <s v="COLUNA / 33.11.10149.01"/>
        <s v="COLUNA / 33.11.10150.00"/>
        <s v="VEDACAO MODULO / 33.11.10160.01"/>
        <s v="CHAPA DO TUNEL / 33.11.10170.00"/>
        <s v="CHAPA DO TUNEL / 33.11.10171.00"/>
        <s v="FECHAMENTO SUP. DO TUNEL / 33.11.10172.00"/>
        <s v="FECHAMENTO DO TUNEL / 33.11.10173.00"/>
        <s v="SUPORTE DA TAMPA / 33.11.10175.00"/>
        <s v="TIRANTE AUXILIAR / 33.11.10182.00"/>
        <s v="TRAVESSA AUXILIAR / 33.11.10183.00"/>
        <s v="TAMPA SUPERIOR DE ACABAMENTO / 33.11.10186.01"/>
        <s v="SUPORTE SENSOR / 33.11.10204.00"/>
        <s v="CHAPA DE FECHAMENTO / 33.11.10215.00"/>
        <s v="CHAPA DE FECHAMENTO / 33.11.10216.00"/>
        <s v="CHAPA DE FECHAMENTO / 33.11.10218.00"/>
        <s v="SUPORTE / 33.11.10220.00"/>
        <s v="SUPORTE / 33.11.10223.00"/>
        <s v="DISTANCIADOR / 33.11.10225.00"/>
        <s v="SUPORTE DOS LED´S / 33.11.10232.01"/>
        <s v="SUPORTE DOS LED´S / 33.11.10234.01"/>
        <s v="ACABAMENTO / 33.11.10250.02"/>
        <s v="PROTECAO MOTOR / 33.11.10263.00"/>
        <s v="VEDACAO MOTOR / 33.11.10270.00"/>
        <s v="TAMPA DA CAIXA X-DAQ / 33.11.10277.00"/>
        <s v="BANDEJA DO CHILLER / 33.11.10284.00"/>
        <s v="BANDEJA DO TRANSFORMADOR / 33.11.10287.00"/>
        <s v="TRILHO PARA GERADOR 320 KV/33.11.10288.00"/>
        <s v="ARMACAO DO TRILHO DO GERADOR/33.11.10290.00"/>
        <s v="ACABAMENTO SUPERIOR / 33.11.10314.02"/>
        <s v="ACABAMENTO SUPERIOR / 33.11.10322.01"/>
        <s v="TAMPA LUMINARIA 180180 /  33.11.10380.00"/>
        <s v="PARAFUSO DE REGULAGEM / 33.11.10400.00"/>
        <s v="FIXACAO PESCOCO / 33.11.10403.01"/>
        <s v="COLIMADOR / 33.11.10404.00"/>
        <s v="TRAVESSA / 33.11.10417.00"/>
        <s v="SUPORTE SENSOR / 33.11.10419.00"/>
        <s v="ACABAMENTO SUPERIOR / 33.11.10425.01"/>
        <s v="TRAVESSA DA CORTINA / 33.11.10441.00"/>
        <s v="COLUNA / 33.11.10442.01"/>
        <s v="TAMPA SUPERIOR / 33.11.10447.01"/>
        <s v="SUPORTE / 33.11.10452.00"/>
        <s v="TAMPA / 33.11.10475.01"/>
        <s v="DISTANCIADOR / 33.11.10488.00"/>
        <s v="BARRRA QUAD. INOX 304 - 5/16POL / 33.11.10493.00"/>
        <s v="ACABAMENTO SUPERIOR / 33.11.10494.01"/>
        <s v="COLUNA / 33.11.10498.01"/>
        <s v="COLUNA / 33.11.10499.01"/>
        <s v="GAIOLA DE FIXACAO PLACAS / 33.11.10505.00"/>
        <s v="DISTANCIADOR / 33.11.10515.00"/>
        <s v="DISTANCIADOR / 33.11.10517.02"/>
        <s v="TAMPA / 33.11.10530.01"/>
        <s v="SUPORTE CONECTOR 24 PINOS / 33.11.10593.01"/>
        <s v="ICAMENTO COLIMADOR DV / 33.11.10594.00"/>
        <s v="CAIXA BLINDADA DO TUBO VARIAN DV / 33.11.10611.01"/>
        <s v="COLIMADOR DO TUBO VARIAN DV / 33.11.10616.00"/>
        <s v="GUIA DE REGULAGEM DO TUBO DV / 33.11.10618.00"/>
        <s v="CAIXA BLINDADA DO TUBO VARIAN SV / 33.11.10621.01"/>
        <s v="COLIMADOR DO TUBO VARIAN SV / 33.11.10623.00"/>
        <s v="GUIA DE REGULAGEM DO TUBO SV / 33.11.10625.00"/>
        <s v="LATERAL A DA PROTECAO DO CABO DV / 33.11.10633.00"/>
        <s v="LATERAL B DA PROTECAO DO CABO DV / 33.11.10634.00"/>
        <s v="LATERAL A DA PROTECAO DO CABO SV / 33.11.10647.00"/>
        <s v="LATERAL B DA PROTECAO DO CABO SV / 33.11.10648.00"/>
        <s v="TRILHO EXTERNO PARA GERADOR 320 KV DV / 33.11.10658.00"/>
        <s v="TRILHO INTERNO PARA GERADOR 320 KV DV / 33.11.10660.00"/>
        <s v="BATENTE/33.11.10666.00"/>
        <s v="SUSTENTACAO TUNEL / 33.11.10675.01"/>
        <s v="SUPORTE CORTINA EXTERNA EXTERMIDADE / 33.11.10683.00"/>
        <s v="FIXACAO ANODO E CATODO / 33.11.10692.00"/>
        <s v="ROTACAO TAMPA / 33.11.10694.01"/>
        <s v="BANDEJA / 33.11.10723.00"/>
        <s v="BANDEJA MEIO DO EQUIPAMENTO / 33.11.10726.01"/>
        <s v="BANDEJA MEIO DO EQUIPAMENTO / 33.11.10727.01"/>
        <s v="ROTACAO PECA/33.11.10736.00"/>
        <s v="LATERAL 1 - TUNEL MODULO DV / 33.11.10741.00"/>
        <s v="LATERAL 3 - TUNEL MODULO DV / 33.11.10743.01"/>
        <s v="LATERAL 4 - TUNEL MODULO DV / 33.11.10744.01"/>
        <s v="SUPORTE OPOSTO 1 - ROLETES / 33.11.10750.02"/>
        <s v="FECHAMENTO SUPERIOR 1 TUNEL DV / 33.11.10752.01"/>
        <s v="FECHAMENTO SUPERIOR 2 TUNEL DV / 33.11.10753.01"/>
        <s v="SUPORTE OPOSTO 2 - ROLETES / 33.11.10755.02"/>
        <s v="PARAFUSO UNIAO DOS MODULOS / 33.11.10758.01"/>
        <s v="CHAPA UNIAO DO MODULOS / 33.11.10760.00"/>
        <s v="TAMPA FRONTAL BLINDAGEM GERADOR MODULO SV 180180 LADO 1 / 33.11.10770.00"/>
        <s v="TAMPA SUPERIOR BLINDAGEM GERADOR MODULO SV 180180 TSA / 33.11.10772.00"/>
        <s v="TAMPA LATERAL DIREITA BLINDAGEM GERADOR MODULO SV 180180 TSA / 33.11.10773.00"/>
        <s v="TAMPA LATERAL ESQUERDA BLINDAGEM GERADOR MODULO SV 180180 TSA / 33.11.10774.00"/>
        <s v="TAMPA FRONTAL BLINDAGEM GERADOR MODULO SV 180180 LADO 2 / 33.11.10775.00"/>
        <s v="QUADRO SUPORTE VEDACAO TUBO DV 180180 TSA / 33.11.10776.00"/>
        <s v="CHAPA EXTERNA TAMPA INFERIOR TRASEIRA CAIXA L SV 180180 TSA / 33.11.10785.01"/>
        <s v="CHAPA EXTERNA TAMPA CENTRAL TRASEIRA CAIXA L SV 180180 TSA / 33.11.10786.01"/>
        <s v="CHAPA EXTERNA TAMPA SUPERIOR TRASEIRA CAIXA L SV 180180 TSA / 33.11.10787.00"/>
        <s v="CHAPA FRONTAL BLINDAGEM FINAL DV 180180 / 33.11.10794.00"/>
        <s v="CHAPA LATERAL BLINDAGEM PARTE A DV 180180 / 33.11.10796.00"/>
        <s v="CHAPA SUPERIOR BLINDAGEM PARTE A DV 180180 / 33.11.10798.00"/>
        <s v="CHAPA SUPERIOR BLINDAGEM PARTE B DV 180180 / 33.11.10799.00"/>
        <s v="TRAVESSA FIXACAO CHUMBO BLINDAGEM EXTREMIDADE INFERIOR CAIXA L DV 180180 TSA / 33.11.10803"/>
        <s v="REFORCO SUPORTE TAMPA PIVOTANTE MODULO SV 180180 TSA / 33.11.10804.00"/>
        <s v="SUPORTE INDUTOR MODULO SV 180180 TSA / 33.11.10871.00"/>
        <s v="ACABAMENTO EXTREMIDADE ESQUERDO MODULO DV / 33.11.10896.00"/>
        <s v="ACABAMENTO LATERAL DIREITO MODULO DV / 33.11.10897.00"/>
        <s v="ACABAMENTO ESQUERDO MODULO INTERMEDIARIO / 33.11.10898.00"/>
        <s v="APOIO DESLIZAMENTO DE CARGA MODULOS SV/DV OPOSTO / 33.11.10926.00"/>
        <s v="SUPORTE DAS CORTINAS / 33.11.10936.00"/>
        <s v="TRAVA DA CORTINA / 33.11.10937.00"/>
        <s v="TRAVA DA EXTREMIDADE DA CORTINA  / 33.11.10940.00"/>
        <s v="CHAPA DE MONTAGEM SUPERIOR DA CORTINA / 33.11.10942.00"/>
        <s v="CHAPA TAMPA HORIZONTAL CAIXA L / 33.11.10966.00"/>
        <s v="GAIOLA VERTICAL FIXACAO PLACAS DT / 33.11.10986.00"/>
        <s v="GAIOLA SUPERIOR FIXACAO PLACAS DT / 33.11.10987.00"/>
        <s v="CHAPA TAMPA CAIXA L / 33.11.11008.00"/>
        <s v="TAMPA VERTICAL CAIXA L / 33.11.11009.00"/>
        <s v="TAMPA VEDACAO PROLONGAMENTO CAIXA L / 33.11.11011.00"/>
        <s v="TAMPA SUPERIOR CAIXA L / 33.11.11019.00"/>
        <s v="TAMPA CAIXA L / 33.11.11022.00"/>
        <s v="TAMPA CAIXA L / 33.11.11023.00"/>
        <s v="TAMPA CAIXA S-DAQ / X-DAQ / 33.11.11024.00"/>
        <s v="CAIXA L DV GAIOLA BIPARTIDA / 33.11.11025.00"/>
        <s v="TAMPA CAIXA L / 33.11.11032.00"/>
        <s v="TAMPA CAIXA L / 33.11.11033.00"/>
        <s v="TAMPA VERTICAL CAIXA L / 33.11.11049.00"/>
        <s v="GAIOLA HORIZONTAL CAIXA L DETECTORAS DEETEE / 33.11.11060.00"/>
        <s v="GAIOLA VERTICAL CAIXA L DETECTORAS DEETEE / 33.11.11061.00"/>
        <s v="TAMPA DE ACABAMENTO CINZA / 33.11.11070.00"/>
        <s v="TAMPA MENOR CINZA / 33.11.11071.00"/>
        <s v="ACABAMENTO CINZA / 33.11.11073.00"/>
        <s v="ACABAMENTO CINZA / 33.11.11074.00"/>
        <s v="ACABAMENTO CINZA / 33.11.11075.00"/>
        <s v="ACABAMENTO CINZA / 33.11.11078.00"/>
        <s v="ACABAMENTO CINZA / 33.11.11079.00"/>
        <s v="ACABAMENTO CINZA / 33.11.11080.00"/>
        <s v="ACABAMENTO COLUNA CINZA / 33.11.11081.00"/>
        <s v="ACABAMENTO PIVOTANTE CINZA / 33.11.11085.00"/>
        <s v="ACABAMENTO PIVOTANTE CINZA / 33.11.11086.00"/>
        <s v="ACABAMENTO PIVOTANTE CINZA / 33.11.11087.00"/>
        <s v="ACABAMENTO PIVOTANTE CINZA / 33.11.11089.00"/>
        <s v="ACABAMENTO ESQ. ING/FRAN CINZA MODULO EXT. ESQ. / 33.11.11090.00"/>
        <s v="ACABAMENTO CINZA / 33.11.11091.00"/>
        <s v="ACABAMENTO DIR. ING/FRAN CINZA MODULO EXT. ESQ. / 33.11.11092.00"/>
        <s v="ACABAMENTO DIR. ING/FRAN CINZA MODULO EXT. DIR. / 33.11.11093.00"/>
        <s v="ACABAMENTO ESQ. ING/FRAN CINZA MODULO EXT. DIR. / 33.11.11094.00"/>
        <s v="TAMPA ACABAMENTO CINZA / 33.11.11095.00"/>
        <s v="TAMPA ACABAMENTO CINZA / 33.11.11096.00"/>
        <s v="TAMPA PIVOTANTE CINZA / 33.11.11099.00"/>
        <s v="TAMPA ACABAMENTO CINZA / 33.11.11100.00"/>
        <s v="TAMPA ACABAMENTO CINZA / 33.11.11105.00"/>
        <s v="ACABAMENTO CINZA / 33.11.11106.00"/>
        <s v="TAMPA CINZA / 33.11.11108.00"/>
        <s v="TAMPA PIVOTANTE CINZA / 33.11.11110.00"/>
        <s v="ACABAMENTO CINZA / 33.11.11111.00"/>
        <s v="TAMPA CINZA / 33.11.11112.00"/>
        <s v="PRENSA CABO / 33.21.10308.00"/>
        <s v="FUNDO TECLADO SPECTRUM / 34.06.10002.00"/>
        <s v="ACABAMENTO ESTEIRA - D / 33.03.11361.01"/>
        <s v="APOIO DO TECLADO / AA_0196_10"/>
        <s v="DMC-376 - METALON SUPERIOR \ AA_0376_05"/>
        <s v="DMC-384 - REGULADOR TAMPAS EXTERNAS \ AA_0384_01"/>
        <s v="DMC-275 - ACABAMENTO FLATSCAN \ AA_0275_05"/>
        <s v="DMC-214 - FIXACAO DO VIDRO NA PORTA \ AA_0214_02"/>
        <s v="DMC-282 - TAMPA PORTA MAIOR \ AA_0282_06"/>
        <s v="DMC-438 - PORTA MAIOR DIREITA FLATSCAN \ AA_0438_04"/>
        <s v="APOIO MESA ROLETES FLATSCAN / AA_0444_02"/>
        <s v="SUPORTE MICRO / AA_0462_04"/>
        <s v="FIXACAO ROLETE MENOR \ AA_0528_05"/>
        <s v="DISTRIBUICAO CABO 02 \ AA_1178_02"/>
        <s v="PROLONGADOR PROTECAO 02 \ AA_1561_01"/>
        <s v="CONJUNTO FIXACAO ESTEIRA PORTA CABO \ AA_1577_02"/>
        <s v="TAMPA DE PROTECAO TUBO \ AA_1580_02"/>
        <s v="TAMPA DA ESTRUTURA PAYNE \ AA_1596_02"/>
        <s v="CONJUNTO SUPORTE DO FLATPANEL \ AA_1601_03"/>
        <s v="TAMPA FINAL \ AA_1603_02"/>
        <s v="TAMPA PROTECAO TUBO \ AA_1616_02"/>
        <s v="L DO TUBO / AA_1703_04"/>
        <s v="FIXACAO MOTOR TUBO \ AA_1624_01"/>
        <s v="CONJUNTO MOVIMENTO PAYNEL / AA_1704_06"/>
        <s v="TUNEL FLATSCAN 2 DV \ AA_1528_01"/>
        <s v="CONJUNTO MONTADO COLIMADOR \ AA_1559_03"/>
        <s v="CAIXA DE DISTRIBUICAO 2 DIREITO / AA_0601_05"/>
        <s v="ESTICADOR DO L \ AA_3142_00"/>
        <s v="APOIO ESTEIRA \ AA_3149_00"/>
        <s v="FIXACAO ARTICULADA ESTEIRA \ AA_3150_00"/>
        <s v="ENTRADA DA ESTEIRA \ AA_3151_00"/>
        <s v="APOIO ESTEIRA PAYBE \ AA_3152_00"/>
        <s v="TAMPA LATERAL MEIO 02 / AA_7127_04"/>
        <s v="PROLONGADOR TAMPA SUPERIOR / AA_7130_02"/>
        <s v="TAMPA SUPERIOR PONTA / AA_7131_02"/>
        <s v="TAMPA SUPERIOR PONTA / AA_7132_02"/>
        <s v="TAMPA SUPERIOR MEIO / AA_7133_07"/>
        <s v="TAMPA SUPERIOR PONTA 02 / AA_7134_02"/>
        <s v="SUPORTE PARA TAMPA SUPERIOR \ AA_7138_02"/>
        <s v="TAMPA LATERAL DA PONTA REFORCO INGLES/PORTUGUES / AA_7139_05"/>
        <s v="SUPORTE PARA TAMPA SUPERIOR \ AA_7140_01"/>
        <s v="TRAVA O CABO HDMI \ AA_7142_00"/>
        <s v="TAMPA LATERAL DA ESQUERDA INGLES/PORTUGUES / AA_7143_03"/>
        <s v="ESTRUTURA MESA / AA_7144_04"/>
        <s v="PERFIL DE FIXACAO TUNEL / AA_7146_03"/>
        <s v="ESTRUTURA PARA PROTECAO DO TUBO / AA_7157_07"/>
        <s v="BASE DA PONTA / AA_7158_03"/>
        <s v="PROLONGADOR DA TAMPA MEIO / AA_7160_03"/>
        <s v="APOIO DO TUNEL / AA_7162_03"/>
        <s v="APOIO DO TUNEL 02 / AA_7163_03"/>
        <s v="TAMPA LATERAL FRONTAL / AA_7165_02"/>
        <s v="BANDEJA INTERNA FLATSCAN \ AA_7173_01"/>
        <s v="PROLONGADOR TAMPA SUPERIOR / AA_7177_01"/>
        <s v="DISTANCIADOR DO CHUMBO CARRINHO \ AA_5735_00"/>
        <s v="CORPO SUPERIOR CAMERA MULTILASER \ AA_5736_00"/>
        <s v="CALCO PARA MOTOR FLATPANEL \ AA_5739_00"/>
        <s v="SUPORTE TRAVA DA MOLA \ AA_5725_01"/>
        <s v="ABRACADEIRA DO CHUMBO DA BOTA / AA_9698_01"/>
        <s v="SUPORTE FIM DE CURSO / AA_10147_00"/>
        <s v="DISTANCIADOR PARA O TUBO / AA_9702_00"/>
        <s v="TRAVE DA MESA DIREITA / AA_9710_03"/>
        <s v="SUPORTE BANDEJA CPU / AA_8200_00"/>
        <s v="SUPORTE DAS ROLDANAS TRATADO / 33.14.10259.00"/>
        <s v="ESPACADOR PARA ROLDANA / 33.14.10260.00"/>
        <s v="SUPORTE DO MICRORRUPTOR TUBO/ 33.14.10270.00"/>
        <s v="SUPORTE DE ACIONAMENTO DO MICRORRUPTOR TUBO / 33.14.10271.00"/>
        <s v="TRAVA 01 DA CAIXA DE DETECTORES \ AA_4031_01"/>
        <s v="TAMPA INF. DA CAIXA L \ AA_4058_01"/>
        <s v="TAMPA INF. DA CAIXA 01 \ AA_4065_01"/>
        <s v="ESTICADOR PECA 02 \ AA_4087_00"/>
        <s v="TRAVA DO ROLETE \ AA_4089_00"/>
        <s v="TRAVA SUP DO ROLO LIVRE \ AA_4090_01"/>
        <s v="FECHAMENTO DA JANELA DO OBTURADOR \ AA_4139_01"/>
        <s v="TRAVA DO REGULADOR DO TUBO DE RAIO-X \ AA_4177_01"/>
        <s v="TRAVA INFERIOR DO PINO \ AA_4205_01"/>
        <s v="MONTAGEM DO DEGRAU \ AA_4229_03"/>
        <s v="SUPORTE DA PLACA DE LED \ AA_4245_03"/>
        <s v="MONTAGEM DA TAMPA DO CONSOLE \ AA_4463_00"/>
        <s v="PECA DE ICAMENTO DO PESCOCO \ AA_4471_00"/>
        <s v="FECHAMENTO LAT DO OBTURADOR DO CORPO INT \ AA_4475_01"/>
        <s v="FECHAMENTO DA LAT. DO PESCOCO \ AA_4476_02"/>
        <s v="SUPORTE DO SINALEIRO \ AA_4477_00"/>
        <s v="CHAPA DE FECHAMENTO DO INTERCOMUNICADOR \ AA_4487_01"/>
        <s v="CANALETA DE CABOS \ AA_4488_03"/>
        <s v="CHAPA FRENTE DO CHUMBO \ AA_4493_01"/>
        <s v="ESTICADOR PECA 01 \ AA_4693_00"/>
        <s v="SUPORTE VIDRO BODYSCAN \ AA_7251_00"/>
        <s v="PERFIL SUPERIOR DA BASE\ AA_9533_02"/>
        <s v="ACOPLAMENTO DO GEL SILICA \ AA_9529_01"/>
        <s v="BASE SECUNDARIA DO TUBO DE RAIO-X \ AA_9530_00"/>
        <s v="CHAPA DE FECHAMENTO SUPERIOR DA SOLENOIDE \ AA_4123_02"/>
        <s v="FECHAMENTO LATERAL DO OBTURADOR DO CORPO INTEIRO \ AA_9507_00"/>
        <s v="CHAPA DE FECHAMENTO SUPERIOR DA SOLENOIDE DO CORPO INTEIRO \ AA_9509_00"/>
        <s v="ACABAMENTO LATERAL SUPERIOR CENTRAL ENTRADA \ AA_9510_00"/>
        <s v="MONTAGEM DO ACABAMENTO FRONTAL SUPERIOR \ AA_9512_00"/>
        <s v="ACABAMENTO LATERAL \ AA_9514_00"/>
        <s v="MONTAGEM CONSOLE DO TUBO \ AA_4219_02"/>
        <s v="ACABAMENTO DA ESTEIRA 02 \ AA_9518_00"/>
        <s v="ACABAMENTO LATERAL ENTRADA 03 / AA_9519_04"/>
        <s v="TRAVA DO PAINEL ELETRICO \ AA_9532_01"/>
        <s v="MONTAGEM DA COLUNA DE SUSTENTACAO 01 \ AA_4979_04"/>
        <s v="TRAVA DA ESTRUTURA \ AA_4982_02"/>
        <s v="MONTAGEM DA TRAVESSA \ AA_4984_00"/>
        <s v="FECHAMENTO DA ESTEIRA \ AA_6002_00"/>
        <s v="CHAPA FRONTAL DO PESCOCO DO COLIMADOR \ AA_6016_00"/>
        <s v="TRAVA SUPERIOR DO COLIMADOR \ AA_6019_01"/>
        <s v="FECHAMENTO SUPERIOR DO COLIMADOR \ AA_6020_01"/>
        <s v="FRENTE FECHAMENTO DO OBTURADOR / AA_6027_01"/>
        <s v="FECHAMENTO LATERAL 01 \ AA_6029_00"/>
        <s v="FECHAMENTO LATERAL 02 \ AA_6030_00"/>
        <s v="TRAVA DO CHUMBO \ AA_6036_00"/>
        <s v="MONTAGEM DAS PLACAS NA BANDEJA \ AA_6041_01"/>
        <s v="FECHAMENTO AO LADO DA CAIXA 01 \ AA_6046_01"/>
        <s v="SUPORTE ACESSO RAPIDO. \ AA_6059_00"/>
        <s v="FECHAMENTO DO DISJUNTOR \ AA_6060_00"/>
        <s v="ACABAMENTO TETO SUPERIOR \AA_9520_01"/>
        <s v="ESPACADOR DO ACABAMENTO 02 / AA_9053_00"/>
        <s v="ESPACADOR DO ACABAMENTO 03 / AA_9055_00"/>
        <s v="ACABAMENTO INTERNO DO TUNEL MAIOR INGL/PORT /  AA_9542_02"/>
        <s v="ACABAMENTO LATERAL ENTRADA 01 DIREITA / AA_9543_01"/>
        <s v="CAIXA SOLENOIDE / AA_10052_00"/>
        <s v="SUPORTE FONTE WEG / AA_10055_02"/>
        <s v="TAMPA FONTE WEG / AA_10056_00"/>
        <s v="TRAVA DO MEIO PARA TRANSPORTE / AA_9427_00"/>
        <s v="REGUA DO OBTURADOR DV / AA_9990_01"/>
        <s v="FECHAMENTO 9 /  AA_8587_00"/>
        <s v="ACABAMENTO INFERIOR 3 / AA_8608_00"/>
        <s v="SUPORTE / 33.03.10298.01"/>
        <s v="TAMPA SDAQ / 33.03.10305.03"/>
        <s v="SUPORTE PARA INVERSOR / 33.03.10343.00"/>
        <s v="TAMPA SDAQ / 33.03.90024.00"/>
        <s v="SUPORTE DOS LED´S A / 33.12.10410.00"/>
        <s v="SUPORTE DOS LED´S B / 33.12.10411.00"/>
        <s v="SUPORTE PLACA / 33.12.10537.00"/>
        <s v="BASE PARA GAIOLA / 33.12.10538.00"/>
        <s v="SUPORTE PLACA / 33.12.10545.03"/>
        <s v="SUPORTE S_CARD / 33.12.10548.01"/>
        <s v="SOLDA CAIXA DETECTORA DV / 33.12.10550.01"/>
        <s v="CHAPA PIVOTANTE / 33.12.10574.01"/>
        <s v="SUPORTE PARA FIXACAO DO ACABAMENTO D / 33.12.10584.00"/>
        <s v="CORPO DA ESTEIRA - LADO DO ROLETE LIVRE / 33.12.10590.01"/>
        <s v="CORPO DA ESTEIRA - CENTRAL / 33.12.10591.01"/>
        <s v="CORPO DA ESTEIRA - LADO DA MOTOPOLIA / 33.12.10592.01"/>
        <s v="PROTECAO DO SENSOR/ 33.12.10595.00"/>
        <s v="ACABAMENTO DA ESTEIRA 03/ 33.12.10604.00"/>
        <s v="TRAVA PARA COLIMADOR DV - 33.12.10612.00"/>
        <s v="REFORCO PARA FIXACAO DO COLIMADOR DV - 33.12.10613.00"/>
        <s v="TRAVA SUPERIOR PARA COLIMADOR DV - 33.12.10616.00"/>
        <s v="REFORCO PARA FIXACAO SUPERIOR DO COLIMADOR DV - 33.12.10617.01"/>
        <s v="DETECTOR / 33.21.10547.01"/>
        <s v="SUPORTE DE PLACA BIVOLT AUTOMATICO / 33.99.10053.00"/>
        <s v="ACABAMENTO ROLETE LIVRE ESQUERDO 5536 \ AA_5595_01"/>
        <s v="DISTANCIADOR ROLETE LIVRE \ 03_0218_00"/>
        <s v="TRAVA DE REGULAGEM \ 03_0269_00"/>
        <s v="MAO FRANCESA \ 03_0281_00"/>
        <s v="MAO FRANCESA \ 03_0282_00"/>
        <s v="COLUNA ESTEIRA / 33.03.10214.01"/>
        <s v="ACABAMENTO / 33.03.10225.00"/>
        <s v="PROTECAO ROLETE ESTICADOR DIREITO / 33.03.10236.02"/>
        <s v="CAIXA COLIMADOR / 33.03.10275.00"/>
        <s v="ACABAMENTO ESTEIRA - A / 33.03.11366.01"/>
        <s v="ACABAMENTO ESTEIRA - C / 33.03.11368.01"/>
        <s v="COLIMADOR 6040 3D - 33.03.11409.01"/>
        <s v="TAMPA SUPERIOR / 33.08.10219.00"/>
        <s v="TAMPA CENTRAL / 33.08.10275.00"/>
        <s v="TAMPA SUPERIOR LATERAL / 33.20.10227.02"/>
        <s v="ACABAMENTO DO TUNEL 02 / 33.20.10257.01"/>
        <s v="BASE SOLDADA / 33.20.10307.02"/>
        <s v="PORTAL SOLDADO / 33.20.10335.01"/>
        <s v="PRENSA CABO / 33.99.10031.00"/>
        <s v="ESTICADOR DA MOTOPOLIA / 33.99.10042.01"/>
        <s v="ESTICADOR DO ROLETE / 33.99.10043.00"/>
        <s v="TRAVA DA ESTRUTURA FRONTAL \ AA_3188_02"/>
        <s v="SUPORTE DO VIDRO \ AA_3196_00"/>
        <s v="MOLDURA DO VIDRO \ AA_3197_03"/>
        <s v="MOLDURA INTERNA PORTA \ AA_3207_01"/>
        <s v="ACABAMENTO LATERAL SUPERIOR \ AA_3306_01"/>
        <s v="ACABAMENTO LATERAL INTERNO \ AA_3308_08"/>
        <s v="ACABAMENTO LATERAL INTERNO \ AA_3311_01"/>
        <s v="TRAVESSA BASE PERFIL 02 \ AA_3314_02"/>
        <s v="TRAVA DA ESTRUTURA \ AA_3320_01"/>
        <s v="TRAVA DA ESTRUTURA FRONTAL \ AA_3321_04"/>
        <s v="ACABAMENTO EXTERIOR COM RASGO \ AA_3324_01"/>
        <s v="TRAVA DA CABINE \ AA_3333_00"/>
        <s v="TAMPA PARA ACESSO ESTEIRA. \ AA_3338_00"/>
        <s v="ACABAMENTO LADO MAQUINA MAIOR \ AA_3341_02"/>
        <s v="SAPATA MESA DE ROLETES \ AA_3749_01"/>
        <s v="SUPORTE RODIZIO \ AA_7082_01"/>
        <s v="TRAVESSA DA BASE_PERFIL 01 \ AA_7083_02"/>
        <s v="MARCO ESQUERDO PORTA \ AA_7084_00"/>
        <s v="ACABAMENTO INTERNO_PECA 04 \ AA_7086_00"/>
        <s v="TAMPA PARA ACESSO INTERLOCK \ AA_7087_02"/>
        <s v="FIXACAO PEZINHO \ AA_7089_01"/>
        <s v="PECA INTERNA DA PORTA 03 \ AA_7627_00"/>
        <s v="PECA INTERNA DA PORTA 02 \ AA_7628_00"/>
        <s v="MAO FRANCESA EM L ESQUERDO \ AA_7571_00"/>
        <s v="MAO FRANCESA EM L DIREITO \ AA_7631_00"/>
        <s v="ACABAMENTO LATERAL \ 03_0227_01"/>
        <s v="ACABAMENTO LATERAL \ 03_0229_00"/>
        <s v="FECHAMENTO DO ACESSO ELETRICO \ 03_0522_01"/>
        <s v="ACABAMENTO ESTEIRA MOTOPOLIA ESQUERDO / 33.02.10034.02"/>
        <s v="ACABAMENTO ESTEIRA MOTOPOLIA DIREITO / 33.02.10037.02"/>
        <s v="ACABAMENTO ESTEIRA ROLETE DIREITO / 33.02.10044.02"/>
        <s v="OB - SUPORTE CORTINA / 33.03.10207.01"/>
        <s v="PROTECAO MOTOPOLIA ESQUERDA / 33.03.10235.01"/>
        <s v="PROTECAO MOTOPOLIA DIREITA / 33.03.10239.01"/>
        <s v="PROTECAO ROLETE ESTICADOR ESQUERDO / 33.03.10240.02"/>
        <s v="ACABAMENTO ESTEIRA / 33.08.10245.02"/>
        <s v="ACABAMENTO ESTEIRA / 33.08.10249.02"/>
        <s v="ACABAMENTO DO TUNEL / 33.08.10252.00"/>
        <s v="PE DA MESA \ AA_3070_02"/>
        <s v="BATENTE \ AA_3074_00"/>
        <s v="MARCO DIREITO PORTA \ AA_7085_00"/>
        <s v="TAMPA LATERAL COM CAMERA / 33.08.10291.02"/>
        <s v="DMC-437 - PORTA MENOR DIREITA FLATSCAN \ AA_0437_04"/>
        <s v="ACABAMENTO MESA FLATSCAN DIREITA / AA_0472_03"/>
        <s v="DMC-262 - PROTECAO ENGRENAGEM ESQUERDA \ AA_0262_05"/>
        <s v="ACABAMENTO SUP. DA ESTEIRA. \ AA_4251_00"/>
        <s v="CANALETA LAT. 01 \ AA_4596_01"/>
        <s v="ENCAIXE DA LINGUETA TAMPA / AA_7169_03"/>
        <s v="ACABAMENTO DO FUNDO BODYSCAN \ AA_7257_01"/>
        <s v="CENTRAL DO OBTURADOR DO CORPO INTEIRO \ AA_6021_01"/>
        <s v="ACABAMENTO INTERNO DO TUNEL MAIOR INGL/PORT /  AA_6055_03"/>
        <s v="MONTAGEM SUPORTE DO CONSOLE \ AA_6067_00"/>
        <s v="ACABAMENTO LATERAL MENOR 01 INGLES/PORTUGUES / AA_6245_01"/>
        <s v="MONTAGEM DA CHAPA DE ACESSO \ AA_6064_01"/>
        <s v="CENTRO DO OBTURADOR / AA_10047_01"/>
        <s v="REFORCO ESTEIRA BODYSCAN / AA_10045_03"/>
        <s v="ACABAMENTO DA CARRUAGEM SEM JANELA 02 / AA_9859_03"/>
        <s v="ACABAMENTO DA CARRUAGEM TETO 02 / AA_9860_03"/>
        <s v="ACABAMENTO INFERIOR 2 / AA_8609_00"/>
        <s v="ACAB. INFERIOR MOTOPOLIA DIR. / AA_8613_01"/>
        <s v="SUPORTE TRAVA PORTA CAIXA L / 33.08.10128.01"/>
        <s v="CHAPA MONTAGEM SUPORTE PLACA / 33.08.10217.00"/>
        <s v="TAMPA DE ACABAMENTO / 33.11.10423.01"/>
        <s v="TAMPA / 33.11.10728.00"/>
        <s v="GAIOLA VERTICAL FIXACAO PLACAS CAIXA L 180180 SV VMIS / 33.11.10978.00"/>
        <s v="SUPORTE DA CORTINA DE LUZ / 33.12.10027.01"/>
        <s v="SUPORTE PARA FIXACAO DO ACABAMENTO B / 33.12.10580.00"/>
        <s v="ACABAMENTO DA ESTEIRA 01/ 33.12.10598.00"/>
        <s v="ACABAMENTO ESTEIRA 02/ 33.12.10601.00"/>
        <s v="TRAVESSA LONGITUDINAL 01 / 33.20.10018.01"/>
        <s v="CHAPA LATERAL DO TUNEL MENOR /33.20.10050.01"/>
        <s v="APOIO CONTROLADORA SV / 33.20.10275.01"/>
        <s v="MONTAGEM SUPORTE DA CORTINA / 33.20.10521.02"/>
        <s v="TAMPA TECLADO ANTIVANDALISMO / 34.06.10013.00"/>
        <s v="FIXACAO DIR. DAS PLACAS DE CHUMBO / 34.13.20001.00"/>
        <s v="SUPORTE FIXACAO CONTROLADORA / 33.03.10351.03"/>
        <s v="MONTAGEM COLUNA DO ROLETES \ AA_3369_02"/>
        <s v="SOLDA DA BASE COM A COLUNA \ AA_4539_03"/>
        <s v="CANTONEIRA PARA EMBALAGENS / AA_9800_02"/>
        <s v="CHAPA PARA UNIAO DAS TAMPAS EMBALAGENS / AA_9801_02"/>
        <s v="COLUNA DE SUSTENTACAO 01 / 33.03.10540.00"/>
        <s v="SUPORTE PLACA / 33.11.10500.01" u="1"/>
        <s v="TIRANTE / 33.11.10221.00" u="1"/>
        <s v="SUPORTE FONTE WEG / 33.03.11184.01" u="1"/>
        <s v="TRAVA SUPERIOR / 33.11.10046.00" u="1"/>
        <s v="FECHAMENTO INFERIOR DA ESTEIRA 3 / AA_8605_02" u="1"/>
        <s v="FECHAMENTO DAS MANGUEIRAS DE REFRIGERACAO SV / DV / 33.11.10640.00" u="1"/>
        <s v="DISTRIBUICAO CABOS 04 \ AA_1180_02" u="1"/>
        <s v="CHAPA FIXA CHUMBO / 33.11.10410.00" u="1"/>
        <s v="SUPORTE ROLETE / 33.11.10180.00" u="1"/>
        <s v="GARRA DO TUBO VARIAN SV / 33.11.10620.00" u="1"/>
        <s v="DISTANCIADOR GAIOLA VERTICAL DEETEE / 33.11.11046.00" u="1"/>
        <s v="COLUNA PONTA / 33.11.10026.00" u="1"/>
        <s v="DISTANCIADOR TAMPA / 33.11.10200.00" u="1"/>
        <s v="MONTAGEM DA BASE \ AA_4980_03" u="1"/>
        <s v="TAMPA ACESSO ELETRICO / 33.20.10561.00" u="1"/>
        <s v="SUPORTE PARA TAMPA / AA_7156_01" u="1"/>
        <s v="SUPORTE DO DETECTOR EVS 4343 / 33.14.10263.00" u="1"/>
        <s v="TRAVA AS PERNAS / AA_7145_02" u="1"/>
        <s v="CAIXA DE DISTRIBUICAO ESQUERDO \ AA_5839_01" u="1"/>
        <s v="CAIXA DE DISTRIBUICAO DIREITO \ AA_5838_01" u="1"/>
        <s v="CAIXA DE DISTRIBUICAO 2 ESQUERDO / AA_7154_02" u="1"/>
        <s v="BANDEJA / 33.11.10286.00" u="1"/>
        <s v="TAMPA ACABAMENTO CINZA / 33.11.11097.00" u="1"/>
        <s v="ACABAMENTO LATERAL MENOR 04 INGLES/PORTUGUES / AA_6246_02" u="1"/>
        <s v="MONTAGEM DE SOLDA DO COLIMADOR \ AA_6018_02" u="1"/>
        <s v="LIGACAO COLUNA / 33.11.10272.01" u="1"/>
        <s v="LATERAL MESA / 33.11.10414.01" u="1"/>
        <s v="CHAPA FIXACAO SUPORTE CHUMBO TAMPA / 33.11.11040.00" u="1"/>
        <s v="BASE MODULO DAS EXTREMIDADES / 33.11.10205.02" u="1"/>
        <s v="MONTAGEM DO ACABAMENTO FRONTAL INFERIOR \ AA_9513_04" u="1"/>
        <s v="CHAPA LATERAL BLINDAGEM FINAL DV 180180 / 33.11.10795.00" u="1"/>
        <s v="SUPORTE TUNEL / 33.11.10396.01" u="1"/>
        <s v="COLUNA SECUNDARIA / 33.11.10023.00" u="1"/>
        <s v="SUPORTE DOS ROLETES/33.11.10210.01" u="1"/>
        <s v="CAIXA X-DAQ / 33.11.10275.00" u="1"/>
        <s v="CHAPA LATERAL BLINDAGEM PARTE B DV 180180 / 33.11.10797.00" u="1"/>
        <s v="SAIA DA BASE / AA_7159_02" u="1"/>
        <s v="FECHAMENTO 8  /  AA_8595_01" u="1"/>
        <s v="BASE / 33.11.10397.01" u="1"/>
        <s v="BASE / 33.11.10398.01" u="1"/>
        <s v="COLUNA / 33.11.10213.01" u="1"/>
        <s v="SAIA DA BASE 2 / AA_7161_02" u="1"/>
        <s v="DISTANCIADOR GAIOLA HORIZONTAL / 33.11.10970.00" u="1"/>
        <s v="CHAPA GUIA REGULADOR / 33.11.10985.00" u="1"/>
        <s v="CHAPA DO TUNEL / 33.11.10217.00" u="1"/>
        <s v="TRAVESSA / 33.11.10101.00" u="1"/>
        <s v="OB - TAMPA SUPERIOR / 33.03.10206.00" u="1"/>
        <s v="COJUNTO FIXACAO CORTINA / 33.11.10540.00" u="1"/>
        <s v="TUNEL SUPERIOR / 33.11.10078.01" u="1"/>
        <s v="TAMPA VERTICAL CAIXA L / 33.11.11028.00" u="1"/>
        <s v="DISTRIBUICAO CABOS_06 / AA_7153_01" u="1"/>
        <s v="TAMPA DE PROTECAO DO TUBO / 33.14.10265.00" u="1"/>
        <s v="SUPORTE TAMPA HORIZONTAL MENOR CAIXA L / 33.11.10967.00" u="1"/>
        <s v="TAMPA ESTRUTURA PAYNE 02 \ AA_1597_02" u="1"/>
        <s v="ACABAMENTO MOTOR BRANCO \ AA_7149_00" u="1"/>
        <s v="COLIMADOR SECUNDARIO \ AA_5106_01" u="1"/>
        <s v="SUPORTE TAMPA HORIZONTAL MAIOR CAIXA L / 33.11.10965.00" u="1"/>
        <s v="BASE MODULO INTERMEDIARIO / 33.11.10178.01" u="1"/>
        <s v="COLIAMDOR SV / 33.11.10088.00" u="1"/>
        <s v="PROTECAO COLIMADOR / 33.11.10568.00" u="1"/>
        <s v="PORTA  CAIXA &quot;C&quot; / 33.12.10542.00" u="1"/>
        <s v="BASE DO MOTOR/33.11.10040.00" u="1"/>
        <s v="TRAVA ESTRUTURA / 33.11.10353.00" u="1"/>
        <s v="TAMPA SUP. DO COLIMADOR \ AA_4170_00" u="1"/>
        <s v="TRAVA PARA ROLAMENTO / AA_10132_00" u="1"/>
        <s v="TAMPA / 33.11.10416.00" u="1"/>
        <s v="COLIMADOR / 33.11.10090.00" u="1"/>
        <s v="TUNEL / 33.11.10074.00" u="1"/>
        <s v="LATERAL 2 - TUNEL MODULO DV / 33.11.10742.00" u="1"/>
        <s v="GARRA DO TUBO VARIAN DV / 33.11.10608.00" u="1"/>
        <s v="DISTRIBUICAO CABOS_03 / AA_7155_01" u="1"/>
        <s v="SUPORTE DO TUBO VARIAN DV / 33.11.10603.00" u="1"/>
        <s v="CAIXA S-DAQ / X-DAQ / 33.11.10989.00" u="1"/>
        <s v="FECHAMENTO INFEERIOR DA ETEIRA 1 / AA_8603_01" u="1"/>
        <s v="SUPORTE DO TUBO VARIAN SV / 33.11.10619.00" u="1"/>
        <s v="VEDACAO MOTOR / 33.11.10495.00" u="1"/>
        <s v="FECHAMENTO INFERIOR DA ESTEIRA 2 / AA_8604_01" u="1"/>
        <s v="CHAPA TRAVAMENTO REGULAGEM GAIOLA / 33.11.11006.00" u="1"/>
        <s v="SUPORTE MANGUEIRA \ AA_5837_01" u="1"/>
      </sharedItems>
    </cacheField>
    <cacheField name="NOME_FORNECEDOR" numFmtId="0">
      <sharedItems/>
    </cacheField>
    <cacheField name="DT_EMISSAO" numFmtId="0">
      <sharedItems containsSemiMixedTypes="0" containsNonDate="0" containsDate="1" containsString="0" minDate="2025-02-20T00:00:00" maxDate="2026-02-05T00:00:00"/>
    </cacheField>
    <cacheField name="RESPONSAVEL" numFmtId="0">
      <sharedItems/>
    </cacheField>
    <cacheField name="QTDE_EM_ABERTO" numFmtId="0">
      <sharedItems containsSemiMixedTypes="0" containsString="0" containsNumber="1" containsInteger="1" minValue="1" maxValue="1696"/>
    </cacheField>
    <cacheField name="CUSTO_UNI" numFmtId="0">
      <sharedItems containsSemiMixedTypes="0" containsString="0" containsNumber="1" minValue="1.6" maxValue="5147.33"/>
    </cacheField>
    <cacheField name="CUSTO_TOTAL" numFmtId="0">
      <sharedItems containsSemiMixedTypes="0" containsString="0" containsNumber="1" minValue="4.8" maxValue="66565.8"/>
    </cacheField>
    <cacheField name="SITUACAO" numFmtId="0">
      <sharedItems/>
    </cacheField>
    <cacheField name="ARM" numFmtId="0">
      <sharedItems/>
    </cacheField>
    <cacheField name="DT_NEG" numFmtId="0">
      <sharedItems containsSemiMixedTypes="0" containsNonDate="0" containsDate="1" containsString="0" minDate="2025-01-18T00:00:00" maxDate="2026-04-07T00:00:00" count="39">
        <d v="2025-04-10T00:00:00"/>
        <d v="2025-01-18T00:00:00"/>
        <d v="2025-05-01T00:00:00"/>
        <d v="2025-05-23T00:00:00"/>
        <d v="2025-06-02T00:00:00"/>
        <d v="2025-06-20T00:00:00"/>
        <d v="2025-06-27T00:00:00"/>
        <d v="2025-07-25T00:00:00"/>
        <d v="2025-07-30T00:00:00"/>
        <d v="2025-08-15T00:00:00"/>
        <d v="2025-10-01T00:00:00"/>
        <d v="2025-09-22T00:00:00"/>
        <d v="2025-09-15T00:00:00"/>
        <d v="2025-10-24T00:00:00"/>
        <d v="2025-10-16T00:00:00"/>
        <d v="2025-11-24T00:00:00"/>
        <d v="2025-12-01T00:00:00"/>
        <d v="2025-11-14T00:00:00"/>
        <d v="2026-01-16T00:00:00"/>
        <d v="2026-01-12T00:00:00"/>
        <d v="2026-02-23T00:00:00"/>
        <d v="2026-03-09T00:00:00"/>
        <d v="2026-02-09T00:00:00"/>
        <d v="2026-03-07T00:00:00"/>
        <d v="2026-02-02T00:00:00"/>
        <d v="2026-02-04T00:00:00"/>
        <d v="2026-03-05T00:00:00"/>
        <d v="2026-03-02T00:00:00"/>
        <d v="2026-03-06T00:00:00"/>
        <d v="2026-04-06T00:00:00"/>
        <d v="2026-02-28T00:00:00"/>
        <d v="2026-04-02T00:00:00"/>
        <d v="2026-02-06T00:00:00"/>
        <d v="2025-12-19T00:00:00"/>
        <d v="2025-12-07T00:00:00"/>
        <d v="2025-12-18T00:00:00"/>
        <d v="2026-01-07T00:00:00"/>
        <d v="2025-12-31T00:00:00"/>
        <d v="2025-10-20T00:00:00" u="1"/>
      </sharedItems>
    </cacheField>
    <cacheField name="MÊS DE PRODUÇÃO " numFmtId="0">
      <sharedItems containsDate="1" containsMixedTypes="1" minDate="2026-10-04T00:00:00" maxDate="2026-10-05T00:00:00"/>
    </cacheField>
    <cacheField name="AGING" numFmtId="0">
      <sharedItems containsMixedTypes="1" containsNumber="1" containsInteger="1" minValue="-42" maxValue="401"/>
    </cacheField>
    <cacheField name="STATUS DO PEDIDO" numFmtId="0">
      <sharedItems containsBlank="1"/>
    </cacheField>
    <cacheField name="FOLLOW UP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69">
  <r>
    <s v="036137006333.20.10147.01"/>
    <x v="0"/>
    <s v="0063"/>
    <x v="0"/>
    <x v="0"/>
    <s v="METALFISA METALURGICA EIRELI LTDA"/>
    <d v="2025-02-20T00:00:00"/>
    <s v="MARCO"/>
    <n v="18"/>
    <n v="45"/>
    <n v="900"/>
    <s v="APROVADO"/>
    <s v="10"/>
    <x v="0"/>
    <s v="-"/>
    <n v="319"/>
    <s v="ATRASADO"/>
    <s v="-"/>
  </r>
  <r>
    <s v="036605015134.01.10120.00"/>
    <x v="1"/>
    <s v="0151"/>
    <x v="1"/>
    <x v="1"/>
    <s v="METALFISA METALURGICA EIRELI LTDA"/>
    <d v="2025-03-17T00:00:00"/>
    <s v="MARCO"/>
    <n v="1"/>
    <n v="1794"/>
    <n v="1794"/>
    <s v="APROVADO"/>
    <s v="10"/>
    <x v="1"/>
    <s v="-"/>
    <n v="401"/>
    <s v="ATRASADO"/>
    <s v="-"/>
  </r>
  <r>
    <s v="036620004521.23.02329"/>
    <x v="2"/>
    <s v="0045"/>
    <x v="2"/>
    <x v="2"/>
    <s v="METALFISA METALURGICA EIRELI LTDA"/>
    <d v="2025-03-17T00:00:00"/>
    <s v="MARCO"/>
    <n v="1"/>
    <n v="73.599999999999994"/>
    <n v="73.599999999999994"/>
    <s v="APROVADO"/>
    <s v="10"/>
    <x v="2"/>
    <s v="-"/>
    <n v="298"/>
    <s v="ATRASADO"/>
    <s v="-"/>
  </r>
  <r>
    <s v="036620008533.12.10398.00"/>
    <x v="2"/>
    <s v="0085"/>
    <x v="3"/>
    <x v="3"/>
    <s v="METALFISA METALURGICA EIRELI LTDA"/>
    <d v="2025-03-17T00:00:00"/>
    <s v="MARCO"/>
    <n v="1"/>
    <n v="11.72"/>
    <n v="11.72"/>
    <s v="APROVADO"/>
    <s v="10"/>
    <x v="2"/>
    <s v="-"/>
    <n v="298"/>
    <s v="ATRASADO"/>
    <s v="-"/>
  </r>
  <r>
    <s v="036622002233.20.10253.02"/>
    <x v="3"/>
    <s v="0022"/>
    <x v="4"/>
    <x v="4"/>
    <s v="METALFISA METALURGICA EIRELI LTDA"/>
    <d v="2025-03-17T00:00:00"/>
    <s v="MARCO"/>
    <n v="7"/>
    <n v="98.5"/>
    <n v="788"/>
    <s v="APROVADO"/>
    <s v="10"/>
    <x v="2"/>
    <s v="-"/>
    <n v="298"/>
    <s v="ATRASADO"/>
    <s v="-"/>
  </r>
  <r>
    <s v="036622003033.20.10566.00"/>
    <x v="3"/>
    <s v="0030"/>
    <x v="5"/>
    <x v="5"/>
    <s v="METALFISA METALURGICA EIRELI LTDA"/>
    <d v="2025-03-17T00:00:00"/>
    <s v="MARCO"/>
    <n v="3"/>
    <n v="603"/>
    <n v="9648"/>
    <s v="APROVADO"/>
    <s v="10"/>
    <x v="2"/>
    <s v="-"/>
    <n v="298"/>
    <s v="ATRASADO"/>
    <s v="-"/>
  </r>
  <r>
    <s v="036622003434.06.10000.03"/>
    <x v="3"/>
    <s v="0034"/>
    <x v="6"/>
    <x v="6"/>
    <s v="METALFISA METALURGICA EIRELI LTDA"/>
    <d v="2025-03-17T00:00:00"/>
    <s v="MARCO"/>
    <n v="14"/>
    <n v="84.3"/>
    <n v="5058"/>
    <s v="APROVADO"/>
    <s v="10"/>
    <x v="2"/>
    <s v="-"/>
    <n v="298"/>
    <s v="ATRASADO"/>
    <s v="-"/>
  </r>
  <r>
    <s v="037335000633.08.10244.00"/>
    <x v="4"/>
    <s v="0006"/>
    <x v="7"/>
    <x v="7"/>
    <s v="METALFISA METALURGICA EIRELI LTDA"/>
    <d v="2025-04-15T00:00:00"/>
    <s v="MARCO"/>
    <n v="1"/>
    <n v="638"/>
    <n v="1276"/>
    <s v="APROVADO"/>
    <s v="10"/>
    <x v="3"/>
    <s v="-"/>
    <n v="276"/>
    <s v="ATRASADO"/>
    <s v="-"/>
  </r>
  <r>
    <s v="037485000533.02.10037.01"/>
    <x v="5"/>
    <s v="0005"/>
    <x v="8"/>
    <x v="8"/>
    <s v="METALFISA METALURGICA EIRELI LTDA"/>
    <d v="2025-04-23T00:00:00"/>
    <s v="VICTOR"/>
    <n v="1"/>
    <n v="94.3"/>
    <n v="471.5"/>
    <s v="APROVADO"/>
    <s v="10"/>
    <x v="4"/>
    <s v="-"/>
    <n v="266"/>
    <s v="ATRASADO"/>
    <s v="-"/>
  </r>
  <r>
    <s v="037634001321.23.01314"/>
    <x v="6"/>
    <s v="0013"/>
    <x v="9"/>
    <x v="9"/>
    <s v="METALFISA METALURGICA EIRELI LTDA"/>
    <d v="2025-05-02T00:00:00"/>
    <s v="MARCO"/>
    <n v="13"/>
    <n v="120.61"/>
    <n v="12061"/>
    <s v="APROVADO"/>
    <s v="10"/>
    <x v="5"/>
    <s v="-"/>
    <n v="248"/>
    <s v="ATRASADO"/>
    <s v="-"/>
  </r>
  <r>
    <s v="037634002021.23.01329"/>
    <x v="6"/>
    <s v="0020"/>
    <x v="10"/>
    <x v="10"/>
    <s v="METALFISA METALURGICA EIRELI LTDA"/>
    <d v="2025-05-02T00:00:00"/>
    <s v="MARCO"/>
    <n v="1"/>
    <n v="76.27"/>
    <n v="1525.4"/>
    <s v="APROVADO"/>
    <s v="10"/>
    <x v="5"/>
    <s v="-"/>
    <n v="248"/>
    <s v="ATRASADO"/>
    <s v="-"/>
  </r>
  <r>
    <s v="037634002221.23.01331"/>
    <x v="6"/>
    <s v="0022"/>
    <x v="11"/>
    <x v="11"/>
    <s v="METALFISA METALURGICA EIRELI LTDA"/>
    <d v="2025-05-02T00:00:00"/>
    <s v="MARCO"/>
    <n v="8"/>
    <n v="119.88"/>
    <n v="5994"/>
    <s v="APROVADO"/>
    <s v="10"/>
    <x v="5"/>
    <s v="-"/>
    <n v="248"/>
    <s v="ATRASADO"/>
    <s v="-"/>
  </r>
  <r>
    <s v="037634002621.23.01468"/>
    <x v="6"/>
    <s v="0026"/>
    <x v="12"/>
    <x v="12"/>
    <s v="METALFISA METALURGICA EIRELI LTDA"/>
    <d v="2025-05-02T00:00:00"/>
    <s v="MARCO"/>
    <n v="16"/>
    <n v="20.61"/>
    <n v="1648.8"/>
    <s v="APROVADO"/>
    <s v="10"/>
    <x v="5"/>
    <s v="-"/>
    <n v="248"/>
    <s v="ATRASADO"/>
    <s v="-"/>
  </r>
  <r>
    <s v="037634004221.23.02787"/>
    <x v="6"/>
    <s v="0042"/>
    <x v="13"/>
    <x v="13"/>
    <s v="METALFISA METALURGICA EIRELI LTDA"/>
    <d v="2025-05-02T00:00:00"/>
    <s v="MARCO"/>
    <n v="1"/>
    <n v="140.02000000000001"/>
    <n v="2800.4"/>
    <s v="APROVADO"/>
    <s v="10"/>
    <x v="5"/>
    <s v="-"/>
    <n v="248"/>
    <s v="ATRASADO"/>
    <s v="-"/>
  </r>
  <r>
    <s v="037634004321.23.02788"/>
    <x v="6"/>
    <s v="0043"/>
    <x v="14"/>
    <x v="14"/>
    <s v="METALFISA METALURGICA EIRELI LTDA"/>
    <d v="2025-05-02T00:00:00"/>
    <s v="MARCO"/>
    <n v="2"/>
    <n v="170.02"/>
    <n v="3400.4"/>
    <s v="APROVADO"/>
    <s v="10"/>
    <x v="5"/>
    <s v="-"/>
    <n v="248"/>
    <s v="ATRASADO"/>
    <s v="-"/>
  </r>
  <r>
    <s v="038053000421.23.02022"/>
    <x v="7"/>
    <s v="0004"/>
    <x v="15"/>
    <x v="15"/>
    <s v="METALFISA METALURGICA EIRELI LTDA"/>
    <d v="2025-05-21T00:00:00"/>
    <s v="MARCO"/>
    <n v="2"/>
    <n v="531.667957"/>
    <n v="2658.34"/>
    <s v="APROVADO"/>
    <s v="10"/>
    <x v="6"/>
    <s v="-"/>
    <n v="241"/>
    <s v="ATRASADO"/>
    <s v="-"/>
  </r>
  <r>
    <s v="038053000933.08.10242.00"/>
    <x v="7"/>
    <s v="0009"/>
    <x v="16"/>
    <x v="16"/>
    <s v="METALFISA METALURGICA EIRELI LTDA"/>
    <d v="2025-05-21T00:00:00"/>
    <s v="MARCO"/>
    <n v="1"/>
    <n v="491"/>
    <n v="491"/>
    <s v="APROVADO"/>
    <s v="10"/>
    <x v="6"/>
    <s v="-"/>
    <n v="241"/>
    <s v="ATRASADO"/>
    <s v="-"/>
  </r>
  <r>
    <s v="046695000221.23.02267"/>
    <x v="8"/>
    <s v="0002"/>
    <x v="17"/>
    <x v="17"/>
    <s v="METALFISA METALURGICA EIRELI LTDA"/>
    <d v="2025-05-30T00:00:00"/>
    <s v="MARCO"/>
    <n v="1"/>
    <n v="29"/>
    <n v="58"/>
    <s v="APROVADO"/>
    <s v="10"/>
    <x v="7"/>
    <s v="-"/>
    <n v="213"/>
    <s v="ATRASADO"/>
    <s v="-"/>
  </r>
  <r>
    <s v="046695004333.20.10253.02"/>
    <x v="8"/>
    <s v="0043"/>
    <x v="4"/>
    <x v="4"/>
    <s v="METALFISA METALURGICA EIRELI LTDA"/>
    <d v="2025-05-30T00:00:00"/>
    <s v="MARCO"/>
    <n v="1"/>
    <n v="98.5"/>
    <n v="197"/>
    <s v="APROVADO"/>
    <s v="10"/>
    <x v="7"/>
    <s v="-"/>
    <n v="213"/>
    <s v="ATRASADO"/>
    <s v="-"/>
  </r>
  <r>
    <s v="046755003433.12.10550.00"/>
    <x v="9"/>
    <s v="0034"/>
    <x v="18"/>
    <x v="18"/>
    <s v="METALFISA METALURGICA EIRELI LTDA"/>
    <d v="2025-06-04T00:00:00"/>
    <s v="MARCO"/>
    <n v="1"/>
    <n v="295"/>
    <n v="295"/>
    <s v="APROVADO"/>
    <s v="10"/>
    <x v="8"/>
    <s v="-"/>
    <n v="208"/>
    <s v="ATRASADO"/>
    <s v="-"/>
  </r>
  <r>
    <s v="047542000921.23.01301"/>
    <x v="10"/>
    <s v="0009"/>
    <x v="19"/>
    <x v="19"/>
    <s v="METALFISA METALURGICA EIRELI LTDA"/>
    <d v="2025-07-10T00:00:00"/>
    <s v="MARCO"/>
    <n v="1"/>
    <n v="9.57"/>
    <n v="114.84"/>
    <s v="APROVADO"/>
    <s v="10"/>
    <x v="9"/>
    <s v="-"/>
    <n v="192"/>
    <s v="ATRASADO"/>
    <s v="-"/>
  </r>
  <r>
    <s v="047809001813.03.00124"/>
    <x v="11"/>
    <s v="0018"/>
    <x v="20"/>
    <x v="20"/>
    <s v="METALFISA METALURGICA EIRELI LTDA"/>
    <d v="2025-07-18T00:00:00"/>
    <s v="MARCO"/>
    <n v="1"/>
    <n v="481.71"/>
    <n v="963.42"/>
    <s v="APROVADO"/>
    <s v="10"/>
    <x v="10"/>
    <s v="-"/>
    <n v="145"/>
    <s v="ATRASADO"/>
    <s v="-"/>
  </r>
  <r>
    <s v="047809003513.03.00232"/>
    <x v="11"/>
    <s v="0035"/>
    <x v="21"/>
    <x v="21"/>
    <s v="METALFISA METALURGICA EIRELI LTDA"/>
    <d v="2025-07-18T00:00:00"/>
    <s v="MARCO"/>
    <n v="4"/>
    <n v="65"/>
    <n v="260"/>
    <s v="APROVADO"/>
    <s v="10"/>
    <x v="10"/>
    <s v="-"/>
    <n v="145"/>
    <s v="ATRASADO"/>
    <s v="-"/>
  </r>
  <r>
    <s v="047809004621.23.00222"/>
    <x v="11"/>
    <s v="0046"/>
    <x v="22"/>
    <x v="22"/>
    <s v="METALFISA METALURGICA EIRELI LTDA"/>
    <d v="2025-07-18T00:00:00"/>
    <s v="MARCO"/>
    <n v="4"/>
    <n v="125.46"/>
    <n v="1003.68"/>
    <s v="APROVADO"/>
    <s v="10"/>
    <x v="10"/>
    <s v="-"/>
    <n v="145"/>
    <s v="ATRASADO"/>
    <s v="-"/>
  </r>
  <r>
    <s v="047809013021.23.04635"/>
    <x v="11"/>
    <s v="0130"/>
    <x v="23"/>
    <x v="23"/>
    <s v="METALFISA METALURGICA EIRELI LTDA"/>
    <d v="2025-07-18T00:00:00"/>
    <s v="MARCO"/>
    <n v="2"/>
    <n v="337.04"/>
    <n v="674.08"/>
    <s v="APROVADO"/>
    <s v="10"/>
    <x v="10"/>
    <s v="-"/>
    <n v="145"/>
    <s v="ATRASADO"/>
    <s v="-"/>
  </r>
  <r>
    <s v="047809015233.14.10274.00"/>
    <x v="11"/>
    <s v="0152"/>
    <x v="24"/>
    <x v="24"/>
    <s v="METALFISA METALURGICA EIRELI LTDA"/>
    <d v="2025-07-18T00:00:00"/>
    <s v="MARCO"/>
    <n v="1"/>
    <n v="685.4"/>
    <n v="1370.8"/>
    <s v="APROVADO"/>
    <s v="10"/>
    <x v="10"/>
    <s v="-"/>
    <n v="145"/>
    <s v="ATRASADO"/>
    <s v="-"/>
  </r>
  <r>
    <s v="047809015433.99.10024.00"/>
    <x v="11"/>
    <s v="0154"/>
    <x v="25"/>
    <x v="25"/>
    <s v="METALFISA METALURGICA EIRELI LTDA"/>
    <d v="2025-07-18T00:00:00"/>
    <s v="MARCO"/>
    <n v="1"/>
    <n v="5.98"/>
    <n v="59.8"/>
    <s v="APROVADO"/>
    <s v="10"/>
    <x v="10"/>
    <s v="-"/>
    <n v="145"/>
    <s v="ATRASADO"/>
    <s v="-"/>
  </r>
  <r>
    <s v="047973003421.23.02280"/>
    <x v="12"/>
    <s v="0034"/>
    <x v="26"/>
    <x v="26"/>
    <s v="METALFISA METALURGICA EIRELI LTDA"/>
    <d v="2025-07-23T00:00:00"/>
    <s v="MARCO"/>
    <n v="1"/>
    <n v="65.319999999999993"/>
    <n v="65.319999999999993"/>
    <s v="APROVADO"/>
    <s v="10"/>
    <x v="11"/>
    <s v="-"/>
    <n v="154"/>
    <s v="ATRASADO"/>
    <s v="-"/>
  </r>
  <r>
    <s v="047973010033.03.10306.02"/>
    <x v="12"/>
    <s v="0100"/>
    <x v="27"/>
    <x v="27"/>
    <s v="METALFISA METALURGICA EIRELI LTDA"/>
    <d v="2025-07-23T00:00:00"/>
    <s v="MARCO"/>
    <n v="1"/>
    <n v="38.82"/>
    <n v="194.1"/>
    <s v="APROVADO"/>
    <s v="10"/>
    <x v="11"/>
    <s v="-"/>
    <n v="154"/>
    <s v="ATRASADO"/>
    <s v="-"/>
  </r>
  <r>
    <s v="047973015433.99.10023.00"/>
    <x v="12"/>
    <s v="0154"/>
    <x v="28"/>
    <x v="28"/>
    <s v="METALFISA METALURGICA EIRELI LTDA"/>
    <d v="2025-07-23T00:00:00"/>
    <s v="MARCO"/>
    <n v="146"/>
    <n v="5.15"/>
    <n v="751.9"/>
    <s v="APROVADO"/>
    <s v="10"/>
    <x v="11"/>
    <s v="-"/>
    <n v="154"/>
    <s v="ATRASADO"/>
    <s v="-"/>
  </r>
  <r>
    <s v="048098000921.23.01023"/>
    <x v="13"/>
    <s v="0009"/>
    <x v="29"/>
    <x v="29"/>
    <s v="METALFISA METALURGICA EIRELI LTDA"/>
    <d v="2025-07-30T00:00:00"/>
    <s v="MARCO"/>
    <n v="4"/>
    <n v="22"/>
    <n v="88"/>
    <s v="APROVADO"/>
    <s v="10"/>
    <x v="12"/>
    <s v="-"/>
    <n v="161"/>
    <s v="ATRASADO"/>
    <s v="-"/>
  </r>
  <r>
    <s v="048098001021.23.01026"/>
    <x v="13"/>
    <s v="0010"/>
    <x v="30"/>
    <x v="30"/>
    <s v="METALFISA METALURGICA EIRELI LTDA"/>
    <d v="2025-07-30T00:00:00"/>
    <s v="MARCO"/>
    <n v="1"/>
    <n v="18.68"/>
    <n v="130.76"/>
    <s v="APROVADO"/>
    <s v="10"/>
    <x v="12"/>
    <s v="-"/>
    <n v="161"/>
    <s v="ATRASADO"/>
    <s v="-"/>
  </r>
  <r>
    <s v="048653000121.23.00879"/>
    <x v="14"/>
    <s v="0001"/>
    <x v="31"/>
    <x v="31"/>
    <s v="METALFISA METALURGICA EIRELI LTDA"/>
    <d v="2025-08-26T00:00:00"/>
    <s v="RAFAEL"/>
    <n v="1"/>
    <n v="74"/>
    <n v="17020"/>
    <s v="APROVADO"/>
    <s v="10"/>
    <x v="13"/>
    <s v="-"/>
    <n v="122"/>
    <s v="ATRASADO"/>
    <s v="-"/>
  </r>
  <r>
    <s v="048653002721.23.01302"/>
    <x v="14"/>
    <s v="0027"/>
    <x v="32"/>
    <x v="32"/>
    <s v="METALFISA METALURGICA EIRELI LTDA"/>
    <d v="2025-08-26T00:00:00"/>
    <s v="RAFAEL"/>
    <n v="5"/>
    <n v="4.51"/>
    <n v="54.12"/>
    <s v="APROVADO"/>
    <s v="10"/>
    <x v="13"/>
    <s v="-"/>
    <n v="122"/>
    <s v="ATRASADO"/>
    <s v="-"/>
  </r>
  <r>
    <s v="048653004021.23.01451"/>
    <x v="14"/>
    <s v="0040"/>
    <x v="33"/>
    <x v="33"/>
    <s v="METALFISA METALURGICA EIRELI LTDA"/>
    <d v="2025-08-26T00:00:00"/>
    <s v="RAFAEL"/>
    <n v="8"/>
    <n v="10.029999999999999"/>
    <n v="80.239999999999995"/>
    <s v="APROVADO"/>
    <s v="10"/>
    <x v="13"/>
    <s v="-"/>
    <n v="122"/>
    <s v="ATRASADO"/>
    <s v="-"/>
  </r>
  <r>
    <s v="048653004121.23.01468"/>
    <x v="14"/>
    <s v="0041"/>
    <x v="12"/>
    <x v="12"/>
    <s v="METALFISA METALURGICA EIRELI LTDA"/>
    <d v="2025-08-26T00:00:00"/>
    <s v="RAFAEL"/>
    <n v="64"/>
    <n v="20.61"/>
    <n v="1319.04"/>
    <s v="APROVADO"/>
    <s v="10"/>
    <x v="13"/>
    <s v="-"/>
    <n v="122"/>
    <s v="ATRASADO"/>
    <s v="-"/>
  </r>
  <r>
    <s v="048653006721.23.02281"/>
    <x v="14"/>
    <s v="0067"/>
    <x v="34"/>
    <x v="34"/>
    <s v="METALFISA METALURGICA EIRELI LTDA"/>
    <d v="2025-08-26T00:00:00"/>
    <s v="RAFAEL"/>
    <n v="1"/>
    <n v="634.42999999999995"/>
    <n v="5709.87"/>
    <s v="APROVADO"/>
    <s v="10"/>
    <x v="13"/>
    <s v="-"/>
    <n v="122"/>
    <s v="ATRASADO"/>
    <s v="-"/>
  </r>
  <r>
    <s v="048653007821.23.02784"/>
    <x v="14"/>
    <s v="0078"/>
    <x v="35"/>
    <x v="35"/>
    <s v="METALFISA METALURGICA EIRELI LTDA"/>
    <d v="2025-08-26T00:00:00"/>
    <s v="RAFAEL"/>
    <n v="4"/>
    <n v="787.89"/>
    <n v="11818.35"/>
    <s v="APROVADO"/>
    <s v="10"/>
    <x v="13"/>
    <s v="-"/>
    <n v="122"/>
    <s v="ATRASADO"/>
    <s v="-"/>
  </r>
  <r>
    <s v="048653008021.23.02786"/>
    <x v="14"/>
    <s v="0080"/>
    <x v="36"/>
    <x v="36"/>
    <s v="METALFISA METALURGICA EIRELI LTDA"/>
    <d v="2025-08-26T00:00:00"/>
    <s v="RAFAEL"/>
    <n v="5"/>
    <n v="165.23"/>
    <n v="2643.68"/>
    <s v="APROVADO"/>
    <s v="10"/>
    <x v="13"/>
    <s v="-"/>
    <n v="122"/>
    <s v="ATRASADO"/>
    <s v="-"/>
  </r>
  <r>
    <s v="048653008921.23.03306"/>
    <x v="14"/>
    <s v="0089"/>
    <x v="37"/>
    <x v="37"/>
    <s v="METALFISA METALURGICA EIRELI LTDA"/>
    <d v="2025-08-26T00:00:00"/>
    <s v="RAFAEL"/>
    <n v="3"/>
    <n v="54.9"/>
    <n v="274.5"/>
    <s v="APROVADO"/>
    <s v="10"/>
    <x v="13"/>
    <s v="-"/>
    <n v="122"/>
    <s v="ATRASADO"/>
    <s v="-"/>
  </r>
  <r>
    <s v="048653010321.23.04292"/>
    <x v="14"/>
    <s v="0103"/>
    <x v="38"/>
    <x v="38"/>
    <s v="METALFISA METALURGICA EIRELI LTDA"/>
    <d v="2025-08-26T00:00:00"/>
    <s v="RAFAEL"/>
    <n v="2"/>
    <n v="287.68"/>
    <n v="2301.44"/>
    <s v="APROVADO"/>
    <s v="10"/>
    <x v="13"/>
    <s v="-"/>
    <n v="122"/>
    <s v="ATRASADO"/>
    <s v="-"/>
  </r>
  <r>
    <s v="048653012933.08.10283.00"/>
    <x v="14"/>
    <s v="0129"/>
    <x v="39"/>
    <x v="39"/>
    <s v="METALFISA METALURGICA EIRELI LTDA"/>
    <d v="2025-08-26T00:00:00"/>
    <s v="RAFAEL"/>
    <n v="8"/>
    <n v="31.2"/>
    <n v="249.6"/>
    <s v="APROVADO"/>
    <s v="10"/>
    <x v="13"/>
    <s v="-"/>
    <n v="122"/>
    <s v="ATRASADO"/>
    <s v="-"/>
  </r>
  <r>
    <s v="048653013033.08.10283.00"/>
    <x v="14"/>
    <s v="0130"/>
    <x v="39"/>
    <x v="39"/>
    <s v="METALFISA METALURGICA EIRELI LTDA"/>
    <d v="2025-08-26T00:00:00"/>
    <s v="RAFAEL"/>
    <n v="60"/>
    <n v="31.2"/>
    <n v="1872"/>
    <s v="APROVADO"/>
    <s v="10"/>
    <x v="13"/>
    <s v="-"/>
    <n v="122"/>
    <s v="ATRASADO"/>
    <s v="-"/>
  </r>
  <r>
    <s v="048653013433.08.10305.00"/>
    <x v="14"/>
    <s v="0134"/>
    <x v="40"/>
    <x v="40"/>
    <s v="METALFISA METALURGICA EIRELI LTDA"/>
    <d v="2025-08-26T00:00:00"/>
    <s v="RAFAEL"/>
    <n v="4"/>
    <n v="616.67999999999995"/>
    <n v="2466.7199999999998"/>
    <s v="APROVADO"/>
    <s v="10"/>
    <x v="13"/>
    <s v="-"/>
    <n v="122"/>
    <s v="ATRASADO"/>
    <s v="-"/>
  </r>
  <r>
    <s v="048653013633.08.10307.00"/>
    <x v="14"/>
    <s v="0136"/>
    <x v="41"/>
    <x v="41"/>
    <s v="METALFISA METALURGICA EIRELI LTDA"/>
    <d v="2025-08-26T00:00:00"/>
    <s v="RAFAEL"/>
    <n v="2"/>
    <n v="657"/>
    <n v="1971"/>
    <s v="APROVADO"/>
    <s v="10"/>
    <x v="13"/>
    <s v="-"/>
    <n v="122"/>
    <s v="ATRASADO"/>
    <s v="-"/>
  </r>
  <r>
    <s v="048653013733.08.10307.00"/>
    <x v="14"/>
    <s v="0137"/>
    <x v="41"/>
    <x v="41"/>
    <s v="METALFISA METALURGICA EIRELI LTDA"/>
    <d v="2025-08-26T00:00:00"/>
    <s v="RAFAEL"/>
    <n v="5"/>
    <n v="657"/>
    <n v="3285"/>
    <s v="APROVADO"/>
    <s v="10"/>
    <x v="13"/>
    <s v="-"/>
    <n v="122"/>
    <s v="ATRASADO"/>
    <s v="-"/>
  </r>
  <r>
    <s v="048653014833.20.10253.02"/>
    <x v="14"/>
    <s v="0148"/>
    <x v="4"/>
    <x v="4"/>
    <s v="METALFISA METALURGICA EIRELI LTDA"/>
    <d v="2025-08-26T00:00:00"/>
    <s v="RAFAEL"/>
    <n v="3"/>
    <n v="98.5"/>
    <n v="1280.5"/>
    <s v="APROVADO"/>
    <s v="10"/>
    <x v="13"/>
    <s v="-"/>
    <n v="122"/>
    <s v="ATRASADO"/>
    <s v="-"/>
  </r>
  <r>
    <s v="048653014933.20.10255.01"/>
    <x v="14"/>
    <s v="0149"/>
    <x v="42"/>
    <x v="42"/>
    <s v="METALFISA METALURGICA EIRELI LTDA"/>
    <d v="2025-08-26T00:00:00"/>
    <s v="RAFAEL"/>
    <n v="2"/>
    <n v="68"/>
    <n v="816"/>
    <s v="APROVADO"/>
    <s v="10"/>
    <x v="13"/>
    <s v="-"/>
    <n v="122"/>
    <s v="ATRASADO"/>
    <s v="-"/>
  </r>
  <r>
    <s v="048978001033.20.10251.02"/>
    <x v="15"/>
    <s v="0010"/>
    <x v="43"/>
    <x v="43"/>
    <s v="METALFISA METALURGICA EIRELI LTDA"/>
    <d v="2025-09-09T00:00:00"/>
    <s v="MARCO"/>
    <n v="2"/>
    <n v="98.5"/>
    <n v="197"/>
    <s v="APROVADO"/>
    <s v="10"/>
    <x v="14"/>
    <s v="-"/>
    <n v="130"/>
    <s v="ATRASADO"/>
    <s v="-"/>
  </r>
  <r>
    <s v="049117000113.01.00054"/>
    <x v="16"/>
    <s v="0001"/>
    <x v="44"/>
    <x v="44"/>
    <s v="METALFISA METALURGICA EIRELI LTDA"/>
    <d v="2025-09-15T00:00:00"/>
    <s v="MARCO"/>
    <n v="2"/>
    <n v="7.6"/>
    <n v="15.2"/>
    <s v="APROVADO"/>
    <s v="10"/>
    <x v="15"/>
    <s v="-"/>
    <n v="91"/>
    <s v="ATRASADO"/>
    <s v="-"/>
  </r>
  <r>
    <s v="049117000313.03.00055"/>
    <x v="16"/>
    <s v="0003"/>
    <x v="45"/>
    <x v="45"/>
    <s v="METALFISA METALURGICA EIRELI LTDA"/>
    <d v="2025-09-15T00:00:00"/>
    <s v="MARCO"/>
    <n v="2"/>
    <n v="74.2"/>
    <n v="148.4"/>
    <s v="APROVADO"/>
    <s v="10"/>
    <x v="15"/>
    <s v="-"/>
    <n v="91"/>
    <s v="ATRASADO"/>
    <s v="-"/>
  </r>
  <r>
    <s v="049117000413.03.00056"/>
    <x v="16"/>
    <s v="0004"/>
    <x v="46"/>
    <x v="46"/>
    <s v="METALFISA METALURGICA EIRELI LTDA"/>
    <d v="2025-09-15T00:00:00"/>
    <s v="MARCO"/>
    <n v="2"/>
    <n v="142.19999999999999"/>
    <n v="284.39999999999998"/>
    <s v="APROVADO"/>
    <s v="10"/>
    <x v="15"/>
    <s v="-"/>
    <n v="91"/>
    <s v="ATRASADO"/>
    <s v="-"/>
  </r>
  <r>
    <s v="049117000713.03.00062"/>
    <x v="16"/>
    <s v="0007"/>
    <x v="47"/>
    <x v="47"/>
    <s v="METALFISA METALURGICA EIRELI LTDA"/>
    <d v="2025-09-15T00:00:00"/>
    <s v="MARCO"/>
    <n v="1"/>
    <n v="145.1"/>
    <n v="145.1"/>
    <s v="APROVADO"/>
    <s v="10"/>
    <x v="15"/>
    <s v="-"/>
    <n v="91"/>
    <s v="ATRASADO"/>
    <s v="-"/>
  </r>
  <r>
    <s v="049117000813.03.00065"/>
    <x v="16"/>
    <s v="0008"/>
    <x v="48"/>
    <x v="48"/>
    <s v="METALFISA METALURGICA EIRELI LTDA"/>
    <d v="2025-09-15T00:00:00"/>
    <s v="MARCO"/>
    <n v="16"/>
    <n v="24.27"/>
    <n v="388.32"/>
    <s v="APROVADO"/>
    <s v="10"/>
    <x v="15"/>
    <s v="-"/>
    <n v="91"/>
    <s v="ATRASADO"/>
    <s v="-"/>
  </r>
  <r>
    <s v="049117001113.03.00080"/>
    <x v="16"/>
    <s v="0011"/>
    <x v="49"/>
    <x v="49"/>
    <s v="METALFISA METALURGICA EIRELI LTDA"/>
    <d v="2025-09-15T00:00:00"/>
    <s v="MARCO"/>
    <n v="1"/>
    <n v="5147.33"/>
    <n v="5147.33"/>
    <s v="APROVADO"/>
    <s v="10"/>
    <x v="15"/>
    <s v="-"/>
    <n v="91"/>
    <s v="ATRASADO"/>
    <s v="-"/>
  </r>
  <r>
    <s v="049117001513.03.00111"/>
    <x v="16"/>
    <s v="0015"/>
    <x v="50"/>
    <x v="50"/>
    <s v="METALFISA METALURGICA EIRELI LTDA"/>
    <d v="2025-09-15T00:00:00"/>
    <s v="MARCO"/>
    <n v="2"/>
    <n v="336.7"/>
    <n v="673.4"/>
    <s v="APROVADO"/>
    <s v="10"/>
    <x v="15"/>
    <s v="-"/>
    <n v="91"/>
    <s v="ATRASADO"/>
    <s v="-"/>
  </r>
  <r>
    <s v="049117001613.03.00112"/>
    <x v="16"/>
    <s v="0016"/>
    <x v="51"/>
    <x v="51"/>
    <s v="METALFISA METALURGICA EIRELI LTDA"/>
    <d v="2025-09-15T00:00:00"/>
    <s v="MARCO"/>
    <n v="2"/>
    <n v="24.4"/>
    <n v="48.8"/>
    <s v="APROVADO"/>
    <s v="10"/>
    <x v="15"/>
    <s v="-"/>
    <n v="91"/>
    <s v="ATRASADO"/>
    <s v="-"/>
  </r>
  <r>
    <s v="049117001713.03.00123"/>
    <x v="16"/>
    <s v="0017"/>
    <x v="52"/>
    <x v="52"/>
    <s v="METALFISA METALURGICA EIRELI LTDA"/>
    <d v="2025-09-15T00:00:00"/>
    <s v="MARCO"/>
    <n v="1"/>
    <n v="1516.24"/>
    <n v="1516.24"/>
    <s v="APROVADO"/>
    <s v="10"/>
    <x v="15"/>
    <s v="-"/>
    <n v="91"/>
    <s v="ATRASADO"/>
    <s v="-"/>
  </r>
  <r>
    <s v="049117002013.03.00143"/>
    <x v="16"/>
    <s v="0020"/>
    <x v="53"/>
    <x v="53"/>
    <s v="METALFISA METALURGICA EIRELI LTDA"/>
    <d v="2025-09-15T00:00:00"/>
    <s v="MARCO"/>
    <n v="1"/>
    <n v="3194.7"/>
    <n v="3194.7"/>
    <s v="APROVADO"/>
    <s v="10"/>
    <x v="15"/>
    <s v="-"/>
    <n v="91"/>
    <s v="ATRASADO"/>
    <s v="-"/>
  </r>
  <r>
    <s v="049117002313.03.00165"/>
    <x v="16"/>
    <s v="0023"/>
    <x v="54"/>
    <x v="54"/>
    <s v="METALFISA METALURGICA EIRELI LTDA"/>
    <d v="2025-09-15T00:00:00"/>
    <s v="MARCO"/>
    <n v="1"/>
    <n v="5147.33"/>
    <n v="5147.33"/>
    <s v="APROVADO"/>
    <s v="10"/>
    <x v="15"/>
    <s v="-"/>
    <n v="91"/>
    <s v="ATRASADO"/>
    <s v="-"/>
  </r>
  <r>
    <s v="049117002413.03.00166"/>
    <x v="16"/>
    <s v="0024"/>
    <x v="55"/>
    <x v="55"/>
    <s v="METALFISA METALURGICA EIRELI LTDA"/>
    <d v="2025-09-15T00:00:00"/>
    <s v="MARCO"/>
    <n v="1"/>
    <n v="1418.87"/>
    <n v="1418.87"/>
    <s v="APROVADO"/>
    <s v="10"/>
    <x v="15"/>
    <s v="-"/>
    <n v="91"/>
    <s v="ATRASADO"/>
    <s v="-"/>
  </r>
  <r>
    <s v="049117003113.03.00212"/>
    <x v="16"/>
    <s v="0031"/>
    <x v="56"/>
    <x v="56"/>
    <s v="METALFISA METALURGICA EIRELI LTDA"/>
    <d v="2025-09-15T00:00:00"/>
    <s v="MARCO"/>
    <n v="1"/>
    <n v="394.16"/>
    <n v="394.16"/>
    <s v="APROVADO"/>
    <s v="10"/>
    <x v="15"/>
    <s v="-"/>
    <n v="91"/>
    <s v="ATRASADO"/>
    <s v="-"/>
  </r>
  <r>
    <s v="049117003721.23.00198"/>
    <x v="16"/>
    <s v="0037"/>
    <x v="57"/>
    <x v="57"/>
    <s v="METALFISA METALURGICA EIRELI LTDA"/>
    <d v="2025-09-15T00:00:00"/>
    <s v="MARCO"/>
    <n v="1"/>
    <n v="77"/>
    <n v="77"/>
    <s v="APROVADO"/>
    <s v="10"/>
    <x v="15"/>
    <s v="-"/>
    <n v="91"/>
    <s v="ATRASADO"/>
    <s v="-"/>
  </r>
  <r>
    <s v="049117003921.23.00202"/>
    <x v="16"/>
    <s v="0039"/>
    <x v="58"/>
    <x v="58"/>
    <s v="METALFISA METALURGICA EIRELI LTDA"/>
    <d v="2025-09-15T00:00:00"/>
    <s v="MARCO"/>
    <n v="1"/>
    <n v="61.26"/>
    <n v="61.26"/>
    <s v="APROVADO"/>
    <s v="10"/>
    <x v="15"/>
    <s v="-"/>
    <n v="91"/>
    <s v="ATRASADO"/>
    <s v="-"/>
  </r>
  <r>
    <s v="049117005021.23.00235"/>
    <x v="16"/>
    <s v="0050"/>
    <x v="59"/>
    <x v="59"/>
    <s v="METALFISA METALURGICA EIRELI LTDA"/>
    <d v="2025-09-15T00:00:00"/>
    <s v="MARCO"/>
    <n v="2"/>
    <n v="1716.94"/>
    <n v="3433.88"/>
    <s v="APROVADO"/>
    <s v="10"/>
    <x v="15"/>
    <s v="-"/>
    <n v="91"/>
    <s v="ATRASADO"/>
    <s v="-"/>
  </r>
  <r>
    <s v="049117005121.23.00239"/>
    <x v="16"/>
    <s v="0051"/>
    <x v="60"/>
    <x v="60"/>
    <s v="METALFISA METALURGICA EIRELI LTDA"/>
    <d v="2025-09-15T00:00:00"/>
    <s v="MARCO"/>
    <n v="1"/>
    <n v="55"/>
    <n v="55"/>
    <s v="APROVADO"/>
    <s v="10"/>
    <x v="15"/>
    <s v="-"/>
    <n v="91"/>
    <s v="ATRASADO"/>
    <s v="-"/>
  </r>
  <r>
    <s v="049117005421.23.00250"/>
    <x v="16"/>
    <s v="0054"/>
    <x v="61"/>
    <x v="61"/>
    <s v="METALFISA METALURGICA EIRELI LTDA"/>
    <d v="2025-09-15T00:00:00"/>
    <s v="MARCO"/>
    <n v="1"/>
    <n v="51.18"/>
    <n v="51.18"/>
    <s v="APROVADO"/>
    <s v="10"/>
    <x v="15"/>
    <s v="-"/>
    <n v="91"/>
    <s v="ATRASADO"/>
    <s v="-"/>
  </r>
  <r>
    <s v="049117006321.23.02069"/>
    <x v="16"/>
    <s v="0063"/>
    <x v="62"/>
    <x v="62"/>
    <s v="METALFISA METALURGICA EIRELI LTDA"/>
    <d v="2025-09-15T00:00:00"/>
    <s v="MARCO"/>
    <n v="2"/>
    <n v="674.9"/>
    <n v="1349.8"/>
    <s v="APROVADO"/>
    <s v="10"/>
    <x v="15"/>
    <s v="-"/>
    <n v="91"/>
    <s v="ATRASADO"/>
    <s v="-"/>
  </r>
  <r>
    <s v="049117006421.23.02070"/>
    <x v="16"/>
    <s v="0064"/>
    <x v="63"/>
    <x v="63"/>
    <s v="METALFISA METALURGICA EIRELI LTDA"/>
    <d v="2025-09-15T00:00:00"/>
    <s v="MARCO"/>
    <n v="1"/>
    <n v="466"/>
    <n v="466"/>
    <s v="APROVADO"/>
    <s v="10"/>
    <x v="15"/>
    <s v="-"/>
    <n v="91"/>
    <s v="ATRASADO"/>
    <s v="-"/>
  </r>
  <r>
    <s v="049117007021.23.02078"/>
    <x v="16"/>
    <s v="0070"/>
    <x v="64"/>
    <x v="64"/>
    <s v="METALFISA METALURGICA EIRELI LTDA"/>
    <d v="2025-09-15T00:00:00"/>
    <s v="MARCO"/>
    <n v="1"/>
    <n v="381.2"/>
    <n v="381.2"/>
    <s v="APROVADO"/>
    <s v="10"/>
    <x v="15"/>
    <s v="-"/>
    <n v="91"/>
    <s v="ATRASADO"/>
    <s v="-"/>
  </r>
  <r>
    <s v="049117007821.23.02087"/>
    <x v="16"/>
    <s v="0078"/>
    <x v="65"/>
    <x v="65"/>
    <s v="METALFISA METALURGICA EIRELI LTDA"/>
    <d v="2025-09-15T00:00:00"/>
    <s v="MARCO"/>
    <n v="1"/>
    <n v="1130"/>
    <n v="1130"/>
    <s v="APROVADO"/>
    <s v="10"/>
    <x v="15"/>
    <s v="-"/>
    <n v="91"/>
    <s v="ATRASADO"/>
    <s v="-"/>
  </r>
  <r>
    <s v="049117007921.23.02088"/>
    <x v="16"/>
    <s v="0079"/>
    <x v="66"/>
    <x v="66"/>
    <s v="METALFISA METALURGICA EIRELI LTDA"/>
    <d v="2025-09-15T00:00:00"/>
    <s v="MARCO"/>
    <n v="2"/>
    <n v="324"/>
    <n v="648"/>
    <s v="APROVADO"/>
    <s v="10"/>
    <x v="15"/>
    <s v="-"/>
    <n v="91"/>
    <s v="ATRASADO"/>
    <s v="-"/>
  </r>
  <r>
    <s v="049117008121.23.02090"/>
    <x v="16"/>
    <s v="0081"/>
    <x v="67"/>
    <x v="67"/>
    <s v="METALFISA METALURGICA EIRELI LTDA"/>
    <d v="2025-09-15T00:00:00"/>
    <s v="MARCO"/>
    <n v="1"/>
    <n v="308.3"/>
    <n v="308.3"/>
    <s v="APROVADO"/>
    <s v="10"/>
    <x v="15"/>
    <s v="-"/>
    <n v="91"/>
    <s v="ATRASADO"/>
    <s v="-"/>
  </r>
  <r>
    <s v="049117008221.23.02091"/>
    <x v="16"/>
    <s v="0082"/>
    <x v="68"/>
    <x v="68"/>
    <s v="METALFISA METALURGICA EIRELI LTDA"/>
    <d v="2025-09-15T00:00:00"/>
    <s v="MARCO"/>
    <n v="1"/>
    <n v="311.8"/>
    <n v="311.8"/>
    <s v="APROVADO"/>
    <s v="10"/>
    <x v="15"/>
    <s v="-"/>
    <n v="91"/>
    <s v="ATRASADO"/>
    <s v="-"/>
  </r>
  <r>
    <s v="049117008321.23.02092"/>
    <x v="16"/>
    <s v="0083"/>
    <x v="69"/>
    <x v="69"/>
    <s v="METALFISA METALURGICA EIRELI LTDA"/>
    <d v="2025-09-15T00:00:00"/>
    <s v="MARCO"/>
    <n v="1"/>
    <n v="22.4"/>
    <n v="22.4"/>
    <s v="APROVADO"/>
    <s v="10"/>
    <x v="15"/>
    <s v="-"/>
    <n v="91"/>
    <s v="ATRASADO"/>
    <s v="-"/>
  </r>
  <r>
    <s v="049117009421.23.02104"/>
    <x v="16"/>
    <s v="0094"/>
    <x v="70"/>
    <x v="70"/>
    <s v="METALFISA METALURGICA EIRELI LTDA"/>
    <d v="2025-09-15T00:00:00"/>
    <s v="MARCO"/>
    <n v="1"/>
    <n v="395.6"/>
    <n v="395.6"/>
    <s v="APROVADO"/>
    <s v="10"/>
    <x v="15"/>
    <s v="-"/>
    <n v="91"/>
    <s v="ATRASADO"/>
    <s v="-"/>
  </r>
  <r>
    <s v="049117010221.23.03666"/>
    <x v="16"/>
    <s v="0102"/>
    <x v="71"/>
    <x v="71"/>
    <s v="METALFISA METALURGICA EIRELI LTDA"/>
    <d v="2025-09-15T00:00:00"/>
    <s v="MARCO"/>
    <n v="1"/>
    <n v="144.26"/>
    <n v="144.26"/>
    <s v="APROVADO"/>
    <s v="10"/>
    <x v="15"/>
    <s v="-"/>
    <n v="91"/>
    <s v="ATRASADO"/>
    <s v="-"/>
  </r>
  <r>
    <s v="049117010321.23.03667"/>
    <x v="16"/>
    <s v="0103"/>
    <x v="72"/>
    <x v="72"/>
    <s v="METALFISA METALURGICA EIRELI LTDA"/>
    <d v="2025-09-15T00:00:00"/>
    <s v="MARCO"/>
    <n v="2"/>
    <n v="9.8000000000000007"/>
    <n v="19.600000000000001"/>
    <s v="APROVADO"/>
    <s v="10"/>
    <x v="15"/>
    <s v="-"/>
    <n v="91"/>
    <s v="ATRASADO"/>
    <s v="-"/>
  </r>
  <r>
    <s v="049117011421.23.04599"/>
    <x v="16"/>
    <s v="0114"/>
    <x v="73"/>
    <x v="73"/>
    <s v="METALFISA METALURGICA EIRELI LTDA"/>
    <d v="2025-09-15T00:00:00"/>
    <s v="MARCO"/>
    <n v="1"/>
    <n v="6.6"/>
    <n v="6.6"/>
    <s v="APROVADO"/>
    <s v="10"/>
    <x v="15"/>
    <s v="-"/>
    <n v="91"/>
    <s v="ATRASADO"/>
    <s v="-"/>
  </r>
  <r>
    <s v="049117011521.23.04600"/>
    <x v="16"/>
    <s v="0115"/>
    <x v="74"/>
    <x v="74"/>
    <s v="METALFISA METALURGICA EIRELI LTDA"/>
    <d v="2025-09-15T00:00:00"/>
    <s v="MARCO"/>
    <n v="1"/>
    <n v="11.8"/>
    <n v="11.8"/>
    <s v="APROVADO"/>
    <s v="10"/>
    <x v="15"/>
    <s v="-"/>
    <n v="91"/>
    <s v="ATRASADO"/>
    <s v="-"/>
  </r>
  <r>
    <s v="049117011621.23.04601"/>
    <x v="16"/>
    <s v="0116"/>
    <x v="75"/>
    <x v="75"/>
    <s v="METALFISA METALURGICA EIRELI LTDA"/>
    <d v="2025-09-15T00:00:00"/>
    <s v="MARCO"/>
    <n v="2"/>
    <n v="9.6999999999999993"/>
    <n v="19.399999999999999"/>
    <s v="APROVADO"/>
    <s v="10"/>
    <x v="15"/>
    <s v="-"/>
    <n v="91"/>
    <s v="ATRASADO"/>
    <s v="-"/>
  </r>
  <r>
    <s v="049117011721.23.04602"/>
    <x v="16"/>
    <s v="0117"/>
    <x v="76"/>
    <x v="76"/>
    <s v="METALFISA METALURGICA EIRELI LTDA"/>
    <d v="2025-09-15T00:00:00"/>
    <s v="MARCO"/>
    <n v="2"/>
    <n v="9.9"/>
    <n v="19.8"/>
    <s v="APROVADO"/>
    <s v="10"/>
    <x v="15"/>
    <s v="-"/>
    <n v="91"/>
    <s v="ATRASADO"/>
    <s v="-"/>
  </r>
  <r>
    <s v="049117012121.23.04618"/>
    <x v="16"/>
    <s v="0121"/>
    <x v="77"/>
    <x v="77"/>
    <s v="METALFISA METALURGICA EIRELI LTDA"/>
    <d v="2025-09-15T00:00:00"/>
    <s v="MARCO"/>
    <n v="1"/>
    <n v="60.6"/>
    <n v="60.6"/>
    <s v="APROVADO"/>
    <s v="10"/>
    <x v="15"/>
    <s v="-"/>
    <n v="91"/>
    <s v="ATRASADO"/>
    <s v="-"/>
  </r>
  <r>
    <s v="049117012221.23.04620"/>
    <x v="16"/>
    <s v="0122"/>
    <x v="78"/>
    <x v="78"/>
    <s v="METALFISA METALURGICA EIRELI LTDA"/>
    <d v="2025-09-15T00:00:00"/>
    <s v="MARCO"/>
    <n v="1"/>
    <n v="16.46"/>
    <n v="16.46"/>
    <s v="APROVADO"/>
    <s v="10"/>
    <x v="15"/>
    <s v="-"/>
    <n v="91"/>
    <s v="ATRASADO"/>
    <s v="-"/>
  </r>
  <r>
    <s v="049117012321.23.04622"/>
    <x v="16"/>
    <s v="0123"/>
    <x v="79"/>
    <x v="79"/>
    <s v="METALFISA METALURGICA EIRELI LTDA"/>
    <d v="2025-09-15T00:00:00"/>
    <s v="MARCO"/>
    <n v="1"/>
    <n v="70.42"/>
    <n v="70.42"/>
    <s v="APROVADO"/>
    <s v="10"/>
    <x v="15"/>
    <s v="-"/>
    <n v="91"/>
    <s v="ATRASADO"/>
    <s v="-"/>
  </r>
  <r>
    <s v="049117012721.23.04712"/>
    <x v="16"/>
    <s v="0127"/>
    <x v="80"/>
    <x v="80"/>
    <s v="METALFISA METALURGICA EIRELI LTDA"/>
    <d v="2025-09-15T00:00:00"/>
    <s v="MARCO"/>
    <n v="1"/>
    <n v="48.7"/>
    <n v="48.7"/>
    <s v="APROVADO"/>
    <s v="10"/>
    <x v="15"/>
    <s v="-"/>
    <n v="91"/>
    <s v="ATRASADO"/>
    <s v="-"/>
  </r>
  <r>
    <s v="049117012821.23.04713"/>
    <x v="16"/>
    <s v="0128"/>
    <x v="81"/>
    <x v="81"/>
    <s v="METALFISA METALURGICA EIRELI LTDA"/>
    <d v="2025-09-15T00:00:00"/>
    <s v="MARCO"/>
    <n v="1"/>
    <n v="48.2"/>
    <n v="48.2"/>
    <s v="APROVADO"/>
    <s v="10"/>
    <x v="15"/>
    <s v="-"/>
    <n v="91"/>
    <s v="ATRASADO"/>
    <s v="-"/>
  </r>
  <r>
    <s v="049117012933.14.10239.00"/>
    <x v="16"/>
    <s v="0129"/>
    <x v="82"/>
    <x v="82"/>
    <s v="METALFISA METALURGICA EIRELI LTDA"/>
    <d v="2025-09-15T00:00:00"/>
    <s v="MARCO"/>
    <n v="6"/>
    <n v="5.2"/>
    <n v="31.2"/>
    <s v="APROVADO"/>
    <s v="10"/>
    <x v="15"/>
    <s v="-"/>
    <n v="91"/>
    <s v="ATRASADO"/>
    <s v="ENTREGUE 8 PEÇAS NO DANFE 18654 EM 06/02-VMI MEC"/>
  </r>
  <r>
    <s v="049117013033.14.10244.01"/>
    <x v="16"/>
    <s v="0130"/>
    <x v="83"/>
    <x v="83"/>
    <s v="METALFISA METALURGICA EIRELI LTDA"/>
    <d v="2025-09-15T00:00:00"/>
    <s v="MARCO"/>
    <n v="1"/>
    <n v="165"/>
    <n v="165"/>
    <s v="APROVADO"/>
    <s v="10"/>
    <x v="15"/>
    <s v="-"/>
    <n v="91"/>
    <s v="ATRASADO"/>
    <s v="-"/>
  </r>
  <r>
    <s v="049117013133.14.10252.00"/>
    <x v="16"/>
    <s v="0131"/>
    <x v="84"/>
    <x v="84"/>
    <s v="METALFISA METALURGICA EIRELI LTDA"/>
    <d v="2025-09-15T00:00:00"/>
    <s v="MARCO"/>
    <n v="6"/>
    <n v="6.82"/>
    <n v="40.92"/>
    <s v="APROVADO"/>
    <s v="10"/>
    <x v="15"/>
    <s v="-"/>
    <n v="91"/>
    <s v="ATRASADO"/>
    <s v="-"/>
  </r>
  <r>
    <s v="049117013233.14.10254.00"/>
    <x v="16"/>
    <s v="0132"/>
    <x v="85"/>
    <x v="85"/>
    <s v="METALFISA METALURGICA EIRELI LTDA"/>
    <d v="2025-09-15T00:00:00"/>
    <s v="MARCO"/>
    <n v="2"/>
    <n v="4.2"/>
    <n v="16.8"/>
    <s v="APROVADO"/>
    <s v="10"/>
    <x v="15"/>
    <s v="-"/>
    <n v="91"/>
    <s v="ATRASADO"/>
    <s v="-"/>
  </r>
  <r>
    <s v="049117013333.14.10255.00"/>
    <x v="16"/>
    <s v="0133"/>
    <x v="86"/>
    <x v="86"/>
    <s v="METALFISA METALURGICA EIRELI LTDA"/>
    <d v="2025-09-15T00:00:00"/>
    <s v="MARCO"/>
    <n v="2"/>
    <n v="2.4"/>
    <n v="4.8"/>
    <s v="APROVADO"/>
    <s v="10"/>
    <x v="15"/>
    <s v="-"/>
    <n v="91"/>
    <s v="ATRASADO"/>
    <s v="-"/>
  </r>
  <r>
    <s v="049117013433.14.10257.00"/>
    <x v="16"/>
    <s v="0134"/>
    <x v="87"/>
    <x v="87"/>
    <s v="METALFISA METALURGICA EIRELI LTDA"/>
    <d v="2025-09-15T00:00:00"/>
    <s v="MARCO"/>
    <n v="1"/>
    <n v="413.1"/>
    <n v="413.1"/>
    <s v="APROVADO"/>
    <s v="10"/>
    <x v="15"/>
    <s v="-"/>
    <n v="91"/>
    <s v="ATRASADO"/>
    <s v="-"/>
  </r>
  <r>
    <s v="049117013533.14.10258.00"/>
    <x v="16"/>
    <s v="0135"/>
    <x v="88"/>
    <x v="88"/>
    <s v="METALFISA METALURGICA EIRELI LTDA"/>
    <d v="2025-09-15T00:00:00"/>
    <s v="MARCO"/>
    <n v="1"/>
    <n v="413.1"/>
    <n v="413.1"/>
    <s v="APROVADO"/>
    <s v="10"/>
    <x v="15"/>
    <s v="-"/>
    <n v="91"/>
    <s v="ATRASADO"/>
    <s v="-"/>
  </r>
  <r>
    <s v="049117013833.14.10267.00"/>
    <x v="16"/>
    <s v="0138"/>
    <x v="89"/>
    <x v="89"/>
    <s v="METALFISA METALURGICA EIRELI LTDA"/>
    <d v="2025-09-15T00:00:00"/>
    <s v="MARCO"/>
    <n v="2"/>
    <n v="14.7"/>
    <n v="29.4"/>
    <s v="APROVADO"/>
    <s v="10"/>
    <x v="15"/>
    <s v="-"/>
    <n v="91"/>
    <s v="ATRASADO"/>
    <s v="-"/>
  </r>
  <r>
    <s v="049117013933.14.10268.00"/>
    <x v="16"/>
    <s v="0139"/>
    <x v="90"/>
    <x v="90"/>
    <s v="METALFISA METALURGICA EIRELI LTDA"/>
    <d v="2025-09-15T00:00:00"/>
    <s v="MARCO"/>
    <n v="1"/>
    <n v="41"/>
    <n v="41"/>
    <s v="APROVADO"/>
    <s v="10"/>
    <x v="15"/>
    <s v="-"/>
    <n v="91"/>
    <s v="ATRASADO"/>
    <s v="-"/>
  </r>
  <r>
    <s v="049117014033.14.10269.00"/>
    <x v="16"/>
    <s v="0140"/>
    <x v="91"/>
    <x v="91"/>
    <s v="METALFISA METALURGICA EIRELI LTDA"/>
    <d v="2025-09-15T00:00:00"/>
    <s v="MARCO"/>
    <n v="1"/>
    <n v="41"/>
    <n v="41"/>
    <s v="APROVADO"/>
    <s v="10"/>
    <x v="15"/>
    <s v="-"/>
    <n v="91"/>
    <s v="ATRASADO"/>
    <s v="-"/>
  </r>
  <r>
    <s v="049117014333.14.10274.00"/>
    <x v="16"/>
    <s v="0143"/>
    <x v="24"/>
    <x v="24"/>
    <s v="METALFISA METALURGICA EIRELI LTDA"/>
    <d v="2025-09-15T00:00:00"/>
    <s v="MARCO"/>
    <n v="1"/>
    <n v="685.4"/>
    <n v="685.4"/>
    <s v="APROVADO"/>
    <s v="10"/>
    <x v="15"/>
    <s v="-"/>
    <n v="91"/>
    <s v="ATRASADO"/>
    <s v="-"/>
  </r>
  <r>
    <s v="049117014433.99.10024.00"/>
    <x v="16"/>
    <s v="0144"/>
    <x v="25"/>
    <x v="25"/>
    <s v="METALFISA METALURGICA EIRELI LTDA"/>
    <d v="2025-09-15T00:00:00"/>
    <s v="MARCO"/>
    <n v="10"/>
    <n v="5.98"/>
    <n v="59.8"/>
    <s v="APROVADO"/>
    <s v="10"/>
    <x v="15"/>
    <s v="-"/>
    <n v="91"/>
    <s v="ATRASADO"/>
    <s v="-"/>
  </r>
  <r>
    <s v="049151002021.23.01314"/>
    <x v="17"/>
    <s v="0020"/>
    <x v="9"/>
    <x v="9"/>
    <s v="METALFISA METALURGICA EIRELI LTDA"/>
    <d v="2025-09-16T00:00:00"/>
    <s v="MARCO"/>
    <n v="5"/>
    <n v="120.61"/>
    <n v="603.04999999999995"/>
    <s v="APROVADO"/>
    <s v="10"/>
    <x v="14"/>
    <s v="-"/>
    <n v="130"/>
    <s v="ATRASADO"/>
    <s v="-"/>
  </r>
  <r>
    <s v="049151002121.23.01324"/>
    <x v="17"/>
    <s v="0021"/>
    <x v="92"/>
    <x v="92"/>
    <s v="METALFISA METALURGICA EIRELI LTDA"/>
    <d v="2025-09-16T00:00:00"/>
    <s v="MARCO"/>
    <n v="1"/>
    <n v="69.37"/>
    <n v="69.37"/>
    <s v="APROVADO"/>
    <s v="10"/>
    <x v="14"/>
    <s v="-"/>
    <n v="130"/>
    <s v="ATRASADO"/>
    <s v="-"/>
  </r>
  <r>
    <s v="049151005121.23.02785"/>
    <x v="17"/>
    <s v="0051"/>
    <x v="93"/>
    <x v="93"/>
    <s v="METALFISA METALURGICA EIRELI LTDA"/>
    <d v="2025-09-16T00:00:00"/>
    <s v="MARCO"/>
    <n v="2"/>
    <n v="167.9"/>
    <n v="335.8"/>
    <s v="APROVADO"/>
    <s v="10"/>
    <x v="14"/>
    <s v="-"/>
    <n v="130"/>
    <s v="ATRASADO"/>
    <s v="-"/>
  </r>
  <r>
    <s v="049151005421.23.02788"/>
    <x v="17"/>
    <s v="0054"/>
    <x v="14"/>
    <x v="14"/>
    <s v="METALFISA METALURGICA EIRELI LTDA"/>
    <d v="2025-09-16T00:00:00"/>
    <s v="MARCO"/>
    <n v="2"/>
    <n v="170.02"/>
    <n v="340.04"/>
    <s v="APROVADO"/>
    <s v="10"/>
    <x v="14"/>
    <s v="-"/>
    <n v="130"/>
    <s v="ATRASADO"/>
    <s v="-"/>
  </r>
  <r>
    <s v="049151006021.23.04496"/>
    <x v="17"/>
    <s v="0060"/>
    <x v="94"/>
    <x v="94"/>
    <s v="METALFISA METALURGICA EIRELI LTDA"/>
    <d v="2025-09-16T00:00:00"/>
    <s v="MARCO"/>
    <n v="1"/>
    <n v="38"/>
    <n v="38"/>
    <s v="APROVADO"/>
    <s v="10"/>
    <x v="14"/>
    <s v="-"/>
    <n v="130"/>
    <s v="ATRASADO"/>
    <s v="-"/>
  </r>
  <r>
    <s v="049278000433.11.10000.04"/>
    <x v="18"/>
    <s v="0004"/>
    <x v="95"/>
    <x v="95"/>
    <s v="METALFISA METALURGICA EIRELI LTDA"/>
    <d v="2025-09-19T00:00:00"/>
    <s v="MARCO"/>
    <n v="2"/>
    <n v="4941.8614349999998"/>
    <n v="9883.7199999999993"/>
    <s v="APROVADO"/>
    <s v="10"/>
    <x v="16"/>
    <s v="-"/>
    <n v="84"/>
    <s v="ATRASADO"/>
    <s v="ENTREGUE 2 PEÇAS NO DANFE 41714 EM 06/02-METALFISA"/>
  </r>
  <r>
    <s v="049278000633.11.10017.01"/>
    <x v="18"/>
    <s v="0006"/>
    <x v="96"/>
    <x v="96"/>
    <s v="METALFISA METALURGICA EIRELI LTDA"/>
    <d v="2025-09-19T00:00:00"/>
    <s v="MARCO"/>
    <n v="4"/>
    <n v="798.84535500000004"/>
    <n v="3195.38"/>
    <s v="APROVADO"/>
    <s v="10"/>
    <x v="16"/>
    <s v="-"/>
    <n v="84"/>
    <s v="ATRASADO"/>
    <s v="-"/>
  </r>
  <r>
    <s v="049278001033.11.10029.03"/>
    <x v="18"/>
    <s v="0010"/>
    <x v="97"/>
    <x v="97"/>
    <s v="METALFISA METALURGICA EIRELI LTDA"/>
    <d v="2025-09-19T00:00:00"/>
    <s v="MARCO"/>
    <n v="1"/>
    <n v="526.42138499999999"/>
    <n v="2105.69"/>
    <s v="APROVADO"/>
    <s v="10"/>
    <x v="16"/>
    <s v="-"/>
    <n v="84"/>
    <s v="ATRASADO"/>
    <s v="-"/>
  </r>
  <r>
    <s v="049278001133.11.10030.01"/>
    <x v="18"/>
    <s v="0011"/>
    <x v="98"/>
    <x v="98"/>
    <s v="METALFISA METALURGICA EIRELI LTDA"/>
    <d v="2025-09-19T00:00:00"/>
    <s v="MARCO"/>
    <n v="2"/>
    <n v="513.59017500000004"/>
    <n v="1027.18"/>
    <s v="APROVADO"/>
    <s v="10"/>
    <x v="16"/>
    <s v="-"/>
    <n v="84"/>
    <s v="ATRASADO"/>
    <s v="-"/>
  </r>
  <r>
    <s v="049278001233.11.10033.00"/>
    <x v="18"/>
    <s v="0012"/>
    <x v="99"/>
    <x v="99"/>
    <s v="METALFISA METALURGICA EIRELI LTDA"/>
    <d v="2025-09-19T00:00:00"/>
    <s v="MARCO"/>
    <n v="2"/>
    <n v="74.887784999999994"/>
    <n v="149.78"/>
    <s v="APROVADO"/>
    <s v="10"/>
    <x v="16"/>
    <s v="-"/>
    <n v="84"/>
    <s v="ATRASADO"/>
    <s v="-"/>
  </r>
  <r>
    <s v="049278001933.11.10050.01"/>
    <x v="18"/>
    <s v="0019"/>
    <x v="100"/>
    <x v="100"/>
    <s v="METALFISA METALURGICA EIRELI LTDA"/>
    <d v="2025-09-19T00:00:00"/>
    <s v="MARCO"/>
    <n v="2"/>
    <n v="2068.3930049999999"/>
    <n v="4136.79"/>
    <s v="APROVADO"/>
    <s v="10"/>
    <x v="16"/>
    <s v="-"/>
    <n v="84"/>
    <s v="ATRASADO"/>
    <s v="ENTREGUE 4 PEÇAS NO DANFE 34.703 EM 06/02-GRANATO"/>
  </r>
  <r>
    <s v="049278002033.11.10061.01"/>
    <x v="18"/>
    <s v="0020"/>
    <x v="101"/>
    <x v="101"/>
    <s v="METALFISA METALURGICA EIRELI LTDA"/>
    <d v="2025-09-19T00:00:00"/>
    <s v="MARCO"/>
    <n v="2"/>
    <n v="166.51277999999999"/>
    <n v="333.03"/>
    <s v="APROVADO"/>
    <s v="10"/>
    <x v="16"/>
    <s v="-"/>
    <n v="84"/>
    <s v="ATRASADO"/>
    <s v="ENTREGUE 4 PEÇAS NO DANFE 34.703 EM 06/02-GRANATO"/>
  </r>
  <r>
    <s v="049278002133.11.10064.01"/>
    <x v="18"/>
    <s v="0021"/>
    <x v="102"/>
    <x v="102"/>
    <s v="METALFISA METALURGICA EIRELI LTDA"/>
    <d v="2025-09-19T00:00:00"/>
    <s v="MARCO"/>
    <n v="2"/>
    <n v="177.98665500000001"/>
    <n v="355.97"/>
    <s v="APROVADO"/>
    <s v="10"/>
    <x v="16"/>
    <s v="-"/>
    <n v="84"/>
    <s v="ATRASADO"/>
    <s v="-"/>
  </r>
  <r>
    <s v="049278002233.11.10065.01"/>
    <x v="18"/>
    <s v="0022"/>
    <x v="103"/>
    <x v="103"/>
    <s v="METALFISA METALURGICA EIRELI LTDA"/>
    <d v="2025-09-19T00:00:00"/>
    <s v="MARCO"/>
    <n v="2"/>
    <n v="166.51277999999999"/>
    <n v="333.03"/>
    <s v="APROVADO"/>
    <s v="10"/>
    <x v="16"/>
    <s v="-"/>
    <n v="84"/>
    <s v="ATRASADO"/>
    <s v="-"/>
  </r>
  <r>
    <s v="049278002333.11.10067.01"/>
    <x v="18"/>
    <s v="0023"/>
    <x v="104"/>
    <x v="104"/>
    <s v="METALFISA METALURGICA EIRELI LTDA"/>
    <d v="2025-09-19T00:00:00"/>
    <s v="MARCO"/>
    <n v="4"/>
    <n v="129.21047999999999"/>
    <n v="1033.68"/>
    <s v="APROVADO"/>
    <s v="10"/>
    <x v="16"/>
    <s v="-"/>
    <n v="84"/>
    <s v="ATRASADO"/>
    <s v="-"/>
  </r>
  <r>
    <s v="049278002433.11.10069.00"/>
    <x v="18"/>
    <s v="0024"/>
    <x v="105"/>
    <x v="105"/>
    <s v="METALFISA METALURGICA EIRELI LTDA"/>
    <d v="2025-09-19T00:00:00"/>
    <s v="MARCO"/>
    <n v="8"/>
    <n v="36.960524999999997"/>
    <n v="295.68"/>
    <s v="APROVADO"/>
    <s v="10"/>
    <x v="16"/>
    <s v="-"/>
    <n v="84"/>
    <s v="ATRASADO"/>
    <s v="-"/>
  </r>
  <r>
    <s v="049278002533.11.10070.01"/>
    <x v="18"/>
    <s v="0025"/>
    <x v="106"/>
    <x v="106"/>
    <s v="METALFISA METALURGICA EIRELI LTDA"/>
    <d v="2025-09-19T00:00:00"/>
    <s v="MARCO"/>
    <n v="2"/>
    <n v="132.61846499999999"/>
    <n v="265.24"/>
    <s v="APROVADO"/>
    <s v="10"/>
    <x v="16"/>
    <s v="-"/>
    <n v="84"/>
    <s v="ATRASADO"/>
    <s v="-"/>
  </r>
  <r>
    <s v="049278002633.11.10072.00"/>
    <x v="18"/>
    <s v="0026"/>
    <x v="107"/>
    <x v="107"/>
    <s v="METALFISA METALURGICA EIRELI LTDA"/>
    <d v="2025-09-19T00:00:00"/>
    <s v="MARCO"/>
    <n v="4"/>
    <n v="44.997120000000002"/>
    <n v="179.99"/>
    <s v="APROVADO"/>
    <s v="10"/>
    <x v="16"/>
    <s v="-"/>
    <n v="84"/>
    <s v="ATRASADO"/>
    <s v="ENTREGUE 4 PEÇAS NOS DANFE 34.703 &amp; 34.705 EM 06/02-GRANATO"/>
  </r>
  <r>
    <s v="049278002933.11.10075.00"/>
    <x v="18"/>
    <s v="0029"/>
    <x v="108"/>
    <x v="108"/>
    <s v="METALFISA METALURGICA EIRELI LTDA"/>
    <d v="2025-09-19T00:00:00"/>
    <s v="MARCO"/>
    <n v="2"/>
    <n v="326.60995500000001"/>
    <n v="653.22"/>
    <s v="APROVADO"/>
    <s v="10"/>
    <x v="16"/>
    <s v="-"/>
    <n v="84"/>
    <s v="ATRASADO"/>
    <s v="ENTREGUE 4 PEÇAS NOS DANFE 34.703 &amp; 34.705 EM 06/02-GRANATO"/>
  </r>
  <r>
    <s v="049278003033.11.10076.01"/>
    <x v="18"/>
    <s v="0030"/>
    <x v="109"/>
    <x v="109"/>
    <s v="METALFISA METALURGICA EIRELI LTDA"/>
    <d v="2025-09-19T00:00:00"/>
    <s v="MARCO"/>
    <n v="2"/>
    <n v="277.51153499999998"/>
    <n v="555.02"/>
    <s v="APROVADO"/>
    <s v="10"/>
    <x v="16"/>
    <s v="-"/>
    <n v="84"/>
    <s v="ATRASADO"/>
    <s v="ENTREGUE 3 PEÇAS NOS DANFE 34.703 &amp; 34.705 EM 06/02-GRANATO"/>
  </r>
  <r>
    <s v="049278003133.11.10077.01"/>
    <x v="18"/>
    <s v="0031"/>
    <x v="110"/>
    <x v="110"/>
    <s v="METALFISA METALURGICA EIRELI LTDA"/>
    <d v="2025-09-19T00:00:00"/>
    <s v="MARCO"/>
    <n v="2"/>
    <n v="277.51153499999998"/>
    <n v="555.02"/>
    <s v="APROVADO"/>
    <s v="10"/>
    <x v="16"/>
    <s v="-"/>
    <n v="84"/>
    <s v="ATRASADO"/>
    <s v="ENTREGUE 3 PEÇAS NOS DANFE 34.703 &amp; 34.705 EM 06/02-GRANATO"/>
  </r>
  <r>
    <s v="049278003333.11.10079.01"/>
    <x v="18"/>
    <s v="0033"/>
    <x v="111"/>
    <x v="111"/>
    <s v="METALFISA METALURGICA EIRELI LTDA"/>
    <d v="2025-09-19T00:00:00"/>
    <s v="MARCO"/>
    <n v="1"/>
    <n v="307.51938000000001"/>
    <n v="615.04"/>
    <s v="APROVADO"/>
    <s v="10"/>
    <x v="16"/>
    <s v="-"/>
    <n v="84"/>
    <s v="ATRASADO"/>
    <s v="ENTREGUE 8 PEÇAS NO DANFE 34.704 EM 06/02-GRANATO"/>
  </r>
  <r>
    <s v="049278004033.11.10092.01"/>
    <x v="18"/>
    <s v="0040"/>
    <x v="112"/>
    <x v="112"/>
    <s v="METALFISA METALURGICA EIRELI LTDA"/>
    <d v="2025-09-19T00:00:00"/>
    <s v="MARCO"/>
    <n v="2"/>
    <n v="145.41061500000001"/>
    <n v="290.82"/>
    <s v="APROVADO"/>
    <s v="10"/>
    <x v="16"/>
    <s v="-"/>
    <n v="84"/>
    <s v="ATRASADO"/>
    <s v="ENTREGUE 4 PEÇAS NO DANFE 34.706 EM 06/02-GRANATO"/>
  </r>
  <r>
    <s v="049278004133.11.10094.01"/>
    <x v="18"/>
    <s v="0041"/>
    <x v="113"/>
    <x v="113"/>
    <s v="METALFISA METALURGICA EIRELI LTDA"/>
    <d v="2025-09-19T00:00:00"/>
    <s v="MARCO"/>
    <n v="2"/>
    <n v="545.64867000000004"/>
    <n v="1091.3"/>
    <s v="APROVADO"/>
    <s v="10"/>
    <x v="16"/>
    <s v="-"/>
    <n v="84"/>
    <s v="ATRASADO"/>
    <s v="ENTREGUE 4 PEÇAS NO DANFE 34.706 EM 06/02-GRANATO"/>
  </r>
  <r>
    <s v="049278004733.11.10135.03"/>
    <x v="18"/>
    <s v="0047"/>
    <x v="114"/>
    <x v="114"/>
    <s v="METALFISA METALURGICA EIRELI LTDA"/>
    <d v="2025-09-19T00:00:00"/>
    <s v="MARCO"/>
    <n v="1"/>
    <n v="4958.6670000000004"/>
    <n v="4958.67"/>
    <s v="APROVADO"/>
    <s v="10"/>
    <x v="16"/>
    <s v="-"/>
    <n v="84"/>
    <s v="ATRASADO"/>
    <s v="ENTREGUE 11 PEÇAS NO DANFE 34.706 EM 06/02-GRANATO"/>
  </r>
  <r>
    <s v="049278004833.11.10135.03"/>
    <x v="18"/>
    <s v="0048"/>
    <x v="114"/>
    <x v="114"/>
    <s v="METALFISA METALURGICA EIRELI LTDA"/>
    <d v="2025-09-19T00:00:00"/>
    <s v="MARCO"/>
    <n v="1"/>
    <n v="4958.6670000000004"/>
    <n v="4958.67"/>
    <s v="APROVADO"/>
    <s v="10"/>
    <x v="16"/>
    <s v="-"/>
    <n v="84"/>
    <s v="ATRASADO"/>
    <s v="ENTREGUE 11 PEÇAS NO DANFE 34.706 EM 06/02-GRANATO"/>
  </r>
  <r>
    <s v="049278004933.11.10139.01"/>
    <x v="18"/>
    <s v="0049"/>
    <x v="115"/>
    <x v="115"/>
    <s v="METALFISA METALURGICA EIRELI LTDA"/>
    <d v="2025-09-19T00:00:00"/>
    <s v="MARCO"/>
    <n v="1"/>
    <n v="152.1387"/>
    <n v="152.13999999999999"/>
    <s v="APROVADO"/>
    <s v="10"/>
    <x v="16"/>
    <s v="-"/>
    <n v="84"/>
    <s v="ATRASADO"/>
    <s v="ENTREGUE 11 PEÇAS NO DANFE 34.706 EM 06/02-GRANATO"/>
  </r>
  <r>
    <s v="049278005033.11.10139.01"/>
    <x v="18"/>
    <s v="0050"/>
    <x v="115"/>
    <x v="115"/>
    <s v="METALFISA METALURGICA EIRELI LTDA"/>
    <d v="2025-09-19T00:00:00"/>
    <s v="MARCO"/>
    <n v="1"/>
    <n v="152.1387"/>
    <n v="152.13999999999999"/>
    <s v="APROVADO"/>
    <s v="10"/>
    <x v="16"/>
    <s v="-"/>
    <n v="84"/>
    <s v="ATRASADO"/>
    <s v="-"/>
  </r>
  <r>
    <s v="049278005433.11.10149.01"/>
    <x v="18"/>
    <s v="0054"/>
    <x v="116"/>
    <x v="116"/>
    <s v="METALFISA METALURGICA EIRELI LTDA"/>
    <d v="2025-09-19T00:00:00"/>
    <s v="MARCO"/>
    <n v="1"/>
    <n v="747.80370000000005"/>
    <n v="747.8"/>
    <s v="APROVADO"/>
    <s v="10"/>
    <x v="16"/>
    <s v="-"/>
    <n v="84"/>
    <s v="ATRASADO"/>
    <s v="-"/>
  </r>
  <r>
    <s v="049278005533.11.10150.00"/>
    <x v="18"/>
    <s v="0055"/>
    <x v="117"/>
    <x v="117"/>
    <s v="METALFISA METALURGICA EIRELI LTDA"/>
    <d v="2025-09-19T00:00:00"/>
    <s v="MARCO"/>
    <n v="1"/>
    <n v="442.73533500000002"/>
    <n v="442.74"/>
    <s v="APROVADO"/>
    <s v="10"/>
    <x v="16"/>
    <s v="-"/>
    <n v="84"/>
    <s v="ATRASADO"/>
    <s v="-"/>
  </r>
  <r>
    <s v="049278005633.11.10160.01"/>
    <x v="18"/>
    <s v="0056"/>
    <x v="118"/>
    <x v="118"/>
    <s v="METALFISA METALURGICA EIRELI LTDA"/>
    <d v="2025-09-19T00:00:00"/>
    <s v="MARCO"/>
    <n v="1"/>
    <n v="318.70030500000001"/>
    <n v="318.7"/>
    <s v="APROVADO"/>
    <s v="10"/>
    <x v="16"/>
    <s v="-"/>
    <n v="84"/>
    <s v="ATRASADO"/>
    <s v="-"/>
  </r>
  <r>
    <s v="049278005733.11.10160.01"/>
    <x v="18"/>
    <s v="0057"/>
    <x v="118"/>
    <x v="118"/>
    <s v="METALFISA METALURGICA EIRELI LTDA"/>
    <d v="2025-09-19T00:00:00"/>
    <s v="MARCO"/>
    <n v="1"/>
    <n v="318.70030500000001"/>
    <n v="318.7"/>
    <s v="APROVADO"/>
    <s v="10"/>
    <x v="16"/>
    <s v="-"/>
    <n v="84"/>
    <s v="ATRASADO"/>
    <s v="-"/>
  </r>
  <r>
    <s v="049278005933.11.10170.00"/>
    <x v="18"/>
    <s v="0059"/>
    <x v="119"/>
    <x v="119"/>
    <s v="METALFISA METALURGICA EIRELI LTDA"/>
    <d v="2025-09-19T00:00:00"/>
    <s v="MARCO"/>
    <n v="2"/>
    <n v="271.06663500000002"/>
    <n v="542.13"/>
    <s v="APROVADO"/>
    <s v="10"/>
    <x v="16"/>
    <s v="-"/>
    <n v="84"/>
    <s v="ATRASADO"/>
    <s v="-"/>
  </r>
  <r>
    <s v="049278006033.11.10170.00"/>
    <x v="18"/>
    <s v="0060"/>
    <x v="119"/>
    <x v="119"/>
    <s v="METALFISA METALURGICA EIRELI LTDA"/>
    <d v="2025-09-19T00:00:00"/>
    <s v="MARCO"/>
    <n v="2"/>
    <n v="271.06663500000002"/>
    <n v="542.13"/>
    <s v="APROVADO"/>
    <s v="10"/>
    <x v="16"/>
    <s v="-"/>
    <n v="84"/>
    <s v="ATRASADO"/>
    <s v="-"/>
  </r>
  <r>
    <s v="049278006133.11.10171.00"/>
    <x v="18"/>
    <s v="0061"/>
    <x v="120"/>
    <x v="120"/>
    <s v="METALFISA METALURGICA EIRELI LTDA"/>
    <d v="2025-09-19T00:00:00"/>
    <s v="MARCO"/>
    <n v="2"/>
    <n v="270.64674000000002"/>
    <n v="541.29"/>
    <s v="APROVADO"/>
    <s v="10"/>
    <x v="16"/>
    <s v="-"/>
    <n v="84"/>
    <s v="ATRASADO"/>
    <s v="-"/>
  </r>
  <r>
    <s v="049278006233.11.10171.00"/>
    <x v="18"/>
    <s v="0062"/>
    <x v="120"/>
    <x v="120"/>
    <s v="METALFISA METALURGICA EIRELI LTDA"/>
    <d v="2025-09-19T00:00:00"/>
    <s v="MARCO"/>
    <n v="2"/>
    <n v="270.64674000000002"/>
    <n v="541.29"/>
    <s v="APROVADO"/>
    <s v="10"/>
    <x v="16"/>
    <s v="-"/>
    <n v="84"/>
    <s v="ATRASADO"/>
    <s v="-"/>
  </r>
  <r>
    <s v="049278006333.11.10172.00"/>
    <x v="18"/>
    <s v="0063"/>
    <x v="121"/>
    <x v="121"/>
    <s v="METALFISA METALURGICA EIRELI LTDA"/>
    <d v="2025-09-19T00:00:00"/>
    <s v="MARCO"/>
    <n v="4"/>
    <n v="291.03606000000002"/>
    <n v="1164.1400000000001"/>
    <s v="APROVADO"/>
    <s v="10"/>
    <x v="16"/>
    <s v="-"/>
    <n v="84"/>
    <s v="ATRASADO"/>
    <s v="-"/>
  </r>
  <r>
    <s v="049278006433.11.10172.00"/>
    <x v="18"/>
    <s v="0064"/>
    <x v="121"/>
    <x v="121"/>
    <s v="METALFISA METALURGICA EIRELI LTDA"/>
    <d v="2025-09-19T00:00:00"/>
    <s v="MARCO"/>
    <n v="4"/>
    <n v="291.03606000000002"/>
    <n v="1164.1400000000001"/>
    <s v="APROVADO"/>
    <s v="10"/>
    <x v="16"/>
    <s v="-"/>
    <n v="84"/>
    <s v="ATRASADO"/>
    <s v="-"/>
  </r>
  <r>
    <s v="049278006633.11.10173.00"/>
    <x v="18"/>
    <s v="0066"/>
    <x v="122"/>
    <x v="122"/>
    <s v="METALFISA METALURGICA EIRELI LTDA"/>
    <d v="2025-09-19T00:00:00"/>
    <s v="MARCO"/>
    <n v="4"/>
    <n v="341.05239"/>
    <n v="1364.21"/>
    <s v="APROVADO"/>
    <s v="10"/>
    <x v="16"/>
    <s v="-"/>
    <n v="84"/>
    <s v="ATRASADO"/>
    <s v="-"/>
  </r>
  <r>
    <s v="049278006933.11.10175.00"/>
    <x v="18"/>
    <s v="0069"/>
    <x v="123"/>
    <x v="123"/>
    <s v="METALFISA METALURGICA EIRELI LTDA"/>
    <d v="2025-09-19T00:00:00"/>
    <s v="MARCO"/>
    <n v="2"/>
    <n v="196.35462000000001"/>
    <n v="392.71"/>
    <s v="APROVADO"/>
    <s v="10"/>
    <x v="16"/>
    <s v="-"/>
    <n v="84"/>
    <s v="ATRASADO"/>
    <s v="-"/>
  </r>
  <r>
    <s v="049278007033.11.10175.00"/>
    <x v="18"/>
    <s v="0070"/>
    <x v="123"/>
    <x v="123"/>
    <s v="METALFISA METALURGICA EIRELI LTDA"/>
    <d v="2025-09-19T00:00:00"/>
    <s v="MARCO"/>
    <n v="2"/>
    <n v="196.35462000000001"/>
    <n v="392.71"/>
    <s v="APROVADO"/>
    <s v="10"/>
    <x v="16"/>
    <s v="-"/>
    <n v="84"/>
    <s v="ATRASADO"/>
    <s v="-"/>
  </r>
  <r>
    <s v="049278007833.11.10182.00"/>
    <x v="18"/>
    <s v="0078"/>
    <x v="124"/>
    <x v="124"/>
    <s v="METALFISA METALURGICA EIRELI LTDA"/>
    <d v="2025-09-19T00:00:00"/>
    <s v="MARCO"/>
    <n v="1"/>
    <n v="127.94103"/>
    <n v="255.88"/>
    <s v="APROVADO"/>
    <s v="10"/>
    <x v="16"/>
    <s v="-"/>
    <n v="84"/>
    <s v="ATRASADO"/>
    <s v="-"/>
  </r>
  <r>
    <s v="049278007933.11.10183.00"/>
    <x v="18"/>
    <s v="0079"/>
    <x v="125"/>
    <x v="125"/>
    <s v="METALFISA METALURGICA EIRELI LTDA"/>
    <d v="2025-09-19T00:00:00"/>
    <s v="MARCO"/>
    <n v="4"/>
    <n v="31.023405"/>
    <n v="124.09"/>
    <s v="APROVADO"/>
    <s v="10"/>
    <x v="16"/>
    <s v="-"/>
    <n v="84"/>
    <s v="ATRASADO"/>
    <s v="-"/>
  </r>
  <r>
    <s v="049278008033.11.10183.00"/>
    <x v="18"/>
    <s v="0080"/>
    <x v="125"/>
    <x v="125"/>
    <s v="METALFISA METALURGICA EIRELI LTDA"/>
    <d v="2025-09-19T00:00:00"/>
    <s v="MARCO"/>
    <n v="4"/>
    <n v="31.023405"/>
    <n v="124.09"/>
    <s v="APROVADO"/>
    <s v="10"/>
    <x v="16"/>
    <s v="-"/>
    <n v="84"/>
    <s v="ATRASADO"/>
    <s v="-"/>
  </r>
  <r>
    <s v="049278008333.11.10186.01"/>
    <x v="18"/>
    <s v="0083"/>
    <x v="126"/>
    <x v="126"/>
    <s v="METALFISA METALURGICA EIRELI LTDA"/>
    <d v="2025-09-19T00:00:00"/>
    <s v="MARCO"/>
    <n v="2"/>
    <n v="1058.067045"/>
    <n v="2116.13"/>
    <s v="APROVADO"/>
    <s v="10"/>
    <x v="16"/>
    <s v="-"/>
    <n v="84"/>
    <s v="ATRASADO"/>
    <s v="-"/>
  </r>
  <r>
    <s v="049278008433.11.10186.01"/>
    <x v="18"/>
    <s v="0084"/>
    <x v="126"/>
    <x v="126"/>
    <s v="METALFISA METALURGICA EIRELI LTDA"/>
    <d v="2025-09-19T00:00:00"/>
    <s v="MARCO"/>
    <n v="2"/>
    <n v="1058.067045"/>
    <n v="2116.13"/>
    <s v="APROVADO"/>
    <s v="10"/>
    <x v="16"/>
    <s v="-"/>
    <n v="84"/>
    <s v="ATRASADO"/>
    <s v="ENTREGUE 2 PEÇAS NO DANFE 34.708 EM 06/02-GRANATO"/>
  </r>
  <r>
    <s v="049278008933.11.10204.00"/>
    <x v="18"/>
    <s v="0089"/>
    <x v="127"/>
    <x v="127"/>
    <s v="METALFISA METALURGICA EIRELI LTDA"/>
    <d v="2025-09-19T00:00:00"/>
    <s v="MARCO"/>
    <n v="16"/>
    <n v="13.583114999999999"/>
    <n v="217.33"/>
    <s v="APROVADO"/>
    <s v="10"/>
    <x v="16"/>
    <s v="-"/>
    <n v="84"/>
    <s v="ATRASADO"/>
    <s v="-"/>
  </r>
  <r>
    <s v="049278009433.11.10215.00"/>
    <x v="18"/>
    <s v="0094"/>
    <x v="128"/>
    <x v="128"/>
    <s v="METALFISA METALURGICA EIRELI LTDA"/>
    <d v="2025-09-19T00:00:00"/>
    <s v="MARCO"/>
    <n v="2"/>
    <n v="357.63335999999998"/>
    <n v="715.27"/>
    <s v="APROVADO"/>
    <s v="10"/>
    <x v="16"/>
    <s v="-"/>
    <n v="84"/>
    <s v="ATRASADO"/>
    <s v="-"/>
  </r>
  <r>
    <s v="049278009533.11.10216.00"/>
    <x v="18"/>
    <s v="0095"/>
    <x v="129"/>
    <x v="129"/>
    <s v="METALFISA METALURGICA EIRELI LTDA"/>
    <d v="2025-09-19T00:00:00"/>
    <s v="MARCO"/>
    <n v="2"/>
    <n v="387.87556499999999"/>
    <n v="775.75"/>
    <s v="APROVADO"/>
    <s v="10"/>
    <x v="16"/>
    <s v="-"/>
    <n v="84"/>
    <s v="ATRASADO"/>
    <s v="-"/>
  </r>
  <r>
    <s v="049278009733.11.10218.00"/>
    <x v="18"/>
    <s v="0097"/>
    <x v="130"/>
    <x v="130"/>
    <s v="METALFISA METALURGICA EIRELI LTDA"/>
    <d v="2025-09-19T00:00:00"/>
    <s v="MARCO"/>
    <n v="2"/>
    <n v="388.090395"/>
    <n v="776.18"/>
    <s v="APROVADO"/>
    <s v="10"/>
    <x v="16"/>
    <s v="-"/>
    <n v="84"/>
    <s v="ATRASADO"/>
    <s v="-"/>
  </r>
  <r>
    <s v="049278009833.11.10220.00"/>
    <x v="18"/>
    <s v="0098"/>
    <x v="131"/>
    <x v="131"/>
    <s v="METALFISA METALURGICA EIRELI LTDA"/>
    <d v="2025-09-19T00:00:00"/>
    <s v="MARCO"/>
    <n v="2"/>
    <n v="51.568964999999999"/>
    <n v="103.14"/>
    <s v="APROVADO"/>
    <s v="10"/>
    <x v="16"/>
    <s v="-"/>
    <n v="84"/>
    <s v="ATRASADO"/>
    <s v="-"/>
  </r>
  <r>
    <s v="049278010033.11.10223.00"/>
    <x v="18"/>
    <s v="0100"/>
    <x v="132"/>
    <x v="132"/>
    <s v="METALFISA METALURGICA EIRELI LTDA"/>
    <d v="2025-09-19T00:00:00"/>
    <s v="MARCO"/>
    <n v="4"/>
    <n v="36.482039999999998"/>
    <n v="145.93"/>
    <s v="APROVADO"/>
    <s v="10"/>
    <x v="16"/>
    <s v="-"/>
    <n v="84"/>
    <s v="ATRASADO"/>
    <s v="-"/>
  </r>
  <r>
    <s v="049278010133.11.10225.00"/>
    <x v="18"/>
    <s v="0101"/>
    <x v="133"/>
    <x v="133"/>
    <s v="METALFISA METALURGICA EIRELI LTDA"/>
    <d v="2025-09-19T00:00:00"/>
    <s v="MARCO"/>
    <n v="2"/>
    <n v="93.353399999999993"/>
    <n v="186.71"/>
    <s v="APROVADO"/>
    <s v="10"/>
    <x v="16"/>
    <s v="-"/>
    <n v="84"/>
    <s v="ATRASADO"/>
    <s v="-"/>
  </r>
  <r>
    <s v="049278010333.11.10232.01"/>
    <x v="18"/>
    <s v="0103"/>
    <x v="134"/>
    <x v="134"/>
    <s v="METALFISA METALURGICA EIRELI LTDA"/>
    <d v="2025-09-19T00:00:00"/>
    <s v="MARCO"/>
    <n v="2"/>
    <n v="68.833484999999996"/>
    <n v="137.66999999999999"/>
    <s v="APROVADO"/>
    <s v="10"/>
    <x v="16"/>
    <s v="-"/>
    <n v="84"/>
    <s v="ATRASADO"/>
    <s v="-"/>
  </r>
  <r>
    <s v="049278010433.11.10234.01"/>
    <x v="18"/>
    <s v="0104"/>
    <x v="135"/>
    <x v="135"/>
    <s v="METALFISA METALURGICA EIRELI LTDA"/>
    <d v="2025-09-19T00:00:00"/>
    <s v="MARCO"/>
    <n v="2"/>
    <n v="82.045529999999999"/>
    <n v="164.09"/>
    <s v="APROVADO"/>
    <s v="10"/>
    <x v="16"/>
    <s v="-"/>
    <n v="84"/>
    <s v="ATRASADO"/>
    <s v="-"/>
  </r>
  <r>
    <s v="049278010533.11.10250.02"/>
    <x v="18"/>
    <s v="0105"/>
    <x v="136"/>
    <x v="136"/>
    <s v="METALFISA METALURGICA EIRELI LTDA"/>
    <d v="2025-09-19T00:00:00"/>
    <s v="MARCO"/>
    <n v="2"/>
    <n v="434.52296999999999"/>
    <n v="869.05"/>
    <s v="APROVADO"/>
    <s v="10"/>
    <x v="16"/>
    <s v="-"/>
    <n v="84"/>
    <s v="ATRASADO"/>
    <s v="ENTREGUE 4 PEÇAS NO DANFE 34.708 EM 06/02-GRANATO"/>
  </r>
  <r>
    <s v="049278010733.11.10263.00"/>
    <x v="18"/>
    <s v="0107"/>
    <x v="137"/>
    <x v="137"/>
    <s v="METALFISA METALURGICA EIRELI LTDA"/>
    <d v="2025-09-19T00:00:00"/>
    <s v="MARCO"/>
    <n v="2"/>
    <n v="64.058400000000006"/>
    <n v="128.12"/>
    <s v="APROVADO"/>
    <s v="10"/>
    <x v="16"/>
    <s v="-"/>
    <n v="84"/>
    <s v="ATRASADO"/>
    <s v="-"/>
  </r>
  <r>
    <s v="049278010833.11.10270.00"/>
    <x v="18"/>
    <s v="0108"/>
    <x v="138"/>
    <x v="138"/>
    <s v="METALFISA METALURGICA EIRELI LTDA"/>
    <d v="2025-09-19T00:00:00"/>
    <s v="MARCO"/>
    <n v="4"/>
    <n v="22.410675000000001"/>
    <n v="89.64"/>
    <s v="APROVADO"/>
    <s v="10"/>
    <x v="16"/>
    <s v="-"/>
    <n v="84"/>
    <s v="ATRASADO"/>
    <s v="-"/>
  </r>
  <r>
    <s v="049278011133.11.10277.00"/>
    <x v="18"/>
    <s v="0111"/>
    <x v="139"/>
    <x v="139"/>
    <s v="METALFISA METALURGICA EIRELI LTDA"/>
    <d v="2025-09-19T00:00:00"/>
    <s v="MARCO"/>
    <n v="2"/>
    <n v="27.215055"/>
    <n v="54.43"/>
    <s v="APROVADO"/>
    <s v="10"/>
    <x v="16"/>
    <s v="-"/>
    <n v="84"/>
    <s v="ATRASADO"/>
    <s v="-"/>
  </r>
  <r>
    <s v="049278011333.11.10284.00"/>
    <x v="18"/>
    <s v="0113"/>
    <x v="140"/>
    <x v="140"/>
    <s v="METALFISA METALURGICA EIRELI LTDA"/>
    <d v="2025-09-19T00:00:00"/>
    <s v="MARCO"/>
    <n v="2"/>
    <n v="229.428675"/>
    <n v="458.86"/>
    <s v="APROVADO"/>
    <s v="10"/>
    <x v="16"/>
    <s v="-"/>
    <n v="84"/>
    <s v="ATRASADO"/>
    <s v="-"/>
  </r>
  <r>
    <s v="049278011533.11.10287.00"/>
    <x v="18"/>
    <s v="0115"/>
    <x v="141"/>
    <x v="141"/>
    <s v="METALFISA METALURGICA EIRELI LTDA"/>
    <d v="2025-09-19T00:00:00"/>
    <s v="MARCO"/>
    <n v="2"/>
    <n v="226.60659000000001"/>
    <n v="453.21"/>
    <s v="APROVADO"/>
    <s v="10"/>
    <x v="16"/>
    <s v="-"/>
    <n v="84"/>
    <s v="ATRASADO"/>
    <s v="-"/>
  </r>
  <r>
    <s v="049278011633.11.10288.00"/>
    <x v="18"/>
    <s v="0116"/>
    <x v="142"/>
    <x v="142"/>
    <s v="METALFISA METALURGICA EIRELI LTDA"/>
    <d v="2025-09-19T00:00:00"/>
    <s v="MARCO"/>
    <n v="2"/>
    <n v="173.98300499999999"/>
    <n v="347.97"/>
    <s v="APROVADO"/>
    <s v="10"/>
    <x v="16"/>
    <s v="-"/>
    <n v="84"/>
    <s v="ATRASADO"/>
    <s v="-"/>
  </r>
  <r>
    <s v="049278011733.11.10288.00"/>
    <x v="18"/>
    <s v="0117"/>
    <x v="142"/>
    <x v="142"/>
    <s v="METALFISA METALURGICA EIRELI LTDA"/>
    <d v="2025-09-19T00:00:00"/>
    <s v="MARCO"/>
    <n v="2"/>
    <n v="173.98300499999999"/>
    <n v="347.97"/>
    <s v="APROVADO"/>
    <s v="10"/>
    <x v="16"/>
    <s v="-"/>
    <n v="84"/>
    <s v="ATRASADO"/>
    <s v="-"/>
  </r>
  <r>
    <s v="049278011833.11.10290.00"/>
    <x v="18"/>
    <s v="0118"/>
    <x v="143"/>
    <x v="143"/>
    <s v="METALFISA METALURGICA EIRELI LTDA"/>
    <d v="2025-09-19T00:00:00"/>
    <s v="MARCO"/>
    <n v="1"/>
    <n v="1962.7552350000001"/>
    <n v="1962.76"/>
    <s v="APROVADO"/>
    <s v="10"/>
    <x v="16"/>
    <s v="-"/>
    <n v="84"/>
    <s v="ATRASADO"/>
    <s v="-"/>
  </r>
  <r>
    <s v="049278011933.11.10290.00"/>
    <x v="18"/>
    <s v="0119"/>
    <x v="143"/>
    <x v="143"/>
    <s v="METALFISA METALURGICA EIRELI LTDA"/>
    <d v="2025-09-19T00:00:00"/>
    <s v="MARCO"/>
    <n v="1"/>
    <n v="1962.7552350000001"/>
    <n v="1962.76"/>
    <s v="APROVADO"/>
    <s v="10"/>
    <x v="16"/>
    <s v="-"/>
    <n v="84"/>
    <s v="ATRASADO"/>
    <s v="-"/>
  </r>
  <r>
    <s v="049278012433.11.10314.02"/>
    <x v="18"/>
    <s v="0124"/>
    <x v="144"/>
    <x v="144"/>
    <s v="METALFISA METALURGICA EIRELI LTDA"/>
    <d v="2025-09-19T00:00:00"/>
    <s v="MARCO"/>
    <n v="4"/>
    <n v="434.005425"/>
    <n v="1736.02"/>
    <s v="APROVADO"/>
    <s v="10"/>
    <x v="16"/>
    <s v="-"/>
    <n v="84"/>
    <s v="ATRASADO"/>
    <s v="-"/>
  </r>
  <r>
    <s v="049278012533.11.10322.01"/>
    <x v="18"/>
    <s v="0125"/>
    <x v="145"/>
    <x v="145"/>
    <s v="METALFISA METALURGICA EIRELI LTDA"/>
    <d v="2025-09-19T00:00:00"/>
    <s v="MARCO"/>
    <n v="2"/>
    <n v="767.89030500000001"/>
    <n v="1535.78"/>
    <s v="APROVADO"/>
    <s v="10"/>
    <x v="16"/>
    <s v="-"/>
    <n v="84"/>
    <s v="ATRASADO"/>
    <s v="-"/>
  </r>
  <r>
    <s v="049278012833.11.10380.00"/>
    <x v="18"/>
    <s v="0128"/>
    <x v="146"/>
    <x v="146"/>
    <s v="METALFISA METALURGICA EIRELI LTDA"/>
    <d v="2025-09-19T00:00:00"/>
    <s v="MARCO"/>
    <n v="2"/>
    <n v="85.355864999999994"/>
    <n v="170.71"/>
    <s v="APROVADO"/>
    <s v="10"/>
    <x v="16"/>
    <s v="-"/>
    <n v="84"/>
    <s v="ATRASADO"/>
    <s v="-"/>
  </r>
  <r>
    <s v="049278013833.11.10400.00"/>
    <x v="18"/>
    <s v="0138"/>
    <x v="147"/>
    <x v="147"/>
    <s v="METALFISA METALURGICA EIRELI LTDA"/>
    <d v="2025-09-19T00:00:00"/>
    <s v="MARCO"/>
    <n v="2"/>
    <n v="15.19434"/>
    <n v="30.39"/>
    <s v="APROVADO"/>
    <s v="10"/>
    <x v="16"/>
    <s v="-"/>
    <n v="84"/>
    <s v="ATRASADO"/>
    <s v="ENTREGUE 4 PEÇAS NO DANFE 41640 EM 06/02-METALFISA"/>
  </r>
  <r>
    <s v="049278014133.11.10403.01"/>
    <x v="18"/>
    <s v="0141"/>
    <x v="148"/>
    <x v="148"/>
    <s v="METALFISA METALURGICA EIRELI LTDA"/>
    <d v="2025-09-19T00:00:00"/>
    <s v="MARCO"/>
    <n v="1"/>
    <n v="162.225945"/>
    <n v="162.22999999999999"/>
    <s v="APROVADO"/>
    <s v="10"/>
    <x v="16"/>
    <s v="-"/>
    <n v="84"/>
    <s v="ATRASADO"/>
    <s v="ENTREGUE 4 PEÇAS NO DANFE 41640 EM 06/02-METALFISA"/>
  </r>
  <r>
    <s v="049278014233.11.10404.00"/>
    <x v="18"/>
    <s v="0142"/>
    <x v="149"/>
    <x v="149"/>
    <s v="METALFISA METALURGICA EIRELI LTDA"/>
    <d v="2025-09-19T00:00:00"/>
    <s v="MARCO"/>
    <n v="1"/>
    <n v="164.80390499999999"/>
    <n v="164.8"/>
    <s v="APROVADO"/>
    <s v="10"/>
    <x v="16"/>
    <s v="-"/>
    <n v="84"/>
    <s v="ATRASADO"/>
    <s v="ENTREGUE 4 PEÇAS NO DANFE 41640 EM 06/02-METALFISA"/>
  </r>
  <r>
    <s v="049278014333.11.10404.00"/>
    <x v="18"/>
    <s v="0143"/>
    <x v="149"/>
    <x v="149"/>
    <s v="METALFISA METALURGICA EIRELI LTDA"/>
    <d v="2025-09-19T00:00:00"/>
    <s v="MARCO"/>
    <n v="1"/>
    <n v="164.80390499999999"/>
    <n v="164.8"/>
    <s v="APROVADO"/>
    <s v="10"/>
    <x v="16"/>
    <s v="-"/>
    <n v="84"/>
    <s v="ATRASADO"/>
    <s v="ENTREGUE 4 PEÇAS NO DANFE 41640 EM 06/02-METALFISA"/>
  </r>
  <r>
    <s v="049278014733.11.10417.00"/>
    <x v="18"/>
    <s v="0147"/>
    <x v="150"/>
    <x v="150"/>
    <s v="METALFISA METALURGICA EIRELI LTDA"/>
    <d v="2025-09-19T00:00:00"/>
    <s v="MARCO"/>
    <n v="8"/>
    <n v="448.62362999999999"/>
    <n v="3588.99"/>
    <s v="APROVADO"/>
    <s v="10"/>
    <x v="16"/>
    <s v="-"/>
    <n v="84"/>
    <s v="ATRASADO"/>
    <s v="ENTREGUE 4 PEÇAS NO DANFE 41640 EM 06/02-METALFISA"/>
  </r>
  <r>
    <s v="049278014833.11.10419.00"/>
    <x v="18"/>
    <s v="0148"/>
    <x v="151"/>
    <x v="151"/>
    <s v="METALFISA METALURGICA EIRELI LTDA"/>
    <d v="2025-09-19T00:00:00"/>
    <s v="MARCO"/>
    <n v="8"/>
    <n v="23.855895"/>
    <n v="190.85"/>
    <s v="APROVADO"/>
    <s v="10"/>
    <x v="16"/>
    <s v="-"/>
    <n v="84"/>
    <s v="ATRASADO"/>
    <s v="ENTREGUE 4 PEÇAS NO DANFE 41640 EM 06/02-METALFISA"/>
  </r>
  <r>
    <s v="049278015233.11.10425.01"/>
    <x v="18"/>
    <s v="0152"/>
    <x v="152"/>
    <x v="152"/>
    <s v="METALFISA METALURGICA EIRELI LTDA"/>
    <d v="2025-09-19T00:00:00"/>
    <s v="MARCO"/>
    <n v="2"/>
    <n v="1262.6144999999999"/>
    <n v="2525.23"/>
    <s v="APROVADO"/>
    <s v="10"/>
    <x v="16"/>
    <s v="-"/>
    <n v="84"/>
    <s v="ATRASADO"/>
    <s v="ENTREGUE 4 PEÇAS NO DANFE 41640 EM 06/02-METALFISA"/>
  </r>
  <r>
    <s v="049278015333.11.10441.00"/>
    <x v="18"/>
    <s v="0153"/>
    <x v="153"/>
    <x v="153"/>
    <s v="METALFISA METALURGICA EIRELI LTDA"/>
    <d v="2025-09-19T00:00:00"/>
    <s v="MARCO"/>
    <n v="2"/>
    <n v="177.43981500000001"/>
    <n v="354.88"/>
    <s v="APROVADO"/>
    <s v="10"/>
    <x v="16"/>
    <s v="-"/>
    <n v="84"/>
    <s v="ATRASADO"/>
    <s v="ENTREGUE 4 PEÇAS NO DANFE 41640 EM 06/02-METALFISA"/>
  </r>
  <r>
    <s v="049278015433.11.10442.01"/>
    <x v="18"/>
    <s v="0154"/>
    <x v="154"/>
    <x v="154"/>
    <s v="METALFISA METALURGICA EIRELI LTDA"/>
    <d v="2025-09-19T00:00:00"/>
    <s v="MARCO"/>
    <n v="2"/>
    <n v="646.38441"/>
    <n v="1292.77"/>
    <s v="APROVADO"/>
    <s v="10"/>
    <x v="16"/>
    <s v="-"/>
    <n v="84"/>
    <s v="ATRASADO"/>
    <s v="-"/>
  </r>
  <r>
    <s v="049278015633.11.10447.01"/>
    <x v="18"/>
    <s v="0156"/>
    <x v="155"/>
    <x v="155"/>
    <s v="METALFISA METALURGICA EIRELI LTDA"/>
    <d v="2025-09-19T00:00:00"/>
    <s v="MARCO"/>
    <n v="2"/>
    <n v="1117.7311950000001"/>
    <n v="2235.46"/>
    <s v="APROVADO"/>
    <s v="10"/>
    <x v="16"/>
    <s v="-"/>
    <n v="84"/>
    <s v="ATRASADO"/>
    <s v="-"/>
  </r>
  <r>
    <s v="049278015733.11.10452.00"/>
    <x v="18"/>
    <s v="0157"/>
    <x v="156"/>
    <x v="156"/>
    <s v="METALFISA METALURGICA EIRELI LTDA"/>
    <d v="2025-09-19T00:00:00"/>
    <s v="MARCO"/>
    <n v="2"/>
    <n v="56.138984999999998"/>
    <n v="112.28"/>
    <s v="APROVADO"/>
    <s v="10"/>
    <x v="16"/>
    <s v="-"/>
    <n v="84"/>
    <s v="ATRASADO"/>
    <s v="-"/>
  </r>
  <r>
    <s v="049278016133.11.10475.01"/>
    <x v="18"/>
    <s v="0161"/>
    <x v="157"/>
    <x v="157"/>
    <s v="METALFISA METALURGICA EIRELI LTDA"/>
    <d v="2025-09-19T00:00:00"/>
    <s v="MARCO"/>
    <n v="1"/>
    <n v="861.74171999999999"/>
    <n v="861.74"/>
    <s v="APROVADO"/>
    <s v="10"/>
    <x v="16"/>
    <s v="-"/>
    <n v="84"/>
    <s v="ATRASADO"/>
    <s v="-"/>
  </r>
  <r>
    <s v="049278016233.11.10475.01"/>
    <x v="18"/>
    <s v="0162"/>
    <x v="157"/>
    <x v="157"/>
    <s v="METALFISA METALURGICA EIRELI LTDA"/>
    <d v="2025-09-19T00:00:00"/>
    <s v="MARCO"/>
    <n v="1"/>
    <n v="861.74171999999999"/>
    <n v="861.74"/>
    <s v="APROVADO"/>
    <s v="10"/>
    <x v="16"/>
    <s v="-"/>
    <n v="84"/>
    <s v="ATRASADO"/>
    <s v="-"/>
  </r>
  <r>
    <s v="049278016333.11.10488.00"/>
    <x v="18"/>
    <s v="0163"/>
    <x v="158"/>
    <x v="158"/>
    <s v="METALFISA METALURGICA EIRELI LTDA"/>
    <d v="2025-09-19T00:00:00"/>
    <s v="MARCO"/>
    <n v="1"/>
    <n v="79.242975000000001"/>
    <n v="79.239999999999995"/>
    <s v="APROVADO"/>
    <s v="10"/>
    <x v="16"/>
    <s v="-"/>
    <n v="84"/>
    <s v="ATRASADO"/>
    <s v="-"/>
  </r>
  <r>
    <s v="049278016433.11.10488.00"/>
    <x v="18"/>
    <s v="0164"/>
    <x v="158"/>
    <x v="158"/>
    <s v="METALFISA METALURGICA EIRELI LTDA"/>
    <d v="2025-09-19T00:00:00"/>
    <s v="MARCO"/>
    <n v="1"/>
    <n v="79.242975000000001"/>
    <n v="79.239999999999995"/>
    <s v="APROVADO"/>
    <s v="10"/>
    <x v="16"/>
    <s v="-"/>
    <n v="84"/>
    <s v="ATRASADO"/>
    <s v="-"/>
  </r>
  <r>
    <s v="049278016533.11.10493.00"/>
    <x v="18"/>
    <s v="0165"/>
    <x v="159"/>
    <x v="159"/>
    <s v="METALFISA METALURGICA EIRELI LTDA"/>
    <d v="2025-09-19T00:00:00"/>
    <s v="MARCO"/>
    <n v="4"/>
    <n v="224.75124"/>
    <n v="899"/>
    <s v="APROVADO"/>
    <s v="10"/>
    <x v="16"/>
    <s v="-"/>
    <n v="84"/>
    <s v="ATRASADO"/>
    <s v="ENTREGUE 2 PEÇAS NO DANFE 34.706 EM 06/02-GRANATO"/>
  </r>
  <r>
    <s v="049278016633.11.10494.01"/>
    <x v="18"/>
    <s v="0166"/>
    <x v="160"/>
    <x v="160"/>
    <s v="METALFISA METALURGICA EIRELI LTDA"/>
    <d v="2025-09-19T00:00:00"/>
    <s v="MARCO"/>
    <n v="2"/>
    <n v="574.94367"/>
    <n v="1149.8900000000001"/>
    <s v="APROVADO"/>
    <s v="10"/>
    <x v="16"/>
    <s v="-"/>
    <n v="84"/>
    <s v="ATRASADO"/>
    <s v="-"/>
  </r>
  <r>
    <s v="049278016833.11.10498.01"/>
    <x v="18"/>
    <s v="0168"/>
    <x v="161"/>
    <x v="161"/>
    <s v="METALFISA METALURGICA EIRELI LTDA"/>
    <d v="2025-09-19T00:00:00"/>
    <s v="MARCO"/>
    <n v="2"/>
    <n v="727.39485000000002"/>
    <n v="1454.79"/>
    <s v="APROVADO"/>
    <s v="10"/>
    <x v="16"/>
    <s v="-"/>
    <n v="84"/>
    <s v="ATRASADO"/>
    <s v="-"/>
  </r>
  <r>
    <s v="049278016933.11.10499.01"/>
    <x v="18"/>
    <s v="0169"/>
    <x v="162"/>
    <x v="162"/>
    <s v="METALFISA METALURGICA EIRELI LTDA"/>
    <d v="2025-09-19T00:00:00"/>
    <s v="MARCO"/>
    <n v="2"/>
    <n v="754.72708499999999"/>
    <n v="1509.45"/>
    <s v="APROVADO"/>
    <s v="10"/>
    <x v="16"/>
    <s v="-"/>
    <n v="84"/>
    <s v="ATRASADO"/>
    <s v="-"/>
  </r>
  <r>
    <s v="049278017133.11.10505.00"/>
    <x v="18"/>
    <s v="0171"/>
    <x v="163"/>
    <x v="163"/>
    <s v="METALFISA METALURGICA EIRELI LTDA"/>
    <d v="2025-09-19T00:00:00"/>
    <s v="MARCO"/>
    <n v="1"/>
    <n v="1890.0352800000001"/>
    <n v="1890.04"/>
    <s v="APROVADO"/>
    <s v="10"/>
    <x v="16"/>
    <s v="-"/>
    <n v="84"/>
    <s v="ATRASADO"/>
    <s v="-"/>
  </r>
  <r>
    <s v="049278017233.11.10505.00"/>
    <x v="18"/>
    <s v="0172"/>
    <x v="163"/>
    <x v="163"/>
    <s v="METALFISA METALURGICA EIRELI LTDA"/>
    <d v="2025-09-19T00:00:00"/>
    <s v="MARCO"/>
    <n v="1"/>
    <n v="1890.0352800000001"/>
    <n v="1890.04"/>
    <s v="APROVADO"/>
    <s v="10"/>
    <x v="16"/>
    <s v="-"/>
    <n v="84"/>
    <s v="ATRASADO"/>
    <s v="-"/>
  </r>
  <r>
    <s v="049278017333.11.10515.00"/>
    <x v="18"/>
    <s v="0173"/>
    <x v="164"/>
    <x v="164"/>
    <s v="METALFISA METALURGICA EIRELI LTDA"/>
    <d v="2025-09-19T00:00:00"/>
    <s v="MARCO"/>
    <n v="8"/>
    <n v="44.41122"/>
    <n v="355.29"/>
    <s v="APROVADO"/>
    <s v="10"/>
    <x v="16"/>
    <s v="-"/>
    <n v="84"/>
    <s v="ATRASADO"/>
    <s v="-"/>
  </r>
  <r>
    <s v="049278017433.11.10517.02"/>
    <x v="18"/>
    <s v="0174"/>
    <x v="165"/>
    <x v="165"/>
    <s v="METALFISA METALURGICA EIRELI LTDA"/>
    <d v="2025-09-19T00:00:00"/>
    <s v="MARCO"/>
    <n v="5"/>
    <n v="43.590960000000003"/>
    <n v="348.73"/>
    <s v="APROVADO"/>
    <s v="10"/>
    <x v="16"/>
    <s v="-"/>
    <n v="84"/>
    <s v="ATRASADO"/>
    <s v="-"/>
  </r>
  <r>
    <s v="049278017533.11.10530.01"/>
    <x v="18"/>
    <s v="0175"/>
    <x v="166"/>
    <x v="166"/>
    <s v="METALFISA METALURGICA EIRELI LTDA"/>
    <d v="2025-09-19T00:00:00"/>
    <s v="MARCO"/>
    <n v="1"/>
    <n v="461.62084499999997"/>
    <n v="461.62"/>
    <s v="APROVADO"/>
    <s v="10"/>
    <x v="16"/>
    <s v="-"/>
    <n v="84"/>
    <s v="ATRASADO"/>
    <s v="-"/>
  </r>
  <r>
    <s v="049278017633.11.10530.01"/>
    <x v="18"/>
    <s v="0176"/>
    <x v="166"/>
    <x v="166"/>
    <s v="METALFISA METALURGICA EIRELI LTDA"/>
    <d v="2025-09-19T00:00:00"/>
    <s v="MARCO"/>
    <n v="1"/>
    <n v="461.62084499999997"/>
    <n v="461.62"/>
    <s v="APROVADO"/>
    <s v="10"/>
    <x v="16"/>
    <s v="-"/>
    <n v="84"/>
    <s v="ATRASADO"/>
    <s v="-"/>
  </r>
  <r>
    <s v="049278018733.11.10593.01"/>
    <x v="18"/>
    <s v="0187"/>
    <x v="167"/>
    <x v="167"/>
    <s v="METALFISA METALURGICA EIRELI LTDA"/>
    <d v="2025-09-19T00:00:00"/>
    <s v="MARCO"/>
    <n v="6"/>
    <n v="29.714894999999999"/>
    <n v="178.29"/>
    <s v="APROVADO"/>
    <s v="10"/>
    <x v="16"/>
    <s v="-"/>
    <n v="84"/>
    <s v="ATRASADO"/>
    <s v="-"/>
  </r>
  <r>
    <s v="049278018833.11.10594.00"/>
    <x v="18"/>
    <s v="0188"/>
    <x v="168"/>
    <x v="168"/>
    <s v="METALFISA METALURGICA EIRELI LTDA"/>
    <d v="2025-09-19T00:00:00"/>
    <s v="MARCO"/>
    <n v="1"/>
    <n v="267.65865000000002"/>
    <n v="267.66000000000003"/>
    <s v="APROVADO"/>
    <s v="10"/>
    <x v="16"/>
    <s v="-"/>
    <n v="84"/>
    <s v="ATRASADO"/>
    <s v="-"/>
  </r>
  <r>
    <s v="049278018933.11.10594.00"/>
    <x v="18"/>
    <s v="0189"/>
    <x v="168"/>
    <x v="168"/>
    <s v="METALFISA METALURGICA EIRELI LTDA"/>
    <d v="2025-09-19T00:00:00"/>
    <s v="MARCO"/>
    <n v="1"/>
    <n v="267.65865000000002"/>
    <n v="267.66000000000003"/>
    <s v="APROVADO"/>
    <s v="10"/>
    <x v="16"/>
    <s v="-"/>
    <n v="84"/>
    <s v="ATRASADO"/>
    <s v="-"/>
  </r>
  <r>
    <s v="049278019333.11.10611.01"/>
    <x v="18"/>
    <s v="0193"/>
    <x v="169"/>
    <x v="169"/>
    <s v="METALFISA METALURGICA EIRELI LTDA"/>
    <d v="2025-09-19T00:00:00"/>
    <s v="MARCO"/>
    <n v="1"/>
    <n v="1153.55898"/>
    <n v="1153.56"/>
    <s v="APROVADO"/>
    <s v="10"/>
    <x v="16"/>
    <s v="-"/>
    <n v="84"/>
    <s v="ATRASADO"/>
    <s v="-"/>
  </r>
  <r>
    <s v="049278019433.11.10611.01"/>
    <x v="18"/>
    <s v="0194"/>
    <x v="169"/>
    <x v="169"/>
    <s v="METALFISA METALURGICA EIRELI LTDA"/>
    <d v="2025-09-19T00:00:00"/>
    <s v="MARCO"/>
    <n v="1"/>
    <n v="1153.55898"/>
    <n v="1153.56"/>
    <s v="APROVADO"/>
    <s v="10"/>
    <x v="16"/>
    <s v="-"/>
    <n v="84"/>
    <s v="ATRASADO"/>
    <s v="-"/>
  </r>
  <r>
    <s v="049278019733.11.10616.00"/>
    <x v="18"/>
    <s v="0197"/>
    <x v="170"/>
    <x v="170"/>
    <s v="METALFISA METALURGICA EIRELI LTDA"/>
    <d v="2025-09-19T00:00:00"/>
    <s v="MARCO"/>
    <n v="1"/>
    <n v="187.52706000000001"/>
    <n v="187.53"/>
    <s v="APROVADO"/>
    <s v="10"/>
    <x v="16"/>
    <s v="-"/>
    <n v="84"/>
    <s v="ATRASADO"/>
    <s v="-"/>
  </r>
  <r>
    <s v="049278019833.11.10616.00"/>
    <x v="18"/>
    <s v="0198"/>
    <x v="170"/>
    <x v="170"/>
    <s v="METALFISA METALURGICA EIRELI LTDA"/>
    <d v="2025-09-19T00:00:00"/>
    <s v="MARCO"/>
    <n v="1"/>
    <n v="187.52706000000001"/>
    <n v="187.53"/>
    <s v="APROVADO"/>
    <s v="10"/>
    <x v="16"/>
    <s v="-"/>
    <n v="84"/>
    <s v="ATRASADO"/>
    <s v="-"/>
  </r>
  <r>
    <s v="049278019933.11.10618.00"/>
    <x v="18"/>
    <s v="0199"/>
    <x v="171"/>
    <x v="171"/>
    <s v="METALFISA METALURGICA EIRELI LTDA"/>
    <d v="2025-09-19T00:00:00"/>
    <s v="MARCO"/>
    <n v="2"/>
    <n v="89.691524999999999"/>
    <n v="179.38"/>
    <s v="APROVADO"/>
    <s v="10"/>
    <x v="16"/>
    <s v="-"/>
    <n v="84"/>
    <s v="ATRASADO"/>
    <s v="-"/>
  </r>
  <r>
    <s v="049278020033.11.10618.00"/>
    <x v="18"/>
    <s v="0200"/>
    <x v="171"/>
    <x v="171"/>
    <s v="METALFISA METALURGICA EIRELI LTDA"/>
    <d v="2025-09-19T00:00:00"/>
    <s v="MARCO"/>
    <n v="2"/>
    <n v="89.691524999999999"/>
    <n v="179.38"/>
    <s v="APROVADO"/>
    <s v="10"/>
    <x v="16"/>
    <s v="-"/>
    <n v="84"/>
    <s v="ATRASADO"/>
    <s v="-"/>
  </r>
  <r>
    <s v="049278020533.11.10621.01"/>
    <x v="18"/>
    <s v="0205"/>
    <x v="172"/>
    <x v="172"/>
    <s v="METALFISA METALURGICA EIRELI LTDA"/>
    <d v="2025-09-19T00:00:00"/>
    <s v="MARCO"/>
    <n v="1"/>
    <n v="448.30138499999998"/>
    <n v="448.3"/>
    <s v="APROVADO"/>
    <s v="10"/>
    <x v="16"/>
    <s v="-"/>
    <n v="84"/>
    <s v="ATRASADO"/>
    <s v="ENTREGUE 4 PEÇAS NO DANFE 41640 EM 06/02-METALFISA"/>
  </r>
  <r>
    <s v="049278020633.11.10621.01"/>
    <x v="18"/>
    <s v="0206"/>
    <x v="172"/>
    <x v="172"/>
    <s v="METALFISA METALURGICA EIRELI LTDA"/>
    <d v="2025-09-19T00:00:00"/>
    <s v="MARCO"/>
    <n v="1"/>
    <n v="448.30138499999998"/>
    <n v="448.3"/>
    <s v="APROVADO"/>
    <s v="10"/>
    <x v="16"/>
    <s v="-"/>
    <n v="84"/>
    <s v="ATRASADO"/>
    <s v="ENTREGUE 4 PEÇAS NO DANFE 41640 EM 06/02-METALFISA"/>
  </r>
  <r>
    <s v="049278020933.11.10623.00"/>
    <x v="18"/>
    <s v="0209"/>
    <x v="173"/>
    <x v="173"/>
    <s v="METALFISA METALURGICA EIRELI LTDA"/>
    <d v="2025-09-19T00:00:00"/>
    <s v="MARCO"/>
    <n v="1"/>
    <n v="222.86659499999999"/>
    <n v="222.87"/>
    <s v="APROVADO"/>
    <s v="10"/>
    <x v="16"/>
    <s v="-"/>
    <n v="84"/>
    <s v="ATRASADO"/>
    <s v="-"/>
  </r>
  <r>
    <s v="049278021033.11.10623.00"/>
    <x v="18"/>
    <s v="0210"/>
    <x v="173"/>
    <x v="173"/>
    <s v="METALFISA METALURGICA EIRELI LTDA"/>
    <d v="2025-09-19T00:00:00"/>
    <s v="MARCO"/>
    <n v="1"/>
    <n v="222.86659499999999"/>
    <n v="222.87"/>
    <s v="APROVADO"/>
    <s v="10"/>
    <x v="16"/>
    <s v="-"/>
    <n v="84"/>
    <s v="ATRASADO"/>
    <s v="-"/>
  </r>
  <r>
    <s v="049278021133.11.10625.00"/>
    <x v="18"/>
    <s v="0211"/>
    <x v="174"/>
    <x v="174"/>
    <s v="METALFISA METALURGICA EIRELI LTDA"/>
    <d v="2025-09-19T00:00:00"/>
    <s v="MARCO"/>
    <n v="2"/>
    <n v="58.668120000000002"/>
    <n v="117.34"/>
    <s v="APROVADO"/>
    <s v="10"/>
    <x v="16"/>
    <s v="-"/>
    <n v="84"/>
    <s v="ATRASADO"/>
    <s v="-"/>
  </r>
  <r>
    <s v="049278021233.11.10625.00"/>
    <x v="18"/>
    <s v="0212"/>
    <x v="174"/>
    <x v="174"/>
    <s v="METALFISA METALURGICA EIRELI LTDA"/>
    <d v="2025-09-19T00:00:00"/>
    <s v="MARCO"/>
    <n v="2"/>
    <n v="58.668120000000002"/>
    <n v="117.34"/>
    <s v="APROVADO"/>
    <s v="10"/>
    <x v="16"/>
    <s v="-"/>
    <n v="84"/>
    <s v="ATRASADO"/>
    <s v="-"/>
  </r>
  <r>
    <s v="049278021333.11.10633.00"/>
    <x v="18"/>
    <s v="0213"/>
    <x v="175"/>
    <x v="175"/>
    <s v="METALFISA METALURGICA EIRELI LTDA"/>
    <d v="2025-09-19T00:00:00"/>
    <s v="MARCO"/>
    <n v="2"/>
    <n v="47.038004999999998"/>
    <n v="94.08"/>
    <s v="APROVADO"/>
    <s v="10"/>
    <x v="16"/>
    <s v="-"/>
    <n v="84"/>
    <s v="ATRASADO"/>
    <s v="-"/>
  </r>
  <r>
    <s v="049278021433.11.10633.00"/>
    <x v="18"/>
    <s v="0214"/>
    <x v="175"/>
    <x v="175"/>
    <s v="METALFISA METALURGICA EIRELI LTDA"/>
    <d v="2025-09-19T00:00:00"/>
    <s v="MARCO"/>
    <n v="2"/>
    <n v="47.038004999999998"/>
    <n v="94.08"/>
    <s v="APROVADO"/>
    <s v="10"/>
    <x v="16"/>
    <s v="-"/>
    <n v="84"/>
    <s v="ATRASADO"/>
    <s v="ENTREGUE 4 PEÇAS NO DANFE 41640 EM 06/02-METALFISA"/>
  </r>
  <r>
    <s v="049278021533.11.10634.00"/>
    <x v="18"/>
    <s v="0215"/>
    <x v="176"/>
    <x v="176"/>
    <s v="METALFISA METALURGICA EIRELI LTDA"/>
    <d v="2025-09-19T00:00:00"/>
    <s v="MARCO"/>
    <n v="2"/>
    <n v="51.539670000000001"/>
    <n v="103.08"/>
    <s v="APROVADO"/>
    <s v="10"/>
    <x v="16"/>
    <s v="-"/>
    <n v="84"/>
    <s v="ATRASADO"/>
    <s v="ENTREGUE 4 PEÇAS NO DANFE 41640 EM 06/02-METALFISA"/>
  </r>
  <r>
    <s v="049278021633.11.10634.00"/>
    <x v="18"/>
    <s v="0216"/>
    <x v="176"/>
    <x v="176"/>
    <s v="METALFISA METALURGICA EIRELI LTDA"/>
    <d v="2025-09-19T00:00:00"/>
    <s v="MARCO"/>
    <n v="2"/>
    <n v="51.539670000000001"/>
    <n v="103.08"/>
    <s v="APROVADO"/>
    <s v="10"/>
    <x v="16"/>
    <s v="-"/>
    <n v="84"/>
    <s v="ATRASADO"/>
    <s v="-"/>
  </r>
  <r>
    <s v="049278022033.11.10647.00"/>
    <x v="18"/>
    <s v="0220"/>
    <x v="177"/>
    <x v="177"/>
    <s v="METALFISA METALURGICA EIRELI LTDA"/>
    <d v="2025-09-19T00:00:00"/>
    <s v="MARCO"/>
    <n v="2"/>
    <n v="48.492989999999999"/>
    <n v="96.99"/>
    <s v="APROVADO"/>
    <s v="10"/>
    <x v="16"/>
    <s v="-"/>
    <n v="84"/>
    <s v="ATRASADO"/>
    <s v="-"/>
  </r>
  <r>
    <s v="049278022133.11.10647.00"/>
    <x v="18"/>
    <s v="0221"/>
    <x v="177"/>
    <x v="177"/>
    <s v="METALFISA METALURGICA EIRELI LTDA"/>
    <d v="2025-09-19T00:00:00"/>
    <s v="MARCO"/>
    <n v="2"/>
    <n v="48.492989999999999"/>
    <n v="96.99"/>
    <s v="APROVADO"/>
    <s v="10"/>
    <x v="16"/>
    <s v="-"/>
    <n v="84"/>
    <s v="ATRASADO"/>
    <s v="-"/>
  </r>
  <r>
    <s v="049278022233.11.10648.00"/>
    <x v="18"/>
    <s v="0222"/>
    <x v="178"/>
    <x v="178"/>
    <s v="METALFISA METALURGICA EIRELI LTDA"/>
    <d v="2025-09-19T00:00:00"/>
    <s v="MARCO"/>
    <n v="2"/>
    <n v="47.741084999999998"/>
    <n v="95.48"/>
    <s v="APROVADO"/>
    <s v="10"/>
    <x v="16"/>
    <s v="-"/>
    <n v="84"/>
    <s v="ATRASADO"/>
    <s v="-"/>
  </r>
  <r>
    <s v="049278022333.11.10648.00"/>
    <x v="18"/>
    <s v="0223"/>
    <x v="178"/>
    <x v="178"/>
    <s v="METALFISA METALURGICA EIRELI LTDA"/>
    <d v="2025-09-19T00:00:00"/>
    <s v="MARCO"/>
    <n v="2"/>
    <n v="47.741084999999998"/>
    <n v="95.48"/>
    <s v="APROVADO"/>
    <s v="10"/>
    <x v="16"/>
    <s v="-"/>
    <n v="84"/>
    <s v="ATRASADO"/>
    <s v="-"/>
  </r>
  <r>
    <s v="049278022633.11.10658.00"/>
    <x v="18"/>
    <s v="0226"/>
    <x v="179"/>
    <x v="179"/>
    <s v="METALFISA METALURGICA EIRELI LTDA"/>
    <d v="2025-09-19T00:00:00"/>
    <s v="MARCO"/>
    <n v="2"/>
    <n v="138.184515"/>
    <n v="276.37"/>
    <s v="APROVADO"/>
    <s v="10"/>
    <x v="16"/>
    <s v="-"/>
    <n v="84"/>
    <s v="ATRASADO"/>
    <s v="-"/>
  </r>
  <r>
    <s v="049278022733.11.10658.00"/>
    <x v="18"/>
    <s v="0227"/>
    <x v="179"/>
    <x v="179"/>
    <s v="METALFISA METALURGICA EIRELI LTDA"/>
    <d v="2025-09-19T00:00:00"/>
    <s v="MARCO"/>
    <n v="2"/>
    <n v="138.184515"/>
    <n v="276.37"/>
    <s v="APROVADO"/>
    <s v="10"/>
    <x v="16"/>
    <s v="-"/>
    <n v="84"/>
    <s v="ATRASADO"/>
    <s v="-"/>
  </r>
  <r>
    <s v="049278023033.11.10660.00"/>
    <x v="18"/>
    <s v="0230"/>
    <x v="180"/>
    <x v="180"/>
    <s v="METALFISA METALURGICA EIRELI LTDA"/>
    <d v="2025-09-19T00:00:00"/>
    <s v="MARCO"/>
    <n v="1"/>
    <n v="1685.9956050000001"/>
    <n v="1686"/>
    <s v="APROVADO"/>
    <s v="10"/>
    <x v="16"/>
    <s v="-"/>
    <n v="84"/>
    <s v="ATRASADO"/>
    <s v="-"/>
  </r>
  <r>
    <s v="049278023133.11.10660.00"/>
    <x v="18"/>
    <s v="0231"/>
    <x v="180"/>
    <x v="180"/>
    <s v="METALFISA METALURGICA EIRELI LTDA"/>
    <d v="2025-09-19T00:00:00"/>
    <s v="MARCO"/>
    <n v="1"/>
    <n v="1685.9956050000001"/>
    <n v="1686"/>
    <s v="APROVADO"/>
    <s v="10"/>
    <x v="16"/>
    <s v="-"/>
    <n v="84"/>
    <s v="ATRASADO"/>
    <s v="ENTREGUE 16 PEÇAS NO DANFE 41708 EM 06/02-METALFISA"/>
  </r>
  <r>
    <s v="049278023233.11.10666.00"/>
    <x v="18"/>
    <s v="0232"/>
    <x v="181"/>
    <x v="181"/>
    <s v="METALFISA METALURGICA EIRELI LTDA"/>
    <d v="2025-09-19T00:00:00"/>
    <s v="MARCO"/>
    <n v="4"/>
    <n v="959.39"/>
    <n v="3837.56"/>
    <s v="APROVADO"/>
    <s v="10"/>
    <x v="16"/>
    <s v="-"/>
    <n v="84"/>
    <s v="ATRASADO"/>
    <s v="ENTREGUE 16 PEÇAS NO DANFE 41708 EM 06/02-METALFISA"/>
  </r>
  <r>
    <s v="049278023433.11.10675.01"/>
    <x v="18"/>
    <s v="0234"/>
    <x v="182"/>
    <x v="182"/>
    <s v="METALFISA METALURGICA EIRELI LTDA"/>
    <d v="2025-09-19T00:00:00"/>
    <s v="MARCO"/>
    <n v="1"/>
    <n v="197.31159"/>
    <n v="789.25"/>
    <s v="APROVADO"/>
    <s v="10"/>
    <x v="16"/>
    <s v="-"/>
    <n v="84"/>
    <s v="ATRASADO"/>
    <s v="ENTREGUE 16 PEÇAS NO DANFE 41708 EM 06/02-METALFISA"/>
  </r>
  <r>
    <s v="049278023533.11.10683.00"/>
    <x v="18"/>
    <s v="0235"/>
    <x v="183"/>
    <x v="183"/>
    <s v="METALFISA METALURGICA EIRELI LTDA"/>
    <d v="2025-09-19T00:00:00"/>
    <s v="MARCO"/>
    <n v="2"/>
    <n v="235.85265000000001"/>
    <n v="471.71"/>
    <s v="APROVADO"/>
    <s v="10"/>
    <x v="16"/>
    <s v="-"/>
    <n v="84"/>
    <s v="ATRASADO"/>
    <s v="ENTREGUE 2 PEÇAS NO DANFE 41708 EM 06/02-METALFISA"/>
  </r>
  <r>
    <s v="049278023633.11.10692.00"/>
    <x v="18"/>
    <s v="0236"/>
    <x v="184"/>
    <x v="184"/>
    <s v="METALFISA METALURGICA EIRELI LTDA"/>
    <d v="2025-09-19T00:00:00"/>
    <s v="MARCO"/>
    <n v="4"/>
    <n v="78.35436"/>
    <n v="313.42"/>
    <s v="APROVADO"/>
    <s v="10"/>
    <x v="16"/>
    <s v="-"/>
    <n v="84"/>
    <s v="ATRASADO"/>
    <s v="ENTREGUE 2 PEÇAS NO DANFE 41708 EM 06/02-METALFISA"/>
  </r>
  <r>
    <s v="049278023733.11.10694.01"/>
    <x v="18"/>
    <s v="0237"/>
    <x v="185"/>
    <x v="185"/>
    <s v="METALFISA METALURGICA EIRELI LTDA"/>
    <d v="2025-09-19T00:00:00"/>
    <s v="MARCO"/>
    <n v="1"/>
    <n v="61.695270000000001"/>
    <n v="61.7"/>
    <s v="APROVADO"/>
    <s v="10"/>
    <x v="16"/>
    <s v="-"/>
    <n v="84"/>
    <s v="ATRASADO"/>
    <s v="ENTREGUE 2 PEÇAS NO DANFE 41708 EM 06/02-METALFISA"/>
  </r>
  <r>
    <s v="049278023833.11.10723.00"/>
    <x v="18"/>
    <s v="0238"/>
    <x v="186"/>
    <x v="186"/>
    <s v="METALFISA METALURGICA EIRELI LTDA"/>
    <d v="2025-09-19T00:00:00"/>
    <s v="MARCO"/>
    <n v="4"/>
    <n v="292.11021"/>
    <n v="1168.44"/>
    <s v="APROVADO"/>
    <s v="10"/>
    <x v="16"/>
    <s v="-"/>
    <n v="84"/>
    <s v="ATRASADO"/>
    <s v="ENTREGUE 20 PEÇAS NO DANFE 41708 EM 06/02-METALFISA"/>
  </r>
  <r>
    <s v="049278023933.11.10726.01"/>
    <x v="18"/>
    <s v="0239"/>
    <x v="187"/>
    <x v="187"/>
    <s v="METALFISA METALURGICA EIRELI LTDA"/>
    <d v="2025-09-19T00:00:00"/>
    <s v="MARCO"/>
    <n v="8"/>
    <n v="251.751465"/>
    <n v="2014.01"/>
    <s v="APROVADO"/>
    <s v="10"/>
    <x v="16"/>
    <s v="-"/>
    <n v="84"/>
    <s v="ATRASADO"/>
    <s v="ENTREGUE 20 PEÇAS NO DANFE 41708 EM 06/02-METALFISA"/>
  </r>
  <r>
    <s v="049278024033.11.10727.01"/>
    <x v="18"/>
    <s v="0240"/>
    <x v="188"/>
    <x v="188"/>
    <s v="METALFISA METALURGICA EIRELI LTDA"/>
    <d v="2025-09-19T00:00:00"/>
    <s v="MARCO"/>
    <n v="2"/>
    <n v="267.65865000000002"/>
    <n v="535.32000000000005"/>
    <s v="APROVADO"/>
    <s v="10"/>
    <x v="16"/>
    <s v="-"/>
    <n v="84"/>
    <s v="ATRASADO"/>
    <s v="ENTREGUE 20 PEÇAS NO DANFE 41708 EM 06/02-METALFISA"/>
  </r>
  <r>
    <s v="049278024333.11.10736.00"/>
    <x v="18"/>
    <s v="0243"/>
    <x v="189"/>
    <x v="189"/>
    <s v="METALFISA METALURGICA EIRELI LTDA"/>
    <d v="2025-09-19T00:00:00"/>
    <s v="MARCO"/>
    <n v="1"/>
    <n v="38.454569999999997"/>
    <n v="38.450000000000003"/>
    <s v="APROVADO"/>
    <s v="10"/>
    <x v="16"/>
    <s v="-"/>
    <n v="84"/>
    <s v="ATRASADO"/>
    <s v="ENTREGUE 20 PEÇAS NO DANFE 41708 EM 06/02-METALFISA"/>
  </r>
  <r>
    <s v="049278024433.11.10736.00"/>
    <x v="18"/>
    <s v="0244"/>
    <x v="189"/>
    <x v="189"/>
    <s v="METALFISA METALURGICA EIRELI LTDA"/>
    <d v="2025-09-19T00:00:00"/>
    <s v="MARCO"/>
    <n v="1"/>
    <n v="38.454569999999997"/>
    <n v="38.450000000000003"/>
    <s v="APROVADO"/>
    <s v="10"/>
    <x v="16"/>
    <s v="-"/>
    <n v="84"/>
    <s v="ATRASADO"/>
    <s v="ENTREGUE 20 PEÇAS NO DANFE 41708 EM 06/02-METALFISA"/>
  </r>
  <r>
    <s v="049278024533.11.10741.00"/>
    <x v="18"/>
    <s v="0245"/>
    <x v="190"/>
    <x v="190"/>
    <s v="METALFISA METALURGICA EIRELI LTDA"/>
    <d v="2025-09-19T00:00:00"/>
    <s v="MARCO"/>
    <n v="1"/>
    <n v="322.56724500000001"/>
    <n v="322.57"/>
    <s v="APROVADO"/>
    <s v="10"/>
    <x v="16"/>
    <s v="-"/>
    <n v="84"/>
    <s v="ATRASADO"/>
    <s v="ENTREGUE 20 PEÇAS NO DANFE 41708 EM 06/02-METALFISA"/>
  </r>
  <r>
    <s v="049278024633.11.10741.00"/>
    <x v="18"/>
    <s v="0246"/>
    <x v="190"/>
    <x v="190"/>
    <s v="METALFISA METALURGICA EIRELI LTDA"/>
    <d v="2025-09-19T00:00:00"/>
    <s v="MARCO"/>
    <n v="1"/>
    <n v="322.56724500000001"/>
    <n v="322.57"/>
    <s v="APROVADO"/>
    <s v="10"/>
    <x v="16"/>
    <s v="-"/>
    <n v="84"/>
    <s v="ATRASADO"/>
    <s v="-"/>
  </r>
  <r>
    <s v="049278024933.11.10743.01"/>
    <x v="18"/>
    <s v="0249"/>
    <x v="191"/>
    <x v="191"/>
    <s v="METALFISA METALURGICA EIRELI LTDA"/>
    <d v="2025-09-19T00:00:00"/>
    <s v="MARCO"/>
    <n v="1"/>
    <n v="243.38285999999999"/>
    <n v="243.38"/>
    <s v="APROVADO"/>
    <s v="10"/>
    <x v="16"/>
    <s v="-"/>
    <n v="84"/>
    <s v="ATRASADO"/>
    <s v="ENTREGUE 4 PEÇAS NO DANFE 41640 EM 06/02-METALFISA"/>
  </r>
  <r>
    <s v="049278025033.11.10744.01"/>
    <x v="18"/>
    <s v="0250"/>
    <x v="192"/>
    <x v="192"/>
    <s v="METALFISA METALURGICA EIRELI LTDA"/>
    <d v="2025-09-19T00:00:00"/>
    <s v="MARCO"/>
    <n v="1"/>
    <n v="243.38285999999999"/>
    <n v="243.38"/>
    <s v="APROVADO"/>
    <s v="10"/>
    <x v="16"/>
    <s v="-"/>
    <n v="84"/>
    <s v="ATRASADO"/>
    <s v="ENTREGUE 4 PEÇAS NO DANFE 41640 EM 06/02-METALFISA"/>
  </r>
  <r>
    <s v="049278025133.11.10744.01"/>
    <x v="18"/>
    <s v="0251"/>
    <x v="192"/>
    <x v="192"/>
    <s v="METALFISA METALURGICA EIRELI LTDA"/>
    <d v="2025-09-19T00:00:00"/>
    <s v="MARCO"/>
    <n v="1"/>
    <n v="243.38285999999999"/>
    <n v="243.38"/>
    <s v="APROVADO"/>
    <s v="10"/>
    <x v="16"/>
    <s v="-"/>
    <n v="84"/>
    <s v="ATRASADO"/>
    <s v="ENTREGUE 4 PEÇAS NO DANFE 41640 EM 06/02-METALFISA"/>
  </r>
  <r>
    <s v="049278025233.11.10750.02"/>
    <x v="18"/>
    <s v="0252"/>
    <x v="193"/>
    <x v="193"/>
    <s v="METALFISA METALURGICA EIRELI LTDA"/>
    <d v="2025-09-19T00:00:00"/>
    <s v="MARCO"/>
    <n v="1"/>
    <n v="260.47161"/>
    <n v="260.47000000000003"/>
    <s v="APROVADO"/>
    <s v="10"/>
    <x v="16"/>
    <s v="-"/>
    <n v="84"/>
    <s v="ATRASADO"/>
    <s v="ENTREGUE 4 PEÇAS NO DANFE 41640 EM 06/02-METALFISA"/>
  </r>
  <r>
    <s v="049278025333.11.10752.01"/>
    <x v="18"/>
    <s v="0253"/>
    <x v="194"/>
    <x v="194"/>
    <s v="METALFISA METALURGICA EIRELI LTDA"/>
    <d v="2025-09-19T00:00:00"/>
    <s v="MARCO"/>
    <n v="1"/>
    <n v="267.90277500000002"/>
    <n v="267.89999999999998"/>
    <s v="APROVADO"/>
    <s v="10"/>
    <x v="16"/>
    <s v="-"/>
    <n v="84"/>
    <s v="ATRASADO"/>
    <s v="ENTREGUE 4 PEÇAS NO DANFE 41640 EM 06/02-METALFISA"/>
  </r>
  <r>
    <s v="049278025433.11.10752.01"/>
    <x v="18"/>
    <s v="0254"/>
    <x v="194"/>
    <x v="194"/>
    <s v="METALFISA METALURGICA EIRELI LTDA"/>
    <d v="2025-09-19T00:00:00"/>
    <s v="MARCO"/>
    <n v="1"/>
    <n v="267.90277500000002"/>
    <n v="267.89999999999998"/>
    <s v="APROVADO"/>
    <s v="10"/>
    <x v="16"/>
    <s v="-"/>
    <n v="84"/>
    <s v="ATRASADO"/>
    <s v="ENTREGUE 4 PEÇAS NO DANFE 41640 EM 06/02-METALFISA"/>
  </r>
  <r>
    <s v="049278025533.11.10753.01"/>
    <x v="18"/>
    <s v="0255"/>
    <x v="195"/>
    <x v="195"/>
    <s v="METALFISA METALURGICA EIRELI LTDA"/>
    <d v="2025-09-19T00:00:00"/>
    <s v="MARCO"/>
    <n v="1"/>
    <n v="267.90277500000002"/>
    <n v="267.89999999999998"/>
    <s v="APROVADO"/>
    <s v="10"/>
    <x v="16"/>
    <s v="-"/>
    <n v="84"/>
    <s v="ATRASADO"/>
    <s v="ENTREGUE 4 PEÇAS NO DANFE 41640 EM 06/02-METALFISA"/>
  </r>
  <r>
    <s v="049278025633.11.10753.01"/>
    <x v="18"/>
    <s v="0256"/>
    <x v="195"/>
    <x v="195"/>
    <s v="METALFISA METALURGICA EIRELI LTDA"/>
    <d v="2025-09-19T00:00:00"/>
    <s v="MARCO"/>
    <n v="1"/>
    <n v="267.90277500000002"/>
    <n v="267.89999999999998"/>
    <s v="APROVADO"/>
    <s v="10"/>
    <x v="16"/>
    <s v="-"/>
    <n v="84"/>
    <s v="ATRASADO"/>
    <s v="ENTREGUE 4 PEÇAS NO DANFE 41640 EM 06/02-METALFISA"/>
  </r>
  <r>
    <s v="049278025733.11.10755.02"/>
    <x v="18"/>
    <s v="0257"/>
    <x v="196"/>
    <x v="196"/>
    <s v="METALFISA METALURGICA EIRELI LTDA"/>
    <d v="2025-09-19T00:00:00"/>
    <s v="MARCO"/>
    <n v="1"/>
    <n v="235.25837999999999"/>
    <n v="235.26"/>
    <s v="APROVADO"/>
    <s v="10"/>
    <x v="16"/>
    <s v="-"/>
    <n v="84"/>
    <s v="ATRASADO"/>
    <s v="ENTREGUE 4 PEÇAS NO DANFE 41640 EM 06/02-METALFISA"/>
  </r>
  <r>
    <s v="049278026233.11.10758.01"/>
    <x v="18"/>
    <s v="0262"/>
    <x v="197"/>
    <x v="197"/>
    <s v="METALFISA METALURGICA EIRELI LTDA"/>
    <d v="2025-09-19T00:00:00"/>
    <s v="MARCO"/>
    <n v="24"/>
    <n v="37.702665000000003"/>
    <n v="904.86"/>
    <s v="APROVADO"/>
    <s v="10"/>
    <x v="16"/>
    <s v="-"/>
    <n v="84"/>
    <s v="ATRASADO"/>
    <s v="ENTREGUE 4 PEÇAS NO DANFE 41640 EM 06/02-METALFISA"/>
  </r>
  <r>
    <s v="049278026333.11.10760.00"/>
    <x v="18"/>
    <s v="0263"/>
    <x v="198"/>
    <x v="198"/>
    <s v="METALFISA METALURGICA EIRELI LTDA"/>
    <d v="2025-09-19T00:00:00"/>
    <s v="MARCO"/>
    <n v="8"/>
    <n v="81.283860000000004"/>
    <n v="650.27"/>
    <s v="APROVADO"/>
    <s v="10"/>
    <x v="16"/>
    <s v="-"/>
    <n v="84"/>
    <s v="ATRASADO"/>
    <s v="ENTREGUE 4 PEÇAS NO DANFE 41640 EM 06/02-METALFISA"/>
  </r>
  <r>
    <s v="049278026433.11.10770.00"/>
    <x v="18"/>
    <s v="0264"/>
    <x v="199"/>
    <x v="199"/>
    <s v="METALFISA METALURGICA EIRELI LTDA"/>
    <d v="2025-09-19T00:00:00"/>
    <s v="MARCO"/>
    <n v="1"/>
    <n v="113.65483500000001"/>
    <n v="113.65"/>
    <s v="APROVADO"/>
    <s v="10"/>
    <x v="16"/>
    <s v="-"/>
    <n v="84"/>
    <s v="ATRASADO"/>
    <s v="ENTREGUE 4 PEÇAS NO DANFE 41640 EM 06/02-METALFISA"/>
  </r>
  <r>
    <s v="049278026533.11.10772.00"/>
    <x v="18"/>
    <s v="0265"/>
    <x v="200"/>
    <x v="200"/>
    <s v="METALFISA METALURGICA EIRELI LTDA"/>
    <d v="2025-09-19T00:00:00"/>
    <s v="MARCO"/>
    <n v="1"/>
    <n v="218.20868999999999"/>
    <n v="218.21"/>
    <s v="APROVADO"/>
    <s v="10"/>
    <x v="16"/>
    <s v="-"/>
    <n v="84"/>
    <s v="ATRASADO"/>
    <s v="ENTREGUE 4 PEÇAS NO DANFE 41640 EM 06/02-METALFISA"/>
  </r>
  <r>
    <s v="049278026633.11.10773.00"/>
    <x v="18"/>
    <s v="0266"/>
    <x v="201"/>
    <x v="201"/>
    <s v="METALFISA METALURGICA EIRELI LTDA"/>
    <d v="2025-09-19T00:00:00"/>
    <s v="MARCO"/>
    <n v="1"/>
    <n v="187.82977500000001"/>
    <n v="187.83"/>
    <s v="APROVADO"/>
    <s v="10"/>
    <x v="16"/>
    <s v="-"/>
    <n v="84"/>
    <s v="ATRASADO"/>
    <s v="ENTREGUE 4 PEÇAS NO DANFE 41640 EM 06/02-METALFISA"/>
  </r>
  <r>
    <s v="049278026733.11.10774.00"/>
    <x v="18"/>
    <s v="0267"/>
    <x v="202"/>
    <x v="202"/>
    <s v="METALFISA METALURGICA EIRELI LTDA"/>
    <d v="2025-09-19T00:00:00"/>
    <s v="MARCO"/>
    <n v="1"/>
    <n v="124.415865"/>
    <n v="124.42"/>
    <s v="APROVADO"/>
    <s v="10"/>
    <x v="16"/>
    <s v="-"/>
    <n v="84"/>
    <s v="ATRASADO"/>
    <s v="ENTREGUE 4 PEÇAS NO DANFE 41640 EM 06/02-METALFISA"/>
  </r>
  <r>
    <s v="049278026833.11.10774.00"/>
    <x v="18"/>
    <s v="0268"/>
    <x v="202"/>
    <x v="202"/>
    <s v="METALFISA METALURGICA EIRELI LTDA"/>
    <d v="2025-09-19T00:00:00"/>
    <s v="MARCO"/>
    <n v="1"/>
    <n v="124.415865"/>
    <n v="124.42"/>
    <s v="APROVADO"/>
    <s v="10"/>
    <x v="16"/>
    <s v="-"/>
    <n v="84"/>
    <s v="ATRASADO"/>
    <s v="-"/>
  </r>
  <r>
    <s v="049278026933.11.10775.00"/>
    <x v="18"/>
    <s v="0269"/>
    <x v="203"/>
    <x v="203"/>
    <s v="METALFISA METALURGICA EIRELI LTDA"/>
    <d v="2025-09-19T00:00:00"/>
    <s v="MARCO"/>
    <n v="1"/>
    <n v="117.34600500000001"/>
    <n v="117.35"/>
    <s v="APROVADO"/>
    <s v="10"/>
    <x v="16"/>
    <s v="-"/>
    <n v="84"/>
    <s v="ATRASADO"/>
    <s v="-"/>
  </r>
  <r>
    <s v="049278027033.11.10775.00"/>
    <x v="18"/>
    <s v="0270"/>
    <x v="203"/>
    <x v="203"/>
    <s v="METALFISA METALURGICA EIRELI LTDA"/>
    <d v="2025-09-19T00:00:00"/>
    <s v="MARCO"/>
    <n v="1"/>
    <n v="117.34600500000001"/>
    <n v="117.35"/>
    <s v="APROVADO"/>
    <s v="10"/>
    <x v="16"/>
    <s v="-"/>
    <n v="84"/>
    <s v="ATRASADO"/>
    <s v="-"/>
  </r>
  <r>
    <s v="049278027133.11.10776.00"/>
    <x v="18"/>
    <s v="0271"/>
    <x v="204"/>
    <x v="204"/>
    <s v="METALFISA METALURGICA EIRELI LTDA"/>
    <d v="2025-09-19T00:00:00"/>
    <s v="MARCO"/>
    <n v="1"/>
    <n v="394.00798500000002"/>
    <n v="394.01"/>
    <s v="APROVADO"/>
    <s v="10"/>
    <x v="16"/>
    <s v="-"/>
    <n v="84"/>
    <s v="ATRASADO"/>
    <s v="ENTREGUE 2 PEÇAS NO DANFE 41708 EM 06/02-METALFISA"/>
  </r>
  <r>
    <s v="049278027233.11.10776.00"/>
    <x v="18"/>
    <s v="0272"/>
    <x v="204"/>
    <x v="204"/>
    <s v="METALFISA METALURGICA EIRELI LTDA"/>
    <d v="2025-09-19T00:00:00"/>
    <s v="MARCO"/>
    <n v="1"/>
    <n v="394.00798500000002"/>
    <n v="394.01"/>
    <s v="APROVADO"/>
    <s v="10"/>
    <x v="16"/>
    <s v="-"/>
    <n v="84"/>
    <s v="ATRASADO"/>
    <s v="ENTREGUE 2 PEÇAS NO DANFE 41708 EM 06/02-METALFISA"/>
  </r>
  <r>
    <s v="049278027333.11.10785.01"/>
    <x v="18"/>
    <s v="0273"/>
    <x v="205"/>
    <x v="205"/>
    <s v="METALFISA METALURGICA EIRELI LTDA"/>
    <d v="2025-09-19T00:00:00"/>
    <s v="MARCO"/>
    <n v="1"/>
    <n v="144.25834499999999"/>
    <n v="144.26"/>
    <s v="APROVADO"/>
    <s v="10"/>
    <x v="16"/>
    <s v="-"/>
    <n v="84"/>
    <s v="ATRASADO"/>
    <s v="ENTREGUE 1 PEÇA NO DANFE 34.708 EM 06/02-GRANATO"/>
  </r>
  <r>
    <s v="049278027433.11.10786.01"/>
    <x v="18"/>
    <s v="0274"/>
    <x v="206"/>
    <x v="206"/>
    <s v="METALFISA METALURGICA EIRELI LTDA"/>
    <d v="2025-09-19T00:00:00"/>
    <s v="MARCO"/>
    <n v="1"/>
    <n v="117.64872"/>
    <n v="117.65"/>
    <s v="APROVADO"/>
    <s v="10"/>
    <x v="16"/>
    <s v="-"/>
    <n v="84"/>
    <s v="ATRASADO"/>
    <s v="ENTREGUE 2 PEÇAS NO DANFE 34.708 EM 06/02-GRANATO"/>
  </r>
  <r>
    <s v="049278027533.11.10786.01"/>
    <x v="18"/>
    <s v="0275"/>
    <x v="206"/>
    <x v="206"/>
    <s v="METALFISA METALURGICA EIRELI LTDA"/>
    <d v="2025-09-19T00:00:00"/>
    <s v="MARCO"/>
    <n v="1"/>
    <n v="117.64872"/>
    <n v="117.65"/>
    <s v="APROVADO"/>
    <s v="10"/>
    <x v="16"/>
    <s v="-"/>
    <n v="84"/>
    <s v="ATRASADO"/>
    <s v="-"/>
  </r>
  <r>
    <s v="049278027633.11.10787.00"/>
    <x v="18"/>
    <s v="0276"/>
    <x v="207"/>
    <x v="207"/>
    <s v="METALFISA METALURGICA EIRELI LTDA"/>
    <d v="2025-09-19T00:00:00"/>
    <s v="MARCO"/>
    <n v="1"/>
    <n v="122.482395"/>
    <n v="122.48"/>
    <s v="APROVADO"/>
    <s v="10"/>
    <x v="16"/>
    <s v="-"/>
    <n v="84"/>
    <s v="ATRASADO"/>
    <s v="-"/>
  </r>
  <r>
    <s v="049278027733.11.10787.00"/>
    <x v="18"/>
    <s v="0277"/>
    <x v="207"/>
    <x v="207"/>
    <s v="METALFISA METALURGICA EIRELI LTDA"/>
    <d v="2025-09-19T00:00:00"/>
    <s v="MARCO"/>
    <n v="1"/>
    <n v="122.482395"/>
    <n v="122.48"/>
    <s v="APROVADO"/>
    <s v="10"/>
    <x v="16"/>
    <s v="-"/>
    <n v="84"/>
    <s v="ATRASADO"/>
    <s v="-"/>
  </r>
  <r>
    <s v="049278028033.11.10794.00"/>
    <x v="18"/>
    <s v="0280"/>
    <x v="208"/>
    <x v="208"/>
    <s v="METALFISA METALURGICA EIRELI LTDA"/>
    <d v="2025-09-19T00:00:00"/>
    <s v="MARCO"/>
    <n v="1"/>
    <n v="182.322315"/>
    <n v="182.32"/>
    <s v="APROVADO"/>
    <s v="10"/>
    <x v="16"/>
    <s v="-"/>
    <n v="84"/>
    <s v="ATRASADO"/>
    <s v="-"/>
  </r>
  <r>
    <s v="049278028133.11.10794.00"/>
    <x v="18"/>
    <s v="0281"/>
    <x v="208"/>
    <x v="208"/>
    <s v="METALFISA METALURGICA EIRELI LTDA"/>
    <d v="2025-09-19T00:00:00"/>
    <s v="MARCO"/>
    <n v="1"/>
    <n v="182.322315"/>
    <n v="182.32"/>
    <s v="APROVADO"/>
    <s v="10"/>
    <x v="16"/>
    <s v="-"/>
    <n v="84"/>
    <s v="ATRASADO"/>
    <s v="-"/>
  </r>
  <r>
    <s v="049278028433.11.10796.00"/>
    <x v="18"/>
    <s v="0284"/>
    <x v="209"/>
    <x v="209"/>
    <s v="METALFISA METALURGICA EIRELI LTDA"/>
    <d v="2025-09-19T00:00:00"/>
    <s v="MARCO"/>
    <n v="1"/>
    <n v="216.55840499999999"/>
    <n v="216.56"/>
    <s v="APROVADO"/>
    <s v="10"/>
    <x v="16"/>
    <s v="-"/>
    <n v="84"/>
    <s v="ATRASADO"/>
    <s v="-"/>
  </r>
  <r>
    <s v="049278028733.11.10798.00"/>
    <x v="18"/>
    <s v="0287"/>
    <x v="210"/>
    <x v="210"/>
    <s v="METALFISA METALURGICA EIRELI LTDA"/>
    <d v="2025-09-19T00:00:00"/>
    <s v="MARCO"/>
    <n v="1"/>
    <n v="275.40229499999998"/>
    <n v="275.39999999999998"/>
    <s v="APROVADO"/>
    <s v="10"/>
    <x v="16"/>
    <s v="-"/>
    <n v="84"/>
    <s v="ATRASADO"/>
    <s v="ENTREGUE 2 PEÇAS NO DANFE 41640 EM 06/02-METALFISA"/>
  </r>
  <r>
    <s v="049278028833.11.10799.00"/>
    <x v="18"/>
    <s v="0288"/>
    <x v="211"/>
    <x v="211"/>
    <s v="METALFISA METALURGICA EIRELI LTDA"/>
    <d v="2025-09-19T00:00:00"/>
    <s v="MARCO"/>
    <n v="1"/>
    <n v="273.70318500000002"/>
    <n v="273.7"/>
    <s v="APROVADO"/>
    <s v="10"/>
    <x v="16"/>
    <s v="-"/>
    <n v="84"/>
    <s v="ATRASADO"/>
    <s v="ENTREGUE 2 PEÇAS NO DANFE 41640 EM 06/02-METALFISA"/>
  </r>
  <r>
    <s v="049278028933.11.10803.00"/>
    <x v="18"/>
    <s v="0289"/>
    <x v="212"/>
    <x v="212"/>
    <s v="METALFISA METALURGICA EIRELI LTDA"/>
    <d v="2025-09-19T00:00:00"/>
    <s v="MARCO"/>
    <n v="1"/>
    <n v="144.34622999999999"/>
    <n v="144.35"/>
    <s v="APROVADO"/>
    <s v="10"/>
    <x v="16"/>
    <s v="-"/>
    <n v="84"/>
    <s v="ATRASADO"/>
    <s v="-"/>
  </r>
  <r>
    <s v="049278029033.11.10804.00"/>
    <x v="18"/>
    <s v="0290"/>
    <x v="213"/>
    <x v="213"/>
    <s v="METALFISA METALURGICA EIRELI LTDA"/>
    <d v="2025-09-19T00:00:00"/>
    <s v="MARCO"/>
    <n v="2"/>
    <n v="49.176540000000003"/>
    <n v="98.35"/>
    <s v="APROVADO"/>
    <s v="10"/>
    <x v="16"/>
    <s v="-"/>
    <n v="84"/>
    <s v="ATRASADO"/>
    <s v="-"/>
  </r>
  <r>
    <s v="049278029133.11.10871.00"/>
    <x v="18"/>
    <s v="0291"/>
    <x v="214"/>
    <x v="214"/>
    <s v="METALFISA METALURGICA EIRELI LTDA"/>
    <d v="2025-09-19T00:00:00"/>
    <s v="MARCO"/>
    <n v="2"/>
    <n v="50.494815000000003"/>
    <n v="100.99"/>
    <s v="APROVADO"/>
    <s v="10"/>
    <x v="16"/>
    <s v="-"/>
    <n v="84"/>
    <s v="ATRASADO"/>
    <s v="-"/>
  </r>
  <r>
    <s v="049278030033.11.10896.00"/>
    <x v="18"/>
    <s v="0300"/>
    <x v="215"/>
    <x v="215"/>
    <s v="METALFISA METALURGICA EIRELI LTDA"/>
    <d v="2025-09-19T00:00:00"/>
    <s v="MARCO"/>
    <n v="1"/>
    <n v="77.114204999999998"/>
    <n v="77.11"/>
    <s v="APROVADO"/>
    <s v="10"/>
    <x v="16"/>
    <s v="-"/>
    <n v="84"/>
    <s v="ATRASADO"/>
    <s v="-"/>
  </r>
  <r>
    <s v="049278030133.11.10896.00"/>
    <x v="18"/>
    <s v="0301"/>
    <x v="215"/>
    <x v="215"/>
    <s v="METALFISA METALURGICA EIRELI LTDA"/>
    <d v="2025-09-19T00:00:00"/>
    <s v="MARCO"/>
    <n v="1"/>
    <n v="77.114204999999998"/>
    <n v="77.11"/>
    <s v="APROVADO"/>
    <s v="10"/>
    <x v="16"/>
    <s v="-"/>
    <n v="84"/>
    <s v="ATRASADO"/>
    <s v="-"/>
  </r>
  <r>
    <s v="049278030233.11.10897.00"/>
    <x v="18"/>
    <s v="0302"/>
    <x v="216"/>
    <x v="216"/>
    <s v="METALFISA METALURGICA EIRELI LTDA"/>
    <d v="2025-09-19T00:00:00"/>
    <s v="MARCO"/>
    <n v="1"/>
    <n v="77.114204999999998"/>
    <n v="77.11"/>
    <s v="APROVADO"/>
    <s v="10"/>
    <x v="16"/>
    <s v="-"/>
    <n v="84"/>
    <s v="ATRASADO"/>
    <s v="-"/>
  </r>
  <r>
    <s v="049278030333.11.10897.00"/>
    <x v="18"/>
    <s v="0303"/>
    <x v="216"/>
    <x v="216"/>
    <s v="METALFISA METALURGICA EIRELI LTDA"/>
    <d v="2025-09-19T00:00:00"/>
    <s v="MARCO"/>
    <n v="1"/>
    <n v="77.114204999999998"/>
    <n v="77.11"/>
    <s v="APROVADO"/>
    <s v="10"/>
    <x v="16"/>
    <s v="-"/>
    <n v="84"/>
    <s v="ATRASADO"/>
    <s v="-"/>
  </r>
  <r>
    <s v="049278030433.11.10898.00"/>
    <x v="18"/>
    <s v="0304"/>
    <x v="217"/>
    <x v="217"/>
    <s v="METALFISA METALURGICA EIRELI LTDA"/>
    <d v="2025-09-19T00:00:00"/>
    <s v="MARCO"/>
    <n v="2"/>
    <n v="53.033715000000001"/>
    <n v="106.07"/>
    <s v="APROVADO"/>
    <s v="10"/>
    <x v="16"/>
    <s v="-"/>
    <n v="84"/>
    <s v="ATRASADO"/>
    <s v="-"/>
  </r>
  <r>
    <s v="049278031633.11.10926.00"/>
    <x v="18"/>
    <s v="0316"/>
    <x v="218"/>
    <x v="218"/>
    <s v="METALFISA METALURGICA EIRELI LTDA"/>
    <d v="2025-09-19T00:00:00"/>
    <s v="MARCO"/>
    <n v="2"/>
    <n v="154.863135"/>
    <n v="309.73"/>
    <s v="APROVADO"/>
    <s v="10"/>
    <x v="16"/>
    <s v="-"/>
    <n v="84"/>
    <s v="ATRASADO"/>
    <s v="-"/>
  </r>
  <r>
    <s v="049278032033.11.10936.00"/>
    <x v="18"/>
    <s v="0320"/>
    <x v="219"/>
    <x v="219"/>
    <s v="METALFISA METALURGICA EIRELI LTDA"/>
    <d v="2025-09-19T00:00:00"/>
    <s v="MARCO"/>
    <n v="2"/>
    <n v="137.43261000000001"/>
    <n v="274.87"/>
    <s v="APROVADO"/>
    <s v="10"/>
    <x v="16"/>
    <s v="-"/>
    <n v="84"/>
    <s v="ATRASADO"/>
    <s v="-"/>
  </r>
  <r>
    <s v="049278032133.11.10937.00"/>
    <x v="18"/>
    <s v="0321"/>
    <x v="220"/>
    <x v="220"/>
    <s v="METALFISA METALURGICA EIRELI LTDA"/>
    <d v="2025-09-19T00:00:00"/>
    <s v="MARCO"/>
    <n v="38"/>
    <n v="13.993245"/>
    <n v="531.74"/>
    <s v="APROVADO"/>
    <s v="10"/>
    <x v="16"/>
    <s v="-"/>
    <n v="84"/>
    <s v="ATRASADO"/>
    <s v="-"/>
  </r>
  <r>
    <s v="049278032233.11.10940.00"/>
    <x v="18"/>
    <s v="0322"/>
    <x v="221"/>
    <x v="221"/>
    <s v="METALFISA METALURGICA EIRELI LTDA"/>
    <d v="2025-09-19T00:00:00"/>
    <s v="MARCO"/>
    <n v="4"/>
    <n v="14.8428"/>
    <n v="59.37"/>
    <s v="APROVADO"/>
    <s v="10"/>
    <x v="16"/>
    <s v="-"/>
    <n v="84"/>
    <s v="ATRASADO"/>
    <s v="-"/>
  </r>
  <r>
    <s v="049278032333.11.10942.00"/>
    <x v="18"/>
    <s v="0323"/>
    <x v="222"/>
    <x v="222"/>
    <s v="METALFISA METALURGICA EIRELI LTDA"/>
    <d v="2025-09-19T00:00:00"/>
    <s v="MARCO"/>
    <n v="2"/>
    <n v="144.07281"/>
    <n v="288.14999999999998"/>
    <s v="APROVADO"/>
    <s v="10"/>
    <x v="16"/>
    <s v="-"/>
    <n v="84"/>
    <s v="ATRASADO"/>
    <s v="-"/>
  </r>
  <r>
    <s v="049278032533.11.10966.00"/>
    <x v="18"/>
    <s v="0325"/>
    <x v="223"/>
    <x v="223"/>
    <s v="METALFISA METALURGICA EIRELI LTDA"/>
    <d v="2025-09-19T00:00:00"/>
    <s v="MARCO"/>
    <n v="1"/>
    <n v="84.086415000000002"/>
    <n v="84.09"/>
    <s v="APROVADO"/>
    <s v="10"/>
    <x v="16"/>
    <s v="-"/>
    <n v="84"/>
    <s v="ATRASADO"/>
    <s v="-"/>
  </r>
  <r>
    <s v="049278032633.11.10966.00"/>
    <x v="18"/>
    <s v="0326"/>
    <x v="223"/>
    <x v="223"/>
    <s v="METALFISA METALURGICA EIRELI LTDA"/>
    <d v="2025-09-19T00:00:00"/>
    <s v="MARCO"/>
    <n v="1"/>
    <n v="84.086415000000002"/>
    <n v="84.09"/>
    <s v="APROVADO"/>
    <s v="10"/>
    <x v="16"/>
    <s v="-"/>
    <n v="84"/>
    <s v="ATRASADO"/>
    <s v="-"/>
  </r>
  <r>
    <s v="049278033033.11.10986.00"/>
    <x v="18"/>
    <s v="0330"/>
    <x v="224"/>
    <x v="224"/>
    <s v="METALFISA METALURGICA EIRELI LTDA"/>
    <d v="2025-09-19T00:00:00"/>
    <s v="MARCO"/>
    <n v="1"/>
    <n v="776.88387"/>
    <n v="776.88"/>
    <s v="APROVADO"/>
    <s v="10"/>
    <x v="16"/>
    <s v="-"/>
    <n v="84"/>
    <s v="ATRASADO"/>
    <s v="-"/>
  </r>
  <r>
    <s v="049278033133.11.10986.00"/>
    <x v="18"/>
    <s v="0331"/>
    <x v="224"/>
    <x v="224"/>
    <s v="METALFISA METALURGICA EIRELI LTDA"/>
    <d v="2025-09-19T00:00:00"/>
    <s v="MARCO"/>
    <n v="1"/>
    <n v="776.88387"/>
    <n v="776.88"/>
    <s v="APROVADO"/>
    <s v="10"/>
    <x v="16"/>
    <s v="-"/>
    <n v="84"/>
    <s v="ATRASADO"/>
    <s v="-"/>
  </r>
  <r>
    <s v="049278033233.11.10987.00"/>
    <x v="18"/>
    <s v="0332"/>
    <x v="225"/>
    <x v="225"/>
    <s v="METALFISA METALURGICA EIRELI LTDA"/>
    <d v="2025-09-19T00:00:00"/>
    <s v="MARCO"/>
    <n v="1"/>
    <n v="1025.4910050000001"/>
    <n v="1025.49"/>
    <s v="APROVADO"/>
    <s v="10"/>
    <x v="16"/>
    <s v="-"/>
    <n v="84"/>
    <s v="ATRASADO"/>
    <s v="-"/>
  </r>
  <r>
    <s v="049278033333.11.10987.00"/>
    <x v="18"/>
    <s v="0333"/>
    <x v="225"/>
    <x v="225"/>
    <s v="METALFISA METALURGICA EIRELI LTDA"/>
    <d v="2025-09-19T00:00:00"/>
    <s v="MARCO"/>
    <n v="1"/>
    <n v="1025.4910050000001"/>
    <n v="1025.49"/>
    <s v="APROVADO"/>
    <s v="10"/>
    <x v="16"/>
    <s v="-"/>
    <n v="84"/>
    <s v="ATRASADO"/>
    <s v="-"/>
  </r>
  <r>
    <s v="049278033833.11.11008.00"/>
    <x v="18"/>
    <s v="0338"/>
    <x v="226"/>
    <x v="226"/>
    <s v="METALFISA METALURGICA EIRELI LTDA"/>
    <d v="2025-09-19T00:00:00"/>
    <s v="MARCO"/>
    <n v="1"/>
    <n v="184.71474000000001"/>
    <n v="184.71"/>
    <s v="APROVADO"/>
    <s v="10"/>
    <x v="16"/>
    <s v="-"/>
    <n v="84"/>
    <s v="ATRASADO"/>
    <s v="-"/>
  </r>
  <r>
    <s v="049278033933.11.11008.00"/>
    <x v="18"/>
    <s v="0339"/>
    <x v="226"/>
    <x v="226"/>
    <s v="METALFISA METALURGICA EIRELI LTDA"/>
    <d v="2025-09-19T00:00:00"/>
    <s v="MARCO"/>
    <n v="1"/>
    <n v="184.71474000000001"/>
    <n v="184.71"/>
    <s v="APROVADO"/>
    <s v="10"/>
    <x v="16"/>
    <s v="-"/>
    <n v="84"/>
    <s v="ATRASADO"/>
    <s v="-"/>
  </r>
  <r>
    <s v="049278034033.11.11009.00"/>
    <x v="18"/>
    <s v="0340"/>
    <x v="227"/>
    <x v="227"/>
    <s v="METALFISA METALURGICA EIRELI LTDA"/>
    <d v="2025-09-19T00:00:00"/>
    <s v="MARCO"/>
    <n v="1"/>
    <n v="194.85081"/>
    <n v="194.85"/>
    <s v="APROVADO"/>
    <s v="10"/>
    <x v="16"/>
    <s v="-"/>
    <n v="84"/>
    <s v="ATRASADO"/>
    <s v="ENTREGUE 4 PEÇAS NO DANFE 41640 EM 06/02-METALFISA"/>
  </r>
  <r>
    <s v="049278034133.11.11009.00"/>
    <x v="18"/>
    <s v="0341"/>
    <x v="227"/>
    <x v="227"/>
    <s v="METALFISA METALURGICA EIRELI LTDA"/>
    <d v="2025-09-19T00:00:00"/>
    <s v="MARCO"/>
    <n v="1"/>
    <n v="194.85081"/>
    <n v="194.85"/>
    <s v="APROVADO"/>
    <s v="10"/>
    <x v="16"/>
    <s v="-"/>
    <n v="84"/>
    <s v="ATRASADO"/>
    <s v="ENTREGUE 4 PEÇAS NO DANFE 41640 EM 06/02-METALFISA"/>
  </r>
  <r>
    <s v="049278034233.11.11011.00"/>
    <x v="18"/>
    <s v="0342"/>
    <x v="228"/>
    <x v="228"/>
    <s v="METALFISA METALURGICA EIRELI LTDA"/>
    <d v="2025-09-19T00:00:00"/>
    <s v="MARCO"/>
    <n v="1"/>
    <n v="86.996385000000004"/>
    <n v="87"/>
    <s v="APROVADO"/>
    <s v="10"/>
    <x v="16"/>
    <s v="-"/>
    <n v="84"/>
    <s v="ATRASADO"/>
    <s v="ENTREGUE 4 PEÇAS NO DANFE 41640 EM 06/02-METALFISA"/>
  </r>
  <r>
    <s v="049278034333.11.11011.00"/>
    <x v="18"/>
    <s v="0343"/>
    <x v="228"/>
    <x v="228"/>
    <s v="METALFISA METALURGICA EIRELI LTDA"/>
    <d v="2025-09-19T00:00:00"/>
    <s v="MARCO"/>
    <n v="1"/>
    <n v="86.996385000000004"/>
    <n v="87"/>
    <s v="APROVADO"/>
    <s v="10"/>
    <x v="16"/>
    <s v="-"/>
    <n v="84"/>
    <s v="ATRASADO"/>
    <s v="ENTREGUE 4 PEÇAS NO DANFE 41640 EM 06/02-METALFISA"/>
  </r>
  <r>
    <s v="049278034533.11.11019.00"/>
    <x v="18"/>
    <s v="0345"/>
    <x v="229"/>
    <x v="229"/>
    <s v="METALFISA METALURGICA EIRELI LTDA"/>
    <d v="2025-09-19T00:00:00"/>
    <s v="MARCO"/>
    <n v="1"/>
    <n v="77.846580000000003"/>
    <n v="77.849999999999994"/>
    <s v="APROVADO"/>
    <s v="10"/>
    <x v="16"/>
    <s v="-"/>
    <n v="84"/>
    <s v="ATRASADO"/>
    <s v="-"/>
  </r>
  <r>
    <s v="049278034633.11.11019.00"/>
    <x v="18"/>
    <s v="0346"/>
    <x v="229"/>
    <x v="229"/>
    <s v="METALFISA METALURGICA EIRELI LTDA"/>
    <d v="2025-09-19T00:00:00"/>
    <s v="MARCO"/>
    <n v="1"/>
    <n v="77.846580000000003"/>
    <n v="77.849999999999994"/>
    <s v="APROVADO"/>
    <s v="10"/>
    <x v="16"/>
    <s v="-"/>
    <n v="84"/>
    <s v="ATRASADO"/>
    <s v="-"/>
  </r>
  <r>
    <s v="049278035133.11.11022.00"/>
    <x v="18"/>
    <s v="0351"/>
    <x v="230"/>
    <x v="230"/>
    <s v="METALFISA METALURGICA EIRELI LTDA"/>
    <d v="2025-09-19T00:00:00"/>
    <s v="MARCO"/>
    <n v="1"/>
    <n v="84.760199999999998"/>
    <n v="84.76"/>
    <s v="APROVADO"/>
    <s v="10"/>
    <x v="16"/>
    <s v="-"/>
    <n v="84"/>
    <s v="ATRASADO"/>
    <s v="-"/>
  </r>
  <r>
    <s v="049278035233.11.11022.00"/>
    <x v="18"/>
    <s v="0352"/>
    <x v="230"/>
    <x v="230"/>
    <s v="METALFISA METALURGICA EIRELI LTDA"/>
    <d v="2025-09-19T00:00:00"/>
    <s v="MARCO"/>
    <n v="1"/>
    <n v="84.760199999999998"/>
    <n v="84.76"/>
    <s v="APROVADO"/>
    <s v="10"/>
    <x v="16"/>
    <s v="-"/>
    <n v="84"/>
    <s v="ATRASADO"/>
    <s v="-"/>
  </r>
  <r>
    <s v="049278035333.11.11023.00"/>
    <x v="18"/>
    <s v="0353"/>
    <x v="231"/>
    <x v="231"/>
    <s v="METALFISA METALURGICA EIRELI LTDA"/>
    <d v="2025-09-19T00:00:00"/>
    <s v="MARCO"/>
    <n v="1"/>
    <n v="75.854519999999994"/>
    <n v="75.849999999999994"/>
    <s v="APROVADO"/>
    <s v="10"/>
    <x v="16"/>
    <s v="-"/>
    <n v="84"/>
    <s v="ATRASADO"/>
    <s v="-"/>
  </r>
  <r>
    <s v="049278035433.11.11023.00"/>
    <x v="18"/>
    <s v="0354"/>
    <x v="231"/>
    <x v="231"/>
    <s v="METALFISA METALURGICA EIRELI LTDA"/>
    <d v="2025-09-19T00:00:00"/>
    <s v="MARCO"/>
    <n v="1"/>
    <n v="75.854519999999994"/>
    <n v="75.849999999999994"/>
    <s v="APROVADO"/>
    <s v="10"/>
    <x v="16"/>
    <s v="-"/>
    <n v="84"/>
    <s v="ATRASADO"/>
    <s v="-"/>
  </r>
  <r>
    <s v="049278035533.11.11024.00"/>
    <x v="18"/>
    <s v="0355"/>
    <x v="232"/>
    <x v="232"/>
    <s v="METALFISA METALURGICA EIRELI LTDA"/>
    <d v="2025-09-19T00:00:00"/>
    <s v="MARCO"/>
    <n v="1"/>
    <n v="22.771979999999999"/>
    <n v="22.77"/>
    <s v="APROVADO"/>
    <s v="10"/>
    <x v="16"/>
    <s v="-"/>
    <n v="84"/>
    <s v="ATRASADO"/>
    <s v="-"/>
  </r>
  <r>
    <s v="049278035633.11.11025.00"/>
    <x v="18"/>
    <s v="0356"/>
    <x v="233"/>
    <x v="233"/>
    <s v="METALFISA METALURGICA EIRELI LTDA"/>
    <d v="2025-09-19T00:00:00"/>
    <s v="MARCO"/>
    <n v="1"/>
    <n v="2102.5509750000001"/>
    <n v="2102.5500000000002"/>
    <s v="APROVADO"/>
    <s v="10"/>
    <x v="16"/>
    <s v="-"/>
    <n v="84"/>
    <s v="ATRASADO"/>
    <s v="ENTREGUE 2 PEÇAS NO DANFE 41640 EM 06/02-METALFISA"/>
  </r>
  <r>
    <s v="049278035733.11.11025.00"/>
    <x v="18"/>
    <s v="0357"/>
    <x v="233"/>
    <x v="233"/>
    <s v="METALFISA METALURGICA EIRELI LTDA"/>
    <d v="2025-09-19T00:00:00"/>
    <s v="MARCO"/>
    <n v="1"/>
    <n v="2102.5509750000001"/>
    <n v="2102.5500000000002"/>
    <s v="APROVADO"/>
    <s v="10"/>
    <x v="16"/>
    <s v="-"/>
    <n v="84"/>
    <s v="ATRASADO"/>
    <s v="ENTREGUE 2 PEÇAS NO DANFE 41640 EM 06/02-METALFISA"/>
  </r>
  <r>
    <s v="049278036133.11.11032.00"/>
    <x v="18"/>
    <s v="0361"/>
    <x v="234"/>
    <x v="234"/>
    <s v="METALFISA METALURGICA EIRELI LTDA"/>
    <d v="2025-09-19T00:00:00"/>
    <s v="MARCO"/>
    <n v="1"/>
    <n v="175.31104500000001"/>
    <n v="175.31"/>
    <s v="APROVADO"/>
    <s v="10"/>
    <x v="16"/>
    <s v="-"/>
    <n v="84"/>
    <s v="ATRASADO"/>
    <s v="ENTREGUE 2 PEÇAS NO DANFE 41640 EM 06/02-METALFISA"/>
  </r>
  <r>
    <s v="049278036333.11.11033.00"/>
    <x v="18"/>
    <s v="0363"/>
    <x v="235"/>
    <x v="235"/>
    <s v="METALFISA METALURGICA EIRELI LTDA"/>
    <d v="2025-09-19T00:00:00"/>
    <s v="MARCO"/>
    <n v="1"/>
    <n v="135.454025"/>
    <n v="135.44999999999999"/>
    <s v="APROVADO"/>
    <s v="10"/>
    <x v="16"/>
    <s v="-"/>
    <n v="84"/>
    <s v="ATRASADO"/>
    <s v="ENTREGUE 2 PEÇAS NO DANFE 41640 EM 06/02-METALFISA"/>
  </r>
  <r>
    <s v="049278036933.11.11049.00"/>
    <x v="18"/>
    <s v="0369"/>
    <x v="236"/>
    <x v="236"/>
    <s v="METALFISA METALURGICA EIRELI LTDA"/>
    <d v="2025-09-19T00:00:00"/>
    <s v="MARCO"/>
    <n v="1"/>
    <n v="114.670785"/>
    <n v="114.67"/>
    <s v="APROVADO"/>
    <s v="10"/>
    <x v="16"/>
    <s v="-"/>
    <n v="84"/>
    <s v="ATRASADO"/>
    <s v="-"/>
  </r>
  <r>
    <s v="049278037233.11.11060.00"/>
    <x v="18"/>
    <s v="0372"/>
    <x v="237"/>
    <x v="237"/>
    <s v="METALFISA METALURGICA EIRELI LTDA"/>
    <d v="2025-09-19T00:00:00"/>
    <s v="MARCO"/>
    <n v="1"/>
    <n v="783.58266000000003"/>
    <n v="783.58"/>
    <s v="APROVADO"/>
    <s v="10"/>
    <x v="16"/>
    <s v="-"/>
    <n v="84"/>
    <s v="ATRASADO"/>
    <s v="-"/>
  </r>
  <r>
    <s v="049278037333.11.11060.00"/>
    <x v="18"/>
    <s v="0373"/>
    <x v="237"/>
    <x v="237"/>
    <s v="METALFISA METALURGICA EIRELI LTDA"/>
    <d v="2025-09-19T00:00:00"/>
    <s v="MARCO"/>
    <n v="1"/>
    <n v="783.58266000000003"/>
    <n v="783.58"/>
    <s v="APROVADO"/>
    <s v="10"/>
    <x v="16"/>
    <s v="-"/>
    <n v="84"/>
    <s v="ATRASADO"/>
    <s v="-"/>
  </r>
  <r>
    <s v="049278037433.11.11061.00"/>
    <x v="18"/>
    <s v="0374"/>
    <x v="238"/>
    <x v="238"/>
    <s v="METALFISA METALURGICA EIRELI LTDA"/>
    <d v="2025-09-19T00:00:00"/>
    <s v="MARCO"/>
    <n v="1"/>
    <n v="764.99009999999998"/>
    <n v="764.99"/>
    <s v="APROVADO"/>
    <s v="10"/>
    <x v="16"/>
    <s v="-"/>
    <n v="84"/>
    <s v="ATRASADO"/>
    <s v="-"/>
  </r>
  <r>
    <s v="049278037533.11.11061.00"/>
    <x v="18"/>
    <s v="0375"/>
    <x v="238"/>
    <x v="238"/>
    <s v="METALFISA METALURGICA EIRELI LTDA"/>
    <d v="2025-09-19T00:00:00"/>
    <s v="MARCO"/>
    <n v="1"/>
    <n v="764.99009999999998"/>
    <n v="764.99"/>
    <s v="APROVADO"/>
    <s v="10"/>
    <x v="16"/>
    <s v="-"/>
    <n v="84"/>
    <s v="ATRASADO"/>
    <s v="-"/>
  </r>
  <r>
    <s v="049278037633.11.11070.00"/>
    <x v="18"/>
    <s v="0376"/>
    <x v="239"/>
    <x v="239"/>
    <s v="METALFISA METALURGICA EIRELI LTDA"/>
    <d v="2025-09-19T00:00:00"/>
    <s v="MARCO"/>
    <n v="6"/>
    <n v="644.22634500000004"/>
    <n v="3865.36"/>
    <s v="APROVADO"/>
    <s v="10"/>
    <x v="16"/>
    <s v="-"/>
    <n v="84"/>
    <s v="ATRASADO"/>
    <s v="-"/>
  </r>
  <r>
    <s v="049278037733.11.11070.00"/>
    <x v="18"/>
    <s v="0377"/>
    <x v="239"/>
    <x v="239"/>
    <s v="METALFISA METALURGICA EIRELI LTDA"/>
    <d v="2025-09-19T00:00:00"/>
    <s v="MARCO"/>
    <n v="6"/>
    <n v="644.22634500000004"/>
    <n v="3865.36"/>
    <s v="APROVADO"/>
    <s v="10"/>
    <x v="16"/>
    <s v="-"/>
    <n v="84"/>
    <s v="ATRASADO"/>
    <s v="-"/>
  </r>
  <r>
    <s v="049278037833.11.11071.00"/>
    <x v="18"/>
    <s v="0378"/>
    <x v="240"/>
    <x v="240"/>
    <s v="METALFISA METALURGICA EIRELI LTDA"/>
    <d v="2025-09-19T00:00:00"/>
    <s v="MARCO"/>
    <n v="2"/>
    <n v="712.65946499999995"/>
    <n v="1425.32"/>
    <s v="APROVADO"/>
    <s v="10"/>
    <x v="16"/>
    <s v="-"/>
    <n v="84"/>
    <s v="ATRASADO"/>
    <s v="-"/>
  </r>
  <r>
    <s v="049278037933.11.11071.00"/>
    <x v="18"/>
    <s v="0379"/>
    <x v="240"/>
    <x v="240"/>
    <s v="METALFISA METALURGICA EIRELI LTDA"/>
    <d v="2025-09-19T00:00:00"/>
    <s v="MARCO"/>
    <n v="2"/>
    <n v="712.65946499999995"/>
    <n v="1425.32"/>
    <s v="APROVADO"/>
    <s v="10"/>
    <x v="16"/>
    <s v="-"/>
    <n v="84"/>
    <s v="ATRASADO"/>
    <s v="-"/>
  </r>
  <r>
    <s v="049278038233.11.11073.00"/>
    <x v="18"/>
    <s v="0382"/>
    <x v="241"/>
    <x v="241"/>
    <s v="METALFISA METALURGICA EIRELI LTDA"/>
    <d v="2025-09-19T00:00:00"/>
    <s v="MARCO"/>
    <n v="2"/>
    <n v="904.23900000000003"/>
    <n v="1808.48"/>
    <s v="APROVADO"/>
    <s v="10"/>
    <x v="16"/>
    <s v="-"/>
    <n v="84"/>
    <s v="ATRASADO"/>
    <s v="-"/>
  </r>
  <r>
    <s v="049278038333.11.11074.00"/>
    <x v="18"/>
    <s v="0383"/>
    <x v="242"/>
    <x v="242"/>
    <s v="METALFISA METALURGICA EIRELI LTDA"/>
    <d v="2025-09-19T00:00:00"/>
    <s v="MARCO"/>
    <n v="2"/>
    <n v="998.89114500000005"/>
    <n v="1997.78"/>
    <s v="APROVADO"/>
    <s v="10"/>
    <x v="16"/>
    <s v="-"/>
    <n v="84"/>
    <s v="ATRASADO"/>
    <s v="-"/>
  </r>
  <r>
    <s v="049278038433.11.11075.00"/>
    <x v="18"/>
    <s v="0384"/>
    <x v="243"/>
    <x v="243"/>
    <s v="METALFISA METALURGICA EIRELI LTDA"/>
    <d v="2025-09-19T00:00:00"/>
    <s v="MARCO"/>
    <n v="2"/>
    <n v="941.95142999999996"/>
    <n v="1883.9"/>
    <s v="APROVADO"/>
    <s v="10"/>
    <x v="16"/>
    <s v="-"/>
    <n v="84"/>
    <s v="ATRASADO"/>
    <s v="-"/>
  </r>
  <r>
    <s v="049278038733.11.11078.00"/>
    <x v="18"/>
    <s v="0387"/>
    <x v="244"/>
    <x v="244"/>
    <s v="METALFISA METALURGICA EIRELI LTDA"/>
    <d v="2025-09-19T00:00:00"/>
    <s v="MARCO"/>
    <n v="2"/>
    <n v="749.25868500000001"/>
    <n v="1498.52"/>
    <s v="APROVADO"/>
    <s v="10"/>
    <x v="16"/>
    <s v="-"/>
    <n v="84"/>
    <s v="ATRASADO"/>
    <s v="-"/>
  </r>
  <r>
    <s v="049278038833.11.11079.00"/>
    <x v="18"/>
    <s v="0388"/>
    <x v="245"/>
    <x v="245"/>
    <s v="METALFISA METALURGICA EIRELI LTDA"/>
    <d v="2025-09-19T00:00:00"/>
    <s v="MARCO"/>
    <n v="2"/>
    <n v="792.07821000000001"/>
    <n v="1584.16"/>
    <s v="APROVADO"/>
    <s v="10"/>
    <x v="16"/>
    <s v="-"/>
    <n v="84"/>
    <s v="ATRASADO"/>
    <s v="-"/>
  </r>
  <r>
    <s v="049278038933.11.11080.00"/>
    <x v="18"/>
    <s v="0389"/>
    <x v="246"/>
    <x v="246"/>
    <s v="METALFISA METALURGICA EIRELI LTDA"/>
    <d v="2025-09-19T00:00:00"/>
    <s v="MARCO"/>
    <n v="2"/>
    <n v="343.69870500000002"/>
    <n v="687.4"/>
    <s v="APROVADO"/>
    <s v="10"/>
    <x v="16"/>
    <s v="-"/>
    <n v="84"/>
    <s v="ATRASADO"/>
    <s v="-"/>
  </r>
  <r>
    <s v="049278039033.11.11081.00"/>
    <x v="18"/>
    <s v="0390"/>
    <x v="247"/>
    <x v="247"/>
    <s v="METALFISA METALURGICA EIRELI LTDA"/>
    <d v="2025-09-19T00:00:00"/>
    <s v="MARCO"/>
    <n v="2"/>
    <n v="309.69697500000001"/>
    <n v="619.39"/>
    <s v="APROVADO"/>
    <s v="10"/>
    <x v="16"/>
    <s v="-"/>
    <n v="84"/>
    <s v="ATRASADO"/>
    <s v="-"/>
  </r>
  <r>
    <s v="049278039133.11.11085.00"/>
    <x v="18"/>
    <s v="0391"/>
    <x v="248"/>
    <x v="248"/>
    <s v="METALFISA METALURGICA EIRELI LTDA"/>
    <d v="2025-09-19T00:00:00"/>
    <s v="MARCO"/>
    <n v="2"/>
    <n v="1205.6552549999999"/>
    <n v="2411.31"/>
    <s v="APROVADO"/>
    <s v="10"/>
    <x v="16"/>
    <s v="-"/>
    <n v="84"/>
    <s v="ATRASADO"/>
    <s v="-"/>
  </r>
  <r>
    <s v="049278039233.11.11086.00"/>
    <x v="18"/>
    <s v="0392"/>
    <x v="249"/>
    <x v="249"/>
    <s v="METALFISA METALURGICA EIRELI LTDA"/>
    <d v="2025-09-19T00:00:00"/>
    <s v="MARCO"/>
    <n v="2"/>
    <n v="866.76093000000003"/>
    <n v="1733.52"/>
    <s v="APROVADO"/>
    <s v="10"/>
    <x v="16"/>
    <s v="-"/>
    <n v="84"/>
    <s v="ATRASADO"/>
    <s v="-"/>
  </r>
  <r>
    <s v="049278039333.11.11087.00"/>
    <x v="18"/>
    <s v="0393"/>
    <x v="250"/>
    <x v="250"/>
    <s v="METALFISA METALURGICA EIRELI LTDA"/>
    <d v="2025-09-19T00:00:00"/>
    <s v="MARCO"/>
    <n v="2"/>
    <n v="1017.815715"/>
    <n v="2035.63"/>
    <s v="APROVADO"/>
    <s v="10"/>
    <x v="16"/>
    <s v="-"/>
    <n v="84"/>
    <s v="ATRASADO"/>
    <s v="-"/>
  </r>
  <r>
    <s v="049278039533.11.11089.00"/>
    <x v="18"/>
    <s v="0395"/>
    <x v="251"/>
    <x v="251"/>
    <s v="METALFISA METALURGICA EIRELI LTDA"/>
    <d v="2025-09-19T00:00:00"/>
    <s v="MARCO"/>
    <n v="2"/>
    <n v="952.36091999999996"/>
    <n v="1904.72"/>
    <s v="APROVADO"/>
    <s v="10"/>
    <x v="16"/>
    <s v="-"/>
    <n v="84"/>
    <s v="ATRASADO"/>
    <s v="-"/>
  </r>
  <r>
    <s v="049278039633.11.11090.00"/>
    <x v="18"/>
    <s v="0396"/>
    <x v="252"/>
    <x v="252"/>
    <s v="METALFISA METALURGICA EIRELI LTDA"/>
    <d v="2025-09-19T00:00:00"/>
    <s v="MARCO"/>
    <n v="3"/>
    <n v="445.47930000000002"/>
    <n v="1336.44"/>
    <s v="APROVADO"/>
    <s v="10"/>
    <x v="16"/>
    <s v="-"/>
    <n v="84"/>
    <s v="ATRASADO"/>
    <s v="-"/>
  </r>
  <r>
    <s v="049278039733.11.11091.00"/>
    <x v="18"/>
    <s v="0397"/>
    <x v="253"/>
    <x v="253"/>
    <s v="METALFISA METALURGICA EIRELI LTDA"/>
    <d v="2025-09-19T00:00:00"/>
    <s v="MARCO"/>
    <n v="2"/>
    <n v="925.80011999999999"/>
    <n v="1851.6"/>
    <s v="APROVADO"/>
    <s v="10"/>
    <x v="16"/>
    <s v="-"/>
    <n v="84"/>
    <s v="ATRASADO"/>
    <s v="-"/>
  </r>
  <r>
    <s v="049278039833.11.11092.00"/>
    <x v="18"/>
    <s v="0398"/>
    <x v="254"/>
    <x v="254"/>
    <s v="METALFISA METALURGICA EIRELI LTDA"/>
    <d v="2025-09-19T00:00:00"/>
    <s v="MARCO"/>
    <n v="2"/>
    <n v="545.70726000000002"/>
    <n v="1091.4100000000001"/>
    <s v="APROVADO"/>
    <s v="10"/>
    <x v="16"/>
    <s v="-"/>
    <n v="84"/>
    <s v="ATRASADO"/>
    <s v="-"/>
  </r>
  <r>
    <s v="049278039933.11.11093.00"/>
    <x v="18"/>
    <s v="0399"/>
    <x v="255"/>
    <x v="255"/>
    <s v="METALFISA METALURGICA EIRELI LTDA"/>
    <d v="2025-09-19T00:00:00"/>
    <s v="MARCO"/>
    <n v="2"/>
    <n v="372.72028499999999"/>
    <n v="745.44"/>
    <s v="APROVADO"/>
    <s v="10"/>
    <x v="16"/>
    <s v="-"/>
    <n v="84"/>
    <s v="ATRASADO"/>
    <s v="-"/>
  </r>
  <r>
    <s v="049278040033.11.11094.00"/>
    <x v="18"/>
    <s v="0400"/>
    <x v="256"/>
    <x v="256"/>
    <s v="METALFISA METALURGICA EIRELI LTDA"/>
    <d v="2025-09-19T00:00:00"/>
    <s v="MARCO"/>
    <n v="2"/>
    <n v="440.92881"/>
    <n v="881.86"/>
    <s v="APROVADO"/>
    <s v="10"/>
    <x v="16"/>
    <s v="-"/>
    <n v="84"/>
    <s v="ATRASADO"/>
    <s v="-"/>
  </r>
  <r>
    <s v="049278040133.11.11095.00"/>
    <x v="18"/>
    <s v="0401"/>
    <x v="257"/>
    <x v="257"/>
    <s v="METALFISA METALURGICA EIRELI LTDA"/>
    <d v="2025-09-19T00:00:00"/>
    <s v="MARCO"/>
    <n v="1"/>
    <n v="982.22229000000004"/>
    <n v="982.22"/>
    <s v="APROVADO"/>
    <s v="10"/>
    <x v="16"/>
    <s v="-"/>
    <n v="84"/>
    <s v="ATRASADO"/>
    <s v="-"/>
  </r>
  <r>
    <s v="049278040233.11.11095.00"/>
    <x v="18"/>
    <s v="0402"/>
    <x v="257"/>
    <x v="257"/>
    <s v="METALFISA METALURGICA EIRELI LTDA"/>
    <d v="2025-09-19T00:00:00"/>
    <s v="MARCO"/>
    <n v="2"/>
    <n v="982.22229000000004"/>
    <n v="1964.44"/>
    <s v="APROVADO"/>
    <s v="10"/>
    <x v="16"/>
    <s v="-"/>
    <n v="84"/>
    <s v="ATRASADO"/>
    <s v="-"/>
  </r>
  <r>
    <s v="049278040333.11.11096.00"/>
    <x v="18"/>
    <s v="0403"/>
    <x v="258"/>
    <x v="258"/>
    <s v="METALFISA METALURGICA EIRELI LTDA"/>
    <d v="2025-09-19T00:00:00"/>
    <s v="MARCO"/>
    <n v="1"/>
    <n v="227.124135"/>
    <n v="227.12"/>
    <s v="APROVADO"/>
    <s v="10"/>
    <x v="16"/>
    <s v="-"/>
    <n v="84"/>
    <s v="ATRASADO"/>
    <s v="-"/>
  </r>
  <r>
    <s v="049278040833.11.11099.00"/>
    <x v="18"/>
    <s v="0408"/>
    <x v="259"/>
    <x v="259"/>
    <s v="METALFISA METALURGICA EIRELI LTDA"/>
    <d v="2025-09-19T00:00:00"/>
    <s v="MARCO"/>
    <n v="1"/>
    <n v="1204.84476"/>
    <n v="1204.8399999999999"/>
    <s v="APROVADO"/>
    <s v="10"/>
    <x v="16"/>
    <s v="-"/>
    <n v="84"/>
    <s v="ATRASADO"/>
    <s v="-"/>
  </r>
  <r>
    <s v="049278040933.11.11099.00"/>
    <x v="18"/>
    <s v="0409"/>
    <x v="259"/>
    <x v="259"/>
    <s v="METALFISA METALURGICA EIRELI LTDA"/>
    <d v="2025-09-19T00:00:00"/>
    <s v="MARCO"/>
    <n v="1"/>
    <n v="1204.84476"/>
    <n v="1204.8399999999999"/>
    <s v="APROVADO"/>
    <s v="10"/>
    <x v="16"/>
    <s v="-"/>
    <n v="84"/>
    <s v="ATRASADO"/>
    <s v="-"/>
  </r>
  <r>
    <s v="049278041033.11.11100.00"/>
    <x v="18"/>
    <s v="0410"/>
    <x v="260"/>
    <x v="260"/>
    <s v="METALFISA METALURGICA EIRELI LTDA"/>
    <d v="2025-09-19T00:00:00"/>
    <s v="MARCO"/>
    <n v="1"/>
    <n v="441.09481499999998"/>
    <n v="441.09"/>
    <s v="APROVADO"/>
    <s v="10"/>
    <x v="16"/>
    <s v="-"/>
    <n v="84"/>
    <s v="ATRASADO"/>
    <s v="-"/>
  </r>
  <r>
    <s v="049278041133.11.11100.00"/>
    <x v="18"/>
    <s v="0411"/>
    <x v="260"/>
    <x v="260"/>
    <s v="METALFISA METALURGICA EIRELI LTDA"/>
    <d v="2025-09-19T00:00:00"/>
    <s v="MARCO"/>
    <n v="1"/>
    <n v="441.09481499999998"/>
    <n v="441.09"/>
    <s v="APROVADO"/>
    <s v="10"/>
    <x v="16"/>
    <s v="-"/>
    <n v="84"/>
    <s v="ATRASADO"/>
    <s v="-"/>
  </r>
  <r>
    <s v="049278041833.11.11105.00"/>
    <x v="18"/>
    <s v="0418"/>
    <x v="261"/>
    <x v="261"/>
    <s v="METALFISA METALURGICA EIRELI LTDA"/>
    <d v="2025-09-19T00:00:00"/>
    <s v="MARCO"/>
    <n v="1"/>
    <n v="1539.9112050000001"/>
    <n v="1539.91"/>
    <s v="APROVADO"/>
    <s v="10"/>
    <x v="16"/>
    <s v="-"/>
    <n v="84"/>
    <s v="ATRASADO"/>
    <s v="-"/>
  </r>
  <r>
    <s v="049278041933.11.11105.00"/>
    <x v="18"/>
    <s v="0419"/>
    <x v="261"/>
    <x v="261"/>
    <s v="METALFISA METALURGICA EIRELI LTDA"/>
    <d v="2025-09-19T00:00:00"/>
    <s v="MARCO"/>
    <n v="1"/>
    <n v="1539.9112050000001"/>
    <n v="1539.91"/>
    <s v="APROVADO"/>
    <s v="10"/>
    <x v="16"/>
    <s v="-"/>
    <n v="84"/>
    <s v="ATRASADO"/>
    <s v="-"/>
  </r>
  <r>
    <s v="049278042033.11.11106.00"/>
    <x v="18"/>
    <s v="0420"/>
    <x v="262"/>
    <x v="262"/>
    <s v="METALFISA METALURGICA EIRELI LTDA"/>
    <d v="2025-09-19T00:00:00"/>
    <s v="MARCO"/>
    <n v="2"/>
    <n v="741.62245499999995"/>
    <n v="1483.24"/>
    <s v="APROVADO"/>
    <s v="10"/>
    <x v="16"/>
    <s v="-"/>
    <n v="84"/>
    <s v="ATRASADO"/>
    <s v="-"/>
  </r>
  <r>
    <s v="049278042133.11.11108.00"/>
    <x v="18"/>
    <s v="0421"/>
    <x v="263"/>
    <x v="263"/>
    <s v="METALFISA METALURGICA EIRELI LTDA"/>
    <d v="2025-09-19T00:00:00"/>
    <s v="MARCO"/>
    <n v="2"/>
    <n v="157.74381"/>
    <n v="315.49"/>
    <s v="APROVADO"/>
    <s v="10"/>
    <x v="16"/>
    <s v="-"/>
    <n v="84"/>
    <s v="ATRASADO"/>
    <s v="-"/>
  </r>
  <r>
    <s v="049278042233.11.11110.00"/>
    <x v="18"/>
    <s v="0422"/>
    <x v="264"/>
    <x v="264"/>
    <s v="METALFISA METALURGICA EIRELI LTDA"/>
    <d v="2025-09-19T00:00:00"/>
    <s v="MARCO"/>
    <n v="1"/>
    <n v="861.98584500000004"/>
    <n v="861.99"/>
    <s v="APROVADO"/>
    <s v="10"/>
    <x v="16"/>
    <s v="-"/>
    <n v="84"/>
    <s v="ATRASADO"/>
    <s v="-"/>
  </r>
  <r>
    <s v="049278042333.11.11110.00"/>
    <x v="18"/>
    <s v="0423"/>
    <x v="264"/>
    <x v="264"/>
    <s v="METALFISA METALURGICA EIRELI LTDA"/>
    <d v="2025-09-19T00:00:00"/>
    <s v="MARCO"/>
    <n v="1"/>
    <n v="861.98584500000004"/>
    <n v="861.99"/>
    <s v="APROVADO"/>
    <s v="10"/>
    <x v="16"/>
    <s v="-"/>
    <n v="84"/>
    <s v="ATRASADO"/>
    <s v="-"/>
  </r>
  <r>
    <s v="049278042433.11.11111.00"/>
    <x v="18"/>
    <s v="0424"/>
    <x v="265"/>
    <x v="265"/>
    <s v="METALFISA METALURGICA EIRELI LTDA"/>
    <d v="2025-09-19T00:00:00"/>
    <s v="MARCO"/>
    <n v="2"/>
    <n v="1111.1788799999999"/>
    <n v="2222.36"/>
    <s v="APROVADO"/>
    <s v="10"/>
    <x v="16"/>
    <s v="-"/>
    <n v="84"/>
    <s v="ATRASADO"/>
    <s v="-"/>
  </r>
  <r>
    <s v="049278042533.11.11112.00"/>
    <x v="18"/>
    <s v="0425"/>
    <x v="266"/>
    <x v="266"/>
    <s v="METALFISA METALURGICA EIRELI LTDA"/>
    <d v="2025-09-19T00:00:00"/>
    <s v="MARCO"/>
    <n v="2"/>
    <n v="144.336465"/>
    <n v="288.67"/>
    <s v="APROVADO"/>
    <s v="10"/>
    <x v="16"/>
    <s v="-"/>
    <n v="84"/>
    <s v="ATRASADO"/>
    <s v="-"/>
  </r>
  <r>
    <s v="049278042833.21.10308.00"/>
    <x v="18"/>
    <s v="0428"/>
    <x v="267"/>
    <x v="267"/>
    <s v="METALFISA METALURGICA EIRELI LTDA"/>
    <d v="2025-09-19T00:00:00"/>
    <s v="MARCO"/>
    <n v="2"/>
    <n v="61.900334999999998"/>
    <n v="123.8"/>
    <s v="APROVADO"/>
    <s v="10"/>
    <x v="16"/>
    <s v="-"/>
    <n v="84"/>
    <s v="ATRASADO"/>
    <s v="-"/>
  </r>
  <r>
    <s v="049278043133.99.10023.00"/>
    <x v="18"/>
    <s v="0431"/>
    <x v="28"/>
    <x v="28"/>
    <s v="METALFISA METALURGICA EIRELI LTDA"/>
    <d v="2025-09-19T00:00:00"/>
    <s v="MARCO"/>
    <n v="30"/>
    <n v="5.15"/>
    <n v="154.5"/>
    <s v="APROVADO"/>
    <s v="10"/>
    <x v="16"/>
    <s v="-"/>
    <n v="84"/>
    <s v="ATRASADO"/>
    <s v="-"/>
  </r>
  <r>
    <s v="049278043234.06.10002.00"/>
    <x v="18"/>
    <s v="0432"/>
    <x v="268"/>
    <x v="268"/>
    <s v="METALFISA METALURGICA EIRELI LTDA"/>
    <d v="2025-09-19T00:00:00"/>
    <s v="MARCO"/>
    <n v="2"/>
    <n v="41.432895000000002"/>
    <n v="82.87"/>
    <s v="APROVADO"/>
    <s v="10"/>
    <x v="16"/>
    <s v="-"/>
    <n v="84"/>
    <s v="ATRASADO"/>
    <s v="-"/>
  </r>
  <r>
    <s v="049541002133.03.11361.01"/>
    <x v="19"/>
    <s v="0021"/>
    <x v="269"/>
    <x v="269"/>
    <s v="METALFISA METALURGICA EIRELI LTDA"/>
    <d v="2025-09-26T00:00:00"/>
    <s v="MARCO"/>
    <n v="1"/>
    <n v="60.1"/>
    <n v="300.5"/>
    <s v="APROVADO"/>
    <s v="10"/>
    <x v="17"/>
    <s v="-"/>
    <n v="101"/>
    <s v="ATRASADO"/>
    <s v="-"/>
  </r>
  <r>
    <s v="049636000113.01.00054"/>
    <x v="20"/>
    <s v="0001"/>
    <x v="44"/>
    <x v="44"/>
    <s v="METALFISA METALURGICA EIRELI LTDA"/>
    <d v="2025-09-30T00:00:00"/>
    <s v="MARCO"/>
    <n v="4"/>
    <n v="7.6"/>
    <n v="30.4"/>
    <s v="APROVADO"/>
    <s v="10"/>
    <x v="18"/>
    <s v="-"/>
    <n v="38"/>
    <s v="ATRASADO"/>
    <s v="-"/>
  </r>
  <r>
    <s v="049636000213.03.00005"/>
    <x v="20"/>
    <s v="0002"/>
    <x v="270"/>
    <x v="270"/>
    <s v="METALFISA METALURGICA EIRELI LTDA"/>
    <d v="2025-09-30T00:00:00"/>
    <s v="MARCO"/>
    <n v="1"/>
    <n v="130.69999999999999"/>
    <n v="261.39999999999998"/>
    <s v="APROVADO"/>
    <s v="10"/>
    <x v="18"/>
    <s v="-"/>
    <n v="38"/>
    <s v="ATRASADO"/>
    <s v="-"/>
  </r>
  <r>
    <s v="049636000313.03.00055"/>
    <x v="20"/>
    <s v="0003"/>
    <x v="45"/>
    <x v="45"/>
    <s v="METALFISA METALURGICA EIRELI LTDA"/>
    <d v="2025-09-30T00:00:00"/>
    <s v="MARCO"/>
    <n v="4"/>
    <n v="74.2"/>
    <n v="296.8"/>
    <s v="APROVADO"/>
    <s v="10"/>
    <x v="18"/>
    <s v="-"/>
    <n v="38"/>
    <s v="ATRASADO"/>
    <s v="-"/>
  </r>
  <r>
    <s v="049636000413.03.00056"/>
    <x v="20"/>
    <s v="0004"/>
    <x v="46"/>
    <x v="46"/>
    <s v="METALFISA METALURGICA EIRELI LTDA"/>
    <d v="2025-09-30T00:00:00"/>
    <s v="MARCO"/>
    <n v="4"/>
    <n v="142.19999999999999"/>
    <n v="568.79999999999995"/>
    <s v="APROVADO"/>
    <s v="10"/>
    <x v="18"/>
    <s v="-"/>
    <n v="38"/>
    <s v="ATRASADO"/>
    <s v="ENTREGUE 4 PEÇAS NO DANFE 41640 EM 06/02-METALFISA"/>
  </r>
  <r>
    <s v="049636000513.03.00057"/>
    <x v="20"/>
    <s v="0005"/>
    <x v="271"/>
    <x v="271"/>
    <s v="METALFISA METALURGICA EIRELI LTDA"/>
    <d v="2025-09-30T00:00:00"/>
    <s v="MARCO"/>
    <n v="2"/>
    <n v="128.54"/>
    <n v="514.16"/>
    <s v="APROVADO"/>
    <s v="10"/>
    <x v="18"/>
    <s v="-"/>
    <n v="38"/>
    <s v="ATRASADO"/>
    <s v="-"/>
  </r>
  <r>
    <s v="049636000613.03.00059"/>
    <x v="20"/>
    <s v="0006"/>
    <x v="272"/>
    <x v="272"/>
    <s v="METALFISA METALURGICA EIRELI LTDA"/>
    <d v="2025-09-30T00:00:00"/>
    <s v="MARCO"/>
    <n v="8"/>
    <n v="11.1"/>
    <n v="88.8"/>
    <s v="APROVADO"/>
    <s v="10"/>
    <x v="18"/>
    <s v="-"/>
    <n v="38"/>
    <s v="ATRASADO"/>
    <s v="ENTREGUE 2 PEÇAS NO DANFE 41708 EM 06/02-METALFISA"/>
  </r>
  <r>
    <s v="049636000713.03.00062"/>
    <x v="20"/>
    <s v="0007"/>
    <x v="47"/>
    <x v="47"/>
    <s v="METALFISA METALURGICA EIRELI LTDA"/>
    <d v="2025-09-30T00:00:00"/>
    <s v="MARCO"/>
    <n v="2"/>
    <n v="145.1"/>
    <n v="290.2"/>
    <s v="APROVADO"/>
    <s v="10"/>
    <x v="18"/>
    <s v="-"/>
    <n v="38"/>
    <s v="ATRASADO"/>
    <s v="-"/>
  </r>
  <r>
    <s v="049636000813.03.00065"/>
    <x v="20"/>
    <s v="0008"/>
    <x v="48"/>
    <x v="48"/>
    <s v="METALFISA METALURGICA EIRELI LTDA"/>
    <d v="2025-09-30T00:00:00"/>
    <s v="MARCO"/>
    <n v="32"/>
    <n v="24.27"/>
    <n v="776.64"/>
    <s v="APROVADO"/>
    <s v="10"/>
    <x v="18"/>
    <s v="-"/>
    <n v="38"/>
    <s v="ATRASADO"/>
    <s v="-"/>
  </r>
  <r>
    <s v="049636001213.03.00081"/>
    <x v="20"/>
    <s v="0012"/>
    <x v="273"/>
    <x v="273"/>
    <s v="METALFISA METALURGICA EIRELI LTDA"/>
    <d v="2025-09-30T00:00:00"/>
    <s v="MARCO"/>
    <n v="8"/>
    <n v="204.73"/>
    <n v="1637.84"/>
    <s v="APROVADO"/>
    <s v="10"/>
    <x v="18"/>
    <s v="-"/>
    <n v="38"/>
    <s v="ATRASADO"/>
    <s v="ENTREGUE 3 PEÇAS NO DANFE 41640 EM 06/02-METALFISA"/>
  </r>
  <r>
    <s v="049636001413.03.00110"/>
    <x v="20"/>
    <s v="0014"/>
    <x v="274"/>
    <x v="274"/>
    <s v="METALFISA METALURGICA EIRELI LTDA"/>
    <d v="2025-09-30T00:00:00"/>
    <s v="MARCO"/>
    <n v="4"/>
    <n v="128.5"/>
    <n v="514"/>
    <s v="APROVADO"/>
    <s v="10"/>
    <x v="18"/>
    <s v="-"/>
    <n v="38"/>
    <s v="ATRASADO"/>
    <s v="-"/>
  </r>
  <r>
    <s v="049636001513.03.00111"/>
    <x v="20"/>
    <s v="0015"/>
    <x v="50"/>
    <x v="50"/>
    <s v="METALFISA METALURGICA EIRELI LTDA"/>
    <d v="2025-09-30T00:00:00"/>
    <s v="MARCO"/>
    <n v="4"/>
    <n v="336.7"/>
    <n v="1346.8"/>
    <s v="APROVADO"/>
    <s v="10"/>
    <x v="18"/>
    <s v="-"/>
    <n v="38"/>
    <s v="ATRASADO"/>
    <s v="-"/>
  </r>
  <r>
    <s v="049636001613.03.00112"/>
    <x v="20"/>
    <s v="0016"/>
    <x v="51"/>
    <x v="51"/>
    <s v="METALFISA METALURGICA EIRELI LTDA"/>
    <d v="2025-09-30T00:00:00"/>
    <s v="MARCO"/>
    <n v="4"/>
    <n v="24.4"/>
    <n v="97.6"/>
    <s v="APROVADO"/>
    <s v="10"/>
    <x v="18"/>
    <s v="-"/>
    <n v="38"/>
    <s v="ATRASADO"/>
    <s v="ENTREGUE 4 PEÇAS NO DANFE 41708 EM 06/02-METALFISA"/>
  </r>
  <r>
    <s v="049636001713.03.00123"/>
    <x v="20"/>
    <s v="0017"/>
    <x v="52"/>
    <x v="52"/>
    <s v="METALFISA METALURGICA EIRELI LTDA"/>
    <d v="2025-09-30T00:00:00"/>
    <s v="MARCO"/>
    <n v="2"/>
    <n v="1516.24"/>
    <n v="3032.48"/>
    <s v="APROVADO"/>
    <s v="10"/>
    <x v="18"/>
    <s v="-"/>
    <n v="38"/>
    <s v="ATRASADO"/>
    <s v="-"/>
  </r>
  <r>
    <s v="049636001913.03.00125"/>
    <x v="20"/>
    <s v="0019"/>
    <x v="275"/>
    <x v="275"/>
    <s v="METALFISA METALURGICA EIRELI LTDA"/>
    <d v="2025-09-30T00:00:00"/>
    <s v="MARCO"/>
    <n v="2"/>
    <n v="665"/>
    <n v="1330"/>
    <s v="APROVADO"/>
    <s v="10"/>
    <x v="18"/>
    <s v="-"/>
    <n v="38"/>
    <s v="ATRASADO"/>
    <s v="-"/>
  </r>
  <r>
    <s v="049636002013.03.00143"/>
    <x v="20"/>
    <s v="0020"/>
    <x v="53"/>
    <x v="53"/>
    <s v="METALFISA METALURGICA EIRELI LTDA"/>
    <d v="2025-09-30T00:00:00"/>
    <s v="MARCO"/>
    <n v="2"/>
    <n v="3194.7"/>
    <n v="6389.4"/>
    <s v="APROVADO"/>
    <s v="10"/>
    <x v="18"/>
    <s v="-"/>
    <n v="38"/>
    <s v="ATRASADO"/>
    <s v="-"/>
  </r>
  <r>
    <s v="049636002213.03.00164"/>
    <x v="20"/>
    <s v="0022"/>
    <x v="276"/>
    <x v="276"/>
    <s v="METALFISA METALURGICA EIRELI LTDA"/>
    <d v="2025-09-30T00:00:00"/>
    <s v="MARCO"/>
    <n v="2"/>
    <n v="487.29"/>
    <n v="974.58"/>
    <s v="APROVADO"/>
    <s v="10"/>
    <x v="18"/>
    <s v="-"/>
    <n v="38"/>
    <s v="ATRASADO"/>
    <s v="-"/>
  </r>
  <r>
    <s v="049636002313.03.00165"/>
    <x v="20"/>
    <s v="0023"/>
    <x v="54"/>
    <x v="54"/>
    <s v="METALFISA METALURGICA EIRELI LTDA"/>
    <d v="2025-09-30T00:00:00"/>
    <s v="MARCO"/>
    <n v="2"/>
    <n v="5147.33"/>
    <n v="10294.66"/>
    <s v="APROVADO"/>
    <s v="10"/>
    <x v="18"/>
    <s v="-"/>
    <n v="38"/>
    <s v="ATRASADO"/>
    <s v="-"/>
  </r>
  <r>
    <s v="049636002413.03.00166"/>
    <x v="20"/>
    <s v="0024"/>
    <x v="55"/>
    <x v="55"/>
    <s v="METALFISA METALURGICA EIRELI LTDA"/>
    <d v="2025-09-30T00:00:00"/>
    <s v="MARCO"/>
    <n v="2"/>
    <n v="1418.87"/>
    <n v="2837.74"/>
    <s v="APROVADO"/>
    <s v="10"/>
    <x v="18"/>
    <s v="-"/>
    <n v="38"/>
    <s v="ATRASADO"/>
    <s v="-"/>
  </r>
  <r>
    <s v="049636002513.03.00167"/>
    <x v="20"/>
    <s v="0025"/>
    <x v="277"/>
    <x v="277"/>
    <s v="METALFISA METALURGICA EIRELI LTDA"/>
    <d v="2025-09-30T00:00:00"/>
    <s v="MARCO"/>
    <n v="8"/>
    <n v="61.2"/>
    <n v="489.6"/>
    <s v="APROVADO"/>
    <s v="10"/>
    <x v="18"/>
    <s v="-"/>
    <n v="38"/>
    <s v="ATRASADO"/>
    <s v="-"/>
  </r>
  <r>
    <s v="049636002713.03.00186"/>
    <x v="20"/>
    <s v="0027"/>
    <x v="278"/>
    <x v="278"/>
    <s v="METALFISA METALURGICA EIRELI LTDA"/>
    <d v="2025-09-30T00:00:00"/>
    <s v="MARCO"/>
    <n v="10"/>
    <n v="8.5"/>
    <n v="85"/>
    <s v="APROVADO"/>
    <s v="10"/>
    <x v="18"/>
    <s v="-"/>
    <n v="38"/>
    <s v="ATRASADO"/>
    <s v="-"/>
  </r>
  <r>
    <s v="049636003113.03.00212"/>
    <x v="20"/>
    <s v="0031"/>
    <x v="56"/>
    <x v="56"/>
    <s v="METALFISA METALURGICA EIRELI LTDA"/>
    <d v="2025-09-30T00:00:00"/>
    <s v="MARCO"/>
    <n v="2"/>
    <n v="394.16"/>
    <n v="788.32"/>
    <s v="APROVADO"/>
    <s v="10"/>
    <x v="18"/>
    <s v="-"/>
    <n v="38"/>
    <s v="ATRASADO"/>
    <s v="ENTREGUE 2 PEÇAS NO DANFE 34.707 EM 06/02-GRANATO"/>
  </r>
  <r>
    <s v="049636003213.03.00215"/>
    <x v="20"/>
    <s v="0032"/>
    <x v="279"/>
    <x v="279"/>
    <s v="METALFISA METALURGICA EIRELI LTDA"/>
    <d v="2025-09-30T00:00:00"/>
    <s v="MARCO"/>
    <n v="2"/>
    <n v="441"/>
    <n v="882"/>
    <s v="APROVADO"/>
    <s v="10"/>
    <x v="18"/>
    <s v="-"/>
    <n v="38"/>
    <s v="ATRASADO"/>
    <s v="ENTREGUE 2 PEÇAS NO DANFE 34.706 EM 06/02-GRANATO"/>
  </r>
  <r>
    <s v="049636003413.03.00227"/>
    <x v="20"/>
    <s v="0034"/>
    <x v="280"/>
    <x v="280"/>
    <s v="METALFISA METALURGICA EIRELI LTDA"/>
    <d v="2025-09-30T00:00:00"/>
    <s v="MARCO"/>
    <n v="2"/>
    <n v="36.799999999999997"/>
    <n v="73.599999999999994"/>
    <s v="APROVADO"/>
    <s v="10"/>
    <x v="18"/>
    <s v="-"/>
    <n v="38"/>
    <s v="ATRASADO"/>
    <s v="ENTREGUE 1 PEÇA NO DANFE 34.705 EM 06/02-GRANATO"/>
  </r>
  <r>
    <s v="049636003621.23.00197"/>
    <x v="20"/>
    <s v="0036"/>
    <x v="281"/>
    <x v="281"/>
    <s v="METALFISA METALURGICA EIRELI LTDA"/>
    <d v="2025-09-30T00:00:00"/>
    <s v="MARCO"/>
    <n v="4"/>
    <n v="25"/>
    <n v="100"/>
    <s v="APROVADO"/>
    <s v="10"/>
    <x v="18"/>
    <s v="-"/>
    <n v="38"/>
    <s v="ATRASADO"/>
    <s v="ENTREGUE 2 PEÇAS NO DANFE 34.704 EM 06/02-GRANATO"/>
  </r>
  <r>
    <s v="049636003721.23.00198"/>
    <x v="20"/>
    <s v="0037"/>
    <x v="57"/>
    <x v="57"/>
    <s v="METALFISA METALURGICA EIRELI LTDA"/>
    <d v="2025-09-30T00:00:00"/>
    <s v="MARCO"/>
    <n v="2"/>
    <n v="77"/>
    <n v="154"/>
    <s v="APROVADO"/>
    <s v="10"/>
    <x v="18"/>
    <s v="-"/>
    <n v="38"/>
    <s v="ATRASADO"/>
    <s v="-"/>
  </r>
  <r>
    <s v="049636003821.23.00201"/>
    <x v="20"/>
    <s v="0038"/>
    <x v="282"/>
    <x v="282"/>
    <s v="METALFISA METALURGICA EIRELI LTDA"/>
    <d v="2025-09-30T00:00:00"/>
    <s v="MARCO"/>
    <n v="2"/>
    <n v="79.7"/>
    <n v="159.4"/>
    <s v="APROVADO"/>
    <s v="10"/>
    <x v="18"/>
    <s v="-"/>
    <n v="38"/>
    <s v="ATRASADO"/>
    <s v="ENTREGUE 2 PEÇAS NO DANFE 34.703 EM 06/02-GRANATO"/>
  </r>
  <r>
    <s v="049636004021.23.00204"/>
    <x v="20"/>
    <s v="0040"/>
    <x v="283"/>
    <x v="283"/>
    <s v="METALFISA METALURGICA EIRELI LTDA"/>
    <d v="2025-09-30T00:00:00"/>
    <s v="MARCO"/>
    <n v="2"/>
    <n v="61.86"/>
    <n v="123.72"/>
    <s v="APROVADO"/>
    <s v="10"/>
    <x v="18"/>
    <s v="-"/>
    <n v="38"/>
    <s v="ATRASADO"/>
    <s v="ENTREGUE 2 PEÇAS NO DANFE 34.703 EM 06/02-GRANATO"/>
  </r>
  <r>
    <s v="049636004121.23.00211"/>
    <x v="20"/>
    <s v="0041"/>
    <x v="284"/>
    <x v="284"/>
    <s v="METALFISA METALURGICA EIRELI LTDA"/>
    <d v="2025-09-30T00:00:00"/>
    <s v="MARCO"/>
    <n v="2"/>
    <n v="87.4"/>
    <n v="174.8"/>
    <s v="APROVADO"/>
    <s v="10"/>
    <x v="18"/>
    <s v="-"/>
    <n v="38"/>
    <s v="ATRASADO"/>
    <s v="ENTREGUE 1 PEÇA NO DANFE 34.703 EM 06/02-GRANATO"/>
  </r>
  <r>
    <s v="049636004321.23.00213"/>
    <x v="20"/>
    <s v="0043"/>
    <x v="285"/>
    <x v="285"/>
    <s v="METALFISA METALURGICA EIRELI LTDA"/>
    <d v="2025-09-30T00:00:00"/>
    <s v="MARCO"/>
    <n v="2"/>
    <n v="402.5"/>
    <n v="805"/>
    <s v="APROVADO"/>
    <s v="10"/>
    <x v="18"/>
    <s v="-"/>
    <n v="38"/>
    <s v="ATRASADO"/>
    <s v="-"/>
  </r>
  <r>
    <s v="049636004421.23.00215"/>
    <x v="20"/>
    <s v="0044"/>
    <x v="286"/>
    <x v="286"/>
    <s v="METALFISA METALURGICA EIRELI LTDA"/>
    <d v="2025-09-30T00:00:00"/>
    <s v="MARCO"/>
    <n v="2"/>
    <n v="113.63"/>
    <n v="227.26"/>
    <s v="APROVADO"/>
    <s v="10"/>
    <x v="18"/>
    <s v="-"/>
    <n v="38"/>
    <s v="ATRASADO"/>
    <s v="-"/>
  </r>
  <r>
    <s v="049636004521.23.00221"/>
    <x v="20"/>
    <s v="0045"/>
    <x v="287"/>
    <x v="287"/>
    <s v="METALFISA METALURGICA EIRELI LTDA"/>
    <d v="2025-09-30T00:00:00"/>
    <s v="MARCO"/>
    <n v="1"/>
    <n v="95.1"/>
    <n v="380.4"/>
    <s v="APROVADO"/>
    <s v="10"/>
    <x v="18"/>
    <s v="-"/>
    <n v="38"/>
    <s v="ATRASADO"/>
    <s v="-"/>
  </r>
  <r>
    <s v="049636004621.23.00222"/>
    <x v="20"/>
    <s v="0046"/>
    <x v="22"/>
    <x v="22"/>
    <s v="METALFISA METALURGICA EIRELI LTDA"/>
    <d v="2025-09-30T00:00:00"/>
    <s v="MARCO"/>
    <n v="8"/>
    <n v="125.46"/>
    <n v="1003.68"/>
    <s v="APROVADO"/>
    <s v="10"/>
    <x v="18"/>
    <s v="-"/>
    <n v="38"/>
    <s v="ATRASADO"/>
    <s v="-"/>
  </r>
  <r>
    <s v="049636004721.23.00224"/>
    <x v="20"/>
    <s v="0047"/>
    <x v="288"/>
    <x v="288"/>
    <s v="METALFISA METALURGICA EIRELI LTDA"/>
    <d v="2025-09-30T00:00:00"/>
    <s v="MARCO"/>
    <n v="1"/>
    <n v="1822.5"/>
    <n v="1822.5"/>
    <s v="APROVADO"/>
    <s v="10"/>
    <x v="18"/>
    <s v="-"/>
    <n v="38"/>
    <s v="ATRASADO"/>
    <s v="-"/>
  </r>
  <r>
    <s v="049636004821.23.00225"/>
    <x v="20"/>
    <s v="0048"/>
    <x v="289"/>
    <x v="289"/>
    <s v="METALFISA METALURGICA EIRELI LTDA"/>
    <d v="2025-09-30T00:00:00"/>
    <s v="MARCO"/>
    <n v="2"/>
    <n v="109.17"/>
    <n v="218.34"/>
    <s v="APROVADO"/>
    <s v="10"/>
    <x v="18"/>
    <s v="-"/>
    <n v="38"/>
    <s v="ATRASADO"/>
    <s v="-"/>
  </r>
  <r>
    <s v="049636004921.23.00226"/>
    <x v="20"/>
    <s v="0049"/>
    <x v="290"/>
    <x v="290"/>
    <s v="METALFISA METALURGICA EIRELI LTDA"/>
    <d v="2025-09-30T00:00:00"/>
    <s v="MARCO"/>
    <n v="2"/>
    <n v="2641.78"/>
    <n v="5283.56"/>
    <s v="APROVADO"/>
    <s v="10"/>
    <x v="18"/>
    <s v="-"/>
    <n v="38"/>
    <s v="ATRASADO"/>
    <s v="-"/>
  </r>
  <r>
    <s v="049636005021.23.00233"/>
    <x v="20"/>
    <s v="0050"/>
    <x v="291"/>
    <x v="291"/>
    <s v="METALFISA METALURGICA EIRELI LTDA"/>
    <d v="2025-09-30T00:00:00"/>
    <s v="MARCO"/>
    <n v="2"/>
    <n v="3436.99"/>
    <n v="6873.98"/>
    <s v="APROVADO"/>
    <s v="10"/>
    <x v="18"/>
    <s v="-"/>
    <n v="38"/>
    <s v="ATRASADO"/>
    <s v="-"/>
  </r>
  <r>
    <s v="049636005121.23.00235"/>
    <x v="20"/>
    <s v="0051"/>
    <x v="59"/>
    <x v="59"/>
    <s v="METALFISA METALURGICA EIRELI LTDA"/>
    <d v="2025-09-30T00:00:00"/>
    <s v="MARCO"/>
    <n v="4"/>
    <n v="1716.94"/>
    <n v="6867.76"/>
    <s v="APROVADO"/>
    <s v="10"/>
    <x v="18"/>
    <s v="-"/>
    <n v="38"/>
    <s v="ATRASADO"/>
    <s v="-"/>
  </r>
  <r>
    <s v="049636005221.23.00239"/>
    <x v="20"/>
    <s v="0052"/>
    <x v="60"/>
    <x v="60"/>
    <s v="METALFISA METALURGICA EIRELI LTDA"/>
    <d v="2025-09-30T00:00:00"/>
    <s v="MARCO"/>
    <n v="2"/>
    <n v="55"/>
    <n v="110"/>
    <s v="APROVADO"/>
    <s v="10"/>
    <x v="18"/>
    <s v="-"/>
    <n v="38"/>
    <s v="ATRASADO"/>
    <s v="ENTREGUE 1 PEÇA NO DANFE 41708 EM 06/02-METALFISA"/>
  </r>
  <r>
    <s v="049636005521.23.00245"/>
    <x v="20"/>
    <s v="0055"/>
    <x v="292"/>
    <x v="292"/>
    <s v="METALFISA METALURGICA EIRELI LTDA"/>
    <d v="2025-09-30T00:00:00"/>
    <s v="MARCO"/>
    <n v="2"/>
    <n v="280"/>
    <n v="560"/>
    <s v="APROVADO"/>
    <s v="10"/>
    <x v="18"/>
    <s v="-"/>
    <n v="38"/>
    <s v="ATRASADO"/>
    <s v="ENTREGUE 1 PEÇA NO DANFE 41708 EM 06/02-METALFISA"/>
  </r>
  <r>
    <s v="049636005721.23.01466"/>
    <x v="20"/>
    <s v="0057"/>
    <x v="293"/>
    <x v="293"/>
    <s v="METALFISA METALURGICA EIRELI LTDA"/>
    <d v="2025-09-30T00:00:00"/>
    <s v="MARCO"/>
    <n v="2"/>
    <n v="25"/>
    <n v="50"/>
    <s v="APROVADO"/>
    <s v="10"/>
    <x v="18"/>
    <s v="-"/>
    <n v="38"/>
    <s v="ATRASADO"/>
    <s v="ENTREGUE 1 PEÇA NO DANFE 41708 EM 06/02-METALFISA"/>
  </r>
  <r>
    <s v="049636005821.23.02046"/>
    <x v="20"/>
    <s v="0058"/>
    <x v="294"/>
    <x v="294"/>
    <s v="METALFISA METALURGICA EIRELI LTDA"/>
    <d v="2025-09-30T00:00:00"/>
    <s v="MARCO"/>
    <n v="1"/>
    <n v="38.5"/>
    <n v="154"/>
    <s v="APROVADO"/>
    <s v="10"/>
    <x v="18"/>
    <s v="-"/>
    <n v="38"/>
    <s v="ATRASADO"/>
    <s v="-"/>
  </r>
  <r>
    <s v="049636006021.23.02052"/>
    <x v="20"/>
    <s v="0060"/>
    <x v="295"/>
    <x v="295"/>
    <s v="METALFISA METALURGICA EIRELI LTDA"/>
    <d v="2025-09-30T00:00:00"/>
    <s v="MARCO"/>
    <n v="2"/>
    <n v="30.5"/>
    <n v="61"/>
    <s v="APROVADO"/>
    <s v="10"/>
    <x v="18"/>
    <s v="-"/>
    <n v="38"/>
    <s v="ATRASADO"/>
    <s v="-"/>
  </r>
  <r>
    <s v="049636006121.23.02053"/>
    <x v="20"/>
    <s v="0061"/>
    <x v="296"/>
    <x v="296"/>
    <s v="METALFISA METALURGICA EIRELI LTDA"/>
    <d v="2025-09-30T00:00:00"/>
    <s v="MARCO"/>
    <n v="4"/>
    <n v="22.5"/>
    <n v="90"/>
    <s v="APROVADO"/>
    <s v="10"/>
    <x v="18"/>
    <s v="-"/>
    <n v="38"/>
    <s v="ATRASADO"/>
    <s v="-"/>
  </r>
  <r>
    <s v="049636006221.23.02054"/>
    <x v="20"/>
    <s v="0062"/>
    <x v="297"/>
    <x v="297"/>
    <s v="METALFISA METALURGICA EIRELI LTDA"/>
    <d v="2025-09-30T00:00:00"/>
    <s v="MARCO"/>
    <n v="2"/>
    <n v="7.19"/>
    <n v="28.76"/>
    <s v="APROVADO"/>
    <s v="10"/>
    <x v="18"/>
    <s v="-"/>
    <n v="38"/>
    <s v="ATRASADO"/>
    <s v="-"/>
  </r>
  <r>
    <s v="049636006321.23.02055"/>
    <x v="20"/>
    <s v="0063"/>
    <x v="298"/>
    <x v="298"/>
    <s v="METALFISA METALURGICA EIRELI LTDA"/>
    <d v="2025-09-30T00:00:00"/>
    <s v="MARCO"/>
    <n v="2"/>
    <n v="26.5"/>
    <n v="53"/>
    <s v="APROVADO"/>
    <s v="10"/>
    <x v="18"/>
    <s v="-"/>
    <n v="38"/>
    <s v="ATRASADO"/>
    <s v="ENTREGUE 2 PEÇAS NO DANFE 41714 EM 06/02-METALFISA"/>
  </r>
  <r>
    <s v="049636006621.23.02068"/>
    <x v="20"/>
    <s v="0066"/>
    <x v="299"/>
    <x v="299"/>
    <s v="METALFISA METALURGICA EIRELI LTDA"/>
    <d v="2025-09-30T00:00:00"/>
    <s v="MARCO"/>
    <n v="2"/>
    <n v="428.2"/>
    <n v="856.4"/>
    <s v="APROVADO"/>
    <s v="10"/>
    <x v="18"/>
    <s v="-"/>
    <n v="38"/>
    <s v="ATRASADO"/>
    <s v="ENTREGUE 4 PEÇAS NOS DANFE 34.703 &amp; 34.705 EM 06/02-GRANATO"/>
  </r>
  <r>
    <s v="049636006721.23.02069"/>
    <x v="20"/>
    <s v="0067"/>
    <x v="62"/>
    <x v="62"/>
    <s v="METALFISA METALURGICA EIRELI LTDA"/>
    <d v="2025-09-30T00:00:00"/>
    <s v="MARCO"/>
    <n v="4"/>
    <n v="674.9"/>
    <n v="2699.6"/>
    <s v="APROVADO"/>
    <s v="10"/>
    <x v="18"/>
    <s v="-"/>
    <n v="38"/>
    <s v="ATRASADO"/>
    <s v="ENTREGUE 4 PEÇAS NOS DANFE 34.703 &amp; 34.705 EM 06/02-GRANATO"/>
  </r>
  <r>
    <s v="049636006921.23.02071"/>
    <x v="20"/>
    <s v="0069"/>
    <x v="300"/>
    <x v="300"/>
    <s v="METALFISA METALURGICA EIRELI LTDA"/>
    <d v="2025-09-30T00:00:00"/>
    <s v="MARCO"/>
    <n v="2"/>
    <n v="275.5"/>
    <n v="551"/>
    <s v="APROVADO"/>
    <s v="10"/>
    <x v="18"/>
    <s v="-"/>
    <n v="38"/>
    <s v="ATRASADO"/>
    <s v="ENTREGUE 4 PEÇAS NOS DANFE 34.703 &amp; 34.705 EM 06/02-GRANATO"/>
  </r>
  <r>
    <s v="049636007021.23.02072"/>
    <x v="20"/>
    <s v="0070"/>
    <x v="301"/>
    <x v="301"/>
    <s v="METALFISA METALURGICA EIRELI LTDA"/>
    <d v="2025-09-30T00:00:00"/>
    <s v="MARCO"/>
    <n v="1"/>
    <n v="251.2"/>
    <n v="502.4"/>
    <s v="APROVADO"/>
    <s v="10"/>
    <x v="18"/>
    <s v="-"/>
    <n v="38"/>
    <s v="ATRASADO"/>
    <s v="ENTREGUE 4 PEÇAS NOS DANFE 34.703 &amp; 34.705 EM 06/02-GRANATO"/>
  </r>
  <r>
    <s v="049636007121.23.02073"/>
    <x v="20"/>
    <s v="0071"/>
    <x v="302"/>
    <x v="302"/>
    <s v="METALFISA METALURGICA EIRELI LTDA"/>
    <d v="2025-09-30T00:00:00"/>
    <s v="MARCO"/>
    <n v="1"/>
    <n v="715.2"/>
    <n v="1430.4"/>
    <s v="APROVADO"/>
    <s v="10"/>
    <x v="18"/>
    <s v="-"/>
    <n v="38"/>
    <s v="ATRASADO"/>
    <s v="ENTREGUE 8 PEÇAS NO DANFE 34.706 EM 06/02-GRANATO"/>
  </r>
  <r>
    <s v="049636007221.23.02074"/>
    <x v="20"/>
    <s v="0072"/>
    <x v="303"/>
    <x v="303"/>
    <s v="METALFISA METALURGICA EIRELI LTDA"/>
    <d v="2025-09-30T00:00:00"/>
    <s v="MARCO"/>
    <n v="2"/>
    <n v="488.1"/>
    <n v="976.2"/>
    <s v="APROVADO"/>
    <s v="10"/>
    <x v="18"/>
    <s v="-"/>
    <n v="38"/>
    <s v="ATRASADO"/>
    <s v="ENTREGUE 8 PEÇAS NO DANFE 34.706 EM 06/02-GRANATO"/>
  </r>
  <r>
    <s v="049636007321.23.02075"/>
    <x v="20"/>
    <s v="0073"/>
    <x v="304"/>
    <x v="304"/>
    <s v="METALFISA METALURGICA EIRELI LTDA"/>
    <d v="2025-09-30T00:00:00"/>
    <s v="MARCO"/>
    <n v="1"/>
    <n v="770.9"/>
    <n v="1541.8"/>
    <s v="APROVADO"/>
    <s v="10"/>
    <x v="18"/>
    <s v="-"/>
    <n v="38"/>
    <s v="ATRASADO"/>
    <s v="ENTREGUE 7 PEÇAS NO DANFE 34.704 EM 06/02-GRANATO"/>
  </r>
  <r>
    <s v="049636007621.23.02079"/>
    <x v="20"/>
    <s v="0076"/>
    <x v="305"/>
    <x v="305"/>
    <s v="METALFISA METALURGICA EIRELI LTDA"/>
    <d v="2025-09-30T00:00:00"/>
    <s v="MARCO"/>
    <n v="2"/>
    <n v="97.11"/>
    <n v="194.22"/>
    <s v="APROVADO"/>
    <s v="10"/>
    <x v="18"/>
    <s v="-"/>
    <n v="38"/>
    <s v="ATRASADO"/>
    <s v="-"/>
  </r>
  <r>
    <s v="049636007721.23.02080"/>
    <x v="20"/>
    <s v="0077"/>
    <x v="306"/>
    <x v="306"/>
    <s v="METALFISA METALURGICA EIRELI LTDA"/>
    <d v="2025-09-30T00:00:00"/>
    <s v="MARCO"/>
    <n v="1"/>
    <n v="763.8"/>
    <n v="1527.6"/>
    <s v="APROVADO"/>
    <s v="10"/>
    <x v="18"/>
    <s v="-"/>
    <n v="38"/>
    <s v="ATRASADO"/>
    <s v="-"/>
  </r>
  <r>
    <s v="049636007821.23.02081"/>
    <x v="20"/>
    <s v="0078"/>
    <x v="307"/>
    <x v="307"/>
    <s v="METALFISA METALURGICA EIRELI LTDA"/>
    <d v="2025-09-30T00:00:00"/>
    <s v="MARCO"/>
    <n v="2"/>
    <n v="75.14"/>
    <n v="150.28"/>
    <s v="APROVADO"/>
    <s v="10"/>
    <x v="18"/>
    <s v="-"/>
    <n v="38"/>
    <s v="ATRASADO"/>
    <s v="-"/>
  </r>
  <r>
    <s v="049636007921.23.02082"/>
    <x v="20"/>
    <s v="0079"/>
    <x v="308"/>
    <x v="308"/>
    <s v="METALFISA METALURGICA EIRELI LTDA"/>
    <d v="2025-09-30T00:00:00"/>
    <s v="MARCO"/>
    <n v="2"/>
    <n v="6"/>
    <n v="12"/>
    <s v="APROVADO"/>
    <s v="10"/>
    <x v="18"/>
    <s v="-"/>
    <n v="38"/>
    <s v="ATRASADO"/>
    <s v="-"/>
  </r>
  <r>
    <s v="049636008021.23.02083"/>
    <x v="20"/>
    <s v="0080"/>
    <x v="309"/>
    <x v="309"/>
    <s v="METALFISA METALURGICA EIRELI LTDA"/>
    <d v="2025-09-30T00:00:00"/>
    <s v="MARCO"/>
    <n v="2"/>
    <n v="576.9"/>
    <n v="1153.8"/>
    <s v="APROVADO"/>
    <s v="10"/>
    <x v="18"/>
    <s v="-"/>
    <n v="38"/>
    <s v="ATRASADO"/>
    <s v="-"/>
  </r>
  <r>
    <s v="049636008121.23.02084"/>
    <x v="20"/>
    <s v="0081"/>
    <x v="310"/>
    <x v="310"/>
    <s v="METALFISA METALURGICA EIRELI LTDA"/>
    <d v="2025-09-30T00:00:00"/>
    <s v="MARCO"/>
    <n v="4"/>
    <n v="1007.7"/>
    <n v="4030.8"/>
    <s v="APROVADO"/>
    <s v="10"/>
    <x v="18"/>
    <s v="-"/>
    <n v="38"/>
    <s v="ATRASADO"/>
    <s v="-"/>
  </r>
  <r>
    <s v="049636008321.23.02086"/>
    <x v="20"/>
    <s v="0083"/>
    <x v="311"/>
    <x v="311"/>
    <s v="METALFISA METALURGICA EIRELI LTDA"/>
    <d v="2025-09-30T00:00:00"/>
    <s v="MARCO"/>
    <n v="2"/>
    <n v="157.69999999999999"/>
    <n v="946.2"/>
    <s v="APROVADO"/>
    <s v="10"/>
    <x v="18"/>
    <s v="-"/>
    <n v="38"/>
    <s v="ATRASADO"/>
    <s v="-"/>
  </r>
  <r>
    <s v="049636008421.23.02087"/>
    <x v="20"/>
    <s v="0084"/>
    <x v="65"/>
    <x v="65"/>
    <s v="METALFISA METALURGICA EIRELI LTDA"/>
    <d v="2025-09-30T00:00:00"/>
    <s v="MARCO"/>
    <n v="2"/>
    <n v="1130"/>
    <n v="2260"/>
    <s v="APROVADO"/>
    <s v="10"/>
    <x v="18"/>
    <s v="-"/>
    <n v="38"/>
    <s v="ATRASADO"/>
    <s v="-"/>
  </r>
  <r>
    <s v="049636008521.23.02088"/>
    <x v="20"/>
    <s v="0085"/>
    <x v="66"/>
    <x v="66"/>
    <s v="METALFISA METALURGICA EIRELI LTDA"/>
    <d v="2025-09-30T00:00:00"/>
    <s v="MARCO"/>
    <n v="4"/>
    <n v="324"/>
    <n v="1296"/>
    <s v="APROVADO"/>
    <s v="10"/>
    <x v="18"/>
    <s v="-"/>
    <n v="38"/>
    <s v="ATRASADO"/>
    <s v="-"/>
  </r>
  <r>
    <s v="049636008721.23.02090"/>
    <x v="20"/>
    <s v="0087"/>
    <x v="67"/>
    <x v="67"/>
    <s v="METALFISA METALURGICA EIRELI LTDA"/>
    <d v="2025-09-30T00:00:00"/>
    <s v="MARCO"/>
    <n v="2"/>
    <n v="308.3"/>
    <n v="616.6"/>
    <s v="APROVADO"/>
    <s v="10"/>
    <x v="18"/>
    <s v="-"/>
    <n v="38"/>
    <s v="ATRASADO"/>
    <s v="-"/>
  </r>
  <r>
    <s v="049636008821.23.02091"/>
    <x v="20"/>
    <s v="0088"/>
    <x v="68"/>
    <x v="68"/>
    <s v="METALFISA METALURGICA EIRELI LTDA"/>
    <d v="2025-09-30T00:00:00"/>
    <s v="MARCO"/>
    <n v="2"/>
    <n v="311.8"/>
    <n v="623.6"/>
    <s v="APROVADO"/>
    <s v="10"/>
    <x v="18"/>
    <s v="-"/>
    <n v="38"/>
    <s v="ATRASADO"/>
    <s v="-"/>
  </r>
  <r>
    <s v="049636009321.23.02097"/>
    <x v="20"/>
    <s v="0093"/>
    <x v="312"/>
    <x v="312"/>
    <s v="METALFISA METALURGICA EIRELI LTDA"/>
    <d v="2025-09-30T00:00:00"/>
    <s v="MARCO"/>
    <n v="2"/>
    <n v="1920"/>
    <n v="3840"/>
    <s v="APROVADO"/>
    <s v="10"/>
    <x v="18"/>
    <s v="-"/>
    <n v="38"/>
    <s v="ATRASADO"/>
    <s v="-"/>
  </r>
  <r>
    <s v="049636009421.23.02098"/>
    <x v="20"/>
    <s v="0094"/>
    <x v="313"/>
    <x v="313"/>
    <s v="METALFISA METALURGICA EIRELI LTDA"/>
    <d v="2025-09-30T00:00:00"/>
    <s v="MARCO"/>
    <n v="2"/>
    <n v="272"/>
    <n v="544"/>
    <s v="APROVADO"/>
    <s v="10"/>
    <x v="18"/>
    <s v="-"/>
    <n v="38"/>
    <s v="ATRASADO"/>
    <s v="-"/>
  </r>
  <r>
    <s v="049636009621.23.02100"/>
    <x v="20"/>
    <s v="0096"/>
    <x v="314"/>
    <x v="314"/>
    <s v="METALFISA METALURGICA EIRELI LTDA"/>
    <d v="2025-09-30T00:00:00"/>
    <s v="MARCO"/>
    <n v="2"/>
    <n v="237.4"/>
    <n v="474.8"/>
    <s v="APROVADO"/>
    <s v="10"/>
    <x v="18"/>
    <s v="-"/>
    <n v="38"/>
    <s v="ATRASADO"/>
    <s v="-"/>
  </r>
  <r>
    <s v="049636009821.23.02102"/>
    <x v="20"/>
    <s v="0098"/>
    <x v="315"/>
    <x v="315"/>
    <s v="METALFISA METALURGICA EIRELI LTDA"/>
    <d v="2025-09-30T00:00:00"/>
    <s v="MARCO"/>
    <n v="2"/>
    <n v="746.7"/>
    <n v="1493.4"/>
    <s v="APROVADO"/>
    <s v="10"/>
    <x v="18"/>
    <s v="-"/>
    <n v="38"/>
    <s v="ATRASADO"/>
    <s v="ENTREGUE 4 PEÇAS NO DANFE 34.703 EM 06/02-GRANATO"/>
  </r>
  <r>
    <s v="049636009921.23.02103"/>
    <x v="20"/>
    <s v="0099"/>
    <x v="316"/>
    <x v="316"/>
    <s v="METALFISA METALURGICA EIRELI LTDA"/>
    <d v="2025-09-30T00:00:00"/>
    <s v="MARCO"/>
    <n v="2"/>
    <n v="742.7"/>
    <n v="1485.4"/>
    <s v="APROVADO"/>
    <s v="10"/>
    <x v="18"/>
    <s v="-"/>
    <n v="38"/>
    <s v="ATRASADO"/>
    <s v="-"/>
  </r>
  <r>
    <s v="049636010021.23.02104"/>
    <x v="20"/>
    <s v="0100"/>
    <x v="70"/>
    <x v="70"/>
    <s v="METALFISA METALURGICA EIRELI LTDA"/>
    <d v="2025-09-30T00:00:00"/>
    <s v="MARCO"/>
    <n v="2"/>
    <n v="395.6"/>
    <n v="791.2"/>
    <s v="APROVADO"/>
    <s v="10"/>
    <x v="18"/>
    <s v="-"/>
    <n v="38"/>
    <s v="ATRASADO"/>
    <s v="-"/>
  </r>
  <r>
    <s v="049636010121.23.02105"/>
    <x v="20"/>
    <s v="0101"/>
    <x v="317"/>
    <x v="317"/>
    <s v="METALFISA METALURGICA EIRELI LTDA"/>
    <d v="2025-09-30T00:00:00"/>
    <s v="MARCO"/>
    <n v="2"/>
    <n v="476.4"/>
    <n v="952.8"/>
    <s v="APROVADO"/>
    <s v="10"/>
    <x v="18"/>
    <s v="-"/>
    <n v="38"/>
    <s v="ATRASADO"/>
    <s v="ENTREGUE 4 PEÇAS NOS DANFE 34.703 &amp; 34.705 EM 06/02-GRANATO"/>
  </r>
  <r>
    <s v="049636010321.23.02107"/>
    <x v="20"/>
    <s v="0103"/>
    <x v="318"/>
    <x v="318"/>
    <s v="METALFISA METALURGICA EIRELI LTDA"/>
    <d v="2025-09-30T00:00:00"/>
    <s v="MARCO"/>
    <n v="4"/>
    <n v="417.57"/>
    <n v="1670.28"/>
    <s v="APROVADO"/>
    <s v="10"/>
    <x v="18"/>
    <s v="-"/>
    <n v="38"/>
    <s v="ATRASADO"/>
    <s v="ENTREGUE 3 PEÇAS NOS DANFE 34.703 &amp; 34.705 EM 06/02-GRANATO"/>
  </r>
  <r>
    <s v="049636010421.23.02108"/>
    <x v="20"/>
    <s v="0104"/>
    <x v="319"/>
    <x v="319"/>
    <s v="METALFISA METALURGICA EIRELI LTDA"/>
    <d v="2025-09-30T00:00:00"/>
    <s v="MARCO"/>
    <n v="2"/>
    <n v="313.39999999999998"/>
    <n v="626.79999999999995"/>
    <s v="APROVADO"/>
    <s v="10"/>
    <x v="18"/>
    <s v="-"/>
    <n v="38"/>
    <s v="ATRASADO"/>
    <s v="ENTREGUE 8 PEÇAS NO DANFE 34.704 EM 06/02-GRANATO"/>
  </r>
  <r>
    <s v="049636010721.23.03666"/>
    <x v="20"/>
    <s v="0107"/>
    <x v="71"/>
    <x v="71"/>
    <s v="METALFISA METALURGICA EIRELI LTDA"/>
    <d v="2025-09-30T00:00:00"/>
    <s v="MARCO"/>
    <n v="2"/>
    <n v="144.26"/>
    <n v="288.52"/>
    <s v="APROVADO"/>
    <s v="10"/>
    <x v="18"/>
    <s v="-"/>
    <n v="38"/>
    <s v="ATRASADO"/>
    <s v="ENTREGUE 4 PEÇAS NO DANFE 34.706 EM 06/02-GRANATO"/>
  </r>
  <r>
    <s v="049636010821.23.03667"/>
    <x v="20"/>
    <s v="0108"/>
    <x v="72"/>
    <x v="72"/>
    <s v="METALFISA METALURGICA EIRELI LTDA"/>
    <d v="2025-09-30T00:00:00"/>
    <s v="MARCO"/>
    <n v="4"/>
    <n v="9.8000000000000007"/>
    <n v="39.200000000000003"/>
    <s v="APROVADO"/>
    <s v="10"/>
    <x v="18"/>
    <s v="-"/>
    <n v="38"/>
    <s v="ATRASADO"/>
    <s v="ENTREGUE 11 PEÇAS NO DANFE 34.706 EM 06/02-GRANATO"/>
  </r>
  <r>
    <s v="049636010921.23.03668"/>
    <x v="20"/>
    <s v="0109"/>
    <x v="320"/>
    <x v="320"/>
    <s v="METALFISA METALURGICA EIRELI LTDA"/>
    <d v="2025-09-30T00:00:00"/>
    <s v="MARCO"/>
    <n v="4"/>
    <n v="8.5"/>
    <n v="34"/>
    <s v="APROVADO"/>
    <s v="10"/>
    <x v="18"/>
    <s v="-"/>
    <n v="38"/>
    <s v="ATRASADO"/>
    <s v="-"/>
  </r>
  <r>
    <s v="049636011021.23.03669"/>
    <x v="20"/>
    <s v="0110"/>
    <x v="321"/>
    <x v="321"/>
    <s v="METALFISA METALURGICA EIRELI LTDA"/>
    <d v="2025-09-30T00:00:00"/>
    <s v="MARCO"/>
    <n v="2"/>
    <n v="16.2"/>
    <n v="32.4"/>
    <s v="APROVADO"/>
    <s v="10"/>
    <x v="18"/>
    <s v="-"/>
    <n v="38"/>
    <s v="ATRASADO"/>
    <s v="-"/>
  </r>
  <r>
    <s v="049636011121.23.03670"/>
    <x v="20"/>
    <s v="0111"/>
    <x v="322"/>
    <x v="322"/>
    <s v="METALFISA METALURGICA EIRELI LTDA"/>
    <d v="2025-09-30T00:00:00"/>
    <s v="MARCO"/>
    <n v="2"/>
    <n v="15"/>
    <n v="30"/>
    <s v="APROVADO"/>
    <s v="10"/>
    <x v="18"/>
    <s v="-"/>
    <n v="38"/>
    <s v="ATRASADO"/>
    <s v="-"/>
  </r>
  <r>
    <s v="049636011221.23.03803"/>
    <x v="20"/>
    <s v="0112"/>
    <x v="323"/>
    <x v="323"/>
    <s v="METALFISA METALURGICA EIRELI LTDA"/>
    <d v="2025-09-30T00:00:00"/>
    <s v="MARCO"/>
    <n v="2"/>
    <n v="12.7"/>
    <n v="25.4"/>
    <s v="APROVADO"/>
    <s v="10"/>
    <x v="18"/>
    <s v="-"/>
    <n v="38"/>
    <s v="ATRASADO"/>
    <s v="-"/>
  </r>
  <r>
    <s v="049636011721.23.04593"/>
    <x v="20"/>
    <s v="0117"/>
    <x v="324"/>
    <x v="324"/>
    <s v="METALFISA METALURGICA EIRELI LTDA"/>
    <d v="2025-09-30T00:00:00"/>
    <s v="MARCO"/>
    <n v="7"/>
    <n v="16.89"/>
    <n v="236.46"/>
    <s v="APROVADO"/>
    <s v="10"/>
    <x v="18"/>
    <s v="-"/>
    <n v="38"/>
    <s v="ATRASADO"/>
    <s v="-"/>
  </r>
  <r>
    <s v="049636011821.23.04598"/>
    <x v="20"/>
    <s v="0118"/>
    <x v="325"/>
    <x v="325"/>
    <s v="METALFISA METALURGICA EIRELI LTDA"/>
    <d v="2025-09-30T00:00:00"/>
    <s v="MARCO"/>
    <n v="3"/>
    <n v="13.7"/>
    <n v="82.2"/>
    <s v="APROVADO"/>
    <s v="10"/>
    <x v="18"/>
    <s v="-"/>
    <n v="38"/>
    <s v="ATRASADO"/>
    <s v="-"/>
  </r>
  <r>
    <s v="049636011921.23.04599"/>
    <x v="20"/>
    <s v="0119"/>
    <x v="73"/>
    <x v="73"/>
    <s v="METALFISA METALURGICA EIRELI LTDA"/>
    <d v="2025-09-30T00:00:00"/>
    <s v="MARCO"/>
    <n v="2"/>
    <n v="6.6"/>
    <n v="13.2"/>
    <s v="APROVADO"/>
    <s v="10"/>
    <x v="18"/>
    <s v="-"/>
    <n v="38"/>
    <s v="ATRASADO"/>
    <s v="-"/>
  </r>
  <r>
    <s v="049636012021.23.04600"/>
    <x v="20"/>
    <s v="0120"/>
    <x v="74"/>
    <x v="74"/>
    <s v="METALFISA METALURGICA EIRELI LTDA"/>
    <d v="2025-09-30T00:00:00"/>
    <s v="MARCO"/>
    <n v="2"/>
    <n v="11.8"/>
    <n v="23.6"/>
    <s v="APROVADO"/>
    <s v="10"/>
    <x v="18"/>
    <s v="-"/>
    <n v="38"/>
    <s v="ATRASADO"/>
    <s v="-"/>
  </r>
  <r>
    <s v="049636012121.23.04601"/>
    <x v="20"/>
    <s v="0121"/>
    <x v="75"/>
    <x v="75"/>
    <s v="METALFISA METALURGICA EIRELI LTDA"/>
    <d v="2025-09-30T00:00:00"/>
    <s v="MARCO"/>
    <n v="4"/>
    <n v="9.6999999999999993"/>
    <n v="38.799999999999997"/>
    <s v="APROVADO"/>
    <s v="10"/>
    <x v="18"/>
    <s v="-"/>
    <n v="38"/>
    <s v="ATRASADO"/>
    <s v="-"/>
  </r>
  <r>
    <s v="049636012221.23.04602"/>
    <x v="20"/>
    <s v="0122"/>
    <x v="76"/>
    <x v="76"/>
    <s v="METALFISA METALURGICA EIRELI LTDA"/>
    <d v="2025-09-30T00:00:00"/>
    <s v="MARCO"/>
    <n v="4"/>
    <n v="9.9"/>
    <n v="39.6"/>
    <s v="APROVADO"/>
    <s v="10"/>
    <x v="18"/>
    <s v="-"/>
    <n v="38"/>
    <s v="ATRASADO"/>
    <s v="-"/>
  </r>
  <r>
    <s v="049636012321.23.04605"/>
    <x v="20"/>
    <s v="0123"/>
    <x v="326"/>
    <x v="326"/>
    <s v="METALFISA METALURGICA EIRELI LTDA"/>
    <d v="2025-09-30T00:00:00"/>
    <s v="MARCO"/>
    <n v="10"/>
    <n v="13.22"/>
    <n v="132.19999999999999"/>
    <s v="APROVADO"/>
    <s v="10"/>
    <x v="18"/>
    <s v="-"/>
    <n v="38"/>
    <s v="ATRASADO"/>
    <s v="-"/>
  </r>
  <r>
    <s v="049636012421.23.04608"/>
    <x v="20"/>
    <s v="0124"/>
    <x v="327"/>
    <x v="327"/>
    <s v="METALFISA METALURGICA EIRELI LTDA"/>
    <d v="2025-09-30T00:00:00"/>
    <s v="MARCO"/>
    <n v="2"/>
    <n v="1199.95"/>
    <n v="2399.9"/>
    <s v="APROVADO"/>
    <s v="10"/>
    <x v="18"/>
    <s v="-"/>
    <n v="38"/>
    <s v="ATRASADO"/>
    <s v="ENTREGUE 2 PEÇAS NO DANFE 41708 EM 06/02-METALFISA"/>
  </r>
  <r>
    <s v="049636012521.23.04617"/>
    <x v="20"/>
    <s v="0125"/>
    <x v="328"/>
    <x v="328"/>
    <s v="METALFISA METALURGICA EIRELI LTDA"/>
    <d v="2025-09-30T00:00:00"/>
    <s v="MARCO"/>
    <n v="4"/>
    <n v="5.0999999999999996"/>
    <n v="20.399999999999999"/>
    <s v="APROVADO"/>
    <s v="10"/>
    <x v="18"/>
    <s v="-"/>
    <n v="38"/>
    <s v="ATRASADO"/>
    <s v="ENTREGUE 1 PEÇA NO DANFE 34.707 EM 06/02-GRANATO"/>
  </r>
  <r>
    <s v="049636012621.23.04618"/>
    <x v="20"/>
    <s v="0126"/>
    <x v="77"/>
    <x v="77"/>
    <s v="METALFISA METALURGICA EIRELI LTDA"/>
    <d v="2025-09-30T00:00:00"/>
    <s v="MARCO"/>
    <n v="2"/>
    <n v="60.6"/>
    <n v="121.2"/>
    <s v="APROVADO"/>
    <s v="10"/>
    <x v="18"/>
    <s v="-"/>
    <n v="38"/>
    <s v="ATRASADO"/>
    <s v="-"/>
  </r>
  <r>
    <s v="049636012821.23.04622"/>
    <x v="20"/>
    <s v="0128"/>
    <x v="79"/>
    <x v="79"/>
    <s v="METALFISA METALURGICA EIRELI LTDA"/>
    <d v="2025-09-30T00:00:00"/>
    <s v="MARCO"/>
    <n v="2"/>
    <n v="70.42"/>
    <n v="140.84"/>
    <s v="APROVADO"/>
    <s v="10"/>
    <x v="18"/>
    <s v="-"/>
    <n v="38"/>
    <s v="ATRASADO"/>
    <s v="ENTREGUE 2 PEÇAS NO DANFE 34.708 EM 06/02-GRANATO"/>
  </r>
  <r>
    <s v="049636012921.23.04635"/>
    <x v="20"/>
    <s v="0129"/>
    <x v="23"/>
    <x v="23"/>
    <s v="METALFISA METALURGICA EIRELI LTDA"/>
    <d v="2025-09-30T00:00:00"/>
    <s v="MARCO"/>
    <n v="2"/>
    <n v="337.04"/>
    <n v="674.08"/>
    <s v="APROVADO"/>
    <s v="10"/>
    <x v="18"/>
    <s v="-"/>
    <n v="38"/>
    <s v="ATRASADO"/>
    <s v="-"/>
  </r>
  <r>
    <s v="049636013421.23.04712"/>
    <x v="20"/>
    <s v="0134"/>
    <x v="80"/>
    <x v="80"/>
    <s v="METALFISA METALURGICA EIRELI LTDA"/>
    <d v="2025-09-30T00:00:00"/>
    <s v="MARCO"/>
    <n v="2"/>
    <n v="48.7"/>
    <n v="97.4"/>
    <s v="APROVADO"/>
    <s v="10"/>
    <x v="18"/>
    <s v="-"/>
    <n v="38"/>
    <s v="ATRASADO"/>
    <s v="-"/>
  </r>
  <r>
    <s v="049636013521.23.04713"/>
    <x v="20"/>
    <s v="0135"/>
    <x v="81"/>
    <x v="81"/>
    <s v="METALFISA METALURGICA EIRELI LTDA"/>
    <d v="2025-09-30T00:00:00"/>
    <s v="MARCO"/>
    <n v="1"/>
    <n v="48.2"/>
    <n v="96.4"/>
    <s v="APROVADO"/>
    <s v="10"/>
    <x v="18"/>
    <s v="-"/>
    <n v="38"/>
    <s v="ATRASADO"/>
    <s v="ENTREGUE 2 PEÇAS NO DANFE 34.709 EM 06/02-GRANATO"/>
  </r>
  <r>
    <s v="049636013633.14.10239.00"/>
    <x v="20"/>
    <s v="0136"/>
    <x v="82"/>
    <x v="82"/>
    <s v="METALFISA METALURGICA EIRELI LTDA"/>
    <d v="2025-09-30T00:00:00"/>
    <s v="MARCO"/>
    <n v="12"/>
    <n v="5.2"/>
    <n v="62.4"/>
    <s v="APROVADO"/>
    <s v="10"/>
    <x v="18"/>
    <s v="-"/>
    <n v="38"/>
    <s v="ATRASADO"/>
    <s v="ENTREGUE 2 PEÇAS NO DANFE 34.709 EM 06/02-GRANATO"/>
  </r>
  <r>
    <s v="049636013733.14.10244.01"/>
    <x v="20"/>
    <s v="0137"/>
    <x v="83"/>
    <x v="83"/>
    <s v="METALFISA METALURGICA EIRELI LTDA"/>
    <d v="2025-09-30T00:00:00"/>
    <s v="MARCO"/>
    <n v="2"/>
    <n v="165"/>
    <n v="330"/>
    <s v="APROVADO"/>
    <s v="10"/>
    <x v="18"/>
    <s v="-"/>
    <n v="38"/>
    <s v="ATRASADO"/>
    <s v="-"/>
  </r>
  <r>
    <s v="049636013833.14.10252.00"/>
    <x v="20"/>
    <s v="0138"/>
    <x v="84"/>
    <x v="84"/>
    <s v="METALFISA METALURGICA EIRELI LTDA"/>
    <d v="2025-09-30T00:00:00"/>
    <s v="MARCO"/>
    <n v="12"/>
    <n v="6.82"/>
    <n v="81.84"/>
    <s v="APROVADO"/>
    <s v="10"/>
    <x v="18"/>
    <s v="-"/>
    <n v="38"/>
    <s v="ATRASADO"/>
    <s v="-"/>
  </r>
  <r>
    <s v="049636013933.14.10254.00"/>
    <x v="20"/>
    <s v="0139"/>
    <x v="85"/>
    <x v="85"/>
    <s v="METALFISA METALURGICA EIRELI LTDA"/>
    <d v="2025-09-30T00:00:00"/>
    <s v="MARCO"/>
    <n v="8"/>
    <n v="4.2"/>
    <n v="33.6"/>
    <s v="APROVADO"/>
    <s v="10"/>
    <x v="18"/>
    <s v="-"/>
    <n v="38"/>
    <s v="ATRASADO"/>
    <s v="-"/>
  </r>
  <r>
    <s v="049636014033.14.10255.00"/>
    <x v="20"/>
    <s v="0140"/>
    <x v="86"/>
    <x v="86"/>
    <s v="METALFISA METALURGICA EIRELI LTDA"/>
    <d v="2025-09-30T00:00:00"/>
    <s v="MARCO"/>
    <n v="4"/>
    <n v="2.4"/>
    <n v="9.6"/>
    <s v="APROVADO"/>
    <s v="10"/>
    <x v="18"/>
    <s v="-"/>
    <n v="38"/>
    <s v="ATRASADO"/>
    <s v="ENTREGUE 4 PEÇAS NO DANFE 34.708 EM 06/02-GRANATO"/>
  </r>
  <r>
    <s v="049636014133.14.10257.00"/>
    <x v="20"/>
    <s v="0141"/>
    <x v="87"/>
    <x v="87"/>
    <s v="METALFISA METALURGICA EIRELI LTDA"/>
    <d v="2025-09-30T00:00:00"/>
    <s v="MARCO"/>
    <n v="2"/>
    <n v="413.1"/>
    <n v="826.2"/>
    <s v="APROVADO"/>
    <s v="10"/>
    <x v="18"/>
    <s v="-"/>
    <n v="38"/>
    <s v="ATRASADO"/>
    <s v="-"/>
  </r>
  <r>
    <s v="049636014233.14.10258.00"/>
    <x v="20"/>
    <s v="0142"/>
    <x v="88"/>
    <x v="88"/>
    <s v="METALFISA METALURGICA EIRELI LTDA"/>
    <d v="2025-09-30T00:00:00"/>
    <s v="MARCO"/>
    <n v="2"/>
    <n v="413.1"/>
    <n v="826.2"/>
    <s v="APROVADO"/>
    <s v="10"/>
    <x v="18"/>
    <s v="-"/>
    <n v="38"/>
    <s v="ATRASADO"/>
    <s v="-"/>
  </r>
  <r>
    <s v="049636014333.14.10259.00"/>
    <x v="20"/>
    <s v="0143"/>
    <x v="329"/>
    <x v="329"/>
    <s v="METALFISA METALURGICA EIRELI LTDA"/>
    <d v="2025-09-30T00:00:00"/>
    <s v="MARCO"/>
    <n v="8"/>
    <n v="16.3"/>
    <n v="195.6"/>
    <s v="APROVADO"/>
    <s v="10"/>
    <x v="18"/>
    <s v="-"/>
    <n v="38"/>
    <s v="ATRASADO"/>
    <s v="-"/>
  </r>
  <r>
    <s v="049636014433.14.10260.00"/>
    <x v="20"/>
    <s v="0144"/>
    <x v="330"/>
    <x v="330"/>
    <s v="METALFISA METALURGICA EIRELI LTDA"/>
    <d v="2025-09-30T00:00:00"/>
    <s v="MARCO"/>
    <n v="4"/>
    <n v="1.6"/>
    <n v="6.4"/>
    <s v="APROVADO"/>
    <s v="10"/>
    <x v="18"/>
    <s v="-"/>
    <n v="38"/>
    <s v="ATRASADO"/>
    <s v="-"/>
  </r>
  <r>
    <s v="049636014733.14.10267.00"/>
    <x v="20"/>
    <s v="0147"/>
    <x v="89"/>
    <x v="89"/>
    <s v="METALFISA METALURGICA EIRELI LTDA"/>
    <d v="2025-09-30T00:00:00"/>
    <s v="MARCO"/>
    <n v="4"/>
    <n v="14.7"/>
    <n v="58.8"/>
    <s v="APROVADO"/>
    <s v="10"/>
    <x v="18"/>
    <s v="-"/>
    <n v="38"/>
    <s v="ATRASADO"/>
    <s v="-"/>
  </r>
  <r>
    <s v="049636014833.14.10268.00"/>
    <x v="20"/>
    <s v="0148"/>
    <x v="90"/>
    <x v="90"/>
    <s v="METALFISA METALURGICA EIRELI LTDA"/>
    <d v="2025-09-30T00:00:00"/>
    <s v="MARCO"/>
    <n v="2"/>
    <n v="41"/>
    <n v="82"/>
    <s v="APROVADO"/>
    <s v="10"/>
    <x v="18"/>
    <s v="-"/>
    <n v="38"/>
    <s v="ATRASADO"/>
    <s v="-"/>
  </r>
  <r>
    <s v="049636015033.14.10270.00"/>
    <x v="20"/>
    <s v="0150"/>
    <x v="331"/>
    <x v="331"/>
    <s v="METALFISA METALURGICA EIRELI LTDA"/>
    <d v="2025-09-30T00:00:00"/>
    <s v="MARCO"/>
    <n v="4"/>
    <n v="35.799999999999997"/>
    <n v="143.19999999999999"/>
    <s v="APROVADO"/>
    <s v="10"/>
    <x v="18"/>
    <s v="-"/>
    <n v="38"/>
    <s v="ATRASADO"/>
    <s v="-"/>
  </r>
  <r>
    <s v="049636015133.14.10271.00"/>
    <x v="20"/>
    <s v="0151"/>
    <x v="332"/>
    <x v="332"/>
    <s v="METALFISA METALURGICA EIRELI LTDA"/>
    <d v="2025-09-30T00:00:00"/>
    <s v="MARCO"/>
    <n v="2"/>
    <n v="28"/>
    <n v="112"/>
    <s v="APROVADO"/>
    <s v="10"/>
    <x v="18"/>
    <s v="-"/>
    <n v="38"/>
    <s v="ATRASADO"/>
    <s v="-"/>
  </r>
  <r>
    <s v="049636015233.14.10274.00"/>
    <x v="20"/>
    <s v="0152"/>
    <x v="24"/>
    <x v="24"/>
    <s v="METALFISA METALURGICA EIRELI LTDA"/>
    <d v="2025-09-30T00:00:00"/>
    <s v="MARCO"/>
    <n v="2"/>
    <n v="685.4"/>
    <n v="1370.8"/>
    <s v="APROVADO"/>
    <s v="10"/>
    <x v="18"/>
    <s v="-"/>
    <n v="38"/>
    <s v="ATRASADO"/>
    <s v="-"/>
  </r>
  <r>
    <s v="049636015333.99.10023.00"/>
    <x v="20"/>
    <s v="0153"/>
    <x v="28"/>
    <x v="28"/>
    <s v="METALFISA METALURGICA EIRELI LTDA"/>
    <d v="2025-09-30T00:00:00"/>
    <s v="MARCO"/>
    <n v="7"/>
    <n v="5.15"/>
    <n v="36.049999999999997"/>
    <s v="APROVADO"/>
    <s v="10"/>
    <x v="18"/>
    <s v="-"/>
    <n v="38"/>
    <s v="ATRASADO"/>
    <s v="-"/>
  </r>
  <r>
    <s v="049636015433.99.10023.00"/>
    <x v="20"/>
    <s v="0154"/>
    <x v="28"/>
    <x v="28"/>
    <s v="METALFISA METALURGICA EIRELI LTDA"/>
    <d v="2025-09-30T00:00:00"/>
    <s v="MARCO"/>
    <n v="126"/>
    <n v="5.15"/>
    <n v="648.9"/>
    <s v="APROVADO"/>
    <s v="10"/>
    <x v="18"/>
    <s v="-"/>
    <n v="38"/>
    <s v="ATRASADO"/>
    <s v="-"/>
  </r>
  <r>
    <s v="049636015533.99.10024.00"/>
    <x v="20"/>
    <s v="0155"/>
    <x v="25"/>
    <x v="25"/>
    <s v="METALFISA METALURGICA EIRELI LTDA"/>
    <d v="2025-09-30T00:00:00"/>
    <s v="MARCO"/>
    <n v="72"/>
    <n v="5.98"/>
    <n v="430.56"/>
    <s v="APROVADO"/>
    <s v="10"/>
    <x v="18"/>
    <s v="-"/>
    <n v="38"/>
    <s v="ATRASADO"/>
    <s v="-"/>
  </r>
  <r>
    <s v="049636015633.99.10024.00"/>
    <x v="20"/>
    <s v="0156"/>
    <x v="25"/>
    <x v="25"/>
    <s v="METALFISA METALURGICA EIRELI LTDA"/>
    <d v="2025-09-30T00:00:00"/>
    <s v="MARCO"/>
    <n v="6"/>
    <n v="5.98"/>
    <n v="35.880000000000003"/>
    <s v="APROVADO"/>
    <s v="10"/>
    <x v="18"/>
    <s v="-"/>
    <n v="38"/>
    <s v="ATRASADO"/>
    <s v="-"/>
  </r>
  <r>
    <s v="049636015733.99.10024.00"/>
    <x v="20"/>
    <s v="0157"/>
    <x v="25"/>
    <x v="25"/>
    <s v="METALFISA METALURGICA EIRELI LTDA"/>
    <d v="2025-09-30T00:00:00"/>
    <s v="MARCO"/>
    <n v="113"/>
    <n v="5.98"/>
    <n v="675.74"/>
    <s v="APROVADO"/>
    <s v="10"/>
    <x v="18"/>
    <s v="-"/>
    <n v="38"/>
    <s v="ATRASADO"/>
    <s v="ENTREGUE 4 PEÇAS NO DANFE 41640 EM 06/02-METALFISA"/>
  </r>
  <r>
    <s v="049818000221.23.00958"/>
    <x v="21"/>
    <s v="0002"/>
    <x v="333"/>
    <x v="333"/>
    <s v="METALFISA METALURGICA EIRELI LTDA"/>
    <d v="2025-10-04T00:00:00"/>
    <s v="MARCO"/>
    <n v="1"/>
    <n v="13.71"/>
    <n v="534.69000000000005"/>
    <s v="APROVADO"/>
    <s v="10"/>
    <x v="19"/>
    <s v="-"/>
    <n v="42"/>
    <s v="ATRASADO"/>
    <s v="-"/>
  </r>
  <r>
    <s v="049818000321.23.00964"/>
    <x v="21"/>
    <s v="0003"/>
    <x v="334"/>
    <x v="334"/>
    <s v="METALFISA METALURGICA EIRELI LTDA"/>
    <d v="2025-10-04T00:00:00"/>
    <s v="MARCO"/>
    <n v="33"/>
    <n v="35.6"/>
    <n v="1174.8"/>
    <s v="APROVADO"/>
    <s v="10"/>
    <x v="19"/>
    <s v="-"/>
    <n v="42"/>
    <s v="ATRASADO"/>
    <s v="ENTREGUE 1 PEÇA NO DANFE 41708 EM 06/02-METALFISA"/>
  </r>
  <r>
    <s v="049818000421.23.00967"/>
    <x v="21"/>
    <s v="0004"/>
    <x v="335"/>
    <x v="335"/>
    <s v="METALFISA METALURGICA EIRELI LTDA"/>
    <d v="2025-10-04T00:00:00"/>
    <s v="MARCO"/>
    <n v="2"/>
    <n v="35.6"/>
    <n v="1174.8"/>
    <s v="APROVADO"/>
    <s v="10"/>
    <x v="19"/>
    <s v="-"/>
    <n v="42"/>
    <s v="ATRASADO"/>
    <s v="-"/>
  </r>
  <r>
    <s v="049818000621.23.00971"/>
    <x v="21"/>
    <s v="0006"/>
    <x v="336"/>
    <x v="336"/>
    <s v="METALFISA METALURGICA EIRELI LTDA"/>
    <d v="2025-10-04T00:00:00"/>
    <s v="MARCO"/>
    <n v="66"/>
    <n v="32.200000000000003"/>
    <n v="2125.1999999999998"/>
    <s v="APROVADO"/>
    <s v="10"/>
    <x v="19"/>
    <s v="-"/>
    <n v="42"/>
    <s v="ATRASADO"/>
    <s v="-"/>
  </r>
  <r>
    <s v="049818000721.23.00972"/>
    <x v="21"/>
    <s v="0007"/>
    <x v="337"/>
    <x v="337"/>
    <s v="METALFISA METALURGICA EIRELI LTDA"/>
    <d v="2025-10-04T00:00:00"/>
    <s v="MARCO"/>
    <n v="66"/>
    <n v="66.06"/>
    <n v="4359.96"/>
    <s v="APROVADO"/>
    <s v="10"/>
    <x v="19"/>
    <s v="-"/>
    <n v="42"/>
    <s v="ATRASADO"/>
    <s v="ENTREGUE 4 PEÇAS NO DANFE 41640 EM 06/02-METALFISA"/>
  </r>
  <r>
    <s v="049818000821.23.00973"/>
    <x v="21"/>
    <s v="0008"/>
    <x v="338"/>
    <x v="338"/>
    <s v="METALFISA METALURGICA EIRELI LTDA"/>
    <d v="2025-10-04T00:00:00"/>
    <s v="MARCO"/>
    <n v="64"/>
    <n v="66.06"/>
    <n v="4359.96"/>
    <s v="APROVADO"/>
    <s v="10"/>
    <x v="19"/>
    <s v="-"/>
    <n v="42"/>
    <s v="ATRASADO"/>
    <s v="-"/>
  </r>
  <r>
    <s v="049818001421.23.00995"/>
    <x v="21"/>
    <s v="0014"/>
    <x v="339"/>
    <x v="339"/>
    <s v="METALFISA METALURGICA EIRELI LTDA"/>
    <d v="2025-10-04T00:00:00"/>
    <s v="MARCO"/>
    <n v="66"/>
    <n v="9.57"/>
    <n v="631.62"/>
    <s v="APROVADO"/>
    <s v="10"/>
    <x v="19"/>
    <s v="-"/>
    <n v="42"/>
    <s v="ATRASADO"/>
    <s v="-"/>
  </r>
  <r>
    <s v="049818001721.23.01007"/>
    <x v="21"/>
    <s v="0017"/>
    <x v="340"/>
    <x v="340"/>
    <s v="METALFISA METALURGICA EIRELI LTDA"/>
    <d v="2025-10-04T00:00:00"/>
    <s v="MARCO"/>
    <n v="35"/>
    <n v="10.119999999999999"/>
    <n v="354.2"/>
    <s v="APROVADO"/>
    <s v="10"/>
    <x v="19"/>
    <s v="-"/>
    <n v="42"/>
    <s v="ATRASADO"/>
    <s v="-"/>
  </r>
  <r>
    <s v="049818001821.23.01019"/>
    <x v="21"/>
    <s v="0018"/>
    <x v="341"/>
    <x v="341"/>
    <s v="METALFISA METALURGICA EIRELI LTDA"/>
    <d v="2025-10-04T00:00:00"/>
    <s v="MARCO"/>
    <n v="3"/>
    <n v="5.7"/>
    <n v="376.2"/>
    <s v="APROVADO"/>
    <s v="10"/>
    <x v="19"/>
    <s v="-"/>
    <n v="42"/>
    <s v="ATRASADO"/>
    <s v="-"/>
  </r>
  <r>
    <s v="049818002021.23.01023"/>
    <x v="21"/>
    <s v="0020"/>
    <x v="29"/>
    <x v="29"/>
    <s v="METALFISA METALURGICA EIRELI LTDA"/>
    <d v="2025-10-04T00:00:00"/>
    <s v="MARCO"/>
    <n v="3"/>
    <n v="22"/>
    <n v="66"/>
    <s v="APROVADO"/>
    <s v="10"/>
    <x v="19"/>
    <s v="-"/>
    <n v="42"/>
    <s v="ATRASADO"/>
    <s v="-"/>
  </r>
  <r>
    <s v="049818002121.23.01023"/>
    <x v="21"/>
    <s v="0021"/>
    <x v="29"/>
    <x v="29"/>
    <s v="METALFISA METALURGICA EIRELI LTDA"/>
    <d v="2025-10-04T00:00:00"/>
    <s v="MARCO"/>
    <n v="30"/>
    <n v="22"/>
    <n v="660"/>
    <s v="APROVADO"/>
    <s v="10"/>
    <x v="19"/>
    <s v="-"/>
    <n v="42"/>
    <s v="ATRASADO"/>
    <s v="-"/>
  </r>
  <r>
    <s v="049818002421.23.01032"/>
    <x v="21"/>
    <s v="0024"/>
    <x v="342"/>
    <x v="342"/>
    <s v="METALFISA METALURGICA EIRELI LTDA"/>
    <d v="2025-10-04T00:00:00"/>
    <s v="MARCO"/>
    <n v="1"/>
    <n v="196.14"/>
    <n v="12945.24"/>
    <s v="APROVADO"/>
    <s v="10"/>
    <x v="19"/>
    <s v="-"/>
    <n v="42"/>
    <s v="ATRASADO"/>
    <s v="-"/>
  </r>
  <r>
    <s v="049818002521.23.01039"/>
    <x v="21"/>
    <s v="0025"/>
    <x v="343"/>
    <x v="343"/>
    <s v="METALFISA METALURGICA EIRELI LTDA"/>
    <d v="2025-10-04T00:00:00"/>
    <s v="MARCO"/>
    <n v="66"/>
    <n v="15.46"/>
    <n v="1020.36"/>
    <s v="APROVADO"/>
    <s v="10"/>
    <x v="19"/>
    <s v="-"/>
    <n v="42"/>
    <s v="ATRASADO"/>
    <s v="-"/>
  </r>
  <r>
    <s v="049818002921.23.01172"/>
    <x v="21"/>
    <s v="0029"/>
    <x v="344"/>
    <x v="344"/>
    <s v="METALFISA METALURGICA EIRELI LTDA"/>
    <d v="2025-10-04T00:00:00"/>
    <s v="MARCO"/>
    <n v="33"/>
    <n v="29.62"/>
    <n v="977.46"/>
    <s v="APROVADO"/>
    <s v="10"/>
    <x v="19"/>
    <s v="-"/>
    <n v="42"/>
    <s v="ATRASADO"/>
    <s v="-"/>
  </r>
  <r>
    <s v="049818003121.23.01287"/>
    <x v="21"/>
    <s v="0031"/>
    <x v="345"/>
    <x v="345"/>
    <s v="METALFISA METALURGICA EIRELI LTDA"/>
    <d v="2025-10-04T00:00:00"/>
    <s v="MARCO"/>
    <n v="2"/>
    <n v="19.87"/>
    <n v="655.71"/>
    <s v="APROVADO"/>
    <s v="10"/>
    <x v="19"/>
    <s v="-"/>
    <n v="42"/>
    <s v="ATRASADO"/>
    <s v="-"/>
  </r>
  <r>
    <s v="049818003221.23.01288"/>
    <x v="21"/>
    <s v="0032"/>
    <x v="346"/>
    <x v="346"/>
    <s v="METALFISA METALURGICA EIRELI LTDA"/>
    <d v="2025-10-04T00:00:00"/>
    <s v="MARCO"/>
    <n v="33"/>
    <n v="30.08"/>
    <n v="992.64"/>
    <s v="APROVADO"/>
    <s v="10"/>
    <x v="19"/>
    <s v="-"/>
    <n v="42"/>
    <s v="ATRASADO"/>
    <s v="-"/>
  </r>
  <r>
    <s v="049818003321.23.01289"/>
    <x v="21"/>
    <s v="0033"/>
    <x v="347"/>
    <x v="347"/>
    <s v="METALFISA METALURGICA EIRELI LTDA"/>
    <d v="2025-10-04T00:00:00"/>
    <s v="MARCO"/>
    <n v="33"/>
    <n v="27.78"/>
    <n v="916.74"/>
    <s v="APROVADO"/>
    <s v="10"/>
    <x v="19"/>
    <s v="-"/>
    <n v="42"/>
    <s v="ATRASADO"/>
    <s v="-"/>
  </r>
  <r>
    <s v="049818003421.23.01290"/>
    <x v="21"/>
    <s v="0034"/>
    <x v="348"/>
    <x v="348"/>
    <s v="METALFISA METALURGICA EIRELI LTDA"/>
    <d v="2025-10-04T00:00:00"/>
    <s v="MARCO"/>
    <n v="1"/>
    <n v="3.04"/>
    <n v="100.32"/>
    <s v="APROVADO"/>
    <s v="10"/>
    <x v="19"/>
    <s v="-"/>
    <n v="42"/>
    <s v="ATRASADO"/>
    <s v="-"/>
  </r>
  <r>
    <s v="049818003621.23.01295"/>
    <x v="21"/>
    <s v="0036"/>
    <x v="349"/>
    <x v="349"/>
    <s v="METALFISA METALURGICA EIRELI LTDA"/>
    <d v="2025-10-04T00:00:00"/>
    <s v="MARCO"/>
    <n v="1"/>
    <n v="22.36"/>
    <n v="737.88"/>
    <s v="APROVADO"/>
    <s v="10"/>
    <x v="19"/>
    <s v="-"/>
    <n v="42"/>
    <s v="ATRASADO"/>
    <s v="-"/>
  </r>
  <r>
    <s v="049818003721.23.01296"/>
    <x v="21"/>
    <s v="0037"/>
    <x v="350"/>
    <x v="350"/>
    <s v="METALFISA METALURGICA EIRELI LTDA"/>
    <d v="2025-10-04T00:00:00"/>
    <s v="MARCO"/>
    <n v="1"/>
    <n v="17.39"/>
    <n v="1147.74"/>
    <s v="APROVADO"/>
    <s v="10"/>
    <x v="19"/>
    <s v="-"/>
    <n v="42"/>
    <s v="ATRASADO"/>
    <s v="-"/>
  </r>
  <r>
    <s v="049818003821.23.01298"/>
    <x v="21"/>
    <s v="0038"/>
    <x v="351"/>
    <x v="351"/>
    <s v="METALFISA METALURGICA EIRELI LTDA"/>
    <d v="2025-10-04T00:00:00"/>
    <s v="MARCO"/>
    <n v="2"/>
    <n v="28.98"/>
    <n v="1912.68"/>
    <s v="APROVADO"/>
    <s v="10"/>
    <x v="19"/>
    <s v="-"/>
    <n v="42"/>
    <s v="ATRASADO"/>
    <s v="-"/>
  </r>
  <r>
    <s v="049818003921.23.01662"/>
    <x v="21"/>
    <s v="0039"/>
    <x v="352"/>
    <x v="352"/>
    <s v="METALFISA METALURGICA EIRELI LTDA"/>
    <d v="2025-10-04T00:00:00"/>
    <s v="MARCO"/>
    <n v="32"/>
    <n v="57.8"/>
    <n v="3468"/>
    <s v="APROVADO"/>
    <s v="10"/>
    <x v="19"/>
    <s v="-"/>
    <n v="42"/>
    <s v="ATRASADO"/>
    <s v="-"/>
  </r>
  <r>
    <s v="049818004021.23.02248"/>
    <x v="21"/>
    <s v="0040"/>
    <x v="353"/>
    <x v="353"/>
    <s v="METALFISA METALURGICA EIRELI LTDA"/>
    <d v="2025-10-04T00:00:00"/>
    <s v="MARCO"/>
    <n v="3"/>
    <n v="9.57"/>
    <n v="1263.24"/>
    <s v="APROVADO"/>
    <s v="10"/>
    <x v="19"/>
    <s v="-"/>
    <n v="42"/>
    <s v="ATRASADO"/>
    <s v="-"/>
  </r>
  <r>
    <s v="049818004621.23.02258"/>
    <x v="21"/>
    <s v="0046"/>
    <x v="354"/>
    <x v="354"/>
    <s v="METALFISA METALURGICA EIRELI LTDA"/>
    <d v="2025-10-04T00:00:00"/>
    <s v="MARCO"/>
    <n v="2"/>
    <n v="60"/>
    <n v="3960"/>
    <s v="APROVADO"/>
    <s v="10"/>
    <x v="19"/>
    <s v="-"/>
    <n v="42"/>
    <s v="ATRASADO"/>
    <s v="-"/>
  </r>
  <r>
    <s v="049818004921.23.02263"/>
    <x v="21"/>
    <s v="0049"/>
    <x v="355"/>
    <x v="355"/>
    <s v="METALFISA METALURGICA EIRELI LTDA"/>
    <d v="2025-10-04T00:00:00"/>
    <s v="MARCO"/>
    <n v="15"/>
    <n v="17.57"/>
    <n v="1194.76"/>
    <s v="APROVADO"/>
    <s v="10"/>
    <x v="19"/>
    <s v="-"/>
    <n v="42"/>
    <s v="ATRASADO"/>
    <s v="-"/>
  </r>
  <r>
    <s v="049818005021.23.02265"/>
    <x v="21"/>
    <s v="0050"/>
    <x v="356"/>
    <x v="356"/>
    <s v="METALFISA METALURGICA EIRELI LTDA"/>
    <d v="2025-10-04T00:00:00"/>
    <s v="MARCO"/>
    <n v="31"/>
    <n v="189.7"/>
    <n v="6639.5"/>
    <s v="APROVADO"/>
    <s v="10"/>
    <x v="19"/>
    <s v="-"/>
    <n v="42"/>
    <s v="ATRASADO"/>
    <s v="-"/>
  </r>
  <r>
    <s v="049818005121.23.02267"/>
    <x v="21"/>
    <s v="0051"/>
    <x v="17"/>
    <x v="17"/>
    <s v="METALFISA METALURGICA EIRELI LTDA"/>
    <d v="2025-10-04T00:00:00"/>
    <s v="MARCO"/>
    <n v="2"/>
    <n v="29"/>
    <n v="58"/>
    <s v="APROVADO"/>
    <s v="10"/>
    <x v="19"/>
    <s v="-"/>
    <n v="42"/>
    <s v="ATRASADO"/>
    <s v="-"/>
  </r>
  <r>
    <s v="049818005321.23.02268"/>
    <x v="21"/>
    <s v="0053"/>
    <x v="357"/>
    <x v="357"/>
    <s v="METALFISA METALURGICA EIRELI LTDA"/>
    <d v="2025-10-04T00:00:00"/>
    <s v="MARCO"/>
    <n v="1"/>
    <n v="20"/>
    <n v="20"/>
    <s v="APROVADO"/>
    <s v="10"/>
    <x v="19"/>
    <s v="-"/>
    <n v="42"/>
    <s v="ATRASADO"/>
    <s v="-"/>
  </r>
  <r>
    <s v="049818005421.23.02270"/>
    <x v="21"/>
    <s v="0054"/>
    <x v="358"/>
    <x v="358"/>
    <s v="METALFISA METALURGICA EIRELI LTDA"/>
    <d v="2025-10-04T00:00:00"/>
    <s v="MARCO"/>
    <n v="33"/>
    <n v="35.6"/>
    <n v="1174.8"/>
    <s v="APROVADO"/>
    <s v="10"/>
    <x v="19"/>
    <s v="-"/>
    <n v="42"/>
    <s v="ATRASADO"/>
    <s v="-"/>
  </r>
  <r>
    <s v="049818005521.23.02272"/>
    <x v="21"/>
    <s v="0055"/>
    <x v="359"/>
    <x v="359"/>
    <s v="METALFISA METALURGICA EIRELI LTDA"/>
    <d v="2025-10-04T00:00:00"/>
    <s v="MARCO"/>
    <n v="1"/>
    <n v="35.6"/>
    <n v="1174.8"/>
    <s v="APROVADO"/>
    <s v="10"/>
    <x v="19"/>
    <s v="-"/>
    <n v="42"/>
    <s v="ATRASADO"/>
    <s v="-"/>
  </r>
  <r>
    <s v="049818005621.23.02274"/>
    <x v="21"/>
    <s v="0056"/>
    <x v="360"/>
    <x v="360"/>
    <s v="METALFISA METALURGICA EIRELI LTDA"/>
    <d v="2025-10-04T00:00:00"/>
    <s v="MARCO"/>
    <n v="66"/>
    <n v="123.92"/>
    <n v="8178.72"/>
    <s v="APROVADO"/>
    <s v="10"/>
    <x v="19"/>
    <s v="-"/>
    <n v="42"/>
    <s v="ATRASADO"/>
    <s v="-"/>
  </r>
  <r>
    <s v="049818005821.23.02276"/>
    <x v="21"/>
    <s v="0058"/>
    <x v="361"/>
    <x v="361"/>
    <s v="METALFISA METALURGICA EIRELI LTDA"/>
    <d v="2025-10-04T00:00:00"/>
    <s v="MARCO"/>
    <n v="1"/>
    <n v="237.73"/>
    <n v="7845.09"/>
    <s v="APROVADO"/>
    <s v="10"/>
    <x v="19"/>
    <s v="-"/>
    <n v="42"/>
    <s v="ATRASADO"/>
    <s v="-"/>
  </r>
  <r>
    <s v="049818006021.23.02279"/>
    <x v="21"/>
    <s v="0060"/>
    <x v="362"/>
    <x v="362"/>
    <s v="METALFISA METALURGICA EIRELI LTDA"/>
    <d v="2025-10-04T00:00:00"/>
    <s v="MARCO"/>
    <n v="2"/>
    <n v="623.76"/>
    <n v="20584.080000000002"/>
    <s v="APROVADO"/>
    <s v="10"/>
    <x v="19"/>
    <s v="-"/>
    <n v="42"/>
    <s v="ATRASADO"/>
    <s v="-"/>
  </r>
  <r>
    <s v="049818006221.23.02281"/>
    <x v="21"/>
    <s v="0062"/>
    <x v="34"/>
    <x v="34"/>
    <s v="METALFISA METALURGICA EIRELI LTDA"/>
    <d v="2025-10-04T00:00:00"/>
    <s v="MARCO"/>
    <n v="1"/>
    <n v="634.42999999999995"/>
    <n v="20936.189999999999"/>
    <s v="APROVADO"/>
    <s v="10"/>
    <x v="19"/>
    <s v="-"/>
    <n v="42"/>
    <s v="ATRASADO"/>
    <s v="-"/>
  </r>
  <r>
    <s v="049818006321.23.02282"/>
    <x v="21"/>
    <s v="0063"/>
    <x v="363"/>
    <x v="363"/>
    <s v="METALFISA METALURGICA EIRELI LTDA"/>
    <d v="2025-10-04T00:00:00"/>
    <s v="MARCO"/>
    <n v="2"/>
    <n v="190"/>
    <n v="380"/>
    <s v="APROVADO"/>
    <s v="10"/>
    <x v="19"/>
    <s v="-"/>
    <n v="42"/>
    <s v="ATRASADO"/>
    <s v="-"/>
  </r>
  <r>
    <s v="049818006521.23.02284"/>
    <x v="21"/>
    <s v="0065"/>
    <x v="364"/>
    <x v="364"/>
    <s v="METALFISA METALURGICA EIRELI LTDA"/>
    <d v="2025-10-04T00:00:00"/>
    <s v="MARCO"/>
    <n v="11"/>
    <n v="59.34"/>
    <n v="1958.22"/>
    <s v="APROVADO"/>
    <s v="10"/>
    <x v="19"/>
    <s v="-"/>
    <n v="42"/>
    <s v="ATRASADO"/>
    <s v="-"/>
  </r>
  <r>
    <s v="049818006621.23.02285"/>
    <x v="21"/>
    <s v="0066"/>
    <x v="365"/>
    <x v="365"/>
    <s v="METALFISA METALURGICA EIRELI LTDA"/>
    <d v="2025-10-04T00:00:00"/>
    <s v="MARCO"/>
    <n v="1"/>
    <n v="455.4"/>
    <n v="1366.2"/>
    <s v="APROVADO"/>
    <s v="10"/>
    <x v="19"/>
    <s v="-"/>
    <n v="42"/>
    <s v="ATRASADO"/>
    <s v="-"/>
  </r>
  <r>
    <s v="049818006821.23.02288"/>
    <x v="21"/>
    <s v="0068"/>
    <x v="366"/>
    <x v="366"/>
    <s v="METALFISA METALURGICA EIRELI LTDA"/>
    <d v="2025-10-04T00:00:00"/>
    <s v="MARCO"/>
    <n v="2"/>
    <n v="15"/>
    <n v="975"/>
    <s v="APROVADO"/>
    <s v="10"/>
    <x v="19"/>
    <s v="-"/>
    <n v="42"/>
    <s v="ATRASADO"/>
    <s v="-"/>
  </r>
  <r>
    <s v="049818006921.23.02289"/>
    <x v="21"/>
    <s v="0069"/>
    <x v="367"/>
    <x v="367"/>
    <s v="METALFISA METALURGICA EIRELI LTDA"/>
    <d v="2025-10-04T00:00:00"/>
    <s v="MARCO"/>
    <n v="5"/>
    <n v="503.79"/>
    <n v="66500.28"/>
    <s v="APROVADO"/>
    <s v="10"/>
    <x v="19"/>
    <s v="-"/>
    <n v="42"/>
    <s v="ATRASADO"/>
    <s v="ENTREGUE 1 PEÇA NO DANFE 34.709 EM 06/02-GRANATO"/>
  </r>
  <r>
    <s v="049818007121.23.02291"/>
    <x v="21"/>
    <s v="0071"/>
    <x v="368"/>
    <x v="368"/>
    <s v="METALFISA METALURGICA EIRELI LTDA"/>
    <d v="2025-10-04T00:00:00"/>
    <s v="MARCO"/>
    <n v="132"/>
    <n v="101.57"/>
    <n v="13407.24"/>
    <s v="APROVADO"/>
    <s v="10"/>
    <x v="19"/>
    <s v="-"/>
    <n v="42"/>
    <s v="ATRASADO"/>
    <s v="ENTREGUE 1 PEÇA NO DANFE 34.709 EM 06/02-GRANATO"/>
  </r>
  <r>
    <s v="049818007221.23.02292"/>
    <x v="21"/>
    <s v="0072"/>
    <x v="369"/>
    <x v="369"/>
    <s v="METALFISA METALURGICA EIRELI LTDA"/>
    <d v="2025-10-04T00:00:00"/>
    <s v="MARCO"/>
    <n v="5"/>
    <n v="51.24"/>
    <n v="1690.92"/>
    <s v="APROVADO"/>
    <s v="10"/>
    <x v="19"/>
    <s v="-"/>
    <n v="42"/>
    <s v="ATRASADO"/>
    <s v="-"/>
  </r>
  <r>
    <s v="049818007321.23.02300"/>
    <x v="21"/>
    <s v="0073"/>
    <x v="370"/>
    <x v="370"/>
    <s v="METALFISA METALURGICA EIRELI LTDA"/>
    <d v="2025-10-04T00:00:00"/>
    <s v="MARCO"/>
    <n v="66"/>
    <n v="10.029999999999999"/>
    <n v="661.98"/>
    <s v="APROVADO"/>
    <s v="10"/>
    <x v="19"/>
    <s v="-"/>
    <n v="42"/>
    <s v="ATRASADO"/>
    <s v="ENTREGUE 4 PEÇAS NO DANFE 41640 EM 06/02-METALFISA"/>
  </r>
  <r>
    <s v="049818007421.23.02304"/>
    <x v="21"/>
    <s v="0074"/>
    <x v="371"/>
    <x v="371"/>
    <s v="METALFISA METALURGICA EIRELI LTDA"/>
    <d v="2025-10-04T00:00:00"/>
    <s v="MARCO"/>
    <n v="7"/>
    <n v="87.03"/>
    <n v="5221.8"/>
    <s v="APROVADO"/>
    <s v="10"/>
    <x v="19"/>
    <s v="-"/>
    <n v="42"/>
    <s v="ATRASADO"/>
    <s v="-"/>
  </r>
  <r>
    <s v="049818007721.23.02307"/>
    <x v="21"/>
    <s v="0077"/>
    <x v="372"/>
    <x v="372"/>
    <s v="METALFISA METALURGICA EIRELI LTDA"/>
    <d v="2025-10-04T00:00:00"/>
    <s v="MARCO"/>
    <n v="70"/>
    <n v="30.64"/>
    <n v="2144.8000000000002"/>
    <s v="APROVADO"/>
    <s v="10"/>
    <x v="19"/>
    <s v="-"/>
    <n v="42"/>
    <s v="ATRASADO"/>
    <s v="-"/>
  </r>
  <r>
    <s v="049818007821.23.02308"/>
    <x v="21"/>
    <s v="0078"/>
    <x v="373"/>
    <x v="373"/>
    <s v="METALFISA METALURGICA EIRELI LTDA"/>
    <d v="2025-10-04T00:00:00"/>
    <s v="MARCO"/>
    <n v="3"/>
    <n v="24.01"/>
    <n v="1680.7"/>
    <s v="APROVADO"/>
    <s v="10"/>
    <x v="19"/>
    <s v="-"/>
    <n v="42"/>
    <s v="ATRASADO"/>
    <s v="-"/>
  </r>
  <r>
    <s v="049818008021.23.02313"/>
    <x v="21"/>
    <s v="0080"/>
    <x v="374"/>
    <x v="374"/>
    <s v="METALFISA METALURGICA EIRELI LTDA"/>
    <d v="2025-10-04T00:00:00"/>
    <s v="MARCO"/>
    <n v="2"/>
    <n v="282.49"/>
    <n v="564.98"/>
    <s v="APROVADO"/>
    <s v="10"/>
    <x v="19"/>
    <s v="-"/>
    <n v="42"/>
    <s v="ATRASADO"/>
    <s v="-"/>
  </r>
  <r>
    <s v="049818008221.23.02315"/>
    <x v="21"/>
    <s v="0082"/>
    <x v="375"/>
    <x v="375"/>
    <s v="METALFISA METALURGICA EIRELI LTDA"/>
    <d v="2025-10-04T00:00:00"/>
    <s v="MARCO"/>
    <n v="2"/>
    <n v="75.27"/>
    <n v="150.54"/>
    <s v="APROVADO"/>
    <s v="10"/>
    <x v="19"/>
    <s v="-"/>
    <n v="42"/>
    <s v="ATRASADO"/>
    <s v="-"/>
  </r>
  <r>
    <s v="049818008321.23.02316"/>
    <x v="21"/>
    <s v="0083"/>
    <x v="376"/>
    <x v="376"/>
    <s v="METALFISA METALURGICA EIRELI LTDA"/>
    <d v="2025-10-04T00:00:00"/>
    <s v="MARCO"/>
    <n v="2"/>
    <n v="100.84"/>
    <n v="201.68"/>
    <s v="APROVADO"/>
    <s v="10"/>
    <x v="19"/>
    <s v="-"/>
    <n v="42"/>
    <s v="ATRASADO"/>
    <s v="ENTREGUE 10 PEÇAS NO DANFE 34.707 EM 06/02-GRANATO"/>
  </r>
  <r>
    <s v="049818008621.23.02320"/>
    <x v="21"/>
    <s v="0086"/>
    <x v="377"/>
    <x v="377"/>
    <s v="METALFISA METALURGICA EIRELI LTDA"/>
    <d v="2025-10-04T00:00:00"/>
    <s v="MARCO"/>
    <n v="2"/>
    <n v="45.965000000000003"/>
    <n v="183.86"/>
    <s v="APROVADO"/>
    <s v="10"/>
    <x v="19"/>
    <s v="-"/>
    <n v="42"/>
    <s v="ATRASADO"/>
    <s v="ENTREGUE 2 PEÇAS NO DANFE 34.707 EM 06/02-GRANATO"/>
  </r>
  <r>
    <s v="049818008721.23.02322"/>
    <x v="21"/>
    <s v="0087"/>
    <x v="378"/>
    <x v="378"/>
    <s v="METALFISA METALURGICA EIRELI LTDA"/>
    <d v="2025-10-04T00:00:00"/>
    <s v="MARCO"/>
    <n v="1"/>
    <n v="92.92"/>
    <n v="3066.36"/>
    <s v="APROVADO"/>
    <s v="10"/>
    <x v="19"/>
    <s v="-"/>
    <n v="42"/>
    <s v="ATRASADO"/>
    <s v="-"/>
  </r>
  <r>
    <s v="049818008821.23.02327"/>
    <x v="21"/>
    <s v="0088"/>
    <x v="379"/>
    <x v="379"/>
    <s v="METALFISA METALURGICA EIRELI LTDA"/>
    <d v="2025-10-04T00:00:00"/>
    <s v="MARCO"/>
    <n v="32"/>
    <n v="170.02"/>
    <n v="5610.66"/>
    <s v="APROVADO"/>
    <s v="10"/>
    <x v="19"/>
    <s v="-"/>
    <n v="42"/>
    <s v="ATRASADO"/>
    <s v="-"/>
  </r>
  <r>
    <s v="049818008921.23.02329"/>
    <x v="21"/>
    <s v="0089"/>
    <x v="2"/>
    <x v="2"/>
    <s v="METALFISA METALURGICA EIRELI LTDA"/>
    <d v="2025-10-04T00:00:00"/>
    <s v="MARCO"/>
    <n v="30"/>
    <n v="73.599999999999994"/>
    <n v="2208"/>
    <s v="APROVADO"/>
    <s v="10"/>
    <x v="19"/>
    <s v="-"/>
    <n v="42"/>
    <s v="ATRASADO"/>
    <s v="-"/>
  </r>
  <r>
    <s v="049818009221.23.02333"/>
    <x v="21"/>
    <s v="0092"/>
    <x v="380"/>
    <x v="380"/>
    <s v="METALFISA METALURGICA EIRELI LTDA"/>
    <d v="2025-10-04T00:00:00"/>
    <s v="MARCO"/>
    <n v="1"/>
    <n v="48.76"/>
    <n v="1609.08"/>
    <s v="APROVADO"/>
    <s v="10"/>
    <x v="19"/>
    <s v="-"/>
    <n v="42"/>
    <s v="ATRASADO"/>
    <s v="-"/>
  </r>
  <r>
    <s v="049818009321.23.02334"/>
    <x v="21"/>
    <s v="0093"/>
    <x v="381"/>
    <x v="381"/>
    <s v="METALFISA METALURGICA EIRELI LTDA"/>
    <d v="2025-10-04T00:00:00"/>
    <s v="MARCO"/>
    <n v="32"/>
    <n v="28.98"/>
    <n v="956.34"/>
    <s v="APROVADO"/>
    <s v="10"/>
    <x v="19"/>
    <s v="-"/>
    <n v="42"/>
    <s v="ATRASADO"/>
    <s v="-"/>
  </r>
  <r>
    <s v="049818009521.23.02338"/>
    <x v="21"/>
    <s v="0095"/>
    <x v="382"/>
    <x v="382"/>
    <s v="METALFISA METALURGICA EIRELI LTDA"/>
    <d v="2025-10-04T00:00:00"/>
    <s v="MARCO"/>
    <n v="1"/>
    <n v="181.61"/>
    <n v="5993.13"/>
    <s v="APROVADO"/>
    <s v="10"/>
    <x v="19"/>
    <s v="-"/>
    <n v="42"/>
    <s v="ATRASADO"/>
    <s v="-"/>
  </r>
  <r>
    <s v="049818009821.23.04168"/>
    <x v="21"/>
    <s v="0098"/>
    <x v="383"/>
    <x v="383"/>
    <s v="METALFISA METALURGICA EIRELI LTDA"/>
    <d v="2025-10-04T00:00:00"/>
    <s v="MARCO"/>
    <n v="33"/>
    <n v="63.3"/>
    <n v="2088.9"/>
    <s v="APROVADO"/>
    <s v="10"/>
    <x v="19"/>
    <s v="-"/>
    <n v="42"/>
    <s v="ATRASADO"/>
    <s v="-"/>
  </r>
  <r>
    <s v="049818009921.23.04169"/>
    <x v="21"/>
    <s v="0099"/>
    <x v="384"/>
    <x v="384"/>
    <s v="METALFISA METALURGICA EIRELI LTDA"/>
    <d v="2025-10-04T00:00:00"/>
    <s v="MARCO"/>
    <n v="33"/>
    <n v="63.3"/>
    <n v="2088.9"/>
    <s v="APROVADO"/>
    <s v="10"/>
    <x v="19"/>
    <s v="-"/>
    <n v="42"/>
    <s v="ATRASADO"/>
    <s v="ENTREGUE 2 PEÇAS NO DANFE 34.705 EM 06/02-GRANATO"/>
  </r>
  <r>
    <s v="049818010221.23.04290"/>
    <x v="21"/>
    <s v="0102"/>
    <x v="385"/>
    <x v="385"/>
    <s v="METALFISA METALURGICA EIRELI LTDA"/>
    <d v="2025-10-04T00:00:00"/>
    <s v="MARCO"/>
    <n v="15"/>
    <n v="310.11"/>
    <n v="9613.41"/>
    <s v="APROVADO"/>
    <s v="10"/>
    <x v="19"/>
    <s v="-"/>
    <n v="42"/>
    <s v="ATRASADO"/>
    <s v="ENTREGUE 2 PEÇAS NOS DANFE 34.703 &amp; 34.705 EM 06/02-GRANATO"/>
  </r>
  <r>
    <s v="049818010321.23.04291"/>
    <x v="21"/>
    <s v="0103"/>
    <x v="386"/>
    <x v="386"/>
    <s v="METALFISA METALURGICA EIRELI LTDA"/>
    <d v="2025-10-04T00:00:00"/>
    <s v="MARCO"/>
    <n v="15"/>
    <n v="221.18"/>
    <n v="6856.58"/>
    <s v="APROVADO"/>
    <s v="10"/>
    <x v="19"/>
    <s v="-"/>
    <n v="42"/>
    <s v="ATRASADO"/>
    <s v="ENTREGUE 2 PEÇAS NOS DANFE 34.703 &amp; 34.705 EM 06/02-GRANATO"/>
  </r>
  <r>
    <s v="049818010421.23.04292"/>
    <x v="21"/>
    <s v="0104"/>
    <x v="38"/>
    <x v="38"/>
    <s v="METALFISA METALURGICA EIRELI LTDA"/>
    <d v="2025-10-04T00:00:00"/>
    <s v="MARCO"/>
    <n v="10"/>
    <n v="287.68"/>
    <n v="8918.08"/>
    <s v="APROVADO"/>
    <s v="10"/>
    <x v="19"/>
    <s v="-"/>
    <n v="42"/>
    <s v="ATRASADO"/>
    <s v="-"/>
  </r>
  <r>
    <s v="049818010621.23.04495"/>
    <x v="21"/>
    <s v="0106"/>
    <x v="387"/>
    <x v="387"/>
    <s v="METALFISA METALURGICA EIRELI LTDA"/>
    <d v="2025-10-04T00:00:00"/>
    <s v="MARCO"/>
    <n v="33"/>
    <n v="27.78"/>
    <n v="916.74"/>
    <s v="APROVADO"/>
    <s v="10"/>
    <x v="19"/>
    <s v="-"/>
    <n v="42"/>
    <s v="ATRASADO"/>
    <s v="ENTREGUE 2 PEÇAS NO DANFE 34.703 EM 06/02-GRANATO"/>
  </r>
  <r>
    <s v="049818010721.23.04496"/>
    <x v="21"/>
    <s v="0107"/>
    <x v="94"/>
    <x v="94"/>
    <s v="METALFISA METALURGICA EIRELI LTDA"/>
    <d v="2025-10-04T00:00:00"/>
    <s v="MARCO"/>
    <n v="7"/>
    <n v="38"/>
    <n v="266"/>
    <s v="APROVADO"/>
    <s v="10"/>
    <x v="19"/>
    <s v="-"/>
    <n v="42"/>
    <s v="ATRASADO"/>
    <s v="ENTREGUE 2 PEÇAS NO DANFE 34.703 EM 06/02-GRANATO"/>
  </r>
  <r>
    <s v="049818010821.23.04497"/>
    <x v="21"/>
    <s v="0108"/>
    <x v="388"/>
    <x v="388"/>
    <s v="METALFISA METALURGICA EIRELI LTDA"/>
    <d v="2025-10-04T00:00:00"/>
    <s v="MARCO"/>
    <n v="3"/>
    <n v="31.74"/>
    <n v="952.2"/>
    <s v="APROVADO"/>
    <s v="10"/>
    <x v="19"/>
    <s v="-"/>
    <n v="42"/>
    <s v="ATRASADO"/>
    <s v="-"/>
  </r>
  <r>
    <s v="049818010921.23.04498"/>
    <x v="21"/>
    <s v="0109"/>
    <x v="389"/>
    <x v="389"/>
    <s v="METALFISA METALURGICA EIRELI LTDA"/>
    <d v="2025-10-04T00:00:00"/>
    <s v="MARCO"/>
    <n v="5"/>
    <n v="11.13"/>
    <n v="333.9"/>
    <s v="APROVADO"/>
    <s v="10"/>
    <x v="19"/>
    <s v="-"/>
    <n v="42"/>
    <s v="ATRASADO"/>
    <s v="-"/>
  </r>
  <r>
    <s v="049818011121.23.04507"/>
    <x v="21"/>
    <s v="0111"/>
    <x v="390"/>
    <x v="390"/>
    <s v="METALFISA METALURGICA EIRELI LTDA"/>
    <d v="2025-10-04T00:00:00"/>
    <s v="MARCO"/>
    <n v="1"/>
    <n v="17.38"/>
    <n v="573.54"/>
    <s v="APROVADO"/>
    <s v="10"/>
    <x v="19"/>
    <s v="-"/>
    <n v="42"/>
    <s v="ATRASADO"/>
    <s v="-"/>
  </r>
  <r>
    <s v="049818011421.23.04680"/>
    <x v="21"/>
    <s v="0114"/>
    <x v="391"/>
    <x v="391"/>
    <s v="METALFISA METALURGICA EIRELI LTDA"/>
    <d v="2025-10-04T00:00:00"/>
    <s v="MARCO"/>
    <n v="1"/>
    <n v="185"/>
    <n v="370"/>
    <s v="APROVADO"/>
    <s v="10"/>
    <x v="19"/>
    <s v="-"/>
    <n v="42"/>
    <s v="ATRASADO"/>
    <s v="-"/>
  </r>
  <r>
    <s v="049818011521.23.04779"/>
    <x v="21"/>
    <s v="0115"/>
    <x v="392"/>
    <x v="392"/>
    <s v="METALFISA METALURGICA EIRELI LTDA"/>
    <d v="2025-10-04T00:00:00"/>
    <s v="MARCO"/>
    <n v="33"/>
    <n v="111.5"/>
    <n v="3679.5"/>
    <s v="APROVADO"/>
    <s v="10"/>
    <x v="19"/>
    <s v="-"/>
    <n v="42"/>
    <s v="ATRASADO"/>
    <s v="-"/>
  </r>
  <r>
    <s v="049818012421.23.04812"/>
    <x v="21"/>
    <s v="0124"/>
    <x v="393"/>
    <x v="393"/>
    <s v="METALFISA METALURGICA EIRELI LTDA"/>
    <d v="2025-10-04T00:00:00"/>
    <s v="MARCO"/>
    <n v="33"/>
    <n v="9.66"/>
    <n v="318.77999999999997"/>
    <s v="APROVADO"/>
    <s v="10"/>
    <x v="19"/>
    <s v="-"/>
    <n v="42"/>
    <s v="ATRASADO"/>
    <s v="-"/>
  </r>
  <r>
    <s v="049818013033.03.10298.01"/>
    <x v="21"/>
    <s v="0130"/>
    <x v="394"/>
    <x v="394"/>
    <s v="METALFISA METALURGICA EIRELI LTDA"/>
    <d v="2025-10-04T00:00:00"/>
    <s v="MARCO"/>
    <n v="2"/>
    <n v="6.5"/>
    <n v="13"/>
    <s v="APROVADO"/>
    <s v="10"/>
    <x v="19"/>
    <s v="-"/>
    <n v="42"/>
    <s v="ATRASADO"/>
    <s v="-"/>
  </r>
  <r>
    <s v="049818013133.03.10305.03"/>
    <x v="21"/>
    <s v="0131"/>
    <x v="395"/>
    <x v="395"/>
    <s v="METALFISA METALURGICA EIRELI LTDA"/>
    <d v="2025-10-04T00:00:00"/>
    <s v="MARCO"/>
    <n v="11"/>
    <n v="9.02"/>
    <n v="297.66000000000003"/>
    <s v="APROVADO"/>
    <s v="10"/>
    <x v="19"/>
    <s v="-"/>
    <n v="42"/>
    <s v="ATRASADO"/>
    <s v="-"/>
  </r>
  <r>
    <s v="049818013233.03.10306.02"/>
    <x v="21"/>
    <s v="0132"/>
    <x v="27"/>
    <x v="27"/>
    <s v="METALFISA METALURGICA EIRELI LTDA"/>
    <d v="2025-10-04T00:00:00"/>
    <s v="MARCO"/>
    <n v="33"/>
    <n v="38.82"/>
    <n v="1281.06"/>
    <s v="APROVADO"/>
    <s v="10"/>
    <x v="19"/>
    <s v="-"/>
    <n v="42"/>
    <s v="ATRASADO"/>
    <s v="-"/>
  </r>
  <r>
    <s v="049818013333.03.10343.00"/>
    <x v="21"/>
    <s v="0133"/>
    <x v="396"/>
    <x v="396"/>
    <s v="METALFISA METALURGICA EIRELI LTDA"/>
    <d v="2025-10-04T00:00:00"/>
    <s v="MARCO"/>
    <n v="33"/>
    <n v="15.64"/>
    <n v="516.12"/>
    <s v="APROVADO"/>
    <s v="10"/>
    <x v="19"/>
    <s v="-"/>
    <n v="42"/>
    <s v="ATRASADO"/>
    <s v="-"/>
  </r>
  <r>
    <s v="049818013433.03.90024.00"/>
    <x v="21"/>
    <s v="0134"/>
    <x v="397"/>
    <x v="397"/>
    <s v="METALFISA METALURGICA EIRELI LTDA"/>
    <d v="2025-10-04T00:00:00"/>
    <s v="MARCO"/>
    <n v="2"/>
    <n v="30.45"/>
    <n v="60.9"/>
    <s v="APROVADO"/>
    <s v="10"/>
    <x v="19"/>
    <s v="-"/>
    <n v="42"/>
    <s v="ATRASADO"/>
    <s v="-"/>
  </r>
  <r>
    <s v="049818013733.12.10410.00"/>
    <x v="21"/>
    <s v="0137"/>
    <x v="398"/>
    <x v="398"/>
    <s v="METALFISA METALURGICA EIRELI LTDA"/>
    <d v="2025-10-04T00:00:00"/>
    <s v="MARCO"/>
    <n v="62"/>
    <n v="21.93"/>
    <n v="1359.66"/>
    <s v="APROVADO"/>
    <s v="10"/>
    <x v="19"/>
    <s v="-"/>
    <n v="42"/>
    <s v="ATRASADO"/>
    <s v="-"/>
  </r>
  <r>
    <s v="049818013833.12.10411.00"/>
    <x v="21"/>
    <s v="0138"/>
    <x v="399"/>
    <x v="399"/>
    <s v="METALFISA METALURGICA EIRELI LTDA"/>
    <d v="2025-10-04T00:00:00"/>
    <s v="MARCO"/>
    <n v="62"/>
    <n v="21.93"/>
    <n v="1359.66"/>
    <s v="APROVADO"/>
    <s v="10"/>
    <x v="19"/>
    <s v="-"/>
    <n v="42"/>
    <s v="ATRASADO"/>
    <s v="-"/>
  </r>
  <r>
    <s v="049818014033.12.10537.00"/>
    <x v="21"/>
    <s v="0140"/>
    <x v="400"/>
    <x v="400"/>
    <s v="METALFISA METALURGICA EIRELI LTDA"/>
    <d v="2025-10-04T00:00:00"/>
    <s v="MARCO"/>
    <n v="717"/>
    <n v="7.82"/>
    <n v="11354.64"/>
    <s v="APROVADO"/>
    <s v="10"/>
    <x v="19"/>
    <s v="-"/>
    <n v="42"/>
    <s v="ATRASADO"/>
    <s v="-"/>
  </r>
  <r>
    <s v="049818014133.12.10538.00"/>
    <x v="21"/>
    <s v="0141"/>
    <x v="401"/>
    <x v="401"/>
    <s v="METALFISA METALURGICA EIRELI LTDA"/>
    <d v="2025-10-04T00:00:00"/>
    <s v="MARCO"/>
    <n v="1"/>
    <n v="63.02"/>
    <n v="2079.66"/>
    <s v="APROVADO"/>
    <s v="10"/>
    <x v="19"/>
    <s v="-"/>
    <n v="42"/>
    <s v="ATRASADO"/>
    <s v="-"/>
  </r>
  <r>
    <s v="049818014333.12.10545.03"/>
    <x v="21"/>
    <s v="0143"/>
    <x v="402"/>
    <x v="402"/>
    <s v="METALFISA METALURGICA EIRELI LTDA"/>
    <d v="2025-10-04T00:00:00"/>
    <s v="MARCO"/>
    <n v="81"/>
    <n v="15"/>
    <n v="10890"/>
    <s v="APROVADO"/>
    <s v="10"/>
    <x v="19"/>
    <s v="-"/>
    <n v="42"/>
    <s v="ATRASADO"/>
    <s v="-"/>
  </r>
  <r>
    <s v="049818014433.12.10548.01"/>
    <x v="21"/>
    <s v="0144"/>
    <x v="403"/>
    <x v="403"/>
    <s v="METALFISA METALURGICA EIRELI LTDA"/>
    <d v="2025-10-04T00:00:00"/>
    <s v="MARCO"/>
    <n v="110"/>
    <n v="10.5"/>
    <n v="1155"/>
    <s v="APROVADO"/>
    <s v="10"/>
    <x v="19"/>
    <s v="-"/>
    <n v="42"/>
    <s v="ATRASADO"/>
    <s v="-"/>
  </r>
  <r>
    <s v="049818014533.12.10550.01"/>
    <x v="21"/>
    <s v="0145"/>
    <x v="404"/>
    <x v="404"/>
    <s v="METALFISA METALURGICA EIRELI LTDA"/>
    <d v="2025-10-04T00:00:00"/>
    <s v="MARCO"/>
    <n v="1"/>
    <n v="295"/>
    <n v="590"/>
    <s v="APROVADO"/>
    <s v="10"/>
    <x v="19"/>
    <s v="-"/>
    <n v="42"/>
    <s v="ATRASADO"/>
    <s v="-"/>
  </r>
  <r>
    <s v="049818014733.12.10574.01"/>
    <x v="21"/>
    <s v="0147"/>
    <x v="405"/>
    <x v="405"/>
    <s v="METALFISA METALURGICA EIRELI LTDA"/>
    <d v="2025-10-04T00:00:00"/>
    <s v="MARCO"/>
    <n v="20"/>
    <n v="42.5"/>
    <n v="5610"/>
    <s v="APROVADO"/>
    <s v="10"/>
    <x v="19"/>
    <s v="-"/>
    <n v="42"/>
    <s v="ATRASADO"/>
    <s v="-"/>
  </r>
  <r>
    <s v="049818015133.12.10584.00"/>
    <x v="21"/>
    <s v="0151"/>
    <x v="406"/>
    <x v="406"/>
    <s v="METALFISA METALURGICA EIRELI LTDA"/>
    <d v="2025-10-04T00:00:00"/>
    <s v="MARCO"/>
    <n v="1"/>
    <n v="57.23"/>
    <n v="1888.59"/>
    <s v="APROVADO"/>
    <s v="10"/>
    <x v="19"/>
    <s v="-"/>
    <n v="42"/>
    <s v="ATRASADO"/>
    <s v="ENTREGUE 2 PEÇAS NO DANFE 34.704 EM 06/02-GRANATO"/>
  </r>
  <r>
    <s v="049818015233.12.10590.01"/>
    <x v="21"/>
    <s v="0152"/>
    <x v="407"/>
    <x v="407"/>
    <s v="METALFISA METALURGICA EIRELI LTDA"/>
    <d v="2025-10-04T00:00:00"/>
    <s v="MARCO"/>
    <n v="5"/>
    <n v="1447"/>
    <n v="47751"/>
    <s v="APROVADO"/>
    <s v="10"/>
    <x v="19"/>
    <s v="-"/>
    <n v="42"/>
    <s v="ATRASADO"/>
    <s v="ENTREGUE 2 PEÇAS NO DANFE 34.704 EM 06/02-GRANATO"/>
  </r>
  <r>
    <s v="049818015333.12.10591.01"/>
    <x v="21"/>
    <s v="0153"/>
    <x v="408"/>
    <x v="408"/>
    <s v="METALFISA METALURGICA EIRELI LTDA"/>
    <d v="2025-10-04T00:00:00"/>
    <s v="MARCO"/>
    <n v="3"/>
    <n v="1232"/>
    <n v="40656"/>
    <s v="APROVADO"/>
    <s v="10"/>
    <x v="19"/>
    <s v="-"/>
    <n v="42"/>
    <s v="ATRASADO"/>
    <s v="ENTREGUE 4 PEÇAS NO DANFE 34.704 EM 06/02-GRANATO"/>
  </r>
  <r>
    <s v="049818015433.12.10592.01"/>
    <x v="21"/>
    <s v="0154"/>
    <x v="409"/>
    <x v="409"/>
    <s v="METALFISA METALURGICA EIRELI LTDA"/>
    <d v="2025-10-04T00:00:00"/>
    <s v="MARCO"/>
    <n v="6"/>
    <n v="1345"/>
    <n v="44385"/>
    <s v="APROVADO"/>
    <s v="10"/>
    <x v="19"/>
    <s v="-"/>
    <n v="42"/>
    <s v="ATRASADO"/>
    <s v="ENTREGUE 2 PEÇAS NO DANFE 34.704 EM 06/02-GRANATO"/>
  </r>
  <r>
    <s v="049818015533.12.10595.00"/>
    <x v="21"/>
    <s v="0155"/>
    <x v="410"/>
    <x v="410"/>
    <s v="METALFISA METALURGICA EIRELI LTDA"/>
    <d v="2025-10-04T00:00:00"/>
    <s v="MARCO"/>
    <n v="6"/>
    <n v="75.5"/>
    <n v="19932"/>
    <s v="APROVADO"/>
    <s v="10"/>
    <x v="19"/>
    <s v="-"/>
    <n v="42"/>
    <s v="ATRASADO"/>
    <s v="ENTREGUE 2 PEÇAS NO DANFE 34.704 EM 06/02-GRANATO"/>
  </r>
  <r>
    <s v="049818015833.12.10604.00"/>
    <x v="21"/>
    <s v="0158"/>
    <x v="411"/>
    <x v="411"/>
    <s v="METALFISA METALURGICA EIRELI LTDA"/>
    <d v="2025-10-04T00:00:00"/>
    <s v="MARCO"/>
    <n v="33"/>
    <n v="289.5"/>
    <n v="9553.5"/>
    <s v="APROVADO"/>
    <s v="10"/>
    <x v="19"/>
    <s v="-"/>
    <n v="42"/>
    <s v="ATRASADO"/>
    <s v="ENTREGUE 2 PEÇAS NOS DANFE 34.704 &amp; 34.707 EM 06/02-GRANATO"/>
  </r>
  <r>
    <s v="049818016033.12.10612.00"/>
    <x v="21"/>
    <s v="0160"/>
    <x v="412"/>
    <x v="412"/>
    <s v="METALFISA METALURGICA EIRELI LTDA"/>
    <d v="2025-10-04T00:00:00"/>
    <s v="MARCO"/>
    <n v="1"/>
    <n v="131"/>
    <n v="262"/>
    <s v="APROVADO"/>
    <s v="10"/>
    <x v="19"/>
    <s v="-"/>
    <n v="42"/>
    <s v="ATRASADO"/>
    <s v="ENTREGUE 2 PEÇAS NOS DANFE 34.704 &amp; 34.707 EM 06/02-GRANATO"/>
  </r>
  <r>
    <s v="049818016133.12.10613.00"/>
    <x v="21"/>
    <s v="0161"/>
    <x v="413"/>
    <x v="413"/>
    <s v="METALFISA METALURGICA EIRELI LTDA"/>
    <d v="2025-10-04T00:00:00"/>
    <s v="MARCO"/>
    <n v="2"/>
    <n v="45.1"/>
    <n v="90.2"/>
    <s v="APROVADO"/>
    <s v="10"/>
    <x v="19"/>
    <s v="-"/>
    <n v="42"/>
    <s v="ATRASADO"/>
    <s v="ENTREGUE 2 PEÇAS NO DANFE 34.704 EM 06/02-GRANATO"/>
  </r>
  <r>
    <s v="049818016233.12.10613.00"/>
    <x v="21"/>
    <s v="0162"/>
    <x v="413"/>
    <x v="413"/>
    <s v="METALFISA METALURGICA EIRELI LTDA"/>
    <d v="2025-10-04T00:00:00"/>
    <s v="MARCO"/>
    <n v="2"/>
    <n v="45.1"/>
    <n v="90.2"/>
    <s v="APROVADO"/>
    <s v="10"/>
    <x v="19"/>
    <s v="-"/>
    <n v="42"/>
    <s v="ATRASADO"/>
    <s v="ENTREGUE 2 PEÇAS NO DANFE 34.704 EM 06/02-GRANATO"/>
  </r>
  <r>
    <s v="049818016333.12.10616.00"/>
    <x v="21"/>
    <s v="0163"/>
    <x v="414"/>
    <x v="414"/>
    <s v="METALFISA METALURGICA EIRELI LTDA"/>
    <d v="2025-10-04T00:00:00"/>
    <s v="MARCO"/>
    <n v="2"/>
    <n v="136"/>
    <n v="272"/>
    <s v="APROVADO"/>
    <s v="10"/>
    <x v="19"/>
    <s v="-"/>
    <n v="42"/>
    <s v="ATRASADO"/>
    <s v="-"/>
  </r>
  <r>
    <s v="049818016433.12.10617.01"/>
    <x v="21"/>
    <s v="0164"/>
    <x v="415"/>
    <x v="415"/>
    <s v="METALFISA METALURGICA EIRELI LTDA"/>
    <d v="2025-10-04T00:00:00"/>
    <s v="MARCO"/>
    <n v="2"/>
    <n v="52.5"/>
    <n v="210"/>
    <s v="APROVADO"/>
    <s v="10"/>
    <x v="19"/>
    <s v="-"/>
    <n v="42"/>
    <s v="ATRASADO"/>
    <s v="-"/>
  </r>
  <r>
    <s v="049818016633.21.10547.01"/>
    <x v="21"/>
    <s v="0166"/>
    <x v="416"/>
    <x v="416"/>
    <s v="METALFISA METALURGICA EIRELI LTDA"/>
    <d v="2025-10-04T00:00:00"/>
    <s v="MARCO"/>
    <n v="35"/>
    <n v="90"/>
    <n v="3150"/>
    <s v="APROVADO"/>
    <s v="10"/>
    <x v="19"/>
    <s v="-"/>
    <n v="42"/>
    <s v="ATRASADO"/>
    <s v="-"/>
  </r>
  <r>
    <s v="049818016733.99.10053.00"/>
    <x v="21"/>
    <s v="0167"/>
    <x v="417"/>
    <x v="417"/>
    <s v="METALFISA METALURGICA EIRELI LTDA"/>
    <d v="2025-10-04T00:00:00"/>
    <s v="MARCO"/>
    <n v="31"/>
    <n v="18"/>
    <n v="558"/>
    <s v="APROVADO"/>
    <s v="10"/>
    <x v="19"/>
    <s v="-"/>
    <n v="42"/>
    <s v="ATRASADO"/>
    <s v="ENTREGUE 16 PEÇAS NO DANFE 41708 EM 06/02-METALFISA"/>
  </r>
  <r>
    <s v="049818016833.99.10053.00"/>
    <x v="21"/>
    <s v="0168"/>
    <x v="417"/>
    <x v="417"/>
    <s v="METALFISA METALURGICA EIRELI LTDA"/>
    <d v="2025-10-04T00:00:00"/>
    <s v="MARCO"/>
    <n v="70"/>
    <n v="18"/>
    <n v="1260"/>
    <s v="APROVADO"/>
    <s v="10"/>
    <x v="19"/>
    <s v="-"/>
    <n v="42"/>
    <s v="ATRASADO"/>
    <s v="ENTREGUE 2 PEÇAS NO DANFE 41708 EM 06/02-METALFISA"/>
  </r>
  <r>
    <s v="049826000321.23.02931"/>
    <x v="22"/>
    <s v="0003"/>
    <x v="418"/>
    <x v="418"/>
    <s v="METALFISA METALURGICA EIRELI LTDA"/>
    <d v="2025-10-04T00:00:00"/>
    <s v="MARCO"/>
    <n v="4"/>
    <n v="49.4"/>
    <n v="247"/>
    <s v="APROVADO"/>
    <s v="10"/>
    <x v="19"/>
    <s v="-"/>
    <n v="42"/>
    <s v="ATRASADO"/>
    <s v="-"/>
  </r>
  <r>
    <s v="049826000421.23.03300"/>
    <x v="22"/>
    <s v="0004"/>
    <x v="419"/>
    <x v="419"/>
    <s v="METALFISA METALURGICA EIRELI LTDA"/>
    <d v="2025-10-04T00:00:00"/>
    <s v="MARCO"/>
    <n v="20"/>
    <n v="26.9"/>
    <n v="538"/>
    <s v="APROVADO"/>
    <s v="10"/>
    <x v="19"/>
    <s v="-"/>
    <n v="42"/>
    <s v="ATRASADO"/>
    <s v="-"/>
  </r>
  <r>
    <s v="049826000821.23.03320"/>
    <x v="22"/>
    <s v="0008"/>
    <x v="420"/>
    <x v="420"/>
    <s v="METALFISA METALURGICA EIRELI LTDA"/>
    <d v="2025-10-04T00:00:00"/>
    <s v="MARCO"/>
    <n v="22"/>
    <n v="13.4"/>
    <n v="294.8"/>
    <s v="APROVADO"/>
    <s v="10"/>
    <x v="19"/>
    <s v="-"/>
    <n v="42"/>
    <s v="ATRASADO"/>
    <s v="-"/>
  </r>
  <r>
    <s v="049826000921.23.03328"/>
    <x v="22"/>
    <s v="0009"/>
    <x v="421"/>
    <x v="421"/>
    <s v="METALFISA METALURGICA EIRELI LTDA"/>
    <d v="2025-10-04T00:00:00"/>
    <s v="MARCO"/>
    <n v="4"/>
    <n v="64.3"/>
    <n v="257.2"/>
    <s v="APROVADO"/>
    <s v="10"/>
    <x v="19"/>
    <s v="-"/>
    <n v="42"/>
    <s v="ATRASADO"/>
    <s v="ENTREGUE 1 PEÇA NO DANFE 34.708 EM 06/02-GRANATO"/>
  </r>
  <r>
    <s v="049826001021.23.03329"/>
    <x v="22"/>
    <s v="0010"/>
    <x v="422"/>
    <x v="422"/>
    <s v="METALFISA METALURGICA EIRELI LTDA"/>
    <d v="2025-10-04T00:00:00"/>
    <s v="MARCO"/>
    <n v="4"/>
    <n v="64.3"/>
    <n v="257.2"/>
    <s v="APROVADO"/>
    <s v="10"/>
    <x v="19"/>
    <s v="-"/>
    <n v="42"/>
    <s v="ATRASADO"/>
    <s v="ENTREGUE 1 PEÇA NO DANFE 34.708 EM 06/02-GRANATO"/>
  </r>
  <r>
    <s v="049826001333.03.10214.01"/>
    <x v="22"/>
    <s v="0013"/>
    <x v="423"/>
    <x v="423"/>
    <s v="METALFISA METALURGICA EIRELI LTDA"/>
    <d v="2025-10-04T00:00:00"/>
    <s v="MARCO"/>
    <n v="8"/>
    <n v="548.4"/>
    <n v="4387.2"/>
    <s v="APROVADO"/>
    <s v="10"/>
    <x v="19"/>
    <s v="-"/>
    <n v="42"/>
    <s v="ATRASADO"/>
    <s v="-"/>
  </r>
  <r>
    <s v="049826001433.03.10225.00"/>
    <x v="22"/>
    <s v="0014"/>
    <x v="424"/>
    <x v="424"/>
    <s v="METALFISA METALURGICA EIRELI LTDA"/>
    <d v="2025-10-04T00:00:00"/>
    <s v="MARCO"/>
    <n v="1"/>
    <n v="58.35"/>
    <n v="933.6"/>
    <s v="APROVADO"/>
    <s v="10"/>
    <x v="19"/>
    <s v="-"/>
    <n v="42"/>
    <s v="ATRASADO"/>
    <s v="-"/>
  </r>
  <r>
    <s v="049826001633.03.10236.02"/>
    <x v="22"/>
    <s v="0016"/>
    <x v="425"/>
    <x v="425"/>
    <s v="METALFISA METALURGICA EIRELI LTDA"/>
    <d v="2025-10-04T00:00:00"/>
    <s v="MARCO"/>
    <n v="2"/>
    <n v="56.5"/>
    <n v="226"/>
    <s v="APROVADO"/>
    <s v="10"/>
    <x v="19"/>
    <s v="-"/>
    <n v="42"/>
    <s v="ATRASADO"/>
    <s v="-"/>
  </r>
  <r>
    <s v="049826001933.03.10275.00"/>
    <x v="22"/>
    <s v="0019"/>
    <x v="426"/>
    <x v="426"/>
    <s v="METALFISA METALURGICA EIRELI LTDA"/>
    <d v="2025-10-04T00:00:00"/>
    <s v="MARCO"/>
    <n v="4"/>
    <n v="109.3"/>
    <n v="437.2"/>
    <s v="APROVADO"/>
    <s v="10"/>
    <x v="19"/>
    <s v="-"/>
    <n v="42"/>
    <s v="ATRASADO"/>
    <s v="-"/>
  </r>
  <r>
    <s v="049826002033.03.11366.01"/>
    <x v="22"/>
    <s v="0020"/>
    <x v="427"/>
    <x v="427"/>
    <s v="METALFISA METALURGICA EIRELI LTDA"/>
    <d v="2025-10-04T00:00:00"/>
    <s v="MARCO"/>
    <n v="4"/>
    <n v="58.7"/>
    <n v="1643.6"/>
    <s v="APROVADO"/>
    <s v="10"/>
    <x v="19"/>
    <s v="-"/>
    <n v="42"/>
    <s v="ATRASADO"/>
    <s v="ENTREGUE 1 PEÇA NO DANFE 34.707 EM 06/02-GRANATO"/>
  </r>
  <r>
    <s v="049826002133.03.11368.01"/>
    <x v="22"/>
    <s v="0021"/>
    <x v="428"/>
    <x v="428"/>
    <s v="METALFISA METALURGICA EIRELI LTDA"/>
    <d v="2025-10-04T00:00:00"/>
    <s v="MARCO"/>
    <n v="1"/>
    <n v="60.1"/>
    <n v="1622.7"/>
    <s v="APROVADO"/>
    <s v="10"/>
    <x v="19"/>
    <s v="-"/>
    <n v="42"/>
    <s v="ATRASADO"/>
    <s v="ENTREGUE 1 PEÇA NO DANFE 34.707 EM 06/02-GRANATO"/>
  </r>
  <r>
    <s v="049826002233.03.11409.01"/>
    <x v="22"/>
    <s v="0022"/>
    <x v="429"/>
    <x v="429"/>
    <s v="METALFISA METALURGICA EIRELI LTDA"/>
    <d v="2025-10-04T00:00:00"/>
    <s v="MARCO"/>
    <n v="1"/>
    <n v="115.2"/>
    <n v="3456"/>
    <s v="APROVADO"/>
    <s v="10"/>
    <x v="19"/>
    <s v="-"/>
    <n v="42"/>
    <s v="ATRASADO"/>
    <s v="-"/>
  </r>
  <r>
    <s v="049826002333.08.10219.00"/>
    <x v="22"/>
    <s v="0023"/>
    <x v="430"/>
    <x v="430"/>
    <s v="METALFISA METALURGICA EIRELI LTDA"/>
    <d v="2025-10-04T00:00:00"/>
    <s v="MARCO"/>
    <n v="2"/>
    <n v="452.76"/>
    <n v="905.52"/>
    <s v="APROVADO"/>
    <s v="10"/>
    <x v="19"/>
    <s v="-"/>
    <n v="42"/>
    <s v="ATRASADO"/>
    <s v="-"/>
  </r>
  <r>
    <s v="049826002633.08.10275.00"/>
    <x v="22"/>
    <s v="0026"/>
    <x v="431"/>
    <x v="431"/>
    <s v="METALFISA METALURGICA EIRELI LTDA"/>
    <d v="2025-10-04T00:00:00"/>
    <s v="MARCO"/>
    <n v="2"/>
    <n v="450"/>
    <n v="900"/>
    <s v="APROVADO"/>
    <s v="10"/>
    <x v="19"/>
    <s v="-"/>
    <n v="42"/>
    <s v="ATRASADO"/>
    <s v="-"/>
  </r>
  <r>
    <s v="049826002733.08.10283.00"/>
    <x v="22"/>
    <s v="0027"/>
    <x v="39"/>
    <x v="39"/>
    <s v="METALFISA METALURGICA EIRELI LTDA"/>
    <d v="2025-10-04T00:00:00"/>
    <s v="MARCO"/>
    <n v="8"/>
    <n v="31.2"/>
    <n v="249.6"/>
    <s v="APROVADO"/>
    <s v="10"/>
    <x v="19"/>
    <s v="-"/>
    <n v="42"/>
    <s v="ATRASADO"/>
    <s v="-"/>
  </r>
  <r>
    <s v="049826002833.08.10283.00"/>
    <x v="22"/>
    <s v="0028"/>
    <x v="39"/>
    <x v="39"/>
    <s v="METALFISA METALURGICA EIRELI LTDA"/>
    <d v="2025-10-04T00:00:00"/>
    <s v="MARCO"/>
    <n v="28"/>
    <n v="31.2"/>
    <n v="873.6"/>
    <s v="APROVADO"/>
    <s v="10"/>
    <x v="19"/>
    <s v="-"/>
    <n v="42"/>
    <s v="ATRASADO"/>
    <s v="-"/>
  </r>
  <r>
    <s v="049826002933.20.10227.02"/>
    <x v="22"/>
    <s v="0029"/>
    <x v="432"/>
    <x v="432"/>
    <s v="METALFISA METALURGICA EIRELI LTDA"/>
    <d v="2025-10-04T00:00:00"/>
    <s v="MARCO"/>
    <n v="14"/>
    <n v="394"/>
    <n v="5516"/>
    <s v="APROVADO"/>
    <s v="10"/>
    <x v="19"/>
    <s v="-"/>
    <n v="42"/>
    <s v="ATRASADO"/>
    <s v="-"/>
  </r>
  <r>
    <s v="049826003133.20.10257.01"/>
    <x v="22"/>
    <s v="0031"/>
    <x v="433"/>
    <x v="433"/>
    <s v="METALFISA METALURGICA EIRELI LTDA"/>
    <d v="2025-10-04T00:00:00"/>
    <s v="MARCO"/>
    <n v="2"/>
    <n v="68"/>
    <n v="952"/>
    <s v="APROVADO"/>
    <s v="10"/>
    <x v="19"/>
    <s v="-"/>
    <n v="42"/>
    <s v="ATRASADO"/>
    <s v="-"/>
  </r>
  <r>
    <s v="049826003233.20.10307.02"/>
    <x v="22"/>
    <s v="0032"/>
    <x v="434"/>
    <x v="434"/>
    <s v="METALFISA METALURGICA EIRELI LTDA"/>
    <d v="2025-10-04T00:00:00"/>
    <s v="MARCO"/>
    <n v="6"/>
    <n v="2880"/>
    <n v="20160"/>
    <s v="APROVADO"/>
    <s v="10"/>
    <x v="19"/>
    <s v="-"/>
    <n v="42"/>
    <s v="ATRASADO"/>
    <s v="-"/>
  </r>
  <r>
    <s v="049826003333.20.10335.01"/>
    <x v="22"/>
    <s v="0033"/>
    <x v="435"/>
    <x v="435"/>
    <s v="METALFISA METALURGICA EIRELI LTDA"/>
    <d v="2025-10-04T00:00:00"/>
    <s v="MARCO"/>
    <n v="19"/>
    <n v="655"/>
    <n v="18340"/>
    <s v="APROVADO"/>
    <s v="10"/>
    <x v="19"/>
    <s v="-"/>
    <n v="42"/>
    <s v="ATRASADO"/>
    <s v="-"/>
  </r>
  <r>
    <s v="049826003533.99.10031.00"/>
    <x v="22"/>
    <s v="0035"/>
    <x v="436"/>
    <x v="436"/>
    <s v="METALFISA METALURGICA EIRELI LTDA"/>
    <d v="2025-10-04T00:00:00"/>
    <s v="MARCO"/>
    <n v="3"/>
    <n v="5"/>
    <n v="600"/>
    <s v="APROVADO"/>
    <s v="10"/>
    <x v="19"/>
    <s v="-"/>
    <n v="42"/>
    <s v="ATRASADO"/>
    <s v="-"/>
  </r>
  <r>
    <s v="049826003633.99.10042.01"/>
    <x v="22"/>
    <s v="0036"/>
    <x v="437"/>
    <x v="437"/>
    <s v="METALFISA METALURGICA EIRELI LTDA"/>
    <d v="2025-10-04T00:00:00"/>
    <s v="MARCO"/>
    <n v="60"/>
    <n v="31"/>
    <n v="1860"/>
    <s v="APROVADO"/>
    <s v="10"/>
    <x v="19"/>
    <s v="-"/>
    <n v="42"/>
    <s v="ATRASADO"/>
    <s v="-"/>
  </r>
  <r>
    <s v="049826003733.99.10042.01"/>
    <x v="22"/>
    <s v="0037"/>
    <x v="437"/>
    <x v="437"/>
    <s v="METALFISA METALURGICA EIRELI LTDA"/>
    <d v="2025-10-04T00:00:00"/>
    <s v="MARCO"/>
    <n v="8"/>
    <n v="31"/>
    <n v="248"/>
    <s v="APROVADO"/>
    <s v="10"/>
    <x v="19"/>
    <s v="-"/>
    <n v="42"/>
    <s v="ATRASADO"/>
    <s v="ENTREGUE 2 PEÇAS NO DANFE 34.707 EM 06/02-GRANATO"/>
  </r>
  <r>
    <s v="049826003833.99.10043.00"/>
    <x v="22"/>
    <s v="0038"/>
    <x v="438"/>
    <x v="438"/>
    <s v="METALFISA METALURGICA EIRELI LTDA"/>
    <d v="2025-10-04T00:00:00"/>
    <s v="MARCO"/>
    <n v="38"/>
    <n v="26"/>
    <n v="988"/>
    <s v="APROVADO"/>
    <s v="10"/>
    <x v="19"/>
    <s v="-"/>
    <n v="42"/>
    <s v="ATRASADO"/>
    <s v="ENTREGUE 2 PEÇAS NO DANFE 34.707 EM 06/02-GRANATO"/>
  </r>
  <r>
    <s v="052204000121.23.01132"/>
    <x v="23"/>
    <s v="0001"/>
    <x v="439"/>
    <x v="439"/>
    <s v="METALFISA METALURGICA EIRELI LTDA"/>
    <d v="2026-01-08T00:00:00"/>
    <s v="MARCO"/>
    <n v="32"/>
    <n v="89.1"/>
    <n v="2851.2"/>
    <s v="APROVADO"/>
    <s v="10"/>
    <x v="20"/>
    <s v="-"/>
    <n v="0"/>
    <s v="DENTRO DO PRAZO"/>
    <s v="-"/>
  </r>
  <r>
    <s v="052204000221.23.01140"/>
    <x v="23"/>
    <s v="0002"/>
    <x v="440"/>
    <x v="440"/>
    <s v="METALFISA METALURGICA EIRELI LTDA"/>
    <d v="2026-01-08T00:00:00"/>
    <s v="MARCO"/>
    <n v="64"/>
    <n v="65.5"/>
    <n v="4192"/>
    <s v="APROVADO"/>
    <s v="10"/>
    <x v="20"/>
    <s v="-"/>
    <n v="0"/>
    <s v="DENTRO DO PRAZO"/>
    <s v="-"/>
  </r>
  <r>
    <s v="052204000321.23.01141"/>
    <x v="23"/>
    <s v="0003"/>
    <x v="441"/>
    <x v="441"/>
    <s v="METALFISA METALURGICA EIRELI LTDA"/>
    <d v="2026-01-08T00:00:00"/>
    <s v="MARCO"/>
    <n v="32"/>
    <n v="66.599999999999994"/>
    <n v="2131.1999999999998"/>
    <s v="APROVADO"/>
    <s v="10"/>
    <x v="20"/>
    <s v="-"/>
    <n v="0"/>
    <s v="DENTRO DO PRAZO"/>
    <s v="-"/>
  </r>
  <r>
    <s v="052204000421.23.01150"/>
    <x v="23"/>
    <s v="0004"/>
    <x v="442"/>
    <x v="442"/>
    <s v="METALFISA METALURGICA EIRELI LTDA"/>
    <d v="2026-01-08T00:00:00"/>
    <s v="MARCO"/>
    <n v="32"/>
    <n v="37.700000000000003"/>
    <n v="1206.4000000000001"/>
    <s v="APROVADO"/>
    <s v="10"/>
    <x v="20"/>
    <s v="-"/>
    <n v="0"/>
    <s v="DENTRO DO PRAZO"/>
    <s v="-"/>
  </r>
  <r>
    <s v="052204000521.23.01301"/>
    <x v="23"/>
    <s v="0005"/>
    <x v="19"/>
    <x v="19"/>
    <s v="METALFISA METALURGICA EIRELI LTDA"/>
    <d v="2026-01-08T00:00:00"/>
    <s v="MARCO"/>
    <n v="55"/>
    <n v="10.15"/>
    <n v="558.25"/>
    <s v="APROVADO"/>
    <s v="10"/>
    <x v="20"/>
    <s v="-"/>
    <n v="0"/>
    <s v="DENTRO DO PRAZO"/>
    <s v="-"/>
  </r>
  <r>
    <s v="052204000621.23.01302"/>
    <x v="23"/>
    <s v="0006"/>
    <x v="32"/>
    <x v="32"/>
    <s v="METALFISA METALURGICA EIRELI LTDA"/>
    <d v="2026-01-08T00:00:00"/>
    <s v="MARCO"/>
    <n v="55"/>
    <n v="4.8"/>
    <n v="264"/>
    <s v="APROVADO"/>
    <s v="10"/>
    <x v="20"/>
    <s v="-"/>
    <n v="0"/>
    <s v="DENTRO DO PRAZO"/>
    <s v="-"/>
  </r>
  <r>
    <s v="052204000721.23.01312"/>
    <x v="23"/>
    <s v="0007"/>
    <x v="443"/>
    <x v="443"/>
    <s v="METALFISA METALURGICA EIRELI LTDA"/>
    <d v="2026-01-08T00:00:00"/>
    <s v="MARCO"/>
    <n v="288"/>
    <n v="96.5"/>
    <n v="27792"/>
    <s v="APROVADO"/>
    <s v="10"/>
    <x v="20"/>
    <s v="-"/>
    <n v="0"/>
    <s v="DENTRO DO PRAZO"/>
    <s v="-"/>
  </r>
  <r>
    <s v="052204000821.23.01313"/>
    <x v="23"/>
    <s v="0008"/>
    <x v="444"/>
    <x v="444"/>
    <s v="METALFISA METALURGICA EIRELI LTDA"/>
    <d v="2026-01-08T00:00:00"/>
    <s v="MARCO"/>
    <n v="57"/>
    <n v="122.8"/>
    <n v="6999.6"/>
    <s v="APROVADO"/>
    <s v="10"/>
    <x v="20"/>
    <s v="-"/>
    <n v="0"/>
    <s v="DENTRO DO PRAZO"/>
    <s v="-"/>
  </r>
  <r>
    <s v="052204000921.23.01314"/>
    <x v="23"/>
    <s v="0009"/>
    <x v="9"/>
    <x v="9"/>
    <s v="METALFISA METALURGICA EIRELI LTDA"/>
    <d v="2026-01-08T00:00:00"/>
    <s v="MARCO"/>
    <n v="159"/>
    <n v="128.30000000000001"/>
    <n v="20399.7"/>
    <s v="APROVADO"/>
    <s v="10"/>
    <x v="20"/>
    <s v="-"/>
    <n v="0"/>
    <s v="DENTRO DO PRAZO"/>
    <s v="-"/>
  </r>
  <r>
    <s v="052204001021.23.01315"/>
    <x v="23"/>
    <s v="0010"/>
    <x v="445"/>
    <x v="445"/>
    <s v="METALFISA METALURGICA EIRELI LTDA"/>
    <d v="2026-01-08T00:00:00"/>
    <s v="MARCO"/>
    <n v="64"/>
    <n v="132.5"/>
    <n v="8480"/>
    <s v="APROVADO"/>
    <s v="10"/>
    <x v="20"/>
    <s v="-"/>
    <n v="0"/>
    <s v="DENTRO DO PRAZO"/>
    <s v="-"/>
  </r>
  <r>
    <s v="052204001121.23.01317"/>
    <x v="23"/>
    <s v="0011"/>
    <x v="446"/>
    <x v="446"/>
    <s v="METALFISA METALURGICA EIRELI LTDA"/>
    <d v="2026-01-08T00:00:00"/>
    <s v="MARCO"/>
    <n v="127"/>
    <n v="94"/>
    <n v="11938"/>
    <s v="APROVADO"/>
    <s v="10"/>
    <x v="20"/>
    <s v="-"/>
    <n v="0"/>
    <s v="DENTRO DO PRAZO"/>
    <s v="-"/>
  </r>
  <r>
    <s v="052204001221.23.01319"/>
    <x v="23"/>
    <s v="0012"/>
    <x v="447"/>
    <x v="447"/>
    <s v="METALFISA METALURGICA EIRELI LTDA"/>
    <d v="2026-01-08T00:00:00"/>
    <s v="MARCO"/>
    <n v="192"/>
    <n v="97.5"/>
    <n v="18720"/>
    <s v="APROVADO"/>
    <s v="10"/>
    <x v="20"/>
    <s v="-"/>
    <n v="0"/>
    <s v="DENTRO DO PRAZO"/>
    <s v="-"/>
  </r>
  <r>
    <s v="052204001321.23.01320"/>
    <x v="23"/>
    <s v="0013"/>
    <x v="448"/>
    <x v="448"/>
    <s v="METALFISA METALURGICA EIRELI LTDA"/>
    <d v="2026-01-08T00:00:00"/>
    <s v="MARCO"/>
    <n v="64"/>
    <n v="129.30000000000001"/>
    <n v="8275.2000000000007"/>
    <s v="APROVADO"/>
    <s v="10"/>
    <x v="20"/>
    <s v="-"/>
    <n v="0"/>
    <s v="DENTRO DO PRAZO"/>
    <s v="-"/>
  </r>
  <r>
    <s v="052204001421.23.01323"/>
    <x v="23"/>
    <s v="0014"/>
    <x v="449"/>
    <x v="449"/>
    <s v="METALFISA METALURGICA EIRELI LTDA"/>
    <d v="2026-01-08T00:00:00"/>
    <s v="MARCO"/>
    <n v="32"/>
    <n v="67.95"/>
    <n v="2174.4"/>
    <s v="APROVADO"/>
    <s v="10"/>
    <x v="20"/>
    <s v="-"/>
    <n v="0"/>
    <s v="DENTRO DO PRAZO"/>
    <s v="-"/>
  </r>
  <r>
    <s v="052204001521.23.01324"/>
    <x v="23"/>
    <s v="0015"/>
    <x v="92"/>
    <x v="92"/>
    <s v="METALFISA METALURGICA EIRELI LTDA"/>
    <d v="2026-01-08T00:00:00"/>
    <s v="MARCO"/>
    <n v="32"/>
    <n v="73.400000000000006"/>
    <n v="2348.8000000000002"/>
    <s v="APROVADO"/>
    <s v="10"/>
    <x v="20"/>
    <s v="-"/>
    <n v="0"/>
    <s v="DENTRO DO PRAZO"/>
    <s v="-"/>
  </r>
  <r>
    <s v="052204001621.23.01329"/>
    <x v="23"/>
    <s v="0016"/>
    <x v="10"/>
    <x v="10"/>
    <s v="METALFISA METALURGICA EIRELI LTDA"/>
    <d v="2026-01-08T00:00:00"/>
    <s v="MARCO"/>
    <n v="32"/>
    <n v="80.400000000000006"/>
    <n v="2572.8000000000002"/>
    <s v="APROVADO"/>
    <s v="10"/>
    <x v="20"/>
    <s v="-"/>
    <n v="0"/>
    <s v="DENTRO DO PRAZO"/>
    <s v="-"/>
  </r>
  <r>
    <s v="052204001721.23.01330"/>
    <x v="23"/>
    <s v="0017"/>
    <x v="450"/>
    <x v="450"/>
    <s v="METALFISA METALURGICA EIRELI LTDA"/>
    <d v="2026-01-08T00:00:00"/>
    <s v="MARCO"/>
    <n v="32"/>
    <n v="104.6"/>
    <n v="3347.2"/>
    <s v="APROVADO"/>
    <s v="10"/>
    <x v="20"/>
    <s v="-"/>
    <n v="0"/>
    <s v="DENTRO DO PRAZO"/>
    <s v="-"/>
  </r>
  <r>
    <s v="052204001821.23.01331"/>
    <x v="23"/>
    <s v="0018"/>
    <x v="11"/>
    <x v="11"/>
    <s v="METALFISA METALURGICA EIRELI LTDA"/>
    <d v="2026-01-08T00:00:00"/>
    <s v="MARCO"/>
    <n v="80"/>
    <n v="120.5"/>
    <n v="9640"/>
    <s v="APROVADO"/>
    <s v="10"/>
    <x v="20"/>
    <s v="-"/>
    <n v="0"/>
    <s v="DENTRO DO PRAZO"/>
    <s v="-"/>
  </r>
  <r>
    <s v="052204001921.23.01335"/>
    <x v="23"/>
    <s v="0019"/>
    <x v="451"/>
    <x v="451"/>
    <s v="METALFISA METALURGICA EIRELI LTDA"/>
    <d v="2026-01-08T00:00:00"/>
    <s v="MARCO"/>
    <n v="64"/>
    <n v="6.35"/>
    <n v="406.4"/>
    <s v="APROVADO"/>
    <s v="10"/>
    <x v="20"/>
    <s v="-"/>
    <n v="0"/>
    <s v="DENTRO DO PRAZO"/>
    <s v="-"/>
  </r>
  <r>
    <s v="052204002021.23.01336"/>
    <x v="23"/>
    <s v="0020"/>
    <x v="452"/>
    <x v="452"/>
    <s v="METALFISA METALURGICA EIRELI LTDA"/>
    <d v="2026-01-08T00:00:00"/>
    <s v="MARCO"/>
    <n v="32"/>
    <n v="145.15"/>
    <n v="4644.8"/>
    <s v="APROVADO"/>
    <s v="10"/>
    <x v="20"/>
    <s v="-"/>
    <n v="0"/>
    <s v="DENTRO DO PRAZO"/>
    <s v="-"/>
  </r>
  <r>
    <s v="052204002121.23.01451"/>
    <x v="23"/>
    <s v="0021"/>
    <x v="33"/>
    <x v="33"/>
    <s v="METALFISA METALURGICA EIRELI LTDA"/>
    <d v="2026-01-08T00:00:00"/>
    <s v="MARCO"/>
    <n v="16"/>
    <n v="10.6"/>
    <n v="169.6"/>
    <s v="APROVADO"/>
    <s v="10"/>
    <x v="20"/>
    <s v="-"/>
    <n v="0"/>
    <s v="DENTRO DO PRAZO"/>
    <s v="-"/>
  </r>
  <r>
    <s v="052204002221.23.01468"/>
    <x v="23"/>
    <s v="0022"/>
    <x v="12"/>
    <x v="12"/>
    <s v="METALFISA METALURGICA EIRELI LTDA"/>
    <d v="2026-01-08T00:00:00"/>
    <s v="MARCO"/>
    <n v="128"/>
    <n v="21.85"/>
    <n v="2796.8"/>
    <s v="APROVADO"/>
    <s v="10"/>
    <x v="20"/>
    <s v="-"/>
    <n v="0"/>
    <s v="DENTRO DO PRAZO"/>
    <s v="-"/>
  </r>
  <r>
    <s v="052204002321.23.01612"/>
    <x v="23"/>
    <s v="0023"/>
    <x v="453"/>
    <x v="453"/>
    <s v="METALFISA METALURGICA EIRELI LTDA"/>
    <d v="2026-01-08T00:00:00"/>
    <s v="MARCO"/>
    <n v="520"/>
    <n v="9.8000000000000007"/>
    <n v="5096"/>
    <s v="APROVADO"/>
    <s v="10"/>
    <x v="20"/>
    <s v="-"/>
    <n v="0"/>
    <s v="DENTRO DO PRAZO"/>
    <s v="-"/>
  </r>
  <r>
    <s v="052204002421.23.02014"/>
    <x v="23"/>
    <s v="0024"/>
    <x v="454"/>
    <x v="454"/>
    <s v="METALFISA METALURGICA EIRELI LTDA"/>
    <d v="2026-01-08T00:00:00"/>
    <s v="MARCO"/>
    <n v="128"/>
    <n v="63.5"/>
    <n v="8128"/>
    <s v="APROVADO"/>
    <s v="10"/>
    <x v="20"/>
    <s v="-"/>
    <n v="0"/>
    <s v="DENTRO DO PRAZO"/>
    <s v="-"/>
  </r>
  <r>
    <s v="052204002521.23.02015"/>
    <x v="23"/>
    <s v="0025"/>
    <x v="455"/>
    <x v="455"/>
    <s v="METALFISA METALURGICA EIRELI LTDA"/>
    <d v="2026-01-08T00:00:00"/>
    <s v="MARCO"/>
    <n v="128"/>
    <n v="165.2"/>
    <n v="21145.599999999999"/>
    <s v="APROVADO"/>
    <s v="10"/>
    <x v="20"/>
    <s v="-"/>
    <n v="0"/>
    <s v="DENTRO DO PRAZO"/>
    <s v="-"/>
  </r>
  <r>
    <s v="052204002621.23.02016"/>
    <x v="23"/>
    <s v="0026"/>
    <x v="456"/>
    <x v="456"/>
    <s v="METALFISA METALURGICA EIRELI LTDA"/>
    <d v="2026-01-08T00:00:00"/>
    <s v="MARCO"/>
    <n v="32"/>
    <n v="155"/>
    <n v="4960"/>
    <s v="APROVADO"/>
    <s v="10"/>
    <x v="20"/>
    <s v="-"/>
    <n v="0"/>
    <s v="DENTRO DO PRAZO"/>
    <s v="-"/>
  </r>
  <r>
    <s v="052204002721.23.02018"/>
    <x v="23"/>
    <s v="0027"/>
    <x v="457"/>
    <x v="457"/>
    <s v="METALFISA METALURGICA EIRELI LTDA"/>
    <d v="2026-01-08T00:00:00"/>
    <s v="MARCO"/>
    <n v="32"/>
    <n v="112.9"/>
    <n v="3612.8"/>
    <s v="APROVADO"/>
    <s v="10"/>
    <x v="20"/>
    <s v="-"/>
    <n v="0"/>
    <s v="DENTRO DO PRAZO"/>
    <s v="-"/>
  </r>
  <r>
    <s v="052204002821.23.02019"/>
    <x v="23"/>
    <s v="0028"/>
    <x v="458"/>
    <x v="458"/>
    <s v="METALFISA METALURGICA EIRELI LTDA"/>
    <d v="2026-01-08T00:00:00"/>
    <s v="MARCO"/>
    <n v="32"/>
    <n v="21"/>
    <n v="672"/>
    <s v="APROVADO"/>
    <s v="10"/>
    <x v="20"/>
    <s v="-"/>
    <n v="0"/>
    <s v="DENTRO DO PRAZO"/>
    <s v="-"/>
  </r>
  <r>
    <s v="052204002921.23.02021"/>
    <x v="23"/>
    <s v="0029"/>
    <x v="459"/>
    <x v="459"/>
    <s v="METALFISA METALURGICA EIRELI LTDA"/>
    <d v="2026-01-08T00:00:00"/>
    <s v="MARCO"/>
    <n v="128"/>
    <n v="12.6"/>
    <n v="1612.8"/>
    <s v="APROVADO"/>
    <s v="10"/>
    <x v="20"/>
    <s v="-"/>
    <n v="0"/>
    <s v="DENTRO DO PRAZO"/>
    <s v="-"/>
  </r>
  <r>
    <s v="052204003021.23.02784"/>
    <x v="23"/>
    <s v="0030"/>
    <x v="35"/>
    <x v="35"/>
    <s v="METALFISA METALURGICA EIRELI LTDA"/>
    <d v="2026-01-08T00:00:00"/>
    <s v="MARCO"/>
    <n v="28"/>
    <n v="826.5"/>
    <n v="23142"/>
    <s v="APROVADO"/>
    <s v="10"/>
    <x v="20"/>
    <s v="-"/>
    <n v="0"/>
    <s v="DENTRO DO PRAZO"/>
    <s v="-"/>
  </r>
  <r>
    <s v="052204003121.23.02785"/>
    <x v="23"/>
    <s v="0031"/>
    <x v="93"/>
    <x v="93"/>
    <s v="METALFISA METALURGICA EIRELI LTDA"/>
    <d v="2026-01-08T00:00:00"/>
    <s v="MARCO"/>
    <n v="34"/>
    <n v="191.1"/>
    <n v="6497.4"/>
    <s v="APROVADO"/>
    <s v="10"/>
    <x v="20"/>
    <s v="-"/>
    <n v="0"/>
    <s v="DENTRO DO PRAZO"/>
    <s v="-"/>
  </r>
  <r>
    <s v="052204003221.23.02786"/>
    <x v="23"/>
    <s v="0032"/>
    <x v="36"/>
    <x v="36"/>
    <s v="METALFISA METALURGICA EIRELI LTDA"/>
    <d v="2026-01-08T00:00:00"/>
    <s v="MARCO"/>
    <n v="32"/>
    <n v="189.6"/>
    <n v="6067.2"/>
    <s v="APROVADO"/>
    <s v="10"/>
    <x v="20"/>
    <s v="-"/>
    <n v="0"/>
    <s v="DENTRO DO PRAZO"/>
    <s v="-"/>
  </r>
  <r>
    <s v="052204003321.23.02787"/>
    <x v="23"/>
    <s v="0033"/>
    <x v="13"/>
    <x v="13"/>
    <s v="METALFISA METALURGICA EIRELI LTDA"/>
    <d v="2026-01-08T00:00:00"/>
    <s v="MARCO"/>
    <n v="31"/>
    <n v="148.1"/>
    <n v="4591.1000000000004"/>
    <s v="APROVADO"/>
    <s v="10"/>
    <x v="20"/>
    <s v="-"/>
    <n v="0"/>
    <s v="DENTRO DO PRAZO"/>
    <s v="-"/>
  </r>
  <r>
    <s v="052204003421.23.02788"/>
    <x v="23"/>
    <s v="0034"/>
    <x v="14"/>
    <x v="14"/>
    <s v="METALFISA METALURGICA EIRELI LTDA"/>
    <d v="2026-01-08T00:00:00"/>
    <s v="MARCO"/>
    <n v="27"/>
    <n v="179.9"/>
    <n v="4857.3"/>
    <s v="APROVADO"/>
    <s v="10"/>
    <x v="20"/>
    <s v="-"/>
    <n v="0"/>
    <s v="DENTRO DO PRAZO"/>
    <s v="-"/>
  </r>
  <r>
    <s v="052204003521.23.02789"/>
    <x v="23"/>
    <s v="0035"/>
    <x v="460"/>
    <x v="460"/>
    <s v="METALFISA METALURGICA EIRELI LTDA"/>
    <d v="2026-01-08T00:00:00"/>
    <s v="MARCO"/>
    <n v="33"/>
    <n v="189.85"/>
    <n v="6265.05"/>
    <s v="APROVADO"/>
    <s v="10"/>
    <x v="20"/>
    <s v="-"/>
    <n v="0"/>
    <s v="DENTRO DO PRAZO"/>
    <s v="-"/>
  </r>
  <r>
    <s v="052204003621.23.02790"/>
    <x v="23"/>
    <s v="0036"/>
    <x v="461"/>
    <x v="461"/>
    <s v="METALFISA METALURGICA EIRELI LTDA"/>
    <d v="2026-01-08T00:00:00"/>
    <s v="MARCO"/>
    <n v="32"/>
    <n v="141.6"/>
    <n v="4531.2"/>
    <s v="APROVADO"/>
    <s v="10"/>
    <x v="20"/>
    <s v="-"/>
    <n v="0"/>
    <s v="DENTRO DO PRAZO"/>
    <s v="-"/>
  </r>
  <r>
    <s v="052204003721.23.02796"/>
    <x v="23"/>
    <s v="0037"/>
    <x v="462"/>
    <x v="462"/>
    <s v="METALFISA METALURGICA EIRELI LTDA"/>
    <d v="2026-01-08T00:00:00"/>
    <s v="MARCO"/>
    <n v="32"/>
    <n v="29.8"/>
    <n v="953.6"/>
    <s v="APROVADO"/>
    <s v="10"/>
    <x v="20"/>
    <s v="-"/>
    <n v="0"/>
    <s v="DENTRO DO PRAZO"/>
    <s v="-"/>
  </r>
  <r>
    <s v="052204003821.23.02797"/>
    <x v="23"/>
    <s v="0038"/>
    <x v="463"/>
    <x v="463"/>
    <s v="METALFISA METALURGICA EIRELI LTDA"/>
    <d v="2026-01-08T00:00:00"/>
    <s v="MARCO"/>
    <n v="32"/>
    <n v="30.1"/>
    <n v="963.2"/>
    <s v="APROVADO"/>
    <s v="10"/>
    <x v="20"/>
    <s v="-"/>
    <n v="0"/>
    <s v="DENTRO DO PRAZO"/>
    <s v="-"/>
  </r>
  <r>
    <s v="052204003921.23.03300"/>
    <x v="23"/>
    <s v="0039"/>
    <x v="419"/>
    <x v="419"/>
    <s v="METALFISA METALURGICA EIRELI LTDA"/>
    <d v="2026-01-08T00:00:00"/>
    <s v="MARCO"/>
    <n v="20"/>
    <n v="28.4"/>
    <n v="568"/>
    <s v="APROVADO"/>
    <s v="10"/>
    <x v="20"/>
    <s v="-"/>
    <n v="0"/>
    <s v="DENTRO DO PRAZO"/>
    <s v="-"/>
  </r>
  <r>
    <s v="052204004021.23.03306"/>
    <x v="23"/>
    <s v="0040"/>
    <x v="37"/>
    <x v="37"/>
    <s v="METALFISA METALURGICA EIRELI LTDA"/>
    <d v="2026-01-08T00:00:00"/>
    <s v="MARCO"/>
    <n v="10"/>
    <n v="58.1"/>
    <n v="581"/>
    <s v="APROVADO"/>
    <s v="10"/>
    <x v="20"/>
    <s v="-"/>
    <n v="0"/>
    <s v="DENTRO DO PRAZO"/>
    <s v="-"/>
  </r>
  <r>
    <s v="052204004121.23.03309"/>
    <x v="23"/>
    <s v="0041"/>
    <x v="464"/>
    <x v="464"/>
    <s v="METALFISA METALURGICA EIRELI LTDA"/>
    <d v="2026-01-08T00:00:00"/>
    <s v="MARCO"/>
    <n v="10"/>
    <n v="56.6"/>
    <n v="566"/>
    <s v="APROVADO"/>
    <s v="10"/>
    <x v="20"/>
    <s v="-"/>
    <n v="0"/>
    <s v="DENTRO DO PRAZO"/>
    <s v="-"/>
  </r>
  <r>
    <s v="052204004221.23.03311"/>
    <x v="23"/>
    <s v="0042"/>
    <x v="465"/>
    <x v="465"/>
    <s v="METALFISA METALURGICA EIRELI LTDA"/>
    <d v="2026-01-08T00:00:00"/>
    <s v="MARCO"/>
    <n v="2"/>
    <n v="58.4"/>
    <n v="116.8"/>
    <s v="APROVADO"/>
    <s v="10"/>
    <x v="20"/>
    <s v="-"/>
    <n v="0"/>
    <s v="DENTRO DO PRAZO"/>
    <s v="-"/>
  </r>
  <r>
    <s v="052204004321.23.03311"/>
    <x v="23"/>
    <s v="0043"/>
    <x v="465"/>
    <x v="465"/>
    <s v="METALFISA METALURGICA EIRELI LTDA"/>
    <d v="2026-01-08T00:00:00"/>
    <s v="MARCO"/>
    <n v="6"/>
    <n v="58.4"/>
    <n v="350.4"/>
    <s v="APROVADO"/>
    <s v="10"/>
    <x v="20"/>
    <s v="-"/>
    <n v="0"/>
    <s v="DENTRO DO PRAZO"/>
    <s v="-"/>
  </r>
  <r>
    <s v="052204004421.23.03320"/>
    <x v="23"/>
    <s v="0044"/>
    <x v="420"/>
    <x v="420"/>
    <s v="METALFISA METALURGICA EIRELI LTDA"/>
    <d v="2026-01-08T00:00:00"/>
    <s v="MARCO"/>
    <n v="34"/>
    <n v="14.2"/>
    <n v="482.8"/>
    <s v="APROVADO"/>
    <s v="10"/>
    <x v="20"/>
    <s v="-"/>
    <n v="0"/>
    <s v="DENTRO DO PRAZO"/>
    <s v="-"/>
  </r>
  <r>
    <s v="052204004521.23.03328"/>
    <x v="23"/>
    <s v="0045"/>
    <x v="421"/>
    <x v="421"/>
    <s v="METALFISA METALURGICA EIRELI LTDA"/>
    <d v="2026-01-08T00:00:00"/>
    <s v="MARCO"/>
    <n v="1"/>
    <n v="68.05"/>
    <n v="68.05"/>
    <s v="APROVADO"/>
    <s v="10"/>
    <x v="20"/>
    <s v="-"/>
    <n v="0"/>
    <s v="DENTRO DO PRAZO"/>
    <s v="-"/>
  </r>
  <r>
    <s v="052204004621.23.03328"/>
    <x v="23"/>
    <s v="0046"/>
    <x v="421"/>
    <x v="421"/>
    <s v="METALFISA METALURGICA EIRELI LTDA"/>
    <d v="2026-01-08T00:00:00"/>
    <s v="MARCO"/>
    <n v="6"/>
    <n v="68.05"/>
    <n v="408.3"/>
    <s v="APROVADO"/>
    <s v="10"/>
    <x v="20"/>
    <s v="-"/>
    <n v="0"/>
    <s v="DENTRO DO PRAZO"/>
    <s v="-"/>
  </r>
  <r>
    <s v="052204004721.23.03328"/>
    <x v="23"/>
    <s v="0047"/>
    <x v="421"/>
    <x v="421"/>
    <s v="METALFISA METALURGICA EIRELI LTDA"/>
    <d v="2026-01-08T00:00:00"/>
    <s v="MARCO"/>
    <n v="1"/>
    <n v="68.05"/>
    <n v="68.05"/>
    <s v="APROVADO"/>
    <s v="10"/>
    <x v="20"/>
    <s v="-"/>
    <n v="0"/>
    <s v="DENTRO DO PRAZO"/>
    <s v="-"/>
  </r>
  <r>
    <s v="052204004821.23.03329"/>
    <x v="23"/>
    <s v="0048"/>
    <x v="422"/>
    <x v="422"/>
    <s v="METALFISA METALURGICA EIRELI LTDA"/>
    <d v="2026-01-08T00:00:00"/>
    <s v="MARCO"/>
    <n v="1"/>
    <n v="68.05"/>
    <n v="68.05"/>
    <s v="APROVADO"/>
    <s v="10"/>
    <x v="20"/>
    <s v="-"/>
    <n v="0"/>
    <s v="DENTRO DO PRAZO"/>
    <s v="-"/>
  </r>
  <r>
    <s v="052204004921.23.03329"/>
    <x v="23"/>
    <s v="0049"/>
    <x v="422"/>
    <x v="422"/>
    <s v="METALFISA METALURGICA EIRELI LTDA"/>
    <d v="2026-01-08T00:00:00"/>
    <s v="MARCO"/>
    <n v="6"/>
    <n v="68.05"/>
    <n v="408.3"/>
    <s v="APROVADO"/>
    <s v="10"/>
    <x v="20"/>
    <s v="-"/>
    <n v="0"/>
    <s v="DENTRO DO PRAZO"/>
    <s v="-"/>
  </r>
  <r>
    <s v="052204005021.23.03329"/>
    <x v="23"/>
    <s v="0050"/>
    <x v="422"/>
    <x v="422"/>
    <s v="METALFISA METALURGICA EIRELI LTDA"/>
    <d v="2026-01-08T00:00:00"/>
    <s v="MARCO"/>
    <n v="1"/>
    <n v="68.05"/>
    <n v="68.05"/>
    <s v="APROVADO"/>
    <s v="10"/>
    <x v="20"/>
    <s v="-"/>
    <n v="0"/>
    <s v="DENTRO DO PRAZO"/>
    <s v="-"/>
  </r>
  <r>
    <s v="052204005121.23.03392"/>
    <x v="23"/>
    <s v="0051"/>
    <x v="466"/>
    <x v="466"/>
    <s v="METALFISA METALURGICA EIRELI LTDA"/>
    <d v="2026-01-08T00:00:00"/>
    <s v="MARCO"/>
    <n v="2"/>
    <n v="28"/>
    <n v="56"/>
    <s v="APROVADO"/>
    <s v="10"/>
    <x v="20"/>
    <s v="-"/>
    <n v="0"/>
    <s v="DENTRO DO PRAZO"/>
    <s v="-"/>
  </r>
  <r>
    <s v="052204005221.23.03392"/>
    <x v="23"/>
    <s v="0052"/>
    <x v="466"/>
    <x v="466"/>
    <s v="METALFISA METALURGICA EIRELI LTDA"/>
    <d v="2026-01-08T00:00:00"/>
    <s v="MARCO"/>
    <n v="16"/>
    <n v="28"/>
    <n v="448"/>
    <s v="APROVADO"/>
    <s v="10"/>
    <x v="20"/>
    <s v="-"/>
    <n v="0"/>
    <s v="DENTRO DO PRAZO"/>
    <s v="-"/>
  </r>
  <r>
    <s v="052204005333.02.10034.02"/>
    <x v="23"/>
    <s v="0053"/>
    <x v="467"/>
    <x v="467"/>
    <s v="METALFISA METALURGICA EIRELI LTDA"/>
    <d v="2026-01-08T00:00:00"/>
    <s v="MARCO"/>
    <n v="20"/>
    <n v="99.7"/>
    <n v="1994"/>
    <s v="APROVADO"/>
    <s v="10"/>
    <x v="20"/>
    <s v="-"/>
    <n v="0"/>
    <s v="DENTRO DO PRAZO"/>
    <s v="-"/>
  </r>
  <r>
    <s v="052204005433.02.10037.02"/>
    <x v="23"/>
    <s v="0054"/>
    <x v="468"/>
    <x v="468"/>
    <s v="METALFISA METALURGICA EIRELI LTDA"/>
    <d v="2026-01-08T00:00:00"/>
    <s v="MARCO"/>
    <n v="20"/>
    <n v="99.7"/>
    <n v="1994"/>
    <s v="APROVADO"/>
    <s v="10"/>
    <x v="20"/>
    <s v="-"/>
    <n v="0"/>
    <s v="DENTRO DO PRAZO"/>
    <s v="-"/>
  </r>
  <r>
    <s v="052204005533.02.10044.02"/>
    <x v="23"/>
    <s v="0055"/>
    <x v="469"/>
    <x v="469"/>
    <s v="METALFISA METALURGICA EIRELI LTDA"/>
    <d v="2026-01-08T00:00:00"/>
    <s v="MARCO"/>
    <n v="20"/>
    <n v="99.7"/>
    <n v="1994"/>
    <s v="APROVADO"/>
    <s v="10"/>
    <x v="20"/>
    <s v="-"/>
    <n v="0"/>
    <s v="DENTRO DO PRAZO"/>
    <s v="-"/>
  </r>
  <r>
    <s v="052204005633.03.10207.01"/>
    <x v="23"/>
    <s v="0056"/>
    <x v="470"/>
    <x v="470"/>
    <s v="METALFISA METALURGICA EIRELI LTDA"/>
    <d v="2026-01-08T00:00:00"/>
    <s v="MARCO"/>
    <n v="16"/>
    <n v="37.15"/>
    <n v="594.4"/>
    <s v="APROVADO"/>
    <s v="10"/>
    <x v="20"/>
    <s v="-"/>
    <n v="0"/>
    <s v="DENTRO DO PRAZO"/>
    <s v="-"/>
  </r>
  <r>
    <s v="052204005733.03.10214.01"/>
    <x v="23"/>
    <s v="0057"/>
    <x v="423"/>
    <x v="423"/>
    <s v="METALFISA METALURGICA EIRELI LTDA"/>
    <d v="2026-01-08T00:00:00"/>
    <s v="MARCO"/>
    <n v="14"/>
    <n v="618.29999999999995"/>
    <n v="8656.2000000000007"/>
    <s v="APROVADO"/>
    <s v="10"/>
    <x v="20"/>
    <s v="-"/>
    <n v="0"/>
    <s v="DENTRO DO PRAZO"/>
    <s v="-"/>
  </r>
  <r>
    <s v="052204005833.03.10235.01"/>
    <x v="23"/>
    <s v="0058"/>
    <x v="471"/>
    <x v="471"/>
    <s v="METALFISA METALURGICA EIRELI LTDA"/>
    <d v="2026-01-08T00:00:00"/>
    <s v="MARCO"/>
    <n v="7"/>
    <n v="64.45"/>
    <n v="451.15"/>
    <s v="APROVADO"/>
    <s v="10"/>
    <x v="20"/>
    <s v="-"/>
    <n v="0"/>
    <s v="DENTRO DO PRAZO"/>
    <s v="-"/>
  </r>
  <r>
    <s v="052204005933.03.10235.01"/>
    <x v="23"/>
    <s v="0059"/>
    <x v="471"/>
    <x v="471"/>
    <s v="METALFISA METALURGICA EIRELI LTDA"/>
    <d v="2026-01-08T00:00:00"/>
    <s v="MARCO"/>
    <n v="1"/>
    <n v="64.45"/>
    <n v="64.45"/>
    <s v="APROVADO"/>
    <s v="10"/>
    <x v="20"/>
    <s v="-"/>
    <n v="0"/>
    <s v="DENTRO DO PRAZO"/>
    <s v="-"/>
  </r>
  <r>
    <s v="052204006033.03.10236.02"/>
    <x v="23"/>
    <s v="0060"/>
    <x v="425"/>
    <x v="425"/>
    <s v="METALFISA METALURGICA EIRELI LTDA"/>
    <d v="2026-01-08T00:00:00"/>
    <s v="MARCO"/>
    <n v="7"/>
    <n v="59.5"/>
    <n v="416.5"/>
    <s v="APROVADO"/>
    <s v="10"/>
    <x v="20"/>
    <s v="-"/>
    <n v="0"/>
    <s v="DENTRO DO PRAZO"/>
    <s v="-"/>
  </r>
  <r>
    <s v="052204006133.03.10239.01"/>
    <x v="23"/>
    <s v="0061"/>
    <x v="472"/>
    <x v="472"/>
    <s v="METALFISA METALURGICA EIRELI LTDA"/>
    <d v="2026-01-08T00:00:00"/>
    <s v="MARCO"/>
    <n v="7"/>
    <n v="64.400000000000006"/>
    <n v="450.8"/>
    <s v="APROVADO"/>
    <s v="10"/>
    <x v="20"/>
    <s v="-"/>
    <n v="0"/>
    <s v="DENTRO DO PRAZO"/>
    <s v="-"/>
  </r>
  <r>
    <s v="052204006233.03.10240.02"/>
    <x v="23"/>
    <s v="0062"/>
    <x v="473"/>
    <x v="473"/>
    <s v="METALFISA METALURGICA EIRELI LTDA"/>
    <d v="2026-01-08T00:00:00"/>
    <s v="MARCO"/>
    <n v="6"/>
    <n v="64.400000000000006"/>
    <n v="386.4"/>
    <s v="APROVADO"/>
    <s v="10"/>
    <x v="20"/>
    <s v="-"/>
    <n v="0"/>
    <s v="DENTRO DO PRAZO"/>
    <s v="-"/>
  </r>
  <r>
    <s v="052204006333.03.10275.00"/>
    <x v="23"/>
    <s v="0063"/>
    <x v="426"/>
    <x v="426"/>
    <s v="METALFISA METALURGICA EIRELI LTDA"/>
    <d v="2026-01-08T00:00:00"/>
    <s v="MARCO"/>
    <n v="8"/>
    <n v="115"/>
    <n v="920"/>
    <s v="APROVADO"/>
    <s v="10"/>
    <x v="20"/>
    <s v="-"/>
    <n v="0"/>
    <s v="DENTRO DO PRAZO"/>
    <s v="-"/>
  </r>
  <r>
    <s v="052204006433.08.10219.00"/>
    <x v="23"/>
    <s v="0064"/>
    <x v="430"/>
    <x v="430"/>
    <s v="METALFISA METALURGICA EIRELI LTDA"/>
    <d v="2026-01-08T00:00:00"/>
    <s v="MARCO"/>
    <n v="3"/>
    <n v="479"/>
    <n v="1437"/>
    <s v="APROVADO"/>
    <s v="10"/>
    <x v="20"/>
    <s v="-"/>
    <n v="0"/>
    <s v="DENTRO DO PRAZO"/>
    <s v="-"/>
  </r>
  <r>
    <s v="052204006533.08.10242.00"/>
    <x v="23"/>
    <s v="0065"/>
    <x v="16"/>
    <x v="16"/>
    <s v="METALFISA METALURGICA EIRELI LTDA"/>
    <d v="2026-01-08T00:00:00"/>
    <s v="MARCO"/>
    <n v="2"/>
    <n v="520"/>
    <n v="1040"/>
    <s v="APROVADO"/>
    <s v="10"/>
    <x v="20"/>
    <s v="-"/>
    <n v="0"/>
    <s v="DENTRO DO PRAZO"/>
    <s v="-"/>
  </r>
  <r>
    <s v="052204006633.08.10242.00"/>
    <x v="23"/>
    <s v="0066"/>
    <x v="16"/>
    <x v="16"/>
    <s v="METALFISA METALURGICA EIRELI LTDA"/>
    <d v="2026-01-08T00:00:00"/>
    <s v="MARCO"/>
    <n v="1"/>
    <n v="520"/>
    <n v="520"/>
    <s v="APROVADO"/>
    <s v="10"/>
    <x v="20"/>
    <s v="-"/>
    <n v="0"/>
    <s v="DENTRO DO PRAZO"/>
    <s v="-"/>
  </r>
  <r>
    <s v="052204006733.08.10245.02"/>
    <x v="23"/>
    <s v="0067"/>
    <x v="474"/>
    <x v="474"/>
    <s v="METALFISA METALURGICA EIRELI LTDA"/>
    <d v="2026-01-08T00:00:00"/>
    <s v="MARCO"/>
    <n v="6"/>
    <n v="69"/>
    <n v="414"/>
    <s v="APROVADO"/>
    <s v="10"/>
    <x v="20"/>
    <s v="-"/>
    <n v="0"/>
    <s v="DENTRO DO PRAZO"/>
    <s v="-"/>
  </r>
  <r>
    <s v="052204006833.08.10249.02"/>
    <x v="23"/>
    <s v="0068"/>
    <x v="475"/>
    <x v="475"/>
    <s v="METALFISA METALURGICA EIRELI LTDA"/>
    <d v="2026-01-08T00:00:00"/>
    <s v="MARCO"/>
    <n v="6"/>
    <n v="69"/>
    <n v="414"/>
    <s v="APROVADO"/>
    <s v="10"/>
    <x v="20"/>
    <s v="-"/>
    <n v="0"/>
    <s v="DENTRO DO PRAZO"/>
    <s v="-"/>
  </r>
  <r>
    <s v="052204006933.08.10252.00"/>
    <x v="23"/>
    <s v="0069"/>
    <x v="476"/>
    <x v="476"/>
    <s v="METALFISA METALURGICA EIRELI LTDA"/>
    <d v="2026-01-08T00:00:00"/>
    <s v="MARCO"/>
    <n v="4"/>
    <n v="56.9"/>
    <n v="227.6"/>
    <s v="APROVADO"/>
    <s v="10"/>
    <x v="20"/>
    <s v="-"/>
    <n v="0"/>
    <s v="DENTRO DO PRAZO"/>
    <s v="-"/>
  </r>
  <r>
    <s v="052204007033.08.10275.00"/>
    <x v="23"/>
    <s v="0070"/>
    <x v="431"/>
    <x v="431"/>
    <s v="METALFISA METALURGICA EIRELI LTDA"/>
    <d v="2026-01-08T00:00:00"/>
    <s v="MARCO"/>
    <n v="2"/>
    <n v="476.2"/>
    <n v="952.4"/>
    <s v="APROVADO"/>
    <s v="10"/>
    <x v="20"/>
    <s v="-"/>
    <n v="0"/>
    <s v="DENTRO DO PRAZO"/>
    <s v="-"/>
  </r>
  <r>
    <s v="052204007133.08.10283.00"/>
    <x v="23"/>
    <s v="0071"/>
    <x v="39"/>
    <x v="39"/>
    <s v="METALFISA METALURGICA EIRELI LTDA"/>
    <d v="2026-01-08T00:00:00"/>
    <s v="MARCO"/>
    <n v="4"/>
    <n v="33"/>
    <n v="132"/>
    <s v="APROVADO"/>
    <s v="10"/>
    <x v="20"/>
    <s v="-"/>
    <n v="0"/>
    <s v="DENTRO DO PRAZO"/>
    <s v="-"/>
  </r>
  <r>
    <s v="052204007233.99.10042.01"/>
    <x v="23"/>
    <s v="0072"/>
    <x v="437"/>
    <x v="437"/>
    <s v="METALFISA METALURGICA EIRELI LTDA"/>
    <d v="2026-01-08T00:00:00"/>
    <s v="MARCO"/>
    <n v="14"/>
    <n v="32.799999999999997"/>
    <n v="459.2"/>
    <s v="APROVADO"/>
    <s v="10"/>
    <x v="20"/>
    <s v="-"/>
    <n v="0"/>
    <s v="DENTRO DO PRAZO"/>
    <s v="-"/>
  </r>
  <r>
    <s v="052204007333.99.10043.00"/>
    <x v="23"/>
    <s v="0073"/>
    <x v="438"/>
    <x v="438"/>
    <s v="METALFISA METALURGICA EIRELI LTDA"/>
    <d v="2026-01-08T00:00:00"/>
    <s v="MARCO"/>
    <n v="36"/>
    <n v="27.5"/>
    <n v="990"/>
    <s v="APROVADO"/>
    <s v="10"/>
    <x v="20"/>
    <s v="-"/>
    <n v="0"/>
    <s v="DENTRO DO PRAZO"/>
    <s v="-"/>
  </r>
  <r>
    <s v="052204007421.23.00875"/>
    <x v="23"/>
    <s v="0074"/>
    <x v="477"/>
    <x v="477"/>
    <s v="METALFISA METALURGICA EIRELI LTDA"/>
    <d v="2026-01-08T00:00:00"/>
    <s v="MARCO"/>
    <n v="200"/>
    <n v="71.08"/>
    <n v="14216"/>
    <s v="APROVADO"/>
    <s v="10"/>
    <x v="21"/>
    <s v="-"/>
    <n v="-14"/>
    <s v="DENTRO DO PRAZO"/>
    <s v="-"/>
  </r>
  <r>
    <s v="052204007521.23.00877"/>
    <x v="23"/>
    <s v="0075"/>
    <x v="478"/>
    <x v="478"/>
    <s v="METALFISA METALURGICA EIRELI LTDA"/>
    <d v="2026-01-08T00:00:00"/>
    <s v="MARCO"/>
    <n v="50"/>
    <n v="33.03"/>
    <n v="1651.5"/>
    <s v="APROVADO"/>
    <s v="10"/>
    <x v="21"/>
    <s v="-"/>
    <n v="-14"/>
    <s v="DENTRO DO PRAZO"/>
    <s v="-"/>
  </r>
  <r>
    <s v="052204007621.23.00879"/>
    <x v="23"/>
    <s v="0076"/>
    <x v="31"/>
    <x v="31"/>
    <s v="METALFISA METALURGICA EIRELI LTDA"/>
    <d v="2026-01-08T00:00:00"/>
    <s v="MARCO"/>
    <n v="200"/>
    <n v="67.3"/>
    <n v="13460"/>
    <s v="APROVADO"/>
    <s v="10"/>
    <x v="22"/>
    <s v="-"/>
    <n v="14"/>
    <s v="ATRASADO"/>
    <s v="-"/>
  </r>
  <r>
    <s v="052204007721.23.02017"/>
    <x v="23"/>
    <s v="0077"/>
    <x v="479"/>
    <x v="479"/>
    <s v="METALFISA METALURGICA EIRELI LTDA"/>
    <d v="2026-01-08T00:00:00"/>
    <s v="MARCO"/>
    <n v="32"/>
    <n v="178"/>
    <n v="5696"/>
    <s v="APROVADO"/>
    <s v="10"/>
    <x v="23"/>
    <s v="-"/>
    <n v="-12"/>
    <s v="DENTRO DO PRAZO"/>
    <s v="-"/>
  </r>
  <r>
    <s v="052204007821.23.02022"/>
    <x v="23"/>
    <s v="0078"/>
    <x v="15"/>
    <x v="15"/>
    <s v="METALFISA METALURGICA EIRELI LTDA"/>
    <d v="2026-01-08T00:00:00"/>
    <s v="MARCO"/>
    <n v="126"/>
    <n v="528.29999999999995"/>
    <n v="66565.8"/>
    <s v="APROVADO"/>
    <s v="10"/>
    <x v="23"/>
    <s v="-"/>
    <n v="-12"/>
    <s v="DENTRO DO PRAZO"/>
    <s v="-"/>
  </r>
  <r>
    <s v="052728000121.23.02276"/>
    <x v="24"/>
    <s v="0001"/>
    <x v="361"/>
    <x v="361"/>
    <s v="METALFISA METALURGICA EIRELI LTDA"/>
    <d v="2026-02-02T00:00:00"/>
    <s v="VICTOR"/>
    <n v="6"/>
    <n v="237.73"/>
    <n v="1426.38"/>
    <s v="APROVADO"/>
    <s v="10"/>
    <x v="24"/>
    <s v="-"/>
    <n v="21"/>
    <s v="ATRASADO"/>
    <s v="-"/>
  </r>
  <r>
    <s v="052728000221.23.02333"/>
    <x v="24"/>
    <s v="0002"/>
    <x v="380"/>
    <x v="380"/>
    <s v="METALFISA METALURGICA EIRELI LTDA"/>
    <d v="2026-02-02T00:00:00"/>
    <s v="VICTOR"/>
    <n v="6"/>
    <n v="48.76"/>
    <n v="292.56"/>
    <s v="APROVADO"/>
    <s v="10"/>
    <x v="24"/>
    <s v="-"/>
    <n v="21"/>
    <s v="ATRASADO"/>
    <s v="-"/>
  </r>
  <r>
    <s v="052728000333.02.10034.02"/>
    <x v="24"/>
    <s v="0003"/>
    <x v="467"/>
    <x v="467"/>
    <s v="METALFISA METALURGICA EIRELI LTDA"/>
    <d v="2026-02-02T00:00:00"/>
    <s v="VICTOR"/>
    <n v="6"/>
    <n v="94.3"/>
    <n v="565.79999999999995"/>
    <s v="APROVADO"/>
    <s v="10"/>
    <x v="24"/>
    <s v="-"/>
    <n v="21"/>
    <s v="ATRASADO"/>
    <s v="-"/>
  </r>
  <r>
    <s v="052728000433.03.10236.02"/>
    <x v="24"/>
    <s v="0004"/>
    <x v="425"/>
    <x v="425"/>
    <s v="METALFISA METALURGICA EIRELI LTDA"/>
    <d v="2026-02-02T00:00:00"/>
    <s v="VICTOR"/>
    <n v="6"/>
    <n v="56.5"/>
    <n v="339"/>
    <s v="APROVADO"/>
    <s v="10"/>
    <x v="24"/>
    <s v="-"/>
    <n v="21"/>
    <s v="ATRASADO"/>
    <s v="ENTREGUE 14 PEÇAS NO DANFE 11.212 EM 06/02-MAPHE"/>
  </r>
  <r>
    <s v="052728000533.08.10283.00"/>
    <x v="24"/>
    <s v="0005"/>
    <x v="39"/>
    <x v="39"/>
    <s v="METALFISA METALURGICA EIRELI LTDA"/>
    <d v="2026-02-02T00:00:00"/>
    <s v="VICTOR"/>
    <n v="12"/>
    <n v="31.2"/>
    <n v="374.4"/>
    <s v="APROVADO"/>
    <s v="10"/>
    <x v="24"/>
    <s v="-"/>
    <n v="21"/>
    <s v="ATRASADO"/>
    <s v="-"/>
  </r>
  <r>
    <s v="052728000633.08.10291.02"/>
    <x v="24"/>
    <s v="0006"/>
    <x v="480"/>
    <x v="480"/>
    <s v="METALFISA METALURGICA EIRELI LTDA"/>
    <d v="2026-02-02T00:00:00"/>
    <s v="VICTOR"/>
    <n v="6"/>
    <n v="398"/>
    <n v="2388"/>
    <s v="APROVADO"/>
    <s v="10"/>
    <x v="24"/>
    <s v="-"/>
    <n v="21"/>
    <s v="ATRASADO"/>
    <s v="-"/>
  </r>
  <r>
    <s v="052814000113.03.00125"/>
    <x v="25"/>
    <s v="0001"/>
    <x v="275"/>
    <x v="275"/>
    <s v="METALFISA METALURGICA EIRELI LTDA"/>
    <d v="2026-02-04T00:00:00"/>
    <s v="VICTOR"/>
    <n v="1"/>
    <n v="130.69999999999999"/>
    <n v="130.69999999999999"/>
    <s v="APROVADO"/>
    <s v="10"/>
    <x v="25"/>
    <s v="-"/>
    <n v="19"/>
    <s v="ATRASADO"/>
    <s v="-"/>
  </r>
  <r>
    <s v="052814000213.03.00163"/>
    <x v="25"/>
    <s v="0002"/>
    <x v="481"/>
    <x v="481"/>
    <s v="METALFISA METALURGICA EIRELI LTDA"/>
    <d v="2026-02-04T00:00:00"/>
    <s v="VICTOR"/>
    <n v="1"/>
    <n v="665"/>
    <n v="665"/>
    <s v="APROVADO"/>
    <s v="10"/>
    <x v="25"/>
    <s v="-"/>
    <n v="19"/>
    <s v="ATRASADO"/>
    <s v="-"/>
  </r>
  <r>
    <s v="052814000313.03.00164"/>
    <x v="25"/>
    <s v="0003"/>
    <x v="276"/>
    <x v="276"/>
    <s v="METALFISA METALURGICA EIRELI LTDA"/>
    <d v="2026-02-04T00:00:00"/>
    <s v="VICTOR"/>
    <n v="1"/>
    <n v="665"/>
    <n v="665"/>
    <s v="APROVADO"/>
    <s v="10"/>
    <x v="25"/>
    <s v="-"/>
    <n v="19"/>
    <s v="ATRASADO"/>
    <s v="-"/>
  </r>
  <r>
    <s v="052814000413.03.00191"/>
    <x v="25"/>
    <s v="0004"/>
    <x v="482"/>
    <x v="482"/>
    <s v="METALFISA METALURGICA EIRELI LTDA"/>
    <d v="2026-02-04T00:00:00"/>
    <s v="VICTOR"/>
    <n v="1"/>
    <n v="487.29"/>
    <n v="487.29"/>
    <s v="APROVADO"/>
    <s v="10"/>
    <x v="25"/>
    <s v="-"/>
    <n v="19"/>
    <s v="ATRASADO"/>
    <s v="-"/>
  </r>
  <r>
    <s v="052814000513.03.00201"/>
    <x v="25"/>
    <s v="0005"/>
    <x v="483"/>
    <x v="483"/>
    <s v="METALFISA METALURGICA EIRELI LTDA"/>
    <d v="2026-02-04T00:00:00"/>
    <s v="VICTOR"/>
    <n v="2"/>
    <n v="83.43"/>
    <n v="166.86"/>
    <s v="APROVADO"/>
    <s v="10"/>
    <x v="25"/>
    <s v="-"/>
    <n v="19"/>
    <s v="ATRASADO"/>
    <s v="-"/>
  </r>
  <r>
    <s v="052814000613.03.00005"/>
    <x v="25"/>
    <s v="0006"/>
    <x v="270"/>
    <x v="270"/>
    <s v="METALFISA METALURGICA EIRELI LTDA"/>
    <d v="2026-02-04T00:00:00"/>
    <s v="VICTOR"/>
    <n v="1"/>
    <n v="223.06"/>
    <n v="223.06"/>
    <s v="APROVADO"/>
    <s v="10"/>
    <x v="25"/>
    <s v="-"/>
    <n v="19"/>
    <s v="ATRASADO"/>
    <s v="-"/>
  </r>
  <r>
    <s v="052814000721.23.00224"/>
    <x v="25"/>
    <s v="0007"/>
    <x v="288"/>
    <x v="288"/>
    <s v="METALFISA METALURGICA EIRELI LTDA"/>
    <d v="2026-02-04T00:00:00"/>
    <s v="VICTOR"/>
    <n v="1"/>
    <n v="1822.5"/>
    <n v="1822.5"/>
    <s v="APROVADO"/>
    <s v="10"/>
    <x v="25"/>
    <s v="-"/>
    <n v="19"/>
    <s v="ATRASADO"/>
    <s v="-"/>
  </r>
  <r>
    <s v="052814000821.23.01019"/>
    <x v="25"/>
    <s v="0008"/>
    <x v="341"/>
    <x v="341"/>
    <s v="METALFISA METALURGICA EIRELI LTDA"/>
    <d v="2026-02-04T00:00:00"/>
    <s v="VICTOR"/>
    <n v="4"/>
    <n v="5.7"/>
    <n v="22.8"/>
    <s v="APROVADO"/>
    <s v="10"/>
    <x v="25"/>
    <s v="-"/>
    <n v="19"/>
    <s v="ATRASADO"/>
    <s v="-"/>
  </r>
  <r>
    <s v="052814000921.23.01042"/>
    <x v="25"/>
    <s v="0009"/>
    <x v="484"/>
    <x v="484"/>
    <s v="METALFISA METALURGICA EIRELI LTDA"/>
    <d v="2026-02-04T00:00:00"/>
    <s v="VICTOR"/>
    <n v="1"/>
    <n v="13.34"/>
    <n v="13.34"/>
    <s v="APROVADO"/>
    <s v="10"/>
    <x v="25"/>
    <s v="-"/>
    <n v="19"/>
    <s v="ATRASADO"/>
    <s v="-"/>
  </r>
  <r>
    <s v="052814001021.23.01150"/>
    <x v="25"/>
    <s v="0010"/>
    <x v="442"/>
    <x v="442"/>
    <s v="METALFISA METALURGICA EIRELI LTDA"/>
    <d v="2026-02-04T00:00:00"/>
    <s v="VICTOR"/>
    <n v="3"/>
    <n v="35.6"/>
    <n v="106.8"/>
    <s v="APROVADO"/>
    <s v="10"/>
    <x v="25"/>
    <s v="-"/>
    <n v="19"/>
    <s v="ATRASADO"/>
    <s v="-"/>
  </r>
  <r>
    <s v="052814001121.23.01301"/>
    <x v="25"/>
    <s v="0011"/>
    <x v="19"/>
    <x v="19"/>
    <s v="METALFISA METALURGICA EIRELI LTDA"/>
    <d v="2026-02-04T00:00:00"/>
    <s v="VICTOR"/>
    <n v="2"/>
    <n v="9.57"/>
    <n v="19.14"/>
    <s v="APROVADO"/>
    <s v="10"/>
    <x v="25"/>
    <s v="-"/>
    <n v="19"/>
    <s v="ATRASADO"/>
    <s v="-"/>
  </r>
  <r>
    <s v="052814001221.23.01302"/>
    <x v="25"/>
    <s v="0012"/>
    <x v="32"/>
    <x v="32"/>
    <s v="METALFISA METALURGICA EIRELI LTDA"/>
    <d v="2026-02-04T00:00:00"/>
    <s v="VICTOR"/>
    <n v="5"/>
    <n v="4.51"/>
    <n v="22.55"/>
    <s v="APROVADO"/>
    <s v="10"/>
    <x v="25"/>
    <s v="-"/>
    <n v="19"/>
    <s v="ATRASADO"/>
    <s v="-"/>
  </r>
  <r>
    <s v="052814001321.23.01313"/>
    <x v="25"/>
    <s v="0013"/>
    <x v="444"/>
    <x v="444"/>
    <s v="METALFISA METALURGICA EIRELI LTDA"/>
    <d v="2026-02-04T00:00:00"/>
    <s v="VICTOR"/>
    <n v="1"/>
    <n v="110.86"/>
    <n v="110.86"/>
    <s v="APROVADO"/>
    <s v="10"/>
    <x v="25"/>
    <s v="-"/>
    <n v="19"/>
    <s v="ATRASADO"/>
    <s v="-"/>
  </r>
  <r>
    <s v="052814001421.23.01456"/>
    <x v="25"/>
    <s v="0014"/>
    <x v="485"/>
    <x v="485"/>
    <s v="METALFISA METALURGICA EIRELI LTDA"/>
    <d v="2026-02-04T00:00:00"/>
    <s v="VICTOR"/>
    <n v="2"/>
    <n v="80.22"/>
    <n v="160.44"/>
    <s v="APROVADO"/>
    <s v="10"/>
    <x v="25"/>
    <s v="-"/>
    <n v="19"/>
    <s v="ATRASADO"/>
    <s v="-"/>
  </r>
  <r>
    <s v="052814001521.23.02070"/>
    <x v="25"/>
    <s v="0015"/>
    <x v="63"/>
    <x v="63"/>
    <s v="METALFISA METALURGICA EIRELI LTDA"/>
    <d v="2026-02-04T00:00:00"/>
    <s v="VICTOR"/>
    <n v="2"/>
    <n v="466"/>
    <n v="932"/>
    <s v="APROVADO"/>
    <s v="10"/>
    <x v="25"/>
    <s v="-"/>
    <n v="19"/>
    <s v="ATRASADO"/>
    <s v="-"/>
  </r>
  <r>
    <s v="052814001621.23.02073"/>
    <x v="25"/>
    <s v="0016"/>
    <x v="302"/>
    <x v="302"/>
    <s v="METALFISA METALURGICA EIRELI LTDA"/>
    <d v="2026-02-04T00:00:00"/>
    <s v="VICTOR"/>
    <n v="1"/>
    <n v="715.2"/>
    <n v="715.2"/>
    <s v="APROVADO"/>
    <s v="10"/>
    <x v="25"/>
    <s v="-"/>
    <n v="19"/>
    <s v="ATRASADO"/>
    <s v="-"/>
  </r>
  <r>
    <s v="052814001721.23.02075"/>
    <x v="25"/>
    <s v="0017"/>
    <x v="304"/>
    <x v="304"/>
    <s v="METALFISA METALURGICA EIRELI LTDA"/>
    <d v="2026-02-04T00:00:00"/>
    <s v="VICTOR"/>
    <n v="2"/>
    <n v="770.9"/>
    <n v="1541.8"/>
    <s v="APROVADO"/>
    <s v="10"/>
    <x v="25"/>
    <s v="-"/>
    <n v="19"/>
    <s v="ATRASADO"/>
    <s v="-"/>
  </r>
  <r>
    <s v="052814001821.23.02079"/>
    <x v="25"/>
    <s v="0018"/>
    <x v="305"/>
    <x v="305"/>
    <s v="METALFISA METALURGICA EIRELI LTDA"/>
    <d v="2026-02-04T00:00:00"/>
    <s v="VICTOR"/>
    <n v="2"/>
    <n v="97.11"/>
    <n v="194.22"/>
    <s v="APROVADO"/>
    <s v="10"/>
    <x v="25"/>
    <s v="-"/>
    <n v="19"/>
    <s v="ATRASADO"/>
    <s v="-"/>
  </r>
  <r>
    <s v="052814001921.23.02080"/>
    <x v="25"/>
    <s v="0019"/>
    <x v="306"/>
    <x v="306"/>
    <s v="METALFISA METALURGICA EIRELI LTDA"/>
    <d v="2026-02-04T00:00:00"/>
    <s v="VICTOR"/>
    <n v="1"/>
    <n v="763.8"/>
    <n v="763.8"/>
    <s v="APROVADO"/>
    <s v="10"/>
    <x v="25"/>
    <s v="-"/>
    <n v="19"/>
    <s v="ATRASADO"/>
    <s v="-"/>
  </r>
  <r>
    <s v="052814002021.23.02097"/>
    <x v="25"/>
    <s v="0020"/>
    <x v="312"/>
    <x v="312"/>
    <s v="METALFISA METALURGICA EIRELI LTDA"/>
    <d v="2026-02-04T00:00:00"/>
    <s v="VICTOR"/>
    <n v="1"/>
    <n v="1920"/>
    <n v="1920"/>
    <s v="APROVADO"/>
    <s v="10"/>
    <x v="25"/>
    <s v="-"/>
    <n v="19"/>
    <s v="ATRASADO"/>
    <s v="-"/>
  </r>
  <r>
    <s v="052814002121.23.02106"/>
    <x v="25"/>
    <s v="0021"/>
    <x v="486"/>
    <x v="486"/>
    <s v="METALFISA METALURGICA EIRELI LTDA"/>
    <d v="2026-02-04T00:00:00"/>
    <s v="VICTOR"/>
    <n v="2"/>
    <n v="44"/>
    <n v="88"/>
    <s v="APROVADO"/>
    <s v="10"/>
    <x v="25"/>
    <s v="-"/>
    <n v="19"/>
    <s v="ATRASADO"/>
    <s v="-"/>
  </r>
  <r>
    <s v="052814002221.23.02254"/>
    <x v="25"/>
    <s v="0022"/>
    <x v="487"/>
    <x v="487"/>
    <s v="METALFISA METALURGICA EIRELI LTDA"/>
    <d v="2026-02-04T00:00:00"/>
    <s v="VICTOR"/>
    <n v="1"/>
    <n v="467.45"/>
    <n v="467.45"/>
    <s v="APROVADO"/>
    <s v="10"/>
    <x v="25"/>
    <s v="-"/>
    <n v="19"/>
    <s v="ATRASADO"/>
    <s v="-"/>
  </r>
  <r>
    <s v="052814002321.23.02272"/>
    <x v="25"/>
    <s v="0023"/>
    <x v="359"/>
    <x v="359"/>
    <s v="METALFISA METALURGICA EIRELI LTDA"/>
    <d v="2026-02-04T00:00:00"/>
    <s v="VICTOR"/>
    <n v="1"/>
    <n v="35.6"/>
    <n v="35.6"/>
    <s v="APROVADO"/>
    <s v="10"/>
    <x v="25"/>
    <s v="-"/>
    <n v="19"/>
    <s v="ATRASADO"/>
    <s v="-"/>
  </r>
  <r>
    <s v="052814002421.23.02279"/>
    <x v="25"/>
    <s v="0024"/>
    <x v="362"/>
    <x v="362"/>
    <s v="METALFISA METALURGICA EIRELI LTDA"/>
    <d v="2026-02-04T00:00:00"/>
    <s v="VICTOR"/>
    <n v="4"/>
    <n v="623.76"/>
    <n v="2495.04"/>
    <s v="APROVADO"/>
    <s v="10"/>
    <x v="25"/>
    <s v="-"/>
    <n v="19"/>
    <s v="ATRASADO"/>
    <s v="-"/>
  </r>
  <r>
    <s v="052814002521.23.02309"/>
    <x v="25"/>
    <s v="0025"/>
    <x v="488"/>
    <x v="488"/>
    <s v="METALFISA METALURGICA EIRELI LTDA"/>
    <d v="2026-02-04T00:00:00"/>
    <s v="VICTOR"/>
    <n v="1"/>
    <n v="230.28"/>
    <n v="230.28"/>
    <s v="APROVADO"/>
    <s v="10"/>
    <x v="25"/>
    <s v="-"/>
    <n v="19"/>
    <s v="ATRASADO"/>
    <s v="-"/>
  </r>
  <r>
    <s v="052814002621.23.02322"/>
    <x v="25"/>
    <s v="0026"/>
    <x v="378"/>
    <x v="378"/>
    <s v="METALFISA METALURGICA EIRELI LTDA"/>
    <d v="2026-02-04T00:00:00"/>
    <s v="VICTOR"/>
    <n v="3"/>
    <n v="92.92"/>
    <n v="278.76"/>
    <s v="APROVADO"/>
    <s v="10"/>
    <x v="25"/>
    <s v="-"/>
    <n v="19"/>
    <s v="ATRASADO"/>
    <s v="-"/>
  </r>
  <r>
    <s v="052814002721.23.02331"/>
    <x v="25"/>
    <s v="0027"/>
    <x v="489"/>
    <x v="489"/>
    <s v="METALFISA METALURGICA EIRELI LTDA"/>
    <d v="2026-02-04T00:00:00"/>
    <s v="VICTOR"/>
    <n v="1"/>
    <n v="632.04"/>
    <n v="632.04"/>
    <s v="APROVADO"/>
    <s v="10"/>
    <x v="25"/>
    <s v="-"/>
    <n v="19"/>
    <s v="ATRASADO"/>
    <s v="-"/>
  </r>
  <r>
    <s v="052814002821.23.02334"/>
    <x v="25"/>
    <s v="0028"/>
    <x v="381"/>
    <x v="381"/>
    <s v="METALFISA METALURGICA EIRELI LTDA"/>
    <d v="2026-02-04T00:00:00"/>
    <s v="VICTOR"/>
    <n v="7"/>
    <n v="28.98"/>
    <n v="202.86"/>
    <s v="APROVADO"/>
    <s v="10"/>
    <x v="25"/>
    <s v="-"/>
    <n v="19"/>
    <s v="ATRASADO"/>
    <s v="-"/>
  </r>
  <r>
    <s v="052814002921.23.02343"/>
    <x v="25"/>
    <s v="0029"/>
    <x v="490"/>
    <x v="490"/>
    <s v="METALFISA METALURGICA EIRELI LTDA"/>
    <d v="2026-02-04T00:00:00"/>
    <s v="VICTOR"/>
    <n v="2"/>
    <n v="144.44"/>
    <n v="288.88"/>
    <s v="APROVADO"/>
    <s v="10"/>
    <x v="25"/>
    <s v="-"/>
    <n v="19"/>
    <s v="ATRASADO"/>
    <s v="-"/>
  </r>
  <r>
    <s v="052814003021.23.02451"/>
    <x v="25"/>
    <s v="0030"/>
    <x v="491"/>
    <x v="491"/>
    <s v="METALFISA METALURGICA EIRELI LTDA"/>
    <d v="2026-02-04T00:00:00"/>
    <s v="VICTOR"/>
    <n v="3"/>
    <n v="214.54"/>
    <n v="643.62"/>
    <s v="APROVADO"/>
    <s v="10"/>
    <x v="25"/>
    <s v="-"/>
    <n v="19"/>
    <s v="ATRASADO"/>
    <s v="-"/>
  </r>
  <r>
    <s v="052814003121.23.02786"/>
    <x v="25"/>
    <s v="0031"/>
    <x v="36"/>
    <x v="36"/>
    <s v="METALFISA METALURGICA EIRELI LTDA"/>
    <d v="2026-02-04T00:00:00"/>
    <s v="VICTOR"/>
    <n v="3"/>
    <n v="165.23"/>
    <n v="495.69"/>
    <s v="APROVADO"/>
    <s v="10"/>
    <x v="25"/>
    <s v="-"/>
    <n v="19"/>
    <s v="ATRASADO"/>
    <s v="-"/>
  </r>
  <r>
    <s v="052814003221.23.02787"/>
    <x v="25"/>
    <s v="0032"/>
    <x v="13"/>
    <x v="13"/>
    <s v="METALFISA METALURGICA EIRELI LTDA"/>
    <d v="2026-02-04T00:00:00"/>
    <s v="VICTOR"/>
    <n v="1"/>
    <n v="140.02000000000001"/>
    <n v="140.02000000000001"/>
    <s v="APROVADO"/>
    <s v="10"/>
    <x v="25"/>
    <s v="-"/>
    <n v="19"/>
    <s v="ATRASADO"/>
    <s v="-"/>
  </r>
  <r>
    <s v="052814003321.23.04272"/>
    <x v="25"/>
    <s v="0033"/>
    <x v="492"/>
    <x v="492"/>
    <s v="METALFISA METALURGICA EIRELI LTDA"/>
    <d v="2026-02-04T00:00:00"/>
    <s v="VICTOR"/>
    <n v="1"/>
    <n v="16.100000000000001"/>
    <n v="16.100000000000001"/>
    <s v="APROVADO"/>
    <s v="10"/>
    <x v="25"/>
    <s v="-"/>
    <n v="19"/>
    <s v="ATRASADO"/>
    <s v="-"/>
  </r>
  <r>
    <s v="052814003421.23.04494"/>
    <x v="25"/>
    <s v="0034"/>
    <x v="493"/>
    <x v="493"/>
    <s v="METALFISA METALURGICA EIRELI LTDA"/>
    <d v="2026-02-04T00:00:00"/>
    <s v="VICTOR"/>
    <n v="9"/>
    <n v="190.16"/>
    <n v="1711.44"/>
    <s v="APROVADO"/>
    <s v="10"/>
    <x v="25"/>
    <s v="-"/>
    <n v="19"/>
    <s v="ATRASADO"/>
    <s v="-"/>
  </r>
  <r>
    <s v="052814003521.23.04493"/>
    <x v="25"/>
    <s v="0035"/>
    <x v="494"/>
    <x v="494"/>
    <s v="METALFISA METALURGICA EIRELI LTDA"/>
    <d v="2026-02-04T00:00:00"/>
    <s v="VICTOR"/>
    <n v="16"/>
    <n v="89.15"/>
    <n v="1426.4"/>
    <s v="APROVADO"/>
    <s v="10"/>
    <x v="25"/>
    <s v="-"/>
    <n v="19"/>
    <s v="ATRASADO"/>
    <s v="-"/>
  </r>
  <r>
    <s v="052814003621.23.04495"/>
    <x v="25"/>
    <s v="0036"/>
    <x v="387"/>
    <x v="387"/>
    <s v="METALFISA METALURGICA EIRELI LTDA"/>
    <d v="2026-02-04T00:00:00"/>
    <s v="VICTOR"/>
    <n v="5"/>
    <n v="27.78"/>
    <n v="138.9"/>
    <s v="APROVADO"/>
    <s v="10"/>
    <x v="25"/>
    <s v="-"/>
    <n v="19"/>
    <s v="ATRASADO"/>
    <s v="-"/>
  </r>
  <r>
    <s v="052814003721.23.04507"/>
    <x v="25"/>
    <s v="0037"/>
    <x v="390"/>
    <x v="390"/>
    <s v="METALFISA METALURGICA EIRELI LTDA"/>
    <d v="2026-02-04T00:00:00"/>
    <s v="VICTOR"/>
    <n v="1"/>
    <n v="17.39"/>
    <n v="17.39"/>
    <s v="APROVADO"/>
    <s v="10"/>
    <x v="25"/>
    <s v="-"/>
    <n v="19"/>
    <s v="ATRASADO"/>
    <s v="-"/>
  </r>
  <r>
    <s v="052814003821.23.04608"/>
    <x v="25"/>
    <s v="0038"/>
    <x v="327"/>
    <x v="327"/>
    <s v="METALFISA METALURGICA EIRELI LTDA"/>
    <d v="2026-02-04T00:00:00"/>
    <s v="VICTOR"/>
    <n v="1"/>
    <n v="1199.95"/>
    <n v="1199.95"/>
    <s v="APROVADO"/>
    <s v="10"/>
    <x v="25"/>
    <s v="-"/>
    <n v="19"/>
    <s v="ATRASADO"/>
    <s v="-"/>
  </r>
  <r>
    <s v="052814003921.23.04654"/>
    <x v="25"/>
    <s v="0039"/>
    <x v="495"/>
    <x v="495"/>
    <s v="METALFISA METALURGICA EIRELI LTDA"/>
    <d v="2026-02-04T00:00:00"/>
    <s v="VICTOR"/>
    <n v="3"/>
    <n v="856.05"/>
    <n v="2568.15"/>
    <s v="APROVADO"/>
    <s v="10"/>
    <x v="25"/>
    <s v="-"/>
    <n v="19"/>
    <s v="ATRASADO"/>
    <s v="-"/>
  </r>
  <r>
    <s v="052814004021.23.04655"/>
    <x v="25"/>
    <s v="0040"/>
    <x v="496"/>
    <x v="496"/>
    <s v="METALFISA METALURGICA EIRELI LTDA"/>
    <d v="2026-02-04T00:00:00"/>
    <s v="VICTOR"/>
    <n v="4"/>
    <n v="760.7"/>
    <n v="3042.8"/>
    <s v="APROVADO"/>
    <s v="10"/>
    <x v="25"/>
    <s v="-"/>
    <n v="19"/>
    <s v="ATRASADO"/>
    <s v="-"/>
  </r>
  <r>
    <s v="052814004121.23.04813"/>
    <x v="25"/>
    <s v="0041"/>
    <x v="497"/>
    <x v="497"/>
    <s v="METALFISA METALURGICA EIRELI LTDA"/>
    <d v="2026-02-04T00:00:00"/>
    <s v="VICTOR"/>
    <n v="1"/>
    <n v="13.52"/>
    <n v="13.52"/>
    <s v="APROVADO"/>
    <s v="10"/>
    <x v="25"/>
    <s v="-"/>
    <n v="19"/>
    <s v="ATRASADO"/>
    <s v="-"/>
  </r>
  <r>
    <s v="052814004221.23.04815"/>
    <x v="25"/>
    <s v="0042"/>
    <x v="498"/>
    <x v="498"/>
    <s v="METALFISA METALURGICA EIRELI LTDA"/>
    <d v="2026-02-04T00:00:00"/>
    <s v="VICTOR"/>
    <n v="2"/>
    <n v="97.52"/>
    <n v="195.04"/>
    <s v="APROVADO"/>
    <s v="10"/>
    <x v="25"/>
    <s v="-"/>
    <n v="19"/>
    <s v="ATRASADO"/>
    <s v="-"/>
  </r>
  <r>
    <s v="052814004333.08.10128.01"/>
    <x v="25"/>
    <s v="0043"/>
    <x v="499"/>
    <x v="499"/>
    <s v="METALFISA METALURGICA EIRELI LTDA"/>
    <d v="2026-02-04T00:00:00"/>
    <s v="VICTOR"/>
    <n v="24"/>
    <n v="14.1"/>
    <n v="338.4"/>
    <s v="APROVADO"/>
    <s v="10"/>
    <x v="25"/>
    <s v="-"/>
    <n v="19"/>
    <s v="ATRASADO"/>
    <s v="-"/>
  </r>
  <r>
    <s v="052814004433.08.10217.00"/>
    <x v="25"/>
    <s v="0044"/>
    <x v="500"/>
    <x v="500"/>
    <s v="METALFISA METALURGICA EIRELI LTDA"/>
    <d v="2026-02-04T00:00:00"/>
    <s v="VICTOR"/>
    <n v="75"/>
    <n v="16.5"/>
    <n v="1237.5"/>
    <s v="APROVADO"/>
    <s v="10"/>
    <x v="25"/>
    <s v="-"/>
    <n v="19"/>
    <s v="ATRASADO"/>
    <s v="-"/>
  </r>
  <r>
    <s v="052814004533.11.10423.01"/>
    <x v="25"/>
    <s v="0045"/>
    <x v="501"/>
    <x v="501"/>
    <s v="METALFISA METALURGICA EIRELI LTDA"/>
    <d v="2026-02-04T00:00:00"/>
    <s v="VICTOR"/>
    <n v="1"/>
    <n v="28.67"/>
    <n v="28.67"/>
    <s v="APROVADO"/>
    <s v="10"/>
    <x v="25"/>
    <s v="-"/>
    <n v="19"/>
    <s v="ATRASADO"/>
    <s v="-"/>
  </r>
  <r>
    <s v="052814004633.11.10666.00"/>
    <x v="25"/>
    <s v="0046"/>
    <x v="181"/>
    <x v="181"/>
    <s v="METALFISA METALURGICA EIRELI LTDA"/>
    <d v="2026-02-04T00:00:00"/>
    <s v="VICTOR"/>
    <n v="1"/>
    <n v="959.39"/>
    <n v="959.39"/>
    <s v="APROVADO"/>
    <s v="10"/>
    <x v="25"/>
    <s v="-"/>
    <n v="19"/>
    <s v="ATRASADO"/>
    <s v="-"/>
  </r>
  <r>
    <s v="052814004733.11.10728.00"/>
    <x v="25"/>
    <s v="0047"/>
    <x v="502"/>
    <x v="502"/>
    <s v="METALFISA METALURGICA EIRELI LTDA"/>
    <d v="2026-02-04T00:00:00"/>
    <s v="VICTOR"/>
    <n v="1"/>
    <n v="98.88"/>
    <n v="98.88"/>
    <s v="APROVADO"/>
    <s v="10"/>
    <x v="25"/>
    <s v="-"/>
    <n v="19"/>
    <s v="ATRASADO"/>
    <s v="-"/>
  </r>
  <r>
    <s v="052814004833.11.10978.00"/>
    <x v="25"/>
    <s v="0048"/>
    <x v="503"/>
    <x v="503"/>
    <s v="METALFISA METALURGICA EIRELI LTDA"/>
    <d v="2026-02-04T00:00:00"/>
    <s v="VICTOR"/>
    <n v="1"/>
    <n v="602"/>
    <n v="602"/>
    <s v="APROVADO"/>
    <s v="10"/>
    <x v="25"/>
    <s v="-"/>
    <n v="19"/>
    <s v="ATRASADO"/>
    <s v="-"/>
  </r>
  <r>
    <s v="052814004933.12.10027.01"/>
    <x v="25"/>
    <s v="0049"/>
    <x v="504"/>
    <x v="504"/>
    <s v="METALFISA METALURGICA EIRELI LTDA"/>
    <d v="2026-02-04T00:00:00"/>
    <s v="VICTOR"/>
    <n v="7"/>
    <n v="25.26"/>
    <n v="176.82"/>
    <s v="APROVADO"/>
    <s v="10"/>
    <x v="25"/>
    <s v="-"/>
    <n v="19"/>
    <s v="ATRASADO"/>
    <s v="-"/>
  </r>
  <r>
    <s v="052814005033.12.10537.00"/>
    <x v="25"/>
    <s v="0050"/>
    <x v="400"/>
    <x v="400"/>
    <s v="METALFISA METALURGICA EIRELI LTDA"/>
    <d v="2026-02-04T00:00:00"/>
    <s v="VICTOR"/>
    <n v="298"/>
    <n v="7.82"/>
    <n v="2330.36"/>
    <s v="APROVADO"/>
    <s v="10"/>
    <x v="25"/>
    <s v="-"/>
    <n v="19"/>
    <s v="ATRASADO"/>
    <s v="-"/>
  </r>
  <r>
    <s v="052814005133.12.10580.00"/>
    <x v="25"/>
    <s v="0051"/>
    <x v="505"/>
    <x v="505"/>
    <s v="METALFISA METALURGICA EIRELI LTDA"/>
    <d v="2026-02-04T00:00:00"/>
    <s v="VICTOR"/>
    <n v="7"/>
    <n v="59.2"/>
    <n v="414.4"/>
    <s v="APROVADO"/>
    <s v="10"/>
    <x v="25"/>
    <s v="-"/>
    <n v="19"/>
    <s v="ATRASADO"/>
    <s v="-"/>
  </r>
  <r>
    <s v="052814005233.12.10595.00"/>
    <x v="25"/>
    <s v="0052"/>
    <x v="410"/>
    <x v="410"/>
    <s v="METALFISA METALURGICA EIRELI LTDA"/>
    <d v="2026-02-04T00:00:00"/>
    <s v="VICTOR"/>
    <n v="11"/>
    <n v="75.5"/>
    <n v="830.5"/>
    <s v="APROVADO"/>
    <s v="10"/>
    <x v="25"/>
    <s v="-"/>
    <n v="19"/>
    <s v="ATRASADO"/>
    <s v="-"/>
  </r>
  <r>
    <s v="052814005333.12.10598.00"/>
    <x v="25"/>
    <s v="0053"/>
    <x v="506"/>
    <x v="506"/>
    <s v="METALFISA METALURGICA EIRELI LTDA"/>
    <d v="2026-02-04T00:00:00"/>
    <s v="VICTOR"/>
    <n v="2"/>
    <n v="273.10000000000002"/>
    <n v="546.20000000000005"/>
    <s v="APROVADO"/>
    <s v="10"/>
    <x v="25"/>
    <s v="-"/>
    <n v="19"/>
    <s v="ATRASADO"/>
    <s v="-"/>
  </r>
  <r>
    <s v="052814005433.12.10601.00"/>
    <x v="25"/>
    <s v="0054"/>
    <x v="507"/>
    <x v="507"/>
    <s v="METALFISA METALURGICA EIRELI LTDA"/>
    <d v="2026-02-04T00:00:00"/>
    <s v="VICTOR"/>
    <n v="2"/>
    <n v="282.25"/>
    <n v="564.5"/>
    <s v="APROVADO"/>
    <s v="10"/>
    <x v="25"/>
    <s v="-"/>
    <n v="19"/>
    <s v="ATRASADO"/>
    <s v="-"/>
  </r>
  <r>
    <s v="052814005533.14.10244.01"/>
    <x v="25"/>
    <s v="0055"/>
    <x v="83"/>
    <x v="83"/>
    <s v="METALFISA METALURGICA EIRELI LTDA"/>
    <d v="2026-02-04T00:00:00"/>
    <s v="VICTOR"/>
    <n v="1"/>
    <n v="165"/>
    <n v="165"/>
    <s v="APROVADO"/>
    <s v="10"/>
    <x v="25"/>
    <s v="-"/>
    <n v="19"/>
    <s v="ATRASADO"/>
    <s v="-"/>
  </r>
  <r>
    <s v="052814005633.20.10018.01"/>
    <x v="25"/>
    <s v="0056"/>
    <x v="508"/>
    <x v="508"/>
    <s v="METALFISA METALURGICA EIRELI LTDA"/>
    <d v="2026-02-04T00:00:00"/>
    <s v="VICTOR"/>
    <n v="2"/>
    <n v="328.67"/>
    <n v="657.34"/>
    <s v="APROVADO"/>
    <s v="10"/>
    <x v="25"/>
    <s v="-"/>
    <n v="19"/>
    <s v="ATRASADO"/>
    <s v="-"/>
  </r>
  <r>
    <s v="052814005733.20.10050.01"/>
    <x v="25"/>
    <s v="0057"/>
    <x v="509"/>
    <x v="509"/>
    <s v="METALFISA METALURGICA EIRELI LTDA"/>
    <d v="2026-02-04T00:00:00"/>
    <s v="VICTOR"/>
    <n v="1"/>
    <n v="109"/>
    <n v="109"/>
    <s v="APROVADO"/>
    <s v="10"/>
    <x v="25"/>
    <s v="-"/>
    <n v="19"/>
    <s v="ATRASADO"/>
    <s v="-"/>
  </r>
  <r>
    <s v="052814005833.20.10227.02"/>
    <x v="25"/>
    <s v="0058"/>
    <x v="432"/>
    <x v="432"/>
    <s v="METALFISA METALURGICA EIRELI LTDA"/>
    <d v="2026-02-04T00:00:00"/>
    <s v="VICTOR"/>
    <n v="5"/>
    <n v="66"/>
    <n v="330"/>
    <s v="APROVADO"/>
    <s v="10"/>
    <x v="25"/>
    <s v="-"/>
    <n v="19"/>
    <s v="ATRASADO"/>
    <s v="-"/>
  </r>
  <r>
    <s v="052814005933.20.10275.01"/>
    <x v="25"/>
    <s v="0059"/>
    <x v="510"/>
    <x v="510"/>
    <s v="METALFISA METALURGICA EIRELI LTDA"/>
    <d v="2026-02-04T00:00:00"/>
    <s v="VICTOR"/>
    <n v="2"/>
    <n v="45"/>
    <n v="90"/>
    <s v="APROVADO"/>
    <s v="10"/>
    <x v="25"/>
    <s v="-"/>
    <n v="19"/>
    <s v="ATRASADO"/>
    <s v="-"/>
  </r>
  <r>
    <s v="052814006033.20.10335.01"/>
    <x v="25"/>
    <s v="0060"/>
    <x v="435"/>
    <x v="435"/>
    <s v="METALFISA METALURGICA EIRELI LTDA"/>
    <d v="2026-02-04T00:00:00"/>
    <s v="VICTOR"/>
    <n v="1"/>
    <n v="620"/>
    <n v="620"/>
    <s v="APROVADO"/>
    <s v="10"/>
    <x v="25"/>
    <s v="-"/>
    <n v="19"/>
    <s v="ATRASADO"/>
    <s v="-"/>
  </r>
  <r>
    <s v="052814006133.20.10521.02"/>
    <x v="25"/>
    <s v="0061"/>
    <x v="511"/>
    <x v="511"/>
    <s v="METALFISA METALURGICA EIRELI LTDA"/>
    <d v="2026-02-04T00:00:00"/>
    <s v="VICTOR"/>
    <n v="1"/>
    <n v="58"/>
    <n v="58"/>
    <s v="APROVADO"/>
    <s v="10"/>
    <x v="25"/>
    <s v="-"/>
    <n v="19"/>
    <s v="ATRASADO"/>
    <s v="-"/>
  </r>
  <r>
    <s v="052814006234.06.10013.00"/>
    <x v="25"/>
    <s v="0062"/>
    <x v="512"/>
    <x v="512"/>
    <s v="METALFISA METALURGICA EIRELI LTDA"/>
    <d v="2026-02-04T00:00:00"/>
    <s v="VICTOR"/>
    <n v="2"/>
    <n v="47.5"/>
    <n v="95"/>
    <s v="APROVADO"/>
    <s v="10"/>
    <x v="25"/>
    <s v="-"/>
    <n v="19"/>
    <s v="ATRASADO"/>
    <s v="-"/>
  </r>
  <r>
    <s v="052814006334.13.20001.00"/>
    <x v="25"/>
    <s v="0063"/>
    <x v="513"/>
    <x v="513"/>
    <s v="METALFISA METALURGICA EIRELI LTDA"/>
    <d v="2026-02-04T00:00:00"/>
    <s v="VICTOR"/>
    <n v="3"/>
    <n v="38.5"/>
    <n v="115.5"/>
    <s v="APROVADO"/>
    <s v="10"/>
    <x v="25"/>
    <s v="-"/>
    <n v="19"/>
    <s v="ATRASADO"/>
    <s v="-"/>
  </r>
  <r>
    <s v="052814006433.02.10044.02"/>
    <x v="25"/>
    <s v="0064"/>
    <x v="469"/>
    <x v="469"/>
    <s v="METALFISA METALURGICA EIRELI LTDA"/>
    <d v="2026-02-04T00:00:00"/>
    <s v="VICTOR"/>
    <n v="3"/>
    <n v="38.799999999999997"/>
    <n v="116.4"/>
    <s v="APROVADO"/>
    <s v="10"/>
    <x v="26"/>
    <s v="-"/>
    <n v="-10"/>
    <s v="DENTRO DO PRAZO"/>
    <s v="-"/>
  </r>
  <r>
    <s v="052814006533.03.10207.01"/>
    <x v="25"/>
    <s v="0065"/>
    <x v="470"/>
    <x v="470"/>
    <s v="METALFISA METALURGICA EIRELI LTDA"/>
    <d v="2026-02-04T00:00:00"/>
    <s v="VICTOR"/>
    <n v="24"/>
    <n v="35.1"/>
    <n v="842.4"/>
    <s v="APROVADO"/>
    <s v="10"/>
    <x v="27"/>
    <s v="-"/>
    <n v="-7"/>
    <s v="DENTRO DO PRAZO"/>
    <s v="-"/>
  </r>
  <r>
    <s v="052814006633.03.10214.01"/>
    <x v="25"/>
    <s v="0066"/>
    <x v="423"/>
    <x v="423"/>
    <s v="METALFISA METALURGICA EIRELI LTDA"/>
    <d v="2026-02-04T00:00:00"/>
    <s v="VICTOR"/>
    <n v="16"/>
    <n v="548.4"/>
    <n v="8774.4"/>
    <s v="APROVADO"/>
    <s v="10"/>
    <x v="27"/>
    <s v="-"/>
    <n v="-7"/>
    <s v="DENTRO DO PRAZO"/>
    <s v="-"/>
  </r>
  <r>
    <s v="052814006733.03.10235.01"/>
    <x v="25"/>
    <s v="0067"/>
    <x v="471"/>
    <x v="471"/>
    <s v="METALFISA METALURGICA EIRELI LTDA"/>
    <d v="2026-02-04T00:00:00"/>
    <s v="VICTOR"/>
    <n v="3"/>
    <n v="60.9"/>
    <n v="182.7"/>
    <s v="APROVADO"/>
    <s v="10"/>
    <x v="28"/>
    <s v="-"/>
    <n v="-11"/>
    <s v="DENTRO DO PRAZO"/>
    <s v="-"/>
  </r>
  <r>
    <s v="052814006833.03.10239.01"/>
    <x v="25"/>
    <s v="0068"/>
    <x v="472"/>
    <x v="472"/>
    <s v="METALFISA METALURGICA EIRELI LTDA"/>
    <d v="2026-02-04T00:00:00"/>
    <s v="VICTOR"/>
    <n v="3"/>
    <n v="60.9"/>
    <n v="182.7"/>
    <s v="APROVADO"/>
    <s v="10"/>
    <x v="28"/>
    <s v="-"/>
    <n v="-11"/>
    <s v="DENTRO DO PRAZO"/>
    <s v="-"/>
  </r>
  <r>
    <s v="052814006933.03.10240.02"/>
    <x v="25"/>
    <s v="0069"/>
    <x v="473"/>
    <x v="473"/>
    <s v="METALFISA METALURGICA EIRELI LTDA"/>
    <d v="2026-02-04T00:00:00"/>
    <s v="VICTOR"/>
    <n v="4"/>
    <n v="60.9"/>
    <n v="243.6"/>
    <s v="APROVADO"/>
    <s v="10"/>
    <x v="29"/>
    <s v="-"/>
    <n v="-42"/>
    <s v="DENTRO DO PRAZO"/>
    <s v="-"/>
  </r>
  <r>
    <s v="052814007033.03.10275.00"/>
    <x v="25"/>
    <s v="0070"/>
    <x v="426"/>
    <x v="426"/>
    <s v="METALFISA METALURGICA EIRELI LTDA"/>
    <d v="2026-02-04T00:00:00"/>
    <s v="VICTOR"/>
    <n v="8"/>
    <n v="109.3"/>
    <n v="874.4"/>
    <s v="APROVADO"/>
    <s v="10"/>
    <x v="30"/>
    <s v="-"/>
    <n v="-5"/>
    <s v="DENTRO DO PRAZO"/>
    <s v="-"/>
  </r>
  <r>
    <s v="052814007133.03.10351.03"/>
    <x v="25"/>
    <s v="0071"/>
    <x v="514"/>
    <x v="514"/>
    <s v="METALFISA METALURGICA EIRELI LTDA"/>
    <d v="2026-02-04T00:00:00"/>
    <s v="VICTOR"/>
    <n v="2"/>
    <n v="121"/>
    <n v="242"/>
    <s v="APROVADO"/>
    <s v="10"/>
    <x v="31"/>
    <s v="-"/>
    <n v="-38"/>
    <s v="DENTRO DO PRAZO"/>
    <s v="-"/>
  </r>
  <r>
    <s v="052814007233.08.10245.02"/>
    <x v="25"/>
    <s v="0072"/>
    <x v="474"/>
    <x v="474"/>
    <s v="METALFISA METALURGICA EIRELI LTDA"/>
    <d v="2026-02-04T00:00:00"/>
    <s v="VICTOR"/>
    <n v="10"/>
    <n v="65.099999999999994"/>
    <n v="651"/>
    <s v="APROVADO"/>
    <s v="10"/>
    <x v="32"/>
    <s v="-"/>
    <n v="17"/>
    <s v="ATRASADO"/>
    <s v="-"/>
  </r>
  <r>
    <s v="052814007333.08.10249.02"/>
    <x v="25"/>
    <s v="0073"/>
    <x v="475"/>
    <x v="475"/>
    <s v="METALFISA METALURGICA EIRELI LTDA"/>
    <d v="2026-02-04T00:00:00"/>
    <s v="VICTOR"/>
    <n v="19"/>
    <n v="65.099999999999994"/>
    <n v="1236.9000000000001"/>
    <s v="APROVADO"/>
    <s v="10"/>
    <x v="32"/>
    <s v="-"/>
    <n v="17"/>
    <s v="ATRASADO"/>
    <s v="-"/>
  </r>
  <r>
    <s v="052814007421.23.00875"/>
    <x v="25"/>
    <s v="0074"/>
    <x v="477"/>
    <x v="477"/>
    <s v="METALFISA METALURGICA EIRELI LTDA"/>
    <d v="2026-02-04T00:00:00"/>
    <s v="VICTOR"/>
    <n v="22"/>
    <n v="75.25"/>
    <n v="1655.5"/>
    <s v="APROVADO"/>
    <s v="10"/>
    <x v="33"/>
    <s v="-"/>
    <n v="66"/>
    <s v="ATRASADO"/>
    <s v="-"/>
  </r>
  <r>
    <s v="052814007521.23.01364"/>
    <x v="25"/>
    <s v="0075"/>
    <x v="515"/>
    <x v="515"/>
    <s v="METALFISA METALURGICA EIRELI LTDA"/>
    <d v="2026-02-04T00:00:00"/>
    <s v="VICTOR"/>
    <n v="37"/>
    <n v="119"/>
    <n v="4403"/>
    <s v="APROVADO"/>
    <s v="10"/>
    <x v="21"/>
    <s v="-"/>
    <n v="-14"/>
    <s v="DENTRO DO PRAZO"/>
    <s v="-"/>
  </r>
  <r>
    <s v="052814007621.23.01409"/>
    <x v="25"/>
    <s v="0076"/>
    <x v="516"/>
    <x v="516"/>
    <s v="METALFISA METALURGICA EIRELI LTDA"/>
    <d v="2026-02-04T00:00:00"/>
    <s v="VICTOR"/>
    <n v="3"/>
    <n v="740"/>
    <n v="2220"/>
    <s v="APROVADO"/>
    <s v="10"/>
    <x v="21"/>
    <s v="-"/>
    <n v="-14"/>
    <s v="DENTRO DO PRAZO"/>
    <s v="-"/>
  </r>
  <r>
    <s v="052814007721.23.01612"/>
    <x v="25"/>
    <s v="0077"/>
    <x v="453"/>
    <x v="453"/>
    <s v="METALFISA METALURGICA EIRELI LTDA"/>
    <d v="2026-02-04T00:00:00"/>
    <s v="VICTOR"/>
    <n v="52"/>
    <n v="9.25"/>
    <n v="481"/>
    <s v="APROVADO"/>
    <s v="10"/>
    <x v="22"/>
    <s v="-"/>
    <n v="14"/>
    <s v="ATRASADO"/>
    <s v="ENTREGUE 2 PEÇAS NO DANFE 18655 EM 06/02-VMI MEC"/>
  </r>
  <r>
    <s v="052814007821.23.02019"/>
    <x v="25"/>
    <s v="0078"/>
    <x v="458"/>
    <x v="458"/>
    <s v="METALFISA METALURGICA EIRELI LTDA"/>
    <d v="2026-02-04T00:00:00"/>
    <s v="VICTOR"/>
    <n v="8"/>
    <n v="19.87"/>
    <n v="158.96"/>
    <s v="APROVADO"/>
    <s v="10"/>
    <x v="23"/>
    <s v="-"/>
    <n v="-12"/>
    <s v="DENTRO DO PRAZO"/>
    <s v="-"/>
  </r>
  <r>
    <s v="052814007921.23.02281"/>
    <x v="25"/>
    <s v="0079"/>
    <x v="34"/>
    <x v="34"/>
    <s v="METALFISA METALURGICA EIRELI LTDA"/>
    <d v="2026-02-04T00:00:00"/>
    <s v="VICTOR"/>
    <n v="1"/>
    <n v="627.15"/>
    <n v="627.15"/>
    <s v="APROVADO"/>
    <s v="10"/>
    <x v="34"/>
    <s v="-"/>
    <n v="78"/>
    <s v="ATRASADO"/>
    <s v="-"/>
  </r>
  <r>
    <s v="052814008021.23.03328"/>
    <x v="25"/>
    <s v="0080"/>
    <x v="421"/>
    <x v="421"/>
    <s v="METALFISA METALURGICA EIRELI LTDA"/>
    <d v="2026-02-04T00:00:00"/>
    <s v="VICTOR"/>
    <n v="7"/>
    <n v="64.3"/>
    <n v="450.1"/>
    <s v="APROVADO"/>
    <s v="10"/>
    <x v="31"/>
    <s v="-"/>
    <n v="-38"/>
    <s v="DENTRO DO PRAZO"/>
    <s v="-"/>
  </r>
  <r>
    <s v="052814008121.23.03329"/>
    <x v="25"/>
    <s v="0081"/>
    <x v="422"/>
    <x v="422"/>
    <s v="METALFISA METALURGICA EIRELI LTDA"/>
    <d v="2026-02-04T00:00:00"/>
    <s v="VICTOR"/>
    <n v="7"/>
    <n v="64.3"/>
    <n v="450.1"/>
    <s v="APROVADO"/>
    <s v="10"/>
    <x v="31"/>
    <s v="-"/>
    <n v="-38"/>
    <s v="DENTRO DO PRAZO"/>
    <s v="-"/>
  </r>
  <r>
    <s v="052814008221.23.04637"/>
    <x v="25"/>
    <s v="0082"/>
    <x v="517"/>
    <x v="517"/>
    <s v="METALFISA METALURGICA EIRELI LTDA"/>
    <d v="2026-02-04T00:00:00"/>
    <s v="VICTOR"/>
    <n v="1385"/>
    <n v="4.78"/>
    <n v="6620.3"/>
    <s v="APROVADO"/>
    <s v="10"/>
    <x v="35"/>
    <s v="-"/>
    <n v="67"/>
    <s v="ATRASADO"/>
    <s v="-"/>
  </r>
  <r>
    <s v="052814008321.23.04638"/>
    <x v="25"/>
    <s v="0083"/>
    <x v="518"/>
    <x v="518"/>
    <s v="METALFISA METALURGICA EIRELI LTDA"/>
    <d v="2026-02-04T00:00:00"/>
    <s v="VICTOR"/>
    <n v="1696"/>
    <n v="4.2300000000000004"/>
    <n v="7174.08"/>
    <s v="APROVADO"/>
    <s v="10"/>
    <x v="36"/>
    <s v="-"/>
    <n v="47"/>
    <s v="ATRASADO"/>
    <s v="-"/>
  </r>
  <r>
    <s v="052814008433.03.10540.00"/>
    <x v="25"/>
    <s v="0084"/>
    <x v="519"/>
    <x v="519"/>
    <s v="METALFISA METALURGICA EIRELI LTDA"/>
    <d v="2026-02-04T00:00:00"/>
    <s v="VICTOR"/>
    <n v="2"/>
    <n v="121"/>
    <n v="242"/>
    <s v="APROVADO"/>
    <s v="10"/>
    <x v="37"/>
    <s v="-"/>
    <n v="54"/>
    <s v="ATRASADO"/>
    <s v="-"/>
  </r>
  <r>
    <s v="052204004921.23.03329"/>
    <x v="23"/>
    <s v="0049"/>
    <x v="422"/>
    <x v="422"/>
    <s v="METALFISA METALURGICA EIRELI LTDA"/>
    <d v="2026-01-08T00:00:00"/>
    <s v="MARCO"/>
    <n v="6"/>
    <n v="68.05"/>
    <n v="408.3"/>
    <s v="APROVADO"/>
    <s v="10"/>
    <x v="20"/>
    <d v="2026-10-04T00:00:00"/>
    <e v="#N/A"/>
    <m/>
    <m/>
  </r>
  <r>
    <s v="052204005021.23.03329"/>
    <x v="23"/>
    <s v="0050"/>
    <x v="422"/>
    <x v="422"/>
    <s v="METALFISA METALURGICA EIRELI LTDA"/>
    <d v="2026-01-08T00:00:00"/>
    <s v="MARCO"/>
    <n v="1"/>
    <n v="68.05"/>
    <n v="68.05"/>
    <s v="APROVADO"/>
    <s v="10"/>
    <x v="20"/>
    <d v="2026-10-04T00:00:00"/>
    <e v="#N/A"/>
    <m/>
    <m/>
  </r>
  <r>
    <s v="052204005121.23.03392"/>
    <x v="23"/>
    <s v="0051"/>
    <x v="466"/>
    <x v="466"/>
    <s v="METALFISA METALURGICA EIRELI LTDA"/>
    <d v="2026-01-08T00:00:00"/>
    <s v="MARCO"/>
    <n v="2"/>
    <n v="28"/>
    <n v="56"/>
    <s v="APROVADO"/>
    <s v="10"/>
    <x v="20"/>
    <d v="2026-10-04T00:00:00"/>
    <e v="#N/A"/>
    <m/>
    <m/>
  </r>
  <r>
    <s v="052204005221.23.03392"/>
    <x v="23"/>
    <s v="0052"/>
    <x v="466"/>
    <x v="466"/>
    <s v="METALFISA METALURGICA EIRELI LTDA"/>
    <d v="2026-01-08T00:00:00"/>
    <s v="MARCO"/>
    <n v="16"/>
    <n v="28"/>
    <n v="448"/>
    <s v="APROVADO"/>
    <s v="10"/>
    <x v="20"/>
    <d v="2026-10-04T00:00:00"/>
    <e v="#N/A"/>
    <m/>
    <m/>
  </r>
  <r>
    <s v="052204005333.02.10034.02"/>
    <x v="23"/>
    <s v="0053"/>
    <x v="467"/>
    <x v="467"/>
    <s v="METALFISA METALURGICA EIRELI LTDA"/>
    <d v="2026-01-08T00:00:00"/>
    <s v="MARCO"/>
    <n v="20"/>
    <n v="99.7"/>
    <n v="1994"/>
    <s v="APROVADO"/>
    <s v="10"/>
    <x v="20"/>
    <d v="2026-10-04T00:00:00"/>
    <e v="#N/A"/>
    <m/>
    <m/>
  </r>
  <r>
    <s v="052204005433.02.10037.02"/>
    <x v="23"/>
    <s v="0054"/>
    <x v="468"/>
    <x v="468"/>
    <s v="METALFISA METALURGICA EIRELI LTDA"/>
    <d v="2026-01-08T00:00:00"/>
    <s v="MARCO"/>
    <n v="20"/>
    <n v="99.7"/>
    <n v="1994"/>
    <s v="APROVADO"/>
    <s v="10"/>
    <x v="20"/>
    <d v="2026-10-04T00:00:00"/>
    <e v="#N/A"/>
    <m/>
    <m/>
  </r>
  <r>
    <s v="052204005533.02.10044.02"/>
    <x v="23"/>
    <s v="0055"/>
    <x v="469"/>
    <x v="469"/>
    <s v="METALFISA METALURGICA EIRELI LTDA"/>
    <d v="2026-01-08T00:00:00"/>
    <s v="MARCO"/>
    <n v="20"/>
    <n v="99.7"/>
    <n v="1994"/>
    <s v="APROVADO"/>
    <s v="10"/>
    <x v="20"/>
    <d v="2026-10-04T00:00:00"/>
    <e v="#N/A"/>
    <m/>
    <m/>
  </r>
  <r>
    <s v="052204005633.03.10207.01"/>
    <x v="23"/>
    <s v="0056"/>
    <x v="470"/>
    <x v="470"/>
    <s v="METALFISA METALURGICA EIRELI LTDA"/>
    <d v="2026-01-08T00:00:00"/>
    <s v="MARCO"/>
    <n v="16"/>
    <n v="37.15"/>
    <n v="594.4"/>
    <s v="APROVADO"/>
    <s v="10"/>
    <x v="20"/>
    <d v="2026-10-04T00:00:00"/>
    <e v="#N/A"/>
    <m/>
    <m/>
  </r>
  <r>
    <s v="052204005733.03.10214.01"/>
    <x v="23"/>
    <s v="0057"/>
    <x v="423"/>
    <x v="423"/>
    <s v="METALFISA METALURGICA EIRELI LTDA"/>
    <d v="2026-01-08T00:00:00"/>
    <s v="MARCO"/>
    <n v="14"/>
    <n v="618.29999999999995"/>
    <n v="8656.2000000000007"/>
    <s v="APROVADO"/>
    <s v="10"/>
    <x v="20"/>
    <d v="2026-10-04T00:00:00"/>
    <e v="#N/A"/>
    <m/>
    <m/>
  </r>
  <r>
    <s v="052204005833.03.10235.01"/>
    <x v="23"/>
    <s v="0058"/>
    <x v="471"/>
    <x v="471"/>
    <s v="METALFISA METALURGICA EIRELI LTDA"/>
    <d v="2026-01-08T00:00:00"/>
    <s v="MARCO"/>
    <n v="7"/>
    <n v="64.45"/>
    <n v="451.15"/>
    <s v="APROVADO"/>
    <s v="10"/>
    <x v="20"/>
    <d v="2026-10-04T00:00:00"/>
    <e v="#N/A"/>
    <m/>
    <m/>
  </r>
  <r>
    <s v="052204005933.03.10235.01"/>
    <x v="23"/>
    <s v="0059"/>
    <x v="471"/>
    <x v="471"/>
    <s v="METALFISA METALURGICA EIRELI LTDA"/>
    <d v="2026-01-08T00:00:00"/>
    <s v="MARCO"/>
    <n v="1"/>
    <n v="64.45"/>
    <n v="64.45"/>
    <s v="APROVADO"/>
    <s v="10"/>
    <x v="20"/>
    <d v="2026-10-04T00:00:00"/>
    <e v="#N/A"/>
    <m/>
    <m/>
  </r>
  <r>
    <s v="052204006033.03.10236.02"/>
    <x v="23"/>
    <s v="0060"/>
    <x v="425"/>
    <x v="425"/>
    <s v="METALFISA METALURGICA EIRELI LTDA"/>
    <d v="2026-01-08T00:00:00"/>
    <s v="MARCO"/>
    <n v="7"/>
    <n v="59.5"/>
    <n v="416.5"/>
    <s v="APROVADO"/>
    <s v="10"/>
    <x v="20"/>
    <d v="2026-10-04T00:00:00"/>
    <e v="#N/A"/>
    <m/>
    <m/>
  </r>
  <r>
    <s v="052204006133.03.10239.01"/>
    <x v="23"/>
    <s v="0061"/>
    <x v="472"/>
    <x v="472"/>
    <s v="METALFISA METALURGICA EIRELI LTDA"/>
    <d v="2026-01-08T00:00:00"/>
    <s v="MARCO"/>
    <n v="7"/>
    <n v="64.400000000000006"/>
    <n v="450.8"/>
    <s v="APROVADO"/>
    <s v="10"/>
    <x v="20"/>
    <d v="2026-10-04T00:00:00"/>
    <e v="#N/A"/>
    <m/>
    <m/>
  </r>
  <r>
    <s v="052204006233.03.10240.02"/>
    <x v="23"/>
    <s v="0062"/>
    <x v="473"/>
    <x v="473"/>
    <s v="METALFISA METALURGICA EIRELI LTDA"/>
    <d v="2026-01-08T00:00:00"/>
    <s v="MARCO"/>
    <n v="6"/>
    <n v="64.400000000000006"/>
    <n v="386.4"/>
    <s v="APROVADO"/>
    <s v="10"/>
    <x v="20"/>
    <d v="2026-10-04T00:00:00"/>
    <e v="#N/A"/>
    <m/>
    <m/>
  </r>
  <r>
    <s v="052204006333.03.10275.00"/>
    <x v="23"/>
    <s v="0063"/>
    <x v="426"/>
    <x v="426"/>
    <s v="METALFISA METALURGICA EIRELI LTDA"/>
    <d v="2026-01-08T00:00:00"/>
    <s v="MARCO"/>
    <n v="8"/>
    <n v="115"/>
    <n v="920"/>
    <s v="APROVADO"/>
    <s v="10"/>
    <x v="20"/>
    <d v="2026-10-04T00:00:00"/>
    <e v="#N/A"/>
    <m/>
    <m/>
  </r>
  <r>
    <s v="052204006433.08.10219.00"/>
    <x v="23"/>
    <s v="0064"/>
    <x v="430"/>
    <x v="430"/>
    <s v="METALFISA METALURGICA EIRELI LTDA"/>
    <d v="2026-01-08T00:00:00"/>
    <s v="MARCO"/>
    <n v="3"/>
    <n v="479"/>
    <n v="1437"/>
    <s v="APROVADO"/>
    <s v="10"/>
    <x v="20"/>
    <d v="2026-10-04T00:00:00"/>
    <e v="#N/A"/>
    <m/>
    <m/>
  </r>
  <r>
    <s v="052204006533.08.10242.00"/>
    <x v="23"/>
    <s v="0065"/>
    <x v="16"/>
    <x v="16"/>
    <s v="METALFISA METALURGICA EIRELI LTDA"/>
    <d v="2026-01-08T00:00:00"/>
    <s v="MARCO"/>
    <n v="2"/>
    <n v="520"/>
    <n v="1040"/>
    <s v="APROVADO"/>
    <s v="10"/>
    <x v="20"/>
    <d v="2026-10-04T00:00:00"/>
    <e v="#N/A"/>
    <m/>
    <m/>
  </r>
  <r>
    <s v="052204006633.08.10242.00"/>
    <x v="23"/>
    <s v="0066"/>
    <x v="16"/>
    <x v="16"/>
    <s v="METALFISA METALURGICA EIRELI LTDA"/>
    <d v="2026-01-08T00:00:00"/>
    <s v="MARCO"/>
    <n v="1"/>
    <n v="520"/>
    <n v="520"/>
    <s v="APROVADO"/>
    <s v="10"/>
    <x v="20"/>
    <d v="2026-10-04T00:00:00"/>
    <e v="#N/A"/>
    <m/>
    <m/>
  </r>
  <r>
    <s v="052204006733.08.10245.02"/>
    <x v="23"/>
    <s v="0067"/>
    <x v="474"/>
    <x v="474"/>
    <s v="METALFISA METALURGICA EIRELI LTDA"/>
    <d v="2026-01-08T00:00:00"/>
    <s v="MARCO"/>
    <n v="6"/>
    <n v="69"/>
    <n v="414"/>
    <s v="APROVADO"/>
    <s v="10"/>
    <x v="20"/>
    <d v="2026-10-04T00:00:00"/>
    <e v="#N/A"/>
    <m/>
    <m/>
  </r>
  <r>
    <s v="052204006833.08.10249.02"/>
    <x v="23"/>
    <s v="0068"/>
    <x v="475"/>
    <x v="475"/>
    <s v="METALFISA METALURGICA EIRELI LTDA"/>
    <d v="2026-01-08T00:00:00"/>
    <s v="MARCO"/>
    <n v="6"/>
    <n v="69"/>
    <n v="414"/>
    <s v="APROVADO"/>
    <s v="10"/>
    <x v="20"/>
    <d v="2026-10-04T00:00:00"/>
    <e v="#N/A"/>
    <m/>
    <m/>
  </r>
  <r>
    <s v="052204006933.08.10252.00"/>
    <x v="23"/>
    <s v="0069"/>
    <x v="476"/>
    <x v="476"/>
    <s v="METALFISA METALURGICA EIRELI LTDA"/>
    <d v="2026-01-08T00:00:00"/>
    <s v="MARCO"/>
    <n v="4"/>
    <n v="56.9"/>
    <n v="227.6"/>
    <s v="APROVADO"/>
    <s v="10"/>
    <x v="20"/>
    <d v="2026-10-04T00:00:00"/>
    <e v="#N/A"/>
    <m/>
    <m/>
  </r>
  <r>
    <s v="052204007033.08.10275.00"/>
    <x v="23"/>
    <s v="0070"/>
    <x v="431"/>
    <x v="431"/>
    <s v="METALFISA METALURGICA EIRELI LTDA"/>
    <d v="2026-01-08T00:00:00"/>
    <s v="MARCO"/>
    <n v="2"/>
    <n v="476.2"/>
    <n v="952.4"/>
    <s v="APROVADO"/>
    <s v="10"/>
    <x v="20"/>
    <d v="2026-10-04T00:00:00"/>
    <e v="#N/A"/>
    <m/>
    <m/>
  </r>
  <r>
    <s v="052204007133.08.10283.00"/>
    <x v="23"/>
    <s v="0071"/>
    <x v="39"/>
    <x v="39"/>
    <s v="METALFISA METALURGICA EIRELI LTDA"/>
    <d v="2026-01-08T00:00:00"/>
    <s v="MARCO"/>
    <n v="4"/>
    <n v="33"/>
    <n v="132"/>
    <s v="APROVADO"/>
    <s v="10"/>
    <x v="20"/>
    <d v="2026-10-04T00:00:00"/>
    <e v="#N/A"/>
    <m/>
    <m/>
  </r>
  <r>
    <s v="052204007233.99.10042.01"/>
    <x v="23"/>
    <s v="0072"/>
    <x v="437"/>
    <x v="437"/>
    <s v="METALFISA METALURGICA EIRELI LTDA"/>
    <d v="2026-01-08T00:00:00"/>
    <s v="MARCO"/>
    <n v="14"/>
    <n v="32.799999999999997"/>
    <n v="459.2"/>
    <s v="APROVADO"/>
    <s v="10"/>
    <x v="20"/>
    <d v="2026-10-04T00:00:00"/>
    <e v="#N/A"/>
    <m/>
    <m/>
  </r>
  <r>
    <s v="052204007333.99.10043.00"/>
    <x v="23"/>
    <s v="0073"/>
    <x v="438"/>
    <x v="438"/>
    <s v="METALFISA METALURGICA EIRELI LTDA"/>
    <d v="2026-01-08T00:00:00"/>
    <s v="MARCO"/>
    <n v="36"/>
    <n v="27.5"/>
    <n v="990"/>
    <s v="APROVADO"/>
    <s v="10"/>
    <x v="20"/>
    <d v="2026-10-04T00:00:00"/>
    <e v="#N/A"/>
    <m/>
    <m/>
  </r>
  <r>
    <s v="052204007421.23.00875"/>
    <x v="23"/>
    <s v="0074"/>
    <x v="477"/>
    <x v="477"/>
    <s v="METALFISA METALURGICA EIRELI LTDA"/>
    <d v="2026-01-08T00:00:00"/>
    <s v="MARCO"/>
    <n v="200"/>
    <n v="71.08"/>
    <n v="14216"/>
    <s v="APROVADO"/>
    <s v="10"/>
    <x v="21"/>
    <d v="2026-10-04T00:00:00"/>
    <e v="#N/A"/>
    <m/>
    <m/>
  </r>
  <r>
    <s v="052204007521.23.00877"/>
    <x v="23"/>
    <s v="0075"/>
    <x v="478"/>
    <x v="478"/>
    <s v="METALFISA METALURGICA EIRELI LTDA"/>
    <d v="2026-01-08T00:00:00"/>
    <s v="MARCO"/>
    <n v="50"/>
    <n v="33.03"/>
    <n v="1651.5"/>
    <s v="APROVADO"/>
    <s v="10"/>
    <x v="21"/>
    <d v="2026-10-04T00:00:00"/>
    <e v="#N/A"/>
    <m/>
    <m/>
  </r>
  <r>
    <s v="052204007621.23.00879"/>
    <x v="23"/>
    <s v="0076"/>
    <x v="31"/>
    <x v="31"/>
    <s v="METALFISA METALURGICA EIRELI LTDA"/>
    <d v="2026-01-08T00:00:00"/>
    <s v="MARCO"/>
    <n v="200"/>
    <n v="67.3"/>
    <n v="13460"/>
    <s v="APROVADO"/>
    <s v="10"/>
    <x v="22"/>
    <d v="2026-10-04T00:00:00"/>
    <e v="#N/A"/>
    <m/>
    <m/>
  </r>
  <r>
    <s v="052204007721.23.02017"/>
    <x v="23"/>
    <s v="0077"/>
    <x v="479"/>
    <x v="479"/>
    <s v="METALFISA METALURGICA EIRELI LTDA"/>
    <d v="2026-01-08T00:00:00"/>
    <s v="MARCO"/>
    <n v="32"/>
    <n v="178"/>
    <n v="5696"/>
    <s v="APROVADO"/>
    <s v="10"/>
    <x v="23"/>
    <d v="2026-10-04T00:00:00"/>
    <e v="#N/A"/>
    <m/>
    <m/>
  </r>
  <r>
    <s v="052204007821.23.02022"/>
    <x v="23"/>
    <s v="0078"/>
    <x v="15"/>
    <x v="15"/>
    <s v="METALFISA METALURGICA EIRELI LTDA"/>
    <d v="2026-01-08T00:00:00"/>
    <s v="MARCO"/>
    <n v="126"/>
    <n v="528.29999999999995"/>
    <n v="66565.8"/>
    <s v="APROVADO"/>
    <s v="10"/>
    <x v="23"/>
    <d v="2026-10-04T00:00:00"/>
    <e v="#N/A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85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>
  <location ref="A3:E663" firstHeaderRow="1" firstDataRow="1" firstDataCol="4"/>
  <pivotFields count="1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m="1" x="26"/>
        <item x="23"/>
        <item x="24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99">
        <item x="44"/>
        <item x="270"/>
        <item x="45"/>
        <item x="46"/>
        <item x="271"/>
        <item x="272"/>
        <item x="47"/>
        <item x="48"/>
        <item x="49"/>
        <item x="273"/>
        <item x="274"/>
        <item x="50"/>
        <item x="51"/>
        <item x="52"/>
        <item x="20"/>
        <item x="275"/>
        <item x="53"/>
        <item x="276"/>
        <item x="54"/>
        <item x="55"/>
        <item x="277"/>
        <item x="278"/>
        <item x="56"/>
        <item x="279"/>
        <item x="280"/>
        <item m="1" x="523"/>
        <item x="21"/>
        <item x="281"/>
        <item x="57"/>
        <item x="282"/>
        <item x="58"/>
        <item x="283"/>
        <item x="284"/>
        <item m="1" x="534"/>
        <item x="285"/>
        <item x="286"/>
        <item x="287"/>
        <item x="22"/>
        <item x="288"/>
        <item x="289"/>
        <item x="290"/>
        <item x="291"/>
        <item x="59"/>
        <item x="60"/>
        <item x="292"/>
        <item x="61"/>
        <item x="31"/>
        <item m="1" x="578"/>
        <item x="333"/>
        <item x="334"/>
        <item x="335"/>
        <item x="336"/>
        <item x="337"/>
        <item x="338"/>
        <item x="339"/>
        <item x="340"/>
        <item x="341"/>
        <item x="29"/>
        <item x="30"/>
        <item x="342"/>
        <item x="343"/>
        <item m="1" x="525"/>
        <item x="344"/>
        <item x="345"/>
        <item x="346"/>
        <item x="347"/>
        <item x="348"/>
        <item x="349"/>
        <item x="350"/>
        <item x="351"/>
        <item x="19"/>
        <item x="32"/>
        <item x="9"/>
        <item x="92"/>
        <item x="10"/>
        <item x="11"/>
        <item x="33"/>
        <item x="293"/>
        <item x="12"/>
        <item x="352"/>
        <item x="15"/>
        <item x="294"/>
        <item x="295"/>
        <item x="296"/>
        <item x="297"/>
        <item x="298"/>
        <item x="299"/>
        <item x="62"/>
        <item x="63"/>
        <item x="300"/>
        <item x="301"/>
        <item x="302"/>
        <item x="303"/>
        <item x="304"/>
        <item x="64"/>
        <item x="305"/>
        <item x="306"/>
        <item x="307"/>
        <item x="308"/>
        <item x="309"/>
        <item x="310"/>
        <item m="1" x="530"/>
        <item x="311"/>
        <item x="65"/>
        <item x="66"/>
        <item m="1" x="531"/>
        <item x="67"/>
        <item x="68"/>
        <item x="69"/>
        <item m="1" x="524"/>
        <item m="1" x="526"/>
        <item m="1" x="527"/>
        <item x="312"/>
        <item x="313"/>
        <item m="1" x="529"/>
        <item x="314"/>
        <item m="1" x="555"/>
        <item x="315"/>
        <item x="316"/>
        <item x="70"/>
        <item x="317"/>
        <item x="486"/>
        <item x="318"/>
        <item x="319"/>
        <item x="353"/>
        <item x="487"/>
        <item x="354"/>
        <item x="355"/>
        <item x="356"/>
        <item x="17"/>
        <item x="357"/>
        <item x="358"/>
        <item x="359"/>
        <item x="360"/>
        <item x="361"/>
        <item m="1" x="544"/>
        <item x="362"/>
        <item x="26"/>
        <item x="34"/>
        <item x="363"/>
        <item x="364"/>
        <item x="365"/>
        <item m="1" x="539"/>
        <item x="366"/>
        <item x="367"/>
        <item m="1" x="532"/>
        <item x="368"/>
        <item x="369"/>
        <item x="370"/>
        <item x="371"/>
        <item m="1" x="569"/>
        <item x="372"/>
        <item x="373"/>
        <item x="374"/>
        <item x="375"/>
        <item x="376"/>
        <item x="377"/>
        <item x="378"/>
        <item x="379"/>
        <item x="2"/>
        <item x="489"/>
        <item x="380"/>
        <item x="381"/>
        <item x="382"/>
        <item m="1" x="576"/>
        <item x="35"/>
        <item x="93"/>
        <item x="36"/>
        <item x="13"/>
        <item x="14"/>
        <item x="418"/>
        <item x="419"/>
        <item x="37"/>
        <item x="464"/>
        <item x="465"/>
        <item x="420"/>
        <item x="421"/>
        <item x="422"/>
        <item x="71"/>
        <item x="72"/>
        <item x="320"/>
        <item x="321"/>
        <item x="322"/>
        <item x="323"/>
        <item m="1" x="597"/>
        <item m="1" x="598"/>
        <item m="1" x="596"/>
        <item x="383"/>
        <item x="384"/>
        <item x="385"/>
        <item x="386"/>
        <item x="38"/>
        <item x="493"/>
        <item x="387"/>
        <item x="94"/>
        <item x="388"/>
        <item x="389"/>
        <item x="390"/>
        <item m="1" x="590"/>
        <item x="324"/>
        <item x="325"/>
        <item x="73"/>
        <item x="74"/>
        <item x="75"/>
        <item x="76"/>
        <item x="326"/>
        <item x="327"/>
        <item x="328"/>
        <item x="77"/>
        <item x="78"/>
        <item x="79"/>
        <item x="23"/>
        <item x="391"/>
        <item x="80"/>
        <item x="81"/>
        <item x="392"/>
        <item m="1" x="594"/>
        <item m="1" x="520"/>
        <item m="1" x="521"/>
        <item m="1" x="522"/>
        <item x="393"/>
        <item x="8"/>
        <item m="1" x="570"/>
        <item x="470"/>
        <item x="423"/>
        <item x="424"/>
        <item x="471"/>
        <item x="425"/>
        <item x="472"/>
        <item x="473"/>
        <item x="426"/>
        <item x="394"/>
        <item x="395"/>
        <item x="27"/>
        <item x="396"/>
        <item m="1" x="547"/>
        <item x="269"/>
        <item x="427"/>
        <item x="428"/>
        <item x="429"/>
        <item x="397"/>
        <item x="430"/>
        <item x="16"/>
        <item x="7"/>
        <item x="476"/>
        <item x="431"/>
        <item x="39"/>
        <item x="40"/>
        <item x="41"/>
        <item x="95"/>
        <item x="96"/>
        <item m="1" x="551"/>
        <item m="1" x="552"/>
        <item x="97"/>
        <item x="98"/>
        <item x="99"/>
        <item m="1" x="541"/>
        <item m="1" x="549"/>
        <item x="100"/>
        <item x="101"/>
        <item x="102"/>
        <item x="103"/>
        <item x="104"/>
        <item x="105"/>
        <item x="106"/>
        <item x="107"/>
        <item m="1" x="537"/>
        <item x="108"/>
        <item x="109"/>
        <item x="110"/>
        <item m="1" x="533"/>
        <item x="111"/>
        <item m="1" x="536"/>
        <item m="1" x="528"/>
        <item x="112"/>
        <item x="113"/>
        <item m="1" x="564"/>
        <item x="114"/>
        <item x="115"/>
        <item x="116"/>
        <item x="117"/>
        <item x="118"/>
        <item x="119"/>
        <item x="120"/>
        <item x="121"/>
        <item x="122"/>
        <item x="123"/>
        <item m="1" x="538"/>
        <item m="1" x="535"/>
        <item x="124"/>
        <item x="125"/>
        <item x="126"/>
        <item m="1" x="565"/>
        <item x="127"/>
        <item m="1" x="557"/>
        <item m="1" x="556"/>
        <item m="1" x="561"/>
        <item x="128"/>
        <item x="129"/>
        <item m="1" x="567"/>
        <item x="130"/>
        <item x="131"/>
        <item m="1" x="563"/>
        <item x="132"/>
        <item x="133"/>
        <item x="134"/>
        <item x="135"/>
        <item x="136"/>
        <item x="137"/>
        <item x="138"/>
        <item m="1" x="540"/>
        <item m="1" x="550"/>
        <item x="139"/>
        <item x="140"/>
        <item m="1" x="548"/>
        <item x="141"/>
        <item x="142"/>
        <item x="143"/>
        <item x="144"/>
        <item x="145"/>
        <item m="1" x="560"/>
        <item x="146"/>
        <item m="1" x="542"/>
        <item m="1" x="543"/>
        <item m="1" x="545"/>
        <item x="147"/>
        <item x="148"/>
        <item x="149"/>
        <item m="1" x="579"/>
        <item m="1" x="575"/>
        <item m="1" x="583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m="1" x="553"/>
        <item x="161"/>
        <item x="162"/>
        <item m="1" x="582"/>
        <item x="163"/>
        <item x="164"/>
        <item x="165"/>
        <item x="166"/>
        <item m="1" x="574"/>
        <item m="1" x="571"/>
        <item x="167"/>
        <item x="168"/>
        <item m="1" x="589"/>
        <item m="1" x="595"/>
        <item x="169"/>
        <item x="170"/>
        <item x="171"/>
        <item m="1" x="592"/>
        <item m="1" x="584"/>
        <item x="172"/>
        <item x="173"/>
        <item x="174"/>
        <item x="175"/>
        <item x="176"/>
        <item m="1" x="581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502"/>
        <item x="189"/>
        <item x="190"/>
        <item m="1" x="585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m="1" x="573"/>
        <item x="209"/>
        <item m="1" x="577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m="1" x="591"/>
        <item x="223"/>
        <item m="1" x="593"/>
        <item m="1" x="586"/>
        <item m="1" x="587"/>
        <item x="224"/>
        <item x="225"/>
        <item m="1" x="588"/>
        <item m="1" x="572"/>
        <item x="226"/>
        <item x="227"/>
        <item x="228"/>
        <item x="229"/>
        <item x="230"/>
        <item x="231"/>
        <item x="232"/>
        <item x="233"/>
        <item m="1" x="566"/>
        <item x="234"/>
        <item x="235"/>
        <item m="1" x="554"/>
        <item m="1" x="559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m="1" x="546"/>
        <item x="259"/>
        <item x="260"/>
        <item x="261"/>
        <item x="262"/>
        <item x="263"/>
        <item x="264"/>
        <item x="265"/>
        <item x="266"/>
        <item x="3"/>
        <item x="398"/>
        <item x="399"/>
        <item x="400"/>
        <item x="401"/>
        <item m="1" x="580"/>
        <item x="402"/>
        <item x="403"/>
        <item x="18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82"/>
        <item x="83"/>
        <item x="84"/>
        <item x="85"/>
        <item x="86"/>
        <item x="87"/>
        <item x="88"/>
        <item x="329"/>
        <item x="330"/>
        <item m="1" x="558"/>
        <item m="1" x="562"/>
        <item x="89"/>
        <item x="90"/>
        <item x="91"/>
        <item x="331"/>
        <item x="332"/>
        <item x="24"/>
        <item x="0"/>
        <item x="432"/>
        <item x="43"/>
        <item x="4"/>
        <item x="42"/>
        <item x="433"/>
        <item x="434"/>
        <item x="435"/>
        <item m="1" x="568"/>
        <item x="5"/>
        <item x="267"/>
        <item x="416"/>
        <item x="28"/>
        <item x="25"/>
        <item x="436"/>
        <item x="437"/>
        <item x="438"/>
        <item x="417"/>
        <item x="1"/>
        <item x="6"/>
        <item x="26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6"/>
        <item x="467"/>
        <item x="468"/>
        <item x="469"/>
        <item x="474"/>
        <item x="475"/>
        <item x="477"/>
        <item x="478"/>
        <item x="479"/>
        <item x="480"/>
        <item x="481"/>
        <item x="482"/>
        <item x="483"/>
        <item x="484"/>
        <item x="485"/>
        <item x="488"/>
        <item x="490"/>
        <item x="491"/>
        <item x="492"/>
        <item x="494"/>
        <item x="495"/>
        <item x="496"/>
        <item x="497"/>
        <item x="498"/>
        <item x="499"/>
        <item x="500"/>
        <item x="501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99">
        <item x="324"/>
        <item x="75"/>
        <item x="424"/>
        <item x="136"/>
        <item x="241"/>
        <item x="242"/>
        <item x="243"/>
        <item x="244"/>
        <item x="245"/>
        <item x="246"/>
        <item x="253"/>
        <item x="262"/>
        <item x="265"/>
        <item x="247"/>
        <item x="364"/>
        <item x="411"/>
        <item x="10"/>
        <item x="255"/>
        <item x="254"/>
        <item x="487"/>
        <item x="476"/>
        <item x="42"/>
        <item x="433"/>
        <item x="256"/>
        <item x="252"/>
        <item x="217"/>
        <item x="427"/>
        <item x="428"/>
        <item x="269"/>
        <item x="43"/>
        <item x="4"/>
        <item x="8"/>
        <item x="215"/>
        <item x="393"/>
        <item x="92"/>
        <item x="489"/>
        <item x="385"/>
        <item x="9"/>
        <item x="37"/>
        <item x="464"/>
        <item x="465"/>
        <item x="362"/>
        <item x="34"/>
        <item x="216"/>
        <item x="386"/>
        <item x="365"/>
        <item x="38"/>
        <item m="1" x="543"/>
        <item x="360"/>
        <item m="1" x="574"/>
        <item x="248"/>
        <item x="249"/>
        <item x="250"/>
        <item x="251"/>
        <item x="418"/>
        <item x="144"/>
        <item x="145"/>
        <item x="152"/>
        <item x="160"/>
        <item x="33"/>
        <item x="382"/>
        <item x="355"/>
        <item x="17"/>
        <item x="218"/>
        <item x="270"/>
        <item x="315"/>
        <item x="316"/>
        <item x="295"/>
        <item x="298"/>
        <item x="277"/>
        <item x="143"/>
        <item m="1" x="541"/>
        <item x="186"/>
        <item x="140"/>
        <item x="141"/>
        <item x="318"/>
        <item x="187"/>
        <item x="188"/>
        <item x="47"/>
        <item x="159"/>
        <item m="1" x="558"/>
        <item m="1" x="559"/>
        <item x="313"/>
        <item m="1" x="581"/>
        <item m="1" x="548"/>
        <item x="114"/>
        <item m="1" x="577"/>
        <item x="95"/>
        <item x="401"/>
        <item x="80"/>
        <item x="356"/>
        <item x="434"/>
        <item x="53"/>
        <item x="181"/>
        <item x="169"/>
        <item x="172"/>
        <item x="426"/>
        <item x="293"/>
        <item m="1" x="540"/>
        <item m="1" x="539"/>
        <item m="1" x="538"/>
        <item x="233"/>
        <item x="100"/>
        <item m="1" x="592"/>
        <item x="387"/>
        <item m="1" x="554"/>
        <item x="322"/>
        <item x="350"/>
        <item x="6"/>
        <item x="493"/>
        <item x="128"/>
        <item x="129"/>
        <item x="130"/>
        <item x="349"/>
        <item x="357"/>
        <item x="359"/>
        <item x="86"/>
        <item x="85"/>
        <item x="84"/>
        <item x="222"/>
        <item x="119"/>
        <item x="120"/>
        <item m="1" x="564"/>
        <item x="206"/>
        <item x="205"/>
        <item x="207"/>
        <item x="0"/>
        <item m="1" x="527"/>
        <item m="1" x="547"/>
        <item x="351"/>
        <item x="208"/>
        <item x="371"/>
        <item m="1" x="563"/>
        <item m="1" x="550"/>
        <item x="209"/>
        <item m="1" x="555"/>
        <item x="405"/>
        <item x="77"/>
        <item x="79"/>
        <item x="210"/>
        <item x="211"/>
        <item x="226"/>
        <item x="223"/>
        <item m="1" x="597"/>
        <item x="198"/>
        <item m="1" x="567"/>
        <item m="1" x="578"/>
        <item m="1" x="586"/>
        <item x="149"/>
        <item x="429"/>
        <item x="170"/>
        <item x="173"/>
        <item m="1" x="575"/>
        <item x="96"/>
        <item x="97"/>
        <item x="116"/>
        <item x="117"/>
        <item m="1" x="560"/>
        <item x="154"/>
        <item x="161"/>
        <item x="162"/>
        <item x="67"/>
        <item x="68"/>
        <item x="423"/>
        <item m="1" x="531"/>
        <item m="1" x="552"/>
        <item x="15"/>
        <item x="282"/>
        <item x="292"/>
        <item x="290"/>
        <item x="285"/>
        <item x="408"/>
        <item x="409"/>
        <item x="407"/>
        <item x="321"/>
        <item x="416"/>
        <item x="133"/>
        <item x="158"/>
        <item x="164"/>
        <item x="165"/>
        <item x="320"/>
        <item x="30"/>
        <item m="1" x="562"/>
        <item m="1" x="530"/>
        <item x="326"/>
        <item x="12"/>
        <item x="419"/>
        <item m="1" x="532"/>
        <item x="280"/>
        <item m="1" x="526"/>
        <item x="21"/>
        <item m="1" x="590"/>
        <item m="1" x="570"/>
        <item x="44"/>
        <item x="274"/>
        <item x="50"/>
        <item x="49"/>
        <item x="52"/>
        <item x="273"/>
        <item x="20"/>
        <item x="275"/>
        <item x="271"/>
        <item x="272"/>
        <item x="48"/>
        <item x="276"/>
        <item x="54"/>
        <item x="55"/>
        <item x="486"/>
        <item x="297"/>
        <item x="383"/>
        <item x="384"/>
        <item x="330"/>
        <item x="72"/>
        <item x="437"/>
        <item x="294"/>
        <item x="438"/>
        <item x="352"/>
        <item x="336"/>
        <item x="39"/>
        <item x="310"/>
        <item x="65"/>
        <item x="312"/>
        <item x="32"/>
        <item x="19"/>
        <item m="1" x="557"/>
        <item x="392"/>
        <item x="379"/>
        <item x="370"/>
        <item x="339"/>
        <item x="347"/>
        <item m="1" x="525"/>
        <item x="381"/>
        <item x="26"/>
        <item x="122"/>
        <item m="1" x="593"/>
        <item m="1" x="596"/>
        <item m="1" x="524"/>
        <item x="346"/>
        <item x="375"/>
        <item x="376"/>
        <item x="358"/>
        <item x="121"/>
        <item x="194"/>
        <item x="195"/>
        <item x="373"/>
        <item x="2"/>
        <item x="184"/>
        <item x="296"/>
        <item x="73"/>
        <item x="74"/>
        <item x="89"/>
        <item x="60"/>
        <item x="66"/>
        <item x="289"/>
        <item x="112"/>
        <item x="148"/>
        <item x="279"/>
        <item x="56"/>
        <item x="374"/>
        <item x="268"/>
        <item x="163"/>
        <item x="237"/>
        <item x="225"/>
        <item x="238"/>
        <item x="224"/>
        <item m="1" x="589"/>
        <item m="1" x="529"/>
        <item x="82"/>
        <item x="171"/>
        <item x="174"/>
        <item x="168"/>
        <item x="288"/>
        <item x="190"/>
        <item m="1" x="588"/>
        <item x="191"/>
        <item x="192"/>
        <item x="175"/>
        <item x="177"/>
        <item x="176"/>
        <item x="178"/>
        <item m="1" x="546"/>
        <item m="1" x="545"/>
        <item x="22"/>
        <item x="421"/>
        <item x="422"/>
        <item x="363"/>
        <item m="1" x="533"/>
        <item x="367"/>
        <item x="344"/>
        <item x="369"/>
        <item x="378"/>
        <item x="27"/>
        <item m="1" x="544"/>
        <item m="1" x="549"/>
        <item x="361"/>
        <item x="342"/>
        <item x="470"/>
        <item m="1" x="566"/>
        <item x="113"/>
        <item x="71"/>
        <item x="147"/>
        <item x="197"/>
        <item x="345"/>
        <item x="13"/>
        <item x="93"/>
        <item x="36"/>
        <item x="14"/>
        <item x="29"/>
        <item x="311"/>
        <item x="23"/>
        <item x="59"/>
        <item x="46"/>
        <item x="354"/>
        <item x="45"/>
        <item m="1" x="580"/>
        <item x="435"/>
        <item x="267"/>
        <item x="436"/>
        <item x="314"/>
        <item x="281"/>
        <item x="300"/>
        <item x="319"/>
        <item m="1" x="579"/>
        <item x="410"/>
        <item x="472"/>
        <item x="471"/>
        <item x="137"/>
        <item x="425"/>
        <item x="473"/>
        <item x="35"/>
        <item x="204"/>
        <item x="413"/>
        <item x="415"/>
        <item x="213"/>
        <item x="391"/>
        <item x="189"/>
        <item x="185"/>
        <item m="1" x="556"/>
        <item m="1" x="561"/>
        <item x="40"/>
        <item x="41"/>
        <item x="18"/>
        <item x="404"/>
        <item x="394"/>
        <item x="131"/>
        <item x="132"/>
        <item x="156"/>
        <item x="380"/>
        <item x="328"/>
        <item x="69"/>
        <item x="167"/>
        <item x="183"/>
        <item x="83"/>
        <item x="343"/>
        <item x="123"/>
        <item x="219"/>
        <item x="329"/>
        <item x="90"/>
        <item x="332"/>
        <item x="57"/>
        <item x="417"/>
        <item x="76"/>
        <item m="1" x="536"/>
        <item x="91"/>
        <item x="331"/>
        <item x="348"/>
        <item m="1" x="591"/>
        <item m="1" x="594"/>
        <item x="134"/>
        <item x="135"/>
        <item x="398"/>
        <item x="399"/>
        <item m="1" x="553"/>
        <item x="325"/>
        <item x="28"/>
        <item x="25"/>
        <item m="1" x="522"/>
        <item x="94"/>
        <item x="388"/>
        <item x="214"/>
        <item x="51"/>
        <item x="78"/>
        <item m="1" x="598"/>
        <item x="278"/>
        <item x="70"/>
        <item x="193"/>
        <item x="196"/>
        <item x="406"/>
        <item x="396"/>
        <item m="1" x="535"/>
        <item x="305"/>
        <item x="307"/>
        <item x="99"/>
        <item m="1" x="520"/>
        <item x="400"/>
        <item x="402"/>
        <item x="98"/>
        <item m="1" x="528"/>
        <item x="403"/>
        <item x="127"/>
        <item x="151"/>
        <item m="1" x="576"/>
        <item m="1" x="572"/>
        <item x="323"/>
        <item m="1" x="551"/>
        <item x="353"/>
        <item x="182"/>
        <item x="107"/>
        <item m="1" x="585"/>
        <item x="157"/>
        <item x="166"/>
        <item x="502"/>
        <item x="257"/>
        <item x="258"/>
        <item m="1" x="542"/>
        <item x="260"/>
        <item x="261"/>
        <item m="1" x="534"/>
        <item x="230"/>
        <item x="231"/>
        <item x="234"/>
        <item x="235"/>
        <item x="104"/>
        <item x="106"/>
        <item x="102"/>
        <item x="101"/>
        <item x="232"/>
        <item x="16"/>
        <item x="431"/>
        <item x="5"/>
        <item x="7"/>
        <item x="263"/>
        <item x="266"/>
        <item x="139"/>
        <item x="284"/>
        <item x="64"/>
        <item x="239"/>
        <item m="1" x="571"/>
        <item x="61"/>
        <item x="283"/>
        <item x="58"/>
        <item m="1" x="573"/>
        <item x="286"/>
        <item x="389"/>
        <item x="199"/>
        <item x="203"/>
        <item x="335"/>
        <item x="334"/>
        <item x="309"/>
        <item x="63"/>
        <item x="24"/>
        <item x="306"/>
        <item x="201"/>
        <item x="202"/>
        <item x="317"/>
        <item x="299"/>
        <item x="146"/>
        <item x="62"/>
        <item x="240"/>
        <item x="259"/>
        <item x="264"/>
        <item x="81"/>
        <item x="287"/>
        <item x="395"/>
        <item x="397"/>
        <item m="1" x="583"/>
        <item x="430"/>
        <item x="155"/>
        <item x="200"/>
        <item x="229"/>
        <item x="126"/>
        <item x="432"/>
        <item x="303"/>
        <item x="301"/>
        <item x="302"/>
        <item x="304"/>
        <item x="11"/>
        <item x="228"/>
        <item x="227"/>
        <item m="1" x="569"/>
        <item x="236"/>
        <item x="103"/>
        <item m="1" x="521"/>
        <item x="124"/>
        <item x="1"/>
        <item x="333"/>
        <item m="1" x="537"/>
        <item x="3"/>
        <item x="220"/>
        <item x="31"/>
        <item x="368"/>
        <item x="221"/>
        <item x="115"/>
        <item x="420"/>
        <item x="377"/>
        <item x="390"/>
        <item x="366"/>
        <item x="340"/>
        <item x="337"/>
        <item m="1" x="582"/>
        <item x="341"/>
        <item x="308"/>
        <item x="412"/>
        <item m="1" x="584"/>
        <item x="338"/>
        <item m="1" x="523"/>
        <item x="372"/>
        <item x="414"/>
        <item x="327"/>
        <item m="1" x="565"/>
        <item x="150"/>
        <item x="125"/>
        <item x="153"/>
        <item x="212"/>
        <item x="88"/>
        <item x="87"/>
        <item x="179"/>
        <item x="180"/>
        <item x="142"/>
        <item m="1" x="587"/>
        <item x="109"/>
        <item x="110"/>
        <item x="108"/>
        <item x="291"/>
        <item m="1" x="568"/>
        <item x="111"/>
        <item x="118"/>
        <item x="138"/>
        <item m="1" x="595"/>
        <item x="105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6"/>
        <item x="467"/>
        <item x="468"/>
        <item x="469"/>
        <item x="474"/>
        <item x="475"/>
        <item x="477"/>
        <item x="478"/>
        <item x="479"/>
        <item x="480"/>
        <item x="481"/>
        <item x="482"/>
        <item x="483"/>
        <item x="484"/>
        <item x="485"/>
        <item x="488"/>
        <item x="490"/>
        <item x="491"/>
        <item x="492"/>
        <item x="494"/>
        <item x="495"/>
        <item x="496"/>
        <item x="497"/>
        <item x="498"/>
        <item x="499"/>
        <item x="500"/>
        <item x="501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39">
        <item x="1"/>
        <item x="0"/>
        <item x="2"/>
        <item x="3"/>
        <item x="4"/>
        <item x="5"/>
        <item x="6"/>
        <item x="7"/>
        <item x="8"/>
        <item x="9"/>
        <item x="12"/>
        <item x="11"/>
        <item x="10"/>
        <item x="14"/>
        <item m="1" x="38"/>
        <item x="13"/>
        <item x="17"/>
        <item x="15"/>
        <item x="16"/>
        <item x="19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"/>
    <field x="3"/>
    <field x="4"/>
    <field x="13"/>
  </rowFields>
  <rowItems count="660">
    <i>
      <x/>
      <x v="509"/>
      <x v="126"/>
      <x v="1"/>
    </i>
    <i>
      <x v="1"/>
      <x v="527"/>
      <x v="484"/>
      <x/>
    </i>
    <i>
      <x v="2"/>
      <x v="159"/>
      <x v="245"/>
      <x v="2"/>
    </i>
    <i r="1">
      <x v="471"/>
      <x v="487"/>
      <x v="2"/>
    </i>
    <i>
      <x v="3"/>
      <x v="512"/>
      <x v="30"/>
      <x v="2"/>
    </i>
    <i r="1">
      <x v="518"/>
      <x v="429"/>
      <x v="2"/>
    </i>
    <i r="1">
      <x v="528"/>
      <x v="108"/>
      <x v="2"/>
    </i>
    <i>
      <x v="4"/>
      <x v="243"/>
      <x v="430"/>
      <x v="3"/>
    </i>
    <i>
      <x v="5"/>
      <x v="221"/>
      <x v="31"/>
      <x v="4"/>
    </i>
    <i>
      <x v="6"/>
      <x v="72"/>
      <x v="37"/>
      <x v="5"/>
    </i>
    <i r="1">
      <x v="74"/>
      <x v="16"/>
      <x v="5"/>
    </i>
    <i r="1">
      <x v="75"/>
      <x v="476"/>
      <x v="5"/>
    </i>
    <i r="1">
      <x v="78"/>
      <x v="185"/>
      <x v="5"/>
    </i>
    <i r="1">
      <x v="168"/>
      <x v="303"/>
      <x v="5"/>
    </i>
    <i r="1">
      <x v="169"/>
      <x v="306"/>
      <x v="5"/>
    </i>
    <i>
      <x v="7"/>
      <x v="80"/>
      <x v="166"/>
      <x v="6"/>
    </i>
    <i r="1">
      <x v="242"/>
      <x v="427"/>
      <x v="6"/>
    </i>
    <i>
      <x v="8"/>
      <x v="129"/>
      <x v="62"/>
      <x v="7"/>
    </i>
    <i r="1">
      <x v="512"/>
      <x v="30"/>
      <x v="7"/>
    </i>
    <i>
      <x v="9"/>
      <x v="479"/>
      <x v="341"/>
      <x v="8"/>
    </i>
    <i>
      <x v="10"/>
      <x v="70"/>
      <x v="223"/>
      <x v="9"/>
    </i>
    <i>
      <x v="11"/>
      <x v="14"/>
      <x v="199"/>
      <x v="12"/>
    </i>
    <i r="1">
      <x v="26"/>
      <x v="190"/>
      <x v="12"/>
    </i>
    <i r="1">
      <x v="37"/>
      <x v="282"/>
      <x v="12"/>
    </i>
    <i r="1">
      <x v="211"/>
      <x v="309"/>
      <x v="12"/>
    </i>
    <i r="1">
      <x v="508"/>
      <x v="450"/>
      <x v="12"/>
    </i>
    <i r="1">
      <x v="522"/>
      <x v="375"/>
      <x v="12"/>
    </i>
    <i>
      <x v="12"/>
      <x v="137"/>
      <x v="232"/>
      <x v="11"/>
    </i>
    <i r="1">
      <x v="233"/>
      <x v="291"/>
      <x v="11"/>
    </i>
    <i r="1">
      <x v="521"/>
      <x v="374"/>
      <x v="11"/>
    </i>
    <i>
      <x v="13"/>
      <x v="57"/>
      <x v="307"/>
      <x v="10"/>
    </i>
    <i r="1">
      <x v="58"/>
      <x v="181"/>
      <x v="10"/>
    </i>
    <i>
      <x v="14"/>
      <x v="46"/>
      <x v="489"/>
      <x v="15"/>
    </i>
    <i r="1">
      <x v="71"/>
      <x v="222"/>
      <x v="15"/>
    </i>
    <i r="1">
      <x v="76"/>
      <x v="59"/>
      <x v="15"/>
    </i>
    <i r="1">
      <x v="78"/>
      <x v="185"/>
      <x v="15"/>
    </i>
    <i r="1">
      <x v="138"/>
      <x v="42"/>
      <x v="15"/>
    </i>
    <i r="1">
      <x v="165"/>
      <x v="329"/>
      <x v="15"/>
    </i>
    <i r="1">
      <x v="167"/>
      <x v="305"/>
      <x v="15"/>
    </i>
    <i r="1">
      <x v="172"/>
      <x v="38"/>
      <x v="15"/>
    </i>
    <i r="1">
      <x v="191"/>
      <x v="46"/>
      <x v="15"/>
    </i>
    <i r="1">
      <x v="246"/>
      <x v="218"/>
      <x v="15"/>
    </i>
    <i r="1">
      <x v="247"/>
      <x v="339"/>
      <x v="15"/>
    </i>
    <i r="1">
      <x v="248"/>
      <x v="340"/>
      <x v="15"/>
    </i>
    <i r="1">
      <x v="512"/>
      <x v="30"/>
      <x v="15"/>
    </i>
    <i r="1">
      <x v="513"/>
      <x v="21"/>
      <x v="15"/>
    </i>
    <i>
      <x v="15"/>
      <x v="511"/>
      <x v="29"/>
      <x v="13"/>
    </i>
    <i>
      <x v="16"/>
      <x/>
      <x v="193"/>
      <x v="17"/>
    </i>
    <i r="1">
      <x v="2"/>
      <x v="313"/>
      <x v="17"/>
    </i>
    <i r="1">
      <x v="3"/>
      <x v="311"/>
      <x v="17"/>
    </i>
    <i r="1">
      <x v="6"/>
      <x v="78"/>
      <x v="17"/>
    </i>
    <i r="1">
      <x v="7"/>
      <x v="203"/>
      <x v="17"/>
    </i>
    <i r="1">
      <x v="8"/>
      <x v="196"/>
      <x v="17"/>
    </i>
    <i r="1">
      <x v="11"/>
      <x v="195"/>
      <x v="17"/>
    </i>
    <i r="1">
      <x v="12"/>
      <x v="380"/>
      <x v="17"/>
    </i>
    <i r="1">
      <x v="13"/>
      <x v="197"/>
      <x v="17"/>
    </i>
    <i r="1">
      <x v="16"/>
      <x v="92"/>
      <x v="17"/>
    </i>
    <i r="1">
      <x v="18"/>
      <x v="205"/>
      <x v="17"/>
    </i>
    <i r="1">
      <x v="19"/>
      <x v="206"/>
      <x v="17"/>
    </i>
    <i r="1">
      <x v="22"/>
      <x v="257"/>
      <x v="17"/>
    </i>
    <i r="1">
      <x v="28"/>
      <x v="359"/>
      <x v="17"/>
    </i>
    <i r="1">
      <x v="30"/>
      <x v="440"/>
      <x v="17"/>
    </i>
    <i r="1">
      <x v="42"/>
      <x v="310"/>
      <x v="17"/>
    </i>
    <i r="1">
      <x v="43"/>
      <x v="251"/>
      <x v="17"/>
    </i>
    <i r="1">
      <x v="45"/>
      <x v="438"/>
      <x v="17"/>
    </i>
    <i r="1">
      <x v="87"/>
      <x v="457"/>
      <x v="17"/>
    </i>
    <i r="1">
      <x v="88"/>
      <x v="449"/>
      <x v="17"/>
    </i>
    <i r="1">
      <x v="94"/>
      <x v="435"/>
      <x v="17"/>
    </i>
    <i r="1">
      <x v="103"/>
      <x v="220"/>
      <x v="17"/>
    </i>
    <i r="1">
      <x v="104"/>
      <x v="252"/>
      <x v="17"/>
    </i>
    <i r="1">
      <x v="106"/>
      <x v="161"/>
      <x v="17"/>
    </i>
    <i r="1">
      <x v="107"/>
      <x v="162"/>
      <x v="17"/>
    </i>
    <i r="1">
      <x v="108"/>
      <x v="349"/>
      <x v="17"/>
    </i>
    <i r="1">
      <x v="119"/>
      <x v="384"/>
      <x v="17"/>
    </i>
    <i r="1">
      <x v="178"/>
      <x v="299"/>
      <x v="17"/>
    </i>
    <i r="1">
      <x v="179"/>
      <x v="212"/>
      <x v="17"/>
    </i>
    <i r="1">
      <x v="201"/>
      <x v="248"/>
      <x v="17"/>
    </i>
    <i r="1">
      <x v="202"/>
      <x v="249"/>
      <x v="17"/>
    </i>
    <i r="1">
      <x v="203"/>
      <x v="1"/>
      <x v="17"/>
    </i>
    <i r="1">
      <x v="204"/>
      <x v="361"/>
      <x v="17"/>
    </i>
    <i r="1">
      <x v="208"/>
      <x v="137"/>
      <x v="17"/>
    </i>
    <i r="1">
      <x v="209"/>
      <x v="381"/>
      <x v="17"/>
    </i>
    <i r="1">
      <x v="210"/>
      <x v="138"/>
      <x v="17"/>
    </i>
    <i r="1">
      <x v="213"/>
      <x v="89"/>
      <x v="17"/>
    </i>
    <i r="1">
      <x v="214"/>
      <x v="461"/>
      <x v="17"/>
    </i>
    <i r="1">
      <x v="492"/>
      <x v="267"/>
      <x v="17"/>
    </i>
    <i r="1">
      <x v="493"/>
      <x v="352"/>
      <x v="17"/>
    </i>
    <i r="1">
      <x v="494"/>
      <x v="118"/>
      <x v="17"/>
    </i>
    <i r="1">
      <x v="495"/>
      <x v="117"/>
      <x v="17"/>
    </i>
    <i r="1">
      <x v="496"/>
      <x v="116"/>
      <x v="17"/>
    </i>
    <i r="1">
      <x v="497"/>
      <x v="515"/>
      <x v="17"/>
    </i>
    <i r="1">
      <x v="498"/>
      <x v="514"/>
      <x v="17"/>
    </i>
    <i r="1">
      <x v="503"/>
      <x v="250"/>
      <x v="17"/>
    </i>
    <i r="1">
      <x v="504"/>
      <x v="357"/>
      <x v="17"/>
    </i>
    <i r="1">
      <x v="505"/>
      <x v="363"/>
      <x v="17"/>
    </i>
    <i r="1">
      <x v="508"/>
      <x v="450"/>
      <x v="17"/>
    </i>
    <i r="1">
      <x v="522"/>
      <x v="375"/>
      <x v="17"/>
    </i>
    <i>
      <x v="17"/>
      <x v="72"/>
      <x v="37"/>
      <x v="13"/>
    </i>
    <i r="1">
      <x v="73"/>
      <x v="34"/>
      <x v="13"/>
    </i>
    <i r="1">
      <x v="166"/>
      <x v="304"/>
      <x v="13"/>
    </i>
    <i r="1">
      <x v="169"/>
      <x v="306"/>
      <x v="13"/>
    </i>
    <i r="1">
      <x v="194"/>
      <x v="377"/>
      <x v="13"/>
    </i>
    <i>
      <x v="18"/>
      <x v="249"/>
      <x v="87"/>
      <x v="18"/>
    </i>
    <i r="1">
      <x v="250"/>
      <x v="153"/>
      <x v="18"/>
    </i>
    <i r="1">
      <x v="253"/>
      <x v="154"/>
      <x v="18"/>
    </i>
    <i r="1">
      <x v="254"/>
      <x v="396"/>
      <x v="18"/>
    </i>
    <i r="1">
      <x v="255"/>
      <x v="392"/>
      <x v="18"/>
    </i>
    <i r="1">
      <x v="258"/>
      <x v="102"/>
      <x v="18"/>
    </i>
    <i r="1">
      <x v="259"/>
      <x v="425"/>
      <x v="18"/>
    </i>
    <i r="1">
      <x v="260"/>
      <x v="424"/>
      <x v="18"/>
    </i>
    <i r="1">
      <x v="261"/>
      <x v="481"/>
      <x v="18"/>
    </i>
    <i r="1">
      <x v="262"/>
      <x v="422"/>
      <x v="18"/>
    </i>
    <i r="1">
      <x v="263"/>
      <x v="529"/>
      <x v="18"/>
    </i>
    <i r="1">
      <x v="264"/>
      <x v="423"/>
      <x v="18"/>
    </i>
    <i r="1">
      <x v="265"/>
      <x v="407"/>
      <x v="18"/>
    </i>
    <i r="1">
      <x v="267"/>
      <x v="522"/>
      <x v="18"/>
    </i>
    <i r="1">
      <x v="268"/>
      <x v="520"/>
      <x v="18"/>
    </i>
    <i r="1">
      <x v="269"/>
      <x v="521"/>
      <x v="18"/>
    </i>
    <i r="1">
      <x v="271"/>
      <x v="525"/>
      <x v="18"/>
    </i>
    <i r="1">
      <x v="274"/>
      <x v="254"/>
      <x v="18"/>
    </i>
    <i r="1">
      <x v="275"/>
      <x v="298"/>
      <x v="18"/>
    </i>
    <i r="1">
      <x v="277"/>
      <x v="85"/>
      <x v="18"/>
    </i>
    <i r="1">
      <x v="278"/>
      <x v="492"/>
      <x v="18"/>
    </i>
    <i r="1">
      <x v="279"/>
      <x v="155"/>
      <x v="18"/>
    </i>
    <i r="1">
      <x v="280"/>
      <x v="156"/>
      <x v="18"/>
    </i>
    <i r="1">
      <x v="281"/>
      <x v="526"/>
      <x v="18"/>
    </i>
    <i r="1">
      <x v="282"/>
      <x v="120"/>
      <x v="18"/>
    </i>
    <i r="1">
      <x v="283"/>
      <x v="121"/>
      <x v="18"/>
    </i>
    <i r="1">
      <x v="284"/>
      <x v="241"/>
      <x v="18"/>
    </i>
    <i r="1">
      <x v="285"/>
      <x v="233"/>
      <x v="18"/>
    </i>
    <i r="1">
      <x v="286"/>
      <x v="354"/>
      <x v="18"/>
    </i>
    <i r="1">
      <x v="289"/>
      <x v="483"/>
      <x v="18"/>
    </i>
    <i r="1">
      <x v="290"/>
      <x v="511"/>
      <x v="18"/>
    </i>
    <i r="1">
      <x v="291"/>
      <x v="470"/>
      <x v="18"/>
    </i>
    <i r="1">
      <x v="293"/>
      <x v="399"/>
      <x v="18"/>
    </i>
    <i r="1">
      <x v="297"/>
      <x v="110"/>
      <x v="18"/>
    </i>
    <i r="1">
      <x v="298"/>
      <x v="111"/>
      <x v="18"/>
    </i>
    <i r="1">
      <x v="300"/>
      <x v="112"/>
      <x v="18"/>
    </i>
    <i r="1">
      <x v="301"/>
      <x v="344"/>
      <x v="18"/>
    </i>
    <i r="1">
      <x v="303"/>
      <x v="345"/>
      <x v="18"/>
    </i>
    <i r="1">
      <x v="304"/>
      <x v="176"/>
      <x v="18"/>
    </i>
    <i r="1">
      <x v="305"/>
      <x v="368"/>
      <x v="18"/>
    </i>
    <i r="1">
      <x v="306"/>
      <x v="369"/>
      <x v="18"/>
    </i>
    <i r="1">
      <x v="307"/>
      <x v="3"/>
      <x v="18"/>
    </i>
    <i r="1">
      <x v="308"/>
      <x v="326"/>
      <x v="18"/>
    </i>
    <i r="1">
      <x v="309"/>
      <x v="527"/>
      <x v="18"/>
    </i>
    <i r="1">
      <x v="312"/>
      <x v="433"/>
      <x v="18"/>
    </i>
    <i r="1">
      <x v="313"/>
      <x v="73"/>
      <x v="18"/>
    </i>
    <i r="1">
      <x v="315"/>
      <x v="74"/>
      <x v="18"/>
    </i>
    <i r="1">
      <x v="316"/>
      <x v="518"/>
      <x v="18"/>
    </i>
    <i r="1">
      <x v="317"/>
      <x v="70"/>
      <x v="18"/>
    </i>
    <i r="1">
      <x v="318"/>
      <x v="55"/>
      <x v="18"/>
    </i>
    <i r="1">
      <x v="319"/>
      <x v="56"/>
      <x v="18"/>
    </i>
    <i r="1">
      <x v="321"/>
      <x v="456"/>
      <x v="18"/>
    </i>
    <i r="1">
      <x v="325"/>
      <x v="300"/>
      <x v="18"/>
    </i>
    <i r="1">
      <x v="326"/>
      <x v="255"/>
      <x v="18"/>
    </i>
    <i r="1">
      <x v="327"/>
      <x v="148"/>
      <x v="18"/>
    </i>
    <i r="1">
      <x v="331"/>
      <x v="510"/>
      <x v="18"/>
    </i>
    <i r="1">
      <x v="332"/>
      <x v="400"/>
      <x v="18"/>
    </i>
    <i r="1">
      <x v="333"/>
      <x v="57"/>
      <x v="18"/>
    </i>
    <i r="1">
      <x v="334"/>
      <x v="512"/>
      <x v="18"/>
    </i>
    <i r="1">
      <x v="335"/>
      <x v="158"/>
      <x v="18"/>
    </i>
    <i r="1">
      <x v="336"/>
      <x v="467"/>
      <x v="18"/>
    </i>
    <i r="1">
      <x v="337"/>
      <x v="346"/>
      <x v="18"/>
    </i>
    <i r="1">
      <x v="338"/>
      <x v="409"/>
      <x v="18"/>
    </i>
    <i r="1">
      <x v="339"/>
      <x v="177"/>
      <x v="18"/>
    </i>
    <i r="1">
      <x v="340"/>
      <x v="79"/>
      <x v="18"/>
    </i>
    <i r="1">
      <x v="341"/>
      <x v="58"/>
      <x v="18"/>
    </i>
    <i r="1">
      <x v="343"/>
      <x v="159"/>
      <x v="18"/>
    </i>
    <i r="1">
      <x v="344"/>
      <x v="160"/>
      <x v="18"/>
    </i>
    <i r="1">
      <x v="346"/>
      <x v="260"/>
      <x v="18"/>
    </i>
    <i r="1">
      <x v="347"/>
      <x v="178"/>
      <x v="18"/>
    </i>
    <i r="1">
      <x v="348"/>
      <x v="179"/>
      <x v="18"/>
    </i>
    <i r="1">
      <x v="349"/>
      <x v="410"/>
      <x v="18"/>
    </i>
    <i r="1">
      <x v="352"/>
      <x v="350"/>
      <x v="18"/>
    </i>
    <i r="1">
      <x v="353"/>
      <x v="270"/>
      <x v="18"/>
    </i>
    <i r="1">
      <x v="356"/>
      <x v="94"/>
      <x v="18"/>
    </i>
    <i r="1">
      <x v="357"/>
      <x v="150"/>
      <x v="18"/>
    </i>
    <i r="1">
      <x v="358"/>
      <x v="268"/>
      <x v="18"/>
    </i>
    <i r="1">
      <x v="361"/>
      <x v="95"/>
      <x v="18"/>
    </i>
    <i r="1">
      <x v="362"/>
      <x v="151"/>
      <x v="18"/>
    </i>
    <i r="1">
      <x v="363"/>
      <x v="269"/>
      <x v="18"/>
    </i>
    <i r="1">
      <x v="364"/>
      <x v="276"/>
      <x v="18"/>
    </i>
    <i r="1">
      <x v="365"/>
      <x v="278"/>
      <x v="18"/>
    </i>
    <i r="1">
      <x v="367"/>
      <x v="277"/>
      <x v="18"/>
    </i>
    <i r="1">
      <x v="368"/>
      <x v="279"/>
      <x v="18"/>
    </i>
    <i r="1">
      <x v="369"/>
      <x v="516"/>
      <x v="18"/>
    </i>
    <i r="1">
      <x v="370"/>
      <x v="517"/>
      <x v="18"/>
    </i>
    <i r="1">
      <x v="371"/>
      <x v="93"/>
      <x v="18"/>
    </i>
    <i r="1">
      <x v="372"/>
      <x v="406"/>
      <x v="18"/>
    </i>
    <i r="1">
      <x v="373"/>
      <x v="351"/>
      <x v="18"/>
    </i>
    <i r="1">
      <x v="374"/>
      <x v="246"/>
      <x v="18"/>
    </i>
    <i r="1">
      <x v="375"/>
      <x v="336"/>
      <x v="18"/>
    </i>
    <i r="1">
      <x v="376"/>
      <x v="72"/>
      <x v="18"/>
    </i>
    <i r="1">
      <x v="377"/>
      <x v="76"/>
      <x v="18"/>
    </i>
    <i r="1">
      <x v="378"/>
      <x v="77"/>
      <x v="18"/>
    </i>
    <i r="1">
      <x v="380"/>
      <x v="335"/>
      <x v="18"/>
    </i>
    <i r="1">
      <x v="381"/>
      <x v="272"/>
      <x v="18"/>
    </i>
    <i r="1">
      <x v="383"/>
      <x v="274"/>
      <x v="18"/>
    </i>
    <i r="1">
      <x v="384"/>
      <x v="275"/>
      <x v="18"/>
    </i>
    <i r="1">
      <x v="385"/>
      <x v="385"/>
      <x v="18"/>
    </i>
    <i r="1">
      <x v="386"/>
      <x v="242"/>
      <x v="18"/>
    </i>
    <i r="1">
      <x v="387"/>
      <x v="243"/>
      <x v="18"/>
    </i>
    <i r="1">
      <x v="388"/>
      <x v="386"/>
      <x v="18"/>
    </i>
    <i r="1">
      <x v="389"/>
      <x v="301"/>
      <x v="18"/>
    </i>
    <i r="1">
      <x v="390"/>
      <x v="144"/>
      <x v="18"/>
    </i>
    <i r="1">
      <x v="391"/>
      <x v="444"/>
      <x v="18"/>
    </i>
    <i r="1">
      <x v="392"/>
      <x v="468"/>
      <x v="18"/>
    </i>
    <i r="1">
      <x v="393"/>
      <x v="452"/>
      <x v="18"/>
    </i>
    <i r="1">
      <x v="394"/>
      <x v="453"/>
      <x v="18"/>
    </i>
    <i r="1">
      <x v="395"/>
      <x v="445"/>
      <x v="18"/>
    </i>
    <i r="1">
      <x v="396"/>
      <x v="330"/>
      <x v="18"/>
    </i>
    <i r="1">
      <x v="397"/>
      <x v="124"/>
      <x v="18"/>
    </i>
    <i r="1">
      <x v="398"/>
      <x v="123"/>
      <x v="18"/>
    </i>
    <i r="1">
      <x v="399"/>
      <x v="125"/>
      <x v="18"/>
    </i>
    <i r="1">
      <x v="400"/>
      <x v="130"/>
      <x v="18"/>
    </i>
    <i r="1">
      <x v="402"/>
      <x v="134"/>
      <x v="18"/>
    </i>
    <i r="1">
      <x v="404"/>
      <x v="139"/>
      <x v="18"/>
    </i>
    <i r="1">
      <x v="405"/>
      <x v="140"/>
      <x v="18"/>
    </i>
    <i r="1">
      <x v="406"/>
      <x v="513"/>
      <x v="18"/>
    </i>
    <i r="1">
      <x v="407"/>
      <x v="333"/>
      <x v="18"/>
    </i>
    <i r="1">
      <x v="408"/>
      <x v="379"/>
      <x v="18"/>
    </i>
    <i r="1">
      <x v="409"/>
      <x v="32"/>
      <x v="18"/>
    </i>
    <i r="1">
      <x v="410"/>
      <x v="43"/>
      <x v="18"/>
    </i>
    <i r="1">
      <x v="411"/>
      <x v="25"/>
      <x v="18"/>
    </i>
    <i r="1">
      <x v="412"/>
      <x v="63"/>
      <x v="18"/>
    </i>
    <i r="1">
      <x v="413"/>
      <x v="355"/>
      <x v="18"/>
    </i>
    <i r="1">
      <x v="414"/>
      <x v="488"/>
      <x v="18"/>
    </i>
    <i r="1">
      <x v="415"/>
      <x v="491"/>
      <x v="18"/>
    </i>
    <i r="1">
      <x v="416"/>
      <x v="119"/>
      <x v="18"/>
    </i>
    <i r="1">
      <x v="418"/>
      <x v="142"/>
      <x v="18"/>
    </i>
    <i r="1">
      <x v="422"/>
      <x v="264"/>
      <x v="18"/>
    </i>
    <i r="1">
      <x v="423"/>
      <x v="262"/>
      <x v="18"/>
    </i>
    <i r="1">
      <x v="426"/>
      <x v="141"/>
      <x v="18"/>
    </i>
    <i r="1">
      <x v="427"/>
      <x v="478"/>
      <x v="18"/>
    </i>
    <i r="1">
      <x v="428"/>
      <x v="477"/>
      <x v="18"/>
    </i>
    <i r="1">
      <x v="429"/>
      <x v="469"/>
      <x v="18"/>
    </i>
    <i r="1">
      <x v="430"/>
      <x v="418"/>
      <x v="18"/>
    </i>
    <i r="1">
      <x v="431"/>
      <x v="419"/>
      <x v="18"/>
    </i>
    <i r="1">
      <x v="432"/>
      <x v="426"/>
      <x v="18"/>
    </i>
    <i r="1">
      <x v="433"/>
      <x v="101"/>
      <x v="18"/>
    </i>
    <i r="1">
      <x v="435"/>
      <x v="420"/>
      <x v="18"/>
    </i>
    <i r="1">
      <x v="436"/>
      <x v="421"/>
      <x v="18"/>
    </i>
    <i r="1">
      <x v="439"/>
      <x v="480"/>
      <x v="18"/>
    </i>
    <i r="1">
      <x v="440"/>
      <x v="261"/>
      <x v="18"/>
    </i>
    <i r="1">
      <x v="441"/>
      <x v="263"/>
      <x v="18"/>
    </i>
    <i r="1">
      <x v="442"/>
      <x v="436"/>
      <x v="18"/>
    </i>
    <i r="1">
      <x v="443"/>
      <x v="458"/>
      <x v="18"/>
    </i>
    <i r="1">
      <x v="444"/>
      <x v="4"/>
      <x v="18"/>
    </i>
    <i r="1">
      <x v="445"/>
      <x v="5"/>
      <x v="18"/>
    </i>
    <i r="1">
      <x v="446"/>
      <x v="6"/>
      <x v="18"/>
    </i>
    <i r="1">
      <x v="447"/>
      <x v="7"/>
      <x v="18"/>
    </i>
    <i r="1">
      <x v="448"/>
      <x v="8"/>
      <x v="18"/>
    </i>
    <i r="1">
      <x v="449"/>
      <x v="9"/>
      <x v="18"/>
    </i>
    <i r="1">
      <x v="450"/>
      <x v="13"/>
      <x v="18"/>
    </i>
    <i r="1">
      <x v="451"/>
      <x v="50"/>
      <x v="18"/>
    </i>
    <i r="1">
      <x v="452"/>
      <x v="51"/>
      <x v="18"/>
    </i>
    <i r="1">
      <x v="453"/>
      <x v="52"/>
      <x v="18"/>
    </i>
    <i r="1">
      <x v="454"/>
      <x v="53"/>
      <x v="18"/>
    </i>
    <i r="1">
      <x v="455"/>
      <x v="24"/>
      <x v="18"/>
    </i>
    <i r="1">
      <x v="456"/>
      <x v="10"/>
      <x v="18"/>
    </i>
    <i r="1">
      <x v="457"/>
      <x v="18"/>
      <x v="18"/>
    </i>
    <i r="1">
      <x v="458"/>
      <x v="17"/>
      <x v="18"/>
    </i>
    <i r="1">
      <x v="459"/>
      <x v="23"/>
      <x v="18"/>
    </i>
    <i r="1">
      <x v="460"/>
      <x v="412"/>
      <x v="18"/>
    </i>
    <i r="1">
      <x v="461"/>
      <x v="413"/>
      <x v="18"/>
    </i>
    <i r="1">
      <x v="463"/>
      <x v="459"/>
      <x v="18"/>
    </i>
    <i r="1">
      <x v="464"/>
      <x v="415"/>
      <x v="18"/>
    </i>
    <i r="1">
      <x v="465"/>
      <x v="416"/>
      <x v="18"/>
    </i>
    <i r="1">
      <x v="466"/>
      <x v="11"/>
      <x v="18"/>
    </i>
    <i r="1">
      <x v="467"/>
      <x v="431"/>
      <x v="18"/>
    </i>
    <i r="1">
      <x v="468"/>
      <x v="460"/>
      <x v="18"/>
    </i>
    <i r="1">
      <x v="469"/>
      <x v="12"/>
      <x v="18"/>
    </i>
    <i r="1">
      <x v="470"/>
      <x v="432"/>
      <x v="18"/>
    </i>
    <i r="1">
      <x v="519"/>
      <x v="316"/>
      <x v="18"/>
    </i>
    <i r="1">
      <x v="521"/>
      <x v="374"/>
      <x v="18"/>
    </i>
    <i r="1">
      <x v="529"/>
      <x v="259"/>
      <x v="18"/>
    </i>
    <i>
      <x v="19"/>
      <x v="236"/>
      <x v="28"/>
      <x v="16"/>
    </i>
    <i>
      <x v="20"/>
      <x/>
      <x v="193"/>
      <x v="20"/>
    </i>
    <i r="1">
      <x v="1"/>
      <x v="64"/>
      <x v="20"/>
    </i>
    <i r="1">
      <x v="2"/>
      <x v="313"/>
      <x v="20"/>
    </i>
    <i r="1">
      <x v="3"/>
      <x v="311"/>
      <x v="20"/>
    </i>
    <i r="1">
      <x v="4"/>
      <x v="201"/>
      <x v="20"/>
    </i>
    <i r="1">
      <x v="5"/>
      <x v="202"/>
      <x v="20"/>
    </i>
    <i r="1">
      <x v="6"/>
      <x v="78"/>
      <x v="20"/>
    </i>
    <i r="1">
      <x v="7"/>
      <x v="203"/>
      <x v="20"/>
    </i>
    <i r="1">
      <x v="9"/>
      <x v="198"/>
      <x v="20"/>
    </i>
    <i r="1">
      <x v="10"/>
      <x v="194"/>
      <x v="20"/>
    </i>
    <i r="1">
      <x v="11"/>
      <x v="195"/>
      <x v="20"/>
    </i>
    <i r="1">
      <x v="12"/>
      <x v="380"/>
      <x v="20"/>
    </i>
    <i r="1">
      <x v="13"/>
      <x v="197"/>
      <x v="20"/>
    </i>
    <i r="1">
      <x v="15"/>
      <x v="200"/>
      <x v="20"/>
    </i>
    <i r="1">
      <x v="16"/>
      <x v="92"/>
      <x v="20"/>
    </i>
    <i r="1">
      <x v="17"/>
      <x v="204"/>
      <x v="20"/>
    </i>
    <i r="1">
      <x v="18"/>
      <x v="205"/>
      <x v="20"/>
    </i>
    <i r="1">
      <x v="19"/>
      <x v="206"/>
      <x v="20"/>
    </i>
    <i r="1">
      <x v="20"/>
      <x v="69"/>
      <x v="20"/>
    </i>
    <i r="1">
      <x v="21"/>
      <x v="383"/>
      <x v="20"/>
    </i>
    <i r="1">
      <x v="22"/>
      <x v="257"/>
      <x v="20"/>
    </i>
    <i r="1">
      <x v="23"/>
      <x v="256"/>
      <x v="20"/>
    </i>
    <i r="1">
      <x v="24"/>
      <x v="188"/>
      <x v="20"/>
    </i>
    <i r="1">
      <x v="27"/>
      <x v="319"/>
      <x v="20"/>
    </i>
    <i r="1">
      <x v="28"/>
      <x v="359"/>
      <x v="20"/>
    </i>
    <i r="1">
      <x v="29"/>
      <x v="167"/>
      <x v="20"/>
    </i>
    <i r="1">
      <x v="31"/>
      <x v="439"/>
      <x v="20"/>
    </i>
    <i r="1">
      <x v="32"/>
      <x v="434"/>
      <x v="20"/>
    </i>
    <i r="1">
      <x v="34"/>
      <x v="170"/>
      <x v="20"/>
    </i>
    <i r="1">
      <x v="35"/>
      <x v="442"/>
      <x v="20"/>
    </i>
    <i r="1">
      <x v="36"/>
      <x v="462"/>
      <x v="20"/>
    </i>
    <i r="1">
      <x v="37"/>
      <x v="282"/>
      <x v="20"/>
    </i>
    <i r="1">
      <x v="38"/>
      <x v="271"/>
      <x v="20"/>
    </i>
    <i r="1">
      <x v="39"/>
      <x v="253"/>
      <x v="20"/>
    </i>
    <i r="1">
      <x v="40"/>
      <x v="169"/>
      <x v="20"/>
    </i>
    <i r="1">
      <x v="41"/>
      <x v="523"/>
      <x v="20"/>
    </i>
    <i r="1">
      <x v="42"/>
      <x v="310"/>
      <x v="20"/>
    </i>
    <i r="1">
      <x v="43"/>
      <x v="251"/>
      <x v="20"/>
    </i>
    <i r="1">
      <x v="44"/>
      <x v="168"/>
      <x v="20"/>
    </i>
    <i r="1">
      <x v="77"/>
      <x v="97"/>
      <x v="20"/>
    </i>
    <i r="1">
      <x v="81"/>
      <x v="214"/>
      <x v="20"/>
    </i>
    <i r="1">
      <x v="82"/>
      <x v="67"/>
      <x v="20"/>
    </i>
    <i r="1">
      <x v="83"/>
      <x v="247"/>
      <x v="20"/>
    </i>
    <i r="1">
      <x v="84"/>
      <x v="208"/>
      <x v="20"/>
    </i>
    <i r="1">
      <x v="85"/>
      <x v="68"/>
      <x v="20"/>
    </i>
    <i r="1">
      <x v="86"/>
      <x v="455"/>
      <x v="20"/>
    </i>
    <i r="1">
      <x v="87"/>
      <x v="457"/>
      <x v="20"/>
    </i>
    <i r="1">
      <x v="89"/>
      <x v="320"/>
      <x v="20"/>
    </i>
    <i r="1">
      <x v="90"/>
      <x v="473"/>
      <x v="20"/>
    </i>
    <i r="1">
      <x v="91"/>
      <x v="474"/>
      <x v="20"/>
    </i>
    <i r="1">
      <x v="92"/>
      <x v="472"/>
      <x v="20"/>
    </i>
    <i r="1">
      <x v="93"/>
      <x v="475"/>
      <x v="20"/>
    </i>
    <i r="1">
      <x v="95"/>
      <x v="390"/>
      <x v="20"/>
    </i>
    <i r="1">
      <x v="96"/>
      <x v="451"/>
      <x v="20"/>
    </i>
    <i r="1">
      <x v="97"/>
      <x v="391"/>
      <x v="20"/>
    </i>
    <i r="1">
      <x v="98"/>
      <x v="501"/>
      <x v="20"/>
    </i>
    <i r="1">
      <x v="99"/>
      <x v="448"/>
      <x v="20"/>
    </i>
    <i r="1">
      <x v="100"/>
      <x v="219"/>
      <x v="20"/>
    </i>
    <i r="1">
      <x v="102"/>
      <x v="308"/>
      <x v="20"/>
    </i>
    <i r="1">
      <x v="103"/>
      <x v="220"/>
      <x v="20"/>
    </i>
    <i r="1">
      <x v="104"/>
      <x v="252"/>
      <x v="20"/>
    </i>
    <i r="1">
      <x v="106"/>
      <x v="161"/>
      <x v="20"/>
    </i>
    <i r="1">
      <x v="107"/>
      <x v="162"/>
      <x v="20"/>
    </i>
    <i r="1">
      <x v="112"/>
      <x v="221"/>
      <x v="20"/>
    </i>
    <i r="1">
      <x v="113"/>
      <x v="82"/>
      <x v="20"/>
    </i>
    <i r="1">
      <x v="115"/>
      <x v="318"/>
      <x v="20"/>
    </i>
    <i r="1">
      <x v="117"/>
      <x v="65"/>
      <x v="20"/>
    </i>
    <i r="1">
      <x v="118"/>
      <x v="66"/>
      <x v="20"/>
    </i>
    <i r="1">
      <x v="119"/>
      <x v="384"/>
      <x v="20"/>
    </i>
    <i r="1">
      <x v="120"/>
      <x v="454"/>
      <x v="20"/>
    </i>
    <i r="1">
      <x v="122"/>
      <x v="75"/>
      <x v="20"/>
    </i>
    <i r="1">
      <x v="123"/>
      <x v="321"/>
      <x v="20"/>
    </i>
    <i r="1">
      <x v="178"/>
      <x v="299"/>
      <x v="20"/>
    </i>
    <i r="1">
      <x v="179"/>
      <x v="212"/>
      <x v="20"/>
    </i>
    <i r="1">
      <x v="180"/>
      <x v="180"/>
      <x v="20"/>
    </i>
    <i r="1">
      <x v="181"/>
      <x v="174"/>
      <x v="20"/>
    </i>
    <i r="1">
      <x v="182"/>
      <x v="106"/>
      <x v="20"/>
    </i>
    <i r="1">
      <x v="183"/>
      <x v="403"/>
      <x v="20"/>
    </i>
    <i r="1">
      <x v="199"/>
      <x/>
      <x v="20"/>
    </i>
    <i r="1">
      <x v="200"/>
      <x v="373"/>
      <x v="20"/>
    </i>
    <i r="1">
      <x v="201"/>
      <x v="248"/>
      <x v="20"/>
    </i>
    <i r="1">
      <x v="202"/>
      <x v="249"/>
      <x v="20"/>
    </i>
    <i r="1">
      <x v="203"/>
      <x v="1"/>
      <x v="20"/>
    </i>
    <i r="1">
      <x v="204"/>
      <x v="361"/>
      <x v="20"/>
    </i>
    <i r="1">
      <x v="205"/>
      <x v="184"/>
      <x v="20"/>
    </i>
    <i r="1">
      <x v="206"/>
      <x v="508"/>
      <x v="20"/>
    </i>
    <i r="1">
      <x v="207"/>
      <x v="348"/>
      <x v="20"/>
    </i>
    <i r="1">
      <x v="208"/>
      <x v="137"/>
      <x v="20"/>
    </i>
    <i r="1">
      <x v="210"/>
      <x v="138"/>
      <x v="20"/>
    </i>
    <i r="1">
      <x v="211"/>
      <x v="309"/>
      <x v="20"/>
    </i>
    <i r="1">
      <x v="213"/>
      <x v="89"/>
      <x v="20"/>
    </i>
    <i r="1">
      <x v="214"/>
      <x v="461"/>
      <x v="20"/>
    </i>
    <i r="1">
      <x v="492"/>
      <x v="267"/>
      <x v="20"/>
    </i>
    <i r="1">
      <x v="493"/>
      <x v="352"/>
      <x v="20"/>
    </i>
    <i r="1">
      <x v="494"/>
      <x v="118"/>
      <x v="20"/>
    </i>
    <i r="1">
      <x v="495"/>
      <x v="117"/>
      <x v="20"/>
    </i>
    <i r="1">
      <x v="496"/>
      <x v="116"/>
      <x v="20"/>
    </i>
    <i r="1">
      <x v="497"/>
      <x v="515"/>
      <x v="20"/>
    </i>
    <i r="1">
      <x v="498"/>
      <x v="514"/>
      <x v="20"/>
    </i>
    <i r="1">
      <x v="499"/>
      <x v="356"/>
      <x v="20"/>
    </i>
    <i r="1">
      <x v="500"/>
      <x v="211"/>
      <x v="20"/>
    </i>
    <i r="1">
      <x v="503"/>
      <x v="250"/>
      <x v="20"/>
    </i>
    <i r="1">
      <x v="504"/>
      <x v="357"/>
      <x v="20"/>
    </i>
    <i r="1">
      <x v="506"/>
      <x v="364"/>
      <x v="20"/>
    </i>
    <i r="1">
      <x v="507"/>
      <x v="358"/>
      <x v="20"/>
    </i>
    <i r="1">
      <x v="508"/>
      <x v="450"/>
      <x v="20"/>
    </i>
    <i r="1">
      <x v="521"/>
      <x v="374"/>
      <x v="20"/>
    </i>
    <i r="1">
      <x v="522"/>
      <x v="375"/>
      <x v="20"/>
    </i>
    <i>
      <x v="21"/>
      <x v="48"/>
      <x v="485"/>
      <x v="19"/>
    </i>
    <i r="1">
      <x v="49"/>
      <x v="447"/>
      <x v="19"/>
    </i>
    <i r="1">
      <x v="50"/>
      <x v="446"/>
      <x v="19"/>
    </i>
    <i r="1">
      <x v="51"/>
      <x v="217"/>
      <x v="19"/>
    </i>
    <i r="1">
      <x v="52"/>
      <x v="498"/>
      <x v="19"/>
    </i>
    <i r="1">
      <x v="53"/>
      <x v="504"/>
      <x v="19"/>
    </i>
    <i r="1">
      <x v="54"/>
      <x v="228"/>
      <x v="19"/>
    </i>
    <i r="1">
      <x v="55"/>
      <x v="497"/>
      <x v="19"/>
    </i>
    <i r="1">
      <x v="56"/>
      <x v="500"/>
      <x v="19"/>
    </i>
    <i r="1">
      <x v="57"/>
      <x v="307"/>
      <x v="19"/>
    </i>
    <i r="1">
      <x v="59"/>
      <x v="295"/>
      <x v="19"/>
    </i>
    <i r="1">
      <x v="60"/>
      <x v="353"/>
      <x v="19"/>
    </i>
    <i r="1">
      <x v="62"/>
      <x v="288"/>
      <x v="19"/>
    </i>
    <i r="1">
      <x v="63"/>
      <x v="302"/>
      <x v="19"/>
    </i>
    <i r="1">
      <x v="64"/>
      <x v="237"/>
      <x v="19"/>
    </i>
    <i r="1">
      <x v="65"/>
      <x v="229"/>
      <x v="19"/>
    </i>
    <i r="1">
      <x v="66"/>
      <x v="365"/>
      <x v="19"/>
    </i>
    <i r="1">
      <x v="67"/>
      <x v="113"/>
      <x v="19"/>
    </i>
    <i r="1">
      <x v="68"/>
      <x v="107"/>
      <x v="19"/>
    </i>
    <i r="1">
      <x v="69"/>
      <x v="129"/>
      <x v="19"/>
    </i>
    <i r="1">
      <x v="79"/>
      <x v="216"/>
      <x v="19"/>
    </i>
    <i r="1">
      <x v="124"/>
      <x v="405"/>
      <x v="19"/>
    </i>
    <i r="1">
      <x v="126"/>
      <x v="312"/>
      <x v="19"/>
    </i>
    <i r="1">
      <x v="127"/>
      <x v="61"/>
      <x v="19"/>
    </i>
    <i r="1">
      <x v="128"/>
      <x v="90"/>
      <x v="19"/>
    </i>
    <i r="1">
      <x v="129"/>
      <x v="62"/>
      <x v="19"/>
    </i>
    <i r="1">
      <x v="130"/>
      <x v="114"/>
      <x v="19"/>
    </i>
    <i r="1">
      <x v="131"/>
      <x v="240"/>
      <x v="19"/>
    </i>
    <i r="1">
      <x v="132"/>
      <x v="115"/>
      <x v="19"/>
    </i>
    <i r="1">
      <x v="133"/>
      <x v="48"/>
      <x v="19"/>
    </i>
    <i r="1">
      <x v="134"/>
      <x v="294"/>
      <x v="19"/>
    </i>
    <i r="1">
      <x v="136"/>
      <x v="41"/>
      <x v="19"/>
    </i>
    <i r="1">
      <x v="138"/>
      <x v="42"/>
      <x v="19"/>
    </i>
    <i r="1">
      <x v="139"/>
      <x v="285"/>
      <x v="19"/>
    </i>
    <i r="1">
      <x v="140"/>
      <x v="14"/>
      <x v="19"/>
    </i>
    <i r="1">
      <x v="141"/>
      <x v="45"/>
      <x v="19"/>
    </i>
    <i r="1">
      <x v="143"/>
      <x v="496"/>
      <x v="19"/>
    </i>
    <i r="1">
      <x v="144"/>
      <x v="287"/>
      <x v="19"/>
    </i>
    <i r="1">
      <x v="146"/>
      <x v="490"/>
      <x v="19"/>
    </i>
    <i r="1">
      <x v="147"/>
      <x v="289"/>
      <x v="19"/>
    </i>
    <i r="1">
      <x v="148"/>
      <x v="227"/>
      <x v="19"/>
    </i>
    <i r="1">
      <x v="149"/>
      <x v="131"/>
      <x v="19"/>
    </i>
    <i r="1">
      <x v="151"/>
      <x v="506"/>
      <x v="19"/>
    </i>
    <i r="1">
      <x v="152"/>
      <x v="244"/>
      <x v="19"/>
    </i>
    <i r="1">
      <x v="153"/>
      <x v="258"/>
      <x v="19"/>
    </i>
    <i r="1">
      <x v="154"/>
      <x v="238"/>
      <x v="19"/>
    </i>
    <i r="1">
      <x v="155"/>
      <x v="239"/>
      <x v="19"/>
    </i>
    <i r="1">
      <x v="156"/>
      <x v="494"/>
      <x v="19"/>
    </i>
    <i r="1">
      <x v="157"/>
      <x v="290"/>
      <x v="19"/>
    </i>
    <i r="1">
      <x v="158"/>
      <x v="226"/>
      <x v="19"/>
    </i>
    <i r="1">
      <x v="159"/>
      <x v="245"/>
      <x v="19"/>
    </i>
    <i r="1">
      <x v="161"/>
      <x v="347"/>
      <x v="19"/>
    </i>
    <i r="1">
      <x v="162"/>
      <x v="231"/>
      <x v="19"/>
    </i>
    <i r="1">
      <x v="163"/>
      <x v="60"/>
      <x v="19"/>
    </i>
    <i r="1">
      <x v="187"/>
      <x v="209"/>
      <x v="19"/>
    </i>
    <i r="1">
      <x v="188"/>
      <x v="210"/>
      <x v="19"/>
    </i>
    <i r="1">
      <x v="189"/>
      <x v="36"/>
      <x v="19"/>
    </i>
    <i r="1">
      <x v="190"/>
      <x v="44"/>
      <x v="19"/>
    </i>
    <i r="1">
      <x v="191"/>
      <x v="46"/>
      <x v="19"/>
    </i>
    <i r="1">
      <x v="193"/>
      <x v="104"/>
      <x v="19"/>
    </i>
    <i r="1">
      <x v="194"/>
      <x v="377"/>
      <x v="19"/>
    </i>
    <i r="1">
      <x v="195"/>
      <x v="378"/>
      <x v="19"/>
    </i>
    <i r="1">
      <x v="196"/>
      <x v="443"/>
      <x v="19"/>
    </i>
    <i r="1">
      <x v="197"/>
      <x v="495"/>
      <x v="19"/>
    </i>
    <i r="1">
      <x v="212"/>
      <x v="334"/>
      <x v="19"/>
    </i>
    <i r="1">
      <x v="215"/>
      <x v="225"/>
      <x v="19"/>
    </i>
    <i r="1">
      <x v="220"/>
      <x v="33"/>
      <x v="19"/>
    </i>
    <i r="1">
      <x v="231"/>
      <x v="343"/>
      <x v="19"/>
    </i>
    <i r="1">
      <x v="232"/>
      <x v="463"/>
      <x v="19"/>
    </i>
    <i r="1">
      <x v="233"/>
      <x v="291"/>
      <x v="19"/>
    </i>
    <i r="1">
      <x v="234"/>
      <x v="388"/>
      <x v="19"/>
    </i>
    <i r="1">
      <x v="240"/>
      <x v="464"/>
      <x v="19"/>
    </i>
    <i r="1">
      <x v="472"/>
      <x v="370"/>
      <x v="19"/>
    </i>
    <i r="1">
      <x v="473"/>
      <x v="371"/>
      <x v="19"/>
    </i>
    <i r="1">
      <x v="474"/>
      <x v="394"/>
      <x v="19"/>
    </i>
    <i r="1">
      <x v="475"/>
      <x v="88"/>
      <x v="19"/>
    </i>
    <i r="1">
      <x v="477"/>
      <x v="395"/>
      <x v="19"/>
    </i>
    <i r="1">
      <x v="478"/>
      <x v="398"/>
      <x v="19"/>
    </i>
    <i r="1">
      <x v="480"/>
      <x v="342"/>
      <x v="19"/>
    </i>
    <i r="1">
      <x v="481"/>
      <x v="136"/>
      <x v="19"/>
    </i>
    <i r="1">
      <x v="482"/>
      <x v="387"/>
      <x v="19"/>
    </i>
    <i r="1">
      <x v="483"/>
      <x v="173"/>
      <x v="19"/>
    </i>
    <i r="1">
      <x v="484"/>
      <x v="171"/>
      <x v="19"/>
    </i>
    <i r="1">
      <x v="485"/>
      <x v="172"/>
      <x v="19"/>
    </i>
    <i r="1">
      <x v="486"/>
      <x v="323"/>
      <x v="19"/>
    </i>
    <i r="1">
      <x v="487"/>
      <x v="15"/>
      <x v="19"/>
    </i>
    <i r="1">
      <x v="488"/>
      <x v="502"/>
      <x v="19"/>
    </i>
    <i r="1">
      <x v="489"/>
      <x v="331"/>
      <x v="19"/>
    </i>
    <i r="1">
      <x v="490"/>
      <x v="507"/>
      <x v="19"/>
    </i>
    <i r="1">
      <x v="491"/>
      <x v="332"/>
      <x v="19"/>
    </i>
    <i r="1">
      <x v="520"/>
      <x v="175"/>
      <x v="19"/>
    </i>
    <i r="1">
      <x v="526"/>
      <x v="360"/>
      <x v="19"/>
    </i>
    <i>
      <x v="22"/>
      <x v="170"/>
      <x v="54"/>
      <x v="19"/>
    </i>
    <i r="1">
      <x v="171"/>
      <x v="186"/>
      <x v="19"/>
    </i>
    <i r="1">
      <x v="175"/>
      <x v="493"/>
      <x v="19"/>
    </i>
    <i r="1">
      <x v="176"/>
      <x v="283"/>
      <x v="19"/>
    </i>
    <i r="1">
      <x v="177"/>
      <x v="284"/>
      <x v="19"/>
    </i>
    <i r="1">
      <x v="224"/>
      <x v="163"/>
      <x v="19"/>
    </i>
    <i r="1">
      <x v="225"/>
      <x v="2"/>
      <x v="19"/>
    </i>
    <i r="1">
      <x v="227"/>
      <x v="327"/>
      <x v="19"/>
    </i>
    <i r="1">
      <x v="230"/>
      <x v="96"/>
      <x v="19"/>
    </i>
    <i r="1">
      <x v="237"/>
      <x v="26"/>
      <x v="19"/>
    </i>
    <i r="1">
      <x v="238"/>
      <x v="27"/>
      <x v="19"/>
    </i>
    <i r="1">
      <x v="239"/>
      <x v="149"/>
      <x v="19"/>
    </i>
    <i r="1">
      <x v="241"/>
      <x v="466"/>
      <x v="19"/>
    </i>
    <i r="1">
      <x v="245"/>
      <x v="428"/>
      <x v="19"/>
    </i>
    <i r="1">
      <x v="246"/>
      <x v="218"/>
      <x v="19"/>
    </i>
    <i r="1">
      <x v="510"/>
      <x v="471"/>
      <x v="19"/>
    </i>
    <i r="1">
      <x v="514"/>
      <x v="22"/>
      <x v="19"/>
    </i>
    <i r="1">
      <x v="515"/>
      <x v="91"/>
      <x v="19"/>
    </i>
    <i r="1">
      <x v="516"/>
      <x v="315"/>
      <x v="19"/>
    </i>
    <i r="1">
      <x v="523"/>
      <x v="317"/>
      <x v="19"/>
    </i>
    <i r="1">
      <x v="524"/>
      <x v="213"/>
      <x v="19"/>
    </i>
    <i r="1">
      <x v="525"/>
      <x v="215"/>
      <x v="19"/>
    </i>
    <i>
      <x v="24"/>
      <x v="46"/>
      <x v="489"/>
      <x v="23"/>
    </i>
    <i r="1">
      <x v="70"/>
      <x v="223"/>
      <x v="21"/>
    </i>
    <i r="1">
      <x v="71"/>
      <x v="222"/>
      <x v="21"/>
    </i>
    <i r="1">
      <x v="72"/>
      <x v="37"/>
      <x v="21"/>
    </i>
    <i r="1">
      <x v="73"/>
      <x v="34"/>
      <x v="21"/>
    </i>
    <i r="1">
      <x v="74"/>
      <x v="16"/>
      <x v="21"/>
    </i>
    <i r="1">
      <x v="75"/>
      <x v="476"/>
      <x v="21"/>
    </i>
    <i r="1">
      <x v="76"/>
      <x v="59"/>
      <x v="21"/>
    </i>
    <i r="1">
      <x v="78"/>
      <x v="185"/>
      <x v="21"/>
    </i>
    <i r="1">
      <x v="80"/>
      <x v="166"/>
      <x v="24"/>
    </i>
    <i r="1">
      <x v="165"/>
      <x v="329"/>
      <x v="21"/>
    </i>
    <i r="1">
      <x v="166"/>
      <x v="304"/>
      <x v="21"/>
    </i>
    <i r="1">
      <x v="167"/>
      <x v="305"/>
      <x v="21"/>
    </i>
    <i r="1">
      <x v="168"/>
      <x v="303"/>
      <x v="21"/>
    </i>
    <i r="1">
      <x v="169"/>
      <x v="306"/>
      <x v="21"/>
    </i>
    <i r="1">
      <x v="171"/>
      <x v="186"/>
      <x v="21"/>
    </i>
    <i r="1">
      <x v="172"/>
      <x v="38"/>
      <x v="21"/>
    </i>
    <i r="1">
      <x v="173"/>
      <x v="39"/>
      <x v="21"/>
    </i>
    <i r="1">
      <x v="174"/>
      <x v="40"/>
      <x v="21"/>
    </i>
    <i r="1">
      <x v="175"/>
      <x v="493"/>
      <x v="21"/>
    </i>
    <i r="1">
      <x v="176"/>
      <x v="283"/>
      <x v="21"/>
    </i>
    <i r="1">
      <x v="177"/>
      <x v="284"/>
      <x v="21"/>
    </i>
    <i r="1">
      <x v="223"/>
      <x v="296"/>
      <x v="21"/>
    </i>
    <i r="1">
      <x v="224"/>
      <x v="163"/>
      <x v="21"/>
    </i>
    <i r="1">
      <x v="226"/>
      <x v="325"/>
      <x v="21"/>
    </i>
    <i r="1">
      <x v="227"/>
      <x v="327"/>
      <x v="21"/>
    </i>
    <i r="1">
      <x v="228"/>
      <x v="324"/>
      <x v="21"/>
    </i>
    <i r="1">
      <x v="229"/>
      <x v="328"/>
      <x v="21"/>
    </i>
    <i r="1">
      <x v="230"/>
      <x v="96"/>
      <x v="21"/>
    </i>
    <i r="1">
      <x v="241"/>
      <x v="466"/>
      <x v="21"/>
    </i>
    <i r="1">
      <x v="242"/>
      <x v="427"/>
      <x v="21"/>
    </i>
    <i r="1">
      <x v="244"/>
      <x v="20"/>
      <x v="21"/>
    </i>
    <i r="1">
      <x v="245"/>
      <x v="428"/>
      <x v="21"/>
    </i>
    <i r="1">
      <x v="246"/>
      <x v="218"/>
      <x v="21"/>
    </i>
    <i r="1">
      <x v="524"/>
      <x v="213"/>
      <x v="21"/>
    </i>
    <i r="1">
      <x v="525"/>
      <x v="215"/>
      <x v="21"/>
    </i>
    <i r="1">
      <x v="530"/>
      <x v="530"/>
      <x v="21"/>
    </i>
    <i r="1">
      <x v="531"/>
      <x v="531"/>
      <x v="21"/>
    </i>
    <i r="1">
      <x v="532"/>
      <x v="532"/>
      <x v="21"/>
    </i>
    <i r="1">
      <x v="533"/>
      <x v="533"/>
      <x v="21"/>
    </i>
    <i r="1">
      <x v="534"/>
      <x v="534"/>
      <x v="21"/>
    </i>
    <i r="1">
      <x v="535"/>
      <x v="535"/>
      <x v="21"/>
    </i>
    <i r="1">
      <x v="536"/>
      <x v="536"/>
      <x v="21"/>
    </i>
    <i r="1">
      <x v="537"/>
      <x v="537"/>
      <x v="21"/>
    </i>
    <i r="1">
      <x v="538"/>
      <x v="538"/>
      <x v="21"/>
    </i>
    <i r="1">
      <x v="539"/>
      <x v="539"/>
      <x v="21"/>
    </i>
    <i r="1">
      <x v="540"/>
      <x v="540"/>
      <x v="21"/>
    </i>
    <i r="1">
      <x v="541"/>
      <x v="541"/>
      <x v="21"/>
    </i>
    <i r="1">
      <x v="542"/>
      <x v="542"/>
      <x v="21"/>
    </i>
    <i r="1">
      <x v="543"/>
      <x v="543"/>
      <x v="21"/>
    </i>
    <i r="1">
      <x v="544"/>
      <x v="544"/>
      <x v="21"/>
    </i>
    <i r="1">
      <x v="545"/>
      <x v="545"/>
      <x v="21"/>
    </i>
    <i r="1">
      <x v="546"/>
      <x v="546"/>
      <x v="21"/>
    </i>
    <i r="1">
      <x v="547"/>
      <x v="547"/>
      <x v="21"/>
    </i>
    <i r="1">
      <x v="548"/>
      <x v="548"/>
      <x v="21"/>
    </i>
    <i r="1">
      <x v="549"/>
      <x v="549"/>
      <x v="21"/>
    </i>
    <i r="1">
      <x v="550"/>
      <x v="550"/>
      <x v="21"/>
    </i>
    <i r="1">
      <x v="551"/>
      <x v="551"/>
      <x v="21"/>
    </i>
    <i r="1">
      <x v="552"/>
      <x v="552"/>
      <x v="21"/>
    </i>
    <i r="1">
      <x v="553"/>
      <x v="553"/>
      <x v="21"/>
    </i>
    <i r="1">
      <x v="554"/>
      <x v="554"/>
      <x v="21"/>
    </i>
    <i r="1">
      <x v="555"/>
      <x v="555"/>
      <x v="21"/>
    </i>
    <i r="1">
      <x v="556"/>
      <x v="556"/>
      <x v="21"/>
    </i>
    <i r="1">
      <x v="557"/>
      <x v="557"/>
      <x v="21"/>
    </i>
    <i r="1">
      <x v="558"/>
      <x v="558"/>
      <x v="21"/>
    </i>
    <i r="1">
      <x v="559"/>
      <x v="559"/>
      <x v="21"/>
    </i>
    <i r="1">
      <x v="560"/>
      <x v="560"/>
      <x v="21"/>
    </i>
    <i r="1">
      <x v="561"/>
      <x v="561"/>
      <x v="22"/>
    </i>
    <i r="1">
      <x v="562"/>
      <x v="562"/>
      <x v="22"/>
    </i>
    <i r="1">
      <x v="563"/>
      <x v="563"/>
      <x v="24"/>
    </i>
    <i>
      <x v="25"/>
      <x v="134"/>
      <x v="294"/>
      <x v="25"/>
    </i>
    <i r="1">
      <x v="161"/>
      <x v="347"/>
      <x v="25"/>
    </i>
    <i r="1">
      <x v="227"/>
      <x v="327"/>
      <x v="25"/>
    </i>
    <i r="1">
      <x v="246"/>
      <x v="218"/>
      <x v="25"/>
    </i>
    <i r="1">
      <x v="556"/>
      <x v="556"/>
      <x v="25"/>
    </i>
    <i r="1">
      <x v="564"/>
      <x v="564"/>
      <x v="25"/>
    </i>
    <i>
      <x v="26"/>
      <x v="1"/>
      <x v="64"/>
      <x v="26"/>
    </i>
    <i r="1">
      <x v="15"/>
      <x v="200"/>
      <x v="26"/>
    </i>
    <i r="1">
      <x v="17"/>
      <x v="204"/>
      <x v="26"/>
    </i>
    <i r="1">
      <x v="38"/>
      <x v="271"/>
      <x v="26"/>
    </i>
    <i r="1">
      <x v="56"/>
      <x v="500"/>
      <x v="26"/>
    </i>
    <i r="1">
      <x v="70"/>
      <x v="223"/>
      <x v="26"/>
    </i>
    <i r="1">
      <x v="71"/>
      <x v="222"/>
      <x v="26"/>
    </i>
    <i r="1">
      <x v="88"/>
      <x v="449"/>
      <x v="26"/>
    </i>
    <i r="1">
      <x v="91"/>
      <x v="474"/>
      <x v="26"/>
    </i>
    <i r="1">
      <x v="93"/>
      <x v="475"/>
      <x v="26"/>
    </i>
    <i r="1">
      <x v="95"/>
      <x v="390"/>
      <x v="26"/>
    </i>
    <i r="1">
      <x v="96"/>
      <x v="451"/>
      <x v="26"/>
    </i>
    <i r="1">
      <x v="112"/>
      <x v="221"/>
      <x v="26"/>
    </i>
    <i r="1">
      <x v="121"/>
      <x v="207"/>
      <x v="26"/>
    </i>
    <i r="1">
      <x v="125"/>
      <x v="19"/>
      <x v="26"/>
    </i>
    <i r="1">
      <x v="132"/>
      <x v="115"/>
      <x v="26"/>
    </i>
    <i r="1">
      <x v="136"/>
      <x v="41"/>
      <x v="26"/>
    </i>
    <i r="1">
      <x v="138"/>
      <x v="42"/>
      <x v="35"/>
    </i>
    <i r="1">
      <x v="157"/>
      <x v="290"/>
      <x v="26"/>
    </i>
    <i r="1">
      <x v="160"/>
      <x v="35"/>
      <x v="26"/>
    </i>
    <i r="1">
      <x v="162"/>
      <x v="231"/>
      <x v="26"/>
    </i>
    <i r="1">
      <x v="167"/>
      <x v="305"/>
      <x v="26"/>
    </i>
    <i r="1">
      <x v="168"/>
      <x v="303"/>
      <x v="26"/>
    </i>
    <i r="1">
      <x v="176"/>
      <x v="283"/>
      <x v="32"/>
    </i>
    <i r="1">
      <x v="177"/>
      <x v="284"/>
      <x v="32"/>
    </i>
    <i r="1">
      <x v="192"/>
      <x v="109"/>
      <x v="26"/>
    </i>
    <i r="1">
      <x v="193"/>
      <x v="104"/>
      <x v="26"/>
    </i>
    <i r="1">
      <x v="197"/>
      <x v="495"/>
      <x v="26"/>
    </i>
    <i r="1">
      <x v="206"/>
      <x v="508"/>
      <x v="26"/>
    </i>
    <i r="1">
      <x v="223"/>
      <x v="296"/>
      <x v="28"/>
    </i>
    <i r="1">
      <x v="224"/>
      <x v="163"/>
      <x v="28"/>
    </i>
    <i r="1">
      <x v="226"/>
      <x v="325"/>
      <x v="29"/>
    </i>
    <i r="1">
      <x v="228"/>
      <x v="324"/>
      <x v="29"/>
    </i>
    <i r="1">
      <x v="229"/>
      <x v="328"/>
      <x v="30"/>
    </i>
    <i r="1">
      <x v="230"/>
      <x v="96"/>
      <x v="31"/>
    </i>
    <i r="1">
      <x v="371"/>
      <x v="93"/>
      <x v="26"/>
    </i>
    <i r="1">
      <x v="379"/>
      <x v="411"/>
      <x v="26"/>
    </i>
    <i r="1">
      <x v="474"/>
      <x v="394"/>
      <x v="26"/>
    </i>
    <i r="1">
      <x v="486"/>
      <x v="323"/>
      <x v="26"/>
    </i>
    <i r="1">
      <x v="493"/>
      <x v="352"/>
      <x v="26"/>
    </i>
    <i r="1">
      <x v="510"/>
      <x v="471"/>
      <x v="26"/>
    </i>
    <i r="1">
      <x v="516"/>
      <x v="315"/>
      <x v="26"/>
    </i>
    <i r="1">
      <x v="533"/>
      <x v="533"/>
      <x v="26"/>
    </i>
    <i r="1">
      <x v="535"/>
      <x v="535"/>
      <x v="26"/>
    </i>
    <i r="1">
      <x v="544"/>
      <x v="544"/>
      <x v="23"/>
    </i>
    <i r="1">
      <x v="549"/>
      <x v="549"/>
      <x v="24"/>
    </i>
    <i r="1">
      <x v="558"/>
      <x v="558"/>
      <x v="27"/>
    </i>
    <i r="1">
      <x v="559"/>
      <x v="559"/>
      <x v="33"/>
    </i>
    <i r="1">
      <x v="560"/>
      <x v="560"/>
      <x v="33"/>
    </i>
    <i r="1">
      <x v="561"/>
      <x v="561"/>
      <x v="34"/>
    </i>
    <i r="1">
      <x v="565"/>
      <x v="565"/>
      <x v="26"/>
    </i>
    <i r="1">
      <x v="566"/>
      <x v="566"/>
      <x v="26"/>
    </i>
    <i r="1">
      <x v="567"/>
      <x v="567"/>
      <x v="26"/>
    </i>
    <i r="1">
      <x v="568"/>
      <x v="568"/>
      <x v="26"/>
    </i>
    <i r="1">
      <x v="569"/>
      <x v="569"/>
      <x v="26"/>
    </i>
    <i r="1">
      <x v="570"/>
      <x v="570"/>
      <x v="26"/>
    </i>
    <i r="1">
      <x v="571"/>
      <x v="571"/>
      <x v="26"/>
    </i>
    <i r="1">
      <x v="572"/>
      <x v="572"/>
      <x v="26"/>
    </i>
    <i r="1">
      <x v="573"/>
      <x v="573"/>
      <x v="26"/>
    </i>
    <i r="1">
      <x v="574"/>
      <x v="574"/>
      <x v="26"/>
    </i>
    <i r="1">
      <x v="575"/>
      <x v="575"/>
      <x v="26"/>
    </i>
    <i r="1">
      <x v="576"/>
      <x v="576"/>
      <x v="26"/>
    </i>
    <i r="1">
      <x v="577"/>
      <x v="577"/>
      <x v="26"/>
    </i>
    <i r="1">
      <x v="578"/>
      <x v="578"/>
      <x v="26"/>
    </i>
    <i r="1">
      <x v="579"/>
      <x v="579"/>
      <x v="26"/>
    </i>
    <i r="1">
      <x v="580"/>
      <x v="580"/>
      <x v="26"/>
    </i>
    <i r="1">
      <x v="581"/>
      <x v="581"/>
      <x v="26"/>
    </i>
    <i r="1">
      <x v="582"/>
      <x v="582"/>
      <x v="26"/>
    </i>
    <i r="1">
      <x v="583"/>
      <x v="583"/>
      <x v="26"/>
    </i>
    <i r="1">
      <x v="584"/>
      <x v="584"/>
      <x v="26"/>
    </i>
    <i r="1">
      <x v="585"/>
      <x v="585"/>
      <x v="26"/>
    </i>
    <i r="1">
      <x v="586"/>
      <x v="586"/>
      <x v="26"/>
    </i>
    <i r="1">
      <x v="587"/>
      <x v="587"/>
      <x v="26"/>
    </i>
    <i r="1">
      <x v="588"/>
      <x v="588"/>
      <x v="26"/>
    </i>
    <i r="1">
      <x v="589"/>
      <x v="589"/>
      <x v="26"/>
    </i>
    <i r="1">
      <x v="590"/>
      <x v="590"/>
      <x v="26"/>
    </i>
    <i r="1">
      <x v="591"/>
      <x v="591"/>
      <x v="26"/>
    </i>
    <i r="1">
      <x v="592"/>
      <x v="592"/>
      <x v="26"/>
    </i>
    <i r="1">
      <x v="593"/>
      <x v="593"/>
      <x v="32"/>
    </i>
    <i r="1">
      <x v="594"/>
      <x v="594"/>
      <x v="22"/>
    </i>
    <i r="1">
      <x v="595"/>
      <x v="595"/>
      <x v="22"/>
    </i>
    <i r="1">
      <x v="596"/>
      <x v="596"/>
      <x v="36"/>
    </i>
    <i r="1">
      <x v="597"/>
      <x v="597"/>
      <x v="37"/>
    </i>
    <i r="1">
      <x v="598"/>
      <x v="598"/>
      <x v="38"/>
    </i>
  </rowItems>
  <colItems count="1">
    <i/>
  </colItems>
  <dataFields count="1">
    <dataField name="Soma de QTDE_EM_ABERTO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CL405"/>
  <sheetViews>
    <sheetView showGridLines="0" tabSelected="1" zoomScaleNormal="100" workbookViewId="0">
      <pane xSplit="8" ySplit="3" topLeftCell="I4" activePane="bottomRight" state="frozen"/>
      <selection pane="topRight" activeCell="J1" sqref="J1"/>
      <selection pane="bottomLeft" activeCell="A4" sqref="A4"/>
      <selection pane="bottomRight" activeCell="B12" sqref="B12"/>
    </sheetView>
  </sheetViews>
  <sheetFormatPr defaultRowHeight="10.5" x14ac:dyDescent="0.15"/>
  <cols>
    <col min="1" max="1" width="11.7109375" style="18" bestFit="1" customWidth="1"/>
    <col min="2" max="2" width="29.5703125" style="19" customWidth="1"/>
    <col min="3" max="3" width="8.5703125" style="23" customWidth="1"/>
    <col min="4" max="4" width="8.28515625" style="23" customWidth="1"/>
    <col min="5" max="5" width="8.140625" style="23" customWidth="1"/>
    <col min="6" max="6" width="7.7109375" style="23" customWidth="1"/>
    <col min="7" max="7" width="8.140625" style="23" customWidth="1"/>
    <col min="8" max="8" width="9.5703125" style="23" customWidth="1"/>
    <col min="9" max="9" width="10.5703125" style="23" customWidth="1"/>
    <col min="10" max="10" width="10.7109375" style="18" customWidth="1"/>
    <col min="11" max="11" width="22.28515625" style="19" customWidth="1"/>
    <col min="12" max="12" width="9.42578125" style="19" customWidth="1"/>
    <col min="13" max="13" width="8.42578125" style="18" customWidth="1"/>
    <col min="14" max="14" width="8.42578125" style="18" hidden="1" customWidth="1"/>
    <col min="15" max="15" width="8.42578125" style="18" customWidth="1"/>
    <col min="16" max="16" width="8.42578125" style="18" bestFit="1" customWidth="1"/>
    <col min="17" max="18" width="8.42578125" style="18" hidden="1" customWidth="1"/>
    <col min="19" max="19" width="8.42578125" style="18" customWidth="1"/>
    <col min="20" max="21" width="8.42578125" style="18" bestFit="1" customWidth="1"/>
    <col min="22" max="23" width="8.42578125" style="18" hidden="1" customWidth="1"/>
    <col min="24" max="24" width="8.42578125" style="18" bestFit="1" customWidth="1"/>
    <col min="25" max="25" width="8.42578125" style="18" customWidth="1"/>
    <col min="26" max="27" width="8.42578125" style="18" bestFit="1" customWidth="1"/>
    <col min="28" max="28" width="8.42578125" style="18" customWidth="1"/>
    <col min="29" max="36" width="8.42578125" style="18" bestFit="1" customWidth="1"/>
    <col min="37" max="39" width="8.42578125" style="18" hidden="1" customWidth="1"/>
    <col min="40" max="41" width="8.42578125" style="18" customWidth="1"/>
    <col min="42" max="45" width="8.42578125" style="18" hidden="1" customWidth="1"/>
    <col min="46" max="46" width="1.42578125" style="18" customWidth="1"/>
    <col min="47" max="50" width="0" style="18" hidden="1" customWidth="1"/>
    <col min="51" max="16384" width="9.140625" style="18"/>
  </cols>
  <sheetData>
    <row r="1" spans="1:90" ht="11.25" thickBot="1" x14ac:dyDescent="0.2">
      <c r="C1" s="19"/>
      <c r="D1" s="19"/>
      <c r="E1" s="19"/>
      <c r="F1" s="19"/>
      <c r="G1" s="19"/>
      <c r="H1" s="19"/>
      <c r="I1" s="19"/>
    </row>
    <row r="2" spans="1:90" ht="19.5" customHeight="1" thickBot="1" x14ac:dyDescent="0.2">
      <c r="B2" s="20" t="s">
        <v>10</v>
      </c>
      <c r="C2" s="21">
        <v>46057</v>
      </c>
      <c r="D2" s="21">
        <v>46059</v>
      </c>
      <c r="E2" s="21">
        <v>46066</v>
      </c>
      <c r="F2" s="21">
        <v>46073</v>
      </c>
      <c r="G2" s="21">
        <v>46081</v>
      </c>
      <c r="H2" s="21"/>
      <c r="I2" s="21"/>
      <c r="M2" s="60" t="s">
        <v>31</v>
      </c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U2" s="67" t="s">
        <v>2174</v>
      </c>
      <c r="AV2" s="67" t="s">
        <v>2175</v>
      </c>
      <c r="AW2" s="67" t="s">
        <v>2176</v>
      </c>
      <c r="AX2" s="67" t="s">
        <v>2177</v>
      </c>
      <c r="AY2" s="65" t="s">
        <v>2153</v>
      </c>
      <c r="AZ2" s="63" t="s">
        <v>2154</v>
      </c>
      <c r="BA2" s="61" t="s">
        <v>2155</v>
      </c>
      <c r="BB2" s="61" t="s">
        <v>2156</v>
      </c>
      <c r="BC2" s="61" t="s">
        <v>5619</v>
      </c>
      <c r="BD2" s="61" t="s">
        <v>5620</v>
      </c>
      <c r="BE2" s="61" t="s">
        <v>2160</v>
      </c>
      <c r="BF2" s="61" t="s">
        <v>2158</v>
      </c>
      <c r="BG2" s="61" t="s">
        <v>2157</v>
      </c>
      <c r="BH2" s="61" t="s">
        <v>5621</v>
      </c>
      <c r="BI2" s="61" t="s">
        <v>2159</v>
      </c>
      <c r="BJ2" s="63" t="s">
        <v>2164</v>
      </c>
      <c r="BK2" s="63" t="s">
        <v>2162</v>
      </c>
      <c r="BL2" s="63" t="s">
        <v>2163</v>
      </c>
      <c r="BM2" s="63" t="s">
        <v>2161</v>
      </c>
      <c r="BN2" s="61" t="s">
        <v>2165</v>
      </c>
      <c r="BO2" s="61" t="s">
        <v>2166</v>
      </c>
      <c r="BP2" s="61" t="s">
        <v>5622</v>
      </c>
      <c r="BQ2" s="61" t="s">
        <v>5623</v>
      </c>
      <c r="BR2" s="61" t="s">
        <v>2170</v>
      </c>
      <c r="BS2" s="61" t="s">
        <v>5624</v>
      </c>
      <c r="BT2" s="61" t="s">
        <v>5625</v>
      </c>
      <c r="BU2" s="63" t="s">
        <v>2167</v>
      </c>
      <c r="BV2" s="63" t="s">
        <v>5626</v>
      </c>
      <c r="BW2" s="63" t="s">
        <v>5627</v>
      </c>
      <c r="BX2" s="63" t="s">
        <v>5628</v>
      </c>
      <c r="BY2" s="63" t="s">
        <v>5629</v>
      </c>
      <c r="BZ2" s="63" t="s">
        <v>5630</v>
      </c>
      <c r="CA2" s="61" t="s">
        <v>2168</v>
      </c>
      <c r="CB2" s="61" t="s">
        <v>5631</v>
      </c>
      <c r="CC2" s="61" t="s">
        <v>5632</v>
      </c>
      <c r="CD2" s="63" t="s">
        <v>5633</v>
      </c>
      <c r="CE2" s="63" t="s">
        <v>2169</v>
      </c>
      <c r="CF2" s="63" t="s">
        <v>2171</v>
      </c>
      <c r="CG2" s="63" t="s">
        <v>2172</v>
      </c>
      <c r="CH2" s="63" t="s">
        <v>2173</v>
      </c>
      <c r="CI2" s="63" t="s">
        <v>5634</v>
      </c>
      <c r="CJ2" s="63" t="s">
        <v>2174</v>
      </c>
      <c r="CK2" s="63" t="s">
        <v>5635</v>
      </c>
      <c r="CL2" s="68" t="s">
        <v>5636</v>
      </c>
    </row>
    <row r="3" spans="1:90" s="22" customFormat="1" ht="56.25" customHeight="1" x14ac:dyDescent="0.25">
      <c r="A3" s="44" t="s">
        <v>0</v>
      </c>
      <c r="B3" s="32" t="s">
        <v>1</v>
      </c>
      <c r="C3" s="33" t="s">
        <v>3</v>
      </c>
      <c r="D3" s="33" t="s">
        <v>4</v>
      </c>
      <c r="E3" s="33" t="s">
        <v>5</v>
      </c>
      <c r="F3" s="33" t="s">
        <v>6</v>
      </c>
      <c r="G3" s="33" t="s">
        <v>7</v>
      </c>
      <c r="H3" s="34" t="s">
        <v>458</v>
      </c>
      <c r="I3" s="34" t="s">
        <v>176</v>
      </c>
      <c r="J3" s="34" t="s">
        <v>8</v>
      </c>
      <c r="K3" s="34" t="s">
        <v>32</v>
      </c>
      <c r="L3" s="32" t="s">
        <v>9</v>
      </c>
      <c r="M3" s="45" t="s">
        <v>118</v>
      </c>
      <c r="N3" s="45" t="s">
        <v>139</v>
      </c>
      <c r="O3" s="45" t="s">
        <v>140</v>
      </c>
      <c r="P3" s="45" t="s">
        <v>141</v>
      </c>
      <c r="Q3" s="45" t="s">
        <v>302</v>
      </c>
      <c r="R3" s="45" t="s">
        <v>303</v>
      </c>
      <c r="S3" s="45" t="s">
        <v>318</v>
      </c>
      <c r="T3" s="45" t="s">
        <v>461</v>
      </c>
      <c r="U3" s="45" t="s">
        <v>488</v>
      </c>
      <c r="V3" s="45" t="s">
        <v>489</v>
      </c>
      <c r="W3" s="45" t="s">
        <v>723</v>
      </c>
      <c r="X3" s="45" t="s">
        <v>725</v>
      </c>
      <c r="Y3" s="46" t="s">
        <v>748</v>
      </c>
      <c r="Z3" s="45" t="s">
        <v>853</v>
      </c>
      <c r="AA3" s="45" t="s">
        <v>895</v>
      </c>
      <c r="AB3" s="45" t="s">
        <v>960</v>
      </c>
      <c r="AC3" s="45" t="s">
        <v>961</v>
      </c>
      <c r="AD3" s="45" t="s">
        <v>962</v>
      </c>
      <c r="AE3" s="45" t="s">
        <v>984</v>
      </c>
      <c r="AF3" s="45" t="s">
        <v>1791</v>
      </c>
      <c r="AG3" s="45" t="s">
        <v>1804</v>
      </c>
      <c r="AH3" s="45" t="s">
        <v>1809</v>
      </c>
      <c r="AI3" s="45" t="s">
        <v>1846</v>
      </c>
      <c r="AJ3" s="45" t="s">
        <v>1858</v>
      </c>
      <c r="AK3" s="45" t="s">
        <v>5561</v>
      </c>
      <c r="AL3" s="45" t="s">
        <v>5617</v>
      </c>
      <c r="AM3" s="45" t="s">
        <v>5618</v>
      </c>
      <c r="AN3" s="45" t="s">
        <v>1846</v>
      </c>
      <c r="AO3" s="45" t="s">
        <v>1858</v>
      </c>
      <c r="AP3" s="45" t="s">
        <v>2150</v>
      </c>
      <c r="AQ3" s="45"/>
      <c r="AR3" s="45"/>
      <c r="AS3" s="47"/>
      <c r="AU3" s="67"/>
      <c r="AV3" s="67"/>
      <c r="AW3" s="67"/>
      <c r="AX3" s="67"/>
      <c r="AY3" s="66"/>
      <c r="AZ3" s="64"/>
      <c r="BA3" s="62"/>
      <c r="BB3" s="62"/>
      <c r="BC3" s="62"/>
      <c r="BD3" s="62"/>
      <c r="BE3" s="62"/>
      <c r="BF3" s="62"/>
      <c r="BG3" s="62"/>
      <c r="BH3" s="62"/>
      <c r="BI3" s="62"/>
      <c r="BJ3" s="64"/>
      <c r="BK3" s="64"/>
      <c r="BL3" s="64"/>
      <c r="BM3" s="64"/>
      <c r="BN3" s="62"/>
      <c r="BO3" s="62"/>
      <c r="BP3" s="62"/>
      <c r="BQ3" s="62"/>
      <c r="BR3" s="62"/>
      <c r="BS3" s="62"/>
      <c r="BT3" s="62"/>
      <c r="BU3" s="64"/>
      <c r="BV3" s="64"/>
      <c r="BW3" s="64"/>
      <c r="BX3" s="64"/>
      <c r="BY3" s="64"/>
      <c r="BZ3" s="64"/>
      <c r="CA3" s="62"/>
      <c r="CB3" s="62"/>
      <c r="CC3" s="62"/>
      <c r="CD3" s="64"/>
      <c r="CE3" s="64"/>
      <c r="CF3" s="64"/>
      <c r="CG3" s="64"/>
      <c r="CH3" s="64"/>
      <c r="CI3" s="64"/>
      <c r="CJ3" s="64"/>
      <c r="CK3" s="64"/>
      <c r="CL3" s="69"/>
    </row>
    <row r="4" spans="1:90" ht="21" x14ac:dyDescent="0.15">
      <c r="A4" s="27" t="s">
        <v>726</v>
      </c>
      <c r="B4" s="28" t="s">
        <v>727</v>
      </c>
      <c r="C4" s="28">
        <v>0</v>
      </c>
      <c r="D4" s="28">
        <v>0</v>
      </c>
      <c r="E4" s="28">
        <v>0</v>
      </c>
      <c r="F4" s="28">
        <v>0</v>
      </c>
      <c r="G4" s="28">
        <v>6</v>
      </c>
      <c r="H4" s="28">
        <f>IFERROR(VLOOKUP(A4,[1]FALTANTES!$A:$AB,28,FALSE),"-")</f>
        <v>0</v>
      </c>
      <c r="I4" s="42">
        <f>IFERROR(VLOOKUP(A4,[1]FALTANTES!$A:$AC,29,FALSE),"-")</f>
        <v>0</v>
      </c>
      <c r="J4" s="29">
        <f>IFERROR(VLOOKUP(A4,[1]FALTANTES!$A:$AD,30,FALSE),"-")</f>
        <v>-6</v>
      </c>
      <c r="K4" s="30">
        <v>0</v>
      </c>
      <c r="L4" s="30">
        <f t="shared" ref="L4:L62" si="0">SUM(M4:AS4)</f>
        <v>6</v>
      </c>
      <c r="M4" s="31">
        <f>SUMIFS(METALFISA!$E:$E,METALFISA!$A:$A,'Faltantes Fevereiro- Metalfisa'!M$3,METALFISA!$B:$B,'Faltantes Fevereiro- Metalfisa'!$A4)</f>
        <v>0</v>
      </c>
      <c r="N4" s="31">
        <f>SUMIFS(METALFISA!$E:$E,METALFISA!$A:$A,'Faltantes Fevereiro- Metalfisa'!N$3,METALFISA!$B:$B,'Faltantes Fevereiro- Metalfisa'!$A4)</f>
        <v>0</v>
      </c>
      <c r="O4" s="31">
        <f>SUMIFS(METALFISA!$E:$E,METALFISA!$A:$A,'Faltantes Fevereiro- Metalfisa'!O$3,METALFISA!$B:$B,'Faltantes Fevereiro- Metalfisa'!$A4)</f>
        <v>0</v>
      </c>
      <c r="P4" s="31">
        <f>SUMIFS(METALFISA!$E:$E,METALFISA!$A:$A,'Faltantes Fevereiro- Metalfisa'!P$3,METALFISA!$B:$B,'Faltantes Fevereiro- Metalfisa'!$A4)</f>
        <v>0</v>
      </c>
      <c r="Q4" s="31">
        <f>SUMIFS(METALFISA!$E:$E,METALFISA!$A:$A,'Faltantes Fevereiro- Metalfisa'!Q$3,METALFISA!$B:$B,'Faltantes Fevereiro- Metalfisa'!$A4)</f>
        <v>0</v>
      </c>
      <c r="R4" s="31">
        <f>SUMIFS(METALFISA!$E:$E,METALFISA!$A:$A,'Faltantes Fevereiro- Metalfisa'!R$3,METALFISA!$B:$B,'Faltantes Fevereiro- Metalfisa'!$A4)</f>
        <v>0</v>
      </c>
      <c r="S4" s="31">
        <f>SUMIFS(METALFISA!$E:$E,METALFISA!$A:$A,'Faltantes Fevereiro- Metalfisa'!S$3,METALFISA!$B:$B,'Faltantes Fevereiro- Metalfisa'!$A4)</f>
        <v>0</v>
      </c>
      <c r="T4" s="31">
        <f>SUMIFS(METALFISA!$E:$E,METALFISA!$A:$A,'Faltantes Fevereiro- Metalfisa'!T$3,METALFISA!$B:$B,'Faltantes Fevereiro- Metalfisa'!$A4)</f>
        <v>0</v>
      </c>
      <c r="U4" s="31">
        <f>SUMIFS(METALFISA!$E:$E,METALFISA!$A:$A,'Faltantes Fevereiro- Metalfisa'!U$3,METALFISA!$B:$B,'Faltantes Fevereiro- Metalfisa'!$A4)</f>
        <v>0</v>
      </c>
      <c r="V4" s="31">
        <f>SUMIFS(METALFISA!$E:$E,METALFISA!$A:$A,'Faltantes Fevereiro- Metalfisa'!V$3,METALFISA!$B:$B,'Faltantes Fevereiro- Metalfisa'!$A4)</f>
        <v>0</v>
      </c>
      <c r="W4" s="31">
        <f>SUMIFS(METALFISA!$E:$E,METALFISA!$A:$A,'Faltantes Fevereiro- Metalfisa'!W$3,METALFISA!$B:$B,'Faltantes Fevereiro- Metalfisa'!$A4)</f>
        <v>0</v>
      </c>
      <c r="X4" s="31">
        <f>SUMIFS(METALFISA!$E:$E,METALFISA!$A:$A,'Faltantes Fevereiro- Metalfisa'!X$3,METALFISA!$B:$B,'Faltantes Fevereiro- Metalfisa'!$A4)</f>
        <v>0</v>
      </c>
      <c r="Y4" s="31">
        <f>SUMIFS(METALFISA!$E:$E,METALFISA!$A:$A,'Faltantes Fevereiro- Metalfisa'!Y$3,METALFISA!$B:$B,'Faltantes Fevereiro- Metalfisa'!$A4)</f>
        <v>0</v>
      </c>
      <c r="Z4" s="31">
        <f>SUMIFS(METALFISA!$E:$E,METALFISA!$A:$A,'Faltantes Fevereiro- Metalfisa'!Z$3,METALFISA!$B:$B,'Faltantes Fevereiro- Metalfisa'!$A4)</f>
        <v>0</v>
      </c>
      <c r="AA4" s="31">
        <f>SUMIFS(METALFISA!$E:$E,METALFISA!$A:$A,'Faltantes Fevereiro- Metalfisa'!AA$3,METALFISA!$B:$B,'Faltantes Fevereiro- Metalfisa'!$A4)</f>
        <v>0</v>
      </c>
      <c r="AB4" s="31">
        <f>SUMIFS(METALFISA!$E:$E,METALFISA!$A:$A,'Faltantes Fevereiro- Metalfisa'!AB$3,METALFISA!$B:$B,'Faltantes Fevereiro- Metalfisa'!$A4)</f>
        <v>0</v>
      </c>
      <c r="AC4" s="31">
        <f>SUMIFS(METALFISA!$E:$E,METALFISA!$A:$A,'Faltantes Fevereiro- Metalfisa'!AC$3,METALFISA!$B:$B,'Faltantes Fevereiro- Metalfisa'!$A4)</f>
        <v>2</v>
      </c>
      <c r="AD4" s="31">
        <f>SUMIFS(METALFISA!$E:$E,METALFISA!$A:$A,'Faltantes Fevereiro- Metalfisa'!AD$3,METALFISA!$B:$B,'Faltantes Fevereiro- Metalfisa'!$A4)</f>
        <v>0</v>
      </c>
      <c r="AE4" s="31">
        <f>SUMIFS(METALFISA!$E:$E,METALFISA!$A:$A,'Faltantes Fevereiro- Metalfisa'!AE$3,METALFISA!$B:$B,'Faltantes Fevereiro- Metalfisa'!$A4)</f>
        <v>0</v>
      </c>
      <c r="AF4" s="31">
        <f>SUMIFS(METALFISA!$E:$E,METALFISA!$A:$A,'Faltantes Fevereiro- Metalfisa'!AF$3,METALFISA!$B:$B,'Faltantes Fevereiro- Metalfisa'!$A4)</f>
        <v>0</v>
      </c>
      <c r="AG4" s="31">
        <f>SUMIFS(METALFISA!$E:$E,METALFISA!$A:$A,'Faltantes Fevereiro- Metalfisa'!AG$3,METALFISA!$B:$B,'Faltantes Fevereiro- Metalfisa'!$A4)</f>
        <v>4</v>
      </c>
      <c r="AH4" s="31">
        <f>SUMIFS(METALFISA!$E:$E,METALFISA!$A:$A,'Faltantes Fevereiro- Metalfisa'!AH$3,METALFISA!$B:$B,'Faltantes Fevereiro- Metalfisa'!$A4)</f>
        <v>0</v>
      </c>
      <c r="AI4" s="31">
        <f>SUMIFS(METALFISA!$E:$E,METALFISA!$A:$A,'Faltantes Fevereiro- Metalfisa'!AI$3,METALFISA!$B:$B,'Faltantes Fevereiro- Metalfisa'!$A4)</f>
        <v>0</v>
      </c>
      <c r="AJ4" s="31">
        <f>SUMIFS(METALFISA!$E:$E,METALFISA!$A:$A,'Faltantes Fevereiro- Metalfisa'!AJ$3,METALFISA!$B:$B,'Faltantes Fevereiro- Metalfisa'!$A4)</f>
        <v>0</v>
      </c>
      <c r="AK4" s="31">
        <f>SUMIFS(METALFISA!$E:$E,METALFISA!$A:$A,'Faltantes Fevereiro- Metalfisa'!AK$3,METALFISA!$B:$B,'Faltantes Fevereiro- Metalfisa'!$A4)</f>
        <v>0</v>
      </c>
      <c r="AL4" s="31">
        <f>SUMIFS(METALFISA!$E:$E,METALFISA!$A:$A,'Faltantes Fevereiro- Metalfisa'!AL$3,METALFISA!$B:$B,'Faltantes Fevereiro- Metalfisa'!$A4)</f>
        <v>0</v>
      </c>
      <c r="AM4" s="31">
        <f>SUMIFS(METALFISA!$E:$E,METALFISA!$A:$A,'Faltantes Fevereiro- Metalfisa'!AM$3,METALFISA!$B:$B,'Faltantes Fevereiro- Metalfisa'!$A4)</f>
        <v>0</v>
      </c>
      <c r="AN4" s="31">
        <f>SUMIFS(METALFISA!$E:$E,METALFISA!$A:$A,'Faltantes Fevereiro- Metalfisa'!AN$3,METALFISA!$B:$B,'Faltantes Fevereiro- Metalfisa'!$A4)</f>
        <v>0</v>
      </c>
      <c r="AO4" s="31">
        <f>SUMIFS(METALFISA!$E:$E,METALFISA!$A:$A,'Faltantes Fevereiro- Metalfisa'!AO$3,METALFISA!$B:$B,'Faltantes Fevereiro- Metalfisa'!$A4)</f>
        <v>0</v>
      </c>
      <c r="AP4" s="31">
        <f>SUMIFS(METALFISA!$E:$E,METALFISA!$A:$A,'Faltantes Fevereiro- Metalfisa'!AP$3,METALFISA!$B:$B,'Faltantes Fevereiro- Metalfisa'!$A4)</f>
        <v>0</v>
      </c>
      <c r="AQ4" s="31"/>
      <c r="AR4" s="31">
        <f>SUMIFS(METALFISA!$E:$E,METALFISA!$A:$A,'Faltantes Fevereiro- Metalfisa'!AR$3,METALFISA!$B:$B,'Faltantes Fevereiro- Metalfisa'!$A4)</f>
        <v>0</v>
      </c>
      <c r="AS4" s="35">
        <f>SUMIFS(METALFISA!$E:$E,METALFISA!$A:$A,'Faltantes Fevereiro- Metalfisa'!AS$3,METALFISA!$B:$B,'Faltantes Fevereiro- Metalfisa'!$A4)</f>
        <v>0</v>
      </c>
      <c r="AU4" s="18">
        <v>0</v>
      </c>
      <c r="AV4" s="18">
        <v>0</v>
      </c>
      <c r="AW4" s="18">
        <v>0</v>
      </c>
      <c r="AX4" s="18">
        <v>0</v>
      </c>
      <c r="AY4" s="41">
        <v>0</v>
      </c>
      <c r="AZ4" s="31">
        <v>0</v>
      </c>
      <c r="BA4" s="31">
        <v>0</v>
      </c>
      <c r="BB4" s="31">
        <v>0</v>
      </c>
      <c r="BC4" s="31">
        <v>0</v>
      </c>
      <c r="BD4" s="31">
        <v>0</v>
      </c>
      <c r="BE4" s="31">
        <v>0</v>
      </c>
      <c r="BF4" s="31">
        <v>0</v>
      </c>
      <c r="BG4" s="31">
        <v>0</v>
      </c>
      <c r="BH4" s="31">
        <v>0</v>
      </c>
      <c r="BI4" s="31">
        <v>0</v>
      </c>
      <c r="BJ4" s="31">
        <v>0</v>
      </c>
      <c r="BK4" s="31">
        <v>0</v>
      </c>
      <c r="BL4" s="31">
        <v>0</v>
      </c>
      <c r="BM4" s="31">
        <v>2</v>
      </c>
      <c r="BN4" s="31">
        <v>0</v>
      </c>
      <c r="BO4" s="31">
        <v>0</v>
      </c>
      <c r="BP4" s="31">
        <v>0</v>
      </c>
      <c r="BQ4" s="31">
        <v>0</v>
      </c>
      <c r="BR4" s="31">
        <v>0</v>
      </c>
      <c r="BS4" s="31">
        <v>0</v>
      </c>
      <c r="BT4" s="31">
        <v>0</v>
      </c>
      <c r="BU4" s="31">
        <v>0</v>
      </c>
      <c r="BV4" s="31">
        <v>0</v>
      </c>
      <c r="BW4" s="31">
        <v>0</v>
      </c>
      <c r="BX4" s="31">
        <v>0</v>
      </c>
      <c r="BY4" s="31">
        <v>0</v>
      </c>
      <c r="BZ4" s="31">
        <v>0</v>
      </c>
      <c r="CA4" s="31">
        <v>0</v>
      </c>
      <c r="CB4" s="31">
        <v>0</v>
      </c>
      <c r="CC4" s="31">
        <v>0</v>
      </c>
      <c r="CD4" s="31">
        <v>0</v>
      </c>
      <c r="CE4" s="31">
        <v>0</v>
      </c>
      <c r="CF4" s="31">
        <v>0</v>
      </c>
      <c r="CG4" s="31">
        <v>0</v>
      </c>
      <c r="CH4" s="31">
        <v>0</v>
      </c>
      <c r="CI4" s="31">
        <v>0</v>
      </c>
      <c r="CJ4" s="31">
        <v>0</v>
      </c>
      <c r="CK4" s="31">
        <v>0</v>
      </c>
      <c r="CL4" s="35">
        <v>0</v>
      </c>
    </row>
    <row r="5" spans="1:90" x14ac:dyDescent="0.15">
      <c r="A5" s="27" t="s">
        <v>521</v>
      </c>
      <c r="B5" s="28" t="s">
        <v>522</v>
      </c>
      <c r="C5" s="28">
        <v>0</v>
      </c>
      <c r="D5" s="28">
        <v>0</v>
      </c>
      <c r="E5" s="28">
        <v>0</v>
      </c>
      <c r="F5" s="28">
        <v>0</v>
      </c>
      <c r="G5" s="28">
        <v>2</v>
      </c>
      <c r="H5" s="28">
        <f>IFERROR(VLOOKUP(A5,[1]FALTANTES!$A:$AB,28,FALSE),"-")</f>
        <v>0</v>
      </c>
      <c r="I5" s="42">
        <f>IFERROR(VLOOKUP(A5,[1]FALTANTES!$A:$AC,29,FALSE),"-")</f>
        <v>0</v>
      </c>
      <c r="J5" s="29">
        <f>IFERROR(VLOOKUP(A5,[1]FALTANTES!$A:$AD,30,FALSE),"-")</f>
        <v>-2</v>
      </c>
      <c r="K5" s="30">
        <v>0</v>
      </c>
      <c r="L5" s="30">
        <f t="shared" si="0"/>
        <v>2</v>
      </c>
      <c r="M5" s="31">
        <f>SUMIFS(METALFISA!$E:$E,METALFISA!$A:$A,'Faltantes Fevereiro- Metalfisa'!M$3,METALFISA!$B:$B,'Faltantes Fevereiro- Metalfisa'!$A5)</f>
        <v>0</v>
      </c>
      <c r="N5" s="31">
        <f>SUMIFS(METALFISA!$E:$E,METALFISA!$A:$A,'Faltantes Fevereiro- Metalfisa'!N$3,METALFISA!$B:$B,'Faltantes Fevereiro- Metalfisa'!$A5)</f>
        <v>0</v>
      </c>
      <c r="O5" s="31">
        <f>SUMIFS(METALFISA!$E:$E,METALFISA!$A:$A,'Faltantes Fevereiro- Metalfisa'!O$3,METALFISA!$B:$B,'Faltantes Fevereiro- Metalfisa'!$A5)</f>
        <v>0</v>
      </c>
      <c r="P5" s="31">
        <f>SUMIFS(METALFISA!$E:$E,METALFISA!$A:$A,'Faltantes Fevereiro- Metalfisa'!P$3,METALFISA!$B:$B,'Faltantes Fevereiro- Metalfisa'!$A5)</f>
        <v>0</v>
      </c>
      <c r="Q5" s="31">
        <f>SUMIFS(METALFISA!$E:$E,METALFISA!$A:$A,'Faltantes Fevereiro- Metalfisa'!Q$3,METALFISA!$B:$B,'Faltantes Fevereiro- Metalfisa'!$A5)</f>
        <v>0</v>
      </c>
      <c r="R5" s="31">
        <f>SUMIFS(METALFISA!$E:$E,METALFISA!$A:$A,'Faltantes Fevereiro- Metalfisa'!R$3,METALFISA!$B:$B,'Faltantes Fevereiro- Metalfisa'!$A5)</f>
        <v>0</v>
      </c>
      <c r="S5" s="31">
        <f>SUMIFS(METALFISA!$E:$E,METALFISA!$A:$A,'Faltantes Fevereiro- Metalfisa'!S$3,METALFISA!$B:$B,'Faltantes Fevereiro- Metalfisa'!$A5)</f>
        <v>0</v>
      </c>
      <c r="T5" s="31">
        <f>SUMIFS(METALFISA!$E:$E,METALFISA!$A:$A,'Faltantes Fevereiro- Metalfisa'!T$3,METALFISA!$B:$B,'Faltantes Fevereiro- Metalfisa'!$A5)</f>
        <v>0</v>
      </c>
      <c r="U5" s="31">
        <f>SUMIFS(METALFISA!$E:$E,METALFISA!$A:$A,'Faltantes Fevereiro- Metalfisa'!U$3,METALFISA!$B:$B,'Faltantes Fevereiro- Metalfisa'!$A5)</f>
        <v>0</v>
      </c>
      <c r="V5" s="31">
        <f>SUMIFS(METALFISA!$E:$E,METALFISA!$A:$A,'Faltantes Fevereiro- Metalfisa'!V$3,METALFISA!$B:$B,'Faltantes Fevereiro- Metalfisa'!$A5)</f>
        <v>0</v>
      </c>
      <c r="W5" s="31">
        <f>SUMIFS(METALFISA!$E:$E,METALFISA!$A:$A,'Faltantes Fevereiro- Metalfisa'!W$3,METALFISA!$B:$B,'Faltantes Fevereiro- Metalfisa'!$A5)</f>
        <v>0</v>
      </c>
      <c r="X5" s="31">
        <f>SUMIFS(METALFISA!$E:$E,METALFISA!$A:$A,'Faltantes Fevereiro- Metalfisa'!X$3,METALFISA!$B:$B,'Faltantes Fevereiro- Metalfisa'!$A5)</f>
        <v>0</v>
      </c>
      <c r="Y5" s="31">
        <f>SUMIFS(METALFISA!$E:$E,METALFISA!$A:$A,'Faltantes Fevereiro- Metalfisa'!Y$3,METALFISA!$B:$B,'Faltantes Fevereiro- Metalfisa'!$A5)</f>
        <v>0</v>
      </c>
      <c r="Z5" s="31">
        <f>SUMIFS(METALFISA!$E:$E,METALFISA!$A:$A,'Faltantes Fevereiro- Metalfisa'!Z$3,METALFISA!$B:$B,'Faltantes Fevereiro- Metalfisa'!$A5)</f>
        <v>0</v>
      </c>
      <c r="AA5" s="31">
        <f>SUMIFS(METALFISA!$E:$E,METALFISA!$A:$A,'Faltantes Fevereiro- Metalfisa'!AA$3,METALFISA!$B:$B,'Faltantes Fevereiro- Metalfisa'!$A5)</f>
        <v>0</v>
      </c>
      <c r="AB5" s="31">
        <f>SUMIFS(METALFISA!$E:$E,METALFISA!$A:$A,'Faltantes Fevereiro- Metalfisa'!AB$3,METALFISA!$B:$B,'Faltantes Fevereiro- Metalfisa'!$A5)</f>
        <v>0</v>
      </c>
      <c r="AC5" s="31">
        <f>SUMIFS(METALFISA!$E:$E,METALFISA!$A:$A,'Faltantes Fevereiro- Metalfisa'!AC$3,METALFISA!$B:$B,'Faltantes Fevereiro- Metalfisa'!$A5)</f>
        <v>0</v>
      </c>
      <c r="AD5" s="31">
        <f>SUMIFS(METALFISA!$E:$E,METALFISA!$A:$A,'Faltantes Fevereiro- Metalfisa'!AD$3,METALFISA!$B:$B,'Faltantes Fevereiro- Metalfisa'!$A5)</f>
        <v>0</v>
      </c>
      <c r="AE5" s="31">
        <f>SUMIFS(METALFISA!$E:$E,METALFISA!$A:$A,'Faltantes Fevereiro- Metalfisa'!AE$3,METALFISA!$B:$B,'Faltantes Fevereiro- Metalfisa'!$A5)</f>
        <v>0</v>
      </c>
      <c r="AF5" s="31">
        <f>SUMIFS(METALFISA!$E:$E,METALFISA!$A:$A,'Faltantes Fevereiro- Metalfisa'!AF$3,METALFISA!$B:$B,'Faltantes Fevereiro- Metalfisa'!$A5)</f>
        <v>0</v>
      </c>
      <c r="AG5" s="31">
        <f>SUMIFS(METALFISA!$E:$E,METALFISA!$A:$A,'Faltantes Fevereiro- Metalfisa'!AG$3,METALFISA!$B:$B,'Faltantes Fevereiro- Metalfisa'!$A5)</f>
        <v>1</v>
      </c>
      <c r="AH5" s="31">
        <f>SUMIFS(METALFISA!$E:$E,METALFISA!$A:$A,'Faltantes Fevereiro- Metalfisa'!AH$3,METALFISA!$B:$B,'Faltantes Fevereiro- Metalfisa'!$A5)</f>
        <v>0</v>
      </c>
      <c r="AI5" s="31">
        <f>SUMIFS(METALFISA!$E:$E,METALFISA!$A:$A,'Faltantes Fevereiro- Metalfisa'!AI$3,METALFISA!$B:$B,'Faltantes Fevereiro- Metalfisa'!$A5)</f>
        <v>0</v>
      </c>
      <c r="AJ5" s="31">
        <f>SUMIFS(METALFISA!$E:$E,METALFISA!$A:$A,'Faltantes Fevereiro- Metalfisa'!AJ$3,METALFISA!$B:$B,'Faltantes Fevereiro- Metalfisa'!$A5)</f>
        <v>0</v>
      </c>
      <c r="AK5" s="31">
        <f>SUMIFS(METALFISA!$E:$E,METALFISA!$A:$A,'Faltantes Fevereiro- Metalfisa'!AK$3,METALFISA!$B:$B,'Faltantes Fevereiro- Metalfisa'!$A5)</f>
        <v>0</v>
      </c>
      <c r="AL5" s="31">
        <f>SUMIFS(METALFISA!$E:$E,METALFISA!$A:$A,'Faltantes Fevereiro- Metalfisa'!AL$3,METALFISA!$B:$B,'Faltantes Fevereiro- Metalfisa'!$A5)</f>
        <v>0</v>
      </c>
      <c r="AM5" s="31">
        <f>SUMIFS(METALFISA!$E:$E,METALFISA!$A:$A,'Faltantes Fevereiro- Metalfisa'!AM$3,METALFISA!$B:$B,'Faltantes Fevereiro- Metalfisa'!$A5)</f>
        <v>1</v>
      </c>
      <c r="AN5" s="31">
        <f>SUMIFS(METALFISA!$E:$E,METALFISA!$A:$A,'Faltantes Fevereiro- Metalfisa'!AN$3,METALFISA!$B:$B,'Faltantes Fevereiro- Metalfisa'!$A5)</f>
        <v>0</v>
      </c>
      <c r="AO5" s="31">
        <f>SUMIFS(METALFISA!$E:$E,METALFISA!$A:$A,'Faltantes Fevereiro- Metalfisa'!AO$3,METALFISA!$B:$B,'Faltantes Fevereiro- Metalfisa'!$A5)</f>
        <v>0</v>
      </c>
      <c r="AP5" s="31">
        <f>SUMIFS(METALFISA!$E:$E,METALFISA!$A:$A,'Faltantes Fevereiro- Metalfisa'!AP$3,METALFISA!$B:$B,'Faltantes Fevereiro- Metalfisa'!$A5)</f>
        <v>0</v>
      </c>
      <c r="AQ5" s="31"/>
      <c r="AR5" s="31">
        <f>SUMIFS(METALFISA!$E:$E,METALFISA!$A:$A,'Faltantes Fevereiro- Metalfisa'!AR$3,METALFISA!$B:$B,'Faltantes Fevereiro- Metalfisa'!$A5)</f>
        <v>0</v>
      </c>
      <c r="AS5" s="35">
        <f>SUMIFS(METALFISA!$E:$E,METALFISA!$A:$A,'Faltantes Fevereiro- Metalfisa'!AS$3,METALFISA!$B:$B,'Faltantes Fevereiro- Metalfisa'!$A5)</f>
        <v>0</v>
      </c>
      <c r="AU5" s="18">
        <v>0</v>
      </c>
      <c r="AV5" s="18">
        <v>0</v>
      </c>
      <c r="AW5" s="18">
        <v>0</v>
      </c>
      <c r="AX5" s="18">
        <v>0</v>
      </c>
      <c r="AY5" s="41">
        <v>0</v>
      </c>
      <c r="AZ5" s="31">
        <v>0</v>
      </c>
      <c r="BA5" s="31">
        <v>0</v>
      </c>
      <c r="BB5" s="31">
        <v>0</v>
      </c>
      <c r="BC5" s="31">
        <v>0</v>
      </c>
      <c r="BD5" s="31">
        <v>0</v>
      </c>
      <c r="BE5" s="31">
        <v>0</v>
      </c>
      <c r="BF5" s="31">
        <v>0</v>
      </c>
      <c r="BG5" s="31">
        <v>0</v>
      </c>
      <c r="BH5" s="31">
        <v>0</v>
      </c>
      <c r="BI5" s="31">
        <v>0</v>
      </c>
      <c r="BJ5" s="31">
        <v>0</v>
      </c>
      <c r="BK5" s="31">
        <v>0</v>
      </c>
      <c r="BL5" s="31">
        <v>0</v>
      </c>
      <c r="BM5" s="31">
        <v>1</v>
      </c>
      <c r="BN5" s="31">
        <v>0</v>
      </c>
      <c r="BO5" s="31">
        <v>0</v>
      </c>
      <c r="BP5" s="31">
        <v>0</v>
      </c>
      <c r="BQ5" s="31">
        <v>0</v>
      </c>
      <c r="BR5" s="31">
        <v>0</v>
      </c>
      <c r="BS5" s="31">
        <v>0</v>
      </c>
      <c r="BT5" s="31">
        <v>0</v>
      </c>
      <c r="BU5" s="31">
        <v>0</v>
      </c>
      <c r="BV5" s="31">
        <v>0</v>
      </c>
      <c r="BW5" s="31">
        <v>0</v>
      </c>
      <c r="BX5" s="31">
        <v>0</v>
      </c>
      <c r="BY5" s="31">
        <v>0</v>
      </c>
      <c r="BZ5" s="31">
        <v>0</v>
      </c>
      <c r="CA5" s="31">
        <v>0</v>
      </c>
      <c r="CB5" s="31">
        <v>0</v>
      </c>
      <c r="CC5" s="31">
        <v>0</v>
      </c>
      <c r="CD5" s="31">
        <v>0</v>
      </c>
      <c r="CE5" s="31">
        <v>0</v>
      </c>
      <c r="CF5" s="31">
        <v>0</v>
      </c>
      <c r="CG5" s="31">
        <v>0</v>
      </c>
      <c r="CH5" s="31">
        <v>0</v>
      </c>
      <c r="CI5" s="31">
        <v>0</v>
      </c>
      <c r="CJ5" s="31">
        <v>0</v>
      </c>
      <c r="CK5" s="31">
        <v>0</v>
      </c>
      <c r="CL5" s="35">
        <v>0</v>
      </c>
    </row>
    <row r="6" spans="1:90" ht="21" x14ac:dyDescent="0.15">
      <c r="A6" s="27" t="s">
        <v>523</v>
      </c>
      <c r="B6" s="28" t="s">
        <v>524</v>
      </c>
      <c r="C6" s="28">
        <v>0</v>
      </c>
      <c r="D6" s="28">
        <v>0</v>
      </c>
      <c r="E6" s="28">
        <v>0</v>
      </c>
      <c r="F6" s="28">
        <v>0</v>
      </c>
      <c r="G6" s="28">
        <v>6</v>
      </c>
      <c r="H6" s="28">
        <f>IFERROR(VLOOKUP(A6,[1]FALTANTES!$A:$AB,28,FALSE),"-")</f>
        <v>0</v>
      </c>
      <c r="I6" s="42">
        <f>IFERROR(VLOOKUP(A6,[1]FALTANTES!$A:$AC,29,FALSE),"-")</f>
        <v>0</v>
      </c>
      <c r="J6" s="29">
        <f>IFERROR(VLOOKUP(A6,[1]FALTANTES!$A:$AD,30,FALSE),"-")</f>
        <v>-6</v>
      </c>
      <c r="K6" s="30">
        <v>0</v>
      </c>
      <c r="L6" s="30">
        <f t="shared" si="0"/>
        <v>6</v>
      </c>
      <c r="M6" s="31">
        <f>SUMIFS(METALFISA!$E:$E,METALFISA!$A:$A,'Faltantes Fevereiro- Metalfisa'!M$3,METALFISA!$B:$B,'Faltantes Fevereiro- Metalfisa'!$A6)</f>
        <v>0</v>
      </c>
      <c r="N6" s="31">
        <f>SUMIFS(METALFISA!$E:$E,METALFISA!$A:$A,'Faltantes Fevereiro- Metalfisa'!N$3,METALFISA!$B:$B,'Faltantes Fevereiro- Metalfisa'!$A6)</f>
        <v>0</v>
      </c>
      <c r="O6" s="31">
        <f>SUMIFS(METALFISA!$E:$E,METALFISA!$A:$A,'Faltantes Fevereiro- Metalfisa'!O$3,METALFISA!$B:$B,'Faltantes Fevereiro- Metalfisa'!$A6)</f>
        <v>0</v>
      </c>
      <c r="P6" s="31">
        <f>SUMIFS(METALFISA!$E:$E,METALFISA!$A:$A,'Faltantes Fevereiro- Metalfisa'!P$3,METALFISA!$B:$B,'Faltantes Fevereiro- Metalfisa'!$A6)</f>
        <v>0</v>
      </c>
      <c r="Q6" s="31">
        <f>SUMIFS(METALFISA!$E:$E,METALFISA!$A:$A,'Faltantes Fevereiro- Metalfisa'!Q$3,METALFISA!$B:$B,'Faltantes Fevereiro- Metalfisa'!$A6)</f>
        <v>0</v>
      </c>
      <c r="R6" s="31">
        <f>SUMIFS(METALFISA!$E:$E,METALFISA!$A:$A,'Faltantes Fevereiro- Metalfisa'!R$3,METALFISA!$B:$B,'Faltantes Fevereiro- Metalfisa'!$A6)</f>
        <v>0</v>
      </c>
      <c r="S6" s="31">
        <f>SUMIFS(METALFISA!$E:$E,METALFISA!$A:$A,'Faltantes Fevereiro- Metalfisa'!S$3,METALFISA!$B:$B,'Faltantes Fevereiro- Metalfisa'!$A6)</f>
        <v>0</v>
      </c>
      <c r="T6" s="31">
        <f>SUMIFS(METALFISA!$E:$E,METALFISA!$A:$A,'Faltantes Fevereiro- Metalfisa'!T$3,METALFISA!$B:$B,'Faltantes Fevereiro- Metalfisa'!$A6)</f>
        <v>0</v>
      </c>
      <c r="U6" s="31">
        <f>SUMIFS(METALFISA!$E:$E,METALFISA!$A:$A,'Faltantes Fevereiro- Metalfisa'!U$3,METALFISA!$B:$B,'Faltantes Fevereiro- Metalfisa'!$A6)</f>
        <v>0</v>
      </c>
      <c r="V6" s="31">
        <f>SUMIFS(METALFISA!$E:$E,METALFISA!$A:$A,'Faltantes Fevereiro- Metalfisa'!V$3,METALFISA!$B:$B,'Faltantes Fevereiro- Metalfisa'!$A6)</f>
        <v>0</v>
      </c>
      <c r="W6" s="31">
        <f>SUMIFS(METALFISA!$E:$E,METALFISA!$A:$A,'Faltantes Fevereiro- Metalfisa'!W$3,METALFISA!$B:$B,'Faltantes Fevereiro- Metalfisa'!$A6)</f>
        <v>0</v>
      </c>
      <c r="X6" s="31">
        <f>SUMIFS(METALFISA!$E:$E,METALFISA!$A:$A,'Faltantes Fevereiro- Metalfisa'!X$3,METALFISA!$B:$B,'Faltantes Fevereiro- Metalfisa'!$A6)</f>
        <v>0</v>
      </c>
      <c r="Y6" s="31">
        <f>SUMIFS(METALFISA!$E:$E,METALFISA!$A:$A,'Faltantes Fevereiro- Metalfisa'!Y$3,METALFISA!$B:$B,'Faltantes Fevereiro- Metalfisa'!$A6)</f>
        <v>0</v>
      </c>
      <c r="Z6" s="31">
        <f>SUMIFS(METALFISA!$E:$E,METALFISA!$A:$A,'Faltantes Fevereiro- Metalfisa'!Z$3,METALFISA!$B:$B,'Faltantes Fevereiro- Metalfisa'!$A6)</f>
        <v>0</v>
      </c>
      <c r="AA6" s="31">
        <f>SUMIFS(METALFISA!$E:$E,METALFISA!$A:$A,'Faltantes Fevereiro- Metalfisa'!AA$3,METALFISA!$B:$B,'Faltantes Fevereiro- Metalfisa'!$A6)</f>
        <v>0</v>
      </c>
      <c r="AB6" s="31">
        <f>SUMIFS(METALFISA!$E:$E,METALFISA!$A:$A,'Faltantes Fevereiro- Metalfisa'!AB$3,METALFISA!$B:$B,'Faltantes Fevereiro- Metalfisa'!$A6)</f>
        <v>0</v>
      </c>
      <c r="AC6" s="31">
        <f>SUMIFS(METALFISA!$E:$E,METALFISA!$A:$A,'Faltantes Fevereiro- Metalfisa'!AC$3,METALFISA!$B:$B,'Faltantes Fevereiro- Metalfisa'!$A6)</f>
        <v>2</v>
      </c>
      <c r="AD6" s="31">
        <f>SUMIFS(METALFISA!$E:$E,METALFISA!$A:$A,'Faltantes Fevereiro- Metalfisa'!AD$3,METALFISA!$B:$B,'Faltantes Fevereiro- Metalfisa'!$A6)</f>
        <v>0</v>
      </c>
      <c r="AE6" s="31">
        <f>SUMIFS(METALFISA!$E:$E,METALFISA!$A:$A,'Faltantes Fevereiro- Metalfisa'!AE$3,METALFISA!$B:$B,'Faltantes Fevereiro- Metalfisa'!$A6)</f>
        <v>0</v>
      </c>
      <c r="AF6" s="31">
        <f>SUMIFS(METALFISA!$E:$E,METALFISA!$A:$A,'Faltantes Fevereiro- Metalfisa'!AF$3,METALFISA!$B:$B,'Faltantes Fevereiro- Metalfisa'!$A6)</f>
        <v>0</v>
      </c>
      <c r="AG6" s="31">
        <f>SUMIFS(METALFISA!$E:$E,METALFISA!$A:$A,'Faltantes Fevereiro- Metalfisa'!AG$3,METALFISA!$B:$B,'Faltantes Fevereiro- Metalfisa'!$A6)</f>
        <v>4</v>
      </c>
      <c r="AH6" s="31">
        <f>SUMIFS(METALFISA!$E:$E,METALFISA!$A:$A,'Faltantes Fevereiro- Metalfisa'!AH$3,METALFISA!$B:$B,'Faltantes Fevereiro- Metalfisa'!$A6)</f>
        <v>0</v>
      </c>
      <c r="AI6" s="31">
        <f>SUMIFS(METALFISA!$E:$E,METALFISA!$A:$A,'Faltantes Fevereiro- Metalfisa'!AI$3,METALFISA!$B:$B,'Faltantes Fevereiro- Metalfisa'!$A6)</f>
        <v>0</v>
      </c>
      <c r="AJ6" s="31">
        <f>SUMIFS(METALFISA!$E:$E,METALFISA!$A:$A,'Faltantes Fevereiro- Metalfisa'!AJ$3,METALFISA!$B:$B,'Faltantes Fevereiro- Metalfisa'!$A6)</f>
        <v>0</v>
      </c>
      <c r="AK6" s="31">
        <f>SUMIFS(METALFISA!$E:$E,METALFISA!$A:$A,'Faltantes Fevereiro- Metalfisa'!AK$3,METALFISA!$B:$B,'Faltantes Fevereiro- Metalfisa'!$A6)</f>
        <v>0</v>
      </c>
      <c r="AL6" s="31">
        <f>SUMIFS(METALFISA!$E:$E,METALFISA!$A:$A,'Faltantes Fevereiro- Metalfisa'!AL$3,METALFISA!$B:$B,'Faltantes Fevereiro- Metalfisa'!$A6)</f>
        <v>0</v>
      </c>
      <c r="AM6" s="31">
        <f>SUMIFS(METALFISA!$E:$E,METALFISA!$A:$A,'Faltantes Fevereiro- Metalfisa'!AM$3,METALFISA!$B:$B,'Faltantes Fevereiro- Metalfisa'!$A6)</f>
        <v>0</v>
      </c>
      <c r="AN6" s="31">
        <f>SUMIFS(METALFISA!$E:$E,METALFISA!$A:$A,'Faltantes Fevereiro- Metalfisa'!AN$3,METALFISA!$B:$B,'Faltantes Fevereiro- Metalfisa'!$A6)</f>
        <v>0</v>
      </c>
      <c r="AO6" s="31">
        <f>SUMIFS(METALFISA!$E:$E,METALFISA!$A:$A,'Faltantes Fevereiro- Metalfisa'!AO$3,METALFISA!$B:$B,'Faltantes Fevereiro- Metalfisa'!$A6)</f>
        <v>0</v>
      </c>
      <c r="AP6" s="31">
        <f>SUMIFS(METALFISA!$E:$E,METALFISA!$A:$A,'Faltantes Fevereiro- Metalfisa'!AP$3,METALFISA!$B:$B,'Faltantes Fevereiro- Metalfisa'!$A6)</f>
        <v>0</v>
      </c>
      <c r="AQ6" s="31"/>
      <c r="AR6" s="31">
        <f>SUMIFS(METALFISA!$E:$E,METALFISA!$A:$A,'Faltantes Fevereiro- Metalfisa'!AR$3,METALFISA!$B:$B,'Faltantes Fevereiro- Metalfisa'!$A6)</f>
        <v>0</v>
      </c>
      <c r="AS6" s="35">
        <f>SUMIFS(METALFISA!$E:$E,METALFISA!$A:$A,'Faltantes Fevereiro- Metalfisa'!AS$3,METALFISA!$B:$B,'Faltantes Fevereiro- Metalfisa'!$A6)</f>
        <v>0</v>
      </c>
      <c r="AU6" s="18">
        <v>0</v>
      </c>
      <c r="AV6" s="18">
        <v>0</v>
      </c>
      <c r="AW6" s="18">
        <v>0</v>
      </c>
      <c r="AX6" s="18">
        <v>0</v>
      </c>
      <c r="AY6" s="41">
        <v>0</v>
      </c>
      <c r="AZ6" s="31">
        <v>0</v>
      </c>
      <c r="BA6" s="31">
        <v>0</v>
      </c>
      <c r="BB6" s="31">
        <v>0</v>
      </c>
      <c r="BC6" s="31">
        <v>0</v>
      </c>
      <c r="BD6" s="31">
        <v>0</v>
      </c>
      <c r="BE6" s="31">
        <v>0</v>
      </c>
      <c r="BF6" s="31">
        <v>0</v>
      </c>
      <c r="BG6" s="31">
        <v>0</v>
      </c>
      <c r="BH6" s="31">
        <v>0</v>
      </c>
      <c r="BI6" s="31">
        <v>0</v>
      </c>
      <c r="BJ6" s="31">
        <v>0</v>
      </c>
      <c r="BK6" s="31">
        <v>0</v>
      </c>
      <c r="BL6" s="31">
        <v>0</v>
      </c>
      <c r="BM6" s="31">
        <v>2</v>
      </c>
      <c r="BN6" s="31">
        <v>0</v>
      </c>
      <c r="BO6" s="31">
        <v>0</v>
      </c>
      <c r="BP6" s="31">
        <v>0</v>
      </c>
      <c r="BQ6" s="31">
        <v>0</v>
      </c>
      <c r="BR6" s="31">
        <v>0</v>
      </c>
      <c r="BS6" s="31">
        <v>0</v>
      </c>
      <c r="BT6" s="31">
        <v>0</v>
      </c>
      <c r="BU6" s="31">
        <v>0</v>
      </c>
      <c r="BV6" s="31">
        <v>0</v>
      </c>
      <c r="BW6" s="31">
        <v>0</v>
      </c>
      <c r="BX6" s="31">
        <v>0</v>
      </c>
      <c r="BY6" s="31">
        <v>0</v>
      </c>
      <c r="BZ6" s="31">
        <v>0</v>
      </c>
      <c r="CA6" s="31">
        <v>0</v>
      </c>
      <c r="CB6" s="31">
        <v>0</v>
      </c>
      <c r="CC6" s="31">
        <v>0</v>
      </c>
      <c r="CD6" s="31">
        <v>0</v>
      </c>
      <c r="CE6" s="31">
        <v>0</v>
      </c>
      <c r="CF6" s="31">
        <v>0</v>
      </c>
      <c r="CG6" s="31">
        <v>0</v>
      </c>
      <c r="CH6" s="31">
        <v>0</v>
      </c>
      <c r="CI6" s="31">
        <v>0</v>
      </c>
      <c r="CJ6" s="31">
        <v>0</v>
      </c>
      <c r="CK6" s="31">
        <v>0</v>
      </c>
      <c r="CL6" s="35">
        <v>0</v>
      </c>
    </row>
    <row r="7" spans="1:90" ht="21" x14ac:dyDescent="0.15">
      <c r="A7" s="27" t="s">
        <v>525</v>
      </c>
      <c r="B7" s="28" t="s">
        <v>526</v>
      </c>
      <c r="C7" s="28">
        <v>0</v>
      </c>
      <c r="D7" s="28">
        <v>0</v>
      </c>
      <c r="E7" s="28">
        <v>0</v>
      </c>
      <c r="F7" s="28">
        <v>0</v>
      </c>
      <c r="G7" s="28">
        <v>6</v>
      </c>
      <c r="H7" s="28">
        <f>IFERROR(VLOOKUP(A7,[1]FALTANTES!$A:$AB,28,FALSE),"-")</f>
        <v>0</v>
      </c>
      <c r="I7" s="42">
        <f>IFERROR(VLOOKUP(A7,[1]FALTANTES!$A:$AC,29,FALSE),"-")</f>
        <v>0</v>
      </c>
      <c r="J7" s="29">
        <f>IFERROR(VLOOKUP(A7,[1]FALTANTES!$A:$AD,30,FALSE),"-")</f>
        <v>-6</v>
      </c>
      <c r="K7" s="30">
        <v>0</v>
      </c>
      <c r="L7" s="30">
        <f t="shared" si="0"/>
        <v>6</v>
      </c>
      <c r="M7" s="31">
        <f>SUMIFS(METALFISA!$E:$E,METALFISA!$A:$A,'Faltantes Fevereiro- Metalfisa'!M$3,METALFISA!$B:$B,'Faltantes Fevereiro- Metalfisa'!$A7)</f>
        <v>0</v>
      </c>
      <c r="N7" s="31">
        <f>SUMIFS(METALFISA!$E:$E,METALFISA!$A:$A,'Faltantes Fevereiro- Metalfisa'!N$3,METALFISA!$B:$B,'Faltantes Fevereiro- Metalfisa'!$A7)</f>
        <v>0</v>
      </c>
      <c r="O7" s="31">
        <f>SUMIFS(METALFISA!$E:$E,METALFISA!$A:$A,'Faltantes Fevereiro- Metalfisa'!O$3,METALFISA!$B:$B,'Faltantes Fevereiro- Metalfisa'!$A7)</f>
        <v>0</v>
      </c>
      <c r="P7" s="31">
        <f>SUMIFS(METALFISA!$E:$E,METALFISA!$A:$A,'Faltantes Fevereiro- Metalfisa'!P$3,METALFISA!$B:$B,'Faltantes Fevereiro- Metalfisa'!$A7)</f>
        <v>0</v>
      </c>
      <c r="Q7" s="31">
        <f>SUMIFS(METALFISA!$E:$E,METALFISA!$A:$A,'Faltantes Fevereiro- Metalfisa'!Q$3,METALFISA!$B:$B,'Faltantes Fevereiro- Metalfisa'!$A7)</f>
        <v>0</v>
      </c>
      <c r="R7" s="31">
        <f>SUMIFS(METALFISA!$E:$E,METALFISA!$A:$A,'Faltantes Fevereiro- Metalfisa'!R$3,METALFISA!$B:$B,'Faltantes Fevereiro- Metalfisa'!$A7)</f>
        <v>0</v>
      </c>
      <c r="S7" s="31">
        <f>SUMIFS(METALFISA!$E:$E,METALFISA!$A:$A,'Faltantes Fevereiro- Metalfisa'!S$3,METALFISA!$B:$B,'Faltantes Fevereiro- Metalfisa'!$A7)</f>
        <v>0</v>
      </c>
      <c r="T7" s="31">
        <f>SUMIFS(METALFISA!$E:$E,METALFISA!$A:$A,'Faltantes Fevereiro- Metalfisa'!T$3,METALFISA!$B:$B,'Faltantes Fevereiro- Metalfisa'!$A7)</f>
        <v>0</v>
      </c>
      <c r="U7" s="31">
        <f>SUMIFS(METALFISA!$E:$E,METALFISA!$A:$A,'Faltantes Fevereiro- Metalfisa'!U$3,METALFISA!$B:$B,'Faltantes Fevereiro- Metalfisa'!$A7)</f>
        <v>0</v>
      </c>
      <c r="V7" s="31">
        <f>SUMIFS(METALFISA!$E:$E,METALFISA!$A:$A,'Faltantes Fevereiro- Metalfisa'!V$3,METALFISA!$B:$B,'Faltantes Fevereiro- Metalfisa'!$A7)</f>
        <v>0</v>
      </c>
      <c r="W7" s="31">
        <f>SUMIFS(METALFISA!$E:$E,METALFISA!$A:$A,'Faltantes Fevereiro- Metalfisa'!W$3,METALFISA!$B:$B,'Faltantes Fevereiro- Metalfisa'!$A7)</f>
        <v>0</v>
      </c>
      <c r="X7" s="31">
        <f>SUMIFS(METALFISA!$E:$E,METALFISA!$A:$A,'Faltantes Fevereiro- Metalfisa'!X$3,METALFISA!$B:$B,'Faltantes Fevereiro- Metalfisa'!$A7)</f>
        <v>0</v>
      </c>
      <c r="Y7" s="31">
        <f>SUMIFS(METALFISA!$E:$E,METALFISA!$A:$A,'Faltantes Fevereiro- Metalfisa'!Y$3,METALFISA!$B:$B,'Faltantes Fevereiro- Metalfisa'!$A7)</f>
        <v>0</v>
      </c>
      <c r="Z7" s="31">
        <f>SUMIFS(METALFISA!$E:$E,METALFISA!$A:$A,'Faltantes Fevereiro- Metalfisa'!Z$3,METALFISA!$B:$B,'Faltantes Fevereiro- Metalfisa'!$A7)</f>
        <v>0</v>
      </c>
      <c r="AA7" s="31">
        <f>SUMIFS(METALFISA!$E:$E,METALFISA!$A:$A,'Faltantes Fevereiro- Metalfisa'!AA$3,METALFISA!$B:$B,'Faltantes Fevereiro- Metalfisa'!$A7)</f>
        <v>0</v>
      </c>
      <c r="AB7" s="31">
        <f>SUMIFS(METALFISA!$E:$E,METALFISA!$A:$A,'Faltantes Fevereiro- Metalfisa'!AB$3,METALFISA!$B:$B,'Faltantes Fevereiro- Metalfisa'!$A7)</f>
        <v>0</v>
      </c>
      <c r="AC7" s="31">
        <f>SUMIFS(METALFISA!$E:$E,METALFISA!$A:$A,'Faltantes Fevereiro- Metalfisa'!AC$3,METALFISA!$B:$B,'Faltantes Fevereiro- Metalfisa'!$A7)</f>
        <v>2</v>
      </c>
      <c r="AD7" s="31">
        <f>SUMIFS(METALFISA!$E:$E,METALFISA!$A:$A,'Faltantes Fevereiro- Metalfisa'!AD$3,METALFISA!$B:$B,'Faltantes Fevereiro- Metalfisa'!$A7)</f>
        <v>0</v>
      </c>
      <c r="AE7" s="31">
        <f>SUMIFS(METALFISA!$E:$E,METALFISA!$A:$A,'Faltantes Fevereiro- Metalfisa'!AE$3,METALFISA!$B:$B,'Faltantes Fevereiro- Metalfisa'!$A7)</f>
        <v>0</v>
      </c>
      <c r="AF7" s="31">
        <f>SUMIFS(METALFISA!$E:$E,METALFISA!$A:$A,'Faltantes Fevereiro- Metalfisa'!AF$3,METALFISA!$B:$B,'Faltantes Fevereiro- Metalfisa'!$A7)</f>
        <v>0</v>
      </c>
      <c r="AG7" s="31">
        <f>SUMIFS(METALFISA!$E:$E,METALFISA!$A:$A,'Faltantes Fevereiro- Metalfisa'!AG$3,METALFISA!$B:$B,'Faltantes Fevereiro- Metalfisa'!$A7)</f>
        <v>4</v>
      </c>
      <c r="AH7" s="31">
        <f>SUMIFS(METALFISA!$E:$E,METALFISA!$A:$A,'Faltantes Fevereiro- Metalfisa'!AH$3,METALFISA!$B:$B,'Faltantes Fevereiro- Metalfisa'!$A7)</f>
        <v>0</v>
      </c>
      <c r="AI7" s="31">
        <f>SUMIFS(METALFISA!$E:$E,METALFISA!$A:$A,'Faltantes Fevereiro- Metalfisa'!AI$3,METALFISA!$B:$B,'Faltantes Fevereiro- Metalfisa'!$A7)</f>
        <v>0</v>
      </c>
      <c r="AJ7" s="31">
        <f>SUMIFS(METALFISA!$E:$E,METALFISA!$A:$A,'Faltantes Fevereiro- Metalfisa'!AJ$3,METALFISA!$B:$B,'Faltantes Fevereiro- Metalfisa'!$A7)</f>
        <v>0</v>
      </c>
      <c r="AK7" s="31">
        <f>SUMIFS(METALFISA!$E:$E,METALFISA!$A:$A,'Faltantes Fevereiro- Metalfisa'!AK$3,METALFISA!$B:$B,'Faltantes Fevereiro- Metalfisa'!$A7)</f>
        <v>0</v>
      </c>
      <c r="AL7" s="31">
        <f>SUMIFS(METALFISA!$E:$E,METALFISA!$A:$A,'Faltantes Fevereiro- Metalfisa'!AL$3,METALFISA!$B:$B,'Faltantes Fevereiro- Metalfisa'!$A7)</f>
        <v>0</v>
      </c>
      <c r="AM7" s="31">
        <f>SUMIFS(METALFISA!$E:$E,METALFISA!$A:$A,'Faltantes Fevereiro- Metalfisa'!AM$3,METALFISA!$B:$B,'Faltantes Fevereiro- Metalfisa'!$A7)</f>
        <v>0</v>
      </c>
      <c r="AN7" s="31">
        <f>SUMIFS(METALFISA!$E:$E,METALFISA!$A:$A,'Faltantes Fevereiro- Metalfisa'!AN$3,METALFISA!$B:$B,'Faltantes Fevereiro- Metalfisa'!$A7)</f>
        <v>0</v>
      </c>
      <c r="AO7" s="31">
        <f>SUMIFS(METALFISA!$E:$E,METALFISA!$A:$A,'Faltantes Fevereiro- Metalfisa'!AO$3,METALFISA!$B:$B,'Faltantes Fevereiro- Metalfisa'!$A7)</f>
        <v>0</v>
      </c>
      <c r="AP7" s="31">
        <f>SUMIFS(METALFISA!$E:$E,METALFISA!$A:$A,'Faltantes Fevereiro- Metalfisa'!AP$3,METALFISA!$B:$B,'Faltantes Fevereiro- Metalfisa'!$A7)</f>
        <v>0</v>
      </c>
      <c r="AQ7" s="31"/>
      <c r="AR7" s="31">
        <f>SUMIFS(METALFISA!$E:$E,METALFISA!$A:$A,'Faltantes Fevereiro- Metalfisa'!AR$3,METALFISA!$B:$B,'Faltantes Fevereiro- Metalfisa'!$A7)</f>
        <v>0</v>
      </c>
      <c r="AS7" s="35">
        <f>SUMIFS(METALFISA!$E:$E,METALFISA!$A:$A,'Faltantes Fevereiro- Metalfisa'!AS$3,METALFISA!$B:$B,'Faltantes Fevereiro- Metalfisa'!$A7)</f>
        <v>0</v>
      </c>
      <c r="AU7" s="18">
        <v>0</v>
      </c>
      <c r="AV7" s="18">
        <v>0</v>
      </c>
      <c r="AW7" s="18">
        <v>0</v>
      </c>
      <c r="AX7" s="18">
        <v>0</v>
      </c>
      <c r="AY7" s="41">
        <v>0</v>
      </c>
      <c r="AZ7" s="31">
        <v>0</v>
      </c>
      <c r="BA7" s="31">
        <v>0</v>
      </c>
      <c r="BB7" s="31">
        <v>0</v>
      </c>
      <c r="BC7" s="31">
        <v>0</v>
      </c>
      <c r="BD7" s="31">
        <v>0</v>
      </c>
      <c r="BE7" s="31">
        <v>0</v>
      </c>
      <c r="BF7" s="31">
        <v>0</v>
      </c>
      <c r="BG7" s="31">
        <v>0</v>
      </c>
      <c r="BH7" s="31">
        <v>0</v>
      </c>
      <c r="BI7" s="31">
        <v>0</v>
      </c>
      <c r="BJ7" s="31">
        <v>0</v>
      </c>
      <c r="BK7" s="31">
        <v>0</v>
      </c>
      <c r="BL7" s="31">
        <v>0</v>
      </c>
      <c r="BM7" s="31">
        <v>2</v>
      </c>
      <c r="BN7" s="31">
        <v>0</v>
      </c>
      <c r="BO7" s="31">
        <v>0</v>
      </c>
      <c r="BP7" s="31">
        <v>0</v>
      </c>
      <c r="BQ7" s="31">
        <v>0</v>
      </c>
      <c r="BR7" s="31">
        <v>0</v>
      </c>
      <c r="BS7" s="31">
        <v>0</v>
      </c>
      <c r="BT7" s="31">
        <v>0</v>
      </c>
      <c r="BU7" s="31">
        <v>0</v>
      </c>
      <c r="BV7" s="31">
        <v>0</v>
      </c>
      <c r="BW7" s="31">
        <v>0</v>
      </c>
      <c r="BX7" s="31">
        <v>0</v>
      </c>
      <c r="BY7" s="31">
        <v>0</v>
      </c>
      <c r="BZ7" s="31">
        <v>0</v>
      </c>
      <c r="CA7" s="31">
        <v>0</v>
      </c>
      <c r="CB7" s="31">
        <v>0</v>
      </c>
      <c r="CC7" s="31">
        <v>0</v>
      </c>
      <c r="CD7" s="31">
        <v>0</v>
      </c>
      <c r="CE7" s="31">
        <v>0</v>
      </c>
      <c r="CF7" s="31">
        <v>0</v>
      </c>
      <c r="CG7" s="31">
        <v>0</v>
      </c>
      <c r="CH7" s="31">
        <v>0</v>
      </c>
      <c r="CI7" s="31">
        <v>0</v>
      </c>
      <c r="CJ7" s="31">
        <v>0</v>
      </c>
      <c r="CK7" s="31">
        <v>0</v>
      </c>
      <c r="CL7" s="35">
        <v>0</v>
      </c>
    </row>
    <row r="8" spans="1:90" ht="21" x14ac:dyDescent="0.15">
      <c r="A8" s="27" t="s">
        <v>119</v>
      </c>
      <c r="B8" s="28" t="s">
        <v>135</v>
      </c>
      <c r="C8" s="28">
        <v>0</v>
      </c>
      <c r="D8" s="28">
        <v>0</v>
      </c>
      <c r="E8" s="28">
        <v>0</v>
      </c>
      <c r="F8" s="28">
        <v>0</v>
      </c>
      <c r="G8" s="28">
        <v>4</v>
      </c>
      <c r="H8" s="28">
        <f>IFERROR(VLOOKUP(A8,[1]FALTANTES!$A:$AB,28,FALSE),"-")</f>
        <v>0</v>
      </c>
      <c r="I8" s="42">
        <f>IFERROR(VLOOKUP(A8,[1]FALTANTES!$A:$AC,29,FALSE),"-")</f>
        <v>2</v>
      </c>
      <c r="J8" s="29">
        <f>IFERROR(VLOOKUP(A8,[1]FALTANTES!$A:$AD,30,FALSE),"-")</f>
        <v>-2</v>
      </c>
      <c r="K8" s="30">
        <v>0</v>
      </c>
      <c r="L8" s="30">
        <f t="shared" si="0"/>
        <v>2</v>
      </c>
      <c r="M8" s="31">
        <f>SUMIFS(METALFISA!$E:$E,METALFISA!$A:$A,'Faltantes Fevereiro- Metalfisa'!M$3,METALFISA!$B:$B,'Faltantes Fevereiro- Metalfisa'!$A8)</f>
        <v>0</v>
      </c>
      <c r="N8" s="31">
        <f>SUMIFS(METALFISA!$E:$E,METALFISA!$A:$A,'Faltantes Fevereiro- Metalfisa'!N$3,METALFISA!$B:$B,'Faltantes Fevereiro- Metalfisa'!$A8)</f>
        <v>0</v>
      </c>
      <c r="O8" s="31">
        <f>SUMIFS(METALFISA!$E:$E,METALFISA!$A:$A,'Faltantes Fevereiro- Metalfisa'!O$3,METALFISA!$B:$B,'Faltantes Fevereiro- Metalfisa'!$A8)</f>
        <v>0</v>
      </c>
      <c r="P8" s="31">
        <f>SUMIFS(METALFISA!$E:$E,METALFISA!$A:$A,'Faltantes Fevereiro- Metalfisa'!P$3,METALFISA!$B:$B,'Faltantes Fevereiro- Metalfisa'!$A8)</f>
        <v>0</v>
      </c>
      <c r="Q8" s="31">
        <f>SUMIFS(METALFISA!$E:$E,METALFISA!$A:$A,'Faltantes Fevereiro- Metalfisa'!Q$3,METALFISA!$B:$B,'Faltantes Fevereiro- Metalfisa'!$A8)</f>
        <v>0</v>
      </c>
      <c r="R8" s="31">
        <f>SUMIFS(METALFISA!$E:$E,METALFISA!$A:$A,'Faltantes Fevereiro- Metalfisa'!R$3,METALFISA!$B:$B,'Faltantes Fevereiro- Metalfisa'!$A8)</f>
        <v>0</v>
      </c>
      <c r="S8" s="31">
        <f>SUMIFS(METALFISA!$E:$E,METALFISA!$A:$A,'Faltantes Fevereiro- Metalfisa'!S$3,METALFISA!$B:$B,'Faltantes Fevereiro- Metalfisa'!$A8)</f>
        <v>0</v>
      </c>
      <c r="T8" s="31">
        <f>SUMIFS(METALFISA!$E:$E,METALFISA!$A:$A,'Faltantes Fevereiro- Metalfisa'!T$3,METALFISA!$B:$B,'Faltantes Fevereiro- Metalfisa'!$A8)</f>
        <v>0</v>
      </c>
      <c r="U8" s="31">
        <f>SUMIFS(METALFISA!$E:$E,METALFISA!$A:$A,'Faltantes Fevereiro- Metalfisa'!U$3,METALFISA!$B:$B,'Faltantes Fevereiro- Metalfisa'!$A8)</f>
        <v>0</v>
      </c>
      <c r="V8" s="31">
        <f>SUMIFS(METALFISA!$E:$E,METALFISA!$A:$A,'Faltantes Fevereiro- Metalfisa'!V$3,METALFISA!$B:$B,'Faltantes Fevereiro- Metalfisa'!$A8)</f>
        <v>0</v>
      </c>
      <c r="W8" s="31">
        <f>SUMIFS(METALFISA!$E:$E,METALFISA!$A:$A,'Faltantes Fevereiro- Metalfisa'!W$3,METALFISA!$B:$B,'Faltantes Fevereiro- Metalfisa'!$A8)</f>
        <v>0</v>
      </c>
      <c r="X8" s="31">
        <f>SUMIFS(METALFISA!$E:$E,METALFISA!$A:$A,'Faltantes Fevereiro- Metalfisa'!X$3,METALFISA!$B:$B,'Faltantes Fevereiro- Metalfisa'!$A8)</f>
        <v>0</v>
      </c>
      <c r="Y8" s="31">
        <f>SUMIFS(METALFISA!$E:$E,METALFISA!$A:$A,'Faltantes Fevereiro- Metalfisa'!Y$3,METALFISA!$B:$B,'Faltantes Fevereiro- Metalfisa'!$A8)</f>
        <v>0</v>
      </c>
      <c r="Z8" s="31">
        <f>SUMIFS(METALFISA!$E:$E,METALFISA!$A:$A,'Faltantes Fevereiro- Metalfisa'!Z$3,METALFISA!$B:$B,'Faltantes Fevereiro- Metalfisa'!$A8)</f>
        <v>0</v>
      </c>
      <c r="AA8" s="31">
        <f>SUMIFS(METALFISA!$E:$E,METALFISA!$A:$A,'Faltantes Fevereiro- Metalfisa'!AA$3,METALFISA!$B:$B,'Faltantes Fevereiro- Metalfisa'!$A8)</f>
        <v>0</v>
      </c>
      <c r="AB8" s="31">
        <f>SUMIFS(METALFISA!$E:$E,METALFISA!$A:$A,'Faltantes Fevereiro- Metalfisa'!AB$3,METALFISA!$B:$B,'Faltantes Fevereiro- Metalfisa'!$A8)</f>
        <v>0</v>
      </c>
      <c r="AC8" s="31">
        <f>SUMIFS(METALFISA!$E:$E,METALFISA!$A:$A,'Faltantes Fevereiro- Metalfisa'!AC$3,METALFISA!$B:$B,'Faltantes Fevereiro- Metalfisa'!$A8)</f>
        <v>0</v>
      </c>
      <c r="AD8" s="31">
        <f>SUMIFS(METALFISA!$E:$E,METALFISA!$A:$A,'Faltantes Fevereiro- Metalfisa'!AD$3,METALFISA!$B:$B,'Faltantes Fevereiro- Metalfisa'!$A8)</f>
        <v>0</v>
      </c>
      <c r="AE8" s="31">
        <f>SUMIFS(METALFISA!$E:$E,METALFISA!$A:$A,'Faltantes Fevereiro- Metalfisa'!AE$3,METALFISA!$B:$B,'Faltantes Fevereiro- Metalfisa'!$A8)</f>
        <v>0</v>
      </c>
      <c r="AF8" s="31">
        <f>SUMIFS(METALFISA!$E:$E,METALFISA!$A:$A,'Faltantes Fevereiro- Metalfisa'!AF$3,METALFISA!$B:$B,'Faltantes Fevereiro- Metalfisa'!$A8)</f>
        <v>0</v>
      </c>
      <c r="AG8" s="31">
        <f>SUMIFS(METALFISA!$E:$E,METALFISA!$A:$A,'Faltantes Fevereiro- Metalfisa'!AG$3,METALFISA!$B:$B,'Faltantes Fevereiro- Metalfisa'!$A8)</f>
        <v>2</v>
      </c>
      <c r="AH8" s="31">
        <f>SUMIFS(METALFISA!$E:$E,METALFISA!$A:$A,'Faltantes Fevereiro- Metalfisa'!AH$3,METALFISA!$B:$B,'Faltantes Fevereiro- Metalfisa'!$A8)</f>
        <v>0</v>
      </c>
      <c r="AI8" s="31">
        <f>SUMIFS(METALFISA!$E:$E,METALFISA!$A:$A,'Faltantes Fevereiro- Metalfisa'!AI$3,METALFISA!$B:$B,'Faltantes Fevereiro- Metalfisa'!$A8)</f>
        <v>0</v>
      </c>
      <c r="AJ8" s="31">
        <f>SUMIFS(METALFISA!$E:$E,METALFISA!$A:$A,'Faltantes Fevereiro- Metalfisa'!AJ$3,METALFISA!$B:$B,'Faltantes Fevereiro- Metalfisa'!$A8)</f>
        <v>0</v>
      </c>
      <c r="AK8" s="31">
        <f>SUMIFS(METALFISA!$E:$E,METALFISA!$A:$A,'Faltantes Fevereiro- Metalfisa'!AK$3,METALFISA!$B:$B,'Faltantes Fevereiro- Metalfisa'!$A8)</f>
        <v>0</v>
      </c>
      <c r="AL8" s="31">
        <f>SUMIFS(METALFISA!$E:$E,METALFISA!$A:$A,'Faltantes Fevereiro- Metalfisa'!AL$3,METALFISA!$B:$B,'Faltantes Fevereiro- Metalfisa'!$A8)</f>
        <v>0</v>
      </c>
      <c r="AM8" s="31">
        <f>SUMIFS(METALFISA!$E:$E,METALFISA!$A:$A,'Faltantes Fevereiro- Metalfisa'!AM$3,METALFISA!$B:$B,'Faltantes Fevereiro- Metalfisa'!$A8)</f>
        <v>0</v>
      </c>
      <c r="AN8" s="31">
        <f>SUMIFS(METALFISA!$E:$E,METALFISA!$A:$A,'Faltantes Fevereiro- Metalfisa'!AN$3,METALFISA!$B:$B,'Faltantes Fevereiro- Metalfisa'!$A8)</f>
        <v>0</v>
      </c>
      <c r="AO8" s="31">
        <f>SUMIFS(METALFISA!$E:$E,METALFISA!$A:$A,'Faltantes Fevereiro- Metalfisa'!AO$3,METALFISA!$B:$B,'Faltantes Fevereiro- Metalfisa'!$A8)</f>
        <v>0</v>
      </c>
      <c r="AP8" s="31">
        <f>SUMIFS(METALFISA!$E:$E,METALFISA!$A:$A,'Faltantes Fevereiro- Metalfisa'!AP$3,METALFISA!$B:$B,'Faltantes Fevereiro- Metalfisa'!$A8)</f>
        <v>0</v>
      </c>
      <c r="AQ8" s="31"/>
      <c r="AR8" s="31">
        <f>SUMIFS(METALFISA!$E:$E,METALFISA!$A:$A,'Faltantes Fevereiro- Metalfisa'!AR$3,METALFISA!$B:$B,'Faltantes Fevereiro- Metalfisa'!$A8)</f>
        <v>0</v>
      </c>
      <c r="AS8" s="35">
        <f>SUMIFS(METALFISA!$E:$E,METALFISA!$A:$A,'Faltantes Fevereiro- Metalfisa'!AS$3,METALFISA!$B:$B,'Faltantes Fevereiro- Metalfisa'!$A8)</f>
        <v>0</v>
      </c>
      <c r="AU8" s="18">
        <v>0</v>
      </c>
      <c r="AV8" s="18">
        <v>0</v>
      </c>
      <c r="AW8" s="18">
        <v>0</v>
      </c>
      <c r="AX8" s="18">
        <v>0</v>
      </c>
      <c r="AY8" s="41">
        <v>0</v>
      </c>
      <c r="AZ8" s="31">
        <v>0</v>
      </c>
      <c r="BA8" s="31">
        <v>0</v>
      </c>
      <c r="BB8" s="31">
        <v>0</v>
      </c>
      <c r="BC8" s="31">
        <v>0</v>
      </c>
      <c r="BD8" s="31">
        <v>0</v>
      </c>
      <c r="BE8" s="31">
        <v>0</v>
      </c>
      <c r="BF8" s="31">
        <v>0</v>
      </c>
      <c r="BG8" s="31">
        <v>0</v>
      </c>
      <c r="BH8" s="31">
        <v>0</v>
      </c>
      <c r="BI8" s="31">
        <v>0</v>
      </c>
      <c r="BJ8" s="31">
        <v>0</v>
      </c>
      <c r="BK8" s="31">
        <v>0</v>
      </c>
      <c r="BL8" s="31">
        <v>0</v>
      </c>
      <c r="BM8" s="31">
        <v>2</v>
      </c>
      <c r="BN8" s="31">
        <v>0</v>
      </c>
      <c r="BO8" s="31">
        <v>0</v>
      </c>
      <c r="BP8" s="31">
        <v>0</v>
      </c>
      <c r="BQ8" s="31">
        <v>0</v>
      </c>
      <c r="BR8" s="31">
        <v>0</v>
      </c>
      <c r="BS8" s="31">
        <v>0</v>
      </c>
      <c r="BT8" s="31">
        <v>0</v>
      </c>
      <c r="BU8" s="31">
        <v>0</v>
      </c>
      <c r="BV8" s="31">
        <v>0</v>
      </c>
      <c r="BW8" s="31">
        <v>0</v>
      </c>
      <c r="BX8" s="31">
        <v>0</v>
      </c>
      <c r="BY8" s="31">
        <v>0</v>
      </c>
      <c r="BZ8" s="31">
        <v>0</v>
      </c>
      <c r="CA8" s="31">
        <v>0</v>
      </c>
      <c r="CB8" s="31">
        <v>0</v>
      </c>
      <c r="CC8" s="31">
        <v>0</v>
      </c>
      <c r="CD8" s="31">
        <v>0</v>
      </c>
      <c r="CE8" s="31">
        <v>0</v>
      </c>
      <c r="CF8" s="31">
        <v>0</v>
      </c>
      <c r="CG8" s="31">
        <v>0</v>
      </c>
      <c r="CH8" s="31">
        <v>0</v>
      </c>
      <c r="CI8" s="31">
        <v>0</v>
      </c>
      <c r="CJ8" s="31">
        <v>0</v>
      </c>
      <c r="CK8" s="31">
        <v>0</v>
      </c>
      <c r="CL8" s="35">
        <v>0</v>
      </c>
    </row>
    <row r="9" spans="1:90" ht="21" x14ac:dyDescent="0.15">
      <c r="A9" s="27" t="s">
        <v>527</v>
      </c>
      <c r="B9" s="28" t="s">
        <v>528</v>
      </c>
      <c r="C9" s="28">
        <v>0</v>
      </c>
      <c r="D9" s="28">
        <v>0</v>
      </c>
      <c r="E9" s="28">
        <v>0</v>
      </c>
      <c r="F9" s="28">
        <v>0</v>
      </c>
      <c r="G9" s="28">
        <v>8</v>
      </c>
      <c r="H9" s="28">
        <f>IFERROR(VLOOKUP(A9,[1]FALTANTES!$A:$AB,28,FALSE),"-")</f>
        <v>0</v>
      </c>
      <c r="I9" s="42">
        <f>IFERROR(VLOOKUP(A9,[1]FALTANTES!$A:$AC,29,FALSE),"-")</f>
        <v>0</v>
      </c>
      <c r="J9" s="29">
        <f>IFERROR(VLOOKUP(A9,[1]FALTANTES!$A:$AD,30,FALSE),"-")</f>
        <v>-8</v>
      </c>
      <c r="K9" s="30">
        <v>0</v>
      </c>
      <c r="L9" s="30">
        <f t="shared" si="0"/>
        <v>8</v>
      </c>
      <c r="M9" s="31">
        <f>SUMIFS(METALFISA!$E:$E,METALFISA!$A:$A,'Faltantes Fevereiro- Metalfisa'!M$3,METALFISA!$B:$B,'Faltantes Fevereiro- Metalfisa'!$A9)</f>
        <v>0</v>
      </c>
      <c r="N9" s="31">
        <f>SUMIFS(METALFISA!$E:$E,METALFISA!$A:$A,'Faltantes Fevereiro- Metalfisa'!N$3,METALFISA!$B:$B,'Faltantes Fevereiro- Metalfisa'!$A9)</f>
        <v>0</v>
      </c>
      <c r="O9" s="31">
        <f>SUMIFS(METALFISA!$E:$E,METALFISA!$A:$A,'Faltantes Fevereiro- Metalfisa'!O$3,METALFISA!$B:$B,'Faltantes Fevereiro- Metalfisa'!$A9)</f>
        <v>0</v>
      </c>
      <c r="P9" s="31">
        <f>SUMIFS(METALFISA!$E:$E,METALFISA!$A:$A,'Faltantes Fevereiro- Metalfisa'!P$3,METALFISA!$B:$B,'Faltantes Fevereiro- Metalfisa'!$A9)</f>
        <v>0</v>
      </c>
      <c r="Q9" s="31">
        <f>SUMIFS(METALFISA!$E:$E,METALFISA!$A:$A,'Faltantes Fevereiro- Metalfisa'!Q$3,METALFISA!$B:$B,'Faltantes Fevereiro- Metalfisa'!$A9)</f>
        <v>0</v>
      </c>
      <c r="R9" s="31">
        <f>SUMIFS(METALFISA!$E:$E,METALFISA!$A:$A,'Faltantes Fevereiro- Metalfisa'!R$3,METALFISA!$B:$B,'Faltantes Fevereiro- Metalfisa'!$A9)</f>
        <v>0</v>
      </c>
      <c r="S9" s="31">
        <f>SUMIFS(METALFISA!$E:$E,METALFISA!$A:$A,'Faltantes Fevereiro- Metalfisa'!S$3,METALFISA!$B:$B,'Faltantes Fevereiro- Metalfisa'!$A9)</f>
        <v>0</v>
      </c>
      <c r="T9" s="31">
        <f>SUMIFS(METALFISA!$E:$E,METALFISA!$A:$A,'Faltantes Fevereiro- Metalfisa'!T$3,METALFISA!$B:$B,'Faltantes Fevereiro- Metalfisa'!$A9)</f>
        <v>0</v>
      </c>
      <c r="U9" s="31">
        <f>SUMIFS(METALFISA!$E:$E,METALFISA!$A:$A,'Faltantes Fevereiro- Metalfisa'!U$3,METALFISA!$B:$B,'Faltantes Fevereiro- Metalfisa'!$A9)</f>
        <v>0</v>
      </c>
      <c r="V9" s="31">
        <f>SUMIFS(METALFISA!$E:$E,METALFISA!$A:$A,'Faltantes Fevereiro- Metalfisa'!V$3,METALFISA!$B:$B,'Faltantes Fevereiro- Metalfisa'!$A9)</f>
        <v>0</v>
      </c>
      <c r="W9" s="31">
        <f>SUMIFS(METALFISA!$E:$E,METALFISA!$A:$A,'Faltantes Fevereiro- Metalfisa'!W$3,METALFISA!$B:$B,'Faltantes Fevereiro- Metalfisa'!$A9)</f>
        <v>0</v>
      </c>
      <c r="X9" s="31">
        <f>SUMIFS(METALFISA!$E:$E,METALFISA!$A:$A,'Faltantes Fevereiro- Metalfisa'!X$3,METALFISA!$B:$B,'Faltantes Fevereiro- Metalfisa'!$A9)</f>
        <v>0</v>
      </c>
      <c r="Y9" s="31">
        <f>SUMIFS(METALFISA!$E:$E,METALFISA!$A:$A,'Faltantes Fevereiro- Metalfisa'!Y$3,METALFISA!$B:$B,'Faltantes Fevereiro- Metalfisa'!$A9)</f>
        <v>0</v>
      </c>
      <c r="Z9" s="31">
        <f>SUMIFS(METALFISA!$E:$E,METALFISA!$A:$A,'Faltantes Fevereiro- Metalfisa'!Z$3,METALFISA!$B:$B,'Faltantes Fevereiro- Metalfisa'!$A9)</f>
        <v>0</v>
      </c>
      <c r="AA9" s="31">
        <f>SUMIFS(METALFISA!$E:$E,METALFISA!$A:$A,'Faltantes Fevereiro- Metalfisa'!AA$3,METALFISA!$B:$B,'Faltantes Fevereiro- Metalfisa'!$A9)</f>
        <v>0</v>
      </c>
      <c r="AB9" s="31">
        <f>SUMIFS(METALFISA!$E:$E,METALFISA!$A:$A,'Faltantes Fevereiro- Metalfisa'!AB$3,METALFISA!$B:$B,'Faltantes Fevereiro- Metalfisa'!$A9)</f>
        <v>0</v>
      </c>
      <c r="AC9" s="31">
        <f>SUMIFS(METALFISA!$E:$E,METALFISA!$A:$A,'Faltantes Fevereiro- Metalfisa'!AC$3,METALFISA!$B:$B,'Faltantes Fevereiro- Metalfisa'!$A9)</f>
        <v>0</v>
      </c>
      <c r="AD9" s="31">
        <f>SUMIFS(METALFISA!$E:$E,METALFISA!$A:$A,'Faltantes Fevereiro- Metalfisa'!AD$3,METALFISA!$B:$B,'Faltantes Fevereiro- Metalfisa'!$A9)</f>
        <v>0</v>
      </c>
      <c r="AE9" s="31">
        <f>SUMIFS(METALFISA!$E:$E,METALFISA!$A:$A,'Faltantes Fevereiro- Metalfisa'!AE$3,METALFISA!$B:$B,'Faltantes Fevereiro- Metalfisa'!$A9)</f>
        <v>0</v>
      </c>
      <c r="AF9" s="31">
        <f>SUMIFS(METALFISA!$E:$E,METALFISA!$A:$A,'Faltantes Fevereiro- Metalfisa'!AF$3,METALFISA!$B:$B,'Faltantes Fevereiro- Metalfisa'!$A9)</f>
        <v>0</v>
      </c>
      <c r="AG9" s="31">
        <f>SUMIFS(METALFISA!$E:$E,METALFISA!$A:$A,'Faltantes Fevereiro- Metalfisa'!AG$3,METALFISA!$B:$B,'Faltantes Fevereiro- Metalfisa'!$A9)</f>
        <v>8</v>
      </c>
      <c r="AH9" s="31">
        <f>SUMIFS(METALFISA!$E:$E,METALFISA!$A:$A,'Faltantes Fevereiro- Metalfisa'!AH$3,METALFISA!$B:$B,'Faltantes Fevereiro- Metalfisa'!$A9)</f>
        <v>0</v>
      </c>
      <c r="AI9" s="31">
        <f>SUMIFS(METALFISA!$E:$E,METALFISA!$A:$A,'Faltantes Fevereiro- Metalfisa'!AI$3,METALFISA!$B:$B,'Faltantes Fevereiro- Metalfisa'!$A9)</f>
        <v>0</v>
      </c>
      <c r="AJ9" s="31">
        <f>SUMIFS(METALFISA!$E:$E,METALFISA!$A:$A,'Faltantes Fevereiro- Metalfisa'!AJ$3,METALFISA!$B:$B,'Faltantes Fevereiro- Metalfisa'!$A9)</f>
        <v>0</v>
      </c>
      <c r="AK9" s="31">
        <f>SUMIFS(METALFISA!$E:$E,METALFISA!$A:$A,'Faltantes Fevereiro- Metalfisa'!AK$3,METALFISA!$B:$B,'Faltantes Fevereiro- Metalfisa'!$A9)</f>
        <v>0</v>
      </c>
      <c r="AL9" s="31">
        <f>SUMIFS(METALFISA!$E:$E,METALFISA!$A:$A,'Faltantes Fevereiro- Metalfisa'!AL$3,METALFISA!$B:$B,'Faltantes Fevereiro- Metalfisa'!$A9)</f>
        <v>0</v>
      </c>
      <c r="AM9" s="31">
        <f>SUMIFS(METALFISA!$E:$E,METALFISA!$A:$A,'Faltantes Fevereiro- Metalfisa'!AM$3,METALFISA!$B:$B,'Faltantes Fevereiro- Metalfisa'!$A9)</f>
        <v>0</v>
      </c>
      <c r="AN9" s="31">
        <f>SUMIFS(METALFISA!$E:$E,METALFISA!$A:$A,'Faltantes Fevereiro- Metalfisa'!AN$3,METALFISA!$B:$B,'Faltantes Fevereiro- Metalfisa'!$A9)</f>
        <v>0</v>
      </c>
      <c r="AO9" s="31">
        <f>SUMIFS(METALFISA!$E:$E,METALFISA!$A:$A,'Faltantes Fevereiro- Metalfisa'!AO$3,METALFISA!$B:$B,'Faltantes Fevereiro- Metalfisa'!$A9)</f>
        <v>0</v>
      </c>
      <c r="AP9" s="31">
        <f>SUMIFS(METALFISA!$E:$E,METALFISA!$A:$A,'Faltantes Fevereiro- Metalfisa'!AP$3,METALFISA!$B:$B,'Faltantes Fevereiro- Metalfisa'!$A9)</f>
        <v>0</v>
      </c>
      <c r="AQ9" s="31"/>
      <c r="AR9" s="31">
        <f>SUMIFS(METALFISA!$E:$E,METALFISA!$A:$A,'Faltantes Fevereiro- Metalfisa'!AR$3,METALFISA!$B:$B,'Faltantes Fevereiro- Metalfisa'!$A9)</f>
        <v>0</v>
      </c>
      <c r="AS9" s="35">
        <f>SUMIFS(METALFISA!$E:$E,METALFISA!$A:$A,'Faltantes Fevereiro- Metalfisa'!AS$3,METALFISA!$B:$B,'Faltantes Fevereiro- Metalfisa'!$A9)</f>
        <v>0</v>
      </c>
      <c r="AU9" s="18">
        <v>0</v>
      </c>
      <c r="AV9" s="18">
        <v>0</v>
      </c>
      <c r="AW9" s="18">
        <v>0</v>
      </c>
      <c r="AX9" s="18">
        <v>0</v>
      </c>
      <c r="AY9" s="41">
        <v>0</v>
      </c>
      <c r="AZ9" s="31">
        <v>0</v>
      </c>
      <c r="BA9" s="31">
        <v>0</v>
      </c>
      <c r="BB9" s="31">
        <v>0</v>
      </c>
      <c r="BC9" s="31">
        <v>0</v>
      </c>
      <c r="BD9" s="31">
        <v>0</v>
      </c>
      <c r="BE9" s="31">
        <v>0</v>
      </c>
      <c r="BF9" s="31">
        <v>0</v>
      </c>
      <c r="BG9" s="31">
        <v>0</v>
      </c>
      <c r="BH9" s="31">
        <v>0</v>
      </c>
      <c r="BI9" s="31">
        <v>0</v>
      </c>
      <c r="BJ9" s="31">
        <v>0</v>
      </c>
      <c r="BK9" s="31">
        <v>0</v>
      </c>
      <c r="BL9" s="31">
        <v>0</v>
      </c>
      <c r="BM9" s="31">
        <v>4</v>
      </c>
      <c r="BN9" s="31">
        <v>0</v>
      </c>
      <c r="BO9" s="31">
        <v>0</v>
      </c>
      <c r="BP9" s="31">
        <v>0</v>
      </c>
      <c r="BQ9" s="31">
        <v>0</v>
      </c>
      <c r="BR9" s="31">
        <v>0</v>
      </c>
      <c r="BS9" s="31">
        <v>0</v>
      </c>
      <c r="BT9" s="31">
        <v>0</v>
      </c>
      <c r="BU9" s="31">
        <v>0</v>
      </c>
      <c r="BV9" s="31">
        <v>0</v>
      </c>
      <c r="BW9" s="31">
        <v>0</v>
      </c>
      <c r="BX9" s="31">
        <v>0</v>
      </c>
      <c r="BY9" s="31">
        <v>0</v>
      </c>
      <c r="BZ9" s="31">
        <v>0</v>
      </c>
      <c r="CA9" s="31">
        <v>0</v>
      </c>
      <c r="CB9" s="31">
        <v>0</v>
      </c>
      <c r="CC9" s="31">
        <v>0</v>
      </c>
      <c r="CD9" s="31">
        <v>0</v>
      </c>
      <c r="CE9" s="31">
        <v>0</v>
      </c>
      <c r="CF9" s="31">
        <v>0</v>
      </c>
      <c r="CG9" s="31">
        <v>0</v>
      </c>
      <c r="CH9" s="31">
        <v>0</v>
      </c>
      <c r="CI9" s="31">
        <v>0</v>
      </c>
      <c r="CJ9" s="31">
        <v>0</v>
      </c>
      <c r="CK9" s="31">
        <v>0</v>
      </c>
      <c r="CL9" s="35">
        <v>0</v>
      </c>
    </row>
    <row r="10" spans="1:90" x14ac:dyDescent="0.15">
      <c r="A10" s="27" t="s">
        <v>529</v>
      </c>
      <c r="B10" s="28" t="s">
        <v>530</v>
      </c>
      <c r="C10" s="28">
        <v>0</v>
      </c>
      <c r="D10" s="28">
        <v>0</v>
      </c>
      <c r="E10" s="28">
        <v>0</v>
      </c>
      <c r="F10" s="28">
        <v>0</v>
      </c>
      <c r="G10" s="28">
        <v>3</v>
      </c>
      <c r="H10" s="28">
        <f>IFERROR(VLOOKUP(A10,[1]FALTANTES!$A:$AB,28,FALSE),"-")</f>
        <v>0</v>
      </c>
      <c r="I10" s="42">
        <f>IFERROR(VLOOKUP(A10,[1]FALTANTES!$A:$AC,29,FALSE),"-")</f>
        <v>0</v>
      </c>
      <c r="J10" s="29">
        <f>IFERROR(VLOOKUP(A10,[1]FALTANTES!$A:$AD,30,FALSE),"-")</f>
        <v>-3</v>
      </c>
      <c r="K10" s="30">
        <v>0</v>
      </c>
      <c r="L10" s="30">
        <f t="shared" si="0"/>
        <v>3</v>
      </c>
      <c r="M10" s="31">
        <f>SUMIFS(METALFISA!$E:$E,METALFISA!$A:$A,'Faltantes Fevereiro- Metalfisa'!M$3,METALFISA!$B:$B,'Faltantes Fevereiro- Metalfisa'!$A10)</f>
        <v>0</v>
      </c>
      <c r="N10" s="31">
        <f>SUMIFS(METALFISA!$E:$E,METALFISA!$A:$A,'Faltantes Fevereiro- Metalfisa'!N$3,METALFISA!$B:$B,'Faltantes Fevereiro- Metalfisa'!$A10)</f>
        <v>0</v>
      </c>
      <c r="O10" s="31">
        <f>SUMIFS(METALFISA!$E:$E,METALFISA!$A:$A,'Faltantes Fevereiro- Metalfisa'!O$3,METALFISA!$B:$B,'Faltantes Fevereiro- Metalfisa'!$A10)</f>
        <v>0</v>
      </c>
      <c r="P10" s="31">
        <f>SUMIFS(METALFISA!$E:$E,METALFISA!$A:$A,'Faltantes Fevereiro- Metalfisa'!P$3,METALFISA!$B:$B,'Faltantes Fevereiro- Metalfisa'!$A10)</f>
        <v>0</v>
      </c>
      <c r="Q10" s="31">
        <f>SUMIFS(METALFISA!$E:$E,METALFISA!$A:$A,'Faltantes Fevereiro- Metalfisa'!Q$3,METALFISA!$B:$B,'Faltantes Fevereiro- Metalfisa'!$A10)</f>
        <v>0</v>
      </c>
      <c r="R10" s="31">
        <f>SUMIFS(METALFISA!$E:$E,METALFISA!$A:$A,'Faltantes Fevereiro- Metalfisa'!R$3,METALFISA!$B:$B,'Faltantes Fevereiro- Metalfisa'!$A10)</f>
        <v>0</v>
      </c>
      <c r="S10" s="31">
        <f>SUMIFS(METALFISA!$E:$E,METALFISA!$A:$A,'Faltantes Fevereiro- Metalfisa'!S$3,METALFISA!$B:$B,'Faltantes Fevereiro- Metalfisa'!$A10)</f>
        <v>0</v>
      </c>
      <c r="T10" s="31">
        <f>SUMIFS(METALFISA!$E:$E,METALFISA!$A:$A,'Faltantes Fevereiro- Metalfisa'!T$3,METALFISA!$B:$B,'Faltantes Fevereiro- Metalfisa'!$A10)</f>
        <v>0</v>
      </c>
      <c r="U10" s="31">
        <f>SUMIFS(METALFISA!$E:$E,METALFISA!$A:$A,'Faltantes Fevereiro- Metalfisa'!U$3,METALFISA!$B:$B,'Faltantes Fevereiro- Metalfisa'!$A10)</f>
        <v>0</v>
      </c>
      <c r="V10" s="31">
        <f>SUMIFS(METALFISA!$E:$E,METALFISA!$A:$A,'Faltantes Fevereiro- Metalfisa'!V$3,METALFISA!$B:$B,'Faltantes Fevereiro- Metalfisa'!$A10)</f>
        <v>0</v>
      </c>
      <c r="W10" s="31">
        <f>SUMIFS(METALFISA!$E:$E,METALFISA!$A:$A,'Faltantes Fevereiro- Metalfisa'!W$3,METALFISA!$B:$B,'Faltantes Fevereiro- Metalfisa'!$A10)</f>
        <v>0</v>
      </c>
      <c r="X10" s="31">
        <f>SUMIFS(METALFISA!$E:$E,METALFISA!$A:$A,'Faltantes Fevereiro- Metalfisa'!X$3,METALFISA!$B:$B,'Faltantes Fevereiro- Metalfisa'!$A10)</f>
        <v>0</v>
      </c>
      <c r="Y10" s="31">
        <f>SUMIFS(METALFISA!$E:$E,METALFISA!$A:$A,'Faltantes Fevereiro- Metalfisa'!Y$3,METALFISA!$B:$B,'Faltantes Fevereiro- Metalfisa'!$A10)</f>
        <v>0</v>
      </c>
      <c r="Z10" s="31">
        <f>SUMIFS(METALFISA!$E:$E,METALFISA!$A:$A,'Faltantes Fevereiro- Metalfisa'!Z$3,METALFISA!$B:$B,'Faltantes Fevereiro- Metalfisa'!$A10)</f>
        <v>0</v>
      </c>
      <c r="AA10" s="31">
        <f>SUMIFS(METALFISA!$E:$E,METALFISA!$A:$A,'Faltantes Fevereiro- Metalfisa'!AA$3,METALFISA!$B:$B,'Faltantes Fevereiro- Metalfisa'!$A10)</f>
        <v>0</v>
      </c>
      <c r="AB10" s="31">
        <f>SUMIFS(METALFISA!$E:$E,METALFISA!$A:$A,'Faltantes Fevereiro- Metalfisa'!AB$3,METALFISA!$B:$B,'Faltantes Fevereiro- Metalfisa'!$A10)</f>
        <v>0</v>
      </c>
      <c r="AC10" s="31">
        <f>SUMIFS(METALFISA!$E:$E,METALFISA!$A:$A,'Faltantes Fevereiro- Metalfisa'!AC$3,METALFISA!$B:$B,'Faltantes Fevereiro- Metalfisa'!$A10)</f>
        <v>1</v>
      </c>
      <c r="AD10" s="31">
        <f>SUMIFS(METALFISA!$E:$E,METALFISA!$A:$A,'Faltantes Fevereiro- Metalfisa'!AD$3,METALFISA!$B:$B,'Faltantes Fevereiro- Metalfisa'!$A10)</f>
        <v>0</v>
      </c>
      <c r="AE10" s="31">
        <f>SUMIFS(METALFISA!$E:$E,METALFISA!$A:$A,'Faltantes Fevereiro- Metalfisa'!AE$3,METALFISA!$B:$B,'Faltantes Fevereiro- Metalfisa'!$A10)</f>
        <v>0</v>
      </c>
      <c r="AF10" s="31">
        <f>SUMIFS(METALFISA!$E:$E,METALFISA!$A:$A,'Faltantes Fevereiro- Metalfisa'!AF$3,METALFISA!$B:$B,'Faltantes Fevereiro- Metalfisa'!$A10)</f>
        <v>0</v>
      </c>
      <c r="AG10" s="31">
        <f>SUMIFS(METALFISA!$E:$E,METALFISA!$A:$A,'Faltantes Fevereiro- Metalfisa'!AG$3,METALFISA!$B:$B,'Faltantes Fevereiro- Metalfisa'!$A10)</f>
        <v>2</v>
      </c>
      <c r="AH10" s="31">
        <f>SUMIFS(METALFISA!$E:$E,METALFISA!$A:$A,'Faltantes Fevereiro- Metalfisa'!AH$3,METALFISA!$B:$B,'Faltantes Fevereiro- Metalfisa'!$A10)</f>
        <v>0</v>
      </c>
      <c r="AI10" s="31">
        <f>SUMIFS(METALFISA!$E:$E,METALFISA!$A:$A,'Faltantes Fevereiro- Metalfisa'!AI$3,METALFISA!$B:$B,'Faltantes Fevereiro- Metalfisa'!$A10)</f>
        <v>0</v>
      </c>
      <c r="AJ10" s="31">
        <f>SUMIFS(METALFISA!$E:$E,METALFISA!$A:$A,'Faltantes Fevereiro- Metalfisa'!AJ$3,METALFISA!$B:$B,'Faltantes Fevereiro- Metalfisa'!$A10)</f>
        <v>0</v>
      </c>
      <c r="AK10" s="31">
        <f>SUMIFS(METALFISA!$E:$E,METALFISA!$A:$A,'Faltantes Fevereiro- Metalfisa'!AK$3,METALFISA!$B:$B,'Faltantes Fevereiro- Metalfisa'!$A10)</f>
        <v>0</v>
      </c>
      <c r="AL10" s="31">
        <f>SUMIFS(METALFISA!$E:$E,METALFISA!$A:$A,'Faltantes Fevereiro- Metalfisa'!AL$3,METALFISA!$B:$B,'Faltantes Fevereiro- Metalfisa'!$A10)</f>
        <v>0</v>
      </c>
      <c r="AM10" s="31">
        <f>SUMIFS(METALFISA!$E:$E,METALFISA!$A:$A,'Faltantes Fevereiro- Metalfisa'!AM$3,METALFISA!$B:$B,'Faltantes Fevereiro- Metalfisa'!$A10)</f>
        <v>0</v>
      </c>
      <c r="AN10" s="31">
        <f>SUMIFS(METALFISA!$E:$E,METALFISA!$A:$A,'Faltantes Fevereiro- Metalfisa'!AN$3,METALFISA!$B:$B,'Faltantes Fevereiro- Metalfisa'!$A10)</f>
        <v>0</v>
      </c>
      <c r="AO10" s="31">
        <f>SUMIFS(METALFISA!$E:$E,METALFISA!$A:$A,'Faltantes Fevereiro- Metalfisa'!AO$3,METALFISA!$B:$B,'Faltantes Fevereiro- Metalfisa'!$A10)</f>
        <v>0</v>
      </c>
      <c r="AP10" s="31">
        <f>SUMIFS(METALFISA!$E:$E,METALFISA!$A:$A,'Faltantes Fevereiro- Metalfisa'!AP$3,METALFISA!$B:$B,'Faltantes Fevereiro- Metalfisa'!$A10)</f>
        <v>0</v>
      </c>
      <c r="AQ10" s="31"/>
      <c r="AR10" s="31">
        <f>SUMIFS(METALFISA!$E:$E,METALFISA!$A:$A,'Faltantes Fevereiro- Metalfisa'!AR$3,METALFISA!$B:$B,'Faltantes Fevereiro- Metalfisa'!$A10)</f>
        <v>0</v>
      </c>
      <c r="AS10" s="35">
        <f>SUMIFS(METALFISA!$E:$E,METALFISA!$A:$A,'Faltantes Fevereiro- Metalfisa'!AS$3,METALFISA!$B:$B,'Faltantes Fevereiro- Metalfisa'!$A10)</f>
        <v>0</v>
      </c>
      <c r="AU10" s="18">
        <v>0</v>
      </c>
      <c r="AV10" s="18">
        <v>0</v>
      </c>
      <c r="AW10" s="18">
        <v>0</v>
      </c>
      <c r="AX10" s="18">
        <v>0</v>
      </c>
      <c r="AY10" s="41">
        <v>0</v>
      </c>
      <c r="AZ10" s="31">
        <v>0</v>
      </c>
      <c r="BA10" s="31">
        <v>0</v>
      </c>
      <c r="BB10" s="31">
        <v>0</v>
      </c>
      <c r="BC10" s="31">
        <v>0</v>
      </c>
      <c r="BD10" s="31">
        <v>0</v>
      </c>
      <c r="BE10" s="31">
        <v>0</v>
      </c>
      <c r="BF10" s="31">
        <v>0</v>
      </c>
      <c r="BG10" s="31">
        <v>0</v>
      </c>
      <c r="BH10" s="31">
        <v>0</v>
      </c>
      <c r="BI10" s="31">
        <v>0</v>
      </c>
      <c r="BJ10" s="31">
        <v>0</v>
      </c>
      <c r="BK10" s="31">
        <v>0</v>
      </c>
      <c r="BL10" s="31">
        <v>0</v>
      </c>
      <c r="BM10" s="31">
        <v>1</v>
      </c>
      <c r="BN10" s="31">
        <v>0</v>
      </c>
      <c r="BO10" s="31">
        <v>0</v>
      </c>
      <c r="BP10" s="31">
        <v>0</v>
      </c>
      <c r="BQ10" s="31">
        <v>0</v>
      </c>
      <c r="BR10" s="31">
        <v>0</v>
      </c>
      <c r="BS10" s="31">
        <v>0</v>
      </c>
      <c r="BT10" s="31">
        <v>0</v>
      </c>
      <c r="BU10" s="31">
        <v>0</v>
      </c>
      <c r="BV10" s="31">
        <v>0</v>
      </c>
      <c r="BW10" s="31">
        <v>0</v>
      </c>
      <c r="BX10" s="31">
        <v>0</v>
      </c>
      <c r="BY10" s="31">
        <v>0</v>
      </c>
      <c r="BZ10" s="31">
        <v>0</v>
      </c>
      <c r="CA10" s="31">
        <v>0</v>
      </c>
      <c r="CB10" s="31">
        <v>0</v>
      </c>
      <c r="CC10" s="31">
        <v>0</v>
      </c>
      <c r="CD10" s="31">
        <v>0</v>
      </c>
      <c r="CE10" s="31">
        <v>0</v>
      </c>
      <c r="CF10" s="31">
        <v>0</v>
      </c>
      <c r="CG10" s="31">
        <v>0</v>
      </c>
      <c r="CH10" s="31">
        <v>0</v>
      </c>
      <c r="CI10" s="31">
        <v>0</v>
      </c>
      <c r="CJ10" s="31">
        <v>0</v>
      </c>
      <c r="CK10" s="31">
        <v>0</v>
      </c>
      <c r="CL10" s="35">
        <v>0</v>
      </c>
    </row>
    <row r="11" spans="1:90" ht="21" x14ac:dyDescent="0.15">
      <c r="A11" s="27" t="s">
        <v>177</v>
      </c>
      <c r="B11" s="28" t="s">
        <v>178</v>
      </c>
      <c r="C11" s="28">
        <v>0</v>
      </c>
      <c r="D11" s="28">
        <v>0</v>
      </c>
      <c r="E11" s="28">
        <v>0</v>
      </c>
      <c r="F11" s="28">
        <v>0</v>
      </c>
      <c r="G11" s="28">
        <v>5</v>
      </c>
      <c r="H11" s="28">
        <f>IFERROR(VLOOKUP(A11,[1]FALTANTES!$A:$AB,28,FALSE),"-")</f>
        <v>0</v>
      </c>
      <c r="I11" s="42">
        <f>IFERROR(VLOOKUP(A11,[1]FALTANTES!$A:$AC,29,FALSE),"-")</f>
        <v>0</v>
      </c>
      <c r="J11" s="29">
        <f>IFERROR(VLOOKUP(A11,[1]FALTANTES!$A:$AD,30,FALSE),"-")</f>
        <v>-5</v>
      </c>
      <c r="K11" s="30">
        <v>0</v>
      </c>
      <c r="L11" s="30">
        <f t="shared" si="0"/>
        <v>48</v>
      </c>
      <c r="M11" s="31">
        <f>SUMIFS(METALFISA!$E:$E,METALFISA!$A:$A,'Faltantes Fevereiro- Metalfisa'!M$3,METALFISA!$B:$B,'Faltantes Fevereiro- Metalfisa'!$A11)</f>
        <v>0</v>
      </c>
      <c r="N11" s="31">
        <f>SUMIFS(METALFISA!$E:$E,METALFISA!$A:$A,'Faltantes Fevereiro- Metalfisa'!N$3,METALFISA!$B:$B,'Faltantes Fevereiro- Metalfisa'!$A11)</f>
        <v>0</v>
      </c>
      <c r="O11" s="31">
        <f>SUMIFS(METALFISA!$E:$E,METALFISA!$A:$A,'Faltantes Fevereiro- Metalfisa'!O$3,METALFISA!$B:$B,'Faltantes Fevereiro- Metalfisa'!$A11)</f>
        <v>0</v>
      </c>
      <c r="P11" s="31">
        <f>SUMIFS(METALFISA!$E:$E,METALFISA!$A:$A,'Faltantes Fevereiro- Metalfisa'!P$3,METALFISA!$B:$B,'Faltantes Fevereiro- Metalfisa'!$A11)</f>
        <v>0</v>
      </c>
      <c r="Q11" s="31">
        <f>SUMIFS(METALFISA!$E:$E,METALFISA!$A:$A,'Faltantes Fevereiro- Metalfisa'!Q$3,METALFISA!$B:$B,'Faltantes Fevereiro- Metalfisa'!$A11)</f>
        <v>0</v>
      </c>
      <c r="R11" s="31">
        <f>SUMIFS(METALFISA!$E:$E,METALFISA!$A:$A,'Faltantes Fevereiro- Metalfisa'!R$3,METALFISA!$B:$B,'Faltantes Fevereiro- Metalfisa'!$A11)</f>
        <v>0</v>
      </c>
      <c r="S11" s="31">
        <f>SUMIFS(METALFISA!$E:$E,METALFISA!$A:$A,'Faltantes Fevereiro- Metalfisa'!S$3,METALFISA!$B:$B,'Faltantes Fevereiro- Metalfisa'!$A11)</f>
        <v>0</v>
      </c>
      <c r="T11" s="31">
        <f>SUMIFS(METALFISA!$E:$E,METALFISA!$A:$A,'Faltantes Fevereiro- Metalfisa'!T$3,METALFISA!$B:$B,'Faltantes Fevereiro- Metalfisa'!$A11)</f>
        <v>0</v>
      </c>
      <c r="U11" s="31">
        <f>SUMIFS(METALFISA!$E:$E,METALFISA!$A:$A,'Faltantes Fevereiro- Metalfisa'!U$3,METALFISA!$B:$B,'Faltantes Fevereiro- Metalfisa'!$A11)</f>
        <v>0</v>
      </c>
      <c r="V11" s="31">
        <f>SUMIFS(METALFISA!$E:$E,METALFISA!$A:$A,'Faltantes Fevereiro- Metalfisa'!V$3,METALFISA!$B:$B,'Faltantes Fevereiro- Metalfisa'!$A11)</f>
        <v>0</v>
      </c>
      <c r="W11" s="31">
        <f>SUMIFS(METALFISA!$E:$E,METALFISA!$A:$A,'Faltantes Fevereiro- Metalfisa'!W$3,METALFISA!$B:$B,'Faltantes Fevereiro- Metalfisa'!$A11)</f>
        <v>0</v>
      </c>
      <c r="X11" s="31">
        <f>SUMIFS(METALFISA!$E:$E,METALFISA!$A:$A,'Faltantes Fevereiro- Metalfisa'!X$3,METALFISA!$B:$B,'Faltantes Fevereiro- Metalfisa'!$A11)</f>
        <v>0</v>
      </c>
      <c r="Y11" s="31">
        <f>SUMIFS(METALFISA!$E:$E,METALFISA!$A:$A,'Faltantes Fevereiro- Metalfisa'!Y$3,METALFISA!$B:$B,'Faltantes Fevereiro- Metalfisa'!$A11)</f>
        <v>0</v>
      </c>
      <c r="Z11" s="31">
        <f>SUMIFS(METALFISA!$E:$E,METALFISA!$A:$A,'Faltantes Fevereiro- Metalfisa'!Z$3,METALFISA!$B:$B,'Faltantes Fevereiro- Metalfisa'!$A11)</f>
        <v>0</v>
      </c>
      <c r="AA11" s="31">
        <f>SUMIFS(METALFISA!$E:$E,METALFISA!$A:$A,'Faltantes Fevereiro- Metalfisa'!AA$3,METALFISA!$B:$B,'Faltantes Fevereiro- Metalfisa'!$A11)</f>
        <v>0</v>
      </c>
      <c r="AB11" s="31">
        <f>SUMIFS(METALFISA!$E:$E,METALFISA!$A:$A,'Faltantes Fevereiro- Metalfisa'!AB$3,METALFISA!$B:$B,'Faltantes Fevereiro- Metalfisa'!$A11)</f>
        <v>0</v>
      </c>
      <c r="AC11" s="31">
        <f>SUMIFS(METALFISA!$E:$E,METALFISA!$A:$A,'Faltantes Fevereiro- Metalfisa'!AC$3,METALFISA!$B:$B,'Faltantes Fevereiro- Metalfisa'!$A11)</f>
        <v>16</v>
      </c>
      <c r="AD11" s="31">
        <f>SUMIFS(METALFISA!$E:$E,METALFISA!$A:$A,'Faltantes Fevereiro- Metalfisa'!AD$3,METALFISA!$B:$B,'Faltantes Fevereiro- Metalfisa'!$A11)</f>
        <v>0</v>
      </c>
      <c r="AE11" s="31">
        <f>SUMIFS(METALFISA!$E:$E,METALFISA!$A:$A,'Faltantes Fevereiro- Metalfisa'!AE$3,METALFISA!$B:$B,'Faltantes Fevereiro- Metalfisa'!$A11)</f>
        <v>0</v>
      </c>
      <c r="AF11" s="31">
        <f>SUMIFS(METALFISA!$E:$E,METALFISA!$A:$A,'Faltantes Fevereiro- Metalfisa'!AF$3,METALFISA!$B:$B,'Faltantes Fevereiro- Metalfisa'!$A11)</f>
        <v>0</v>
      </c>
      <c r="AG11" s="31">
        <f>SUMIFS(METALFISA!$E:$E,METALFISA!$A:$A,'Faltantes Fevereiro- Metalfisa'!AG$3,METALFISA!$B:$B,'Faltantes Fevereiro- Metalfisa'!$A11)</f>
        <v>32</v>
      </c>
      <c r="AH11" s="31">
        <f>SUMIFS(METALFISA!$E:$E,METALFISA!$A:$A,'Faltantes Fevereiro- Metalfisa'!AH$3,METALFISA!$B:$B,'Faltantes Fevereiro- Metalfisa'!$A11)</f>
        <v>0</v>
      </c>
      <c r="AI11" s="31">
        <f>SUMIFS(METALFISA!$E:$E,METALFISA!$A:$A,'Faltantes Fevereiro- Metalfisa'!AI$3,METALFISA!$B:$B,'Faltantes Fevereiro- Metalfisa'!$A11)</f>
        <v>0</v>
      </c>
      <c r="AJ11" s="31">
        <f>SUMIFS(METALFISA!$E:$E,METALFISA!$A:$A,'Faltantes Fevereiro- Metalfisa'!AJ$3,METALFISA!$B:$B,'Faltantes Fevereiro- Metalfisa'!$A11)</f>
        <v>0</v>
      </c>
      <c r="AK11" s="31">
        <f>SUMIFS(METALFISA!$E:$E,METALFISA!$A:$A,'Faltantes Fevereiro- Metalfisa'!AK$3,METALFISA!$B:$B,'Faltantes Fevereiro- Metalfisa'!$A11)</f>
        <v>0</v>
      </c>
      <c r="AL11" s="31">
        <f>SUMIFS(METALFISA!$E:$E,METALFISA!$A:$A,'Faltantes Fevereiro- Metalfisa'!AL$3,METALFISA!$B:$B,'Faltantes Fevereiro- Metalfisa'!$A11)</f>
        <v>0</v>
      </c>
      <c r="AM11" s="31">
        <f>SUMIFS(METALFISA!$E:$E,METALFISA!$A:$A,'Faltantes Fevereiro- Metalfisa'!AM$3,METALFISA!$B:$B,'Faltantes Fevereiro- Metalfisa'!$A11)</f>
        <v>0</v>
      </c>
      <c r="AN11" s="31">
        <f>SUMIFS(METALFISA!$E:$E,METALFISA!$A:$A,'Faltantes Fevereiro- Metalfisa'!AN$3,METALFISA!$B:$B,'Faltantes Fevereiro- Metalfisa'!$A11)</f>
        <v>0</v>
      </c>
      <c r="AO11" s="31">
        <f>SUMIFS(METALFISA!$E:$E,METALFISA!$A:$A,'Faltantes Fevereiro- Metalfisa'!AO$3,METALFISA!$B:$B,'Faltantes Fevereiro- Metalfisa'!$A11)</f>
        <v>0</v>
      </c>
      <c r="AP11" s="31">
        <f>SUMIFS(METALFISA!$E:$E,METALFISA!$A:$A,'Faltantes Fevereiro- Metalfisa'!AP$3,METALFISA!$B:$B,'Faltantes Fevereiro- Metalfisa'!$A11)</f>
        <v>0</v>
      </c>
      <c r="AQ11" s="31"/>
      <c r="AR11" s="31">
        <f>SUMIFS(METALFISA!$E:$E,METALFISA!$A:$A,'Faltantes Fevereiro- Metalfisa'!AR$3,METALFISA!$B:$B,'Faltantes Fevereiro- Metalfisa'!$A11)</f>
        <v>0</v>
      </c>
      <c r="AS11" s="35">
        <f>SUMIFS(METALFISA!$E:$E,METALFISA!$A:$A,'Faltantes Fevereiro- Metalfisa'!AS$3,METALFISA!$B:$B,'Faltantes Fevereiro- Metalfisa'!$A11)</f>
        <v>0</v>
      </c>
      <c r="AU11" s="18">
        <v>0</v>
      </c>
      <c r="AV11" s="18">
        <v>0</v>
      </c>
      <c r="AW11" s="18">
        <v>0</v>
      </c>
      <c r="AX11" s="18">
        <v>0</v>
      </c>
      <c r="AY11" s="41">
        <v>0</v>
      </c>
      <c r="AZ11" s="31">
        <v>0</v>
      </c>
      <c r="BA11" s="31">
        <v>0</v>
      </c>
      <c r="BB11" s="31">
        <v>0</v>
      </c>
      <c r="BC11" s="31">
        <v>0</v>
      </c>
      <c r="BD11" s="31">
        <v>0</v>
      </c>
      <c r="BE11" s="31">
        <v>0</v>
      </c>
      <c r="BF11" s="31">
        <v>0</v>
      </c>
      <c r="BG11" s="31">
        <v>0</v>
      </c>
      <c r="BH11" s="31">
        <v>0</v>
      </c>
      <c r="BI11" s="31">
        <v>0</v>
      </c>
      <c r="BJ11" s="31">
        <v>0</v>
      </c>
      <c r="BK11" s="31">
        <v>0</v>
      </c>
      <c r="BL11" s="31">
        <v>0</v>
      </c>
      <c r="BM11" s="31">
        <v>16</v>
      </c>
      <c r="BN11" s="31">
        <v>0</v>
      </c>
      <c r="BO11" s="31">
        <v>0</v>
      </c>
      <c r="BP11" s="31">
        <v>0</v>
      </c>
      <c r="BQ11" s="31">
        <v>0</v>
      </c>
      <c r="BR11" s="31">
        <v>0</v>
      </c>
      <c r="BS11" s="31">
        <v>0</v>
      </c>
      <c r="BT11" s="31">
        <v>0</v>
      </c>
      <c r="BU11" s="31">
        <v>0</v>
      </c>
      <c r="BV11" s="31">
        <v>0</v>
      </c>
      <c r="BW11" s="31">
        <v>0</v>
      </c>
      <c r="BX11" s="31">
        <v>0</v>
      </c>
      <c r="BY11" s="31">
        <v>0</v>
      </c>
      <c r="BZ11" s="31">
        <v>0</v>
      </c>
      <c r="CA11" s="31">
        <v>0</v>
      </c>
      <c r="CB11" s="31">
        <v>0</v>
      </c>
      <c r="CC11" s="31">
        <v>0</v>
      </c>
      <c r="CD11" s="31">
        <v>0</v>
      </c>
      <c r="CE11" s="31">
        <v>0</v>
      </c>
      <c r="CF11" s="31">
        <v>0</v>
      </c>
      <c r="CG11" s="31">
        <v>0</v>
      </c>
      <c r="CH11" s="31">
        <v>0</v>
      </c>
      <c r="CI11" s="31">
        <v>0</v>
      </c>
      <c r="CJ11" s="31">
        <v>0</v>
      </c>
      <c r="CK11" s="31">
        <v>0</v>
      </c>
      <c r="CL11" s="35">
        <v>0</v>
      </c>
    </row>
    <row r="12" spans="1:90" ht="31.5" x14ac:dyDescent="0.15">
      <c r="A12" s="27" t="s">
        <v>534</v>
      </c>
      <c r="B12" s="28" t="s">
        <v>535</v>
      </c>
      <c r="C12" s="28">
        <v>0</v>
      </c>
      <c r="D12" s="28">
        <v>0</v>
      </c>
      <c r="E12" s="28">
        <v>0</v>
      </c>
      <c r="F12" s="28">
        <v>0</v>
      </c>
      <c r="G12" s="28">
        <v>4</v>
      </c>
      <c r="H12" s="28">
        <f>IFERROR(VLOOKUP(A12,[1]FALTANTES!$A:$AB,28,FALSE),"-")</f>
        <v>0</v>
      </c>
      <c r="I12" s="42">
        <f>IFERROR(VLOOKUP(A12,[1]FALTANTES!$A:$AC,29,FALSE),"-")</f>
        <v>2</v>
      </c>
      <c r="J12" s="29">
        <f>IFERROR(VLOOKUP(A12,[1]FALTANTES!$A:$AD,30,FALSE),"-")</f>
        <v>-2</v>
      </c>
      <c r="K12" s="30" t="s">
        <v>5637</v>
      </c>
      <c r="L12" s="30">
        <f t="shared" si="0"/>
        <v>1</v>
      </c>
      <c r="M12" s="31">
        <f>SUMIFS(METALFISA!$E:$E,METALFISA!$A:$A,'Faltantes Fevereiro- Metalfisa'!M$3,METALFISA!$B:$B,'Faltantes Fevereiro- Metalfisa'!$A12)</f>
        <v>0</v>
      </c>
      <c r="N12" s="31">
        <f>SUMIFS(METALFISA!$E:$E,METALFISA!$A:$A,'Faltantes Fevereiro- Metalfisa'!N$3,METALFISA!$B:$B,'Faltantes Fevereiro- Metalfisa'!$A12)</f>
        <v>0</v>
      </c>
      <c r="O12" s="31">
        <f>SUMIFS(METALFISA!$E:$E,METALFISA!$A:$A,'Faltantes Fevereiro- Metalfisa'!O$3,METALFISA!$B:$B,'Faltantes Fevereiro- Metalfisa'!$A12)</f>
        <v>0</v>
      </c>
      <c r="P12" s="31">
        <f>SUMIFS(METALFISA!$E:$E,METALFISA!$A:$A,'Faltantes Fevereiro- Metalfisa'!P$3,METALFISA!$B:$B,'Faltantes Fevereiro- Metalfisa'!$A12)</f>
        <v>0</v>
      </c>
      <c r="Q12" s="31">
        <f>SUMIFS(METALFISA!$E:$E,METALFISA!$A:$A,'Faltantes Fevereiro- Metalfisa'!Q$3,METALFISA!$B:$B,'Faltantes Fevereiro- Metalfisa'!$A12)</f>
        <v>0</v>
      </c>
      <c r="R12" s="31">
        <f>SUMIFS(METALFISA!$E:$E,METALFISA!$A:$A,'Faltantes Fevereiro- Metalfisa'!R$3,METALFISA!$B:$B,'Faltantes Fevereiro- Metalfisa'!$A12)</f>
        <v>0</v>
      </c>
      <c r="S12" s="31">
        <f>SUMIFS(METALFISA!$E:$E,METALFISA!$A:$A,'Faltantes Fevereiro- Metalfisa'!S$3,METALFISA!$B:$B,'Faltantes Fevereiro- Metalfisa'!$A12)</f>
        <v>0</v>
      </c>
      <c r="T12" s="31">
        <f>SUMIFS(METALFISA!$E:$E,METALFISA!$A:$A,'Faltantes Fevereiro- Metalfisa'!T$3,METALFISA!$B:$B,'Faltantes Fevereiro- Metalfisa'!$A12)</f>
        <v>0</v>
      </c>
      <c r="U12" s="31">
        <f>SUMIFS(METALFISA!$E:$E,METALFISA!$A:$A,'Faltantes Fevereiro- Metalfisa'!U$3,METALFISA!$B:$B,'Faltantes Fevereiro- Metalfisa'!$A12)</f>
        <v>0</v>
      </c>
      <c r="V12" s="31">
        <f>SUMIFS(METALFISA!$E:$E,METALFISA!$A:$A,'Faltantes Fevereiro- Metalfisa'!V$3,METALFISA!$B:$B,'Faltantes Fevereiro- Metalfisa'!$A12)</f>
        <v>0</v>
      </c>
      <c r="W12" s="31">
        <f>SUMIFS(METALFISA!$E:$E,METALFISA!$A:$A,'Faltantes Fevereiro- Metalfisa'!W$3,METALFISA!$B:$B,'Faltantes Fevereiro- Metalfisa'!$A12)</f>
        <v>0</v>
      </c>
      <c r="X12" s="31">
        <f>SUMIFS(METALFISA!$E:$E,METALFISA!$A:$A,'Faltantes Fevereiro- Metalfisa'!X$3,METALFISA!$B:$B,'Faltantes Fevereiro- Metalfisa'!$A12)</f>
        <v>0</v>
      </c>
      <c r="Y12" s="31">
        <f>SUMIFS(METALFISA!$E:$E,METALFISA!$A:$A,'Faltantes Fevereiro- Metalfisa'!Y$3,METALFISA!$B:$B,'Faltantes Fevereiro- Metalfisa'!$A12)</f>
        <v>0</v>
      </c>
      <c r="Z12" s="31">
        <f>SUMIFS(METALFISA!$E:$E,METALFISA!$A:$A,'Faltantes Fevereiro- Metalfisa'!Z$3,METALFISA!$B:$B,'Faltantes Fevereiro- Metalfisa'!$A12)</f>
        <v>0</v>
      </c>
      <c r="AA12" s="31">
        <f>SUMIFS(METALFISA!$E:$E,METALFISA!$A:$A,'Faltantes Fevereiro- Metalfisa'!AA$3,METALFISA!$B:$B,'Faltantes Fevereiro- Metalfisa'!$A12)</f>
        <v>0</v>
      </c>
      <c r="AB12" s="31">
        <f>SUMIFS(METALFISA!$E:$E,METALFISA!$A:$A,'Faltantes Fevereiro- Metalfisa'!AB$3,METALFISA!$B:$B,'Faltantes Fevereiro- Metalfisa'!$A12)</f>
        <v>0</v>
      </c>
      <c r="AC12" s="31">
        <f>SUMIFS(METALFISA!$E:$E,METALFISA!$A:$A,'Faltantes Fevereiro- Metalfisa'!AC$3,METALFISA!$B:$B,'Faltantes Fevereiro- Metalfisa'!$A12)</f>
        <v>1</v>
      </c>
      <c r="AD12" s="31">
        <f>SUMIFS(METALFISA!$E:$E,METALFISA!$A:$A,'Faltantes Fevereiro- Metalfisa'!AD$3,METALFISA!$B:$B,'Faltantes Fevereiro- Metalfisa'!$A12)</f>
        <v>0</v>
      </c>
      <c r="AE12" s="31">
        <f>SUMIFS(METALFISA!$E:$E,METALFISA!$A:$A,'Faltantes Fevereiro- Metalfisa'!AE$3,METALFISA!$B:$B,'Faltantes Fevereiro- Metalfisa'!$A12)</f>
        <v>0</v>
      </c>
      <c r="AF12" s="31">
        <f>SUMIFS(METALFISA!$E:$E,METALFISA!$A:$A,'Faltantes Fevereiro- Metalfisa'!AF$3,METALFISA!$B:$B,'Faltantes Fevereiro- Metalfisa'!$A12)</f>
        <v>0</v>
      </c>
      <c r="AG12" s="31">
        <f>SUMIFS(METALFISA!$E:$E,METALFISA!$A:$A,'Faltantes Fevereiro- Metalfisa'!AG$3,METALFISA!$B:$B,'Faltantes Fevereiro- Metalfisa'!$A12)</f>
        <v>0</v>
      </c>
      <c r="AH12" s="31">
        <f>SUMIFS(METALFISA!$E:$E,METALFISA!$A:$A,'Faltantes Fevereiro- Metalfisa'!AH$3,METALFISA!$B:$B,'Faltantes Fevereiro- Metalfisa'!$A12)</f>
        <v>0</v>
      </c>
      <c r="AI12" s="31">
        <f>SUMIFS(METALFISA!$E:$E,METALFISA!$A:$A,'Faltantes Fevereiro- Metalfisa'!AI$3,METALFISA!$B:$B,'Faltantes Fevereiro- Metalfisa'!$A12)</f>
        <v>0</v>
      </c>
      <c r="AJ12" s="31">
        <f>SUMIFS(METALFISA!$E:$E,METALFISA!$A:$A,'Faltantes Fevereiro- Metalfisa'!AJ$3,METALFISA!$B:$B,'Faltantes Fevereiro- Metalfisa'!$A12)</f>
        <v>0</v>
      </c>
      <c r="AK12" s="31">
        <f>SUMIFS(METALFISA!$E:$E,METALFISA!$A:$A,'Faltantes Fevereiro- Metalfisa'!AK$3,METALFISA!$B:$B,'Faltantes Fevereiro- Metalfisa'!$A12)</f>
        <v>0</v>
      </c>
      <c r="AL12" s="31">
        <f>SUMIFS(METALFISA!$E:$E,METALFISA!$A:$A,'Faltantes Fevereiro- Metalfisa'!AL$3,METALFISA!$B:$B,'Faltantes Fevereiro- Metalfisa'!$A12)</f>
        <v>0</v>
      </c>
      <c r="AM12" s="31">
        <f>SUMIFS(METALFISA!$E:$E,METALFISA!$A:$A,'Faltantes Fevereiro- Metalfisa'!AM$3,METALFISA!$B:$B,'Faltantes Fevereiro- Metalfisa'!$A12)</f>
        <v>0</v>
      </c>
      <c r="AN12" s="31">
        <f>SUMIFS(METALFISA!$E:$E,METALFISA!$A:$A,'Faltantes Fevereiro- Metalfisa'!AN$3,METALFISA!$B:$B,'Faltantes Fevereiro- Metalfisa'!$A12)</f>
        <v>0</v>
      </c>
      <c r="AO12" s="31">
        <f>SUMIFS(METALFISA!$E:$E,METALFISA!$A:$A,'Faltantes Fevereiro- Metalfisa'!AO$3,METALFISA!$B:$B,'Faltantes Fevereiro- Metalfisa'!$A12)</f>
        <v>0</v>
      </c>
      <c r="AP12" s="31">
        <f>SUMIFS(METALFISA!$E:$E,METALFISA!$A:$A,'Faltantes Fevereiro- Metalfisa'!AP$3,METALFISA!$B:$B,'Faltantes Fevereiro- Metalfisa'!$A12)</f>
        <v>0</v>
      </c>
      <c r="AQ12" s="31"/>
      <c r="AR12" s="31">
        <f>SUMIFS(METALFISA!$E:$E,METALFISA!$A:$A,'Faltantes Fevereiro- Metalfisa'!AR$3,METALFISA!$B:$B,'Faltantes Fevereiro- Metalfisa'!$A12)</f>
        <v>0</v>
      </c>
      <c r="AS12" s="35">
        <f>SUMIFS(METALFISA!$E:$E,METALFISA!$A:$A,'Faltantes Fevereiro- Metalfisa'!AS$3,METALFISA!$B:$B,'Faltantes Fevereiro- Metalfisa'!$A12)</f>
        <v>0</v>
      </c>
      <c r="AU12" s="18">
        <v>0</v>
      </c>
      <c r="AV12" s="18">
        <v>0</v>
      </c>
      <c r="AW12" s="18">
        <v>0</v>
      </c>
      <c r="AX12" s="18">
        <v>0</v>
      </c>
      <c r="AY12" s="41">
        <v>0</v>
      </c>
      <c r="AZ12" s="31">
        <v>0</v>
      </c>
      <c r="BA12" s="31">
        <v>0</v>
      </c>
      <c r="BB12" s="31">
        <v>0</v>
      </c>
      <c r="BC12" s="31">
        <v>0</v>
      </c>
      <c r="BD12" s="31">
        <v>0</v>
      </c>
      <c r="BE12" s="31">
        <v>0</v>
      </c>
      <c r="BF12" s="31">
        <v>0</v>
      </c>
      <c r="BG12" s="31">
        <v>0</v>
      </c>
      <c r="BH12" s="31">
        <v>0</v>
      </c>
      <c r="BI12" s="31">
        <v>0</v>
      </c>
      <c r="BJ12" s="31">
        <v>0</v>
      </c>
      <c r="BK12" s="31">
        <v>0</v>
      </c>
      <c r="BL12" s="31">
        <v>0</v>
      </c>
      <c r="BM12" s="31">
        <v>1</v>
      </c>
      <c r="BN12" s="31">
        <v>0</v>
      </c>
      <c r="BO12" s="31">
        <v>0</v>
      </c>
      <c r="BP12" s="31">
        <v>0</v>
      </c>
      <c r="BQ12" s="31">
        <v>0</v>
      </c>
      <c r="BR12" s="31">
        <v>0</v>
      </c>
      <c r="BS12" s="31">
        <v>0</v>
      </c>
      <c r="BT12" s="31">
        <v>0</v>
      </c>
      <c r="BU12" s="31">
        <v>0</v>
      </c>
      <c r="BV12" s="31">
        <v>0</v>
      </c>
      <c r="BW12" s="31">
        <v>0</v>
      </c>
      <c r="BX12" s="31">
        <v>0</v>
      </c>
      <c r="BY12" s="31">
        <v>0</v>
      </c>
      <c r="BZ12" s="31">
        <v>0</v>
      </c>
      <c r="CA12" s="31">
        <v>0</v>
      </c>
      <c r="CB12" s="31">
        <v>0</v>
      </c>
      <c r="CC12" s="31">
        <v>0</v>
      </c>
      <c r="CD12" s="31">
        <v>0</v>
      </c>
      <c r="CE12" s="31">
        <v>0</v>
      </c>
      <c r="CF12" s="31">
        <v>0</v>
      </c>
      <c r="CG12" s="31">
        <v>0</v>
      </c>
      <c r="CH12" s="31">
        <v>0</v>
      </c>
      <c r="CI12" s="31">
        <v>0</v>
      </c>
      <c r="CJ12" s="31">
        <v>0</v>
      </c>
      <c r="CK12" s="31">
        <v>0</v>
      </c>
      <c r="CL12" s="35">
        <v>0</v>
      </c>
    </row>
    <row r="13" spans="1:90" ht="21" x14ac:dyDescent="0.15">
      <c r="A13" s="27" t="s">
        <v>536</v>
      </c>
      <c r="B13" s="28" t="s">
        <v>537</v>
      </c>
      <c r="C13" s="28">
        <v>0</v>
      </c>
      <c r="D13" s="28">
        <v>0</v>
      </c>
      <c r="E13" s="28">
        <v>0</v>
      </c>
      <c r="F13" s="28">
        <v>0</v>
      </c>
      <c r="G13" s="28">
        <v>8</v>
      </c>
      <c r="H13" s="28">
        <f>IFERROR(VLOOKUP(A13,[1]FALTANTES!$A:$AB,28,FALSE),"-")</f>
        <v>0</v>
      </c>
      <c r="I13" s="42">
        <f>IFERROR(VLOOKUP(A13,[1]FALTANTES!$A:$AC,29,FALSE),"-")</f>
        <v>0</v>
      </c>
      <c r="J13" s="29">
        <f>IFERROR(VLOOKUP(A13,[1]FALTANTES!$A:$AD,30,FALSE),"-")</f>
        <v>-8</v>
      </c>
      <c r="K13" s="30">
        <v>0</v>
      </c>
      <c r="L13" s="30">
        <f t="shared" si="0"/>
        <v>8</v>
      </c>
      <c r="M13" s="31">
        <f>SUMIFS(METALFISA!$E:$E,METALFISA!$A:$A,'Faltantes Fevereiro- Metalfisa'!M$3,METALFISA!$B:$B,'Faltantes Fevereiro- Metalfisa'!$A13)</f>
        <v>0</v>
      </c>
      <c r="N13" s="31">
        <f>SUMIFS(METALFISA!$E:$E,METALFISA!$A:$A,'Faltantes Fevereiro- Metalfisa'!N$3,METALFISA!$B:$B,'Faltantes Fevereiro- Metalfisa'!$A13)</f>
        <v>0</v>
      </c>
      <c r="O13" s="31">
        <f>SUMIFS(METALFISA!$E:$E,METALFISA!$A:$A,'Faltantes Fevereiro- Metalfisa'!O$3,METALFISA!$B:$B,'Faltantes Fevereiro- Metalfisa'!$A13)</f>
        <v>0</v>
      </c>
      <c r="P13" s="31">
        <f>SUMIFS(METALFISA!$E:$E,METALFISA!$A:$A,'Faltantes Fevereiro- Metalfisa'!P$3,METALFISA!$B:$B,'Faltantes Fevereiro- Metalfisa'!$A13)</f>
        <v>0</v>
      </c>
      <c r="Q13" s="31">
        <f>SUMIFS(METALFISA!$E:$E,METALFISA!$A:$A,'Faltantes Fevereiro- Metalfisa'!Q$3,METALFISA!$B:$B,'Faltantes Fevereiro- Metalfisa'!$A13)</f>
        <v>0</v>
      </c>
      <c r="R13" s="31">
        <f>SUMIFS(METALFISA!$E:$E,METALFISA!$A:$A,'Faltantes Fevereiro- Metalfisa'!R$3,METALFISA!$B:$B,'Faltantes Fevereiro- Metalfisa'!$A13)</f>
        <v>0</v>
      </c>
      <c r="S13" s="31">
        <f>SUMIFS(METALFISA!$E:$E,METALFISA!$A:$A,'Faltantes Fevereiro- Metalfisa'!S$3,METALFISA!$B:$B,'Faltantes Fevereiro- Metalfisa'!$A13)</f>
        <v>0</v>
      </c>
      <c r="T13" s="31">
        <f>SUMIFS(METALFISA!$E:$E,METALFISA!$A:$A,'Faltantes Fevereiro- Metalfisa'!T$3,METALFISA!$B:$B,'Faltantes Fevereiro- Metalfisa'!$A13)</f>
        <v>0</v>
      </c>
      <c r="U13" s="31">
        <f>SUMIFS(METALFISA!$E:$E,METALFISA!$A:$A,'Faltantes Fevereiro- Metalfisa'!U$3,METALFISA!$B:$B,'Faltantes Fevereiro- Metalfisa'!$A13)</f>
        <v>0</v>
      </c>
      <c r="V13" s="31">
        <f>SUMIFS(METALFISA!$E:$E,METALFISA!$A:$A,'Faltantes Fevereiro- Metalfisa'!V$3,METALFISA!$B:$B,'Faltantes Fevereiro- Metalfisa'!$A13)</f>
        <v>0</v>
      </c>
      <c r="W13" s="31">
        <f>SUMIFS(METALFISA!$E:$E,METALFISA!$A:$A,'Faltantes Fevereiro- Metalfisa'!W$3,METALFISA!$B:$B,'Faltantes Fevereiro- Metalfisa'!$A13)</f>
        <v>0</v>
      </c>
      <c r="X13" s="31">
        <f>SUMIFS(METALFISA!$E:$E,METALFISA!$A:$A,'Faltantes Fevereiro- Metalfisa'!X$3,METALFISA!$B:$B,'Faltantes Fevereiro- Metalfisa'!$A13)</f>
        <v>0</v>
      </c>
      <c r="Y13" s="31">
        <f>SUMIFS(METALFISA!$E:$E,METALFISA!$A:$A,'Faltantes Fevereiro- Metalfisa'!Y$3,METALFISA!$B:$B,'Faltantes Fevereiro- Metalfisa'!$A13)</f>
        <v>0</v>
      </c>
      <c r="Z13" s="31">
        <f>SUMIFS(METALFISA!$E:$E,METALFISA!$A:$A,'Faltantes Fevereiro- Metalfisa'!Z$3,METALFISA!$B:$B,'Faltantes Fevereiro- Metalfisa'!$A13)</f>
        <v>0</v>
      </c>
      <c r="AA13" s="31">
        <f>SUMIFS(METALFISA!$E:$E,METALFISA!$A:$A,'Faltantes Fevereiro- Metalfisa'!AA$3,METALFISA!$B:$B,'Faltantes Fevereiro- Metalfisa'!$A13)</f>
        <v>0</v>
      </c>
      <c r="AB13" s="31">
        <f>SUMIFS(METALFISA!$E:$E,METALFISA!$A:$A,'Faltantes Fevereiro- Metalfisa'!AB$3,METALFISA!$B:$B,'Faltantes Fevereiro- Metalfisa'!$A13)</f>
        <v>0</v>
      </c>
      <c r="AC13" s="31">
        <f>SUMIFS(METALFISA!$E:$E,METALFISA!$A:$A,'Faltantes Fevereiro- Metalfisa'!AC$3,METALFISA!$B:$B,'Faltantes Fevereiro- Metalfisa'!$A13)</f>
        <v>0</v>
      </c>
      <c r="AD13" s="31">
        <f>SUMIFS(METALFISA!$E:$E,METALFISA!$A:$A,'Faltantes Fevereiro- Metalfisa'!AD$3,METALFISA!$B:$B,'Faltantes Fevereiro- Metalfisa'!$A13)</f>
        <v>0</v>
      </c>
      <c r="AE13" s="31">
        <f>SUMIFS(METALFISA!$E:$E,METALFISA!$A:$A,'Faltantes Fevereiro- Metalfisa'!AE$3,METALFISA!$B:$B,'Faltantes Fevereiro- Metalfisa'!$A13)</f>
        <v>0</v>
      </c>
      <c r="AF13" s="31">
        <f>SUMIFS(METALFISA!$E:$E,METALFISA!$A:$A,'Faltantes Fevereiro- Metalfisa'!AF$3,METALFISA!$B:$B,'Faltantes Fevereiro- Metalfisa'!$A13)</f>
        <v>0</v>
      </c>
      <c r="AG13" s="31">
        <f>SUMIFS(METALFISA!$E:$E,METALFISA!$A:$A,'Faltantes Fevereiro- Metalfisa'!AG$3,METALFISA!$B:$B,'Faltantes Fevereiro- Metalfisa'!$A13)</f>
        <v>8</v>
      </c>
      <c r="AH13" s="31">
        <f>SUMIFS(METALFISA!$E:$E,METALFISA!$A:$A,'Faltantes Fevereiro- Metalfisa'!AH$3,METALFISA!$B:$B,'Faltantes Fevereiro- Metalfisa'!$A13)</f>
        <v>0</v>
      </c>
      <c r="AI13" s="31">
        <f>SUMIFS(METALFISA!$E:$E,METALFISA!$A:$A,'Faltantes Fevereiro- Metalfisa'!AI$3,METALFISA!$B:$B,'Faltantes Fevereiro- Metalfisa'!$A13)</f>
        <v>0</v>
      </c>
      <c r="AJ13" s="31">
        <f>SUMIFS(METALFISA!$E:$E,METALFISA!$A:$A,'Faltantes Fevereiro- Metalfisa'!AJ$3,METALFISA!$B:$B,'Faltantes Fevereiro- Metalfisa'!$A13)</f>
        <v>0</v>
      </c>
      <c r="AK13" s="31">
        <f>SUMIFS(METALFISA!$E:$E,METALFISA!$A:$A,'Faltantes Fevereiro- Metalfisa'!AK$3,METALFISA!$B:$B,'Faltantes Fevereiro- Metalfisa'!$A13)</f>
        <v>0</v>
      </c>
      <c r="AL13" s="31">
        <f>SUMIFS(METALFISA!$E:$E,METALFISA!$A:$A,'Faltantes Fevereiro- Metalfisa'!AL$3,METALFISA!$B:$B,'Faltantes Fevereiro- Metalfisa'!$A13)</f>
        <v>0</v>
      </c>
      <c r="AM13" s="31">
        <f>SUMIFS(METALFISA!$E:$E,METALFISA!$A:$A,'Faltantes Fevereiro- Metalfisa'!AM$3,METALFISA!$B:$B,'Faltantes Fevereiro- Metalfisa'!$A13)</f>
        <v>0</v>
      </c>
      <c r="AN13" s="31">
        <f>SUMIFS(METALFISA!$E:$E,METALFISA!$A:$A,'Faltantes Fevereiro- Metalfisa'!AN$3,METALFISA!$B:$B,'Faltantes Fevereiro- Metalfisa'!$A13)</f>
        <v>0</v>
      </c>
      <c r="AO13" s="31">
        <f>SUMIFS(METALFISA!$E:$E,METALFISA!$A:$A,'Faltantes Fevereiro- Metalfisa'!AO$3,METALFISA!$B:$B,'Faltantes Fevereiro- Metalfisa'!$A13)</f>
        <v>0</v>
      </c>
      <c r="AP13" s="31">
        <f>SUMIFS(METALFISA!$E:$E,METALFISA!$A:$A,'Faltantes Fevereiro- Metalfisa'!AP$3,METALFISA!$B:$B,'Faltantes Fevereiro- Metalfisa'!$A13)</f>
        <v>0</v>
      </c>
      <c r="AQ13" s="31"/>
      <c r="AR13" s="31">
        <f>SUMIFS(METALFISA!$E:$E,METALFISA!$A:$A,'Faltantes Fevereiro- Metalfisa'!AR$3,METALFISA!$B:$B,'Faltantes Fevereiro- Metalfisa'!$A13)</f>
        <v>0</v>
      </c>
      <c r="AS13" s="35">
        <f>SUMIFS(METALFISA!$E:$E,METALFISA!$A:$A,'Faltantes Fevereiro- Metalfisa'!AS$3,METALFISA!$B:$B,'Faltantes Fevereiro- Metalfisa'!$A13)</f>
        <v>0</v>
      </c>
      <c r="AU13" s="18">
        <v>0</v>
      </c>
      <c r="AV13" s="18">
        <v>0</v>
      </c>
      <c r="AW13" s="18">
        <v>0</v>
      </c>
      <c r="AX13" s="18">
        <v>0</v>
      </c>
      <c r="AY13" s="41">
        <v>0</v>
      </c>
      <c r="AZ13" s="31">
        <v>0</v>
      </c>
      <c r="BA13" s="31">
        <v>0</v>
      </c>
      <c r="BB13" s="31">
        <v>0</v>
      </c>
      <c r="BC13" s="31">
        <v>0</v>
      </c>
      <c r="BD13" s="31">
        <v>0</v>
      </c>
      <c r="BE13" s="31">
        <v>0</v>
      </c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4</v>
      </c>
      <c r="BN13" s="31">
        <v>0</v>
      </c>
      <c r="BO13" s="31">
        <v>0</v>
      </c>
      <c r="BP13" s="31">
        <v>0</v>
      </c>
      <c r="BQ13" s="31">
        <v>0</v>
      </c>
      <c r="BR13" s="31">
        <v>0</v>
      </c>
      <c r="BS13" s="31">
        <v>0</v>
      </c>
      <c r="BT13" s="31">
        <v>0</v>
      </c>
      <c r="BU13" s="31">
        <v>0</v>
      </c>
      <c r="BV13" s="31">
        <v>0</v>
      </c>
      <c r="BW13" s="31">
        <v>0</v>
      </c>
      <c r="BX13" s="31">
        <v>0</v>
      </c>
      <c r="BY13" s="31">
        <v>0</v>
      </c>
      <c r="BZ13" s="31">
        <v>0</v>
      </c>
      <c r="CA13" s="31">
        <v>0</v>
      </c>
      <c r="CB13" s="31">
        <v>0</v>
      </c>
      <c r="CC13" s="31">
        <v>0</v>
      </c>
      <c r="CD13" s="31">
        <v>0</v>
      </c>
      <c r="CE13" s="31">
        <v>0</v>
      </c>
      <c r="CF13" s="31">
        <v>0</v>
      </c>
      <c r="CG13" s="31">
        <v>0</v>
      </c>
      <c r="CH13" s="31">
        <v>0</v>
      </c>
      <c r="CI13" s="31">
        <v>0</v>
      </c>
      <c r="CJ13" s="31">
        <v>0</v>
      </c>
      <c r="CK13" s="31">
        <v>0</v>
      </c>
      <c r="CL13" s="35">
        <v>0</v>
      </c>
    </row>
    <row r="14" spans="1:90" ht="21" x14ac:dyDescent="0.15">
      <c r="A14" s="27" t="s">
        <v>539</v>
      </c>
      <c r="B14" s="28" t="s">
        <v>540</v>
      </c>
      <c r="C14" s="28">
        <v>0</v>
      </c>
      <c r="D14" s="28">
        <v>0</v>
      </c>
      <c r="E14" s="28">
        <v>0</v>
      </c>
      <c r="F14" s="28">
        <v>0</v>
      </c>
      <c r="G14" s="28">
        <v>4</v>
      </c>
      <c r="H14" s="28">
        <f>IFERROR(VLOOKUP(A14,[1]FALTANTES!$A:$AB,28,FALSE),"-")</f>
        <v>0</v>
      </c>
      <c r="I14" s="42">
        <f>IFERROR(VLOOKUP(A14,[1]FALTANTES!$A:$AC,29,FALSE),"-")</f>
        <v>0</v>
      </c>
      <c r="J14" s="29">
        <f>IFERROR(VLOOKUP(A14,[1]FALTANTES!$A:$AD,30,FALSE),"-")</f>
        <v>-4</v>
      </c>
      <c r="K14" s="30">
        <v>0</v>
      </c>
      <c r="L14" s="30">
        <f t="shared" si="0"/>
        <v>4</v>
      </c>
      <c r="M14" s="31">
        <f>SUMIFS(METALFISA!$E:$E,METALFISA!$A:$A,'Faltantes Fevereiro- Metalfisa'!M$3,METALFISA!$B:$B,'Faltantes Fevereiro- Metalfisa'!$A14)</f>
        <v>0</v>
      </c>
      <c r="N14" s="31">
        <f>SUMIFS(METALFISA!$E:$E,METALFISA!$A:$A,'Faltantes Fevereiro- Metalfisa'!N$3,METALFISA!$B:$B,'Faltantes Fevereiro- Metalfisa'!$A14)</f>
        <v>0</v>
      </c>
      <c r="O14" s="31">
        <f>SUMIFS(METALFISA!$E:$E,METALFISA!$A:$A,'Faltantes Fevereiro- Metalfisa'!O$3,METALFISA!$B:$B,'Faltantes Fevereiro- Metalfisa'!$A14)</f>
        <v>0</v>
      </c>
      <c r="P14" s="31">
        <f>SUMIFS(METALFISA!$E:$E,METALFISA!$A:$A,'Faltantes Fevereiro- Metalfisa'!P$3,METALFISA!$B:$B,'Faltantes Fevereiro- Metalfisa'!$A14)</f>
        <v>0</v>
      </c>
      <c r="Q14" s="31">
        <f>SUMIFS(METALFISA!$E:$E,METALFISA!$A:$A,'Faltantes Fevereiro- Metalfisa'!Q$3,METALFISA!$B:$B,'Faltantes Fevereiro- Metalfisa'!$A14)</f>
        <v>0</v>
      </c>
      <c r="R14" s="31">
        <f>SUMIFS(METALFISA!$E:$E,METALFISA!$A:$A,'Faltantes Fevereiro- Metalfisa'!R$3,METALFISA!$B:$B,'Faltantes Fevereiro- Metalfisa'!$A14)</f>
        <v>0</v>
      </c>
      <c r="S14" s="31">
        <f>SUMIFS(METALFISA!$E:$E,METALFISA!$A:$A,'Faltantes Fevereiro- Metalfisa'!S$3,METALFISA!$B:$B,'Faltantes Fevereiro- Metalfisa'!$A14)</f>
        <v>0</v>
      </c>
      <c r="T14" s="31">
        <f>SUMIFS(METALFISA!$E:$E,METALFISA!$A:$A,'Faltantes Fevereiro- Metalfisa'!T$3,METALFISA!$B:$B,'Faltantes Fevereiro- Metalfisa'!$A14)</f>
        <v>0</v>
      </c>
      <c r="U14" s="31">
        <f>SUMIFS(METALFISA!$E:$E,METALFISA!$A:$A,'Faltantes Fevereiro- Metalfisa'!U$3,METALFISA!$B:$B,'Faltantes Fevereiro- Metalfisa'!$A14)</f>
        <v>0</v>
      </c>
      <c r="V14" s="31">
        <f>SUMIFS(METALFISA!$E:$E,METALFISA!$A:$A,'Faltantes Fevereiro- Metalfisa'!V$3,METALFISA!$B:$B,'Faltantes Fevereiro- Metalfisa'!$A14)</f>
        <v>0</v>
      </c>
      <c r="W14" s="31">
        <f>SUMIFS(METALFISA!$E:$E,METALFISA!$A:$A,'Faltantes Fevereiro- Metalfisa'!W$3,METALFISA!$B:$B,'Faltantes Fevereiro- Metalfisa'!$A14)</f>
        <v>0</v>
      </c>
      <c r="X14" s="31">
        <f>SUMIFS(METALFISA!$E:$E,METALFISA!$A:$A,'Faltantes Fevereiro- Metalfisa'!X$3,METALFISA!$B:$B,'Faltantes Fevereiro- Metalfisa'!$A14)</f>
        <v>0</v>
      </c>
      <c r="Y14" s="31">
        <f>SUMIFS(METALFISA!$E:$E,METALFISA!$A:$A,'Faltantes Fevereiro- Metalfisa'!Y$3,METALFISA!$B:$B,'Faltantes Fevereiro- Metalfisa'!$A14)</f>
        <v>0</v>
      </c>
      <c r="Z14" s="31">
        <f>SUMIFS(METALFISA!$E:$E,METALFISA!$A:$A,'Faltantes Fevereiro- Metalfisa'!Z$3,METALFISA!$B:$B,'Faltantes Fevereiro- Metalfisa'!$A14)</f>
        <v>0</v>
      </c>
      <c r="AA14" s="31">
        <f>SUMIFS(METALFISA!$E:$E,METALFISA!$A:$A,'Faltantes Fevereiro- Metalfisa'!AA$3,METALFISA!$B:$B,'Faltantes Fevereiro- Metalfisa'!$A14)</f>
        <v>0</v>
      </c>
      <c r="AB14" s="31">
        <f>SUMIFS(METALFISA!$E:$E,METALFISA!$A:$A,'Faltantes Fevereiro- Metalfisa'!AB$3,METALFISA!$B:$B,'Faltantes Fevereiro- Metalfisa'!$A14)</f>
        <v>0</v>
      </c>
      <c r="AC14" s="31">
        <f>SUMIFS(METALFISA!$E:$E,METALFISA!$A:$A,'Faltantes Fevereiro- Metalfisa'!AC$3,METALFISA!$B:$B,'Faltantes Fevereiro- Metalfisa'!$A14)</f>
        <v>0</v>
      </c>
      <c r="AD14" s="31">
        <f>SUMIFS(METALFISA!$E:$E,METALFISA!$A:$A,'Faltantes Fevereiro- Metalfisa'!AD$3,METALFISA!$B:$B,'Faltantes Fevereiro- Metalfisa'!$A14)</f>
        <v>0</v>
      </c>
      <c r="AE14" s="31">
        <f>SUMIFS(METALFISA!$E:$E,METALFISA!$A:$A,'Faltantes Fevereiro- Metalfisa'!AE$3,METALFISA!$B:$B,'Faltantes Fevereiro- Metalfisa'!$A14)</f>
        <v>0</v>
      </c>
      <c r="AF14" s="31">
        <f>SUMIFS(METALFISA!$E:$E,METALFISA!$A:$A,'Faltantes Fevereiro- Metalfisa'!AF$3,METALFISA!$B:$B,'Faltantes Fevereiro- Metalfisa'!$A14)</f>
        <v>0</v>
      </c>
      <c r="AG14" s="31">
        <f>SUMIFS(METALFISA!$E:$E,METALFISA!$A:$A,'Faltantes Fevereiro- Metalfisa'!AG$3,METALFISA!$B:$B,'Faltantes Fevereiro- Metalfisa'!$A14)</f>
        <v>4</v>
      </c>
      <c r="AH14" s="31">
        <f>SUMIFS(METALFISA!$E:$E,METALFISA!$A:$A,'Faltantes Fevereiro- Metalfisa'!AH$3,METALFISA!$B:$B,'Faltantes Fevereiro- Metalfisa'!$A14)</f>
        <v>0</v>
      </c>
      <c r="AI14" s="31">
        <f>SUMIFS(METALFISA!$E:$E,METALFISA!$A:$A,'Faltantes Fevereiro- Metalfisa'!AI$3,METALFISA!$B:$B,'Faltantes Fevereiro- Metalfisa'!$A14)</f>
        <v>0</v>
      </c>
      <c r="AJ14" s="31">
        <f>SUMIFS(METALFISA!$E:$E,METALFISA!$A:$A,'Faltantes Fevereiro- Metalfisa'!AJ$3,METALFISA!$B:$B,'Faltantes Fevereiro- Metalfisa'!$A14)</f>
        <v>0</v>
      </c>
      <c r="AK14" s="31">
        <f>SUMIFS(METALFISA!$E:$E,METALFISA!$A:$A,'Faltantes Fevereiro- Metalfisa'!AK$3,METALFISA!$B:$B,'Faltantes Fevereiro- Metalfisa'!$A14)</f>
        <v>0</v>
      </c>
      <c r="AL14" s="31">
        <f>SUMIFS(METALFISA!$E:$E,METALFISA!$A:$A,'Faltantes Fevereiro- Metalfisa'!AL$3,METALFISA!$B:$B,'Faltantes Fevereiro- Metalfisa'!$A14)</f>
        <v>0</v>
      </c>
      <c r="AM14" s="31">
        <f>SUMIFS(METALFISA!$E:$E,METALFISA!$A:$A,'Faltantes Fevereiro- Metalfisa'!AM$3,METALFISA!$B:$B,'Faltantes Fevereiro- Metalfisa'!$A14)</f>
        <v>0</v>
      </c>
      <c r="AN14" s="31">
        <f>SUMIFS(METALFISA!$E:$E,METALFISA!$A:$A,'Faltantes Fevereiro- Metalfisa'!AN$3,METALFISA!$B:$B,'Faltantes Fevereiro- Metalfisa'!$A14)</f>
        <v>0</v>
      </c>
      <c r="AO14" s="31">
        <f>SUMIFS(METALFISA!$E:$E,METALFISA!$A:$A,'Faltantes Fevereiro- Metalfisa'!AO$3,METALFISA!$B:$B,'Faltantes Fevereiro- Metalfisa'!$A14)</f>
        <v>0</v>
      </c>
      <c r="AP14" s="31">
        <f>SUMIFS(METALFISA!$E:$E,METALFISA!$A:$A,'Faltantes Fevereiro- Metalfisa'!AP$3,METALFISA!$B:$B,'Faltantes Fevereiro- Metalfisa'!$A14)</f>
        <v>0</v>
      </c>
      <c r="AQ14" s="31"/>
      <c r="AR14" s="31">
        <f>SUMIFS(METALFISA!$E:$E,METALFISA!$A:$A,'Faltantes Fevereiro- Metalfisa'!AR$3,METALFISA!$B:$B,'Faltantes Fevereiro- Metalfisa'!$A14)</f>
        <v>0</v>
      </c>
      <c r="AS14" s="35">
        <f>SUMIFS(METALFISA!$E:$E,METALFISA!$A:$A,'Faltantes Fevereiro- Metalfisa'!AS$3,METALFISA!$B:$B,'Faltantes Fevereiro- Metalfisa'!$A14)</f>
        <v>0</v>
      </c>
      <c r="AU14" s="18">
        <v>0</v>
      </c>
      <c r="AV14" s="18">
        <v>0</v>
      </c>
      <c r="AW14" s="18">
        <v>0</v>
      </c>
      <c r="AX14" s="18">
        <v>0</v>
      </c>
      <c r="AY14" s="41">
        <v>0</v>
      </c>
      <c r="AZ14" s="31">
        <v>0</v>
      </c>
      <c r="BA14" s="31">
        <v>0</v>
      </c>
      <c r="BB14" s="31">
        <v>0</v>
      </c>
      <c r="BC14" s="31">
        <v>0</v>
      </c>
      <c r="BD14" s="31">
        <v>0</v>
      </c>
      <c r="BE14" s="31">
        <v>0</v>
      </c>
      <c r="BF14" s="31">
        <v>0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2</v>
      </c>
      <c r="BN14" s="31">
        <v>0</v>
      </c>
      <c r="BO14" s="31">
        <v>0</v>
      </c>
      <c r="BP14" s="31">
        <v>0</v>
      </c>
      <c r="BQ14" s="31">
        <v>0</v>
      </c>
      <c r="BR14" s="31">
        <v>0</v>
      </c>
      <c r="BS14" s="31">
        <v>0</v>
      </c>
      <c r="BT14" s="31">
        <v>0</v>
      </c>
      <c r="BU14" s="31">
        <v>0</v>
      </c>
      <c r="BV14" s="31">
        <v>0</v>
      </c>
      <c r="BW14" s="31">
        <v>0</v>
      </c>
      <c r="BX14" s="31">
        <v>0</v>
      </c>
      <c r="BY14" s="31">
        <v>0</v>
      </c>
      <c r="BZ14" s="31">
        <v>0</v>
      </c>
      <c r="CA14" s="31">
        <v>0</v>
      </c>
      <c r="CB14" s="31">
        <v>0</v>
      </c>
      <c r="CC14" s="31">
        <v>0</v>
      </c>
      <c r="CD14" s="31">
        <v>0</v>
      </c>
      <c r="CE14" s="31">
        <v>0</v>
      </c>
      <c r="CF14" s="31">
        <v>0</v>
      </c>
      <c r="CG14" s="31">
        <v>0</v>
      </c>
      <c r="CH14" s="31">
        <v>0</v>
      </c>
      <c r="CI14" s="31">
        <v>0</v>
      </c>
      <c r="CJ14" s="31">
        <v>0</v>
      </c>
      <c r="CK14" s="31">
        <v>0</v>
      </c>
      <c r="CL14" s="35">
        <v>0</v>
      </c>
    </row>
    <row r="15" spans="1:90" ht="21" x14ac:dyDescent="0.15">
      <c r="A15" s="27" t="s">
        <v>179</v>
      </c>
      <c r="B15" s="28" t="s">
        <v>180</v>
      </c>
      <c r="C15" s="28">
        <v>0</v>
      </c>
      <c r="D15" s="28">
        <v>0</v>
      </c>
      <c r="E15" s="28">
        <v>0</v>
      </c>
      <c r="F15" s="28">
        <v>0</v>
      </c>
      <c r="G15" s="28">
        <v>6</v>
      </c>
      <c r="H15" s="28">
        <f>IFERROR(VLOOKUP(A15,[1]FALTANTES!$A:$AB,28,FALSE),"-")</f>
        <v>0</v>
      </c>
      <c r="I15" s="42">
        <f>IFERROR(VLOOKUP(A15,[1]FALTANTES!$A:$AC,29,FALSE),"-")</f>
        <v>0</v>
      </c>
      <c r="J15" s="29">
        <f>IFERROR(VLOOKUP(A15,[1]FALTANTES!$A:$AD,30,FALSE),"-")</f>
        <v>-6</v>
      </c>
      <c r="K15" s="30">
        <v>0</v>
      </c>
      <c r="L15" s="30">
        <f t="shared" si="0"/>
        <v>6</v>
      </c>
      <c r="M15" s="31">
        <f>SUMIFS(METALFISA!$E:$E,METALFISA!$A:$A,'Faltantes Fevereiro- Metalfisa'!M$3,METALFISA!$B:$B,'Faltantes Fevereiro- Metalfisa'!$A15)</f>
        <v>0</v>
      </c>
      <c r="N15" s="31">
        <f>SUMIFS(METALFISA!$E:$E,METALFISA!$A:$A,'Faltantes Fevereiro- Metalfisa'!N$3,METALFISA!$B:$B,'Faltantes Fevereiro- Metalfisa'!$A15)</f>
        <v>0</v>
      </c>
      <c r="O15" s="31">
        <f>SUMIFS(METALFISA!$E:$E,METALFISA!$A:$A,'Faltantes Fevereiro- Metalfisa'!O$3,METALFISA!$B:$B,'Faltantes Fevereiro- Metalfisa'!$A15)</f>
        <v>0</v>
      </c>
      <c r="P15" s="31">
        <f>SUMIFS(METALFISA!$E:$E,METALFISA!$A:$A,'Faltantes Fevereiro- Metalfisa'!P$3,METALFISA!$B:$B,'Faltantes Fevereiro- Metalfisa'!$A15)</f>
        <v>0</v>
      </c>
      <c r="Q15" s="31">
        <f>SUMIFS(METALFISA!$E:$E,METALFISA!$A:$A,'Faltantes Fevereiro- Metalfisa'!Q$3,METALFISA!$B:$B,'Faltantes Fevereiro- Metalfisa'!$A15)</f>
        <v>0</v>
      </c>
      <c r="R15" s="31">
        <f>SUMIFS(METALFISA!$E:$E,METALFISA!$A:$A,'Faltantes Fevereiro- Metalfisa'!R$3,METALFISA!$B:$B,'Faltantes Fevereiro- Metalfisa'!$A15)</f>
        <v>0</v>
      </c>
      <c r="S15" s="31">
        <f>SUMIFS(METALFISA!$E:$E,METALFISA!$A:$A,'Faltantes Fevereiro- Metalfisa'!S$3,METALFISA!$B:$B,'Faltantes Fevereiro- Metalfisa'!$A15)</f>
        <v>0</v>
      </c>
      <c r="T15" s="31">
        <f>SUMIFS(METALFISA!$E:$E,METALFISA!$A:$A,'Faltantes Fevereiro- Metalfisa'!T$3,METALFISA!$B:$B,'Faltantes Fevereiro- Metalfisa'!$A15)</f>
        <v>0</v>
      </c>
      <c r="U15" s="31">
        <f>SUMIFS(METALFISA!$E:$E,METALFISA!$A:$A,'Faltantes Fevereiro- Metalfisa'!U$3,METALFISA!$B:$B,'Faltantes Fevereiro- Metalfisa'!$A15)</f>
        <v>0</v>
      </c>
      <c r="V15" s="31">
        <f>SUMIFS(METALFISA!$E:$E,METALFISA!$A:$A,'Faltantes Fevereiro- Metalfisa'!V$3,METALFISA!$B:$B,'Faltantes Fevereiro- Metalfisa'!$A15)</f>
        <v>0</v>
      </c>
      <c r="W15" s="31">
        <f>SUMIFS(METALFISA!$E:$E,METALFISA!$A:$A,'Faltantes Fevereiro- Metalfisa'!W$3,METALFISA!$B:$B,'Faltantes Fevereiro- Metalfisa'!$A15)</f>
        <v>0</v>
      </c>
      <c r="X15" s="31">
        <f>SUMIFS(METALFISA!$E:$E,METALFISA!$A:$A,'Faltantes Fevereiro- Metalfisa'!X$3,METALFISA!$B:$B,'Faltantes Fevereiro- Metalfisa'!$A15)</f>
        <v>0</v>
      </c>
      <c r="Y15" s="31">
        <f>SUMIFS(METALFISA!$E:$E,METALFISA!$A:$A,'Faltantes Fevereiro- Metalfisa'!Y$3,METALFISA!$B:$B,'Faltantes Fevereiro- Metalfisa'!$A15)</f>
        <v>0</v>
      </c>
      <c r="Z15" s="31">
        <f>SUMIFS(METALFISA!$E:$E,METALFISA!$A:$A,'Faltantes Fevereiro- Metalfisa'!Z$3,METALFISA!$B:$B,'Faltantes Fevereiro- Metalfisa'!$A15)</f>
        <v>0</v>
      </c>
      <c r="AA15" s="31">
        <f>SUMIFS(METALFISA!$E:$E,METALFISA!$A:$A,'Faltantes Fevereiro- Metalfisa'!AA$3,METALFISA!$B:$B,'Faltantes Fevereiro- Metalfisa'!$A15)</f>
        <v>0</v>
      </c>
      <c r="AB15" s="31">
        <f>SUMIFS(METALFISA!$E:$E,METALFISA!$A:$A,'Faltantes Fevereiro- Metalfisa'!AB$3,METALFISA!$B:$B,'Faltantes Fevereiro- Metalfisa'!$A15)</f>
        <v>0</v>
      </c>
      <c r="AC15" s="31">
        <f>SUMIFS(METALFISA!$E:$E,METALFISA!$A:$A,'Faltantes Fevereiro- Metalfisa'!AC$3,METALFISA!$B:$B,'Faltantes Fevereiro- Metalfisa'!$A15)</f>
        <v>2</v>
      </c>
      <c r="AD15" s="31">
        <f>SUMIFS(METALFISA!$E:$E,METALFISA!$A:$A,'Faltantes Fevereiro- Metalfisa'!AD$3,METALFISA!$B:$B,'Faltantes Fevereiro- Metalfisa'!$A15)</f>
        <v>0</v>
      </c>
      <c r="AE15" s="31">
        <f>SUMIFS(METALFISA!$E:$E,METALFISA!$A:$A,'Faltantes Fevereiro- Metalfisa'!AE$3,METALFISA!$B:$B,'Faltantes Fevereiro- Metalfisa'!$A15)</f>
        <v>0</v>
      </c>
      <c r="AF15" s="31">
        <f>SUMIFS(METALFISA!$E:$E,METALFISA!$A:$A,'Faltantes Fevereiro- Metalfisa'!AF$3,METALFISA!$B:$B,'Faltantes Fevereiro- Metalfisa'!$A15)</f>
        <v>0</v>
      </c>
      <c r="AG15" s="31">
        <f>SUMIFS(METALFISA!$E:$E,METALFISA!$A:$A,'Faltantes Fevereiro- Metalfisa'!AG$3,METALFISA!$B:$B,'Faltantes Fevereiro- Metalfisa'!$A15)</f>
        <v>4</v>
      </c>
      <c r="AH15" s="31">
        <f>SUMIFS(METALFISA!$E:$E,METALFISA!$A:$A,'Faltantes Fevereiro- Metalfisa'!AH$3,METALFISA!$B:$B,'Faltantes Fevereiro- Metalfisa'!$A15)</f>
        <v>0</v>
      </c>
      <c r="AI15" s="31">
        <f>SUMIFS(METALFISA!$E:$E,METALFISA!$A:$A,'Faltantes Fevereiro- Metalfisa'!AI$3,METALFISA!$B:$B,'Faltantes Fevereiro- Metalfisa'!$A15)</f>
        <v>0</v>
      </c>
      <c r="AJ15" s="31">
        <f>SUMIFS(METALFISA!$E:$E,METALFISA!$A:$A,'Faltantes Fevereiro- Metalfisa'!AJ$3,METALFISA!$B:$B,'Faltantes Fevereiro- Metalfisa'!$A15)</f>
        <v>0</v>
      </c>
      <c r="AK15" s="31">
        <f>SUMIFS(METALFISA!$E:$E,METALFISA!$A:$A,'Faltantes Fevereiro- Metalfisa'!AK$3,METALFISA!$B:$B,'Faltantes Fevereiro- Metalfisa'!$A15)</f>
        <v>0</v>
      </c>
      <c r="AL15" s="31">
        <f>SUMIFS(METALFISA!$E:$E,METALFISA!$A:$A,'Faltantes Fevereiro- Metalfisa'!AL$3,METALFISA!$B:$B,'Faltantes Fevereiro- Metalfisa'!$A15)</f>
        <v>0</v>
      </c>
      <c r="AM15" s="31">
        <f>SUMIFS(METALFISA!$E:$E,METALFISA!$A:$A,'Faltantes Fevereiro- Metalfisa'!AM$3,METALFISA!$B:$B,'Faltantes Fevereiro- Metalfisa'!$A15)</f>
        <v>0</v>
      </c>
      <c r="AN15" s="31">
        <f>SUMIFS(METALFISA!$E:$E,METALFISA!$A:$A,'Faltantes Fevereiro- Metalfisa'!AN$3,METALFISA!$B:$B,'Faltantes Fevereiro- Metalfisa'!$A15)</f>
        <v>0</v>
      </c>
      <c r="AO15" s="31">
        <f>SUMIFS(METALFISA!$E:$E,METALFISA!$A:$A,'Faltantes Fevereiro- Metalfisa'!AO$3,METALFISA!$B:$B,'Faltantes Fevereiro- Metalfisa'!$A15)</f>
        <v>0</v>
      </c>
      <c r="AP15" s="31">
        <f>SUMIFS(METALFISA!$E:$E,METALFISA!$A:$A,'Faltantes Fevereiro- Metalfisa'!AP$3,METALFISA!$B:$B,'Faltantes Fevereiro- Metalfisa'!$A15)</f>
        <v>0</v>
      </c>
      <c r="AQ15" s="31"/>
      <c r="AR15" s="31">
        <f>SUMIFS(METALFISA!$E:$E,METALFISA!$A:$A,'Faltantes Fevereiro- Metalfisa'!AR$3,METALFISA!$B:$B,'Faltantes Fevereiro- Metalfisa'!$A15)</f>
        <v>0</v>
      </c>
      <c r="AS15" s="35">
        <f>SUMIFS(METALFISA!$E:$E,METALFISA!$A:$A,'Faltantes Fevereiro- Metalfisa'!AS$3,METALFISA!$B:$B,'Faltantes Fevereiro- Metalfisa'!$A15)</f>
        <v>0</v>
      </c>
      <c r="AU15" s="18">
        <v>0</v>
      </c>
      <c r="AV15" s="18">
        <v>0</v>
      </c>
      <c r="AW15" s="18">
        <v>0</v>
      </c>
      <c r="AX15" s="18">
        <v>0</v>
      </c>
      <c r="AY15" s="41">
        <v>0</v>
      </c>
      <c r="AZ15" s="31">
        <v>0</v>
      </c>
      <c r="BA15" s="31">
        <v>0</v>
      </c>
      <c r="BB15" s="31">
        <v>0</v>
      </c>
      <c r="BC15" s="31">
        <v>0</v>
      </c>
      <c r="BD15" s="31">
        <v>0</v>
      </c>
      <c r="BE15" s="31">
        <v>0</v>
      </c>
      <c r="BF15" s="31">
        <v>0</v>
      </c>
      <c r="BG15" s="31">
        <v>0</v>
      </c>
      <c r="BH15" s="31">
        <v>0</v>
      </c>
      <c r="BI15" s="31">
        <v>0</v>
      </c>
      <c r="BJ15" s="31">
        <v>0</v>
      </c>
      <c r="BK15" s="31">
        <v>0</v>
      </c>
      <c r="BL15" s="31">
        <v>0</v>
      </c>
      <c r="BM15" s="31">
        <v>2</v>
      </c>
      <c r="BN15" s="31">
        <v>0</v>
      </c>
      <c r="BO15" s="31">
        <v>0</v>
      </c>
      <c r="BP15" s="31">
        <v>0</v>
      </c>
      <c r="BQ15" s="31">
        <v>0</v>
      </c>
      <c r="BR15" s="31">
        <v>0</v>
      </c>
      <c r="BS15" s="31">
        <v>0</v>
      </c>
      <c r="BT15" s="31">
        <v>0</v>
      </c>
      <c r="BU15" s="31">
        <v>0</v>
      </c>
      <c r="BV15" s="31">
        <v>0</v>
      </c>
      <c r="BW15" s="31">
        <v>0</v>
      </c>
      <c r="BX15" s="31">
        <v>0</v>
      </c>
      <c r="BY15" s="31">
        <v>0</v>
      </c>
      <c r="BZ15" s="31">
        <v>0</v>
      </c>
      <c r="CA15" s="31">
        <v>0</v>
      </c>
      <c r="CB15" s="31">
        <v>0</v>
      </c>
      <c r="CC15" s="31">
        <v>0</v>
      </c>
      <c r="CD15" s="31">
        <v>0</v>
      </c>
      <c r="CE15" s="31">
        <v>0</v>
      </c>
      <c r="CF15" s="31">
        <v>0</v>
      </c>
      <c r="CG15" s="31">
        <v>0</v>
      </c>
      <c r="CH15" s="31">
        <v>0</v>
      </c>
      <c r="CI15" s="31">
        <v>0</v>
      </c>
      <c r="CJ15" s="31">
        <v>0</v>
      </c>
      <c r="CK15" s="31">
        <v>0</v>
      </c>
      <c r="CL15" s="35">
        <v>0</v>
      </c>
    </row>
    <row r="16" spans="1:90" x14ac:dyDescent="0.15">
      <c r="A16" s="27" t="s">
        <v>120</v>
      </c>
      <c r="B16" s="28" t="s">
        <v>136</v>
      </c>
      <c r="C16" s="28">
        <v>0</v>
      </c>
      <c r="D16" s="28">
        <v>0</v>
      </c>
      <c r="E16" s="28">
        <v>0</v>
      </c>
      <c r="F16" s="28">
        <v>0</v>
      </c>
      <c r="G16" s="28">
        <v>6</v>
      </c>
      <c r="H16" s="28">
        <f>IFERROR(VLOOKUP(A16,[1]FALTANTES!$A:$AB,28,FALSE),"-")</f>
        <v>0</v>
      </c>
      <c r="I16" s="42">
        <f>IFERROR(VLOOKUP(A16,[1]FALTANTES!$A:$AC,29,FALSE),"-")</f>
        <v>0</v>
      </c>
      <c r="J16" s="29">
        <f>IFERROR(VLOOKUP(A16,[1]FALTANTES!$A:$AD,30,FALSE),"-")</f>
        <v>-6</v>
      </c>
      <c r="K16" s="30">
        <v>0</v>
      </c>
      <c r="L16" s="30">
        <f t="shared" si="0"/>
        <v>6</v>
      </c>
      <c r="M16" s="31">
        <f>SUMIFS(METALFISA!$E:$E,METALFISA!$A:$A,'Faltantes Fevereiro- Metalfisa'!M$3,METALFISA!$B:$B,'Faltantes Fevereiro- Metalfisa'!$A16)</f>
        <v>0</v>
      </c>
      <c r="N16" s="31">
        <f>SUMIFS(METALFISA!$E:$E,METALFISA!$A:$A,'Faltantes Fevereiro- Metalfisa'!N$3,METALFISA!$B:$B,'Faltantes Fevereiro- Metalfisa'!$A16)</f>
        <v>0</v>
      </c>
      <c r="O16" s="31">
        <f>SUMIFS(METALFISA!$E:$E,METALFISA!$A:$A,'Faltantes Fevereiro- Metalfisa'!O$3,METALFISA!$B:$B,'Faltantes Fevereiro- Metalfisa'!$A16)</f>
        <v>0</v>
      </c>
      <c r="P16" s="31">
        <f>SUMIFS(METALFISA!$E:$E,METALFISA!$A:$A,'Faltantes Fevereiro- Metalfisa'!P$3,METALFISA!$B:$B,'Faltantes Fevereiro- Metalfisa'!$A16)</f>
        <v>0</v>
      </c>
      <c r="Q16" s="31">
        <f>SUMIFS(METALFISA!$E:$E,METALFISA!$A:$A,'Faltantes Fevereiro- Metalfisa'!Q$3,METALFISA!$B:$B,'Faltantes Fevereiro- Metalfisa'!$A16)</f>
        <v>0</v>
      </c>
      <c r="R16" s="31">
        <f>SUMIFS(METALFISA!$E:$E,METALFISA!$A:$A,'Faltantes Fevereiro- Metalfisa'!R$3,METALFISA!$B:$B,'Faltantes Fevereiro- Metalfisa'!$A16)</f>
        <v>0</v>
      </c>
      <c r="S16" s="31">
        <f>SUMIFS(METALFISA!$E:$E,METALFISA!$A:$A,'Faltantes Fevereiro- Metalfisa'!S$3,METALFISA!$B:$B,'Faltantes Fevereiro- Metalfisa'!$A16)</f>
        <v>0</v>
      </c>
      <c r="T16" s="31">
        <f>SUMIFS(METALFISA!$E:$E,METALFISA!$A:$A,'Faltantes Fevereiro- Metalfisa'!T$3,METALFISA!$B:$B,'Faltantes Fevereiro- Metalfisa'!$A16)</f>
        <v>0</v>
      </c>
      <c r="U16" s="31">
        <f>SUMIFS(METALFISA!$E:$E,METALFISA!$A:$A,'Faltantes Fevereiro- Metalfisa'!U$3,METALFISA!$B:$B,'Faltantes Fevereiro- Metalfisa'!$A16)</f>
        <v>0</v>
      </c>
      <c r="V16" s="31">
        <f>SUMIFS(METALFISA!$E:$E,METALFISA!$A:$A,'Faltantes Fevereiro- Metalfisa'!V$3,METALFISA!$B:$B,'Faltantes Fevereiro- Metalfisa'!$A16)</f>
        <v>0</v>
      </c>
      <c r="W16" s="31">
        <f>SUMIFS(METALFISA!$E:$E,METALFISA!$A:$A,'Faltantes Fevereiro- Metalfisa'!W$3,METALFISA!$B:$B,'Faltantes Fevereiro- Metalfisa'!$A16)</f>
        <v>0</v>
      </c>
      <c r="X16" s="31">
        <f>SUMIFS(METALFISA!$E:$E,METALFISA!$A:$A,'Faltantes Fevereiro- Metalfisa'!X$3,METALFISA!$B:$B,'Faltantes Fevereiro- Metalfisa'!$A16)</f>
        <v>0</v>
      </c>
      <c r="Y16" s="31">
        <f>SUMIFS(METALFISA!$E:$E,METALFISA!$A:$A,'Faltantes Fevereiro- Metalfisa'!Y$3,METALFISA!$B:$B,'Faltantes Fevereiro- Metalfisa'!$A16)</f>
        <v>0</v>
      </c>
      <c r="Z16" s="31">
        <f>SUMIFS(METALFISA!$E:$E,METALFISA!$A:$A,'Faltantes Fevereiro- Metalfisa'!Z$3,METALFISA!$B:$B,'Faltantes Fevereiro- Metalfisa'!$A16)</f>
        <v>0</v>
      </c>
      <c r="AA16" s="31">
        <f>SUMIFS(METALFISA!$E:$E,METALFISA!$A:$A,'Faltantes Fevereiro- Metalfisa'!AA$3,METALFISA!$B:$B,'Faltantes Fevereiro- Metalfisa'!$A16)</f>
        <v>0</v>
      </c>
      <c r="AB16" s="31">
        <f>SUMIFS(METALFISA!$E:$E,METALFISA!$A:$A,'Faltantes Fevereiro- Metalfisa'!AB$3,METALFISA!$B:$B,'Faltantes Fevereiro- Metalfisa'!$A16)</f>
        <v>0</v>
      </c>
      <c r="AC16" s="31">
        <f>SUMIFS(METALFISA!$E:$E,METALFISA!$A:$A,'Faltantes Fevereiro- Metalfisa'!AC$3,METALFISA!$B:$B,'Faltantes Fevereiro- Metalfisa'!$A16)</f>
        <v>2</v>
      </c>
      <c r="AD16" s="31">
        <f>SUMIFS(METALFISA!$E:$E,METALFISA!$A:$A,'Faltantes Fevereiro- Metalfisa'!AD$3,METALFISA!$B:$B,'Faltantes Fevereiro- Metalfisa'!$A16)</f>
        <v>0</v>
      </c>
      <c r="AE16" s="31">
        <f>SUMIFS(METALFISA!$E:$E,METALFISA!$A:$A,'Faltantes Fevereiro- Metalfisa'!AE$3,METALFISA!$B:$B,'Faltantes Fevereiro- Metalfisa'!$A16)</f>
        <v>0</v>
      </c>
      <c r="AF16" s="31">
        <f>SUMIFS(METALFISA!$E:$E,METALFISA!$A:$A,'Faltantes Fevereiro- Metalfisa'!AF$3,METALFISA!$B:$B,'Faltantes Fevereiro- Metalfisa'!$A16)</f>
        <v>0</v>
      </c>
      <c r="AG16" s="31">
        <f>SUMIFS(METALFISA!$E:$E,METALFISA!$A:$A,'Faltantes Fevereiro- Metalfisa'!AG$3,METALFISA!$B:$B,'Faltantes Fevereiro- Metalfisa'!$A16)</f>
        <v>4</v>
      </c>
      <c r="AH16" s="31">
        <f>SUMIFS(METALFISA!$E:$E,METALFISA!$A:$A,'Faltantes Fevereiro- Metalfisa'!AH$3,METALFISA!$B:$B,'Faltantes Fevereiro- Metalfisa'!$A16)</f>
        <v>0</v>
      </c>
      <c r="AI16" s="31">
        <f>SUMIFS(METALFISA!$E:$E,METALFISA!$A:$A,'Faltantes Fevereiro- Metalfisa'!AI$3,METALFISA!$B:$B,'Faltantes Fevereiro- Metalfisa'!$A16)</f>
        <v>0</v>
      </c>
      <c r="AJ16" s="31">
        <f>SUMIFS(METALFISA!$E:$E,METALFISA!$A:$A,'Faltantes Fevereiro- Metalfisa'!AJ$3,METALFISA!$B:$B,'Faltantes Fevereiro- Metalfisa'!$A16)</f>
        <v>0</v>
      </c>
      <c r="AK16" s="31">
        <f>SUMIFS(METALFISA!$E:$E,METALFISA!$A:$A,'Faltantes Fevereiro- Metalfisa'!AK$3,METALFISA!$B:$B,'Faltantes Fevereiro- Metalfisa'!$A16)</f>
        <v>0</v>
      </c>
      <c r="AL16" s="31">
        <f>SUMIFS(METALFISA!$E:$E,METALFISA!$A:$A,'Faltantes Fevereiro- Metalfisa'!AL$3,METALFISA!$B:$B,'Faltantes Fevereiro- Metalfisa'!$A16)</f>
        <v>0</v>
      </c>
      <c r="AM16" s="31">
        <f>SUMIFS(METALFISA!$E:$E,METALFISA!$A:$A,'Faltantes Fevereiro- Metalfisa'!AM$3,METALFISA!$B:$B,'Faltantes Fevereiro- Metalfisa'!$A16)</f>
        <v>0</v>
      </c>
      <c r="AN16" s="31">
        <f>SUMIFS(METALFISA!$E:$E,METALFISA!$A:$A,'Faltantes Fevereiro- Metalfisa'!AN$3,METALFISA!$B:$B,'Faltantes Fevereiro- Metalfisa'!$A16)</f>
        <v>0</v>
      </c>
      <c r="AO16" s="31">
        <f>SUMIFS(METALFISA!$E:$E,METALFISA!$A:$A,'Faltantes Fevereiro- Metalfisa'!AO$3,METALFISA!$B:$B,'Faltantes Fevereiro- Metalfisa'!$A16)</f>
        <v>0</v>
      </c>
      <c r="AP16" s="31">
        <f>SUMIFS(METALFISA!$E:$E,METALFISA!$A:$A,'Faltantes Fevereiro- Metalfisa'!AP$3,METALFISA!$B:$B,'Faltantes Fevereiro- Metalfisa'!$A16)</f>
        <v>0</v>
      </c>
      <c r="AQ16" s="31"/>
      <c r="AR16" s="31">
        <f>SUMIFS(METALFISA!$E:$E,METALFISA!$A:$A,'Faltantes Fevereiro- Metalfisa'!AR$3,METALFISA!$B:$B,'Faltantes Fevereiro- Metalfisa'!$A16)</f>
        <v>0</v>
      </c>
      <c r="AS16" s="35">
        <f>SUMIFS(METALFISA!$E:$E,METALFISA!$A:$A,'Faltantes Fevereiro- Metalfisa'!AS$3,METALFISA!$B:$B,'Faltantes Fevereiro- Metalfisa'!$A16)</f>
        <v>0</v>
      </c>
      <c r="AU16" s="18">
        <v>0</v>
      </c>
      <c r="AV16" s="18">
        <v>0</v>
      </c>
      <c r="AW16" s="18">
        <v>0</v>
      </c>
      <c r="AX16" s="18">
        <v>0</v>
      </c>
      <c r="AY16" s="41">
        <v>0</v>
      </c>
      <c r="AZ16" s="31">
        <v>0</v>
      </c>
      <c r="BA16" s="31">
        <v>0</v>
      </c>
      <c r="BB16" s="31">
        <v>0</v>
      </c>
      <c r="BC16" s="31">
        <v>0</v>
      </c>
      <c r="BD16" s="31">
        <v>0</v>
      </c>
      <c r="BE16" s="31">
        <v>0</v>
      </c>
      <c r="BF16" s="31">
        <v>0</v>
      </c>
      <c r="BG16" s="31">
        <v>0</v>
      </c>
      <c r="BH16" s="31">
        <v>0</v>
      </c>
      <c r="BI16" s="31">
        <v>0</v>
      </c>
      <c r="BJ16" s="31">
        <v>0</v>
      </c>
      <c r="BK16" s="31">
        <v>0</v>
      </c>
      <c r="BL16" s="31">
        <v>0</v>
      </c>
      <c r="BM16" s="31">
        <v>2</v>
      </c>
      <c r="BN16" s="31">
        <v>0</v>
      </c>
      <c r="BO16" s="31">
        <v>0</v>
      </c>
      <c r="BP16" s="31">
        <v>0</v>
      </c>
      <c r="BQ16" s="31">
        <v>0</v>
      </c>
      <c r="BR16" s="31">
        <v>0</v>
      </c>
      <c r="BS16" s="31">
        <v>0</v>
      </c>
      <c r="BT16" s="31">
        <v>0</v>
      </c>
      <c r="BU16" s="31">
        <v>0</v>
      </c>
      <c r="BV16" s="31">
        <v>0</v>
      </c>
      <c r="BW16" s="31">
        <v>0</v>
      </c>
      <c r="BX16" s="31">
        <v>0</v>
      </c>
      <c r="BY16" s="31">
        <v>0</v>
      </c>
      <c r="BZ16" s="31">
        <v>0</v>
      </c>
      <c r="CA16" s="31">
        <v>0</v>
      </c>
      <c r="CB16" s="31">
        <v>0</v>
      </c>
      <c r="CC16" s="31">
        <v>0</v>
      </c>
      <c r="CD16" s="31">
        <v>0</v>
      </c>
      <c r="CE16" s="31">
        <v>0</v>
      </c>
      <c r="CF16" s="31">
        <v>0</v>
      </c>
      <c r="CG16" s="31">
        <v>0</v>
      </c>
      <c r="CH16" s="31">
        <v>0</v>
      </c>
      <c r="CI16" s="31">
        <v>0</v>
      </c>
      <c r="CJ16" s="31">
        <v>0</v>
      </c>
      <c r="CK16" s="31">
        <v>0</v>
      </c>
      <c r="CL16" s="35">
        <v>0</v>
      </c>
    </row>
    <row r="17" spans="1:90" ht="21" x14ac:dyDescent="0.15">
      <c r="A17" s="27" t="s">
        <v>181</v>
      </c>
      <c r="B17" s="28" t="s">
        <v>182</v>
      </c>
      <c r="C17" s="28">
        <v>0</v>
      </c>
      <c r="D17" s="28">
        <v>0</v>
      </c>
      <c r="E17" s="28">
        <v>0</v>
      </c>
      <c r="F17" s="28">
        <v>0</v>
      </c>
      <c r="G17" s="28">
        <v>3</v>
      </c>
      <c r="H17" s="28">
        <f>IFERROR(VLOOKUP(A17,[1]FALTANTES!$A:$AB,28,FALSE),"-")</f>
        <v>0</v>
      </c>
      <c r="I17" s="42">
        <f>IFERROR(VLOOKUP(A17,[1]FALTANTES!$A:$AC,29,FALSE),"-")</f>
        <v>0</v>
      </c>
      <c r="J17" s="29">
        <f>IFERROR(VLOOKUP(A17,[1]FALTANTES!$A:$AD,30,FALSE),"-")</f>
        <v>-3</v>
      </c>
      <c r="K17" s="30">
        <v>0</v>
      </c>
      <c r="L17" s="30">
        <f t="shared" si="0"/>
        <v>3</v>
      </c>
      <c r="M17" s="31">
        <f>SUMIFS(METALFISA!$E:$E,METALFISA!$A:$A,'Faltantes Fevereiro- Metalfisa'!M$3,METALFISA!$B:$B,'Faltantes Fevereiro- Metalfisa'!$A17)</f>
        <v>0</v>
      </c>
      <c r="N17" s="31">
        <f>SUMIFS(METALFISA!$E:$E,METALFISA!$A:$A,'Faltantes Fevereiro- Metalfisa'!N$3,METALFISA!$B:$B,'Faltantes Fevereiro- Metalfisa'!$A17)</f>
        <v>0</v>
      </c>
      <c r="O17" s="31">
        <f>SUMIFS(METALFISA!$E:$E,METALFISA!$A:$A,'Faltantes Fevereiro- Metalfisa'!O$3,METALFISA!$B:$B,'Faltantes Fevereiro- Metalfisa'!$A17)</f>
        <v>0</v>
      </c>
      <c r="P17" s="31">
        <f>SUMIFS(METALFISA!$E:$E,METALFISA!$A:$A,'Faltantes Fevereiro- Metalfisa'!P$3,METALFISA!$B:$B,'Faltantes Fevereiro- Metalfisa'!$A17)</f>
        <v>0</v>
      </c>
      <c r="Q17" s="31">
        <f>SUMIFS(METALFISA!$E:$E,METALFISA!$A:$A,'Faltantes Fevereiro- Metalfisa'!Q$3,METALFISA!$B:$B,'Faltantes Fevereiro- Metalfisa'!$A17)</f>
        <v>0</v>
      </c>
      <c r="R17" s="31">
        <f>SUMIFS(METALFISA!$E:$E,METALFISA!$A:$A,'Faltantes Fevereiro- Metalfisa'!R$3,METALFISA!$B:$B,'Faltantes Fevereiro- Metalfisa'!$A17)</f>
        <v>0</v>
      </c>
      <c r="S17" s="31">
        <f>SUMIFS(METALFISA!$E:$E,METALFISA!$A:$A,'Faltantes Fevereiro- Metalfisa'!S$3,METALFISA!$B:$B,'Faltantes Fevereiro- Metalfisa'!$A17)</f>
        <v>0</v>
      </c>
      <c r="T17" s="31">
        <f>SUMIFS(METALFISA!$E:$E,METALFISA!$A:$A,'Faltantes Fevereiro- Metalfisa'!T$3,METALFISA!$B:$B,'Faltantes Fevereiro- Metalfisa'!$A17)</f>
        <v>0</v>
      </c>
      <c r="U17" s="31">
        <f>SUMIFS(METALFISA!$E:$E,METALFISA!$A:$A,'Faltantes Fevereiro- Metalfisa'!U$3,METALFISA!$B:$B,'Faltantes Fevereiro- Metalfisa'!$A17)</f>
        <v>0</v>
      </c>
      <c r="V17" s="31">
        <f>SUMIFS(METALFISA!$E:$E,METALFISA!$A:$A,'Faltantes Fevereiro- Metalfisa'!V$3,METALFISA!$B:$B,'Faltantes Fevereiro- Metalfisa'!$A17)</f>
        <v>0</v>
      </c>
      <c r="W17" s="31">
        <f>SUMIFS(METALFISA!$E:$E,METALFISA!$A:$A,'Faltantes Fevereiro- Metalfisa'!W$3,METALFISA!$B:$B,'Faltantes Fevereiro- Metalfisa'!$A17)</f>
        <v>0</v>
      </c>
      <c r="X17" s="31">
        <f>SUMIFS(METALFISA!$E:$E,METALFISA!$A:$A,'Faltantes Fevereiro- Metalfisa'!X$3,METALFISA!$B:$B,'Faltantes Fevereiro- Metalfisa'!$A17)</f>
        <v>0</v>
      </c>
      <c r="Y17" s="31">
        <f>SUMIFS(METALFISA!$E:$E,METALFISA!$A:$A,'Faltantes Fevereiro- Metalfisa'!Y$3,METALFISA!$B:$B,'Faltantes Fevereiro- Metalfisa'!$A17)</f>
        <v>0</v>
      </c>
      <c r="Z17" s="31">
        <f>SUMIFS(METALFISA!$E:$E,METALFISA!$A:$A,'Faltantes Fevereiro- Metalfisa'!Z$3,METALFISA!$B:$B,'Faltantes Fevereiro- Metalfisa'!$A17)</f>
        <v>0</v>
      </c>
      <c r="AA17" s="31">
        <f>SUMIFS(METALFISA!$E:$E,METALFISA!$A:$A,'Faltantes Fevereiro- Metalfisa'!AA$3,METALFISA!$B:$B,'Faltantes Fevereiro- Metalfisa'!$A17)</f>
        <v>0</v>
      </c>
      <c r="AB17" s="31">
        <f>SUMIFS(METALFISA!$E:$E,METALFISA!$A:$A,'Faltantes Fevereiro- Metalfisa'!AB$3,METALFISA!$B:$B,'Faltantes Fevereiro- Metalfisa'!$A17)</f>
        <v>0</v>
      </c>
      <c r="AC17" s="31">
        <f>SUMIFS(METALFISA!$E:$E,METALFISA!$A:$A,'Faltantes Fevereiro- Metalfisa'!AC$3,METALFISA!$B:$B,'Faltantes Fevereiro- Metalfisa'!$A17)</f>
        <v>1</v>
      </c>
      <c r="AD17" s="31">
        <f>SUMIFS(METALFISA!$E:$E,METALFISA!$A:$A,'Faltantes Fevereiro- Metalfisa'!AD$3,METALFISA!$B:$B,'Faltantes Fevereiro- Metalfisa'!$A17)</f>
        <v>0</v>
      </c>
      <c r="AE17" s="31">
        <f>SUMIFS(METALFISA!$E:$E,METALFISA!$A:$A,'Faltantes Fevereiro- Metalfisa'!AE$3,METALFISA!$B:$B,'Faltantes Fevereiro- Metalfisa'!$A17)</f>
        <v>0</v>
      </c>
      <c r="AF17" s="31">
        <f>SUMIFS(METALFISA!$E:$E,METALFISA!$A:$A,'Faltantes Fevereiro- Metalfisa'!AF$3,METALFISA!$B:$B,'Faltantes Fevereiro- Metalfisa'!$A17)</f>
        <v>0</v>
      </c>
      <c r="AG17" s="31">
        <f>SUMIFS(METALFISA!$E:$E,METALFISA!$A:$A,'Faltantes Fevereiro- Metalfisa'!AG$3,METALFISA!$B:$B,'Faltantes Fevereiro- Metalfisa'!$A17)</f>
        <v>2</v>
      </c>
      <c r="AH17" s="31">
        <f>SUMIFS(METALFISA!$E:$E,METALFISA!$A:$A,'Faltantes Fevereiro- Metalfisa'!AH$3,METALFISA!$B:$B,'Faltantes Fevereiro- Metalfisa'!$A17)</f>
        <v>0</v>
      </c>
      <c r="AI17" s="31">
        <f>SUMIFS(METALFISA!$E:$E,METALFISA!$A:$A,'Faltantes Fevereiro- Metalfisa'!AI$3,METALFISA!$B:$B,'Faltantes Fevereiro- Metalfisa'!$A17)</f>
        <v>0</v>
      </c>
      <c r="AJ17" s="31">
        <f>SUMIFS(METALFISA!$E:$E,METALFISA!$A:$A,'Faltantes Fevereiro- Metalfisa'!AJ$3,METALFISA!$B:$B,'Faltantes Fevereiro- Metalfisa'!$A17)</f>
        <v>0</v>
      </c>
      <c r="AK17" s="31">
        <f>SUMIFS(METALFISA!$E:$E,METALFISA!$A:$A,'Faltantes Fevereiro- Metalfisa'!AK$3,METALFISA!$B:$B,'Faltantes Fevereiro- Metalfisa'!$A17)</f>
        <v>0</v>
      </c>
      <c r="AL17" s="31">
        <f>SUMIFS(METALFISA!$E:$E,METALFISA!$A:$A,'Faltantes Fevereiro- Metalfisa'!AL$3,METALFISA!$B:$B,'Faltantes Fevereiro- Metalfisa'!$A17)</f>
        <v>0</v>
      </c>
      <c r="AM17" s="31">
        <f>SUMIFS(METALFISA!$E:$E,METALFISA!$A:$A,'Faltantes Fevereiro- Metalfisa'!AM$3,METALFISA!$B:$B,'Faltantes Fevereiro- Metalfisa'!$A17)</f>
        <v>0</v>
      </c>
      <c r="AN17" s="31">
        <f>SUMIFS(METALFISA!$E:$E,METALFISA!$A:$A,'Faltantes Fevereiro- Metalfisa'!AN$3,METALFISA!$B:$B,'Faltantes Fevereiro- Metalfisa'!$A17)</f>
        <v>0</v>
      </c>
      <c r="AO17" s="31">
        <f>SUMIFS(METALFISA!$E:$E,METALFISA!$A:$A,'Faltantes Fevereiro- Metalfisa'!AO$3,METALFISA!$B:$B,'Faltantes Fevereiro- Metalfisa'!$A17)</f>
        <v>0</v>
      </c>
      <c r="AP17" s="31">
        <f>SUMIFS(METALFISA!$E:$E,METALFISA!$A:$A,'Faltantes Fevereiro- Metalfisa'!AP$3,METALFISA!$B:$B,'Faltantes Fevereiro- Metalfisa'!$A17)</f>
        <v>0</v>
      </c>
      <c r="AQ17" s="31"/>
      <c r="AR17" s="31">
        <f>SUMIFS(METALFISA!$E:$E,METALFISA!$A:$A,'Faltantes Fevereiro- Metalfisa'!AR$3,METALFISA!$B:$B,'Faltantes Fevereiro- Metalfisa'!$A17)</f>
        <v>0</v>
      </c>
      <c r="AS17" s="35">
        <f>SUMIFS(METALFISA!$E:$E,METALFISA!$A:$A,'Faltantes Fevereiro- Metalfisa'!AS$3,METALFISA!$B:$B,'Faltantes Fevereiro- Metalfisa'!$A17)</f>
        <v>0</v>
      </c>
      <c r="AU17" s="18">
        <v>0</v>
      </c>
      <c r="AV17" s="18">
        <v>0</v>
      </c>
      <c r="AW17" s="18">
        <v>0</v>
      </c>
      <c r="AX17" s="18">
        <v>0</v>
      </c>
      <c r="AY17" s="41">
        <v>0</v>
      </c>
      <c r="AZ17" s="31">
        <v>0</v>
      </c>
      <c r="BA17" s="31">
        <v>0</v>
      </c>
      <c r="BB17" s="31">
        <v>0</v>
      </c>
      <c r="BC17" s="31">
        <v>0</v>
      </c>
      <c r="BD17" s="31">
        <v>0</v>
      </c>
      <c r="BE17" s="31">
        <v>0</v>
      </c>
      <c r="BF17" s="31">
        <v>0</v>
      </c>
      <c r="BG17" s="31">
        <v>0</v>
      </c>
      <c r="BH17" s="31">
        <v>0</v>
      </c>
      <c r="BI17" s="31">
        <v>0</v>
      </c>
      <c r="BJ17" s="31">
        <v>0</v>
      </c>
      <c r="BK17" s="31">
        <v>0</v>
      </c>
      <c r="BL17" s="31">
        <v>0</v>
      </c>
      <c r="BM17" s="31">
        <v>1</v>
      </c>
      <c r="BN17" s="31">
        <v>0</v>
      </c>
      <c r="BO17" s="31">
        <v>0</v>
      </c>
      <c r="BP17" s="31">
        <v>0</v>
      </c>
      <c r="BQ17" s="31">
        <v>0</v>
      </c>
      <c r="BR17" s="31">
        <v>0</v>
      </c>
      <c r="BS17" s="31">
        <v>0</v>
      </c>
      <c r="BT17" s="31">
        <v>0</v>
      </c>
      <c r="BU17" s="31">
        <v>0</v>
      </c>
      <c r="BV17" s="31">
        <v>0</v>
      </c>
      <c r="BW17" s="31">
        <v>0</v>
      </c>
      <c r="BX17" s="31">
        <v>0</v>
      </c>
      <c r="BY17" s="31">
        <v>0</v>
      </c>
      <c r="BZ17" s="31">
        <v>0</v>
      </c>
      <c r="CA17" s="31">
        <v>0</v>
      </c>
      <c r="CB17" s="31">
        <v>0</v>
      </c>
      <c r="CC17" s="31">
        <v>0</v>
      </c>
      <c r="CD17" s="31">
        <v>0</v>
      </c>
      <c r="CE17" s="31">
        <v>0</v>
      </c>
      <c r="CF17" s="31">
        <v>0</v>
      </c>
      <c r="CG17" s="31">
        <v>0</v>
      </c>
      <c r="CH17" s="31">
        <v>0</v>
      </c>
      <c r="CI17" s="31">
        <v>0</v>
      </c>
      <c r="CJ17" s="31">
        <v>0</v>
      </c>
      <c r="CK17" s="31">
        <v>0</v>
      </c>
      <c r="CL17" s="35">
        <v>0</v>
      </c>
    </row>
    <row r="18" spans="1:90" ht="21" x14ac:dyDescent="0.15">
      <c r="A18" s="27" t="s">
        <v>541</v>
      </c>
      <c r="B18" s="28" t="s">
        <v>542</v>
      </c>
      <c r="C18" s="28">
        <v>0</v>
      </c>
      <c r="D18" s="28">
        <v>0</v>
      </c>
      <c r="E18" s="28">
        <v>0</v>
      </c>
      <c r="F18" s="28">
        <v>0</v>
      </c>
      <c r="G18" s="28">
        <v>1</v>
      </c>
      <c r="H18" s="28">
        <f>IFERROR(VLOOKUP(A18,[1]FALTANTES!$A:$AB,28,FALSE),"-")</f>
        <v>0</v>
      </c>
      <c r="I18" s="42">
        <f>IFERROR(VLOOKUP(A18,[1]FALTANTES!$A:$AC,29,FALSE),"-")</f>
        <v>0</v>
      </c>
      <c r="J18" s="29">
        <f>IFERROR(VLOOKUP(A18,[1]FALTANTES!$A:$AD,30,FALSE),"-")</f>
        <v>-1</v>
      </c>
      <c r="K18" s="30">
        <v>0</v>
      </c>
      <c r="L18" s="30">
        <f t="shared" si="0"/>
        <v>1</v>
      </c>
      <c r="M18" s="31">
        <f>SUMIFS(METALFISA!$E:$E,METALFISA!$A:$A,'Faltantes Fevereiro- Metalfisa'!M$3,METALFISA!$B:$B,'Faltantes Fevereiro- Metalfisa'!$A18)</f>
        <v>0</v>
      </c>
      <c r="N18" s="31">
        <f>SUMIFS(METALFISA!$E:$E,METALFISA!$A:$A,'Faltantes Fevereiro- Metalfisa'!N$3,METALFISA!$B:$B,'Faltantes Fevereiro- Metalfisa'!$A18)</f>
        <v>0</v>
      </c>
      <c r="O18" s="31">
        <f>SUMIFS(METALFISA!$E:$E,METALFISA!$A:$A,'Faltantes Fevereiro- Metalfisa'!O$3,METALFISA!$B:$B,'Faltantes Fevereiro- Metalfisa'!$A18)</f>
        <v>0</v>
      </c>
      <c r="P18" s="31">
        <f>SUMIFS(METALFISA!$E:$E,METALFISA!$A:$A,'Faltantes Fevereiro- Metalfisa'!P$3,METALFISA!$B:$B,'Faltantes Fevereiro- Metalfisa'!$A18)</f>
        <v>0</v>
      </c>
      <c r="Q18" s="31">
        <f>SUMIFS(METALFISA!$E:$E,METALFISA!$A:$A,'Faltantes Fevereiro- Metalfisa'!Q$3,METALFISA!$B:$B,'Faltantes Fevereiro- Metalfisa'!$A18)</f>
        <v>0</v>
      </c>
      <c r="R18" s="31">
        <f>SUMIFS(METALFISA!$E:$E,METALFISA!$A:$A,'Faltantes Fevereiro- Metalfisa'!R$3,METALFISA!$B:$B,'Faltantes Fevereiro- Metalfisa'!$A18)</f>
        <v>0</v>
      </c>
      <c r="S18" s="31">
        <f>SUMIFS(METALFISA!$E:$E,METALFISA!$A:$A,'Faltantes Fevereiro- Metalfisa'!S$3,METALFISA!$B:$B,'Faltantes Fevereiro- Metalfisa'!$A18)</f>
        <v>0</v>
      </c>
      <c r="T18" s="31">
        <f>SUMIFS(METALFISA!$E:$E,METALFISA!$A:$A,'Faltantes Fevereiro- Metalfisa'!T$3,METALFISA!$B:$B,'Faltantes Fevereiro- Metalfisa'!$A18)</f>
        <v>0</v>
      </c>
      <c r="U18" s="31">
        <f>SUMIFS(METALFISA!$E:$E,METALFISA!$A:$A,'Faltantes Fevereiro- Metalfisa'!U$3,METALFISA!$B:$B,'Faltantes Fevereiro- Metalfisa'!$A18)</f>
        <v>0</v>
      </c>
      <c r="V18" s="31">
        <f>SUMIFS(METALFISA!$E:$E,METALFISA!$A:$A,'Faltantes Fevereiro- Metalfisa'!V$3,METALFISA!$B:$B,'Faltantes Fevereiro- Metalfisa'!$A18)</f>
        <v>0</v>
      </c>
      <c r="W18" s="31">
        <f>SUMIFS(METALFISA!$E:$E,METALFISA!$A:$A,'Faltantes Fevereiro- Metalfisa'!W$3,METALFISA!$B:$B,'Faltantes Fevereiro- Metalfisa'!$A18)</f>
        <v>0</v>
      </c>
      <c r="X18" s="31">
        <f>SUMIFS(METALFISA!$E:$E,METALFISA!$A:$A,'Faltantes Fevereiro- Metalfisa'!X$3,METALFISA!$B:$B,'Faltantes Fevereiro- Metalfisa'!$A18)</f>
        <v>1</v>
      </c>
      <c r="Y18" s="31">
        <f>SUMIFS(METALFISA!$E:$E,METALFISA!$A:$A,'Faltantes Fevereiro- Metalfisa'!Y$3,METALFISA!$B:$B,'Faltantes Fevereiro- Metalfisa'!$A18)</f>
        <v>0</v>
      </c>
      <c r="Z18" s="31">
        <f>SUMIFS(METALFISA!$E:$E,METALFISA!$A:$A,'Faltantes Fevereiro- Metalfisa'!Z$3,METALFISA!$B:$B,'Faltantes Fevereiro- Metalfisa'!$A18)</f>
        <v>0</v>
      </c>
      <c r="AA18" s="31">
        <f>SUMIFS(METALFISA!$E:$E,METALFISA!$A:$A,'Faltantes Fevereiro- Metalfisa'!AA$3,METALFISA!$B:$B,'Faltantes Fevereiro- Metalfisa'!$A18)</f>
        <v>0</v>
      </c>
      <c r="AB18" s="31">
        <f>SUMIFS(METALFISA!$E:$E,METALFISA!$A:$A,'Faltantes Fevereiro- Metalfisa'!AB$3,METALFISA!$B:$B,'Faltantes Fevereiro- Metalfisa'!$A18)</f>
        <v>0</v>
      </c>
      <c r="AC18" s="31">
        <f>SUMIFS(METALFISA!$E:$E,METALFISA!$A:$A,'Faltantes Fevereiro- Metalfisa'!AC$3,METALFISA!$B:$B,'Faltantes Fevereiro- Metalfisa'!$A18)</f>
        <v>0</v>
      </c>
      <c r="AD18" s="31">
        <f>SUMIFS(METALFISA!$E:$E,METALFISA!$A:$A,'Faltantes Fevereiro- Metalfisa'!AD$3,METALFISA!$B:$B,'Faltantes Fevereiro- Metalfisa'!$A18)</f>
        <v>0</v>
      </c>
      <c r="AE18" s="31">
        <f>SUMIFS(METALFISA!$E:$E,METALFISA!$A:$A,'Faltantes Fevereiro- Metalfisa'!AE$3,METALFISA!$B:$B,'Faltantes Fevereiro- Metalfisa'!$A18)</f>
        <v>0</v>
      </c>
      <c r="AF18" s="31">
        <f>SUMIFS(METALFISA!$E:$E,METALFISA!$A:$A,'Faltantes Fevereiro- Metalfisa'!AF$3,METALFISA!$B:$B,'Faltantes Fevereiro- Metalfisa'!$A18)</f>
        <v>0</v>
      </c>
      <c r="AG18" s="31">
        <f>SUMIFS(METALFISA!$E:$E,METALFISA!$A:$A,'Faltantes Fevereiro- Metalfisa'!AG$3,METALFISA!$B:$B,'Faltantes Fevereiro- Metalfisa'!$A18)</f>
        <v>0</v>
      </c>
      <c r="AH18" s="31">
        <f>SUMIFS(METALFISA!$E:$E,METALFISA!$A:$A,'Faltantes Fevereiro- Metalfisa'!AH$3,METALFISA!$B:$B,'Faltantes Fevereiro- Metalfisa'!$A18)</f>
        <v>0</v>
      </c>
      <c r="AI18" s="31">
        <f>SUMIFS(METALFISA!$E:$E,METALFISA!$A:$A,'Faltantes Fevereiro- Metalfisa'!AI$3,METALFISA!$B:$B,'Faltantes Fevereiro- Metalfisa'!$A18)</f>
        <v>0</v>
      </c>
      <c r="AJ18" s="31">
        <f>SUMIFS(METALFISA!$E:$E,METALFISA!$A:$A,'Faltantes Fevereiro- Metalfisa'!AJ$3,METALFISA!$B:$B,'Faltantes Fevereiro- Metalfisa'!$A18)</f>
        <v>0</v>
      </c>
      <c r="AK18" s="31">
        <f>SUMIFS(METALFISA!$E:$E,METALFISA!$A:$A,'Faltantes Fevereiro- Metalfisa'!AK$3,METALFISA!$B:$B,'Faltantes Fevereiro- Metalfisa'!$A18)</f>
        <v>0</v>
      </c>
      <c r="AL18" s="31">
        <f>SUMIFS(METALFISA!$E:$E,METALFISA!$A:$A,'Faltantes Fevereiro- Metalfisa'!AL$3,METALFISA!$B:$B,'Faltantes Fevereiro- Metalfisa'!$A18)</f>
        <v>0</v>
      </c>
      <c r="AM18" s="31">
        <f>SUMIFS(METALFISA!$E:$E,METALFISA!$A:$A,'Faltantes Fevereiro- Metalfisa'!AM$3,METALFISA!$B:$B,'Faltantes Fevereiro- Metalfisa'!$A18)</f>
        <v>0</v>
      </c>
      <c r="AN18" s="31">
        <f>SUMIFS(METALFISA!$E:$E,METALFISA!$A:$A,'Faltantes Fevereiro- Metalfisa'!AN$3,METALFISA!$B:$B,'Faltantes Fevereiro- Metalfisa'!$A18)</f>
        <v>0</v>
      </c>
      <c r="AO18" s="31">
        <f>SUMIFS(METALFISA!$E:$E,METALFISA!$A:$A,'Faltantes Fevereiro- Metalfisa'!AO$3,METALFISA!$B:$B,'Faltantes Fevereiro- Metalfisa'!$A18)</f>
        <v>0</v>
      </c>
      <c r="AP18" s="31">
        <f>SUMIFS(METALFISA!$E:$E,METALFISA!$A:$A,'Faltantes Fevereiro- Metalfisa'!AP$3,METALFISA!$B:$B,'Faltantes Fevereiro- Metalfisa'!$A18)</f>
        <v>0</v>
      </c>
      <c r="AQ18" s="31"/>
      <c r="AR18" s="31">
        <f>SUMIFS(METALFISA!$E:$E,METALFISA!$A:$A,'Faltantes Fevereiro- Metalfisa'!AR$3,METALFISA!$B:$B,'Faltantes Fevereiro- Metalfisa'!$A18)</f>
        <v>0</v>
      </c>
      <c r="AS18" s="35">
        <f>SUMIFS(METALFISA!$E:$E,METALFISA!$A:$A,'Faltantes Fevereiro- Metalfisa'!AS$3,METALFISA!$B:$B,'Faltantes Fevereiro- Metalfisa'!$A18)</f>
        <v>0</v>
      </c>
      <c r="AU18" s="18">
        <v>0</v>
      </c>
      <c r="AV18" s="18">
        <v>0</v>
      </c>
      <c r="AW18" s="18">
        <v>0</v>
      </c>
      <c r="AX18" s="18">
        <v>0</v>
      </c>
      <c r="AY18" s="41">
        <v>0</v>
      </c>
      <c r="AZ18" s="31">
        <v>0</v>
      </c>
      <c r="BA18" s="31">
        <v>0</v>
      </c>
      <c r="BB18" s="31">
        <v>0</v>
      </c>
      <c r="BC18" s="31">
        <v>0</v>
      </c>
      <c r="BD18" s="31">
        <v>0</v>
      </c>
      <c r="BE18" s="31">
        <v>0</v>
      </c>
      <c r="BF18" s="31">
        <v>0</v>
      </c>
      <c r="BG18" s="31">
        <v>0</v>
      </c>
      <c r="BH18" s="31">
        <v>0</v>
      </c>
      <c r="BI18" s="31">
        <v>0</v>
      </c>
      <c r="BJ18" s="31">
        <v>0</v>
      </c>
      <c r="BK18" s="31">
        <v>0</v>
      </c>
      <c r="BL18" s="31">
        <v>0</v>
      </c>
      <c r="BM18" s="31">
        <v>1</v>
      </c>
      <c r="BN18" s="31">
        <v>0</v>
      </c>
      <c r="BO18" s="31">
        <v>0</v>
      </c>
      <c r="BP18" s="31">
        <v>0</v>
      </c>
      <c r="BQ18" s="31">
        <v>0</v>
      </c>
      <c r="BR18" s="31">
        <v>0</v>
      </c>
      <c r="BS18" s="31">
        <v>0</v>
      </c>
      <c r="BT18" s="31">
        <v>0</v>
      </c>
      <c r="BU18" s="31">
        <v>0</v>
      </c>
      <c r="BV18" s="31">
        <v>0</v>
      </c>
      <c r="BW18" s="31">
        <v>0</v>
      </c>
      <c r="BX18" s="31">
        <v>0</v>
      </c>
      <c r="BY18" s="31">
        <v>0</v>
      </c>
      <c r="BZ18" s="31">
        <v>0</v>
      </c>
      <c r="CA18" s="31">
        <v>0</v>
      </c>
      <c r="CB18" s="31">
        <v>0</v>
      </c>
      <c r="CC18" s="31">
        <v>0</v>
      </c>
      <c r="CD18" s="31">
        <v>0</v>
      </c>
      <c r="CE18" s="31">
        <v>0</v>
      </c>
      <c r="CF18" s="31">
        <v>0</v>
      </c>
      <c r="CG18" s="31">
        <v>0</v>
      </c>
      <c r="CH18" s="31">
        <v>0</v>
      </c>
      <c r="CI18" s="31">
        <v>0</v>
      </c>
      <c r="CJ18" s="31">
        <v>0</v>
      </c>
      <c r="CK18" s="31">
        <v>0</v>
      </c>
      <c r="CL18" s="35">
        <v>0</v>
      </c>
    </row>
    <row r="19" spans="1:90" ht="21" x14ac:dyDescent="0.15">
      <c r="A19" s="27" t="s">
        <v>543</v>
      </c>
      <c r="B19" s="28" t="s">
        <v>544</v>
      </c>
      <c r="C19" s="28">
        <v>0</v>
      </c>
      <c r="D19" s="28">
        <v>0</v>
      </c>
      <c r="E19" s="28">
        <v>0</v>
      </c>
      <c r="F19" s="28">
        <v>0</v>
      </c>
      <c r="G19" s="28">
        <v>3</v>
      </c>
      <c r="H19" s="28">
        <f>IFERROR(VLOOKUP(A19,[1]FALTANTES!$A:$AB,28,FALSE),"-")</f>
        <v>0</v>
      </c>
      <c r="I19" s="42">
        <f>IFERROR(VLOOKUP(A19,[1]FALTANTES!$A:$AC,29,FALSE),"-")</f>
        <v>0</v>
      </c>
      <c r="J19" s="29">
        <f>IFERROR(VLOOKUP(A19,[1]FALTANTES!$A:$AD,30,FALSE),"-")</f>
        <v>-3</v>
      </c>
      <c r="K19" s="30">
        <v>0</v>
      </c>
      <c r="L19" s="30">
        <f t="shared" si="0"/>
        <v>3</v>
      </c>
      <c r="M19" s="31">
        <f>SUMIFS(METALFISA!$E:$E,METALFISA!$A:$A,'Faltantes Fevereiro- Metalfisa'!M$3,METALFISA!$B:$B,'Faltantes Fevereiro- Metalfisa'!$A19)</f>
        <v>0</v>
      </c>
      <c r="N19" s="31">
        <f>SUMIFS(METALFISA!$E:$E,METALFISA!$A:$A,'Faltantes Fevereiro- Metalfisa'!N$3,METALFISA!$B:$B,'Faltantes Fevereiro- Metalfisa'!$A19)</f>
        <v>0</v>
      </c>
      <c r="O19" s="31">
        <f>SUMIFS(METALFISA!$E:$E,METALFISA!$A:$A,'Faltantes Fevereiro- Metalfisa'!O$3,METALFISA!$B:$B,'Faltantes Fevereiro- Metalfisa'!$A19)</f>
        <v>0</v>
      </c>
      <c r="P19" s="31">
        <f>SUMIFS(METALFISA!$E:$E,METALFISA!$A:$A,'Faltantes Fevereiro- Metalfisa'!P$3,METALFISA!$B:$B,'Faltantes Fevereiro- Metalfisa'!$A19)</f>
        <v>0</v>
      </c>
      <c r="Q19" s="31">
        <f>SUMIFS(METALFISA!$E:$E,METALFISA!$A:$A,'Faltantes Fevereiro- Metalfisa'!Q$3,METALFISA!$B:$B,'Faltantes Fevereiro- Metalfisa'!$A19)</f>
        <v>0</v>
      </c>
      <c r="R19" s="31">
        <f>SUMIFS(METALFISA!$E:$E,METALFISA!$A:$A,'Faltantes Fevereiro- Metalfisa'!R$3,METALFISA!$B:$B,'Faltantes Fevereiro- Metalfisa'!$A19)</f>
        <v>0</v>
      </c>
      <c r="S19" s="31">
        <f>SUMIFS(METALFISA!$E:$E,METALFISA!$A:$A,'Faltantes Fevereiro- Metalfisa'!S$3,METALFISA!$B:$B,'Faltantes Fevereiro- Metalfisa'!$A19)</f>
        <v>0</v>
      </c>
      <c r="T19" s="31">
        <f>SUMIFS(METALFISA!$E:$E,METALFISA!$A:$A,'Faltantes Fevereiro- Metalfisa'!T$3,METALFISA!$B:$B,'Faltantes Fevereiro- Metalfisa'!$A19)</f>
        <v>0</v>
      </c>
      <c r="U19" s="31">
        <f>SUMIFS(METALFISA!$E:$E,METALFISA!$A:$A,'Faltantes Fevereiro- Metalfisa'!U$3,METALFISA!$B:$B,'Faltantes Fevereiro- Metalfisa'!$A19)</f>
        <v>0</v>
      </c>
      <c r="V19" s="31">
        <f>SUMIFS(METALFISA!$E:$E,METALFISA!$A:$A,'Faltantes Fevereiro- Metalfisa'!V$3,METALFISA!$B:$B,'Faltantes Fevereiro- Metalfisa'!$A19)</f>
        <v>0</v>
      </c>
      <c r="W19" s="31">
        <f>SUMIFS(METALFISA!$E:$E,METALFISA!$A:$A,'Faltantes Fevereiro- Metalfisa'!W$3,METALFISA!$B:$B,'Faltantes Fevereiro- Metalfisa'!$A19)</f>
        <v>0</v>
      </c>
      <c r="X19" s="31">
        <f>SUMIFS(METALFISA!$E:$E,METALFISA!$A:$A,'Faltantes Fevereiro- Metalfisa'!X$3,METALFISA!$B:$B,'Faltantes Fevereiro- Metalfisa'!$A19)</f>
        <v>0</v>
      </c>
      <c r="Y19" s="31">
        <f>SUMIFS(METALFISA!$E:$E,METALFISA!$A:$A,'Faltantes Fevereiro- Metalfisa'!Y$3,METALFISA!$B:$B,'Faltantes Fevereiro- Metalfisa'!$A19)</f>
        <v>0</v>
      </c>
      <c r="Z19" s="31">
        <f>SUMIFS(METALFISA!$E:$E,METALFISA!$A:$A,'Faltantes Fevereiro- Metalfisa'!Z$3,METALFISA!$B:$B,'Faltantes Fevereiro- Metalfisa'!$A19)</f>
        <v>0</v>
      </c>
      <c r="AA19" s="31">
        <f>SUMIFS(METALFISA!$E:$E,METALFISA!$A:$A,'Faltantes Fevereiro- Metalfisa'!AA$3,METALFISA!$B:$B,'Faltantes Fevereiro- Metalfisa'!$A19)</f>
        <v>0</v>
      </c>
      <c r="AB19" s="31">
        <f>SUMIFS(METALFISA!$E:$E,METALFISA!$A:$A,'Faltantes Fevereiro- Metalfisa'!AB$3,METALFISA!$B:$B,'Faltantes Fevereiro- Metalfisa'!$A19)</f>
        <v>0</v>
      </c>
      <c r="AC19" s="31">
        <f>SUMIFS(METALFISA!$E:$E,METALFISA!$A:$A,'Faltantes Fevereiro- Metalfisa'!AC$3,METALFISA!$B:$B,'Faltantes Fevereiro- Metalfisa'!$A19)</f>
        <v>0</v>
      </c>
      <c r="AD19" s="31">
        <f>SUMIFS(METALFISA!$E:$E,METALFISA!$A:$A,'Faltantes Fevereiro- Metalfisa'!AD$3,METALFISA!$B:$B,'Faltantes Fevereiro- Metalfisa'!$A19)</f>
        <v>0</v>
      </c>
      <c r="AE19" s="31">
        <f>SUMIFS(METALFISA!$E:$E,METALFISA!$A:$A,'Faltantes Fevereiro- Metalfisa'!AE$3,METALFISA!$B:$B,'Faltantes Fevereiro- Metalfisa'!$A19)</f>
        <v>0</v>
      </c>
      <c r="AF19" s="31">
        <f>SUMIFS(METALFISA!$E:$E,METALFISA!$A:$A,'Faltantes Fevereiro- Metalfisa'!AF$3,METALFISA!$B:$B,'Faltantes Fevereiro- Metalfisa'!$A19)</f>
        <v>0</v>
      </c>
      <c r="AG19" s="31">
        <f>SUMIFS(METALFISA!$E:$E,METALFISA!$A:$A,'Faltantes Fevereiro- Metalfisa'!AG$3,METALFISA!$B:$B,'Faltantes Fevereiro- Metalfisa'!$A19)</f>
        <v>2</v>
      </c>
      <c r="AH19" s="31">
        <f>SUMIFS(METALFISA!$E:$E,METALFISA!$A:$A,'Faltantes Fevereiro- Metalfisa'!AH$3,METALFISA!$B:$B,'Faltantes Fevereiro- Metalfisa'!$A19)</f>
        <v>0</v>
      </c>
      <c r="AI19" s="31">
        <f>SUMIFS(METALFISA!$E:$E,METALFISA!$A:$A,'Faltantes Fevereiro- Metalfisa'!AI$3,METALFISA!$B:$B,'Faltantes Fevereiro- Metalfisa'!$A19)</f>
        <v>0</v>
      </c>
      <c r="AJ19" s="31">
        <f>SUMIFS(METALFISA!$E:$E,METALFISA!$A:$A,'Faltantes Fevereiro- Metalfisa'!AJ$3,METALFISA!$B:$B,'Faltantes Fevereiro- Metalfisa'!$A19)</f>
        <v>0</v>
      </c>
      <c r="AK19" s="31">
        <f>SUMIFS(METALFISA!$E:$E,METALFISA!$A:$A,'Faltantes Fevereiro- Metalfisa'!AK$3,METALFISA!$B:$B,'Faltantes Fevereiro- Metalfisa'!$A19)</f>
        <v>0</v>
      </c>
      <c r="AL19" s="31">
        <f>SUMIFS(METALFISA!$E:$E,METALFISA!$A:$A,'Faltantes Fevereiro- Metalfisa'!AL$3,METALFISA!$B:$B,'Faltantes Fevereiro- Metalfisa'!$A19)</f>
        <v>0</v>
      </c>
      <c r="AM19" s="31">
        <f>SUMIFS(METALFISA!$E:$E,METALFISA!$A:$A,'Faltantes Fevereiro- Metalfisa'!AM$3,METALFISA!$B:$B,'Faltantes Fevereiro- Metalfisa'!$A19)</f>
        <v>1</v>
      </c>
      <c r="AN19" s="31">
        <f>SUMIFS(METALFISA!$E:$E,METALFISA!$A:$A,'Faltantes Fevereiro- Metalfisa'!AN$3,METALFISA!$B:$B,'Faltantes Fevereiro- Metalfisa'!$A19)</f>
        <v>0</v>
      </c>
      <c r="AO19" s="31">
        <f>SUMIFS(METALFISA!$E:$E,METALFISA!$A:$A,'Faltantes Fevereiro- Metalfisa'!AO$3,METALFISA!$B:$B,'Faltantes Fevereiro- Metalfisa'!$A19)</f>
        <v>0</v>
      </c>
      <c r="AP19" s="31">
        <f>SUMIFS(METALFISA!$E:$E,METALFISA!$A:$A,'Faltantes Fevereiro- Metalfisa'!AP$3,METALFISA!$B:$B,'Faltantes Fevereiro- Metalfisa'!$A19)</f>
        <v>0</v>
      </c>
      <c r="AQ19" s="31"/>
      <c r="AR19" s="31">
        <f>SUMIFS(METALFISA!$E:$E,METALFISA!$A:$A,'Faltantes Fevereiro- Metalfisa'!AR$3,METALFISA!$B:$B,'Faltantes Fevereiro- Metalfisa'!$A19)</f>
        <v>0</v>
      </c>
      <c r="AS19" s="35">
        <f>SUMIFS(METALFISA!$E:$E,METALFISA!$A:$A,'Faltantes Fevereiro- Metalfisa'!AS$3,METALFISA!$B:$B,'Faltantes Fevereiro- Metalfisa'!$A19)</f>
        <v>0</v>
      </c>
      <c r="AU19" s="18">
        <v>0</v>
      </c>
      <c r="AV19" s="18">
        <v>0</v>
      </c>
      <c r="AW19" s="18">
        <v>0</v>
      </c>
      <c r="AX19" s="18">
        <v>0</v>
      </c>
      <c r="AY19" s="41">
        <v>0</v>
      </c>
      <c r="AZ19" s="31">
        <v>0</v>
      </c>
      <c r="BA19" s="31">
        <v>0</v>
      </c>
      <c r="BB19" s="31">
        <v>0</v>
      </c>
      <c r="BC19" s="31">
        <v>0</v>
      </c>
      <c r="BD19" s="31">
        <v>0</v>
      </c>
      <c r="BE19" s="31">
        <v>0</v>
      </c>
      <c r="BF19" s="31">
        <v>0</v>
      </c>
      <c r="BG19" s="31">
        <v>0</v>
      </c>
      <c r="BH19" s="31">
        <v>0</v>
      </c>
      <c r="BI19" s="31">
        <v>0</v>
      </c>
      <c r="BJ19" s="31">
        <v>0</v>
      </c>
      <c r="BK19" s="31">
        <v>0</v>
      </c>
      <c r="BL19" s="31">
        <v>0</v>
      </c>
      <c r="BM19" s="31">
        <v>1</v>
      </c>
      <c r="BN19" s="31">
        <v>0</v>
      </c>
      <c r="BO19" s="31">
        <v>0</v>
      </c>
      <c r="BP19" s="31">
        <v>0</v>
      </c>
      <c r="BQ19" s="31">
        <v>0</v>
      </c>
      <c r="BR19" s="31">
        <v>0</v>
      </c>
      <c r="BS19" s="31">
        <v>0</v>
      </c>
      <c r="BT19" s="31">
        <v>0</v>
      </c>
      <c r="BU19" s="31">
        <v>0</v>
      </c>
      <c r="BV19" s="31">
        <v>0</v>
      </c>
      <c r="BW19" s="31">
        <v>0</v>
      </c>
      <c r="BX19" s="31">
        <v>0</v>
      </c>
      <c r="BY19" s="31">
        <v>0</v>
      </c>
      <c r="BZ19" s="31">
        <v>0</v>
      </c>
      <c r="CA19" s="31">
        <v>0</v>
      </c>
      <c r="CB19" s="31">
        <v>0</v>
      </c>
      <c r="CC19" s="31">
        <v>0</v>
      </c>
      <c r="CD19" s="31">
        <v>0</v>
      </c>
      <c r="CE19" s="31">
        <v>0</v>
      </c>
      <c r="CF19" s="31">
        <v>0</v>
      </c>
      <c r="CG19" s="31">
        <v>0</v>
      </c>
      <c r="CH19" s="31">
        <v>0</v>
      </c>
      <c r="CI19" s="31">
        <v>0</v>
      </c>
      <c r="CJ19" s="31">
        <v>0</v>
      </c>
      <c r="CK19" s="31">
        <v>0</v>
      </c>
      <c r="CL19" s="35">
        <v>0</v>
      </c>
    </row>
    <row r="20" spans="1:90" x14ac:dyDescent="0.15">
      <c r="A20" s="27" t="s">
        <v>183</v>
      </c>
      <c r="B20" s="28" t="s">
        <v>184</v>
      </c>
      <c r="C20" s="28">
        <v>0</v>
      </c>
      <c r="D20" s="28">
        <v>0</v>
      </c>
      <c r="E20" s="28">
        <v>0</v>
      </c>
      <c r="F20" s="28">
        <v>0</v>
      </c>
      <c r="G20" s="28">
        <v>3</v>
      </c>
      <c r="H20" s="28">
        <f>IFERROR(VLOOKUP(A20,[1]FALTANTES!$A:$AB,28,FALSE),"-")</f>
        <v>0</v>
      </c>
      <c r="I20" s="42">
        <f>IFERROR(VLOOKUP(A20,[1]FALTANTES!$A:$AC,29,FALSE),"-")</f>
        <v>0</v>
      </c>
      <c r="J20" s="29">
        <f>IFERROR(VLOOKUP(A20,[1]FALTANTES!$A:$AD,30,FALSE),"-")</f>
        <v>-3</v>
      </c>
      <c r="K20" s="30">
        <v>0</v>
      </c>
      <c r="L20" s="30">
        <f t="shared" si="0"/>
        <v>3</v>
      </c>
      <c r="M20" s="31">
        <f>SUMIFS(METALFISA!$E:$E,METALFISA!$A:$A,'Faltantes Fevereiro- Metalfisa'!M$3,METALFISA!$B:$B,'Faltantes Fevereiro- Metalfisa'!$A20)</f>
        <v>0</v>
      </c>
      <c r="N20" s="31">
        <f>SUMIFS(METALFISA!$E:$E,METALFISA!$A:$A,'Faltantes Fevereiro- Metalfisa'!N$3,METALFISA!$B:$B,'Faltantes Fevereiro- Metalfisa'!$A20)</f>
        <v>0</v>
      </c>
      <c r="O20" s="31">
        <f>SUMIFS(METALFISA!$E:$E,METALFISA!$A:$A,'Faltantes Fevereiro- Metalfisa'!O$3,METALFISA!$B:$B,'Faltantes Fevereiro- Metalfisa'!$A20)</f>
        <v>0</v>
      </c>
      <c r="P20" s="31">
        <f>SUMIFS(METALFISA!$E:$E,METALFISA!$A:$A,'Faltantes Fevereiro- Metalfisa'!P$3,METALFISA!$B:$B,'Faltantes Fevereiro- Metalfisa'!$A20)</f>
        <v>0</v>
      </c>
      <c r="Q20" s="31">
        <f>SUMIFS(METALFISA!$E:$E,METALFISA!$A:$A,'Faltantes Fevereiro- Metalfisa'!Q$3,METALFISA!$B:$B,'Faltantes Fevereiro- Metalfisa'!$A20)</f>
        <v>0</v>
      </c>
      <c r="R20" s="31">
        <f>SUMIFS(METALFISA!$E:$E,METALFISA!$A:$A,'Faltantes Fevereiro- Metalfisa'!R$3,METALFISA!$B:$B,'Faltantes Fevereiro- Metalfisa'!$A20)</f>
        <v>0</v>
      </c>
      <c r="S20" s="31">
        <f>SUMIFS(METALFISA!$E:$E,METALFISA!$A:$A,'Faltantes Fevereiro- Metalfisa'!S$3,METALFISA!$B:$B,'Faltantes Fevereiro- Metalfisa'!$A20)</f>
        <v>0</v>
      </c>
      <c r="T20" s="31">
        <f>SUMIFS(METALFISA!$E:$E,METALFISA!$A:$A,'Faltantes Fevereiro- Metalfisa'!T$3,METALFISA!$B:$B,'Faltantes Fevereiro- Metalfisa'!$A20)</f>
        <v>0</v>
      </c>
      <c r="U20" s="31">
        <f>SUMIFS(METALFISA!$E:$E,METALFISA!$A:$A,'Faltantes Fevereiro- Metalfisa'!U$3,METALFISA!$B:$B,'Faltantes Fevereiro- Metalfisa'!$A20)</f>
        <v>0</v>
      </c>
      <c r="V20" s="31">
        <f>SUMIFS(METALFISA!$E:$E,METALFISA!$A:$A,'Faltantes Fevereiro- Metalfisa'!V$3,METALFISA!$B:$B,'Faltantes Fevereiro- Metalfisa'!$A20)</f>
        <v>0</v>
      </c>
      <c r="W20" s="31">
        <f>SUMIFS(METALFISA!$E:$E,METALFISA!$A:$A,'Faltantes Fevereiro- Metalfisa'!W$3,METALFISA!$B:$B,'Faltantes Fevereiro- Metalfisa'!$A20)</f>
        <v>0</v>
      </c>
      <c r="X20" s="31">
        <f>SUMIFS(METALFISA!$E:$E,METALFISA!$A:$A,'Faltantes Fevereiro- Metalfisa'!X$3,METALFISA!$B:$B,'Faltantes Fevereiro- Metalfisa'!$A20)</f>
        <v>0</v>
      </c>
      <c r="Y20" s="31">
        <f>SUMIFS(METALFISA!$E:$E,METALFISA!$A:$A,'Faltantes Fevereiro- Metalfisa'!Y$3,METALFISA!$B:$B,'Faltantes Fevereiro- Metalfisa'!$A20)</f>
        <v>0</v>
      </c>
      <c r="Z20" s="31">
        <f>SUMIFS(METALFISA!$E:$E,METALFISA!$A:$A,'Faltantes Fevereiro- Metalfisa'!Z$3,METALFISA!$B:$B,'Faltantes Fevereiro- Metalfisa'!$A20)</f>
        <v>0</v>
      </c>
      <c r="AA20" s="31">
        <f>SUMIFS(METALFISA!$E:$E,METALFISA!$A:$A,'Faltantes Fevereiro- Metalfisa'!AA$3,METALFISA!$B:$B,'Faltantes Fevereiro- Metalfisa'!$A20)</f>
        <v>0</v>
      </c>
      <c r="AB20" s="31">
        <f>SUMIFS(METALFISA!$E:$E,METALFISA!$A:$A,'Faltantes Fevereiro- Metalfisa'!AB$3,METALFISA!$B:$B,'Faltantes Fevereiro- Metalfisa'!$A20)</f>
        <v>0</v>
      </c>
      <c r="AC20" s="31">
        <f>SUMIFS(METALFISA!$E:$E,METALFISA!$A:$A,'Faltantes Fevereiro- Metalfisa'!AC$3,METALFISA!$B:$B,'Faltantes Fevereiro- Metalfisa'!$A20)</f>
        <v>1</v>
      </c>
      <c r="AD20" s="31">
        <f>SUMIFS(METALFISA!$E:$E,METALFISA!$A:$A,'Faltantes Fevereiro- Metalfisa'!AD$3,METALFISA!$B:$B,'Faltantes Fevereiro- Metalfisa'!$A20)</f>
        <v>0</v>
      </c>
      <c r="AE20" s="31">
        <f>SUMIFS(METALFISA!$E:$E,METALFISA!$A:$A,'Faltantes Fevereiro- Metalfisa'!AE$3,METALFISA!$B:$B,'Faltantes Fevereiro- Metalfisa'!$A20)</f>
        <v>0</v>
      </c>
      <c r="AF20" s="31">
        <f>SUMIFS(METALFISA!$E:$E,METALFISA!$A:$A,'Faltantes Fevereiro- Metalfisa'!AF$3,METALFISA!$B:$B,'Faltantes Fevereiro- Metalfisa'!$A20)</f>
        <v>0</v>
      </c>
      <c r="AG20" s="31">
        <f>SUMIFS(METALFISA!$E:$E,METALFISA!$A:$A,'Faltantes Fevereiro- Metalfisa'!AG$3,METALFISA!$B:$B,'Faltantes Fevereiro- Metalfisa'!$A20)</f>
        <v>2</v>
      </c>
      <c r="AH20" s="31">
        <f>SUMIFS(METALFISA!$E:$E,METALFISA!$A:$A,'Faltantes Fevereiro- Metalfisa'!AH$3,METALFISA!$B:$B,'Faltantes Fevereiro- Metalfisa'!$A20)</f>
        <v>0</v>
      </c>
      <c r="AI20" s="31">
        <f>SUMIFS(METALFISA!$E:$E,METALFISA!$A:$A,'Faltantes Fevereiro- Metalfisa'!AI$3,METALFISA!$B:$B,'Faltantes Fevereiro- Metalfisa'!$A20)</f>
        <v>0</v>
      </c>
      <c r="AJ20" s="31">
        <f>SUMIFS(METALFISA!$E:$E,METALFISA!$A:$A,'Faltantes Fevereiro- Metalfisa'!AJ$3,METALFISA!$B:$B,'Faltantes Fevereiro- Metalfisa'!$A20)</f>
        <v>0</v>
      </c>
      <c r="AK20" s="31">
        <f>SUMIFS(METALFISA!$E:$E,METALFISA!$A:$A,'Faltantes Fevereiro- Metalfisa'!AK$3,METALFISA!$B:$B,'Faltantes Fevereiro- Metalfisa'!$A20)</f>
        <v>0</v>
      </c>
      <c r="AL20" s="31">
        <f>SUMIFS(METALFISA!$E:$E,METALFISA!$A:$A,'Faltantes Fevereiro- Metalfisa'!AL$3,METALFISA!$B:$B,'Faltantes Fevereiro- Metalfisa'!$A20)</f>
        <v>0</v>
      </c>
      <c r="AM20" s="31">
        <f>SUMIFS(METALFISA!$E:$E,METALFISA!$A:$A,'Faltantes Fevereiro- Metalfisa'!AM$3,METALFISA!$B:$B,'Faltantes Fevereiro- Metalfisa'!$A20)</f>
        <v>0</v>
      </c>
      <c r="AN20" s="31">
        <f>SUMIFS(METALFISA!$E:$E,METALFISA!$A:$A,'Faltantes Fevereiro- Metalfisa'!AN$3,METALFISA!$B:$B,'Faltantes Fevereiro- Metalfisa'!$A20)</f>
        <v>0</v>
      </c>
      <c r="AO20" s="31">
        <f>SUMIFS(METALFISA!$E:$E,METALFISA!$A:$A,'Faltantes Fevereiro- Metalfisa'!AO$3,METALFISA!$B:$B,'Faltantes Fevereiro- Metalfisa'!$A20)</f>
        <v>0</v>
      </c>
      <c r="AP20" s="31">
        <f>SUMIFS(METALFISA!$E:$E,METALFISA!$A:$A,'Faltantes Fevereiro- Metalfisa'!AP$3,METALFISA!$B:$B,'Faltantes Fevereiro- Metalfisa'!$A20)</f>
        <v>0</v>
      </c>
      <c r="AQ20" s="31"/>
      <c r="AR20" s="31">
        <f>SUMIFS(METALFISA!$E:$E,METALFISA!$A:$A,'Faltantes Fevereiro- Metalfisa'!AR$3,METALFISA!$B:$B,'Faltantes Fevereiro- Metalfisa'!$A20)</f>
        <v>0</v>
      </c>
      <c r="AS20" s="35">
        <f>SUMIFS(METALFISA!$E:$E,METALFISA!$A:$A,'Faltantes Fevereiro- Metalfisa'!AS$3,METALFISA!$B:$B,'Faltantes Fevereiro- Metalfisa'!$A20)</f>
        <v>0</v>
      </c>
      <c r="AU20" s="18">
        <v>0</v>
      </c>
      <c r="AV20" s="18">
        <v>0</v>
      </c>
      <c r="AW20" s="18">
        <v>0</v>
      </c>
      <c r="AX20" s="18">
        <v>0</v>
      </c>
      <c r="AY20" s="41">
        <v>0</v>
      </c>
      <c r="AZ20" s="31">
        <v>0</v>
      </c>
      <c r="BA20" s="31">
        <v>0</v>
      </c>
      <c r="BB20" s="31">
        <v>0</v>
      </c>
      <c r="BC20" s="31">
        <v>0</v>
      </c>
      <c r="BD20" s="31">
        <v>0</v>
      </c>
      <c r="BE20" s="31">
        <v>0</v>
      </c>
      <c r="BF20" s="31">
        <v>0</v>
      </c>
      <c r="BG20" s="31">
        <v>0</v>
      </c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1</v>
      </c>
      <c r="BN20" s="31">
        <v>0</v>
      </c>
      <c r="BO20" s="31">
        <v>0</v>
      </c>
      <c r="BP20" s="31">
        <v>0</v>
      </c>
      <c r="BQ20" s="31">
        <v>0</v>
      </c>
      <c r="BR20" s="31">
        <v>0</v>
      </c>
      <c r="BS20" s="31">
        <v>0</v>
      </c>
      <c r="BT20" s="31">
        <v>0</v>
      </c>
      <c r="BU20" s="31">
        <v>0</v>
      </c>
      <c r="BV20" s="31">
        <v>0</v>
      </c>
      <c r="BW20" s="31">
        <v>0</v>
      </c>
      <c r="BX20" s="31">
        <v>0</v>
      </c>
      <c r="BY20" s="31">
        <v>0</v>
      </c>
      <c r="BZ20" s="31">
        <v>0</v>
      </c>
      <c r="CA20" s="31">
        <v>0</v>
      </c>
      <c r="CB20" s="31">
        <v>0</v>
      </c>
      <c r="CC20" s="31">
        <v>0</v>
      </c>
      <c r="CD20" s="31">
        <v>0</v>
      </c>
      <c r="CE20" s="31">
        <v>0</v>
      </c>
      <c r="CF20" s="31">
        <v>0</v>
      </c>
      <c r="CG20" s="31">
        <v>0</v>
      </c>
      <c r="CH20" s="31">
        <v>0</v>
      </c>
      <c r="CI20" s="31">
        <v>0</v>
      </c>
      <c r="CJ20" s="31">
        <v>0</v>
      </c>
      <c r="CK20" s="31">
        <v>0</v>
      </c>
      <c r="CL20" s="35">
        <v>0</v>
      </c>
    </row>
    <row r="21" spans="1:90" ht="21" x14ac:dyDescent="0.15">
      <c r="A21" s="27" t="s">
        <v>547</v>
      </c>
      <c r="B21" s="28" t="s">
        <v>548</v>
      </c>
      <c r="C21" s="28">
        <v>0</v>
      </c>
      <c r="D21" s="28">
        <v>0</v>
      </c>
      <c r="E21" s="28">
        <v>0</v>
      </c>
      <c r="F21" s="28">
        <v>0</v>
      </c>
      <c r="G21" s="28">
        <v>3</v>
      </c>
      <c r="H21" s="28">
        <f>IFERROR(VLOOKUP(A21,[1]FALTANTES!$A:$AB,28,FALSE),"-")</f>
        <v>0</v>
      </c>
      <c r="I21" s="42">
        <f>IFERROR(VLOOKUP(A21,[1]FALTANTES!$A:$AC,29,FALSE),"-")</f>
        <v>0</v>
      </c>
      <c r="J21" s="29">
        <f>IFERROR(VLOOKUP(A21,[1]FALTANTES!$A:$AD,30,FALSE),"-")</f>
        <v>-3</v>
      </c>
      <c r="K21" s="30">
        <v>0</v>
      </c>
      <c r="L21" s="30">
        <f t="shared" si="0"/>
        <v>3</v>
      </c>
      <c r="M21" s="31">
        <f>SUMIFS(METALFISA!$E:$E,METALFISA!$A:$A,'Faltantes Fevereiro- Metalfisa'!M$3,METALFISA!$B:$B,'Faltantes Fevereiro- Metalfisa'!$A21)</f>
        <v>0</v>
      </c>
      <c r="N21" s="31">
        <f>SUMIFS(METALFISA!$E:$E,METALFISA!$A:$A,'Faltantes Fevereiro- Metalfisa'!N$3,METALFISA!$B:$B,'Faltantes Fevereiro- Metalfisa'!$A21)</f>
        <v>0</v>
      </c>
      <c r="O21" s="31">
        <f>SUMIFS(METALFISA!$E:$E,METALFISA!$A:$A,'Faltantes Fevereiro- Metalfisa'!O$3,METALFISA!$B:$B,'Faltantes Fevereiro- Metalfisa'!$A21)</f>
        <v>0</v>
      </c>
      <c r="P21" s="31">
        <f>SUMIFS(METALFISA!$E:$E,METALFISA!$A:$A,'Faltantes Fevereiro- Metalfisa'!P$3,METALFISA!$B:$B,'Faltantes Fevereiro- Metalfisa'!$A21)</f>
        <v>0</v>
      </c>
      <c r="Q21" s="31">
        <f>SUMIFS(METALFISA!$E:$E,METALFISA!$A:$A,'Faltantes Fevereiro- Metalfisa'!Q$3,METALFISA!$B:$B,'Faltantes Fevereiro- Metalfisa'!$A21)</f>
        <v>0</v>
      </c>
      <c r="R21" s="31">
        <f>SUMIFS(METALFISA!$E:$E,METALFISA!$A:$A,'Faltantes Fevereiro- Metalfisa'!R$3,METALFISA!$B:$B,'Faltantes Fevereiro- Metalfisa'!$A21)</f>
        <v>0</v>
      </c>
      <c r="S21" s="31">
        <f>SUMIFS(METALFISA!$E:$E,METALFISA!$A:$A,'Faltantes Fevereiro- Metalfisa'!S$3,METALFISA!$B:$B,'Faltantes Fevereiro- Metalfisa'!$A21)</f>
        <v>0</v>
      </c>
      <c r="T21" s="31">
        <f>SUMIFS(METALFISA!$E:$E,METALFISA!$A:$A,'Faltantes Fevereiro- Metalfisa'!T$3,METALFISA!$B:$B,'Faltantes Fevereiro- Metalfisa'!$A21)</f>
        <v>0</v>
      </c>
      <c r="U21" s="31">
        <f>SUMIFS(METALFISA!$E:$E,METALFISA!$A:$A,'Faltantes Fevereiro- Metalfisa'!U$3,METALFISA!$B:$B,'Faltantes Fevereiro- Metalfisa'!$A21)</f>
        <v>0</v>
      </c>
      <c r="V21" s="31">
        <f>SUMIFS(METALFISA!$E:$E,METALFISA!$A:$A,'Faltantes Fevereiro- Metalfisa'!V$3,METALFISA!$B:$B,'Faltantes Fevereiro- Metalfisa'!$A21)</f>
        <v>0</v>
      </c>
      <c r="W21" s="31">
        <f>SUMIFS(METALFISA!$E:$E,METALFISA!$A:$A,'Faltantes Fevereiro- Metalfisa'!W$3,METALFISA!$B:$B,'Faltantes Fevereiro- Metalfisa'!$A21)</f>
        <v>0</v>
      </c>
      <c r="X21" s="31">
        <f>SUMIFS(METALFISA!$E:$E,METALFISA!$A:$A,'Faltantes Fevereiro- Metalfisa'!X$3,METALFISA!$B:$B,'Faltantes Fevereiro- Metalfisa'!$A21)</f>
        <v>0</v>
      </c>
      <c r="Y21" s="31">
        <f>SUMIFS(METALFISA!$E:$E,METALFISA!$A:$A,'Faltantes Fevereiro- Metalfisa'!Y$3,METALFISA!$B:$B,'Faltantes Fevereiro- Metalfisa'!$A21)</f>
        <v>0</v>
      </c>
      <c r="Z21" s="31">
        <f>SUMIFS(METALFISA!$E:$E,METALFISA!$A:$A,'Faltantes Fevereiro- Metalfisa'!Z$3,METALFISA!$B:$B,'Faltantes Fevereiro- Metalfisa'!$A21)</f>
        <v>0</v>
      </c>
      <c r="AA21" s="31">
        <f>SUMIFS(METALFISA!$E:$E,METALFISA!$A:$A,'Faltantes Fevereiro- Metalfisa'!AA$3,METALFISA!$B:$B,'Faltantes Fevereiro- Metalfisa'!$A21)</f>
        <v>0</v>
      </c>
      <c r="AB21" s="31">
        <f>SUMIFS(METALFISA!$E:$E,METALFISA!$A:$A,'Faltantes Fevereiro- Metalfisa'!AB$3,METALFISA!$B:$B,'Faltantes Fevereiro- Metalfisa'!$A21)</f>
        <v>0</v>
      </c>
      <c r="AC21" s="31">
        <f>SUMIFS(METALFISA!$E:$E,METALFISA!$A:$A,'Faltantes Fevereiro- Metalfisa'!AC$3,METALFISA!$B:$B,'Faltantes Fevereiro- Metalfisa'!$A21)</f>
        <v>0</v>
      </c>
      <c r="AD21" s="31">
        <f>SUMIFS(METALFISA!$E:$E,METALFISA!$A:$A,'Faltantes Fevereiro- Metalfisa'!AD$3,METALFISA!$B:$B,'Faltantes Fevereiro- Metalfisa'!$A21)</f>
        <v>0</v>
      </c>
      <c r="AE21" s="31">
        <f>SUMIFS(METALFISA!$E:$E,METALFISA!$A:$A,'Faltantes Fevereiro- Metalfisa'!AE$3,METALFISA!$B:$B,'Faltantes Fevereiro- Metalfisa'!$A21)</f>
        <v>0</v>
      </c>
      <c r="AF21" s="31">
        <f>SUMIFS(METALFISA!$E:$E,METALFISA!$A:$A,'Faltantes Fevereiro- Metalfisa'!AF$3,METALFISA!$B:$B,'Faltantes Fevereiro- Metalfisa'!$A21)</f>
        <v>0</v>
      </c>
      <c r="AG21" s="31">
        <f>SUMIFS(METALFISA!$E:$E,METALFISA!$A:$A,'Faltantes Fevereiro- Metalfisa'!AG$3,METALFISA!$B:$B,'Faltantes Fevereiro- Metalfisa'!$A21)</f>
        <v>2</v>
      </c>
      <c r="AH21" s="31">
        <f>SUMIFS(METALFISA!$E:$E,METALFISA!$A:$A,'Faltantes Fevereiro- Metalfisa'!AH$3,METALFISA!$B:$B,'Faltantes Fevereiro- Metalfisa'!$A21)</f>
        <v>0</v>
      </c>
      <c r="AI21" s="31">
        <f>SUMIFS(METALFISA!$E:$E,METALFISA!$A:$A,'Faltantes Fevereiro- Metalfisa'!AI$3,METALFISA!$B:$B,'Faltantes Fevereiro- Metalfisa'!$A21)</f>
        <v>0</v>
      </c>
      <c r="AJ21" s="31">
        <f>SUMIFS(METALFISA!$E:$E,METALFISA!$A:$A,'Faltantes Fevereiro- Metalfisa'!AJ$3,METALFISA!$B:$B,'Faltantes Fevereiro- Metalfisa'!$A21)</f>
        <v>0</v>
      </c>
      <c r="AK21" s="31">
        <f>SUMIFS(METALFISA!$E:$E,METALFISA!$A:$A,'Faltantes Fevereiro- Metalfisa'!AK$3,METALFISA!$B:$B,'Faltantes Fevereiro- Metalfisa'!$A21)</f>
        <v>0</v>
      </c>
      <c r="AL21" s="31">
        <f>SUMIFS(METALFISA!$E:$E,METALFISA!$A:$A,'Faltantes Fevereiro- Metalfisa'!AL$3,METALFISA!$B:$B,'Faltantes Fevereiro- Metalfisa'!$A21)</f>
        <v>0</v>
      </c>
      <c r="AM21" s="31">
        <f>SUMIFS(METALFISA!$E:$E,METALFISA!$A:$A,'Faltantes Fevereiro- Metalfisa'!AM$3,METALFISA!$B:$B,'Faltantes Fevereiro- Metalfisa'!$A21)</f>
        <v>1</v>
      </c>
      <c r="AN21" s="31">
        <f>SUMIFS(METALFISA!$E:$E,METALFISA!$A:$A,'Faltantes Fevereiro- Metalfisa'!AN$3,METALFISA!$B:$B,'Faltantes Fevereiro- Metalfisa'!$A21)</f>
        <v>0</v>
      </c>
      <c r="AO21" s="31">
        <f>SUMIFS(METALFISA!$E:$E,METALFISA!$A:$A,'Faltantes Fevereiro- Metalfisa'!AO$3,METALFISA!$B:$B,'Faltantes Fevereiro- Metalfisa'!$A21)</f>
        <v>0</v>
      </c>
      <c r="AP21" s="31">
        <f>SUMIFS(METALFISA!$E:$E,METALFISA!$A:$A,'Faltantes Fevereiro- Metalfisa'!AP$3,METALFISA!$B:$B,'Faltantes Fevereiro- Metalfisa'!$A21)</f>
        <v>0</v>
      </c>
      <c r="AQ21" s="31"/>
      <c r="AR21" s="31">
        <f>SUMIFS(METALFISA!$E:$E,METALFISA!$A:$A,'Faltantes Fevereiro- Metalfisa'!AR$3,METALFISA!$B:$B,'Faltantes Fevereiro- Metalfisa'!$A21)</f>
        <v>0</v>
      </c>
      <c r="AS21" s="35">
        <f>SUMIFS(METALFISA!$E:$E,METALFISA!$A:$A,'Faltantes Fevereiro- Metalfisa'!AS$3,METALFISA!$B:$B,'Faltantes Fevereiro- Metalfisa'!$A21)</f>
        <v>0</v>
      </c>
      <c r="AU21" s="18">
        <v>0</v>
      </c>
      <c r="AV21" s="18">
        <v>0</v>
      </c>
      <c r="AW21" s="18">
        <v>0</v>
      </c>
      <c r="AX21" s="18">
        <v>0</v>
      </c>
      <c r="AY21" s="41">
        <v>0</v>
      </c>
      <c r="AZ21" s="31">
        <v>0</v>
      </c>
      <c r="BA21" s="31">
        <v>0</v>
      </c>
      <c r="BB21" s="31">
        <v>0</v>
      </c>
      <c r="BC21" s="31">
        <v>0</v>
      </c>
      <c r="BD21" s="31">
        <v>0</v>
      </c>
      <c r="BE21" s="31">
        <v>0</v>
      </c>
      <c r="BF21" s="31">
        <v>0</v>
      </c>
      <c r="BG21" s="31">
        <v>0</v>
      </c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1</v>
      </c>
      <c r="BN21" s="31">
        <v>0</v>
      </c>
      <c r="BO21" s="31">
        <v>0</v>
      </c>
      <c r="BP21" s="31">
        <v>0</v>
      </c>
      <c r="BQ21" s="31">
        <v>0</v>
      </c>
      <c r="BR21" s="31">
        <v>0</v>
      </c>
      <c r="BS21" s="31">
        <v>0</v>
      </c>
      <c r="BT21" s="31">
        <v>0</v>
      </c>
      <c r="BU21" s="31">
        <v>0</v>
      </c>
      <c r="BV21" s="31">
        <v>0</v>
      </c>
      <c r="BW21" s="31">
        <v>0</v>
      </c>
      <c r="BX21" s="31">
        <v>0</v>
      </c>
      <c r="BY21" s="31">
        <v>0</v>
      </c>
      <c r="BZ21" s="31">
        <v>0</v>
      </c>
      <c r="CA21" s="31">
        <v>0</v>
      </c>
      <c r="CB21" s="31">
        <v>0</v>
      </c>
      <c r="CC21" s="31">
        <v>0</v>
      </c>
      <c r="CD21" s="31">
        <v>0</v>
      </c>
      <c r="CE21" s="31">
        <v>0</v>
      </c>
      <c r="CF21" s="31">
        <v>0</v>
      </c>
      <c r="CG21" s="31">
        <v>0</v>
      </c>
      <c r="CH21" s="31">
        <v>0</v>
      </c>
      <c r="CI21" s="31">
        <v>0</v>
      </c>
      <c r="CJ21" s="31">
        <v>0</v>
      </c>
      <c r="CK21" s="31">
        <v>0</v>
      </c>
      <c r="CL21" s="35">
        <v>0</v>
      </c>
    </row>
    <row r="22" spans="1:90" ht="21" x14ac:dyDescent="0.15">
      <c r="A22" s="27" t="s">
        <v>549</v>
      </c>
      <c r="B22" s="28" t="s">
        <v>550</v>
      </c>
      <c r="C22" s="28">
        <v>0</v>
      </c>
      <c r="D22" s="28">
        <v>0</v>
      </c>
      <c r="E22" s="28">
        <v>0</v>
      </c>
      <c r="F22" s="28">
        <v>0</v>
      </c>
      <c r="G22" s="28">
        <v>3</v>
      </c>
      <c r="H22" s="28">
        <f>IFERROR(VLOOKUP(A22,[1]FALTANTES!$A:$AB,28,FALSE),"-")</f>
        <v>0</v>
      </c>
      <c r="I22" s="42">
        <f>IFERROR(VLOOKUP(A22,[1]FALTANTES!$A:$AC,29,FALSE),"-")</f>
        <v>0</v>
      </c>
      <c r="J22" s="29">
        <f>IFERROR(VLOOKUP(A22,[1]FALTANTES!$A:$AD,30,FALSE),"-")</f>
        <v>-3</v>
      </c>
      <c r="K22" s="30">
        <v>0</v>
      </c>
      <c r="L22" s="30">
        <f t="shared" si="0"/>
        <v>3</v>
      </c>
      <c r="M22" s="31">
        <f>SUMIFS(METALFISA!$E:$E,METALFISA!$A:$A,'Faltantes Fevereiro- Metalfisa'!M$3,METALFISA!$B:$B,'Faltantes Fevereiro- Metalfisa'!$A22)</f>
        <v>0</v>
      </c>
      <c r="N22" s="31">
        <f>SUMIFS(METALFISA!$E:$E,METALFISA!$A:$A,'Faltantes Fevereiro- Metalfisa'!N$3,METALFISA!$B:$B,'Faltantes Fevereiro- Metalfisa'!$A22)</f>
        <v>0</v>
      </c>
      <c r="O22" s="31">
        <f>SUMIFS(METALFISA!$E:$E,METALFISA!$A:$A,'Faltantes Fevereiro- Metalfisa'!O$3,METALFISA!$B:$B,'Faltantes Fevereiro- Metalfisa'!$A22)</f>
        <v>0</v>
      </c>
      <c r="P22" s="31">
        <f>SUMIFS(METALFISA!$E:$E,METALFISA!$A:$A,'Faltantes Fevereiro- Metalfisa'!P$3,METALFISA!$B:$B,'Faltantes Fevereiro- Metalfisa'!$A22)</f>
        <v>0</v>
      </c>
      <c r="Q22" s="31">
        <f>SUMIFS(METALFISA!$E:$E,METALFISA!$A:$A,'Faltantes Fevereiro- Metalfisa'!Q$3,METALFISA!$B:$B,'Faltantes Fevereiro- Metalfisa'!$A22)</f>
        <v>0</v>
      </c>
      <c r="R22" s="31">
        <f>SUMIFS(METALFISA!$E:$E,METALFISA!$A:$A,'Faltantes Fevereiro- Metalfisa'!R$3,METALFISA!$B:$B,'Faltantes Fevereiro- Metalfisa'!$A22)</f>
        <v>0</v>
      </c>
      <c r="S22" s="31">
        <f>SUMIFS(METALFISA!$E:$E,METALFISA!$A:$A,'Faltantes Fevereiro- Metalfisa'!S$3,METALFISA!$B:$B,'Faltantes Fevereiro- Metalfisa'!$A22)</f>
        <v>0</v>
      </c>
      <c r="T22" s="31">
        <f>SUMIFS(METALFISA!$E:$E,METALFISA!$A:$A,'Faltantes Fevereiro- Metalfisa'!T$3,METALFISA!$B:$B,'Faltantes Fevereiro- Metalfisa'!$A22)</f>
        <v>0</v>
      </c>
      <c r="U22" s="31">
        <f>SUMIFS(METALFISA!$E:$E,METALFISA!$A:$A,'Faltantes Fevereiro- Metalfisa'!U$3,METALFISA!$B:$B,'Faltantes Fevereiro- Metalfisa'!$A22)</f>
        <v>0</v>
      </c>
      <c r="V22" s="31">
        <f>SUMIFS(METALFISA!$E:$E,METALFISA!$A:$A,'Faltantes Fevereiro- Metalfisa'!V$3,METALFISA!$B:$B,'Faltantes Fevereiro- Metalfisa'!$A22)</f>
        <v>0</v>
      </c>
      <c r="W22" s="31">
        <f>SUMIFS(METALFISA!$E:$E,METALFISA!$A:$A,'Faltantes Fevereiro- Metalfisa'!W$3,METALFISA!$B:$B,'Faltantes Fevereiro- Metalfisa'!$A22)</f>
        <v>0</v>
      </c>
      <c r="X22" s="31">
        <f>SUMIFS(METALFISA!$E:$E,METALFISA!$A:$A,'Faltantes Fevereiro- Metalfisa'!X$3,METALFISA!$B:$B,'Faltantes Fevereiro- Metalfisa'!$A22)</f>
        <v>0</v>
      </c>
      <c r="Y22" s="31">
        <f>SUMIFS(METALFISA!$E:$E,METALFISA!$A:$A,'Faltantes Fevereiro- Metalfisa'!Y$3,METALFISA!$B:$B,'Faltantes Fevereiro- Metalfisa'!$A22)</f>
        <v>0</v>
      </c>
      <c r="Z22" s="31">
        <f>SUMIFS(METALFISA!$E:$E,METALFISA!$A:$A,'Faltantes Fevereiro- Metalfisa'!Z$3,METALFISA!$B:$B,'Faltantes Fevereiro- Metalfisa'!$A22)</f>
        <v>0</v>
      </c>
      <c r="AA22" s="31">
        <f>SUMIFS(METALFISA!$E:$E,METALFISA!$A:$A,'Faltantes Fevereiro- Metalfisa'!AA$3,METALFISA!$B:$B,'Faltantes Fevereiro- Metalfisa'!$A22)</f>
        <v>0</v>
      </c>
      <c r="AB22" s="31">
        <f>SUMIFS(METALFISA!$E:$E,METALFISA!$A:$A,'Faltantes Fevereiro- Metalfisa'!AB$3,METALFISA!$B:$B,'Faltantes Fevereiro- Metalfisa'!$A22)</f>
        <v>0</v>
      </c>
      <c r="AC22" s="31">
        <f>SUMIFS(METALFISA!$E:$E,METALFISA!$A:$A,'Faltantes Fevereiro- Metalfisa'!AC$3,METALFISA!$B:$B,'Faltantes Fevereiro- Metalfisa'!$A22)</f>
        <v>1</v>
      </c>
      <c r="AD22" s="31">
        <f>SUMIFS(METALFISA!$E:$E,METALFISA!$A:$A,'Faltantes Fevereiro- Metalfisa'!AD$3,METALFISA!$B:$B,'Faltantes Fevereiro- Metalfisa'!$A22)</f>
        <v>0</v>
      </c>
      <c r="AE22" s="31">
        <f>SUMIFS(METALFISA!$E:$E,METALFISA!$A:$A,'Faltantes Fevereiro- Metalfisa'!AE$3,METALFISA!$B:$B,'Faltantes Fevereiro- Metalfisa'!$A22)</f>
        <v>0</v>
      </c>
      <c r="AF22" s="31">
        <f>SUMIFS(METALFISA!$E:$E,METALFISA!$A:$A,'Faltantes Fevereiro- Metalfisa'!AF$3,METALFISA!$B:$B,'Faltantes Fevereiro- Metalfisa'!$A22)</f>
        <v>0</v>
      </c>
      <c r="AG22" s="31">
        <f>SUMIFS(METALFISA!$E:$E,METALFISA!$A:$A,'Faltantes Fevereiro- Metalfisa'!AG$3,METALFISA!$B:$B,'Faltantes Fevereiro- Metalfisa'!$A22)</f>
        <v>2</v>
      </c>
      <c r="AH22" s="31">
        <f>SUMIFS(METALFISA!$E:$E,METALFISA!$A:$A,'Faltantes Fevereiro- Metalfisa'!AH$3,METALFISA!$B:$B,'Faltantes Fevereiro- Metalfisa'!$A22)</f>
        <v>0</v>
      </c>
      <c r="AI22" s="31">
        <f>SUMIFS(METALFISA!$E:$E,METALFISA!$A:$A,'Faltantes Fevereiro- Metalfisa'!AI$3,METALFISA!$B:$B,'Faltantes Fevereiro- Metalfisa'!$A22)</f>
        <v>0</v>
      </c>
      <c r="AJ22" s="31">
        <f>SUMIFS(METALFISA!$E:$E,METALFISA!$A:$A,'Faltantes Fevereiro- Metalfisa'!AJ$3,METALFISA!$B:$B,'Faltantes Fevereiro- Metalfisa'!$A22)</f>
        <v>0</v>
      </c>
      <c r="AK22" s="31">
        <f>SUMIFS(METALFISA!$E:$E,METALFISA!$A:$A,'Faltantes Fevereiro- Metalfisa'!AK$3,METALFISA!$B:$B,'Faltantes Fevereiro- Metalfisa'!$A22)</f>
        <v>0</v>
      </c>
      <c r="AL22" s="31">
        <f>SUMIFS(METALFISA!$E:$E,METALFISA!$A:$A,'Faltantes Fevereiro- Metalfisa'!AL$3,METALFISA!$B:$B,'Faltantes Fevereiro- Metalfisa'!$A22)</f>
        <v>0</v>
      </c>
      <c r="AM22" s="31">
        <f>SUMIFS(METALFISA!$E:$E,METALFISA!$A:$A,'Faltantes Fevereiro- Metalfisa'!AM$3,METALFISA!$B:$B,'Faltantes Fevereiro- Metalfisa'!$A22)</f>
        <v>0</v>
      </c>
      <c r="AN22" s="31">
        <f>SUMIFS(METALFISA!$E:$E,METALFISA!$A:$A,'Faltantes Fevereiro- Metalfisa'!AN$3,METALFISA!$B:$B,'Faltantes Fevereiro- Metalfisa'!$A22)</f>
        <v>0</v>
      </c>
      <c r="AO22" s="31">
        <f>SUMIFS(METALFISA!$E:$E,METALFISA!$A:$A,'Faltantes Fevereiro- Metalfisa'!AO$3,METALFISA!$B:$B,'Faltantes Fevereiro- Metalfisa'!$A22)</f>
        <v>0</v>
      </c>
      <c r="AP22" s="31">
        <f>SUMIFS(METALFISA!$E:$E,METALFISA!$A:$A,'Faltantes Fevereiro- Metalfisa'!AP$3,METALFISA!$B:$B,'Faltantes Fevereiro- Metalfisa'!$A22)</f>
        <v>0</v>
      </c>
      <c r="AQ22" s="31"/>
      <c r="AR22" s="31">
        <f>SUMIFS(METALFISA!$E:$E,METALFISA!$A:$A,'Faltantes Fevereiro- Metalfisa'!AR$3,METALFISA!$B:$B,'Faltantes Fevereiro- Metalfisa'!$A22)</f>
        <v>0</v>
      </c>
      <c r="AS22" s="35">
        <f>SUMIFS(METALFISA!$E:$E,METALFISA!$A:$A,'Faltantes Fevereiro- Metalfisa'!AS$3,METALFISA!$B:$B,'Faltantes Fevereiro- Metalfisa'!$A22)</f>
        <v>0</v>
      </c>
      <c r="AU22" s="18">
        <v>0</v>
      </c>
      <c r="AV22" s="18">
        <v>0</v>
      </c>
      <c r="AW22" s="18">
        <v>0</v>
      </c>
      <c r="AX22" s="18">
        <v>0</v>
      </c>
      <c r="AY22" s="41">
        <v>0</v>
      </c>
      <c r="AZ22" s="31">
        <v>0</v>
      </c>
      <c r="BA22" s="31">
        <v>0</v>
      </c>
      <c r="BB22" s="31">
        <v>0</v>
      </c>
      <c r="BC22" s="31">
        <v>0</v>
      </c>
      <c r="BD22" s="31">
        <v>0</v>
      </c>
      <c r="BE22" s="31">
        <v>0</v>
      </c>
      <c r="BF22" s="31">
        <v>0</v>
      </c>
      <c r="BG22" s="31">
        <v>0</v>
      </c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1</v>
      </c>
      <c r="BN22" s="31">
        <v>0</v>
      </c>
      <c r="BO22" s="31">
        <v>0</v>
      </c>
      <c r="BP22" s="31">
        <v>0</v>
      </c>
      <c r="BQ22" s="31">
        <v>0</v>
      </c>
      <c r="BR22" s="31">
        <v>0</v>
      </c>
      <c r="BS22" s="31">
        <v>0</v>
      </c>
      <c r="BT22" s="31">
        <v>0</v>
      </c>
      <c r="BU22" s="31">
        <v>0</v>
      </c>
      <c r="BV22" s="31">
        <v>0</v>
      </c>
      <c r="BW22" s="31">
        <v>0</v>
      </c>
      <c r="BX22" s="31">
        <v>0</v>
      </c>
      <c r="BY22" s="31">
        <v>0</v>
      </c>
      <c r="BZ22" s="31">
        <v>0</v>
      </c>
      <c r="CA22" s="31">
        <v>0</v>
      </c>
      <c r="CB22" s="31">
        <v>0</v>
      </c>
      <c r="CC22" s="31">
        <v>0</v>
      </c>
      <c r="CD22" s="31">
        <v>0</v>
      </c>
      <c r="CE22" s="31">
        <v>0</v>
      </c>
      <c r="CF22" s="31">
        <v>0</v>
      </c>
      <c r="CG22" s="31">
        <v>0</v>
      </c>
      <c r="CH22" s="31">
        <v>0</v>
      </c>
      <c r="CI22" s="31">
        <v>0</v>
      </c>
      <c r="CJ22" s="31">
        <v>0</v>
      </c>
      <c r="CK22" s="31">
        <v>0</v>
      </c>
      <c r="CL22" s="35">
        <v>0</v>
      </c>
    </row>
    <row r="23" spans="1:90" ht="21" x14ac:dyDescent="0.15">
      <c r="A23" s="27" t="s">
        <v>185</v>
      </c>
      <c r="B23" s="28" t="s">
        <v>186</v>
      </c>
      <c r="C23" s="28">
        <v>0</v>
      </c>
      <c r="D23" s="28">
        <v>0</v>
      </c>
      <c r="E23" s="28">
        <v>0</v>
      </c>
      <c r="F23" s="28">
        <v>0</v>
      </c>
      <c r="G23" s="28">
        <v>3</v>
      </c>
      <c r="H23" s="28">
        <f>IFERROR(VLOOKUP(A23,[1]FALTANTES!$A:$AB,28,FALSE),"-")</f>
        <v>0</v>
      </c>
      <c r="I23" s="42">
        <f>IFERROR(VLOOKUP(A23,[1]FALTANTES!$A:$AC,29,FALSE),"-")</f>
        <v>0</v>
      </c>
      <c r="J23" s="29">
        <f>IFERROR(VLOOKUP(A23,[1]FALTANTES!$A:$AD,30,FALSE),"-")</f>
        <v>-3</v>
      </c>
      <c r="K23" s="30">
        <v>0</v>
      </c>
      <c r="L23" s="30">
        <f t="shared" si="0"/>
        <v>3</v>
      </c>
      <c r="M23" s="31">
        <f>SUMIFS(METALFISA!$E:$E,METALFISA!$A:$A,'Faltantes Fevereiro- Metalfisa'!M$3,METALFISA!$B:$B,'Faltantes Fevereiro- Metalfisa'!$A23)</f>
        <v>0</v>
      </c>
      <c r="N23" s="31">
        <f>SUMIFS(METALFISA!$E:$E,METALFISA!$A:$A,'Faltantes Fevereiro- Metalfisa'!N$3,METALFISA!$B:$B,'Faltantes Fevereiro- Metalfisa'!$A23)</f>
        <v>0</v>
      </c>
      <c r="O23" s="31">
        <f>SUMIFS(METALFISA!$E:$E,METALFISA!$A:$A,'Faltantes Fevereiro- Metalfisa'!O$3,METALFISA!$B:$B,'Faltantes Fevereiro- Metalfisa'!$A23)</f>
        <v>0</v>
      </c>
      <c r="P23" s="31">
        <f>SUMIFS(METALFISA!$E:$E,METALFISA!$A:$A,'Faltantes Fevereiro- Metalfisa'!P$3,METALFISA!$B:$B,'Faltantes Fevereiro- Metalfisa'!$A23)</f>
        <v>0</v>
      </c>
      <c r="Q23" s="31">
        <f>SUMIFS(METALFISA!$E:$E,METALFISA!$A:$A,'Faltantes Fevereiro- Metalfisa'!Q$3,METALFISA!$B:$B,'Faltantes Fevereiro- Metalfisa'!$A23)</f>
        <v>0</v>
      </c>
      <c r="R23" s="31">
        <f>SUMIFS(METALFISA!$E:$E,METALFISA!$A:$A,'Faltantes Fevereiro- Metalfisa'!R$3,METALFISA!$B:$B,'Faltantes Fevereiro- Metalfisa'!$A23)</f>
        <v>0</v>
      </c>
      <c r="S23" s="31">
        <f>SUMIFS(METALFISA!$E:$E,METALFISA!$A:$A,'Faltantes Fevereiro- Metalfisa'!S$3,METALFISA!$B:$B,'Faltantes Fevereiro- Metalfisa'!$A23)</f>
        <v>0</v>
      </c>
      <c r="T23" s="31">
        <f>SUMIFS(METALFISA!$E:$E,METALFISA!$A:$A,'Faltantes Fevereiro- Metalfisa'!T$3,METALFISA!$B:$B,'Faltantes Fevereiro- Metalfisa'!$A23)</f>
        <v>0</v>
      </c>
      <c r="U23" s="31">
        <f>SUMIFS(METALFISA!$E:$E,METALFISA!$A:$A,'Faltantes Fevereiro- Metalfisa'!U$3,METALFISA!$B:$B,'Faltantes Fevereiro- Metalfisa'!$A23)</f>
        <v>0</v>
      </c>
      <c r="V23" s="31">
        <f>SUMIFS(METALFISA!$E:$E,METALFISA!$A:$A,'Faltantes Fevereiro- Metalfisa'!V$3,METALFISA!$B:$B,'Faltantes Fevereiro- Metalfisa'!$A23)</f>
        <v>0</v>
      </c>
      <c r="W23" s="31">
        <f>SUMIFS(METALFISA!$E:$E,METALFISA!$A:$A,'Faltantes Fevereiro- Metalfisa'!W$3,METALFISA!$B:$B,'Faltantes Fevereiro- Metalfisa'!$A23)</f>
        <v>0</v>
      </c>
      <c r="X23" s="31">
        <f>SUMIFS(METALFISA!$E:$E,METALFISA!$A:$A,'Faltantes Fevereiro- Metalfisa'!X$3,METALFISA!$B:$B,'Faltantes Fevereiro- Metalfisa'!$A23)</f>
        <v>0</v>
      </c>
      <c r="Y23" s="31">
        <f>SUMIFS(METALFISA!$E:$E,METALFISA!$A:$A,'Faltantes Fevereiro- Metalfisa'!Y$3,METALFISA!$B:$B,'Faltantes Fevereiro- Metalfisa'!$A23)</f>
        <v>0</v>
      </c>
      <c r="Z23" s="31">
        <f>SUMIFS(METALFISA!$E:$E,METALFISA!$A:$A,'Faltantes Fevereiro- Metalfisa'!Z$3,METALFISA!$B:$B,'Faltantes Fevereiro- Metalfisa'!$A23)</f>
        <v>0</v>
      </c>
      <c r="AA23" s="31">
        <f>SUMIFS(METALFISA!$E:$E,METALFISA!$A:$A,'Faltantes Fevereiro- Metalfisa'!AA$3,METALFISA!$B:$B,'Faltantes Fevereiro- Metalfisa'!$A23)</f>
        <v>0</v>
      </c>
      <c r="AB23" s="31">
        <f>SUMIFS(METALFISA!$E:$E,METALFISA!$A:$A,'Faltantes Fevereiro- Metalfisa'!AB$3,METALFISA!$B:$B,'Faltantes Fevereiro- Metalfisa'!$A23)</f>
        <v>0</v>
      </c>
      <c r="AC23" s="31">
        <f>SUMIFS(METALFISA!$E:$E,METALFISA!$A:$A,'Faltantes Fevereiro- Metalfisa'!AC$3,METALFISA!$B:$B,'Faltantes Fevereiro- Metalfisa'!$A23)</f>
        <v>1</v>
      </c>
      <c r="AD23" s="31">
        <f>SUMIFS(METALFISA!$E:$E,METALFISA!$A:$A,'Faltantes Fevereiro- Metalfisa'!AD$3,METALFISA!$B:$B,'Faltantes Fevereiro- Metalfisa'!$A23)</f>
        <v>0</v>
      </c>
      <c r="AE23" s="31">
        <f>SUMIFS(METALFISA!$E:$E,METALFISA!$A:$A,'Faltantes Fevereiro- Metalfisa'!AE$3,METALFISA!$B:$B,'Faltantes Fevereiro- Metalfisa'!$A23)</f>
        <v>0</v>
      </c>
      <c r="AF23" s="31">
        <f>SUMIFS(METALFISA!$E:$E,METALFISA!$A:$A,'Faltantes Fevereiro- Metalfisa'!AF$3,METALFISA!$B:$B,'Faltantes Fevereiro- Metalfisa'!$A23)</f>
        <v>0</v>
      </c>
      <c r="AG23" s="31">
        <f>SUMIFS(METALFISA!$E:$E,METALFISA!$A:$A,'Faltantes Fevereiro- Metalfisa'!AG$3,METALFISA!$B:$B,'Faltantes Fevereiro- Metalfisa'!$A23)</f>
        <v>2</v>
      </c>
      <c r="AH23" s="31">
        <f>SUMIFS(METALFISA!$E:$E,METALFISA!$A:$A,'Faltantes Fevereiro- Metalfisa'!AH$3,METALFISA!$B:$B,'Faltantes Fevereiro- Metalfisa'!$A23)</f>
        <v>0</v>
      </c>
      <c r="AI23" s="31">
        <f>SUMIFS(METALFISA!$E:$E,METALFISA!$A:$A,'Faltantes Fevereiro- Metalfisa'!AI$3,METALFISA!$B:$B,'Faltantes Fevereiro- Metalfisa'!$A23)</f>
        <v>0</v>
      </c>
      <c r="AJ23" s="31">
        <f>SUMIFS(METALFISA!$E:$E,METALFISA!$A:$A,'Faltantes Fevereiro- Metalfisa'!AJ$3,METALFISA!$B:$B,'Faltantes Fevereiro- Metalfisa'!$A23)</f>
        <v>0</v>
      </c>
      <c r="AK23" s="31">
        <f>SUMIFS(METALFISA!$E:$E,METALFISA!$A:$A,'Faltantes Fevereiro- Metalfisa'!AK$3,METALFISA!$B:$B,'Faltantes Fevereiro- Metalfisa'!$A23)</f>
        <v>0</v>
      </c>
      <c r="AL23" s="31">
        <f>SUMIFS(METALFISA!$E:$E,METALFISA!$A:$A,'Faltantes Fevereiro- Metalfisa'!AL$3,METALFISA!$B:$B,'Faltantes Fevereiro- Metalfisa'!$A23)</f>
        <v>0</v>
      </c>
      <c r="AM23" s="31">
        <f>SUMIFS(METALFISA!$E:$E,METALFISA!$A:$A,'Faltantes Fevereiro- Metalfisa'!AM$3,METALFISA!$B:$B,'Faltantes Fevereiro- Metalfisa'!$A23)</f>
        <v>0</v>
      </c>
      <c r="AN23" s="31">
        <f>SUMIFS(METALFISA!$E:$E,METALFISA!$A:$A,'Faltantes Fevereiro- Metalfisa'!AN$3,METALFISA!$B:$B,'Faltantes Fevereiro- Metalfisa'!$A23)</f>
        <v>0</v>
      </c>
      <c r="AO23" s="31">
        <f>SUMIFS(METALFISA!$E:$E,METALFISA!$A:$A,'Faltantes Fevereiro- Metalfisa'!AO$3,METALFISA!$B:$B,'Faltantes Fevereiro- Metalfisa'!$A23)</f>
        <v>0</v>
      </c>
      <c r="AP23" s="31">
        <f>SUMIFS(METALFISA!$E:$E,METALFISA!$A:$A,'Faltantes Fevereiro- Metalfisa'!AP$3,METALFISA!$B:$B,'Faltantes Fevereiro- Metalfisa'!$A23)</f>
        <v>0</v>
      </c>
      <c r="AQ23" s="31"/>
      <c r="AR23" s="31">
        <f>SUMIFS(METALFISA!$E:$E,METALFISA!$A:$A,'Faltantes Fevereiro- Metalfisa'!AR$3,METALFISA!$B:$B,'Faltantes Fevereiro- Metalfisa'!$A23)</f>
        <v>0</v>
      </c>
      <c r="AS23" s="35">
        <f>SUMIFS(METALFISA!$E:$E,METALFISA!$A:$A,'Faltantes Fevereiro- Metalfisa'!AS$3,METALFISA!$B:$B,'Faltantes Fevereiro- Metalfisa'!$A23)</f>
        <v>0</v>
      </c>
      <c r="AU23" s="18">
        <v>0</v>
      </c>
      <c r="AV23" s="18">
        <v>0</v>
      </c>
      <c r="AW23" s="18">
        <v>0</v>
      </c>
      <c r="AX23" s="18">
        <v>0</v>
      </c>
      <c r="AY23" s="41">
        <v>0</v>
      </c>
      <c r="AZ23" s="31">
        <v>0</v>
      </c>
      <c r="BA23" s="31">
        <v>0</v>
      </c>
      <c r="BB23" s="31">
        <v>0</v>
      </c>
      <c r="BC23" s="31">
        <v>0</v>
      </c>
      <c r="BD23" s="31">
        <v>0</v>
      </c>
      <c r="BE23" s="31">
        <v>0</v>
      </c>
      <c r="BF23" s="31">
        <v>0</v>
      </c>
      <c r="BG23" s="31">
        <v>0</v>
      </c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1</v>
      </c>
      <c r="BN23" s="31">
        <v>0</v>
      </c>
      <c r="BO23" s="31">
        <v>0</v>
      </c>
      <c r="BP23" s="31">
        <v>0</v>
      </c>
      <c r="BQ23" s="31">
        <v>0</v>
      </c>
      <c r="BR23" s="31">
        <v>0</v>
      </c>
      <c r="BS23" s="31">
        <v>0</v>
      </c>
      <c r="BT23" s="31">
        <v>0</v>
      </c>
      <c r="BU23" s="31">
        <v>0</v>
      </c>
      <c r="BV23" s="31">
        <v>0</v>
      </c>
      <c r="BW23" s="31">
        <v>0</v>
      </c>
      <c r="BX23" s="31">
        <v>0</v>
      </c>
      <c r="BY23" s="31">
        <v>0</v>
      </c>
      <c r="BZ23" s="31">
        <v>0</v>
      </c>
      <c r="CA23" s="31">
        <v>0</v>
      </c>
      <c r="CB23" s="31">
        <v>0</v>
      </c>
      <c r="CC23" s="31">
        <v>0</v>
      </c>
      <c r="CD23" s="31">
        <v>0</v>
      </c>
      <c r="CE23" s="31">
        <v>0</v>
      </c>
      <c r="CF23" s="31">
        <v>0</v>
      </c>
      <c r="CG23" s="31">
        <v>0</v>
      </c>
      <c r="CH23" s="31">
        <v>0</v>
      </c>
      <c r="CI23" s="31">
        <v>0</v>
      </c>
      <c r="CJ23" s="31">
        <v>0</v>
      </c>
      <c r="CK23" s="31">
        <v>0</v>
      </c>
      <c r="CL23" s="35">
        <v>0</v>
      </c>
    </row>
    <row r="24" spans="1:90" ht="21" x14ac:dyDescent="0.15">
      <c r="A24" s="27" t="s">
        <v>187</v>
      </c>
      <c r="B24" s="28" t="s">
        <v>188</v>
      </c>
      <c r="C24" s="28">
        <v>0</v>
      </c>
      <c r="D24" s="28">
        <v>0</v>
      </c>
      <c r="E24" s="28">
        <v>0</v>
      </c>
      <c r="F24" s="28">
        <v>0</v>
      </c>
      <c r="G24" s="28">
        <v>8</v>
      </c>
      <c r="H24" s="28">
        <f>IFERROR(VLOOKUP(A24,[1]FALTANTES!$A:$AB,28,FALSE),"-")</f>
        <v>0</v>
      </c>
      <c r="I24" s="42">
        <f>IFERROR(VLOOKUP(A24,[1]FALTANTES!$A:$AC,29,FALSE),"-")</f>
        <v>0</v>
      </c>
      <c r="J24" s="29">
        <f>IFERROR(VLOOKUP(A24,[1]FALTANTES!$A:$AD,30,FALSE),"-")</f>
        <v>-8</v>
      </c>
      <c r="K24" s="30">
        <v>0</v>
      </c>
      <c r="L24" s="30">
        <f t="shared" si="0"/>
        <v>8</v>
      </c>
      <c r="M24" s="31">
        <f>SUMIFS(METALFISA!$E:$E,METALFISA!$A:$A,'Faltantes Fevereiro- Metalfisa'!M$3,METALFISA!$B:$B,'Faltantes Fevereiro- Metalfisa'!$A24)</f>
        <v>0</v>
      </c>
      <c r="N24" s="31">
        <f>SUMIFS(METALFISA!$E:$E,METALFISA!$A:$A,'Faltantes Fevereiro- Metalfisa'!N$3,METALFISA!$B:$B,'Faltantes Fevereiro- Metalfisa'!$A24)</f>
        <v>0</v>
      </c>
      <c r="O24" s="31">
        <f>SUMIFS(METALFISA!$E:$E,METALFISA!$A:$A,'Faltantes Fevereiro- Metalfisa'!O$3,METALFISA!$B:$B,'Faltantes Fevereiro- Metalfisa'!$A24)</f>
        <v>0</v>
      </c>
      <c r="P24" s="31">
        <f>SUMIFS(METALFISA!$E:$E,METALFISA!$A:$A,'Faltantes Fevereiro- Metalfisa'!P$3,METALFISA!$B:$B,'Faltantes Fevereiro- Metalfisa'!$A24)</f>
        <v>0</v>
      </c>
      <c r="Q24" s="31">
        <f>SUMIFS(METALFISA!$E:$E,METALFISA!$A:$A,'Faltantes Fevereiro- Metalfisa'!Q$3,METALFISA!$B:$B,'Faltantes Fevereiro- Metalfisa'!$A24)</f>
        <v>0</v>
      </c>
      <c r="R24" s="31">
        <f>SUMIFS(METALFISA!$E:$E,METALFISA!$A:$A,'Faltantes Fevereiro- Metalfisa'!R$3,METALFISA!$B:$B,'Faltantes Fevereiro- Metalfisa'!$A24)</f>
        <v>0</v>
      </c>
      <c r="S24" s="31">
        <f>SUMIFS(METALFISA!$E:$E,METALFISA!$A:$A,'Faltantes Fevereiro- Metalfisa'!S$3,METALFISA!$B:$B,'Faltantes Fevereiro- Metalfisa'!$A24)</f>
        <v>0</v>
      </c>
      <c r="T24" s="31">
        <f>SUMIFS(METALFISA!$E:$E,METALFISA!$A:$A,'Faltantes Fevereiro- Metalfisa'!T$3,METALFISA!$B:$B,'Faltantes Fevereiro- Metalfisa'!$A24)</f>
        <v>0</v>
      </c>
      <c r="U24" s="31">
        <f>SUMIFS(METALFISA!$E:$E,METALFISA!$A:$A,'Faltantes Fevereiro- Metalfisa'!U$3,METALFISA!$B:$B,'Faltantes Fevereiro- Metalfisa'!$A24)</f>
        <v>0</v>
      </c>
      <c r="V24" s="31">
        <f>SUMIFS(METALFISA!$E:$E,METALFISA!$A:$A,'Faltantes Fevereiro- Metalfisa'!V$3,METALFISA!$B:$B,'Faltantes Fevereiro- Metalfisa'!$A24)</f>
        <v>0</v>
      </c>
      <c r="W24" s="31">
        <f>SUMIFS(METALFISA!$E:$E,METALFISA!$A:$A,'Faltantes Fevereiro- Metalfisa'!W$3,METALFISA!$B:$B,'Faltantes Fevereiro- Metalfisa'!$A24)</f>
        <v>0</v>
      </c>
      <c r="X24" s="31">
        <f>SUMIFS(METALFISA!$E:$E,METALFISA!$A:$A,'Faltantes Fevereiro- Metalfisa'!X$3,METALFISA!$B:$B,'Faltantes Fevereiro- Metalfisa'!$A24)</f>
        <v>0</v>
      </c>
      <c r="Y24" s="31">
        <f>SUMIFS(METALFISA!$E:$E,METALFISA!$A:$A,'Faltantes Fevereiro- Metalfisa'!Y$3,METALFISA!$B:$B,'Faltantes Fevereiro- Metalfisa'!$A24)</f>
        <v>0</v>
      </c>
      <c r="Z24" s="31">
        <f>SUMIFS(METALFISA!$E:$E,METALFISA!$A:$A,'Faltantes Fevereiro- Metalfisa'!Z$3,METALFISA!$B:$B,'Faltantes Fevereiro- Metalfisa'!$A24)</f>
        <v>0</v>
      </c>
      <c r="AA24" s="31">
        <f>SUMIFS(METALFISA!$E:$E,METALFISA!$A:$A,'Faltantes Fevereiro- Metalfisa'!AA$3,METALFISA!$B:$B,'Faltantes Fevereiro- Metalfisa'!$A24)</f>
        <v>0</v>
      </c>
      <c r="AB24" s="31">
        <f>SUMIFS(METALFISA!$E:$E,METALFISA!$A:$A,'Faltantes Fevereiro- Metalfisa'!AB$3,METALFISA!$B:$B,'Faltantes Fevereiro- Metalfisa'!$A24)</f>
        <v>0</v>
      </c>
      <c r="AC24" s="31">
        <f>SUMIFS(METALFISA!$E:$E,METALFISA!$A:$A,'Faltantes Fevereiro- Metalfisa'!AC$3,METALFISA!$B:$B,'Faltantes Fevereiro- Metalfisa'!$A24)</f>
        <v>0</v>
      </c>
      <c r="AD24" s="31">
        <f>SUMIFS(METALFISA!$E:$E,METALFISA!$A:$A,'Faltantes Fevereiro- Metalfisa'!AD$3,METALFISA!$B:$B,'Faltantes Fevereiro- Metalfisa'!$A24)</f>
        <v>0</v>
      </c>
      <c r="AE24" s="31">
        <f>SUMIFS(METALFISA!$E:$E,METALFISA!$A:$A,'Faltantes Fevereiro- Metalfisa'!AE$3,METALFISA!$B:$B,'Faltantes Fevereiro- Metalfisa'!$A24)</f>
        <v>0</v>
      </c>
      <c r="AF24" s="31">
        <f>SUMIFS(METALFISA!$E:$E,METALFISA!$A:$A,'Faltantes Fevereiro- Metalfisa'!AF$3,METALFISA!$B:$B,'Faltantes Fevereiro- Metalfisa'!$A24)</f>
        <v>0</v>
      </c>
      <c r="AG24" s="31">
        <f>SUMIFS(METALFISA!$E:$E,METALFISA!$A:$A,'Faltantes Fevereiro- Metalfisa'!AG$3,METALFISA!$B:$B,'Faltantes Fevereiro- Metalfisa'!$A24)</f>
        <v>8</v>
      </c>
      <c r="AH24" s="31">
        <f>SUMIFS(METALFISA!$E:$E,METALFISA!$A:$A,'Faltantes Fevereiro- Metalfisa'!AH$3,METALFISA!$B:$B,'Faltantes Fevereiro- Metalfisa'!$A24)</f>
        <v>0</v>
      </c>
      <c r="AI24" s="31">
        <f>SUMIFS(METALFISA!$E:$E,METALFISA!$A:$A,'Faltantes Fevereiro- Metalfisa'!AI$3,METALFISA!$B:$B,'Faltantes Fevereiro- Metalfisa'!$A24)</f>
        <v>0</v>
      </c>
      <c r="AJ24" s="31">
        <f>SUMIFS(METALFISA!$E:$E,METALFISA!$A:$A,'Faltantes Fevereiro- Metalfisa'!AJ$3,METALFISA!$B:$B,'Faltantes Fevereiro- Metalfisa'!$A24)</f>
        <v>0</v>
      </c>
      <c r="AK24" s="31">
        <f>SUMIFS(METALFISA!$E:$E,METALFISA!$A:$A,'Faltantes Fevereiro- Metalfisa'!AK$3,METALFISA!$B:$B,'Faltantes Fevereiro- Metalfisa'!$A24)</f>
        <v>0</v>
      </c>
      <c r="AL24" s="31">
        <f>SUMIFS(METALFISA!$E:$E,METALFISA!$A:$A,'Faltantes Fevereiro- Metalfisa'!AL$3,METALFISA!$B:$B,'Faltantes Fevereiro- Metalfisa'!$A24)</f>
        <v>0</v>
      </c>
      <c r="AM24" s="31">
        <f>SUMIFS(METALFISA!$E:$E,METALFISA!$A:$A,'Faltantes Fevereiro- Metalfisa'!AM$3,METALFISA!$B:$B,'Faltantes Fevereiro- Metalfisa'!$A24)</f>
        <v>0</v>
      </c>
      <c r="AN24" s="31">
        <f>SUMIFS(METALFISA!$E:$E,METALFISA!$A:$A,'Faltantes Fevereiro- Metalfisa'!AN$3,METALFISA!$B:$B,'Faltantes Fevereiro- Metalfisa'!$A24)</f>
        <v>0</v>
      </c>
      <c r="AO24" s="31">
        <f>SUMIFS(METALFISA!$E:$E,METALFISA!$A:$A,'Faltantes Fevereiro- Metalfisa'!AO$3,METALFISA!$B:$B,'Faltantes Fevereiro- Metalfisa'!$A24)</f>
        <v>0</v>
      </c>
      <c r="AP24" s="31">
        <f>SUMIFS(METALFISA!$E:$E,METALFISA!$A:$A,'Faltantes Fevereiro- Metalfisa'!AP$3,METALFISA!$B:$B,'Faltantes Fevereiro- Metalfisa'!$A24)</f>
        <v>0</v>
      </c>
      <c r="AQ24" s="31"/>
      <c r="AR24" s="31">
        <f>SUMIFS(METALFISA!$E:$E,METALFISA!$A:$A,'Faltantes Fevereiro- Metalfisa'!AR$3,METALFISA!$B:$B,'Faltantes Fevereiro- Metalfisa'!$A24)</f>
        <v>0</v>
      </c>
      <c r="AS24" s="35">
        <f>SUMIFS(METALFISA!$E:$E,METALFISA!$A:$A,'Faltantes Fevereiro- Metalfisa'!AS$3,METALFISA!$B:$B,'Faltantes Fevereiro- Metalfisa'!$A24)</f>
        <v>0</v>
      </c>
      <c r="AU24" s="18">
        <v>0</v>
      </c>
      <c r="AV24" s="18">
        <v>0</v>
      </c>
      <c r="AW24" s="18">
        <v>0</v>
      </c>
      <c r="AX24" s="18">
        <v>0</v>
      </c>
      <c r="AY24" s="41">
        <v>0</v>
      </c>
      <c r="AZ24" s="31">
        <v>0</v>
      </c>
      <c r="BA24" s="31">
        <v>0</v>
      </c>
      <c r="BB24" s="31">
        <v>0</v>
      </c>
      <c r="BC24" s="31">
        <v>0</v>
      </c>
      <c r="BD24" s="31">
        <v>0</v>
      </c>
      <c r="BE24" s="31">
        <v>0</v>
      </c>
      <c r="BF24" s="31">
        <v>0</v>
      </c>
      <c r="BG24" s="31">
        <v>0</v>
      </c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4</v>
      </c>
      <c r="BN24" s="31">
        <v>0</v>
      </c>
      <c r="BO24" s="31">
        <v>0</v>
      </c>
      <c r="BP24" s="31">
        <v>0</v>
      </c>
      <c r="BQ24" s="31">
        <v>0</v>
      </c>
      <c r="BR24" s="31">
        <v>0</v>
      </c>
      <c r="BS24" s="31">
        <v>0</v>
      </c>
      <c r="BT24" s="31">
        <v>0</v>
      </c>
      <c r="BU24" s="31">
        <v>0</v>
      </c>
      <c r="BV24" s="31">
        <v>0</v>
      </c>
      <c r="BW24" s="31">
        <v>0</v>
      </c>
      <c r="BX24" s="31">
        <v>0</v>
      </c>
      <c r="BY24" s="31">
        <v>0</v>
      </c>
      <c r="BZ24" s="31">
        <v>0</v>
      </c>
      <c r="CA24" s="31">
        <v>0</v>
      </c>
      <c r="CB24" s="31">
        <v>0</v>
      </c>
      <c r="CC24" s="31">
        <v>0</v>
      </c>
      <c r="CD24" s="31">
        <v>0</v>
      </c>
      <c r="CE24" s="31">
        <v>0</v>
      </c>
      <c r="CF24" s="31">
        <v>0</v>
      </c>
      <c r="CG24" s="31">
        <v>0</v>
      </c>
      <c r="CH24" s="31">
        <v>0</v>
      </c>
      <c r="CI24" s="31">
        <v>0</v>
      </c>
      <c r="CJ24" s="31">
        <v>0</v>
      </c>
      <c r="CK24" s="31">
        <v>0</v>
      </c>
      <c r="CL24" s="35">
        <v>0</v>
      </c>
    </row>
    <row r="25" spans="1:90" x14ac:dyDescent="0.15">
      <c r="A25" s="27" t="s">
        <v>553</v>
      </c>
      <c r="B25" s="28" t="s">
        <v>554</v>
      </c>
      <c r="C25" s="28">
        <v>0</v>
      </c>
      <c r="D25" s="28">
        <v>0</v>
      </c>
      <c r="E25" s="28">
        <v>0</v>
      </c>
      <c r="F25" s="28">
        <v>0</v>
      </c>
      <c r="G25" s="28">
        <v>10</v>
      </c>
      <c r="H25" s="28">
        <f>IFERROR(VLOOKUP(A25,[1]FALTANTES!$A:$AB,28,FALSE),"-")</f>
        <v>0</v>
      </c>
      <c r="I25" s="42">
        <f>IFERROR(VLOOKUP(A25,[1]FALTANTES!$A:$AC,29,FALSE),"-")</f>
        <v>0</v>
      </c>
      <c r="J25" s="29">
        <f>IFERROR(VLOOKUP(A25,[1]FALTANTES!$A:$AD,30,FALSE),"-")</f>
        <v>-10</v>
      </c>
      <c r="K25" s="30">
        <v>0</v>
      </c>
      <c r="L25" s="30">
        <f t="shared" si="0"/>
        <v>10</v>
      </c>
      <c r="M25" s="31">
        <f>SUMIFS(METALFISA!$E:$E,METALFISA!$A:$A,'Faltantes Fevereiro- Metalfisa'!M$3,METALFISA!$B:$B,'Faltantes Fevereiro- Metalfisa'!$A25)</f>
        <v>0</v>
      </c>
      <c r="N25" s="31">
        <f>SUMIFS(METALFISA!$E:$E,METALFISA!$A:$A,'Faltantes Fevereiro- Metalfisa'!N$3,METALFISA!$B:$B,'Faltantes Fevereiro- Metalfisa'!$A25)</f>
        <v>0</v>
      </c>
      <c r="O25" s="31">
        <f>SUMIFS(METALFISA!$E:$E,METALFISA!$A:$A,'Faltantes Fevereiro- Metalfisa'!O$3,METALFISA!$B:$B,'Faltantes Fevereiro- Metalfisa'!$A25)</f>
        <v>0</v>
      </c>
      <c r="P25" s="31">
        <f>SUMIFS(METALFISA!$E:$E,METALFISA!$A:$A,'Faltantes Fevereiro- Metalfisa'!P$3,METALFISA!$B:$B,'Faltantes Fevereiro- Metalfisa'!$A25)</f>
        <v>0</v>
      </c>
      <c r="Q25" s="31">
        <f>SUMIFS(METALFISA!$E:$E,METALFISA!$A:$A,'Faltantes Fevereiro- Metalfisa'!Q$3,METALFISA!$B:$B,'Faltantes Fevereiro- Metalfisa'!$A25)</f>
        <v>0</v>
      </c>
      <c r="R25" s="31">
        <f>SUMIFS(METALFISA!$E:$E,METALFISA!$A:$A,'Faltantes Fevereiro- Metalfisa'!R$3,METALFISA!$B:$B,'Faltantes Fevereiro- Metalfisa'!$A25)</f>
        <v>0</v>
      </c>
      <c r="S25" s="31">
        <f>SUMIFS(METALFISA!$E:$E,METALFISA!$A:$A,'Faltantes Fevereiro- Metalfisa'!S$3,METALFISA!$B:$B,'Faltantes Fevereiro- Metalfisa'!$A25)</f>
        <v>0</v>
      </c>
      <c r="T25" s="31">
        <f>SUMIFS(METALFISA!$E:$E,METALFISA!$A:$A,'Faltantes Fevereiro- Metalfisa'!T$3,METALFISA!$B:$B,'Faltantes Fevereiro- Metalfisa'!$A25)</f>
        <v>0</v>
      </c>
      <c r="U25" s="31">
        <f>SUMIFS(METALFISA!$E:$E,METALFISA!$A:$A,'Faltantes Fevereiro- Metalfisa'!U$3,METALFISA!$B:$B,'Faltantes Fevereiro- Metalfisa'!$A25)</f>
        <v>0</v>
      </c>
      <c r="V25" s="31">
        <f>SUMIFS(METALFISA!$E:$E,METALFISA!$A:$A,'Faltantes Fevereiro- Metalfisa'!V$3,METALFISA!$B:$B,'Faltantes Fevereiro- Metalfisa'!$A25)</f>
        <v>0</v>
      </c>
      <c r="W25" s="31">
        <f>SUMIFS(METALFISA!$E:$E,METALFISA!$A:$A,'Faltantes Fevereiro- Metalfisa'!W$3,METALFISA!$B:$B,'Faltantes Fevereiro- Metalfisa'!$A25)</f>
        <v>0</v>
      </c>
      <c r="X25" s="31">
        <f>SUMIFS(METALFISA!$E:$E,METALFISA!$A:$A,'Faltantes Fevereiro- Metalfisa'!X$3,METALFISA!$B:$B,'Faltantes Fevereiro- Metalfisa'!$A25)</f>
        <v>0</v>
      </c>
      <c r="Y25" s="31">
        <f>SUMIFS(METALFISA!$E:$E,METALFISA!$A:$A,'Faltantes Fevereiro- Metalfisa'!Y$3,METALFISA!$B:$B,'Faltantes Fevereiro- Metalfisa'!$A25)</f>
        <v>0</v>
      </c>
      <c r="Z25" s="31">
        <f>SUMIFS(METALFISA!$E:$E,METALFISA!$A:$A,'Faltantes Fevereiro- Metalfisa'!Z$3,METALFISA!$B:$B,'Faltantes Fevereiro- Metalfisa'!$A25)</f>
        <v>0</v>
      </c>
      <c r="AA25" s="31">
        <f>SUMIFS(METALFISA!$E:$E,METALFISA!$A:$A,'Faltantes Fevereiro- Metalfisa'!AA$3,METALFISA!$B:$B,'Faltantes Fevereiro- Metalfisa'!$A25)</f>
        <v>0</v>
      </c>
      <c r="AB25" s="31">
        <f>SUMIFS(METALFISA!$E:$E,METALFISA!$A:$A,'Faltantes Fevereiro- Metalfisa'!AB$3,METALFISA!$B:$B,'Faltantes Fevereiro- Metalfisa'!$A25)</f>
        <v>0</v>
      </c>
      <c r="AC25" s="31">
        <f>SUMIFS(METALFISA!$E:$E,METALFISA!$A:$A,'Faltantes Fevereiro- Metalfisa'!AC$3,METALFISA!$B:$B,'Faltantes Fevereiro- Metalfisa'!$A25)</f>
        <v>0</v>
      </c>
      <c r="AD25" s="31">
        <f>SUMIFS(METALFISA!$E:$E,METALFISA!$A:$A,'Faltantes Fevereiro- Metalfisa'!AD$3,METALFISA!$B:$B,'Faltantes Fevereiro- Metalfisa'!$A25)</f>
        <v>0</v>
      </c>
      <c r="AE25" s="31">
        <f>SUMIFS(METALFISA!$E:$E,METALFISA!$A:$A,'Faltantes Fevereiro- Metalfisa'!AE$3,METALFISA!$B:$B,'Faltantes Fevereiro- Metalfisa'!$A25)</f>
        <v>0</v>
      </c>
      <c r="AF25" s="31">
        <f>SUMIFS(METALFISA!$E:$E,METALFISA!$A:$A,'Faltantes Fevereiro- Metalfisa'!AF$3,METALFISA!$B:$B,'Faltantes Fevereiro- Metalfisa'!$A25)</f>
        <v>0</v>
      </c>
      <c r="AG25" s="31">
        <f>SUMIFS(METALFISA!$E:$E,METALFISA!$A:$A,'Faltantes Fevereiro- Metalfisa'!AG$3,METALFISA!$B:$B,'Faltantes Fevereiro- Metalfisa'!$A25)</f>
        <v>10</v>
      </c>
      <c r="AH25" s="31">
        <f>SUMIFS(METALFISA!$E:$E,METALFISA!$A:$A,'Faltantes Fevereiro- Metalfisa'!AH$3,METALFISA!$B:$B,'Faltantes Fevereiro- Metalfisa'!$A25)</f>
        <v>0</v>
      </c>
      <c r="AI25" s="31">
        <f>SUMIFS(METALFISA!$E:$E,METALFISA!$A:$A,'Faltantes Fevereiro- Metalfisa'!AI$3,METALFISA!$B:$B,'Faltantes Fevereiro- Metalfisa'!$A25)</f>
        <v>0</v>
      </c>
      <c r="AJ25" s="31">
        <f>SUMIFS(METALFISA!$E:$E,METALFISA!$A:$A,'Faltantes Fevereiro- Metalfisa'!AJ$3,METALFISA!$B:$B,'Faltantes Fevereiro- Metalfisa'!$A25)</f>
        <v>0</v>
      </c>
      <c r="AK25" s="31">
        <f>SUMIFS(METALFISA!$E:$E,METALFISA!$A:$A,'Faltantes Fevereiro- Metalfisa'!AK$3,METALFISA!$B:$B,'Faltantes Fevereiro- Metalfisa'!$A25)</f>
        <v>0</v>
      </c>
      <c r="AL25" s="31">
        <f>SUMIFS(METALFISA!$E:$E,METALFISA!$A:$A,'Faltantes Fevereiro- Metalfisa'!AL$3,METALFISA!$B:$B,'Faltantes Fevereiro- Metalfisa'!$A25)</f>
        <v>0</v>
      </c>
      <c r="AM25" s="31">
        <f>SUMIFS(METALFISA!$E:$E,METALFISA!$A:$A,'Faltantes Fevereiro- Metalfisa'!AM$3,METALFISA!$B:$B,'Faltantes Fevereiro- Metalfisa'!$A25)</f>
        <v>0</v>
      </c>
      <c r="AN25" s="31">
        <f>SUMIFS(METALFISA!$E:$E,METALFISA!$A:$A,'Faltantes Fevereiro- Metalfisa'!AN$3,METALFISA!$B:$B,'Faltantes Fevereiro- Metalfisa'!$A25)</f>
        <v>0</v>
      </c>
      <c r="AO25" s="31">
        <f>SUMIFS(METALFISA!$E:$E,METALFISA!$A:$A,'Faltantes Fevereiro- Metalfisa'!AO$3,METALFISA!$B:$B,'Faltantes Fevereiro- Metalfisa'!$A25)</f>
        <v>0</v>
      </c>
      <c r="AP25" s="31">
        <f>SUMIFS(METALFISA!$E:$E,METALFISA!$A:$A,'Faltantes Fevereiro- Metalfisa'!AP$3,METALFISA!$B:$B,'Faltantes Fevereiro- Metalfisa'!$A25)</f>
        <v>0</v>
      </c>
      <c r="AQ25" s="31"/>
      <c r="AR25" s="31">
        <f>SUMIFS(METALFISA!$E:$E,METALFISA!$A:$A,'Faltantes Fevereiro- Metalfisa'!AR$3,METALFISA!$B:$B,'Faltantes Fevereiro- Metalfisa'!$A25)</f>
        <v>0</v>
      </c>
      <c r="AS25" s="35">
        <f>SUMIFS(METALFISA!$E:$E,METALFISA!$A:$A,'Faltantes Fevereiro- Metalfisa'!AS$3,METALFISA!$B:$B,'Faltantes Fevereiro- Metalfisa'!$A25)</f>
        <v>0</v>
      </c>
      <c r="AU25" s="18">
        <v>0</v>
      </c>
      <c r="AV25" s="18">
        <v>0</v>
      </c>
      <c r="AW25" s="18">
        <v>0</v>
      </c>
      <c r="AX25" s="18">
        <v>0</v>
      </c>
      <c r="AY25" s="41">
        <v>0</v>
      </c>
      <c r="AZ25" s="31">
        <v>0</v>
      </c>
      <c r="BA25" s="31">
        <v>0</v>
      </c>
      <c r="BB25" s="31">
        <v>0</v>
      </c>
      <c r="BC25" s="31">
        <v>0</v>
      </c>
      <c r="BD25" s="31">
        <v>0</v>
      </c>
      <c r="BE25" s="31">
        <v>0</v>
      </c>
      <c r="BF25" s="31">
        <v>0</v>
      </c>
      <c r="BG25" s="31">
        <v>0</v>
      </c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5</v>
      </c>
      <c r="BN25" s="31">
        <v>0</v>
      </c>
      <c r="BO25" s="31">
        <v>0</v>
      </c>
      <c r="BP25" s="31">
        <v>0</v>
      </c>
      <c r="BQ25" s="31">
        <v>0</v>
      </c>
      <c r="BR25" s="31">
        <v>0</v>
      </c>
      <c r="BS25" s="31">
        <v>0</v>
      </c>
      <c r="BT25" s="31">
        <v>0</v>
      </c>
      <c r="BU25" s="31">
        <v>0</v>
      </c>
      <c r="BV25" s="31">
        <v>0</v>
      </c>
      <c r="BW25" s="31">
        <v>0</v>
      </c>
      <c r="BX25" s="31">
        <v>0</v>
      </c>
      <c r="BY25" s="31">
        <v>0</v>
      </c>
      <c r="BZ25" s="31">
        <v>0</v>
      </c>
      <c r="CA25" s="31">
        <v>0</v>
      </c>
      <c r="CB25" s="31">
        <v>0</v>
      </c>
      <c r="CC25" s="31">
        <v>0</v>
      </c>
      <c r="CD25" s="31">
        <v>0</v>
      </c>
      <c r="CE25" s="31">
        <v>0</v>
      </c>
      <c r="CF25" s="31">
        <v>0</v>
      </c>
      <c r="CG25" s="31">
        <v>0</v>
      </c>
      <c r="CH25" s="31">
        <v>0</v>
      </c>
      <c r="CI25" s="31">
        <v>0</v>
      </c>
      <c r="CJ25" s="31">
        <v>0</v>
      </c>
      <c r="CK25" s="31">
        <v>0</v>
      </c>
      <c r="CL25" s="35">
        <v>0</v>
      </c>
    </row>
    <row r="26" spans="1:90" ht="21" x14ac:dyDescent="0.15">
      <c r="A26" s="27" t="s">
        <v>189</v>
      </c>
      <c r="B26" s="28" t="s">
        <v>190</v>
      </c>
      <c r="C26" s="28">
        <v>0</v>
      </c>
      <c r="D26" s="28">
        <v>0</v>
      </c>
      <c r="E26" s="28">
        <v>0</v>
      </c>
      <c r="F26" s="28">
        <v>0</v>
      </c>
      <c r="G26" s="28">
        <v>3</v>
      </c>
      <c r="H26" s="28">
        <f>IFERROR(VLOOKUP(A26,[1]FALTANTES!$A:$AB,28,FALSE),"-")</f>
        <v>0</v>
      </c>
      <c r="I26" s="42">
        <f>IFERROR(VLOOKUP(A26,[1]FALTANTES!$A:$AC,29,FALSE),"-")</f>
        <v>0</v>
      </c>
      <c r="J26" s="29">
        <f>IFERROR(VLOOKUP(A26,[1]FALTANTES!$A:$AD,30,FALSE),"-")</f>
        <v>-3</v>
      </c>
      <c r="K26" s="30">
        <v>0</v>
      </c>
      <c r="L26" s="30">
        <f t="shared" si="0"/>
        <v>3</v>
      </c>
      <c r="M26" s="31">
        <f>SUMIFS(METALFISA!$E:$E,METALFISA!$A:$A,'Faltantes Fevereiro- Metalfisa'!M$3,METALFISA!$B:$B,'Faltantes Fevereiro- Metalfisa'!$A26)</f>
        <v>0</v>
      </c>
      <c r="N26" s="31">
        <f>SUMIFS(METALFISA!$E:$E,METALFISA!$A:$A,'Faltantes Fevereiro- Metalfisa'!N$3,METALFISA!$B:$B,'Faltantes Fevereiro- Metalfisa'!$A26)</f>
        <v>0</v>
      </c>
      <c r="O26" s="31">
        <f>SUMIFS(METALFISA!$E:$E,METALFISA!$A:$A,'Faltantes Fevereiro- Metalfisa'!O$3,METALFISA!$B:$B,'Faltantes Fevereiro- Metalfisa'!$A26)</f>
        <v>0</v>
      </c>
      <c r="P26" s="31">
        <f>SUMIFS(METALFISA!$E:$E,METALFISA!$A:$A,'Faltantes Fevereiro- Metalfisa'!P$3,METALFISA!$B:$B,'Faltantes Fevereiro- Metalfisa'!$A26)</f>
        <v>0</v>
      </c>
      <c r="Q26" s="31">
        <f>SUMIFS(METALFISA!$E:$E,METALFISA!$A:$A,'Faltantes Fevereiro- Metalfisa'!Q$3,METALFISA!$B:$B,'Faltantes Fevereiro- Metalfisa'!$A26)</f>
        <v>0</v>
      </c>
      <c r="R26" s="31">
        <f>SUMIFS(METALFISA!$E:$E,METALFISA!$A:$A,'Faltantes Fevereiro- Metalfisa'!R$3,METALFISA!$B:$B,'Faltantes Fevereiro- Metalfisa'!$A26)</f>
        <v>0</v>
      </c>
      <c r="S26" s="31">
        <f>SUMIFS(METALFISA!$E:$E,METALFISA!$A:$A,'Faltantes Fevereiro- Metalfisa'!S$3,METALFISA!$B:$B,'Faltantes Fevereiro- Metalfisa'!$A26)</f>
        <v>0</v>
      </c>
      <c r="T26" s="31">
        <f>SUMIFS(METALFISA!$E:$E,METALFISA!$A:$A,'Faltantes Fevereiro- Metalfisa'!T$3,METALFISA!$B:$B,'Faltantes Fevereiro- Metalfisa'!$A26)</f>
        <v>0</v>
      </c>
      <c r="U26" s="31">
        <f>SUMIFS(METALFISA!$E:$E,METALFISA!$A:$A,'Faltantes Fevereiro- Metalfisa'!U$3,METALFISA!$B:$B,'Faltantes Fevereiro- Metalfisa'!$A26)</f>
        <v>0</v>
      </c>
      <c r="V26" s="31">
        <f>SUMIFS(METALFISA!$E:$E,METALFISA!$A:$A,'Faltantes Fevereiro- Metalfisa'!V$3,METALFISA!$B:$B,'Faltantes Fevereiro- Metalfisa'!$A26)</f>
        <v>0</v>
      </c>
      <c r="W26" s="31">
        <f>SUMIFS(METALFISA!$E:$E,METALFISA!$A:$A,'Faltantes Fevereiro- Metalfisa'!W$3,METALFISA!$B:$B,'Faltantes Fevereiro- Metalfisa'!$A26)</f>
        <v>0</v>
      </c>
      <c r="X26" s="31">
        <f>SUMIFS(METALFISA!$E:$E,METALFISA!$A:$A,'Faltantes Fevereiro- Metalfisa'!X$3,METALFISA!$B:$B,'Faltantes Fevereiro- Metalfisa'!$A26)</f>
        <v>0</v>
      </c>
      <c r="Y26" s="31">
        <f>SUMIFS(METALFISA!$E:$E,METALFISA!$A:$A,'Faltantes Fevereiro- Metalfisa'!Y$3,METALFISA!$B:$B,'Faltantes Fevereiro- Metalfisa'!$A26)</f>
        <v>0</v>
      </c>
      <c r="Z26" s="31">
        <f>SUMIFS(METALFISA!$E:$E,METALFISA!$A:$A,'Faltantes Fevereiro- Metalfisa'!Z$3,METALFISA!$B:$B,'Faltantes Fevereiro- Metalfisa'!$A26)</f>
        <v>0</v>
      </c>
      <c r="AA26" s="31">
        <f>SUMIFS(METALFISA!$E:$E,METALFISA!$A:$A,'Faltantes Fevereiro- Metalfisa'!AA$3,METALFISA!$B:$B,'Faltantes Fevereiro- Metalfisa'!$A26)</f>
        <v>0</v>
      </c>
      <c r="AB26" s="31">
        <f>SUMIFS(METALFISA!$E:$E,METALFISA!$A:$A,'Faltantes Fevereiro- Metalfisa'!AB$3,METALFISA!$B:$B,'Faltantes Fevereiro- Metalfisa'!$A26)</f>
        <v>0</v>
      </c>
      <c r="AC26" s="31">
        <f>SUMIFS(METALFISA!$E:$E,METALFISA!$A:$A,'Faltantes Fevereiro- Metalfisa'!AC$3,METALFISA!$B:$B,'Faltantes Fevereiro- Metalfisa'!$A26)</f>
        <v>1</v>
      </c>
      <c r="AD26" s="31">
        <f>SUMIFS(METALFISA!$E:$E,METALFISA!$A:$A,'Faltantes Fevereiro- Metalfisa'!AD$3,METALFISA!$B:$B,'Faltantes Fevereiro- Metalfisa'!$A26)</f>
        <v>0</v>
      </c>
      <c r="AE26" s="31">
        <f>SUMIFS(METALFISA!$E:$E,METALFISA!$A:$A,'Faltantes Fevereiro- Metalfisa'!AE$3,METALFISA!$B:$B,'Faltantes Fevereiro- Metalfisa'!$A26)</f>
        <v>0</v>
      </c>
      <c r="AF26" s="31">
        <f>SUMIFS(METALFISA!$E:$E,METALFISA!$A:$A,'Faltantes Fevereiro- Metalfisa'!AF$3,METALFISA!$B:$B,'Faltantes Fevereiro- Metalfisa'!$A26)</f>
        <v>0</v>
      </c>
      <c r="AG26" s="31">
        <f>SUMIFS(METALFISA!$E:$E,METALFISA!$A:$A,'Faltantes Fevereiro- Metalfisa'!AG$3,METALFISA!$B:$B,'Faltantes Fevereiro- Metalfisa'!$A26)</f>
        <v>2</v>
      </c>
      <c r="AH26" s="31">
        <f>SUMIFS(METALFISA!$E:$E,METALFISA!$A:$A,'Faltantes Fevereiro- Metalfisa'!AH$3,METALFISA!$B:$B,'Faltantes Fevereiro- Metalfisa'!$A26)</f>
        <v>0</v>
      </c>
      <c r="AI26" s="31">
        <f>SUMIFS(METALFISA!$E:$E,METALFISA!$A:$A,'Faltantes Fevereiro- Metalfisa'!AI$3,METALFISA!$B:$B,'Faltantes Fevereiro- Metalfisa'!$A26)</f>
        <v>0</v>
      </c>
      <c r="AJ26" s="31">
        <f>SUMIFS(METALFISA!$E:$E,METALFISA!$A:$A,'Faltantes Fevereiro- Metalfisa'!AJ$3,METALFISA!$B:$B,'Faltantes Fevereiro- Metalfisa'!$A26)</f>
        <v>0</v>
      </c>
      <c r="AK26" s="31">
        <f>SUMIFS(METALFISA!$E:$E,METALFISA!$A:$A,'Faltantes Fevereiro- Metalfisa'!AK$3,METALFISA!$B:$B,'Faltantes Fevereiro- Metalfisa'!$A26)</f>
        <v>0</v>
      </c>
      <c r="AL26" s="31">
        <f>SUMIFS(METALFISA!$E:$E,METALFISA!$A:$A,'Faltantes Fevereiro- Metalfisa'!AL$3,METALFISA!$B:$B,'Faltantes Fevereiro- Metalfisa'!$A26)</f>
        <v>0</v>
      </c>
      <c r="AM26" s="31">
        <f>SUMIFS(METALFISA!$E:$E,METALFISA!$A:$A,'Faltantes Fevereiro- Metalfisa'!AM$3,METALFISA!$B:$B,'Faltantes Fevereiro- Metalfisa'!$A26)</f>
        <v>0</v>
      </c>
      <c r="AN26" s="31">
        <f>SUMIFS(METALFISA!$E:$E,METALFISA!$A:$A,'Faltantes Fevereiro- Metalfisa'!AN$3,METALFISA!$B:$B,'Faltantes Fevereiro- Metalfisa'!$A26)</f>
        <v>0</v>
      </c>
      <c r="AO26" s="31">
        <f>SUMIFS(METALFISA!$E:$E,METALFISA!$A:$A,'Faltantes Fevereiro- Metalfisa'!AO$3,METALFISA!$B:$B,'Faltantes Fevereiro- Metalfisa'!$A26)</f>
        <v>0</v>
      </c>
      <c r="AP26" s="31">
        <f>SUMIFS(METALFISA!$E:$E,METALFISA!$A:$A,'Faltantes Fevereiro- Metalfisa'!AP$3,METALFISA!$B:$B,'Faltantes Fevereiro- Metalfisa'!$A26)</f>
        <v>0</v>
      </c>
      <c r="AQ26" s="31"/>
      <c r="AR26" s="31">
        <f>SUMIFS(METALFISA!$E:$E,METALFISA!$A:$A,'Faltantes Fevereiro- Metalfisa'!AR$3,METALFISA!$B:$B,'Faltantes Fevereiro- Metalfisa'!$A26)</f>
        <v>0</v>
      </c>
      <c r="AS26" s="35">
        <f>SUMIFS(METALFISA!$E:$E,METALFISA!$A:$A,'Faltantes Fevereiro- Metalfisa'!AS$3,METALFISA!$B:$B,'Faltantes Fevereiro- Metalfisa'!$A26)</f>
        <v>0</v>
      </c>
      <c r="AU26" s="18">
        <v>0</v>
      </c>
      <c r="AV26" s="18">
        <v>0</v>
      </c>
      <c r="AW26" s="18">
        <v>0</v>
      </c>
      <c r="AX26" s="18">
        <v>0</v>
      </c>
      <c r="AY26" s="41">
        <v>0</v>
      </c>
      <c r="AZ26" s="31">
        <v>0</v>
      </c>
      <c r="BA26" s="31">
        <v>0</v>
      </c>
      <c r="BB26" s="31">
        <v>0</v>
      </c>
      <c r="BC26" s="31">
        <v>0</v>
      </c>
      <c r="BD26" s="31">
        <v>0</v>
      </c>
      <c r="BE26" s="31">
        <v>0</v>
      </c>
      <c r="BF26" s="31">
        <v>0</v>
      </c>
      <c r="BG26" s="31">
        <v>0</v>
      </c>
      <c r="BH26" s="31">
        <v>0</v>
      </c>
      <c r="BI26" s="31">
        <v>0</v>
      </c>
      <c r="BJ26" s="31">
        <v>0</v>
      </c>
      <c r="BK26" s="31">
        <v>0</v>
      </c>
      <c r="BL26" s="31">
        <v>0</v>
      </c>
      <c r="BM26" s="31">
        <v>1</v>
      </c>
      <c r="BN26" s="31">
        <v>0</v>
      </c>
      <c r="BO26" s="31">
        <v>0</v>
      </c>
      <c r="BP26" s="31">
        <v>0</v>
      </c>
      <c r="BQ26" s="31">
        <v>0</v>
      </c>
      <c r="BR26" s="31">
        <v>0</v>
      </c>
      <c r="BS26" s="31">
        <v>0</v>
      </c>
      <c r="BT26" s="31">
        <v>0</v>
      </c>
      <c r="BU26" s="31">
        <v>0</v>
      </c>
      <c r="BV26" s="31">
        <v>0</v>
      </c>
      <c r="BW26" s="31">
        <v>0</v>
      </c>
      <c r="BX26" s="31">
        <v>0</v>
      </c>
      <c r="BY26" s="31">
        <v>0</v>
      </c>
      <c r="BZ26" s="31">
        <v>0</v>
      </c>
      <c r="CA26" s="31">
        <v>0</v>
      </c>
      <c r="CB26" s="31">
        <v>0</v>
      </c>
      <c r="CC26" s="31">
        <v>0</v>
      </c>
      <c r="CD26" s="31">
        <v>0</v>
      </c>
      <c r="CE26" s="31">
        <v>0</v>
      </c>
      <c r="CF26" s="31">
        <v>0</v>
      </c>
      <c r="CG26" s="31">
        <v>0</v>
      </c>
      <c r="CH26" s="31">
        <v>0</v>
      </c>
      <c r="CI26" s="31">
        <v>0</v>
      </c>
      <c r="CJ26" s="31">
        <v>0</v>
      </c>
      <c r="CK26" s="31">
        <v>0</v>
      </c>
      <c r="CL26" s="35">
        <v>0</v>
      </c>
    </row>
    <row r="27" spans="1:90" ht="21" x14ac:dyDescent="0.15">
      <c r="A27" s="27" t="s">
        <v>191</v>
      </c>
      <c r="B27" s="28" t="s">
        <v>192</v>
      </c>
      <c r="C27" s="28">
        <v>0</v>
      </c>
      <c r="D27" s="28">
        <v>0</v>
      </c>
      <c r="E27" s="28">
        <v>0</v>
      </c>
      <c r="F27" s="28">
        <v>0</v>
      </c>
      <c r="G27" s="28">
        <v>2</v>
      </c>
      <c r="H27" s="28">
        <f>IFERROR(VLOOKUP(A27,[1]FALTANTES!$A:$AB,28,FALSE),"-")</f>
        <v>0</v>
      </c>
      <c r="I27" s="42">
        <f>IFERROR(VLOOKUP(A27,[1]FALTANTES!$A:$AC,29,FALSE),"-")</f>
        <v>0</v>
      </c>
      <c r="J27" s="29">
        <f>IFERROR(VLOOKUP(A27,[1]FALTANTES!$A:$AD,30,FALSE),"-")</f>
        <v>-2</v>
      </c>
      <c r="K27" s="30">
        <v>0</v>
      </c>
      <c r="L27" s="30">
        <f t="shared" si="0"/>
        <v>2</v>
      </c>
      <c r="M27" s="31">
        <f>SUMIFS(METALFISA!$E:$E,METALFISA!$A:$A,'Faltantes Fevereiro- Metalfisa'!M$3,METALFISA!$B:$B,'Faltantes Fevereiro- Metalfisa'!$A27)</f>
        <v>0</v>
      </c>
      <c r="N27" s="31">
        <f>SUMIFS(METALFISA!$E:$E,METALFISA!$A:$A,'Faltantes Fevereiro- Metalfisa'!N$3,METALFISA!$B:$B,'Faltantes Fevereiro- Metalfisa'!$A27)</f>
        <v>0</v>
      </c>
      <c r="O27" s="31">
        <f>SUMIFS(METALFISA!$E:$E,METALFISA!$A:$A,'Faltantes Fevereiro- Metalfisa'!O$3,METALFISA!$B:$B,'Faltantes Fevereiro- Metalfisa'!$A27)</f>
        <v>0</v>
      </c>
      <c r="P27" s="31">
        <f>SUMIFS(METALFISA!$E:$E,METALFISA!$A:$A,'Faltantes Fevereiro- Metalfisa'!P$3,METALFISA!$B:$B,'Faltantes Fevereiro- Metalfisa'!$A27)</f>
        <v>0</v>
      </c>
      <c r="Q27" s="31">
        <f>SUMIFS(METALFISA!$E:$E,METALFISA!$A:$A,'Faltantes Fevereiro- Metalfisa'!Q$3,METALFISA!$B:$B,'Faltantes Fevereiro- Metalfisa'!$A27)</f>
        <v>0</v>
      </c>
      <c r="R27" s="31">
        <f>SUMIFS(METALFISA!$E:$E,METALFISA!$A:$A,'Faltantes Fevereiro- Metalfisa'!R$3,METALFISA!$B:$B,'Faltantes Fevereiro- Metalfisa'!$A27)</f>
        <v>0</v>
      </c>
      <c r="S27" s="31">
        <f>SUMIFS(METALFISA!$E:$E,METALFISA!$A:$A,'Faltantes Fevereiro- Metalfisa'!S$3,METALFISA!$B:$B,'Faltantes Fevereiro- Metalfisa'!$A27)</f>
        <v>0</v>
      </c>
      <c r="T27" s="31">
        <f>SUMIFS(METALFISA!$E:$E,METALFISA!$A:$A,'Faltantes Fevereiro- Metalfisa'!T$3,METALFISA!$B:$B,'Faltantes Fevereiro- Metalfisa'!$A27)</f>
        <v>0</v>
      </c>
      <c r="U27" s="31">
        <f>SUMIFS(METALFISA!$E:$E,METALFISA!$A:$A,'Faltantes Fevereiro- Metalfisa'!U$3,METALFISA!$B:$B,'Faltantes Fevereiro- Metalfisa'!$A27)</f>
        <v>0</v>
      </c>
      <c r="V27" s="31">
        <f>SUMIFS(METALFISA!$E:$E,METALFISA!$A:$A,'Faltantes Fevereiro- Metalfisa'!V$3,METALFISA!$B:$B,'Faltantes Fevereiro- Metalfisa'!$A27)</f>
        <v>0</v>
      </c>
      <c r="W27" s="31">
        <f>SUMIFS(METALFISA!$E:$E,METALFISA!$A:$A,'Faltantes Fevereiro- Metalfisa'!W$3,METALFISA!$B:$B,'Faltantes Fevereiro- Metalfisa'!$A27)</f>
        <v>0</v>
      </c>
      <c r="X27" s="31">
        <f>SUMIFS(METALFISA!$E:$E,METALFISA!$A:$A,'Faltantes Fevereiro- Metalfisa'!X$3,METALFISA!$B:$B,'Faltantes Fevereiro- Metalfisa'!$A27)</f>
        <v>0</v>
      </c>
      <c r="Y27" s="31">
        <f>SUMIFS(METALFISA!$E:$E,METALFISA!$A:$A,'Faltantes Fevereiro- Metalfisa'!Y$3,METALFISA!$B:$B,'Faltantes Fevereiro- Metalfisa'!$A27)</f>
        <v>0</v>
      </c>
      <c r="Z27" s="31">
        <f>SUMIFS(METALFISA!$E:$E,METALFISA!$A:$A,'Faltantes Fevereiro- Metalfisa'!Z$3,METALFISA!$B:$B,'Faltantes Fevereiro- Metalfisa'!$A27)</f>
        <v>0</v>
      </c>
      <c r="AA27" s="31">
        <f>SUMIFS(METALFISA!$E:$E,METALFISA!$A:$A,'Faltantes Fevereiro- Metalfisa'!AA$3,METALFISA!$B:$B,'Faltantes Fevereiro- Metalfisa'!$A27)</f>
        <v>0</v>
      </c>
      <c r="AB27" s="31">
        <f>SUMIFS(METALFISA!$E:$E,METALFISA!$A:$A,'Faltantes Fevereiro- Metalfisa'!AB$3,METALFISA!$B:$B,'Faltantes Fevereiro- Metalfisa'!$A27)</f>
        <v>0</v>
      </c>
      <c r="AC27" s="31">
        <f>SUMIFS(METALFISA!$E:$E,METALFISA!$A:$A,'Faltantes Fevereiro- Metalfisa'!AC$3,METALFISA!$B:$B,'Faltantes Fevereiro- Metalfisa'!$A27)</f>
        <v>0</v>
      </c>
      <c r="AD27" s="31">
        <f>SUMIFS(METALFISA!$E:$E,METALFISA!$A:$A,'Faltantes Fevereiro- Metalfisa'!AD$3,METALFISA!$B:$B,'Faltantes Fevereiro- Metalfisa'!$A27)</f>
        <v>0</v>
      </c>
      <c r="AE27" s="31">
        <f>SUMIFS(METALFISA!$E:$E,METALFISA!$A:$A,'Faltantes Fevereiro- Metalfisa'!AE$3,METALFISA!$B:$B,'Faltantes Fevereiro- Metalfisa'!$A27)</f>
        <v>0</v>
      </c>
      <c r="AF27" s="31">
        <f>SUMIFS(METALFISA!$E:$E,METALFISA!$A:$A,'Faltantes Fevereiro- Metalfisa'!AF$3,METALFISA!$B:$B,'Faltantes Fevereiro- Metalfisa'!$A27)</f>
        <v>0</v>
      </c>
      <c r="AG27" s="31">
        <f>SUMIFS(METALFISA!$E:$E,METALFISA!$A:$A,'Faltantes Fevereiro- Metalfisa'!AG$3,METALFISA!$B:$B,'Faltantes Fevereiro- Metalfisa'!$A27)</f>
        <v>2</v>
      </c>
      <c r="AH27" s="31">
        <f>SUMIFS(METALFISA!$E:$E,METALFISA!$A:$A,'Faltantes Fevereiro- Metalfisa'!AH$3,METALFISA!$B:$B,'Faltantes Fevereiro- Metalfisa'!$A27)</f>
        <v>0</v>
      </c>
      <c r="AI27" s="31">
        <f>SUMIFS(METALFISA!$E:$E,METALFISA!$A:$A,'Faltantes Fevereiro- Metalfisa'!AI$3,METALFISA!$B:$B,'Faltantes Fevereiro- Metalfisa'!$A27)</f>
        <v>0</v>
      </c>
      <c r="AJ27" s="31">
        <f>SUMIFS(METALFISA!$E:$E,METALFISA!$A:$A,'Faltantes Fevereiro- Metalfisa'!AJ$3,METALFISA!$B:$B,'Faltantes Fevereiro- Metalfisa'!$A27)</f>
        <v>0</v>
      </c>
      <c r="AK27" s="31">
        <f>SUMIFS(METALFISA!$E:$E,METALFISA!$A:$A,'Faltantes Fevereiro- Metalfisa'!AK$3,METALFISA!$B:$B,'Faltantes Fevereiro- Metalfisa'!$A27)</f>
        <v>0</v>
      </c>
      <c r="AL27" s="31">
        <f>SUMIFS(METALFISA!$E:$E,METALFISA!$A:$A,'Faltantes Fevereiro- Metalfisa'!AL$3,METALFISA!$B:$B,'Faltantes Fevereiro- Metalfisa'!$A27)</f>
        <v>0</v>
      </c>
      <c r="AM27" s="31">
        <f>SUMIFS(METALFISA!$E:$E,METALFISA!$A:$A,'Faltantes Fevereiro- Metalfisa'!AM$3,METALFISA!$B:$B,'Faltantes Fevereiro- Metalfisa'!$A27)</f>
        <v>0</v>
      </c>
      <c r="AN27" s="31">
        <f>SUMIFS(METALFISA!$E:$E,METALFISA!$A:$A,'Faltantes Fevereiro- Metalfisa'!AN$3,METALFISA!$B:$B,'Faltantes Fevereiro- Metalfisa'!$A27)</f>
        <v>0</v>
      </c>
      <c r="AO27" s="31">
        <f>SUMIFS(METALFISA!$E:$E,METALFISA!$A:$A,'Faltantes Fevereiro- Metalfisa'!AO$3,METALFISA!$B:$B,'Faltantes Fevereiro- Metalfisa'!$A27)</f>
        <v>0</v>
      </c>
      <c r="AP27" s="31">
        <f>SUMIFS(METALFISA!$E:$E,METALFISA!$A:$A,'Faltantes Fevereiro- Metalfisa'!AP$3,METALFISA!$B:$B,'Faltantes Fevereiro- Metalfisa'!$A27)</f>
        <v>0</v>
      </c>
      <c r="AQ27" s="31"/>
      <c r="AR27" s="31">
        <f>SUMIFS(METALFISA!$E:$E,METALFISA!$A:$A,'Faltantes Fevereiro- Metalfisa'!AR$3,METALFISA!$B:$B,'Faltantes Fevereiro- Metalfisa'!$A27)</f>
        <v>0</v>
      </c>
      <c r="AS27" s="35">
        <f>SUMIFS(METALFISA!$E:$E,METALFISA!$A:$A,'Faltantes Fevereiro- Metalfisa'!AS$3,METALFISA!$B:$B,'Faltantes Fevereiro- Metalfisa'!$A27)</f>
        <v>0</v>
      </c>
      <c r="AU27" s="18">
        <v>0</v>
      </c>
      <c r="AV27" s="18">
        <v>0</v>
      </c>
      <c r="AW27" s="18">
        <v>0</v>
      </c>
      <c r="AX27" s="18">
        <v>0</v>
      </c>
      <c r="AY27" s="41">
        <v>0</v>
      </c>
      <c r="AZ27" s="31">
        <v>0</v>
      </c>
      <c r="BA27" s="31">
        <v>0</v>
      </c>
      <c r="BB27" s="31">
        <v>0</v>
      </c>
      <c r="BC27" s="31">
        <v>0</v>
      </c>
      <c r="BD27" s="31">
        <v>0</v>
      </c>
      <c r="BE27" s="31">
        <v>0</v>
      </c>
      <c r="BF27" s="31">
        <v>0</v>
      </c>
      <c r="BG27" s="31">
        <v>0</v>
      </c>
      <c r="BH27" s="31">
        <v>0</v>
      </c>
      <c r="BI27" s="31">
        <v>0</v>
      </c>
      <c r="BJ27" s="31">
        <v>0</v>
      </c>
      <c r="BK27" s="31">
        <v>0</v>
      </c>
      <c r="BL27" s="31">
        <v>0</v>
      </c>
      <c r="BM27" s="31">
        <v>1</v>
      </c>
      <c r="BN27" s="31">
        <v>0</v>
      </c>
      <c r="BO27" s="31">
        <v>0</v>
      </c>
      <c r="BP27" s="31">
        <v>0</v>
      </c>
      <c r="BQ27" s="31">
        <v>0</v>
      </c>
      <c r="BR27" s="31">
        <v>0</v>
      </c>
      <c r="BS27" s="31">
        <v>0</v>
      </c>
      <c r="BT27" s="31">
        <v>0</v>
      </c>
      <c r="BU27" s="31">
        <v>0</v>
      </c>
      <c r="BV27" s="31">
        <v>0</v>
      </c>
      <c r="BW27" s="31">
        <v>0</v>
      </c>
      <c r="BX27" s="31">
        <v>0</v>
      </c>
      <c r="BY27" s="31">
        <v>0</v>
      </c>
      <c r="BZ27" s="31">
        <v>0</v>
      </c>
      <c r="CA27" s="31">
        <v>0</v>
      </c>
      <c r="CB27" s="31">
        <v>0</v>
      </c>
      <c r="CC27" s="31">
        <v>0</v>
      </c>
      <c r="CD27" s="31">
        <v>0</v>
      </c>
      <c r="CE27" s="31">
        <v>0</v>
      </c>
      <c r="CF27" s="31">
        <v>0</v>
      </c>
      <c r="CG27" s="31">
        <v>0</v>
      </c>
      <c r="CH27" s="31">
        <v>0</v>
      </c>
      <c r="CI27" s="31">
        <v>0</v>
      </c>
      <c r="CJ27" s="31">
        <v>0</v>
      </c>
      <c r="CK27" s="31">
        <v>0</v>
      </c>
      <c r="CL27" s="35">
        <v>0</v>
      </c>
    </row>
    <row r="28" spans="1:90" x14ac:dyDescent="0.15">
      <c r="A28" s="27" t="s">
        <v>563</v>
      </c>
      <c r="B28" s="28" t="s">
        <v>564</v>
      </c>
      <c r="C28" s="28">
        <v>0</v>
      </c>
      <c r="D28" s="28">
        <v>0</v>
      </c>
      <c r="E28" s="28">
        <v>0</v>
      </c>
      <c r="F28" s="28">
        <v>0</v>
      </c>
      <c r="G28" s="28">
        <v>2</v>
      </c>
      <c r="H28" s="28">
        <f>IFERROR(VLOOKUP(A28,[1]FALTANTES!$A:$AB,28,FALSE),"-")</f>
        <v>0</v>
      </c>
      <c r="I28" s="42">
        <f>IFERROR(VLOOKUP(A28,[1]FALTANTES!$A:$AC,29,FALSE),"-")</f>
        <v>0</v>
      </c>
      <c r="J28" s="29">
        <f>IFERROR(VLOOKUP(A28,[1]FALTANTES!$A:$AD,30,FALSE),"-")</f>
        <v>-2</v>
      </c>
      <c r="K28" s="30">
        <v>0</v>
      </c>
      <c r="L28" s="30">
        <f t="shared" si="0"/>
        <v>2</v>
      </c>
      <c r="M28" s="31">
        <f>SUMIFS(METALFISA!$E:$E,METALFISA!$A:$A,'Faltantes Fevereiro- Metalfisa'!M$3,METALFISA!$B:$B,'Faltantes Fevereiro- Metalfisa'!$A28)</f>
        <v>0</v>
      </c>
      <c r="N28" s="31">
        <f>SUMIFS(METALFISA!$E:$E,METALFISA!$A:$A,'Faltantes Fevereiro- Metalfisa'!N$3,METALFISA!$B:$B,'Faltantes Fevereiro- Metalfisa'!$A28)</f>
        <v>0</v>
      </c>
      <c r="O28" s="31">
        <f>SUMIFS(METALFISA!$E:$E,METALFISA!$A:$A,'Faltantes Fevereiro- Metalfisa'!O$3,METALFISA!$B:$B,'Faltantes Fevereiro- Metalfisa'!$A28)</f>
        <v>0</v>
      </c>
      <c r="P28" s="31">
        <f>SUMIFS(METALFISA!$E:$E,METALFISA!$A:$A,'Faltantes Fevereiro- Metalfisa'!P$3,METALFISA!$B:$B,'Faltantes Fevereiro- Metalfisa'!$A28)</f>
        <v>0</v>
      </c>
      <c r="Q28" s="31">
        <f>SUMIFS(METALFISA!$E:$E,METALFISA!$A:$A,'Faltantes Fevereiro- Metalfisa'!Q$3,METALFISA!$B:$B,'Faltantes Fevereiro- Metalfisa'!$A28)</f>
        <v>0</v>
      </c>
      <c r="R28" s="31">
        <f>SUMIFS(METALFISA!$E:$E,METALFISA!$A:$A,'Faltantes Fevereiro- Metalfisa'!R$3,METALFISA!$B:$B,'Faltantes Fevereiro- Metalfisa'!$A28)</f>
        <v>0</v>
      </c>
      <c r="S28" s="31">
        <f>SUMIFS(METALFISA!$E:$E,METALFISA!$A:$A,'Faltantes Fevereiro- Metalfisa'!S$3,METALFISA!$B:$B,'Faltantes Fevereiro- Metalfisa'!$A28)</f>
        <v>0</v>
      </c>
      <c r="T28" s="31">
        <f>SUMIFS(METALFISA!$E:$E,METALFISA!$A:$A,'Faltantes Fevereiro- Metalfisa'!T$3,METALFISA!$B:$B,'Faltantes Fevereiro- Metalfisa'!$A28)</f>
        <v>0</v>
      </c>
      <c r="U28" s="31">
        <f>SUMIFS(METALFISA!$E:$E,METALFISA!$A:$A,'Faltantes Fevereiro- Metalfisa'!U$3,METALFISA!$B:$B,'Faltantes Fevereiro- Metalfisa'!$A28)</f>
        <v>0</v>
      </c>
      <c r="V28" s="31">
        <f>SUMIFS(METALFISA!$E:$E,METALFISA!$A:$A,'Faltantes Fevereiro- Metalfisa'!V$3,METALFISA!$B:$B,'Faltantes Fevereiro- Metalfisa'!$A28)</f>
        <v>0</v>
      </c>
      <c r="W28" s="31">
        <f>SUMIFS(METALFISA!$E:$E,METALFISA!$A:$A,'Faltantes Fevereiro- Metalfisa'!W$3,METALFISA!$B:$B,'Faltantes Fevereiro- Metalfisa'!$A28)</f>
        <v>0</v>
      </c>
      <c r="X28" s="31">
        <f>SUMIFS(METALFISA!$E:$E,METALFISA!$A:$A,'Faltantes Fevereiro- Metalfisa'!X$3,METALFISA!$B:$B,'Faltantes Fevereiro- Metalfisa'!$A28)</f>
        <v>0</v>
      </c>
      <c r="Y28" s="31">
        <f>SUMIFS(METALFISA!$E:$E,METALFISA!$A:$A,'Faltantes Fevereiro- Metalfisa'!Y$3,METALFISA!$B:$B,'Faltantes Fevereiro- Metalfisa'!$A28)</f>
        <v>0</v>
      </c>
      <c r="Z28" s="31">
        <f>SUMIFS(METALFISA!$E:$E,METALFISA!$A:$A,'Faltantes Fevereiro- Metalfisa'!Z$3,METALFISA!$B:$B,'Faltantes Fevereiro- Metalfisa'!$A28)</f>
        <v>0</v>
      </c>
      <c r="AA28" s="31">
        <f>SUMIFS(METALFISA!$E:$E,METALFISA!$A:$A,'Faltantes Fevereiro- Metalfisa'!AA$3,METALFISA!$B:$B,'Faltantes Fevereiro- Metalfisa'!$A28)</f>
        <v>0</v>
      </c>
      <c r="AB28" s="31">
        <f>SUMIFS(METALFISA!$E:$E,METALFISA!$A:$A,'Faltantes Fevereiro- Metalfisa'!AB$3,METALFISA!$B:$B,'Faltantes Fevereiro- Metalfisa'!$A28)</f>
        <v>0</v>
      </c>
      <c r="AC28" s="31">
        <f>SUMIFS(METALFISA!$E:$E,METALFISA!$A:$A,'Faltantes Fevereiro- Metalfisa'!AC$3,METALFISA!$B:$B,'Faltantes Fevereiro- Metalfisa'!$A28)</f>
        <v>0</v>
      </c>
      <c r="AD28" s="31">
        <f>SUMIFS(METALFISA!$E:$E,METALFISA!$A:$A,'Faltantes Fevereiro- Metalfisa'!AD$3,METALFISA!$B:$B,'Faltantes Fevereiro- Metalfisa'!$A28)</f>
        <v>0</v>
      </c>
      <c r="AE28" s="31">
        <f>SUMIFS(METALFISA!$E:$E,METALFISA!$A:$A,'Faltantes Fevereiro- Metalfisa'!AE$3,METALFISA!$B:$B,'Faltantes Fevereiro- Metalfisa'!$A28)</f>
        <v>0</v>
      </c>
      <c r="AF28" s="31">
        <f>SUMIFS(METALFISA!$E:$E,METALFISA!$A:$A,'Faltantes Fevereiro- Metalfisa'!AF$3,METALFISA!$B:$B,'Faltantes Fevereiro- Metalfisa'!$A28)</f>
        <v>0</v>
      </c>
      <c r="AG28" s="31">
        <f>SUMIFS(METALFISA!$E:$E,METALFISA!$A:$A,'Faltantes Fevereiro- Metalfisa'!AG$3,METALFISA!$B:$B,'Faltantes Fevereiro- Metalfisa'!$A28)</f>
        <v>2</v>
      </c>
      <c r="AH28" s="31">
        <f>SUMIFS(METALFISA!$E:$E,METALFISA!$A:$A,'Faltantes Fevereiro- Metalfisa'!AH$3,METALFISA!$B:$B,'Faltantes Fevereiro- Metalfisa'!$A28)</f>
        <v>0</v>
      </c>
      <c r="AI28" s="31">
        <f>SUMIFS(METALFISA!$E:$E,METALFISA!$A:$A,'Faltantes Fevereiro- Metalfisa'!AI$3,METALFISA!$B:$B,'Faltantes Fevereiro- Metalfisa'!$A28)</f>
        <v>0</v>
      </c>
      <c r="AJ28" s="31">
        <f>SUMIFS(METALFISA!$E:$E,METALFISA!$A:$A,'Faltantes Fevereiro- Metalfisa'!AJ$3,METALFISA!$B:$B,'Faltantes Fevereiro- Metalfisa'!$A28)</f>
        <v>0</v>
      </c>
      <c r="AK28" s="31">
        <f>SUMIFS(METALFISA!$E:$E,METALFISA!$A:$A,'Faltantes Fevereiro- Metalfisa'!AK$3,METALFISA!$B:$B,'Faltantes Fevereiro- Metalfisa'!$A28)</f>
        <v>0</v>
      </c>
      <c r="AL28" s="31">
        <f>SUMIFS(METALFISA!$E:$E,METALFISA!$A:$A,'Faltantes Fevereiro- Metalfisa'!AL$3,METALFISA!$B:$B,'Faltantes Fevereiro- Metalfisa'!$A28)</f>
        <v>0</v>
      </c>
      <c r="AM28" s="31">
        <f>SUMIFS(METALFISA!$E:$E,METALFISA!$A:$A,'Faltantes Fevereiro- Metalfisa'!AM$3,METALFISA!$B:$B,'Faltantes Fevereiro- Metalfisa'!$A28)</f>
        <v>0</v>
      </c>
      <c r="AN28" s="31">
        <f>SUMIFS(METALFISA!$E:$E,METALFISA!$A:$A,'Faltantes Fevereiro- Metalfisa'!AN$3,METALFISA!$B:$B,'Faltantes Fevereiro- Metalfisa'!$A28)</f>
        <v>0</v>
      </c>
      <c r="AO28" s="31">
        <f>SUMIFS(METALFISA!$E:$E,METALFISA!$A:$A,'Faltantes Fevereiro- Metalfisa'!AO$3,METALFISA!$B:$B,'Faltantes Fevereiro- Metalfisa'!$A28)</f>
        <v>0</v>
      </c>
      <c r="AP28" s="31">
        <f>SUMIFS(METALFISA!$E:$E,METALFISA!$A:$A,'Faltantes Fevereiro- Metalfisa'!AP$3,METALFISA!$B:$B,'Faltantes Fevereiro- Metalfisa'!$A28)</f>
        <v>0</v>
      </c>
      <c r="AQ28" s="31"/>
      <c r="AR28" s="31">
        <f>SUMIFS(METALFISA!$E:$E,METALFISA!$A:$A,'Faltantes Fevereiro- Metalfisa'!AR$3,METALFISA!$B:$B,'Faltantes Fevereiro- Metalfisa'!$A28)</f>
        <v>0</v>
      </c>
      <c r="AS28" s="35">
        <f>SUMIFS(METALFISA!$E:$E,METALFISA!$A:$A,'Faltantes Fevereiro- Metalfisa'!AS$3,METALFISA!$B:$B,'Faltantes Fevereiro- Metalfisa'!$A28)</f>
        <v>0</v>
      </c>
      <c r="AU28" s="18">
        <v>0</v>
      </c>
      <c r="AV28" s="18">
        <v>0</v>
      </c>
      <c r="AW28" s="18">
        <v>0</v>
      </c>
      <c r="AX28" s="18">
        <v>0</v>
      </c>
      <c r="AY28" s="41">
        <v>0</v>
      </c>
      <c r="AZ28" s="31">
        <v>0</v>
      </c>
      <c r="BA28" s="31">
        <v>0</v>
      </c>
      <c r="BB28" s="31">
        <v>0</v>
      </c>
      <c r="BC28" s="31">
        <v>0</v>
      </c>
      <c r="BD28" s="31">
        <v>0</v>
      </c>
      <c r="BE28" s="31">
        <v>0</v>
      </c>
      <c r="BF28" s="31">
        <v>0</v>
      </c>
      <c r="BG28" s="31">
        <v>0</v>
      </c>
      <c r="BH28" s="31">
        <v>0</v>
      </c>
      <c r="BI28" s="31">
        <v>0</v>
      </c>
      <c r="BJ28" s="31">
        <v>0</v>
      </c>
      <c r="BK28" s="31">
        <v>0</v>
      </c>
      <c r="BL28" s="31">
        <v>0</v>
      </c>
      <c r="BM28" s="31">
        <v>1</v>
      </c>
      <c r="BN28" s="31">
        <v>0</v>
      </c>
      <c r="BO28" s="31">
        <v>0</v>
      </c>
      <c r="BP28" s="31">
        <v>0</v>
      </c>
      <c r="BQ28" s="31">
        <v>0</v>
      </c>
      <c r="BR28" s="31">
        <v>0</v>
      </c>
      <c r="BS28" s="31">
        <v>0</v>
      </c>
      <c r="BT28" s="31">
        <v>0</v>
      </c>
      <c r="BU28" s="31">
        <v>0</v>
      </c>
      <c r="BV28" s="31">
        <v>0</v>
      </c>
      <c r="BW28" s="31">
        <v>0</v>
      </c>
      <c r="BX28" s="31">
        <v>0</v>
      </c>
      <c r="BY28" s="31">
        <v>0</v>
      </c>
      <c r="BZ28" s="31">
        <v>0</v>
      </c>
      <c r="CA28" s="31">
        <v>0</v>
      </c>
      <c r="CB28" s="31">
        <v>0</v>
      </c>
      <c r="CC28" s="31">
        <v>0</v>
      </c>
      <c r="CD28" s="31">
        <v>0</v>
      </c>
      <c r="CE28" s="31">
        <v>0</v>
      </c>
      <c r="CF28" s="31">
        <v>0</v>
      </c>
      <c r="CG28" s="31">
        <v>0</v>
      </c>
      <c r="CH28" s="31">
        <v>0</v>
      </c>
      <c r="CI28" s="31">
        <v>0</v>
      </c>
      <c r="CJ28" s="31">
        <v>0</v>
      </c>
      <c r="CK28" s="31">
        <v>0</v>
      </c>
      <c r="CL28" s="35">
        <v>0</v>
      </c>
    </row>
    <row r="29" spans="1:90" ht="21" x14ac:dyDescent="0.15">
      <c r="A29" s="27" t="s">
        <v>195</v>
      </c>
      <c r="B29" s="28" t="s">
        <v>196</v>
      </c>
      <c r="C29" s="28">
        <v>0</v>
      </c>
      <c r="D29" s="28">
        <v>0</v>
      </c>
      <c r="E29" s="28">
        <v>0</v>
      </c>
      <c r="F29" s="28">
        <v>0</v>
      </c>
      <c r="G29" s="28">
        <v>4</v>
      </c>
      <c r="H29" s="28">
        <f>IFERROR(VLOOKUP(A29,[1]FALTANTES!$A:$AB,28,FALSE),"-")</f>
        <v>0</v>
      </c>
      <c r="I29" s="42">
        <f>IFERROR(VLOOKUP(A29,[1]FALTANTES!$A:$AC,29,FALSE),"-")</f>
        <v>0</v>
      </c>
      <c r="J29" s="29">
        <f>IFERROR(VLOOKUP(A29,[1]FALTANTES!$A:$AD,30,FALSE),"-")</f>
        <v>-4</v>
      </c>
      <c r="K29" s="30">
        <v>0</v>
      </c>
      <c r="L29" s="30">
        <f t="shared" si="0"/>
        <v>4</v>
      </c>
      <c r="M29" s="31">
        <f>SUMIFS(METALFISA!$E:$E,METALFISA!$A:$A,'Faltantes Fevereiro- Metalfisa'!M$3,METALFISA!$B:$B,'Faltantes Fevereiro- Metalfisa'!$A29)</f>
        <v>0</v>
      </c>
      <c r="N29" s="31">
        <f>SUMIFS(METALFISA!$E:$E,METALFISA!$A:$A,'Faltantes Fevereiro- Metalfisa'!N$3,METALFISA!$B:$B,'Faltantes Fevereiro- Metalfisa'!$A29)</f>
        <v>0</v>
      </c>
      <c r="O29" s="31">
        <f>SUMIFS(METALFISA!$E:$E,METALFISA!$A:$A,'Faltantes Fevereiro- Metalfisa'!O$3,METALFISA!$B:$B,'Faltantes Fevereiro- Metalfisa'!$A29)</f>
        <v>0</v>
      </c>
      <c r="P29" s="31">
        <f>SUMIFS(METALFISA!$E:$E,METALFISA!$A:$A,'Faltantes Fevereiro- Metalfisa'!P$3,METALFISA!$B:$B,'Faltantes Fevereiro- Metalfisa'!$A29)</f>
        <v>0</v>
      </c>
      <c r="Q29" s="31">
        <f>SUMIFS(METALFISA!$E:$E,METALFISA!$A:$A,'Faltantes Fevereiro- Metalfisa'!Q$3,METALFISA!$B:$B,'Faltantes Fevereiro- Metalfisa'!$A29)</f>
        <v>0</v>
      </c>
      <c r="R29" s="31">
        <f>SUMIFS(METALFISA!$E:$E,METALFISA!$A:$A,'Faltantes Fevereiro- Metalfisa'!R$3,METALFISA!$B:$B,'Faltantes Fevereiro- Metalfisa'!$A29)</f>
        <v>0</v>
      </c>
      <c r="S29" s="31">
        <f>SUMIFS(METALFISA!$E:$E,METALFISA!$A:$A,'Faltantes Fevereiro- Metalfisa'!S$3,METALFISA!$B:$B,'Faltantes Fevereiro- Metalfisa'!$A29)</f>
        <v>0</v>
      </c>
      <c r="T29" s="31">
        <f>SUMIFS(METALFISA!$E:$E,METALFISA!$A:$A,'Faltantes Fevereiro- Metalfisa'!T$3,METALFISA!$B:$B,'Faltantes Fevereiro- Metalfisa'!$A29)</f>
        <v>0</v>
      </c>
      <c r="U29" s="31">
        <f>SUMIFS(METALFISA!$E:$E,METALFISA!$A:$A,'Faltantes Fevereiro- Metalfisa'!U$3,METALFISA!$B:$B,'Faltantes Fevereiro- Metalfisa'!$A29)</f>
        <v>0</v>
      </c>
      <c r="V29" s="31">
        <f>SUMIFS(METALFISA!$E:$E,METALFISA!$A:$A,'Faltantes Fevereiro- Metalfisa'!V$3,METALFISA!$B:$B,'Faltantes Fevereiro- Metalfisa'!$A29)</f>
        <v>0</v>
      </c>
      <c r="W29" s="31">
        <f>SUMIFS(METALFISA!$E:$E,METALFISA!$A:$A,'Faltantes Fevereiro- Metalfisa'!W$3,METALFISA!$B:$B,'Faltantes Fevereiro- Metalfisa'!$A29)</f>
        <v>0</v>
      </c>
      <c r="X29" s="31">
        <f>SUMIFS(METALFISA!$E:$E,METALFISA!$A:$A,'Faltantes Fevereiro- Metalfisa'!X$3,METALFISA!$B:$B,'Faltantes Fevereiro- Metalfisa'!$A29)</f>
        <v>0</v>
      </c>
      <c r="Y29" s="31">
        <f>SUMIFS(METALFISA!$E:$E,METALFISA!$A:$A,'Faltantes Fevereiro- Metalfisa'!Y$3,METALFISA!$B:$B,'Faltantes Fevereiro- Metalfisa'!$A29)</f>
        <v>0</v>
      </c>
      <c r="Z29" s="31">
        <f>SUMIFS(METALFISA!$E:$E,METALFISA!$A:$A,'Faltantes Fevereiro- Metalfisa'!Z$3,METALFISA!$B:$B,'Faltantes Fevereiro- Metalfisa'!$A29)</f>
        <v>0</v>
      </c>
      <c r="AA29" s="31">
        <f>SUMIFS(METALFISA!$E:$E,METALFISA!$A:$A,'Faltantes Fevereiro- Metalfisa'!AA$3,METALFISA!$B:$B,'Faltantes Fevereiro- Metalfisa'!$A29)</f>
        <v>0</v>
      </c>
      <c r="AB29" s="31">
        <f>SUMIFS(METALFISA!$E:$E,METALFISA!$A:$A,'Faltantes Fevereiro- Metalfisa'!AB$3,METALFISA!$B:$B,'Faltantes Fevereiro- Metalfisa'!$A29)</f>
        <v>0</v>
      </c>
      <c r="AC29" s="31">
        <f>SUMIFS(METALFISA!$E:$E,METALFISA!$A:$A,'Faltantes Fevereiro- Metalfisa'!AC$3,METALFISA!$B:$B,'Faltantes Fevereiro- Metalfisa'!$A29)</f>
        <v>0</v>
      </c>
      <c r="AD29" s="31">
        <f>SUMIFS(METALFISA!$E:$E,METALFISA!$A:$A,'Faltantes Fevereiro- Metalfisa'!AD$3,METALFISA!$B:$B,'Faltantes Fevereiro- Metalfisa'!$A29)</f>
        <v>0</v>
      </c>
      <c r="AE29" s="31">
        <f>SUMIFS(METALFISA!$E:$E,METALFISA!$A:$A,'Faltantes Fevereiro- Metalfisa'!AE$3,METALFISA!$B:$B,'Faltantes Fevereiro- Metalfisa'!$A29)</f>
        <v>0</v>
      </c>
      <c r="AF29" s="31">
        <f>SUMIFS(METALFISA!$E:$E,METALFISA!$A:$A,'Faltantes Fevereiro- Metalfisa'!AF$3,METALFISA!$B:$B,'Faltantes Fevereiro- Metalfisa'!$A29)</f>
        <v>0</v>
      </c>
      <c r="AG29" s="31">
        <f>SUMIFS(METALFISA!$E:$E,METALFISA!$A:$A,'Faltantes Fevereiro- Metalfisa'!AG$3,METALFISA!$B:$B,'Faltantes Fevereiro- Metalfisa'!$A29)</f>
        <v>4</v>
      </c>
      <c r="AH29" s="31">
        <f>SUMIFS(METALFISA!$E:$E,METALFISA!$A:$A,'Faltantes Fevereiro- Metalfisa'!AH$3,METALFISA!$B:$B,'Faltantes Fevereiro- Metalfisa'!$A29)</f>
        <v>0</v>
      </c>
      <c r="AI29" s="31">
        <f>SUMIFS(METALFISA!$E:$E,METALFISA!$A:$A,'Faltantes Fevereiro- Metalfisa'!AI$3,METALFISA!$B:$B,'Faltantes Fevereiro- Metalfisa'!$A29)</f>
        <v>0</v>
      </c>
      <c r="AJ29" s="31">
        <f>SUMIFS(METALFISA!$E:$E,METALFISA!$A:$A,'Faltantes Fevereiro- Metalfisa'!AJ$3,METALFISA!$B:$B,'Faltantes Fevereiro- Metalfisa'!$A29)</f>
        <v>0</v>
      </c>
      <c r="AK29" s="31">
        <f>SUMIFS(METALFISA!$E:$E,METALFISA!$A:$A,'Faltantes Fevereiro- Metalfisa'!AK$3,METALFISA!$B:$B,'Faltantes Fevereiro- Metalfisa'!$A29)</f>
        <v>0</v>
      </c>
      <c r="AL29" s="31">
        <f>SUMIFS(METALFISA!$E:$E,METALFISA!$A:$A,'Faltantes Fevereiro- Metalfisa'!AL$3,METALFISA!$B:$B,'Faltantes Fevereiro- Metalfisa'!$A29)</f>
        <v>0</v>
      </c>
      <c r="AM29" s="31">
        <f>SUMIFS(METALFISA!$E:$E,METALFISA!$A:$A,'Faltantes Fevereiro- Metalfisa'!AM$3,METALFISA!$B:$B,'Faltantes Fevereiro- Metalfisa'!$A29)</f>
        <v>0</v>
      </c>
      <c r="AN29" s="31">
        <f>SUMIFS(METALFISA!$E:$E,METALFISA!$A:$A,'Faltantes Fevereiro- Metalfisa'!AN$3,METALFISA!$B:$B,'Faltantes Fevereiro- Metalfisa'!$A29)</f>
        <v>0</v>
      </c>
      <c r="AO29" s="31">
        <f>SUMIFS(METALFISA!$E:$E,METALFISA!$A:$A,'Faltantes Fevereiro- Metalfisa'!AO$3,METALFISA!$B:$B,'Faltantes Fevereiro- Metalfisa'!$A29)</f>
        <v>0</v>
      </c>
      <c r="AP29" s="31">
        <f>SUMIFS(METALFISA!$E:$E,METALFISA!$A:$A,'Faltantes Fevereiro- Metalfisa'!AP$3,METALFISA!$B:$B,'Faltantes Fevereiro- Metalfisa'!$A29)</f>
        <v>0</v>
      </c>
      <c r="AQ29" s="31"/>
      <c r="AR29" s="31">
        <f>SUMIFS(METALFISA!$E:$E,METALFISA!$A:$A,'Faltantes Fevereiro- Metalfisa'!AR$3,METALFISA!$B:$B,'Faltantes Fevereiro- Metalfisa'!$A29)</f>
        <v>0</v>
      </c>
      <c r="AS29" s="35">
        <f>SUMIFS(METALFISA!$E:$E,METALFISA!$A:$A,'Faltantes Fevereiro- Metalfisa'!AS$3,METALFISA!$B:$B,'Faltantes Fevereiro- Metalfisa'!$A29)</f>
        <v>0</v>
      </c>
      <c r="AU29" s="18">
        <v>0</v>
      </c>
      <c r="AV29" s="18">
        <v>0</v>
      </c>
      <c r="AW29" s="18">
        <v>0</v>
      </c>
      <c r="AX29" s="18">
        <v>0</v>
      </c>
      <c r="AY29" s="41">
        <v>0</v>
      </c>
      <c r="AZ29" s="31">
        <v>0</v>
      </c>
      <c r="BA29" s="31">
        <v>0</v>
      </c>
      <c r="BB29" s="31">
        <v>0</v>
      </c>
      <c r="BC29" s="31">
        <v>0</v>
      </c>
      <c r="BD29" s="31">
        <v>0</v>
      </c>
      <c r="BE29" s="31">
        <v>0</v>
      </c>
      <c r="BF29" s="31">
        <v>0</v>
      </c>
      <c r="BG29" s="31">
        <v>0</v>
      </c>
      <c r="BH29" s="31">
        <v>0</v>
      </c>
      <c r="BI29" s="31">
        <v>0</v>
      </c>
      <c r="BJ29" s="31">
        <v>0</v>
      </c>
      <c r="BK29" s="31">
        <v>0</v>
      </c>
      <c r="BL29" s="31">
        <v>0</v>
      </c>
      <c r="BM29" s="31">
        <v>2</v>
      </c>
      <c r="BN29" s="31">
        <v>0</v>
      </c>
      <c r="BO29" s="31">
        <v>0</v>
      </c>
      <c r="BP29" s="31">
        <v>0</v>
      </c>
      <c r="BQ29" s="31">
        <v>0</v>
      </c>
      <c r="BR29" s="31">
        <v>0</v>
      </c>
      <c r="BS29" s="31">
        <v>0</v>
      </c>
      <c r="BT29" s="31">
        <v>0</v>
      </c>
      <c r="BU29" s="31">
        <v>0</v>
      </c>
      <c r="BV29" s="31">
        <v>0</v>
      </c>
      <c r="BW29" s="31">
        <v>0</v>
      </c>
      <c r="BX29" s="31">
        <v>0</v>
      </c>
      <c r="BY29" s="31">
        <v>0</v>
      </c>
      <c r="BZ29" s="31">
        <v>0</v>
      </c>
      <c r="CA29" s="31">
        <v>0</v>
      </c>
      <c r="CB29" s="31">
        <v>0</v>
      </c>
      <c r="CC29" s="31">
        <v>0</v>
      </c>
      <c r="CD29" s="31">
        <v>0</v>
      </c>
      <c r="CE29" s="31">
        <v>0</v>
      </c>
      <c r="CF29" s="31">
        <v>0</v>
      </c>
      <c r="CG29" s="31">
        <v>0</v>
      </c>
      <c r="CH29" s="31">
        <v>0</v>
      </c>
      <c r="CI29" s="31">
        <v>0</v>
      </c>
      <c r="CJ29" s="31">
        <v>0</v>
      </c>
      <c r="CK29" s="31">
        <v>0</v>
      </c>
      <c r="CL29" s="35">
        <v>0</v>
      </c>
    </row>
    <row r="30" spans="1:90" x14ac:dyDescent="0.15">
      <c r="A30" s="27" t="s">
        <v>197</v>
      </c>
      <c r="B30" s="28" t="s">
        <v>198</v>
      </c>
      <c r="C30" s="28">
        <v>0</v>
      </c>
      <c r="D30" s="28">
        <v>0</v>
      </c>
      <c r="E30" s="28">
        <v>0</v>
      </c>
      <c r="F30" s="28">
        <v>0</v>
      </c>
      <c r="G30" s="28">
        <v>3</v>
      </c>
      <c r="H30" s="28">
        <f>IFERROR(VLOOKUP(A30,[1]FALTANTES!$A:$AB,28,FALSE),"-")</f>
        <v>0</v>
      </c>
      <c r="I30" s="42">
        <f>IFERROR(VLOOKUP(A30,[1]FALTANTES!$A:$AC,29,FALSE),"-")</f>
        <v>0</v>
      </c>
      <c r="J30" s="29">
        <f>IFERROR(VLOOKUP(A30,[1]FALTANTES!$A:$AD,30,FALSE),"-")</f>
        <v>-3</v>
      </c>
      <c r="K30" s="30">
        <v>0</v>
      </c>
      <c r="L30" s="30">
        <f t="shared" si="0"/>
        <v>3</v>
      </c>
      <c r="M30" s="31">
        <f>SUMIFS(METALFISA!$E:$E,METALFISA!$A:$A,'Faltantes Fevereiro- Metalfisa'!M$3,METALFISA!$B:$B,'Faltantes Fevereiro- Metalfisa'!$A30)</f>
        <v>0</v>
      </c>
      <c r="N30" s="31">
        <f>SUMIFS(METALFISA!$E:$E,METALFISA!$A:$A,'Faltantes Fevereiro- Metalfisa'!N$3,METALFISA!$B:$B,'Faltantes Fevereiro- Metalfisa'!$A30)</f>
        <v>0</v>
      </c>
      <c r="O30" s="31">
        <f>SUMIFS(METALFISA!$E:$E,METALFISA!$A:$A,'Faltantes Fevereiro- Metalfisa'!O$3,METALFISA!$B:$B,'Faltantes Fevereiro- Metalfisa'!$A30)</f>
        <v>0</v>
      </c>
      <c r="P30" s="31">
        <f>SUMIFS(METALFISA!$E:$E,METALFISA!$A:$A,'Faltantes Fevereiro- Metalfisa'!P$3,METALFISA!$B:$B,'Faltantes Fevereiro- Metalfisa'!$A30)</f>
        <v>0</v>
      </c>
      <c r="Q30" s="31">
        <f>SUMIFS(METALFISA!$E:$E,METALFISA!$A:$A,'Faltantes Fevereiro- Metalfisa'!Q$3,METALFISA!$B:$B,'Faltantes Fevereiro- Metalfisa'!$A30)</f>
        <v>0</v>
      </c>
      <c r="R30" s="31">
        <f>SUMIFS(METALFISA!$E:$E,METALFISA!$A:$A,'Faltantes Fevereiro- Metalfisa'!R$3,METALFISA!$B:$B,'Faltantes Fevereiro- Metalfisa'!$A30)</f>
        <v>0</v>
      </c>
      <c r="S30" s="31">
        <f>SUMIFS(METALFISA!$E:$E,METALFISA!$A:$A,'Faltantes Fevereiro- Metalfisa'!S$3,METALFISA!$B:$B,'Faltantes Fevereiro- Metalfisa'!$A30)</f>
        <v>0</v>
      </c>
      <c r="T30" s="31">
        <f>SUMIFS(METALFISA!$E:$E,METALFISA!$A:$A,'Faltantes Fevereiro- Metalfisa'!T$3,METALFISA!$B:$B,'Faltantes Fevereiro- Metalfisa'!$A30)</f>
        <v>0</v>
      </c>
      <c r="U30" s="31">
        <f>SUMIFS(METALFISA!$E:$E,METALFISA!$A:$A,'Faltantes Fevereiro- Metalfisa'!U$3,METALFISA!$B:$B,'Faltantes Fevereiro- Metalfisa'!$A30)</f>
        <v>0</v>
      </c>
      <c r="V30" s="31">
        <f>SUMIFS(METALFISA!$E:$E,METALFISA!$A:$A,'Faltantes Fevereiro- Metalfisa'!V$3,METALFISA!$B:$B,'Faltantes Fevereiro- Metalfisa'!$A30)</f>
        <v>0</v>
      </c>
      <c r="W30" s="31">
        <f>SUMIFS(METALFISA!$E:$E,METALFISA!$A:$A,'Faltantes Fevereiro- Metalfisa'!W$3,METALFISA!$B:$B,'Faltantes Fevereiro- Metalfisa'!$A30)</f>
        <v>0</v>
      </c>
      <c r="X30" s="31">
        <f>SUMIFS(METALFISA!$E:$E,METALFISA!$A:$A,'Faltantes Fevereiro- Metalfisa'!X$3,METALFISA!$B:$B,'Faltantes Fevereiro- Metalfisa'!$A30)</f>
        <v>0</v>
      </c>
      <c r="Y30" s="31">
        <f>SUMIFS(METALFISA!$E:$E,METALFISA!$A:$A,'Faltantes Fevereiro- Metalfisa'!Y$3,METALFISA!$B:$B,'Faltantes Fevereiro- Metalfisa'!$A30)</f>
        <v>0</v>
      </c>
      <c r="Z30" s="31">
        <f>SUMIFS(METALFISA!$E:$E,METALFISA!$A:$A,'Faltantes Fevereiro- Metalfisa'!Z$3,METALFISA!$B:$B,'Faltantes Fevereiro- Metalfisa'!$A30)</f>
        <v>0</v>
      </c>
      <c r="AA30" s="31">
        <f>SUMIFS(METALFISA!$E:$E,METALFISA!$A:$A,'Faltantes Fevereiro- Metalfisa'!AA$3,METALFISA!$B:$B,'Faltantes Fevereiro- Metalfisa'!$A30)</f>
        <v>0</v>
      </c>
      <c r="AB30" s="31">
        <f>SUMIFS(METALFISA!$E:$E,METALFISA!$A:$A,'Faltantes Fevereiro- Metalfisa'!AB$3,METALFISA!$B:$B,'Faltantes Fevereiro- Metalfisa'!$A30)</f>
        <v>0</v>
      </c>
      <c r="AC30" s="31">
        <f>SUMIFS(METALFISA!$E:$E,METALFISA!$A:$A,'Faltantes Fevereiro- Metalfisa'!AC$3,METALFISA!$B:$B,'Faltantes Fevereiro- Metalfisa'!$A30)</f>
        <v>1</v>
      </c>
      <c r="AD30" s="31">
        <f>SUMIFS(METALFISA!$E:$E,METALFISA!$A:$A,'Faltantes Fevereiro- Metalfisa'!AD$3,METALFISA!$B:$B,'Faltantes Fevereiro- Metalfisa'!$A30)</f>
        <v>0</v>
      </c>
      <c r="AE30" s="31">
        <f>SUMIFS(METALFISA!$E:$E,METALFISA!$A:$A,'Faltantes Fevereiro- Metalfisa'!AE$3,METALFISA!$B:$B,'Faltantes Fevereiro- Metalfisa'!$A30)</f>
        <v>0</v>
      </c>
      <c r="AF30" s="31">
        <f>SUMIFS(METALFISA!$E:$E,METALFISA!$A:$A,'Faltantes Fevereiro- Metalfisa'!AF$3,METALFISA!$B:$B,'Faltantes Fevereiro- Metalfisa'!$A30)</f>
        <v>0</v>
      </c>
      <c r="AG30" s="31">
        <f>SUMIFS(METALFISA!$E:$E,METALFISA!$A:$A,'Faltantes Fevereiro- Metalfisa'!AG$3,METALFISA!$B:$B,'Faltantes Fevereiro- Metalfisa'!$A30)</f>
        <v>2</v>
      </c>
      <c r="AH30" s="31">
        <f>SUMIFS(METALFISA!$E:$E,METALFISA!$A:$A,'Faltantes Fevereiro- Metalfisa'!AH$3,METALFISA!$B:$B,'Faltantes Fevereiro- Metalfisa'!$A30)</f>
        <v>0</v>
      </c>
      <c r="AI30" s="31">
        <f>SUMIFS(METALFISA!$E:$E,METALFISA!$A:$A,'Faltantes Fevereiro- Metalfisa'!AI$3,METALFISA!$B:$B,'Faltantes Fevereiro- Metalfisa'!$A30)</f>
        <v>0</v>
      </c>
      <c r="AJ30" s="31">
        <f>SUMIFS(METALFISA!$E:$E,METALFISA!$A:$A,'Faltantes Fevereiro- Metalfisa'!AJ$3,METALFISA!$B:$B,'Faltantes Fevereiro- Metalfisa'!$A30)</f>
        <v>0</v>
      </c>
      <c r="AK30" s="31">
        <f>SUMIFS(METALFISA!$E:$E,METALFISA!$A:$A,'Faltantes Fevereiro- Metalfisa'!AK$3,METALFISA!$B:$B,'Faltantes Fevereiro- Metalfisa'!$A30)</f>
        <v>0</v>
      </c>
      <c r="AL30" s="31">
        <f>SUMIFS(METALFISA!$E:$E,METALFISA!$A:$A,'Faltantes Fevereiro- Metalfisa'!AL$3,METALFISA!$B:$B,'Faltantes Fevereiro- Metalfisa'!$A30)</f>
        <v>0</v>
      </c>
      <c r="AM30" s="31">
        <f>SUMIFS(METALFISA!$E:$E,METALFISA!$A:$A,'Faltantes Fevereiro- Metalfisa'!AM$3,METALFISA!$B:$B,'Faltantes Fevereiro- Metalfisa'!$A30)</f>
        <v>0</v>
      </c>
      <c r="AN30" s="31">
        <f>SUMIFS(METALFISA!$E:$E,METALFISA!$A:$A,'Faltantes Fevereiro- Metalfisa'!AN$3,METALFISA!$B:$B,'Faltantes Fevereiro- Metalfisa'!$A30)</f>
        <v>0</v>
      </c>
      <c r="AO30" s="31">
        <f>SUMIFS(METALFISA!$E:$E,METALFISA!$A:$A,'Faltantes Fevereiro- Metalfisa'!AO$3,METALFISA!$B:$B,'Faltantes Fevereiro- Metalfisa'!$A30)</f>
        <v>0</v>
      </c>
      <c r="AP30" s="31">
        <f>SUMIFS(METALFISA!$E:$E,METALFISA!$A:$A,'Faltantes Fevereiro- Metalfisa'!AP$3,METALFISA!$B:$B,'Faltantes Fevereiro- Metalfisa'!$A30)</f>
        <v>0</v>
      </c>
      <c r="AQ30" s="31"/>
      <c r="AR30" s="31">
        <f>SUMIFS(METALFISA!$E:$E,METALFISA!$A:$A,'Faltantes Fevereiro- Metalfisa'!AR$3,METALFISA!$B:$B,'Faltantes Fevereiro- Metalfisa'!$A30)</f>
        <v>0</v>
      </c>
      <c r="AS30" s="35">
        <f>SUMIFS(METALFISA!$E:$E,METALFISA!$A:$A,'Faltantes Fevereiro- Metalfisa'!AS$3,METALFISA!$B:$B,'Faltantes Fevereiro- Metalfisa'!$A30)</f>
        <v>0</v>
      </c>
      <c r="AU30" s="18">
        <v>0</v>
      </c>
      <c r="AV30" s="18">
        <v>0</v>
      </c>
      <c r="AW30" s="18">
        <v>0</v>
      </c>
      <c r="AX30" s="18">
        <v>0</v>
      </c>
      <c r="AY30" s="41">
        <v>0</v>
      </c>
      <c r="AZ30" s="31">
        <v>0</v>
      </c>
      <c r="BA30" s="31">
        <v>0</v>
      </c>
      <c r="BB30" s="31">
        <v>0</v>
      </c>
      <c r="BC30" s="31">
        <v>0</v>
      </c>
      <c r="BD30" s="31">
        <v>0</v>
      </c>
      <c r="BE30" s="31">
        <v>0</v>
      </c>
      <c r="BF30" s="31">
        <v>0</v>
      </c>
      <c r="BG30" s="31">
        <v>0</v>
      </c>
      <c r="BH30" s="31">
        <v>0</v>
      </c>
      <c r="BI30" s="31">
        <v>0</v>
      </c>
      <c r="BJ30" s="31">
        <v>0</v>
      </c>
      <c r="BK30" s="31">
        <v>0</v>
      </c>
      <c r="BL30" s="31">
        <v>0</v>
      </c>
      <c r="BM30" s="31">
        <v>1</v>
      </c>
      <c r="BN30" s="31">
        <v>0</v>
      </c>
      <c r="BO30" s="31">
        <v>0</v>
      </c>
      <c r="BP30" s="31">
        <v>0</v>
      </c>
      <c r="BQ30" s="31">
        <v>0</v>
      </c>
      <c r="BR30" s="31">
        <v>0</v>
      </c>
      <c r="BS30" s="31">
        <v>0</v>
      </c>
      <c r="BT30" s="31">
        <v>0</v>
      </c>
      <c r="BU30" s="31">
        <v>0</v>
      </c>
      <c r="BV30" s="31">
        <v>0</v>
      </c>
      <c r="BW30" s="31">
        <v>0</v>
      </c>
      <c r="BX30" s="31">
        <v>0</v>
      </c>
      <c r="BY30" s="31">
        <v>0</v>
      </c>
      <c r="BZ30" s="31">
        <v>0</v>
      </c>
      <c r="CA30" s="31">
        <v>0</v>
      </c>
      <c r="CB30" s="31">
        <v>0</v>
      </c>
      <c r="CC30" s="31">
        <v>0</v>
      </c>
      <c r="CD30" s="31">
        <v>0</v>
      </c>
      <c r="CE30" s="31">
        <v>0</v>
      </c>
      <c r="CF30" s="31">
        <v>0</v>
      </c>
      <c r="CG30" s="31">
        <v>0</v>
      </c>
      <c r="CH30" s="31">
        <v>0</v>
      </c>
      <c r="CI30" s="31">
        <v>0</v>
      </c>
      <c r="CJ30" s="31">
        <v>0</v>
      </c>
      <c r="CK30" s="31">
        <v>0</v>
      </c>
      <c r="CL30" s="35">
        <v>0</v>
      </c>
    </row>
    <row r="31" spans="1:90" ht="21" x14ac:dyDescent="0.15">
      <c r="A31" s="27" t="s">
        <v>565</v>
      </c>
      <c r="B31" s="28" t="s">
        <v>566</v>
      </c>
      <c r="C31" s="28">
        <v>0</v>
      </c>
      <c r="D31" s="28">
        <v>0</v>
      </c>
      <c r="E31" s="28">
        <v>0</v>
      </c>
      <c r="F31" s="28">
        <v>0</v>
      </c>
      <c r="G31" s="28">
        <v>2</v>
      </c>
      <c r="H31" s="28">
        <f>IFERROR(VLOOKUP(A31,[1]FALTANTES!$A:$AB,28,FALSE),"-")</f>
        <v>0</v>
      </c>
      <c r="I31" s="42">
        <f>IFERROR(VLOOKUP(A31,[1]FALTANTES!$A:$AC,29,FALSE),"-")</f>
        <v>0</v>
      </c>
      <c r="J31" s="29">
        <f>IFERROR(VLOOKUP(A31,[1]FALTANTES!$A:$AD,30,FALSE),"-")</f>
        <v>-2</v>
      </c>
      <c r="K31" s="30">
        <v>0</v>
      </c>
      <c r="L31" s="30">
        <f t="shared" si="0"/>
        <v>2</v>
      </c>
      <c r="M31" s="31">
        <f>SUMIFS(METALFISA!$E:$E,METALFISA!$A:$A,'Faltantes Fevereiro- Metalfisa'!M$3,METALFISA!$B:$B,'Faltantes Fevereiro- Metalfisa'!$A31)</f>
        <v>0</v>
      </c>
      <c r="N31" s="31">
        <f>SUMIFS(METALFISA!$E:$E,METALFISA!$A:$A,'Faltantes Fevereiro- Metalfisa'!N$3,METALFISA!$B:$B,'Faltantes Fevereiro- Metalfisa'!$A31)</f>
        <v>0</v>
      </c>
      <c r="O31" s="31">
        <f>SUMIFS(METALFISA!$E:$E,METALFISA!$A:$A,'Faltantes Fevereiro- Metalfisa'!O$3,METALFISA!$B:$B,'Faltantes Fevereiro- Metalfisa'!$A31)</f>
        <v>0</v>
      </c>
      <c r="P31" s="31">
        <f>SUMIFS(METALFISA!$E:$E,METALFISA!$A:$A,'Faltantes Fevereiro- Metalfisa'!P$3,METALFISA!$B:$B,'Faltantes Fevereiro- Metalfisa'!$A31)</f>
        <v>0</v>
      </c>
      <c r="Q31" s="31">
        <f>SUMIFS(METALFISA!$E:$E,METALFISA!$A:$A,'Faltantes Fevereiro- Metalfisa'!Q$3,METALFISA!$B:$B,'Faltantes Fevereiro- Metalfisa'!$A31)</f>
        <v>0</v>
      </c>
      <c r="R31" s="31">
        <f>SUMIFS(METALFISA!$E:$E,METALFISA!$A:$A,'Faltantes Fevereiro- Metalfisa'!R$3,METALFISA!$B:$B,'Faltantes Fevereiro- Metalfisa'!$A31)</f>
        <v>0</v>
      </c>
      <c r="S31" s="31">
        <f>SUMIFS(METALFISA!$E:$E,METALFISA!$A:$A,'Faltantes Fevereiro- Metalfisa'!S$3,METALFISA!$B:$B,'Faltantes Fevereiro- Metalfisa'!$A31)</f>
        <v>0</v>
      </c>
      <c r="T31" s="31">
        <f>SUMIFS(METALFISA!$E:$E,METALFISA!$A:$A,'Faltantes Fevereiro- Metalfisa'!T$3,METALFISA!$B:$B,'Faltantes Fevereiro- Metalfisa'!$A31)</f>
        <v>0</v>
      </c>
      <c r="U31" s="31">
        <f>SUMIFS(METALFISA!$E:$E,METALFISA!$A:$A,'Faltantes Fevereiro- Metalfisa'!U$3,METALFISA!$B:$B,'Faltantes Fevereiro- Metalfisa'!$A31)</f>
        <v>0</v>
      </c>
      <c r="V31" s="31">
        <f>SUMIFS(METALFISA!$E:$E,METALFISA!$A:$A,'Faltantes Fevereiro- Metalfisa'!V$3,METALFISA!$B:$B,'Faltantes Fevereiro- Metalfisa'!$A31)</f>
        <v>0</v>
      </c>
      <c r="W31" s="31">
        <f>SUMIFS(METALFISA!$E:$E,METALFISA!$A:$A,'Faltantes Fevereiro- Metalfisa'!W$3,METALFISA!$B:$B,'Faltantes Fevereiro- Metalfisa'!$A31)</f>
        <v>0</v>
      </c>
      <c r="X31" s="31">
        <f>SUMIFS(METALFISA!$E:$E,METALFISA!$A:$A,'Faltantes Fevereiro- Metalfisa'!X$3,METALFISA!$B:$B,'Faltantes Fevereiro- Metalfisa'!$A31)</f>
        <v>0</v>
      </c>
      <c r="Y31" s="31">
        <f>SUMIFS(METALFISA!$E:$E,METALFISA!$A:$A,'Faltantes Fevereiro- Metalfisa'!Y$3,METALFISA!$B:$B,'Faltantes Fevereiro- Metalfisa'!$A31)</f>
        <v>0</v>
      </c>
      <c r="Z31" s="31">
        <f>SUMIFS(METALFISA!$E:$E,METALFISA!$A:$A,'Faltantes Fevereiro- Metalfisa'!Z$3,METALFISA!$B:$B,'Faltantes Fevereiro- Metalfisa'!$A31)</f>
        <v>0</v>
      </c>
      <c r="AA31" s="31">
        <f>SUMIFS(METALFISA!$E:$E,METALFISA!$A:$A,'Faltantes Fevereiro- Metalfisa'!AA$3,METALFISA!$B:$B,'Faltantes Fevereiro- Metalfisa'!$A31)</f>
        <v>0</v>
      </c>
      <c r="AB31" s="31">
        <f>SUMIFS(METALFISA!$E:$E,METALFISA!$A:$A,'Faltantes Fevereiro- Metalfisa'!AB$3,METALFISA!$B:$B,'Faltantes Fevereiro- Metalfisa'!$A31)</f>
        <v>0</v>
      </c>
      <c r="AC31" s="31">
        <f>SUMIFS(METALFISA!$E:$E,METALFISA!$A:$A,'Faltantes Fevereiro- Metalfisa'!AC$3,METALFISA!$B:$B,'Faltantes Fevereiro- Metalfisa'!$A31)</f>
        <v>0</v>
      </c>
      <c r="AD31" s="31">
        <f>SUMIFS(METALFISA!$E:$E,METALFISA!$A:$A,'Faltantes Fevereiro- Metalfisa'!AD$3,METALFISA!$B:$B,'Faltantes Fevereiro- Metalfisa'!$A31)</f>
        <v>0</v>
      </c>
      <c r="AE31" s="31">
        <f>SUMIFS(METALFISA!$E:$E,METALFISA!$A:$A,'Faltantes Fevereiro- Metalfisa'!AE$3,METALFISA!$B:$B,'Faltantes Fevereiro- Metalfisa'!$A31)</f>
        <v>0</v>
      </c>
      <c r="AF31" s="31">
        <f>SUMIFS(METALFISA!$E:$E,METALFISA!$A:$A,'Faltantes Fevereiro- Metalfisa'!AF$3,METALFISA!$B:$B,'Faltantes Fevereiro- Metalfisa'!$A31)</f>
        <v>0</v>
      </c>
      <c r="AG31" s="31">
        <f>SUMIFS(METALFISA!$E:$E,METALFISA!$A:$A,'Faltantes Fevereiro- Metalfisa'!AG$3,METALFISA!$B:$B,'Faltantes Fevereiro- Metalfisa'!$A31)</f>
        <v>2</v>
      </c>
      <c r="AH31" s="31">
        <f>SUMIFS(METALFISA!$E:$E,METALFISA!$A:$A,'Faltantes Fevereiro- Metalfisa'!AH$3,METALFISA!$B:$B,'Faltantes Fevereiro- Metalfisa'!$A31)</f>
        <v>0</v>
      </c>
      <c r="AI31" s="31">
        <f>SUMIFS(METALFISA!$E:$E,METALFISA!$A:$A,'Faltantes Fevereiro- Metalfisa'!AI$3,METALFISA!$B:$B,'Faltantes Fevereiro- Metalfisa'!$A31)</f>
        <v>0</v>
      </c>
      <c r="AJ31" s="31">
        <f>SUMIFS(METALFISA!$E:$E,METALFISA!$A:$A,'Faltantes Fevereiro- Metalfisa'!AJ$3,METALFISA!$B:$B,'Faltantes Fevereiro- Metalfisa'!$A31)</f>
        <v>0</v>
      </c>
      <c r="AK31" s="31">
        <f>SUMIFS(METALFISA!$E:$E,METALFISA!$A:$A,'Faltantes Fevereiro- Metalfisa'!AK$3,METALFISA!$B:$B,'Faltantes Fevereiro- Metalfisa'!$A31)</f>
        <v>0</v>
      </c>
      <c r="AL31" s="31">
        <f>SUMIFS(METALFISA!$E:$E,METALFISA!$A:$A,'Faltantes Fevereiro- Metalfisa'!AL$3,METALFISA!$B:$B,'Faltantes Fevereiro- Metalfisa'!$A31)</f>
        <v>0</v>
      </c>
      <c r="AM31" s="31">
        <f>SUMIFS(METALFISA!$E:$E,METALFISA!$A:$A,'Faltantes Fevereiro- Metalfisa'!AM$3,METALFISA!$B:$B,'Faltantes Fevereiro- Metalfisa'!$A31)</f>
        <v>0</v>
      </c>
      <c r="AN31" s="31">
        <f>SUMIFS(METALFISA!$E:$E,METALFISA!$A:$A,'Faltantes Fevereiro- Metalfisa'!AN$3,METALFISA!$B:$B,'Faltantes Fevereiro- Metalfisa'!$A31)</f>
        <v>0</v>
      </c>
      <c r="AO31" s="31">
        <f>SUMIFS(METALFISA!$E:$E,METALFISA!$A:$A,'Faltantes Fevereiro- Metalfisa'!AO$3,METALFISA!$B:$B,'Faltantes Fevereiro- Metalfisa'!$A31)</f>
        <v>0</v>
      </c>
      <c r="AP31" s="31">
        <f>SUMIFS(METALFISA!$E:$E,METALFISA!$A:$A,'Faltantes Fevereiro- Metalfisa'!AP$3,METALFISA!$B:$B,'Faltantes Fevereiro- Metalfisa'!$A31)</f>
        <v>0</v>
      </c>
      <c r="AQ31" s="31"/>
      <c r="AR31" s="31">
        <f>SUMIFS(METALFISA!$E:$E,METALFISA!$A:$A,'Faltantes Fevereiro- Metalfisa'!AR$3,METALFISA!$B:$B,'Faltantes Fevereiro- Metalfisa'!$A31)</f>
        <v>0</v>
      </c>
      <c r="AS31" s="35">
        <f>SUMIFS(METALFISA!$E:$E,METALFISA!$A:$A,'Faltantes Fevereiro- Metalfisa'!AS$3,METALFISA!$B:$B,'Faltantes Fevereiro- Metalfisa'!$A31)</f>
        <v>0</v>
      </c>
      <c r="AU31" s="18">
        <v>0</v>
      </c>
      <c r="AV31" s="18">
        <v>0</v>
      </c>
      <c r="AW31" s="18">
        <v>0</v>
      </c>
      <c r="AX31" s="18">
        <v>0</v>
      </c>
      <c r="AY31" s="41">
        <v>0</v>
      </c>
      <c r="AZ31" s="31">
        <v>0</v>
      </c>
      <c r="BA31" s="31">
        <v>0</v>
      </c>
      <c r="BB31" s="31">
        <v>0</v>
      </c>
      <c r="BC31" s="31">
        <v>0</v>
      </c>
      <c r="BD31" s="31">
        <v>0</v>
      </c>
      <c r="BE31" s="31">
        <v>0</v>
      </c>
      <c r="BF31" s="31">
        <v>0</v>
      </c>
      <c r="BG31" s="31">
        <v>0</v>
      </c>
      <c r="BH31" s="31">
        <v>0</v>
      </c>
      <c r="BI31" s="31">
        <v>0</v>
      </c>
      <c r="BJ31" s="31">
        <v>0</v>
      </c>
      <c r="BK31" s="31">
        <v>0</v>
      </c>
      <c r="BL31" s="31">
        <v>0</v>
      </c>
      <c r="BM31" s="31">
        <v>1</v>
      </c>
      <c r="BN31" s="31">
        <v>0</v>
      </c>
      <c r="BO31" s="31">
        <v>0</v>
      </c>
      <c r="BP31" s="31">
        <v>0</v>
      </c>
      <c r="BQ31" s="31">
        <v>0</v>
      </c>
      <c r="BR31" s="31">
        <v>0</v>
      </c>
      <c r="BS31" s="31">
        <v>0</v>
      </c>
      <c r="BT31" s="31">
        <v>0</v>
      </c>
      <c r="BU31" s="31">
        <v>0</v>
      </c>
      <c r="BV31" s="31">
        <v>0</v>
      </c>
      <c r="BW31" s="31">
        <v>0</v>
      </c>
      <c r="BX31" s="31">
        <v>0</v>
      </c>
      <c r="BY31" s="31">
        <v>0</v>
      </c>
      <c r="BZ31" s="31">
        <v>0</v>
      </c>
      <c r="CA31" s="31">
        <v>0</v>
      </c>
      <c r="CB31" s="31">
        <v>0</v>
      </c>
      <c r="CC31" s="31">
        <v>0</v>
      </c>
      <c r="CD31" s="31">
        <v>0</v>
      </c>
      <c r="CE31" s="31">
        <v>0</v>
      </c>
      <c r="CF31" s="31">
        <v>0</v>
      </c>
      <c r="CG31" s="31">
        <v>0</v>
      </c>
      <c r="CH31" s="31">
        <v>0</v>
      </c>
      <c r="CI31" s="31">
        <v>0</v>
      </c>
      <c r="CJ31" s="31">
        <v>0</v>
      </c>
      <c r="CK31" s="31">
        <v>0</v>
      </c>
      <c r="CL31" s="35">
        <v>0</v>
      </c>
    </row>
    <row r="32" spans="1:90" ht="21" x14ac:dyDescent="0.15">
      <c r="A32" s="27" t="s">
        <v>567</v>
      </c>
      <c r="B32" s="28" t="s">
        <v>568</v>
      </c>
      <c r="C32" s="28">
        <v>0</v>
      </c>
      <c r="D32" s="28">
        <v>0</v>
      </c>
      <c r="E32" s="28">
        <v>0</v>
      </c>
      <c r="F32" s="28">
        <v>0</v>
      </c>
      <c r="G32" s="28">
        <v>3</v>
      </c>
      <c r="H32" s="28">
        <f>IFERROR(VLOOKUP(A32,[1]FALTANTES!$A:$AB,28,FALSE),"-")</f>
        <v>0</v>
      </c>
      <c r="I32" s="42">
        <f>IFERROR(VLOOKUP(A32,[1]FALTANTES!$A:$AC,29,FALSE),"-")</f>
        <v>2</v>
      </c>
      <c r="J32" s="29">
        <f>IFERROR(VLOOKUP(A32,[1]FALTANTES!$A:$AD,30,FALSE),"-")</f>
        <v>-1</v>
      </c>
      <c r="K32" s="30">
        <v>0</v>
      </c>
      <c r="L32" s="30">
        <f t="shared" si="0"/>
        <v>1</v>
      </c>
      <c r="M32" s="31">
        <f>SUMIFS(METALFISA!$E:$E,METALFISA!$A:$A,'Faltantes Fevereiro- Metalfisa'!M$3,METALFISA!$B:$B,'Faltantes Fevereiro- Metalfisa'!$A32)</f>
        <v>0</v>
      </c>
      <c r="N32" s="31">
        <f>SUMIFS(METALFISA!$E:$E,METALFISA!$A:$A,'Faltantes Fevereiro- Metalfisa'!N$3,METALFISA!$B:$B,'Faltantes Fevereiro- Metalfisa'!$A32)</f>
        <v>0</v>
      </c>
      <c r="O32" s="31">
        <f>SUMIFS(METALFISA!$E:$E,METALFISA!$A:$A,'Faltantes Fevereiro- Metalfisa'!O$3,METALFISA!$B:$B,'Faltantes Fevereiro- Metalfisa'!$A32)</f>
        <v>0</v>
      </c>
      <c r="P32" s="31">
        <f>SUMIFS(METALFISA!$E:$E,METALFISA!$A:$A,'Faltantes Fevereiro- Metalfisa'!P$3,METALFISA!$B:$B,'Faltantes Fevereiro- Metalfisa'!$A32)</f>
        <v>0</v>
      </c>
      <c r="Q32" s="31">
        <f>SUMIFS(METALFISA!$E:$E,METALFISA!$A:$A,'Faltantes Fevereiro- Metalfisa'!Q$3,METALFISA!$B:$B,'Faltantes Fevereiro- Metalfisa'!$A32)</f>
        <v>0</v>
      </c>
      <c r="R32" s="31">
        <f>SUMIFS(METALFISA!$E:$E,METALFISA!$A:$A,'Faltantes Fevereiro- Metalfisa'!R$3,METALFISA!$B:$B,'Faltantes Fevereiro- Metalfisa'!$A32)</f>
        <v>0</v>
      </c>
      <c r="S32" s="31">
        <f>SUMIFS(METALFISA!$E:$E,METALFISA!$A:$A,'Faltantes Fevereiro- Metalfisa'!S$3,METALFISA!$B:$B,'Faltantes Fevereiro- Metalfisa'!$A32)</f>
        <v>0</v>
      </c>
      <c r="T32" s="31">
        <f>SUMIFS(METALFISA!$E:$E,METALFISA!$A:$A,'Faltantes Fevereiro- Metalfisa'!T$3,METALFISA!$B:$B,'Faltantes Fevereiro- Metalfisa'!$A32)</f>
        <v>0</v>
      </c>
      <c r="U32" s="31">
        <f>SUMIFS(METALFISA!$E:$E,METALFISA!$A:$A,'Faltantes Fevereiro- Metalfisa'!U$3,METALFISA!$B:$B,'Faltantes Fevereiro- Metalfisa'!$A32)</f>
        <v>0</v>
      </c>
      <c r="V32" s="31">
        <f>SUMIFS(METALFISA!$E:$E,METALFISA!$A:$A,'Faltantes Fevereiro- Metalfisa'!V$3,METALFISA!$B:$B,'Faltantes Fevereiro- Metalfisa'!$A32)</f>
        <v>0</v>
      </c>
      <c r="W32" s="31">
        <f>SUMIFS(METALFISA!$E:$E,METALFISA!$A:$A,'Faltantes Fevereiro- Metalfisa'!W$3,METALFISA!$B:$B,'Faltantes Fevereiro- Metalfisa'!$A32)</f>
        <v>0</v>
      </c>
      <c r="X32" s="31">
        <f>SUMIFS(METALFISA!$E:$E,METALFISA!$A:$A,'Faltantes Fevereiro- Metalfisa'!X$3,METALFISA!$B:$B,'Faltantes Fevereiro- Metalfisa'!$A32)</f>
        <v>0</v>
      </c>
      <c r="Y32" s="31">
        <f>SUMIFS(METALFISA!$E:$E,METALFISA!$A:$A,'Faltantes Fevereiro- Metalfisa'!Y$3,METALFISA!$B:$B,'Faltantes Fevereiro- Metalfisa'!$A32)</f>
        <v>0</v>
      </c>
      <c r="Z32" s="31">
        <f>SUMIFS(METALFISA!$E:$E,METALFISA!$A:$A,'Faltantes Fevereiro- Metalfisa'!Z$3,METALFISA!$B:$B,'Faltantes Fevereiro- Metalfisa'!$A32)</f>
        <v>0</v>
      </c>
      <c r="AA32" s="31">
        <f>SUMIFS(METALFISA!$E:$E,METALFISA!$A:$A,'Faltantes Fevereiro- Metalfisa'!AA$3,METALFISA!$B:$B,'Faltantes Fevereiro- Metalfisa'!$A32)</f>
        <v>0</v>
      </c>
      <c r="AB32" s="31">
        <f>SUMIFS(METALFISA!$E:$E,METALFISA!$A:$A,'Faltantes Fevereiro- Metalfisa'!AB$3,METALFISA!$B:$B,'Faltantes Fevereiro- Metalfisa'!$A32)</f>
        <v>0</v>
      </c>
      <c r="AC32" s="31">
        <f>SUMIFS(METALFISA!$E:$E,METALFISA!$A:$A,'Faltantes Fevereiro- Metalfisa'!AC$3,METALFISA!$B:$B,'Faltantes Fevereiro- Metalfisa'!$A32)</f>
        <v>1</v>
      </c>
      <c r="AD32" s="31">
        <f>SUMIFS(METALFISA!$E:$E,METALFISA!$A:$A,'Faltantes Fevereiro- Metalfisa'!AD$3,METALFISA!$B:$B,'Faltantes Fevereiro- Metalfisa'!$A32)</f>
        <v>0</v>
      </c>
      <c r="AE32" s="31">
        <f>SUMIFS(METALFISA!$E:$E,METALFISA!$A:$A,'Faltantes Fevereiro- Metalfisa'!AE$3,METALFISA!$B:$B,'Faltantes Fevereiro- Metalfisa'!$A32)</f>
        <v>0</v>
      </c>
      <c r="AF32" s="31">
        <f>SUMIFS(METALFISA!$E:$E,METALFISA!$A:$A,'Faltantes Fevereiro- Metalfisa'!AF$3,METALFISA!$B:$B,'Faltantes Fevereiro- Metalfisa'!$A32)</f>
        <v>0</v>
      </c>
      <c r="AG32" s="31">
        <f>SUMIFS(METALFISA!$E:$E,METALFISA!$A:$A,'Faltantes Fevereiro- Metalfisa'!AG$3,METALFISA!$B:$B,'Faltantes Fevereiro- Metalfisa'!$A32)</f>
        <v>0</v>
      </c>
      <c r="AH32" s="31">
        <f>SUMIFS(METALFISA!$E:$E,METALFISA!$A:$A,'Faltantes Fevereiro- Metalfisa'!AH$3,METALFISA!$B:$B,'Faltantes Fevereiro- Metalfisa'!$A32)</f>
        <v>0</v>
      </c>
      <c r="AI32" s="31">
        <f>SUMIFS(METALFISA!$E:$E,METALFISA!$A:$A,'Faltantes Fevereiro- Metalfisa'!AI$3,METALFISA!$B:$B,'Faltantes Fevereiro- Metalfisa'!$A32)</f>
        <v>0</v>
      </c>
      <c r="AJ32" s="31">
        <f>SUMIFS(METALFISA!$E:$E,METALFISA!$A:$A,'Faltantes Fevereiro- Metalfisa'!AJ$3,METALFISA!$B:$B,'Faltantes Fevereiro- Metalfisa'!$A32)</f>
        <v>0</v>
      </c>
      <c r="AK32" s="31">
        <f>SUMIFS(METALFISA!$E:$E,METALFISA!$A:$A,'Faltantes Fevereiro- Metalfisa'!AK$3,METALFISA!$B:$B,'Faltantes Fevereiro- Metalfisa'!$A32)</f>
        <v>0</v>
      </c>
      <c r="AL32" s="31">
        <f>SUMIFS(METALFISA!$E:$E,METALFISA!$A:$A,'Faltantes Fevereiro- Metalfisa'!AL$3,METALFISA!$B:$B,'Faltantes Fevereiro- Metalfisa'!$A32)</f>
        <v>0</v>
      </c>
      <c r="AM32" s="31">
        <f>SUMIFS(METALFISA!$E:$E,METALFISA!$A:$A,'Faltantes Fevereiro- Metalfisa'!AM$3,METALFISA!$B:$B,'Faltantes Fevereiro- Metalfisa'!$A32)</f>
        <v>0</v>
      </c>
      <c r="AN32" s="31">
        <f>SUMIFS(METALFISA!$E:$E,METALFISA!$A:$A,'Faltantes Fevereiro- Metalfisa'!AN$3,METALFISA!$B:$B,'Faltantes Fevereiro- Metalfisa'!$A32)</f>
        <v>0</v>
      </c>
      <c r="AO32" s="31">
        <f>SUMIFS(METALFISA!$E:$E,METALFISA!$A:$A,'Faltantes Fevereiro- Metalfisa'!AO$3,METALFISA!$B:$B,'Faltantes Fevereiro- Metalfisa'!$A32)</f>
        <v>0</v>
      </c>
      <c r="AP32" s="31">
        <f>SUMIFS(METALFISA!$E:$E,METALFISA!$A:$A,'Faltantes Fevereiro- Metalfisa'!AP$3,METALFISA!$B:$B,'Faltantes Fevereiro- Metalfisa'!$A32)</f>
        <v>0</v>
      </c>
      <c r="AQ32" s="31"/>
      <c r="AR32" s="31">
        <f>SUMIFS(METALFISA!$E:$E,METALFISA!$A:$A,'Faltantes Fevereiro- Metalfisa'!AR$3,METALFISA!$B:$B,'Faltantes Fevereiro- Metalfisa'!$A32)</f>
        <v>0</v>
      </c>
      <c r="AS32" s="35">
        <f>SUMIFS(METALFISA!$E:$E,METALFISA!$A:$A,'Faltantes Fevereiro- Metalfisa'!AS$3,METALFISA!$B:$B,'Faltantes Fevereiro- Metalfisa'!$A32)</f>
        <v>0</v>
      </c>
      <c r="AU32" s="18">
        <v>0</v>
      </c>
      <c r="AV32" s="18">
        <v>0</v>
      </c>
      <c r="AW32" s="18">
        <v>0</v>
      </c>
      <c r="AX32" s="18">
        <v>0</v>
      </c>
      <c r="AY32" s="41">
        <v>0</v>
      </c>
      <c r="AZ32" s="31">
        <v>0</v>
      </c>
      <c r="BA32" s="31">
        <v>0</v>
      </c>
      <c r="BB32" s="31">
        <v>0</v>
      </c>
      <c r="BC32" s="31">
        <v>0</v>
      </c>
      <c r="BD32" s="31">
        <v>0</v>
      </c>
      <c r="BE32" s="31">
        <v>0</v>
      </c>
      <c r="BF32" s="31">
        <v>0</v>
      </c>
      <c r="BG32" s="31">
        <v>0</v>
      </c>
      <c r="BH32" s="31">
        <v>0</v>
      </c>
      <c r="BI32" s="31">
        <v>0</v>
      </c>
      <c r="BJ32" s="31">
        <v>0</v>
      </c>
      <c r="BK32" s="31">
        <v>0</v>
      </c>
      <c r="BL32" s="31">
        <v>0</v>
      </c>
      <c r="BM32" s="31">
        <v>1</v>
      </c>
      <c r="BN32" s="31">
        <v>0</v>
      </c>
      <c r="BO32" s="31">
        <v>0</v>
      </c>
      <c r="BP32" s="31">
        <v>0</v>
      </c>
      <c r="BQ32" s="31">
        <v>0</v>
      </c>
      <c r="BR32" s="31">
        <v>0</v>
      </c>
      <c r="BS32" s="31">
        <v>0</v>
      </c>
      <c r="BT32" s="31">
        <v>0</v>
      </c>
      <c r="BU32" s="31">
        <v>0</v>
      </c>
      <c r="BV32" s="31">
        <v>0</v>
      </c>
      <c r="BW32" s="31">
        <v>0</v>
      </c>
      <c r="BX32" s="31">
        <v>0</v>
      </c>
      <c r="BY32" s="31">
        <v>0</v>
      </c>
      <c r="BZ32" s="31">
        <v>0</v>
      </c>
      <c r="CA32" s="31">
        <v>0</v>
      </c>
      <c r="CB32" s="31">
        <v>0</v>
      </c>
      <c r="CC32" s="31">
        <v>0</v>
      </c>
      <c r="CD32" s="31">
        <v>0</v>
      </c>
      <c r="CE32" s="31">
        <v>0</v>
      </c>
      <c r="CF32" s="31">
        <v>0</v>
      </c>
      <c r="CG32" s="31">
        <v>0</v>
      </c>
      <c r="CH32" s="31">
        <v>0</v>
      </c>
      <c r="CI32" s="31">
        <v>0</v>
      </c>
      <c r="CJ32" s="31">
        <v>0</v>
      </c>
      <c r="CK32" s="31">
        <v>0</v>
      </c>
      <c r="CL32" s="35">
        <v>0</v>
      </c>
    </row>
    <row r="33" spans="1:90" ht="21" x14ac:dyDescent="0.15">
      <c r="A33" s="27" t="s">
        <v>569</v>
      </c>
      <c r="B33" s="28" t="s">
        <v>570</v>
      </c>
      <c r="C33" s="28">
        <v>0</v>
      </c>
      <c r="D33" s="28">
        <v>0</v>
      </c>
      <c r="E33" s="28">
        <v>0</v>
      </c>
      <c r="F33" s="28">
        <v>0</v>
      </c>
      <c r="G33" s="28">
        <v>2</v>
      </c>
      <c r="H33" s="28">
        <f>IFERROR(VLOOKUP(A33,[1]FALTANTES!$A:$AB,28,FALSE),"-")</f>
        <v>0</v>
      </c>
      <c r="I33" s="42">
        <f>IFERROR(VLOOKUP(A33,[1]FALTANTES!$A:$AC,29,FALSE),"-")</f>
        <v>0</v>
      </c>
      <c r="J33" s="29">
        <f>IFERROR(VLOOKUP(A33,[1]FALTANTES!$A:$AD,30,FALSE),"-")</f>
        <v>-2</v>
      </c>
      <c r="K33" s="30">
        <v>0</v>
      </c>
      <c r="L33" s="30">
        <f t="shared" si="0"/>
        <v>2</v>
      </c>
      <c r="M33" s="31">
        <f>SUMIFS(METALFISA!$E:$E,METALFISA!$A:$A,'Faltantes Fevereiro- Metalfisa'!M$3,METALFISA!$B:$B,'Faltantes Fevereiro- Metalfisa'!$A33)</f>
        <v>0</v>
      </c>
      <c r="N33" s="31">
        <f>SUMIFS(METALFISA!$E:$E,METALFISA!$A:$A,'Faltantes Fevereiro- Metalfisa'!N$3,METALFISA!$B:$B,'Faltantes Fevereiro- Metalfisa'!$A33)</f>
        <v>0</v>
      </c>
      <c r="O33" s="31">
        <f>SUMIFS(METALFISA!$E:$E,METALFISA!$A:$A,'Faltantes Fevereiro- Metalfisa'!O$3,METALFISA!$B:$B,'Faltantes Fevereiro- Metalfisa'!$A33)</f>
        <v>0</v>
      </c>
      <c r="P33" s="31">
        <f>SUMIFS(METALFISA!$E:$E,METALFISA!$A:$A,'Faltantes Fevereiro- Metalfisa'!P$3,METALFISA!$B:$B,'Faltantes Fevereiro- Metalfisa'!$A33)</f>
        <v>0</v>
      </c>
      <c r="Q33" s="31">
        <f>SUMIFS(METALFISA!$E:$E,METALFISA!$A:$A,'Faltantes Fevereiro- Metalfisa'!Q$3,METALFISA!$B:$B,'Faltantes Fevereiro- Metalfisa'!$A33)</f>
        <v>0</v>
      </c>
      <c r="R33" s="31">
        <f>SUMIFS(METALFISA!$E:$E,METALFISA!$A:$A,'Faltantes Fevereiro- Metalfisa'!R$3,METALFISA!$B:$B,'Faltantes Fevereiro- Metalfisa'!$A33)</f>
        <v>0</v>
      </c>
      <c r="S33" s="31">
        <f>SUMIFS(METALFISA!$E:$E,METALFISA!$A:$A,'Faltantes Fevereiro- Metalfisa'!S$3,METALFISA!$B:$B,'Faltantes Fevereiro- Metalfisa'!$A33)</f>
        <v>0</v>
      </c>
      <c r="T33" s="31">
        <f>SUMIFS(METALFISA!$E:$E,METALFISA!$A:$A,'Faltantes Fevereiro- Metalfisa'!T$3,METALFISA!$B:$B,'Faltantes Fevereiro- Metalfisa'!$A33)</f>
        <v>0</v>
      </c>
      <c r="U33" s="31">
        <f>SUMIFS(METALFISA!$E:$E,METALFISA!$A:$A,'Faltantes Fevereiro- Metalfisa'!U$3,METALFISA!$B:$B,'Faltantes Fevereiro- Metalfisa'!$A33)</f>
        <v>0</v>
      </c>
      <c r="V33" s="31">
        <f>SUMIFS(METALFISA!$E:$E,METALFISA!$A:$A,'Faltantes Fevereiro- Metalfisa'!V$3,METALFISA!$B:$B,'Faltantes Fevereiro- Metalfisa'!$A33)</f>
        <v>0</v>
      </c>
      <c r="W33" s="31">
        <f>SUMIFS(METALFISA!$E:$E,METALFISA!$A:$A,'Faltantes Fevereiro- Metalfisa'!W$3,METALFISA!$B:$B,'Faltantes Fevereiro- Metalfisa'!$A33)</f>
        <v>0</v>
      </c>
      <c r="X33" s="31">
        <f>SUMIFS(METALFISA!$E:$E,METALFISA!$A:$A,'Faltantes Fevereiro- Metalfisa'!X$3,METALFISA!$B:$B,'Faltantes Fevereiro- Metalfisa'!$A33)</f>
        <v>0</v>
      </c>
      <c r="Y33" s="31">
        <f>SUMIFS(METALFISA!$E:$E,METALFISA!$A:$A,'Faltantes Fevereiro- Metalfisa'!Y$3,METALFISA!$B:$B,'Faltantes Fevereiro- Metalfisa'!$A33)</f>
        <v>0</v>
      </c>
      <c r="Z33" s="31">
        <f>SUMIFS(METALFISA!$E:$E,METALFISA!$A:$A,'Faltantes Fevereiro- Metalfisa'!Z$3,METALFISA!$B:$B,'Faltantes Fevereiro- Metalfisa'!$A33)</f>
        <v>0</v>
      </c>
      <c r="AA33" s="31">
        <f>SUMIFS(METALFISA!$E:$E,METALFISA!$A:$A,'Faltantes Fevereiro- Metalfisa'!AA$3,METALFISA!$B:$B,'Faltantes Fevereiro- Metalfisa'!$A33)</f>
        <v>0</v>
      </c>
      <c r="AB33" s="31">
        <f>SUMIFS(METALFISA!$E:$E,METALFISA!$A:$A,'Faltantes Fevereiro- Metalfisa'!AB$3,METALFISA!$B:$B,'Faltantes Fevereiro- Metalfisa'!$A33)</f>
        <v>0</v>
      </c>
      <c r="AC33" s="31">
        <f>SUMIFS(METALFISA!$E:$E,METALFISA!$A:$A,'Faltantes Fevereiro- Metalfisa'!AC$3,METALFISA!$B:$B,'Faltantes Fevereiro- Metalfisa'!$A33)</f>
        <v>0</v>
      </c>
      <c r="AD33" s="31">
        <f>SUMIFS(METALFISA!$E:$E,METALFISA!$A:$A,'Faltantes Fevereiro- Metalfisa'!AD$3,METALFISA!$B:$B,'Faltantes Fevereiro- Metalfisa'!$A33)</f>
        <v>0</v>
      </c>
      <c r="AE33" s="31">
        <f>SUMIFS(METALFISA!$E:$E,METALFISA!$A:$A,'Faltantes Fevereiro- Metalfisa'!AE$3,METALFISA!$B:$B,'Faltantes Fevereiro- Metalfisa'!$A33)</f>
        <v>0</v>
      </c>
      <c r="AF33" s="31">
        <f>SUMIFS(METALFISA!$E:$E,METALFISA!$A:$A,'Faltantes Fevereiro- Metalfisa'!AF$3,METALFISA!$B:$B,'Faltantes Fevereiro- Metalfisa'!$A33)</f>
        <v>0</v>
      </c>
      <c r="AG33" s="31">
        <f>SUMIFS(METALFISA!$E:$E,METALFISA!$A:$A,'Faltantes Fevereiro- Metalfisa'!AG$3,METALFISA!$B:$B,'Faltantes Fevereiro- Metalfisa'!$A33)</f>
        <v>2</v>
      </c>
      <c r="AH33" s="31">
        <f>SUMIFS(METALFISA!$E:$E,METALFISA!$A:$A,'Faltantes Fevereiro- Metalfisa'!AH$3,METALFISA!$B:$B,'Faltantes Fevereiro- Metalfisa'!$A33)</f>
        <v>0</v>
      </c>
      <c r="AI33" s="31">
        <f>SUMIFS(METALFISA!$E:$E,METALFISA!$A:$A,'Faltantes Fevereiro- Metalfisa'!AI$3,METALFISA!$B:$B,'Faltantes Fevereiro- Metalfisa'!$A33)</f>
        <v>0</v>
      </c>
      <c r="AJ33" s="31">
        <f>SUMIFS(METALFISA!$E:$E,METALFISA!$A:$A,'Faltantes Fevereiro- Metalfisa'!AJ$3,METALFISA!$B:$B,'Faltantes Fevereiro- Metalfisa'!$A33)</f>
        <v>0</v>
      </c>
      <c r="AK33" s="31">
        <f>SUMIFS(METALFISA!$E:$E,METALFISA!$A:$A,'Faltantes Fevereiro- Metalfisa'!AK$3,METALFISA!$B:$B,'Faltantes Fevereiro- Metalfisa'!$A33)</f>
        <v>0</v>
      </c>
      <c r="AL33" s="31">
        <f>SUMIFS(METALFISA!$E:$E,METALFISA!$A:$A,'Faltantes Fevereiro- Metalfisa'!AL$3,METALFISA!$B:$B,'Faltantes Fevereiro- Metalfisa'!$A33)</f>
        <v>0</v>
      </c>
      <c r="AM33" s="31">
        <f>SUMIFS(METALFISA!$E:$E,METALFISA!$A:$A,'Faltantes Fevereiro- Metalfisa'!AM$3,METALFISA!$B:$B,'Faltantes Fevereiro- Metalfisa'!$A33)</f>
        <v>0</v>
      </c>
      <c r="AN33" s="31">
        <f>SUMIFS(METALFISA!$E:$E,METALFISA!$A:$A,'Faltantes Fevereiro- Metalfisa'!AN$3,METALFISA!$B:$B,'Faltantes Fevereiro- Metalfisa'!$A33)</f>
        <v>0</v>
      </c>
      <c r="AO33" s="31">
        <f>SUMIFS(METALFISA!$E:$E,METALFISA!$A:$A,'Faltantes Fevereiro- Metalfisa'!AO$3,METALFISA!$B:$B,'Faltantes Fevereiro- Metalfisa'!$A33)</f>
        <v>0</v>
      </c>
      <c r="AP33" s="31">
        <f>SUMIFS(METALFISA!$E:$E,METALFISA!$A:$A,'Faltantes Fevereiro- Metalfisa'!AP$3,METALFISA!$B:$B,'Faltantes Fevereiro- Metalfisa'!$A33)</f>
        <v>0</v>
      </c>
      <c r="AQ33" s="31"/>
      <c r="AR33" s="31">
        <f>SUMIFS(METALFISA!$E:$E,METALFISA!$A:$A,'Faltantes Fevereiro- Metalfisa'!AR$3,METALFISA!$B:$B,'Faltantes Fevereiro- Metalfisa'!$A33)</f>
        <v>0</v>
      </c>
      <c r="AS33" s="35">
        <f>SUMIFS(METALFISA!$E:$E,METALFISA!$A:$A,'Faltantes Fevereiro- Metalfisa'!AS$3,METALFISA!$B:$B,'Faltantes Fevereiro- Metalfisa'!$A33)</f>
        <v>0</v>
      </c>
      <c r="AU33" s="18">
        <v>0</v>
      </c>
      <c r="AV33" s="18">
        <v>0</v>
      </c>
      <c r="AW33" s="18">
        <v>0</v>
      </c>
      <c r="AX33" s="18">
        <v>0</v>
      </c>
      <c r="AY33" s="41">
        <v>0</v>
      </c>
      <c r="AZ33" s="31">
        <v>0</v>
      </c>
      <c r="BA33" s="31">
        <v>0</v>
      </c>
      <c r="BB33" s="31">
        <v>0</v>
      </c>
      <c r="BC33" s="31">
        <v>0</v>
      </c>
      <c r="BD33" s="31">
        <v>0</v>
      </c>
      <c r="BE33" s="31">
        <v>0</v>
      </c>
      <c r="BF33" s="31">
        <v>0</v>
      </c>
      <c r="BG33" s="31">
        <v>0</v>
      </c>
      <c r="BH33" s="31">
        <v>0</v>
      </c>
      <c r="BI33" s="31">
        <v>0</v>
      </c>
      <c r="BJ33" s="31">
        <v>0</v>
      </c>
      <c r="BK33" s="31">
        <v>0</v>
      </c>
      <c r="BL33" s="31">
        <v>0</v>
      </c>
      <c r="BM33" s="31">
        <v>2</v>
      </c>
      <c r="BN33" s="31">
        <v>0</v>
      </c>
      <c r="BO33" s="31">
        <v>0</v>
      </c>
      <c r="BP33" s="31">
        <v>0</v>
      </c>
      <c r="BQ33" s="31">
        <v>0</v>
      </c>
      <c r="BR33" s="31">
        <v>0</v>
      </c>
      <c r="BS33" s="31">
        <v>0</v>
      </c>
      <c r="BT33" s="31">
        <v>0</v>
      </c>
      <c r="BU33" s="31">
        <v>0</v>
      </c>
      <c r="BV33" s="31">
        <v>0</v>
      </c>
      <c r="BW33" s="31">
        <v>0</v>
      </c>
      <c r="BX33" s="31">
        <v>0</v>
      </c>
      <c r="BY33" s="31">
        <v>0</v>
      </c>
      <c r="BZ33" s="31">
        <v>0</v>
      </c>
      <c r="CA33" s="31">
        <v>0</v>
      </c>
      <c r="CB33" s="31">
        <v>0</v>
      </c>
      <c r="CC33" s="31">
        <v>0</v>
      </c>
      <c r="CD33" s="31">
        <v>0</v>
      </c>
      <c r="CE33" s="31">
        <v>0</v>
      </c>
      <c r="CF33" s="31">
        <v>0</v>
      </c>
      <c r="CG33" s="31">
        <v>0</v>
      </c>
      <c r="CH33" s="31">
        <v>0</v>
      </c>
      <c r="CI33" s="31">
        <v>0</v>
      </c>
      <c r="CJ33" s="31">
        <v>0</v>
      </c>
      <c r="CK33" s="31">
        <v>0</v>
      </c>
      <c r="CL33" s="35">
        <v>0</v>
      </c>
    </row>
    <row r="34" spans="1:90" ht="21" x14ac:dyDescent="0.15">
      <c r="A34" s="27" t="s">
        <v>571</v>
      </c>
      <c r="B34" s="28" t="s">
        <v>572</v>
      </c>
      <c r="C34" s="28">
        <v>0</v>
      </c>
      <c r="D34" s="28">
        <v>0</v>
      </c>
      <c r="E34" s="28">
        <v>0</v>
      </c>
      <c r="F34" s="28">
        <v>0</v>
      </c>
      <c r="G34" s="28">
        <v>2</v>
      </c>
      <c r="H34" s="28">
        <f>IFERROR(VLOOKUP(A34,[1]FALTANTES!$A:$AB,28,FALSE),"-")</f>
        <v>0</v>
      </c>
      <c r="I34" s="42">
        <f>IFERROR(VLOOKUP(A34,[1]FALTANTES!$A:$AC,29,FALSE),"-")</f>
        <v>0</v>
      </c>
      <c r="J34" s="29">
        <f>IFERROR(VLOOKUP(A34,[1]FALTANTES!$A:$AD,30,FALSE),"-")</f>
        <v>-2</v>
      </c>
      <c r="K34" s="30">
        <v>0</v>
      </c>
      <c r="L34" s="30">
        <f t="shared" si="0"/>
        <v>2</v>
      </c>
      <c r="M34" s="31">
        <f>SUMIFS(METALFISA!$E:$E,METALFISA!$A:$A,'Faltantes Fevereiro- Metalfisa'!M$3,METALFISA!$B:$B,'Faltantes Fevereiro- Metalfisa'!$A34)</f>
        <v>0</v>
      </c>
      <c r="N34" s="31">
        <f>SUMIFS(METALFISA!$E:$E,METALFISA!$A:$A,'Faltantes Fevereiro- Metalfisa'!N$3,METALFISA!$B:$B,'Faltantes Fevereiro- Metalfisa'!$A34)</f>
        <v>0</v>
      </c>
      <c r="O34" s="31">
        <f>SUMIFS(METALFISA!$E:$E,METALFISA!$A:$A,'Faltantes Fevereiro- Metalfisa'!O$3,METALFISA!$B:$B,'Faltantes Fevereiro- Metalfisa'!$A34)</f>
        <v>0</v>
      </c>
      <c r="P34" s="31">
        <f>SUMIFS(METALFISA!$E:$E,METALFISA!$A:$A,'Faltantes Fevereiro- Metalfisa'!P$3,METALFISA!$B:$B,'Faltantes Fevereiro- Metalfisa'!$A34)</f>
        <v>0</v>
      </c>
      <c r="Q34" s="31">
        <f>SUMIFS(METALFISA!$E:$E,METALFISA!$A:$A,'Faltantes Fevereiro- Metalfisa'!Q$3,METALFISA!$B:$B,'Faltantes Fevereiro- Metalfisa'!$A34)</f>
        <v>0</v>
      </c>
      <c r="R34" s="31">
        <f>SUMIFS(METALFISA!$E:$E,METALFISA!$A:$A,'Faltantes Fevereiro- Metalfisa'!R$3,METALFISA!$B:$B,'Faltantes Fevereiro- Metalfisa'!$A34)</f>
        <v>0</v>
      </c>
      <c r="S34" s="31">
        <f>SUMIFS(METALFISA!$E:$E,METALFISA!$A:$A,'Faltantes Fevereiro- Metalfisa'!S$3,METALFISA!$B:$B,'Faltantes Fevereiro- Metalfisa'!$A34)</f>
        <v>0</v>
      </c>
      <c r="T34" s="31">
        <f>SUMIFS(METALFISA!$E:$E,METALFISA!$A:$A,'Faltantes Fevereiro- Metalfisa'!T$3,METALFISA!$B:$B,'Faltantes Fevereiro- Metalfisa'!$A34)</f>
        <v>0</v>
      </c>
      <c r="U34" s="31">
        <f>SUMIFS(METALFISA!$E:$E,METALFISA!$A:$A,'Faltantes Fevereiro- Metalfisa'!U$3,METALFISA!$B:$B,'Faltantes Fevereiro- Metalfisa'!$A34)</f>
        <v>0</v>
      </c>
      <c r="V34" s="31">
        <f>SUMIFS(METALFISA!$E:$E,METALFISA!$A:$A,'Faltantes Fevereiro- Metalfisa'!V$3,METALFISA!$B:$B,'Faltantes Fevereiro- Metalfisa'!$A34)</f>
        <v>0</v>
      </c>
      <c r="W34" s="31">
        <f>SUMIFS(METALFISA!$E:$E,METALFISA!$A:$A,'Faltantes Fevereiro- Metalfisa'!W$3,METALFISA!$B:$B,'Faltantes Fevereiro- Metalfisa'!$A34)</f>
        <v>0</v>
      </c>
      <c r="X34" s="31">
        <f>SUMIFS(METALFISA!$E:$E,METALFISA!$A:$A,'Faltantes Fevereiro- Metalfisa'!X$3,METALFISA!$B:$B,'Faltantes Fevereiro- Metalfisa'!$A34)</f>
        <v>0</v>
      </c>
      <c r="Y34" s="31">
        <f>SUMIFS(METALFISA!$E:$E,METALFISA!$A:$A,'Faltantes Fevereiro- Metalfisa'!Y$3,METALFISA!$B:$B,'Faltantes Fevereiro- Metalfisa'!$A34)</f>
        <v>0</v>
      </c>
      <c r="Z34" s="31">
        <f>SUMIFS(METALFISA!$E:$E,METALFISA!$A:$A,'Faltantes Fevereiro- Metalfisa'!Z$3,METALFISA!$B:$B,'Faltantes Fevereiro- Metalfisa'!$A34)</f>
        <v>0</v>
      </c>
      <c r="AA34" s="31">
        <f>SUMIFS(METALFISA!$E:$E,METALFISA!$A:$A,'Faltantes Fevereiro- Metalfisa'!AA$3,METALFISA!$B:$B,'Faltantes Fevereiro- Metalfisa'!$A34)</f>
        <v>0</v>
      </c>
      <c r="AB34" s="31">
        <f>SUMIFS(METALFISA!$E:$E,METALFISA!$A:$A,'Faltantes Fevereiro- Metalfisa'!AB$3,METALFISA!$B:$B,'Faltantes Fevereiro- Metalfisa'!$A34)</f>
        <v>0</v>
      </c>
      <c r="AC34" s="31">
        <f>SUMIFS(METALFISA!$E:$E,METALFISA!$A:$A,'Faltantes Fevereiro- Metalfisa'!AC$3,METALFISA!$B:$B,'Faltantes Fevereiro- Metalfisa'!$A34)</f>
        <v>0</v>
      </c>
      <c r="AD34" s="31">
        <f>SUMIFS(METALFISA!$E:$E,METALFISA!$A:$A,'Faltantes Fevereiro- Metalfisa'!AD$3,METALFISA!$B:$B,'Faltantes Fevereiro- Metalfisa'!$A34)</f>
        <v>0</v>
      </c>
      <c r="AE34" s="31">
        <f>SUMIFS(METALFISA!$E:$E,METALFISA!$A:$A,'Faltantes Fevereiro- Metalfisa'!AE$3,METALFISA!$B:$B,'Faltantes Fevereiro- Metalfisa'!$A34)</f>
        <v>0</v>
      </c>
      <c r="AF34" s="31">
        <f>SUMIFS(METALFISA!$E:$E,METALFISA!$A:$A,'Faltantes Fevereiro- Metalfisa'!AF$3,METALFISA!$B:$B,'Faltantes Fevereiro- Metalfisa'!$A34)</f>
        <v>0</v>
      </c>
      <c r="AG34" s="31">
        <f>SUMIFS(METALFISA!$E:$E,METALFISA!$A:$A,'Faltantes Fevereiro- Metalfisa'!AG$3,METALFISA!$B:$B,'Faltantes Fevereiro- Metalfisa'!$A34)</f>
        <v>2</v>
      </c>
      <c r="AH34" s="31">
        <f>SUMIFS(METALFISA!$E:$E,METALFISA!$A:$A,'Faltantes Fevereiro- Metalfisa'!AH$3,METALFISA!$B:$B,'Faltantes Fevereiro- Metalfisa'!$A34)</f>
        <v>0</v>
      </c>
      <c r="AI34" s="31">
        <f>SUMIFS(METALFISA!$E:$E,METALFISA!$A:$A,'Faltantes Fevereiro- Metalfisa'!AI$3,METALFISA!$B:$B,'Faltantes Fevereiro- Metalfisa'!$A34)</f>
        <v>0</v>
      </c>
      <c r="AJ34" s="31">
        <f>SUMIFS(METALFISA!$E:$E,METALFISA!$A:$A,'Faltantes Fevereiro- Metalfisa'!AJ$3,METALFISA!$B:$B,'Faltantes Fevereiro- Metalfisa'!$A34)</f>
        <v>0</v>
      </c>
      <c r="AK34" s="31">
        <f>SUMIFS(METALFISA!$E:$E,METALFISA!$A:$A,'Faltantes Fevereiro- Metalfisa'!AK$3,METALFISA!$B:$B,'Faltantes Fevereiro- Metalfisa'!$A34)</f>
        <v>0</v>
      </c>
      <c r="AL34" s="31">
        <f>SUMIFS(METALFISA!$E:$E,METALFISA!$A:$A,'Faltantes Fevereiro- Metalfisa'!AL$3,METALFISA!$B:$B,'Faltantes Fevereiro- Metalfisa'!$A34)</f>
        <v>0</v>
      </c>
      <c r="AM34" s="31">
        <f>SUMIFS(METALFISA!$E:$E,METALFISA!$A:$A,'Faltantes Fevereiro- Metalfisa'!AM$3,METALFISA!$B:$B,'Faltantes Fevereiro- Metalfisa'!$A34)</f>
        <v>0</v>
      </c>
      <c r="AN34" s="31">
        <f>SUMIFS(METALFISA!$E:$E,METALFISA!$A:$A,'Faltantes Fevereiro- Metalfisa'!AN$3,METALFISA!$B:$B,'Faltantes Fevereiro- Metalfisa'!$A34)</f>
        <v>0</v>
      </c>
      <c r="AO34" s="31">
        <f>SUMIFS(METALFISA!$E:$E,METALFISA!$A:$A,'Faltantes Fevereiro- Metalfisa'!AO$3,METALFISA!$B:$B,'Faltantes Fevereiro- Metalfisa'!$A34)</f>
        <v>0</v>
      </c>
      <c r="AP34" s="31">
        <f>SUMIFS(METALFISA!$E:$E,METALFISA!$A:$A,'Faltantes Fevereiro- Metalfisa'!AP$3,METALFISA!$B:$B,'Faltantes Fevereiro- Metalfisa'!$A34)</f>
        <v>0</v>
      </c>
      <c r="AQ34" s="31"/>
      <c r="AR34" s="31">
        <f>SUMIFS(METALFISA!$E:$E,METALFISA!$A:$A,'Faltantes Fevereiro- Metalfisa'!AR$3,METALFISA!$B:$B,'Faltantes Fevereiro- Metalfisa'!$A34)</f>
        <v>0</v>
      </c>
      <c r="AS34" s="35">
        <f>SUMIFS(METALFISA!$E:$E,METALFISA!$A:$A,'Faltantes Fevereiro- Metalfisa'!AS$3,METALFISA!$B:$B,'Faltantes Fevereiro- Metalfisa'!$A34)</f>
        <v>0</v>
      </c>
      <c r="AU34" s="18">
        <v>0</v>
      </c>
      <c r="AV34" s="18">
        <v>0</v>
      </c>
      <c r="AW34" s="18">
        <v>0</v>
      </c>
      <c r="AX34" s="18">
        <v>0</v>
      </c>
      <c r="AY34" s="41">
        <v>0</v>
      </c>
      <c r="AZ34" s="31">
        <v>0</v>
      </c>
      <c r="BA34" s="31">
        <v>0</v>
      </c>
      <c r="BB34" s="31">
        <v>0</v>
      </c>
      <c r="BC34" s="31">
        <v>0</v>
      </c>
      <c r="BD34" s="31">
        <v>0</v>
      </c>
      <c r="BE34" s="31">
        <v>0</v>
      </c>
      <c r="BF34" s="31">
        <v>0</v>
      </c>
      <c r="BG34" s="31">
        <v>0</v>
      </c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1</v>
      </c>
      <c r="BN34" s="31">
        <v>0</v>
      </c>
      <c r="BO34" s="31">
        <v>0</v>
      </c>
      <c r="BP34" s="31">
        <v>0</v>
      </c>
      <c r="BQ34" s="31">
        <v>0</v>
      </c>
      <c r="BR34" s="31">
        <v>0</v>
      </c>
      <c r="BS34" s="31">
        <v>0</v>
      </c>
      <c r="BT34" s="31">
        <v>0</v>
      </c>
      <c r="BU34" s="31">
        <v>0</v>
      </c>
      <c r="BV34" s="31">
        <v>0</v>
      </c>
      <c r="BW34" s="31">
        <v>0</v>
      </c>
      <c r="BX34" s="31">
        <v>0</v>
      </c>
      <c r="BY34" s="31">
        <v>0</v>
      </c>
      <c r="BZ34" s="31">
        <v>0</v>
      </c>
      <c r="CA34" s="31">
        <v>0</v>
      </c>
      <c r="CB34" s="31">
        <v>0</v>
      </c>
      <c r="CC34" s="31">
        <v>0</v>
      </c>
      <c r="CD34" s="31">
        <v>0</v>
      </c>
      <c r="CE34" s="31">
        <v>0</v>
      </c>
      <c r="CF34" s="31">
        <v>0</v>
      </c>
      <c r="CG34" s="31">
        <v>0</v>
      </c>
      <c r="CH34" s="31">
        <v>0</v>
      </c>
      <c r="CI34" s="31">
        <v>0</v>
      </c>
      <c r="CJ34" s="31">
        <v>0</v>
      </c>
      <c r="CK34" s="31">
        <v>0</v>
      </c>
      <c r="CL34" s="35">
        <v>0</v>
      </c>
    </row>
    <row r="35" spans="1:90" ht="21" x14ac:dyDescent="0.15">
      <c r="A35" s="27" t="s">
        <v>199</v>
      </c>
      <c r="B35" s="28" t="s">
        <v>200</v>
      </c>
      <c r="C35" s="28">
        <v>0</v>
      </c>
      <c r="D35" s="28">
        <v>0</v>
      </c>
      <c r="E35" s="28">
        <v>0</v>
      </c>
      <c r="F35" s="28">
        <v>0</v>
      </c>
      <c r="G35" s="28">
        <v>2</v>
      </c>
      <c r="H35" s="28">
        <f>IFERROR(VLOOKUP(A35,[1]FALTANTES!$A:$AB,28,FALSE),"-")</f>
        <v>0</v>
      </c>
      <c r="I35" s="42">
        <f>IFERROR(VLOOKUP(A35,[1]FALTANTES!$A:$AC,29,FALSE),"-")</f>
        <v>0</v>
      </c>
      <c r="J35" s="29">
        <f>IFERROR(VLOOKUP(A35,[1]FALTANTES!$A:$AD,30,FALSE),"-")</f>
        <v>-2</v>
      </c>
      <c r="K35" s="30">
        <v>0</v>
      </c>
      <c r="L35" s="30">
        <f t="shared" si="0"/>
        <v>2</v>
      </c>
      <c r="M35" s="31">
        <f>SUMIFS(METALFISA!$E:$E,METALFISA!$A:$A,'Faltantes Fevereiro- Metalfisa'!M$3,METALFISA!$B:$B,'Faltantes Fevereiro- Metalfisa'!$A35)</f>
        <v>0</v>
      </c>
      <c r="N35" s="31">
        <f>SUMIFS(METALFISA!$E:$E,METALFISA!$A:$A,'Faltantes Fevereiro- Metalfisa'!N$3,METALFISA!$B:$B,'Faltantes Fevereiro- Metalfisa'!$A35)</f>
        <v>0</v>
      </c>
      <c r="O35" s="31">
        <f>SUMIFS(METALFISA!$E:$E,METALFISA!$A:$A,'Faltantes Fevereiro- Metalfisa'!O$3,METALFISA!$B:$B,'Faltantes Fevereiro- Metalfisa'!$A35)</f>
        <v>0</v>
      </c>
      <c r="P35" s="31">
        <f>SUMIFS(METALFISA!$E:$E,METALFISA!$A:$A,'Faltantes Fevereiro- Metalfisa'!P$3,METALFISA!$B:$B,'Faltantes Fevereiro- Metalfisa'!$A35)</f>
        <v>0</v>
      </c>
      <c r="Q35" s="31">
        <f>SUMIFS(METALFISA!$E:$E,METALFISA!$A:$A,'Faltantes Fevereiro- Metalfisa'!Q$3,METALFISA!$B:$B,'Faltantes Fevereiro- Metalfisa'!$A35)</f>
        <v>0</v>
      </c>
      <c r="R35" s="31">
        <f>SUMIFS(METALFISA!$E:$E,METALFISA!$A:$A,'Faltantes Fevereiro- Metalfisa'!R$3,METALFISA!$B:$B,'Faltantes Fevereiro- Metalfisa'!$A35)</f>
        <v>0</v>
      </c>
      <c r="S35" s="31">
        <f>SUMIFS(METALFISA!$E:$E,METALFISA!$A:$A,'Faltantes Fevereiro- Metalfisa'!S$3,METALFISA!$B:$B,'Faltantes Fevereiro- Metalfisa'!$A35)</f>
        <v>0</v>
      </c>
      <c r="T35" s="31">
        <f>SUMIFS(METALFISA!$E:$E,METALFISA!$A:$A,'Faltantes Fevereiro- Metalfisa'!T$3,METALFISA!$B:$B,'Faltantes Fevereiro- Metalfisa'!$A35)</f>
        <v>0</v>
      </c>
      <c r="U35" s="31">
        <f>SUMIFS(METALFISA!$E:$E,METALFISA!$A:$A,'Faltantes Fevereiro- Metalfisa'!U$3,METALFISA!$B:$B,'Faltantes Fevereiro- Metalfisa'!$A35)</f>
        <v>0</v>
      </c>
      <c r="V35" s="31">
        <f>SUMIFS(METALFISA!$E:$E,METALFISA!$A:$A,'Faltantes Fevereiro- Metalfisa'!V$3,METALFISA!$B:$B,'Faltantes Fevereiro- Metalfisa'!$A35)</f>
        <v>0</v>
      </c>
      <c r="W35" s="31">
        <f>SUMIFS(METALFISA!$E:$E,METALFISA!$A:$A,'Faltantes Fevereiro- Metalfisa'!W$3,METALFISA!$B:$B,'Faltantes Fevereiro- Metalfisa'!$A35)</f>
        <v>0</v>
      </c>
      <c r="X35" s="31">
        <f>SUMIFS(METALFISA!$E:$E,METALFISA!$A:$A,'Faltantes Fevereiro- Metalfisa'!X$3,METALFISA!$B:$B,'Faltantes Fevereiro- Metalfisa'!$A35)</f>
        <v>0</v>
      </c>
      <c r="Y35" s="31">
        <f>SUMIFS(METALFISA!$E:$E,METALFISA!$A:$A,'Faltantes Fevereiro- Metalfisa'!Y$3,METALFISA!$B:$B,'Faltantes Fevereiro- Metalfisa'!$A35)</f>
        <v>0</v>
      </c>
      <c r="Z35" s="31">
        <f>SUMIFS(METALFISA!$E:$E,METALFISA!$A:$A,'Faltantes Fevereiro- Metalfisa'!Z$3,METALFISA!$B:$B,'Faltantes Fevereiro- Metalfisa'!$A35)</f>
        <v>0</v>
      </c>
      <c r="AA35" s="31">
        <f>SUMIFS(METALFISA!$E:$E,METALFISA!$A:$A,'Faltantes Fevereiro- Metalfisa'!AA$3,METALFISA!$B:$B,'Faltantes Fevereiro- Metalfisa'!$A35)</f>
        <v>0</v>
      </c>
      <c r="AB35" s="31">
        <f>SUMIFS(METALFISA!$E:$E,METALFISA!$A:$A,'Faltantes Fevereiro- Metalfisa'!AB$3,METALFISA!$B:$B,'Faltantes Fevereiro- Metalfisa'!$A35)</f>
        <v>0</v>
      </c>
      <c r="AC35" s="31">
        <f>SUMIFS(METALFISA!$E:$E,METALFISA!$A:$A,'Faltantes Fevereiro- Metalfisa'!AC$3,METALFISA!$B:$B,'Faltantes Fevereiro- Metalfisa'!$A35)</f>
        <v>0</v>
      </c>
      <c r="AD35" s="31">
        <f>SUMIFS(METALFISA!$E:$E,METALFISA!$A:$A,'Faltantes Fevereiro- Metalfisa'!AD$3,METALFISA!$B:$B,'Faltantes Fevereiro- Metalfisa'!$A35)</f>
        <v>0</v>
      </c>
      <c r="AE35" s="31">
        <f>SUMIFS(METALFISA!$E:$E,METALFISA!$A:$A,'Faltantes Fevereiro- Metalfisa'!AE$3,METALFISA!$B:$B,'Faltantes Fevereiro- Metalfisa'!$A35)</f>
        <v>0</v>
      </c>
      <c r="AF35" s="31">
        <f>SUMIFS(METALFISA!$E:$E,METALFISA!$A:$A,'Faltantes Fevereiro- Metalfisa'!AF$3,METALFISA!$B:$B,'Faltantes Fevereiro- Metalfisa'!$A35)</f>
        <v>0</v>
      </c>
      <c r="AG35" s="31">
        <f>SUMIFS(METALFISA!$E:$E,METALFISA!$A:$A,'Faltantes Fevereiro- Metalfisa'!AG$3,METALFISA!$B:$B,'Faltantes Fevereiro- Metalfisa'!$A35)</f>
        <v>2</v>
      </c>
      <c r="AH35" s="31">
        <f>SUMIFS(METALFISA!$E:$E,METALFISA!$A:$A,'Faltantes Fevereiro- Metalfisa'!AH$3,METALFISA!$B:$B,'Faltantes Fevereiro- Metalfisa'!$A35)</f>
        <v>0</v>
      </c>
      <c r="AI35" s="31">
        <f>SUMIFS(METALFISA!$E:$E,METALFISA!$A:$A,'Faltantes Fevereiro- Metalfisa'!AI$3,METALFISA!$B:$B,'Faltantes Fevereiro- Metalfisa'!$A35)</f>
        <v>0</v>
      </c>
      <c r="AJ35" s="31">
        <f>SUMIFS(METALFISA!$E:$E,METALFISA!$A:$A,'Faltantes Fevereiro- Metalfisa'!AJ$3,METALFISA!$B:$B,'Faltantes Fevereiro- Metalfisa'!$A35)</f>
        <v>0</v>
      </c>
      <c r="AK35" s="31">
        <f>SUMIFS(METALFISA!$E:$E,METALFISA!$A:$A,'Faltantes Fevereiro- Metalfisa'!AK$3,METALFISA!$B:$B,'Faltantes Fevereiro- Metalfisa'!$A35)</f>
        <v>0</v>
      </c>
      <c r="AL35" s="31">
        <f>SUMIFS(METALFISA!$E:$E,METALFISA!$A:$A,'Faltantes Fevereiro- Metalfisa'!AL$3,METALFISA!$B:$B,'Faltantes Fevereiro- Metalfisa'!$A35)</f>
        <v>0</v>
      </c>
      <c r="AM35" s="31">
        <f>SUMIFS(METALFISA!$E:$E,METALFISA!$A:$A,'Faltantes Fevereiro- Metalfisa'!AM$3,METALFISA!$B:$B,'Faltantes Fevereiro- Metalfisa'!$A35)</f>
        <v>0</v>
      </c>
      <c r="AN35" s="31">
        <f>SUMIFS(METALFISA!$E:$E,METALFISA!$A:$A,'Faltantes Fevereiro- Metalfisa'!AN$3,METALFISA!$B:$B,'Faltantes Fevereiro- Metalfisa'!$A35)</f>
        <v>0</v>
      </c>
      <c r="AO35" s="31">
        <f>SUMIFS(METALFISA!$E:$E,METALFISA!$A:$A,'Faltantes Fevereiro- Metalfisa'!AO$3,METALFISA!$B:$B,'Faltantes Fevereiro- Metalfisa'!$A35)</f>
        <v>0</v>
      </c>
      <c r="AP35" s="31">
        <f>SUMIFS(METALFISA!$E:$E,METALFISA!$A:$A,'Faltantes Fevereiro- Metalfisa'!AP$3,METALFISA!$B:$B,'Faltantes Fevereiro- Metalfisa'!$A35)</f>
        <v>0</v>
      </c>
      <c r="AQ35" s="31"/>
      <c r="AR35" s="31">
        <f>SUMIFS(METALFISA!$E:$E,METALFISA!$A:$A,'Faltantes Fevereiro- Metalfisa'!AR$3,METALFISA!$B:$B,'Faltantes Fevereiro- Metalfisa'!$A35)</f>
        <v>0</v>
      </c>
      <c r="AS35" s="35">
        <f>SUMIFS(METALFISA!$E:$E,METALFISA!$A:$A,'Faltantes Fevereiro- Metalfisa'!AS$3,METALFISA!$B:$B,'Faltantes Fevereiro- Metalfisa'!$A35)</f>
        <v>0</v>
      </c>
      <c r="AU35" s="18">
        <v>0</v>
      </c>
      <c r="AV35" s="18">
        <v>0</v>
      </c>
      <c r="AW35" s="18">
        <v>0</v>
      </c>
      <c r="AX35" s="18">
        <v>0</v>
      </c>
      <c r="AY35" s="41">
        <v>0</v>
      </c>
      <c r="AZ35" s="31">
        <v>0</v>
      </c>
      <c r="BA35" s="31">
        <v>0</v>
      </c>
      <c r="BB35" s="31">
        <v>0</v>
      </c>
      <c r="BC35" s="31">
        <v>0</v>
      </c>
      <c r="BD35" s="31">
        <v>0</v>
      </c>
      <c r="BE35" s="31">
        <v>0</v>
      </c>
      <c r="BF35" s="31">
        <v>0</v>
      </c>
      <c r="BG35" s="31">
        <v>0</v>
      </c>
      <c r="BH35" s="31">
        <v>0</v>
      </c>
      <c r="BI35" s="31">
        <v>0</v>
      </c>
      <c r="BJ35" s="31">
        <v>0</v>
      </c>
      <c r="BK35" s="31">
        <v>0</v>
      </c>
      <c r="BL35" s="31">
        <v>0</v>
      </c>
      <c r="BM35" s="31">
        <v>1</v>
      </c>
      <c r="BN35" s="31">
        <v>0</v>
      </c>
      <c r="BO35" s="31">
        <v>0</v>
      </c>
      <c r="BP35" s="31">
        <v>0</v>
      </c>
      <c r="BQ35" s="31">
        <v>0</v>
      </c>
      <c r="BR35" s="31">
        <v>0</v>
      </c>
      <c r="BS35" s="31">
        <v>0</v>
      </c>
      <c r="BT35" s="31">
        <v>0</v>
      </c>
      <c r="BU35" s="31">
        <v>0</v>
      </c>
      <c r="BV35" s="31">
        <v>0</v>
      </c>
      <c r="BW35" s="31">
        <v>0</v>
      </c>
      <c r="BX35" s="31">
        <v>0</v>
      </c>
      <c r="BY35" s="31">
        <v>0</v>
      </c>
      <c r="BZ35" s="31">
        <v>0</v>
      </c>
      <c r="CA35" s="31">
        <v>0</v>
      </c>
      <c r="CB35" s="31">
        <v>0</v>
      </c>
      <c r="CC35" s="31">
        <v>0</v>
      </c>
      <c r="CD35" s="31">
        <v>0</v>
      </c>
      <c r="CE35" s="31">
        <v>0</v>
      </c>
      <c r="CF35" s="31">
        <v>0</v>
      </c>
      <c r="CG35" s="31">
        <v>0</v>
      </c>
      <c r="CH35" s="31">
        <v>0</v>
      </c>
      <c r="CI35" s="31">
        <v>0</v>
      </c>
      <c r="CJ35" s="31">
        <v>0</v>
      </c>
      <c r="CK35" s="31">
        <v>0</v>
      </c>
      <c r="CL35" s="35">
        <v>0</v>
      </c>
    </row>
    <row r="36" spans="1:90" x14ac:dyDescent="0.15">
      <c r="A36" s="43" t="s">
        <v>575</v>
      </c>
      <c r="B36" s="28" t="s">
        <v>576</v>
      </c>
      <c r="C36" s="28">
        <v>0</v>
      </c>
      <c r="D36" s="28">
        <v>0</v>
      </c>
      <c r="E36" s="28">
        <v>0</v>
      </c>
      <c r="F36" s="28">
        <v>0</v>
      </c>
      <c r="G36" s="28">
        <v>2</v>
      </c>
      <c r="H36" s="28">
        <f>IFERROR(VLOOKUP(A36,[1]FALTANTES!$A:$AB,28,FALSE),"-")</f>
        <v>0</v>
      </c>
      <c r="I36" s="42">
        <f>IFERROR(VLOOKUP(A36,[1]FALTANTES!$A:$AC,29,FALSE),"-")</f>
        <v>0</v>
      </c>
      <c r="J36" s="29">
        <f>IFERROR(VLOOKUP(A36,[1]FALTANTES!$A:$AD,30,FALSE),"-")</f>
        <v>-2</v>
      </c>
      <c r="K36" s="30">
        <v>0</v>
      </c>
      <c r="L36" s="30">
        <f t="shared" si="0"/>
        <v>2</v>
      </c>
      <c r="M36" s="31">
        <f>SUMIFS(METALFISA!$E:$E,METALFISA!$A:$A,'Faltantes Fevereiro- Metalfisa'!M$3,METALFISA!$B:$B,'Faltantes Fevereiro- Metalfisa'!$A36)</f>
        <v>0</v>
      </c>
      <c r="N36" s="31">
        <f>SUMIFS(METALFISA!$E:$E,METALFISA!$A:$A,'Faltantes Fevereiro- Metalfisa'!N$3,METALFISA!$B:$B,'Faltantes Fevereiro- Metalfisa'!$A36)</f>
        <v>0</v>
      </c>
      <c r="O36" s="31">
        <f>SUMIFS(METALFISA!$E:$E,METALFISA!$A:$A,'Faltantes Fevereiro- Metalfisa'!O$3,METALFISA!$B:$B,'Faltantes Fevereiro- Metalfisa'!$A36)</f>
        <v>0</v>
      </c>
      <c r="P36" s="31">
        <f>SUMIFS(METALFISA!$E:$E,METALFISA!$A:$A,'Faltantes Fevereiro- Metalfisa'!P$3,METALFISA!$B:$B,'Faltantes Fevereiro- Metalfisa'!$A36)</f>
        <v>0</v>
      </c>
      <c r="Q36" s="31">
        <f>SUMIFS(METALFISA!$E:$E,METALFISA!$A:$A,'Faltantes Fevereiro- Metalfisa'!Q$3,METALFISA!$B:$B,'Faltantes Fevereiro- Metalfisa'!$A36)</f>
        <v>0</v>
      </c>
      <c r="R36" s="31">
        <f>SUMIFS(METALFISA!$E:$E,METALFISA!$A:$A,'Faltantes Fevereiro- Metalfisa'!R$3,METALFISA!$B:$B,'Faltantes Fevereiro- Metalfisa'!$A36)</f>
        <v>0</v>
      </c>
      <c r="S36" s="31">
        <f>SUMIFS(METALFISA!$E:$E,METALFISA!$A:$A,'Faltantes Fevereiro- Metalfisa'!S$3,METALFISA!$B:$B,'Faltantes Fevereiro- Metalfisa'!$A36)</f>
        <v>0</v>
      </c>
      <c r="T36" s="31">
        <f>SUMIFS(METALFISA!$E:$E,METALFISA!$A:$A,'Faltantes Fevereiro- Metalfisa'!T$3,METALFISA!$B:$B,'Faltantes Fevereiro- Metalfisa'!$A36)</f>
        <v>0</v>
      </c>
      <c r="U36" s="31">
        <f>SUMIFS(METALFISA!$E:$E,METALFISA!$A:$A,'Faltantes Fevereiro- Metalfisa'!U$3,METALFISA!$B:$B,'Faltantes Fevereiro- Metalfisa'!$A36)</f>
        <v>0</v>
      </c>
      <c r="V36" s="31">
        <f>SUMIFS(METALFISA!$E:$E,METALFISA!$A:$A,'Faltantes Fevereiro- Metalfisa'!V$3,METALFISA!$B:$B,'Faltantes Fevereiro- Metalfisa'!$A36)</f>
        <v>0</v>
      </c>
      <c r="W36" s="31">
        <f>SUMIFS(METALFISA!$E:$E,METALFISA!$A:$A,'Faltantes Fevereiro- Metalfisa'!W$3,METALFISA!$B:$B,'Faltantes Fevereiro- Metalfisa'!$A36)</f>
        <v>0</v>
      </c>
      <c r="X36" s="31">
        <f>SUMIFS(METALFISA!$E:$E,METALFISA!$A:$A,'Faltantes Fevereiro- Metalfisa'!X$3,METALFISA!$B:$B,'Faltantes Fevereiro- Metalfisa'!$A36)</f>
        <v>0</v>
      </c>
      <c r="Y36" s="31">
        <f>SUMIFS(METALFISA!$E:$E,METALFISA!$A:$A,'Faltantes Fevereiro- Metalfisa'!Y$3,METALFISA!$B:$B,'Faltantes Fevereiro- Metalfisa'!$A36)</f>
        <v>0</v>
      </c>
      <c r="Z36" s="31">
        <f>SUMIFS(METALFISA!$E:$E,METALFISA!$A:$A,'Faltantes Fevereiro- Metalfisa'!Z$3,METALFISA!$B:$B,'Faltantes Fevereiro- Metalfisa'!$A36)</f>
        <v>0</v>
      </c>
      <c r="AA36" s="31">
        <f>SUMIFS(METALFISA!$E:$E,METALFISA!$A:$A,'Faltantes Fevereiro- Metalfisa'!AA$3,METALFISA!$B:$B,'Faltantes Fevereiro- Metalfisa'!$A36)</f>
        <v>0</v>
      </c>
      <c r="AB36" s="31">
        <f>SUMIFS(METALFISA!$E:$E,METALFISA!$A:$A,'Faltantes Fevereiro- Metalfisa'!AB$3,METALFISA!$B:$B,'Faltantes Fevereiro- Metalfisa'!$A36)</f>
        <v>0</v>
      </c>
      <c r="AC36" s="31">
        <f>SUMIFS(METALFISA!$E:$E,METALFISA!$A:$A,'Faltantes Fevereiro- Metalfisa'!AC$3,METALFISA!$B:$B,'Faltantes Fevereiro- Metalfisa'!$A36)</f>
        <v>0</v>
      </c>
      <c r="AD36" s="31">
        <f>SUMIFS(METALFISA!$E:$E,METALFISA!$A:$A,'Faltantes Fevereiro- Metalfisa'!AD$3,METALFISA!$B:$B,'Faltantes Fevereiro- Metalfisa'!$A36)</f>
        <v>0</v>
      </c>
      <c r="AE36" s="31">
        <f>SUMIFS(METALFISA!$E:$E,METALFISA!$A:$A,'Faltantes Fevereiro- Metalfisa'!AE$3,METALFISA!$B:$B,'Faltantes Fevereiro- Metalfisa'!$A36)</f>
        <v>0</v>
      </c>
      <c r="AF36" s="31">
        <f>SUMIFS(METALFISA!$E:$E,METALFISA!$A:$A,'Faltantes Fevereiro- Metalfisa'!AF$3,METALFISA!$B:$B,'Faltantes Fevereiro- Metalfisa'!$A36)</f>
        <v>0</v>
      </c>
      <c r="AG36" s="31">
        <f>SUMIFS(METALFISA!$E:$E,METALFISA!$A:$A,'Faltantes Fevereiro- Metalfisa'!AG$3,METALFISA!$B:$B,'Faltantes Fevereiro- Metalfisa'!$A36)</f>
        <v>2</v>
      </c>
      <c r="AH36" s="31">
        <f>SUMIFS(METALFISA!$E:$E,METALFISA!$A:$A,'Faltantes Fevereiro- Metalfisa'!AH$3,METALFISA!$B:$B,'Faltantes Fevereiro- Metalfisa'!$A36)</f>
        <v>0</v>
      </c>
      <c r="AI36" s="31">
        <f>SUMIFS(METALFISA!$E:$E,METALFISA!$A:$A,'Faltantes Fevereiro- Metalfisa'!AI$3,METALFISA!$B:$B,'Faltantes Fevereiro- Metalfisa'!$A36)</f>
        <v>0</v>
      </c>
      <c r="AJ36" s="31">
        <f>SUMIFS(METALFISA!$E:$E,METALFISA!$A:$A,'Faltantes Fevereiro- Metalfisa'!AJ$3,METALFISA!$B:$B,'Faltantes Fevereiro- Metalfisa'!$A36)</f>
        <v>0</v>
      </c>
      <c r="AK36" s="31">
        <f>SUMIFS(METALFISA!$E:$E,METALFISA!$A:$A,'Faltantes Fevereiro- Metalfisa'!AK$3,METALFISA!$B:$B,'Faltantes Fevereiro- Metalfisa'!$A36)</f>
        <v>0</v>
      </c>
      <c r="AL36" s="31">
        <f>SUMIFS(METALFISA!$E:$E,METALFISA!$A:$A,'Faltantes Fevereiro- Metalfisa'!AL$3,METALFISA!$B:$B,'Faltantes Fevereiro- Metalfisa'!$A36)</f>
        <v>0</v>
      </c>
      <c r="AM36" s="31">
        <f>SUMIFS(METALFISA!$E:$E,METALFISA!$A:$A,'Faltantes Fevereiro- Metalfisa'!AM$3,METALFISA!$B:$B,'Faltantes Fevereiro- Metalfisa'!$A36)</f>
        <v>0</v>
      </c>
      <c r="AN36" s="31">
        <f>SUMIFS(METALFISA!$E:$E,METALFISA!$A:$A,'Faltantes Fevereiro- Metalfisa'!AN$3,METALFISA!$B:$B,'Faltantes Fevereiro- Metalfisa'!$A36)</f>
        <v>0</v>
      </c>
      <c r="AO36" s="31">
        <f>SUMIFS(METALFISA!$E:$E,METALFISA!$A:$A,'Faltantes Fevereiro- Metalfisa'!AO$3,METALFISA!$B:$B,'Faltantes Fevereiro- Metalfisa'!$A36)</f>
        <v>0</v>
      </c>
      <c r="AP36" s="31">
        <f>SUMIFS(METALFISA!$E:$E,METALFISA!$A:$A,'Faltantes Fevereiro- Metalfisa'!AP$3,METALFISA!$B:$B,'Faltantes Fevereiro- Metalfisa'!$A36)</f>
        <v>0</v>
      </c>
      <c r="AQ36" s="31"/>
      <c r="AR36" s="31">
        <f>SUMIFS(METALFISA!$E:$E,METALFISA!$A:$A,'Faltantes Fevereiro- Metalfisa'!AR$3,METALFISA!$B:$B,'Faltantes Fevereiro- Metalfisa'!$A36)</f>
        <v>0</v>
      </c>
      <c r="AS36" s="35">
        <f>SUMIFS(METALFISA!$E:$E,METALFISA!$A:$A,'Faltantes Fevereiro- Metalfisa'!AS$3,METALFISA!$B:$B,'Faltantes Fevereiro- Metalfisa'!$A36)</f>
        <v>0</v>
      </c>
      <c r="AU36" s="18">
        <v>0</v>
      </c>
      <c r="AV36" s="18">
        <v>0</v>
      </c>
      <c r="AW36" s="18">
        <v>0</v>
      </c>
      <c r="AX36" s="18">
        <v>0</v>
      </c>
      <c r="AY36" s="41">
        <v>0</v>
      </c>
      <c r="AZ36" s="31">
        <v>0</v>
      </c>
      <c r="BA36" s="31">
        <v>0</v>
      </c>
      <c r="BB36" s="31">
        <v>0</v>
      </c>
      <c r="BC36" s="31">
        <v>0</v>
      </c>
      <c r="BD36" s="31">
        <v>0</v>
      </c>
      <c r="BE36" s="31">
        <v>0</v>
      </c>
      <c r="BF36" s="31">
        <v>0</v>
      </c>
      <c r="BG36" s="31">
        <v>0</v>
      </c>
      <c r="BH36" s="31">
        <v>0</v>
      </c>
      <c r="BI36" s="31">
        <v>0</v>
      </c>
      <c r="BJ36" s="31">
        <v>0</v>
      </c>
      <c r="BK36" s="31">
        <v>0</v>
      </c>
      <c r="BL36" s="31">
        <v>0</v>
      </c>
      <c r="BM36" s="31">
        <v>1</v>
      </c>
      <c r="BN36" s="31">
        <v>0</v>
      </c>
      <c r="BO36" s="31">
        <v>0</v>
      </c>
      <c r="BP36" s="31">
        <v>0</v>
      </c>
      <c r="BQ36" s="31">
        <v>0</v>
      </c>
      <c r="BR36" s="31">
        <v>0</v>
      </c>
      <c r="BS36" s="31">
        <v>0</v>
      </c>
      <c r="BT36" s="31">
        <v>0</v>
      </c>
      <c r="BU36" s="31">
        <v>0</v>
      </c>
      <c r="BV36" s="31">
        <v>0</v>
      </c>
      <c r="BW36" s="31">
        <v>0</v>
      </c>
      <c r="BX36" s="31">
        <v>0</v>
      </c>
      <c r="BY36" s="31">
        <v>0</v>
      </c>
      <c r="BZ36" s="31">
        <v>0</v>
      </c>
      <c r="CA36" s="31">
        <v>0</v>
      </c>
      <c r="CB36" s="31">
        <v>0</v>
      </c>
      <c r="CC36" s="31">
        <v>0</v>
      </c>
      <c r="CD36" s="31">
        <v>0</v>
      </c>
      <c r="CE36" s="31">
        <v>0</v>
      </c>
      <c r="CF36" s="31">
        <v>0</v>
      </c>
      <c r="CG36" s="31">
        <v>0</v>
      </c>
      <c r="CH36" s="31">
        <v>0</v>
      </c>
      <c r="CI36" s="31">
        <v>0</v>
      </c>
      <c r="CJ36" s="31">
        <v>0</v>
      </c>
      <c r="CK36" s="31">
        <v>0</v>
      </c>
      <c r="CL36" s="35">
        <v>0</v>
      </c>
    </row>
    <row r="37" spans="1:90" x14ac:dyDescent="0.15">
      <c r="A37" s="27" t="s">
        <v>201</v>
      </c>
      <c r="B37" s="28" t="s">
        <v>202</v>
      </c>
      <c r="C37" s="28">
        <v>0</v>
      </c>
      <c r="D37" s="28">
        <v>0</v>
      </c>
      <c r="E37" s="28">
        <v>0</v>
      </c>
      <c r="F37" s="28">
        <v>0</v>
      </c>
      <c r="G37" s="28">
        <v>4</v>
      </c>
      <c r="H37" s="28">
        <f>IFERROR(VLOOKUP(A37,[1]FALTANTES!$A:$AB,28,FALSE),"-")</f>
        <v>0</v>
      </c>
      <c r="I37" s="42">
        <f>IFERROR(VLOOKUP(A37,[1]FALTANTES!$A:$AC,29,FALSE),"-")</f>
        <v>3</v>
      </c>
      <c r="J37" s="29">
        <f>IFERROR(VLOOKUP(A37,[1]FALTANTES!$A:$AD,30,FALSE),"-")</f>
        <v>-1</v>
      </c>
      <c r="K37" s="30">
        <v>0</v>
      </c>
      <c r="L37" s="30">
        <f t="shared" si="0"/>
        <v>1</v>
      </c>
      <c r="M37" s="31">
        <f>SUMIFS(METALFISA!$E:$E,METALFISA!$A:$A,'Faltantes Fevereiro- Metalfisa'!M$3,METALFISA!$B:$B,'Faltantes Fevereiro- Metalfisa'!$A37)</f>
        <v>0</v>
      </c>
      <c r="N37" s="31">
        <f>SUMIFS(METALFISA!$E:$E,METALFISA!$A:$A,'Faltantes Fevereiro- Metalfisa'!N$3,METALFISA!$B:$B,'Faltantes Fevereiro- Metalfisa'!$A37)</f>
        <v>0</v>
      </c>
      <c r="O37" s="31">
        <f>SUMIFS(METALFISA!$E:$E,METALFISA!$A:$A,'Faltantes Fevereiro- Metalfisa'!O$3,METALFISA!$B:$B,'Faltantes Fevereiro- Metalfisa'!$A37)</f>
        <v>0</v>
      </c>
      <c r="P37" s="31">
        <f>SUMIFS(METALFISA!$E:$E,METALFISA!$A:$A,'Faltantes Fevereiro- Metalfisa'!P$3,METALFISA!$B:$B,'Faltantes Fevereiro- Metalfisa'!$A37)</f>
        <v>0</v>
      </c>
      <c r="Q37" s="31">
        <f>SUMIFS(METALFISA!$E:$E,METALFISA!$A:$A,'Faltantes Fevereiro- Metalfisa'!Q$3,METALFISA!$B:$B,'Faltantes Fevereiro- Metalfisa'!$A37)</f>
        <v>0</v>
      </c>
      <c r="R37" s="31">
        <f>SUMIFS(METALFISA!$E:$E,METALFISA!$A:$A,'Faltantes Fevereiro- Metalfisa'!R$3,METALFISA!$B:$B,'Faltantes Fevereiro- Metalfisa'!$A37)</f>
        <v>0</v>
      </c>
      <c r="S37" s="31">
        <f>SUMIFS(METALFISA!$E:$E,METALFISA!$A:$A,'Faltantes Fevereiro- Metalfisa'!S$3,METALFISA!$B:$B,'Faltantes Fevereiro- Metalfisa'!$A37)</f>
        <v>0</v>
      </c>
      <c r="T37" s="31">
        <f>SUMIFS(METALFISA!$E:$E,METALFISA!$A:$A,'Faltantes Fevereiro- Metalfisa'!T$3,METALFISA!$B:$B,'Faltantes Fevereiro- Metalfisa'!$A37)</f>
        <v>0</v>
      </c>
      <c r="U37" s="31">
        <f>SUMIFS(METALFISA!$E:$E,METALFISA!$A:$A,'Faltantes Fevereiro- Metalfisa'!U$3,METALFISA!$B:$B,'Faltantes Fevereiro- Metalfisa'!$A37)</f>
        <v>0</v>
      </c>
      <c r="V37" s="31">
        <f>SUMIFS(METALFISA!$E:$E,METALFISA!$A:$A,'Faltantes Fevereiro- Metalfisa'!V$3,METALFISA!$B:$B,'Faltantes Fevereiro- Metalfisa'!$A37)</f>
        <v>0</v>
      </c>
      <c r="W37" s="31">
        <f>SUMIFS(METALFISA!$E:$E,METALFISA!$A:$A,'Faltantes Fevereiro- Metalfisa'!W$3,METALFISA!$B:$B,'Faltantes Fevereiro- Metalfisa'!$A37)</f>
        <v>0</v>
      </c>
      <c r="X37" s="31">
        <f>SUMIFS(METALFISA!$E:$E,METALFISA!$A:$A,'Faltantes Fevereiro- Metalfisa'!X$3,METALFISA!$B:$B,'Faltantes Fevereiro- Metalfisa'!$A37)</f>
        <v>0</v>
      </c>
      <c r="Y37" s="31">
        <f>SUMIFS(METALFISA!$E:$E,METALFISA!$A:$A,'Faltantes Fevereiro- Metalfisa'!Y$3,METALFISA!$B:$B,'Faltantes Fevereiro- Metalfisa'!$A37)</f>
        <v>0</v>
      </c>
      <c r="Z37" s="31">
        <f>SUMIFS(METALFISA!$E:$E,METALFISA!$A:$A,'Faltantes Fevereiro- Metalfisa'!Z$3,METALFISA!$B:$B,'Faltantes Fevereiro- Metalfisa'!$A37)</f>
        <v>0</v>
      </c>
      <c r="AA37" s="31">
        <f>SUMIFS(METALFISA!$E:$E,METALFISA!$A:$A,'Faltantes Fevereiro- Metalfisa'!AA$3,METALFISA!$B:$B,'Faltantes Fevereiro- Metalfisa'!$A37)</f>
        <v>0</v>
      </c>
      <c r="AB37" s="31">
        <f>SUMIFS(METALFISA!$E:$E,METALFISA!$A:$A,'Faltantes Fevereiro- Metalfisa'!AB$3,METALFISA!$B:$B,'Faltantes Fevereiro- Metalfisa'!$A37)</f>
        <v>0</v>
      </c>
      <c r="AC37" s="31">
        <f>SUMIFS(METALFISA!$E:$E,METALFISA!$A:$A,'Faltantes Fevereiro- Metalfisa'!AC$3,METALFISA!$B:$B,'Faltantes Fevereiro- Metalfisa'!$A37)</f>
        <v>0</v>
      </c>
      <c r="AD37" s="31">
        <f>SUMIFS(METALFISA!$E:$E,METALFISA!$A:$A,'Faltantes Fevereiro- Metalfisa'!AD$3,METALFISA!$B:$B,'Faltantes Fevereiro- Metalfisa'!$A37)</f>
        <v>0</v>
      </c>
      <c r="AE37" s="31">
        <f>SUMIFS(METALFISA!$E:$E,METALFISA!$A:$A,'Faltantes Fevereiro- Metalfisa'!AE$3,METALFISA!$B:$B,'Faltantes Fevereiro- Metalfisa'!$A37)</f>
        <v>0</v>
      </c>
      <c r="AF37" s="31">
        <f>SUMIFS(METALFISA!$E:$E,METALFISA!$A:$A,'Faltantes Fevereiro- Metalfisa'!AF$3,METALFISA!$B:$B,'Faltantes Fevereiro- Metalfisa'!$A37)</f>
        <v>0</v>
      </c>
      <c r="AG37" s="31">
        <f>SUMIFS(METALFISA!$E:$E,METALFISA!$A:$A,'Faltantes Fevereiro- Metalfisa'!AG$3,METALFISA!$B:$B,'Faltantes Fevereiro- Metalfisa'!$A37)</f>
        <v>1</v>
      </c>
      <c r="AH37" s="31">
        <f>SUMIFS(METALFISA!$E:$E,METALFISA!$A:$A,'Faltantes Fevereiro- Metalfisa'!AH$3,METALFISA!$B:$B,'Faltantes Fevereiro- Metalfisa'!$A37)</f>
        <v>0</v>
      </c>
      <c r="AI37" s="31">
        <f>SUMIFS(METALFISA!$E:$E,METALFISA!$A:$A,'Faltantes Fevereiro- Metalfisa'!AI$3,METALFISA!$B:$B,'Faltantes Fevereiro- Metalfisa'!$A37)</f>
        <v>0</v>
      </c>
      <c r="AJ37" s="31">
        <f>SUMIFS(METALFISA!$E:$E,METALFISA!$A:$A,'Faltantes Fevereiro- Metalfisa'!AJ$3,METALFISA!$B:$B,'Faltantes Fevereiro- Metalfisa'!$A37)</f>
        <v>0</v>
      </c>
      <c r="AK37" s="31">
        <f>SUMIFS(METALFISA!$E:$E,METALFISA!$A:$A,'Faltantes Fevereiro- Metalfisa'!AK$3,METALFISA!$B:$B,'Faltantes Fevereiro- Metalfisa'!$A37)</f>
        <v>0</v>
      </c>
      <c r="AL37" s="31">
        <f>SUMIFS(METALFISA!$E:$E,METALFISA!$A:$A,'Faltantes Fevereiro- Metalfisa'!AL$3,METALFISA!$B:$B,'Faltantes Fevereiro- Metalfisa'!$A37)</f>
        <v>0</v>
      </c>
      <c r="AM37" s="31">
        <f>SUMIFS(METALFISA!$E:$E,METALFISA!$A:$A,'Faltantes Fevereiro- Metalfisa'!AM$3,METALFISA!$B:$B,'Faltantes Fevereiro- Metalfisa'!$A37)</f>
        <v>0</v>
      </c>
      <c r="AN37" s="31">
        <f>SUMIFS(METALFISA!$E:$E,METALFISA!$A:$A,'Faltantes Fevereiro- Metalfisa'!AN$3,METALFISA!$B:$B,'Faltantes Fevereiro- Metalfisa'!$A37)</f>
        <v>0</v>
      </c>
      <c r="AO37" s="31">
        <f>SUMIFS(METALFISA!$E:$E,METALFISA!$A:$A,'Faltantes Fevereiro- Metalfisa'!AO$3,METALFISA!$B:$B,'Faltantes Fevereiro- Metalfisa'!$A37)</f>
        <v>0</v>
      </c>
      <c r="AP37" s="31">
        <f>SUMIFS(METALFISA!$E:$E,METALFISA!$A:$A,'Faltantes Fevereiro- Metalfisa'!AP$3,METALFISA!$B:$B,'Faltantes Fevereiro- Metalfisa'!$A37)</f>
        <v>0</v>
      </c>
      <c r="AQ37" s="31"/>
      <c r="AR37" s="31">
        <f>SUMIFS(METALFISA!$E:$E,METALFISA!$A:$A,'Faltantes Fevereiro- Metalfisa'!AR$3,METALFISA!$B:$B,'Faltantes Fevereiro- Metalfisa'!$A37)</f>
        <v>0</v>
      </c>
      <c r="AS37" s="35">
        <f>SUMIFS(METALFISA!$E:$E,METALFISA!$A:$A,'Faltantes Fevereiro- Metalfisa'!AS$3,METALFISA!$B:$B,'Faltantes Fevereiro- Metalfisa'!$A37)</f>
        <v>0</v>
      </c>
      <c r="AU37" s="18">
        <v>0</v>
      </c>
      <c r="AV37" s="18">
        <v>0</v>
      </c>
      <c r="AW37" s="18">
        <v>0</v>
      </c>
      <c r="AX37" s="18">
        <v>0</v>
      </c>
      <c r="AY37" s="41">
        <v>0</v>
      </c>
      <c r="AZ37" s="31">
        <v>0</v>
      </c>
      <c r="BA37" s="31">
        <v>0</v>
      </c>
      <c r="BB37" s="31">
        <v>0</v>
      </c>
      <c r="BC37" s="31">
        <v>0</v>
      </c>
      <c r="BD37" s="31">
        <v>0</v>
      </c>
      <c r="BE37" s="31">
        <v>0</v>
      </c>
      <c r="BF37" s="31">
        <v>0</v>
      </c>
      <c r="BG37" s="31">
        <v>0</v>
      </c>
      <c r="BH37" s="31">
        <v>0</v>
      </c>
      <c r="BI37" s="31">
        <v>0</v>
      </c>
      <c r="BJ37" s="31">
        <v>0</v>
      </c>
      <c r="BK37" s="31">
        <v>0</v>
      </c>
      <c r="BL37" s="31">
        <v>0</v>
      </c>
      <c r="BM37" s="31">
        <v>2</v>
      </c>
      <c r="BN37" s="31">
        <v>0</v>
      </c>
      <c r="BO37" s="31">
        <v>0</v>
      </c>
      <c r="BP37" s="31">
        <v>0</v>
      </c>
      <c r="BQ37" s="31">
        <v>0</v>
      </c>
      <c r="BR37" s="31">
        <v>0</v>
      </c>
      <c r="BS37" s="31">
        <v>0</v>
      </c>
      <c r="BT37" s="31">
        <v>0</v>
      </c>
      <c r="BU37" s="31">
        <v>0</v>
      </c>
      <c r="BV37" s="31">
        <v>0</v>
      </c>
      <c r="BW37" s="31">
        <v>0</v>
      </c>
      <c r="BX37" s="31">
        <v>0</v>
      </c>
      <c r="BY37" s="31">
        <v>0</v>
      </c>
      <c r="BZ37" s="31">
        <v>0</v>
      </c>
      <c r="CA37" s="31">
        <v>0</v>
      </c>
      <c r="CB37" s="31">
        <v>0</v>
      </c>
      <c r="CC37" s="31">
        <v>0</v>
      </c>
      <c r="CD37" s="31">
        <v>0</v>
      </c>
      <c r="CE37" s="31">
        <v>0</v>
      </c>
      <c r="CF37" s="31">
        <v>0</v>
      </c>
      <c r="CG37" s="31">
        <v>0</v>
      </c>
      <c r="CH37" s="31">
        <v>0</v>
      </c>
      <c r="CI37" s="31">
        <v>0</v>
      </c>
      <c r="CJ37" s="31">
        <v>0</v>
      </c>
      <c r="CK37" s="31">
        <v>0</v>
      </c>
      <c r="CL37" s="35">
        <v>0</v>
      </c>
    </row>
    <row r="38" spans="1:90" x14ac:dyDescent="0.15">
      <c r="A38" s="27" t="s">
        <v>203</v>
      </c>
      <c r="B38" s="28" t="s">
        <v>204</v>
      </c>
      <c r="C38" s="28">
        <v>0</v>
      </c>
      <c r="D38" s="28">
        <v>0</v>
      </c>
      <c r="E38" s="28">
        <v>0</v>
      </c>
      <c r="F38" s="28">
        <v>0</v>
      </c>
      <c r="G38" s="28">
        <v>12</v>
      </c>
      <c r="H38" s="28">
        <f>IFERROR(VLOOKUP(A38,[1]FALTANTES!$A:$AB,28,FALSE),"-")</f>
        <v>0</v>
      </c>
      <c r="I38" s="42">
        <f>IFERROR(VLOOKUP(A38,[1]FALTANTES!$A:$AC,29,FALSE),"-")</f>
        <v>0</v>
      </c>
      <c r="J38" s="29">
        <f>IFERROR(VLOOKUP(A38,[1]FALTANTES!$A:$AD,30,FALSE),"-")</f>
        <v>-12</v>
      </c>
      <c r="K38" s="30">
        <v>0</v>
      </c>
      <c r="L38" s="30">
        <f t="shared" si="0"/>
        <v>12</v>
      </c>
      <c r="M38" s="31">
        <f>SUMIFS(METALFISA!$E:$E,METALFISA!$A:$A,'Faltantes Fevereiro- Metalfisa'!M$3,METALFISA!$B:$B,'Faltantes Fevereiro- Metalfisa'!$A38)</f>
        <v>0</v>
      </c>
      <c r="N38" s="31">
        <f>SUMIFS(METALFISA!$E:$E,METALFISA!$A:$A,'Faltantes Fevereiro- Metalfisa'!N$3,METALFISA!$B:$B,'Faltantes Fevereiro- Metalfisa'!$A38)</f>
        <v>0</v>
      </c>
      <c r="O38" s="31">
        <f>SUMIFS(METALFISA!$E:$E,METALFISA!$A:$A,'Faltantes Fevereiro- Metalfisa'!O$3,METALFISA!$B:$B,'Faltantes Fevereiro- Metalfisa'!$A38)</f>
        <v>0</v>
      </c>
      <c r="P38" s="31">
        <f>SUMIFS(METALFISA!$E:$E,METALFISA!$A:$A,'Faltantes Fevereiro- Metalfisa'!P$3,METALFISA!$B:$B,'Faltantes Fevereiro- Metalfisa'!$A38)</f>
        <v>0</v>
      </c>
      <c r="Q38" s="31">
        <f>SUMIFS(METALFISA!$E:$E,METALFISA!$A:$A,'Faltantes Fevereiro- Metalfisa'!Q$3,METALFISA!$B:$B,'Faltantes Fevereiro- Metalfisa'!$A38)</f>
        <v>0</v>
      </c>
      <c r="R38" s="31">
        <f>SUMIFS(METALFISA!$E:$E,METALFISA!$A:$A,'Faltantes Fevereiro- Metalfisa'!R$3,METALFISA!$B:$B,'Faltantes Fevereiro- Metalfisa'!$A38)</f>
        <v>0</v>
      </c>
      <c r="S38" s="31">
        <f>SUMIFS(METALFISA!$E:$E,METALFISA!$A:$A,'Faltantes Fevereiro- Metalfisa'!S$3,METALFISA!$B:$B,'Faltantes Fevereiro- Metalfisa'!$A38)</f>
        <v>0</v>
      </c>
      <c r="T38" s="31">
        <f>SUMIFS(METALFISA!$E:$E,METALFISA!$A:$A,'Faltantes Fevereiro- Metalfisa'!T$3,METALFISA!$B:$B,'Faltantes Fevereiro- Metalfisa'!$A38)</f>
        <v>0</v>
      </c>
      <c r="U38" s="31">
        <f>SUMIFS(METALFISA!$E:$E,METALFISA!$A:$A,'Faltantes Fevereiro- Metalfisa'!U$3,METALFISA!$B:$B,'Faltantes Fevereiro- Metalfisa'!$A38)</f>
        <v>0</v>
      </c>
      <c r="V38" s="31">
        <f>SUMIFS(METALFISA!$E:$E,METALFISA!$A:$A,'Faltantes Fevereiro- Metalfisa'!V$3,METALFISA!$B:$B,'Faltantes Fevereiro- Metalfisa'!$A38)</f>
        <v>0</v>
      </c>
      <c r="W38" s="31">
        <f>SUMIFS(METALFISA!$E:$E,METALFISA!$A:$A,'Faltantes Fevereiro- Metalfisa'!W$3,METALFISA!$B:$B,'Faltantes Fevereiro- Metalfisa'!$A38)</f>
        <v>0</v>
      </c>
      <c r="X38" s="31">
        <f>SUMIFS(METALFISA!$E:$E,METALFISA!$A:$A,'Faltantes Fevereiro- Metalfisa'!X$3,METALFISA!$B:$B,'Faltantes Fevereiro- Metalfisa'!$A38)</f>
        <v>4</v>
      </c>
      <c r="Y38" s="31">
        <f>SUMIFS(METALFISA!$E:$E,METALFISA!$A:$A,'Faltantes Fevereiro- Metalfisa'!Y$3,METALFISA!$B:$B,'Faltantes Fevereiro- Metalfisa'!$A38)</f>
        <v>0</v>
      </c>
      <c r="Z38" s="31">
        <f>SUMIFS(METALFISA!$E:$E,METALFISA!$A:$A,'Faltantes Fevereiro- Metalfisa'!Z$3,METALFISA!$B:$B,'Faltantes Fevereiro- Metalfisa'!$A38)</f>
        <v>0</v>
      </c>
      <c r="AA38" s="31">
        <f>SUMIFS(METALFISA!$E:$E,METALFISA!$A:$A,'Faltantes Fevereiro- Metalfisa'!AA$3,METALFISA!$B:$B,'Faltantes Fevereiro- Metalfisa'!$A38)</f>
        <v>0</v>
      </c>
      <c r="AB38" s="31">
        <f>SUMIFS(METALFISA!$E:$E,METALFISA!$A:$A,'Faltantes Fevereiro- Metalfisa'!AB$3,METALFISA!$B:$B,'Faltantes Fevereiro- Metalfisa'!$A38)</f>
        <v>0</v>
      </c>
      <c r="AC38" s="31">
        <f>SUMIFS(METALFISA!$E:$E,METALFISA!$A:$A,'Faltantes Fevereiro- Metalfisa'!AC$3,METALFISA!$B:$B,'Faltantes Fevereiro- Metalfisa'!$A38)</f>
        <v>0</v>
      </c>
      <c r="AD38" s="31">
        <f>SUMIFS(METALFISA!$E:$E,METALFISA!$A:$A,'Faltantes Fevereiro- Metalfisa'!AD$3,METALFISA!$B:$B,'Faltantes Fevereiro- Metalfisa'!$A38)</f>
        <v>0</v>
      </c>
      <c r="AE38" s="31">
        <f>SUMIFS(METALFISA!$E:$E,METALFISA!$A:$A,'Faltantes Fevereiro- Metalfisa'!AE$3,METALFISA!$B:$B,'Faltantes Fevereiro- Metalfisa'!$A38)</f>
        <v>0</v>
      </c>
      <c r="AF38" s="31">
        <f>SUMIFS(METALFISA!$E:$E,METALFISA!$A:$A,'Faltantes Fevereiro- Metalfisa'!AF$3,METALFISA!$B:$B,'Faltantes Fevereiro- Metalfisa'!$A38)</f>
        <v>0</v>
      </c>
      <c r="AG38" s="31">
        <f>SUMIFS(METALFISA!$E:$E,METALFISA!$A:$A,'Faltantes Fevereiro- Metalfisa'!AG$3,METALFISA!$B:$B,'Faltantes Fevereiro- Metalfisa'!$A38)</f>
        <v>8</v>
      </c>
      <c r="AH38" s="31">
        <f>SUMIFS(METALFISA!$E:$E,METALFISA!$A:$A,'Faltantes Fevereiro- Metalfisa'!AH$3,METALFISA!$B:$B,'Faltantes Fevereiro- Metalfisa'!$A38)</f>
        <v>0</v>
      </c>
      <c r="AI38" s="31">
        <f>SUMIFS(METALFISA!$E:$E,METALFISA!$A:$A,'Faltantes Fevereiro- Metalfisa'!AI$3,METALFISA!$B:$B,'Faltantes Fevereiro- Metalfisa'!$A38)</f>
        <v>0</v>
      </c>
      <c r="AJ38" s="31">
        <f>SUMIFS(METALFISA!$E:$E,METALFISA!$A:$A,'Faltantes Fevereiro- Metalfisa'!AJ$3,METALFISA!$B:$B,'Faltantes Fevereiro- Metalfisa'!$A38)</f>
        <v>0</v>
      </c>
      <c r="AK38" s="31">
        <f>SUMIFS(METALFISA!$E:$E,METALFISA!$A:$A,'Faltantes Fevereiro- Metalfisa'!AK$3,METALFISA!$B:$B,'Faltantes Fevereiro- Metalfisa'!$A38)</f>
        <v>0</v>
      </c>
      <c r="AL38" s="31">
        <f>SUMIFS(METALFISA!$E:$E,METALFISA!$A:$A,'Faltantes Fevereiro- Metalfisa'!AL$3,METALFISA!$B:$B,'Faltantes Fevereiro- Metalfisa'!$A38)</f>
        <v>0</v>
      </c>
      <c r="AM38" s="31">
        <f>SUMIFS(METALFISA!$E:$E,METALFISA!$A:$A,'Faltantes Fevereiro- Metalfisa'!AM$3,METALFISA!$B:$B,'Faltantes Fevereiro- Metalfisa'!$A38)</f>
        <v>0</v>
      </c>
      <c r="AN38" s="31">
        <f>SUMIFS(METALFISA!$E:$E,METALFISA!$A:$A,'Faltantes Fevereiro- Metalfisa'!AN$3,METALFISA!$B:$B,'Faltantes Fevereiro- Metalfisa'!$A38)</f>
        <v>0</v>
      </c>
      <c r="AO38" s="31">
        <f>SUMIFS(METALFISA!$E:$E,METALFISA!$A:$A,'Faltantes Fevereiro- Metalfisa'!AO$3,METALFISA!$B:$B,'Faltantes Fevereiro- Metalfisa'!$A38)</f>
        <v>0</v>
      </c>
      <c r="AP38" s="31">
        <f>SUMIFS(METALFISA!$E:$E,METALFISA!$A:$A,'Faltantes Fevereiro- Metalfisa'!AP$3,METALFISA!$B:$B,'Faltantes Fevereiro- Metalfisa'!$A38)</f>
        <v>0</v>
      </c>
      <c r="AQ38" s="31"/>
      <c r="AR38" s="31">
        <f>SUMIFS(METALFISA!$E:$E,METALFISA!$A:$A,'Faltantes Fevereiro- Metalfisa'!AR$3,METALFISA!$B:$B,'Faltantes Fevereiro- Metalfisa'!$A38)</f>
        <v>0</v>
      </c>
      <c r="AS38" s="35">
        <f>SUMIFS(METALFISA!$E:$E,METALFISA!$A:$A,'Faltantes Fevereiro- Metalfisa'!AS$3,METALFISA!$B:$B,'Faltantes Fevereiro- Metalfisa'!$A38)</f>
        <v>0</v>
      </c>
      <c r="AU38" s="18">
        <v>0</v>
      </c>
      <c r="AV38" s="18">
        <v>0</v>
      </c>
      <c r="AW38" s="18">
        <v>0</v>
      </c>
      <c r="AX38" s="18">
        <v>0</v>
      </c>
      <c r="AY38" s="41">
        <v>0</v>
      </c>
      <c r="AZ38" s="31">
        <v>0</v>
      </c>
      <c r="BA38" s="31">
        <v>0</v>
      </c>
      <c r="BB38" s="31">
        <v>0</v>
      </c>
      <c r="BC38" s="31">
        <v>0</v>
      </c>
      <c r="BD38" s="31">
        <v>0</v>
      </c>
      <c r="BE38" s="31">
        <v>0</v>
      </c>
      <c r="BF38" s="31">
        <v>0</v>
      </c>
      <c r="BG38" s="31">
        <v>0</v>
      </c>
      <c r="BH38" s="31">
        <v>0</v>
      </c>
      <c r="BI38" s="31">
        <v>0</v>
      </c>
      <c r="BJ38" s="31">
        <v>0</v>
      </c>
      <c r="BK38" s="31">
        <v>0</v>
      </c>
      <c r="BL38" s="31">
        <v>0</v>
      </c>
      <c r="BM38" s="31">
        <v>4</v>
      </c>
      <c r="BN38" s="31">
        <v>0</v>
      </c>
      <c r="BO38" s="31">
        <v>0</v>
      </c>
      <c r="BP38" s="31">
        <v>0</v>
      </c>
      <c r="BQ38" s="31">
        <v>0</v>
      </c>
      <c r="BR38" s="31">
        <v>0</v>
      </c>
      <c r="BS38" s="31">
        <v>0</v>
      </c>
      <c r="BT38" s="31">
        <v>0</v>
      </c>
      <c r="BU38" s="31">
        <v>0</v>
      </c>
      <c r="BV38" s="31">
        <v>0</v>
      </c>
      <c r="BW38" s="31">
        <v>0</v>
      </c>
      <c r="BX38" s="31">
        <v>0</v>
      </c>
      <c r="BY38" s="31">
        <v>0</v>
      </c>
      <c r="BZ38" s="31">
        <v>0</v>
      </c>
      <c r="CA38" s="31">
        <v>0</v>
      </c>
      <c r="CB38" s="31">
        <v>0</v>
      </c>
      <c r="CC38" s="31">
        <v>0</v>
      </c>
      <c r="CD38" s="31">
        <v>0</v>
      </c>
      <c r="CE38" s="31">
        <v>0</v>
      </c>
      <c r="CF38" s="31">
        <v>0</v>
      </c>
      <c r="CG38" s="31">
        <v>0</v>
      </c>
      <c r="CH38" s="31">
        <v>0</v>
      </c>
      <c r="CI38" s="31">
        <v>0</v>
      </c>
      <c r="CJ38" s="31">
        <v>0</v>
      </c>
      <c r="CK38" s="31">
        <v>0</v>
      </c>
      <c r="CL38" s="35">
        <v>0</v>
      </c>
    </row>
    <row r="39" spans="1:90" x14ac:dyDescent="0.15">
      <c r="A39" s="27" t="s">
        <v>577</v>
      </c>
      <c r="B39" s="28" t="s">
        <v>578</v>
      </c>
      <c r="C39" s="28">
        <v>0</v>
      </c>
      <c r="D39" s="28">
        <v>0</v>
      </c>
      <c r="E39" s="28">
        <v>0</v>
      </c>
      <c r="F39" s="28">
        <v>0</v>
      </c>
      <c r="G39" s="28">
        <v>2</v>
      </c>
      <c r="H39" s="28">
        <f>IFERROR(VLOOKUP(A39,[1]FALTANTES!$A:$AB,28,FALSE),"-")</f>
        <v>0</v>
      </c>
      <c r="I39" s="42">
        <f>IFERROR(VLOOKUP(A39,[1]FALTANTES!$A:$AC,29,FALSE),"-")</f>
        <v>0</v>
      </c>
      <c r="J39" s="29">
        <f>IFERROR(VLOOKUP(A39,[1]FALTANTES!$A:$AD,30,FALSE),"-")</f>
        <v>-2</v>
      </c>
      <c r="K39" s="30">
        <v>0</v>
      </c>
      <c r="L39" s="30">
        <f t="shared" si="0"/>
        <v>2</v>
      </c>
      <c r="M39" s="31">
        <f>SUMIFS(METALFISA!$E:$E,METALFISA!$A:$A,'Faltantes Fevereiro- Metalfisa'!M$3,METALFISA!$B:$B,'Faltantes Fevereiro- Metalfisa'!$A39)</f>
        <v>0</v>
      </c>
      <c r="N39" s="31">
        <f>SUMIFS(METALFISA!$E:$E,METALFISA!$A:$A,'Faltantes Fevereiro- Metalfisa'!N$3,METALFISA!$B:$B,'Faltantes Fevereiro- Metalfisa'!$A39)</f>
        <v>0</v>
      </c>
      <c r="O39" s="31">
        <f>SUMIFS(METALFISA!$E:$E,METALFISA!$A:$A,'Faltantes Fevereiro- Metalfisa'!O$3,METALFISA!$B:$B,'Faltantes Fevereiro- Metalfisa'!$A39)</f>
        <v>0</v>
      </c>
      <c r="P39" s="31">
        <f>SUMIFS(METALFISA!$E:$E,METALFISA!$A:$A,'Faltantes Fevereiro- Metalfisa'!P$3,METALFISA!$B:$B,'Faltantes Fevereiro- Metalfisa'!$A39)</f>
        <v>0</v>
      </c>
      <c r="Q39" s="31">
        <f>SUMIFS(METALFISA!$E:$E,METALFISA!$A:$A,'Faltantes Fevereiro- Metalfisa'!Q$3,METALFISA!$B:$B,'Faltantes Fevereiro- Metalfisa'!$A39)</f>
        <v>0</v>
      </c>
      <c r="R39" s="31">
        <f>SUMIFS(METALFISA!$E:$E,METALFISA!$A:$A,'Faltantes Fevereiro- Metalfisa'!R$3,METALFISA!$B:$B,'Faltantes Fevereiro- Metalfisa'!$A39)</f>
        <v>0</v>
      </c>
      <c r="S39" s="31">
        <f>SUMIFS(METALFISA!$E:$E,METALFISA!$A:$A,'Faltantes Fevereiro- Metalfisa'!S$3,METALFISA!$B:$B,'Faltantes Fevereiro- Metalfisa'!$A39)</f>
        <v>0</v>
      </c>
      <c r="T39" s="31">
        <f>SUMIFS(METALFISA!$E:$E,METALFISA!$A:$A,'Faltantes Fevereiro- Metalfisa'!T$3,METALFISA!$B:$B,'Faltantes Fevereiro- Metalfisa'!$A39)</f>
        <v>0</v>
      </c>
      <c r="U39" s="31">
        <f>SUMIFS(METALFISA!$E:$E,METALFISA!$A:$A,'Faltantes Fevereiro- Metalfisa'!U$3,METALFISA!$B:$B,'Faltantes Fevereiro- Metalfisa'!$A39)</f>
        <v>0</v>
      </c>
      <c r="V39" s="31">
        <f>SUMIFS(METALFISA!$E:$E,METALFISA!$A:$A,'Faltantes Fevereiro- Metalfisa'!V$3,METALFISA!$B:$B,'Faltantes Fevereiro- Metalfisa'!$A39)</f>
        <v>0</v>
      </c>
      <c r="W39" s="31">
        <f>SUMIFS(METALFISA!$E:$E,METALFISA!$A:$A,'Faltantes Fevereiro- Metalfisa'!W$3,METALFISA!$B:$B,'Faltantes Fevereiro- Metalfisa'!$A39)</f>
        <v>0</v>
      </c>
      <c r="X39" s="31">
        <f>SUMIFS(METALFISA!$E:$E,METALFISA!$A:$A,'Faltantes Fevereiro- Metalfisa'!X$3,METALFISA!$B:$B,'Faltantes Fevereiro- Metalfisa'!$A39)</f>
        <v>0</v>
      </c>
      <c r="Y39" s="31">
        <f>SUMIFS(METALFISA!$E:$E,METALFISA!$A:$A,'Faltantes Fevereiro- Metalfisa'!Y$3,METALFISA!$B:$B,'Faltantes Fevereiro- Metalfisa'!$A39)</f>
        <v>0</v>
      </c>
      <c r="Z39" s="31">
        <f>SUMIFS(METALFISA!$E:$E,METALFISA!$A:$A,'Faltantes Fevereiro- Metalfisa'!Z$3,METALFISA!$B:$B,'Faltantes Fevereiro- Metalfisa'!$A39)</f>
        <v>0</v>
      </c>
      <c r="AA39" s="31">
        <f>SUMIFS(METALFISA!$E:$E,METALFISA!$A:$A,'Faltantes Fevereiro- Metalfisa'!AA$3,METALFISA!$B:$B,'Faltantes Fevereiro- Metalfisa'!$A39)</f>
        <v>0</v>
      </c>
      <c r="AB39" s="31">
        <f>SUMIFS(METALFISA!$E:$E,METALFISA!$A:$A,'Faltantes Fevereiro- Metalfisa'!AB$3,METALFISA!$B:$B,'Faltantes Fevereiro- Metalfisa'!$A39)</f>
        <v>0</v>
      </c>
      <c r="AC39" s="31">
        <f>SUMIFS(METALFISA!$E:$E,METALFISA!$A:$A,'Faltantes Fevereiro- Metalfisa'!AC$3,METALFISA!$B:$B,'Faltantes Fevereiro- Metalfisa'!$A39)</f>
        <v>0</v>
      </c>
      <c r="AD39" s="31">
        <f>SUMIFS(METALFISA!$E:$E,METALFISA!$A:$A,'Faltantes Fevereiro- Metalfisa'!AD$3,METALFISA!$B:$B,'Faltantes Fevereiro- Metalfisa'!$A39)</f>
        <v>0</v>
      </c>
      <c r="AE39" s="31">
        <f>SUMIFS(METALFISA!$E:$E,METALFISA!$A:$A,'Faltantes Fevereiro- Metalfisa'!AE$3,METALFISA!$B:$B,'Faltantes Fevereiro- Metalfisa'!$A39)</f>
        <v>0</v>
      </c>
      <c r="AF39" s="31">
        <f>SUMIFS(METALFISA!$E:$E,METALFISA!$A:$A,'Faltantes Fevereiro- Metalfisa'!AF$3,METALFISA!$B:$B,'Faltantes Fevereiro- Metalfisa'!$A39)</f>
        <v>0</v>
      </c>
      <c r="AG39" s="31">
        <f>SUMIFS(METALFISA!$E:$E,METALFISA!$A:$A,'Faltantes Fevereiro- Metalfisa'!AG$3,METALFISA!$B:$B,'Faltantes Fevereiro- Metalfisa'!$A39)</f>
        <v>1</v>
      </c>
      <c r="AH39" s="31">
        <f>SUMIFS(METALFISA!$E:$E,METALFISA!$A:$A,'Faltantes Fevereiro- Metalfisa'!AH$3,METALFISA!$B:$B,'Faltantes Fevereiro- Metalfisa'!$A39)</f>
        <v>0</v>
      </c>
      <c r="AI39" s="31">
        <f>SUMIFS(METALFISA!$E:$E,METALFISA!$A:$A,'Faltantes Fevereiro- Metalfisa'!AI$3,METALFISA!$B:$B,'Faltantes Fevereiro- Metalfisa'!$A39)</f>
        <v>0</v>
      </c>
      <c r="AJ39" s="31">
        <f>SUMIFS(METALFISA!$E:$E,METALFISA!$A:$A,'Faltantes Fevereiro- Metalfisa'!AJ$3,METALFISA!$B:$B,'Faltantes Fevereiro- Metalfisa'!$A39)</f>
        <v>0</v>
      </c>
      <c r="AK39" s="31">
        <f>SUMIFS(METALFISA!$E:$E,METALFISA!$A:$A,'Faltantes Fevereiro- Metalfisa'!AK$3,METALFISA!$B:$B,'Faltantes Fevereiro- Metalfisa'!$A39)</f>
        <v>0</v>
      </c>
      <c r="AL39" s="31">
        <f>SUMIFS(METALFISA!$E:$E,METALFISA!$A:$A,'Faltantes Fevereiro- Metalfisa'!AL$3,METALFISA!$B:$B,'Faltantes Fevereiro- Metalfisa'!$A39)</f>
        <v>0</v>
      </c>
      <c r="AM39" s="31">
        <f>SUMIFS(METALFISA!$E:$E,METALFISA!$A:$A,'Faltantes Fevereiro- Metalfisa'!AM$3,METALFISA!$B:$B,'Faltantes Fevereiro- Metalfisa'!$A39)</f>
        <v>1</v>
      </c>
      <c r="AN39" s="31">
        <f>SUMIFS(METALFISA!$E:$E,METALFISA!$A:$A,'Faltantes Fevereiro- Metalfisa'!AN$3,METALFISA!$B:$B,'Faltantes Fevereiro- Metalfisa'!$A39)</f>
        <v>0</v>
      </c>
      <c r="AO39" s="31">
        <f>SUMIFS(METALFISA!$E:$E,METALFISA!$A:$A,'Faltantes Fevereiro- Metalfisa'!AO$3,METALFISA!$B:$B,'Faltantes Fevereiro- Metalfisa'!$A39)</f>
        <v>0</v>
      </c>
      <c r="AP39" s="31">
        <f>SUMIFS(METALFISA!$E:$E,METALFISA!$A:$A,'Faltantes Fevereiro- Metalfisa'!AP$3,METALFISA!$B:$B,'Faltantes Fevereiro- Metalfisa'!$A39)</f>
        <v>0</v>
      </c>
      <c r="AQ39" s="31"/>
      <c r="AR39" s="31">
        <f>SUMIFS(METALFISA!$E:$E,METALFISA!$A:$A,'Faltantes Fevereiro- Metalfisa'!AR$3,METALFISA!$B:$B,'Faltantes Fevereiro- Metalfisa'!$A39)</f>
        <v>0</v>
      </c>
      <c r="AS39" s="35">
        <f>SUMIFS(METALFISA!$E:$E,METALFISA!$A:$A,'Faltantes Fevereiro- Metalfisa'!AS$3,METALFISA!$B:$B,'Faltantes Fevereiro- Metalfisa'!$A39)</f>
        <v>0</v>
      </c>
      <c r="AU39" s="18">
        <v>0</v>
      </c>
      <c r="AV39" s="18">
        <v>0</v>
      </c>
      <c r="AW39" s="18">
        <v>0</v>
      </c>
      <c r="AX39" s="18">
        <v>0</v>
      </c>
      <c r="AY39" s="41">
        <v>0</v>
      </c>
      <c r="AZ39" s="31">
        <v>0</v>
      </c>
      <c r="BA39" s="31">
        <v>0</v>
      </c>
      <c r="BB39" s="31">
        <v>0</v>
      </c>
      <c r="BC39" s="31">
        <v>0</v>
      </c>
      <c r="BD39" s="31">
        <v>0</v>
      </c>
      <c r="BE39" s="31">
        <v>0</v>
      </c>
      <c r="BF39" s="31">
        <v>0</v>
      </c>
      <c r="BG39" s="31">
        <v>0</v>
      </c>
      <c r="BH39" s="31">
        <v>0</v>
      </c>
      <c r="BI39" s="31">
        <v>0</v>
      </c>
      <c r="BJ39" s="31">
        <v>0</v>
      </c>
      <c r="BK39" s="31">
        <v>0</v>
      </c>
      <c r="BL39" s="31">
        <v>0</v>
      </c>
      <c r="BM39" s="31">
        <v>1</v>
      </c>
      <c r="BN39" s="31">
        <v>0</v>
      </c>
      <c r="BO39" s="31">
        <v>0</v>
      </c>
      <c r="BP39" s="31">
        <v>0</v>
      </c>
      <c r="BQ39" s="31">
        <v>0</v>
      </c>
      <c r="BR39" s="31">
        <v>0</v>
      </c>
      <c r="BS39" s="31">
        <v>0</v>
      </c>
      <c r="BT39" s="31">
        <v>0</v>
      </c>
      <c r="BU39" s="31">
        <v>0</v>
      </c>
      <c r="BV39" s="31">
        <v>0</v>
      </c>
      <c r="BW39" s="31">
        <v>0</v>
      </c>
      <c r="BX39" s="31">
        <v>0</v>
      </c>
      <c r="BY39" s="31">
        <v>0</v>
      </c>
      <c r="BZ39" s="31">
        <v>0</v>
      </c>
      <c r="CA39" s="31">
        <v>0</v>
      </c>
      <c r="CB39" s="31">
        <v>0</v>
      </c>
      <c r="CC39" s="31">
        <v>0</v>
      </c>
      <c r="CD39" s="31">
        <v>0</v>
      </c>
      <c r="CE39" s="31">
        <v>0</v>
      </c>
      <c r="CF39" s="31">
        <v>0</v>
      </c>
      <c r="CG39" s="31">
        <v>0</v>
      </c>
      <c r="CH39" s="31">
        <v>0</v>
      </c>
      <c r="CI39" s="31">
        <v>0</v>
      </c>
      <c r="CJ39" s="31">
        <v>0</v>
      </c>
      <c r="CK39" s="31">
        <v>0</v>
      </c>
      <c r="CL39" s="35">
        <v>0</v>
      </c>
    </row>
    <row r="40" spans="1:90" x14ac:dyDescent="0.15">
      <c r="A40" s="27" t="s">
        <v>579</v>
      </c>
      <c r="B40" s="28" t="s">
        <v>580</v>
      </c>
      <c r="C40" s="28">
        <v>0</v>
      </c>
      <c r="D40" s="28">
        <v>0</v>
      </c>
      <c r="E40" s="28">
        <v>0</v>
      </c>
      <c r="F40" s="28">
        <v>0</v>
      </c>
      <c r="G40" s="28">
        <v>2</v>
      </c>
      <c r="H40" s="28">
        <f>IFERROR(VLOOKUP(A40,[1]FALTANTES!$A:$AB,28,FALSE),"-")</f>
        <v>0</v>
      </c>
      <c r="I40" s="42">
        <f>IFERROR(VLOOKUP(A40,[1]FALTANTES!$A:$AC,29,FALSE),"-")</f>
        <v>0</v>
      </c>
      <c r="J40" s="29">
        <f>IFERROR(VLOOKUP(A40,[1]FALTANTES!$A:$AD,30,FALSE),"-")</f>
        <v>-2</v>
      </c>
      <c r="K40" s="30">
        <v>0</v>
      </c>
      <c r="L40" s="30">
        <f t="shared" si="0"/>
        <v>2</v>
      </c>
      <c r="M40" s="31">
        <f>SUMIFS(METALFISA!$E:$E,METALFISA!$A:$A,'Faltantes Fevereiro- Metalfisa'!M$3,METALFISA!$B:$B,'Faltantes Fevereiro- Metalfisa'!$A40)</f>
        <v>0</v>
      </c>
      <c r="N40" s="31">
        <f>SUMIFS(METALFISA!$E:$E,METALFISA!$A:$A,'Faltantes Fevereiro- Metalfisa'!N$3,METALFISA!$B:$B,'Faltantes Fevereiro- Metalfisa'!$A40)</f>
        <v>0</v>
      </c>
      <c r="O40" s="31">
        <f>SUMIFS(METALFISA!$E:$E,METALFISA!$A:$A,'Faltantes Fevereiro- Metalfisa'!O$3,METALFISA!$B:$B,'Faltantes Fevereiro- Metalfisa'!$A40)</f>
        <v>0</v>
      </c>
      <c r="P40" s="31">
        <f>SUMIFS(METALFISA!$E:$E,METALFISA!$A:$A,'Faltantes Fevereiro- Metalfisa'!P$3,METALFISA!$B:$B,'Faltantes Fevereiro- Metalfisa'!$A40)</f>
        <v>0</v>
      </c>
      <c r="Q40" s="31">
        <f>SUMIFS(METALFISA!$E:$E,METALFISA!$A:$A,'Faltantes Fevereiro- Metalfisa'!Q$3,METALFISA!$B:$B,'Faltantes Fevereiro- Metalfisa'!$A40)</f>
        <v>0</v>
      </c>
      <c r="R40" s="31">
        <f>SUMIFS(METALFISA!$E:$E,METALFISA!$A:$A,'Faltantes Fevereiro- Metalfisa'!R$3,METALFISA!$B:$B,'Faltantes Fevereiro- Metalfisa'!$A40)</f>
        <v>0</v>
      </c>
      <c r="S40" s="31">
        <f>SUMIFS(METALFISA!$E:$E,METALFISA!$A:$A,'Faltantes Fevereiro- Metalfisa'!S$3,METALFISA!$B:$B,'Faltantes Fevereiro- Metalfisa'!$A40)</f>
        <v>0</v>
      </c>
      <c r="T40" s="31">
        <f>SUMIFS(METALFISA!$E:$E,METALFISA!$A:$A,'Faltantes Fevereiro- Metalfisa'!T$3,METALFISA!$B:$B,'Faltantes Fevereiro- Metalfisa'!$A40)</f>
        <v>0</v>
      </c>
      <c r="U40" s="31">
        <f>SUMIFS(METALFISA!$E:$E,METALFISA!$A:$A,'Faltantes Fevereiro- Metalfisa'!U$3,METALFISA!$B:$B,'Faltantes Fevereiro- Metalfisa'!$A40)</f>
        <v>0</v>
      </c>
      <c r="V40" s="31">
        <f>SUMIFS(METALFISA!$E:$E,METALFISA!$A:$A,'Faltantes Fevereiro- Metalfisa'!V$3,METALFISA!$B:$B,'Faltantes Fevereiro- Metalfisa'!$A40)</f>
        <v>0</v>
      </c>
      <c r="W40" s="31">
        <f>SUMIFS(METALFISA!$E:$E,METALFISA!$A:$A,'Faltantes Fevereiro- Metalfisa'!W$3,METALFISA!$B:$B,'Faltantes Fevereiro- Metalfisa'!$A40)</f>
        <v>0</v>
      </c>
      <c r="X40" s="31">
        <f>SUMIFS(METALFISA!$E:$E,METALFISA!$A:$A,'Faltantes Fevereiro- Metalfisa'!X$3,METALFISA!$B:$B,'Faltantes Fevereiro- Metalfisa'!$A40)</f>
        <v>0</v>
      </c>
      <c r="Y40" s="31">
        <f>SUMIFS(METALFISA!$E:$E,METALFISA!$A:$A,'Faltantes Fevereiro- Metalfisa'!Y$3,METALFISA!$B:$B,'Faltantes Fevereiro- Metalfisa'!$A40)</f>
        <v>0</v>
      </c>
      <c r="Z40" s="31">
        <f>SUMIFS(METALFISA!$E:$E,METALFISA!$A:$A,'Faltantes Fevereiro- Metalfisa'!Z$3,METALFISA!$B:$B,'Faltantes Fevereiro- Metalfisa'!$A40)</f>
        <v>0</v>
      </c>
      <c r="AA40" s="31">
        <f>SUMIFS(METALFISA!$E:$E,METALFISA!$A:$A,'Faltantes Fevereiro- Metalfisa'!AA$3,METALFISA!$B:$B,'Faltantes Fevereiro- Metalfisa'!$A40)</f>
        <v>0</v>
      </c>
      <c r="AB40" s="31">
        <f>SUMIFS(METALFISA!$E:$E,METALFISA!$A:$A,'Faltantes Fevereiro- Metalfisa'!AB$3,METALFISA!$B:$B,'Faltantes Fevereiro- Metalfisa'!$A40)</f>
        <v>0</v>
      </c>
      <c r="AC40" s="31">
        <f>SUMIFS(METALFISA!$E:$E,METALFISA!$A:$A,'Faltantes Fevereiro- Metalfisa'!AC$3,METALFISA!$B:$B,'Faltantes Fevereiro- Metalfisa'!$A40)</f>
        <v>0</v>
      </c>
      <c r="AD40" s="31">
        <f>SUMIFS(METALFISA!$E:$E,METALFISA!$A:$A,'Faltantes Fevereiro- Metalfisa'!AD$3,METALFISA!$B:$B,'Faltantes Fevereiro- Metalfisa'!$A40)</f>
        <v>0</v>
      </c>
      <c r="AE40" s="31">
        <f>SUMIFS(METALFISA!$E:$E,METALFISA!$A:$A,'Faltantes Fevereiro- Metalfisa'!AE$3,METALFISA!$B:$B,'Faltantes Fevereiro- Metalfisa'!$A40)</f>
        <v>0</v>
      </c>
      <c r="AF40" s="31">
        <f>SUMIFS(METALFISA!$E:$E,METALFISA!$A:$A,'Faltantes Fevereiro- Metalfisa'!AF$3,METALFISA!$B:$B,'Faltantes Fevereiro- Metalfisa'!$A40)</f>
        <v>0</v>
      </c>
      <c r="AG40" s="31">
        <f>SUMIFS(METALFISA!$E:$E,METALFISA!$A:$A,'Faltantes Fevereiro- Metalfisa'!AG$3,METALFISA!$B:$B,'Faltantes Fevereiro- Metalfisa'!$A40)</f>
        <v>2</v>
      </c>
      <c r="AH40" s="31">
        <f>SUMIFS(METALFISA!$E:$E,METALFISA!$A:$A,'Faltantes Fevereiro- Metalfisa'!AH$3,METALFISA!$B:$B,'Faltantes Fevereiro- Metalfisa'!$A40)</f>
        <v>0</v>
      </c>
      <c r="AI40" s="31">
        <f>SUMIFS(METALFISA!$E:$E,METALFISA!$A:$A,'Faltantes Fevereiro- Metalfisa'!AI$3,METALFISA!$B:$B,'Faltantes Fevereiro- Metalfisa'!$A40)</f>
        <v>0</v>
      </c>
      <c r="AJ40" s="31">
        <f>SUMIFS(METALFISA!$E:$E,METALFISA!$A:$A,'Faltantes Fevereiro- Metalfisa'!AJ$3,METALFISA!$B:$B,'Faltantes Fevereiro- Metalfisa'!$A40)</f>
        <v>0</v>
      </c>
      <c r="AK40" s="31">
        <f>SUMIFS(METALFISA!$E:$E,METALFISA!$A:$A,'Faltantes Fevereiro- Metalfisa'!AK$3,METALFISA!$B:$B,'Faltantes Fevereiro- Metalfisa'!$A40)</f>
        <v>0</v>
      </c>
      <c r="AL40" s="31">
        <f>SUMIFS(METALFISA!$E:$E,METALFISA!$A:$A,'Faltantes Fevereiro- Metalfisa'!AL$3,METALFISA!$B:$B,'Faltantes Fevereiro- Metalfisa'!$A40)</f>
        <v>0</v>
      </c>
      <c r="AM40" s="31">
        <f>SUMIFS(METALFISA!$E:$E,METALFISA!$A:$A,'Faltantes Fevereiro- Metalfisa'!AM$3,METALFISA!$B:$B,'Faltantes Fevereiro- Metalfisa'!$A40)</f>
        <v>0</v>
      </c>
      <c r="AN40" s="31">
        <f>SUMIFS(METALFISA!$E:$E,METALFISA!$A:$A,'Faltantes Fevereiro- Metalfisa'!AN$3,METALFISA!$B:$B,'Faltantes Fevereiro- Metalfisa'!$A40)</f>
        <v>0</v>
      </c>
      <c r="AO40" s="31">
        <f>SUMIFS(METALFISA!$E:$E,METALFISA!$A:$A,'Faltantes Fevereiro- Metalfisa'!AO$3,METALFISA!$B:$B,'Faltantes Fevereiro- Metalfisa'!$A40)</f>
        <v>0</v>
      </c>
      <c r="AP40" s="31">
        <f>SUMIFS(METALFISA!$E:$E,METALFISA!$A:$A,'Faltantes Fevereiro- Metalfisa'!AP$3,METALFISA!$B:$B,'Faltantes Fevereiro- Metalfisa'!$A40)</f>
        <v>0</v>
      </c>
      <c r="AQ40" s="31"/>
      <c r="AR40" s="31">
        <f>SUMIFS(METALFISA!$E:$E,METALFISA!$A:$A,'Faltantes Fevereiro- Metalfisa'!AR$3,METALFISA!$B:$B,'Faltantes Fevereiro- Metalfisa'!$A40)</f>
        <v>0</v>
      </c>
      <c r="AS40" s="35">
        <f>SUMIFS(METALFISA!$E:$E,METALFISA!$A:$A,'Faltantes Fevereiro- Metalfisa'!AS$3,METALFISA!$B:$B,'Faltantes Fevereiro- Metalfisa'!$A40)</f>
        <v>0</v>
      </c>
      <c r="AU40" s="18">
        <v>0</v>
      </c>
      <c r="AV40" s="18">
        <v>0</v>
      </c>
      <c r="AW40" s="18">
        <v>0</v>
      </c>
      <c r="AX40" s="18">
        <v>0</v>
      </c>
      <c r="AY40" s="41">
        <v>0</v>
      </c>
      <c r="AZ40" s="31">
        <v>0</v>
      </c>
      <c r="BA40" s="31">
        <v>0</v>
      </c>
      <c r="BB40" s="31">
        <v>0</v>
      </c>
      <c r="BC40" s="31">
        <v>0</v>
      </c>
      <c r="BD40" s="31">
        <v>0</v>
      </c>
      <c r="BE40" s="31">
        <v>0</v>
      </c>
      <c r="BF40" s="31">
        <v>0</v>
      </c>
      <c r="BG40" s="31">
        <v>0</v>
      </c>
      <c r="BH40" s="31">
        <v>0</v>
      </c>
      <c r="BI40" s="31">
        <v>0</v>
      </c>
      <c r="BJ40" s="31">
        <v>0</v>
      </c>
      <c r="BK40" s="31">
        <v>0</v>
      </c>
      <c r="BL40" s="31">
        <v>0</v>
      </c>
      <c r="BM40" s="31">
        <v>1</v>
      </c>
      <c r="BN40" s="31">
        <v>0</v>
      </c>
      <c r="BO40" s="31">
        <v>0</v>
      </c>
      <c r="BP40" s="31">
        <v>0</v>
      </c>
      <c r="BQ40" s="31">
        <v>0</v>
      </c>
      <c r="BR40" s="31">
        <v>0</v>
      </c>
      <c r="BS40" s="31">
        <v>0</v>
      </c>
      <c r="BT40" s="31">
        <v>0</v>
      </c>
      <c r="BU40" s="31">
        <v>0</v>
      </c>
      <c r="BV40" s="31">
        <v>0</v>
      </c>
      <c r="BW40" s="31">
        <v>0</v>
      </c>
      <c r="BX40" s="31">
        <v>0</v>
      </c>
      <c r="BY40" s="31">
        <v>0</v>
      </c>
      <c r="BZ40" s="31">
        <v>0</v>
      </c>
      <c r="CA40" s="31">
        <v>0</v>
      </c>
      <c r="CB40" s="31">
        <v>0</v>
      </c>
      <c r="CC40" s="31">
        <v>0</v>
      </c>
      <c r="CD40" s="31">
        <v>0</v>
      </c>
      <c r="CE40" s="31">
        <v>0</v>
      </c>
      <c r="CF40" s="31">
        <v>0</v>
      </c>
      <c r="CG40" s="31">
        <v>0</v>
      </c>
      <c r="CH40" s="31">
        <v>0</v>
      </c>
      <c r="CI40" s="31">
        <v>0</v>
      </c>
      <c r="CJ40" s="31">
        <v>0</v>
      </c>
      <c r="CK40" s="31">
        <v>0</v>
      </c>
      <c r="CL40" s="35">
        <v>0</v>
      </c>
    </row>
    <row r="41" spans="1:90" ht="21" x14ac:dyDescent="0.15">
      <c r="A41" s="27" t="s">
        <v>581</v>
      </c>
      <c r="B41" s="28" t="s">
        <v>582</v>
      </c>
      <c r="C41" s="28">
        <v>0</v>
      </c>
      <c r="D41" s="28">
        <v>0</v>
      </c>
      <c r="E41" s="28">
        <v>0</v>
      </c>
      <c r="F41" s="28">
        <v>0</v>
      </c>
      <c r="G41" s="28">
        <v>2</v>
      </c>
      <c r="H41" s="28">
        <f>IFERROR(VLOOKUP(A41,[1]FALTANTES!$A:$AB,28,FALSE),"-")</f>
        <v>0</v>
      </c>
      <c r="I41" s="42">
        <f>IFERROR(VLOOKUP(A41,[1]FALTANTES!$A:$AC,29,FALSE),"-")</f>
        <v>0</v>
      </c>
      <c r="J41" s="29">
        <f>IFERROR(VLOOKUP(A41,[1]FALTANTES!$A:$AD,30,FALSE),"-")</f>
        <v>-2</v>
      </c>
      <c r="K41" s="30">
        <v>0</v>
      </c>
      <c r="L41" s="30">
        <f t="shared" si="0"/>
        <v>2</v>
      </c>
      <c r="M41" s="31">
        <f>SUMIFS(METALFISA!$E:$E,METALFISA!$A:$A,'Faltantes Fevereiro- Metalfisa'!M$3,METALFISA!$B:$B,'Faltantes Fevereiro- Metalfisa'!$A41)</f>
        <v>0</v>
      </c>
      <c r="N41" s="31">
        <f>SUMIFS(METALFISA!$E:$E,METALFISA!$A:$A,'Faltantes Fevereiro- Metalfisa'!N$3,METALFISA!$B:$B,'Faltantes Fevereiro- Metalfisa'!$A41)</f>
        <v>0</v>
      </c>
      <c r="O41" s="31">
        <f>SUMIFS(METALFISA!$E:$E,METALFISA!$A:$A,'Faltantes Fevereiro- Metalfisa'!O$3,METALFISA!$B:$B,'Faltantes Fevereiro- Metalfisa'!$A41)</f>
        <v>0</v>
      </c>
      <c r="P41" s="31">
        <f>SUMIFS(METALFISA!$E:$E,METALFISA!$A:$A,'Faltantes Fevereiro- Metalfisa'!P$3,METALFISA!$B:$B,'Faltantes Fevereiro- Metalfisa'!$A41)</f>
        <v>0</v>
      </c>
      <c r="Q41" s="31">
        <f>SUMIFS(METALFISA!$E:$E,METALFISA!$A:$A,'Faltantes Fevereiro- Metalfisa'!Q$3,METALFISA!$B:$B,'Faltantes Fevereiro- Metalfisa'!$A41)</f>
        <v>0</v>
      </c>
      <c r="R41" s="31">
        <f>SUMIFS(METALFISA!$E:$E,METALFISA!$A:$A,'Faltantes Fevereiro- Metalfisa'!R$3,METALFISA!$B:$B,'Faltantes Fevereiro- Metalfisa'!$A41)</f>
        <v>0</v>
      </c>
      <c r="S41" s="31">
        <f>SUMIFS(METALFISA!$E:$E,METALFISA!$A:$A,'Faltantes Fevereiro- Metalfisa'!S$3,METALFISA!$B:$B,'Faltantes Fevereiro- Metalfisa'!$A41)</f>
        <v>0</v>
      </c>
      <c r="T41" s="31">
        <f>SUMIFS(METALFISA!$E:$E,METALFISA!$A:$A,'Faltantes Fevereiro- Metalfisa'!T$3,METALFISA!$B:$B,'Faltantes Fevereiro- Metalfisa'!$A41)</f>
        <v>0</v>
      </c>
      <c r="U41" s="31">
        <f>SUMIFS(METALFISA!$E:$E,METALFISA!$A:$A,'Faltantes Fevereiro- Metalfisa'!U$3,METALFISA!$B:$B,'Faltantes Fevereiro- Metalfisa'!$A41)</f>
        <v>0</v>
      </c>
      <c r="V41" s="31">
        <f>SUMIFS(METALFISA!$E:$E,METALFISA!$A:$A,'Faltantes Fevereiro- Metalfisa'!V$3,METALFISA!$B:$B,'Faltantes Fevereiro- Metalfisa'!$A41)</f>
        <v>0</v>
      </c>
      <c r="W41" s="31">
        <f>SUMIFS(METALFISA!$E:$E,METALFISA!$A:$A,'Faltantes Fevereiro- Metalfisa'!W$3,METALFISA!$B:$B,'Faltantes Fevereiro- Metalfisa'!$A41)</f>
        <v>0</v>
      </c>
      <c r="X41" s="31">
        <f>SUMIFS(METALFISA!$E:$E,METALFISA!$A:$A,'Faltantes Fevereiro- Metalfisa'!X$3,METALFISA!$B:$B,'Faltantes Fevereiro- Metalfisa'!$A41)</f>
        <v>0</v>
      </c>
      <c r="Y41" s="31">
        <f>SUMIFS(METALFISA!$E:$E,METALFISA!$A:$A,'Faltantes Fevereiro- Metalfisa'!Y$3,METALFISA!$B:$B,'Faltantes Fevereiro- Metalfisa'!$A41)</f>
        <v>0</v>
      </c>
      <c r="Z41" s="31">
        <f>SUMIFS(METALFISA!$E:$E,METALFISA!$A:$A,'Faltantes Fevereiro- Metalfisa'!Z$3,METALFISA!$B:$B,'Faltantes Fevereiro- Metalfisa'!$A41)</f>
        <v>0</v>
      </c>
      <c r="AA41" s="31">
        <f>SUMIFS(METALFISA!$E:$E,METALFISA!$A:$A,'Faltantes Fevereiro- Metalfisa'!AA$3,METALFISA!$B:$B,'Faltantes Fevereiro- Metalfisa'!$A41)</f>
        <v>0</v>
      </c>
      <c r="AB41" s="31">
        <f>SUMIFS(METALFISA!$E:$E,METALFISA!$A:$A,'Faltantes Fevereiro- Metalfisa'!AB$3,METALFISA!$B:$B,'Faltantes Fevereiro- Metalfisa'!$A41)</f>
        <v>0</v>
      </c>
      <c r="AC41" s="31">
        <f>SUMIFS(METALFISA!$E:$E,METALFISA!$A:$A,'Faltantes Fevereiro- Metalfisa'!AC$3,METALFISA!$B:$B,'Faltantes Fevereiro- Metalfisa'!$A41)</f>
        <v>0</v>
      </c>
      <c r="AD41" s="31">
        <f>SUMIFS(METALFISA!$E:$E,METALFISA!$A:$A,'Faltantes Fevereiro- Metalfisa'!AD$3,METALFISA!$B:$B,'Faltantes Fevereiro- Metalfisa'!$A41)</f>
        <v>0</v>
      </c>
      <c r="AE41" s="31">
        <f>SUMIFS(METALFISA!$E:$E,METALFISA!$A:$A,'Faltantes Fevereiro- Metalfisa'!AE$3,METALFISA!$B:$B,'Faltantes Fevereiro- Metalfisa'!$A41)</f>
        <v>0</v>
      </c>
      <c r="AF41" s="31">
        <f>SUMIFS(METALFISA!$E:$E,METALFISA!$A:$A,'Faltantes Fevereiro- Metalfisa'!AF$3,METALFISA!$B:$B,'Faltantes Fevereiro- Metalfisa'!$A41)</f>
        <v>0</v>
      </c>
      <c r="AG41" s="31">
        <f>SUMIFS(METALFISA!$E:$E,METALFISA!$A:$A,'Faltantes Fevereiro- Metalfisa'!AG$3,METALFISA!$B:$B,'Faltantes Fevereiro- Metalfisa'!$A41)</f>
        <v>2</v>
      </c>
      <c r="AH41" s="31">
        <f>SUMIFS(METALFISA!$E:$E,METALFISA!$A:$A,'Faltantes Fevereiro- Metalfisa'!AH$3,METALFISA!$B:$B,'Faltantes Fevereiro- Metalfisa'!$A41)</f>
        <v>0</v>
      </c>
      <c r="AI41" s="31">
        <f>SUMIFS(METALFISA!$E:$E,METALFISA!$A:$A,'Faltantes Fevereiro- Metalfisa'!AI$3,METALFISA!$B:$B,'Faltantes Fevereiro- Metalfisa'!$A41)</f>
        <v>0</v>
      </c>
      <c r="AJ41" s="31">
        <f>SUMIFS(METALFISA!$E:$E,METALFISA!$A:$A,'Faltantes Fevereiro- Metalfisa'!AJ$3,METALFISA!$B:$B,'Faltantes Fevereiro- Metalfisa'!$A41)</f>
        <v>0</v>
      </c>
      <c r="AK41" s="31">
        <f>SUMIFS(METALFISA!$E:$E,METALFISA!$A:$A,'Faltantes Fevereiro- Metalfisa'!AK$3,METALFISA!$B:$B,'Faltantes Fevereiro- Metalfisa'!$A41)</f>
        <v>0</v>
      </c>
      <c r="AL41" s="31">
        <f>SUMIFS(METALFISA!$E:$E,METALFISA!$A:$A,'Faltantes Fevereiro- Metalfisa'!AL$3,METALFISA!$B:$B,'Faltantes Fevereiro- Metalfisa'!$A41)</f>
        <v>0</v>
      </c>
      <c r="AM41" s="31">
        <f>SUMIFS(METALFISA!$E:$E,METALFISA!$A:$A,'Faltantes Fevereiro- Metalfisa'!AM$3,METALFISA!$B:$B,'Faltantes Fevereiro- Metalfisa'!$A41)</f>
        <v>0</v>
      </c>
      <c r="AN41" s="31">
        <f>SUMIFS(METALFISA!$E:$E,METALFISA!$A:$A,'Faltantes Fevereiro- Metalfisa'!AN$3,METALFISA!$B:$B,'Faltantes Fevereiro- Metalfisa'!$A41)</f>
        <v>0</v>
      </c>
      <c r="AO41" s="31">
        <f>SUMIFS(METALFISA!$E:$E,METALFISA!$A:$A,'Faltantes Fevereiro- Metalfisa'!AO$3,METALFISA!$B:$B,'Faltantes Fevereiro- Metalfisa'!$A41)</f>
        <v>0</v>
      </c>
      <c r="AP41" s="31">
        <f>SUMIFS(METALFISA!$E:$E,METALFISA!$A:$A,'Faltantes Fevereiro- Metalfisa'!AP$3,METALFISA!$B:$B,'Faltantes Fevereiro- Metalfisa'!$A41)</f>
        <v>0</v>
      </c>
      <c r="AQ41" s="31"/>
      <c r="AR41" s="31">
        <f>SUMIFS(METALFISA!$E:$E,METALFISA!$A:$A,'Faltantes Fevereiro- Metalfisa'!AR$3,METALFISA!$B:$B,'Faltantes Fevereiro- Metalfisa'!$A41)</f>
        <v>0</v>
      </c>
      <c r="AS41" s="35">
        <f>SUMIFS(METALFISA!$E:$E,METALFISA!$A:$A,'Faltantes Fevereiro- Metalfisa'!AS$3,METALFISA!$B:$B,'Faltantes Fevereiro- Metalfisa'!$A41)</f>
        <v>0</v>
      </c>
      <c r="AU41" s="18">
        <v>0</v>
      </c>
      <c r="AV41" s="18">
        <v>0</v>
      </c>
      <c r="AW41" s="18">
        <v>0</v>
      </c>
      <c r="AX41" s="18">
        <v>0</v>
      </c>
      <c r="AY41" s="41">
        <v>0</v>
      </c>
      <c r="AZ41" s="31">
        <v>0</v>
      </c>
      <c r="BA41" s="31">
        <v>0</v>
      </c>
      <c r="BB41" s="31">
        <v>0</v>
      </c>
      <c r="BC41" s="31">
        <v>0</v>
      </c>
      <c r="BD41" s="31">
        <v>0</v>
      </c>
      <c r="BE41" s="31">
        <v>0</v>
      </c>
      <c r="BF41" s="31">
        <v>0</v>
      </c>
      <c r="BG41" s="31">
        <v>0</v>
      </c>
      <c r="BH41" s="31">
        <v>0</v>
      </c>
      <c r="BI41" s="31">
        <v>0</v>
      </c>
      <c r="BJ41" s="31">
        <v>0</v>
      </c>
      <c r="BK41" s="31">
        <v>0</v>
      </c>
      <c r="BL41" s="31">
        <v>0</v>
      </c>
      <c r="BM41" s="31">
        <v>1</v>
      </c>
      <c r="BN41" s="31">
        <v>0</v>
      </c>
      <c r="BO41" s="31">
        <v>0</v>
      </c>
      <c r="BP41" s="31">
        <v>0</v>
      </c>
      <c r="BQ41" s="31">
        <v>0</v>
      </c>
      <c r="BR41" s="31">
        <v>0</v>
      </c>
      <c r="BS41" s="31">
        <v>0</v>
      </c>
      <c r="BT41" s="31">
        <v>0</v>
      </c>
      <c r="BU41" s="31">
        <v>0</v>
      </c>
      <c r="BV41" s="31">
        <v>0</v>
      </c>
      <c r="BW41" s="31">
        <v>0</v>
      </c>
      <c r="BX41" s="31">
        <v>0</v>
      </c>
      <c r="BY41" s="31">
        <v>0</v>
      </c>
      <c r="BZ41" s="31">
        <v>0</v>
      </c>
      <c r="CA41" s="31">
        <v>0</v>
      </c>
      <c r="CB41" s="31">
        <v>0</v>
      </c>
      <c r="CC41" s="31">
        <v>0</v>
      </c>
      <c r="CD41" s="31">
        <v>0</v>
      </c>
      <c r="CE41" s="31">
        <v>0</v>
      </c>
      <c r="CF41" s="31">
        <v>0</v>
      </c>
      <c r="CG41" s="31">
        <v>0</v>
      </c>
      <c r="CH41" s="31">
        <v>0</v>
      </c>
      <c r="CI41" s="31">
        <v>0</v>
      </c>
      <c r="CJ41" s="31">
        <v>0</v>
      </c>
      <c r="CK41" s="31">
        <v>0</v>
      </c>
      <c r="CL41" s="35">
        <v>0</v>
      </c>
    </row>
    <row r="42" spans="1:90" x14ac:dyDescent="0.15">
      <c r="A42" s="27" t="s">
        <v>583</v>
      </c>
      <c r="B42" s="28" t="s">
        <v>584</v>
      </c>
      <c r="C42" s="28">
        <v>0</v>
      </c>
      <c r="D42" s="28">
        <v>0</v>
      </c>
      <c r="E42" s="28">
        <v>0</v>
      </c>
      <c r="F42" s="28">
        <v>0</v>
      </c>
      <c r="G42" s="28">
        <v>2</v>
      </c>
      <c r="H42" s="28">
        <f>IFERROR(VLOOKUP(A42,[1]FALTANTES!$A:$AB,28,FALSE),"-")</f>
        <v>0</v>
      </c>
      <c r="I42" s="42">
        <f>IFERROR(VLOOKUP(A42,[1]FALTANTES!$A:$AC,29,FALSE),"-")</f>
        <v>0</v>
      </c>
      <c r="J42" s="29">
        <f>IFERROR(VLOOKUP(A42,[1]FALTANTES!$A:$AD,30,FALSE),"-")</f>
        <v>-2</v>
      </c>
      <c r="K42" s="30">
        <v>0</v>
      </c>
      <c r="L42" s="30">
        <f t="shared" si="0"/>
        <v>2</v>
      </c>
      <c r="M42" s="31">
        <f>SUMIFS(METALFISA!$E:$E,METALFISA!$A:$A,'Faltantes Fevereiro- Metalfisa'!M$3,METALFISA!$B:$B,'Faltantes Fevereiro- Metalfisa'!$A42)</f>
        <v>0</v>
      </c>
      <c r="N42" s="31">
        <f>SUMIFS(METALFISA!$E:$E,METALFISA!$A:$A,'Faltantes Fevereiro- Metalfisa'!N$3,METALFISA!$B:$B,'Faltantes Fevereiro- Metalfisa'!$A42)</f>
        <v>0</v>
      </c>
      <c r="O42" s="31">
        <f>SUMIFS(METALFISA!$E:$E,METALFISA!$A:$A,'Faltantes Fevereiro- Metalfisa'!O$3,METALFISA!$B:$B,'Faltantes Fevereiro- Metalfisa'!$A42)</f>
        <v>0</v>
      </c>
      <c r="P42" s="31">
        <f>SUMIFS(METALFISA!$E:$E,METALFISA!$A:$A,'Faltantes Fevereiro- Metalfisa'!P$3,METALFISA!$B:$B,'Faltantes Fevereiro- Metalfisa'!$A42)</f>
        <v>0</v>
      </c>
      <c r="Q42" s="31">
        <f>SUMIFS(METALFISA!$E:$E,METALFISA!$A:$A,'Faltantes Fevereiro- Metalfisa'!Q$3,METALFISA!$B:$B,'Faltantes Fevereiro- Metalfisa'!$A42)</f>
        <v>0</v>
      </c>
      <c r="R42" s="31">
        <f>SUMIFS(METALFISA!$E:$E,METALFISA!$A:$A,'Faltantes Fevereiro- Metalfisa'!R$3,METALFISA!$B:$B,'Faltantes Fevereiro- Metalfisa'!$A42)</f>
        <v>0</v>
      </c>
      <c r="S42" s="31">
        <f>SUMIFS(METALFISA!$E:$E,METALFISA!$A:$A,'Faltantes Fevereiro- Metalfisa'!S$3,METALFISA!$B:$B,'Faltantes Fevereiro- Metalfisa'!$A42)</f>
        <v>0</v>
      </c>
      <c r="T42" s="31">
        <f>SUMIFS(METALFISA!$E:$E,METALFISA!$A:$A,'Faltantes Fevereiro- Metalfisa'!T$3,METALFISA!$B:$B,'Faltantes Fevereiro- Metalfisa'!$A42)</f>
        <v>0</v>
      </c>
      <c r="U42" s="31">
        <f>SUMIFS(METALFISA!$E:$E,METALFISA!$A:$A,'Faltantes Fevereiro- Metalfisa'!U$3,METALFISA!$B:$B,'Faltantes Fevereiro- Metalfisa'!$A42)</f>
        <v>0</v>
      </c>
      <c r="V42" s="31">
        <f>SUMIFS(METALFISA!$E:$E,METALFISA!$A:$A,'Faltantes Fevereiro- Metalfisa'!V$3,METALFISA!$B:$B,'Faltantes Fevereiro- Metalfisa'!$A42)</f>
        <v>0</v>
      </c>
      <c r="W42" s="31">
        <f>SUMIFS(METALFISA!$E:$E,METALFISA!$A:$A,'Faltantes Fevereiro- Metalfisa'!W$3,METALFISA!$B:$B,'Faltantes Fevereiro- Metalfisa'!$A42)</f>
        <v>0</v>
      </c>
      <c r="X42" s="31">
        <f>SUMIFS(METALFISA!$E:$E,METALFISA!$A:$A,'Faltantes Fevereiro- Metalfisa'!X$3,METALFISA!$B:$B,'Faltantes Fevereiro- Metalfisa'!$A42)</f>
        <v>0</v>
      </c>
      <c r="Y42" s="31">
        <f>SUMIFS(METALFISA!$E:$E,METALFISA!$A:$A,'Faltantes Fevereiro- Metalfisa'!Y$3,METALFISA!$B:$B,'Faltantes Fevereiro- Metalfisa'!$A42)</f>
        <v>0</v>
      </c>
      <c r="Z42" s="31">
        <f>SUMIFS(METALFISA!$E:$E,METALFISA!$A:$A,'Faltantes Fevereiro- Metalfisa'!Z$3,METALFISA!$B:$B,'Faltantes Fevereiro- Metalfisa'!$A42)</f>
        <v>0</v>
      </c>
      <c r="AA42" s="31">
        <f>SUMIFS(METALFISA!$E:$E,METALFISA!$A:$A,'Faltantes Fevereiro- Metalfisa'!AA$3,METALFISA!$B:$B,'Faltantes Fevereiro- Metalfisa'!$A42)</f>
        <v>0</v>
      </c>
      <c r="AB42" s="31">
        <f>SUMIFS(METALFISA!$E:$E,METALFISA!$A:$A,'Faltantes Fevereiro- Metalfisa'!AB$3,METALFISA!$B:$B,'Faltantes Fevereiro- Metalfisa'!$A42)</f>
        <v>0</v>
      </c>
      <c r="AC42" s="31">
        <f>SUMIFS(METALFISA!$E:$E,METALFISA!$A:$A,'Faltantes Fevereiro- Metalfisa'!AC$3,METALFISA!$B:$B,'Faltantes Fevereiro- Metalfisa'!$A42)</f>
        <v>0</v>
      </c>
      <c r="AD42" s="31">
        <f>SUMIFS(METALFISA!$E:$E,METALFISA!$A:$A,'Faltantes Fevereiro- Metalfisa'!AD$3,METALFISA!$B:$B,'Faltantes Fevereiro- Metalfisa'!$A42)</f>
        <v>0</v>
      </c>
      <c r="AE42" s="31">
        <f>SUMIFS(METALFISA!$E:$E,METALFISA!$A:$A,'Faltantes Fevereiro- Metalfisa'!AE$3,METALFISA!$B:$B,'Faltantes Fevereiro- Metalfisa'!$A42)</f>
        <v>0</v>
      </c>
      <c r="AF42" s="31">
        <f>SUMIFS(METALFISA!$E:$E,METALFISA!$A:$A,'Faltantes Fevereiro- Metalfisa'!AF$3,METALFISA!$B:$B,'Faltantes Fevereiro- Metalfisa'!$A42)</f>
        <v>0</v>
      </c>
      <c r="AG42" s="31">
        <f>SUMIFS(METALFISA!$E:$E,METALFISA!$A:$A,'Faltantes Fevereiro- Metalfisa'!AG$3,METALFISA!$B:$B,'Faltantes Fevereiro- Metalfisa'!$A42)</f>
        <v>2</v>
      </c>
      <c r="AH42" s="31">
        <f>SUMIFS(METALFISA!$E:$E,METALFISA!$A:$A,'Faltantes Fevereiro- Metalfisa'!AH$3,METALFISA!$B:$B,'Faltantes Fevereiro- Metalfisa'!$A42)</f>
        <v>0</v>
      </c>
      <c r="AI42" s="31">
        <f>SUMIFS(METALFISA!$E:$E,METALFISA!$A:$A,'Faltantes Fevereiro- Metalfisa'!AI$3,METALFISA!$B:$B,'Faltantes Fevereiro- Metalfisa'!$A42)</f>
        <v>0</v>
      </c>
      <c r="AJ42" s="31">
        <f>SUMIFS(METALFISA!$E:$E,METALFISA!$A:$A,'Faltantes Fevereiro- Metalfisa'!AJ$3,METALFISA!$B:$B,'Faltantes Fevereiro- Metalfisa'!$A42)</f>
        <v>0</v>
      </c>
      <c r="AK42" s="31">
        <f>SUMIFS(METALFISA!$E:$E,METALFISA!$A:$A,'Faltantes Fevereiro- Metalfisa'!AK$3,METALFISA!$B:$B,'Faltantes Fevereiro- Metalfisa'!$A42)</f>
        <v>0</v>
      </c>
      <c r="AL42" s="31">
        <f>SUMIFS(METALFISA!$E:$E,METALFISA!$A:$A,'Faltantes Fevereiro- Metalfisa'!AL$3,METALFISA!$B:$B,'Faltantes Fevereiro- Metalfisa'!$A42)</f>
        <v>0</v>
      </c>
      <c r="AM42" s="31">
        <f>SUMIFS(METALFISA!$E:$E,METALFISA!$A:$A,'Faltantes Fevereiro- Metalfisa'!AM$3,METALFISA!$B:$B,'Faltantes Fevereiro- Metalfisa'!$A42)</f>
        <v>0</v>
      </c>
      <c r="AN42" s="31">
        <f>SUMIFS(METALFISA!$E:$E,METALFISA!$A:$A,'Faltantes Fevereiro- Metalfisa'!AN$3,METALFISA!$B:$B,'Faltantes Fevereiro- Metalfisa'!$A42)</f>
        <v>0</v>
      </c>
      <c r="AO42" s="31">
        <f>SUMIFS(METALFISA!$E:$E,METALFISA!$A:$A,'Faltantes Fevereiro- Metalfisa'!AO$3,METALFISA!$B:$B,'Faltantes Fevereiro- Metalfisa'!$A42)</f>
        <v>0</v>
      </c>
      <c r="AP42" s="31">
        <f>SUMIFS(METALFISA!$E:$E,METALFISA!$A:$A,'Faltantes Fevereiro- Metalfisa'!AP$3,METALFISA!$B:$B,'Faltantes Fevereiro- Metalfisa'!$A42)</f>
        <v>0</v>
      </c>
      <c r="AQ42" s="31"/>
      <c r="AR42" s="31">
        <f>SUMIFS(METALFISA!$E:$E,METALFISA!$A:$A,'Faltantes Fevereiro- Metalfisa'!AR$3,METALFISA!$B:$B,'Faltantes Fevereiro- Metalfisa'!$A42)</f>
        <v>0</v>
      </c>
      <c r="AS42" s="35">
        <f>SUMIFS(METALFISA!$E:$E,METALFISA!$A:$A,'Faltantes Fevereiro- Metalfisa'!AS$3,METALFISA!$B:$B,'Faltantes Fevereiro- Metalfisa'!$A42)</f>
        <v>0</v>
      </c>
      <c r="AU42" s="18">
        <v>0</v>
      </c>
      <c r="AV42" s="18">
        <v>0</v>
      </c>
      <c r="AW42" s="18">
        <v>0</v>
      </c>
      <c r="AX42" s="18">
        <v>0</v>
      </c>
      <c r="AY42" s="41">
        <v>0</v>
      </c>
      <c r="AZ42" s="31">
        <v>0</v>
      </c>
      <c r="BA42" s="31">
        <v>0</v>
      </c>
      <c r="BB42" s="31">
        <v>0</v>
      </c>
      <c r="BC42" s="31">
        <v>0</v>
      </c>
      <c r="BD42" s="31">
        <v>0</v>
      </c>
      <c r="BE42" s="31">
        <v>0</v>
      </c>
      <c r="BF42" s="31">
        <v>0</v>
      </c>
      <c r="BG42" s="31">
        <v>0</v>
      </c>
      <c r="BH42" s="31">
        <v>0</v>
      </c>
      <c r="BI42" s="31">
        <v>0</v>
      </c>
      <c r="BJ42" s="31">
        <v>0</v>
      </c>
      <c r="BK42" s="31">
        <v>0</v>
      </c>
      <c r="BL42" s="31">
        <v>0</v>
      </c>
      <c r="BM42" s="31">
        <v>1</v>
      </c>
      <c r="BN42" s="31">
        <v>0</v>
      </c>
      <c r="BO42" s="31">
        <v>0</v>
      </c>
      <c r="BP42" s="31">
        <v>0</v>
      </c>
      <c r="BQ42" s="31">
        <v>0</v>
      </c>
      <c r="BR42" s="31">
        <v>0</v>
      </c>
      <c r="BS42" s="31">
        <v>0</v>
      </c>
      <c r="BT42" s="31">
        <v>0</v>
      </c>
      <c r="BU42" s="31">
        <v>0</v>
      </c>
      <c r="BV42" s="31">
        <v>0</v>
      </c>
      <c r="BW42" s="31">
        <v>0</v>
      </c>
      <c r="BX42" s="31">
        <v>0</v>
      </c>
      <c r="BY42" s="31">
        <v>0</v>
      </c>
      <c r="BZ42" s="31">
        <v>0</v>
      </c>
      <c r="CA42" s="31">
        <v>0</v>
      </c>
      <c r="CB42" s="31">
        <v>0</v>
      </c>
      <c r="CC42" s="31">
        <v>0</v>
      </c>
      <c r="CD42" s="31">
        <v>0</v>
      </c>
      <c r="CE42" s="31">
        <v>0</v>
      </c>
      <c r="CF42" s="31">
        <v>0</v>
      </c>
      <c r="CG42" s="31">
        <v>0</v>
      </c>
      <c r="CH42" s="31">
        <v>0</v>
      </c>
      <c r="CI42" s="31">
        <v>0</v>
      </c>
      <c r="CJ42" s="31">
        <v>0</v>
      </c>
      <c r="CK42" s="31">
        <v>0</v>
      </c>
      <c r="CL42" s="35">
        <v>0</v>
      </c>
    </row>
    <row r="43" spans="1:90" x14ac:dyDescent="0.15">
      <c r="A43" s="27" t="s">
        <v>27</v>
      </c>
      <c r="B43" s="28" t="s">
        <v>137</v>
      </c>
      <c r="C43" s="28">
        <v>0</v>
      </c>
      <c r="D43" s="28">
        <v>0</v>
      </c>
      <c r="E43" s="28">
        <v>0</v>
      </c>
      <c r="F43" s="28">
        <v>0</v>
      </c>
      <c r="G43" s="28">
        <v>6</v>
      </c>
      <c r="H43" s="28">
        <f>IFERROR(VLOOKUP(A43,[1]FALTANTES!$A:$AB,28,FALSE),"-")</f>
        <v>0</v>
      </c>
      <c r="I43" s="42">
        <f>IFERROR(VLOOKUP(A43,[1]FALTANTES!$A:$AC,29,FALSE),"-")</f>
        <v>0</v>
      </c>
      <c r="J43" s="29">
        <f>IFERROR(VLOOKUP(A43,[1]FALTANTES!$A:$AD,30,FALSE),"-")</f>
        <v>-6</v>
      </c>
      <c r="K43" s="30">
        <v>0</v>
      </c>
      <c r="L43" s="30">
        <f t="shared" si="0"/>
        <v>6</v>
      </c>
      <c r="M43" s="31">
        <f>SUMIFS(METALFISA!$E:$E,METALFISA!$A:$A,'Faltantes Fevereiro- Metalfisa'!M$3,METALFISA!$B:$B,'Faltantes Fevereiro- Metalfisa'!$A43)</f>
        <v>0</v>
      </c>
      <c r="N43" s="31">
        <f>SUMIFS(METALFISA!$E:$E,METALFISA!$A:$A,'Faltantes Fevereiro- Metalfisa'!N$3,METALFISA!$B:$B,'Faltantes Fevereiro- Metalfisa'!$A43)</f>
        <v>0</v>
      </c>
      <c r="O43" s="31">
        <f>SUMIFS(METALFISA!$E:$E,METALFISA!$A:$A,'Faltantes Fevereiro- Metalfisa'!O$3,METALFISA!$B:$B,'Faltantes Fevereiro- Metalfisa'!$A43)</f>
        <v>0</v>
      </c>
      <c r="P43" s="31">
        <f>SUMIFS(METALFISA!$E:$E,METALFISA!$A:$A,'Faltantes Fevereiro- Metalfisa'!P$3,METALFISA!$B:$B,'Faltantes Fevereiro- Metalfisa'!$A43)</f>
        <v>0</v>
      </c>
      <c r="Q43" s="31">
        <f>SUMIFS(METALFISA!$E:$E,METALFISA!$A:$A,'Faltantes Fevereiro- Metalfisa'!Q$3,METALFISA!$B:$B,'Faltantes Fevereiro- Metalfisa'!$A43)</f>
        <v>0</v>
      </c>
      <c r="R43" s="31">
        <f>SUMIFS(METALFISA!$E:$E,METALFISA!$A:$A,'Faltantes Fevereiro- Metalfisa'!R$3,METALFISA!$B:$B,'Faltantes Fevereiro- Metalfisa'!$A43)</f>
        <v>0</v>
      </c>
      <c r="S43" s="31">
        <f>SUMIFS(METALFISA!$E:$E,METALFISA!$A:$A,'Faltantes Fevereiro- Metalfisa'!S$3,METALFISA!$B:$B,'Faltantes Fevereiro- Metalfisa'!$A43)</f>
        <v>0</v>
      </c>
      <c r="T43" s="31">
        <f>SUMIFS(METALFISA!$E:$E,METALFISA!$A:$A,'Faltantes Fevereiro- Metalfisa'!T$3,METALFISA!$B:$B,'Faltantes Fevereiro- Metalfisa'!$A43)</f>
        <v>0</v>
      </c>
      <c r="U43" s="31">
        <f>SUMIFS(METALFISA!$E:$E,METALFISA!$A:$A,'Faltantes Fevereiro- Metalfisa'!U$3,METALFISA!$B:$B,'Faltantes Fevereiro- Metalfisa'!$A43)</f>
        <v>0</v>
      </c>
      <c r="V43" s="31">
        <f>SUMIFS(METALFISA!$E:$E,METALFISA!$A:$A,'Faltantes Fevereiro- Metalfisa'!V$3,METALFISA!$B:$B,'Faltantes Fevereiro- Metalfisa'!$A43)</f>
        <v>0</v>
      </c>
      <c r="W43" s="31">
        <f>SUMIFS(METALFISA!$E:$E,METALFISA!$A:$A,'Faltantes Fevereiro- Metalfisa'!W$3,METALFISA!$B:$B,'Faltantes Fevereiro- Metalfisa'!$A43)</f>
        <v>0</v>
      </c>
      <c r="X43" s="31">
        <f>SUMIFS(METALFISA!$E:$E,METALFISA!$A:$A,'Faltantes Fevereiro- Metalfisa'!X$3,METALFISA!$B:$B,'Faltantes Fevereiro- Metalfisa'!$A43)</f>
        <v>0</v>
      </c>
      <c r="Y43" s="31">
        <f>SUMIFS(METALFISA!$E:$E,METALFISA!$A:$A,'Faltantes Fevereiro- Metalfisa'!Y$3,METALFISA!$B:$B,'Faltantes Fevereiro- Metalfisa'!$A43)</f>
        <v>0</v>
      </c>
      <c r="Z43" s="31">
        <f>SUMIFS(METALFISA!$E:$E,METALFISA!$A:$A,'Faltantes Fevereiro- Metalfisa'!Z$3,METALFISA!$B:$B,'Faltantes Fevereiro- Metalfisa'!$A43)</f>
        <v>0</v>
      </c>
      <c r="AA43" s="31">
        <f>SUMIFS(METALFISA!$E:$E,METALFISA!$A:$A,'Faltantes Fevereiro- Metalfisa'!AA$3,METALFISA!$B:$B,'Faltantes Fevereiro- Metalfisa'!$A43)</f>
        <v>0</v>
      </c>
      <c r="AB43" s="31">
        <f>SUMIFS(METALFISA!$E:$E,METALFISA!$A:$A,'Faltantes Fevereiro- Metalfisa'!AB$3,METALFISA!$B:$B,'Faltantes Fevereiro- Metalfisa'!$A43)</f>
        <v>0</v>
      </c>
      <c r="AC43" s="31">
        <f>SUMIFS(METALFISA!$E:$E,METALFISA!$A:$A,'Faltantes Fevereiro- Metalfisa'!AC$3,METALFISA!$B:$B,'Faltantes Fevereiro- Metalfisa'!$A43)</f>
        <v>2</v>
      </c>
      <c r="AD43" s="31">
        <f>SUMIFS(METALFISA!$E:$E,METALFISA!$A:$A,'Faltantes Fevereiro- Metalfisa'!AD$3,METALFISA!$B:$B,'Faltantes Fevereiro- Metalfisa'!$A43)</f>
        <v>0</v>
      </c>
      <c r="AE43" s="31">
        <f>SUMIFS(METALFISA!$E:$E,METALFISA!$A:$A,'Faltantes Fevereiro- Metalfisa'!AE$3,METALFISA!$B:$B,'Faltantes Fevereiro- Metalfisa'!$A43)</f>
        <v>0</v>
      </c>
      <c r="AF43" s="31">
        <f>SUMIFS(METALFISA!$E:$E,METALFISA!$A:$A,'Faltantes Fevereiro- Metalfisa'!AF$3,METALFISA!$B:$B,'Faltantes Fevereiro- Metalfisa'!$A43)</f>
        <v>0</v>
      </c>
      <c r="AG43" s="31">
        <f>SUMIFS(METALFISA!$E:$E,METALFISA!$A:$A,'Faltantes Fevereiro- Metalfisa'!AG$3,METALFISA!$B:$B,'Faltantes Fevereiro- Metalfisa'!$A43)</f>
        <v>4</v>
      </c>
      <c r="AH43" s="31">
        <f>SUMIFS(METALFISA!$E:$E,METALFISA!$A:$A,'Faltantes Fevereiro- Metalfisa'!AH$3,METALFISA!$B:$B,'Faltantes Fevereiro- Metalfisa'!$A43)</f>
        <v>0</v>
      </c>
      <c r="AI43" s="31">
        <f>SUMIFS(METALFISA!$E:$E,METALFISA!$A:$A,'Faltantes Fevereiro- Metalfisa'!AI$3,METALFISA!$B:$B,'Faltantes Fevereiro- Metalfisa'!$A43)</f>
        <v>0</v>
      </c>
      <c r="AJ43" s="31">
        <f>SUMIFS(METALFISA!$E:$E,METALFISA!$A:$A,'Faltantes Fevereiro- Metalfisa'!AJ$3,METALFISA!$B:$B,'Faltantes Fevereiro- Metalfisa'!$A43)</f>
        <v>0</v>
      </c>
      <c r="AK43" s="31">
        <f>SUMIFS(METALFISA!$E:$E,METALFISA!$A:$A,'Faltantes Fevereiro- Metalfisa'!AK$3,METALFISA!$B:$B,'Faltantes Fevereiro- Metalfisa'!$A43)</f>
        <v>0</v>
      </c>
      <c r="AL43" s="31">
        <f>SUMIFS(METALFISA!$E:$E,METALFISA!$A:$A,'Faltantes Fevereiro- Metalfisa'!AL$3,METALFISA!$B:$B,'Faltantes Fevereiro- Metalfisa'!$A43)</f>
        <v>0</v>
      </c>
      <c r="AM43" s="31">
        <f>SUMIFS(METALFISA!$E:$E,METALFISA!$A:$A,'Faltantes Fevereiro- Metalfisa'!AM$3,METALFISA!$B:$B,'Faltantes Fevereiro- Metalfisa'!$A43)</f>
        <v>0</v>
      </c>
      <c r="AN43" s="31">
        <f>SUMIFS(METALFISA!$E:$E,METALFISA!$A:$A,'Faltantes Fevereiro- Metalfisa'!AN$3,METALFISA!$B:$B,'Faltantes Fevereiro- Metalfisa'!$A43)</f>
        <v>0</v>
      </c>
      <c r="AO43" s="31">
        <f>SUMIFS(METALFISA!$E:$E,METALFISA!$A:$A,'Faltantes Fevereiro- Metalfisa'!AO$3,METALFISA!$B:$B,'Faltantes Fevereiro- Metalfisa'!$A43)</f>
        <v>0</v>
      </c>
      <c r="AP43" s="31">
        <f>SUMIFS(METALFISA!$E:$E,METALFISA!$A:$A,'Faltantes Fevereiro- Metalfisa'!AP$3,METALFISA!$B:$B,'Faltantes Fevereiro- Metalfisa'!$A43)</f>
        <v>0</v>
      </c>
      <c r="AQ43" s="31"/>
      <c r="AR43" s="31">
        <f>SUMIFS(METALFISA!$E:$E,METALFISA!$A:$A,'Faltantes Fevereiro- Metalfisa'!AR$3,METALFISA!$B:$B,'Faltantes Fevereiro- Metalfisa'!$A43)</f>
        <v>0</v>
      </c>
      <c r="AS43" s="35">
        <f>SUMIFS(METALFISA!$E:$E,METALFISA!$A:$A,'Faltantes Fevereiro- Metalfisa'!AS$3,METALFISA!$B:$B,'Faltantes Fevereiro- Metalfisa'!$A43)</f>
        <v>0</v>
      </c>
      <c r="AU43" s="18">
        <v>0</v>
      </c>
      <c r="AV43" s="18">
        <v>0</v>
      </c>
      <c r="AW43" s="18">
        <v>0</v>
      </c>
      <c r="AX43" s="18">
        <v>0</v>
      </c>
      <c r="AY43" s="41">
        <v>0</v>
      </c>
      <c r="AZ43" s="31">
        <v>0</v>
      </c>
      <c r="BA43" s="31">
        <v>0</v>
      </c>
      <c r="BB43" s="31">
        <v>0</v>
      </c>
      <c r="BC43" s="31">
        <v>0</v>
      </c>
      <c r="BD43" s="31">
        <v>0</v>
      </c>
      <c r="BE43" s="31">
        <v>0</v>
      </c>
      <c r="BF43" s="31">
        <v>0</v>
      </c>
      <c r="BG43" s="31">
        <v>0</v>
      </c>
      <c r="BH43" s="31">
        <v>0</v>
      </c>
      <c r="BI43" s="31">
        <v>0</v>
      </c>
      <c r="BJ43" s="31">
        <v>0</v>
      </c>
      <c r="BK43" s="31">
        <v>0</v>
      </c>
      <c r="BL43" s="31">
        <v>0</v>
      </c>
      <c r="BM43" s="31">
        <v>2</v>
      </c>
      <c r="BN43" s="31">
        <v>0</v>
      </c>
      <c r="BO43" s="31">
        <v>0</v>
      </c>
      <c r="BP43" s="31">
        <v>0</v>
      </c>
      <c r="BQ43" s="31">
        <v>0</v>
      </c>
      <c r="BR43" s="31">
        <v>0</v>
      </c>
      <c r="BS43" s="31">
        <v>0</v>
      </c>
      <c r="BT43" s="31">
        <v>0</v>
      </c>
      <c r="BU43" s="31">
        <v>0</v>
      </c>
      <c r="BV43" s="31">
        <v>0</v>
      </c>
      <c r="BW43" s="31">
        <v>0</v>
      </c>
      <c r="BX43" s="31">
        <v>0</v>
      </c>
      <c r="BY43" s="31">
        <v>0</v>
      </c>
      <c r="BZ43" s="31">
        <v>0</v>
      </c>
      <c r="CA43" s="31">
        <v>0</v>
      </c>
      <c r="CB43" s="31">
        <v>0</v>
      </c>
      <c r="CC43" s="31">
        <v>0</v>
      </c>
      <c r="CD43" s="31">
        <v>0</v>
      </c>
      <c r="CE43" s="31">
        <v>0</v>
      </c>
      <c r="CF43" s="31">
        <v>0</v>
      </c>
      <c r="CG43" s="31">
        <v>0</v>
      </c>
      <c r="CH43" s="31">
        <v>0</v>
      </c>
      <c r="CI43" s="31">
        <v>0</v>
      </c>
      <c r="CJ43" s="31">
        <v>0</v>
      </c>
      <c r="CK43" s="31">
        <v>0</v>
      </c>
      <c r="CL43" s="35">
        <v>0</v>
      </c>
    </row>
    <row r="44" spans="1:90" x14ac:dyDescent="0.15">
      <c r="A44" s="27" t="s">
        <v>585</v>
      </c>
      <c r="B44" s="28" t="s">
        <v>586</v>
      </c>
      <c r="C44" s="28">
        <v>0</v>
      </c>
      <c r="D44" s="28">
        <v>0</v>
      </c>
      <c r="E44" s="28">
        <v>0</v>
      </c>
      <c r="F44" s="28">
        <v>0</v>
      </c>
      <c r="G44" s="28">
        <v>2</v>
      </c>
      <c r="H44" s="28">
        <f>IFERROR(VLOOKUP(A44,[1]FALTANTES!$A:$AB,28,FALSE),"-")</f>
        <v>0</v>
      </c>
      <c r="I44" s="42">
        <f>IFERROR(VLOOKUP(A44,[1]FALTANTES!$A:$AC,29,FALSE),"-")</f>
        <v>0</v>
      </c>
      <c r="J44" s="29">
        <f>IFERROR(VLOOKUP(A44,[1]FALTANTES!$A:$AD,30,FALSE),"-")</f>
        <v>-2</v>
      </c>
      <c r="K44" s="30">
        <v>0</v>
      </c>
      <c r="L44" s="30">
        <f t="shared" si="0"/>
        <v>3</v>
      </c>
      <c r="M44" s="31">
        <f>SUMIFS(METALFISA!$E:$E,METALFISA!$A:$A,'Faltantes Fevereiro- Metalfisa'!M$3,METALFISA!$B:$B,'Faltantes Fevereiro- Metalfisa'!$A44)</f>
        <v>0</v>
      </c>
      <c r="N44" s="31">
        <f>SUMIFS(METALFISA!$E:$E,METALFISA!$A:$A,'Faltantes Fevereiro- Metalfisa'!N$3,METALFISA!$B:$B,'Faltantes Fevereiro- Metalfisa'!$A44)</f>
        <v>0</v>
      </c>
      <c r="O44" s="31">
        <f>SUMIFS(METALFISA!$E:$E,METALFISA!$A:$A,'Faltantes Fevereiro- Metalfisa'!O$3,METALFISA!$B:$B,'Faltantes Fevereiro- Metalfisa'!$A44)</f>
        <v>0</v>
      </c>
      <c r="P44" s="31">
        <f>SUMIFS(METALFISA!$E:$E,METALFISA!$A:$A,'Faltantes Fevereiro- Metalfisa'!P$3,METALFISA!$B:$B,'Faltantes Fevereiro- Metalfisa'!$A44)</f>
        <v>0</v>
      </c>
      <c r="Q44" s="31">
        <f>SUMIFS(METALFISA!$E:$E,METALFISA!$A:$A,'Faltantes Fevereiro- Metalfisa'!Q$3,METALFISA!$B:$B,'Faltantes Fevereiro- Metalfisa'!$A44)</f>
        <v>0</v>
      </c>
      <c r="R44" s="31">
        <f>SUMIFS(METALFISA!$E:$E,METALFISA!$A:$A,'Faltantes Fevereiro- Metalfisa'!R$3,METALFISA!$B:$B,'Faltantes Fevereiro- Metalfisa'!$A44)</f>
        <v>0</v>
      </c>
      <c r="S44" s="31">
        <f>SUMIFS(METALFISA!$E:$E,METALFISA!$A:$A,'Faltantes Fevereiro- Metalfisa'!S$3,METALFISA!$B:$B,'Faltantes Fevereiro- Metalfisa'!$A44)</f>
        <v>0</v>
      </c>
      <c r="T44" s="31">
        <f>SUMIFS(METALFISA!$E:$E,METALFISA!$A:$A,'Faltantes Fevereiro- Metalfisa'!T$3,METALFISA!$B:$B,'Faltantes Fevereiro- Metalfisa'!$A44)</f>
        <v>0</v>
      </c>
      <c r="U44" s="31">
        <f>SUMIFS(METALFISA!$E:$E,METALFISA!$A:$A,'Faltantes Fevereiro- Metalfisa'!U$3,METALFISA!$B:$B,'Faltantes Fevereiro- Metalfisa'!$A44)</f>
        <v>0</v>
      </c>
      <c r="V44" s="31">
        <f>SUMIFS(METALFISA!$E:$E,METALFISA!$A:$A,'Faltantes Fevereiro- Metalfisa'!V$3,METALFISA!$B:$B,'Faltantes Fevereiro- Metalfisa'!$A44)</f>
        <v>0</v>
      </c>
      <c r="W44" s="31">
        <f>SUMIFS(METALFISA!$E:$E,METALFISA!$A:$A,'Faltantes Fevereiro- Metalfisa'!W$3,METALFISA!$B:$B,'Faltantes Fevereiro- Metalfisa'!$A44)</f>
        <v>0</v>
      </c>
      <c r="X44" s="31">
        <f>SUMIFS(METALFISA!$E:$E,METALFISA!$A:$A,'Faltantes Fevereiro- Metalfisa'!X$3,METALFISA!$B:$B,'Faltantes Fevereiro- Metalfisa'!$A44)</f>
        <v>0</v>
      </c>
      <c r="Y44" s="31">
        <f>SUMIFS(METALFISA!$E:$E,METALFISA!$A:$A,'Faltantes Fevereiro- Metalfisa'!Y$3,METALFISA!$B:$B,'Faltantes Fevereiro- Metalfisa'!$A44)</f>
        <v>0</v>
      </c>
      <c r="Z44" s="31">
        <f>SUMIFS(METALFISA!$E:$E,METALFISA!$A:$A,'Faltantes Fevereiro- Metalfisa'!Z$3,METALFISA!$B:$B,'Faltantes Fevereiro- Metalfisa'!$A44)</f>
        <v>0</v>
      </c>
      <c r="AA44" s="31">
        <f>SUMIFS(METALFISA!$E:$E,METALFISA!$A:$A,'Faltantes Fevereiro- Metalfisa'!AA$3,METALFISA!$B:$B,'Faltantes Fevereiro- Metalfisa'!$A44)</f>
        <v>0</v>
      </c>
      <c r="AB44" s="31">
        <f>SUMIFS(METALFISA!$E:$E,METALFISA!$A:$A,'Faltantes Fevereiro- Metalfisa'!AB$3,METALFISA!$B:$B,'Faltantes Fevereiro- Metalfisa'!$A44)</f>
        <v>0</v>
      </c>
      <c r="AC44" s="31">
        <f>SUMIFS(METALFISA!$E:$E,METALFISA!$A:$A,'Faltantes Fevereiro- Metalfisa'!AC$3,METALFISA!$B:$B,'Faltantes Fevereiro- Metalfisa'!$A44)</f>
        <v>1</v>
      </c>
      <c r="AD44" s="31">
        <f>SUMIFS(METALFISA!$E:$E,METALFISA!$A:$A,'Faltantes Fevereiro- Metalfisa'!AD$3,METALFISA!$B:$B,'Faltantes Fevereiro- Metalfisa'!$A44)</f>
        <v>0</v>
      </c>
      <c r="AE44" s="31">
        <f>SUMIFS(METALFISA!$E:$E,METALFISA!$A:$A,'Faltantes Fevereiro- Metalfisa'!AE$3,METALFISA!$B:$B,'Faltantes Fevereiro- Metalfisa'!$A44)</f>
        <v>0</v>
      </c>
      <c r="AF44" s="31">
        <f>SUMIFS(METALFISA!$E:$E,METALFISA!$A:$A,'Faltantes Fevereiro- Metalfisa'!AF$3,METALFISA!$B:$B,'Faltantes Fevereiro- Metalfisa'!$A44)</f>
        <v>0</v>
      </c>
      <c r="AG44" s="31">
        <f>SUMIFS(METALFISA!$E:$E,METALFISA!$A:$A,'Faltantes Fevereiro- Metalfisa'!AG$3,METALFISA!$B:$B,'Faltantes Fevereiro- Metalfisa'!$A44)</f>
        <v>2</v>
      </c>
      <c r="AH44" s="31">
        <f>SUMIFS(METALFISA!$E:$E,METALFISA!$A:$A,'Faltantes Fevereiro- Metalfisa'!AH$3,METALFISA!$B:$B,'Faltantes Fevereiro- Metalfisa'!$A44)</f>
        <v>0</v>
      </c>
      <c r="AI44" s="31">
        <f>SUMIFS(METALFISA!$E:$E,METALFISA!$A:$A,'Faltantes Fevereiro- Metalfisa'!AI$3,METALFISA!$B:$B,'Faltantes Fevereiro- Metalfisa'!$A44)</f>
        <v>0</v>
      </c>
      <c r="AJ44" s="31">
        <f>SUMIFS(METALFISA!$E:$E,METALFISA!$A:$A,'Faltantes Fevereiro- Metalfisa'!AJ$3,METALFISA!$B:$B,'Faltantes Fevereiro- Metalfisa'!$A44)</f>
        <v>0</v>
      </c>
      <c r="AK44" s="31">
        <f>SUMIFS(METALFISA!$E:$E,METALFISA!$A:$A,'Faltantes Fevereiro- Metalfisa'!AK$3,METALFISA!$B:$B,'Faltantes Fevereiro- Metalfisa'!$A44)</f>
        <v>0</v>
      </c>
      <c r="AL44" s="31">
        <f>SUMIFS(METALFISA!$E:$E,METALFISA!$A:$A,'Faltantes Fevereiro- Metalfisa'!AL$3,METALFISA!$B:$B,'Faltantes Fevereiro- Metalfisa'!$A44)</f>
        <v>0</v>
      </c>
      <c r="AM44" s="31">
        <f>SUMIFS(METALFISA!$E:$E,METALFISA!$A:$A,'Faltantes Fevereiro- Metalfisa'!AM$3,METALFISA!$B:$B,'Faltantes Fevereiro- Metalfisa'!$A44)</f>
        <v>0</v>
      </c>
      <c r="AN44" s="31">
        <f>SUMIFS(METALFISA!$E:$E,METALFISA!$A:$A,'Faltantes Fevereiro- Metalfisa'!AN$3,METALFISA!$B:$B,'Faltantes Fevereiro- Metalfisa'!$A44)</f>
        <v>0</v>
      </c>
      <c r="AO44" s="31">
        <f>SUMIFS(METALFISA!$E:$E,METALFISA!$A:$A,'Faltantes Fevereiro- Metalfisa'!AO$3,METALFISA!$B:$B,'Faltantes Fevereiro- Metalfisa'!$A44)</f>
        <v>0</v>
      </c>
      <c r="AP44" s="31">
        <f>SUMIFS(METALFISA!$E:$E,METALFISA!$A:$A,'Faltantes Fevereiro- Metalfisa'!AP$3,METALFISA!$B:$B,'Faltantes Fevereiro- Metalfisa'!$A44)</f>
        <v>0</v>
      </c>
      <c r="AQ44" s="31"/>
      <c r="AR44" s="31">
        <f>SUMIFS(METALFISA!$E:$E,METALFISA!$A:$A,'Faltantes Fevereiro- Metalfisa'!AR$3,METALFISA!$B:$B,'Faltantes Fevereiro- Metalfisa'!$A44)</f>
        <v>0</v>
      </c>
      <c r="AS44" s="35">
        <f>SUMIFS(METALFISA!$E:$E,METALFISA!$A:$A,'Faltantes Fevereiro- Metalfisa'!AS$3,METALFISA!$B:$B,'Faltantes Fevereiro- Metalfisa'!$A44)</f>
        <v>0</v>
      </c>
      <c r="AU44" s="18">
        <v>0</v>
      </c>
      <c r="AV44" s="18">
        <v>0</v>
      </c>
      <c r="AW44" s="18">
        <v>0</v>
      </c>
      <c r="AX44" s="18">
        <v>0</v>
      </c>
      <c r="AY44" s="41">
        <v>0</v>
      </c>
      <c r="AZ44" s="31">
        <v>0</v>
      </c>
      <c r="BA44" s="31">
        <v>0</v>
      </c>
      <c r="BB44" s="31">
        <v>0</v>
      </c>
      <c r="BC44" s="31">
        <v>0</v>
      </c>
      <c r="BD44" s="31">
        <v>0</v>
      </c>
      <c r="BE44" s="31">
        <v>0</v>
      </c>
      <c r="BF44" s="31">
        <v>0</v>
      </c>
      <c r="BG44" s="31">
        <v>0</v>
      </c>
      <c r="BH44" s="31">
        <v>0</v>
      </c>
      <c r="BI44" s="31">
        <v>0</v>
      </c>
      <c r="BJ44" s="31">
        <v>0</v>
      </c>
      <c r="BK44" s="31">
        <v>0</v>
      </c>
      <c r="BL44" s="31">
        <v>0</v>
      </c>
      <c r="BM44" s="31">
        <v>1</v>
      </c>
      <c r="BN44" s="31">
        <v>0</v>
      </c>
      <c r="BO44" s="31">
        <v>0</v>
      </c>
      <c r="BP44" s="31">
        <v>0</v>
      </c>
      <c r="BQ44" s="31">
        <v>0</v>
      </c>
      <c r="BR44" s="31">
        <v>0</v>
      </c>
      <c r="BS44" s="31">
        <v>0</v>
      </c>
      <c r="BT44" s="31">
        <v>0</v>
      </c>
      <c r="BU44" s="31">
        <v>0</v>
      </c>
      <c r="BV44" s="31">
        <v>0</v>
      </c>
      <c r="BW44" s="31">
        <v>0</v>
      </c>
      <c r="BX44" s="31">
        <v>0</v>
      </c>
      <c r="BY44" s="31">
        <v>0</v>
      </c>
      <c r="BZ44" s="31">
        <v>0</v>
      </c>
      <c r="CA44" s="31">
        <v>0</v>
      </c>
      <c r="CB44" s="31">
        <v>0</v>
      </c>
      <c r="CC44" s="31">
        <v>0</v>
      </c>
      <c r="CD44" s="31">
        <v>0</v>
      </c>
      <c r="CE44" s="31">
        <v>0</v>
      </c>
      <c r="CF44" s="31">
        <v>0</v>
      </c>
      <c r="CG44" s="31">
        <v>0</v>
      </c>
      <c r="CH44" s="31">
        <v>0</v>
      </c>
      <c r="CI44" s="31">
        <v>0</v>
      </c>
      <c r="CJ44" s="31">
        <v>0</v>
      </c>
      <c r="CK44" s="31">
        <v>0</v>
      </c>
      <c r="CL44" s="35">
        <v>0</v>
      </c>
    </row>
    <row r="45" spans="1:90" ht="21" x14ac:dyDescent="0.15">
      <c r="A45" s="27" t="s">
        <v>1805</v>
      </c>
      <c r="B45" s="28" t="s">
        <v>1806</v>
      </c>
      <c r="C45" s="28">
        <v>0</v>
      </c>
      <c r="D45" s="28">
        <v>0</v>
      </c>
      <c r="E45" s="28">
        <v>0</v>
      </c>
      <c r="F45" s="28">
        <v>0</v>
      </c>
      <c r="G45" s="28">
        <v>2</v>
      </c>
      <c r="H45" s="28">
        <f>IFERROR(VLOOKUP(A45,[1]FALTANTES!$A:$AB,28,FALSE),"-")</f>
        <v>0</v>
      </c>
      <c r="I45" s="42">
        <f>IFERROR(VLOOKUP(A45,[1]FALTANTES!$A:$AC,29,FALSE),"-")</f>
        <v>0</v>
      </c>
      <c r="J45" s="29">
        <f>IFERROR(VLOOKUP(A45,[1]FALTANTES!$A:$AD,30,FALSE),"-")</f>
        <v>-2</v>
      </c>
      <c r="K45" s="30">
        <v>0</v>
      </c>
      <c r="L45" s="30">
        <f t="shared" si="0"/>
        <v>2</v>
      </c>
      <c r="M45" s="31">
        <f>SUMIFS(METALFISA!$E:$E,METALFISA!$A:$A,'Faltantes Fevereiro- Metalfisa'!M$3,METALFISA!$B:$B,'Faltantes Fevereiro- Metalfisa'!$A45)</f>
        <v>0</v>
      </c>
      <c r="N45" s="31">
        <f>SUMIFS(METALFISA!$E:$E,METALFISA!$A:$A,'Faltantes Fevereiro- Metalfisa'!N$3,METALFISA!$B:$B,'Faltantes Fevereiro- Metalfisa'!$A45)</f>
        <v>0</v>
      </c>
      <c r="O45" s="31">
        <f>SUMIFS(METALFISA!$E:$E,METALFISA!$A:$A,'Faltantes Fevereiro- Metalfisa'!O$3,METALFISA!$B:$B,'Faltantes Fevereiro- Metalfisa'!$A45)</f>
        <v>0</v>
      </c>
      <c r="P45" s="31">
        <f>SUMIFS(METALFISA!$E:$E,METALFISA!$A:$A,'Faltantes Fevereiro- Metalfisa'!P$3,METALFISA!$B:$B,'Faltantes Fevereiro- Metalfisa'!$A45)</f>
        <v>0</v>
      </c>
      <c r="Q45" s="31">
        <f>SUMIFS(METALFISA!$E:$E,METALFISA!$A:$A,'Faltantes Fevereiro- Metalfisa'!Q$3,METALFISA!$B:$B,'Faltantes Fevereiro- Metalfisa'!$A45)</f>
        <v>0</v>
      </c>
      <c r="R45" s="31">
        <f>SUMIFS(METALFISA!$E:$E,METALFISA!$A:$A,'Faltantes Fevereiro- Metalfisa'!R$3,METALFISA!$B:$B,'Faltantes Fevereiro- Metalfisa'!$A45)</f>
        <v>0</v>
      </c>
      <c r="S45" s="31">
        <f>SUMIFS(METALFISA!$E:$E,METALFISA!$A:$A,'Faltantes Fevereiro- Metalfisa'!S$3,METALFISA!$B:$B,'Faltantes Fevereiro- Metalfisa'!$A45)</f>
        <v>0</v>
      </c>
      <c r="T45" s="31">
        <f>SUMIFS(METALFISA!$E:$E,METALFISA!$A:$A,'Faltantes Fevereiro- Metalfisa'!T$3,METALFISA!$B:$B,'Faltantes Fevereiro- Metalfisa'!$A45)</f>
        <v>0</v>
      </c>
      <c r="U45" s="31">
        <f>SUMIFS(METALFISA!$E:$E,METALFISA!$A:$A,'Faltantes Fevereiro- Metalfisa'!U$3,METALFISA!$B:$B,'Faltantes Fevereiro- Metalfisa'!$A45)</f>
        <v>0</v>
      </c>
      <c r="V45" s="31">
        <f>SUMIFS(METALFISA!$E:$E,METALFISA!$A:$A,'Faltantes Fevereiro- Metalfisa'!V$3,METALFISA!$B:$B,'Faltantes Fevereiro- Metalfisa'!$A45)</f>
        <v>0</v>
      </c>
      <c r="W45" s="31">
        <f>SUMIFS(METALFISA!$E:$E,METALFISA!$A:$A,'Faltantes Fevereiro- Metalfisa'!W$3,METALFISA!$B:$B,'Faltantes Fevereiro- Metalfisa'!$A45)</f>
        <v>0</v>
      </c>
      <c r="X45" s="31">
        <f>SUMIFS(METALFISA!$E:$E,METALFISA!$A:$A,'Faltantes Fevereiro- Metalfisa'!X$3,METALFISA!$B:$B,'Faltantes Fevereiro- Metalfisa'!$A45)</f>
        <v>0</v>
      </c>
      <c r="Y45" s="31">
        <f>SUMIFS(METALFISA!$E:$E,METALFISA!$A:$A,'Faltantes Fevereiro- Metalfisa'!Y$3,METALFISA!$B:$B,'Faltantes Fevereiro- Metalfisa'!$A45)</f>
        <v>0</v>
      </c>
      <c r="Z45" s="31">
        <f>SUMIFS(METALFISA!$E:$E,METALFISA!$A:$A,'Faltantes Fevereiro- Metalfisa'!Z$3,METALFISA!$B:$B,'Faltantes Fevereiro- Metalfisa'!$A45)</f>
        <v>0</v>
      </c>
      <c r="AA45" s="31">
        <f>SUMIFS(METALFISA!$E:$E,METALFISA!$A:$A,'Faltantes Fevereiro- Metalfisa'!AA$3,METALFISA!$B:$B,'Faltantes Fevereiro- Metalfisa'!$A45)</f>
        <v>0</v>
      </c>
      <c r="AB45" s="31">
        <f>SUMIFS(METALFISA!$E:$E,METALFISA!$A:$A,'Faltantes Fevereiro- Metalfisa'!AB$3,METALFISA!$B:$B,'Faltantes Fevereiro- Metalfisa'!$A45)</f>
        <v>0</v>
      </c>
      <c r="AC45" s="31">
        <f>SUMIFS(METALFISA!$E:$E,METALFISA!$A:$A,'Faltantes Fevereiro- Metalfisa'!AC$3,METALFISA!$B:$B,'Faltantes Fevereiro- Metalfisa'!$A45)</f>
        <v>0</v>
      </c>
      <c r="AD45" s="31">
        <f>SUMIFS(METALFISA!$E:$E,METALFISA!$A:$A,'Faltantes Fevereiro- Metalfisa'!AD$3,METALFISA!$B:$B,'Faltantes Fevereiro- Metalfisa'!$A45)</f>
        <v>0</v>
      </c>
      <c r="AE45" s="31">
        <f>SUMIFS(METALFISA!$E:$E,METALFISA!$A:$A,'Faltantes Fevereiro- Metalfisa'!AE$3,METALFISA!$B:$B,'Faltantes Fevereiro- Metalfisa'!$A45)</f>
        <v>0</v>
      </c>
      <c r="AF45" s="31">
        <f>SUMIFS(METALFISA!$E:$E,METALFISA!$A:$A,'Faltantes Fevereiro- Metalfisa'!AF$3,METALFISA!$B:$B,'Faltantes Fevereiro- Metalfisa'!$A45)</f>
        <v>0</v>
      </c>
      <c r="AG45" s="31">
        <f>SUMIFS(METALFISA!$E:$E,METALFISA!$A:$A,'Faltantes Fevereiro- Metalfisa'!AG$3,METALFISA!$B:$B,'Faltantes Fevereiro- Metalfisa'!$A45)</f>
        <v>2</v>
      </c>
      <c r="AH45" s="31">
        <f>SUMIFS(METALFISA!$E:$E,METALFISA!$A:$A,'Faltantes Fevereiro- Metalfisa'!AH$3,METALFISA!$B:$B,'Faltantes Fevereiro- Metalfisa'!$A45)</f>
        <v>0</v>
      </c>
      <c r="AI45" s="31">
        <f>SUMIFS(METALFISA!$E:$E,METALFISA!$A:$A,'Faltantes Fevereiro- Metalfisa'!AI$3,METALFISA!$B:$B,'Faltantes Fevereiro- Metalfisa'!$A45)</f>
        <v>0</v>
      </c>
      <c r="AJ45" s="31">
        <f>SUMIFS(METALFISA!$E:$E,METALFISA!$A:$A,'Faltantes Fevereiro- Metalfisa'!AJ$3,METALFISA!$B:$B,'Faltantes Fevereiro- Metalfisa'!$A45)</f>
        <v>0</v>
      </c>
      <c r="AK45" s="31">
        <f>SUMIFS(METALFISA!$E:$E,METALFISA!$A:$A,'Faltantes Fevereiro- Metalfisa'!AK$3,METALFISA!$B:$B,'Faltantes Fevereiro- Metalfisa'!$A45)</f>
        <v>0</v>
      </c>
      <c r="AL45" s="31">
        <f>SUMIFS(METALFISA!$E:$E,METALFISA!$A:$A,'Faltantes Fevereiro- Metalfisa'!AL$3,METALFISA!$B:$B,'Faltantes Fevereiro- Metalfisa'!$A45)</f>
        <v>0</v>
      </c>
      <c r="AM45" s="31">
        <f>SUMIFS(METALFISA!$E:$E,METALFISA!$A:$A,'Faltantes Fevereiro- Metalfisa'!AM$3,METALFISA!$B:$B,'Faltantes Fevereiro- Metalfisa'!$A45)</f>
        <v>0</v>
      </c>
      <c r="AN45" s="31">
        <f>SUMIFS(METALFISA!$E:$E,METALFISA!$A:$A,'Faltantes Fevereiro- Metalfisa'!AN$3,METALFISA!$B:$B,'Faltantes Fevereiro- Metalfisa'!$A45)</f>
        <v>0</v>
      </c>
      <c r="AO45" s="31">
        <f>SUMIFS(METALFISA!$E:$E,METALFISA!$A:$A,'Faltantes Fevereiro- Metalfisa'!AO$3,METALFISA!$B:$B,'Faltantes Fevereiro- Metalfisa'!$A45)</f>
        <v>0</v>
      </c>
      <c r="AP45" s="31">
        <f>SUMIFS(METALFISA!$E:$E,METALFISA!$A:$A,'Faltantes Fevereiro- Metalfisa'!AP$3,METALFISA!$B:$B,'Faltantes Fevereiro- Metalfisa'!$A45)</f>
        <v>0</v>
      </c>
      <c r="AQ45" s="31"/>
      <c r="AR45" s="31">
        <f>SUMIFS(METALFISA!$E:$E,METALFISA!$A:$A,'Faltantes Fevereiro- Metalfisa'!AR$3,METALFISA!$B:$B,'Faltantes Fevereiro- Metalfisa'!$A45)</f>
        <v>0</v>
      </c>
      <c r="AS45" s="35">
        <f>SUMIFS(METALFISA!$E:$E,METALFISA!$A:$A,'Faltantes Fevereiro- Metalfisa'!AS$3,METALFISA!$B:$B,'Faltantes Fevereiro- Metalfisa'!$A45)</f>
        <v>0</v>
      </c>
      <c r="AU45" s="18">
        <v>0</v>
      </c>
      <c r="AV45" s="18">
        <v>0</v>
      </c>
      <c r="AW45" s="18">
        <v>0</v>
      </c>
      <c r="AX45" s="18">
        <v>0</v>
      </c>
      <c r="AY45" s="41">
        <v>0</v>
      </c>
      <c r="AZ45" s="31">
        <v>0</v>
      </c>
      <c r="BA45" s="31">
        <v>0</v>
      </c>
      <c r="BB45" s="31">
        <v>0</v>
      </c>
      <c r="BC45" s="31">
        <v>0</v>
      </c>
      <c r="BD45" s="31">
        <v>0</v>
      </c>
      <c r="BE45" s="31">
        <v>0</v>
      </c>
      <c r="BF45" s="31">
        <v>0</v>
      </c>
      <c r="BG45" s="31">
        <v>0</v>
      </c>
      <c r="BH45" s="31">
        <v>0</v>
      </c>
      <c r="BI45" s="31">
        <v>0</v>
      </c>
      <c r="BJ45" s="31">
        <v>0</v>
      </c>
      <c r="BK45" s="31">
        <v>0</v>
      </c>
      <c r="BL45" s="31">
        <v>0</v>
      </c>
      <c r="BM45" s="31">
        <v>1</v>
      </c>
      <c r="BN45" s="31">
        <v>0</v>
      </c>
      <c r="BO45" s="31">
        <v>0</v>
      </c>
      <c r="BP45" s="31">
        <v>0</v>
      </c>
      <c r="BQ45" s="31">
        <v>0</v>
      </c>
      <c r="BR45" s="31">
        <v>0</v>
      </c>
      <c r="BS45" s="31">
        <v>0</v>
      </c>
      <c r="BT45" s="31">
        <v>0</v>
      </c>
      <c r="BU45" s="31">
        <v>0</v>
      </c>
      <c r="BV45" s="31">
        <v>0</v>
      </c>
      <c r="BW45" s="31">
        <v>0</v>
      </c>
      <c r="BX45" s="31">
        <v>0</v>
      </c>
      <c r="BY45" s="31">
        <v>0</v>
      </c>
      <c r="BZ45" s="31">
        <v>0</v>
      </c>
      <c r="CA45" s="31">
        <v>0</v>
      </c>
      <c r="CB45" s="31">
        <v>0</v>
      </c>
      <c r="CC45" s="31">
        <v>0</v>
      </c>
      <c r="CD45" s="31">
        <v>0</v>
      </c>
      <c r="CE45" s="31">
        <v>0</v>
      </c>
      <c r="CF45" s="31">
        <v>0</v>
      </c>
      <c r="CG45" s="31">
        <v>0</v>
      </c>
      <c r="CH45" s="31">
        <v>0</v>
      </c>
      <c r="CI45" s="31">
        <v>0</v>
      </c>
      <c r="CJ45" s="31">
        <v>0</v>
      </c>
      <c r="CK45" s="31">
        <v>0</v>
      </c>
      <c r="CL45" s="35">
        <v>0</v>
      </c>
    </row>
    <row r="46" spans="1:90" ht="21" x14ac:dyDescent="0.15">
      <c r="A46" s="27" t="s">
        <v>591</v>
      </c>
      <c r="B46" s="28" t="s">
        <v>592</v>
      </c>
      <c r="C46" s="28">
        <v>0</v>
      </c>
      <c r="D46" s="28">
        <v>0</v>
      </c>
      <c r="E46" s="28">
        <v>0</v>
      </c>
      <c r="F46" s="28">
        <v>0</v>
      </c>
      <c r="G46" s="28">
        <v>3</v>
      </c>
      <c r="H46" s="28">
        <f>IFERROR(VLOOKUP(A46,[1]FALTANTES!$A:$AB,28,FALSE),"-")</f>
        <v>0</v>
      </c>
      <c r="I46" s="42">
        <f>IFERROR(VLOOKUP(A46,[1]FALTANTES!$A:$AC,29,FALSE),"-")</f>
        <v>2</v>
      </c>
      <c r="J46" s="29">
        <f>IFERROR(VLOOKUP(A46,[1]FALTANTES!$A:$AD,30,FALSE),"-")</f>
        <v>-1</v>
      </c>
      <c r="K46" s="30">
        <v>0</v>
      </c>
      <c r="L46" s="30">
        <f t="shared" si="0"/>
        <v>1</v>
      </c>
      <c r="M46" s="31">
        <f>SUMIFS(METALFISA!$E:$E,METALFISA!$A:$A,'Faltantes Fevereiro- Metalfisa'!M$3,METALFISA!$B:$B,'Faltantes Fevereiro- Metalfisa'!$A46)</f>
        <v>0</v>
      </c>
      <c r="N46" s="31">
        <f>SUMIFS(METALFISA!$E:$E,METALFISA!$A:$A,'Faltantes Fevereiro- Metalfisa'!N$3,METALFISA!$B:$B,'Faltantes Fevereiro- Metalfisa'!$A46)</f>
        <v>0</v>
      </c>
      <c r="O46" s="31">
        <f>SUMIFS(METALFISA!$E:$E,METALFISA!$A:$A,'Faltantes Fevereiro- Metalfisa'!O$3,METALFISA!$B:$B,'Faltantes Fevereiro- Metalfisa'!$A46)</f>
        <v>0</v>
      </c>
      <c r="P46" s="31">
        <f>SUMIFS(METALFISA!$E:$E,METALFISA!$A:$A,'Faltantes Fevereiro- Metalfisa'!P$3,METALFISA!$B:$B,'Faltantes Fevereiro- Metalfisa'!$A46)</f>
        <v>0</v>
      </c>
      <c r="Q46" s="31">
        <f>SUMIFS(METALFISA!$E:$E,METALFISA!$A:$A,'Faltantes Fevereiro- Metalfisa'!Q$3,METALFISA!$B:$B,'Faltantes Fevereiro- Metalfisa'!$A46)</f>
        <v>0</v>
      </c>
      <c r="R46" s="31">
        <f>SUMIFS(METALFISA!$E:$E,METALFISA!$A:$A,'Faltantes Fevereiro- Metalfisa'!R$3,METALFISA!$B:$B,'Faltantes Fevereiro- Metalfisa'!$A46)</f>
        <v>0</v>
      </c>
      <c r="S46" s="31">
        <f>SUMIFS(METALFISA!$E:$E,METALFISA!$A:$A,'Faltantes Fevereiro- Metalfisa'!S$3,METALFISA!$B:$B,'Faltantes Fevereiro- Metalfisa'!$A46)</f>
        <v>0</v>
      </c>
      <c r="T46" s="31">
        <f>SUMIFS(METALFISA!$E:$E,METALFISA!$A:$A,'Faltantes Fevereiro- Metalfisa'!T$3,METALFISA!$B:$B,'Faltantes Fevereiro- Metalfisa'!$A46)</f>
        <v>0</v>
      </c>
      <c r="U46" s="31">
        <f>SUMIFS(METALFISA!$E:$E,METALFISA!$A:$A,'Faltantes Fevereiro- Metalfisa'!U$3,METALFISA!$B:$B,'Faltantes Fevereiro- Metalfisa'!$A46)</f>
        <v>0</v>
      </c>
      <c r="V46" s="31">
        <f>SUMIFS(METALFISA!$E:$E,METALFISA!$A:$A,'Faltantes Fevereiro- Metalfisa'!V$3,METALFISA!$B:$B,'Faltantes Fevereiro- Metalfisa'!$A46)</f>
        <v>0</v>
      </c>
      <c r="W46" s="31">
        <f>SUMIFS(METALFISA!$E:$E,METALFISA!$A:$A,'Faltantes Fevereiro- Metalfisa'!W$3,METALFISA!$B:$B,'Faltantes Fevereiro- Metalfisa'!$A46)</f>
        <v>0</v>
      </c>
      <c r="X46" s="31">
        <f>SUMIFS(METALFISA!$E:$E,METALFISA!$A:$A,'Faltantes Fevereiro- Metalfisa'!X$3,METALFISA!$B:$B,'Faltantes Fevereiro- Metalfisa'!$A46)</f>
        <v>0</v>
      </c>
      <c r="Y46" s="31">
        <f>SUMIFS(METALFISA!$E:$E,METALFISA!$A:$A,'Faltantes Fevereiro- Metalfisa'!Y$3,METALFISA!$B:$B,'Faltantes Fevereiro- Metalfisa'!$A46)</f>
        <v>0</v>
      </c>
      <c r="Z46" s="31">
        <f>SUMIFS(METALFISA!$E:$E,METALFISA!$A:$A,'Faltantes Fevereiro- Metalfisa'!Z$3,METALFISA!$B:$B,'Faltantes Fevereiro- Metalfisa'!$A46)</f>
        <v>0</v>
      </c>
      <c r="AA46" s="31">
        <f>SUMIFS(METALFISA!$E:$E,METALFISA!$A:$A,'Faltantes Fevereiro- Metalfisa'!AA$3,METALFISA!$B:$B,'Faltantes Fevereiro- Metalfisa'!$A46)</f>
        <v>0</v>
      </c>
      <c r="AB46" s="31">
        <f>SUMIFS(METALFISA!$E:$E,METALFISA!$A:$A,'Faltantes Fevereiro- Metalfisa'!AB$3,METALFISA!$B:$B,'Faltantes Fevereiro- Metalfisa'!$A46)</f>
        <v>0</v>
      </c>
      <c r="AC46" s="31">
        <f>SUMIFS(METALFISA!$E:$E,METALFISA!$A:$A,'Faltantes Fevereiro- Metalfisa'!AC$3,METALFISA!$B:$B,'Faltantes Fevereiro- Metalfisa'!$A46)</f>
        <v>1</v>
      </c>
      <c r="AD46" s="31">
        <f>SUMIFS(METALFISA!$E:$E,METALFISA!$A:$A,'Faltantes Fevereiro- Metalfisa'!AD$3,METALFISA!$B:$B,'Faltantes Fevereiro- Metalfisa'!$A46)</f>
        <v>0</v>
      </c>
      <c r="AE46" s="31">
        <f>SUMIFS(METALFISA!$E:$E,METALFISA!$A:$A,'Faltantes Fevereiro- Metalfisa'!AE$3,METALFISA!$B:$B,'Faltantes Fevereiro- Metalfisa'!$A46)</f>
        <v>0</v>
      </c>
      <c r="AF46" s="31">
        <f>SUMIFS(METALFISA!$E:$E,METALFISA!$A:$A,'Faltantes Fevereiro- Metalfisa'!AF$3,METALFISA!$B:$B,'Faltantes Fevereiro- Metalfisa'!$A46)</f>
        <v>0</v>
      </c>
      <c r="AG46" s="31">
        <f>SUMIFS(METALFISA!$E:$E,METALFISA!$A:$A,'Faltantes Fevereiro- Metalfisa'!AG$3,METALFISA!$B:$B,'Faltantes Fevereiro- Metalfisa'!$A46)</f>
        <v>0</v>
      </c>
      <c r="AH46" s="31">
        <f>SUMIFS(METALFISA!$E:$E,METALFISA!$A:$A,'Faltantes Fevereiro- Metalfisa'!AH$3,METALFISA!$B:$B,'Faltantes Fevereiro- Metalfisa'!$A46)</f>
        <v>0</v>
      </c>
      <c r="AI46" s="31">
        <f>SUMIFS(METALFISA!$E:$E,METALFISA!$A:$A,'Faltantes Fevereiro- Metalfisa'!AI$3,METALFISA!$B:$B,'Faltantes Fevereiro- Metalfisa'!$A46)</f>
        <v>0</v>
      </c>
      <c r="AJ46" s="31">
        <f>SUMIFS(METALFISA!$E:$E,METALFISA!$A:$A,'Faltantes Fevereiro- Metalfisa'!AJ$3,METALFISA!$B:$B,'Faltantes Fevereiro- Metalfisa'!$A46)</f>
        <v>0</v>
      </c>
      <c r="AK46" s="31">
        <f>SUMIFS(METALFISA!$E:$E,METALFISA!$A:$A,'Faltantes Fevereiro- Metalfisa'!AK$3,METALFISA!$B:$B,'Faltantes Fevereiro- Metalfisa'!$A46)</f>
        <v>0</v>
      </c>
      <c r="AL46" s="31">
        <f>SUMIFS(METALFISA!$E:$E,METALFISA!$A:$A,'Faltantes Fevereiro- Metalfisa'!AL$3,METALFISA!$B:$B,'Faltantes Fevereiro- Metalfisa'!$A46)</f>
        <v>0</v>
      </c>
      <c r="AM46" s="31">
        <f>SUMIFS(METALFISA!$E:$E,METALFISA!$A:$A,'Faltantes Fevereiro- Metalfisa'!AM$3,METALFISA!$B:$B,'Faltantes Fevereiro- Metalfisa'!$A46)</f>
        <v>0</v>
      </c>
      <c r="AN46" s="31">
        <f>SUMIFS(METALFISA!$E:$E,METALFISA!$A:$A,'Faltantes Fevereiro- Metalfisa'!AN$3,METALFISA!$B:$B,'Faltantes Fevereiro- Metalfisa'!$A46)</f>
        <v>0</v>
      </c>
      <c r="AO46" s="31">
        <f>SUMIFS(METALFISA!$E:$E,METALFISA!$A:$A,'Faltantes Fevereiro- Metalfisa'!AO$3,METALFISA!$B:$B,'Faltantes Fevereiro- Metalfisa'!$A46)</f>
        <v>0</v>
      </c>
      <c r="AP46" s="31">
        <f>SUMIFS(METALFISA!$E:$E,METALFISA!$A:$A,'Faltantes Fevereiro- Metalfisa'!AP$3,METALFISA!$B:$B,'Faltantes Fevereiro- Metalfisa'!$A46)</f>
        <v>0</v>
      </c>
      <c r="AQ46" s="31"/>
      <c r="AR46" s="31">
        <f>SUMIFS(METALFISA!$E:$E,METALFISA!$A:$A,'Faltantes Fevereiro- Metalfisa'!AR$3,METALFISA!$B:$B,'Faltantes Fevereiro- Metalfisa'!$A46)</f>
        <v>0</v>
      </c>
      <c r="AS46" s="35">
        <f>SUMIFS(METALFISA!$E:$E,METALFISA!$A:$A,'Faltantes Fevereiro- Metalfisa'!AS$3,METALFISA!$B:$B,'Faltantes Fevereiro- Metalfisa'!$A46)</f>
        <v>0</v>
      </c>
      <c r="AU46" s="18">
        <v>0</v>
      </c>
      <c r="AV46" s="18">
        <v>0</v>
      </c>
      <c r="AW46" s="18">
        <v>0</v>
      </c>
      <c r="AX46" s="18">
        <v>0</v>
      </c>
      <c r="AY46" s="41">
        <v>0</v>
      </c>
      <c r="AZ46" s="31">
        <v>0</v>
      </c>
      <c r="BA46" s="31">
        <v>0</v>
      </c>
      <c r="BB46" s="31">
        <v>0</v>
      </c>
      <c r="BC46" s="31">
        <v>0</v>
      </c>
      <c r="BD46" s="31">
        <v>0</v>
      </c>
      <c r="BE46" s="31">
        <v>0</v>
      </c>
      <c r="BF46" s="31">
        <v>0</v>
      </c>
      <c r="BG46" s="31">
        <v>0</v>
      </c>
      <c r="BH46" s="31">
        <v>0</v>
      </c>
      <c r="BI46" s="31">
        <v>0</v>
      </c>
      <c r="BJ46" s="31">
        <v>0</v>
      </c>
      <c r="BK46" s="31">
        <v>0</v>
      </c>
      <c r="BL46" s="31">
        <v>0</v>
      </c>
      <c r="BM46" s="31">
        <v>1</v>
      </c>
      <c r="BN46" s="31">
        <v>0</v>
      </c>
      <c r="BO46" s="31">
        <v>0</v>
      </c>
      <c r="BP46" s="31">
        <v>0</v>
      </c>
      <c r="BQ46" s="31">
        <v>0</v>
      </c>
      <c r="BR46" s="31">
        <v>0</v>
      </c>
      <c r="BS46" s="31">
        <v>0</v>
      </c>
      <c r="BT46" s="31">
        <v>0</v>
      </c>
      <c r="BU46" s="31">
        <v>0</v>
      </c>
      <c r="BV46" s="31">
        <v>0</v>
      </c>
      <c r="BW46" s="31">
        <v>0</v>
      </c>
      <c r="BX46" s="31">
        <v>0</v>
      </c>
      <c r="BY46" s="31">
        <v>0</v>
      </c>
      <c r="BZ46" s="31">
        <v>0</v>
      </c>
      <c r="CA46" s="31">
        <v>0</v>
      </c>
      <c r="CB46" s="31">
        <v>0</v>
      </c>
      <c r="CC46" s="31">
        <v>0</v>
      </c>
      <c r="CD46" s="31">
        <v>0</v>
      </c>
      <c r="CE46" s="31">
        <v>0</v>
      </c>
      <c r="CF46" s="31">
        <v>0</v>
      </c>
      <c r="CG46" s="31">
        <v>0</v>
      </c>
      <c r="CH46" s="31">
        <v>0</v>
      </c>
      <c r="CI46" s="31">
        <v>0</v>
      </c>
      <c r="CJ46" s="31">
        <v>0</v>
      </c>
      <c r="CK46" s="31">
        <v>0</v>
      </c>
      <c r="CL46" s="35">
        <v>0</v>
      </c>
    </row>
    <row r="47" spans="1:90" x14ac:dyDescent="0.15">
      <c r="A47" s="27" t="s">
        <v>4631</v>
      </c>
      <c r="B47" s="28" t="s">
        <v>5610</v>
      </c>
      <c r="C47" s="28">
        <v>0</v>
      </c>
      <c r="D47" s="28">
        <v>0</v>
      </c>
      <c r="E47" s="28">
        <v>0</v>
      </c>
      <c r="F47" s="28">
        <v>0</v>
      </c>
      <c r="G47" s="28">
        <v>22</v>
      </c>
      <c r="H47" s="28">
        <f>IFERROR(VLOOKUP(A47,[1]FALTANTES!$A:$AB,28,FALSE),"-")</f>
        <v>0</v>
      </c>
      <c r="I47" s="42">
        <f>IFERROR(VLOOKUP(A47,[1]FALTANTES!$A:$AC,29,FALSE),"-")</f>
        <v>0</v>
      </c>
      <c r="J47" s="29">
        <f>IFERROR(VLOOKUP(A47,[1]FALTANTES!$A:$AD,30,FALSE),"-")</f>
        <v>-22</v>
      </c>
      <c r="K47" s="30">
        <v>0</v>
      </c>
      <c r="L47" s="30">
        <f t="shared" si="0"/>
        <v>422</v>
      </c>
      <c r="M47" s="31">
        <f>SUMIFS(METALFISA!$E:$E,METALFISA!$A:$A,'Faltantes Fevereiro- Metalfisa'!M$3,METALFISA!$B:$B,'Faltantes Fevereiro- Metalfisa'!$A47)</f>
        <v>0</v>
      </c>
      <c r="N47" s="31">
        <f>SUMIFS(METALFISA!$E:$E,METALFISA!$A:$A,'Faltantes Fevereiro- Metalfisa'!N$3,METALFISA!$B:$B,'Faltantes Fevereiro- Metalfisa'!$A47)</f>
        <v>0</v>
      </c>
      <c r="O47" s="31">
        <f>SUMIFS(METALFISA!$E:$E,METALFISA!$A:$A,'Faltantes Fevereiro- Metalfisa'!O$3,METALFISA!$B:$B,'Faltantes Fevereiro- Metalfisa'!$A47)</f>
        <v>0</v>
      </c>
      <c r="P47" s="31">
        <f>SUMIFS(METALFISA!$E:$E,METALFISA!$A:$A,'Faltantes Fevereiro- Metalfisa'!P$3,METALFISA!$B:$B,'Faltantes Fevereiro- Metalfisa'!$A47)</f>
        <v>0</v>
      </c>
      <c r="Q47" s="31">
        <f>SUMIFS(METALFISA!$E:$E,METALFISA!$A:$A,'Faltantes Fevereiro- Metalfisa'!Q$3,METALFISA!$B:$B,'Faltantes Fevereiro- Metalfisa'!$A47)</f>
        <v>0</v>
      </c>
      <c r="R47" s="31">
        <f>SUMIFS(METALFISA!$E:$E,METALFISA!$A:$A,'Faltantes Fevereiro- Metalfisa'!R$3,METALFISA!$B:$B,'Faltantes Fevereiro- Metalfisa'!$A47)</f>
        <v>0</v>
      </c>
      <c r="S47" s="31">
        <f>SUMIFS(METALFISA!$E:$E,METALFISA!$A:$A,'Faltantes Fevereiro- Metalfisa'!S$3,METALFISA!$B:$B,'Faltantes Fevereiro- Metalfisa'!$A47)</f>
        <v>0</v>
      </c>
      <c r="T47" s="31">
        <f>SUMIFS(METALFISA!$E:$E,METALFISA!$A:$A,'Faltantes Fevereiro- Metalfisa'!T$3,METALFISA!$B:$B,'Faltantes Fevereiro- Metalfisa'!$A47)</f>
        <v>0</v>
      </c>
      <c r="U47" s="31">
        <f>SUMIFS(METALFISA!$E:$E,METALFISA!$A:$A,'Faltantes Fevereiro- Metalfisa'!U$3,METALFISA!$B:$B,'Faltantes Fevereiro- Metalfisa'!$A47)</f>
        <v>0</v>
      </c>
      <c r="V47" s="31">
        <f>SUMIFS(METALFISA!$E:$E,METALFISA!$A:$A,'Faltantes Fevereiro- Metalfisa'!V$3,METALFISA!$B:$B,'Faltantes Fevereiro- Metalfisa'!$A47)</f>
        <v>0</v>
      </c>
      <c r="W47" s="31">
        <f>SUMIFS(METALFISA!$E:$E,METALFISA!$A:$A,'Faltantes Fevereiro- Metalfisa'!W$3,METALFISA!$B:$B,'Faltantes Fevereiro- Metalfisa'!$A47)</f>
        <v>0</v>
      </c>
      <c r="X47" s="31">
        <f>SUMIFS(METALFISA!$E:$E,METALFISA!$A:$A,'Faltantes Fevereiro- Metalfisa'!X$3,METALFISA!$B:$B,'Faltantes Fevereiro- Metalfisa'!$A47)</f>
        <v>0</v>
      </c>
      <c r="Y47" s="31">
        <f>SUMIFS(METALFISA!$E:$E,METALFISA!$A:$A,'Faltantes Fevereiro- Metalfisa'!Y$3,METALFISA!$B:$B,'Faltantes Fevereiro- Metalfisa'!$A47)</f>
        <v>0</v>
      </c>
      <c r="Z47" s="31">
        <f>SUMIFS(METALFISA!$E:$E,METALFISA!$A:$A,'Faltantes Fevereiro- Metalfisa'!Z$3,METALFISA!$B:$B,'Faltantes Fevereiro- Metalfisa'!$A47)</f>
        <v>0</v>
      </c>
      <c r="AA47" s="31">
        <f>SUMIFS(METALFISA!$E:$E,METALFISA!$A:$A,'Faltantes Fevereiro- Metalfisa'!AA$3,METALFISA!$B:$B,'Faltantes Fevereiro- Metalfisa'!$A47)</f>
        <v>0</v>
      </c>
      <c r="AB47" s="31">
        <f>SUMIFS(METALFISA!$E:$E,METALFISA!$A:$A,'Faltantes Fevereiro- Metalfisa'!AB$3,METALFISA!$B:$B,'Faltantes Fevereiro- Metalfisa'!$A47)</f>
        <v>0</v>
      </c>
      <c r="AC47" s="31">
        <f>SUMIFS(METALFISA!$E:$E,METALFISA!$A:$A,'Faltantes Fevereiro- Metalfisa'!AC$3,METALFISA!$B:$B,'Faltantes Fevereiro- Metalfisa'!$A47)</f>
        <v>0</v>
      </c>
      <c r="AD47" s="31">
        <f>SUMIFS(METALFISA!$E:$E,METALFISA!$A:$A,'Faltantes Fevereiro- Metalfisa'!AD$3,METALFISA!$B:$B,'Faltantes Fevereiro- Metalfisa'!$A47)</f>
        <v>0</v>
      </c>
      <c r="AE47" s="31">
        <f>SUMIFS(METALFISA!$E:$E,METALFISA!$A:$A,'Faltantes Fevereiro- Metalfisa'!AE$3,METALFISA!$B:$B,'Faltantes Fevereiro- Metalfisa'!$A47)</f>
        <v>0</v>
      </c>
      <c r="AF47" s="31">
        <f>SUMIFS(METALFISA!$E:$E,METALFISA!$A:$A,'Faltantes Fevereiro- Metalfisa'!AF$3,METALFISA!$B:$B,'Faltantes Fevereiro- Metalfisa'!$A47)</f>
        <v>0</v>
      </c>
      <c r="AG47" s="31">
        <f>SUMIFS(METALFISA!$E:$E,METALFISA!$A:$A,'Faltantes Fevereiro- Metalfisa'!AG$3,METALFISA!$B:$B,'Faltantes Fevereiro- Metalfisa'!$A47)</f>
        <v>0</v>
      </c>
      <c r="AH47" s="31">
        <f>SUMIFS(METALFISA!$E:$E,METALFISA!$A:$A,'Faltantes Fevereiro- Metalfisa'!AH$3,METALFISA!$B:$B,'Faltantes Fevereiro- Metalfisa'!$A47)</f>
        <v>0</v>
      </c>
      <c r="AI47" s="31">
        <f>SUMIFS(METALFISA!$E:$E,METALFISA!$A:$A,'Faltantes Fevereiro- Metalfisa'!AI$3,METALFISA!$B:$B,'Faltantes Fevereiro- Metalfisa'!$A47)</f>
        <v>0</v>
      </c>
      <c r="AJ47" s="31">
        <f>SUMIFS(METALFISA!$E:$E,METALFISA!$A:$A,'Faltantes Fevereiro- Metalfisa'!AJ$3,METALFISA!$B:$B,'Faltantes Fevereiro- Metalfisa'!$A47)</f>
        <v>0</v>
      </c>
      <c r="AK47" s="31">
        <f>SUMIFS(METALFISA!$E:$E,METALFISA!$A:$A,'Faltantes Fevereiro- Metalfisa'!AK$3,METALFISA!$B:$B,'Faltantes Fevereiro- Metalfisa'!$A47)</f>
        <v>400</v>
      </c>
      <c r="AL47" s="31">
        <f>SUMIFS(METALFISA!$E:$E,METALFISA!$A:$A,'Faltantes Fevereiro- Metalfisa'!AL$3,METALFISA!$B:$B,'Faltantes Fevereiro- Metalfisa'!$A47)</f>
        <v>0</v>
      </c>
      <c r="AM47" s="31">
        <f>SUMIFS(METALFISA!$E:$E,METALFISA!$A:$A,'Faltantes Fevereiro- Metalfisa'!AM$3,METALFISA!$B:$B,'Faltantes Fevereiro- Metalfisa'!$A47)</f>
        <v>22</v>
      </c>
      <c r="AN47" s="31">
        <f>SUMIFS(METALFISA!$E:$E,METALFISA!$A:$A,'Faltantes Fevereiro- Metalfisa'!AN$3,METALFISA!$B:$B,'Faltantes Fevereiro- Metalfisa'!$A47)</f>
        <v>0</v>
      </c>
      <c r="AO47" s="31">
        <f>SUMIFS(METALFISA!$E:$E,METALFISA!$A:$A,'Faltantes Fevereiro- Metalfisa'!AO$3,METALFISA!$B:$B,'Faltantes Fevereiro- Metalfisa'!$A47)</f>
        <v>0</v>
      </c>
      <c r="AP47" s="31">
        <f>SUMIFS(METALFISA!$E:$E,METALFISA!$A:$A,'Faltantes Fevereiro- Metalfisa'!AP$3,METALFISA!$B:$B,'Faltantes Fevereiro- Metalfisa'!$A47)</f>
        <v>0</v>
      </c>
      <c r="AQ47" s="31"/>
      <c r="AR47" s="31">
        <f>SUMIFS(METALFISA!$E:$E,METALFISA!$A:$A,'Faltantes Fevereiro- Metalfisa'!AR$3,METALFISA!$B:$B,'Faltantes Fevereiro- Metalfisa'!$A47)</f>
        <v>0</v>
      </c>
      <c r="AS47" s="35">
        <f>SUMIFS(METALFISA!$E:$E,METALFISA!$A:$A,'Faltantes Fevereiro- Metalfisa'!AS$3,METALFISA!$B:$B,'Faltantes Fevereiro- Metalfisa'!$A47)</f>
        <v>0</v>
      </c>
      <c r="AU47" s="18">
        <v>0</v>
      </c>
      <c r="AV47" s="18">
        <v>0</v>
      </c>
      <c r="AW47" s="18">
        <v>0</v>
      </c>
      <c r="AX47" s="18">
        <v>0</v>
      </c>
      <c r="AY47" s="41">
        <v>0</v>
      </c>
      <c r="AZ47" s="31">
        <v>0</v>
      </c>
      <c r="BA47" s="31">
        <v>0</v>
      </c>
      <c r="BB47" s="31">
        <v>0</v>
      </c>
      <c r="BC47" s="31">
        <v>0</v>
      </c>
      <c r="BD47" s="31">
        <v>0</v>
      </c>
      <c r="BE47" s="31">
        <v>0</v>
      </c>
      <c r="BF47" s="31">
        <v>0</v>
      </c>
      <c r="BG47" s="31">
        <v>0</v>
      </c>
      <c r="BH47" s="31">
        <v>0</v>
      </c>
      <c r="BI47" s="31">
        <v>0</v>
      </c>
      <c r="BJ47" s="31">
        <v>0</v>
      </c>
      <c r="BK47" s="31">
        <v>0</v>
      </c>
      <c r="BL47" s="31">
        <v>0</v>
      </c>
      <c r="BM47" s="31">
        <v>0</v>
      </c>
      <c r="BN47" s="31">
        <v>0</v>
      </c>
      <c r="BO47" s="31">
        <v>0</v>
      </c>
      <c r="BP47" s="31">
        <v>0</v>
      </c>
      <c r="BQ47" s="31">
        <v>0</v>
      </c>
      <c r="BR47" s="31">
        <v>0</v>
      </c>
      <c r="BS47" s="31">
        <v>0</v>
      </c>
      <c r="BT47" s="31">
        <v>0</v>
      </c>
      <c r="BU47" s="31">
        <v>0</v>
      </c>
      <c r="BV47" s="31">
        <v>0</v>
      </c>
      <c r="BW47" s="31">
        <v>0</v>
      </c>
      <c r="BX47" s="31">
        <v>0</v>
      </c>
      <c r="BY47" s="31">
        <v>0</v>
      </c>
      <c r="BZ47" s="31">
        <v>0</v>
      </c>
      <c r="CA47" s="31">
        <v>0</v>
      </c>
      <c r="CB47" s="31">
        <v>0</v>
      </c>
      <c r="CC47" s="31">
        <v>0</v>
      </c>
      <c r="CD47" s="31">
        <v>0</v>
      </c>
      <c r="CE47" s="31">
        <v>0</v>
      </c>
      <c r="CF47" s="31">
        <v>0</v>
      </c>
      <c r="CG47" s="31">
        <v>0</v>
      </c>
      <c r="CH47" s="31">
        <v>4</v>
      </c>
      <c r="CI47" s="31">
        <v>0</v>
      </c>
      <c r="CJ47" s="31">
        <v>0</v>
      </c>
      <c r="CK47" s="31">
        <v>0</v>
      </c>
      <c r="CL47" s="35">
        <v>0</v>
      </c>
    </row>
    <row r="48" spans="1:90" x14ac:dyDescent="0.15">
      <c r="A48" s="43" t="s">
        <v>205</v>
      </c>
      <c r="B48" s="28" t="s">
        <v>896</v>
      </c>
      <c r="C48" s="28">
        <v>0</v>
      </c>
      <c r="D48" s="28">
        <v>0</v>
      </c>
      <c r="E48" s="28">
        <v>0</v>
      </c>
      <c r="F48" s="28">
        <v>0</v>
      </c>
      <c r="G48" s="28">
        <v>17</v>
      </c>
      <c r="H48" s="28">
        <f>IFERROR(VLOOKUP(A48,[1]FALTANTES!$A:$AB,28,FALSE),"-")</f>
        <v>0</v>
      </c>
      <c r="I48" s="42">
        <f>IFERROR(VLOOKUP(A48,[1]FALTANTES!$A:$AC,29,FALSE),"-")</f>
        <v>0</v>
      </c>
      <c r="J48" s="29">
        <f>IFERROR(VLOOKUP(A48,[1]FALTANTES!$A:$AD,30,FALSE),"-")</f>
        <v>-17</v>
      </c>
      <c r="K48" s="30">
        <v>0</v>
      </c>
      <c r="L48" s="30">
        <f t="shared" si="0"/>
        <v>401</v>
      </c>
      <c r="M48" s="31">
        <f>SUMIFS(METALFISA!$E:$E,METALFISA!$A:$A,'Faltantes Fevereiro- Metalfisa'!M$3,METALFISA!$B:$B,'Faltantes Fevereiro- Metalfisa'!$A48)</f>
        <v>0</v>
      </c>
      <c r="N48" s="31">
        <f>SUMIFS(METALFISA!$E:$E,METALFISA!$A:$A,'Faltantes Fevereiro- Metalfisa'!N$3,METALFISA!$B:$B,'Faltantes Fevereiro- Metalfisa'!$A48)</f>
        <v>0</v>
      </c>
      <c r="O48" s="31">
        <f>SUMIFS(METALFISA!$E:$E,METALFISA!$A:$A,'Faltantes Fevereiro- Metalfisa'!O$3,METALFISA!$B:$B,'Faltantes Fevereiro- Metalfisa'!$A48)</f>
        <v>0</v>
      </c>
      <c r="P48" s="31">
        <f>SUMIFS(METALFISA!$E:$E,METALFISA!$A:$A,'Faltantes Fevereiro- Metalfisa'!P$3,METALFISA!$B:$B,'Faltantes Fevereiro- Metalfisa'!$A48)</f>
        <v>0</v>
      </c>
      <c r="Q48" s="31">
        <f>SUMIFS(METALFISA!$E:$E,METALFISA!$A:$A,'Faltantes Fevereiro- Metalfisa'!Q$3,METALFISA!$B:$B,'Faltantes Fevereiro- Metalfisa'!$A48)</f>
        <v>0</v>
      </c>
      <c r="R48" s="31">
        <f>SUMIFS(METALFISA!$E:$E,METALFISA!$A:$A,'Faltantes Fevereiro- Metalfisa'!R$3,METALFISA!$B:$B,'Faltantes Fevereiro- Metalfisa'!$A48)</f>
        <v>0</v>
      </c>
      <c r="S48" s="31">
        <f>SUMIFS(METALFISA!$E:$E,METALFISA!$A:$A,'Faltantes Fevereiro- Metalfisa'!S$3,METALFISA!$B:$B,'Faltantes Fevereiro- Metalfisa'!$A48)</f>
        <v>0</v>
      </c>
      <c r="T48" s="31">
        <f>SUMIFS(METALFISA!$E:$E,METALFISA!$A:$A,'Faltantes Fevereiro- Metalfisa'!T$3,METALFISA!$B:$B,'Faltantes Fevereiro- Metalfisa'!$A48)</f>
        <v>0</v>
      </c>
      <c r="U48" s="31">
        <f>SUMIFS(METALFISA!$E:$E,METALFISA!$A:$A,'Faltantes Fevereiro- Metalfisa'!U$3,METALFISA!$B:$B,'Faltantes Fevereiro- Metalfisa'!$A48)</f>
        <v>0</v>
      </c>
      <c r="V48" s="31">
        <f>SUMIFS(METALFISA!$E:$E,METALFISA!$A:$A,'Faltantes Fevereiro- Metalfisa'!V$3,METALFISA!$B:$B,'Faltantes Fevereiro- Metalfisa'!$A48)</f>
        <v>0</v>
      </c>
      <c r="W48" s="31">
        <f>SUMIFS(METALFISA!$E:$E,METALFISA!$A:$A,'Faltantes Fevereiro- Metalfisa'!W$3,METALFISA!$B:$B,'Faltantes Fevereiro- Metalfisa'!$A48)</f>
        <v>0</v>
      </c>
      <c r="X48" s="31">
        <f>SUMIFS(METALFISA!$E:$E,METALFISA!$A:$A,'Faltantes Fevereiro- Metalfisa'!X$3,METALFISA!$B:$B,'Faltantes Fevereiro- Metalfisa'!$A48)</f>
        <v>0</v>
      </c>
      <c r="Y48" s="31">
        <f>SUMIFS(METALFISA!$E:$E,METALFISA!$A:$A,'Faltantes Fevereiro- Metalfisa'!Y$3,METALFISA!$B:$B,'Faltantes Fevereiro- Metalfisa'!$A48)</f>
        <v>0</v>
      </c>
      <c r="Z48" s="31">
        <f>SUMIFS(METALFISA!$E:$E,METALFISA!$A:$A,'Faltantes Fevereiro- Metalfisa'!Z$3,METALFISA!$B:$B,'Faltantes Fevereiro- Metalfisa'!$A48)</f>
        <v>0</v>
      </c>
      <c r="AA48" s="31">
        <f>SUMIFS(METALFISA!$E:$E,METALFISA!$A:$A,'Faltantes Fevereiro- Metalfisa'!AA$3,METALFISA!$B:$B,'Faltantes Fevereiro- Metalfisa'!$A48)</f>
        <v>1</v>
      </c>
      <c r="AB48" s="31">
        <f>SUMIFS(METALFISA!$E:$E,METALFISA!$A:$A,'Faltantes Fevereiro- Metalfisa'!AB$3,METALFISA!$B:$B,'Faltantes Fevereiro- Metalfisa'!$A48)</f>
        <v>0</v>
      </c>
      <c r="AC48" s="31">
        <f>SUMIFS(METALFISA!$E:$E,METALFISA!$A:$A,'Faltantes Fevereiro- Metalfisa'!AC$3,METALFISA!$B:$B,'Faltantes Fevereiro- Metalfisa'!$A48)</f>
        <v>0</v>
      </c>
      <c r="AD48" s="31">
        <f>SUMIFS(METALFISA!$E:$E,METALFISA!$A:$A,'Faltantes Fevereiro- Metalfisa'!AD$3,METALFISA!$B:$B,'Faltantes Fevereiro- Metalfisa'!$A48)</f>
        <v>0</v>
      </c>
      <c r="AE48" s="31">
        <f>SUMIFS(METALFISA!$E:$E,METALFISA!$A:$A,'Faltantes Fevereiro- Metalfisa'!AE$3,METALFISA!$B:$B,'Faltantes Fevereiro- Metalfisa'!$A48)</f>
        <v>0</v>
      </c>
      <c r="AF48" s="31">
        <f>SUMIFS(METALFISA!$E:$E,METALFISA!$A:$A,'Faltantes Fevereiro- Metalfisa'!AF$3,METALFISA!$B:$B,'Faltantes Fevereiro- Metalfisa'!$A48)</f>
        <v>0</v>
      </c>
      <c r="AG48" s="31">
        <f>SUMIFS(METALFISA!$E:$E,METALFISA!$A:$A,'Faltantes Fevereiro- Metalfisa'!AG$3,METALFISA!$B:$B,'Faltantes Fevereiro- Metalfisa'!$A48)</f>
        <v>0</v>
      </c>
      <c r="AH48" s="31">
        <f>SUMIFS(METALFISA!$E:$E,METALFISA!$A:$A,'Faltantes Fevereiro- Metalfisa'!AH$3,METALFISA!$B:$B,'Faltantes Fevereiro- Metalfisa'!$A48)</f>
        <v>0</v>
      </c>
      <c r="AI48" s="31">
        <f>SUMIFS(METALFISA!$E:$E,METALFISA!$A:$A,'Faltantes Fevereiro- Metalfisa'!AI$3,METALFISA!$B:$B,'Faltantes Fevereiro- Metalfisa'!$A48)</f>
        <v>0</v>
      </c>
      <c r="AJ48" s="31">
        <f>SUMIFS(METALFISA!$E:$E,METALFISA!$A:$A,'Faltantes Fevereiro- Metalfisa'!AJ$3,METALFISA!$B:$B,'Faltantes Fevereiro- Metalfisa'!$A48)</f>
        <v>0</v>
      </c>
      <c r="AK48" s="31">
        <f>SUMIFS(METALFISA!$E:$E,METALFISA!$A:$A,'Faltantes Fevereiro- Metalfisa'!AK$3,METALFISA!$B:$B,'Faltantes Fevereiro- Metalfisa'!$A48)</f>
        <v>400</v>
      </c>
      <c r="AL48" s="31">
        <f>SUMIFS(METALFISA!$E:$E,METALFISA!$A:$A,'Faltantes Fevereiro- Metalfisa'!AL$3,METALFISA!$B:$B,'Faltantes Fevereiro- Metalfisa'!$A48)</f>
        <v>0</v>
      </c>
      <c r="AM48" s="31">
        <f>SUMIFS(METALFISA!$E:$E,METALFISA!$A:$A,'Faltantes Fevereiro- Metalfisa'!AM$3,METALFISA!$B:$B,'Faltantes Fevereiro- Metalfisa'!$A48)</f>
        <v>0</v>
      </c>
      <c r="AN48" s="31">
        <f>SUMIFS(METALFISA!$E:$E,METALFISA!$A:$A,'Faltantes Fevereiro- Metalfisa'!AN$3,METALFISA!$B:$B,'Faltantes Fevereiro- Metalfisa'!$A48)</f>
        <v>0</v>
      </c>
      <c r="AO48" s="31">
        <f>SUMIFS(METALFISA!$E:$E,METALFISA!$A:$A,'Faltantes Fevereiro- Metalfisa'!AO$3,METALFISA!$B:$B,'Faltantes Fevereiro- Metalfisa'!$A48)</f>
        <v>0</v>
      </c>
      <c r="AP48" s="31">
        <f>SUMIFS(METALFISA!$E:$E,METALFISA!$A:$A,'Faltantes Fevereiro- Metalfisa'!AP$3,METALFISA!$B:$B,'Faltantes Fevereiro- Metalfisa'!$A48)</f>
        <v>0</v>
      </c>
      <c r="AQ48" s="31"/>
      <c r="AR48" s="31">
        <f>SUMIFS(METALFISA!$E:$E,METALFISA!$A:$A,'Faltantes Fevereiro- Metalfisa'!AR$3,METALFISA!$B:$B,'Faltantes Fevereiro- Metalfisa'!$A48)</f>
        <v>0</v>
      </c>
      <c r="AS48" s="35">
        <f>SUMIFS(METALFISA!$E:$E,METALFISA!$A:$A,'Faltantes Fevereiro- Metalfisa'!AS$3,METALFISA!$B:$B,'Faltantes Fevereiro- Metalfisa'!$A48)</f>
        <v>0</v>
      </c>
      <c r="AU48" s="18">
        <v>0</v>
      </c>
      <c r="AV48" s="18">
        <v>0</v>
      </c>
      <c r="AW48" s="18">
        <v>0</v>
      </c>
      <c r="AX48" s="18">
        <v>0</v>
      </c>
      <c r="AY48" s="41">
        <v>0</v>
      </c>
      <c r="AZ48" s="31">
        <v>0</v>
      </c>
      <c r="BA48" s="31">
        <v>0</v>
      </c>
      <c r="BB48" s="31">
        <v>0</v>
      </c>
      <c r="BC48" s="31">
        <v>0</v>
      </c>
      <c r="BD48" s="31">
        <v>0</v>
      </c>
      <c r="BE48" s="31">
        <v>0</v>
      </c>
      <c r="BF48" s="31">
        <v>0</v>
      </c>
      <c r="BG48" s="31">
        <v>0</v>
      </c>
      <c r="BH48" s="31">
        <v>0</v>
      </c>
      <c r="BI48" s="31">
        <v>0</v>
      </c>
      <c r="BJ48" s="31">
        <v>0</v>
      </c>
      <c r="BK48" s="31">
        <v>0</v>
      </c>
      <c r="BL48" s="31">
        <v>0</v>
      </c>
      <c r="BM48" s="31">
        <v>0</v>
      </c>
      <c r="BN48" s="31">
        <v>0</v>
      </c>
      <c r="BO48" s="31">
        <v>0</v>
      </c>
      <c r="BP48" s="31">
        <v>0</v>
      </c>
      <c r="BQ48" s="31">
        <v>0</v>
      </c>
      <c r="BR48" s="31">
        <v>0</v>
      </c>
      <c r="BS48" s="31">
        <v>0</v>
      </c>
      <c r="BT48" s="31">
        <v>0</v>
      </c>
      <c r="BU48" s="31">
        <v>0</v>
      </c>
      <c r="BV48" s="31">
        <v>0</v>
      </c>
      <c r="BW48" s="31">
        <v>0</v>
      </c>
      <c r="BX48" s="31">
        <v>0</v>
      </c>
      <c r="BY48" s="31">
        <v>0</v>
      </c>
      <c r="BZ48" s="31">
        <v>0</v>
      </c>
      <c r="CA48" s="31">
        <v>0</v>
      </c>
      <c r="CB48" s="31">
        <v>0</v>
      </c>
      <c r="CC48" s="31">
        <v>0</v>
      </c>
      <c r="CD48" s="31">
        <v>0</v>
      </c>
      <c r="CE48" s="31">
        <v>0</v>
      </c>
      <c r="CF48" s="31">
        <v>0</v>
      </c>
      <c r="CG48" s="31">
        <v>0</v>
      </c>
      <c r="CH48" s="31">
        <v>2</v>
      </c>
      <c r="CI48" s="31">
        <v>0</v>
      </c>
      <c r="CJ48" s="31">
        <v>0</v>
      </c>
      <c r="CK48" s="31">
        <v>0</v>
      </c>
      <c r="CL48" s="35">
        <v>0</v>
      </c>
    </row>
    <row r="49" spans="1:90" x14ac:dyDescent="0.15">
      <c r="A49" s="27" t="s">
        <v>750</v>
      </c>
      <c r="B49" s="28" t="s">
        <v>751</v>
      </c>
      <c r="C49" s="28">
        <v>0</v>
      </c>
      <c r="D49" s="28">
        <v>0</v>
      </c>
      <c r="E49" s="28">
        <v>0</v>
      </c>
      <c r="F49" s="28">
        <v>0</v>
      </c>
      <c r="G49" s="28">
        <v>21</v>
      </c>
      <c r="H49" s="28">
        <f>IFERROR(VLOOKUP(A49,[1]FALTANTES!$A:$AB,28,FALSE),"-")</f>
        <v>0</v>
      </c>
      <c r="I49" s="42">
        <f>IFERROR(VLOOKUP(A49,[1]FALTANTES!$A:$AC,29,FALSE),"-")</f>
        <v>0</v>
      </c>
      <c r="J49" s="29">
        <f>IFERROR(VLOOKUP(A49,[1]FALTANTES!$A:$AD,30,FALSE),"-")</f>
        <v>-21</v>
      </c>
      <c r="K49" s="30">
        <v>0</v>
      </c>
      <c r="L49" s="30">
        <f t="shared" si="0"/>
        <v>33</v>
      </c>
      <c r="M49" s="31">
        <f>SUMIFS(METALFISA!$E:$E,METALFISA!$A:$A,'Faltantes Fevereiro- Metalfisa'!M$3,METALFISA!$B:$B,'Faltantes Fevereiro- Metalfisa'!$A49)</f>
        <v>0</v>
      </c>
      <c r="N49" s="31">
        <f>SUMIFS(METALFISA!$E:$E,METALFISA!$A:$A,'Faltantes Fevereiro- Metalfisa'!N$3,METALFISA!$B:$B,'Faltantes Fevereiro- Metalfisa'!$A49)</f>
        <v>0</v>
      </c>
      <c r="O49" s="31">
        <f>SUMIFS(METALFISA!$E:$E,METALFISA!$A:$A,'Faltantes Fevereiro- Metalfisa'!O$3,METALFISA!$B:$B,'Faltantes Fevereiro- Metalfisa'!$A49)</f>
        <v>0</v>
      </c>
      <c r="P49" s="31">
        <f>SUMIFS(METALFISA!$E:$E,METALFISA!$A:$A,'Faltantes Fevereiro- Metalfisa'!P$3,METALFISA!$B:$B,'Faltantes Fevereiro- Metalfisa'!$A49)</f>
        <v>0</v>
      </c>
      <c r="Q49" s="31">
        <f>SUMIFS(METALFISA!$E:$E,METALFISA!$A:$A,'Faltantes Fevereiro- Metalfisa'!Q$3,METALFISA!$B:$B,'Faltantes Fevereiro- Metalfisa'!$A49)</f>
        <v>0</v>
      </c>
      <c r="R49" s="31">
        <f>SUMIFS(METALFISA!$E:$E,METALFISA!$A:$A,'Faltantes Fevereiro- Metalfisa'!R$3,METALFISA!$B:$B,'Faltantes Fevereiro- Metalfisa'!$A49)</f>
        <v>0</v>
      </c>
      <c r="S49" s="31">
        <f>SUMIFS(METALFISA!$E:$E,METALFISA!$A:$A,'Faltantes Fevereiro- Metalfisa'!S$3,METALFISA!$B:$B,'Faltantes Fevereiro- Metalfisa'!$A49)</f>
        <v>0</v>
      </c>
      <c r="T49" s="31">
        <f>SUMIFS(METALFISA!$E:$E,METALFISA!$A:$A,'Faltantes Fevereiro- Metalfisa'!T$3,METALFISA!$B:$B,'Faltantes Fevereiro- Metalfisa'!$A49)</f>
        <v>0</v>
      </c>
      <c r="U49" s="31">
        <f>SUMIFS(METALFISA!$E:$E,METALFISA!$A:$A,'Faltantes Fevereiro- Metalfisa'!U$3,METALFISA!$B:$B,'Faltantes Fevereiro- Metalfisa'!$A49)</f>
        <v>0</v>
      </c>
      <c r="V49" s="31">
        <f>SUMIFS(METALFISA!$E:$E,METALFISA!$A:$A,'Faltantes Fevereiro- Metalfisa'!V$3,METALFISA!$B:$B,'Faltantes Fevereiro- Metalfisa'!$A49)</f>
        <v>0</v>
      </c>
      <c r="W49" s="31">
        <f>SUMIFS(METALFISA!$E:$E,METALFISA!$A:$A,'Faltantes Fevereiro- Metalfisa'!W$3,METALFISA!$B:$B,'Faltantes Fevereiro- Metalfisa'!$A49)</f>
        <v>0</v>
      </c>
      <c r="X49" s="31">
        <f>SUMIFS(METALFISA!$E:$E,METALFISA!$A:$A,'Faltantes Fevereiro- Metalfisa'!X$3,METALFISA!$B:$B,'Faltantes Fevereiro- Metalfisa'!$A49)</f>
        <v>0</v>
      </c>
      <c r="Y49" s="31">
        <f>SUMIFS(METALFISA!$E:$E,METALFISA!$A:$A,'Faltantes Fevereiro- Metalfisa'!Y$3,METALFISA!$B:$B,'Faltantes Fevereiro- Metalfisa'!$A49)</f>
        <v>0</v>
      </c>
      <c r="Z49" s="31">
        <f>SUMIFS(METALFISA!$E:$E,METALFISA!$A:$A,'Faltantes Fevereiro- Metalfisa'!Z$3,METALFISA!$B:$B,'Faltantes Fevereiro- Metalfisa'!$A49)</f>
        <v>0</v>
      </c>
      <c r="AA49" s="31">
        <f>SUMIFS(METALFISA!$E:$E,METALFISA!$A:$A,'Faltantes Fevereiro- Metalfisa'!AA$3,METALFISA!$B:$B,'Faltantes Fevereiro- Metalfisa'!$A49)</f>
        <v>0</v>
      </c>
      <c r="AB49" s="31">
        <f>SUMIFS(METALFISA!$E:$E,METALFISA!$A:$A,'Faltantes Fevereiro- Metalfisa'!AB$3,METALFISA!$B:$B,'Faltantes Fevereiro- Metalfisa'!$A49)</f>
        <v>0</v>
      </c>
      <c r="AC49" s="31">
        <f>SUMIFS(METALFISA!$E:$E,METALFISA!$A:$A,'Faltantes Fevereiro- Metalfisa'!AC$3,METALFISA!$B:$B,'Faltantes Fevereiro- Metalfisa'!$A49)</f>
        <v>0</v>
      </c>
      <c r="AD49" s="31">
        <f>SUMIFS(METALFISA!$E:$E,METALFISA!$A:$A,'Faltantes Fevereiro- Metalfisa'!AD$3,METALFISA!$B:$B,'Faltantes Fevereiro- Metalfisa'!$A49)</f>
        <v>0</v>
      </c>
      <c r="AE49" s="31">
        <f>SUMIFS(METALFISA!$E:$E,METALFISA!$A:$A,'Faltantes Fevereiro- Metalfisa'!AE$3,METALFISA!$B:$B,'Faltantes Fevereiro- Metalfisa'!$A49)</f>
        <v>0</v>
      </c>
      <c r="AF49" s="31">
        <f>SUMIFS(METALFISA!$E:$E,METALFISA!$A:$A,'Faltantes Fevereiro- Metalfisa'!AF$3,METALFISA!$B:$B,'Faltantes Fevereiro- Metalfisa'!$A49)</f>
        <v>0</v>
      </c>
      <c r="AG49" s="31">
        <f>SUMIFS(METALFISA!$E:$E,METALFISA!$A:$A,'Faltantes Fevereiro- Metalfisa'!AG$3,METALFISA!$B:$B,'Faltantes Fevereiro- Metalfisa'!$A49)</f>
        <v>0</v>
      </c>
      <c r="AH49" s="31">
        <f>SUMIFS(METALFISA!$E:$E,METALFISA!$A:$A,'Faltantes Fevereiro- Metalfisa'!AH$3,METALFISA!$B:$B,'Faltantes Fevereiro- Metalfisa'!$A49)</f>
        <v>33</v>
      </c>
      <c r="AI49" s="31">
        <f>SUMIFS(METALFISA!$E:$E,METALFISA!$A:$A,'Faltantes Fevereiro- Metalfisa'!AI$3,METALFISA!$B:$B,'Faltantes Fevereiro- Metalfisa'!$A49)</f>
        <v>0</v>
      </c>
      <c r="AJ49" s="31">
        <f>SUMIFS(METALFISA!$E:$E,METALFISA!$A:$A,'Faltantes Fevereiro- Metalfisa'!AJ$3,METALFISA!$B:$B,'Faltantes Fevereiro- Metalfisa'!$A49)</f>
        <v>0</v>
      </c>
      <c r="AK49" s="31">
        <f>SUMIFS(METALFISA!$E:$E,METALFISA!$A:$A,'Faltantes Fevereiro- Metalfisa'!AK$3,METALFISA!$B:$B,'Faltantes Fevereiro- Metalfisa'!$A49)</f>
        <v>0</v>
      </c>
      <c r="AL49" s="31">
        <f>SUMIFS(METALFISA!$E:$E,METALFISA!$A:$A,'Faltantes Fevereiro- Metalfisa'!AL$3,METALFISA!$B:$B,'Faltantes Fevereiro- Metalfisa'!$A49)</f>
        <v>0</v>
      </c>
      <c r="AM49" s="31">
        <f>SUMIFS(METALFISA!$E:$E,METALFISA!$A:$A,'Faltantes Fevereiro- Metalfisa'!AM$3,METALFISA!$B:$B,'Faltantes Fevereiro- Metalfisa'!$A49)</f>
        <v>0</v>
      </c>
      <c r="AN49" s="31">
        <f>SUMIFS(METALFISA!$E:$E,METALFISA!$A:$A,'Faltantes Fevereiro- Metalfisa'!AN$3,METALFISA!$B:$B,'Faltantes Fevereiro- Metalfisa'!$A49)</f>
        <v>0</v>
      </c>
      <c r="AO49" s="31">
        <f>SUMIFS(METALFISA!$E:$E,METALFISA!$A:$A,'Faltantes Fevereiro- Metalfisa'!AO$3,METALFISA!$B:$B,'Faltantes Fevereiro- Metalfisa'!$A49)</f>
        <v>0</v>
      </c>
      <c r="AP49" s="31">
        <f>SUMIFS(METALFISA!$E:$E,METALFISA!$A:$A,'Faltantes Fevereiro- Metalfisa'!AP$3,METALFISA!$B:$B,'Faltantes Fevereiro- Metalfisa'!$A49)</f>
        <v>0</v>
      </c>
      <c r="AQ49" s="31"/>
      <c r="AR49" s="31">
        <f>SUMIFS(METALFISA!$E:$E,METALFISA!$A:$A,'Faltantes Fevereiro- Metalfisa'!AR$3,METALFISA!$B:$B,'Faltantes Fevereiro- Metalfisa'!$A49)</f>
        <v>0</v>
      </c>
      <c r="AS49" s="35">
        <f>SUMIFS(METALFISA!$E:$E,METALFISA!$A:$A,'Faltantes Fevereiro- Metalfisa'!AS$3,METALFISA!$B:$B,'Faltantes Fevereiro- Metalfisa'!$A49)</f>
        <v>0</v>
      </c>
      <c r="AU49" s="18">
        <v>0</v>
      </c>
      <c r="AV49" s="18">
        <v>0</v>
      </c>
      <c r="AW49" s="18">
        <v>0</v>
      </c>
      <c r="AX49" s="18">
        <v>0</v>
      </c>
      <c r="AY49" s="41">
        <v>1</v>
      </c>
      <c r="AZ49" s="31">
        <v>1</v>
      </c>
      <c r="BA49" s="31">
        <v>0</v>
      </c>
      <c r="BB49" s="31">
        <v>0</v>
      </c>
      <c r="BC49" s="31">
        <v>0</v>
      </c>
      <c r="BD49" s="31">
        <v>0</v>
      </c>
      <c r="BE49" s="31">
        <v>0</v>
      </c>
      <c r="BF49" s="31">
        <v>0</v>
      </c>
      <c r="BG49" s="31">
        <v>0</v>
      </c>
      <c r="BH49" s="31">
        <v>0</v>
      </c>
      <c r="BI49" s="31">
        <v>0</v>
      </c>
      <c r="BJ49" s="31">
        <v>0</v>
      </c>
      <c r="BK49" s="31">
        <v>0</v>
      </c>
      <c r="BL49" s="31">
        <v>0</v>
      </c>
      <c r="BM49" s="31">
        <v>0</v>
      </c>
      <c r="BN49" s="31">
        <v>0</v>
      </c>
      <c r="BO49" s="31">
        <v>0</v>
      </c>
      <c r="BP49" s="31">
        <v>0</v>
      </c>
      <c r="BQ49" s="31">
        <v>0</v>
      </c>
      <c r="BR49" s="31">
        <v>0</v>
      </c>
      <c r="BS49" s="31">
        <v>0</v>
      </c>
      <c r="BT49" s="31">
        <v>0</v>
      </c>
      <c r="BU49" s="31">
        <v>0</v>
      </c>
      <c r="BV49" s="31">
        <v>0</v>
      </c>
      <c r="BW49" s="31">
        <v>0</v>
      </c>
      <c r="BX49" s="31">
        <v>0</v>
      </c>
      <c r="BY49" s="31">
        <v>0</v>
      </c>
      <c r="BZ49" s="31">
        <v>0</v>
      </c>
      <c r="CA49" s="31">
        <v>0</v>
      </c>
      <c r="CB49" s="31">
        <v>0</v>
      </c>
      <c r="CC49" s="31">
        <v>0</v>
      </c>
      <c r="CD49" s="31">
        <v>0</v>
      </c>
      <c r="CE49" s="31">
        <v>0</v>
      </c>
      <c r="CF49" s="31">
        <v>0</v>
      </c>
      <c r="CG49" s="31">
        <v>0</v>
      </c>
      <c r="CH49" s="31">
        <v>0</v>
      </c>
      <c r="CI49" s="31">
        <v>0</v>
      </c>
      <c r="CJ49" s="31">
        <v>0</v>
      </c>
      <c r="CK49" s="31">
        <v>0</v>
      </c>
      <c r="CL49" s="35">
        <v>0</v>
      </c>
    </row>
    <row r="50" spans="1:90" x14ac:dyDescent="0.15">
      <c r="A50" s="27" t="s">
        <v>752</v>
      </c>
      <c r="B50" s="28" t="s">
        <v>753</v>
      </c>
      <c r="C50" s="28">
        <v>2</v>
      </c>
      <c r="D50" s="28">
        <v>1</v>
      </c>
      <c r="E50" s="28">
        <v>0</v>
      </c>
      <c r="F50" s="28">
        <v>0</v>
      </c>
      <c r="G50" s="28">
        <v>29</v>
      </c>
      <c r="H50" s="28">
        <f>IFERROR(VLOOKUP(A50,[1]FALTANTES!$A:$AB,28,FALSE),"-")</f>
        <v>0</v>
      </c>
      <c r="I50" s="42">
        <f>IFERROR(VLOOKUP(A50,[1]FALTANTES!$A:$AC,29,FALSE),"-")</f>
        <v>32</v>
      </c>
      <c r="J50" s="29">
        <f>IFERROR(VLOOKUP(A50,[1]FALTANTES!$A:$AD,30,FALSE),"-")</f>
        <v>-1</v>
      </c>
      <c r="K50" s="30">
        <v>0</v>
      </c>
      <c r="L50" s="30">
        <f t="shared" si="0"/>
        <v>2</v>
      </c>
      <c r="M50" s="31">
        <f>SUMIFS(METALFISA!$E:$E,METALFISA!$A:$A,'Faltantes Fevereiro- Metalfisa'!M$3,METALFISA!$B:$B,'Faltantes Fevereiro- Metalfisa'!$A50)</f>
        <v>0</v>
      </c>
      <c r="N50" s="31">
        <f>SUMIFS(METALFISA!$E:$E,METALFISA!$A:$A,'Faltantes Fevereiro- Metalfisa'!N$3,METALFISA!$B:$B,'Faltantes Fevereiro- Metalfisa'!$A50)</f>
        <v>0</v>
      </c>
      <c r="O50" s="31">
        <f>SUMIFS(METALFISA!$E:$E,METALFISA!$A:$A,'Faltantes Fevereiro- Metalfisa'!O$3,METALFISA!$B:$B,'Faltantes Fevereiro- Metalfisa'!$A50)</f>
        <v>0</v>
      </c>
      <c r="P50" s="31">
        <f>SUMIFS(METALFISA!$E:$E,METALFISA!$A:$A,'Faltantes Fevereiro- Metalfisa'!P$3,METALFISA!$B:$B,'Faltantes Fevereiro- Metalfisa'!$A50)</f>
        <v>0</v>
      </c>
      <c r="Q50" s="31">
        <f>SUMIFS(METALFISA!$E:$E,METALFISA!$A:$A,'Faltantes Fevereiro- Metalfisa'!Q$3,METALFISA!$B:$B,'Faltantes Fevereiro- Metalfisa'!$A50)</f>
        <v>0</v>
      </c>
      <c r="R50" s="31">
        <f>SUMIFS(METALFISA!$E:$E,METALFISA!$A:$A,'Faltantes Fevereiro- Metalfisa'!R$3,METALFISA!$B:$B,'Faltantes Fevereiro- Metalfisa'!$A50)</f>
        <v>0</v>
      </c>
      <c r="S50" s="31">
        <f>SUMIFS(METALFISA!$E:$E,METALFISA!$A:$A,'Faltantes Fevereiro- Metalfisa'!S$3,METALFISA!$B:$B,'Faltantes Fevereiro- Metalfisa'!$A50)</f>
        <v>0</v>
      </c>
      <c r="T50" s="31">
        <f>SUMIFS(METALFISA!$E:$E,METALFISA!$A:$A,'Faltantes Fevereiro- Metalfisa'!T$3,METALFISA!$B:$B,'Faltantes Fevereiro- Metalfisa'!$A50)</f>
        <v>0</v>
      </c>
      <c r="U50" s="31">
        <f>SUMIFS(METALFISA!$E:$E,METALFISA!$A:$A,'Faltantes Fevereiro- Metalfisa'!U$3,METALFISA!$B:$B,'Faltantes Fevereiro- Metalfisa'!$A50)</f>
        <v>0</v>
      </c>
      <c r="V50" s="31">
        <f>SUMIFS(METALFISA!$E:$E,METALFISA!$A:$A,'Faltantes Fevereiro- Metalfisa'!V$3,METALFISA!$B:$B,'Faltantes Fevereiro- Metalfisa'!$A50)</f>
        <v>0</v>
      </c>
      <c r="W50" s="31">
        <f>SUMIFS(METALFISA!$E:$E,METALFISA!$A:$A,'Faltantes Fevereiro- Metalfisa'!W$3,METALFISA!$B:$B,'Faltantes Fevereiro- Metalfisa'!$A50)</f>
        <v>0</v>
      </c>
      <c r="X50" s="31">
        <f>SUMIFS(METALFISA!$E:$E,METALFISA!$A:$A,'Faltantes Fevereiro- Metalfisa'!X$3,METALFISA!$B:$B,'Faltantes Fevereiro- Metalfisa'!$A50)</f>
        <v>0</v>
      </c>
      <c r="Y50" s="31">
        <f>SUMIFS(METALFISA!$E:$E,METALFISA!$A:$A,'Faltantes Fevereiro- Metalfisa'!Y$3,METALFISA!$B:$B,'Faltantes Fevereiro- Metalfisa'!$A50)</f>
        <v>0</v>
      </c>
      <c r="Z50" s="31">
        <f>SUMIFS(METALFISA!$E:$E,METALFISA!$A:$A,'Faltantes Fevereiro- Metalfisa'!Z$3,METALFISA!$B:$B,'Faltantes Fevereiro- Metalfisa'!$A50)</f>
        <v>0</v>
      </c>
      <c r="AA50" s="31">
        <f>SUMIFS(METALFISA!$E:$E,METALFISA!$A:$A,'Faltantes Fevereiro- Metalfisa'!AA$3,METALFISA!$B:$B,'Faltantes Fevereiro- Metalfisa'!$A50)</f>
        <v>0</v>
      </c>
      <c r="AB50" s="31">
        <f>SUMIFS(METALFISA!$E:$E,METALFISA!$A:$A,'Faltantes Fevereiro- Metalfisa'!AB$3,METALFISA!$B:$B,'Faltantes Fevereiro- Metalfisa'!$A50)</f>
        <v>0</v>
      </c>
      <c r="AC50" s="31">
        <f>SUMIFS(METALFISA!$E:$E,METALFISA!$A:$A,'Faltantes Fevereiro- Metalfisa'!AC$3,METALFISA!$B:$B,'Faltantes Fevereiro- Metalfisa'!$A50)</f>
        <v>0</v>
      </c>
      <c r="AD50" s="31">
        <f>SUMIFS(METALFISA!$E:$E,METALFISA!$A:$A,'Faltantes Fevereiro- Metalfisa'!AD$3,METALFISA!$B:$B,'Faltantes Fevereiro- Metalfisa'!$A50)</f>
        <v>0</v>
      </c>
      <c r="AE50" s="31">
        <f>SUMIFS(METALFISA!$E:$E,METALFISA!$A:$A,'Faltantes Fevereiro- Metalfisa'!AE$3,METALFISA!$B:$B,'Faltantes Fevereiro- Metalfisa'!$A50)</f>
        <v>0</v>
      </c>
      <c r="AF50" s="31">
        <f>SUMIFS(METALFISA!$E:$E,METALFISA!$A:$A,'Faltantes Fevereiro- Metalfisa'!AF$3,METALFISA!$B:$B,'Faltantes Fevereiro- Metalfisa'!$A50)</f>
        <v>0</v>
      </c>
      <c r="AG50" s="31">
        <f>SUMIFS(METALFISA!$E:$E,METALFISA!$A:$A,'Faltantes Fevereiro- Metalfisa'!AG$3,METALFISA!$B:$B,'Faltantes Fevereiro- Metalfisa'!$A50)</f>
        <v>0</v>
      </c>
      <c r="AH50" s="31">
        <f>SUMIFS(METALFISA!$E:$E,METALFISA!$A:$A,'Faltantes Fevereiro- Metalfisa'!AH$3,METALFISA!$B:$B,'Faltantes Fevereiro- Metalfisa'!$A50)</f>
        <v>2</v>
      </c>
      <c r="AI50" s="31">
        <f>SUMIFS(METALFISA!$E:$E,METALFISA!$A:$A,'Faltantes Fevereiro- Metalfisa'!AI$3,METALFISA!$B:$B,'Faltantes Fevereiro- Metalfisa'!$A50)</f>
        <v>0</v>
      </c>
      <c r="AJ50" s="31">
        <f>SUMIFS(METALFISA!$E:$E,METALFISA!$A:$A,'Faltantes Fevereiro- Metalfisa'!AJ$3,METALFISA!$B:$B,'Faltantes Fevereiro- Metalfisa'!$A50)</f>
        <v>0</v>
      </c>
      <c r="AK50" s="31">
        <f>SUMIFS(METALFISA!$E:$E,METALFISA!$A:$A,'Faltantes Fevereiro- Metalfisa'!AK$3,METALFISA!$B:$B,'Faltantes Fevereiro- Metalfisa'!$A50)</f>
        <v>0</v>
      </c>
      <c r="AL50" s="31">
        <f>SUMIFS(METALFISA!$E:$E,METALFISA!$A:$A,'Faltantes Fevereiro- Metalfisa'!AL$3,METALFISA!$B:$B,'Faltantes Fevereiro- Metalfisa'!$A50)</f>
        <v>0</v>
      </c>
      <c r="AM50" s="31">
        <f>SUMIFS(METALFISA!$E:$E,METALFISA!$A:$A,'Faltantes Fevereiro- Metalfisa'!AM$3,METALFISA!$B:$B,'Faltantes Fevereiro- Metalfisa'!$A50)</f>
        <v>0</v>
      </c>
      <c r="AN50" s="31">
        <f>SUMIFS(METALFISA!$E:$E,METALFISA!$A:$A,'Faltantes Fevereiro- Metalfisa'!AN$3,METALFISA!$B:$B,'Faltantes Fevereiro- Metalfisa'!$A50)</f>
        <v>0</v>
      </c>
      <c r="AO50" s="31">
        <f>SUMIFS(METALFISA!$E:$E,METALFISA!$A:$A,'Faltantes Fevereiro- Metalfisa'!AO$3,METALFISA!$B:$B,'Faltantes Fevereiro- Metalfisa'!$A50)</f>
        <v>0</v>
      </c>
      <c r="AP50" s="31">
        <f>SUMIFS(METALFISA!$E:$E,METALFISA!$A:$A,'Faltantes Fevereiro- Metalfisa'!AP$3,METALFISA!$B:$B,'Faltantes Fevereiro- Metalfisa'!$A50)</f>
        <v>0</v>
      </c>
      <c r="AQ50" s="31"/>
      <c r="AR50" s="31">
        <f>SUMIFS(METALFISA!$E:$E,METALFISA!$A:$A,'Faltantes Fevereiro- Metalfisa'!AR$3,METALFISA!$B:$B,'Faltantes Fevereiro- Metalfisa'!$A50)</f>
        <v>0</v>
      </c>
      <c r="AS50" s="35">
        <f>SUMIFS(METALFISA!$E:$E,METALFISA!$A:$A,'Faltantes Fevereiro- Metalfisa'!AS$3,METALFISA!$B:$B,'Faltantes Fevereiro- Metalfisa'!$A50)</f>
        <v>0</v>
      </c>
      <c r="AU50" s="18">
        <v>0</v>
      </c>
      <c r="AV50" s="18">
        <v>0</v>
      </c>
      <c r="AW50" s="18">
        <v>0</v>
      </c>
      <c r="AX50" s="18">
        <v>0</v>
      </c>
      <c r="AY50" s="41">
        <v>1</v>
      </c>
      <c r="AZ50" s="31">
        <v>1</v>
      </c>
      <c r="BA50" s="31">
        <v>0</v>
      </c>
      <c r="BB50" s="31">
        <v>0</v>
      </c>
      <c r="BC50" s="31">
        <v>0</v>
      </c>
      <c r="BD50" s="31">
        <v>0</v>
      </c>
      <c r="BE50" s="31">
        <v>0</v>
      </c>
      <c r="BF50" s="31">
        <v>0</v>
      </c>
      <c r="BG50" s="31">
        <v>0</v>
      </c>
      <c r="BH50" s="31">
        <v>0</v>
      </c>
      <c r="BI50" s="31">
        <v>0</v>
      </c>
      <c r="BJ50" s="31">
        <v>0</v>
      </c>
      <c r="BK50" s="31">
        <v>0</v>
      </c>
      <c r="BL50" s="31">
        <v>0</v>
      </c>
      <c r="BM50" s="31">
        <v>0</v>
      </c>
      <c r="BN50" s="31">
        <v>0</v>
      </c>
      <c r="BO50" s="31">
        <v>0</v>
      </c>
      <c r="BP50" s="31">
        <v>0</v>
      </c>
      <c r="BQ50" s="31">
        <v>0</v>
      </c>
      <c r="BR50" s="31">
        <v>0</v>
      </c>
      <c r="BS50" s="31">
        <v>0</v>
      </c>
      <c r="BT50" s="31">
        <v>0</v>
      </c>
      <c r="BU50" s="31">
        <v>0</v>
      </c>
      <c r="BV50" s="31">
        <v>0</v>
      </c>
      <c r="BW50" s="31">
        <v>0</v>
      </c>
      <c r="BX50" s="31">
        <v>0</v>
      </c>
      <c r="BY50" s="31">
        <v>0</v>
      </c>
      <c r="BZ50" s="31">
        <v>0</v>
      </c>
      <c r="CA50" s="31">
        <v>0</v>
      </c>
      <c r="CB50" s="31">
        <v>0</v>
      </c>
      <c r="CC50" s="31">
        <v>0</v>
      </c>
      <c r="CD50" s="31">
        <v>0</v>
      </c>
      <c r="CE50" s="31">
        <v>0</v>
      </c>
      <c r="CF50" s="31">
        <v>0</v>
      </c>
      <c r="CG50" s="31">
        <v>0</v>
      </c>
      <c r="CH50" s="31">
        <v>0</v>
      </c>
      <c r="CI50" s="31">
        <v>0</v>
      </c>
      <c r="CJ50" s="31">
        <v>0</v>
      </c>
      <c r="CK50" s="31">
        <v>0</v>
      </c>
      <c r="CL50" s="35">
        <v>0</v>
      </c>
    </row>
    <row r="51" spans="1:90" x14ac:dyDescent="0.15">
      <c r="A51" s="27" t="s">
        <v>897</v>
      </c>
      <c r="B51" s="28" t="s">
        <v>898</v>
      </c>
      <c r="C51" s="28">
        <v>0</v>
      </c>
      <c r="D51" s="28">
        <v>0</v>
      </c>
      <c r="E51" s="28">
        <v>0</v>
      </c>
      <c r="F51" s="28">
        <v>0</v>
      </c>
      <c r="G51" s="28">
        <v>33</v>
      </c>
      <c r="H51" s="28">
        <f>IFERROR(VLOOKUP(A51,[1]FALTANTES!$A:$AB,28,FALSE),"-")</f>
        <v>0</v>
      </c>
      <c r="I51" s="42">
        <f>IFERROR(VLOOKUP(A51,[1]FALTANTES!$A:$AC,29,FALSE),"-")</f>
        <v>0</v>
      </c>
      <c r="J51" s="29">
        <f>IFERROR(VLOOKUP(A51,[1]FALTANTES!$A:$AD,30,FALSE),"-")</f>
        <v>-33</v>
      </c>
      <c r="K51" s="30">
        <v>0</v>
      </c>
      <c r="L51" s="30">
        <f t="shared" si="0"/>
        <v>66</v>
      </c>
      <c r="M51" s="31">
        <f>SUMIFS(METALFISA!$E:$E,METALFISA!$A:$A,'Faltantes Fevereiro- Metalfisa'!M$3,METALFISA!$B:$B,'Faltantes Fevereiro- Metalfisa'!$A51)</f>
        <v>0</v>
      </c>
      <c r="N51" s="31">
        <f>SUMIFS(METALFISA!$E:$E,METALFISA!$A:$A,'Faltantes Fevereiro- Metalfisa'!N$3,METALFISA!$B:$B,'Faltantes Fevereiro- Metalfisa'!$A51)</f>
        <v>0</v>
      </c>
      <c r="O51" s="31">
        <f>SUMIFS(METALFISA!$E:$E,METALFISA!$A:$A,'Faltantes Fevereiro- Metalfisa'!O$3,METALFISA!$B:$B,'Faltantes Fevereiro- Metalfisa'!$A51)</f>
        <v>0</v>
      </c>
      <c r="P51" s="31">
        <f>SUMIFS(METALFISA!$E:$E,METALFISA!$A:$A,'Faltantes Fevereiro- Metalfisa'!P$3,METALFISA!$B:$B,'Faltantes Fevereiro- Metalfisa'!$A51)</f>
        <v>0</v>
      </c>
      <c r="Q51" s="31">
        <f>SUMIFS(METALFISA!$E:$E,METALFISA!$A:$A,'Faltantes Fevereiro- Metalfisa'!Q$3,METALFISA!$B:$B,'Faltantes Fevereiro- Metalfisa'!$A51)</f>
        <v>0</v>
      </c>
      <c r="R51" s="31">
        <f>SUMIFS(METALFISA!$E:$E,METALFISA!$A:$A,'Faltantes Fevereiro- Metalfisa'!R$3,METALFISA!$B:$B,'Faltantes Fevereiro- Metalfisa'!$A51)</f>
        <v>0</v>
      </c>
      <c r="S51" s="31">
        <f>SUMIFS(METALFISA!$E:$E,METALFISA!$A:$A,'Faltantes Fevereiro- Metalfisa'!S$3,METALFISA!$B:$B,'Faltantes Fevereiro- Metalfisa'!$A51)</f>
        <v>0</v>
      </c>
      <c r="T51" s="31">
        <f>SUMIFS(METALFISA!$E:$E,METALFISA!$A:$A,'Faltantes Fevereiro- Metalfisa'!T$3,METALFISA!$B:$B,'Faltantes Fevereiro- Metalfisa'!$A51)</f>
        <v>0</v>
      </c>
      <c r="U51" s="31">
        <f>SUMIFS(METALFISA!$E:$E,METALFISA!$A:$A,'Faltantes Fevereiro- Metalfisa'!U$3,METALFISA!$B:$B,'Faltantes Fevereiro- Metalfisa'!$A51)</f>
        <v>0</v>
      </c>
      <c r="V51" s="31">
        <f>SUMIFS(METALFISA!$E:$E,METALFISA!$A:$A,'Faltantes Fevereiro- Metalfisa'!V$3,METALFISA!$B:$B,'Faltantes Fevereiro- Metalfisa'!$A51)</f>
        <v>0</v>
      </c>
      <c r="W51" s="31">
        <f>SUMIFS(METALFISA!$E:$E,METALFISA!$A:$A,'Faltantes Fevereiro- Metalfisa'!W$3,METALFISA!$B:$B,'Faltantes Fevereiro- Metalfisa'!$A51)</f>
        <v>0</v>
      </c>
      <c r="X51" s="31">
        <f>SUMIFS(METALFISA!$E:$E,METALFISA!$A:$A,'Faltantes Fevereiro- Metalfisa'!X$3,METALFISA!$B:$B,'Faltantes Fevereiro- Metalfisa'!$A51)</f>
        <v>0</v>
      </c>
      <c r="Y51" s="31">
        <f>SUMIFS(METALFISA!$E:$E,METALFISA!$A:$A,'Faltantes Fevereiro- Metalfisa'!Y$3,METALFISA!$B:$B,'Faltantes Fevereiro- Metalfisa'!$A51)</f>
        <v>0</v>
      </c>
      <c r="Z51" s="31">
        <f>SUMIFS(METALFISA!$E:$E,METALFISA!$A:$A,'Faltantes Fevereiro- Metalfisa'!Z$3,METALFISA!$B:$B,'Faltantes Fevereiro- Metalfisa'!$A51)</f>
        <v>0</v>
      </c>
      <c r="AA51" s="31">
        <f>SUMIFS(METALFISA!$E:$E,METALFISA!$A:$A,'Faltantes Fevereiro- Metalfisa'!AA$3,METALFISA!$B:$B,'Faltantes Fevereiro- Metalfisa'!$A51)</f>
        <v>0</v>
      </c>
      <c r="AB51" s="31">
        <f>SUMIFS(METALFISA!$E:$E,METALFISA!$A:$A,'Faltantes Fevereiro- Metalfisa'!AB$3,METALFISA!$B:$B,'Faltantes Fevereiro- Metalfisa'!$A51)</f>
        <v>0</v>
      </c>
      <c r="AC51" s="31">
        <f>SUMIFS(METALFISA!$E:$E,METALFISA!$A:$A,'Faltantes Fevereiro- Metalfisa'!AC$3,METALFISA!$B:$B,'Faltantes Fevereiro- Metalfisa'!$A51)</f>
        <v>0</v>
      </c>
      <c r="AD51" s="31">
        <f>SUMIFS(METALFISA!$E:$E,METALFISA!$A:$A,'Faltantes Fevereiro- Metalfisa'!AD$3,METALFISA!$B:$B,'Faltantes Fevereiro- Metalfisa'!$A51)</f>
        <v>0</v>
      </c>
      <c r="AE51" s="31">
        <f>SUMIFS(METALFISA!$E:$E,METALFISA!$A:$A,'Faltantes Fevereiro- Metalfisa'!AE$3,METALFISA!$B:$B,'Faltantes Fevereiro- Metalfisa'!$A51)</f>
        <v>0</v>
      </c>
      <c r="AF51" s="31">
        <f>SUMIFS(METALFISA!$E:$E,METALFISA!$A:$A,'Faltantes Fevereiro- Metalfisa'!AF$3,METALFISA!$B:$B,'Faltantes Fevereiro- Metalfisa'!$A51)</f>
        <v>0</v>
      </c>
      <c r="AG51" s="31">
        <f>SUMIFS(METALFISA!$E:$E,METALFISA!$A:$A,'Faltantes Fevereiro- Metalfisa'!AG$3,METALFISA!$B:$B,'Faltantes Fevereiro- Metalfisa'!$A51)</f>
        <v>0</v>
      </c>
      <c r="AH51" s="31">
        <f>SUMIFS(METALFISA!$E:$E,METALFISA!$A:$A,'Faltantes Fevereiro- Metalfisa'!AH$3,METALFISA!$B:$B,'Faltantes Fevereiro- Metalfisa'!$A51)</f>
        <v>66</v>
      </c>
      <c r="AI51" s="31">
        <f>SUMIFS(METALFISA!$E:$E,METALFISA!$A:$A,'Faltantes Fevereiro- Metalfisa'!AI$3,METALFISA!$B:$B,'Faltantes Fevereiro- Metalfisa'!$A51)</f>
        <v>0</v>
      </c>
      <c r="AJ51" s="31">
        <f>SUMIFS(METALFISA!$E:$E,METALFISA!$A:$A,'Faltantes Fevereiro- Metalfisa'!AJ$3,METALFISA!$B:$B,'Faltantes Fevereiro- Metalfisa'!$A51)</f>
        <v>0</v>
      </c>
      <c r="AK51" s="31">
        <f>SUMIFS(METALFISA!$E:$E,METALFISA!$A:$A,'Faltantes Fevereiro- Metalfisa'!AK$3,METALFISA!$B:$B,'Faltantes Fevereiro- Metalfisa'!$A51)</f>
        <v>0</v>
      </c>
      <c r="AL51" s="31">
        <f>SUMIFS(METALFISA!$E:$E,METALFISA!$A:$A,'Faltantes Fevereiro- Metalfisa'!AL$3,METALFISA!$B:$B,'Faltantes Fevereiro- Metalfisa'!$A51)</f>
        <v>0</v>
      </c>
      <c r="AM51" s="31">
        <f>SUMIFS(METALFISA!$E:$E,METALFISA!$A:$A,'Faltantes Fevereiro- Metalfisa'!AM$3,METALFISA!$B:$B,'Faltantes Fevereiro- Metalfisa'!$A51)</f>
        <v>0</v>
      </c>
      <c r="AN51" s="31">
        <f>SUMIFS(METALFISA!$E:$E,METALFISA!$A:$A,'Faltantes Fevereiro- Metalfisa'!AN$3,METALFISA!$B:$B,'Faltantes Fevereiro- Metalfisa'!$A51)</f>
        <v>0</v>
      </c>
      <c r="AO51" s="31">
        <f>SUMIFS(METALFISA!$E:$E,METALFISA!$A:$A,'Faltantes Fevereiro- Metalfisa'!AO$3,METALFISA!$B:$B,'Faltantes Fevereiro- Metalfisa'!$A51)</f>
        <v>0</v>
      </c>
      <c r="AP51" s="31">
        <f>SUMIFS(METALFISA!$E:$E,METALFISA!$A:$A,'Faltantes Fevereiro- Metalfisa'!AP$3,METALFISA!$B:$B,'Faltantes Fevereiro- Metalfisa'!$A51)</f>
        <v>0</v>
      </c>
      <c r="AQ51" s="31"/>
      <c r="AR51" s="31">
        <f>SUMIFS(METALFISA!$E:$E,METALFISA!$A:$A,'Faltantes Fevereiro- Metalfisa'!AR$3,METALFISA!$B:$B,'Faltantes Fevereiro- Metalfisa'!$A51)</f>
        <v>0</v>
      </c>
      <c r="AS51" s="35">
        <f>SUMIFS(METALFISA!$E:$E,METALFISA!$A:$A,'Faltantes Fevereiro- Metalfisa'!AS$3,METALFISA!$B:$B,'Faltantes Fevereiro- Metalfisa'!$A51)</f>
        <v>0</v>
      </c>
      <c r="AU51" s="18">
        <v>0</v>
      </c>
      <c r="AV51" s="18">
        <v>0</v>
      </c>
      <c r="AW51" s="18">
        <v>0</v>
      </c>
      <c r="AX51" s="18">
        <v>0</v>
      </c>
      <c r="AY51" s="41">
        <v>2</v>
      </c>
      <c r="AZ51" s="31">
        <v>2</v>
      </c>
      <c r="BA51" s="31">
        <v>0</v>
      </c>
      <c r="BB51" s="31">
        <v>0</v>
      </c>
      <c r="BC51" s="31">
        <v>0</v>
      </c>
      <c r="BD51" s="31">
        <v>0</v>
      </c>
      <c r="BE51" s="31">
        <v>0</v>
      </c>
      <c r="BF51" s="31">
        <v>0</v>
      </c>
      <c r="BG51" s="31">
        <v>0</v>
      </c>
      <c r="BH51" s="31">
        <v>0</v>
      </c>
      <c r="BI51" s="31">
        <v>0</v>
      </c>
      <c r="BJ51" s="31">
        <v>0</v>
      </c>
      <c r="BK51" s="31">
        <v>0</v>
      </c>
      <c r="BL51" s="31">
        <v>0</v>
      </c>
      <c r="BM51" s="31">
        <v>0</v>
      </c>
      <c r="BN51" s="31">
        <v>0</v>
      </c>
      <c r="BO51" s="31">
        <v>0</v>
      </c>
      <c r="BP51" s="31">
        <v>0</v>
      </c>
      <c r="BQ51" s="31">
        <v>0</v>
      </c>
      <c r="BR51" s="31">
        <v>0</v>
      </c>
      <c r="BS51" s="31">
        <v>0</v>
      </c>
      <c r="BT51" s="31">
        <v>0</v>
      </c>
      <c r="BU51" s="31">
        <v>0</v>
      </c>
      <c r="BV51" s="31">
        <v>0</v>
      </c>
      <c r="BW51" s="31">
        <v>0</v>
      </c>
      <c r="BX51" s="31">
        <v>0</v>
      </c>
      <c r="BY51" s="31">
        <v>0</v>
      </c>
      <c r="BZ51" s="31">
        <v>0</v>
      </c>
      <c r="CA51" s="31">
        <v>0</v>
      </c>
      <c r="CB51" s="31">
        <v>0</v>
      </c>
      <c r="CC51" s="31">
        <v>0</v>
      </c>
      <c r="CD51" s="31">
        <v>0</v>
      </c>
      <c r="CE51" s="31">
        <v>0</v>
      </c>
      <c r="CF51" s="31">
        <v>0</v>
      </c>
      <c r="CG51" s="31">
        <v>0</v>
      </c>
      <c r="CH51" s="31">
        <v>0</v>
      </c>
      <c r="CI51" s="31">
        <v>0</v>
      </c>
      <c r="CJ51" s="31">
        <v>0</v>
      </c>
      <c r="CK51" s="31">
        <v>0</v>
      </c>
      <c r="CL51" s="35">
        <v>0</v>
      </c>
    </row>
    <row r="52" spans="1:90" ht="21" x14ac:dyDescent="0.15">
      <c r="A52" s="27" t="s">
        <v>1812</v>
      </c>
      <c r="B52" s="28" t="s">
        <v>1813</v>
      </c>
      <c r="C52" s="28">
        <v>0</v>
      </c>
      <c r="D52" s="28">
        <v>0</v>
      </c>
      <c r="E52" s="28">
        <v>0</v>
      </c>
      <c r="F52" s="28">
        <v>0</v>
      </c>
      <c r="G52" s="28">
        <v>29</v>
      </c>
      <c r="H52" s="28">
        <f>IFERROR(VLOOKUP(A52,[1]FALTANTES!$A:$AB,28,FALSE),"-")</f>
        <v>0</v>
      </c>
      <c r="I52" s="42">
        <f>IFERROR(VLOOKUP(A52,[1]FALTANTES!$A:$AC,29,FALSE),"-")</f>
        <v>0</v>
      </c>
      <c r="J52" s="29">
        <f>IFERROR(VLOOKUP(A52,[1]FALTANTES!$A:$AD,30,FALSE),"-")</f>
        <v>-29</v>
      </c>
      <c r="K52" s="30">
        <v>0</v>
      </c>
      <c r="L52" s="30">
        <f t="shared" si="0"/>
        <v>64</v>
      </c>
      <c r="M52" s="31">
        <f>SUMIFS(METALFISA!$E:$E,METALFISA!$A:$A,'Faltantes Fevereiro- Metalfisa'!M$3,METALFISA!$B:$B,'Faltantes Fevereiro- Metalfisa'!$A52)</f>
        <v>0</v>
      </c>
      <c r="N52" s="31">
        <f>SUMIFS(METALFISA!$E:$E,METALFISA!$A:$A,'Faltantes Fevereiro- Metalfisa'!N$3,METALFISA!$B:$B,'Faltantes Fevereiro- Metalfisa'!$A52)</f>
        <v>0</v>
      </c>
      <c r="O52" s="31">
        <f>SUMIFS(METALFISA!$E:$E,METALFISA!$A:$A,'Faltantes Fevereiro- Metalfisa'!O$3,METALFISA!$B:$B,'Faltantes Fevereiro- Metalfisa'!$A52)</f>
        <v>0</v>
      </c>
      <c r="P52" s="31">
        <f>SUMIFS(METALFISA!$E:$E,METALFISA!$A:$A,'Faltantes Fevereiro- Metalfisa'!P$3,METALFISA!$B:$B,'Faltantes Fevereiro- Metalfisa'!$A52)</f>
        <v>0</v>
      </c>
      <c r="Q52" s="31">
        <f>SUMIFS(METALFISA!$E:$E,METALFISA!$A:$A,'Faltantes Fevereiro- Metalfisa'!Q$3,METALFISA!$B:$B,'Faltantes Fevereiro- Metalfisa'!$A52)</f>
        <v>0</v>
      </c>
      <c r="R52" s="31">
        <f>SUMIFS(METALFISA!$E:$E,METALFISA!$A:$A,'Faltantes Fevereiro- Metalfisa'!R$3,METALFISA!$B:$B,'Faltantes Fevereiro- Metalfisa'!$A52)</f>
        <v>0</v>
      </c>
      <c r="S52" s="31">
        <f>SUMIFS(METALFISA!$E:$E,METALFISA!$A:$A,'Faltantes Fevereiro- Metalfisa'!S$3,METALFISA!$B:$B,'Faltantes Fevereiro- Metalfisa'!$A52)</f>
        <v>0</v>
      </c>
      <c r="T52" s="31">
        <f>SUMIFS(METALFISA!$E:$E,METALFISA!$A:$A,'Faltantes Fevereiro- Metalfisa'!T$3,METALFISA!$B:$B,'Faltantes Fevereiro- Metalfisa'!$A52)</f>
        <v>0</v>
      </c>
      <c r="U52" s="31">
        <f>SUMIFS(METALFISA!$E:$E,METALFISA!$A:$A,'Faltantes Fevereiro- Metalfisa'!U$3,METALFISA!$B:$B,'Faltantes Fevereiro- Metalfisa'!$A52)</f>
        <v>0</v>
      </c>
      <c r="V52" s="31">
        <f>SUMIFS(METALFISA!$E:$E,METALFISA!$A:$A,'Faltantes Fevereiro- Metalfisa'!V$3,METALFISA!$B:$B,'Faltantes Fevereiro- Metalfisa'!$A52)</f>
        <v>0</v>
      </c>
      <c r="W52" s="31">
        <f>SUMIFS(METALFISA!$E:$E,METALFISA!$A:$A,'Faltantes Fevereiro- Metalfisa'!W$3,METALFISA!$B:$B,'Faltantes Fevereiro- Metalfisa'!$A52)</f>
        <v>0</v>
      </c>
      <c r="X52" s="31">
        <f>SUMIFS(METALFISA!$E:$E,METALFISA!$A:$A,'Faltantes Fevereiro- Metalfisa'!X$3,METALFISA!$B:$B,'Faltantes Fevereiro- Metalfisa'!$A52)</f>
        <v>0</v>
      </c>
      <c r="Y52" s="31">
        <f>SUMIFS(METALFISA!$E:$E,METALFISA!$A:$A,'Faltantes Fevereiro- Metalfisa'!Y$3,METALFISA!$B:$B,'Faltantes Fevereiro- Metalfisa'!$A52)</f>
        <v>0</v>
      </c>
      <c r="Z52" s="31">
        <f>SUMIFS(METALFISA!$E:$E,METALFISA!$A:$A,'Faltantes Fevereiro- Metalfisa'!Z$3,METALFISA!$B:$B,'Faltantes Fevereiro- Metalfisa'!$A52)</f>
        <v>0</v>
      </c>
      <c r="AA52" s="31">
        <f>SUMIFS(METALFISA!$E:$E,METALFISA!$A:$A,'Faltantes Fevereiro- Metalfisa'!AA$3,METALFISA!$B:$B,'Faltantes Fevereiro- Metalfisa'!$A52)</f>
        <v>0</v>
      </c>
      <c r="AB52" s="31">
        <f>SUMIFS(METALFISA!$E:$E,METALFISA!$A:$A,'Faltantes Fevereiro- Metalfisa'!AB$3,METALFISA!$B:$B,'Faltantes Fevereiro- Metalfisa'!$A52)</f>
        <v>0</v>
      </c>
      <c r="AC52" s="31">
        <f>SUMIFS(METALFISA!$E:$E,METALFISA!$A:$A,'Faltantes Fevereiro- Metalfisa'!AC$3,METALFISA!$B:$B,'Faltantes Fevereiro- Metalfisa'!$A52)</f>
        <v>0</v>
      </c>
      <c r="AD52" s="31">
        <f>SUMIFS(METALFISA!$E:$E,METALFISA!$A:$A,'Faltantes Fevereiro- Metalfisa'!AD$3,METALFISA!$B:$B,'Faltantes Fevereiro- Metalfisa'!$A52)</f>
        <v>0</v>
      </c>
      <c r="AE52" s="31">
        <f>SUMIFS(METALFISA!$E:$E,METALFISA!$A:$A,'Faltantes Fevereiro- Metalfisa'!AE$3,METALFISA!$B:$B,'Faltantes Fevereiro- Metalfisa'!$A52)</f>
        <v>0</v>
      </c>
      <c r="AF52" s="31">
        <f>SUMIFS(METALFISA!$E:$E,METALFISA!$A:$A,'Faltantes Fevereiro- Metalfisa'!AF$3,METALFISA!$B:$B,'Faltantes Fevereiro- Metalfisa'!$A52)</f>
        <v>0</v>
      </c>
      <c r="AG52" s="31">
        <f>SUMIFS(METALFISA!$E:$E,METALFISA!$A:$A,'Faltantes Fevereiro- Metalfisa'!AG$3,METALFISA!$B:$B,'Faltantes Fevereiro- Metalfisa'!$A52)</f>
        <v>0</v>
      </c>
      <c r="AH52" s="31">
        <f>SUMIFS(METALFISA!$E:$E,METALFISA!$A:$A,'Faltantes Fevereiro- Metalfisa'!AH$3,METALFISA!$B:$B,'Faltantes Fevereiro- Metalfisa'!$A52)</f>
        <v>64</v>
      </c>
      <c r="AI52" s="31">
        <f>SUMIFS(METALFISA!$E:$E,METALFISA!$A:$A,'Faltantes Fevereiro- Metalfisa'!AI$3,METALFISA!$B:$B,'Faltantes Fevereiro- Metalfisa'!$A52)</f>
        <v>0</v>
      </c>
      <c r="AJ52" s="31">
        <f>SUMIFS(METALFISA!$E:$E,METALFISA!$A:$A,'Faltantes Fevereiro- Metalfisa'!AJ$3,METALFISA!$B:$B,'Faltantes Fevereiro- Metalfisa'!$A52)</f>
        <v>0</v>
      </c>
      <c r="AK52" s="31">
        <f>SUMIFS(METALFISA!$E:$E,METALFISA!$A:$A,'Faltantes Fevereiro- Metalfisa'!AK$3,METALFISA!$B:$B,'Faltantes Fevereiro- Metalfisa'!$A52)</f>
        <v>0</v>
      </c>
      <c r="AL52" s="31">
        <f>SUMIFS(METALFISA!$E:$E,METALFISA!$A:$A,'Faltantes Fevereiro- Metalfisa'!AL$3,METALFISA!$B:$B,'Faltantes Fevereiro- Metalfisa'!$A52)</f>
        <v>0</v>
      </c>
      <c r="AM52" s="31">
        <f>SUMIFS(METALFISA!$E:$E,METALFISA!$A:$A,'Faltantes Fevereiro- Metalfisa'!AM$3,METALFISA!$B:$B,'Faltantes Fevereiro- Metalfisa'!$A52)</f>
        <v>0</v>
      </c>
      <c r="AN52" s="31">
        <f>SUMIFS(METALFISA!$E:$E,METALFISA!$A:$A,'Faltantes Fevereiro- Metalfisa'!AN$3,METALFISA!$B:$B,'Faltantes Fevereiro- Metalfisa'!$A52)</f>
        <v>0</v>
      </c>
      <c r="AO52" s="31">
        <f>SUMIFS(METALFISA!$E:$E,METALFISA!$A:$A,'Faltantes Fevereiro- Metalfisa'!AO$3,METALFISA!$B:$B,'Faltantes Fevereiro- Metalfisa'!$A52)</f>
        <v>0</v>
      </c>
      <c r="AP52" s="31">
        <f>SUMIFS(METALFISA!$E:$E,METALFISA!$A:$A,'Faltantes Fevereiro- Metalfisa'!AP$3,METALFISA!$B:$B,'Faltantes Fevereiro- Metalfisa'!$A52)</f>
        <v>0</v>
      </c>
      <c r="AQ52" s="31"/>
      <c r="AR52" s="31">
        <f>SUMIFS(METALFISA!$E:$E,METALFISA!$A:$A,'Faltantes Fevereiro- Metalfisa'!AR$3,METALFISA!$B:$B,'Faltantes Fevereiro- Metalfisa'!$A52)</f>
        <v>0</v>
      </c>
      <c r="AS52" s="35">
        <f>SUMIFS(METALFISA!$E:$E,METALFISA!$A:$A,'Faltantes Fevereiro- Metalfisa'!AS$3,METALFISA!$B:$B,'Faltantes Fevereiro- Metalfisa'!$A52)</f>
        <v>0</v>
      </c>
      <c r="AU52" s="18">
        <v>0</v>
      </c>
      <c r="AV52" s="18">
        <v>0</v>
      </c>
      <c r="AW52" s="18">
        <v>0</v>
      </c>
      <c r="AX52" s="18">
        <v>0</v>
      </c>
      <c r="AY52" s="41">
        <v>2</v>
      </c>
      <c r="AZ52" s="31">
        <v>2</v>
      </c>
      <c r="BA52" s="31">
        <v>0</v>
      </c>
      <c r="BB52" s="31">
        <v>0</v>
      </c>
      <c r="BC52" s="31">
        <v>0</v>
      </c>
      <c r="BD52" s="31">
        <v>0</v>
      </c>
      <c r="BE52" s="31">
        <v>0</v>
      </c>
      <c r="BF52" s="31">
        <v>0</v>
      </c>
      <c r="BG52" s="31">
        <v>0</v>
      </c>
      <c r="BH52" s="31">
        <v>0</v>
      </c>
      <c r="BI52" s="31">
        <v>0</v>
      </c>
      <c r="BJ52" s="31">
        <v>0</v>
      </c>
      <c r="BK52" s="31">
        <v>0</v>
      </c>
      <c r="BL52" s="31">
        <v>0</v>
      </c>
      <c r="BM52" s="31">
        <v>0</v>
      </c>
      <c r="BN52" s="31">
        <v>0</v>
      </c>
      <c r="BO52" s="31">
        <v>0</v>
      </c>
      <c r="BP52" s="31">
        <v>0</v>
      </c>
      <c r="BQ52" s="31">
        <v>0</v>
      </c>
      <c r="BR52" s="31">
        <v>0</v>
      </c>
      <c r="BS52" s="31">
        <v>0</v>
      </c>
      <c r="BT52" s="31">
        <v>0</v>
      </c>
      <c r="BU52" s="31">
        <v>0</v>
      </c>
      <c r="BV52" s="31">
        <v>0</v>
      </c>
      <c r="BW52" s="31">
        <v>0</v>
      </c>
      <c r="BX52" s="31">
        <v>0</v>
      </c>
      <c r="BY52" s="31">
        <v>0</v>
      </c>
      <c r="BZ52" s="31">
        <v>0</v>
      </c>
      <c r="CA52" s="31">
        <v>0</v>
      </c>
      <c r="CB52" s="31">
        <v>0</v>
      </c>
      <c r="CC52" s="31">
        <v>0</v>
      </c>
      <c r="CD52" s="31">
        <v>0</v>
      </c>
      <c r="CE52" s="31">
        <v>0</v>
      </c>
      <c r="CF52" s="31">
        <v>0</v>
      </c>
      <c r="CG52" s="31">
        <v>0</v>
      </c>
      <c r="CH52" s="31">
        <v>0</v>
      </c>
      <c r="CI52" s="31">
        <v>0</v>
      </c>
      <c r="CJ52" s="31">
        <v>0</v>
      </c>
      <c r="CK52" s="31">
        <v>0</v>
      </c>
      <c r="CL52" s="35">
        <v>0</v>
      </c>
    </row>
    <row r="53" spans="1:90" ht="21" x14ac:dyDescent="0.15">
      <c r="A53" s="27" t="s">
        <v>966</v>
      </c>
      <c r="B53" s="28" t="s">
        <v>967</v>
      </c>
      <c r="C53" s="28">
        <v>8</v>
      </c>
      <c r="D53" s="28">
        <v>0</v>
      </c>
      <c r="E53" s="28">
        <v>0</v>
      </c>
      <c r="F53" s="28">
        <v>0</v>
      </c>
      <c r="G53" s="28">
        <v>58</v>
      </c>
      <c r="H53" s="28">
        <f>IFERROR(VLOOKUP(A53,[1]FALTANTES!$A:$AB,28,FALSE),"-")</f>
        <v>8</v>
      </c>
      <c r="I53" s="42">
        <f>IFERROR(VLOOKUP(A53,[1]FALTANTES!$A:$AC,29,FALSE),"-")</f>
        <v>0</v>
      </c>
      <c r="J53" s="29">
        <f>IFERROR(VLOOKUP(A53,[1]FALTANTES!$A:$AD,30,FALSE),"-")</f>
        <v>-66</v>
      </c>
      <c r="K53" s="30">
        <v>0</v>
      </c>
      <c r="L53" s="30">
        <f t="shared" si="0"/>
        <v>66</v>
      </c>
      <c r="M53" s="31">
        <f>SUMIFS(METALFISA!$E:$E,METALFISA!$A:$A,'Faltantes Fevereiro- Metalfisa'!M$3,METALFISA!$B:$B,'Faltantes Fevereiro- Metalfisa'!$A53)</f>
        <v>0</v>
      </c>
      <c r="N53" s="31">
        <f>SUMIFS(METALFISA!$E:$E,METALFISA!$A:$A,'Faltantes Fevereiro- Metalfisa'!N$3,METALFISA!$B:$B,'Faltantes Fevereiro- Metalfisa'!$A53)</f>
        <v>0</v>
      </c>
      <c r="O53" s="31">
        <f>SUMIFS(METALFISA!$E:$E,METALFISA!$A:$A,'Faltantes Fevereiro- Metalfisa'!O$3,METALFISA!$B:$B,'Faltantes Fevereiro- Metalfisa'!$A53)</f>
        <v>0</v>
      </c>
      <c r="P53" s="31">
        <f>SUMIFS(METALFISA!$E:$E,METALFISA!$A:$A,'Faltantes Fevereiro- Metalfisa'!P$3,METALFISA!$B:$B,'Faltantes Fevereiro- Metalfisa'!$A53)</f>
        <v>0</v>
      </c>
      <c r="Q53" s="31">
        <f>SUMIFS(METALFISA!$E:$E,METALFISA!$A:$A,'Faltantes Fevereiro- Metalfisa'!Q$3,METALFISA!$B:$B,'Faltantes Fevereiro- Metalfisa'!$A53)</f>
        <v>0</v>
      </c>
      <c r="R53" s="31">
        <f>SUMIFS(METALFISA!$E:$E,METALFISA!$A:$A,'Faltantes Fevereiro- Metalfisa'!R$3,METALFISA!$B:$B,'Faltantes Fevereiro- Metalfisa'!$A53)</f>
        <v>0</v>
      </c>
      <c r="S53" s="31">
        <f>SUMIFS(METALFISA!$E:$E,METALFISA!$A:$A,'Faltantes Fevereiro- Metalfisa'!S$3,METALFISA!$B:$B,'Faltantes Fevereiro- Metalfisa'!$A53)</f>
        <v>0</v>
      </c>
      <c r="T53" s="31">
        <f>SUMIFS(METALFISA!$E:$E,METALFISA!$A:$A,'Faltantes Fevereiro- Metalfisa'!T$3,METALFISA!$B:$B,'Faltantes Fevereiro- Metalfisa'!$A53)</f>
        <v>0</v>
      </c>
      <c r="U53" s="31">
        <f>SUMIFS(METALFISA!$E:$E,METALFISA!$A:$A,'Faltantes Fevereiro- Metalfisa'!U$3,METALFISA!$B:$B,'Faltantes Fevereiro- Metalfisa'!$A53)</f>
        <v>0</v>
      </c>
      <c r="V53" s="31">
        <f>SUMIFS(METALFISA!$E:$E,METALFISA!$A:$A,'Faltantes Fevereiro- Metalfisa'!V$3,METALFISA!$B:$B,'Faltantes Fevereiro- Metalfisa'!$A53)</f>
        <v>0</v>
      </c>
      <c r="W53" s="31">
        <f>SUMIFS(METALFISA!$E:$E,METALFISA!$A:$A,'Faltantes Fevereiro- Metalfisa'!W$3,METALFISA!$B:$B,'Faltantes Fevereiro- Metalfisa'!$A53)</f>
        <v>0</v>
      </c>
      <c r="X53" s="31">
        <f>SUMIFS(METALFISA!$E:$E,METALFISA!$A:$A,'Faltantes Fevereiro- Metalfisa'!X$3,METALFISA!$B:$B,'Faltantes Fevereiro- Metalfisa'!$A53)</f>
        <v>0</v>
      </c>
      <c r="Y53" s="31">
        <f>SUMIFS(METALFISA!$E:$E,METALFISA!$A:$A,'Faltantes Fevereiro- Metalfisa'!Y$3,METALFISA!$B:$B,'Faltantes Fevereiro- Metalfisa'!$A53)</f>
        <v>0</v>
      </c>
      <c r="Z53" s="31">
        <f>SUMIFS(METALFISA!$E:$E,METALFISA!$A:$A,'Faltantes Fevereiro- Metalfisa'!Z$3,METALFISA!$B:$B,'Faltantes Fevereiro- Metalfisa'!$A53)</f>
        <v>0</v>
      </c>
      <c r="AA53" s="31">
        <f>SUMIFS(METALFISA!$E:$E,METALFISA!$A:$A,'Faltantes Fevereiro- Metalfisa'!AA$3,METALFISA!$B:$B,'Faltantes Fevereiro- Metalfisa'!$A53)</f>
        <v>0</v>
      </c>
      <c r="AB53" s="31">
        <f>SUMIFS(METALFISA!$E:$E,METALFISA!$A:$A,'Faltantes Fevereiro- Metalfisa'!AB$3,METALFISA!$B:$B,'Faltantes Fevereiro- Metalfisa'!$A53)</f>
        <v>0</v>
      </c>
      <c r="AC53" s="31">
        <f>SUMIFS(METALFISA!$E:$E,METALFISA!$A:$A,'Faltantes Fevereiro- Metalfisa'!AC$3,METALFISA!$B:$B,'Faltantes Fevereiro- Metalfisa'!$A53)</f>
        <v>0</v>
      </c>
      <c r="AD53" s="31">
        <f>SUMIFS(METALFISA!$E:$E,METALFISA!$A:$A,'Faltantes Fevereiro- Metalfisa'!AD$3,METALFISA!$B:$B,'Faltantes Fevereiro- Metalfisa'!$A53)</f>
        <v>0</v>
      </c>
      <c r="AE53" s="31">
        <f>SUMIFS(METALFISA!$E:$E,METALFISA!$A:$A,'Faltantes Fevereiro- Metalfisa'!AE$3,METALFISA!$B:$B,'Faltantes Fevereiro- Metalfisa'!$A53)</f>
        <v>0</v>
      </c>
      <c r="AF53" s="31">
        <f>SUMIFS(METALFISA!$E:$E,METALFISA!$A:$A,'Faltantes Fevereiro- Metalfisa'!AF$3,METALFISA!$B:$B,'Faltantes Fevereiro- Metalfisa'!$A53)</f>
        <v>0</v>
      </c>
      <c r="AG53" s="31">
        <f>SUMIFS(METALFISA!$E:$E,METALFISA!$A:$A,'Faltantes Fevereiro- Metalfisa'!AG$3,METALFISA!$B:$B,'Faltantes Fevereiro- Metalfisa'!$A53)</f>
        <v>0</v>
      </c>
      <c r="AH53" s="31">
        <f>SUMIFS(METALFISA!$E:$E,METALFISA!$A:$A,'Faltantes Fevereiro- Metalfisa'!AH$3,METALFISA!$B:$B,'Faltantes Fevereiro- Metalfisa'!$A53)</f>
        <v>66</v>
      </c>
      <c r="AI53" s="31">
        <f>SUMIFS(METALFISA!$E:$E,METALFISA!$A:$A,'Faltantes Fevereiro- Metalfisa'!AI$3,METALFISA!$B:$B,'Faltantes Fevereiro- Metalfisa'!$A53)</f>
        <v>0</v>
      </c>
      <c r="AJ53" s="31">
        <f>SUMIFS(METALFISA!$E:$E,METALFISA!$A:$A,'Faltantes Fevereiro- Metalfisa'!AJ$3,METALFISA!$B:$B,'Faltantes Fevereiro- Metalfisa'!$A53)</f>
        <v>0</v>
      </c>
      <c r="AK53" s="31">
        <f>SUMIFS(METALFISA!$E:$E,METALFISA!$A:$A,'Faltantes Fevereiro- Metalfisa'!AK$3,METALFISA!$B:$B,'Faltantes Fevereiro- Metalfisa'!$A53)</f>
        <v>0</v>
      </c>
      <c r="AL53" s="31">
        <f>SUMIFS(METALFISA!$E:$E,METALFISA!$A:$A,'Faltantes Fevereiro- Metalfisa'!AL$3,METALFISA!$B:$B,'Faltantes Fevereiro- Metalfisa'!$A53)</f>
        <v>0</v>
      </c>
      <c r="AM53" s="31">
        <f>SUMIFS(METALFISA!$E:$E,METALFISA!$A:$A,'Faltantes Fevereiro- Metalfisa'!AM$3,METALFISA!$B:$B,'Faltantes Fevereiro- Metalfisa'!$A53)</f>
        <v>0</v>
      </c>
      <c r="AN53" s="31">
        <f>SUMIFS(METALFISA!$E:$E,METALFISA!$A:$A,'Faltantes Fevereiro- Metalfisa'!AN$3,METALFISA!$B:$B,'Faltantes Fevereiro- Metalfisa'!$A53)</f>
        <v>0</v>
      </c>
      <c r="AO53" s="31">
        <f>SUMIFS(METALFISA!$E:$E,METALFISA!$A:$A,'Faltantes Fevereiro- Metalfisa'!AO$3,METALFISA!$B:$B,'Faltantes Fevereiro- Metalfisa'!$A53)</f>
        <v>0</v>
      </c>
      <c r="AP53" s="31">
        <f>SUMIFS(METALFISA!$E:$E,METALFISA!$A:$A,'Faltantes Fevereiro- Metalfisa'!AP$3,METALFISA!$B:$B,'Faltantes Fevereiro- Metalfisa'!$A53)</f>
        <v>0</v>
      </c>
      <c r="AQ53" s="31"/>
      <c r="AR53" s="31">
        <f>SUMIFS(METALFISA!$E:$E,METALFISA!$A:$A,'Faltantes Fevereiro- Metalfisa'!AR$3,METALFISA!$B:$B,'Faltantes Fevereiro- Metalfisa'!$A53)</f>
        <v>0</v>
      </c>
      <c r="AS53" s="35">
        <f>SUMIFS(METALFISA!$E:$E,METALFISA!$A:$A,'Faltantes Fevereiro- Metalfisa'!AS$3,METALFISA!$B:$B,'Faltantes Fevereiro- Metalfisa'!$A53)</f>
        <v>0</v>
      </c>
      <c r="AU53" s="18">
        <v>0</v>
      </c>
      <c r="AV53" s="18">
        <v>0</v>
      </c>
      <c r="AW53" s="18">
        <v>0</v>
      </c>
      <c r="AX53" s="18">
        <v>0</v>
      </c>
      <c r="AY53" s="41">
        <v>2</v>
      </c>
      <c r="AZ53" s="31">
        <v>2</v>
      </c>
      <c r="BA53" s="31">
        <v>0</v>
      </c>
      <c r="BB53" s="31">
        <v>0</v>
      </c>
      <c r="BC53" s="31">
        <v>0</v>
      </c>
      <c r="BD53" s="31">
        <v>0</v>
      </c>
      <c r="BE53" s="31">
        <v>0</v>
      </c>
      <c r="BF53" s="31">
        <v>0</v>
      </c>
      <c r="BG53" s="31">
        <v>0</v>
      </c>
      <c r="BH53" s="31">
        <v>0</v>
      </c>
      <c r="BI53" s="31">
        <v>0</v>
      </c>
      <c r="BJ53" s="31">
        <v>0</v>
      </c>
      <c r="BK53" s="31">
        <v>0</v>
      </c>
      <c r="BL53" s="31">
        <v>0</v>
      </c>
      <c r="BM53" s="31">
        <v>0</v>
      </c>
      <c r="BN53" s="31">
        <v>0</v>
      </c>
      <c r="BO53" s="31">
        <v>0</v>
      </c>
      <c r="BP53" s="31">
        <v>0</v>
      </c>
      <c r="BQ53" s="31">
        <v>0</v>
      </c>
      <c r="BR53" s="31">
        <v>0</v>
      </c>
      <c r="BS53" s="31">
        <v>0</v>
      </c>
      <c r="BT53" s="31">
        <v>0</v>
      </c>
      <c r="BU53" s="31">
        <v>0</v>
      </c>
      <c r="BV53" s="31">
        <v>0</v>
      </c>
      <c r="BW53" s="31">
        <v>0</v>
      </c>
      <c r="BX53" s="31">
        <v>0</v>
      </c>
      <c r="BY53" s="31">
        <v>0</v>
      </c>
      <c r="BZ53" s="31">
        <v>0</v>
      </c>
      <c r="CA53" s="31">
        <v>0</v>
      </c>
      <c r="CB53" s="31">
        <v>0</v>
      </c>
      <c r="CC53" s="31">
        <v>0</v>
      </c>
      <c r="CD53" s="31">
        <v>0</v>
      </c>
      <c r="CE53" s="31">
        <v>0</v>
      </c>
      <c r="CF53" s="31">
        <v>0</v>
      </c>
      <c r="CG53" s="31">
        <v>0</v>
      </c>
      <c r="CH53" s="31">
        <v>0</v>
      </c>
      <c r="CI53" s="31">
        <v>0</v>
      </c>
      <c r="CJ53" s="31">
        <v>0</v>
      </c>
      <c r="CK53" s="31">
        <v>0</v>
      </c>
      <c r="CL53" s="35">
        <v>0</v>
      </c>
    </row>
    <row r="54" spans="1:90" ht="21" x14ac:dyDescent="0.15">
      <c r="A54" s="27" t="s">
        <v>306</v>
      </c>
      <c r="B54" s="28" t="s">
        <v>307</v>
      </c>
      <c r="C54" s="28">
        <v>18</v>
      </c>
      <c r="D54" s="28">
        <v>0</v>
      </c>
      <c r="E54" s="28">
        <v>0</v>
      </c>
      <c r="F54" s="28">
        <v>0</v>
      </c>
      <c r="G54" s="28">
        <v>58</v>
      </c>
      <c r="H54" s="28">
        <f>IFERROR(VLOOKUP(A54,[1]FALTANTES!$A:$AB,28,FALSE),"-")</f>
        <v>0</v>
      </c>
      <c r="I54" s="42">
        <f>IFERROR(VLOOKUP(A54,[1]FALTANTES!$A:$AC,29,FALSE),"-")</f>
        <v>69</v>
      </c>
      <c r="J54" s="29">
        <f>IFERROR(VLOOKUP(A54,[1]FALTANTES!$A:$AD,30,FALSE),"-")</f>
        <v>-7</v>
      </c>
      <c r="K54" s="30">
        <v>0</v>
      </c>
      <c r="L54" s="30">
        <f t="shared" si="0"/>
        <v>7</v>
      </c>
      <c r="M54" s="31">
        <f>SUMIFS(METALFISA!$E:$E,METALFISA!$A:$A,'Faltantes Fevereiro- Metalfisa'!M$3,METALFISA!$B:$B,'Faltantes Fevereiro- Metalfisa'!$A54)</f>
        <v>0</v>
      </c>
      <c r="N54" s="31">
        <f>SUMIFS(METALFISA!$E:$E,METALFISA!$A:$A,'Faltantes Fevereiro- Metalfisa'!N$3,METALFISA!$B:$B,'Faltantes Fevereiro- Metalfisa'!$A54)</f>
        <v>0</v>
      </c>
      <c r="O54" s="31">
        <f>SUMIFS(METALFISA!$E:$E,METALFISA!$A:$A,'Faltantes Fevereiro- Metalfisa'!O$3,METALFISA!$B:$B,'Faltantes Fevereiro- Metalfisa'!$A54)</f>
        <v>0</v>
      </c>
      <c r="P54" s="31">
        <f>SUMIFS(METALFISA!$E:$E,METALFISA!$A:$A,'Faltantes Fevereiro- Metalfisa'!P$3,METALFISA!$B:$B,'Faltantes Fevereiro- Metalfisa'!$A54)</f>
        <v>0</v>
      </c>
      <c r="Q54" s="31">
        <f>SUMIFS(METALFISA!$E:$E,METALFISA!$A:$A,'Faltantes Fevereiro- Metalfisa'!Q$3,METALFISA!$B:$B,'Faltantes Fevereiro- Metalfisa'!$A54)</f>
        <v>0</v>
      </c>
      <c r="R54" s="31">
        <f>SUMIFS(METALFISA!$E:$E,METALFISA!$A:$A,'Faltantes Fevereiro- Metalfisa'!R$3,METALFISA!$B:$B,'Faltantes Fevereiro- Metalfisa'!$A54)</f>
        <v>0</v>
      </c>
      <c r="S54" s="31">
        <f>SUMIFS(METALFISA!$E:$E,METALFISA!$A:$A,'Faltantes Fevereiro- Metalfisa'!S$3,METALFISA!$B:$B,'Faltantes Fevereiro- Metalfisa'!$A54)</f>
        <v>0</v>
      </c>
      <c r="T54" s="31">
        <f>SUMIFS(METALFISA!$E:$E,METALFISA!$A:$A,'Faltantes Fevereiro- Metalfisa'!T$3,METALFISA!$B:$B,'Faltantes Fevereiro- Metalfisa'!$A54)</f>
        <v>0</v>
      </c>
      <c r="U54" s="31">
        <f>SUMIFS(METALFISA!$E:$E,METALFISA!$A:$A,'Faltantes Fevereiro- Metalfisa'!U$3,METALFISA!$B:$B,'Faltantes Fevereiro- Metalfisa'!$A54)</f>
        <v>0</v>
      </c>
      <c r="V54" s="31">
        <f>SUMIFS(METALFISA!$E:$E,METALFISA!$A:$A,'Faltantes Fevereiro- Metalfisa'!V$3,METALFISA!$B:$B,'Faltantes Fevereiro- Metalfisa'!$A54)</f>
        <v>0</v>
      </c>
      <c r="W54" s="31">
        <f>SUMIFS(METALFISA!$E:$E,METALFISA!$A:$A,'Faltantes Fevereiro- Metalfisa'!W$3,METALFISA!$B:$B,'Faltantes Fevereiro- Metalfisa'!$A54)</f>
        <v>0</v>
      </c>
      <c r="X54" s="31">
        <f>SUMIFS(METALFISA!$E:$E,METALFISA!$A:$A,'Faltantes Fevereiro- Metalfisa'!X$3,METALFISA!$B:$B,'Faltantes Fevereiro- Metalfisa'!$A54)</f>
        <v>0</v>
      </c>
      <c r="Y54" s="31">
        <f>SUMIFS(METALFISA!$E:$E,METALFISA!$A:$A,'Faltantes Fevereiro- Metalfisa'!Y$3,METALFISA!$B:$B,'Faltantes Fevereiro- Metalfisa'!$A54)</f>
        <v>0</v>
      </c>
      <c r="Z54" s="31">
        <f>SUMIFS(METALFISA!$E:$E,METALFISA!$A:$A,'Faltantes Fevereiro- Metalfisa'!Z$3,METALFISA!$B:$B,'Faltantes Fevereiro- Metalfisa'!$A54)</f>
        <v>0</v>
      </c>
      <c r="AA54" s="31">
        <f>SUMIFS(METALFISA!$E:$E,METALFISA!$A:$A,'Faltantes Fevereiro- Metalfisa'!AA$3,METALFISA!$B:$B,'Faltantes Fevereiro- Metalfisa'!$A54)</f>
        <v>0</v>
      </c>
      <c r="AB54" s="31">
        <f>SUMIFS(METALFISA!$E:$E,METALFISA!$A:$A,'Faltantes Fevereiro- Metalfisa'!AB$3,METALFISA!$B:$B,'Faltantes Fevereiro- Metalfisa'!$A54)</f>
        <v>0</v>
      </c>
      <c r="AC54" s="31">
        <f>SUMIFS(METALFISA!$E:$E,METALFISA!$A:$A,'Faltantes Fevereiro- Metalfisa'!AC$3,METALFISA!$B:$B,'Faltantes Fevereiro- Metalfisa'!$A54)</f>
        <v>0</v>
      </c>
      <c r="AD54" s="31">
        <f>SUMIFS(METALFISA!$E:$E,METALFISA!$A:$A,'Faltantes Fevereiro- Metalfisa'!AD$3,METALFISA!$B:$B,'Faltantes Fevereiro- Metalfisa'!$A54)</f>
        <v>0</v>
      </c>
      <c r="AE54" s="31">
        <f>SUMIFS(METALFISA!$E:$E,METALFISA!$A:$A,'Faltantes Fevereiro- Metalfisa'!AE$3,METALFISA!$B:$B,'Faltantes Fevereiro- Metalfisa'!$A54)</f>
        <v>0</v>
      </c>
      <c r="AF54" s="31">
        <f>SUMIFS(METALFISA!$E:$E,METALFISA!$A:$A,'Faltantes Fevereiro- Metalfisa'!AF$3,METALFISA!$B:$B,'Faltantes Fevereiro- Metalfisa'!$A54)</f>
        <v>0</v>
      </c>
      <c r="AG54" s="31">
        <f>SUMIFS(METALFISA!$E:$E,METALFISA!$A:$A,'Faltantes Fevereiro- Metalfisa'!AG$3,METALFISA!$B:$B,'Faltantes Fevereiro- Metalfisa'!$A54)</f>
        <v>0</v>
      </c>
      <c r="AH54" s="31">
        <f>SUMIFS(METALFISA!$E:$E,METALFISA!$A:$A,'Faltantes Fevereiro- Metalfisa'!AH$3,METALFISA!$B:$B,'Faltantes Fevereiro- Metalfisa'!$A54)</f>
        <v>3</v>
      </c>
      <c r="AI54" s="31">
        <f>SUMIFS(METALFISA!$E:$E,METALFISA!$A:$A,'Faltantes Fevereiro- Metalfisa'!AI$3,METALFISA!$B:$B,'Faltantes Fevereiro- Metalfisa'!$A54)</f>
        <v>0</v>
      </c>
      <c r="AJ54" s="31">
        <f>SUMIFS(METALFISA!$E:$E,METALFISA!$A:$A,'Faltantes Fevereiro- Metalfisa'!AJ$3,METALFISA!$B:$B,'Faltantes Fevereiro- Metalfisa'!$A54)</f>
        <v>0</v>
      </c>
      <c r="AK54" s="31">
        <f>SUMIFS(METALFISA!$E:$E,METALFISA!$A:$A,'Faltantes Fevereiro- Metalfisa'!AK$3,METALFISA!$B:$B,'Faltantes Fevereiro- Metalfisa'!$A54)</f>
        <v>0</v>
      </c>
      <c r="AL54" s="31">
        <f>SUMIFS(METALFISA!$E:$E,METALFISA!$A:$A,'Faltantes Fevereiro- Metalfisa'!AL$3,METALFISA!$B:$B,'Faltantes Fevereiro- Metalfisa'!$A54)</f>
        <v>0</v>
      </c>
      <c r="AM54" s="31">
        <f>SUMIFS(METALFISA!$E:$E,METALFISA!$A:$A,'Faltantes Fevereiro- Metalfisa'!AM$3,METALFISA!$B:$B,'Faltantes Fevereiro- Metalfisa'!$A54)</f>
        <v>4</v>
      </c>
      <c r="AN54" s="31">
        <f>SUMIFS(METALFISA!$E:$E,METALFISA!$A:$A,'Faltantes Fevereiro- Metalfisa'!AN$3,METALFISA!$B:$B,'Faltantes Fevereiro- Metalfisa'!$A54)</f>
        <v>0</v>
      </c>
      <c r="AO54" s="31">
        <f>SUMIFS(METALFISA!$E:$E,METALFISA!$A:$A,'Faltantes Fevereiro- Metalfisa'!AO$3,METALFISA!$B:$B,'Faltantes Fevereiro- Metalfisa'!$A54)</f>
        <v>0</v>
      </c>
      <c r="AP54" s="31">
        <f>SUMIFS(METALFISA!$E:$E,METALFISA!$A:$A,'Faltantes Fevereiro- Metalfisa'!AP$3,METALFISA!$B:$B,'Faltantes Fevereiro- Metalfisa'!$A54)</f>
        <v>0</v>
      </c>
      <c r="AQ54" s="31"/>
      <c r="AR54" s="31">
        <f>SUMIFS(METALFISA!$E:$E,METALFISA!$A:$A,'Faltantes Fevereiro- Metalfisa'!AR$3,METALFISA!$B:$B,'Faltantes Fevereiro- Metalfisa'!$A54)</f>
        <v>0</v>
      </c>
      <c r="AS54" s="35">
        <f>SUMIFS(METALFISA!$E:$E,METALFISA!$A:$A,'Faltantes Fevereiro- Metalfisa'!AS$3,METALFISA!$B:$B,'Faltantes Fevereiro- Metalfisa'!$A54)</f>
        <v>0</v>
      </c>
      <c r="AU54" s="18">
        <v>0</v>
      </c>
      <c r="AV54" s="18">
        <v>0</v>
      </c>
      <c r="AW54" s="18">
        <v>0</v>
      </c>
      <c r="AX54" s="18">
        <v>0</v>
      </c>
      <c r="AY54" s="41">
        <v>2</v>
      </c>
      <c r="AZ54" s="31">
        <v>2</v>
      </c>
      <c r="BA54" s="31">
        <v>0</v>
      </c>
      <c r="BB54" s="31">
        <v>0</v>
      </c>
      <c r="BC54" s="31">
        <v>0</v>
      </c>
      <c r="BD54" s="31">
        <v>0</v>
      </c>
      <c r="BE54" s="31">
        <v>0</v>
      </c>
      <c r="BF54" s="31">
        <v>0</v>
      </c>
      <c r="BG54" s="31">
        <v>0</v>
      </c>
      <c r="BH54" s="31">
        <v>0</v>
      </c>
      <c r="BI54" s="31">
        <v>0</v>
      </c>
      <c r="BJ54" s="31">
        <v>0</v>
      </c>
      <c r="BK54" s="31">
        <v>0</v>
      </c>
      <c r="BL54" s="31">
        <v>0</v>
      </c>
      <c r="BM54" s="31">
        <v>0</v>
      </c>
      <c r="BN54" s="31">
        <v>0</v>
      </c>
      <c r="BO54" s="31">
        <v>0</v>
      </c>
      <c r="BP54" s="31">
        <v>0</v>
      </c>
      <c r="BQ54" s="31">
        <v>0</v>
      </c>
      <c r="BR54" s="31">
        <v>0</v>
      </c>
      <c r="BS54" s="31">
        <v>0</v>
      </c>
      <c r="BT54" s="31">
        <v>0</v>
      </c>
      <c r="BU54" s="31">
        <v>0</v>
      </c>
      <c r="BV54" s="31">
        <v>0</v>
      </c>
      <c r="BW54" s="31">
        <v>0</v>
      </c>
      <c r="BX54" s="31">
        <v>0</v>
      </c>
      <c r="BY54" s="31">
        <v>0</v>
      </c>
      <c r="BZ54" s="31">
        <v>0</v>
      </c>
      <c r="CA54" s="31">
        <v>0</v>
      </c>
      <c r="CB54" s="31">
        <v>0</v>
      </c>
      <c r="CC54" s="31">
        <v>0</v>
      </c>
      <c r="CD54" s="31">
        <v>0</v>
      </c>
      <c r="CE54" s="31">
        <v>0</v>
      </c>
      <c r="CF54" s="31">
        <v>0</v>
      </c>
      <c r="CG54" s="31">
        <v>0</v>
      </c>
      <c r="CH54" s="31">
        <v>0</v>
      </c>
      <c r="CI54" s="31">
        <v>0</v>
      </c>
      <c r="CJ54" s="31">
        <v>0</v>
      </c>
      <c r="CK54" s="31">
        <v>0</v>
      </c>
      <c r="CL54" s="35">
        <v>0</v>
      </c>
    </row>
    <row r="55" spans="1:90" ht="21" x14ac:dyDescent="0.15">
      <c r="A55" s="27" t="s">
        <v>859</v>
      </c>
      <c r="B55" s="28" t="s">
        <v>860</v>
      </c>
      <c r="C55" s="28">
        <v>0</v>
      </c>
      <c r="D55" s="28">
        <v>0</v>
      </c>
      <c r="E55" s="28">
        <v>0</v>
      </c>
      <c r="F55" s="28">
        <v>0</v>
      </c>
      <c r="G55" s="28">
        <v>23</v>
      </c>
      <c r="H55" s="28">
        <f>IFERROR(VLOOKUP(A55,[1]FALTANTES!$A:$AB,28,FALSE),"-")</f>
        <v>0</v>
      </c>
      <c r="I55" s="42">
        <f>IFERROR(VLOOKUP(A55,[1]FALTANTES!$A:$AC,29,FALSE),"-")</f>
        <v>0</v>
      </c>
      <c r="J55" s="29">
        <f>IFERROR(VLOOKUP(A55,[1]FALTANTES!$A:$AD,30,FALSE),"-")</f>
        <v>-23</v>
      </c>
      <c r="K55" s="30">
        <v>0</v>
      </c>
      <c r="L55" s="30">
        <f t="shared" si="0"/>
        <v>37</v>
      </c>
      <c r="M55" s="31">
        <f>SUMIFS(METALFISA!$E:$E,METALFISA!$A:$A,'Faltantes Fevereiro- Metalfisa'!M$3,METALFISA!$B:$B,'Faltantes Fevereiro- Metalfisa'!$A55)</f>
        <v>0</v>
      </c>
      <c r="N55" s="31">
        <f>SUMIFS(METALFISA!$E:$E,METALFISA!$A:$A,'Faltantes Fevereiro- Metalfisa'!N$3,METALFISA!$B:$B,'Faltantes Fevereiro- Metalfisa'!$A55)</f>
        <v>0</v>
      </c>
      <c r="O55" s="31">
        <f>SUMIFS(METALFISA!$E:$E,METALFISA!$A:$A,'Faltantes Fevereiro- Metalfisa'!O$3,METALFISA!$B:$B,'Faltantes Fevereiro- Metalfisa'!$A55)</f>
        <v>0</v>
      </c>
      <c r="P55" s="31">
        <f>SUMIFS(METALFISA!$E:$E,METALFISA!$A:$A,'Faltantes Fevereiro- Metalfisa'!P$3,METALFISA!$B:$B,'Faltantes Fevereiro- Metalfisa'!$A55)</f>
        <v>0</v>
      </c>
      <c r="Q55" s="31">
        <f>SUMIFS(METALFISA!$E:$E,METALFISA!$A:$A,'Faltantes Fevereiro- Metalfisa'!Q$3,METALFISA!$B:$B,'Faltantes Fevereiro- Metalfisa'!$A55)</f>
        <v>0</v>
      </c>
      <c r="R55" s="31">
        <f>SUMIFS(METALFISA!$E:$E,METALFISA!$A:$A,'Faltantes Fevereiro- Metalfisa'!R$3,METALFISA!$B:$B,'Faltantes Fevereiro- Metalfisa'!$A55)</f>
        <v>0</v>
      </c>
      <c r="S55" s="31">
        <f>SUMIFS(METALFISA!$E:$E,METALFISA!$A:$A,'Faltantes Fevereiro- Metalfisa'!S$3,METALFISA!$B:$B,'Faltantes Fevereiro- Metalfisa'!$A55)</f>
        <v>0</v>
      </c>
      <c r="T55" s="31">
        <f>SUMIFS(METALFISA!$E:$E,METALFISA!$A:$A,'Faltantes Fevereiro- Metalfisa'!T$3,METALFISA!$B:$B,'Faltantes Fevereiro- Metalfisa'!$A55)</f>
        <v>0</v>
      </c>
      <c r="U55" s="31">
        <f>SUMIFS(METALFISA!$E:$E,METALFISA!$A:$A,'Faltantes Fevereiro- Metalfisa'!U$3,METALFISA!$B:$B,'Faltantes Fevereiro- Metalfisa'!$A55)</f>
        <v>0</v>
      </c>
      <c r="V55" s="31">
        <f>SUMIFS(METALFISA!$E:$E,METALFISA!$A:$A,'Faltantes Fevereiro- Metalfisa'!V$3,METALFISA!$B:$B,'Faltantes Fevereiro- Metalfisa'!$A55)</f>
        <v>0</v>
      </c>
      <c r="W55" s="31">
        <f>SUMIFS(METALFISA!$E:$E,METALFISA!$A:$A,'Faltantes Fevereiro- Metalfisa'!W$3,METALFISA!$B:$B,'Faltantes Fevereiro- Metalfisa'!$A55)</f>
        <v>0</v>
      </c>
      <c r="X55" s="31">
        <f>SUMIFS(METALFISA!$E:$E,METALFISA!$A:$A,'Faltantes Fevereiro- Metalfisa'!X$3,METALFISA!$B:$B,'Faltantes Fevereiro- Metalfisa'!$A55)</f>
        <v>0</v>
      </c>
      <c r="Y55" s="31">
        <f>SUMIFS(METALFISA!$E:$E,METALFISA!$A:$A,'Faltantes Fevereiro- Metalfisa'!Y$3,METALFISA!$B:$B,'Faltantes Fevereiro- Metalfisa'!$A55)</f>
        <v>0</v>
      </c>
      <c r="Z55" s="31">
        <f>SUMIFS(METALFISA!$E:$E,METALFISA!$A:$A,'Faltantes Fevereiro- Metalfisa'!Z$3,METALFISA!$B:$B,'Faltantes Fevereiro- Metalfisa'!$A55)</f>
        <v>4</v>
      </c>
      <c r="AA55" s="31">
        <f>SUMIFS(METALFISA!$E:$E,METALFISA!$A:$A,'Faltantes Fevereiro- Metalfisa'!AA$3,METALFISA!$B:$B,'Faltantes Fevereiro- Metalfisa'!$A55)</f>
        <v>0</v>
      </c>
      <c r="AB55" s="31">
        <f>SUMIFS(METALFISA!$E:$E,METALFISA!$A:$A,'Faltantes Fevereiro- Metalfisa'!AB$3,METALFISA!$B:$B,'Faltantes Fevereiro- Metalfisa'!$A55)</f>
        <v>0</v>
      </c>
      <c r="AC55" s="31">
        <f>SUMIFS(METALFISA!$E:$E,METALFISA!$A:$A,'Faltantes Fevereiro- Metalfisa'!AC$3,METALFISA!$B:$B,'Faltantes Fevereiro- Metalfisa'!$A55)</f>
        <v>0</v>
      </c>
      <c r="AD55" s="31">
        <f>SUMIFS(METALFISA!$E:$E,METALFISA!$A:$A,'Faltantes Fevereiro- Metalfisa'!AD$3,METALFISA!$B:$B,'Faltantes Fevereiro- Metalfisa'!$A55)</f>
        <v>0</v>
      </c>
      <c r="AE55" s="31">
        <f>SUMIFS(METALFISA!$E:$E,METALFISA!$A:$A,'Faltantes Fevereiro- Metalfisa'!AE$3,METALFISA!$B:$B,'Faltantes Fevereiro- Metalfisa'!$A55)</f>
        <v>0</v>
      </c>
      <c r="AF55" s="31">
        <f>SUMIFS(METALFISA!$E:$E,METALFISA!$A:$A,'Faltantes Fevereiro- Metalfisa'!AF$3,METALFISA!$B:$B,'Faltantes Fevereiro- Metalfisa'!$A55)</f>
        <v>0</v>
      </c>
      <c r="AG55" s="31">
        <f>SUMIFS(METALFISA!$E:$E,METALFISA!$A:$A,'Faltantes Fevereiro- Metalfisa'!AG$3,METALFISA!$B:$B,'Faltantes Fevereiro- Metalfisa'!$A55)</f>
        <v>0</v>
      </c>
      <c r="AH55" s="31">
        <f>SUMIFS(METALFISA!$E:$E,METALFISA!$A:$A,'Faltantes Fevereiro- Metalfisa'!AH$3,METALFISA!$B:$B,'Faltantes Fevereiro- Metalfisa'!$A55)</f>
        <v>33</v>
      </c>
      <c r="AI55" s="31">
        <f>SUMIFS(METALFISA!$E:$E,METALFISA!$A:$A,'Faltantes Fevereiro- Metalfisa'!AI$3,METALFISA!$B:$B,'Faltantes Fevereiro- Metalfisa'!$A55)</f>
        <v>0</v>
      </c>
      <c r="AJ55" s="31">
        <f>SUMIFS(METALFISA!$E:$E,METALFISA!$A:$A,'Faltantes Fevereiro- Metalfisa'!AJ$3,METALFISA!$B:$B,'Faltantes Fevereiro- Metalfisa'!$A55)</f>
        <v>0</v>
      </c>
      <c r="AK55" s="31">
        <f>SUMIFS(METALFISA!$E:$E,METALFISA!$A:$A,'Faltantes Fevereiro- Metalfisa'!AK$3,METALFISA!$B:$B,'Faltantes Fevereiro- Metalfisa'!$A55)</f>
        <v>0</v>
      </c>
      <c r="AL55" s="31">
        <f>SUMIFS(METALFISA!$E:$E,METALFISA!$A:$A,'Faltantes Fevereiro- Metalfisa'!AL$3,METALFISA!$B:$B,'Faltantes Fevereiro- Metalfisa'!$A55)</f>
        <v>0</v>
      </c>
      <c r="AM55" s="31">
        <f>SUMIFS(METALFISA!$E:$E,METALFISA!$A:$A,'Faltantes Fevereiro- Metalfisa'!AM$3,METALFISA!$B:$B,'Faltantes Fevereiro- Metalfisa'!$A55)</f>
        <v>0</v>
      </c>
      <c r="AN55" s="31">
        <f>SUMIFS(METALFISA!$E:$E,METALFISA!$A:$A,'Faltantes Fevereiro- Metalfisa'!AN$3,METALFISA!$B:$B,'Faltantes Fevereiro- Metalfisa'!$A55)</f>
        <v>0</v>
      </c>
      <c r="AO55" s="31">
        <f>SUMIFS(METALFISA!$E:$E,METALFISA!$A:$A,'Faltantes Fevereiro- Metalfisa'!AO$3,METALFISA!$B:$B,'Faltantes Fevereiro- Metalfisa'!$A55)</f>
        <v>0</v>
      </c>
      <c r="AP55" s="31">
        <f>SUMIFS(METALFISA!$E:$E,METALFISA!$A:$A,'Faltantes Fevereiro- Metalfisa'!AP$3,METALFISA!$B:$B,'Faltantes Fevereiro- Metalfisa'!$A55)</f>
        <v>0</v>
      </c>
      <c r="AQ55" s="31"/>
      <c r="AR55" s="31">
        <f>SUMIFS(METALFISA!$E:$E,METALFISA!$A:$A,'Faltantes Fevereiro- Metalfisa'!AR$3,METALFISA!$B:$B,'Faltantes Fevereiro- Metalfisa'!$A55)</f>
        <v>0</v>
      </c>
      <c r="AS55" s="35">
        <f>SUMIFS(METALFISA!$E:$E,METALFISA!$A:$A,'Faltantes Fevereiro- Metalfisa'!AS$3,METALFISA!$B:$B,'Faltantes Fevereiro- Metalfisa'!$A55)</f>
        <v>0</v>
      </c>
      <c r="AU55" s="18">
        <v>0</v>
      </c>
      <c r="AV55" s="18">
        <v>0</v>
      </c>
      <c r="AW55" s="18">
        <v>0</v>
      </c>
      <c r="AX55" s="18">
        <v>0</v>
      </c>
      <c r="AY55" s="41">
        <v>1</v>
      </c>
      <c r="AZ55" s="31">
        <v>1</v>
      </c>
      <c r="BA55" s="31">
        <v>0</v>
      </c>
      <c r="BB55" s="31">
        <v>0</v>
      </c>
      <c r="BC55" s="31">
        <v>0</v>
      </c>
      <c r="BD55" s="31">
        <v>0</v>
      </c>
      <c r="BE55" s="31">
        <v>0</v>
      </c>
      <c r="BF55" s="31">
        <v>0</v>
      </c>
      <c r="BG55" s="31">
        <v>0</v>
      </c>
      <c r="BH55" s="31">
        <v>0</v>
      </c>
      <c r="BI55" s="31">
        <v>0</v>
      </c>
      <c r="BJ55" s="31">
        <v>0</v>
      </c>
      <c r="BK55" s="31">
        <v>0</v>
      </c>
      <c r="BL55" s="31">
        <v>0</v>
      </c>
      <c r="BM55" s="31">
        <v>0</v>
      </c>
      <c r="BN55" s="31">
        <v>0</v>
      </c>
      <c r="BO55" s="31">
        <v>0</v>
      </c>
      <c r="BP55" s="31">
        <v>0</v>
      </c>
      <c r="BQ55" s="31">
        <v>0</v>
      </c>
      <c r="BR55" s="31">
        <v>0</v>
      </c>
      <c r="BS55" s="31">
        <v>0</v>
      </c>
      <c r="BT55" s="31">
        <v>0</v>
      </c>
      <c r="BU55" s="31">
        <v>0</v>
      </c>
      <c r="BV55" s="31">
        <v>0</v>
      </c>
      <c r="BW55" s="31">
        <v>0</v>
      </c>
      <c r="BX55" s="31">
        <v>0</v>
      </c>
      <c r="BY55" s="31">
        <v>0</v>
      </c>
      <c r="BZ55" s="31">
        <v>0</v>
      </c>
      <c r="CA55" s="31">
        <v>0</v>
      </c>
      <c r="CB55" s="31">
        <v>0</v>
      </c>
      <c r="CC55" s="31">
        <v>0</v>
      </c>
      <c r="CD55" s="31">
        <v>0</v>
      </c>
      <c r="CE55" s="31">
        <v>0</v>
      </c>
      <c r="CF55" s="31">
        <v>0</v>
      </c>
      <c r="CG55" s="31">
        <v>0</v>
      </c>
      <c r="CH55" s="31">
        <v>0</v>
      </c>
      <c r="CI55" s="31">
        <v>0</v>
      </c>
      <c r="CJ55" s="31">
        <v>0</v>
      </c>
      <c r="CK55" s="31">
        <v>0</v>
      </c>
      <c r="CL55" s="35">
        <v>0</v>
      </c>
    </row>
    <row r="56" spans="1:90" ht="21" x14ac:dyDescent="0.15">
      <c r="A56" s="27" t="s">
        <v>863</v>
      </c>
      <c r="B56" s="28" t="s">
        <v>864</v>
      </c>
      <c r="C56" s="28">
        <v>0</v>
      </c>
      <c r="D56" s="28">
        <v>0</v>
      </c>
      <c r="E56" s="28">
        <v>0</v>
      </c>
      <c r="F56" s="28">
        <v>0</v>
      </c>
      <c r="G56" s="28">
        <v>31</v>
      </c>
      <c r="H56" s="28">
        <f>IFERROR(VLOOKUP(A56,[1]FALTANTES!$A:$AB,28,FALSE),"-")</f>
        <v>0</v>
      </c>
      <c r="I56" s="42">
        <f>IFERROR(VLOOKUP(A56,[1]FALTANTES!$A:$AC,29,FALSE),"-")</f>
        <v>0</v>
      </c>
      <c r="J56" s="29">
        <f>IFERROR(VLOOKUP(A56,[1]FALTANTES!$A:$AD,30,FALSE),"-")</f>
        <v>-31</v>
      </c>
      <c r="K56" s="30">
        <v>0</v>
      </c>
      <c r="L56" s="30">
        <f t="shared" si="0"/>
        <v>66</v>
      </c>
      <c r="M56" s="31">
        <f>SUMIFS(METALFISA!$E:$E,METALFISA!$A:$A,'Faltantes Fevereiro- Metalfisa'!M$3,METALFISA!$B:$B,'Faltantes Fevereiro- Metalfisa'!$A56)</f>
        <v>0</v>
      </c>
      <c r="N56" s="31">
        <f>SUMIFS(METALFISA!$E:$E,METALFISA!$A:$A,'Faltantes Fevereiro- Metalfisa'!N$3,METALFISA!$B:$B,'Faltantes Fevereiro- Metalfisa'!$A56)</f>
        <v>0</v>
      </c>
      <c r="O56" s="31">
        <f>SUMIFS(METALFISA!$E:$E,METALFISA!$A:$A,'Faltantes Fevereiro- Metalfisa'!O$3,METALFISA!$B:$B,'Faltantes Fevereiro- Metalfisa'!$A56)</f>
        <v>0</v>
      </c>
      <c r="P56" s="31">
        <f>SUMIFS(METALFISA!$E:$E,METALFISA!$A:$A,'Faltantes Fevereiro- Metalfisa'!P$3,METALFISA!$B:$B,'Faltantes Fevereiro- Metalfisa'!$A56)</f>
        <v>0</v>
      </c>
      <c r="Q56" s="31">
        <f>SUMIFS(METALFISA!$E:$E,METALFISA!$A:$A,'Faltantes Fevereiro- Metalfisa'!Q$3,METALFISA!$B:$B,'Faltantes Fevereiro- Metalfisa'!$A56)</f>
        <v>0</v>
      </c>
      <c r="R56" s="31">
        <f>SUMIFS(METALFISA!$E:$E,METALFISA!$A:$A,'Faltantes Fevereiro- Metalfisa'!R$3,METALFISA!$B:$B,'Faltantes Fevereiro- Metalfisa'!$A56)</f>
        <v>0</v>
      </c>
      <c r="S56" s="31">
        <f>SUMIFS(METALFISA!$E:$E,METALFISA!$A:$A,'Faltantes Fevereiro- Metalfisa'!S$3,METALFISA!$B:$B,'Faltantes Fevereiro- Metalfisa'!$A56)</f>
        <v>0</v>
      </c>
      <c r="T56" s="31">
        <f>SUMIFS(METALFISA!$E:$E,METALFISA!$A:$A,'Faltantes Fevereiro- Metalfisa'!T$3,METALFISA!$B:$B,'Faltantes Fevereiro- Metalfisa'!$A56)</f>
        <v>0</v>
      </c>
      <c r="U56" s="31">
        <f>SUMIFS(METALFISA!$E:$E,METALFISA!$A:$A,'Faltantes Fevereiro- Metalfisa'!U$3,METALFISA!$B:$B,'Faltantes Fevereiro- Metalfisa'!$A56)</f>
        <v>0</v>
      </c>
      <c r="V56" s="31">
        <f>SUMIFS(METALFISA!$E:$E,METALFISA!$A:$A,'Faltantes Fevereiro- Metalfisa'!V$3,METALFISA!$B:$B,'Faltantes Fevereiro- Metalfisa'!$A56)</f>
        <v>0</v>
      </c>
      <c r="W56" s="31">
        <f>SUMIFS(METALFISA!$E:$E,METALFISA!$A:$A,'Faltantes Fevereiro- Metalfisa'!W$3,METALFISA!$B:$B,'Faltantes Fevereiro- Metalfisa'!$A56)</f>
        <v>0</v>
      </c>
      <c r="X56" s="31">
        <f>SUMIFS(METALFISA!$E:$E,METALFISA!$A:$A,'Faltantes Fevereiro- Metalfisa'!X$3,METALFISA!$B:$B,'Faltantes Fevereiro- Metalfisa'!$A56)</f>
        <v>0</v>
      </c>
      <c r="Y56" s="31">
        <f>SUMIFS(METALFISA!$E:$E,METALFISA!$A:$A,'Faltantes Fevereiro- Metalfisa'!Y$3,METALFISA!$B:$B,'Faltantes Fevereiro- Metalfisa'!$A56)</f>
        <v>0</v>
      </c>
      <c r="Z56" s="31">
        <f>SUMIFS(METALFISA!$E:$E,METALFISA!$A:$A,'Faltantes Fevereiro- Metalfisa'!Z$3,METALFISA!$B:$B,'Faltantes Fevereiro- Metalfisa'!$A56)</f>
        <v>0</v>
      </c>
      <c r="AA56" s="31">
        <f>SUMIFS(METALFISA!$E:$E,METALFISA!$A:$A,'Faltantes Fevereiro- Metalfisa'!AA$3,METALFISA!$B:$B,'Faltantes Fevereiro- Metalfisa'!$A56)</f>
        <v>0</v>
      </c>
      <c r="AB56" s="31">
        <f>SUMIFS(METALFISA!$E:$E,METALFISA!$A:$A,'Faltantes Fevereiro- Metalfisa'!AB$3,METALFISA!$B:$B,'Faltantes Fevereiro- Metalfisa'!$A56)</f>
        <v>0</v>
      </c>
      <c r="AC56" s="31">
        <f>SUMIFS(METALFISA!$E:$E,METALFISA!$A:$A,'Faltantes Fevereiro- Metalfisa'!AC$3,METALFISA!$B:$B,'Faltantes Fevereiro- Metalfisa'!$A56)</f>
        <v>0</v>
      </c>
      <c r="AD56" s="31">
        <f>SUMIFS(METALFISA!$E:$E,METALFISA!$A:$A,'Faltantes Fevereiro- Metalfisa'!AD$3,METALFISA!$B:$B,'Faltantes Fevereiro- Metalfisa'!$A56)</f>
        <v>0</v>
      </c>
      <c r="AE56" s="31">
        <f>SUMIFS(METALFISA!$E:$E,METALFISA!$A:$A,'Faltantes Fevereiro- Metalfisa'!AE$3,METALFISA!$B:$B,'Faltantes Fevereiro- Metalfisa'!$A56)</f>
        <v>0</v>
      </c>
      <c r="AF56" s="31">
        <f>SUMIFS(METALFISA!$E:$E,METALFISA!$A:$A,'Faltantes Fevereiro- Metalfisa'!AF$3,METALFISA!$B:$B,'Faltantes Fevereiro- Metalfisa'!$A56)</f>
        <v>0</v>
      </c>
      <c r="AG56" s="31">
        <f>SUMIFS(METALFISA!$E:$E,METALFISA!$A:$A,'Faltantes Fevereiro- Metalfisa'!AG$3,METALFISA!$B:$B,'Faltantes Fevereiro- Metalfisa'!$A56)</f>
        <v>0</v>
      </c>
      <c r="AH56" s="31">
        <f>SUMIFS(METALFISA!$E:$E,METALFISA!$A:$A,'Faltantes Fevereiro- Metalfisa'!AH$3,METALFISA!$B:$B,'Faltantes Fevereiro- Metalfisa'!$A56)</f>
        <v>66</v>
      </c>
      <c r="AI56" s="31">
        <f>SUMIFS(METALFISA!$E:$E,METALFISA!$A:$A,'Faltantes Fevereiro- Metalfisa'!AI$3,METALFISA!$B:$B,'Faltantes Fevereiro- Metalfisa'!$A56)</f>
        <v>0</v>
      </c>
      <c r="AJ56" s="31">
        <f>SUMIFS(METALFISA!$E:$E,METALFISA!$A:$A,'Faltantes Fevereiro- Metalfisa'!AJ$3,METALFISA!$B:$B,'Faltantes Fevereiro- Metalfisa'!$A56)</f>
        <v>0</v>
      </c>
      <c r="AK56" s="31">
        <f>SUMIFS(METALFISA!$E:$E,METALFISA!$A:$A,'Faltantes Fevereiro- Metalfisa'!AK$3,METALFISA!$B:$B,'Faltantes Fevereiro- Metalfisa'!$A56)</f>
        <v>0</v>
      </c>
      <c r="AL56" s="31">
        <f>SUMIFS(METALFISA!$E:$E,METALFISA!$A:$A,'Faltantes Fevereiro- Metalfisa'!AL$3,METALFISA!$B:$B,'Faltantes Fevereiro- Metalfisa'!$A56)</f>
        <v>0</v>
      </c>
      <c r="AM56" s="31">
        <f>SUMIFS(METALFISA!$E:$E,METALFISA!$A:$A,'Faltantes Fevereiro- Metalfisa'!AM$3,METALFISA!$B:$B,'Faltantes Fevereiro- Metalfisa'!$A56)</f>
        <v>0</v>
      </c>
      <c r="AN56" s="31">
        <f>SUMIFS(METALFISA!$E:$E,METALFISA!$A:$A,'Faltantes Fevereiro- Metalfisa'!AN$3,METALFISA!$B:$B,'Faltantes Fevereiro- Metalfisa'!$A56)</f>
        <v>0</v>
      </c>
      <c r="AO56" s="31">
        <f>SUMIFS(METALFISA!$E:$E,METALFISA!$A:$A,'Faltantes Fevereiro- Metalfisa'!AO$3,METALFISA!$B:$B,'Faltantes Fevereiro- Metalfisa'!$A56)</f>
        <v>0</v>
      </c>
      <c r="AP56" s="31">
        <f>SUMIFS(METALFISA!$E:$E,METALFISA!$A:$A,'Faltantes Fevereiro- Metalfisa'!AP$3,METALFISA!$B:$B,'Faltantes Fevereiro- Metalfisa'!$A56)</f>
        <v>0</v>
      </c>
      <c r="AQ56" s="31"/>
      <c r="AR56" s="31">
        <f>SUMIFS(METALFISA!$E:$E,METALFISA!$A:$A,'Faltantes Fevereiro- Metalfisa'!AR$3,METALFISA!$B:$B,'Faltantes Fevereiro- Metalfisa'!$A56)</f>
        <v>0</v>
      </c>
      <c r="AS56" s="35">
        <f>SUMIFS(METALFISA!$E:$E,METALFISA!$A:$A,'Faltantes Fevereiro- Metalfisa'!AS$3,METALFISA!$B:$B,'Faltantes Fevereiro- Metalfisa'!$A56)</f>
        <v>0</v>
      </c>
      <c r="AU56" s="18">
        <v>0</v>
      </c>
      <c r="AV56" s="18">
        <v>0</v>
      </c>
      <c r="AW56" s="18">
        <v>0</v>
      </c>
      <c r="AX56" s="18">
        <v>0</v>
      </c>
      <c r="AY56" s="41">
        <v>2</v>
      </c>
      <c r="AZ56" s="31">
        <v>2</v>
      </c>
      <c r="BA56" s="31">
        <v>0</v>
      </c>
      <c r="BB56" s="31">
        <v>0</v>
      </c>
      <c r="BC56" s="31">
        <v>0</v>
      </c>
      <c r="BD56" s="31">
        <v>0</v>
      </c>
      <c r="BE56" s="31">
        <v>0</v>
      </c>
      <c r="BF56" s="31">
        <v>0</v>
      </c>
      <c r="BG56" s="31">
        <v>0</v>
      </c>
      <c r="BH56" s="31">
        <v>0</v>
      </c>
      <c r="BI56" s="31">
        <v>0</v>
      </c>
      <c r="BJ56" s="31">
        <v>0</v>
      </c>
      <c r="BK56" s="31">
        <v>0</v>
      </c>
      <c r="BL56" s="31">
        <v>0</v>
      </c>
      <c r="BM56" s="31">
        <v>0</v>
      </c>
      <c r="BN56" s="31">
        <v>0</v>
      </c>
      <c r="BO56" s="31">
        <v>0</v>
      </c>
      <c r="BP56" s="31">
        <v>0</v>
      </c>
      <c r="BQ56" s="31">
        <v>0</v>
      </c>
      <c r="BR56" s="31">
        <v>0</v>
      </c>
      <c r="BS56" s="31">
        <v>0</v>
      </c>
      <c r="BT56" s="31">
        <v>0</v>
      </c>
      <c r="BU56" s="31">
        <v>0</v>
      </c>
      <c r="BV56" s="31">
        <v>0</v>
      </c>
      <c r="BW56" s="31">
        <v>0</v>
      </c>
      <c r="BX56" s="31">
        <v>0</v>
      </c>
      <c r="BY56" s="31">
        <v>0</v>
      </c>
      <c r="BZ56" s="31">
        <v>0</v>
      </c>
      <c r="CA56" s="31">
        <v>0</v>
      </c>
      <c r="CB56" s="31">
        <v>0</v>
      </c>
      <c r="CC56" s="31">
        <v>0</v>
      </c>
      <c r="CD56" s="31">
        <v>0</v>
      </c>
      <c r="CE56" s="31">
        <v>0</v>
      </c>
      <c r="CF56" s="31">
        <v>0</v>
      </c>
      <c r="CG56" s="31">
        <v>0</v>
      </c>
      <c r="CH56" s="31">
        <v>0</v>
      </c>
      <c r="CI56" s="31">
        <v>0</v>
      </c>
      <c r="CJ56" s="31">
        <v>0</v>
      </c>
      <c r="CK56" s="31">
        <v>0</v>
      </c>
      <c r="CL56" s="35">
        <v>0</v>
      </c>
    </row>
    <row r="57" spans="1:90" ht="21" x14ac:dyDescent="0.15">
      <c r="A57" s="27" t="s">
        <v>902</v>
      </c>
      <c r="B57" s="28" t="s">
        <v>5564</v>
      </c>
      <c r="C57" s="28">
        <v>0</v>
      </c>
      <c r="D57" s="28">
        <v>0</v>
      </c>
      <c r="E57" s="28">
        <v>0</v>
      </c>
      <c r="F57" s="28">
        <v>0</v>
      </c>
      <c r="G57" s="28">
        <v>3</v>
      </c>
      <c r="H57" s="28">
        <f>IFERROR(VLOOKUP(A57,[1]FALTANTES!$A:$AB,28,FALSE),"-")</f>
        <v>0</v>
      </c>
      <c r="I57" s="42">
        <f>IFERROR(VLOOKUP(A57,[1]FALTANTES!$A:$AC,29,FALSE),"-")</f>
        <v>0</v>
      </c>
      <c r="J57" s="29">
        <f>IFERROR(VLOOKUP(A57,[1]FALTANTES!$A:$AD,30,FALSE),"-")</f>
        <v>-3</v>
      </c>
      <c r="K57" s="30">
        <v>0</v>
      </c>
      <c r="L57" s="30">
        <f t="shared" si="0"/>
        <v>35</v>
      </c>
      <c r="M57" s="31">
        <f>SUMIFS(METALFISA!$E:$E,METALFISA!$A:$A,'Faltantes Fevereiro- Metalfisa'!M$3,METALFISA!$B:$B,'Faltantes Fevereiro- Metalfisa'!$A57)</f>
        <v>0</v>
      </c>
      <c r="N57" s="31">
        <f>SUMIFS(METALFISA!$E:$E,METALFISA!$A:$A,'Faltantes Fevereiro- Metalfisa'!N$3,METALFISA!$B:$B,'Faltantes Fevereiro- Metalfisa'!$A57)</f>
        <v>0</v>
      </c>
      <c r="O57" s="31">
        <f>SUMIFS(METALFISA!$E:$E,METALFISA!$A:$A,'Faltantes Fevereiro- Metalfisa'!O$3,METALFISA!$B:$B,'Faltantes Fevereiro- Metalfisa'!$A57)</f>
        <v>0</v>
      </c>
      <c r="P57" s="31">
        <f>SUMIFS(METALFISA!$E:$E,METALFISA!$A:$A,'Faltantes Fevereiro- Metalfisa'!P$3,METALFISA!$B:$B,'Faltantes Fevereiro- Metalfisa'!$A57)</f>
        <v>0</v>
      </c>
      <c r="Q57" s="31">
        <f>SUMIFS(METALFISA!$E:$E,METALFISA!$A:$A,'Faltantes Fevereiro- Metalfisa'!Q$3,METALFISA!$B:$B,'Faltantes Fevereiro- Metalfisa'!$A57)</f>
        <v>0</v>
      </c>
      <c r="R57" s="31">
        <f>SUMIFS(METALFISA!$E:$E,METALFISA!$A:$A,'Faltantes Fevereiro- Metalfisa'!R$3,METALFISA!$B:$B,'Faltantes Fevereiro- Metalfisa'!$A57)</f>
        <v>0</v>
      </c>
      <c r="S57" s="31">
        <f>SUMIFS(METALFISA!$E:$E,METALFISA!$A:$A,'Faltantes Fevereiro- Metalfisa'!S$3,METALFISA!$B:$B,'Faltantes Fevereiro- Metalfisa'!$A57)</f>
        <v>0</v>
      </c>
      <c r="T57" s="31">
        <f>SUMIFS(METALFISA!$E:$E,METALFISA!$A:$A,'Faltantes Fevereiro- Metalfisa'!T$3,METALFISA!$B:$B,'Faltantes Fevereiro- Metalfisa'!$A57)</f>
        <v>0</v>
      </c>
      <c r="U57" s="31">
        <f>SUMIFS(METALFISA!$E:$E,METALFISA!$A:$A,'Faltantes Fevereiro- Metalfisa'!U$3,METALFISA!$B:$B,'Faltantes Fevereiro- Metalfisa'!$A57)</f>
        <v>0</v>
      </c>
      <c r="V57" s="31">
        <f>SUMIFS(METALFISA!$E:$E,METALFISA!$A:$A,'Faltantes Fevereiro- Metalfisa'!V$3,METALFISA!$B:$B,'Faltantes Fevereiro- Metalfisa'!$A57)</f>
        <v>0</v>
      </c>
      <c r="W57" s="31">
        <f>SUMIFS(METALFISA!$E:$E,METALFISA!$A:$A,'Faltantes Fevereiro- Metalfisa'!W$3,METALFISA!$B:$B,'Faltantes Fevereiro- Metalfisa'!$A57)</f>
        <v>0</v>
      </c>
      <c r="X57" s="31">
        <f>SUMIFS(METALFISA!$E:$E,METALFISA!$A:$A,'Faltantes Fevereiro- Metalfisa'!X$3,METALFISA!$B:$B,'Faltantes Fevereiro- Metalfisa'!$A57)</f>
        <v>0</v>
      </c>
      <c r="Y57" s="31">
        <f>SUMIFS(METALFISA!$E:$E,METALFISA!$A:$A,'Faltantes Fevereiro- Metalfisa'!Y$3,METALFISA!$B:$B,'Faltantes Fevereiro- Metalfisa'!$A57)</f>
        <v>0</v>
      </c>
      <c r="Z57" s="31">
        <f>SUMIFS(METALFISA!$E:$E,METALFISA!$A:$A,'Faltantes Fevereiro- Metalfisa'!Z$3,METALFISA!$B:$B,'Faltantes Fevereiro- Metalfisa'!$A57)</f>
        <v>0</v>
      </c>
      <c r="AA57" s="31">
        <f>SUMIFS(METALFISA!$E:$E,METALFISA!$A:$A,'Faltantes Fevereiro- Metalfisa'!AA$3,METALFISA!$B:$B,'Faltantes Fevereiro- Metalfisa'!$A57)</f>
        <v>0</v>
      </c>
      <c r="AB57" s="31">
        <f>SUMIFS(METALFISA!$E:$E,METALFISA!$A:$A,'Faltantes Fevereiro- Metalfisa'!AB$3,METALFISA!$B:$B,'Faltantes Fevereiro- Metalfisa'!$A57)</f>
        <v>0</v>
      </c>
      <c r="AC57" s="31">
        <f>SUMIFS(METALFISA!$E:$E,METALFISA!$A:$A,'Faltantes Fevereiro- Metalfisa'!AC$3,METALFISA!$B:$B,'Faltantes Fevereiro- Metalfisa'!$A57)</f>
        <v>0</v>
      </c>
      <c r="AD57" s="31">
        <f>SUMIFS(METALFISA!$E:$E,METALFISA!$A:$A,'Faltantes Fevereiro- Metalfisa'!AD$3,METALFISA!$B:$B,'Faltantes Fevereiro- Metalfisa'!$A57)</f>
        <v>0</v>
      </c>
      <c r="AE57" s="31">
        <f>SUMIFS(METALFISA!$E:$E,METALFISA!$A:$A,'Faltantes Fevereiro- Metalfisa'!AE$3,METALFISA!$B:$B,'Faltantes Fevereiro- Metalfisa'!$A57)</f>
        <v>0</v>
      </c>
      <c r="AF57" s="31">
        <f>SUMIFS(METALFISA!$E:$E,METALFISA!$A:$A,'Faltantes Fevereiro- Metalfisa'!AF$3,METALFISA!$B:$B,'Faltantes Fevereiro- Metalfisa'!$A57)</f>
        <v>0</v>
      </c>
      <c r="AG57" s="31">
        <f>SUMIFS(METALFISA!$E:$E,METALFISA!$A:$A,'Faltantes Fevereiro- Metalfisa'!AG$3,METALFISA!$B:$B,'Faltantes Fevereiro- Metalfisa'!$A57)</f>
        <v>0</v>
      </c>
      <c r="AH57" s="31">
        <f>SUMIFS(METALFISA!$E:$E,METALFISA!$A:$A,'Faltantes Fevereiro- Metalfisa'!AH$3,METALFISA!$B:$B,'Faltantes Fevereiro- Metalfisa'!$A57)</f>
        <v>0</v>
      </c>
      <c r="AI57" s="31">
        <f>SUMIFS(METALFISA!$E:$E,METALFISA!$A:$A,'Faltantes Fevereiro- Metalfisa'!AI$3,METALFISA!$B:$B,'Faltantes Fevereiro- Metalfisa'!$A57)</f>
        <v>0</v>
      </c>
      <c r="AJ57" s="31">
        <f>SUMIFS(METALFISA!$E:$E,METALFISA!$A:$A,'Faltantes Fevereiro- Metalfisa'!AJ$3,METALFISA!$B:$B,'Faltantes Fevereiro- Metalfisa'!$A57)</f>
        <v>0</v>
      </c>
      <c r="AK57" s="31">
        <f>SUMIFS(METALFISA!$E:$E,METALFISA!$A:$A,'Faltantes Fevereiro- Metalfisa'!AK$3,METALFISA!$B:$B,'Faltantes Fevereiro- Metalfisa'!$A57)</f>
        <v>32</v>
      </c>
      <c r="AL57" s="31">
        <f>SUMIFS(METALFISA!$E:$E,METALFISA!$A:$A,'Faltantes Fevereiro- Metalfisa'!AL$3,METALFISA!$B:$B,'Faltantes Fevereiro- Metalfisa'!$A57)</f>
        <v>0</v>
      </c>
      <c r="AM57" s="31">
        <f>SUMIFS(METALFISA!$E:$E,METALFISA!$A:$A,'Faltantes Fevereiro- Metalfisa'!AM$3,METALFISA!$B:$B,'Faltantes Fevereiro- Metalfisa'!$A57)</f>
        <v>3</v>
      </c>
      <c r="AN57" s="31">
        <f>SUMIFS(METALFISA!$E:$E,METALFISA!$A:$A,'Faltantes Fevereiro- Metalfisa'!AN$3,METALFISA!$B:$B,'Faltantes Fevereiro- Metalfisa'!$A57)</f>
        <v>0</v>
      </c>
      <c r="AO57" s="31">
        <f>SUMIFS(METALFISA!$E:$E,METALFISA!$A:$A,'Faltantes Fevereiro- Metalfisa'!AO$3,METALFISA!$B:$B,'Faltantes Fevereiro- Metalfisa'!$A57)</f>
        <v>0</v>
      </c>
      <c r="AP57" s="31">
        <f>SUMIFS(METALFISA!$E:$E,METALFISA!$A:$A,'Faltantes Fevereiro- Metalfisa'!AP$3,METALFISA!$B:$B,'Faltantes Fevereiro- Metalfisa'!$A57)</f>
        <v>0</v>
      </c>
      <c r="AQ57" s="31"/>
      <c r="AR57" s="31">
        <f>SUMIFS(METALFISA!$E:$E,METALFISA!$A:$A,'Faltantes Fevereiro- Metalfisa'!AR$3,METALFISA!$B:$B,'Faltantes Fevereiro- Metalfisa'!$A57)</f>
        <v>0</v>
      </c>
      <c r="AS57" s="35">
        <f>SUMIFS(METALFISA!$E:$E,METALFISA!$A:$A,'Faltantes Fevereiro- Metalfisa'!AS$3,METALFISA!$B:$B,'Faltantes Fevereiro- Metalfisa'!$A57)</f>
        <v>0</v>
      </c>
      <c r="AU57" s="18">
        <v>0</v>
      </c>
      <c r="AV57" s="18">
        <v>0</v>
      </c>
      <c r="AW57" s="18">
        <v>0</v>
      </c>
      <c r="AX57" s="18">
        <v>0</v>
      </c>
      <c r="AY57" s="41">
        <v>0</v>
      </c>
      <c r="AZ57" s="31">
        <v>0</v>
      </c>
      <c r="BA57" s="31">
        <v>0</v>
      </c>
      <c r="BB57" s="31">
        <v>0</v>
      </c>
      <c r="BC57" s="31">
        <v>0</v>
      </c>
      <c r="BD57" s="31">
        <v>0</v>
      </c>
      <c r="BE57" s="31">
        <v>0</v>
      </c>
      <c r="BF57" s="31">
        <v>0</v>
      </c>
      <c r="BG57" s="31">
        <v>0</v>
      </c>
      <c r="BH57" s="31">
        <v>0</v>
      </c>
      <c r="BI57" s="31">
        <v>0</v>
      </c>
      <c r="BJ57" s="31">
        <v>0</v>
      </c>
      <c r="BK57" s="31">
        <v>0</v>
      </c>
      <c r="BL57" s="31">
        <v>0</v>
      </c>
      <c r="BM57" s="31">
        <v>0</v>
      </c>
      <c r="BN57" s="31">
        <v>0</v>
      </c>
      <c r="BO57" s="31">
        <v>0</v>
      </c>
      <c r="BP57" s="31">
        <v>0</v>
      </c>
      <c r="BQ57" s="31">
        <v>0</v>
      </c>
      <c r="BR57" s="31">
        <v>0</v>
      </c>
      <c r="BS57" s="31">
        <v>0</v>
      </c>
      <c r="BT57" s="31">
        <v>0</v>
      </c>
      <c r="BU57" s="31">
        <v>0</v>
      </c>
      <c r="BV57" s="31">
        <v>0</v>
      </c>
      <c r="BW57" s="31">
        <v>0</v>
      </c>
      <c r="BX57" s="31">
        <v>0</v>
      </c>
      <c r="BY57" s="31">
        <v>0</v>
      </c>
      <c r="BZ57" s="31">
        <v>0</v>
      </c>
      <c r="CA57" s="31">
        <v>0</v>
      </c>
      <c r="CB57" s="31">
        <v>0</v>
      </c>
      <c r="CC57" s="31">
        <v>0</v>
      </c>
      <c r="CD57" s="31">
        <v>0</v>
      </c>
      <c r="CE57" s="31">
        <v>2</v>
      </c>
      <c r="CF57" s="31">
        <v>0</v>
      </c>
      <c r="CG57" s="31">
        <v>0</v>
      </c>
      <c r="CH57" s="31">
        <v>0</v>
      </c>
      <c r="CI57" s="31">
        <v>0</v>
      </c>
      <c r="CJ57" s="31">
        <v>0</v>
      </c>
      <c r="CK57" s="31">
        <v>0</v>
      </c>
      <c r="CL57" s="35">
        <v>0</v>
      </c>
    </row>
    <row r="58" spans="1:90" ht="21" x14ac:dyDescent="0.15">
      <c r="A58" s="27" t="s">
        <v>43</v>
      </c>
      <c r="B58" s="28" t="s">
        <v>163</v>
      </c>
      <c r="C58" s="28">
        <v>3</v>
      </c>
      <c r="D58" s="28">
        <v>1</v>
      </c>
      <c r="E58" s="28">
        <v>0</v>
      </c>
      <c r="F58" s="28">
        <v>0</v>
      </c>
      <c r="G58" s="28">
        <v>36</v>
      </c>
      <c r="H58" s="28">
        <f>IFERROR(VLOOKUP(A58,[1]FALTANTES!$A:$AB,28,FALSE),"-")</f>
        <v>0</v>
      </c>
      <c r="I58" s="42">
        <f>IFERROR(VLOOKUP(A58,[1]FALTANTES!$A:$AC,29,FALSE),"-")</f>
        <v>13</v>
      </c>
      <c r="J58" s="29">
        <f>IFERROR(VLOOKUP(A58,[1]FALTANTES!$A:$AD,30,FALSE),"-")</f>
        <v>-27</v>
      </c>
      <c r="K58" s="30">
        <v>0</v>
      </c>
      <c r="L58" s="30">
        <f t="shared" si="0"/>
        <v>33</v>
      </c>
      <c r="M58" s="31">
        <f>SUMIFS(METALFISA!$E:$E,METALFISA!$A:$A,'Faltantes Fevereiro- Metalfisa'!M$3,METALFISA!$B:$B,'Faltantes Fevereiro- Metalfisa'!$A58)</f>
        <v>0</v>
      </c>
      <c r="N58" s="31">
        <f>SUMIFS(METALFISA!$E:$E,METALFISA!$A:$A,'Faltantes Fevereiro- Metalfisa'!N$3,METALFISA!$B:$B,'Faltantes Fevereiro- Metalfisa'!$A58)</f>
        <v>0</v>
      </c>
      <c r="O58" s="31">
        <f>SUMIFS(METALFISA!$E:$E,METALFISA!$A:$A,'Faltantes Fevereiro- Metalfisa'!O$3,METALFISA!$B:$B,'Faltantes Fevereiro- Metalfisa'!$A58)</f>
        <v>0</v>
      </c>
      <c r="P58" s="31">
        <f>SUMIFS(METALFISA!$E:$E,METALFISA!$A:$A,'Faltantes Fevereiro- Metalfisa'!P$3,METALFISA!$B:$B,'Faltantes Fevereiro- Metalfisa'!$A58)</f>
        <v>0</v>
      </c>
      <c r="Q58" s="31">
        <f>SUMIFS(METALFISA!$E:$E,METALFISA!$A:$A,'Faltantes Fevereiro- Metalfisa'!Q$3,METALFISA!$B:$B,'Faltantes Fevereiro- Metalfisa'!$A58)</f>
        <v>0</v>
      </c>
      <c r="R58" s="31">
        <f>SUMIFS(METALFISA!$E:$E,METALFISA!$A:$A,'Faltantes Fevereiro- Metalfisa'!R$3,METALFISA!$B:$B,'Faltantes Fevereiro- Metalfisa'!$A58)</f>
        <v>0</v>
      </c>
      <c r="S58" s="31">
        <f>SUMIFS(METALFISA!$E:$E,METALFISA!$A:$A,'Faltantes Fevereiro- Metalfisa'!S$3,METALFISA!$B:$B,'Faltantes Fevereiro- Metalfisa'!$A58)</f>
        <v>0</v>
      </c>
      <c r="T58" s="31">
        <f>SUMIFS(METALFISA!$E:$E,METALFISA!$A:$A,'Faltantes Fevereiro- Metalfisa'!T$3,METALFISA!$B:$B,'Faltantes Fevereiro- Metalfisa'!$A58)</f>
        <v>0</v>
      </c>
      <c r="U58" s="31">
        <f>SUMIFS(METALFISA!$E:$E,METALFISA!$A:$A,'Faltantes Fevereiro- Metalfisa'!U$3,METALFISA!$B:$B,'Faltantes Fevereiro- Metalfisa'!$A58)</f>
        <v>0</v>
      </c>
      <c r="V58" s="31">
        <f>SUMIFS(METALFISA!$E:$E,METALFISA!$A:$A,'Faltantes Fevereiro- Metalfisa'!V$3,METALFISA!$B:$B,'Faltantes Fevereiro- Metalfisa'!$A58)</f>
        <v>0</v>
      </c>
      <c r="W58" s="31">
        <f>SUMIFS(METALFISA!$E:$E,METALFISA!$A:$A,'Faltantes Fevereiro- Metalfisa'!W$3,METALFISA!$B:$B,'Faltantes Fevereiro- Metalfisa'!$A58)</f>
        <v>0</v>
      </c>
      <c r="X58" s="31">
        <f>SUMIFS(METALFISA!$E:$E,METALFISA!$A:$A,'Faltantes Fevereiro- Metalfisa'!X$3,METALFISA!$B:$B,'Faltantes Fevereiro- Metalfisa'!$A58)</f>
        <v>0</v>
      </c>
      <c r="Y58" s="31">
        <f>SUMIFS(METALFISA!$E:$E,METALFISA!$A:$A,'Faltantes Fevereiro- Metalfisa'!Y$3,METALFISA!$B:$B,'Faltantes Fevereiro- Metalfisa'!$A58)</f>
        <v>0</v>
      </c>
      <c r="Z58" s="31">
        <f>SUMIFS(METALFISA!$E:$E,METALFISA!$A:$A,'Faltantes Fevereiro- Metalfisa'!Z$3,METALFISA!$B:$B,'Faltantes Fevereiro- Metalfisa'!$A58)</f>
        <v>0</v>
      </c>
      <c r="AA58" s="31">
        <f>SUMIFS(METALFISA!$E:$E,METALFISA!$A:$A,'Faltantes Fevereiro- Metalfisa'!AA$3,METALFISA!$B:$B,'Faltantes Fevereiro- Metalfisa'!$A58)</f>
        <v>0</v>
      </c>
      <c r="AB58" s="31">
        <f>SUMIFS(METALFISA!$E:$E,METALFISA!$A:$A,'Faltantes Fevereiro- Metalfisa'!AB$3,METALFISA!$B:$B,'Faltantes Fevereiro- Metalfisa'!$A58)</f>
        <v>0</v>
      </c>
      <c r="AC58" s="31">
        <f>SUMIFS(METALFISA!$E:$E,METALFISA!$A:$A,'Faltantes Fevereiro- Metalfisa'!AC$3,METALFISA!$B:$B,'Faltantes Fevereiro- Metalfisa'!$A58)</f>
        <v>0</v>
      </c>
      <c r="AD58" s="31">
        <f>SUMIFS(METALFISA!$E:$E,METALFISA!$A:$A,'Faltantes Fevereiro- Metalfisa'!AD$3,METALFISA!$B:$B,'Faltantes Fevereiro- Metalfisa'!$A58)</f>
        <v>0</v>
      </c>
      <c r="AE58" s="31">
        <f>SUMIFS(METALFISA!$E:$E,METALFISA!$A:$A,'Faltantes Fevereiro- Metalfisa'!AE$3,METALFISA!$B:$B,'Faltantes Fevereiro- Metalfisa'!$A58)</f>
        <v>0</v>
      </c>
      <c r="AF58" s="31">
        <f>SUMIFS(METALFISA!$E:$E,METALFISA!$A:$A,'Faltantes Fevereiro- Metalfisa'!AF$3,METALFISA!$B:$B,'Faltantes Fevereiro- Metalfisa'!$A58)</f>
        <v>0</v>
      </c>
      <c r="AG58" s="31">
        <f>SUMIFS(METALFISA!$E:$E,METALFISA!$A:$A,'Faltantes Fevereiro- Metalfisa'!AG$3,METALFISA!$B:$B,'Faltantes Fevereiro- Metalfisa'!$A58)</f>
        <v>0</v>
      </c>
      <c r="AH58" s="31">
        <f>SUMIFS(METALFISA!$E:$E,METALFISA!$A:$A,'Faltantes Fevereiro- Metalfisa'!AH$3,METALFISA!$B:$B,'Faltantes Fevereiro- Metalfisa'!$A58)</f>
        <v>33</v>
      </c>
      <c r="AI58" s="31">
        <f>SUMIFS(METALFISA!$E:$E,METALFISA!$A:$A,'Faltantes Fevereiro- Metalfisa'!AI$3,METALFISA!$B:$B,'Faltantes Fevereiro- Metalfisa'!$A58)</f>
        <v>0</v>
      </c>
      <c r="AJ58" s="31">
        <f>SUMIFS(METALFISA!$E:$E,METALFISA!$A:$A,'Faltantes Fevereiro- Metalfisa'!AJ$3,METALFISA!$B:$B,'Faltantes Fevereiro- Metalfisa'!$A58)</f>
        <v>0</v>
      </c>
      <c r="AK58" s="31">
        <f>SUMIFS(METALFISA!$E:$E,METALFISA!$A:$A,'Faltantes Fevereiro- Metalfisa'!AK$3,METALFISA!$B:$B,'Faltantes Fevereiro- Metalfisa'!$A58)</f>
        <v>0</v>
      </c>
      <c r="AL58" s="31">
        <f>SUMIFS(METALFISA!$E:$E,METALFISA!$A:$A,'Faltantes Fevereiro- Metalfisa'!AL$3,METALFISA!$B:$B,'Faltantes Fevereiro- Metalfisa'!$A58)</f>
        <v>0</v>
      </c>
      <c r="AM58" s="31">
        <f>SUMIFS(METALFISA!$E:$E,METALFISA!$A:$A,'Faltantes Fevereiro- Metalfisa'!AM$3,METALFISA!$B:$B,'Faltantes Fevereiro- Metalfisa'!$A58)</f>
        <v>0</v>
      </c>
      <c r="AN58" s="31">
        <f>SUMIFS(METALFISA!$E:$E,METALFISA!$A:$A,'Faltantes Fevereiro- Metalfisa'!AN$3,METALFISA!$B:$B,'Faltantes Fevereiro- Metalfisa'!$A58)</f>
        <v>0</v>
      </c>
      <c r="AO58" s="31">
        <f>SUMIFS(METALFISA!$E:$E,METALFISA!$A:$A,'Faltantes Fevereiro- Metalfisa'!AO$3,METALFISA!$B:$B,'Faltantes Fevereiro- Metalfisa'!$A58)</f>
        <v>0</v>
      </c>
      <c r="AP58" s="31">
        <f>SUMIFS(METALFISA!$E:$E,METALFISA!$A:$A,'Faltantes Fevereiro- Metalfisa'!AP$3,METALFISA!$B:$B,'Faltantes Fevereiro- Metalfisa'!$A58)</f>
        <v>0</v>
      </c>
      <c r="AQ58" s="31"/>
      <c r="AR58" s="31">
        <f>SUMIFS(METALFISA!$E:$E,METALFISA!$A:$A,'Faltantes Fevereiro- Metalfisa'!AR$3,METALFISA!$B:$B,'Faltantes Fevereiro- Metalfisa'!$A58)</f>
        <v>0</v>
      </c>
      <c r="AS58" s="35">
        <f>SUMIFS(METALFISA!$E:$E,METALFISA!$A:$A,'Faltantes Fevereiro- Metalfisa'!AS$3,METALFISA!$B:$B,'Faltantes Fevereiro- Metalfisa'!$A58)</f>
        <v>0</v>
      </c>
      <c r="AU58" s="18">
        <v>0</v>
      </c>
      <c r="AV58" s="18">
        <v>0</v>
      </c>
      <c r="AW58" s="18">
        <v>0</v>
      </c>
      <c r="AX58" s="18">
        <v>0</v>
      </c>
      <c r="AY58" s="41">
        <v>1</v>
      </c>
      <c r="AZ58" s="31">
        <v>0</v>
      </c>
      <c r="BA58" s="31">
        <v>0</v>
      </c>
      <c r="BB58" s="31">
        <v>0</v>
      </c>
      <c r="BC58" s="31">
        <v>0</v>
      </c>
      <c r="BD58" s="31">
        <v>0</v>
      </c>
      <c r="BE58" s="31">
        <v>0</v>
      </c>
      <c r="BF58" s="31">
        <v>0</v>
      </c>
      <c r="BG58" s="31">
        <v>0</v>
      </c>
      <c r="BH58" s="31">
        <v>0</v>
      </c>
      <c r="BI58" s="31">
        <v>0</v>
      </c>
      <c r="BJ58" s="31">
        <v>0</v>
      </c>
      <c r="BK58" s="31">
        <v>0</v>
      </c>
      <c r="BL58" s="31">
        <v>0</v>
      </c>
      <c r="BM58" s="31">
        <v>0</v>
      </c>
      <c r="BN58" s="31">
        <v>0</v>
      </c>
      <c r="BO58" s="31">
        <v>0</v>
      </c>
      <c r="BP58" s="31">
        <v>0</v>
      </c>
      <c r="BQ58" s="31">
        <v>0</v>
      </c>
      <c r="BR58" s="31">
        <v>0</v>
      </c>
      <c r="BS58" s="31">
        <v>0</v>
      </c>
      <c r="BT58" s="31">
        <v>0</v>
      </c>
      <c r="BU58" s="31">
        <v>0</v>
      </c>
      <c r="BV58" s="31">
        <v>0</v>
      </c>
      <c r="BW58" s="31">
        <v>0</v>
      </c>
      <c r="BX58" s="31">
        <v>0</v>
      </c>
      <c r="BY58" s="31">
        <v>0</v>
      </c>
      <c r="BZ58" s="31">
        <v>0</v>
      </c>
      <c r="CA58" s="31">
        <v>0</v>
      </c>
      <c r="CB58" s="31">
        <v>0</v>
      </c>
      <c r="CC58" s="31">
        <v>0</v>
      </c>
      <c r="CD58" s="31">
        <v>0</v>
      </c>
      <c r="CE58" s="31">
        <v>0</v>
      </c>
      <c r="CF58" s="31">
        <v>0</v>
      </c>
      <c r="CG58" s="31">
        <v>0</v>
      </c>
      <c r="CH58" s="31">
        <v>0</v>
      </c>
      <c r="CI58" s="31">
        <v>0</v>
      </c>
      <c r="CJ58" s="31">
        <v>0</v>
      </c>
      <c r="CK58" s="31">
        <v>0</v>
      </c>
      <c r="CL58" s="35">
        <v>0</v>
      </c>
    </row>
    <row r="59" spans="1:90" ht="21" x14ac:dyDescent="0.15">
      <c r="A59" s="27" t="s">
        <v>756</v>
      </c>
      <c r="B59" s="28" t="s">
        <v>757</v>
      </c>
      <c r="C59" s="28">
        <v>3</v>
      </c>
      <c r="D59" s="28">
        <v>0</v>
      </c>
      <c r="E59" s="28">
        <v>0</v>
      </c>
      <c r="F59" s="28">
        <v>0</v>
      </c>
      <c r="G59" s="28">
        <v>29</v>
      </c>
      <c r="H59" s="28">
        <f>IFERROR(VLOOKUP(A59,[1]FALTANTES!$A:$AB,28,FALSE),"-")</f>
        <v>3</v>
      </c>
      <c r="I59" s="42">
        <f>IFERROR(VLOOKUP(A59,[1]FALTANTES!$A:$AC,29,FALSE),"-")</f>
        <v>0</v>
      </c>
      <c r="J59" s="29">
        <f>IFERROR(VLOOKUP(A59,[1]FALTANTES!$A:$AD,30,FALSE),"-")</f>
        <v>-32</v>
      </c>
      <c r="K59" s="30">
        <v>0</v>
      </c>
      <c r="L59" s="30">
        <f t="shared" si="0"/>
        <v>33</v>
      </c>
      <c r="M59" s="31">
        <f>SUMIFS(METALFISA!$E:$E,METALFISA!$A:$A,'Faltantes Fevereiro- Metalfisa'!M$3,METALFISA!$B:$B,'Faltantes Fevereiro- Metalfisa'!$A59)</f>
        <v>0</v>
      </c>
      <c r="N59" s="31">
        <f>SUMIFS(METALFISA!$E:$E,METALFISA!$A:$A,'Faltantes Fevereiro- Metalfisa'!N$3,METALFISA!$B:$B,'Faltantes Fevereiro- Metalfisa'!$A59)</f>
        <v>0</v>
      </c>
      <c r="O59" s="31">
        <f>SUMIFS(METALFISA!$E:$E,METALFISA!$A:$A,'Faltantes Fevereiro- Metalfisa'!O$3,METALFISA!$B:$B,'Faltantes Fevereiro- Metalfisa'!$A59)</f>
        <v>0</v>
      </c>
      <c r="P59" s="31">
        <f>SUMIFS(METALFISA!$E:$E,METALFISA!$A:$A,'Faltantes Fevereiro- Metalfisa'!P$3,METALFISA!$B:$B,'Faltantes Fevereiro- Metalfisa'!$A59)</f>
        <v>0</v>
      </c>
      <c r="Q59" s="31">
        <f>SUMIFS(METALFISA!$E:$E,METALFISA!$A:$A,'Faltantes Fevereiro- Metalfisa'!Q$3,METALFISA!$B:$B,'Faltantes Fevereiro- Metalfisa'!$A59)</f>
        <v>0</v>
      </c>
      <c r="R59" s="31">
        <f>SUMIFS(METALFISA!$E:$E,METALFISA!$A:$A,'Faltantes Fevereiro- Metalfisa'!R$3,METALFISA!$B:$B,'Faltantes Fevereiro- Metalfisa'!$A59)</f>
        <v>0</v>
      </c>
      <c r="S59" s="31">
        <f>SUMIFS(METALFISA!$E:$E,METALFISA!$A:$A,'Faltantes Fevereiro- Metalfisa'!S$3,METALFISA!$B:$B,'Faltantes Fevereiro- Metalfisa'!$A59)</f>
        <v>0</v>
      </c>
      <c r="T59" s="31">
        <f>SUMIFS(METALFISA!$E:$E,METALFISA!$A:$A,'Faltantes Fevereiro- Metalfisa'!T$3,METALFISA!$B:$B,'Faltantes Fevereiro- Metalfisa'!$A59)</f>
        <v>0</v>
      </c>
      <c r="U59" s="31">
        <f>SUMIFS(METALFISA!$E:$E,METALFISA!$A:$A,'Faltantes Fevereiro- Metalfisa'!U$3,METALFISA!$B:$B,'Faltantes Fevereiro- Metalfisa'!$A59)</f>
        <v>0</v>
      </c>
      <c r="V59" s="31">
        <f>SUMIFS(METALFISA!$E:$E,METALFISA!$A:$A,'Faltantes Fevereiro- Metalfisa'!V$3,METALFISA!$B:$B,'Faltantes Fevereiro- Metalfisa'!$A59)</f>
        <v>0</v>
      </c>
      <c r="W59" s="31">
        <f>SUMIFS(METALFISA!$E:$E,METALFISA!$A:$A,'Faltantes Fevereiro- Metalfisa'!W$3,METALFISA!$B:$B,'Faltantes Fevereiro- Metalfisa'!$A59)</f>
        <v>0</v>
      </c>
      <c r="X59" s="31">
        <f>SUMIFS(METALFISA!$E:$E,METALFISA!$A:$A,'Faltantes Fevereiro- Metalfisa'!X$3,METALFISA!$B:$B,'Faltantes Fevereiro- Metalfisa'!$A59)</f>
        <v>0</v>
      </c>
      <c r="Y59" s="31">
        <f>SUMIFS(METALFISA!$E:$E,METALFISA!$A:$A,'Faltantes Fevereiro- Metalfisa'!Y$3,METALFISA!$B:$B,'Faltantes Fevereiro- Metalfisa'!$A59)</f>
        <v>0</v>
      </c>
      <c r="Z59" s="31">
        <f>SUMIFS(METALFISA!$E:$E,METALFISA!$A:$A,'Faltantes Fevereiro- Metalfisa'!Z$3,METALFISA!$B:$B,'Faltantes Fevereiro- Metalfisa'!$A59)</f>
        <v>0</v>
      </c>
      <c r="AA59" s="31">
        <f>SUMIFS(METALFISA!$E:$E,METALFISA!$A:$A,'Faltantes Fevereiro- Metalfisa'!AA$3,METALFISA!$B:$B,'Faltantes Fevereiro- Metalfisa'!$A59)</f>
        <v>0</v>
      </c>
      <c r="AB59" s="31">
        <f>SUMIFS(METALFISA!$E:$E,METALFISA!$A:$A,'Faltantes Fevereiro- Metalfisa'!AB$3,METALFISA!$B:$B,'Faltantes Fevereiro- Metalfisa'!$A59)</f>
        <v>0</v>
      </c>
      <c r="AC59" s="31">
        <f>SUMIFS(METALFISA!$E:$E,METALFISA!$A:$A,'Faltantes Fevereiro- Metalfisa'!AC$3,METALFISA!$B:$B,'Faltantes Fevereiro- Metalfisa'!$A59)</f>
        <v>0</v>
      </c>
      <c r="AD59" s="31">
        <f>SUMIFS(METALFISA!$E:$E,METALFISA!$A:$A,'Faltantes Fevereiro- Metalfisa'!AD$3,METALFISA!$B:$B,'Faltantes Fevereiro- Metalfisa'!$A59)</f>
        <v>0</v>
      </c>
      <c r="AE59" s="31">
        <f>SUMIFS(METALFISA!$E:$E,METALFISA!$A:$A,'Faltantes Fevereiro- Metalfisa'!AE$3,METALFISA!$B:$B,'Faltantes Fevereiro- Metalfisa'!$A59)</f>
        <v>0</v>
      </c>
      <c r="AF59" s="31">
        <f>SUMIFS(METALFISA!$E:$E,METALFISA!$A:$A,'Faltantes Fevereiro- Metalfisa'!AF$3,METALFISA!$B:$B,'Faltantes Fevereiro- Metalfisa'!$A59)</f>
        <v>0</v>
      </c>
      <c r="AG59" s="31">
        <f>SUMIFS(METALFISA!$E:$E,METALFISA!$A:$A,'Faltantes Fevereiro- Metalfisa'!AG$3,METALFISA!$B:$B,'Faltantes Fevereiro- Metalfisa'!$A59)</f>
        <v>0</v>
      </c>
      <c r="AH59" s="31">
        <f>SUMIFS(METALFISA!$E:$E,METALFISA!$A:$A,'Faltantes Fevereiro- Metalfisa'!AH$3,METALFISA!$B:$B,'Faltantes Fevereiro- Metalfisa'!$A59)</f>
        <v>33</v>
      </c>
      <c r="AI59" s="31">
        <f>SUMIFS(METALFISA!$E:$E,METALFISA!$A:$A,'Faltantes Fevereiro- Metalfisa'!AI$3,METALFISA!$B:$B,'Faltantes Fevereiro- Metalfisa'!$A59)</f>
        <v>0</v>
      </c>
      <c r="AJ59" s="31">
        <f>SUMIFS(METALFISA!$E:$E,METALFISA!$A:$A,'Faltantes Fevereiro- Metalfisa'!AJ$3,METALFISA!$B:$B,'Faltantes Fevereiro- Metalfisa'!$A59)</f>
        <v>0</v>
      </c>
      <c r="AK59" s="31">
        <f>SUMIFS(METALFISA!$E:$E,METALFISA!$A:$A,'Faltantes Fevereiro- Metalfisa'!AK$3,METALFISA!$B:$B,'Faltantes Fevereiro- Metalfisa'!$A59)</f>
        <v>0</v>
      </c>
      <c r="AL59" s="31">
        <f>SUMIFS(METALFISA!$E:$E,METALFISA!$A:$A,'Faltantes Fevereiro- Metalfisa'!AL$3,METALFISA!$B:$B,'Faltantes Fevereiro- Metalfisa'!$A59)</f>
        <v>0</v>
      </c>
      <c r="AM59" s="31">
        <f>SUMIFS(METALFISA!$E:$E,METALFISA!$A:$A,'Faltantes Fevereiro- Metalfisa'!AM$3,METALFISA!$B:$B,'Faltantes Fevereiro- Metalfisa'!$A59)</f>
        <v>0</v>
      </c>
      <c r="AN59" s="31">
        <f>SUMIFS(METALFISA!$E:$E,METALFISA!$A:$A,'Faltantes Fevereiro- Metalfisa'!AN$3,METALFISA!$B:$B,'Faltantes Fevereiro- Metalfisa'!$A59)</f>
        <v>0</v>
      </c>
      <c r="AO59" s="31">
        <f>SUMIFS(METALFISA!$E:$E,METALFISA!$A:$A,'Faltantes Fevereiro- Metalfisa'!AO$3,METALFISA!$B:$B,'Faltantes Fevereiro- Metalfisa'!$A59)</f>
        <v>0</v>
      </c>
      <c r="AP59" s="31">
        <f>SUMIFS(METALFISA!$E:$E,METALFISA!$A:$A,'Faltantes Fevereiro- Metalfisa'!AP$3,METALFISA!$B:$B,'Faltantes Fevereiro- Metalfisa'!$A59)</f>
        <v>0</v>
      </c>
      <c r="AQ59" s="31"/>
      <c r="AR59" s="31">
        <f>SUMIFS(METALFISA!$E:$E,METALFISA!$A:$A,'Faltantes Fevereiro- Metalfisa'!AR$3,METALFISA!$B:$B,'Faltantes Fevereiro- Metalfisa'!$A59)</f>
        <v>0</v>
      </c>
      <c r="AS59" s="35">
        <f>SUMIFS(METALFISA!$E:$E,METALFISA!$A:$A,'Faltantes Fevereiro- Metalfisa'!AS$3,METALFISA!$B:$B,'Faltantes Fevereiro- Metalfisa'!$A59)</f>
        <v>0</v>
      </c>
      <c r="AU59" s="18">
        <v>0</v>
      </c>
      <c r="AV59" s="18">
        <v>0</v>
      </c>
      <c r="AW59" s="18">
        <v>0</v>
      </c>
      <c r="AX59" s="18">
        <v>0</v>
      </c>
      <c r="AY59" s="41">
        <v>1</v>
      </c>
      <c r="AZ59" s="31">
        <v>1</v>
      </c>
      <c r="BA59" s="31">
        <v>0</v>
      </c>
      <c r="BB59" s="31">
        <v>0</v>
      </c>
      <c r="BC59" s="31">
        <v>0</v>
      </c>
      <c r="BD59" s="31">
        <v>0</v>
      </c>
      <c r="BE59" s="31">
        <v>0</v>
      </c>
      <c r="BF59" s="31">
        <v>0</v>
      </c>
      <c r="BG59" s="31">
        <v>0</v>
      </c>
      <c r="BH59" s="31">
        <v>0</v>
      </c>
      <c r="BI59" s="31">
        <v>0</v>
      </c>
      <c r="BJ59" s="31">
        <v>0</v>
      </c>
      <c r="BK59" s="31">
        <v>0</v>
      </c>
      <c r="BL59" s="31">
        <v>0</v>
      </c>
      <c r="BM59" s="31">
        <v>0</v>
      </c>
      <c r="BN59" s="31">
        <v>0</v>
      </c>
      <c r="BO59" s="31">
        <v>0</v>
      </c>
      <c r="BP59" s="31">
        <v>0</v>
      </c>
      <c r="BQ59" s="31">
        <v>0</v>
      </c>
      <c r="BR59" s="31">
        <v>0</v>
      </c>
      <c r="BS59" s="31">
        <v>0</v>
      </c>
      <c r="BT59" s="31">
        <v>0</v>
      </c>
      <c r="BU59" s="31">
        <v>0</v>
      </c>
      <c r="BV59" s="31">
        <v>0</v>
      </c>
      <c r="BW59" s="31">
        <v>0</v>
      </c>
      <c r="BX59" s="31">
        <v>0</v>
      </c>
      <c r="BY59" s="31">
        <v>0</v>
      </c>
      <c r="BZ59" s="31">
        <v>0</v>
      </c>
      <c r="CA59" s="31">
        <v>0</v>
      </c>
      <c r="CB59" s="31">
        <v>0</v>
      </c>
      <c r="CC59" s="31">
        <v>0</v>
      </c>
      <c r="CD59" s="31">
        <v>0</v>
      </c>
      <c r="CE59" s="31">
        <v>0</v>
      </c>
      <c r="CF59" s="31">
        <v>0</v>
      </c>
      <c r="CG59" s="31">
        <v>0</v>
      </c>
      <c r="CH59" s="31">
        <v>0</v>
      </c>
      <c r="CI59" s="31">
        <v>0</v>
      </c>
      <c r="CJ59" s="31">
        <v>0</v>
      </c>
      <c r="CK59" s="31">
        <v>0</v>
      </c>
      <c r="CL59" s="35">
        <v>0</v>
      </c>
    </row>
    <row r="60" spans="1:90" ht="21" x14ac:dyDescent="0.15">
      <c r="A60" s="27" t="s">
        <v>867</v>
      </c>
      <c r="B60" s="28" t="s">
        <v>868</v>
      </c>
      <c r="C60" s="28">
        <v>0</v>
      </c>
      <c r="D60" s="28">
        <v>0</v>
      </c>
      <c r="E60" s="28">
        <v>0</v>
      </c>
      <c r="F60" s="28">
        <v>0</v>
      </c>
      <c r="G60" s="28">
        <v>26</v>
      </c>
      <c r="H60" s="28">
        <f>IFERROR(VLOOKUP(A60,[1]FALTANTES!$A:$AB,28,FALSE),"-")</f>
        <v>0</v>
      </c>
      <c r="I60" s="42">
        <f>IFERROR(VLOOKUP(A60,[1]FALTANTES!$A:$AC,29,FALSE),"-")</f>
        <v>0</v>
      </c>
      <c r="J60" s="29">
        <f>IFERROR(VLOOKUP(A60,[1]FALTANTES!$A:$AD,30,FALSE),"-")</f>
        <v>-26</v>
      </c>
      <c r="K60" s="30">
        <v>0</v>
      </c>
      <c r="L60" s="30">
        <f t="shared" si="0"/>
        <v>33</v>
      </c>
      <c r="M60" s="31">
        <f>SUMIFS(METALFISA!$E:$E,METALFISA!$A:$A,'Faltantes Fevereiro- Metalfisa'!M$3,METALFISA!$B:$B,'Faltantes Fevereiro- Metalfisa'!$A60)</f>
        <v>0</v>
      </c>
      <c r="N60" s="31">
        <f>SUMIFS(METALFISA!$E:$E,METALFISA!$A:$A,'Faltantes Fevereiro- Metalfisa'!N$3,METALFISA!$B:$B,'Faltantes Fevereiro- Metalfisa'!$A60)</f>
        <v>0</v>
      </c>
      <c r="O60" s="31">
        <f>SUMIFS(METALFISA!$E:$E,METALFISA!$A:$A,'Faltantes Fevereiro- Metalfisa'!O$3,METALFISA!$B:$B,'Faltantes Fevereiro- Metalfisa'!$A60)</f>
        <v>0</v>
      </c>
      <c r="P60" s="31">
        <f>SUMIFS(METALFISA!$E:$E,METALFISA!$A:$A,'Faltantes Fevereiro- Metalfisa'!P$3,METALFISA!$B:$B,'Faltantes Fevereiro- Metalfisa'!$A60)</f>
        <v>0</v>
      </c>
      <c r="Q60" s="31">
        <f>SUMIFS(METALFISA!$E:$E,METALFISA!$A:$A,'Faltantes Fevereiro- Metalfisa'!Q$3,METALFISA!$B:$B,'Faltantes Fevereiro- Metalfisa'!$A60)</f>
        <v>0</v>
      </c>
      <c r="R60" s="31">
        <f>SUMIFS(METALFISA!$E:$E,METALFISA!$A:$A,'Faltantes Fevereiro- Metalfisa'!R$3,METALFISA!$B:$B,'Faltantes Fevereiro- Metalfisa'!$A60)</f>
        <v>0</v>
      </c>
      <c r="S60" s="31">
        <f>SUMIFS(METALFISA!$E:$E,METALFISA!$A:$A,'Faltantes Fevereiro- Metalfisa'!S$3,METALFISA!$B:$B,'Faltantes Fevereiro- Metalfisa'!$A60)</f>
        <v>0</v>
      </c>
      <c r="T60" s="31">
        <f>SUMIFS(METALFISA!$E:$E,METALFISA!$A:$A,'Faltantes Fevereiro- Metalfisa'!T$3,METALFISA!$B:$B,'Faltantes Fevereiro- Metalfisa'!$A60)</f>
        <v>0</v>
      </c>
      <c r="U60" s="31">
        <f>SUMIFS(METALFISA!$E:$E,METALFISA!$A:$A,'Faltantes Fevereiro- Metalfisa'!U$3,METALFISA!$B:$B,'Faltantes Fevereiro- Metalfisa'!$A60)</f>
        <v>0</v>
      </c>
      <c r="V60" s="31">
        <f>SUMIFS(METALFISA!$E:$E,METALFISA!$A:$A,'Faltantes Fevereiro- Metalfisa'!V$3,METALFISA!$B:$B,'Faltantes Fevereiro- Metalfisa'!$A60)</f>
        <v>0</v>
      </c>
      <c r="W60" s="31">
        <f>SUMIFS(METALFISA!$E:$E,METALFISA!$A:$A,'Faltantes Fevereiro- Metalfisa'!W$3,METALFISA!$B:$B,'Faltantes Fevereiro- Metalfisa'!$A60)</f>
        <v>0</v>
      </c>
      <c r="X60" s="31">
        <f>SUMIFS(METALFISA!$E:$E,METALFISA!$A:$A,'Faltantes Fevereiro- Metalfisa'!X$3,METALFISA!$B:$B,'Faltantes Fevereiro- Metalfisa'!$A60)</f>
        <v>0</v>
      </c>
      <c r="Y60" s="31">
        <f>SUMIFS(METALFISA!$E:$E,METALFISA!$A:$A,'Faltantes Fevereiro- Metalfisa'!Y$3,METALFISA!$B:$B,'Faltantes Fevereiro- Metalfisa'!$A60)</f>
        <v>0</v>
      </c>
      <c r="Z60" s="31">
        <f>SUMIFS(METALFISA!$E:$E,METALFISA!$A:$A,'Faltantes Fevereiro- Metalfisa'!Z$3,METALFISA!$B:$B,'Faltantes Fevereiro- Metalfisa'!$A60)</f>
        <v>0</v>
      </c>
      <c r="AA60" s="31">
        <f>SUMIFS(METALFISA!$E:$E,METALFISA!$A:$A,'Faltantes Fevereiro- Metalfisa'!AA$3,METALFISA!$B:$B,'Faltantes Fevereiro- Metalfisa'!$A60)</f>
        <v>0</v>
      </c>
      <c r="AB60" s="31">
        <f>SUMIFS(METALFISA!$E:$E,METALFISA!$A:$A,'Faltantes Fevereiro- Metalfisa'!AB$3,METALFISA!$B:$B,'Faltantes Fevereiro- Metalfisa'!$A60)</f>
        <v>0</v>
      </c>
      <c r="AC60" s="31">
        <f>SUMIFS(METALFISA!$E:$E,METALFISA!$A:$A,'Faltantes Fevereiro- Metalfisa'!AC$3,METALFISA!$B:$B,'Faltantes Fevereiro- Metalfisa'!$A60)</f>
        <v>0</v>
      </c>
      <c r="AD60" s="31">
        <f>SUMIFS(METALFISA!$E:$E,METALFISA!$A:$A,'Faltantes Fevereiro- Metalfisa'!AD$3,METALFISA!$B:$B,'Faltantes Fevereiro- Metalfisa'!$A60)</f>
        <v>0</v>
      </c>
      <c r="AE60" s="31">
        <f>SUMIFS(METALFISA!$E:$E,METALFISA!$A:$A,'Faltantes Fevereiro- Metalfisa'!AE$3,METALFISA!$B:$B,'Faltantes Fevereiro- Metalfisa'!$A60)</f>
        <v>0</v>
      </c>
      <c r="AF60" s="31">
        <f>SUMIFS(METALFISA!$E:$E,METALFISA!$A:$A,'Faltantes Fevereiro- Metalfisa'!AF$3,METALFISA!$B:$B,'Faltantes Fevereiro- Metalfisa'!$A60)</f>
        <v>0</v>
      </c>
      <c r="AG60" s="31">
        <f>SUMIFS(METALFISA!$E:$E,METALFISA!$A:$A,'Faltantes Fevereiro- Metalfisa'!AG$3,METALFISA!$B:$B,'Faltantes Fevereiro- Metalfisa'!$A60)</f>
        <v>0</v>
      </c>
      <c r="AH60" s="31">
        <f>SUMIFS(METALFISA!$E:$E,METALFISA!$A:$A,'Faltantes Fevereiro- Metalfisa'!AH$3,METALFISA!$B:$B,'Faltantes Fevereiro- Metalfisa'!$A60)</f>
        <v>33</v>
      </c>
      <c r="AI60" s="31">
        <f>SUMIFS(METALFISA!$E:$E,METALFISA!$A:$A,'Faltantes Fevereiro- Metalfisa'!AI$3,METALFISA!$B:$B,'Faltantes Fevereiro- Metalfisa'!$A60)</f>
        <v>0</v>
      </c>
      <c r="AJ60" s="31">
        <f>SUMIFS(METALFISA!$E:$E,METALFISA!$A:$A,'Faltantes Fevereiro- Metalfisa'!AJ$3,METALFISA!$B:$B,'Faltantes Fevereiro- Metalfisa'!$A60)</f>
        <v>0</v>
      </c>
      <c r="AK60" s="31">
        <f>SUMIFS(METALFISA!$E:$E,METALFISA!$A:$A,'Faltantes Fevereiro- Metalfisa'!AK$3,METALFISA!$B:$B,'Faltantes Fevereiro- Metalfisa'!$A60)</f>
        <v>0</v>
      </c>
      <c r="AL60" s="31">
        <f>SUMIFS(METALFISA!$E:$E,METALFISA!$A:$A,'Faltantes Fevereiro- Metalfisa'!AL$3,METALFISA!$B:$B,'Faltantes Fevereiro- Metalfisa'!$A60)</f>
        <v>0</v>
      </c>
      <c r="AM60" s="31">
        <f>SUMIFS(METALFISA!$E:$E,METALFISA!$A:$A,'Faltantes Fevereiro- Metalfisa'!AM$3,METALFISA!$B:$B,'Faltantes Fevereiro- Metalfisa'!$A60)</f>
        <v>0</v>
      </c>
      <c r="AN60" s="31">
        <f>SUMIFS(METALFISA!$E:$E,METALFISA!$A:$A,'Faltantes Fevereiro- Metalfisa'!AN$3,METALFISA!$B:$B,'Faltantes Fevereiro- Metalfisa'!$A60)</f>
        <v>0</v>
      </c>
      <c r="AO60" s="31">
        <f>SUMIFS(METALFISA!$E:$E,METALFISA!$A:$A,'Faltantes Fevereiro- Metalfisa'!AO$3,METALFISA!$B:$B,'Faltantes Fevereiro- Metalfisa'!$A60)</f>
        <v>0</v>
      </c>
      <c r="AP60" s="31">
        <f>SUMIFS(METALFISA!$E:$E,METALFISA!$A:$A,'Faltantes Fevereiro- Metalfisa'!AP$3,METALFISA!$B:$B,'Faltantes Fevereiro- Metalfisa'!$A60)</f>
        <v>0</v>
      </c>
      <c r="AQ60" s="31"/>
      <c r="AR60" s="31">
        <f>SUMIFS(METALFISA!$E:$E,METALFISA!$A:$A,'Faltantes Fevereiro- Metalfisa'!AR$3,METALFISA!$B:$B,'Faltantes Fevereiro- Metalfisa'!$A60)</f>
        <v>0</v>
      </c>
      <c r="AS60" s="35">
        <f>SUMIFS(METALFISA!$E:$E,METALFISA!$A:$A,'Faltantes Fevereiro- Metalfisa'!AS$3,METALFISA!$B:$B,'Faltantes Fevereiro- Metalfisa'!$A60)</f>
        <v>0</v>
      </c>
      <c r="AU60" s="18">
        <v>0</v>
      </c>
      <c r="AV60" s="18">
        <v>0</v>
      </c>
      <c r="AW60" s="18">
        <v>0</v>
      </c>
      <c r="AX60" s="18">
        <v>0</v>
      </c>
      <c r="AY60" s="41">
        <v>1</v>
      </c>
      <c r="AZ60" s="31">
        <v>1</v>
      </c>
      <c r="BA60" s="31">
        <v>0</v>
      </c>
      <c r="BB60" s="31">
        <v>0</v>
      </c>
      <c r="BC60" s="31">
        <v>0</v>
      </c>
      <c r="BD60" s="31">
        <v>0</v>
      </c>
      <c r="BE60" s="31">
        <v>0</v>
      </c>
      <c r="BF60" s="31">
        <v>0</v>
      </c>
      <c r="BG60" s="31">
        <v>0</v>
      </c>
      <c r="BH60" s="31">
        <v>0</v>
      </c>
      <c r="BI60" s="31">
        <v>0</v>
      </c>
      <c r="BJ60" s="31">
        <v>0</v>
      </c>
      <c r="BK60" s="31">
        <v>0</v>
      </c>
      <c r="BL60" s="31">
        <v>0</v>
      </c>
      <c r="BM60" s="31">
        <v>0</v>
      </c>
      <c r="BN60" s="31">
        <v>0</v>
      </c>
      <c r="BO60" s="31">
        <v>0</v>
      </c>
      <c r="BP60" s="31">
        <v>0</v>
      </c>
      <c r="BQ60" s="31">
        <v>0</v>
      </c>
      <c r="BR60" s="31">
        <v>0</v>
      </c>
      <c r="BS60" s="31">
        <v>0</v>
      </c>
      <c r="BT60" s="31">
        <v>0</v>
      </c>
      <c r="BU60" s="31">
        <v>0</v>
      </c>
      <c r="BV60" s="31">
        <v>0</v>
      </c>
      <c r="BW60" s="31">
        <v>0</v>
      </c>
      <c r="BX60" s="31">
        <v>0</v>
      </c>
      <c r="BY60" s="31">
        <v>0</v>
      </c>
      <c r="BZ60" s="31">
        <v>0</v>
      </c>
      <c r="CA60" s="31">
        <v>0</v>
      </c>
      <c r="CB60" s="31">
        <v>0</v>
      </c>
      <c r="CC60" s="31">
        <v>0</v>
      </c>
      <c r="CD60" s="31">
        <v>0</v>
      </c>
      <c r="CE60" s="31">
        <v>0</v>
      </c>
      <c r="CF60" s="31">
        <v>0</v>
      </c>
      <c r="CG60" s="31">
        <v>0</v>
      </c>
      <c r="CH60" s="31">
        <v>0</v>
      </c>
      <c r="CI60" s="31">
        <v>0</v>
      </c>
      <c r="CJ60" s="31">
        <v>0</v>
      </c>
      <c r="CK60" s="31">
        <v>0</v>
      </c>
      <c r="CL60" s="35">
        <v>0</v>
      </c>
    </row>
    <row r="61" spans="1:90" ht="21" x14ac:dyDescent="0.15">
      <c r="A61" s="27" t="s">
        <v>44</v>
      </c>
      <c r="B61" s="28" t="s">
        <v>164</v>
      </c>
      <c r="C61" s="28">
        <v>0</v>
      </c>
      <c r="D61" s="28">
        <v>0</v>
      </c>
      <c r="E61" s="28">
        <v>0</v>
      </c>
      <c r="F61" s="28">
        <v>0</v>
      </c>
      <c r="G61" s="28">
        <v>1</v>
      </c>
      <c r="H61" s="28">
        <f>IFERROR(VLOOKUP(A61,[1]FALTANTES!$A:$AB,28,FALSE),"-")</f>
        <v>0</v>
      </c>
      <c r="I61" s="42">
        <f>IFERROR(VLOOKUP(A61,[1]FALTANTES!$A:$AC,29,FALSE),"-")</f>
        <v>0</v>
      </c>
      <c r="J61" s="29">
        <f>IFERROR(VLOOKUP(A61,[1]FALTANTES!$A:$AD,30,FALSE),"-")</f>
        <v>-1</v>
      </c>
      <c r="K61" s="30">
        <v>0</v>
      </c>
      <c r="L61" s="30">
        <f t="shared" si="0"/>
        <v>1</v>
      </c>
      <c r="M61" s="31">
        <f>SUMIFS(METALFISA!$E:$E,METALFISA!$A:$A,'Faltantes Fevereiro- Metalfisa'!M$3,METALFISA!$B:$B,'Faltantes Fevereiro- Metalfisa'!$A61)</f>
        <v>0</v>
      </c>
      <c r="N61" s="31">
        <f>SUMIFS(METALFISA!$E:$E,METALFISA!$A:$A,'Faltantes Fevereiro- Metalfisa'!N$3,METALFISA!$B:$B,'Faltantes Fevereiro- Metalfisa'!$A61)</f>
        <v>0</v>
      </c>
      <c r="O61" s="31">
        <f>SUMIFS(METALFISA!$E:$E,METALFISA!$A:$A,'Faltantes Fevereiro- Metalfisa'!O$3,METALFISA!$B:$B,'Faltantes Fevereiro- Metalfisa'!$A61)</f>
        <v>0</v>
      </c>
      <c r="P61" s="31">
        <f>SUMIFS(METALFISA!$E:$E,METALFISA!$A:$A,'Faltantes Fevereiro- Metalfisa'!P$3,METALFISA!$B:$B,'Faltantes Fevereiro- Metalfisa'!$A61)</f>
        <v>0</v>
      </c>
      <c r="Q61" s="31">
        <f>SUMIFS(METALFISA!$E:$E,METALFISA!$A:$A,'Faltantes Fevereiro- Metalfisa'!Q$3,METALFISA!$B:$B,'Faltantes Fevereiro- Metalfisa'!$A61)</f>
        <v>0</v>
      </c>
      <c r="R61" s="31">
        <f>SUMIFS(METALFISA!$E:$E,METALFISA!$A:$A,'Faltantes Fevereiro- Metalfisa'!R$3,METALFISA!$B:$B,'Faltantes Fevereiro- Metalfisa'!$A61)</f>
        <v>0</v>
      </c>
      <c r="S61" s="31">
        <f>SUMIFS(METALFISA!$E:$E,METALFISA!$A:$A,'Faltantes Fevereiro- Metalfisa'!S$3,METALFISA!$B:$B,'Faltantes Fevereiro- Metalfisa'!$A61)</f>
        <v>0</v>
      </c>
      <c r="T61" s="31">
        <f>SUMIFS(METALFISA!$E:$E,METALFISA!$A:$A,'Faltantes Fevereiro- Metalfisa'!T$3,METALFISA!$B:$B,'Faltantes Fevereiro- Metalfisa'!$A61)</f>
        <v>0</v>
      </c>
      <c r="U61" s="31">
        <f>SUMIFS(METALFISA!$E:$E,METALFISA!$A:$A,'Faltantes Fevereiro- Metalfisa'!U$3,METALFISA!$B:$B,'Faltantes Fevereiro- Metalfisa'!$A61)</f>
        <v>0</v>
      </c>
      <c r="V61" s="31">
        <f>SUMIFS(METALFISA!$E:$E,METALFISA!$A:$A,'Faltantes Fevereiro- Metalfisa'!V$3,METALFISA!$B:$B,'Faltantes Fevereiro- Metalfisa'!$A61)</f>
        <v>0</v>
      </c>
      <c r="W61" s="31">
        <f>SUMIFS(METALFISA!$E:$E,METALFISA!$A:$A,'Faltantes Fevereiro- Metalfisa'!W$3,METALFISA!$B:$B,'Faltantes Fevereiro- Metalfisa'!$A61)</f>
        <v>0</v>
      </c>
      <c r="X61" s="31">
        <f>SUMIFS(METALFISA!$E:$E,METALFISA!$A:$A,'Faltantes Fevereiro- Metalfisa'!X$3,METALFISA!$B:$B,'Faltantes Fevereiro- Metalfisa'!$A61)</f>
        <v>0</v>
      </c>
      <c r="Y61" s="31">
        <f>SUMIFS(METALFISA!$E:$E,METALFISA!$A:$A,'Faltantes Fevereiro- Metalfisa'!Y$3,METALFISA!$B:$B,'Faltantes Fevereiro- Metalfisa'!$A61)</f>
        <v>0</v>
      </c>
      <c r="Z61" s="31">
        <f>SUMIFS(METALFISA!$E:$E,METALFISA!$A:$A,'Faltantes Fevereiro- Metalfisa'!Z$3,METALFISA!$B:$B,'Faltantes Fevereiro- Metalfisa'!$A61)</f>
        <v>0</v>
      </c>
      <c r="AA61" s="31">
        <f>SUMIFS(METALFISA!$E:$E,METALFISA!$A:$A,'Faltantes Fevereiro- Metalfisa'!AA$3,METALFISA!$B:$B,'Faltantes Fevereiro- Metalfisa'!$A61)</f>
        <v>0</v>
      </c>
      <c r="AB61" s="31">
        <f>SUMIFS(METALFISA!$E:$E,METALFISA!$A:$A,'Faltantes Fevereiro- Metalfisa'!AB$3,METALFISA!$B:$B,'Faltantes Fevereiro- Metalfisa'!$A61)</f>
        <v>0</v>
      </c>
      <c r="AC61" s="31">
        <f>SUMIFS(METALFISA!$E:$E,METALFISA!$A:$A,'Faltantes Fevereiro- Metalfisa'!AC$3,METALFISA!$B:$B,'Faltantes Fevereiro- Metalfisa'!$A61)</f>
        <v>0</v>
      </c>
      <c r="AD61" s="31">
        <f>SUMIFS(METALFISA!$E:$E,METALFISA!$A:$A,'Faltantes Fevereiro- Metalfisa'!AD$3,METALFISA!$B:$B,'Faltantes Fevereiro- Metalfisa'!$A61)</f>
        <v>0</v>
      </c>
      <c r="AE61" s="31">
        <f>SUMIFS(METALFISA!$E:$E,METALFISA!$A:$A,'Faltantes Fevereiro- Metalfisa'!AE$3,METALFISA!$B:$B,'Faltantes Fevereiro- Metalfisa'!$A61)</f>
        <v>0</v>
      </c>
      <c r="AF61" s="31">
        <f>SUMIFS(METALFISA!$E:$E,METALFISA!$A:$A,'Faltantes Fevereiro- Metalfisa'!AF$3,METALFISA!$B:$B,'Faltantes Fevereiro- Metalfisa'!$A61)</f>
        <v>0</v>
      </c>
      <c r="AG61" s="31">
        <f>SUMIFS(METALFISA!$E:$E,METALFISA!$A:$A,'Faltantes Fevereiro- Metalfisa'!AG$3,METALFISA!$B:$B,'Faltantes Fevereiro- Metalfisa'!$A61)</f>
        <v>0</v>
      </c>
      <c r="AH61" s="31">
        <f>SUMIFS(METALFISA!$E:$E,METALFISA!$A:$A,'Faltantes Fevereiro- Metalfisa'!AH$3,METALFISA!$B:$B,'Faltantes Fevereiro- Metalfisa'!$A61)</f>
        <v>1</v>
      </c>
      <c r="AI61" s="31">
        <f>SUMIFS(METALFISA!$E:$E,METALFISA!$A:$A,'Faltantes Fevereiro- Metalfisa'!AI$3,METALFISA!$B:$B,'Faltantes Fevereiro- Metalfisa'!$A61)</f>
        <v>0</v>
      </c>
      <c r="AJ61" s="31">
        <f>SUMIFS(METALFISA!$E:$E,METALFISA!$A:$A,'Faltantes Fevereiro- Metalfisa'!AJ$3,METALFISA!$B:$B,'Faltantes Fevereiro- Metalfisa'!$A61)</f>
        <v>0</v>
      </c>
      <c r="AK61" s="31">
        <f>SUMIFS(METALFISA!$E:$E,METALFISA!$A:$A,'Faltantes Fevereiro- Metalfisa'!AK$3,METALFISA!$B:$B,'Faltantes Fevereiro- Metalfisa'!$A61)</f>
        <v>0</v>
      </c>
      <c r="AL61" s="31">
        <f>SUMIFS(METALFISA!$E:$E,METALFISA!$A:$A,'Faltantes Fevereiro- Metalfisa'!AL$3,METALFISA!$B:$B,'Faltantes Fevereiro- Metalfisa'!$A61)</f>
        <v>0</v>
      </c>
      <c r="AM61" s="31">
        <f>SUMIFS(METALFISA!$E:$E,METALFISA!$A:$A,'Faltantes Fevereiro- Metalfisa'!AM$3,METALFISA!$B:$B,'Faltantes Fevereiro- Metalfisa'!$A61)</f>
        <v>0</v>
      </c>
      <c r="AN61" s="31">
        <f>SUMIFS(METALFISA!$E:$E,METALFISA!$A:$A,'Faltantes Fevereiro- Metalfisa'!AN$3,METALFISA!$B:$B,'Faltantes Fevereiro- Metalfisa'!$A61)</f>
        <v>0</v>
      </c>
      <c r="AO61" s="31">
        <f>SUMIFS(METALFISA!$E:$E,METALFISA!$A:$A,'Faltantes Fevereiro- Metalfisa'!AO$3,METALFISA!$B:$B,'Faltantes Fevereiro- Metalfisa'!$A61)</f>
        <v>0</v>
      </c>
      <c r="AP61" s="31">
        <f>SUMIFS(METALFISA!$E:$E,METALFISA!$A:$A,'Faltantes Fevereiro- Metalfisa'!AP$3,METALFISA!$B:$B,'Faltantes Fevereiro- Metalfisa'!$A61)</f>
        <v>0</v>
      </c>
      <c r="AQ61" s="31"/>
      <c r="AR61" s="31">
        <f>SUMIFS(METALFISA!$E:$E,METALFISA!$A:$A,'Faltantes Fevereiro- Metalfisa'!AR$3,METALFISA!$B:$B,'Faltantes Fevereiro- Metalfisa'!$A61)</f>
        <v>0</v>
      </c>
      <c r="AS61" s="35">
        <f>SUMIFS(METALFISA!$E:$E,METALFISA!$A:$A,'Faltantes Fevereiro- Metalfisa'!AS$3,METALFISA!$B:$B,'Faltantes Fevereiro- Metalfisa'!$A61)</f>
        <v>0</v>
      </c>
      <c r="AU61" s="18">
        <v>0</v>
      </c>
      <c r="AV61" s="18">
        <v>0</v>
      </c>
      <c r="AW61" s="18">
        <v>0</v>
      </c>
      <c r="AX61" s="18">
        <v>0</v>
      </c>
      <c r="AY61" s="41">
        <v>1</v>
      </c>
      <c r="AZ61" s="31">
        <v>1</v>
      </c>
      <c r="BA61" s="31">
        <v>0</v>
      </c>
      <c r="BB61" s="31">
        <v>0</v>
      </c>
      <c r="BC61" s="31">
        <v>0</v>
      </c>
      <c r="BD61" s="31">
        <v>0</v>
      </c>
      <c r="BE61" s="31">
        <v>0</v>
      </c>
      <c r="BF61" s="31">
        <v>0</v>
      </c>
      <c r="BG61" s="31">
        <v>0</v>
      </c>
      <c r="BH61" s="31">
        <v>0</v>
      </c>
      <c r="BI61" s="31">
        <v>0</v>
      </c>
      <c r="BJ61" s="31">
        <v>0</v>
      </c>
      <c r="BK61" s="31">
        <v>0</v>
      </c>
      <c r="BL61" s="31">
        <v>0</v>
      </c>
      <c r="BM61" s="31">
        <v>0</v>
      </c>
      <c r="BN61" s="31">
        <v>0</v>
      </c>
      <c r="BO61" s="31">
        <v>0</v>
      </c>
      <c r="BP61" s="31">
        <v>0</v>
      </c>
      <c r="BQ61" s="31">
        <v>0</v>
      </c>
      <c r="BR61" s="31">
        <v>0</v>
      </c>
      <c r="BS61" s="31">
        <v>0</v>
      </c>
      <c r="BT61" s="31">
        <v>0</v>
      </c>
      <c r="BU61" s="31">
        <v>0</v>
      </c>
      <c r="BV61" s="31">
        <v>0</v>
      </c>
      <c r="BW61" s="31">
        <v>0</v>
      </c>
      <c r="BX61" s="31">
        <v>0</v>
      </c>
      <c r="BY61" s="31">
        <v>0</v>
      </c>
      <c r="BZ61" s="31">
        <v>0</v>
      </c>
      <c r="CA61" s="31">
        <v>0</v>
      </c>
      <c r="CB61" s="31">
        <v>0</v>
      </c>
      <c r="CC61" s="31">
        <v>0</v>
      </c>
      <c r="CD61" s="31">
        <v>0</v>
      </c>
      <c r="CE61" s="31">
        <v>0</v>
      </c>
      <c r="CF61" s="31">
        <v>0</v>
      </c>
      <c r="CG61" s="31">
        <v>0</v>
      </c>
      <c r="CH61" s="31">
        <v>0</v>
      </c>
      <c r="CI61" s="31">
        <v>0</v>
      </c>
      <c r="CJ61" s="31">
        <v>0</v>
      </c>
      <c r="CK61" s="31">
        <v>0</v>
      </c>
      <c r="CL61" s="35">
        <v>0</v>
      </c>
    </row>
    <row r="62" spans="1:90" ht="21" x14ac:dyDescent="0.15">
      <c r="A62" s="27" t="s">
        <v>47</v>
      </c>
      <c r="B62" s="28" t="s">
        <v>48</v>
      </c>
      <c r="C62" s="28">
        <v>0</v>
      </c>
      <c r="D62" s="28">
        <v>0</v>
      </c>
      <c r="E62" s="28">
        <v>0</v>
      </c>
      <c r="F62" s="28">
        <v>0</v>
      </c>
      <c r="G62" s="28">
        <v>1</v>
      </c>
      <c r="H62" s="28">
        <f>IFERROR(VLOOKUP(A62,[1]FALTANTES!$A:$AB,28,FALSE),"-")</f>
        <v>0</v>
      </c>
      <c r="I62" s="42">
        <f>IFERROR(VLOOKUP(A62,[1]FALTANTES!$A:$AC,29,FALSE),"-")</f>
        <v>0</v>
      </c>
      <c r="J62" s="29">
        <f>IFERROR(VLOOKUP(A62,[1]FALTANTES!$A:$AD,30,FALSE),"-")</f>
        <v>-1</v>
      </c>
      <c r="K62" s="30">
        <v>0</v>
      </c>
      <c r="L62" s="30">
        <f t="shared" si="0"/>
        <v>65</v>
      </c>
      <c r="M62" s="31">
        <f>SUMIFS(METALFISA!$E:$E,METALFISA!$A:$A,'Faltantes Fevereiro- Metalfisa'!M$3,METALFISA!$B:$B,'Faltantes Fevereiro- Metalfisa'!$A62)</f>
        <v>0</v>
      </c>
      <c r="N62" s="31">
        <f>SUMIFS(METALFISA!$E:$E,METALFISA!$A:$A,'Faltantes Fevereiro- Metalfisa'!N$3,METALFISA!$B:$B,'Faltantes Fevereiro- Metalfisa'!$A62)</f>
        <v>0</v>
      </c>
      <c r="O62" s="31">
        <f>SUMIFS(METALFISA!$E:$E,METALFISA!$A:$A,'Faltantes Fevereiro- Metalfisa'!O$3,METALFISA!$B:$B,'Faltantes Fevereiro- Metalfisa'!$A62)</f>
        <v>0</v>
      </c>
      <c r="P62" s="31">
        <f>SUMIFS(METALFISA!$E:$E,METALFISA!$A:$A,'Faltantes Fevereiro- Metalfisa'!P$3,METALFISA!$B:$B,'Faltantes Fevereiro- Metalfisa'!$A62)</f>
        <v>0</v>
      </c>
      <c r="Q62" s="31">
        <f>SUMIFS(METALFISA!$E:$E,METALFISA!$A:$A,'Faltantes Fevereiro- Metalfisa'!Q$3,METALFISA!$B:$B,'Faltantes Fevereiro- Metalfisa'!$A62)</f>
        <v>0</v>
      </c>
      <c r="R62" s="31">
        <f>SUMIFS(METALFISA!$E:$E,METALFISA!$A:$A,'Faltantes Fevereiro- Metalfisa'!R$3,METALFISA!$B:$B,'Faltantes Fevereiro- Metalfisa'!$A62)</f>
        <v>0</v>
      </c>
      <c r="S62" s="31">
        <f>SUMIFS(METALFISA!$E:$E,METALFISA!$A:$A,'Faltantes Fevereiro- Metalfisa'!S$3,METALFISA!$B:$B,'Faltantes Fevereiro- Metalfisa'!$A62)</f>
        <v>0</v>
      </c>
      <c r="T62" s="31">
        <f>SUMIFS(METALFISA!$E:$E,METALFISA!$A:$A,'Faltantes Fevereiro- Metalfisa'!T$3,METALFISA!$B:$B,'Faltantes Fevereiro- Metalfisa'!$A62)</f>
        <v>0</v>
      </c>
      <c r="U62" s="31">
        <f>SUMIFS(METALFISA!$E:$E,METALFISA!$A:$A,'Faltantes Fevereiro- Metalfisa'!U$3,METALFISA!$B:$B,'Faltantes Fevereiro- Metalfisa'!$A62)</f>
        <v>0</v>
      </c>
      <c r="V62" s="31">
        <f>SUMIFS(METALFISA!$E:$E,METALFISA!$A:$A,'Faltantes Fevereiro- Metalfisa'!V$3,METALFISA!$B:$B,'Faltantes Fevereiro- Metalfisa'!$A62)</f>
        <v>0</v>
      </c>
      <c r="W62" s="31">
        <f>SUMIFS(METALFISA!$E:$E,METALFISA!$A:$A,'Faltantes Fevereiro- Metalfisa'!W$3,METALFISA!$B:$B,'Faltantes Fevereiro- Metalfisa'!$A62)</f>
        <v>0</v>
      </c>
      <c r="X62" s="31">
        <f>SUMIFS(METALFISA!$E:$E,METALFISA!$A:$A,'Faltantes Fevereiro- Metalfisa'!X$3,METALFISA!$B:$B,'Faltantes Fevereiro- Metalfisa'!$A62)</f>
        <v>0</v>
      </c>
      <c r="Y62" s="31">
        <f>SUMIFS(METALFISA!$E:$E,METALFISA!$A:$A,'Faltantes Fevereiro- Metalfisa'!Y$3,METALFISA!$B:$B,'Faltantes Fevereiro- Metalfisa'!$A62)</f>
        <v>0</v>
      </c>
      <c r="Z62" s="31">
        <f>SUMIFS(METALFISA!$E:$E,METALFISA!$A:$A,'Faltantes Fevereiro- Metalfisa'!Z$3,METALFISA!$B:$B,'Faltantes Fevereiro- Metalfisa'!$A62)</f>
        <v>0</v>
      </c>
      <c r="AA62" s="31">
        <f>SUMIFS(METALFISA!$E:$E,METALFISA!$A:$A,'Faltantes Fevereiro- Metalfisa'!AA$3,METALFISA!$B:$B,'Faltantes Fevereiro- Metalfisa'!$A62)</f>
        <v>5</v>
      </c>
      <c r="AB62" s="31">
        <f>SUMIFS(METALFISA!$E:$E,METALFISA!$A:$A,'Faltantes Fevereiro- Metalfisa'!AB$3,METALFISA!$B:$B,'Faltantes Fevereiro- Metalfisa'!$A62)</f>
        <v>0</v>
      </c>
      <c r="AC62" s="31">
        <f>SUMIFS(METALFISA!$E:$E,METALFISA!$A:$A,'Faltantes Fevereiro- Metalfisa'!AC$3,METALFISA!$B:$B,'Faltantes Fevereiro- Metalfisa'!$A62)</f>
        <v>0</v>
      </c>
      <c r="AD62" s="31">
        <f>SUMIFS(METALFISA!$E:$E,METALFISA!$A:$A,'Faltantes Fevereiro- Metalfisa'!AD$3,METALFISA!$B:$B,'Faltantes Fevereiro- Metalfisa'!$A62)</f>
        <v>0</v>
      </c>
      <c r="AE62" s="31">
        <f>SUMIFS(METALFISA!$E:$E,METALFISA!$A:$A,'Faltantes Fevereiro- Metalfisa'!AE$3,METALFISA!$B:$B,'Faltantes Fevereiro- Metalfisa'!$A62)</f>
        <v>0</v>
      </c>
      <c r="AF62" s="31">
        <f>SUMIFS(METALFISA!$E:$E,METALFISA!$A:$A,'Faltantes Fevereiro- Metalfisa'!AF$3,METALFISA!$B:$B,'Faltantes Fevereiro- Metalfisa'!$A62)</f>
        <v>0</v>
      </c>
      <c r="AG62" s="31">
        <f>SUMIFS(METALFISA!$E:$E,METALFISA!$A:$A,'Faltantes Fevereiro- Metalfisa'!AG$3,METALFISA!$B:$B,'Faltantes Fevereiro- Metalfisa'!$A62)</f>
        <v>0</v>
      </c>
      <c r="AH62" s="31">
        <f>SUMIFS(METALFISA!$E:$E,METALFISA!$A:$A,'Faltantes Fevereiro- Metalfisa'!AH$3,METALFISA!$B:$B,'Faltantes Fevereiro- Metalfisa'!$A62)</f>
        <v>0</v>
      </c>
      <c r="AI62" s="31">
        <f>SUMIFS(METALFISA!$E:$E,METALFISA!$A:$A,'Faltantes Fevereiro- Metalfisa'!AI$3,METALFISA!$B:$B,'Faltantes Fevereiro- Metalfisa'!$A62)</f>
        <v>0</v>
      </c>
      <c r="AJ62" s="31">
        <f>SUMIFS(METALFISA!$E:$E,METALFISA!$A:$A,'Faltantes Fevereiro- Metalfisa'!AJ$3,METALFISA!$B:$B,'Faltantes Fevereiro- Metalfisa'!$A62)</f>
        <v>0</v>
      </c>
      <c r="AK62" s="31">
        <f>SUMIFS(METALFISA!$E:$E,METALFISA!$A:$A,'Faltantes Fevereiro- Metalfisa'!AK$3,METALFISA!$B:$B,'Faltantes Fevereiro- Metalfisa'!$A62)</f>
        <v>55</v>
      </c>
      <c r="AL62" s="31">
        <f>SUMIFS(METALFISA!$E:$E,METALFISA!$A:$A,'Faltantes Fevereiro- Metalfisa'!AL$3,METALFISA!$B:$B,'Faltantes Fevereiro- Metalfisa'!$A62)</f>
        <v>0</v>
      </c>
      <c r="AM62" s="31">
        <f>SUMIFS(METALFISA!$E:$E,METALFISA!$A:$A,'Faltantes Fevereiro- Metalfisa'!AM$3,METALFISA!$B:$B,'Faltantes Fevereiro- Metalfisa'!$A62)</f>
        <v>5</v>
      </c>
      <c r="AN62" s="31">
        <f>SUMIFS(METALFISA!$E:$E,METALFISA!$A:$A,'Faltantes Fevereiro- Metalfisa'!AN$3,METALFISA!$B:$B,'Faltantes Fevereiro- Metalfisa'!$A62)</f>
        <v>0</v>
      </c>
      <c r="AO62" s="31">
        <f>SUMIFS(METALFISA!$E:$E,METALFISA!$A:$A,'Faltantes Fevereiro- Metalfisa'!AO$3,METALFISA!$B:$B,'Faltantes Fevereiro- Metalfisa'!$A62)</f>
        <v>0</v>
      </c>
      <c r="AP62" s="31">
        <f>SUMIFS(METALFISA!$E:$E,METALFISA!$A:$A,'Faltantes Fevereiro- Metalfisa'!AP$3,METALFISA!$B:$B,'Faltantes Fevereiro- Metalfisa'!$A62)</f>
        <v>0</v>
      </c>
      <c r="AQ62" s="31"/>
      <c r="AR62" s="31">
        <f>SUMIFS(METALFISA!$E:$E,METALFISA!$A:$A,'Faltantes Fevereiro- Metalfisa'!AR$3,METALFISA!$B:$B,'Faltantes Fevereiro- Metalfisa'!$A62)</f>
        <v>0</v>
      </c>
      <c r="AS62" s="35">
        <f>SUMIFS(METALFISA!$E:$E,METALFISA!$A:$A,'Faltantes Fevereiro- Metalfisa'!AS$3,METALFISA!$B:$B,'Faltantes Fevereiro- Metalfisa'!$A62)</f>
        <v>0</v>
      </c>
      <c r="AU62" s="18">
        <v>0</v>
      </c>
      <c r="AV62" s="18">
        <v>0</v>
      </c>
      <c r="AW62" s="18">
        <v>0</v>
      </c>
      <c r="AX62" s="18">
        <v>0</v>
      </c>
      <c r="AY62" s="41">
        <v>0</v>
      </c>
      <c r="AZ62" s="31">
        <v>0</v>
      </c>
      <c r="BA62" s="31">
        <v>0</v>
      </c>
      <c r="BB62" s="31">
        <v>0</v>
      </c>
      <c r="BC62" s="31">
        <v>0</v>
      </c>
      <c r="BD62" s="31">
        <v>0</v>
      </c>
      <c r="BE62" s="31">
        <v>0</v>
      </c>
      <c r="BF62" s="31">
        <v>0</v>
      </c>
      <c r="BG62" s="31">
        <v>0</v>
      </c>
      <c r="BH62" s="31">
        <v>0</v>
      </c>
      <c r="BI62" s="31">
        <v>0</v>
      </c>
      <c r="BJ62" s="31">
        <v>0</v>
      </c>
      <c r="BK62" s="31">
        <v>0</v>
      </c>
      <c r="BL62" s="31">
        <v>0</v>
      </c>
      <c r="BM62" s="31">
        <v>0</v>
      </c>
      <c r="BN62" s="31">
        <v>0</v>
      </c>
      <c r="BO62" s="31">
        <v>0</v>
      </c>
      <c r="BP62" s="31">
        <v>0</v>
      </c>
      <c r="BQ62" s="31">
        <v>0</v>
      </c>
      <c r="BR62" s="31">
        <v>0</v>
      </c>
      <c r="BS62" s="31">
        <v>0</v>
      </c>
      <c r="BT62" s="31">
        <v>0</v>
      </c>
      <c r="BU62" s="31">
        <v>0</v>
      </c>
      <c r="BV62" s="31">
        <v>0</v>
      </c>
      <c r="BW62" s="31">
        <v>0</v>
      </c>
      <c r="BX62" s="31">
        <v>0</v>
      </c>
      <c r="BY62" s="31">
        <v>0</v>
      </c>
      <c r="BZ62" s="31">
        <v>0</v>
      </c>
      <c r="CA62" s="31">
        <v>0</v>
      </c>
      <c r="CB62" s="31">
        <v>0</v>
      </c>
      <c r="CC62" s="31">
        <v>0</v>
      </c>
      <c r="CD62" s="31">
        <v>0</v>
      </c>
      <c r="CE62" s="31">
        <v>4</v>
      </c>
      <c r="CF62" s="31">
        <v>0</v>
      </c>
      <c r="CG62" s="31">
        <v>0</v>
      </c>
      <c r="CH62" s="31">
        <v>0</v>
      </c>
      <c r="CI62" s="31">
        <v>0</v>
      </c>
      <c r="CJ62" s="31">
        <v>0</v>
      </c>
      <c r="CK62" s="31">
        <v>0</v>
      </c>
      <c r="CL62" s="35">
        <v>0</v>
      </c>
    </row>
    <row r="63" spans="1:90" ht="21" x14ac:dyDescent="0.15">
      <c r="A63" s="27" t="s">
        <v>49</v>
      </c>
      <c r="B63" s="28" t="s">
        <v>5565</v>
      </c>
      <c r="C63" s="28">
        <v>0</v>
      </c>
      <c r="D63" s="28">
        <v>0</v>
      </c>
      <c r="E63" s="28">
        <v>0</v>
      </c>
      <c r="F63" s="28">
        <v>0</v>
      </c>
      <c r="G63" s="28">
        <v>25</v>
      </c>
      <c r="H63" s="28">
        <f>IFERROR(VLOOKUP(A63,[1]FALTANTES!$A:$AB,28,FALSE),"-")</f>
        <v>0</v>
      </c>
      <c r="I63" s="42">
        <f>IFERROR(VLOOKUP(A63,[1]FALTANTES!$A:$AC,29,FALSE),"-")</f>
        <v>0</v>
      </c>
      <c r="J63" s="29">
        <f>IFERROR(VLOOKUP(A63,[1]FALTANTES!$A:$AD,30,FALSE),"-")</f>
        <v>-25</v>
      </c>
      <c r="K63" s="30">
        <v>0</v>
      </c>
      <c r="L63" s="30">
        <f t="shared" ref="L63:L119" si="1">SUM(M63:AS63)</f>
        <v>288</v>
      </c>
      <c r="M63" s="31">
        <f>SUMIFS(METALFISA!$E:$E,METALFISA!$A:$A,'Faltantes Fevereiro- Metalfisa'!M$3,METALFISA!$B:$B,'Faltantes Fevereiro- Metalfisa'!$A63)</f>
        <v>0</v>
      </c>
      <c r="N63" s="31">
        <f>SUMIFS(METALFISA!$E:$E,METALFISA!$A:$A,'Faltantes Fevereiro- Metalfisa'!N$3,METALFISA!$B:$B,'Faltantes Fevereiro- Metalfisa'!$A63)</f>
        <v>0</v>
      </c>
      <c r="O63" s="31">
        <f>SUMIFS(METALFISA!$E:$E,METALFISA!$A:$A,'Faltantes Fevereiro- Metalfisa'!O$3,METALFISA!$B:$B,'Faltantes Fevereiro- Metalfisa'!$A63)</f>
        <v>0</v>
      </c>
      <c r="P63" s="31">
        <f>SUMIFS(METALFISA!$E:$E,METALFISA!$A:$A,'Faltantes Fevereiro- Metalfisa'!P$3,METALFISA!$B:$B,'Faltantes Fevereiro- Metalfisa'!$A63)</f>
        <v>0</v>
      </c>
      <c r="Q63" s="31">
        <f>SUMIFS(METALFISA!$E:$E,METALFISA!$A:$A,'Faltantes Fevereiro- Metalfisa'!Q$3,METALFISA!$B:$B,'Faltantes Fevereiro- Metalfisa'!$A63)</f>
        <v>0</v>
      </c>
      <c r="R63" s="31">
        <f>SUMIFS(METALFISA!$E:$E,METALFISA!$A:$A,'Faltantes Fevereiro- Metalfisa'!R$3,METALFISA!$B:$B,'Faltantes Fevereiro- Metalfisa'!$A63)</f>
        <v>0</v>
      </c>
      <c r="S63" s="31">
        <f>SUMIFS(METALFISA!$E:$E,METALFISA!$A:$A,'Faltantes Fevereiro- Metalfisa'!S$3,METALFISA!$B:$B,'Faltantes Fevereiro- Metalfisa'!$A63)</f>
        <v>0</v>
      </c>
      <c r="T63" s="31">
        <f>SUMIFS(METALFISA!$E:$E,METALFISA!$A:$A,'Faltantes Fevereiro- Metalfisa'!T$3,METALFISA!$B:$B,'Faltantes Fevereiro- Metalfisa'!$A63)</f>
        <v>0</v>
      </c>
      <c r="U63" s="31">
        <f>SUMIFS(METALFISA!$E:$E,METALFISA!$A:$A,'Faltantes Fevereiro- Metalfisa'!U$3,METALFISA!$B:$B,'Faltantes Fevereiro- Metalfisa'!$A63)</f>
        <v>0</v>
      </c>
      <c r="V63" s="31">
        <f>SUMIFS(METALFISA!$E:$E,METALFISA!$A:$A,'Faltantes Fevereiro- Metalfisa'!V$3,METALFISA!$B:$B,'Faltantes Fevereiro- Metalfisa'!$A63)</f>
        <v>0</v>
      </c>
      <c r="W63" s="31">
        <f>SUMIFS(METALFISA!$E:$E,METALFISA!$A:$A,'Faltantes Fevereiro- Metalfisa'!W$3,METALFISA!$B:$B,'Faltantes Fevereiro- Metalfisa'!$A63)</f>
        <v>0</v>
      </c>
      <c r="X63" s="31">
        <f>SUMIFS(METALFISA!$E:$E,METALFISA!$A:$A,'Faltantes Fevereiro- Metalfisa'!X$3,METALFISA!$B:$B,'Faltantes Fevereiro- Metalfisa'!$A63)</f>
        <v>0</v>
      </c>
      <c r="Y63" s="31">
        <f>SUMIFS(METALFISA!$E:$E,METALFISA!$A:$A,'Faltantes Fevereiro- Metalfisa'!Y$3,METALFISA!$B:$B,'Faltantes Fevereiro- Metalfisa'!$A63)</f>
        <v>0</v>
      </c>
      <c r="Z63" s="31">
        <f>SUMIFS(METALFISA!$E:$E,METALFISA!$A:$A,'Faltantes Fevereiro- Metalfisa'!Z$3,METALFISA!$B:$B,'Faltantes Fevereiro- Metalfisa'!$A63)</f>
        <v>0</v>
      </c>
      <c r="AA63" s="31">
        <f>SUMIFS(METALFISA!$E:$E,METALFISA!$A:$A,'Faltantes Fevereiro- Metalfisa'!AA$3,METALFISA!$B:$B,'Faltantes Fevereiro- Metalfisa'!$A63)</f>
        <v>0</v>
      </c>
      <c r="AB63" s="31">
        <f>SUMIFS(METALFISA!$E:$E,METALFISA!$A:$A,'Faltantes Fevereiro- Metalfisa'!AB$3,METALFISA!$B:$B,'Faltantes Fevereiro- Metalfisa'!$A63)</f>
        <v>0</v>
      </c>
      <c r="AC63" s="31">
        <f>SUMIFS(METALFISA!$E:$E,METALFISA!$A:$A,'Faltantes Fevereiro- Metalfisa'!AC$3,METALFISA!$B:$B,'Faltantes Fevereiro- Metalfisa'!$A63)</f>
        <v>0</v>
      </c>
      <c r="AD63" s="31">
        <f>SUMIFS(METALFISA!$E:$E,METALFISA!$A:$A,'Faltantes Fevereiro- Metalfisa'!AD$3,METALFISA!$B:$B,'Faltantes Fevereiro- Metalfisa'!$A63)</f>
        <v>0</v>
      </c>
      <c r="AE63" s="31">
        <f>SUMIFS(METALFISA!$E:$E,METALFISA!$A:$A,'Faltantes Fevereiro- Metalfisa'!AE$3,METALFISA!$B:$B,'Faltantes Fevereiro- Metalfisa'!$A63)</f>
        <v>0</v>
      </c>
      <c r="AF63" s="31">
        <f>SUMIFS(METALFISA!$E:$E,METALFISA!$A:$A,'Faltantes Fevereiro- Metalfisa'!AF$3,METALFISA!$B:$B,'Faltantes Fevereiro- Metalfisa'!$A63)</f>
        <v>0</v>
      </c>
      <c r="AG63" s="31">
        <f>SUMIFS(METALFISA!$E:$E,METALFISA!$A:$A,'Faltantes Fevereiro- Metalfisa'!AG$3,METALFISA!$B:$B,'Faltantes Fevereiro- Metalfisa'!$A63)</f>
        <v>0</v>
      </c>
      <c r="AH63" s="31">
        <f>SUMIFS(METALFISA!$E:$E,METALFISA!$A:$A,'Faltantes Fevereiro- Metalfisa'!AH$3,METALFISA!$B:$B,'Faltantes Fevereiro- Metalfisa'!$A63)</f>
        <v>0</v>
      </c>
      <c r="AI63" s="31">
        <f>SUMIFS(METALFISA!$E:$E,METALFISA!$A:$A,'Faltantes Fevereiro- Metalfisa'!AI$3,METALFISA!$B:$B,'Faltantes Fevereiro- Metalfisa'!$A63)</f>
        <v>0</v>
      </c>
      <c r="AJ63" s="31">
        <f>SUMIFS(METALFISA!$E:$E,METALFISA!$A:$A,'Faltantes Fevereiro- Metalfisa'!AJ$3,METALFISA!$B:$B,'Faltantes Fevereiro- Metalfisa'!$A63)</f>
        <v>0</v>
      </c>
      <c r="AK63" s="31">
        <f>SUMIFS(METALFISA!$E:$E,METALFISA!$A:$A,'Faltantes Fevereiro- Metalfisa'!AK$3,METALFISA!$B:$B,'Faltantes Fevereiro- Metalfisa'!$A63)</f>
        <v>288</v>
      </c>
      <c r="AL63" s="31">
        <f>SUMIFS(METALFISA!$E:$E,METALFISA!$A:$A,'Faltantes Fevereiro- Metalfisa'!AL$3,METALFISA!$B:$B,'Faltantes Fevereiro- Metalfisa'!$A63)</f>
        <v>0</v>
      </c>
      <c r="AM63" s="31">
        <f>SUMIFS(METALFISA!$E:$E,METALFISA!$A:$A,'Faltantes Fevereiro- Metalfisa'!AM$3,METALFISA!$B:$B,'Faltantes Fevereiro- Metalfisa'!$A63)</f>
        <v>0</v>
      </c>
      <c r="AN63" s="31">
        <f>SUMIFS(METALFISA!$E:$E,METALFISA!$A:$A,'Faltantes Fevereiro- Metalfisa'!AN$3,METALFISA!$B:$B,'Faltantes Fevereiro- Metalfisa'!$A63)</f>
        <v>0</v>
      </c>
      <c r="AO63" s="31">
        <f>SUMIFS(METALFISA!$E:$E,METALFISA!$A:$A,'Faltantes Fevereiro- Metalfisa'!AO$3,METALFISA!$B:$B,'Faltantes Fevereiro- Metalfisa'!$A63)</f>
        <v>0</v>
      </c>
      <c r="AP63" s="31">
        <f>SUMIFS(METALFISA!$E:$E,METALFISA!$A:$A,'Faltantes Fevereiro- Metalfisa'!AP$3,METALFISA!$B:$B,'Faltantes Fevereiro- Metalfisa'!$A63)</f>
        <v>0</v>
      </c>
      <c r="AQ63" s="31"/>
      <c r="AR63" s="31">
        <f>SUMIFS(METALFISA!$E:$E,METALFISA!$A:$A,'Faltantes Fevereiro- Metalfisa'!AR$3,METALFISA!$B:$B,'Faltantes Fevereiro- Metalfisa'!$A63)</f>
        <v>0</v>
      </c>
      <c r="AS63" s="35">
        <f>SUMIFS(METALFISA!$E:$E,METALFISA!$A:$A,'Faltantes Fevereiro- Metalfisa'!AS$3,METALFISA!$B:$B,'Faltantes Fevereiro- Metalfisa'!$A63)</f>
        <v>0</v>
      </c>
      <c r="AU63" s="18">
        <v>0</v>
      </c>
      <c r="AV63" s="18">
        <v>0</v>
      </c>
      <c r="AW63" s="18">
        <v>0</v>
      </c>
      <c r="AX63" s="18">
        <v>0</v>
      </c>
      <c r="AY63" s="41">
        <v>0</v>
      </c>
      <c r="AZ63" s="31">
        <v>0</v>
      </c>
      <c r="BA63" s="31">
        <v>0</v>
      </c>
      <c r="BB63" s="31">
        <v>0</v>
      </c>
      <c r="BC63" s="31">
        <v>0</v>
      </c>
      <c r="BD63" s="31">
        <v>0</v>
      </c>
      <c r="BE63" s="31">
        <v>0</v>
      </c>
      <c r="BF63" s="31">
        <v>0</v>
      </c>
      <c r="BG63" s="31">
        <v>0</v>
      </c>
      <c r="BH63" s="31">
        <v>0</v>
      </c>
      <c r="BI63" s="31">
        <v>0</v>
      </c>
      <c r="BJ63" s="31">
        <v>0</v>
      </c>
      <c r="BK63" s="31">
        <v>0</v>
      </c>
      <c r="BL63" s="31">
        <v>0</v>
      </c>
      <c r="BM63" s="31">
        <v>0</v>
      </c>
      <c r="BN63" s="31">
        <v>0</v>
      </c>
      <c r="BO63" s="31">
        <v>0</v>
      </c>
      <c r="BP63" s="31">
        <v>0</v>
      </c>
      <c r="BQ63" s="31">
        <v>0</v>
      </c>
      <c r="BR63" s="31">
        <v>0</v>
      </c>
      <c r="BS63" s="31">
        <v>0</v>
      </c>
      <c r="BT63" s="31">
        <v>0</v>
      </c>
      <c r="BU63" s="31">
        <v>0</v>
      </c>
      <c r="BV63" s="31">
        <v>0</v>
      </c>
      <c r="BW63" s="31">
        <v>0</v>
      </c>
      <c r="BX63" s="31">
        <v>0</v>
      </c>
      <c r="BY63" s="31">
        <v>0</v>
      </c>
      <c r="BZ63" s="31">
        <v>0</v>
      </c>
      <c r="CA63" s="31">
        <v>0</v>
      </c>
      <c r="CB63" s="31">
        <v>0</v>
      </c>
      <c r="CC63" s="31">
        <v>0</v>
      </c>
      <c r="CD63" s="31">
        <v>0</v>
      </c>
      <c r="CE63" s="31">
        <v>18</v>
      </c>
      <c r="CF63" s="31">
        <v>0</v>
      </c>
      <c r="CG63" s="31">
        <v>0</v>
      </c>
      <c r="CH63" s="31">
        <v>0</v>
      </c>
      <c r="CI63" s="31">
        <v>0</v>
      </c>
      <c r="CJ63" s="31">
        <v>0</v>
      </c>
      <c r="CK63" s="31">
        <v>0</v>
      </c>
      <c r="CL63" s="35">
        <v>0</v>
      </c>
    </row>
    <row r="64" spans="1:90" ht="21" x14ac:dyDescent="0.15">
      <c r="A64" s="27" t="s">
        <v>51</v>
      </c>
      <c r="B64" s="28" t="s">
        <v>52</v>
      </c>
      <c r="C64" s="28">
        <v>0</v>
      </c>
      <c r="D64" s="28">
        <v>0</v>
      </c>
      <c r="E64" s="28">
        <v>0</v>
      </c>
      <c r="F64" s="28">
        <v>0</v>
      </c>
      <c r="G64" s="28">
        <v>16</v>
      </c>
      <c r="H64" s="28">
        <f>IFERROR(VLOOKUP(A64,[1]FALTANTES!$A:$AB,28,FALSE),"-")</f>
        <v>0</v>
      </c>
      <c r="I64" s="42">
        <f>IFERROR(VLOOKUP(A64,[1]FALTANTES!$A:$AC,29,FALSE),"-")</f>
        <v>0</v>
      </c>
      <c r="J64" s="29">
        <f>IFERROR(VLOOKUP(A64,[1]FALTANTES!$A:$AD,30,FALSE),"-")</f>
        <v>-16</v>
      </c>
      <c r="K64" s="30">
        <v>0</v>
      </c>
      <c r="L64" s="30">
        <f t="shared" si="1"/>
        <v>177</v>
      </c>
      <c r="M64" s="31">
        <f>SUMIFS(METALFISA!$E:$E,METALFISA!$A:$A,'Faltantes Fevereiro- Metalfisa'!M$3,METALFISA!$B:$B,'Faltantes Fevereiro- Metalfisa'!$A64)</f>
        <v>0</v>
      </c>
      <c r="N64" s="31">
        <f>SUMIFS(METALFISA!$E:$E,METALFISA!$A:$A,'Faltantes Fevereiro- Metalfisa'!N$3,METALFISA!$B:$B,'Faltantes Fevereiro- Metalfisa'!$A64)</f>
        <v>0</v>
      </c>
      <c r="O64" s="31">
        <f>SUMIFS(METALFISA!$E:$E,METALFISA!$A:$A,'Faltantes Fevereiro- Metalfisa'!O$3,METALFISA!$B:$B,'Faltantes Fevereiro- Metalfisa'!$A64)</f>
        <v>0</v>
      </c>
      <c r="P64" s="31">
        <f>SUMIFS(METALFISA!$E:$E,METALFISA!$A:$A,'Faltantes Fevereiro- Metalfisa'!P$3,METALFISA!$B:$B,'Faltantes Fevereiro- Metalfisa'!$A64)</f>
        <v>0</v>
      </c>
      <c r="Q64" s="31">
        <f>SUMIFS(METALFISA!$E:$E,METALFISA!$A:$A,'Faltantes Fevereiro- Metalfisa'!Q$3,METALFISA!$B:$B,'Faltantes Fevereiro- Metalfisa'!$A64)</f>
        <v>0</v>
      </c>
      <c r="R64" s="31">
        <f>SUMIFS(METALFISA!$E:$E,METALFISA!$A:$A,'Faltantes Fevereiro- Metalfisa'!R$3,METALFISA!$B:$B,'Faltantes Fevereiro- Metalfisa'!$A64)</f>
        <v>0</v>
      </c>
      <c r="S64" s="31">
        <f>SUMIFS(METALFISA!$E:$E,METALFISA!$A:$A,'Faltantes Fevereiro- Metalfisa'!S$3,METALFISA!$B:$B,'Faltantes Fevereiro- Metalfisa'!$A64)</f>
        <v>13</v>
      </c>
      <c r="T64" s="31">
        <f>SUMIFS(METALFISA!$E:$E,METALFISA!$A:$A,'Faltantes Fevereiro- Metalfisa'!T$3,METALFISA!$B:$B,'Faltantes Fevereiro- Metalfisa'!$A64)</f>
        <v>0</v>
      </c>
      <c r="U64" s="31">
        <f>SUMIFS(METALFISA!$E:$E,METALFISA!$A:$A,'Faltantes Fevereiro- Metalfisa'!U$3,METALFISA!$B:$B,'Faltantes Fevereiro- Metalfisa'!$A64)</f>
        <v>0</v>
      </c>
      <c r="V64" s="31">
        <f>SUMIFS(METALFISA!$E:$E,METALFISA!$A:$A,'Faltantes Fevereiro- Metalfisa'!V$3,METALFISA!$B:$B,'Faltantes Fevereiro- Metalfisa'!$A64)</f>
        <v>0</v>
      </c>
      <c r="W64" s="31">
        <f>SUMIFS(METALFISA!$E:$E,METALFISA!$A:$A,'Faltantes Fevereiro- Metalfisa'!W$3,METALFISA!$B:$B,'Faltantes Fevereiro- Metalfisa'!$A64)</f>
        <v>0</v>
      </c>
      <c r="X64" s="31">
        <f>SUMIFS(METALFISA!$E:$E,METALFISA!$A:$A,'Faltantes Fevereiro- Metalfisa'!X$3,METALFISA!$B:$B,'Faltantes Fevereiro- Metalfisa'!$A64)</f>
        <v>0</v>
      </c>
      <c r="Y64" s="31">
        <f>SUMIFS(METALFISA!$E:$E,METALFISA!$A:$A,'Faltantes Fevereiro- Metalfisa'!Y$3,METALFISA!$B:$B,'Faltantes Fevereiro- Metalfisa'!$A64)</f>
        <v>0</v>
      </c>
      <c r="Z64" s="31">
        <f>SUMIFS(METALFISA!$E:$E,METALFISA!$A:$A,'Faltantes Fevereiro- Metalfisa'!Z$3,METALFISA!$B:$B,'Faltantes Fevereiro- Metalfisa'!$A64)</f>
        <v>0</v>
      </c>
      <c r="AA64" s="31">
        <f>SUMIFS(METALFISA!$E:$E,METALFISA!$A:$A,'Faltantes Fevereiro- Metalfisa'!AA$3,METALFISA!$B:$B,'Faltantes Fevereiro- Metalfisa'!$A64)</f>
        <v>0</v>
      </c>
      <c r="AB64" s="31">
        <f>SUMIFS(METALFISA!$E:$E,METALFISA!$A:$A,'Faltantes Fevereiro- Metalfisa'!AB$3,METALFISA!$B:$B,'Faltantes Fevereiro- Metalfisa'!$A64)</f>
        <v>0</v>
      </c>
      <c r="AC64" s="31">
        <f>SUMIFS(METALFISA!$E:$E,METALFISA!$A:$A,'Faltantes Fevereiro- Metalfisa'!AC$3,METALFISA!$B:$B,'Faltantes Fevereiro- Metalfisa'!$A64)</f>
        <v>0</v>
      </c>
      <c r="AD64" s="31">
        <f>SUMIFS(METALFISA!$E:$E,METALFISA!$A:$A,'Faltantes Fevereiro- Metalfisa'!AD$3,METALFISA!$B:$B,'Faltantes Fevereiro- Metalfisa'!$A64)</f>
        <v>5</v>
      </c>
      <c r="AE64" s="31">
        <f>SUMIFS(METALFISA!$E:$E,METALFISA!$A:$A,'Faltantes Fevereiro- Metalfisa'!AE$3,METALFISA!$B:$B,'Faltantes Fevereiro- Metalfisa'!$A64)</f>
        <v>0</v>
      </c>
      <c r="AF64" s="31">
        <f>SUMIFS(METALFISA!$E:$E,METALFISA!$A:$A,'Faltantes Fevereiro- Metalfisa'!AF$3,METALFISA!$B:$B,'Faltantes Fevereiro- Metalfisa'!$A64)</f>
        <v>0</v>
      </c>
      <c r="AG64" s="31">
        <f>SUMIFS(METALFISA!$E:$E,METALFISA!$A:$A,'Faltantes Fevereiro- Metalfisa'!AG$3,METALFISA!$B:$B,'Faltantes Fevereiro- Metalfisa'!$A64)</f>
        <v>0</v>
      </c>
      <c r="AH64" s="31">
        <f>SUMIFS(METALFISA!$E:$E,METALFISA!$A:$A,'Faltantes Fevereiro- Metalfisa'!AH$3,METALFISA!$B:$B,'Faltantes Fevereiro- Metalfisa'!$A64)</f>
        <v>0</v>
      </c>
      <c r="AI64" s="31">
        <f>SUMIFS(METALFISA!$E:$E,METALFISA!$A:$A,'Faltantes Fevereiro- Metalfisa'!AI$3,METALFISA!$B:$B,'Faltantes Fevereiro- Metalfisa'!$A64)</f>
        <v>0</v>
      </c>
      <c r="AJ64" s="31">
        <f>SUMIFS(METALFISA!$E:$E,METALFISA!$A:$A,'Faltantes Fevereiro- Metalfisa'!AJ$3,METALFISA!$B:$B,'Faltantes Fevereiro- Metalfisa'!$A64)</f>
        <v>0</v>
      </c>
      <c r="AK64" s="31">
        <f>SUMIFS(METALFISA!$E:$E,METALFISA!$A:$A,'Faltantes Fevereiro- Metalfisa'!AK$3,METALFISA!$B:$B,'Faltantes Fevereiro- Metalfisa'!$A64)</f>
        <v>159</v>
      </c>
      <c r="AL64" s="31">
        <f>SUMIFS(METALFISA!$E:$E,METALFISA!$A:$A,'Faltantes Fevereiro- Metalfisa'!AL$3,METALFISA!$B:$B,'Faltantes Fevereiro- Metalfisa'!$A64)</f>
        <v>0</v>
      </c>
      <c r="AM64" s="31">
        <f>SUMIFS(METALFISA!$E:$E,METALFISA!$A:$A,'Faltantes Fevereiro- Metalfisa'!AM$3,METALFISA!$B:$B,'Faltantes Fevereiro- Metalfisa'!$A64)</f>
        <v>0</v>
      </c>
      <c r="AN64" s="31">
        <f>SUMIFS(METALFISA!$E:$E,METALFISA!$A:$A,'Faltantes Fevereiro- Metalfisa'!AN$3,METALFISA!$B:$B,'Faltantes Fevereiro- Metalfisa'!$A64)</f>
        <v>0</v>
      </c>
      <c r="AO64" s="31">
        <f>SUMIFS(METALFISA!$E:$E,METALFISA!$A:$A,'Faltantes Fevereiro- Metalfisa'!AO$3,METALFISA!$B:$B,'Faltantes Fevereiro- Metalfisa'!$A64)</f>
        <v>0</v>
      </c>
      <c r="AP64" s="31">
        <f>SUMIFS(METALFISA!$E:$E,METALFISA!$A:$A,'Faltantes Fevereiro- Metalfisa'!AP$3,METALFISA!$B:$B,'Faltantes Fevereiro- Metalfisa'!$A64)</f>
        <v>0</v>
      </c>
      <c r="AQ64" s="31"/>
      <c r="AR64" s="31">
        <f>SUMIFS(METALFISA!$E:$E,METALFISA!$A:$A,'Faltantes Fevereiro- Metalfisa'!AR$3,METALFISA!$B:$B,'Faltantes Fevereiro- Metalfisa'!$A64)</f>
        <v>0</v>
      </c>
      <c r="AS64" s="35">
        <f>SUMIFS(METALFISA!$E:$E,METALFISA!$A:$A,'Faltantes Fevereiro- Metalfisa'!AS$3,METALFISA!$B:$B,'Faltantes Fevereiro- Metalfisa'!$A64)</f>
        <v>0</v>
      </c>
      <c r="AU64" s="18">
        <v>0</v>
      </c>
      <c r="AV64" s="18">
        <v>0</v>
      </c>
      <c r="AW64" s="18">
        <v>0</v>
      </c>
      <c r="AX64" s="18">
        <v>0</v>
      </c>
      <c r="AY64" s="41">
        <v>0</v>
      </c>
      <c r="AZ64" s="31">
        <v>0</v>
      </c>
      <c r="BA64" s="31">
        <v>0</v>
      </c>
      <c r="BB64" s="31">
        <v>0</v>
      </c>
      <c r="BC64" s="31">
        <v>0</v>
      </c>
      <c r="BD64" s="31">
        <v>0</v>
      </c>
      <c r="BE64" s="31">
        <v>0</v>
      </c>
      <c r="BF64" s="31">
        <v>0</v>
      </c>
      <c r="BG64" s="31">
        <v>0</v>
      </c>
      <c r="BH64" s="31">
        <v>0</v>
      </c>
      <c r="BI64" s="31">
        <v>0</v>
      </c>
      <c r="BJ64" s="31">
        <v>0</v>
      </c>
      <c r="BK64" s="31">
        <v>0</v>
      </c>
      <c r="BL64" s="31">
        <v>0</v>
      </c>
      <c r="BM64" s="31">
        <v>0</v>
      </c>
      <c r="BN64" s="31">
        <v>0</v>
      </c>
      <c r="BO64" s="31">
        <v>0</v>
      </c>
      <c r="BP64" s="31">
        <v>0</v>
      </c>
      <c r="BQ64" s="31">
        <v>0</v>
      </c>
      <c r="BR64" s="31">
        <v>0</v>
      </c>
      <c r="BS64" s="31">
        <v>0</v>
      </c>
      <c r="BT64" s="31">
        <v>0</v>
      </c>
      <c r="BU64" s="31">
        <v>0</v>
      </c>
      <c r="BV64" s="31">
        <v>0</v>
      </c>
      <c r="BW64" s="31">
        <v>0</v>
      </c>
      <c r="BX64" s="31">
        <v>0</v>
      </c>
      <c r="BY64" s="31">
        <v>0</v>
      </c>
      <c r="BZ64" s="31">
        <v>0</v>
      </c>
      <c r="CA64" s="31">
        <v>0</v>
      </c>
      <c r="CB64" s="31">
        <v>0</v>
      </c>
      <c r="CC64" s="31">
        <v>0</v>
      </c>
      <c r="CD64" s="31">
        <v>0</v>
      </c>
      <c r="CE64" s="31">
        <v>10</v>
      </c>
      <c r="CF64" s="31">
        <v>0</v>
      </c>
      <c r="CG64" s="31">
        <v>0</v>
      </c>
      <c r="CH64" s="31">
        <v>0</v>
      </c>
      <c r="CI64" s="31">
        <v>0</v>
      </c>
      <c r="CJ64" s="31">
        <v>0</v>
      </c>
      <c r="CK64" s="31">
        <v>0</v>
      </c>
      <c r="CL64" s="35">
        <v>0</v>
      </c>
    </row>
    <row r="65" spans="1:90" ht="21" x14ac:dyDescent="0.15">
      <c r="A65" s="27" t="s">
        <v>55</v>
      </c>
      <c r="B65" s="28" t="s">
        <v>56</v>
      </c>
      <c r="C65" s="28">
        <v>0</v>
      </c>
      <c r="D65" s="28">
        <v>0</v>
      </c>
      <c r="E65" s="28">
        <v>0</v>
      </c>
      <c r="F65" s="28">
        <v>0</v>
      </c>
      <c r="G65" s="28">
        <v>1</v>
      </c>
      <c r="H65" s="28">
        <f>IFERROR(VLOOKUP(A65,[1]FALTANTES!$A:$AB,28,FALSE),"-")</f>
        <v>0</v>
      </c>
      <c r="I65" s="42">
        <f>IFERROR(VLOOKUP(A65,[1]FALTANTES!$A:$AC,29,FALSE),"-")</f>
        <v>0</v>
      </c>
      <c r="J65" s="29">
        <f>IFERROR(VLOOKUP(A65,[1]FALTANTES!$A:$AD,30,FALSE),"-")</f>
        <v>-1</v>
      </c>
      <c r="K65" s="30">
        <v>0</v>
      </c>
      <c r="L65" s="30">
        <f t="shared" si="1"/>
        <v>33</v>
      </c>
      <c r="M65" s="31">
        <f>SUMIFS(METALFISA!$E:$E,METALFISA!$A:$A,'Faltantes Fevereiro- Metalfisa'!M$3,METALFISA!$B:$B,'Faltantes Fevereiro- Metalfisa'!$A65)</f>
        <v>0</v>
      </c>
      <c r="N65" s="31">
        <f>SUMIFS(METALFISA!$E:$E,METALFISA!$A:$A,'Faltantes Fevereiro- Metalfisa'!N$3,METALFISA!$B:$B,'Faltantes Fevereiro- Metalfisa'!$A65)</f>
        <v>0</v>
      </c>
      <c r="O65" s="31">
        <f>SUMIFS(METALFISA!$E:$E,METALFISA!$A:$A,'Faltantes Fevereiro- Metalfisa'!O$3,METALFISA!$B:$B,'Faltantes Fevereiro- Metalfisa'!$A65)</f>
        <v>0</v>
      </c>
      <c r="P65" s="31">
        <f>SUMIFS(METALFISA!$E:$E,METALFISA!$A:$A,'Faltantes Fevereiro- Metalfisa'!P$3,METALFISA!$B:$B,'Faltantes Fevereiro- Metalfisa'!$A65)</f>
        <v>0</v>
      </c>
      <c r="Q65" s="31">
        <f>SUMIFS(METALFISA!$E:$E,METALFISA!$A:$A,'Faltantes Fevereiro- Metalfisa'!Q$3,METALFISA!$B:$B,'Faltantes Fevereiro- Metalfisa'!$A65)</f>
        <v>0</v>
      </c>
      <c r="R65" s="31">
        <f>SUMIFS(METALFISA!$E:$E,METALFISA!$A:$A,'Faltantes Fevereiro- Metalfisa'!R$3,METALFISA!$B:$B,'Faltantes Fevereiro- Metalfisa'!$A65)</f>
        <v>0</v>
      </c>
      <c r="S65" s="31">
        <f>SUMIFS(METALFISA!$E:$E,METALFISA!$A:$A,'Faltantes Fevereiro- Metalfisa'!S$3,METALFISA!$B:$B,'Faltantes Fevereiro- Metalfisa'!$A65)</f>
        <v>1</v>
      </c>
      <c r="T65" s="31">
        <f>SUMIFS(METALFISA!$E:$E,METALFISA!$A:$A,'Faltantes Fevereiro- Metalfisa'!T$3,METALFISA!$B:$B,'Faltantes Fevereiro- Metalfisa'!$A65)</f>
        <v>0</v>
      </c>
      <c r="U65" s="31">
        <f>SUMIFS(METALFISA!$E:$E,METALFISA!$A:$A,'Faltantes Fevereiro- Metalfisa'!U$3,METALFISA!$B:$B,'Faltantes Fevereiro- Metalfisa'!$A65)</f>
        <v>0</v>
      </c>
      <c r="V65" s="31">
        <f>SUMIFS(METALFISA!$E:$E,METALFISA!$A:$A,'Faltantes Fevereiro- Metalfisa'!V$3,METALFISA!$B:$B,'Faltantes Fevereiro- Metalfisa'!$A65)</f>
        <v>0</v>
      </c>
      <c r="W65" s="31">
        <f>SUMIFS(METALFISA!$E:$E,METALFISA!$A:$A,'Faltantes Fevereiro- Metalfisa'!W$3,METALFISA!$B:$B,'Faltantes Fevereiro- Metalfisa'!$A65)</f>
        <v>0</v>
      </c>
      <c r="X65" s="31">
        <f>SUMIFS(METALFISA!$E:$E,METALFISA!$A:$A,'Faltantes Fevereiro- Metalfisa'!X$3,METALFISA!$B:$B,'Faltantes Fevereiro- Metalfisa'!$A65)</f>
        <v>0</v>
      </c>
      <c r="Y65" s="31">
        <f>SUMIFS(METALFISA!$E:$E,METALFISA!$A:$A,'Faltantes Fevereiro- Metalfisa'!Y$3,METALFISA!$B:$B,'Faltantes Fevereiro- Metalfisa'!$A65)</f>
        <v>0</v>
      </c>
      <c r="Z65" s="31">
        <f>SUMIFS(METALFISA!$E:$E,METALFISA!$A:$A,'Faltantes Fevereiro- Metalfisa'!Z$3,METALFISA!$B:$B,'Faltantes Fevereiro- Metalfisa'!$A65)</f>
        <v>0</v>
      </c>
      <c r="AA65" s="31">
        <f>SUMIFS(METALFISA!$E:$E,METALFISA!$A:$A,'Faltantes Fevereiro- Metalfisa'!AA$3,METALFISA!$B:$B,'Faltantes Fevereiro- Metalfisa'!$A65)</f>
        <v>0</v>
      </c>
      <c r="AB65" s="31">
        <f>SUMIFS(METALFISA!$E:$E,METALFISA!$A:$A,'Faltantes Fevereiro- Metalfisa'!AB$3,METALFISA!$B:$B,'Faltantes Fevereiro- Metalfisa'!$A65)</f>
        <v>0</v>
      </c>
      <c r="AC65" s="31">
        <f>SUMIFS(METALFISA!$E:$E,METALFISA!$A:$A,'Faltantes Fevereiro- Metalfisa'!AC$3,METALFISA!$B:$B,'Faltantes Fevereiro- Metalfisa'!$A65)</f>
        <v>0</v>
      </c>
      <c r="AD65" s="31">
        <f>SUMIFS(METALFISA!$E:$E,METALFISA!$A:$A,'Faltantes Fevereiro- Metalfisa'!AD$3,METALFISA!$B:$B,'Faltantes Fevereiro- Metalfisa'!$A65)</f>
        <v>0</v>
      </c>
      <c r="AE65" s="31">
        <f>SUMIFS(METALFISA!$E:$E,METALFISA!$A:$A,'Faltantes Fevereiro- Metalfisa'!AE$3,METALFISA!$B:$B,'Faltantes Fevereiro- Metalfisa'!$A65)</f>
        <v>0</v>
      </c>
      <c r="AF65" s="31">
        <f>SUMIFS(METALFISA!$E:$E,METALFISA!$A:$A,'Faltantes Fevereiro- Metalfisa'!AF$3,METALFISA!$B:$B,'Faltantes Fevereiro- Metalfisa'!$A65)</f>
        <v>0</v>
      </c>
      <c r="AG65" s="31">
        <f>SUMIFS(METALFISA!$E:$E,METALFISA!$A:$A,'Faltantes Fevereiro- Metalfisa'!AG$3,METALFISA!$B:$B,'Faltantes Fevereiro- Metalfisa'!$A65)</f>
        <v>0</v>
      </c>
      <c r="AH65" s="31">
        <f>SUMIFS(METALFISA!$E:$E,METALFISA!$A:$A,'Faltantes Fevereiro- Metalfisa'!AH$3,METALFISA!$B:$B,'Faltantes Fevereiro- Metalfisa'!$A65)</f>
        <v>0</v>
      </c>
      <c r="AI65" s="31">
        <f>SUMIFS(METALFISA!$E:$E,METALFISA!$A:$A,'Faltantes Fevereiro- Metalfisa'!AI$3,METALFISA!$B:$B,'Faltantes Fevereiro- Metalfisa'!$A65)</f>
        <v>0</v>
      </c>
      <c r="AJ65" s="31">
        <f>SUMIFS(METALFISA!$E:$E,METALFISA!$A:$A,'Faltantes Fevereiro- Metalfisa'!AJ$3,METALFISA!$B:$B,'Faltantes Fevereiro- Metalfisa'!$A65)</f>
        <v>0</v>
      </c>
      <c r="AK65" s="31">
        <f>SUMIFS(METALFISA!$E:$E,METALFISA!$A:$A,'Faltantes Fevereiro- Metalfisa'!AK$3,METALFISA!$B:$B,'Faltantes Fevereiro- Metalfisa'!$A65)</f>
        <v>32</v>
      </c>
      <c r="AL65" s="31">
        <f>SUMIFS(METALFISA!$E:$E,METALFISA!$A:$A,'Faltantes Fevereiro- Metalfisa'!AL$3,METALFISA!$B:$B,'Faltantes Fevereiro- Metalfisa'!$A65)</f>
        <v>0</v>
      </c>
      <c r="AM65" s="31">
        <f>SUMIFS(METALFISA!$E:$E,METALFISA!$A:$A,'Faltantes Fevereiro- Metalfisa'!AM$3,METALFISA!$B:$B,'Faltantes Fevereiro- Metalfisa'!$A65)</f>
        <v>0</v>
      </c>
      <c r="AN65" s="31">
        <f>SUMIFS(METALFISA!$E:$E,METALFISA!$A:$A,'Faltantes Fevereiro- Metalfisa'!AN$3,METALFISA!$B:$B,'Faltantes Fevereiro- Metalfisa'!$A65)</f>
        <v>0</v>
      </c>
      <c r="AO65" s="31">
        <f>SUMIFS(METALFISA!$E:$E,METALFISA!$A:$A,'Faltantes Fevereiro- Metalfisa'!AO$3,METALFISA!$B:$B,'Faltantes Fevereiro- Metalfisa'!$A65)</f>
        <v>0</v>
      </c>
      <c r="AP65" s="31">
        <f>SUMIFS(METALFISA!$E:$E,METALFISA!$A:$A,'Faltantes Fevereiro- Metalfisa'!AP$3,METALFISA!$B:$B,'Faltantes Fevereiro- Metalfisa'!$A65)</f>
        <v>0</v>
      </c>
      <c r="AQ65" s="31"/>
      <c r="AR65" s="31">
        <f>SUMIFS(METALFISA!$E:$E,METALFISA!$A:$A,'Faltantes Fevereiro- Metalfisa'!AR$3,METALFISA!$B:$B,'Faltantes Fevereiro- Metalfisa'!$A65)</f>
        <v>0</v>
      </c>
      <c r="AS65" s="35">
        <f>SUMIFS(METALFISA!$E:$E,METALFISA!$A:$A,'Faltantes Fevereiro- Metalfisa'!AS$3,METALFISA!$B:$B,'Faltantes Fevereiro- Metalfisa'!$A65)</f>
        <v>0</v>
      </c>
      <c r="AU65" s="18">
        <v>0</v>
      </c>
      <c r="AV65" s="18">
        <v>0</v>
      </c>
      <c r="AW65" s="18">
        <v>0</v>
      </c>
      <c r="AX65" s="18">
        <v>0</v>
      </c>
      <c r="AY65" s="41">
        <v>0</v>
      </c>
      <c r="AZ65" s="31">
        <v>0</v>
      </c>
      <c r="BA65" s="31">
        <v>0</v>
      </c>
      <c r="BB65" s="31">
        <v>0</v>
      </c>
      <c r="BC65" s="31">
        <v>0</v>
      </c>
      <c r="BD65" s="31">
        <v>0</v>
      </c>
      <c r="BE65" s="31">
        <v>0</v>
      </c>
      <c r="BF65" s="31">
        <v>0</v>
      </c>
      <c r="BG65" s="31">
        <v>0</v>
      </c>
      <c r="BH65" s="31">
        <v>0</v>
      </c>
      <c r="BI65" s="31">
        <v>0</v>
      </c>
      <c r="BJ65" s="31">
        <v>0</v>
      </c>
      <c r="BK65" s="31">
        <v>0</v>
      </c>
      <c r="BL65" s="31">
        <v>0</v>
      </c>
      <c r="BM65" s="31">
        <v>0</v>
      </c>
      <c r="BN65" s="31">
        <v>0</v>
      </c>
      <c r="BO65" s="31">
        <v>0</v>
      </c>
      <c r="BP65" s="31">
        <v>0</v>
      </c>
      <c r="BQ65" s="31">
        <v>0</v>
      </c>
      <c r="BR65" s="31">
        <v>0</v>
      </c>
      <c r="BS65" s="31">
        <v>0</v>
      </c>
      <c r="BT65" s="31">
        <v>0</v>
      </c>
      <c r="BU65" s="31">
        <v>0</v>
      </c>
      <c r="BV65" s="31">
        <v>0</v>
      </c>
      <c r="BW65" s="31">
        <v>0</v>
      </c>
      <c r="BX65" s="31">
        <v>0</v>
      </c>
      <c r="BY65" s="31">
        <v>0</v>
      </c>
      <c r="BZ65" s="31">
        <v>0</v>
      </c>
      <c r="CA65" s="31">
        <v>0</v>
      </c>
      <c r="CB65" s="31">
        <v>0</v>
      </c>
      <c r="CC65" s="31">
        <v>0</v>
      </c>
      <c r="CD65" s="31">
        <v>0</v>
      </c>
      <c r="CE65" s="31">
        <v>2</v>
      </c>
      <c r="CF65" s="31">
        <v>0</v>
      </c>
      <c r="CG65" s="31">
        <v>0</v>
      </c>
      <c r="CH65" s="31">
        <v>0</v>
      </c>
      <c r="CI65" s="31">
        <v>0</v>
      </c>
      <c r="CJ65" s="31">
        <v>0</v>
      </c>
      <c r="CK65" s="31">
        <v>0</v>
      </c>
      <c r="CL65" s="35">
        <v>0</v>
      </c>
    </row>
    <row r="66" spans="1:90" x14ac:dyDescent="0.15">
      <c r="A66" s="27" t="s">
        <v>57</v>
      </c>
      <c r="B66" s="28" t="s">
        <v>58</v>
      </c>
      <c r="C66" s="28">
        <v>12</v>
      </c>
      <c r="D66" s="28">
        <v>15</v>
      </c>
      <c r="E66" s="28">
        <v>25</v>
      </c>
      <c r="F66" s="28">
        <v>0</v>
      </c>
      <c r="G66" s="28">
        <v>15</v>
      </c>
      <c r="H66" s="28">
        <f>IFERROR(VLOOKUP(A66,[1]FALTANTES!$A:$AB,28,FALSE),"-")</f>
        <v>12</v>
      </c>
      <c r="I66" s="42">
        <f>IFERROR(VLOOKUP(A66,[1]FALTANTES!$A:$AC,29,FALSE),"-")</f>
        <v>0</v>
      </c>
      <c r="J66" s="29">
        <f>IFERROR(VLOOKUP(A66,[1]FALTANTES!$A:$AD,30,FALSE),"-")</f>
        <v>-67</v>
      </c>
      <c r="K66" s="30">
        <v>0</v>
      </c>
      <c r="L66" s="30">
        <f t="shared" si="1"/>
        <v>88</v>
      </c>
      <c r="M66" s="31">
        <f>SUMIFS(METALFISA!$E:$E,METALFISA!$A:$A,'Faltantes Fevereiro- Metalfisa'!M$3,METALFISA!$B:$B,'Faltantes Fevereiro- Metalfisa'!$A66)</f>
        <v>0</v>
      </c>
      <c r="N66" s="31">
        <f>SUMIFS(METALFISA!$E:$E,METALFISA!$A:$A,'Faltantes Fevereiro- Metalfisa'!N$3,METALFISA!$B:$B,'Faltantes Fevereiro- Metalfisa'!$A66)</f>
        <v>0</v>
      </c>
      <c r="O66" s="31">
        <f>SUMIFS(METALFISA!$E:$E,METALFISA!$A:$A,'Faltantes Fevereiro- Metalfisa'!O$3,METALFISA!$B:$B,'Faltantes Fevereiro- Metalfisa'!$A66)</f>
        <v>0</v>
      </c>
      <c r="P66" s="31">
        <f>SUMIFS(METALFISA!$E:$E,METALFISA!$A:$A,'Faltantes Fevereiro- Metalfisa'!P$3,METALFISA!$B:$B,'Faltantes Fevereiro- Metalfisa'!$A66)</f>
        <v>0</v>
      </c>
      <c r="Q66" s="31">
        <f>SUMIFS(METALFISA!$E:$E,METALFISA!$A:$A,'Faltantes Fevereiro- Metalfisa'!Q$3,METALFISA!$B:$B,'Faltantes Fevereiro- Metalfisa'!$A66)</f>
        <v>0</v>
      </c>
      <c r="R66" s="31">
        <f>SUMIFS(METALFISA!$E:$E,METALFISA!$A:$A,'Faltantes Fevereiro- Metalfisa'!R$3,METALFISA!$B:$B,'Faltantes Fevereiro- Metalfisa'!$A66)</f>
        <v>0</v>
      </c>
      <c r="S66" s="31">
        <f>SUMIFS(METALFISA!$E:$E,METALFISA!$A:$A,'Faltantes Fevereiro- Metalfisa'!S$3,METALFISA!$B:$B,'Faltantes Fevereiro- Metalfisa'!$A66)</f>
        <v>8</v>
      </c>
      <c r="T66" s="31">
        <f>SUMIFS(METALFISA!$E:$E,METALFISA!$A:$A,'Faltantes Fevereiro- Metalfisa'!T$3,METALFISA!$B:$B,'Faltantes Fevereiro- Metalfisa'!$A66)</f>
        <v>0</v>
      </c>
      <c r="U66" s="31">
        <f>SUMIFS(METALFISA!$E:$E,METALFISA!$A:$A,'Faltantes Fevereiro- Metalfisa'!U$3,METALFISA!$B:$B,'Faltantes Fevereiro- Metalfisa'!$A66)</f>
        <v>0</v>
      </c>
      <c r="V66" s="31">
        <f>SUMIFS(METALFISA!$E:$E,METALFISA!$A:$A,'Faltantes Fevereiro- Metalfisa'!V$3,METALFISA!$B:$B,'Faltantes Fevereiro- Metalfisa'!$A66)</f>
        <v>0</v>
      </c>
      <c r="W66" s="31">
        <f>SUMIFS(METALFISA!$E:$E,METALFISA!$A:$A,'Faltantes Fevereiro- Metalfisa'!W$3,METALFISA!$B:$B,'Faltantes Fevereiro- Metalfisa'!$A66)</f>
        <v>0</v>
      </c>
      <c r="X66" s="31">
        <f>SUMIFS(METALFISA!$E:$E,METALFISA!$A:$A,'Faltantes Fevereiro- Metalfisa'!X$3,METALFISA!$B:$B,'Faltantes Fevereiro- Metalfisa'!$A66)</f>
        <v>0</v>
      </c>
      <c r="Y66" s="31">
        <f>SUMIFS(METALFISA!$E:$E,METALFISA!$A:$A,'Faltantes Fevereiro- Metalfisa'!Y$3,METALFISA!$B:$B,'Faltantes Fevereiro- Metalfisa'!$A66)</f>
        <v>0</v>
      </c>
      <c r="Z66" s="31">
        <f>SUMIFS(METALFISA!$E:$E,METALFISA!$A:$A,'Faltantes Fevereiro- Metalfisa'!Z$3,METALFISA!$B:$B,'Faltantes Fevereiro- Metalfisa'!$A66)</f>
        <v>0</v>
      </c>
      <c r="AA66" s="31">
        <f>SUMIFS(METALFISA!$E:$E,METALFISA!$A:$A,'Faltantes Fevereiro- Metalfisa'!AA$3,METALFISA!$B:$B,'Faltantes Fevereiro- Metalfisa'!$A66)</f>
        <v>0</v>
      </c>
      <c r="AB66" s="31">
        <f>SUMIFS(METALFISA!$E:$E,METALFISA!$A:$A,'Faltantes Fevereiro- Metalfisa'!AB$3,METALFISA!$B:$B,'Faltantes Fevereiro- Metalfisa'!$A66)</f>
        <v>0</v>
      </c>
      <c r="AC66" s="31">
        <f>SUMIFS(METALFISA!$E:$E,METALFISA!$A:$A,'Faltantes Fevereiro- Metalfisa'!AC$3,METALFISA!$B:$B,'Faltantes Fevereiro- Metalfisa'!$A66)</f>
        <v>0</v>
      </c>
      <c r="AD66" s="31">
        <f>SUMIFS(METALFISA!$E:$E,METALFISA!$A:$A,'Faltantes Fevereiro- Metalfisa'!AD$3,METALFISA!$B:$B,'Faltantes Fevereiro- Metalfisa'!$A66)</f>
        <v>0</v>
      </c>
      <c r="AE66" s="31">
        <f>SUMIFS(METALFISA!$E:$E,METALFISA!$A:$A,'Faltantes Fevereiro- Metalfisa'!AE$3,METALFISA!$B:$B,'Faltantes Fevereiro- Metalfisa'!$A66)</f>
        <v>0</v>
      </c>
      <c r="AF66" s="31">
        <f>SUMIFS(METALFISA!$E:$E,METALFISA!$A:$A,'Faltantes Fevereiro- Metalfisa'!AF$3,METALFISA!$B:$B,'Faltantes Fevereiro- Metalfisa'!$A66)</f>
        <v>0</v>
      </c>
      <c r="AG66" s="31">
        <f>SUMIFS(METALFISA!$E:$E,METALFISA!$A:$A,'Faltantes Fevereiro- Metalfisa'!AG$3,METALFISA!$B:$B,'Faltantes Fevereiro- Metalfisa'!$A66)</f>
        <v>0</v>
      </c>
      <c r="AH66" s="31">
        <f>SUMIFS(METALFISA!$E:$E,METALFISA!$A:$A,'Faltantes Fevereiro- Metalfisa'!AH$3,METALFISA!$B:$B,'Faltantes Fevereiro- Metalfisa'!$A66)</f>
        <v>0</v>
      </c>
      <c r="AI66" s="31">
        <f>SUMIFS(METALFISA!$E:$E,METALFISA!$A:$A,'Faltantes Fevereiro- Metalfisa'!AI$3,METALFISA!$B:$B,'Faltantes Fevereiro- Metalfisa'!$A66)</f>
        <v>0</v>
      </c>
      <c r="AJ66" s="31">
        <f>SUMIFS(METALFISA!$E:$E,METALFISA!$A:$A,'Faltantes Fevereiro- Metalfisa'!AJ$3,METALFISA!$B:$B,'Faltantes Fevereiro- Metalfisa'!$A66)</f>
        <v>0</v>
      </c>
      <c r="AK66" s="31">
        <f>SUMIFS(METALFISA!$E:$E,METALFISA!$A:$A,'Faltantes Fevereiro- Metalfisa'!AK$3,METALFISA!$B:$B,'Faltantes Fevereiro- Metalfisa'!$A66)</f>
        <v>80</v>
      </c>
      <c r="AL66" s="31">
        <f>SUMIFS(METALFISA!$E:$E,METALFISA!$A:$A,'Faltantes Fevereiro- Metalfisa'!AL$3,METALFISA!$B:$B,'Faltantes Fevereiro- Metalfisa'!$A66)</f>
        <v>0</v>
      </c>
      <c r="AM66" s="31">
        <f>SUMIFS(METALFISA!$E:$E,METALFISA!$A:$A,'Faltantes Fevereiro- Metalfisa'!AM$3,METALFISA!$B:$B,'Faltantes Fevereiro- Metalfisa'!$A66)</f>
        <v>0</v>
      </c>
      <c r="AN66" s="31">
        <f>SUMIFS(METALFISA!$E:$E,METALFISA!$A:$A,'Faltantes Fevereiro- Metalfisa'!AN$3,METALFISA!$B:$B,'Faltantes Fevereiro- Metalfisa'!$A66)</f>
        <v>0</v>
      </c>
      <c r="AO66" s="31">
        <f>SUMIFS(METALFISA!$E:$E,METALFISA!$A:$A,'Faltantes Fevereiro- Metalfisa'!AO$3,METALFISA!$B:$B,'Faltantes Fevereiro- Metalfisa'!$A66)</f>
        <v>0</v>
      </c>
      <c r="AP66" s="31">
        <f>SUMIFS(METALFISA!$E:$E,METALFISA!$A:$A,'Faltantes Fevereiro- Metalfisa'!AP$3,METALFISA!$B:$B,'Faltantes Fevereiro- Metalfisa'!$A66)</f>
        <v>0</v>
      </c>
      <c r="AQ66" s="31"/>
      <c r="AR66" s="31">
        <f>SUMIFS(METALFISA!$E:$E,METALFISA!$A:$A,'Faltantes Fevereiro- Metalfisa'!AR$3,METALFISA!$B:$B,'Faltantes Fevereiro- Metalfisa'!$A66)</f>
        <v>0</v>
      </c>
      <c r="AS66" s="35">
        <f>SUMIFS(METALFISA!$E:$E,METALFISA!$A:$A,'Faltantes Fevereiro- Metalfisa'!AS$3,METALFISA!$B:$B,'Faltantes Fevereiro- Metalfisa'!$A66)</f>
        <v>0</v>
      </c>
      <c r="AU66" s="18">
        <v>0</v>
      </c>
      <c r="AV66" s="18">
        <v>0</v>
      </c>
      <c r="AW66" s="18">
        <v>0</v>
      </c>
      <c r="AX66" s="18">
        <v>0</v>
      </c>
      <c r="AY66" s="41">
        <v>0</v>
      </c>
      <c r="AZ66" s="31">
        <v>0</v>
      </c>
      <c r="BA66" s="31">
        <v>0</v>
      </c>
      <c r="BB66" s="31">
        <v>0</v>
      </c>
      <c r="BC66" s="31">
        <v>0</v>
      </c>
      <c r="BD66" s="31">
        <v>0</v>
      </c>
      <c r="BE66" s="31">
        <v>0</v>
      </c>
      <c r="BF66" s="31">
        <v>0</v>
      </c>
      <c r="BG66" s="31">
        <v>0</v>
      </c>
      <c r="BH66" s="31">
        <v>0</v>
      </c>
      <c r="BI66" s="31">
        <v>0</v>
      </c>
      <c r="BJ66" s="31">
        <v>0</v>
      </c>
      <c r="BK66" s="31">
        <v>0</v>
      </c>
      <c r="BL66" s="31">
        <v>0</v>
      </c>
      <c r="BM66" s="31">
        <v>0</v>
      </c>
      <c r="BN66" s="31">
        <v>0</v>
      </c>
      <c r="BO66" s="31">
        <v>0</v>
      </c>
      <c r="BP66" s="31">
        <v>0</v>
      </c>
      <c r="BQ66" s="31">
        <v>0</v>
      </c>
      <c r="BR66" s="31">
        <v>0</v>
      </c>
      <c r="BS66" s="31">
        <v>0</v>
      </c>
      <c r="BT66" s="31">
        <v>0</v>
      </c>
      <c r="BU66" s="31">
        <v>0</v>
      </c>
      <c r="BV66" s="31">
        <v>0</v>
      </c>
      <c r="BW66" s="31">
        <v>0</v>
      </c>
      <c r="BX66" s="31">
        <v>0</v>
      </c>
      <c r="BY66" s="31">
        <v>0</v>
      </c>
      <c r="BZ66" s="31">
        <v>0</v>
      </c>
      <c r="CA66" s="31">
        <v>0</v>
      </c>
      <c r="CB66" s="31">
        <v>0</v>
      </c>
      <c r="CC66" s="31">
        <v>0</v>
      </c>
      <c r="CD66" s="31">
        <v>0</v>
      </c>
      <c r="CE66" s="31">
        <v>5</v>
      </c>
      <c r="CF66" s="31">
        <v>0</v>
      </c>
      <c r="CG66" s="31">
        <v>0</v>
      </c>
      <c r="CH66" s="31">
        <v>0</v>
      </c>
      <c r="CI66" s="31">
        <v>0</v>
      </c>
      <c r="CJ66" s="31">
        <v>0</v>
      </c>
      <c r="CK66" s="31">
        <v>0</v>
      </c>
      <c r="CL66" s="35">
        <v>0</v>
      </c>
    </row>
    <row r="67" spans="1:90" ht="21" x14ac:dyDescent="0.15">
      <c r="A67" s="27" t="s">
        <v>455</v>
      </c>
      <c r="B67" s="28" t="s">
        <v>906</v>
      </c>
      <c r="C67" s="28">
        <v>0</v>
      </c>
      <c r="D67" s="28">
        <v>0</v>
      </c>
      <c r="E67" s="28">
        <v>5</v>
      </c>
      <c r="F67" s="28">
        <v>0</v>
      </c>
      <c r="G67" s="28">
        <v>3</v>
      </c>
      <c r="H67" s="28">
        <f>IFERROR(VLOOKUP(A67,[1]FALTANTES!$A:$AB,28,FALSE),"-")</f>
        <v>0</v>
      </c>
      <c r="I67" s="42">
        <f>IFERROR(VLOOKUP(A67,[1]FALTANTES!$A:$AC,29,FALSE),"-")</f>
        <v>0</v>
      </c>
      <c r="J67" s="29">
        <f>IFERROR(VLOOKUP(A67,[1]FALTANTES!$A:$AD,30,FALSE),"-")</f>
        <v>-8</v>
      </c>
      <c r="K67" s="30">
        <v>0</v>
      </c>
      <c r="L67" s="30">
        <f t="shared" si="1"/>
        <v>24</v>
      </c>
      <c r="M67" s="31">
        <f>SUMIFS(METALFISA!$E:$E,METALFISA!$A:$A,'Faltantes Fevereiro- Metalfisa'!M$3,METALFISA!$B:$B,'Faltantes Fevereiro- Metalfisa'!$A67)</f>
        <v>0</v>
      </c>
      <c r="N67" s="31">
        <f>SUMIFS(METALFISA!$E:$E,METALFISA!$A:$A,'Faltantes Fevereiro- Metalfisa'!N$3,METALFISA!$B:$B,'Faltantes Fevereiro- Metalfisa'!$A67)</f>
        <v>0</v>
      </c>
      <c r="O67" s="31">
        <f>SUMIFS(METALFISA!$E:$E,METALFISA!$A:$A,'Faltantes Fevereiro- Metalfisa'!O$3,METALFISA!$B:$B,'Faltantes Fevereiro- Metalfisa'!$A67)</f>
        <v>0</v>
      </c>
      <c r="P67" s="31">
        <f>SUMIFS(METALFISA!$E:$E,METALFISA!$A:$A,'Faltantes Fevereiro- Metalfisa'!P$3,METALFISA!$B:$B,'Faltantes Fevereiro- Metalfisa'!$A67)</f>
        <v>0</v>
      </c>
      <c r="Q67" s="31">
        <f>SUMIFS(METALFISA!$E:$E,METALFISA!$A:$A,'Faltantes Fevereiro- Metalfisa'!Q$3,METALFISA!$B:$B,'Faltantes Fevereiro- Metalfisa'!$A67)</f>
        <v>0</v>
      </c>
      <c r="R67" s="31">
        <f>SUMIFS(METALFISA!$E:$E,METALFISA!$A:$A,'Faltantes Fevereiro- Metalfisa'!R$3,METALFISA!$B:$B,'Faltantes Fevereiro- Metalfisa'!$A67)</f>
        <v>0</v>
      </c>
      <c r="S67" s="31">
        <f>SUMIFS(METALFISA!$E:$E,METALFISA!$A:$A,'Faltantes Fevereiro- Metalfisa'!S$3,METALFISA!$B:$B,'Faltantes Fevereiro- Metalfisa'!$A67)</f>
        <v>0</v>
      </c>
      <c r="T67" s="31">
        <f>SUMIFS(METALFISA!$E:$E,METALFISA!$A:$A,'Faltantes Fevereiro- Metalfisa'!T$3,METALFISA!$B:$B,'Faltantes Fevereiro- Metalfisa'!$A67)</f>
        <v>0</v>
      </c>
      <c r="U67" s="31">
        <f>SUMIFS(METALFISA!$E:$E,METALFISA!$A:$A,'Faltantes Fevereiro- Metalfisa'!U$3,METALFISA!$B:$B,'Faltantes Fevereiro- Metalfisa'!$A67)</f>
        <v>0</v>
      </c>
      <c r="V67" s="31">
        <f>SUMIFS(METALFISA!$E:$E,METALFISA!$A:$A,'Faltantes Fevereiro- Metalfisa'!V$3,METALFISA!$B:$B,'Faltantes Fevereiro- Metalfisa'!$A67)</f>
        <v>0</v>
      </c>
      <c r="W67" s="31">
        <f>SUMIFS(METALFISA!$E:$E,METALFISA!$A:$A,'Faltantes Fevereiro- Metalfisa'!W$3,METALFISA!$B:$B,'Faltantes Fevereiro- Metalfisa'!$A67)</f>
        <v>0</v>
      </c>
      <c r="X67" s="31">
        <f>SUMIFS(METALFISA!$E:$E,METALFISA!$A:$A,'Faltantes Fevereiro- Metalfisa'!X$3,METALFISA!$B:$B,'Faltantes Fevereiro- Metalfisa'!$A67)</f>
        <v>0</v>
      </c>
      <c r="Y67" s="31">
        <f>SUMIFS(METALFISA!$E:$E,METALFISA!$A:$A,'Faltantes Fevereiro- Metalfisa'!Y$3,METALFISA!$B:$B,'Faltantes Fevereiro- Metalfisa'!$A67)</f>
        <v>0</v>
      </c>
      <c r="Z67" s="31">
        <f>SUMIFS(METALFISA!$E:$E,METALFISA!$A:$A,'Faltantes Fevereiro- Metalfisa'!Z$3,METALFISA!$B:$B,'Faltantes Fevereiro- Metalfisa'!$A67)</f>
        <v>0</v>
      </c>
      <c r="AA67" s="31">
        <f>SUMIFS(METALFISA!$E:$E,METALFISA!$A:$A,'Faltantes Fevereiro- Metalfisa'!AA$3,METALFISA!$B:$B,'Faltantes Fevereiro- Metalfisa'!$A67)</f>
        <v>8</v>
      </c>
      <c r="AB67" s="31">
        <f>SUMIFS(METALFISA!$E:$E,METALFISA!$A:$A,'Faltantes Fevereiro- Metalfisa'!AB$3,METALFISA!$B:$B,'Faltantes Fevereiro- Metalfisa'!$A67)</f>
        <v>0</v>
      </c>
      <c r="AC67" s="31">
        <f>SUMIFS(METALFISA!$E:$E,METALFISA!$A:$A,'Faltantes Fevereiro- Metalfisa'!AC$3,METALFISA!$B:$B,'Faltantes Fevereiro- Metalfisa'!$A67)</f>
        <v>0</v>
      </c>
      <c r="AD67" s="31">
        <f>SUMIFS(METALFISA!$E:$E,METALFISA!$A:$A,'Faltantes Fevereiro- Metalfisa'!AD$3,METALFISA!$B:$B,'Faltantes Fevereiro- Metalfisa'!$A67)</f>
        <v>0</v>
      </c>
      <c r="AE67" s="31">
        <f>SUMIFS(METALFISA!$E:$E,METALFISA!$A:$A,'Faltantes Fevereiro- Metalfisa'!AE$3,METALFISA!$B:$B,'Faltantes Fevereiro- Metalfisa'!$A67)</f>
        <v>0</v>
      </c>
      <c r="AF67" s="31">
        <f>SUMIFS(METALFISA!$E:$E,METALFISA!$A:$A,'Faltantes Fevereiro- Metalfisa'!AF$3,METALFISA!$B:$B,'Faltantes Fevereiro- Metalfisa'!$A67)</f>
        <v>0</v>
      </c>
      <c r="AG67" s="31">
        <f>SUMIFS(METALFISA!$E:$E,METALFISA!$A:$A,'Faltantes Fevereiro- Metalfisa'!AG$3,METALFISA!$B:$B,'Faltantes Fevereiro- Metalfisa'!$A67)</f>
        <v>0</v>
      </c>
      <c r="AH67" s="31">
        <f>SUMIFS(METALFISA!$E:$E,METALFISA!$A:$A,'Faltantes Fevereiro- Metalfisa'!AH$3,METALFISA!$B:$B,'Faltantes Fevereiro- Metalfisa'!$A67)</f>
        <v>0</v>
      </c>
      <c r="AI67" s="31">
        <f>SUMIFS(METALFISA!$E:$E,METALFISA!$A:$A,'Faltantes Fevereiro- Metalfisa'!AI$3,METALFISA!$B:$B,'Faltantes Fevereiro- Metalfisa'!$A67)</f>
        <v>0</v>
      </c>
      <c r="AJ67" s="31">
        <f>SUMIFS(METALFISA!$E:$E,METALFISA!$A:$A,'Faltantes Fevereiro- Metalfisa'!AJ$3,METALFISA!$B:$B,'Faltantes Fevereiro- Metalfisa'!$A67)</f>
        <v>0</v>
      </c>
      <c r="AK67" s="31">
        <f>SUMIFS(METALFISA!$E:$E,METALFISA!$A:$A,'Faltantes Fevereiro- Metalfisa'!AK$3,METALFISA!$B:$B,'Faltantes Fevereiro- Metalfisa'!$A67)</f>
        <v>16</v>
      </c>
      <c r="AL67" s="31">
        <f>SUMIFS(METALFISA!$E:$E,METALFISA!$A:$A,'Faltantes Fevereiro- Metalfisa'!AL$3,METALFISA!$B:$B,'Faltantes Fevereiro- Metalfisa'!$A67)</f>
        <v>0</v>
      </c>
      <c r="AM67" s="31">
        <f>SUMIFS(METALFISA!$E:$E,METALFISA!$A:$A,'Faltantes Fevereiro- Metalfisa'!AM$3,METALFISA!$B:$B,'Faltantes Fevereiro- Metalfisa'!$A67)</f>
        <v>0</v>
      </c>
      <c r="AN67" s="31">
        <f>SUMIFS(METALFISA!$E:$E,METALFISA!$A:$A,'Faltantes Fevereiro- Metalfisa'!AN$3,METALFISA!$B:$B,'Faltantes Fevereiro- Metalfisa'!$A67)</f>
        <v>0</v>
      </c>
      <c r="AO67" s="31">
        <f>SUMIFS(METALFISA!$E:$E,METALFISA!$A:$A,'Faltantes Fevereiro- Metalfisa'!AO$3,METALFISA!$B:$B,'Faltantes Fevereiro- Metalfisa'!$A67)</f>
        <v>0</v>
      </c>
      <c r="AP67" s="31">
        <f>SUMIFS(METALFISA!$E:$E,METALFISA!$A:$A,'Faltantes Fevereiro- Metalfisa'!AP$3,METALFISA!$B:$B,'Faltantes Fevereiro- Metalfisa'!$A67)</f>
        <v>0</v>
      </c>
      <c r="AQ67" s="31"/>
      <c r="AR67" s="31">
        <f>SUMIFS(METALFISA!$E:$E,METALFISA!$A:$A,'Faltantes Fevereiro- Metalfisa'!AR$3,METALFISA!$B:$B,'Faltantes Fevereiro- Metalfisa'!$A67)</f>
        <v>0</v>
      </c>
      <c r="AS67" s="35">
        <f>SUMIFS(METALFISA!$E:$E,METALFISA!$A:$A,'Faltantes Fevereiro- Metalfisa'!AS$3,METALFISA!$B:$B,'Faltantes Fevereiro- Metalfisa'!$A67)</f>
        <v>0</v>
      </c>
      <c r="AU67" s="18">
        <v>0</v>
      </c>
      <c r="AV67" s="18">
        <v>0</v>
      </c>
      <c r="AW67" s="18">
        <v>0</v>
      </c>
      <c r="AX67" s="18">
        <v>0</v>
      </c>
      <c r="AY67" s="41">
        <v>0</v>
      </c>
      <c r="AZ67" s="31">
        <v>0</v>
      </c>
      <c r="BA67" s="31">
        <v>0</v>
      </c>
      <c r="BB67" s="31">
        <v>0</v>
      </c>
      <c r="BC67" s="31">
        <v>0</v>
      </c>
      <c r="BD67" s="31">
        <v>0</v>
      </c>
      <c r="BE67" s="31">
        <v>0</v>
      </c>
      <c r="BF67" s="31">
        <v>0</v>
      </c>
      <c r="BG67" s="31">
        <v>0</v>
      </c>
      <c r="BH67" s="31">
        <v>0</v>
      </c>
      <c r="BI67" s="31">
        <v>0</v>
      </c>
      <c r="BJ67" s="31">
        <v>0</v>
      </c>
      <c r="BK67" s="31">
        <v>0</v>
      </c>
      <c r="BL67" s="31">
        <v>0</v>
      </c>
      <c r="BM67" s="31">
        <v>0</v>
      </c>
      <c r="BN67" s="31">
        <v>0</v>
      </c>
      <c r="BO67" s="31">
        <v>0</v>
      </c>
      <c r="BP67" s="31">
        <v>0</v>
      </c>
      <c r="BQ67" s="31">
        <v>0</v>
      </c>
      <c r="BR67" s="31">
        <v>0</v>
      </c>
      <c r="BS67" s="31">
        <v>0</v>
      </c>
      <c r="BT67" s="31">
        <v>0</v>
      </c>
      <c r="BU67" s="31">
        <v>0</v>
      </c>
      <c r="BV67" s="31">
        <v>0</v>
      </c>
      <c r="BW67" s="31">
        <v>0</v>
      </c>
      <c r="BX67" s="31">
        <v>0</v>
      </c>
      <c r="BY67" s="31">
        <v>0</v>
      </c>
      <c r="BZ67" s="31">
        <v>0</v>
      </c>
      <c r="CA67" s="31">
        <v>0</v>
      </c>
      <c r="CB67" s="31">
        <v>0</v>
      </c>
      <c r="CC67" s="31">
        <v>0</v>
      </c>
      <c r="CD67" s="31">
        <v>0</v>
      </c>
      <c r="CE67" s="31">
        <v>1</v>
      </c>
      <c r="CF67" s="31">
        <v>0</v>
      </c>
      <c r="CG67" s="31">
        <v>0</v>
      </c>
      <c r="CH67" s="31">
        <v>0</v>
      </c>
      <c r="CI67" s="31">
        <v>0</v>
      </c>
      <c r="CJ67" s="31">
        <v>0</v>
      </c>
      <c r="CK67" s="31">
        <v>0</v>
      </c>
      <c r="CL67" s="35">
        <v>0</v>
      </c>
    </row>
    <row r="68" spans="1:90" ht="21" x14ac:dyDescent="0.15">
      <c r="A68" s="27" t="s">
        <v>593</v>
      </c>
      <c r="B68" s="28" t="s">
        <v>594</v>
      </c>
      <c r="C68" s="28">
        <v>0</v>
      </c>
      <c r="D68" s="28">
        <v>0</v>
      </c>
      <c r="E68" s="28">
        <v>0</v>
      </c>
      <c r="F68" s="28">
        <v>0</v>
      </c>
      <c r="G68" s="28">
        <v>4</v>
      </c>
      <c r="H68" s="28">
        <f>IFERROR(VLOOKUP(A68,[1]FALTANTES!$A:$AB,28,FALSE),"-")</f>
        <v>0</v>
      </c>
      <c r="I68" s="42">
        <f>IFERROR(VLOOKUP(A68,[1]FALTANTES!$A:$AC,29,FALSE),"-")</f>
        <v>2</v>
      </c>
      <c r="J68" s="29">
        <f>IFERROR(VLOOKUP(A68,[1]FALTANTES!$A:$AD,30,FALSE),"-")</f>
        <v>-2</v>
      </c>
      <c r="K68" s="30">
        <v>0</v>
      </c>
      <c r="L68" s="30">
        <f t="shared" si="1"/>
        <v>2</v>
      </c>
      <c r="M68" s="31">
        <f>SUMIFS(METALFISA!$E:$E,METALFISA!$A:$A,'Faltantes Fevereiro- Metalfisa'!M$3,METALFISA!$B:$B,'Faltantes Fevereiro- Metalfisa'!$A68)</f>
        <v>0</v>
      </c>
      <c r="N68" s="31">
        <f>SUMIFS(METALFISA!$E:$E,METALFISA!$A:$A,'Faltantes Fevereiro- Metalfisa'!N$3,METALFISA!$B:$B,'Faltantes Fevereiro- Metalfisa'!$A68)</f>
        <v>0</v>
      </c>
      <c r="O68" s="31">
        <f>SUMIFS(METALFISA!$E:$E,METALFISA!$A:$A,'Faltantes Fevereiro- Metalfisa'!O$3,METALFISA!$B:$B,'Faltantes Fevereiro- Metalfisa'!$A68)</f>
        <v>0</v>
      </c>
      <c r="P68" s="31">
        <f>SUMIFS(METALFISA!$E:$E,METALFISA!$A:$A,'Faltantes Fevereiro- Metalfisa'!P$3,METALFISA!$B:$B,'Faltantes Fevereiro- Metalfisa'!$A68)</f>
        <v>0</v>
      </c>
      <c r="Q68" s="31">
        <f>SUMIFS(METALFISA!$E:$E,METALFISA!$A:$A,'Faltantes Fevereiro- Metalfisa'!Q$3,METALFISA!$B:$B,'Faltantes Fevereiro- Metalfisa'!$A68)</f>
        <v>0</v>
      </c>
      <c r="R68" s="31">
        <f>SUMIFS(METALFISA!$E:$E,METALFISA!$A:$A,'Faltantes Fevereiro- Metalfisa'!R$3,METALFISA!$B:$B,'Faltantes Fevereiro- Metalfisa'!$A68)</f>
        <v>0</v>
      </c>
      <c r="S68" s="31">
        <f>SUMIFS(METALFISA!$E:$E,METALFISA!$A:$A,'Faltantes Fevereiro- Metalfisa'!S$3,METALFISA!$B:$B,'Faltantes Fevereiro- Metalfisa'!$A68)</f>
        <v>0</v>
      </c>
      <c r="T68" s="31">
        <f>SUMIFS(METALFISA!$E:$E,METALFISA!$A:$A,'Faltantes Fevereiro- Metalfisa'!T$3,METALFISA!$B:$B,'Faltantes Fevereiro- Metalfisa'!$A68)</f>
        <v>0</v>
      </c>
      <c r="U68" s="31">
        <f>SUMIFS(METALFISA!$E:$E,METALFISA!$A:$A,'Faltantes Fevereiro- Metalfisa'!U$3,METALFISA!$B:$B,'Faltantes Fevereiro- Metalfisa'!$A68)</f>
        <v>0</v>
      </c>
      <c r="V68" s="31">
        <f>SUMIFS(METALFISA!$E:$E,METALFISA!$A:$A,'Faltantes Fevereiro- Metalfisa'!V$3,METALFISA!$B:$B,'Faltantes Fevereiro- Metalfisa'!$A68)</f>
        <v>0</v>
      </c>
      <c r="W68" s="31">
        <f>SUMIFS(METALFISA!$E:$E,METALFISA!$A:$A,'Faltantes Fevereiro- Metalfisa'!W$3,METALFISA!$B:$B,'Faltantes Fevereiro- Metalfisa'!$A68)</f>
        <v>0</v>
      </c>
      <c r="X68" s="31">
        <f>SUMIFS(METALFISA!$E:$E,METALFISA!$A:$A,'Faltantes Fevereiro- Metalfisa'!X$3,METALFISA!$B:$B,'Faltantes Fevereiro- Metalfisa'!$A68)</f>
        <v>0</v>
      </c>
      <c r="Y68" s="31">
        <f>SUMIFS(METALFISA!$E:$E,METALFISA!$A:$A,'Faltantes Fevereiro- Metalfisa'!Y$3,METALFISA!$B:$B,'Faltantes Fevereiro- Metalfisa'!$A68)</f>
        <v>0</v>
      </c>
      <c r="Z68" s="31">
        <f>SUMIFS(METALFISA!$E:$E,METALFISA!$A:$A,'Faltantes Fevereiro- Metalfisa'!Z$3,METALFISA!$B:$B,'Faltantes Fevereiro- Metalfisa'!$A68)</f>
        <v>0</v>
      </c>
      <c r="AA68" s="31">
        <f>SUMIFS(METALFISA!$E:$E,METALFISA!$A:$A,'Faltantes Fevereiro- Metalfisa'!AA$3,METALFISA!$B:$B,'Faltantes Fevereiro- Metalfisa'!$A68)</f>
        <v>0</v>
      </c>
      <c r="AB68" s="31">
        <f>SUMIFS(METALFISA!$E:$E,METALFISA!$A:$A,'Faltantes Fevereiro- Metalfisa'!AB$3,METALFISA!$B:$B,'Faltantes Fevereiro- Metalfisa'!$A68)</f>
        <v>0</v>
      </c>
      <c r="AC68" s="31">
        <f>SUMIFS(METALFISA!$E:$E,METALFISA!$A:$A,'Faltantes Fevereiro- Metalfisa'!AC$3,METALFISA!$B:$B,'Faltantes Fevereiro- Metalfisa'!$A68)</f>
        <v>0</v>
      </c>
      <c r="AD68" s="31">
        <f>SUMIFS(METALFISA!$E:$E,METALFISA!$A:$A,'Faltantes Fevereiro- Metalfisa'!AD$3,METALFISA!$B:$B,'Faltantes Fevereiro- Metalfisa'!$A68)</f>
        <v>0</v>
      </c>
      <c r="AE68" s="31">
        <f>SUMIFS(METALFISA!$E:$E,METALFISA!$A:$A,'Faltantes Fevereiro- Metalfisa'!AE$3,METALFISA!$B:$B,'Faltantes Fevereiro- Metalfisa'!$A68)</f>
        <v>0</v>
      </c>
      <c r="AF68" s="31">
        <f>SUMIFS(METALFISA!$E:$E,METALFISA!$A:$A,'Faltantes Fevereiro- Metalfisa'!AF$3,METALFISA!$B:$B,'Faltantes Fevereiro- Metalfisa'!$A68)</f>
        <v>0</v>
      </c>
      <c r="AG68" s="31">
        <f>SUMIFS(METALFISA!$E:$E,METALFISA!$A:$A,'Faltantes Fevereiro- Metalfisa'!AG$3,METALFISA!$B:$B,'Faltantes Fevereiro- Metalfisa'!$A68)</f>
        <v>2</v>
      </c>
      <c r="AH68" s="31">
        <f>SUMIFS(METALFISA!$E:$E,METALFISA!$A:$A,'Faltantes Fevereiro- Metalfisa'!AH$3,METALFISA!$B:$B,'Faltantes Fevereiro- Metalfisa'!$A68)</f>
        <v>0</v>
      </c>
      <c r="AI68" s="31">
        <f>SUMIFS(METALFISA!$E:$E,METALFISA!$A:$A,'Faltantes Fevereiro- Metalfisa'!AI$3,METALFISA!$B:$B,'Faltantes Fevereiro- Metalfisa'!$A68)</f>
        <v>0</v>
      </c>
      <c r="AJ68" s="31">
        <f>SUMIFS(METALFISA!$E:$E,METALFISA!$A:$A,'Faltantes Fevereiro- Metalfisa'!AJ$3,METALFISA!$B:$B,'Faltantes Fevereiro- Metalfisa'!$A68)</f>
        <v>0</v>
      </c>
      <c r="AK68" s="31">
        <f>SUMIFS(METALFISA!$E:$E,METALFISA!$A:$A,'Faltantes Fevereiro- Metalfisa'!AK$3,METALFISA!$B:$B,'Faltantes Fevereiro- Metalfisa'!$A68)</f>
        <v>0</v>
      </c>
      <c r="AL68" s="31">
        <f>SUMIFS(METALFISA!$E:$E,METALFISA!$A:$A,'Faltantes Fevereiro- Metalfisa'!AL$3,METALFISA!$B:$B,'Faltantes Fevereiro- Metalfisa'!$A68)</f>
        <v>0</v>
      </c>
      <c r="AM68" s="31">
        <f>SUMIFS(METALFISA!$E:$E,METALFISA!$A:$A,'Faltantes Fevereiro- Metalfisa'!AM$3,METALFISA!$B:$B,'Faltantes Fevereiro- Metalfisa'!$A68)</f>
        <v>0</v>
      </c>
      <c r="AN68" s="31">
        <f>SUMIFS(METALFISA!$E:$E,METALFISA!$A:$A,'Faltantes Fevereiro- Metalfisa'!AN$3,METALFISA!$B:$B,'Faltantes Fevereiro- Metalfisa'!$A68)</f>
        <v>0</v>
      </c>
      <c r="AO68" s="31">
        <f>SUMIFS(METALFISA!$E:$E,METALFISA!$A:$A,'Faltantes Fevereiro- Metalfisa'!AO$3,METALFISA!$B:$B,'Faltantes Fevereiro- Metalfisa'!$A68)</f>
        <v>0</v>
      </c>
      <c r="AP68" s="31">
        <f>SUMIFS(METALFISA!$E:$E,METALFISA!$A:$A,'Faltantes Fevereiro- Metalfisa'!AP$3,METALFISA!$B:$B,'Faltantes Fevereiro- Metalfisa'!$A68)</f>
        <v>0</v>
      </c>
      <c r="AQ68" s="31"/>
      <c r="AR68" s="31">
        <f>SUMIFS(METALFISA!$E:$E,METALFISA!$A:$A,'Faltantes Fevereiro- Metalfisa'!AR$3,METALFISA!$B:$B,'Faltantes Fevereiro- Metalfisa'!$A68)</f>
        <v>0</v>
      </c>
      <c r="AS68" s="35">
        <f>SUMIFS(METALFISA!$E:$E,METALFISA!$A:$A,'Faltantes Fevereiro- Metalfisa'!AS$3,METALFISA!$B:$B,'Faltantes Fevereiro- Metalfisa'!$A68)</f>
        <v>0</v>
      </c>
      <c r="AU68" s="18">
        <v>0</v>
      </c>
      <c r="AV68" s="18">
        <v>0</v>
      </c>
      <c r="AW68" s="18">
        <v>0</v>
      </c>
      <c r="AX68" s="18">
        <v>0</v>
      </c>
      <c r="AY68" s="41">
        <v>0</v>
      </c>
      <c r="AZ68" s="31">
        <v>0</v>
      </c>
      <c r="BA68" s="31">
        <v>0</v>
      </c>
      <c r="BB68" s="31">
        <v>0</v>
      </c>
      <c r="BC68" s="31">
        <v>0</v>
      </c>
      <c r="BD68" s="31">
        <v>0</v>
      </c>
      <c r="BE68" s="31">
        <v>0</v>
      </c>
      <c r="BF68" s="31">
        <v>0</v>
      </c>
      <c r="BG68" s="31">
        <v>0</v>
      </c>
      <c r="BH68" s="31">
        <v>0</v>
      </c>
      <c r="BI68" s="31">
        <v>0</v>
      </c>
      <c r="BJ68" s="31">
        <v>0</v>
      </c>
      <c r="BK68" s="31">
        <v>0</v>
      </c>
      <c r="BL68" s="31">
        <v>0</v>
      </c>
      <c r="BM68" s="31">
        <v>1</v>
      </c>
      <c r="BN68" s="31">
        <v>0</v>
      </c>
      <c r="BO68" s="31">
        <v>0</v>
      </c>
      <c r="BP68" s="31">
        <v>0</v>
      </c>
      <c r="BQ68" s="31">
        <v>0</v>
      </c>
      <c r="BR68" s="31">
        <v>0</v>
      </c>
      <c r="BS68" s="31">
        <v>0</v>
      </c>
      <c r="BT68" s="31">
        <v>0</v>
      </c>
      <c r="BU68" s="31">
        <v>0</v>
      </c>
      <c r="BV68" s="31">
        <v>0</v>
      </c>
      <c r="BW68" s="31">
        <v>0</v>
      </c>
      <c r="BX68" s="31">
        <v>0</v>
      </c>
      <c r="BY68" s="31">
        <v>0</v>
      </c>
      <c r="BZ68" s="31">
        <v>0</v>
      </c>
      <c r="CA68" s="31">
        <v>0</v>
      </c>
      <c r="CB68" s="31">
        <v>0</v>
      </c>
      <c r="CC68" s="31">
        <v>0</v>
      </c>
      <c r="CD68" s="31">
        <v>0</v>
      </c>
      <c r="CE68" s="31">
        <v>0</v>
      </c>
      <c r="CF68" s="31">
        <v>0</v>
      </c>
      <c r="CG68" s="31">
        <v>0</v>
      </c>
      <c r="CH68" s="31">
        <v>0</v>
      </c>
      <c r="CI68" s="31">
        <v>0</v>
      </c>
      <c r="CJ68" s="31">
        <v>0</v>
      </c>
      <c r="CK68" s="31">
        <v>0</v>
      </c>
      <c r="CL68" s="35">
        <v>0</v>
      </c>
    </row>
    <row r="69" spans="1:90" x14ac:dyDescent="0.15">
      <c r="A69" s="27" t="s">
        <v>59</v>
      </c>
      <c r="B69" s="28" t="s">
        <v>60</v>
      </c>
      <c r="C69" s="28">
        <v>0</v>
      </c>
      <c r="D69" s="28">
        <v>14</v>
      </c>
      <c r="E69" s="28">
        <v>40</v>
      </c>
      <c r="F69" s="28">
        <v>0</v>
      </c>
      <c r="G69" s="28">
        <v>24</v>
      </c>
      <c r="H69" s="28">
        <f>IFERROR(VLOOKUP(A69,[1]FALTANTES!$A:$AB,28,FALSE),"-")</f>
        <v>0</v>
      </c>
      <c r="I69" s="42">
        <f>IFERROR(VLOOKUP(A69,[1]FALTANTES!$A:$AC,29,FALSE),"-")</f>
        <v>0</v>
      </c>
      <c r="J69" s="29">
        <f>IFERROR(VLOOKUP(A69,[1]FALTANTES!$A:$AD,30,FALSE),"-")</f>
        <v>-78</v>
      </c>
      <c r="K69" s="30">
        <v>0</v>
      </c>
      <c r="L69" s="30">
        <f t="shared" si="1"/>
        <v>208</v>
      </c>
      <c r="M69" s="31">
        <f>SUMIFS(METALFISA!$E:$E,METALFISA!$A:$A,'Faltantes Fevereiro- Metalfisa'!M$3,METALFISA!$B:$B,'Faltantes Fevereiro- Metalfisa'!$A69)</f>
        <v>0</v>
      </c>
      <c r="N69" s="31">
        <f>SUMIFS(METALFISA!$E:$E,METALFISA!$A:$A,'Faltantes Fevereiro- Metalfisa'!N$3,METALFISA!$B:$B,'Faltantes Fevereiro- Metalfisa'!$A69)</f>
        <v>0</v>
      </c>
      <c r="O69" s="31">
        <f>SUMIFS(METALFISA!$E:$E,METALFISA!$A:$A,'Faltantes Fevereiro- Metalfisa'!O$3,METALFISA!$B:$B,'Faltantes Fevereiro- Metalfisa'!$A69)</f>
        <v>0</v>
      </c>
      <c r="P69" s="31">
        <f>SUMIFS(METALFISA!$E:$E,METALFISA!$A:$A,'Faltantes Fevereiro- Metalfisa'!P$3,METALFISA!$B:$B,'Faltantes Fevereiro- Metalfisa'!$A69)</f>
        <v>0</v>
      </c>
      <c r="Q69" s="31">
        <f>SUMIFS(METALFISA!$E:$E,METALFISA!$A:$A,'Faltantes Fevereiro- Metalfisa'!Q$3,METALFISA!$B:$B,'Faltantes Fevereiro- Metalfisa'!$A69)</f>
        <v>0</v>
      </c>
      <c r="R69" s="31">
        <f>SUMIFS(METALFISA!$E:$E,METALFISA!$A:$A,'Faltantes Fevereiro- Metalfisa'!R$3,METALFISA!$B:$B,'Faltantes Fevereiro- Metalfisa'!$A69)</f>
        <v>0</v>
      </c>
      <c r="S69" s="31">
        <f>SUMIFS(METALFISA!$E:$E,METALFISA!$A:$A,'Faltantes Fevereiro- Metalfisa'!S$3,METALFISA!$B:$B,'Faltantes Fevereiro- Metalfisa'!$A69)</f>
        <v>16</v>
      </c>
      <c r="T69" s="31">
        <f>SUMIFS(METALFISA!$E:$E,METALFISA!$A:$A,'Faltantes Fevereiro- Metalfisa'!T$3,METALFISA!$B:$B,'Faltantes Fevereiro- Metalfisa'!$A69)</f>
        <v>0</v>
      </c>
      <c r="U69" s="31">
        <f>SUMIFS(METALFISA!$E:$E,METALFISA!$A:$A,'Faltantes Fevereiro- Metalfisa'!U$3,METALFISA!$B:$B,'Faltantes Fevereiro- Metalfisa'!$A69)</f>
        <v>0</v>
      </c>
      <c r="V69" s="31">
        <f>SUMIFS(METALFISA!$E:$E,METALFISA!$A:$A,'Faltantes Fevereiro- Metalfisa'!V$3,METALFISA!$B:$B,'Faltantes Fevereiro- Metalfisa'!$A69)</f>
        <v>0</v>
      </c>
      <c r="W69" s="31">
        <f>SUMIFS(METALFISA!$E:$E,METALFISA!$A:$A,'Faltantes Fevereiro- Metalfisa'!W$3,METALFISA!$B:$B,'Faltantes Fevereiro- Metalfisa'!$A69)</f>
        <v>0</v>
      </c>
      <c r="X69" s="31">
        <f>SUMIFS(METALFISA!$E:$E,METALFISA!$A:$A,'Faltantes Fevereiro- Metalfisa'!X$3,METALFISA!$B:$B,'Faltantes Fevereiro- Metalfisa'!$A69)</f>
        <v>0</v>
      </c>
      <c r="Y69" s="31">
        <f>SUMIFS(METALFISA!$E:$E,METALFISA!$A:$A,'Faltantes Fevereiro- Metalfisa'!Y$3,METALFISA!$B:$B,'Faltantes Fevereiro- Metalfisa'!$A69)</f>
        <v>0</v>
      </c>
      <c r="Z69" s="31">
        <f>SUMIFS(METALFISA!$E:$E,METALFISA!$A:$A,'Faltantes Fevereiro- Metalfisa'!Z$3,METALFISA!$B:$B,'Faltantes Fevereiro- Metalfisa'!$A69)</f>
        <v>0</v>
      </c>
      <c r="AA69" s="31">
        <f>SUMIFS(METALFISA!$E:$E,METALFISA!$A:$A,'Faltantes Fevereiro- Metalfisa'!AA$3,METALFISA!$B:$B,'Faltantes Fevereiro- Metalfisa'!$A69)</f>
        <v>64</v>
      </c>
      <c r="AB69" s="31">
        <f>SUMIFS(METALFISA!$E:$E,METALFISA!$A:$A,'Faltantes Fevereiro- Metalfisa'!AB$3,METALFISA!$B:$B,'Faltantes Fevereiro- Metalfisa'!$A69)</f>
        <v>0</v>
      </c>
      <c r="AC69" s="31">
        <f>SUMIFS(METALFISA!$E:$E,METALFISA!$A:$A,'Faltantes Fevereiro- Metalfisa'!AC$3,METALFISA!$B:$B,'Faltantes Fevereiro- Metalfisa'!$A69)</f>
        <v>0</v>
      </c>
      <c r="AD69" s="31">
        <f>SUMIFS(METALFISA!$E:$E,METALFISA!$A:$A,'Faltantes Fevereiro- Metalfisa'!AD$3,METALFISA!$B:$B,'Faltantes Fevereiro- Metalfisa'!$A69)</f>
        <v>0</v>
      </c>
      <c r="AE69" s="31">
        <f>SUMIFS(METALFISA!$E:$E,METALFISA!$A:$A,'Faltantes Fevereiro- Metalfisa'!AE$3,METALFISA!$B:$B,'Faltantes Fevereiro- Metalfisa'!$A69)</f>
        <v>0</v>
      </c>
      <c r="AF69" s="31">
        <f>SUMIFS(METALFISA!$E:$E,METALFISA!$A:$A,'Faltantes Fevereiro- Metalfisa'!AF$3,METALFISA!$B:$B,'Faltantes Fevereiro- Metalfisa'!$A69)</f>
        <v>0</v>
      </c>
      <c r="AG69" s="31">
        <f>SUMIFS(METALFISA!$E:$E,METALFISA!$A:$A,'Faltantes Fevereiro- Metalfisa'!AG$3,METALFISA!$B:$B,'Faltantes Fevereiro- Metalfisa'!$A69)</f>
        <v>0</v>
      </c>
      <c r="AH69" s="31">
        <f>SUMIFS(METALFISA!$E:$E,METALFISA!$A:$A,'Faltantes Fevereiro- Metalfisa'!AH$3,METALFISA!$B:$B,'Faltantes Fevereiro- Metalfisa'!$A69)</f>
        <v>0</v>
      </c>
      <c r="AI69" s="31">
        <f>SUMIFS(METALFISA!$E:$E,METALFISA!$A:$A,'Faltantes Fevereiro- Metalfisa'!AI$3,METALFISA!$B:$B,'Faltantes Fevereiro- Metalfisa'!$A69)</f>
        <v>0</v>
      </c>
      <c r="AJ69" s="31">
        <f>SUMIFS(METALFISA!$E:$E,METALFISA!$A:$A,'Faltantes Fevereiro- Metalfisa'!AJ$3,METALFISA!$B:$B,'Faltantes Fevereiro- Metalfisa'!$A69)</f>
        <v>0</v>
      </c>
      <c r="AK69" s="31">
        <f>SUMIFS(METALFISA!$E:$E,METALFISA!$A:$A,'Faltantes Fevereiro- Metalfisa'!AK$3,METALFISA!$B:$B,'Faltantes Fevereiro- Metalfisa'!$A69)</f>
        <v>128</v>
      </c>
      <c r="AL69" s="31">
        <f>SUMIFS(METALFISA!$E:$E,METALFISA!$A:$A,'Faltantes Fevereiro- Metalfisa'!AL$3,METALFISA!$B:$B,'Faltantes Fevereiro- Metalfisa'!$A69)</f>
        <v>0</v>
      </c>
      <c r="AM69" s="31">
        <f>SUMIFS(METALFISA!$E:$E,METALFISA!$A:$A,'Faltantes Fevereiro- Metalfisa'!AM$3,METALFISA!$B:$B,'Faltantes Fevereiro- Metalfisa'!$A69)</f>
        <v>0</v>
      </c>
      <c r="AN69" s="31">
        <f>SUMIFS(METALFISA!$E:$E,METALFISA!$A:$A,'Faltantes Fevereiro- Metalfisa'!AN$3,METALFISA!$B:$B,'Faltantes Fevereiro- Metalfisa'!$A69)</f>
        <v>0</v>
      </c>
      <c r="AO69" s="31">
        <f>SUMIFS(METALFISA!$E:$E,METALFISA!$A:$A,'Faltantes Fevereiro- Metalfisa'!AO$3,METALFISA!$B:$B,'Faltantes Fevereiro- Metalfisa'!$A69)</f>
        <v>0</v>
      </c>
      <c r="AP69" s="31">
        <f>SUMIFS(METALFISA!$E:$E,METALFISA!$A:$A,'Faltantes Fevereiro- Metalfisa'!AP$3,METALFISA!$B:$B,'Faltantes Fevereiro- Metalfisa'!$A69)</f>
        <v>0</v>
      </c>
      <c r="AQ69" s="31"/>
      <c r="AR69" s="31">
        <f>SUMIFS(METALFISA!$E:$E,METALFISA!$A:$A,'Faltantes Fevereiro- Metalfisa'!AR$3,METALFISA!$B:$B,'Faltantes Fevereiro- Metalfisa'!$A69)</f>
        <v>0</v>
      </c>
      <c r="AS69" s="35">
        <f>SUMIFS(METALFISA!$E:$E,METALFISA!$A:$A,'Faltantes Fevereiro- Metalfisa'!AS$3,METALFISA!$B:$B,'Faltantes Fevereiro- Metalfisa'!$A69)</f>
        <v>0</v>
      </c>
      <c r="AU69" s="18">
        <v>0</v>
      </c>
      <c r="AV69" s="18">
        <v>0</v>
      </c>
      <c r="AW69" s="18">
        <v>0</v>
      </c>
      <c r="AX69" s="18">
        <v>0</v>
      </c>
      <c r="AY69" s="41">
        <v>0</v>
      </c>
      <c r="AZ69" s="31">
        <v>0</v>
      </c>
      <c r="BA69" s="31">
        <v>0</v>
      </c>
      <c r="BB69" s="31">
        <v>0</v>
      </c>
      <c r="BC69" s="31">
        <v>0</v>
      </c>
      <c r="BD69" s="31">
        <v>0</v>
      </c>
      <c r="BE69" s="31">
        <v>0</v>
      </c>
      <c r="BF69" s="31">
        <v>0</v>
      </c>
      <c r="BG69" s="31">
        <v>0</v>
      </c>
      <c r="BH69" s="31">
        <v>0</v>
      </c>
      <c r="BI69" s="31">
        <v>0</v>
      </c>
      <c r="BJ69" s="31">
        <v>0</v>
      </c>
      <c r="BK69" s="31">
        <v>0</v>
      </c>
      <c r="BL69" s="31">
        <v>0</v>
      </c>
      <c r="BM69" s="31">
        <v>0</v>
      </c>
      <c r="BN69" s="31">
        <v>0</v>
      </c>
      <c r="BO69" s="31">
        <v>0</v>
      </c>
      <c r="BP69" s="31">
        <v>0</v>
      </c>
      <c r="BQ69" s="31">
        <v>0</v>
      </c>
      <c r="BR69" s="31">
        <v>0</v>
      </c>
      <c r="BS69" s="31">
        <v>0</v>
      </c>
      <c r="BT69" s="31">
        <v>0</v>
      </c>
      <c r="BU69" s="31">
        <v>0</v>
      </c>
      <c r="BV69" s="31">
        <v>0</v>
      </c>
      <c r="BW69" s="31">
        <v>0</v>
      </c>
      <c r="BX69" s="31">
        <v>0</v>
      </c>
      <c r="BY69" s="31">
        <v>0</v>
      </c>
      <c r="BZ69" s="31">
        <v>0</v>
      </c>
      <c r="CA69" s="31">
        <v>0</v>
      </c>
      <c r="CB69" s="31">
        <v>0</v>
      </c>
      <c r="CC69" s="31">
        <v>0</v>
      </c>
      <c r="CD69" s="31">
        <v>0</v>
      </c>
      <c r="CE69" s="31">
        <v>8</v>
      </c>
      <c r="CF69" s="31">
        <v>0</v>
      </c>
      <c r="CG69" s="31">
        <v>0</v>
      </c>
      <c r="CH69" s="31">
        <v>0</v>
      </c>
      <c r="CI69" s="31">
        <v>0</v>
      </c>
      <c r="CJ69" s="31">
        <v>0</v>
      </c>
      <c r="CK69" s="31">
        <v>0</v>
      </c>
      <c r="CL69" s="35">
        <v>0</v>
      </c>
    </row>
    <row r="70" spans="1:90" ht="21" x14ac:dyDescent="0.15">
      <c r="A70" s="27" t="s">
        <v>718</v>
      </c>
      <c r="B70" s="28" t="s">
        <v>722</v>
      </c>
      <c r="C70" s="28">
        <v>0</v>
      </c>
      <c r="D70" s="28">
        <v>0</v>
      </c>
      <c r="E70" s="28">
        <v>0</v>
      </c>
      <c r="F70" s="28">
        <v>0</v>
      </c>
      <c r="G70" s="28">
        <v>52</v>
      </c>
      <c r="H70" s="28">
        <f>IFERROR(VLOOKUP(A70,[1]FALTANTES!$A:$AB,28,FALSE),"-")</f>
        <v>0</v>
      </c>
      <c r="I70" s="42">
        <f>IFERROR(VLOOKUP(A70,[1]FALTANTES!$A:$AC,29,FALSE),"-")</f>
        <v>0</v>
      </c>
      <c r="J70" s="29">
        <f>IFERROR(VLOOKUP(A70,[1]FALTANTES!$A:$AD,30,FALSE),"-")</f>
        <v>-52</v>
      </c>
      <c r="K70" s="30">
        <v>0</v>
      </c>
      <c r="L70" s="30">
        <f t="shared" si="1"/>
        <v>572</v>
      </c>
      <c r="M70" s="31">
        <f>SUMIFS(METALFISA!$E:$E,METALFISA!$A:$A,'Faltantes Fevereiro- Metalfisa'!M$3,METALFISA!$B:$B,'Faltantes Fevereiro- Metalfisa'!$A70)</f>
        <v>0</v>
      </c>
      <c r="N70" s="31">
        <f>SUMIFS(METALFISA!$E:$E,METALFISA!$A:$A,'Faltantes Fevereiro- Metalfisa'!N$3,METALFISA!$B:$B,'Faltantes Fevereiro- Metalfisa'!$A70)</f>
        <v>0</v>
      </c>
      <c r="O70" s="31">
        <f>SUMIFS(METALFISA!$E:$E,METALFISA!$A:$A,'Faltantes Fevereiro- Metalfisa'!O$3,METALFISA!$B:$B,'Faltantes Fevereiro- Metalfisa'!$A70)</f>
        <v>0</v>
      </c>
      <c r="P70" s="31">
        <f>SUMIFS(METALFISA!$E:$E,METALFISA!$A:$A,'Faltantes Fevereiro- Metalfisa'!P$3,METALFISA!$B:$B,'Faltantes Fevereiro- Metalfisa'!$A70)</f>
        <v>0</v>
      </c>
      <c r="Q70" s="31">
        <f>SUMIFS(METALFISA!$E:$E,METALFISA!$A:$A,'Faltantes Fevereiro- Metalfisa'!Q$3,METALFISA!$B:$B,'Faltantes Fevereiro- Metalfisa'!$A70)</f>
        <v>0</v>
      </c>
      <c r="R70" s="31">
        <f>SUMIFS(METALFISA!$E:$E,METALFISA!$A:$A,'Faltantes Fevereiro- Metalfisa'!R$3,METALFISA!$B:$B,'Faltantes Fevereiro- Metalfisa'!$A70)</f>
        <v>0</v>
      </c>
      <c r="S70" s="31">
        <f>SUMIFS(METALFISA!$E:$E,METALFISA!$A:$A,'Faltantes Fevereiro- Metalfisa'!S$3,METALFISA!$B:$B,'Faltantes Fevereiro- Metalfisa'!$A70)</f>
        <v>0</v>
      </c>
      <c r="T70" s="31">
        <f>SUMIFS(METALFISA!$E:$E,METALFISA!$A:$A,'Faltantes Fevereiro- Metalfisa'!T$3,METALFISA!$B:$B,'Faltantes Fevereiro- Metalfisa'!$A70)</f>
        <v>0</v>
      </c>
      <c r="U70" s="31">
        <f>SUMIFS(METALFISA!$E:$E,METALFISA!$A:$A,'Faltantes Fevereiro- Metalfisa'!U$3,METALFISA!$B:$B,'Faltantes Fevereiro- Metalfisa'!$A70)</f>
        <v>0</v>
      </c>
      <c r="V70" s="31">
        <f>SUMIFS(METALFISA!$E:$E,METALFISA!$A:$A,'Faltantes Fevereiro- Metalfisa'!V$3,METALFISA!$B:$B,'Faltantes Fevereiro- Metalfisa'!$A70)</f>
        <v>0</v>
      </c>
      <c r="W70" s="31">
        <f>SUMIFS(METALFISA!$E:$E,METALFISA!$A:$A,'Faltantes Fevereiro- Metalfisa'!W$3,METALFISA!$B:$B,'Faltantes Fevereiro- Metalfisa'!$A70)</f>
        <v>0</v>
      </c>
      <c r="X70" s="31">
        <f>SUMIFS(METALFISA!$E:$E,METALFISA!$A:$A,'Faltantes Fevereiro- Metalfisa'!X$3,METALFISA!$B:$B,'Faltantes Fevereiro- Metalfisa'!$A70)</f>
        <v>0</v>
      </c>
      <c r="Y70" s="31">
        <f>SUMIFS(METALFISA!$E:$E,METALFISA!$A:$A,'Faltantes Fevereiro- Metalfisa'!Y$3,METALFISA!$B:$B,'Faltantes Fevereiro- Metalfisa'!$A70)</f>
        <v>0</v>
      </c>
      <c r="Z70" s="31">
        <f>SUMIFS(METALFISA!$E:$E,METALFISA!$A:$A,'Faltantes Fevereiro- Metalfisa'!Z$3,METALFISA!$B:$B,'Faltantes Fevereiro- Metalfisa'!$A70)</f>
        <v>0</v>
      </c>
      <c r="AA70" s="31">
        <f>SUMIFS(METALFISA!$E:$E,METALFISA!$A:$A,'Faltantes Fevereiro- Metalfisa'!AA$3,METALFISA!$B:$B,'Faltantes Fevereiro- Metalfisa'!$A70)</f>
        <v>0</v>
      </c>
      <c r="AB70" s="31">
        <f>SUMIFS(METALFISA!$E:$E,METALFISA!$A:$A,'Faltantes Fevereiro- Metalfisa'!AB$3,METALFISA!$B:$B,'Faltantes Fevereiro- Metalfisa'!$A70)</f>
        <v>0</v>
      </c>
      <c r="AC70" s="31">
        <f>SUMIFS(METALFISA!$E:$E,METALFISA!$A:$A,'Faltantes Fevereiro- Metalfisa'!AC$3,METALFISA!$B:$B,'Faltantes Fevereiro- Metalfisa'!$A70)</f>
        <v>0</v>
      </c>
      <c r="AD70" s="31">
        <f>SUMIFS(METALFISA!$E:$E,METALFISA!$A:$A,'Faltantes Fevereiro- Metalfisa'!AD$3,METALFISA!$B:$B,'Faltantes Fevereiro- Metalfisa'!$A70)</f>
        <v>0</v>
      </c>
      <c r="AE70" s="31">
        <f>SUMIFS(METALFISA!$E:$E,METALFISA!$A:$A,'Faltantes Fevereiro- Metalfisa'!AE$3,METALFISA!$B:$B,'Faltantes Fevereiro- Metalfisa'!$A70)</f>
        <v>0</v>
      </c>
      <c r="AF70" s="31">
        <f>SUMIFS(METALFISA!$E:$E,METALFISA!$A:$A,'Faltantes Fevereiro- Metalfisa'!AF$3,METALFISA!$B:$B,'Faltantes Fevereiro- Metalfisa'!$A70)</f>
        <v>0</v>
      </c>
      <c r="AG70" s="31">
        <f>SUMIFS(METALFISA!$E:$E,METALFISA!$A:$A,'Faltantes Fevereiro- Metalfisa'!AG$3,METALFISA!$B:$B,'Faltantes Fevereiro- Metalfisa'!$A70)</f>
        <v>0</v>
      </c>
      <c r="AH70" s="31">
        <f>SUMIFS(METALFISA!$E:$E,METALFISA!$A:$A,'Faltantes Fevereiro- Metalfisa'!AH$3,METALFISA!$B:$B,'Faltantes Fevereiro- Metalfisa'!$A70)</f>
        <v>0</v>
      </c>
      <c r="AI70" s="31">
        <f>SUMIFS(METALFISA!$E:$E,METALFISA!$A:$A,'Faltantes Fevereiro- Metalfisa'!AI$3,METALFISA!$B:$B,'Faltantes Fevereiro- Metalfisa'!$A70)</f>
        <v>0</v>
      </c>
      <c r="AJ70" s="31">
        <f>SUMIFS(METALFISA!$E:$E,METALFISA!$A:$A,'Faltantes Fevereiro- Metalfisa'!AJ$3,METALFISA!$B:$B,'Faltantes Fevereiro- Metalfisa'!$A70)</f>
        <v>0</v>
      </c>
      <c r="AK70" s="31">
        <f>SUMIFS(METALFISA!$E:$E,METALFISA!$A:$A,'Faltantes Fevereiro- Metalfisa'!AK$3,METALFISA!$B:$B,'Faltantes Fevereiro- Metalfisa'!$A70)</f>
        <v>520</v>
      </c>
      <c r="AL70" s="31">
        <f>SUMIFS(METALFISA!$E:$E,METALFISA!$A:$A,'Faltantes Fevereiro- Metalfisa'!AL$3,METALFISA!$B:$B,'Faltantes Fevereiro- Metalfisa'!$A70)</f>
        <v>0</v>
      </c>
      <c r="AM70" s="31">
        <f>SUMIFS(METALFISA!$E:$E,METALFISA!$A:$A,'Faltantes Fevereiro- Metalfisa'!AM$3,METALFISA!$B:$B,'Faltantes Fevereiro- Metalfisa'!$A70)</f>
        <v>52</v>
      </c>
      <c r="AN70" s="31">
        <f>SUMIFS(METALFISA!$E:$E,METALFISA!$A:$A,'Faltantes Fevereiro- Metalfisa'!AN$3,METALFISA!$B:$B,'Faltantes Fevereiro- Metalfisa'!$A70)</f>
        <v>0</v>
      </c>
      <c r="AO70" s="31">
        <f>SUMIFS(METALFISA!$E:$E,METALFISA!$A:$A,'Faltantes Fevereiro- Metalfisa'!AO$3,METALFISA!$B:$B,'Faltantes Fevereiro- Metalfisa'!$A70)</f>
        <v>0</v>
      </c>
      <c r="AP70" s="31">
        <f>SUMIFS(METALFISA!$E:$E,METALFISA!$A:$A,'Faltantes Fevereiro- Metalfisa'!AP$3,METALFISA!$B:$B,'Faltantes Fevereiro- Metalfisa'!$A70)</f>
        <v>0</v>
      </c>
      <c r="AQ70" s="31"/>
      <c r="AR70" s="31">
        <f>SUMIFS(METALFISA!$E:$E,METALFISA!$A:$A,'Faltantes Fevereiro- Metalfisa'!AR$3,METALFISA!$B:$B,'Faltantes Fevereiro- Metalfisa'!$A70)</f>
        <v>0</v>
      </c>
      <c r="AS70" s="35">
        <f>SUMIFS(METALFISA!$E:$E,METALFISA!$A:$A,'Faltantes Fevereiro- Metalfisa'!AS$3,METALFISA!$B:$B,'Faltantes Fevereiro- Metalfisa'!$A70)</f>
        <v>0</v>
      </c>
      <c r="AU70" s="18">
        <v>0</v>
      </c>
      <c r="AV70" s="18">
        <v>0</v>
      </c>
      <c r="AW70" s="18">
        <v>0</v>
      </c>
      <c r="AX70" s="18">
        <v>0</v>
      </c>
      <c r="AY70" s="41">
        <v>0</v>
      </c>
      <c r="AZ70" s="31">
        <v>0</v>
      </c>
      <c r="BA70" s="31">
        <v>0</v>
      </c>
      <c r="BB70" s="31">
        <v>0</v>
      </c>
      <c r="BC70" s="31">
        <v>0</v>
      </c>
      <c r="BD70" s="31">
        <v>0</v>
      </c>
      <c r="BE70" s="31">
        <v>0</v>
      </c>
      <c r="BF70" s="31">
        <v>0</v>
      </c>
      <c r="BG70" s="31">
        <v>0</v>
      </c>
      <c r="BH70" s="31">
        <v>0</v>
      </c>
      <c r="BI70" s="31">
        <v>0</v>
      </c>
      <c r="BJ70" s="31">
        <v>0</v>
      </c>
      <c r="BK70" s="31">
        <v>0</v>
      </c>
      <c r="BL70" s="31">
        <v>0</v>
      </c>
      <c r="BM70" s="31">
        <v>0</v>
      </c>
      <c r="BN70" s="31">
        <v>0</v>
      </c>
      <c r="BO70" s="31">
        <v>0</v>
      </c>
      <c r="BP70" s="31">
        <v>0</v>
      </c>
      <c r="BQ70" s="31">
        <v>0</v>
      </c>
      <c r="BR70" s="31">
        <v>0</v>
      </c>
      <c r="BS70" s="31">
        <v>0</v>
      </c>
      <c r="BT70" s="31">
        <v>0</v>
      </c>
      <c r="BU70" s="31">
        <v>0</v>
      </c>
      <c r="BV70" s="31">
        <v>0</v>
      </c>
      <c r="BW70" s="31">
        <v>0</v>
      </c>
      <c r="BX70" s="31">
        <v>0</v>
      </c>
      <c r="BY70" s="31">
        <v>0</v>
      </c>
      <c r="BZ70" s="31">
        <v>0</v>
      </c>
      <c r="CA70" s="31">
        <v>0</v>
      </c>
      <c r="CB70" s="31">
        <v>0</v>
      </c>
      <c r="CC70" s="31">
        <v>0</v>
      </c>
      <c r="CD70" s="31">
        <v>0</v>
      </c>
      <c r="CE70" s="31">
        <v>0</v>
      </c>
      <c r="CF70" s="31">
        <v>0</v>
      </c>
      <c r="CG70" s="31">
        <v>2</v>
      </c>
      <c r="CH70" s="31">
        <v>4</v>
      </c>
      <c r="CI70" s="31">
        <v>0</v>
      </c>
      <c r="CJ70" s="31">
        <v>4</v>
      </c>
      <c r="CK70" s="31">
        <v>0</v>
      </c>
      <c r="CL70" s="35">
        <v>0</v>
      </c>
    </row>
    <row r="71" spans="1:90" x14ac:dyDescent="0.15">
      <c r="A71" s="27" t="s">
        <v>61</v>
      </c>
      <c r="B71" s="28" t="s">
        <v>498</v>
      </c>
      <c r="C71" s="28">
        <v>0</v>
      </c>
      <c r="D71" s="28">
        <v>0</v>
      </c>
      <c r="E71" s="28">
        <v>0</v>
      </c>
      <c r="F71" s="28">
        <v>0</v>
      </c>
      <c r="G71" s="28">
        <v>16</v>
      </c>
      <c r="H71" s="28">
        <f>IFERROR(VLOOKUP(A71,[1]FALTANTES!$A:$AB,28,FALSE),"-")</f>
        <v>0</v>
      </c>
      <c r="I71" s="42">
        <f>IFERROR(VLOOKUP(A71,[1]FALTANTES!$A:$AC,29,FALSE),"-")</f>
        <v>0</v>
      </c>
      <c r="J71" s="29">
        <f>IFERROR(VLOOKUP(A71,[1]FALTANTES!$A:$AD,30,FALSE),"-")</f>
        <v>-16</v>
      </c>
      <c r="K71" s="30">
        <v>0</v>
      </c>
      <c r="L71" s="30">
        <f t="shared" si="1"/>
        <v>32</v>
      </c>
      <c r="M71" s="31">
        <f>SUMIFS(METALFISA!$E:$E,METALFISA!$A:$A,'Faltantes Fevereiro- Metalfisa'!M$3,METALFISA!$B:$B,'Faltantes Fevereiro- Metalfisa'!$A71)</f>
        <v>0</v>
      </c>
      <c r="N71" s="31">
        <f>SUMIFS(METALFISA!$E:$E,METALFISA!$A:$A,'Faltantes Fevereiro- Metalfisa'!N$3,METALFISA!$B:$B,'Faltantes Fevereiro- Metalfisa'!$A71)</f>
        <v>0</v>
      </c>
      <c r="O71" s="31">
        <f>SUMIFS(METALFISA!$E:$E,METALFISA!$A:$A,'Faltantes Fevereiro- Metalfisa'!O$3,METALFISA!$B:$B,'Faltantes Fevereiro- Metalfisa'!$A71)</f>
        <v>0</v>
      </c>
      <c r="P71" s="31">
        <f>SUMIFS(METALFISA!$E:$E,METALFISA!$A:$A,'Faltantes Fevereiro- Metalfisa'!P$3,METALFISA!$B:$B,'Faltantes Fevereiro- Metalfisa'!$A71)</f>
        <v>0</v>
      </c>
      <c r="Q71" s="31">
        <f>SUMIFS(METALFISA!$E:$E,METALFISA!$A:$A,'Faltantes Fevereiro- Metalfisa'!Q$3,METALFISA!$B:$B,'Faltantes Fevereiro- Metalfisa'!$A71)</f>
        <v>0</v>
      </c>
      <c r="R71" s="31">
        <f>SUMIFS(METALFISA!$E:$E,METALFISA!$A:$A,'Faltantes Fevereiro- Metalfisa'!R$3,METALFISA!$B:$B,'Faltantes Fevereiro- Metalfisa'!$A71)</f>
        <v>0</v>
      </c>
      <c r="S71" s="31">
        <f>SUMIFS(METALFISA!$E:$E,METALFISA!$A:$A,'Faltantes Fevereiro- Metalfisa'!S$3,METALFISA!$B:$B,'Faltantes Fevereiro- Metalfisa'!$A71)</f>
        <v>0</v>
      </c>
      <c r="T71" s="31">
        <f>SUMIFS(METALFISA!$E:$E,METALFISA!$A:$A,'Faltantes Fevereiro- Metalfisa'!T$3,METALFISA!$B:$B,'Faltantes Fevereiro- Metalfisa'!$A71)</f>
        <v>0</v>
      </c>
      <c r="U71" s="31">
        <f>SUMIFS(METALFISA!$E:$E,METALFISA!$A:$A,'Faltantes Fevereiro- Metalfisa'!U$3,METALFISA!$B:$B,'Faltantes Fevereiro- Metalfisa'!$A71)</f>
        <v>0</v>
      </c>
      <c r="V71" s="31">
        <f>SUMIFS(METALFISA!$E:$E,METALFISA!$A:$A,'Faltantes Fevereiro- Metalfisa'!V$3,METALFISA!$B:$B,'Faltantes Fevereiro- Metalfisa'!$A71)</f>
        <v>0</v>
      </c>
      <c r="W71" s="31">
        <f>SUMIFS(METALFISA!$E:$E,METALFISA!$A:$A,'Faltantes Fevereiro- Metalfisa'!W$3,METALFISA!$B:$B,'Faltantes Fevereiro- Metalfisa'!$A71)</f>
        <v>0</v>
      </c>
      <c r="X71" s="31">
        <f>SUMIFS(METALFISA!$E:$E,METALFISA!$A:$A,'Faltantes Fevereiro- Metalfisa'!X$3,METALFISA!$B:$B,'Faltantes Fevereiro- Metalfisa'!$A71)</f>
        <v>0</v>
      </c>
      <c r="Y71" s="31">
        <f>SUMIFS(METALFISA!$E:$E,METALFISA!$A:$A,'Faltantes Fevereiro- Metalfisa'!Y$3,METALFISA!$B:$B,'Faltantes Fevereiro- Metalfisa'!$A71)</f>
        <v>0</v>
      </c>
      <c r="Z71" s="31">
        <f>SUMIFS(METALFISA!$E:$E,METALFISA!$A:$A,'Faltantes Fevereiro- Metalfisa'!Z$3,METALFISA!$B:$B,'Faltantes Fevereiro- Metalfisa'!$A71)</f>
        <v>0</v>
      </c>
      <c r="AA71" s="31">
        <f>SUMIFS(METALFISA!$E:$E,METALFISA!$A:$A,'Faltantes Fevereiro- Metalfisa'!AA$3,METALFISA!$B:$B,'Faltantes Fevereiro- Metalfisa'!$A71)</f>
        <v>0</v>
      </c>
      <c r="AB71" s="31">
        <f>SUMIFS(METALFISA!$E:$E,METALFISA!$A:$A,'Faltantes Fevereiro- Metalfisa'!AB$3,METALFISA!$B:$B,'Faltantes Fevereiro- Metalfisa'!$A71)</f>
        <v>0</v>
      </c>
      <c r="AC71" s="31">
        <f>SUMIFS(METALFISA!$E:$E,METALFISA!$A:$A,'Faltantes Fevereiro- Metalfisa'!AC$3,METALFISA!$B:$B,'Faltantes Fevereiro- Metalfisa'!$A71)</f>
        <v>0</v>
      </c>
      <c r="AD71" s="31">
        <f>SUMIFS(METALFISA!$E:$E,METALFISA!$A:$A,'Faltantes Fevereiro- Metalfisa'!AD$3,METALFISA!$B:$B,'Faltantes Fevereiro- Metalfisa'!$A71)</f>
        <v>0</v>
      </c>
      <c r="AE71" s="31">
        <f>SUMIFS(METALFISA!$E:$E,METALFISA!$A:$A,'Faltantes Fevereiro- Metalfisa'!AE$3,METALFISA!$B:$B,'Faltantes Fevereiro- Metalfisa'!$A71)</f>
        <v>0</v>
      </c>
      <c r="AF71" s="31">
        <f>SUMIFS(METALFISA!$E:$E,METALFISA!$A:$A,'Faltantes Fevereiro- Metalfisa'!AF$3,METALFISA!$B:$B,'Faltantes Fevereiro- Metalfisa'!$A71)</f>
        <v>0</v>
      </c>
      <c r="AG71" s="31">
        <f>SUMIFS(METALFISA!$E:$E,METALFISA!$A:$A,'Faltantes Fevereiro- Metalfisa'!AG$3,METALFISA!$B:$B,'Faltantes Fevereiro- Metalfisa'!$A71)</f>
        <v>0</v>
      </c>
      <c r="AH71" s="31">
        <f>SUMIFS(METALFISA!$E:$E,METALFISA!$A:$A,'Faltantes Fevereiro- Metalfisa'!AH$3,METALFISA!$B:$B,'Faltantes Fevereiro- Metalfisa'!$A71)</f>
        <v>32</v>
      </c>
      <c r="AI71" s="31">
        <f>SUMIFS(METALFISA!$E:$E,METALFISA!$A:$A,'Faltantes Fevereiro- Metalfisa'!AI$3,METALFISA!$B:$B,'Faltantes Fevereiro- Metalfisa'!$A71)</f>
        <v>0</v>
      </c>
      <c r="AJ71" s="31">
        <f>SUMIFS(METALFISA!$E:$E,METALFISA!$A:$A,'Faltantes Fevereiro- Metalfisa'!AJ$3,METALFISA!$B:$B,'Faltantes Fevereiro- Metalfisa'!$A71)</f>
        <v>0</v>
      </c>
      <c r="AK71" s="31">
        <f>SUMIFS(METALFISA!$E:$E,METALFISA!$A:$A,'Faltantes Fevereiro- Metalfisa'!AK$3,METALFISA!$B:$B,'Faltantes Fevereiro- Metalfisa'!$A71)</f>
        <v>0</v>
      </c>
      <c r="AL71" s="31">
        <f>SUMIFS(METALFISA!$E:$E,METALFISA!$A:$A,'Faltantes Fevereiro- Metalfisa'!AL$3,METALFISA!$B:$B,'Faltantes Fevereiro- Metalfisa'!$A71)</f>
        <v>0</v>
      </c>
      <c r="AM71" s="31">
        <f>SUMIFS(METALFISA!$E:$E,METALFISA!$A:$A,'Faltantes Fevereiro- Metalfisa'!AM$3,METALFISA!$B:$B,'Faltantes Fevereiro- Metalfisa'!$A71)</f>
        <v>0</v>
      </c>
      <c r="AN71" s="31">
        <f>SUMIFS(METALFISA!$E:$E,METALFISA!$A:$A,'Faltantes Fevereiro- Metalfisa'!AN$3,METALFISA!$B:$B,'Faltantes Fevereiro- Metalfisa'!$A71)</f>
        <v>0</v>
      </c>
      <c r="AO71" s="31">
        <f>SUMIFS(METALFISA!$E:$E,METALFISA!$A:$A,'Faltantes Fevereiro- Metalfisa'!AO$3,METALFISA!$B:$B,'Faltantes Fevereiro- Metalfisa'!$A71)</f>
        <v>0</v>
      </c>
      <c r="AP71" s="31">
        <f>SUMIFS(METALFISA!$E:$E,METALFISA!$A:$A,'Faltantes Fevereiro- Metalfisa'!AP$3,METALFISA!$B:$B,'Faltantes Fevereiro- Metalfisa'!$A71)</f>
        <v>0</v>
      </c>
      <c r="AQ71" s="31"/>
      <c r="AR71" s="31">
        <f>SUMIFS(METALFISA!$E:$E,METALFISA!$A:$A,'Faltantes Fevereiro- Metalfisa'!AR$3,METALFISA!$B:$B,'Faltantes Fevereiro- Metalfisa'!$A71)</f>
        <v>0</v>
      </c>
      <c r="AS71" s="35">
        <f>SUMIFS(METALFISA!$E:$E,METALFISA!$A:$A,'Faltantes Fevereiro- Metalfisa'!AS$3,METALFISA!$B:$B,'Faltantes Fevereiro- Metalfisa'!$A71)</f>
        <v>0</v>
      </c>
      <c r="AU71" s="18">
        <v>0</v>
      </c>
      <c r="AV71" s="18">
        <v>0</v>
      </c>
      <c r="AW71" s="18">
        <v>0</v>
      </c>
      <c r="AX71" s="18">
        <v>0</v>
      </c>
      <c r="AY71" s="41">
        <v>2</v>
      </c>
      <c r="AZ71" s="31">
        <v>2</v>
      </c>
      <c r="BA71" s="31">
        <v>0</v>
      </c>
      <c r="BB71" s="31">
        <v>0</v>
      </c>
      <c r="BC71" s="31">
        <v>0</v>
      </c>
      <c r="BD71" s="31">
        <v>0</v>
      </c>
      <c r="BE71" s="31">
        <v>0</v>
      </c>
      <c r="BF71" s="31">
        <v>0</v>
      </c>
      <c r="BG71" s="31">
        <v>0</v>
      </c>
      <c r="BH71" s="31">
        <v>0</v>
      </c>
      <c r="BI71" s="31">
        <v>0</v>
      </c>
      <c r="BJ71" s="31">
        <v>4</v>
      </c>
      <c r="BK71" s="31">
        <v>0</v>
      </c>
      <c r="BL71" s="31">
        <v>0</v>
      </c>
      <c r="BM71" s="31">
        <v>0</v>
      </c>
      <c r="BN71" s="31">
        <v>0</v>
      </c>
      <c r="BO71" s="31">
        <v>0</v>
      </c>
      <c r="BP71" s="31">
        <v>0</v>
      </c>
      <c r="BQ71" s="31">
        <v>0</v>
      </c>
      <c r="BR71" s="31">
        <v>0</v>
      </c>
      <c r="BS71" s="31">
        <v>0</v>
      </c>
      <c r="BT71" s="31">
        <v>0</v>
      </c>
      <c r="BU71" s="31">
        <v>0</v>
      </c>
      <c r="BV71" s="31">
        <v>0</v>
      </c>
      <c r="BW71" s="31">
        <v>0</v>
      </c>
      <c r="BX71" s="31">
        <v>0</v>
      </c>
      <c r="BY71" s="31">
        <v>0</v>
      </c>
      <c r="BZ71" s="31">
        <v>0</v>
      </c>
      <c r="CA71" s="31">
        <v>0</v>
      </c>
      <c r="CB71" s="31">
        <v>0</v>
      </c>
      <c r="CC71" s="31">
        <v>0</v>
      </c>
      <c r="CD71" s="31">
        <v>0</v>
      </c>
      <c r="CE71" s="31">
        <v>0</v>
      </c>
      <c r="CF71" s="31">
        <v>0</v>
      </c>
      <c r="CG71" s="31">
        <v>0</v>
      </c>
      <c r="CH71" s="31">
        <v>0</v>
      </c>
      <c r="CI71" s="31">
        <v>0</v>
      </c>
      <c r="CJ71" s="31">
        <v>0</v>
      </c>
      <c r="CK71" s="31">
        <v>0</v>
      </c>
      <c r="CL71" s="35">
        <v>0</v>
      </c>
    </row>
    <row r="72" spans="1:90" ht="21" x14ac:dyDescent="0.15">
      <c r="A72" s="27" t="s">
        <v>62</v>
      </c>
      <c r="B72" s="28" t="s">
        <v>5577</v>
      </c>
      <c r="C72" s="28">
        <v>0</v>
      </c>
      <c r="D72" s="28">
        <v>0</v>
      </c>
      <c r="E72" s="28">
        <v>2</v>
      </c>
      <c r="F72" s="28">
        <v>0</v>
      </c>
      <c r="G72" s="28">
        <v>6</v>
      </c>
      <c r="H72" s="28">
        <f>IFERROR(VLOOKUP(A72,[1]FALTANTES!$A:$AB,28,FALSE),"-")</f>
        <v>0</v>
      </c>
      <c r="I72" s="42">
        <f>IFERROR(VLOOKUP(A72,[1]FALTANTES!$A:$AC,29,FALSE),"-")</f>
        <v>0</v>
      </c>
      <c r="J72" s="29">
        <f>IFERROR(VLOOKUP(A72,[1]FALTANTES!$A:$AD,30,FALSE),"-")</f>
        <v>-8</v>
      </c>
      <c r="K72" s="30">
        <v>0</v>
      </c>
      <c r="L72" s="30">
        <f t="shared" si="1"/>
        <v>40</v>
      </c>
      <c r="M72" s="31">
        <f>SUMIFS(METALFISA!$E:$E,METALFISA!$A:$A,'Faltantes Fevereiro- Metalfisa'!M$3,METALFISA!$B:$B,'Faltantes Fevereiro- Metalfisa'!$A72)</f>
        <v>0</v>
      </c>
      <c r="N72" s="31">
        <f>SUMIFS(METALFISA!$E:$E,METALFISA!$A:$A,'Faltantes Fevereiro- Metalfisa'!N$3,METALFISA!$B:$B,'Faltantes Fevereiro- Metalfisa'!$A72)</f>
        <v>0</v>
      </c>
      <c r="O72" s="31">
        <f>SUMIFS(METALFISA!$E:$E,METALFISA!$A:$A,'Faltantes Fevereiro- Metalfisa'!O$3,METALFISA!$B:$B,'Faltantes Fevereiro- Metalfisa'!$A72)</f>
        <v>0</v>
      </c>
      <c r="P72" s="31">
        <f>SUMIFS(METALFISA!$E:$E,METALFISA!$A:$A,'Faltantes Fevereiro- Metalfisa'!P$3,METALFISA!$B:$B,'Faltantes Fevereiro- Metalfisa'!$A72)</f>
        <v>0</v>
      </c>
      <c r="Q72" s="31">
        <f>SUMIFS(METALFISA!$E:$E,METALFISA!$A:$A,'Faltantes Fevereiro- Metalfisa'!Q$3,METALFISA!$B:$B,'Faltantes Fevereiro- Metalfisa'!$A72)</f>
        <v>0</v>
      </c>
      <c r="R72" s="31">
        <f>SUMIFS(METALFISA!$E:$E,METALFISA!$A:$A,'Faltantes Fevereiro- Metalfisa'!R$3,METALFISA!$B:$B,'Faltantes Fevereiro- Metalfisa'!$A72)</f>
        <v>0</v>
      </c>
      <c r="S72" s="31">
        <f>SUMIFS(METALFISA!$E:$E,METALFISA!$A:$A,'Faltantes Fevereiro- Metalfisa'!S$3,METALFISA!$B:$B,'Faltantes Fevereiro- Metalfisa'!$A72)</f>
        <v>0</v>
      </c>
      <c r="T72" s="31">
        <f>SUMIFS(METALFISA!$E:$E,METALFISA!$A:$A,'Faltantes Fevereiro- Metalfisa'!T$3,METALFISA!$B:$B,'Faltantes Fevereiro- Metalfisa'!$A72)</f>
        <v>0</v>
      </c>
      <c r="U72" s="31">
        <f>SUMIFS(METALFISA!$E:$E,METALFISA!$A:$A,'Faltantes Fevereiro- Metalfisa'!U$3,METALFISA!$B:$B,'Faltantes Fevereiro- Metalfisa'!$A72)</f>
        <v>0</v>
      </c>
      <c r="V72" s="31">
        <f>SUMIFS(METALFISA!$E:$E,METALFISA!$A:$A,'Faltantes Fevereiro- Metalfisa'!V$3,METALFISA!$B:$B,'Faltantes Fevereiro- Metalfisa'!$A72)</f>
        <v>0</v>
      </c>
      <c r="W72" s="31">
        <f>SUMIFS(METALFISA!$E:$E,METALFISA!$A:$A,'Faltantes Fevereiro- Metalfisa'!W$3,METALFISA!$B:$B,'Faltantes Fevereiro- Metalfisa'!$A72)</f>
        <v>0</v>
      </c>
      <c r="X72" s="31">
        <f>SUMIFS(METALFISA!$E:$E,METALFISA!$A:$A,'Faltantes Fevereiro- Metalfisa'!X$3,METALFISA!$B:$B,'Faltantes Fevereiro- Metalfisa'!$A72)</f>
        <v>0</v>
      </c>
      <c r="Y72" s="31">
        <f>SUMIFS(METALFISA!$E:$E,METALFISA!$A:$A,'Faltantes Fevereiro- Metalfisa'!Y$3,METALFISA!$B:$B,'Faltantes Fevereiro- Metalfisa'!$A72)</f>
        <v>0</v>
      </c>
      <c r="Z72" s="31">
        <f>SUMIFS(METALFISA!$E:$E,METALFISA!$A:$A,'Faltantes Fevereiro- Metalfisa'!Z$3,METALFISA!$B:$B,'Faltantes Fevereiro- Metalfisa'!$A72)</f>
        <v>0</v>
      </c>
      <c r="AA72" s="31">
        <f>SUMIFS(METALFISA!$E:$E,METALFISA!$A:$A,'Faltantes Fevereiro- Metalfisa'!AA$3,METALFISA!$B:$B,'Faltantes Fevereiro- Metalfisa'!$A72)</f>
        <v>0</v>
      </c>
      <c r="AB72" s="31">
        <f>SUMIFS(METALFISA!$E:$E,METALFISA!$A:$A,'Faltantes Fevereiro- Metalfisa'!AB$3,METALFISA!$B:$B,'Faltantes Fevereiro- Metalfisa'!$A72)</f>
        <v>0</v>
      </c>
      <c r="AC72" s="31">
        <f>SUMIFS(METALFISA!$E:$E,METALFISA!$A:$A,'Faltantes Fevereiro- Metalfisa'!AC$3,METALFISA!$B:$B,'Faltantes Fevereiro- Metalfisa'!$A72)</f>
        <v>0</v>
      </c>
      <c r="AD72" s="31">
        <f>SUMIFS(METALFISA!$E:$E,METALFISA!$A:$A,'Faltantes Fevereiro- Metalfisa'!AD$3,METALFISA!$B:$B,'Faltantes Fevereiro- Metalfisa'!$A72)</f>
        <v>0</v>
      </c>
      <c r="AE72" s="31">
        <f>SUMIFS(METALFISA!$E:$E,METALFISA!$A:$A,'Faltantes Fevereiro- Metalfisa'!AE$3,METALFISA!$B:$B,'Faltantes Fevereiro- Metalfisa'!$A72)</f>
        <v>0</v>
      </c>
      <c r="AF72" s="31">
        <f>SUMIFS(METALFISA!$E:$E,METALFISA!$A:$A,'Faltantes Fevereiro- Metalfisa'!AF$3,METALFISA!$B:$B,'Faltantes Fevereiro- Metalfisa'!$A72)</f>
        <v>0</v>
      </c>
      <c r="AG72" s="31">
        <f>SUMIFS(METALFISA!$E:$E,METALFISA!$A:$A,'Faltantes Fevereiro- Metalfisa'!AG$3,METALFISA!$B:$B,'Faltantes Fevereiro- Metalfisa'!$A72)</f>
        <v>0</v>
      </c>
      <c r="AH72" s="31">
        <f>SUMIFS(METALFISA!$E:$E,METALFISA!$A:$A,'Faltantes Fevereiro- Metalfisa'!AH$3,METALFISA!$B:$B,'Faltantes Fevereiro- Metalfisa'!$A72)</f>
        <v>0</v>
      </c>
      <c r="AI72" s="31">
        <f>SUMIFS(METALFISA!$E:$E,METALFISA!$A:$A,'Faltantes Fevereiro- Metalfisa'!AI$3,METALFISA!$B:$B,'Faltantes Fevereiro- Metalfisa'!$A72)</f>
        <v>0</v>
      </c>
      <c r="AJ72" s="31">
        <f>SUMIFS(METALFISA!$E:$E,METALFISA!$A:$A,'Faltantes Fevereiro- Metalfisa'!AJ$3,METALFISA!$B:$B,'Faltantes Fevereiro- Metalfisa'!$A72)</f>
        <v>0</v>
      </c>
      <c r="AK72" s="31">
        <f>SUMIFS(METALFISA!$E:$E,METALFISA!$A:$A,'Faltantes Fevereiro- Metalfisa'!AK$3,METALFISA!$B:$B,'Faltantes Fevereiro- Metalfisa'!$A72)</f>
        <v>32</v>
      </c>
      <c r="AL72" s="31">
        <f>SUMIFS(METALFISA!$E:$E,METALFISA!$A:$A,'Faltantes Fevereiro- Metalfisa'!AL$3,METALFISA!$B:$B,'Faltantes Fevereiro- Metalfisa'!$A72)</f>
        <v>0</v>
      </c>
      <c r="AM72" s="31">
        <f>SUMIFS(METALFISA!$E:$E,METALFISA!$A:$A,'Faltantes Fevereiro- Metalfisa'!AM$3,METALFISA!$B:$B,'Faltantes Fevereiro- Metalfisa'!$A72)</f>
        <v>8</v>
      </c>
      <c r="AN72" s="31">
        <f>SUMIFS(METALFISA!$E:$E,METALFISA!$A:$A,'Faltantes Fevereiro- Metalfisa'!AN$3,METALFISA!$B:$B,'Faltantes Fevereiro- Metalfisa'!$A72)</f>
        <v>0</v>
      </c>
      <c r="AO72" s="31">
        <f>SUMIFS(METALFISA!$E:$E,METALFISA!$A:$A,'Faltantes Fevereiro- Metalfisa'!AO$3,METALFISA!$B:$B,'Faltantes Fevereiro- Metalfisa'!$A72)</f>
        <v>0</v>
      </c>
      <c r="AP72" s="31">
        <f>SUMIFS(METALFISA!$E:$E,METALFISA!$A:$A,'Faltantes Fevereiro- Metalfisa'!AP$3,METALFISA!$B:$B,'Faltantes Fevereiro- Metalfisa'!$A72)</f>
        <v>0</v>
      </c>
      <c r="AQ72" s="31"/>
      <c r="AR72" s="31">
        <f>SUMIFS(METALFISA!$E:$E,METALFISA!$A:$A,'Faltantes Fevereiro- Metalfisa'!AR$3,METALFISA!$B:$B,'Faltantes Fevereiro- Metalfisa'!$A72)</f>
        <v>0</v>
      </c>
      <c r="AS72" s="35">
        <f>SUMIFS(METALFISA!$E:$E,METALFISA!$A:$A,'Faltantes Fevereiro- Metalfisa'!AS$3,METALFISA!$B:$B,'Faltantes Fevereiro- Metalfisa'!$A72)</f>
        <v>0</v>
      </c>
      <c r="AU72" s="18">
        <v>0</v>
      </c>
      <c r="AV72" s="18">
        <v>0</v>
      </c>
      <c r="AW72" s="18">
        <v>0</v>
      </c>
      <c r="AX72" s="18">
        <v>0</v>
      </c>
      <c r="AY72" s="41">
        <v>0</v>
      </c>
      <c r="AZ72" s="31">
        <v>0</v>
      </c>
      <c r="BA72" s="31">
        <v>0</v>
      </c>
      <c r="BB72" s="31">
        <v>0</v>
      </c>
      <c r="BC72" s="31">
        <v>0</v>
      </c>
      <c r="BD72" s="31">
        <v>0</v>
      </c>
      <c r="BE72" s="31">
        <v>0</v>
      </c>
      <c r="BF72" s="31">
        <v>0</v>
      </c>
      <c r="BG72" s="31">
        <v>0</v>
      </c>
      <c r="BH72" s="31">
        <v>0</v>
      </c>
      <c r="BI72" s="31">
        <v>0</v>
      </c>
      <c r="BJ72" s="31">
        <v>0</v>
      </c>
      <c r="BK72" s="31">
        <v>0</v>
      </c>
      <c r="BL72" s="31">
        <v>0</v>
      </c>
      <c r="BM72" s="31">
        <v>0</v>
      </c>
      <c r="BN72" s="31">
        <v>0</v>
      </c>
      <c r="BO72" s="31">
        <v>0</v>
      </c>
      <c r="BP72" s="31">
        <v>0</v>
      </c>
      <c r="BQ72" s="31">
        <v>0</v>
      </c>
      <c r="BR72" s="31">
        <v>0</v>
      </c>
      <c r="BS72" s="31">
        <v>0</v>
      </c>
      <c r="BT72" s="31">
        <v>0</v>
      </c>
      <c r="BU72" s="31">
        <v>0</v>
      </c>
      <c r="BV72" s="31">
        <v>0</v>
      </c>
      <c r="BW72" s="31">
        <v>0</v>
      </c>
      <c r="BX72" s="31">
        <v>0</v>
      </c>
      <c r="BY72" s="31">
        <v>0</v>
      </c>
      <c r="BZ72" s="31">
        <v>0</v>
      </c>
      <c r="CA72" s="31">
        <v>0</v>
      </c>
      <c r="CB72" s="31">
        <v>0</v>
      </c>
      <c r="CC72" s="31">
        <v>0</v>
      </c>
      <c r="CD72" s="31">
        <v>0</v>
      </c>
      <c r="CE72" s="31">
        <v>2</v>
      </c>
      <c r="CF72" s="31">
        <v>0</v>
      </c>
      <c r="CG72" s="31">
        <v>0</v>
      </c>
      <c r="CH72" s="31">
        <v>0</v>
      </c>
      <c r="CI72" s="31">
        <v>0</v>
      </c>
      <c r="CJ72" s="31">
        <v>0</v>
      </c>
      <c r="CK72" s="31">
        <v>0</v>
      </c>
      <c r="CL72" s="35">
        <v>0</v>
      </c>
    </row>
    <row r="73" spans="1:90" ht="21" x14ac:dyDescent="0.15">
      <c r="A73" s="27" t="s">
        <v>63</v>
      </c>
      <c r="B73" s="28" t="s">
        <v>64</v>
      </c>
      <c r="C73" s="28">
        <v>0</v>
      </c>
      <c r="D73" s="28">
        <v>0</v>
      </c>
      <c r="E73" s="28">
        <v>0</v>
      </c>
      <c r="F73" s="28">
        <v>0</v>
      </c>
      <c r="G73" s="28">
        <v>4</v>
      </c>
      <c r="H73" s="28">
        <f>IFERROR(VLOOKUP(A73,[1]FALTANTES!$A:$AB,28,FALSE),"-")</f>
        <v>0</v>
      </c>
      <c r="I73" s="42">
        <f>IFERROR(VLOOKUP(A73,[1]FALTANTES!$A:$AC,29,FALSE),"-")</f>
        <v>0</v>
      </c>
      <c r="J73" s="29">
        <f>IFERROR(VLOOKUP(A73,[1]FALTANTES!$A:$AD,30,FALSE),"-")</f>
        <v>-4</v>
      </c>
      <c r="K73" s="30">
        <v>0</v>
      </c>
      <c r="L73" s="30">
        <f t="shared" si="1"/>
        <v>254</v>
      </c>
      <c r="M73" s="31">
        <f>SUMIFS(METALFISA!$E:$E,METALFISA!$A:$A,'Faltantes Fevereiro- Metalfisa'!M$3,METALFISA!$B:$B,'Faltantes Fevereiro- Metalfisa'!$A73)</f>
        <v>0</v>
      </c>
      <c r="N73" s="31">
        <f>SUMIFS(METALFISA!$E:$E,METALFISA!$A:$A,'Faltantes Fevereiro- Metalfisa'!N$3,METALFISA!$B:$B,'Faltantes Fevereiro- Metalfisa'!$A73)</f>
        <v>0</v>
      </c>
      <c r="O73" s="31">
        <f>SUMIFS(METALFISA!$E:$E,METALFISA!$A:$A,'Faltantes Fevereiro- Metalfisa'!O$3,METALFISA!$B:$B,'Faltantes Fevereiro- Metalfisa'!$A73)</f>
        <v>0</v>
      </c>
      <c r="P73" s="31">
        <f>SUMIFS(METALFISA!$E:$E,METALFISA!$A:$A,'Faltantes Fevereiro- Metalfisa'!P$3,METALFISA!$B:$B,'Faltantes Fevereiro- Metalfisa'!$A73)</f>
        <v>0</v>
      </c>
      <c r="Q73" s="31">
        <f>SUMIFS(METALFISA!$E:$E,METALFISA!$A:$A,'Faltantes Fevereiro- Metalfisa'!Q$3,METALFISA!$B:$B,'Faltantes Fevereiro- Metalfisa'!$A73)</f>
        <v>0</v>
      </c>
      <c r="R73" s="31">
        <f>SUMIFS(METALFISA!$E:$E,METALFISA!$A:$A,'Faltantes Fevereiro- Metalfisa'!R$3,METALFISA!$B:$B,'Faltantes Fevereiro- Metalfisa'!$A73)</f>
        <v>0</v>
      </c>
      <c r="S73" s="31">
        <f>SUMIFS(METALFISA!$E:$E,METALFISA!$A:$A,'Faltantes Fevereiro- Metalfisa'!S$3,METALFISA!$B:$B,'Faltantes Fevereiro- Metalfisa'!$A73)</f>
        <v>0</v>
      </c>
      <c r="T73" s="31">
        <f>SUMIFS(METALFISA!$E:$E,METALFISA!$A:$A,'Faltantes Fevereiro- Metalfisa'!T$3,METALFISA!$B:$B,'Faltantes Fevereiro- Metalfisa'!$A73)</f>
        <v>2</v>
      </c>
      <c r="U73" s="31">
        <f>SUMIFS(METALFISA!$E:$E,METALFISA!$A:$A,'Faltantes Fevereiro- Metalfisa'!U$3,METALFISA!$B:$B,'Faltantes Fevereiro- Metalfisa'!$A73)</f>
        <v>0</v>
      </c>
      <c r="V73" s="31">
        <f>SUMIFS(METALFISA!$E:$E,METALFISA!$A:$A,'Faltantes Fevereiro- Metalfisa'!V$3,METALFISA!$B:$B,'Faltantes Fevereiro- Metalfisa'!$A73)</f>
        <v>0</v>
      </c>
      <c r="W73" s="31">
        <f>SUMIFS(METALFISA!$E:$E,METALFISA!$A:$A,'Faltantes Fevereiro- Metalfisa'!W$3,METALFISA!$B:$B,'Faltantes Fevereiro- Metalfisa'!$A73)</f>
        <v>0</v>
      </c>
      <c r="X73" s="31">
        <f>SUMIFS(METALFISA!$E:$E,METALFISA!$A:$A,'Faltantes Fevereiro- Metalfisa'!X$3,METALFISA!$B:$B,'Faltantes Fevereiro- Metalfisa'!$A73)</f>
        <v>0</v>
      </c>
      <c r="Y73" s="31">
        <f>SUMIFS(METALFISA!$E:$E,METALFISA!$A:$A,'Faltantes Fevereiro- Metalfisa'!Y$3,METALFISA!$B:$B,'Faltantes Fevereiro- Metalfisa'!$A73)</f>
        <v>0</v>
      </c>
      <c r="Z73" s="31">
        <f>SUMIFS(METALFISA!$E:$E,METALFISA!$A:$A,'Faltantes Fevereiro- Metalfisa'!Z$3,METALFISA!$B:$B,'Faltantes Fevereiro- Metalfisa'!$A73)</f>
        <v>0</v>
      </c>
      <c r="AA73" s="31">
        <f>SUMIFS(METALFISA!$E:$E,METALFISA!$A:$A,'Faltantes Fevereiro- Metalfisa'!AA$3,METALFISA!$B:$B,'Faltantes Fevereiro- Metalfisa'!$A73)</f>
        <v>0</v>
      </c>
      <c r="AB73" s="31">
        <f>SUMIFS(METALFISA!$E:$E,METALFISA!$A:$A,'Faltantes Fevereiro- Metalfisa'!AB$3,METALFISA!$B:$B,'Faltantes Fevereiro- Metalfisa'!$A73)</f>
        <v>0</v>
      </c>
      <c r="AC73" s="31">
        <f>SUMIFS(METALFISA!$E:$E,METALFISA!$A:$A,'Faltantes Fevereiro- Metalfisa'!AC$3,METALFISA!$B:$B,'Faltantes Fevereiro- Metalfisa'!$A73)</f>
        <v>0</v>
      </c>
      <c r="AD73" s="31">
        <f>SUMIFS(METALFISA!$E:$E,METALFISA!$A:$A,'Faltantes Fevereiro- Metalfisa'!AD$3,METALFISA!$B:$B,'Faltantes Fevereiro- Metalfisa'!$A73)</f>
        <v>0</v>
      </c>
      <c r="AE73" s="31">
        <f>SUMIFS(METALFISA!$E:$E,METALFISA!$A:$A,'Faltantes Fevereiro- Metalfisa'!AE$3,METALFISA!$B:$B,'Faltantes Fevereiro- Metalfisa'!$A73)</f>
        <v>0</v>
      </c>
      <c r="AF73" s="31">
        <f>SUMIFS(METALFISA!$E:$E,METALFISA!$A:$A,'Faltantes Fevereiro- Metalfisa'!AF$3,METALFISA!$B:$B,'Faltantes Fevereiro- Metalfisa'!$A73)</f>
        <v>0</v>
      </c>
      <c r="AG73" s="31">
        <f>SUMIFS(METALFISA!$E:$E,METALFISA!$A:$A,'Faltantes Fevereiro- Metalfisa'!AG$3,METALFISA!$B:$B,'Faltantes Fevereiro- Metalfisa'!$A73)</f>
        <v>0</v>
      </c>
      <c r="AH73" s="31">
        <f>SUMIFS(METALFISA!$E:$E,METALFISA!$A:$A,'Faltantes Fevereiro- Metalfisa'!AH$3,METALFISA!$B:$B,'Faltantes Fevereiro- Metalfisa'!$A73)</f>
        <v>0</v>
      </c>
      <c r="AI73" s="31">
        <f>SUMIFS(METALFISA!$E:$E,METALFISA!$A:$A,'Faltantes Fevereiro- Metalfisa'!AI$3,METALFISA!$B:$B,'Faltantes Fevereiro- Metalfisa'!$A73)</f>
        <v>0</v>
      </c>
      <c r="AJ73" s="31">
        <f>SUMIFS(METALFISA!$E:$E,METALFISA!$A:$A,'Faltantes Fevereiro- Metalfisa'!AJ$3,METALFISA!$B:$B,'Faltantes Fevereiro- Metalfisa'!$A73)</f>
        <v>0</v>
      </c>
      <c r="AK73" s="31">
        <f>SUMIFS(METALFISA!$E:$E,METALFISA!$A:$A,'Faltantes Fevereiro- Metalfisa'!AK$3,METALFISA!$B:$B,'Faltantes Fevereiro- Metalfisa'!$A73)</f>
        <v>252</v>
      </c>
      <c r="AL73" s="31">
        <f>SUMIFS(METALFISA!$E:$E,METALFISA!$A:$A,'Faltantes Fevereiro- Metalfisa'!AL$3,METALFISA!$B:$B,'Faltantes Fevereiro- Metalfisa'!$A73)</f>
        <v>0</v>
      </c>
      <c r="AM73" s="31">
        <f>SUMIFS(METALFISA!$E:$E,METALFISA!$A:$A,'Faltantes Fevereiro- Metalfisa'!AM$3,METALFISA!$B:$B,'Faltantes Fevereiro- Metalfisa'!$A73)</f>
        <v>0</v>
      </c>
      <c r="AN73" s="31">
        <f>SUMIFS(METALFISA!$E:$E,METALFISA!$A:$A,'Faltantes Fevereiro- Metalfisa'!AN$3,METALFISA!$B:$B,'Faltantes Fevereiro- Metalfisa'!$A73)</f>
        <v>0</v>
      </c>
      <c r="AO73" s="31">
        <f>SUMIFS(METALFISA!$E:$E,METALFISA!$A:$A,'Faltantes Fevereiro- Metalfisa'!AO$3,METALFISA!$B:$B,'Faltantes Fevereiro- Metalfisa'!$A73)</f>
        <v>0</v>
      </c>
      <c r="AP73" s="31">
        <f>SUMIFS(METALFISA!$E:$E,METALFISA!$A:$A,'Faltantes Fevereiro- Metalfisa'!AP$3,METALFISA!$B:$B,'Faltantes Fevereiro- Metalfisa'!$A73)</f>
        <v>0</v>
      </c>
      <c r="AQ73" s="31"/>
      <c r="AR73" s="31">
        <f>SUMIFS(METALFISA!$E:$E,METALFISA!$A:$A,'Faltantes Fevereiro- Metalfisa'!AR$3,METALFISA!$B:$B,'Faltantes Fevereiro- Metalfisa'!$A73)</f>
        <v>0</v>
      </c>
      <c r="AS73" s="35">
        <f>SUMIFS(METALFISA!$E:$E,METALFISA!$A:$A,'Faltantes Fevereiro- Metalfisa'!AS$3,METALFISA!$B:$B,'Faltantes Fevereiro- Metalfisa'!$A73)</f>
        <v>0</v>
      </c>
      <c r="AU73" s="18">
        <v>0</v>
      </c>
      <c r="AV73" s="18">
        <v>0</v>
      </c>
      <c r="AW73" s="18">
        <v>0</v>
      </c>
      <c r="AX73" s="18">
        <v>0</v>
      </c>
      <c r="AY73" s="41">
        <v>0</v>
      </c>
      <c r="AZ73" s="31">
        <v>0</v>
      </c>
      <c r="BA73" s="31">
        <v>0</v>
      </c>
      <c r="BB73" s="31">
        <v>0</v>
      </c>
      <c r="BC73" s="31">
        <v>0</v>
      </c>
      <c r="BD73" s="31">
        <v>0</v>
      </c>
      <c r="BE73" s="31">
        <v>0</v>
      </c>
      <c r="BF73" s="31">
        <v>0</v>
      </c>
      <c r="BG73" s="31">
        <v>0</v>
      </c>
      <c r="BH73" s="31">
        <v>0</v>
      </c>
      <c r="BI73" s="31">
        <v>0</v>
      </c>
      <c r="BJ73" s="31">
        <v>0</v>
      </c>
      <c r="BK73" s="31">
        <v>0</v>
      </c>
      <c r="BL73" s="31">
        <v>0</v>
      </c>
      <c r="BM73" s="31">
        <v>0</v>
      </c>
      <c r="BN73" s="31">
        <v>0</v>
      </c>
      <c r="BO73" s="31">
        <v>0</v>
      </c>
      <c r="BP73" s="31">
        <v>0</v>
      </c>
      <c r="BQ73" s="31">
        <v>0</v>
      </c>
      <c r="BR73" s="31">
        <v>0</v>
      </c>
      <c r="BS73" s="31">
        <v>0</v>
      </c>
      <c r="BT73" s="31">
        <v>0</v>
      </c>
      <c r="BU73" s="31">
        <v>0</v>
      </c>
      <c r="BV73" s="31">
        <v>0</v>
      </c>
      <c r="BW73" s="31">
        <v>0</v>
      </c>
      <c r="BX73" s="31">
        <v>0</v>
      </c>
      <c r="BY73" s="31">
        <v>0</v>
      </c>
      <c r="BZ73" s="31">
        <v>0</v>
      </c>
      <c r="CA73" s="31">
        <v>0</v>
      </c>
      <c r="CB73" s="31">
        <v>0</v>
      </c>
      <c r="CC73" s="31">
        <v>0</v>
      </c>
      <c r="CD73" s="31">
        <v>0</v>
      </c>
      <c r="CE73" s="31">
        <v>8</v>
      </c>
      <c r="CF73" s="31">
        <v>0</v>
      </c>
      <c r="CG73" s="31">
        <v>0</v>
      </c>
      <c r="CH73" s="31">
        <v>0</v>
      </c>
      <c r="CI73" s="31">
        <v>0</v>
      </c>
      <c r="CJ73" s="31">
        <v>0</v>
      </c>
      <c r="CK73" s="31">
        <v>0</v>
      </c>
      <c r="CL73" s="35">
        <v>0</v>
      </c>
    </row>
    <row r="74" spans="1:90" x14ac:dyDescent="0.15">
      <c r="A74" s="27" t="s">
        <v>595</v>
      </c>
      <c r="B74" s="28" t="s">
        <v>596</v>
      </c>
      <c r="C74" s="28">
        <v>0</v>
      </c>
      <c r="D74" s="28">
        <v>0</v>
      </c>
      <c r="E74" s="28">
        <v>0</v>
      </c>
      <c r="F74" s="28">
        <v>0</v>
      </c>
      <c r="G74" s="28">
        <v>1</v>
      </c>
      <c r="H74" s="28">
        <f>IFERROR(VLOOKUP(A74,[1]FALTANTES!$A:$AB,28,FALSE),"-")</f>
        <v>0</v>
      </c>
      <c r="I74" s="42">
        <f>IFERROR(VLOOKUP(A74,[1]FALTANTES!$A:$AC,29,FALSE),"-")</f>
        <v>0</v>
      </c>
      <c r="J74" s="29">
        <f>IFERROR(VLOOKUP(A74,[1]FALTANTES!$A:$AD,30,FALSE),"-")</f>
        <v>-1</v>
      </c>
      <c r="K74" s="30">
        <v>0</v>
      </c>
      <c r="L74" s="30">
        <f t="shared" si="1"/>
        <v>1</v>
      </c>
      <c r="M74" s="31">
        <f>SUMIFS(METALFISA!$E:$E,METALFISA!$A:$A,'Faltantes Fevereiro- Metalfisa'!M$3,METALFISA!$B:$B,'Faltantes Fevereiro- Metalfisa'!$A74)</f>
        <v>0</v>
      </c>
      <c r="N74" s="31">
        <f>SUMIFS(METALFISA!$E:$E,METALFISA!$A:$A,'Faltantes Fevereiro- Metalfisa'!N$3,METALFISA!$B:$B,'Faltantes Fevereiro- Metalfisa'!$A74)</f>
        <v>0</v>
      </c>
      <c r="O74" s="31">
        <f>SUMIFS(METALFISA!$E:$E,METALFISA!$A:$A,'Faltantes Fevereiro- Metalfisa'!O$3,METALFISA!$B:$B,'Faltantes Fevereiro- Metalfisa'!$A74)</f>
        <v>0</v>
      </c>
      <c r="P74" s="31">
        <f>SUMIFS(METALFISA!$E:$E,METALFISA!$A:$A,'Faltantes Fevereiro- Metalfisa'!P$3,METALFISA!$B:$B,'Faltantes Fevereiro- Metalfisa'!$A74)</f>
        <v>0</v>
      </c>
      <c r="Q74" s="31">
        <f>SUMIFS(METALFISA!$E:$E,METALFISA!$A:$A,'Faltantes Fevereiro- Metalfisa'!Q$3,METALFISA!$B:$B,'Faltantes Fevereiro- Metalfisa'!$A74)</f>
        <v>0</v>
      </c>
      <c r="R74" s="31">
        <f>SUMIFS(METALFISA!$E:$E,METALFISA!$A:$A,'Faltantes Fevereiro- Metalfisa'!R$3,METALFISA!$B:$B,'Faltantes Fevereiro- Metalfisa'!$A74)</f>
        <v>0</v>
      </c>
      <c r="S74" s="31">
        <f>SUMIFS(METALFISA!$E:$E,METALFISA!$A:$A,'Faltantes Fevereiro- Metalfisa'!S$3,METALFISA!$B:$B,'Faltantes Fevereiro- Metalfisa'!$A74)</f>
        <v>0</v>
      </c>
      <c r="T74" s="31">
        <f>SUMIFS(METALFISA!$E:$E,METALFISA!$A:$A,'Faltantes Fevereiro- Metalfisa'!T$3,METALFISA!$B:$B,'Faltantes Fevereiro- Metalfisa'!$A74)</f>
        <v>0</v>
      </c>
      <c r="U74" s="31">
        <f>SUMIFS(METALFISA!$E:$E,METALFISA!$A:$A,'Faltantes Fevereiro- Metalfisa'!U$3,METALFISA!$B:$B,'Faltantes Fevereiro- Metalfisa'!$A74)</f>
        <v>0</v>
      </c>
      <c r="V74" s="31">
        <f>SUMIFS(METALFISA!$E:$E,METALFISA!$A:$A,'Faltantes Fevereiro- Metalfisa'!V$3,METALFISA!$B:$B,'Faltantes Fevereiro- Metalfisa'!$A74)</f>
        <v>0</v>
      </c>
      <c r="W74" s="31">
        <f>SUMIFS(METALFISA!$E:$E,METALFISA!$A:$A,'Faltantes Fevereiro- Metalfisa'!W$3,METALFISA!$B:$B,'Faltantes Fevereiro- Metalfisa'!$A74)</f>
        <v>0</v>
      </c>
      <c r="X74" s="31">
        <f>SUMIFS(METALFISA!$E:$E,METALFISA!$A:$A,'Faltantes Fevereiro- Metalfisa'!X$3,METALFISA!$B:$B,'Faltantes Fevereiro- Metalfisa'!$A74)</f>
        <v>0</v>
      </c>
      <c r="Y74" s="31">
        <f>SUMIFS(METALFISA!$E:$E,METALFISA!$A:$A,'Faltantes Fevereiro- Metalfisa'!Y$3,METALFISA!$B:$B,'Faltantes Fevereiro- Metalfisa'!$A74)</f>
        <v>0</v>
      </c>
      <c r="Z74" s="31">
        <f>SUMIFS(METALFISA!$E:$E,METALFISA!$A:$A,'Faltantes Fevereiro- Metalfisa'!Z$3,METALFISA!$B:$B,'Faltantes Fevereiro- Metalfisa'!$A74)</f>
        <v>0</v>
      </c>
      <c r="AA74" s="31">
        <f>SUMIFS(METALFISA!$E:$E,METALFISA!$A:$A,'Faltantes Fevereiro- Metalfisa'!AA$3,METALFISA!$B:$B,'Faltantes Fevereiro- Metalfisa'!$A74)</f>
        <v>0</v>
      </c>
      <c r="AB74" s="31">
        <f>SUMIFS(METALFISA!$E:$E,METALFISA!$A:$A,'Faltantes Fevereiro- Metalfisa'!AB$3,METALFISA!$B:$B,'Faltantes Fevereiro- Metalfisa'!$A74)</f>
        <v>0</v>
      </c>
      <c r="AC74" s="31">
        <f>SUMIFS(METALFISA!$E:$E,METALFISA!$A:$A,'Faltantes Fevereiro- Metalfisa'!AC$3,METALFISA!$B:$B,'Faltantes Fevereiro- Metalfisa'!$A74)</f>
        <v>0</v>
      </c>
      <c r="AD74" s="31">
        <f>SUMIFS(METALFISA!$E:$E,METALFISA!$A:$A,'Faltantes Fevereiro- Metalfisa'!AD$3,METALFISA!$B:$B,'Faltantes Fevereiro- Metalfisa'!$A74)</f>
        <v>0</v>
      </c>
      <c r="AE74" s="31">
        <f>SUMIFS(METALFISA!$E:$E,METALFISA!$A:$A,'Faltantes Fevereiro- Metalfisa'!AE$3,METALFISA!$B:$B,'Faltantes Fevereiro- Metalfisa'!$A74)</f>
        <v>0</v>
      </c>
      <c r="AF74" s="31">
        <f>SUMIFS(METALFISA!$E:$E,METALFISA!$A:$A,'Faltantes Fevereiro- Metalfisa'!AF$3,METALFISA!$B:$B,'Faltantes Fevereiro- Metalfisa'!$A74)</f>
        <v>0</v>
      </c>
      <c r="AG74" s="31">
        <f>SUMIFS(METALFISA!$E:$E,METALFISA!$A:$A,'Faltantes Fevereiro- Metalfisa'!AG$3,METALFISA!$B:$B,'Faltantes Fevereiro- Metalfisa'!$A74)</f>
        <v>1</v>
      </c>
      <c r="AH74" s="31">
        <f>SUMIFS(METALFISA!$E:$E,METALFISA!$A:$A,'Faltantes Fevereiro- Metalfisa'!AH$3,METALFISA!$B:$B,'Faltantes Fevereiro- Metalfisa'!$A74)</f>
        <v>0</v>
      </c>
      <c r="AI74" s="31">
        <f>SUMIFS(METALFISA!$E:$E,METALFISA!$A:$A,'Faltantes Fevereiro- Metalfisa'!AI$3,METALFISA!$B:$B,'Faltantes Fevereiro- Metalfisa'!$A74)</f>
        <v>0</v>
      </c>
      <c r="AJ74" s="31">
        <f>SUMIFS(METALFISA!$E:$E,METALFISA!$A:$A,'Faltantes Fevereiro- Metalfisa'!AJ$3,METALFISA!$B:$B,'Faltantes Fevereiro- Metalfisa'!$A74)</f>
        <v>0</v>
      </c>
      <c r="AK74" s="31">
        <f>SUMIFS(METALFISA!$E:$E,METALFISA!$A:$A,'Faltantes Fevereiro- Metalfisa'!AK$3,METALFISA!$B:$B,'Faltantes Fevereiro- Metalfisa'!$A74)</f>
        <v>0</v>
      </c>
      <c r="AL74" s="31">
        <f>SUMIFS(METALFISA!$E:$E,METALFISA!$A:$A,'Faltantes Fevereiro- Metalfisa'!AL$3,METALFISA!$B:$B,'Faltantes Fevereiro- Metalfisa'!$A74)</f>
        <v>0</v>
      </c>
      <c r="AM74" s="31">
        <f>SUMIFS(METALFISA!$E:$E,METALFISA!$A:$A,'Faltantes Fevereiro- Metalfisa'!AM$3,METALFISA!$B:$B,'Faltantes Fevereiro- Metalfisa'!$A74)</f>
        <v>0</v>
      </c>
      <c r="AN74" s="31">
        <f>SUMIFS(METALFISA!$E:$E,METALFISA!$A:$A,'Faltantes Fevereiro- Metalfisa'!AN$3,METALFISA!$B:$B,'Faltantes Fevereiro- Metalfisa'!$A74)</f>
        <v>0</v>
      </c>
      <c r="AO74" s="31">
        <f>SUMIFS(METALFISA!$E:$E,METALFISA!$A:$A,'Faltantes Fevereiro- Metalfisa'!AO$3,METALFISA!$B:$B,'Faltantes Fevereiro- Metalfisa'!$A74)</f>
        <v>0</v>
      </c>
      <c r="AP74" s="31">
        <f>SUMIFS(METALFISA!$E:$E,METALFISA!$A:$A,'Faltantes Fevereiro- Metalfisa'!AP$3,METALFISA!$B:$B,'Faltantes Fevereiro- Metalfisa'!$A74)</f>
        <v>0</v>
      </c>
      <c r="AQ74" s="31"/>
      <c r="AR74" s="31">
        <f>SUMIFS(METALFISA!$E:$E,METALFISA!$A:$A,'Faltantes Fevereiro- Metalfisa'!AR$3,METALFISA!$B:$B,'Faltantes Fevereiro- Metalfisa'!$A74)</f>
        <v>0</v>
      </c>
      <c r="AS74" s="35">
        <f>SUMIFS(METALFISA!$E:$E,METALFISA!$A:$A,'Faltantes Fevereiro- Metalfisa'!AS$3,METALFISA!$B:$B,'Faltantes Fevereiro- Metalfisa'!$A74)</f>
        <v>0</v>
      </c>
      <c r="AU74" s="18">
        <v>0</v>
      </c>
      <c r="AV74" s="18">
        <v>0</v>
      </c>
      <c r="AW74" s="18">
        <v>0</v>
      </c>
      <c r="AX74" s="18">
        <v>0</v>
      </c>
      <c r="AY74" s="41">
        <v>0</v>
      </c>
      <c r="AZ74" s="31">
        <v>0</v>
      </c>
      <c r="BA74" s="31">
        <v>0</v>
      </c>
      <c r="BB74" s="31">
        <v>0</v>
      </c>
      <c r="BC74" s="31">
        <v>0</v>
      </c>
      <c r="BD74" s="31">
        <v>0</v>
      </c>
      <c r="BE74" s="31">
        <v>0</v>
      </c>
      <c r="BF74" s="31">
        <v>0</v>
      </c>
      <c r="BG74" s="31">
        <v>0</v>
      </c>
      <c r="BH74" s="31">
        <v>0</v>
      </c>
      <c r="BI74" s="31">
        <v>0</v>
      </c>
      <c r="BJ74" s="31">
        <v>0</v>
      </c>
      <c r="BK74" s="31">
        <v>0</v>
      </c>
      <c r="BL74" s="31">
        <v>0</v>
      </c>
      <c r="BM74" s="31">
        <v>2</v>
      </c>
      <c r="BN74" s="31">
        <v>0</v>
      </c>
      <c r="BO74" s="31">
        <v>0</v>
      </c>
      <c r="BP74" s="31">
        <v>0</v>
      </c>
      <c r="BQ74" s="31">
        <v>0</v>
      </c>
      <c r="BR74" s="31">
        <v>0</v>
      </c>
      <c r="BS74" s="31">
        <v>0</v>
      </c>
      <c r="BT74" s="31">
        <v>0</v>
      </c>
      <c r="BU74" s="31">
        <v>0</v>
      </c>
      <c r="BV74" s="31">
        <v>0</v>
      </c>
      <c r="BW74" s="31">
        <v>0</v>
      </c>
      <c r="BX74" s="31">
        <v>0</v>
      </c>
      <c r="BY74" s="31">
        <v>0</v>
      </c>
      <c r="BZ74" s="31">
        <v>0</v>
      </c>
      <c r="CA74" s="31">
        <v>0</v>
      </c>
      <c r="CB74" s="31">
        <v>0</v>
      </c>
      <c r="CC74" s="31">
        <v>0</v>
      </c>
      <c r="CD74" s="31">
        <v>0</v>
      </c>
      <c r="CE74" s="31">
        <v>0</v>
      </c>
      <c r="CF74" s="31">
        <v>0</v>
      </c>
      <c r="CG74" s="31">
        <v>0</v>
      </c>
      <c r="CH74" s="31">
        <v>0</v>
      </c>
      <c r="CI74" s="31">
        <v>0</v>
      </c>
      <c r="CJ74" s="31">
        <v>0</v>
      </c>
      <c r="CK74" s="31">
        <v>0</v>
      </c>
      <c r="CL74" s="35">
        <v>0</v>
      </c>
    </row>
    <row r="75" spans="1:90" x14ac:dyDescent="0.15">
      <c r="A75" s="27" t="s">
        <v>599</v>
      </c>
      <c r="B75" s="28" t="s">
        <v>600</v>
      </c>
      <c r="C75" s="28">
        <v>0</v>
      </c>
      <c r="D75" s="28">
        <v>0</v>
      </c>
      <c r="E75" s="28">
        <v>0</v>
      </c>
      <c r="F75" s="28">
        <v>0</v>
      </c>
      <c r="G75" s="28">
        <v>2</v>
      </c>
      <c r="H75" s="28">
        <f>IFERROR(VLOOKUP(A75,[1]FALTANTES!$A:$AB,28,FALSE),"-")</f>
        <v>0</v>
      </c>
      <c r="I75" s="42">
        <f>IFERROR(VLOOKUP(A75,[1]FALTANTES!$A:$AC,29,FALSE),"-")</f>
        <v>0</v>
      </c>
      <c r="J75" s="29">
        <f>IFERROR(VLOOKUP(A75,[1]FALTANTES!$A:$AD,30,FALSE),"-")</f>
        <v>-2</v>
      </c>
      <c r="K75" s="30">
        <v>0</v>
      </c>
      <c r="L75" s="30">
        <f t="shared" si="1"/>
        <v>2</v>
      </c>
      <c r="M75" s="31">
        <f>SUMIFS(METALFISA!$E:$E,METALFISA!$A:$A,'Faltantes Fevereiro- Metalfisa'!M$3,METALFISA!$B:$B,'Faltantes Fevereiro- Metalfisa'!$A75)</f>
        <v>0</v>
      </c>
      <c r="N75" s="31">
        <f>SUMIFS(METALFISA!$E:$E,METALFISA!$A:$A,'Faltantes Fevereiro- Metalfisa'!N$3,METALFISA!$B:$B,'Faltantes Fevereiro- Metalfisa'!$A75)</f>
        <v>0</v>
      </c>
      <c r="O75" s="31">
        <f>SUMIFS(METALFISA!$E:$E,METALFISA!$A:$A,'Faltantes Fevereiro- Metalfisa'!O$3,METALFISA!$B:$B,'Faltantes Fevereiro- Metalfisa'!$A75)</f>
        <v>0</v>
      </c>
      <c r="P75" s="31">
        <f>SUMIFS(METALFISA!$E:$E,METALFISA!$A:$A,'Faltantes Fevereiro- Metalfisa'!P$3,METALFISA!$B:$B,'Faltantes Fevereiro- Metalfisa'!$A75)</f>
        <v>0</v>
      </c>
      <c r="Q75" s="31">
        <f>SUMIFS(METALFISA!$E:$E,METALFISA!$A:$A,'Faltantes Fevereiro- Metalfisa'!Q$3,METALFISA!$B:$B,'Faltantes Fevereiro- Metalfisa'!$A75)</f>
        <v>0</v>
      </c>
      <c r="R75" s="31">
        <f>SUMIFS(METALFISA!$E:$E,METALFISA!$A:$A,'Faltantes Fevereiro- Metalfisa'!R$3,METALFISA!$B:$B,'Faltantes Fevereiro- Metalfisa'!$A75)</f>
        <v>0</v>
      </c>
      <c r="S75" s="31">
        <f>SUMIFS(METALFISA!$E:$E,METALFISA!$A:$A,'Faltantes Fevereiro- Metalfisa'!S$3,METALFISA!$B:$B,'Faltantes Fevereiro- Metalfisa'!$A75)</f>
        <v>0</v>
      </c>
      <c r="T75" s="31">
        <f>SUMIFS(METALFISA!$E:$E,METALFISA!$A:$A,'Faltantes Fevereiro- Metalfisa'!T$3,METALFISA!$B:$B,'Faltantes Fevereiro- Metalfisa'!$A75)</f>
        <v>0</v>
      </c>
      <c r="U75" s="31">
        <f>SUMIFS(METALFISA!$E:$E,METALFISA!$A:$A,'Faltantes Fevereiro- Metalfisa'!U$3,METALFISA!$B:$B,'Faltantes Fevereiro- Metalfisa'!$A75)</f>
        <v>0</v>
      </c>
      <c r="V75" s="31">
        <f>SUMIFS(METALFISA!$E:$E,METALFISA!$A:$A,'Faltantes Fevereiro- Metalfisa'!V$3,METALFISA!$B:$B,'Faltantes Fevereiro- Metalfisa'!$A75)</f>
        <v>0</v>
      </c>
      <c r="W75" s="31">
        <f>SUMIFS(METALFISA!$E:$E,METALFISA!$A:$A,'Faltantes Fevereiro- Metalfisa'!W$3,METALFISA!$B:$B,'Faltantes Fevereiro- Metalfisa'!$A75)</f>
        <v>0</v>
      </c>
      <c r="X75" s="31">
        <f>SUMIFS(METALFISA!$E:$E,METALFISA!$A:$A,'Faltantes Fevereiro- Metalfisa'!X$3,METALFISA!$B:$B,'Faltantes Fevereiro- Metalfisa'!$A75)</f>
        <v>0</v>
      </c>
      <c r="Y75" s="31">
        <f>SUMIFS(METALFISA!$E:$E,METALFISA!$A:$A,'Faltantes Fevereiro- Metalfisa'!Y$3,METALFISA!$B:$B,'Faltantes Fevereiro- Metalfisa'!$A75)</f>
        <v>0</v>
      </c>
      <c r="Z75" s="31">
        <f>SUMIFS(METALFISA!$E:$E,METALFISA!$A:$A,'Faltantes Fevereiro- Metalfisa'!Z$3,METALFISA!$B:$B,'Faltantes Fevereiro- Metalfisa'!$A75)</f>
        <v>0</v>
      </c>
      <c r="AA75" s="31">
        <f>SUMIFS(METALFISA!$E:$E,METALFISA!$A:$A,'Faltantes Fevereiro- Metalfisa'!AA$3,METALFISA!$B:$B,'Faltantes Fevereiro- Metalfisa'!$A75)</f>
        <v>0</v>
      </c>
      <c r="AB75" s="31">
        <f>SUMIFS(METALFISA!$E:$E,METALFISA!$A:$A,'Faltantes Fevereiro- Metalfisa'!AB$3,METALFISA!$B:$B,'Faltantes Fevereiro- Metalfisa'!$A75)</f>
        <v>0</v>
      </c>
      <c r="AC75" s="31">
        <f>SUMIFS(METALFISA!$E:$E,METALFISA!$A:$A,'Faltantes Fevereiro- Metalfisa'!AC$3,METALFISA!$B:$B,'Faltantes Fevereiro- Metalfisa'!$A75)</f>
        <v>0</v>
      </c>
      <c r="AD75" s="31">
        <f>SUMIFS(METALFISA!$E:$E,METALFISA!$A:$A,'Faltantes Fevereiro- Metalfisa'!AD$3,METALFISA!$B:$B,'Faltantes Fevereiro- Metalfisa'!$A75)</f>
        <v>0</v>
      </c>
      <c r="AE75" s="31">
        <f>SUMIFS(METALFISA!$E:$E,METALFISA!$A:$A,'Faltantes Fevereiro- Metalfisa'!AE$3,METALFISA!$B:$B,'Faltantes Fevereiro- Metalfisa'!$A75)</f>
        <v>0</v>
      </c>
      <c r="AF75" s="31">
        <f>SUMIFS(METALFISA!$E:$E,METALFISA!$A:$A,'Faltantes Fevereiro- Metalfisa'!AF$3,METALFISA!$B:$B,'Faltantes Fevereiro- Metalfisa'!$A75)</f>
        <v>0</v>
      </c>
      <c r="AG75" s="31">
        <f>SUMIFS(METALFISA!$E:$E,METALFISA!$A:$A,'Faltantes Fevereiro- Metalfisa'!AG$3,METALFISA!$B:$B,'Faltantes Fevereiro- Metalfisa'!$A75)</f>
        <v>2</v>
      </c>
      <c r="AH75" s="31">
        <f>SUMIFS(METALFISA!$E:$E,METALFISA!$A:$A,'Faltantes Fevereiro- Metalfisa'!AH$3,METALFISA!$B:$B,'Faltantes Fevereiro- Metalfisa'!$A75)</f>
        <v>0</v>
      </c>
      <c r="AI75" s="31">
        <f>SUMIFS(METALFISA!$E:$E,METALFISA!$A:$A,'Faltantes Fevereiro- Metalfisa'!AI$3,METALFISA!$B:$B,'Faltantes Fevereiro- Metalfisa'!$A75)</f>
        <v>0</v>
      </c>
      <c r="AJ75" s="31">
        <f>SUMIFS(METALFISA!$E:$E,METALFISA!$A:$A,'Faltantes Fevereiro- Metalfisa'!AJ$3,METALFISA!$B:$B,'Faltantes Fevereiro- Metalfisa'!$A75)</f>
        <v>0</v>
      </c>
      <c r="AK75" s="31">
        <f>SUMIFS(METALFISA!$E:$E,METALFISA!$A:$A,'Faltantes Fevereiro- Metalfisa'!AK$3,METALFISA!$B:$B,'Faltantes Fevereiro- Metalfisa'!$A75)</f>
        <v>0</v>
      </c>
      <c r="AL75" s="31">
        <f>SUMIFS(METALFISA!$E:$E,METALFISA!$A:$A,'Faltantes Fevereiro- Metalfisa'!AL$3,METALFISA!$B:$B,'Faltantes Fevereiro- Metalfisa'!$A75)</f>
        <v>0</v>
      </c>
      <c r="AM75" s="31">
        <f>SUMIFS(METALFISA!$E:$E,METALFISA!$A:$A,'Faltantes Fevereiro- Metalfisa'!AM$3,METALFISA!$B:$B,'Faltantes Fevereiro- Metalfisa'!$A75)</f>
        <v>0</v>
      </c>
      <c r="AN75" s="31">
        <f>SUMIFS(METALFISA!$E:$E,METALFISA!$A:$A,'Faltantes Fevereiro- Metalfisa'!AN$3,METALFISA!$B:$B,'Faltantes Fevereiro- Metalfisa'!$A75)</f>
        <v>0</v>
      </c>
      <c r="AO75" s="31">
        <f>SUMIFS(METALFISA!$E:$E,METALFISA!$A:$A,'Faltantes Fevereiro- Metalfisa'!AO$3,METALFISA!$B:$B,'Faltantes Fevereiro- Metalfisa'!$A75)</f>
        <v>0</v>
      </c>
      <c r="AP75" s="31">
        <f>SUMIFS(METALFISA!$E:$E,METALFISA!$A:$A,'Faltantes Fevereiro- Metalfisa'!AP$3,METALFISA!$B:$B,'Faltantes Fevereiro- Metalfisa'!$A75)</f>
        <v>0</v>
      </c>
      <c r="AQ75" s="31"/>
      <c r="AR75" s="31">
        <f>SUMIFS(METALFISA!$E:$E,METALFISA!$A:$A,'Faltantes Fevereiro- Metalfisa'!AR$3,METALFISA!$B:$B,'Faltantes Fevereiro- Metalfisa'!$A75)</f>
        <v>0</v>
      </c>
      <c r="AS75" s="35">
        <f>SUMIFS(METALFISA!$E:$E,METALFISA!$A:$A,'Faltantes Fevereiro- Metalfisa'!AS$3,METALFISA!$B:$B,'Faltantes Fevereiro- Metalfisa'!$A75)</f>
        <v>0</v>
      </c>
      <c r="AU75" s="18">
        <v>0</v>
      </c>
      <c r="AV75" s="18">
        <v>0</v>
      </c>
      <c r="AW75" s="18">
        <v>0</v>
      </c>
      <c r="AX75" s="18">
        <v>0</v>
      </c>
      <c r="AY75" s="41">
        <v>0</v>
      </c>
      <c r="AZ75" s="31">
        <v>0</v>
      </c>
      <c r="BA75" s="31">
        <v>0</v>
      </c>
      <c r="BB75" s="31">
        <v>0</v>
      </c>
      <c r="BC75" s="31">
        <v>0</v>
      </c>
      <c r="BD75" s="31">
        <v>0</v>
      </c>
      <c r="BE75" s="31">
        <v>0</v>
      </c>
      <c r="BF75" s="31">
        <v>0</v>
      </c>
      <c r="BG75" s="31">
        <v>0</v>
      </c>
      <c r="BH75" s="31">
        <v>0</v>
      </c>
      <c r="BI75" s="31">
        <v>0</v>
      </c>
      <c r="BJ75" s="31">
        <v>0</v>
      </c>
      <c r="BK75" s="31">
        <v>0</v>
      </c>
      <c r="BL75" s="31">
        <v>0</v>
      </c>
      <c r="BM75" s="31">
        <v>1</v>
      </c>
      <c r="BN75" s="31">
        <v>0</v>
      </c>
      <c r="BO75" s="31">
        <v>0</v>
      </c>
      <c r="BP75" s="31">
        <v>0</v>
      </c>
      <c r="BQ75" s="31">
        <v>0</v>
      </c>
      <c r="BR75" s="31">
        <v>0</v>
      </c>
      <c r="BS75" s="31">
        <v>0</v>
      </c>
      <c r="BT75" s="31">
        <v>0</v>
      </c>
      <c r="BU75" s="31">
        <v>0</v>
      </c>
      <c r="BV75" s="31">
        <v>0</v>
      </c>
      <c r="BW75" s="31">
        <v>0</v>
      </c>
      <c r="BX75" s="31">
        <v>0</v>
      </c>
      <c r="BY75" s="31">
        <v>0</v>
      </c>
      <c r="BZ75" s="31">
        <v>0</v>
      </c>
      <c r="CA75" s="31">
        <v>0</v>
      </c>
      <c r="CB75" s="31">
        <v>0</v>
      </c>
      <c r="CC75" s="31">
        <v>0</v>
      </c>
      <c r="CD75" s="31">
        <v>0</v>
      </c>
      <c r="CE75" s="31">
        <v>0</v>
      </c>
      <c r="CF75" s="31">
        <v>0</v>
      </c>
      <c r="CG75" s="31">
        <v>0</v>
      </c>
      <c r="CH75" s="31">
        <v>0</v>
      </c>
      <c r="CI75" s="31">
        <v>0</v>
      </c>
      <c r="CJ75" s="31">
        <v>0</v>
      </c>
      <c r="CK75" s="31">
        <v>0</v>
      </c>
      <c r="CL75" s="35">
        <v>0</v>
      </c>
    </row>
    <row r="76" spans="1:90" ht="21" x14ac:dyDescent="0.15">
      <c r="A76" s="27" t="s">
        <v>206</v>
      </c>
      <c r="B76" s="28" t="s">
        <v>207</v>
      </c>
      <c r="C76" s="28">
        <v>0</v>
      </c>
      <c r="D76" s="28">
        <v>0</v>
      </c>
      <c r="E76" s="28">
        <v>0</v>
      </c>
      <c r="F76" s="28">
        <v>0</v>
      </c>
      <c r="G76" s="28">
        <v>4</v>
      </c>
      <c r="H76" s="28">
        <f>IFERROR(VLOOKUP(A76,[1]FALTANTES!$A:$AB,28,FALSE),"-")</f>
        <v>0</v>
      </c>
      <c r="I76" s="42">
        <f>IFERROR(VLOOKUP(A76,[1]FALTANTES!$A:$AC,29,FALSE),"-")</f>
        <v>0</v>
      </c>
      <c r="J76" s="29">
        <f>IFERROR(VLOOKUP(A76,[1]FALTANTES!$A:$AD,30,FALSE),"-")</f>
        <v>-4</v>
      </c>
      <c r="K76" s="30">
        <v>0</v>
      </c>
      <c r="L76" s="30">
        <f t="shared" si="1"/>
        <v>4</v>
      </c>
      <c r="M76" s="31">
        <f>SUMIFS(METALFISA!$E:$E,METALFISA!$A:$A,'Faltantes Fevereiro- Metalfisa'!M$3,METALFISA!$B:$B,'Faltantes Fevereiro- Metalfisa'!$A76)</f>
        <v>0</v>
      </c>
      <c r="N76" s="31">
        <f>SUMIFS(METALFISA!$E:$E,METALFISA!$A:$A,'Faltantes Fevereiro- Metalfisa'!N$3,METALFISA!$B:$B,'Faltantes Fevereiro- Metalfisa'!$A76)</f>
        <v>0</v>
      </c>
      <c r="O76" s="31">
        <f>SUMIFS(METALFISA!$E:$E,METALFISA!$A:$A,'Faltantes Fevereiro- Metalfisa'!O$3,METALFISA!$B:$B,'Faltantes Fevereiro- Metalfisa'!$A76)</f>
        <v>0</v>
      </c>
      <c r="P76" s="31">
        <f>SUMIFS(METALFISA!$E:$E,METALFISA!$A:$A,'Faltantes Fevereiro- Metalfisa'!P$3,METALFISA!$B:$B,'Faltantes Fevereiro- Metalfisa'!$A76)</f>
        <v>0</v>
      </c>
      <c r="Q76" s="31">
        <f>SUMIFS(METALFISA!$E:$E,METALFISA!$A:$A,'Faltantes Fevereiro- Metalfisa'!Q$3,METALFISA!$B:$B,'Faltantes Fevereiro- Metalfisa'!$A76)</f>
        <v>0</v>
      </c>
      <c r="R76" s="31">
        <f>SUMIFS(METALFISA!$E:$E,METALFISA!$A:$A,'Faltantes Fevereiro- Metalfisa'!R$3,METALFISA!$B:$B,'Faltantes Fevereiro- Metalfisa'!$A76)</f>
        <v>0</v>
      </c>
      <c r="S76" s="31">
        <f>SUMIFS(METALFISA!$E:$E,METALFISA!$A:$A,'Faltantes Fevereiro- Metalfisa'!S$3,METALFISA!$B:$B,'Faltantes Fevereiro- Metalfisa'!$A76)</f>
        <v>0</v>
      </c>
      <c r="T76" s="31">
        <f>SUMIFS(METALFISA!$E:$E,METALFISA!$A:$A,'Faltantes Fevereiro- Metalfisa'!T$3,METALFISA!$B:$B,'Faltantes Fevereiro- Metalfisa'!$A76)</f>
        <v>0</v>
      </c>
      <c r="U76" s="31">
        <f>SUMIFS(METALFISA!$E:$E,METALFISA!$A:$A,'Faltantes Fevereiro- Metalfisa'!U$3,METALFISA!$B:$B,'Faltantes Fevereiro- Metalfisa'!$A76)</f>
        <v>0</v>
      </c>
      <c r="V76" s="31">
        <f>SUMIFS(METALFISA!$E:$E,METALFISA!$A:$A,'Faltantes Fevereiro- Metalfisa'!V$3,METALFISA!$B:$B,'Faltantes Fevereiro- Metalfisa'!$A76)</f>
        <v>0</v>
      </c>
      <c r="W76" s="31">
        <f>SUMIFS(METALFISA!$E:$E,METALFISA!$A:$A,'Faltantes Fevereiro- Metalfisa'!W$3,METALFISA!$B:$B,'Faltantes Fevereiro- Metalfisa'!$A76)</f>
        <v>0</v>
      </c>
      <c r="X76" s="31">
        <f>SUMIFS(METALFISA!$E:$E,METALFISA!$A:$A,'Faltantes Fevereiro- Metalfisa'!X$3,METALFISA!$B:$B,'Faltantes Fevereiro- Metalfisa'!$A76)</f>
        <v>0</v>
      </c>
      <c r="Y76" s="31">
        <f>SUMIFS(METALFISA!$E:$E,METALFISA!$A:$A,'Faltantes Fevereiro- Metalfisa'!Y$3,METALFISA!$B:$B,'Faltantes Fevereiro- Metalfisa'!$A76)</f>
        <v>0</v>
      </c>
      <c r="Z76" s="31">
        <f>SUMIFS(METALFISA!$E:$E,METALFISA!$A:$A,'Faltantes Fevereiro- Metalfisa'!Z$3,METALFISA!$B:$B,'Faltantes Fevereiro- Metalfisa'!$A76)</f>
        <v>0</v>
      </c>
      <c r="AA76" s="31">
        <f>SUMIFS(METALFISA!$E:$E,METALFISA!$A:$A,'Faltantes Fevereiro- Metalfisa'!AA$3,METALFISA!$B:$B,'Faltantes Fevereiro- Metalfisa'!$A76)</f>
        <v>0</v>
      </c>
      <c r="AB76" s="31">
        <f>SUMIFS(METALFISA!$E:$E,METALFISA!$A:$A,'Faltantes Fevereiro- Metalfisa'!AB$3,METALFISA!$B:$B,'Faltantes Fevereiro- Metalfisa'!$A76)</f>
        <v>0</v>
      </c>
      <c r="AC76" s="31">
        <f>SUMIFS(METALFISA!$E:$E,METALFISA!$A:$A,'Faltantes Fevereiro- Metalfisa'!AC$3,METALFISA!$B:$B,'Faltantes Fevereiro- Metalfisa'!$A76)</f>
        <v>0</v>
      </c>
      <c r="AD76" s="31">
        <f>SUMIFS(METALFISA!$E:$E,METALFISA!$A:$A,'Faltantes Fevereiro- Metalfisa'!AD$3,METALFISA!$B:$B,'Faltantes Fevereiro- Metalfisa'!$A76)</f>
        <v>0</v>
      </c>
      <c r="AE76" s="31">
        <f>SUMIFS(METALFISA!$E:$E,METALFISA!$A:$A,'Faltantes Fevereiro- Metalfisa'!AE$3,METALFISA!$B:$B,'Faltantes Fevereiro- Metalfisa'!$A76)</f>
        <v>0</v>
      </c>
      <c r="AF76" s="31">
        <f>SUMIFS(METALFISA!$E:$E,METALFISA!$A:$A,'Faltantes Fevereiro- Metalfisa'!AF$3,METALFISA!$B:$B,'Faltantes Fevereiro- Metalfisa'!$A76)</f>
        <v>0</v>
      </c>
      <c r="AG76" s="31">
        <f>SUMIFS(METALFISA!$E:$E,METALFISA!$A:$A,'Faltantes Fevereiro- Metalfisa'!AG$3,METALFISA!$B:$B,'Faltantes Fevereiro- Metalfisa'!$A76)</f>
        <v>4</v>
      </c>
      <c r="AH76" s="31">
        <f>SUMIFS(METALFISA!$E:$E,METALFISA!$A:$A,'Faltantes Fevereiro- Metalfisa'!AH$3,METALFISA!$B:$B,'Faltantes Fevereiro- Metalfisa'!$A76)</f>
        <v>0</v>
      </c>
      <c r="AI76" s="31">
        <f>SUMIFS(METALFISA!$E:$E,METALFISA!$A:$A,'Faltantes Fevereiro- Metalfisa'!AI$3,METALFISA!$B:$B,'Faltantes Fevereiro- Metalfisa'!$A76)</f>
        <v>0</v>
      </c>
      <c r="AJ76" s="31">
        <f>SUMIFS(METALFISA!$E:$E,METALFISA!$A:$A,'Faltantes Fevereiro- Metalfisa'!AJ$3,METALFISA!$B:$B,'Faltantes Fevereiro- Metalfisa'!$A76)</f>
        <v>0</v>
      </c>
      <c r="AK76" s="31">
        <f>SUMIFS(METALFISA!$E:$E,METALFISA!$A:$A,'Faltantes Fevereiro- Metalfisa'!AK$3,METALFISA!$B:$B,'Faltantes Fevereiro- Metalfisa'!$A76)</f>
        <v>0</v>
      </c>
      <c r="AL76" s="31">
        <f>SUMIFS(METALFISA!$E:$E,METALFISA!$A:$A,'Faltantes Fevereiro- Metalfisa'!AL$3,METALFISA!$B:$B,'Faltantes Fevereiro- Metalfisa'!$A76)</f>
        <v>0</v>
      </c>
      <c r="AM76" s="31">
        <f>SUMIFS(METALFISA!$E:$E,METALFISA!$A:$A,'Faltantes Fevereiro- Metalfisa'!AM$3,METALFISA!$B:$B,'Faltantes Fevereiro- Metalfisa'!$A76)</f>
        <v>0</v>
      </c>
      <c r="AN76" s="31">
        <f>SUMIFS(METALFISA!$E:$E,METALFISA!$A:$A,'Faltantes Fevereiro- Metalfisa'!AN$3,METALFISA!$B:$B,'Faltantes Fevereiro- Metalfisa'!$A76)</f>
        <v>0</v>
      </c>
      <c r="AO76" s="31">
        <f>SUMIFS(METALFISA!$E:$E,METALFISA!$A:$A,'Faltantes Fevereiro- Metalfisa'!AO$3,METALFISA!$B:$B,'Faltantes Fevereiro- Metalfisa'!$A76)</f>
        <v>0</v>
      </c>
      <c r="AP76" s="31">
        <f>SUMIFS(METALFISA!$E:$E,METALFISA!$A:$A,'Faltantes Fevereiro- Metalfisa'!AP$3,METALFISA!$B:$B,'Faltantes Fevereiro- Metalfisa'!$A76)</f>
        <v>0</v>
      </c>
      <c r="AQ76" s="31"/>
      <c r="AR76" s="31">
        <f>SUMIFS(METALFISA!$E:$E,METALFISA!$A:$A,'Faltantes Fevereiro- Metalfisa'!AR$3,METALFISA!$B:$B,'Faltantes Fevereiro- Metalfisa'!$A76)</f>
        <v>0</v>
      </c>
      <c r="AS76" s="35">
        <f>SUMIFS(METALFISA!$E:$E,METALFISA!$A:$A,'Faltantes Fevereiro- Metalfisa'!AS$3,METALFISA!$B:$B,'Faltantes Fevereiro- Metalfisa'!$A76)</f>
        <v>0</v>
      </c>
      <c r="AU76" s="18">
        <v>0</v>
      </c>
      <c r="AV76" s="18">
        <v>0</v>
      </c>
      <c r="AW76" s="18">
        <v>0</v>
      </c>
      <c r="AX76" s="18">
        <v>0</v>
      </c>
      <c r="AY76" s="41">
        <v>0</v>
      </c>
      <c r="AZ76" s="31">
        <v>0</v>
      </c>
      <c r="BA76" s="31">
        <v>0</v>
      </c>
      <c r="BB76" s="31">
        <v>0</v>
      </c>
      <c r="BC76" s="31">
        <v>0</v>
      </c>
      <c r="BD76" s="31">
        <v>0</v>
      </c>
      <c r="BE76" s="31">
        <v>0</v>
      </c>
      <c r="BF76" s="31">
        <v>0</v>
      </c>
      <c r="BG76" s="31">
        <v>0</v>
      </c>
      <c r="BH76" s="31">
        <v>0</v>
      </c>
      <c r="BI76" s="31">
        <v>0</v>
      </c>
      <c r="BJ76" s="31">
        <v>0</v>
      </c>
      <c r="BK76" s="31">
        <v>0</v>
      </c>
      <c r="BL76" s="31">
        <v>0</v>
      </c>
      <c r="BM76" s="31">
        <v>2</v>
      </c>
      <c r="BN76" s="31">
        <v>0</v>
      </c>
      <c r="BO76" s="31">
        <v>0</v>
      </c>
      <c r="BP76" s="31">
        <v>0</v>
      </c>
      <c r="BQ76" s="31">
        <v>0</v>
      </c>
      <c r="BR76" s="31">
        <v>0</v>
      </c>
      <c r="BS76" s="31">
        <v>0</v>
      </c>
      <c r="BT76" s="31">
        <v>0</v>
      </c>
      <c r="BU76" s="31">
        <v>0</v>
      </c>
      <c r="BV76" s="31">
        <v>0</v>
      </c>
      <c r="BW76" s="31">
        <v>0</v>
      </c>
      <c r="BX76" s="31">
        <v>0</v>
      </c>
      <c r="BY76" s="31">
        <v>0</v>
      </c>
      <c r="BZ76" s="31">
        <v>0</v>
      </c>
      <c r="CA76" s="31">
        <v>0</v>
      </c>
      <c r="CB76" s="31">
        <v>0</v>
      </c>
      <c r="CC76" s="31">
        <v>0</v>
      </c>
      <c r="CD76" s="31">
        <v>0</v>
      </c>
      <c r="CE76" s="31">
        <v>0</v>
      </c>
      <c r="CF76" s="31">
        <v>0</v>
      </c>
      <c r="CG76" s="31">
        <v>0</v>
      </c>
      <c r="CH76" s="31">
        <v>0</v>
      </c>
      <c r="CI76" s="31">
        <v>0</v>
      </c>
      <c r="CJ76" s="31">
        <v>0</v>
      </c>
      <c r="CK76" s="31">
        <v>0</v>
      </c>
      <c r="CL76" s="35">
        <v>0</v>
      </c>
    </row>
    <row r="77" spans="1:90" x14ac:dyDescent="0.15">
      <c r="A77" s="27" t="s">
        <v>601</v>
      </c>
      <c r="B77" s="28" t="s">
        <v>602</v>
      </c>
      <c r="C77" s="28">
        <v>0</v>
      </c>
      <c r="D77" s="28">
        <v>0</v>
      </c>
      <c r="E77" s="28">
        <v>0</v>
      </c>
      <c r="F77" s="28">
        <v>0</v>
      </c>
      <c r="G77" s="28">
        <v>2</v>
      </c>
      <c r="H77" s="28">
        <f>IFERROR(VLOOKUP(A77,[1]FALTANTES!$A:$AB,28,FALSE),"-")</f>
        <v>0</v>
      </c>
      <c r="I77" s="42">
        <f>IFERROR(VLOOKUP(A77,[1]FALTANTES!$A:$AC,29,FALSE),"-")</f>
        <v>0</v>
      </c>
      <c r="J77" s="29">
        <f>IFERROR(VLOOKUP(A77,[1]FALTANTES!$A:$AD,30,FALSE),"-")</f>
        <v>-2</v>
      </c>
      <c r="K77" s="30">
        <v>0</v>
      </c>
      <c r="L77" s="30">
        <f t="shared" si="1"/>
        <v>2</v>
      </c>
      <c r="M77" s="31">
        <f>SUMIFS(METALFISA!$E:$E,METALFISA!$A:$A,'Faltantes Fevereiro- Metalfisa'!M$3,METALFISA!$B:$B,'Faltantes Fevereiro- Metalfisa'!$A77)</f>
        <v>0</v>
      </c>
      <c r="N77" s="31">
        <f>SUMIFS(METALFISA!$E:$E,METALFISA!$A:$A,'Faltantes Fevereiro- Metalfisa'!N$3,METALFISA!$B:$B,'Faltantes Fevereiro- Metalfisa'!$A77)</f>
        <v>0</v>
      </c>
      <c r="O77" s="31">
        <f>SUMIFS(METALFISA!$E:$E,METALFISA!$A:$A,'Faltantes Fevereiro- Metalfisa'!O$3,METALFISA!$B:$B,'Faltantes Fevereiro- Metalfisa'!$A77)</f>
        <v>0</v>
      </c>
      <c r="P77" s="31">
        <f>SUMIFS(METALFISA!$E:$E,METALFISA!$A:$A,'Faltantes Fevereiro- Metalfisa'!P$3,METALFISA!$B:$B,'Faltantes Fevereiro- Metalfisa'!$A77)</f>
        <v>0</v>
      </c>
      <c r="Q77" s="31">
        <f>SUMIFS(METALFISA!$E:$E,METALFISA!$A:$A,'Faltantes Fevereiro- Metalfisa'!Q$3,METALFISA!$B:$B,'Faltantes Fevereiro- Metalfisa'!$A77)</f>
        <v>0</v>
      </c>
      <c r="R77" s="31">
        <f>SUMIFS(METALFISA!$E:$E,METALFISA!$A:$A,'Faltantes Fevereiro- Metalfisa'!R$3,METALFISA!$B:$B,'Faltantes Fevereiro- Metalfisa'!$A77)</f>
        <v>0</v>
      </c>
      <c r="S77" s="31">
        <f>SUMIFS(METALFISA!$E:$E,METALFISA!$A:$A,'Faltantes Fevereiro- Metalfisa'!S$3,METALFISA!$B:$B,'Faltantes Fevereiro- Metalfisa'!$A77)</f>
        <v>0</v>
      </c>
      <c r="T77" s="31">
        <f>SUMIFS(METALFISA!$E:$E,METALFISA!$A:$A,'Faltantes Fevereiro- Metalfisa'!T$3,METALFISA!$B:$B,'Faltantes Fevereiro- Metalfisa'!$A77)</f>
        <v>0</v>
      </c>
      <c r="U77" s="31">
        <f>SUMIFS(METALFISA!$E:$E,METALFISA!$A:$A,'Faltantes Fevereiro- Metalfisa'!U$3,METALFISA!$B:$B,'Faltantes Fevereiro- Metalfisa'!$A77)</f>
        <v>0</v>
      </c>
      <c r="V77" s="31">
        <f>SUMIFS(METALFISA!$E:$E,METALFISA!$A:$A,'Faltantes Fevereiro- Metalfisa'!V$3,METALFISA!$B:$B,'Faltantes Fevereiro- Metalfisa'!$A77)</f>
        <v>0</v>
      </c>
      <c r="W77" s="31">
        <f>SUMIFS(METALFISA!$E:$E,METALFISA!$A:$A,'Faltantes Fevereiro- Metalfisa'!W$3,METALFISA!$B:$B,'Faltantes Fevereiro- Metalfisa'!$A77)</f>
        <v>0</v>
      </c>
      <c r="X77" s="31">
        <f>SUMIFS(METALFISA!$E:$E,METALFISA!$A:$A,'Faltantes Fevereiro- Metalfisa'!X$3,METALFISA!$B:$B,'Faltantes Fevereiro- Metalfisa'!$A77)</f>
        <v>0</v>
      </c>
      <c r="Y77" s="31">
        <f>SUMIFS(METALFISA!$E:$E,METALFISA!$A:$A,'Faltantes Fevereiro- Metalfisa'!Y$3,METALFISA!$B:$B,'Faltantes Fevereiro- Metalfisa'!$A77)</f>
        <v>0</v>
      </c>
      <c r="Z77" s="31">
        <f>SUMIFS(METALFISA!$E:$E,METALFISA!$A:$A,'Faltantes Fevereiro- Metalfisa'!Z$3,METALFISA!$B:$B,'Faltantes Fevereiro- Metalfisa'!$A77)</f>
        <v>0</v>
      </c>
      <c r="AA77" s="31">
        <f>SUMIFS(METALFISA!$E:$E,METALFISA!$A:$A,'Faltantes Fevereiro- Metalfisa'!AA$3,METALFISA!$B:$B,'Faltantes Fevereiro- Metalfisa'!$A77)</f>
        <v>0</v>
      </c>
      <c r="AB77" s="31">
        <f>SUMIFS(METALFISA!$E:$E,METALFISA!$A:$A,'Faltantes Fevereiro- Metalfisa'!AB$3,METALFISA!$B:$B,'Faltantes Fevereiro- Metalfisa'!$A77)</f>
        <v>0</v>
      </c>
      <c r="AC77" s="31">
        <f>SUMIFS(METALFISA!$E:$E,METALFISA!$A:$A,'Faltantes Fevereiro- Metalfisa'!AC$3,METALFISA!$B:$B,'Faltantes Fevereiro- Metalfisa'!$A77)</f>
        <v>0</v>
      </c>
      <c r="AD77" s="31">
        <f>SUMIFS(METALFISA!$E:$E,METALFISA!$A:$A,'Faltantes Fevereiro- Metalfisa'!AD$3,METALFISA!$B:$B,'Faltantes Fevereiro- Metalfisa'!$A77)</f>
        <v>0</v>
      </c>
      <c r="AE77" s="31">
        <f>SUMIFS(METALFISA!$E:$E,METALFISA!$A:$A,'Faltantes Fevereiro- Metalfisa'!AE$3,METALFISA!$B:$B,'Faltantes Fevereiro- Metalfisa'!$A77)</f>
        <v>0</v>
      </c>
      <c r="AF77" s="31">
        <f>SUMIFS(METALFISA!$E:$E,METALFISA!$A:$A,'Faltantes Fevereiro- Metalfisa'!AF$3,METALFISA!$B:$B,'Faltantes Fevereiro- Metalfisa'!$A77)</f>
        <v>0</v>
      </c>
      <c r="AG77" s="31">
        <f>SUMIFS(METALFISA!$E:$E,METALFISA!$A:$A,'Faltantes Fevereiro- Metalfisa'!AG$3,METALFISA!$B:$B,'Faltantes Fevereiro- Metalfisa'!$A77)</f>
        <v>2</v>
      </c>
      <c r="AH77" s="31">
        <f>SUMIFS(METALFISA!$E:$E,METALFISA!$A:$A,'Faltantes Fevereiro- Metalfisa'!AH$3,METALFISA!$B:$B,'Faltantes Fevereiro- Metalfisa'!$A77)</f>
        <v>0</v>
      </c>
      <c r="AI77" s="31">
        <f>SUMIFS(METALFISA!$E:$E,METALFISA!$A:$A,'Faltantes Fevereiro- Metalfisa'!AI$3,METALFISA!$B:$B,'Faltantes Fevereiro- Metalfisa'!$A77)</f>
        <v>0</v>
      </c>
      <c r="AJ77" s="31">
        <f>SUMIFS(METALFISA!$E:$E,METALFISA!$A:$A,'Faltantes Fevereiro- Metalfisa'!AJ$3,METALFISA!$B:$B,'Faltantes Fevereiro- Metalfisa'!$A77)</f>
        <v>0</v>
      </c>
      <c r="AK77" s="31">
        <f>SUMIFS(METALFISA!$E:$E,METALFISA!$A:$A,'Faltantes Fevereiro- Metalfisa'!AK$3,METALFISA!$B:$B,'Faltantes Fevereiro- Metalfisa'!$A77)</f>
        <v>0</v>
      </c>
      <c r="AL77" s="31">
        <f>SUMIFS(METALFISA!$E:$E,METALFISA!$A:$A,'Faltantes Fevereiro- Metalfisa'!AL$3,METALFISA!$B:$B,'Faltantes Fevereiro- Metalfisa'!$A77)</f>
        <v>0</v>
      </c>
      <c r="AM77" s="31">
        <f>SUMIFS(METALFISA!$E:$E,METALFISA!$A:$A,'Faltantes Fevereiro- Metalfisa'!AM$3,METALFISA!$B:$B,'Faltantes Fevereiro- Metalfisa'!$A77)</f>
        <v>0</v>
      </c>
      <c r="AN77" s="31">
        <f>SUMIFS(METALFISA!$E:$E,METALFISA!$A:$A,'Faltantes Fevereiro- Metalfisa'!AN$3,METALFISA!$B:$B,'Faltantes Fevereiro- Metalfisa'!$A77)</f>
        <v>0</v>
      </c>
      <c r="AO77" s="31">
        <f>SUMIFS(METALFISA!$E:$E,METALFISA!$A:$A,'Faltantes Fevereiro- Metalfisa'!AO$3,METALFISA!$B:$B,'Faltantes Fevereiro- Metalfisa'!$A77)</f>
        <v>0</v>
      </c>
      <c r="AP77" s="31">
        <f>SUMIFS(METALFISA!$E:$E,METALFISA!$A:$A,'Faltantes Fevereiro- Metalfisa'!AP$3,METALFISA!$B:$B,'Faltantes Fevereiro- Metalfisa'!$A77)</f>
        <v>0</v>
      </c>
      <c r="AQ77" s="31"/>
      <c r="AR77" s="31">
        <f>SUMIFS(METALFISA!$E:$E,METALFISA!$A:$A,'Faltantes Fevereiro- Metalfisa'!AR$3,METALFISA!$B:$B,'Faltantes Fevereiro- Metalfisa'!$A77)</f>
        <v>0</v>
      </c>
      <c r="AS77" s="35">
        <f>SUMIFS(METALFISA!$E:$E,METALFISA!$A:$A,'Faltantes Fevereiro- Metalfisa'!AS$3,METALFISA!$B:$B,'Faltantes Fevereiro- Metalfisa'!$A77)</f>
        <v>0</v>
      </c>
      <c r="AU77" s="18">
        <v>0</v>
      </c>
      <c r="AV77" s="18">
        <v>0</v>
      </c>
      <c r="AW77" s="18">
        <v>0</v>
      </c>
      <c r="AX77" s="18">
        <v>0</v>
      </c>
      <c r="AY77" s="41">
        <v>0</v>
      </c>
      <c r="AZ77" s="31">
        <v>0</v>
      </c>
      <c r="BA77" s="31">
        <v>0</v>
      </c>
      <c r="BB77" s="31">
        <v>0</v>
      </c>
      <c r="BC77" s="31">
        <v>0</v>
      </c>
      <c r="BD77" s="31">
        <v>0</v>
      </c>
      <c r="BE77" s="31">
        <v>0</v>
      </c>
      <c r="BF77" s="31">
        <v>0</v>
      </c>
      <c r="BG77" s="31">
        <v>0</v>
      </c>
      <c r="BH77" s="31">
        <v>0</v>
      </c>
      <c r="BI77" s="31">
        <v>0</v>
      </c>
      <c r="BJ77" s="31">
        <v>0</v>
      </c>
      <c r="BK77" s="31">
        <v>0</v>
      </c>
      <c r="BL77" s="31">
        <v>0</v>
      </c>
      <c r="BM77" s="31">
        <v>2</v>
      </c>
      <c r="BN77" s="31">
        <v>0</v>
      </c>
      <c r="BO77" s="31">
        <v>0</v>
      </c>
      <c r="BP77" s="31">
        <v>0</v>
      </c>
      <c r="BQ77" s="31">
        <v>0</v>
      </c>
      <c r="BR77" s="31">
        <v>0</v>
      </c>
      <c r="BS77" s="31">
        <v>0</v>
      </c>
      <c r="BT77" s="31">
        <v>0</v>
      </c>
      <c r="BU77" s="31">
        <v>0</v>
      </c>
      <c r="BV77" s="31">
        <v>0</v>
      </c>
      <c r="BW77" s="31">
        <v>0</v>
      </c>
      <c r="BX77" s="31">
        <v>0</v>
      </c>
      <c r="BY77" s="31">
        <v>0</v>
      </c>
      <c r="BZ77" s="31">
        <v>0</v>
      </c>
      <c r="CA77" s="31">
        <v>0</v>
      </c>
      <c r="CB77" s="31">
        <v>0</v>
      </c>
      <c r="CC77" s="31">
        <v>0</v>
      </c>
      <c r="CD77" s="31">
        <v>0</v>
      </c>
      <c r="CE77" s="31">
        <v>0</v>
      </c>
      <c r="CF77" s="31">
        <v>0</v>
      </c>
      <c r="CG77" s="31">
        <v>0</v>
      </c>
      <c r="CH77" s="31">
        <v>0</v>
      </c>
      <c r="CI77" s="31">
        <v>0</v>
      </c>
      <c r="CJ77" s="31">
        <v>0</v>
      </c>
      <c r="CK77" s="31">
        <v>0</v>
      </c>
      <c r="CL77" s="35">
        <v>0</v>
      </c>
    </row>
    <row r="78" spans="1:90" x14ac:dyDescent="0.15">
      <c r="A78" s="27" t="s">
        <v>603</v>
      </c>
      <c r="B78" s="28" t="s">
        <v>604</v>
      </c>
      <c r="C78" s="28">
        <v>0</v>
      </c>
      <c r="D78" s="28">
        <v>0</v>
      </c>
      <c r="E78" s="28">
        <v>0</v>
      </c>
      <c r="F78" s="28">
        <v>0</v>
      </c>
      <c r="G78" s="28">
        <v>2</v>
      </c>
      <c r="H78" s="28">
        <f>IFERROR(VLOOKUP(A78,[1]FALTANTES!$A:$AB,28,FALSE),"-")</f>
        <v>0</v>
      </c>
      <c r="I78" s="42">
        <f>IFERROR(VLOOKUP(A78,[1]FALTANTES!$A:$AC,29,FALSE),"-")</f>
        <v>0</v>
      </c>
      <c r="J78" s="29">
        <f>IFERROR(VLOOKUP(A78,[1]FALTANTES!$A:$AD,30,FALSE),"-")</f>
        <v>-2</v>
      </c>
      <c r="K78" s="30">
        <v>0</v>
      </c>
      <c r="L78" s="30">
        <f t="shared" si="1"/>
        <v>2</v>
      </c>
      <c r="M78" s="31">
        <f>SUMIFS(METALFISA!$E:$E,METALFISA!$A:$A,'Faltantes Fevereiro- Metalfisa'!M$3,METALFISA!$B:$B,'Faltantes Fevereiro- Metalfisa'!$A78)</f>
        <v>0</v>
      </c>
      <c r="N78" s="31">
        <f>SUMIFS(METALFISA!$E:$E,METALFISA!$A:$A,'Faltantes Fevereiro- Metalfisa'!N$3,METALFISA!$B:$B,'Faltantes Fevereiro- Metalfisa'!$A78)</f>
        <v>0</v>
      </c>
      <c r="O78" s="31">
        <f>SUMIFS(METALFISA!$E:$E,METALFISA!$A:$A,'Faltantes Fevereiro- Metalfisa'!O$3,METALFISA!$B:$B,'Faltantes Fevereiro- Metalfisa'!$A78)</f>
        <v>0</v>
      </c>
      <c r="P78" s="31">
        <f>SUMIFS(METALFISA!$E:$E,METALFISA!$A:$A,'Faltantes Fevereiro- Metalfisa'!P$3,METALFISA!$B:$B,'Faltantes Fevereiro- Metalfisa'!$A78)</f>
        <v>0</v>
      </c>
      <c r="Q78" s="31">
        <f>SUMIFS(METALFISA!$E:$E,METALFISA!$A:$A,'Faltantes Fevereiro- Metalfisa'!Q$3,METALFISA!$B:$B,'Faltantes Fevereiro- Metalfisa'!$A78)</f>
        <v>0</v>
      </c>
      <c r="R78" s="31">
        <f>SUMIFS(METALFISA!$E:$E,METALFISA!$A:$A,'Faltantes Fevereiro- Metalfisa'!R$3,METALFISA!$B:$B,'Faltantes Fevereiro- Metalfisa'!$A78)</f>
        <v>0</v>
      </c>
      <c r="S78" s="31">
        <f>SUMIFS(METALFISA!$E:$E,METALFISA!$A:$A,'Faltantes Fevereiro- Metalfisa'!S$3,METALFISA!$B:$B,'Faltantes Fevereiro- Metalfisa'!$A78)</f>
        <v>0</v>
      </c>
      <c r="T78" s="31">
        <f>SUMIFS(METALFISA!$E:$E,METALFISA!$A:$A,'Faltantes Fevereiro- Metalfisa'!T$3,METALFISA!$B:$B,'Faltantes Fevereiro- Metalfisa'!$A78)</f>
        <v>0</v>
      </c>
      <c r="U78" s="31">
        <f>SUMIFS(METALFISA!$E:$E,METALFISA!$A:$A,'Faltantes Fevereiro- Metalfisa'!U$3,METALFISA!$B:$B,'Faltantes Fevereiro- Metalfisa'!$A78)</f>
        <v>0</v>
      </c>
      <c r="V78" s="31">
        <f>SUMIFS(METALFISA!$E:$E,METALFISA!$A:$A,'Faltantes Fevereiro- Metalfisa'!V$3,METALFISA!$B:$B,'Faltantes Fevereiro- Metalfisa'!$A78)</f>
        <v>0</v>
      </c>
      <c r="W78" s="31">
        <f>SUMIFS(METALFISA!$E:$E,METALFISA!$A:$A,'Faltantes Fevereiro- Metalfisa'!W$3,METALFISA!$B:$B,'Faltantes Fevereiro- Metalfisa'!$A78)</f>
        <v>0</v>
      </c>
      <c r="X78" s="31">
        <f>SUMIFS(METALFISA!$E:$E,METALFISA!$A:$A,'Faltantes Fevereiro- Metalfisa'!X$3,METALFISA!$B:$B,'Faltantes Fevereiro- Metalfisa'!$A78)</f>
        <v>0</v>
      </c>
      <c r="Y78" s="31">
        <f>SUMIFS(METALFISA!$E:$E,METALFISA!$A:$A,'Faltantes Fevereiro- Metalfisa'!Y$3,METALFISA!$B:$B,'Faltantes Fevereiro- Metalfisa'!$A78)</f>
        <v>0</v>
      </c>
      <c r="Z78" s="31">
        <f>SUMIFS(METALFISA!$E:$E,METALFISA!$A:$A,'Faltantes Fevereiro- Metalfisa'!Z$3,METALFISA!$B:$B,'Faltantes Fevereiro- Metalfisa'!$A78)</f>
        <v>0</v>
      </c>
      <c r="AA78" s="31">
        <f>SUMIFS(METALFISA!$E:$E,METALFISA!$A:$A,'Faltantes Fevereiro- Metalfisa'!AA$3,METALFISA!$B:$B,'Faltantes Fevereiro- Metalfisa'!$A78)</f>
        <v>0</v>
      </c>
      <c r="AB78" s="31">
        <f>SUMIFS(METALFISA!$E:$E,METALFISA!$A:$A,'Faltantes Fevereiro- Metalfisa'!AB$3,METALFISA!$B:$B,'Faltantes Fevereiro- Metalfisa'!$A78)</f>
        <v>0</v>
      </c>
      <c r="AC78" s="31">
        <f>SUMIFS(METALFISA!$E:$E,METALFISA!$A:$A,'Faltantes Fevereiro- Metalfisa'!AC$3,METALFISA!$B:$B,'Faltantes Fevereiro- Metalfisa'!$A78)</f>
        <v>0</v>
      </c>
      <c r="AD78" s="31">
        <f>SUMIFS(METALFISA!$E:$E,METALFISA!$A:$A,'Faltantes Fevereiro- Metalfisa'!AD$3,METALFISA!$B:$B,'Faltantes Fevereiro- Metalfisa'!$A78)</f>
        <v>0</v>
      </c>
      <c r="AE78" s="31">
        <f>SUMIFS(METALFISA!$E:$E,METALFISA!$A:$A,'Faltantes Fevereiro- Metalfisa'!AE$3,METALFISA!$B:$B,'Faltantes Fevereiro- Metalfisa'!$A78)</f>
        <v>0</v>
      </c>
      <c r="AF78" s="31">
        <f>SUMIFS(METALFISA!$E:$E,METALFISA!$A:$A,'Faltantes Fevereiro- Metalfisa'!AF$3,METALFISA!$B:$B,'Faltantes Fevereiro- Metalfisa'!$A78)</f>
        <v>0</v>
      </c>
      <c r="AG78" s="31">
        <f>SUMIFS(METALFISA!$E:$E,METALFISA!$A:$A,'Faltantes Fevereiro- Metalfisa'!AG$3,METALFISA!$B:$B,'Faltantes Fevereiro- Metalfisa'!$A78)</f>
        <v>2</v>
      </c>
      <c r="AH78" s="31">
        <f>SUMIFS(METALFISA!$E:$E,METALFISA!$A:$A,'Faltantes Fevereiro- Metalfisa'!AH$3,METALFISA!$B:$B,'Faltantes Fevereiro- Metalfisa'!$A78)</f>
        <v>0</v>
      </c>
      <c r="AI78" s="31">
        <f>SUMIFS(METALFISA!$E:$E,METALFISA!$A:$A,'Faltantes Fevereiro- Metalfisa'!AI$3,METALFISA!$B:$B,'Faltantes Fevereiro- Metalfisa'!$A78)</f>
        <v>0</v>
      </c>
      <c r="AJ78" s="31">
        <f>SUMIFS(METALFISA!$E:$E,METALFISA!$A:$A,'Faltantes Fevereiro- Metalfisa'!AJ$3,METALFISA!$B:$B,'Faltantes Fevereiro- Metalfisa'!$A78)</f>
        <v>0</v>
      </c>
      <c r="AK78" s="31">
        <f>SUMIFS(METALFISA!$E:$E,METALFISA!$A:$A,'Faltantes Fevereiro- Metalfisa'!AK$3,METALFISA!$B:$B,'Faltantes Fevereiro- Metalfisa'!$A78)</f>
        <v>0</v>
      </c>
      <c r="AL78" s="31">
        <f>SUMIFS(METALFISA!$E:$E,METALFISA!$A:$A,'Faltantes Fevereiro- Metalfisa'!AL$3,METALFISA!$B:$B,'Faltantes Fevereiro- Metalfisa'!$A78)</f>
        <v>0</v>
      </c>
      <c r="AM78" s="31">
        <f>SUMIFS(METALFISA!$E:$E,METALFISA!$A:$A,'Faltantes Fevereiro- Metalfisa'!AM$3,METALFISA!$B:$B,'Faltantes Fevereiro- Metalfisa'!$A78)</f>
        <v>0</v>
      </c>
      <c r="AN78" s="31">
        <f>SUMIFS(METALFISA!$E:$E,METALFISA!$A:$A,'Faltantes Fevereiro- Metalfisa'!AN$3,METALFISA!$B:$B,'Faltantes Fevereiro- Metalfisa'!$A78)</f>
        <v>0</v>
      </c>
      <c r="AO78" s="31">
        <f>SUMIFS(METALFISA!$E:$E,METALFISA!$A:$A,'Faltantes Fevereiro- Metalfisa'!AO$3,METALFISA!$B:$B,'Faltantes Fevereiro- Metalfisa'!$A78)</f>
        <v>0</v>
      </c>
      <c r="AP78" s="31">
        <f>SUMIFS(METALFISA!$E:$E,METALFISA!$A:$A,'Faltantes Fevereiro- Metalfisa'!AP$3,METALFISA!$B:$B,'Faltantes Fevereiro- Metalfisa'!$A78)</f>
        <v>0</v>
      </c>
      <c r="AQ78" s="31"/>
      <c r="AR78" s="31">
        <f>SUMIFS(METALFISA!$E:$E,METALFISA!$A:$A,'Faltantes Fevereiro- Metalfisa'!AR$3,METALFISA!$B:$B,'Faltantes Fevereiro- Metalfisa'!$A78)</f>
        <v>0</v>
      </c>
      <c r="AS78" s="35">
        <f>SUMIFS(METALFISA!$E:$E,METALFISA!$A:$A,'Faltantes Fevereiro- Metalfisa'!AS$3,METALFISA!$B:$B,'Faltantes Fevereiro- Metalfisa'!$A78)</f>
        <v>0</v>
      </c>
      <c r="AU78" s="18">
        <v>0</v>
      </c>
      <c r="AV78" s="18">
        <v>0</v>
      </c>
      <c r="AW78" s="18">
        <v>0</v>
      </c>
      <c r="AX78" s="18">
        <v>0</v>
      </c>
      <c r="AY78" s="41">
        <v>0</v>
      </c>
      <c r="AZ78" s="31">
        <v>0</v>
      </c>
      <c r="BA78" s="31">
        <v>0</v>
      </c>
      <c r="BB78" s="31">
        <v>0</v>
      </c>
      <c r="BC78" s="31">
        <v>0</v>
      </c>
      <c r="BD78" s="31">
        <v>0</v>
      </c>
      <c r="BE78" s="31">
        <v>0</v>
      </c>
      <c r="BF78" s="31">
        <v>0</v>
      </c>
      <c r="BG78" s="31">
        <v>0</v>
      </c>
      <c r="BH78" s="31">
        <v>0</v>
      </c>
      <c r="BI78" s="31">
        <v>0</v>
      </c>
      <c r="BJ78" s="31">
        <v>0</v>
      </c>
      <c r="BK78" s="31">
        <v>0</v>
      </c>
      <c r="BL78" s="31">
        <v>0</v>
      </c>
      <c r="BM78" s="31">
        <v>1</v>
      </c>
      <c r="BN78" s="31">
        <v>0</v>
      </c>
      <c r="BO78" s="31">
        <v>0</v>
      </c>
      <c r="BP78" s="31">
        <v>0</v>
      </c>
      <c r="BQ78" s="31">
        <v>0</v>
      </c>
      <c r="BR78" s="31">
        <v>0</v>
      </c>
      <c r="BS78" s="31">
        <v>0</v>
      </c>
      <c r="BT78" s="31">
        <v>0</v>
      </c>
      <c r="BU78" s="31">
        <v>0</v>
      </c>
      <c r="BV78" s="31">
        <v>0</v>
      </c>
      <c r="BW78" s="31">
        <v>0</v>
      </c>
      <c r="BX78" s="31">
        <v>0</v>
      </c>
      <c r="BY78" s="31">
        <v>0</v>
      </c>
      <c r="BZ78" s="31">
        <v>0</v>
      </c>
      <c r="CA78" s="31">
        <v>0</v>
      </c>
      <c r="CB78" s="31">
        <v>0</v>
      </c>
      <c r="CC78" s="31">
        <v>0</v>
      </c>
      <c r="CD78" s="31">
        <v>0</v>
      </c>
      <c r="CE78" s="31">
        <v>0</v>
      </c>
      <c r="CF78" s="31">
        <v>0</v>
      </c>
      <c r="CG78" s="31">
        <v>0</v>
      </c>
      <c r="CH78" s="31">
        <v>0</v>
      </c>
      <c r="CI78" s="31">
        <v>0</v>
      </c>
      <c r="CJ78" s="31">
        <v>0</v>
      </c>
      <c r="CK78" s="31">
        <v>0</v>
      </c>
      <c r="CL78" s="35">
        <v>0</v>
      </c>
    </row>
    <row r="79" spans="1:90" x14ac:dyDescent="0.15">
      <c r="A79" s="27" t="s">
        <v>608</v>
      </c>
      <c r="B79" s="28" t="s">
        <v>609</v>
      </c>
      <c r="C79" s="28">
        <v>0</v>
      </c>
      <c r="D79" s="28">
        <v>0</v>
      </c>
      <c r="E79" s="28">
        <v>0</v>
      </c>
      <c r="F79" s="28">
        <v>0</v>
      </c>
      <c r="G79" s="28">
        <v>2</v>
      </c>
      <c r="H79" s="28">
        <f>IFERROR(VLOOKUP(A79,[1]FALTANTES!$A:$AB,28,FALSE),"-")</f>
        <v>0</v>
      </c>
      <c r="I79" s="42">
        <f>IFERROR(VLOOKUP(A79,[1]FALTANTES!$A:$AC,29,FALSE),"-")</f>
        <v>0</v>
      </c>
      <c r="J79" s="29">
        <f>IFERROR(VLOOKUP(A79,[1]FALTANTES!$A:$AD,30,FALSE),"-")</f>
        <v>-2</v>
      </c>
      <c r="K79" s="30">
        <v>0</v>
      </c>
      <c r="L79" s="30">
        <f t="shared" si="1"/>
        <v>2</v>
      </c>
      <c r="M79" s="31">
        <f>SUMIFS(METALFISA!$E:$E,METALFISA!$A:$A,'Faltantes Fevereiro- Metalfisa'!M$3,METALFISA!$B:$B,'Faltantes Fevereiro- Metalfisa'!$A79)</f>
        <v>0</v>
      </c>
      <c r="N79" s="31">
        <f>SUMIFS(METALFISA!$E:$E,METALFISA!$A:$A,'Faltantes Fevereiro- Metalfisa'!N$3,METALFISA!$B:$B,'Faltantes Fevereiro- Metalfisa'!$A79)</f>
        <v>0</v>
      </c>
      <c r="O79" s="31">
        <f>SUMIFS(METALFISA!$E:$E,METALFISA!$A:$A,'Faltantes Fevereiro- Metalfisa'!O$3,METALFISA!$B:$B,'Faltantes Fevereiro- Metalfisa'!$A79)</f>
        <v>0</v>
      </c>
      <c r="P79" s="31">
        <f>SUMIFS(METALFISA!$E:$E,METALFISA!$A:$A,'Faltantes Fevereiro- Metalfisa'!P$3,METALFISA!$B:$B,'Faltantes Fevereiro- Metalfisa'!$A79)</f>
        <v>0</v>
      </c>
      <c r="Q79" s="31">
        <f>SUMIFS(METALFISA!$E:$E,METALFISA!$A:$A,'Faltantes Fevereiro- Metalfisa'!Q$3,METALFISA!$B:$B,'Faltantes Fevereiro- Metalfisa'!$A79)</f>
        <v>0</v>
      </c>
      <c r="R79" s="31">
        <f>SUMIFS(METALFISA!$E:$E,METALFISA!$A:$A,'Faltantes Fevereiro- Metalfisa'!R$3,METALFISA!$B:$B,'Faltantes Fevereiro- Metalfisa'!$A79)</f>
        <v>0</v>
      </c>
      <c r="S79" s="31">
        <f>SUMIFS(METALFISA!$E:$E,METALFISA!$A:$A,'Faltantes Fevereiro- Metalfisa'!S$3,METALFISA!$B:$B,'Faltantes Fevereiro- Metalfisa'!$A79)</f>
        <v>0</v>
      </c>
      <c r="T79" s="31">
        <f>SUMIFS(METALFISA!$E:$E,METALFISA!$A:$A,'Faltantes Fevereiro- Metalfisa'!T$3,METALFISA!$B:$B,'Faltantes Fevereiro- Metalfisa'!$A79)</f>
        <v>0</v>
      </c>
      <c r="U79" s="31">
        <f>SUMIFS(METALFISA!$E:$E,METALFISA!$A:$A,'Faltantes Fevereiro- Metalfisa'!U$3,METALFISA!$B:$B,'Faltantes Fevereiro- Metalfisa'!$A79)</f>
        <v>0</v>
      </c>
      <c r="V79" s="31">
        <f>SUMIFS(METALFISA!$E:$E,METALFISA!$A:$A,'Faltantes Fevereiro- Metalfisa'!V$3,METALFISA!$B:$B,'Faltantes Fevereiro- Metalfisa'!$A79)</f>
        <v>0</v>
      </c>
      <c r="W79" s="31">
        <f>SUMIFS(METALFISA!$E:$E,METALFISA!$A:$A,'Faltantes Fevereiro- Metalfisa'!W$3,METALFISA!$B:$B,'Faltantes Fevereiro- Metalfisa'!$A79)</f>
        <v>0</v>
      </c>
      <c r="X79" s="31">
        <f>SUMIFS(METALFISA!$E:$E,METALFISA!$A:$A,'Faltantes Fevereiro- Metalfisa'!X$3,METALFISA!$B:$B,'Faltantes Fevereiro- Metalfisa'!$A79)</f>
        <v>0</v>
      </c>
      <c r="Y79" s="31">
        <f>SUMIFS(METALFISA!$E:$E,METALFISA!$A:$A,'Faltantes Fevereiro- Metalfisa'!Y$3,METALFISA!$B:$B,'Faltantes Fevereiro- Metalfisa'!$A79)</f>
        <v>0</v>
      </c>
      <c r="Z79" s="31">
        <f>SUMIFS(METALFISA!$E:$E,METALFISA!$A:$A,'Faltantes Fevereiro- Metalfisa'!Z$3,METALFISA!$B:$B,'Faltantes Fevereiro- Metalfisa'!$A79)</f>
        <v>0</v>
      </c>
      <c r="AA79" s="31">
        <f>SUMIFS(METALFISA!$E:$E,METALFISA!$A:$A,'Faltantes Fevereiro- Metalfisa'!AA$3,METALFISA!$B:$B,'Faltantes Fevereiro- Metalfisa'!$A79)</f>
        <v>0</v>
      </c>
      <c r="AB79" s="31">
        <f>SUMIFS(METALFISA!$E:$E,METALFISA!$A:$A,'Faltantes Fevereiro- Metalfisa'!AB$3,METALFISA!$B:$B,'Faltantes Fevereiro- Metalfisa'!$A79)</f>
        <v>0</v>
      </c>
      <c r="AC79" s="31">
        <f>SUMIFS(METALFISA!$E:$E,METALFISA!$A:$A,'Faltantes Fevereiro- Metalfisa'!AC$3,METALFISA!$B:$B,'Faltantes Fevereiro- Metalfisa'!$A79)</f>
        <v>0</v>
      </c>
      <c r="AD79" s="31">
        <f>SUMIFS(METALFISA!$E:$E,METALFISA!$A:$A,'Faltantes Fevereiro- Metalfisa'!AD$3,METALFISA!$B:$B,'Faltantes Fevereiro- Metalfisa'!$A79)</f>
        <v>0</v>
      </c>
      <c r="AE79" s="31">
        <f>SUMIFS(METALFISA!$E:$E,METALFISA!$A:$A,'Faltantes Fevereiro- Metalfisa'!AE$3,METALFISA!$B:$B,'Faltantes Fevereiro- Metalfisa'!$A79)</f>
        <v>0</v>
      </c>
      <c r="AF79" s="31">
        <f>SUMIFS(METALFISA!$E:$E,METALFISA!$A:$A,'Faltantes Fevereiro- Metalfisa'!AF$3,METALFISA!$B:$B,'Faltantes Fevereiro- Metalfisa'!$A79)</f>
        <v>0</v>
      </c>
      <c r="AG79" s="31">
        <f>SUMIFS(METALFISA!$E:$E,METALFISA!$A:$A,'Faltantes Fevereiro- Metalfisa'!AG$3,METALFISA!$B:$B,'Faltantes Fevereiro- Metalfisa'!$A79)</f>
        <v>2</v>
      </c>
      <c r="AH79" s="31">
        <f>SUMIFS(METALFISA!$E:$E,METALFISA!$A:$A,'Faltantes Fevereiro- Metalfisa'!AH$3,METALFISA!$B:$B,'Faltantes Fevereiro- Metalfisa'!$A79)</f>
        <v>0</v>
      </c>
      <c r="AI79" s="31">
        <f>SUMIFS(METALFISA!$E:$E,METALFISA!$A:$A,'Faltantes Fevereiro- Metalfisa'!AI$3,METALFISA!$B:$B,'Faltantes Fevereiro- Metalfisa'!$A79)</f>
        <v>0</v>
      </c>
      <c r="AJ79" s="31">
        <f>SUMIFS(METALFISA!$E:$E,METALFISA!$A:$A,'Faltantes Fevereiro- Metalfisa'!AJ$3,METALFISA!$B:$B,'Faltantes Fevereiro- Metalfisa'!$A79)</f>
        <v>0</v>
      </c>
      <c r="AK79" s="31">
        <f>SUMIFS(METALFISA!$E:$E,METALFISA!$A:$A,'Faltantes Fevereiro- Metalfisa'!AK$3,METALFISA!$B:$B,'Faltantes Fevereiro- Metalfisa'!$A79)</f>
        <v>0</v>
      </c>
      <c r="AL79" s="31">
        <f>SUMIFS(METALFISA!$E:$E,METALFISA!$A:$A,'Faltantes Fevereiro- Metalfisa'!AL$3,METALFISA!$B:$B,'Faltantes Fevereiro- Metalfisa'!$A79)</f>
        <v>0</v>
      </c>
      <c r="AM79" s="31">
        <f>SUMIFS(METALFISA!$E:$E,METALFISA!$A:$A,'Faltantes Fevereiro- Metalfisa'!AM$3,METALFISA!$B:$B,'Faltantes Fevereiro- Metalfisa'!$A79)</f>
        <v>0</v>
      </c>
      <c r="AN79" s="31">
        <f>SUMIFS(METALFISA!$E:$E,METALFISA!$A:$A,'Faltantes Fevereiro- Metalfisa'!AN$3,METALFISA!$B:$B,'Faltantes Fevereiro- Metalfisa'!$A79)</f>
        <v>0</v>
      </c>
      <c r="AO79" s="31">
        <f>SUMIFS(METALFISA!$E:$E,METALFISA!$A:$A,'Faltantes Fevereiro- Metalfisa'!AO$3,METALFISA!$B:$B,'Faltantes Fevereiro- Metalfisa'!$A79)</f>
        <v>0</v>
      </c>
      <c r="AP79" s="31">
        <f>SUMIFS(METALFISA!$E:$E,METALFISA!$A:$A,'Faltantes Fevereiro- Metalfisa'!AP$3,METALFISA!$B:$B,'Faltantes Fevereiro- Metalfisa'!$A79)</f>
        <v>0</v>
      </c>
      <c r="AQ79" s="31"/>
      <c r="AR79" s="31">
        <f>SUMIFS(METALFISA!$E:$E,METALFISA!$A:$A,'Faltantes Fevereiro- Metalfisa'!AR$3,METALFISA!$B:$B,'Faltantes Fevereiro- Metalfisa'!$A79)</f>
        <v>0</v>
      </c>
      <c r="AS79" s="35">
        <f>SUMIFS(METALFISA!$E:$E,METALFISA!$A:$A,'Faltantes Fevereiro- Metalfisa'!AS$3,METALFISA!$B:$B,'Faltantes Fevereiro- Metalfisa'!$A79)</f>
        <v>0</v>
      </c>
      <c r="AU79" s="18">
        <v>0</v>
      </c>
      <c r="AV79" s="18">
        <v>0</v>
      </c>
      <c r="AW79" s="18">
        <v>0</v>
      </c>
      <c r="AX79" s="18">
        <v>0</v>
      </c>
      <c r="AY79" s="41">
        <v>0</v>
      </c>
      <c r="AZ79" s="31">
        <v>0</v>
      </c>
      <c r="BA79" s="31">
        <v>0</v>
      </c>
      <c r="BB79" s="31">
        <v>0</v>
      </c>
      <c r="BC79" s="31">
        <v>0</v>
      </c>
      <c r="BD79" s="31">
        <v>0</v>
      </c>
      <c r="BE79" s="31">
        <v>0</v>
      </c>
      <c r="BF79" s="31">
        <v>0</v>
      </c>
      <c r="BG79" s="31">
        <v>0</v>
      </c>
      <c r="BH79" s="31">
        <v>0</v>
      </c>
      <c r="BI79" s="31">
        <v>0</v>
      </c>
      <c r="BJ79" s="31">
        <v>0</v>
      </c>
      <c r="BK79" s="31">
        <v>0</v>
      </c>
      <c r="BL79" s="31">
        <v>0</v>
      </c>
      <c r="BM79" s="31">
        <v>1</v>
      </c>
      <c r="BN79" s="31">
        <v>0</v>
      </c>
      <c r="BO79" s="31">
        <v>0</v>
      </c>
      <c r="BP79" s="31">
        <v>0</v>
      </c>
      <c r="BQ79" s="31">
        <v>0</v>
      </c>
      <c r="BR79" s="31">
        <v>0</v>
      </c>
      <c r="BS79" s="31">
        <v>0</v>
      </c>
      <c r="BT79" s="31">
        <v>0</v>
      </c>
      <c r="BU79" s="31">
        <v>0</v>
      </c>
      <c r="BV79" s="31">
        <v>0</v>
      </c>
      <c r="BW79" s="31">
        <v>0</v>
      </c>
      <c r="BX79" s="31">
        <v>0</v>
      </c>
      <c r="BY79" s="31">
        <v>0</v>
      </c>
      <c r="BZ79" s="31">
        <v>0</v>
      </c>
      <c r="CA79" s="31">
        <v>0</v>
      </c>
      <c r="CB79" s="31">
        <v>0</v>
      </c>
      <c r="CC79" s="31">
        <v>0</v>
      </c>
      <c r="CD79" s="31">
        <v>0</v>
      </c>
      <c r="CE79" s="31">
        <v>0</v>
      </c>
      <c r="CF79" s="31">
        <v>0</v>
      </c>
      <c r="CG79" s="31">
        <v>0</v>
      </c>
      <c r="CH79" s="31">
        <v>0</v>
      </c>
      <c r="CI79" s="31">
        <v>0</v>
      </c>
      <c r="CJ79" s="31">
        <v>0</v>
      </c>
      <c r="CK79" s="31">
        <v>0</v>
      </c>
      <c r="CL79" s="35">
        <v>0</v>
      </c>
    </row>
    <row r="80" spans="1:90" x14ac:dyDescent="0.15">
      <c r="A80" s="27" t="s">
        <v>208</v>
      </c>
      <c r="B80" s="28" t="s">
        <v>209</v>
      </c>
      <c r="C80" s="28">
        <v>0</v>
      </c>
      <c r="D80" s="28">
        <v>0</v>
      </c>
      <c r="E80" s="28">
        <v>0</v>
      </c>
      <c r="F80" s="28">
        <v>0</v>
      </c>
      <c r="G80" s="28">
        <v>6</v>
      </c>
      <c r="H80" s="28">
        <f>IFERROR(VLOOKUP(A80,[1]FALTANTES!$A:$AB,28,FALSE),"-")</f>
        <v>0</v>
      </c>
      <c r="I80" s="42">
        <f>IFERROR(VLOOKUP(A80,[1]FALTANTES!$A:$AC,29,FALSE),"-")</f>
        <v>0</v>
      </c>
      <c r="J80" s="29">
        <f>IFERROR(VLOOKUP(A80,[1]FALTANTES!$A:$AD,30,FALSE),"-")</f>
        <v>-6</v>
      </c>
      <c r="K80" s="30">
        <v>0</v>
      </c>
      <c r="L80" s="30">
        <f t="shared" si="1"/>
        <v>6</v>
      </c>
      <c r="M80" s="31">
        <f>SUMIFS(METALFISA!$E:$E,METALFISA!$A:$A,'Faltantes Fevereiro- Metalfisa'!M$3,METALFISA!$B:$B,'Faltantes Fevereiro- Metalfisa'!$A80)</f>
        <v>0</v>
      </c>
      <c r="N80" s="31">
        <f>SUMIFS(METALFISA!$E:$E,METALFISA!$A:$A,'Faltantes Fevereiro- Metalfisa'!N$3,METALFISA!$B:$B,'Faltantes Fevereiro- Metalfisa'!$A80)</f>
        <v>0</v>
      </c>
      <c r="O80" s="31">
        <f>SUMIFS(METALFISA!$E:$E,METALFISA!$A:$A,'Faltantes Fevereiro- Metalfisa'!O$3,METALFISA!$B:$B,'Faltantes Fevereiro- Metalfisa'!$A80)</f>
        <v>0</v>
      </c>
      <c r="P80" s="31">
        <f>SUMIFS(METALFISA!$E:$E,METALFISA!$A:$A,'Faltantes Fevereiro- Metalfisa'!P$3,METALFISA!$B:$B,'Faltantes Fevereiro- Metalfisa'!$A80)</f>
        <v>0</v>
      </c>
      <c r="Q80" s="31">
        <f>SUMIFS(METALFISA!$E:$E,METALFISA!$A:$A,'Faltantes Fevereiro- Metalfisa'!Q$3,METALFISA!$B:$B,'Faltantes Fevereiro- Metalfisa'!$A80)</f>
        <v>0</v>
      </c>
      <c r="R80" s="31">
        <f>SUMIFS(METALFISA!$E:$E,METALFISA!$A:$A,'Faltantes Fevereiro- Metalfisa'!R$3,METALFISA!$B:$B,'Faltantes Fevereiro- Metalfisa'!$A80)</f>
        <v>0</v>
      </c>
      <c r="S80" s="31">
        <f>SUMIFS(METALFISA!$E:$E,METALFISA!$A:$A,'Faltantes Fevereiro- Metalfisa'!S$3,METALFISA!$B:$B,'Faltantes Fevereiro- Metalfisa'!$A80)</f>
        <v>0</v>
      </c>
      <c r="T80" s="31">
        <f>SUMIFS(METALFISA!$E:$E,METALFISA!$A:$A,'Faltantes Fevereiro- Metalfisa'!T$3,METALFISA!$B:$B,'Faltantes Fevereiro- Metalfisa'!$A80)</f>
        <v>0</v>
      </c>
      <c r="U80" s="31">
        <f>SUMIFS(METALFISA!$E:$E,METALFISA!$A:$A,'Faltantes Fevereiro- Metalfisa'!U$3,METALFISA!$B:$B,'Faltantes Fevereiro- Metalfisa'!$A80)</f>
        <v>0</v>
      </c>
      <c r="V80" s="31">
        <f>SUMIFS(METALFISA!$E:$E,METALFISA!$A:$A,'Faltantes Fevereiro- Metalfisa'!V$3,METALFISA!$B:$B,'Faltantes Fevereiro- Metalfisa'!$A80)</f>
        <v>0</v>
      </c>
      <c r="W80" s="31">
        <f>SUMIFS(METALFISA!$E:$E,METALFISA!$A:$A,'Faltantes Fevereiro- Metalfisa'!W$3,METALFISA!$B:$B,'Faltantes Fevereiro- Metalfisa'!$A80)</f>
        <v>0</v>
      </c>
      <c r="X80" s="31">
        <f>SUMIFS(METALFISA!$E:$E,METALFISA!$A:$A,'Faltantes Fevereiro- Metalfisa'!X$3,METALFISA!$B:$B,'Faltantes Fevereiro- Metalfisa'!$A80)</f>
        <v>0</v>
      </c>
      <c r="Y80" s="31">
        <f>SUMIFS(METALFISA!$E:$E,METALFISA!$A:$A,'Faltantes Fevereiro- Metalfisa'!Y$3,METALFISA!$B:$B,'Faltantes Fevereiro- Metalfisa'!$A80)</f>
        <v>0</v>
      </c>
      <c r="Z80" s="31">
        <f>SUMIFS(METALFISA!$E:$E,METALFISA!$A:$A,'Faltantes Fevereiro- Metalfisa'!Z$3,METALFISA!$B:$B,'Faltantes Fevereiro- Metalfisa'!$A80)</f>
        <v>0</v>
      </c>
      <c r="AA80" s="31">
        <f>SUMIFS(METALFISA!$E:$E,METALFISA!$A:$A,'Faltantes Fevereiro- Metalfisa'!AA$3,METALFISA!$B:$B,'Faltantes Fevereiro- Metalfisa'!$A80)</f>
        <v>0</v>
      </c>
      <c r="AB80" s="31">
        <f>SUMIFS(METALFISA!$E:$E,METALFISA!$A:$A,'Faltantes Fevereiro- Metalfisa'!AB$3,METALFISA!$B:$B,'Faltantes Fevereiro- Metalfisa'!$A80)</f>
        <v>0</v>
      </c>
      <c r="AC80" s="31">
        <f>SUMIFS(METALFISA!$E:$E,METALFISA!$A:$A,'Faltantes Fevereiro- Metalfisa'!AC$3,METALFISA!$B:$B,'Faltantes Fevereiro- Metalfisa'!$A80)</f>
        <v>2</v>
      </c>
      <c r="AD80" s="31">
        <f>SUMIFS(METALFISA!$E:$E,METALFISA!$A:$A,'Faltantes Fevereiro- Metalfisa'!AD$3,METALFISA!$B:$B,'Faltantes Fevereiro- Metalfisa'!$A80)</f>
        <v>0</v>
      </c>
      <c r="AE80" s="31">
        <f>SUMIFS(METALFISA!$E:$E,METALFISA!$A:$A,'Faltantes Fevereiro- Metalfisa'!AE$3,METALFISA!$B:$B,'Faltantes Fevereiro- Metalfisa'!$A80)</f>
        <v>0</v>
      </c>
      <c r="AF80" s="31">
        <f>SUMIFS(METALFISA!$E:$E,METALFISA!$A:$A,'Faltantes Fevereiro- Metalfisa'!AF$3,METALFISA!$B:$B,'Faltantes Fevereiro- Metalfisa'!$A80)</f>
        <v>0</v>
      </c>
      <c r="AG80" s="31">
        <f>SUMIFS(METALFISA!$E:$E,METALFISA!$A:$A,'Faltantes Fevereiro- Metalfisa'!AG$3,METALFISA!$B:$B,'Faltantes Fevereiro- Metalfisa'!$A80)</f>
        <v>4</v>
      </c>
      <c r="AH80" s="31">
        <f>SUMIFS(METALFISA!$E:$E,METALFISA!$A:$A,'Faltantes Fevereiro- Metalfisa'!AH$3,METALFISA!$B:$B,'Faltantes Fevereiro- Metalfisa'!$A80)</f>
        <v>0</v>
      </c>
      <c r="AI80" s="31">
        <f>SUMIFS(METALFISA!$E:$E,METALFISA!$A:$A,'Faltantes Fevereiro- Metalfisa'!AI$3,METALFISA!$B:$B,'Faltantes Fevereiro- Metalfisa'!$A80)</f>
        <v>0</v>
      </c>
      <c r="AJ80" s="31">
        <f>SUMIFS(METALFISA!$E:$E,METALFISA!$A:$A,'Faltantes Fevereiro- Metalfisa'!AJ$3,METALFISA!$B:$B,'Faltantes Fevereiro- Metalfisa'!$A80)</f>
        <v>0</v>
      </c>
      <c r="AK80" s="31">
        <f>SUMIFS(METALFISA!$E:$E,METALFISA!$A:$A,'Faltantes Fevereiro- Metalfisa'!AK$3,METALFISA!$B:$B,'Faltantes Fevereiro- Metalfisa'!$A80)</f>
        <v>0</v>
      </c>
      <c r="AL80" s="31">
        <f>SUMIFS(METALFISA!$E:$E,METALFISA!$A:$A,'Faltantes Fevereiro- Metalfisa'!AL$3,METALFISA!$B:$B,'Faltantes Fevereiro- Metalfisa'!$A80)</f>
        <v>0</v>
      </c>
      <c r="AM80" s="31">
        <f>SUMIFS(METALFISA!$E:$E,METALFISA!$A:$A,'Faltantes Fevereiro- Metalfisa'!AM$3,METALFISA!$B:$B,'Faltantes Fevereiro- Metalfisa'!$A80)</f>
        <v>0</v>
      </c>
      <c r="AN80" s="31">
        <f>SUMIFS(METALFISA!$E:$E,METALFISA!$A:$A,'Faltantes Fevereiro- Metalfisa'!AN$3,METALFISA!$B:$B,'Faltantes Fevereiro- Metalfisa'!$A80)</f>
        <v>0</v>
      </c>
      <c r="AO80" s="31">
        <f>SUMIFS(METALFISA!$E:$E,METALFISA!$A:$A,'Faltantes Fevereiro- Metalfisa'!AO$3,METALFISA!$B:$B,'Faltantes Fevereiro- Metalfisa'!$A80)</f>
        <v>0</v>
      </c>
      <c r="AP80" s="31">
        <f>SUMIFS(METALFISA!$E:$E,METALFISA!$A:$A,'Faltantes Fevereiro- Metalfisa'!AP$3,METALFISA!$B:$B,'Faltantes Fevereiro- Metalfisa'!$A80)</f>
        <v>0</v>
      </c>
      <c r="AQ80" s="31"/>
      <c r="AR80" s="31">
        <f>SUMIFS(METALFISA!$E:$E,METALFISA!$A:$A,'Faltantes Fevereiro- Metalfisa'!AR$3,METALFISA!$B:$B,'Faltantes Fevereiro- Metalfisa'!$A80)</f>
        <v>0</v>
      </c>
      <c r="AS80" s="35">
        <f>SUMIFS(METALFISA!$E:$E,METALFISA!$A:$A,'Faltantes Fevereiro- Metalfisa'!AS$3,METALFISA!$B:$B,'Faltantes Fevereiro- Metalfisa'!$A80)</f>
        <v>0</v>
      </c>
      <c r="AU80" s="18">
        <v>0</v>
      </c>
      <c r="AV80" s="18">
        <v>0</v>
      </c>
      <c r="AW80" s="18">
        <v>0</v>
      </c>
      <c r="AX80" s="18">
        <v>0</v>
      </c>
      <c r="AY80" s="41">
        <v>0</v>
      </c>
      <c r="AZ80" s="31">
        <v>0</v>
      </c>
      <c r="BA80" s="31">
        <v>0</v>
      </c>
      <c r="BB80" s="31">
        <v>0</v>
      </c>
      <c r="BC80" s="31">
        <v>0</v>
      </c>
      <c r="BD80" s="31">
        <v>0</v>
      </c>
      <c r="BE80" s="31">
        <v>0</v>
      </c>
      <c r="BF80" s="31">
        <v>0</v>
      </c>
      <c r="BG80" s="31">
        <v>0</v>
      </c>
      <c r="BH80" s="31">
        <v>0</v>
      </c>
      <c r="BI80" s="31">
        <v>0</v>
      </c>
      <c r="BJ80" s="31">
        <v>0</v>
      </c>
      <c r="BK80" s="31">
        <v>0</v>
      </c>
      <c r="BL80" s="31">
        <v>0</v>
      </c>
      <c r="BM80" s="31">
        <v>2</v>
      </c>
      <c r="BN80" s="31">
        <v>0</v>
      </c>
      <c r="BO80" s="31">
        <v>0</v>
      </c>
      <c r="BP80" s="31">
        <v>0</v>
      </c>
      <c r="BQ80" s="31">
        <v>0</v>
      </c>
      <c r="BR80" s="31">
        <v>0</v>
      </c>
      <c r="BS80" s="31">
        <v>0</v>
      </c>
      <c r="BT80" s="31">
        <v>0</v>
      </c>
      <c r="BU80" s="31">
        <v>0</v>
      </c>
      <c r="BV80" s="31">
        <v>0</v>
      </c>
      <c r="BW80" s="31">
        <v>0</v>
      </c>
      <c r="BX80" s="31">
        <v>0</v>
      </c>
      <c r="BY80" s="31">
        <v>0</v>
      </c>
      <c r="BZ80" s="31">
        <v>0</v>
      </c>
      <c r="CA80" s="31">
        <v>0</v>
      </c>
      <c r="CB80" s="31">
        <v>0</v>
      </c>
      <c r="CC80" s="31">
        <v>0</v>
      </c>
      <c r="CD80" s="31">
        <v>0</v>
      </c>
      <c r="CE80" s="31">
        <v>0</v>
      </c>
      <c r="CF80" s="31">
        <v>0</v>
      </c>
      <c r="CG80" s="31">
        <v>0</v>
      </c>
      <c r="CH80" s="31">
        <v>0</v>
      </c>
      <c r="CI80" s="31">
        <v>0</v>
      </c>
      <c r="CJ80" s="31">
        <v>0</v>
      </c>
      <c r="CK80" s="31">
        <v>0</v>
      </c>
      <c r="CL80" s="35">
        <v>0</v>
      </c>
    </row>
    <row r="81" spans="1:90" ht="21" x14ac:dyDescent="0.15">
      <c r="A81" s="27" t="s">
        <v>210</v>
      </c>
      <c r="B81" s="28" t="s">
        <v>211</v>
      </c>
      <c r="C81" s="28">
        <v>0</v>
      </c>
      <c r="D81" s="28">
        <v>0</v>
      </c>
      <c r="E81" s="28">
        <v>0</v>
      </c>
      <c r="F81" s="28">
        <v>0</v>
      </c>
      <c r="G81" s="28">
        <v>3</v>
      </c>
      <c r="H81" s="28">
        <f>IFERROR(VLOOKUP(A81,[1]FALTANTES!$A:$AB,28,FALSE),"-")</f>
        <v>0</v>
      </c>
      <c r="I81" s="42">
        <f>IFERROR(VLOOKUP(A81,[1]FALTANTES!$A:$AC,29,FALSE),"-")</f>
        <v>0</v>
      </c>
      <c r="J81" s="29">
        <f>IFERROR(VLOOKUP(A81,[1]FALTANTES!$A:$AD,30,FALSE),"-")</f>
        <v>-3</v>
      </c>
      <c r="K81" s="30">
        <v>0</v>
      </c>
      <c r="L81" s="30">
        <f t="shared" si="1"/>
        <v>3</v>
      </c>
      <c r="M81" s="31">
        <f>SUMIFS(METALFISA!$E:$E,METALFISA!$A:$A,'Faltantes Fevereiro- Metalfisa'!M$3,METALFISA!$B:$B,'Faltantes Fevereiro- Metalfisa'!$A81)</f>
        <v>0</v>
      </c>
      <c r="N81" s="31">
        <f>SUMIFS(METALFISA!$E:$E,METALFISA!$A:$A,'Faltantes Fevereiro- Metalfisa'!N$3,METALFISA!$B:$B,'Faltantes Fevereiro- Metalfisa'!$A81)</f>
        <v>0</v>
      </c>
      <c r="O81" s="31">
        <f>SUMIFS(METALFISA!$E:$E,METALFISA!$A:$A,'Faltantes Fevereiro- Metalfisa'!O$3,METALFISA!$B:$B,'Faltantes Fevereiro- Metalfisa'!$A81)</f>
        <v>0</v>
      </c>
      <c r="P81" s="31">
        <f>SUMIFS(METALFISA!$E:$E,METALFISA!$A:$A,'Faltantes Fevereiro- Metalfisa'!P$3,METALFISA!$B:$B,'Faltantes Fevereiro- Metalfisa'!$A81)</f>
        <v>0</v>
      </c>
      <c r="Q81" s="31">
        <f>SUMIFS(METALFISA!$E:$E,METALFISA!$A:$A,'Faltantes Fevereiro- Metalfisa'!Q$3,METALFISA!$B:$B,'Faltantes Fevereiro- Metalfisa'!$A81)</f>
        <v>0</v>
      </c>
      <c r="R81" s="31">
        <f>SUMIFS(METALFISA!$E:$E,METALFISA!$A:$A,'Faltantes Fevereiro- Metalfisa'!R$3,METALFISA!$B:$B,'Faltantes Fevereiro- Metalfisa'!$A81)</f>
        <v>0</v>
      </c>
      <c r="S81" s="31">
        <f>SUMIFS(METALFISA!$E:$E,METALFISA!$A:$A,'Faltantes Fevereiro- Metalfisa'!S$3,METALFISA!$B:$B,'Faltantes Fevereiro- Metalfisa'!$A81)</f>
        <v>0</v>
      </c>
      <c r="T81" s="31">
        <f>SUMIFS(METALFISA!$E:$E,METALFISA!$A:$A,'Faltantes Fevereiro- Metalfisa'!T$3,METALFISA!$B:$B,'Faltantes Fevereiro- Metalfisa'!$A81)</f>
        <v>0</v>
      </c>
      <c r="U81" s="31">
        <f>SUMIFS(METALFISA!$E:$E,METALFISA!$A:$A,'Faltantes Fevereiro- Metalfisa'!U$3,METALFISA!$B:$B,'Faltantes Fevereiro- Metalfisa'!$A81)</f>
        <v>0</v>
      </c>
      <c r="V81" s="31">
        <f>SUMIFS(METALFISA!$E:$E,METALFISA!$A:$A,'Faltantes Fevereiro- Metalfisa'!V$3,METALFISA!$B:$B,'Faltantes Fevereiro- Metalfisa'!$A81)</f>
        <v>0</v>
      </c>
      <c r="W81" s="31">
        <f>SUMIFS(METALFISA!$E:$E,METALFISA!$A:$A,'Faltantes Fevereiro- Metalfisa'!W$3,METALFISA!$B:$B,'Faltantes Fevereiro- Metalfisa'!$A81)</f>
        <v>0</v>
      </c>
      <c r="X81" s="31">
        <f>SUMIFS(METALFISA!$E:$E,METALFISA!$A:$A,'Faltantes Fevereiro- Metalfisa'!X$3,METALFISA!$B:$B,'Faltantes Fevereiro- Metalfisa'!$A81)</f>
        <v>0</v>
      </c>
      <c r="Y81" s="31">
        <f>SUMIFS(METALFISA!$E:$E,METALFISA!$A:$A,'Faltantes Fevereiro- Metalfisa'!Y$3,METALFISA!$B:$B,'Faltantes Fevereiro- Metalfisa'!$A81)</f>
        <v>0</v>
      </c>
      <c r="Z81" s="31">
        <f>SUMIFS(METALFISA!$E:$E,METALFISA!$A:$A,'Faltantes Fevereiro- Metalfisa'!Z$3,METALFISA!$B:$B,'Faltantes Fevereiro- Metalfisa'!$A81)</f>
        <v>0</v>
      </c>
      <c r="AA81" s="31">
        <f>SUMIFS(METALFISA!$E:$E,METALFISA!$A:$A,'Faltantes Fevereiro- Metalfisa'!AA$3,METALFISA!$B:$B,'Faltantes Fevereiro- Metalfisa'!$A81)</f>
        <v>0</v>
      </c>
      <c r="AB81" s="31">
        <f>SUMIFS(METALFISA!$E:$E,METALFISA!$A:$A,'Faltantes Fevereiro- Metalfisa'!AB$3,METALFISA!$B:$B,'Faltantes Fevereiro- Metalfisa'!$A81)</f>
        <v>0</v>
      </c>
      <c r="AC81" s="31">
        <f>SUMIFS(METALFISA!$E:$E,METALFISA!$A:$A,'Faltantes Fevereiro- Metalfisa'!AC$3,METALFISA!$B:$B,'Faltantes Fevereiro- Metalfisa'!$A81)</f>
        <v>1</v>
      </c>
      <c r="AD81" s="31">
        <f>SUMIFS(METALFISA!$E:$E,METALFISA!$A:$A,'Faltantes Fevereiro- Metalfisa'!AD$3,METALFISA!$B:$B,'Faltantes Fevereiro- Metalfisa'!$A81)</f>
        <v>0</v>
      </c>
      <c r="AE81" s="31">
        <f>SUMIFS(METALFISA!$E:$E,METALFISA!$A:$A,'Faltantes Fevereiro- Metalfisa'!AE$3,METALFISA!$B:$B,'Faltantes Fevereiro- Metalfisa'!$A81)</f>
        <v>0</v>
      </c>
      <c r="AF81" s="31">
        <f>SUMIFS(METALFISA!$E:$E,METALFISA!$A:$A,'Faltantes Fevereiro- Metalfisa'!AF$3,METALFISA!$B:$B,'Faltantes Fevereiro- Metalfisa'!$A81)</f>
        <v>0</v>
      </c>
      <c r="AG81" s="31">
        <f>SUMIFS(METALFISA!$E:$E,METALFISA!$A:$A,'Faltantes Fevereiro- Metalfisa'!AG$3,METALFISA!$B:$B,'Faltantes Fevereiro- Metalfisa'!$A81)</f>
        <v>0</v>
      </c>
      <c r="AH81" s="31">
        <f>SUMIFS(METALFISA!$E:$E,METALFISA!$A:$A,'Faltantes Fevereiro- Metalfisa'!AH$3,METALFISA!$B:$B,'Faltantes Fevereiro- Metalfisa'!$A81)</f>
        <v>0</v>
      </c>
      <c r="AI81" s="31">
        <f>SUMIFS(METALFISA!$E:$E,METALFISA!$A:$A,'Faltantes Fevereiro- Metalfisa'!AI$3,METALFISA!$B:$B,'Faltantes Fevereiro- Metalfisa'!$A81)</f>
        <v>0</v>
      </c>
      <c r="AJ81" s="31">
        <f>SUMIFS(METALFISA!$E:$E,METALFISA!$A:$A,'Faltantes Fevereiro- Metalfisa'!AJ$3,METALFISA!$B:$B,'Faltantes Fevereiro- Metalfisa'!$A81)</f>
        <v>0</v>
      </c>
      <c r="AK81" s="31">
        <f>SUMIFS(METALFISA!$E:$E,METALFISA!$A:$A,'Faltantes Fevereiro- Metalfisa'!AK$3,METALFISA!$B:$B,'Faltantes Fevereiro- Metalfisa'!$A81)</f>
        <v>0</v>
      </c>
      <c r="AL81" s="31">
        <f>SUMIFS(METALFISA!$E:$E,METALFISA!$A:$A,'Faltantes Fevereiro- Metalfisa'!AL$3,METALFISA!$B:$B,'Faltantes Fevereiro- Metalfisa'!$A81)</f>
        <v>0</v>
      </c>
      <c r="AM81" s="31">
        <f>SUMIFS(METALFISA!$E:$E,METALFISA!$A:$A,'Faltantes Fevereiro- Metalfisa'!AM$3,METALFISA!$B:$B,'Faltantes Fevereiro- Metalfisa'!$A81)</f>
        <v>2</v>
      </c>
      <c r="AN81" s="31">
        <f>SUMIFS(METALFISA!$E:$E,METALFISA!$A:$A,'Faltantes Fevereiro- Metalfisa'!AN$3,METALFISA!$B:$B,'Faltantes Fevereiro- Metalfisa'!$A81)</f>
        <v>0</v>
      </c>
      <c r="AO81" s="31">
        <f>SUMIFS(METALFISA!$E:$E,METALFISA!$A:$A,'Faltantes Fevereiro- Metalfisa'!AO$3,METALFISA!$B:$B,'Faltantes Fevereiro- Metalfisa'!$A81)</f>
        <v>0</v>
      </c>
      <c r="AP81" s="31">
        <f>SUMIFS(METALFISA!$E:$E,METALFISA!$A:$A,'Faltantes Fevereiro- Metalfisa'!AP$3,METALFISA!$B:$B,'Faltantes Fevereiro- Metalfisa'!$A81)</f>
        <v>0</v>
      </c>
      <c r="AQ81" s="31"/>
      <c r="AR81" s="31">
        <f>SUMIFS(METALFISA!$E:$E,METALFISA!$A:$A,'Faltantes Fevereiro- Metalfisa'!AR$3,METALFISA!$B:$B,'Faltantes Fevereiro- Metalfisa'!$A81)</f>
        <v>0</v>
      </c>
      <c r="AS81" s="35">
        <f>SUMIFS(METALFISA!$E:$E,METALFISA!$A:$A,'Faltantes Fevereiro- Metalfisa'!AS$3,METALFISA!$B:$B,'Faltantes Fevereiro- Metalfisa'!$A81)</f>
        <v>0</v>
      </c>
      <c r="AU81" s="18">
        <v>0</v>
      </c>
      <c r="AV81" s="18">
        <v>0</v>
      </c>
      <c r="AW81" s="18">
        <v>0</v>
      </c>
      <c r="AX81" s="18">
        <v>0</v>
      </c>
      <c r="AY81" s="41">
        <v>0</v>
      </c>
      <c r="AZ81" s="31">
        <v>0</v>
      </c>
      <c r="BA81" s="31">
        <v>0</v>
      </c>
      <c r="BB81" s="31">
        <v>0</v>
      </c>
      <c r="BC81" s="31">
        <v>0</v>
      </c>
      <c r="BD81" s="31">
        <v>0</v>
      </c>
      <c r="BE81" s="31">
        <v>0</v>
      </c>
      <c r="BF81" s="31">
        <v>0</v>
      </c>
      <c r="BG81" s="31">
        <v>0</v>
      </c>
      <c r="BH81" s="31">
        <v>0</v>
      </c>
      <c r="BI81" s="31">
        <v>0</v>
      </c>
      <c r="BJ81" s="31">
        <v>0</v>
      </c>
      <c r="BK81" s="31">
        <v>0</v>
      </c>
      <c r="BL81" s="31">
        <v>0</v>
      </c>
      <c r="BM81" s="31">
        <v>1</v>
      </c>
      <c r="BN81" s="31">
        <v>0</v>
      </c>
      <c r="BO81" s="31">
        <v>0</v>
      </c>
      <c r="BP81" s="31">
        <v>0</v>
      </c>
      <c r="BQ81" s="31">
        <v>0</v>
      </c>
      <c r="BR81" s="31">
        <v>0</v>
      </c>
      <c r="BS81" s="31">
        <v>0</v>
      </c>
      <c r="BT81" s="31">
        <v>0</v>
      </c>
      <c r="BU81" s="31">
        <v>0</v>
      </c>
      <c r="BV81" s="31">
        <v>0</v>
      </c>
      <c r="BW81" s="31">
        <v>0</v>
      </c>
      <c r="BX81" s="31">
        <v>0</v>
      </c>
      <c r="BY81" s="31">
        <v>0</v>
      </c>
      <c r="BZ81" s="31">
        <v>0</v>
      </c>
      <c r="CA81" s="31">
        <v>0</v>
      </c>
      <c r="CB81" s="31">
        <v>0</v>
      </c>
      <c r="CC81" s="31">
        <v>0</v>
      </c>
      <c r="CD81" s="31">
        <v>0</v>
      </c>
      <c r="CE81" s="31">
        <v>0</v>
      </c>
      <c r="CF81" s="31">
        <v>0</v>
      </c>
      <c r="CG81" s="31">
        <v>0</v>
      </c>
      <c r="CH81" s="31">
        <v>0</v>
      </c>
      <c r="CI81" s="31">
        <v>0</v>
      </c>
      <c r="CJ81" s="31">
        <v>0</v>
      </c>
      <c r="CK81" s="31">
        <v>0</v>
      </c>
      <c r="CL81" s="35">
        <v>0</v>
      </c>
    </row>
    <row r="82" spans="1:90" ht="21" x14ac:dyDescent="0.15">
      <c r="A82" s="27" t="s">
        <v>212</v>
      </c>
      <c r="B82" s="28" t="s">
        <v>213</v>
      </c>
      <c r="C82" s="28">
        <v>0</v>
      </c>
      <c r="D82" s="28">
        <v>0</v>
      </c>
      <c r="E82" s="28">
        <v>0</v>
      </c>
      <c r="F82" s="28">
        <v>0</v>
      </c>
      <c r="G82" s="28">
        <v>2</v>
      </c>
      <c r="H82" s="28">
        <f>IFERROR(VLOOKUP(A82,[1]FALTANTES!$A:$AB,28,FALSE),"-")</f>
        <v>0</v>
      </c>
      <c r="I82" s="42">
        <f>IFERROR(VLOOKUP(A82,[1]FALTANTES!$A:$AC,29,FALSE),"-")</f>
        <v>0</v>
      </c>
      <c r="J82" s="29">
        <f>IFERROR(VLOOKUP(A82,[1]FALTANTES!$A:$AD,30,FALSE),"-")</f>
        <v>-2</v>
      </c>
      <c r="K82" s="30">
        <v>0</v>
      </c>
      <c r="L82" s="30">
        <f t="shared" si="1"/>
        <v>2</v>
      </c>
      <c r="M82" s="31">
        <f>SUMIFS(METALFISA!$E:$E,METALFISA!$A:$A,'Faltantes Fevereiro- Metalfisa'!M$3,METALFISA!$B:$B,'Faltantes Fevereiro- Metalfisa'!$A82)</f>
        <v>0</v>
      </c>
      <c r="N82" s="31">
        <f>SUMIFS(METALFISA!$E:$E,METALFISA!$A:$A,'Faltantes Fevereiro- Metalfisa'!N$3,METALFISA!$B:$B,'Faltantes Fevereiro- Metalfisa'!$A82)</f>
        <v>0</v>
      </c>
      <c r="O82" s="31">
        <f>SUMIFS(METALFISA!$E:$E,METALFISA!$A:$A,'Faltantes Fevereiro- Metalfisa'!O$3,METALFISA!$B:$B,'Faltantes Fevereiro- Metalfisa'!$A82)</f>
        <v>0</v>
      </c>
      <c r="P82" s="31">
        <f>SUMIFS(METALFISA!$E:$E,METALFISA!$A:$A,'Faltantes Fevereiro- Metalfisa'!P$3,METALFISA!$B:$B,'Faltantes Fevereiro- Metalfisa'!$A82)</f>
        <v>0</v>
      </c>
      <c r="Q82" s="31">
        <f>SUMIFS(METALFISA!$E:$E,METALFISA!$A:$A,'Faltantes Fevereiro- Metalfisa'!Q$3,METALFISA!$B:$B,'Faltantes Fevereiro- Metalfisa'!$A82)</f>
        <v>0</v>
      </c>
      <c r="R82" s="31">
        <f>SUMIFS(METALFISA!$E:$E,METALFISA!$A:$A,'Faltantes Fevereiro- Metalfisa'!R$3,METALFISA!$B:$B,'Faltantes Fevereiro- Metalfisa'!$A82)</f>
        <v>0</v>
      </c>
      <c r="S82" s="31">
        <f>SUMIFS(METALFISA!$E:$E,METALFISA!$A:$A,'Faltantes Fevereiro- Metalfisa'!S$3,METALFISA!$B:$B,'Faltantes Fevereiro- Metalfisa'!$A82)</f>
        <v>0</v>
      </c>
      <c r="T82" s="31">
        <f>SUMIFS(METALFISA!$E:$E,METALFISA!$A:$A,'Faltantes Fevereiro- Metalfisa'!T$3,METALFISA!$B:$B,'Faltantes Fevereiro- Metalfisa'!$A82)</f>
        <v>0</v>
      </c>
      <c r="U82" s="31">
        <f>SUMIFS(METALFISA!$E:$E,METALFISA!$A:$A,'Faltantes Fevereiro- Metalfisa'!U$3,METALFISA!$B:$B,'Faltantes Fevereiro- Metalfisa'!$A82)</f>
        <v>0</v>
      </c>
      <c r="V82" s="31">
        <f>SUMIFS(METALFISA!$E:$E,METALFISA!$A:$A,'Faltantes Fevereiro- Metalfisa'!V$3,METALFISA!$B:$B,'Faltantes Fevereiro- Metalfisa'!$A82)</f>
        <v>0</v>
      </c>
      <c r="W82" s="31">
        <f>SUMIFS(METALFISA!$E:$E,METALFISA!$A:$A,'Faltantes Fevereiro- Metalfisa'!W$3,METALFISA!$B:$B,'Faltantes Fevereiro- Metalfisa'!$A82)</f>
        <v>0</v>
      </c>
      <c r="X82" s="31">
        <f>SUMIFS(METALFISA!$E:$E,METALFISA!$A:$A,'Faltantes Fevereiro- Metalfisa'!X$3,METALFISA!$B:$B,'Faltantes Fevereiro- Metalfisa'!$A82)</f>
        <v>0</v>
      </c>
      <c r="Y82" s="31">
        <f>SUMIFS(METALFISA!$E:$E,METALFISA!$A:$A,'Faltantes Fevereiro- Metalfisa'!Y$3,METALFISA!$B:$B,'Faltantes Fevereiro- Metalfisa'!$A82)</f>
        <v>0</v>
      </c>
      <c r="Z82" s="31">
        <f>SUMIFS(METALFISA!$E:$E,METALFISA!$A:$A,'Faltantes Fevereiro- Metalfisa'!Z$3,METALFISA!$B:$B,'Faltantes Fevereiro- Metalfisa'!$A82)</f>
        <v>0</v>
      </c>
      <c r="AA82" s="31">
        <f>SUMIFS(METALFISA!$E:$E,METALFISA!$A:$A,'Faltantes Fevereiro- Metalfisa'!AA$3,METALFISA!$B:$B,'Faltantes Fevereiro- Metalfisa'!$A82)</f>
        <v>0</v>
      </c>
      <c r="AB82" s="31">
        <f>SUMIFS(METALFISA!$E:$E,METALFISA!$A:$A,'Faltantes Fevereiro- Metalfisa'!AB$3,METALFISA!$B:$B,'Faltantes Fevereiro- Metalfisa'!$A82)</f>
        <v>0</v>
      </c>
      <c r="AC82" s="31">
        <f>SUMIFS(METALFISA!$E:$E,METALFISA!$A:$A,'Faltantes Fevereiro- Metalfisa'!AC$3,METALFISA!$B:$B,'Faltantes Fevereiro- Metalfisa'!$A82)</f>
        <v>0</v>
      </c>
      <c r="AD82" s="31">
        <f>SUMIFS(METALFISA!$E:$E,METALFISA!$A:$A,'Faltantes Fevereiro- Metalfisa'!AD$3,METALFISA!$B:$B,'Faltantes Fevereiro- Metalfisa'!$A82)</f>
        <v>0</v>
      </c>
      <c r="AE82" s="31">
        <f>SUMIFS(METALFISA!$E:$E,METALFISA!$A:$A,'Faltantes Fevereiro- Metalfisa'!AE$3,METALFISA!$B:$B,'Faltantes Fevereiro- Metalfisa'!$A82)</f>
        <v>0</v>
      </c>
      <c r="AF82" s="31">
        <f>SUMIFS(METALFISA!$E:$E,METALFISA!$A:$A,'Faltantes Fevereiro- Metalfisa'!AF$3,METALFISA!$B:$B,'Faltantes Fevereiro- Metalfisa'!$A82)</f>
        <v>0</v>
      </c>
      <c r="AG82" s="31">
        <f>SUMIFS(METALFISA!$E:$E,METALFISA!$A:$A,'Faltantes Fevereiro- Metalfisa'!AG$3,METALFISA!$B:$B,'Faltantes Fevereiro- Metalfisa'!$A82)</f>
        <v>2</v>
      </c>
      <c r="AH82" s="31">
        <f>SUMIFS(METALFISA!$E:$E,METALFISA!$A:$A,'Faltantes Fevereiro- Metalfisa'!AH$3,METALFISA!$B:$B,'Faltantes Fevereiro- Metalfisa'!$A82)</f>
        <v>0</v>
      </c>
      <c r="AI82" s="31">
        <f>SUMIFS(METALFISA!$E:$E,METALFISA!$A:$A,'Faltantes Fevereiro- Metalfisa'!AI$3,METALFISA!$B:$B,'Faltantes Fevereiro- Metalfisa'!$A82)</f>
        <v>0</v>
      </c>
      <c r="AJ82" s="31">
        <f>SUMIFS(METALFISA!$E:$E,METALFISA!$A:$A,'Faltantes Fevereiro- Metalfisa'!AJ$3,METALFISA!$B:$B,'Faltantes Fevereiro- Metalfisa'!$A82)</f>
        <v>0</v>
      </c>
      <c r="AK82" s="31">
        <f>SUMIFS(METALFISA!$E:$E,METALFISA!$A:$A,'Faltantes Fevereiro- Metalfisa'!AK$3,METALFISA!$B:$B,'Faltantes Fevereiro- Metalfisa'!$A82)</f>
        <v>0</v>
      </c>
      <c r="AL82" s="31">
        <f>SUMIFS(METALFISA!$E:$E,METALFISA!$A:$A,'Faltantes Fevereiro- Metalfisa'!AL$3,METALFISA!$B:$B,'Faltantes Fevereiro- Metalfisa'!$A82)</f>
        <v>0</v>
      </c>
      <c r="AM82" s="31">
        <f>SUMIFS(METALFISA!$E:$E,METALFISA!$A:$A,'Faltantes Fevereiro- Metalfisa'!AM$3,METALFISA!$B:$B,'Faltantes Fevereiro- Metalfisa'!$A82)</f>
        <v>0</v>
      </c>
      <c r="AN82" s="31">
        <f>SUMIFS(METALFISA!$E:$E,METALFISA!$A:$A,'Faltantes Fevereiro- Metalfisa'!AN$3,METALFISA!$B:$B,'Faltantes Fevereiro- Metalfisa'!$A82)</f>
        <v>0</v>
      </c>
      <c r="AO82" s="31">
        <f>SUMIFS(METALFISA!$E:$E,METALFISA!$A:$A,'Faltantes Fevereiro- Metalfisa'!AO$3,METALFISA!$B:$B,'Faltantes Fevereiro- Metalfisa'!$A82)</f>
        <v>0</v>
      </c>
      <c r="AP82" s="31">
        <f>SUMIFS(METALFISA!$E:$E,METALFISA!$A:$A,'Faltantes Fevereiro- Metalfisa'!AP$3,METALFISA!$B:$B,'Faltantes Fevereiro- Metalfisa'!$A82)</f>
        <v>0</v>
      </c>
      <c r="AQ82" s="31"/>
      <c r="AR82" s="31">
        <f>SUMIFS(METALFISA!$E:$E,METALFISA!$A:$A,'Faltantes Fevereiro- Metalfisa'!AR$3,METALFISA!$B:$B,'Faltantes Fevereiro- Metalfisa'!$A82)</f>
        <v>0</v>
      </c>
      <c r="AS82" s="35">
        <f>SUMIFS(METALFISA!$E:$E,METALFISA!$A:$A,'Faltantes Fevereiro- Metalfisa'!AS$3,METALFISA!$B:$B,'Faltantes Fevereiro- Metalfisa'!$A82)</f>
        <v>0</v>
      </c>
      <c r="AU82" s="18">
        <v>0</v>
      </c>
      <c r="AV82" s="18">
        <v>0</v>
      </c>
      <c r="AW82" s="18">
        <v>0</v>
      </c>
      <c r="AX82" s="18">
        <v>0</v>
      </c>
      <c r="AY82" s="41">
        <v>0</v>
      </c>
      <c r="AZ82" s="31">
        <v>0</v>
      </c>
      <c r="BA82" s="31">
        <v>0</v>
      </c>
      <c r="BB82" s="31">
        <v>0</v>
      </c>
      <c r="BC82" s="31">
        <v>0</v>
      </c>
      <c r="BD82" s="31">
        <v>0</v>
      </c>
      <c r="BE82" s="31">
        <v>0</v>
      </c>
      <c r="BF82" s="31">
        <v>0</v>
      </c>
      <c r="BG82" s="31">
        <v>0</v>
      </c>
      <c r="BH82" s="31">
        <v>0</v>
      </c>
      <c r="BI82" s="31">
        <v>0</v>
      </c>
      <c r="BJ82" s="31">
        <v>0</v>
      </c>
      <c r="BK82" s="31">
        <v>0</v>
      </c>
      <c r="BL82" s="31">
        <v>0</v>
      </c>
      <c r="BM82" s="31">
        <v>1</v>
      </c>
      <c r="BN82" s="31">
        <v>0</v>
      </c>
      <c r="BO82" s="31">
        <v>0</v>
      </c>
      <c r="BP82" s="31">
        <v>0</v>
      </c>
      <c r="BQ82" s="31">
        <v>0</v>
      </c>
      <c r="BR82" s="31">
        <v>0</v>
      </c>
      <c r="BS82" s="31">
        <v>0</v>
      </c>
      <c r="BT82" s="31">
        <v>0</v>
      </c>
      <c r="BU82" s="31">
        <v>0</v>
      </c>
      <c r="BV82" s="31">
        <v>0</v>
      </c>
      <c r="BW82" s="31">
        <v>0</v>
      </c>
      <c r="BX82" s="31">
        <v>0</v>
      </c>
      <c r="BY82" s="31">
        <v>0</v>
      </c>
      <c r="BZ82" s="31">
        <v>0</v>
      </c>
      <c r="CA82" s="31">
        <v>0</v>
      </c>
      <c r="CB82" s="31">
        <v>0</v>
      </c>
      <c r="CC82" s="31">
        <v>0</v>
      </c>
      <c r="CD82" s="31">
        <v>0</v>
      </c>
      <c r="CE82" s="31">
        <v>0</v>
      </c>
      <c r="CF82" s="31">
        <v>0</v>
      </c>
      <c r="CG82" s="31">
        <v>0</v>
      </c>
      <c r="CH82" s="31">
        <v>0</v>
      </c>
      <c r="CI82" s="31">
        <v>0</v>
      </c>
      <c r="CJ82" s="31">
        <v>0</v>
      </c>
      <c r="CK82" s="31">
        <v>0</v>
      </c>
      <c r="CL82" s="35">
        <v>0</v>
      </c>
    </row>
    <row r="83" spans="1:90" ht="21" x14ac:dyDescent="0.15">
      <c r="A83" s="27" t="s">
        <v>610</v>
      </c>
      <c r="B83" s="28" t="s">
        <v>611</v>
      </c>
      <c r="C83" s="28">
        <v>0</v>
      </c>
      <c r="D83" s="28">
        <v>0</v>
      </c>
      <c r="E83" s="28">
        <v>0</v>
      </c>
      <c r="F83" s="28">
        <v>0</v>
      </c>
      <c r="G83" s="28">
        <v>1</v>
      </c>
      <c r="H83" s="28">
        <f>IFERROR(VLOOKUP(A83,[1]FALTANTES!$A:$AB,28,FALSE),"-")</f>
        <v>0</v>
      </c>
      <c r="I83" s="42">
        <f>IFERROR(VLOOKUP(A83,[1]FALTANTES!$A:$AC,29,FALSE),"-")</f>
        <v>0</v>
      </c>
      <c r="J83" s="29">
        <f>IFERROR(VLOOKUP(A83,[1]FALTANTES!$A:$AD,30,FALSE),"-")</f>
        <v>-1</v>
      </c>
      <c r="K83" s="30">
        <v>0</v>
      </c>
      <c r="L83" s="30">
        <f t="shared" si="1"/>
        <v>1</v>
      </c>
      <c r="M83" s="31">
        <f>SUMIFS(METALFISA!$E:$E,METALFISA!$A:$A,'Faltantes Fevereiro- Metalfisa'!M$3,METALFISA!$B:$B,'Faltantes Fevereiro- Metalfisa'!$A83)</f>
        <v>0</v>
      </c>
      <c r="N83" s="31">
        <f>SUMIFS(METALFISA!$E:$E,METALFISA!$A:$A,'Faltantes Fevereiro- Metalfisa'!N$3,METALFISA!$B:$B,'Faltantes Fevereiro- Metalfisa'!$A83)</f>
        <v>0</v>
      </c>
      <c r="O83" s="31">
        <f>SUMIFS(METALFISA!$E:$E,METALFISA!$A:$A,'Faltantes Fevereiro- Metalfisa'!O$3,METALFISA!$B:$B,'Faltantes Fevereiro- Metalfisa'!$A83)</f>
        <v>0</v>
      </c>
      <c r="P83" s="31">
        <f>SUMIFS(METALFISA!$E:$E,METALFISA!$A:$A,'Faltantes Fevereiro- Metalfisa'!P$3,METALFISA!$B:$B,'Faltantes Fevereiro- Metalfisa'!$A83)</f>
        <v>0</v>
      </c>
      <c r="Q83" s="31">
        <f>SUMIFS(METALFISA!$E:$E,METALFISA!$A:$A,'Faltantes Fevereiro- Metalfisa'!Q$3,METALFISA!$B:$B,'Faltantes Fevereiro- Metalfisa'!$A83)</f>
        <v>0</v>
      </c>
      <c r="R83" s="31">
        <f>SUMIFS(METALFISA!$E:$E,METALFISA!$A:$A,'Faltantes Fevereiro- Metalfisa'!R$3,METALFISA!$B:$B,'Faltantes Fevereiro- Metalfisa'!$A83)</f>
        <v>0</v>
      </c>
      <c r="S83" s="31">
        <f>SUMIFS(METALFISA!$E:$E,METALFISA!$A:$A,'Faltantes Fevereiro- Metalfisa'!S$3,METALFISA!$B:$B,'Faltantes Fevereiro- Metalfisa'!$A83)</f>
        <v>0</v>
      </c>
      <c r="T83" s="31">
        <f>SUMIFS(METALFISA!$E:$E,METALFISA!$A:$A,'Faltantes Fevereiro- Metalfisa'!T$3,METALFISA!$B:$B,'Faltantes Fevereiro- Metalfisa'!$A83)</f>
        <v>0</v>
      </c>
      <c r="U83" s="31">
        <f>SUMIFS(METALFISA!$E:$E,METALFISA!$A:$A,'Faltantes Fevereiro- Metalfisa'!U$3,METALFISA!$B:$B,'Faltantes Fevereiro- Metalfisa'!$A83)</f>
        <v>0</v>
      </c>
      <c r="V83" s="31">
        <f>SUMIFS(METALFISA!$E:$E,METALFISA!$A:$A,'Faltantes Fevereiro- Metalfisa'!V$3,METALFISA!$B:$B,'Faltantes Fevereiro- Metalfisa'!$A83)</f>
        <v>0</v>
      </c>
      <c r="W83" s="31">
        <f>SUMIFS(METALFISA!$E:$E,METALFISA!$A:$A,'Faltantes Fevereiro- Metalfisa'!W$3,METALFISA!$B:$B,'Faltantes Fevereiro- Metalfisa'!$A83)</f>
        <v>0</v>
      </c>
      <c r="X83" s="31">
        <f>SUMIFS(METALFISA!$E:$E,METALFISA!$A:$A,'Faltantes Fevereiro- Metalfisa'!X$3,METALFISA!$B:$B,'Faltantes Fevereiro- Metalfisa'!$A83)</f>
        <v>0</v>
      </c>
      <c r="Y83" s="31">
        <f>SUMIFS(METALFISA!$E:$E,METALFISA!$A:$A,'Faltantes Fevereiro- Metalfisa'!Y$3,METALFISA!$B:$B,'Faltantes Fevereiro- Metalfisa'!$A83)</f>
        <v>0</v>
      </c>
      <c r="Z83" s="31">
        <f>SUMIFS(METALFISA!$E:$E,METALFISA!$A:$A,'Faltantes Fevereiro- Metalfisa'!Z$3,METALFISA!$B:$B,'Faltantes Fevereiro- Metalfisa'!$A83)</f>
        <v>0</v>
      </c>
      <c r="AA83" s="31">
        <f>SUMIFS(METALFISA!$E:$E,METALFISA!$A:$A,'Faltantes Fevereiro- Metalfisa'!AA$3,METALFISA!$B:$B,'Faltantes Fevereiro- Metalfisa'!$A83)</f>
        <v>0</v>
      </c>
      <c r="AB83" s="31">
        <f>SUMIFS(METALFISA!$E:$E,METALFISA!$A:$A,'Faltantes Fevereiro- Metalfisa'!AB$3,METALFISA!$B:$B,'Faltantes Fevereiro- Metalfisa'!$A83)</f>
        <v>0</v>
      </c>
      <c r="AC83" s="31">
        <f>SUMIFS(METALFISA!$E:$E,METALFISA!$A:$A,'Faltantes Fevereiro- Metalfisa'!AC$3,METALFISA!$B:$B,'Faltantes Fevereiro- Metalfisa'!$A83)</f>
        <v>0</v>
      </c>
      <c r="AD83" s="31">
        <f>SUMIFS(METALFISA!$E:$E,METALFISA!$A:$A,'Faltantes Fevereiro- Metalfisa'!AD$3,METALFISA!$B:$B,'Faltantes Fevereiro- Metalfisa'!$A83)</f>
        <v>0</v>
      </c>
      <c r="AE83" s="31">
        <f>SUMIFS(METALFISA!$E:$E,METALFISA!$A:$A,'Faltantes Fevereiro- Metalfisa'!AE$3,METALFISA!$B:$B,'Faltantes Fevereiro- Metalfisa'!$A83)</f>
        <v>0</v>
      </c>
      <c r="AF83" s="31">
        <f>SUMIFS(METALFISA!$E:$E,METALFISA!$A:$A,'Faltantes Fevereiro- Metalfisa'!AF$3,METALFISA!$B:$B,'Faltantes Fevereiro- Metalfisa'!$A83)</f>
        <v>0</v>
      </c>
      <c r="AG83" s="31">
        <f>SUMIFS(METALFISA!$E:$E,METALFISA!$A:$A,'Faltantes Fevereiro- Metalfisa'!AG$3,METALFISA!$B:$B,'Faltantes Fevereiro- Metalfisa'!$A83)</f>
        <v>1</v>
      </c>
      <c r="AH83" s="31">
        <f>SUMIFS(METALFISA!$E:$E,METALFISA!$A:$A,'Faltantes Fevereiro- Metalfisa'!AH$3,METALFISA!$B:$B,'Faltantes Fevereiro- Metalfisa'!$A83)</f>
        <v>0</v>
      </c>
      <c r="AI83" s="31">
        <f>SUMIFS(METALFISA!$E:$E,METALFISA!$A:$A,'Faltantes Fevereiro- Metalfisa'!AI$3,METALFISA!$B:$B,'Faltantes Fevereiro- Metalfisa'!$A83)</f>
        <v>0</v>
      </c>
      <c r="AJ83" s="31">
        <f>SUMIFS(METALFISA!$E:$E,METALFISA!$A:$A,'Faltantes Fevereiro- Metalfisa'!AJ$3,METALFISA!$B:$B,'Faltantes Fevereiro- Metalfisa'!$A83)</f>
        <v>0</v>
      </c>
      <c r="AK83" s="31">
        <f>SUMIFS(METALFISA!$E:$E,METALFISA!$A:$A,'Faltantes Fevereiro- Metalfisa'!AK$3,METALFISA!$B:$B,'Faltantes Fevereiro- Metalfisa'!$A83)</f>
        <v>0</v>
      </c>
      <c r="AL83" s="31">
        <f>SUMIFS(METALFISA!$E:$E,METALFISA!$A:$A,'Faltantes Fevereiro- Metalfisa'!AL$3,METALFISA!$B:$B,'Faltantes Fevereiro- Metalfisa'!$A83)</f>
        <v>0</v>
      </c>
      <c r="AM83" s="31">
        <f>SUMIFS(METALFISA!$E:$E,METALFISA!$A:$A,'Faltantes Fevereiro- Metalfisa'!AM$3,METALFISA!$B:$B,'Faltantes Fevereiro- Metalfisa'!$A83)</f>
        <v>0</v>
      </c>
      <c r="AN83" s="31">
        <f>SUMIFS(METALFISA!$E:$E,METALFISA!$A:$A,'Faltantes Fevereiro- Metalfisa'!AN$3,METALFISA!$B:$B,'Faltantes Fevereiro- Metalfisa'!$A83)</f>
        <v>0</v>
      </c>
      <c r="AO83" s="31">
        <f>SUMIFS(METALFISA!$E:$E,METALFISA!$A:$A,'Faltantes Fevereiro- Metalfisa'!AO$3,METALFISA!$B:$B,'Faltantes Fevereiro- Metalfisa'!$A83)</f>
        <v>0</v>
      </c>
      <c r="AP83" s="31">
        <f>SUMIFS(METALFISA!$E:$E,METALFISA!$A:$A,'Faltantes Fevereiro- Metalfisa'!AP$3,METALFISA!$B:$B,'Faltantes Fevereiro- Metalfisa'!$A83)</f>
        <v>0</v>
      </c>
      <c r="AQ83" s="31"/>
      <c r="AR83" s="31">
        <f>SUMIFS(METALFISA!$E:$E,METALFISA!$A:$A,'Faltantes Fevereiro- Metalfisa'!AR$3,METALFISA!$B:$B,'Faltantes Fevereiro- Metalfisa'!$A83)</f>
        <v>0</v>
      </c>
      <c r="AS83" s="35">
        <f>SUMIFS(METALFISA!$E:$E,METALFISA!$A:$A,'Faltantes Fevereiro- Metalfisa'!AS$3,METALFISA!$B:$B,'Faltantes Fevereiro- Metalfisa'!$A83)</f>
        <v>0</v>
      </c>
      <c r="AU83" s="18">
        <v>0</v>
      </c>
      <c r="AV83" s="18">
        <v>0</v>
      </c>
      <c r="AW83" s="18">
        <v>0</v>
      </c>
      <c r="AX83" s="18">
        <v>0</v>
      </c>
      <c r="AY83" s="41">
        <v>0</v>
      </c>
      <c r="AZ83" s="31">
        <v>0</v>
      </c>
      <c r="BA83" s="31">
        <v>0</v>
      </c>
      <c r="BB83" s="31">
        <v>0</v>
      </c>
      <c r="BC83" s="31">
        <v>0</v>
      </c>
      <c r="BD83" s="31">
        <v>0</v>
      </c>
      <c r="BE83" s="31">
        <v>0</v>
      </c>
      <c r="BF83" s="31">
        <v>0</v>
      </c>
      <c r="BG83" s="31">
        <v>0</v>
      </c>
      <c r="BH83" s="31">
        <v>0</v>
      </c>
      <c r="BI83" s="31">
        <v>0</v>
      </c>
      <c r="BJ83" s="31">
        <v>0</v>
      </c>
      <c r="BK83" s="31">
        <v>0</v>
      </c>
      <c r="BL83" s="31">
        <v>0</v>
      </c>
      <c r="BM83" s="31">
        <v>1</v>
      </c>
      <c r="BN83" s="31">
        <v>0</v>
      </c>
      <c r="BO83" s="31">
        <v>0</v>
      </c>
      <c r="BP83" s="31">
        <v>0</v>
      </c>
      <c r="BQ83" s="31">
        <v>0</v>
      </c>
      <c r="BR83" s="31">
        <v>0</v>
      </c>
      <c r="BS83" s="31">
        <v>0</v>
      </c>
      <c r="BT83" s="31">
        <v>0</v>
      </c>
      <c r="BU83" s="31">
        <v>0</v>
      </c>
      <c r="BV83" s="31">
        <v>0</v>
      </c>
      <c r="BW83" s="31">
        <v>0</v>
      </c>
      <c r="BX83" s="31">
        <v>0</v>
      </c>
      <c r="BY83" s="31">
        <v>0</v>
      </c>
      <c r="BZ83" s="31">
        <v>0</v>
      </c>
      <c r="CA83" s="31">
        <v>0</v>
      </c>
      <c r="CB83" s="31">
        <v>0</v>
      </c>
      <c r="CC83" s="31">
        <v>0</v>
      </c>
      <c r="CD83" s="31">
        <v>0</v>
      </c>
      <c r="CE83" s="31">
        <v>0</v>
      </c>
      <c r="CF83" s="31">
        <v>0</v>
      </c>
      <c r="CG83" s="31">
        <v>0</v>
      </c>
      <c r="CH83" s="31">
        <v>0</v>
      </c>
      <c r="CI83" s="31">
        <v>0</v>
      </c>
      <c r="CJ83" s="31">
        <v>0</v>
      </c>
      <c r="CK83" s="31">
        <v>0</v>
      </c>
      <c r="CL83" s="35">
        <v>0</v>
      </c>
    </row>
    <row r="84" spans="1:90" ht="21" x14ac:dyDescent="0.15">
      <c r="A84" s="27" t="s">
        <v>214</v>
      </c>
      <c r="B84" s="28" t="s">
        <v>215</v>
      </c>
      <c r="C84" s="28">
        <v>0</v>
      </c>
      <c r="D84" s="28">
        <v>0</v>
      </c>
      <c r="E84" s="28">
        <v>0</v>
      </c>
      <c r="F84" s="28">
        <v>0</v>
      </c>
      <c r="G84" s="28">
        <v>2</v>
      </c>
      <c r="H84" s="28">
        <f>IFERROR(VLOOKUP(A84,[1]FALTANTES!$A:$AB,28,FALSE),"-")</f>
        <v>0</v>
      </c>
      <c r="I84" s="42">
        <f>IFERROR(VLOOKUP(A84,[1]FALTANTES!$A:$AC,29,FALSE),"-")</f>
        <v>0</v>
      </c>
      <c r="J84" s="29">
        <f>IFERROR(VLOOKUP(A84,[1]FALTANTES!$A:$AD,30,FALSE),"-")</f>
        <v>-2</v>
      </c>
      <c r="K84" s="30">
        <v>0</v>
      </c>
      <c r="L84" s="30">
        <f t="shared" si="1"/>
        <v>2</v>
      </c>
      <c r="M84" s="31">
        <f>SUMIFS(METALFISA!$E:$E,METALFISA!$A:$A,'Faltantes Fevereiro- Metalfisa'!M$3,METALFISA!$B:$B,'Faltantes Fevereiro- Metalfisa'!$A84)</f>
        <v>0</v>
      </c>
      <c r="N84" s="31">
        <f>SUMIFS(METALFISA!$E:$E,METALFISA!$A:$A,'Faltantes Fevereiro- Metalfisa'!N$3,METALFISA!$B:$B,'Faltantes Fevereiro- Metalfisa'!$A84)</f>
        <v>0</v>
      </c>
      <c r="O84" s="31">
        <f>SUMIFS(METALFISA!$E:$E,METALFISA!$A:$A,'Faltantes Fevereiro- Metalfisa'!O$3,METALFISA!$B:$B,'Faltantes Fevereiro- Metalfisa'!$A84)</f>
        <v>0</v>
      </c>
      <c r="P84" s="31">
        <f>SUMIFS(METALFISA!$E:$E,METALFISA!$A:$A,'Faltantes Fevereiro- Metalfisa'!P$3,METALFISA!$B:$B,'Faltantes Fevereiro- Metalfisa'!$A84)</f>
        <v>0</v>
      </c>
      <c r="Q84" s="31">
        <f>SUMIFS(METALFISA!$E:$E,METALFISA!$A:$A,'Faltantes Fevereiro- Metalfisa'!Q$3,METALFISA!$B:$B,'Faltantes Fevereiro- Metalfisa'!$A84)</f>
        <v>0</v>
      </c>
      <c r="R84" s="31">
        <f>SUMIFS(METALFISA!$E:$E,METALFISA!$A:$A,'Faltantes Fevereiro- Metalfisa'!R$3,METALFISA!$B:$B,'Faltantes Fevereiro- Metalfisa'!$A84)</f>
        <v>0</v>
      </c>
      <c r="S84" s="31">
        <f>SUMIFS(METALFISA!$E:$E,METALFISA!$A:$A,'Faltantes Fevereiro- Metalfisa'!S$3,METALFISA!$B:$B,'Faltantes Fevereiro- Metalfisa'!$A84)</f>
        <v>0</v>
      </c>
      <c r="T84" s="31">
        <f>SUMIFS(METALFISA!$E:$E,METALFISA!$A:$A,'Faltantes Fevereiro- Metalfisa'!T$3,METALFISA!$B:$B,'Faltantes Fevereiro- Metalfisa'!$A84)</f>
        <v>0</v>
      </c>
      <c r="U84" s="31">
        <f>SUMIFS(METALFISA!$E:$E,METALFISA!$A:$A,'Faltantes Fevereiro- Metalfisa'!U$3,METALFISA!$B:$B,'Faltantes Fevereiro- Metalfisa'!$A84)</f>
        <v>0</v>
      </c>
      <c r="V84" s="31">
        <f>SUMIFS(METALFISA!$E:$E,METALFISA!$A:$A,'Faltantes Fevereiro- Metalfisa'!V$3,METALFISA!$B:$B,'Faltantes Fevereiro- Metalfisa'!$A84)</f>
        <v>0</v>
      </c>
      <c r="W84" s="31">
        <f>SUMIFS(METALFISA!$E:$E,METALFISA!$A:$A,'Faltantes Fevereiro- Metalfisa'!W$3,METALFISA!$B:$B,'Faltantes Fevereiro- Metalfisa'!$A84)</f>
        <v>0</v>
      </c>
      <c r="X84" s="31">
        <f>SUMIFS(METALFISA!$E:$E,METALFISA!$A:$A,'Faltantes Fevereiro- Metalfisa'!X$3,METALFISA!$B:$B,'Faltantes Fevereiro- Metalfisa'!$A84)</f>
        <v>0</v>
      </c>
      <c r="Y84" s="31">
        <f>SUMIFS(METALFISA!$E:$E,METALFISA!$A:$A,'Faltantes Fevereiro- Metalfisa'!Y$3,METALFISA!$B:$B,'Faltantes Fevereiro- Metalfisa'!$A84)</f>
        <v>0</v>
      </c>
      <c r="Z84" s="31">
        <f>SUMIFS(METALFISA!$E:$E,METALFISA!$A:$A,'Faltantes Fevereiro- Metalfisa'!Z$3,METALFISA!$B:$B,'Faltantes Fevereiro- Metalfisa'!$A84)</f>
        <v>0</v>
      </c>
      <c r="AA84" s="31">
        <f>SUMIFS(METALFISA!$E:$E,METALFISA!$A:$A,'Faltantes Fevereiro- Metalfisa'!AA$3,METALFISA!$B:$B,'Faltantes Fevereiro- Metalfisa'!$A84)</f>
        <v>0</v>
      </c>
      <c r="AB84" s="31">
        <f>SUMIFS(METALFISA!$E:$E,METALFISA!$A:$A,'Faltantes Fevereiro- Metalfisa'!AB$3,METALFISA!$B:$B,'Faltantes Fevereiro- Metalfisa'!$A84)</f>
        <v>0</v>
      </c>
      <c r="AC84" s="31">
        <f>SUMIFS(METALFISA!$E:$E,METALFISA!$A:$A,'Faltantes Fevereiro- Metalfisa'!AC$3,METALFISA!$B:$B,'Faltantes Fevereiro- Metalfisa'!$A84)</f>
        <v>0</v>
      </c>
      <c r="AD84" s="31">
        <f>SUMIFS(METALFISA!$E:$E,METALFISA!$A:$A,'Faltantes Fevereiro- Metalfisa'!AD$3,METALFISA!$B:$B,'Faltantes Fevereiro- Metalfisa'!$A84)</f>
        <v>0</v>
      </c>
      <c r="AE84" s="31">
        <f>SUMIFS(METALFISA!$E:$E,METALFISA!$A:$A,'Faltantes Fevereiro- Metalfisa'!AE$3,METALFISA!$B:$B,'Faltantes Fevereiro- Metalfisa'!$A84)</f>
        <v>0</v>
      </c>
      <c r="AF84" s="31">
        <f>SUMIFS(METALFISA!$E:$E,METALFISA!$A:$A,'Faltantes Fevereiro- Metalfisa'!AF$3,METALFISA!$B:$B,'Faltantes Fevereiro- Metalfisa'!$A84)</f>
        <v>0</v>
      </c>
      <c r="AG84" s="31">
        <f>SUMIFS(METALFISA!$E:$E,METALFISA!$A:$A,'Faltantes Fevereiro- Metalfisa'!AG$3,METALFISA!$B:$B,'Faltantes Fevereiro- Metalfisa'!$A84)</f>
        <v>1</v>
      </c>
      <c r="AH84" s="31">
        <f>SUMIFS(METALFISA!$E:$E,METALFISA!$A:$A,'Faltantes Fevereiro- Metalfisa'!AH$3,METALFISA!$B:$B,'Faltantes Fevereiro- Metalfisa'!$A84)</f>
        <v>0</v>
      </c>
      <c r="AI84" s="31">
        <f>SUMIFS(METALFISA!$E:$E,METALFISA!$A:$A,'Faltantes Fevereiro- Metalfisa'!AI$3,METALFISA!$B:$B,'Faltantes Fevereiro- Metalfisa'!$A84)</f>
        <v>0</v>
      </c>
      <c r="AJ84" s="31">
        <f>SUMIFS(METALFISA!$E:$E,METALFISA!$A:$A,'Faltantes Fevereiro- Metalfisa'!AJ$3,METALFISA!$B:$B,'Faltantes Fevereiro- Metalfisa'!$A84)</f>
        <v>0</v>
      </c>
      <c r="AK84" s="31">
        <f>SUMIFS(METALFISA!$E:$E,METALFISA!$A:$A,'Faltantes Fevereiro- Metalfisa'!AK$3,METALFISA!$B:$B,'Faltantes Fevereiro- Metalfisa'!$A84)</f>
        <v>0</v>
      </c>
      <c r="AL84" s="31">
        <f>SUMIFS(METALFISA!$E:$E,METALFISA!$A:$A,'Faltantes Fevereiro- Metalfisa'!AL$3,METALFISA!$B:$B,'Faltantes Fevereiro- Metalfisa'!$A84)</f>
        <v>0</v>
      </c>
      <c r="AM84" s="31">
        <f>SUMIFS(METALFISA!$E:$E,METALFISA!$A:$A,'Faltantes Fevereiro- Metalfisa'!AM$3,METALFISA!$B:$B,'Faltantes Fevereiro- Metalfisa'!$A84)</f>
        <v>1</v>
      </c>
      <c r="AN84" s="31">
        <f>SUMIFS(METALFISA!$E:$E,METALFISA!$A:$A,'Faltantes Fevereiro- Metalfisa'!AN$3,METALFISA!$B:$B,'Faltantes Fevereiro- Metalfisa'!$A84)</f>
        <v>0</v>
      </c>
      <c r="AO84" s="31">
        <f>SUMIFS(METALFISA!$E:$E,METALFISA!$A:$A,'Faltantes Fevereiro- Metalfisa'!AO$3,METALFISA!$B:$B,'Faltantes Fevereiro- Metalfisa'!$A84)</f>
        <v>0</v>
      </c>
      <c r="AP84" s="31">
        <f>SUMIFS(METALFISA!$E:$E,METALFISA!$A:$A,'Faltantes Fevereiro- Metalfisa'!AP$3,METALFISA!$B:$B,'Faltantes Fevereiro- Metalfisa'!$A84)</f>
        <v>0</v>
      </c>
      <c r="AQ84" s="31"/>
      <c r="AR84" s="31">
        <f>SUMIFS(METALFISA!$E:$E,METALFISA!$A:$A,'Faltantes Fevereiro- Metalfisa'!AR$3,METALFISA!$B:$B,'Faltantes Fevereiro- Metalfisa'!$A84)</f>
        <v>0</v>
      </c>
      <c r="AS84" s="35">
        <f>SUMIFS(METALFISA!$E:$E,METALFISA!$A:$A,'Faltantes Fevereiro- Metalfisa'!AS$3,METALFISA!$B:$B,'Faltantes Fevereiro- Metalfisa'!$A84)</f>
        <v>0</v>
      </c>
      <c r="AU84" s="18">
        <v>0</v>
      </c>
      <c r="AV84" s="18">
        <v>0</v>
      </c>
      <c r="AW84" s="18">
        <v>0</v>
      </c>
      <c r="AX84" s="18">
        <v>0</v>
      </c>
      <c r="AY84" s="41">
        <v>0</v>
      </c>
      <c r="AZ84" s="31">
        <v>0</v>
      </c>
      <c r="BA84" s="31">
        <v>0</v>
      </c>
      <c r="BB84" s="31">
        <v>0</v>
      </c>
      <c r="BC84" s="31">
        <v>0</v>
      </c>
      <c r="BD84" s="31">
        <v>0</v>
      </c>
      <c r="BE84" s="31">
        <v>0</v>
      </c>
      <c r="BF84" s="31">
        <v>0</v>
      </c>
      <c r="BG84" s="31">
        <v>0</v>
      </c>
      <c r="BH84" s="31">
        <v>0</v>
      </c>
      <c r="BI84" s="31">
        <v>0</v>
      </c>
      <c r="BJ84" s="31">
        <v>0</v>
      </c>
      <c r="BK84" s="31">
        <v>0</v>
      </c>
      <c r="BL84" s="31">
        <v>0</v>
      </c>
      <c r="BM84" s="31">
        <v>1</v>
      </c>
      <c r="BN84" s="31">
        <v>0</v>
      </c>
      <c r="BO84" s="31">
        <v>0</v>
      </c>
      <c r="BP84" s="31">
        <v>0</v>
      </c>
      <c r="BQ84" s="31">
        <v>0</v>
      </c>
      <c r="BR84" s="31">
        <v>0</v>
      </c>
      <c r="BS84" s="31">
        <v>0</v>
      </c>
      <c r="BT84" s="31">
        <v>0</v>
      </c>
      <c r="BU84" s="31">
        <v>0</v>
      </c>
      <c r="BV84" s="31">
        <v>0</v>
      </c>
      <c r="BW84" s="31">
        <v>0</v>
      </c>
      <c r="BX84" s="31">
        <v>0</v>
      </c>
      <c r="BY84" s="31">
        <v>0</v>
      </c>
      <c r="BZ84" s="31">
        <v>0</v>
      </c>
      <c r="CA84" s="31">
        <v>0</v>
      </c>
      <c r="CB84" s="31">
        <v>0</v>
      </c>
      <c r="CC84" s="31">
        <v>0</v>
      </c>
      <c r="CD84" s="31">
        <v>0</v>
      </c>
      <c r="CE84" s="31">
        <v>0</v>
      </c>
      <c r="CF84" s="31">
        <v>0</v>
      </c>
      <c r="CG84" s="31">
        <v>0</v>
      </c>
      <c r="CH84" s="31">
        <v>0</v>
      </c>
      <c r="CI84" s="31">
        <v>0</v>
      </c>
      <c r="CJ84" s="31">
        <v>0</v>
      </c>
      <c r="CK84" s="31">
        <v>0</v>
      </c>
      <c r="CL84" s="35">
        <v>0</v>
      </c>
    </row>
    <row r="85" spans="1:90" x14ac:dyDescent="0.15">
      <c r="A85" s="27" t="s">
        <v>612</v>
      </c>
      <c r="B85" s="28" t="s">
        <v>613</v>
      </c>
      <c r="C85" s="28">
        <v>0</v>
      </c>
      <c r="D85" s="28">
        <v>0</v>
      </c>
      <c r="E85" s="28">
        <v>0</v>
      </c>
      <c r="F85" s="28">
        <v>0</v>
      </c>
      <c r="G85" s="28">
        <v>2</v>
      </c>
      <c r="H85" s="28">
        <f>IFERROR(VLOOKUP(A85,[1]FALTANTES!$A:$AB,28,FALSE),"-")</f>
        <v>0</v>
      </c>
      <c r="I85" s="42">
        <f>IFERROR(VLOOKUP(A85,[1]FALTANTES!$A:$AC,29,FALSE),"-")</f>
        <v>0</v>
      </c>
      <c r="J85" s="29">
        <f>IFERROR(VLOOKUP(A85,[1]FALTANTES!$A:$AD,30,FALSE),"-")</f>
        <v>-2</v>
      </c>
      <c r="K85" s="30">
        <v>0</v>
      </c>
      <c r="L85" s="30">
        <f t="shared" si="1"/>
        <v>2</v>
      </c>
      <c r="M85" s="31">
        <f>SUMIFS(METALFISA!$E:$E,METALFISA!$A:$A,'Faltantes Fevereiro- Metalfisa'!M$3,METALFISA!$B:$B,'Faltantes Fevereiro- Metalfisa'!$A85)</f>
        <v>0</v>
      </c>
      <c r="N85" s="31">
        <f>SUMIFS(METALFISA!$E:$E,METALFISA!$A:$A,'Faltantes Fevereiro- Metalfisa'!N$3,METALFISA!$B:$B,'Faltantes Fevereiro- Metalfisa'!$A85)</f>
        <v>0</v>
      </c>
      <c r="O85" s="31">
        <f>SUMIFS(METALFISA!$E:$E,METALFISA!$A:$A,'Faltantes Fevereiro- Metalfisa'!O$3,METALFISA!$B:$B,'Faltantes Fevereiro- Metalfisa'!$A85)</f>
        <v>0</v>
      </c>
      <c r="P85" s="31">
        <f>SUMIFS(METALFISA!$E:$E,METALFISA!$A:$A,'Faltantes Fevereiro- Metalfisa'!P$3,METALFISA!$B:$B,'Faltantes Fevereiro- Metalfisa'!$A85)</f>
        <v>0</v>
      </c>
      <c r="Q85" s="31">
        <f>SUMIFS(METALFISA!$E:$E,METALFISA!$A:$A,'Faltantes Fevereiro- Metalfisa'!Q$3,METALFISA!$B:$B,'Faltantes Fevereiro- Metalfisa'!$A85)</f>
        <v>0</v>
      </c>
      <c r="R85" s="31">
        <f>SUMIFS(METALFISA!$E:$E,METALFISA!$A:$A,'Faltantes Fevereiro- Metalfisa'!R$3,METALFISA!$B:$B,'Faltantes Fevereiro- Metalfisa'!$A85)</f>
        <v>0</v>
      </c>
      <c r="S85" s="31">
        <f>SUMIFS(METALFISA!$E:$E,METALFISA!$A:$A,'Faltantes Fevereiro- Metalfisa'!S$3,METALFISA!$B:$B,'Faltantes Fevereiro- Metalfisa'!$A85)</f>
        <v>0</v>
      </c>
      <c r="T85" s="31">
        <f>SUMIFS(METALFISA!$E:$E,METALFISA!$A:$A,'Faltantes Fevereiro- Metalfisa'!T$3,METALFISA!$B:$B,'Faltantes Fevereiro- Metalfisa'!$A85)</f>
        <v>0</v>
      </c>
      <c r="U85" s="31">
        <f>SUMIFS(METALFISA!$E:$E,METALFISA!$A:$A,'Faltantes Fevereiro- Metalfisa'!U$3,METALFISA!$B:$B,'Faltantes Fevereiro- Metalfisa'!$A85)</f>
        <v>0</v>
      </c>
      <c r="V85" s="31">
        <f>SUMIFS(METALFISA!$E:$E,METALFISA!$A:$A,'Faltantes Fevereiro- Metalfisa'!V$3,METALFISA!$B:$B,'Faltantes Fevereiro- Metalfisa'!$A85)</f>
        <v>0</v>
      </c>
      <c r="W85" s="31">
        <f>SUMIFS(METALFISA!$E:$E,METALFISA!$A:$A,'Faltantes Fevereiro- Metalfisa'!W$3,METALFISA!$B:$B,'Faltantes Fevereiro- Metalfisa'!$A85)</f>
        <v>0</v>
      </c>
      <c r="X85" s="31">
        <f>SUMIFS(METALFISA!$E:$E,METALFISA!$A:$A,'Faltantes Fevereiro- Metalfisa'!X$3,METALFISA!$B:$B,'Faltantes Fevereiro- Metalfisa'!$A85)</f>
        <v>0</v>
      </c>
      <c r="Y85" s="31">
        <f>SUMIFS(METALFISA!$E:$E,METALFISA!$A:$A,'Faltantes Fevereiro- Metalfisa'!Y$3,METALFISA!$B:$B,'Faltantes Fevereiro- Metalfisa'!$A85)</f>
        <v>0</v>
      </c>
      <c r="Z85" s="31">
        <f>SUMIFS(METALFISA!$E:$E,METALFISA!$A:$A,'Faltantes Fevereiro- Metalfisa'!Z$3,METALFISA!$B:$B,'Faltantes Fevereiro- Metalfisa'!$A85)</f>
        <v>0</v>
      </c>
      <c r="AA85" s="31">
        <f>SUMIFS(METALFISA!$E:$E,METALFISA!$A:$A,'Faltantes Fevereiro- Metalfisa'!AA$3,METALFISA!$B:$B,'Faltantes Fevereiro- Metalfisa'!$A85)</f>
        <v>0</v>
      </c>
      <c r="AB85" s="31">
        <f>SUMIFS(METALFISA!$E:$E,METALFISA!$A:$A,'Faltantes Fevereiro- Metalfisa'!AB$3,METALFISA!$B:$B,'Faltantes Fevereiro- Metalfisa'!$A85)</f>
        <v>0</v>
      </c>
      <c r="AC85" s="31">
        <f>SUMIFS(METALFISA!$E:$E,METALFISA!$A:$A,'Faltantes Fevereiro- Metalfisa'!AC$3,METALFISA!$B:$B,'Faltantes Fevereiro- Metalfisa'!$A85)</f>
        <v>0</v>
      </c>
      <c r="AD85" s="31">
        <f>SUMIFS(METALFISA!$E:$E,METALFISA!$A:$A,'Faltantes Fevereiro- Metalfisa'!AD$3,METALFISA!$B:$B,'Faltantes Fevereiro- Metalfisa'!$A85)</f>
        <v>0</v>
      </c>
      <c r="AE85" s="31">
        <f>SUMIFS(METALFISA!$E:$E,METALFISA!$A:$A,'Faltantes Fevereiro- Metalfisa'!AE$3,METALFISA!$B:$B,'Faltantes Fevereiro- Metalfisa'!$A85)</f>
        <v>0</v>
      </c>
      <c r="AF85" s="31">
        <f>SUMIFS(METALFISA!$E:$E,METALFISA!$A:$A,'Faltantes Fevereiro- Metalfisa'!AF$3,METALFISA!$B:$B,'Faltantes Fevereiro- Metalfisa'!$A85)</f>
        <v>0</v>
      </c>
      <c r="AG85" s="31">
        <f>SUMIFS(METALFISA!$E:$E,METALFISA!$A:$A,'Faltantes Fevereiro- Metalfisa'!AG$3,METALFISA!$B:$B,'Faltantes Fevereiro- Metalfisa'!$A85)</f>
        <v>2</v>
      </c>
      <c r="AH85" s="31">
        <f>SUMIFS(METALFISA!$E:$E,METALFISA!$A:$A,'Faltantes Fevereiro- Metalfisa'!AH$3,METALFISA!$B:$B,'Faltantes Fevereiro- Metalfisa'!$A85)</f>
        <v>0</v>
      </c>
      <c r="AI85" s="31">
        <f>SUMIFS(METALFISA!$E:$E,METALFISA!$A:$A,'Faltantes Fevereiro- Metalfisa'!AI$3,METALFISA!$B:$B,'Faltantes Fevereiro- Metalfisa'!$A85)</f>
        <v>0</v>
      </c>
      <c r="AJ85" s="31">
        <f>SUMIFS(METALFISA!$E:$E,METALFISA!$A:$A,'Faltantes Fevereiro- Metalfisa'!AJ$3,METALFISA!$B:$B,'Faltantes Fevereiro- Metalfisa'!$A85)</f>
        <v>0</v>
      </c>
      <c r="AK85" s="31">
        <f>SUMIFS(METALFISA!$E:$E,METALFISA!$A:$A,'Faltantes Fevereiro- Metalfisa'!AK$3,METALFISA!$B:$B,'Faltantes Fevereiro- Metalfisa'!$A85)</f>
        <v>0</v>
      </c>
      <c r="AL85" s="31">
        <f>SUMIFS(METALFISA!$E:$E,METALFISA!$A:$A,'Faltantes Fevereiro- Metalfisa'!AL$3,METALFISA!$B:$B,'Faltantes Fevereiro- Metalfisa'!$A85)</f>
        <v>0</v>
      </c>
      <c r="AM85" s="31">
        <f>SUMIFS(METALFISA!$E:$E,METALFISA!$A:$A,'Faltantes Fevereiro- Metalfisa'!AM$3,METALFISA!$B:$B,'Faltantes Fevereiro- Metalfisa'!$A85)</f>
        <v>0</v>
      </c>
      <c r="AN85" s="31">
        <f>SUMIFS(METALFISA!$E:$E,METALFISA!$A:$A,'Faltantes Fevereiro- Metalfisa'!AN$3,METALFISA!$B:$B,'Faltantes Fevereiro- Metalfisa'!$A85)</f>
        <v>0</v>
      </c>
      <c r="AO85" s="31">
        <f>SUMIFS(METALFISA!$E:$E,METALFISA!$A:$A,'Faltantes Fevereiro- Metalfisa'!AO$3,METALFISA!$B:$B,'Faltantes Fevereiro- Metalfisa'!$A85)</f>
        <v>0</v>
      </c>
      <c r="AP85" s="31">
        <f>SUMIFS(METALFISA!$E:$E,METALFISA!$A:$A,'Faltantes Fevereiro- Metalfisa'!AP$3,METALFISA!$B:$B,'Faltantes Fevereiro- Metalfisa'!$A85)</f>
        <v>0</v>
      </c>
      <c r="AQ85" s="31"/>
      <c r="AR85" s="31">
        <f>SUMIFS(METALFISA!$E:$E,METALFISA!$A:$A,'Faltantes Fevereiro- Metalfisa'!AR$3,METALFISA!$B:$B,'Faltantes Fevereiro- Metalfisa'!$A85)</f>
        <v>0</v>
      </c>
      <c r="AS85" s="35">
        <f>SUMIFS(METALFISA!$E:$E,METALFISA!$A:$A,'Faltantes Fevereiro- Metalfisa'!AS$3,METALFISA!$B:$B,'Faltantes Fevereiro- Metalfisa'!$A85)</f>
        <v>0</v>
      </c>
      <c r="AU85" s="18">
        <v>0</v>
      </c>
      <c r="AV85" s="18">
        <v>0</v>
      </c>
      <c r="AW85" s="18">
        <v>0</v>
      </c>
      <c r="AX85" s="18">
        <v>0</v>
      </c>
      <c r="AY85" s="41">
        <v>0</v>
      </c>
      <c r="AZ85" s="31">
        <v>0</v>
      </c>
      <c r="BA85" s="31">
        <v>0</v>
      </c>
      <c r="BB85" s="31">
        <v>0</v>
      </c>
      <c r="BC85" s="31">
        <v>0</v>
      </c>
      <c r="BD85" s="31">
        <v>0</v>
      </c>
      <c r="BE85" s="31">
        <v>0</v>
      </c>
      <c r="BF85" s="31">
        <v>0</v>
      </c>
      <c r="BG85" s="31">
        <v>0</v>
      </c>
      <c r="BH85" s="31">
        <v>0</v>
      </c>
      <c r="BI85" s="31">
        <v>0</v>
      </c>
      <c r="BJ85" s="31">
        <v>0</v>
      </c>
      <c r="BK85" s="31">
        <v>0</v>
      </c>
      <c r="BL85" s="31">
        <v>0</v>
      </c>
      <c r="BM85" s="31">
        <v>1</v>
      </c>
      <c r="BN85" s="31">
        <v>0</v>
      </c>
      <c r="BO85" s="31">
        <v>0</v>
      </c>
      <c r="BP85" s="31">
        <v>0</v>
      </c>
      <c r="BQ85" s="31">
        <v>0</v>
      </c>
      <c r="BR85" s="31">
        <v>0</v>
      </c>
      <c r="BS85" s="31">
        <v>0</v>
      </c>
      <c r="BT85" s="31">
        <v>0</v>
      </c>
      <c r="BU85" s="31">
        <v>0</v>
      </c>
      <c r="BV85" s="31">
        <v>0</v>
      </c>
      <c r="BW85" s="31">
        <v>0</v>
      </c>
      <c r="BX85" s="31">
        <v>0</v>
      </c>
      <c r="BY85" s="31">
        <v>0</v>
      </c>
      <c r="BZ85" s="31">
        <v>0</v>
      </c>
      <c r="CA85" s="31">
        <v>0</v>
      </c>
      <c r="CB85" s="31">
        <v>0</v>
      </c>
      <c r="CC85" s="31">
        <v>0</v>
      </c>
      <c r="CD85" s="31">
        <v>0</v>
      </c>
      <c r="CE85" s="31">
        <v>0</v>
      </c>
      <c r="CF85" s="31">
        <v>0</v>
      </c>
      <c r="CG85" s="31">
        <v>0</v>
      </c>
      <c r="CH85" s="31">
        <v>0</v>
      </c>
      <c r="CI85" s="31">
        <v>0</v>
      </c>
      <c r="CJ85" s="31">
        <v>0</v>
      </c>
      <c r="CK85" s="31">
        <v>0</v>
      </c>
      <c r="CL85" s="35">
        <v>0</v>
      </c>
    </row>
    <row r="86" spans="1:90" ht="21" x14ac:dyDescent="0.15">
      <c r="A86" s="27" t="s">
        <v>614</v>
      </c>
      <c r="B86" s="28" t="s">
        <v>615</v>
      </c>
      <c r="C86" s="28">
        <v>0</v>
      </c>
      <c r="D86" s="28">
        <v>0</v>
      </c>
      <c r="E86" s="28">
        <v>0</v>
      </c>
      <c r="F86" s="28">
        <v>0</v>
      </c>
      <c r="G86" s="28">
        <v>3</v>
      </c>
      <c r="H86" s="28">
        <f>IFERROR(VLOOKUP(A86,[1]FALTANTES!$A:$AB,28,FALSE),"-")</f>
        <v>0</v>
      </c>
      <c r="I86" s="42">
        <f>IFERROR(VLOOKUP(A86,[1]FALTANTES!$A:$AC,29,FALSE),"-")</f>
        <v>0</v>
      </c>
      <c r="J86" s="29">
        <f>IFERROR(VLOOKUP(A86,[1]FALTANTES!$A:$AD,30,FALSE),"-")</f>
        <v>-3</v>
      </c>
      <c r="K86" s="30">
        <v>0</v>
      </c>
      <c r="L86" s="30">
        <f t="shared" si="1"/>
        <v>3</v>
      </c>
      <c r="M86" s="31">
        <f>SUMIFS(METALFISA!$E:$E,METALFISA!$A:$A,'Faltantes Fevereiro- Metalfisa'!M$3,METALFISA!$B:$B,'Faltantes Fevereiro- Metalfisa'!$A86)</f>
        <v>0</v>
      </c>
      <c r="N86" s="31">
        <f>SUMIFS(METALFISA!$E:$E,METALFISA!$A:$A,'Faltantes Fevereiro- Metalfisa'!N$3,METALFISA!$B:$B,'Faltantes Fevereiro- Metalfisa'!$A86)</f>
        <v>0</v>
      </c>
      <c r="O86" s="31">
        <f>SUMIFS(METALFISA!$E:$E,METALFISA!$A:$A,'Faltantes Fevereiro- Metalfisa'!O$3,METALFISA!$B:$B,'Faltantes Fevereiro- Metalfisa'!$A86)</f>
        <v>0</v>
      </c>
      <c r="P86" s="31">
        <f>SUMIFS(METALFISA!$E:$E,METALFISA!$A:$A,'Faltantes Fevereiro- Metalfisa'!P$3,METALFISA!$B:$B,'Faltantes Fevereiro- Metalfisa'!$A86)</f>
        <v>0</v>
      </c>
      <c r="Q86" s="31">
        <f>SUMIFS(METALFISA!$E:$E,METALFISA!$A:$A,'Faltantes Fevereiro- Metalfisa'!Q$3,METALFISA!$B:$B,'Faltantes Fevereiro- Metalfisa'!$A86)</f>
        <v>0</v>
      </c>
      <c r="R86" s="31">
        <f>SUMIFS(METALFISA!$E:$E,METALFISA!$A:$A,'Faltantes Fevereiro- Metalfisa'!R$3,METALFISA!$B:$B,'Faltantes Fevereiro- Metalfisa'!$A86)</f>
        <v>0</v>
      </c>
      <c r="S86" s="31">
        <f>SUMIFS(METALFISA!$E:$E,METALFISA!$A:$A,'Faltantes Fevereiro- Metalfisa'!S$3,METALFISA!$B:$B,'Faltantes Fevereiro- Metalfisa'!$A86)</f>
        <v>0</v>
      </c>
      <c r="T86" s="31">
        <f>SUMIFS(METALFISA!$E:$E,METALFISA!$A:$A,'Faltantes Fevereiro- Metalfisa'!T$3,METALFISA!$B:$B,'Faltantes Fevereiro- Metalfisa'!$A86)</f>
        <v>0</v>
      </c>
      <c r="U86" s="31">
        <f>SUMIFS(METALFISA!$E:$E,METALFISA!$A:$A,'Faltantes Fevereiro- Metalfisa'!U$3,METALFISA!$B:$B,'Faltantes Fevereiro- Metalfisa'!$A86)</f>
        <v>0</v>
      </c>
      <c r="V86" s="31">
        <f>SUMIFS(METALFISA!$E:$E,METALFISA!$A:$A,'Faltantes Fevereiro- Metalfisa'!V$3,METALFISA!$B:$B,'Faltantes Fevereiro- Metalfisa'!$A86)</f>
        <v>0</v>
      </c>
      <c r="W86" s="31">
        <f>SUMIFS(METALFISA!$E:$E,METALFISA!$A:$A,'Faltantes Fevereiro- Metalfisa'!W$3,METALFISA!$B:$B,'Faltantes Fevereiro- Metalfisa'!$A86)</f>
        <v>0</v>
      </c>
      <c r="X86" s="31">
        <f>SUMIFS(METALFISA!$E:$E,METALFISA!$A:$A,'Faltantes Fevereiro- Metalfisa'!X$3,METALFISA!$B:$B,'Faltantes Fevereiro- Metalfisa'!$A86)</f>
        <v>0</v>
      </c>
      <c r="Y86" s="31">
        <f>SUMIFS(METALFISA!$E:$E,METALFISA!$A:$A,'Faltantes Fevereiro- Metalfisa'!Y$3,METALFISA!$B:$B,'Faltantes Fevereiro- Metalfisa'!$A86)</f>
        <v>0</v>
      </c>
      <c r="Z86" s="31">
        <f>SUMIFS(METALFISA!$E:$E,METALFISA!$A:$A,'Faltantes Fevereiro- Metalfisa'!Z$3,METALFISA!$B:$B,'Faltantes Fevereiro- Metalfisa'!$A86)</f>
        <v>0</v>
      </c>
      <c r="AA86" s="31">
        <f>SUMIFS(METALFISA!$E:$E,METALFISA!$A:$A,'Faltantes Fevereiro- Metalfisa'!AA$3,METALFISA!$B:$B,'Faltantes Fevereiro- Metalfisa'!$A86)</f>
        <v>0</v>
      </c>
      <c r="AB86" s="31">
        <f>SUMIFS(METALFISA!$E:$E,METALFISA!$A:$A,'Faltantes Fevereiro- Metalfisa'!AB$3,METALFISA!$B:$B,'Faltantes Fevereiro- Metalfisa'!$A86)</f>
        <v>0</v>
      </c>
      <c r="AC86" s="31">
        <f>SUMIFS(METALFISA!$E:$E,METALFISA!$A:$A,'Faltantes Fevereiro- Metalfisa'!AC$3,METALFISA!$B:$B,'Faltantes Fevereiro- Metalfisa'!$A86)</f>
        <v>0</v>
      </c>
      <c r="AD86" s="31">
        <f>SUMIFS(METALFISA!$E:$E,METALFISA!$A:$A,'Faltantes Fevereiro- Metalfisa'!AD$3,METALFISA!$B:$B,'Faltantes Fevereiro- Metalfisa'!$A86)</f>
        <v>0</v>
      </c>
      <c r="AE86" s="31">
        <f>SUMIFS(METALFISA!$E:$E,METALFISA!$A:$A,'Faltantes Fevereiro- Metalfisa'!AE$3,METALFISA!$B:$B,'Faltantes Fevereiro- Metalfisa'!$A86)</f>
        <v>0</v>
      </c>
      <c r="AF86" s="31">
        <f>SUMIFS(METALFISA!$E:$E,METALFISA!$A:$A,'Faltantes Fevereiro- Metalfisa'!AF$3,METALFISA!$B:$B,'Faltantes Fevereiro- Metalfisa'!$A86)</f>
        <v>0</v>
      </c>
      <c r="AG86" s="31">
        <f>SUMIFS(METALFISA!$E:$E,METALFISA!$A:$A,'Faltantes Fevereiro- Metalfisa'!AG$3,METALFISA!$B:$B,'Faltantes Fevereiro- Metalfisa'!$A86)</f>
        <v>1</v>
      </c>
      <c r="AH86" s="31">
        <f>SUMIFS(METALFISA!$E:$E,METALFISA!$A:$A,'Faltantes Fevereiro- Metalfisa'!AH$3,METALFISA!$B:$B,'Faltantes Fevereiro- Metalfisa'!$A86)</f>
        <v>0</v>
      </c>
      <c r="AI86" s="31">
        <f>SUMIFS(METALFISA!$E:$E,METALFISA!$A:$A,'Faltantes Fevereiro- Metalfisa'!AI$3,METALFISA!$B:$B,'Faltantes Fevereiro- Metalfisa'!$A86)</f>
        <v>0</v>
      </c>
      <c r="AJ86" s="31">
        <f>SUMIFS(METALFISA!$E:$E,METALFISA!$A:$A,'Faltantes Fevereiro- Metalfisa'!AJ$3,METALFISA!$B:$B,'Faltantes Fevereiro- Metalfisa'!$A86)</f>
        <v>0</v>
      </c>
      <c r="AK86" s="31">
        <f>SUMIFS(METALFISA!$E:$E,METALFISA!$A:$A,'Faltantes Fevereiro- Metalfisa'!AK$3,METALFISA!$B:$B,'Faltantes Fevereiro- Metalfisa'!$A86)</f>
        <v>0</v>
      </c>
      <c r="AL86" s="31">
        <f>SUMIFS(METALFISA!$E:$E,METALFISA!$A:$A,'Faltantes Fevereiro- Metalfisa'!AL$3,METALFISA!$B:$B,'Faltantes Fevereiro- Metalfisa'!$A86)</f>
        <v>0</v>
      </c>
      <c r="AM86" s="31">
        <f>SUMIFS(METALFISA!$E:$E,METALFISA!$A:$A,'Faltantes Fevereiro- Metalfisa'!AM$3,METALFISA!$B:$B,'Faltantes Fevereiro- Metalfisa'!$A86)</f>
        <v>2</v>
      </c>
      <c r="AN86" s="31">
        <f>SUMIFS(METALFISA!$E:$E,METALFISA!$A:$A,'Faltantes Fevereiro- Metalfisa'!AN$3,METALFISA!$B:$B,'Faltantes Fevereiro- Metalfisa'!$A86)</f>
        <v>0</v>
      </c>
      <c r="AO86" s="31">
        <f>SUMIFS(METALFISA!$E:$E,METALFISA!$A:$A,'Faltantes Fevereiro- Metalfisa'!AO$3,METALFISA!$B:$B,'Faltantes Fevereiro- Metalfisa'!$A86)</f>
        <v>0</v>
      </c>
      <c r="AP86" s="31">
        <f>SUMIFS(METALFISA!$E:$E,METALFISA!$A:$A,'Faltantes Fevereiro- Metalfisa'!AP$3,METALFISA!$B:$B,'Faltantes Fevereiro- Metalfisa'!$A86)</f>
        <v>0</v>
      </c>
      <c r="AQ86" s="31"/>
      <c r="AR86" s="31">
        <f>SUMIFS(METALFISA!$E:$E,METALFISA!$A:$A,'Faltantes Fevereiro- Metalfisa'!AR$3,METALFISA!$B:$B,'Faltantes Fevereiro- Metalfisa'!$A86)</f>
        <v>0</v>
      </c>
      <c r="AS86" s="35">
        <f>SUMIFS(METALFISA!$E:$E,METALFISA!$A:$A,'Faltantes Fevereiro- Metalfisa'!AS$3,METALFISA!$B:$B,'Faltantes Fevereiro- Metalfisa'!$A86)</f>
        <v>0</v>
      </c>
      <c r="AU86" s="18">
        <v>0</v>
      </c>
      <c r="AV86" s="18">
        <v>0</v>
      </c>
      <c r="AW86" s="18">
        <v>0</v>
      </c>
      <c r="AX86" s="18">
        <v>0</v>
      </c>
      <c r="AY86" s="41">
        <v>0</v>
      </c>
      <c r="AZ86" s="31">
        <v>0</v>
      </c>
      <c r="BA86" s="31">
        <v>0</v>
      </c>
      <c r="BB86" s="31">
        <v>0</v>
      </c>
      <c r="BC86" s="31">
        <v>0</v>
      </c>
      <c r="BD86" s="31">
        <v>0</v>
      </c>
      <c r="BE86" s="31">
        <v>0</v>
      </c>
      <c r="BF86" s="31">
        <v>0</v>
      </c>
      <c r="BG86" s="31">
        <v>0</v>
      </c>
      <c r="BH86" s="31">
        <v>0</v>
      </c>
      <c r="BI86" s="31">
        <v>0</v>
      </c>
      <c r="BJ86" s="31">
        <v>0</v>
      </c>
      <c r="BK86" s="31">
        <v>0</v>
      </c>
      <c r="BL86" s="31">
        <v>0</v>
      </c>
      <c r="BM86" s="31">
        <v>1</v>
      </c>
      <c r="BN86" s="31">
        <v>0</v>
      </c>
      <c r="BO86" s="31">
        <v>0</v>
      </c>
      <c r="BP86" s="31">
        <v>0</v>
      </c>
      <c r="BQ86" s="31">
        <v>0</v>
      </c>
      <c r="BR86" s="31">
        <v>0</v>
      </c>
      <c r="BS86" s="31">
        <v>0</v>
      </c>
      <c r="BT86" s="31">
        <v>0</v>
      </c>
      <c r="BU86" s="31">
        <v>0</v>
      </c>
      <c r="BV86" s="31">
        <v>0</v>
      </c>
      <c r="BW86" s="31">
        <v>0</v>
      </c>
      <c r="BX86" s="31">
        <v>0</v>
      </c>
      <c r="BY86" s="31">
        <v>0</v>
      </c>
      <c r="BZ86" s="31">
        <v>0</v>
      </c>
      <c r="CA86" s="31">
        <v>0</v>
      </c>
      <c r="CB86" s="31">
        <v>0</v>
      </c>
      <c r="CC86" s="31">
        <v>0</v>
      </c>
      <c r="CD86" s="31">
        <v>0</v>
      </c>
      <c r="CE86" s="31">
        <v>0</v>
      </c>
      <c r="CF86" s="31">
        <v>0</v>
      </c>
      <c r="CG86" s="31">
        <v>0</v>
      </c>
      <c r="CH86" s="31">
        <v>0</v>
      </c>
      <c r="CI86" s="31">
        <v>0</v>
      </c>
      <c r="CJ86" s="31">
        <v>0</v>
      </c>
      <c r="CK86" s="31">
        <v>0</v>
      </c>
      <c r="CL86" s="35">
        <v>0</v>
      </c>
    </row>
    <row r="87" spans="1:90" ht="21" x14ac:dyDescent="0.15">
      <c r="A87" s="27" t="s">
        <v>216</v>
      </c>
      <c r="B87" s="28" t="s">
        <v>217</v>
      </c>
      <c r="C87" s="28">
        <v>0</v>
      </c>
      <c r="D87" s="28">
        <v>0</v>
      </c>
      <c r="E87" s="28">
        <v>0</v>
      </c>
      <c r="F87" s="28">
        <v>0</v>
      </c>
      <c r="G87" s="28">
        <v>3</v>
      </c>
      <c r="H87" s="28">
        <f>IFERROR(VLOOKUP(A87,[1]FALTANTES!$A:$AB,28,FALSE),"-")</f>
        <v>0</v>
      </c>
      <c r="I87" s="42">
        <f>IFERROR(VLOOKUP(A87,[1]FALTANTES!$A:$AC,29,FALSE),"-")</f>
        <v>2</v>
      </c>
      <c r="J87" s="29">
        <f>IFERROR(VLOOKUP(A87,[1]FALTANTES!$A:$AD,30,FALSE),"-")</f>
        <v>-1</v>
      </c>
      <c r="K87" s="30">
        <v>0</v>
      </c>
      <c r="L87" s="30">
        <f t="shared" si="1"/>
        <v>1</v>
      </c>
      <c r="M87" s="31">
        <f>SUMIFS(METALFISA!$E:$E,METALFISA!$A:$A,'Faltantes Fevereiro- Metalfisa'!M$3,METALFISA!$B:$B,'Faltantes Fevereiro- Metalfisa'!$A87)</f>
        <v>0</v>
      </c>
      <c r="N87" s="31">
        <f>SUMIFS(METALFISA!$E:$E,METALFISA!$A:$A,'Faltantes Fevereiro- Metalfisa'!N$3,METALFISA!$B:$B,'Faltantes Fevereiro- Metalfisa'!$A87)</f>
        <v>0</v>
      </c>
      <c r="O87" s="31">
        <f>SUMIFS(METALFISA!$E:$E,METALFISA!$A:$A,'Faltantes Fevereiro- Metalfisa'!O$3,METALFISA!$B:$B,'Faltantes Fevereiro- Metalfisa'!$A87)</f>
        <v>0</v>
      </c>
      <c r="P87" s="31">
        <f>SUMIFS(METALFISA!$E:$E,METALFISA!$A:$A,'Faltantes Fevereiro- Metalfisa'!P$3,METALFISA!$B:$B,'Faltantes Fevereiro- Metalfisa'!$A87)</f>
        <v>0</v>
      </c>
      <c r="Q87" s="31">
        <f>SUMIFS(METALFISA!$E:$E,METALFISA!$A:$A,'Faltantes Fevereiro- Metalfisa'!Q$3,METALFISA!$B:$B,'Faltantes Fevereiro- Metalfisa'!$A87)</f>
        <v>0</v>
      </c>
      <c r="R87" s="31">
        <f>SUMIFS(METALFISA!$E:$E,METALFISA!$A:$A,'Faltantes Fevereiro- Metalfisa'!R$3,METALFISA!$B:$B,'Faltantes Fevereiro- Metalfisa'!$A87)</f>
        <v>0</v>
      </c>
      <c r="S87" s="31">
        <f>SUMIFS(METALFISA!$E:$E,METALFISA!$A:$A,'Faltantes Fevereiro- Metalfisa'!S$3,METALFISA!$B:$B,'Faltantes Fevereiro- Metalfisa'!$A87)</f>
        <v>0</v>
      </c>
      <c r="T87" s="31">
        <f>SUMIFS(METALFISA!$E:$E,METALFISA!$A:$A,'Faltantes Fevereiro- Metalfisa'!T$3,METALFISA!$B:$B,'Faltantes Fevereiro- Metalfisa'!$A87)</f>
        <v>0</v>
      </c>
      <c r="U87" s="31">
        <f>SUMIFS(METALFISA!$E:$E,METALFISA!$A:$A,'Faltantes Fevereiro- Metalfisa'!U$3,METALFISA!$B:$B,'Faltantes Fevereiro- Metalfisa'!$A87)</f>
        <v>0</v>
      </c>
      <c r="V87" s="31">
        <f>SUMIFS(METALFISA!$E:$E,METALFISA!$A:$A,'Faltantes Fevereiro- Metalfisa'!V$3,METALFISA!$B:$B,'Faltantes Fevereiro- Metalfisa'!$A87)</f>
        <v>0</v>
      </c>
      <c r="W87" s="31">
        <f>SUMIFS(METALFISA!$E:$E,METALFISA!$A:$A,'Faltantes Fevereiro- Metalfisa'!W$3,METALFISA!$B:$B,'Faltantes Fevereiro- Metalfisa'!$A87)</f>
        <v>0</v>
      </c>
      <c r="X87" s="31">
        <f>SUMIFS(METALFISA!$E:$E,METALFISA!$A:$A,'Faltantes Fevereiro- Metalfisa'!X$3,METALFISA!$B:$B,'Faltantes Fevereiro- Metalfisa'!$A87)</f>
        <v>0</v>
      </c>
      <c r="Y87" s="31">
        <f>SUMIFS(METALFISA!$E:$E,METALFISA!$A:$A,'Faltantes Fevereiro- Metalfisa'!Y$3,METALFISA!$B:$B,'Faltantes Fevereiro- Metalfisa'!$A87)</f>
        <v>0</v>
      </c>
      <c r="Z87" s="31">
        <f>SUMIFS(METALFISA!$E:$E,METALFISA!$A:$A,'Faltantes Fevereiro- Metalfisa'!Z$3,METALFISA!$B:$B,'Faltantes Fevereiro- Metalfisa'!$A87)</f>
        <v>0</v>
      </c>
      <c r="AA87" s="31">
        <f>SUMIFS(METALFISA!$E:$E,METALFISA!$A:$A,'Faltantes Fevereiro- Metalfisa'!AA$3,METALFISA!$B:$B,'Faltantes Fevereiro- Metalfisa'!$A87)</f>
        <v>0</v>
      </c>
      <c r="AB87" s="31">
        <f>SUMIFS(METALFISA!$E:$E,METALFISA!$A:$A,'Faltantes Fevereiro- Metalfisa'!AB$3,METALFISA!$B:$B,'Faltantes Fevereiro- Metalfisa'!$A87)</f>
        <v>0</v>
      </c>
      <c r="AC87" s="31">
        <f>SUMIFS(METALFISA!$E:$E,METALFISA!$A:$A,'Faltantes Fevereiro- Metalfisa'!AC$3,METALFISA!$B:$B,'Faltantes Fevereiro- Metalfisa'!$A87)</f>
        <v>1</v>
      </c>
      <c r="AD87" s="31">
        <f>SUMIFS(METALFISA!$E:$E,METALFISA!$A:$A,'Faltantes Fevereiro- Metalfisa'!AD$3,METALFISA!$B:$B,'Faltantes Fevereiro- Metalfisa'!$A87)</f>
        <v>0</v>
      </c>
      <c r="AE87" s="31">
        <f>SUMIFS(METALFISA!$E:$E,METALFISA!$A:$A,'Faltantes Fevereiro- Metalfisa'!AE$3,METALFISA!$B:$B,'Faltantes Fevereiro- Metalfisa'!$A87)</f>
        <v>0</v>
      </c>
      <c r="AF87" s="31">
        <f>SUMIFS(METALFISA!$E:$E,METALFISA!$A:$A,'Faltantes Fevereiro- Metalfisa'!AF$3,METALFISA!$B:$B,'Faltantes Fevereiro- Metalfisa'!$A87)</f>
        <v>0</v>
      </c>
      <c r="AG87" s="31">
        <f>SUMIFS(METALFISA!$E:$E,METALFISA!$A:$A,'Faltantes Fevereiro- Metalfisa'!AG$3,METALFISA!$B:$B,'Faltantes Fevereiro- Metalfisa'!$A87)</f>
        <v>0</v>
      </c>
      <c r="AH87" s="31">
        <f>SUMIFS(METALFISA!$E:$E,METALFISA!$A:$A,'Faltantes Fevereiro- Metalfisa'!AH$3,METALFISA!$B:$B,'Faltantes Fevereiro- Metalfisa'!$A87)</f>
        <v>0</v>
      </c>
      <c r="AI87" s="31">
        <f>SUMIFS(METALFISA!$E:$E,METALFISA!$A:$A,'Faltantes Fevereiro- Metalfisa'!AI$3,METALFISA!$B:$B,'Faltantes Fevereiro- Metalfisa'!$A87)</f>
        <v>0</v>
      </c>
      <c r="AJ87" s="31">
        <f>SUMIFS(METALFISA!$E:$E,METALFISA!$A:$A,'Faltantes Fevereiro- Metalfisa'!AJ$3,METALFISA!$B:$B,'Faltantes Fevereiro- Metalfisa'!$A87)</f>
        <v>0</v>
      </c>
      <c r="AK87" s="31">
        <f>SUMIFS(METALFISA!$E:$E,METALFISA!$A:$A,'Faltantes Fevereiro- Metalfisa'!AK$3,METALFISA!$B:$B,'Faltantes Fevereiro- Metalfisa'!$A87)</f>
        <v>0</v>
      </c>
      <c r="AL87" s="31">
        <f>SUMIFS(METALFISA!$E:$E,METALFISA!$A:$A,'Faltantes Fevereiro- Metalfisa'!AL$3,METALFISA!$B:$B,'Faltantes Fevereiro- Metalfisa'!$A87)</f>
        <v>0</v>
      </c>
      <c r="AM87" s="31">
        <f>SUMIFS(METALFISA!$E:$E,METALFISA!$A:$A,'Faltantes Fevereiro- Metalfisa'!AM$3,METALFISA!$B:$B,'Faltantes Fevereiro- Metalfisa'!$A87)</f>
        <v>0</v>
      </c>
      <c r="AN87" s="31">
        <f>SUMIFS(METALFISA!$E:$E,METALFISA!$A:$A,'Faltantes Fevereiro- Metalfisa'!AN$3,METALFISA!$B:$B,'Faltantes Fevereiro- Metalfisa'!$A87)</f>
        <v>0</v>
      </c>
      <c r="AO87" s="31">
        <f>SUMIFS(METALFISA!$E:$E,METALFISA!$A:$A,'Faltantes Fevereiro- Metalfisa'!AO$3,METALFISA!$B:$B,'Faltantes Fevereiro- Metalfisa'!$A87)</f>
        <v>0</v>
      </c>
      <c r="AP87" s="31">
        <f>SUMIFS(METALFISA!$E:$E,METALFISA!$A:$A,'Faltantes Fevereiro- Metalfisa'!AP$3,METALFISA!$B:$B,'Faltantes Fevereiro- Metalfisa'!$A87)</f>
        <v>0</v>
      </c>
      <c r="AQ87" s="31"/>
      <c r="AR87" s="31">
        <f>SUMIFS(METALFISA!$E:$E,METALFISA!$A:$A,'Faltantes Fevereiro- Metalfisa'!AR$3,METALFISA!$B:$B,'Faltantes Fevereiro- Metalfisa'!$A87)</f>
        <v>0</v>
      </c>
      <c r="AS87" s="35">
        <f>SUMIFS(METALFISA!$E:$E,METALFISA!$A:$A,'Faltantes Fevereiro- Metalfisa'!AS$3,METALFISA!$B:$B,'Faltantes Fevereiro- Metalfisa'!$A87)</f>
        <v>0</v>
      </c>
      <c r="AU87" s="18">
        <v>0</v>
      </c>
      <c r="AV87" s="18">
        <v>0</v>
      </c>
      <c r="AW87" s="18">
        <v>0</v>
      </c>
      <c r="AX87" s="18">
        <v>0</v>
      </c>
      <c r="AY87" s="41">
        <v>0</v>
      </c>
      <c r="AZ87" s="31">
        <v>0</v>
      </c>
      <c r="BA87" s="31">
        <v>0</v>
      </c>
      <c r="BB87" s="31">
        <v>0</v>
      </c>
      <c r="BC87" s="31">
        <v>0</v>
      </c>
      <c r="BD87" s="31">
        <v>0</v>
      </c>
      <c r="BE87" s="31">
        <v>0</v>
      </c>
      <c r="BF87" s="31">
        <v>0</v>
      </c>
      <c r="BG87" s="31">
        <v>0</v>
      </c>
      <c r="BH87" s="31">
        <v>0</v>
      </c>
      <c r="BI87" s="31">
        <v>0</v>
      </c>
      <c r="BJ87" s="31">
        <v>0</v>
      </c>
      <c r="BK87" s="31">
        <v>0</v>
      </c>
      <c r="BL87" s="31">
        <v>0</v>
      </c>
      <c r="BM87" s="31">
        <v>1</v>
      </c>
      <c r="BN87" s="31">
        <v>0</v>
      </c>
      <c r="BO87" s="31">
        <v>0</v>
      </c>
      <c r="BP87" s="31">
        <v>0</v>
      </c>
      <c r="BQ87" s="31">
        <v>0</v>
      </c>
      <c r="BR87" s="31">
        <v>0</v>
      </c>
      <c r="BS87" s="31">
        <v>0</v>
      </c>
      <c r="BT87" s="31">
        <v>0</v>
      </c>
      <c r="BU87" s="31">
        <v>0</v>
      </c>
      <c r="BV87" s="31">
        <v>0</v>
      </c>
      <c r="BW87" s="31">
        <v>0</v>
      </c>
      <c r="BX87" s="31">
        <v>0</v>
      </c>
      <c r="BY87" s="31">
        <v>0</v>
      </c>
      <c r="BZ87" s="31">
        <v>0</v>
      </c>
      <c r="CA87" s="31">
        <v>0</v>
      </c>
      <c r="CB87" s="31">
        <v>0</v>
      </c>
      <c r="CC87" s="31">
        <v>0</v>
      </c>
      <c r="CD87" s="31">
        <v>0</v>
      </c>
      <c r="CE87" s="31">
        <v>0</v>
      </c>
      <c r="CF87" s="31">
        <v>0</v>
      </c>
      <c r="CG87" s="31">
        <v>0</v>
      </c>
      <c r="CH87" s="31">
        <v>0</v>
      </c>
      <c r="CI87" s="31">
        <v>0</v>
      </c>
      <c r="CJ87" s="31">
        <v>0</v>
      </c>
      <c r="CK87" s="31">
        <v>0</v>
      </c>
      <c r="CL87" s="35">
        <v>0</v>
      </c>
    </row>
    <row r="88" spans="1:90" ht="21" x14ac:dyDescent="0.15">
      <c r="A88" s="27" t="s">
        <v>617</v>
      </c>
      <c r="B88" s="28" t="s">
        <v>618</v>
      </c>
      <c r="C88" s="28">
        <v>0</v>
      </c>
      <c r="D88" s="28">
        <v>0</v>
      </c>
      <c r="E88" s="28">
        <v>0</v>
      </c>
      <c r="F88" s="28">
        <v>0</v>
      </c>
      <c r="G88" s="28">
        <v>4</v>
      </c>
      <c r="H88" s="28">
        <f>IFERROR(VLOOKUP(A88,[1]FALTANTES!$A:$AB,28,FALSE),"-")</f>
        <v>0</v>
      </c>
      <c r="I88" s="42">
        <f>IFERROR(VLOOKUP(A88,[1]FALTANTES!$A:$AC,29,FALSE),"-")</f>
        <v>0</v>
      </c>
      <c r="J88" s="29">
        <f>IFERROR(VLOOKUP(A88,[1]FALTANTES!$A:$AD,30,FALSE),"-")</f>
        <v>-4</v>
      </c>
      <c r="K88" s="30">
        <v>0</v>
      </c>
      <c r="L88" s="30">
        <f t="shared" si="1"/>
        <v>4</v>
      </c>
      <c r="M88" s="31">
        <f>SUMIFS(METALFISA!$E:$E,METALFISA!$A:$A,'Faltantes Fevereiro- Metalfisa'!M$3,METALFISA!$B:$B,'Faltantes Fevereiro- Metalfisa'!$A88)</f>
        <v>0</v>
      </c>
      <c r="N88" s="31">
        <f>SUMIFS(METALFISA!$E:$E,METALFISA!$A:$A,'Faltantes Fevereiro- Metalfisa'!N$3,METALFISA!$B:$B,'Faltantes Fevereiro- Metalfisa'!$A88)</f>
        <v>0</v>
      </c>
      <c r="O88" s="31">
        <f>SUMIFS(METALFISA!$E:$E,METALFISA!$A:$A,'Faltantes Fevereiro- Metalfisa'!O$3,METALFISA!$B:$B,'Faltantes Fevereiro- Metalfisa'!$A88)</f>
        <v>0</v>
      </c>
      <c r="P88" s="31">
        <f>SUMIFS(METALFISA!$E:$E,METALFISA!$A:$A,'Faltantes Fevereiro- Metalfisa'!P$3,METALFISA!$B:$B,'Faltantes Fevereiro- Metalfisa'!$A88)</f>
        <v>0</v>
      </c>
      <c r="Q88" s="31">
        <f>SUMIFS(METALFISA!$E:$E,METALFISA!$A:$A,'Faltantes Fevereiro- Metalfisa'!Q$3,METALFISA!$B:$B,'Faltantes Fevereiro- Metalfisa'!$A88)</f>
        <v>0</v>
      </c>
      <c r="R88" s="31">
        <f>SUMIFS(METALFISA!$E:$E,METALFISA!$A:$A,'Faltantes Fevereiro- Metalfisa'!R$3,METALFISA!$B:$B,'Faltantes Fevereiro- Metalfisa'!$A88)</f>
        <v>0</v>
      </c>
      <c r="S88" s="31">
        <f>SUMIFS(METALFISA!$E:$E,METALFISA!$A:$A,'Faltantes Fevereiro- Metalfisa'!S$3,METALFISA!$B:$B,'Faltantes Fevereiro- Metalfisa'!$A88)</f>
        <v>0</v>
      </c>
      <c r="T88" s="31">
        <f>SUMIFS(METALFISA!$E:$E,METALFISA!$A:$A,'Faltantes Fevereiro- Metalfisa'!T$3,METALFISA!$B:$B,'Faltantes Fevereiro- Metalfisa'!$A88)</f>
        <v>0</v>
      </c>
      <c r="U88" s="31">
        <f>SUMIFS(METALFISA!$E:$E,METALFISA!$A:$A,'Faltantes Fevereiro- Metalfisa'!U$3,METALFISA!$B:$B,'Faltantes Fevereiro- Metalfisa'!$A88)</f>
        <v>0</v>
      </c>
      <c r="V88" s="31">
        <f>SUMIFS(METALFISA!$E:$E,METALFISA!$A:$A,'Faltantes Fevereiro- Metalfisa'!V$3,METALFISA!$B:$B,'Faltantes Fevereiro- Metalfisa'!$A88)</f>
        <v>0</v>
      </c>
      <c r="W88" s="31">
        <f>SUMIFS(METALFISA!$E:$E,METALFISA!$A:$A,'Faltantes Fevereiro- Metalfisa'!W$3,METALFISA!$B:$B,'Faltantes Fevereiro- Metalfisa'!$A88)</f>
        <v>0</v>
      </c>
      <c r="X88" s="31">
        <f>SUMIFS(METALFISA!$E:$E,METALFISA!$A:$A,'Faltantes Fevereiro- Metalfisa'!X$3,METALFISA!$B:$B,'Faltantes Fevereiro- Metalfisa'!$A88)</f>
        <v>0</v>
      </c>
      <c r="Y88" s="31">
        <f>SUMIFS(METALFISA!$E:$E,METALFISA!$A:$A,'Faltantes Fevereiro- Metalfisa'!Y$3,METALFISA!$B:$B,'Faltantes Fevereiro- Metalfisa'!$A88)</f>
        <v>0</v>
      </c>
      <c r="Z88" s="31">
        <f>SUMIFS(METALFISA!$E:$E,METALFISA!$A:$A,'Faltantes Fevereiro- Metalfisa'!Z$3,METALFISA!$B:$B,'Faltantes Fevereiro- Metalfisa'!$A88)</f>
        <v>0</v>
      </c>
      <c r="AA88" s="31">
        <f>SUMIFS(METALFISA!$E:$E,METALFISA!$A:$A,'Faltantes Fevereiro- Metalfisa'!AA$3,METALFISA!$B:$B,'Faltantes Fevereiro- Metalfisa'!$A88)</f>
        <v>0</v>
      </c>
      <c r="AB88" s="31">
        <f>SUMIFS(METALFISA!$E:$E,METALFISA!$A:$A,'Faltantes Fevereiro- Metalfisa'!AB$3,METALFISA!$B:$B,'Faltantes Fevereiro- Metalfisa'!$A88)</f>
        <v>0</v>
      </c>
      <c r="AC88" s="31">
        <f>SUMIFS(METALFISA!$E:$E,METALFISA!$A:$A,'Faltantes Fevereiro- Metalfisa'!AC$3,METALFISA!$B:$B,'Faltantes Fevereiro- Metalfisa'!$A88)</f>
        <v>0</v>
      </c>
      <c r="AD88" s="31">
        <f>SUMIFS(METALFISA!$E:$E,METALFISA!$A:$A,'Faltantes Fevereiro- Metalfisa'!AD$3,METALFISA!$B:$B,'Faltantes Fevereiro- Metalfisa'!$A88)</f>
        <v>0</v>
      </c>
      <c r="AE88" s="31">
        <f>SUMIFS(METALFISA!$E:$E,METALFISA!$A:$A,'Faltantes Fevereiro- Metalfisa'!AE$3,METALFISA!$B:$B,'Faltantes Fevereiro- Metalfisa'!$A88)</f>
        <v>0</v>
      </c>
      <c r="AF88" s="31">
        <f>SUMIFS(METALFISA!$E:$E,METALFISA!$A:$A,'Faltantes Fevereiro- Metalfisa'!AF$3,METALFISA!$B:$B,'Faltantes Fevereiro- Metalfisa'!$A88)</f>
        <v>0</v>
      </c>
      <c r="AG88" s="31">
        <f>SUMIFS(METALFISA!$E:$E,METALFISA!$A:$A,'Faltantes Fevereiro- Metalfisa'!AG$3,METALFISA!$B:$B,'Faltantes Fevereiro- Metalfisa'!$A88)</f>
        <v>2</v>
      </c>
      <c r="AH88" s="31">
        <f>SUMIFS(METALFISA!$E:$E,METALFISA!$A:$A,'Faltantes Fevereiro- Metalfisa'!AH$3,METALFISA!$B:$B,'Faltantes Fevereiro- Metalfisa'!$A88)</f>
        <v>0</v>
      </c>
      <c r="AI88" s="31">
        <f>SUMIFS(METALFISA!$E:$E,METALFISA!$A:$A,'Faltantes Fevereiro- Metalfisa'!AI$3,METALFISA!$B:$B,'Faltantes Fevereiro- Metalfisa'!$A88)</f>
        <v>0</v>
      </c>
      <c r="AJ88" s="31">
        <f>SUMIFS(METALFISA!$E:$E,METALFISA!$A:$A,'Faltantes Fevereiro- Metalfisa'!AJ$3,METALFISA!$B:$B,'Faltantes Fevereiro- Metalfisa'!$A88)</f>
        <v>0</v>
      </c>
      <c r="AK88" s="31">
        <f>SUMIFS(METALFISA!$E:$E,METALFISA!$A:$A,'Faltantes Fevereiro- Metalfisa'!AK$3,METALFISA!$B:$B,'Faltantes Fevereiro- Metalfisa'!$A88)</f>
        <v>0</v>
      </c>
      <c r="AL88" s="31">
        <f>SUMIFS(METALFISA!$E:$E,METALFISA!$A:$A,'Faltantes Fevereiro- Metalfisa'!AL$3,METALFISA!$B:$B,'Faltantes Fevereiro- Metalfisa'!$A88)</f>
        <v>0</v>
      </c>
      <c r="AM88" s="31">
        <f>SUMIFS(METALFISA!$E:$E,METALFISA!$A:$A,'Faltantes Fevereiro- Metalfisa'!AM$3,METALFISA!$B:$B,'Faltantes Fevereiro- Metalfisa'!$A88)</f>
        <v>2</v>
      </c>
      <c r="AN88" s="31">
        <f>SUMIFS(METALFISA!$E:$E,METALFISA!$A:$A,'Faltantes Fevereiro- Metalfisa'!AN$3,METALFISA!$B:$B,'Faltantes Fevereiro- Metalfisa'!$A88)</f>
        <v>0</v>
      </c>
      <c r="AO88" s="31">
        <f>SUMIFS(METALFISA!$E:$E,METALFISA!$A:$A,'Faltantes Fevereiro- Metalfisa'!AO$3,METALFISA!$B:$B,'Faltantes Fevereiro- Metalfisa'!$A88)</f>
        <v>0</v>
      </c>
      <c r="AP88" s="31">
        <f>SUMIFS(METALFISA!$E:$E,METALFISA!$A:$A,'Faltantes Fevereiro- Metalfisa'!AP$3,METALFISA!$B:$B,'Faltantes Fevereiro- Metalfisa'!$A88)</f>
        <v>0</v>
      </c>
      <c r="AQ88" s="31"/>
      <c r="AR88" s="31">
        <f>SUMIFS(METALFISA!$E:$E,METALFISA!$A:$A,'Faltantes Fevereiro- Metalfisa'!AR$3,METALFISA!$B:$B,'Faltantes Fevereiro- Metalfisa'!$A88)</f>
        <v>0</v>
      </c>
      <c r="AS88" s="35">
        <f>SUMIFS(METALFISA!$E:$E,METALFISA!$A:$A,'Faltantes Fevereiro- Metalfisa'!AS$3,METALFISA!$B:$B,'Faltantes Fevereiro- Metalfisa'!$A88)</f>
        <v>0</v>
      </c>
      <c r="AU88" s="18">
        <v>0</v>
      </c>
      <c r="AV88" s="18">
        <v>0</v>
      </c>
      <c r="AW88" s="18">
        <v>0</v>
      </c>
      <c r="AX88" s="18">
        <v>0</v>
      </c>
      <c r="AY88" s="41">
        <v>0</v>
      </c>
      <c r="AZ88" s="31">
        <v>0</v>
      </c>
      <c r="BA88" s="31">
        <v>0</v>
      </c>
      <c r="BB88" s="31">
        <v>0</v>
      </c>
      <c r="BC88" s="31">
        <v>0</v>
      </c>
      <c r="BD88" s="31">
        <v>0</v>
      </c>
      <c r="BE88" s="31">
        <v>0</v>
      </c>
      <c r="BF88" s="31">
        <v>0</v>
      </c>
      <c r="BG88" s="31">
        <v>0</v>
      </c>
      <c r="BH88" s="31">
        <v>0</v>
      </c>
      <c r="BI88" s="31">
        <v>0</v>
      </c>
      <c r="BJ88" s="31">
        <v>0</v>
      </c>
      <c r="BK88" s="31">
        <v>0</v>
      </c>
      <c r="BL88" s="31">
        <v>0</v>
      </c>
      <c r="BM88" s="31">
        <v>1</v>
      </c>
      <c r="BN88" s="31">
        <v>0</v>
      </c>
      <c r="BO88" s="31">
        <v>0</v>
      </c>
      <c r="BP88" s="31">
        <v>0</v>
      </c>
      <c r="BQ88" s="31">
        <v>0</v>
      </c>
      <c r="BR88" s="31">
        <v>0</v>
      </c>
      <c r="BS88" s="31">
        <v>0</v>
      </c>
      <c r="BT88" s="31">
        <v>0</v>
      </c>
      <c r="BU88" s="31">
        <v>0</v>
      </c>
      <c r="BV88" s="31">
        <v>0</v>
      </c>
      <c r="BW88" s="31">
        <v>0</v>
      </c>
      <c r="BX88" s="31">
        <v>0</v>
      </c>
      <c r="BY88" s="31">
        <v>0</v>
      </c>
      <c r="BZ88" s="31">
        <v>0</v>
      </c>
      <c r="CA88" s="31">
        <v>0</v>
      </c>
      <c r="CB88" s="31">
        <v>0</v>
      </c>
      <c r="CC88" s="31">
        <v>0</v>
      </c>
      <c r="CD88" s="31">
        <v>0</v>
      </c>
      <c r="CE88" s="31">
        <v>0</v>
      </c>
      <c r="CF88" s="31">
        <v>0</v>
      </c>
      <c r="CG88" s="31">
        <v>0</v>
      </c>
      <c r="CH88" s="31">
        <v>0</v>
      </c>
      <c r="CI88" s="31">
        <v>0</v>
      </c>
      <c r="CJ88" s="31">
        <v>0</v>
      </c>
      <c r="CK88" s="31">
        <v>0</v>
      </c>
      <c r="CL88" s="35">
        <v>0</v>
      </c>
    </row>
    <row r="89" spans="1:90" ht="21" x14ac:dyDescent="0.15">
      <c r="A89" s="27" t="s">
        <v>218</v>
      </c>
      <c r="B89" s="28" t="s">
        <v>219</v>
      </c>
      <c r="C89" s="28">
        <v>0</v>
      </c>
      <c r="D89" s="28">
        <v>0</v>
      </c>
      <c r="E89" s="28">
        <v>0</v>
      </c>
      <c r="F89" s="28">
        <v>0</v>
      </c>
      <c r="G89" s="28">
        <v>2</v>
      </c>
      <c r="H89" s="28">
        <f>IFERROR(VLOOKUP(A89,[1]FALTANTES!$A:$AB,28,FALSE),"-")</f>
        <v>0</v>
      </c>
      <c r="I89" s="42">
        <f>IFERROR(VLOOKUP(A89,[1]FALTANTES!$A:$AC,29,FALSE),"-")</f>
        <v>0</v>
      </c>
      <c r="J89" s="29">
        <f>IFERROR(VLOOKUP(A89,[1]FALTANTES!$A:$AD,30,FALSE),"-")</f>
        <v>-2</v>
      </c>
      <c r="K89" s="30">
        <v>0</v>
      </c>
      <c r="L89" s="30">
        <f t="shared" si="1"/>
        <v>2</v>
      </c>
      <c r="M89" s="31">
        <f>SUMIFS(METALFISA!$E:$E,METALFISA!$A:$A,'Faltantes Fevereiro- Metalfisa'!M$3,METALFISA!$B:$B,'Faltantes Fevereiro- Metalfisa'!$A89)</f>
        <v>0</v>
      </c>
      <c r="N89" s="31">
        <f>SUMIFS(METALFISA!$E:$E,METALFISA!$A:$A,'Faltantes Fevereiro- Metalfisa'!N$3,METALFISA!$B:$B,'Faltantes Fevereiro- Metalfisa'!$A89)</f>
        <v>0</v>
      </c>
      <c r="O89" s="31">
        <f>SUMIFS(METALFISA!$E:$E,METALFISA!$A:$A,'Faltantes Fevereiro- Metalfisa'!O$3,METALFISA!$B:$B,'Faltantes Fevereiro- Metalfisa'!$A89)</f>
        <v>0</v>
      </c>
      <c r="P89" s="31">
        <f>SUMIFS(METALFISA!$E:$E,METALFISA!$A:$A,'Faltantes Fevereiro- Metalfisa'!P$3,METALFISA!$B:$B,'Faltantes Fevereiro- Metalfisa'!$A89)</f>
        <v>0</v>
      </c>
      <c r="Q89" s="31">
        <f>SUMIFS(METALFISA!$E:$E,METALFISA!$A:$A,'Faltantes Fevereiro- Metalfisa'!Q$3,METALFISA!$B:$B,'Faltantes Fevereiro- Metalfisa'!$A89)</f>
        <v>0</v>
      </c>
      <c r="R89" s="31">
        <f>SUMIFS(METALFISA!$E:$E,METALFISA!$A:$A,'Faltantes Fevereiro- Metalfisa'!R$3,METALFISA!$B:$B,'Faltantes Fevereiro- Metalfisa'!$A89)</f>
        <v>0</v>
      </c>
      <c r="S89" s="31">
        <f>SUMIFS(METALFISA!$E:$E,METALFISA!$A:$A,'Faltantes Fevereiro- Metalfisa'!S$3,METALFISA!$B:$B,'Faltantes Fevereiro- Metalfisa'!$A89)</f>
        <v>0</v>
      </c>
      <c r="T89" s="31">
        <f>SUMIFS(METALFISA!$E:$E,METALFISA!$A:$A,'Faltantes Fevereiro- Metalfisa'!T$3,METALFISA!$B:$B,'Faltantes Fevereiro- Metalfisa'!$A89)</f>
        <v>0</v>
      </c>
      <c r="U89" s="31">
        <f>SUMIFS(METALFISA!$E:$E,METALFISA!$A:$A,'Faltantes Fevereiro- Metalfisa'!U$3,METALFISA!$B:$B,'Faltantes Fevereiro- Metalfisa'!$A89)</f>
        <v>0</v>
      </c>
      <c r="V89" s="31">
        <f>SUMIFS(METALFISA!$E:$E,METALFISA!$A:$A,'Faltantes Fevereiro- Metalfisa'!V$3,METALFISA!$B:$B,'Faltantes Fevereiro- Metalfisa'!$A89)</f>
        <v>0</v>
      </c>
      <c r="W89" s="31">
        <f>SUMIFS(METALFISA!$E:$E,METALFISA!$A:$A,'Faltantes Fevereiro- Metalfisa'!W$3,METALFISA!$B:$B,'Faltantes Fevereiro- Metalfisa'!$A89)</f>
        <v>0</v>
      </c>
      <c r="X89" s="31">
        <f>SUMIFS(METALFISA!$E:$E,METALFISA!$A:$A,'Faltantes Fevereiro- Metalfisa'!X$3,METALFISA!$B:$B,'Faltantes Fevereiro- Metalfisa'!$A89)</f>
        <v>0</v>
      </c>
      <c r="Y89" s="31">
        <f>SUMIFS(METALFISA!$E:$E,METALFISA!$A:$A,'Faltantes Fevereiro- Metalfisa'!Y$3,METALFISA!$B:$B,'Faltantes Fevereiro- Metalfisa'!$A89)</f>
        <v>0</v>
      </c>
      <c r="Z89" s="31">
        <f>SUMIFS(METALFISA!$E:$E,METALFISA!$A:$A,'Faltantes Fevereiro- Metalfisa'!Z$3,METALFISA!$B:$B,'Faltantes Fevereiro- Metalfisa'!$A89)</f>
        <v>0</v>
      </c>
      <c r="AA89" s="31">
        <f>SUMIFS(METALFISA!$E:$E,METALFISA!$A:$A,'Faltantes Fevereiro- Metalfisa'!AA$3,METALFISA!$B:$B,'Faltantes Fevereiro- Metalfisa'!$A89)</f>
        <v>0</v>
      </c>
      <c r="AB89" s="31">
        <f>SUMIFS(METALFISA!$E:$E,METALFISA!$A:$A,'Faltantes Fevereiro- Metalfisa'!AB$3,METALFISA!$B:$B,'Faltantes Fevereiro- Metalfisa'!$A89)</f>
        <v>0</v>
      </c>
      <c r="AC89" s="31">
        <f>SUMIFS(METALFISA!$E:$E,METALFISA!$A:$A,'Faltantes Fevereiro- Metalfisa'!AC$3,METALFISA!$B:$B,'Faltantes Fevereiro- Metalfisa'!$A89)</f>
        <v>0</v>
      </c>
      <c r="AD89" s="31">
        <f>SUMIFS(METALFISA!$E:$E,METALFISA!$A:$A,'Faltantes Fevereiro- Metalfisa'!AD$3,METALFISA!$B:$B,'Faltantes Fevereiro- Metalfisa'!$A89)</f>
        <v>0</v>
      </c>
      <c r="AE89" s="31">
        <f>SUMIFS(METALFISA!$E:$E,METALFISA!$A:$A,'Faltantes Fevereiro- Metalfisa'!AE$3,METALFISA!$B:$B,'Faltantes Fevereiro- Metalfisa'!$A89)</f>
        <v>0</v>
      </c>
      <c r="AF89" s="31">
        <f>SUMIFS(METALFISA!$E:$E,METALFISA!$A:$A,'Faltantes Fevereiro- Metalfisa'!AF$3,METALFISA!$B:$B,'Faltantes Fevereiro- Metalfisa'!$A89)</f>
        <v>0</v>
      </c>
      <c r="AG89" s="31">
        <f>SUMIFS(METALFISA!$E:$E,METALFISA!$A:$A,'Faltantes Fevereiro- Metalfisa'!AG$3,METALFISA!$B:$B,'Faltantes Fevereiro- Metalfisa'!$A89)</f>
        <v>1</v>
      </c>
      <c r="AH89" s="31">
        <f>SUMIFS(METALFISA!$E:$E,METALFISA!$A:$A,'Faltantes Fevereiro- Metalfisa'!AH$3,METALFISA!$B:$B,'Faltantes Fevereiro- Metalfisa'!$A89)</f>
        <v>0</v>
      </c>
      <c r="AI89" s="31">
        <f>SUMIFS(METALFISA!$E:$E,METALFISA!$A:$A,'Faltantes Fevereiro- Metalfisa'!AI$3,METALFISA!$B:$B,'Faltantes Fevereiro- Metalfisa'!$A89)</f>
        <v>0</v>
      </c>
      <c r="AJ89" s="31">
        <f>SUMIFS(METALFISA!$E:$E,METALFISA!$A:$A,'Faltantes Fevereiro- Metalfisa'!AJ$3,METALFISA!$B:$B,'Faltantes Fevereiro- Metalfisa'!$A89)</f>
        <v>0</v>
      </c>
      <c r="AK89" s="31">
        <f>SUMIFS(METALFISA!$E:$E,METALFISA!$A:$A,'Faltantes Fevereiro- Metalfisa'!AK$3,METALFISA!$B:$B,'Faltantes Fevereiro- Metalfisa'!$A89)</f>
        <v>0</v>
      </c>
      <c r="AL89" s="31">
        <f>SUMIFS(METALFISA!$E:$E,METALFISA!$A:$A,'Faltantes Fevereiro- Metalfisa'!AL$3,METALFISA!$B:$B,'Faltantes Fevereiro- Metalfisa'!$A89)</f>
        <v>0</v>
      </c>
      <c r="AM89" s="31">
        <f>SUMIFS(METALFISA!$E:$E,METALFISA!$A:$A,'Faltantes Fevereiro- Metalfisa'!AM$3,METALFISA!$B:$B,'Faltantes Fevereiro- Metalfisa'!$A89)</f>
        <v>1</v>
      </c>
      <c r="AN89" s="31">
        <f>SUMIFS(METALFISA!$E:$E,METALFISA!$A:$A,'Faltantes Fevereiro- Metalfisa'!AN$3,METALFISA!$B:$B,'Faltantes Fevereiro- Metalfisa'!$A89)</f>
        <v>0</v>
      </c>
      <c r="AO89" s="31">
        <f>SUMIFS(METALFISA!$E:$E,METALFISA!$A:$A,'Faltantes Fevereiro- Metalfisa'!AO$3,METALFISA!$B:$B,'Faltantes Fevereiro- Metalfisa'!$A89)</f>
        <v>0</v>
      </c>
      <c r="AP89" s="31">
        <f>SUMIFS(METALFISA!$E:$E,METALFISA!$A:$A,'Faltantes Fevereiro- Metalfisa'!AP$3,METALFISA!$B:$B,'Faltantes Fevereiro- Metalfisa'!$A89)</f>
        <v>0</v>
      </c>
      <c r="AQ89" s="31"/>
      <c r="AR89" s="31">
        <f>SUMIFS(METALFISA!$E:$E,METALFISA!$A:$A,'Faltantes Fevereiro- Metalfisa'!AR$3,METALFISA!$B:$B,'Faltantes Fevereiro- Metalfisa'!$A89)</f>
        <v>0</v>
      </c>
      <c r="AS89" s="35">
        <f>SUMIFS(METALFISA!$E:$E,METALFISA!$A:$A,'Faltantes Fevereiro- Metalfisa'!AS$3,METALFISA!$B:$B,'Faltantes Fevereiro- Metalfisa'!$A89)</f>
        <v>0</v>
      </c>
      <c r="AU89" s="18">
        <v>0</v>
      </c>
      <c r="AV89" s="18">
        <v>0</v>
      </c>
      <c r="AW89" s="18">
        <v>0</v>
      </c>
      <c r="AX89" s="18">
        <v>0</v>
      </c>
      <c r="AY89" s="41">
        <v>0</v>
      </c>
      <c r="AZ89" s="31">
        <v>0</v>
      </c>
      <c r="BA89" s="31">
        <v>0</v>
      </c>
      <c r="BB89" s="31">
        <v>0</v>
      </c>
      <c r="BC89" s="31">
        <v>0</v>
      </c>
      <c r="BD89" s="31">
        <v>0</v>
      </c>
      <c r="BE89" s="31">
        <v>0</v>
      </c>
      <c r="BF89" s="31">
        <v>0</v>
      </c>
      <c r="BG89" s="31">
        <v>0</v>
      </c>
      <c r="BH89" s="31">
        <v>0</v>
      </c>
      <c r="BI89" s="31">
        <v>0</v>
      </c>
      <c r="BJ89" s="31">
        <v>0</v>
      </c>
      <c r="BK89" s="31">
        <v>0</v>
      </c>
      <c r="BL89" s="31">
        <v>0</v>
      </c>
      <c r="BM89" s="31">
        <v>1</v>
      </c>
      <c r="BN89" s="31">
        <v>0</v>
      </c>
      <c r="BO89" s="31">
        <v>0</v>
      </c>
      <c r="BP89" s="31">
        <v>0</v>
      </c>
      <c r="BQ89" s="31">
        <v>0</v>
      </c>
      <c r="BR89" s="31">
        <v>0</v>
      </c>
      <c r="BS89" s="31">
        <v>0</v>
      </c>
      <c r="BT89" s="31">
        <v>0</v>
      </c>
      <c r="BU89" s="31">
        <v>0</v>
      </c>
      <c r="BV89" s="31">
        <v>0</v>
      </c>
      <c r="BW89" s="31">
        <v>0</v>
      </c>
      <c r="BX89" s="31">
        <v>0</v>
      </c>
      <c r="BY89" s="31">
        <v>0</v>
      </c>
      <c r="BZ89" s="31">
        <v>0</v>
      </c>
      <c r="CA89" s="31">
        <v>0</v>
      </c>
      <c r="CB89" s="31">
        <v>0</v>
      </c>
      <c r="CC89" s="31">
        <v>0</v>
      </c>
      <c r="CD89" s="31">
        <v>0</v>
      </c>
      <c r="CE89" s="31">
        <v>0</v>
      </c>
      <c r="CF89" s="31">
        <v>0</v>
      </c>
      <c r="CG89" s="31">
        <v>0</v>
      </c>
      <c r="CH89" s="31">
        <v>0</v>
      </c>
      <c r="CI89" s="31">
        <v>0</v>
      </c>
      <c r="CJ89" s="31">
        <v>0</v>
      </c>
      <c r="CK89" s="31">
        <v>0</v>
      </c>
      <c r="CL89" s="35">
        <v>0</v>
      </c>
    </row>
    <row r="90" spans="1:90" ht="21" x14ac:dyDescent="0.15">
      <c r="A90" s="27" t="s">
        <v>619</v>
      </c>
      <c r="B90" s="28" t="s">
        <v>620</v>
      </c>
      <c r="C90" s="28">
        <v>0</v>
      </c>
      <c r="D90" s="28">
        <v>0</v>
      </c>
      <c r="E90" s="28">
        <v>0</v>
      </c>
      <c r="F90" s="28">
        <v>0</v>
      </c>
      <c r="G90" s="28">
        <v>2</v>
      </c>
      <c r="H90" s="28">
        <f>IFERROR(VLOOKUP(A90,[1]FALTANTES!$A:$AB,28,FALSE),"-")</f>
        <v>0</v>
      </c>
      <c r="I90" s="42">
        <f>IFERROR(VLOOKUP(A90,[1]FALTANTES!$A:$AC,29,FALSE),"-")</f>
        <v>0</v>
      </c>
      <c r="J90" s="29">
        <f>IFERROR(VLOOKUP(A90,[1]FALTANTES!$A:$AD,30,FALSE),"-")</f>
        <v>-2</v>
      </c>
      <c r="K90" s="30">
        <v>0</v>
      </c>
      <c r="L90" s="30">
        <f t="shared" si="1"/>
        <v>2</v>
      </c>
      <c r="M90" s="31">
        <f>SUMIFS(METALFISA!$E:$E,METALFISA!$A:$A,'Faltantes Fevereiro- Metalfisa'!M$3,METALFISA!$B:$B,'Faltantes Fevereiro- Metalfisa'!$A90)</f>
        <v>0</v>
      </c>
      <c r="N90" s="31">
        <f>SUMIFS(METALFISA!$E:$E,METALFISA!$A:$A,'Faltantes Fevereiro- Metalfisa'!N$3,METALFISA!$B:$B,'Faltantes Fevereiro- Metalfisa'!$A90)</f>
        <v>0</v>
      </c>
      <c r="O90" s="31">
        <f>SUMIFS(METALFISA!$E:$E,METALFISA!$A:$A,'Faltantes Fevereiro- Metalfisa'!O$3,METALFISA!$B:$B,'Faltantes Fevereiro- Metalfisa'!$A90)</f>
        <v>0</v>
      </c>
      <c r="P90" s="31">
        <f>SUMIFS(METALFISA!$E:$E,METALFISA!$A:$A,'Faltantes Fevereiro- Metalfisa'!P$3,METALFISA!$B:$B,'Faltantes Fevereiro- Metalfisa'!$A90)</f>
        <v>0</v>
      </c>
      <c r="Q90" s="31">
        <f>SUMIFS(METALFISA!$E:$E,METALFISA!$A:$A,'Faltantes Fevereiro- Metalfisa'!Q$3,METALFISA!$B:$B,'Faltantes Fevereiro- Metalfisa'!$A90)</f>
        <v>0</v>
      </c>
      <c r="R90" s="31">
        <f>SUMIFS(METALFISA!$E:$E,METALFISA!$A:$A,'Faltantes Fevereiro- Metalfisa'!R$3,METALFISA!$B:$B,'Faltantes Fevereiro- Metalfisa'!$A90)</f>
        <v>0</v>
      </c>
      <c r="S90" s="31">
        <f>SUMIFS(METALFISA!$E:$E,METALFISA!$A:$A,'Faltantes Fevereiro- Metalfisa'!S$3,METALFISA!$B:$B,'Faltantes Fevereiro- Metalfisa'!$A90)</f>
        <v>0</v>
      </c>
      <c r="T90" s="31">
        <f>SUMIFS(METALFISA!$E:$E,METALFISA!$A:$A,'Faltantes Fevereiro- Metalfisa'!T$3,METALFISA!$B:$B,'Faltantes Fevereiro- Metalfisa'!$A90)</f>
        <v>0</v>
      </c>
      <c r="U90" s="31">
        <f>SUMIFS(METALFISA!$E:$E,METALFISA!$A:$A,'Faltantes Fevereiro- Metalfisa'!U$3,METALFISA!$B:$B,'Faltantes Fevereiro- Metalfisa'!$A90)</f>
        <v>0</v>
      </c>
      <c r="V90" s="31">
        <f>SUMIFS(METALFISA!$E:$E,METALFISA!$A:$A,'Faltantes Fevereiro- Metalfisa'!V$3,METALFISA!$B:$B,'Faltantes Fevereiro- Metalfisa'!$A90)</f>
        <v>0</v>
      </c>
      <c r="W90" s="31">
        <f>SUMIFS(METALFISA!$E:$E,METALFISA!$A:$A,'Faltantes Fevereiro- Metalfisa'!W$3,METALFISA!$B:$B,'Faltantes Fevereiro- Metalfisa'!$A90)</f>
        <v>0</v>
      </c>
      <c r="X90" s="31">
        <f>SUMIFS(METALFISA!$E:$E,METALFISA!$A:$A,'Faltantes Fevereiro- Metalfisa'!X$3,METALFISA!$B:$B,'Faltantes Fevereiro- Metalfisa'!$A90)</f>
        <v>0</v>
      </c>
      <c r="Y90" s="31">
        <f>SUMIFS(METALFISA!$E:$E,METALFISA!$A:$A,'Faltantes Fevereiro- Metalfisa'!Y$3,METALFISA!$B:$B,'Faltantes Fevereiro- Metalfisa'!$A90)</f>
        <v>0</v>
      </c>
      <c r="Z90" s="31">
        <f>SUMIFS(METALFISA!$E:$E,METALFISA!$A:$A,'Faltantes Fevereiro- Metalfisa'!Z$3,METALFISA!$B:$B,'Faltantes Fevereiro- Metalfisa'!$A90)</f>
        <v>0</v>
      </c>
      <c r="AA90" s="31">
        <f>SUMIFS(METALFISA!$E:$E,METALFISA!$A:$A,'Faltantes Fevereiro- Metalfisa'!AA$3,METALFISA!$B:$B,'Faltantes Fevereiro- Metalfisa'!$A90)</f>
        <v>0</v>
      </c>
      <c r="AB90" s="31">
        <f>SUMIFS(METALFISA!$E:$E,METALFISA!$A:$A,'Faltantes Fevereiro- Metalfisa'!AB$3,METALFISA!$B:$B,'Faltantes Fevereiro- Metalfisa'!$A90)</f>
        <v>0</v>
      </c>
      <c r="AC90" s="31">
        <f>SUMIFS(METALFISA!$E:$E,METALFISA!$A:$A,'Faltantes Fevereiro- Metalfisa'!AC$3,METALFISA!$B:$B,'Faltantes Fevereiro- Metalfisa'!$A90)</f>
        <v>0</v>
      </c>
      <c r="AD90" s="31">
        <f>SUMIFS(METALFISA!$E:$E,METALFISA!$A:$A,'Faltantes Fevereiro- Metalfisa'!AD$3,METALFISA!$B:$B,'Faltantes Fevereiro- Metalfisa'!$A90)</f>
        <v>0</v>
      </c>
      <c r="AE90" s="31">
        <f>SUMIFS(METALFISA!$E:$E,METALFISA!$A:$A,'Faltantes Fevereiro- Metalfisa'!AE$3,METALFISA!$B:$B,'Faltantes Fevereiro- Metalfisa'!$A90)</f>
        <v>0</v>
      </c>
      <c r="AF90" s="31">
        <f>SUMIFS(METALFISA!$E:$E,METALFISA!$A:$A,'Faltantes Fevereiro- Metalfisa'!AF$3,METALFISA!$B:$B,'Faltantes Fevereiro- Metalfisa'!$A90)</f>
        <v>0</v>
      </c>
      <c r="AG90" s="31">
        <f>SUMIFS(METALFISA!$E:$E,METALFISA!$A:$A,'Faltantes Fevereiro- Metalfisa'!AG$3,METALFISA!$B:$B,'Faltantes Fevereiro- Metalfisa'!$A90)</f>
        <v>2</v>
      </c>
      <c r="AH90" s="31">
        <f>SUMIFS(METALFISA!$E:$E,METALFISA!$A:$A,'Faltantes Fevereiro- Metalfisa'!AH$3,METALFISA!$B:$B,'Faltantes Fevereiro- Metalfisa'!$A90)</f>
        <v>0</v>
      </c>
      <c r="AI90" s="31">
        <f>SUMIFS(METALFISA!$E:$E,METALFISA!$A:$A,'Faltantes Fevereiro- Metalfisa'!AI$3,METALFISA!$B:$B,'Faltantes Fevereiro- Metalfisa'!$A90)</f>
        <v>0</v>
      </c>
      <c r="AJ90" s="31">
        <f>SUMIFS(METALFISA!$E:$E,METALFISA!$A:$A,'Faltantes Fevereiro- Metalfisa'!AJ$3,METALFISA!$B:$B,'Faltantes Fevereiro- Metalfisa'!$A90)</f>
        <v>0</v>
      </c>
      <c r="AK90" s="31">
        <f>SUMIFS(METALFISA!$E:$E,METALFISA!$A:$A,'Faltantes Fevereiro- Metalfisa'!AK$3,METALFISA!$B:$B,'Faltantes Fevereiro- Metalfisa'!$A90)</f>
        <v>0</v>
      </c>
      <c r="AL90" s="31">
        <f>SUMIFS(METALFISA!$E:$E,METALFISA!$A:$A,'Faltantes Fevereiro- Metalfisa'!AL$3,METALFISA!$B:$B,'Faltantes Fevereiro- Metalfisa'!$A90)</f>
        <v>0</v>
      </c>
      <c r="AM90" s="31">
        <f>SUMIFS(METALFISA!$E:$E,METALFISA!$A:$A,'Faltantes Fevereiro- Metalfisa'!AM$3,METALFISA!$B:$B,'Faltantes Fevereiro- Metalfisa'!$A90)</f>
        <v>0</v>
      </c>
      <c r="AN90" s="31">
        <f>SUMIFS(METALFISA!$E:$E,METALFISA!$A:$A,'Faltantes Fevereiro- Metalfisa'!AN$3,METALFISA!$B:$B,'Faltantes Fevereiro- Metalfisa'!$A90)</f>
        <v>0</v>
      </c>
      <c r="AO90" s="31">
        <f>SUMIFS(METALFISA!$E:$E,METALFISA!$A:$A,'Faltantes Fevereiro- Metalfisa'!AO$3,METALFISA!$B:$B,'Faltantes Fevereiro- Metalfisa'!$A90)</f>
        <v>0</v>
      </c>
      <c r="AP90" s="31">
        <f>SUMIFS(METALFISA!$E:$E,METALFISA!$A:$A,'Faltantes Fevereiro- Metalfisa'!AP$3,METALFISA!$B:$B,'Faltantes Fevereiro- Metalfisa'!$A90)</f>
        <v>0</v>
      </c>
      <c r="AQ90" s="31"/>
      <c r="AR90" s="31">
        <f>SUMIFS(METALFISA!$E:$E,METALFISA!$A:$A,'Faltantes Fevereiro- Metalfisa'!AR$3,METALFISA!$B:$B,'Faltantes Fevereiro- Metalfisa'!$A90)</f>
        <v>0</v>
      </c>
      <c r="AS90" s="35">
        <f>SUMIFS(METALFISA!$E:$E,METALFISA!$A:$A,'Faltantes Fevereiro- Metalfisa'!AS$3,METALFISA!$B:$B,'Faltantes Fevereiro- Metalfisa'!$A90)</f>
        <v>0</v>
      </c>
      <c r="AU90" s="18">
        <v>0</v>
      </c>
      <c r="AV90" s="18">
        <v>0</v>
      </c>
      <c r="AW90" s="18">
        <v>0</v>
      </c>
      <c r="AX90" s="18">
        <v>0</v>
      </c>
      <c r="AY90" s="41">
        <v>0</v>
      </c>
      <c r="AZ90" s="31">
        <v>0</v>
      </c>
      <c r="BA90" s="31">
        <v>0</v>
      </c>
      <c r="BB90" s="31">
        <v>0</v>
      </c>
      <c r="BC90" s="31">
        <v>0</v>
      </c>
      <c r="BD90" s="31">
        <v>0</v>
      </c>
      <c r="BE90" s="31">
        <v>0</v>
      </c>
      <c r="BF90" s="31">
        <v>0</v>
      </c>
      <c r="BG90" s="31">
        <v>0</v>
      </c>
      <c r="BH90" s="31">
        <v>0</v>
      </c>
      <c r="BI90" s="31">
        <v>0</v>
      </c>
      <c r="BJ90" s="31">
        <v>0</v>
      </c>
      <c r="BK90" s="31">
        <v>0</v>
      </c>
      <c r="BL90" s="31">
        <v>0</v>
      </c>
      <c r="BM90" s="31">
        <v>1</v>
      </c>
      <c r="BN90" s="31">
        <v>0</v>
      </c>
      <c r="BO90" s="31">
        <v>0</v>
      </c>
      <c r="BP90" s="31">
        <v>0</v>
      </c>
      <c r="BQ90" s="31">
        <v>0</v>
      </c>
      <c r="BR90" s="31">
        <v>0</v>
      </c>
      <c r="BS90" s="31">
        <v>0</v>
      </c>
      <c r="BT90" s="31">
        <v>0</v>
      </c>
      <c r="BU90" s="31">
        <v>0</v>
      </c>
      <c r="BV90" s="31">
        <v>0</v>
      </c>
      <c r="BW90" s="31">
        <v>0</v>
      </c>
      <c r="BX90" s="31">
        <v>0</v>
      </c>
      <c r="BY90" s="31">
        <v>0</v>
      </c>
      <c r="BZ90" s="31">
        <v>0</v>
      </c>
      <c r="CA90" s="31">
        <v>0</v>
      </c>
      <c r="CB90" s="31">
        <v>0</v>
      </c>
      <c r="CC90" s="31">
        <v>0</v>
      </c>
      <c r="CD90" s="31">
        <v>0</v>
      </c>
      <c r="CE90" s="31">
        <v>0</v>
      </c>
      <c r="CF90" s="31">
        <v>0</v>
      </c>
      <c r="CG90" s="31">
        <v>0</v>
      </c>
      <c r="CH90" s="31">
        <v>0</v>
      </c>
      <c r="CI90" s="31">
        <v>0</v>
      </c>
      <c r="CJ90" s="31">
        <v>0</v>
      </c>
      <c r="CK90" s="31">
        <v>0</v>
      </c>
      <c r="CL90" s="35">
        <v>0</v>
      </c>
    </row>
    <row r="91" spans="1:90" x14ac:dyDescent="0.15">
      <c r="A91" s="27" t="s">
        <v>621</v>
      </c>
      <c r="B91" s="28" t="s">
        <v>622</v>
      </c>
      <c r="C91" s="28">
        <v>0</v>
      </c>
      <c r="D91" s="28">
        <v>0</v>
      </c>
      <c r="E91" s="28">
        <v>0</v>
      </c>
      <c r="F91" s="28">
        <v>0</v>
      </c>
      <c r="G91" s="28">
        <v>1</v>
      </c>
      <c r="H91" s="28">
        <f>IFERROR(VLOOKUP(A91,[1]FALTANTES!$A:$AB,28,FALSE),"-")</f>
        <v>0</v>
      </c>
      <c r="I91" s="42">
        <f>IFERROR(VLOOKUP(A91,[1]FALTANTES!$A:$AC,29,FALSE),"-")</f>
        <v>0</v>
      </c>
      <c r="J91" s="29">
        <f>IFERROR(VLOOKUP(A91,[1]FALTANTES!$A:$AD,30,FALSE),"-")</f>
        <v>-1</v>
      </c>
      <c r="K91" s="30">
        <v>0</v>
      </c>
      <c r="L91" s="30">
        <f t="shared" si="1"/>
        <v>2</v>
      </c>
      <c r="M91" s="31">
        <f>SUMIFS(METALFISA!$E:$E,METALFISA!$A:$A,'Faltantes Fevereiro- Metalfisa'!M$3,METALFISA!$B:$B,'Faltantes Fevereiro- Metalfisa'!$A91)</f>
        <v>0</v>
      </c>
      <c r="N91" s="31">
        <f>SUMIFS(METALFISA!$E:$E,METALFISA!$A:$A,'Faltantes Fevereiro- Metalfisa'!N$3,METALFISA!$B:$B,'Faltantes Fevereiro- Metalfisa'!$A91)</f>
        <v>0</v>
      </c>
      <c r="O91" s="31">
        <f>SUMIFS(METALFISA!$E:$E,METALFISA!$A:$A,'Faltantes Fevereiro- Metalfisa'!O$3,METALFISA!$B:$B,'Faltantes Fevereiro- Metalfisa'!$A91)</f>
        <v>0</v>
      </c>
      <c r="P91" s="31">
        <f>SUMIFS(METALFISA!$E:$E,METALFISA!$A:$A,'Faltantes Fevereiro- Metalfisa'!P$3,METALFISA!$B:$B,'Faltantes Fevereiro- Metalfisa'!$A91)</f>
        <v>0</v>
      </c>
      <c r="Q91" s="31">
        <f>SUMIFS(METALFISA!$E:$E,METALFISA!$A:$A,'Faltantes Fevereiro- Metalfisa'!Q$3,METALFISA!$B:$B,'Faltantes Fevereiro- Metalfisa'!$A91)</f>
        <v>0</v>
      </c>
      <c r="R91" s="31">
        <f>SUMIFS(METALFISA!$E:$E,METALFISA!$A:$A,'Faltantes Fevereiro- Metalfisa'!R$3,METALFISA!$B:$B,'Faltantes Fevereiro- Metalfisa'!$A91)</f>
        <v>0</v>
      </c>
      <c r="S91" s="31">
        <f>SUMIFS(METALFISA!$E:$E,METALFISA!$A:$A,'Faltantes Fevereiro- Metalfisa'!S$3,METALFISA!$B:$B,'Faltantes Fevereiro- Metalfisa'!$A91)</f>
        <v>0</v>
      </c>
      <c r="T91" s="31">
        <f>SUMIFS(METALFISA!$E:$E,METALFISA!$A:$A,'Faltantes Fevereiro- Metalfisa'!T$3,METALFISA!$B:$B,'Faltantes Fevereiro- Metalfisa'!$A91)</f>
        <v>0</v>
      </c>
      <c r="U91" s="31">
        <f>SUMIFS(METALFISA!$E:$E,METALFISA!$A:$A,'Faltantes Fevereiro- Metalfisa'!U$3,METALFISA!$B:$B,'Faltantes Fevereiro- Metalfisa'!$A91)</f>
        <v>0</v>
      </c>
      <c r="V91" s="31">
        <f>SUMIFS(METALFISA!$E:$E,METALFISA!$A:$A,'Faltantes Fevereiro- Metalfisa'!V$3,METALFISA!$B:$B,'Faltantes Fevereiro- Metalfisa'!$A91)</f>
        <v>0</v>
      </c>
      <c r="W91" s="31">
        <f>SUMIFS(METALFISA!$E:$E,METALFISA!$A:$A,'Faltantes Fevereiro- Metalfisa'!W$3,METALFISA!$B:$B,'Faltantes Fevereiro- Metalfisa'!$A91)</f>
        <v>0</v>
      </c>
      <c r="X91" s="31">
        <f>SUMIFS(METALFISA!$E:$E,METALFISA!$A:$A,'Faltantes Fevereiro- Metalfisa'!X$3,METALFISA!$B:$B,'Faltantes Fevereiro- Metalfisa'!$A91)</f>
        <v>0</v>
      </c>
      <c r="Y91" s="31">
        <f>SUMIFS(METALFISA!$E:$E,METALFISA!$A:$A,'Faltantes Fevereiro- Metalfisa'!Y$3,METALFISA!$B:$B,'Faltantes Fevereiro- Metalfisa'!$A91)</f>
        <v>0</v>
      </c>
      <c r="Z91" s="31">
        <f>SUMIFS(METALFISA!$E:$E,METALFISA!$A:$A,'Faltantes Fevereiro- Metalfisa'!Z$3,METALFISA!$B:$B,'Faltantes Fevereiro- Metalfisa'!$A91)</f>
        <v>0</v>
      </c>
      <c r="AA91" s="31">
        <f>SUMIFS(METALFISA!$E:$E,METALFISA!$A:$A,'Faltantes Fevereiro- Metalfisa'!AA$3,METALFISA!$B:$B,'Faltantes Fevereiro- Metalfisa'!$A91)</f>
        <v>0</v>
      </c>
      <c r="AB91" s="31">
        <f>SUMIFS(METALFISA!$E:$E,METALFISA!$A:$A,'Faltantes Fevereiro- Metalfisa'!AB$3,METALFISA!$B:$B,'Faltantes Fevereiro- Metalfisa'!$A91)</f>
        <v>0</v>
      </c>
      <c r="AC91" s="31">
        <f>SUMIFS(METALFISA!$E:$E,METALFISA!$A:$A,'Faltantes Fevereiro- Metalfisa'!AC$3,METALFISA!$B:$B,'Faltantes Fevereiro- Metalfisa'!$A91)</f>
        <v>0</v>
      </c>
      <c r="AD91" s="31">
        <f>SUMIFS(METALFISA!$E:$E,METALFISA!$A:$A,'Faltantes Fevereiro- Metalfisa'!AD$3,METALFISA!$B:$B,'Faltantes Fevereiro- Metalfisa'!$A91)</f>
        <v>0</v>
      </c>
      <c r="AE91" s="31">
        <f>SUMIFS(METALFISA!$E:$E,METALFISA!$A:$A,'Faltantes Fevereiro- Metalfisa'!AE$3,METALFISA!$B:$B,'Faltantes Fevereiro- Metalfisa'!$A91)</f>
        <v>0</v>
      </c>
      <c r="AF91" s="31">
        <f>SUMIFS(METALFISA!$E:$E,METALFISA!$A:$A,'Faltantes Fevereiro- Metalfisa'!AF$3,METALFISA!$B:$B,'Faltantes Fevereiro- Metalfisa'!$A91)</f>
        <v>0</v>
      </c>
      <c r="AG91" s="31">
        <f>SUMIFS(METALFISA!$E:$E,METALFISA!$A:$A,'Faltantes Fevereiro- Metalfisa'!AG$3,METALFISA!$B:$B,'Faltantes Fevereiro- Metalfisa'!$A91)</f>
        <v>2</v>
      </c>
      <c r="AH91" s="31">
        <f>SUMIFS(METALFISA!$E:$E,METALFISA!$A:$A,'Faltantes Fevereiro- Metalfisa'!AH$3,METALFISA!$B:$B,'Faltantes Fevereiro- Metalfisa'!$A91)</f>
        <v>0</v>
      </c>
      <c r="AI91" s="31">
        <f>SUMIFS(METALFISA!$E:$E,METALFISA!$A:$A,'Faltantes Fevereiro- Metalfisa'!AI$3,METALFISA!$B:$B,'Faltantes Fevereiro- Metalfisa'!$A91)</f>
        <v>0</v>
      </c>
      <c r="AJ91" s="31">
        <f>SUMIFS(METALFISA!$E:$E,METALFISA!$A:$A,'Faltantes Fevereiro- Metalfisa'!AJ$3,METALFISA!$B:$B,'Faltantes Fevereiro- Metalfisa'!$A91)</f>
        <v>0</v>
      </c>
      <c r="AK91" s="31">
        <f>SUMIFS(METALFISA!$E:$E,METALFISA!$A:$A,'Faltantes Fevereiro- Metalfisa'!AK$3,METALFISA!$B:$B,'Faltantes Fevereiro- Metalfisa'!$A91)</f>
        <v>0</v>
      </c>
      <c r="AL91" s="31">
        <f>SUMIFS(METALFISA!$E:$E,METALFISA!$A:$A,'Faltantes Fevereiro- Metalfisa'!AL$3,METALFISA!$B:$B,'Faltantes Fevereiro- Metalfisa'!$A91)</f>
        <v>0</v>
      </c>
      <c r="AM91" s="31">
        <f>SUMIFS(METALFISA!$E:$E,METALFISA!$A:$A,'Faltantes Fevereiro- Metalfisa'!AM$3,METALFISA!$B:$B,'Faltantes Fevereiro- Metalfisa'!$A91)</f>
        <v>0</v>
      </c>
      <c r="AN91" s="31">
        <f>SUMIFS(METALFISA!$E:$E,METALFISA!$A:$A,'Faltantes Fevereiro- Metalfisa'!AN$3,METALFISA!$B:$B,'Faltantes Fevereiro- Metalfisa'!$A91)</f>
        <v>0</v>
      </c>
      <c r="AO91" s="31">
        <f>SUMIFS(METALFISA!$E:$E,METALFISA!$A:$A,'Faltantes Fevereiro- Metalfisa'!AO$3,METALFISA!$B:$B,'Faltantes Fevereiro- Metalfisa'!$A91)</f>
        <v>0</v>
      </c>
      <c r="AP91" s="31">
        <f>SUMIFS(METALFISA!$E:$E,METALFISA!$A:$A,'Faltantes Fevereiro- Metalfisa'!AP$3,METALFISA!$B:$B,'Faltantes Fevereiro- Metalfisa'!$A91)</f>
        <v>0</v>
      </c>
      <c r="AQ91" s="31"/>
      <c r="AR91" s="31">
        <f>SUMIFS(METALFISA!$E:$E,METALFISA!$A:$A,'Faltantes Fevereiro- Metalfisa'!AR$3,METALFISA!$B:$B,'Faltantes Fevereiro- Metalfisa'!$A91)</f>
        <v>0</v>
      </c>
      <c r="AS91" s="35">
        <f>SUMIFS(METALFISA!$E:$E,METALFISA!$A:$A,'Faltantes Fevereiro- Metalfisa'!AS$3,METALFISA!$B:$B,'Faltantes Fevereiro- Metalfisa'!$A91)</f>
        <v>0</v>
      </c>
      <c r="AU91" s="18">
        <v>0</v>
      </c>
      <c r="AV91" s="18">
        <v>0</v>
      </c>
      <c r="AW91" s="18">
        <v>0</v>
      </c>
      <c r="AX91" s="18">
        <v>0</v>
      </c>
      <c r="AY91" s="41">
        <v>0</v>
      </c>
      <c r="AZ91" s="31">
        <v>0</v>
      </c>
      <c r="BA91" s="31">
        <v>0</v>
      </c>
      <c r="BB91" s="31">
        <v>0</v>
      </c>
      <c r="BC91" s="31">
        <v>0</v>
      </c>
      <c r="BD91" s="31">
        <v>0</v>
      </c>
      <c r="BE91" s="31">
        <v>0</v>
      </c>
      <c r="BF91" s="31">
        <v>0</v>
      </c>
      <c r="BG91" s="31">
        <v>0</v>
      </c>
      <c r="BH91" s="31">
        <v>0</v>
      </c>
      <c r="BI91" s="31">
        <v>0</v>
      </c>
      <c r="BJ91" s="31">
        <v>0</v>
      </c>
      <c r="BK91" s="31">
        <v>0</v>
      </c>
      <c r="BL91" s="31">
        <v>0</v>
      </c>
      <c r="BM91" s="31">
        <v>1</v>
      </c>
      <c r="BN91" s="31">
        <v>0</v>
      </c>
      <c r="BO91" s="31">
        <v>0</v>
      </c>
      <c r="BP91" s="31">
        <v>0</v>
      </c>
      <c r="BQ91" s="31">
        <v>0</v>
      </c>
      <c r="BR91" s="31">
        <v>0</v>
      </c>
      <c r="BS91" s="31">
        <v>0</v>
      </c>
      <c r="BT91" s="31">
        <v>0</v>
      </c>
      <c r="BU91" s="31">
        <v>0</v>
      </c>
      <c r="BV91" s="31">
        <v>0</v>
      </c>
      <c r="BW91" s="31">
        <v>0</v>
      </c>
      <c r="BX91" s="31">
        <v>0</v>
      </c>
      <c r="BY91" s="31">
        <v>0</v>
      </c>
      <c r="BZ91" s="31">
        <v>0</v>
      </c>
      <c r="CA91" s="31">
        <v>0</v>
      </c>
      <c r="CB91" s="31">
        <v>0</v>
      </c>
      <c r="CC91" s="31">
        <v>0</v>
      </c>
      <c r="CD91" s="31">
        <v>0</v>
      </c>
      <c r="CE91" s="31">
        <v>0</v>
      </c>
      <c r="CF91" s="31">
        <v>0</v>
      </c>
      <c r="CG91" s="31">
        <v>0</v>
      </c>
      <c r="CH91" s="31">
        <v>0</v>
      </c>
      <c r="CI91" s="31">
        <v>0</v>
      </c>
      <c r="CJ91" s="31">
        <v>0</v>
      </c>
      <c r="CK91" s="31">
        <v>0</v>
      </c>
      <c r="CL91" s="35">
        <v>0</v>
      </c>
    </row>
    <row r="92" spans="1:90" ht="21" x14ac:dyDescent="0.15">
      <c r="A92" s="27" t="s">
        <v>220</v>
      </c>
      <c r="B92" s="28" t="s">
        <v>221</v>
      </c>
      <c r="C92" s="28">
        <v>0</v>
      </c>
      <c r="D92" s="28">
        <v>0</v>
      </c>
      <c r="E92" s="28">
        <v>0</v>
      </c>
      <c r="F92" s="28">
        <v>0</v>
      </c>
      <c r="G92" s="28">
        <v>3</v>
      </c>
      <c r="H92" s="28">
        <f>IFERROR(VLOOKUP(A92,[1]FALTANTES!$A:$AB,28,FALSE),"-")</f>
        <v>0</v>
      </c>
      <c r="I92" s="42">
        <f>IFERROR(VLOOKUP(A92,[1]FALTANTES!$A:$AC,29,FALSE),"-")</f>
        <v>0</v>
      </c>
      <c r="J92" s="29">
        <f>IFERROR(VLOOKUP(A92,[1]FALTANTES!$A:$AD,30,FALSE),"-")</f>
        <v>-3</v>
      </c>
      <c r="K92" s="30">
        <v>0</v>
      </c>
      <c r="L92" s="30">
        <f t="shared" si="1"/>
        <v>2</v>
      </c>
      <c r="M92" s="31">
        <f>SUMIFS(METALFISA!$E:$E,METALFISA!$A:$A,'Faltantes Fevereiro- Metalfisa'!M$3,METALFISA!$B:$B,'Faltantes Fevereiro- Metalfisa'!$A92)</f>
        <v>0</v>
      </c>
      <c r="N92" s="31">
        <f>SUMIFS(METALFISA!$E:$E,METALFISA!$A:$A,'Faltantes Fevereiro- Metalfisa'!N$3,METALFISA!$B:$B,'Faltantes Fevereiro- Metalfisa'!$A92)</f>
        <v>0</v>
      </c>
      <c r="O92" s="31">
        <f>SUMIFS(METALFISA!$E:$E,METALFISA!$A:$A,'Faltantes Fevereiro- Metalfisa'!O$3,METALFISA!$B:$B,'Faltantes Fevereiro- Metalfisa'!$A92)</f>
        <v>0</v>
      </c>
      <c r="P92" s="31">
        <f>SUMIFS(METALFISA!$E:$E,METALFISA!$A:$A,'Faltantes Fevereiro- Metalfisa'!P$3,METALFISA!$B:$B,'Faltantes Fevereiro- Metalfisa'!$A92)</f>
        <v>0</v>
      </c>
      <c r="Q92" s="31">
        <f>SUMIFS(METALFISA!$E:$E,METALFISA!$A:$A,'Faltantes Fevereiro- Metalfisa'!Q$3,METALFISA!$B:$B,'Faltantes Fevereiro- Metalfisa'!$A92)</f>
        <v>0</v>
      </c>
      <c r="R92" s="31">
        <f>SUMIFS(METALFISA!$E:$E,METALFISA!$A:$A,'Faltantes Fevereiro- Metalfisa'!R$3,METALFISA!$B:$B,'Faltantes Fevereiro- Metalfisa'!$A92)</f>
        <v>0</v>
      </c>
      <c r="S92" s="31">
        <f>SUMIFS(METALFISA!$E:$E,METALFISA!$A:$A,'Faltantes Fevereiro- Metalfisa'!S$3,METALFISA!$B:$B,'Faltantes Fevereiro- Metalfisa'!$A92)</f>
        <v>0</v>
      </c>
      <c r="T92" s="31">
        <f>SUMIFS(METALFISA!$E:$E,METALFISA!$A:$A,'Faltantes Fevereiro- Metalfisa'!T$3,METALFISA!$B:$B,'Faltantes Fevereiro- Metalfisa'!$A92)</f>
        <v>0</v>
      </c>
      <c r="U92" s="31">
        <f>SUMIFS(METALFISA!$E:$E,METALFISA!$A:$A,'Faltantes Fevereiro- Metalfisa'!U$3,METALFISA!$B:$B,'Faltantes Fevereiro- Metalfisa'!$A92)</f>
        <v>0</v>
      </c>
      <c r="V92" s="31">
        <f>SUMIFS(METALFISA!$E:$E,METALFISA!$A:$A,'Faltantes Fevereiro- Metalfisa'!V$3,METALFISA!$B:$B,'Faltantes Fevereiro- Metalfisa'!$A92)</f>
        <v>0</v>
      </c>
      <c r="W92" s="31">
        <f>SUMIFS(METALFISA!$E:$E,METALFISA!$A:$A,'Faltantes Fevereiro- Metalfisa'!W$3,METALFISA!$B:$B,'Faltantes Fevereiro- Metalfisa'!$A92)</f>
        <v>0</v>
      </c>
      <c r="X92" s="31">
        <f>SUMIFS(METALFISA!$E:$E,METALFISA!$A:$A,'Faltantes Fevereiro- Metalfisa'!X$3,METALFISA!$B:$B,'Faltantes Fevereiro- Metalfisa'!$A92)</f>
        <v>0</v>
      </c>
      <c r="Y92" s="31">
        <f>SUMIFS(METALFISA!$E:$E,METALFISA!$A:$A,'Faltantes Fevereiro- Metalfisa'!Y$3,METALFISA!$B:$B,'Faltantes Fevereiro- Metalfisa'!$A92)</f>
        <v>0</v>
      </c>
      <c r="Z92" s="31">
        <f>SUMIFS(METALFISA!$E:$E,METALFISA!$A:$A,'Faltantes Fevereiro- Metalfisa'!Z$3,METALFISA!$B:$B,'Faltantes Fevereiro- Metalfisa'!$A92)</f>
        <v>0</v>
      </c>
      <c r="AA92" s="31">
        <f>SUMIFS(METALFISA!$E:$E,METALFISA!$A:$A,'Faltantes Fevereiro- Metalfisa'!AA$3,METALFISA!$B:$B,'Faltantes Fevereiro- Metalfisa'!$A92)</f>
        <v>0</v>
      </c>
      <c r="AB92" s="31">
        <f>SUMIFS(METALFISA!$E:$E,METALFISA!$A:$A,'Faltantes Fevereiro- Metalfisa'!AB$3,METALFISA!$B:$B,'Faltantes Fevereiro- Metalfisa'!$A92)</f>
        <v>0</v>
      </c>
      <c r="AC92" s="31">
        <f>SUMIFS(METALFISA!$E:$E,METALFISA!$A:$A,'Faltantes Fevereiro- Metalfisa'!AC$3,METALFISA!$B:$B,'Faltantes Fevereiro- Metalfisa'!$A92)</f>
        <v>0</v>
      </c>
      <c r="AD92" s="31">
        <f>SUMIFS(METALFISA!$E:$E,METALFISA!$A:$A,'Faltantes Fevereiro- Metalfisa'!AD$3,METALFISA!$B:$B,'Faltantes Fevereiro- Metalfisa'!$A92)</f>
        <v>0</v>
      </c>
      <c r="AE92" s="31">
        <f>SUMIFS(METALFISA!$E:$E,METALFISA!$A:$A,'Faltantes Fevereiro- Metalfisa'!AE$3,METALFISA!$B:$B,'Faltantes Fevereiro- Metalfisa'!$A92)</f>
        <v>0</v>
      </c>
      <c r="AF92" s="31">
        <f>SUMIFS(METALFISA!$E:$E,METALFISA!$A:$A,'Faltantes Fevereiro- Metalfisa'!AF$3,METALFISA!$B:$B,'Faltantes Fevereiro- Metalfisa'!$A92)</f>
        <v>0</v>
      </c>
      <c r="AG92" s="31">
        <f>SUMIFS(METALFISA!$E:$E,METALFISA!$A:$A,'Faltantes Fevereiro- Metalfisa'!AG$3,METALFISA!$B:$B,'Faltantes Fevereiro- Metalfisa'!$A92)</f>
        <v>2</v>
      </c>
      <c r="AH92" s="31">
        <f>SUMIFS(METALFISA!$E:$E,METALFISA!$A:$A,'Faltantes Fevereiro- Metalfisa'!AH$3,METALFISA!$B:$B,'Faltantes Fevereiro- Metalfisa'!$A92)</f>
        <v>0</v>
      </c>
      <c r="AI92" s="31">
        <f>SUMIFS(METALFISA!$E:$E,METALFISA!$A:$A,'Faltantes Fevereiro- Metalfisa'!AI$3,METALFISA!$B:$B,'Faltantes Fevereiro- Metalfisa'!$A92)</f>
        <v>0</v>
      </c>
      <c r="AJ92" s="31">
        <f>SUMIFS(METALFISA!$E:$E,METALFISA!$A:$A,'Faltantes Fevereiro- Metalfisa'!AJ$3,METALFISA!$B:$B,'Faltantes Fevereiro- Metalfisa'!$A92)</f>
        <v>0</v>
      </c>
      <c r="AK92" s="31">
        <f>SUMIFS(METALFISA!$E:$E,METALFISA!$A:$A,'Faltantes Fevereiro- Metalfisa'!AK$3,METALFISA!$B:$B,'Faltantes Fevereiro- Metalfisa'!$A92)</f>
        <v>0</v>
      </c>
      <c r="AL92" s="31">
        <f>SUMIFS(METALFISA!$E:$E,METALFISA!$A:$A,'Faltantes Fevereiro- Metalfisa'!AL$3,METALFISA!$B:$B,'Faltantes Fevereiro- Metalfisa'!$A92)</f>
        <v>0</v>
      </c>
      <c r="AM92" s="31">
        <f>SUMIFS(METALFISA!$E:$E,METALFISA!$A:$A,'Faltantes Fevereiro- Metalfisa'!AM$3,METALFISA!$B:$B,'Faltantes Fevereiro- Metalfisa'!$A92)</f>
        <v>0</v>
      </c>
      <c r="AN92" s="31">
        <f>SUMIFS(METALFISA!$E:$E,METALFISA!$A:$A,'Faltantes Fevereiro- Metalfisa'!AN$3,METALFISA!$B:$B,'Faltantes Fevereiro- Metalfisa'!$A92)</f>
        <v>0</v>
      </c>
      <c r="AO92" s="31">
        <f>SUMIFS(METALFISA!$E:$E,METALFISA!$A:$A,'Faltantes Fevereiro- Metalfisa'!AO$3,METALFISA!$B:$B,'Faltantes Fevereiro- Metalfisa'!$A92)</f>
        <v>0</v>
      </c>
      <c r="AP92" s="31">
        <f>SUMIFS(METALFISA!$E:$E,METALFISA!$A:$A,'Faltantes Fevereiro- Metalfisa'!AP$3,METALFISA!$B:$B,'Faltantes Fevereiro- Metalfisa'!$A92)</f>
        <v>0</v>
      </c>
      <c r="AQ92" s="31"/>
      <c r="AR92" s="31">
        <f>SUMIFS(METALFISA!$E:$E,METALFISA!$A:$A,'Faltantes Fevereiro- Metalfisa'!AR$3,METALFISA!$B:$B,'Faltantes Fevereiro- Metalfisa'!$A92)</f>
        <v>0</v>
      </c>
      <c r="AS92" s="35">
        <f>SUMIFS(METALFISA!$E:$E,METALFISA!$A:$A,'Faltantes Fevereiro- Metalfisa'!AS$3,METALFISA!$B:$B,'Faltantes Fevereiro- Metalfisa'!$A92)</f>
        <v>0</v>
      </c>
      <c r="AU92" s="18">
        <v>0</v>
      </c>
      <c r="AV92" s="18">
        <v>0</v>
      </c>
      <c r="AW92" s="18">
        <v>0</v>
      </c>
      <c r="AX92" s="18">
        <v>0</v>
      </c>
      <c r="AY92" s="41">
        <v>0</v>
      </c>
      <c r="AZ92" s="31">
        <v>0</v>
      </c>
      <c r="BA92" s="31">
        <v>0</v>
      </c>
      <c r="BB92" s="31">
        <v>0</v>
      </c>
      <c r="BC92" s="31">
        <v>0</v>
      </c>
      <c r="BD92" s="31">
        <v>0</v>
      </c>
      <c r="BE92" s="31">
        <v>0</v>
      </c>
      <c r="BF92" s="31">
        <v>0</v>
      </c>
      <c r="BG92" s="31">
        <v>0</v>
      </c>
      <c r="BH92" s="31">
        <v>0</v>
      </c>
      <c r="BI92" s="31">
        <v>0</v>
      </c>
      <c r="BJ92" s="31">
        <v>0</v>
      </c>
      <c r="BK92" s="31">
        <v>0</v>
      </c>
      <c r="BL92" s="31">
        <v>0</v>
      </c>
      <c r="BM92" s="31">
        <v>1</v>
      </c>
      <c r="BN92" s="31">
        <v>0</v>
      </c>
      <c r="BO92" s="31">
        <v>0</v>
      </c>
      <c r="BP92" s="31">
        <v>0</v>
      </c>
      <c r="BQ92" s="31">
        <v>0</v>
      </c>
      <c r="BR92" s="31">
        <v>0</v>
      </c>
      <c r="BS92" s="31">
        <v>0</v>
      </c>
      <c r="BT92" s="31">
        <v>0</v>
      </c>
      <c r="BU92" s="31">
        <v>0</v>
      </c>
      <c r="BV92" s="31">
        <v>0</v>
      </c>
      <c r="BW92" s="31">
        <v>0</v>
      </c>
      <c r="BX92" s="31">
        <v>0</v>
      </c>
      <c r="BY92" s="31">
        <v>0</v>
      </c>
      <c r="BZ92" s="31">
        <v>0</v>
      </c>
      <c r="CA92" s="31">
        <v>0</v>
      </c>
      <c r="CB92" s="31">
        <v>0</v>
      </c>
      <c r="CC92" s="31">
        <v>0</v>
      </c>
      <c r="CD92" s="31">
        <v>0</v>
      </c>
      <c r="CE92" s="31">
        <v>0</v>
      </c>
      <c r="CF92" s="31">
        <v>0</v>
      </c>
      <c r="CG92" s="31">
        <v>0</v>
      </c>
      <c r="CH92" s="31">
        <v>0</v>
      </c>
      <c r="CI92" s="31">
        <v>0</v>
      </c>
      <c r="CJ92" s="31">
        <v>0</v>
      </c>
      <c r="CK92" s="31">
        <v>0</v>
      </c>
      <c r="CL92" s="35">
        <v>0</v>
      </c>
    </row>
    <row r="93" spans="1:90" x14ac:dyDescent="0.15">
      <c r="A93" s="27" t="s">
        <v>222</v>
      </c>
      <c r="B93" s="28" t="s">
        <v>223</v>
      </c>
      <c r="C93" s="28">
        <v>0</v>
      </c>
      <c r="D93" s="28">
        <v>0</v>
      </c>
      <c r="E93" s="28">
        <v>0</v>
      </c>
      <c r="F93" s="28">
        <v>0</v>
      </c>
      <c r="G93" s="28">
        <v>4</v>
      </c>
      <c r="H93" s="28">
        <f>IFERROR(VLOOKUP(A93,[1]FALTANTES!$A:$AB,28,FALSE),"-")</f>
        <v>0</v>
      </c>
      <c r="I93" s="42">
        <f>IFERROR(VLOOKUP(A93,[1]FALTANTES!$A:$AC,29,FALSE),"-")</f>
        <v>0</v>
      </c>
      <c r="J93" s="29">
        <f>IFERROR(VLOOKUP(A93,[1]FALTANTES!$A:$AD,30,FALSE),"-")</f>
        <v>-4</v>
      </c>
      <c r="K93" s="30">
        <v>0</v>
      </c>
      <c r="L93" s="30">
        <f t="shared" si="1"/>
        <v>4</v>
      </c>
      <c r="M93" s="31">
        <f>SUMIFS(METALFISA!$E:$E,METALFISA!$A:$A,'Faltantes Fevereiro- Metalfisa'!M$3,METALFISA!$B:$B,'Faltantes Fevereiro- Metalfisa'!$A93)</f>
        <v>0</v>
      </c>
      <c r="N93" s="31">
        <f>SUMIFS(METALFISA!$E:$E,METALFISA!$A:$A,'Faltantes Fevereiro- Metalfisa'!N$3,METALFISA!$B:$B,'Faltantes Fevereiro- Metalfisa'!$A93)</f>
        <v>0</v>
      </c>
      <c r="O93" s="31">
        <f>SUMIFS(METALFISA!$E:$E,METALFISA!$A:$A,'Faltantes Fevereiro- Metalfisa'!O$3,METALFISA!$B:$B,'Faltantes Fevereiro- Metalfisa'!$A93)</f>
        <v>0</v>
      </c>
      <c r="P93" s="31">
        <f>SUMIFS(METALFISA!$E:$E,METALFISA!$A:$A,'Faltantes Fevereiro- Metalfisa'!P$3,METALFISA!$B:$B,'Faltantes Fevereiro- Metalfisa'!$A93)</f>
        <v>0</v>
      </c>
      <c r="Q93" s="31">
        <f>SUMIFS(METALFISA!$E:$E,METALFISA!$A:$A,'Faltantes Fevereiro- Metalfisa'!Q$3,METALFISA!$B:$B,'Faltantes Fevereiro- Metalfisa'!$A93)</f>
        <v>0</v>
      </c>
      <c r="R93" s="31">
        <f>SUMIFS(METALFISA!$E:$E,METALFISA!$A:$A,'Faltantes Fevereiro- Metalfisa'!R$3,METALFISA!$B:$B,'Faltantes Fevereiro- Metalfisa'!$A93)</f>
        <v>0</v>
      </c>
      <c r="S93" s="31">
        <f>SUMIFS(METALFISA!$E:$E,METALFISA!$A:$A,'Faltantes Fevereiro- Metalfisa'!S$3,METALFISA!$B:$B,'Faltantes Fevereiro- Metalfisa'!$A93)</f>
        <v>0</v>
      </c>
      <c r="T93" s="31">
        <f>SUMIFS(METALFISA!$E:$E,METALFISA!$A:$A,'Faltantes Fevereiro- Metalfisa'!T$3,METALFISA!$B:$B,'Faltantes Fevereiro- Metalfisa'!$A93)</f>
        <v>0</v>
      </c>
      <c r="U93" s="31">
        <f>SUMIFS(METALFISA!$E:$E,METALFISA!$A:$A,'Faltantes Fevereiro- Metalfisa'!U$3,METALFISA!$B:$B,'Faltantes Fevereiro- Metalfisa'!$A93)</f>
        <v>0</v>
      </c>
      <c r="V93" s="31">
        <f>SUMIFS(METALFISA!$E:$E,METALFISA!$A:$A,'Faltantes Fevereiro- Metalfisa'!V$3,METALFISA!$B:$B,'Faltantes Fevereiro- Metalfisa'!$A93)</f>
        <v>0</v>
      </c>
      <c r="W93" s="31">
        <f>SUMIFS(METALFISA!$E:$E,METALFISA!$A:$A,'Faltantes Fevereiro- Metalfisa'!W$3,METALFISA!$B:$B,'Faltantes Fevereiro- Metalfisa'!$A93)</f>
        <v>0</v>
      </c>
      <c r="X93" s="31">
        <f>SUMIFS(METALFISA!$E:$E,METALFISA!$A:$A,'Faltantes Fevereiro- Metalfisa'!X$3,METALFISA!$B:$B,'Faltantes Fevereiro- Metalfisa'!$A93)</f>
        <v>0</v>
      </c>
      <c r="Y93" s="31">
        <f>SUMIFS(METALFISA!$E:$E,METALFISA!$A:$A,'Faltantes Fevereiro- Metalfisa'!Y$3,METALFISA!$B:$B,'Faltantes Fevereiro- Metalfisa'!$A93)</f>
        <v>0</v>
      </c>
      <c r="Z93" s="31">
        <f>SUMIFS(METALFISA!$E:$E,METALFISA!$A:$A,'Faltantes Fevereiro- Metalfisa'!Z$3,METALFISA!$B:$B,'Faltantes Fevereiro- Metalfisa'!$A93)</f>
        <v>0</v>
      </c>
      <c r="AA93" s="31">
        <f>SUMIFS(METALFISA!$E:$E,METALFISA!$A:$A,'Faltantes Fevereiro- Metalfisa'!AA$3,METALFISA!$B:$B,'Faltantes Fevereiro- Metalfisa'!$A93)</f>
        <v>0</v>
      </c>
      <c r="AB93" s="31">
        <f>SUMIFS(METALFISA!$E:$E,METALFISA!$A:$A,'Faltantes Fevereiro- Metalfisa'!AB$3,METALFISA!$B:$B,'Faltantes Fevereiro- Metalfisa'!$A93)</f>
        <v>0</v>
      </c>
      <c r="AC93" s="31">
        <f>SUMIFS(METALFISA!$E:$E,METALFISA!$A:$A,'Faltantes Fevereiro- Metalfisa'!AC$3,METALFISA!$B:$B,'Faltantes Fevereiro- Metalfisa'!$A93)</f>
        <v>0</v>
      </c>
      <c r="AD93" s="31">
        <f>SUMIFS(METALFISA!$E:$E,METALFISA!$A:$A,'Faltantes Fevereiro- Metalfisa'!AD$3,METALFISA!$B:$B,'Faltantes Fevereiro- Metalfisa'!$A93)</f>
        <v>0</v>
      </c>
      <c r="AE93" s="31">
        <f>SUMIFS(METALFISA!$E:$E,METALFISA!$A:$A,'Faltantes Fevereiro- Metalfisa'!AE$3,METALFISA!$B:$B,'Faltantes Fevereiro- Metalfisa'!$A93)</f>
        <v>0</v>
      </c>
      <c r="AF93" s="31">
        <f>SUMIFS(METALFISA!$E:$E,METALFISA!$A:$A,'Faltantes Fevereiro- Metalfisa'!AF$3,METALFISA!$B:$B,'Faltantes Fevereiro- Metalfisa'!$A93)</f>
        <v>0</v>
      </c>
      <c r="AG93" s="31">
        <f>SUMIFS(METALFISA!$E:$E,METALFISA!$A:$A,'Faltantes Fevereiro- Metalfisa'!AG$3,METALFISA!$B:$B,'Faltantes Fevereiro- Metalfisa'!$A93)</f>
        <v>4</v>
      </c>
      <c r="AH93" s="31">
        <f>SUMIFS(METALFISA!$E:$E,METALFISA!$A:$A,'Faltantes Fevereiro- Metalfisa'!AH$3,METALFISA!$B:$B,'Faltantes Fevereiro- Metalfisa'!$A93)</f>
        <v>0</v>
      </c>
      <c r="AI93" s="31">
        <f>SUMIFS(METALFISA!$E:$E,METALFISA!$A:$A,'Faltantes Fevereiro- Metalfisa'!AI$3,METALFISA!$B:$B,'Faltantes Fevereiro- Metalfisa'!$A93)</f>
        <v>0</v>
      </c>
      <c r="AJ93" s="31">
        <f>SUMIFS(METALFISA!$E:$E,METALFISA!$A:$A,'Faltantes Fevereiro- Metalfisa'!AJ$3,METALFISA!$B:$B,'Faltantes Fevereiro- Metalfisa'!$A93)</f>
        <v>0</v>
      </c>
      <c r="AK93" s="31">
        <f>SUMIFS(METALFISA!$E:$E,METALFISA!$A:$A,'Faltantes Fevereiro- Metalfisa'!AK$3,METALFISA!$B:$B,'Faltantes Fevereiro- Metalfisa'!$A93)</f>
        <v>0</v>
      </c>
      <c r="AL93" s="31">
        <f>SUMIFS(METALFISA!$E:$E,METALFISA!$A:$A,'Faltantes Fevereiro- Metalfisa'!AL$3,METALFISA!$B:$B,'Faltantes Fevereiro- Metalfisa'!$A93)</f>
        <v>0</v>
      </c>
      <c r="AM93" s="31">
        <f>SUMIFS(METALFISA!$E:$E,METALFISA!$A:$A,'Faltantes Fevereiro- Metalfisa'!AM$3,METALFISA!$B:$B,'Faltantes Fevereiro- Metalfisa'!$A93)</f>
        <v>0</v>
      </c>
      <c r="AN93" s="31">
        <f>SUMIFS(METALFISA!$E:$E,METALFISA!$A:$A,'Faltantes Fevereiro- Metalfisa'!AN$3,METALFISA!$B:$B,'Faltantes Fevereiro- Metalfisa'!$A93)</f>
        <v>0</v>
      </c>
      <c r="AO93" s="31">
        <f>SUMIFS(METALFISA!$E:$E,METALFISA!$A:$A,'Faltantes Fevereiro- Metalfisa'!AO$3,METALFISA!$B:$B,'Faltantes Fevereiro- Metalfisa'!$A93)</f>
        <v>0</v>
      </c>
      <c r="AP93" s="31">
        <f>SUMIFS(METALFISA!$E:$E,METALFISA!$A:$A,'Faltantes Fevereiro- Metalfisa'!AP$3,METALFISA!$B:$B,'Faltantes Fevereiro- Metalfisa'!$A93)</f>
        <v>0</v>
      </c>
      <c r="AQ93" s="31"/>
      <c r="AR93" s="31">
        <f>SUMIFS(METALFISA!$E:$E,METALFISA!$A:$A,'Faltantes Fevereiro- Metalfisa'!AR$3,METALFISA!$B:$B,'Faltantes Fevereiro- Metalfisa'!$A93)</f>
        <v>0</v>
      </c>
      <c r="AS93" s="35">
        <f>SUMIFS(METALFISA!$E:$E,METALFISA!$A:$A,'Faltantes Fevereiro- Metalfisa'!AS$3,METALFISA!$B:$B,'Faltantes Fevereiro- Metalfisa'!$A93)</f>
        <v>0</v>
      </c>
      <c r="AU93" s="18">
        <v>0</v>
      </c>
      <c r="AV93" s="18">
        <v>0</v>
      </c>
      <c r="AW93" s="18">
        <v>0</v>
      </c>
      <c r="AX93" s="18">
        <v>0</v>
      </c>
      <c r="AY93" s="41">
        <v>0</v>
      </c>
      <c r="AZ93" s="31">
        <v>0</v>
      </c>
      <c r="BA93" s="31">
        <v>0</v>
      </c>
      <c r="BB93" s="31">
        <v>0</v>
      </c>
      <c r="BC93" s="31">
        <v>0</v>
      </c>
      <c r="BD93" s="31">
        <v>0</v>
      </c>
      <c r="BE93" s="31">
        <v>0</v>
      </c>
      <c r="BF93" s="31">
        <v>0</v>
      </c>
      <c r="BG93" s="31">
        <v>0</v>
      </c>
      <c r="BH93" s="31">
        <v>0</v>
      </c>
      <c r="BI93" s="31">
        <v>0</v>
      </c>
      <c r="BJ93" s="31">
        <v>0</v>
      </c>
      <c r="BK93" s="31">
        <v>0</v>
      </c>
      <c r="BL93" s="31">
        <v>0</v>
      </c>
      <c r="BM93" s="31">
        <v>2</v>
      </c>
      <c r="BN93" s="31">
        <v>0</v>
      </c>
      <c r="BO93" s="31">
        <v>0</v>
      </c>
      <c r="BP93" s="31">
        <v>0</v>
      </c>
      <c r="BQ93" s="31">
        <v>0</v>
      </c>
      <c r="BR93" s="31">
        <v>0</v>
      </c>
      <c r="BS93" s="31">
        <v>0</v>
      </c>
      <c r="BT93" s="31">
        <v>0</v>
      </c>
      <c r="BU93" s="31">
        <v>0</v>
      </c>
      <c r="BV93" s="31">
        <v>0</v>
      </c>
      <c r="BW93" s="31">
        <v>0</v>
      </c>
      <c r="BX93" s="31">
        <v>0</v>
      </c>
      <c r="BY93" s="31">
        <v>0</v>
      </c>
      <c r="BZ93" s="31">
        <v>0</v>
      </c>
      <c r="CA93" s="31">
        <v>0</v>
      </c>
      <c r="CB93" s="31">
        <v>0</v>
      </c>
      <c r="CC93" s="31">
        <v>0</v>
      </c>
      <c r="CD93" s="31">
        <v>0</v>
      </c>
      <c r="CE93" s="31">
        <v>0</v>
      </c>
      <c r="CF93" s="31">
        <v>0</v>
      </c>
      <c r="CG93" s="31">
        <v>0</v>
      </c>
      <c r="CH93" s="31">
        <v>0</v>
      </c>
      <c r="CI93" s="31">
        <v>0</v>
      </c>
      <c r="CJ93" s="31">
        <v>0</v>
      </c>
      <c r="CK93" s="31">
        <v>0</v>
      </c>
      <c r="CL93" s="35">
        <v>0</v>
      </c>
    </row>
    <row r="94" spans="1:90" ht="21" x14ac:dyDescent="0.15">
      <c r="A94" s="27" t="s">
        <v>625</v>
      </c>
      <c r="B94" s="28" t="s">
        <v>626</v>
      </c>
      <c r="C94" s="28">
        <v>0</v>
      </c>
      <c r="D94" s="28">
        <v>0</v>
      </c>
      <c r="E94" s="28">
        <v>0</v>
      </c>
      <c r="F94" s="28">
        <v>0</v>
      </c>
      <c r="G94" s="28">
        <v>5</v>
      </c>
      <c r="H94" s="28">
        <f>IFERROR(VLOOKUP(A94,[1]FALTANTES!$A:$AB,28,FALSE),"-")</f>
        <v>0</v>
      </c>
      <c r="I94" s="42">
        <f>IFERROR(VLOOKUP(A94,[1]FALTANTES!$A:$AC,29,FALSE),"-")</f>
        <v>4</v>
      </c>
      <c r="J94" s="29">
        <f>IFERROR(VLOOKUP(A94,[1]FALTANTES!$A:$AD,30,FALSE),"-")</f>
        <v>-1</v>
      </c>
      <c r="K94" s="30">
        <v>0</v>
      </c>
      <c r="L94" s="30">
        <f t="shared" si="1"/>
        <v>2</v>
      </c>
      <c r="M94" s="31">
        <f>SUMIFS(METALFISA!$E:$E,METALFISA!$A:$A,'Faltantes Fevereiro- Metalfisa'!M$3,METALFISA!$B:$B,'Faltantes Fevereiro- Metalfisa'!$A94)</f>
        <v>0</v>
      </c>
      <c r="N94" s="31">
        <f>SUMIFS(METALFISA!$E:$E,METALFISA!$A:$A,'Faltantes Fevereiro- Metalfisa'!N$3,METALFISA!$B:$B,'Faltantes Fevereiro- Metalfisa'!$A94)</f>
        <v>0</v>
      </c>
      <c r="O94" s="31">
        <f>SUMIFS(METALFISA!$E:$E,METALFISA!$A:$A,'Faltantes Fevereiro- Metalfisa'!O$3,METALFISA!$B:$B,'Faltantes Fevereiro- Metalfisa'!$A94)</f>
        <v>0</v>
      </c>
      <c r="P94" s="31">
        <f>SUMIFS(METALFISA!$E:$E,METALFISA!$A:$A,'Faltantes Fevereiro- Metalfisa'!P$3,METALFISA!$B:$B,'Faltantes Fevereiro- Metalfisa'!$A94)</f>
        <v>0</v>
      </c>
      <c r="Q94" s="31">
        <f>SUMIFS(METALFISA!$E:$E,METALFISA!$A:$A,'Faltantes Fevereiro- Metalfisa'!Q$3,METALFISA!$B:$B,'Faltantes Fevereiro- Metalfisa'!$A94)</f>
        <v>0</v>
      </c>
      <c r="R94" s="31">
        <f>SUMIFS(METALFISA!$E:$E,METALFISA!$A:$A,'Faltantes Fevereiro- Metalfisa'!R$3,METALFISA!$B:$B,'Faltantes Fevereiro- Metalfisa'!$A94)</f>
        <v>0</v>
      </c>
      <c r="S94" s="31">
        <f>SUMIFS(METALFISA!$E:$E,METALFISA!$A:$A,'Faltantes Fevereiro- Metalfisa'!S$3,METALFISA!$B:$B,'Faltantes Fevereiro- Metalfisa'!$A94)</f>
        <v>0</v>
      </c>
      <c r="T94" s="31">
        <f>SUMIFS(METALFISA!$E:$E,METALFISA!$A:$A,'Faltantes Fevereiro- Metalfisa'!T$3,METALFISA!$B:$B,'Faltantes Fevereiro- Metalfisa'!$A94)</f>
        <v>0</v>
      </c>
      <c r="U94" s="31">
        <f>SUMIFS(METALFISA!$E:$E,METALFISA!$A:$A,'Faltantes Fevereiro- Metalfisa'!U$3,METALFISA!$B:$B,'Faltantes Fevereiro- Metalfisa'!$A94)</f>
        <v>0</v>
      </c>
      <c r="V94" s="31">
        <f>SUMIFS(METALFISA!$E:$E,METALFISA!$A:$A,'Faltantes Fevereiro- Metalfisa'!V$3,METALFISA!$B:$B,'Faltantes Fevereiro- Metalfisa'!$A94)</f>
        <v>0</v>
      </c>
      <c r="W94" s="31">
        <f>SUMIFS(METALFISA!$E:$E,METALFISA!$A:$A,'Faltantes Fevereiro- Metalfisa'!W$3,METALFISA!$B:$B,'Faltantes Fevereiro- Metalfisa'!$A94)</f>
        <v>0</v>
      </c>
      <c r="X94" s="31">
        <f>SUMIFS(METALFISA!$E:$E,METALFISA!$A:$A,'Faltantes Fevereiro- Metalfisa'!X$3,METALFISA!$B:$B,'Faltantes Fevereiro- Metalfisa'!$A94)</f>
        <v>0</v>
      </c>
      <c r="Y94" s="31">
        <f>SUMIFS(METALFISA!$E:$E,METALFISA!$A:$A,'Faltantes Fevereiro- Metalfisa'!Y$3,METALFISA!$B:$B,'Faltantes Fevereiro- Metalfisa'!$A94)</f>
        <v>0</v>
      </c>
      <c r="Z94" s="31">
        <f>SUMIFS(METALFISA!$E:$E,METALFISA!$A:$A,'Faltantes Fevereiro- Metalfisa'!Z$3,METALFISA!$B:$B,'Faltantes Fevereiro- Metalfisa'!$A94)</f>
        <v>0</v>
      </c>
      <c r="AA94" s="31">
        <f>SUMIFS(METALFISA!$E:$E,METALFISA!$A:$A,'Faltantes Fevereiro- Metalfisa'!AA$3,METALFISA!$B:$B,'Faltantes Fevereiro- Metalfisa'!$A94)</f>
        <v>0</v>
      </c>
      <c r="AB94" s="31">
        <f>SUMIFS(METALFISA!$E:$E,METALFISA!$A:$A,'Faltantes Fevereiro- Metalfisa'!AB$3,METALFISA!$B:$B,'Faltantes Fevereiro- Metalfisa'!$A94)</f>
        <v>0</v>
      </c>
      <c r="AC94" s="31">
        <f>SUMIFS(METALFISA!$E:$E,METALFISA!$A:$A,'Faltantes Fevereiro- Metalfisa'!AC$3,METALFISA!$B:$B,'Faltantes Fevereiro- Metalfisa'!$A94)</f>
        <v>0</v>
      </c>
      <c r="AD94" s="31">
        <f>SUMIFS(METALFISA!$E:$E,METALFISA!$A:$A,'Faltantes Fevereiro- Metalfisa'!AD$3,METALFISA!$B:$B,'Faltantes Fevereiro- Metalfisa'!$A94)</f>
        <v>0</v>
      </c>
      <c r="AE94" s="31">
        <f>SUMIFS(METALFISA!$E:$E,METALFISA!$A:$A,'Faltantes Fevereiro- Metalfisa'!AE$3,METALFISA!$B:$B,'Faltantes Fevereiro- Metalfisa'!$A94)</f>
        <v>0</v>
      </c>
      <c r="AF94" s="31">
        <f>SUMIFS(METALFISA!$E:$E,METALFISA!$A:$A,'Faltantes Fevereiro- Metalfisa'!AF$3,METALFISA!$B:$B,'Faltantes Fevereiro- Metalfisa'!$A94)</f>
        <v>0</v>
      </c>
      <c r="AG94" s="31">
        <f>SUMIFS(METALFISA!$E:$E,METALFISA!$A:$A,'Faltantes Fevereiro- Metalfisa'!AG$3,METALFISA!$B:$B,'Faltantes Fevereiro- Metalfisa'!$A94)</f>
        <v>2</v>
      </c>
      <c r="AH94" s="31">
        <f>SUMIFS(METALFISA!$E:$E,METALFISA!$A:$A,'Faltantes Fevereiro- Metalfisa'!AH$3,METALFISA!$B:$B,'Faltantes Fevereiro- Metalfisa'!$A94)</f>
        <v>0</v>
      </c>
      <c r="AI94" s="31">
        <f>SUMIFS(METALFISA!$E:$E,METALFISA!$A:$A,'Faltantes Fevereiro- Metalfisa'!AI$3,METALFISA!$B:$B,'Faltantes Fevereiro- Metalfisa'!$A94)</f>
        <v>0</v>
      </c>
      <c r="AJ94" s="31">
        <f>SUMIFS(METALFISA!$E:$E,METALFISA!$A:$A,'Faltantes Fevereiro- Metalfisa'!AJ$3,METALFISA!$B:$B,'Faltantes Fevereiro- Metalfisa'!$A94)</f>
        <v>0</v>
      </c>
      <c r="AK94" s="31">
        <f>SUMIFS(METALFISA!$E:$E,METALFISA!$A:$A,'Faltantes Fevereiro- Metalfisa'!AK$3,METALFISA!$B:$B,'Faltantes Fevereiro- Metalfisa'!$A94)</f>
        <v>0</v>
      </c>
      <c r="AL94" s="31">
        <f>SUMIFS(METALFISA!$E:$E,METALFISA!$A:$A,'Faltantes Fevereiro- Metalfisa'!AL$3,METALFISA!$B:$B,'Faltantes Fevereiro- Metalfisa'!$A94)</f>
        <v>0</v>
      </c>
      <c r="AM94" s="31">
        <f>SUMIFS(METALFISA!$E:$E,METALFISA!$A:$A,'Faltantes Fevereiro- Metalfisa'!AM$3,METALFISA!$B:$B,'Faltantes Fevereiro- Metalfisa'!$A94)</f>
        <v>0</v>
      </c>
      <c r="AN94" s="31">
        <f>SUMIFS(METALFISA!$E:$E,METALFISA!$A:$A,'Faltantes Fevereiro- Metalfisa'!AN$3,METALFISA!$B:$B,'Faltantes Fevereiro- Metalfisa'!$A94)</f>
        <v>0</v>
      </c>
      <c r="AO94" s="31">
        <f>SUMIFS(METALFISA!$E:$E,METALFISA!$A:$A,'Faltantes Fevereiro- Metalfisa'!AO$3,METALFISA!$B:$B,'Faltantes Fevereiro- Metalfisa'!$A94)</f>
        <v>0</v>
      </c>
      <c r="AP94" s="31">
        <f>SUMIFS(METALFISA!$E:$E,METALFISA!$A:$A,'Faltantes Fevereiro- Metalfisa'!AP$3,METALFISA!$B:$B,'Faltantes Fevereiro- Metalfisa'!$A94)</f>
        <v>0</v>
      </c>
      <c r="AQ94" s="31"/>
      <c r="AR94" s="31">
        <f>SUMIFS(METALFISA!$E:$E,METALFISA!$A:$A,'Faltantes Fevereiro- Metalfisa'!AR$3,METALFISA!$B:$B,'Faltantes Fevereiro- Metalfisa'!$A94)</f>
        <v>0</v>
      </c>
      <c r="AS94" s="35">
        <f>SUMIFS(METALFISA!$E:$E,METALFISA!$A:$A,'Faltantes Fevereiro- Metalfisa'!AS$3,METALFISA!$B:$B,'Faltantes Fevereiro- Metalfisa'!$A94)</f>
        <v>0</v>
      </c>
      <c r="AU94" s="18">
        <v>0</v>
      </c>
      <c r="AV94" s="18">
        <v>0</v>
      </c>
      <c r="AW94" s="18">
        <v>0</v>
      </c>
      <c r="AX94" s="18">
        <v>0</v>
      </c>
      <c r="AY94" s="41">
        <v>0</v>
      </c>
      <c r="AZ94" s="31">
        <v>0</v>
      </c>
      <c r="BA94" s="31">
        <v>0</v>
      </c>
      <c r="BB94" s="31">
        <v>0</v>
      </c>
      <c r="BC94" s="31">
        <v>0</v>
      </c>
      <c r="BD94" s="31">
        <v>0</v>
      </c>
      <c r="BE94" s="31">
        <v>0</v>
      </c>
      <c r="BF94" s="31">
        <v>0</v>
      </c>
      <c r="BG94" s="31">
        <v>0</v>
      </c>
      <c r="BH94" s="31">
        <v>0</v>
      </c>
      <c r="BI94" s="31">
        <v>0</v>
      </c>
      <c r="BJ94" s="31">
        <v>0</v>
      </c>
      <c r="BK94" s="31">
        <v>0</v>
      </c>
      <c r="BL94" s="31">
        <v>0</v>
      </c>
      <c r="BM94" s="31">
        <v>3</v>
      </c>
      <c r="BN94" s="31">
        <v>0</v>
      </c>
      <c r="BO94" s="31">
        <v>0</v>
      </c>
      <c r="BP94" s="31">
        <v>0</v>
      </c>
      <c r="BQ94" s="31">
        <v>0</v>
      </c>
      <c r="BR94" s="31">
        <v>0</v>
      </c>
      <c r="BS94" s="31">
        <v>0</v>
      </c>
      <c r="BT94" s="31">
        <v>0</v>
      </c>
      <c r="BU94" s="31">
        <v>0</v>
      </c>
      <c r="BV94" s="31">
        <v>0</v>
      </c>
      <c r="BW94" s="31">
        <v>0</v>
      </c>
      <c r="BX94" s="31">
        <v>0</v>
      </c>
      <c r="BY94" s="31">
        <v>0</v>
      </c>
      <c r="BZ94" s="31">
        <v>0</v>
      </c>
      <c r="CA94" s="31">
        <v>0</v>
      </c>
      <c r="CB94" s="31">
        <v>0</v>
      </c>
      <c r="CC94" s="31">
        <v>0</v>
      </c>
      <c r="CD94" s="31">
        <v>0</v>
      </c>
      <c r="CE94" s="31">
        <v>0</v>
      </c>
      <c r="CF94" s="31">
        <v>0</v>
      </c>
      <c r="CG94" s="31">
        <v>0</v>
      </c>
      <c r="CH94" s="31">
        <v>0</v>
      </c>
      <c r="CI94" s="31">
        <v>0</v>
      </c>
      <c r="CJ94" s="31">
        <v>0</v>
      </c>
      <c r="CK94" s="31">
        <v>0</v>
      </c>
      <c r="CL94" s="35">
        <v>0</v>
      </c>
    </row>
    <row r="95" spans="1:90" ht="21" x14ac:dyDescent="0.15">
      <c r="A95" s="27" t="s">
        <v>224</v>
      </c>
      <c r="B95" s="28" t="s">
        <v>225</v>
      </c>
      <c r="C95" s="28">
        <v>0</v>
      </c>
      <c r="D95" s="28">
        <v>0</v>
      </c>
      <c r="E95" s="28">
        <v>0</v>
      </c>
      <c r="F95" s="28">
        <v>0</v>
      </c>
      <c r="G95" s="28">
        <v>3</v>
      </c>
      <c r="H95" s="28">
        <f>IFERROR(VLOOKUP(A95,[1]FALTANTES!$A:$AB,28,FALSE),"-")</f>
        <v>0</v>
      </c>
      <c r="I95" s="42">
        <f>IFERROR(VLOOKUP(A95,[1]FALTANTES!$A:$AC,29,FALSE),"-")</f>
        <v>0</v>
      </c>
      <c r="J95" s="29">
        <f>IFERROR(VLOOKUP(A95,[1]FALTANTES!$A:$AD,30,FALSE),"-")</f>
        <v>-3</v>
      </c>
      <c r="K95" s="30">
        <v>0</v>
      </c>
      <c r="L95" s="30">
        <f t="shared" si="1"/>
        <v>3</v>
      </c>
      <c r="M95" s="31">
        <f>SUMIFS(METALFISA!$E:$E,METALFISA!$A:$A,'Faltantes Fevereiro- Metalfisa'!M$3,METALFISA!$B:$B,'Faltantes Fevereiro- Metalfisa'!$A95)</f>
        <v>0</v>
      </c>
      <c r="N95" s="31">
        <f>SUMIFS(METALFISA!$E:$E,METALFISA!$A:$A,'Faltantes Fevereiro- Metalfisa'!N$3,METALFISA!$B:$B,'Faltantes Fevereiro- Metalfisa'!$A95)</f>
        <v>0</v>
      </c>
      <c r="O95" s="31">
        <f>SUMIFS(METALFISA!$E:$E,METALFISA!$A:$A,'Faltantes Fevereiro- Metalfisa'!O$3,METALFISA!$B:$B,'Faltantes Fevereiro- Metalfisa'!$A95)</f>
        <v>0</v>
      </c>
      <c r="P95" s="31">
        <f>SUMIFS(METALFISA!$E:$E,METALFISA!$A:$A,'Faltantes Fevereiro- Metalfisa'!P$3,METALFISA!$B:$B,'Faltantes Fevereiro- Metalfisa'!$A95)</f>
        <v>0</v>
      </c>
      <c r="Q95" s="31">
        <f>SUMIFS(METALFISA!$E:$E,METALFISA!$A:$A,'Faltantes Fevereiro- Metalfisa'!Q$3,METALFISA!$B:$B,'Faltantes Fevereiro- Metalfisa'!$A95)</f>
        <v>0</v>
      </c>
      <c r="R95" s="31">
        <f>SUMIFS(METALFISA!$E:$E,METALFISA!$A:$A,'Faltantes Fevereiro- Metalfisa'!R$3,METALFISA!$B:$B,'Faltantes Fevereiro- Metalfisa'!$A95)</f>
        <v>0</v>
      </c>
      <c r="S95" s="31">
        <f>SUMIFS(METALFISA!$E:$E,METALFISA!$A:$A,'Faltantes Fevereiro- Metalfisa'!S$3,METALFISA!$B:$B,'Faltantes Fevereiro- Metalfisa'!$A95)</f>
        <v>0</v>
      </c>
      <c r="T95" s="31">
        <f>SUMIFS(METALFISA!$E:$E,METALFISA!$A:$A,'Faltantes Fevereiro- Metalfisa'!T$3,METALFISA!$B:$B,'Faltantes Fevereiro- Metalfisa'!$A95)</f>
        <v>0</v>
      </c>
      <c r="U95" s="31">
        <f>SUMIFS(METALFISA!$E:$E,METALFISA!$A:$A,'Faltantes Fevereiro- Metalfisa'!U$3,METALFISA!$B:$B,'Faltantes Fevereiro- Metalfisa'!$A95)</f>
        <v>0</v>
      </c>
      <c r="V95" s="31">
        <f>SUMIFS(METALFISA!$E:$E,METALFISA!$A:$A,'Faltantes Fevereiro- Metalfisa'!V$3,METALFISA!$B:$B,'Faltantes Fevereiro- Metalfisa'!$A95)</f>
        <v>0</v>
      </c>
      <c r="W95" s="31">
        <f>SUMIFS(METALFISA!$E:$E,METALFISA!$A:$A,'Faltantes Fevereiro- Metalfisa'!W$3,METALFISA!$B:$B,'Faltantes Fevereiro- Metalfisa'!$A95)</f>
        <v>0</v>
      </c>
      <c r="X95" s="31">
        <f>SUMIFS(METALFISA!$E:$E,METALFISA!$A:$A,'Faltantes Fevereiro- Metalfisa'!X$3,METALFISA!$B:$B,'Faltantes Fevereiro- Metalfisa'!$A95)</f>
        <v>0</v>
      </c>
      <c r="Y95" s="31">
        <f>SUMIFS(METALFISA!$E:$E,METALFISA!$A:$A,'Faltantes Fevereiro- Metalfisa'!Y$3,METALFISA!$B:$B,'Faltantes Fevereiro- Metalfisa'!$A95)</f>
        <v>0</v>
      </c>
      <c r="Z95" s="31">
        <f>SUMIFS(METALFISA!$E:$E,METALFISA!$A:$A,'Faltantes Fevereiro- Metalfisa'!Z$3,METALFISA!$B:$B,'Faltantes Fevereiro- Metalfisa'!$A95)</f>
        <v>0</v>
      </c>
      <c r="AA95" s="31">
        <f>SUMIFS(METALFISA!$E:$E,METALFISA!$A:$A,'Faltantes Fevereiro- Metalfisa'!AA$3,METALFISA!$B:$B,'Faltantes Fevereiro- Metalfisa'!$A95)</f>
        <v>0</v>
      </c>
      <c r="AB95" s="31">
        <f>SUMIFS(METALFISA!$E:$E,METALFISA!$A:$A,'Faltantes Fevereiro- Metalfisa'!AB$3,METALFISA!$B:$B,'Faltantes Fevereiro- Metalfisa'!$A95)</f>
        <v>0</v>
      </c>
      <c r="AC95" s="31">
        <f>SUMIFS(METALFISA!$E:$E,METALFISA!$A:$A,'Faltantes Fevereiro- Metalfisa'!AC$3,METALFISA!$B:$B,'Faltantes Fevereiro- Metalfisa'!$A95)</f>
        <v>1</v>
      </c>
      <c r="AD95" s="31">
        <f>SUMIFS(METALFISA!$E:$E,METALFISA!$A:$A,'Faltantes Fevereiro- Metalfisa'!AD$3,METALFISA!$B:$B,'Faltantes Fevereiro- Metalfisa'!$A95)</f>
        <v>0</v>
      </c>
      <c r="AE95" s="31">
        <f>SUMIFS(METALFISA!$E:$E,METALFISA!$A:$A,'Faltantes Fevereiro- Metalfisa'!AE$3,METALFISA!$B:$B,'Faltantes Fevereiro- Metalfisa'!$A95)</f>
        <v>0</v>
      </c>
      <c r="AF95" s="31">
        <f>SUMIFS(METALFISA!$E:$E,METALFISA!$A:$A,'Faltantes Fevereiro- Metalfisa'!AF$3,METALFISA!$B:$B,'Faltantes Fevereiro- Metalfisa'!$A95)</f>
        <v>0</v>
      </c>
      <c r="AG95" s="31">
        <f>SUMIFS(METALFISA!$E:$E,METALFISA!$A:$A,'Faltantes Fevereiro- Metalfisa'!AG$3,METALFISA!$B:$B,'Faltantes Fevereiro- Metalfisa'!$A95)</f>
        <v>2</v>
      </c>
      <c r="AH95" s="31">
        <f>SUMIFS(METALFISA!$E:$E,METALFISA!$A:$A,'Faltantes Fevereiro- Metalfisa'!AH$3,METALFISA!$B:$B,'Faltantes Fevereiro- Metalfisa'!$A95)</f>
        <v>0</v>
      </c>
      <c r="AI95" s="31">
        <f>SUMIFS(METALFISA!$E:$E,METALFISA!$A:$A,'Faltantes Fevereiro- Metalfisa'!AI$3,METALFISA!$B:$B,'Faltantes Fevereiro- Metalfisa'!$A95)</f>
        <v>0</v>
      </c>
      <c r="AJ95" s="31">
        <f>SUMIFS(METALFISA!$E:$E,METALFISA!$A:$A,'Faltantes Fevereiro- Metalfisa'!AJ$3,METALFISA!$B:$B,'Faltantes Fevereiro- Metalfisa'!$A95)</f>
        <v>0</v>
      </c>
      <c r="AK95" s="31">
        <f>SUMIFS(METALFISA!$E:$E,METALFISA!$A:$A,'Faltantes Fevereiro- Metalfisa'!AK$3,METALFISA!$B:$B,'Faltantes Fevereiro- Metalfisa'!$A95)</f>
        <v>0</v>
      </c>
      <c r="AL95" s="31">
        <f>SUMIFS(METALFISA!$E:$E,METALFISA!$A:$A,'Faltantes Fevereiro- Metalfisa'!AL$3,METALFISA!$B:$B,'Faltantes Fevereiro- Metalfisa'!$A95)</f>
        <v>0</v>
      </c>
      <c r="AM95" s="31">
        <f>SUMIFS(METALFISA!$E:$E,METALFISA!$A:$A,'Faltantes Fevereiro- Metalfisa'!AM$3,METALFISA!$B:$B,'Faltantes Fevereiro- Metalfisa'!$A95)</f>
        <v>0</v>
      </c>
      <c r="AN95" s="31">
        <f>SUMIFS(METALFISA!$E:$E,METALFISA!$A:$A,'Faltantes Fevereiro- Metalfisa'!AN$3,METALFISA!$B:$B,'Faltantes Fevereiro- Metalfisa'!$A95)</f>
        <v>0</v>
      </c>
      <c r="AO95" s="31">
        <f>SUMIFS(METALFISA!$E:$E,METALFISA!$A:$A,'Faltantes Fevereiro- Metalfisa'!AO$3,METALFISA!$B:$B,'Faltantes Fevereiro- Metalfisa'!$A95)</f>
        <v>0</v>
      </c>
      <c r="AP95" s="31">
        <f>SUMIFS(METALFISA!$E:$E,METALFISA!$A:$A,'Faltantes Fevereiro- Metalfisa'!AP$3,METALFISA!$B:$B,'Faltantes Fevereiro- Metalfisa'!$A95)</f>
        <v>0</v>
      </c>
      <c r="AQ95" s="31"/>
      <c r="AR95" s="31">
        <f>SUMIFS(METALFISA!$E:$E,METALFISA!$A:$A,'Faltantes Fevereiro- Metalfisa'!AR$3,METALFISA!$B:$B,'Faltantes Fevereiro- Metalfisa'!$A95)</f>
        <v>0</v>
      </c>
      <c r="AS95" s="35">
        <f>SUMIFS(METALFISA!$E:$E,METALFISA!$A:$A,'Faltantes Fevereiro- Metalfisa'!AS$3,METALFISA!$B:$B,'Faltantes Fevereiro- Metalfisa'!$A95)</f>
        <v>0</v>
      </c>
      <c r="AU95" s="18">
        <v>0</v>
      </c>
      <c r="AV95" s="18">
        <v>0</v>
      </c>
      <c r="AW95" s="18">
        <v>0</v>
      </c>
      <c r="AX95" s="18">
        <v>0</v>
      </c>
      <c r="AY95" s="41">
        <v>0</v>
      </c>
      <c r="AZ95" s="31">
        <v>0</v>
      </c>
      <c r="BA95" s="31">
        <v>0</v>
      </c>
      <c r="BB95" s="31">
        <v>0</v>
      </c>
      <c r="BC95" s="31">
        <v>0</v>
      </c>
      <c r="BD95" s="31">
        <v>0</v>
      </c>
      <c r="BE95" s="31">
        <v>0</v>
      </c>
      <c r="BF95" s="31">
        <v>0</v>
      </c>
      <c r="BG95" s="31">
        <v>0</v>
      </c>
      <c r="BH95" s="31">
        <v>0</v>
      </c>
      <c r="BI95" s="31">
        <v>0</v>
      </c>
      <c r="BJ95" s="31">
        <v>0</v>
      </c>
      <c r="BK95" s="31">
        <v>0</v>
      </c>
      <c r="BL95" s="31">
        <v>0</v>
      </c>
      <c r="BM95" s="31">
        <v>1</v>
      </c>
      <c r="BN95" s="31">
        <v>0</v>
      </c>
      <c r="BO95" s="31">
        <v>0</v>
      </c>
      <c r="BP95" s="31">
        <v>0</v>
      </c>
      <c r="BQ95" s="31">
        <v>0</v>
      </c>
      <c r="BR95" s="31">
        <v>0</v>
      </c>
      <c r="BS95" s="31">
        <v>0</v>
      </c>
      <c r="BT95" s="31">
        <v>0</v>
      </c>
      <c r="BU95" s="31">
        <v>0</v>
      </c>
      <c r="BV95" s="31">
        <v>0</v>
      </c>
      <c r="BW95" s="31">
        <v>0</v>
      </c>
      <c r="BX95" s="31">
        <v>0</v>
      </c>
      <c r="BY95" s="31">
        <v>0</v>
      </c>
      <c r="BZ95" s="31">
        <v>0</v>
      </c>
      <c r="CA95" s="31">
        <v>0</v>
      </c>
      <c r="CB95" s="31">
        <v>0</v>
      </c>
      <c r="CC95" s="31">
        <v>0</v>
      </c>
      <c r="CD95" s="31">
        <v>0</v>
      </c>
      <c r="CE95" s="31">
        <v>0</v>
      </c>
      <c r="CF95" s="31">
        <v>0</v>
      </c>
      <c r="CG95" s="31">
        <v>0</v>
      </c>
      <c r="CH95" s="31">
        <v>0</v>
      </c>
      <c r="CI95" s="31">
        <v>0</v>
      </c>
      <c r="CJ95" s="31">
        <v>0</v>
      </c>
      <c r="CK95" s="31">
        <v>0</v>
      </c>
      <c r="CL95" s="35">
        <v>0</v>
      </c>
    </row>
    <row r="96" spans="1:90" ht="21" x14ac:dyDescent="0.15">
      <c r="A96" s="27" t="s">
        <v>627</v>
      </c>
      <c r="B96" s="28" t="s">
        <v>628</v>
      </c>
      <c r="C96" s="28">
        <v>0</v>
      </c>
      <c r="D96" s="28">
        <v>0</v>
      </c>
      <c r="E96" s="28">
        <v>0</v>
      </c>
      <c r="F96" s="28">
        <v>0</v>
      </c>
      <c r="G96" s="28">
        <v>6</v>
      </c>
      <c r="H96" s="28">
        <f>IFERROR(VLOOKUP(A96,[1]FALTANTES!$A:$AB,28,FALSE),"-")</f>
        <v>0</v>
      </c>
      <c r="I96" s="42">
        <f>IFERROR(VLOOKUP(A96,[1]FALTANTES!$A:$AC,29,FALSE),"-")</f>
        <v>0</v>
      </c>
      <c r="J96" s="29">
        <f>IFERROR(VLOOKUP(A96,[1]FALTANTES!$A:$AD,30,FALSE),"-")</f>
        <v>-6</v>
      </c>
      <c r="K96" s="30">
        <v>0</v>
      </c>
      <c r="L96" s="30">
        <f t="shared" si="1"/>
        <v>6</v>
      </c>
      <c r="M96" s="31">
        <f>SUMIFS(METALFISA!$E:$E,METALFISA!$A:$A,'Faltantes Fevereiro- Metalfisa'!M$3,METALFISA!$B:$B,'Faltantes Fevereiro- Metalfisa'!$A96)</f>
        <v>0</v>
      </c>
      <c r="N96" s="31">
        <f>SUMIFS(METALFISA!$E:$E,METALFISA!$A:$A,'Faltantes Fevereiro- Metalfisa'!N$3,METALFISA!$B:$B,'Faltantes Fevereiro- Metalfisa'!$A96)</f>
        <v>0</v>
      </c>
      <c r="O96" s="31">
        <f>SUMIFS(METALFISA!$E:$E,METALFISA!$A:$A,'Faltantes Fevereiro- Metalfisa'!O$3,METALFISA!$B:$B,'Faltantes Fevereiro- Metalfisa'!$A96)</f>
        <v>0</v>
      </c>
      <c r="P96" s="31">
        <f>SUMIFS(METALFISA!$E:$E,METALFISA!$A:$A,'Faltantes Fevereiro- Metalfisa'!P$3,METALFISA!$B:$B,'Faltantes Fevereiro- Metalfisa'!$A96)</f>
        <v>0</v>
      </c>
      <c r="Q96" s="31">
        <f>SUMIFS(METALFISA!$E:$E,METALFISA!$A:$A,'Faltantes Fevereiro- Metalfisa'!Q$3,METALFISA!$B:$B,'Faltantes Fevereiro- Metalfisa'!$A96)</f>
        <v>0</v>
      </c>
      <c r="R96" s="31">
        <f>SUMIFS(METALFISA!$E:$E,METALFISA!$A:$A,'Faltantes Fevereiro- Metalfisa'!R$3,METALFISA!$B:$B,'Faltantes Fevereiro- Metalfisa'!$A96)</f>
        <v>0</v>
      </c>
      <c r="S96" s="31">
        <f>SUMIFS(METALFISA!$E:$E,METALFISA!$A:$A,'Faltantes Fevereiro- Metalfisa'!S$3,METALFISA!$B:$B,'Faltantes Fevereiro- Metalfisa'!$A96)</f>
        <v>0</v>
      </c>
      <c r="T96" s="31">
        <f>SUMIFS(METALFISA!$E:$E,METALFISA!$A:$A,'Faltantes Fevereiro- Metalfisa'!T$3,METALFISA!$B:$B,'Faltantes Fevereiro- Metalfisa'!$A96)</f>
        <v>0</v>
      </c>
      <c r="U96" s="31">
        <f>SUMIFS(METALFISA!$E:$E,METALFISA!$A:$A,'Faltantes Fevereiro- Metalfisa'!U$3,METALFISA!$B:$B,'Faltantes Fevereiro- Metalfisa'!$A96)</f>
        <v>0</v>
      </c>
      <c r="V96" s="31">
        <f>SUMIFS(METALFISA!$E:$E,METALFISA!$A:$A,'Faltantes Fevereiro- Metalfisa'!V$3,METALFISA!$B:$B,'Faltantes Fevereiro- Metalfisa'!$A96)</f>
        <v>0</v>
      </c>
      <c r="W96" s="31">
        <f>SUMIFS(METALFISA!$E:$E,METALFISA!$A:$A,'Faltantes Fevereiro- Metalfisa'!W$3,METALFISA!$B:$B,'Faltantes Fevereiro- Metalfisa'!$A96)</f>
        <v>0</v>
      </c>
      <c r="X96" s="31">
        <f>SUMIFS(METALFISA!$E:$E,METALFISA!$A:$A,'Faltantes Fevereiro- Metalfisa'!X$3,METALFISA!$B:$B,'Faltantes Fevereiro- Metalfisa'!$A96)</f>
        <v>0</v>
      </c>
      <c r="Y96" s="31">
        <f>SUMIFS(METALFISA!$E:$E,METALFISA!$A:$A,'Faltantes Fevereiro- Metalfisa'!Y$3,METALFISA!$B:$B,'Faltantes Fevereiro- Metalfisa'!$A96)</f>
        <v>0</v>
      </c>
      <c r="Z96" s="31">
        <f>SUMIFS(METALFISA!$E:$E,METALFISA!$A:$A,'Faltantes Fevereiro- Metalfisa'!Z$3,METALFISA!$B:$B,'Faltantes Fevereiro- Metalfisa'!$A96)</f>
        <v>0</v>
      </c>
      <c r="AA96" s="31">
        <f>SUMIFS(METALFISA!$E:$E,METALFISA!$A:$A,'Faltantes Fevereiro- Metalfisa'!AA$3,METALFISA!$B:$B,'Faltantes Fevereiro- Metalfisa'!$A96)</f>
        <v>0</v>
      </c>
      <c r="AB96" s="31">
        <f>SUMIFS(METALFISA!$E:$E,METALFISA!$A:$A,'Faltantes Fevereiro- Metalfisa'!AB$3,METALFISA!$B:$B,'Faltantes Fevereiro- Metalfisa'!$A96)</f>
        <v>0</v>
      </c>
      <c r="AC96" s="31">
        <f>SUMIFS(METALFISA!$E:$E,METALFISA!$A:$A,'Faltantes Fevereiro- Metalfisa'!AC$3,METALFISA!$B:$B,'Faltantes Fevereiro- Metalfisa'!$A96)</f>
        <v>2</v>
      </c>
      <c r="AD96" s="31">
        <f>SUMIFS(METALFISA!$E:$E,METALFISA!$A:$A,'Faltantes Fevereiro- Metalfisa'!AD$3,METALFISA!$B:$B,'Faltantes Fevereiro- Metalfisa'!$A96)</f>
        <v>0</v>
      </c>
      <c r="AE96" s="31">
        <f>SUMIFS(METALFISA!$E:$E,METALFISA!$A:$A,'Faltantes Fevereiro- Metalfisa'!AE$3,METALFISA!$B:$B,'Faltantes Fevereiro- Metalfisa'!$A96)</f>
        <v>0</v>
      </c>
      <c r="AF96" s="31">
        <f>SUMIFS(METALFISA!$E:$E,METALFISA!$A:$A,'Faltantes Fevereiro- Metalfisa'!AF$3,METALFISA!$B:$B,'Faltantes Fevereiro- Metalfisa'!$A96)</f>
        <v>0</v>
      </c>
      <c r="AG96" s="31">
        <f>SUMIFS(METALFISA!$E:$E,METALFISA!$A:$A,'Faltantes Fevereiro- Metalfisa'!AG$3,METALFISA!$B:$B,'Faltantes Fevereiro- Metalfisa'!$A96)</f>
        <v>4</v>
      </c>
      <c r="AH96" s="31">
        <f>SUMIFS(METALFISA!$E:$E,METALFISA!$A:$A,'Faltantes Fevereiro- Metalfisa'!AH$3,METALFISA!$B:$B,'Faltantes Fevereiro- Metalfisa'!$A96)</f>
        <v>0</v>
      </c>
      <c r="AI96" s="31">
        <f>SUMIFS(METALFISA!$E:$E,METALFISA!$A:$A,'Faltantes Fevereiro- Metalfisa'!AI$3,METALFISA!$B:$B,'Faltantes Fevereiro- Metalfisa'!$A96)</f>
        <v>0</v>
      </c>
      <c r="AJ96" s="31">
        <f>SUMIFS(METALFISA!$E:$E,METALFISA!$A:$A,'Faltantes Fevereiro- Metalfisa'!AJ$3,METALFISA!$B:$B,'Faltantes Fevereiro- Metalfisa'!$A96)</f>
        <v>0</v>
      </c>
      <c r="AK96" s="31">
        <f>SUMIFS(METALFISA!$E:$E,METALFISA!$A:$A,'Faltantes Fevereiro- Metalfisa'!AK$3,METALFISA!$B:$B,'Faltantes Fevereiro- Metalfisa'!$A96)</f>
        <v>0</v>
      </c>
      <c r="AL96" s="31">
        <f>SUMIFS(METALFISA!$E:$E,METALFISA!$A:$A,'Faltantes Fevereiro- Metalfisa'!AL$3,METALFISA!$B:$B,'Faltantes Fevereiro- Metalfisa'!$A96)</f>
        <v>0</v>
      </c>
      <c r="AM96" s="31">
        <f>SUMIFS(METALFISA!$E:$E,METALFISA!$A:$A,'Faltantes Fevereiro- Metalfisa'!AM$3,METALFISA!$B:$B,'Faltantes Fevereiro- Metalfisa'!$A96)</f>
        <v>0</v>
      </c>
      <c r="AN96" s="31">
        <f>SUMIFS(METALFISA!$E:$E,METALFISA!$A:$A,'Faltantes Fevereiro- Metalfisa'!AN$3,METALFISA!$B:$B,'Faltantes Fevereiro- Metalfisa'!$A96)</f>
        <v>0</v>
      </c>
      <c r="AO96" s="31">
        <f>SUMIFS(METALFISA!$E:$E,METALFISA!$A:$A,'Faltantes Fevereiro- Metalfisa'!AO$3,METALFISA!$B:$B,'Faltantes Fevereiro- Metalfisa'!$A96)</f>
        <v>0</v>
      </c>
      <c r="AP96" s="31">
        <f>SUMIFS(METALFISA!$E:$E,METALFISA!$A:$A,'Faltantes Fevereiro- Metalfisa'!AP$3,METALFISA!$B:$B,'Faltantes Fevereiro- Metalfisa'!$A96)</f>
        <v>0</v>
      </c>
      <c r="AQ96" s="31"/>
      <c r="AR96" s="31">
        <f>SUMIFS(METALFISA!$E:$E,METALFISA!$A:$A,'Faltantes Fevereiro- Metalfisa'!AR$3,METALFISA!$B:$B,'Faltantes Fevereiro- Metalfisa'!$A96)</f>
        <v>0</v>
      </c>
      <c r="AS96" s="35">
        <f>SUMIFS(METALFISA!$E:$E,METALFISA!$A:$A,'Faltantes Fevereiro- Metalfisa'!AS$3,METALFISA!$B:$B,'Faltantes Fevereiro- Metalfisa'!$A96)</f>
        <v>0</v>
      </c>
      <c r="AU96" s="18">
        <v>0</v>
      </c>
      <c r="AV96" s="18">
        <v>0</v>
      </c>
      <c r="AW96" s="18">
        <v>0</v>
      </c>
      <c r="AX96" s="18">
        <v>0</v>
      </c>
      <c r="AY96" s="41">
        <v>0</v>
      </c>
      <c r="AZ96" s="31">
        <v>0</v>
      </c>
      <c r="BA96" s="31">
        <v>0</v>
      </c>
      <c r="BB96" s="31">
        <v>0</v>
      </c>
      <c r="BC96" s="31">
        <v>0</v>
      </c>
      <c r="BD96" s="31">
        <v>0</v>
      </c>
      <c r="BE96" s="31">
        <v>0</v>
      </c>
      <c r="BF96" s="31">
        <v>0</v>
      </c>
      <c r="BG96" s="31">
        <v>0</v>
      </c>
      <c r="BH96" s="31">
        <v>0</v>
      </c>
      <c r="BI96" s="31">
        <v>0</v>
      </c>
      <c r="BJ96" s="31">
        <v>0</v>
      </c>
      <c r="BK96" s="31">
        <v>0</v>
      </c>
      <c r="BL96" s="31">
        <v>0</v>
      </c>
      <c r="BM96" s="31">
        <v>2</v>
      </c>
      <c r="BN96" s="31">
        <v>0</v>
      </c>
      <c r="BO96" s="31">
        <v>0</v>
      </c>
      <c r="BP96" s="31">
        <v>0</v>
      </c>
      <c r="BQ96" s="31">
        <v>0</v>
      </c>
      <c r="BR96" s="31">
        <v>0</v>
      </c>
      <c r="BS96" s="31">
        <v>0</v>
      </c>
      <c r="BT96" s="31">
        <v>0</v>
      </c>
      <c r="BU96" s="31">
        <v>0</v>
      </c>
      <c r="BV96" s="31">
        <v>0</v>
      </c>
      <c r="BW96" s="31">
        <v>0</v>
      </c>
      <c r="BX96" s="31">
        <v>0</v>
      </c>
      <c r="BY96" s="31">
        <v>0</v>
      </c>
      <c r="BZ96" s="31">
        <v>0</v>
      </c>
      <c r="CA96" s="31">
        <v>0</v>
      </c>
      <c r="CB96" s="31">
        <v>0</v>
      </c>
      <c r="CC96" s="31">
        <v>0</v>
      </c>
      <c r="CD96" s="31">
        <v>0</v>
      </c>
      <c r="CE96" s="31">
        <v>0</v>
      </c>
      <c r="CF96" s="31">
        <v>0</v>
      </c>
      <c r="CG96" s="31">
        <v>0</v>
      </c>
      <c r="CH96" s="31">
        <v>0</v>
      </c>
      <c r="CI96" s="31">
        <v>0</v>
      </c>
      <c r="CJ96" s="31">
        <v>0</v>
      </c>
      <c r="CK96" s="31">
        <v>0</v>
      </c>
      <c r="CL96" s="35">
        <v>0</v>
      </c>
    </row>
    <row r="97" spans="1:90" x14ac:dyDescent="0.15">
      <c r="A97" s="27" t="s">
        <v>228</v>
      </c>
      <c r="B97" s="28" t="s">
        <v>229</v>
      </c>
      <c r="C97" s="28">
        <v>0</v>
      </c>
      <c r="D97" s="28">
        <v>0</v>
      </c>
      <c r="E97" s="28">
        <v>0</v>
      </c>
      <c r="F97" s="28">
        <v>0</v>
      </c>
      <c r="G97" s="28">
        <v>3</v>
      </c>
      <c r="H97" s="28">
        <f>IFERROR(VLOOKUP(A97,[1]FALTANTES!$A:$AB,28,FALSE),"-")</f>
        <v>0</v>
      </c>
      <c r="I97" s="42">
        <f>IFERROR(VLOOKUP(A97,[1]FALTANTES!$A:$AC,29,FALSE),"-")</f>
        <v>0</v>
      </c>
      <c r="J97" s="29">
        <f>IFERROR(VLOOKUP(A97,[1]FALTANTES!$A:$AD,30,FALSE),"-")</f>
        <v>-3</v>
      </c>
      <c r="K97" s="30">
        <v>0</v>
      </c>
      <c r="L97" s="30">
        <f t="shared" si="1"/>
        <v>3</v>
      </c>
      <c r="M97" s="31">
        <f>SUMIFS(METALFISA!$E:$E,METALFISA!$A:$A,'Faltantes Fevereiro- Metalfisa'!M$3,METALFISA!$B:$B,'Faltantes Fevereiro- Metalfisa'!$A97)</f>
        <v>0</v>
      </c>
      <c r="N97" s="31">
        <f>SUMIFS(METALFISA!$E:$E,METALFISA!$A:$A,'Faltantes Fevereiro- Metalfisa'!N$3,METALFISA!$B:$B,'Faltantes Fevereiro- Metalfisa'!$A97)</f>
        <v>0</v>
      </c>
      <c r="O97" s="31">
        <f>SUMIFS(METALFISA!$E:$E,METALFISA!$A:$A,'Faltantes Fevereiro- Metalfisa'!O$3,METALFISA!$B:$B,'Faltantes Fevereiro- Metalfisa'!$A97)</f>
        <v>0</v>
      </c>
      <c r="P97" s="31">
        <f>SUMIFS(METALFISA!$E:$E,METALFISA!$A:$A,'Faltantes Fevereiro- Metalfisa'!P$3,METALFISA!$B:$B,'Faltantes Fevereiro- Metalfisa'!$A97)</f>
        <v>0</v>
      </c>
      <c r="Q97" s="31">
        <f>SUMIFS(METALFISA!$E:$E,METALFISA!$A:$A,'Faltantes Fevereiro- Metalfisa'!Q$3,METALFISA!$B:$B,'Faltantes Fevereiro- Metalfisa'!$A97)</f>
        <v>0</v>
      </c>
      <c r="R97" s="31">
        <f>SUMIFS(METALFISA!$E:$E,METALFISA!$A:$A,'Faltantes Fevereiro- Metalfisa'!R$3,METALFISA!$B:$B,'Faltantes Fevereiro- Metalfisa'!$A97)</f>
        <v>0</v>
      </c>
      <c r="S97" s="31">
        <f>SUMIFS(METALFISA!$E:$E,METALFISA!$A:$A,'Faltantes Fevereiro- Metalfisa'!S$3,METALFISA!$B:$B,'Faltantes Fevereiro- Metalfisa'!$A97)</f>
        <v>0</v>
      </c>
      <c r="T97" s="31">
        <f>SUMIFS(METALFISA!$E:$E,METALFISA!$A:$A,'Faltantes Fevereiro- Metalfisa'!T$3,METALFISA!$B:$B,'Faltantes Fevereiro- Metalfisa'!$A97)</f>
        <v>0</v>
      </c>
      <c r="U97" s="31">
        <f>SUMIFS(METALFISA!$E:$E,METALFISA!$A:$A,'Faltantes Fevereiro- Metalfisa'!U$3,METALFISA!$B:$B,'Faltantes Fevereiro- Metalfisa'!$A97)</f>
        <v>0</v>
      </c>
      <c r="V97" s="31">
        <f>SUMIFS(METALFISA!$E:$E,METALFISA!$A:$A,'Faltantes Fevereiro- Metalfisa'!V$3,METALFISA!$B:$B,'Faltantes Fevereiro- Metalfisa'!$A97)</f>
        <v>0</v>
      </c>
      <c r="W97" s="31">
        <f>SUMIFS(METALFISA!$E:$E,METALFISA!$A:$A,'Faltantes Fevereiro- Metalfisa'!W$3,METALFISA!$B:$B,'Faltantes Fevereiro- Metalfisa'!$A97)</f>
        <v>0</v>
      </c>
      <c r="X97" s="31">
        <f>SUMIFS(METALFISA!$E:$E,METALFISA!$A:$A,'Faltantes Fevereiro- Metalfisa'!X$3,METALFISA!$B:$B,'Faltantes Fevereiro- Metalfisa'!$A97)</f>
        <v>0</v>
      </c>
      <c r="Y97" s="31">
        <f>SUMIFS(METALFISA!$E:$E,METALFISA!$A:$A,'Faltantes Fevereiro- Metalfisa'!Y$3,METALFISA!$B:$B,'Faltantes Fevereiro- Metalfisa'!$A97)</f>
        <v>0</v>
      </c>
      <c r="Z97" s="31">
        <f>SUMIFS(METALFISA!$E:$E,METALFISA!$A:$A,'Faltantes Fevereiro- Metalfisa'!Z$3,METALFISA!$B:$B,'Faltantes Fevereiro- Metalfisa'!$A97)</f>
        <v>0</v>
      </c>
      <c r="AA97" s="31">
        <f>SUMIFS(METALFISA!$E:$E,METALFISA!$A:$A,'Faltantes Fevereiro- Metalfisa'!AA$3,METALFISA!$B:$B,'Faltantes Fevereiro- Metalfisa'!$A97)</f>
        <v>0</v>
      </c>
      <c r="AB97" s="31">
        <f>SUMIFS(METALFISA!$E:$E,METALFISA!$A:$A,'Faltantes Fevereiro- Metalfisa'!AB$3,METALFISA!$B:$B,'Faltantes Fevereiro- Metalfisa'!$A97)</f>
        <v>0</v>
      </c>
      <c r="AC97" s="31">
        <f>SUMIFS(METALFISA!$E:$E,METALFISA!$A:$A,'Faltantes Fevereiro- Metalfisa'!AC$3,METALFISA!$B:$B,'Faltantes Fevereiro- Metalfisa'!$A97)</f>
        <v>1</v>
      </c>
      <c r="AD97" s="31">
        <f>SUMIFS(METALFISA!$E:$E,METALFISA!$A:$A,'Faltantes Fevereiro- Metalfisa'!AD$3,METALFISA!$B:$B,'Faltantes Fevereiro- Metalfisa'!$A97)</f>
        <v>0</v>
      </c>
      <c r="AE97" s="31">
        <f>SUMIFS(METALFISA!$E:$E,METALFISA!$A:$A,'Faltantes Fevereiro- Metalfisa'!AE$3,METALFISA!$B:$B,'Faltantes Fevereiro- Metalfisa'!$A97)</f>
        <v>0</v>
      </c>
      <c r="AF97" s="31">
        <f>SUMIFS(METALFISA!$E:$E,METALFISA!$A:$A,'Faltantes Fevereiro- Metalfisa'!AF$3,METALFISA!$B:$B,'Faltantes Fevereiro- Metalfisa'!$A97)</f>
        <v>0</v>
      </c>
      <c r="AG97" s="31">
        <f>SUMIFS(METALFISA!$E:$E,METALFISA!$A:$A,'Faltantes Fevereiro- Metalfisa'!AG$3,METALFISA!$B:$B,'Faltantes Fevereiro- Metalfisa'!$A97)</f>
        <v>2</v>
      </c>
      <c r="AH97" s="31">
        <f>SUMIFS(METALFISA!$E:$E,METALFISA!$A:$A,'Faltantes Fevereiro- Metalfisa'!AH$3,METALFISA!$B:$B,'Faltantes Fevereiro- Metalfisa'!$A97)</f>
        <v>0</v>
      </c>
      <c r="AI97" s="31">
        <f>SUMIFS(METALFISA!$E:$E,METALFISA!$A:$A,'Faltantes Fevereiro- Metalfisa'!AI$3,METALFISA!$B:$B,'Faltantes Fevereiro- Metalfisa'!$A97)</f>
        <v>0</v>
      </c>
      <c r="AJ97" s="31">
        <f>SUMIFS(METALFISA!$E:$E,METALFISA!$A:$A,'Faltantes Fevereiro- Metalfisa'!AJ$3,METALFISA!$B:$B,'Faltantes Fevereiro- Metalfisa'!$A97)</f>
        <v>0</v>
      </c>
      <c r="AK97" s="31">
        <f>SUMIFS(METALFISA!$E:$E,METALFISA!$A:$A,'Faltantes Fevereiro- Metalfisa'!AK$3,METALFISA!$B:$B,'Faltantes Fevereiro- Metalfisa'!$A97)</f>
        <v>0</v>
      </c>
      <c r="AL97" s="31">
        <f>SUMIFS(METALFISA!$E:$E,METALFISA!$A:$A,'Faltantes Fevereiro- Metalfisa'!AL$3,METALFISA!$B:$B,'Faltantes Fevereiro- Metalfisa'!$A97)</f>
        <v>0</v>
      </c>
      <c r="AM97" s="31">
        <f>SUMIFS(METALFISA!$E:$E,METALFISA!$A:$A,'Faltantes Fevereiro- Metalfisa'!AM$3,METALFISA!$B:$B,'Faltantes Fevereiro- Metalfisa'!$A97)</f>
        <v>0</v>
      </c>
      <c r="AN97" s="31">
        <f>SUMIFS(METALFISA!$E:$E,METALFISA!$A:$A,'Faltantes Fevereiro- Metalfisa'!AN$3,METALFISA!$B:$B,'Faltantes Fevereiro- Metalfisa'!$A97)</f>
        <v>0</v>
      </c>
      <c r="AO97" s="31">
        <f>SUMIFS(METALFISA!$E:$E,METALFISA!$A:$A,'Faltantes Fevereiro- Metalfisa'!AO$3,METALFISA!$B:$B,'Faltantes Fevereiro- Metalfisa'!$A97)</f>
        <v>0</v>
      </c>
      <c r="AP97" s="31">
        <f>SUMIFS(METALFISA!$E:$E,METALFISA!$A:$A,'Faltantes Fevereiro- Metalfisa'!AP$3,METALFISA!$B:$B,'Faltantes Fevereiro- Metalfisa'!$A97)</f>
        <v>0</v>
      </c>
      <c r="AQ97" s="31"/>
      <c r="AR97" s="31">
        <f>SUMIFS(METALFISA!$E:$E,METALFISA!$A:$A,'Faltantes Fevereiro- Metalfisa'!AR$3,METALFISA!$B:$B,'Faltantes Fevereiro- Metalfisa'!$A97)</f>
        <v>0</v>
      </c>
      <c r="AS97" s="35">
        <f>SUMIFS(METALFISA!$E:$E,METALFISA!$A:$A,'Faltantes Fevereiro- Metalfisa'!AS$3,METALFISA!$B:$B,'Faltantes Fevereiro- Metalfisa'!$A97)</f>
        <v>0</v>
      </c>
      <c r="AU97" s="18">
        <v>0</v>
      </c>
      <c r="AV97" s="18">
        <v>0</v>
      </c>
      <c r="AW97" s="18">
        <v>0</v>
      </c>
      <c r="AX97" s="18">
        <v>0</v>
      </c>
      <c r="AY97" s="41">
        <v>0</v>
      </c>
      <c r="AZ97" s="31">
        <v>0</v>
      </c>
      <c r="BA97" s="31">
        <v>0</v>
      </c>
      <c r="BB97" s="31">
        <v>0</v>
      </c>
      <c r="BC97" s="31">
        <v>0</v>
      </c>
      <c r="BD97" s="31">
        <v>0</v>
      </c>
      <c r="BE97" s="31">
        <v>0</v>
      </c>
      <c r="BF97" s="31">
        <v>0</v>
      </c>
      <c r="BG97" s="31">
        <v>0</v>
      </c>
      <c r="BH97" s="31">
        <v>0</v>
      </c>
      <c r="BI97" s="31">
        <v>0</v>
      </c>
      <c r="BJ97" s="31">
        <v>0</v>
      </c>
      <c r="BK97" s="31">
        <v>0</v>
      </c>
      <c r="BL97" s="31">
        <v>0</v>
      </c>
      <c r="BM97" s="31">
        <v>1</v>
      </c>
      <c r="BN97" s="31">
        <v>0</v>
      </c>
      <c r="BO97" s="31">
        <v>0</v>
      </c>
      <c r="BP97" s="31">
        <v>0</v>
      </c>
      <c r="BQ97" s="31">
        <v>0</v>
      </c>
      <c r="BR97" s="31">
        <v>0</v>
      </c>
      <c r="BS97" s="31">
        <v>0</v>
      </c>
      <c r="BT97" s="31">
        <v>0</v>
      </c>
      <c r="BU97" s="31">
        <v>0</v>
      </c>
      <c r="BV97" s="31">
        <v>0</v>
      </c>
      <c r="BW97" s="31">
        <v>0</v>
      </c>
      <c r="BX97" s="31">
        <v>0</v>
      </c>
      <c r="BY97" s="31">
        <v>0</v>
      </c>
      <c r="BZ97" s="31">
        <v>0</v>
      </c>
      <c r="CA97" s="31">
        <v>0</v>
      </c>
      <c r="CB97" s="31">
        <v>0</v>
      </c>
      <c r="CC97" s="31">
        <v>0</v>
      </c>
      <c r="CD97" s="31">
        <v>0</v>
      </c>
      <c r="CE97" s="31">
        <v>0</v>
      </c>
      <c r="CF97" s="31">
        <v>0</v>
      </c>
      <c r="CG97" s="31">
        <v>0</v>
      </c>
      <c r="CH97" s="31">
        <v>0</v>
      </c>
      <c r="CI97" s="31">
        <v>0</v>
      </c>
      <c r="CJ97" s="31">
        <v>0</v>
      </c>
      <c r="CK97" s="31">
        <v>0</v>
      </c>
      <c r="CL97" s="35">
        <v>0</v>
      </c>
    </row>
    <row r="98" spans="1:90" x14ac:dyDescent="0.15">
      <c r="A98" s="27" t="s">
        <v>230</v>
      </c>
      <c r="B98" s="28" t="s">
        <v>231</v>
      </c>
      <c r="C98" s="28">
        <v>0</v>
      </c>
      <c r="D98" s="28">
        <v>0</v>
      </c>
      <c r="E98" s="28">
        <v>0</v>
      </c>
      <c r="F98" s="28">
        <v>0</v>
      </c>
      <c r="G98" s="28">
        <v>2</v>
      </c>
      <c r="H98" s="28">
        <f>IFERROR(VLOOKUP(A98,[1]FALTANTES!$A:$AB,28,FALSE),"-")</f>
        <v>0</v>
      </c>
      <c r="I98" s="42">
        <f>IFERROR(VLOOKUP(A98,[1]FALTANTES!$A:$AC,29,FALSE),"-")</f>
        <v>0</v>
      </c>
      <c r="J98" s="29">
        <f>IFERROR(VLOOKUP(A98,[1]FALTANTES!$A:$AD,30,FALSE),"-")</f>
        <v>-2</v>
      </c>
      <c r="K98" s="30">
        <v>0</v>
      </c>
      <c r="L98" s="30">
        <f t="shared" si="1"/>
        <v>3</v>
      </c>
      <c r="M98" s="31">
        <f>SUMIFS(METALFISA!$E:$E,METALFISA!$A:$A,'Faltantes Fevereiro- Metalfisa'!M$3,METALFISA!$B:$B,'Faltantes Fevereiro- Metalfisa'!$A98)</f>
        <v>0</v>
      </c>
      <c r="N98" s="31">
        <f>SUMIFS(METALFISA!$E:$E,METALFISA!$A:$A,'Faltantes Fevereiro- Metalfisa'!N$3,METALFISA!$B:$B,'Faltantes Fevereiro- Metalfisa'!$A98)</f>
        <v>0</v>
      </c>
      <c r="O98" s="31">
        <f>SUMIFS(METALFISA!$E:$E,METALFISA!$A:$A,'Faltantes Fevereiro- Metalfisa'!O$3,METALFISA!$B:$B,'Faltantes Fevereiro- Metalfisa'!$A98)</f>
        <v>0</v>
      </c>
      <c r="P98" s="31">
        <f>SUMIFS(METALFISA!$E:$E,METALFISA!$A:$A,'Faltantes Fevereiro- Metalfisa'!P$3,METALFISA!$B:$B,'Faltantes Fevereiro- Metalfisa'!$A98)</f>
        <v>0</v>
      </c>
      <c r="Q98" s="31">
        <f>SUMIFS(METALFISA!$E:$E,METALFISA!$A:$A,'Faltantes Fevereiro- Metalfisa'!Q$3,METALFISA!$B:$B,'Faltantes Fevereiro- Metalfisa'!$A98)</f>
        <v>0</v>
      </c>
      <c r="R98" s="31">
        <f>SUMIFS(METALFISA!$E:$E,METALFISA!$A:$A,'Faltantes Fevereiro- Metalfisa'!R$3,METALFISA!$B:$B,'Faltantes Fevereiro- Metalfisa'!$A98)</f>
        <v>0</v>
      </c>
      <c r="S98" s="31">
        <f>SUMIFS(METALFISA!$E:$E,METALFISA!$A:$A,'Faltantes Fevereiro- Metalfisa'!S$3,METALFISA!$B:$B,'Faltantes Fevereiro- Metalfisa'!$A98)</f>
        <v>0</v>
      </c>
      <c r="T98" s="31">
        <f>SUMIFS(METALFISA!$E:$E,METALFISA!$A:$A,'Faltantes Fevereiro- Metalfisa'!T$3,METALFISA!$B:$B,'Faltantes Fevereiro- Metalfisa'!$A98)</f>
        <v>0</v>
      </c>
      <c r="U98" s="31">
        <f>SUMIFS(METALFISA!$E:$E,METALFISA!$A:$A,'Faltantes Fevereiro- Metalfisa'!U$3,METALFISA!$B:$B,'Faltantes Fevereiro- Metalfisa'!$A98)</f>
        <v>0</v>
      </c>
      <c r="V98" s="31">
        <f>SUMIFS(METALFISA!$E:$E,METALFISA!$A:$A,'Faltantes Fevereiro- Metalfisa'!V$3,METALFISA!$B:$B,'Faltantes Fevereiro- Metalfisa'!$A98)</f>
        <v>0</v>
      </c>
      <c r="W98" s="31">
        <f>SUMIFS(METALFISA!$E:$E,METALFISA!$A:$A,'Faltantes Fevereiro- Metalfisa'!W$3,METALFISA!$B:$B,'Faltantes Fevereiro- Metalfisa'!$A98)</f>
        <v>0</v>
      </c>
      <c r="X98" s="31">
        <f>SUMIFS(METALFISA!$E:$E,METALFISA!$A:$A,'Faltantes Fevereiro- Metalfisa'!X$3,METALFISA!$B:$B,'Faltantes Fevereiro- Metalfisa'!$A98)</f>
        <v>0</v>
      </c>
      <c r="Y98" s="31">
        <f>SUMIFS(METALFISA!$E:$E,METALFISA!$A:$A,'Faltantes Fevereiro- Metalfisa'!Y$3,METALFISA!$B:$B,'Faltantes Fevereiro- Metalfisa'!$A98)</f>
        <v>0</v>
      </c>
      <c r="Z98" s="31">
        <f>SUMIFS(METALFISA!$E:$E,METALFISA!$A:$A,'Faltantes Fevereiro- Metalfisa'!Z$3,METALFISA!$B:$B,'Faltantes Fevereiro- Metalfisa'!$A98)</f>
        <v>0</v>
      </c>
      <c r="AA98" s="31">
        <f>SUMIFS(METALFISA!$E:$E,METALFISA!$A:$A,'Faltantes Fevereiro- Metalfisa'!AA$3,METALFISA!$B:$B,'Faltantes Fevereiro- Metalfisa'!$A98)</f>
        <v>0</v>
      </c>
      <c r="AB98" s="31">
        <f>SUMIFS(METALFISA!$E:$E,METALFISA!$A:$A,'Faltantes Fevereiro- Metalfisa'!AB$3,METALFISA!$B:$B,'Faltantes Fevereiro- Metalfisa'!$A98)</f>
        <v>0</v>
      </c>
      <c r="AC98" s="31">
        <f>SUMIFS(METALFISA!$E:$E,METALFISA!$A:$A,'Faltantes Fevereiro- Metalfisa'!AC$3,METALFISA!$B:$B,'Faltantes Fevereiro- Metalfisa'!$A98)</f>
        <v>1</v>
      </c>
      <c r="AD98" s="31">
        <f>SUMIFS(METALFISA!$E:$E,METALFISA!$A:$A,'Faltantes Fevereiro- Metalfisa'!AD$3,METALFISA!$B:$B,'Faltantes Fevereiro- Metalfisa'!$A98)</f>
        <v>0</v>
      </c>
      <c r="AE98" s="31">
        <f>SUMIFS(METALFISA!$E:$E,METALFISA!$A:$A,'Faltantes Fevereiro- Metalfisa'!AE$3,METALFISA!$B:$B,'Faltantes Fevereiro- Metalfisa'!$A98)</f>
        <v>0</v>
      </c>
      <c r="AF98" s="31">
        <f>SUMIFS(METALFISA!$E:$E,METALFISA!$A:$A,'Faltantes Fevereiro- Metalfisa'!AF$3,METALFISA!$B:$B,'Faltantes Fevereiro- Metalfisa'!$A98)</f>
        <v>0</v>
      </c>
      <c r="AG98" s="31">
        <f>SUMIFS(METALFISA!$E:$E,METALFISA!$A:$A,'Faltantes Fevereiro- Metalfisa'!AG$3,METALFISA!$B:$B,'Faltantes Fevereiro- Metalfisa'!$A98)</f>
        <v>2</v>
      </c>
      <c r="AH98" s="31">
        <f>SUMIFS(METALFISA!$E:$E,METALFISA!$A:$A,'Faltantes Fevereiro- Metalfisa'!AH$3,METALFISA!$B:$B,'Faltantes Fevereiro- Metalfisa'!$A98)</f>
        <v>0</v>
      </c>
      <c r="AI98" s="31">
        <f>SUMIFS(METALFISA!$E:$E,METALFISA!$A:$A,'Faltantes Fevereiro- Metalfisa'!AI$3,METALFISA!$B:$B,'Faltantes Fevereiro- Metalfisa'!$A98)</f>
        <v>0</v>
      </c>
      <c r="AJ98" s="31">
        <f>SUMIFS(METALFISA!$E:$E,METALFISA!$A:$A,'Faltantes Fevereiro- Metalfisa'!AJ$3,METALFISA!$B:$B,'Faltantes Fevereiro- Metalfisa'!$A98)</f>
        <v>0</v>
      </c>
      <c r="AK98" s="31">
        <f>SUMIFS(METALFISA!$E:$E,METALFISA!$A:$A,'Faltantes Fevereiro- Metalfisa'!AK$3,METALFISA!$B:$B,'Faltantes Fevereiro- Metalfisa'!$A98)</f>
        <v>0</v>
      </c>
      <c r="AL98" s="31">
        <f>SUMIFS(METALFISA!$E:$E,METALFISA!$A:$A,'Faltantes Fevereiro- Metalfisa'!AL$3,METALFISA!$B:$B,'Faltantes Fevereiro- Metalfisa'!$A98)</f>
        <v>0</v>
      </c>
      <c r="AM98" s="31">
        <f>SUMIFS(METALFISA!$E:$E,METALFISA!$A:$A,'Faltantes Fevereiro- Metalfisa'!AM$3,METALFISA!$B:$B,'Faltantes Fevereiro- Metalfisa'!$A98)</f>
        <v>0</v>
      </c>
      <c r="AN98" s="31">
        <f>SUMIFS(METALFISA!$E:$E,METALFISA!$A:$A,'Faltantes Fevereiro- Metalfisa'!AN$3,METALFISA!$B:$B,'Faltantes Fevereiro- Metalfisa'!$A98)</f>
        <v>0</v>
      </c>
      <c r="AO98" s="31">
        <f>SUMIFS(METALFISA!$E:$E,METALFISA!$A:$A,'Faltantes Fevereiro- Metalfisa'!AO$3,METALFISA!$B:$B,'Faltantes Fevereiro- Metalfisa'!$A98)</f>
        <v>0</v>
      </c>
      <c r="AP98" s="31">
        <f>SUMIFS(METALFISA!$E:$E,METALFISA!$A:$A,'Faltantes Fevereiro- Metalfisa'!AP$3,METALFISA!$B:$B,'Faltantes Fevereiro- Metalfisa'!$A98)</f>
        <v>0</v>
      </c>
      <c r="AQ98" s="31"/>
      <c r="AR98" s="31">
        <f>SUMIFS(METALFISA!$E:$E,METALFISA!$A:$A,'Faltantes Fevereiro- Metalfisa'!AR$3,METALFISA!$B:$B,'Faltantes Fevereiro- Metalfisa'!$A98)</f>
        <v>0</v>
      </c>
      <c r="AS98" s="35">
        <f>SUMIFS(METALFISA!$E:$E,METALFISA!$A:$A,'Faltantes Fevereiro- Metalfisa'!AS$3,METALFISA!$B:$B,'Faltantes Fevereiro- Metalfisa'!$A98)</f>
        <v>0</v>
      </c>
      <c r="AU98" s="18">
        <v>0</v>
      </c>
      <c r="AV98" s="18">
        <v>0</v>
      </c>
      <c r="AW98" s="18">
        <v>0</v>
      </c>
      <c r="AX98" s="18">
        <v>0</v>
      </c>
      <c r="AY98" s="41">
        <v>0</v>
      </c>
      <c r="AZ98" s="31">
        <v>0</v>
      </c>
      <c r="BA98" s="31">
        <v>0</v>
      </c>
      <c r="BB98" s="31">
        <v>0</v>
      </c>
      <c r="BC98" s="31">
        <v>0</v>
      </c>
      <c r="BD98" s="31">
        <v>0</v>
      </c>
      <c r="BE98" s="31">
        <v>0</v>
      </c>
      <c r="BF98" s="31">
        <v>0</v>
      </c>
      <c r="BG98" s="31">
        <v>0</v>
      </c>
      <c r="BH98" s="31">
        <v>0</v>
      </c>
      <c r="BI98" s="31">
        <v>0</v>
      </c>
      <c r="BJ98" s="31">
        <v>0</v>
      </c>
      <c r="BK98" s="31">
        <v>0</v>
      </c>
      <c r="BL98" s="31">
        <v>0</v>
      </c>
      <c r="BM98" s="31">
        <v>1</v>
      </c>
      <c r="BN98" s="31">
        <v>0</v>
      </c>
      <c r="BO98" s="31">
        <v>0</v>
      </c>
      <c r="BP98" s="31">
        <v>0</v>
      </c>
      <c r="BQ98" s="31">
        <v>0</v>
      </c>
      <c r="BR98" s="31">
        <v>0</v>
      </c>
      <c r="BS98" s="31">
        <v>0</v>
      </c>
      <c r="BT98" s="31">
        <v>0</v>
      </c>
      <c r="BU98" s="31">
        <v>0</v>
      </c>
      <c r="BV98" s="31">
        <v>0</v>
      </c>
      <c r="BW98" s="31">
        <v>0</v>
      </c>
      <c r="BX98" s="31">
        <v>0</v>
      </c>
      <c r="BY98" s="31">
        <v>0</v>
      </c>
      <c r="BZ98" s="31">
        <v>0</v>
      </c>
      <c r="CA98" s="31">
        <v>0</v>
      </c>
      <c r="CB98" s="31">
        <v>0</v>
      </c>
      <c r="CC98" s="31">
        <v>0</v>
      </c>
      <c r="CD98" s="31">
        <v>0</v>
      </c>
      <c r="CE98" s="31">
        <v>0</v>
      </c>
      <c r="CF98" s="31">
        <v>0</v>
      </c>
      <c r="CG98" s="31">
        <v>0</v>
      </c>
      <c r="CH98" s="31">
        <v>0</v>
      </c>
      <c r="CI98" s="31">
        <v>0</v>
      </c>
      <c r="CJ98" s="31">
        <v>0</v>
      </c>
      <c r="CK98" s="31">
        <v>0</v>
      </c>
      <c r="CL98" s="35">
        <v>0</v>
      </c>
    </row>
    <row r="99" spans="1:90" x14ac:dyDescent="0.15">
      <c r="A99" s="27" t="s">
        <v>629</v>
      </c>
      <c r="B99" s="28" t="s">
        <v>630</v>
      </c>
      <c r="C99" s="28">
        <v>0</v>
      </c>
      <c r="D99" s="28">
        <v>0</v>
      </c>
      <c r="E99" s="28">
        <v>0</v>
      </c>
      <c r="F99" s="28">
        <v>0</v>
      </c>
      <c r="G99" s="28">
        <v>3</v>
      </c>
      <c r="H99" s="28">
        <f>IFERROR(VLOOKUP(A99,[1]FALTANTES!$A:$AB,28,FALSE),"-")</f>
        <v>0</v>
      </c>
      <c r="I99" s="42">
        <f>IFERROR(VLOOKUP(A99,[1]FALTANTES!$A:$AC,29,FALSE),"-")</f>
        <v>2</v>
      </c>
      <c r="J99" s="29">
        <f>IFERROR(VLOOKUP(A99,[1]FALTANTES!$A:$AD,30,FALSE),"-")</f>
        <v>-1</v>
      </c>
      <c r="K99" s="30">
        <v>0</v>
      </c>
      <c r="L99" s="30">
        <f t="shared" si="1"/>
        <v>1</v>
      </c>
      <c r="M99" s="31">
        <f>SUMIFS(METALFISA!$E:$E,METALFISA!$A:$A,'Faltantes Fevereiro- Metalfisa'!M$3,METALFISA!$B:$B,'Faltantes Fevereiro- Metalfisa'!$A99)</f>
        <v>0</v>
      </c>
      <c r="N99" s="31">
        <f>SUMIFS(METALFISA!$E:$E,METALFISA!$A:$A,'Faltantes Fevereiro- Metalfisa'!N$3,METALFISA!$B:$B,'Faltantes Fevereiro- Metalfisa'!$A99)</f>
        <v>0</v>
      </c>
      <c r="O99" s="31">
        <f>SUMIFS(METALFISA!$E:$E,METALFISA!$A:$A,'Faltantes Fevereiro- Metalfisa'!O$3,METALFISA!$B:$B,'Faltantes Fevereiro- Metalfisa'!$A99)</f>
        <v>0</v>
      </c>
      <c r="P99" s="31">
        <f>SUMIFS(METALFISA!$E:$E,METALFISA!$A:$A,'Faltantes Fevereiro- Metalfisa'!P$3,METALFISA!$B:$B,'Faltantes Fevereiro- Metalfisa'!$A99)</f>
        <v>0</v>
      </c>
      <c r="Q99" s="31">
        <f>SUMIFS(METALFISA!$E:$E,METALFISA!$A:$A,'Faltantes Fevereiro- Metalfisa'!Q$3,METALFISA!$B:$B,'Faltantes Fevereiro- Metalfisa'!$A99)</f>
        <v>0</v>
      </c>
      <c r="R99" s="31">
        <f>SUMIFS(METALFISA!$E:$E,METALFISA!$A:$A,'Faltantes Fevereiro- Metalfisa'!R$3,METALFISA!$B:$B,'Faltantes Fevereiro- Metalfisa'!$A99)</f>
        <v>0</v>
      </c>
      <c r="S99" s="31">
        <f>SUMIFS(METALFISA!$E:$E,METALFISA!$A:$A,'Faltantes Fevereiro- Metalfisa'!S$3,METALFISA!$B:$B,'Faltantes Fevereiro- Metalfisa'!$A99)</f>
        <v>0</v>
      </c>
      <c r="T99" s="31">
        <f>SUMIFS(METALFISA!$E:$E,METALFISA!$A:$A,'Faltantes Fevereiro- Metalfisa'!T$3,METALFISA!$B:$B,'Faltantes Fevereiro- Metalfisa'!$A99)</f>
        <v>0</v>
      </c>
      <c r="U99" s="31">
        <f>SUMIFS(METALFISA!$E:$E,METALFISA!$A:$A,'Faltantes Fevereiro- Metalfisa'!U$3,METALFISA!$B:$B,'Faltantes Fevereiro- Metalfisa'!$A99)</f>
        <v>0</v>
      </c>
      <c r="V99" s="31">
        <f>SUMIFS(METALFISA!$E:$E,METALFISA!$A:$A,'Faltantes Fevereiro- Metalfisa'!V$3,METALFISA!$B:$B,'Faltantes Fevereiro- Metalfisa'!$A99)</f>
        <v>0</v>
      </c>
      <c r="W99" s="31">
        <f>SUMIFS(METALFISA!$E:$E,METALFISA!$A:$A,'Faltantes Fevereiro- Metalfisa'!W$3,METALFISA!$B:$B,'Faltantes Fevereiro- Metalfisa'!$A99)</f>
        <v>0</v>
      </c>
      <c r="X99" s="31">
        <f>SUMIFS(METALFISA!$E:$E,METALFISA!$A:$A,'Faltantes Fevereiro- Metalfisa'!X$3,METALFISA!$B:$B,'Faltantes Fevereiro- Metalfisa'!$A99)</f>
        <v>0</v>
      </c>
      <c r="Y99" s="31">
        <f>SUMIFS(METALFISA!$E:$E,METALFISA!$A:$A,'Faltantes Fevereiro- Metalfisa'!Y$3,METALFISA!$B:$B,'Faltantes Fevereiro- Metalfisa'!$A99)</f>
        <v>0</v>
      </c>
      <c r="Z99" s="31">
        <f>SUMIFS(METALFISA!$E:$E,METALFISA!$A:$A,'Faltantes Fevereiro- Metalfisa'!Z$3,METALFISA!$B:$B,'Faltantes Fevereiro- Metalfisa'!$A99)</f>
        <v>0</v>
      </c>
      <c r="AA99" s="31">
        <f>SUMIFS(METALFISA!$E:$E,METALFISA!$A:$A,'Faltantes Fevereiro- Metalfisa'!AA$3,METALFISA!$B:$B,'Faltantes Fevereiro- Metalfisa'!$A99)</f>
        <v>0</v>
      </c>
      <c r="AB99" s="31">
        <f>SUMIFS(METALFISA!$E:$E,METALFISA!$A:$A,'Faltantes Fevereiro- Metalfisa'!AB$3,METALFISA!$B:$B,'Faltantes Fevereiro- Metalfisa'!$A99)</f>
        <v>0</v>
      </c>
      <c r="AC99" s="31">
        <f>SUMIFS(METALFISA!$E:$E,METALFISA!$A:$A,'Faltantes Fevereiro- Metalfisa'!AC$3,METALFISA!$B:$B,'Faltantes Fevereiro- Metalfisa'!$A99)</f>
        <v>1</v>
      </c>
      <c r="AD99" s="31">
        <f>SUMIFS(METALFISA!$E:$E,METALFISA!$A:$A,'Faltantes Fevereiro- Metalfisa'!AD$3,METALFISA!$B:$B,'Faltantes Fevereiro- Metalfisa'!$A99)</f>
        <v>0</v>
      </c>
      <c r="AE99" s="31">
        <f>SUMIFS(METALFISA!$E:$E,METALFISA!$A:$A,'Faltantes Fevereiro- Metalfisa'!AE$3,METALFISA!$B:$B,'Faltantes Fevereiro- Metalfisa'!$A99)</f>
        <v>0</v>
      </c>
      <c r="AF99" s="31">
        <f>SUMIFS(METALFISA!$E:$E,METALFISA!$A:$A,'Faltantes Fevereiro- Metalfisa'!AF$3,METALFISA!$B:$B,'Faltantes Fevereiro- Metalfisa'!$A99)</f>
        <v>0</v>
      </c>
      <c r="AG99" s="31">
        <f>SUMIFS(METALFISA!$E:$E,METALFISA!$A:$A,'Faltantes Fevereiro- Metalfisa'!AG$3,METALFISA!$B:$B,'Faltantes Fevereiro- Metalfisa'!$A99)</f>
        <v>0</v>
      </c>
      <c r="AH99" s="31">
        <f>SUMIFS(METALFISA!$E:$E,METALFISA!$A:$A,'Faltantes Fevereiro- Metalfisa'!AH$3,METALFISA!$B:$B,'Faltantes Fevereiro- Metalfisa'!$A99)</f>
        <v>0</v>
      </c>
      <c r="AI99" s="31">
        <f>SUMIFS(METALFISA!$E:$E,METALFISA!$A:$A,'Faltantes Fevereiro- Metalfisa'!AI$3,METALFISA!$B:$B,'Faltantes Fevereiro- Metalfisa'!$A99)</f>
        <v>0</v>
      </c>
      <c r="AJ99" s="31">
        <f>SUMIFS(METALFISA!$E:$E,METALFISA!$A:$A,'Faltantes Fevereiro- Metalfisa'!AJ$3,METALFISA!$B:$B,'Faltantes Fevereiro- Metalfisa'!$A99)</f>
        <v>0</v>
      </c>
      <c r="AK99" s="31">
        <f>SUMIFS(METALFISA!$E:$E,METALFISA!$A:$A,'Faltantes Fevereiro- Metalfisa'!AK$3,METALFISA!$B:$B,'Faltantes Fevereiro- Metalfisa'!$A99)</f>
        <v>0</v>
      </c>
      <c r="AL99" s="31">
        <f>SUMIFS(METALFISA!$E:$E,METALFISA!$A:$A,'Faltantes Fevereiro- Metalfisa'!AL$3,METALFISA!$B:$B,'Faltantes Fevereiro- Metalfisa'!$A99)</f>
        <v>0</v>
      </c>
      <c r="AM99" s="31">
        <f>SUMIFS(METALFISA!$E:$E,METALFISA!$A:$A,'Faltantes Fevereiro- Metalfisa'!AM$3,METALFISA!$B:$B,'Faltantes Fevereiro- Metalfisa'!$A99)</f>
        <v>0</v>
      </c>
      <c r="AN99" s="31">
        <f>SUMIFS(METALFISA!$E:$E,METALFISA!$A:$A,'Faltantes Fevereiro- Metalfisa'!AN$3,METALFISA!$B:$B,'Faltantes Fevereiro- Metalfisa'!$A99)</f>
        <v>0</v>
      </c>
      <c r="AO99" s="31">
        <f>SUMIFS(METALFISA!$E:$E,METALFISA!$A:$A,'Faltantes Fevereiro- Metalfisa'!AO$3,METALFISA!$B:$B,'Faltantes Fevereiro- Metalfisa'!$A99)</f>
        <v>0</v>
      </c>
      <c r="AP99" s="31">
        <f>SUMIFS(METALFISA!$E:$E,METALFISA!$A:$A,'Faltantes Fevereiro- Metalfisa'!AP$3,METALFISA!$B:$B,'Faltantes Fevereiro- Metalfisa'!$A99)</f>
        <v>0</v>
      </c>
      <c r="AQ99" s="31"/>
      <c r="AR99" s="31">
        <f>SUMIFS(METALFISA!$E:$E,METALFISA!$A:$A,'Faltantes Fevereiro- Metalfisa'!AR$3,METALFISA!$B:$B,'Faltantes Fevereiro- Metalfisa'!$A99)</f>
        <v>0</v>
      </c>
      <c r="AS99" s="35">
        <f>SUMIFS(METALFISA!$E:$E,METALFISA!$A:$A,'Faltantes Fevereiro- Metalfisa'!AS$3,METALFISA!$B:$B,'Faltantes Fevereiro- Metalfisa'!$A99)</f>
        <v>0</v>
      </c>
      <c r="AU99" s="18">
        <v>0</v>
      </c>
      <c r="AV99" s="18">
        <v>0</v>
      </c>
      <c r="AW99" s="18">
        <v>0</v>
      </c>
      <c r="AX99" s="18">
        <v>0</v>
      </c>
      <c r="AY99" s="41">
        <v>0</v>
      </c>
      <c r="AZ99" s="31">
        <v>0</v>
      </c>
      <c r="BA99" s="31">
        <v>0</v>
      </c>
      <c r="BB99" s="31">
        <v>0</v>
      </c>
      <c r="BC99" s="31">
        <v>0</v>
      </c>
      <c r="BD99" s="31">
        <v>0</v>
      </c>
      <c r="BE99" s="31">
        <v>0</v>
      </c>
      <c r="BF99" s="31">
        <v>0</v>
      </c>
      <c r="BG99" s="31">
        <v>0</v>
      </c>
      <c r="BH99" s="31">
        <v>0</v>
      </c>
      <c r="BI99" s="31">
        <v>0</v>
      </c>
      <c r="BJ99" s="31">
        <v>0</v>
      </c>
      <c r="BK99" s="31">
        <v>0</v>
      </c>
      <c r="BL99" s="31">
        <v>0</v>
      </c>
      <c r="BM99" s="31">
        <v>1</v>
      </c>
      <c r="BN99" s="31">
        <v>0</v>
      </c>
      <c r="BO99" s="31">
        <v>0</v>
      </c>
      <c r="BP99" s="31">
        <v>0</v>
      </c>
      <c r="BQ99" s="31">
        <v>0</v>
      </c>
      <c r="BR99" s="31">
        <v>0</v>
      </c>
      <c r="BS99" s="31">
        <v>0</v>
      </c>
      <c r="BT99" s="31">
        <v>0</v>
      </c>
      <c r="BU99" s="31">
        <v>0</v>
      </c>
      <c r="BV99" s="31">
        <v>0</v>
      </c>
      <c r="BW99" s="31">
        <v>0</v>
      </c>
      <c r="BX99" s="31">
        <v>0</v>
      </c>
      <c r="BY99" s="31">
        <v>0</v>
      </c>
      <c r="BZ99" s="31">
        <v>0</v>
      </c>
      <c r="CA99" s="31">
        <v>0</v>
      </c>
      <c r="CB99" s="31">
        <v>0</v>
      </c>
      <c r="CC99" s="31">
        <v>0</v>
      </c>
      <c r="CD99" s="31">
        <v>0</v>
      </c>
      <c r="CE99" s="31">
        <v>0</v>
      </c>
      <c r="CF99" s="31">
        <v>0</v>
      </c>
      <c r="CG99" s="31">
        <v>0</v>
      </c>
      <c r="CH99" s="31">
        <v>0</v>
      </c>
      <c r="CI99" s="31">
        <v>0</v>
      </c>
      <c r="CJ99" s="31">
        <v>0</v>
      </c>
      <c r="CK99" s="31">
        <v>0</v>
      </c>
      <c r="CL99" s="35">
        <v>0</v>
      </c>
    </row>
    <row r="100" spans="1:90" ht="21" x14ac:dyDescent="0.15">
      <c r="A100" s="27" t="s">
        <v>633</v>
      </c>
      <c r="B100" s="28" t="s">
        <v>634</v>
      </c>
      <c r="C100" s="28">
        <v>0</v>
      </c>
      <c r="D100" s="28">
        <v>0</v>
      </c>
      <c r="E100" s="28">
        <v>0</v>
      </c>
      <c r="F100" s="28">
        <v>0</v>
      </c>
      <c r="G100" s="28">
        <v>3</v>
      </c>
      <c r="H100" s="28">
        <f>IFERROR(VLOOKUP(A100,[1]FALTANTES!$A:$AB,28,FALSE),"-")</f>
        <v>0</v>
      </c>
      <c r="I100" s="42">
        <f>IFERROR(VLOOKUP(A100,[1]FALTANTES!$A:$AC,29,FALSE),"-")</f>
        <v>0</v>
      </c>
      <c r="J100" s="29">
        <f>IFERROR(VLOOKUP(A100,[1]FALTANTES!$A:$AD,30,FALSE),"-")</f>
        <v>-3</v>
      </c>
      <c r="K100" s="30">
        <v>0</v>
      </c>
      <c r="L100" s="30">
        <f t="shared" si="1"/>
        <v>3</v>
      </c>
      <c r="M100" s="31">
        <f>SUMIFS(METALFISA!$E:$E,METALFISA!$A:$A,'Faltantes Fevereiro- Metalfisa'!M$3,METALFISA!$B:$B,'Faltantes Fevereiro- Metalfisa'!$A100)</f>
        <v>0</v>
      </c>
      <c r="N100" s="31">
        <f>SUMIFS(METALFISA!$E:$E,METALFISA!$A:$A,'Faltantes Fevereiro- Metalfisa'!N$3,METALFISA!$B:$B,'Faltantes Fevereiro- Metalfisa'!$A100)</f>
        <v>0</v>
      </c>
      <c r="O100" s="31">
        <f>SUMIFS(METALFISA!$E:$E,METALFISA!$A:$A,'Faltantes Fevereiro- Metalfisa'!O$3,METALFISA!$B:$B,'Faltantes Fevereiro- Metalfisa'!$A100)</f>
        <v>0</v>
      </c>
      <c r="P100" s="31">
        <f>SUMIFS(METALFISA!$E:$E,METALFISA!$A:$A,'Faltantes Fevereiro- Metalfisa'!P$3,METALFISA!$B:$B,'Faltantes Fevereiro- Metalfisa'!$A100)</f>
        <v>0</v>
      </c>
      <c r="Q100" s="31">
        <f>SUMIFS(METALFISA!$E:$E,METALFISA!$A:$A,'Faltantes Fevereiro- Metalfisa'!Q$3,METALFISA!$B:$B,'Faltantes Fevereiro- Metalfisa'!$A100)</f>
        <v>0</v>
      </c>
      <c r="R100" s="31">
        <f>SUMIFS(METALFISA!$E:$E,METALFISA!$A:$A,'Faltantes Fevereiro- Metalfisa'!R$3,METALFISA!$B:$B,'Faltantes Fevereiro- Metalfisa'!$A100)</f>
        <v>0</v>
      </c>
      <c r="S100" s="31">
        <f>SUMIFS(METALFISA!$E:$E,METALFISA!$A:$A,'Faltantes Fevereiro- Metalfisa'!S$3,METALFISA!$B:$B,'Faltantes Fevereiro- Metalfisa'!$A100)</f>
        <v>0</v>
      </c>
      <c r="T100" s="31">
        <f>SUMIFS(METALFISA!$E:$E,METALFISA!$A:$A,'Faltantes Fevereiro- Metalfisa'!T$3,METALFISA!$B:$B,'Faltantes Fevereiro- Metalfisa'!$A100)</f>
        <v>0</v>
      </c>
      <c r="U100" s="31">
        <f>SUMIFS(METALFISA!$E:$E,METALFISA!$A:$A,'Faltantes Fevereiro- Metalfisa'!U$3,METALFISA!$B:$B,'Faltantes Fevereiro- Metalfisa'!$A100)</f>
        <v>0</v>
      </c>
      <c r="V100" s="31">
        <f>SUMIFS(METALFISA!$E:$E,METALFISA!$A:$A,'Faltantes Fevereiro- Metalfisa'!V$3,METALFISA!$B:$B,'Faltantes Fevereiro- Metalfisa'!$A100)</f>
        <v>0</v>
      </c>
      <c r="W100" s="31">
        <f>SUMIFS(METALFISA!$E:$E,METALFISA!$A:$A,'Faltantes Fevereiro- Metalfisa'!W$3,METALFISA!$B:$B,'Faltantes Fevereiro- Metalfisa'!$A100)</f>
        <v>0</v>
      </c>
      <c r="X100" s="31">
        <f>SUMIFS(METALFISA!$E:$E,METALFISA!$A:$A,'Faltantes Fevereiro- Metalfisa'!X$3,METALFISA!$B:$B,'Faltantes Fevereiro- Metalfisa'!$A100)</f>
        <v>0</v>
      </c>
      <c r="Y100" s="31">
        <f>SUMIFS(METALFISA!$E:$E,METALFISA!$A:$A,'Faltantes Fevereiro- Metalfisa'!Y$3,METALFISA!$B:$B,'Faltantes Fevereiro- Metalfisa'!$A100)</f>
        <v>0</v>
      </c>
      <c r="Z100" s="31">
        <f>SUMIFS(METALFISA!$E:$E,METALFISA!$A:$A,'Faltantes Fevereiro- Metalfisa'!Z$3,METALFISA!$B:$B,'Faltantes Fevereiro- Metalfisa'!$A100)</f>
        <v>0</v>
      </c>
      <c r="AA100" s="31">
        <f>SUMIFS(METALFISA!$E:$E,METALFISA!$A:$A,'Faltantes Fevereiro- Metalfisa'!AA$3,METALFISA!$B:$B,'Faltantes Fevereiro- Metalfisa'!$A100)</f>
        <v>0</v>
      </c>
      <c r="AB100" s="31">
        <f>SUMIFS(METALFISA!$E:$E,METALFISA!$A:$A,'Faltantes Fevereiro- Metalfisa'!AB$3,METALFISA!$B:$B,'Faltantes Fevereiro- Metalfisa'!$A100)</f>
        <v>0</v>
      </c>
      <c r="AC100" s="31">
        <f>SUMIFS(METALFISA!$E:$E,METALFISA!$A:$A,'Faltantes Fevereiro- Metalfisa'!AC$3,METALFISA!$B:$B,'Faltantes Fevereiro- Metalfisa'!$A100)</f>
        <v>0</v>
      </c>
      <c r="AD100" s="31">
        <f>SUMIFS(METALFISA!$E:$E,METALFISA!$A:$A,'Faltantes Fevereiro- Metalfisa'!AD$3,METALFISA!$B:$B,'Faltantes Fevereiro- Metalfisa'!$A100)</f>
        <v>0</v>
      </c>
      <c r="AE100" s="31">
        <f>SUMIFS(METALFISA!$E:$E,METALFISA!$A:$A,'Faltantes Fevereiro- Metalfisa'!AE$3,METALFISA!$B:$B,'Faltantes Fevereiro- Metalfisa'!$A100)</f>
        <v>0</v>
      </c>
      <c r="AF100" s="31">
        <f>SUMIFS(METALFISA!$E:$E,METALFISA!$A:$A,'Faltantes Fevereiro- Metalfisa'!AF$3,METALFISA!$B:$B,'Faltantes Fevereiro- Metalfisa'!$A100)</f>
        <v>0</v>
      </c>
      <c r="AG100" s="31">
        <f>SUMIFS(METALFISA!$E:$E,METALFISA!$A:$A,'Faltantes Fevereiro- Metalfisa'!AG$3,METALFISA!$B:$B,'Faltantes Fevereiro- Metalfisa'!$A100)</f>
        <v>2</v>
      </c>
      <c r="AH100" s="31">
        <f>SUMIFS(METALFISA!$E:$E,METALFISA!$A:$A,'Faltantes Fevereiro- Metalfisa'!AH$3,METALFISA!$B:$B,'Faltantes Fevereiro- Metalfisa'!$A100)</f>
        <v>0</v>
      </c>
      <c r="AI100" s="31">
        <f>SUMIFS(METALFISA!$E:$E,METALFISA!$A:$A,'Faltantes Fevereiro- Metalfisa'!AI$3,METALFISA!$B:$B,'Faltantes Fevereiro- Metalfisa'!$A100)</f>
        <v>0</v>
      </c>
      <c r="AJ100" s="31">
        <f>SUMIFS(METALFISA!$E:$E,METALFISA!$A:$A,'Faltantes Fevereiro- Metalfisa'!AJ$3,METALFISA!$B:$B,'Faltantes Fevereiro- Metalfisa'!$A100)</f>
        <v>0</v>
      </c>
      <c r="AK100" s="31">
        <f>SUMIFS(METALFISA!$E:$E,METALFISA!$A:$A,'Faltantes Fevereiro- Metalfisa'!AK$3,METALFISA!$B:$B,'Faltantes Fevereiro- Metalfisa'!$A100)</f>
        <v>0</v>
      </c>
      <c r="AL100" s="31">
        <f>SUMIFS(METALFISA!$E:$E,METALFISA!$A:$A,'Faltantes Fevereiro- Metalfisa'!AL$3,METALFISA!$B:$B,'Faltantes Fevereiro- Metalfisa'!$A100)</f>
        <v>0</v>
      </c>
      <c r="AM100" s="31">
        <f>SUMIFS(METALFISA!$E:$E,METALFISA!$A:$A,'Faltantes Fevereiro- Metalfisa'!AM$3,METALFISA!$B:$B,'Faltantes Fevereiro- Metalfisa'!$A100)</f>
        <v>1</v>
      </c>
      <c r="AN100" s="31">
        <f>SUMIFS(METALFISA!$E:$E,METALFISA!$A:$A,'Faltantes Fevereiro- Metalfisa'!AN$3,METALFISA!$B:$B,'Faltantes Fevereiro- Metalfisa'!$A100)</f>
        <v>0</v>
      </c>
      <c r="AO100" s="31">
        <f>SUMIFS(METALFISA!$E:$E,METALFISA!$A:$A,'Faltantes Fevereiro- Metalfisa'!AO$3,METALFISA!$B:$B,'Faltantes Fevereiro- Metalfisa'!$A100)</f>
        <v>0</v>
      </c>
      <c r="AP100" s="31">
        <f>SUMIFS(METALFISA!$E:$E,METALFISA!$A:$A,'Faltantes Fevereiro- Metalfisa'!AP$3,METALFISA!$B:$B,'Faltantes Fevereiro- Metalfisa'!$A100)</f>
        <v>0</v>
      </c>
      <c r="AQ100" s="31"/>
      <c r="AR100" s="31">
        <f>SUMIFS(METALFISA!$E:$E,METALFISA!$A:$A,'Faltantes Fevereiro- Metalfisa'!AR$3,METALFISA!$B:$B,'Faltantes Fevereiro- Metalfisa'!$A100)</f>
        <v>0</v>
      </c>
      <c r="AS100" s="35">
        <f>SUMIFS(METALFISA!$E:$E,METALFISA!$A:$A,'Faltantes Fevereiro- Metalfisa'!AS$3,METALFISA!$B:$B,'Faltantes Fevereiro- Metalfisa'!$A100)</f>
        <v>0</v>
      </c>
      <c r="AU100" s="18">
        <v>0</v>
      </c>
      <c r="AV100" s="18">
        <v>0</v>
      </c>
      <c r="AW100" s="18">
        <v>0</v>
      </c>
      <c r="AX100" s="18">
        <v>0</v>
      </c>
      <c r="AY100" s="41">
        <v>0</v>
      </c>
      <c r="AZ100" s="31">
        <v>0</v>
      </c>
      <c r="BA100" s="31">
        <v>0</v>
      </c>
      <c r="BB100" s="31">
        <v>0</v>
      </c>
      <c r="BC100" s="31">
        <v>0</v>
      </c>
      <c r="BD100" s="31">
        <v>0</v>
      </c>
      <c r="BE100" s="31">
        <v>0</v>
      </c>
      <c r="BF100" s="31">
        <v>0</v>
      </c>
      <c r="BG100" s="31">
        <v>0</v>
      </c>
      <c r="BH100" s="31">
        <v>0</v>
      </c>
      <c r="BI100" s="31">
        <v>0</v>
      </c>
      <c r="BJ100" s="31">
        <v>0</v>
      </c>
      <c r="BK100" s="31">
        <v>0</v>
      </c>
      <c r="BL100" s="31">
        <v>0</v>
      </c>
      <c r="BM100" s="31">
        <v>1</v>
      </c>
      <c r="BN100" s="31">
        <v>0</v>
      </c>
      <c r="BO100" s="31">
        <v>0</v>
      </c>
      <c r="BP100" s="31">
        <v>0</v>
      </c>
      <c r="BQ100" s="31">
        <v>0</v>
      </c>
      <c r="BR100" s="31">
        <v>0</v>
      </c>
      <c r="BS100" s="31">
        <v>0</v>
      </c>
      <c r="BT100" s="31">
        <v>0</v>
      </c>
      <c r="BU100" s="31">
        <v>0</v>
      </c>
      <c r="BV100" s="31">
        <v>0</v>
      </c>
      <c r="BW100" s="31">
        <v>0</v>
      </c>
      <c r="BX100" s="31">
        <v>0</v>
      </c>
      <c r="BY100" s="31">
        <v>0</v>
      </c>
      <c r="BZ100" s="31">
        <v>0</v>
      </c>
      <c r="CA100" s="31">
        <v>0</v>
      </c>
      <c r="CB100" s="31">
        <v>0</v>
      </c>
      <c r="CC100" s="31">
        <v>0</v>
      </c>
      <c r="CD100" s="31">
        <v>0</v>
      </c>
      <c r="CE100" s="31">
        <v>0</v>
      </c>
      <c r="CF100" s="31">
        <v>0</v>
      </c>
      <c r="CG100" s="31">
        <v>0</v>
      </c>
      <c r="CH100" s="31">
        <v>0</v>
      </c>
      <c r="CI100" s="31">
        <v>0</v>
      </c>
      <c r="CJ100" s="31">
        <v>0</v>
      </c>
      <c r="CK100" s="31">
        <v>0</v>
      </c>
      <c r="CL100" s="35">
        <v>0</v>
      </c>
    </row>
    <row r="101" spans="1:90" x14ac:dyDescent="0.15">
      <c r="A101" s="27" t="s">
        <v>234</v>
      </c>
      <c r="B101" s="28" t="s">
        <v>235</v>
      </c>
      <c r="C101" s="28">
        <v>0</v>
      </c>
      <c r="D101" s="28">
        <v>0</v>
      </c>
      <c r="E101" s="28">
        <v>0</v>
      </c>
      <c r="F101" s="28">
        <v>0</v>
      </c>
      <c r="G101" s="28">
        <v>2</v>
      </c>
      <c r="H101" s="28">
        <f>IFERROR(VLOOKUP(A101,[1]FALTANTES!$A:$AB,28,FALSE),"-")</f>
        <v>0</v>
      </c>
      <c r="I101" s="42">
        <f>IFERROR(VLOOKUP(A101,[1]FALTANTES!$A:$AC,29,FALSE),"-")</f>
        <v>0</v>
      </c>
      <c r="J101" s="29">
        <f>IFERROR(VLOOKUP(A101,[1]FALTANTES!$A:$AD,30,FALSE),"-")</f>
        <v>-2</v>
      </c>
      <c r="K101" s="30">
        <v>0</v>
      </c>
      <c r="L101" s="30">
        <f t="shared" si="1"/>
        <v>2</v>
      </c>
      <c r="M101" s="31">
        <f>SUMIFS(METALFISA!$E:$E,METALFISA!$A:$A,'Faltantes Fevereiro- Metalfisa'!M$3,METALFISA!$B:$B,'Faltantes Fevereiro- Metalfisa'!$A101)</f>
        <v>0</v>
      </c>
      <c r="N101" s="31">
        <f>SUMIFS(METALFISA!$E:$E,METALFISA!$A:$A,'Faltantes Fevereiro- Metalfisa'!N$3,METALFISA!$B:$B,'Faltantes Fevereiro- Metalfisa'!$A101)</f>
        <v>0</v>
      </c>
      <c r="O101" s="31">
        <f>SUMIFS(METALFISA!$E:$E,METALFISA!$A:$A,'Faltantes Fevereiro- Metalfisa'!O$3,METALFISA!$B:$B,'Faltantes Fevereiro- Metalfisa'!$A101)</f>
        <v>0</v>
      </c>
      <c r="P101" s="31">
        <f>SUMIFS(METALFISA!$E:$E,METALFISA!$A:$A,'Faltantes Fevereiro- Metalfisa'!P$3,METALFISA!$B:$B,'Faltantes Fevereiro- Metalfisa'!$A101)</f>
        <v>0</v>
      </c>
      <c r="Q101" s="31">
        <f>SUMIFS(METALFISA!$E:$E,METALFISA!$A:$A,'Faltantes Fevereiro- Metalfisa'!Q$3,METALFISA!$B:$B,'Faltantes Fevereiro- Metalfisa'!$A101)</f>
        <v>0</v>
      </c>
      <c r="R101" s="31">
        <f>SUMIFS(METALFISA!$E:$E,METALFISA!$A:$A,'Faltantes Fevereiro- Metalfisa'!R$3,METALFISA!$B:$B,'Faltantes Fevereiro- Metalfisa'!$A101)</f>
        <v>0</v>
      </c>
      <c r="S101" s="31">
        <f>SUMIFS(METALFISA!$E:$E,METALFISA!$A:$A,'Faltantes Fevereiro- Metalfisa'!S$3,METALFISA!$B:$B,'Faltantes Fevereiro- Metalfisa'!$A101)</f>
        <v>0</v>
      </c>
      <c r="T101" s="31">
        <f>SUMIFS(METALFISA!$E:$E,METALFISA!$A:$A,'Faltantes Fevereiro- Metalfisa'!T$3,METALFISA!$B:$B,'Faltantes Fevereiro- Metalfisa'!$A101)</f>
        <v>0</v>
      </c>
      <c r="U101" s="31">
        <f>SUMIFS(METALFISA!$E:$E,METALFISA!$A:$A,'Faltantes Fevereiro- Metalfisa'!U$3,METALFISA!$B:$B,'Faltantes Fevereiro- Metalfisa'!$A101)</f>
        <v>0</v>
      </c>
      <c r="V101" s="31">
        <f>SUMIFS(METALFISA!$E:$E,METALFISA!$A:$A,'Faltantes Fevereiro- Metalfisa'!V$3,METALFISA!$B:$B,'Faltantes Fevereiro- Metalfisa'!$A101)</f>
        <v>0</v>
      </c>
      <c r="W101" s="31">
        <f>SUMIFS(METALFISA!$E:$E,METALFISA!$A:$A,'Faltantes Fevereiro- Metalfisa'!W$3,METALFISA!$B:$B,'Faltantes Fevereiro- Metalfisa'!$A101)</f>
        <v>0</v>
      </c>
      <c r="X101" s="31">
        <f>SUMIFS(METALFISA!$E:$E,METALFISA!$A:$A,'Faltantes Fevereiro- Metalfisa'!X$3,METALFISA!$B:$B,'Faltantes Fevereiro- Metalfisa'!$A101)</f>
        <v>0</v>
      </c>
      <c r="Y101" s="31">
        <f>SUMIFS(METALFISA!$E:$E,METALFISA!$A:$A,'Faltantes Fevereiro- Metalfisa'!Y$3,METALFISA!$B:$B,'Faltantes Fevereiro- Metalfisa'!$A101)</f>
        <v>0</v>
      </c>
      <c r="Z101" s="31">
        <f>SUMIFS(METALFISA!$E:$E,METALFISA!$A:$A,'Faltantes Fevereiro- Metalfisa'!Z$3,METALFISA!$B:$B,'Faltantes Fevereiro- Metalfisa'!$A101)</f>
        <v>0</v>
      </c>
      <c r="AA101" s="31">
        <f>SUMIFS(METALFISA!$E:$E,METALFISA!$A:$A,'Faltantes Fevereiro- Metalfisa'!AA$3,METALFISA!$B:$B,'Faltantes Fevereiro- Metalfisa'!$A101)</f>
        <v>0</v>
      </c>
      <c r="AB101" s="31">
        <f>SUMIFS(METALFISA!$E:$E,METALFISA!$A:$A,'Faltantes Fevereiro- Metalfisa'!AB$3,METALFISA!$B:$B,'Faltantes Fevereiro- Metalfisa'!$A101)</f>
        <v>0</v>
      </c>
      <c r="AC101" s="31">
        <f>SUMIFS(METALFISA!$E:$E,METALFISA!$A:$A,'Faltantes Fevereiro- Metalfisa'!AC$3,METALFISA!$B:$B,'Faltantes Fevereiro- Metalfisa'!$A101)</f>
        <v>0</v>
      </c>
      <c r="AD101" s="31">
        <f>SUMIFS(METALFISA!$E:$E,METALFISA!$A:$A,'Faltantes Fevereiro- Metalfisa'!AD$3,METALFISA!$B:$B,'Faltantes Fevereiro- Metalfisa'!$A101)</f>
        <v>0</v>
      </c>
      <c r="AE101" s="31">
        <f>SUMIFS(METALFISA!$E:$E,METALFISA!$A:$A,'Faltantes Fevereiro- Metalfisa'!AE$3,METALFISA!$B:$B,'Faltantes Fevereiro- Metalfisa'!$A101)</f>
        <v>0</v>
      </c>
      <c r="AF101" s="31">
        <f>SUMIFS(METALFISA!$E:$E,METALFISA!$A:$A,'Faltantes Fevereiro- Metalfisa'!AF$3,METALFISA!$B:$B,'Faltantes Fevereiro- Metalfisa'!$A101)</f>
        <v>0</v>
      </c>
      <c r="AG101" s="31">
        <f>SUMIFS(METALFISA!$E:$E,METALFISA!$A:$A,'Faltantes Fevereiro- Metalfisa'!AG$3,METALFISA!$B:$B,'Faltantes Fevereiro- Metalfisa'!$A101)</f>
        <v>2</v>
      </c>
      <c r="AH101" s="31">
        <f>SUMIFS(METALFISA!$E:$E,METALFISA!$A:$A,'Faltantes Fevereiro- Metalfisa'!AH$3,METALFISA!$B:$B,'Faltantes Fevereiro- Metalfisa'!$A101)</f>
        <v>0</v>
      </c>
      <c r="AI101" s="31">
        <f>SUMIFS(METALFISA!$E:$E,METALFISA!$A:$A,'Faltantes Fevereiro- Metalfisa'!AI$3,METALFISA!$B:$B,'Faltantes Fevereiro- Metalfisa'!$A101)</f>
        <v>0</v>
      </c>
      <c r="AJ101" s="31">
        <f>SUMIFS(METALFISA!$E:$E,METALFISA!$A:$A,'Faltantes Fevereiro- Metalfisa'!AJ$3,METALFISA!$B:$B,'Faltantes Fevereiro- Metalfisa'!$A101)</f>
        <v>0</v>
      </c>
      <c r="AK101" s="31">
        <f>SUMIFS(METALFISA!$E:$E,METALFISA!$A:$A,'Faltantes Fevereiro- Metalfisa'!AK$3,METALFISA!$B:$B,'Faltantes Fevereiro- Metalfisa'!$A101)</f>
        <v>0</v>
      </c>
      <c r="AL101" s="31">
        <f>SUMIFS(METALFISA!$E:$E,METALFISA!$A:$A,'Faltantes Fevereiro- Metalfisa'!AL$3,METALFISA!$B:$B,'Faltantes Fevereiro- Metalfisa'!$A101)</f>
        <v>0</v>
      </c>
      <c r="AM101" s="31">
        <f>SUMIFS(METALFISA!$E:$E,METALFISA!$A:$A,'Faltantes Fevereiro- Metalfisa'!AM$3,METALFISA!$B:$B,'Faltantes Fevereiro- Metalfisa'!$A101)</f>
        <v>0</v>
      </c>
      <c r="AN101" s="31">
        <f>SUMIFS(METALFISA!$E:$E,METALFISA!$A:$A,'Faltantes Fevereiro- Metalfisa'!AN$3,METALFISA!$B:$B,'Faltantes Fevereiro- Metalfisa'!$A101)</f>
        <v>0</v>
      </c>
      <c r="AO101" s="31">
        <f>SUMIFS(METALFISA!$E:$E,METALFISA!$A:$A,'Faltantes Fevereiro- Metalfisa'!AO$3,METALFISA!$B:$B,'Faltantes Fevereiro- Metalfisa'!$A101)</f>
        <v>0</v>
      </c>
      <c r="AP101" s="31">
        <f>SUMIFS(METALFISA!$E:$E,METALFISA!$A:$A,'Faltantes Fevereiro- Metalfisa'!AP$3,METALFISA!$B:$B,'Faltantes Fevereiro- Metalfisa'!$A101)</f>
        <v>0</v>
      </c>
      <c r="AQ101" s="31"/>
      <c r="AR101" s="31">
        <f>SUMIFS(METALFISA!$E:$E,METALFISA!$A:$A,'Faltantes Fevereiro- Metalfisa'!AR$3,METALFISA!$B:$B,'Faltantes Fevereiro- Metalfisa'!$A101)</f>
        <v>0</v>
      </c>
      <c r="AS101" s="35">
        <f>SUMIFS(METALFISA!$E:$E,METALFISA!$A:$A,'Faltantes Fevereiro- Metalfisa'!AS$3,METALFISA!$B:$B,'Faltantes Fevereiro- Metalfisa'!$A101)</f>
        <v>0</v>
      </c>
      <c r="AU101" s="18">
        <v>0</v>
      </c>
      <c r="AV101" s="18">
        <v>0</v>
      </c>
      <c r="AW101" s="18">
        <v>0</v>
      </c>
      <c r="AX101" s="18">
        <v>0</v>
      </c>
      <c r="AY101" s="41">
        <v>0</v>
      </c>
      <c r="AZ101" s="31">
        <v>0</v>
      </c>
      <c r="BA101" s="31">
        <v>0</v>
      </c>
      <c r="BB101" s="31">
        <v>0</v>
      </c>
      <c r="BC101" s="31">
        <v>0</v>
      </c>
      <c r="BD101" s="31">
        <v>0</v>
      </c>
      <c r="BE101" s="31">
        <v>0</v>
      </c>
      <c r="BF101" s="31">
        <v>0</v>
      </c>
      <c r="BG101" s="31">
        <v>0</v>
      </c>
      <c r="BH101" s="31">
        <v>0</v>
      </c>
      <c r="BI101" s="31">
        <v>0</v>
      </c>
      <c r="BJ101" s="31">
        <v>0</v>
      </c>
      <c r="BK101" s="31">
        <v>0</v>
      </c>
      <c r="BL101" s="31">
        <v>0</v>
      </c>
      <c r="BM101" s="31">
        <v>1</v>
      </c>
      <c r="BN101" s="31">
        <v>0</v>
      </c>
      <c r="BO101" s="31">
        <v>0</v>
      </c>
      <c r="BP101" s="31">
        <v>0</v>
      </c>
      <c r="BQ101" s="31">
        <v>0</v>
      </c>
      <c r="BR101" s="31">
        <v>0</v>
      </c>
      <c r="BS101" s="31">
        <v>0</v>
      </c>
      <c r="BT101" s="31">
        <v>0</v>
      </c>
      <c r="BU101" s="31">
        <v>0</v>
      </c>
      <c r="BV101" s="31">
        <v>0</v>
      </c>
      <c r="BW101" s="31">
        <v>0</v>
      </c>
      <c r="BX101" s="31">
        <v>0</v>
      </c>
      <c r="BY101" s="31">
        <v>0</v>
      </c>
      <c r="BZ101" s="31">
        <v>0</v>
      </c>
      <c r="CA101" s="31">
        <v>0</v>
      </c>
      <c r="CB101" s="31">
        <v>0</v>
      </c>
      <c r="CC101" s="31">
        <v>0</v>
      </c>
      <c r="CD101" s="31">
        <v>0</v>
      </c>
      <c r="CE101" s="31">
        <v>0</v>
      </c>
      <c r="CF101" s="31">
        <v>0</v>
      </c>
      <c r="CG101" s="31">
        <v>0</v>
      </c>
      <c r="CH101" s="31">
        <v>0</v>
      </c>
      <c r="CI101" s="31">
        <v>0</v>
      </c>
      <c r="CJ101" s="31">
        <v>0</v>
      </c>
      <c r="CK101" s="31">
        <v>0</v>
      </c>
      <c r="CL101" s="35">
        <v>0</v>
      </c>
    </row>
    <row r="102" spans="1:90" ht="21" x14ac:dyDescent="0.15">
      <c r="A102" s="27" t="s">
        <v>637</v>
      </c>
      <c r="B102" s="28" t="s">
        <v>638</v>
      </c>
      <c r="C102" s="28">
        <v>0</v>
      </c>
      <c r="D102" s="28">
        <v>0</v>
      </c>
      <c r="E102" s="28">
        <v>0</v>
      </c>
      <c r="F102" s="28">
        <v>0</v>
      </c>
      <c r="G102" s="28">
        <v>2</v>
      </c>
      <c r="H102" s="28">
        <f>IFERROR(VLOOKUP(A102,[1]FALTANTES!$A:$AB,28,FALSE),"-")</f>
        <v>0</v>
      </c>
      <c r="I102" s="42">
        <f>IFERROR(VLOOKUP(A102,[1]FALTANTES!$A:$AC,29,FALSE),"-")</f>
        <v>0</v>
      </c>
      <c r="J102" s="29">
        <f>IFERROR(VLOOKUP(A102,[1]FALTANTES!$A:$AD,30,FALSE),"-")</f>
        <v>-2</v>
      </c>
      <c r="K102" s="30">
        <v>0</v>
      </c>
      <c r="L102" s="30">
        <f t="shared" si="1"/>
        <v>2</v>
      </c>
      <c r="M102" s="31">
        <f>SUMIFS(METALFISA!$E:$E,METALFISA!$A:$A,'Faltantes Fevereiro- Metalfisa'!M$3,METALFISA!$B:$B,'Faltantes Fevereiro- Metalfisa'!$A102)</f>
        <v>0</v>
      </c>
      <c r="N102" s="31">
        <f>SUMIFS(METALFISA!$E:$E,METALFISA!$A:$A,'Faltantes Fevereiro- Metalfisa'!N$3,METALFISA!$B:$B,'Faltantes Fevereiro- Metalfisa'!$A102)</f>
        <v>0</v>
      </c>
      <c r="O102" s="31">
        <f>SUMIFS(METALFISA!$E:$E,METALFISA!$A:$A,'Faltantes Fevereiro- Metalfisa'!O$3,METALFISA!$B:$B,'Faltantes Fevereiro- Metalfisa'!$A102)</f>
        <v>0</v>
      </c>
      <c r="P102" s="31">
        <f>SUMIFS(METALFISA!$E:$E,METALFISA!$A:$A,'Faltantes Fevereiro- Metalfisa'!P$3,METALFISA!$B:$B,'Faltantes Fevereiro- Metalfisa'!$A102)</f>
        <v>0</v>
      </c>
      <c r="Q102" s="31">
        <f>SUMIFS(METALFISA!$E:$E,METALFISA!$A:$A,'Faltantes Fevereiro- Metalfisa'!Q$3,METALFISA!$B:$B,'Faltantes Fevereiro- Metalfisa'!$A102)</f>
        <v>0</v>
      </c>
      <c r="R102" s="31">
        <f>SUMIFS(METALFISA!$E:$E,METALFISA!$A:$A,'Faltantes Fevereiro- Metalfisa'!R$3,METALFISA!$B:$B,'Faltantes Fevereiro- Metalfisa'!$A102)</f>
        <v>0</v>
      </c>
      <c r="S102" s="31">
        <f>SUMIFS(METALFISA!$E:$E,METALFISA!$A:$A,'Faltantes Fevereiro- Metalfisa'!S$3,METALFISA!$B:$B,'Faltantes Fevereiro- Metalfisa'!$A102)</f>
        <v>0</v>
      </c>
      <c r="T102" s="31">
        <f>SUMIFS(METALFISA!$E:$E,METALFISA!$A:$A,'Faltantes Fevereiro- Metalfisa'!T$3,METALFISA!$B:$B,'Faltantes Fevereiro- Metalfisa'!$A102)</f>
        <v>0</v>
      </c>
      <c r="U102" s="31">
        <f>SUMIFS(METALFISA!$E:$E,METALFISA!$A:$A,'Faltantes Fevereiro- Metalfisa'!U$3,METALFISA!$B:$B,'Faltantes Fevereiro- Metalfisa'!$A102)</f>
        <v>0</v>
      </c>
      <c r="V102" s="31">
        <f>SUMIFS(METALFISA!$E:$E,METALFISA!$A:$A,'Faltantes Fevereiro- Metalfisa'!V$3,METALFISA!$B:$B,'Faltantes Fevereiro- Metalfisa'!$A102)</f>
        <v>0</v>
      </c>
      <c r="W102" s="31">
        <f>SUMIFS(METALFISA!$E:$E,METALFISA!$A:$A,'Faltantes Fevereiro- Metalfisa'!W$3,METALFISA!$B:$B,'Faltantes Fevereiro- Metalfisa'!$A102)</f>
        <v>0</v>
      </c>
      <c r="X102" s="31">
        <f>SUMIFS(METALFISA!$E:$E,METALFISA!$A:$A,'Faltantes Fevereiro- Metalfisa'!X$3,METALFISA!$B:$B,'Faltantes Fevereiro- Metalfisa'!$A102)</f>
        <v>0</v>
      </c>
      <c r="Y102" s="31">
        <f>SUMIFS(METALFISA!$E:$E,METALFISA!$A:$A,'Faltantes Fevereiro- Metalfisa'!Y$3,METALFISA!$B:$B,'Faltantes Fevereiro- Metalfisa'!$A102)</f>
        <v>0</v>
      </c>
      <c r="Z102" s="31">
        <f>SUMIFS(METALFISA!$E:$E,METALFISA!$A:$A,'Faltantes Fevereiro- Metalfisa'!Z$3,METALFISA!$B:$B,'Faltantes Fevereiro- Metalfisa'!$A102)</f>
        <v>0</v>
      </c>
      <c r="AA102" s="31">
        <f>SUMIFS(METALFISA!$E:$E,METALFISA!$A:$A,'Faltantes Fevereiro- Metalfisa'!AA$3,METALFISA!$B:$B,'Faltantes Fevereiro- Metalfisa'!$A102)</f>
        <v>0</v>
      </c>
      <c r="AB102" s="31">
        <f>SUMIFS(METALFISA!$E:$E,METALFISA!$A:$A,'Faltantes Fevereiro- Metalfisa'!AB$3,METALFISA!$B:$B,'Faltantes Fevereiro- Metalfisa'!$A102)</f>
        <v>0</v>
      </c>
      <c r="AC102" s="31">
        <f>SUMIFS(METALFISA!$E:$E,METALFISA!$A:$A,'Faltantes Fevereiro- Metalfisa'!AC$3,METALFISA!$B:$B,'Faltantes Fevereiro- Metalfisa'!$A102)</f>
        <v>0</v>
      </c>
      <c r="AD102" s="31">
        <f>SUMIFS(METALFISA!$E:$E,METALFISA!$A:$A,'Faltantes Fevereiro- Metalfisa'!AD$3,METALFISA!$B:$B,'Faltantes Fevereiro- Metalfisa'!$A102)</f>
        <v>0</v>
      </c>
      <c r="AE102" s="31">
        <f>SUMIFS(METALFISA!$E:$E,METALFISA!$A:$A,'Faltantes Fevereiro- Metalfisa'!AE$3,METALFISA!$B:$B,'Faltantes Fevereiro- Metalfisa'!$A102)</f>
        <v>0</v>
      </c>
      <c r="AF102" s="31">
        <f>SUMIFS(METALFISA!$E:$E,METALFISA!$A:$A,'Faltantes Fevereiro- Metalfisa'!AF$3,METALFISA!$B:$B,'Faltantes Fevereiro- Metalfisa'!$A102)</f>
        <v>0</v>
      </c>
      <c r="AG102" s="31">
        <f>SUMIFS(METALFISA!$E:$E,METALFISA!$A:$A,'Faltantes Fevereiro- Metalfisa'!AG$3,METALFISA!$B:$B,'Faltantes Fevereiro- Metalfisa'!$A102)</f>
        <v>2</v>
      </c>
      <c r="AH102" s="31">
        <f>SUMIFS(METALFISA!$E:$E,METALFISA!$A:$A,'Faltantes Fevereiro- Metalfisa'!AH$3,METALFISA!$B:$B,'Faltantes Fevereiro- Metalfisa'!$A102)</f>
        <v>0</v>
      </c>
      <c r="AI102" s="31">
        <f>SUMIFS(METALFISA!$E:$E,METALFISA!$A:$A,'Faltantes Fevereiro- Metalfisa'!AI$3,METALFISA!$B:$B,'Faltantes Fevereiro- Metalfisa'!$A102)</f>
        <v>0</v>
      </c>
      <c r="AJ102" s="31">
        <f>SUMIFS(METALFISA!$E:$E,METALFISA!$A:$A,'Faltantes Fevereiro- Metalfisa'!AJ$3,METALFISA!$B:$B,'Faltantes Fevereiro- Metalfisa'!$A102)</f>
        <v>0</v>
      </c>
      <c r="AK102" s="31">
        <f>SUMIFS(METALFISA!$E:$E,METALFISA!$A:$A,'Faltantes Fevereiro- Metalfisa'!AK$3,METALFISA!$B:$B,'Faltantes Fevereiro- Metalfisa'!$A102)</f>
        <v>0</v>
      </c>
      <c r="AL102" s="31">
        <f>SUMIFS(METALFISA!$E:$E,METALFISA!$A:$A,'Faltantes Fevereiro- Metalfisa'!AL$3,METALFISA!$B:$B,'Faltantes Fevereiro- Metalfisa'!$A102)</f>
        <v>0</v>
      </c>
      <c r="AM102" s="31">
        <f>SUMIFS(METALFISA!$E:$E,METALFISA!$A:$A,'Faltantes Fevereiro- Metalfisa'!AM$3,METALFISA!$B:$B,'Faltantes Fevereiro- Metalfisa'!$A102)</f>
        <v>0</v>
      </c>
      <c r="AN102" s="31">
        <f>SUMIFS(METALFISA!$E:$E,METALFISA!$A:$A,'Faltantes Fevereiro- Metalfisa'!AN$3,METALFISA!$B:$B,'Faltantes Fevereiro- Metalfisa'!$A102)</f>
        <v>0</v>
      </c>
      <c r="AO102" s="31">
        <f>SUMIFS(METALFISA!$E:$E,METALFISA!$A:$A,'Faltantes Fevereiro- Metalfisa'!AO$3,METALFISA!$B:$B,'Faltantes Fevereiro- Metalfisa'!$A102)</f>
        <v>0</v>
      </c>
      <c r="AP102" s="31">
        <f>SUMIFS(METALFISA!$E:$E,METALFISA!$A:$A,'Faltantes Fevereiro- Metalfisa'!AP$3,METALFISA!$B:$B,'Faltantes Fevereiro- Metalfisa'!$A102)</f>
        <v>0</v>
      </c>
      <c r="AQ102" s="31"/>
      <c r="AR102" s="31">
        <f>SUMIFS(METALFISA!$E:$E,METALFISA!$A:$A,'Faltantes Fevereiro- Metalfisa'!AR$3,METALFISA!$B:$B,'Faltantes Fevereiro- Metalfisa'!$A102)</f>
        <v>0</v>
      </c>
      <c r="AS102" s="35">
        <f>SUMIFS(METALFISA!$E:$E,METALFISA!$A:$A,'Faltantes Fevereiro- Metalfisa'!AS$3,METALFISA!$B:$B,'Faltantes Fevereiro- Metalfisa'!$A102)</f>
        <v>0</v>
      </c>
      <c r="AU102" s="18">
        <v>0</v>
      </c>
      <c r="AV102" s="18">
        <v>0</v>
      </c>
      <c r="AW102" s="18">
        <v>0</v>
      </c>
      <c r="AX102" s="18">
        <v>0</v>
      </c>
      <c r="AY102" s="41">
        <v>0</v>
      </c>
      <c r="AZ102" s="31">
        <v>0</v>
      </c>
      <c r="BA102" s="31">
        <v>0</v>
      </c>
      <c r="BB102" s="31">
        <v>0</v>
      </c>
      <c r="BC102" s="31">
        <v>0</v>
      </c>
      <c r="BD102" s="31">
        <v>0</v>
      </c>
      <c r="BE102" s="31">
        <v>0</v>
      </c>
      <c r="BF102" s="31">
        <v>0</v>
      </c>
      <c r="BG102" s="31">
        <v>0</v>
      </c>
      <c r="BH102" s="31">
        <v>0</v>
      </c>
      <c r="BI102" s="31">
        <v>0</v>
      </c>
      <c r="BJ102" s="31">
        <v>0</v>
      </c>
      <c r="BK102" s="31">
        <v>0</v>
      </c>
      <c r="BL102" s="31">
        <v>0</v>
      </c>
      <c r="BM102" s="31">
        <v>1</v>
      </c>
      <c r="BN102" s="31">
        <v>0</v>
      </c>
      <c r="BO102" s="31">
        <v>0</v>
      </c>
      <c r="BP102" s="31">
        <v>0</v>
      </c>
      <c r="BQ102" s="31">
        <v>0</v>
      </c>
      <c r="BR102" s="31">
        <v>0</v>
      </c>
      <c r="BS102" s="31">
        <v>0</v>
      </c>
      <c r="BT102" s="31">
        <v>0</v>
      </c>
      <c r="BU102" s="31">
        <v>0</v>
      </c>
      <c r="BV102" s="31">
        <v>0</v>
      </c>
      <c r="BW102" s="31">
        <v>0</v>
      </c>
      <c r="BX102" s="31">
        <v>0</v>
      </c>
      <c r="BY102" s="31">
        <v>0</v>
      </c>
      <c r="BZ102" s="31">
        <v>0</v>
      </c>
      <c r="CA102" s="31">
        <v>0</v>
      </c>
      <c r="CB102" s="31">
        <v>0</v>
      </c>
      <c r="CC102" s="31">
        <v>0</v>
      </c>
      <c r="CD102" s="31">
        <v>0</v>
      </c>
      <c r="CE102" s="31">
        <v>0</v>
      </c>
      <c r="CF102" s="31">
        <v>0</v>
      </c>
      <c r="CG102" s="31">
        <v>0</v>
      </c>
      <c r="CH102" s="31">
        <v>0</v>
      </c>
      <c r="CI102" s="31">
        <v>0</v>
      </c>
      <c r="CJ102" s="31">
        <v>0</v>
      </c>
      <c r="CK102" s="31">
        <v>0</v>
      </c>
      <c r="CL102" s="35">
        <v>0</v>
      </c>
    </row>
    <row r="103" spans="1:90" x14ac:dyDescent="0.15">
      <c r="A103" s="27" t="s">
        <v>237</v>
      </c>
      <c r="B103" s="28" t="s">
        <v>238</v>
      </c>
      <c r="C103" s="28">
        <v>0</v>
      </c>
      <c r="D103" s="28">
        <v>0</v>
      </c>
      <c r="E103" s="28">
        <v>0</v>
      </c>
      <c r="F103" s="28">
        <v>0</v>
      </c>
      <c r="G103" s="28">
        <v>2</v>
      </c>
      <c r="H103" s="28">
        <f>IFERROR(VLOOKUP(A103,[1]FALTANTES!$A:$AB,28,FALSE),"-")</f>
        <v>0</v>
      </c>
      <c r="I103" s="42">
        <f>IFERROR(VLOOKUP(A103,[1]FALTANTES!$A:$AC,29,FALSE),"-")</f>
        <v>0</v>
      </c>
      <c r="J103" s="29">
        <f>IFERROR(VLOOKUP(A103,[1]FALTANTES!$A:$AD,30,FALSE),"-")</f>
        <v>-2</v>
      </c>
      <c r="K103" s="30">
        <v>0</v>
      </c>
      <c r="L103" s="30">
        <f t="shared" si="1"/>
        <v>2</v>
      </c>
      <c r="M103" s="31">
        <f>SUMIFS(METALFISA!$E:$E,METALFISA!$A:$A,'Faltantes Fevereiro- Metalfisa'!M$3,METALFISA!$B:$B,'Faltantes Fevereiro- Metalfisa'!$A103)</f>
        <v>0</v>
      </c>
      <c r="N103" s="31">
        <f>SUMIFS(METALFISA!$E:$E,METALFISA!$A:$A,'Faltantes Fevereiro- Metalfisa'!N$3,METALFISA!$B:$B,'Faltantes Fevereiro- Metalfisa'!$A103)</f>
        <v>0</v>
      </c>
      <c r="O103" s="31">
        <f>SUMIFS(METALFISA!$E:$E,METALFISA!$A:$A,'Faltantes Fevereiro- Metalfisa'!O$3,METALFISA!$B:$B,'Faltantes Fevereiro- Metalfisa'!$A103)</f>
        <v>0</v>
      </c>
      <c r="P103" s="31">
        <f>SUMIFS(METALFISA!$E:$E,METALFISA!$A:$A,'Faltantes Fevereiro- Metalfisa'!P$3,METALFISA!$B:$B,'Faltantes Fevereiro- Metalfisa'!$A103)</f>
        <v>0</v>
      </c>
      <c r="Q103" s="31">
        <f>SUMIFS(METALFISA!$E:$E,METALFISA!$A:$A,'Faltantes Fevereiro- Metalfisa'!Q$3,METALFISA!$B:$B,'Faltantes Fevereiro- Metalfisa'!$A103)</f>
        <v>0</v>
      </c>
      <c r="R103" s="31">
        <f>SUMIFS(METALFISA!$E:$E,METALFISA!$A:$A,'Faltantes Fevereiro- Metalfisa'!R$3,METALFISA!$B:$B,'Faltantes Fevereiro- Metalfisa'!$A103)</f>
        <v>0</v>
      </c>
      <c r="S103" s="31">
        <f>SUMIFS(METALFISA!$E:$E,METALFISA!$A:$A,'Faltantes Fevereiro- Metalfisa'!S$3,METALFISA!$B:$B,'Faltantes Fevereiro- Metalfisa'!$A103)</f>
        <v>0</v>
      </c>
      <c r="T103" s="31">
        <f>SUMIFS(METALFISA!$E:$E,METALFISA!$A:$A,'Faltantes Fevereiro- Metalfisa'!T$3,METALFISA!$B:$B,'Faltantes Fevereiro- Metalfisa'!$A103)</f>
        <v>0</v>
      </c>
      <c r="U103" s="31">
        <f>SUMIFS(METALFISA!$E:$E,METALFISA!$A:$A,'Faltantes Fevereiro- Metalfisa'!U$3,METALFISA!$B:$B,'Faltantes Fevereiro- Metalfisa'!$A103)</f>
        <v>0</v>
      </c>
      <c r="V103" s="31">
        <f>SUMIFS(METALFISA!$E:$E,METALFISA!$A:$A,'Faltantes Fevereiro- Metalfisa'!V$3,METALFISA!$B:$B,'Faltantes Fevereiro- Metalfisa'!$A103)</f>
        <v>0</v>
      </c>
      <c r="W103" s="31">
        <f>SUMIFS(METALFISA!$E:$E,METALFISA!$A:$A,'Faltantes Fevereiro- Metalfisa'!W$3,METALFISA!$B:$B,'Faltantes Fevereiro- Metalfisa'!$A103)</f>
        <v>0</v>
      </c>
      <c r="X103" s="31">
        <f>SUMIFS(METALFISA!$E:$E,METALFISA!$A:$A,'Faltantes Fevereiro- Metalfisa'!X$3,METALFISA!$B:$B,'Faltantes Fevereiro- Metalfisa'!$A103)</f>
        <v>0</v>
      </c>
      <c r="Y103" s="31">
        <f>SUMIFS(METALFISA!$E:$E,METALFISA!$A:$A,'Faltantes Fevereiro- Metalfisa'!Y$3,METALFISA!$B:$B,'Faltantes Fevereiro- Metalfisa'!$A103)</f>
        <v>0</v>
      </c>
      <c r="Z103" s="31">
        <f>SUMIFS(METALFISA!$E:$E,METALFISA!$A:$A,'Faltantes Fevereiro- Metalfisa'!Z$3,METALFISA!$B:$B,'Faltantes Fevereiro- Metalfisa'!$A103)</f>
        <v>0</v>
      </c>
      <c r="AA103" s="31">
        <f>SUMIFS(METALFISA!$E:$E,METALFISA!$A:$A,'Faltantes Fevereiro- Metalfisa'!AA$3,METALFISA!$B:$B,'Faltantes Fevereiro- Metalfisa'!$A103)</f>
        <v>0</v>
      </c>
      <c r="AB103" s="31">
        <f>SUMIFS(METALFISA!$E:$E,METALFISA!$A:$A,'Faltantes Fevereiro- Metalfisa'!AB$3,METALFISA!$B:$B,'Faltantes Fevereiro- Metalfisa'!$A103)</f>
        <v>0</v>
      </c>
      <c r="AC103" s="31">
        <f>SUMIFS(METALFISA!$E:$E,METALFISA!$A:$A,'Faltantes Fevereiro- Metalfisa'!AC$3,METALFISA!$B:$B,'Faltantes Fevereiro- Metalfisa'!$A103)</f>
        <v>0</v>
      </c>
      <c r="AD103" s="31">
        <f>SUMIFS(METALFISA!$E:$E,METALFISA!$A:$A,'Faltantes Fevereiro- Metalfisa'!AD$3,METALFISA!$B:$B,'Faltantes Fevereiro- Metalfisa'!$A103)</f>
        <v>0</v>
      </c>
      <c r="AE103" s="31">
        <f>SUMIFS(METALFISA!$E:$E,METALFISA!$A:$A,'Faltantes Fevereiro- Metalfisa'!AE$3,METALFISA!$B:$B,'Faltantes Fevereiro- Metalfisa'!$A103)</f>
        <v>0</v>
      </c>
      <c r="AF103" s="31">
        <f>SUMIFS(METALFISA!$E:$E,METALFISA!$A:$A,'Faltantes Fevereiro- Metalfisa'!AF$3,METALFISA!$B:$B,'Faltantes Fevereiro- Metalfisa'!$A103)</f>
        <v>0</v>
      </c>
      <c r="AG103" s="31">
        <f>SUMIFS(METALFISA!$E:$E,METALFISA!$A:$A,'Faltantes Fevereiro- Metalfisa'!AG$3,METALFISA!$B:$B,'Faltantes Fevereiro- Metalfisa'!$A103)</f>
        <v>2</v>
      </c>
      <c r="AH103" s="31">
        <f>SUMIFS(METALFISA!$E:$E,METALFISA!$A:$A,'Faltantes Fevereiro- Metalfisa'!AH$3,METALFISA!$B:$B,'Faltantes Fevereiro- Metalfisa'!$A103)</f>
        <v>0</v>
      </c>
      <c r="AI103" s="31">
        <f>SUMIFS(METALFISA!$E:$E,METALFISA!$A:$A,'Faltantes Fevereiro- Metalfisa'!AI$3,METALFISA!$B:$B,'Faltantes Fevereiro- Metalfisa'!$A103)</f>
        <v>0</v>
      </c>
      <c r="AJ103" s="31">
        <f>SUMIFS(METALFISA!$E:$E,METALFISA!$A:$A,'Faltantes Fevereiro- Metalfisa'!AJ$3,METALFISA!$B:$B,'Faltantes Fevereiro- Metalfisa'!$A103)</f>
        <v>0</v>
      </c>
      <c r="AK103" s="31">
        <f>SUMIFS(METALFISA!$E:$E,METALFISA!$A:$A,'Faltantes Fevereiro- Metalfisa'!AK$3,METALFISA!$B:$B,'Faltantes Fevereiro- Metalfisa'!$A103)</f>
        <v>0</v>
      </c>
      <c r="AL103" s="31">
        <f>SUMIFS(METALFISA!$E:$E,METALFISA!$A:$A,'Faltantes Fevereiro- Metalfisa'!AL$3,METALFISA!$B:$B,'Faltantes Fevereiro- Metalfisa'!$A103)</f>
        <v>0</v>
      </c>
      <c r="AM103" s="31">
        <f>SUMIFS(METALFISA!$E:$E,METALFISA!$A:$A,'Faltantes Fevereiro- Metalfisa'!AM$3,METALFISA!$B:$B,'Faltantes Fevereiro- Metalfisa'!$A103)</f>
        <v>0</v>
      </c>
      <c r="AN103" s="31">
        <f>SUMIFS(METALFISA!$E:$E,METALFISA!$A:$A,'Faltantes Fevereiro- Metalfisa'!AN$3,METALFISA!$B:$B,'Faltantes Fevereiro- Metalfisa'!$A103)</f>
        <v>0</v>
      </c>
      <c r="AO103" s="31">
        <f>SUMIFS(METALFISA!$E:$E,METALFISA!$A:$A,'Faltantes Fevereiro- Metalfisa'!AO$3,METALFISA!$B:$B,'Faltantes Fevereiro- Metalfisa'!$A103)</f>
        <v>0</v>
      </c>
      <c r="AP103" s="31">
        <f>SUMIFS(METALFISA!$E:$E,METALFISA!$A:$A,'Faltantes Fevereiro- Metalfisa'!AP$3,METALFISA!$B:$B,'Faltantes Fevereiro- Metalfisa'!$A103)</f>
        <v>0</v>
      </c>
      <c r="AQ103" s="31"/>
      <c r="AR103" s="31">
        <f>SUMIFS(METALFISA!$E:$E,METALFISA!$A:$A,'Faltantes Fevereiro- Metalfisa'!AR$3,METALFISA!$B:$B,'Faltantes Fevereiro- Metalfisa'!$A103)</f>
        <v>0</v>
      </c>
      <c r="AS103" s="35">
        <f>SUMIFS(METALFISA!$E:$E,METALFISA!$A:$A,'Faltantes Fevereiro- Metalfisa'!AS$3,METALFISA!$B:$B,'Faltantes Fevereiro- Metalfisa'!$A103)</f>
        <v>0</v>
      </c>
      <c r="AU103" s="18">
        <v>0</v>
      </c>
      <c r="AV103" s="18">
        <v>0</v>
      </c>
      <c r="AW103" s="18">
        <v>0</v>
      </c>
      <c r="AX103" s="18">
        <v>0</v>
      </c>
      <c r="AY103" s="41">
        <v>0</v>
      </c>
      <c r="AZ103" s="31">
        <v>0</v>
      </c>
      <c r="BA103" s="31">
        <v>0</v>
      </c>
      <c r="BB103" s="31">
        <v>0</v>
      </c>
      <c r="BC103" s="31">
        <v>0</v>
      </c>
      <c r="BD103" s="31">
        <v>0</v>
      </c>
      <c r="BE103" s="31">
        <v>0</v>
      </c>
      <c r="BF103" s="31">
        <v>0</v>
      </c>
      <c r="BG103" s="31">
        <v>0</v>
      </c>
      <c r="BH103" s="31">
        <v>0</v>
      </c>
      <c r="BI103" s="31">
        <v>0</v>
      </c>
      <c r="BJ103" s="31">
        <v>0</v>
      </c>
      <c r="BK103" s="31">
        <v>0</v>
      </c>
      <c r="BL103" s="31">
        <v>0</v>
      </c>
      <c r="BM103" s="31">
        <v>1</v>
      </c>
      <c r="BN103" s="31">
        <v>0</v>
      </c>
      <c r="BO103" s="31">
        <v>0</v>
      </c>
      <c r="BP103" s="31">
        <v>0</v>
      </c>
      <c r="BQ103" s="31">
        <v>0</v>
      </c>
      <c r="BR103" s="31">
        <v>0</v>
      </c>
      <c r="BS103" s="31">
        <v>0</v>
      </c>
      <c r="BT103" s="31">
        <v>0</v>
      </c>
      <c r="BU103" s="31">
        <v>0</v>
      </c>
      <c r="BV103" s="31">
        <v>0</v>
      </c>
      <c r="BW103" s="31">
        <v>0</v>
      </c>
      <c r="BX103" s="31">
        <v>0</v>
      </c>
      <c r="BY103" s="31">
        <v>0</v>
      </c>
      <c r="BZ103" s="31">
        <v>0</v>
      </c>
      <c r="CA103" s="31">
        <v>0</v>
      </c>
      <c r="CB103" s="31">
        <v>0</v>
      </c>
      <c r="CC103" s="31">
        <v>0</v>
      </c>
      <c r="CD103" s="31">
        <v>0</v>
      </c>
      <c r="CE103" s="31">
        <v>0</v>
      </c>
      <c r="CF103" s="31">
        <v>0</v>
      </c>
      <c r="CG103" s="31">
        <v>0</v>
      </c>
      <c r="CH103" s="31">
        <v>0</v>
      </c>
      <c r="CI103" s="31">
        <v>0</v>
      </c>
      <c r="CJ103" s="31">
        <v>0</v>
      </c>
      <c r="CK103" s="31">
        <v>0</v>
      </c>
      <c r="CL103" s="35">
        <v>0</v>
      </c>
    </row>
    <row r="104" spans="1:90" x14ac:dyDescent="0.15">
      <c r="A104" s="27" t="s">
        <v>639</v>
      </c>
      <c r="B104" s="28" t="s">
        <v>640</v>
      </c>
      <c r="C104" s="28">
        <v>0</v>
      </c>
      <c r="D104" s="28">
        <v>0</v>
      </c>
      <c r="E104" s="28">
        <v>0</v>
      </c>
      <c r="F104" s="28">
        <v>0</v>
      </c>
      <c r="G104" s="28">
        <v>2</v>
      </c>
      <c r="H104" s="28">
        <f>IFERROR(VLOOKUP(A104,[1]FALTANTES!$A:$AB,28,FALSE),"-")</f>
        <v>0</v>
      </c>
      <c r="I104" s="42">
        <f>IFERROR(VLOOKUP(A104,[1]FALTANTES!$A:$AC,29,FALSE),"-")</f>
        <v>0</v>
      </c>
      <c r="J104" s="29">
        <f>IFERROR(VLOOKUP(A104,[1]FALTANTES!$A:$AD,30,FALSE),"-")</f>
        <v>-2</v>
      </c>
      <c r="K104" s="30">
        <v>0</v>
      </c>
      <c r="L104" s="30">
        <f t="shared" si="1"/>
        <v>2</v>
      </c>
      <c r="M104" s="31">
        <f>SUMIFS(METALFISA!$E:$E,METALFISA!$A:$A,'Faltantes Fevereiro- Metalfisa'!M$3,METALFISA!$B:$B,'Faltantes Fevereiro- Metalfisa'!$A104)</f>
        <v>0</v>
      </c>
      <c r="N104" s="31">
        <f>SUMIFS(METALFISA!$E:$E,METALFISA!$A:$A,'Faltantes Fevereiro- Metalfisa'!N$3,METALFISA!$B:$B,'Faltantes Fevereiro- Metalfisa'!$A104)</f>
        <v>0</v>
      </c>
      <c r="O104" s="31">
        <f>SUMIFS(METALFISA!$E:$E,METALFISA!$A:$A,'Faltantes Fevereiro- Metalfisa'!O$3,METALFISA!$B:$B,'Faltantes Fevereiro- Metalfisa'!$A104)</f>
        <v>0</v>
      </c>
      <c r="P104" s="31">
        <f>SUMIFS(METALFISA!$E:$E,METALFISA!$A:$A,'Faltantes Fevereiro- Metalfisa'!P$3,METALFISA!$B:$B,'Faltantes Fevereiro- Metalfisa'!$A104)</f>
        <v>0</v>
      </c>
      <c r="Q104" s="31">
        <f>SUMIFS(METALFISA!$E:$E,METALFISA!$A:$A,'Faltantes Fevereiro- Metalfisa'!Q$3,METALFISA!$B:$B,'Faltantes Fevereiro- Metalfisa'!$A104)</f>
        <v>0</v>
      </c>
      <c r="R104" s="31">
        <f>SUMIFS(METALFISA!$E:$E,METALFISA!$A:$A,'Faltantes Fevereiro- Metalfisa'!R$3,METALFISA!$B:$B,'Faltantes Fevereiro- Metalfisa'!$A104)</f>
        <v>0</v>
      </c>
      <c r="S104" s="31">
        <f>SUMIFS(METALFISA!$E:$E,METALFISA!$A:$A,'Faltantes Fevereiro- Metalfisa'!S$3,METALFISA!$B:$B,'Faltantes Fevereiro- Metalfisa'!$A104)</f>
        <v>0</v>
      </c>
      <c r="T104" s="31">
        <f>SUMIFS(METALFISA!$E:$E,METALFISA!$A:$A,'Faltantes Fevereiro- Metalfisa'!T$3,METALFISA!$B:$B,'Faltantes Fevereiro- Metalfisa'!$A104)</f>
        <v>0</v>
      </c>
      <c r="U104" s="31">
        <f>SUMIFS(METALFISA!$E:$E,METALFISA!$A:$A,'Faltantes Fevereiro- Metalfisa'!U$3,METALFISA!$B:$B,'Faltantes Fevereiro- Metalfisa'!$A104)</f>
        <v>0</v>
      </c>
      <c r="V104" s="31">
        <f>SUMIFS(METALFISA!$E:$E,METALFISA!$A:$A,'Faltantes Fevereiro- Metalfisa'!V$3,METALFISA!$B:$B,'Faltantes Fevereiro- Metalfisa'!$A104)</f>
        <v>0</v>
      </c>
      <c r="W104" s="31">
        <f>SUMIFS(METALFISA!$E:$E,METALFISA!$A:$A,'Faltantes Fevereiro- Metalfisa'!W$3,METALFISA!$B:$B,'Faltantes Fevereiro- Metalfisa'!$A104)</f>
        <v>0</v>
      </c>
      <c r="X104" s="31">
        <f>SUMIFS(METALFISA!$E:$E,METALFISA!$A:$A,'Faltantes Fevereiro- Metalfisa'!X$3,METALFISA!$B:$B,'Faltantes Fevereiro- Metalfisa'!$A104)</f>
        <v>0</v>
      </c>
      <c r="Y104" s="31">
        <f>SUMIFS(METALFISA!$E:$E,METALFISA!$A:$A,'Faltantes Fevereiro- Metalfisa'!Y$3,METALFISA!$B:$B,'Faltantes Fevereiro- Metalfisa'!$A104)</f>
        <v>0</v>
      </c>
      <c r="Z104" s="31">
        <f>SUMIFS(METALFISA!$E:$E,METALFISA!$A:$A,'Faltantes Fevereiro- Metalfisa'!Z$3,METALFISA!$B:$B,'Faltantes Fevereiro- Metalfisa'!$A104)</f>
        <v>0</v>
      </c>
      <c r="AA104" s="31">
        <f>SUMIFS(METALFISA!$E:$E,METALFISA!$A:$A,'Faltantes Fevereiro- Metalfisa'!AA$3,METALFISA!$B:$B,'Faltantes Fevereiro- Metalfisa'!$A104)</f>
        <v>0</v>
      </c>
      <c r="AB104" s="31">
        <f>SUMIFS(METALFISA!$E:$E,METALFISA!$A:$A,'Faltantes Fevereiro- Metalfisa'!AB$3,METALFISA!$B:$B,'Faltantes Fevereiro- Metalfisa'!$A104)</f>
        <v>0</v>
      </c>
      <c r="AC104" s="31">
        <f>SUMIFS(METALFISA!$E:$E,METALFISA!$A:$A,'Faltantes Fevereiro- Metalfisa'!AC$3,METALFISA!$B:$B,'Faltantes Fevereiro- Metalfisa'!$A104)</f>
        <v>0</v>
      </c>
      <c r="AD104" s="31">
        <f>SUMIFS(METALFISA!$E:$E,METALFISA!$A:$A,'Faltantes Fevereiro- Metalfisa'!AD$3,METALFISA!$B:$B,'Faltantes Fevereiro- Metalfisa'!$A104)</f>
        <v>0</v>
      </c>
      <c r="AE104" s="31">
        <f>SUMIFS(METALFISA!$E:$E,METALFISA!$A:$A,'Faltantes Fevereiro- Metalfisa'!AE$3,METALFISA!$B:$B,'Faltantes Fevereiro- Metalfisa'!$A104)</f>
        <v>0</v>
      </c>
      <c r="AF104" s="31">
        <f>SUMIFS(METALFISA!$E:$E,METALFISA!$A:$A,'Faltantes Fevereiro- Metalfisa'!AF$3,METALFISA!$B:$B,'Faltantes Fevereiro- Metalfisa'!$A104)</f>
        <v>0</v>
      </c>
      <c r="AG104" s="31">
        <f>SUMIFS(METALFISA!$E:$E,METALFISA!$A:$A,'Faltantes Fevereiro- Metalfisa'!AG$3,METALFISA!$B:$B,'Faltantes Fevereiro- Metalfisa'!$A104)</f>
        <v>2</v>
      </c>
      <c r="AH104" s="31">
        <f>SUMIFS(METALFISA!$E:$E,METALFISA!$A:$A,'Faltantes Fevereiro- Metalfisa'!AH$3,METALFISA!$B:$B,'Faltantes Fevereiro- Metalfisa'!$A104)</f>
        <v>0</v>
      </c>
      <c r="AI104" s="31">
        <f>SUMIFS(METALFISA!$E:$E,METALFISA!$A:$A,'Faltantes Fevereiro- Metalfisa'!AI$3,METALFISA!$B:$B,'Faltantes Fevereiro- Metalfisa'!$A104)</f>
        <v>0</v>
      </c>
      <c r="AJ104" s="31">
        <f>SUMIFS(METALFISA!$E:$E,METALFISA!$A:$A,'Faltantes Fevereiro- Metalfisa'!AJ$3,METALFISA!$B:$B,'Faltantes Fevereiro- Metalfisa'!$A104)</f>
        <v>0</v>
      </c>
      <c r="AK104" s="31">
        <f>SUMIFS(METALFISA!$E:$E,METALFISA!$A:$A,'Faltantes Fevereiro- Metalfisa'!AK$3,METALFISA!$B:$B,'Faltantes Fevereiro- Metalfisa'!$A104)</f>
        <v>0</v>
      </c>
      <c r="AL104" s="31">
        <f>SUMIFS(METALFISA!$E:$E,METALFISA!$A:$A,'Faltantes Fevereiro- Metalfisa'!AL$3,METALFISA!$B:$B,'Faltantes Fevereiro- Metalfisa'!$A104)</f>
        <v>0</v>
      </c>
      <c r="AM104" s="31">
        <f>SUMIFS(METALFISA!$E:$E,METALFISA!$A:$A,'Faltantes Fevereiro- Metalfisa'!AM$3,METALFISA!$B:$B,'Faltantes Fevereiro- Metalfisa'!$A104)</f>
        <v>0</v>
      </c>
      <c r="AN104" s="31">
        <f>SUMIFS(METALFISA!$E:$E,METALFISA!$A:$A,'Faltantes Fevereiro- Metalfisa'!AN$3,METALFISA!$B:$B,'Faltantes Fevereiro- Metalfisa'!$A104)</f>
        <v>0</v>
      </c>
      <c r="AO104" s="31">
        <f>SUMIFS(METALFISA!$E:$E,METALFISA!$A:$A,'Faltantes Fevereiro- Metalfisa'!AO$3,METALFISA!$B:$B,'Faltantes Fevereiro- Metalfisa'!$A104)</f>
        <v>0</v>
      </c>
      <c r="AP104" s="31">
        <f>SUMIFS(METALFISA!$E:$E,METALFISA!$A:$A,'Faltantes Fevereiro- Metalfisa'!AP$3,METALFISA!$B:$B,'Faltantes Fevereiro- Metalfisa'!$A104)</f>
        <v>0</v>
      </c>
      <c r="AQ104" s="31"/>
      <c r="AR104" s="31">
        <f>SUMIFS(METALFISA!$E:$E,METALFISA!$A:$A,'Faltantes Fevereiro- Metalfisa'!AR$3,METALFISA!$B:$B,'Faltantes Fevereiro- Metalfisa'!$A104)</f>
        <v>0</v>
      </c>
      <c r="AS104" s="35">
        <f>SUMIFS(METALFISA!$E:$E,METALFISA!$A:$A,'Faltantes Fevereiro- Metalfisa'!AS$3,METALFISA!$B:$B,'Faltantes Fevereiro- Metalfisa'!$A104)</f>
        <v>0</v>
      </c>
      <c r="AU104" s="18">
        <v>0</v>
      </c>
      <c r="AV104" s="18">
        <v>0</v>
      </c>
      <c r="AW104" s="18">
        <v>0</v>
      </c>
      <c r="AX104" s="18">
        <v>0</v>
      </c>
      <c r="AY104" s="41">
        <v>0</v>
      </c>
      <c r="AZ104" s="31">
        <v>0</v>
      </c>
      <c r="BA104" s="31">
        <v>0</v>
      </c>
      <c r="BB104" s="31">
        <v>0</v>
      </c>
      <c r="BC104" s="31">
        <v>0</v>
      </c>
      <c r="BD104" s="31">
        <v>0</v>
      </c>
      <c r="BE104" s="31">
        <v>0</v>
      </c>
      <c r="BF104" s="31">
        <v>0</v>
      </c>
      <c r="BG104" s="31">
        <v>0</v>
      </c>
      <c r="BH104" s="31">
        <v>0</v>
      </c>
      <c r="BI104" s="31">
        <v>0</v>
      </c>
      <c r="BJ104" s="31">
        <v>0</v>
      </c>
      <c r="BK104" s="31">
        <v>0</v>
      </c>
      <c r="BL104" s="31">
        <v>0</v>
      </c>
      <c r="BM104" s="31">
        <v>1</v>
      </c>
      <c r="BN104" s="31">
        <v>0</v>
      </c>
      <c r="BO104" s="31">
        <v>0</v>
      </c>
      <c r="BP104" s="31">
        <v>0</v>
      </c>
      <c r="BQ104" s="31">
        <v>0</v>
      </c>
      <c r="BR104" s="31">
        <v>0</v>
      </c>
      <c r="BS104" s="31">
        <v>0</v>
      </c>
      <c r="BT104" s="31">
        <v>0</v>
      </c>
      <c r="BU104" s="31">
        <v>0</v>
      </c>
      <c r="BV104" s="31">
        <v>0</v>
      </c>
      <c r="BW104" s="31">
        <v>0</v>
      </c>
      <c r="BX104" s="31">
        <v>0</v>
      </c>
      <c r="BY104" s="31">
        <v>0</v>
      </c>
      <c r="BZ104" s="31">
        <v>0</v>
      </c>
      <c r="CA104" s="31">
        <v>0</v>
      </c>
      <c r="CB104" s="31">
        <v>0</v>
      </c>
      <c r="CC104" s="31">
        <v>0</v>
      </c>
      <c r="CD104" s="31">
        <v>0</v>
      </c>
      <c r="CE104" s="31">
        <v>0</v>
      </c>
      <c r="CF104" s="31">
        <v>0</v>
      </c>
      <c r="CG104" s="31">
        <v>0</v>
      </c>
      <c r="CH104" s="31">
        <v>0</v>
      </c>
      <c r="CI104" s="31">
        <v>0</v>
      </c>
      <c r="CJ104" s="31">
        <v>0</v>
      </c>
      <c r="CK104" s="31">
        <v>0</v>
      </c>
      <c r="CL104" s="35">
        <v>0</v>
      </c>
    </row>
    <row r="105" spans="1:90" x14ac:dyDescent="0.15">
      <c r="A105" s="27" t="s">
        <v>641</v>
      </c>
      <c r="B105" s="28" t="s">
        <v>642</v>
      </c>
      <c r="C105" s="28">
        <v>0</v>
      </c>
      <c r="D105" s="28">
        <v>0</v>
      </c>
      <c r="E105" s="28">
        <v>0</v>
      </c>
      <c r="F105" s="28">
        <v>0</v>
      </c>
      <c r="G105" s="28">
        <v>3</v>
      </c>
      <c r="H105" s="28">
        <f>IFERROR(VLOOKUP(A105,[1]FALTANTES!$A:$AB,28,FALSE),"-")</f>
        <v>0</v>
      </c>
      <c r="I105" s="42">
        <f>IFERROR(VLOOKUP(A105,[1]FALTANTES!$A:$AC,29,FALSE),"-")</f>
        <v>0</v>
      </c>
      <c r="J105" s="29">
        <f>IFERROR(VLOOKUP(A105,[1]FALTANTES!$A:$AD,30,FALSE),"-")</f>
        <v>-3</v>
      </c>
      <c r="K105" s="30">
        <v>0</v>
      </c>
      <c r="L105" s="30">
        <f t="shared" si="1"/>
        <v>3</v>
      </c>
      <c r="M105" s="31">
        <f>SUMIFS(METALFISA!$E:$E,METALFISA!$A:$A,'Faltantes Fevereiro- Metalfisa'!M$3,METALFISA!$B:$B,'Faltantes Fevereiro- Metalfisa'!$A105)</f>
        <v>0</v>
      </c>
      <c r="N105" s="31">
        <f>SUMIFS(METALFISA!$E:$E,METALFISA!$A:$A,'Faltantes Fevereiro- Metalfisa'!N$3,METALFISA!$B:$B,'Faltantes Fevereiro- Metalfisa'!$A105)</f>
        <v>0</v>
      </c>
      <c r="O105" s="31">
        <f>SUMIFS(METALFISA!$E:$E,METALFISA!$A:$A,'Faltantes Fevereiro- Metalfisa'!O$3,METALFISA!$B:$B,'Faltantes Fevereiro- Metalfisa'!$A105)</f>
        <v>0</v>
      </c>
      <c r="P105" s="31">
        <f>SUMIFS(METALFISA!$E:$E,METALFISA!$A:$A,'Faltantes Fevereiro- Metalfisa'!P$3,METALFISA!$B:$B,'Faltantes Fevereiro- Metalfisa'!$A105)</f>
        <v>0</v>
      </c>
      <c r="Q105" s="31">
        <f>SUMIFS(METALFISA!$E:$E,METALFISA!$A:$A,'Faltantes Fevereiro- Metalfisa'!Q$3,METALFISA!$B:$B,'Faltantes Fevereiro- Metalfisa'!$A105)</f>
        <v>0</v>
      </c>
      <c r="R105" s="31">
        <f>SUMIFS(METALFISA!$E:$E,METALFISA!$A:$A,'Faltantes Fevereiro- Metalfisa'!R$3,METALFISA!$B:$B,'Faltantes Fevereiro- Metalfisa'!$A105)</f>
        <v>0</v>
      </c>
      <c r="S105" s="31">
        <f>SUMIFS(METALFISA!$E:$E,METALFISA!$A:$A,'Faltantes Fevereiro- Metalfisa'!S$3,METALFISA!$B:$B,'Faltantes Fevereiro- Metalfisa'!$A105)</f>
        <v>0</v>
      </c>
      <c r="T105" s="31">
        <f>SUMIFS(METALFISA!$E:$E,METALFISA!$A:$A,'Faltantes Fevereiro- Metalfisa'!T$3,METALFISA!$B:$B,'Faltantes Fevereiro- Metalfisa'!$A105)</f>
        <v>0</v>
      </c>
      <c r="U105" s="31">
        <f>SUMIFS(METALFISA!$E:$E,METALFISA!$A:$A,'Faltantes Fevereiro- Metalfisa'!U$3,METALFISA!$B:$B,'Faltantes Fevereiro- Metalfisa'!$A105)</f>
        <v>0</v>
      </c>
      <c r="V105" s="31">
        <f>SUMIFS(METALFISA!$E:$E,METALFISA!$A:$A,'Faltantes Fevereiro- Metalfisa'!V$3,METALFISA!$B:$B,'Faltantes Fevereiro- Metalfisa'!$A105)</f>
        <v>0</v>
      </c>
      <c r="W105" s="31">
        <f>SUMIFS(METALFISA!$E:$E,METALFISA!$A:$A,'Faltantes Fevereiro- Metalfisa'!W$3,METALFISA!$B:$B,'Faltantes Fevereiro- Metalfisa'!$A105)</f>
        <v>0</v>
      </c>
      <c r="X105" s="31">
        <f>SUMIFS(METALFISA!$E:$E,METALFISA!$A:$A,'Faltantes Fevereiro- Metalfisa'!X$3,METALFISA!$B:$B,'Faltantes Fevereiro- Metalfisa'!$A105)</f>
        <v>0</v>
      </c>
      <c r="Y105" s="31">
        <f>SUMIFS(METALFISA!$E:$E,METALFISA!$A:$A,'Faltantes Fevereiro- Metalfisa'!Y$3,METALFISA!$B:$B,'Faltantes Fevereiro- Metalfisa'!$A105)</f>
        <v>0</v>
      </c>
      <c r="Z105" s="31">
        <f>SUMIFS(METALFISA!$E:$E,METALFISA!$A:$A,'Faltantes Fevereiro- Metalfisa'!Z$3,METALFISA!$B:$B,'Faltantes Fevereiro- Metalfisa'!$A105)</f>
        <v>0</v>
      </c>
      <c r="AA105" s="31">
        <f>SUMIFS(METALFISA!$E:$E,METALFISA!$A:$A,'Faltantes Fevereiro- Metalfisa'!AA$3,METALFISA!$B:$B,'Faltantes Fevereiro- Metalfisa'!$A105)</f>
        <v>0</v>
      </c>
      <c r="AB105" s="31">
        <f>SUMIFS(METALFISA!$E:$E,METALFISA!$A:$A,'Faltantes Fevereiro- Metalfisa'!AB$3,METALFISA!$B:$B,'Faltantes Fevereiro- Metalfisa'!$A105)</f>
        <v>0</v>
      </c>
      <c r="AC105" s="31">
        <f>SUMIFS(METALFISA!$E:$E,METALFISA!$A:$A,'Faltantes Fevereiro- Metalfisa'!AC$3,METALFISA!$B:$B,'Faltantes Fevereiro- Metalfisa'!$A105)</f>
        <v>1</v>
      </c>
      <c r="AD105" s="31">
        <f>SUMIFS(METALFISA!$E:$E,METALFISA!$A:$A,'Faltantes Fevereiro- Metalfisa'!AD$3,METALFISA!$B:$B,'Faltantes Fevereiro- Metalfisa'!$A105)</f>
        <v>0</v>
      </c>
      <c r="AE105" s="31">
        <f>SUMIFS(METALFISA!$E:$E,METALFISA!$A:$A,'Faltantes Fevereiro- Metalfisa'!AE$3,METALFISA!$B:$B,'Faltantes Fevereiro- Metalfisa'!$A105)</f>
        <v>0</v>
      </c>
      <c r="AF105" s="31">
        <f>SUMIFS(METALFISA!$E:$E,METALFISA!$A:$A,'Faltantes Fevereiro- Metalfisa'!AF$3,METALFISA!$B:$B,'Faltantes Fevereiro- Metalfisa'!$A105)</f>
        <v>0</v>
      </c>
      <c r="AG105" s="31">
        <f>SUMIFS(METALFISA!$E:$E,METALFISA!$A:$A,'Faltantes Fevereiro- Metalfisa'!AG$3,METALFISA!$B:$B,'Faltantes Fevereiro- Metalfisa'!$A105)</f>
        <v>2</v>
      </c>
      <c r="AH105" s="31">
        <f>SUMIFS(METALFISA!$E:$E,METALFISA!$A:$A,'Faltantes Fevereiro- Metalfisa'!AH$3,METALFISA!$B:$B,'Faltantes Fevereiro- Metalfisa'!$A105)</f>
        <v>0</v>
      </c>
      <c r="AI105" s="31">
        <f>SUMIFS(METALFISA!$E:$E,METALFISA!$A:$A,'Faltantes Fevereiro- Metalfisa'!AI$3,METALFISA!$B:$B,'Faltantes Fevereiro- Metalfisa'!$A105)</f>
        <v>0</v>
      </c>
      <c r="AJ105" s="31">
        <f>SUMIFS(METALFISA!$E:$E,METALFISA!$A:$A,'Faltantes Fevereiro- Metalfisa'!AJ$3,METALFISA!$B:$B,'Faltantes Fevereiro- Metalfisa'!$A105)</f>
        <v>0</v>
      </c>
      <c r="AK105" s="31">
        <f>SUMIFS(METALFISA!$E:$E,METALFISA!$A:$A,'Faltantes Fevereiro- Metalfisa'!AK$3,METALFISA!$B:$B,'Faltantes Fevereiro- Metalfisa'!$A105)</f>
        <v>0</v>
      </c>
      <c r="AL105" s="31">
        <f>SUMIFS(METALFISA!$E:$E,METALFISA!$A:$A,'Faltantes Fevereiro- Metalfisa'!AL$3,METALFISA!$B:$B,'Faltantes Fevereiro- Metalfisa'!$A105)</f>
        <v>0</v>
      </c>
      <c r="AM105" s="31">
        <f>SUMIFS(METALFISA!$E:$E,METALFISA!$A:$A,'Faltantes Fevereiro- Metalfisa'!AM$3,METALFISA!$B:$B,'Faltantes Fevereiro- Metalfisa'!$A105)</f>
        <v>0</v>
      </c>
      <c r="AN105" s="31">
        <f>SUMIFS(METALFISA!$E:$E,METALFISA!$A:$A,'Faltantes Fevereiro- Metalfisa'!AN$3,METALFISA!$B:$B,'Faltantes Fevereiro- Metalfisa'!$A105)</f>
        <v>0</v>
      </c>
      <c r="AO105" s="31">
        <f>SUMIFS(METALFISA!$E:$E,METALFISA!$A:$A,'Faltantes Fevereiro- Metalfisa'!AO$3,METALFISA!$B:$B,'Faltantes Fevereiro- Metalfisa'!$A105)</f>
        <v>0</v>
      </c>
      <c r="AP105" s="31">
        <f>SUMIFS(METALFISA!$E:$E,METALFISA!$A:$A,'Faltantes Fevereiro- Metalfisa'!AP$3,METALFISA!$B:$B,'Faltantes Fevereiro- Metalfisa'!$A105)</f>
        <v>0</v>
      </c>
      <c r="AQ105" s="31"/>
      <c r="AR105" s="31">
        <f>SUMIFS(METALFISA!$E:$E,METALFISA!$A:$A,'Faltantes Fevereiro- Metalfisa'!AR$3,METALFISA!$B:$B,'Faltantes Fevereiro- Metalfisa'!$A105)</f>
        <v>0</v>
      </c>
      <c r="AS105" s="35">
        <f>SUMIFS(METALFISA!$E:$E,METALFISA!$A:$A,'Faltantes Fevereiro- Metalfisa'!AS$3,METALFISA!$B:$B,'Faltantes Fevereiro- Metalfisa'!$A105)</f>
        <v>0</v>
      </c>
      <c r="AU105" s="18">
        <v>0</v>
      </c>
      <c r="AV105" s="18">
        <v>0</v>
      </c>
      <c r="AW105" s="18">
        <v>0</v>
      </c>
      <c r="AX105" s="18">
        <v>0</v>
      </c>
      <c r="AY105" s="41">
        <v>0</v>
      </c>
      <c r="AZ105" s="31">
        <v>0</v>
      </c>
      <c r="BA105" s="31">
        <v>0</v>
      </c>
      <c r="BB105" s="31">
        <v>0</v>
      </c>
      <c r="BC105" s="31">
        <v>0</v>
      </c>
      <c r="BD105" s="31">
        <v>0</v>
      </c>
      <c r="BE105" s="31">
        <v>0</v>
      </c>
      <c r="BF105" s="31">
        <v>0</v>
      </c>
      <c r="BG105" s="31">
        <v>0</v>
      </c>
      <c r="BH105" s="31">
        <v>0</v>
      </c>
      <c r="BI105" s="31">
        <v>0</v>
      </c>
      <c r="BJ105" s="31">
        <v>0</v>
      </c>
      <c r="BK105" s="31">
        <v>0</v>
      </c>
      <c r="BL105" s="31">
        <v>0</v>
      </c>
      <c r="BM105" s="31">
        <v>1</v>
      </c>
      <c r="BN105" s="31">
        <v>0</v>
      </c>
      <c r="BO105" s="31">
        <v>0</v>
      </c>
      <c r="BP105" s="31">
        <v>0</v>
      </c>
      <c r="BQ105" s="31">
        <v>0</v>
      </c>
      <c r="BR105" s="31">
        <v>0</v>
      </c>
      <c r="BS105" s="31">
        <v>0</v>
      </c>
      <c r="BT105" s="31">
        <v>0</v>
      </c>
      <c r="BU105" s="31">
        <v>0</v>
      </c>
      <c r="BV105" s="31">
        <v>0</v>
      </c>
      <c r="BW105" s="31">
        <v>0</v>
      </c>
      <c r="BX105" s="31">
        <v>0</v>
      </c>
      <c r="BY105" s="31">
        <v>0</v>
      </c>
      <c r="BZ105" s="31">
        <v>0</v>
      </c>
      <c r="CA105" s="31">
        <v>0</v>
      </c>
      <c r="CB105" s="31">
        <v>0</v>
      </c>
      <c r="CC105" s="31">
        <v>0</v>
      </c>
      <c r="CD105" s="31">
        <v>0</v>
      </c>
      <c r="CE105" s="31">
        <v>0</v>
      </c>
      <c r="CF105" s="31">
        <v>0</v>
      </c>
      <c r="CG105" s="31">
        <v>0</v>
      </c>
      <c r="CH105" s="31">
        <v>0</v>
      </c>
      <c r="CI105" s="31">
        <v>0</v>
      </c>
      <c r="CJ105" s="31">
        <v>0</v>
      </c>
      <c r="CK105" s="31">
        <v>0</v>
      </c>
      <c r="CL105" s="35">
        <v>0</v>
      </c>
    </row>
    <row r="106" spans="1:90" ht="21" x14ac:dyDescent="0.15">
      <c r="A106" s="27" t="s">
        <v>239</v>
      </c>
      <c r="B106" s="28" t="s">
        <v>240</v>
      </c>
      <c r="C106" s="28">
        <v>0</v>
      </c>
      <c r="D106" s="28">
        <v>0</v>
      </c>
      <c r="E106" s="28">
        <v>0</v>
      </c>
      <c r="F106" s="28">
        <v>0</v>
      </c>
      <c r="G106" s="28">
        <v>3</v>
      </c>
      <c r="H106" s="28">
        <f>IFERROR(VLOOKUP(A106,[1]FALTANTES!$A:$AB,28,FALSE),"-")</f>
        <v>0</v>
      </c>
      <c r="I106" s="42">
        <f>IFERROR(VLOOKUP(A106,[1]FALTANTES!$A:$AC,29,FALSE),"-")</f>
        <v>0</v>
      </c>
      <c r="J106" s="29">
        <f>IFERROR(VLOOKUP(A106,[1]FALTANTES!$A:$AD,30,FALSE),"-")</f>
        <v>-3</v>
      </c>
      <c r="K106" s="30">
        <v>0</v>
      </c>
      <c r="L106" s="30">
        <f t="shared" si="1"/>
        <v>2</v>
      </c>
      <c r="M106" s="31">
        <f>SUMIFS(METALFISA!$E:$E,METALFISA!$A:$A,'Faltantes Fevereiro- Metalfisa'!M$3,METALFISA!$B:$B,'Faltantes Fevereiro- Metalfisa'!$A106)</f>
        <v>0</v>
      </c>
      <c r="N106" s="31">
        <f>SUMIFS(METALFISA!$E:$E,METALFISA!$A:$A,'Faltantes Fevereiro- Metalfisa'!N$3,METALFISA!$B:$B,'Faltantes Fevereiro- Metalfisa'!$A106)</f>
        <v>0</v>
      </c>
      <c r="O106" s="31">
        <f>SUMIFS(METALFISA!$E:$E,METALFISA!$A:$A,'Faltantes Fevereiro- Metalfisa'!O$3,METALFISA!$B:$B,'Faltantes Fevereiro- Metalfisa'!$A106)</f>
        <v>0</v>
      </c>
      <c r="P106" s="31">
        <f>SUMIFS(METALFISA!$E:$E,METALFISA!$A:$A,'Faltantes Fevereiro- Metalfisa'!P$3,METALFISA!$B:$B,'Faltantes Fevereiro- Metalfisa'!$A106)</f>
        <v>0</v>
      </c>
      <c r="Q106" s="31">
        <f>SUMIFS(METALFISA!$E:$E,METALFISA!$A:$A,'Faltantes Fevereiro- Metalfisa'!Q$3,METALFISA!$B:$B,'Faltantes Fevereiro- Metalfisa'!$A106)</f>
        <v>0</v>
      </c>
      <c r="R106" s="31">
        <f>SUMIFS(METALFISA!$E:$E,METALFISA!$A:$A,'Faltantes Fevereiro- Metalfisa'!R$3,METALFISA!$B:$B,'Faltantes Fevereiro- Metalfisa'!$A106)</f>
        <v>0</v>
      </c>
      <c r="S106" s="31">
        <f>SUMIFS(METALFISA!$E:$E,METALFISA!$A:$A,'Faltantes Fevereiro- Metalfisa'!S$3,METALFISA!$B:$B,'Faltantes Fevereiro- Metalfisa'!$A106)</f>
        <v>0</v>
      </c>
      <c r="T106" s="31">
        <f>SUMIFS(METALFISA!$E:$E,METALFISA!$A:$A,'Faltantes Fevereiro- Metalfisa'!T$3,METALFISA!$B:$B,'Faltantes Fevereiro- Metalfisa'!$A106)</f>
        <v>0</v>
      </c>
      <c r="U106" s="31">
        <f>SUMIFS(METALFISA!$E:$E,METALFISA!$A:$A,'Faltantes Fevereiro- Metalfisa'!U$3,METALFISA!$B:$B,'Faltantes Fevereiro- Metalfisa'!$A106)</f>
        <v>0</v>
      </c>
      <c r="V106" s="31">
        <f>SUMIFS(METALFISA!$E:$E,METALFISA!$A:$A,'Faltantes Fevereiro- Metalfisa'!V$3,METALFISA!$B:$B,'Faltantes Fevereiro- Metalfisa'!$A106)</f>
        <v>0</v>
      </c>
      <c r="W106" s="31">
        <f>SUMIFS(METALFISA!$E:$E,METALFISA!$A:$A,'Faltantes Fevereiro- Metalfisa'!W$3,METALFISA!$B:$B,'Faltantes Fevereiro- Metalfisa'!$A106)</f>
        <v>0</v>
      </c>
      <c r="X106" s="31">
        <f>SUMIFS(METALFISA!$E:$E,METALFISA!$A:$A,'Faltantes Fevereiro- Metalfisa'!X$3,METALFISA!$B:$B,'Faltantes Fevereiro- Metalfisa'!$A106)</f>
        <v>0</v>
      </c>
      <c r="Y106" s="31">
        <f>SUMIFS(METALFISA!$E:$E,METALFISA!$A:$A,'Faltantes Fevereiro- Metalfisa'!Y$3,METALFISA!$B:$B,'Faltantes Fevereiro- Metalfisa'!$A106)</f>
        <v>0</v>
      </c>
      <c r="Z106" s="31">
        <f>SUMIFS(METALFISA!$E:$E,METALFISA!$A:$A,'Faltantes Fevereiro- Metalfisa'!Z$3,METALFISA!$B:$B,'Faltantes Fevereiro- Metalfisa'!$A106)</f>
        <v>0</v>
      </c>
      <c r="AA106" s="31">
        <f>SUMIFS(METALFISA!$E:$E,METALFISA!$A:$A,'Faltantes Fevereiro- Metalfisa'!AA$3,METALFISA!$B:$B,'Faltantes Fevereiro- Metalfisa'!$A106)</f>
        <v>0</v>
      </c>
      <c r="AB106" s="31">
        <f>SUMIFS(METALFISA!$E:$E,METALFISA!$A:$A,'Faltantes Fevereiro- Metalfisa'!AB$3,METALFISA!$B:$B,'Faltantes Fevereiro- Metalfisa'!$A106)</f>
        <v>0</v>
      </c>
      <c r="AC106" s="31">
        <f>SUMIFS(METALFISA!$E:$E,METALFISA!$A:$A,'Faltantes Fevereiro- Metalfisa'!AC$3,METALFISA!$B:$B,'Faltantes Fevereiro- Metalfisa'!$A106)</f>
        <v>0</v>
      </c>
      <c r="AD106" s="31">
        <f>SUMIFS(METALFISA!$E:$E,METALFISA!$A:$A,'Faltantes Fevereiro- Metalfisa'!AD$3,METALFISA!$B:$B,'Faltantes Fevereiro- Metalfisa'!$A106)</f>
        <v>0</v>
      </c>
      <c r="AE106" s="31">
        <f>SUMIFS(METALFISA!$E:$E,METALFISA!$A:$A,'Faltantes Fevereiro- Metalfisa'!AE$3,METALFISA!$B:$B,'Faltantes Fevereiro- Metalfisa'!$A106)</f>
        <v>0</v>
      </c>
      <c r="AF106" s="31">
        <f>SUMIFS(METALFISA!$E:$E,METALFISA!$A:$A,'Faltantes Fevereiro- Metalfisa'!AF$3,METALFISA!$B:$B,'Faltantes Fevereiro- Metalfisa'!$A106)</f>
        <v>0</v>
      </c>
      <c r="AG106" s="31">
        <f>SUMIFS(METALFISA!$E:$E,METALFISA!$A:$A,'Faltantes Fevereiro- Metalfisa'!AG$3,METALFISA!$B:$B,'Faltantes Fevereiro- Metalfisa'!$A106)</f>
        <v>2</v>
      </c>
      <c r="AH106" s="31">
        <f>SUMIFS(METALFISA!$E:$E,METALFISA!$A:$A,'Faltantes Fevereiro- Metalfisa'!AH$3,METALFISA!$B:$B,'Faltantes Fevereiro- Metalfisa'!$A106)</f>
        <v>0</v>
      </c>
      <c r="AI106" s="31">
        <f>SUMIFS(METALFISA!$E:$E,METALFISA!$A:$A,'Faltantes Fevereiro- Metalfisa'!AI$3,METALFISA!$B:$B,'Faltantes Fevereiro- Metalfisa'!$A106)</f>
        <v>0</v>
      </c>
      <c r="AJ106" s="31">
        <f>SUMIFS(METALFISA!$E:$E,METALFISA!$A:$A,'Faltantes Fevereiro- Metalfisa'!AJ$3,METALFISA!$B:$B,'Faltantes Fevereiro- Metalfisa'!$A106)</f>
        <v>0</v>
      </c>
      <c r="AK106" s="31">
        <f>SUMIFS(METALFISA!$E:$E,METALFISA!$A:$A,'Faltantes Fevereiro- Metalfisa'!AK$3,METALFISA!$B:$B,'Faltantes Fevereiro- Metalfisa'!$A106)</f>
        <v>0</v>
      </c>
      <c r="AL106" s="31">
        <f>SUMIFS(METALFISA!$E:$E,METALFISA!$A:$A,'Faltantes Fevereiro- Metalfisa'!AL$3,METALFISA!$B:$B,'Faltantes Fevereiro- Metalfisa'!$A106)</f>
        <v>0</v>
      </c>
      <c r="AM106" s="31">
        <f>SUMIFS(METALFISA!$E:$E,METALFISA!$A:$A,'Faltantes Fevereiro- Metalfisa'!AM$3,METALFISA!$B:$B,'Faltantes Fevereiro- Metalfisa'!$A106)</f>
        <v>0</v>
      </c>
      <c r="AN106" s="31">
        <f>SUMIFS(METALFISA!$E:$E,METALFISA!$A:$A,'Faltantes Fevereiro- Metalfisa'!AN$3,METALFISA!$B:$B,'Faltantes Fevereiro- Metalfisa'!$A106)</f>
        <v>0</v>
      </c>
      <c r="AO106" s="31">
        <f>SUMIFS(METALFISA!$E:$E,METALFISA!$A:$A,'Faltantes Fevereiro- Metalfisa'!AO$3,METALFISA!$B:$B,'Faltantes Fevereiro- Metalfisa'!$A106)</f>
        <v>0</v>
      </c>
      <c r="AP106" s="31">
        <f>SUMIFS(METALFISA!$E:$E,METALFISA!$A:$A,'Faltantes Fevereiro- Metalfisa'!AP$3,METALFISA!$B:$B,'Faltantes Fevereiro- Metalfisa'!$A106)</f>
        <v>0</v>
      </c>
      <c r="AQ106" s="31"/>
      <c r="AR106" s="31">
        <f>SUMIFS(METALFISA!$E:$E,METALFISA!$A:$A,'Faltantes Fevereiro- Metalfisa'!AR$3,METALFISA!$B:$B,'Faltantes Fevereiro- Metalfisa'!$A106)</f>
        <v>0</v>
      </c>
      <c r="AS106" s="35">
        <f>SUMIFS(METALFISA!$E:$E,METALFISA!$A:$A,'Faltantes Fevereiro- Metalfisa'!AS$3,METALFISA!$B:$B,'Faltantes Fevereiro- Metalfisa'!$A106)</f>
        <v>0</v>
      </c>
      <c r="AU106" s="18">
        <v>0</v>
      </c>
      <c r="AV106" s="18">
        <v>0</v>
      </c>
      <c r="AW106" s="18">
        <v>0</v>
      </c>
      <c r="AX106" s="18">
        <v>0</v>
      </c>
      <c r="AY106" s="41">
        <v>0</v>
      </c>
      <c r="AZ106" s="31">
        <v>0</v>
      </c>
      <c r="BA106" s="31">
        <v>0</v>
      </c>
      <c r="BB106" s="31">
        <v>0</v>
      </c>
      <c r="BC106" s="31">
        <v>0</v>
      </c>
      <c r="BD106" s="31">
        <v>0</v>
      </c>
      <c r="BE106" s="31">
        <v>0</v>
      </c>
      <c r="BF106" s="31">
        <v>0</v>
      </c>
      <c r="BG106" s="31">
        <v>0</v>
      </c>
      <c r="BH106" s="31">
        <v>0</v>
      </c>
      <c r="BI106" s="31">
        <v>0</v>
      </c>
      <c r="BJ106" s="31">
        <v>0</v>
      </c>
      <c r="BK106" s="31">
        <v>0</v>
      </c>
      <c r="BL106" s="31">
        <v>0</v>
      </c>
      <c r="BM106" s="31">
        <v>1</v>
      </c>
      <c r="BN106" s="31">
        <v>0</v>
      </c>
      <c r="BO106" s="31">
        <v>0</v>
      </c>
      <c r="BP106" s="31">
        <v>0</v>
      </c>
      <c r="BQ106" s="31">
        <v>0</v>
      </c>
      <c r="BR106" s="31">
        <v>0</v>
      </c>
      <c r="BS106" s="31">
        <v>0</v>
      </c>
      <c r="BT106" s="31">
        <v>0</v>
      </c>
      <c r="BU106" s="31">
        <v>0</v>
      </c>
      <c r="BV106" s="31">
        <v>0</v>
      </c>
      <c r="BW106" s="31">
        <v>0</v>
      </c>
      <c r="BX106" s="31">
        <v>0</v>
      </c>
      <c r="BY106" s="31">
        <v>0</v>
      </c>
      <c r="BZ106" s="31">
        <v>0</v>
      </c>
      <c r="CA106" s="31">
        <v>0</v>
      </c>
      <c r="CB106" s="31">
        <v>0</v>
      </c>
      <c r="CC106" s="31">
        <v>0</v>
      </c>
      <c r="CD106" s="31">
        <v>0</v>
      </c>
      <c r="CE106" s="31">
        <v>0</v>
      </c>
      <c r="CF106" s="31">
        <v>0</v>
      </c>
      <c r="CG106" s="31">
        <v>0</v>
      </c>
      <c r="CH106" s="31">
        <v>0</v>
      </c>
      <c r="CI106" s="31">
        <v>0</v>
      </c>
      <c r="CJ106" s="31">
        <v>0</v>
      </c>
      <c r="CK106" s="31">
        <v>0</v>
      </c>
      <c r="CL106" s="35">
        <v>0</v>
      </c>
    </row>
    <row r="107" spans="1:90" ht="21" x14ac:dyDescent="0.15">
      <c r="A107" s="27" t="s">
        <v>643</v>
      </c>
      <c r="B107" s="28" t="s">
        <v>644</v>
      </c>
      <c r="C107" s="28">
        <v>0</v>
      </c>
      <c r="D107" s="28">
        <v>0</v>
      </c>
      <c r="E107" s="28">
        <v>0</v>
      </c>
      <c r="F107" s="28">
        <v>0</v>
      </c>
      <c r="G107" s="28">
        <v>6</v>
      </c>
      <c r="H107" s="28">
        <f>IFERROR(VLOOKUP(A107,[1]FALTANTES!$A:$AB,28,FALSE),"-")</f>
        <v>0</v>
      </c>
      <c r="I107" s="42">
        <f>IFERROR(VLOOKUP(A107,[1]FALTANTES!$A:$AC,29,FALSE),"-")</f>
        <v>4</v>
      </c>
      <c r="J107" s="29">
        <f>IFERROR(VLOOKUP(A107,[1]FALTANTES!$A:$AD,30,FALSE),"-")</f>
        <v>-2</v>
      </c>
      <c r="K107" s="30">
        <v>0</v>
      </c>
      <c r="L107" s="30">
        <f t="shared" si="1"/>
        <v>2</v>
      </c>
      <c r="M107" s="31">
        <f>SUMIFS(METALFISA!$E:$E,METALFISA!$A:$A,'Faltantes Fevereiro- Metalfisa'!M$3,METALFISA!$B:$B,'Faltantes Fevereiro- Metalfisa'!$A107)</f>
        <v>0</v>
      </c>
      <c r="N107" s="31">
        <f>SUMIFS(METALFISA!$E:$E,METALFISA!$A:$A,'Faltantes Fevereiro- Metalfisa'!N$3,METALFISA!$B:$B,'Faltantes Fevereiro- Metalfisa'!$A107)</f>
        <v>0</v>
      </c>
      <c r="O107" s="31">
        <f>SUMIFS(METALFISA!$E:$E,METALFISA!$A:$A,'Faltantes Fevereiro- Metalfisa'!O$3,METALFISA!$B:$B,'Faltantes Fevereiro- Metalfisa'!$A107)</f>
        <v>0</v>
      </c>
      <c r="P107" s="31">
        <f>SUMIFS(METALFISA!$E:$E,METALFISA!$A:$A,'Faltantes Fevereiro- Metalfisa'!P$3,METALFISA!$B:$B,'Faltantes Fevereiro- Metalfisa'!$A107)</f>
        <v>0</v>
      </c>
      <c r="Q107" s="31">
        <f>SUMIFS(METALFISA!$E:$E,METALFISA!$A:$A,'Faltantes Fevereiro- Metalfisa'!Q$3,METALFISA!$B:$B,'Faltantes Fevereiro- Metalfisa'!$A107)</f>
        <v>0</v>
      </c>
      <c r="R107" s="31">
        <f>SUMIFS(METALFISA!$E:$E,METALFISA!$A:$A,'Faltantes Fevereiro- Metalfisa'!R$3,METALFISA!$B:$B,'Faltantes Fevereiro- Metalfisa'!$A107)</f>
        <v>0</v>
      </c>
      <c r="S107" s="31">
        <f>SUMIFS(METALFISA!$E:$E,METALFISA!$A:$A,'Faltantes Fevereiro- Metalfisa'!S$3,METALFISA!$B:$B,'Faltantes Fevereiro- Metalfisa'!$A107)</f>
        <v>0</v>
      </c>
      <c r="T107" s="31">
        <f>SUMIFS(METALFISA!$E:$E,METALFISA!$A:$A,'Faltantes Fevereiro- Metalfisa'!T$3,METALFISA!$B:$B,'Faltantes Fevereiro- Metalfisa'!$A107)</f>
        <v>0</v>
      </c>
      <c r="U107" s="31">
        <f>SUMIFS(METALFISA!$E:$E,METALFISA!$A:$A,'Faltantes Fevereiro- Metalfisa'!U$3,METALFISA!$B:$B,'Faltantes Fevereiro- Metalfisa'!$A107)</f>
        <v>0</v>
      </c>
      <c r="V107" s="31">
        <f>SUMIFS(METALFISA!$E:$E,METALFISA!$A:$A,'Faltantes Fevereiro- Metalfisa'!V$3,METALFISA!$B:$B,'Faltantes Fevereiro- Metalfisa'!$A107)</f>
        <v>0</v>
      </c>
      <c r="W107" s="31">
        <f>SUMIFS(METALFISA!$E:$E,METALFISA!$A:$A,'Faltantes Fevereiro- Metalfisa'!W$3,METALFISA!$B:$B,'Faltantes Fevereiro- Metalfisa'!$A107)</f>
        <v>0</v>
      </c>
      <c r="X107" s="31">
        <f>SUMIFS(METALFISA!$E:$E,METALFISA!$A:$A,'Faltantes Fevereiro- Metalfisa'!X$3,METALFISA!$B:$B,'Faltantes Fevereiro- Metalfisa'!$A107)</f>
        <v>0</v>
      </c>
      <c r="Y107" s="31">
        <f>SUMIFS(METALFISA!$E:$E,METALFISA!$A:$A,'Faltantes Fevereiro- Metalfisa'!Y$3,METALFISA!$B:$B,'Faltantes Fevereiro- Metalfisa'!$A107)</f>
        <v>0</v>
      </c>
      <c r="Z107" s="31">
        <f>SUMIFS(METALFISA!$E:$E,METALFISA!$A:$A,'Faltantes Fevereiro- Metalfisa'!Z$3,METALFISA!$B:$B,'Faltantes Fevereiro- Metalfisa'!$A107)</f>
        <v>0</v>
      </c>
      <c r="AA107" s="31">
        <f>SUMIFS(METALFISA!$E:$E,METALFISA!$A:$A,'Faltantes Fevereiro- Metalfisa'!AA$3,METALFISA!$B:$B,'Faltantes Fevereiro- Metalfisa'!$A107)</f>
        <v>0</v>
      </c>
      <c r="AB107" s="31">
        <f>SUMIFS(METALFISA!$E:$E,METALFISA!$A:$A,'Faltantes Fevereiro- Metalfisa'!AB$3,METALFISA!$B:$B,'Faltantes Fevereiro- Metalfisa'!$A107)</f>
        <v>0</v>
      </c>
      <c r="AC107" s="31">
        <f>SUMIFS(METALFISA!$E:$E,METALFISA!$A:$A,'Faltantes Fevereiro- Metalfisa'!AC$3,METALFISA!$B:$B,'Faltantes Fevereiro- Metalfisa'!$A107)</f>
        <v>0</v>
      </c>
      <c r="AD107" s="31">
        <f>SUMIFS(METALFISA!$E:$E,METALFISA!$A:$A,'Faltantes Fevereiro- Metalfisa'!AD$3,METALFISA!$B:$B,'Faltantes Fevereiro- Metalfisa'!$A107)</f>
        <v>0</v>
      </c>
      <c r="AE107" s="31">
        <f>SUMIFS(METALFISA!$E:$E,METALFISA!$A:$A,'Faltantes Fevereiro- Metalfisa'!AE$3,METALFISA!$B:$B,'Faltantes Fevereiro- Metalfisa'!$A107)</f>
        <v>0</v>
      </c>
      <c r="AF107" s="31">
        <f>SUMIFS(METALFISA!$E:$E,METALFISA!$A:$A,'Faltantes Fevereiro- Metalfisa'!AF$3,METALFISA!$B:$B,'Faltantes Fevereiro- Metalfisa'!$A107)</f>
        <v>0</v>
      </c>
      <c r="AG107" s="31">
        <f>SUMIFS(METALFISA!$E:$E,METALFISA!$A:$A,'Faltantes Fevereiro- Metalfisa'!AG$3,METALFISA!$B:$B,'Faltantes Fevereiro- Metalfisa'!$A107)</f>
        <v>0</v>
      </c>
      <c r="AH107" s="31">
        <f>SUMIFS(METALFISA!$E:$E,METALFISA!$A:$A,'Faltantes Fevereiro- Metalfisa'!AH$3,METALFISA!$B:$B,'Faltantes Fevereiro- Metalfisa'!$A107)</f>
        <v>0</v>
      </c>
      <c r="AI107" s="31">
        <f>SUMIFS(METALFISA!$E:$E,METALFISA!$A:$A,'Faltantes Fevereiro- Metalfisa'!AI$3,METALFISA!$B:$B,'Faltantes Fevereiro- Metalfisa'!$A107)</f>
        <v>0</v>
      </c>
      <c r="AJ107" s="31">
        <f>SUMIFS(METALFISA!$E:$E,METALFISA!$A:$A,'Faltantes Fevereiro- Metalfisa'!AJ$3,METALFISA!$B:$B,'Faltantes Fevereiro- Metalfisa'!$A107)</f>
        <v>0</v>
      </c>
      <c r="AK107" s="31">
        <f>SUMIFS(METALFISA!$E:$E,METALFISA!$A:$A,'Faltantes Fevereiro- Metalfisa'!AK$3,METALFISA!$B:$B,'Faltantes Fevereiro- Metalfisa'!$A107)</f>
        <v>0</v>
      </c>
      <c r="AL107" s="31">
        <f>SUMIFS(METALFISA!$E:$E,METALFISA!$A:$A,'Faltantes Fevereiro- Metalfisa'!AL$3,METALFISA!$B:$B,'Faltantes Fevereiro- Metalfisa'!$A107)</f>
        <v>0</v>
      </c>
      <c r="AM107" s="31">
        <f>SUMIFS(METALFISA!$E:$E,METALFISA!$A:$A,'Faltantes Fevereiro- Metalfisa'!AM$3,METALFISA!$B:$B,'Faltantes Fevereiro- Metalfisa'!$A107)</f>
        <v>2</v>
      </c>
      <c r="AN107" s="31">
        <f>SUMIFS(METALFISA!$E:$E,METALFISA!$A:$A,'Faltantes Fevereiro- Metalfisa'!AN$3,METALFISA!$B:$B,'Faltantes Fevereiro- Metalfisa'!$A107)</f>
        <v>0</v>
      </c>
      <c r="AO107" s="31">
        <f>SUMIFS(METALFISA!$E:$E,METALFISA!$A:$A,'Faltantes Fevereiro- Metalfisa'!AO$3,METALFISA!$B:$B,'Faltantes Fevereiro- Metalfisa'!$A107)</f>
        <v>0</v>
      </c>
      <c r="AP107" s="31">
        <f>SUMIFS(METALFISA!$E:$E,METALFISA!$A:$A,'Faltantes Fevereiro- Metalfisa'!AP$3,METALFISA!$B:$B,'Faltantes Fevereiro- Metalfisa'!$A107)</f>
        <v>0</v>
      </c>
      <c r="AQ107" s="31"/>
      <c r="AR107" s="31">
        <f>SUMIFS(METALFISA!$E:$E,METALFISA!$A:$A,'Faltantes Fevereiro- Metalfisa'!AR$3,METALFISA!$B:$B,'Faltantes Fevereiro- Metalfisa'!$A107)</f>
        <v>0</v>
      </c>
      <c r="AS107" s="35">
        <f>SUMIFS(METALFISA!$E:$E,METALFISA!$A:$A,'Faltantes Fevereiro- Metalfisa'!AS$3,METALFISA!$B:$B,'Faltantes Fevereiro- Metalfisa'!$A107)</f>
        <v>0</v>
      </c>
      <c r="AU107" s="18">
        <v>0</v>
      </c>
      <c r="AV107" s="18">
        <v>0</v>
      </c>
      <c r="AW107" s="18">
        <v>0</v>
      </c>
      <c r="AX107" s="18">
        <v>0</v>
      </c>
      <c r="AY107" s="41">
        <v>0</v>
      </c>
      <c r="AZ107" s="31">
        <v>0</v>
      </c>
      <c r="BA107" s="31">
        <v>0</v>
      </c>
      <c r="BB107" s="31">
        <v>0</v>
      </c>
      <c r="BC107" s="31">
        <v>0</v>
      </c>
      <c r="BD107" s="31">
        <v>0</v>
      </c>
      <c r="BE107" s="31">
        <v>0</v>
      </c>
      <c r="BF107" s="31">
        <v>0</v>
      </c>
      <c r="BG107" s="31">
        <v>0</v>
      </c>
      <c r="BH107" s="31">
        <v>0</v>
      </c>
      <c r="BI107" s="31">
        <v>0</v>
      </c>
      <c r="BJ107" s="31">
        <v>0</v>
      </c>
      <c r="BK107" s="31">
        <v>0</v>
      </c>
      <c r="BL107" s="31">
        <v>0</v>
      </c>
      <c r="BM107" s="31">
        <v>2</v>
      </c>
      <c r="BN107" s="31">
        <v>0</v>
      </c>
      <c r="BO107" s="31">
        <v>0</v>
      </c>
      <c r="BP107" s="31">
        <v>0</v>
      </c>
      <c r="BQ107" s="31">
        <v>0</v>
      </c>
      <c r="BR107" s="31">
        <v>0</v>
      </c>
      <c r="BS107" s="31">
        <v>0</v>
      </c>
      <c r="BT107" s="31">
        <v>0</v>
      </c>
      <c r="BU107" s="31">
        <v>0</v>
      </c>
      <c r="BV107" s="31">
        <v>0</v>
      </c>
      <c r="BW107" s="31">
        <v>0</v>
      </c>
      <c r="BX107" s="31">
        <v>0</v>
      </c>
      <c r="BY107" s="31">
        <v>0</v>
      </c>
      <c r="BZ107" s="31">
        <v>0</v>
      </c>
      <c r="CA107" s="31">
        <v>0</v>
      </c>
      <c r="CB107" s="31">
        <v>0</v>
      </c>
      <c r="CC107" s="31">
        <v>0</v>
      </c>
      <c r="CD107" s="31">
        <v>0</v>
      </c>
      <c r="CE107" s="31">
        <v>0</v>
      </c>
      <c r="CF107" s="31">
        <v>0</v>
      </c>
      <c r="CG107" s="31">
        <v>0</v>
      </c>
      <c r="CH107" s="31">
        <v>0</v>
      </c>
      <c r="CI107" s="31">
        <v>0</v>
      </c>
      <c r="CJ107" s="31">
        <v>0</v>
      </c>
      <c r="CK107" s="31">
        <v>0</v>
      </c>
      <c r="CL107" s="35">
        <v>0</v>
      </c>
    </row>
    <row r="108" spans="1:90" ht="21" x14ac:dyDescent="0.15">
      <c r="A108" s="27" t="s">
        <v>241</v>
      </c>
      <c r="B108" s="28" t="s">
        <v>242</v>
      </c>
      <c r="C108" s="28">
        <v>0</v>
      </c>
      <c r="D108" s="28">
        <v>0</v>
      </c>
      <c r="E108" s="28">
        <v>0</v>
      </c>
      <c r="F108" s="28">
        <v>0</v>
      </c>
      <c r="G108" s="28">
        <v>4</v>
      </c>
      <c r="H108" s="28">
        <f>IFERROR(VLOOKUP(A108,[1]FALTANTES!$A:$AB,28,FALSE),"-")</f>
        <v>0</v>
      </c>
      <c r="I108" s="42">
        <f>IFERROR(VLOOKUP(A108,[1]FALTANTES!$A:$AC,29,FALSE),"-")</f>
        <v>0</v>
      </c>
      <c r="J108" s="29">
        <f>IFERROR(VLOOKUP(A108,[1]FALTANTES!$A:$AD,30,FALSE),"-")</f>
        <v>-4</v>
      </c>
      <c r="K108" s="30">
        <v>0</v>
      </c>
      <c r="L108" s="30">
        <f t="shared" si="1"/>
        <v>4</v>
      </c>
      <c r="M108" s="31">
        <f>SUMIFS(METALFISA!$E:$E,METALFISA!$A:$A,'Faltantes Fevereiro- Metalfisa'!M$3,METALFISA!$B:$B,'Faltantes Fevereiro- Metalfisa'!$A108)</f>
        <v>0</v>
      </c>
      <c r="N108" s="31">
        <f>SUMIFS(METALFISA!$E:$E,METALFISA!$A:$A,'Faltantes Fevereiro- Metalfisa'!N$3,METALFISA!$B:$B,'Faltantes Fevereiro- Metalfisa'!$A108)</f>
        <v>0</v>
      </c>
      <c r="O108" s="31">
        <f>SUMIFS(METALFISA!$E:$E,METALFISA!$A:$A,'Faltantes Fevereiro- Metalfisa'!O$3,METALFISA!$B:$B,'Faltantes Fevereiro- Metalfisa'!$A108)</f>
        <v>0</v>
      </c>
      <c r="P108" s="31">
        <f>SUMIFS(METALFISA!$E:$E,METALFISA!$A:$A,'Faltantes Fevereiro- Metalfisa'!P$3,METALFISA!$B:$B,'Faltantes Fevereiro- Metalfisa'!$A108)</f>
        <v>0</v>
      </c>
      <c r="Q108" s="31">
        <f>SUMIFS(METALFISA!$E:$E,METALFISA!$A:$A,'Faltantes Fevereiro- Metalfisa'!Q$3,METALFISA!$B:$B,'Faltantes Fevereiro- Metalfisa'!$A108)</f>
        <v>0</v>
      </c>
      <c r="R108" s="31">
        <f>SUMIFS(METALFISA!$E:$E,METALFISA!$A:$A,'Faltantes Fevereiro- Metalfisa'!R$3,METALFISA!$B:$B,'Faltantes Fevereiro- Metalfisa'!$A108)</f>
        <v>0</v>
      </c>
      <c r="S108" s="31">
        <f>SUMIFS(METALFISA!$E:$E,METALFISA!$A:$A,'Faltantes Fevereiro- Metalfisa'!S$3,METALFISA!$B:$B,'Faltantes Fevereiro- Metalfisa'!$A108)</f>
        <v>0</v>
      </c>
      <c r="T108" s="31">
        <f>SUMIFS(METALFISA!$E:$E,METALFISA!$A:$A,'Faltantes Fevereiro- Metalfisa'!T$3,METALFISA!$B:$B,'Faltantes Fevereiro- Metalfisa'!$A108)</f>
        <v>0</v>
      </c>
      <c r="U108" s="31">
        <f>SUMIFS(METALFISA!$E:$E,METALFISA!$A:$A,'Faltantes Fevereiro- Metalfisa'!U$3,METALFISA!$B:$B,'Faltantes Fevereiro- Metalfisa'!$A108)</f>
        <v>0</v>
      </c>
      <c r="V108" s="31">
        <f>SUMIFS(METALFISA!$E:$E,METALFISA!$A:$A,'Faltantes Fevereiro- Metalfisa'!V$3,METALFISA!$B:$B,'Faltantes Fevereiro- Metalfisa'!$A108)</f>
        <v>0</v>
      </c>
      <c r="W108" s="31">
        <f>SUMIFS(METALFISA!$E:$E,METALFISA!$A:$A,'Faltantes Fevereiro- Metalfisa'!W$3,METALFISA!$B:$B,'Faltantes Fevereiro- Metalfisa'!$A108)</f>
        <v>0</v>
      </c>
      <c r="X108" s="31">
        <f>SUMIFS(METALFISA!$E:$E,METALFISA!$A:$A,'Faltantes Fevereiro- Metalfisa'!X$3,METALFISA!$B:$B,'Faltantes Fevereiro- Metalfisa'!$A108)</f>
        <v>0</v>
      </c>
      <c r="Y108" s="31">
        <f>SUMIFS(METALFISA!$E:$E,METALFISA!$A:$A,'Faltantes Fevereiro- Metalfisa'!Y$3,METALFISA!$B:$B,'Faltantes Fevereiro- Metalfisa'!$A108)</f>
        <v>0</v>
      </c>
      <c r="Z108" s="31">
        <f>SUMIFS(METALFISA!$E:$E,METALFISA!$A:$A,'Faltantes Fevereiro- Metalfisa'!Z$3,METALFISA!$B:$B,'Faltantes Fevereiro- Metalfisa'!$A108)</f>
        <v>0</v>
      </c>
      <c r="AA108" s="31">
        <f>SUMIFS(METALFISA!$E:$E,METALFISA!$A:$A,'Faltantes Fevereiro- Metalfisa'!AA$3,METALFISA!$B:$B,'Faltantes Fevereiro- Metalfisa'!$A108)</f>
        <v>0</v>
      </c>
      <c r="AB108" s="31">
        <f>SUMIFS(METALFISA!$E:$E,METALFISA!$A:$A,'Faltantes Fevereiro- Metalfisa'!AB$3,METALFISA!$B:$B,'Faltantes Fevereiro- Metalfisa'!$A108)</f>
        <v>0</v>
      </c>
      <c r="AC108" s="31">
        <f>SUMIFS(METALFISA!$E:$E,METALFISA!$A:$A,'Faltantes Fevereiro- Metalfisa'!AC$3,METALFISA!$B:$B,'Faltantes Fevereiro- Metalfisa'!$A108)</f>
        <v>0</v>
      </c>
      <c r="AD108" s="31">
        <f>SUMIFS(METALFISA!$E:$E,METALFISA!$A:$A,'Faltantes Fevereiro- Metalfisa'!AD$3,METALFISA!$B:$B,'Faltantes Fevereiro- Metalfisa'!$A108)</f>
        <v>0</v>
      </c>
      <c r="AE108" s="31">
        <f>SUMIFS(METALFISA!$E:$E,METALFISA!$A:$A,'Faltantes Fevereiro- Metalfisa'!AE$3,METALFISA!$B:$B,'Faltantes Fevereiro- Metalfisa'!$A108)</f>
        <v>0</v>
      </c>
      <c r="AF108" s="31">
        <f>SUMIFS(METALFISA!$E:$E,METALFISA!$A:$A,'Faltantes Fevereiro- Metalfisa'!AF$3,METALFISA!$B:$B,'Faltantes Fevereiro- Metalfisa'!$A108)</f>
        <v>0</v>
      </c>
      <c r="AG108" s="31">
        <f>SUMIFS(METALFISA!$E:$E,METALFISA!$A:$A,'Faltantes Fevereiro- Metalfisa'!AG$3,METALFISA!$B:$B,'Faltantes Fevereiro- Metalfisa'!$A108)</f>
        <v>4</v>
      </c>
      <c r="AH108" s="31">
        <f>SUMIFS(METALFISA!$E:$E,METALFISA!$A:$A,'Faltantes Fevereiro- Metalfisa'!AH$3,METALFISA!$B:$B,'Faltantes Fevereiro- Metalfisa'!$A108)</f>
        <v>0</v>
      </c>
      <c r="AI108" s="31">
        <f>SUMIFS(METALFISA!$E:$E,METALFISA!$A:$A,'Faltantes Fevereiro- Metalfisa'!AI$3,METALFISA!$B:$B,'Faltantes Fevereiro- Metalfisa'!$A108)</f>
        <v>0</v>
      </c>
      <c r="AJ108" s="31">
        <f>SUMIFS(METALFISA!$E:$E,METALFISA!$A:$A,'Faltantes Fevereiro- Metalfisa'!AJ$3,METALFISA!$B:$B,'Faltantes Fevereiro- Metalfisa'!$A108)</f>
        <v>0</v>
      </c>
      <c r="AK108" s="31">
        <f>SUMIFS(METALFISA!$E:$E,METALFISA!$A:$A,'Faltantes Fevereiro- Metalfisa'!AK$3,METALFISA!$B:$B,'Faltantes Fevereiro- Metalfisa'!$A108)</f>
        <v>0</v>
      </c>
      <c r="AL108" s="31">
        <f>SUMIFS(METALFISA!$E:$E,METALFISA!$A:$A,'Faltantes Fevereiro- Metalfisa'!AL$3,METALFISA!$B:$B,'Faltantes Fevereiro- Metalfisa'!$A108)</f>
        <v>0</v>
      </c>
      <c r="AM108" s="31">
        <f>SUMIFS(METALFISA!$E:$E,METALFISA!$A:$A,'Faltantes Fevereiro- Metalfisa'!AM$3,METALFISA!$B:$B,'Faltantes Fevereiro- Metalfisa'!$A108)</f>
        <v>0</v>
      </c>
      <c r="AN108" s="31">
        <f>SUMIFS(METALFISA!$E:$E,METALFISA!$A:$A,'Faltantes Fevereiro- Metalfisa'!AN$3,METALFISA!$B:$B,'Faltantes Fevereiro- Metalfisa'!$A108)</f>
        <v>0</v>
      </c>
      <c r="AO108" s="31">
        <f>SUMIFS(METALFISA!$E:$E,METALFISA!$A:$A,'Faltantes Fevereiro- Metalfisa'!AO$3,METALFISA!$B:$B,'Faltantes Fevereiro- Metalfisa'!$A108)</f>
        <v>0</v>
      </c>
      <c r="AP108" s="31">
        <f>SUMIFS(METALFISA!$E:$E,METALFISA!$A:$A,'Faltantes Fevereiro- Metalfisa'!AP$3,METALFISA!$B:$B,'Faltantes Fevereiro- Metalfisa'!$A108)</f>
        <v>0</v>
      </c>
      <c r="AQ108" s="31"/>
      <c r="AR108" s="31">
        <f>SUMIFS(METALFISA!$E:$E,METALFISA!$A:$A,'Faltantes Fevereiro- Metalfisa'!AR$3,METALFISA!$B:$B,'Faltantes Fevereiro- Metalfisa'!$A108)</f>
        <v>0</v>
      </c>
      <c r="AS108" s="35">
        <f>SUMIFS(METALFISA!$E:$E,METALFISA!$A:$A,'Faltantes Fevereiro- Metalfisa'!AS$3,METALFISA!$B:$B,'Faltantes Fevereiro- Metalfisa'!$A108)</f>
        <v>0</v>
      </c>
      <c r="AU108" s="18">
        <v>0</v>
      </c>
      <c r="AV108" s="18">
        <v>0</v>
      </c>
      <c r="AW108" s="18">
        <v>0</v>
      </c>
      <c r="AX108" s="18">
        <v>0</v>
      </c>
      <c r="AY108" s="41">
        <v>0</v>
      </c>
      <c r="AZ108" s="31">
        <v>0</v>
      </c>
      <c r="BA108" s="31">
        <v>0</v>
      </c>
      <c r="BB108" s="31">
        <v>0</v>
      </c>
      <c r="BC108" s="31">
        <v>0</v>
      </c>
      <c r="BD108" s="31">
        <v>0</v>
      </c>
      <c r="BE108" s="31">
        <v>0</v>
      </c>
      <c r="BF108" s="31">
        <v>0</v>
      </c>
      <c r="BG108" s="31">
        <v>0</v>
      </c>
      <c r="BH108" s="31">
        <v>0</v>
      </c>
      <c r="BI108" s="31">
        <v>0</v>
      </c>
      <c r="BJ108" s="31">
        <v>0</v>
      </c>
      <c r="BK108" s="31">
        <v>0</v>
      </c>
      <c r="BL108" s="31">
        <v>0</v>
      </c>
      <c r="BM108" s="31">
        <v>2</v>
      </c>
      <c r="BN108" s="31">
        <v>0</v>
      </c>
      <c r="BO108" s="31">
        <v>0</v>
      </c>
      <c r="BP108" s="31">
        <v>0</v>
      </c>
      <c r="BQ108" s="31">
        <v>0</v>
      </c>
      <c r="BR108" s="31">
        <v>0</v>
      </c>
      <c r="BS108" s="31">
        <v>0</v>
      </c>
      <c r="BT108" s="31">
        <v>0</v>
      </c>
      <c r="BU108" s="31">
        <v>0</v>
      </c>
      <c r="BV108" s="31">
        <v>0</v>
      </c>
      <c r="BW108" s="31">
        <v>0</v>
      </c>
      <c r="BX108" s="31">
        <v>0</v>
      </c>
      <c r="BY108" s="31">
        <v>0</v>
      </c>
      <c r="BZ108" s="31">
        <v>0</v>
      </c>
      <c r="CA108" s="31">
        <v>0</v>
      </c>
      <c r="CB108" s="31">
        <v>0</v>
      </c>
      <c r="CC108" s="31">
        <v>0</v>
      </c>
      <c r="CD108" s="31">
        <v>0</v>
      </c>
      <c r="CE108" s="31">
        <v>0</v>
      </c>
      <c r="CF108" s="31">
        <v>0</v>
      </c>
      <c r="CG108" s="31">
        <v>0</v>
      </c>
      <c r="CH108" s="31">
        <v>0</v>
      </c>
      <c r="CI108" s="31">
        <v>0</v>
      </c>
      <c r="CJ108" s="31">
        <v>0</v>
      </c>
      <c r="CK108" s="31">
        <v>0</v>
      </c>
      <c r="CL108" s="35">
        <v>0</v>
      </c>
    </row>
    <row r="109" spans="1:90" ht="21" x14ac:dyDescent="0.15">
      <c r="A109" s="27" t="s">
        <v>243</v>
      </c>
      <c r="B109" s="28" t="s">
        <v>244</v>
      </c>
      <c r="C109" s="28">
        <v>0</v>
      </c>
      <c r="D109" s="28">
        <v>0</v>
      </c>
      <c r="E109" s="28">
        <v>0</v>
      </c>
      <c r="F109" s="28">
        <v>0</v>
      </c>
      <c r="G109" s="28">
        <v>2</v>
      </c>
      <c r="H109" s="28">
        <f>IFERROR(VLOOKUP(A109,[1]FALTANTES!$A:$AB,28,FALSE),"-")</f>
        <v>0</v>
      </c>
      <c r="I109" s="42">
        <f>IFERROR(VLOOKUP(A109,[1]FALTANTES!$A:$AC,29,FALSE),"-")</f>
        <v>0</v>
      </c>
      <c r="J109" s="29">
        <f>IFERROR(VLOOKUP(A109,[1]FALTANTES!$A:$AD,30,FALSE),"-")</f>
        <v>-2</v>
      </c>
      <c r="K109" s="30">
        <v>0</v>
      </c>
      <c r="L109" s="30">
        <f t="shared" si="1"/>
        <v>2</v>
      </c>
      <c r="M109" s="31">
        <f>SUMIFS(METALFISA!$E:$E,METALFISA!$A:$A,'Faltantes Fevereiro- Metalfisa'!M$3,METALFISA!$B:$B,'Faltantes Fevereiro- Metalfisa'!$A109)</f>
        <v>0</v>
      </c>
      <c r="N109" s="31">
        <f>SUMIFS(METALFISA!$E:$E,METALFISA!$A:$A,'Faltantes Fevereiro- Metalfisa'!N$3,METALFISA!$B:$B,'Faltantes Fevereiro- Metalfisa'!$A109)</f>
        <v>0</v>
      </c>
      <c r="O109" s="31">
        <f>SUMIFS(METALFISA!$E:$E,METALFISA!$A:$A,'Faltantes Fevereiro- Metalfisa'!O$3,METALFISA!$B:$B,'Faltantes Fevereiro- Metalfisa'!$A109)</f>
        <v>0</v>
      </c>
      <c r="P109" s="31">
        <f>SUMIFS(METALFISA!$E:$E,METALFISA!$A:$A,'Faltantes Fevereiro- Metalfisa'!P$3,METALFISA!$B:$B,'Faltantes Fevereiro- Metalfisa'!$A109)</f>
        <v>0</v>
      </c>
      <c r="Q109" s="31">
        <f>SUMIFS(METALFISA!$E:$E,METALFISA!$A:$A,'Faltantes Fevereiro- Metalfisa'!Q$3,METALFISA!$B:$B,'Faltantes Fevereiro- Metalfisa'!$A109)</f>
        <v>0</v>
      </c>
      <c r="R109" s="31">
        <f>SUMIFS(METALFISA!$E:$E,METALFISA!$A:$A,'Faltantes Fevereiro- Metalfisa'!R$3,METALFISA!$B:$B,'Faltantes Fevereiro- Metalfisa'!$A109)</f>
        <v>0</v>
      </c>
      <c r="S109" s="31">
        <f>SUMIFS(METALFISA!$E:$E,METALFISA!$A:$A,'Faltantes Fevereiro- Metalfisa'!S$3,METALFISA!$B:$B,'Faltantes Fevereiro- Metalfisa'!$A109)</f>
        <v>0</v>
      </c>
      <c r="T109" s="31">
        <f>SUMIFS(METALFISA!$E:$E,METALFISA!$A:$A,'Faltantes Fevereiro- Metalfisa'!T$3,METALFISA!$B:$B,'Faltantes Fevereiro- Metalfisa'!$A109)</f>
        <v>0</v>
      </c>
      <c r="U109" s="31">
        <f>SUMIFS(METALFISA!$E:$E,METALFISA!$A:$A,'Faltantes Fevereiro- Metalfisa'!U$3,METALFISA!$B:$B,'Faltantes Fevereiro- Metalfisa'!$A109)</f>
        <v>0</v>
      </c>
      <c r="V109" s="31">
        <f>SUMIFS(METALFISA!$E:$E,METALFISA!$A:$A,'Faltantes Fevereiro- Metalfisa'!V$3,METALFISA!$B:$B,'Faltantes Fevereiro- Metalfisa'!$A109)</f>
        <v>0</v>
      </c>
      <c r="W109" s="31">
        <f>SUMIFS(METALFISA!$E:$E,METALFISA!$A:$A,'Faltantes Fevereiro- Metalfisa'!W$3,METALFISA!$B:$B,'Faltantes Fevereiro- Metalfisa'!$A109)</f>
        <v>0</v>
      </c>
      <c r="X109" s="31">
        <f>SUMIFS(METALFISA!$E:$E,METALFISA!$A:$A,'Faltantes Fevereiro- Metalfisa'!X$3,METALFISA!$B:$B,'Faltantes Fevereiro- Metalfisa'!$A109)</f>
        <v>0</v>
      </c>
      <c r="Y109" s="31">
        <f>SUMIFS(METALFISA!$E:$E,METALFISA!$A:$A,'Faltantes Fevereiro- Metalfisa'!Y$3,METALFISA!$B:$B,'Faltantes Fevereiro- Metalfisa'!$A109)</f>
        <v>0</v>
      </c>
      <c r="Z109" s="31">
        <f>SUMIFS(METALFISA!$E:$E,METALFISA!$A:$A,'Faltantes Fevereiro- Metalfisa'!Z$3,METALFISA!$B:$B,'Faltantes Fevereiro- Metalfisa'!$A109)</f>
        <v>0</v>
      </c>
      <c r="AA109" s="31">
        <f>SUMIFS(METALFISA!$E:$E,METALFISA!$A:$A,'Faltantes Fevereiro- Metalfisa'!AA$3,METALFISA!$B:$B,'Faltantes Fevereiro- Metalfisa'!$A109)</f>
        <v>0</v>
      </c>
      <c r="AB109" s="31">
        <f>SUMIFS(METALFISA!$E:$E,METALFISA!$A:$A,'Faltantes Fevereiro- Metalfisa'!AB$3,METALFISA!$B:$B,'Faltantes Fevereiro- Metalfisa'!$A109)</f>
        <v>0</v>
      </c>
      <c r="AC109" s="31">
        <f>SUMIFS(METALFISA!$E:$E,METALFISA!$A:$A,'Faltantes Fevereiro- Metalfisa'!AC$3,METALFISA!$B:$B,'Faltantes Fevereiro- Metalfisa'!$A109)</f>
        <v>0</v>
      </c>
      <c r="AD109" s="31">
        <f>SUMIFS(METALFISA!$E:$E,METALFISA!$A:$A,'Faltantes Fevereiro- Metalfisa'!AD$3,METALFISA!$B:$B,'Faltantes Fevereiro- Metalfisa'!$A109)</f>
        <v>0</v>
      </c>
      <c r="AE109" s="31">
        <f>SUMIFS(METALFISA!$E:$E,METALFISA!$A:$A,'Faltantes Fevereiro- Metalfisa'!AE$3,METALFISA!$B:$B,'Faltantes Fevereiro- Metalfisa'!$A109)</f>
        <v>0</v>
      </c>
      <c r="AF109" s="31">
        <f>SUMIFS(METALFISA!$E:$E,METALFISA!$A:$A,'Faltantes Fevereiro- Metalfisa'!AF$3,METALFISA!$B:$B,'Faltantes Fevereiro- Metalfisa'!$A109)</f>
        <v>0</v>
      </c>
      <c r="AG109" s="31">
        <f>SUMIFS(METALFISA!$E:$E,METALFISA!$A:$A,'Faltantes Fevereiro- Metalfisa'!AG$3,METALFISA!$B:$B,'Faltantes Fevereiro- Metalfisa'!$A109)</f>
        <v>2</v>
      </c>
      <c r="AH109" s="31">
        <f>SUMIFS(METALFISA!$E:$E,METALFISA!$A:$A,'Faltantes Fevereiro- Metalfisa'!AH$3,METALFISA!$B:$B,'Faltantes Fevereiro- Metalfisa'!$A109)</f>
        <v>0</v>
      </c>
      <c r="AI109" s="31">
        <f>SUMIFS(METALFISA!$E:$E,METALFISA!$A:$A,'Faltantes Fevereiro- Metalfisa'!AI$3,METALFISA!$B:$B,'Faltantes Fevereiro- Metalfisa'!$A109)</f>
        <v>0</v>
      </c>
      <c r="AJ109" s="31">
        <f>SUMIFS(METALFISA!$E:$E,METALFISA!$A:$A,'Faltantes Fevereiro- Metalfisa'!AJ$3,METALFISA!$B:$B,'Faltantes Fevereiro- Metalfisa'!$A109)</f>
        <v>0</v>
      </c>
      <c r="AK109" s="31">
        <f>SUMIFS(METALFISA!$E:$E,METALFISA!$A:$A,'Faltantes Fevereiro- Metalfisa'!AK$3,METALFISA!$B:$B,'Faltantes Fevereiro- Metalfisa'!$A109)</f>
        <v>0</v>
      </c>
      <c r="AL109" s="31">
        <f>SUMIFS(METALFISA!$E:$E,METALFISA!$A:$A,'Faltantes Fevereiro- Metalfisa'!AL$3,METALFISA!$B:$B,'Faltantes Fevereiro- Metalfisa'!$A109)</f>
        <v>0</v>
      </c>
      <c r="AM109" s="31">
        <f>SUMIFS(METALFISA!$E:$E,METALFISA!$A:$A,'Faltantes Fevereiro- Metalfisa'!AM$3,METALFISA!$B:$B,'Faltantes Fevereiro- Metalfisa'!$A109)</f>
        <v>0</v>
      </c>
      <c r="AN109" s="31">
        <f>SUMIFS(METALFISA!$E:$E,METALFISA!$A:$A,'Faltantes Fevereiro- Metalfisa'!AN$3,METALFISA!$B:$B,'Faltantes Fevereiro- Metalfisa'!$A109)</f>
        <v>0</v>
      </c>
      <c r="AO109" s="31">
        <f>SUMIFS(METALFISA!$E:$E,METALFISA!$A:$A,'Faltantes Fevereiro- Metalfisa'!AO$3,METALFISA!$B:$B,'Faltantes Fevereiro- Metalfisa'!$A109)</f>
        <v>0</v>
      </c>
      <c r="AP109" s="31">
        <f>SUMIFS(METALFISA!$E:$E,METALFISA!$A:$A,'Faltantes Fevereiro- Metalfisa'!AP$3,METALFISA!$B:$B,'Faltantes Fevereiro- Metalfisa'!$A109)</f>
        <v>0</v>
      </c>
      <c r="AQ109" s="31"/>
      <c r="AR109" s="31">
        <f>SUMIFS(METALFISA!$E:$E,METALFISA!$A:$A,'Faltantes Fevereiro- Metalfisa'!AR$3,METALFISA!$B:$B,'Faltantes Fevereiro- Metalfisa'!$A109)</f>
        <v>0</v>
      </c>
      <c r="AS109" s="35">
        <f>SUMIFS(METALFISA!$E:$E,METALFISA!$A:$A,'Faltantes Fevereiro- Metalfisa'!AS$3,METALFISA!$B:$B,'Faltantes Fevereiro- Metalfisa'!$A109)</f>
        <v>0</v>
      </c>
      <c r="AU109" s="18">
        <v>0</v>
      </c>
      <c r="AV109" s="18">
        <v>0</v>
      </c>
      <c r="AW109" s="18">
        <v>0</v>
      </c>
      <c r="AX109" s="18">
        <v>0</v>
      </c>
      <c r="AY109" s="41">
        <v>0</v>
      </c>
      <c r="AZ109" s="31">
        <v>0</v>
      </c>
      <c r="BA109" s="31">
        <v>0</v>
      </c>
      <c r="BB109" s="31">
        <v>0</v>
      </c>
      <c r="BC109" s="31">
        <v>0</v>
      </c>
      <c r="BD109" s="31">
        <v>0</v>
      </c>
      <c r="BE109" s="31">
        <v>0</v>
      </c>
      <c r="BF109" s="31">
        <v>0</v>
      </c>
      <c r="BG109" s="31">
        <v>0</v>
      </c>
      <c r="BH109" s="31">
        <v>0</v>
      </c>
      <c r="BI109" s="31">
        <v>0</v>
      </c>
      <c r="BJ109" s="31">
        <v>0</v>
      </c>
      <c r="BK109" s="31">
        <v>0</v>
      </c>
      <c r="BL109" s="31">
        <v>0</v>
      </c>
      <c r="BM109" s="31">
        <v>1</v>
      </c>
      <c r="BN109" s="31">
        <v>0</v>
      </c>
      <c r="BO109" s="31">
        <v>0</v>
      </c>
      <c r="BP109" s="31">
        <v>0</v>
      </c>
      <c r="BQ109" s="31">
        <v>0</v>
      </c>
      <c r="BR109" s="31">
        <v>0</v>
      </c>
      <c r="BS109" s="31">
        <v>0</v>
      </c>
      <c r="BT109" s="31">
        <v>0</v>
      </c>
      <c r="BU109" s="31">
        <v>0</v>
      </c>
      <c r="BV109" s="31">
        <v>0</v>
      </c>
      <c r="BW109" s="31">
        <v>0</v>
      </c>
      <c r="BX109" s="31">
        <v>0</v>
      </c>
      <c r="BY109" s="31">
        <v>0</v>
      </c>
      <c r="BZ109" s="31">
        <v>0</v>
      </c>
      <c r="CA109" s="31">
        <v>0</v>
      </c>
      <c r="CB109" s="31">
        <v>0</v>
      </c>
      <c r="CC109" s="31">
        <v>0</v>
      </c>
      <c r="CD109" s="31">
        <v>0</v>
      </c>
      <c r="CE109" s="31">
        <v>0</v>
      </c>
      <c r="CF109" s="31">
        <v>0</v>
      </c>
      <c r="CG109" s="31">
        <v>0</v>
      </c>
      <c r="CH109" s="31">
        <v>0</v>
      </c>
      <c r="CI109" s="31">
        <v>0</v>
      </c>
      <c r="CJ109" s="31">
        <v>0</v>
      </c>
      <c r="CK109" s="31">
        <v>0</v>
      </c>
      <c r="CL109" s="35">
        <v>0</v>
      </c>
    </row>
    <row r="110" spans="1:90" ht="21" x14ac:dyDescent="0.15">
      <c r="A110" s="27" t="s">
        <v>65</v>
      </c>
      <c r="B110" s="28" t="s">
        <v>66</v>
      </c>
      <c r="C110" s="28">
        <v>0</v>
      </c>
      <c r="D110" s="28">
        <v>0</v>
      </c>
      <c r="E110" s="28">
        <v>0</v>
      </c>
      <c r="F110" s="28">
        <v>0</v>
      </c>
      <c r="G110" s="28">
        <v>7</v>
      </c>
      <c r="H110" s="28">
        <f>IFERROR(VLOOKUP(A110,[1]FALTANTES!$A:$AB,28,FALSE),"-")</f>
        <v>0</v>
      </c>
      <c r="I110" s="42">
        <f>IFERROR(VLOOKUP(A110,[1]FALTANTES!$A:$AC,29,FALSE),"-")</f>
        <v>0</v>
      </c>
      <c r="J110" s="29">
        <f>IFERROR(VLOOKUP(A110,[1]FALTANTES!$A:$AD,30,FALSE),"-")</f>
        <v>-7</v>
      </c>
      <c r="K110" s="30">
        <v>0</v>
      </c>
      <c r="L110" s="30">
        <f t="shared" si="1"/>
        <v>3</v>
      </c>
      <c r="M110" s="31">
        <f>SUMIFS(METALFISA!$E:$E,METALFISA!$A:$A,'Faltantes Fevereiro- Metalfisa'!M$3,METALFISA!$B:$B,'Faltantes Fevereiro- Metalfisa'!$A110)</f>
        <v>0</v>
      </c>
      <c r="N110" s="31">
        <f>SUMIFS(METALFISA!$E:$E,METALFISA!$A:$A,'Faltantes Fevereiro- Metalfisa'!N$3,METALFISA!$B:$B,'Faltantes Fevereiro- Metalfisa'!$A110)</f>
        <v>0</v>
      </c>
      <c r="O110" s="31">
        <f>SUMIFS(METALFISA!$E:$E,METALFISA!$A:$A,'Faltantes Fevereiro- Metalfisa'!O$3,METALFISA!$B:$B,'Faltantes Fevereiro- Metalfisa'!$A110)</f>
        <v>0</v>
      </c>
      <c r="P110" s="31">
        <f>SUMIFS(METALFISA!$E:$E,METALFISA!$A:$A,'Faltantes Fevereiro- Metalfisa'!P$3,METALFISA!$B:$B,'Faltantes Fevereiro- Metalfisa'!$A110)</f>
        <v>0</v>
      </c>
      <c r="Q110" s="31">
        <f>SUMIFS(METALFISA!$E:$E,METALFISA!$A:$A,'Faltantes Fevereiro- Metalfisa'!Q$3,METALFISA!$B:$B,'Faltantes Fevereiro- Metalfisa'!$A110)</f>
        <v>0</v>
      </c>
      <c r="R110" s="31">
        <f>SUMIFS(METALFISA!$E:$E,METALFISA!$A:$A,'Faltantes Fevereiro- Metalfisa'!R$3,METALFISA!$B:$B,'Faltantes Fevereiro- Metalfisa'!$A110)</f>
        <v>0</v>
      </c>
      <c r="S110" s="31">
        <f>SUMIFS(METALFISA!$E:$E,METALFISA!$A:$A,'Faltantes Fevereiro- Metalfisa'!S$3,METALFISA!$B:$B,'Faltantes Fevereiro- Metalfisa'!$A110)</f>
        <v>0</v>
      </c>
      <c r="T110" s="31">
        <f>SUMIFS(METALFISA!$E:$E,METALFISA!$A:$A,'Faltantes Fevereiro- Metalfisa'!T$3,METALFISA!$B:$B,'Faltantes Fevereiro- Metalfisa'!$A110)</f>
        <v>0</v>
      </c>
      <c r="U110" s="31">
        <f>SUMIFS(METALFISA!$E:$E,METALFISA!$A:$A,'Faltantes Fevereiro- Metalfisa'!U$3,METALFISA!$B:$B,'Faltantes Fevereiro- Metalfisa'!$A110)</f>
        <v>0</v>
      </c>
      <c r="V110" s="31">
        <f>SUMIFS(METALFISA!$E:$E,METALFISA!$A:$A,'Faltantes Fevereiro- Metalfisa'!V$3,METALFISA!$B:$B,'Faltantes Fevereiro- Metalfisa'!$A110)</f>
        <v>0</v>
      </c>
      <c r="W110" s="31">
        <f>SUMIFS(METALFISA!$E:$E,METALFISA!$A:$A,'Faltantes Fevereiro- Metalfisa'!W$3,METALFISA!$B:$B,'Faltantes Fevereiro- Metalfisa'!$A110)</f>
        <v>0</v>
      </c>
      <c r="X110" s="31">
        <f>SUMIFS(METALFISA!$E:$E,METALFISA!$A:$A,'Faltantes Fevereiro- Metalfisa'!X$3,METALFISA!$B:$B,'Faltantes Fevereiro- Metalfisa'!$A110)</f>
        <v>0</v>
      </c>
      <c r="Y110" s="31">
        <f>SUMIFS(METALFISA!$E:$E,METALFISA!$A:$A,'Faltantes Fevereiro- Metalfisa'!Y$3,METALFISA!$B:$B,'Faltantes Fevereiro- Metalfisa'!$A110)</f>
        <v>0</v>
      </c>
      <c r="Z110" s="31">
        <f>SUMIFS(METALFISA!$E:$E,METALFISA!$A:$A,'Faltantes Fevereiro- Metalfisa'!Z$3,METALFISA!$B:$B,'Faltantes Fevereiro- Metalfisa'!$A110)</f>
        <v>0</v>
      </c>
      <c r="AA110" s="31">
        <f>SUMIFS(METALFISA!$E:$E,METALFISA!$A:$A,'Faltantes Fevereiro- Metalfisa'!AA$3,METALFISA!$B:$B,'Faltantes Fevereiro- Metalfisa'!$A110)</f>
        <v>0</v>
      </c>
      <c r="AB110" s="31">
        <f>SUMIFS(METALFISA!$E:$E,METALFISA!$A:$A,'Faltantes Fevereiro- Metalfisa'!AB$3,METALFISA!$B:$B,'Faltantes Fevereiro- Metalfisa'!$A110)</f>
        <v>0</v>
      </c>
      <c r="AC110" s="31">
        <f>SUMIFS(METALFISA!$E:$E,METALFISA!$A:$A,'Faltantes Fevereiro- Metalfisa'!AC$3,METALFISA!$B:$B,'Faltantes Fevereiro- Metalfisa'!$A110)</f>
        <v>0</v>
      </c>
      <c r="AD110" s="31">
        <f>SUMIFS(METALFISA!$E:$E,METALFISA!$A:$A,'Faltantes Fevereiro- Metalfisa'!AD$3,METALFISA!$B:$B,'Faltantes Fevereiro- Metalfisa'!$A110)</f>
        <v>0</v>
      </c>
      <c r="AE110" s="31">
        <f>SUMIFS(METALFISA!$E:$E,METALFISA!$A:$A,'Faltantes Fevereiro- Metalfisa'!AE$3,METALFISA!$B:$B,'Faltantes Fevereiro- Metalfisa'!$A110)</f>
        <v>0</v>
      </c>
      <c r="AF110" s="31">
        <f>SUMIFS(METALFISA!$E:$E,METALFISA!$A:$A,'Faltantes Fevereiro- Metalfisa'!AF$3,METALFISA!$B:$B,'Faltantes Fevereiro- Metalfisa'!$A110)</f>
        <v>0</v>
      </c>
      <c r="AG110" s="31">
        <f>SUMIFS(METALFISA!$E:$E,METALFISA!$A:$A,'Faltantes Fevereiro- Metalfisa'!AG$3,METALFISA!$B:$B,'Faltantes Fevereiro- Metalfisa'!$A110)</f>
        <v>0</v>
      </c>
      <c r="AH110" s="31">
        <f>SUMIFS(METALFISA!$E:$E,METALFISA!$A:$A,'Faltantes Fevereiro- Metalfisa'!AH$3,METALFISA!$B:$B,'Faltantes Fevereiro- Metalfisa'!$A110)</f>
        <v>3</v>
      </c>
      <c r="AI110" s="31">
        <f>SUMIFS(METALFISA!$E:$E,METALFISA!$A:$A,'Faltantes Fevereiro- Metalfisa'!AI$3,METALFISA!$B:$B,'Faltantes Fevereiro- Metalfisa'!$A110)</f>
        <v>0</v>
      </c>
      <c r="AJ110" s="31">
        <f>SUMIFS(METALFISA!$E:$E,METALFISA!$A:$A,'Faltantes Fevereiro- Metalfisa'!AJ$3,METALFISA!$B:$B,'Faltantes Fevereiro- Metalfisa'!$A110)</f>
        <v>0</v>
      </c>
      <c r="AK110" s="31">
        <f>SUMIFS(METALFISA!$E:$E,METALFISA!$A:$A,'Faltantes Fevereiro- Metalfisa'!AK$3,METALFISA!$B:$B,'Faltantes Fevereiro- Metalfisa'!$A110)</f>
        <v>0</v>
      </c>
      <c r="AL110" s="31">
        <f>SUMIFS(METALFISA!$E:$E,METALFISA!$A:$A,'Faltantes Fevereiro- Metalfisa'!AL$3,METALFISA!$B:$B,'Faltantes Fevereiro- Metalfisa'!$A110)</f>
        <v>0</v>
      </c>
      <c r="AM110" s="31">
        <f>SUMIFS(METALFISA!$E:$E,METALFISA!$A:$A,'Faltantes Fevereiro- Metalfisa'!AM$3,METALFISA!$B:$B,'Faltantes Fevereiro- Metalfisa'!$A110)</f>
        <v>0</v>
      </c>
      <c r="AN110" s="31">
        <f>SUMIFS(METALFISA!$E:$E,METALFISA!$A:$A,'Faltantes Fevereiro- Metalfisa'!AN$3,METALFISA!$B:$B,'Faltantes Fevereiro- Metalfisa'!$A110)</f>
        <v>0</v>
      </c>
      <c r="AO110" s="31">
        <f>SUMIFS(METALFISA!$E:$E,METALFISA!$A:$A,'Faltantes Fevereiro- Metalfisa'!AO$3,METALFISA!$B:$B,'Faltantes Fevereiro- Metalfisa'!$A110)</f>
        <v>0</v>
      </c>
      <c r="AP110" s="31">
        <f>SUMIFS(METALFISA!$E:$E,METALFISA!$A:$A,'Faltantes Fevereiro- Metalfisa'!AP$3,METALFISA!$B:$B,'Faltantes Fevereiro- Metalfisa'!$A110)</f>
        <v>0</v>
      </c>
      <c r="AQ110" s="31"/>
      <c r="AR110" s="31">
        <f>SUMIFS(METALFISA!$E:$E,METALFISA!$A:$A,'Faltantes Fevereiro- Metalfisa'!AR$3,METALFISA!$B:$B,'Faltantes Fevereiro- Metalfisa'!$A110)</f>
        <v>0</v>
      </c>
      <c r="AS110" s="35">
        <f>SUMIFS(METALFISA!$E:$E,METALFISA!$A:$A,'Faltantes Fevereiro- Metalfisa'!AS$3,METALFISA!$B:$B,'Faltantes Fevereiro- Metalfisa'!$A110)</f>
        <v>0</v>
      </c>
      <c r="AU110" s="18">
        <v>0</v>
      </c>
      <c r="AV110" s="18">
        <v>0</v>
      </c>
      <c r="AW110" s="18">
        <v>0</v>
      </c>
      <c r="AX110" s="18">
        <v>0</v>
      </c>
      <c r="AY110" s="41">
        <v>4</v>
      </c>
      <c r="AZ110" s="31">
        <v>4</v>
      </c>
      <c r="BA110" s="31">
        <v>0</v>
      </c>
      <c r="BB110" s="31">
        <v>0</v>
      </c>
      <c r="BC110" s="31">
        <v>0</v>
      </c>
      <c r="BD110" s="31">
        <v>0</v>
      </c>
      <c r="BE110" s="31">
        <v>0</v>
      </c>
      <c r="BF110" s="31">
        <v>0</v>
      </c>
      <c r="BG110" s="31">
        <v>0</v>
      </c>
      <c r="BH110" s="31">
        <v>0</v>
      </c>
      <c r="BI110" s="31">
        <v>0</v>
      </c>
      <c r="BJ110" s="31">
        <v>0</v>
      </c>
      <c r="BK110" s="31">
        <v>0</v>
      </c>
      <c r="BL110" s="31">
        <v>0</v>
      </c>
      <c r="BM110" s="31">
        <v>0</v>
      </c>
      <c r="BN110" s="31">
        <v>0</v>
      </c>
      <c r="BO110" s="31">
        <v>0</v>
      </c>
      <c r="BP110" s="31">
        <v>0</v>
      </c>
      <c r="BQ110" s="31">
        <v>0</v>
      </c>
      <c r="BR110" s="31">
        <v>0</v>
      </c>
      <c r="BS110" s="31">
        <v>0</v>
      </c>
      <c r="BT110" s="31">
        <v>0</v>
      </c>
      <c r="BU110" s="31">
        <v>0</v>
      </c>
      <c r="BV110" s="31">
        <v>0</v>
      </c>
      <c r="BW110" s="31">
        <v>0</v>
      </c>
      <c r="BX110" s="31">
        <v>0</v>
      </c>
      <c r="BY110" s="31">
        <v>0</v>
      </c>
      <c r="BZ110" s="31">
        <v>0</v>
      </c>
      <c r="CA110" s="31">
        <v>0</v>
      </c>
      <c r="CB110" s="31">
        <v>0</v>
      </c>
      <c r="CC110" s="31">
        <v>0</v>
      </c>
      <c r="CD110" s="31">
        <v>0</v>
      </c>
      <c r="CE110" s="31">
        <v>0</v>
      </c>
      <c r="CF110" s="31">
        <v>0</v>
      </c>
      <c r="CG110" s="31">
        <v>0</v>
      </c>
      <c r="CH110" s="31">
        <v>0</v>
      </c>
      <c r="CI110" s="31">
        <v>0</v>
      </c>
      <c r="CJ110" s="31">
        <v>0</v>
      </c>
      <c r="CK110" s="31">
        <v>0</v>
      </c>
      <c r="CL110" s="35">
        <v>0</v>
      </c>
    </row>
    <row r="111" spans="1:90" ht="31.5" x14ac:dyDescent="0.15">
      <c r="A111" s="27" t="s">
        <v>67</v>
      </c>
      <c r="B111" s="28" t="s">
        <v>165</v>
      </c>
      <c r="C111" s="28">
        <v>6</v>
      </c>
      <c r="D111" s="28">
        <v>0</v>
      </c>
      <c r="E111" s="28">
        <v>0</v>
      </c>
      <c r="F111" s="28">
        <v>0</v>
      </c>
      <c r="G111" s="28">
        <v>29</v>
      </c>
      <c r="H111" s="28">
        <f>IFERROR(VLOOKUP(A111,[1]FALTANTES!$A:$AB,28,FALSE),"-")</f>
        <v>0</v>
      </c>
      <c r="I111" s="42">
        <f>IFERROR(VLOOKUP(A111,[1]FALTANTES!$A:$AC,29,FALSE),"-")</f>
        <v>34</v>
      </c>
      <c r="J111" s="29">
        <f>IFERROR(VLOOKUP(A111,[1]FALTANTES!$A:$AD,30,FALSE),"-")</f>
        <v>-1</v>
      </c>
      <c r="K111" s="30" t="s">
        <v>5638</v>
      </c>
      <c r="L111" s="30">
        <f t="shared" si="1"/>
        <v>1</v>
      </c>
      <c r="M111" s="31">
        <f>SUMIFS(METALFISA!$E:$E,METALFISA!$A:$A,'Faltantes Fevereiro- Metalfisa'!M$3,METALFISA!$B:$B,'Faltantes Fevereiro- Metalfisa'!$A111)</f>
        <v>0</v>
      </c>
      <c r="N111" s="31">
        <f>SUMIFS(METALFISA!$E:$E,METALFISA!$A:$A,'Faltantes Fevereiro- Metalfisa'!N$3,METALFISA!$B:$B,'Faltantes Fevereiro- Metalfisa'!$A111)</f>
        <v>0</v>
      </c>
      <c r="O111" s="31">
        <f>SUMIFS(METALFISA!$E:$E,METALFISA!$A:$A,'Faltantes Fevereiro- Metalfisa'!O$3,METALFISA!$B:$B,'Faltantes Fevereiro- Metalfisa'!$A111)</f>
        <v>0</v>
      </c>
      <c r="P111" s="31">
        <f>SUMIFS(METALFISA!$E:$E,METALFISA!$A:$A,'Faltantes Fevereiro- Metalfisa'!P$3,METALFISA!$B:$B,'Faltantes Fevereiro- Metalfisa'!$A111)</f>
        <v>0</v>
      </c>
      <c r="Q111" s="31">
        <f>SUMIFS(METALFISA!$E:$E,METALFISA!$A:$A,'Faltantes Fevereiro- Metalfisa'!Q$3,METALFISA!$B:$B,'Faltantes Fevereiro- Metalfisa'!$A111)</f>
        <v>0</v>
      </c>
      <c r="R111" s="31">
        <f>SUMIFS(METALFISA!$E:$E,METALFISA!$A:$A,'Faltantes Fevereiro- Metalfisa'!R$3,METALFISA!$B:$B,'Faltantes Fevereiro- Metalfisa'!$A111)</f>
        <v>0</v>
      </c>
      <c r="S111" s="31">
        <f>SUMIFS(METALFISA!$E:$E,METALFISA!$A:$A,'Faltantes Fevereiro- Metalfisa'!S$3,METALFISA!$B:$B,'Faltantes Fevereiro- Metalfisa'!$A111)</f>
        <v>0</v>
      </c>
      <c r="T111" s="31">
        <f>SUMIFS(METALFISA!$E:$E,METALFISA!$A:$A,'Faltantes Fevereiro- Metalfisa'!T$3,METALFISA!$B:$B,'Faltantes Fevereiro- Metalfisa'!$A111)</f>
        <v>0</v>
      </c>
      <c r="U111" s="31">
        <f>SUMIFS(METALFISA!$E:$E,METALFISA!$A:$A,'Faltantes Fevereiro- Metalfisa'!U$3,METALFISA!$B:$B,'Faltantes Fevereiro- Metalfisa'!$A111)</f>
        <v>0</v>
      </c>
      <c r="V111" s="31">
        <f>SUMIFS(METALFISA!$E:$E,METALFISA!$A:$A,'Faltantes Fevereiro- Metalfisa'!V$3,METALFISA!$B:$B,'Faltantes Fevereiro- Metalfisa'!$A111)</f>
        <v>0</v>
      </c>
      <c r="W111" s="31">
        <f>SUMIFS(METALFISA!$E:$E,METALFISA!$A:$A,'Faltantes Fevereiro- Metalfisa'!W$3,METALFISA!$B:$B,'Faltantes Fevereiro- Metalfisa'!$A111)</f>
        <v>0</v>
      </c>
      <c r="X111" s="31">
        <f>SUMIFS(METALFISA!$E:$E,METALFISA!$A:$A,'Faltantes Fevereiro- Metalfisa'!X$3,METALFISA!$B:$B,'Faltantes Fevereiro- Metalfisa'!$A111)</f>
        <v>0</v>
      </c>
      <c r="Y111" s="31">
        <f>SUMIFS(METALFISA!$E:$E,METALFISA!$A:$A,'Faltantes Fevereiro- Metalfisa'!Y$3,METALFISA!$B:$B,'Faltantes Fevereiro- Metalfisa'!$A111)</f>
        <v>0</v>
      </c>
      <c r="Z111" s="31">
        <f>SUMIFS(METALFISA!$E:$E,METALFISA!$A:$A,'Faltantes Fevereiro- Metalfisa'!Z$3,METALFISA!$B:$B,'Faltantes Fevereiro- Metalfisa'!$A111)</f>
        <v>0</v>
      </c>
      <c r="AA111" s="31">
        <f>SUMIFS(METALFISA!$E:$E,METALFISA!$A:$A,'Faltantes Fevereiro- Metalfisa'!AA$3,METALFISA!$B:$B,'Faltantes Fevereiro- Metalfisa'!$A111)</f>
        <v>0</v>
      </c>
      <c r="AB111" s="31">
        <f>SUMIFS(METALFISA!$E:$E,METALFISA!$A:$A,'Faltantes Fevereiro- Metalfisa'!AB$3,METALFISA!$B:$B,'Faltantes Fevereiro- Metalfisa'!$A111)</f>
        <v>0</v>
      </c>
      <c r="AC111" s="31">
        <f>SUMIFS(METALFISA!$E:$E,METALFISA!$A:$A,'Faltantes Fevereiro- Metalfisa'!AC$3,METALFISA!$B:$B,'Faltantes Fevereiro- Metalfisa'!$A111)</f>
        <v>0</v>
      </c>
      <c r="AD111" s="31">
        <f>SUMIFS(METALFISA!$E:$E,METALFISA!$A:$A,'Faltantes Fevereiro- Metalfisa'!AD$3,METALFISA!$B:$B,'Faltantes Fevereiro- Metalfisa'!$A111)</f>
        <v>0</v>
      </c>
      <c r="AE111" s="31">
        <f>SUMIFS(METALFISA!$E:$E,METALFISA!$A:$A,'Faltantes Fevereiro- Metalfisa'!AE$3,METALFISA!$B:$B,'Faltantes Fevereiro- Metalfisa'!$A111)</f>
        <v>0</v>
      </c>
      <c r="AF111" s="31">
        <f>SUMIFS(METALFISA!$E:$E,METALFISA!$A:$A,'Faltantes Fevereiro- Metalfisa'!AF$3,METALFISA!$B:$B,'Faltantes Fevereiro- Metalfisa'!$A111)</f>
        <v>0</v>
      </c>
      <c r="AG111" s="31">
        <f>SUMIFS(METALFISA!$E:$E,METALFISA!$A:$A,'Faltantes Fevereiro- Metalfisa'!AG$3,METALFISA!$B:$B,'Faltantes Fevereiro- Metalfisa'!$A111)</f>
        <v>0</v>
      </c>
      <c r="AH111" s="31">
        <f>SUMIFS(METALFISA!$E:$E,METALFISA!$A:$A,'Faltantes Fevereiro- Metalfisa'!AH$3,METALFISA!$B:$B,'Faltantes Fevereiro- Metalfisa'!$A111)</f>
        <v>0</v>
      </c>
      <c r="AI111" s="31">
        <f>SUMIFS(METALFISA!$E:$E,METALFISA!$A:$A,'Faltantes Fevereiro- Metalfisa'!AI$3,METALFISA!$B:$B,'Faltantes Fevereiro- Metalfisa'!$A111)</f>
        <v>0</v>
      </c>
      <c r="AJ111" s="31">
        <f>SUMIFS(METALFISA!$E:$E,METALFISA!$A:$A,'Faltantes Fevereiro- Metalfisa'!AJ$3,METALFISA!$B:$B,'Faltantes Fevereiro- Metalfisa'!$A111)</f>
        <v>0</v>
      </c>
      <c r="AK111" s="31">
        <f>SUMIFS(METALFISA!$E:$E,METALFISA!$A:$A,'Faltantes Fevereiro- Metalfisa'!AK$3,METALFISA!$B:$B,'Faltantes Fevereiro- Metalfisa'!$A111)</f>
        <v>0</v>
      </c>
      <c r="AL111" s="31">
        <f>SUMIFS(METALFISA!$E:$E,METALFISA!$A:$A,'Faltantes Fevereiro- Metalfisa'!AL$3,METALFISA!$B:$B,'Faltantes Fevereiro- Metalfisa'!$A111)</f>
        <v>0</v>
      </c>
      <c r="AM111" s="31">
        <f>SUMIFS(METALFISA!$E:$E,METALFISA!$A:$A,'Faltantes Fevereiro- Metalfisa'!AM$3,METALFISA!$B:$B,'Faltantes Fevereiro- Metalfisa'!$A111)</f>
        <v>1</v>
      </c>
      <c r="AN111" s="31">
        <f>SUMIFS(METALFISA!$E:$E,METALFISA!$A:$A,'Faltantes Fevereiro- Metalfisa'!AN$3,METALFISA!$B:$B,'Faltantes Fevereiro- Metalfisa'!$A111)</f>
        <v>0</v>
      </c>
      <c r="AO111" s="31">
        <f>SUMIFS(METALFISA!$E:$E,METALFISA!$A:$A,'Faltantes Fevereiro- Metalfisa'!AO$3,METALFISA!$B:$B,'Faltantes Fevereiro- Metalfisa'!$A111)</f>
        <v>0</v>
      </c>
      <c r="AP111" s="31">
        <f>SUMIFS(METALFISA!$E:$E,METALFISA!$A:$A,'Faltantes Fevereiro- Metalfisa'!AP$3,METALFISA!$B:$B,'Faltantes Fevereiro- Metalfisa'!$A111)</f>
        <v>0</v>
      </c>
      <c r="AQ111" s="31"/>
      <c r="AR111" s="31">
        <f>SUMIFS(METALFISA!$E:$E,METALFISA!$A:$A,'Faltantes Fevereiro- Metalfisa'!AR$3,METALFISA!$B:$B,'Faltantes Fevereiro- Metalfisa'!$A111)</f>
        <v>0</v>
      </c>
      <c r="AS111" s="35">
        <f>SUMIFS(METALFISA!$E:$E,METALFISA!$A:$A,'Faltantes Fevereiro- Metalfisa'!AS$3,METALFISA!$B:$B,'Faltantes Fevereiro- Metalfisa'!$A111)</f>
        <v>0</v>
      </c>
      <c r="AU111" s="18">
        <v>0</v>
      </c>
      <c r="AV111" s="18">
        <v>0</v>
      </c>
      <c r="AW111" s="18">
        <v>0</v>
      </c>
      <c r="AX111" s="18">
        <v>0</v>
      </c>
      <c r="AY111" s="41">
        <v>1</v>
      </c>
      <c r="AZ111" s="31">
        <v>1</v>
      </c>
      <c r="BA111" s="31">
        <v>0</v>
      </c>
      <c r="BB111" s="31">
        <v>0</v>
      </c>
      <c r="BC111" s="31">
        <v>0</v>
      </c>
      <c r="BD111" s="31">
        <v>0</v>
      </c>
      <c r="BE111" s="31">
        <v>0</v>
      </c>
      <c r="BF111" s="31">
        <v>0</v>
      </c>
      <c r="BG111" s="31">
        <v>0</v>
      </c>
      <c r="BH111" s="31">
        <v>0</v>
      </c>
      <c r="BI111" s="31">
        <v>0</v>
      </c>
      <c r="BJ111" s="31">
        <v>0</v>
      </c>
      <c r="BK111" s="31">
        <v>0</v>
      </c>
      <c r="BL111" s="31">
        <v>0</v>
      </c>
      <c r="BM111" s="31">
        <v>0</v>
      </c>
      <c r="BN111" s="31">
        <v>0</v>
      </c>
      <c r="BO111" s="31">
        <v>0</v>
      </c>
      <c r="BP111" s="31">
        <v>0</v>
      </c>
      <c r="BQ111" s="31">
        <v>0</v>
      </c>
      <c r="BR111" s="31">
        <v>0</v>
      </c>
      <c r="BS111" s="31">
        <v>0</v>
      </c>
      <c r="BT111" s="31">
        <v>0</v>
      </c>
      <c r="BU111" s="31">
        <v>0</v>
      </c>
      <c r="BV111" s="31">
        <v>0</v>
      </c>
      <c r="BW111" s="31">
        <v>0</v>
      </c>
      <c r="BX111" s="31">
        <v>0</v>
      </c>
      <c r="BY111" s="31">
        <v>0</v>
      </c>
      <c r="BZ111" s="31">
        <v>0</v>
      </c>
      <c r="CA111" s="31">
        <v>0</v>
      </c>
      <c r="CB111" s="31">
        <v>0</v>
      </c>
      <c r="CC111" s="31">
        <v>0</v>
      </c>
      <c r="CD111" s="31">
        <v>0</v>
      </c>
      <c r="CE111" s="31">
        <v>0</v>
      </c>
      <c r="CF111" s="31">
        <v>0</v>
      </c>
      <c r="CG111" s="31">
        <v>0</v>
      </c>
      <c r="CH111" s="31">
        <v>0</v>
      </c>
      <c r="CI111" s="31">
        <v>0</v>
      </c>
      <c r="CJ111" s="31">
        <v>0</v>
      </c>
      <c r="CK111" s="31">
        <v>0</v>
      </c>
      <c r="CL111" s="35">
        <v>0</v>
      </c>
    </row>
    <row r="112" spans="1:90" x14ac:dyDescent="0.15">
      <c r="A112" s="27" t="s">
        <v>122</v>
      </c>
      <c r="B112" s="28" t="s">
        <v>143</v>
      </c>
      <c r="C112" s="28">
        <v>0</v>
      </c>
      <c r="D112" s="28">
        <v>0</v>
      </c>
      <c r="E112" s="28">
        <v>0</v>
      </c>
      <c r="F112" s="28">
        <v>0</v>
      </c>
      <c r="G112" s="28">
        <v>2</v>
      </c>
      <c r="H112" s="28">
        <f>IFERROR(VLOOKUP(A112,[1]FALTANTES!$A:$AB,28,FALSE),"-")</f>
        <v>0</v>
      </c>
      <c r="I112" s="42">
        <f>IFERROR(VLOOKUP(A112,[1]FALTANTES!$A:$AC,29,FALSE),"-")</f>
        <v>1</v>
      </c>
      <c r="J112" s="29">
        <f>IFERROR(VLOOKUP(A112,[1]FALTANTES!$A:$AD,30,FALSE),"-")</f>
        <v>-1</v>
      </c>
      <c r="K112" s="30">
        <v>0</v>
      </c>
      <c r="L112" s="30">
        <f t="shared" si="1"/>
        <v>3</v>
      </c>
      <c r="M112" s="31">
        <f>SUMIFS(METALFISA!$E:$E,METALFISA!$A:$A,'Faltantes Fevereiro- Metalfisa'!M$3,METALFISA!$B:$B,'Faltantes Fevereiro- Metalfisa'!$A112)</f>
        <v>0</v>
      </c>
      <c r="N112" s="31">
        <f>SUMIFS(METALFISA!$E:$E,METALFISA!$A:$A,'Faltantes Fevereiro- Metalfisa'!N$3,METALFISA!$B:$B,'Faltantes Fevereiro- Metalfisa'!$A112)</f>
        <v>0</v>
      </c>
      <c r="O112" s="31">
        <f>SUMIFS(METALFISA!$E:$E,METALFISA!$A:$A,'Faltantes Fevereiro- Metalfisa'!O$3,METALFISA!$B:$B,'Faltantes Fevereiro- Metalfisa'!$A112)</f>
        <v>0</v>
      </c>
      <c r="P112" s="31">
        <f>SUMIFS(METALFISA!$E:$E,METALFISA!$A:$A,'Faltantes Fevereiro- Metalfisa'!P$3,METALFISA!$B:$B,'Faltantes Fevereiro- Metalfisa'!$A112)</f>
        <v>0</v>
      </c>
      <c r="Q112" s="31">
        <f>SUMIFS(METALFISA!$E:$E,METALFISA!$A:$A,'Faltantes Fevereiro- Metalfisa'!Q$3,METALFISA!$B:$B,'Faltantes Fevereiro- Metalfisa'!$A112)</f>
        <v>0</v>
      </c>
      <c r="R112" s="31">
        <f>SUMIFS(METALFISA!$E:$E,METALFISA!$A:$A,'Faltantes Fevereiro- Metalfisa'!R$3,METALFISA!$B:$B,'Faltantes Fevereiro- Metalfisa'!$A112)</f>
        <v>0</v>
      </c>
      <c r="S112" s="31">
        <f>SUMIFS(METALFISA!$E:$E,METALFISA!$A:$A,'Faltantes Fevereiro- Metalfisa'!S$3,METALFISA!$B:$B,'Faltantes Fevereiro- Metalfisa'!$A112)</f>
        <v>0</v>
      </c>
      <c r="T112" s="31">
        <f>SUMIFS(METALFISA!$E:$E,METALFISA!$A:$A,'Faltantes Fevereiro- Metalfisa'!T$3,METALFISA!$B:$B,'Faltantes Fevereiro- Metalfisa'!$A112)</f>
        <v>0</v>
      </c>
      <c r="U112" s="31">
        <f>SUMIFS(METALFISA!$E:$E,METALFISA!$A:$A,'Faltantes Fevereiro- Metalfisa'!U$3,METALFISA!$B:$B,'Faltantes Fevereiro- Metalfisa'!$A112)</f>
        <v>1</v>
      </c>
      <c r="V112" s="31">
        <f>SUMIFS(METALFISA!$E:$E,METALFISA!$A:$A,'Faltantes Fevereiro- Metalfisa'!V$3,METALFISA!$B:$B,'Faltantes Fevereiro- Metalfisa'!$A112)</f>
        <v>0</v>
      </c>
      <c r="W112" s="31">
        <f>SUMIFS(METALFISA!$E:$E,METALFISA!$A:$A,'Faltantes Fevereiro- Metalfisa'!W$3,METALFISA!$B:$B,'Faltantes Fevereiro- Metalfisa'!$A112)</f>
        <v>0</v>
      </c>
      <c r="X112" s="31">
        <f>SUMIFS(METALFISA!$E:$E,METALFISA!$A:$A,'Faltantes Fevereiro- Metalfisa'!X$3,METALFISA!$B:$B,'Faltantes Fevereiro- Metalfisa'!$A112)</f>
        <v>0</v>
      </c>
      <c r="Y112" s="31">
        <f>SUMIFS(METALFISA!$E:$E,METALFISA!$A:$A,'Faltantes Fevereiro- Metalfisa'!Y$3,METALFISA!$B:$B,'Faltantes Fevereiro- Metalfisa'!$A112)</f>
        <v>0</v>
      </c>
      <c r="Z112" s="31">
        <f>SUMIFS(METALFISA!$E:$E,METALFISA!$A:$A,'Faltantes Fevereiro- Metalfisa'!Z$3,METALFISA!$B:$B,'Faltantes Fevereiro- Metalfisa'!$A112)</f>
        <v>0</v>
      </c>
      <c r="AA112" s="31">
        <f>SUMIFS(METALFISA!$E:$E,METALFISA!$A:$A,'Faltantes Fevereiro- Metalfisa'!AA$3,METALFISA!$B:$B,'Faltantes Fevereiro- Metalfisa'!$A112)</f>
        <v>0</v>
      </c>
      <c r="AB112" s="31">
        <f>SUMIFS(METALFISA!$E:$E,METALFISA!$A:$A,'Faltantes Fevereiro- Metalfisa'!AB$3,METALFISA!$B:$B,'Faltantes Fevereiro- Metalfisa'!$A112)</f>
        <v>0</v>
      </c>
      <c r="AC112" s="31">
        <f>SUMIFS(METALFISA!$E:$E,METALFISA!$A:$A,'Faltantes Fevereiro- Metalfisa'!AC$3,METALFISA!$B:$B,'Faltantes Fevereiro- Metalfisa'!$A112)</f>
        <v>0</v>
      </c>
      <c r="AD112" s="31">
        <f>SUMIFS(METALFISA!$E:$E,METALFISA!$A:$A,'Faltantes Fevereiro- Metalfisa'!AD$3,METALFISA!$B:$B,'Faltantes Fevereiro- Metalfisa'!$A112)</f>
        <v>0</v>
      </c>
      <c r="AE112" s="31">
        <f>SUMIFS(METALFISA!$E:$E,METALFISA!$A:$A,'Faltantes Fevereiro- Metalfisa'!AE$3,METALFISA!$B:$B,'Faltantes Fevereiro- Metalfisa'!$A112)</f>
        <v>0</v>
      </c>
      <c r="AF112" s="31">
        <f>SUMIFS(METALFISA!$E:$E,METALFISA!$A:$A,'Faltantes Fevereiro- Metalfisa'!AF$3,METALFISA!$B:$B,'Faltantes Fevereiro- Metalfisa'!$A112)</f>
        <v>0</v>
      </c>
      <c r="AG112" s="31">
        <f>SUMIFS(METALFISA!$E:$E,METALFISA!$A:$A,'Faltantes Fevereiro- Metalfisa'!AG$3,METALFISA!$B:$B,'Faltantes Fevereiro- Metalfisa'!$A112)</f>
        <v>0</v>
      </c>
      <c r="AH112" s="31">
        <f>SUMIFS(METALFISA!$E:$E,METALFISA!$A:$A,'Faltantes Fevereiro- Metalfisa'!AH$3,METALFISA!$B:$B,'Faltantes Fevereiro- Metalfisa'!$A112)</f>
        <v>2</v>
      </c>
      <c r="AI112" s="31">
        <f>SUMIFS(METALFISA!$E:$E,METALFISA!$A:$A,'Faltantes Fevereiro- Metalfisa'!AI$3,METALFISA!$B:$B,'Faltantes Fevereiro- Metalfisa'!$A112)</f>
        <v>0</v>
      </c>
      <c r="AJ112" s="31">
        <f>SUMIFS(METALFISA!$E:$E,METALFISA!$A:$A,'Faltantes Fevereiro- Metalfisa'!AJ$3,METALFISA!$B:$B,'Faltantes Fevereiro- Metalfisa'!$A112)</f>
        <v>0</v>
      </c>
      <c r="AK112" s="31">
        <f>SUMIFS(METALFISA!$E:$E,METALFISA!$A:$A,'Faltantes Fevereiro- Metalfisa'!AK$3,METALFISA!$B:$B,'Faltantes Fevereiro- Metalfisa'!$A112)</f>
        <v>0</v>
      </c>
      <c r="AL112" s="31">
        <f>SUMIFS(METALFISA!$E:$E,METALFISA!$A:$A,'Faltantes Fevereiro- Metalfisa'!AL$3,METALFISA!$B:$B,'Faltantes Fevereiro- Metalfisa'!$A112)</f>
        <v>0</v>
      </c>
      <c r="AM112" s="31">
        <f>SUMIFS(METALFISA!$E:$E,METALFISA!$A:$A,'Faltantes Fevereiro- Metalfisa'!AM$3,METALFISA!$B:$B,'Faltantes Fevereiro- Metalfisa'!$A112)</f>
        <v>0</v>
      </c>
      <c r="AN112" s="31">
        <f>SUMIFS(METALFISA!$E:$E,METALFISA!$A:$A,'Faltantes Fevereiro- Metalfisa'!AN$3,METALFISA!$B:$B,'Faltantes Fevereiro- Metalfisa'!$A112)</f>
        <v>0</v>
      </c>
      <c r="AO112" s="31">
        <f>SUMIFS(METALFISA!$E:$E,METALFISA!$A:$A,'Faltantes Fevereiro- Metalfisa'!AO$3,METALFISA!$B:$B,'Faltantes Fevereiro- Metalfisa'!$A112)</f>
        <v>0</v>
      </c>
      <c r="AP112" s="31">
        <f>SUMIFS(METALFISA!$E:$E,METALFISA!$A:$A,'Faltantes Fevereiro- Metalfisa'!AP$3,METALFISA!$B:$B,'Faltantes Fevereiro- Metalfisa'!$A112)</f>
        <v>0</v>
      </c>
      <c r="AQ112" s="31"/>
      <c r="AR112" s="31">
        <f>SUMIFS(METALFISA!$E:$E,METALFISA!$A:$A,'Faltantes Fevereiro- Metalfisa'!AR$3,METALFISA!$B:$B,'Faltantes Fevereiro- Metalfisa'!$A112)</f>
        <v>0</v>
      </c>
      <c r="AS112" s="35">
        <f>SUMIFS(METALFISA!$E:$E,METALFISA!$A:$A,'Faltantes Fevereiro- Metalfisa'!AS$3,METALFISA!$B:$B,'Faltantes Fevereiro- Metalfisa'!$A112)</f>
        <v>0</v>
      </c>
      <c r="AU112" s="18">
        <v>0</v>
      </c>
      <c r="AV112" s="18">
        <v>0</v>
      </c>
      <c r="AW112" s="18">
        <v>0</v>
      </c>
      <c r="AX112" s="18">
        <v>0</v>
      </c>
      <c r="AY112" s="41">
        <v>0</v>
      </c>
      <c r="AZ112" s="31">
        <v>1</v>
      </c>
      <c r="BA112" s="31">
        <v>0</v>
      </c>
      <c r="BB112" s="31">
        <v>0</v>
      </c>
      <c r="BC112" s="31">
        <v>0</v>
      </c>
      <c r="BD112" s="31">
        <v>0</v>
      </c>
      <c r="BE112" s="31">
        <v>0</v>
      </c>
      <c r="BF112" s="31">
        <v>0</v>
      </c>
      <c r="BG112" s="31">
        <v>0</v>
      </c>
      <c r="BH112" s="31">
        <v>0</v>
      </c>
      <c r="BI112" s="31">
        <v>0</v>
      </c>
      <c r="BJ112" s="31">
        <v>0</v>
      </c>
      <c r="BK112" s="31">
        <v>0</v>
      </c>
      <c r="BL112" s="31">
        <v>0</v>
      </c>
      <c r="BM112" s="31">
        <v>0</v>
      </c>
      <c r="BN112" s="31">
        <v>0</v>
      </c>
      <c r="BO112" s="31">
        <v>0</v>
      </c>
      <c r="BP112" s="31">
        <v>0</v>
      </c>
      <c r="BQ112" s="31">
        <v>0</v>
      </c>
      <c r="BR112" s="31">
        <v>0</v>
      </c>
      <c r="BS112" s="31">
        <v>0</v>
      </c>
      <c r="BT112" s="31">
        <v>0</v>
      </c>
      <c r="BU112" s="31">
        <v>0</v>
      </c>
      <c r="BV112" s="31">
        <v>0</v>
      </c>
      <c r="BW112" s="31">
        <v>0</v>
      </c>
      <c r="BX112" s="31">
        <v>0</v>
      </c>
      <c r="BY112" s="31">
        <v>0</v>
      </c>
      <c r="BZ112" s="31">
        <v>0</v>
      </c>
      <c r="CA112" s="31">
        <v>0</v>
      </c>
      <c r="CB112" s="31">
        <v>0</v>
      </c>
      <c r="CC112" s="31">
        <v>0</v>
      </c>
      <c r="CD112" s="31">
        <v>0</v>
      </c>
      <c r="CE112" s="31">
        <v>0</v>
      </c>
      <c r="CF112" s="31">
        <v>0</v>
      </c>
      <c r="CG112" s="31">
        <v>0</v>
      </c>
      <c r="CH112" s="31">
        <v>0</v>
      </c>
      <c r="CI112" s="31">
        <v>0</v>
      </c>
      <c r="CJ112" s="31">
        <v>0</v>
      </c>
      <c r="CK112" s="31">
        <v>0</v>
      </c>
      <c r="CL112" s="35">
        <v>0</v>
      </c>
    </row>
    <row r="113" spans="1:90" ht="31.5" x14ac:dyDescent="0.15">
      <c r="A113" s="27" t="s">
        <v>762</v>
      </c>
      <c r="B113" s="28" t="s">
        <v>763</v>
      </c>
      <c r="C113" s="28">
        <v>0</v>
      </c>
      <c r="D113" s="28">
        <v>0</v>
      </c>
      <c r="E113" s="28">
        <v>0</v>
      </c>
      <c r="F113" s="28">
        <v>0</v>
      </c>
      <c r="G113" s="28">
        <v>24</v>
      </c>
      <c r="H113" s="28">
        <f>IFERROR(VLOOKUP(A113,[1]FALTANTES!$A:$AB,28,FALSE),"-")</f>
        <v>0</v>
      </c>
      <c r="I113" s="42">
        <f>IFERROR(VLOOKUP(A113,[1]FALTANTES!$A:$AC,29,FALSE),"-")</f>
        <v>0</v>
      </c>
      <c r="J113" s="29">
        <f>IFERROR(VLOOKUP(A113,[1]FALTANTES!$A:$AD,30,FALSE),"-")</f>
        <v>-24</v>
      </c>
      <c r="K113" s="30">
        <v>0</v>
      </c>
      <c r="L113" s="30">
        <f t="shared" si="1"/>
        <v>33</v>
      </c>
      <c r="M113" s="31">
        <f>SUMIFS(METALFISA!$E:$E,METALFISA!$A:$A,'Faltantes Fevereiro- Metalfisa'!M$3,METALFISA!$B:$B,'Faltantes Fevereiro- Metalfisa'!$A113)</f>
        <v>0</v>
      </c>
      <c r="N113" s="31">
        <f>SUMIFS(METALFISA!$E:$E,METALFISA!$A:$A,'Faltantes Fevereiro- Metalfisa'!N$3,METALFISA!$B:$B,'Faltantes Fevereiro- Metalfisa'!$A113)</f>
        <v>0</v>
      </c>
      <c r="O113" s="31">
        <f>SUMIFS(METALFISA!$E:$E,METALFISA!$A:$A,'Faltantes Fevereiro- Metalfisa'!O$3,METALFISA!$B:$B,'Faltantes Fevereiro- Metalfisa'!$A113)</f>
        <v>0</v>
      </c>
      <c r="P113" s="31">
        <f>SUMIFS(METALFISA!$E:$E,METALFISA!$A:$A,'Faltantes Fevereiro- Metalfisa'!P$3,METALFISA!$B:$B,'Faltantes Fevereiro- Metalfisa'!$A113)</f>
        <v>0</v>
      </c>
      <c r="Q113" s="31">
        <f>SUMIFS(METALFISA!$E:$E,METALFISA!$A:$A,'Faltantes Fevereiro- Metalfisa'!Q$3,METALFISA!$B:$B,'Faltantes Fevereiro- Metalfisa'!$A113)</f>
        <v>0</v>
      </c>
      <c r="R113" s="31">
        <f>SUMIFS(METALFISA!$E:$E,METALFISA!$A:$A,'Faltantes Fevereiro- Metalfisa'!R$3,METALFISA!$B:$B,'Faltantes Fevereiro- Metalfisa'!$A113)</f>
        <v>0</v>
      </c>
      <c r="S113" s="31">
        <f>SUMIFS(METALFISA!$E:$E,METALFISA!$A:$A,'Faltantes Fevereiro- Metalfisa'!S$3,METALFISA!$B:$B,'Faltantes Fevereiro- Metalfisa'!$A113)</f>
        <v>0</v>
      </c>
      <c r="T113" s="31">
        <f>SUMIFS(METALFISA!$E:$E,METALFISA!$A:$A,'Faltantes Fevereiro- Metalfisa'!T$3,METALFISA!$B:$B,'Faltantes Fevereiro- Metalfisa'!$A113)</f>
        <v>0</v>
      </c>
      <c r="U113" s="31">
        <f>SUMIFS(METALFISA!$E:$E,METALFISA!$A:$A,'Faltantes Fevereiro- Metalfisa'!U$3,METALFISA!$B:$B,'Faltantes Fevereiro- Metalfisa'!$A113)</f>
        <v>0</v>
      </c>
      <c r="V113" s="31">
        <f>SUMIFS(METALFISA!$E:$E,METALFISA!$A:$A,'Faltantes Fevereiro- Metalfisa'!V$3,METALFISA!$B:$B,'Faltantes Fevereiro- Metalfisa'!$A113)</f>
        <v>0</v>
      </c>
      <c r="W113" s="31">
        <f>SUMIFS(METALFISA!$E:$E,METALFISA!$A:$A,'Faltantes Fevereiro- Metalfisa'!W$3,METALFISA!$B:$B,'Faltantes Fevereiro- Metalfisa'!$A113)</f>
        <v>0</v>
      </c>
      <c r="X113" s="31">
        <f>SUMIFS(METALFISA!$E:$E,METALFISA!$A:$A,'Faltantes Fevereiro- Metalfisa'!X$3,METALFISA!$B:$B,'Faltantes Fevereiro- Metalfisa'!$A113)</f>
        <v>0</v>
      </c>
      <c r="Y113" s="31">
        <f>SUMIFS(METALFISA!$E:$E,METALFISA!$A:$A,'Faltantes Fevereiro- Metalfisa'!Y$3,METALFISA!$B:$B,'Faltantes Fevereiro- Metalfisa'!$A113)</f>
        <v>0</v>
      </c>
      <c r="Z113" s="31">
        <f>SUMIFS(METALFISA!$E:$E,METALFISA!$A:$A,'Faltantes Fevereiro- Metalfisa'!Z$3,METALFISA!$B:$B,'Faltantes Fevereiro- Metalfisa'!$A113)</f>
        <v>0</v>
      </c>
      <c r="AA113" s="31">
        <f>SUMIFS(METALFISA!$E:$E,METALFISA!$A:$A,'Faltantes Fevereiro- Metalfisa'!AA$3,METALFISA!$B:$B,'Faltantes Fevereiro- Metalfisa'!$A113)</f>
        <v>0</v>
      </c>
      <c r="AB113" s="31">
        <f>SUMIFS(METALFISA!$E:$E,METALFISA!$A:$A,'Faltantes Fevereiro- Metalfisa'!AB$3,METALFISA!$B:$B,'Faltantes Fevereiro- Metalfisa'!$A113)</f>
        <v>0</v>
      </c>
      <c r="AC113" s="31">
        <f>SUMIFS(METALFISA!$E:$E,METALFISA!$A:$A,'Faltantes Fevereiro- Metalfisa'!AC$3,METALFISA!$B:$B,'Faltantes Fevereiro- Metalfisa'!$A113)</f>
        <v>0</v>
      </c>
      <c r="AD113" s="31">
        <f>SUMIFS(METALFISA!$E:$E,METALFISA!$A:$A,'Faltantes Fevereiro- Metalfisa'!AD$3,METALFISA!$B:$B,'Faltantes Fevereiro- Metalfisa'!$A113)</f>
        <v>0</v>
      </c>
      <c r="AE113" s="31">
        <f>SUMIFS(METALFISA!$E:$E,METALFISA!$A:$A,'Faltantes Fevereiro- Metalfisa'!AE$3,METALFISA!$B:$B,'Faltantes Fevereiro- Metalfisa'!$A113)</f>
        <v>0</v>
      </c>
      <c r="AF113" s="31">
        <f>SUMIFS(METALFISA!$E:$E,METALFISA!$A:$A,'Faltantes Fevereiro- Metalfisa'!AF$3,METALFISA!$B:$B,'Faltantes Fevereiro- Metalfisa'!$A113)</f>
        <v>0</v>
      </c>
      <c r="AG113" s="31">
        <f>SUMIFS(METALFISA!$E:$E,METALFISA!$A:$A,'Faltantes Fevereiro- Metalfisa'!AG$3,METALFISA!$B:$B,'Faltantes Fevereiro- Metalfisa'!$A113)</f>
        <v>0</v>
      </c>
      <c r="AH113" s="31">
        <f>SUMIFS(METALFISA!$E:$E,METALFISA!$A:$A,'Faltantes Fevereiro- Metalfisa'!AH$3,METALFISA!$B:$B,'Faltantes Fevereiro- Metalfisa'!$A113)</f>
        <v>33</v>
      </c>
      <c r="AI113" s="31">
        <f>SUMIFS(METALFISA!$E:$E,METALFISA!$A:$A,'Faltantes Fevereiro- Metalfisa'!AI$3,METALFISA!$B:$B,'Faltantes Fevereiro- Metalfisa'!$A113)</f>
        <v>0</v>
      </c>
      <c r="AJ113" s="31">
        <f>SUMIFS(METALFISA!$E:$E,METALFISA!$A:$A,'Faltantes Fevereiro- Metalfisa'!AJ$3,METALFISA!$B:$B,'Faltantes Fevereiro- Metalfisa'!$A113)</f>
        <v>0</v>
      </c>
      <c r="AK113" s="31">
        <f>SUMIFS(METALFISA!$E:$E,METALFISA!$A:$A,'Faltantes Fevereiro- Metalfisa'!AK$3,METALFISA!$B:$B,'Faltantes Fevereiro- Metalfisa'!$A113)</f>
        <v>0</v>
      </c>
      <c r="AL113" s="31">
        <f>SUMIFS(METALFISA!$E:$E,METALFISA!$A:$A,'Faltantes Fevereiro- Metalfisa'!AL$3,METALFISA!$B:$B,'Faltantes Fevereiro- Metalfisa'!$A113)</f>
        <v>0</v>
      </c>
      <c r="AM113" s="31">
        <f>SUMIFS(METALFISA!$E:$E,METALFISA!$A:$A,'Faltantes Fevereiro- Metalfisa'!AM$3,METALFISA!$B:$B,'Faltantes Fevereiro- Metalfisa'!$A113)</f>
        <v>0</v>
      </c>
      <c r="AN113" s="31">
        <f>SUMIFS(METALFISA!$E:$E,METALFISA!$A:$A,'Faltantes Fevereiro- Metalfisa'!AN$3,METALFISA!$B:$B,'Faltantes Fevereiro- Metalfisa'!$A113)</f>
        <v>0</v>
      </c>
      <c r="AO113" s="31">
        <f>SUMIFS(METALFISA!$E:$E,METALFISA!$A:$A,'Faltantes Fevereiro- Metalfisa'!AO$3,METALFISA!$B:$B,'Faltantes Fevereiro- Metalfisa'!$A113)</f>
        <v>0</v>
      </c>
      <c r="AP113" s="31">
        <f>SUMIFS(METALFISA!$E:$E,METALFISA!$A:$A,'Faltantes Fevereiro- Metalfisa'!AP$3,METALFISA!$B:$B,'Faltantes Fevereiro- Metalfisa'!$A113)</f>
        <v>0</v>
      </c>
      <c r="AQ113" s="31"/>
      <c r="AR113" s="31">
        <f>SUMIFS(METALFISA!$E:$E,METALFISA!$A:$A,'Faltantes Fevereiro- Metalfisa'!AR$3,METALFISA!$B:$B,'Faltantes Fevereiro- Metalfisa'!$A113)</f>
        <v>0</v>
      </c>
      <c r="AS113" s="35">
        <f>SUMIFS(METALFISA!$E:$E,METALFISA!$A:$A,'Faltantes Fevereiro- Metalfisa'!AS$3,METALFISA!$B:$B,'Faltantes Fevereiro- Metalfisa'!$A113)</f>
        <v>0</v>
      </c>
      <c r="AU113" s="18">
        <v>0</v>
      </c>
      <c r="AV113" s="18">
        <v>0</v>
      </c>
      <c r="AW113" s="18">
        <v>0</v>
      </c>
      <c r="AX113" s="18">
        <v>0</v>
      </c>
      <c r="AY113" s="41">
        <v>1</v>
      </c>
      <c r="AZ113" s="31">
        <v>1</v>
      </c>
      <c r="BA113" s="31">
        <v>0</v>
      </c>
      <c r="BB113" s="31">
        <v>0</v>
      </c>
      <c r="BC113" s="31">
        <v>0</v>
      </c>
      <c r="BD113" s="31">
        <v>0</v>
      </c>
      <c r="BE113" s="31">
        <v>0</v>
      </c>
      <c r="BF113" s="31">
        <v>0</v>
      </c>
      <c r="BG113" s="31">
        <v>0</v>
      </c>
      <c r="BH113" s="31">
        <v>0</v>
      </c>
      <c r="BI113" s="31">
        <v>0</v>
      </c>
      <c r="BJ113" s="31">
        <v>0</v>
      </c>
      <c r="BK113" s="31">
        <v>0</v>
      </c>
      <c r="BL113" s="31">
        <v>0</v>
      </c>
      <c r="BM113" s="31">
        <v>0</v>
      </c>
      <c r="BN113" s="31">
        <v>0</v>
      </c>
      <c r="BO113" s="31">
        <v>0</v>
      </c>
      <c r="BP113" s="31">
        <v>0</v>
      </c>
      <c r="BQ113" s="31">
        <v>0</v>
      </c>
      <c r="BR113" s="31">
        <v>0</v>
      </c>
      <c r="BS113" s="31">
        <v>0</v>
      </c>
      <c r="BT113" s="31">
        <v>0</v>
      </c>
      <c r="BU113" s="31">
        <v>0</v>
      </c>
      <c r="BV113" s="31">
        <v>0</v>
      </c>
      <c r="BW113" s="31">
        <v>0</v>
      </c>
      <c r="BX113" s="31">
        <v>0</v>
      </c>
      <c r="BY113" s="31">
        <v>0</v>
      </c>
      <c r="BZ113" s="31">
        <v>0</v>
      </c>
      <c r="CA113" s="31">
        <v>0</v>
      </c>
      <c r="CB113" s="31">
        <v>0</v>
      </c>
      <c r="CC113" s="31">
        <v>0</v>
      </c>
      <c r="CD113" s="31">
        <v>0</v>
      </c>
      <c r="CE113" s="31">
        <v>0</v>
      </c>
      <c r="CF113" s="31">
        <v>0</v>
      </c>
      <c r="CG113" s="31">
        <v>0</v>
      </c>
      <c r="CH113" s="31">
        <v>0</v>
      </c>
      <c r="CI113" s="31">
        <v>0</v>
      </c>
      <c r="CJ113" s="31">
        <v>0</v>
      </c>
      <c r="CK113" s="31">
        <v>0</v>
      </c>
      <c r="CL113" s="35">
        <v>0</v>
      </c>
    </row>
    <row r="114" spans="1:90" ht="31.5" x14ac:dyDescent="0.15">
      <c r="A114" s="27" t="s">
        <v>764</v>
      </c>
      <c r="B114" s="28" t="s">
        <v>765</v>
      </c>
      <c r="C114" s="28">
        <v>5</v>
      </c>
      <c r="D114" s="28">
        <v>0</v>
      </c>
      <c r="E114" s="28">
        <v>0</v>
      </c>
      <c r="F114" s="28">
        <v>0</v>
      </c>
      <c r="G114" s="28">
        <v>29</v>
      </c>
      <c r="H114" s="28">
        <f>IFERROR(VLOOKUP(A114,[1]FALTANTES!$A:$AB,28,FALSE),"-")</f>
        <v>0</v>
      </c>
      <c r="I114" s="42">
        <f>IFERROR(VLOOKUP(A114,[1]FALTANTES!$A:$AC,29,FALSE),"-")</f>
        <v>32</v>
      </c>
      <c r="J114" s="29">
        <f>IFERROR(VLOOKUP(A114,[1]FALTANTES!$A:$AD,30,FALSE),"-")</f>
        <v>-2</v>
      </c>
      <c r="K114" s="30">
        <v>0</v>
      </c>
      <c r="L114" s="30">
        <f t="shared" si="1"/>
        <v>2</v>
      </c>
      <c r="M114" s="31">
        <f>SUMIFS(METALFISA!$E:$E,METALFISA!$A:$A,'Faltantes Fevereiro- Metalfisa'!M$3,METALFISA!$B:$B,'Faltantes Fevereiro- Metalfisa'!$A114)</f>
        <v>0</v>
      </c>
      <c r="N114" s="31">
        <f>SUMIFS(METALFISA!$E:$E,METALFISA!$A:$A,'Faltantes Fevereiro- Metalfisa'!N$3,METALFISA!$B:$B,'Faltantes Fevereiro- Metalfisa'!$A114)</f>
        <v>0</v>
      </c>
      <c r="O114" s="31">
        <f>SUMIFS(METALFISA!$E:$E,METALFISA!$A:$A,'Faltantes Fevereiro- Metalfisa'!O$3,METALFISA!$B:$B,'Faltantes Fevereiro- Metalfisa'!$A114)</f>
        <v>0</v>
      </c>
      <c r="P114" s="31">
        <f>SUMIFS(METALFISA!$E:$E,METALFISA!$A:$A,'Faltantes Fevereiro- Metalfisa'!P$3,METALFISA!$B:$B,'Faltantes Fevereiro- Metalfisa'!$A114)</f>
        <v>0</v>
      </c>
      <c r="Q114" s="31">
        <f>SUMIFS(METALFISA!$E:$E,METALFISA!$A:$A,'Faltantes Fevereiro- Metalfisa'!Q$3,METALFISA!$B:$B,'Faltantes Fevereiro- Metalfisa'!$A114)</f>
        <v>0</v>
      </c>
      <c r="R114" s="31">
        <f>SUMIFS(METALFISA!$E:$E,METALFISA!$A:$A,'Faltantes Fevereiro- Metalfisa'!R$3,METALFISA!$B:$B,'Faltantes Fevereiro- Metalfisa'!$A114)</f>
        <v>0</v>
      </c>
      <c r="S114" s="31">
        <f>SUMIFS(METALFISA!$E:$E,METALFISA!$A:$A,'Faltantes Fevereiro- Metalfisa'!S$3,METALFISA!$B:$B,'Faltantes Fevereiro- Metalfisa'!$A114)</f>
        <v>0</v>
      </c>
      <c r="T114" s="31">
        <f>SUMIFS(METALFISA!$E:$E,METALFISA!$A:$A,'Faltantes Fevereiro- Metalfisa'!T$3,METALFISA!$B:$B,'Faltantes Fevereiro- Metalfisa'!$A114)</f>
        <v>0</v>
      </c>
      <c r="U114" s="31">
        <f>SUMIFS(METALFISA!$E:$E,METALFISA!$A:$A,'Faltantes Fevereiro- Metalfisa'!U$3,METALFISA!$B:$B,'Faltantes Fevereiro- Metalfisa'!$A114)</f>
        <v>0</v>
      </c>
      <c r="V114" s="31">
        <f>SUMIFS(METALFISA!$E:$E,METALFISA!$A:$A,'Faltantes Fevereiro- Metalfisa'!V$3,METALFISA!$B:$B,'Faltantes Fevereiro- Metalfisa'!$A114)</f>
        <v>0</v>
      </c>
      <c r="W114" s="31">
        <f>SUMIFS(METALFISA!$E:$E,METALFISA!$A:$A,'Faltantes Fevereiro- Metalfisa'!W$3,METALFISA!$B:$B,'Faltantes Fevereiro- Metalfisa'!$A114)</f>
        <v>0</v>
      </c>
      <c r="X114" s="31">
        <f>SUMIFS(METALFISA!$E:$E,METALFISA!$A:$A,'Faltantes Fevereiro- Metalfisa'!X$3,METALFISA!$B:$B,'Faltantes Fevereiro- Metalfisa'!$A114)</f>
        <v>0</v>
      </c>
      <c r="Y114" s="31">
        <f>SUMIFS(METALFISA!$E:$E,METALFISA!$A:$A,'Faltantes Fevereiro- Metalfisa'!Y$3,METALFISA!$B:$B,'Faltantes Fevereiro- Metalfisa'!$A114)</f>
        <v>0</v>
      </c>
      <c r="Z114" s="31">
        <f>SUMIFS(METALFISA!$E:$E,METALFISA!$A:$A,'Faltantes Fevereiro- Metalfisa'!Z$3,METALFISA!$B:$B,'Faltantes Fevereiro- Metalfisa'!$A114)</f>
        <v>0</v>
      </c>
      <c r="AA114" s="31">
        <f>SUMIFS(METALFISA!$E:$E,METALFISA!$A:$A,'Faltantes Fevereiro- Metalfisa'!AA$3,METALFISA!$B:$B,'Faltantes Fevereiro- Metalfisa'!$A114)</f>
        <v>0</v>
      </c>
      <c r="AB114" s="31">
        <f>SUMIFS(METALFISA!$E:$E,METALFISA!$A:$A,'Faltantes Fevereiro- Metalfisa'!AB$3,METALFISA!$B:$B,'Faltantes Fevereiro- Metalfisa'!$A114)</f>
        <v>0</v>
      </c>
      <c r="AC114" s="31">
        <f>SUMIFS(METALFISA!$E:$E,METALFISA!$A:$A,'Faltantes Fevereiro- Metalfisa'!AC$3,METALFISA!$B:$B,'Faltantes Fevereiro- Metalfisa'!$A114)</f>
        <v>0</v>
      </c>
      <c r="AD114" s="31">
        <f>SUMIFS(METALFISA!$E:$E,METALFISA!$A:$A,'Faltantes Fevereiro- Metalfisa'!AD$3,METALFISA!$B:$B,'Faltantes Fevereiro- Metalfisa'!$A114)</f>
        <v>0</v>
      </c>
      <c r="AE114" s="31">
        <f>SUMIFS(METALFISA!$E:$E,METALFISA!$A:$A,'Faltantes Fevereiro- Metalfisa'!AE$3,METALFISA!$B:$B,'Faltantes Fevereiro- Metalfisa'!$A114)</f>
        <v>0</v>
      </c>
      <c r="AF114" s="31">
        <f>SUMIFS(METALFISA!$E:$E,METALFISA!$A:$A,'Faltantes Fevereiro- Metalfisa'!AF$3,METALFISA!$B:$B,'Faltantes Fevereiro- Metalfisa'!$A114)</f>
        <v>0</v>
      </c>
      <c r="AG114" s="31">
        <f>SUMIFS(METALFISA!$E:$E,METALFISA!$A:$A,'Faltantes Fevereiro- Metalfisa'!AG$3,METALFISA!$B:$B,'Faltantes Fevereiro- Metalfisa'!$A114)</f>
        <v>0</v>
      </c>
      <c r="AH114" s="31">
        <f>SUMIFS(METALFISA!$E:$E,METALFISA!$A:$A,'Faltantes Fevereiro- Metalfisa'!AH$3,METALFISA!$B:$B,'Faltantes Fevereiro- Metalfisa'!$A114)</f>
        <v>1</v>
      </c>
      <c r="AI114" s="31">
        <f>SUMIFS(METALFISA!$E:$E,METALFISA!$A:$A,'Faltantes Fevereiro- Metalfisa'!AI$3,METALFISA!$B:$B,'Faltantes Fevereiro- Metalfisa'!$A114)</f>
        <v>0</v>
      </c>
      <c r="AJ114" s="31">
        <f>SUMIFS(METALFISA!$E:$E,METALFISA!$A:$A,'Faltantes Fevereiro- Metalfisa'!AJ$3,METALFISA!$B:$B,'Faltantes Fevereiro- Metalfisa'!$A114)</f>
        <v>0</v>
      </c>
      <c r="AK114" s="31">
        <f>SUMIFS(METALFISA!$E:$E,METALFISA!$A:$A,'Faltantes Fevereiro- Metalfisa'!AK$3,METALFISA!$B:$B,'Faltantes Fevereiro- Metalfisa'!$A114)</f>
        <v>0</v>
      </c>
      <c r="AL114" s="31">
        <f>SUMIFS(METALFISA!$E:$E,METALFISA!$A:$A,'Faltantes Fevereiro- Metalfisa'!AL$3,METALFISA!$B:$B,'Faltantes Fevereiro- Metalfisa'!$A114)</f>
        <v>0</v>
      </c>
      <c r="AM114" s="31">
        <f>SUMIFS(METALFISA!$E:$E,METALFISA!$A:$A,'Faltantes Fevereiro- Metalfisa'!AM$3,METALFISA!$B:$B,'Faltantes Fevereiro- Metalfisa'!$A114)</f>
        <v>1</v>
      </c>
      <c r="AN114" s="31">
        <f>SUMIFS(METALFISA!$E:$E,METALFISA!$A:$A,'Faltantes Fevereiro- Metalfisa'!AN$3,METALFISA!$B:$B,'Faltantes Fevereiro- Metalfisa'!$A114)</f>
        <v>0</v>
      </c>
      <c r="AO114" s="31">
        <f>SUMIFS(METALFISA!$E:$E,METALFISA!$A:$A,'Faltantes Fevereiro- Metalfisa'!AO$3,METALFISA!$B:$B,'Faltantes Fevereiro- Metalfisa'!$A114)</f>
        <v>0</v>
      </c>
      <c r="AP114" s="31">
        <f>SUMIFS(METALFISA!$E:$E,METALFISA!$A:$A,'Faltantes Fevereiro- Metalfisa'!AP$3,METALFISA!$B:$B,'Faltantes Fevereiro- Metalfisa'!$A114)</f>
        <v>0</v>
      </c>
      <c r="AQ114" s="31"/>
      <c r="AR114" s="31">
        <f>SUMIFS(METALFISA!$E:$E,METALFISA!$A:$A,'Faltantes Fevereiro- Metalfisa'!AR$3,METALFISA!$B:$B,'Faltantes Fevereiro- Metalfisa'!$A114)</f>
        <v>0</v>
      </c>
      <c r="AS114" s="35">
        <f>SUMIFS(METALFISA!$E:$E,METALFISA!$A:$A,'Faltantes Fevereiro- Metalfisa'!AS$3,METALFISA!$B:$B,'Faltantes Fevereiro- Metalfisa'!$A114)</f>
        <v>0</v>
      </c>
      <c r="AU114" s="18">
        <v>0</v>
      </c>
      <c r="AV114" s="18">
        <v>0</v>
      </c>
      <c r="AW114" s="18">
        <v>0</v>
      </c>
      <c r="AX114" s="18">
        <v>0</v>
      </c>
      <c r="AY114" s="41">
        <v>1</v>
      </c>
      <c r="AZ114" s="31">
        <v>1</v>
      </c>
      <c r="BA114" s="31">
        <v>0</v>
      </c>
      <c r="BB114" s="31">
        <v>0</v>
      </c>
      <c r="BC114" s="31">
        <v>0</v>
      </c>
      <c r="BD114" s="31">
        <v>0</v>
      </c>
      <c r="BE114" s="31">
        <v>0</v>
      </c>
      <c r="BF114" s="31">
        <v>0</v>
      </c>
      <c r="BG114" s="31">
        <v>0</v>
      </c>
      <c r="BH114" s="31">
        <v>0</v>
      </c>
      <c r="BI114" s="31">
        <v>0</v>
      </c>
      <c r="BJ114" s="31">
        <v>0</v>
      </c>
      <c r="BK114" s="31">
        <v>0</v>
      </c>
      <c r="BL114" s="31">
        <v>0</v>
      </c>
      <c r="BM114" s="31">
        <v>0</v>
      </c>
      <c r="BN114" s="31">
        <v>0</v>
      </c>
      <c r="BO114" s="31">
        <v>0</v>
      </c>
      <c r="BP114" s="31">
        <v>0</v>
      </c>
      <c r="BQ114" s="31">
        <v>0</v>
      </c>
      <c r="BR114" s="31">
        <v>0</v>
      </c>
      <c r="BS114" s="31">
        <v>0</v>
      </c>
      <c r="BT114" s="31">
        <v>0</v>
      </c>
      <c r="BU114" s="31">
        <v>0</v>
      </c>
      <c r="BV114" s="31">
        <v>0</v>
      </c>
      <c r="BW114" s="31">
        <v>0</v>
      </c>
      <c r="BX114" s="31">
        <v>0</v>
      </c>
      <c r="BY114" s="31">
        <v>0</v>
      </c>
      <c r="BZ114" s="31">
        <v>0</v>
      </c>
      <c r="CA114" s="31">
        <v>0</v>
      </c>
      <c r="CB114" s="31">
        <v>0</v>
      </c>
      <c r="CC114" s="31">
        <v>0</v>
      </c>
      <c r="CD114" s="31">
        <v>0</v>
      </c>
      <c r="CE114" s="31">
        <v>0</v>
      </c>
      <c r="CF114" s="31">
        <v>0</v>
      </c>
      <c r="CG114" s="31">
        <v>0</v>
      </c>
      <c r="CH114" s="31">
        <v>0</v>
      </c>
      <c r="CI114" s="31">
        <v>0</v>
      </c>
      <c r="CJ114" s="31">
        <v>0</v>
      </c>
      <c r="CK114" s="31">
        <v>0</v>
      </c>
      <c r="CL114" s="35">
        <v>0</v>
      </c>
    </row>
    <row r="115" spans="1:90" ht="21" x14ac:dyDescent="0.15">
      <c r="A115" s="27" t="s">
        <v>766</v>
      </c>
      <c r="B115" s="28" t="s">
        <v>767</v>
      </c>
      <c r="C115" s="28">
        <v>8</v>
      </c>
      <c r="D115" s="28">
        <v>0</v>
      </c>
      <c r="E115" s="28">
        <v>0</v>
      </c>
      <c r="F115" s="28">
        <v>0</v>
      </c>
      <c r="G115" s="28">
        <v>58</v>
      </c>
      <c r="H115" s="28">
        <f>IFERROR(VLOOKUP(A115,[1]FALTANTES!$A:$AB,28,FALSE),"-")</f>
        <v>8</v>
      </c>
      <c r="I115" s="42">
        <f>IFERROR(VLOOKUP(A115,[1]FALTANTES!$A:$AC,29,FALSE),"-")</f>
        <v>0</v>
      </c>
      <c r="J115" s="29">
        <f>IFERROR(VLOOKUP(A115,[1]FALTANTES!$A:$AD,30,FALSE),"-")</f>
        <v>-66</v>
      </c>
      <c r="K115" s="30">
        <v>0</v>
      </c>
      <c r="L115" s="30">
        <f t="shared" si="1"/>
        <v>66</v>
      </c>
      <c r="M115" s="31">
        <f>SUMIFS(METALFISA!$E:$E,METALFISA!$A:$A,'Faltantes Fevereiro- Metalfisa'!M$3,METALFISA!$B:$B,'Faltantes Fevereiro- Metalfisa'!$A115)</f>
        <v>0</v>
      </c>
      <c r="N115" s="31">
        <f>SUMIFS(METALFISA!$E:$E,METALFISA!$A:$A,'Faltantes Fevereiro- Metalfisa'!N$3,METALFISA!$B:$B,'Faltantes Fevereiro- Metalfisa'!$A115)</f>
        <v>0</v>
      </c>
      <c r="O115" s="31">
        <f>SUMIFS(METALFISA!$E:$E,METALFISA!$A:$A,'Faltantes Fevereiro- Metalfisa'!O$3,METALFISA!$B:$B,'Faltantes Fevereiro- Metalfisa'!$A115)</f>
        <v>0</v>
      </c>
      <c r="P115" s="31">
        <f>SUMIFS(METALFISA!$E:$E,METALFISA!$A:$A,'Faltantes Fevereiro- Metalfisa'!P$3,METALFISA!$B:$B,'Faltantes Fevereiro- Metalfisa'!$A115)</f>
        <v>0</v>
      </c>
      <c r="Q115" s="31">
        <f>SUMIFS(METALFISA!$E:$E,METALFISA!$A:$A,'Faltantes Fevereiro- Metalfisa'!Q$3,METALFISA!$B:$B,'Faltantes Fevereiro- Metalfisa'!$A115)</f>
        <v>0</v>
      </c>
      <c r="R115" s="31">
        <f>SUMIFS(METALFISA!$E:$E,METALFISA!$A:$A,'Faltantes Fevereiro- Metalfisa'!R$3,METALFISA!$B:$B,'Faltantes Fevereiro- Metalfisa'!$A115)</f>
        <v>0</v>
      </c>
      <c r="S115" s="31">
        <f>SUMIFS(METALFISA!$E:$E,METALFISA!$A:$A,'Faltantes Fevereiro- Metalfisa'!S$3,METALFISA!$B:$B,'Faltantes Fevereiro- Metalfisa'!$A115)</f>
        <v>0</v>
      </c>
      <c r="T115" s="31">
        <f>SUMIFS(METALFISA!$E:$E,METALFISA!$A:$A,'Faltantes Fevereiro- Metalfisa'!T$3,METALFISA!$B:$B,'Faltantes Fevereiro- Metalfisa'!$A115)</f>
        <v>0</v>
      </c>
      <c r="U115" s="31">
        <f>SUMIFS(METALFISA!$E:$E,METALFISA!$A:$A,'Faltantes Fevereiro- Metalfisa'!U$3,METALFISA!$B:$B,'Faltantes Fevereiro- Metalfisa'!$A115)</f>
        <v>0</v>
      </c>
      <c r="V115" s="31">
        <f>SUMIFS(METALFISA!$E:$E,METALFISA!$A:$A,'Faltantes Fevereiro- Metalfisa'!V$3,METALFISA!$B:$B,'Faltantes Fevereiro- Metalfisa'!$A115)</f>
        <v>0</v>
      </c>
      <c r="W115" s="31">
        <f>SUMIFS(METALFISA!$E:$E,METALFISA!$A:$A,'Faltantes Fevereiro- Metalfisa'!W$3,METALFISA!$B:$B,'Faltantes Fevereiro- Metalfisa'!$A115)</f>
        <v>0</v>
      </c>
      <c r="X115" s="31">
        <f>SUMIFS(METALFISA!$E:$E,METALFISA!$A:$A,'Faltantes Fevereiro- Metalfisa'!X$3,METALFISA!$B:$B,'Faltantes Fevereiro- Metalfisa'!$A115)</f>
        <v>0</v>
      </c>
      <c r="Y115" s="31">
        <f>SUMIFS(METALFISA!$E:$E,METALFISA!$A:$A,'Faltantes Fevereiro- Metalfisa'!Y$3,METALFISA!$B:$B,'Faltantes Fevereiro- Metalfisa'!$A115)</f>
        <v>0</v>
      </c>
      <c r="Z115" s="31">
        <f>SUMIFS(METALFISA!$E:$E,METALFISA!$A:$A,'Faltantes Fevereiro- Metalfisa'!Z$3,METALFISA!$B:$B,'Faltantes Fevereiro- Metalfisa'!$A115)</f>
        <v>0</v>
      </c>
      <c r="AA115" s="31">
        <f>SUMIFS(METALFISA!$E:$E,METALFISA!$A:$A,'Faltantes Fevereiro- Metalfisa'!AA$3,METALFISA!$B:$B,'Faltantes Fevereiro- Metalfisa'!$A115)</f>
        <v>0</v>
      </c>
      <c r="AB115" s="31">
        <f>SUMIFS(METALFISA!$E:$E,METALFISA!$A:$A,'Faltantes Fevereiro- Metalfisa'!AB$3,METALFISA!$B:$B,'Faltantes Fevereiro- Metalfisa'!$A115)</f>
        <v>0</v>
      </c>
      <c r="AC115" s="31">
        <f>SUMIFS(METALFISA!$E:$E,METALFISA!$A:$A,'Faltantes Fevereiro- Metalfisa'!AC$3,METALFISA!$B:$B,'Faltantes Fevereiro- Metalfisa'!$A115)</f>
        <v>0</v>
      </c>
      <c r="AD115" s="31">
        <f>SUMIFS(METALFISA!$E:$E,METALFISA!$A:$A,'Faltantes Fevereiro- Metalfisa'!AD$3,METALFISA!$B:$B,'Faltantes Fevereiro- Metalfisa'!$A115)</f>
        <v>0</v>
      </c>
      <c r="AE115" s="31">
        <f>SUMIFS(METALFISA!$E:$E,METALFISA!$A:$A,'Faltantes Fevereiro- Metalfisa'!AE$3,METALFISA!$B:$B,'Faltantes Fevereiro- Metalfisa'!$A115)</f>
        <v>0</v>
      </c>
      <c r="AF115" s="31">
        <f>SUMIFS(METALFISA!$E:$E,METALFISA!$A:$A,'Faltantes Fevereiro- Metalfisa'!AF$3,METALFISA!$B:$B,'Faltantes Fevereiro- Metalfisa'!$A115)</f>
        <v>0</v>
      </c>
      <c r="AG115" s="31">
        <f>SUMIFS(METALFISA!$E:$E,METALFISA!$A:$A,'Faltantes Fevereiro- Metalfisa'!AG$3,METALFISA!$B:$B,'Faltantes Fevereiro- Metalfisa'!$A115)</f>
        <v>0</v>
      </c>
      <c r="AH115" s="31">
        <f>SUMIFS(METALFISA!$E:$E,METALFISA!$A:$A,'Faltantes Fevereiro- Metalfisa'!AH$3,METALFISA!$B:$B,'Faltantes Fevereiro- Metalfisa'!$A115)</f>
        <v>66</v>
      </c>
      <c r="AI115" s="31">
        <f>SUMIFS(METALFISA!$E:$E,METALFISA!$A:$A,'Faltantes Fevereiro- Metalfisa'!AI$3,METALFISA!$B:$B,'Faltantes Fevereiro- Metalfisa'!$A115)</f>
        <v>0</v>
      </c>
      <c r="AJ115" s="31">
        <f>SUMIFS(METALFISA!$E:$E,METALFISA!$A:$A,'Faltantes Fevereiro- Metalfisa'!AJ$3,METALFISA!$B:$B,'Faltantes Fevereiro- Metalfisa'!$A115)</f>
        <v>0</v>
      </c>
      <c r="AK115" s="31">
        <f>SUMIFS(METALFISA!$E:$E,METALFISA!$A:$A,'Faltantes Fevereiro- Metalfisa'!AK$3,METALFISA!$B:$B,'Faltantes Fevereiro- Metalfisa'!$A115)</f>
        <v>0</v>
      </c>
      <c r="AL115" s="31">
        <f>SUMIFS(METALFISA!$E:$E,METALFISA!$A:$A,'Faltantes Fevereiro- Metalfisa'!AL$3,METALFISA!$B:$B,'Faltantes Fevereiro- Metalfisa'!$A115)</f>
        <v>0</v>
      </c>
      <c r="AM115" s="31">
        <f>SUMIFS(METALFISA!$E:$E,METALFISA!$A:$A,'Faltantes Fevereiro- Metalfisa'!AM$3,METALFISA!$B:$B,'Faltantes Fevereiro- Metalfisa'!$A115)</f>
        <v>0</v>
      </c>
      <c r="AN115" s="31">
        <f>SUMIFS(METALFISA!$E:$E,METALFISA!$A:$A,'Faltantes Fevereiro- Metalfisa'!AN$3,METALFISA!$B:$B,'Faltantes Fevereiro- Metalfisa'!$A115)</f>
        <v>0</v>
      </c>
      <c r="AO115" s="31">
        <f>SUMIFS(METALFISA!$E:$E,METALFISA!$A:$A,'Faltantes Fevereiro- Metalfisa'!AO$3,METALFISA!$B:$B,'Faltantes Fevereiro- Metalfisa'!$A115)</f>
        <v>0</v>
      </c>
      <c r="AP115" s="31">
        <f>SUMIFS(METALFISA!$E:$E,METALFISA!$A:$A,'Faltantes Fevereiro- Metalfisa'!AP$3,METALFISA!$B:$B,'Faltantes Fevereiro- Metalfisa'!$A115)</f>
        <v>0</v>
      </c>
      <c r="AQ115" s="31"/>
      <c r="AR115" s="31">
        <f>SUMIFS(METALFISA!$E:$E,METALFISA!$A:$A,'Faltantes Fevereiro- Metalfisa'!AR$3,METALFISA!$B:$B,'Faltantes Fevereiro- Metalfisa'!$A115)</f>
        <v>0</v>
      </c>
      <c r="AS115" s="35">
        <f>SUMIFS(METALFISA!$E:$E,METALFISA!$A:$A,'Faltantes Fevereiro- Metalfisa'!AS$3,METALFISA!$B:$B,'Faltantes Fevereiro- Metalfisa'!$A115)</f>
        <v>0</v>
      </c>
      <c r="AU115" s="18">
        <v>0</v>
      </c>
      <c r="AV115" s="18">
        <v>0</v>
      </c>
      <c r="AW115" s="18">
        <v>0</v>
      </c>
      <c r="AX115" s="18">
        <v>0</v>
      </c>
      <c r="AY115" s="41">
        <v>2</v>
      </c>
      <c r="AZ115" s="31">
        <v>2</v>
      </c>
      <c r="BA115" s="31">
        <v>0</v>
      </c>
      <c r="BB115" s="31">
        <v>0</v>
      </c>
      <c r="BC115" s="31">
        <v>0</v>
      </c>
      <c r="BD115" s="31">
        <v>0</v>
      </c>
      <c r="BE115" s="31">
        <v>0</v>
      </c>
      <c r="BF115" s="31">
        <v>0</v>
      </c>
      <c r="BG115" s="31">
        <v>0</v>
      </c>
      <c r="BH115" s="31">
        <v>0</v>
      </c>
      <c r="BI115" s="31">
        <v>0</v>
      </c>
      <c r="BJ115" s="31">
        <v>0</v>
      </c>
      <c r="BK115" s="31">
        <v>0</v>
      </c>
      <c r="BL115" s="31">
        <v>0</v>
      </c>
      <c r="BM115" s="31">
        <v>0</v>
      </c>
      <c r="BN115" s="31">
        <v>0</v>
      </c>
      <c r="BO115" s="31">
        <v>0</v>
      </c>
      <c r="BP115" s="31">
        <v>0</v>
      </c>
      <c r="BQ115" s="31">
        <v>0</v>
      </c>
      <c r="BR115" s="31">
        <v>0</v>
      </c>
      <c r="BS115" s="31">
        <v>0</v>
      </c>
      <c r="BT115" s="31">
        <v>0</v>
      </c>
      <c r="BU115" s="31">
        <v>0</v>
      </c>
      <c r="BV115" s="31">
        <v>0</v>
      </c>
      <c r="BW115" s="31">
        <v>0</v>
      </c>
      <c r="BX115" s="31">
        <v>0</v>
      </c>
      <c r="BY115" s="31">
        <v>0</v>
      </c>
      <c r="BZ115" s="31">
        <v>0</v>
      </c>
      <c r="CA115" s="31">
        <v>0</v>
      </c>
      <c r="CB115" s="31">
        <v>0</v>
      </c>
      <c r="CC115" s="31">
        <v>0</v>
      </c>
      <c r="CD115" s="31">
        <v>0</v>
      </c>
      <c r="CE115" s="31">
        <v>0</v>
      </c>
      <c r="CF115" s="31">
        <v>0</v>
      </c>
      <c r="CG115" s="31">
        <v>0</v>
      </c>
      <c r="CH115" s="31">
        <v>0</v>
      </c>
      <c r="CI115" s="31">
        <v>0</v>
      </c>
      <c r="CJ115" s="31">
        <v>0</v>
      </c>
      <c r="CK115" s="31">
        <v>0</v>
      </c>
      <c r="CL115" s="35">
        <v>0</v>
      </c>
    </row>
    <row r="116" spans="1:90" ht="21" x14ac:dyDescent="0.15">
      <c r="A116" s="27" t="s">
        <v>69</v>
      </c>
      <c r="B116" s="28" t="s">
        <v>144</v>
      </c>
      <c r="C116" s="28">
        <v>0</v>
      </c>
      <c r="D116" s="28">
        <v>0</v>
      </c>
      <c r="E116" s="28">
        <v>0</v>
      </c>
      <c r="F116" s="28">
        <v>0</v>
      </c>
      <c r="G116" s="28">
        <v>7</v>
      </c>
      <c r="H116" s="28">
        <f>IFERROR(VLOOKUP(A116,[1]FALTANTES!$A:$AB,28,FALSE),"-")</f>
        <v>0</v>
      </c>
      <c r="I116" s="42">
        <f>IFERROR(VLOOKUP(A116,[1]FALTANTES!$A:$AC,29,FALSE),"-")</f>
        <v>0</v>
      </c>
      <c r="J116" s="29">
        <f>IFERROR(VLOOKUP(A116,[1]FALTANTES!$A:$AD,30,FALSE),"-")</f>
        <v>-7</v>
      </c>
      <c r="K116" s="30">
        <v>0</v>
      </c>
      <c r="L116" s="30">
        <f t="shared" si="1"/>
        <v>7</v>
      </c>
      <c r="M116" s="31">
        <f>SUMIFS(METALFISA!$E:$E,METALFISA!$A:$A,'Faltantes Fevereiro- Metalfisa'!M$3,METALFISA!$B:$B,'Faltantes Fevereiro- Metalfisa'!$A116)</f>
        <v>0</v>
      </c>
      <c r="N116" s="31">
        <f>SUMIFS(METALFISA!$E:$E,METALFISA!$A:$A,'Faltantes Fevereiro- Metalfisa'!N$3,METALFISA!$B:$B,'Faltantes Fevereiro- Metalfisa'!$A116)</f>
        <v>0</v>
      </c>
      <c r="O116" s="31">
        <f>SUMIFS(METALFISA!$E:$E,METALFISA!$A:$A,'Faltantes Fevereiro- Metalfisa'!O$3,METALFISA!$B:$B,'Faltantes Fevereiro- Metalfisa'!$A116)</f>
        <v>0</v>
      </c>
      <c r="P116" s="31">
        <f>SUMIFS(METALFISA!$E:$E,METALFISA!$A:$A,'Faltantes Fevereiro- Metalfisa'!P$3,METALFISA!$B:$B,'Faltantes Fevereiro- Metalfisa'!$A116)</f>
        <v>0</v>
      </c>
      <c r="Q116" s="31">
        <f>SUMIFS(METALFISA!$E:$E,METALFISA!$A:$A,'Faltantes Fevereiro- Metalfisa'!Q$3,METALFISA!$B:$B,'Faltantes Fevereiro- Metalfisa'!$A116)</f>
        <v>0</v>
      </c>
      <c r="R116" s="31">
        <f>SUMIFS(METALFISA!$E:$E,METALFISA!$A:$A,'Faltantes Fevereiro- Metalfisa'!R$3,METALFISA!$B:$B,'Faltantes Fevereiro- Metalfisa'!$A116)</f>
        <v>0</v>
      </c>
      <c r="S116" s="31">
        <f>SUMIFS(METALFISA!$E:$E,METALFISA!$A:$A,'Faltantes Fevereiro- Metalfisa'!S$3,METALFISA!$B:$B,'Faltantes Fevereiro- Metalfisa'!$A116)</f>
        <v>0</v>
      </c>
      <c r="T116" s="31">
        <f>SUMIFS(METALFISA!$E:$E,METALFISA!$A:$A,'Faltantes Fevereiro- Metalfisa'!T$3,METALFISA!$B:$B,'Faltantes Fevereiro- Metalfisa'!$A116)</f>
        <v>0</v>
      </c>
      <c r="U116" s="31">
        <f>SUMIFS(METALFISA!$E:$E,METALFISA!$A:$A,'Faltantes Fevereiro- Metalfisa'!U$3,METALFISA!$B:$B,'Faltantes Fevereiro- Metalfisa'!$A116)</f>
        <v>0</v>
      </c>
      <c r="V116" s="31">
        <f>SUMIFS(METALFISA!$E:$E,METALFISA!$A:$A,'Faltantes Fevereiro- Metalfisa'!V$3,METALFISA!$B:$B,'Faltantes Fevereiro- Metalfisa'!$A116)</f>
        <v>0</v>
      </c>
      <c r="W116" s="31">
        <f>SUMIFS(METALFISA!$E:$E,METALFISA!$A:$A,'Faltantes Fevereiro- Metalfisa'!W$3,METALFISA!$B:$B,'Faltantes Fevereiro- Metalfisa'!$A116)</f>
        <v>0</v>
      </c>
      <c r="X116" s="31">
        <f>SUMIFS(METALFISA!$E:$E,METALFISA!$A:$A,'Faltantes Fevereiro- Metalfisa'!X$3,METALFISA!$B:$B,'Faltantes Fevereiro- Metalfisa'!$A116)</f>
        <v>0</v>
      </c>
      <c r="Y116" s="31">
        <f>SUMIFS(METALFISA!$E:$E,METALFISA!$A:$A,'Faltantes Fevereiro- Metalfisa'!Y$3,METALFISA!$B:$B,'Faltantes Fevereiro- Metalfisa'!$A116)</f>
        <v>0</v>
      </c>
      <c r="Z116" s="31">
        <f>SUMIFS(METALFISA!$E:$E,METALFISA!$A:$A,'Faltantes Fevereiro- Metalfisa'!Z$3,METALFISA!$B:$B,'Faltantes Fevereiro- Metalfisa'!$A116)</f>
        <v>0</v>
      </c>
      <c r="AA116" s="31">
        <f>SUMIFS(METALFISA!$E:$E,METALFISA!$A:$A,'Faltantes Fevereiro- Metalfisa'!AA$3,METALFISA!$B:$B,'Faltantes Fevereiro- Metalfisa'!$A116)</f>
        <v>0</v>
      </c>
      <c r="AB116" s="31">
        <f>SUMIFS(METALFISA!$E:$E,METALFISA!$A:$A,'Faltantes Fevereiro- Metalfisa'!AB$3,METALFISA!$B:$B,'Faltantes Fevereiro- Metalfisa'!$A116)</f>
        <v>0</v>
      </c>
      <c r="AC116" s="31">
        <f>SUMIFS(METALFISA!$E:$E,METALFISA!$A:$A,'Faltantes Fevereiro- Metalfisa'!AC$3,METALFISA!$B:$B,'Faltantes Fevereiro- Metalfisa'!$A116)</f>
        <v>0</v>
      </c>
      <c r="AD116" s="31">
        <f>SUMIFS(METALFISA!$E:$E,METALFISA!$A:$A,'Faltantes Fevereiro- Metalfisa'!AD$3,METALFISA!$B:$B,'Faltantes Fevereiro- Metalfisa'!$A116)</f>
        <v>0</v>
      </c>
      <c r="AE116" s="31">
        <f>SUMIFS(METALFISA!$E:$E,METALFISA!$A:$A,'Faltantes Fevereiro- Metalfisa'!AE$3,METALFISA!$B:$B,'Faltantes Fevereiro- Metalfisa'!$A116)</f>
        <v>0</v>
      </c>
      <c r="AF116" s="31">
        <f>SUMIFS(METALFISA!$E:$E,METALFISA!$A:$A,'Faltantes Fevereiro- Metalfisa'!AF$3,METALFISA!$B:$B,'Faltantes Fevereiro- Metalfisa'!$A116)</f>
        <v>0</v>
      </c>
      <c r="AG116" s="31">
        <f>SUMIFS(METALFISA!$E:$E,METALFISA!$A:$A,'Faltantes Fevereiro- Metalfisa'!AG$3,METALFISA!$B:$B,'Faltantes Fevereiro- Metalfisa'!$A116)</f>
        <v>0</v>
      </c>
      <c r="AH116" s="31">
        <f>SUMIFS(METALFISA!$E:$E,METALFISA!$A:$A,'Faltantes Fevereiro- Metalfisa'!AH$3,METALFISA!$B:$B,'Faltantes Fevereiro- Metalfisa'!$A116)</f>
        <v>1</v>
      </c>
      <c r="AI116" s="31">
        <f>SUMIFS(METALFISA!$E:$E,METALFISA!$A:$A,'Faltantes Fevereiro- Metalfisa'!AI$3,METALFISA!$B:$B,'Faltantes Fevereiro- Metalfisa'!$A116)</f>
        <v>0</v>
      </c>
      <c r="AJ116" s="31">
        <f>SUMIFS(METALFISA!$E:$E,METALFISA!$A:$A,'Faltantes Fevereiro- Metalfisa'!AJ$3,METALFISA!$B:$B,'Faltantes Fevereiro- Metalfisa'!$A116)</f>
        <v>0</v>
      </c>
      <c r="AK116" s="31">
        <f>SUMIFS(METALFISA!$E:$E,METALFISA!$A:$A,'Faltantes Fevereiro- Metalfisa'!AK$3,METALFISA!$B:$B,'Faltantes Fevereiro- Metalfisa'!$A116)</f>
        <v>0</v>
      </c>
      <c r="AL116" s="31">
        <f>SUMIFS(METALFISA!$E:$E,METALFISA!$A:$A,'Faltantes Fevereiro- Metalfisa'!AL$3,METALFISA!$B:$B,'Faltantes Fevereiro- Metalfisa'!$A116)</f>
        <v>6</v>
      </c>
      <c r="AM116" s="31">
        <f>SUMIFS(METALFISA!$E:$E,METALFISA!$A:$A,'Faltantes Fevereiro- Metalfisa'!AM$3,METALFISA!$B:$B,'Faltantes Fevereiro- Metalfisa'!$A116)</f>
        <v>0</v>
      </c>
      <c r="AN116" s="31">
        <f>SUMIFS(METALFISA!$E:$E,METALFISA!$A:$A,'Faltantes Fevereiro- Metalfisa'!AN$3,METALFISA!$B:$B,'Faltantes Fevereiro- Metalfisa'!$A116)</f>
        <v>0</v>
      </c>
      <c r="AO116" s="31">
        <f>SUMIFS(METALFISA!$E:$E,METALFISA!$A:$A,'Faltantes Fevereiro- Metalfisa'!AO$3,METALFISA!$B:$B,'Faltantes Fevereiro- Metalfisa'!$A116)</f>
        <v>0</v>
      </c>
      <c r="AP116" s="31">
        <f>SUMIFS(METALFISA!$E:$E,METALFISA!$A:$A,'Faltantes Fevereiro- Metalfisa'!AP$3,METALFISA!$B:$B,'Faltantes Fevereiro- Metalfisa'!$A116)</f>
        <v>0</v>
      </c>
      <c r="AQ116" s="31"/>
      <c r="AR116" s="31">
        <f>SUMIFS(METALFISA!$E:$E,METALFISA!$A:$A,'Faltantes Fevereiro- Metalfisa'!AR$3,METALFISA!$B:$B,'Faltantes Fevereiro- Metalfisa'!$A116)</f>
        <v>0</v>
      </c>
      <c r="AS116" s="35">
        <f>SUMIFS(METALFISA!$E:$E,METALFISA!$A:$A,'Faltantes Fevereiro- Metalfisa'!AS$3,METALFISA!$B:$B,'Faltantes Fevereiro- Metalfisa'!$A116)</f>
        <v>0</v>
      </c>
      <c r="AU116" s="18">
        <v>0</v>
      </c>
      <c r="AV116" s="18">
        <v>0</v>
      </c>
      <c r="AW116" s="18">
        <v>0</v>
      </c>
      <c r="AX116" s="18">
        <v>0</v>
      </c>
      <c r="AY116" s="41">
        <v>1</v>
      </c>
      <c r="AZ116" s="31">
        <v>1</v>
      </c>
      <c r="BA116" s="31">
        <v>0</v>
      </c>
      <c r="BB116" s="31">
        <v>0</v>
      </c>
      <c r="BC116" s="31">
        <v>0</v>
      </c>
      <c r="BD116" s="31">
        <v>0</v>
      </c>
      <c r="BE116" s="31">
        <v>0</v>
      </c>
      <c r="BF116" s="31">
        <v>0</v>
      </c>
      <c r="BG116" s="31">
        <v>0</v>
      </c>
      <c r="BH116" s="31">
        <v>0</v>
      </c>
      <c r="BI116" s="31">
        <v>0</v>
      </c>
      <c r="BJ116" s="31">
        <v>0</v>
      </c>
      <c r="BK116" s="31">
        <v>0</v>
      </c>
      <c r="BL116" s="31">
        <v>0</v>
      </c>
      <c r="BM116" s="31">
        <v>0</v>
      </c>
      <c r="BN116" s="31">
        <v>0</v>
      </c>
      <c r="BO116" s="31">
        <v>0</v>
      </c>
      <c r="BP116" s="31">
        <v>0</v>
      </c>
      <c r="BQ116" s="31">
        <v>0</v>
      </c>
      <c r="BR116" s="31">
        <v>0</v>
      </c>
      <c r="BS116" s="31">
        <v>0</v>
      </c>
      <c r="BT116" s="31">
        <v>0</v>
      </c>
      <c r="BU116" s="31">
        <v>0</v>
      </c>
      <c r="BV116" s="31">
        <v>0</v>
      </c>
      <c r="BW116" s="31">
        <v>0</v>
      </c>
      <c r="BX116" s="31">
        <v>0</v>
      </c>
      <c r="BY116" s="31">
        <v>0</v>
      </c>
      <c r="BZ116" s="31">
        <v>0</v>
      </c>
      <c r="CA116" s="31">
        <v>0</v>
      </c>
      <c r="CB116" s="31">
        <v>0</v>
      </c>
      <c r="CC116" s="31">
        <v>0</v>
      </c>
      <c r="CD116" s="31">
        <v>0</v>
      </c>
      <c r="CE116" s="31">
        <v>0</v>
      </c>
      <c r="CF116" s="31">
        <v>0</v>
      </c>
      <c r="CG116" s="31">
        <v>0</v>
      </c>
      <c r="CH116" s="31">
        <v>0</v>
      </c>
      <c r="CI116" s="31">
        <v>0</v>
      </c>
      <c r="CJ116" s="31">
        <v>0</v>
      </c>
      <c r="CK116" s="31">
        <v>0</v>
      </c>
      <c r="CL116" s="35">
        <v>0</v>
      </c>
    </row>
    <row r="117" spans="1:90" x14ac:dyDescent="0.15">
      <c r="A117" s="27" t="s">
        <v>30</v>
      </c>
      <c r="B117" s="28" t="s">
        <v>157</v>
      </c>
      <c r="C117" s="28">
        <v>6</v>
      </c>
      <c r="D117" s="28">
        <v>0</v>
      </c>
      <c r="E117" s="28">
        <v>0</v>
      </c>
      <c r="F117" s="28">
        <v>0</v>
      </c>
      <c r="G117" s="28">
        <v>29</v>
      </c>
      <c r="H117" s="28">
        <f>IFERROR(VLOOKUP(A117,[1]FALTANTES!$A:$AB,28,FALSE),"-")</f>
        <v>0</v>
      </c>
      <c r="I117" s="42">
        <f>IFERROR(VLOOKUP(A117,[1]FALTANTES!$A:$AC,29,FALSE),"-")</f>
        <v>29</v>
      </c>
      <c r="J117" s="29">
        <f>IFERROR(VLOOKUP(A117,[1]FALTANTES!$A:$AD,30,FALSE),"-")</f>
        <v>-6</v>
      </c>
      <c r="K117" s="30">
        <v>0</v>
      </c>
      <c r="L117" s="30">
        <f t="shared" si="1"/>
        <v>6</v>
      </c>
      <c r="M117" s="31">
        <f>SUMIFS(METALFISA!$E:$E,METALFISA!$A:$A,'Faltantes Fevereiro- Metalfisa'!M$3,METALFISA!$B:$B,'Faltantes Fevereiro- Metalfisa'!$A117)</f>
        <v>0</v>
      </c>
      <c r="N117" s="31">
        <f>SUMIFS(METALFISA!$E:$E,METALFISA!$A:$A,'Faltantes Fevereiro- Metalfisa'!N$3,METALFISA!$B:$B,'Faltantes Fevereiro- Metalfisa'!$A117)</f>
        <v>0</v>
      </c>
      <c r="O117" s="31">
        <f>SUMIFS(METALFISA!$E:$E,METALFISA!$A:$A,'Faltantes Fevereiro- Metalfisa'!O$3,METALFISA!$B:$B,'Faltantes Fevereiro- Metalfisa'!$A117)</f>
        <v>0</v>
      </c>
      <c r="P117" s="31">
        <f>SUMIFS(METALFISA!$E:$E,METALFISA!$A:$A,'Faltantes Fevereiro- Metalfisa'!P$3,METALFISA!$B:$B,'Faltantes Fevereiro- Metalfisa'!$A117)</f>
        <v>0</v>
      </c>
      <c r="Q117" s="31">
        <f>SUMIFS(METALFISA!$E:$E,METALFISA!$A:$A,'Faltantes Fevereiro- Metalfisa'!Q$3,METALFISA!$B:$B,'Faltantes Fevereiro- Metalfisa'!$A117)</f>
        <v>0</v>
      </c>
      <c r="R117" s="31">
        <f>SUMIFS(METALFISA!$E:$E,METALFISA!$A:$A,'Faltantes Fevereiro- Metalfisa'!R$3,METALFISA!$B:$B,'Faltantes Fevereiro- Metalfisa'!$A117)</f>
        <v>0</v>
      </c>
      <c r="S117" s="31">
        <f>SUMIFS(METALFISA!$E:$E,METALFISA!$A:$A,'Faltantes Fevereiro- Metalfisa'!S$3,METALFISA!$B:$B,'Faltantes Fevereiro- Metalfisa'!$A117)</f>
        <v>0</v>
      </c>
      <c r="T117" s="31">
        <f>SUMIFS(METALFISA!$E:$E,METALFISA!$A:$A,'Faltantes Fevereiro- Metalfisa'!T$3,METALFISA!$B:$B,'Faltantes Fevereiro- Metalfisa'!$A117)</f>
        <v>0</v>
      </c>
      <c r="U117" s="31">
        <f>SUMIFS(METALFISA!$E:$E,METALFISA!$A:$A,'Faltantes Fevereiro- Metalfisa'!U$3,METALFISA!$B:$B,'Faltantes Fevereiro- Metalfisa'!$A117)</f>
        <v>0</v>
      </c>
      <c r="V117" s="31">
        <f>SUMIFS(METALFISA!$E:$E,METALFISA!$A:$A,'Faltantes Fevereiro- Metalfisa'!V$3,METALFISA!$B:$B,'Faltantes Fevereiro- Metalfisa'!$A117)</f>
        <v>0</v>
      </c>
      <c r="W117" s="31">
        <f>SUMIFS(METALFISA!$E:$E,METALFISA!$A:$A,'Faltantes Fevereiro- Metalfisa'!W$3,METALFISA!$B:$B,'Faltantes Fevereiro- Metalfisa'!$A117)</f>
        <v>0</v>
      </c>
      <c r="X117" s="31">
        <f>SUMIFS(METALFISA!$E:$E,METALFISA!$A:$A,'Faltantes Fevereiro- Metalfisa'!X$3,METALFISA!$B:$B,'Faltantes Fevereiro- Metalfisa'!$A117)</f>
        <v>0</v>
      </c>
      <c r="Y117" s="31">
        <f>SUMIFS(METALFISA!$E:$E,METALFISA!$A:$A,'Faltantes Fevereiro- Metalfisa'!Y$3,METALFISA!$B:$B,'Faltantes Fevereiro- Metalfisa'!$A117)</f>
        <v>0</v>
      </c>
      <c r="Z117" s="31">
        <f>SUMIFS(METALFISA!$E:$E,METALFISA!$A:$A,'Faltantes Fevereiro- Metalfisa'!Z$3,METALFISA!$B:$B,'Faltantes Fevereiro- Metalfisa'!$A117)</f>
        <v>0</v>
      </c>
      <c r="AA117" s="31">
        <f>SUMIFS(METALFISA!$E:$E,METALFISA!$A:$A,'Faltantes Fevereiro- Metalfisa'!AA$3,METALFISA!$B:$B,'Faltantes Fevereiro- Metalfisa'!$A117)</f>
        <v>0</v>
      </c>
      <c r="AB117" s="31">
        <f>SUMIFS(METALFISA!$E:$E,METALFISA!$A:$A,'Faltantes Fevereiro- Metalfisa'!AB$3,METALFISA!$B:$B,'Faltantes Fevereiro- Metalfisa'!$A117)</f>
        <v>0</v>
      </c>
      <c r="AC117" s="31">
        <f>SUMIFS(METALFISA!$E:$E,METALFISA!$A:$A,'Faltantes Fevereiro- Metalfisa'!AC$3,METALFISA!$B:$B,'Faltantes Fevereiro- Metalfisa'!$A117)</f>
        <v>0</v>
      </c>
      <c r="AD117" s="31">
        <f>SUMIFS(METALFISA!$E:$E,METALFISA!$A:$A,'Faltantes Fevereiro- Metalfisa'!AD$3,METALFISA!$B:$B,'Faltantes Fevereiro- Metalfisa'!$A117)</f>
        <v>0</v>
      </c>
      <c r="AE117" s="31">
        <f>SUMIFS(METALFISA!$E:$E,METALFISA!$A:$A,'Faltantes Fevereiro- Metalfisa'!AE$3,METALFISA!$B:$B,'Faltantes Fevereiro- Metalfisa'!$A117)</f>
        <v>0</v>
      </c>
      <c r="AF117" s="31">
        <f>SUMIFS(METALFISA!$E:$E,METALFISA!$A:$A,'Faltantes Fevereiro- Metalfisa'!AF$3,METALFISA!$B:$B,'Faltantes Fevereiro- Metalfisa'!$A117)</f>
        <v>0</v>
      </c>
      <c r="AG117" s="31">
        <f>SUMIFS(METALFISA!$E:$E,METALFISA!$A:$A,'Faltantes Fevereiro- Metalfisa'!AG$3,METALFISA!$B:$B,'Faltantes Fevereiro- Metalfisa'!$A117)</f>
        <v>0</v>
      </c>
      <c r="AH117" s="31">
        <f>SUMIFS(METALFISA!$E:$E,METALFISA!$A:$A,'Faltantes Fevereiro- Metalfisa'!AH$3,METALFISA!$B:$B,'Faltantes Fevereiro- Metalfisa'!$A117)</f>
        <v>2</v>
      </c>
      <c r="AI117" s="31">
        <f>SUMIFS(METALFISA!$E:$E,METALFISA!$A:$A,'Faltantes Fevereiro- Metalfisa'!AI$3,METALFISA!$B:$B,'Faltantes Fevereiro- Metalfisa'!$A117)</f>
        <v>0</v>
      </c>
      <c r="AJ117" s="31">
        <f>SUMIFS(METALFISA!$E:$E,METALFISA!$A:$A,'Faltantes Fevereiro- Metalfisa'!AJ$3,METALFISA!$B:$B,'Faltantes Fevereiro- Metalfisa'!$A117)</f>
        <v>0</v>
      </c>
      <c r="AK117" s="31">
        <f>SUMIFS(METALFISA!$E:$E,METALFISA!$A:$A,'Faltantes Fevereiro- Metalfisa'!AK$3,METALFISA!$B:$B,'Faltantes Fevereiro- Metalfisa'!$A117)</f>
        <v>0</v>
      </c>
      <c r="AL117" s="31">
        <f>SUMIFS(METALFISA!$E:$E,METALFISA!$A:$A,'Faltantes Fevereiro- Metalfisa'!AL$3,METALFISA!$B:$B,'Faltantes Fevereiro- Metalfisa'!$A117)</f>
        <v>0</v>
      </c>
      <c r="AM117" s="31">
        <f>SUMIFS(METALFISA!$E:$E,METALFISA!$A:$A,'Faltantes Fevereiro- Metalfisa'!AM$3,METALFISA!$B:$B,'Faltantes Fevereiro- Metalfisa'!$A117)</f>
        <v>4</v>
      </c>
      <c r="AN117" s="31">
        <f>SUMIFS(METALFISA!$E:$E,METALFISA!$A:$A,'Faltantes Fevereiro- Metalfisa'!AN$3,METALFISA!$B:$B,'Faltantes Fevereiro- Metalfisa'!$A117)</f>
        <v>0</v>
      </c>
      <c r="AO117" s="31">
        <f>SUMIFS(METALFISA!$E:$E,METALFISA!$A:$A,'Faltantes Fevereiro- Metalfisa'!AO$3,METALFISA!$B:$B,'Faltantes Fevereiro- Metalfisa'!$A117)</f>
        <v>0</v>
      </c>
      <c r="AP117" s="31">
        <f>SUMIFS(METALFISA!$E:$E,METALFISA!$A:$A,'Faltantes Fevereiro- Metalfisa'!AP$3,METALFISA!$B:$B,'Faltantes Fevereiro- Metalfisa'!$A117)</f>
        <v>0</v>
      </c>
      <c r="AQ117" s="31"/>
      <c r="AR117" s="31">
        <f>SUMIFS(METALFISA!$E:$E,METALFISA!$A:$A,'Faltantes Fevereiro- Metalfisa'!AR$3,METALFISA!$B:$B,'Faltantes Fevereiro- Metalfisa'!$A117)</f>
        <v>0</v>
      </c>
      <c r="AS117" s="35">
        <f>SUMIFS(METALFISA!$E:$E,METALFISA!$A:$A,'Faltantes Fevereiro- Metalfisa'!AS$3,METALFISA!$B:$B,'Faltantes Fevereiro- Metalfisa'!$A117)</f>
        <v>0</v>
      </c>
      <c r="AU117" s="18">
        <v>0</v>
      </c>
      <c r="AV117" s="18">
        <v>0</v>
      </c>
      <c r="AW117" s="18">
        <v>0</v>
      </c>
      <c r="AX117" s="18">
        <v>0</v>
      </c>
      <c r="AY117" s="41">
        <v>1</v>
      </c>
      <c r="AZ117" s="31">
        <v>1</v>
      </c>
      <c r="BA117" s="31">
        <v>0</v>
      </c>
      <c r="BB117" s="31">
        <v>0</v>
      </c>
      <c r="BC117" s="31">
        <v>0</v>
      </c>
      <c r="BD117" s="31">
        <v>0</v>
      </c>
      <c r="BE117" s="31">
        <v>0</v>
      </c>
      <c r="BF117" s="31">
        <v>0</v>
      </c>
      <c r="BG117" s="31">
        <v>0</v>
      </c>
      <c r="BH117" s="31">
        <v>0</v>
      </c>
      <c r="BI117" s="31">
        <v>0</v>
      </c>
      <c r="BJ117" s="31">
        <v>0</v>
      </c>
      <c r="BK117" s="31">
        <v>0</v>
      </c>
      <c r="BL117" s="31">
        <v>0</v>
      </c>
      <c r="BM117" s="31">
        <v>0</v>
      </c>
      <c r="BN117" s="31">
        <v>0</v>
      </c>
      <c r="BO117" s="31">
        <v>0</v>
      </c>
      <c r="BP117" s="31">
        <v>0</v>
      </c>
      <c r="BQ117" s="31">
        <v>0</v>
      </c>
      <c r="BR117" s="31">
        <v>0</v>
      </c>
      <c r="BS117" s="31">
        <v>0</v>
      </c>
      <c r="BT117" s="31">
        <v>0</v>
      </c>
      <c r="BU117" s="31">
        <v>0</v>
      </c>
      <c r="BV117" s="31">
        <v>0</v>
      </c>
      <c r="BW117" s="31">
        <v>0</v>
      </c>
      <c r="BX117" s="31">
        <v>0</v>
      </c>
      <c r="BY117" s="31">
        <v>0</v>
      </c>
      <c r="BZ117" s="31">
        <v>0</v>
      </c>
      <c r="CA117" s="31">
        <v>0</v>
      </c>
      <c r="CB117" s="31">
        <v>0</v>
      </c>
      <c r="CC117" s="31">
        <v>0</v>
      </c>
      <c r="CD117" s="31">
        <v>0</v>
      </c>
      <c r="CE117" s="31">
        <v>0</v>
      </c>
      <c r="CF117" s="31">
        <v>0</v>
      </c>
      <c r="CG117" s="31">
        <v>0</v>
      </c>
      <c r="CH117" s="31">
        <v>0</v>
      </c>
      <c r="CI117" s="31">
        <v>0</v>
      </c>
      <c r="CJ117" s="31">
        <v>0</v>
      </c>
      <c r="CK117" s="31">
        <v>0</v>
      </c>
      <c r="CL117" s="35">
        <v>0</v>
      </c>
    </row>
    <row r="118" spans="1:90" ht="21" x14ac:dyDescent="0.15">
      <c r="A118" s="27" t="s">
        <v>134</v>
      </c>
      <c r="B118" s="28" t="s">
        <v>166</v>
      </c>
      <c r="C118" s="28">
        <v>5</v>
      </c>
      <c r="D118" s="28">
        <v>0</v>
      </c>
      <c r="E118" s="28">
        <v>0</v>
      </c>
      <c r="F118" s="28">
        <v>0</v>
      </c>
      <c r="G118" s="28">
        <v>29</v>
      </c>
      <c r="H118" s="28">
        <f>IFERROR(VLOOKUP(A118,[1]FALTANTES!$A:$AB,28,FALSE),"-")</f>
        <v>0</v>
      </c>
      <c r="I118" s="42">
        <f>IFERROR(VLOOKUP(A118,[1]FALTANTES!$A:$AC,29,FALSE),"-")</f>
        <v>33</v>
      </c>
      <c r="J118" s="29">
        <f>IFERROR(VLOOKUP(A118,[1]FALTANTES!$A:$AD,30,FALSE),"-")</f>
        <v>-1</v>
      </c>
      <c r="K118" s="30">
        <v>0</v>
      </c>
      <c r="L118" s="30">
        <f t="shared" si="1"/>
        <v>1</v>
      </c>
      <c r="M118" s="31">
        <f>SUMIFS(METALFISA!$E:$E,METALFISA!$A:$A,'Faltantes Fevereiro- Metalfisa'!M$3,METALFISA!$B:$B,'Faltantes Fevereiro- Metalfisa'!$A118)</f>
        <v>0</v>
      </c>
      <c r="N118" s="31">
        <f>SUMIFS(METALFISA!$E:$E,METALFISA!$A:$A,'Faltantes Fevereiro- Metalfisa'!N$3,METALFISA!$B:$B,'Faltantes Fevereiro- Metalfisa'!$A118)</f>
        <v>0</v>
      </c>
      <c r="O118" s="31">
        <f>SUMIFS(METALFISA!$E:$E,METALFISA!$A:$A,'Faltantes Fevereiro- Metalfisa'!O$3,METALFISA!$B:$B,'Faltantes Fevereiro- Metalfisa'!$A118)</f>
        <v>0</v>
      </c>
      <c r="P118" s="31">
        <f>SUMIFS(METALFISA!$E:$E,METALFISA!$A:$A,'Faltantes Fevereiro- Metalfisa'!P$3,METALFISA!$B:$B,'Faltantes Fevereiro- Metalfisa'!$A118)</f>
        <v>0</v>
      </c>
      <c r="Q118" s="31">
        <f>SUMIFS(METALFISA!$E:$E,METALFISA!$A:$A,'Faltantes Fevereiro- Metalfisa'!Q$3,METALFISA!$B:$B,'Faltantes Fevereiro- Metalfisa'!$A118)</f>
        <v>0</v>
      </c>
      <c r="R118" s="31">
        <f>SUMIFS(METALFISA!$E:$E,METALFISA!$A:$A,'Faltantes Fevereiro- Metalfisa'!R$3,METALFISA!$B:$B,'Faltantes Fevereiro- Metalfisa'!$A118)</f>
        <v>0</v>
      </c>
      <c r="S118" s="31">
        <f>SUMIFS(METALFISA!$E:$E,METALFISA!$A:$A,'Faltantes Fevereiro- Metalfisa'!S$3,METALFISA!$B:$B,'Faltantes Fevereiro- Metalfisa'!$A118)</f>
        <v>0</v>
      </c>
      <c r="T118" s="31">
        <f>SUMIFS(METALFISA!$E:$E,METALFISA!$A:$A,'Faltantes Fevereiro- Metalfisa'!T$3,METALFISA!$B:$B,'Faltantes Fevereiro- Metalfisa'!$A118)</f>
        <v>0</v>
      </c>
      <c r="U118" s="31">
        <f>SUMIFS(METALFISA!$E:$E,METALFISA!$A:$A,'Faltantes Fevereiro- Metalfisa'!U$3,METALFISA!$B:$B,'Faltantes Fevereiro- Metalfisa'!$A118)</f>
        <v>0</v>
      </c>
      <c r="V118" s="31">
        <f>SUMIFS(METALFISA!$E:$E,METALFISA!$A:$A,'Faltantes Fevereiro- Metalfisa'!V$3,METALFISA!$B:$B,'Faltantes Fevereiro- Metalfisa'!$A118)</f>
        <v>0</v>
      </c>
      <c r="W118" s="31">
        <f>SUMIFS(METALFISA!$E:$E,METALFISA!$A:$A,'Faltantes Fevereiro- Metalfisa'!W$3,METALFISA!$B:$B,'Faltantes Fevereiro- Metalfisa'!$A118)</f>
        <v>0</v>
      </c>
      <c r="X118" s="31">
        <f>SUMIFS(METALFISA!$E:$E,METALFISA!$A:$A,'Faltantes Fevereiro- Metalfisa'!X$3,METALFISA!$B:$B,'Faltantes Fevereiro- Metalfisa'!$A118)</f>
        <v>0</v>
      </c>
      <c r="Y118" s="31">
        <f>SUMIFS(METALFISA!$E:$E,METALFISA!$A:$A,'Faltantes Fevereiro- Metalfisa'!Y$3,METALFISA!$B:$B,'Faltantes Fevereiro- Metalfisa'!$A118)</f>
        <v>1</v>
      </c>
      <c r="Z118" s="31">
        <f>SUMIFS(METALFISA!$E:$E,METALFISA!$A:$A,'Faltantes Fevereiro- Metalfisa'!Z$3,METALFISA!$B:$B,'Faltantes Fevereiro- Metalfisa'!$A118)</f>
        <v>0</v>
      </c>
      <c r="AA118" s="31">
        <f>SUMIFS(METALFISA!$E:$E,METALFISA!$A:$A,'Faltantes Fevereiro- Metalfisa'!AA$3,METALFISA!$B:$B,'Faltantes Fevereiro- Metalfisa'!$A118)</f>
        <v>0</v>
      </c>
      <c r="AB118" s="31">
        <f>SUMIFS(METALFISA!$E:$E,METALFISA!$A:$A,'Faltantes Fevereiro- Metalfisa'!AB$3,METALFISA!$B:$B,'Faltantes Fevereiro- Metalfisa'!$A118)</f>
        <v>0</v>
      </c>
      <c r="AC118" s="31">
        <f>SUMIFS(METALFISA!$E:$E,METALFISA!$A:$A,'Faltantes Fevereiro- Metalfisa'!AC$3,METALFISA!$B:$B,'Faltantes Fevereiro- Metalfisa'!$A118)</f>
        <v>0</v>
      </c>
      <c r="AD118" s="31">
        <f>SUMIFS(METALFISA!$E:$E,METALFISA!$A:$A,'Faltantes Fevereiro- Metalfisa'!AD$3,METALFISA!$B:$B,'Faltantes Fevereiro- Metalfisa'!$A118)</f>
        <v>0</v>
      </c>
      <c r="AE118" s="31">
        <f>SUMIFS(METALFISA!$E:$E,METALFISA!$A:$A,'Faltantes Fevereiro- Metalfisa'!AE$3,METALFISA!$B:$B,'Faltantes Fevereiro- Metalfisa'!$A118)</f>
        <v>0</v>
      </c>
      <c r="AF118" s="31">
        <f>SUMIFS(METALFISA!$E:$E,METALFISA!$A:$A,'Faltantes Fevereiro- Metalfisa'!AF$3,METALFISA!$B:$B,'Faltantes Fevereiro- Metalfisa'!$A118)</f>
        <v>0</v>
      </c>
      <c r="AG118" s="31">
        <f>SUMIFS(METALFISA!$E:$E,METALFISA!$A:$A,'Faltantes Fevereiro- Metalfisa'!AG$3,METALFISA!$B:$B,'Faltantes Fevereiro- Metalfisa'!$A118)</f>
        <v>0</v>
      </c>
      <c r="AH118" s="31">
        <f>SUMIFS(METALFISA!$E:$E,METALFISA!$A:$A,'Faltantes Fevereiro- Metalfisa'!AH$3,METALFISA!$B:$B,'Faltantes Fevereiro- Metalfisa'!$A118)</f>
        <v>0</v>
      </c>
      <c r="AI118" s="31">
        <f>SUMIFS(METALFISA!$E:$E,METALFISA!$A:$A,'Faltantes Fevereiro- Metalfisa'!AI$3,METALFISA!$B:$B,'Faltantes Fevereiro- Metalfisa'!$A118)</f>
        <v>0</v>
      </c>
      <c r="AJ118" s="31">
        <f>SUMIFS(METALFISA!$E:$E,METALFISA!$A:$A,'Faltantes Fevereiro- Metalfisa'!AJ$3,METALFISA!$B:$B,'Faltantes Fevereiro- Metalfisa'!$A118)</f>
        <v>0</v>
      </c>
      <c r="AK118" s="31">
        <f>SUMIFS(METALFISA!$E:$E,METALFISA!$A:$A,'Faltantes Fevereiro- Metalfisa'!AK$3,METALFISA!$B:$B,'Faltantes Fevereiro- Metalfisa'!$A118)</f>
        <v>0</v>
      </c>
      <c r="AL118" s="31">
        <f>SUMIFS(METALFISA!$E:$E,METALFISA!$A:$A,'Faltantes Fevereiro- Metalfisa'!AL$3,METALFISA!$B:$B,'Faltantes Fevereiro- Metalfisa'!$A118)</f>
        <v>0</v>
      </c>
      <c r="AM118" s="31">
        <f>SUMIFS(METALFISA!$E:$E,METALFISA!$A:$A,'Faltantes Fevereiro- Metalfisa'!AM$3,METALFISA!$B:$B,'Faltantes Fevereiro- Metalfisa'!$A118)</f>
        <v>0</v>
      </c>
      <c r="AN118" s="31">
        <f>SUMIFS(METALFISA!$E:$E,METALFISA!$A:$A,'Faltantes Fevereiro- Metalfisa'!AN$3,METALFISA!$B:$B,'Faltantes Fevereiro- Metalfisa'!$A118)</f>
        <v>0</v>
      </c>
      <c r="AO118" s="31">
        <f>SUMIFS(METALFISA!$E:$E,METALFISA!$A:$A,'Faltantes Fevereiro- Metalfisa'!AO$3,METALFISA!$B:$B,'Faltantes Fevereiro- Metalfisa'!$A118)</f>
        <v>0</v>
      </c>
      <c r="AP118" s="31">
        <f>SUMIFS(METALFISA!$E:$E,METALFISA!$A:$A,'Faltantes Fevereiro- Metalfisa'!AP$3,METALFISA!$B:$B,'Faltantes Fevereiro- Metalfisa'!$A118)</f>
        <v>0</v>
      </c>
      <c r="AQ118" s="31"/>
      <c r="AR118" s="31">
        <f>SUMIFS(METALFISA!$E:$E,METALFISA!$A:$A,'Faltantes Fevereiro- Metalfisa'!AR$3,METALFISA!$B:$B,'Faltantes Fevereiro- Metalfisa'!$A118)</f>
        <v>0</v>
      </c>
      <c r="AS118" s="35">
        <f>SUMIFS(METALFISA!$E:$E,METALFISA!$A:$A,'Faltantes Fevereiro- Metalfisa'!AS$3,METALFISA!$B:$B,'Faltantes Fevereiro- Metalfisa'!$A118)</f>
        <v>0</v>
      </c>
      <c r="AU118" s="18">
        <v>0</v>
      </c>
      <c r="AV118" s="18">
        <v>0</v>
      </c>
      <c r="AW118" s="18">
        <v>0</v>
      </c>
      <c r="AX118" s="18">
        <v>0</v>
      </c>
      <c r="AY118" s="41">
        <v>1</v>
      </c>
      <c r="AZ118" s="31">
        <v>1</v>
      </c>
      <c r="BA118" s="31">
        <v>0</v>
      </c>
      <c r="BB118" s="31">
        <v>0</v>
      </c>
      <c r="BC118" s="31">
        <v>0</v>
      </c>
      <c r="BD118" s="31">
        <v>0</v>
      </c>
      <c r="BE118" s="31">
        <v>0</v>
      </c>
      <c r="BF118" s="31">
        <v>0</v>
      </c>
      <c r="BG118" s="31">
        <v>0</v>
      </c>
      <c r="BH118" s="31">
        <v>0</v>
      </c>
      <c r="BI118" s="31">
        <v>0</v>
      </c>
      <c r="BJ118" s="31">
        <v>0</v>
      </c>
      <c r="BK118" s="31">
        <v>0</v>
      </c>
      <c r="BL118" s="31">
        <v>0</v>
      </c>
      <c r="BM118" s="31">
        <v>0</v>
      </c>
      <c r="BN118" s="31">
        <v>0</v>
      </c>
      <c r="BO118" s="31">
        <v>0</v>
      </c>
      <c r="BP118" s="31">
        <v>0</v>
      </c>
      <c r="BQ118" s="31">
        <v>0</v>
      </c>
      <c r="BR118" s="31">
        <v>0</v>
      </c>
      <c r="BS118" s="31">
        <v>0</v>
      </c>
      <c r="BT118" s="31">
        <v>0</v>
      </c>
      <c r="BU118" s="31">
        <v>0</v>
      </c>
      <c r="BV118" s="31">
        <v>0</v>
      </c>
      <c r="BW118" s="31">
        <v>0</v>
      </c>
      <c r="BX118" s="31">
        <v>0</v>
      </c>
      <c r="BY118" s="31">
        <v>0</v>
      </c>
      <c r="BZ118" s="31">
        <v>0</v>
      </c>
      <c r="CA118" s="31">
        <v>0</v>
      </c>
      <c r="CB118" s="31">
        <v>0</v>
      </c>
      <c r="CC118" s="31">
        <v>0</v>
      </c>
      <c r="CD118" s="31">
        <v>0</v>
      </c>
      <c r="CE118" s="31">
        <v>0</v>
      </c>
      <c r="CF118" s="31">
        <v>0</v>
      </c>
      <c r="CG118" s="31">
        <v>0</v>
      </c>
      <c r="CH118" s="31">
        <v>0</v>
      </c>
      <c r="CI118" s="31">
        <v>0</v>
      </c>
      <c r="CJ118" s="31">
        <v>0</v>
      </c>
      <c r="CK118" s="31">
        <v>0</v>
      </c>
      <c r="CL118" s="35">
        <v>0</v>
      </c>
    </row>
    <row r="119" spans="1:90" ht="21" x14ac:dyDescent="0.15">
      <c r="A119" s="27" t="s">
        <v>70</v>
      </c>
      <c r="B119" s="28" t="s">
        <v>71</v>
      </c>
      <c r="C119" s="28">
        <v>0</v>
      </c>
      <c r="D119" s="28">
        <v>0</v>
      </c>
      <c r="E119" s="28">
        <v>0</v>
      </c>
      <c r="F119" s="28">
        <v>0</v>
      </c>
      <c r="G119" s="28">
        <v>3</v>
      </c>
      <c r="H119" s="28">
        <f>IFERROR(VLOOKUP(A119,[1]FALTANTES!$A:$AB,28,FALSE),"-")</f>
        <v>0</v>
      </c>
      <c r="I119" s="42">
        <f>IFERROR(VLOOKUP(A119,[1]FALTANTES!$A:$AC,29,FALSE),"-")</f>
        <v>0</v>
      </c>
      <c r="J119" s="29">
        <f>IFERROR(VLOOKUP(A119,[1]FALTANTES!$A:$AD,30,FALSE),"-")</f>
        <v>-3</v>
      </c>
      <c r="K119" s="30">
        <v>0</v>
      </c>
      <c r="L119" s="30">
        <f t="shared" si="1"/>
        <v>3</v>
      </c>
      <c r="M119" s="31">
        <f>SUMIFS(METALFISA!$E:$E,METALFISA!$A:$A,'Faltantes Fevereiro- Metalfisa'!M$3,METALFISA!$B:$B,'Faltantes Fevereiro- Metalfisa'!$A119)</f>
        <v>0</v>
      </c>
      <c r="N119" s="31">
        <f>SUMIFS(METALFISA!$E:$E,METALFISA!$A:$A,'Faltantes Fevereiro- Metalfisa'!N$3,METALFISA!$B:$B,'Faltantes Fevereiro- Metalfisa'!$A119)</f>
        <v>0</v>
      </c>
      <c r="O119" s="31">
        <f>SUMIFS(METALFISA!$E:$E,METALFISA!$A:$A,'Faltantes Fevereiro- Metalfisa'!O$3,METALFISA!$B:$B,'Faltantes Fevereiro- Metalfisa'!$A119)</f>
        <v>0</v>
      </c>
      <c r="P119" s="31">
        <f>SUMIFS(METALFISA!$E:$E,METALFISA!$A:$A,'Faltantes Fevereiro- Metalfisa'!P$3,METALFISA!$B:$B,'Faltantes Fevereiro- Metalfisa'!$A119)</f>
        <v>0</v>
      </c>
      <c r="Q119" s="31">
        <f>SUMIFS(METALFISA!$E:$E,METALFISA!$A:$A,'Faltantes Fevereiro- Metalfisa'!Q$3,METALFISA!$B:$B,'Faltantes Fevereiro- Metalfisa'!$A119)</f>
        <v>0</v>
      </c>
      <c r="R119" s="31">
        <f>SUMIFS(METALFISA!$E:$E,METALFISA!$A:$A,'Faltantes Fevereiro- Metalfisa'!R$3,METALFISA!$B:$B,'Faltantes Fevereiro- Metalfisa'!$A119)</f>
        <v>0</v>
      </c>
      <c r="S119" s="31">
        <f>SUMIFS(METALFISA!$E:$E,METALFISA!$A:$A,'Faltantes Fevereiro- Metalfisa'!S$3,METALFISA!$B:$B,'Faltantes Fevereiro- Metalfisa'!$A119)</f>
        <v>0</v>
      </c>
      <c r="T119" s="31">
        <f>SUMIFS(METALFISA!$E:$E,METALFISA!$A:$A,'Faltantes Fevereiro- Metalfisa'!T$3,METALFISA!$B:$B,'Faltantes Fevereiro- Metalfisa'!$A119)</f>
        <v>0</v>
      </c>
      <c r="U119" s="31">
        <f>SUMIFS(METALFISA!$E:$E,METALFISA!$A:$A,'Faltantes Fevereiro- Metalfisa'!U$3,METALFISA!$B:$B,'Faltantes Fevereiro- Metalfisa'!$A119)</f>
        <v>0</v>
      </c>
      <c r="V119" s="31">
        <f>SUMIFS(METALFISA!$E:$E,METALFISA!$A:$A,'Faltantes Fevereiro- Metalfisa'!V$3,METALFISA!$B:$B,'Faltantes Fevereiro- Metalfisa'!$A119)</f>
        <v>0</v>
      </c>
      <c r="W119" s="31">
        <f>SUMIFS(METALFISA!$E:$E,METALFISA!$A:$A,'Faltantes Fevereiro- Metalfisa'!W$3,METALFISA!$B:$B,'Faltantes Fevereiro- Metalfisa'!$A119)</f>
        <v>0</v>
      </c>
      <c r="X119" s="31">
        <f>SUMIFS(METALFISA!$E:$E,METALFISA!$A:$A,'Faltantes Fevereiro- Metalfisa'!X$3,METALFISA!$B:$B,'Faltantes Fevereiro- Metalfisa'!$A119)</f>
        <v>0</v>
      </c>
      <c r="Y119" s="31">
        <f>SUMIFS(METALFISA!$E:$E,METALFISA!$A:$A,'Faltantes Fevereiro- Metalfisa'!Y$3,METALFISA!$B:$B,'Faltantes Fevereiro- Metalfisa'!$A119)</f>
        <v>0</v>
      </c>
      <c r="Z119" s="31">
        <f>SUMIFS(METALFISA!$E:$E,METALFISA!$A:$A,'Faltantes Fevereiro- Metalfisa'!Z$3,METALFISA!$B:$B,'Faltantes Fevereiro- Metalfisa'!$A119)</f>
        <v>0</v>
      </c>
      <c r="AA119" s="31">
        <f>SUMIFS(METALFISA!$E:$E,METALFISA!$A:$A,'Faltantes Fevereiro- Metalfisa'!AA$3,METALFISA!$B:$B,'Faltantes Fevereiro- Metalfisa'!$A119)</f>
        <v>1</v>
      </c>
      <c r="AB119" s="31">
        <f>SUMIFS(METALFISA!$E:$E,METALFISA!$A:$A,'Faltantes Fevereiro- Metalfisa'!AB$3,METALFISA!$B:$B,'Faltantes Fevereiro- Metalfisa'!$A119)</f>
        <v>0</v>
      </c>
      <c r="AC119" s="31">
        <f>SUMIFS(METALFISA!$E:$E,METALFISA!$A:$A,'Faltantes Fevereiro- Metalfisa'!AC$3,METALFISA!$B:$B,'Faltantes Fevereiro- Metalfisa'!$A119)</f>
        <v>0</v>
      </c>
      <c r="AD119" s="31">
        <f>SUMIFS(METALFISA!$E:$E,METALFISA!$A:$A,'Faltantes Fevereiro- Metalfisa'!AD$3,METALFISA!$B:$B,'Faltantes Fevereiro- Metalfisa'!$A119)</f>
        <v>0</v>
      </c>
      <c r="AE119" s="31">
        <f>SUMIFS(METALFISA!$E:$E,METALFISA!$A:$A,'Faltantes Fevereiro- Metalfisa'!AE$3,METALFISA!$B:$B,'Faltantes Fevereiro- Metalfisa'!$A119)</f>
        <v>0</v>
      </c>
      <c r="AF119" s="31">
        <f>SUMIFS(METALFISA!$E:$E,METALFISA!$A:$A,'Faltantes Fevereiro- Metalfisa'!AF$3,METALFISA!$B:$B,'Faltantes Fevereiro- Metalfisa'!$A119)</f>
        <v>0</v>
      </c>
      <c r="AG119" s="31">
        <f>SUMIFS(METALFISA!$E:$E,METALFISA!$A:$A,'Faltantes Fevereiro- Metalfisa'!AG$3,METALFISA!$B:$B,'Faltantes Fevereiro- Metalfisa'!$A119)</f>
        <v>0</v>
      </c>
      <c r="AH119" s="31">
        <f>SUMIFS(METALFISA!$E:$E,METALFISA!$A:$A,'Faltantes Fevereiro- Metalfisa'!AH$3,METALFISA!$B:$B,'Faltantes Fevereiro- Metalfisa'!$A119)</f>
        <v>1</v>
      </c>
      <c r="AI119" s="31">
        <f>SUMIFS(METALFISA!$E:$E,METALFISA!$A:$A,'Faltantes Fevereiro- Metalfisa'!AI$3,METALFISA!$B:$B,'Faltantes Fevereiro- Metalfisa'!$A119)</f>
        <v>0</v>
      </c>
      <c r="AJ119" s="31">
        <f>SUMIFS(METALFISA!$E:$E,METALFISA!$A:$A,'Faltantes Fevereiro- Metalfisa'!AJ$3,METALFISA!$B:$B,'Faltantes Fevereiro- Metalfisa'!$A119)</f>
        <v>0</v>
      </c>
      <c r="AK119" s="31">
        <f>SUMIFS(METALFISA!$E:$E,METALFISA!$A:$A,'Faltantes Fevereiro- Metalfisa'!AK$3,METALFISA!$B:$B,'Faltantes Fevereiro- Metalfisa'!$A119)</f>
        <v>0</v>
      </c>
      <c r="AL119" s="31">
        <f>SUMIFS(METALFISA!$E:$E,METALFISA!$A:$A,'Faltantes Fevereiro- Metalfisa'!AL$3,METALFISA!$B:$B,'Faltantes Fevereiro- Metalfisa'!$A119)</f>
        <v>0</v>
      </c>
      <c r="AM119" s="31">
        <f>SUMIFS(METALFISA!$E:$E,METALFISA!$A:$A,'Faltantes Fevereiro- Metalfisa'!AM$3,METALFISA!$B:$B,'Faltantes Fevereiro- Metalfisa'!$A119)</f>
        <v>1</v>
      </c>
      <c r="AN119" s="31">
        <f>SUMIFS(METALFISA!$E:$E,METALFISA!$A:$A,'Faltantes Fevereiro- Metalfisa'!AN$3,METALFISA!$B:$B,'Faltantes Fevereiro- Metalfisa'!$A119)</f>
        <v>0</v>
      </c>
      <c r="AO119" s="31">
        <f>SUMIFS(METALFISA!$E:$E,METALFISA!$A:$A,'Faltantes Fevereiro- Metalfisa'!AO$3,METALFISA!$B:$B,'Faltantes Fevereiro- Metalfisa'!$A119)</f>
        <v>0</v>
      </c>
      <c r="AP119" s="31">
        <f>SUMIFS(METALFISA!$E:$E,METALFISA!$A:$A,'Faltantes Fevereiro- Metalfisa'!AP$3,METALFISA!$B:$B,'Faltantes Fevereiro- Metalfisa'!$A119)</f>
        <v>0</v>
      </c>
      <c r="AQ119" s="31"/>
      <c r="AR119" s="31">
        <f>SUMIFS(METALFISA!$E:$E,METALFISA!$A:$A,'Faltantes Fevereiro- Metalfisa'!AR$3,METALFISA!$B:$B,'Faltantes Fevereiro- Metalfisa'!$A119)</f>
        <v>0</v>
      </c>
      <c r="AS119" s="35">
        <f>SUMIFS(METALFISA!$E:$E,METALFISA!$A:$A,'Faltantes Fevereiro- Metalfisa'!AS$3,METALFISA!$B:$B,'Faltantes Fevereiro- Metalfisa'!$A119)</f>
        <v>0</v>
      </c>
      <c r="AU119" s="18">
        <v>0</v>
      </c>
      <c r="AV119" s="18">
        <v>0</v>
      </c>
      <c r="AW119" s="18">
        <v>0</v>
      </c>
      <c r="AX119" s="18">
        <v>0</v>
      </c>
      <c r="AY119" s="41">
        <v>1</v>
      </c>
      <c r="AZ119" s="31">
        <v>1</v>
      </c>
      <c r="BA119" s="31">
        <v>0</v>
      </c>
      <c r="BB119" s="31">
        <v>0</v>
      </c>
      <c r="BC119" s="31">
        <v>0</v>
      </c>
      <c r="BD119" s="31">
        <v>0</v>
      </c>
      <c r="BE119" s="31">
        <v>0</v>
      </c>
      <c r="BF119" s="31">
        <v>0</v>
      </c>
      <c r="BG119" s="31">
        <v>0</v>
      </c>
      <c r="BH119" s="31">
        <v>0</v>
      </c>
      <c r="BI119" s="31">
        <v>0</v>
      </c>
      <c r="BJ119" s="31">
        <v>0</v>
      </c>
      <c r="BK119" s="31">
        <v>0</v>
      </c>
      <c r="BL119" s="31">
        <v>0</v>
      </c>
      <c r="BM119" s="31">
        <v>0</v>
      </c>
      <c r="BN119" s="31">
        <v>0</v>
      </c>
      <c r="BO119" s="31">
        <v>0</v>
      </c>
      <c r="BP119" s="31">
        <v>0</v>
      </c>
      <c r="BQ119" s="31">
        <v>0</v>
      </c>
      <c r="BR119" s="31">
        <v>0</v>
      </c>
      <c r="BS119" s="31">
        <v>0</v>
      </c>
      <c r="BT119" s="31">
        <v>0</v>
      </c>
      <c r="BU119" s="31">
        <v>0</v>
      </c>
      <c r="BV119" s="31">
        <v>0</v>
      </c>
      <c r="BW119" s="31">
        <v>0</v>
      </c>
      <c r="BX119" s="31">
        <v>0</v>
      </c>
      <c r="BY119" s="31">
        <v>0</v>
      </c>
      <c r="BZ119" s="31">
        <v>0</v>
      </c>
      <c r="CA119" s="31">
        <v>0</v>
      </c>
      <c r="CB119" s="31">
        <v>0</v>
      </c>
      <c r="CC119" s="31">
        <v>0</v>
      </c>
      <c r="CD119" s="31">
        <v>0</v>
      </c>
      <c r="CE119" s="31">
        <v>0</v>
      </c>
      <c r="CF119" s="31">
        <v>0</v>
      </c>
      <c r="CG119" s="31">
        <v>0</v>
      </c>
      <c r="CH119" s="31">
        <v>0</v>
      </c>
      <c r="CI119" s="31">
        <v>0</v>
      </c>
      <c r="CJ119" s="31">
        <v>0</v>
      </c>
      <c r="CK119" s="31">
        <v>0</v>
      </c>
      <c r="CL119" s="35">
        <v>0</v>
      </c>
    </row>
    <row r="120" spans="1:90" ht="21" x14ac:dyDescent="0.15">
      <c r="A120" s="27" t="s">
        <v>123</v>
      </c>
      <c r="B120" s="28" t="s">
        <v>145</v>
      </c>
      <c r="C120" s="28">
        <v>0</v>
      </c>
      <c r="D120" s="28">
        <v>0</v>
      </c>
      <c r="E120" s="28">
        <v>0</v>
      </c>
      <c r="F120" s="28">
        <v>0</v>
      </c>
      <c r="G120" s="28">
        <v>1</v>
      </c>
      <c r="H120" s="28">
        <f>IFERROR(VLOOKUP(A120,[1]FALTANTES!$A:$AB,28,FALSE),"-")</f>
        <v>0</v>
      </c>
      <c r="I120" s="42">
        <f>IFERROR(VLOOKUP(A120,[1]FALTANTES!$A:$AC,29,FALSE),"-")</f>
        <v>0</v>
      </c>
      <c r="J120" s="29">
        <f>IFERROR(VLOOKUP(A120,[1]FALTANTES!$A:$AD,30,FALSE),"-")</f>
        <v>-1</v>
      </c>
      <c r="K120" s="30">
        <v>0</v>
      </c>
      <c r="L120" s="30">
        <f t="shared" ref="L120:L172" si="2">SUM(M120:AS120)</f>
        <v>2</v>
      </c>
      <c r="M120" s="31">
        <f>SUMIFS(METALFISA!$E:$E,METALFISA!$A:$A,'Faltantes Fevereiro- Metalfisa'!M$3,METALFISA!$B:$B,'Faltantes Fevereiro- Metalfisa'!$A120)</f>
        <v>0</v>
      </c>
      <c r="N120" s="31">
        <f>SUMIFS(METALFISA!$E:$E,METALFISA!$A:$A,'Faltantes Fevereiro- Metalfisa'!N$3,METALFISA!$B:$B,'Faltantes Fevereiro- Metalfisa'!$A120)</f>
        <v>0</v>
      </c>
      <c r="O120" s="31">
        <f>SUMIFS(METALFISA!$E:$E,METALFISA!$A:$A,'Faltantes Fevereiro- Metalfisa'!O$3,METALFISA!$B:$B,'Faltantes Fevereiro- Metalfisa'!$A120)</f>
        <v>0</v>
      </c>
      <c r="P120" s="31">
        <f>SUMIFS(METALFISA!$E:$E,METALFISA!$A:$A,'Faltantes Fevereiro- Metalfisa'!P$3,METALFISA!$B:$B,'Faltantes Fevereiro- Metalfisa'!$A120)</f>
        <v>0</v>
      </c>
      <c r="Q120" s="31">
        <f>SUMIFS(METALFISA!$E:$E,METALFISA!$A:$A,'Faltantes Fevereiro- Metalfisa'!Q$3,METALFISA!$B:$B,'Faltantes Fevereiro- Metalfisa'!$A120)</f>
        <v>0</v>
      </c>
      <c r="R120" s="31">
        <f>SUMIFS(METALFISA!$E:$E,METALFISA!$A:$A,'Faltantes Fevereiro- Metalfisa'!R$3,METALFISA!$B:$B,'Faltantes Fevereiro- Metalfisa'!$A120)</f>
        <v>0</v>
      </c>
      <c r="S120" s="31">
        <f>SUMIFS(METALFISA!$E:$E,METALFISA!$A:$A,'Faltantes Fevereiro- Metalfisa'!S$3,METALFISA!$B:$B,'Faltantes Fevereiro- Metalfisa'!$A120)</f>
        <v>0</v>
      </c>
      <c r="T120" s="31">
        <f>SUMIFS(METALFISA!$E:$E,METALFISA!$A:$A,'Faltantes Fevereiro- Metalfisa'!T$3,METALFISA!$B:$B,'Faltantes Fevereiro- Metalfisa'!$A120)</f>
        <v>0</v>
      </c>
      <c r="U120" s="31">
        <f>SUMIFS(METALFISA!$E:$E,METALFISA!$A:$A,'Faltantes Fevereiro- Metalfisa'!U$3,METALFISA!$B:$B,'Faltantes Fevereiro- Metalfisa'!$A120)</f>
        <v>0</v>
      </c>
      <c r="V120" s="31">
        <f>SUMIFS(METALFISA!$E:$E,METALFISA!$A:$A,'Faltantes Fevereiro- Metalfisa'!V$3,METALFISA!$B:$B,'Faltantes Fevereiro- Metalfisa'!$A120)</f>
        <v>0</v>
      </c>
      <c r="W120" s="31">
        <f>SUMIFS(METALFISA!$E:$E,METALFISA!$A:$A,'Faltantes Fevereiro- Metalfisa'!W$3,METALFISA!$B:$B,'Faltantes Fevereiro- Metalfisa'!$A120)</f>
        <v>0</v>
      </c>
      <c r="X120" s="31">
        <f>SUMIFS(METALFISA!$E:$E,METALFISA!$A:$A,'Faltantes Fevereiro- Metalfisa'!X$3,METALFISA!$B:$B,'Faltantes Fevereiro- Metalfisa'!$A120)</f>
        <v>0</v>
      </c>
      <c r="Y120" s="31">
        <f>SUMIFS(METALFISA!$E:$E,METALFISA!$A:$A,'Faltantes Fevereiro- Metalfisa'!Y$3,METALFISA!$B:$B,'Faltantes Fevereiro- Metalfisa'!$A120)</f>
        <v>0</v>
      </c>
      <c r="Z120" s="31">
        <f>SUMIFS(METALFISA!$E:$E,METALFISA!$A:$A,'Faltantes Fevereiro- Metalfisa'!Z$3,METALFISA!$B:$B,'Faltantes Fevereiro- Metalfisa'!$A120)</f>
        <v>0</v>
      </c>
      <c r="AA120" s="31">
        <f>SUMIFS(METALFISA!$E:$E,METALFISA!$A:$A,'Faltantes Fevereiro- Metalfisa'!AA$3,METALFISA!$B:$B,'Faltantes Fevereiro- Metalfisa'!$A120)</f>
        <v>0</v>
      </c>
      <c r="AB120" s="31">
        <f>SUMIFS(METALFISA!$E:$E,METALFISA!$A:$A,'Faltantes Fevereiro- Metalfisa'!AB$3,METALFISA!$B:$B,'Faltantes Fevereiro- Metalfisa'!$A120)</f>
        <v>0</v>
      </c>
      <c r="AC120" s="31">
        <f>SUMIFS(METALFISA!$E:$E,METALFISA!$A:$A,'Faltantes Fevereiro- Metalfisa'!AC$3,METALFISA!$B:$B,'Faltantes Fevereiro- Metalfisa'!$A120)</f>
        <v>0</v>
      </c>
      <c r="AD120" s="31">
        <f>SUMIFS(METALFISA!$E:$E,METALFISA!$A:$A,'Faltantes Fevereiro- Metalfisa'!AD$3,METALFISA!$B:$B,'Faltantes Fevereiro- Metalfisa'!$A120)</f>
        <v>0</v>
      </c>
      <c r="AE120" s="31">
        <f>SUMIFS(METALFISA!$E:$E,METALFISA!$A:$A,'Faltantes Fevereiro- Metalfisa'!AE$3,METALFISA!$B:$B,'Faltantes Fevereiro- Metalfisa'!$A120)</f>
        <v>0</v>
      </c>
      <c r="AF120" s="31">
        <f>SUMIFS(METALFISA!$E:$E,METALFISA!$A:$A,'Faltantes Fevereiro- Metalfisa'!AF$3,METALFISA!$B:$B,'Faltantes Fevereiro- Metalfisa'!$A120)</f>
        <v>0</v>
      </c>
      <c r="AG120" s="31">
        <f>SUMIFS(METALFISA!$E:$E,METALFISA!$A:$A,'Faltantes Fevereiro- Metalfisa'!AG$3,METALFISA!$B:$B,'Faltantes Fevereiro- Metalfisa'!$A120)</f>
        <v>0</v>
      </c>
      <c r="AH120" s="31">
        <f>SUMIFS(METALFISA!$E:$E,METALFISA!$A:$A,'Faltantes Fevereiro- Metalfisa'!AH$3,METALFISA!$B:$B,'Faltantes Fevereiro- Metalfisa'!$A120)</f>
        <v>2</v>
      </c>
      <c r="AI120" s="31">
        <f>SUMIFS(METALFISA!$E:$E,METALFISA!$A:$A,'Faltantes Fevereiro- Metalfisa'!AI$3,METALFISA!$B:$B,'Faltantes Fevereiro- Metalfisa'!$A120)</f>
        <v>0</v>
      </c>
      <c r="AJ120" s="31">
        <f>SUMIFS(METALFISA!$E:$E,METALFISA!$A:$A,'Faltantes Fevereiro- Metalfisa'!AJ$3,METALFISA!$B:$B,'Faltantes Fevereiro- Metalfisa'!$A120)</f>
        <v>0</v>
      </c>
      <c r="AK120" s="31">
        <f>SUMIFS(METALFISA!$E:$E,METALFISA!$A:$A,'Faltantes Fevereiro- Metalfisa'!AK$3,METALFISA!$B:$B,'Faltantes Fevereiro- Metalfisa'!$A120)</f>
        <v>0</v>
      </c>
      <c r="AL120" s="31">
        <f>SUMIFS(METALFISA!$E:$E,METALFISA!$A:$A,'Faltantes Fevereiro- Metalfisa'!AL$3,METALFISA!$B:$B,'Faltantes Fevereiro- Metalfisa'!$A120)</f>
        <v>0</v>
      </c>
      <c r="AM120" s="31">
        <f>SUMIFS(METALFISA!$E:$E,METALFISA!$A:$A,'Faltantes Fevereiro- Metalfisa'!AM$3,METALFISA!$B:$B,'Faltantes Fevereiro- Metalfisa'!$A120)</f>
        <v>0</v>
      </c>
      <c r="AN120" s="31">
        <f>SUMIFS(METALFISA!$E:$E,METALFISA!$A:$A,'Faltantes Fevereiro- Metalfisa'!AN$3,METALFISA!$B:$B,'Faltantes Fevereiro- Metalfisa'!$A120)</f>
        <v>0</v>
      </c>
      <c r="AO120" s="31">
        <f>SUMIFS(METALFISA!$E:$E,METALFISA!$A:$A,'Faltantes Fevereiro- Metalfisa'!AO$3,METALFISA!$B:$B,'Faltantes Fevereiro- Metalfisa'!$A120)</f>
        <v>0</v>
      </c>
      <c r="AP120" s="31">
        <f>SUMIFS(METALFISA!$E:$E,METALFISA!$A:$A,'Faltantes Fevereiro- Metalfisa'!AP$3,METALFISA!$B:$B,'Faltantes Fevereiro- Metalfisa'!$A120)</f>
        <v>0</v>
      </c>
      <c r="AQ120" s="31"/>
      <c r="AR120" s="31">
        <f>SUMIFS(METALFISA!$E:$E,METALFISA!$A:$A,'Faltantes Fevereiro- Metalfisa'!AR$3,METALFISA!$B:$B,'Faltantes Fevereiro- Metalfisa'!$A120)</f>
        <v>0</v>
      </c>
      <c r="AS120" s="35">
        <f>SUMIFS(METALFISA!$E:$E,METALFISA!$A:$A,'Faltantes Fevereiro- Metalfisa'!AS$3,METALFISA!$B:$B,'Faltantes Fevereiro- Metalfisa'!$A120)</f>
        <v>0</v>
      </c>
      <c r="AU120" s="18">
        <v>0</v>
      </c>
      <c r="AV120" s="18">
        <v>0</v>
      </c>
      <c r="AW120" s="18">
        <v>0</v>
      </c>
      <c r="AX120" s="18">
        <v>0</v>
      </c>
      <c r="AY120" s="41">
        <v>0</v>
      </c>
      <c r="AZ120" s="31">
        <v>1</v>
      </c>
      <c r="BA120" s="31">
        <v>0</v>
      </c>
      <c r="BB120" s="31">
        <v>0</v>
      </c>
      <c r="BC120" s="31">
        <v>0</v>
      </c>
      <c r="BD120" s="31">
        <v>0</v>
      </c>
      <c r="BE120" s="31">
        <v>0</v>
      </c>
      <c r="BF120" s="31">
        <v>0</v>
      </c>
      <c r="BG120" s="31">
        <v>0</v>
      </c>
      <c r="BH120" s="31">
        <v>0</v>
      </c>
      <c r="BI120" s="31">
        <v>0</v>
      </c>
      <c r="BJ120" s="31">
        <v>0</v>
      </c>
      <c r="BK120" s="31">
        <v>0</v>
      </c>
      <c r="BL120" s="31">
        <v>0</v>
      </c>
      <c r="BM120" s="31">
        <v>0</v>
      </c>
      <c r="BN120" s="31">
        <v>0</v>
      </c>
      <c r="BO120" s="31">
        <v>0</v>
      </c>
      <c r="BP120" s="31">
        <v>0</v>
      </c>
      <c r="BQ120" s="31">
        <v>0</v>
      </c>
      <c r="BR120" s="31">
        <v>0</v>
      </c>
      <c r="BS120" s="31">
        <v>0</v>
      </c>
      <c r="BT120" s="31">
        <v>0</v>
      </c>
      <c r="BU120" s="31">
        <v>0</v>
      </c>
      <c r="BV120" s="31">
        <v>0</v>
      </c>
      <c r="BW120" s="31">
        <v>0</v>
      </c>
      <c r="BX120" s="31">
        <v>0</v>
      </c>
      <c r="BY120" s="31">
        <v>0</v>
      </c>
      <c r="BZ120" s="31">
        <v>0</v>
      </c>
      <c r="CA120" s="31">
        <v>0</v>
      </c>
      <c r="CB120" s="31">
        <v>0</v>
      </c>
      <c r="CC120" s="31">
        <v>0</v>
      </c>
      <c r="CD120" s="31">
        <v>0</v>
      </c>
      <c r="CE120" s="31">
        <v>0</v>
      </c>
      <c r="CF120" s="31">
        <v>0</v>
      </c>
      <c r="CG120" s="31">
        <v>0</v>
      </c>
      <c r="CH120" s="31">
        <v>0</v>
      </c>
      <c r="CI120" s="31">
        <v>0</v>
      </c>
      <c r="CJ120" s="31">
        <v>0</v>
      </c>
      <c r="CK120" s="31">
        <v>0</v>
      </c>
      <c r="CL120" s="35">
        <v>0</v>
      </c>
    </row>
    <row r="121" spans="1:90" ht="21" x14ac:dyDescent="0.15">
      <c r="A121" s="27" t="s">
        <v>72</v>
      </c>
      <c r="B121" s="28" t="s">
        <v>167</v>
      </c>
      <c r="C121" s="28">
        <v>0</v>
      </c>
      <c r="D121" s="28">
        <v>0</v>
      </c>
      <c r="E121" s="28">
        <v>0</v>
      </c>
      <c r="F121" s="28">
        <v>0</v>
      </c>
      <c r="G121" s="28">
        <v>11</v>
      </c>
      <c r="H121" s="28">
        <f>IFERROR(VLOOKUP(A121,[1]FALTANTES!$A:$AB,28,FALSE),"-")</f>
        <v>0</v>
      </c>
      <c r="I121" s="42">
        <f>IFERROR(VLOOKUP(A121,[1]FALTANTES!$A:$AC,29,FALSE),"-")</f>
        <v>0</v>
      </c>
      <c r="J121" s="29">
        <f>IFERROR(VLOOKUP(A121,[1]FALTANTES!$A:$AD,30,FALSE),"-")</f>
        <v>-11</v>
      </c>
      <c r="K121" s="30">
        <v>0</v>
      </c>
      <c r="L121" s="30">
        <f t="shared" si="2"/>
        <v>11</v>
      </c>
      <c r="M121" s="31">
        <f>SUMIFS(METALFISA!$E:$E,METALFISA!$A:$A,'Faltantes Fevereiro- Metalfisa'!M$3,METALFISA!$B:$B,'Faltantes Fevereiro- Metalfisa'!$A121)</f>
        <v>0</v>
      </c>
      <c r="N121" s="31">
        <f>SUMIFS(METALFISA!$E:$E,METALFISA!$A:$A,'Faltantes Fevereiro- Metalfisa'!N$3,METALFISA!$B:$B,'Faltantes Fevereiro- Metalfisa'!$A121)</f>
        <v>0</v>
      </c>
      <c r="O121" s="31">
        <f>SUMIFS(METALFISA!$E:$E,METALFISA!$A:$A,'Faltantes Fevereiro- Metalfisa'!O$3,METALFISA!$B:$B,'Faltantes Fevereiro- Metalfisa'!$A121)</f>
        <v>0</v>
      </c>
      <c r="P121" s="31">
        <f>SUMIFS(METALFISA!$E:$E,METALFISA!$A:$A,'Faltantes Fevereiro- Metalfisa'!P$3,METALFISA!$B:$B,'Faltantes Fevereiro- Metalfisa'!$A121)</f>
        <v>0</v>
      </c>
      <c r="Q121" s="31">
        <f>SUMIFS(METALFISA!$E:$E,METALFISA!$A:$A,'Faltantes Fevereiro- Metalfisa'!Q$3,METALFISA!$B:$B,'Faltantes Fevereiro- Metalfisa'!$A121)</f>
        <v>0</v>
      </c>
      <c r="R121" s="31">
        <f>SUMIFS(METALFISA!$E:$E,METALFISA!$A:$A,'Faltantes Fevereiro- Metalfisa'!R$3,METALFISA!$B:$B,'Faltantes Fevereiro- Metalfisa'!$A121)</f>
        <v>0</v>
      </c>
      <c r="S121" s="31">
        <f>SUMIFS(METALFISA!$E:$E,METALFISA!$A:$A,'Faltantes Fevereiro- Metalfisa'!S$3,METALFISA!$B:$B,'Faltantes Fevereiro- Metalfisa'!$A121)</f>
        <v>0</v>
      </c>
      <c r="T121" s="31">
        <f>SUMIFS(METALFISA!$E:$E,METALFISA!$A:$A,'Faltantes Fevereiro- Metalfisa'!T$3,METALFISA!$B:$B,'Faltantes Fevereiro- Metalfisa'!$A121)</f>
        <v>0</v>
      </c>
      <c r="U121" s="31">
        <f>SUMIFS(METALFISA!$E:$E,METALFISA!$A:$A,'Faltantes Fevereiro- Metalfisa'!U$3,METALFISA!$B:$B,'Faltantes Fevereiro- Metalfisa'!$A121)</f>
        <v>0</v>
      </c>
      <c r="V121" s="31">
        <f>SUMIFS(METALFISA!$E:$E,METALFISA!$A:$A,'Faltantes Fevereiro- Metalfisa'!V$3,METALFISA!$B:$B,'Faltantes Fevereiro- Metalfisa'!$A121)</f>
        <v>0</v>
      </c>
      <c r="W121" s="31">
        <f>SUMIFS(METALFISA!$E:$E,METALFISA!$A:$A,'Faltantes Fevereiro- Metalfisa'!W$3,METALFISA!$B:$B,'Faltantes Fevereiro- Metalfisa'!$A121)</f>
        <v>0</v>
      </c>
      <c r="X121" s="31">
        <f>SUMIFS(METALFISA!$E:$E,METALFISA!$A:$A,'Faltantes Fevereiro- Metalfisa'!X$3,METALFISA!$B:$B,'Faltantes Fevereiro- Metalfisa'!$A121)</f>
        <v>0</v>
      </c>
      <c r="Y121" s="31">
        <f>SUMIFS(METALFISA!$E:$E,METALFISA!$A:$A,'Faltantes Fevereiro- Metalfisa'!Y$3,METALFISA!$B:$B,'Faltantes Fevereiro- Metalfisa'!$A121)</f>
        <v>0</v>
      </c>
      <c r="Z121" s="31">
        <f>SUMIFS(METALFISA!$E:$E,METALFISA!$A:$A,'Faltantes Fevereiro- Metalfisa'!Z$3,METALFISA!$B:$B,'Faltantes Fevereiro- Metalfisa'!$A121)</f>
        <v>0</v>
      </c>
      <c r="AA121" s="31">
        <f>SUMIFS(METALFISA!$E:$E,METALFISA!$A:$A,'Faltantes Fevereiro- Metalfisa'!AA$3,METALFISA!$B:$B,'Faltantes Fevereiro- Metalfisa'!$A121)</f>
        <v>0</v>
      </c>
      <c r="AB121" s="31">
        <f>SUMIFS(METALFISA!$E:$E,METALFISA!$A:$A,'Faltantes Fevereiro- Metalfisa'!AB$3,METALFISA!$B:$B,'Faltantes Fevereiro- Metalfisa'!$A121)</f>
        <v>0</v>
      </c>
      <c r="AC121" s="31">
        <f>SUMIFS(METALFISA!$E:$E,METALFISA!$A:$A,'Faltantes Fevereiro- Metalfisa'!AC$3,METALFISA!$B:$B,'Faltantes Fevereiro- Metalfisa'!$A121)</f>
        <v>0</v>
      </c>
      <c r="AD121" s="31">
        <f>SUMIFS(METALFISA!$E:$E,METALFISA!$A:$A,'Faltantes Fevereiro- Metalfisa'!AD$3,METALFISA!$B:$B,'Faltantes Fevereiro- Metalfisa'!$A121)</f>
        <v>0</v>
      </c>
      <c r="AE121" s="31">
        <f>SUMIFS(METALFISA!$E:$E,METALFISA!$A:$A,'Faltantes Fevereiro- Metalfisa'!AE$3,METALFISA!$B:$B,'Faltantes Fevereiro- Metalfisa'!$A121)</f>
        <v>0</v>
      </c>
      <c r="AF121" s="31">
        <f>SUMIFS(METALFISA!$E:$E,METALFISA!$A:$A,'Faltantes Fevereiro- Metalfisa'!AF$3,METALFISA!$B:$B,'Faltantes Fevereiro- Metalfisa'!$A121)</f>
        <v>0</v>
      </c>
      <c r="AG121" s="31">
        <f>SUMIFS(METALFISA!$E:$E,METALFISA!$A:$A,'Faltantes Fevereiro- Metalfisa'!AG$3,METALFISA!$B:$B,'Faltantes Fevereiro- Metalfisa'!$A121)</f>
        <v>0</v>
      </c>
      <c r="AH121" s="31">
        <f>SUMIFS(METALFISA!$E:$E,METALFISA!$A:$A,'Faltantes Fevereiro- Metalfisa'!AH$3,METALFISA!$B:$B,'Faltantes Fevereiro- Metalfisa'!$A121)</f>
        <v>11</v>
      </c>
      <c r="AI121" s="31">
        <f>SUMIFS(METALFISA!$E:$E,METALFISA!$A:$A,'Faltantes Fevereiro- Metalfisa'!AI$3,METALFISA!$B:$B,'Faltantes Fevereiro- Metalfisa'!$A121)</f>
        <v>0</v>
      </c>
      <c r="AJ121" s="31">
        <f>SUMIFS(METALFISA!$E:$E,METALFISA!$A:$A,'Faltantes Fevereiro- Metalfisa'!AJ$3,METALFISA!$B:$B,'Faltantes Fevereiro- Metalfisa'!$A121)</f>
        <v>0</v>
      </c>
      <c r="AK121" s="31">
        <f>SUMIFS(METALFISA!$E:$E,METALFISA!$A:$A,'Faltantes Fevereiro- Metalfisa'!AK$3,METALFISA!$B:$B,'Faltantes Fevereiro- Metalfisa'!$A121)</f>
        <v>0</v>
      </c>
      <c r="AL121" s="31">
        <f>SUMIFS(METALFISA!$E:$E,METALFISA!$A:$A,'Faltantes Fevereiro- Metalfisa'!AL$3,METALFISA!$B:$B,'Faltantes Fevereiro- Metalfisa'!$A121)</f>
        <v>0</v>
      </c>
      <c r="AM121" s="31">
        <f>SUMIFS(METALFISA!$E:$E,METALFISA!$A:$A,'Faltantes Fevereiro- Metalfisa'!AM$3,METALFISA!$B:$B,'Faltantes Fevereiro- Metalfisa'!$A121)</f>
        <v>0</v>
      </c>
      <c r="AN121" s="31">
        <f>SUMIFS(METALFISA!$E:$E,METALFISA!$A:$A,'Faltantes Fevereiro- Metalfisa'!AN$3,METALFISA!$B:$B,'Faltantes Fevereiro- Metalfisa'!$A121)</f>
        <v>0</v>
      </c>
      <c r="AO121" s="31">
        <f>SUMIFS(METALFISA!$E:$E,METALFISA!$A:$A,'Faltantes Fevereiro- Metalfisa'!AO$3,METALFISA!$B:$B,'Faltantes Fevereiro- Metalfisa'!$A121)</f>
        <v>0</v>
      </c>
      <c r="AP121" s="31">
        <f>SUMIFS(METALFISA!$E:$E,METALFISA!$A:$A,'Faltantes Fevereiro- Metalfisa'!AP$3,METALFISA!$B:$B,'Faltantes Fevereiro- Metalfisa'!$A121)</f>
        <v>0</v>
      </c>
      <c r="AQ121" s="31"/>
      <c r="AR121" s="31">
        <f>SUMIFS(METALFISA!$E:$E,METALFISA!$A:$A,'Faltantes Fevereiro- Metalfisa'!AR$3,METALFISA!$B:$B,'Faltantes Fevereiro- Metalfisa'!$A121)</f>
        <v>0</v>
      </c>
      <c r="AS121" s="35">
        <f>SUMIFS(METALFISA!$E:$E,METALFISA!$A:$A,'Faltantes Fevereiro- Metalfisa'!AS$3,METALFISA!$B:$B,'Faltantes Fevereiro- Metalfisa'!$A121)</f>
        <v>0</v>
      </c>
      <c r="AU121" s="18">
        <v>0</v>
      </c>
      <c r="AV121" s="18">
        <v>0</v>
      </c>
      <c r="AW121" s="18">
        <v>0</v>
      </c>
      <c r="AX121" s="18">
        <v>0</v>
      </c>
      <c r="AY121" s="41">
        <v>1</v>
      </c>
      <c r="AZ121" s="31">
        <v>1</v>
      </c>
      <c r="BA121" s="31">
        <v>0</v>
      </c>
      <c r="BB121" s="31">
        <v>0</v>
      </c>
      <c r="BC121" s="31">
        <v>0</v>
      </c>
      <c r="BD121" s="31">
        <v>0</v>
      </c>
      <c r="BE121" s="31">
        <v>0</v>
      </c>
      <c r="BF121" s="31">
        <v>0</v>
      </c>
      <c r="BG121" s="31">
        <v>0</v>
      </c>
      <c r="BH121" s="31">
        <v>0</v>
      </c>
      <c r="BI121" s="31">
        <v>0</v>
      </c>
      <c r="BJ121" s="31">
        <v>0</v>
      </c>
      <c r="BK121" s="31">
        <v>0</v>
      </c>
      <c r="BL121" s="31">
        <v>0</v>
      </c>
      <c r="BM121" s="31">
        <v>0</v>
      </c>
      <c r="BN121" s="31">
        <v>0</v>
      </c>
      <c r="BO121" s="31">
        <v>0</v>
      </c>
      <c r="BP121" s="31">
        <v>0</v>
      </c>
      <c r="BQ121" s="31">
        <v>0</v>
      </c>
      <c r="BR121" s="31">
        <v>0</v>
      </c>
      <c r="BS121" s="31">
        <v>0</v>
      </c>
      <c r="BT121" s="31">
        <v>0</v>
      </c>
      <c r="BU121" s="31">
        <v>0</v>
      </c>
      <c r="BV121" s="31">
        <v>0</v>
      </c>
      <c r="BW121" s="31">
        <v>0</v>
      </c>
      <c r="BX121" s="31">
        <v>0</v>
      </c>
      <c r="BY121" s="31">
        <v>0</v>
      </c>
      <c r="BZ121" s="31">
        <v>0</v>
      </c>
      <c r="CA121" s="31">
        <v>0</v>
      </c>
      <c r="CB121" s="31">
        <v>0</v>
      </c>
      <c r="CC121" s="31">
        <v>0</v>
      </c>
      <c r="CD121" s="31">
        <v>0</v>
      </c>
      <c r="CE121" s="31">
        <v>0</v>
      </c>
      <c r="CF121" s="31">
        <v>0</v>
      </c>
      <c r="CG121" s="31">
        <v>0</v>
      </c>
      <c r="CH121" s="31">
        <v>0</v>
      </c>
      <c r="CI121" s="31">
        <v>0</v>
      </c>
      <c r="CJ121" s="31">
        <v>0</v>
      </c>
      <c r="CK121" s="31">
        <v>0</v>
      </c>
      <c r="CL121" s="35">
        <v>0</v>
      </c>
    </row>
    <row r="122" spans="1:90" x14ac:dyDescent="0.15">
      <c r="A122" s="27" t="s">
        <v>885</v>
      </c>
      <c r="B122" s="28" t="s">
        <v>886</v>
      </c>
      <c r="C122" s="28">
        <v>0</v>
      </c>
      <c r="D122" s="28">
        <v>0</v>
      </c>
      <c r="E122" s="28">
        <v>0</v>
      </c>
      <c r="F122" s="28">
        <v>0</v>
      </c>
      <c r="G122" s="28">
        <v>64</v>
      </c>
      <c r="H122" s="28">
        <f>IFERROR(VLOOKUP(A122,[1]FALTANTES!$A:$AB,28,FALSE),"-")</f>
        <v>0</v>
      </c>
      <c r="I122" s="42">
        <f>IFERROR(VLOOKUP(A122,[1]FALTANTES!$A:$AC,29,FALSE),"-")</f>
        <v>0</v>
      </c>
      <c r="J122" s="29">
        <f>IFERROR(VLOOKUP(A122,[1]FALTANTES!$A:$AD,30,FALSE),"-")</f>
        <v>-64</v>
      </c>
      <c r="K122" s="30">
        <v>0</v>
      </c>
      <c r="L122" s="30">
        <f t="shared" si="2"/>
        <v>132</v>
      </c>
      <c r="M122" s="31">
        <f>SUMIFS(METALFISA!$E:$E,METALFISA!$A:$A,'Faltantes Fevereiro- Metalfisa'!M$3,METALFISA!$B:$B,'Faltantes Fevereiro- Metalfisa'!$A122)</f>
        <v>0</v>
      </c>
      <c r="N122" s="31">
        <f>SUMIFS(METALFISA!$E:$E,METALFISA!$A:$A,'Faltantes Fevereiro- Metalfisa'!N$3,METALFISA!$B:$B,'Faltantes Fevereiro- Metalfisa'!$A122)</f>
        <v>0</v>
      </c>
      <c r="O122" s="31">
        <f>SUMIFS(METALFISA!$E:$E,METALFISA!$A:$A,'Faltantes Fevereiro- Metalfisa'!O$3,METALFISA!$B:$B,'Faltantes Fevereiro- Metalfisa'!$A122)</f>
        <v>0</v>
      </c>
      <c r="P122" s="31">
        <f>SUMIFS(METALFISA!$E:$E,METALFISA!$A:$A,'Faltantes Fevereiro- Metalfisa'!P$3,METALFISA!$B:$B,'Faltantes Fevereiro- Metalfisa'!$A122)</f>
        <v>0</v>
      </c>
      <c r="Q122" s="31">
        <f>SUMIFS(METALFISA!$E:$E,METALFISA!$A:$A,'Faltantes Fevereiro- Metalfisa'!Q$3,METALFISA!$B:$B,'Faltantes Fevereiro- Metalfisa'!$A122)</f>
        <v>0</v>
      </c>
      <c r="R122" s="31">
        <f>SUMIFS(METALFISA!$E:$E,METALFISA!$A:$A,'Faltantes Fevereiro- Metalfisa'!R$3,METALFISA!$B:$B,'Faltantes Fevereiro- Metalfisa'!$A122)</f>
        <v>0</v>
      </c>
      <c r="S122" s="31">
        <f>SUMIFS(METALFISA!$E:$E,METALFISA!$A:$A,'Faltantes Fevereiro- Metalfisa'!S$3,METALFISA!$B:$B,'Faltantes Fevereiro- Metalfisa'!$A122)</f>
        <v>0</v>
      </c>
      <c r="T122" s="31">
        <f>SUMIFS(METALFISA!$E:$E,METALFISA!$A:$A,'Faltantes Fevereiro- Metalfisa'!T$3,METALFISA!$B:$B,'Faltantes Fevereiro- Metalfisa'!$A122)</f>
        <v>0</v>
      </c>
      <c r="U122" s="31">
        <f>SUMIFS(METALFISA!$E:$E,METALFISA!$A:$A,'Faltantes Fevereiro- Metalfisa'!U$3,METALFISA!$B:$B,'Faltantes Fevereiro- Metalfisa'!$A122)</f>
        <v>0</v>
      </c>
      <c r="V122" s="31">
        <f>SUMIFS(METALFISA!$E:$E,METALFISA!$A:$A,'Faltantes Fevereiro- Metalfisa'!V$3,METALFISA!$B:$B,'Faltantes Fevereiro- Metalfisa'!$A122)</f>
        <v>0</v>
      </c>
      <c r="W122" s="31">
        <f>SUMIFS(METALFISA!$E:$E,METALFISA!$A:$A,'Faltantes Fevereiro- Metalfisa'!W$3,METALFISA!$B:$B,'Faltantes Fevereiro- Metalfisa'!$A122)</f>
        <v>0</v>
      </c>
      <c r="X122" s="31">
        <f>SUMIFS(METALFISA!$E:$E,METALFISA!$A:$A,'Faltantes Fevereiro- Metalfisa'!X$3,METALFISA!$B:$B,'Faltantes Fevereiro- Metalfisa'!$A122)</f>
        <v>0</v>
      </c>
      <c r="Y122" s="31">
        <f>SUMIFS(METALFISA!$E:$E,METALFISA!$A:$A,'Faltantes Fevereiro- Metalfisa'!Y$3,METALFISA!$B:$B,'Faltantes Fevereiro- Metalfisa'!$A122)</f>
        <v>0</v>
      </c>
      <c r="Z122" s="31">
        <f>SUMIFS(METALFISA!$E:$E,METALFISA!$A:$A,'Faltantes Fevereiro- Metalfisa'!Z$3,METALFISA!$B:$B,'Faltantes Fevereiro- Metalfisa'!$A122)</f>
        <v>0</v>
      </c>
      <c r="AA122" s="31">
        <f>SUMIFS(METALFISA!$E:$E,METALFISA!$A:$A,'Faltantes Fevereiro- Metalfisa'!AA$3,METALFISA!$B:$B,'Faltantes Fevereiro- Metalfisa'!$A122)</f>
        <v>0</v>
      </c>
      <c r="AB122" s="31">
        <f>SUMIFS(METALFISA!$E:$E,METALFISA!$A:$A,'Faltantes Fevereiro- Metalfisa'!AB$3,METALFISA!$B:$B,'Faltantes Fevereiro- Metalfisa'!$A122)</f>
        <v>0</v>
      </c>
      <c r="AC122" s="31">
        <f>SUMIFS(METALFISA!$E:$E,METALFISA!$A:$A,'Faltantes Fevereiro- Metalfisa'!AC$3,METALFISA!$B:$B,'Faltantes Fevereiro- Metalfisa'!$A122)</f>
        <v>0</v>
      </c>
      <c r="AD122" s="31">
        <f>SUMIFS(METALFISA!$E:$E,METALFISA!$A:$A,'Faltantes Fevereiro- Metalfisa'!AD$3,METALFISA!$B:$B,'Faltantes Fevereiro- Metalfisa'!$A122)</f>
        <v>0</v>
      </c>
      <c r="AE122" s="31">
        <f>SUMIFS(METALFISA!$E:$E,METALFISA!$A:$A,'Faltantes Fevereiro- Metalfisa'!AE$3,METALFISA!$B:$B,'Faltantes Fevereiro- Metalfisa'!$A122)</f>
        <v>0</v>
      </c>
      <c r="AF122" s="31">
        <f>SUMIFS(METALFISA!$E:$E,METALFISA!$A:$A,'Faltantes Fevereiro- Metalfisa'!AF$3,METALFISA!$B:$B,'Faltantes Fevereiro- Metalfisa'!$A122)</f>
        <v>0</v>
      </c>
      <c r="AG122" s="31">
        <f>SUMIFS(METALFISA!$E:$E,METALFISA!$A:$A,'Faltantes Fevereiro- Metalfisa'!AG$3,METALFISA!$B:$B,'Faltantes Fevereiro- Metalfisa'!$A122)</f>
        <v>0</v>
      </c>
      <c r="AH122" s="31">
        <f>SUMIFS(METALFISA!$E:$E,METALFISA!$A:$A,'Faltantes Fevereiro- Metalfisa'!AH$3,METALFISA!$B:$B,'Faltantes Fevereiro- Metalfisa'!$A122)</f>
        <v>132</v>
      </c>
      <c r="AI122" s="31">
        <f>SUMIFS(METALFISA!$E:$E,METALFISA!$A:$A,'Faltantes Fevereiro- Metalfisa'!AI$3,METALFISA!$B:$B,'Faltantes Fevereiro- Metalfisa'!$A122)</f>
        <v>0</v>
      </c>
      <c r="AJ122" s="31">
        <f>SUMIFS(METALFISA!$E:$E,METALFISA!$A:$A,'Faltantes Fevereiro- Metalfisa'!AJ$3,METALFISA!$B:$B,'Faltantes Fevereiro- Metalfisa'!$A122)</f>
        <v>0</v>
      </c>
      <c r="AK122" s="31">
        <f>SUMIFS(METALFISA!$E:$E,METALFISA!$A:$A,'Faltantes Fevereiro- Metalfisa'!AK$3,METALFISA!$B:$B,'Faltantes Fevereiro- Metalfisa'!$A122)</f>
        <v>0</v>
      </c>
      <c r="AL122" s="31">
        <f>SUMIFS(METALFISA!$E:$E,METALFISA!$A:$A,'Faltantes Fevereiro- Metalfisa'!AL$3,METALFISA!$B:$B,'Faltantes Fevereiro- Metalfisa'!$A122)</f>
        <v>0</v>
      </c>
      <c r="AM122" s="31">
        <f>SUMIFS(METALFISA!$E:$E,METALFISA!$A:$A,'Faltantes Fevereiro- Metalfisa'!AM$3,METALFISA!$B:$B,'Faltantes Fevereiro- Metalfisa'!$A122)</f>
        <v>0</v>
      </c>
      <c r="AN122" s="31">
        <f>SUMIFS(METALFISA!$E:$E,METALFISA!$A:$A,'Faltantes Fevereiro- Metalfisa'!AN$3,METALFISA!$B:$B,'Faltantes Fevereiro- Metalfisa'!$A122)</f>
        <v>0</v>
      </c>
      <c r="AO122" s="31">
        <f>SUMIFS(METALFISA!$E:$E,METALFISA!$A:$A,'Faltantes Fevereiro- Metalfisa'!AO$3,METALFISA!$B:$B,'Faltantes Fevereiro- Metalfisa'!$A122)</f>
        <v>0</v>
      </c>
      <c r="AP122" s="31">
        <f>SUMIFS(METALFISA!$E:$E,METALFISA!$A:$A,'Faltantes Fevereiro- Metalfisa'!AP$3,METALFISA!$B:$B,'Faltantes Fevereiro- Metalfisa'!$A122)</f>
        <v>0</v>
      </c>
      <c r="AQ122" s="31"/>
      <c r="AR122" s="31">
        <f>SUMIFS(METALFISA!$E:$E,METALFISA!$A:$A,'Faltantes Fevereiro- Metalfisa'!AR$3,METALFISA!$B:$B,'Faltantes Fevereiro- Metalfisa'!$A122)</f>
        <v>0</v>
      </c>
      <c r="AS122" s="35">
        <f>SUMIFS(METALFISA!$E:$E,METALFISA!$A:$A,'Faltantes Fevereiro- Metalfisa'!AS$3,METALFISA!$B:$B,'Faltantes Fevereiro- Metalfisa'!$A122)</f>
        <v>0</v>
      </c>
      <c r="AU122" s="18">
        <v>0</v>
      </c>
      <c r="AV122" s="18">
        <v>0</v>
      </c>
      <c r="AW122" s="18">
        <v>0</v>
      </c>
      <c r="AX122" s="18">
        <v>0</v>
      </c>
      <c r="AY122" s="41">
        <v>4</v>
      </c>
      <c r="AZ122" s="31">
        <v>4</v>
      </c>
      <c r="BA122" s="31">
        <v>0</v>
      </c>
      <c r="BB122" s="31">
        <v>0</v>
      </c>
      <c r="BC122" s="31">
        <v>0</v>
      </c>
      <c r="BD122" s="31">
        <v>0</v>
      </c>
      <c r="BE122" s="31">
        <v>0</v>
      </c>
      <c r="BF122" s="31">
        <v>0</v>
      </c>
      <c r="BG122" s="31">
        <v>0</v>
      </c>
      <c r="BH122" s="31">
        <v>0</v>
      </c>
      <c r="BI122" s="31">
        <v>0</v>
      </c>
      <c r="BJ122" s="31">
        <v>0</v>
      </c>
      <c r="BK122" s="31">
        <v>0</v>
      </c>
      <c r="BL122" s="31">
        <v>0</v>
      </c>
      <c r="BM122" s="31">
        <v>0</v>
      </c>
      <c r="BN122" s="31">
        <v>0</v>
      </c>
      <c r="BO122" s="31">
        <v>0</v>
      </c>
      <c r="BP122" s="31">
        <v>0</v>
      </c>
      <c r="BQ122" s="31">
        <v>0</v>
      </c>
      <c r="BR122" s="31">
        <v>0</v>
      </c>
      <c r="BS122" s="31">
        <v>0</v>
      </c>
      <c r="BT122" s="31">
        <v>0</v>
      </c>
      <c r="BU122" s="31">
        <v>0</v>
      </c>
      <c r="BV122" s="31">
        <v>0</v>
      </c>
      <c r="BW122" s="31">
        <v>0</v>
      </c>
      <c r="BX122" s="31">
        <v>0</v>
      </c>
      <c r="BY122" s="31">
        <v>0</v>
      </c>
      <c r="BZ122" s="31">
        <v>0</v>
      </c>
      <c r="CA122" s="31">
        <v>0</v>
      </c>
      <c r="CB122" s="31">
        <v>0</v>
      </c>
      <c r="CC122" s="31">
        <v>0</v>
      </c>
      <c r="CD122" s="31">
        <v>0</v>
      </c>
      <c r="CE122" s="31">
        <v>0</v>
      </c>
      <c r="CF122" s="31">
        <v>0</v>
      </c>
      <c r="CG122" s="31">
        <v>0</v>
      </c>
      <c r="CH122" s="31">
        <v>0</v>
      </c>
      <c r="CI122" s="31">
        <v>0</v>
      </c>
      <c r="CJ122" s="31">
        <v>0</v>
      </c>
      <c r="CK122" s="31">
        <v>0</v>
      </c>
      <c r="CL122" s="35">
        <v>0</v>
      </c>
    </row>
    <row r="123" spans="1:90" ht="21" x14ac:dyDescent="0.15">
      <c r="A123" s="27" t="s">
        <v>774</v>
      </c>
      <c r="B123" s="28" t="s">
        <v>775</v>
      </c>
      <c r="C123" s="28">
        <v>8</v>
      </c>
      <c r="D123" s="28">
        <v>0</v>
      </c>
      <c r="E123" s="28">
        <v>0</v>
      </c>
      <c r="F123" s="28">
        <v>0</v>
      </c>
      <c r="G123" s="28">
        <v>58</v>
      </c>
      <c r="H123" s="28">
        <f>IFERROR(VLOOKUP(A123,[1]FALTANTES!$A:$AB,28,FALSE),"-")</f>
        <v>8</v>
      </c>
      <c r="I123" s="42">
        <f>IFERROR(VLOOKUP(A123,[1]FALTANTES!$A:$AC,29,FALSE),"-")</f>
        <v>0</v>
      </c>
      <c r="J123" s="29">
        <f>IFERROR(VLOOKUP(A123,[1]FALTANTES!$A:$AD,30,FALSE),"-")</f>
        <v>-66</v>
      </c>
      <c r="K123" s="30">
        <v>0</v>
      </c>
      <c r="L123" s="30">
        <f t="shared" si="2"/>
        <v>66</v>
      </c>
      <c r="M123" s="31">
        <f>SUMIFS(METALFISA!$E:$E,METALFISA!$A:$A,'Faltantes Fevereiro- Metalfisa'!M$3,METALFISA!$B:$B,'Faltantes Fevereiro- Metalfisa'!$A123)</f>
        <v>0</v>
      </c>
      <c r="N123" s="31">
        <f>SUMIFS(METALFISA!$E:$E,METALFISA!$A:$A,'Faltantes Fevereiro- Metalfisa'!N$3,METALFISA!$B:$B,'Faltantes Fevereiro- Metalfisa'!$A123)</f>
        <v>0</v>
      </c>
      <c r="O123" s="31">
        <f>SUMIFS(METALFISA!$E:$E,METALFISA!$A:$A,'Faltantes Fevereiro- Metalfisa'!O$3,METALFISA!$B:$B,'Faltantes Fevereiro- Metalfisa'!$A123)</f>
        <v>0</v>
      </c>
      <c r="P123" s="31">
        <f>SUMIFS(METALFISA!$E:$E,METALFISA!$A:$A,'Faltantes Fevereiro- Metalfisa'!P$3,METALFISA!$B:$B,'Faltantes Fevereiro- Metalfisa'!$A123)</f>
        <v>0</v>
      </c>
      <c r="Q123" s="31">
        <f>SUMIFS(METALFISA!$E:$E,METALFISA!$A:$A,'Faltantes Fevereiro- Metalfisa'!Q$3,METALFISA!$B:$B,'Faltantes Fevereiro- Metalfisa'!$A123)</f>
        <v>0</v>
      </c>
      <c r="R123" s="31">
        <f>SUMIFS(METALFISA!$E:$E,METALFISA!$A:$A,'Faltantes Fevereiro- Metalfisa'!R$3,METALFISA!$B:$B,'Faltantes Fevereiro- Metalfisa'!$A123)</f>
        <v>0</v>
      </c>
      <c r="S123" s="31">
        <f>SUMIFS(METALFISA!$E:$E,METALFISA!$A:$A,'Faltantes Fevereiro- Metalfisa'!S$3,METALFISA!$B:$B,'Faltantes Fevereiro- Metalfisa'!$A123)</f>
        <v>0</v>
      </c>
      <c r="T123" s="31">
        <f>SUMIFS(METALFISA!$E:$E,METALFISA!$A:$A,'Faltantes Fevereiro- Metalfisa'!T$3,METALFISA!$B:$B,'Faltantes Fevereiro- Metalfisa'!$A123)</f>
        <v>0</v>
      </c>
      <c r="U123" s="31">
        <f>SUMIFS(METALFISA!$E:$E,METALFISA!$A:$A,'Faltantes Fevereiro- Metalfisa'!U$3,METALFISA!$B:$B,'Faltantes Fevereiro- Metalfisa'!$A123)</f>
        <v>0</v>
      </c>
      <c r="V123" s="31">
        <f>SUMIFS(METALFISA!$E:$E,METALFISA!$A:$A,'Faltantes Fevereiro- Metalfisa'!V$3,METALFISA!$B:$B,'Faltantes Fevereiro- Metalfisa'!$A123)</f>
        <v>0</v>
      </c>
      <c r="W123" s="31">
        <f>SUMIFS(METALFISA!$E:$E,METALFISA!$A:$A,'Faltantes Fevereiro- Metalfisa'!W$3,METALFISA!$B:$B,'Faltantes Fevereiro- Metalfisa'!$A123)</f>
        <v>0</v>
      </c>
      <c r="X123" s="31">
        <f>SUMIFS(METALFISA!$E:$E,METALFISA!$A:$A,'Faltantes Fevereiro- Metalfisa'!X$3,METALFISA!$B:$B,'Faltantes Fevereiro- Metalfisa'!$A123)</f>
        <v>0</v>
      </c>
      <c r="Y123" s="31">
        <f>SUMIFS(METALFISA!$E:$E,METALFISA!$A:$A,'Faltantes Fevereiro- Metalfisa'!Y$3,METALFISA!$B:$B,'Faltantes Fevereiro- Metalfisa'!$A123)</f>
        <v>0</v>
      </c>
      <c r="Z123" s="31">
        <f>SUMIFS(METALFISA!$E:$E,METALFISA!$A:$A,'Faltantes Fevereiro- Metalfisa'!Z$3,METALFISA!$B:$B,'Faltantes Fevereiro- Metalfisa'!$A123)</f>
        <v>0</v>
      </c>
      <c r="AA123" s="31">
        <f>SUMIFS(METALFISA!$E:$E,METALFISA!$A:$A,'Faltantes Fevereiro- Metalfisa'!AA$3,METALFISA!$B:$B,'Faltantes Fevereiro- Metalfisa'!$A123)</f>
        <v>0</v>
      </c>
      <c r="AB123" s="31">
        <f>SUMIFS(METALFISA!$E:$E,METALFISA!$A:$A,'Faltantes Fevereiro- Metalfisa'!AB$3,METALFISA!$B:$B,'Faltantes Fevereiro- Metalfisa'!$A123)</f>
        <v>0</v>
      </c>
      <c r="AC123" s="31">
        <f>SUMIFS(METALFISA!$E:$E,METALFISA!$A:$A,'Faltantes Fevereiro- Metalfisa'!AC$3,METALFISA!$B:$B,'Faltantes Fevereiro- Metalfisa'!$A123)</f>
        <v>0</v>
      </c>
      <c r="AD123" s="31">
        <f>SUMIFS(METALFISA!$E:$E,METALFISA!$A:$A,'Faltantes Fevereiro- Metalfisa'!AD$3,METALFISA!$B:$B,'Faltantes Fevereiro- Metalfisa'!$A123)</f>
        <v>0</v>
      </c>
      <c r="AE123" s="31">
        <f>SUMIFS(METALFISA!$E:$E,METALFISA!$A:$A,'Faltantes Fevereiro- Metalfisa'!AE$3,METALFISA!$B:$B,'Faltantes Fevereiro- Metalfisa'!$A123)</f>
        <v>0</v>
      </c>
      <c r="AF123" s="31">
        <f>SUMIFS(METALFISA!$E:$E,METALFISA!$A:$A,'Faltantes Fevereiro- Metalfisa'!AF$3,METALFISA!$B:$B,'Faltantes Fevereiro- Metalfisa'!$A123)</f>
        <v>0</v>
      </c>
      <c r="AG123" s="31">
        <f>SUMIFS(METALFISA!$E:$E,METALFISA!$A:$A,'Faltantes Fevereiro- Metalfisa'!AG$3,METALFISA!$B:$B,'Faltantes Fevereiro- Metalfisa'!$A123)</f>
        <v>0</v>
      </c>
      <c r="AH123" s="31">
        <f>SUMIFS(METALFISA!$E:$E,METALFISA!$A:$A,'Faltantes Fevereiro- Metalfisa'!AH$3,METALFISA!$B:$B,'Faltantes Fevereiro- Metalfisa'!$A123)</f>
        <v>66</v>
      </c>
      <c r="AI123" s="31">
        <f>SUMIFS(METALFISA!$E:$E,METALFISA!$A:$A,'Faltantes Fevereiro- Metalfisa'!AI$3,METALFISA!$B:$B,'Faltantes Fevereiro- Metalfisa'!$A123)</f>
        <v>0</v>
      </c>
      <c r="AJ123" s="31">
        <f>SUMIFS(METALFISA!$E:$E,METALFISA!$A:$A,'Faltantes Fevereiro- Metalfisa'!AJ$3,METALFISA!$B:$B,'Faltantes Fevereiro- Metalfisa'!$A123)</f>
        <v>0</v>
      </c>
      <c r="AK123" s="31">
        <f>SUMIFS(METALFISA!$E:$E,METALFISA!$A:$A,'Faltantes Fevereiro- Metalfisa'!AK$3,METALFISA!$B:$B,'Faltantes Fevereiro- Metalfisa'!$A123)</f>
        <v>0</v>
      </c>
      <c r="AL123" s="31">
        <f>SUMIFS(METALFISA!$E:$E,METALFISA!$A:$A,'Faltantes Fevereiro- Metalfisa'!AL$3,METALFISA!$B:$B,'Faltantes Fevereiro- Metalfisa'!$A123)</f>
        <v>0</v>
      </c>
      <c r="AM123" s="31">
        <f>SUMIFS(METALFISA!$E:$E,METALFISA!$A:$A,'Faltantes Fevereiro- Metalfisa'!AM$3,METALFISA!$B:$B,'Faltantes Fevereiro- Metalfisa'!$A123)</f>
        <v>0</v>
      </c>
      <c r="AN123" s="31">
        <f>SUMIFS(METALFISA!$E:$E,METALFISA!$A:$A,'Faltantes Fevereiro- Metalfisa'!AN$3,METALFISA!$B:$B,'Faltantes Fevereiro- Metalfisa'!$A123)</f>
        <v>0</v>
      </c>
      <c r="AO123" s="31">
        <f>SUMIFS(METALFISA!$E:$E,METALFISA!$A:$A,'Faltantes Fevereiro- Metalfisa'!AO$3,METALFISA!$B:$B,'Faltantes Fevereiro- Metalfisa'!$A123)</f>
        <v>0</v>
      </c>
      <c r="AP123" s="31">
        <f>SUMIFS(METALFISA!$E:$E,METALFISA!$A:$A,'Faltantes Fevereiro- Metalfisa'!AP$3,METALFISA!$B:$B,'Faltantes Fevereiro- Metalfisa'!$A123)</f>
        <v>0</v>
      </c>
      <c r="AQ123" s="31"/>
      <c r="AR123" s="31">
        <f>SUMIFS(METALFISA!$E:$E,METALFISA!$A:$A,'Faltantes Fevereiro- Metalfisa'!AR$3,METALFISA!$B:$B,'Faltantes Fevereiro- Metalfisa'!$A123)</f>
        <v>0</v>
      </c>
      <c r="AS123" s="35">
        <f>SUMIFS(METALFISA!$E:$E,METALFISA!$A:$A,'Faltantes Fevereiro- Metalfisa'!AS$3,METALFISA!$B:$B,'Faltantes Fevereiro- Metalfisa'!$A123)</f>
        <v>0</v>
      </c>
      <c r="AU123" s="18">
        <v>0</v>
      </c>
      <c r="AV123" s="18">
        <v>0</v>
      </c>
      <c r="AW123" s="18">
        <v>0</v>
      </c>
      <c r="AX123" s="18">
        <v>0</v>
      </c>
      <c r="AY123" s="41">
        <v>2</v>
      </c>
      <c r="AZ123" s="31">
        <v>2</v>
      </c>
      <c r="BA123" s="31">
        <v>0</v>
      </c>
      <c r="BB123" s="31">
        <v>0</v>
      </c>
      <c r="BC123" s="31">
        <v>0</v>
      </c>
      <c r="BD123" s="31">
        <v>0</v>
      </c>
      <c r="BE123" s="31">
        <v>0</v>
      </c>
      <c r="BF123" s="31">
        <v>0</v>
      </c>
      <c r="BG123" s="31">
        <v>0</v>
      </c>
      <c r="BH123" s="31">
        <v>0</v>
      </c>
      <c r="BI123" s="31">
        <v>0</v>
      </c>
      <c r="BJ123" s="31">
        <v>0</v>
      </c>
      <c r="BK123" s="31">
        <v>0</v>
      </c>
      <c r="BL123" s="31">
        <v>0</v>
      </c>
      <c r="BM123" s="31">
        <v>0</v>
      </c>
      <c r="BN123" s="31">
        <v>0</v>
      </c>
      <c r="BO123" s="31">
        <v>0</v>
      </c>
      <c r="BP123" s="31">
        <v>0</v>
      </c>
      <c r="BQ123" s="31">
        <v>0</v>
      </c>
      <c r="BR123" s="31">
        <v>0</v>
      </c>
      <c r="BS123" s="31">
        <v>0</v>
      </c>
      <c r="BT123" s="31">
        <v>0</v>
      </c>
      <c r="BU123" s="31">
        <v>0</v>
      </c>
      <c r="BV123" s="31">
        <v>0</v>
      </c>
      <c r="BW123" s="31">
        <v>0</v>
      </c>
      <c r="BX123" s="31">
        <v>0</v>
      </c>
      <c r="BY123" s="31">
        <v>0</v>
      </c>
      <c r="BZ123" s="31">
        <v>0</v>
      </c>
      <c r="CA123" s="31">
        <v>0</v>
      </c>
      <c r="CB123" s="31">
        <v>0</v>
      </c>
      <c r="CC123" s="31">
        <v>0</v>
      </c>
      <c r="CD123" s="31">
        <v>0</v>
      </c>
      <c r="CE123" s="31">
        <v>0</v>
      </c>
      <c r="CF123" s="31">
        <v>0</v>
      </c>
      <c r="CG123" s="31">
        <v>0</v>
      </c>
      <c r="CH123" s="31">
        <v>0</v>
      </c>
      <c r="CI123" s="31">
        <v>0</v>
      </c>
      <c r="CJ123" s="31">
        <v>0</v>
      </c>
      <c r="CK123" s="31">
        <v>0</v>
      </c>
      <c r="CL123" s="35">
        <v>0</v>
      </c>
    </row>
    <row r="124" spans="1:90" ht="21" x14ac:dyDescent="0.15">
      <c r="A124" s="27" t="s">
        <v>1833</v>
      </c>
      <c r="B124" s="28" t="s">
        <v>1834</v>
      </c>
      <c r="C124" s="28">
        <v>0</v>
      </c>
      <c r="D124" s="28">
        <v>0</v>
      </c>
      <c r="E124" s="28">
        <v>0</v>
      </c>
      <c r="F124" s="28">
        <v>0</v>
      </c>
      <c r="G124" s="28">
        <v>52</v>
      </c>
      <c r="H124" s="28">
        <f>IFERROR(VLOOKUP(A124,[1]FALTANTES!$A:$AB,28,FALSE),"-")</f>
        <v>0</v>
      </c>
      <c r="I124" s="42">
        <f>IFERROR(VLOOKUP(A124,[1]FALTANTES!$A:$AC,29,FALSE),"-")</f>
        <v>0</v>
      </c>
      <c r="J124" s="29">
        <f>IFERROR(VLOOKUP(A124,[1]FALTANTES!$A:$AD,30,FALSE),"-")</f>
        <v>-52</v>
      </c>
      <c r="K124" s="30">
        <v>0</v>
      </c>
      <c r="L124" s="30">
        <f t="shared" si="2"/>
        <v>70</v>
      </c>
      <c r="M124" s="31">
        <f>SUMIFS(METALFISA!$E:$E,METALFISA!$A:$A,'Faltantes Fevereiro- Metalfisa'!M$3,METALFISA!$B:$B,'Faltantes Fevereiro- Metalfisa'!$A124)</f>
        <v>0</v>
      </c>
      <c r="N124" s="31">
        <f>SUMIFS(METALFISA!$E:$E,METALFISA!$A:$A,'Faltantes Fevereiro- Metalfisa'!N$3,METALFISA!$B:$B,'Faltantes Fevereiro- Metalfisa'!$A124)</f>
        <v>0</v>
      </c>
      <c r="O124" s="31">
        <f>SUMIFS(METALFISA!$E:$E,METALFISA!$A:$A,'Faltantes Fevereiro- Metalfisa'!O$3,METALFISA!$B:$B,'Faltantes Fevereiro- Metalfisa'!$A124)</f>
        <v>0</v>
      </c>
      <c r="P124" s="31">
        <f>SUMIFS(METALFISA!$E:$E,METALFISA!$A:$A,'Faltantes Fevereiro- Metalfisa'!P$3,METALFISA!$B:$B,'Faltantes Fevereiro- Metalfisa'!$A124)</f>
        <v>0</v>
      </c>
      <c r="Q124" s="31">
        <f>SUMIFS(METALFISA!$E:$E,METALFISA!$A:$A,'Faltantes Fevereiro- Metalfisa'!Q$3,METALFISA!$B:$B,'Faltantes Fevereiro- Metalfisa'!$A124)</f>
        <v>0</v>
      </c>
      <c r="R124" s="31">
        <f>SUMIFS(METALFISA!$E:$E,METALFISA!$A:$A,'Faltantes Fevereiro- Metalfisa'!R$3,METALFISA!$B:$B,'Faltantes Fevereiro- Metalfisa'!$A124)</f>
        <v>0</v>
      </c>
      <c r="S124" s="31">
        <f>SUMIFS(METALFISA!$E:$E,METALFISA!$A:$A,'Faltantes Fevereiro- Metalfisa'!S$3,METALFISA!$B:$B,'Faltantes Fevereiro- Metalfisa'!$A124)</f>
        <v>0</v>
      </c>
      <c r="T124" s="31">
        <f>SUMIFS(METALFISA!$E:$E,METALFISA!$A:$A,'Faltantes Fevereiro- Metalfisa'!T$3,METALFISA!$B:$B,'Faltantes Fevereiro- Metalfisa'!$A124)</f>
        <v>0</v>
      </c>
      <c r="U124" s="31">
        <f>SUMIFS(METALFISA!$E:$E,METALFISA!$A:$A,'Faltantes Fevereiro- Metalfisa'!U$3,METALFISA!$B:$B,'Faltantes Fevereiro- Metalfisa'!$A124)</f>
        <v>0</v>
      </c>
      <c r="V124" s="31">
        <f>SUMIFS(METALFISA!$E:$E,METALFISA!$A:$A,'Faltantes Fevereiro- Metalfisa'!V$3,METALFISA!$B:$B,'Faltantes Fevereiro- Metalfisa'!$A124)</f>
        <v>0</v>
      </c>
      <c r="W124" s="31">
        <f>SUMIFS(METALFISA!$E:$E,METALFISA!$A:$A,'Faltantes Fevereiro- Metalfisa'!W$3,METALFISA!$B:$B,'Faltantes Fevereiro- Metalfisa'!$A124)</f>
        <v>0</v>
      </c>
      <c r="X124" s="31">
        <f>SUMIFS(METALFISA!$E:$E,METALFISA!$A:$A,'Faltantes Fevereiro- Metalfisa'!X$3,METALFISA!$B:$B,'Faltantes Fevereiro- Metalfisa'!$A124)</f>
        <v>0</v>
      </c>
      <c r="Y124" s="31">
        <f>SUMIFS(METALFISA!$E:$E,METALFISA!$A:$A,'Faltantes Fevereiro- Metalfisa'!Y$3,METALFISA!$B:$B,'Faltantes Fevereiro- Metalfisa'!$A124)</f>
        <v>0</v>
      </c>
      <c r="Z124" s="31">
        <f>SUMIFS(METALFISA!$E:$E,METALFISA!$A:$A,'Faltantes Fevereiro- Metalfisa'!Z$3,METALFISA!$B:$B,'Faltantes Fevereiro- Metalfisa'!$A124)</f>
        <v>0</v>
      </c>
      <c r="AA124" s="31">
        <f>SUMIFS(METALFISA!$E:$E,METALFISA!$A:$A,'Faltantes Fevereiro- Metalfisa'!AA$3,METALFISA!$B:$B,'Faltantes Fevereiro- Metalfisa'!$A124)</f>
        <v>0</v>
      </c>
      <c r="AB124" s="31">
        <f>SUMIFS(METALFISA!$E:$E,METALFISA!$A:$A,'Faltantes Fevereiro- Metalfisa'!AB$3,METALFISA!$B:$B,'Faltantes Fevereiro- Metalfisa'!$A124)</f>
        <v>0</v>
      </c>
      <c r="AC124" s="31">
        <f>SUMIFS(METALFISA!$E:$E,METALFISA!$A:$A,'Faltantes Fevereiro- Metalfisa'!AC$3,METALFISA!$B:$B,'Faltantes Fevereiro- Metalfisa'!$A124)</f>
        <v>0</v>
      </c>
      <c r="AD124" s="31">
        <f>SUMIFS(METALFISA!$E:$E,METALFISA!$A:$A,'Faltantes Fevereiro- Metalfisa'!AD$3,METALFISA!$B:$B,'Faltantes Fevereiro- Metalfisa'!$A124)</f>
        <v>0</v>
      </c>
      <c r="AE124" s="31">
        <f>SUMIFS(METALFISA!$E:$E,METALFISA!$A:$A,'Faltantes Fevereiro- Metalfisa'!AE$3,METALFISA!$B:$B,'Faltantes Fevereiro- Metalfisa'!$A124)</f>
        <v>0</v>
      </c>
      <c r="AF124" s="31">
        <f>SUMIFS(METALFISA!$E:$E,METALFISA!$A:$A,'Faltantes Fevereiro- Metalfisa'!AF$3,METALFISA!$B:$B,'Faltantes Fevereiro- Metalfisa'!$A124)</f>
        <v>0</v>
      </c>
      <c r="AG124" s="31">
        <f>SUMIFS(METALFISA!$E:$E,METALFISA!$A:$A,'Faltantes Fevereiro- Metalfisa'!AG$3,METALFISA!$B:$B,'Faltantes Fevereiro- Metalfisa'!$A124)</f>
        <v>0</v>
      </c>
      <c r="AH124" s="31">
        <f>SUMIFS(METALFISA!$E:$E,METALFISA!$A:$A,'Faltantes Fevereiro- Metalfisa'!AH$3,METALFISA!$B:$B,'Faltantes Fevereiro- Metalfisa'!$A124)</f>
        <v>70</v>
      </c>
      <c r="AI124" s="31">
        <f>SUMIFS(METALFISA!$E:$E,METALFISA!$A:$A,'Faltantes Fevereiro- Metalfisa'!AI$3,METALFISA!$B:$B,'Faltantes Fevereiro- Metalfisa'!$A124)</f>
        <v>0</v>
      </c>
      <c r="AJ124" s="31">
        <f>SUMIFS(METALFISA!$E:$E,METALFISA!$A:$A,'Faltantes Fevereiro- Metalfisa'!AJ$3,METALFISA!$B:$B,'Faltantes Fevereiro- Metalfisa'!$A124)</f>
        <v>0</v>
      </c>
      <c r="AK124" s="31">
        <f>SUMIFS(METALFISA!$E:$E,METALFISA!$A:$A,'Faltantes Fevereiro- Metalfisa'!AK$3,METALFISA!$B:$B,'Faltantes Fevereiro- Metalfisa'!$A124)</f>
        <v>0</v>
      </c>
      <c r="AL124" s="31">
        <f>SUMIFS(METALFISA!$E:$E,METALFISA!$A:$A,'Faltantes Fevereiro- Metalfisa'!AL$3,METALFISA!$B:$B,'Faltantes Fevereiro- Metalfisa'!$A124)</f>
        <v>0</v>
      </c>
      <c r="AM124" s="31">
        <f>SUMIFS(METALFISA!$E:$E,METALFISA!$A:$A,'Faltantes Fevereiro- Metalfisa'!AM$3,METALFISA!$B:$B,'Faltantes Fevereiro- Metalfisa'!$A124)</f>
        <v>0</v>
      </c>
      <c r="AN124" s="31">
        <f>SUMIFS(METALFISA!$E:$E,METALFISA!$A:$A,'Faltantes Fevereiro- Metalfisa'!AN$3,METALFISA!$B:$B,'Faltantes Fevereiro- Metalfisa'!$A124)</f>
        <v>0</v>
      </c>
      <c r="AO124" s="31">
        <f>SUMIFS(METALFISA!$E:$E,METALFISA!$A:$A,'Faltantes Fevereiro- Metalfisa'!AO$3,METALFISA!$B:$B,'Faltantes Fevereiro- Metalfisa'!$A124)</f>
        <v>0</v>
      </c>
      <c r="AP124" s="31">
        <f>SUMIFS(METALFISA!$E:$E,METALFISA!$A:$A,'Faltantes Fevereiro- Metalfisa'!AP$3,METALFISA!$B:$B,'Faltantes Fevereiro- Metalfisa'!$A124)</f>
        <v>0</v>
      </c>
      <c r="AQ124" s="31"/>
      <c r="AR124" s="31">
        <f>SUMIFS(METALFISA!$E:$E,METALFISA!$A:$A,'Faltantes Fevereiro- Metalfisa'!AR$3,METALFISA!$B:$B,'Faltantes Fevereiro- Metalfisa'!$A124)</f>
        <v>0</v>
      </c>
      <c r="AS124" s="35">
        <f>SUMIFS(METALFISA!$E:$E,METALFISA!$A:$A,'Faltantes Fevereiro- Metalfisa'!AS$3,METALFISA!$B:$B,'Faltantes Fevereiro- Metalfisa'!$A124)</f>
        <v>0</v>
      </c>
      <c r="AU124" s="18">
        <v>0</v>
      </c>
      <c r="AV124" s="18">
        <v>0</v>
      </c>
      <c r="AW124" s="18">
        <v>0</v>
      </c>
      <c r="AX124" s="18">
        <v>0</v>
      </c>
      <c r="AY124" s="41">
        <v>2</v>
      </c>
      <c r="AZ124" s="31">
        <v>4</v>
      </c>
      <c r="BA124" s="31">
        <v>0</v>
      </c>
      <c r="BB124" s="31">
        <v>0</v>
      </c>
      <c r="BC124" s="31">
        <v>0</v>
      </c>
      <c r="BD124" s="31">
        <v>0</v>
      </c>
      <c r="BE124" s="31">
        <v>0</v>
      </c>
      <c r="BF124" s="31">
        <v>0</v>
      </c>
      <c r="BG124" s="31">
        <v>0</v>
      </c>
      <c r="BH124" s="31">
        <v>0</v>
      </c>
      <c r="BI124" s="31">
        <v>0</v>
      </c>
      <c r="BJ124" s="31">
        <v>0</v>
      </c>
      <c r="BK124" s="31">
        <v>0</v>
      </c>
      <c r="BL124" s="31">
        <v>0</v>
      </c>
      <c r="BM124" s="31">
        <v>0</v>
      </c>
      <c r="BN124" s="31">
        <v>0</v>
      </c>
      <c r="BO124" s="31">
        <v>0</v>
      </c>
      <c r="BP124" s="31">
        <v>0</v>
      </c>
      <c r="BQ124" s="31">
        <v>0</v>
      </c>
      <c r="BR124" s="31">
        <v>0</v>
      </c>
      <c r="BS124" s="31">
        <v>0</v>
      </c>
      <c r="BT124" s="31">
        <v>0</v>
      </c>
      <c r="BU124" s="31">
        <v>0</v>
      </c>
      <c r="BV124" s="31">
        <v>0</v>
      </c>
      <c r="BW124" s="31">
        <v>0</v>
      </c>
      <c r="BX124" s="31">
        <v>0</v>
      </c>
      <c r="BY124" s="31">
        <v>0</v>
      </c>
      <c r="BZ124" s="31">
        <v>0</v>
      </c>
      <c r="CA124" s="31">
        <v>0</v>
      </c>
      <c r="CB124" s="31">
        <v>0</v>
      </c>
      <c r="CC124" s="31">
        <v>0</v>
      </c>
      <c r="CD124" s="31">
        <v>0</v>
      </c>
      <c r="CE124" s="31">
        <v>0</v>
      </c>
      <c r="CF124" s="31">
        <v>0</v>
      </c>
      <c r="CG124" s="31">
        <v>0</v>
      </c>
      <c r="CH124" s="31">
        <v>0</v>
      </c>
      <c r="CI124" s="31">
        <v>0</v>
      </c>
      <c r="CJ124" s="31">
        <v>0</v>
      </c>
      <c r="CK124" s="31">
        <v>0</v>
      </c>
      <c r="CL124" s="35">
        <v>0</v>
      </c>
    </row>
    <row r="125" spans="1:90" ht="21" x14ac:dyDescent="0.15">
      <c r="A125" s="27" t="s">
        <v>467</v>
      </c>
      <c r="B125" s="28" t="s">
        <v>468</v>
      </c>
      <c r="C125" s="28">
        <v>0</v>
      </c>
      <c r="D125" s="28">
        <v>0</v>
      </c>
      <c r="E125" s="28">
        <v>0</v>
      </c>
      <c r="F125" s="28">
        <v>0</v>
      </c>
      <c r="G125" s="28">
        <v>2</v>
      </c>
      <c r="H125" s="28">
        <f>IFERROR(VLOOKUP(A125,[1]FALTANTES!$A:$AB,28,FALSE),"-")</f>
        <v>0</v>
      </c>
      <c r="I125" s="42">
        <f>IFERROR(VLOOKUP(A125,[1]FALTANTES!$A:$AC,29,FALSE),"-")</f>
        <v>0</v>
      </c>
      <c r="J125" s="29">
        <f>IFERROR(VLOOKUP(A125,[1]FALTANTES!$A:$AD,30,FALSE),"-")</f>
        <v>-2</v>
      </c>
      <c r="K125" s="30">
        <v>0</v>
      </c>
      <c r="L125" s="30">
        <f t="shared" si="2"/>
        <v>2</v>
      </c>
      <c r="M125" s="31">
        <f>SUMIFS(METALFISA!$E:$E,METALFISA!$A:$A,'Faltantes Fevereiro- Metalfisa'!M$3,METALFISA!$B:$B,'Faltantes Fevereiro- Metalfisa'!$A125)</f>
        <v>0</v>
      </c>
      <c r="N125" s="31">
        <f>SUMIFS(METALFISA!$E:$E,METALFISA!$A:$A,'Faltantes Fevereiro- Metalfisa'!N$3,METALFISA!$B:$B,'Faltantes Fevereiro- Metalfisa'!$A125)</f>
        <v>0</v>
      </c>
      <c r="O125" s="31">
        <f>SUMIFS(METALFISA!$E:$E,METALFISA!$A:$A,'Faltantes Fevereiro- Metalfisa'!O$3,METALFISA!$B:$B,'Faltantes Fevereiro- Metalfisa'!$A125)</f>
        <v>0</v>
      </c>
      <c r="P125" s="31">
        <f>SUMIFS(METALFISA!$E:$E,METALFISA!$A:$A,'Faltantes Fevereiro- Metalfisa'!P$3,METALFISA!$B:$B,'Faltantes Fevereiro- Metalfisa'!$A125)</f>
        <v>0</v>
      </c>
      <c r="Q125" s="31">
        <f>SUMIFS(METALFISA!$E:$E,METALFISA!$A:$A,'Faltantes Fevereiro- Metalfisa'!Q$3,METALFISA!$B:$B,'Faltantes Fevereiro- Metalfisa'!$A125)</f>
        <v>0</v>
      </c>
      <c r="R125" s="31">
        <f>SUMIFS(METALFISA!$E:$E,METALFISA!$A:$A,'Faltantes Fevereiro- Metalfisa'!R$3,METALFISA!$B:$B,'Faltantes Fevereiro- Metalfisa'!$A125)</f>
        <v>0</v>
      </c>
      <c r="S125" s="31">
        <f>SUMIFS(METALFISA!$E:$E,METALFISA!$A:$A,'Faltantes Fevereiro- Metalfisa'!S$3,METALFISA!$B:$B,'Faltantes Fevereiro- Metalfisa'!$A125)</f>
        <v>0</v>
      </c>
      <c r="T125" s="31">
        <f>SUMIFS(METALFISA!$E:$E,METALFISA!$A:$A,'Faltantes Fevereiro- Metalfisa'!T$3,METALFISA!$B:$B,'Faltantes Fevereiro- Metalfisa'!$A125)</f>
        <v>0</v>
      </c>
      <c r="U125" s="31">
        <f>SUMIFS(METALFISA!$E:$E,METALFISA!$A:$A,'Faltantes Fevereiro- Metalfisa'!U$3,METALFISA!$B:$B,'Faltantes Fevereiro- Metalfisa'!$A125)</f>
        <v>0</v>
      </c>
      <c r="V125" s="31">
        <f>SUMIFS(METALFISA!$E:$E,METALFISA!$A:$A,'Faltantes Fevereiro- Metalfisa'!V$3,METALFISA!$B:$B,'Faltantes Fevereiro- Metalfisa'!$A125)</f>
        <v>0</v>
      </c>
      <c r="W125" s="31">
        <f>SUMIFS(METALFISA!$E:$E,METALFISA!$A:$A,'Faltantes Fevereiro- Metalfisa'!W$3,METALFISA!$B:$B,'Faltantes Fevereiro- Metalfisa'!$A125)</f>
        <v>0</v>
      </c>
      <c r="X125" s="31">
        <f>SUMIFS(METALFISA!$E:$E,METALFISA!$A:$A,'Faltantes Fevereiro- Metalfisa'!X$3,METALFISA!$B:$B,'Faltantes Fevereiro- Metalfisa'!$A125)</f>
        <v>0</v>
      </c>
      <c r="Y125" s="31">
        <f>SUMIFS(METALFISA!$E:$E,METALFISA!$A:$A,'Faltantes Fevereiro- Metalfisa'!Y$3,METALFISA!$B:$B,'Faltantes Fevereiro- Metalfisa'!$A125)</f>
        <v>0</v>
      </c>
      <c r="Z125" s="31">
        <f>SUMIFS(METALFISA!$E:$E,METALFISA!$A:$A,'Faltantes Fevereiro- Metalfisa'!Z$3,METALFISA!$B:$B,'Faltantes Fevereiro- Metalfisa'!$A125)</f>
        <v>0</v>
      </c>
      <c r="AA125" s="31">
        <f>SUMIFS(METALFISA!$E:$E,METALFISA!$A:$A,'Faltantes Fevereiro- Metalfisa'!AA$3,METALFISA!$B:$B,'Faltantes Fevereiro- Metalfisa'!$A125)</f>
        <v>0</v>
      </c>
      <c r="AB125" s="31">
        <f>SUMIFS(METALFISA!$E:$E,METALFISA!$A:$A,'Faltantes Fevereiro- Metalfisa'!AB$3,METALFISA!$B:$B,'Faltantes Fevereiro- Metalfisa'!$A125)</f>
        <v>0</v>
      </c>
      <c r="AC125" s="31">
        <f>SUMIFS(METALFISA!$E:$E,METALFISA!$A:$A,'Faltantes Fevereiro- Metalfisa'!AC$3,METALFISA!$B:$B,'Faltantes Fevereiro- Metalfisa'!$A125)</f>
        <v>0</v>
      </c>
      <c r="AD125" s="31">
        <f>SUMIFS(METALFISA!$E:$E,METALFISA!$A:$A,'Faltantes Fevereiro- Metalfisa'!AD$3,METALFISA!$B:$B,'Faltantes Fevereiro- Metalfisa'!$A125)</f>
        <v>0</v>
      </c>
      <c r="AE125" s="31">
        <f>SUMIFS(METALFISA!$E:$E,METALFISA!$A:$A,'Faltantes Fevereiro- Metalfisa'!AE$3,METALFISA!$B:$B,'Faltantes Fevereiro- Metalfisa'!$A125)</f>
        <v>0</v>
      </c>
      <c r="AF125" s="31">
        <f>SUMIFS(METALFISA!$E:$E,METALFISA!$A:$A,'Faltantes Fevereiro- Metalfisa'!AF$3,METALFISA!$B:$B,'Faltantes Fevereiro- Metalfisa'!$A125)</f>
        <v>0</v>
      </c>
      <c r="AG125" s="31">
        <f>SUMIFS(METALFISA!$E:$E,METALFISA!$A:$A,'Faltantes Fevereiro- Metalfisa'!AG$3,METALFISA!$B:$B,'Faltantes Fevereiro- Metalfisa'!$A125)</f>
        <v>0</v>
      </c>
      <c r="AH125" s="31">
        <f>SUMIFS(METALFISA!$E:$E,METALFISA!$A:$A,'Faltantes Fevereiro- Metalfisa'!AH$3,METALFISA!$B:$B,'Faltantes Fevereiro- Metalfisa'!$A125)</f>
        <v>2</v>
      </c>
      <c r="AI125" s="31">
        <f>SUMIFS(METALFISA!$E:$E,METALFISA!$A:$A,'Faltantes Fevereiro- Metalfisa'!AI$3,METALFISA!$B:$B,'Faltantes Fevereiro- Metalfisa'!$A125)</f>
        <v>0</v>
      </c>
      <c r="AJ125" s="31">
        <f>SUMIFS(METALFISA!$E:$E,METALFISA!$A:$A,'Faltantes Fevereiro- Metalfisa'!AJ$3,METALFISA!$B:$B,'Faltantes Fevereiro- Metalfisa'!$A125)</f>
        <v>0</v>
      </c>
      <c r="AK125" s="31">
        <f>SUMIFS(METALFISA!$E:$E,METALFISA!$A:$A,'Faltantes Fevereiro- Metalfisa'!AK$3,METALFISA!$B:$B,'Faltantes Fevereiro- Metalfisa'!$A125)</f>
        <v>0</v>
      </c>
      <c r="AL125" s="31">
        <f>SUMIFS(METALFISA!$E:$E,METALFISA!$A:$A,'Faltantes Fevereiro- Metalfisa'!AL$3,METALFISA!$B:$B,'Faltantes Fevereiro- Metalfisa'!$A125)</f>
        <v>0</v>
      </c>
      <c r="AM125" s="31">
        <f>SUMIFS(METALFISA!$E:$E,METALFISA!$A:$A,'Faltantes Fevereiro- Metalfisa'!AM$3,METALFISA!$B:$B,'Faltantes Fevereiro- Metalfisa'!$A125)</f>
        <v>0</v>
      </c>
      <c r="AN125" s="31">
        <f>SUMIFS(METALFISA!$E:$E,METALFISA!$A:$A,'Faltantes Fevereiro- Metalfisa'!AN$3,METALFISA!$B:$B,'Faltantes Fevereiro- Metalfisa'!$A125)</f>
        <v>0</v>
      </c>
      <c r="AO125" s="31">
        <f>SUMIFS(METALFISA!$E:$E,METALFISA!$A:$A,'Faltantes Fevereiro- Metalfisa'!AO$3,METALFISA!$B:$B,'Faltantes Fevereiro- Metalfisa'!$A125)</f>
        <v>0</v>
      </c>
      <c r="AP125" s="31">
        <f>SUMIFS(METALFISA!$E:$E,METALFISA!$A:$A,'Faltantes Fevereiro- Metalfisa'!AP$3,METALFISA!$B:$B,'Faltantes Fevereiro- Metalfisa'!$A125)</f>
        <v>0</v>
      </c>
      <c r="AQ125" s="31"/>
      <c r="AR125" s="31">
        <f>SUMIFS(METALFISA!$E:$E,METALFISA!$A:$A,'Faltantes Fevereiro- Metalfisa'!AR$3,METALFISA!$B:$B,'Faltantes Fevereiro- Metalfisa'!$A125)</f>
        <v>0</v>
      </c>
      <c r="AS125" s="35">
        <f>SUMIFS(METALFISA!$E:$E,METALFISA!$A:$A,'Faltantes Fevereiro- Metalfisa'!AS$3,METALFISA!$B:$B,'Faltantes Fevereiro- Metalfisa'!$A125)</f>
        <v>0</v>
      </c>
      <c r="AU125" s="18">
        <v>0</v>
      </c>
      <c r="AV125" s="18">
        <v>0</v>
      </c>
      <c r="AW125" s="18">
        <v>0</v>
      </c>
      <c r="AX125" s="18">
        <v>0</v>
      </c>
      <c r="AY125" s="41">
        <v>0</v>
      </c>
      <c r="AZ125" s="31">
        <v>1</v>
      </c>
      <c r="BA125" s="31">
        <v>0</v>
      </c>
      <c r="BB125" s="31">
        <v>0</v>
      </c>
      <c r="BC125" s="31">
        <v>0</v>
      </c>
      <c r="BD125" s="31">
        <v>0</v>
      </c>
      <c r="BE125" s="31">
        <v>0</v>
      </c>
      <c r="BF125" s="31">
        <v>0</v>
      </c>
      <c r="BG125" s="31">
        <v>0</v>
      </c>
      <c r="BH125" s="31">
        <v>0</v>
      </c>
      <c r="BI125" s="31">
        <v>0</v>
      </c>
      <c r="BJ125" s="31">
        <v>0</v>
      </c>
      <c r="BK125" s="31">
        <v>0</v>
      </c>
      <c r="BL125" s="31">
        <v>0</v>
      </c>
      <c r="BM125" s="31">
        <v>0</v>
      </c>
      <c r="BN125" s="31">
        <v>0</v>
      </c>
      <c r="BO125" s="31">
        <v>0</v>
      </c>
      <c r="BP125" s="31">
        <v>0</v>
      </c>
      <c r="BQ125" s="31">
        <v>0</v>
      </c>
      <c r="BR125" s="31">
        <v>0</v>
      </c>
      <c r="BS125" s="31">
        <v>0</v>
      </c>
      <c r="BT125" s="31">
        <v>0</v>
      </c>
      <c r="BU125" s="31">
        <v>0</v>
      </c>
      <c r="BV125" s="31">
        <v>0</v>
      </c>
      <c r="BW125" s="31">
        <v>0</v>
      </c>
      <c r="BX125" s="31">
        <v>0</v>
      </c>
      <c r="BY125" s="31">
        <v>0</v>
      </c>
      <c r="BZ125" s="31">
        <v>0</v>
      </c>
      <c r="CA125" s="31">
        <v>0</v>
      </c>
      <c r="CB125" s="31">
        <v>0</v>
      </c>
      <c r="CC125" s="31">
        <v>0</v>
      </c>
      <c r="CD125" s="31">
        <v>0</v>
      </c>
      <c r="CE125" s="31">
        <v>0</v>
      </c>
      <c r="CF125" s="31">
        <v>0</v>
      </c>
      <c r="CG125" s="31">
        <v>0</v>
      </c>
      <c r="CH125" s="31">
        <v>0</v>
      </c>
      <c r="CI125" s="31">
        <v>0</v>
      </c>
      <c r="CJ125" s="31">
        <v>0</v>
      </c>
      <c r="CK125" s="31">
        <v>0</v>
      </c>
      <c r="CL125" s="35">
        <v>0</v>
      </c>
    </row>
    <row r="126" spans="1:90" x14ac:dyDescent="0.15">
      <c r="A126" s="27" t="s">
        <v>472</v>
      </c>
      <c r="B126" s="28" t="s">
        <v>473</v>
      </c>
      <c r="C126" s="28">
        <v>0</v>
      </c>
      <c r="D126" s="28">
        <v>0</v>
      </c>
      <c r="E126" s="28">
        <v>0</v>
      </c>
      <c r="F126" s="28">
        <v>0</v>
      </c>
      <c r="G126" s="28">
        <v>2</v>
      </c>
      <c r="H126" s="28">
        <f>IFERROR(VLOOKUP(A126,[1]FALTANTES!$A:$AB,28,FALSE),"-")</f>
        <v>0</v>
      </c>
      <c r="I126" s="42">
        <f>IFERROR(VLOOKUP(A126,[1]FALTANTES!$A:$AC,29,FALSE),"-")</f>
        <v>0</v>
      </c>
      <c r="J126" s="29">
        <f>IFERROR(VLOOKUP(A126,[1]FALTANTES!$A:$AD,30,FALSE),"-")</f>
        <v>-2</v>
      </c>
      <c r="K126" s="30">
        <v>0</v>
      </c>
      <c r="L126" s="30">
        <f t="shared" si="2"/>
        <v>2</v>
      </c>
      <c r="M126" s="31">
        <f>SUMIFS(METALFISA!$E:$E,METALFISA!$A:$A,'Faltantes Fevereiro- Metalfisa'!M$3,METALFISA!$B:$B,'Faltantes Fevereiro- Metalfisa'!$A126)</f>
        <v>0</v>
      </c>
      <c r="N126" s="31">
        <f>SUMIFS(METALFISA!$E:$E,METALFISA!$A:$A,'Faltantes Fevereiro- Metalfisa'!N$3,METALFISA!$B:$B,'Faltantes Fevereiro- Metalfisa'!$A126)</f>
        <v>0</v>
      </c>
      <c r="O126" s="31">
        <f>SUMIFS(METALFISA!$E:$E,METALFISA!$A:$A,'Faltantes Fevereiro- Metalfisa'!O$3,METALFISA!$B:$B,'Faltantes Fevereiro- Metalfisa'!$A126)</f>
        <v>0</v>
      </c>
      <c r="P126" s="31">
        <f>SUMIFS(METALFISA!$E:$E,METALFISA!$A:$A,'Faltantes Fevereiro- Metalfisa'!P$3,METALFISA!$B:$B,'Faltantes Fevereiro- Metalfisa'!$A126)</f>
        <v>0</v>
      </c>
      <c r="Q126" s="31">
        <f>SUMIFS(METALFISA!$E:$E,METALFISA!$A:$A,'Faltantes Fevereiro- Metalfisa'!Q$3,METALFISA!$B:$B,'Faltantes Fevereiro- Metalfisa'!$A126)</f>
        <v>0</v>
      </c>
      <c r="R126" s="31">
        <f>SUMIFS(METALFISA!$E:$E,METALFISA!$A:$A,'Faltantes Fevereiro- Metalfisa'!R$3,METALFISA!$B:$B,'Faltantes Fevereiro- Metalfisa'!$A126)</f>
        <v>0</v>
      </c>
      <c r="S126" s="31">
        <f>SUMIFS(METALFISA!$E:$E,METALFISA!$A:$A,'Faltantes Fevereiro- Metalfisa'!S$3,METALFISA!$B:$B,'Faltantes Fevereiro- Metalfisa'!$A126)</f>
        <v>0</v>
      </c>
      <c r="T126" s="31">
        <f>SUMIFS(METALFISA!$E:$E,METALFISA!$A:$A,'Faltantes Fevereiro- Metalfisa'!T$3,METALFISA!$B:$B,'Faltantes Fevereiro- Metalfisa'!$A126)</f>
        <v>0</v>
      </c>
      <c r="U126" s="31">
        <f>SUMIFS(METALFISA!$E:$E,METALFISA!$A:$A,'Faltantes Fevereiro- Metalfisa'!U$3,METALFISA!$B:$B,'Faltantes Fevereiro- Metalfisa'!$A126)</f>
        <v>0</v>
      </c>
      <c r="V126" s="31">
        <f>SUMIFS(METALFISA!$E:$E,METALFISA!$A:$A,'Faltantes Fevereiro- Metalfisa'!V$3,METALFISA!$B:$B,'Faltantes Fevereiro- Metalfisa'!$A126)</f>
        <v>0</v>
      </c>
      <c r="W126" s="31">
        <f>SUMIFS(METALFISA!$E:$E,METALFISA!$A:$A,'Faltantes Fevereiro- Metalfisa'!W$3,METALFISA!$B:$B,'Faltantes Fevereiro- Metalfisa'!$A126)</f>
        <v>0</v>
      </c>
      <c r="X126" s="31">
        <f>SUMIFS(METALFISA!$E:$E,METALFISA!$A:$A,'Faltantes Fevereiro- Metalfisa'!X$3,METALFISA!$B:$B,'Faltantes Fevereiro- Metalfisa'!$A126)</f>
        <v>0</v>
      </c>
      <c r="Y126" s="31">
        <f>SUMIFS(METALFISA!$E:$E,METALFISA!$A:$A,'Faltantes Fevereiro- Metalfisa'!Y$3,METALFISA!$B:$B,'Faltantes Fevereiro- Metalfisa'!$A126)</f>
        <v>0</v>
      </c>
      <c r="Z126" s="31">
        <f>SUMIFS(METALFISA!$E:$E,METALFISA!$A:$A,'Faltantes Fevereiro- Metalfisa'!Z$3,METALFISA!$B:$B,'Faltantes Fevereiro- Metalfisa'!$A126)</f>
        <v>0</v>
      </c>
      <c r="AA126" s="31">
        <f>SUMIFS(METALFISA!$E:$E,METALFISA!$A:$A,'Faltantes Fevereiro- Metalfisa'!AA$3,METALFISA!$B:$B,'Faltantes Fevereiro- Metalfisa'!$A126)</f>
        <v>0</v>
      </c>
      <c r="AB126" s="31">
        <f>SUMIFS(METALFISA!$E:$E,METALFISA!$A:$A,'Faltantes Fevereiro- Metalfisa'!AB$3,METALFISA!$B:$B,'Faltantes Fevereiro- Metalfisa'!$A126)</f>
        <v>0</v>
      </c>
      <c r="AC126" s="31">
        <f>SUMIFS(METALFISA!$E:$E,METALFISA!$A:$A,'Faltantes Fevereiro- Metalfisa'!AC$3,METALFISA!$B:$B,'Faltantes Fevereiro- Metalfisa'!$A126)</f>
        <v>0</v>
      </c>
      <c r="AD126" s="31">
        <f>SUMIFS(METALFISA!$E:$E,METALFISA!$A:$A,'Faltantes Fevereiro- Metalfisa'!AD$3,METALFISA!$B:$B,'Faltantes Fevereiro- Metalfisa'!$A126)</f>
        <v>0</v>
      </c>
      <c r="AE126" s="31">
        <f>SUMIFS(METALFISA!$E:$E,METALFISA!$A:$A,'Faltantes Fevereiro- Metalfisa'!AE$3,METALFISA!$B:$B,'Faltantes Fevereiro- Metalfisa'!$A126)</f>
        <v>0</v>
      </c>
      <c r="AF126" s="31">
        <f>SUMIFS(METALFISA!$E:$E,METALFISA!$A:$A,'Faltantes Fevereiro- Metalfisa'!AF$3,METALFISA!$B:$B,'Faltantes Fevereiro- Metalfisa'!$A126)</f>
        <v>0</v>
      </c>
      <c r="AG126" s="31">
        <f>SUMIFS(METALFISA!$E:$E,METALFISA!$A:$A,'Faltantes Fevereiro- Metalfisa'!AG$3,METALFISA!$B:$B,'Faltantes Fevereiro- Metalfisa'!$A126)</f>
        <v>0</v>
      </c>
      <c r="AH126" s="31">
        <f>SUMIFS(METALFISA!$E:$E,METALFISA!$A:$A,'Faltantes Fevereiro- Metalfisa'!AH$3,METALFISA!$B:$B,'Faltantes Fevereiro- Metalfisa'!$A126)</f>
        <v>2</v>
      </c>
      <c r="AI126" s="31">
        <f>SUMIFS(METALFISA!$E:$E,METALFISA!$A:$A,'Faltantes Fevereiro- Metalfisa'!AI$3,METALFISA!$B:$B,'Faltantes Fevereiro- Metalfisa'!$A126)</f>
        <v>0</v>
      </c>
      <c r="AJ126" s="31">
        <f>SUMIFS(METALFISA!$E:$E,METALFISA!$A:$A,'Faltantes Fevereiro- Metalfisa'!AJ$3,METALFISA!$B:$B,'Faltantes Fevereiro- Metalfisa'!$A126)</f>
        <v>0</v>
      </c>
      <c r="AK126" s="31">
        <f>SUMIFS(METALFISA!$E:$E,METALFISA!$A:$A,'Faltantes Fevereiro- Metalfisa'!AK$3,METALFISA!$B:$B,'Faltantes Fevereiro- Metalfisa'!$A126)</f>
        <v>0</v>
      </c>
      <c r="AL126" s="31">
        <f>SUMIFS(METALFISA!$E:$E,METALFISA!$A:$A,'Faltantes Fevereiro- Metalfisa'!AL$3,METALFISA!$B:$B,'Faltantes Fevereiro- Metalfisa'!$A126)</f>
        <v>0</v>
      </c>
      <c r="AM126" s="31">
        <f>SUMIFS(METALFISA!$E:$E,METALFISA!$A:$A,'Faltantes Fevereiro- Metalfisa'!AM$3,METALFISA!$B:$B,'Faltantes Fevereiro- Metalfisa'!$A126)</f>
        <v>0</v>
      </c>
      <c r="AN126" s="31">
        <f>SUMIFS(METALFISA!$E:$E,METALFISA!$A:$A,'Faltantes Fevereiro- Metalfisa'!AN$3,METALFISA!$B:$B,'Faltantes Fevereiro- Metalfisa'!$A126)</f>
        <v>0</v>
      </c>
      <c r="AO126" s="31">
        <f>SUMIFS(METALFISA!$E:$E,METALFISA!$A:$A,'Faltantes Fevereiro- Metalfisa'!AO$3,METALFISA!$B:$B,'Faltantes Fevereiro- Metalfisa'!$A126)</f>
        <v>0</v>
      </c>
      <c r="AP126" s="31">
        <f>SUMIFS(METALFISA!$E:$E,METALFISA!$A:$A,'Faltantes Fevereiro- Metalfisa'!AP$3,METALFISA!$B:$B,'Faltantes Fevereiro- Metalfisa'!$A126)</f>
        <v>0</v>
      </c>
      <c r="AQ126" s="31"/>
      <c r="AR126" s="31">
        <f>SUMIFS(METALFISA!$E:$E,METALFISA!$A:$A,'Faltantes Fevereiro- Metalfisa'!AR$3,METALFISA!$B:$B,'Faltantes Fevereiro- Metalfisa'!$A126)</f>
        <v>0</v>
      </c>
      <c r="AS126" s="35">
        <f>SUMIFS(METALFISA!$E:$E,METALFISA!$A:$A,'Faltantes Fevereiro- Metalfisa'!AS$3,METALFISA!$B:$B,'Faltantes Fevereiro- Metalfisa'!$A126)</f>
        <v>0</v>
      </c>
      <c r="AU126" s="18">
        <v>0</v>
      </c>
      <c r="AV126" s="18">
        <v>0</v>
      </c>
      <c r="AW126" s="18">
        <v>0</v>
      </c>
      <c r="AX126" s="18">
        <v>0</v>
      </c>
      <c r="AY126" s="41">
        <v>0</v>
      </c>
      <c r="AZ126" s="31">
        <v>2</v>
      </c>
      <c r="BA126" s="31">
        <v>0</v>
      </c>
      <c r="BB126" s="31">
        <v>0</v>
      </c>
      <c r="BC126" s="31">
        <v>0</v>
      </c>
      <c r="BD126" s="31">
        <v>0</v>
      </c>
      <c r="BE126" s="31">
        <v>0</v>
      </c>
      <c r="BF126" s="31">
        <v>0</v>
      </c>
      <c r="BG126" s="31">
        <v>0</v>
      </c>
      <c r="BH126" s="31">
        <v>0</v>
      </c>
      <c r="BI126" s="31">
        <v>0</v>
      </c>
      <c r="BJ126" s="31">
        <v>0</v>
      </c>
      <c r="BK126" s="31">
        <v>0</v>
      </c>
      <c r="BL126" s="31">
        <v>0</v>
      </c>
      <c r="BM126" s="31">
        <v>0</v>
      </c>
      <c r="BN126" s="31">
        <v>0</v>
      </c>
      <c r="BO126" s="31">
        <v>0</v>
      </c>
      <c r="BP126" s="31">
        <v>0</v>
      </c>
      <c r="BQ126" s="31">
        <v>0</v>
      </c>
      <c r="BR126" s="31">
        <v>0</v>
      </c>
      <c r="BS126" s="31">
        <v>0</v>
      </c>
      <c r="BT126" s="31">
        <v>0</v>
      </c>
      <c r="BU126" s="31">
        <v>0</v>
      </c>
      <c r="BV126" s="31">
        <v>0</v>
      </c>
      <c r="BW126" s="31">
        <v>0</v>
      </c>
      <c r="BX126" s="31">
        <v>0</v>
      </c>
      <c r="BY126" s="31">
        <v>0</v>
      </c>
      <c r="BZ126" s="31">
        <v>0</v>
      </c>
      <c r="CA126" s="31">
        <v>0</v>
      </c>
      <c r="CB126" s="31">
        <v>0</v>
      </c>
      <c r="CC126" s="31">
        <v>0</v>
      </c>
      <c r="CD126" s="31">
        <v>0</v>
      </c>
      <c r="CE126" s="31">
        <v>0</v>
      </c>
      <c r="CF126" s="31">
        <v>0</v>
      </c>
      <c r="CG126" s="31">
        <v>0</v>
      </c>
      <c r="CH126" s="31">
        <v>0</v>
      </c>
      <c r="CI126" s="31">
        <v>0</v>
      </c>
      <c r="CJ126" s="31">
        <v>0</v>
      </c>
      <c r="CK126" s="31">
        <v>0</v>
      </c>
      <c r="CL126" s="35">
        <v>0</v>
      </c>
    </row>
    <row r="127" spans="1:90" ht="21" x14ac:dyDescent="0.15">
      <c r="A127" s="27" t="s">
        <v>969</v>
      </c>
      <c r="B127" s="28" t="s">
        <v>970</v>
      </c>
      <c r="C127" s="28">
        <v>0</v>
      </c>
      <c r="D127" s="28">
        <v>0</v>
      </c>
      <c r="E127" s="28">
        <v>0</v>
      </c>
      <c r="F127" s="28">
        <v>0</v>
      </c>
      <c r="G127" s="28">
        <v>4</v>
      </c>
      <c r="H127" s="28">
        <f>IFERROR(VLOOKUP(A127,[1]FALTANTES!$A:$AB,28,FALSE),"-")</f>
        <v>0</v>
      </c>
      <c r="I127" s="42">
        <f>IFERROR(VLOOKUP(A127,[1]FALTANTES!$A:$AC,29,FALSE),"-")</f>
        <v>0</v>
      </c>
      <c r="J127" s="29">
        <f>IFERROR(VLOOKUP(A127,[1]FALTANTES!$A:$AD,30,FALSE),"-")</f>
        <v>-4</v>
      </c>
      <c r="K127" s="30">
        <v>0</v>
      </c>
      <c r="L127" s="30">
        <f t="shared" si="2"/>
        <v>4</v>
      </c>
      <c r="M127" s="31">
        <f>SUMIFS(METALFISA!$E:$E,METALFISA!$A:$A,'Faltantes Fevereiro- Metalfisa'!M$3,METALFISA!$B:$B,'Faltantes Fevereiro- Metalfisa'!$A127)</f>
        <v>0</v>
      </c>
      <c r="N127" s="31">
        <f>SUMIFS(METALFISA!$E:$E,METALFISA!$A:$A,'Faltantes Fevereiro- Metalfisa'!N$3,METALFISA!$B:$B,'Faltantes Fevereiro- Metalfisa'!$A127)</f>
        <v>0</v>
      </c>
      <c r="O127" s="31">
        <f>SUMIFS(METALFISA!$E:$E,METALFISA!$A:$A,'Faltantes Fevereiro- Metalfisa'!O$3,METALFISA!$B:$B,'Faltantes Fevereiro- Metalfisa'!$A127)</f>
        <v>0</v>
      </c>
      <c r="P127" s="31">
        <f>SUMIFS(METALFISA!$E:$E,METALFISA!$A:$A,'Faltantes Fevereiro- Metalfisa'!P$3,METALFISA!$B:$B,'Faltantes Fevereiro- Metalfisa'!$A127)</f>
        <v>0</v>
      </c>
      <c r="Q127" s="31">
        <f>SUMIFS(METALFISA!$E:$E,METALFISA!$A:$A,'Faltantes Fevereiro- Metalfisa'!Q$3,METALFISA!$B:$B,'Faltantes Fevereiro- Metalfisa'!$A127)</f>
        <v>0</v>
      </c>
      <c r="R127" s="31">
        <f>SUMIFS(METALFISA!$E:$E,METALFISA!$A:$A,'Faltantes Fevereiro- Metalfisa'!R$3,METALFISA!$B:$B,'Faltantes Fevereiro- Metalfisa'!$A127)</f>
        <v>0</v>
      </c>
      <c r="S127" s="31">
        <f>SUMIFS(METALFISA!$E:$E,METALFISA!$A:$A,'Faltantes Fevereiro- Metalfisa'!S$3,METALFISA!$B:$B,'Faltantes Fevereiro- Metalfisa'!$A127)</f>
        <v>0</v>
      </c>
      <c r="T127" s="31">
        <f>SUMIFS(METALFISA!$E:$E,METALFISA!$A:$A,'Faltantes Fevereiro- Metalfisa'!T$3,METALFISA!$B:$B,'Faltantes Fevereiro- Metalfisa'!$A127)</f>
        <v>0</v>
      </c>
      <c r="U127" s="31">
        <f>SUMIFS(METALFISA!$E:$E,METALFISA!$A:$A,'Faltantes Fevereiro- Metalfisa'!U$3,METALFISA!$B:$B,'Faltantes Fevereiro- Metalfisa'!$A127)</f>
        <v>0</v>
      </c>
      <c r="V127" s="31">
        <f>SUMIFS(METALFISA!$E:$E,METALFISA!$A:$A,'Faltantes Fevereiro- Metalfisa'!V$3,METALFISA!$B:$B,'Faltantes Fevereiro- Metalfisa'!$A127)</f>
        <v>0</v>
      </c>
      <c r="W127" s="31">
        <f>SUMIFS(METALFISA!$E:$E,METALFISA!$A:$A,'Faltantes Fevereiro- Metalfisa'!W$3,METALFISA!$B:$B,'Faltantes Fevereiro- Metalfisa'!$A127)</f>
        <v>0</v>
      </c>
      <c r="X127" s="31">
        <f>SUMIFS(METALFISA!$E:$E,METALFISA!$A:$A,'Faltantes Fevereiro- Metalfisa'!X$3,METALFISA!$B:$B,'Faltantes Fevereiro- Metalfisa'!$A127)</f>
        <v>0</v>
      </c>
      <c r="Y127" s="31">
        <f>SUMIFS(METALFISA!$E:$E,METALFISA!$A:$A,'Faltantes Fevereiro- Metalfisa'!Y$3,METALFISA!$B:$B,'Faltantes Fevereiro- Metalfisa'!$A127)</f>
        <v>0</v>
      </c>
      <c r="Z127" s="31">
        <f>SUMIFS(METALFISA!$E:$E,METALFISA!$A:$A,'Faltantes Fevereiro- Metalfisa'!Z$3,METALFISA!$B:$B,'Faltantes Fevereiro- Metalfisa'!$A127)</f>
        <v>0</v>
      </c>
      <c r="AA127" s="31">
        <f>SUMIFS(METALFISA!$E:$E,METALFISA!$A:$A,'Faltantes Fevereiro- Metalfisa'!AA$3,METALFISA!$B:$B,'Faltantes Fevereiro- Metalfisa'!$A127)</f>
        <v>0</v>
      </c>
      <c r="AB127" s="31">
        <f>SUMIFS(METALFISA!$E:$E,METALFISA!$A:$A,'Faltantes Fevereiro- Metalfisa'!AB$3,METALFISA!$B:$B,'Faltantes Fevereiro- Metalfisa'!$A127)</f>
        <v>0</v>
      </c>
      <c r="AC127" s="31">
        <f>SUMIFS(METALFISA!$E:$E,METALFISA!$A:$A,'Faltantes Fevereiro- Metalfisa'!AC$3,METALFISA!$B:$B,'Faltantes Fevereiro- Metalfisa'!$A127)</f>
        <v>0</v>
      </c>
      <c r="AD127" s="31">
        <f>SUMIFS(METALFISA!$E:$E,METALFISA!$A:$A,'Faltantes Fevereiro- Metalfisa'!AD$3,METALFISA!$B:$B,'Faltantes Fevereiro- Metalfisa'!$A127)</f>
        <v>0</v>
      </c>
      <c r="AE127" s="31">
        <f>SUMIFS(METALFISA!$E:$E,METALFISA!$A:$A,'Faltantes Fevereiro- Metalfisa'!AE$3,METALFISA!$B:$B,'Faltantes Fevereiro- Metalfisa'!$A127)</f>
        <v>0</v>
      </c>
      <c r="AF127" s="31">
        <f>SUMIFS(METALFISA!$E:$E,METALFISA!$A:$A,'Faltantes Fevereiro- Metalfisa'!AF$3,METALFISA!$B:$B,'Faltantes Fevereiro- Metalfisa'!$A127)</f>
        <v>0</v>
      </c>
      <c r="AG127" s="31">
        <f>SUMIFS(METALFISA!$E:$E,METALFISA!$A:$A,'Faltantes Fevereiro- Metalfisa'!AG$3,METALFISA!$B:$B,'Faltantes Fevereiro- Metalfisa'!$A127)</f>
        <v>0</v>
      </c>
      <c r="AH127" s="31">
        <f>SUMIFS(METALFISA!$E:$E,METALFISA!$A:$A,'Faltantes Fevereiro- Metalfisa'!AH$3,METALFISA!$B:$B,'Faltantes Fevereiro- Metalfisa'!$A127)</f>
        <v>1</v>
      </c>
      <c r="AI127" s="31">
        <f>SUMIFS(METALFISA!$E:$E,METALFISA!$A:$A,'Faltantes Fevereiro- Metalfisa'!AI$3,METALFISA!$B:$B,'Faltantes Fevereiro- Metalfisa'!$A127)</f>
        <v>0</v>
      </c>
      <c r="AJ127" s="31">
        <f>SUMIFS(METALFISA!$E:$E,METALFISA!$A:$A,'Faltantes Fevereiro- Metalfisa'!AJ$3,METALFISA!$B:$B,'Faltantes Fevereiro- Metalfisa'!$A127)</f>
        <v>0</v>
      </c>
      <c r="AK127" s="31">
        <f>SUMIFS(METALFISA!$E:$E,METALFISA!$A:$A,'Faltantes Fevereiro- Metalfisa'!AK$3,METALFISA!$B:$B,'Faltantes Fevereiro- Metalfisa'!$A127)</f>
        <v>0</v>
      </c>
      <c r="AL127" s="31">
        <f>SUMIFS(METALFISA!$E:$E,METALFISA!$A:$A,'Faltantes Fevereiro- Metalfisa'!AL$3,METALFISA!$B:$B,'Faltantes Fevereiro- Metalfisa'!$A127)</f>
        <v>0</v>
      </c>
      <c r="AM127" s="31">
        <f>SUMIFS(METALFISA!$E:$E,METALFISA!$A:$A,'Faltantes Fevereiro- Metalfisa'!AM$3,METALFISA!$B:$B,'Faltantes Fevereiro- Metalfisa'!$A127)</f>
        <v>3</v>
      </c>
      <c r="AN127" s="31">
        <f>SUMIFS(METALFISA!$E:$E,METALFISA!$A:$A,'Faltantes Fevereiro- Metalfisa'!AN$3,METALFISA!$B:$B,'Faltantes Fevereiro- Metalfisa'!$A127)</f>
        <v>0</v>
      </c>
      <c r="AO127" s="31">
        <f>SUMIFS(METALFISA!$E:$E,METALFISA!$A:$A,'Faltantes Fevereiro- Metalfisa'!AO$3,METALFISA!$B:$B,'Faltantes Fevereiro- Metalfisa'!$A127)</f>
        <v>0</v>
      </c>
      <c r="AP127" s="31">
        <f>SUMIFS(METALFISA!$E:$E,METALFISA!$A:$A,'Faltantes Fevereiro- Metalfisa'!AP$3,METALFISA!$B:$B,'Faltantes Fevereiro- Metalfisa'!$A127)</f>
        <v>0</v>
      </c>
      <c r="AQ127" s="31"/>
      <c r="AR127" s="31">
        <f>SUMIFS(METALFISA!$E:$E,METALFISA!$A:$A,'Faltantes Fevereiro- Metalfisa'!AR$3,METALFISA!$B:$B,'Faltantes Fevereiro- Metalfisa'!$A127)</f>
        <v>0</v>
      </c>
      <c r="AS127" s="35">
        <f>SUMIFS(METALFISA!$E:$E,METALFISA!$A:$A,'Faltantes Fevereiro- Metalfisa'!AS$3,METALFISA!$B:$B,'Faltantes Fevereiro- Metalfisa'!$A127)</f>
        <v>0</v>
      </c>
      <c r="AU127" s="18">
        <v>0</v>
      </c>
      <c r="AV127" s="18">
        <v>0</v>
      </c>
      <c r="AW127" s="18">
        <v>0</v>
      </c>
      <c r="AX127" s="18">
        <v>0</v>
      </c>
      <c r="AY127" s="41">
        <v>1</v>
      </c>
      <c r="AZ127" s="31">
        <v>0</v>
      </c>
      <c r="BA127" s="31">
        <v>0</v>
      </c>
      <c r="BB127" s="31">
        <v>0</v>
      </c>
      <c r="BC127" s="31">
        <v>0</v>
      </c>
      <c r="BD127" s="31">
        <v>0</v>
      </c>
      <c r="BE127" s="31">
        <v>0</v>
      </c>
      <c r="BF127" s="31">
        <v>0</v>
      </c>
      <c r="BG127" s="31">
        <v>0</v>
      </c>
      <c r="BH127" s="31">
        <v>0</v>
      </c>
      <c r="BI127" s="31">
        <v>0</v>
      </c>
      <c r="BJ127" s="31">
        <v>0</v>
      </c>
      <c r="BK127" s="31">
        <v>0</v>
      </c>
      <c r="BL127" s="31">
        <v>0</v>
      </c>
      <c r="BM127" s="31">
        <v>0</v>
      </c>
      <c r="BN127" s="31">
        <v>0</v>
      </c>
      <c r="BO127" s="31">
        <v>0</v>
      </c>
      <c r="BP127" s="31">
        <v>0</v>
      </c>
      <c r="BQ127" s="31">
        <v>0</v>
      </c>
      <c r="BR127" s="31">
        <v>0</v>
      </c>
      <c r="BS127" s="31">
        <v>0</v>
      </c>
      <c r="BT127" s="31">
        <v>0</v>
      </c>
      <c r="BU127" s="31">
        <v>0</v>
      </c>
      <c r="BV127" s="31">
        <v>0</v>
      </c>
      <c r="BW127" s="31">
        <v>0</v>
      </c>
      <c r="BX127" s="31">
        <v>0</v>
      </c>
      <c r="BY127" s="31">
        <v>0</v>
      </c>
      <c r="BZ127" s="31">
        <v>0</v>
      </c>
      <c r="CA127" s="31">
        <v>0</v>
      </c>
      <c r="CB127" s="31">
        <v>0</v>
      </c>
      <c r="CC127" s="31">
        <v>0</v>
      </c>
      <c r="CD127" s="31">
        <v>0</v>
      </c>
      <c r="CE127" s="31">
        <v>0</v>
      </c>
      <c r="CF127" s="31">
        <v>0</v>
      </c>
      <c r="CG127" s="31">
        <v>0</v>
      </c>
      <c r="CH127" s="31">
        <v>0</v>
      </c>
      <c r="CI127" s="31">
        <v>0</v>
      </c>
      <c r="CJ127" s="31">
        <v>0</v>
      </c>
      <c r="CK127" s="31">
        <v>0</v>
      </c>
      <c r="CL127" s="35">
        <v>0</v>
      </c>
    </row>
    <row r="128" spans="1:90" ht="21" x14ac:dyDescent="0.15">
      <c r="A128" s="27" t="s">
        <v>74</v>
      </c>
      <c r="B128" s="28" t="s">
        <v>148</v>
      </c>
      <c r="C128" s="28">
        <v>3</v>
      </c>
      <c r="D128" s="28">
        <v>0</v>
      </c>
      <c r="E128" s="28">
        <v>0</v>
      </c>
      <c r="F128" s="28">
        <v>0</v>
      </c>
      <c r="G128" s="28">
        <v>29</v>
      </c>
      <c r="H128" s="28">
        <f>IFERROR(VLOOKUP(A128,[1]FALTANTES!$A:$AB,28,FALSE),"-")</f>
        <v>3</v>
      </c>
      <c r="I128" s="42">
        <f>IFERROR(VLOOKUP(A128,[1]FALTANTES!$A:$AC,29,FALSE),"-")</f>
        <v>0</v>
      </c>
      <c r="J128" s="29">
        <f>IFERROR(VLOOKUP(A128,[1]FALTANTES!$A:$AD,30,FALSE),"-")</f>
        <v>-32</v>
      </c>
      <c r="K128" s="30">
        <v>0</v>
      </c>
      <c r="L128" s="30">
        <f t="shared" si="2"/>
        <v>32</v>
      </c>
      <c r="M128" s="31">
        <f>SUMIFS(METALFISA!$E:$E,METALFISA!$A:$A,'Faltantes Fevereiro- Metalfisa'!M$3,METALFISA!$B:$B,'Faltantes Fevereiro- Metalfisa'!$A128)</f>
        <v>0</v>
      </c>
      <c r="N128" s="31">
        <f>SUMIFS(METALFISA!$E:$E,METALFISA!$A:$A,'Faltantes Fevereiro- Metalfisa'!N$3,METALFISA!$B:$B,'Faltantes Fevereiro- Metalfisa'!$A128)</f>
        <v>0</v>
      </c>
      <c r="O128" s="31">
        <f>SUMIFS(METALFISA!$E:$E,METALFISA!$A:$A,'Faltantes Fevereiro- Metalfisa'!O$3,METALFISA!$B:$B,'Faltantes Fevereiro- Metalfisa'!$A128)</f>
        <v>0</v>
      </c>
      <c r="P128" s="31">
        <f>SUMIFS(METALFISA!$E:$E,METALFISA!$A:$A,'Faltantes Fevereiro- Metalfisa'!P$3,METALFISA!$B:$B,'Faltantes Fevereiro- Metalfisa'!$A128)</f>
        <v>0</v>
      </c>
      <c r="Q128" s="31">
        <f>SUMIFS(METALFISA!$E:$E,METALFISA!$A:$A,'Faltantes Fevereiro- Metalfisa'!Q$3,METALFISA!$B:$B,'Faltantes Fevereiro- Metalfisa'!$A128)</f>
        <v>0</v>
      </c>
      <c r="R128" s="31">
        <f>SUMIFS(METALFISA!$E:$E,METALFISA!$A:$A,'Faltantes Fevereiro- Metalfisa'!R$3,METALFISA!$B:$B,'Faltantes Fevereiro- Metalfisa'!$A128)</f>
        <v>0</v>
      </c>
      <c r="S128" s="31">
        <f>SUMIFS(METALFISA!$E:$E,METALFISA!$A:$A,'Faltantes Fevereiro- Metalfisa'!S$3,METALFISA!$B:$B,'Faltantes Fevereiro- Metalfisa'!$A128)</f>
        <v>0</v>
      </c>
      <c r="T128" s="31">
        <f>SUMIFS(METALFISA!$E:$E,METALFISA!$A:$A,'Faltantes Fevereiro- Metalfisa'!T$3,METALFISA!$B:$B,'Faltantes Fevereiro- Metalfisa'!$A128)</f>
        <v>0</v>
      </c>
      <c r="U128" s="31">
        <f>SUMIFS(METALFISA!$E:$E,METALFISA!$A:$A,'Faltantes Fevereiro- Metalfisa'!U$3,METALFISA!$B:$B,'Faltantes Fevereiro- Metalfisa'!$A128)</f>
        <v>0</v>
      </c>
      <c r="V128" s="31">
        <f>SUMIFS(METALFISA!$E:$E,METALFISA!$A:$A,'Faltantes Fevereiro- Metalfisa'!V$3,METALFISA!$B:$B,'Faltantes Fevereiro- Metalfisa'!$A128)</f>
        <v>0</v>
      </c>
      <c r="W128" s="31">
        <f>SUMIFS(METALFISA!$E:$E,METALFISA!$A:$A,'Faltantes Fevereiro- Metalfisa'!W$3,METALFISA!$B:$B,'Faltantes Fevereiro- Metalfisa'!$A128)</f>
        <v>0</v>
      </c>
      <c r="X128" s="31">
        <f>SUMIFS(METALFISA!$E:$E,METALFISA!$A:$A,'Faltantes Fevereiro- Metalfisa'!X$3,METALFISA!$B:$B,'Faltantes Fevereiro- Metalfisa'!$A128)</f>
        <v>0</v>
      </c>
      <c r="Y128" s="31">
        <f>SUMIFS(METALFISA!$E:$E,METALFISA!$A:$A,'Faltantes Fevereiro- Metalfisa'!Y$3,METALFISA!$B:$B,'Faltantes Fevereiro- Metalfisa'!$A128)</f>
        <v>0</v>
      </c>
      <c r="Z128" s="31">
        <f>SUMIFS(METALFISA!$E:$E,METALFISA!$A:$A,'Faltantes Fevereiro- Metalfisa'!Z$3,METALFISA!$B:$B,'Faltantes Fevereiro- Metalfisa'!$A128)</f>
        <v>0</v>
      </c>
      <c r="AA128" s="31">
        <f>SUMIFS(METALFISA!$E:$E,METALFISA!$A:$A,'Faltantes Fevereiro- Metalfisa'!AA$3,METALFISA!$B:$B,'Faltantes Fevereiro- Metalfisa'!$A128)</f>
        <v>0</v>
      </c>
      <c r="AB128" s="31">
        <f>SUMIFS(METALFISA!$E:$E,METALFISA!$A:$A,'Faltantes Fevereiro- Metalfisa'!AB$3,METALFISA!$B:$B,'Faltantes Fevereiro- Metalfisa'!$A128)</f>
        <v>0</v>
      </c>
      <c r="AC128" s="31">
        <f>SUMIFS(METALFISA!$E:$E,METALFISA!$A:$A,'Faltantes Fevereiro- Metalfisa'!AC$3,METALFISA!$B:$B,'Faltantes Fevereiro- Metalfisa'!$A128)</f>
        <v>0</v>
      </c>
      <c r="AD128" s="31">
        <f>SUMIFS(METALFISA!$E:$E,METALFISA!$A:$A,'Faltantes Fevereiro- Metalfisa'!AD$3,METALFISA!$B:$B,'Faltantes Fevereiro- Metalfisa'!$A128)</f>
        <v>0</v>
      </c>
      <c r="AE128" s="31">
        <f>SUMIFS(METALFISA!$E:$E,METALFISA!$A:$A,'Faltantes Fevereiro- Metalfisa'!AE$3,METALFISA!$B:$B,'Faltantes Fevereiro- Metalfisa'!$A128)</f>
        <v>0</v>
      </c>
      <c r="AF128" s="31">
        <f>SUMIFS(METALFISA!$E:$E,METALFISA!$A:$A,'Faltantes Fevereiro- Metalfisa'!AF$3,METALFISA!$B:$B,'Faltantes Fevereiro- Metalfisa'!$A128)</f>
        <v>0</v>
      </c>
      <c r="AG128" s="31">
        <f>SUMIFS(METALFISA!$E:$E,METALFISA!$A:$A,'Faltantes Fevereiro- Metalfisa'!AG$3,METALFISA!$B:$B,'Faltantes Fevereiro- Metalfisa'!$A128)</f>
        <v>0</v>
      </c>
      <c r="AH128" s="31">
        <f>SUMIFS(METALFISA!$E:$E,METALFISA!$A:$A,'Faltantes Fevereiro- Metalfisa'!AH$3,METALFISA!$B:$B,'Faltantes Fevereiro- Metalfisa'!$A128)</f>
        <v>32</v>
      </c>
      <c r="AI128" s="31">
        <f>SUMIFS(METALFISA!$E:$E,METALFISA!$A:$A,'Faltantes Fevereiro- Metalfisa'!AI$3,METALFISA!$B:$B,'Faltantes Fevereiro- Metalfisa'!$A128)</f>
        <v>0</v>
      </c>
      <c r="AJ128" s="31">
        <f>SUMIFS(METALFISA!$E:$E,METALFISA!$A:$A,'Faltantes Fevereiro- Metalfisa'!AJ$3,METALFISA!$B:$B,'Faltantes Fevereiro- Metalfisa'!$A128)</f>
        <v>0</v>
      </c>
      <c r="AK128" s="31">
        <f>SUMIFS(METALFISA!$E:$E,METALFISA!$A:$A,'Faltantes Fevereiro- Metalfisa'!AK$3,METALFISA!$B:$B,'Faltantes Fevereiro- Metalfisa'!$A128)</f>
        <v>0</v>
      </c>
      <c r="AL128" s="31">
        <f>SUMIFS(METALFISA!$E:$E,METALFISA!$A:$A,'Faltantes Fevereiro- Metalfisa'!AL$3,METALFISA!$B:$B,'Faltantes Fevereiro- Metalfisa'!$A128)</f>
        <v>0</v>
      </c>
      <c r="AM128" s="31">
        <f>SUMIFS(METALFISA!$E:$E,METALFISA!$A:$A,'Faltantes Fevereiro- Metalfisa'!AM$3,METALFISA!$B:$B,'Faltantes Fevereiro- Metalfisa'!$A128)</f>
        <v>0</v>
      </c>
      <c r="AN128" s="31">
        <f>SUMIFS(METALFISA!$E:$E,METALFISA!$A:$A,'Faltantes Fevereiro- Metalfisa'!AN$3,METALFISA!$B:$B,'Faltantes Fevereiro- Metalfisa'!$A128)</f>
        <v>0</v>
      </c>
      <c r="AO128" s="31">
        <f>SUMIFS(METALFISA!$E:$E,METALFISA!$A:$A,'Faltantes Fevereiro- Metalfisa'!AO$3,METALFISA!$B:$B,'Faltantes Fevereiro- Metalfisa'!$A128)</f>
        <v>0</v>
      </c>
      <c r="AP128" s="31">
        <f>SUMIFS(METALFISA!$E:$E,METALFISA!$A:$A,'Faltantes Fevereiro- Metalfisa'!AP$3,METALFISA!$B:$B,'Faltantes Fevereiro- Metalfisa'!$A128)</f>
        <v>0</v>
      </c>
      <c r="AQ128" s="31"/>
      <c r="AR128" s="31">
        <f>SUMIFS(METALFISA!$E:$E,METALFISA!$A:$A,'Faltantes Fevereiro- Metalfisa'!AR$3,METALFISA!$B:$B,'Faltantes Fevereiro- Metalfisa'!$A128)</f>
        <v>0</v>
      </c>
      <c r="AS128" s="35">
        <f>SUMIFS(METALFISA!$E:$E,METALFISA!$A:$A,'Faltantes Fevereiro- Metalfisa'!AS$3,METALFISA!$B:$B,'Faltantes Fevereiro- Metalfisa'!$A128)</f>
        <v>0</v>
      </c>
      <c r="AU128" s="18">
        <v>0</v>
      </c>
      <c r="AV128" s="18">
        <v>0</v>
      </c>
      <c r="AW128" s="18">
        <v>0</v>
      </c>
      <c r="AX128" s="18">
        <v>0</v>
      </c>
      <c r="AY128" s="41">
        <v>1</v>
      </c>
      <c r="AZ128" s="31">
        <v>1</v>
      </c>
      <c r="BA128" s="31">
        <v>0</v>
      </c>
      <c r="BB128" s="31">
        <v>0</v>
      </c>
      <c r="BC128" s="31">
        <v>0</v>
      </c>
      <c r="BD128" s="31">
        <v>0</v>
      </c>
      <c r="BE128" s="31">
        <v>0</v>
      </c>
      <c r="BF128" s="31">
        <v>0</v>
      </c>
      <c r="BG128" s="31">
        <v>0</v>
      </c>
      <c r="BH128" s="31">
        <v>0</v>
      </c>
      <c r="BI128" s="31">
        <v>0</v>
      </c>
      <c r="BJ128" s="31">
        <v>0</v>
      </c>
      <c r="BK128" s="31">
        <v>0</v>
      </c>
      <c r="BL128" s="31">
        <v>0</v>
      </c>
      <c r="BM128" s="31">
        <v>0</v>
      </c>
      <c r="BN128" s="31">
        <v>0</v>
      </c>
      <c r="BO128" s="31">
        <v>0</v>
      </c>
      <c r="BP128" s="31">
        <v>0</v>
      </c>
      <c r="BQ128" s="31">
        <v>0</v>
      </c>
      <c r="BR128" s="31">
        <v>0</v>
      </c>
      <c r="BS128" s="31">
        <v>0</v>
      </c>
      <c r="BT128" s="31">
        <v>0</v>
      </c>
      <c r="BU128" s="31">
        <v>0</v>
      </c>
      <c r="BV128" s="31">
        <v>0</v>
      </c>
      <c r="BW128" s="31">
        <v>0</v>
      </c>
      <c r="BX128" s="31">
        <v>0</v>
      </c>
      <c r="BY128" s="31">
        <v>0</v>
      </c>
      <c r="BZ128" s="31">
        <v>0</v>
      </c>
      <c r="CA128" s="31">
        <v>0</v>
      </c>
      <c r="CB128" s="31">
        <v>0</v>
      </c>
      <c r="CC128" s="31">
        <v>0</v>
      </c>
      <c r="CD128" s="31">
        <v>0</v>
      </c>
      <c r="CE128" s="31">
        <v>0</v>
      </c>
      <c r="CF128" s="31">
        <v>0</v>
      </c>
      <c r="CG128" s="31">
        <v>0</v>
      </c>
      <c r="CH128" s="31">
        <v>0</v>
      </c>
      <c r="CI128" s="31">
        <v>0</v>
      </c>
      <c r="CJ128" s="31">
        <v>0</v>
      </c>
      <c r="CK128" s="31">
        <v>0</v>
      </c>
      <c r="CL128" s="35">
        <v>0</v>
      </c>
    </row>
    <row r="129" spans="1:90" ht="21" x14ac:dyDescent="0.15">
      <c r="A129" s="27" t="s">
        <v>75</v>
      </c>
      <c r="B129" s="28" t="s">
        <v>168</v>
      </c>
      <c r="C129" s="28">
        <v>6</v>
      </c>
      <c r="D129" s="28">
        <v>0</v>
      </c>
      <c r="E129" s="28">
        <v>0</v>
      </c>
      <c r="F129" s="28">
        <v>0</v>
      </c>
      <c r="G129" s="28">
        <v>25</v>
      </c>
      <c r="H129" s="28">
        <f>IFERROR(VLOOKUP(A129,[1]FALTANTES!$A:$AB,28,FALSE),"-")</f>
        <v>6</v>
      </c>
      <c r="I129" s="42">
        <f>IFERROR(VLOOKUP(A129,[1]FALTANTES!$A:$AC,29,FALSE),"-")</f>
        <v>0</v>
      </c>
      <c r="J129" s="29">
        <f>IFERROR(VLOOKUP(A129,[1]FALTANTES!$A:$AD,30,FALSE),"-")</f>
        <v>-31</v>
      </c>
      <c r="K129" s="30">
        <v>0</v>
      </c>
      <c r="L129" s="30">
        <f t="shared" si="2"/>
        <v>31</v>
      </c>
      <c r="M129" s="31">
        <f>SUMIFS(METALFISA!$E:$E,METALFISA!$A:$A,'Faltantes Fevereiro- Metalfisa'!M$3,METALFISA!$B:$B,'Faltantes Fevereiro- Metalfisa'!$A129)</f>
        <v>0</v>
      </c>
      <c r="N129" s="31">
        <f>SUMIFS(METALFISA!$E:$E,METALFISA!$A:$A,'Faltantes Fevereiro- Metalfisa'!N$3,METALFISA!$B:$B,'Faltantes Fevereiro- Metalfisa'!$A129)</f>
        <v>0</v>
      </c>
      <c r="O129" s="31">
        <f>SUMIFS(METALFISA!$E:$E,METALFISA!$A:$A,'Faltantes Fevereiro- Metalfisa'!O$3,METALFISA!$B:$B,'Faltantes Fevereiro- Metalfisa'!$A129)</f>
        <v>1</v>
      </c>
      <c r="P129" s="31">
        <f>SUMIFS(METALFISA!$E:$E,METALFISA!$A:$A,'Faltantes Fevereiro- Metalfisa'!P$3,METALFISA!$B:$B,'Faltantes Fevereiro- Metalfisa'!$A129)</f>
        <v>0</v>
      </c>
      <c r="Q129" s="31">
        <f>SUMIFS(METALFISA!$E:$E,METALFISA!$A:$A,'Faltantes Fevereiro- Metalfisa'!Q$3,METALFISA!$B:$B,'Faltantes Fevereiro- Metalfisa'!$A129)</f>
        <v>0</v>
      </c>
      <c r="R129" s="31">
        <f>SUMIFS(METALFISA!$E:$E,METALFISA!$A:$A,'Faltantes Fevereiro- Metalfisa'!R$3,METALFISA!$B:$B,'Faltantes Fevereiro- Metalfisa'!$A129)</f>
        <v>0</v>
      </c>
      <c r="S129" s="31">
        <f>SUMIFS(METALFISA!$E:$E,METALFISA!$A:$A,'Faltantes Fevereiro- Metalfisa'!S$3,METALFISA!$B:$B,'Faltantes Fevereiro- Metalfisa'!$A129)</f>
        <v>0</v>
      </c>
      <c r="T129" s="31">
        <f>SUMIFS(METALFISA!$E:$E,METALFISA!$A:$A,'Faltantes Fevereiro- Metalfisa'!T$3,METALFISA!$B:$B,'Faltantes Fevereiro- Metalfisa'!$A129)</f>
        <v>0</v>
      </c>
      <c r="U129" s="31">
        <f>SUMIFS(METALFISA!$E:$E,METALFISA!$A:$A,'Faltantes Fevereiro- Metalfisa'!U$3,METALFISA!$B:$B,'Faltantes Fevereiro- Metalfisa'!$A129)</f>
        <v>0</v>
      </c>
      <c r="V129" s="31">
        <f>SUMIFS(METALFISA!$E:$E,METALFISA!$A:$A,'Faltantes Fevereiro- Metalfisa'!V$3,METALFISA!$B:$B,'Faltantes Fevereiro- Metalfisa'!$A129)</f>
        <v>0</v>
      </c>
      <c r="W129" s="31">
        <f>SUMIFS(METALFISA!$E:$E,METALFISA!$A:$A,'Faltantes Fevereiro- Metalfisa'!W$3,METALFISA!$B:$B,'Faltantes Fevereiro- Metalfisa'!$A129)</f>
        <v>0</v>
      </c>
      <c r="X129" s="31">
        <f>SUMIFS(METALFISA!$E:$E,METALFISA!$A:$A,'Faltantes Fevereiro- Metalfisa'!X$3,METALFISA!$B:$B,'Faltantes Fevereiro- Metalfisa'!$A129)</f>
        <v>0</v>
      </c>
      <c r="Y129" s="31">
        <f>SUMIFS(METALFISA!$E:$E,METALFISA!$A:$A,'Faltantes Fevereiro- Metalfisa'!Y$3,METALFISA!$B:$B,'Faltantes Fevereiro- Metalfisa'!$A129)</f>
        <v>0</v>
      </c>
      <c r="Z129" s="31">
        <f>SUMIFS(METALFISA!$E:$E,METALFISA!$A:$A,'Faltantes Fevereiro- Metalfisa'!Z$3,METALFISA!$B:$B,'Faltantes Fevereiro- Metalfisa'!$A129)</f>
        <v>0</v>
      </c>
      <c r="AA129" s="31">
        <f>SUMIFS(METALFISA!$E:$E,METALFISA!$A:$A,'Faltantes Fevereiro- Metalfisa'!AA$3,METALFISA!$B:$B,'Faltantes Fevereiro- Metalfisa'!$A129)</f>
        <v>0</v>
      </c>
      <c r="AB129" s="31">
        <f>SUMIFS(METALFISA!$E:$E,METALFISA!$A:$A,'Faltantes Fevereiro- Metalfisa'!AB$3,METALFISA!$B:$B,'Faltantes Fevereiro- Metalfisa'!$A129)</f>
        <v>0</v>
      </c>
      <c r="AC129" s="31">
        <f>SUMIFS(METALFISA!$E:$E,METALFISA!$A:$A,'Faltantes Fevereiro- Metalfisa'!AC$3,METALFISA!$B:$B,'Faltantes Fevereiro- Metalfisa'!$A129)</f>
        <v>0</v>
      </c>
      <c r="AD129" s="31">
        <f>SUMIFS(METALFISA!$E:$E,METALFISA!$A:$A,'Faltantes Fevereiro- Metalfisa'!AD$3,METALFISA!$B:$B,'Faltantes Fevereiro- Metalfisa'!$A129)</f>
        <v>0</v>
      </c>
      <c r="AE129" s="31">
        <f>SUMIFS(METALFISA!$E:$E,METALFISA!$A:$A,'Faltantes Fevereiro- Metalfisa'!AE$3,METALFISA!$B:$B,'Faltantes Fevereiro- Metalfisa'!$A129)</f>
        <v>0</v>
      </c>
      <c r="AF129" s="31">
        <f>SUMIFS(METALFISA!$E:$E,METALFISA!$A:$A,'Faltantes Fevereiro- Metalfisa'!AF$3,METALFISA!$B:$B,'Faltantes Fevereiro- Metalfisa'!$A129)</f>
        <v>0</v>
      </c>
      <c r="AG129" s="31">
        <f>SUMIFS(METALFISA!$E:$E,METALFISA!$A:$A,'Faltantes Fevereiro- Metalfisa'!AG$3,METALFISA!$B:$B,'Faltantes Fevereiro- Metalfisa'!$A129)</f>
        <v>0</v>
      </c>
      <c r="AH129" s="31">
        <f>SUMIFS(METALFISA!$E:$E,METALFISA!$A:$A,'Faltantes Fevereiro- Metalfisa'!AH$3,METALFISA!$B:$B,'Faltantes Fevereiro- Metalfisa'!$A129)</f>
        <v>30</v>
      </c>
      <c r="AI129" s="31">
        <f>SUMIFS(METALFISA!$E:$E,METALFISA!$A:$A,'Faltantes Fevereiro- Metalfisa'!AI$3,METALFISA!$B:$B,'Faltantes Fevereiro- Metalfisa'!$A129)</f>
        <v>0</v>
      </c>
      <c r="AJ129" s="31">
        <f>SUMIFS(METALFISA!$E:$E,METALFISA!$A:$A,'Faltantes Fevereiro- Metalfisa'!AJ$3,METALFISA!$B:$B,'Faltantes Fevereiro- Metalfisa'!$A129)</f>
        <v>0</v>
      </c>
      <c r="AK129" s="31">
        <f>SUMIFS(METALFISA!$E:$E,METALFISA!$A:$A,'Faltantes Fevereiro- Metalfisa'!AK$3,METALFISA!$B:$B,'Faltantes Fevereiro- Metalfisa'!$A129)</f>
        <v>0</v>
      </c>
      <c r="AL129" s="31">
        <f>SUMIFS(METALFISA!$E:$E,METALFISA!$A:$A,'Faltantes Fevereiro- Metalfisa'!AL$3,METALFISA!$B:$B,'Faltantes Fevereiro- Metalfisa'!$A129)</f>
        <v>0</v>
      </c>
      <c r="AM129" s="31">
        <f>SUMIFS(METALFISA!$E:$E,METALFISA!$A:$A,'Faltantes Fevereiro- Metalfisa'!AM$3,METALFISA!$B:$B,'Faltantes Fevereiro- Metalfisa'!$A129)</f>
        <v>0</v>
      </c>
      <c r="AN129" s="31">
        <f>SUMIFS(METALFISA!$E:$E,METALFISA!$A:$A,'Faltantes Fevereiro- Metalfisa'!AN$3,METALFISA!$B:$B,'Faltantes Fevereiro- Metalfisa'!$A129)</f>
        <v>0</v>
      </c>
      <c r="AO129" s="31">
        <f>SUMIFS(METALFISA!$E:$E,METALFISA!$A:$A,'Faltantes Fevereiro- Metalfisa'!AO$3,METALFISA!$B:$B,'Faltantes Fevereiro- Metalfisa'!$A129)</f>
        <v>0</v>
      </c>
      <c r="AP129" s="31">
        <f>SUMIFS(METALFISA!$E:$E,METALFISA!$A:$A,'Faltantes Fevereiro- Metalfisa'!AP$3,METALFISA!$B:$B,'Faltantes Fevereiro- Metalfisa'!$A129)</f>
        <v>0</v>
      </c>
      <c r="AQ129" s="31"/>
      <c r="AR129" s="31">
        <f>SUMIFS(METALFISA!$E:$E,METALFISA!$A:$A,'Faltantes Fevereiro- Metalfisa'!AR$3,METALFISA!$B:$B,'Faltantes Fevereiro- Metalfisa'!$A129)</f>
        <v>0</v>
      </c>
      <c r="AS129" s="35">
        <f>SUMIFS(METALFISA!$E:$E,METALFISA!$A:$A,'Faltantes Fevereiro- Metalfisa'!AS$3,METALFISA!$B:$B,'Faltantes Fevereiro- Metalfisa'!$A129)</f>
        <v>0</v>
      </c>
      <c r="AU129" s="18">
        <v>0</v>
      </c>
      <c r="AV129" s="18">
        <v>0</v>
      </c>
      <c r="AW129" s="18">
        <v>0</v>
      </c>
      <c r="AX129" s="18">
        <v>0</v>
      </c>
      <c r="AY129" s="41">
        <v>1</v>
      </c>
      <c r="AZ129" s="31">
        <v>0</v>
      </c>
      <c r="BA129" s="31">
        <v>0</v>
      </c>
      <c r="BB129" s="31">
        <v>0</v>
      </c>
      <c r="BC129" s="31">
        <v>0</v>
      </c>
      <c r="BD129" s="31">
        <v>0</v>
      </c>
      <c r="BE129" s="31">
        <v>0</v>
      </c>
      <c r="BF129" s="31">
        <v>0</v>
      </c>
      <c r="BG129" s="31">
        <v>0</v>
      </c>
      <c r="BH129" s="31">
        <v>0</v>
      </c>
      <c r="BI129" s="31">
        <v>0</v>
      </c>
      <c r="BJ129" s="31">
        <v>0</v>
      </c>
      <c r="BK129" s="31">
        <v>0</v>
      </c>
      <c r="BL129" s="31">
        <v>0</v>
      </c>
      <c r="BM129" s="31">
        <v>0</v>
      </c>
      <c r="BN129" s="31">
        <v>0</v>
      </c>
      <c r="BO129" s="31">
        <v>0</v>
      </c>
      <c r="BP129" s="31">
        <v>0</v>
      </c>
      <c r="BQ129" s="31">
        <v>0</v>
      </c>
      <c r="BR129" s="31">
        <v>0</v>
      </c>
      <c r="BS129" s="31">
        <v>0</v>
      </c>
      <c r="BT129" s="31">
        <v>0</v>
      </c>
      <c r="BU129" s="31">
        <v>0</v>
      </c>
      <c r="BV129" s="31">
        <v>0</v>
      </c>
      <c r="BW129" s="31">
        <v>0</v>
      </c>
      <c r="BX129" s="31">
        <v>0</v>
      </c>
      <c r="BY129" s="31">
        <v>0</v>
      </c>
      <c r="BZ129" s="31">
        <v>0</v>
      </c>
      <c r="CA129" s="31">
        <v>0</v>
      </c>
      <c r="CB129" s="31">
        <v>0</v>
      </c>
      <c r="CC129" s="31">
        <v>0</v>
      </c>
      <c r="CD129" s="31">
        <v>0</v>
      </c>
      <c r="CE129" s="31">
        <v>0</v>
      </c>
      <c r="CF129" s="31">
        <v>0</v>
      </c>
      <c r="CG129" s="31">
        <v>0</v>
      </c>
      <c r="CH129" s="31">
        <v>0</v>
      </c>
      <c r="CI129" s="31">
        <v>0</v>
      </c>
      <c r="CJ129" s="31">
        <v>0</v>
      </c>
      <c r="CK129" s="31">
        <v>0</v>
      </c>
      <c r="CL129" s="35">
        <v>0</v>
      </c>
    </row>
    <row r="130" spans="1:90" ht="31.5" x14ac:dyDescent="0.15">
      <c r="A130" s="27" t="s">
        <v>476</v>
      </c>
      <c r="B130" s="28" t="s">
        <v>477</v>
      </c>
      <c r="C130" s="28">
        <v>0</v>
      </c>
      <c r="D130" s="28">
        <v>0</v>
      </c>
      <c r="E130" s="28">
        <v>0</v>
      </c>
      <c r="F130" s="28">
        <v>0</v>
      </c>
      <c r="G130" s="28">
        <v>3</v>
      </c>
      <c r="H130" s="28">
        <f>IFERROR(VLOOKUP(A130,[1]FALTANTES!$A:$AB,28,FALSE),"-")</f>
        <v>0</v>
      </c>
      <c r="I130" s="42">
        <f>IFERROR(VLOOKUP(A130,[1]FALTANTES!$A:$AC,29,FALSE),"-")</f>
        <v>2</v>
      </c>
      <c r="J130" s="29">
        <f>IFERROR(VLOOKUP(A130,[1]FALTANTES!$A:$AD,30,FALSE),"-")</f>
        <v>-1</v>
      </c>
      <c r="K130" s="30" t="s">
        <v>5639</v>
      </c>
      <c r="L130" s="30">
        <f t="shared" si="2"/>
        <v>1</v>
      </c>
      <c r="M130" s="31">
        <f>SUMIFS(METALFISA!$E:$E,METALFISA!$A:$A,'Faltantes Fevereiro- Metalfisa'!M$3,METALFISA!$B:$B,'Faltantes Fevereiro- Metalfisa'!$A130)</f>
        <v>0</v>
      </c>
      <c r="N130" s="31">
        <f>SUMIFS(METALFISA!$E:$E,METALFISA!$A:$A,'Faltantes Fevereiro- Metalfisa'!N$3,METALFISA!$B:$B,'Faltantes Fevereiro- Metalfisa'!$A130)</f>
        <v>0</v>
      </c>
      <c r="O130" s="31">
        <f>SUMIFS(METALFISA!$E:$E,METALFISA!$A:$A,'Faltantes Fevereiro- Metalfisa'!O$3,METALFISA!$B:$B,'Faltantes Fevereiro- Metalfisa'!$A130)</f>
        <v>0</v>
      </c>
      <c r="P130" s="31">
        <f>SUMIFS(METALFISA!$E:$E,METALFISA!$A:$A,'Faltantes Fevereiro- Metalfisa'!P$3,METALFISA!$B:$B,'Faltantes Fevereiro- Metalfisa'!$A130)</f>
        <v>0</v>
      </c>
      <c r="Q130" s="31">
        <f>SUMIFS(METALFISA!$E:$E,METALFISA!$A:$A,'Faltantes Fevereiro- Metalfisa'!Q$3,METALFISA!$B:$B,'Faltantes Fevereiro- Metalfisa'!$A130)</f>
        <v>0</v>
      </c>
      <c r="R130" s="31">
        <f>SUMIFS(METALFISA!$E:$E,METALFISA!$A:$A,'Faltantes Fevereiro- Metalfisa'!R$3,METALFISA!$B:$B,'Faltantes Fevereiro- Metalfisa'!$A130)</f>
        <v>0</v>
      </c>
      <c r="S130" s="31">
        <f>SUMIFS(METALFISA!$E:$E,METALFISA!$A:$A,'Faltantes Fevereiro- Metalfisa'!S$3,METALFISA!$B:$B,'Faltantes Fevereiro- Metalfisa'!$A130)</f>
        <v>0</v>
      </c>
      <c r="T130" s="31">
        <f>SUMIFS(METALFISA!$E:$E,METALFISA!$A:$A,'Faltantes Fevereiro- Metalfisa'!T$3,METALFISA!$B:$B,'Faltantes Fevereiro- Metalfisa'!$A130)</f>
        <v>0</v>
      </c>
      <c r="U130" s="31">
        <f>SUMIFS(METALFISA!$E:$E,METALFISA!$A:$A,'Faltantes Fevereiro- Metalfisa'!U$3,METALFISA!$B:$B,'Faltantes Fevereiro- Metalfisa'!$A130)</f>
        <v>0</v>
      </c>
      <c r="V130" s="31">
        <f>SUMIFS(METALFISA!$E:$E,METALFISA!$A:$A,'Faltantes Fevereiro- Metalfisa'!V$3,METALFISA!$B:$B,'Faltantes Fevereiro- Metalfisa'!$A130)</f>
        <v>0</v>
      </c>
      <c r="W130" s="31">
        <f>SUMIFS(METALFISA!$E:$E,METALFISA!$A:$A,'Faltantes Fevereiro- Metalfisa'!W$3,METALFISA!$B:$B,'Faltantes Fevereiro- Metalfisa'!$A130)</f>
        <v>0</v>
      </c>
      <c r="X130" s="31">
        <f>SUMIFS(METALFISA!$E:$E,METALFISA!$A:$A,'Faltantes Fevereiro- Metalfisa'!X$3,METALFISA!$B:$B,'Faltantes Fevereiro- Metalfisa'!$A130)</f>
        <v>0</v>
      </c>
      <c r="Y130" s="31">
        <f>SUMIFS(METALFISA!$E:$E,METALFISA!$A:$A,'Faltantes Fevereiro- Metalfisa'!Y$3,METALFISA!$B:$B,'Faltantes Fevereiro- Metalfisa'!$A130)</f>
        <v>0</v>
      </c>
      <c r="Z130" s="31">
        <f>SUMIFS(METALFISA!$E:$E,METALFISA!$A:$A,'Faltantes Fevereiro- Metalfisa'!Z$3,METALFISA!$B:$B,'Faltantes Fevereiro- Metalfisa'!$A130)</f>
        <v>0</v>
      </c>
      <c r="AA130" s="31">
        <f>SUMIFS(METALFISA!$E:$E,METALFISA!$A:$A,'Faltantes Fevereiro- Metalfisa'!AA$3,METALFISA!$B:$B,'Faltantes Fevereiro- Metalfisa'!$A130)</f>
        <v>0</v>
      </c>
      <c r="AB130" s="31">
        <f>SUMIFS(METALFISA!$E:$E,METALFISA!$A:$A,'Faltantes Fevereiro- Metalfisa'!AB$3,METALFISA!$B:$B,'Faltantes Fevereiro- Metalfisa'!$A130)</f>
        <v>0</v>
      </c>
      <c r="AC130" s="31">
        <f>SUMIFS(METALFISA!$E:$E,METALFISA!$A:$A,'Faltantes Fevereiro- Metalfisa'!AC$3,METALFISA!$B:$B,'Faltantes Fevereiro- Metalfisa'!$A130)</f>
        <v>0</v>
      </c>
      <c r="AD130" s="31">
        <f>SUMIFS(METALFISA!$E:$E,METALFISA!$A:$A,'Faltantes Fevereiro- Metalfisa'!AD$3,METALFISA!$B:$B,'Faltantes Fevereiro- Metalfisa'!$A130)</f>
        <v>0</v>
      </c>
      <c r="AE130" s="31">
        <f>SUMIFS(METALFISA!$E:$E,METALFISA!$A:$A,'Faltantes Fevereiro- Metalfisa'!AE$3,METALFISA!$B:$B,'Faltantes Fevereiro- Metalfisa'!$A130)</f>
        <v>0</v>
      </c>
      <c r="AF130" s="31">
        <f>SUMIFS(METALFISA!$E:$E,METALFISA!$A:$A,'Faltantes Fevereiro- Metalfisa'!AF$3,METALFISA!$B:$B,'Faltantes Fevereiro- Metalfisa'!$A130)</f>
        <v>0</v>
      </c>
      <c r="AG130" s="31">
        <f>SUMIFS(METALFISA!$E:$E,METALFISA!$A:$A,'Faltantes Fevereiro- Metalfisa'!AG$3,METALFISA!$B:$B,'Faltantes Fevereiro- Metalfisa'!$A130)</f>
        <v>0</v>
      </c>
      <c r="AH130" s="31">
        <f>SUMIFS(METALFISA!$E:$E,METALFISA!$A:$A,'Faltantes Fevereiro- Metalfisa'!AH$3,METALFISA!$B:$B,'Faltantes Fevereiro- Metalfisa'!$A130)</f>
        <v>0</v>
      </c>
      <c r="AI130" s="31">
        <f>SUMIFS(METALFISA!$E:$E,METALFISA!$A:$A,'Faltantes Fevereiro- Metalfisa'!AI$3,METALFISA!$B:$B,'Faltantes Fevereiro- Metalfisa'!$A130)</f>
        <v>0</v>
      </c>
      <c r="AJ130" s="31">
        <f>SUMIFS(METALFISA!$E:$E,METALFISA!$A:$A,'Faltantes Fevereiro- Metalfisa'!AJ$3,METALFISA!$B:$B,'Faltantes Fevereiro- Metalfisa'!$A130)</f>
        <v>0</v>
      </c>
      <c r="AK130" s="31">
        <f>SUMIFS(METALFISA!$E:$E,METALFISA!$A:$A,'Faltantes Fevereiro- Metalfisa'!AK$3,METALFISA!$B:$B,'Faltantes Fevereiro- Metalfisa'!$A130)</f>
        <v>0</v>
      </c>
      <c r="AL130" s="31">
        <f>SUMIFS(METALFISA!$E:$E,METALFISA!$A:$A,'Faltantes Fevereiro- Metalfisa'!AL$3,METALFISA!$B:$B,'Faltantes Fevereiro- Metalfisa'!$A130)</f>
        <v>0</v>
      </c>
      <c r="AM130" s="31">
        <f>SUMIFS(METALFISA!$E:$E,METALFISA!$A:$A,'Faltantes Fevereiro- Metalfisa'!AM$3,METALFISA!$B:$B,'Faltantes Fevereiro- Metalfisa'!$A130)</f>
        <v>1</v>
      </c>
      <c r="AN130" s="31">
        <f>SUMIFS(METALFISA!$E:$E,METALFISA!$A:$A,'Faltantes Fevereiro- Metalfisa'!AN$3,METALFISA!$B:$B,'Faltantes Fevereiro- Metalfisa'!$A130)</f>
        <v>0</v>
      </c>
      <c r="AO130" s="31">
        <f>SUMIFS(METALFISA!$E:$E,METALFISA!$A:$A,'Faltantes Fevereiro- Metalfisa'!AO$3,METALFISA!$B:$B,'Faltantes Fevereiro- Metalfisa'!$A130)</f>
        <v>0</v>
      </c>
      <c r="AP130" s="31">
        <f>SUMIFS(METALFISA!$E:$E,METALFISA!$A:$A,'Faltantes Fevereiro- Metalfisa'!AP$3,METALFISA!$B:$B,'Faltantes Fevereiro- Metalfisa'!$A130)</f>
        <v>0</v>
      </c>
      <c r="AQ130" s="31"/>
      <c r="AR130" s="31">
        <f>SUMIFS(METALFISA!$E:$E,METALFISA!$A:$A,'Faltantes Fevereiro- Metalfisa'!AR$3,METALFISA!$B:$B,'Faltantes Fevereiro- Metalfisa'!$A130)</f>
        <v>0</v>
      </c>
      <c r="AS130" s="35">
        <f>SUMIFS(METALFISA!$E:$E,METALFISA!$A:$A,'Faltantes Fevereiro- Metalfisa'!AS$3,METALFISA!$B:$B,'Faltantes Fevereiro- Metalfisa'!$A130)</f>
        <v>0</v>
      </c>
      <c r="AU130" s="18">
        <v>0</v>
      </c>
      <c r="AV130" s="18">
        <v>0</v>
      </c>
      <c r="AW130" s="18">
        <v>0</v>
      </c>
      <c r="AX130" s="18">
        <v>0</v>
      </c>
      <c r="AY130" s="41">
        <v>0</v>
      </c>
      <c r="AZ130" s="31">
        <v>1</v>
      </c>
      <c r="BA130" s="31">
        <v>0</v>
      </c>
      <c r="BB130" s="31">
        <v>0</v>
      </c>
      <c r="BC130" s="31">
        <v>0</v>
      </c>
      <c r="BD130" s="31">
        <v>0</v>
      </c>
      <c r="BE130" s="31">
        <v>0</v>
      </c>
      <c r="BF130" s="31">
        <v>0</v>
      </c>
      <c r="BG130" s="31">
        <v>0</v>
      </c>
      <c r="BH130" s="31">
        <v>0</v>
      </c>
      <c r="BI130" s="31">
        <v>0</v>
      </c>
      <c r="BJ130" s="31">
        <v>0</v>
      </c>
      <c r="BK130" s="31">
        <v>0</v>
      </c>
      <c r="BL130" s="31">
        <v>0</v>
      </c>
      <c r="BM130" s="31">
        <v>0</v>
      </c>
      <c r="BN130" s="31">
        <v>0</v>
      </c>
      <c r="BO130" s="31">
        <v>0</v>
      </c>
      <c r="BP130" s="31">
        <v>0</v>
      </c>
      <c r="BQ130" s="31">
        <v>0</v>
      </c>
      <c r="BR130" s="31">
        <v>0</v>
      </c>
      <c r="BS130" s="31">
        <v>0</v>
      </c>
      <c r="BT130" s="31">
        <v>0</v>
      </c>
      <c r="BU130" s="31">
        <v>0</v>
      </c>
      <c r="BV130" s="31">
        <v>0</v>
      </c>
      <c r="BW130" s="31">
        <v>0</v>
      </c>
      <c r="BX130" s="31">
        <v>0</v>
      </c>
      <c r="BY130" s="31">
        <v>0</v>
      </c>
      <c r="BZ130" s="31">
        <v>0</v>
      </c>
      <c r="CA130" s="31">
        <v>0</v>
      </c>
      <c r="CB130" s="31">
        <v>0</v>
      </c>
      <c r="CC130" s="31">
        <v>0</v>
      </c>
      <c r="CD130" s="31">
        <v>0</v>
      </c>
      <c r="CE130" s="31">
        <v>0</v>
      </c>
      <c r="CF130" s="31">
        <v>0</v>
      </c>
      <c r="CG130" s="31">
        <v>0</v>
      </c>
      <c r="CH130" s="31">
        <v>0</v>
      </c>
      <c r="CI130" s="31">
        <v>0</v>
      </c>
      <c r="CJ130" s="31">
        <v>0</v>
      </c>
      <c r="CK130" s="31">
        <v>0</v>
      </c>
      <c r="CL130" s="35">
        <v>0</v>
      </c>
    </row>
    <row r="131" spans="1:90" ht="21" x14ac:dyDescent="0.15">
      <c r="A131" s="27" t="s">
        <v>779</v>
      </c>
      <c r="B131" s="28" t="s">
        <v>780</v>
      </c>
      <c r="C131" s="28">
        <v>10</v>
      </c>
      <c r="D131" s="28">
        <v>0</v>
      </c>
      <c r="E131" s="28">
        <v>0</v>
      </c>
      <c r="F131" s="28">
        <v>0</v>
      </c>
      <c r="G131" s="28">
        <v>29</v>
      </c>
      <c r="H131" s="28">
        <f>IFERROR(VLOOKUP(A131,[1]FALTANTES!$A:$AB,28,FALSE),"-")</f>
        <v>0</v>
      </c>
      <c r="I131" s="42">
        <f>IFERROR(VLOOKUP(A131,[1]FALTANTES!$A:$AC,29,FALSE),"-")</f>
        <v>32</v>
      </c>
      <c r="J131" s="29">
        <f>IFERROR(VLOOKUP(A131,[1]FALTANTES!$A:$AD,30,FALSE),"-")</f>
        <v>-7</v>
      </c>
      <c r="K131" s="30">
        <v>0</v>
      </c>
      <c r="L131" s="30">
        <f t="shared" si="2"/>
        <v>7</v>
      </c>
      <c r="M131" s="31">
        <f>SUMIFS(METALFISA!$E:$E,METALFISA!$A:$A,'Faltantes Fevereiro- Metalfisa'!M$3,METALFISA!$B:$B,'Faltantes Fevereiro- Metalfisa'!$A131)</f>
        <v>0</v>
      </c>
      <c r="N131" s="31">
        <f>SUMIFS(METALFISA!$E:$E,METALFISA!$A:$A,'Faltantes Fevereiro- Metalfisa'!N$3,METALFISA!$B:$B,'Faltantes Fevereiro- Metalfisa'!$A131)</f>
        <v>0</v>
      </c>
      <c r="O131" s="31">
        <f>SUMIFS(METALFISA!$E:$E,METALFISA!$A:$A,'Faltantes Fevereiro- Metalfisa'!O$3,METALFISA!$B:$B,'Faltantes Fevereiro- Metalfisa'!$A131)</f>
        <v>0</v>
      </c>
      <c r="P131" s="31">
        <f>SUMIFS(METALFISA!$E:$E,METALFISA!$A:$A,'Faltantes Fevereiro- Metalfisa'!P$3,METALFISA!$B:$B,'Faltantes Fevereiro- Metalfisa'!$A131)</f>
        <v>0</v>
      </c>
      <c r="Q131" s="31">
        <f>SUMIFS(METALFISA!$E:$E,METALFISA!$A:$A,'Faltantes Fevereiro- Metalfisa'!Q$3,METALFISA!$B:$B,'Faltantes Fevereiro- Metalfisa'!$A131)</f>
        <v>0</v>
      </c>
      <c r="R131" s="31">
        <f>SUMIFS(METALFISA!$E:$E,METALFISA!$A:$A,'Faltantes Fevereiro- Metalfisa'!R$3,METALFISA!$B:$B,'Faltantes Fevereiro- Metalfisa'!$A131)</f>
        <v>0</v>
      </c>
      <c r="S131" s="31">
        <f>SUMIFS(METALFISA!$E:$E,METALFISA!$A:$A,'Faltantes Fevereiro- Metalfisa'!S$3,METALFISA!$B:$B,'Faltantes Fevereiro- Metalfisa'!$A131)</f>
        <v>0</v>
      </c>
      <c r="T131" s="31">
        <f>SUMIFS(METALFISA!$E:$E,METALFISA!$A:$A,'Faltantes Fevereiro- Metalfisa'!T$3,METALFISA!$B:$B,'Faltantes Fevereiro- Metalfisa'!$A131)</f>
        <v>0</v>
      </c>
      <c r="U131" s="31">
        <f>SUMIFS(METALFISA!$E:$E,METALFISA!$A:$A,'Faltantes Fevereiro- Metalfisa'!U$3,METALFISA!$B:$B,'Faltantes Fevereiro- Metalfisa'!$A131)</f>
        <v>0</v>
      </c>
      <c r="V131" s="31">
        <f>SUMIFS(METALFISA!$E:$E,METALFISA!$A:$A,'Faltantes Fevereiro- Metalfisa'!V$3,METALFISA!$B:$B,'Faltantes Fevereiro- Metalfisa'!$A131)</f>
        <v>0</v>
      </c>
      <c r="W131" s="31">
        <f>SUMIFS(METALFISA!$E:$E,METALFISA!$A:$A,'Faltantes Fevereiro- Metalfisa'!W$3,METALFISA!$B:$B,'Faltantes Fevereiro- Metalfisa'!$A131)</f>
        <v>0</v>
      </c>
      <c r="X131" s="31">
        <f>SUMIFS(METALFISA!$E:$E,METALFISA!$A:$A,'Faltantes Fevereiro- Metalfisa'!X$3,METALFISA!$B:$B,'Faltantes Fevereiro- Metalfisa'!$A131)</f>
        <v>0</v>
      </c>
      <c r="Y131" s="31">
        <f>SUMIFS(METALFISA!$E:$E,METALFISA!$A:$A,'Faltantes Fevereiro- Metalfisa'!Y$3,METALFISA!$B:$B,'Faltantes Fevereiro- Metalfisa'!$A131)</f>
        <v>0</v>
      </c>
      <c r="Z131" s="31">
        <f>SUMIFS(METALFISA!$E:$E,METALFISA!$A:$A,'Faltantes Fevereiro- Metalfisa'!Z$3,METALFISA!$B:$B,'Faltantes Fevereiro- Metalfisa'!$A131)</f>
        <v>0</v>
      </c>
      <c r="AA131" s="31">
        <f>SUMIFS(METALFISA!$E:$E,METALFISA!$A:$A,'Faltantes Fevereiro- Metalfisa'!AA$3,METALFISA!$B:$B,'Faltantes Fevereiro- Metalfisa'!$A131)</f>
        <v>0</v>
      </c>
      <c r="AB131" s="31">
        <f>SUMIFS(METALFISA!$E:$E,METALFISA!$A:$A,'Faltantes Fevereiro- Metalfisa'!AB$3,METALFISA!$B:$B,'Faltantes Fevereiro- Metalfisa'!$A131)</f>
        <v>0</v>
      </c>
      <c r="AC131" s="31">
        <f>SUMIFS(METALFISA!$E:$E,METALFISA!$A:$A,'Faltantes Fevereiro- Metalfisa'!AC$3,METALFISA!$B:$B,'Faltantes Fevereiro- Metalfisa'!$A131)</f>
        <v>0</v>
      </c>
      <c r="AD131" s="31">
        <f>SUMIFS(METALFISA!$E:$E,METALFISA!$A:$A,'Faltantes Fevereiro- Metalfisa'!AD$3,METALFISA!$B:$B,'Faltantes Fevereiro- Metalfisa'!$A131)</f>
        <v>0</v>
      </c>
      <c r="AE131" s="31">
        <f>SUMIFS(METALFISA!$E:$E,METALFISA!$A:$A,'Faltantes Fevereiro- Metalfisa'!AE$3,METALFISA!$B:$B,'Faltantes Fevereiro- Metalfisa'!$A131)</f>
        <v>0</v>
      </c>
      <c r="AF131" s="31">
        <f>SUMIFS(METALFISA!$E:$E,METALFISA!$A:$A,'Faltantes Fevereiro- Metalfisa'!AF$3,METALFISA!$B:$B,'Faltantes Fevereiro- Metalfisa'!$A131)</f>
        <v>0</v>
      </c>
      <c r="AG131" s="31">
        <f>SUMIFS(METALFISA!$E:$E,METALFISA!$A:$A,'Faltantes Fevereiro- Metalfisa'!AG$3,METALFISA!$B:$B,'Faltantes Fevereiro- Metalfisa'!$A131)</f>
        <v>0</v>
      </c>
      <c r="AH131" s="31">
        <f>SUMIFS(METALFISA!$E:$E,METALFISA!$A:$A,'Faltantes Fevereiro- Metalfisa'!AH$3,METALFISA!$B:$B,'Faltantes Fevereiro- Metalfisa'!$A131)</f>
        <v>1</v>
      </c>
      <c r="AI131" s="31">
        <f>SUMIFS(METALFISA!$E:$E,METALFISA!$A:$A,'Faltantes Fevereiro- Metalfisa'!AI$3,METALFISA!$B:$B,'Faltantes Fevereiro- Metalfisa'!$A131)</f>
        <v>0</v>
      </c>
      <c r="AJ131" s="31">
        <f>SUMIFS(METALFISA!$E:$E,METALFISA!$A:$A,'Faltantes Fevereiro- Metalfisa'!AJ$3,METALFISA!$B:$B,'Faltantes Fevereiro- Metalfisa'!$A131)</f>
        <v>0</v>
      </c>
      <c r="AK131" s="31">
        <f>SUMIFS(METALFISA!$E:$E,METALFISA!$A:$A,'Faltantes Fevereiro- Metalfisa'!AK$3,METALFISA!$B:$B,'Faltantes Fevereiro- Metalfisa'!$A131)</f>
        <v>0</v>
      </c>
      <c r="AL131" s="31">
        <f>SUMIFS(METALFISA!$E:$E,METALFISA!$A:$A,'Faltantes Fevereiro- Metalfisa'!AL$3,METALFISA!$B:$B,'Faltantes Fevereiro- Metalfisa'!$A131)</f>
        <v>6</v>
      </c>
      <c r="AM131" s="31">
        <f>SUMIFS(METALFISA!$E:$E,METALFISA!$A:$A,'Faltantes Fevereiro- Metalfisa'!AM$3,METALFISA!$B:$B,'Faltantes Fevereiro- Metalfisa'!$A131)</f>
        <v>0</v>
      </c>
      <c r="AN131" s="31">
        <f>SUMIFS(METALFISA!$E:$E,METALFISA!$A:$A,'Faltantes Fevereiro- Metalfisa'!AN$3,METALFISA!$B:$B,'Faltantes Fevereiro- Metalfisa'!$A131)</f>
        <v>0</v>
      </c>
      <c r="AO131" s="31">
        <f>SUMIFS(METALFISA!$E:$E,METALFISA!$A:$A,'Faltantes Fevereiro- Metalfisa'!AO$3,METALFISA!$B:$B,'Faltantes Fevereiro- Metalfisa'!$A131)</f>
        <v>0</v>
      </c>
      <c r="AP131" s="31">
        <f>SUMIFS(METALFISA!$E:$E,METALFISA!$A:$A,'Faltantes Fevereiro- Metalfisa'!AP$3,METALFISA!$B:$B,'Faltantes Fevereiro- Metalfisa'!$A131)</f>
        <v>0</v>
      </c>
      <c r="AQ131" s="31"/>
      <c r="AR131" s="31">
        <f>SUMIFS(METALFISA!$E:$E,METALFISA!$A:$A,'Faltantes Fevereiro- Metalfisa'!AR$3,METALFISA!$B:$B,'Faltantes Fevereiro- Metalfisa'!$A131)</f>
        <v>0</v>
      </c>
      <c r="AS131" s="35">
        <f>SUMIFS(METALFISA!$E:$E,METALFISA!$A:$A,'Faltantes Fevereiro- Metalfisa'!AS$3,METALFISA!$B:$B,'Faltantes Fevereiro- Metalfisa'!$A131)</f>
        <v>0</v>
      </c>
      <c r="AU131" s="18">
        <v>0</v>
      </c>
      <c r="AV131" s="18">
        <v>0</v>
      </c>
      <c r="AW131" s="18">
        <v>0</v>
      </c>
      <c r="AX131" s="18">
        <v>0</v>
      </c>
      <c r="AY131" s="41">
        <v>1</v>
      </c>
      <c r="AZ131" s="31">
        <v>0</v>
      </c>
      <c r="BA131" s="31">
        <v>0</v>
      </c>
      <c r="BB131" s="31">
        <v>0</v>
      </c>
      <c r="BC131" s="31">
        <v>0</v>
      </c>
      <c r="BD131" s="31">
        <v>0</v>
      </c>
      <c r="BE131" s="31">
        <v>0</v>
      </c>
      <c r="BF131" s="31">
        <v>0</v>
      </c>
      <c r="BG131" s="31">
        <v>0</v>
      </c>
      <c r="BH131" s="31">
        <v>0</v>
      </c>
      <c r="BI131" s="31">
        <v>0</v>
      </c>
      <c r="BJ131" s="31">
        <v>0</v>
      </c>
      <c r="BK131" s="31">
        <v>0</v>
      </c>
      <c r="BL131" s="31">
        <v>0</v>
      </c>
      <c r="BM131" s="31">
        <v>0</v>
      </c>
      <c r="BN131" s="31">
        <v>0</v>
      </c>
      <c r="BO131" s="31">
        <v>0</v>
      </c>
      <c r="BP131" s="31">
        <v>0</v>
      </c>
      <c r="BQ131" s="31">
        <v>0</v>
      </c>
      <c r="BR131" s="31">
        <v>0</v>
      </c>
      <c r="BS131" s="31">
        <v>0</v>
      </c>
      <c r="BT131" s="31">
        <v>0</v>
      </c>
      <c r="BU131" s="31">
        <v>0</v>
      </c>
      <c r="BV131" s="31">
        <v>0</v>
      </c>
      <c r="BW131" s="31">
        <v>0</v>
      </c>
      <c r="BX131" s="31">
        <v>0</v>
      </c>
      <c r="BY131" s="31">
        <v>0</v>
      </c>
      <c r="BZ131" s="31">
        <v>0</v>
      </c>
      <c r="CA131" s="31">
        <v>0</v>
      </c>
      <c r="CB131" s="31">
        <v>0</v>
      </c>
      <c r="CC131" s="31">
        <v>0</v>
      </c>
      <c r="CD131" s="31">
        <v>0</v>
      </c>
      <c r="CE131" s="31">
        <v>0</v>
      </c>
      <c r="CF131" s="31">
        <v>0</v>
      </c>
      <c r="CG131" s="31">
        <v>0</v>
      </c>
      <c r="CH131" s="31">
        <v>0</v>
      </c>
      <c r="CI131" s="31">
        <v>0</v>
      </c>
      <c r="CJ131" s="31">
        <v>0</v>
      </c>
      <c r="CK131" s="31">
        <v>0</v>
      </c>
      <c r="CL131" s="35">
        <v>0</v>
      </c>
    </row>
    <row r="132" spans="1:90" ht="21" x14ac:dyDescent="0.15">
      <c r="A132" s="27" t="s">
        <v>781</v>
      </c>
      <c r="B132" s="28" t="s">
        <v>782</v>
      </c>
      <c r="C132" s="28">
        <v>10</v>
      </c>
      <c r="D132" s="28">
        <v>0</v>
      </c>
      <c r="E132" s="28">
        <v>0</v>
      </c>
      <c r="F132" s="28">
        <v>0</v>
      </c>
      <c r="G132" s="28">
        <v>29</v>
      </c>
      <c r="H132" s="28">
        <f>IFERROR(VLOOKUP(A132,[1]FALTANTES!$A:$AB,28,FALSE),"-")</f>
        <v>5</v>
      </c>
      <c r="I132" s="42">
        <f>IFERROR(VLOOKUP(A132,[1]FALTANTES!$A:$AC,29,FALSE),"-")</f>
        <v>0</v>
      </c>
      <c r="J132" s="29">
        <f>IFERROR(VLOOKUP(A132,[1]FALTANTES!$A:$AD,30,FALSE),"-")</f>
        <v>-39</v>
      </c>
      <c r="K132" s="30">
        <v>0</v>
      </c>
      <c r="L132" s="30">
        <f t="shared" si="2"/>
        <v>39</v>
      </c>
      <c r="M132" s="31">
        <f>SUMIFS(METALFISA!$E:$E,METALFISA!$A:$A,'Faltantes Fevereiro- Metalfisa'!M$3,METALFISA!$B:$B,'Faltantes Fevereiro- Metalfisa'!$A132)</f>
        <v>0</v>
      </c>
      <c r="N132" s="31">
        <f>SUMIFS(METALFISA!$E:$E,METALFISA!$A:$A,'Faltantes Fevereiro- Metalfisa'!N$3,METALFISA!$B:$B,'Faltantes Fevereiro- Metalfisa'!$A132)</f>
        <v>0</v>
      </c>
      <c r="O132" s="31">
        <f>SUMIFS(METALFISA!$E:$E,METALFISA!$A:$A,'Faltantes Fevereiro- Metalfisa'!O$3,METALFISA!$B:$B,'Faltantes Fevereiro- Metalfisa'!$A132)</f>
        <v>0</v>
      </c>
      <c r="P132" s="31">
        <f>SUMIFS(METALFISA!$E:$E,METALFISA!$A:$A,'Faltantes Fevereiro- Metalfisa'!P$3,METALFISA!$B:$B,'Faltantes Fevereiro- Metalfisa'!$A132)</f>
        <v>0</v>
      </c>
      <c r="Q132" s="31">
        <f>SUMIFS(METALFISA!$E:$E,METALFISA!$A:$A,'Faltantes Fevereiro- Metalfisa'!Q$3,METALFISA!$B:$B,'Faltantes Fevereiro- Metalfisa'!$A132)</f>
        <v>0</v>
      </c>
      <c r="R132" s="31">
        <f>SUMIFS(METALFISA!$E:$E,METALFISA!$A:$A,'Faltantes Fevereiro- Metalfisa'!R$3,METALFISA!$B:$B,'Faltantes Fevereiro- Metalfisa'!$A132)</f>
        <v>0</v>
      </c>
      <c r="S132" s="31">
        <f>SUMIFS(METALFISA!$E:$E,METALFISA!$A:$A,'Faltantes Fevereiro- Metalfisa'!S$3,METALFISA!$B:$B,'Faltantes Fevereiro- Metalfisa'!$A132)</f>
        <v>0</v>
      </c>
      <c r="T132" s="31">
        <f>SUMIFS(METALFISA!$E:$E,METALFISA!$A:$A,'Faltantes Fevereiro- Metalfisa'!T$3,METALFISA!$B:$B,'Faltantes Fevereiro- Metalfisa'!$A132)</f>
        <v>0</v>
      </c>
      <c r="U132" s="31">
        <f>SUMIFS(METALFISA!$E:$E,METALFISA!$A:$A,'Faltantes Fevereiro- Metalfisa'!U$3,METALFISA!$B:$B,'Faltantes Fevereiro- Metalfisa'!$A132)</f>
        <v>0</v>
      </c>
      <c r="V132" s="31">
        <f>SUMIFS(METALFISA!$E:$E,METALFISA!$A:$A,'Faltantes Fevereiro- Metalfisa'!V$3,METALFISA!$B:$B,'Faltantes Fevereiro- Metalfisa'!$A132)</f>
        <v>0</v>
      </c>
      <c r="W132" s="31">
        <f>SUMIFS(METALFISA!$E:$E,METALFISA!$A:$A,'Faltantes Fevereiro- Metalfisa'!W$3,METALFISA!$B:$B,'Faltantes Fevereiro- Metalfisa'!$A132)</f>
        <v>0</v>
      </c>
      <c r="X132" s="31">
        <f>SUMIFS(METALFISA!$E:$E,METALFISA!$A:$A,'Faltantes Fevereiro- Metalfisa'!X$3,METALFISA!$B:$B,'Faltantes Fevereiro- Metalfisa'!$A132)</f>
        <v>0</v>
      </c>
      <c r="Y132" s="31">
        <f>SUMIFS(METALFISA!$E:$E,METALFISA!$A:$A,'Faltantes Fevereiro- Metalfisa'!Y$3,METALFISA!$B:$B,'Faltantes Fevereiro- Metalfisa'!$A132)</f>
        <v>0</v>
      </c>
      <c r="Z132" s="31">
        <f>SUMIFS(METALFISA!$E:$E,METALFISA!$A:$A,'Faltantes Fevereiro- Metalfisa'!Z$3,METALFISA!$B:$B,'Faltantes Fevereiro- Metalfisa'!$A132)</f>
        <v>0</v>
      </c>
      <c r="AA132" s="31">
        <f>SUMIFS(METALFISA!$E:$E,METALFISA!$A:$A,'Faltantes Fevereiro- Metalfisa'!AA$3,METALFISA!$B:$B,'Faltantes Fevereiro- Metalfisa'!$A132)</f>
        <v>0</v>
      </c>
      <c r="AB132" s="31">
        <f>SUMIFS(METALFISA!$E:$E,METALFISA!$A:$A,'Faltantes Fevereiro- Metalfisa'!AB$3,METALFISA!$B:$B,'Faltantes Fevereiro- Metalfisa'!$A132)</f>
        <v>0</v>
      </c>
      <c r="AC132" s="31">
        <f>SUMIFS(METALFISA!$E:$E,METALFISA!$A:$A,'Faltantes Fevereiro- Metalfisa'!AC$3,METALFISA!$B:$B,'Faltantes Fevereiro- Metalfisa'!$A132)</f>
        <v>0</v>
      </c>
      <c r="AD132" s="31">
        <f>SUMIFS(METALFISA!$E:$E,METALFISA!$A:$A,'Faltantes Fevereiro- Metalfisa'!AD$3,METALFISA!$B:$B,'Faltantes Fevereiro- Metalfisa'!$A132)</f>
        <v>0</v>
      </c>
      <c r="AE132" s="31">
        <f>SUMIFS(METALFISA!$E:$E,METALFISA!$A:$A,'Faltantes Fevereiro- Metalfisa'!AE$3,METALFISA!$B:$B,'Faltantes Fevereiro- Metalfisa'!$A132)</f>
        <v>0</v>
      </c>
      <c r="AF132" s="31">
        <f>SUMIFS(METALFISA!$E:$E,METALFISA!$A:$A,'Faltantes Fevereiro- Metalfisa'!AF$3,METALFISA!$B:$B,'Faltantes Fevereiro- Metalfisa'!$A132)</f>
        <v>0</v>
      </c>
      <c r="AG132" s="31">
        <f>SUMIFS(METALFISA!$E:$E,METALFISA!$A:$A,'Faltantes Fevereiro- Metalfisa'!AG$3,METALFISA!$B:$B,'Faltantes Fevereiro- Metalfisa'!$A132)</f>
        <v>0</v>
      </c>
      <c r="AH132" s="31">
        <f>SUMIFS(METALFISA!$E:$E,METALFISA!$A:$A,'Faltantes Fevereiro- Metalfisa'!AH$3,METALFISA!$B:$B,'Faltantes Fevereiro- Metalfisa'!$A132)</f>
        <v>32</v>
      </c>
      <c r="AI132" s="31">
        <f>SUMIFS(METALFISA!$E:$E,METALFISA!$A:$A,'Faltantes Fevereiro- Metalfisa'!AI$3,METALFISA!$B:$B,'Faltantes Fevereiro- Metalfisa'!$A132)</f>
        <v>0</v>
      </c>
      <c r="AJ132" s="31">
        <f>SUMIFS(METALFISA!$E:$E,METALFISA!$A:$A,'Faltantes Fevereiro- Metalfisa'!AJ$3,METALFISA!$B:$B,'Faltantes Fevereiro- Metalfisa'!$A132)</f>
        <v>0</v>
      </c>
      <c r="AK132" s="31">
        <f>SUMIFS(METALFISA!$E:$E,METALFISA!$A:$A,'Faltantes Fevereiro- Metalfisa'!AK$3,METALFISA!$B:$B,'Faltantes Fevereiro- Metalfisa'!$A132)</f>
        <v>0</v>
      </c>
      <c r="AL132" s="31">
        <f>SUMIFS(METALFISA!$E:$E,METALFISA!$A:$A,'Faltantes Fevereiro- Metalfisa'!AL$3,METALFISA!$B:$B,'Faltantes Fevereiro- Metalfisa'!$A132)</f>
        <v>0</v>
      </c>
      <c r="AM132" s="31">
        <f>SUMIFS(METALFISA!$E:$E,METALFISA!$A:$A,'Faltantes Fevereiro- Metalfisa'!AM$3,METALFISA!$B:$B,'Faltantes Fevereiro- Metalfisa'!$A132)</f>
        <v>7</v>
      </c>
      <c r="AN132" s="31">
        <f>SUMIFS(METALFISA!$E:$E,METALFISA!$A:$A,'Faltantes Fevereiro- Metalfisa'!AN$3,METALFISA!$B:$B,'Faltantes Fevereiro- Metalfisa'!$A132)</f>
        <v>0</v>
      </c>
      <c r="AO132" s="31">
        <f>SUMIFS(METALFISA!$E:$E,METALFISA!$A:$A,'Faltantes Fevereiro- Metalfisa'!AO$3,METALFISA!$B:$B,'Faltantes Fevereiro- Metalfisa'!$A132)</f>
        <v>0</v>
      </c>
      <c r="AP132" s="31">
        <f>SUMIFS(METALFISA!$E:$E,METALFISA!$A:$A,'Faltantes Fevereiro- Metalfisa'!AP$3,METALFISA!$B:$B,'Faltantes Fevereiro- Metalfisa'!$A132)</f>
        <v>0</v>
      </c>
      <c r="AQ132" s="31"/>
      <c r="AR132" s="31">
        <f>SUMIFS(METALFISA!$E:$E,METALFISA!$A:$A,'Faltantes Fevereiro- Metalfisa'!AR$3,METALFISA!$B:$B,'Faltantes Fevereiro- Metalfisa'!$A132)</f>
        <v>0</v>
      </c>
      <c r="AS132" s="35">
        <f>SUMIFS(METALFISA!$E:$E,METALFISA!$A:$A,'Faltantes Fevereiro- Metalfisa'!AS$3,METALFISA!$B:$B,'Faltantes Fevereiro- Metalfisa'!$A132)</f>
        <v>0</v>
      </c>
      <c r="AU132" s="18">
        <v>0</v>
      </c>
      <c r="AV132" s="18">
        <v>0</v>
      </c>
      <c r="AW132" s="18">
        <v>0</v>
      </c>
      <c r="AX132" s="18">
        <v>0</v>
      </c>
      <c r="AY132" s="41">
        <v>1</v>
      </c>
      <c r="AZ132" s="31">
        <v>0</v>
      </c>
      <c r="BA132" s="31">
        <v>0</v>
      </c>
      <c r="BB132" s="31">
        <v>0</v>
      </c>
      <c r="BC132" s="31">
        <v>0</v>
      </c>
      <c r="BD132" s="31">
        <v>0</v>
      </c>
      <c r="BE132" s="31">
        <v>0</v>
      </c>
      <c r="BF132" s="31">
        <v>0</v>
      </c>
      <c r="BG132" s="31">
        <v>0</v>
      </c>
      <c r="BH132" s="31">
        <v>0</v>
      </c>
      <c r="BI132" s="31">
        <v>0</v>
      </c>
      <c r="BJ132" s="31">
        <v>0</v>
      </c>
      <c r="BK132" s="31">
        <v>0</v>
      </c>
      <c r="BL132" s="31">
        <v>0</v>
      </c>
      <c r="BM132" s="31">
        <v>0</v>
      </c>
      <c r="BN132" s="31">
        <v>0</v>
      </c>
      <c r="BO132" s="31">
        <v>0</v>
      </c>
      <c r="BP132" s="31">
        <v>0</v>
      </c>
      <c r="BQ132" s="31">
        <v>0</v>
      </c>
      <c r="BR132" s="31">
        <v>0</v>
      </c>
      <c r="BS132" s="31">
        <v>0</v>
      </c>
      <c r="BT132" s="31">
        <v>0</v>
      </c>
      <c r="BU132" s="31">
        <v>0</v>
      </c>
      <c r="BV132" s="31">
        <v>0</v>
      </c>
      <c r="BW132" s="31">
        <v>0</v>
      </c>
      <c r="BX132" s="31">
        <v>0</v>
      </c>
      <c r="BY132" s="31">
        <v>0</v>
      </c>
      <c r="BZ132" s="31">
        <v>0</v>
      </c>
      <c r="CA132" s="31">
        <v>0</v>
      </c>
      <c r="CB132" s="31">
        <v>0</v>
      </c>
      <c r="CC132" s="31">
        <v>0</v>
      </c>
      <c r="CD132" s="31">
        <v>0</v>
      </c>
      <c r="CE132" s="31">
        <v>0</v>
      </c>
      <c r="CF132" s="31">
        <v>0</v>
      </c>
      <c r="CG132" s="31">
        <v>0</v>
      </c>
      <c r="CH132" s="31">
        <v>0</v>
      </c>
      <c r="CI132" s="31">
        <v>0</v>
      </c>
      <c r="CJ132" s="31">
        <v>0</v>
      </c>
      <c r="CK132" s="31">
        <v>0</v>
      </c>
      <c r="CL132" s="35">
        <v>0</v>
      </c>
    </row>
    <row r="133" spans="1:90" ht="21" x14ac:dyDescent="0.15">
      <c r="A133" s="27" t="s">
        <v>79</v>
      </c>
      <c r="B133" s="28" t="s">
        <v>80</v>
      </c>
      <c r="C133" s="28">
        <v>0</v>
      </c>
      <c r="D133" s="28">
        <v>0</v>
      </c>
      <c r="E133" s="28">
        <v>0</v>
      </c>
      <c r="F133" s="28">
        <v>0</v>
      </c>
      <c r="G133" s="28">
        <v>4</v>
      </c>
      <c r="H133" s="28">
        <f>IFERROR(VLOOKUP(A133,[1]FALTANTES!$A:$AB,28,FALSE),"-")</f>
        <v>0</v>
      </c>
      <c r="I133" s="42">
        <f>IFERROR(VLOOKUP(A133,[1]FALTANTES!$A:$AC,29,FALSE),"-")</f>
        <v>0</v>
      </c>
      <c r="J133" s="29">
        <f>IFERROR(VLOOKUP(A133,[1]FALTANTES!$A:$AD,30,FALSE),"-")</f>
        <v>-4</v>
      </c>
      <c r="K133" s="30">
        <v>0</v>
      </c>
      <c r="L133" s="30">
        <f t="shared" si="2"/>
        <v>36</v>
      </c>
      <c r="M133" s="31">
        <f>SUMIFS(METALFISA!$E:$E,METALFISA!$A:$A,'Faltantes Fevereiro- Metalfisa'!M$3,METALFISA!$B:$B,'Faltantes Fevereiro- Metalfisa'!$A133)</f>
        <v>0</v>
      </c>
      <c r="N133" s="31">
        <f>SUMIFS(METALFISA!$E:$E,METALFISA!$A:$A,'Faltantes Fevereiro- Metalfisa'!N$3,METALFISA!$B:$B,'Faltantes Fevereiro- Metalfisa'!$A133)</f>
        <v>0</v>
      </c>
      <c r="O133" s="31">
        <f>SUMIFS(METALFISA!$E:$E,METALFISA!$A:$A,'Faltantes Fevereiro- Metalfisa'!O$3,METALFISA!$B:$B,'Faltantes Fevereiro- Metalfisa'!$A133)</f>
        <v>0</v>
      </c>
      <c r="P133" s="31">
        <f>SUMIFS(METALFISA!$E:$E,METALFISA!$A:$A,'Faltantes Fevereiro- Metalfisa'!P$3,METALFISA!$B:$B,'Faltantes Fevereiro- Metalfisa'!$A133)</f>
        <v>0</v>
      </c>
      <c r="Q133" s="31">
        <f>SUMIFS(METALFISA!$E:$E,METALFISA!$A:$A,'Faltantes Fevereiro- Metalfisa'!Q$3,METALFISA!$B:$B,'Faltantes Fevereiro- Metalfisa'!$A133)</f>
        <v>0</v>
      </c>
      <c r="R133" s="31">
        <f>SUMIFS(METALFISA!$E:$E,METALFISA!$A:$A,'Faltantes Fevereiro- Metalfisa'!R$3,METALFISA!$B:$B,'Faltantes Fevereiro- Metalfisa'!$A133)</f>
        <v>0</v>
      </c>
      <c r="S133" s="31">
        <f>SUMIFS(METALFISA!$E:$E,METALFISA!$A:$A,'Faltantes Fevereiro- Metalfisa'!S$3,METALFISA!$B:$B,'Faltantes Fevereiro- Metalfisa'!$A133)</f>
        <v>0</v>
      </c>
      <c r="T133" s="31">
        <f>SUMIFS(METALFISA!$E:$E,METALFISA!$A:$A,'Faltantes Fevereiro- Metalfisa'!T$3,METALFISA!$B:$B,'Faltantes Fevereiro- Metalfisa'!$A133)</f>
        <v>0</v>
      </c>
      <c r="U133" s="31">
        <f>SUMIFS(METALFISA!$E:$E,METALFISA!$A:$A,'Faltantes Fevereiro- Metalfisa'!U$3,METALFISA!$B:$B,'Faltantes Fevereiro- Metalfisa'!$A133)</f>
        <v>0</v>
      </c>
      <c r="V133" s="31">
        <f>SUMIFS(METALFISA!$E:$E,METALFISA!$A:$A,'Faltantes Fevereiro- Metalfisa'!V$3,METALFISA!$B:$B,'Faltantes Fevereiro- Metalfisa'!$A133)</f>
        <v>0</v>
      </c>
      <c r="W133" s="31">
        <f>SUMIFS(METALFISA!$E:$E,METALFISA!$A:$A,'Faltantes Fevereiro- Metalfisa'!W$3,METALFISA!$B:$B,'Faltantes Fevereiro- Metalfisa'!$A133)</f>
        <v>0</v>
      </c>
      <c r="X133" s="31">
        <f>SUMIFS(METALFISA!$E:$E,METALFISA!$A:$A,'Faltantes Fevereiro- Metalfisa'!X$3,METALFISA!$B:$B,'Faltantes Fevereiro- Metalfisa'!$A133)</f>
        <v>0</v>
      </c>
      <c r="Y133" s="31">
        <f>SUMIFS(METALFISA!$E:$E,METALFISA!$A:$A,'Faltantes Fevereiro- Metalfisa'!Y$3,METALFISA!$B:$B,'Faltantes Fevereiro- Metalfisa'!$A133)</f>
        <v>0</v>
      </c>
      <c r="Z133" s="31">
        <f>SUMIFS(METALFISA!$E:$E,METALFISA!$A:$A,'Faltantes Fevereiro- Metalfisa'!Z$3,METALFISA!$B:$B,'Faltantes Fevereiro- Metalfisa'!$A133)</f>
        <v>0</v>
      </c>
      <c r="AA133" s="31">
        <f>SUMIFS(METALFISA!$E:$E,METALFISA!$A:$A,'Faltantes Fevereiro- Metalfisa'!AA$3,METALFISA!$B:$B,'Faltantes Fevereiro- Metalfisa'!$A133)</f>
        <v>0</v>
      </c>
      <c r="AB133" s="31">
        <f>SUMIFS(METALFISA!$E:$E,METALFISA!$A:$A,'Faltantes Fevereiro- Metalfisa'!AB$3,METALFISA!$B:$B,'Faltantes Fevereiro- Metalfisa'!$A133)</f>
        <v>0</v>
      </c>
      <c r="AC133" s="31">
        <f>SUMIFS(METALFISA!$E:$E,METALFISA!$A:$A,'Faltantes Fevereiro- Metalfisa'!AC$3,METALFISA!$B:$B,'Faltantes Fevereiro- Metalfisa'!$A133)</f>
        <v>0</v>
      </c>
      <c r="AD133" s="31">
        <f>SUMIFS(METALFISA!$E:$E,METALFISA!$A:$A,'Faltantes Fevereiro- Metalfisa'!AD$3,METALFISA!$B:$B,'Faltantes Fevereiro- Metalfisa'!$A133)</f>
        <v>2</v>
      </c>
      <c r="AE133" s="31">
        <f>SUMIFS(METALFISA!$E:$E,METALFISA!$A:$A,'Faltantes Fevereiro- Metalfisa'!AE$3,METALFISA!$B:$B,'Faltantes Fevereiro- Metalfisa'!$A133)</f>
        <v>0</v>
      </c>
      <c r="AF133" s="31">
        <f>SUMIFS(METALFISA!$E:$E,METALFISA!$A:$A,'Faltantes Fevereiro- Metalfisa'!AF$3,METALFISA!$B:$B,'Faltantes Fevereiro- Metalfisa'!$A133)</f>
        <v>0</v>
      </c>
      <c r="AG133" s="31">
        <f>SUMIFS(METALFISA!$E:$E,METALFISA!$A:$A,'Faltantes Fevereiro- Metalfisa'!AG$3,METALFISA!$B:$B,'Faltantes Fevereiro- Metalfisa'!$A133)</f>
        <v>0</v>
      </c>
      <c r="AH133" s="31">
        <f>SUMIFS(METALFISA!$E:$E,METALFISA!$A:$A,'Faltantes Fevereiro- Metalfisa'!AH$3,METALFISA!$B:$B,'Faltantes Fevereiro- Metalfisa'!$A133)</f>
        <v>0</v>
      </c>
      <c r="AI133" s="31">
        <f>SUMIFS(METALFISA!$E:$E,METALFISA!$A:$A,'Faltantes Fevereiro- Metalfisa'!AI$3,METALFISA!$B:$B,'Faltantes Fevereiro- Metalfisa'!$A133)</f>
        <v>0</v>
      </c>
      <c r="AJ133" s="31">
        <f>SUMIFS(METALFISA!$E:$E,METALFISA!$A:$A,'Faltantes Fevereiro- Metalfisa'!AJ$3,METALFISA!$B:$B,'Faltantes Fevereiro- Metalfisa'!$A133)</f>
        <v>0</v>
      </c>
      <c r="AK133" s="31">
        <f>SUMIFS(METALFISA!$E:$E,METALFISA!$A:$A,'Faltantes Fevereiro- Metalfisa'!AK$3,METALFISA!$B:$B,'Faltantes Fevereiro- Metalfisa'!$A133)</f>
        <v>34</v>
      </c>
      <c r="AL133" s="31">
        <f>SUMIFS(METALFISA!$E:$E,METALFISA!$A:$A,'Faltantes Fevereiro- Metalfisa'!AL$3,METALFISA!$B:$B,'Faltantes Fevereiro- Metalfisa'!$A133)</f>
        <v>0</v>
      </c>
      <c r="AM133" s="31">
        <f>SUMIFS(METALFISA!$E:$E,METALFISA!$A:$A,'Faltantes Fevereiro- Metalfisa'!AM$3,METALFISA!$B:$B,'Faltantes Fevereiro- Metalfisa'!$A133)</f>
        <v>0</v>
      </c>
      <c r="AN133" s="31">
        <f>SUMIFS(METALFISA!$E:$E,METALFISA!$A:$A,'Faltantes Fevereiro- Metalfisa'!AN$3,METALFISA!$B:$B,'Faltantes Fevereiro- Metalfisa'!$A133)</f>
        <v>0</v>
      </c>
      <c r="AO133" s="31">
        <f>SUMIFS(METALFISA!$E:$E,METALFISA!$A:$A,'Faltantes Fevereiro- Metalfisa'!AO$3,METALFISA!$B:$B,'Faltantes Fevereiro- Metalfisa'!$A133)</f>
        <v>0</v>
      </c>
      <c r="AP133" s="31">
        <f>SUMIFS(METALFISA!$E:$E,METALFISA!$A:$A,'Faltantes Fevereiro- Metalfisa'!AP$3,METALFISA!$B:$B,'Faltantes Fevereiro- Metalfisa'!$A133)</f>
        <v>0</v>
      </c>
      <c r="AQ133" s="31"/>
      <c r="AR133" s="31">
        <f>SUMIFS(METALFISA!$E:$E,METALFISA!$A:$A,'Faltantes Fevereiro- Metalfisa'!AR$3,METALFISA!$B:$B,'Faltantes Fevereiro- Metalfisa'!$A133)</f>
        <v>0</v>
      </c>
      <c r="AS133" s="35">
        <f>SUMIFS(METALFISA!$E:$E,METALFISA!$A:$A,'Faltantes Fevereiro- Metalfisa'!AS$3,METALFISA!$B:$B,'Faltantes Fevereiro- Metalfisa'!$A133)</f>
        <v>0</v>
      </c>
      <c r="AU133" s="18">
        <v>0</v>
      </c>
      <c r="AV133" s="18">
        <v>0</v>
      </c>
      <c r="AW133" s="18">
        <v>0</v>
      </c>
      <c r="AX133" s="18">
        <v>0</v>
      </c>
      <c r="AY133" s="41">
        <v>0</v>
      </c>
      <c r="AZ133" s="31">
        <v>0</v>
      </c>
      <c r="BA133" s="31">
        <v>0</v>
      </c>
      <c r="BB133" s="31">
        <v>0</v>
      </c>
      <c r="BC133" s="31">
        <v>0</v>
      </c>
      <c r="BD133" s="31">
        <v>0</v>
      </c>
      <c r="BE133" s="31">
        <v>0</v>
      </c>
      <c r="BF133" s="31">
        <v>0</v>
      </c>
      <c r="BG133" s="31">
        <v>0</v>
      </c>
      <c r="BH133" s="31">
        <v>0</v>
      </c>
      <c r="BI133" s="31">
        <v>0</v>
      </c>
      <c r="BJ133" s="31">
        <v>0</v>
      </c>
      <c r="BK133" s="31">
        <v>0</v>
      </c>
      <c r="BL133" s="31">
        <v>0</v>
      </c>
      <c r="BM133" s="31">
        <v>0</v>
      </c>
      <c r="BN133" s="31">
        <v>0</v>
      </c>
      <c r="BO133" s="31">
        <v>0</v>
      </c>
      <c r="BP133" s="31">
        <v>0</v>
      </c>
      <c r="BQ133" s="31">
        <v>0</v>
      </c>
      <c r="BR133" s="31">
        <v>0</v>
      </c>
      <c r="BS133" s="31">
        <v>0</v>
      </c>
      <c r="BT133" s="31">
        <v>0</v>
      </c>
      <c r="BU133" s="31">
        <v>0</v>
      </c>
      <c r="BV133" s="31">
        <v>0</v>
      </c>
      <c r="BW133" s="31">
        <v>0</v>
      </c>
      <c r="BX133" s="31">
        <v>0</v>
      </c>
      <c r="BY133" s="31">
        <v>0</v>
      </c>
      <c r="BZ133" s="31">
        <v>0</v>
      </c>
      <c r="CA133" s="31">
        <v>0</v>
      </c>
      <c r="CB133" s="31">
        <v>0</v>
      </c>
      <c r="CC133" s="31">
        <v>0</v>
      </c>
      <c r="CD133" s="31">
        <v>0</v>
      </c>
      <c r="CE133" s="31">
        <v>2</v>
      </c>
      <c r="CF133" s="31">
        <v>0</v>
      </c>
      <c r="CG133" s="31">
        <v>0</v>
      </c>
      <c r="CH133" s="31">
        <v>0</v>
      </c>
      <c r="CI133" s="31">
        <v>0</v>
      </c>
      <c r="CJ133" s="31">
        <v>0</v>
      </c>
      <c r="CK133" s="31">
        <v>0</v>
      </c>
      <c r="CL133" s="35">
        <v>0</v>
      </c>
    </row>
    <row r="134" spans="1:90" ht="21" x14ac:dyDescent="0.15">
      <c r="A134" s="27" t="s">
        <v>81</v>
      </c>
      <c r="B134" s="28" t="s">
        <v>82</v>
      </c>
      <c r="C134" s="28">
        <v>0</v>
      </c>
      <c r="D134" s="28">
        <v>0</v>
      </c>
      <c r="E134" s="28">
        <v>2</v>
      </c>
      <c r="F134" s="28">
        <v>0</v>
      </c>
      <c r="G134" s="28">
        <v>6</v>
      </c>
      <c r="H134" s="28">
        <f>IFERROR(VLOOKUP(A134,[1]FALTANTES!$A:$AB,28,FALSE),"-")</f>
        <v>0</v>
      </c>
      <c r="I134" s="42">
        <f>IFERROR(VLOOKUP(A134,[1]FALTANTES!$A:$AC,29,FALSE),"-")</f>
        <v>0</v>
      </c>
      <c r="J134" s="29">
        <f>IFERROR(VLOOKUP(A134,[1]FALTANTES!$A:$AD,30,FALSE),"-")</f>
        <v>-8</v>
      </c>
      <c r="K134" s="30">
        <v>0</v>
      </c>
      <c r="L134" s="30">
        <f t="shared" si="2"/>
        <v>40</v>
      </c>
      <c r="M134" s="31">
        <f>SUMIFS(METALFISA!$E:$E,METALFISA!$A:$A,'Faltantes Fevereiro- Metalfisa'!M$3,METALFISA!$B:$B,'Faltantes Fevereiro- Metalfisa'!$A134)</f>
        <v>0</v>
      </c>
      <c r="N134" s="31">
        <f>SUMIFS(METALFISA!$E:$E,METALFISA!$A:$A,'Faltantes Fevereiro- Metalfisa'!N$3,METALFISA!$B:$B,'Faltantes Fevereiro- Metalfisa'!$A134)</f>
        <v>0</v>
      </c>
      <c r="O134" s="31">
        <f>SUMIFS(METALFISA!$E:$E,METALFISA!$A:$A,'Faltantes Fevereiro- Metalfisa'!O$3,METALFISA!$B:$B,'Faltantes Fevereiro- Metalfisa'!$A134)</f>
        <v>0</v>
      </c>
      <c r="P134" s="31">
        <f>SUMIFS(METALFISA!$E:$E,METALFISA!$A:$A,'Faltantes Fevereiro- Metalfisa'!P$3,METALFISA!$B:$B,'Faltantes Fevereiro- Metalfisa'!$A134)</f>
        <v>0</v>
      </c>
      <c r="Q134" s="31">
        <f>SUMIFS(METALFISA!$E:$E,METALFISA!$A:$A,'Faltantes Fevereiro- Metalfisa'!Q$3,METALFISA!$B:$B,'Faltantes Fevereiro- Metalfisa'!$A134)</f>
        <v>0</v>
      </c>
      <c r="R134" s="31">
        <f>SUMIFS(METALFISA!$E:$E,METALFISA!$A:$A,'Faltantes Fevereiro- Metalfisa'!R$3,METALFISA!$B:$B,'Faltantes Fevereiro- Metalfisa'!$A134)</f>
        <v>0</v>
      </c>
      <c r="S134" s="31">
        <f>SUMIFS(METALFISA!$E:$E,METALFISA!$A:$A,'Faltantes Fevereiro- Metalfisa'!S$3,METALFISA!$B:$B,'Faltantes Fevereiro- Metalfisa'!$A134)</f>
        <v>0</v>
      </c>
      <c r="T134" s="31">
        <f>SUMIFS(METALFISA!$E:$E,METALFISA!$A:$A,'Faltantes Fevereiro- Metalfisa'!T$3,METALFISA!$B:$B,'Faltantes Fevereiro- Metalfisa'!$A134)</f>
        <v>0</v>
      </c>
      <c r="U134" s="31">
        <f>SUMIFS(METALFISA!$E:$E,METALFISA!$A:$A,'Faltantes Fevereiro- Metalfisa'!U$3,METALFISA!$B:$B,'Faltantes Fevereiro- Metalfisa'!$A134)</f>
        <v>0</v>
      </c>
      <c r="V134" s="31">
        <f>SUMIFS(METALFISA!$E:$E,METALFISA!$A:$A,'Faltantes Fevereiro- Metalfisa'!V$3,METALFISA!$B:$B,'Faltantes Fevereiro- Metalfisa'!$A134)</f>
        <v>0</v>
      </c>
      <c r="W134" s="31">
        <f>SUMIFS(METALFISA!$E:$E,METALFISA!$A:$A,'Faltantes Fevereiro- Metalfisa'!W$3,METALFISA!$B:$B,'Faltantes Fevereiro- Metalfisa'!$A134)</f>
        <v>0</v>
      </c>
      <c r="X134" s="31">
        <f>SUMIFS(METALFISA!$E:$E,METALFISA!$A:$A,'Faltantes Fevereiro- Metalfisa'!X$3,METALFISA!$B:$B,'Faltantes Fevereiro- Metalfisa'!$A134)</f>
        <v>0</v>
      </c>
      <c r="Y134" s="31">
        <f>SUMIFS(METALFISA!$E:$E,METALFISA!$A:$A,'Faltantes Fevereiro- Metalfisa'!Y$3,METALFISA!$B:$B,'Faltantes Fevereiro- Metalfisa'!$A134)</f>
        <v>0</v>
      </c>
      <c r="Z134" s="31">
        <f>SUMIFS(METALFISA!$E:$E,METALFISA!$A:$A,'Faltantes Fevereiro- Metalfisa'!Z$3,METALFISA!$B:$B,'Faltantes Fevereiro- Metalfisa'!$A134)</f>
        <v>0</v>
      </c>
      <c r="AA134" s="31">
        <f>SUMIFS(METALFISA!$E:$E,METALFISA!$A:$A,'Faltantes Fevereiro- Metalfisa'!AA$3,METALFISA!$B:$B,'Faltantes Fevereiro- Metalfisa'!$A134)</f>
        <v>5</v>
      </c>
      <c r="AB134" s="31">
        <f>SUMIFS(METALFISA!$E:$E,METALFISA!$A:$A,'Faltantes Fevereiro- Metalfisa'!AB$3,METALFISA!$B:$B,'Faltantes Fevereiro- Metalfisa'!$A134)</f>
        <v>0</v>
      </c>
      <c r="AC134" s="31">
        <f>SUMIFS(METALFISA!$E:$E,METALFISA!$A:$A,'Faltantes Fevereiro- Metalfisa'!AC$3,METALFISA!$B:$B,'Faltantes Fevereiro- Metalfisa'!$A134)</f>
        <v>0</v>
      </c>
      <c r="AD134" s="31">
        <f>SUMIFS(METALFISA!$E:$E,METALFISA!$A:$A,'Faltantes Fevereiro- Metalfisa'!AD$3,METALFISA!$B:$B,'Faltantes Fevereiro- Metalfisa'!$A134)</f>
        <v>0</v>
      </c>
      <c r="AE134" s="31">
        <f>SUMIFS(METALFISA!$E:$E,METALFISA!$A:$A,'Faltantes Fevereiro- Metalfisa'!AE$3,METALFISA!$B:$B,'Faltantes Fevereiro- Metalfisa'!$A134)</f>
        <v>0</v>
      </c>
      <c r="AF134" s="31">
        <f>SUMIFS(METALFISA!$E:$E,METALFISA!$A:$A,'Faltantes Fevereiro- Metalfisa'!AF$3,METALFISA!$B:$B,'Faltantes Fevereiro- Metalfisa'!$A134)</f>
        <v>0</v>
      </c>
      <c r="AG134" s="31">
        <f>SUMIFS(METALFISA!$E:$E,METALFISA!$A:$A,'Faltantes Fevereiro- Metalfisa'!AG$3,METALFISA!$B:$B,'Faltantes Fevereiro- Metalfisa'!$A134)</f>
        <v>0</v>
      </c>
      <c r="AH134" s="31">
        <f>SUMIFS(METALFISA!$E:$E,METALFISA!$A:$A,'Faltantes Fevereiro- Metalfisa'!AH$3,METALFISA!$B:$B,'Faltantes Fevereiro- Metalfisa'!$A134)</f>
        <v>0</v>
      </c>
      <c r="AI134" s="31">
        <f>SUMIFS(METALFISA!$E:$E,METALFISA!$A:$A,'Faltantes Fevereiro- Metalfisa'!AI$3,METALFISA!$B:$B,'Faltantes Fevereiro- Metalfisa'!$A134)</f>
        <v>0</v>
      </c>
      <c r="AJ134" s="31">
        <f>SUMIFS(METALFISA!$E:$E,METALFISA!$A:$A,'Faltantes Fevereiro- Metalfisa'!AJ$3,METALFISA!$B:$B,'Faltantes Fevereiro- Metalfisa'!$A134)</f>
        <v>0</v>
      </c>
      <c r="AK134" s="31">
        <f>SUMIFS(METALFISA!$E:$E,METALFISA!$A:$A,'Faltantes Fevereiro- Metalfisa'!AK$3,METALFISA!$B:$B,'Faltantes Fevereiro- Metalfisa'!$A134)</f>
        <v>32</v>
      </c>
      <c r="AL134" s="31">
        <f>SUMIFS(METALFISA!$E:$E,METALFISA!$A:$A,'Faltantes Fevereiro- Metalfisa'!AL$3,METALFISA!$B:$B,'Faltantes Fevereiro- Metalfisa'!$A134)</f>
        <v>0</v>
      </c>
      <c r="AM134" s="31">
        <f>SUMIFS(METALFISA!$E:$E,METALFISA!$A:$A,'Faltantes Fevereiro- Metalfisa'!AM$3,METALFISA!$B:$B,'Faltantes Fevereiro- Metalfisa'!$A134)</f>
        <v>3</v>
      </c>
      <c r="AN134" s="31">
        <f>SUMIFS(METALFISA!$E:$E,METALFISA!$A:$A,'Faltantes Fevereiro- Metalfisa'!AN$3,METALFISA!$B:$B,'Faltantes Fevereiro- Metalfisa'!$A134)</f>
        <v>0</v>
      </c>
      <c r="AO134" s="31">
        <f>SUMIFS(METALFISA!$E:$E,METALFISA!$A:$A,'Faltantes Fevereiro- Metalfisa'!AO$3,METALFISA!$B:$B,'Faltantes Fevereiro- Metalfisa'!$A134)</f>
        <v>0</v>
      </c>
      <c r="AP134" s="31">
        <f>SUMIFS(METALFISA!$E:$E,METALFISA!$A:$A,'Faltantes Fevereiro- Metalfisa'!AP$3,METALFISA!$B:$B,'Faltantes Fevereiro- Metalfisa'!$A134)</f>
        <v>0</v>
      </c>
      <c r="AQ134" s="31"/>
      <c r="AR134" s="31">
        <f>SUMIFS(METALFISA!$E:$E,METALFISA!$A:$A,'Faltantes Fevereiro- Metalfisa'!AR$3,METALFISA!$B:$B,'Faltantes Fevereiro- Metalfisa'!$A134)</f>
        <v>0</v>
      </c>
      <c r="AS134" s="35">
        <f>SUMIFS(METALFISA!$E:$E,METALFISA!$A:$A,'Faltantes Fevereiro- Metalfisa'!AS$3,METALFISA!$B:$B,'Faltantes Fevereiro- Metalfisa'!$A134)</f>
        <v>0</v>
      </c>
      <c r="AU134" s="18">
        <v>0</v>
      </c>
      <c r="AV134" s="18">
        <v>0</v>
      </c>
      <c r="AW134" s="18">
        <v>0</v>
      </c>
      <c r="AX134" s="18">
        <v>0</v>
      </c>
      <c r="AY134" s="41">
        <v>0</v>
      </c>
      <c r="AZ134" s="31">
        <v>0</v>
      </c>
      <c r="BA134" s="31">
        <v>0</v>
      </c>
      <c r="BB134" s="31">
        <v>0</v>
      </c>
      <c r="BC134" s="31">
        <v>0</v>
      </c>
      <c r="BD134" s="31">
        <v>0</v>
      </c>
      <c r="BE134" s="31">
        <v>0</v>
      </c>
      <c r="BF134" s="31">
        <v>0</v>
      </c>
      <c r="BG134" s="31">
        <v>0</v>
      </c>
      <c r="BH134" s="31">
        <v>0</v>
      </c>
      <c r="BI134" s="31">
        <v>0</v>
      </c>
      <c r="BJ134" s="31">
        <v>0</v>
      </c>
      <c r="BK134" s="31">
        <v>0</v>
      </c>
      <c r="BL134" s="31">
        <v>0</v>
      </c>
      <c r="BM134" s="31">
        <v>0</v>
      </c>
      <c r="BN134" s="31">
        <v>0</v>
      </c>
      <c r="BO134" s="31">
        <v>0</v>
      </c>
      <c r="BP134" s="31">
        <v>0</v>
      </c>
      <c r="BQ134" s="31">
        <v>0</v>
      </c>
      <c r="BR134" s="31">
        <v>0</v>
      </c>
      <c r="BS134" s="31">
        <v>0</v>
      </c>
      <c r="BT134" s="31">
        <v>0</v>
      </c>
      <c r="BU134" s="31">
        <v>0</v>
      </c>
      <c r="BV134" s="31">
        <v>0</v>
      </c>
      <c r="BW134" s="31">
        <v>0</v>
      </c>
      <c r="BX134" s="31">
        <v>0</v>
      </c>
      <c r="BY134" s="31">
        <v>0</v>
      </c>
      <c r="BZ134" s="31">
        <v>0</v>
      </c>
      <c r="CA134" s="31">
        <v>0</v>
      </c>
      <c r="CB134" s="31">
        <v>0</v>
      </c>
      <c r="CC134" s="31">
        <v>0</v>
      </c>
      <c r="CD134" s="31">
        <v>0</v>
      </c>
      <c r="CE134" s="31">
        <v>2</v>
      </c>
      <c r="CF134" s="31">
        <v>0</v>
      </c>
      <c r="CG134" s="31">
        <v>0</v>
      </c>
      <c r="CH134" s="31">
        <v>0</v>
      </c>
      <c r="CI134" s="31">
        <v>0</v>
      </c>
      <c r="CJ134" s="31">
        <v>0</v>
      </c>
      <c r="CK134" s="31">
        <v>0</v>
      </c>
      <c r="CL134" s="35">
        <v>0</v>
      </c>
    </row>
    <row r="135" spans="1:90" ht="21" x14ac:dyDescent="0.15">
      <c r="A135" s="27" t="s">
        <v>83</v>
      </c>
      <c r="B135" s="28" t="s">
        <v>84</v>
      </c>
      <c r="C135" s="28">
        <v>0</v>
      </c>
      <c r="D135" s="28">
        <v>0</v>
      </c>
      <c r="E135" s="28">
        <v>0</v>
      </c>
      <c r="F135" s="28">
        <v>0</v>
      </c>
      <c r="G135" s="28">
        <v>1</v>
      </c>
      <c r="H135" s="28">
        <f>IFERROR(VLOOKUP(A135,[1]FALTANTES!$A:$AB,28,FALSE),"-")</f>
        <v>0</v>
      </c>
      <c r="I135" s="42">
        <f>IFERROR(VLOOKUP(A135,[1]FALTANTES!$A:$AC,29,FALSE),"-")</f>
        <v>0</v>
      </c>
      <c r="J135" s="29">
        <f>IFERROR(VLOOKUP(A135,[1]FALTANTES!$A:$AD,30,FALSE),"-")</f>
        <v>-1</v>
      </c>
      <c r="K135" s="30">
        <v>0</v>
      </c>
      <c r="L135" s="30">
        <f t="shared" si="2"/>
        <v>33</v>
      </c>
      <c r="M135" s="31">
        <f>SUMIFS(METALFISA!$E:$E,METALFISA!$A:$A,'Faltantes Fevereiro- Metalfisa'!M$3,METALFISA!$B:$B,'Faltantes Fevereiro- Metalfisa'!$A135)</f>
        <v>0</v>
      </c>
      <c r="N135" s="31">
        <f>SUMIFS(METALFISA!$E:$E,METALFISA!$A:$A,'Faltantes Fevereiro- Metalfisa'!N$3,METALFISA!$B:$B,'Faltantes Fevereiro- Metalfisa'!$A135)</f>
        <v>0</v>
      </c>
      <c r="O135" s="31">
        <f>SUMIFS(METALFISA!$E:$E,METALFISA!$A:$A,'Faltantes Fevereiro- Metalfisa'!O$3,METALFISA!$B:$B,'Faltantes Fevereiro- Metalfisa'!$A135)</f>
        <v>0</v>
      </c>
      <c r="P135" s="31">
        <f>SUMIFS(METALFISA!$E:$E,METALFISA!$A:$A,'Faltantes Fevereiro- Metalfisa'!P$3,METALFISA!$B:$B,'Faltantes Fevereiro- Metalfisa'!$A135)</f>
        <v>0</v>
      </c>
      <c r="Q135" s="31">
        <f>SUMIFS(METALFISA!$E:$E,METALFISA!$A:$A,'Faltantes Fevereiro- Metalfisa'!Q$3,METALFISA!$B:$B,'Faltantes Fevereiro- Metalfisa'!$A135)</f>
        <v>0</v>
      </c>
      <c r="R135" s="31">
        <f>SUMIFS(METALFISA!$E:$E,METALFISA!$A:$A,'Faltantes Fevereiro- Metalfisa'!R$3,METALFISA!$B:$B,'Faltantes Fevereiro- Metalfisa'!$A135)</f>
        <v>0</v>
      </c>
      <c r="S135" s="31">
        <f>SUMIFS(METALFISA!$E:$E,METALFISA!$A:$A,'Faltantes Fevereiro- Metalfisa'!S$3,METALFISA!$B:$B,'Faltantes Fevereiro- Metalfisa'!$A135)</f>
        <v>1</v>
      </c>
      <c r="T135" s="31">
        <f>SUMIFS(METALFISA!$E:$E,METALFISA!$A:$A,'Faltantes Fevereiro- Metalfisa'!T$3,METALFISA!$B:$B,'Faltantes Fevereiro- Metalfisa'!$A135)</f>
        <v>0</v>
      </c>
      <c r="U135" s="31">
        <f>SUMIFS(METALFISA!$E:$E,METALFISA!$A:$A,'Faltantes Fevereiro- Metalfisa'!U$3,METALFISA!$B:$B,'Faltantes Fevereiro- Metalfisa'!$A135)</f>
        <v>0</v>
      </c>
      <c r="V135" s="31">
        <f>SUMIFS(METALFISA!$E:$E,METALFISA!$A:$A,'Faltantes Fevereiro- Metalfisa'!V$3,METALFISA!$B:$B,'Faltantes Fevereiro- Metalfisa'!$A135)</f>
        <v>0</v>
      </c>
      <c r="W135" s="31">
        <f>SUMIFS(METALFISA!$E:$E,METALFISA!$A:$A,'Faltantes Fevereiro- Metalfisa'!W$3,METALFISA!$B:$B,'Faltantes Fevereiro- Metalfisa'!$A135)</f>
        <v>0</v>
      </c>
      <c r="X135" s="31">
        <f>SUMIFS(METALFISA!$E:$E,METALFISA!$A:$A,'Faltantes Fevereiro- Metalfisa'!X$3,METALFISA!$B:$B,'Faltantes Fevereiro- Metalfisa'!$A135)</f>
        <v>0</v>
      </c>
      <c r="Y135" s="31">
        <f>SUMIFS(METALFISA!$E:$E,METALFISA!$A:$A,'Faltantes Fevereiro- Metalfisa'!Y$3,METALFISA!$B:$B,'Faltantes Fevereiro- Metalfisa'!$A135)</f>
        <v>0</v>
      </c>
      <c r="Z135" s="31">
        <f>SUMIFS(METALFISA!$E:$E,METALFISA!$A:$A,'Faltantes Fevereiro- Metalfisa'!Z$3,METALFISA!$B:$B,'Faltantes Fevereiro- Metalfisa'!$A135)</f>
        <v>0</v>
      </c>
      <c r="AA135" s="31">
        <f>SUMIFS(METALFISA!$E:$E,METALFISA!$A:$A,'Faltantes Fevereiro- Metalfisa'!AA$3,METALFISA!$B:$B,'Faltantes Fevereiro- Metalfisa'!$A135)</f>
        <v>0</v>
      </c>
      <c r="AB135" s="31">
        <f>SUMIFS(METALFISA!$E:$E,METALFISA!$A:$A,'Faltantes Fevereiro- Metalfisa'!AB$3,METALFISA!$B:$B,'Faltantes Fevereiro- Metalfisa'!$A135)</f>
        <v>0</v>
      </c>
      <c r="AC135" s="31">
        <f>SUMIFS(METALFISA!$E:$E,METALFISA!$A:$A,'Faltantes Fevereiro- Metalfisa'!AC$3,METALFISA!$B:$B,'Faltantes Fevereiro- Metalfisa'!$A135)</f>
        <v>0</v>
      </c>
      <c r="AD135" s="31">
        <f>SUMIFS(METALFISA!$E:$E,METALFISA!$A:$A,'Faltantes Fevereiro- Metalfisa'!AD$3,METALFISA!$B:$B,'Faltantes Fevereiro- Metalfisa'!$A135)</f>
        <v>0</v>
      </c>
      <c r="AE135" s="31">
        <f>SUMIFS(METALFISA!$E:$E,METALFISA!$A:$A,'Faltantes Fevereiro- Metalfisa'!AE$3,METALFISA!$B:$B,'Faltantes Fevereiro- Metalfisa'!$A135)</f>
        <v>0</v>
      </c>
      <c r="AF135" s="31">
        <f>SUMIFS(METALFISA!$E:$E,METALFISA!$A:$A,'Faltantes Fevereiro- Metalfisa'!AF$3,METALFISA!$B:$B,'Faltantes Fevereiro- Metalfisa'!$A135)</f>
        <v>0</v>
      </c>
      <c r="AG135" s="31">
        <f>SUMIFS(METALFISA!$E:$E,METALFISA!$A:$A,'Faltantes Fevereiro- Metalfisa'!AG$3,METALFISA!$B:$B,'Faltantes Fevereiro- Metalfisa'!$A135)</f>
        <v>0</v>
      </c>
      <c r="AH135" s="31">
        <f>SUMIFS(METALFISA!$E:$E,METALFISA!$A:$A,'Faltantes Fevereiro- Metalfisa'!AH$3,METALFISA!$B:$B,'Faltantes Fevereiro- Metalfisa'!$A135)</f>
        <v>0</v>
      </c>
      <c r="AI135" s="31">
        <f>SUMIFS(METALFISA!$E:$E,METALFISA!$A:$A,'Faltantes Fevereiro- Metalfisa'!AI$3,METALFISA!$B:$B,'Faltantes Fevereiro- Metalfisa'!$A135)</f>
        <v>0</v>
      </c>
      <c r="AJ135" s="31">
        <f>SUMIFS(METALFISA!$E:$E,METALFISA!$A:$A,'Faltantes Fevereiro- Metalfisa'!AJ$3,METALFISA!$B:$B,'Faltantes Fevereiro- Metalfisa'!$A135)</f>
        <v>0</v>
      </c>
      <c r="AK135" s="31">
        <f>SUMIFS(METALFISA!$E:$E,METALFISA!$A:$A,'Faltantes Fevereiro- Metalfisa'!AK$3,METALFISA!$B:$B,'Faltantes Fevereiro- Metalfisa'!$A135)</f>
        <v>31</v>
      </c>
      <c r="AL135" s="31">
        <f>SUMIFS(METALFISA!$E:$E,METALFISA!$A:$A,'Faltantes Fevereiro- Metalfisa'!AL$3,METALFISA!$B:$B,'Faltantes Fevereiro- Metalfisa'!$A135)</f>
        <v>0</v>
      </c>
      <c r="AM135" s="31">
        <f>SUMIFS(METALFISA!$E:$E,METALFISA!$A:$A,'Faltantes Fevereiro- Metalfisa'!AM$3,METALFISA!$B:$B,'Faltantes Fevereiro- Metalfisa'!$A135)</f>
        <v>1</v>
      </c>
      <c r="AN135" s="31">
        <f>SUMIFS(METALFISA!$E:$E,METALFISA!$A:$A,'Faltantes Fevereiro- Metalfisa'!AN$3,METALFISA!$B:$B,'Faltantes Fevereiro- Metalfisa'!$A135)</f>
        <v>0</v>
      </c>
      <c r="AO135" s="31">
        <f>SUMIFS(METALFISA!$E:$E,METALFISA!$A:$A,'Faltantes Fevereiro- Metalfisa'!AO$3,METALFISA!$B:$B,'Faltantes Fevereiro- Metalfisa'!$A135)</f>
        <v>0</v>
      </c>
      <c r="AP135" s="31">
        <f>SUMIFS(METALFISA!$E:$E,METALFISA!$A:$A,'Faltantes Fevereiro- Metalfisa'!AP$3,METALFISA!$B:$B,'Faltantes Fevereiro- Metalfisa'!$A135)</f>
        <v>0</v>
      </c>
      <c r="AQ135" s="31"/>
      <c r="AR135" s="31">
        <f>SUMIFS(METALFISA!$E:$E,METALFISA!$A:$A,'Faltantes Fevereiro- Metalfisa'!AR$3,METALFISA!$B:$B,'Faltantes Fevereiro- Metalfisa'!$A135)</f>
        <v>0</v>
      </c>
      <c r="AS135" s="35">
        <f>SUMIFS(METALFISA!$E:$E,METALFISA!$A:$A,'Faltantes Fevereiro- Metalfisa'!AS$3,METALFISA!$B:$B,'Faltantes Fevereiro- Metalfisa'!$A135)</f>
        <v>0</v>
      </c>
      <c r="AU135" s="18">
        <v>0</v>
      </c>
      <c r="AV135" s="18">
        <v>0</v>
      </c>
      <c r="AW135" s="18">
        <v>0</v>
      </c>
      <c r="AX135" s="18">
        <v>0</v>
      </c>
      <c r="AY135" s="41">
        <v>0</v>
      </c>
      <c r="AZ135" s="31">
        <v>0</v>
      </c>
      <c r="BA135" s="31">
        <v>0</v>
      </c>
      <c r="BB135" s="31">
        <v>0</v>
      </c>
      <c r="BC135" s="31">
        <v>0</v>
      </c>
      <c r="BD135" s="31">
        <v>0</v>
      </c>
      <c r="BE135" s="31">
        <v>0</v>
      </c>
      <c r="BF135" s="31">
        <v>0</v>
      </c>
      <c r="BG135" s="31">
        <v>0</v>
      </c>
      <c r="BH135" s="31">
        <v>0</v>
      </c>
      <c r="BI135" s="31">
        <v>0</v>
      </c>
      <c r="BJ135" s="31">
        <v>0</v>
      </c>
      <c r="BK135" s="31">
        <v>0</v>
      </c>
      <c r="BL135" s="31">
        <v>0</v>
      </c>
      <c r="BM135" s="31">
        <v>0</v>
      </c>
      <c r="BN135" s="31">
        <v>0</v>
      </c>
      <c r="BO135" s="31">
        <v>0</v>
      </c>
      <c r="BP135" s="31">
        <v>0</v>
      </c>
      <c r="BQ135" s="31">
        <v>0</v>
      </c>
      <c r="BR135" s="31">
        <v>0</v>
      </c>
      <c r="BS135" s="31">
        <v>0</v>
      </c>
      <c r="BT135" s="31">
        <v>0</v>
      </c>
      <c r="BU135" s="31">
        <v>0</v>
      </c>
      <c r="BV135" s="31">
        <v>0</v>
      </c>
      <c r="BW135" s="31">
        <v>0</v>
      </c>
      <c r="BX135" s="31">
        <v>0</v>
      </c>
      <c r="BY135" s="31">
        <v>0</v>
      </c>
      <c r="BZ135" s="31">
        <v>0</v>
      </c>
      <c r="CA135" s="31">
        <v>0</v>
      </c>
      <c r="CB135" s="31">
        <v>0</v>
      </c>
      <c r="CC135" s="31">
        <v>0</v>
      </c>
      <c r="CD135" s="31">
        <v>0</v>
      </c>
      <c r="CE135" s="31">
        <v>2</v>
      </c>
      <c r="CF135" s="31">
        <v>0</v>
      </c>
      <c r="CG135" s="31">
        <v>0</v>
      </c>
      <c r="CH135" s="31">
        <v>0</v>
      </c>
      <c r="CI135" s="31">
        <v>0</v>
      </c>
      <c r="CJ135" s="31">
        <v>0</v>
      </c>
      <c r="CK135" s="31">
        <v>0</v>
      </c>
      <c r="CL135" s="35">
        <v>0</v>
      </c>
    </row>
    <row r="136" spans="1:90" ht="21" x14ac:dyDescent="0.15">
      <c r="A136" s="27" t="s">
        <v>87</v>
      </c>
      <c r="B136" s="28" t="s">
        <v>5578</v>
      </c>
      <c r="C136" s="28">
        <v>0</v>
      </c>
      <c r="D136" s="28">
        <v>0</v>
      </c>
      <c r="E136" s="28">
        <v>0</v>
      </c>
      <c r="F136" s="28">
        <v>0</v>
      </c>
      <c r="G136" s="28">
        <v>1</v>
      </c>
      <c r="H136" s="28">
        <f>IFERROR(VLOOKUP(A136,[1]FALTANTES!$A:$AB,28,FALSE),"-")</f>
        <v>0</v>
      </c>
      <c r="I136" s="42">
        <f>IFERROR(VLOOKUP(A136,[1]FALTANTES!$A:$AC,29,FALSE),"-")</f>
        <v>0</v>
      </c>
      <c r="J136" s="29">
        <f>IFERROR(VLOOKUP(A136,[1]FALTANTES!$A:$AD,30,FALSE),"-")</f>
        <v>-1</v>
      </c>
      <c r="K136" s="30">
        <v>0</v>
      </c>
      <c r="L136" s="30">
        <f t="shared" si="2"/>
        <v>33</v>
      </c>
      <c r="M136" s="31">
        <f>SUMIFS(METALFISA!$E:$E,METALFISA!$A:$A,'Faltantes Fevereiro- Metalfisa'!M$3,METALFISA!$B:$B,'Faltantes Fevereiro- Metalfisa'!$A136)</f>
        <v>0</v>
      </c>
      <c r="N136" s="31">
        <f>SUMIFS(METALFISA!$E:$E,METALFISA!$A:$A,'Faltantes Fevereiro- Metalfisa'!N$3,METALFISA!$B:$B,'Faltantes Fevereiro- Metalfisa'!$A136)</f>
        <v>0</v>
      </c>
      <c r="O136" s="31">
        <f>SUMIFS(METALFISA!$E:$E,METALFISA!$A:$A,'Faltantes Fevereiro- Metalfisa'!O$3,METALFISA!$B:$B,'Faltantes Fevereiro- Metalfisa'!$A136)</f>
        <v>0</v>
      </c>
      <c r="P136" s="31">
        <f>SUMIFS(METALFISA!$E:$E,METALFISA!$A:$A,'Faltantes Fevereiro- Metalfisa'!P$3,METALFISA!$B:$B,'Faltantes Fevereiro- Metalfisa'!$A136)</f>
        <v>0</v>
      </c>
      <c r="Q136" s="31">
        <f>SUMIFS(METALFISA!$E:$E,METALFISA!$A:$A,'Faltantes Fevereiro- Metalfisa'!Q$3,METALFISA!$B:$B,'Faltantes Fevereiro- Metalfisa'!$A136)</f>
        <v>0</v>
      </c>
      <c r="R136" s="31">
        <f>SUMIFS(METALFISA!$E:$E,METALFISA!$A:$A,'Faltantes Fevereiro- Metalfisa'!R$3,METALFISA!$B:$B,'Faltantes Fevereiro- Metalfisa'!$A136)</f>
        <v>0</v>
      </c>
      <c r="S136" s="31">
        <f>SUMIFS(METALFISA!$E:$E,METALFISA!$A:$A,'Faltantes Fevereiro- Metalfisa'!S$3,METALFISA!$B:$B,'Faltantes Fevereiro- Metalfisa'!$A136)</f>
        <v>0</v>
      </c>
      <c r="T136" s="31">
        <f>SUMIFS(METALFISA!$E:$E,METALFISA!$A:$A,'Faltantes Fevereiro- Metalfisa'!T$3,METALFISA!$B:$B,'Faltantes Fevereiro- Metalfisa'!$A136)</f>
        <v>0</v>
      </c>
      <c r="U136" s="31">
        <f>SUMIFS(METALFISA!$E:$E,METALFISA!$A:$A,'Faltantes Fevereiro- Metalfisa'!U$3,METALFISA!$B:$B,'Faltantes Fevereiro- Metalfisa'!$A136)</f>
        <v>0</v>
      </c>
      <c r="V136" s="31">
        <f>SUMIFS(METALFISA!$E:$E,METALFISA!$A:$A,'Faltantes Fevereiro- Metalfisa'!V$3,METALFISA!$B:$B,'Faltantes Fevereiro- Metalfisa'!$A136)</f>
        <v>0</v>
      </c>
      <c r="W136" s="31">
        <f>SUMIFS(METALFISA!$E:$E,METALFISA!$A:$A,'Faltantes Fevereiro- Metalfisa'!W$3,METALFISA!$B:$B,'Faltantes Fevereiro- Metalfisa'!$A136)</f>
        <v>0</v>
      </c>
      <c r="X136" s="31">
        <f>SUMIFS(METALFISA!$E:$E,METALFISA!$A:$A,'Faltantes Fevereiro- Metalfisa'!X$3,METALFISA!$B:$B,'Faltantes Fevereiro- Metalfisa'!$A136)</f>
        <v>0</v>
      </c>
      <c r="Y136" s="31">
        <f>SUMIFS(METALFISA!$E:$E,METALFISA!$A:$A,'Faltantes Fevereiro- Metalfisa'!Y$3,METALFISA!$B:$B,'Faltantes Fevereiro- Metalfisa'!$A136)</f>
        <v>0</v>
      </c>
      <c r="Z136" s="31">
        <f>SUMIFS(METALFISA!$E:$E,METALFISA!$A:$A,'Faltantes Fevereiro- Metalfisa'!Z$3,METALFISA!$B:$B,'Faltantes Fevereiro- Metalfisa'!$A136)</f>
        <v>0</v>
      </c>
      <c r="AA136" s="31">
        <f>SUMIFS(METALFISA!$E:$E,METALFISA!$A:$A,'Faltantes Fevereiro- Metalfisa'!AA$3,METALFISA!$B:$B,'Faltantes Fevereiro- Metalfisa'!$A136)</f>
        <v>0</v>
      </c>
      <c r="AB136" s="31">
        <f>SUMIFS(METALFISA!$E:$E,METALFISA!$A:$A,'Faltantes Fevereiro- Metalfisa'!AB$3,METALFISA!$B:$B,'Faltantes Fevereiro- Metalfisa'!$A136)</f>
        <v>0</v>
      </c>
      <c r="AC136" s="31">
        <f>SUMIFS(METALFISA!$E:$E,METALFISA!$A:$A,'Faltantes Fevereiro- Metalfisa'!AC$3,METALFISA!$B:$B,'Faltantes Fevereiro- Metalfisa'!$A136)</f>
        <v>0</v>
      </c>
      <c r="AD136" s="31">
        <f>SUMIFS(METALFISA!$E:$E,METALFISA!$A:$A,'Faltantes Fevereiro- Metalfisa'!AD$3,METALFISA!$B:$B,'Faltantes Fevereiro- Metalfisa'!$A136)</f>
        <v>0</v>
      </c>
      <c r="AE136" s="31">
        <f>SUMIFS(METALFISA!$E:$E,METALFISA!$A:$A,'Faltantes Fevereiro- Metalfisa'!AE$3,METALFISA!$B:$B,'Faltantes Fevereiro- Metalfisa'!$A136)</f>
        <v>0</v>
      </c>
      <c r="AF136" s="31">
        <f>SUMIFS(METALFISA!$E:$E,METALFISA!$A:$A,'Faltantes Fevereiro- Metalfisa'!AF$3,METALFISA!$B:$B,'Faltantes Fevereiro- Metalfisa'!$A136)</f>
        <v>0</v>
      </c>
      <c r="AG136" s="31">
        <f>SUMIFS(METALFISA!$E:$E,METALFISA!$A:$A,'Faltantes Fevereiro- Metalfisa'!AG$3,METALFISA!$B:$B,'Faltantes Fevereiro- Metalfisa'!$A136)</f>
        <v>0</v>
      </c>
      <c r="AH136" s="31">
        <f>SUMIFS(METALFISA!$E:$E,METALFISA!$A:$A,'Faltantes Fevereiro- Metalfisa'!AH$3,METALFISA!$B:$B,'Faltantes Fevereiro- Metalfisa'!$A136)</f>
        <v>0</v>
      </c>
      <c r="AI136" s="31">
        <f>SUMIFS(METALFISA!$E:$E,METALFISA!$A:$A,'Faltantes Fevereiro- Metalfisa'!AI$3,METALFISA!$B:$B,'Faltantes Fevereiro- Metalfisa'!$A136)</f>
        <v>0</v>
      </c>
      <c r="AJ136" s="31">
        <f>SUMIFS(METALFISA!$E:$E,METALFISA!$A:$A,'Faltantes Fevereiro- Metalfisa'!AJ$3,METALFISA!$B:$B,'Faltantes Fevereiro- Metalfisa'!$A136)</f>
        <v>0</v>
      </c>
      <c r="AK136" s="31">
        <f>SUMIFS(METALFISA!$E:$E,METALFISA!$A:$A,'Faltantes Fevereiro- Metalfisa'!AK$3,METALFISA!$B:$B,'Faltantes Fevereiro- Metalfisa'!$A136)</f>
        <v>33</v>
      </c>
      <c r="AL136" s="31">
        <f>SUMIFS(METALFISA!$E:$E,METALFISA!$A:$A,'Faltantes Fevereiro- Metalfisa'!AL$3,METALFISA!$B:$B,'Faltantes Fevereiro- Metalfisa'!$A136)</f>
        <v>0</v>
      </c>
      <c r="AM136" s="31">
        <f>SUMIFS(METALFISA!$E:$E,METALFISA!$A:$A,'Faltantes Fevereiro- Metalfisa'!AM$3,METALFISA!$B:$B,'Faltantes Fevereiro- Metalfisa'!$A136)</f>
        <v>0</v>
      </c>
      <c r="AN136" s="31">
        <f>SUMIFS(METALFISA!$E:$E,METALFISA!$A:$A,'Faltantes Fevereiro- Metalfisa'!AN$3,METALFISA!$B:$B,'Faltantes Fevereiro- Metalfisa'!$A136)</f>
        <v>0</v>
      </c>
      <c r="AO136" s="31">
        <f>SUMIFS(METALFISA!$E:$E,METALFISA!$A:$A,'Faltantes Fevereiro- Metalfisa'!AO$3,METALFISA!$B:$B,'Faltantes Fevereiro- Metalfisa'!$A136)</f>
        <v>0</v>
      </c>
      <c r="AP136" s="31">
        <f>SUMIFS(METALFISA!$E:$E,METALFISA!$A:$A,'Faltantes Fevereiro- Metalfisa'!AP$3,METALFISA!$B:$B,'Faltantes Fevereiro- Metalfisa'!$A136)</f>
        <v>0</v>
      </c>
      <c r="AQ136" s="31"/>
      <c r="AR136" s="31">
        <f>SUMIFS(METALFISA!$E:$E,METALFISA!$A:$A,'Faltantes Fevereiro- Metalfisa'!AR$3,METALFISA!$B:$B,'Faltantes Fevereiro- Metalfisa'!$A136)</f>
        <v>0</v>
      </c>
      <c r="AS136" s="35">
        <f>SUMIFS(METALFISA!$E:$E,METALFISA!$A:$A,'Faltantes Fevereiro- Metalfisa'!AS$3,METALFISA!$B:$B,'Faltantes Fevereiro- Metalfisa'!$A136)</f>
        <v>0</v>
      </c>
      <c r="AU136" s="18">
        <v>0</v>
      </c>
      <c r="AV136" s="18">
        <v>0</v>
      </c>
      <c r="AW136" s="18">
        <v>0</v>
      </c>
      <c r="AX136" s="18">
        <v>0</v>
      </c>
      <c r="AY136" s="41">
        <v>0</v>
      </c>
      <c r="AZ136" s="31">
        <v>0</v>
      </c>
      <c r="BA136" s="31">
        <v>0</v>
      </c>
      <c r="BB136" s="31">
        <v>0</v>
      </c>
      <c r="BC136" s="31">
        <v>0</v>
      </c>
      <c r="BD136" s="31">
        <v>0</v>
      </c>
      <c r="BE136" s="31">
        <v>0</v>
      </c>
      <c r="BF136" s="31">
        <v>0</v>
      </c>
      <c r="BG136" s="31">
        <v>0</v>
      </c>
      <c r="BH136" s="31">
        <v>0</v>
      </c>
      <c r="BI136" s="31">
        <v>0</v>
      </c>
      <c r="BJ136" s="31">
        <v>0</v>
      </c>
      <c r="BK136" s="31">
        <v>0</v>
      </c>
      <c r="BL136" s="31">
        <v>0</v>
      </c>
      <c r="BM136" s="31">
        <v>0</v>
      </c>
      <c r="BN136" s="31">
        <v>0</v>
      </c>
      <c r="BO136" s="31">
        <v>0</v>
      </c>
      <c r="BP136" s="31">
        <v>0</v>
      </c>
      <c r="BQ136" s="31">
        <v>0</v>
      </c>
      <c r="BR136" s="31">
        <v>0</v>
      </c>
      <c r="BS136" s="31">
        <v>0</v>
      </c>
      <c r="BT136" s="31">
        <v>0</v>
      </c>
      <c r="BU136" s="31">
        <v>0</v>
      </c>
      <c r="BV136" s="31">
        <v>0</v>
      </c>
      <c r="BW136" s="31">
        <v>0</v>
      </c>
      <c r="BX136" s="31">
        <v>0</v>
      </c>
      <c r="BY136" s="31">
        <v>0</v>
      </c>
      <c r="BZ136" s="31">
        <v>0</v>
      </c>
      <c r="CA136" s="31">
        <v>0</v>
      </c>
      <c r="CB136" s="31">
        <v>0</v>
      </c>
      <c r="CC136" s="31">
        <v>0</v>
      </c>
      <c r="CD136" s="31">
        <v>0</v>
      </c>
      <c r="CE136" s="31">
        <v>2</v>
      </c>
      <c r="CF136" s="31">
        <v>0</v>
      </c>
      <c r="CG136" s="31">
        <v>0</v>
      </c>
      <c r="CH136" s="31">
        <v>0</v>
      </c>
      <c r="CI136" s="31">
        <v>0</v>
      </c>
      <c r="CJ136" s="31">
        <v>0</v>
      </c>
      <c r="CK136" s="31">
        <v>0</v>
      </c>
      <c r="CL136" s="35">
        <v>0</v>
      </c>
    </row>
    <row r="137" spans="1:90" ht="21" x14ac:dyDescent="0.15">
      <c r="A137" s="27" t="s">
        <v>893</v>
      </c>
      <c r="B137" s="28" t="s">
        <v>894</v>
      </c>
      <c r="C137" s="28">
        <v>0</v>
      </c>
      <c r="D137" s="28">
        <v>0</v>
      </c>
      <c r="E137" s="28">
        <v>0</v>
      </c>
      <c r="F137" s="28">
        <v>6</v>
      </c>
      <c r="G137" s="28">
        <v>0</v>
      </c>
      <c r="H137" s="28">
        <f>IFERROR(VLOOKUP(A137,[1]FALTANTES!$A:$AB,28,FALSE),"-")</f>
        <v>0</v>
      </c>
      <c r="I137" s="42">
        <f>IFERROR(VLOOKUP(A137,[1]FALTANTES!$A:$AC,29,FALSE),"-")</f>
        <v>0</v>
      </c>
      <c r="J137" s="29">
        <f>IFERROR(VLOOKUP(A137,[1]FALTANTES!$A:$AD,30,FALSE),"-")</f>
        <v>-6</v>
      </c>
      <c r="K137" s="30">
        <v>0</v>
      </c>
      <c r="L137" s="30">
        <f t="shared" si="2"/>
        <v>8</v>
      </c>
      <c r="M137" s="31">
        <f>SUMIFS(METALFISA!$E:$E,METALFISA!$A:$A,'Faltantes Fevereiro- Metalfisa'!M$3,METALFISA!$B:$B,'Faltantes Fevereiro- Metalfisa'!$A137)</f>
        <v>0</v>
      </c>
      <c r="N137" s="31">
        <f>SUMIFS(METALFISA!$E:$E,METALFISA!$A:$A,'Faltantes Fevereiro- Metalfisa'!N$3,METALFISA!$B:$B,'Faltantes Fevereiro- Metalfisa'!$A137)</f>
        <v>0</v>
      </c>
      <c r="O137" s="31">
        <f>SUMIFS(METALFISA!$E:$E,METALFISA!$A:$A,'Faltantes Fevereiro- Metalfisa'!O$3,METALFISA!$B:$B,'Faltantes Fevereiro- Metalfisa'!$A137)</f>
        <v>0</v>
      </c>
      <c r="P137" s="31">
        <f>SUMIFS(METALFISA!$E:$E,METALFISA!$A:$A,'Faltantes Fevereiro- Metalfisa'!P$3,METALFISA!$B:$B,'Faltantes Fevereiro- Metalfisa'!$A137)</f>
        <v>0</v>
      </c>
      <c r="Q137" s="31">
        <f>SUMIFS(METALFISA!$E:$E,METALFISA!$A:$A,'Faltantes Fevereiro- Metalfisa'!Q$3,METALFISA!$B:$B,'Faltantes Fevereiro- Metalfisa'!$A137)</f>
        <v>0</v>
      </c>
      <c r="R137" s="31">
        <f>SUMIFS(METALFISA!$E:$E,METALFISA!$A:$A,'Faltantes Fevereiro- Metalfisa'!R$3,METALFISA!$B:$B,'Faltantes Fevereiro- Metalfisa'!$A137)</f>
        <v>0</v>
      </c>
      <c r="S137" s="31">
        <f>SUMIFS(METALFISA!$E:$E,METALFISA!$A:$A,'Faltantes Fevereiro- Metalfisa'!S$3,METALFISA!$B:$B,'Faltantes Fevereiro- Metalfisa'!$A137)</f>
        <v>0</v>
      </c>
      <c r="T137" s="31">
        <f>SUMIFS(METALFISA!$E:$E,METALFISA!$A:$A,'Faltantes Fevereiro- Metalfisa'!T$3,METALFISA!$B:$B,'Faltantes Fevereiro- Metalfisa'!$A137)</f>
        <v>0</v>
      </c>
      <c r="U137" s="31">
        <f>SUMIFS(METALFISA!$E:$E,METALFISA!$A:$A,'Faltantes Fevereiro- Metalfisa'!U$3,METALFISA!$B:$B,'Faltantes Fevereiro- Metalfisa'!$A137)</f>
        <v>0</v>
      </c>
      <c r="V137" s="31">
        <f>SUMIFS(METALFISA!$E:$E,METALFISA!$A:$A,'Faltantes Fevereiro- Metalfisa'!V$3,METALFISA!$B:$B,'Faltantes Fevereiro- Metalfisa'!$A137)</f>
        <v>0</v>
      </c>
      <c r="W137" s="31">
        <f>SUMIFS(METALFISA!$E:$E,METALFISA!$A:$A,'Faltantes Fevereiro- Metalfisa'!W$3,METALFISA!$B:$B,'Faltantes Fevereiro- Metalfisa'!$A137)</f>
        <v>0</v>
      </c>
      <c r="X137" s="31">
        <f>SUMIFS(METALFISA!$E:$E,METALFISA!$A:$A,'Faltantes Fevereiro- Metalfisa'!X$3,METALFISA!$B:$B,'Faltantes Fevereiro- Metalfisa'!$A137)</f>
        <v>0</v>
      </c>
      <c r="Y137" s="31">
        <f>SUMIFS(METALFISA!$E:$E,METALFISA!$A:$A,'Faltantes Fevereiro- Metalfisa'!Y$3,METALFISA!$B:$B,'Faltantes Fevereiro- Metalfisa'!$A137)</f>
        <v>0</v>
      </c>
      <c r="Z137" s="31">
        <f>SUMIFS(METALFISA!$E:$E,METALFISA!$A:$A,'Faltantes Fevereiro- Metalfisa'!Z$3,METALFISA!$B:$B,'Faltantes Fevereiro- Metalfisa'!$A137)</f>
        <v>0</v>
      </c>
      <c r="AA137" s="31">
        <f>SUMIFS(METALFISA!$E:$E,METALFISA!$A:$A,'Faltantes Fevereiro- Metalfisa'!AA$3,METALFISA!$B:$B,'Faltantes Fevereiro- Metalfisa'!$A137)</f>
        <v>0</v>
      </c>
      <c r="AB137" s="31">
        <f>SUMIFS(METALFISA!$E:$E,METALFISA!$A:$A,'Faltantes Fevereiro- Metalfisa'!AB$3,METALFISA!$B:$B,'Faltantes Fevereiro- Metalfisa'!$A137)</f>
        <v>0</v>
      </c>
      <c r="AC137" s="31">
        <f>SUMIFS(METALFISA!$E:$E,METALFISA!$A:$A,'Faltantes Fevereiro- Metalfisa'!AC$3,METALFISA!$B:$B,'Faltantes Fevereiro- Metalfisa'!$A137)</f>
        <v>0</v>
      </c>
      <c r="AD137" s="31">
        <f>SUMIFS(METALFISA!$E:$E,METALFISA!$A:$A,'Faltantes Fevereiro- Metalfisa'!AD$3,METALFISA!$B:$B,'Faltantes Fevereiro- Metalfisa'!$A137)</f>
        <v>0</v>
      </c>
      <c r="AE137" s="31">
        <f>SUMIFS(METALFISA!$E:$E,METALFISA!$A:$A,'Faltantes Fevereiro- Metalfisa'!AE$3,METALFISA!$B:$B,'Faltantes Fevereiro- Metalfisa'!$A137)</f>
        <v>0</v>
      </c>
      <c r="AF137" s="31">
        <f>SUMIFS(METALFISA!$E:$E,METALFISA!$A:$A,'Faltantes Fevereiro- Metalfisa'!AF$3,METALFISA!$B:$B,'Faltantes Fevereiro- Metalfisa'!$A137)</f>
        <v>0</v>
      </c>
      <c r="AG137" s="31">
        <f>SUMIFS(METALFISA!$E:$E,METALFISA!$A:$A,'Faltantes Fevereiro- Metalfisa'!AG$3,METALFISA!$B:$B,'Faltantes Fevereiro- Metalfisa'!$A137)</f>
        <v>0</v>
      </c>
      <c r="AH137" s="31">
        <f>SUMIFS(METALFISA!$E:$E,METALFISA!$A:$A,'Faltantes Fevereiro- Metalfisa'!AH$3,METALFISA!$B:$B,'Faltantes Fevereiro- Metalfisa'!$A137)</f>
        <v>0</v>
      </c>
      <c r="AI137" s="31">
        <f>SUMIFS(METALFISA!$E:$E,METALFISA!$A:$A,'Faltantes Fevereiro- Metalfisa'!AI$3,METALFISA!$B:$B,'Faltantes Fevereiro- Metalfisa'!$A137)</f>
        <v>4</v>
      </c>
      <c r="AJ137" s="31">
        <f>SUMIFS(METALFISA!$E:$E,METALFISA!$A:$A,'Faltantes Fevereiro- Metalfisa'!AJ$3,METALFISA!$B:$B,'Faltantes Fevereiro- Metalfisa'!$A137)</f>
        <v>0</v>
      </c>
      <c r="AK137" s="31">
        <f>SUMIFS(METALFISA!$E:$E,METALFISA!$A:$A,'Faltantes Fevereiro- Metalfisa'!AK$3,METALFISA!$B:$B,'Faltantes Fevereiro- Metalfisa'!$A137)</f>
        <v>0</v>
      </c>
      <c r="AL137" s="31">
        <f>SUMIFS(METALFISA!$E:$E,METALFISA!$A:$A,'Faltantes Fevereiro- Metalfisa'!AL$3,METALFISA!$B:$B,'Faltantes Fevereiro- Metalfisa'!$A137)</f>
        <v>0</v>
      </c>
      <c r="AM137" s="31">
        <f>SUMIFS(METALFISA!$E:$E,METALFISA!$A:$A,'Faltantes Fevereiro- Metalfisa'!AM$3,METALFISA!$B:$B,'Faltantes Fevereiro- Metalfisa'!$A137)</f>
        <v>0</v>
      </c>
      <c r="AN137" s="31">
        <f>SUMIFS(METALFISA!$E:$E,METALFISA!$A:$A,'Faltantes Fevereiro- Metalfisa'!AN$3,METALFISA!$B:$B,'Faltantes Fevereiro- Metalfisa'!$A137)</f>
        <v>4</v>
      </c>
      <c r="AO137" s="31">
        <f>SUMIFS(METALFISA!$E:$E,METALFISA!$A:$A,'Faltantes Fevereiro- Metalfisa'!AO$3,METALFISA!$B:$B,'Faltantes Fevereiro- Metalfisa'!$A137)</f>
        <v>0</v>
      </c>
      <c r="AP137" s="31">
        <f>SUMIFS(METALFISA!$E:$E,METALFISA!$A:$A,'Faltantes Fevereiro- Metalfisa'!AP$3,METALFISA!$B:$B,'Faltantes Fevereiro- Metalfisa'!$A137)</f>
        <v>0</v>
      </c>
      <c r="AQ137" s="31"/>
      <c r="AR137" s="31">
        <f>SUMIFS(METALFISA!$E:$E,METALFISA!$A:$A,'Faltantes Fevereiro- Metalfisa'!AR$3,METALFISA!$B:$B,'Faltantes Fevereiro- Metalfisa'!$A137)</f>
        <v>0</v>
      </c>
      <c r="AS137" s="35">
        <f>SUMIFS(METALFISA!$E:$E,METALFISA!$A:$A,'Faltantes Fevereiro- Metalfisa'!AS$3,METALFISA!$B:$B,'Faltantes Fevereiro- Metalfisa'!$A137)</f>
        <v>0</v>
      </c>
      <c r="AU137" s="18">
        <v>0</v>
      </c>
      <c r="AV137" s="18">
        <v>0</v>
      </c>
      <c r="AW137" s="18">
        <v>0</v>
      </c>
      <c r="AX137" s="18">
        <v>0</v>
      </c>
      <c r="AY137" s="41">
        <v>0</v>
      </c>
      <c r="AZ137" s="31">
        <v>0</v>
      </c>
      <c r="BA137" s="31">
        <v>0</v>
      </c>
      <c r="BB137" s="31">
        <v>1</v>
      </c>
      <c r="BC137" s="31">
        <v>0</v>
      </c>
      <c r="BD137" s="31">
        <v>0</v>
      </c>
      <c r="BE137" s="31">
        <v>0</v>
      </c>
      <c r="BF137" s="31">
        <v>0</v>
      </c>
      <c r="BG137" s="31">
        <v>0</v>
      </c>
      <c r="BH137" s="31">
        <v>0</v>
      </c>
      <c r="BI137" s="31">
        <v>0</v>
      </c>
      <c r="BJ137" s="31">
        <v>0</v>
      </c>
      <c r="BK137" s="31">
        <v>0</v>
      </c>
      <c r="BL137" s="31">
        <v>0</v>
      </c>
      <c r="BM137" s="31">
        <v>0</v>
      </c>
      <c r="BN137" s="31">
        <v>0</v>
      </c>
      <c r="BO137" s="31">
        <v>0</v>
      </c>
      <c r="BP137" s="31">
        <v>0</v>
      </c>
      <c r="BQ137" s="31">
        <v>0</v>
      </c>
      <c r="BR137" s="31">
        <v>0</v>
      </c>
      <c r="BS137" s="31">
        <v>0</v>
      </c>
      <c r="BT137" s="31">
        <v>0</v>
      </c>
      <c r="BU137" s="31">
        <v>0</v>
      </c>
      <c r="BV137" s="31">
        <v>0</v>
      </c>
      <c r="BW137" s="31">
        <v>0</v>
      </c>
      <c r="BX137" s="31">
        <v>0</v>
      </c>
      <c r="BY137" s="31">
        <v>0</v>
      </c>
      <c r="BZ137" s="31">
        <v>0</v>
      </c>
      <c r="CA137" s="31">
        <v>0</v>
      </c>
      <c r="CB137" s="31">
        <v>0</v>
      </c>
      <c r="CC137" s="31">
        <v>0</v>
      </c>
      <c r="CD137" s="31">
        <v>0</v>
      </c>
      <c r="CE137" s="31">
        <v>0</v>
      </c>
      <c r="CF137" s="31">
        <v>0</v>
      </c>
      <c r="CG137" s="31">
        <v>0</v>
      </c>
      <c r="CH137" s="31">
        <v>0</v>
      </c>
      <c r="CI137" s="31">
        <v>0</v>
      </c>
      <c r="CJ137" s="31">
        <v>0</v>
      </c>
      <c r="CK137" s="31">
        <v>0</v>
      </c>
      <c r="CL137" s="35">
        <v>0</v>
      </c>
    </row>
    <row r="138" spans="1:90" ht="21" x14ac:dyDescent="0.15">
      <c r="A138" s="27" t="s">
        <v>311</v>
      </c>
      <c r="B138" s="28" t="s">
        <v>312</v>
      </c>
      <c r="C138" s="28">
        <v>0</v>
      </c>
      <c r="D138" s="28">
        <v>0</v>
      </c>
      <c r="E138" s="28">
        <v>0</v>
      </c>
      <c r="F138" s="28">
        <v>0</v>
      </c>
      <c r="G138" s="28">
        <v>20</v>
      </c>
      <c r="H138" s="28">
        <f>IFERROR(VLOOKUP(A138,[1]FALTANTES!$A:$AB,28,FALSE),"-")</f>
        <v>0</v>
      </c>
      <c r="I138" s="42">
        <f>IFERROR(VLOOKUP(A138,[1]FALTANTES!$A:$AC,29,FALSE),"-")</f>
        <v>0</v>
      </c>
      <c r="J138" s="29">
        <f>IFERROR(VLOOKUP(A138,[1]FALTANTES!$A:$AD,30,FALSE),"-")</f>
        <v>-20</v>
      </c>
      <c r="K138" s="30">
        <v>0</v>
      </c>
      <c r="L138" s="30">
        <f t="shared" si="2"/>
        <v>60</v>
      </c>
      <c r="M138" s="31">
        <f>SUMIFS(METALFISA!$E:$E,METALFISA!$A:$A,'Faltantes Fevereiro- Metalfisa'!M$3,METALFISA!$B:$B,'Faltantes Fevereiro- Metalfisa'!$A138)</f>
        <v>0</v>
      </c>
      <c r="N138" s="31">
        <f>SUMIFS(METALFISA!$E:$E,METALFISA!$A:$A,'Faltantes Fevereiro- Metalfisa'!N$3,METALFISA!$B:$B,'Faltantes Fevereiro- Metalfisa'!$A138)</f>
        <v>0</v>
      </c>
      <c r="O138" s="31">
        <f>SUMIFS(METALFISA!$E:$E,METALFISA!$A:$A,'Faltantes Fevereiro- Metalfisa'!O$3,METALFISA!$B:$B,'Faltantes Fevereiro- Metalfisa'!$A138)</f>
        <v>0</v>
      </c>
      <c r="P138" s="31">
        <f>SUMIFS(METALFISA!$E:$E,METALFISA!$A:$A,'Faltantes Fevereiro- Metalfisa'!P$3,METALFISA!$B:$B,'Faltantes Fevereiro- Metalfisa'!$A138)</f>
        <v>0</v>
      </c>
      <c r="Q138" s="31">
        <f>SUMIFS(METALFISA!$E:$E,METALFISA!$A:$A,'Faltantes Fevereiro- Metalfisa'!Q$3,METALFISA!$B:$B,'Faltantes Fevereiro- Metalfisa'!$A138)</f>
        <v>0</v>
      </c>
      <c r="R138" s="31">
        <f>SUMIFS(METALFISA!$E:$E,METALFISA!$A:$A,'Faltantes Fevereiro- Metalfisa'!R$3,METALFISA!$B:$B,'Faltantes Fevereiro- Metalfisa'!$A138)</f>
        <v>0</v>
      </c>
      <c r="S138" s="31">
        <f>SUMIFS(METALFISA!$E:$E,METALFISA!$A:$A,'Faltantes Fevereiro- Metalfisa'!S$3,METALFISA!$B:$B,'Faltantes Fevereiro- Metalfisa'!$A138)</f>
        <v>0</v>
      </c>
      <c r="T138" s="31">
        <f>SUMIFS(METALFISA!$E:$E,METALFISA!$A:$A,'Faltantes Fevereiro- Metalfisa'!T$3,METALFISA!$B:$B,'Faltantes Fevereiro- Metalfisa'!$A138)</f>
        <v>0</v>
      </c>
      <c r="U138" s="31">
        <f>SUMIFS(METALFISA!$E:$E,METALFISA!$A:$A,'Faltantes Fevereiro- Metalfisa'!U$3,METALFISA!$B:$B,'Faltantes Fevereiro- Metalfisa'!$A138)</f>
        <v>0</v>
      </c>
      <c r="V138" s="31">
        <f>SUMIFS(METALFISA!$E:$E,METALFISA!$A:$A,'Faltantes Fevereiro- Metalfisa'!V$3,METALFISA!$B:$B,'Faltantes Fevereiro- Metalfisa'!$A138)</f>
        <v>0</v>
      </c>
      <c r="W138" s="31">
        <f>SUMIFS(METALFISA!$E:$E,METALFISA!$A:$A,'Faltantes Fevereiro- Metalfisa'!W$3,METALFISA!$B:$B,'Faltantes Fevereiro- Metalfisa'!$A138)</f>
        <v>0</v>
      </c>
      <c r="X138" s="31">
        <f>SUMIFS(METALFISA!$E:$E,METALFISA!$A:$A,'Faltantes Fevereiro- Metalfisa'!X$3,METALFISA!$B:$B,'Faltantes Fevereiro- Metalfisa'!$A138)</f>
        <v>0</v>
      </c>
      <c r="Y138" s="31">
        <f>SUMIFS(METALFISA!$E:$E,METALFISA!$A:$A,'Faltantes Fevereiro- Metalfisa'!Y$3,METALFISA!$B:$B,'Faltantes Fevereiro- Metalfisa'!$A138)</f>
        <v>0</v>
      </c>
      <c r="Z138" s="31">
        <f>SUMIFS(METALFISA!$E:$E,METALFISA!$A:$A,'Faltantes Fevereiro- Metalfisa'!Z$3,METALFISA!$B:$B,'Faltantes Fevereiro- Metalfisa'!$A138)</f>
        <v>0</v>
      </c>
      <c r="AA138" s="31">
        <f>SUMIFS(METALFISA!$E:$E,METALFISA!$A:$A,'Faltantes Fevereiro- Metalfisa'!AA$3,METALFISA!$B:$B,'Faltantes Fevereiro- Metalfisa'!$A138)</f>
        <v>0</v>
      </c>
      <c r="AB138" s="31">
        <f>SUMIFS(METALFISA!$E:$E,METALFISA!$A:$A,'Faltantes Fevereiro- Metalfisa'!AB$3,METALFISA!$B:$B,'Faltantes Fevereiro- Metalfisa'!$A138)</f>
        <v>0</v>
      </c>
      <c r="AC138" s="31">
        <f>SUMIFS(METALFISA!$E:$E,METALFISA!$A:$A,'Faltantes Fevereiro- Metalfisa'!AC$3,METALFISA!$B:$B,'Faltantes Fevereiro- Metalfisa'!$A138)</f>
        <v>0</v>
      </c>
      <c r="AD138" s="31">
        <f>SUMIFS(METALFISA!$E:$E,METALFISA!$A:$A,'Faltantes Fevereiro- Metalfisa'!AD$3,METALFISA!$B:$B,'Faltantes Fevereiro- Metalfisa'!$A138)</f>
        <v>0</v>
      </c>
      <c r="AE138" s="31">
        <f>SUMIFS(METALFISA!$E:$E,METALFISA!$A:$A,'Faltantes Fevereiro- Metalfisa'!AE$3,METALFISA!$B:$B,'Faltantes Fevereiro- Metalfisa'!$A138)</f>
        <v>0</v>
      </c>
      <c r="AF138" s="31">
        <f>SUMIFS(METALFISA!$E:$E,METALFISA!$A:$A,'Faltantes Fevereiro- Metalfisa'!AF$3,METALFISA!$B:$B,'Faltantes Fevereiro- Metalfisa'!$A138)</f>
        <v>0</v>
      </c>
      <c r="AG138" s="31">
        <f>SUMIFS(METALFISA!$E:$E,METALFISA!$A:$A,'Faltantes Fevereiro- Metalfisa'!AG$3,METALFISA!$B:$B,'Faltantes Fevereiro- Metalfisa'!$A138)</f>
        <v>0</v>
      </c>
      <c r="AH138" s="31">
        <f>SUMIFS(METALFISA!$E:$E,METALFISA!$A:$A,'Faltantes Fevereiro- Metalfisa'!AH$3,METALFISA!$B:$B,'Faltantes Fevereiro- Metalfisa'!$A138)</f>
        <v>0</v>
      </c>
      <c r="AI138" s="31">
        <f>SUMIFS(METALFISA!$E:$E,METALFISA!$A:$A,'Faltantes Fevereiro- Metalfisa'!AI$3,METALFISA!$B:$B,'Faltantes Fevereiro- Metalfisa'!$A138)</f>
        <v>20</v>
      </c>
      <c r="AJ138" s="31">
        <f>SUMIFS(METALFISA!$E:$E,METALFISA!$A:$A,'Faltantes Fevereiro- Metalfisa'!AJ$3,METALFISA!$B:$B,'Faltantes Fevereiro- Metalfisa'!$A138)</f>
        <v>0</v>
      </c>
      <c r="AK138" s="31">
        <f>SUMIFS(METALFISA!$E:$E,METALFISA!$A:$A,'Faltantes Fevereiro- Metalfisa'!AK$3,METALFISA!$B:$B,'Faltantes Fevereiro- Metalfisa'!$A138)</f>
        <v>20</v>
      </c>
      <c r="AL138" s="31">
        <f>SUMIFS(METALFISA!$E:$E,METALFISA!$A:$A,'Faltantes Fevereiro- Metalfisa'!AL$3,METALFISA!$B:$B,'Faltantes Fevereiro- Metalfisa'!$A138)</f>
        <v>0</v>
      </c>
      <c r="AM138" s="31">
        <f>SUMIFS(METALFISA!$E:$E,METALFISA!$A:$A,'Faltantes Fevereiro- Metalfisa'!AM$3,METALFISA!$B:$B,'Faltantes Fevereiro- Metalfisa'!$A138)</f>
        <v>0</v>
      </c>
      <c r="AN138" s="31">
        <f>SUMIFS(METALFISA!$E:$E,METALFISA!$A:$A,'Faltantes Fevereiro- Metalfisa'!AN$3,METALFISA!$B:$B,'Faltantes Fevereiro- Metalfisa'!$A138)</f>
        <v>20</v>
      </c>
      <c r="AO138" s="31">
        <f>SUMIFS(METALFISA!$E:$E,METALFISA!$A:$A,'Faltantes Fevereiro- Metalfisa'!AO$3,METALFISA!$B:$B,'Faltantes Fevereiro- Metalfisa'!$A138)</f>
        <v>0</v>
      </c>
      <c r="AP138" s="31">
        <f>SUMIFS(METALFISA!$E:$E,METALFISA!$A:$A,'Faltantes Fevereiro- Metalfisa'!AP$3,METALFISA!$B:$B,'Faltantes Fevereiro- Metalfisa'!$A138)</f>
        <v>0</v>
      </c>
      <c r="AQ138" s="31"/>
      <c r="AR138" s="31">
        <f>SUMIFS(METALFISA!$E:$E,METALFISA!$A:$A,'Faltantes Fevereiro- Metalfisa'!AR$3,METALFISA!$B:$B,'Faltantes Fevereiro- Metalfisa'!$A138)</f>
        <v>0</v>
      </c>
      <c r="AS138" s="35">
        <f>SUMIFS(METALFISA!$E:$E,METALFISA!$A:$A,'Faltantes Fevereiro- Metalfisa'!AS$3,METALFISA!$B:$B,'Faltantes Fevereiro- Metalfisa'!$A138)</f>
        <v>0</v>
      </c>
      <c r="AU138" s="18">
        <v>0</v>
      </c>
      <c r="AV138" s="18">
        <v>0</v>
      </c>
      <c r="AW138" s="18">
        <v>0</v>
      </c>
      <c r="AX138" s="18">
        <v>0</v>
      </c>
      <c r="AY138" s="41">
        <v>0</v>
      </c>
      <c r="AZ138" s="31">
        <v>0</v>
      </c>
      <c r="BA138" s="31">
        <v>0</v>
      </c>
      <c r="BB138" s="31">
        <v>0</v>
      </c>
      <c r="BC138" s="31">
        <v>0</v>
      </c>
      <c r="BD138" s="31">
        <v>0</v>
      </c>
      <c r="BE138" s="31">
        <v>0</v>
      </c>
      <c r="BF138" s="31">
        <v>2</v>
      </c>
      <c r="BG138" s="31">
        <v>0</v>
      </c>
      <c r="BH138" s="31">
        <v>0</v>
      </c>
      <c r="BI138" s="31">
        <v>0</v>
      </c>
      <c r="BJ138" s="31">
        <v>0</v>
      </c>
      <c r="BK138" s="31">
        <v>0</v>
      </c>
      <c r="BL138" s="31">
        <v>0</v>
      </c>
      <c r="BM138" s="31">
        <v>0</v>
      </c>
      <c r="BN138" s="31">
        <v>0</v>
      </c>
      <c r="BO138" s="31">
        <v>0</v>
      </c>
      <c r="BP138" s="31">
        <v>0</v>
      </c>
      <c r="BQ138" s="31">
        <v>0</v>
      </c>
      <c r="BR138" s="31">
        <v>0</v>
      </c>
      <c r="BS138" s="31">
        <v>0</v>
      </c>
      <c r="BT138" s="31">
        <v>0</v>
      </c>
      <c r="BU138" s="31">
        <v>0</v>
      </c>
      <c r="BV138" s="31">
        <v>0</v>
      </c>
      <c r="BW138" s="31">
        <v>0</v>
      </c>
      <c r="BX138" s="31">
        <v>2</v>
      </c>
      <c r="BY138" s="31">
        <v>0</v>
      </c>
      <c r="BZ138" s="31">
        <v>0</v>
      </c>
      <c r="CA138" s="31">
        <v>0</v>
      </c>
      <c r="CB138" s="31">
        <v>0</v>
      </c>
      <c r="CC138" s="31">
        <v>0</v>
      </c>
      <c r="CD138" s="31">
        <v>0</v>
      </c>
      <c r="CE138" s="31">
        <v>0</v>
      </c>
      <c r="CF138" s="31">
        <v>0</v>
      </c>
      <c r="CG138" s="31">
        <v>0</v>
      </c>
      <c r="CH138" s="31">
        <v>0</v>
      </c>
      <c r="CI138" s="31">
        <v>0</v>
      </c>
      <c r="CJ138" s="31">
        <v>0</v>
      </c>
      <c r="CK138" s="31">
        <v>0</v>
      </c>
      <c r="CL138" s="35">
        <v>0</v>
      </c>
    </row>
    <row r="139" spans="1:90" x14ac:dyDescent="0.15">
      <c r="A139" s="27" t="s">
        <v>131</v>
      </c>
      <c r="B139" s="28" t="s">
        <v>158</v>
      </c>
      <c r="C139" s="28">
        <v>1</v>
      </c>
      <c r="D139" s="28">
        <v>0</v>
      </c>
      <c r="E139" s="28">
        <v>0</v>
      </c>
      <c r="F139" s="28">
        <v>0</v>
      </c>
      <c r="G139" s="28">
        <v>3</v>
      </c>
      <c r="H139" s="28">
        <f>IFERROR(VLOOKUP(A139,[1]FALTANTES!$A:$AB,28,FALSE),"-")</f>
        <v>1</v>
      </c>
      <c r="I139" s="42">
        <f>IFERROR(VLOOKUP(A139,[1]FALTANTES!$A:$AC,29,FALSE),"-")</f>
        <v>1</v>
      </c>
      <c r="J139" s="29">
        <f>IFERROR(VLOOKUP(A139,[1]FALTANTES!$A:$AD,30,FALSE),"-")</f>
        <v>-3</v>
      </c>
      <c r="K139" s="30"/>
      <c r="L139" s="30">
        <f t="shared" si="2"/>
        <v>23</v>
      </c>
      <c r="M139" s="31">
        <f>SUMIFS(METALFISA!$E:$E,METALFISA!$A:$A,'Faltantes Fevereiro- Metalfisa'!M$3,METALFISA!$B:$B,'Faltantes Fevereiro- Metalfisa'!$A139)</f>
        <v>0</v>
      </c>
      <c r="N139" s="31">
        <f>SUMIFS(METALFISA!$E:$E,METALFISA!$A:$A,'Faltantes Fevereiro- Metalfisa'!N$3,METALFISA!$B:$B,'Faltantes Fevereiro- Metalfisa'!$A139)</f>
        <v>0</v>
      </c>
      <c r="O139" s="31">
        <f>SUMIFS(METALFISA!$E:$E,METALFISA!$A:$A,'Faltantes Fevereiro- Metalfisa'!O$3,METALFISA!$B:$B,'Faltantes Fevereiro- Metalfisa'!$A139)</f>
        <v>0</v>
      </c>
      <c r="P139" s="31">
        <f>SUMIFS(METALFISA!$E:$E,METALFISA!$A:$A,'Faltantes Fevereiro- Metalfisa'!P$3,METALFISA!$B:$B,'Faltantes Fevereiro- Metalfisa'!$A139)</f>
        <v>0</v>
      </c>
      <c r="Q139" s="31">
        <f>SUMIFS(METALFISA!$E:$E,METALFISA!$A:$A,'Faltantes Fevereiro- Metalfisa'!Q$3,METALFISA!$B:$B,'Faltantes Fevereiro- Metalfisa'!$A139)</f>
        <v>0</v>
      </c>
      <c r="R139" s="31">
        <f>SUMIFS(METALFISA!$E:$E,METALFISA!$A:$A,'Faltantes Fevereiro- Metalfisa'!R$3,METALFISA!$B:$B,'Faltantes Fevereiro- Metalfisa'!$A139)</f>
        <v>0</v>
      </c>
      <c r="S139" s="31">
        <f>SUMIFS(METALFISA!$E:$E,METALFISA!$A:$A,'Faltantes Fevereiro- Metalfisa'!S$3,METALFISA!$B:$B,'Faltantes Fevereiro- Metalfisa'!$A139)</f>
        <v>0</v>
      </c>
      <c r="T139" s="31">
        <f>SUMIFS(METALFISA!$E:$E,METALFISA!$A:$A,'Faltantes Fevereiro- Metalfisa'!T$3,METALFISA!$B:$B,'Faltantes Fevereiro- Metalfisa'!$A139)</f>
        <v>0</v>
      </c>
      <c r="U139" s="31">
        <f>SUMIFS(METALFISA!$E:$E,METALFISA!$A:$A,'Faltantes Fevereiro- Metalfisa'!U$3,METALFISA!$B:$B,'Faltantes Fevereiro- Metalfisa'!$A139)</f>
        <v>0</v>
      </c>
      <c r="V139" s="31">
        <f>SUMIFS(METALFISA!$E:$E,METALFISA!$A:$A,'Faltantes Fevereiro- Metalfisa'!V$3,METALFISA!$B:$B,'Faltantes Fevereiro- Metalfisa'!$A139)</f>
        <v>0</v>
      </c>
      <c r="W139" s="31">
        <f>SUMIFS(METALFISA!$E:$E,METALFISA!$A:$A,'Faltantes Fevereiro- Metalfisa'!W$3,METALFISA!$B:$B,'Faltantes Fevereiro- Metalfisa'!$A139)</f>
        <v>0</v>
      </c>
      <c r="X139" s="31">
        <f>SUMIFS(METALFISA!$E:$E,METALFISA!$A:$A,'Faltantes Fevereiro- Metalfisa'!X$3,METALFISA!$B:$B,'Faltantes Fevereiro- Metalfisa'!$A139)</f>
        <v>0</v>
      </c>
      <c r="Y139" s="31">
        <f>SUMIFS(METALFISA!$E:$E,METALFISA!$A:$A,'Faltantes Fevereiro- Metalfisa'!Y$3,METALFISA!$B:$B,'Faltantes Fevereiro- Metalfisa'!$A139)</f>
        <v>0</v>
      </c>
      <c r="Z139" s="31">
        <f>SUMIFS(METALFISA!$E:$E,METALFISA!$A:$A,'Faltantes Fevereiro- Metalfisa'!Z$3,METALFISA!$B:$B,'Faltantes Fevereiro- Metalfisa'!$A139)</f>
        <v>0</v>
      </c>
      <c r="AA139" s="31">
        <f>SUMIFS(METALFISA!$E:$E,METALFISA!$A:$A,'Faltantes Fevereiro- Metalfisa'!AA$3,METALFISA!$B:$B,'Faltantes Fevereiro- Metalfisa'!$A139)</f>
        <v>0</v>
      </c>
      <c r="AB139" s="31">
        <f>SUMIFS(METALFISA!$E:$E,METALFISA!$A:$A,'Faltantes Fevereiro- Metalfisa'!AB$3,METALFISA!$B:$B,'Faltantes Fevereiro- Metalfisa'!$A139)</f>
        <v>0</v>
      </c>
      <c r="AC139" s="31">
        <f>SUMIFS(METALFISA!$E:$E,METALFISA!$A:$A,'Faltantes Fevereiro- Metalfisa'!AC$3,METALFISA!$B:$B,'Faltantes Fevereiro- Metalfisa'!$A139)</f>
        <v>0</v>
      </c>
      <c r="AD139" s="31">
        <f>SUMIFS(METALFISA!$E:$E,METALFISA!$A:$A,'Faltantes Fevereiro- Metalfisa'!AD$3,METALFISA!$B:$B,'Faltantes Fevereiro- Metalfisa'!$A139)</f>
        <v>0</v>
      </c>
      <c r="AE139" s="31">
        <f>SUMIFS(METALFISA!$E:$E,METALFISA!$A:$A,'Faltantes Fevereiro- Metalfisa'!AE$3,METALFISA!$B:$B,'Faltantes Fevereiro- Metalfisa'!$A139)</f>
        <v>0</v>
      </c>
      <c r="AF139" s="31">
        <f>SUMIFS(METALFISA!$E:$E,METALFISA!$A:$A,'Faltantes Fevereiro- Metalfisa'!AF$3,METALFISA!$B:$B,'Faltantes Fevereiro- Metalfisa'!$A139)</f>
        <v>0</v>
      </c>
      <c r="AG139" s="31">
        <f>SUMIFS(METALFISA!$E:$E,METALFISA!$A:$A,'Faltantes Fevereiro- Metalfisa'!AG$3,METALFISA!$B:$B,'Faltantes Fevereiro- Metalfisa'!$A139)</f>
        <v>0</v>
      </c>
      <c r="AH139" s="31">
        <f>SUMIFS(METALFISA!$E:$E,METALFISA!$A:$A,'Faltantes Fevereiro- Metalfisa'!AH$3,METALFISA!$B:$B,'Faltantes Fevereiro- Metalfisa'!$A139)</f>
        <v>0</v>
      </c>
      <c r="AI139" s="31">
        <f>SUMIFS(METALFISA!$E:$E,METALFISA!$A:$A,'Faltantes Fevereiro- Metalfisa'!AI$3,METALFISA!$B:$B,'Faltantes Fevereiro- Metalfisa'!$A139)</f>
        <v>4</v>
      </c>
      <c r="AJ139" s="31">
        <f>SUMIFS(METALFISA!$E:$E,METALFISA!$A:$A,'Faltantes Fevereiro- Metalfisa'!AJ$3,METALFISA!$B:$B,'Faltantes Fevereiro- Metalfisa'!$A139)</f>
        <v>0</v>
      </c>
      <c r="AK139" s="31">
        <f>SUMIFS(METALFISA!$E:$E,METALFISA!$A:$A,'Faltantes Fevereiro- Metalfisa'!AK$3,METALFISA!$B:$B,'Faltantes Fevereiro- Metalfisa'!$A139)</f>
        <v>8</v>
      </c>
      <c r="AL139" s="31">
        <f>SUMIFS(METALFISA!$E:$E,METALFISA!$A:$A,'Faltantes Fevereiro- Metalfisa'!AL$3,METALFISA!$B:$B,'Faltantes Fevereiro- Metalfisa'!$A139)</f>
        <v>0</v>
      </c>
      <c r="AM139" s="31">
        <f>SUMIFS(METALFISA!$E:$E,METALFISA!$A:$A,'Faltantes Fevereiro- Metalfisa'!AM$3,METALFISA!$B:$B,'Faltantes Fevereiro- Metalfisa'!$A139)</f>
        <v>7</v>
      </c>
      <c r="AN139" s="31">
        <f>SUMIFS(METALFISA!$E:$E,METALFISA!$A:$A,'Faltantes Fevereiro- Metalfisa'!AN$3,METALFISA!$B:$B,'Faltantes Fevereiro- Metalfisa'!$A139)</f>
        <v>4</v>
      </c>
      <c r="AO139" s="31">
        <f>SUMIFS(METALFISA!$E:$E,METALFISA!$A:$A,'Faltantes Fevereiro- Metalfisa'!AO$3,METALFISA!$B:$B,'Faltantes Fevereiro- Metalfisa'!$A139)</f>
        <v>0</v>
      </c>
      <c r="AP139" s="31">
        <f>SUMIFS(METALFISA!$E:$E,METALFISA!$A:$A,'Faltantes Fevereiro- Metalfisa'!AP$3,METALFISA!$B:$B,'Faltantes Fevereiro- Metalfisa'!$A139)</f>
        <v>0</v>
      </c>
      <c r="AQ139" s="31"/>
      <c r="AR139" s="31">
        <f>SUMIFS(METALFISA!$E:$E,METALFISA!$A:$A,'Faltantes Fevereiro- Metalfisa'!AR$3,METALFISA!$B:$B,'Faltantes Fevereiro- Metalfisa'!$A139)</f>
        <v>0</v>
      </c>
      <c r="AS139" s="35">
        <f>SUMIFS(METALFISA!$E:$E,METALFISA!$A:$A,'Faltantes Fevereiro- Metalfisa'!AS$3,METALFISA!$B:$B,'Faltantes Fevereiro- Metalfisa'!$A139)</f>
        <v>0</v>
      </c>
      <c r="AU139" s="18">
        <v>0</v>
      </c>
      <c r="AV139" s="18">
        <v>0</v>
      </c>
      <c r="AW139" s="18">
        <v>0</v>
      </c>
      <c r="AX139" s="18">
        <v>0</v>
      </c>
      <c r="AY139" s="41">
        <v>0</v>
      </c>
      <c r="AZ139" s="31">
        <v>0</v>
      </c>
      <c r="BA139" s="31">
        <v>0</v>
      </c>
      <c r="BB139" s="31">
        <v>0</v>
      </c>
      <c r="BC139" s="31">
        <v>0</v>
      </c>
      <c r="BD139" s="31">
        <v>0</v>
      </c>
      <c r="BE139" s="31">
        <v>0</v>
      </c>
      <c r="BF139" s="31">
        <v>0</v>
      </c>
      <c r="BG139" s="31">
        <v>0</v>
      </c>
      <c r="BH139" s="31">
        <v>1</v>
      </c>
      <c r="BI139" s="31">
        <v>0</v>
      </c>
      <c r="BJ139" s="31">
        <v>0</v>
      </c>
      <c r="BK139" s="31">
        <v>0</v>
      </c>
      <c r="BL139" s="31">
        <v>0</v>
      </c>
      <c r="BM139" s="31">
        <v>0</v>
      </c>
      <c r="BN139" s="31">
        <v>0</v>
      </c>
      <c r="BO139" s="31">
        <v>0</v>
      </c>
      <c r="BP139" s="31">
        <v>0</v>
      </c>
      <c r="BQ139" s="31">
        <v>0</v>
      </c>
      <c r="BR139" s="31">
        <v>0</v>
      </c>
      <c r="BS139" s="31">
        <v>0</v>
      </c>
      <c r="BT139" s="31">
        <v>0</v>
      </c>
      <c r="BU139" s="31">
        <v>0</v>
      </c>
      <c r="BV139" s="31">
        <v>0</v>
      </c>
      <c r="BW139" s="31">
        <v>0</v>
      </c>
      <c r="BX139" s="31">
        <v>0</v>
      </c>
      <c r="BY139" s="31">
        <v>1</v>
      </c>
      <c r="BZ139" s="31">
        <v>0</v>
      </c>
      <c r="CA139" s="31">
        <v>0</v>
      </c>
      <c r="CB139" s="31">
        <v>0</v>
      </c>
      <c r="CC139" s="31">
        <v>0</v>
      </c>
      <c r="CD139" s="31">
        <v>0</v>
      </c>
      <c r="CE139" s="31">
        <v>0</v>
      </c>
      <c r="CF139" s="31">
        <v>0</v>
      </c>
      <c r="CG139" s="31">
        <v>0</v>
      </c>
      <c r="CH139" s="31">
        <v>0</v>
      </c>
      <c r="CI139" s="31">
        <v>0</v>
      </c>
      <c r="CJ139" s="31">
        <v>0</v>
      </c>
      <c r="CK139" s="31">
        <v>0</v>
      </c>
      <c r="CL139" s="35">
        <v>0</v>
      </c>
    </row>
    <row r="140" spans="1:90" x14ac:dyDescent="0.15">
      <c r="A140" s="27" t="s">
        <v>787</v>
      </c>
      <c r="B140" s="28" t="s">
        <v>788</v>
      </c>
      <c r="C140" s="28">
        <v>1</v>
      </c>
      <c r="D140" s="28">
        <v>0</v>
      </c>
      <c r="E140" s="28">
        <v>0</v>
      </c>
      <c r="F140" s="28">
        <v>0</v>
      </c>
      <c r="G140" s="28">
        <v>3</v>
      </c>
      <c r="H140" s="28">
        <f>IFERROR(VLOOKUP(A140,[1]FALTANTES!$A:$AB,28,FALSE),"-")</f>
        <v>1</v>
      </c>
      <c r="I140" s="42">
        <f>IFERROR(VLOOKUP(A140,[1]FALTANTES!$A:$AC,29,FALSE),"-")</f>
        <v>1</v>
      </c>
      <c r="J140" s="29">
        <f>IFERROR(VLOOKUP(A140,[1]FALTANTES!$A:$AD,30,FALSE),"-")</f>
        <v>-3</v>
      </c>
      <c r="K140" s="30"/>
      <c r="L140" s="30">
        <f t="shared" si="2"/>
        <v>30</v>
      </c>
      <c r="M140" s="31">
        <f>SUMIFS(METALFISA!$E:$E,METALFISA!$A:$A,'Faltantes Fevereiro- Metalfisa'!M$3,METALFISA!$B:$B,'Faltantes Fevereiro- Metalfisa'!$A140)</f>
        <v>0</v>
      </c>
      <c r="N140" s="31">
        <f>SUMIFS(METALFISA!$E:$E,METALFISA!$A:$A,'Faltantes Fevereiro- Metalfisa'!N$3,METALFISA!$B:$B,'Faltantes Fevereiro- Metalfisa'!$A140)</f>
        <v>0</v>
      </c>
      <c r="O140" s="31">
        <f>SUMIFS(METALFISA!$E:$E,METALFISA!$A:$A,'Faltantes Fevereiro- Metalfisa'!O$3,METALFISA!$B:$B,'Faltantes Fevereiro- Metalfisa'!$A140)</f>
        <v>0</v>
      </c>
      <c r="P140" s="31">
        <f>SUMIFS(METALFISA!$E:$E,METALFISA!$A:$A,'Faltantes Fevereiro- Metalfisa'!P$3,METALFISA!$B:$B,'Faltantes Fevereiro- Metalfisa'!$A140)</f>
        <v>0</v>
      </c>
      <c r="Q140" s="31">
        <f>SUMIFS(METALFISA!$E:$E,METALFISA!$A:$A,'Faltantes Fevereiro- Metalfisa'!Q$3,METALFISA!$B:$B,'Faltantes Fevereiro- Metalfisa'!$A140)</f>
        <v>0</v>
      </c>
      <c r="R140" s="31">
        <f>SUMIFS(METALFISA!$E:$E,METALFISA!$A:$A,'Faltantes Fevereiro- Metalfisa'!R$3,METALFISA!$B:$B,'Faltantes Fevereiro- Metalfisa'!$A140)</f>
        <v>0</v>
      </c>
      <c r="S140" s="31">
        <f>SUMIFS(METALFISA!$E:$E,METALFISA!$A:$A,'Faltantes Fevereiro- Metalfisa'!S$3,METALFISA!$B:$B,'Faltantes Fevereiro- Metalfisa'!$A140)</f>
        <v>0</v>
      </c>
      <c r="T140" s="31">
        <f>SUMIFS(METALFISA!$E:$E,METALFISA!$A:$A,'Faltantes Fevereiro- Metalfisa'!T$3,METALFISA!$B:$B,'Faltantes Fevereiro- Metalfisa'!$A140)</f>
        <v>0</v>
      </c>
      <c r="U140" s="31">
        <f>SUMIFS(METALFISA!$E:$E,METALFISA!$A:$A,'Faltantes Fevereiro- Metalfisa'!U$3,METALFISA!$B:$B,'Faltantes Fevereiro- Metalfisa'!$A140)</f>
        <v>0</v>
      </c>
      <c r="V140" s="31">
        <f>SUMIFS(METALFISA!$E:$E,METALFISA!$A:$A,'Faltantes Fevereiro- Metalfisa'!V$3,METALFISA!$B:$B,'Faltantes Fevereiro- Metalfisa'!$A140)</f>
        <v>0</v>
      </c>
      <c r="W140" s="31">
        <f>SUMIFS(METALFISA!$E:$E,METALFISA!$A:$A,'Faltantes Fevereiro- Metalfisa'!W$3,METALFISA!$B:$B,'Faltantes Fevereiro- Metalfisa'!$A140)</f>
        <v>0</v>
      </c>
      <c r="X140" s="31">
        <f>SUMIFS(METALFISA!$E:$E,METALFISA!$A:$A,'Faltantes Fevereiro- Metalfisa'!X$3,METALFISA!$B:$B,'Faltantes Fevereiro- Metalfisa'!$A140)</f>
        <v>0</v>
      </c>
      <c r="Y140" s="31">
        <f>SUMIFS(METALFISA!$E:$E,METALFISA!$A:$A,'Faltantes Fevereiro- Metalfisa'!Y$3,METALFISA!$B:$B,'Faltantes Fevereiro- Metalfisa'!$A140)</f>
        <v>0</v>
      </c>
      <c r="Z140" s="31">
        <f>SUMIFS(METALFISA!$E:$E,METALFISA!$A:$A,'Faltantes Fevereiro- Metalfisa'!Z$3,METALFISA!$B:$B,'Faltantes Fevereiro- Metalfisa'!$A140)</f>
        <v>0</v>
      </c>
      <c r="AA140" s="31">
        <f>SUMIFS(METALFISA!$E:$E,METALFISA!$A:$A,'Faltantes Fevereiro- Metalfisa'!AA$3,METALFISA!$B:$B,'Faltantes Fevereiro- Metalfisa'!$A140)</f>
        <v>0</v>
      </c>
      <c r="AB140" s="31">
        <f>SUMIFS(METALFISA!$E:$E,METALFISA!$A:$A,'Faltantes Fevereiro- Metalfisa'!AB$3,METALFISA!$B:$B,'Faltantes Fevereiro- Metalfisa'!$A140)</f>
        <v>0</v>
      </c>
      <c r="AC140" s="31">
        <f>SUMIFS(METALFISA!$E:$E,METALFISA!$A:$A,'Faltantes Fevereiro- Metalfisa'!AC$3,METALFISA!$B:$B,'Faltantes Fevereiro- Metalfisa'!$A140)</f>
        <v>0</v>
      </c>
      <c r="AD140" s="31">
        <f>SUMIFS(METALFISA!$E:$E,METALFISA!$A:$A,'Faltantes Fevereiro- Metalfisa'!AD$3,METALFISA!$B:$B,'Faltantes Fevereiro- Metalfisa'!$A140)</f>
        <v>0</v>
      </c>
      <c r="AE140" s="31">
        <f>SUMIFS(METALFISA!$E:$E,METALFISA!$A:$A,'Faltantes Fevereiro- Metalfisa'!AE$3,METALFISA!$B:$B,'Faltantes Fevereiro- Metalfisa'!$A140)</f>
        <v>0</v>
      </c>
      <c r="AF140" s="31">
        <f>SUMIFS(METALFISA!$E:$E,METALFISA!$A:$A,'Faltantes Fevereiro- Metalfisa'!AF$3,METALFISA!$B:$B,'Faltantes Fevereiro- Metalfisa'!$A140)</f>
        <v>0</v>
      </c>
      <c r="AG140" s="31">
        <f>SUMIFS(METALFISA!$E:$E,METALFISA!$A:$A,'Faltantes Fevereiro- Metalfisa'!AG$3,METALFISA!$B:$B,'Faltantes Fevereiro- Metalfisa'!$A140)</f>
        <v>0</v>
      </c>
      <c r="AH140" s="31">
        <f>SUMIFS(METALFISA!$E:$E,METALFISA!$A:$A,'Faltantes Fevereiro- Metalfisa'!AH$3,METALFISA!$B:$B,'Faltantes Fevereiro- Metalfisa'!$A140)</f>
        <v>0</v>
      </c>
      <c r="AI140" s="31">
        <f>SUMIFS(METALFISA!$E:$E,METALFISA!$A:$A,'Faltantes Fevereiro- Metalfisa'!AI$3,METALFISA!$B:$B,'Faltantes Fevereiro- Metalfisa'!$A140)</f>
        <v>4</v>
      </c>
      <c r="AJ140" s="31">
        <f>SUMIFS(METALFISA!$E:$E,METALFISA!$A:$A,'Faltantes Fevereiro- Metalfisa'!AJ$3,METALFISA!$B:$B,'Faltantes Fevereiro- Metalfisa'!$A140)</f>
        <v>0</v>
      </c>
      <c r="AK140" s="31">
        <f>SUMIFS(METALFISA!$E:$E,METALFISA!$A:$A,'Faltantes Fevereiro- Metalfisa'!AK$3,METALFISA!$B:$B,'Faltantes Fevereiro- Metalfisa'!$A140)</f>
        <v>15</v>
      </c>
      <c r="AL140" s="31">
        <f>SUMIFS(METALFISA!$E:$E,METALFISA!$A:$A,'Faltantes Fevereiro- Metalfisa'!AL$3,METALFISA!$B:$B,'Faltantes Fevereiro- Metalfisa'!$A140)</f>
        <v>0</v>
      </c>
      <c r="AM140" s="31">
        <f>SUMIFS(METALFISA!$E:$E,METALFISA!$A:$A,'Faltantes Fevereiro- Metalfisa'!AM$3,METALFISA!$B:$B,'Faltantes Fevereiro- Metalfisa'!$A140)</f>
        <v>7</v>
      </c>
      <c r="AN140" s="31">
        <f>SUMIFS(METALFISA!$E:$E,METALFISA!$A:$A,'Faltantes Fevereiro- Metalfisa'!AN$3,METALFISA!$B:$B,'Faltantes Fevereiro- Metalfisa'!$A140)</f>
        <v>4</v>
      </c>
      <c r="AO140" s="31">
        <f>SUMIFS(METALFISA!$E:$E,METALFISA!$A:$A,'Faltantes Fevereiro- Metalfisa'!AO$3,METALFISA!$B:$B,'Faltantes Fevereiro- Metalfisa'!$A140)</f>
        <v>0</v>
      </c>
      <c r="AP140" s="31">
        <f>SUMIFS(METALFISA!$E:$E,METALFISA!$A:$A,'Faltantes Fevereiro- Metalfisa'!AP$3,METALFISA!$B:$B,'Faltantes Fevereiro- Metalfisa'!$A140)</f>
        <v>0</v>
      </c>
      <c r="AQ140" s="31"/>
      <c r="AR140" s="31">
        <f>SUMIFS(METALFISA!$E:$E,METALFISA!$A:$A,'Faltantes Fevereiro- Metalfisa'!AR$3,METALFISA!$B:$B,'Faltantes Fevereiro- Metalfisa'!$A140)</f>
        <v>0</v>
      </c>
      <c r="AS140" s="35">
        <f>SUMIFS(METALFISA!$E:$E,METALFISA!$A:$A,'Faltantes Fevereiro- Metalfisa'!AS$3,METALFISA!$B:$B,'Faltantes Fevereiro- Metalfisa'!$A140)</f>
        <v>0</v>
      </c>
      <c r="AU140" s="18">
        <v>0</v>
      </c>
      <c r="AV140" s="18">
        <v>0</v>
      </c>
      <c r="AW140" s="18">
        <v>0</v>
      </c>
      <c r="AX140" s="18">
        <v>0</v>
      </c>
      <c r="AY140" s="41">
        <v>0</v>
      </c>
      <c r="AZ140" s="31">
        <v>0</v>
      </c>
      <c r="BA140" s="31">
        <v>0</v>
      </c>
      <c r="BB140" s="31">
        <v>0</v>
      </c>
      <c r="BC140" s="31">
        <v>0</v>
      </c>
      <c r="BD140" s="31">
        <v>0</v>
      </c>
      <c r="BE140" s="31">
        <v>0</v>
      </c>
      <c r="BF140" s="31">
        <v>0</v>
      </c>
      <c r="BG140" s="31">
        <v>0</v>
      </c>
      <c r="BH140" s="31">
        <v>1</v>
      </c>
      <c r="BI140" s="31">
        <v>0</v>
      </c>
      <c r="BJ140" s="31">
        <v>0</v>
      </c>
      <c r="BK140" s="31">
        <v>0</v>
      </c>
      <c r="BL140" s="31">
        <v>0</v>
      </c>
      <c r="BM140" s="31">
        <v>0</v>
      </c>
      <c r="BN140" s="31">
        <v>0</v>
      </c>
      <c r="BO140" s="31">
        <v>0</v>
      </c>
      <c r="BP140" s="31">
        <v>0</v>
      </c>
      <c r="BQ140" s="31">
        <v>0</v>
      </c>
      <c r="BR140" s="31">
        <v>0</v>
      </c>
      <c r="BS140" s="31">
        <v>0</v>
      </c>
      <c r="BT140" s="31">
        <v>0</v>
      </c>
      <c r="BU140" s="31">
        <v>0</v>
      </c>
      <c r="BV140" s="31">
        <v>0</v>
      </c>
      <c r="BW140" s="31">
        <v>0</v>
      </c>
      <c r="BX140" s="31">
        <v>0</v>
      </c>
      <c r="BY140" s="31">
        <v>1</v>
      </c>
      <c r="BZ140" s="31">
        <v>0</v>
      </c>
      <c r="CA140" s="31">
        <v>0</v>
      </c>
      <c r="CB140" s="31">
        <v>0</v>
      </c>
      <c r="CC140" s="31">
        <v>0</v>
      </c>
      <c r="CD140" s="31">
        <v>0</v>
      </c>
      <c r="CE140" s="31">
        <v>0</v>
      </c>
      <c r="CF140" s="31">
        <v>0</v>
      </c>
      <c r="CG140" s="31">
        <v>0</v>
      </c>
      <c r="CH140" s="31">
        <v>0</v>
      </c>
      <c r="CI140" s="31">
        <v>0</v>
      </c>
      <c r="CJ140" s="31">
        <v>0</v>
      </c>
      <c r="CK140" s="31">
        <v>0</v>
      </c>
      <c r="CL140" s="35">
        <v>0</v>
      </c>
    </row>
    <row r="141" spans="1:90" ht="21" x14ac:dyDescent="0.15">
      <c r="A141" s="27" t="s">
        <v>921</v>
      </c>
      <c r="B141" s="28" t="s">
        <v>922</v>
      </c>
      <c r="C141" s="28">
        <v>0</v>
      </c>
      <c r="D141" s="28">
        <v>0</v>
      </c>
      <c r="E141" s="28">
        <v>0</v>
      </c>
      <c r="F141" s="28">
        <v>0</v>
      </c>
      <c r="G141" s="28">
        <v>9</v>
      </c>
      <c r="H141" s="28">
        <f>IFERROR(VLOOKUP(A141,[1]FALTANTES!$A:$AB,28,FALSE),"-")</f>
        <v>0</v>
      </c>
      <c r="I141" s="42">
        <f>IFERROR(VLOOKUP(A141,[1]FALTANTES!$A:$AC,29,FALSE),"-")</f>
        <v>0</v>
      </c>
      <c r="J141" s="29">
        <f>IFERROR(VLOOKUP(A141,[1]FALTANTES!$A:$AD,30,FALSE),"-")</f>
        <v>-9</v>
      </c>
      <c r="K141" s="30">
        <v>0</v>
      </c>
      <c r="L141" s="30">
        <f t="shared" si="2"/>
        <v>36</v>
      </c>
      <c r="M141" s="31">
        <f>SUMIFS(METALFISA!$E:$E,METALFISA!$A:$A,'Faltantes Fevereiro- Metalfisa'!M$3,METALFISA!$B:$B,'Faltantes Fevereiro- Metalfisa'!$A141)</f>
        <v>0</v>
      </c>
      <c r="N141" s="31">
        <f>SUMIFS(METALFISA!$E:$E,METALFISA!$A:$A,'Faltantes Fevereiro- Metalfisa'!N$3,METALFISA!$B:$B,'Faltantes Fevereiro- Metalfisa'!$A141)</f>
        <v>0</v>
      </c>
      <c r="O141" s="31">
        <f>SUMIFS(METALFISA!$E:$E,METALFISA!$A:$A,'Faltantes Fevereiro- Metalfisa'!O$3,METALFISA!$B:$B,'Faltantes Fevereiro- Metalfisa'!$A141)</f>
        <v>0</v>
      </c>
      <c r="P141" s="31">
        <f>SUMIFS(METALFISA!$E:$E,METALFISA!$A:$A,'Faltantes Fevereiro- Metalfisa'!P$3,METALFISA!$B:$B,'Faltantes Fevereiro- Metalfisa'!$A141)</f>
        <v>0</v>
      </c>
      <c r="Q141" s="31">
        <f>SUMIFS(METALFISA!$E:$E,METALFISA!$A:$A,'Faltantes Fevereiro- Metalfisa'!Q$3,METALFISA!$B:$B,'Faltantes Fevereiro- Metalfisa'!$A141)</f>
        <v>0</v>
      </c>
      <c r="R141" s="31">
        <f>SUMIFS(METALFISA!$E:$E,METALFISA!$A:$A,'Faltantes Fevereiro- Metalfisa'!R$3,METALFISA!$B:$B,'Faltantes Fevereiro- Metalfisa'!$A141)</f>
        <v>0</v>
      </c>
      <c r="S141" s="31">
        <f>SUMIFS(METALFISA!$E:$E,METALFISA!$A:$A,'Faltantes Fevereiro- Metalfisa'!S$3,METALFISA!$B:$B,'Faltantes Fevereiro- Metalfisa'!$A141)</f>
        <v>0</v>
      </c>
      <c r="T141" s="31">
        <f>SUMIFS(METALFISA!$E:$E,METALFISA!$A:$A,'Faltantes Fevereiro- Metalfisa'!T$3,METALFISA!$B:$B,'Faltantes Fevereiro- Metalfisa'!$A141)</f>
        <v>0</v>
      </c>
      <c r="U141" s="31">
        <f>SUMIFS(METALFISA!$E:$E,METALFISA!$A:$A,'Faltantes Fevereiro- Metalfisa'!U$3,METALFISA!$B:$B,'Faltantes Fevereiro- Metalfisa'!$A141)</f>
        <v>0</v>
      </c>
      <c r="V141" s="31">
        <f>SUMIFS(METALFISA!$E:$E,METALFISA!$A:$A,'Faltantes Fevereiro- Metalfisa'!V$3,METALFISA!$B:$B,'Faltantes Fevereiro- Metalfisa'!$A141)</f>
        <v>0</v>
      </c>
      <c r="W141" s="31">
        <f>SUMIFS(METALFISA!$E:$E,METALFISA!$A:$A,'Faltantes Fevereiro- Metalfisa'!W$3,METALFISA!$B:$B,'Faltantes Fevereiro- Metalfisa'!$A141)</f>
        <v>0</v>
      </c>
      <c r="X141" s="31">
        <f>SUMIFS(METALFISA!$E:$E,METALFISA!$A:$A,'Faltantes Fevereiro- Metalfisa'!X$3,METALFISA!$B:$B,'Faltantes Fevereiro- Metalfisa'!$A141)</f>
        <v>0</v>
      </c>
      <c r="Y141" s="31">
        <f>SUMIFS(METALFISA!$E:$E,METALFISA!$A:$A,'Faltantes Fevereiro- Metalfisa'!Y$3,METALFISA!$B:$B,'Faltantes Fevereiro- Metalfisa'!$A141)</f>
        <v>0</v>
      </c>
      <c r="Z141" s="31">
        <f>SUMIFS(METALFISA!$E:$E,METALFISA!$A:$A,'Faltantes Fevereiro- Metalfisa'!Z$3,METALFISA!$B:$B,'Faltantes Fevereiro- Metalfisa'!$A141)</f>
        <v>0</v>
      </c>
      <c r="AA141" s="31">
        <f>SUMIFS(METALFISA!$E:$E,METALFISA!$A:$A,'Faltantes Fevereiro- Metalfisa'!AA$3,METALFISA!$B:$B,'Faltantes Fevereiro- Metalfisa'!$A141)</f>
        <v>0</v>
      </c>
      <c r="AB141" s="31">
        <f>SUMIFS(METALFISA!$E:$E,METALFISA!$A:$A,'Faltantes Fevereiro- Metalfisa'!AB$3,METALFISA!$B:$B,'Faltantes Fevereiro- Metalfisa'!$A141)</f>
        <v>0</v>
      </c>
      <c r="AC141" s="31">
        <f>SUMIFS(METALFISA!$E:$E,METALFISA!$A:$A,'Faltantes Fevereiro- Metalfisa'!AC$3,METALFISA!$B:$B,'Faltantes Fevereiro- Metalfisa'!$A141)</f>
        <v>0</v>
      </c>
      <c r="AD141" s="31">
        <f>SUMIFS(METALFISA!$E:$E,METALFISA!$A:$A,'Faltantes Fevereiro- Metalfisa'!AD$3,METALFISA!$B:$B,'Faltantes Fevereiro- Metalfisa'!$A141)</f>
        <v>0</v>
      </c>
      <c r="AE141" s="31">
        <f>SUMIFS(METALFISA!$E:$E,METALFISA!$A:$A,'Faltantes Fevereiro- Metalfisa'!AE$3,METALFISA!$B:$B,'Faltantes Fevereiro- Metalfisa'!$A141)</f>
        <v>0</v>
      </c>
      <c r="AF141" s="31">
        <f>SUMIFS(METALFISA!$E:$E,METALFISA!$A:$A,'Faltantes Fevereiro- Metalfisa'!AF$3,METALFISA!$B:$B,'Faltantes Fevereiro- Metalfisa'!$A141)</f>
        <v>0</v>
      </c>
      <c r="AG141" s="31">
        <f>SUMIFS(METALFISA!$E:$E,METALFISA!$A:$A,'Faltantes Fevereiro- Metalfisa'!AG$3,METALFISA!$B:$B,'Faltantes Fevereiro- Metalfisa'!$A141)</f>
        <v>0</v>
      </c>
      <c r="AH141" s="31">
        <f>SUMIFS(METALFISA!$E:$E,METALFISA!$A:$A,'Faltantes Fevereiro- Metalfisa'!AH$3,METALFISA!$B:$B,'Faltantes Fevereiro- Metalfisa'!$A141)</f>
        <v>0</v>
      </c>
      <c r="AI141" s="31">
        <f>SUMIFS(METALFISA!$E:$E,METALFISA!$A:$A,'Faltantes Fevereiro- Metalfisa'!AI$3,METALFISA!$B:$B,'Faltantes Fevereiro- Metalfisa'!$A141)</f>
        <v>0</v>
      </c>
      <c r="AJ141" s="31">
        <f>SUMIFS(METALFISA!$E:$E,METALFISA!$A:$A,'Faltantes Fevereiro- Metalfisa'!AJ$3,METALFISA!$B:$B,'Faltantes Fevereiro- Metalfisa'!$A141)</f>
        <v>0</v>
      </c>
      <c r="AK141" s="31">
        <f>SUMIFS(METALFISA!$E:$E,METALFISA!$A:$A,'Faltantes Fevereiro- Metalfisa'!AK$3,METALFISA!$B:$B,'Faltantes Fevereiro- Metalfisa'!$A141)</f>
        <v>36</v>
      </c>
      <c r="AL141" s="31">
        <f>SUMIFS(METALFISA!$E:$E,METALFISA!$A:$A,'Faltantes Fevereiro- Metalfisa'!AL$3,METALFISA!$B:$B,'Faltantes Fevereiro- Metalfisa'!$A141)</f>
        <v>0</v>
      </c>
      <c r="AM141" s="31">
        <f>SUMIFS(METALFISA!$E:$E,METALFISA!$A:$A,'Faltantes Fevereiro- Metalfisa'!AM$3,METALFISA!$B:$B,'Faltantes Fevereiro- Metalfisa'!$A141)</f>
        <v>0</v>
      </c>
      <c r="AN141" s="31">
        <f>SUMIFS(METALFISA!$E:$E,METALFISA!$A:$A,'Faltantes Fevereiro- Metalfisa'!AN$3,METALFISA!$B:$B,'Faltantes Fevereiro- Metalfisa'!$A141)</f>
        <v>0</v>
      </c>
      <c r="AO141" s="31">
        <f>SUMIFS(METALFISA!$E:$E,METALFISA!$A:$A,'Faltantes Fevereiro- Metalfisa'!AO$3,METALFISA!$B:$B,'Faltantes Fevereiro- Metalfisa'!$A141)</f>
        <v>0</v>
      </c>
      <c r="AP141" s="31">
        <f>SUMIFS(METALFISA!$E:$E,METALFISA!$A:$A,'Faltantes Fevereiro- Metalfisa'!AP$3,METALFISA!$B:$B,'Faltantes Fevereiro- Metalfisa'!$A141)</f>
        <v>0</v>
      </c>
      <c r="AQ141" s="31"/>
      <c r="AR141" s="31">
        <f>SUMIFS(METALFISA!$E:$E,METALFISA!$A:$A,'Faltantes Fevereiro- Metalfisa'!AR$3,METALFISA!$B:$B,'Faltantes Fevereiro- Metalfisa'!$A141)</f>
        <v>0</v>
      </c>
      <c r="AS141" s="35">
        <f>SUMIFS(METALFISA!$E:$E,METALFISA!$A:$A,'Faltantes Fevereiro- Metalfisa'!AS$3,METALFISA!$B:$B,'Faltantes Fevereiro- Metalfisa'!$A141)</f>
        <v>0</v>
      </c>
      <c r="AU141" s="18">
        <v>0</v>
      </c>
      <c r="AV141" s="18">
        <v>0</v>
      </c>
      <c r="AW141" s="18">
        <v>0</v>
      </c>
      <c r="AX141" s="18">
        <v>0</v>
      </c>
      <c r="AY141" s="41">
        <v>0</v>
      </c>
      <c r="AZ141" s="31">
        <v>0</v>
      </c>
      <c r="BA141" s="31">
        <v>0</v>
      </c>
      <c r="BB141" s="31">
        <v>0</v>
      </c>
      <c r="BC141" s="31">
        <v>0</v>
      </c>
      <c r="BD141" s="31">
        <v>0</v>
      </c>
      <c r="BE141" s="31">
        <v>0</v>
      </c>
      <c r="BF141" s="31">
        <v>1</v>
      </c>
      <c r="BG141" s="31">
        <v>0</v>
      </c>
      <c r="BH141" s="31">
        <v>1</v>
      </c>
      <c r="BI141" s="31">
        <v>0</v>
      </c>
      <c r="BJ141" s="31">
        <v>0</v>
      </c>
      <c r="BK141" s="31">
        <v>0</v>
      </c>
      <c r="BL141" s="31">
        <v>0</v>
      </c>
      <c r="BM141" s="31">
        <v>0</v>
      </c>
      <c r="BN141" s="31">
        <v>0</v>
      </c>
      <c r="BO141" s="31">
        <v>0</v>
      </c>
      <c r="BP141" s="31">
        <v>0</v>
      </c>
      <c r="BQ141" s="31">
        <v>0</v>
      </c>
      <c r="BR141" s="31">
        <v>0</v>
      </c>
      <c r="BS141" s="31">
        <v>0</v>
      </c>
      <c r="BT141" s="31">
        <v>0</v>
      </c>
      <c r="BU141" s="31">
        <v>0</v>
      </c>
      <c r="BV141" s="31">
        <v>0</v>
      </c>
      <c r="BW141" s="31">
        <v>0</v>
      </c>
      <c r="BX141" s="31">
        <v>1</v>
      </c>
      <c r="BY141" s="31">
        <v>1</v>
      </c>
      <c r="BZ141" s="31">
        <v>0</v>
      </c>
      <c r="CA141" s="31">
        <v>0</v>
      </c>
      <c r="CB141" s="31">
        <v>0</v>
      </c>
      <c r="CC141" s="31">
        <v>0</v>
      </c>
      <c r="CD141" s="31">
        <v>0</v>
      </c>
      <c r="CE141" s="31">
        <v>0</v>
      </c>
      <c r="CF141" s="31">
        <v>0</v>
      </c>
      <c r="CG141" s="31">
        <v>0</v>
      </c>
      <c r="CH141" s="31">
        <v>0</v>
      </c>
      <c r="CI141" s="31">
        <v>0</v>
      </c>
      <c r="CJ141" s="31">
        <v>0</v>
      </c>
      <c r="CK141" s="31">
        <v>0</v>
      </c>
      <c r="CL141" s="35">
        <v>0</v>
      </c>
    </row>
    <row r="142" spans="1:90" ht="21" x14ac:dyDescent="0.15">
      <c r="A142" s="27" t="s">
        <v>730</v>
      </c>
      <c r="B142" s="28" t="s">
        <v>731</v>
      </c>
      <c r="C142" s="28">
        <v>0</v>
      </c>
      <c r="D142" s="28">
        <v>0</v>
      </c>
      <c r="E142" s="28">
        <v>0</v>
      </c>
      <c r="F142" s="28">
        <v>0</v>
      </c>
      <c r="G142" s="28">
        <v>3</v>
      </c>
      <c r="H142" s="28">
        <f>IFERROR(VLOOKUP(A142,[1]FALTANTES!$A:$AB,28,FALSE),"-")</f>
        <v>0</v>
      </c>
      <c r="I142" s="42">
        <f>IFERROR(VLOOKUP(A142,[1]FALTANTES!$A:$AC,29,FALSE),"-")</f>
        <v>0</v>
      </c>
      <c r="J142" s="29">
        <f>IFERROR(VLOOKUP(A142,[1]FALTANTES!$A:$AD,30,FALSE),"-")</f>
        <v>-3</v>
      </c>
      <c r="K142" s="30">
        <v>0</v>
      </c>
      <c r="L142" s="30">
        <f t="shared" si="2"/>
        <v>3</v>
      </c>
      <c r="M142" s="31">
        <f>SUMIFS(METALFISA!$E:$E,METALFISA!$A:$A,'Faltantes Fevereiro- Metalfisa'!M$3,METALFISA!$B:$B,'Faltantes Fevereiro- Metalfisa'!$A142)</f>
        <v>0</v>
      </c>
      <c r="N142" s="31">
        <f>SUMIFS(METALFISA!$E:$E,METALFISA!$A:$A,'Faltantes Fevereiro- Metalfisa'!N$3,METALFISA!$B:$B,'Faltantes Fevereiro- Metalfisa'!$A142)</f>
        <v>0</v>
      </c>
      <c r="O142" s="31">
        <f>SUMIFS(METALFISA!$E:$E,METALFISA!$A:$A,'Faltantes Fevereiro- Metalfisa'!O$3,METALFISA!$B:$B,'Faltantes Fevereiro- Metalfisa'!$A142)</f>
        <v>0</v>
      </c>
      <c r="P142" s="31">
        <f>SUMIFS(METALFISA!$E:$E,METALFISA!$A:$A,'Faltantes Fevereiro- Metalfisa'!P$3,METALFISA!$B:$B,'Faltantes Fevereiro- Metalfisa'!$A142)</f>
        <v>0</v>
      </c>
      <c r="Q142" s="31">
        <f>SUMIFS(METALFISA!$E:$E,METALFISA!$A:$A,'Faltantes Fevereiro- Metalfisa'!Q$3,METALFISA!$B:$B,'Faltantes Fevereiro- Metalfisa'!$A142)</f>
        <v>0</v>
      </c>
      <c r="R142" s="31">
        <f>SUMIFS(METALFISA!$E:$E,METALFISA!$A:$A,'Faltantes Fevereiro- Metalfisa'!R$3,METALFISA!$B:$B,'Faltantes Fevereiro- Metalfisa'!$A142)</f>
        <v>0</v>
      </c>
      <c r="S142" s="31">
        <f>SUMIFS(METALFISA!$E:$E,METALFISA!$A:$A,'Faltantes Fevereiro- Metalfisa'!S$3,METALFISA!$B:$B,'Faltantes Fevereiro- Metalfisa'!$A142)</f>
        <v>0</v>
      </c>
      <c r="T142" s="31">
        <f>SUMIFS(METALFISA!$E:$E,METALFISA!$A:$A,'Faltantes Fevereiro- Metalfisa'!T$3,METALFISA!$B:$B,'Faltantes Fevereiro- Metalfisa'!$A142)</f>
        <v>0</v>
      </c>
      <c r="U142" s="31">
        <f>SUMIFS(METALFISA!$E:$E,METALFISA!$A:$A,'Faltantes Fevereiro- Metalfisa'!U$3,METALFISA!$B:$B,'Faltantes Fevereiro- Metalfisa'!$A142)</f>
        <v>0</v>
      </c>
      <c r="V142" s="31">
        <f>SUMIFS(METALFISA!$E:$E,METALFISA!$A:$A,'Faltantes Fevereiro- Metalfisa'!V$3,METALFISA!$B:$B,'Faltantes Fevereiro- Metalfisa'!$A142)</f>
        <v>0</v>
      </c>
      <c r="W142" s="31">
        <f>SUMIFS(METALFISA!$E:$E,METALFISA!$A:$A,'Faltantes Fevereiro- Metalfisa'!W$3,METALFISA!$B:$B,'Faltantes Fevereiro- Metalfisa'!$A142)</f>
        <v>0</v>
      </c>
      <c r="X142" s="31">
        <f>SUMIFS(METALFISA!$E:$E,METALFISA!$A:$A,'Faltantes Fevereiro- Metalfisa'!X$3,METALFISA!$B:$B,'Faltantes Fevereiro- Metalfisa'!$A142)</f>
        <v>0</v>
      </c>
      <c r="Y142" s="31">
        <f>SUMIFS(METALFISA!$E:$E,METALFISA!$A:$A,'Faltantes Fevereiro- Metalfisa'!Y$3,METALFISA!$B:$B,'Faltantes Fevereiro- Metalfisa'!$A142)</f>
        <v>0</v>
      </c>
      <c r="Z142" s="31">
        <f>SUMIFS(METALFISA!$E:$E,METALFISA!$A:$A,'Faltantes Fevereiro- Metalfisa'!Z$3,METALFISA!$B:$B,'Faltantes Fevereiro- Metalfisa'!$A142)</f>
        <v>0</v>
      </c>
      <c r="AA142" s="31">
        <f>SUMIFS(METALFISA!$E:$E,METALFISA!$A:$A,'Faltantes Fevereiro- Metalfisa'!AA$3,METALFISA!$B:$B,'Faltantes Fevereiro- Metalfisa'!$A142)</f>
        <v>0</v>
      </c>
      <c r="AB142" s="31">
        <f>SUMIFS(METALFISA!$E:$E,METALFISA!$A:$A,'Faltantes Fevereiro- Metalfisa'!AB$3,METALFISA!$B:$B,'Faltantes Fevereiro- Metalfisa'!$A142)</f>
        <v>0</v>
      </c>
      <c r="AC142" s="31">
        <f>SUMIFS(METALFISA!$E:$E,METALFISA!$A:$A,'Faltantes Fevereiro- Metalfisa'!AC$3,METALFISA!$B:$B,'Faltantes Fevereiro- Metalfisa'!$A142)</f>
        <v>1</v>
      </c>
      <c r="AD142" s="31">
        <f>SUMIFS(METALFISA!$E:$E,METALFISA!$A:$A,'Faltantes Fevereiro- Metalfisa'!AD$3,METALFISA!$B:$B,'Faltantes Fevereiro- Metalfisa'!$A142)</f>
        <v>0</v>
      </c>
      <c r="AE142" s="31">
        <f>SUMIFS(METALFISA!$E:$E,METALFISA!$A:$A,'Faltantes Fevereiro- Metalfisa'!AE$3,METALFISA!$B:$B,'Faltantes Fevereiro- Metalfisa'!$A142)</f>
        <v>0</v>
      </c>
      <c r="AF142" s="31">
        <f>SUMIFS(METALFISA!$E:$E,METALFISA!$A:$A,'Faltantes Fevereiro- Metalfisa'!AF$3,METALFISA!$B:$B,'Faltantes Fevereiro- Metalfisa'!$A142)</f>
        <v>0</v>
      </c>
      <c r="AG142" s="31">
        <f>SUMIFS(METALFISA!$E:$E,METALFISA!$A:$A,'Faltantes Fevereiro- Metalfisa'!AG$3,METALFISA!$B:$B,'Faltantes Fevereiro- Metalfisa'!$A142)</f>
        <v>2</v>
      </c>
      <c r="AH142" s="31">
        <f>SUMIFS(METALFISA!$E:$E,METALFISA!$A:$A,'Faltantes Fevereiro- Metalfisa'!AH$3,METALFISA!$B:$B,'Faltantes Fevereiro- Metalfisa'!$A142)</f>
        <v>0</v>
      </c>
      <c r="AI142" s="31">
        <f>SUMIFS(METALFISA!$E:$E,METALFISA!$A:$A,'Faltantes Fevereiro- Metalfisa'!AI$3,METALFISA!$B:$B,'Faltantes Fevereiro- Metalfisa'!$A142)</f>
        <v>0</v>
      </c>
      <c r="AJ142" s="31">
        <f>SUMIFS(METALFISA!$E:$E,METALFISA!$A:$A,'Faltantes Fevereiro- Metalfisa'!AJ$3,METALFISA!$B:$B,'Faltantes Fevereiro- Metalfisa'!$A142)</f>
        <v>0</v>
      </c>
      <c r="AK142" s="31">
        <f>SUMIFS(METALFISA!$E:$E,METALFISA!$A:$A,'Faltantes Fevereiro- Metalfisa'!AK$3,METALFISA!$B:$B,'Faltantes Fevereiro- Metalfisa'!$A142)</f>
        <v>0</v>
      </c>
      <c r="AL142" s="31">
        <f>SUMIFS(METALFISA!$E:$E,METALFISA!$A:$A,'Faltantes Fevereiro- Metalfisa'!AL$3,METALFISA!$B:$B,'Faltantes Fevereiro- Metalfisa'!$A142)</f>
        <v>0</v>
      </c>
      <c r="AM142" s="31">
        <f>SUMIFS(METALFISA!$E:$E,METALFISA!$A:$A,'Faltantes Fevereiro- Metalfisa'!AM$3,METALFISA!$B:$B,'Faltantes Fevereiro- Metalfisa'!$A142)</f>
        <v>0</v>
      </c>
      <c r="AN142" s="31">
        <f>SUMIFS(METALFISA!$E:$E,METALFISA!$A:$A,'Faltantes Fevereiro- Metalfisa'!AN$3,METALFISA!$B:$B,'Faltantes Fevereiro- Metalfisa'!$A142)</f>
        <v>0</v>
      </c>
      <c r="AO142" s="31">
        <f>SUMIFS(METALFISA!$E:$E,METALFISA!$A:$A,'Faltantes Fevereiro- Metalfisa'!AO$3,METALFISA!$B:$B,'Faltantes Fevereiro- Metalfisa'!$A142)</f>
        <v>0</v>
      </c>
      <c r="AP142" s="31">
        <f>SUMIFS(METALFISA!$E:$E,METALFISA!$A:$A,'Faltantes Fevereiro- Metalfisa'!AP$3,METALFISA!$B:$B,'Faltantes Fevereiro- Metalfisa'!$A142)</f>
        <v>0</v>
      </c>
      <c r="AQ142" s="31"/>
      <c r="AR142" s="31">
        <f>SUMIFS(METALFISA!$E:$E,METALFISA!$A:$A,'Faltantes Fevereiro- Metalfisa'!AR$3,METALFISA!$B:$B,'Faltantes Fevereiro- Metalfisa'!$A142)</f>
        <v>0</v>
      </c>
      <c r="AS142" s="35">
        <f>SUMIFS(METALFISA!$E:$E,METALFISA!$A:$A,'Faltantes Fevereiro- Metalfisa'!AS$3,METALFISA!$B:$B,'Faltantes Fevereiro- Metalfisa'!$A142)</f>
        <v>0</v>
      </c>
      <c r="AU142" s="18">
        <v>0</v>
      </c>
      <c r="AV142" s="18">
        <v>0</v>
      </c>
      <c r="AW142" s="18">
        <v>0</v>
      </c>
      <c r="AX142" s="18">
        <v>0</v>
      </c>
      <c r="AY142" s="41">
        <v>0</v>
      </c>
      <c r="AZ142" s="31">
        <v>0</v>
      </c>
      <c r="BA142" s="31">
        <v>0</v>
      </c>
      <c r="BB142" s="31">
        <v>0</v>
      </c>
      <c r="BC142" s="31">
        <v>0</v>
      </c>
      <c r="BD142" s="31">
        <v>0</v>
      </c>
      <c r="BE142" s="31">
        <v>0</v>
      </c>
      <c r="BF142" s="31">
        <v>0</v>
      </c>
      <c r="BG142" s="31">
        <v>0</v>
      </c>
      <c r="BH142" s="31">
        <v>0</v>
      </c>
      <c r="BI142" s="31">
        <v>0</v>
      </c>
      <c r="BJ142" s="31">
        <v>0</v>
      </c>
      <c r="BK142" s="31">
        <v>0</v>
      </c>
      <c r="BL142" s="31">
        <v>0</v>
      </c>
      <c r="BM142" s="31">
        <v>1</v>
      </c>
      <c r="BN142" s="31">
        <v>0</v>
      </c>
      <c r="BO142" s="31">
        <v>0</v>
      </c>
      <c r="BP142" s="31">
        <v>0</v>
      </c>
      <c r="BQ142" s="31">
        <v>0</v>
      </c>
      <c r="BR142" s="31">
        <v>0</v>
      </c>
      <c r="BS142" s="31">
        <v>0</v>
      </c>
      <c r="BT142" s="31">
        <v>0</v>
      </c>
      <c r="BU142" s="31">
        <v>0</v>
      </c>
      <c r="BV142" s="31">
        <v>0</v>
      </c>
      <c r="BW142" s="31">
        <v>0</v>
      </c>
      <c r="BX142" s="31">
        <v>0</v>
      </c>
      <c r="BY142" s="31">
        <v>0</v>
      </c>
      <c r="BZ142" s="31">
        <v>0</v>
      </c>
      <c r="CA142" s="31">
        <v>0</v>
      </c>
      <c r="CB142" s="31">
        <v>0</v>
      </c>
      <c r="CC142" s="31">
        <v>0</v>
      </c>
      <c r="CD142" s="31">
        <v>0</v>
      </c>
      <c r="CE142" s="31">
        <v>0</v>
      </c>
      <c r="CF142" s="31">
        <v>0</v>
      </c>
      <c r="CG142" s="31">
        <v>0</v>
      </c>
      <c r="CH142" s="31">
        <v>0</v>
      </c>
      <c r="CI142" s="31">
        <v>0</v>
      </c>
      <c r="CJ142" s="31">
        <v>0</v>
      </c>
      <c r="CK142" s="31">
        <v>0</v>
      </c>
      <c r="CL142" s="35">
        <v>0</v>
      </c>
    </row>
    <row r="143" spans="1:90" x14ac:dyDescent="0.15">
      <c r="A143" s="27" t="s">
        <v>247</v>
      </c>
      <c r="B143" s="28" t="s">
        <v>248</v>
      </c>
      <c r="C143" s="28">
        <v>0</v>
      </c>
      <c r="D143" s="28">
        <v>0</v>
      </c>
      <c r="E143" s="28">
        <v>0</v>
      </c>
      <c r="F143" s="28">
        <v>0</v>
      </c>
      <c r="G143" s="28">
        <v>6</v>
      </c>
      <c r="H143" s="28">
        <f>IFERROR(VLOOKUP(A143,[1]FALTANTES!$A:$AB,28,FALSE),"-")</f>
        <v>0</v>
      </c>
      <c r="I143" s="42">
        <f>IFERROR(VLOOKUP(A143,[1]FALTANTES!$A:$AC,29,FALSE),"-")</f>
        <v>0</v>
      </c>
      <c r="J143" s="29">
        <f>IFERROR(VLOOKUP(A143,[1]FALTANTES!$A:$AD,30,FALSE),"-")</f>
        <v>-6</v>
      </c>
      <c r="K143" s="30">
        <v>0</v>
      </c>
      <c r="L143" s="30">
        <f t="shared" si="2"/>
        <v>6</v>
      </c>
      <c r="M143" s="31">
        <f>SUMIFS(METALFISA!$E:$E,METALFISA!$A:$A,'Faltantes Fevereiro- Metalfisa'!M$3,METALFISA!$B:$B,'Faltantes Fevereiro- Metalfisa'!$A143)</f>
        <v>0</v>
      </c>
      <c r="N143" s="31">
        <f>SUMIFS(METALFISA!$E:$E,METALFISA!$A:$A,'Faltantes Fevereiro- Metalfisa'!N$3,METALFISA!$B:$B,'Faltantes Fevereiro- Metalfisa'!$A143)</f>
        <v>0</v>
      </c>
      <c r="O143" s="31">
        <f>SUMIFS(METALFISA!$E:$E,METALFISA!$A:$A,'Faltantes Fevereiro- Metalfisa'!O$3,METALFISA!$B:$B,'Faltantes Fevereiro- Metalfisa'!$A143)</f>
        <v>0</v>
      </c>
      <c r="P143" s="31">
        <f>SUMIFS(METALFISA!$E:$E,METALFISA!$A:$A,'Faltantes Fevereiro- Metalfisa'!P$3,METALFISA!$B:$B,'Faltantes Fevereiro- Metalfisa'!$A143)</f>
        <v>0</v>
      </c>
      <c r="Q143" s="31">
        <f>SUMIFS(METALFISA!$E:$E,METALFISA!$A:$A,'Faltantes Fevereiro- Metalfisa'!Q$3,METALFISA!$B:$B,'Faltantes Fevereiro- Metalfisa'!$A143)</f>
        <v>0</v>
      </c>
      <c r="R143" s="31">
        <f>SUMIFS(METALFISA!$E:$E,METALFISA!$A:$A,'Faltantes Fevereiro- Metalfisa'!R$3,METALFISA!$B:$B,'Faltantes Fevereiro- Metalfisa'!$A143)</f>
        <v>0</v>
      </c>
      <c r="S143" s="31">
        <f>SUMIFS(METALFISA!$E:$E,METALFISA!$A:$A,'Faltantes Fevereiro- Metalfisa'!S$3,METALFISA!$B:$B,'Faltantes Fevereiro- Metalfisa'!$A143)</f>
        <v>0</v>
      </c>
      <c r="T143" s="31">
        <f>SUMIFS(METALFISA!$E:$E,METALFISA!$A:$A,'Faltantes Fevereiro- Metalfisa'!T$3,METALFISA!$B:$B,'Faltantes Fevereiro- Metalfisa'!$A143)</f>
        <v>0</v>
      </c>
      <c r="U143" s="31">
        <f>SUMIFS(METALFISA!$E:$E,METALFISA!$A:$A,'Faltantes Fevereiro- Metalfisa'!U$3,METALFISA!$B:$B,'Faltantes Fevereiro- Metalfisa'!$A143)</f>
        <v>0</v>
      </c>
      <c r="V143" s="31">
        <f>SUMIFS(METALFISA!$E:$E,METALFISA!$A:$A,'Faltantes Fevereiro- Metalfisa'!V$3,METALFISA!$B:$B,'Faltantes Fevereiro- Metalfisa'!$A143)</f>
        <v>0</v>
      </c>
      <c r="W143" s="31">
        <f>SUMIFS(METALFISA!$E:$E,METALFISA!$A:$A,'Faltantes Fevereiro- Metalfisa'!W$3,METALFISA!$B:$B,'Faltantes Fevereiro- Metalfisa'!$A143)</f>
        <v>0</v>
      </c>
      <c r="X143" s="31">
        <f>SUMIFS(METALFISA!$E:$E,METALFISA!$A:$A,'Faltantes Fevereiro- Metalfisa'!X$3,METALFISA!$B:$B,'Faltantes Fevereiro- Metalfisa'!$A143)</f>
        <v>0</v>
      </c>
      <c r="Y143" s="31">
        <f>SUMIFS(METALFISA!$E:$E,METALFISA!$A:$A,'Faltantes Fevereiro- Metalfisa'!Y$3,METALFISA!$B:$B,'Faltantes Fevereiro- Metalfisa'!$A143)</f>
        <v>0</v>
      </c>
      <c r="Z143" s="31">
        <f>SUMIFS(METALFISA!$E:$E,METALFISA!$A:$A,'Faltantes Fevereiro- Metalfisa'!Z$3,METALFISA!$B:$B,'Faltantes Fevereiro- Metalfisa'!$A143)</f>
        <v>0</v>
      </c>
      <c r="AA143" s="31">
        <f>SUMIFS(METALFISA!$E:$E,METALFISA!$A:$A,'Faltantes Fevereiro- Metalfisa'!AA$3,METALFISA!$B:$B,'Faltantes Fevereiro- Metalfisa'!$A143)</f>
        <v>0</v>
      </c>
      <c r="AB143" s="31">
        <f>SUMIFS(METALFISA!$E:$E,METALFISA!$A:$A,'Faltantes Fevereiro- Metalfisa'!AB$3,METALFISA!$B:$B,'Faltantes Fevereiro- Metalfisa'!$A143)</f>
        <v>0</v>
      </c>
      <c r="AC143" s="31">
        <f>SUMIFS(METALFISA!$E:$E,METALFISA!$A:$A,'Faltantes Fevereiro- Metalfisa'!AC$3,METALFISA!$B:$B,'Faltantes Fevereiro- Metalfisa'!$A143)</f>
        <v>2</v>
      </c>
      <c r="AD143" s="31">
        <f>SUMIFS(METALFISA!$E:$E,METALFISA!$A:$A,'Faltantes Fevereiro- Metalfisa'!AD$3,METALFISA!$B:$B,'Faltantes Fevereiro- Metalfisa'!$A143)</f>
        <v>0</v>
      </c>
      <c r="AE143" s="31">
        <f>SUMIFS(METALFISA!$E:$E,METALFISA!$A:$A,'Faltantes Fevereiro- Metalfisa'!AE$3,METALFISA!$B:$B,'Faltantes Fevereiro- Metalfisa'!$A143)</f>
        <v>0</v>
      </c>
      <c r="AF143" s="31">
        <f>SUMIFS(METALFISA!$E:$E,METALFISA!$A:$A,'Faltantes Fevereiro- Metalfisa'!AF$3,METALFISA!$B:$B,'Faltantes Fevereiro- Metalfisa'!$A143)</f>
        <v>0</v>
      </c>
      <c r="AG143" s="31">
        <f>SUMIFS(METALFISA!$E:$E,METALFISA!$A:$A,'Faltantes Fevereiro- Metalfisa'!AG$3,METALFISA!$B:$B,'Faltantes Fevereiro- Metalfisa'!$A143)</f>
        <v>4</v>
      </c>
      <c r="AH143" s="31">
        <f>SUMIFS(METALFISA!$E:$E,METALFISA!$A:$A,'Faltantes Fevereiro- Metalfisa'!AH$3,METALFISA!$B:$B,'Faltantes Fevereiro- Metalfisa'!$A143)</f>
        <v>0</v>
      </c>
      <c r="AI143" s="31">
        <f>SUMIFS(METALFISA!$E:$E,METALFISA!$A:$A,'Faltantes Fevereiro- Metalfisa'!AI$3,METALFISA!$B:$B,'Faltantes Fevereiro- Metalfisa'!$A143)</f>
        <v>0</v>
      </c>
      <c r="AJ143" s="31">
        <f>SUMIFS(METALFISA!$E:$E,METALFISA!$A:$A,'Faltantes Fevereiro- Metalfisa'!AJ$3,METALFISA!$B:$B,'Faltantes Fevereiro- Metalfisa'!$A143)</f>
        <v>0</v>
      </c>
      <c r="AK143" s="31">
        <f>SUMIFS(METALFISA!$E:$E,METALFISA!$A:$A,'Faltantes Fevereiro- Metalfisa'!AK$3,METALFISA!$B:$B,'Faltantes Fevereiro- Metalfisa'!$A143)</f>
        <v>0</v>
      </c>
      <c r="AL143" s="31">
        <f>SUMIFS(METALFISA!$E:$E,METALFISA!$A:$A,'Faltantes Fevereiro- Metalfisa'!AL$3,METALFISA!$B:$B,'Faltantes Fevereiro- Metalfisa'!$A143)</f>
        <v>0</v>
      </c>
      <c r="AM143" s="31">
        <f>SUMIFS(METALFISA!$E:$E,METALFISA!$A:$A,'Faltantes Fevereiro- Metalfisa'!AM$3,METALFISA!$B:$B,'Faltantes Fevereiro- Metalfisa'!$A143)</f>
        <v>0</v>
      </c>
      <c r="AN143" s="31">
        <f>SUMIFS(METALFISA!$E:$E,METALFISA!$A:$A,'Faltantes Fevereiro- Metalfisa'!AN$3,METALFISA!$B:$B,'Faltantes Fevereiro- Metalfisa'!$A143)</f>
        <v>0</v>
      </c>
      <c r="AO143" s="31">
        <f>SUMIFS(METALFISA!$E:$E,METALFISA!$A:$A,'Faltantes Fevereiro- Metalfisa'!AO$3,METALFISA!$B:$B,'Faltantes Fevereiro- Metalfisa'!$A143)</f>
        <v>0</v>
      </c>
      <c r="AP143" s="31">
        <f>SUMIFS(METALFISA!$E:$E,METALFISA!$A:$A,'Faltantes Fevereiro- Metalfisa'!AP$3,METALFISA!$B:$B,'Faltantes Fevereiro- Metalfisa'!$A143)</f>
        <v>0</v>
      </c>
      <c r="AQ143" s="31"/>
      <c r="AR143" s="31">
        <f>SUMIFS(METALFISA!$E:$E,METALFISA!$A:$A,'Faltantes Fevereiro- Metalfisa'!AR$3,METALFISA!$B:$B,'Faltantes Fevereiro- Metalfisa'!$A143)</f>
        <v>0</v>
      </c>
      <c r="AS143" s="35">
        <f>SUMIFS(METALFISA!$E:$E,METALFISA!$A:$A,'Faltantes Fevereiro- Metalfisa'!AS$3,METALFISA!$B:$B,'Faltantes Fevereiro- Metalfisa'!$A143)</f>
        <v>0</v>
      </c>
      <c r="AU143" s="18">
        <v>0</v>
      </c>
      <c r="AV143" s="18">
        <v>0</v>
      </c>
      <c r="AW143" s="18">
        <v>0</v>
      </c>
      <c r="AX143" s="18">
        <v>0</v>
      </c>
      <c r="AY143" s="41">
        <v>0</v>
      </c>
      <c r="AZ143" s="31">
        <v>0</v>
      </c>
      <c r="BA143" s="31">
        <v>0</v>
      </c>
      <c r="BB143" s="31">
        <v>0</v>
      </c>
      <c r="BC143" s="31">
        <v>0</v>
      </c>
      <c r="BD143" s="31">
        <v>0</v>
      </c>
      <c r="BE143" s="31">
        <v>0</v>
      </c>
      <c r="BF143" s="31">
        <v>0</v>
      </c>
      <c r="BG143" s="31">
        <v>0</v>
      </c>
      <c r="BH143" s="31">
        <v>0</v>
      </c>
      <c r="BI143" s="31">
        <v>0</v>
      </c>
      <c r="BJ143" s="31">
        <v>0</v>
      </c>
      <c r="BK143" s="31">
        <v>0</v>
      </c>
      <c r="BL143" s="31">
        <v>0</v>
      </c>
      <c r="BM143" s="31">
        <v>2</v>
      </c>
      <c r="BN143" s="31">
        <v>0</v>
      </c>
      <c r="BO143" s="31">
        <v>0</v>
      </c>
      <c r="BP143" s="31">
        <v>0</v>
      </c>
      <c r="BQ143" s="31">
        <v>0</v>
      </c>
      <c r="BR143" s="31">
        <v>0</v>
      </c>
      <c r="BS143" s="31">
        <v>0</v>
      </c>
      <c r="BT143" s="31">
        <v>0</v>
      </c>
      <c r="BU143" s="31">
        <v>0</v>
      </c>
      <c r="BV143" s="31">
        <v>0</v>
      </c>
      <c r="BW143" s="31">
        <v>0</v>
      </c>
      <c r="BX143" s="31">
        <v>0</v>
      </c>
      <c r="BY143" s="31">
        <v>0</v>
      </c>
      <c r="BZ143" s="31">
        <v>0</v>
      </c>
      <c r="CA143" s="31">
        <v>0</v>
      </c>
      <c r="CB143" s="31">
        <v>0</v>
      </c>
      <c r="CC143" s="31">
        <v>0</v>
      </c>
      <c r="CD143" s="31">
        <v>0</v>
      </c>
      <c r="CE143" s="31">
        <v>0</v>
      </c>
      <c r="CF143" s="31">
        <v>0</v>
      </c>
      <c r="CG143" s="31">
        <v>0</v>
      </c>
      <c r="CH143" s="31">
        <v>0</v>
      </c>
      <c r="CI143" s="31">
        <v>0</v>
      </c>
      <c r="CJ143" s="31">
        <v>0</v>
      </c>
      <c r="CK143" s="31">
        <v>0</v>
      </c>
      <c r="CL143" s="35">
        <v>0</v>
      </c>
    </row>
    <row r="144" spans="1:90" ht="21" x14ac:dyDescent="0.15">
      <c r="A144" s="27" t="s">
        <v>249</v>
      </c>
      <c r="B144" s="28" t="s">
        <v>250</v>
      </c>
      <c r="C144" s="28">
        <v>0</v>
      </c>
      <c r="D144" s="28">
        <v>0</v>
      </c>
      <c r="E144" s="28">
        <v>0</v>
      </c>
      <c r="F144" s="28">
        <v>0</v>
      </c>
      <c r="G144" s="28">
        <v>4</v>
      </c>
      <c r="H144" s="28">
        <f>IFERROR(VLOOKUP(A144,[1]FALTANTES!$A:$AB,28,FALSE),"-")</f>
        <v>0</v>
      </c>
      <c r="I144" s="42">
        <f>IFERROR(VLOOKUP(A144,[1]FALTANTES!$A:$AC,29,FALSE),"-")</f>
        <v>0</v>
      </c>
      <c r="J144" s="29">
        <f>IFERROR(VLOOKUP(A144,[1]FALTANTES!$A:$AD,30,FALSE),"-")</f>
        <v>-4</v>
      </c>
      <c r="K144" s="30">
        <v>0</v>
      </c>
      <c r="L144" s="30">
        <f t="shared" si="2"/>
        <v>4</v>
      </c>
      <c r="M144" s="31">
        <f>SUMIFS(METALFISA!$E:$E,METALFISA!$A:$A,'Faltantes Fevereiro- Metalfisa'!M$3,METALFISA!$B:$B,'Faltantes Fevereiro- Metalfisa'!$A144)</f>
        <v>0</v>
      </c>
      <c r="N144" s="31">
        <f>SUMIFS(METALFISA!$E:$E,METALFISA!$A:$A,'Faltantes Fevereiro- Metalfisa'!N$3,METALFISA!$B:$B,'Faltantes Fevereiro- Metalfisa'!$A144)</f>
        <v>0</v>
      </c>
      <c r="O144" s="31">
        <f>SUMIFS(METALFISA!$E:$E,METALFISA!$A:$A,'Faltantes Fevereiro- Metalfisa'!O$3,METALFISA!$B:$B,'Faltantes Fevereiro- Metalfisa'!$A144)</f>
        <v>0</v>
      </c>
      <c r="P144" s="31">
        <f>SUMIFS(METALFISA!$E:$E,METALFISA!$A:$A,'Faltantes Fevereiro- Metalfisa'!P$3,METALFISA!$B:$B,'Faltantes Fevereiro- Metalfisa'!$A144)</f>
        <v>0</v>
      </c>
      <c r="Q144" s="31">
        <f>SUMIFS(METALFISA!$E:$E,METALFISA!$A:$A,'Faltantes Fevereiro- Metalfisa'!Q$3,METALFISA!$B:$B,'Faltantes Fevereiro- Metalfisa'!$A144)</f>
        <v>0</v>
      </c>
      <c r="R144" s="31">
        <f>SUMIFS(METALFISA!$E:$E,METALFISA!$A:$A,'Faltantes Fevereiro- Metalfisa'!R$3,METALFISA!$B:$B,'Faltantes Fevereiro- Metalfisa'!$A144)</f>
        <v>0</v>
      </c>
      <c r="S144" s="31">
        <f>SUMIFS(METALFISA!$E:$E,METALFISA!$A:$A,'Faltantes Fevereiro- Metalfisa'!S$3,METALFISA!$B:$B,'Faltantes Fevereiro- Metalfisa'!$A144)</f>
        <v>0</v>
      </c>
      <c r="T144" s="31">
        <f>SUMIFS(METALFISA!$E:$E,METALFISA!$A:$A,'Faltantes Fevereiro- Metalfisa'!T$3,METALFISA!$B:$B,'Faltantes Fevereiro- Metalfisa'!$A144)</f>
        <v>0</v>
      </c>
      <c r="U144" s="31">
        <f>SUMIFS(METALFISA!$E:$E,METALFISA!$A:$A,'Faltantes Fevereiro- Metalfisa'!U$3,METALFISA!$B:$B,'Faltantes Fevereiro- Metalfisa'!$A144)</f>
        <v>0</v>
      </c>
      <c r="V144" s="31">
        <f>SUMIFS(METALFISA!$E:$E,METALFISA!$A:$A,'Faltantes Fevereiro- Metalfisa'!V$3,METALFISA!$B:$B,'Faltantes Fevereiro- Metalfisa'!$A144)</f>
        <v>0</v>
      </c>
      <c r="W144" s="31">
        <f>SUMIFS(METALFISA!$E:$E,METALFISA!$A:$A,'Faltantes Fevereiro- Metalfisa'!W$3,METALFISA!$B:$B,'Faltantes Fevereiro- Metalfisa'!$A144)</f>
        <v>0</v>
      </c>
      <c r="X144" s="31">
        <f>SUMIFS(METALFISA!$E:$E,METALFISA!$A:$A,'Faltantes Fevereiro- Metalfisa'!X$3,METALFISA!$B:$B,'Faltantes Fevereiro- Metalfisa'!$A144)</f>
        <v>0</v>
      </c>
      <c r="Y144" s="31">
        <f>SUMIFS(METALFISA!$E:$E,METALFISA!$A:$A,'Faltantes Fevereiro- Metalfisa'!Y$3,METALFISA!$B:$B,'Faltantes Fevereiro- Metalfisa'!$A144)</f>
        <v>0</v>
      </c>
      <c r="Z144" s="31">
        <f>SUMIFS(METALFISA!$E:$E,METALFISA!$A:$A,'Faltantes Fevereiro- Metalfisa'!Z$3,METALFISA!$B:$B,'Faltantes Fevereiro- Metalfisa'!$A144)</f>
        <v>0</v>
      </c>
      <c r="AA144" s="31">
        <f>SUMIFS(METALFISA!$E:$E,METALFISA!$A:$A,'Faltantes Fevereiro- Metalfisa'!AA$3,METALFISA!$B:$B,'Faltantes Fevereiro- Metalfisa'!$A144)</f>
        <v>0</v>
      </c>
      <c r="AB144" s="31">
        <f>SUMIFS(METALFISA!$E:$E,METALFISA!$A:$A,'Faltantes Fevereiro- Metalfisa'!AB$3,METALFISA!$B:$B,'Faltantes Fevereiro- Metalfisa'!$A144)</f>
        <v>0</v>
      </c>
      <c r="AC144" s="31">
        <f>SUMIFS(METALFISA!$E:$E,METALFISA!$A:$A,'Faltantes Fevereiro- Metalfisa'!AC$3,METALFISA!$B:$B,'Faltantes Fevereiro- Metalfisa'!$A144)</f>
        <v>0</v>
      </c>
      <c r="AD144" s="31">
        <f>SUMIFS(METALFISA!$E:$E,METALFISA!$A:$A,'Faltantes Fevereiro- Metalfisa'!AD$3,METALFISA!$B:$B,'Faltantes Fevereiro- Metalfisa'!$A144)</f>
        <v>0</v>
      </c>
      <c r="AE144" s="31">
        <f>SUMIFS(METALFISA!$E:$E,METALFISA!$A:$A,'Faltantes Fevereiro- Metalfisa'!AE$3,METALFISA!$B:$B,'Faltantes Fevereiro- Metalfisa'!$A144)</f>
        <v>0</v>
      </c>
      <c r="AF144" s="31">
        <f>SUMIFS(METALFISA!$E:$E,METALFISA!$A:$A,'Faltantes Fevereiro- Metalfisa'!AF$3,METALFISA!$B:$B,'Faltantes Fevereiro- Metalfisa'!$A144)</f>
        <v>0</v>
      </c>
      <c r="AG144" s="31">
        <f>SUMIFS(METALFISA!$E:$E,METALFISA!$A:$A,'Faltantes Fevereiro- Metalfisa'!AG$3,METALFISA!$B:$B,'Faltantes Fevereiro- Metalfisa'!$A144)</f>
        <v>4</v>
      </c>
      <c r="AH144" s="31">
        <f>SUMIFS(METALFISA!$E:$E,METALFISA!$A:$A,'Faltantes Fevereiro- Metalfisa'!AH$3,METALFISA!$B:$B,'Faltantes Fevereiro- Metalfisa'!$A144)</f>
        <v>0</v>
      </c>
      <c r="AI144" s="31">
        <f>SUMIFS(METALFISA!$E:$E,METALFISA!$A:$A,'Faltantes Fevereiro- Metalfisa'!AI$3,METALFISA!$B:$B,'Faltantes Fevereiro- Metalfisa'!$A144)</f>
        <v>0</v>
      </c>
      <c r="AJ144" s="31">
        <f>SUMIFS(METALFISA!$E:$E,METALFISA!$A:$A,'Faltantes Fevereiro- Metalfisa'!AJ$3,METALFISA!$B:$B,'Faltantes Fevereiro- Metalfisa'!$A144)</f>
        <v>0</v>
      </c>
      <c r="AK144" s="31">
        <f>SUMIFS(METALFISA!$E:$E,METALFISA!$A:$A,'Faltantes Fevereiro- Metalfisa'!AK$3,METALFISA!$B:$B,'Faltantes Fevereiro- Metalfisa'!$A144)</f>
        <v>0</v>
      </c>
      <c r="AL144" s="31">
        <f>SUMIFS(METALFISA!$E:$E,METALFISA!$A:$A,'Faltantes Fevereiro- Metalfisa'!AL$3,METALFISA!$B:$B,'Faltantes Fevereiro- Metalfisa'!$A144)</f>
        <v>0</v>
      </c>
      <c r="AM144" s="31">
        <f>SUMIFS(METALFISA!$E:$E,METALFISA!$A:$A,'Faltantes Fevereiro- Metalfisa'!AM$3,METALFISA!$B:$B,'Faltantes Fevereiro- Metalfisa'!$A144)</f>
        <v>0</v>
      </c>
      <c r="AN144" s="31">
        <f>SUMIFS(METALFISA!$E:$E,METALFISA!$A:$A,'Faltantes Fevereiro- Metalfisa'!AN$3,METALFISA!$B:$B,'Faltantes Fevereiro- Metalfisa'!$A144)</f>
        <v>0</v>
      </c>
      <c r="AO144" s="31">
        <f>SUMIFS(METALFISA!$E:$E,METALFISA!$A:$A,'Faltantes Fevereiro- Metalfisa'!AO$3,METALFISA!$B:$B,'Faltantes Fevereiro- Metalfisa'!$A144)</f>
        <v>0</v>
      </c>
      <c r="AP144" s="31">
        <f>SUMIFS(METALFISA!$E:$E,METALFISA!$A:$A,'Faltantes Fevereiro- Metalfisa'!AP$3,METALFISA!$B:$B,'Faltantes Fevereiro- Metalfisa'!$A144)</f>
        <v>0</v>
      </c>
      <c r="AQ144" s="31"/>
      <c r="AR144" s="31">
        <f>SUMIFS(METALFISA!$E:$E,METALFISA!$A:$A,'Faltantes Fevereiro- Metalfisa'!AR$3,METALFISA!$B:$B,'Faltantes Fevereiro- Metalfisa'!$A144)</f>
        <v>0</v>
      </c>
      <c r="AS144" s="35">
        <f>SUMIFS(METALFISA!$E:$E,METALFISA!$A:$A,'Faltantes Fevereiro- Metalfisa'!AS$3,METALFISA!$B:$B,'Faltantes Fevereiro- Metalfisa'!$A144)</f>
        <v>0</v>
      </c>
      <c r="AU144" s="18">
        <v>0</v>
      </c>
      <c r="AV144" s="18">
        <v>0</v>
      </c>
      <c r="AW144" s="18">
        <v>0</v>
      </c>
      <c r="AX144" s="18">
        <v>0</v>
      </c>
      <c r="AY144" s="41">
        <v>0</v>
      </c>
      <c r="AZ144" s="31">
        <v>0</v>
      </c>
      <c r="BA144" s="31">
        <v>0</v>
      </c>
      <c r="BB144" s="31">
        <v>0</v>
      </c>
      <c r="BC144" s="31">
        <v>0</v>
      </c>
      <c r="BD144" s="31">
        <v>0</v>
      </c>
      <c r="BE144" s="31">
        <v>0</v>
      </c>
      <c r="BF144" s="31">
        <v>0</v>
      </c>
      <c r="BG144" s="31">
        <v>0</v>
      </c>
      <c r="BH144" s="31">
        <v>0</v>
      </c>
      <c r="BI144" s="31">
        <v>0</v>
      </c>
      <c r="BJ144" s="31">
        <v>0</v>
      </c>
      <c r="BK144" s="31">
        <v>0</v>
      </c>
      <c r="BL144" s="31">
        <v>0</v>
      </c>
      <c r="BM144" s="31">
        <v>2</v>
      </c>
      <c r="BN144" s="31">
        <v>0</v>
      </c>
      <c r="BO144" s="31">
        <v>0</v>
      </c>
      <c r="BP144" s="31">
        <v>0</v>
      </c>
      <c r="BQ144" s="31">
        <v>0</v>
      </c>
      <c r="BR144" s="31">
        <v>0</v>
      </c>
      <c r="BS144" s="31">
        <v>0</v>
      </c>
      <c r="BT144" s="31">
        <v>0</v>
      </c>
      <c r="BU144" s="31">
        <v>0</v>
      </c>
      <c r="BV144" s="31">
        <v>0</v>
      </c>
      <c r="BW144" s="31">
        <v>0</v>
      </c>
      <c r="BX144" s="31">
        <v>0</v>
      </c>
      <c r="BY144" s="31">
        <v>0</v>
      </c>
      <c r="BZ144" s="31">
        <v>0</v>
      </c>
      <c r="CA144" s="31">
        <v>0</v>
      </c>
      <c r="CB144" s="31">
        <v>0</v>
      </c>
      <c r="CC144" s="31">
        <v>0</v>
      </c>
      <c r="CD144" s="31">
        <v>0</v>
      </c>
      <c r="CE144" s="31">
        <v>0</v>
      </c>
      <c r="CF144" s="31">
        <v>0</v>
      </c>
      <c r="CG144" s="31">
        <v>0</v>
      </c>
      <c r="CH144" s="31">
        <v>0</v>
      </c>
      <c r="CI144" s="31">
        <v>0</v>
      </c>
      <c r="CJ144" s="31">
        <v>0</v>
      </c>
      <c r="CK144" s="31">
        <v>0</v>
      </c>
      <c r="CL144" s="35">
        <v>0</v>
      </c>
    </row>
    <row r="145" spans="1:90" ht="21" x14ac:dyDescent="0.15">
      <c r="A145" s="27" t="s">
        <v>647</v>
      </c>
      <c r="B145" s="28" t="s">
        <v>648</v>
      </c>
      <c r="C145" s="28">
        <v>0</v>
      </c>
      <c r="D145" s="28">
        <v>0</v>
      </c>
      <c r="E145" s="28">
        <v>0</v>
      </c>
      <c r="F145" s="28">
        <v>0</v>
      </c>
      <c r="G145" s="28">
        <v>2</v>
      </c>
      <c r="H145" s="28">
        <f>IFERROR(VLOOKUP(A145,[1]FALTANTES!$A:$AB,28,FALSE),"-")</f>
        <v>0</v>
      </c>
      <c r="I145" s="42">
        <f>IFERROR(VLOOKUP(A145,[1]FALTANTES!$A:$AC,29,FALSE),"-")</f>
        <v>0</v>
      </c>
      <c r="J145" s="29">
        <f>IFERROR(VLOOKUP(A145,[1]FALTANTES!$A:$AD,30,FALSE),"-")</f>
        <v>-2</v>
      </c>
      <c r="K145" s="30">
        <v>0</v>
      </c>
      <c r="L145" s="30">
        <f t="shared" si="2"/>
        <v>2</v>
      </c>
      <c r="M145" s="31">
        <f>SUMIFS(METALFISA!$E:$E,METALFISA!$A:$A,'Faltantes Fevereiro- Metalfisa'!M$3,METALFISA!$B:$B,'Faltantes Fevereiro- Metalfisa'!$A145)</f>
        <v>0</v>
      </c>
      <c r="N145" s="31">
        <f>SUMIFS(METALFISA!$E:$E,METALFISA!$A:$A,'Faltantes Fevereiro- Metalfisa'!N$3,METALFISA!$B:$B,'Faltantes Fevereiro- Metalfisa'!$A145)</f>
        <v>0</v>
      </c>
      <c r="O145" s="31">
        <f>SUMIFS(METALFISA!$E:$E,METALFISA!$A:$A,'Faltantes Fevereiro- Metalfisa'!O$3,METALFISA!$B:$B,'Faltantes Fevereiro- Metalfisa'!$A145)</f>
        <v>0</v>
      </c>
      <c r="P145" s="31">
        <f>SUMIFS(METALFISA!$E:$E,METALFISA!$A:$A,'Faltantes Fevereiro- Metalfisa'!P$3,METALFISA!$B:$B,'Faltantes Fevereiro- Metalfisa'!$A145)</f>
        <v>0</v>
      </c>
      <c r="Q145" s="31">
        <f>SUMIFS(METALFISA!$E:$E,METALFISA!$A:$A,'Faltantes Fevereiro- Metalfisa'!Q$3,METALFISA!$B:$B,'Faltantes Fevereiro- Metalfisa'!$A145)</f>
        <v>0</v>
      </c>
      <c r="R145" s="31">
        <f>SUMIFS(METALFISA!$E:$E,METALFISA!$A:$A,'Faltantes Fevereiro- Metalfisa'!R$3,METALFISA!$B:$B,'Faltantes Fevereiro- Metalfisa'!$A145)</f>
        <v>0</v>
      </c>
      <c r="S145" s="31">
        <f>SUMIFS(METALFISA!$E:$E,METALFISA!$A:$A,'Faltantes Fevereiro- Metalfisa'!S$3,METALFISA!$B:$B,'Faltantes Fevereiro- Metalfisa'!$A145)</f>
        <v>0</v>
      </c>
      <c r="T145" s="31">
        <f>SUMIFS(METALFISA!$E:$E,METALFISA!$A:$A,'Faltantes Fevereiro- Metalfisa'!T$3,METALFISA!$B:$B,'Faltantes Fevereiro- Metalfisa'!$A145)</f>
        <v>0</v>
      </c>
      <c r="U145" s="31">
        <f>SUMIFS(METALFISA!$E:$E,METALFISA!$A:$A,'Faltantes Fevereiro- Metalfisa'!U$3,METALFISA!$B:$B,'Faltantes Fevereiro- Metalfisa'!$A145)</f>
        <v>0</v>
      </c>
      <c r="V145" s="31">
        <f>SUMIFS(METALFISA!$E:$E,METALFISA!$A:$A,'Faltantes Fevereiro- Metalfisa'!V$3,METALFISA!$B:$B,'Faltantes Fevereiro- Metalfisa'!$A145)</f>
        <v>0</v>
      </c>
      <c r="W145" s="31">
        <f>SUMIFS(METALFISA!$E:$E,METALFISA!$A:$A,'Faltantes Fevereiro- Metalfisa'!W$3,METALFISA!$B:$B,'Faltantes Fevereiro- Metalfisa'!$A145)</f>
        <v>0</v>
      </c>
      <c r="X145" s="31">
        <f>SUMIFS(METALFISA!$E:$E,METALFISA!$A:$A,'Faltantes Fevereiro- Metalfisa'!X$3,METALFISA!$B:$B,'Faltantes Fevereiro- Metalfisa'!$A145)</f>
        <v>0</v>
      </c>
      <c r="Y145" s="31">
        <f>SUMIFS(METALFISA!$E:$E,METALFISA!$A:$A,'Faltantes Fevereiro- Metalfisa'!Y$3,METALFISA!$B:$B,'Faltantes Fevereiro- Metalfisa'!$A145)</f>
        <v>0</v>
      </c>
      <c r="Z145" s="31">
        <f>SUMIFS(METALFISA!$E:$E,METALFISA!$A:$A,'Faltantes Fevereiro- Metalfisa'!Z$3,METALFISA!$B:$B,'Faltantes Fevereiro- Metalfisa'!$A145)</f>
        <v>0</v>
      </c>
      <c r="AA145" s="31">
        <f>SUMIFS(METALFISA!$E:$E,METALFISA!$A:$A,'Faltantes Fevereiro- Metalfisa'!AA$3,METALFISA!$B:$B,'Faltantes Fevereiro- Metalfisa'!$A145)</f>
        <v>0</v>
      </c>
      <c r="AB145" s="31">
        <f>SUMIFS(METALFISA!$E:$E,METALFISA!$A:$A,'Faltantes Fevereiro- Metalfisa'!AB$3,METALFISA!$B:$B,'Faltantes Fevereiro- Metalfisa'!$A145)</f>
        <v>0</v>
      </c>
      <c r="AC145" s="31">
        <f>SUMIFS(METALFISA!$E:$E,METALFISA!$A:$A,'Faltantes Fevereiro- Metalfisa'!AC$3,METALFISA!$B:$B,'Faltantes Fevereiro- Metalfisa'!$A145)</f>
        <v>0</v>
      </c>
      <c r="AD145" s="31">
        <f>SUMIFS(METALFISA!$E:$E,METALFISA!$A:$A,'Faltantes Fevereiro- Metalfisa'!AD$3,METALFISA!$B:$B,'Faltantes Fevereiro- Metalfisa'!$A145)</f>
        <v>0</v>
      </c>
      <c r="AE145" s="31">
        <f>SUMIFS(METALFISA!$E:$E,METALFISA!$A:$A,'Faltantes Fevereiro- Metalfisa'!AE$3,METALFISA!$B:$B,'Faltantes Fevereiro- Metalfisa'!$A145)</f>
        <v>0</v>
      </c>
      <c r="AF145" s="31">
        <f>SUMIFS(METALFISA!$E:$E,METALFISA!$A:$A,'Faltantes Fevereiro- Metalfisa'!AF$3,METALFISA!$B:$B,'Faltantes Fevereiro- Metalfisa'!$A145)</f>
        <v>0</v>
      </c>
      <c r="AG145" s="31">
        <f>SUMIFS(METALFISA!$E:$E,METALFISA!$A:$A,'Faltantes Fevereiro- Metalfisa'!AG$3,METALFISA!$B:$B,'Faltantes Fevereiro- Metalfisa'!$A145)</f>
        <v>2</v>
      </c>
      <c r="AH145" s="31">
        <f>SUMIFS(METALFISA!$E:$E,METALFISA!$A:$A,'Faltantes Fevereiro- Metalfisa'!AH$3,METALFISA!$B:$B,'Faltantes Fevereiro- Metalfisa'!$A145)</f>
        <v>0</v>
      </c>
      <c r="AI145" s="31">
        <f>SUMIFS(METALFISA!$E:$E,METALFISA!$A:$A,'Faltantes Fevereiro- Metalfisa'!AI$3,METALFISA!$B:$B,'Faltantes Fevereiro- Metalfisa'!$A145)</f>
        <v>0</v>
      </c>
      <c r="AJ145" s="31">
        <f>SUMIFS(METALFISA!$E:$E,METALFISA!$A:$A,'Faltantes Fevereiro- Metalfisa'!AJ$3,METALFISA!$B:$B,'Faltantes Fevereiro- Metalfisa'!$A145)</f>
        <v>0</v>
      </c>
      <c r="AK145" s="31">
        <f>SUMIFS(METALFISA!$E:$E,METALFISA!$A:$A,'Faltantes Fevereiro- Metalfisa'!AK$3,METALFISA!$B:$B,'Faltantes Fevereiro- Metalfisa'!$A145)</f>
        <v>0</v>
      </c>
      <c r="AL145" s="31">
        <f>SUMIFS(METALFISA!$E:$E,METALFISA!$A:$A,'Faltantes Fevereiro- Metalfisa'!AL$3,METALFISA!$B:$B,'Faltantes Fevereiro- Metalfisa'!$A145)</f>
        <v>0</v>
      </c>
      <c r="AM145" s="31">
        <f>SUMIFS(METALFISA!$E:$E,METALFISA!$A:$A,'Faltantes Fevereiro- Metalfisa'!AM$3,METALFISA!$B:$B,'Faltantes Fevereiro- Metalfisa'!$A145)</f>
        <v>0</v>
      </c>
      <c r="AN145" s="31">
        <f>SUMIFS(METALFISA!$E:$E,METALFISA!$A:$A,'Faltantes Fevereiro- Metalfisa'!AN$3,METALFISA!$B:$B,'Faltantes Fevereiro- Metalfisa'!$A145)</f>
        <v>0</v>
      </c>
      <c r="AO145" s="31">
        <f>SUMIFS(METALFISA!$E:$E,METALFISA!$A:$A,'Faltantes Fevereiro- Metalfisa'!AO$3,METALFISA!$B:$B,'Faltantes Fevereiro- Metalfisa'!$A145)</f>
        <v>0</v>
      </c>
      <c r="AP145" s="31">
        <f>SUMIFS(METALFISA!$E:$E,METALFISA!$A:$A,'Faltantes Fevereiro- Metalfisa'!AP$3,METALFISA!$B:$B,'Faltantes Fevereiro- Metalfisa'!$A145)</f>
        <v>0</v>
      </c>
      <c r="AQ145" s="31"/>
      <c r="AR145" s="31">
        <f>SUMIFS(METALFISA!$E:$E,METALFISA!$A:$A,'Faltantes Fevereiro- Metalfisa'!AR$3,METALFISA!$B:$B,'Faltantes Fevereiro- Metalfisa'!$A145)</f>
        <v>0</v>
      </c>
      <c r="AS145" s="35">
        <f>SUMIFS(METALFISA!$E:$E,METALFISA!$A:$A,'Faltantes Fevereiro- Metalfisa'!AS$3,METALFISA!$B:$B,'Faltantes Fevereiro- Metalfisa'!$A145)</f>
        <v>0</v>
      </c>
      <c r="AU145" s="18">
        <v>0</v>
      </c>
      <c r="AV145" s="18">
        <v>0</v>
      </c>
      <c r="AW145" s="18">
        <v>0</v>
      </c>
      <c r="AX145" s="18">
        <v>0</v>
      </c>
      <c r="AY145" s="41">
        <v>0</v>
      </c>
      <c r="AZ145" s="31">
        <v>0</v>
      </c>
      <c r="BA145" s="31">
        <v>0</v>
      </c>
      <c r="BB145" s="31">
        <v>0</v>
      </c>
      <c r="BC145" s="31">
        <v>0</v>
      </c>
      <c r="BD145" s="31">
        <v>0</v>
      </c>
      <c r="BE145" s="31">
        <v>0</v>
      </c>
      <c r="BF145" s="31">
        <v>0</v>
      </c>
      <c r="BG145" s="31">
        <v>0</v>
      </c>
      <c r="BH145" s="31">
        <v>0</v>
      </c>
      <c r="BI145" s="31">
        <v>0</v>
      </c>
      <c r="BJ145" s="31">
        <v>0</v>
      </c>
      <c r="BK145" s="31">
        <v>0</v>
      </c>
      <c r="BL145" s="31">
        <v>0</v>
      </c>
      <c r="BM145" s="31">
        <v>1</v>
      </c>
      <c r="BN145" s="31">
        <v>0</v>
      </c>
      <c r="BO145" s="31">
        <v>0</v>
      </c>
      <c r="BP145" s="31">
        <v>0</v>
      </c>
      <c r="BQ145" s="31">
        <v>0</v>
      </c>
      <c r="BR145" s="31">
        <v>0</v>
      </c>
      <c r="BS145" s="31">
        <v>0</v>
      </c>
      <c r="BT145" s="31">
        <v>0</v>
      </c>
      <c r="BU145" s="31">
        <v>0</v>
      </c>
      <c r="BV145" s="31">
        <v>0</v>
      </c>
      <c r="BW145" s="31">
        <v>0</v>
      </c>
      <c r="BX145" s="31">
        <v>0</v>
      </c>
      <c r="BY145" s="31">
        <v>0</v>
      </c>
      <c r="BZ145" s="31">
        <v>0</v>
      </c>
      <c r="CA145" s="31">
        <v>0</v>
      </c>
      <c r="CB145" s="31">
        <v>0</v>
      </c>
      <c r="CC145" s="31">
        <v>0</v>
      </c>
      <c r="CD145" s="31">
        <v>0</v>
      </c>
      <c r="CE145" s="31">
        <v>0</v>
      </c>
      <c r="CF145" s="31">
        <v>0</v>
      </c>
      <c r="CG145" s="31">
        <v>0</v>
      </c>
      <c r="CH145" s="31">
        <v>0</v>
      </c>
      <c r="CI145" s="31">
        <v>0</v>
      </c>
      <c r="CJ145" s="31">
        <v>0</v>
      </c>
      <c r="CK145" s="31">
        <v>0</v>
      </c>
      <c r="CL145" s="35">
        <v>0</v>
      </c>
    </row>
    <row r="146" spans="1:90" ht="21" x14ac:dyDescent="0.15">
      <c r="A146" s="27" t="s">
        <v>251</v>
      </c>
      <c r="B146" s="28" t="s">
        <v>252</v>
      </c>
      <c r="C146" s="28">
        <v>0</v>
      </c>
      <c r="D146" s="28">
        <v>0</v>
      </c>
      <c r="E146" s="28">
        <v>0</v>
      </c>
      <c r="F146" s="28">
        <v>0</v>
      </c>
      <c r="G146" s="28">
        <v>2</v>
      </c>
      <c r="H146" s="28">
        <f>IFERROR(VLOOKUP(A146,[1]FALTANTES!$A:$AB,28,FALSE),"-")</f>
        <v>0</v>
      </c>
      <c r="I146" s="42">
        <f>IFERROR(VLOOKUP(A146,[1]FALTANTES!$A:$AC,29,FALSE),"-")</f>
        <v>0</v>
      </c>
      <c r="J146" s="29">
        <f>IFERROR(VLOOKUP(A146,[1]FALTANTES!$A:$AD,30,FALSE),"-")</f>
        <v>-2</v>
      </c>
      <c r="K146" s="30">
        <v>0</v>
      </c>
      <c r="L146" s="30">
        <f t="shared" si="2"/>
        <v>2</v>
      </c>
      <c r="M146" s="31">
        <f>SUMIFS(METALFISA!$E:$E,METALFISA!$A:$A,'Faltantes Fevereiro- Metalfisa'!M$3,METALFISA!$B:$B,'Faltantes Fevereiro- Metalfisa'!$A146)</f>
        <v>0</v>
      </c>
      <c r="N146" s="31">
        <f>SUMIFS(METALFISA!$E:$E,METALFISA!$A:$A,'Faltantes Fevereiro- Metalfisa'!N$3,METALFISA!$B:$B,'Faltantes Fevereiro- Metalfisa'!$A146)</f>
        <v>0</v>
      </c>
      <c r="O146" s="31">
        <f>SUMIFS(METALFISA!$E:$E,METALFISA!$A:$A,'Faltantes Fevereiro- Metalfisa'!O$3,METALFISA!$B:$B,'Faltantes Fevereiro- Metalfisa'!$A146)</f>
        <v>0</v>
      </c>
      <c r="P146" s="31">
        <f>SUMIFS(METALFISA!$E:$E,METALFISA!$A:$A,'Faltantes Fevereiro- Metalfisa'!P$3,METALFISA!$B:$B,'Faltantes Fevereiro- Metalfisa'!$A146)</f>
        <v>0</v>
      </c>
      <c r="Q146" s="31">
        <f>SUMIFS(METALFISA!$E:$E,METALFISA!$A:$A,'Faltantes Fevereiro- Metalfisa'!Q$3,METALFISA!$B:$B,'Faltantes Fevereiro- Metalfisa'!$A146)</f>
        <v>0</v>
      </c>
      <c r="R146" s="31">
        <f>SUMIFS(METALFISA!$E:$E,METALFISA!$A:$A,'Faltantes Fevereiro- Metalfisa'!R$3,METALFISA!$B:$B,'Faltantes Fevereiro- Metalfisa'!$A146)</f>
        <v>0</v>
      </c>
      <c r="S146" s="31">
        <f>SUMIFS(METALFISA!$E:$E,METALFISA!$A:$A,'Faltantes Fevereiro- Metalfisa'!S$3,METALFISA!$B:$B,'Faltantes Fevereiro- Metalfisa'!$A146)</f>
        <v>0</v>
      </c>
      <c r="T146" s="31">
        <f>SUMIFS(METALFISA!$E:$E,METALFISA!$A:$A,'Faltantes Fevereiro- Metalfisa'!T$3,METALFISA!$B:$B,'Faltantes Fevereiro- Metalfisa'!$A146)</f>
        <v>0</v>
      </c>
      <c r="U146" s="31">
        <f>SUMIFS(METALFISA!$E:$E,METALFISA!$A:$A,'Faltantes Fevereiro- Metalfisa'!U$3,METALFISA!$B:$B,'Faltantes Fevereiro- Metalfisa'!$A146)</f>
        <v>0</v>
      </c>
      <c r="V146" s="31">
        <f>SUMIFS(METALFISA!$E:$E,METALFISA!$A:$A,'Faltantes Fevereiro- Metalfisa'!V$3,METALFISA!$B:$B,'Faltantes Fevereiro- Metalfisa'!$A146)</f>
        <v>0</v>
      </c>
      <c r="W146" s="31">
        <f>SUMIFS(METALFISA!$E:$E,METALFISA!$A:$A,'Faltantes Fevereiro- Metalfisa'!W$3,METALFISA!$B:$B,'Faltantes Fevereiro- Metalfisa'!$A146)</f>
        <v>0</v>
      </c>
      <c r="X146" s="31">
        <f>SUMIFS(METALFISA!$E:$E,METALFISA!$A:$A,'Faltantes Fevereiro- Metalfisa'!X$3,METALFISA!$B:$B,'Faltantes Fevereiro- Metalfisa'!$A146)</f>
        <v>0</v>
      </c>
      <c r="Y146" s="31">
        <f>SUMIFS(METALFISA!$E:$E,METALFISA!$A:$A,'Faltantes Fevereiro- Metalfisa'!Y$3,METALFISA!$B:$B,'Faltantes Fevereiro- Metalfisa'!$A146)</f>
        <v>0</v>
      </c>
      <c r="Z146" s="31">
        <f>SUMIFS(METALFISA!$E:$E,METALFISA!$A:$A,'Faltantes Fevereiro- Metalfisa'!Z$3,METALFISA!$B:$B,'Faltantes Fevereiro- Metalfisa'!$A146)</f>
        <v>0</v>
      </c>
      <c r="AA146" s="31">
        <f>SUMIFS(METALFISA!$E:$E,METALFISA!$A:$A,'Faltantes Fevereiro- Metalfisa'!AA$3,METALFISA!$B:$B,'Faltantes Fevereiro- Metalfisa'!$A146)</f>
        <v>0</v>
      </c>
      <c r="AB146" s="31">
        <f>SUMIFS(METALFISA!$E:$E,METALFISA!$A:$A,'Faltantes Fevereiro- Metalfisa'!AB$3,METALFISA!$B:$B,'Faltantes Fevereiro- Metalfisa'!$A146)</f>
        <v>0</v>
      </c>
      <c r="AC146" s="31">
        <f>SUMIFS(METALFISA!$E:$E,METALFISA!$A:$A,'Faltantes Fevereiro- Metalfisa'!AC$3,METALFISA!$B:$B,'Faltantes Fevereiro- Metalfisa'!$A146)</f>
        <v>0</v>
      </c>
      <c r="AD146" s="31">
        <f>SUMIFS(METALFISA!$E:$E,METALFISA!$A:$A,'Faltantes Fevereiro- Metalfisa'!AD$3,METALFISA!$B:$B,'Faltantes Fevereiro- Metalfisa'!$A146)</f>
        <v>0</v>
      </c>
      <c r="AE146" s="31">
        <f>SUMIFS(METALFISA!$E:$E,METALFISA!$A:$A,'Faltantes Fevereiro- Metalfisa'!AE$3,METALFISA!$B:$B,'Faltantes Fevereiro- Metalfisa'!$A146)</f>
        <v>0</v>
      </c>
      <c r="AF146" s="31">
        <f>SUMIFS(METALFISA!$E:$E,METALFISA!$A:$A,'Faltantes Fevereiro- Metalfisa'!AF$3,METALFISA!$B:$B,'Faltantes Fevereiro- Metalfisa'!$A146)</f>
        <v>0</v>
      </c>
      <c r="AG146" s="31">
        <f>SUMIFS(METALFISA!$E:$E,METALFISA!$A:$A,'Faltantes Fevereiro- Metalfisa'!AG$3,METALFISA!$B:$B,'Faltantes Fevereiro- Metalfisa'!$A146)</f>
        <v>2</v>
      </c>
      <c r="AH146" s="31">
        <f>SUMIFS(METALFISA!$E:$E,METALFISA!$A:$A,'Faltantes Fevereiro- Metalfisa'!AH$3,METALFISA!$B:$B,'Faltantes Fevereiro- Metalfisa'!$A146)</f>
        <v>0</v>
      </c>
      <c r="AI146" s="31">
        <f>SUMIFS(METALFISA!$E:$E,METALFISA!$A:$A,'Faltantes Fevereiro- Metalfisa'!AI$3,METALFISA!$B:$B,'Faltantes Fevereiro- Metalfisa'!$A146)</f>
        <v>0</v>
      </c>
      <c r="AJ146" s="31">
        <f>SUMIFS(METALFISA!$E:$E,METALFISA!$A:$A,'Faltantes Fevereiro- Metalfisa'!AJ$3,METALFISA!$B:$B,'Faltantes Fevereiro- Metalfisa'!$A146)</f>
        <v>0</v>
      </c>
      <c r="AK146" s="31">
        <f>SUMIFS(METALFISA!$E:$E,METALFISA!$A:$A,'Faltantes Fevereiro- Metalfisa'!AK$3,METALFISA!$B:$B,'Faltantes Fevereiro- Metalfisa'!$A146)</f>
        <v>0</v>
      </c>
      <c r="AL146" s="31">
        <f>SUMIFS(METALFISA!$E:$E,METALFISA!$A:$A,'Faltantes Fevereiro- Metalfisa'!AL$3,METALFISA!$B:$B,'Faltantes Fevereiro- Metalfisa'!$A146)</f>
        <v>0</v>
      </c>
      <c r="AM146" s="31">
        <f>SUMIFS(METALFISA!$E:$E,METALFISA!$A:$A,'Faltantes Fevereiro- Metalfisa'!AM$3,METALFISA!$B:$B,'Faltantes Fevereiro- Metalfisa'!$A146)</f>
        <v>0</v>
      </c>
      <c r="AN146" s="31">
        <f>SUMIFS(METALFISA!$E:$E,METALFISA!$A:$A,'Faltantes Fevereiro- Metalfisa'!AN$3,METALFISA!$B:$B,'Faltantes Fevereiro- Metalfisa'!$A146)</f>
        <v>0</v>
      </c>
      <c r="AO146" s="31">
        <f>SUMIFS(METALFISA!$E:$E,METALFISA!$A:$A,'Faltantes Fevereiro- Metalfisa'!AO$3,METALFISA!$B:$B,'Faltantes Fevereiro- Metalfisa'!$A146)</f>
        <v>0</v>
      </c>
      <c r="AP146" s="31">
        <f>SUMIFS(METALFISA!$E:$E,METALFISA!$A:$A,'Faltantes Fevereiro- Metalfisa'!AP$3,METALFISA!$B:$B,'Faltantes Fevereiro- Metalfisa'!$A146)</f>
        <v>0</v>
      </c>
      <c r="AQ146" s="31"/>
      <c r="AR146" s="31">
        <f>SUMIFS(METALFISA!$E:$E,METALFISA!$A:$A,'Faltantes Fevereiro- Metalfisa'!AR$3,METALFISA!$B:$B,'Faltantes Fevereiro- Metalfisa'!$A146)</f>
        <v>0</v>
      </c>
      <c r="AS146" s="35">
        <f>SUMIFS(METALFISA!$E:$E,METALFISA!$A:$A,'Faltantes Fevereiro- Metalfisa'!AS$3,METALFISA!$B:$B,'Faltantes Fevereiro- Metalfisa'!$A146)</f>
        <v>0</v>
      </c>
      <c r="AU146" s="18">
        <v>0</v>
      </c>
      <c r="AV146" s="18">
        <v>0</v>
      </c>
      <c r="AW146" s="18">
        <v>0</v>
      </c>
      <c r="AX146" s="18">
        <v>0</v>
      </c>
      <c r="AY146" s="41">
        <v>0</v>
      </c>
      <c r="AZ146" s="31">
        <v>0</v>
      </c>
      <c r="BA146" s="31">
        <v>0</v>
      </c>
      <c r="BB146" s="31">
        <v>0</v>
      </c>
      <c r="BC146" s="31">
        <v>0</v>
      </c>
      <c r="BD146" s="31">
        <v>0</v>
      </c>
      <c r="BE146" s="31">
        <v>0</v>
      </c>
      <c r="BF146" s="31">
        <v>0</v>
      </c>
      <c r="BG146" s="31">
        <v>0</v>
      </c>
      <c r="BH146" s="31">
        <v>0</v>
      </c>
      <c r="BI146" s="31">
        <v>0</v>
      </c>
      <c r="BJ146" s="31">
        <v>0</v>
      </c>
      <c r="BK146" s="31">
        <v>0</v>
      </c>
      <c r="BL146" s="31">
        <v>0</v>
      </c>
      <c r="BM146" s="31">
        <v>1</v>
      </c>
      <c r="BN146" s="31">
        <v>0</v>
      </c>
      <c r="BO146" s="31">
        <v>0</v>
      </c>
      <c r="BP146" s="31">
        <v>0</v>
      </c>
      <c r="BQ146" s="31">
        <v>0</v>
      </c>
      <c r="BR146" s="31">
        <v>0</v>
      </c>
      <c r="BS146" s="31">
        <v>0</v>
      </c>
      <c r="BT146" s="31">
        <v>0</v>
      </c>
      <c r="BU146" s="31">
        <v>0</v>
      </c>
      <c r="BV146" s="31">
        <v>0</v>
      </c>
      <c r="BW146" s="31">
        <v>0</v>
      </c>
      <c r="BX146" s="31">
        <v>0</v>
      </c>
      <c r="BY146" s="31">
        <v>0</v>
      </c>
      <c r="BZ146" s="31">
        <v>0</v>
      </c>
      <c r="CA146" s="31">
        <v>0</v>
      </c>
      <c r="CB146" s="31">
        <v>0</v>
      </c>
      <c r="CC146" s="31">
        <v>0</v>
      </c>
      <c r="CD146" s="31">
        <v>0</v>
      </c>
      <c r="CE146" s="31">
        <v>0</v>
      </c>
      <c r="CF146" s="31">
        <v>0</v>
      </c>
      <c r="CG146" s="31">
        <v>0</v>
      </c>
      <c r="CH146" s="31">
        <v>0</v>
      </c>
      <c r="CI146" s="31">
        <v>0</v>
      </c>
      <c r="CJ146" s="31">
        <v>0</v>
      </c>
      <c r="CK146" s="31">
        <v>0</v>
      </c>
      <c r="CL146" s="35">
        <v>0</v>
      </c>
    </row>
    <row r="147" spans="1:90" ht="21" x14ac:dyDescent="0.15">
      <c r="A147" s="27" t="s">
        <v>649</v>
      </c>
      <c r="B147" s="28" t="s">
        <v>650</v>
      </c>
      <c r="C147" s="28">
        <v>0</v>
      </c>
      <c r="D147" s="28">
        <v>0</v>
      </c>
      <c r="E147" s="28">
        <v>0</v>
      </c>
      <c r="F147" s="28">
        <v>0</v>
      </c>
      <c r="G147" s="28">
        <v>2</v>
      </c>
      <c r="H147" s="28">
        <f>IFERROR(VLOOKUP(A147,[1]FALTANTES!$A:$AB,28,FALSE),"-")</f>
        <v>0</v>
      </c>
      <c r="I147" s="42">
        <f>IFERROR(VLOOKUP(A147,[1]FALTANTES!$A:$AC,29,FALSE),"-")</f>
        <v>0</v>
      </c>
      <c r="J147" s="29">
        <f>IFERROR(VLOOKUP(A147,[1]FALTANTES!$A:$AD,30,FALSE),"-")</f>
        <v>-2</v>
      </c>
      <c r="K147" s="30">
        <v>0</v>
      </c>
      <c r="L147" s="30">
        <f t="shared" si="2"/>
        <v>2</v>
      </c>
      <c r="M147" s="31">
        <f>SUMIFS(METALFISA!$E:$E,METALFISA!$A:$A,'Faltantes Fevereiro- Metalfisa'!M$3,METALFISA!$B:$B,'Faltantes Fevereiro- Metalfisa'!$A147)</f>
        <v>0</v>
      </c>
      <c r="N147" s="31">
        <f>SUMIFS(METALFISA!$E:$E,METALFISA!$A:$A,'Faltantes Fevereiro- Metalfisa'!N$3,METALFISA!$B:$B,'Faltantes Fevereiro- Metalfisa'!$A147)</f>
        <v>0</v>
      </c>
      <c r="O147" s="31">
        <f>SUMIFS(METALFISA!$E:$E,METALFISA!$A:$A,'Faltantes Fevereiro- Metalfisa'!O$3,METALFISA!$B:$B,'Faltantes Fevereiro- Metalfisa'!$A147)</f>
        <v>0</v>
      </c>
      <c r="P147" s="31">
        <f>SUMIFS(METALFISA!$E:$E,METALFISA!$A:$A,'Faltantes Fevereiro- Metalfisa'!P$3,METALFISA!$B:$B,'Faltantes Fevereiro- Metalfisa'!$A147)</f>
        <v>0</v>
      </c>
      <c r="Q147" s="31">
        <f>SUMIFS(METALFISA!$E:$E,METALFISA!$A:$A,'Faltantes Fevereiro- Metalfisa'!Q$3,METALFISA!$B:$B,'Faltantes Fevereiro- Metalfisa'!$A147)</f>
        <v>0</v>
      </c>
      <c r="R147" s="31">
        <f>SUMIFS(METALFISA!$E:$E,METALFISA!$A:$A,'Faltantes Fevereiro- Metalfisa'!R$3,METALFISA!$B:$B,'Faltantes Fevereiro- Metalfisa'!$A147)</f>
        <v>0</v>
      </c>
      <c r="S147" s="31">
        <f>SUMIFS(METALFISA!$E:$E,METALFISA!$A:$A,'Faltantes Fevereiro- Metalfisa'!S$3,METALFISA!$B:$B,'Faltantes Fevereiro- Metalfisa'!$A147)</f>
        <v>0</v>
      </c>
      <c r="T147" s="31">
        <f>SUMIFS(METALFISA!$E:$E,METALFISA!$A:$A,'Faltantes Fevereiro- Metalfisa'!T$3,METALFISA!$B:$B,'Faltantes Fevereiro- Metalfisa'!$A147)</f>
        <v>0</v>
      </c>
      <c r="U147" s="31">
        <f>SUMIFS(METALFISA!$E:$E,METALFISA!$A:$A,'Faltantes Fevereiro- Metalfisa'!U$3,METALFISA!$B:$B,'Faltantes Fevereiro- Metalfisa'!$A147)</f>
        <v>0</v>
      </c>
      <c r="V147" s="31">
        <f>SUMIFS(METALFISA!$E:$E,METALFISA!$A:$A,'Faltantes Fevereiro- Metalfisa'!V$3,METALFISA!$B:$B,'Faltantes Fevereiro- Metalfisa'!$A147)</f>
        <v>0</v>
      </c>
      <c r="W147" s="31">
        <f>SUMIFS(METALFISA!$E:$E,METALFISA!$A:$A,'Faltantes Fevereiro- Metalfisa'!W$3,METALFISA!$B:$B,'Faltantes Fevereiro- Metalfisa'!$A147)</f>
        <v>0</v>
      </c>
      <c r="X147" s="31">
        <f>SUMIFS(METALFISA!$E:$E,METALFISA!$A:$A,'Faltantes Fevereiro- Metalfisa'!X$3,METALFISA!$B:$B,'Faltantes Fevereiro- Metalfisa'!$A147)</f>
        <v>0</v>
      </c>
      <c r="Y147" s="31">
        <f>SUMIFS(METALFISA!$E:$E,METALFISA!$A:$A,'Faltantes Fevereiro- Metalfisa'!Y$3,METALFISA!$B:$B,'Faltantes Fevereiro- Metalfisa'!$A147)</f>
        <v>0</v>
      </c>
      <c r="Z147" s="31">
        <f>SUMIFS(METALFISA!$E:$E,METALFISA!$A:$A,'Faltantes Fevereiro- Metalfisa'!Z$3,METALFISA!$B:$B,'Faltantes Fevereiro- Metalfisa'!$A147)</f>
        <v>0</v>
      </c>
      <c r="AA147" s="31">
        <f>SUMIFS(METALFISA!$E:$E,METALFISA!$A:$A,'Faltantes Fevereiro- Metalfisa'!AA$3,METALFISA!$B:$B,'Faltantes Fevereiro- Metalfisa'!$A147)</f>
        <v>0</v>
      </c>
      <c r="AB147" s="31">
        <f>SUMIFS(METALFISA!$E:$E,METALFISA!$A:$A,'Faltantes Fevereiro- Metalfisa'!AB$3,METALFISA!$B:$B,'Faltantes Fevereiro- Metalfisa'!$A147)</f>
        <v>0</v>
      </c>
      <c r="AC147" s="31">
        <f>SUMIFS(METALFISA!$E:$E,METALFISA!$A:$A,'Faltantes Fevereiro- Metalfisa'!AC$3,METALFISA!$B:$B,'Faltantes Fevereiro- Metalfisa'!$A147)</f>
        <v>0</v>
      </c>
      <c r="AD147" s="31">
        <f>SUMIFS(METALFISA!$E:$E,METALFISA!$A:$A,'Faltantes Fevereiro- Metalfisa'!AD$3,METALFISA!$B:$B,'Faltantes Fevereiro- Metalfisa'!$A147)</f>
        <v>0</v>
      </c>
      <c r="AE147" s="31">
        <f>SUMIFS(METALFISA!$E:$E,METALFISA!$A:$A,'Faltantes Fevereiro- Metalfisa'!AE$3,METALFISA!$B:$B,'Faltantes Fevereiro- Metalfisa'!$A147)</f>
        <v>0</v>
      </c>
      <c r="AF147" s="31">
        <f>SUMIFS(METALFISA!$E:$E,METALFISA!$A:$A,'Faltantes Fevereiro- Metalfisa'!AF$3,METALFISA!$B:$B,'Faltantes Fevereiro- Metalfisa'!$A147)</f>
        <v>0</v>
      </c>
      <c r="AG147" s="31">
        <f>SUMIFS(METALFISA!$E:$E,METALFISA!$A:$A,'Faltantes Fevereiro- Metalfisa'!AG$3,METALFISA!$B:$B,'Faltantes Fevereiro- Metalfisa'!$A147)</f>
        <v>2</v>
      </c>
      <c r="AH147" s="31">
        <f>SUMIFS(METALFISA!$E:$E,METALFISA!$A:$A,'Faltantes Fevereiro- Metalfisa'!AH$3,METALFISA!$B:$B,'Faltantes Fevereiro- Metalfisa'!$A147)</f>
        <v>0</v>
      </c>
      <c r="AI147" s="31">
        <f>SUMIFS(METALFISA!$E:$E,METALFISA!$A:$A,'Faltantes Fevereiro- Metalfisa'!AI$3,METALFISA!$B:$B,'Faltantes Fevereiro- Metalfisa'!$A147)</f>
        <v>0</v>
      </c>
      <c r="AJ147" s="31">
        <f>SUMIFS(METALFISA!$E:$E,METALFISA!$A:$A,'Faltantes Fevereiro- Metalfisa'!AJ$3,METALFISA!$B:$B,'Faltantes Fevereiro- Metalfisa'!$A147)</f>
        <v>0</v>
      </c>
      <c r="AK147" s="31">
        <f>SUMIFS(METALFISA!$E:$E,METALFISA!$A:$A,'Faltantes Fevereiro- Metalfisa'!AK$3,METALFISA!$B:$B,'Faltantes Fevereiro- Metalfisa'!$A147)</f>
        <v>0</v>
      </c>
      <c r="AL147" s="31">
        <f>SUMIFS(METALFISA!$E:$E,METALFISA!$A:$A,'Faltantes Fevereiro- Metalfisa'!AL$3,METALFISA!$B:$B,'Faltantes Fevereiro- Metalfisa'!$A147)</f>
        <v>0</v>
      </c>
      <c r="AM147" s="31">
        <f>SUMIFS(METALFISA!$E:$E,METALFISA!$A:$A,'Faltantes Fevereiro- Metalfisa'!AM$3,METALFISA!$B:$B,'Faltantes Fevereiro- Metalfisa'!$A147)</f>
        <v>0</v>
      </c>
      <c r="AN147" s="31">
        <f>SUMIFS(METALFISA!$E:$E,METALFISA!$A:$A,'Faltantes Fevereiro- Metalfisa'!AN$3,METALFISA!$B:$B,'Faltantes Fevereiro- Metalfisa'!$A147)</f>
        <v>0</v>
      </c>
      <c r="AO147" s="31">
        <f>SUMIFS(METALFISA!$E:$E,METALFISA!$A:$A,'Faltantes Fevereiro- Metalfisa'!AO$3,METALFISA!$B:$B,'Faltantes Fevereiro- Metalfisa'!$A147)</f>
        <v>0</v>
      </c>
      <c r="AP147" s="31">
        <f>SUMIFS(METALFISA!$E:$E,METALFISA!$A:$A,'Faltantes Fevereiro- Metalfisa'!AP$3,METALFISA!$B:$B,'Faltantes Fevereiro- Metalfisa'!$A147)</f>
        <v>0</v>
      </c>
      <c r="AQ147" s="31"/>
      <c r="AR147" s="31">
        <f>SUMIFS(METALFISA!$E:$E,METALFISA!$A:$A,'Faltantes Fevereiro- Metalfisa'!AR$3,METALFISA!$B:$B,'Faltantes Fevereiro- Metalfisa'!$A147)</f>
        <v>0</v>
      </c>
      <c r="AS147" s="35">
        <f>SUMIFS(METALFISA!$E:$E,METALFISA!$A:$A,'Faltantes Fevereiro- Metalfisa'!AS$3,METALFISA!$B:$B,'Faltantes Fevereiro- Metalfisa'!$A147)</f>
        <v>0</v>
      </c>
      <c r="AU147" s="18">
        <v>0</v>
      </c>
      <c r="AV147" s="18">
        <v>0</v>
      </c>
      <c r="AW147" s="18">
        <v>0</v>
      </c>
      <c r="AX147" s="18">
        <v>0</v>
      </c>
      <c r="AY147" s="41">
        <v>0</v>
      </c>
      <c r="AZ147" s="31">
        <v>0</v>
      </c>
      <c r="BA147" s="31">
        <v>0</v>
      </c>
      <c r="BB147" s="31">
        <v>0</v>
      </c>
      <c r="BC147" s="31">
        <v>0</v>
      </c>
      <c r="BD147" s="31">
        <v>0</v>
      </c>
      <c r="BE147" s="31">
        <v>0</v>
      </c>
      <c r="BF147" s="31">
        <v>0</v>
      </c>
      <c r="BG147" s="31">
        <v>0</v>
      </c>
      <c r="BH147" s="31">
        <v>0</v>
      </c>
      <c r="BI147" s="31">
        <v>0</v>
      </c>
      <c r="BJ147" s="31">
        <v>0</v>
      </c>
      <c r="BK147" s="31">
        <v>0</v>
      </c>
      <c r="BL147" s="31">
        <v>0</v>
      </c>
      <c r="BM147" s="31">
        <v>1</v>
      </c>
      <c r="BN147" s="31">
        <v>0</v>
      </c>
      <c r="BO147" s="31">
        <v>0</v>
      </c>
      <c r="BP147" s="31">
        <v>0</v>
      </c>
      <c r="BQ147" s="31">
        <v>0</v>
      </c>
      <c r="BR147" s="31">
        <v>0</v>
      </c>
      <c r="BS147" s="31">
        <v>0</v>
      </c>
      <c r="BT147" s="31">
        <v>0</v>
      </c>
      <c r="BU147" s="31">
        <v>0</v>
      </c>
      <c r="BV147" s="31">
        <v>0</v>
      </c>
      <c r="BW147" s="31">
        <v>0</v>
      </c>
      <c r="BX147" s="31">
        <v>0</v>
      </c>
      <c r="BY147" s="31">
        <v>0</v>
      </c>
      <c r="BZ147" s="31">
        <v>0</v>
      </c>
      <c r="CA147" s="31">
        <v>0</v>
      </c>
      <c r="CB147" s="31">
        <v>0</v>
      </c>
      <c r="CC147" s="31">
        <v>0</v>
      </c>
      <c r="CD147" s="31">
        <v>0</v>
      </c>
      <c r="CE147" s="31">
        <v>0</v>
      </c>
      <c r="CF147" s="31">
        <v>0</v>
      </c>
      <c r="CG147" s="31">
        <v>0</v>
      </c>
      <c r="CH147" s="31">
        <v>0</v>
      </c>
      <c r="CI147" s="31">
        <v>0</v>
      </c>
      <c r="CJ147" s="31">
        <v>0</v>
      </c>
      <c r="CK147" s="31">
        <v>0</v>
      </c>
      <c r="CL147" s="35">
        <v>0</v>
      </c>
    </row>
    <row r="148" spans="1:90" ht="21" x14ac:dyDescent="0.15">
      <c r="A148" s="27" t="s">
        <v>971</v>
      </c>
      <c r="B148" s="28" t="s">
        <v>972</v>
      </c>
      <c r="C148" s="28">
        <v>3</v>
      </c>
      <c r="D148" s="28">
        <v>0</v>
      </c>
      <c r="E148" s="28">
        <v>0</v>
      </c>
      <c r="F148" s="28">
        <v>0</v>
      </c>
      <c r="G148" s="28">
        <v>29</v>
      </c>
      <c r="H148" s="28">
        <f>IFERROR(VLOOKUP(A148,[1]FALTANTES!$A:$AB,28,FALSE),"-")</f>
        <v>3</v>
      </c>
      <c r="I148" s="42">
        <f>IFERROR(VLOOKUP(A148,[1]FALTANTES!$A:$AC,29,FALSE),"-")</f>
        <v>0</v>
      </c>
      <c r="J148" s="29">
        <f>IFERROR(VLOOKUP(A148,[1]FALTANTES!$A:$AD,30,FALSE),"-")</f>
        <v>-32</v>
      </c>
      <c r="K148" s="30">
        <v>0</v>
      </c>
      <c r="L148" s="30">
        <f t="shared" si="2"/>
        <v>33</v>
      </c>
      <c r="M148" s="31">
        <f>SUMIFS(METALFISA!$E:$E,METALFISA!$A:$A,'Faltantes Fevereiro- Metalfisa'!M$3,METALFISA!$B:$B,'Faltantes Fevereiro- Metalfisa'!$A148)</f>
        <v>0</v>
      </c>
      <c r="N148" s="31">
        <f>SUMIFS(METALFISA!$E:$E,METALFISA!$A:$A,'Faltantes Fevereiro- Metalfisa'!N$3,METALFISA!$B:$B,'Faltantes Fevereiro- Metalfisa'!$A148)</f>
        <v>0</v>
      </c>
      <c r="O148" s="31">
        <f>SUMIFS(METALFISA!$E:$E,METALFISA!$A:$A,'Faltantes Fevereiro- Metalfisa'!O$3,METALFISA!$B:$B,'Faltantes Fevereiro- Metalfisa'!$A148)</f>
        <v>0</v>
      </c>
      <c r="P148" s="31">
        <f>SUMIFS(METALFISA!$E:$E,METALFISA!$A:$A,'Faltantes Fevereiro- Metalfisa'!P$3,METALFISA!$B:$B,'Faltantes Fevereiro- Metalfisa'!$A148)</f>
        <v>0</v>
      </c>
      <c r="Q148" s="31">
        <f>SUMIFS(METALFISA!$E:$E,METALFISA!$A:$A,'Faltantes Fevereiro- Metalfisa'!Q$3,METALFISA!$B:$B,'Faltantes Fevereiro- Metalfisa'!$A148)</f>
        <v>0</v>
      </c>
      <c r="R148" s="31">
        <f>SUMIFS(METALFISA!$E:$E,METALFISA!$A:$A,'Faltantes Fevereiro- Metalfisa'!R$3,METALFISA!$B:$B,'Faltantes Fevereiro- Metalfisa'!$A148)</f>
        <v>0</v>
      </c>
      <c r="S148" s="31">
        <f>SUMIFS(METALFISA!$E:$E,METALFISA!$A:$A,'Faltantes Fevereiro- Metalfisa'!S$3,METALFISA!$B:$B,'Faltantes Fevereiro- Metalfisa'!$A148)</f>
        <v>0</v>
      </c>
      <c r="T148" s="31">
        <f>SUMIFS(METALFISA!$E:$E,METALFISA!$A:$A,'Faltantes Fevereiro- Metalfisa'!T$3,METALFISA!$B:$B,'Faltantes Fevereiro- Metalfisa'!$A148)</f>
        <v>0</v>
      </c>
      <c r="U148" s="31">
        <f>SUMIFS(METALFISA!$E:$E,METALFISA!$A:$A,'Faltantes Fevereiro- Metalfisa'!U$3,METALFISA!$B:$B,'Faltantes Fevereiro- Metalfisa'!$A148)</f>
        <v>0</v>
      </c>
      <c r="V148" s="31">
        <f>SUMIFS(METALFISA!$E:$E,METALFISA!$A:$A,'Faltantes Fevereiro- Metalfisa'!V$3,METALFISA!$B:$B,'Faltantes Fevereiro- Metalfisa'!$A148)</f>
        <v>0</v>
      </c>
      <c r="W148" s="31">
        <f>SUMIFS(METALFISA!$E:$E,METALFISA!$A:$A,'Faltantes Fevereiro- Metalfisa'!W$3,METALFISA!$B:$B,'Faltantes Fevereiro- Metalfisa'!$A148)</f>
        <v>0</v>
      </c>
      <c r="X148" s="31">
        <f>SUMIFS(METALFISA!$E:$E,METALFISA!$A:$A,'Faltantes Fevereiro- Metalfisa'!X$3,METALFISA!$B:$B,'Faltantes Fevereiro- Metalfisa'!$A148)</f>
        <v>0</v>
      </c>
      <c r="Y148" s="31">
        <f>SUMIFS(METALFISA!$E:$E,METALFISA!$A:$A,'Faltantes Fevereiro- Metalfisa'!Y$3,METALFISA!$B:$B,'Faltantes Fevereiro- Metalfisa'!$A148)</f>
        <v>0</v>
      </c>
      <c r="Z148" s="31">
        <f>SUMIFS(METALFISA!$E:$E,METALFISA!$A:$A,'Faltantes Fevereiro- Metalfisa'!Z$3,METALFISA!$B:$B,'Faltantes Fevereiro- Metalfisa'!$A148)</f>
        <v>0</v>
      </c>
      <c r="AA148" s="31">
        <f>SUMIFS(METALFISA!$E:$E,METALFISA!$A:$A,'Faltantes Fevereiro- Metalfisa'!AA$3,METALFISA!$B:$B,'Faltantes Fevereiro- Metalfisa'!$A148)</f>
        <v>0</v>
      </c>
      <c r="AB148" s="31">
        <f>SUMIFS(METALFISA!$E:$E,METALFISA!$A:$A,'Faltantes Fevereiro- Metalfisa'!AB$3,METALFISA!$B:$B,'Faltantes Fevereiro- Metalfisa'!$A148)</f>
        <v>0</v>
      </c>
      <c r="AC148" s="31">
        <f>SUMIFS(METALFISA!$E:$E,METALFISA!$A:$A,'Faltantes Fevereiro- Metalfisa'!AC$3,METALFISA!$B:$B,'Faltantes Fevereiro- Metalfisa'!$A148)</f>
        <v>0</v>
      </c>
      <c r="AD148" s="31">
        <f>SUMIFS(METALFISA!$E:$E,METALFISA!$A:$A,'Faltantes Fevereiro- Metalfisa'!AD$3,METALFISA!$B:$B,'Faltantes Fevereiro- Metalfisa'!$A148)</f>
        <v>0</v>
      </c>
      <c r="AE148" s="31">
        <f>SUMIFS(METALFISA!$E:$E,METALFISA!$A:$A,'Faltantes Fevereiro- Metalfisa'!AE$3,METALFISA!$B:$B,'Faltantes Fevereiro- Metalfisa'!$A148)</f>
        <v>0</v>
      </c>
      <c r="AF148" s="31">
        <f>SUMIFS(METALFISA!$E:$E,METALFISA!$A:$A,'Faltantes Fevereiro- Metalfisa'!AF$3,METALFISA!$B:$B,'Faltantes Fevereiro- Metalfisa'!$A148)</f>
        <v>0</v>
      </c>
      <c r="AG148" s="31">
        <f>SUMIFS(METALFISA!$E:$E,METALFISA!$A:$A,'Faltantes Fevereiro- Metalfisa'!AG$3,METALFISA!$B:$B,'Faltantes Fevereiro- Metalfisa'!$A148)</f>
        <v>0</v>
      </c>
      <c r="AH148" s="31">
        <f>SUMIFS(METALFISA!$E:$E,METALFISA!$A:$A,'Faltantes Fevereiro- Metalfisa'!AH$3,METALFISA!$B:$B,'Faltantes Fevereiro- Metalfisa'!$A148)</f>
        <v>33</v>
      </c>
      <c r="AI148" s="31">
        <f>SUMIFS(METALFISA!$E:$E,METALFISA!$A:$A,'Faltantes Fevereiro- Metalfisa'!AI$3,METALFISA!$B:$B,'Faltantes Fevereiro- Metalfisa'!$A148)</f>
        <v>0</v>
      </c>
      <c r="AJ148" s="31">
        <f>SUMIFS(METALFISA!$E:$E,METALFISA!$A:$A,'Faltantes Fevereiro- Metalfisa'!AJ$3,METALFISA!$B:$B,'Faltantes Fevereiro- Metalfisa'!$A148)</f>
        <v>0</v>
      </c>
      <c r="AK148" s="31">
        <f>SUMIFS(METALFISA!$E:$E,METALFISA!$A:$A,'Faltantes Fevereiro- Metalfisa'!AK$3,METALFISA!$B:$B,'Faltantes Fevereiro- Metalfisa'!$A148)</f>
        <v>0</v>
      </c>
      <c r="AL148" s="31">
        <f>SUMIFS(METALFISA!$E:$E,METALFISA!$A:$A,'Faltantes Fevereiro- Metalfisa'!AL$3,METALFISA!$B:$B,'Faltantes Fevereiro- Metalfisa'!$A148)</f>
        <v>0</v>
      </c>
      <c r="AM148" s="31">
        <f>SUMIFS(METALFISA!$E:$E,METALFISA!$A:$A,'Faltantes Fevereiro- Metalfisa'!AM$3,METALFISA!$B:$B,'Faltantes Fevereiro- Metalfisa'!$A148)</f>
        <v>0</v>
      </c>
      <c r="AN148" s="31">
        <f>SUMIFS(METALFISA!$E:$E,METALFISA!$A:$A,'Faltantes Fevereiro- Metalfisa'!AN$3,METALFISA!$B:$B,'Faltantes Fevereiro- Metalfisa'!$A148)</f>
        <v>0</v>
      </c>
      <c r="AO148" s="31">
        <f>SUMIFS(METALFISA!$E:$E,METALFISA!$A:$A,'Faltantes Fevereiro- Metalfisa'!AO$3,METALFISA!$B:$B,'Faltantes Fevereiro- Metalfisa'!$A148)</f>
        <v>0</v>
      </c>
      <c r="AP148" s="31">
        <f>SUMIFS(METALFISA!$E:$E,METALFISA!$A:$A,'Faltantes Fevereiro- Metalfisa'!AP$3,METALFISA!$B:$B,'Faltantes Fevereiro- Metalfisa'!$A148)</f>
        <v>0</v>
      </c>
      <c r="AQ148" s="31"/>
      <c r="AR148" s="31">
        <f>SUMIFS(METALFISA!$E:$E,METALFISA!$A:$A,'Faltantes Fevereiro- Metalfisa'!AR$3,METALFISA!$B:$B,'Faltantes Fevereiro- Metalfisa'!$A148)</f>
        <v>0</v>
      </c>
      <c r="AS148" s="35">
        <f>SUMIFS(METALFISA!$E:$E,METALFISA!$A:$A,'Faltantes Fevereiro- Metalfisa'!AS$3,METALFISA!$B:$B,'Faltantes Fevereiro- Metalfisa'!$A148)</f>
        <v>0</v>
      </c>
      <c r="AU148" s="18">
        <v>0</v>
      </c>
      <c r="AV148" s="18">
        <v>0</v>
      </c>
      <c r="AW148" s="18">
        <v>0</v>
      </c>
      <c r="AX148" s="18">
        <v>0</v>
      </c>
      <c r="AY148" s="41">
        <v>1</v>
      </c>
      <c r="AZ148" s="31">
        <v>1</v>
      </c>
      <c r="BA148" s="31">
        <v>0</v>
      </c>
      <c r="BB148" s="31">
        <v>0</v>
      </c>
      <c r="BC148" s="31">
        <v>0</v>
      </c>
      <c r="BD148" s="31">
        <v>0</v>
      </c>
      <c r="BE148" s="31">
        <v>0</v>
      </c>
      <c r="BF148" s="31">
        <v>0</v>
      </c>
      <c r="BG148" s="31">
        <v>0</v>
      </c>
      <c r="BH148" s="31">
        <v>0</v>
      </c>
      <c r="BI148" s="31">
        <v>0</v>
      </c>
      <c r="BJ148" s="31">
        <v>0</v>
      </c>
      <c r="BK148" s="31">
        <v>0</v>
      </c>
      <c r="BL148" s="31">
        <v>0</v>
      </c>
      <c r="BM148" s="31">
        <v>0</v>
      </c>
      <c r="BN148" s="31">
        <v>0</v>
      </c>
      <c r="BO148" s="31">
        <v>0</v>
      </c>
      <c r="BP148" s="31">
        <v>0</v>
      </c>
      <c r="BQ148" s="31">
        <v>0</v>
      </c>
      <c r="BR148" s="31">
        <v>0</v>
      </c>
      <c r="BS148" s="31">
        <v>0</v>
      </c>
      <c r="BT148" s="31">
        <v>0</v>
      </c>
      <c r="BU148" s="31">
        <v>0</v>
      </c>
      <c r="BV148" s="31">
        <v>0</v>
      </c>
      <c r="BW148" s="31">
        <v>0</v>
      </c>
      <c r="BX148" s="31">
        <v>0</v>
      </c>
      <c r="BY148" s="31">
        <v>0</v>
      </c>
      <c r="BZ148" s="31">
        <v>0</v>
      </c>
      <c r="CA148" s="31">
        <v>0</v>
      </c>
      <c r="CB148" s="31">
        <v>0</v>
      </c>
      <c r="CC148" s="31">
        <v>0</v>
      </c>
      <c r="CD148" s="31">
        <v>0</v>
      </c>
      <c r="CE148" s="31">
        <v>0</v>
      </c>
      <c r="CF148" s="31">
        <v>0</v>
      </c>
      <c r="CG148" s="31">
        <v>0</v>
      </c>
      <c r="CH148" s="31">
        <v>0</v>
      </c>
      <c r="CI148" s="31">
        <v>0</v>
      </c>
      <c r="CJ148" s="31">
        <v>0</v>
      </c>
      <c r="CK148" s="31">
        <v>0</v>
      </c>
      <c r="CL148" s="35">
        <v>0</v>
      </c>
    </row>
    <row r="149" spans="1:90" ht="21" x14ac:dyDescent="0.15">
      <c r="A149" s="27" t="s">
        <v>789</v>
      </c>
      <c r="B149" s="28" t="s">
        <v>790</v>
      </c>
      <c r="C149" s="28">
        <v>4</v>
      </c>
      <c r="D149" s="28">
        <v>0</v>
      </c>
      <c r="E149" s="28">
        <v>0</v>
      </c>
      <c r="F149" s="28">
        <v>0</v>
      </c>
      <c r="G149" s="28">
        <v>29</v>
      </c>
      <c r="H149" s="28">
        <f>IFERROR(VLOOKUP(A149,[1]FALTANTES!$A:$AB,28,FALSE),"-")</f>
        <v>4</v>
      </c>
      <c r="I149" s="42">
        <f>IFERROR(VLOOKUP(A149,[1]FALTANTES!$A:$AC,29,FALSE),"-")</f>
        <v>0</v>
      </c>
      <c r="J149" s="29">
        <f>IFERROR(VLOOKUP(A149,[1]FALTANTES!$A:$AD,30,FALSE),"-")</f>
        <v>-33</v>
      </c>
      <c r="K149" s="30">
        <v>0</v>
      </c>
      <c r="L149" s="30">
        <f t="shared" si="2"/>
        <v>33</v>
      </c>
      <c r="M149" s="31">
        <f>SUMIFS(METALFISA!$E:$E,METALFISA!$A:$A,'Faltantes Fevereiro- Metalfisa'!M$3,METALFISA!$B:$B,'Faltantes Fevereiro- Metalfisa'!$A149)</f>
        <v>0</v>
      </c>
      <c r="N149" s="31">
        <f>SUMIFS(METALFISA!$E:$E,METALFISA!$A:$A,'Faltantes Fevereiro- Metalfisa'!N$3,METALFISA!$B:$B,'Faltantes Fevereiro- Metalfisa'!$A149)</f>
        <v>0</v>
      </c>
      <c r="O149" s="31">
        <f>SUMIFS(METALFISA!$E:$E,METALFISA!$A:$A,'Faltantes Fevereiro- Metalfisa'!O$3,METALFISA!$B:$B,'Faltantes Fevereiro- Metalfisa'!$A149)</f>
        <v>0</v>
      </c>
      <c r="P149" s="31">
        <f>SUMIFS(METALFISA!$E:$E,METALFISA!$A:$A,'Faltantes Fevereiro- Metalfisa'!P$3,METALFISA!$B:$B,'Faltantes Fevereiro- Metalfisa'!$A149)</f>
        <v>0</v>
      </c>
      <c r="Q149" s="31">
        <f>SUMIFS(METALFISA!$E:$E,METALFISA!$A:$A,'Faltantes Fevereiro- Metalfisa'!Q$3,METALFISA!$B:$B,'Faltantes Fevereiro- Metalfisa'!$A149)</f>
        <v>0</v>
      </c>
      <c r="R149" s="31">
        <f>SUMIFS(METALFISA!$E:$E,METALFISA!$A:$A,'Faltantes Fevereiro- Metalfisa'!R$3,METALFISA!$B:$B,'Faltantes Fevereiro- Metalfisa'!$A149)</f>
        <v>0</v>
      </c>
      <c r="S149" s="31">
        <f>SUMIFS(METALFISA!$E:$E,METALFISA!$A:$A,'Faltantes Fevereiro- Metalfisa'!S$3,METALFISA!$B:$B,'Faltantes Fevereiro- Metalfisa'!$A149)</f>
        <v>0</v>
      </c>
      <c r="T149" s="31">
        <f>SUMIFS(METALFISA!$E:$E,METALFISA!$A:$A,'Faltantes Fevereiro- Metalfisa'!T$3,METALFISA!$B:$B,'Faltantes Fevereiro- Metalfisa'!$A149)</f>
        <v>0</v>
      </c>
      <c r="U149" s="31">
        <f>SUMIFS(METALFISA!$E:$E,METALFISA!$A:$A,'Faltantes Fevereiro- Metalfisa'!U$3,METALFISA!$B:$B,'Faltantes Fevereiro- Metalfisa'!$A149)</f>
        <v>0</v>
      </c>
      <c r="V149" s="31">
        <f>SUMIFS(METALFISA!$E:$E,METALFISA!$A:$A,'Faltantes Fevereiro- Metalfisa'!V$3,METALFISA!$B:$B,'Faltantes Fevereiro- Metalfisa'!$A149)</f>
        <v>0</v>
      </c>
      <c r="W149" s="31">
        <f>SUMIFS(METALFISA!$E:$E,METALFISA!$A:$A,'Faltantes Fevereiro- Metalfisa'!W$3,METALFISA!$B:$B,'Faltantes Fevereiro- Metalfisa'!$A149)</f>
        <v>0</v>
      </c>
      <c r="X149" s="31">
        <f>SUMIFS(METALFISA!$E:$E,METALFISA!$A:$A,'Faltantes Fevereiro- Metalfisa'!X$3,METALFISA!$B:$B,'Faltantes Fevereiro- Metalfisa'!$A149)</f>
        <v>0</v>
      </c>
      <c r="Y149" s="31">
        <f>SUMIFS(METALFISA!$E:$E,METALFISA!$A:$A,'Faltantes Fevereiro- Metalfisa'!Y$3,METALFISA!$B:$B,'Faltantes Fevereiro- Metalfisa'!$A149)</f>
        <v>0</v>
      </c>
      <c r="Z149" s="31">
        <f>SUMIFS(METALFISA!$E:$E,METALFISA!$A:$A,'Faltantes Fevereiro- Metalfisa'!Z$3,METALFISA!$B:$B,'Faltantes Fevereiro- Metalfisa'!$A149)</f>
        <v>0</v>
      </c>
      <c r="AA149" s="31">
        <f>SUMIFS(METALFISA!$E:$E,METALFISA!$A:$A,'Faltantes Fevereiro- Metalfisa'!AA$3,METALFISA!$B:$B,'Faltantes Fevereiro- Metalfisa'!$A149)</f>
        <v>0</v>
      </c>
      <c r="AB149" s="31">
        <f>SUMIFS(METALFISA!$E:$E,METALFISA!$A:$A,'Faltantes Fevereiro- Metalfisa'!AB$3,METALFISA!$B:$B,'Faltantes Fevereiro- Metalfisa'!$A149)</f>
        <v>0</v>
      </c>
      <c r="AC149" s="31">
        <f>SUMIFS(METALFISA!$E:$E,METALFISA!$A:$A,'Faltantes Fevereiro- Metalfisa'!AC$3,METALFISA!$B:$B,'Faltantes Fevereiro- Metalfisa'!$A149)</f>
        <v>0</v>
      </c>
      <c r="AD149" s="31">
        <f>SUMIFS(METALFISA!$E:$E,METALFISA!$A:$A,'Faltantes Fevereiro- Metalfisa'!AD$3,METALFISA!$B:$B,'Faltantes Fevereiro- Metalfisa'!$A149)</f>
        <v>0</v>
      </c>
      <c r="AE149" s="31">
        <f>SUMIFS(METALFISA!$E:$E,METALFISA!$A:$A,'Faltantes Fevereiro- Metalfisa'!AE$3,METALFISA!$B:$B,'Faltantes Fevereiro- Metalfisa'!$A149)</f>
        <v>0</v>
      </c>
      <c r="AF149" s="31">
        <f>SUMIFS(METALFISA!$E:$E,METALFISA!$A:$A,'Faltantes Fevereiro- Metalfisa'!AF$3,METALFISA!$B:$B,'Faltantes Fevereiro- Metalfisa'!$A149)</f>
        <v>0</v>
      </c>
      <c r="AG149" s="31">
        <f>SUMIFS(METALFISA!$E:$E,METALFISA!$A:$A,'Faltantes Fevereiro- Metalfisa'!AG$3,METALFISA!$B:$B,'Faltantes Fevereiro- Metalfisa'!$A149)</f>
        <v>0</v>
      </c>
      <c r="AH149" s="31">
        <f>SUMIFS(METALFISA!$E:$E,METALFISA!$A:$A,'Faltantes Fevereiro- Metalfisa'!AH$3,METALFISA!$B:$B,'Faltantes Fevereiro- Metalfisa'!$A149)</f>
        <v>33</v>
      </c>
      <c r="AI149" s="31">
        <f>SUMIFS(METALFISA!$E:$E,METALFISA!$A:$A,'Faltantes Fevereiro- Metalfisa'!AI$3,METALFISA!$B:$B,'Faltantes Fevereiro- Metalfisa'!$A149)</f>
        <v>0</v>
      </c>
      <c r="AJ149" s="31">
        <f>SUMIFS(METALFISA!$E:$E,METALFISA!$A:$A,'Faltantes Fevereiro- Metalfisa'!AJ$3,METALFISA!$B:$B,'Faltantes Fevereiro- Metalfisa'!$A149)</f>
        <v>0</v>
      </c>
      <c r="AK149" s="31">
        <f>SUMIFS(METALFISA!$E:$E,METALFISA!$A:$A,'Faltantes Fevereiro- Metalfisa'!AK$3,METALFISA!$B:$B,'Faltantes Fevereiro- Metalfisa'!$A149)</f>
        <v>0</v>
      </c>
      <c r="AL149" s="31">
        <f>SUMIFS(METALFISA!$E:$E,METALFISA!$A:$A,'Faltantes Fevereiro- Metalfisa'!AL$3,METALFISA!$B:$B,'Faltantes Fevereiro- Metalfisa'!$A149)</f>
        <v>0</v>
      </c>
      <c r="AM149" s="31">
        <f>SUMIFS(METALFISA!$E:$E,METALFISA!$A:$A,'Faltantes Fevereiro- Metalfisa'!AM$3,METALFISA!$B:$B,'Faltantes Fevereiro- Metalfisa'!$A149)</f>
        <v>0</v>
      </c>
      <c r="AN149" s="31">
        <f>SUMIFS(METALFISA!$E:$E,METALFISA!$A:$A,'Faltantes Fevereiro- Metalfisa'!AN$3,METALFISA!$B:$B,'Faltantes Fevereiro- Metalfisa'!$A149)</f>
        <v>0</v>
      </c>
      <c r="AO149" s="31">
        <f>SUMIFS(METALFISA!$E:$E,METALFISA!$A:$A,'Faltantes Fevereiro- Metalfisa'!AO$3,METALFISA!$B:$B,'Faltantes Fevereiro- Metalfisa'!$A149)</f>
        <v>0</v>
      </c>
      <c r="AP149" s="31">
        <f>SUMIFS(METALFISA!$E:$E,METALFISA!$A:$A,'Faltantes Fevereiro- Metalfisa'!AP$3,METALFISA!$B:$B,'Faltantes Fevereiro- Metalfisa'!$A149)</f>
        <v>0</v>
      </c>
      <c r="AQ149" s="31"/>
      <c r="AR149" s="31">
        <f>SUMIFS(METALFISA!$E:$E,METALFISA!$A:$A,'Faltantes Fevereiro- Metalfisa'!AR$3,METALFISA!$B:$B,'Faltantes Fevereiro- Metalfisa'!$A149)</f>
        <v>0</v>
      </c>
      <c r="AS149" s="35">
        <f>SUMIFS(METALFISA!$E:$E,METALFISA!$A:$A,'Faltantes Fevereiro- Metalfisa'!AS$3,METALFISA!$B:$B,'Faltantes Fevereiro- Metalfisa'!$A149)</f>
        <v>0</v>
      </c>
      <c r="AU149" s="18">
        <v>0</v>
      </c>
      <c r="AV149" s="18">
        <v>0</v>
      </c>
      <c r="AW149" s="18">
        <v>0</v>
      </c>
      <c r="AX149" s="18">
        <v>0</v>
      </c>
      <c r="AY149" s="41">
        <v>1</v>
      </c>
      <c r="AZ149" s="31">
        <v>1</v>
      </c>
      <c r="BA149" s="31">
        <v>0</v>
      </c>
      <c r="BB149" s="31">
        <v>0</v>
      </c>
      <c r="BC149" s="31">
        <v>0</v>
      </c>
      <c r="BD149" s="31">
        <v>0</v>
      </c>
      <c r="BE149" s="31">
        <v>0</v>
      </c>
      <c r="BF149" s="31">
        <v>0</v>
      </c>
      <c r="BG149" s="31">
        <v>0</v>
      </c>
      <c r="BH149" s="31">
        <v>0</v>
      </c>
      <c r="BI149" s="31">
        <v>0</v>
      </c>
      <c r="BJ149" s="31">
        <v>0</v>
      </c>
      <c r="BK149" s="31">
        <v>0</v>
      </c>
      <c r="BL149" s="31">
        <v>0</v>
      </c>
      <c r="BM149" s="31">
        <v>0</v>
      </c>
      <c r="BN149" s="31">
        <v>0</v>
      </c>
      <c r="BO149" s="31">
        <v>0</v>
      </c>
      <c r="BP149" s="31">
        <v>0</v>
      </c>
      <c r="BQ149" s="31">
        <v>0</v>
      </c>
      <c r="BR149" s="31">
        <v>0</v>
      </c>
      <c r="BS149" s="31">
        <v>0</v>
      </c>
      <c r="BT149" s="31">
        <v>0</v>
      </c>
      <c r="BU149" s="31">
        <v>0</v>
      </c>
      <c r="BV149" s="31">
        <v>0</v>
      </c>
      <c r="BW149" s="31">
        <v>0</v>
      </c>
      <c r="BX149" s="31">
        <v>0</v>
      </c>
      <c r="BY149" s="31">
        <v>0</v>
      </c>
      <c r="BZ149" s="31">
        <v>0</v>
      </c>
      <c r="CA149" s="31">
        <v>0</v>
      </c>
      <c r="CB149" s="31">
        <v>0</v>
      </c>
      <c r="CC149" s="31">
        <v>0</v>
      </c>
      <c r="CD149" s="31">
        <v>0</v>
      </c>
      <c r="CE149" s="31">
        <v>0</v>
      </c>
      <c r="CF149" s="31">
        <v>0</v>
      </c>
      <c r="CG149" s="31">
        <v>0</v>
      </c>
      <c r="CH149" s="31">
        <v>0</v>
      </c>
      <c r="CI149" s="31">
        <v>0</v>
      </c>
      <c r="CJ149" s="31">
        <v>0</v>
      </c>
      <c r="CK149" s="31">
        <v>0</v>
      </c>
      <c r="CL149" s="35">
        <v>0</v>
      </c>
    </row>
    <row r="150" spans="1:90" ht="21" x14ac:dyDescent="0.15">
      <c r="A150" s="27" t="s">
        <v>791</v>
      </c>
      <c r="B150" s="28" t="s">
        <v>792</v>
      </c>
      <c r="C150" s="28">
        <v>12</v>
      </c>
      <c r="D150" s="28">
        <v>0</v>
      </c>
      <c r="E150" s="28">
        <v>0</v>
      </c>
      <c r="F150" s="28">
        <v>0</v>
      </c>
      <c r="G150" s="28">
        <v>29</v>
      </c>
      <c r="H150" s="28">
        <f>IFERROR(VLOOKUP(A150,[1]FALTANTES!$A:$AB,28,FALSE),"-")</f>
        <v>0</v>
      </c>
      <c r="I150" s="42">
        <f>IFERROR(VLOOKUP(A150,[1]FALTANTES!$A:$AC,29,FALSE),"-")</f>
        <v>32</v>
      </c>
      <c r="J150" s="29">
        <f>IFERROR(VLOOKUP(A150,[1]FALTANTES!$A:$AD,30,FALSE),"-")</f>
        <v>-9</v>
      </c>
      <c r="K150" s="30">
        <v>0</v>
      </c>
      <c r="L150" s="30">
        <f t="shared" si="2"/>
        <v>9</v>
      </c>
      <c r="M150" s="31">
        <f>SUMIFS(METALFISA!$E:$E,METALFISA!$A:$A,'Faltantes Fevereiro- Metalfisa'!M$3,METALFISA!$B:$B,'Faltantes Fevereiro- Metalfisa'!$A150)</f>
        <v>0</v>
      </c>
      <c r="N150" s="31">
        <f>SUMIFS(METALFISA!$E:$E,METALFISA!$A:$A,'Faltantes Fevereiro- Metalfisa'!N$3,METALFISA!$B:$B,'Faltantes Fevereiro- Metalfisa'!$A150)</f>
        <v>0</v>
      </c>
      <c r="O150" s="31">
        <f>SUMIFS(METALFISA!$E:$E,METALFISA!$A:$A,'Faltantes Fevereiro- Metalfisa'!O$3,METALFISA!$B:$B,'Faltantes Fevereiro- Metalfisa'!$A150)</f>
        <v>0</v>
      </c>
      <c r="P150" s="31">
        <f>SUMIFS(METALFISA!$E:$E,METALFISA!$A:$A,'Faltantes Fevereiro- Metalfisa'!P$3,METALFISA!$B:$B,'Faltantes Fevereiro- Metalfisa'!$A150)</f>
        <v>0</v>
      </c>
      <c r="Q150" s="31">
        <f>SUMIFS(METALFISA!$E:$E,METALFISA!$A:$A,'Faltantes Fevereiro- Metalfisa'!Q$3,METALFISA!$B:$B,'Faltantes Fevereiro- Metalfisa'!$A150)</f>
        <v>0</v>
      </c>
      <c r="R150" s="31">
        <f>SUMIFS(METALFISA!$E:$E,METALFISA!$A:$A,'Faltantes Fevereiro- Metalfisa'!R$3,METALFISA!$B:$B,'Faltantes Fevereiro- Metalfisa'!$A150)</f>
        <v>0</v>
      </c>
      <c r="S150" s="31">
        <f>SUMIFS(METALFISA!$E:$E,METALFISA!$A:$A,'Faltantes Fevereiro- Metalfisa'!S$3,METALFISA!$B:$B,'Faltantes Fevereiro- Metalfisa'!$A150)</f>
        <v>0</v>
      </c>
      <c r="T150" s="31">
        <f>SUMIFS(METALFISA!$E:$E,METALFISA!$A:$A,'Faltantes Fevereiro- Metalfisa'!T$3,METALFISA!$B:$B,'Faltantes Fevereiro- Metalfisa'!$A150)</f>
        <v>0</v>
      </c>
      <c r="U150" s="31">
        <f>SUMIFS(METALFISA!$E:$E,METALFISA!$A:$A,'Faltantes Fevereiro- Metalfisa'!U$3,METALFISA!$B:$B,'Faltantes Fevereiro- Metalfisa'!$A150)</f>
        <v>0</v>
      </c>
      <c r="V150" s="31">
        <f>SUMIFS(METALFISA!$E:$E,METALFISA!$A:$A,'Faltantes Fevereiro- Metalfisa'!V$3,METALFISA!$B:$B,'Faltantes Fevereiro- Metalfisa'!$A150)</f>
        <v>0</v>
      </c>
      <c r="W150" s="31">
        <f>SUMIFS(METALFISA!$E:$E,METALFISA!$A:$A,'Faltantes Fevereiro- Metalfisa'!W$3,METALFISA!$B:$B,'Faltantes Fevereiro- Metalfisa'!$A150)</f>
        <v>0</v>
      </c>
      <c r="X150" s="31">
        <f>SUMIFS(METALFISA!$E:$E,METALFISA!$A:$A,'Faltantes Fevereiro- Metalfisa'!X$3,METALFISA!$B:$B,'Faltantes Fevereiro- Metalfisa'!$A150)</f>
        <v>0</v>
      </c>
      <c r="Y150" s="31">
        <f>SUMIFS(METALFISA!$E:$E,METALFISA!$A:$A,'Faltantes Fevereiro- Metalfisa'!Y$3,METALFISA!$B:$B,'Faltantes Fevereiro- Metalfisa'!$A150)</f>
        <v>0</v>
      </c>
      <c r="Z150" s="31">
        <f>SUMIFS(METALFISA!$E:$E,METALFISA!$A:$A,'Faltantes Fevereiro- Metalfisa'!Z$3,METALFISA!$B:$B,'Faltantes Fevereiro- Metalfisa'!$A150)</f>
        <v>0</v>
      </c>
      <c r="AA150" s="31">
        <f>SUMIFS(METALFISA!$E:$E,METALFISA!$A:$A,'Faltantes Fevereiro- Metalfisa'!AA$3,METALFISA!$B:$B,'Faltantes Fevereiro- Metalfisa'!$A150)</f>
        <v>0</v>
      </c>
      <c r="AB150" s="31">
        <f>SUMIFS(METALFISA!$E:$E,METALFISA!$A:$A,'Faltantes Fevereiro- Metalfisa'!AB$3,METALFISA!$B:$B,'Faltantes Fevereiro- Metalfisa'!$A150)</f>
        <v>0</v>
      </c>
      <c r="AC150" s="31">
        <f>SUMIFS(METALFISA!$E:$E,METALFISA!$A:$A,'Faltantes Fevereiro- Metalfisa'!AC$3,METALFISA!$B:$B,'Faltantes Fevereiro- Metalfisa'!$A150)</f>
        <v>0</v>
      </c>
      <c r="AD150" s="31">
        <f>SUMIFS(METALFISA!$E:$E,METALFISA!$A:$A,'Faltantes Fevereiro- Metalfisa'!AD$3,METALFISA!$B:$B,'Faltantes Fevereiro- Metalfisa'!$A150)</f>
        <v>0</v>
      </c>
      <c r="AE150" s="31">
        <f>SUMIFS(METALFISA!$E:$E,METALFISA!$A:$A,'Faltantes Fevereiro- Metalfisa'!AE$3,METALFISA!$B:$B,'Faltantes Fevereiro- Metalfisa'!$A150)</f>
        <v>0</v>
      </c>
      <c r="AF150" s="31">
        <f>SUMIFS(METALFISA!$E:$E,METALFISA!$A:$A,'Faltantes Fevereiro- Metalfisa'!AF$3,METALFISA!$B:$B,'Faltantes Fevereiro- Metalfisa'!$A150)</f>
        <v>0</v>
      </c>
      <c r="AG150" s="31">
        <f>SUMIFS(METALFISA!$E:$E,METALFISA!$A:$A,'Faltantes Fevereiro- Metalfisa'!AG$3,METALFISA!$B:$B,'Faltantes Fevereiro- Metalfisa'!$A150)</f>
        <v>0</v>
      </c>
      <c r="AH150" s="31">
        <f>SUMIFS(METALFISA!$E:$E,METALFISA!$A:$A,'Faltantes Fevereiro- Metalfisa'!AH$3,METALFISA!$B:$B,'Faltantes Fevereiro- Metalfisa'!$A150)</f>
        <v>0</v>
      </c>
      <c r="AI150" s="31">
        <f>SUMIFS(METALFISA!$E:$E,METALFISA!$A:$A,'Faltantes Fevereiro- Metalfisa'!AI$3,METALFISA!$B:$B,'Faltantes Fevereiro- Metalfisa'!$A150)</f>
        <v>0</v>
      </c>
      <c r="AJ150" s="31">
        <f>SUMIFS(METALFISA!$E:$E,METALFISA!$A:$A,'Faltantes Fevereiro- Metalfisa'!AJ$3,METALFISA!$B:$B,'Faltantes Fevereiro- Metalfisa'!$A150)</f>
        <v>0</v>
      </c>
      <c r="AK150" s="31">
        <f>SUMIFS(METALFISA!$E:$E,METALFISA!$A:$A,'Faltantes Fevereiro- Metalfisa'!AK$3,METALFISA!$B:$B,'Faltantes Fevereiro- Metalfisa'!$A150)</f>
        <v>0</v>
      </c>
      <c r="AL150" s="31">
        <f>SUMIFS(METALFISA!$E:$E,METALFISA!$A:$A,'Faltantes Fevereiro- Metalfisa'!AL$3,METALFISA!$B:$B,'Faltantes Fevereiro- Metalfisa'!$A150)</f>
        <v>0</v>
      </c>
      <c r="AM150" s="31">
        <f>SUMIFS(METALFISA!$E:$E,METALFISA!$A:$A,'Faltantes Fevereiro- Metalfisa'!AM$3,METALFISA!$B:$B,'Faltantes Fevereiro- Metalfisa'!$A150)</f>
        <v>9</v>
      </c>
      <c r="AN150" s="31">
        <f>SUMIFS(METALFISA!$E:$E,METALFISA!$A:$A,'Faltantes Fevereiro- Metalfisa'!AN$3,METALFISA!$B:$B,'Faltantes Fevereiro- Metalfisa'!$A150)</f>
        <v>0</v>
      </c>
      <c r="AO150" s="31">
        <f>SUMIFS(METALFISA!$E:$E,METALFISA!$A:$A,'Faltantes Fevereiro- Metalfisa'!AO$3,METALFISA!$B:$B,'Faltantes Fevereiro- Metalfisa'!$A150)</f>
        <v>0</v>
      </c>
      <c r="AP150" s="31">
        <f>SUMIFS(METALFISA!$E:$E,METALFISA!$A:$A,'Faltantes Fevereiro- Metalfisa'!AP$3,METALFISA!$B:$B,'Faltantes Fevereiro- Metalfisa'!$A150)</f>
        <v>0</v>
      </c>
      <c r="AQ150" s="31"/>
      <c r="AR150" s="31">
        <f>SUMIFS(METALFISA!$E:$E,METALFISA!$A:$A,'Faltantes Fevereiro- Metalfisa'!AR$3,METALFISA!$B:$B,'Faltantes Fevereiro- Metalfisa'!$A150)</f>
        <v>0</v>
      </c>
      <c r="AS150" s="35">
        <f>SUMIFS(METALFISA!$E:$E,METALFISA!$A:$A,'Faltantes Fevereiro- Metalfisa'!AS$3,METALFISA!$B:$B,'Faltantes Fevereiro- Metalfisa'!$A150)</f>
        <v>0</v>
      </c>
      <c r="AU150" s="18">
        <v>0</v>
      </c>
      <c r="AV150" s="18">
        <v>0</v>
      </c>
      <c r="AW150" s="18">
        <v>0</v>
      </c>
      <c r="AX150" s="18">
        <v>0</v>
      </c>
      <c r="AY150" s="41">
        <v>1</v>
      </c>
      <c r="AZ150" s="31">
        <v>1</v>
      </c>
      <c r="BA150" s="31">
        <v>0</v>
      </c>
      <c r="BB150" s="31">
        <v>0</v>
      </c>
      <c r="BC150" s="31">
        <v>0</v>
      </c>
      <c r="BD150" s="31">
        <v>0</v>
      </c>
      <c r="BE150" s="31">
        <v>0</v>
      </c>
      <c r="BF150" s="31">
        <v>0</v>
      </c>
      <c r="BG150" s="31">
        <v>0</v>
      </c>
      <c r="BH150" s="31">
        <v>0</v>
      </c>
      <c r="BI150" s="31">
        <v>0</v>
      </c>
      <c r="BJ150" s="31">
        <v>0</v>
      </c>
      <c r="BK150" s="31">
        <v>0</v>
      </c>
      <c r="BL150" s="31">
        <v>0</v>
      </c>
      <c r="BM150" s="31">
        <v>0</v>
      </c>
      <c r="BN150" s="31">
        <v>0</v>
      </c>
      <c r="BO150" s="31">
        <v>0</v>
      </c>
      <c r="BP150" s="31">
        <v>0</v>
      </c>
      <c r="BQ150" s="31">
        <v>0</v>
      </c>
      <c r="BR150" s="31">
        <v>0</v>
      </c>
      <c r="BS150" s="31">
        <v>0</v>
      </c>
      <c r="BT150" s="31">
        <v>0</v>
      </c>
      <c r="BU150" s="31">
        <v>0</v>
      </c>
      <c r="BV150" s="31">
        <v>0</v>
      </c>
      <c r="BW150" s="31">
        <v>0</v>
      </c>
      <c r="BX150" s="31">
        <v>0</v>
      </c>
      <c r="BY150" s="31">
        <v>0</v>
      </c>
      <c r="BZ150" s="31">
        <v>0</v>
      </c>
      <c r="CA150" s="31">
        <v>0</v>
      </c>
      <c r="CB150" s="31">
        <v>0</v>
      </c>
      <c r="CC150" s="31">
        <v>0</v>
      </c>
      <c r="CD150" s="31">
        <v>0</v>
      </c>
      <c r="CE150" s="31">
        <v>0</v>
      </c>
      <c r="CF150" s="31">
        <v>0</v>
      </c>
      <c r="CG150" s="31">
        <v>0</v>
      </c>
      <c r="CH150" s="31">
        <v>0</v>
      </c>
      <c r="CI150" s="31">
        <v>0</v>
      </c>
      <c r="CJ150" s="31">
        <v>0</v>
      </c>
      <c r="CK150" s="31">
        <v>0</v>
      </c>
      <c r="CL150" s="35">
        <v>0</v>
      </c>
    </row>
    <row r="151" spans="1:90" x14ac:dyDescent="0.15">
      <c r="A151" s="27" t="s">
        <v>793</v>
      </c>
      <c r="B151" s="28" t="s">
        <v>794</v>
      </c>
      <c r="C151" s="28">
        <v>9</v>
      </c>
      <c r="D151" s="28">
        <v>0</v>
      </c>
      <c r="E151" s="28">
        <v>0</v>
      </c>
      <c r="F151" s="28">
        <v>0</v>
      </c>
      <c r="G151" s="28">
        <v>29</v>
      </c>
      <c r="H151" s="28">
        <f>IFERROR(VLOOKUP(A151,[1]FALTANTES!$A:$AB,28,FALSE),"-")</f>
        <v>9</v>
      </c>
      <c r="I151" s="42">
        <f>IFERROR(VLOOKUP(A151,[1]FALTANTES!$A:$AC,29,FALSE),"-")</f>
        <v>0</v>
      </c>
      <c r="J151" s="29">
        <f>IFERROR(VLOOKUP(A151,[1]FALTANTES!$A:$AD,30,FALSE),"-")</f>
        <v>-38</v>
      </c>
      <c r="K151" s="30">
        <v>0</v>
      </c>
      <c r="L151" s="30">
        <f t="shared" si="2"/>
        <v>38</v>
      </c>
      <c r="M151" s="31">
        <f>SUMIFS(METALFISA!$E:$E,METALFISA!$A:$A,'Faltantes Fevereiro- Metalfisa'!M$3,METALFISA!$B:$B,'Faltantes Fevereiro- Metalfisa'!$A151)</f>
        <v>0</v>
      </c>
      <c r="N151" s="31">
        <f>SUMIFS(METALFISA!$E:$E,METALFISA!$A:$A,'Faltantes Fevereiro- Metalfisa'!N$3,METALFISA!$B:$B,'Faltantes Fevereiro- Metalfisa'!$A151)</f>
        <v>0</v>
      </c>
      <c r="O151" s="31">
        <f>SUMIFS(METALFISA!$E:$E,METALFISA!$A:$A,'Faltantes Fevereiro- Metalfisa'!O$3,METALFISA!$B:$B,'Faltantes Fevereiro- Metalfisa'!$A151)</f>
        <v>0</v>
      </c>
      <c r="P151" s="31">
        <f>SUMIFS(METALFISA!$E:$E,METALFISA!$A:$A,'Faltantes Fevereiro- Metalfisa'!P$3,METALFISA!$B:$B,'Faltantes Fevereiro- Metalfisa'!$A151)</f>
        <v>0</v>
      </c>
      <c r="Q151" s="31">
        <f>SUMIFS(METALFISA!$E:$E,METALFISA!$A:$A,'Faltantes Fevereiro- Metalfisa'!Q$3,METALFISA!$B:$B,'Faltantes Fevereiro- Metalfisa'!$A151)</f>
        <v>0</v>
      </c>
      <c r="R151" s="31">
        <f>SUMIFS(METALFISA!$E:$E,METALFISA!$A:$A,'Faltantes Fevereiro- Metalfisa'!R$3,METALFISA!$B:$B,'Faltantes Fevereiro- Metalfisa'!$A151)</f>
        <v>0</v>
      </c>
      <c r="S151" s="31">
        <f>SUMIFS(METALFISA!$E:$E,METALFISA!$A:$A,'Faltantes Fevereiro- Metalfisa'!S$3,METALFISA!$B:$B,'Faltantes Fevereiro- Metalfisa'!$A151)</f>
        <v>0</v>
      </c>
      <c r="T151" s="31">
        <f>SUMIFS(METALFISA!$E:$E,METALFISA!$A:$A,'Faltantes Fevereiro- Metalfisa'!T$3,METALFISA!$B:$B,'Faltantes Fevereiro- Metalfisa'!$A151)</f>
        <v>0</v>
      </c>
      <c r="U151" s="31">
        <f>SUMIFS(METALFISA!$E:$E,METALFISA!$A:$A,'Faltantes Fevereiro- Metalfisa'!U$3,METALFISA!$B:$B,'Faltantes Fevereiro- Metalfisa'!$A151)</f>
        <v>0</v>
      </c>
      <c r="V151" s="31">
        <f>SUMIFS(METALFISA!$E:$E,METALFISA!$A:$A,'Faltantes Fevereiro- Metalfisa'!V$3,METALFISA!$B:$B,'Faltantes Fevereiro- Metalfisa'!$A151)</f>
        <v>0</v>
      </c>
      <c r="W151" s="31">
        <f>SUMIFS(METALFISA!$E:$E,METALFISA!$A:$A,'Faltantes Fevereiro- Metalfisa'!W$3,METALFISA!$B:$B,'Faltantes Fevereiro- Metalfisa'!$A151)</f>
        <v>0</v>
      </c>
      <c r="X151" s="31">
        <f>SUMIFS(METALFISA!$E:$E,METALFISA!$A:$A,'Faltantes Fevereiro- Metalfisa'!X$3,METALFISA!$B:$B,'Faltantes Fevereiro- Metalfisa'!$A151)</f>
        <v>0</v>
      </c>
      <c r="Y151" s="31">
        <f>SUMIFS(METALFISA!$E:$E,METALFISA!$A:$A,'Faltantes Fevereiro- Metalfisa'!Y$3,METALFISA!$B:$B,'Faltantes Fevereiro- Metalfisa'!$A151)</f>
        <v>0</v>
      </c>
      <c r="Z151" s="31">
        <f>SUMIFS(METALFISA!$E:$E,METALFISA!$A:$A,'Faltantes Fevereiro- Metalfisa'!Z$3,METALFISA!$B:$B,'Faltantes Fevereiro- Metalfisa'!$A151)</f>
        <v>0</v>
      </c>
      <c r="AA151" s="31">
        <f>SUMIFS(METALFISA!$E:$E,METALFISA!$A:$A,'Faltantes Fevereiro- Metalfisa'!AA$3,METALFISA!$B:$B,'Faltantes Fevereiro- Metalfisa'!$A151)</f>
        <v>0</v>
      </c>
      <c r="AB151" s="31">
        <f>SUMIFS(METALFISA!$E:$E,METALFISA!$A:$A,'Faltantes Fevereiro- Metalfisa'!AB$3,METALFISA!$B:$B,'Faltantes Fevereiro- Metalfisa'!$A151)</f>
        <v>0</v>
      </c>
      <c r="AC151" s="31">
        <f>SUMIFS(METALFISA!$E:$E,METALFISA!$A:$A,'Faltantes Fevereiro- Metalfisa'!AC$3,METALFISA!$B:$B,'Faltantes Fevereiro- Metalfisa'!$A151)</f>
        <v>0</v>
      </c>
      <c r="AD151" s="31">
        <f>SUMIFS(METALFISA!$E:$E,METALFISA!$A:$A,'Faltantes Fevereiro- Metalfisa'!AD$3,METALFISA!$B:$B,'Faltantes Fevereiro- Metalfisa'!$A151)</f>
        <v>0</v>
      </c>
      <c r="AE151" s="31">
        <f>SUMIFS(METALFISA!$E:$E,METALFISA!$A:$A,'Faltantes Fevereiro- Metalfisa'!AE$3,METALFISA!$B:$B,'Faltantes Fevereiro- Metalfisa'!$A151)</f>
        <v>0</v>
      </c>
      <c r="AF151" s="31">
        <f>SUMIFS(METALFISA!$E:$E,METALFISA!$A:$A,'Faltantes Fevereiro- Metalfisa'!AF$3,METALFISA!$B:$B,'Faltantes Fevereiro- Metalfisa'!$A151)</f>
        <v>0</v>
      </c>
      <c r="AG151" s="31">
        <f>SUMIFS(METALFISA!$E:$E,METALFISA!$A:$A,'Faltantes Fevereiro- Metalfisa'!AG$3,METALFISA!$B:$B,'Faltantes Fevereiro- Metalfisa'!$A151)</f>
        <v>0</v>
      </c>
      <c r="AH151" s="31">
        <f>SUMIFS(METALFISA!$E:$E,METALFISA!$A:$A,'Faltantes Fevereiro- Metalfisa'!AH$3,METALFISA!$B:$B,'Faltantes Fevereiro- Metalfisa'!$A151)</f>
        <v>33</v>
      </c>
      <c r="AI151" s="31">
        <f>SUMIFS(METALFISA!$E:$E,METALFISA!$A:$A,'Faltantes Fevereiro- Metalfisa'!AI$3,METALFISA!$B:$B,'Faltantes Fevereiro- Metalfisa'!$A151)</f>
        <v>0</v>
      </c>
      <c r="AJ151" s="31">
        <f>SUMIFS(METALFISA!$E:$E,METALFISA!$A:$A,'Faltantes Fevereiro- Metalfisa'!AJ$3,METALFISA!$B:$B,'Faltantes Fevereiro- Metalfisa'!$A151)</f>
        <v>0</v>
      </c>
      <c r="AK151" s="31">
        <f>SUMIFS(METALFISA!$E:$E,METALFISA!$A:$A,'Faltantes Fevereiro- Metalfisa'!AK$3,METALFISA!$B:$B,'Faltantes Fevereiro- Metalfisa'!$A151)</f>
        <v>0</v>
      </c>
      <c r="AL151" s="31">
        <f>SUMIFS(METALFISA!$E:$E,METALFISA!$A:$A,'Faltantes Fevereiro- Metalfisa'!AL$3,METALFISA!$B:$B,'Faltantes Fevereiro- Metalfisa'!$A151)</f>
        <v>0</v>
      </c>
      <c r="AM151" s="31">
        <f>SUMIFS(METALFISA!$E:$E,METALFISA!$A:$A,'Faltantes Fevereiro- Metalfisa'!AM$3,METALFISA!$B:$B,'Faltantes Fevereiro- Metalfisa'!$A151)</f>
        <v>5</v>
      </c>
      <c r="AN151" s="31">
        <f>SUMIFS(METALFISA!$E:$E,METALFISA!$A:$A,'Faltantes Fevereiro- Metalfisa'!AN$3,METALFISA!$B:$B,'Faltantes Fevereiro- Metalfisa'!$A151)</f>
        <v>0</v>
      </c>
      <c r="AO151" s="31">
        <f>SUMIFS(METALFISA!$E:$E,METALFISA!$A:$A,'Faltantes Fevereiro- Metalfisa'!AO$3,METALFISA!$B:$B,'Faltantes Fevereiro- Metalfisa'!$A151)</f>
        <v>0</v>
      </c>
      <c r="AP151" s="31">
        <f>SUMIFS(METALFISA!$E:$E,METALFISA!$A:$A,'Faltantes Fevereiro- Metalfisa'!AP$3,METALFISA!$B:$B,'Faltantes Fevereiro- Metalfisa'!$A151)</f>
        <v>0</v>
      </c>
      <c r="AQ151" s="31"/>
      <c r="AR151" s="31">
        <f>SUMIFS(METALFISA!$E:$E,METALFISA!$A:$A,'Faltantes Fevereiro- Metalfisa'!AR$3,METALFISA!$B:$B,'Faltantes Fevereiro- Metalfisa'!$A151)</f>
        <v>0</v>
      </c>
      <c r="AS151" s="35">
        <f>SUMIFS(METALFISA!$E:$E,METALFISA!$A:$A,'Faltantes Fevereiro- Metalfisa'!AS$3,METALFISA!$B:$B,'Faltantes Fevereiro- Metalfisa'!$A151)</f>
        <v>0</v>
      </c>
      <c r="AU151" s="18">
        <v>0</v>
      </c>
      <c r="AV151" s="18">
        <v>0</v>
      </c>
      <c r="AW151" s="18">
        <v>0</v>
      </c>
      <c r="AX151" s="18">
        <v>0</v>
      </c>
      <c r="AY151" s="41">
        <v>1</v>
      </c>
      <c r="AZ151" s="31">
        <v>1</v>
      </c>
      <c r="BA151" s="31">
        <v>0</v>
      </c>
      <c r="BB151" s="31">
        <v>0</v>
      </c>
      <c r="BC151" s="31">
        <v>0</v>
      </c>
      <c r="BD151" s="31">
        <v>0</v>
      </c>
      <c r="BE151" s="31">
        <v>0</v>
      </c>
      <c r="BF151" s="31">
        <v>0</v>
      </c>
      <c r="BG151" s="31">
        <v>0</v>
      </c>
      <c r="BH151" s="31">
        <v>0</v>
      </c>
      <c r="BI151" s="31">
        <v>0</v>
      </c>
      <c r="BJ151" s="31">
        <v>0</v>
      </c>
      <c r="BK151" s="31">
        <v>0</v>
      </c>
      <c r="BL151" s="31">
        <v>0</v>
      </c>
      <c r="BM151" s="31">
        <v>0</v>
      </c>
      <c r="BN151" s="31">
        <v>0</v>
      </c>
      <c r="BO151" s="31">
        <v>0</v>
      </c>
      <c r="BP151" s="31">
        <v>0</v>
      </c>
      <c r="BQ151" s="31">
        <v>0</v>
      </c>
      <c r="BR151" s="31">
        <v>0</v>
      </c>
      <c r="BS151" s="31">
        <v>0</v>
      </c>
      <c r="BT151" s="31">
        <v>0</v>
      </c>
      <c r="BU151" s="31">
        <v>0</v>
      </c>
      <c r="BV151" s="31">
        <v>0</v>
      </c>
      <c r="BW151" s="31">
        <v>0</v>
      </c>
      <c r="BX151" s="31">
        <v>0</v>
      </c>
      <c r="BY151" s="31">
        <v>0</v>
      </c>
      <c r="BZ151" s="31">
        <v>0</v>
      </c>
      <c r="CA151" s="31">
        <v>0</v>
      </c>
      <c r="CB151" s="31">
        <v>0</v>
      </c>
      <c r="CC151" s="31">
        <v>0</v>
      </c>
      <c r="CD151" s="31">
        <v>0</v>
      </c>
      <c r="CE151" s="31">
        <v>0</v>
      </c>
      <c r="CF151" s="31">
        <v>0</v>
      </c>
      <c r="CG151" s="31">
        <v>0</v>
      </c>
      <c r="CH151" s="31">
        <v>0</v>
      </c>
      <c r="CI151" s="31">
        <v>0</v>
      </c>
      <c r="CJ151" s="31">
        <v>0</v>
      </c>
      <c r="CK151" s="31">
        <v>0</v>
      </c>
      <c r="CL151" s="35">
        <v>0</v>
      </c>
    </row>
    <row r="152" spans="1:90" x14ac:dyDescent="0.15">
      <c r="A152" s="27" t="s">
        <v>133</v>
      </c>
      <c r="B152" s="28" t="s">
        <v>499</v>
      </c>
      <c r="C152" s="28">
        <v>0</v>
      </c>
      <c r="D152" s="28">
        <v>0</v>
      </c>
      <c r="E152" s="28">
        <v>0</v>
      </c>
      <c r="F152" s="28">
        <v>0</v>
      </c>
      <c r="G152" s="28">
        <v>8</v>
      </c>
      <c r="H152" s="28">
        <f>IFERROR(VLOOKUP(A152,[1]FALTANTES!$A:$AB,28,FALSE),"-")</f>
        <v>0</v>
      </c>
      <c r="I152" s="42">
        <f>IFERROR(VLOOKUP(A152,[1]FALTANTES!$A:$AC,29,FALSE),"-")</f>
        <v>1</v>
      </c>
      <c r="J152" s="29">
        <f>IFERROR(VLOOKUP(A152,[1]FALTANTES!$A:$AD,30,FALSE),"-")</f>
        <v>-7</v>
      </c>
      <c r="K152" s="30">
        <v>0</v>
      </c>
      <c r="L152" s="30">
        <f t="shared" si="2"/>
        <v>8</v>
      </c>
      <c r="M152" s="31">
        <f>SUMIFS(METALFISA!$E:$E,METALFISA!$A:$A,'Faltantes Fevereiro- Metalfisa'!M$3,METALFISA!$B:$B,'Faltantes Fevereiro- Metalfisa'!$A152)</f>
        <v>0</v>
      </c>
      <c r="N152" s="31">
        <f>SUMIFS(METALFISA!$E:$E,METALFISA!$A:$A,'Faltantes Fevereiro- Metalfisa'!N$3,METALFISA!$B:$B,'Faltantes Fevereiro- Metalfisa'!$A152)</f>
        <v>0</v>
      </c>
      <c r="O152" s="31">
        <f>SUMIFS(METALFISA!$E:$E,METALFISA!$A:$A,'Faltantes Fevereiro- Metalfisa'!O$3,METALFISA!$B:$B,'Faltantes Fevereiro- Metalfisa'!$A152)</f>
        <v>0</v>
      </c>
      <c r="P152" s="31">
        <f>SUMIFS(METALFISA!$E:$E,METALFISA!$A:$A,'Faltantes Fevereiro- Metalfisa'!P$3,METALFISA!$B:$B,'Faltantes Fevereiro- Metalfisa'!$A152)</f>
        <v>0</v>
      </c>
      <c r="Q152" s="31">
        <f>SUMIFS(METALFISA!$E:$E,METALFISA!$A:$A,'Faltantes Fevereiro- Metalfisa'!Q$3,METALFISA!$B:$B,'Faltantes Fevereiro- Metalfisa'!$A152)</f>
        <v>0</v>
      </c>
      <c r="R152" s="31">
        <f>SUMIFS(METALFISA!$E:$E,METALFISA!$A:$A,'Faltantes Fevereiro- Metalfisa'!R$3,METALFISA!$B:$B,'Faltantes Fevereiro- Metalfisa'!$A152)</f>
        <v>0</v>
      </c>
      <c r="S152" s="31">
        <f>SUMIFS(METALFISA!$E:$E,METALFISA!$A:$A,'Faltantes Fevereiro- Metalfisa'!S$3,METALFISA!$B:$B,'Faltantes Fevereiro- Metalfisa'!$A152)</f>
        <v>0</v>
      </c>
      <c r="T152" s="31">
        <f>SUMIFS(METALFISA!$E:$E,METALFISA!$A:$A,'Faltantes Fevereiro- Metalfisa'!T$3,METALFISA!$B:$B,'Faltantes Fevereiro- Metalfisa'!$A152)</f>
        <v>0</v>
      </c>
      <c r="U152" s="31">
        <f>SUMIFS(METALFISA!$E:$E,METALFISA!$A:$A,'Faltantes Fevereiro- Metalfisa'!U$3,METALFISA!$B:$B,'Faltantes Fevereiro- Metalfisa'!$A152)</f>
        <v>0</v>
      </c>
      <c r="V152" s="31">
        <f>SUMIFS(METALFISA!$E:$E,METALFISA!$A:$A,'Faltantes Fevereiro- Metalfisa'!V$3,METALFISA!$B:$B,'Faltantes Fevereiro- Metalfisa'!$A152)</f>
        <v>0</v>
      </c>
      <c r="W152" s="31">
        <f>SUMIFS(METALFISA!$E:$E,METALFISA!$A:$A,'Faltantes Fevereiro- Metalfisa'!W$3,METALFISA!$B:$B,'Faltantes Fevereiro- Metalfisa'!$A152)</f>
        <v>0</v>
      </c>
      <c r="X152" s="31">
        <f>SUMIFS(METALFISA!$E:$E,METALFISA!$A:$A,'Faltantes Fevereiro- Metalfisa'!X$3,METALFISA!$B:$B,'Faltantes Fevereiro- Metalfisa'!$A152)</f>
        <v>0</v>
      </c>
      <c r="Y152" s="31">
        <f>SUMIFS(METALFISA!$E:$E,METALFISA!$A:$A,'Faltantes Fevereiro- Metalfisa'!Y$3,METALFISA!$B:$B,'Faltantes Fevereiro- Metalfisa'!$A152)</f>
        <v>0</v>
      </c>
      <c r="Z152" s="31">
        <f>SUMIFS(METALFISA!$E:$E,METALFISA!$A:$A,'Faltantes Fevereiro- Metalfisa'!Z$3,METALFISA!$B:$B,'Faltantes Fevereiro- Metalfisa'!$A152)</f>
        <v>0</v>
      </c>
      <c r="AA152" s="31">
        <f>SUMIFS(METALFISA!$E:$E,METALFISA!$A:$A,'Faltantes Fevereiro- Metalfisa'!AA$3,METALFISA!$B:$B,'Faltantes Fevereiro- Metalfisa'!$A152)</f>
        <v>0</v>
      </c>
      <c r="AB152" s="31">
        <f>SUMIFS(METALFISA!$E:$E,METALFISA!$A:$A,'Faltantes Fevereiro- Metalfisa'!AB$3,METALFISA!$B:$B,'Faltantes Fevereiro- Metalfisa'!$A152)</f>
        <v>0</v>
      </c>
      <c r="AC152" s="31">
        <f>SUMIFS(METALFISA!$E:$E,METALFISA!$A:$A,'Faltantes Fevereiro- Metalfisa'!AC$3,METALFISA!$B:$B,'Faltantes Fevereiro- Metalfisa'!$A152)</f>
        <v>0</v>
      </c>
      <c r="AD152" s="31">
        <f>SUMIFS(METALFISA!$E:$E,METALFISA!$A:$A,'Faltantes Fevereiro- Metalfisa'!AD$3,METALFISA!$B:$B,'Faltantes Fevereiro- Metalfisa'!$A152)</f>
        <v>1</v>
      </c>
      <c r="AE152" s="31">
        <f>SUMIFS(METALFISA!$E:$E,METALFISA!$A:$A,'Faltantes Fevereiro- Metalfisa'!AE$3,METALFISA!$B:$B,'Faltantes Fevereiro- Metalfisa'!$A152)</f>
        <v>0</v>
      </c>
      <c r="AF152" s="31">
        <f>SUMIFS(METALFISA!$E:$E,METALFISA!$A:$A,'Faltantes Fevereiro- Metalfisa'!AF$3,METALFISA!$B:$B,'Faltantes Fevereiro- Metalfisa'!$A152)</f>
        <v>0</v>
      </c>
      <c r="AG152" s="31">
        <f>SUMIFS(METALFISA!$E:$E,METALFISA!$A:$A,'Faltantes Fevereiro- Metalfisa'!AG$3,METALFISA!$B:$B,'Faltantes Fevereiro- Metalfisa'!$A152)</f>
        <v>0</v>
      </c>
      <c r="AH152" s="31">
        <f>SUMIFS(METALFISA!$E:$E,METALFISA!$A:$A,'Faltantes Fevereiro- Metalfisa'!AH$3,METALFISA!$B:$B,'Faltantes Fevereiro- Metalfisa'!$A152)</f>
        <v>7</v>
      </c>
      <c r="AI152" s="31">
        <f>SUMIFS(METALFISA!$E:$E,METALFISA!$A:$A,'Faltantes Fevereiro- Metalfisa'!AI$3,METALFISA!$B:$B,'Faltantes Fevereiro- Metalfisa'!$A152)</f>
        <v>0</v>
      </c>
      <c r="AJ152" s="31">
        <f>SUMIFS(METALFISA!$E:$E,METALFISA!$A:$A,'Faltantes Fevereiro- Metalfisa'!AJ$3,METALFISA!$B:$B,'Faltantes Fevereiro- Metalfisa'!$A152)</f>
        <v>0</v>
      </c>
      <c r="AK152" s="31">
        <f>SUMIFS(METALFISA!$E:$E,METALFISA!$A:$A,'Faltantes Fevereiro- Metalfisa'!AK$3,METALFISA!$B:$B,'Faltantes Fevereiro- Metalfisa'!$A152)</f>
        <v>0</v>
      </c>
      <c r="AL152" s="31">
        <f>SUMIFS(METALFISA!$E:$E,METALFISA!$A:$A,'Faltantes Fevereiro- Metalfisa'!AL$3,METALFISA!$B:$B,'Faltantes Fevereiro- Metalfisa'!$A152)</f>
        <v>0</v>
      </c>
      <c r="AM152" s="31">
        <f>SUMIFS(METALFISA!$E:$E,METALFISA!$A:$A,'Faltantes Fevereiro- Metalfisa'!AM$3,METALFISA!$B:$B,'Faltantes Fevereiro- Metalfisa'!$A152)</f>
        <v>0</v>
      </c>
      <c r="AN152" s="31">
        <f>SUMIFS(METALFISA!$E:$E,METALFISA!$A:$A,'Faltantes Fevereiro- Metalfisa'!AN$3,METALFISA!$B:$B,'Faltantes Fevereiro- Metalfisa'!$A152)</f>
        <v>0</v>
      </c>
      <c r="AO152" s="31">
        <f>SUMIFS(METALFISA!$E:$E,METALFISA!$A:$A,'Faltantes Fevereiro- Metalfisa'!AO$3,METALFISA!$B:$B,'Faltantes Fevereiro- Metalfisa'!$A152)</f>
        <v>0</v>
      </c>
      <c r="AP152" s="31">
        <f>SUMIFS(METALFISA!$E:$E,METALFISA!$A:$A,'Faltantes Fevereiro- Metalfisa'!AP$3,METALFISA!$B:$B,'Faltantes Fevereiro- Metalfisa'!$A152)</f>
        <v>0</v>
      </c>
      <c r="AQ152" s="31"/>
      <c r="AR152" s="31">
        <f>SUMIFS(METALFISA!$E:$E,METALFISA!$A:$A,'Faltantes Fevereiro- Metalfisa'!AR$3,METALFISA!$B:$B,'Faltantes Fevereiro- Metalfisa'!$A152)</f>
        <v>0</v>
      </c>
      <c r="AS152" s="35">
        <f>SUMIFS(METALFISA!$E:$E,METALFISA!$A:$A,'Faltantes Fevereiro- Metalfisa'!AS$3,METALFISA!$B:$B,'Faltantes Fevereiro- Metalfisa'!$A152)</f>
        <v>0</v>
      </c>
      <c r="AU152" s="18">
        <v>0</v>
      </c>
      <c r="AV152" s="18">
        <v>0</v>
      </c>
      <c r="AW152" s="18">
        <v>0</v>
      </c>
      <c r="AX152" s="18">
        <v>0</v>
      </c>
      <c r="AY152" s="41">
        <v>0</v>
      </c>
      <c r="AZ152" s="31">
        <v>1</v>
      </c>
      <c r="BA152" s="31">
        <v>0</v>
      </c>
      <c r="BB152" s="31">
        <v>0</v>
      </c>
      <c r="BC152" s="31">
        <v>0</v>
      </c>
      <c r="BD152" s="31">
        <v>0</v>
      </c>
      <c r="BE152" s="31">
        <v>0</v>
      </c>
      <c r="BF152" s="31">
        <v>0</v>
      </c>
      <c r="BG152" s="31">
        <v>0</v>
      </c>
      <c r="BH152" s="31">
        <v>0</v>
      </c>
      <c r="BI152" s="31">
        <v>0</v>
      </c>
      <c r="BJ152" s="31">
        <v>0</v>
      </c>
      <c r="BK152" s="31">
        <v>0</v>
      </c>
      <c r="BL152" s="31">
        <v>0</v>
      </c>
      <c r="BM152" s="31">
        <v>0</v>
      </c>
      <c r="BN152" s="31">
        <v>0</v>
      </c>
      <c r="BO152" s="31">
        <v>0</v>
      </c>
      <c r="BP152" s="31">
        <v>0</v>
      </c>
      <c r="BQ152" s="31">
        <v>0</v>
      </c>
      <c r="BR152" s="31">
        <v>0</v>
      </c>
      <c r="BS152" s="31">
        <v>0</v>
      </c>
      <c r="BT152" s="31">
        <v>0</v>
      </c>
      <c r="BU152" s="31">
        <v>0</v>
      </c>
      <c r="BV152" s="31">
        <v>0</v>
      </c>
      <c r="BW152" s="31">
        <v>0</v>
      </c>
      <c r="BX152" s="31">
        <v>0</v>
      </c>
      <c r="BY152" s="31">
        <v>0</v>
      </c>
      <c r="BZ152" s="31">
        <v>0</v>
      </c>
      <c r="CA152" s="31">
        <v>0</v>
      </c>
      <c r="CB152" s="31">
        <v>0</v>
      </c>
      <c r="CC152" s="31">
        <v>0</v>
      </c>
      <c r="CD152" s="31">
        <v>0</v>
      </c>
      <c r="CE152" s="31">
        <v>0</v>
      </c>
      <c r="CF152" s="31">
        <v>0</v>
      </c>
      <c r="CG152" s="31">
        <v>0</v>
      </c>
      <c r="CH152" s="31">
        <v>0</v>
      </c>
      <c r="CI152" s="31">
        <v>0</v>
      </c>
      <c r="CJ152" s="31">
        <v>0</v>
      </c>
      <c r="CK152" s="31">
        <v>0</v>
      </c>
      <c r="CL152" s="35">
        <v>0</v>
      </c>
    </row>
    <row r="153" spans="1:90" x14ac:dyDescent="0.15">
      <c r="A153" s="27" t="s">
        <v>973</v>
      </c>
      <c r="B153" s="28" t="s">
        <v>974</v>
      </c>
      <c r="C153" s="28">
        <v>0</v>
      </c>
      <c r="D153" s="28">
        <v>0</v>
      </c>
      <c r="E153" s="28">
        <v>0</v>
      </c>
      <c r="F153" s="28">
        <v>0</v>
      </c>
      <c r="G153" s="28">
        <v>10</v>
      </c>
      <c r="H153" s="28">
        <f>IFERROR(VLOOKUP(A153,[1]FALTANTES!$A:$AB,28,FALSE),"-")</f>
        <v>0</v>
      </c>
      <c r="I153" s="42">
        <f>IFERROR(VLOOKUP(A153,[1]FALTANTES!$A:$AC,29,FALSE),"-")</f>
        <v>2</v>
      </c>
      <c r="J153" s="29">
        <f>IFERROR(VLOOKUP(A153,[1]FALTANTES!$A:$AD,30,FALSE),"-")</f>
        <v>-8</v>
      </c>
      <c r="K153" s="30">
        <v>0</v>
      </c>
      <c r="L153" s="30">
        <f t="shared" si="2"/>
        <v>3</v>
      </c>
      <c r="M153" s="31">
        <f>SUMIFS(METALFISA!$E:$E,METALFISA!$A:$A,'Faltantes Fevereiro- Metalfisa'!M$3,METALFISA!$B:$B,'Faltantes Fevereiro- Metalfisa'!$A153)</f>
        <v>0</v>
      </c>
      <c r="N153" s="31">
        <f>SUMIFS(METALFISA!$E:$E,METALFISA!$A:$A,'Faltantes Fevereiro- Metalfisa'!N$3,METALFISA!$B:$B,'Faltantes Fevereiro- Metalfisa'!$A153)</f>
        <v>0</v>
      </c>
      <c r="O153" s="31">
        <f>SUMIFS(METALFISA!$E:$E,METALFISA!$A:$A,'Faltantes Fevereiro- Metalfisa'!O$3,METALFISA!$B:$B,'Faltantes Fevereiro- Metalfisa'!$A153)</f>
        <v>0</v>
      </c>
      <c r="P153" s="31">
        <f>SUMIFS(METALFISA!$E:$E,METALFISA!$A:$A,'Faltantes Fevereiro- Metalfisa'!P$3,METALFISA!$B:$B,'Faltantes Fevereiro- Metalfisa'!$A153)</f>
        <v>0</v>
      </c>
      <c r="Q153" s="31">
        <f>SUMIFS(METALFISA!$E:$E,METALFISA!$A:$A,'Faltantes Fevereiro- Metalfisa'!Q$3,METALFISA!$B:$B,'Faltantes Fevereiro- Metalfisa'!$A153)</f>
        <v>0</v>
      </c>
      <c r="R153" s="31">
        <f>SUMIFS(METALFISA!$E:$E,METALFISA!$A:$A,'Faltantes Fevereiro- Metalfisa'!R$3,METALFISA!$B:$B,'Faltantes Fevereiro- Metalfisa'!$A153)</f>
        <v>0</v>
      </c>
      <c r="S153" s="31">
        <f>SUMIFS(METALFISA!$E:$E,METALFISA!$A:$A,'Faltantes Fevereiro- Metalfisa'!S$3,METALFISA!$B:$B,'Faltantes Fevereiro- Metalfisa'!$A153)</f>
        <v>0</v>
      </c>
      <c r="T153" s="31">
        <f>SUMIFS(METALFISA!$E:$E,METALFISA!$A:$A,'Faltantes Fevereiro- Metalfisa'!T$3,METALFISA!$B:$B,'Faltantes Fevereiro- Metalfisa'!$A153)</f>
        <v>0</v>
      </c>
      <c r="U153" s="31">
        <f>SUMIFS(METALFISA!$E:$E,METALFISA!$A:$A,'Faltantes Fevereiro- Metalfisa'!U$3,METALFISA!$B:$B,'Faltantes Fevereiro- Metalfisa'!$A153)</f>
        <v>0</v>
      </c>
      <c r="V153" s="31">
        <f>SUMIFS(METALFISA!$E:$E,METALFISA!$A:$A,'Faltantes Fevereiro- Metalfisa'!V$3,METALFISA!$B:$B,'Faltantes Fevereiro- Metalfisa'!$A153)</f>
        <v>0</v>
      </c>
      <c r="W153" s="31">
        <f>SUMIFS(METALFISA!$E:$E,METALFISA!$A:$A,'Faltantes Fevereiro- Metalfisa'!W$3,METALFISA!$B:$B,'Faltantes Fevereiro- Metalfisa'!$A153)</f>
        <v>0</v>
      </c>
      <c r="X153" s="31">
        <f>SUMIFS(METALFISA!$E:$E,METALFISA!$A:$A,'Faltantes Fevereiro- Metalfisa'!X$3,METALFISA!$B:$B,'Faltantes Fevereiro- Metalfisa'!$A153)</f>
        <v>0</v>
      </c>
      <c r="Y153" s="31">
        <f>SUMIFS(METALFISA!$E:$E,METALFISA!$A:$A,'Faltantes Fevereiro- Metalfisa'!Y$3,METALFISA!$B:$B,'Faltantes Fevereiro- Metalfisa'!$A153)</f>
        <v>0</v>
      </c>
      <c r="Z153" s="31">
        <f>SUMIFS(METALFISA!$E:$E,METALFISA!$A:$A,'Faltantes Fevereiro- Metalfisa'!Z$3,METALFISA!$B:$B,'Faltantes Fevereiro- Metalfisa'!$A153)</f>
        <v>0</v>
      </c>
      <c r="AA153" s="31">
        <f>SUMIFS(METALFISA!$E:$E,METALFISA!$A:$A,'Faltantes Fevereiro- Metalfisa'!AA$3,METALFISA!$B:$B,'Faltantes Fevereiro- Metalfisa'!$A153)</f>
        <v>0</v>
      </c>
      <c r="AB153" s="31">
        <f>SUMIFS(METALFISA!$E:$E,METALFISA!$A:$A,'Faltantes Fevereiro- Metalfisa'!AB$3,METALFISA!$B:$B,'Faltantes Fevereiro- Metalfisa'!$A153)</f>
        <v>0</v>
      </c>
      <c r="AC153" s="31">
        <f>SUMIFS(METALFISA!$E:$E,METALFISA!$A:$A,'Faltantes Fevereiro- Metalfisa'!AC$3,METALFISA!$B:$B,'Faltantes Fevereiro- Metalfisa'!$A153)</f>
        <v>0</v>
      </c>
      <c r="AD153" s="31">
        <f>SUMIFS(METALFISA!$E:$E,METALFISA!$A:$A,'Faltantes Fevereiro- Metalfisa'!AD$3,METALFISA!$B:$B,'Faltantes Fevereiro- Metalfisa'!$A153)</f>
        <v>0</v>
      </c>
      <c r="AE153" s="31">
        <f>SUMIFS(METALFISA!$E:$E,METALFISA!$A:$A,'Faltantes Fevereiro- Metalfisa'!AE$3,METALFISA!$B:$B,'Faltantes Fevereiro- Metalfisa'!$A153)</f>
        <v>0</v>
      </c>
      <c r="AF153" s="31">
        <f>SUMIFS(METALFISA!$E:$E,METALFISA!$A:$A,'Faltantes Fevereiro- Metalfisa'!AF$3,METALFISA!$B:$B,'Faltantes Fevereiro- Metalfisa'!$A153)</f>
        <v>0</v>
      </c>
      <c r="AG153" s="31">
        <f>SUMIFS(METALFISA!$E:$E,METALFISA!$A:$A,'Faltantes Fevereiro- Metalfisa'!AG$3,METALFISA!$B:$B,'Faltantes Fevereiro- Metalfisa'!$A153)</f>
        <v>0</v>
      </c>
      <c r="AH153" s="31">
        <f>SUMIFS(METALFISA!$E:$E,METALFISA!$A:$A,'Faltantes Fevereiro- Metalfisa'!AH$3,METALFISA!$B:$B,'Faltantes Fevereiro- Metalfisa'!$A153)</f>
        <v>3</v>
      </c>
      <c r="AI153" s="31">
        <f>SUMIFS(METALFISA!$E:$E,METALFISA!$A:$A,'Faltantes Fevereiro- Metalfisa'!AI$3,METALFISA!$B:$B,'Faltantes Fevereiro- Metalfisa'!$A153)</f>
        <v>0</v>
      </c>
      <c r="AJ153" s="31">
        <f>SUMIFS(METALFISA!$E:$E,METALFISA!$A:$A,'Faltantes Fevereiro- Metalfisa'!AJ$3,METALFISA!$B:$B,'Faltantes Fevereiro- Metalfisa'!$A153)</f>
        <v>0</v>
      </c>
      <c r="AK153" s="31">
        <f>SUMIFS(METALFISA!$E:$E,METALFISA!$A:$A,'Faltantes Fevereiro- Metalfisa'!AK$3,METALFISA!$B:$B,'Faltantes Fevereiro- Metalfisa'!$A153)</f>
        <v>0</v>
      </c>
      <c r="AL153" s="31">
        <f>SUMIFS(METALFISA!$E:$E,METALFISA!$A:$A,'Faltantes Fevereiro- Metalfisa'!AL$3,METALFISA!$B:$B,'Faltantes Fevereiro- Metalfisa'!$A153)</f>
        <v>0</v>
      </c>
      <c r="AM153" s="31">
        <f>SUMIFS(METALFISA!$E:$E,METALFISA!$A:$A,'Faltantes Fevereiro- Metalfisa'!AM$3,METALFISA!$B:$B,'Faltantes Fevereiro- Metalfisa'!$A153)</f>
        <v>0</v>
      </c>
      <c r="AN153" s="31">
        <f>SUMIFS(METALFISA!$E:$E,METALFISA!$A:$A,'Faltantes Fevereiro- Metalfisa'!AN$3,METALFISA!$B:$B,'Faltantes Fevereiro- Metalfisa'!$A153)</f>
        <v>0</v>
      </c>
      <c r="AO153" s="31">
        <f>SUMIFS(METALFISA!$E:$E,METALFISA!$A:$A,'Faltantes Fevereiro- Metalfisa'!AO$3,METALFISA!$B:$B,'Faltantes Fevereiro- Metalfisa'!$A153)</f>
        <v>0</v>
      </c>
      <c r="AP153" s="31">
        <f>SUMIFS(METALFISA!$E:$E,METALFISA!$A:$A,'Faltantes Fevereiro- Metalfisa'!AP$3,METALFISA!$B:$B,'Faltantes Fevereiro- Metalfisa'!$A153)</f>
        <v>0</v>
      </c>
      <c r="AQ153" s="31"/>
      <c r="AR153" s="31">
        <f>SUMIFS(METALFISA!$E:$E,METALFISA!$A:$A,'Faltantes Fevereiro- Metalfisa'!AR$3,METALFISA!$B:$B,'Faltantes Fevereiro- Metalfisa'!$A153)</f>
        <v>0</v>
      </c>
      <c r="AS153" s="35">
        <f>SUMIFS(METALFISA!$E:$E,METALFISA!$A:$A,'Faltantes Fevereiro- Metalfisa'!AS$3,METALFISA!$B:$B,'Faltantes Fevereiro- Metalfisa'!$A153)</f>
        <v>0</v>
      </c>
      <c r="AU153" s="18">
        <v>0</v>
      </c>
      <c r="AV153" s="18">
        <v>0</v>
      </c>
      <c r="AW153" s="18">
        <v>0</v>
      </c>
      <c r="AX153" s="18">
        <v>0</v>
      </c>
      <c r="AY153" s="41">
        <v>1</v>
      </c>
      <c r="AZ153" s="31">
        <v>0</v>
      </c>
      <c r="BA153" s="31">
        <v>0</v>
      </c>
      <c r="BB153" s="31">
        <v>0</v>
      </c>
      <c r="BC153" s="31">
        <v>0</v>
      </c>
      <c r="BD153" s="31">
        <v>0</v>
      </c>
      <c r="BE153" s="31">
        <v>0</v>
      </c>
      <c r="BF153" s="31">
        <v>0</v>
      </c>
      <c r="BG153" s="31">
        <v>0</v>
      </c>
      <c r="BH153" s="31">
        <v>0</v>
      </c>
      <c r="BI153" s="31">
        <v>0</v>
      </c>
      <c r="BJ153" s="31">
        <v>0</v>
      </c>
      <c r="BK153" s="31">
        <v>0</v>
      </c>
      <c r="BL153" s="31">
        <v>0</v>
      </c>
      <c r="BM153" s="31">
        <v>0</v>
      </c>
      <c r="BN153" s="31">
        <v>1</v>
      </c>
      <c r="BO153" s="31">
        <v>1</v>
      </c>
      <c r="BP153" s="31">
        <v>0</v>
      </c>
      <c r="BQ153" s="31">
        <v>0</v>
      </c>
      <c r="BR153" s="31">
        <v>0</v>
      </c>
      <c r="BS153" s="31">
        <v>0</v>
      </c>
      <c r="BT153" s="31">
        <v>0</v>
      </c>
      <c r="BU153" s="31">
        <v>0</v>
      </c>
      <c r="BV153" s="31">
        <v>0</v>
      </c>
      <c r="BW153" s="31">
        <v>0</v>
      </c>
      <c r="BX153" s="31">
        <v>0</v>
      </c>
      <c r="BY153" s="31">
        <v>0</v>
      </c>
      <c r="BZ153" s="31">
        <v>0</v>
      </c>
      <c r="CA153" s="31">
        <v>0</v>
      </c>
      <c r="CB153" s="31">
        <v>0</v>
      </c>
      <c r="CC153" s="31">
        <v>0</v>
      </c>
      <c r="CD153" s="31">
        <v>0</v>
      </c>
      <c r="CE153" s="31">
        <v>0</v>
      </c>
      <c r="CF153" s="31">
        <v>0</v>
      </c>
      <c r="CG153" s="31">
        <v>0</v>
      </c>
      <c r="CH153" s="31">
        <v>0</v>
      </c>
      <c r="CI153" s="31">
        <v>0</v>
      </c>
      <c r="CJ153" s="31">
        <v>0</v>
      </c>
      <c r="CK153" s="31">
        <v>0</v>
      </c>
      <c r="CL153" s="35">
        <v>0</v>
      </c>
    </row>
    <row r="154" spans="1:90" x14ac:dyDescent="0.15">
      <c r="A154" s="27" t="s">
        <v>795</v>
      </c>
      <c r="B154" s="28" t="s">
        <v>796</v>
      </c>
      <c r="C154" s="28">
        <v>0</v>
      </c>
      <c r="D154" s="28">
        <v>0</v>
      </c>
      <c r="E154" s="28">
        <v>0</v>
      </c>
      <c r="F154" s="28">
        <v>0</v>
      </c>
      <c r="G154" s="28">
        <v>13</v>
      </c>
      <c r="H154" s="28">
        <f>IFERROR(VLOOKUP(A154,[1]FALTANTES!$A:$AB,28,FALSE),"-")</f>
        <v>0</v>
      </c>
      <c r="I154" s="42">
        <f>IFERROR(VLOOKUP(A154,[1]FALTANTES!$A:$AC,29,FALSE),"-")</f>
        <v>6</v>
      </c>
      <c r="J154" s="29">
        <f>IFERROR(VLOOKUP(A154,[1]FALTANTES!$A:$AD,30,FALSE),"-")</f>
        <v>-7</v>
      </c>
      <c r="K154" s="30">
        <v>0</v>
      </c>
      <c r="L154" s="30">
        <f t="shared" si="2"/>
        <v>5</v>
      </c>
      <c r="M154" s="31">
        <f>SUMIFS(METALFISA!$E:$E,METALFISA!$A:$A,'Faltantes Fevereiro- Metalfisa'!M$3,METALFISA!$B:$B,'Faltantes Fevereiro- Metalfisa'!$A154)</f>
        <v>0</v>
      </c>
      <c r="N154" s="31">
        <f>SUMIFS(METALFISA!$E:$E,METALFISA!$A:$A,'Faltantes Fevereiro- Metalfisa'!N$3,METALFISA!$B:$B,'Faltantes Fevereiro- Metalfisa'!$A154)</f>
        <v>0</v>
      </c>
      <c r="O154" s="31">
        <f>SUMIFS(METALFISA!$E:$E,METALFISA!$A:$A,'Faltantes Fevereiro- Metalfisa'!O$3,METALFISA!$B:$B,'Faltantes Fevereiro- Metalfisa'!$A154)</f>
        <v>0</v>
      </c>
      <c r="P154" s="31">
        <f>SUMIFS(METALFISA!$E:$E,METALFISA!$A:$A,'Faltantes Fevereiro- Metalfisa'!P$3,METALFISA!$B:$B,'Faltantes Fevereiro- Metalfisa'!$A154)</f>
        <v>0</v>
      </c>
      <c r="Q154" s="31">
        <f>SUMIFS(METALFISA!$E:$E,METALFISA!$A:$A,'Faltantes Fevereiro- Metalfisa'!Q$3,METALFISA!$B:$B,'Faltantes Fevereiro- Metalfisa'!$A154)</f>
        <v>0</v>
      </c>
      <c r="R154" s="31">
        <f>SUMIFS(METALFISA!$E:$E,METALFISA!$A:$A,'Faltantes Fevereiro- Metalfisa'!R$3,METALFISA!$B:$B,'Faltantes Fevereiro- Metalfisa'!$A154)</f>
        <v>0</v>
      </c>
      <c r="S154" s="31">
        <f>SUMIFS(METALFISA!$E:$E,METALFISA!$A:$A,'Faltantes Fevereiro- Metalfisa'!S$3,METALFISA!$B:$B,'Faltantes Fevereiro- Metalfisa'!$A154)</f>
        <v>0</v>
      </c>
      <c r="T154" s="31">
        <f>SUMIFS(METALFISA!$E:$E,METALFISA!$A:$A,'Faltantes Fevereiro- Metalfisa'!T$3,METALFISA!$B:$B,'Faltantes Fevereiro- Metalfisa'!$A154)</f>
        <v>0</v>
      </c>
      <c r="U154" s="31">
        <f>SUMIFS(METALFISA!$E:$E,METALFISA!$A:$A,'Faltantes Fevereiro- Metalfisa'!U$3,METALFISA!$B:$B,'Faltantes Fevereiro- Metalfisa'!$A154)</f>
        <v>0</v>
      </c>
      <c r="V154" s="31">
        <f>SUMIFS(METALFISA!$E:$E,METALFISA!$A:$A,'Faltantes Fevereiro- Metalfisa'!V$3,METALFISA!$B:$B,'Faltantes Fevereiro- Metalfisa'!$A154)</f>
        <v>0</v>
      </c>
      <c r="W154" s="31">
        <f>SUMIFS(METALFISA!$E:$E,METALFISA!$A:$A,'Faltantes Fevereiro- Metalfisa'!W$3,METALFISA!$B:$B,'Faltantes Fevereiro- Metalfisa'!$A154)</f>
        <v>0</v>
      </c>
      <c r="X154" s="31">
        <f>SUMIFS(METALFISA!$E:$E,METALFISA!$A:$A,'Faltantes Fevereiro- Metalfisa'!X$3,METALFISA!$B:$B,'Faltantes Fevereiro- Metalfisa'!$A154)</f>
        <v>0</v>
      </c>
      <c r="Y154" s="31">
        <f>SUMIFS(METALFISA!$E:$E,METALFISA!$A:$A,'Faltantes Fevereiro- Metalfisa'!Y$3,METALFISA!$B:$B,'Faltantes Fevereiro- Metalfisa'!$A154)</f>
        <v>0</v>
      </c>
      <c r="Z154" s="31">
        <f>SUMIFS(METALFISA!$E:$E,METALFISA!$A:$A,'Faltantes Fevereiro- Metalfisa'!Z$3,METALFISA!$B:$B,'Faltantes Fevereiro- Metalfisa'!$A154)</f>
        <v>0</v>
      </c>
      <c r="AA154" s="31">
        <f>SUMIFS(METALFISA!$E:$E,METALFISA!$A:$A,'Faltantes Fevereiro- Metalfisa'!AA$3,METALFISA!$B:$B,'Faltantes Fevereiro- Metalfisa'!$A154)</f>
        <v>0</v>
      </c>
      <c r="AB154" s="31">
        <f>SUMIFS(METALFISA!$E:$E,METALFISA!$A:$A,'Faltantes Fevereiro- Metalfisa'!AB$3,METALFISA!$B:$B,'Faltantes Fevereiro- Metalfisa'!$A154)</f>
        <v>0</v>
      </c>
      <c r="AC154" s="31">
        <f>SUMIFS(METALFISA!$E:$E,METALFISA!$A:$A,'Faltantes Fevereiro- Metalfisa'!AC$3,METALFISA!$B:$B,'Faltantes Fevereiro- Metalfisa'!$A154)</f>
        <v>0</v>
      </c>
      <c r="AD154" s="31">
        <f>SUMIFS(METALFISA!$E:$E,METALFISA!$A:$A,'Faltantes Fevereiro- Metalfisa'!AD$3,METALFISA!$B:$B,'Faltantes Fevereiro- Metalfisa'!$A154)</f>
        <v>0</v>
      </c>
      <c r="AE154" s="31">
        <f>SUMIFS(METALFISA!$E:$E,METALFISA!$A:$A,'Faltantes Fevereiro- Metalfisa'!AE$3,METALFISA!$B:$B,'Faltantes Fevereiro- Metalfisa'!$A154)</f>
        <v>0</v>
      </c>
      <c r="AF154" s="31">
        <f>SUMIFS(METALFISA!$E:$E,METALFISA!$A:$A,'Faltantes Fevereiro- Metalfisa'!AF$3,METALFISA!$B:$B,'Faltantes Fevereiro- Metalfisa'!$A154)</f>
        <v>0</v>
      </c>
      <c r="AG154" s="31">
        <f>SUMIFS(METALFISA!$E:$E,METALFISA!$A:$A,'Faltantes Fevereiro- Metalfisa'!AG$3,METALFISA!$B:$B,'Faltantes Fevereiro- Metalfisa'!$A154)</f>
        <v>0</v>
      </c>
      <c r="AH154" s="31">
        <f>SUMIFS(METALFISA!$E:$E,METALFISA!$A:$A,'Faltantes Fevereiro- Metalfisa'!AH$3,METALFISA!$B:$B,'Faltantes Fevereiro- Metalfisa'!$A154)</f>
        <v>5</v>
      </c>
      <c r="AI154" s="31">
        <f>SUMIFS(METALFISA!$E:$E,METALFISA!$A:$A,'Faltantes Fevereiro- Metalfisa'!AI$3,METALFISA!$B:$B,'Faltantes Fevereiro- Metalfisa'!$A154)</f>
        <v>0</v>
      </c>
      <c r="AJ154" s="31">
        <f>SUMIFS(METALFISA!$E:$E,METALFISA!$A:$A,'Faltantes Fevereiro- Metalfisa'!AJ$3,METALFISA!$B:$B,'Faltantes Fevereiro- Metalfisa'!$A154)</f>
        <v>0</v>
      </c>
      <c r="AK154" s="31">
        <f>SUMIFS(METALFISA!$E:$E,METALFISA!$A:$A,'Faltantes Fevereiro- Metalfisa'!AK$3,METALFISA!$B:$B,'Faltantes Fevereiro- Metalfisa'!$A154)</f>
        <v>0</v>
      </c>
      <c r="AL154" s="31">
        <f>SUMIFS(METALFISA!$E:$E,METALFISA!$A:$A,'Faltantes Fevereiro- Metalfisa'!AL$3,METALFISA!$B:$B,'Faltantes Fevereiro- Metalfisa'!$A154)</f>
        <v>0</v>
      </c>
      <c r="AM154" s="31">
        <f>SUMIFS(METALFISA!$E:$E,METALFISA!$A:$A,'Faltantes Fevereiro- Metalfisa'!AM$3,METALFISA!$B:$B,'Faltantes Fevereiro- Metalfisa'!$A154)</f>
        <v>0</v>
      </c>
      <c r="AN154" s="31">
        <f>SUMIFS(METALFISA!$E:$E,METALFISA!$A:$A,'Faltantes Fevereiro- Metalfisa'!AN$3,METALFISA!$B:$B,'Faltantes Fevereiro- Metalfisa'!$A154)</f>
        <v>0</v>
      </c>
      <c r="AO154" s="31">
        <f>SUMIFS(METALFISA!$E:$E,METALFISA!$A:$A,'Faltantes Fevereiro- Metalfisa'!AO$3,METALFISA!$B:$B,'Faltantes Fevereiro- Metalfisa'!$A154)</f>
        <v>0</v>
      </c>
      <c r="AP154" s="31">
        <f>SUMIFS(METALFISA!$E:$E,METALFISA!$A:$A,'Faltantes Fevereiro- Metalfisa'!AP$3,METALFISA!$B:$B,'Faltantes Fevereiro- Metalfisa'!$A154)</f>
        <v>0</v>
      </c>
      <c r="AQ154" s="31"/>
      <c r="AR154" s="31">
        <f>SUMIFS(METALFISA!$E:$E,METALFISA!$A:$A,'Faltantes Fevereiro- Metalfisa'!AR$3,METALFISA!$B:$B,'Faltantes Fevereiro- Metalfisa'!$A154)</f>
        <v>0</v>
      </c>
      <c r="AS154" s="35">
        <f>SUMIFS(METALFISA!$E:$E,METALFISA!$A:$A,'Faltantes Fevereiro- Metalfisa'!AS$3,METALFISA!$B:$B,'Faltantes Fevereiro- Metalfisa'!$A154)</f>
        <v>0</v>
      </c>
      <c r="AU154" s="18">
        <v>0</v>
      </c>
      <c r="AV154" s="18">
        <v>0</v>
      </c>
      <c r="AW154" s="18">
        <v>0</v>
      </c>
      <c r="AX154" s="18">
        <v>0</v>
      </c>
      <c r="AY154" s="41">
        <v>1</v>
      </c>
      <c r="AZ154" s="31">
        <v>0</v>
      </c>
      <c r="BA154" s="31">
        <v>0</v>
      </c>
      <c r="BB154" s="31">
        <v>0</v>
      </c>
      <c r="BC154" s="31">
        <v>0</v>
      </c>
      <c r="BD154" s="31">
        <v>0</v>
      </c>
      <c r="BE154" s="31">
        <v>0</v>
      </c>
      <c r="BF154" s="31">
        <v>0</v>
      </c>
      <c r="BG154" s="31">
        <v>0</v>
      </c>
      <c r="BH154" s="31">
        <v>0</v>
      </c>
      <c r="BI154" s="31">
        <v>0</v>
      </c>
      <c r="BJ154" s="31">
        <v>0</v>
      </c>
      <c r="BK154" s="31">
        <v>0</v>
      </c>
      <c r="BL154" s="31">
        <v>0</v>
      </c>
      <c r="BM154" s="31">
        <v>0</v>
      </c>
      <c r="BN154" s="31">
        <v>1</v>
      </c>
      <c r="BO154" s="31">
        <v>1</v>
      </c>
      <c r="BP154" s="31">
        <v>0</v>
      </c>
      <c r="BQ154" s="31">
        <v>0</v>
      </c>
      <c r="BR154" s="31">
        <v>0</v>
      </c>
      <c r="BS154" s="31">
        <v>0</v>
      </c>
      <c r="BT154" s="31">
        <v>0</v>
      </c>
      <c r="BU154" s="31">
        <v>0</v>
      </c>
      <c r="BV154" s="31">
        <v>0</v>
      </c>
      <c r="BW154" s="31">
        <v>0</v>
      </c>
      <c r="BX154" s="31">
        <v>0</v>
      </c>
      <c r="BY154" s="31">
        <v>0</v>
      </c>
      <c r="BZ154" s="31">
        <v>0</v>
      </c>
      <c r="CA154" s="31">
        <v>0</v>
      </c>
      <c r="CB154" s="31">
        <v>0</v>
      </c>
      <c r="CC154" s="31">
        <v>0</v>
      </c>
      <c r="CD154" s="31">
        <v>0</v>
      </c>
      <c r="CE154" s="31">
        <v>0</v>
      </c>
      <c r="CF154" s="31">
        <v>0</v>
      </c>
      <c r="CG154" s="31">
        <v>0</v>
      </c>
      <c r="CH154" s="31">
        <v>0</v>
      </c>
      <c r="CI154" s="31">
        <v>0</v>
      </c>
      <c r="CJ154" s="31">
        <v>0</v>
      </c>
      <c r="CK154" s="31">
        <v>0</v>
      </c>
      <c r="CL154" s="35">
        <v>0</v>
      </c>
    </row>
    <row r="155" spans="1:90" ht="21" x14ac:dyDescent="0.15">
      <c r="A155" s="27" t="s">
        <v>797</v>
      </c>
      <c r="B155" s="28" t="s">
        <v>798</v>
      </c>
      <c r="C155" s="28">
        <v>0</v>
      </c>
      <c r="D155" s="28">
        <v>0</v>
      </c>
      <c r="E155" s="28">
        <v>0</v>
      </c>
      <c r="F155" s="28">
        <v>0</v>
      </c>
      <c r="G155" s="28">
        <v>2</v>
      </c>
      <c r="H155" s="28">
        <f>IFERROR(VLOOKUP(A155,[1]FALTANTES!$A:$AB,28,FALSE),"-")</f>
        <v>0</v>
      </c>
      <c r="I155" s="42">
        <f>IFERROR(VLOOKUP(A155,[1]FALTANTES!$A:$AC,29,FALSE),"-")</f>
        <v>0</v>
      </c>
      <c r="J155" s="29">
        <f>IFERROR(VLOOKUP(A155,[1]FALTANTES!$A:$AD,30,FALSE),"-")</f>
        <v>-2</v>
      </c>
      <c r="K155" s="30">
        <v>0</v>
      </c>
      <c r="L155" s="30">
        <f t="shared" si="2"/>
        <v>2</v>
      </c>
      <c r="M155" s="31">
        <f>SUMIFS(METALFISA!$E:$E,METALFISA!$A:$A,'Faltantes Fevereiro- Metalfisa'!M$3,METALFISA!$B:$B,'Faltantes Fevereiro- Metalfisa'!$A155)</f>
        <v>0</v>
      </c>
      <c r="N155" s="31">
        <f>SUMIFS(METALFISA!$E:$E,METALFISA!$A:$A,'Faltantes Fevereiro- Metalfisa'!N$3,METALFISA!$B:$B,'Faltantes Fevereiro- Metalfisa'!$A155)</f>
        <v>0</v>
      </c>
      <c r="O155" s="31">
        <f>SUMIFS(METALFISA!$E:$E,METALFISA!$A:$A,'Faltantes Fevereiro- Metalfisa'!O$3,METALFISA!$B:$B,'Faltantes Fevereiro- Metalfisa'!$A155)</f>
        <v>0</v>
      </c>
      <c r="P155" s="31">
        <f>SUMIFS(METALFISA!$E:$E,METALFISA!$A:$A,'Faltantes Fevereiro- Metalfisa'!P$3,METALFISA!$B:$B,'Faltantes Fevereiro- Metalfisa'!$A155)</f>
        <v>0</v>
      </c>
      <c r="Q155" s="31">
        <f>SUMIFS(METALFISA!$E:$E,METALFISA!$A:$A,'Faltantes Fevereiro- Metalfisa'!Q$3,METALFISA!$B:$B,'Faltantes Fevereiro- Metalfisa'!$A155)</f>
        <v>0</v>
      </c>
      <c r="R155" s="31">
        <f>SUMIFS(METALFISA!$E:$E,METALFISA!$A:$A,'Faltantes Fevereiro- Metalfisa'!R$3,METALFISA!$B:$B,'Faltantes Fevereiro- Metalfisa'!$A155)</f>
        <v>0</v>
      </c>
      <c r="S155" s="31">
        <f>SUMIFS(METALFISA!$E:$E,METALFISA!$A:$A,'Faltantes Fevereiro- Metalfisa'!S$3,METALFISA!$B:$B,'Faltantes Fevereiro- Metalfisa'!$A155)</f>
        <v>0</v>
      </c>
      <c r="T155" s="31">
        <f>SUMIFS(METALFISA!$E:$E,METALFISA!$A:$A,'Faltantes Fevereiro- Metalfisa'!T$3,METALFISA!$B:$B,'Faltantes Fevereiro- Metalfisa'!$A155)</f>
        <v>0</v>
      </c>
      <c r="U155" s="31">
        <f>SUMIFS(METALFISA!$E:$E,METALFISA!$A:$A,'Faltantes Fevereiro- Metalfisa'!U$3,METALFISA!$B:$B,'Faltantes Fevereiro- Metalfisa'!$A155)</f>
        <v>0</v>
      </c>
      <c r="V155" s="31">
        <f>SUMIFS(METALFISA!$E:$E,METALFISA!$A:$A,'Faltantes Fevereiro- Metalfisa'!V$3,METALFISA!$B:$B,'Faltantes Fevereiro- Metalfisa'!$A155)</f>
        <v>0</v>
      </c>
      <c r="W155" s="31">
        <f>SUMIFS(METALFISA!$E:$E,METALFISA!$A:$A,'Faltantes Fevereiro- Metalfisa'!W$3,METALFISA!$B:$B,'Faltantes Fevereiro- Metalfisa'!$A155)</f>
        <v>0</v>
      </c>
      <c r="X155" s="31">
        <f>SUMIFS(METALFISA!$E:$E,METALFISA!$A:$A,'Faltantes Fevereiro- Metalfisa'!X$3,METALFISA!$B:$B,'Faltantes Fevereiro- Metalfisa'!$A155)</f>
        <v>0</v>
      </c>
      <c r="Y155" s="31">
        <f>SUMIFS(METALFISA!$E:$E,METALFISA!$A:$A,'Faltantes Fevereiro- Metalfisa'!Y$3,METALFISA!$B:$B,'Faltantes Fevereiro- Metalfisa'!$A155)</f>
        <v>0</v>
      </c>
      <c r="Z155" s="31">
        <f>SUMIFS(METALFISA!$E:$E,METALFISA!$A:$A,'Faltantes Fevereiro- Metalfisa'!Z$3,METALFISA!$B:$B,'Faltantes Fevereiro- Metalfisa'!$A155)</f>
        <v>0</v>
      </c>
      <c r="AA155" s="31">
        <f>SUMIFS(METALFISA!$E:$E,METALFISA!$A:$A,'Faltantes Fevereiro- Metalfisa'!AA$3,METALFISA!$B:$B,'Faltantes Fevereiro- Metalfisa'!$A155)</f>
        <v>0</v>
      </c>
      <c r="AB155" s="31">
        <f>SUMIFS(METALFISA!$E:$E,METALFISA!$A:$A,'Faltantes Fevereiro- Metalfisa'!AB$3,METALFISA!$B:$B,'Faltantes Fevereiro- Metalfisa'!$A155)</f>
        <v>0</v>
      </c>
      <c r="AC155" s="31">
        <f>SUMIFS(METALFISA!$E:$E,METALFISA!$A:$A,'Faltantes Fevereiro- Metalfisa'!AC$3,METALFISA!$B:$B,'Faltantes Fevereiro- Metalfisa'!$A155)</f>
        <v>0</v>
      </c>
      <c r="AD155" s="31">
        <f>SUMIFS(METALFISA!$E:$E,METALFISA!$A:$A,'Faltantes Fevereiro- Metalfisa'!AD$3,METALFISA!$B:$B,'Faltantes Fevereiro- Metalfisa'!$A155)</f>
        <v>0</v>
      </c>
      <c r="AE155" s="31">
        <f>SUMIFS(METALFISA!$E:$E,METALFISA!$A:$A,'Faltantes Fevereiro- Metalfisa'!AE$3,METALFISA!$B:$B,'Faltantes Fevereiro- Metalfisa'!$A155)</f>
        <v>0</v>
      </c>
      <c r="AF155" s="31">
        <f>SUMIFS(METALFISA!$E:$E,METALFISA!$A:$A,'Faltantes Fevereiro- Metalfisa'!AF$3,METALFISA!$B:$B,'Faltantes Fevereiro- Metalfisa'!$A155)</f>
        <v>0</v>
      </c>
      <c r="AG155" s="31">
        <f>SUMIFS(METALFISA!$E:$E,METALFISA!$A:$A,'Faltantes Fevereiro- Metalfisa'!AG$3,METALFISA!$B:$B,'Faltantes Fevereiro- Metalfisa'!$A155)</f>
        <v>0</v>
      </c>
      <c r="AH155" s="31">
        <f>SUMIFS(METALFISA!$E:$E,METALFISA!$A:$A,'Faltantes Fevereiro- Metalfisa'!AH$3,METALFISA!$B:$B,'Faltantes Fevereiro- Metalfisa'!$A155)</f>
        <v>1</v>
      </c>
      <c r="AI155" s="31">
        <f>SUMIFS(METALFISA!$E:$E,METALFISA!$A:$A,'Faltantes Fevereiro- Metalfisa'!AI$3,METALFISA!$B:$B,'Faltantes Fevereiro- Metalfisa'!$A155)</f>
        <v>0</v>
      </c>
      <c r="AJ155" s="31">
        <f>SUMIFS(METALFISA!$E:$E,METALFISA!$A:$A,'Faltantes Fevereiro- Metalfisa'!AJ$3,METALFISA!$B:$B,'Faltantes Fevereiro- Metalfisa'!$A155)</f>
        <v>0</v>
      </c>
      <c r="AK155" s="31">
        <f>SUMIFS(METALFISA!$E:$E,METALFISA!$A:$A,'Faltantes Fevereiro- Metalfisa'!AK$3,METALFISA!$B:$B,'Faltantes Fevereiro- Metalfisa'!$A155)</f>
        <v>0</v>
      </c>
      <c r="AL155" s="31">
        <f>SUMIFS(METALFISA!$E:$E,METALFISA!$A:$A,'Faltantes Fevereiro- Metalfisa'!AL$3,METALFISA!$B:$B,'Faltantes Fevereiro- Metalfisa'!$A155)</f>
        <v>0</v>
      </c>
      <c r="AM155" s="31">
        <f>SUMIFS(METALFISA!$E:$E,METALFISA!$A:$A,'Faltantes Fevereiro- Metalfisa'!AM$3,METALFISA!$B:$B,'Faltantes Fevereiro- Metalfisa'!$A155)</f>
        <v>1</v>
      </c>
      <c r="AN155" s="31">
        <f>SUMIFS(METALFISA!$E:$E,METALFISA!$A:$A,'Faltantes Fevereiro- Metalfisa'!AN$3,METALFISA!$B:$B,'Faltantes Fevereiro- Metalfisa'!$A155)</f>
        <v>0</v>
      </c>
      <c r="AO155" s="31">
        <f>SUMIFS(METALFISA!$E:$E,METALFISA!$A:$A,'Faltantes Fevereiro- Metalfisa'!AO$3,METALFISA!$B:$B,'Faltantes Fevereiro- Metalfisa'!$A155)</f>
        <v>0</v>
      </c>
      <c r="AP155" s="31">
        <f>SUMIFS(METALFISA!$E:$E,METALFISA!$A:$A,'Faltantes Fevereiro- Metalfisa'!AP$3,METALFISA!$B:$B,'Faltantes Fevereiro- Metalfisa'!$A155)</f>
        <v>0</v>
      </c>
      <c r="AQ155" s="31"/>
      <c r="AR155" s="31">
        <f>SUMIFS(METALFISA!$E:$E,METALFISA!$A:$A,'Faltantes Fevereiro- Metalfisa'!AR$3,METALFISA!$B:$B,'Faltantes Fevereiro- Metalfisa'!$A155)</f>
        <v>0</v>
      </c>
      <c r="AS155" s="35">
        <f>SUMIFS(METALFISA!$E:$E,METALFISA!$A:$A,'Faltantes Fevereiro- Metalfisa'!AS$3,METALFISA!$B:$B,'Faltantes Fevereiro- Metalfisa'!$A155)</f>
        <v>0</v>
      </c>
      <c r="AU155" s="18">
        <v>0</v>
      </c>
      <c r="AV155" s="18">
        <v>0</v>
      </c>
      <c r="AW155" s="18">
        <v>0</v>
      </c>
      <c r="AX155" s="18">
        <v>0</v>
      </c>
      <c r="AY155" s="41">
        <v>1</v>
      </c>
      <c r="AZ155" s="31">
        <v>1</v>
      </c>
      <c r="BA155" s="31">
        <v>0</v>
      </c>
      <c r="BB155" s="31">
        <v>0</v>
      </c>
      <c r="BC155" s="31">
        <v>0</v>
      </c>
      <c r="BD155" s="31">
        <v>0</v>
      </c>
      <c r="BE155" s="31">
        <v>0</v>
      </c>
      <c r="BF155" s="31">
        <v>0</v>
      </c>
      <c r="BG155" s="31">
        <v>0</v>
      </c>
      <c r="BH155" s="31">
        <v>0</v>
      </c>
      <c r="BI155" s="31">
        <v>0</v>
      </c>
      <c r="BJ155" s="31">
        <v>0</v>
      </c>
      <c r="BK155" s="31">
        <v>0</v>
      </c>
      <c r="BL155" s="31">
        <v>0</v>
      </c>
      <c r="BM155" s="31">
        <v>0</v>
      </c>
      <c r="BN155" s="31">
        <v>0</v>
      </c>
      <c r="BO155" s="31">
        <v>0</v>
      </c>
      <c r="BP155" s="31">
        <v>0</v>
      </c>
      <c r="BQ155" s="31">
        <v>0</v>
      </c>
      <c r="BR155" s="31">
        <v>0</v>
      </c>
      <c r="BS155" s="31">
        <v>0</v>
      </c>
      <c r="BT155" s="31">
        <v>0</v>
      </c>
      <c r="BU155" s="31">
        <v>0</v>
      </c>
      <c r="BV155" s="31">
        <v>0</v>
      </c>
      <c r="BW155" s="31">
        <v>0</v>
      </c>
      <c r="BX155" s="31">
        <v>0</v>
      </c>
      <c r="BY155" s="31">
        <v>0</v>
      </c>
      <c r="BZ155" s="31">
        <v>0</v>
      </c>
      <c r="CA155" s="31">
        <v>0</v>
      </c>
      <c r="CB155" s="31">
        <v>0</v>
      </c>
      <c r="CC155" s="31">
        <v>0</v>
      </c>
      <c r="CD155" s="31">
        <v>0</v>
      </c>
      <c r="CE155" s="31">
        <v>0</v>
      </c>
      <c r="CF155" s="31">
        <v>0</v>
      </c>
      <c r="CG155" s="31">
        <v>0</v>
      </c>
      <c r="CH155" s="31">
        <v>0</v>
      </c>
      <c r="CI155" s="31">
        <v>0</v>
      </c>
      <c r="CJ155" s="31">
        <v>0</v>
      </c>
      <c r="CK155" s="31">
        <v>0</v>
      </c>
      <c r="CL155" s="35">
        <v>0</v>
      </c>
    </row>
    <row r="156" spans="1:90" ht="21" x14ac:dyDescent="0.15">
      <c r="A156" s="27" t="s">
        <v>732</v>
      </c>
      <c r="B156" s="28" t="s">
        <v>733</v>
      </c>
      <c r="C156" s="28">
        <v>0</v>
      </c>
      <c r="D156" s="28">
        <v>0</v>
      </c>
      <c r="E156" s="28">
        <v>0</v>
      </c>
      <c r="F156" s="28">
        <v>0</v>
      </c>
      <c r="G156" s="28">
        <v>21</v>
      </c>
      <c r="H156" s="28">
        <f>IFERROR(VLOOKUP(A156,[1]FALTANTES!$A:$AB,28,FALSE),"-")</f>
        <v>0</v>
      </c>
      <c r="I156" s="42">
        <f>IFERROR(VLOOKUP(A156,[1]FALTANTES!$A:$AC,29,FALSE),"-")</f>
        <v>14</v>
      </c>
      <c r="J156" s="29">
        <f>IFERROR(VLOOKUP(A156,[1]FALTANTES!$A:$AD,30,FALSE),"-")</f>
        <v>-7</v>
      </c>
      <c r="K156" s="30">
        <v>0</v>
      </c>
      <c r="L156" s="30">
        <f t="shared" si="2"/>
        <v>7</v>
      </c>
      <c r="M156" s="31">
        <f>SUMIFS(METALFISA!$E:$E,METALFISA!$A:$A,'Faltantes Fevereiro- Metalfisa'!M$3,METALFISA!$B:$B,'Faltantes Fevereiro- Metalfisa'!$A156)</f>
        <v>0</v>
      </c>
      <c r="N156" s="31">
        <f>SUMIFS(METALFISA!$E:$E,METALFISA!$A:$A,'Faltantes Fevereiro- Metalfisa'!N$3,METALFISA!$B:$B,'Faltantes Fevereiro- Metalfisa'!$A156)</f>
        <v>0</v>
      </c>
      <c r="O156" s="31">
        <f>SUMIFS(METALFISA!$E:$E,METALFISA!$A:$A,'Faltantes Fevereiro- Metalfisa'!O$3,METALFISA!$B:$B,'Faltantes Fevereiro- Metalfisa'!$A156)</f>
        <v>0</v>
      </c>
      <c r="P156" s="31">
        <f>SUMIFS(METALFISA!$E:$E,METALFISA!$A:$A,'Faltantes Fevereiro- Metalfisa'!P$3,METALFISA!$B:$B,'Faltantes Fevereiro- Metalfisa'!$A156)</f>
        <v>0</v>
      </c>
      <c r="Q156" s="31">
        <f>SUMIFS(METALFISA!$E:$E,METALFISA!$A:$A,'Faltantes Fevereiro- Metalfisa'!Q$3,METALFISA!$B:$B,'Faltantes Fevereiro- Metalfisa'!$A156)</f>
        <v>0</v>
      </c>
      <c r="R156" s="31">
        <f>SUMIFS(METALFISA!$E:$E,METALFISA!$A:$A,'Faltantes Fevereiro- Metalfisa'!R$3,METALFISA!$B:$B,'Faltantes Fevereiro- Metalfisa'!$A156)</f>
        <v>0</v>
      </c>
      <c r="S156" s="31">
        <f>SUMIFS(METALFISA!$E:$E,METALFISA!$A:$A,'Faltantes Fevereiro- Metalfisa'!S$3,METALFISA!$B:$B,'Faltantes Fevereiro- Metalfisa'!$A156)</f>
        <v>0</v>
      </c>
      <c r="T156" s="31">
        <f>SUMIFS(METALFISA!$E:$E,METALFISA!$A:$A,'Faltantes Fevereiro- Metalfisa'!T$3,METALFISA!$B:$B,'Faltantes Fevereiro- Metalfisa'!$A156)</f>
        <v>0</v>
      </c>
      <c r="U156" s="31">
        <f>SUMIFS(METALFISA!$E:$E,METALFISA!$A:$A,'Faltantes Fevereiro- Metalfisa'!U$3,METALFISA!$B:$B,'Faltantes Fevereiro- Metalfisa'!$A156)</f>
        <v>0</v>
      </c>
      <c r="V156" s="31">
        <f>SUMIFS(METALFISA!$E:$E,METALFISA!$A:$A,'Faltantes Fevereiro- Metalfisa'!V$3,METALFISA!$B:$B,'Faltantes Fevereiro- Metalfisa'!$A156)</f>
        <v>0</v>
      </c>
      <c r="W156" s="31">
        <f>SUMIFS(METALFISA!$E:$E,METALFISA!$A:$A,'Faltantes Fevereiro- Metalfisa'!W$3,METALFISA!$B:$B,'Faltantes Fevereiro- Metalfisa'!$A156)</f>
        <v>0</v>
      </c>
      <c r="X156" s="31">
        <f>SUMIFS(METALFISA!$E:$E,METALFISA!$A:$A,'Faltantes Fevereiro- Metalfisa'!X$3,METALFISA!$B:$B,'Faltantes Fevereiro- Metalfisa'!$A156)</f>
        <v>0</v>
      </c>
      <c r="Y156" s="31">
        <f>SUMIFS(METALFISA!$E:$E,METALFISA!$A:$A,'Faltantes Fevereiro- Metalfisa'!Y$3,METALFISA!$B:$B,'Faltantes Fevereiro- Metalfisa'!$A156)</f>
        <v>0</v>
      </c>
      <c r="Z156" s="31">
        <f>SUMIFS(METALFISA!$E:$E,METALFISA!$A:$A,'Faltantes Fevereiro- Metalfisa'!Z$3,METALFISA!$B:$B,'Faltantes Fevereiro- Metalfisa'!$A156)</f>
        <v>0</v>
      </c>
      <c r="AA156" s="31">
        <f>SUMIFS(METALFISA!$E:$E,METALFISA!$A:$A,'Faltantes Fevereiro- Metalfisa'!AA$3,METALFISA!$B:$B,'Faltantes Fevereiro- Metalfisa'!$A156)</f>
        <v>0</v>
      </c>
      <c r="AB156" s="31">
        <f>SUMIFS(METALFISA!$E:$E,METALFISA!$A:$A,'Faltantes Fevereiro- Metalfisa'!AB$3,METALFISA!$B:$B,'Faltantes Fevereiro- Metalfisa'!$A156)</f>
        <v>0</v>
      </c>
      <c r="AC156" s="31">
        <f>SUMIFS(METALFISA!$E:$E,METALFISA!$A:$A,'Faltantes Fevereiro- Metalfisa'!AC$3,METALFISA!$B:$B,'Faltantes Fevereiro- Metalfisa'!$A156)</f>
        <v>0</v>
      </c>
      <c r="AD156" s="31">
        <f>SUMIFS(METALFISA!$E:$E,METALFISA!$A:$A,'Faltantes Fevereiro- Metalfisa'!AD$3,METALFISA!$B:$B,'Faltantes Fevereiro- Metalfisa'!$A156)</f>
        <v>0</v>
      </c>
      <c r="AE156" s="31">
        <f>SUMIFS(METALFISA!$E:$E,METALFISA!$A:$A,'Faltantes Fevereiro- Metalfisa'!AE$3,METALFISA!$B:$B,'Faltantes Fevereiro- Metalfisa'!$A156)</f>
        <v>0</v>
      </c>
      <c r="AF156" s="31">
        <f>SUMIFS(METALFISA!$E:$E,METALFISA!$A:$A,'Faltantes Fevereiro- Metalfisa'!AF$3,METALFISA!$B:$B,'Faltantes Fevereiro- Metalfisa'!$A156)</f>
        <v>0</v>
      </c>
      <c r="AG156" s="31">
        <f>SUMIFS(METALFISA!$E:$E,METALFISA!$A:$A,'Faltantes Fevereiro- Metalfisa'!AG$3,METALFISA!$B:$B,'Faltantes Fevereiro- Metalfisa'!$A156)</f>
        <v>7</v>
      </c>
      <c r="AH156" s="31">
        <f>SUMIFS(METALFISA!$E:$E,METALFISA!$A:$A,'Faltantes Fevereiro- Metalfisa'!AH$3,METALFISA!$B:$B,'Faltantes Fevereiro- Metalfisa'!$A156)</f>
        <v>0</v>
      </c>
      <c r="AI156" s="31">
        <f>SUMIFS(METALFISA!$E:$E,METALFISA!$A:$A,'Faltantes Fevereiro- Metalfisa'!AI$3,METALFISA!$B:$B,'Faltantes Fevereiro- Metalfisa'!$A156)</f>
        <v>0</v>
      </c>
      <c r="AJ156" s="31">
        <f>SUMIFS(METALFISA!$E:$E,METALFISA!$A:$A,'Faltantes Fevereiro- Metalfisa'!AJ$3,METALFISA!$B:$B,'Faltantes Fevereiro- Metalfisa'!$A156)</f>
        <v>0</v>
      </c>
      <c r="AK156" s="31">
        <f>SUMIFS(METALFISA!$E:$E,METALFISA!$A:$A,'Faltantes Fevereiro- Metalfisa'!AK$3,METALFISA!$B:$B,'Faltantes Fevereiro- Metalfisa'!$A156)</f>
        <v>0</v>
      </c>
      <c r="AL156" s="31">
        <f>SUMIFS(METALFISA!$E:$E,METALFISA!$A:$A,'Faltantes Fevereiro- Metalfisa'!AL$3,METALFISA!$B:$B,'Faltantes Fevereiro- Metalfisa'!$A156)</f>
        <v>0</v>
      </c>
      <c r="AM156" s="31">
        <f>SUMIFS(METALFISA!$E:$E,METALFISA!$A:$A,'Faltantes Fevereiro- Metalfisa'!AM$3,METALFISA!$B:$B,'Faltantes Fevereiro- Metalfisa'!$A156)</f>
        <v>0</v>
      </c>
      <c r="AN156" s="31">
        <f>SUMIFS(METALFISA!$E:$E,METALFISA!$A:$A,'Faltantes Fevereiro- Metalfisa'!AN$3,METALFISA!$B:$B,'Faltantes Fevereiro- Metalfisa'!$A156)</f>
        <v>0</v>
      </c>
      <c r="AO156" s="31">
        <f>SUMIFS(METALFISA!$E:$E,METALFISA!$A:$A,'Faltantes Fevereiro- Metalfisa'!AO$3,METALFISA!$B:$B,'Faltantes Fevereiro- Metalfisa'!$A156)</f>
        <v>0</v>
      </c>
      <c r="AP156" s="31">
        <f>SUMIFS(METALFISA!$E:$E,METALFISA!$A:$A,'Faltantes Fevereiro- Metalfisa'!AP$3,METALFISA!$B:$B,'Faltantes Fevereiro- Metalfisa'!$A156)</f>
        <v>0</v>
      </c>
      <c r="AQ156" s="31"/>
      <c r="AR156" s="31">
        <f>SUMIFS(METALFISA!$E:$E,METALFISA!$A:$A,'Faltantes Fevereiro- Metalfisa'!AR$3,METALFISA!$B:$B,'Faltantes Fevereiro- Metalfisa'!$A156)</f>
        <v>0</v>
      </c>
      <c r="AS156" s="35">
        <f>SUMIFS(METALFISA!$E:$E,METALFISA!$A:$A,'Faltantes Fevereiro- Metalfisa'!AS$3,METALFISA!$B:$B,'Faltantes Fevereiro- Metalfisa'!$A156)</f>
        <v>0</v>
      </c>
      <c r="AU156" s="18">
        <v>0</v>
      </c>
      <c r="AV156" s="18">
        <v>0</v>
      </c>
      <c r="AW156" s="18">
        <v>0</v>
      </c>
      <c r="AX156" s="18">
        <v>0</v>
      </c>
      <c r="AY156" s="41">
        <v>0</v>
      </c>
      <c r="AZ156" s="31">
        <v>0</v>
      </c>
      <c r="BA156" s="31">
        <v>0</v>
      </c>
      <c r="BB156" s="31">
        <v>0</v>
      </c>
      <c r="BC156" s="31">
        <v>0</v>
      </c>
      <c r="BD156" s="31">
        <v>0</v>
      </c>
      <c r="BE156" s="31">
        <v>0</v>
      </c>
      <c r="BF156" s="31">
        <v>0</v>
      </c>
      <c r="BG156" s="31">
        <v>0</v>
      </c>
      <c r="BH156" s="31">
        <v>0</v>
      </c>
      <c r="BI156" s="31">
        <v>0</v>
      </c>
      <c r="BJ156" s="31">
        <v>0</v>
      </c>
      <c r="BK156" s="31">
        <v>0</v>
      </c>
      <c r="BL156" s="31">
        <v>0</v>
      </c>
      <c r="BM156" s="31">
        <v>7</v>
      </c>
      <c r="BN156" s="31">
        <v>0</v>
      </c>
      <c r="BO156" s="31">
        <v>0</v>
      </c>
      <c r="BP156" s="31">
        <v>0</v>
      </c>
      <c r="BQ156" s="31">
        <v>0</v>
      </c>
      <c r="BR156" s="31">
        <v>0</v>
      </c>
      <c r="BS156" s="31">
        <v>0</v>
      </c>
      <c r="BT156" s="31">
        <v>0</v>
      </c>
      <c r="BU156" s="31">
        <v>0</v>
      </c>
      <c r="BV156" s="31">
        <v>0</v>
      </c>
      <c r="BW156" s="31">
        <v>0</v>
      </c>
      <c r="BX156" s="31">
        <v>0</v>
      </c>
      <c r="BY156" s="31">
        <v>0</v>
      </c>
      <c r="BZ156" s="31">
        <v>0</v>
      </c>
      <c r="CA156" s="31">
        <v>0</v>
      </c>
      <c r="CB156" s="31">
        <v>0</v>
      </c>
      <c r="CC156" s="31">
        <v>0</v>
      </c>
      <c r="CD156" s="31">
        <v>0</v>
      </c>
      <c r="CE156" s="31">
        <v>0</v>
      </c>
      <c r="CF156" s="31">
        <v>0</v>
      </c>
      <c r="CG156" s="31">
        <v>0</v>
      </c>
      <c r="CH156" s="31">
        <v>0</v>
      </c>
      <c r="CI156" s="31">
        <v>0</v>
      </c>
      <c r="CJ156" s="31">
        <v>0</v>
      </c>
      <c r="CK156" s="31">
        <v>0</v>
      </c>
      <c r="CL156" s="35">
        <v>0</v>
      </c>
    </row>
    <row r="157" spans="1:90" ht="21" x14ac:dyDescent="0.15">
      <c r="A157" s="27" t="s">
        <v>651</v>
      </c>
      <c r="B157" s="28" t="s">
        <v>652</v>
      </c>
      <c r="C157" s="28">
        <v>0</v>
      </c>
      <c r="D157" s="28">
        <v>0</v>
      </c>
      <c r="E157" s="28">
        <v>0</v>
      </c>
      <c r="F157" s="28">
        <v>0</v>
      </c>
      <c r="G157" s="28">
        <v>9</v>
      </c>
      <c r="H157" s="28">
        <f>IFERROR(VLOOKUP(A157,[1]FALTANTES!$A:$AB,28,FALSE),"-")</f>
        <v>0</v>
      </c>
      <c r="I157" s="42">
        <f>IFERROR(VLOOKUP(A157,[1]FALTANTES!$A:$AC,29,FALSE),"-")</f>
        <v>6</v>
      </c>
      <c r="J157" s="29">
        <f>IFERROR(VLOOKUP(A157,[1]FALTANTES!$A:$AD,30,FALSE),"-")</f>
        <v>-3</v>
      </c>
      <c r="K157" s="30">
        <v>0</v>
      </c>
      <c r="L157" s="30">
        <f t="shared" si="2"/>
        <v>3</v>
      </c>
      <c r="M157" s="31">
        <f>SUMIFS(METALFISA!$E:$E,METALFISA!$A:$A,'Faltantes Fevereiro- Metalfisa'!M$3,METALFISA!$B:$B,'Faltantes Fevereiro- Metalfisa'!$A157)</f>
        <v>0</v>
      </c>
      <c r="N157" s="31">
        <f>SUMIFS(METALFISA!$E:$E,METALFISA!$A:$A,'Faltantes Fevereiro- Metalfisa'!N$3,METALFISA!$B:$B,'Faltantes Fevereiro- Metalfisa'!$A157)</f>
        <v>0</v>
      </c>
      <c r="O157" s="31">
        <f>SUMIFS(METALFISA!$E:$E,METALFISA!$A:$A,'Faltantes Fevereiro- Metalfisa'!O$3,METALFISA!$B:$B,'Faltantes Fevereiro- Metalfisa'!$A157)</f>
        <v>0</v>
      </c>
      <c r="P157" s="31">
        <f>SUMIFS(METALFISA!$E:$E,METALFISA!$A:$A,'Faltantes Fevereiro- Metalfisa'!P$3,METALFISA!$B:$B,'Faltantes Fevereiro- Metalfisa'!$A157)</f>
        <v>0</v>
      </c>
      <c r="Q157" s="31">
        <f>SUMIFS(METALFISA!$E:$E,METALFISA!$A:$A,'Faltantes Fevereiro- Metalfisa'!Q$3,METALFISA!$B:$B,'Faltantes Fevereiro- Metalfisa'!$A157)</f>
        <v>0</v>
      </c>
      <c r="R157" s="31">
        <f>SUMIFS(METALFISA!$E:$E,METALFISA!$A:$A,'Faltantes Fevereiro- Metalfisa'!R$3,METALFISA!$B:$B,'Faltantes Fevereiro- Metalfisa'!$A157)</f>
        <v>0</v>
      </c>
      <c r="S157" s="31">
        <f>SUMIFS(METALFISA!$E:$E,METALFISA!$A:$A,'Faltantes Fevereiro- Metalfisa'!S$3,METALFISA!$B:$B,'Faltantes Fevereiro- Metalfisa'!$A157)</f>
        <v>0</v>
      </c>
      <c r="T157" s="31">
        <f>SUMIFS(METALFISA!$E:$E,METALFISA!$A:$A,'Faltantes Fevereiro- Metalfisa'!T$3,METALFISA!$B:$B,'Faltantes Fevereiro- Metalfisa'!$A157)</f>
        <v>0</v>
      </c>
      <c r="U157" s="31">
        <f>SUMIFS(METALFISA!$E:$E,METALFISA!$A:$A,'Faltantes Fevereiro- Metalfisa'!U$3,METALFISA!$B:$B,'Faltantes Fevereiro- Metalfisa'!$A157)</f>
        <v>0</v>
      </c>
      <c r="V157" s="31">
        <f>SUMIFS(METALFISA!$E:$E,METALFISA!$A:$A,'Faltantes Fevereiro- Metalfisa'!V$3,METALFISA!$B:$B,'Faltantes Fevereiro- Metalfisa'!$A157)</f>
        <v>0</v>
      </c>
      <c r="W157" s="31">
        <f>SUMIFS(METALFISA!$E:$E,METALFISA!$A:$A,'Faltantes Fevereiro- Metalfisa'!W$3,METALFISA!$B:$B,'Faltantes Fevereiro- Metalfisa'!$A157)</f>
        <v>0</v>
      </c>
      <c r="X157" s="31">
        <f>SUMIFS(METALFISA!$E:$E,METALFISA!$A:$A,'Faltantes Fevereiro- Metalfisa'!X$3,METALFISA!$B:$B,'Faltantes Fevereiro- Metalfisa'!$A157)</f>
        <v>0</v>
      </c>
      <c r="Y157" s="31">
        <f>SUMIFS(METALFISA!$E:$E,METALFISA!$A:$A,'Faltantes Fevereiro- Metalfisa'!Y$3,METALFISA!$B:$B,'Faltantes Fevereiro- Metalfisa'!$A157)</f>
        <v>0</v>
      </c>
      <c r="Z157" s="31">
        <f>SUMIFS(METALFISA!$E:$E,METALFISA!$A:$A,'Faltantes Fevereiro- Metalfisa'!Z$3,METALFISA!$B:$B,'Faltantes Fevereiro- Metalfisa'!$A157)</f>
        <v>0</v>
      </c>
      <c r="AA157" s="31">
        <f>SUMIFS(METALFISA!$E:$E,METALFISA!$A:$A,'Faltantes Fevereiro- Metalfisa'!AA$3,METALFISA!$B:$B,'Faltantes Fevereiro- Metalfisa'!$A157)</f>
        <v>0</v>
      </c>
      <c r="AB157" s="31">
        <f>SUMIFS(METALFISA!$E:$E,METALFISA!$A:$A,'Faltantes Fevereiro- Metalfisa'!AB$3,METALFISA!$B:$B,'Faltantes Fevereiro- Metalfisa'!$A157)</f>
        <v>0</v>
      </c>
      <c r="AC157" s="31">
        <f>SUMIFS(METALFISA!$E:$E,METALFISA!$A:$A,'Faltantes Fevereiro- Metalfisa'!AC$3,METALFISA!$B:$B,'Faltantes Fevereiro- Metalfisa'!$A157)</f>
        <v>0</v>
      </c>
      <c r="AD157" s="31">
        <f>SUMIFS(METALFISA!$E:$E,METALFISA!$A:$A,'Faltantes Fevereiro- Metalfisa'!AD$3,METALFISA!$B:$B,'Faltantes Fevereiro- Metalfisa'!$A157)</f>
        <v>0</v>
      </c>
      <c r="AE157" s="31">
        <f>SUMIFS(METALFISA!$E:$E,METALFISA!$A:$A,'Faltantes Fevereiro- Metalfisa'!AE$3,METALFISA!$B:$B,'Faltantes Fevereiro- Metalfisa'!$A157)</f>
        <v>0</v>
      </c>
      <c r="AF157" s="31">
        <f>SUMIFS(METALFISA!$E:$E,METALFISA!$A:$A,'Faltantes Fevereiro- Metalfisa'!AF$3,METALFISA!$B:$B,'Faltantes Fevereiro- Metalfisa'!$A157)</f>
        <v>0</v>
      </c>
      <c r="AG157" s="31">
        <f>SUMIFS(METALFISA!$E:$E,METALFISA!$A:$A,'Faltantes Fevereiro- Metalfisa'!AG$3,METALFISA!$B:$B,'Faltantes Fevereiro- Metalfisa'!$A157)</f>
        <v>3</v>
      </c>
      <c r="AH157" s="31">
        <f>SUMIFS(METALFISA!$E:$E,METALFISA!$A:$A,'Faltantes Fevereiro- Metalfisa'!AH$3,METALFISA!$B:$B,'Faltantes Fevereiro- Metalfisa'!$A157)</f>
        <v>0</v>
      </c>
      <c r="AI157" s="31">
        <f>SUMIFS(METALFISA!$E:$E,METALFISA!$A:$A,'Faltantes Fevereiro- Metalfisa'!AI$3,METALFISA!$B:$B,'Faltantes Fevereiro- Metalfisa'!$A157)</f>
        <v>0</v>
      </c>
      <c r="AJ157" s="31">
        <f>SUMIFS(METALFISA!$E:$E,METALFISA!$A:$A,'Faltantes Fevereiro- Metalfisa'!AJ$3,METALFISA!$B:$B,'Faltantes Fevereiro- Metalfisa'!$A157)</f>
        <v>0</v>
      </c>
      <c r="AK157" s="31">
        <f>SUMIFS(METALFISA!$E:$E,METALFISA!$A:$A,'Faltantes Fevereiro- Metalfisa'!AK$3,METALFISA!$B:$B,'Faltantes Fevereiro- Metalfisa'!$A157)</f>
        <v>0</v>
      </c>
      <c r="AL157" s="31">
        <f>SUMIFS(METALFISA!$E:$E,METALFISA!$A:$A,'Faltantes Fevereiro- Metalfisa'!AL$3,METALFISA!$B:$B,'Faltantes Fevereiro- Metalfisa'!$A157)</f>
        <v>0</v>
      </c>
      <c r="AM157" s="31">
        <f>SUMIFS(METALFISA!$E:$E,METALFISA!$A:$A,'Faltantes Fevereiro- Metalfisa'!AM$3,METALFISA!$B:$B,'Faltantes Fevereiro- Metalfisa'!$A157)</f>
        <v>0</v>
      </c>
      <c r="AN157" s="31">
        <f>SUMIFS(METALFISA!$E:$E,METALFISA!$A:$A,'Faltantes Fevereiro- Metalfisa'!AN$3,METALFISA!$B:$B,'Faltantes Fevereiro- Metalfisa'!$A157)</f>
        <v>0</v>
      </c>
      <c r="AO157" s="31">
        <f>SUMIFS(METALFISA!$E:$E,METALFISA!$A:$A,'Faltantes Fevereiro- Metalfisa'!AO$3,METALFISA!$B:$B,'Faltantes Fevereiro- Metalfisa'!$A157)</f>
        <v>0</v>
      </c>
      <c r="AP157" s="31">
        <f>SUMIFS(METALFISA!$E:$E,METALFISA!$A:$A,'Faltantes Fevereiro- Metalfisa'!AP$3,METALFISA!$B:$B,'Faltantes Fevereiro- Metalfisa'!$A157)</f>
        <v>0</v>
      </c>
      <c r="AQ157" s="31"/>
      <c r="AR157" s="31">
        <f>SUMIFS(METALFISA!$E:$E,METALFISA!$A:$A,'Faltantes Fevereiro- Metalfisa'!AR$3,METALFISA!$B:$B,'Faltantes Fevereiro- Metalfisa'!$A157)</f>
        <v>0</v>
      </c>
      <c r="AS157" s="35">
        <f>SUMIFS(METALFISA!$E:$E,METALFISA!$A:$A,'Faltantes Fevereiro- Metalfisa'!AS$3,METALFISA!$B:$B,'Faltantes Fevereiro- Metalfisa'!$A157)</f>
        <v>0</v>
      </c>
      <c r="AU157" s="18">
        <v>0</v>
      </c>
      <c r="AV157" s="18">
        <v>0</v>
      </c>
      <c r="AW157" s="18">
        <v>0</v>
      </c>
      <c r="AX157" s="18">
        <v>0</v>
      </c>
      <c r="AY157" s="41">
        <v>0</v>
      </c>
      <c r="AZ157" s="31">
        <v>0</v>
      </c>
      <c r="BA157" s="31">
        <v>0</v>
      </c>
      <c r="BB157" s="31">
        <v>0</v>
      </c>
      <c r="BC157" s="31">
        <v>0</v>
      </c>
      <c r="BD157" s="31">
        <v>0</v>
      </c>
      <c r="BE157" s="31">
        <v>0</v>
      </c>
      <c r="BF157" s="31">
        <v>0</v>
      </c>
      <c r="BG157" s="31">
        <v>0</v>
      </c>
      <c r="BH157" s="31">
        <v>0</v>
      </c>
      <c r="BI157" s="31">
        <v>0</v>
      </c>
      <c r="BJ157" s="31">
        <v>0</v>
      </c>
      <c r="BK157" s="31">
        <v>0</v>
      </c>
      <c r="BL157" s="31">
        <v>0</v>
      </c>
      <c r="BM157" s="31">
        <v>3</v>
      </c>
      <c r="BN157" s="31">
        <v>0</v>
      </c>
      <c r="BO157" s="31">
        <v>0</v>
      </c>
      <c r="BP157" s="31">
        <v>0</v>
      </c>
      <c r="BQ157" s="31">
        <v>0</v>
      </c>
      <c r="BR157" s="31">
        <v>0</v>
      </c>
      <c r="BS157" s="31">
        <v>0</v>
      </c>
      <c r="BT157" s="31">
        <v>0</v>
      </c>
      <c r="BU157" s="31">
        <v>0</v>
      </c>
      <c r="BV157" s="31">
        <v>0</v>
      </c>
      <c r="BW157" s="31">
        <v>0</v>
      </c>
      <c r="BX157" s="31">
        <v>0</v>
      </c>
      <c r="BY157" s="31">
        <v>0</v>
      </c>
      <c r="BZ157" s="31">
        <v>0</v>
      </c>
      <c r="CA157" s="31">
        <v>0</v>
      </c>
      <c r="CB157" s="31">
        <v>0</v>
      </c>
      <c r="CC157" s="31">
        <v>0</v>
      </c>
      <c r="CD157" s="31">
        <v>0</v>
      </c>
      <c r="CE157" s="31">
        <v>0</v>
      </c>
      <c r="CF157" s="31">
        <v>0</v>
      </c>
      <c r="CG157" s="31">
        <v>0</v>
      </c>
      <c r="CH157" s="31">
        <v>0</v>
      </c>
      <c r="CI157" s="31">
        <v>0</v>
      </c>
      <c r="CJ157" s="31">
        <v>0</v>
      </c>
      <c r="CK157" s="31">
        <v>0</v>
      </c>
      <c r="CL157" s="35">
        <v>0</v>
      </c>
    </row>
    <row r="158" spans="1:90" x14ac:dyDescent="0.15">
      <c r="A158" s="27" t="s">
        <v>653</v>
      </c>
      <c r="B158" s="28" t="s">
        <v>654</v>
      </c>
      <c r="C158" s="28">
        <v>0</v>
      </c>
      <c r="D158" s="28">
        <v>0</v>
      </c>
      <c r="E158" s="28">
        <v>0</v>
      </c>
      <c r="F158" s="28">
        <v>0</v>
      </c>
      <c r="G158" s="28">
        <v>3</v>
      </c>
      <c r="H158" s="28">
        <f>IFERROR(VLOOKUP(A158,[1]FALTANTES!$A:$AB,28,FALSE),"-")</f>
        <v>0</v>
      </c>
      <c r="I158" s="42">
        <f>IFERROR(VLOOKUP(A158,[1]FALTANTES!$A:$AC,29,FALSE),"-")</f>
        <v>0</v>
      </c>
      <c r="J158" s="29">
        <f>IFERROR(VLOOKUP(A158,[1]FALTANTES!$A:$AD,30,FALSE),"-")</f>
        <v>-3</v>
      </c>
      <c r="K158" s="30">
        <v>0</v>
      </c>
      <c r="L158" s="30">
        <f t="shared" si="2"/>
        <v>3</v>
      </c>
      <c r="M158" s="31">
        <f>SUMIFS(METALFISA!$E:$E,METALFISA!$A:$A,'Faltantes Fevereiro- Metalfisa'!M$3,METALFISA!$B:$B,'Faltantes Fevereiro- Metalfisa'!$A158)</f>
        <v>0</v>
      </c>
      <c r="N158" s="31">
        <f>SUMIFS(METALFISA!$E:$E,METALFISA!$A:$A,'Faltantes Fevereiro- Metalfisa'!N$3,METALFISA!$B:$B,'Faltantes Fevereiro- Metalfisa'!$A158)</f>
        <v>0</v>
      </c>
      <c r="O158" s="31">
        <f>SUMIFS(METALFISA!$E:$E,METALFISA!$A:$A,'Faltantes Fevereiro- Metalfisa'!O$3,METALFISA!$B:$B,'Faltantes Fevereiro- Metalfisa'!$A158)</f>
        <v>0</v>
      </c>
      <c r="P158" s="31">
        <f>SUMIFS(METALFISA!$E:$E,METALFISA!$A:$A,'Faltantes Fevereiro- Metalfisa'!P$3,METALFISA!$B:$B,'Faltantes Fevereiro- Metalfisa'!$A158)</f>
        <v>0</v>
      </c>
      <c r="Q158" s="31">
        <f>SUMIFS(METALFISA!$E:$E,METALFISA!$A:$A,'Faltantes Fevereiro- Metalfisa'!Q$3,METALFISA!$B:$B,'Faltantes Fevereiro- Metalfisa'!$A158)</f>
        <v>0</v>
      </c>
      <c r="R158" s="31">
        <f>SUMIFS(METALFISA!$E:$E,METALFISA!$A:$A,'Faltantes Fevereiro- Metalfisa'!R$3,METALFISA!$B:$B,'Faltantes Fevereiro- Metalfisa'!$A158)</f>
        <v>0</v>
      </c>
      <c r="S158" s="31">
        <f>SUMIFS(METALFISA!$E:$E,METALFISA!$A:$A,'Faltantes Fevereiro- Metalfisa'!S$3,METALFISA!$B:$B,'Faltantes Fevereiro- Metalfisa'!$A158)</f>
        <v>0</v>
      </c>
      <c r="T158" s="31">
        <f>SUMIFS(METALFISA!$E:$E,METALFISA!$A:$A,'Faltantes Fevereiro- Metalfisa'!T$3,METALFISA!$B:$B,'Faltantes Fevereiro- Metalfisa'!$A158)</f>
        <v>0</v>
      </c>
      <c r="U158" s="31">
        <f>SUMIFS(METALFISA!$E:$E,METALFISA!$A:$A,'Faltantes Fevereiro- Metalfisa'!U$3,METALFISA!$B:$B,'Faltantes Fevereiro- Metalfisa'!$A158)</f>
        <v>0</v>
      </c>
      <c r="V158" s="31">
        <f>SUMIFS(METALFISA!$E:$E,METALFISA!$A:$A,'Faltantes Fevereiro- Metalfisa'!V$3,METALFISA!$B:$B,'Faltantes Fevereiro- Metalfisa'!$A158)</f>
        <v>0</v>
      </c>
      <c r="W158" s="31">
        <f>SUMIFS(METALFISA!$E:$E,METALFISA!$A:$A,'Faltantes Fevereiro- Metalfisa'!W$3,METALFISA!$B:$B,'Faltantes Fevereiro- Metalfisa'!$A158)</f>
        <v>0</v>
      </c>
      <c r="X158" s="31">
        <f>SUMIFS(METALFISA!$E:$E,METALFISA!$A:$A,'Faltantes Fevereiro- Metalfisa'!X$3,METALFISA!$B:$B,'Faltantes Fevereiro- Metalfisa'!$A158)</f>
        <v>0</v>
      </c>
      <c r="Y158" s="31">
        <f>SUMIFS(METALFISA!$E:$E,METALFISA!$A:$A,'Faltantes Fevereiro- Metalfisa'!Y$3,METALFISA!$B:$B,'Faltantes Fevereiro- Metalfisa'!$A158)</f>
        <v>0</v>
      </c>
      <c r="Z158" s="31">
        <f>SUMIFS(METALFISA!$E:$E,METALFISA!$A:$A,'Faltantes Fevereiro- Metalfisa'!Z$3,METALFISA!$B:$B,'Faltantes Fevereiro- Metalfisa'!$A158)</f>
        <v>0</v>
      </c>
      <c r="AA158" s="31">
        <f>SUMIFS(METALFISA!$E:$E,METALFISA!$A:$A,'Faltantes Fevereiro- Metalfisa'!AA$3,METALFISA!$B:$B,'Faltantes Fevereiro- Metalfisa'!$A158)</f>
        <v>0</v>
      </c>
      <c r="AB158" s="31">
        <f>SUMIFS(METALFISA!$E:$E,METALFISA!$A:$A,'Faltantes Fevereiro- Metalfisa'!AB$3,METALFISA!$B:$B,'Faltantes Fevereiro- Metalfisa'!$A158)</f>
        <v>0</v>
      </c>
      <c r="AC158" s="31">
        <f>SUMIFS(METALFISA!$E:$E,METALFISA!$A:$A,'Faltantes Fevereiro- Metalfisa'!AC$3,METALFISA!$B:$B,'Faltantes Fevereiro- Metalfisa'!$A158)</f>
        <v>1</v>
      </c>
      <c r="AD158" s="31">
        <f>SUMIFS(METALFISA!$E:$E,METALFISA!$A:$A,'Faltantes Fevereiro- Metalfisa'!AD$3,METALFISA!$B:$B,'Faltantes Fevereiro- Metalfisa'!$A158)</f>
        <v>0</v>
      </c>
      <c r="AE158" s="31">
        <f>SUMIFS(METALFISA!$E:$E,METALFISA!$A:$A,'Faltantes Fevereiro- Metalfisa'!AE$3,METALFISA!$B:$B,'Faltantes Fevereiro- Metalfisa'!$A158)</f>
        <v>0</v>
      </c>
      <c r="AF158" s="31">
        <f>SUMIFS(METALFISA!$E:$E,METALFISA!$A:$A,'Faltantes Fevereiro- Metalfisa'!AF$3,METALFISA!$B:$B,'Faltantes Fevereiro- Metalfisa'!$A158)</f>
        <v>0</v>
      </c>
      <c r="AG158" s="31">
        <f>SUMIFS(METALFISA!$E:$E,METALFISA!$A:$A,'Faltantes Fevereiro- Metalfisa'!AG$3,METALFISA!$B:$B,'Faltantes Fevereiro- Metalfisa'!$A158)</f>
        <v>2</v>
      </c>
      <c r="AH158" s="31">
        <f>SUMIFS(METALFISA!$E:$E,METALFISA!$A:$A,'Faltantes Fevereiro- Metalfisa'!AH$3,METALFISA!$B:$B,'Faltantes Fevereiro- Metalfisa'!$A158)</f>
        <v>0</v>
      </c>
      <c r="AI158" s="31">
        <f>SUMIFS(METALFISA!$E:$E,METALFISA!$A:$A,'Faltantes Fevereiro- Metalfisa'!AI$3,METALFISA!$B:$B,'Faltantes Fevereiro- Metalfisa'!$A158)</f>
        <v>0</v>
      </c>
      <c r="AJ158" s="31">
        <f>SUMIFS(METALFISA!$E:$E,METALFISA!$A:$A,'Faltantes Fevereiro- Metalfisa'!AJ$3,METALFISA!$B:$B,'Faltantes Fevereiro- Metalfisa'!$A158)</f>
        <v>0</v>
      </c>
      <c r="AK158" s="31">
        <f>SUMIFS(METALFISA!$E:$E,METALFISA!$A:$A,'Faltantes Fevereiro- Metalfisa'!AK$3,METALFISA!$B:$B,'Faltantes Fevereiro- Metalfisa'!$A158)</f>
        <v>0</v>
      </c>
      <c r="AL158" s="31">
        <f>SUMIFS(METALFISA!$E:$E,METALFISA!$A:$A,'Faltantes Fevereiro- Metalfisa'!AL$3,METALFISA!$B:$B,'Faltantes Fevereiro- Metalfisa'!$A158)</f>
        <v>0</v>
      </c>
      <c r="AM158" s="31">
        <f>SUMIFS(METALFISA!$E:$E,METALFISA!$A:$A,'Faltantes Fevereiro- Metalfisa'!AM$3,METALFISA!$B:$B,'Faltantes Fevereiro- Metalfisa'!$A158)</f>
        <v>0</v>
      </c>
      <c r="AN158" s="31">
        <f>SUMIFS(METALFISA!$E:$E,METALFISA!$A:$A,'Faltantes Fevereiro- Metalfisa'!AN$3,METALFISA!$B:$B,'Faltantes Fevereiro- Metalfisa'!$A158)</f>
        <v>0</v>
      </c>
      <c r="AO158" s="31">
        <f>SUMIFS(METALFISA!$E:$E,METALFISA!$A:$A,'Faltantes Fevereiro- Metalfisa'!AO$3,METALFISA!$B:$B,'Faltantes Fevereiro- Metalfisa'!$A158)</f>
        <v>0</v>
      </c>
      <c r="AP158" s="31">
        <f>SUMIFS(METALFISA!$E:$E,METALFISA!$A:$A,'Faltantes Fevereiro- Metalfisa'!AP$3,METALFISA!$B:$B,'Faltantes Fevereiro- Metalfisa'!$A158)</f>
        <v>0</v>
      </c>
      <c r="AQ158" s="31"/>
      <c r="AR158" s="31">
        <f>SUMIFS(METALFISA!$E:$E,METALFISA!$A:$A,'Faltantes Fevereiro- Metalfisa'!AR$3,METALFISA!$B:$B,'Faltantes Fevereiro- Metalfisa'!$A158)</f>
        <v>0</v>
      </c>
      <c r="AS158" s="35">
        <f>SUMIFS(METALFISA!$E:$E,METALFISA!$A:$A,'Faltantes Fevereiro- Metalfisa'!AS$3,METALFISA!$B:$B,'Faltantes Fevereiro- Metalfisa'!$A158)</f>
        <v>0</v>
      </c>
      <c r="AU158" s="18">
        <v>0</v>
      </c>
      <c r="AV158" s="18">
        <v>0</v>
      </c>
      <c r="AW158" s="18">
        <v>0</v>
      </c>
      <c r="AX158" s="18">
        <v>0</v>
      </c>
      <c r="AY158" s="41">
        <v>0</v>
      </c>
      <c r="AZ158" s="31">
        <v>0</v>
      </c>
      <c r="BA158" s="31">
        <v>0</v>
      </c>
      <c r="BB158" s="31">
        <v>0</v>
      </c>
      <c r="BC158" s="31">
        <v>0</v>
      </c>
      <c r="BD158" s="31">
        <v>0</v>
      </c>
      <c r="BE158" s="31">
        <v>0</v>
      </c>
      <c r="BF158" s="31">
        <v>0</v>
      </c>
      <c r="BG158" s="31">
        <v>0</v>
      </c>
      <c r="BH158" s="31">
        <v>0</v>
      </c>
      <c r="BI158" s="31">
        <v>0</v>
      </c>
      <c r="BJ158" s="31">
        <v>0</v>
      </c>
      <c r="BK158" s="31">
        <v>0</v>
      </c>
      <c r="BL158" s="31">
        <v>0</v>
      </c>
      <c r="BM158" s="31">
        <v>1</v>
      </c>
      <c r="BN158" s="31">
        <v>0</v>
      </c>
      <c r="BO158" s="31">
        <v>0</v>
      </c>
      <c r="BP158" s="31">
        <v>0</v>
      </c>
      <c r="BQ158" s="31">
        <v>0</v>
      </c>
      <c r="BR158" s="31">
        <v>0</v>
      </c>
      <c r="BS158" s="31">
        <v>0</v>
      </c>
      <c r="BT158" s="31">
        <v>0</v>
      </c>
      <c r="BU158" s="31">
        <v>0</v>
      </c>
      <c r="BV158" s="31">
        <v>0</v>
      </c>
      <c r="BW158" s="31">
        <v>0</v>
      </c>
      <c r="BX158" s="31">
        <v>0</v>
      </c>
      <c r="BY158" s="31">
        <v>0</v>
      </c>
      <c r="BZ158" s="31">
        <v>0</v>
      </c>
      <c r="CA158" s="31">
        <v>0</v>
      </c>
      <c r="CB158" s="31">
        <v>0</v>
      </c>
      <c r="CC158" s="31">
        <v>0</v>
      </c>
      <c r="CD158" s="31">
        <v>0</v>
      </c>
      <c r="CE158" s="31">
        <v>0</v>
      </c>
      <c r="CF158" s="31">
        <v>0</v>
      </c>
      <c r="CG158" s="31">
        <v>0</v>
      </c>
      <c r="CH158" s="31">
        <v>0</v>
      </c>
      <c r="CI158" s="31">
        <v>0</v>
      </c>
      <c r="CJ158" s="31">
        <v>0</v>
      </c>
      <c r="CK158" s="31">
        <v>0</v>
      </c>
      <c r="CL158" s="35">
        <v>0</v>
      </c>
    </row>
    <row r="159" spans="1:90" x14ac:dyDescent="0.15">
      <c r="A159" s="27" t="s">
        <v>655</v>
      </c>
      <c r="B159" s="28" t="s">
        <v>656</v>
      </c>
      <c r="C159" s="28">
        <v>0</v>
      </c>
      <c r="D159" s="28">
        <v>0</v>
      </c>
      <c r="E159" s="28">
        <v>0</v>
      </c>
      <c r="F159" s="28">
        <v>0</v>
      </c>
      <c r="G159" s="28">
        <v>3</v>
      </c>
      <c r="H159" s="28">
        <f>IFERROR(VLOOKUP(A159,[1]FALTANTES!$A:$AB,28,FALSE),"-")</f>
        <v>0</v>
      </c>
      <c r="I159" s="42">
        <f>IFERROR(VLOOKUP(A159,[1]FALTANTES!$A:$AC,29,FALSE),"-")</f>
        <v>0</v>
      </c>
      <c r="J159" s="29">
        <f>IFERROR(VLOOKUP(A159,[1]FALTANTES!$A:$AD,30,FALSE),"-")</f>
        <v>-3</v>
      </c>
      <c r="K159" s="30">
        <v>0</v>
      </c>
      <c r="L159" s="30">
        <f t="shared" si="2"/>
        <v>3</v>
      </c>
      <c r="M159" s="31">
        <f>SUMIFS(METALFISA!$E:$E,METALFISA!$A:$A,'Faltantes Fevereiro- Metalfisa'!M$3,METALFISA!$B:$B,'Faltantes Fevereiro- Metalfisa'!$A159)</f>
        <v>0</v>
      </c>
      <c r="N159" s="31">
        <f>SUMIFS(METALFISA!$E:$E,METALFISA!$A:$A,'Faltantes Fevereiro- Metalfisa'!N$3,METALFISA!$B:$B,'Faltantes Fevereiro- Metalfisa'!$A159)</f>
        <v>0</v>
      </c>
      <c r="O159" s="31">
        <f>SUMIFS(METALFISA!$E:$E,METALFISA!$A:$A,'Faltantes Fevereiro- Metalfisa'!O$3,METALFISA!$B:$B,'Faltantes Fevereiro- Metalfisa'!$A159)</f>
        <v>0</v>
      </c>
      <c r="P159" s="31">
        <f>SUMIFS(METALFISA!$E:$E,METALFISA!$A:$A,'Faltantes Fevereiro- Metalfisa'!P$3,METALFISA!$B:$B,'Faltantes Fevereiro- Metalfisa'!$A159)</f>
        <v>0</v>
      </c>
      <c r="Q159" s="31">
        <f>SUMIFS(METALFISA!$E:$E,METALFISA!$A:$A,'Faltantes Fevereiro- Metalfisa'!Q$3,METALFISA!$B:$B,'Faltantes Fevereiro- Metalfisa'!$A159)</f>
        <v>0</v>
      </c>
      <c r="R159" s="31">
        <f>SUMIFS(METALFISA!$E:$E,METALFISA!$A:$A,'Faltantes Fevereiro- Metalfisa'!R$3,METALFISA!$B:$B,'Faltantes Fevereiro- Metalfisa'!$A159)</f>
        <v>0</v>
      </c>
      <c r="S159" s="31">
        <f>SUMIFS(METALFISA!$E:$E,METALFISA!$A:$A,'Faltantes Fevereiro- Metalfisa'!S$3,METALFISA!$B:$B,'Faltantes Fevereiro- Metalfisa'!$A159)</f>
        <v>0</v>
      </c>
      <c r="T159" s="31">
        <f>SUMIFS(METALFISA!$E:$E,METALFISA!$A:$A,'Faltantes Fevereiro- Metalfisa'!T$3,METALFISA!$B:$B,'Faltantes Fevereiro- Metalfisa'!$A159)</f>
        <v>0</v>
      </c>
      <c r="U159" s="31">
        <f>SUMIFS(METALFISA!$E:$E,METALFISA!$A:$A,'Faltantes Fevereiro- Metalfisa'!U$3,METALFISA!$B:$B,'Faltantes Fevereiro- Metalfisa'!$A159)</f>
        <v>0</v>
      </c>
      <c r="V159" s="31">
        <f>SUMIFS(METALFISA!$E:$E,METALFISA!$A:$A,'Faltantes Fevereiro- Metalfisa'!V$3,METALFISA!$B:$B,'Faltantes Fevereiro- Metalfisa'!$A159)</f>
        <v>0</v>
      </c>
      <c r="W159" s="31">
        <f>SUMIFS(METALFISA!$E:$E,METALFISA!$A:$A,'Faltantes Fevereiro- Metalfisa'!W$3,METALFISA!$B:$B,'Faltantes Fevereiro- Metalfisa'!$A159)</f>
        <v>0</v>
      </c>
      <c r="X159" s="31">
        <f>SUMIFS(METALFISA!$E:$E,METALFISA!$A:$A,'Faltantes Fevereiro- Metalfisa'!X$3,METALFISA!$B:$B,'Faltantes Fevereiro- Metalfisa'!$A159)</f>
        <v>0</v>
      </c>
      <c r="Y159" s="31">
        <f>SUMIFS(METALFISA!$E:$E,METALFISA!$A:$A,'Faltantes Fevereiro- Metalfisa'!Y$3,METALFISA!$B:$B,'Faltantes Fevereiro- Metalfisa'!$A159)</f>
        <v>0</v>
      </c>
      <c r="Z159" s="31">
        <f>SUMIFS(METALFISA!$E:$E,METALFISA!$A:$A,'Faltantes Fevereiro- Metalfisa'!Z$3,METALFISA!$B:$B,'Faltantes Fevereiro- Metalfisa'!$A159)</f>
        <v>0</v>
      </c>
      <c r="AA159" s="31">
        <f>SUMIFS(METALFISA!$E:$E,METALFISA!$A:$A,'Faltantes Fevereiro- Metalfisa'!AA$3,METALFISA!$B:$B,'Faltantes Fevereiro- Metalfisa'!$A159)</f>
        <v>0</v>
      </c>
      <c r="AB159" s="31">
        <f>SUMIFS(METALFISA!$E:$E,METALFISA!$A:$A,'Faltantes Fevereiro- Metalfisa'!AB$3,METALFISA!$B:$B,'Faltantes Fevereiro- Metalfisa'!$A159)</f>
        <v>0</v>
      </c>
      <c r="AC159" s="31">
        <f>SUMIFS(METALFISA!$E:$E,METALFISA!$A:$A,'Faltantes Fevereiro- Metalfisa'!AC$3,METALFISA!$B:$B,'Faltantes Fevereiro- Metalfisa'!$A159)</f>
        <v>1</v>
      </c>
      <c r="AD159" s="31">
        <f>SUMIFS(METALFISA!$E:$E,METALFISA!$A:$A,'Faltantes Fevereiro- Metalfisa'!AD$3,METALFISA!$B:$B,'Faltantes Fevereiro- Metalfisa'!$A159)</f>
        <v>0</v>
      </c>
      <c r="AE159" s="31">
        <f>SUMIFS(METALFISA!$E:$E,METALFISA!$A:$A,'Faltantes Fevereiro- Metalfisa'!AE$3,METALFISA!$B:$B,'Faltantes Fevereiro- Metalfisa'!$A159)</f>
        <v>0</v>
      </c>
      <c r="AF159" s="31">
        <f>SUMIFS(METALFISA!$E:$E,METALFISA!$A:$A,'Faltantes Fevereiro- Metalfisa'!AF$3,METALFISA!$B:$B,'Faltantes Fevereiro- Metalfisa'!$A159)</f>
        <v>0</v>
      </c>
      <c r="AG159" s="31">
        <f>SUMIFS(METALFISA!$E:$E,METALFISA!$A:$A,'Faltantes Fevereiro- Metalfisa'!AG$3,METALFISA!$B:$B,'Faltantes Fevereiro- Metalfisa'!$A159)</f>
        <v>2</v>
      </c>
      <c r="AH159" s="31">
        <f>SUMIFS(METALFISA!$E:$E,METALFISA!$A:$A,'Faltantes Fevereiro- Metalfisa'!AH$3,METALFISA!$B:$B,'Faltantes Fevereiro- Metalfisa'!$A159)</f>
        <v>0</v>
      </c>
      <c r="AI159" s="31">
        <f>SUMIFS(METALFISA!$E:$E,METALFISA!$A:$A,'Faltantes Fevereiro- Metalfisa'!AI$3,METALFISA!$B:$B,'Faltantes Fevereiro- Metalfisa'!$A159)</f>
        <v>0</v>
      </c>
      <c r="AJ159" s="31">
        <f>SUMIFS(METALFISA!$E:$E,METALFISA!$A:$A,'Faltantes Fevereiro- Metalfisa'!AJ$3,METALFISA!$B:$B,'Faltantes Fevereiro- Metalfisa'!$A159)</f>
        <v>0</v>
      </c>
      <c r="AK159" s="31">
        <f>SUMIFS(METALFISA!$E:$E,METALFISA!$A:$A,'Faltantes Fevereiro- Metalfisa'!AK$3,METALFISA!$B:$B,'Faltantes Fevereiro- Metalfisa'!$A159)</f>
        <v>0</v>
      </c>
      <c r="AL159" s="31">
        <f>SUMIFS(METALFISA!$E:$E,METALFISA!$A:$A,'Faltantes Fevereiro- Metalfisa'!AL$3,METALFISA!$B:$B,'Faltantes Fevereiro- Metalfisa'!$A159)</f>
        <v>0</v>
      </c>
      <c r="AM159" s="31">
        <f>SUMIFS(METALFISA!$E:$E,METALFISA!$A:$A,'Faltantes Fevereiro- Metalfisa'!AM$3,METALFISA!$B:$B,'Faltantes Fevereiro- Metalfisa'!$A159)</f>
        <v>0</v>
      </c>
      <c r="AN159" s="31">
        <f>SUMIFS(METALFISA!$E:$E,METALFISA!$A:$A,'Faltantes Fevereiro- Metalfisa'!AN$3,METALFISA!$B:$B,'Faltantes Fevereiro- Metalfisa'!$A159)</f>
        <v>0</v>
      </c>
      <c r="AO159" s="31">
        <f>SUMIFS(METALFISA!$E:$E,METALFISA!$A:$A,'Faltantes Fevereiro- Metalfisa'!AO$3,METALFISA!$B:$B,'Faltantes Fevereiro- Metalfisa'!$A159)</f>
        <v>0</v>
      </c>
      <c r="AP159" s="31">
        <f>SUMIFS(METALFISA!$E:$E,METALFISA!$A:$A,'Faltantes Fevereiro- Metalfisa'!AP$3,METALFISA!$B:$B,'Faltantes Fevereiro- Metalfisa'!$A159)</f>
        <v>0</v>
      </c>
      <c r="AQ159" s="31"/>
      <c r="AR159" s="31">
        <f>SUMIFS(METALFISA!$E:$E,METALFISA!$A:$A,'Faltantes Fevereiro- Metalfisa'!AR$3,METALFISA!$B:$B,'Faltantes Fevereiro- Metalfisa'!$A159)</f>
        <v>0</v>
      </c>
      <c r="AS159" s="35">
        <f>SUMIFS(METALFISA!$E:$E,METALFISA!$A:$A,'Faltantes Fevereiro- Metalfisa'!AS$3,METALFISA!$B:$B,'Faltantes Fevereiro- Metalfisa'!$A159)</f>
        <v>0</v>
      </c>
      <c r="AU159" s="18">
        <v>0</v>
      </c>
      <c r="AV159" s="18">
        <v>0</v>
      </c>
      <c r="AW159" s="18">
        <v>0</v>
      </c>
      <c r="AX159" s="18">
        <v>0</v>
      </c>
      <c r="AY159" s="41">
        <v>0</v>
      </c>
      <c r="AZ159" s="31">
        <v>0</v>
      </c>
      <c r="BA159" s="31">
        <v>0</v>
      </c>
      <c r="BB159" s="31">
        <v>0</v>
      </c>
      <c r="BC159" s="31">
        <v>0</v>
      </c>
      <c r="BD159" s="31">
        <v>0</v>
      </c>
      <c r="BE159" s="31">
        <v>0</v>
      </c>
      <c r="BF159" s="31">
        <v>0</v>
      </c>
      <c r="BG159" s="31">
        <v>0</v>
      </c>
      <c r="BH159" s="31">
        <v>0</v>
      </c>
      <c r="BI159" s="31">
        <v>0</v>
      </c>
      <c r="BJ159" s="31">
        <v>0</v>
      </c>
      <c r="BK159" s="31">
        <v>0</v>
      </c>
      <c r="BL159" s="31">
        <v>0</v>
      </c>
      <c r="BM159" s="31">
        <v>1</v>
      </c>
      <c r="BN159" s="31">
        <v>0</v>
      </c>
      <c r="BO159" s="31">
        <v>0</v>
      </c>
      <c r="BP159" s="31">
        <v>0</v>
      </c>
      <c r="BQ159" s="31">
        <v>0</v>
      </c>
      <c r="BR159" s="31">
        <v>0</v>
      </c>
      <c r="BS159" s="31">
        <v>0</v>
      </c>
      <c r="BT159" s="31">
        <v>0</v>
      </c>
      <c r="BU159" s="31">
        <v>0</v>
      </c>
      <c r="BV159" s="31">
        <v>0</v>
      </c>
      <c r="BW159" s="31">
        <v>0</v>
      </c>
      <c r="BX159" s="31">
        <v>0</v>
      </c>
      <c r="BY159" s="31">
        <v>0</v>
      </c>
      <c r="BZ159" s="31">
        <v>0</v>
      </c>
      <c r="CA159" s="31">
        <v>0</v>
      </c>
      <c r="CB159" s="31">
        <v>0</v>
      </c>
      <c r="CC159" s="31">
        <v>0</v>
      </c>
      <c r="CD159" s="31">
        <v>0</v>
      </c>
      <c r="CE159" s="31">
        <v>0</v>
      </c>
      <c r="CF159" s="31">
        <v>0</v>
      </c>
      <c r="CG159" s="31">
        <v>0</v>
      </c>
      <c r="CH159" s="31">
        <v>0</v>
      </c>
      <c r="CI159" s="31">
        <v>0</v>
      </c>
      <c r="CJ159" s="31">
        <v>0</v>
      </c>
      <c r="CK159" s="31">
        <v>0</v>
      </c>
      <c r="CL159" s="35">
        <v>0</v>
      </c>
    </row>
    <row r="160" spans="1:90" ht="21" x14ac:dyDescent="0.15">
      <c r="A160" s="27" t="s">
        <v>657</v>
      </c>
      <c r="B160" s="28" t="s">
        <v>658</v>
      </c>
      <c r="C160" s="28">
        <v>0</v>
      </c>
      <c r="D160" s="28">
        <v>0</v>
      </c>
      <c r="E160" s="28">
        <v>0</v>
      </c>
      <c r="F160" s="28">
        <v>0</v>
      </c>
      <c r="G160" s="28">
        <v>6</v>
      </c>
      <c r="H160" s="28">
        <f>IFERROR(VLOOKUP(A160,[1]FALTANTES!$A:$AB,28,FALSE),"-")</f>
        <v>0</v>
      </c>
      <c r="I160" s="42">
        <f>IFERROR(VLOOKUP(A160,[1]FALTANTES!$A:$AC,29,FALSE),"-")</f>
        <v>0</v>
      </c>
      <c r="J160" s="29">
        <f>IFERROR(VLOOKUP(A160,[1]FALTANTES!$A:$AD,30,FALSE),"-")</f>
        <v>-6</v>
      </c>
      <c r="K160" s="30">
        <v>0</v>
      </c>
      <c r="L160" s="30">
        <f t="shared" si="2"/>
        <v>6</v>
      </c>
      <c r="M160" s="31">
        <f>SUMIFS(METALFISA!$E:$E,METALFISA!$A:$A,'Faltantes Fevereiro- Metalfisa'!M$3,METALFISA!$B:$B,'Faltantes Fevereiro- Metalfisa'!$A160)</f>
        <v>0</v>
      </c>
      <c r="N160" s="31">
        <f>SUMIFS(METALFISA!$E:$E,METALFISA!$A:$A,'Faltantes Fevereiro- Metalfisa'!N$3,METALFISA!$B:$B,'Faltantes Fevereiro- Metalfisa'!$A160)</f>
        <v>0</v>
      </c>
      <c r="O160" s="31">
        <f>SUMIFS(METALFISA!$E:$E,METALFISA!$A:$A,'Faltantes Fevereiro- Metalfisa'!O$3,METALFISA!$B:$B,'Faltantes Fevereiro- Metalfisa'!$A160)</f>
        <v>0</v>
      </c>
      <c r="P160" s="31">
        <f>SUMIFS(METALFISA!$E:$E,METALFISA!$A:$A,'Faltantes Fevereiro- Metalfisa'!P$3,METALFISA!$B:$B,'Faltantes Fevereiro- Metalfisa'!$A160)</f>
        <v>0</v>
      </c>
      <c r="Q160" s="31">
        <f>SUMIFS(METALFISA!$E:$E,METALFISA!$A:$A,'Faltantes Fevereiro- Metalfisa'!Q$3,METALFISA!$B:$B,'Faltantes Fevereiro- Metalfisa'!$A160)</f>
        <v>0</v>
      </c>
      <c r="R160" s="31">
        <f>SUMIFS(METALFISA!$E:$E,METALFISA!$A:$A,'Faltantes Fevereiro- Metalfisa'!R$3,METALFISA!$B:$B,'Faltantes Fevereiro- Metalfisa'!$A160)</f>
        <v>0</v>
      </c>
      <c r="S160" s="31">
        <f>SUMIFS(METALFISA!$E:$E,METALFISA!$A:$A,'Faltantes Fevereiro- Metalfisa'!S$3,METALFISA!$B:$B,'Faltantes Fevereiro- Metalfisa'!$A160)</f>
        <v>0</v>
      </c>
      <c r="T160" s="31">
        <f>SUMIFS(METALFISA!$E:$E,METALFISA!$A:$A,'Faltantes Fevereiro- Metalfisa'!T$3,METALFISA!$B:$B,'Faltantes Fevereiro- Metalfisa'!$A160)</f>
        <v>0</v>
      </c>
      <c r="U160" s="31">
        <f>SUMIFS(METALFISA!$E:$E,METALFISA!$A:$A,'Faltantes Fevereiro- Metalfisa'!U$3,METALFISA!$B:$B,'Faltantes Fevereiro- Metalfisa'!$A160)</f>
        <v>0</v>
      </c>
      <c r="V160" s="31">
        <f>SUMIFS(METALFISA!$E:$E,METALFISA!$A:$A,'Faltantes Fevereiro- Metalfisa'!V$3,METALFISA!$B:$B,'Faltantes Fevereiro- Metalfisa'!$A160)</f>
        <v>0</v>
      </c>
      <c r="W160" s="31">
        <f>SUMIFS(METALFISA!$E:$E,METALFISA!$A:$A,'Faltantes Fevereiro- Metalfisa'!W$3,METALFISA!$B:$B,'Faltantes Fevereiro- Metalfisa'!$A160)</f>
        <v>0</v>
      </c>
      <c r="X160" s="31">
        <f>SUMIFS(METALFISA!$E:$E,METALFISA!$A:$A,'Faltantes Fevereiro- Metalfisa'!X$3,METALFISA!$B:$B,'Faltantes Fevereiro- Metalfisa'!$A160)</f>
        <v>0</v>
      </c>
      <c r="Y160" s="31">
        <f>SUMIFS(METALFISA!$E:$E,METALFISA!$A:$A,'Faltantes Fevereiro- Metalfisa'!Y$3,METALFISA!$B:$B,'Faltantes Fevereiro- Metalfisa'!$A160)</f>
        <v>0</v>
      </c>
      <c r="Z160" s="31">
        <f>SUMIFS(METALFISA!$E:$E,METALFISA!$A:$A,'Faltantes Fevereiro- Metalfisa'!Z$3,METALFISA!$B:$B,'Faltantes Fevereiro- Metalfisa'!$A160)</f>
        <v>0</v>
      </c>
      <c r="AA160" s="31">
        <f>SUMIFS(METALFISA!$E:$E,METALFISA!$A:$A,'Faltantes Fevereiro- Metalfisa'!AA$3,METALFISA!$B:$B,'Faltantes Fevereiro- Metalfisa'!$A160)</f>
        <v>0</v>
      </c>
      <c r="AB160" s="31">
        <f>SUMIFS(METALFISA!$E:$E,METALFISA!$A:$A,'Faltantes Fevereiro- Metalfisa'!AB$3,METALFISA!$B:$B,'Faltantes Fevereiro- Metalfisa'!$A160)</f>
        <v>0</v>
      </c>
      <c r="AC160" s="31">
        <f>SUMIFS(METALFISA!$E:$E,METALFISA!$A:$A,'Faltantes Fevereiro- Metalfisa'!AC$3,METALFISA!$B:$B,'Faltantes Fevereiro- Metalfisa'!$A160)</f>
        <v>2</v>
      </c>
      <c r="AD160" s="31">
        <f>SUMIFS(METALFISA!$E:$E,METALFISA!$A:$A,'Faltantes Fevereiro- Metalfisa'!AD$3,METALFISA!$B:$B,'Faltantes Fevereiro- Metalfisa'!$A160)</f>
        <v>0</v>
      </c>
      <c r="AE160" s="31">
        <f>SUMIFS(METALFISA!$E:$E,METALFISA!$A:$A,'Faltantes Fevereiro- Metalfisa'!AE$3,METALFISA!$B:$B,'Faltantes Fevereiro- Metalfisa'!$A160)</f>
        <v>0</v>
      </c>
      <c r="AF160" s="31">
        <f>SUMIFS(METALFISA!$E:$E,METALFISA!$A:$A,'Faltantes Fevereiro- Metalfisa'!AF$3,METALFISA!$B:$B,'Faltantes Fevereiro- Metalfisa'!$A160)</f>
        <v>0</v>
      </c>
      <c r="AG160" s="31">
        <f>SUMIFS(METALFISA!$E:$E,METALFISA!$A:$A,'Faltantes Fevereiro- Metalfisa'!AG$3,METALFISA!$B:$B,'Faltantes Fevereiro- Metalfisa'!$A160)</f>
        <v>4</v>
      </c>
      <c r="AH160" s="31">
        <f>SUMIFS(METALFISA!$E:$E,METALFISA!$A:$A,'Faltantes Fevereiro- Metalfisa'!AH$3,METALFISA!$B:$B,'Faltantes Fevereiro- Metalfisa'!$A160)</f>
        <v>0</v>
      </c>
      <c r="AI160" s="31">
        <f>SUMIFS(METALFISA!$E:$E,METALFISA!$A:$A,'Faltantes Fevereiro- Metalfisa'!AI$3,METALFISA!$B:$B,'Faltantes Fevereiro- Metalfisa'!$A160)</f>
        <v>0</v>
      </c>
      <c r="AJ160" s="31">
        <f>SUMIFS(METALFISA!$E:$E,METALFISA!$A:$A,'Faltantes Fevereiro- Metalfisa'!AJ$3,METALFISA!$B:$B,'Faltantes Fevereiro- Metalfisa'!$A160)</f>
        <v>0</v>
      </c>
      <c r="AK160" s="31">
        <f>SUMIFS(METALFISA!$E:$E,METALFISA!$A:$A,'Faltantes Fevereiro- Metalfisa'!AK$3,METALFISA!$B:$B,'Faltantes Fevereiro- Metalfisa'!$A160)</f>
        <v>0</v>
      </c>
      <c r="AL160" s="31">
        <f>SUMIFS(METALFISA!$E:$E,METALFISA!$A:$A,'Faltantes Fevereiro- Metalfisa'!AL$3,METALFISA!$B:$B,'Faltantes Fevereiro- Metalfisa'!$A160)</f>
        <v>0</v>
      </c>
      <c r="AM160" s="31">
        <f>SUMIFS(METALFISA!$E:$E,METALFISA!$A:$A,'Faltantes Fevereiro- Metalfisa'!AM$3,METALFISA!$B:$B,'Faltantes Fevereiro- Metalfisa'!$A160)</f>
        <v>0</v>
      </c>
      <c r="AN160" s="31">
        <f>SUMIFS(METALFISA!$E:$E,METALFISA!$A:$A,'Faltantes Fevereiro- Metalfisa'!AN$3,METALFISA!$B:$B,'Faltantes Fevereiro- Metalfisa'!$A160)</f>
        <v>0</v>
      </c>
      <c r="AO160" s="31">
        <f>SUMIFS(METALFISA!$E:$E,METALFISA!$A:$A,'Faltantes Fevereiro- Metalfisa'!AO$3,METALFISA!$B:$B,'Faltantes Fevereiro- Metalfisa'!$A160)</f>
        <v>0</v>
      </c>
      <c r="AP160" s="31">
        <f>SUMIFS(METALFISA!$E:$E,METALFISA!$A:$A,'Faltantes Fevereiro- Metalfisa'!AP$3,METALFISA!$B:$B,'Faltantes Fevereiro- Metalfisa'!$A160)</f>
        <v>0</v>
      </c>
      <c r="AQ160" s="31"/>
      <c r="AR160" s="31">
        <f>SUMIFS(METALFISA!$E:$E,METALFISA!$A:$A,'Faltantes Fevereiro- Metalfisa'!AR$3,METALFISA!$B:$B,'Faltantes Fevereiro- Metalfisa'!$A160)</f>
        <v>0</v>
      </c>
      <c r="AS160" s="35">
        <f>SUMIFS(METALFISA!$E:$E,METALFISA!$A:$A,'Faltantes Fevereiro- Metalfisa'!AS$3,METALFISA!$B:$B,'Faltantes Fevereiro- Metalfisa'!$A160)</f>
        <v>0</v>
      </c>
      <c r="AU160" s="18">
        <v>0</v>
      </c>
      <c r="AV160" s="18">
        <v>0</v>
      </c>
      <c r="AW160" s="18">
        <v>0</v>
      </c>
      <c r="AX160" s="18">
        <v>0</v>
      </c>
      <c r="AY160" s="41">
        <v>0</v>
      </c>
      <c r="AZ160" s="31">
        <v>0</v>
      </c>
      <c r="BA160" s="31">
        <v>0</v>
      </c>
      <c r="BB160" s="31">
        <v>0</v>
      </c>
      <c r="BC160" s="31">
        <v>0</v>
      </c>
      <c r="BD160" s="31">
        <v>0</v>
      </c>
      <c r="BE160" s="31">
        <v>0</v>
      </c>
      <c r="BF160" s="31">
        <v>0</v>
      </c>
      <c r="BG160" s="31">
        <v>0</v>
      </c>
      <c r="BH160" s="31">
        <v>0</v>
      </c>
      <c r="BI160" s="31">
        <v>0</v>
      </c>
      <c r="BJ160" s="31">
        <v>0</v>
      </c>
      <c r="BK160" s="31">
        <v>0</v>
      </c>
      <c r="BL160" s="31">
        <v>0</v>
      </c>
      <c r="BM160" s="31">
        <v>2</v>
      </c>
      <c r="BN160" s="31">
        <v>0</v>
      </c>
      <c r="BO160" s="31">
        <v>0</v>
      </c>
      <c r="BP160" s="31">
        <v>0</v>
      </c>
      <c r="BQ160" s="31">
        <v>0</v>
      </c>
      <c r="BR160" s="31">
        <v>0</v>
      </c>
      <c r="BS160" s="31">
        <v>0</v>
      </c>
      <c r="BT160" s="31">
        <v>0</v>
      </c>
      <c r="BU160" s="31">
        <v>0</v>
      </c>
      <c r="BV160" s="31">
        <v>0</v>
      </c>
      <c r="BW160" s="31">
        <v>0</v>
      </c>
      <c r="BX160" s="31">
        <v>0</v>
      </c>
      <c r="BY160" s="31">
        <v>0</v>
      </c>
      <c r="BZ160" s="31">
        <v>0</v>
      </c>
      <c r="CA160" s="31">
        <v>0</v>
      </c>
      <c r="CB160" s="31">
        <v>0</v>
      </c>
      <c r="CC160" s="31">
        <v>0</v>
      </c>
      <c r="CD160" s="31">
        <v>0</v>
      </c>
      <c r="CE160" s="31">
        <v>0</v>
      </c>
      <c r="CF160" s="31">
        <v>0</v>
      </c>
      <c r="CG160" s="31">
        <v>0</v>
      </c>
      <c r="CH160" s="31">
        <v>0</v>
      </c>
      <c r="CI160" s="31">
        <v>0</v>
      </c>
      <c r="CJ160" s="31">
        <v>0</v>
      </c>
      <c r="CK160" s="31">
        <v>0</v>
      </c>
      <c r="CL160" s="35">
        <v>0</v>
      </c>
    </row>
    <row r="161" spans="1:90" ht="21" x14ac:dyDescent="0.15">
      <c r="A161" s="27" t="s">
        <v>659</v>
      </c>
      <c r="B161" s="28" t="s">
        <v>660</v>
      </c>
      <c r="C161" s="28">
        <v>0</v>
      </c>
      <c r="D161" s="28">
        <v>0</v>
      </c>
      <c r="E161" s="28">
        <v>0</v>
      </c>
      <c r="F161" s="28">
        <v>0</v>
      </c>
      <c r="G161" s="28">
        <v>6</v>
      </c>
      <c r="H161" s="28">
        <f>IFERROR(VLOOKUP(A161,[1]FALTANTES!$A:$AB,28,FALSE),"-")</f>
        <v>0</v>
      </c>
      <c r="I161" s="42">
        <f>IFERROR(VLOOKUP(A161,[1]FALTANTES!$A:$AC,29,FALSE),"-")</f>
        <v>0</v>
      </c>
      <c r="J161" s="29">
        <f>IFERROR(VLOOKUP(A161,[1]FALTANTES!$A:$AD,30,FALSE),"-")</f>
        <v>-6</v>
      </c>
      <c r="K161" s="30">
        <v>0</v>
      </c>
      <c r="L161" s="30">
        <f t="shared" si="2"/>
        <v>6</v>
      </c>
      <c r="M161" s="31">
        <f>SUMIFS(METALFISA!$E:$E,METALFISA!$A:$A,'Faltantes Fevereiro- Metalfisa'!M$3,METALFISA!$B:$B,'Faltantes Fevereiro- Metalfisa'!$A161)</f>
        <v>0</v>
      </c>
      <c r="N161" s="31">
        <f>SUMIFS(METALFISA!$E:$E,METALFISA!$A:$A,'Faltantes Fevereiro- Metalfisa'!N$3,METALFISA!$B:$B,'Faltantes Fevereiro- Metalfisa'!$A161)</f>
        <v>0</v>
      </c>
      <c r="O161" s="31">
        <f>SUMIFS(METALFISA!$E:$E,METALFISA!$A:$A,'Faltantes Fevereiro- Metalfisa'!O$3,METALFISA!$B:$B,'Faltantes Fevereiro- Metalfisa'!$A161)</f>
        <v>0</v>
      </c>
      <c r="P161" s="31">
        <f>SUMIFS(METALFISA!$E:$E,METALFISA!$A:$A,'Faltantes Fevereiro- Metalfisa'!P$3,METALFISA!$B:$B,'Faltantes Fevereiro- Metalfisa'!$A161)</f>
        <v>0</v>
      </c>
      <c r="Q161" s="31">
        <f>SUMIFS(METALFISA!$E:$E,METALFISA!$A:$A,'Faltantes Fevereiro- Metalfisa'!Q$3,METALFISA!$B:$B,'Faltantes Fevereiro- Metalfisa'!$A161)</f>
        <v>0</v>
      </c>
      <c r="R161" s="31">
        <f>SUMIFS(METALFISA!$E:$E,METALFISA!$A:$A,'Faltantes Fevereiro- Metalfisa'!R$3,METALFISA!$B:$B,'Faltantes Fevereiro- Metalfisa'!$A161)</f>
        <v>0</v>
      </c>
      <c r="S161" s="31">
        <f>SUMIFS(METALFISA!$E:$E,METALFISA!$A:$A,'Faltantes Fevereiro- Metalfisa'!S$3,METALFISA!$B:$B,'Faltantes Fevereiro- Metalfisa'!$A161)</f>
        <v>0</v>
      </c>
      <c r="T161" s="31">
        <f>SUMIFS(METALFISA!$E:$E,METALFISA!$A:$A,'Faltantes Fevereiro- Metalfisa'!T$3,METALFISA!$B:$B,'Faltantes Fevereiro- Metalfisa'!$A161)</f>
        <v>0</v>
      </c>
      <c r="U161" s="31">
        <f>SUMIFS(METALFISA!$E:$E,METALFISA!$A:$A,'Faltantes Fevereiro- Metalfisa'!U$3,METALFISA!$B:$B,'Faltantes Fevereiro- Metalfisa'!$A161)</f>
        <v>0</v>
      </c>
      <c r="V161" s="31">
        <f>SUMIFS(METALFISA!$E:$E,METALFISA!$A:$A,'Faltantes Fevereiro- Metalfisa'!V$3,METALFISA!$B:$B,'Faltantes Fevereiro- Metalfisa'!$A161)</f>
        <v>0</v>
      </c>
      <c r="W161" s="31">
        <f>SUMIFS(METALFISA!$E:$E,METALFISA!$A:$A,'Faltantes Fevereiro- Metalfisa'!W$3,METALFISA!$B:$B,'Faltantes Fevereiro- Metalfisa'!$A161)</f>
        <v>0</v>
      </c>
      <c r="X161" s="31">
        <f>SUMIFS(METALFISA!$E:$E,METALFISA!$A:$A,'Faltantes Fevereiro- Metalfisa'!X$3,METALFISA!$B:$B,'Faltantes Fevereiro- Metalfisa'!$A161)</f>
        <v>0</v>
      </c>
      <c r="Y161" s="31">
        <f>SUMIFS(METALFISA!$E:$E,METALFISA!$A:$A,'Faltantes Fevereiro- Metalfisa'!Y$3,METALFISA!$B:$B,'Faltantes Fevereiro- Metalfisa'!$A161)</f>
        <v>0</v>
      </c>
      <c r="Z161" s="31">
        <f>SUMIFS(METALFISA!$E:$E,METALFISA!$A:$A,'Faltantes Fevereiro- Metalfisa'!Z$3,METALFISA!$B:$B,'Faltantes Fevereiro- Metalfisa'!$A161)</f>
        <v>0</v>
      </c>
      <c r="AA161" s="31">
        <f>SUMIFS(METALFISA!$E:$E,METALFISA!$A:$A,'Faltantes Fevereiro- Metalfisa'!AA$3,METALFISA!$B:$B,'Faltantes Fevereiro- Metalfisa'!$A161)</f>
        <v>0</v>
      </c>
      <c r="AB161" s="31">
        <f>SUMIFS(METALFISA!$E:$E,METALFISA!$A:$A,'Faltantes Fevereiro- Metalfisa'!AB$3,METALFISA!$B:$B,'Faltantes Fevereiro- Metalfisa'!$A161)</f>
        <v>0</v>
      </c>
      <c r="AC161" s="31">
        <f>SUMIFS(METALFISA!$E:$E,METALFISA!$A:$A,'Faltantes Fevereiro- Metalfisa'!AC$3,METALFISA!$B:$B,'Faltantes Fevereiro- Metalfisa'!$A161)</f>
        <v>2</v>
      </c>
      <c r="AD161" s="31">
        <f>SUMIFS(METALFISA!$E:$E,METALFISA!$A:$A,'Faltantes Fevereiro- Metalfisa'!AD$3,METALFISA!$B:$B,'Faltantes Fevereiro- Metalfisa'!$A161)</f>
        <v>0</v>
      </c>
      <c r="AE161" s="31">
        <f>SUMIFS(METALFISA!$E:$E,METALFISA!$A:$A,'Faltantes Fevereiro- Metalfisa'!AE$3,METALFISA!$B:$B,'Faltantes Fevereiro- Metalfisa'!$A161)</f>
        <v>0</v>
      </c>
      <c r="AF161" s="31">
        <f>SUMIFS(METALFISA!$E:$E,METALFISA!$A:$A,'Faltantes Fevereiro- Metalfisa'!AF$3,METALFISA!$B:$B,'Faltantes Fevereiro- Metalfisa'!$A161)</f>
        <v>0</v>
      </c>
      <c r="AG161" s="31">
        <f>SUMIFS(METALFISA!$E:$E,METALFISA!$A:$A,'Faltantes Fevereiro- Metalfisa'!AG$3,METALFISA!$B:$B,'Faltantes Fevereiro- Metalfisa'!$A161)</f>
        <v>4</v>
      </c>
      <c r="AH161" s="31">
        <f>SUMIFS(METALFISA!$E:$E,METALFISA!$A:$A,'Faltantes Fevereiro- Metalfisa'!AH$3,METALFISA!$B:$B,'Faltantes Fevereiro- Metalfisa'!$A161)</f>
        <v>0</v>
      </c>
      <c r="AI161" s="31">
        <f>SUMIFS(METALFISA!$E:$E,METALFISA!$A:$A,'Faltantes Fevereiro- Metalfisa'!AI$3,METALFISA!$B:$B,'Faltantes Fevereiro- Metalfisa'!$A161)</f>
        <v>0</v>
      </c>
      <c r="AJ161" s="31">
        <f>SUMIFS(METALFISA!$E:$E,METALFISA!$A:$A,'Faltantes Fevereiro- Metalfisa'!AJ$3,METALFISA!$B:$B,'Faltantes Fevereiro- Metalfisa'!$A161)</f>
        <v>0</v>
      </c>
      <c r="AK161" s="31">
        <f>SUMIFS(METALFISA!$E:$E,METALFISA!$A:$A,'Faltantes Fevereiro- Metalfisa'!AK$3,METALFISA!$B:$B,'Faltantes Fevereiro- Metalfisa'!$A161)</f>
        <v>0</v>
      </c>
      <c r="AL161" s="31">
        <f>SUMIFS(METALFISA!$E:$E,METALFISA!$A:$A,'Faltantes Fevereiro- Metalfisa'!AL$3,METALFISA!$B:$B,'Faltantes Fevereiro- Metalfisa'!$A161)</f>
        <v>0</v>
      </c>
      <c r="AM161" s="31">
        <f>SUMIFS(METALFISA!$E:$E,METALFISA!$A:$A,'Faltantes Fevereiro- Metalfisa'!AM$3,METALFISA!$B:$B,'Faltantes Fevereiro- Metalfisa'!$A161)</f>
        <v>0</v>
      </c>
      <c r="AN161" s="31">
        <f>SUMIFS(METALFISA!$E:$E,METALFISA!$A:$A,'Faltantes Fevereiro- Metalfisa'!AN$3,METALFISA!$B:$B,'Faltantes Fevereiro- Metalfisa'!$A161)</f>
        <v>0</v>
      </c>
      <c r="AO161" s="31">
        <f>SUMIFS(METALFISA!$E:$E,METALFISA!$A:$A,'Faltantes Fevereiro- Metalfisa'!AO$3,METALFISA!$B:$B,'Faltantes Fevereiro- Metalfisa'!$A161)</f>
        <v>0</v>
      </c>
      <c r="AP161" s="31">
        <f>SUMIFS(METALFISA!$E:$E,METALFISA!$A:$A,'Faltantes Fevereiro- Metalfisa'!AP$3,METALFISA!$B:$B,'Faltantes Fevereiro- Metalfisa'!$A161)</f>
        <v>0</v>
      </c>
      <c r="AQ161" s="31"/>
      <c r="AR161" s="31">
        <f>SUMIFS(METALFISA!$E:$E,METALFISA!$A:$A,'Faltantes Fevereiro- Metalfisa'!AR$3,METALFISA!$B:$B,'Faltantes Fevereiro- Metalfisa'!$A161)</f>
        <v>0</v>
      </c>
      <c r="AS161" s="35">
        <f>SUMIFS(METALFISA!$E:$E,METALFISA!$A:$A,'Faltantes Fevereiro- Metalfisa'!AS$3,METALFISA!$B:$B,'Faltantes Fevereiro- Metalfisa'!$A161)</f>
        <v>0</v>
      </c>
      <c r="AU161" s="18">
        <v>0</v>
      </c>
      <c r="AV161" s="18">
        <v>0</v>
      </c>
      <c r="AW161" s="18">
        <v>0</v>
      </c>
      <c r="AX161" s="18">
        <v>0</v>
      </c>
      <c r="AY161" s="41">
        <v>0</v>
      </c>
      <c r="AZ161" s="31">
        <v>0</v>
      </c>
      <c r="BA161" s="31">
        <v>0</v>
      </c>
      <c r="BB161" s="31">
        <v>0</v>
      </c>
      <c r="BC161" s="31">
        <v>0</v>
      </c>
      <c r="BD161" s="31">
        <v>0</v>
      </c>
      <c r="BE161" s="31">
        <v>0</v>
      </c>
      <c r="BF161" s="31">
        <v>0</v>
      </c>
      <c r="BG161" s="31">
        <v>0</v>
      </c>
      <c r="BH161" s="31">
        <v>0</v>
      </c>
      <c r="BI161" s="31">
        <v>0</v>
      </c>
      <c r="BJ161" s="31">
        <v>0</v>
      </c>
      <c r="BK161" s="31">
        <v>0</v>
      </c>
      <c r="BL161" s="31">
        <v>0</v>
      </c>
      <c r="BM161" s="31">
        <v>2</v>
      </c>
      <c r="BN161" s="31">
        <v>0</v>
      </c>
      <c r="BO161" s="31">
        <v>0</v>
      </c>
      <c r="BP161" s="31">
        <v>0</v>
      </c>
      <c r="BQ161" s="31">
        <v>0</v>
      </c>
      <c r="BR161" s="31">
        <v>0</v>
      </c>
      <c r="BS161" s="31">
        <v>0</v>
      </c>
      <c r="BT161" s="31">
        <v>0</v>
      </c>
      <c r="BU161" s="31">
        <v>0</v>
      </c>
      <c r="BV161" s="31">
        <v>0</v>
      </c>
      <c r="BW161" s="31">
        <v>0</v>
      </c>
      <c r="BX161" s="31">
        <v>0</v>
      </c>
      <c r="BY161" s="31">
        <v>0</v>
      </c>
      <c r="BZ161" s="31">
        <v>0</v>
      </c>
      <c r="CA161" s="31">
        <v>0</v>
      </c>
      <c r="CB161" s="31">
        <v>0</v>
      </c>
      <c r="CC161" s="31">
        <v>0</v>
      </c>
      <c r="CD161" s="31">
        <v>0</v>
      </c>
      <c r="CE161" s="31">
        <v>0</v>
      </c>
      <c r="CF161" s="31">
        <v>0</v>
      </c>
      <c r="CG161" s="31">
        <v>0</v>
      </c>
      <c r="CH161" s="31">
        <v>0</v>
      </c>
      <c r="CI161" s="31">
        <v>0</v>
      </c>
      <c r="CJ161" s="31">
        <v>0</v>
      </c>
      <c r="CK161" s="31">
        <v>0</v>
      </c>
      <c r="CL161" s="35">
        <v>0</v>
      </c>
    </row>
    <row r="162" spans="1:90" ht="21" x14ac:dyDescent="0.15">
      <c r="A162" s="27" t="s">
        <v>661</v>
      </c>
      <c r="B162" s="28" t="s">
        <v>662</v>
      </c>
      <c r="C162" s="28">
        <v>0</v>
      </c>
      <c r="D162" s="28">
        <v>0</v>
      </c>
      <c r="E162" s="28">
        <v>0</v>
      </c>
      <c r="F162" s="28">
        <v>0</v>
      </c>
      <c r="G162" s="28">
        <v>10</v>
      </c>
      <c r="H162" s="28">
        <f>IFERROR(VLOOKUP(A162,[1]FALTANTES!$A:$AB,28,FALSE),"-")</f>
        <v>0</v>
      </c>
      <c r="I162" s="42">
        <f>IFERROR(VLOOKUP(A162,[1]FALTANTES!$A:$AC,29,FALSE),"-")</f>
        <v>0</v>
      </c>
      <c r="J162" s="29">
        <f>IFERROR(VLOOKUP(A162,[1]FALTANTES!$A:$AD,30,FALSE),"-")</f>
        <v>-10</v>
      </c>
      <c r="K162" s="30">
        <v>0</v>
      </c>
      <c r="L162" s="30">
        <f t="shared" si="2"/>
        <v>10</v>
      </c>
      <c r="M162" s="31">
        <f>SUMIFS(METALFISA!$E:$E,METALFISA!$A:$A,'Faltantes Fevereiro- Metalfisa'!M$3,METALFISA!$B:$B,'Faltantes Fevereiro- Metalfisa'!$A162)</f>
        <v>0</v>
      </c>
      <c r="N162" s="31">
        <f>SUMIFS(METALFISA!$E:$E,METALFISA!$A:$A,'Faltantes Fevereiro- Metalfisa'!N$3,METALFISA!$B:$B,'Faltantes Fevereiro- Metalfisa'!$A162)</f>
        <v>0</v>
      </c>
      <c r="O162" s="31">
        <f>SUMIFS(METALFISA!$E:$E,METALFISA!$A:$A,'Faltantes Fevereiro- Metalfisa'!O$3,METALFISA!$B:$B,'Faltantes Fevereiro- Metalfisa'!$A162)</f>
        <v>0</v>
      </c>
      <c r="P162" s="31">
        <f>SUMIFS(METALFISA!$E:$E,METALFISA!$A:$A,'Faltantes Fevereiro- Metalfisa'!P$3,METALFISA!$B:$B,'Faltantes Fevereiro- Metalfisa'!$A162)</f>
        <v>0</v>
      </c>
      <c r="Q162" s="31">
        <f>SUMIFS(METALFISA!$E:$E,METALFISA!$A:$A,'Faltantes Fevereiro- Metalfisa'!Q$3,METALFISA!$B:$B,'Faltantes Fevereiro- Metalfisa'!$A162)</f>
        <v>0</v>
      </c>
      <c r="R162" s="31">
        <f>SUMIFS(METALFISA!$E:$E,METALFISA!$A:$A,'Faltantes Fevereiro- Metalfisa'!R$3,METALFISA!$B:$B,'Faltantes Fevereiro- Metalfisa'!$A162)</f>
        <v>0</v>
      </c>
      <c r="S162" s="31">
        <f>SUMIFS(METALFISA!$E:$E,METALFISA!$A:$A,'Faltantes Fevereiro- Metalfisa'!S$3,METALFISA!$B:$B,'Faltantes Fevereiro- Metalfisa'!$A162)</f>
        <v>0</v>
      </c>
      <c r="T162" s="31">
        <f>SUMIFS(METALFISA!$E:$E,METALFISA!$A:$A,'Faltantes Fevereiro- Metalfisa'!T$3,METALFISA!$B:$B,'Faltantes Fevereiro- Metalfisa'!$A162)</f>
        <v>0</v>
      </c>
      <c r="U162" s="31">
        <f>SUMIFS(METALFISA!$E:$E,METALFISA!$A:$A,'Faltantes Fevereiro- Metalfisa'!U$3,METALFISA!$B:$B,'Faltantes Fevereiro- Metalfisa'!$A162)</f>
        <v>0</v>
      </c>
      <c r="V162" s="31">
        <f>SUMIFS(METALFISA!$E:$E,METALFISA!$A:$A,'Faltantes Fevereiro- Metalfisa'!V$3,METALFISA!$B:$B,'Faltantes Fevereiro- Metalfisa'!$A162)</f>
        <v>0</v>
      </c>
      <c r="W162" s="31">
        <f>SUMIFS(METALFISA!$E:$E,METALFISA!$A:$A,'Faltantes Fevereiro- Metalfisa'!W$3,METALFISA!$B:$B,'Faltantes Fevereiro- Metalfisa'!$A162)</f>
        <v>0</v>
      </c>
      <c r="X162" s="31">
        <f>SUMIFS(METALFISA!$E:$E,METALFISA!$A:$A,'Faltantes Fevereiro- Metalfisa'!X$3,METALFISA!$B:$B,'Faltantes Fevereiro- Metalfisa'!$A162)</f>
        <v>0</v>
      </c>
      <c r="Y162" s="31">
        <f>SUMIFS(METALFISA!$E:$E,METALFISA!$A:$A,'Faltantes Fevereiro- Metalfisa'!Y$3,METALFISA!$B:$B,'Faltantes Fevereiro- Metalfisa'!$A162)</f>
        <v>0</v>
      </c>
      <c r="Z162" s="31">
        <f>SUMIFS(METALFISA!$E:$E,METALFISA!$A:$A,'Faltantes Fevereiro- Metalfisa'!Z$3,METALFISA!$B:$B,'Faltantes Fevereiro- Metalfisa'!$A162)</f>
        <v>0</v>
      </c>
      <c r="AA162" s="31">
        <f>SUMIFS(METALFISA!$E:$E,METALFISA!$A:$A,'Faltantes Fevereiro- Metalfisa'!AA$3,METALFISA!$B:$B,'Faltantes Fevereiro- Metalfisa'!$A162)</f>
        <v>0</v>
      </c>
      <c r="AB162" s="31">
        <f>SUMIFS(METALFISA!$E:$E,METALFISA!$A:$A,'Faltantes Fevereiro- Metalfisa'!AB$3,METALFISA!$B:$B,'Faltantes Fevereiro- Metalfisa'!$A162)</f>
        <v>0</v>
      </c>
      <c r="AC162" s="31">
        <f>SUMIFS(METALFISA!$E:$E,METALFISA!$A:$A,'Faltantes Fevereiro- Metalfisa'!AC$3,METALFISA!$B:$B,'Faltantes Fevereiro- Metalfisa'!$A162)</f>
        <v>0</v>
      </c>
      <c r="AD162" s="31">
        <f>SUMIFS(METALFISA!$E:$E,METALFISA!$A:$A,'Faltantes Fevereiro- Metalfisa'!AD$3,METALFISA!$B:$B,'Faltantes Fevereiro- Metalfisa'!$A162)</f>
        <v>0</v>
      </c>
      <c r="AE162" s="31">
        <f>SUMIFS(METALFISA!$E:$E,METALFISA!$A:$A,'Faltantes Fevereiro- Metalfisa'!AE$3,METALFISA!$B:$B,'Faltantes Fevereiro- Metalfisa'!$A162)</f>
        <v>0</v>
      </c>
      <c r="AF162" s="31">
        <f>SUMIFS(METALFISA!$E:$E,METALFISA!$A:$A,'Faltantes Fevereiro- Metalfisa'!AF$3,METALFISA!$B:$B,'Faltantes Fevereiro- Metalfisa'!$A162)</f>
        <v>0</v>
      </c>
      <c r="AG162" s="31">
        <f>SUMIFS(METALFISA!$E:$E,METALFISA!$A:$A,'Faltantes Fevereiro- Metalfisa'!AG$3,METALFISA!$B:$B,'Faltantes Fevereiro- Metalfisa'!$A162)</f>
        <v>10</v>
      </c>
      <c r="AH162" s="31">
        <f>SUMIFS(METALFISA!$E:$E,METALFISA!$A:$A,'Faltantes Fevereiro- Metalfisa'!AH$3,METALFISA!$B:$B,'Faltantes Fevereiro- Metalfisa'!$A162)</f>
        <v>0</v>
      </c>
      <c r="AI162" s="31">
        <f>SUMIFS(METALFISA!$E:$E,METALFISA!$A:$A,'Faltantes Fevereiro- Metalfisa'!AI$3,METALFISA!$B:$B,'Faltantes Fevereiro- Metalfisa'!$A162)</f>
        <v>0</v>
      </c>
      <c r="AJ162" s="31">
        <f>SUMIFS(METALFISA!$E:$E,METALFISA!$A:$A,'Faltantes Fevereiro- Metalfisa'!AJ$3,METALFISA!$B:$B,'Faltantes Fevereiro- Metalfisa'!$A162)</f>
        <v>0</v>
      </c>
      <c r="AK162" s="31">
        <f>SUMIFS(METALFISA!$E:$E,METALFISA!$A:$A,'Faltantes Fevereiro- Metalfisa'!AK$3,METALFISA!$B:$B,'Faltantes Fevereiro- Metalfisa'!$A162)</f>
        <v>0</v>
      </c>
      <c r="AL162" s="31">
        <f>SUMIFS(METALFISA!$E:$E,METALFISA!$A:$A,'Faltantes Fevereiro- Metalfisa'!AL$3,METALFISA!$B:$B,'Faltantes Fevereiro- Metalfisa'!$A162)</f>
        <v>0</v>
      </c>
      <c r="AM162" s="31">
        <f>SUMIFS(METALFISA!$E:$E,METALFISA!$A:$A,'Faltantes Fevereiro- Metalfisa'!AM$3,METALFISA!$B:$B,'Faltantes Fevereiro- Metalfisa'!$A162)</f>
        <v>0</v>
      </c>
      <c r="AN162" s="31">
        <f>SUMIFS(METALFISA!$E:$E,METALFISA!$A:$A,'Faltantes Fevereiro- Metalfisa'!AN$3,METALFISA!$B:$B,'Faltantes Fevereiro- Metalfisa'!$A162)</f>
        <v>0</v>
      </c>
      <c r="AO162" s="31">
        <f>SUMIFS(METALFISA!$E:$E,METALFISA!$A:$A,'Faltantes Fevereiro- Metalfisa'!AO$3,METALFISA!$B:$B,'Faltantes Fevereiro- Metalfisa'!$A162)</f>
        <v>0</v>
      </c>
      <c r="AP162" s="31">
        <f>SUMIFS(METALFISA!$E:$E,METALFISA!$A:$A,'Faltantes Fevereiro- Metalfisa'!AP$3,METALFISA!$B:$B,'Faltantes Fevereiro- Metalfisa'!$A162)</f>
        <v>0</v>
      </c>
      <c r="AQ162" s="31"/>
      <c r="AR162" s="31">
        <f>SUMIFS(METALFISA!$E:$E,METALFISA!$A:$A,'Faltantes Fevereiro- Metalfisa'!AR$3,METALFISA!$B:$B,'Faltantes Fevereiro- Metalfisa'!$A162)</f>
        <v>0</v>
      </c>
      <c r="AS162" s="35">
        <f>SUMIFS(METALFISA!$E:$E,METALFISA!$A:$A,'Faltantes Fevereiro- Metalfisa'!AS$3,METALFISA!$B:$B,'Faltantes Fevereiro- Metalfisa'!$A162)</f>
        <v>0</v>
      </c>
      <c r="AU162" s="18">
        <v>0</v>
      </c>
      <c r="AV162" s="18">
        <v>0</v>
      </c>
      <c r="AW162" s="18">
        <v>0</v>
      </c>
      <c r="AX162" s="18">
        <v>0</v>
      </c>
      <c r="AY162" s="41">
        <v>0</v>
      </c>
      <c r="AZ162" s="31">
        <v>0</v>
      </c>
      <c r="BA162" s="31">
        <v>0</v>
      </c>
      <c r="BB162" s="31">
        <v>0</v>
      </c>
      <c r="BC162" s="31">
        <v>0</v>
      </c>
      <c r="BD162" s="31">
        <v>0</v>
      </c>
      <c r="BE162" s="31">
        <v>0</v>
      </c>
      <c r="BF162" s="31">
        <v>0</v>
      </c>
      <c r="BG162" s="31">
        <v>0</v>
      </c>
      <c r="BH162" s="31">
        <v>0</v>
      </c>
      <c r="BI162" s="31">
        <v>0</v>
      </c>
      <c r="BJ162" s="31">
        <v>0</v>
      </c>
      <c r="BK162" s="31">
        <v>0</v>
      </c>
      <c r="BL162" s="31">
        <v>0</v>
      </c>
      <c r="BM162" s="31">
        <v>5</v>
      </c>
      <c r="BN162" s="31">
        <v>0</v>
      </c>
      <c r="BO162" s="31">
        <v>0</v>
      </c>
      <c r="BP162" s="31">
        <v>0</v>
      </c>
      <c r="BQ162" s="31">
        <v>0</v>
      </c>
      <c r="BR162" s="31">
        <v>0</v>
      </c>
      <c r="BS162" s="31">
        <v>0</v>
      </c>
      <c r="BT162" s="31">
        <v>0</v>
      </c>
      <c r="BU162" s="31">
        <v>0</v>
      </c>
      <c r="BV162" s="31">
        <v>0</v>
      </c>
      <c r="BW162" s="31">
        <v>0</v>
      </c>
      <c r="BX162" s="31">
        <v>0</v>
      </c>
      <c r="BY162" s="31">
        <v>0</v>
      </c>
      <c r="BZ162" s="31">
        <v>0</v>
      </c>
      <c r="CA162" s="31">
        <v>0</v>
      </c>
      <c r="CB162" s="31">
        <v>0</v>
      </c>
      <c r="CC162" s="31">
        <v>0</v>
      </c>
      <c r="CD162" s="31">
        <v>0</v>
      </c>
      <c r="CE162" s="31">
        <v>0</v>
      </c>
      <c r="CF162" s="31">
        <v>0</v>
      </c>
      <c r="CG162" s="31">
        <v>0</v>
      </c>
      <c r="CH162" s="31">
        <v>0</v>
      </c>
      <c r="CI162" s="31">
        <v>0</v>
      </c>
      <c r="CJ162" s="31">
        <v>0</v>
      </c>
      <c r="CK162" s="31">
        <v>0</v>
      </c>
      <c r="CL162" s="35">
        <v>0</v>
      </c>
    </row>
    <row r="163" spans="1:90" x14ac:dyDescent="0.15">
      <c r="A163" s="27" t="s">
        <v>259</v>
      </c>
      <c r="B163" s="28" t="s">
        <v>260</v>
      </c>
      <c r="C163" s="28">
        <v>0</v>
      </c>
      <c r="D163" s="28">
        <v>0</v>
      </c>
      <c r="E163" s="28">
        <v>0</v>
      </c>
      <c r="F163" s="28">
        <v>0</v>
      </c>
      <c r="G163" s="28">
        <v>3</v>
      </c>
      <c r="H163" s="28">
        <f>IFERROR(VLOOKUP(A163,[1]FALTANTES!$A:$AB,28,FALSE),"-")</f>
        <v>0</v>
      </c>
      <c r="I163" s="42">
        <f>IFERROR(VLOOKUP(A163,[1]FALTANTES!$A:$AC,29,FALSE),"-")</f>
        <v>0</v>
      </c>
      <c r="J163" s="29">
        <f>IFERROR(VLOOKUP(A163,[1]FALTANTES!$A:$AD,30,FALSE),"-")</f>
        <v>-3</v>
      </c>
      <c r="K163" s="30">
        <v>0</v>
      </c>
      <c r="L163" s="30">
        <f t="shared" si="2"/>
        <v>3</v>
      </c>
      <c r="M163" s="31">
        <f>SUMIFS(METALFISA!$E:$E,METALFISA!$A:$A,'Faltantes Fevereiro- Metalfisa'!M$3,METALFISA!$B:$B,'Faltantes Fevereiro- Metalfisa'!$A163)</f>
        <v>0</v>
      </c>
      <c r="N163" s="31">
        <f>SUMIFS(METALFISA!$E:$E,METALFISA!$A:$A,'Faltantes Fevereiro- Metalfisa'!N$3,METALFISA!$B:$B,'Faltantes Fevereiro- Metalfisa'!$A163)</f>
        <v>0</v>
      </c>
      <c r="O163" s="31">
        <f>SUMIFS(METALFISA!$E:$E,METALFISA!$A:$A,'Faltantes Fevereiro- Metalfisa'!O$3,METALFISA!$B:$B,'Faltantes Fevereiro- Metalfisa'!$A163)</f>
        <v>0</v>
      </c>
      <c r="P163" s="31">
        <f>SUMIFS(METALFISA!$E:$E,METALFISA!$A:$A,'Faltantes Fevereiro- Metalfisa'!P$3,METALFISA!$B:$B,'Faltantes Fevereiro- Metalfisa'!$A163)</f>
        <v>0</v>
      </c>
      <c r="Q163" s="31">
        <f>SUMIFS(METALFISA!$E:$E,METALFISA!$A:$A,'Faltantes Fevereiro- Metalfisa'!Q$3,METALFISA!$B:$B,'Faltantes Fevereiro- Metalfisa'!$A163)</f>
        <v>0</v>
      </c>
      <c r="R163" s="31">
        <f>SUMIFS(METALFISA!$E:$E,METALFISA!$A:$A,'Faltantes Fevereiro- Metalfisa'!R$3,METALFISA!$B:$B,'Faltantes Fevereiro- Metalfisa'!$A163)</f>
        <v>0</v>
      </c>
      <c r="S163" s="31">
        <f>SUMIFS(METALFISA!$E:$E,METALFISA!$A:$A,'Faltantes Fevereiro- Metalfisa'!S$3,METALFISA!$B:$B,'Faltantes Fevereiro- Metalfisa'!$A163)</f>
        <v>0</v>
      </c>
      <c r="T163" s="31">
        <f>SUMIFS(METALFISA!$E:$E,METALFISA!$A:$A,'Faltantes Fevereiro- Metalfisa'!T$3,METALFISA!$B:$B,'Faltantes Fevereiro- Metalfisa'!$A163)</f>
        <v>0</v>
      </c>
      <c r="U163" s="31">
        <f>SUMIFS(METALFISA!$E:$E,METALFISA!$A:$A,'Faltantes Fevereiro- Metalfisa'!U$3,METALFISA!$B:$B,'Faltantes Fevereiro- Metalfisa'!$A163)</f>
        <v>0</v>
      </c>
      <c r="V163" s="31">
        <f>SUMIFS(METALFISA!$E:$E,METALFISA!$A:$A,'Faltantes Fevereiro- Metalfisa'!V$3,METALFISA!$B:$B,'Faltantes Fevereiro- Metalfisa'!$A163)</f>
        <v>0</v>
      </c>
      <c r="W163" s="31">
        <f>SUMIFS(METALFISA!$E:$E,METALFISA!$A:$A,'Faltantes Fevereiro- Metalfisa'!W$3,METALFISA!$B:$B,'Faltantes Fevereiro- Metalfisa'!$A163)</f>
        <v>0</v>
      </c>
      <c r="X163" s="31">
        <f>SUMIFS(METALFISA!$E:$E,METALFISA!$A:$A,'Faltantes Fevereiro- Metalfisa'!X$3,METALFISA!$B:$B,'Faltantes Fevereiro- Metalfisa'!$A163)</f>
        <v>0</v>
      </c>
      <c r="Y163" s="31">
        <f>SUMIFS(METALFISA!$E:$E,METALFISA!$A:$A,'Faltantes Fevereiro- Metalfisa'!Y$3,METALFISA!$B:$B,'Faltantes Fevereiro- Metalfisa'!$A163)</f>
        <v>0</v>
      </c>
      <c r="Z163" s="31">
        <f>SUMIFS(METALFISA!$E:$E,METALFISA!$A:$A,'Faltantes Fevereiro- Metalfisa'!Z$3,METALFISA!$B:$B,'Faltantes Fevereiro- Metalfisa'!$A163)</f>
        <v>0</v>
      </c>
      <c r="AA163" s="31">
        <f>SUMIFS(METALFISA!$E:$E,METALFISA!$A:$A,'Faltantes Fevereiro- Metalfisa'!AA$3,METALFISA!$B:$B,'Faltantes Fevereiro- Metalfisa'!$A163)</f>
        <v>0</v>
      </c>
      <c r="AB163" s="31">
        <f>SUMIFS(METALFISA!$E:$E,METALFISA!$A:$A,'Faltantes Fevereiro- Metalfisa'!AB$3,METALFISA!$B:$B,'Faltantes Fevereiro- Metalfisa'!$A163)</f>
        <v>0</v>
      </c>
      <c r="AC163" s="31">
        <f>SUMIFS(METALFISA!$E:$E,METALFISA!$A:$A,'Faltantes Fevereiro- Metalfisa'!AC$3,METALFISA!$B:$B,'Faltantes Fevereiro- Metalfisa'!$A163)</f>
        <v>0</v>
      </c>
      <c r="AD163" s="31">
        <f>SUMIFS(METALFISA!$E:$E,METALFISA!$A:$A,'Faltantes Fevereiro- Metalfisa'!AD$3,METALFISA!$B:$B,'Faltantes Fevereiro- Metalfisa'!$A163)</f>
        <v>0</v>
      </c>
      <c r="AE163" s="31">
        <f>SUMIFS(METALFISA!$E:$E,METALFISA!$A:$A,'Faltantes Fevereiro- Metalfisa'!AE$3,METALFISA!$B:$B,'Faltantes Fevereiro- Metalfisa'!$A163)</f>
        <v>0</v>
      </c>
      <c r="AF163" s="31">
        <f>SUMIFS(METALFISA!$E:$E,METALFISA!$A:$A,'Faltantes Fevereiro- Metalfisa'!AF$3,METALFISA!$B:$B,'Faltantes Fevereiro- Metalfisa'!$A163)</f>
        <v>0</v>
      </c>
      <c r="AG163" s="31">
        <f>SUMIFS(METALFISA!$E:$E,METALFISA!$A:$A,'Faltantes Fevereiro- Metalfisa'!AG$3,METALFISA!$B:$B,'Faltantes Fevereiro- Metalfisa'!$A163)</f>
        <v>2</v>
      </c>
      <c r="AH163" s="31">
        <f>SUMIFS(METALFISA!$E:$E,METALFISA!$A:$A,'Faltantes Fevereiro- Metalfisa'!AH$3,METALFISA!$B:$B,'Faltantes Fevereiro- Metalfisa'!$A163)</f>
        <v>0</v>
      </c>
      <c r="AI163" s="31">
        <f>SUMIFS(METALFISA!$E:$E,METALFISA!$A:$A,'Faltantes Fevereiro- Metalfisa'!AI$3,METALFISA!$B:$B,'Faltantes Fevereiro- Metalfisa'!$A163)</f>
        <v>0</v>
      </c>
      <c r="AJ163" s="31">
        <f>SUMIFS(METALFISA!$E:$E,METALFISA!$A:$A,'Faltantes Fevereiro- Metalfisa'!AJ$3,METALFISA!$B:$B,'Faltantes Fevereiro- Metalfisa'!$A163)</f>
        <v>0</v>
      </c>
      <c r="AK163" s="31">
        <f>SUMIFS(METALFISA!$E:$E,METALFISA!$A:$A,'Faltantes Fevereiro- Metalfisa'!AK$3,METALFISA!$B:$B,'Faltantes Fevereiro- Metalfisa'!$A163)</f>
        <v>0</v>
      </c>
      <c r="AL163" s="31">
        <f>SUMIFS(METALFISA!$E:$E,METALFISA!$A:$A,'Faltantes Fevereiro- Metalfisa'!AL$3,METALFISA!$B:$B,'Faltantes Fevereiro- Metalfisa'!$A163)</f>
        <v>0</v>
      </c>
      <c r="AM163" s="31">
        <f>SUMIFS(METALFISA!$E:$E,METALFISA!$A:$A,'Faltantes Fevereiro- Metalfisa'!AM$3,METALFISA!$B:$B,'Faltantes Fevereiro- Metalfisa'!$A163)</f>
        <v>1</v>
      </c>
      <c r="AN163" s="31">
        <f>SUMIFS(METALFISA!$E:$E,METALFISA!$A:$A,'Faltantes Fevereiro- Metalfisa'!AN$3,METALFISA!$B:$B,'Faltantes Fevereiro- Metalfisa'!$A163)</f>
        <v>0</v>
      </c>
      <c r="AO163" s="31">
        <f>SUMIFS(METALFISA!$E:$E,METALFISA!$A:$A,'Faltantes Fevereiro- Metalfisa'!AO$3,METALFISA!$B:$B,'Faltantes Fevereiro- Metalfisa'!$A163)</f>
        <v>0</v>
      </c>
      <c r="AP163" s="31">
        <f>SUMIFS(METALFISA!$E:$E,METALFISA!$A:$A,'Faltantes Fevereiro- Metalfisa'!AP$3,METALFISA!$B:$B,'Faltantes Fevereiro- Metalfisa'!$A163)</f>
        <v>0</v>
      </c>
      <c r="AQ163" s="31"/>
      <c r="AR163" s="31">
        <f>SUMIFS(METALFISA!$E:$E,METALFISA!$A:$A,'Faltantes Fevereiro- Metalfisa'!AR$3,METALFISA!$B:$B,'Faltantes Fevereiro- Metalfisa'!$A163)</f>
        <v>0</v>
      </c>
      <c r="AS163" s="35">
        <f>SUMIFS(METALFISA!$E:$E,METALFISA!$A:$A,'Faltantes Fevereiro- Metalfisa'!AS$3,METALFISA!$B:$B,'Faltantes Fevereiro- Metalfisa'!$A163)</f>
        <v>0</v>
      </c>
      <c r="AU163" s="18">
        <v>0</v>
      </c>
      <c r="AV163" s="18">
        <v>0</v>
      </c>
      <c r="AW163" s="18">
        <v>0</v>
      </c>
      <c r="AX163" s="18">
        <v>0</v>
      </c>
      <c r="AY163" s="41">
        <v>0</v>
      </c>
      <c r="AZ163" s="31">
        <v>0</v>
      </c>
      <c r="BA163" s="31">
        <v>0</v>
      </c>
      <c r="BB163" s="31">
        <v>0</v>
      </c>
      <c r="BC163" s="31">
        <v>0</v>
      </c>
      <c r="BD163" s="31">
        <v>0</v>
      </c>
      <c r="BE163" s="31">
        <v>0</v>
      </c>
      <c r="BF163" s="31">
        <v>0</v>
      </c>
      <c r="BG163" s="31">
        <v>0</v>
      </c>
      <c r="BH163" s="31">
        <v>0</v>
      </c>
      <c r="BI163" s="31">
        <v>0</v>
      </c>
      <c r="BJ163" s="31">
        <v>0</v>
      </c>
      <c r="BK163" s="31">
        <v>0</v>
      </c>
      <c r="BL163" s="31">
        <v>0</v>
      </c>
      <c r="BM163" s="31">
        <v>1</v>
      </c>
      <c r="BN163" s="31">
        <v>0</v>
      </c>
      <c r="BO163" s="31">
        <v>0</v>
      </c>
      <c r="BP163" s="31">
        <v>0</v>
      </c>
      <c r="BQ163" s="31">
        <v>0</v>
      </c>
      <c r="BR163" s="31">
        <v>0</v>
      </c>
      <c r="BS163" s="31">
        <v>0</v>
      </c>
      <c r="BT163" s="31">
        <v>0</v>
      </c>
      <c r="BU163" s="31">
        <v>0</v>
      </c>
      <c r="BV163" s="31">
        <v>0</v>
      </c>
      <c r="BW163" s="31">
        <v>0</v>
      </c>
      <c r="BX163" s="31">
        <v>0</v>
      </c>
      <c r="BY163" s="31">
        <v>0</v>
      </c>
      <c r="BZ163" s="31">
        <v>0</v>
      </c>
      <c r="CA163" s="31">
        <v>0</v>
      </c>
      <c r="CB163" s="31">
        <v>0</v>
      </c>
      <c r="CC163" s="31">
        <v>0</v>
      </c>
      <c r="CD163" s="31">
        <v>0</v>
      </c>
      <c r="CE163" s="31">
        <v>0</v>
      </c>
      <c r="CF163" s="31">
        <v>0</v>
      </c>
      <c r="CG163" s="31">
        <v>0</v>
      </c>
      <c r="CH163" s="31">
        <v>0</v>
      </c>
      <c r="CI163" s="31">
        <v>0</v>
      </c>
      <c r="CJ163" s="31">
        <v>0</v>
      </c>
      <c r="CK163" s="31">
        <v>0</v>
      </c>
      <c r="CL163" s="35">
        <v>0</v>
      </c>
    </row>
    <row r="164" spans="1:90" x14ac:dyDescent="0.15">
      <c r="A164" s="27" t="s">
        <v>663</v>
      </c>
      <c r="B164" s="28" t="s">
        <v>664</v>
      </c>
      <c r="C164" s="28">
        <v>0</v>
      </c>
      <c r="D164" s="28">
        <v>0</v>
      </c>
      <c r="E164" s="28">
        <v>0</v>
      </c>
      <c r="F164" s="28">
        <v>0</v>
      </c>
      <c r="G164" s="28">
        <v>4</v>
      </c>
      <c r="H164" s="28">
        <f>IFERROR(VLOOKUP(A164,[1]FALTANTES!$A:$AB,28,FALSE),"-")</f>
        <v>0</v>
      </c>
      <c r="I164" s="42">
        <f>IFERROR(VLOOKUP(A164,[1]FALTANTES!$A:$AC,29,FALSE),"-")</f>
        <v>0</v>
      </c>
      <c r="J164" s="29">
        <f>IFERROR(VLOOKUP(A164,[1]FALTANTES!$A:$AD,30,FALSE),"-")</f>
        <v>-4</v>
      </c>
      <c r="K164" s="30">
        <v>0</v>
      </c>
      <c r="L164" s="30">
        <f t="shared" si="2"/>
        <v>4</v>
      </c>
      <c r="M164" s="31">
        <f>SUMIFS(METALFISA!$E:$E,METALFISA!$A:$A,'Faltantes Fevereiro- Metalfisa'!M$3,METALFISA!$B:$B,'Faltantes Fevereiro- Metalfisa'!$A164)</f>
        <v>0</v>
      </c>
      <c r="N164" s="31">
        <f>SUMIFS(METALFISA!$E:$E,METALFISA!$A:$A,'Faltantes Fevereiro- Metalfisa'!N$3,METALFISA!$B:$B,'Faltantes Fevereiro- Metalfisa'!$A164)</f>
        <v>0</v>
      </c>
      <c r="O164" s="31">
        <f>SUMIFS(METALFISA!$E:$E,METALFISA!$A:$A,'Faltantes Fevereiro- Metalfisa'!O$3,METALFISA!$B:$B,'Faltantes Fevereiro- Metalfisa'!$A164)</f>
        <v>0</v>
      </c>
      <c r="P164" s="31">
        <f>SUMIFS(METALFISA!$E:$E,METALFISA!$A:$A,'Faltantes Fevereiro- Metalfisa'!P$3,METALFISA!$B:$B,'Faltantes Fevereiro- Metalfisa'!$A164)</f>
        <v>0</v>
      </c>
      <c r="Q164" s="31">
        <f>SUMIFS(METALFISA!$E:$E,METALFISA!$A:$A,'Faltantes Fevereiro- Metalfisa'!Q$3,METALFISA!$B:$B,'Faltantes Fevereiro- Metalfisa'!$A164)</f>
        <v>0</v>
      </c>
      <c r="R164" s="31">
        <f>SUMIFS(METALFISA!$E:$E,METALFISA!$A:$A,'Faltantes Fevereiro- Metalfisa'!R$3,METALFISA!$B:$B,'Faltantes Fevereiro- Metalfisa'!$A164)</f>
        <v>0</v>
      </c>
      <c r="S164" s="31">
        <f>SUMIFS(METALFISA!$E:$E,METALFISA!$A:$A,'Faltantes Fevereiro- Metalfisa'!S$3,METALFISA!$B:$B,'Faltantes Fevereiro- Metalfisa'!$A164)</f>
        <v>0</v>
      </c>
      <c r="T164" s="31">
        <f>SUMIFS(METALFISA!$E:$E,METALFISA!$A:$A,'Faltantes Fevereiro- Metalfisa'!T$3,METALFISA!$B:$B,'Faltantes Fevereiro- Metalfisa'!$A164)</f>
        <v>0</v>
      </c>
      <c r="U164" s="31">
        <f>SUMIFS(METALFISA!$E:$E,METALFISA!$A:$A,'Faltantes Fevereiro- Metalfisa'!U$3,METALFISA!$B:$B,'Faltantes Fevereiro- Metalfisa'!$A164)</f>
        <v>0</v>
      </c>
      <c r="V164" s="31">
        <f>SUMIFS(METALFISA!$E:$E,METALFISA!$A:$A,'Faltantes Fevereiro- Metalfisa'!V$3,METALFISA!$B:$B,'Faltantes Fevereiro- Metalfisa'!$A164)</f>
        <v>0</v>
      </c>
      <c r="W164" s="31">
        <f>SUMIFS(METALFISA!$E:$E,METALFISA!$A:$A,'Faltantes Fevereiro- Metalfisa'!W$3,METALFISA!$B:$B,'Faltantes Fevereiro- Metalfisa'!$A164)</f>
        <v>0</v>
      </c>
      <c r="X164" s="31">
        <f>SUMIFS(METALFISA!$E:$E,METALFISA!$A:$A,'Faltantes Fevereiro- Metalfisa'!X$3,METALFISA!$B:$B,'Faltantes Fevereiro- Metalfisa'!$A164)</f>
        <v>0</v>
      </c>
      <c r="Y164" s="31">
        <f>SUMIFS(METALFISA!$E:$E,METALFISA!$A:$A,'Faltantes Fevereiro- Metalfisa'!Y$3,METALFISA!$B:$B,'Faltantes Fevereiro- Metalfisa'!$A164)</f>
        <v>0</v>
      </c>
      <c r="Z164" s="31">
        <f>SUMIFS(METALFISA!$E:$E,METALFISA!$A:$A,'Faltantes Fevereiro- Metalfisa'!Z$3,METALFISA!$B:$B,'Faltantes Fevereiro- Metalfisa'!$A164)</f>
        <v>0</v>
      </c>
      <c r="AA164" s="31">
        <f>SUMIFS(METALFISA!$E:$E,METALFISA!$A:$A,'Faltantes Fevereiro- Metalfisa'!AA$3,METALFISA!$B:$B,'Faltantes Fevereiro- Metalfisa'!$A164)</f>
        <v>0</v>
      </c>
      <c r="AB164" s="31">
        <f>SUMIFS(METALFISA!$E:$E,METALFISA!$A:$A,'Faltantes Fevereiro- Metalfisa'!AB$3,METALFISA!$B:$B,'Faltantes Fevereiro- Metalfisa'!$A164)</f>
        <v>0</v>
      </c>
      <c r="AC164" s="31">
        <f>SUMIFS(METALFISA!$E:$E,METALFISA!$A:$A,'Faltantes Fevereiro- Metalfisa'!AC$3,METALFISA!$B:$B,'Faltantes Fevereiro- Metalfisa'!$A164)</f>
        <v>0</v>
      </c>
      <c r="AD164" s="31">
        <f>SUMIFS(METALFISA!$E:$E,METALFISA!$A:$A,'Faltantes Fevereiro- Metalfisa'!AD$3,METALFISA!$B:$B,'Faltantes Fevereiro- Metalfisa'!$A164)</f>
        <v>0</v>
      </c>
      <c r="AE164" s="31">
        <f>SUMIFS(METALFISA!$E:$E,METALFISA!$A:$A,'Faltantes Fevereiro- Metalfisa'!AE$3,METALFISA!$B:$B,'Faltantes Fevereiro- Metalfisa'!$A164)</f>
        <v>0</v>
      </c>
      <c r="AF164" s="31">
        <f>SUMIFS(METALFISA!$E:$E,METALFISA!$A:$A,'Faltantes Fevereiro- Metalfisa'!AF$3,METALFISA!$B:$B,'Faltantes Fevereiro- Metalfisa'!$A164)</f>
        <v>0</v>
      </c>
      <c r="AG164" s="31">
        <f>SUMIFS(METALFISA!$E:$E,METALFISA!$A:$A,'Faltantes Fevereiro- Metalfisa'!AG$3,METALFISA!$B:$B,'Faltantes Fevereiro- Metalfisa'!$A164)</f>
        <v>4</v>
      </c>
      <c r="AH164" s="31">
        <f>SUMIFS(METALFISA!$E:$E,METALFISA!$A:$A,'Faltantes Fevereiro- Metalfisa'!AH$3,METALFISA!$B:$B,'Faltantes Fevereiro- Metalfisa'!$A164)</f>
        <v>0</v>
      </c>
      <c r="AI164" s="31">
        <f>SUMIFS(METALFISA!$E:$E,METALFISA!$A:$A,'Faltantes Fevereiro- Metalfisa'!AI$3,METALFISA!$B:$B,'Faltantes Fevereiro- Metalfisa'!$A164)</f>
        <v>0</v>
      </c>
      <c r="AJ164" s="31">
        <f>SUMIFS(METALFISA!$E:$E,METALFISA!$A:$A,'Faltantes Fevereiro- Metalfisa'!AJ$3,METALFISA!$B:$B,'Faltantes Fevereiro- Metalfisa'!$A164)</f>
        <v>0</v>
      </c>
      <c r="AK164" s="31">
        <f>SUMIFS(METALFISA!$E:$E,METALFISA!$A:$A,'Faltantes Fevereiro- Metalfisa'!AK$3,METALFISA!$B:$B,'Faltantes Fevereiro- Metalfisa'!$A164)</f>
        <v>0</v>
      </c>
      <c r="AL164" s="31">
        <f>SUMIFS(METALFISA!$E:$E,METALFISA!$A:$A,'Faltantes Fevereiro- Metalfisa'!AL$3,METALFISA!$B:$B,'Faltantes Fevereiro- Metalfisa'!$A164)</f>
        <v>0</v>
      </c>
      <c r="AM164" s="31">
        <f>SUMIFS(METALFISA!$E:$E,METALFISA!$A:$A,'Faltantes Fevereiro- Metalfisa'!AM$3,METALFISA!$B:$B,'Faltantes Fevereiro- Metalfisa'!$A164)</f>
        <v>0</v>
      </c>
      <c r="AN164" s="31">
        <f>SUMIFS(METALFISA!$E:$E,METALFISA!$A:$A,'Faltantes Fevereiro- Metalfisa'!AN$3,METALFISA!$B:$B,'Faltantes Fevereiro- Metalfisa'!$A164)</f>
        <v>0</v>
      </c>
      <c r="AO164" s="31">
        <f>SUMIFS(METALFISA!$E:$E,METALFISA!$A:$A,'Faltantes Fevereiro- Metalfisa'!AO$3,METALFISA!$B:$B,'Faltantes Fevereiro- Metalfisa'!$A164)</f>
        <v>0</v>
      </c>
      <c r="AP164" s="31">
        <f>SUMIFS(METALFISA!$E:$E,METALFISA!$A:$A,'Faltantes Fevereiro- Metalfisa'!AP$3,METALFISA!$B:$B,'Faltantes Fevereiro- Metalfisa'!$A164)</f>
        <v>0</v>
      </c>
      <c r="AQ164" s="31"/>
      <c r="AR164" s="31">
        <f>SUMIFS(METALFISA!$E:$E,METALFISA!$A:$A,'Faltantes Fevereiro- Metalfisa'!AR$3,METALFISA!$B:$B,'Faltantes Fevereiro- Metalfisa'!$A164)</f>
        <v>0</v>
      </c>
      <c r="AS164" s="35">
        <f>SUMIFS(METALFISA!$E:$E,METALFISA!$A:$A,'Faltantes Fevereiro- Metalfisa'!AS$3,METALFISA!$B:$B,'Faltantes Fevereiro- Metalfisa'!$A164)</f>
        <v>0</v>
      </c>
      <c r="AU164" s="18">
        <v>0</v>
      </c>
      <c r="AV164" s="18">
        <v>0</v>
      </c>
      <c r="AW164" s="18">
        <v>0</v>
      </c>
      <c r="AX164" s="18">
        <v>0</v>
      </c>
      <c r="AY164" s="41">
        <v>0</v>
      </c>
      <c r="AZ164" s="31">
        <v>0</v>
      </c>
      <c r="BA164" s="31">
        <v>0</v>
      </c>
      <c r="BB164" s="31">
        <v>0</v>
      </c>
      <c r="BC164" s="31">
        <v>0</v>
      </c>
      <c r="BD164" s="31">
        <v>0</v>
      </c>
      <c r="BE164" s="31">
        <v>0</v>
      </c>
      <c r="BF164" s="31">
        <v>0</v>
      </c>
      <c r="BG164" s="31">
        <v>0</v>
      </c>
      <c r="BH164" s="31">
        <v>0</v>
      </c>
      <c r="BI164" s="31">
        <v>0</v>
      </c>
      <c r="BJ164" s="31">
        <v>0</v>
      </c>
      <c r="BK164" s="31">
        <v>0</v>
      </c>
      <c r="BL164" s="31">
        <v>0</v>
      </c>
      <c r="BM164" s="31">
        <v>2</v>
      </c>
      <c r="BN164" s="31">
        <v>0</v>
      </c>
      <c r="BO164" s="31">
        <v>0</v>
      </c>
      <c r="BP164" s="31">
        <v>0</v>
      </c>
      <c r="BQ164" s="31">
        <v>0</v>
      </c>
      <c r="BR164" s="31">
        <v>0</v>
      </c>
      <c r="BS164" s="31">
        <v>0</v>
      </c>
      <c r="BT164" s="31">
        <v>0</v>
      </c>
      <c r="BU164" s="31">
        <v>0</v>
      </c>
      <c r="BV164" s="31">
        <v>0</v>
      </c>
      <c r="BW164" s="31">
        <v>0</v>
      </c>
      <c r="BX164" s="31">
        <v>0</v>
      </c>
      <c r="BY164" s="31">
        <v>0</v>
      </c>
      <c r="BZ164" s="31">
        <v>0</v>
      </c>
      <c r="CA164" s="31">
        <v>0</v>
      </c>
      <c r="CB164" s="31">
        <v>0</v>
      </c>
      <c r="CC164" s="31">
        <v>0</v>
      </c>
      <c r="CD164" s="31">
        <v>0</v>
      </c>
      <c r="CE164" s="31">
        <v>0</v>
      </c>
      <c r="CF164" s="31">
        <v>0</v>
      </c>
      <c r="CG164" s="31">
        <v>0</v>
      </c>
      <c r="CH164" s="31">
        <v>0</v>
      </c>
      <c r="CI164" s="31">
        <v>0</v>
      </c>
      <c r="CJ164" s="31">
        <v>0</v>
      </c>
      <c r="CK164" s="31">
        <v>0</v>
      </c>
      <c r="CL164" s="35">
        <v>0</v>
      </c>
    </row>
    <row r="165" spans="1:90" ht="21" x14ac:dyDescent="0.15">
      <c r="A165" s="27" t="s">
        <v>665</v>
      </c>
      <c r="B165" s="28" t="s">
        <v>666</v>
      </c>
      <c r="C165" s="28">
        <v>0</v>
      </c>
      <c r="D165" s="28">
        <v>0</v>
      </c>
      <c r="E165" s="28">
        <v>0</v>
      </c>
      <c r="F165" s="28">
        <v>0</v>
      </c>
      <c r="G165" s="28">
        <v>3</v>
      </c>
      <c r="H165" s="28">
        <f>IFERROR(VLOOKUP(A165,[1]FALTANTES!$A:$AB,28,FALSE),"-")</f>
        <v>0</v>
      </c>
      <c r="I165" s="42">
        <f>IFERROR(VLOOKUP(A165,[1]FALTANTES!$A:$AC,29,FALSE),"-")</f>
        <v>0</v>
      </c>
      <c r="J165" s="29">
        <f>IFERROR(VLOOKUP(A165,[1]FALTANTES!$A:$AD,30,FALSE),"-")</f>
        <v>-3</v>
      </c>
      <c r="K165" s="30">
        <v>0</v>
      </c>
      <c r="L165" s="30">
        <f t="shared" si="2"/>
        <v>3</v>
      </c>
      <c r="M165" s="31">
        <f>SUMIFS(METALFISA!$E:$E,METALFISA!$A:$A,'Faltantes Fevereiro- Metalfisa'!M$3,METALFISA!$B:$B,'Faltantes Fevereiro- Metalfisa'!$A165)</f>
        <v>0</v>
      </c>
      <c r="N165" s="31">
        <f>SUMIFS(METALFISA!$E:$E,METALFISA!$A:$A,'Faltantes Fevereiro- Metalfisa'!N$3,METALFISA!$B:$B,'Faltantes Fevereiro- Metalfisa'!$A165)</f>
        <v>0</v>
      </c>
      <c r="O165" s="31">
        <f>SUMIFS(METALFISA!$E:$E,METALFISA!$A:$A,'Faltantes Fevereiro- Metalfisa'!O$3,METALFISA!$B:$B,'Faltantes Fevereiro- Metalfisa'!$A165)</f>
        <v>0</v>
      </c>
      <c r="P165" s="31">
        <f>SUMIFS(METALFISA!$E:$E,METALFISA!$A:$A,'Faltantes Fevereiro- Metalfisa'!P$3,METALFISA!$B:$B,'Faltantes Fevereiro- Metalfisa'!$A165)</f>
        <v>0</v>
      </c>
      <c r="Q165" s="31">
        <f>SUMIFS(METALFISA!$E:$E,METALFISA!$A:$A,'Faltantes Fevereiro- Metalfisa'!Q$3,METALFISA!$B:$B,'Faltantes Fevereiro- Metalfisa'!$A165)</f>
        <v>0</v>
      </c>
      <c r="R165" s="31">
        <f>SUMIFS(METALFISA!$E:$E,METALFISA!$A:$A,'Faltantes Fevereiro- Metalfisa'!R$3,METALFISA!$B:$B,'Faltantes Fevereiro- Metalfisa'!$A165)</f>
        <v>0</v>
      </c>
      <c r="S165" s="31">
        <f>SUMIFS(METALFISA!$E:$E,METALFISA!$A:$A,'Faltantes Fevereiro- Metalfisa'!S$3,METALFISA!$B:$B,'Faltantes Fevereiro- Metalfisa'!$A165)</f>
        <v>0</v>
      </c>
      <c r="T165" s="31">
        <f>SUMIFS(METALFISA!$E:$E,METALFISA!$A:$A,'Faltantes Fevereiro- Metalfisa'!T$3,METALFISA!$B:$B,'Faltantes Fevereiro- Metalfisa'!$A165)</f>
        <v>0</v>
      </c>
      <c r="U165" s="31">
        <f>SUMIFS(METALFISA!$E:$E,METALFISA!$A:$A,'Faltantes Fevereiro- Metalfisa'!U$3,METALFISA!$B:$B,'Faltantes Fevereiro- Metalfisa'!$A165)</f>
        <v>0</v>
      </c>
      <c r="V165" s="31">
        <f>SUMIFS(METALFISA!$E:$E,METALFISA!$A:$A,'Faltantes Fevereiro- Metalfisa'!V$3,METALFISA!$B:$B,'Faltantes Fevereiro- Metalfisa'!$A165)</f>
        <v>0</v>
      </c>
      <c r="W165" s="31">
        <f>SUMIFS(METALFISA!$E:$E,METALFISA!$A:$A,'Faltantes Fevereiro- Metalfisa'!W$3,METALFISA!$B:$B,'Faltantes Fevereiro- Metalfisa'!$A165)</f>
        <v>0</v>
      </c>
      <c r="X165" s="31">
        <f>SUMIFS(METALFISA!$E:$E,METALFISA!$A:$A,'Faltantes Fevereiro- Metalfisa'!X$3,METALFISA!$B:$B,'Faltantes Fevereiro- Metalfisa'!$A165)</f>
        <v>0</v>
      </c>
      <c r="Y165" s="31">
        <f>SUMIFS(METALFISA!$E:$E,METALFISA!$A:$A,'Faltantes Fevereiro- Metalfisa'!Y$3,METALFISA!$B:$B,'Faltantes Fevereiro- Metalfisa'!$A165)</f>
        <v>0</v>
      </c>
      <c r="Z165" s="31">
        <f>SUMIFS(METALFISA!$E:$E,METALFISA!$A:$A,'Faltantes Fevereiro- Metalfisa'!Z$3,METALFISA!$B:$B,'Faltantes Fevereiro- Metalfisa'!$A165)</f>
        <v>0</v>
      </c>
      <c r="AA165" s="31">
        <f>SUMIFS(METALFISA!$E:$E,METALFISA!$A:$A,'Faltantes Fevereiro- Metalfisa'!AA$3,METALFISA!$B:$B,'Faltantes Fevereiro- Metalfisa'!$A165)</f>
        <v>0</v>
      </c>
      <c r="AB165" s="31">
        <f>SUMIFS(METALFISA!$E:$E,METALFISA!$A:$A,'Faltantes Fevereiro- Metalfisa'!AB$3,METALFISA!$B:$B,'Faltantes Fevereiro- Metalfisa'!$A165)</f>
        <v>0</v>
      </c>
      <c r="AC165" s="31">
        <f>SUMIFS(METALFISA!$E:$E,METALFISA!$A:$A,'Faltantes Fevereiro- Metalfisa'!AC$3,METALFISA!$B:$B,'Faltantes Fevereiro- Metalfisa'!$A165)</f>
        <v>1</v>
      </c>
      <c r="AD165" s="31">
        <f>SUMIFS(METALFISA!$E:$E,METALFISA!$A:$A,'Faltantes Fevereiro- Metalfisa'!AD$3,METALFISA!$B:$B,'Faltantes Fevereiro- Metalfisa'!$A165)</f>
        <v>0</v>
      </c>
      <c r="AE165" s="31">
        <f>SUMIFS(METALFISA!$E:$E,METALFISA!$A:$A,'Faltantes Fevereiro- Metalfisa'!AE$3,METALFISA!$B:$B,'Faltantes Fevereiro- Metalfisa'!$A165)</f>
        <v>0</v>
      </c>
      <c r="AF165" s="31">
        <f>SUMIFS(METALFISA!$E:$E,METALFISA!$A:$A,'Faltantes Fevereiro- Metalfisa'!AF$3,METALFISA!$B:$B,'Faltantes Fevereiro- Metalfisa'!$A165)</f>
        <v>0</v>
      </c>
      <c r="AG165" s="31">
        <f>SUMIFS(METALFISA!$E:$E,METALFISA!$A:$A,'Faltantes Fevereiro- Metalfisa'!AG$3,METALFISA!$B:$B,'Faltantes Fevereiro- Metalfisa'!$A165)</f>
        <v>2</v>
      </c>
      <c r="AH165" s="31">
        <f>SUMIFS(METALFISA!$E:$E,METALFISA!$A:$A,'Faltantes Fevereiro- Metalfisa'!AH$3,METALFISA!$B:$B,'Faltantes Fevereiro- Metalfisa'!$A165)</f>
        <v>0</v>
      </c>
      <c r="AI165" s="31">
        <f>SUMIFS(METALFISA!$E:$E,METALFISA!$A:$A,'Faltantes Fevereiro- Metalfisa'!AI$3,METALFISA!$B:$B,'Faltantes Fevereiro- Metalfisa'!$A165)</f>
        <v>0</v>
      </c>
      <c r="AJ165" s="31">
        <f>SUMIFS(METALFISA!$E:$E,METALFISA!$A:$A,'Faltantes Fevereiro- Metalfisa'!AJ$3,METALFISA!$B:$B,'Faltantes Fevereiro- Metalfisa'!$A165)</f>
        <v>0</v>
      </c>
      <c r="AK165" s="31">
        <f>SUMIFS(METALFISA!$E:$E,METALFISA!$A:$A,'Faltantes Fevereiro- Metalfisa'!AK$3,METALFISA!$B:$B,'Faltantes Fevereiro- Metalfisa'!$A165)</f>
        <v>0</v>
      </c>
      <c r="AL165" s="31">
        <f>SUMIFS(METALFISA!$E:$E,METALFISA!$A:$A,'Faltantes Fevereiro- Metalfisa'!AL$3,METALFISA!$B:$B,'Faltantes Fevereiro- Metalfisa'!$A165)</f>
        <v>0</v>
      </c>
      <c r="AM165" s="31">
        <f>SUMIFS(METALFISA!$E:$E,METALFISA!$A:$A,'Faltantes Fevereiro- Metalfisa'!AM$3,METALFISA!$B:$B,'Faltantes Fevereiro- Metalfisa'!$A165)</f>
        <v>0</v>
      </c>
      <c r="AN165" s="31">
        <f>SUMIFS(METALFISA!$E:$E,METALFISA!$A:$A,'Faltantes Fevereiro- Metalfisa'!AN$3,METALFISA!$B:$B,'Faltantes Fevereiro- Metalfisa'!$A165)</f>
        <v>0</v>
      </c>
      <c r="AO165" s="31">
        <f>SUMIFS(METALFISA!$E:$E,METALFISA!$A:$A,'Faltantes Fevereiro- Metalfisa'!AO$3,METALFISA!$B:$B,'Faltantes Fevereiro- Metalfisa'!$A165)</f>
        <v>0</v>
      </c>
      <c r="AP165" s="31">
        <f>SUMIFS(METALFISA!$E:$E,METALFISA!$A:$A,'Faltantes Fevereiro- Metalfisa'!AP$3,METALFISA!$B:$B,'Faltantes Fevereiro- Metalfisa'!$A165)</f>
        <v>0</v>
      </c>
      <c r="AQ165" s="31"/>
      <c r="AR165" s="31">
        <f>SUMIFS(METALFISA!$E:$E,METALFISA!$A:$A,'Faltantes Fevereiro- Metalfisa'!AR$3,METALFISA!$B:$B,'Faltantes Fevereiro- Metalfisa'!$A165)</f>
        <v>0</v>
      </c>
      <c r="AS165" s="35">
        <f>SUMIFS(METALFISA!$E:$E,METALFISA!$A:$A,'Faltantes Fevereiro- Metalfisa'!AS$3,METALFISA!$B:$B,'Faltantes Fevereiro- Metalfisa'!$A165)</f>
        <v>0</v>
      </c>
      <c r="AU165" s="18">
        <v>0</v>
      </c>
      <c r="AV165" s="18">
        <v>0</v>
      </c>
      <c r="AW165" s="18">
        <v>0</v>
      </c>
      <c r="AX165" s="18">
        <v>0</v>
      </c>
      <c r="AY165" s="41">
        <v>0</v>
      </c>
      <c r="AZ165" s="31">
        <v>0</v>
      </c>
      <c r="BA165" s="31">
        <v>0</v>
      </c>
      <c r="BB165" s="31">
        <v>0</v>
      </c>
      <c r="BC165" s="31">
        <v>0</v>
      </c>
      <c r="BD165" s="31">
        <v>0</v>
      </c>
      <c r="BE165" s="31">
        <v>0</v>
      </c>
      <c r="BF165" s="31">
        <v>0</v>
      </c>
      <c r="BG165" s="31">
        <v>0</v>
      </c>
      <c r="BH165" s="31">
        <v>0</v>
      </c>
      <c r="BI165" s="31">
        <v>0</v>
      </c>
      <c r="BJ165" s="31">
        <v>0</v>
      </c>
      <c r="BK165" s="31">
        <v>0</v>
      </c>
      <c r="BL165" s="31">
        <v>0</v>
      </c>
      <c r="BM165" s="31">
        <v>1</v>
      </c>
      <c r="BN165" s="31">
        <v>0</v>
      </c>
      <c r="BO165" s="31">
        <v>0</v>
      </c>
      <c r="BP165" s="31">
        <v>0</v>
      </c>
      <c r="BQ165" s="31">
        <v>0</v>
      </c>
      <c r="BR165" s="31">
        <v>0</v>
      </c>
      <c r="BS165" s="31">
        <v>0</v>
      </c>
      <c r="BT165" s="31">
        <v>0</v>
      </c>
      <c r="BU165" s="31">
        <v>0</v>
      </c>
      <c r="BV165" s="31">
        <v>0</v>
      </c>
      <c r="BW165" s="31">
        <v>0</v>
      </c>
      <c r="BX165" s="31">
        <v>0</v>
      </c>
      <c r="BY165" s="31">
        <v>0</v>
      </c>
      <c r="BZ165" s="31">
        <v>0</v>
      </c>
      <c r="CA165" s="31">
        <v>0</v>
      </c>
      <c r="CB165" s="31">
        <v>0</v>
      </c>
      <c r="CC165" s="31">
        <v>0</v>
      </c>
      <c r="CD165" s="31">
        <v>0</v>
      </c>
      <c r="CE165" s="31">
        <v>0</v>
      </c>
      <c r="CF165" s="31">
        <v>0</v>
      </c>
      <c r="CG165" s="31">
        <v>0</v>
      </c>
      <c r="CH165" s="31">
        <v>0</v>
      </c>
      <c r="CI165" s="31">
        <v>0</v>
      </c>
      <c r="CJ165" s="31">
        <v>0</v>
      </c>
      <c r="CK165" s="31">
        <v>0</v>
      </c>
      <c r="CL165" s="35">
        <v>0</v>
      </c>
    </row>
    <row r="166" spans="1:90" ht="21" x14ac:dyDescent="0.15">
      <c r="A166" s="27" t="s">
        <v>667</v>
      </c>
      <c r="B166" s="28" t="s">
        <v>668</v>
      </c>
      <c r="C166" s="28">
        <v>0</v>
      </c>
      <c r="D166" s="28">
        <v>0</v>
      </c>
      <c r="E166" s="28">
        <v>0</v>
      </c>
      <c r="F166" s="28">
        <v>0</v>
      </c>
      <c r="G166" s="28">
        <v>4</v>
      </c>
      <c r="H166" s="28">
        <f>IFERROR(VLOOKUP(A166,[1]FALTANTES!$A:$AB,28,FALSE),"-")</f>
        <v>0</v>
      </c>
      <c r="I166" s="42">
        <f>IFERROR(VLOOKUP(A166,[1]FALTANTES!$A:$AC,29,FALSE),"-")</f>
        <v>2</v>
      </c>
      <c r="J166" s="29">
        <f>IFERROR(VLOOKUP(A166,[1]FALTANTES!$A:$AD,30,FALSE),"-")</f>
        <v>-2</v>
      </c>
      <c r="K166" s="30">
        <v>0</v>
      </c>
      <c r="L166" s="30">
        <f t="shared" si="2"/>
        <v>1</v>
      </c>
      <c r="M166" s="31">
        <f>SUMIFS(METALFISA!$E:$E,METALFISA!$A:$A,'Faltantes Fevereiro- Metalfisa'!M$3,METALFISA!$B:$B,'Faltantes Fevereiro- Metalfisa'!$A166)</f>
        <v>0</v>
      </c>
      <c r="N166" s="31">
        <f>SUMIFS(METALFISA!$E:$E,METALFISA!$A:$A,'Faltantes Fevereiro- Metalfisa'!N$3,METALFISA!$B:$B,'Faltantes Fevereiro- Metalfisa'!$A166)</f>
        <v>0</v>
      </c>
      <c r="O166" s="31">
        <f>SUMIFS(METALFISA!$E:$E,METALFISA!$A:$A,'Faltantes Fevereiro- Metalfisa'!O$3,METALFISA!$B:$B,'Faltantes Fevereiro- Metalfisa'!$A166)</f>
        <v>0</v>
      </c>
      <c r="P166" s="31">
        <f>SUMIFS(METALFISA!$E:$E,METALFISA!$A:$A,'Faltantes Fevereiro- Metalfisa'!P$3,METALFISA!$B:$B,'Faltantes Fevereiro- Metalfisa'!$A166)</f>
        <v>0</v>
      </c>
      <c r="Q166" s="31">
        <f>SUMIFS(METALFISA!$E:$E,METALFISA!$A:$A,'Faltantes Fevereiro- Metalfisa'!Q$3,METALFISA!$B:$B,'Faltantes Fevereiro- Metalfisa'!$A166)</f>
        <v>0</v>
      </c>
      <c r="R166" s="31">
        <f>SUMIFS(METALFISA!$E:$E,METALFISA!$A:$A,'Faltantes Fevereiro- Metalfisa'!R$3,METALFISA!$B:$B,'Faltantes Fevereiro- Metalfisa'!$A166)</f>
        <v>0</v>
      </c>
      <c r="S166" s="31">
        <f>SUMIFS(METALFISA!$E:$E,METALFISA!$A:$A,'Faltantes Fevereiro- Metalfisa'!S$3,METALFISA!$B:$B,'Faltantes Fevereiro- Metalfisa'!$A166)</f>
        <v>0</v>
      </c>
      <c r="T166" s="31">
        <f>SUMIFS(METALFISA!$E:$E,METALFISA!$A:$A,'Faltantes Fevereiro- Metalfisa'!T$3,METALFISA!$B:$B,'Faltantes Fevereiro- Metalfisa'!$A166)</f>
        <v>0</v>
      </c>
      <c r="U166" s="31">
        <f>SUMIFS(METALFISA!$E:$E,METALFISA!$A:$A,'Faltantes Fevereiro- Metalfisa'!U$3,METALFISA!$B:$B,'Faltantes Fevereiro- Metalfisa'!$A166)</f>
        <v>0</v>
      </c>
      <c r="V166" s="31">
        <f>SUMIFS(METALFISA!$E:$E,METALFISA!$A:$A,'Faltantes Fevereiro- Metalfisa'!V$3,METALFISA!$B:$B,'Faltantes Fevereiro- Metalfisa'!$A166)</f>
        <v>0</v>
      </c>
      <c r="W166" s="31">
        <f>SUMIFS(METALFISA!$E:$E,METALFISA!$A:$A,'Faltantes Fevereiro- Metalfisa'!W$3,METALFISA!$B:$B,'Faltantes Fevereiro- Metalfisa'!$A166)</f>
        <v>0</v>
      </c>
      <c r="X166" s="31">
        <f>SUMIFS(METALFISA!$E:$E,METALFISA!$A:$A,'Faltantes Fevereiro- Metalfisa'!X$3,METALFISA!$B:$B,'Faltantes Fevereiro- Metalfisa'!$A166)</f>
        <v>0</v>
      </c>
      <c r="Y166" s="31">
        <f>SUMIFS(METALFISA!$E:$E,METALFISA!$A:$A,'Faltantes Fevereiro- Metalfisa'!Y$3,METALFISA!$B:$B,'Faltantes Fevereiro- Metalfisa'!$A166)</f>
        <v>0</v>
      </c>
      <c r="Z166" s="31">
        <f>SUMIFS(METALFISA!$E:$E,METALFISA!$A:$A,'Faltantes Fevereiro- Metalfisa'!Z$3,METALFISA!$B:$B,'Faltantes Fevereiro- Metalfisa'!$A166)</f>
        <v>0</v>
      </c>
      <c r="AA166" s="31">
        <f>SUMIFS(METALFISA!$E:$E,METALFISA!$A:$A,'Faltantes Fevereiro- Metalfisa'!AA$3,METALFISA!$B:$B,'Faltantes Fevereiro- Metalfisa'!$A166)</f>
        <v>0</v>
      </c>
      <c r="AB166" s="31">
        <f>SUMIFS(METALFISA!$E:$E,METALFISA!$A:$A,'Faltantes Fevereiro- Metalfisa'!AB$3,METALFISA!$B:$B,'Faltantes Fevereiro- Metalfisa'!$A166)</f>
        <v>0</v>
      </c>
      <c r="AC166" s="31">
        <f>SUMIFS(METALFISA!$E:$E,METALFISA!$A:$A,'Faltantes Fevereiro- Metalfisa'!AC$3,METALFISA!$B:$B,'Faltantes Fevereiro- Metalfisa'!$A166)</f>
        <v>1</v>
      </c>
      <c r="AD166" s="31">
        <f>SUMIFS(METALFISA!$E:$E,METALFISA!$A:$A,'Faltantes Fevereiro- Metalfisa'!AD$3,METALFISA!$B:$B,'Faltantes Fevereiro- Metalfisa'!$A166)</f>
        <v>0</v>
      </c>
      <c r="AE166" s="31">
        <f>SUMIFS(METALFISA!$E:$E,METALFISA!$A:$A,'Faltantes Fevereiro- Metalfisa'!AE$3,METALFISA!$B:$B,'Faltantes Fevereiro- Metalfisa'!$A166)</f>
        <v>0</v>
      </c>
      <c r="AF166" s="31">
        <f>SUMIFS(METALFISA!$E:$E,METALFISA!$A:$A,'Faltantes Fevereiro- Metalfisa'!AF$3,METALFISA!$B:$B,'Faltantes Fevereiro- Metalfisa'!$A166)</f>
        <v>0</v>
      </c>
      <c r="AG166" s="31">
        <f>SUMIFS(METALFISA!$E:$E,METALFISA!$A:$A,'Faltantes Fevereiro- Metalfisa'!AG$3,METALFISA!$B:$B,'Faltantes Fevereiro- Metalfisa'!$A166)</f>
        <v>0</v>
      </c>
      <c r="AH166" s="31">
        <f>SUMIFS(METALFISA!$E:$E,METALFISA!$A:$A,'Faltantes Fevereiro- Metalfisa'!AH$3,METALFISA!$B:$B,'Faltantes Fevereiro- Metalfisa'!$A166)</f>
        <v>0</v>
      </c>
      <c r="AI166" s="31">
        <f>SUMIFS(METALFISA!$E:$E,METALFISA!$A:$A,'Faltantes Fevereiro- Metalfisa'!AI$3,METALFISA!$B:$B,'Faltantes Fevereiro- Metalfisa'!$A166)</f>
        <v>0</v>
      </c>
      <c r="AJ166" s="31">
        <f>SUMIFS(METALFISA!$E:$E,METALFISA!$A:$A,'Faltantes Fevereiro- Metalfisa'!AJ$3,METALFISA!$B:$B,'Faltantes Fevereiro- Metalfisa'!$A166)</f>
        <v>0</v>
      </c>
      <c r="AK166" s="31">
        <f>SUMIFS(METALFISA!$E:$E,METALFISA!$A:$A,'Faltantes Fevereiro- Metalfisa'!AK$3,METALFISA!$B:$B,'Faltantes Fevereiro- Metalfisa'!$A166)</f>
        <v>0</v>
      </c>
      <c r="AL166" s="31">
        <f>SUMIFS(METALFISA!$E:$E,METALFISA!$A:$A,'Faltantes Fevereiro- Metalfisa'!AL$3,METALFISA!$B:$B,'Faltantes Fevereiro- Metalfisa'!$A166)</f>
        <v>0</v>
      </c>
      <c r="AM166" s="31">
        <f>SUMIFS(METALFISA!$E:$E,METALFISA!$A:$A,'Faltantes Fevereiro- Metalfisa'!AM$3,METALFISA!$B:$B,'Faltantes Fevereiro- Metalfisa'!$A166)</f>
        <v>0</v>
      </c>
      <c r="AN166" s="31">
        <f>SUMIFS(METALFISA!$E:$E,METALFISA!$A:$A,'Faltantes Fevereiro- Metalfisa'!AN$3,METALFISA!$B:$B,'Faltantes Fevereiro- Metalfisa'!$A166)</f>
        <v>0</v>
      </c>
      <c r="AO166" s="31">
        <f>SUMIFS(METALFISA!$E:$E,METALFISA!$A:$A,'Faltantes Fevereiro- Metalfisa'!AO$3,METALFISA!$B:$B,'Faltantes Fevereiro- Metalfisa'!$A166)</f>
        <v>0</v>
      </c>
      <c r="AP166" s="31">
        <f>SUMIFS(METALFISA!$E:$E,METALFISA!$A:$A,'Faltantes Fevereiro- Metalfisa'!AP$3,METALFISA!$B:$B,'Faltantes Fevereiro- Metalfisa'!$A166)</f>
        <v>0</v>
      </c>
      <c r="AQ166" s="31"/>
      <c r="AR166" s="31">
        <f>SUMIFS(METALFISA!$E:$E,METALFISA!$A:$A,'Faltantes Fevereiro- Metalfisa'!AR$3,METALFISA!$B:$B,'Faltantes Fevereiro- Metalfisa'!$A166)</f>
        <v>0</v>
      </c>
      <c r="AS166" s="35">
        <f>SUMIFS(METALFISA!$E:$E,METALFISA!$A:$A,'Faltantes Fevereiro- Metalfisa'!AS$3,METALFISA!$B:$B,'Faltantes Fevereiro- Metalfisa'!$A166)</f>
        <v>0</v>
      </c>
      <c r="AU166" s="18">
        <v>0</v>
      </c>
      <c r="AV166" s="18">
        <v>0</v>
      </c>
      <c r="AW166" s="18">
        <v>0</v>
      </c>
      <c r="AX166" s="18">
        <v>0</v>
      </c>
      <c r="AY166" s="41">
        <v>0</v>
      </c>
      <c r="AZ166" s="31">
        <v>0</v>
      </c>
      <c r="BA166" s="31">
        <v>0</v>
      </c>
      <c r="BB166" s="31">
        <v>0</v>
      </c>
      <c r="BC166" s="31">
        <v>0</v>
      </c>
      <c r="BD166" s="31">
        <v>0</v>
      </c>
      <c r="BE166" s="31">
        <v>0</v>
      </c>
      <c r="BF166" s="31">
        <v>0</v>
      </c>
      <c r="BG166" s="31">
        <v>0</v>
      </c>
      <c r="BH166" s="31">
        <v>0</v>
      </c>
      <c r="BI166" s="31">
        <v>0</v>
      </c>
      <c r="BJ166" s="31">
        <v>0</v>
      </c>
      <c r="BK166" s="31">
        <v>0</v>
      </c>
      <c r="BL166" s="31">
        <v>0</v>
      </c>
      <c r="BM166" s="31">
        <v>1</v>
      </c>
      <c r="BN166" s="31">
        <v>0</v>
      </c>
      <c r="BO166" s="31">
        <v>0</v>
      </c>
      <c r="BP166" s="31">
        <v>0</v>
      </c>
      <c r="BQ166" s="31">
        <v>0</v>
      </c>
      <c r="BR166" s="31">
        <v>0</v>
      </c>
      <c r="BS166" s="31">
        <v>0</v>
      </c>
      <c r="BT166" s="31">
        <v>0</v>
      </c>
      <c r="BU166" s="31">
        <v>0</v>
      </c>
      <c r="BV166" s="31">
        <v>0</v>
      </c>
      <c r="BW166" s="31">
        <v>0</v>
      </c>
      <c r="BX166" s="31">
        <v>0</v>
      </c>
      <c r="BY166" s="31">
        <v>0</v>
      </c>
      <c r="BZ166" s="31">
        <v>0</v>
      </c>
      <c r="CA166" s="31">
        <v>0</v>
      </c>
      <c r="CB166" s="31">
        <v>0</v>
      </c>
      <c r="CC166" s="31">
        <v>0</v>
      </c>
      <c r="CD166" s="31">
        <v>0</v>
      </c>
      <c r="CE166" s="31">
        <v>0</v>
      </c>
      <c r="CF166" s="31">
        <v>0</v>
      </c>
      <c r="CG166" s="31">
        <v>0</v>
      </c>
      <c r="CH166" s="31">
        <v>0</v>
      </c>
      <c r="CI166" s="31">
        <v>0</v>
      </c>
      <c r="CJ166" s="31">
        <v>0</v>
      </c>
      <c r="CK166" s="31">
        <v>0</v>
      </c>
      <c r="CL166" s="35">
        <v>0</v>
      </c>
    </row>
    <row r="167" spans="1:90" ht="21" x14ac:dyDescent="0.15">
      <c r="A167" s="27" t="s">
        <v>734</v>
      </c>
      <c r="B167" s="28" t="s">
        <v>735</v>
      </c>
      <c r="C167" s="28">
        <v>0</v>
      </c>
      <c r="D167" s="28">
        <v>0</v>
      </c>
      <c r="E167" s="28">
        <v>0</v>
      </c>
      <c r="F167" s="28">
        <v>0</v>
      </c>
      <c r="G167" s="28">
        <v>3</v>
      </c>
      <c r="H167" s="28">
        <f>IFERROR(VLOOKUP(A167,[1]FALTANTES!$A:$AB,28,FALSE),"-")</f>
        <v>0</v>
      </c>
      <c r="I167" s="42">
        <f>IFERROR(VLOOKUP(A167,[1]FALTANTES!$A:$AC,29,FALSE),"-")</f>
        <v>0</v>
      </c>
      <c r="J167" s="29">
        <f>IFERROR(VLOOKUP(A167,[1]FALTANTES!$A:$AD,30,FALSE),"-")</f>
        <v>-3</v>
      </c>
      <c r="K167" s="30">
        <v>0</v>
      </c>
      <c r="L167" s="30">
        <f t="shared" si="2"/>
        <v>3</v>
      </c>
      <c r="M167" s="31">
        <f>SUMIFS(METALFISA!$E:$E,METALFISA!$A:$A,'Faltantes Fevereiro- Metalfisa'!M$3,METALFISA!$B:$B,'Faltantes Fevereiro- Metalfisa'!$A167)</f>
        <v>0</v>
      </c>
      <c r="N167" s="31">
        <f>SUMIFS(METALFISA!$E:$E,METALFISA!$A:$A,'Faltantes Fevereiro- Metalfisa'!N$3,METALFISA!$B:$B,'Faltantes Fevereiro- Metalfisa'!$A167)</f>
        <v>0</v>
      </c>
      <c r="O167" s="31">
        <f>SUMIFS(METALFISA!$E:$E,METALFISA!$A:$A,'Faltantes Fevereiro- Metalfisa'!O$3,METALFISA!$B:$B,'Faltantes Fevereiro- Metalfisa'!$A167)</f>
        <v>0</v>
      </c>
      <c r="P167" s="31">
        <f>SUMIFS(METALFISA!$E:$E,METALFISA!$A:$A,'Faltantes Fevereiro- Metalfisa'!P$3,METALFISA!$B:$B,'Faltantes Fevereiro- Metalfisa'!$A167)</f>
        <v>0</v>
      </c>
      <c r="Q167" s="31">
        <f>SUMIFS(METALFISA!$E:$E,METALFISA!$A:$A,'Faltantes Fevereiro- Metalfisa'!Q$3,METALFISA!$B:$B,'Faltantes Fevereiro- Metalfisa'!$A167)</f>
        <v>0</v>
      </c>
      <c r="R167" s="31">
        <f>SUMIFS(METALFISA!$E:$E,METALFISA!$A:$A,'Faltantes Fevereiro- Metalfisa'!R$3,METALFISA!$B:$B,'Faltantes Fevereiro- Metalfisa'!$A167)</f>
        <v>0</v>
      </c>
      <c r="S167" s="31">
        <f>SUMIFS(METALFISA!$E:$E,METALFISA!$A:$A,'Faltantes Fevereiro- Metalfisa'!S$3,METALFISA!$B:$B,'Faltantes Fevereiro- Metalfisa'!$A167)</f>
        <v>0</v>
      </c>
      <c r="T167" s="31">
        <f>SUMIFS(METALFISA!$E:$E,METALFISA!$A:$A,'Faltantes Fevereiro- Metalfisa'!T$3,METALFISA!$B:$B,'Faltantes Fevereiro- Metalfisa'!$A167)</f>
        <v>0</v>
      </c>
      <c r="U167" s="31">
        <f>SUMIFS(METALFISA!$E:$E,METALFISA!$A:$A,'Faltantes Fevereiro- Metalfisa'!U$3,METALFISA!$B:$B,'Faltantes Fevereiro- Metalfisa'!$A167)</f>
        <v>0</v>
      </c>
      <c r="V167" s="31">
        <f>SUMIFS(METALFISA!$E:$E,METALFISA!$A:$A,'Faltantes Fevereiro- Metalfisa'!V$3,METALFISA!$B:$B,'Faltantes Fevereiro- Metalfisa'!$A167)</f>
        <v>0</v>
      </c>
      <c r="W167" s="31">
        <f>SUMIFS(METALFISA!$E:$E,METALFISA!$A:$A,'Faltantes Fevereiro- Metalfisa'!W$3,METALFISA!$B:$B,'Faltantes Fevereiro- Metalfisa'!$A167)</f>
        <v>0</v>
      </c>
      <c r="X167" s="31">
        <f>SUMIFS(METALFISA!$E:$E,METALFISA!$A:$A,'Faltantes Fevereiro- Metalfisa'!X$3,METALFISA!$B:$B,'Faltantes Fevereiro- Metalfisa'!$A167)</f>
        <v>0</v>
      </c>
      <c r="Y167" s="31">
        <f>SUMIFS(METALFISA!$E:$E,METALFISA!$A:$A,'Faltantes Fevereiro- Metalfisa'!Y$3,METALFISA!$B:$B,'Faltantes Fevereiro- Metalfisa'!$A167)</f>
        <v>0</v>
      </c>
      <c r="Z167" s="31">
        <f>SUMIFS(METALFISA!$E:$E,METALFISA!$A:$A,'Faltantes Fevereiro- Metalfisa'!Z$3,METALFISA!$B:$B,'Faltantes Fevereiro- Metalfisa'!$A167)</f>
        <v>0</v>
      </c>
      <c r="AA167" s="31">
        <f>SUMIFS(METALFISA!$E:$E,METALFISA!$A:$A,'Faltantes Fevereiro- Metalfisa'!AA$3,METALFISA!$B:$B,'Faltantes Fevereiro- Metalfisa'!$A167)</f>
        <v>0</v>
      </c>
      <c r="AB167" s="31">
        <f>SUMIFS(METALFISA!$E:$E,METALFISA!$A:$A,'Faltantes Fevereiro- Metalfisa'!AB$3,METALFISA!$B:$B,'Faltantes Fevereiro- Metalfisa'!$A167)</f>
        <v>0</v>
      </c>
      <c r="AC167" s="31">
        <f>SUMIFS(METALFISA!$E:$E,METALFISA!$A:$A,'Faltantes Fevereiro- Metalfisa'!AC$3,METALFISA!$B:$B,'Faltantes Fevereiro- Metalfisa'!$A167)</f>
        <v>1</v>
      </c>
      <c r="AD167" s="31">
        <f>SUMIFS(METALFISA!$E:$E,METALFISA!$A:$A,'Faltantes Fevereiro- Metalfisa'!AD$3,METALFISA!$B:$B,'Faltantes Fevereiro- Metalfisa'!$A167)</f>
        <v>0</v>
      </c>
      <c r="AE167" s="31">
        <f>SUMIFS(METALFISA!$E:$E,METALFISA!$A:$A,'Faltantes Fevereiro- Metalfisa'!AE$3,METALFISA!$B:$B,'Faltantes Fevereiro- Metalfisa'!$A167)</f>
        <v>0</v>
      </c>
      <c r="AF167" s="31">
        <f>SUMIFS(METALFISA!$E:$E,METALFISA!$A:$A,'Faltantes Fevereiro- Metalfisa'!AF$3,METALFISA!$B:$B,'Faltantes Fevereiro- Metalfisa'!$A167)</f>
        <v>0</v>
      </c>
      <c r="AG167" s="31">
        <f>SUMIFS(METALFISA!$E:$E,METALFISA!$A:$A,'Faltantes Fevereiro- Metalfisa'!AG$3,METALFISA!$B:$B,'Faltantes Fevereiro- Metalfisa'!$A167)</f>
        <v>2</v>
      </c>
      <c r="AH167" s="31">
        <f>SUMIFS(METALFISA!$E:$E,METALFISA!$A:$A,'Faltantes Fevereiro- Metalfisa'!AH$3,METALFISA!$B:$B,'Faltantes Fevereiro- Metalfisa'!$A167)</f>
        <v>0</v>
      </c>
      <c r="AI167" s="31">
        <f>SUMIFS(METALFISA!$E:$E,METALFISA!$A:$A,'Faltantes Fevereiro- Metalfisa'!AI$3,METALFISA!$B:$B,'Faltantes Fevereiro- Metalfisa'!$A167)</f>
        <v>0</v>
      </c>
      <c r="AJ167" s="31">
        <f>SUMIFS(METALFISA!$E:$E,METALFISA!$A:$A,'Faltantes Fevereiro- Metalfisa'!AJ$3,METALFISA!$B:$B,'Faltantes Fevereiro- Metalfisa'!$A167)</f>
        <v>0</v>
      </c>
      <c r="AK167" s="31">
        <f>SUMIFS(METALFISA!$E:$E,METALFISA!$A:$A,'Faltantes Fevereiro- Metalfisa'!AK$3,METALFISA!$B:$B,'Faltantes Fevereiro- Metalfisa'!$A167)</f>
        <v>0</v>
      </c>
      <c r="AL167" s="31">
        <f>SUMIFS(METALFISA!$E:$E,METALFISA!$A:$A,'Faltantes Fevereiro- Metalfisa'!AL$3,METALFISA!$B:$B,'Faltantes Fevereiro- Metalfisa'!$A167)</f>
        <v>0</v>
      </c>
      <c r="AM167" s="31">
        <f>SUMIFS(METALFISA!$E:$E,METALFISA!$A:$A,'Faltantes Fevereiro- Metalfisa'!AM$3,METALFISA!$B:$B,'Faltantes Fevereiro- Metalfisa'!$A167)</f>
        <v>0</v>
      </c>
      <c r="AN167" s="31">
        <f>SUMIFS(METALFISA!$E:$E,METALFISA!$A:$A,'Faltantes Fevereiro- Metalfisa'!AN$3,METALFISA!$B:$B,'Faltantes Fevereiro- Metalfisa'!$A167)</f>
        <v>0</v>
      </c>
      <c r="AO167" s="31">
        <f>SUMIFS(METALFISA!$E:$E,METALFISA!$A:$A,'Faltantes Fevereiro- Metalfisa'!AO$3,METALFISA!$B:$B,'Faltantes Fevereiro- Metalfisa'!$A167)</f>
        <v>0</v>
      </c>
      <c r="AP167" s="31">
        <f>SUMIFS(METALFISA!$E:$E,METALFISA!$A:$A,'Faltantes Fevereiro- Metalfisa'!AP$3,METALFISA!$B:$B,'Faltantes Fevereiro- Metalfisa'!$A167)</f>
        <v>0</v>
      </c>
      <c r="AQ167" s="31"/>
      <c r="AR167" s="31">
        <f>SUMIFS(METALFISA!$E:$E,METALFISA!$A:$A,'Faltantes Fevereiro- Metalfisa'!AR$3,METALFISA!$B:$B,'Faltantes Fevereiro- Metalfisa'!$A167)</f>
        <v>0</v>
      </c>
      <c r="AS167" s="35">
        <f>SUMIFS(METALFISA!$E:$E,METALFISA!$A:$A,'Faltantes Fevereiro- Metalfisa'!AS$3,METALFISA!$B:$B,'Faltantes Fevereiro- Metalfisa'!$A167)</f>
        <v>0</v>
      </c>
      <c r="AU167" s="18">
        <v>0</v>
      </c>
      <c r="AV167" s="18">
        <v>0</v>
      </c>
      <c r="AW167" s="18">
        <v>0</v>
      </c>
      <c r="AX167" s="18">
        <v>0</v>
      </c>
      <c r="AY167" s="41">
        <v>0</v>
      </c>
      <c r="AZ167" s="31">
        <v>0</v>
      </c>
      <c r="BA167" s="31">
        <v>0</v>
      </c>
      <c r="BB167" s="31">
        <v>0</v>
      </c>
      <c r="BC167" s="31">
        <v>0</v>
      </c>
      <c r="BD167" s="31">
        <v>0</v>
      </c>
      <c r="BE167" s="31">
        <v>0</v>
      </c>
      <c r="BF167" s="31">
        <v>0</v>
      </c>
      <c r="BG167" s="31">
        <v>0</v>
      </c>
      <c r="BH167" s="31">
        <v>0</v>
      </c>
      <c r="BI167" s="31">
        <v>0</v>
      </c>
      <c r="BJ167" s="31">
        <v>0</v>
      </c>
      <c r="BK167" s="31">
        <v>0</v>
      </c>
      <c r="BL167" s="31">
        <v>0</v>
      </c>
      <c r="BM167" s="31">
        <v>1</v>
      </c>
      <c r="BN167" s="31">
        <v>0</v>
      </c>
      <c r="BO167" s="31">
        <v>0</v>
      </c>
      <c r="BP167" s="31">
        <v>0</v>
      </c>
      <c r="BQ167" s="31">
        <v>0</v>
      </c>
      <c r="BR167" s="31">
        <v>0</v>
      </c>
      <c r="BS167" s="31">
        <v>0</v>
      </c>
      <c r="BT167" s="31">
        <v>0</v>
      </c>
      <c r="BU167" s="31">
        <v>0</v>
      </c>
      <c r="BV167" s="31">
        <v>0</v>
      </c>
      <c r="BW167" s="31">
        <v>0</v>
      </c>
      <c r="BX167" s="31">
        <v>0</v>
      </c>
      <c r="BY167" s="31">
        <v>0</v>
      </c>
      <c r="BZ167" s="31">
        <v>0</v>
      </c>
      <c r="CA167" s="31">
        <v>0</v>
      </c>
      <c r="CB167" s="31">
        <v>0</v>
      </c>
      <c r="CC167" s="31">
        <v>0</v>
      </c>
      <c r="CD167" s="31">
        <v>0</v>
      </c>
      <c r="CE167" s="31">
        <v>0</v>
      </c>
      <c r="CF167" s="31">
        <v>0</v>
      </c>
      <c r="CG167" s="31">
        <v>0</v>
      </c>
      <c r="CH167" s="31">
        <v>0</v>
      </c>
      <c r="CI167" s="31">
        <v>0</v>
      </c>
      <c r="CJ167" s="31">
        <v>0</v>
      </c>
      <c r="CK167" s="31">
        <v>0</v>
      </c>
      <c r="CL167" s="35">
        <v>0</v>
      </c>
    </row>
    <row r="168" spans="1:90" ht="21" x14ac:dyDescent="0.15">
      <c r="A168" s="27" t="s">
        <v>261</v>
      </c>
      <c r="B168" s="28" t="s">
        <v>262</v>
      </c>
      <c r="C168" s="28">
        <v>0</v>
      </c>
      <c r="D168" s="28">
        <v>0</v>
      </c>
      <c r="E168" s="28">
        <v>0</v>
      </c>
      <c r="F168" s="28">
        <v>0</v>
      </c>
      <c r="G168" s="28">
        <v>4</v>
      </c>
      <c r="H168" s="28">
        <f>IFERROR(VLOOKUP(A168,[1]FALTANTES!$A:$AB,28,FALSE),"-")</f>
        <v>0</v>
      </c>
      <c r="I168" s="42">
        <f>IFERROR(VLOOKUP(A168,[1]FALTANTES!$A:$AC,29,FALSE),"-")</f>
        <v>0</v>
      </c>
      <c r="J168" s="29">
        <f>IFERROR(VLOOKUP(A168,[1]FALTANTES!$A:$AD,30,FALSE),"-")</f>
        <v>-4</v>
      </c>
      <c r="K168" s="30">
        <v>0</v>
      </c>
      <c r="L168" s="30">
        <f t="shared" si="2"/>
        <v>4</v>
      </c>
      <c r="M168" s="31">
        <f>SUMIFS(METALFISA!$E:$E,METALFISA!$A:$A,'Faltantes Fevereiro- Metalfisa'!M$3,METALFISA!$B:$B,'Faltantes Fevereiro- Metalfisa'!$A168)</f>
        <v>0</v>
      </c>
      <c r="N168" s="31">
        <f>SUMIFS(METALFISA!$E:$E,METALFISA!$A:$A,'Faltantes Fevereiro- Metalfisa'!N$3,METALFISA!$B:$B,'Faltantes Fevereiro- Metalfisa'!$A168)</f>
        <v>0</v>
      </c>
      <c r="O168" s="31">
        <f>SUMIFS(METALFISA!$E:$E,METALFISA!$A:$A,'Faltantes Fevereiro- Metalfisa'!O$3,METALFISA!$B:$B,'Faltantes Fevereiro- Metalfisa'!$A168)</f>
        <v>0</v>
      </c>
      <c r="P168" s="31">
        <f>SUMIFS(METALFISA!$E:$E,METALFISA!$A:$A,'Faltantes Fevereiro- Metalfisa'!P$3,METALFISA!$B:$B,'Faltantes Fevereiro- Metalfisa'!$A168)</f>
        <v>0</v>
      </c>
      <c r="Q168" s="31">
        <f>SUMIFS(METALFISA!$E:$E,METALFISA!$A:$A,'Faltantes Fevereiro- Metalfisa'!Q$3,METALFISA!$B:$B,'Faltantes Fevereiro- Metalfisa'!$A168)</f>
        <v>0</v>
      </c>
      <c r="R168" s="31">
        <f>SUMIFS(METALFISA!$E:$E,METALFISA!$A:$A,'Faltantes Fevereiro- Metalfisa'!R$3,METALFISA!$B:$B,'Faltantes Fevereiro- Metalfisa'!$A168)</f>
        <v>0</v>
      </c>
      <c r="S168" s="31">
        <f>SUMIFS(METALFISA!$E:$E,METALFISA!$A:$A,'Faltantes Fevereiro- Metalfisa'!S$3,METALFISA!$B:$B,'Faltantes Fevereiro- Metalfisa'!$A168)</f>
        <v>0</v>
      </c>
      <c r="T168" s="31">
        <f>SUMIFS(METALFISA!$E:$E,METALFISA!$A:$A,'Faltantes Fevereiro- Metalfisa'!T$3,METALFISA!$B:$B,'Faltantes Fevereiro- Metalfisa'!$A168)</f>
        <v>0</v>
      </c>
      <c r="U168" s="31">
        <f>SUMIFS(METALFISA!$E:$E,METALFISA!$A:$A,'Faltantes Fevereiro- Metalfisa'!U$3,METALFISA!$B:$B,'Faltantes Fevereiro- Metalfisa'!$A168)</f>
        <v>0</v>
      </c>
      <c r="V168" s="31">
        <f>SUMIFS(METALFISA!$E:$E,METALFISA!$A:$A,'Faltantes Fevereiro- Metalfisa'!V$3,METALFISA!$B:$B,'Faltantes Fevereiro- Metalfisa'!$A168)</f>
        <v>0</v>
      </c>
      <c r="W168" s="31">
        <f>SUMIFS(METALFISA!$E:$E,METALFISA!$A:$A,'Faltantes Fevereiro- Metalfisa'!W$3,METALFISA!$B:$B,'Faltantes Fevereiro- Metalfisa'!$A168)</f>
        <v>0</v>
      </c>
      <c r="X168" s="31">
        <f>SUMIFS(METALFISA!$E:$E,METALFISA!$A:$A,'Faltantes Fevereiro- Metalfisa'!X$3,METALFISA!$B:$B,'Faltantes Fevereiro- Metalfisa'!$A168)</f>
        <v>2</v>
      </c>
      <c r="Y168" s="31">
        <f>SUMIFS(METALFISA!$E:$E,METALFISA!$A:$A,'Faltantes Fevereiro- Metalfisa'!Y$3,METALFISA!$B:$B,'Faltantes Fevereiro- Metalfisa'!$A168)</f>
        <v>0</v>
      </c>
      <c r="Z168" s="31">
        <f>SUMIFS(METALFISA!$E:$E,METALFISA!$A:$A,'Faltantes Fevereiro- Metalfisa'!Z$3,METALFISA!$B:$B,'Faltantes Fevereiro- Metalfisa'!$A168)</f>
        <v>0</v>
      </c>
      <c r="AA168" s="31">
        <f>SUMIFS(METALFISA!$E:$E,METALFISA!$A:$A,'Faltantes Fevereiro- Metalfisa'!AA$3,METALFISA!$B:$B,'Faltantes Fevereiro- Metalfisa'!$A168)</f>
        <v>0</v>
      </c>
      <c r="AB168" s="31">
        <f>SUMIFS(METALFISA!$E:$E,METALFISA!$A:$A,'Faltantes Fevereiro- Metalfisa'!AB$3,METALFISA!$B:$B,'Faltantes Fevereiro- Metalfisa'!$A168)</f>
        <v>0</v>
      </c>
      <c r="AC168" s="31">
        <f>SUMIFS(METALFISA!$E:$E,METALFISA!$A:$A,'Faltantes Fevereiro- Metalfisa'!AC$3,METALFISA!$B:$B,'Faltantes Fevereiro- Metalfisa'!$A168)</f>
        <v>0</v>
      </c>
      <c r="AD168" s="31">
        <f>SUMIFS(METALFISA!$E:$E,METALFISA!$A:$A,'Faltantes Fevereiro- Metalfisa'!AD$3,METALFISA!$B:$B,'Faltantes Fevereiro- Metalfisa'!$A168)</f>
        <v>0</v>
      </c>
      <c r="AE168" s="31">
        <f>SUMIFS(METALFISA!$E:$E,METALFISA!$A:$A,'Faltantes Fevereiro- Metalfisa'!AE$3,METALFISA!$B:$B,'Faltantes Fevereiro- Metalfisa'!$A168)</f>
        <v>0</v>
      </c>
      <c r="AF168" s="31">
        <f>SUMIFS(METALFISA!$E:$E,METALFISA!$A:$A,'Faltantes Fevereiro- Metalfisa'!AF$3,METALFISA!$B:$B,'Faltantes Fevereiro- Metalfisa'!$A168)</f>
        <v>0</v>
      </c>
      <c r="AG168" s="31">
        <f>SUMIFS(METALFISA!$E:$E,METALFISA!$A:$A,'Faltantes Fevereiro- Metalfisa'!AG$3,METALFISA!$B:$B,'Faltantes Fevereiro- Metalfisa'!$A168)</f>
        <v>2</v>
      </c>
      <c r="AH168" s="31">
        <f>SUMIFS(METALFISA!$E:$E,METALFISA!$A:$A,'Faltantes Fevereiro- Metalfisa'!AH$3,METALFISA!$B:$B,'Faltantes Fevereiro- Metalfisa'!$A168)</f>
        <v>0</v>
      </c>
      <c r="AI168" s="31">
        <f>SUMIFS(METALFISA!$E:$E,METALFISA!$A:$A,'Faltantes Fevereiro- Metalfisa'!AI$3,METALFISA!$B:$B,'Faltantes Fevereiro- Metalfisa'!$A168)</f>
        <v>0</v>
      </c>
      <c r="AJ168" s="31">
        <f>SUMIFS(METALFISA!$E:$E,METALFISA!$A:$A,'Faltantes Fevereiro- Metalfisa'!AJ$3,METALFISA!$B:$B,'Faltantes Fevereiro- Metalfisa'!$A168)</f>
        <v>0</v>
      </c>
      <c r="AK168" s="31">
        <f>SUMIFS(METALFISA!$E:$E,METALFISA!$A:$A,'Faltantes Fevereiro- Metalfisa'!AK$3,METALFISA!$B:$B,'Faltantes Fevereiro- Metalfisa'!$A168)</f>
        <v>0</v>
      </c>
      <c r="AL168" s="31">
        <f>SUMIFS(METALFISA!$E:$E,METALFISA!$A:$A,'Faltantes Fevereiro- Metalfisa'!AL$3,METALFISA!$B:$B,'Faltantes Fevereiro- Metalfisa'!$A168)</f>
        <v>0</v>
      </c>
      <c r="AM168" s="31">
        <f>SUMIFS(METALFISA!$E:$E,METALFISA!$A:$A,'Faltantes Fevereiro- Metalfisa'!AM$3,METALFISA!$B:$B,'Faltantes Fevereiro- Metalfisa'!$A168)</f>
        <v>0</v>
      </c>
      <c r="AN168" s="31">
        <f>SUMIFS(METALFISA!$E:$E,METALFISA!$A:$A,'Faltantes Fevereiro- Metalfisa'!AN$3,METALFISA!$B:$B,'Faltantes Fevereiro- Metalfisa'!$A168)</f>
        <v>0</v>
      </c>
      <c r="AO168" s="31">
        <f>SUMIFS(METALFISA!$E:$E,METALFISA!$A:$A,'Faltantes Fevereiro- Metalfisa'!AO$3,METALFISA!$B:$B,'Faltantes Fevereiro- Metalfisa'!$A168)</f>
        <v>0</v>
      </c>
      <c r="AP168" s="31">
        <f>SUMIFS(METALFISA!$E:$E,METALFISA!$A:$A,'Faltantes Fevereiro- Metalfisa'!AP$3,METALFISA!$B:$B,'Faltantes Fevereiro- Metalfisa'!$A168)</f>
        <v>0</v>
      </c>
      <c r="AQ168" s="31"/>
      <c r="AR168" s="31">
        <f>SUMIFS(METALFISA!$E:$E,METALFISA!$A:$A,'Faltantes Fevereiro- Metalfisa'!AR$3,METALFISA!$B:$B,'Faltantes Fevereiro- Metalfisa'!$A168)</f>
        <v>0</v>
      </c>
      <c r="AS168" s="35">
        <f>SUMIFS(METALFISA!$E:$E,METALFISA!$A:$A,'Faltantes Fevereiro- Metalfisa'!AS$3,METALFISA!$B:$B,'Faltantes Fevereiro- Metalfisa'!$A168)</f>
        <v>0</v>
      </c>
      <c r="AU168" s="18">
        <v>0</v>
      </c>
      <c r="AV168" s="18">
        <v>0</v>
      </c>
      <c r="AW168" s="18">
        <v>0</v>
      </c>
      <c r="AX168" s="18">
        <v>0</v>
      </c>
      <c r="AY168" s="41">
        <v>0</v>
      </c>
      <c r="AZ168" s="31">
        <v>0</v>
      </c>
      <c r="BA168" s="31">
        <v>0</v>
      </c>
      <c r="BB168" s="31">
        <v>0</v>
      </c>
      <c r="BC168" s="31">
        <v>0</v>
      </c>
      <c r="BD168" s="31">
        <v>0</v>
      </c>
      <c r="BE168" s="31">
        <v>0</v>
      </c>
      <c r="BF168" s="31">
        <v>0</v>
      </c>
      <c r="BG168" s="31">
        <v>0</v>
      </c>
      <c r="BH168" s="31">
        <v>0</v>
      </c>
      <c r="BI168" s="31">
        <v>0</v>
      </c>
      <c r="BJ168" s="31">
        <v>0</v>
      </c>
      <c r="BK168" s="31">
        <v>0</v>
      </c>
      <c r="BL168" s="31">
        <v>0</v>
      </c>
      <c r="BM168" s="31">
        <v>1</v>
      </c>
      <c r="BN168" s="31">
        <v>0</v>
      </c>
      <c r="BO168" s="31">
        <v>0</v>
      </c>
      <c r="BP168" s="31">
        <v>0</v>
      </c>
      <c r="BQ168" s="31">
        <v>0</v>
      </c>
      <c r="BR168" s="31">
        <v>0</v>
      </c>
      <c r="BS168" s="31">
        <v>0</v>
      </c>
      <c r="BT168" s="31">
        <v>0</v>
      </c>
      <c r="BU168" s="31">
        <v>0</v>
      </c>
      <c r="BV168" s="31">
        <v>0</v>
      </c>
      <c r="BW168" s="31">
        <v>0</v>
      </c>
      <c r="BX168" s="31">
        <v>0</v>
      </c>
      <c r="BY168" s="31">
        <v>0</v>
      </c>
      <c r="BZ168" s="31">
        <v>0</v>
      </c>
      <c r="CA168" s="31">
        <v>0</v>
      </c>
      <c r="CB168" s="31">
        <v>0</v>
      </c>
      <c r="CC168" s="31">
        <v>0</v>
      </c>
      <c r="CD168" s="31">
        <v>0</v>
      </c>
      <c r="CE168" s="31">
        <v>0</v>
      </c>
      <c r="CF168" s="31">
        <v>0</v>
      </c>
      <c r="CG168" s="31">
        <v>0</v>
      </c>
      <c r="CH168" s="31">
        <v>0</v>
      </c>
      <c r="CI168" s="31">
        <v>0</v>
      </c>
      <c r="CJ168" s="31">
        <v>0</v>
      </c>
      <c r="CK168" s="31">
        <v>0</v>
      </c>
      <c r="CL168" s="35">
        <v>0</v>
      </c>
    </row>
    <row r="169" spans="1:90" ht="21" x14ac:dyDescent="0.15">
      <c r="A169" s="27" t="s">
        <v>501</v>
      </c>
      <c r="B169" s="28" t="s">
        <v>502</v>
      </c>
      <c r="C169" s="28">
        <v>0</v>
      </c>
      <c r="D169" s="28">
        <v>0</v>
      </c>
      <c r="E169" s="28">
        <v>0</v>
      </c>
      <c r="F169" s="28">
        <v>0</v>
      </c>
      <c r="G169" s="28">
        <v>3</v>
      </c>
      <c r="H169" s="28">
        <f>IFERROR(VLOOKUP(A169,[1]FALTANTES!$A:$AB,28,FALSE),"-")</f>
        <v>0</v>
      </c>
      <c r="I169" s="42">
        <f>IFERROR(VLOOKUP(A169,[1]FALTANTES!$A:$AC,29,FALSE),"-")</f>
        <v>1</v>
      </c>
      <c r="J169" s="29">
        <f>IFERROR(VLOOKUP(A169,[1]FALTANTES!$A:$AD,30,FALSE),"-")</f>
        <v>-2</v>
      </c>
      <c r="K169" s="30">
        <v>0</v>
      </c>
      <c r="L169" s="30">
        <f t="shared" si="2"/>
        <v>1</v>
      </c>
      <c r="M169" s="31">
        <f>SUMIFS(METALFISA!$E:$E,METALFISA!$A:$A,'Faltantes Fevereiro- Metalfisa'!M$3,METALFISA!$B:$B,'Faltantes Fevereiro- Metalfisa'!$A169)</f>
        <v>0</v>
      </c>
      <c r="N169" s="31">
        <f>SUMIFS(METALFISA!$E:$E,METALFISA!$A:$A,'Faltantes Fevereiro- Metalfisa'!N$3,METALFISA!$B:$B,'Faltantes Fevereiro- Metalfisa'!$A169)</f>
        <v>0</v>
      </c>
      <c r="O169" s="31">
        <f>SUMIFS(METALFISA!$E:$E,METALFISA!$A:$A,'Faltantes Fevereiro- Metalfisa'!O$3,METALFISA!$B:$B,'Faltantes Fevereiro- Metalfisa'!$A169)</f>
        <v>0</v>
      </c>
      <c r="P169" s="31">
        <f>SUMIFS(METALFISA!$E:$E,METALFISA!$A:$A,'Faltantes Fevereiro- Metalfisa'!P$3,METALFISA!$B:$B,'Faltantes Fevereiro- Metalfisa'!$A169)</f>
        <v>0</v>
      </c>
      <c r="Q169" s="31">
        <f>SUMIFS(METALFISA!$E:$E,METALFISA!$A:$A,'Faltantes Fevereiro- Metalfisa'!Q$3,METALFISA!$B:$B,'Faltantes Fevereiro- Metalfisa'!$A169)</f>
        <v>0</v>
      </c>
      <c r="R169" s="31">
        <f>SUMIFS(METALFISA!$E:$E,METALFISA!$A:$A,'Faltantes Fevereiro- Metalfisa'!R$3,METALFISA!$B:$B,'Faltantes Fevereiro- Metalfisa'!$A169)</f>
        <v>0</v>
      </c>
      <c r="S169" s="31">
        <f>SUMIFS(METALFISA!$E:$E,METALFISA!$A:$A,'Faltantes Fevereiro- Metalfisa'!S$3,METALFISA!$B:$B,'Faltantes Fevereiro- Metalfisa'!$A169)</f>
        <v>0</v>
      </c>
      <c r="T169" s="31">
        <f>SUMIFS(METALFISA!$E:$E,METALFISA!$A:$A,'Faltantes Fevereiro- Metalfisa'!T$3,METALFISA!$B:$B,'Faltantes Fevereiro- Metalfisa'!$A169)</f>
        <v>0</v>
      </c>
      <c r="U169" s="31">
        <f>SUMIFS(METALFISA!$E:$E,METALFISA!$A:$A,'Faltantes Fevereiro- Metalfisa'!U$3,METALFISA!$B:$B,'Faltantes Fevereiro- Metalfisa'!$A169)</f>
        <v>0</v>
      </c>
      <c r="V169" s="31">
        <f>SUMIFS(METALFISA!$E:$E,METALFISA!$A:$A,'Faltantes Fevereiro- Metalfisa'!V$3,METALFISA!$B:$B,'Faltantes Fevereiro- Metalfisa'!$A169)</f>
        <v>0</v>
      </c>
      <c r="W169" s="31">
        <f>SUMIFS(METALFISA!$E:$E,METALFISA!$A:$A,'Faltantes Fevereiro- Metalfisa'!W$3,METALFISA!$B:$B,'Faltantes Fevereiro- Metalfisa'!$A169)</f>
        <v>0</v>
      </c>
      <c r="X169" s="31">
        <f>SUMIFS(METALFISA!$E:$E,METALFISA!$A:$A,'Faltantes Fevereiro- Metalfisa'!X$3,METALFISA!$B:$B,'Faltantes Fevereiro- Metalfisa'!$A169)</f>
        <v>0</v>
      </c>
      <c r="Y169" s="31">
        <f>SUMIFS(METALFISA!$E:$E,METALFISA!$A:$A,'Faltantes Fevereiro- Metalfisa'!Y$3,METALFISA!$B:$B,'Faltantes Fevereiro- Metalfisa'!$A169)</f>
        <v>0</v>
      </c>
      <c r="Z169" s="31">
        <f>SUMIFS(METALFISA!$E:$E,METALFISA!$A:$A,'Faltantes Fevereiro- Metalfisa'!Z$3,METALFISA!$B:$B,'Faltantes Fevereiro- Metalfisa'!$A169)</f>
        <v>0</v>
      </c>
      <c r="AA169" s="31">
        <f>SUMIFS(METALFISA!$E:$E,METALFISA!$A:$A,'Faltantes Fevereiro- Metalfisa'!AA$3,METALFISA!$B:$B,'Faltantes Fevereiro- Metalfisa'!$A169)</f>
        <v>0</v>
      </c>
      <c r="AB169" s="31">
        <f>SUMIFS(METALFISA!$E:$E,METALFISA!$A:$A,'Faltantes Fevereiro- Metalfisa'!AB$3,METALFISA!$B:$B,'Faltantes Fevereiro- Metalfisa'!$A169)</f>
        <v>0</v>
      </c>
      <c r="AC169" s="31">
        <f>SUMIFS(METALFISA!$E:$E,METALFISA!$A:$A,'Faltantes Fevereiro- Metalfisa'!AC$3,METALFISA!$B:$B,'Faltantes Fevereiro- Metalfisa'!$A169)</f>
        <v>0</v>
      </c>
      <c r="AD169" s="31">
        <f>SUMIFS(METALFISA!$E:$E,METALFISA!$A:$A,'Faltantes Fevereiro- Metalfisa'!AD$3,METALFISA!$B:$B,'Faltantes Fevereiro- Metalfisa'!$A169)</f>
        <v>0</v>
      </c>
      <c r="AE169" s="31">
        <f>SUMIFS(METALFISA!$E:$E,METALFISA!$A:$A,'Faltantes Fevereiro- Metalfisa'!AE$3,METALFISA!$B:$B,'Faltantes Fevereiro- Metalfisa'!$A169)</f>
        <v>0</v>
      </c>
      <c r="AF169" s="31">
        <f>SUMIFS(METALFISA!$E:$E,METALFISA!$A:$A,'Faltantes Fevereiro- Metalfisa'!AF$3,METALFISA!$B:$B,'Faltantes Fevereiro- Metalfisa'!$A169)</f>
        <v>0</v>
      </c>
      <c r="AG169" s="31">
        <f>SUMIFS(METALFISA!$E:$E,METALFISA!$A:$A,'Faltantes Fevereiro- Metalfisa'!AG$3,METALFISA!$B:$B,'Faltantes Fevereiro- Metalfisa'!$A169)</f>
        <v>0</v>
      </c>
      <c r="AH169" s="31">
        <f>SUMIFS(METALFISA!$E:$E,METALFISA!$A:$A,'Faltantes Fevereiro- Metalfisa'!AH$3,METALFISA!$B:$B,'Faltantes Fevereiro- Metalfisa'!$A169)</f>
        <v>1</v>
      </c>
      <c r="AI169" s="31">
        <f>SUMIFS(METALFISA!$E:$E,METALFISA!$A:$A,'Faltantes Fevereiro- Metalfisa'!AI$3,METALFISA!$B:$B,'Faltantes Fevereiro- Metalfisa'!$A169)</f>
        <v>0</v>
      </c>
      <c r="AJ169" s="31">
        <f>SUMIFS(METALFISA!$E:$E,METALFISA!$A:$A,'Faltantes Fevereiro- Metalfisa'!AJ$3,METALFISA!$B:$B,'Faltantes Fevereiro- Metalfisa'!$A169)</f>
        <v>0</v>
      </c>
      <c r="AK169" s="31">
        <f>SUMIFS(METALFISA!$E:$E,METALFISA!$A:$A,'Faltantes Fevereiro- Metalfisa'!AK$3,METALFISA!$B:$B,'Faltantes Fevereiro- Metalfisa'!$A169)</f>
        <v>0</v>
      </c>
      <c r="AL169" s="31">
        <f>SUMIFS(METALFISA!$E:$E,METALFISA!$A:$A,'Faltantes Fevereiro- Metalfisa'!AL$3,METALFISA!$B:$B,'Faltantes Fevereiro- Metalfisa'!$A169)</f>
        <v>0</v>
      </c>
      <c r="AM169" s="31">
        <f>SUMIFS(METALFISA!$E:$E,METALFISA!$A:$A,'Faltantes Fevereiro- Metalfisa'!AM$3,METALFISA!$B:$B,'Faltantes Fevereiro- Metalfisa'!$A169)</f>
        <v>0</v>
      </c>
      <c r="AN169" s="31">
        <f>SUMIFS(METALFISA!$E:$E,METALFISA!$A:$A,'Faltantes Fevereiro- Metalfisa'!AN$3,METALFISA!$B:$B,'Faltantes Fevereiro- Metalfisa'!$A169)</f>
        <v>0</v>
      </c>
      <c r="AO169" s="31">
        <f>SUMIFS(METALFISA!$E:$E,METALFISA!$A:$A,'Faltantes Fevereiro- Metalfisa'!AO$3,METALFISA!$B:$B,'Faltantes Fevereiro- Metalfisa'!$A169)</f>
        <v>0</v>
      </c>
      <c r="AP169" s="31">
        <f>SUMIFS(METALFISA!$E:$E,METALFISA!$A:$A,'Faltantes Fevereiro- Metalfisa'!AP$3,METALFISA!$B:$B,'Faltantes Fevereiro- Metalfisa'!$A169)</f>
        <v>0</v>
      </c>
      <c r="AQ169" s="31"/>
      <c r="AR169" s="31">
        <f>SUMIFS(METALFISA!$E:$E,METALFISA!$A:$A,'Faltantes Fevereiro- Metalfisa'!AR$3,METALFISA!$B:$B,'Faltantes Fevereiro- Metalfisa'!$A169)</f>
        <v>0</v>
      </c>
      <c r="AS169" s="35">
        <f>SUMIFS(METALFISA!$E:$E,METALFISA!$A:$A,'Faltantes Fevereiro- Metalfisa'!AS$3,METALFISA!$B:$B,'Faltantes Fevereiro- Metalfisa'!$A169)</f>
        <v>0</v>
      </c>
      <c r="AU169" s="18">
        <v>0</v>
      </c>
      <c r="AV169" s="18">
        <v>0</v>
      </c>
      <c r="AW169" s="18">
        <v>0</v>
      </c>
      <c r="AX169" s="18">
        <v>0</v>
      </c>
      <c r="AY169" s="41">
        <v>0</v>
      </c>
      <c r="AZ169" s="31">
        <v>1</v>
      </c>
      <c r="BA169" s="31">
        <v>0</v>
      </c>
      <c r="BB169" s="31">
        <v>0</v>
      </c>
      <c r="BC169" s="31">
        <v>0</v>
      </c>
      <c r="BD169" s="31">
        <v>0</v>
      </c>
      <c r="BE169" s="31">
        <v>0</v>
      </c>
      <c r="BF169" s="31">
        <v>0</v>
      </c>
      <c r="BG169" s="31">
        <v>0</v>
      </c>
      <c r="BH169" s="31">
        <v>0</v>
      </c>
      <c r="BI169" s="31">
        <v>0</v>
      </c>
      <c r="BJ169" s="31">
        <v>0</v>
      </c>
      <c r="BK169" s="31">
        <v>0</v>
      </c>
      <c r="BL169" s="31">
        <v>0</v>
      </c>
      <c r="BM169" s="31">
        <v>0</v>
      </c>
      <c r="BN169" s="31">
        <v>0</v>
      </c>
      <c r="BO169" s="31">
        <v>0</v>
      </c>
      <c r="BP169" s="31">
        <v>0</v>
      </c>
      <c r="BQ169" s="31">
        <v>0</v>
      </c>
      <c r="BR169" s="31">
        <v>0</v>
      </c>
      <c r="BS169" s="31">
        <v>0</v>
      </c>
      <c r="BT169" s="31">
        <v>0</v>
      </c>
      <c r="BU169" s="31">
        <v>0</v>
      </c>
      <c r="BV169" s="31">
        <v>0</v>
      </c>
      <c r="BW169" s="31">
        <v>0</v>
      </c>
      <c r="BX169" s="31">
        <v>0</v>
      </c>
      <c r="BY169" s="31">
        <v>0</v>
      </c>
      <c r="BZ169" s="31">
        <v>0</v>
      </c>
      <c r="CA169" s="31">
        <v>0</v>
      </c>
      <c r="CB169" s="31">
        <v>0</v>
      </c>
      <c r="CC169" s="31">
        <v>0</v>
      </c>
      <c r="CD169" s="31">
        <v>0</v>
      </c>
      <c r="CE169" s="31">
        <v>0</v>
      </c>
      <c r="CF169" s="31">
        <v>0</v>
      </c>
      <c r="CG169" s="31">
        <v>0</v>
      </c>
      <c r="CH169" s="31">
        <v>0</v>
      </c>
      <c r="CI169" s="31">
        <v>0</v>
      </c>
      <c r="CJ169" s="31">
        <v>0</v>
      </c>
      <c r="CK169" s="31">
        <v>0</v>
      </c>
      <c r="CL169" s="35">
        <v>0</v>
      </c>
    </row>
    <row r="170" spans="1:90" ht="21" x14ac:dyDescent="0.15">
      <c r="A170" s="27" t="s">
        <v>675</v>
      </c>
      <c r="B170" s="28" t="s">
        <v>676</v>
      </c>
      <c r="C170" s="28">
        <v>0</v>
      </c>
      <c r="D170" s="28">
        <v>0</v>
      </c>
      <c r="E170" s="28">
        <v>0</v>
      </c>
      <c r="F170" s="28">
        <v>0</v>
      </c>
      <c r="G170" s="28">
        <v>3</v>
      </c>
      <c r="H170" s="28">
        <f>IFERROR(VLOOKUP(A170,[1]FALTANTES!$A:$AB,28,FALSE),"-")</f>
        <v>0</v>
      </c>
      <c r="I170" s="42">
        <f>IFERROR(VLOOKUP(A170,[1]FALTANTES!$A:$AC,29,FALSE),"-")</f>
        <v>0</v>
      </c>
      <c r="J170" s="29">
        <f>IFERROR(VLOOKUP(A170,[1]FALTANTES!$A:$AD,30,FALSE),"-")</f>
        <v>-3</v>
      </c>
      <c r="K170" s="30">
        <v>0</v>
      </c>
      <c r="L170" s="30">
        <f t="shared" si="2"/>
        <v>3</v>
      </c>
      <c r="M170" s="31">
        <f>SUMIFS(METALFISA!$E:$E,METALFISA!$A:$A,'Faltantes Fevereiro- Metalfisa'!M$3,METALFISA!$B:$B,'Faltantes Fevereiro- Metalfisa'!$A170)</f>
        <v>0</v>
      </c>
      <c r="N170" s="31">
        <f>SUMIFS(METALFISA!$E:$E,METALFISA!$A:$A,'Faltantes Fevereiro- Metalfisa'!N$3,METALFISA!$B:$B,'Faltantes Fevereiro- Metalfisa'!$A170)</f>
        <v>0</v>
      </c>
      <c r="O170" s="31">
        <f>SUMIFS(METALFISA!$E:$E,METALFISA!$A:$A,'Faltantes Fevereiro- Metalfisa'!O$3,METALFISA!$B:$B,'Faltantes Fevereiro- Metalfisa'!$A170)</f>
        <v>0</v>
      </c>
      <c r="P170" s="31">
        <f>SUMIFS(METALFISA!$E:$E,METALFISA!$A:$A,'Faltantes Fevereiro- Metalfisa'!P$3,METALFISA!$B:$B,'Faltantes Fevereiro- Metalfisa'!$A170)</f>
        <v>0</v>
      </c>
      <c r="Q170" s="31">
        <f>SUMIFS(METALFISA!$E:$E,METALFISA!$A:$A,'Faltantes Fevereiro- Metalfisa'!Q$3,METALFISA!$B:$B,'Faltantes Fevereiro- Metalfisa'!$A170)</f>
        <v>0</v>
      </c>
      <c r="R170" s="31">
        <f>SUMIFS(METALFISA!$E:$E,METALFISA!$A:$A,'Faltantes Fevereiro- Metalfisa'!R$3,METALFISA!$B:$B,'Faltantes Fevereiro- Metalfisa'!$A170)</f>
        <v>0</v>
      </c>
      <c r="S170" s="31">
        <f>SUMIFS(METALFISA!$E:$E,METALFISA!$A:$A,'Faltantes Fevereiro- Metalfisa'!S$3,METALFISA!$B:$B,'Faltantes Fevereiro- Metalfisa'!$A170)</f>
        <v>0</v>
      </c>
      <c r="T170" s="31">
        <f>SUMIFS(METALFISA!$E:$E,METALFISA!$A:$A,'Faltantes Fevereiro- Metalfisa'!T$3,METALFISA!$B:$B,'Faltantes Fevereiro- Metalfisa'!$A170)</f>
        <v>0</v>
      </c>
      <c r="U170" s="31">
        <f>SUMIFS(METALFISA!$E:$E,METALFISA!$A:$A,'Faltantes Fevereiro- Metalfisa'!U$3,METALFISA!$B:$B,'Faltantes Fevereiro- Metalfisa'!$A170)</f>
        <v>0</v>
      </c>
      <c r="V170" s="31">
        <f>SUMIFS(METALFISA!$E:$E,METALFISA!$A:$A,'Faltantes Fevereiro- Metalfisa'!V$3,METALFISA!$B:$B,'Faltantes Fevereiro- Metalfisa'!$A170)</f>
        <v>0</v>
      </c>
      <c r="W170" s="31">
        <f>SUMIFS(METALFISA!$E:$E,METALFISA!$A:$A,'Faltantes Fevereiro- Metalfisa'!W$3,METALFISA!$B:$B,'Faltantes Fevereiro- Metalfisa'!$A170)</f>
        <v>0</v>
      </c>
      <c r="X170" s="31">
        <f>SUMIFS(METALFISA!$E:$E,METALFISA!$A:$A,'Faltantes Fevereiro- Metalfisa'!X$3,METALFISA!$B:$B,'Faltantes Fevereiro- Metalfisa'!$A170)</f>
        <v>0</v>
      </c>
      <c r="Y170" s="31">
        <f>SUMIFS(METALFISA!$E:$E,METALFISA!$A:$A,'Faltantes Fevereiro- Metalfisa'!Y$3,METALFISA!$B:$B,'Faltantes Fevereiro- Metalfisa'!$A170)</f>
        <v>0</v>
      </c>
      <c r="Z170" s="31">
        <f>SUMIFS(METALFISA!$E:$E,METALFISA!$A:$A,'Faltantes Fevereiro- Metalfisa'!Z$3,METALFISA!$B:$B,'Faltantes Fevereiro- Metalfisa'!$A170)</f>
        <v>0</v>
      </c>
      <c r="AA170" s="31">
        <f>SUMIFS(METALFISA!$E:$E,METALFISA!$A:$A,'Faltantes Fevereiro- Metalfisa'!AA$3,METALFISA!$B:$B,'Faltantes Fevereiro- Metalfisa'!$A170)</f>
        <v>0</v>
      </c>
      <c r="AB170" s="31">
        <f>SUMIFS(METALFISA!$E:$E,METALFISA!$A:$A,'Faltantes Fevereiro- Metalfisa'!AB$3,METALFISA!$B:$B,'Faltantes Fevereiro- Metalfisa'!$A170)</f>
        <v>0</v>
      </c>
      <c r="AC170" s="31">
        <f>SUMIFS(METALFISA!$E:$E,METALFISA!$A:$A,'Faltantes Fevereiro- Metalfisa'!AC$3,METALFISA!$B:$B,'Faltantes Fevereiro- Metalfisa'!$A170)</f>
        <v>1</v>
      </c>
      <c r="AD170" s="31">
        <f>SUMIFS(METALFISA!$E:$E,METALFISA!$A:$A,'Faltantes Fevereiro- Metalfisa'!AD$3,METALFISA!$B:$B,'Faltantes Fevereiro- Metalfisa'!$A170)</f>
        <v>0</v>
      </c>
      <c r="AE170" s="31">
        <f>SUMIFS(METALFISA!$E:$E,METALFISA!$A:$A,'Faltantes Fevereiro- Metalfisa'!AE$3,METALFISA!$B:$B,'Faltantes Fevereiro- Metalfisa'!$A170)</f>
        <v>0</v>
      </c>
      <c r="AF170" s="31">
        <f>SUMIFS(METALFISA!$E:$E,METALFISA!$A:$A,'Faltantes Fevereiro- Metalfisa'!AF$3,METALFISA!$B:$B,'Faltantes Fevereiro- Metalfisa'!$A170)</f>
        <v>0</v>
      </c>
      <c r="AG170" s="31">
        <f>SUMIFS(METALFISA!$E:$E,METALFISA!$A:$A,'Faltantes Fevereiro- Metalfisa'!AG$3,METALFISA!$B:$B,'Faltantes Fevereiro- Metalfisa'!$A170)</f>
        <v>2</v>
      </c>
      <c r="AH170" s="31">
        <f>SUMIFS(METALFISA!$E:$E,METALFISA!$A:$A,'Faltantes Fevereiro- Metalfisa'!AH$3,METALFISA!$B:$B,'Faltantes Fevereiro- Metalfisa'!$A170)</f>
        <v>0</v>
      </c>
      <c r="AI170" s="31">
        <f>SUMIFS(METALFISA!$E:$E,METALFISA!$A:$A,'Faltantes Fevereiro- Metalfisa'!AI$3,METALFISA!$B:$B,'Faltantes Fevereiro- Metalfisa'!$A170)</f>
        <v>0</v>
      </c>
      <c r="AJ170" s="31">
        <f>SUMIFS(METALFISA!$E:$E,METALFISA!$A:$A,'Faltantes Fevereiro- Metalfisa'!AJ$3,METALFISA!$B:$B,'Faltantes Fevereiro- Metalfisa'!$A170)</f>
        <v>0</v>
      </c>
      <c r="AK170" s="31">
        <f>SUMIFS(METALFISA!$E:$E,METALFISA!$A:$A,'Faltantes Fevereiro- Metalfisa'!AK$3,METALFISA!$B:$B,'Faltantes Fevereiro- Metalfisa'!$A170)</f>
        <v>0</v>
      </c>
      <c r="AL170" s="31">
        <f>SUMIFS(METALFISA!$E:$E,METALFISA!$A:$A,'Faltantes Fevereiro- Metalfisa'!AL$3,METALFISA!$B:$B,'Faltantes Fevereiro- Metalfisa'!$A170)</f>
        <v>0</v>
      </c>
      <c r="AM170" s="31">
        <f>SUMIFS(METALFISA!$E:$E,METALFISA!$A:$A,'Faltantes Fevereiro- Metalfisa'!AM$3,METALFISA!$B:$B,'Faltantes Fevereiro- Metalfisa'!$A170)</f>
        <v>0</v>
      </c>
      <c r="AN170" s="31">
        <f>SUMIFS(METALFISA!$E:$E,METALFISA!$A:$A,'Faltantes Fevereiro- Metalfisa'!AN$3,METALFISA!$B:$B,'Faltantes Fevereiro- Metalfisa'!$A170)</f>
        <v>0</v>
      </c>
      <c r="AO170" s="31">
        <f>SUMIFS(METALFISA!$E:$E,METALFISA!$A:$A,'Faltantes Fevereiro- Metalfisa'!AO$3,METALFISA!$B:$B,'Faltantes Fevereiro- Metalfisa'!$A170)</f>
        <v>0</v>
      </c>
      <c r="AP170" s="31">
        <f>SUMIFS(METALFISA!$E:$E,METALFISA!$A:$A,'Faltantes Fevereiro- Metalfisa'!AP$3,METALFISA!$B:$B,'Faltantes Fevereiro- Metalfisa'!$A170)</f>
        <v>0</v>
      </c>
      <c r="AQ170" s="31"/>
      <c r="AR170" s="31">
        <f>SUMIFS(METALFISA!$E:$E,METALFISA!$A:$A,'Faltantes Fevereiro- Metalfisa'!AR$3,METALFISA!$B:$B,'Faltantes Fevereiro- Metalfisa'!$A170)</f>
        <v>0</v>
      </c>
      <c r="AS170" s="35">
        <f>SUMIFS(METALFISA!$E:$E,METALFISA!$A:$A,'Faltantes Fevereiro- Metalfisa'!AS$3,METALFISA!$B:$B,'Faltantes Fevereiro- Metalfisa'!$A170)</f>
        <v>0</v>
      </c>
      <c r="AU170" s="18">
        <v>0</v>
      </c>
      <c r="AV170" s="18">
        <v>0</v>
      </c>
      <c r="AW170" s="18">
        <v>0</v>
      </c>
      <c r="AX170" s="18">
        <v>0</v>
      </c>
      <c r="AY170" s="41">
        <v>0</v>
      </c>
      <c r="AZ170" s="31">
        <v>0</v>
      </c>
      <c r="BA170" s="31">
        <v>0</v>
      </c>
      <c r="BB170" s="31">
        <v>0</v>
      </c>
      <c r="BC170" s="31">
        <v>0</v>
      </c>
      <c r="BD170" s="31">
        <v>0</v>
      </c>
      <c r="BE170" s="31">
        <v>0</v>
      </c>
      <c r="BF170" s="31">
        <v>0</v>
      </c>
      <c r="BG170" s="31">
        <v>0</v>
      </c>
      <c r="BH170" s="31">
        <v>0</v>
      </c>
      <c r="BI170" s="31">
        <v>0</v>
      </c>
      <c r="BJ170" s="31">
        <v>0</v>
      </c>
      <c r="BK170" s="31">
        <v>0</v>
      </c>
      <c r="BL170" s="31">
        <v>0</v>
      </c>
      <c r="BM170" s="31">
        <v>1</v>
      </c>
      <c r="BN170" s="31">
        <v>0</v>
      </c>
      <c r="BO170" s="31">
        <v>0</v>
      </c>
      <c r="BP170" s="31">
        <v>0</v>
      </c>
      <c r="BQ170" s="31">
        <v>0</v>
      </c>
      <c r="BR170" s="31">
        <v>0</v>
      </c>
      <c r="BS170" s="31">
        <v>0</v>
      </c>
      <c r="BT170" s="31">
        <v>0</v>
      </c>
      <c r="BU170" s="31">
        <v>0</v>
      </c>
      <c r="BV170" s="31">
        <v>0</v>
      </c>
      <c r="BW170" s="31">
        <v>0</v>
      </c>
      <c r="BX170" s="31">
        <v>0</v>
      </c>
      <c r="BY170" s="31">
        <v>0</v>
      </c>
      <c r="BZ170" s="31">
        <v>0</v>
      </c>
      <c r="CA170" s="31">
        <v>0</v>
      </c>
      <c r="CB170" s="31">
        <v>0</v>
      </c>
      <c r="CC170" s="31">
        <v>0</v>
      </c>
      <c r="CD170" s="31">
        <v>0</v>
      </c>
      <c r="CE170" s="31">
        <v>0</v>
      </c>
      <c r="CF170" s="31">
        <v>0</v>
      </c>
      <c r="CG170" s="31">
        <v>0</v>
      </c>
      <c r="CH170" s="31">
        <v>0</v>
      </c>
      <c r="CI170" s="31">
        <v>0</v>
      </c>
      <c r="CJ170" s="31">
        <v>0</v>
      </c>
      <c r="CK170" s="31">
        <v>0</v>
      </c>
      <c r="CL170" s="35">
        <v>0</v>
      </c>
    </row>
    <row r="171" spans="1:90" ht="21" x14ac:dyDescent="0.15">
      <c r="A171" s="27" t="s">
        <v>677</v>
      </c>
      <c r="B171" s="28" t="s">
        <v>678</v>
      </c>
      <c r="C171" s="28">
        <v>0</v>
      </c>
      <c r="D171" s="28">
        <v>0</v>
      </c>
      <c r="E171" s="28">
        <v>0</v>
      </c>
      <c r="F171" s="28">
        <v>0</v>
      </c>
      <c r="G171" s="28">
        <v>3</v>
      </c>
      <c r="H171" s="28">
        <f>IFERROR(VLOOKUP(A171,[1]FALTANTES!$A:$AB,28,FALSE),"-")</f>
        <v>0</v>
      </c>
      <c r="I171" s="42">
        <f>IFERROR(VLOOKUP(A171,[1]FALTANTES!$A:$AC,29,FALSE),"-")</f>
        <v>1</v>
      </c>
      <c r="J171" s="29">
        <f>IFERROR(VLOOKUP(A171,[1]FALTANTES!$A:$AD,30,FALSE),"-")</f>
        <v>-2</v>
      </c>
      <c r="K171" s="30">
        <v>0</v>
      </c>
      <c r="L171" s="30">
        <f t="shared" si="2"/>
        <v>2</v>
      </c>
      <c r="M171" s="31">
        <f>SUMIFS(METALFISA!$E:$E,METALFISA!$A:$A,'Faltantes Fevereiro- Metalfisa'!M$3,METALFISA!$B:$B,'Faltantes Fevereiro- Metalfisa'!$A171)</f>
        <v>0</v>
      </c>
      <c r="N171" s="31">
        <f>SUMIFS(METALFISA!$E:$E,METALFISA!$A:$A,'Faltantes Fevereiro- Metalfisa'!N$3,METALFISA!$B:$B,'Faltantes Fevereiro- Metalfisa'!$A171)</f>
        <v>0</v>
      </c>
      <c r="O171" s="31">
        <f>SUMIFS(METALFISA!$E:$E,METALFISA!$A:$A,'Faltantes Fevereiro- Metalfisa'!O$3,METALFISA!$B:$B,'Faltantes Fevereiro- Metalfisa'!$A171)</f>
        <v>0</v>
      </c>
      <c r="P171" s="31">
        <f>SUMIFS(METALFISA!$E:$E,METALFISA!$A:$A,'Faltantes Fevereiro- Metalfisa'!P$3,METALFISA!$B:$B,'Faltantes Fevereiro- Metalfisa'!$A171)</f>
        <v>0</v>
      </c>
      <c r="Q171" s="31">
        <f>SUMIFS(METALFISA!$E:$E,METALFISA!$A:$A,'Faltantes Fevereiro- Metalfisa'!Q$3,METALFISA!$B:$B,'Faltantes Fevereiro- Metalfisa'!$A171)</f>
        <v>0</v>
      </c>
      <c r="R171" s="31">
        <f>SUMIFS(METALFISA!$E:$E,METALFISA!$A:$A,'Faltantes Fevereiro- Metalfisa'!R$3,METALFISA!$B:$B,'Faltantes Fevereiro- Metalfisa'!$A171)</f>
        <v>0</v>
      </c>
      <c r="S171" s="31">
        <f>SUMIFS(METALFISA!$E:$E,METALFISA!$A:$A,'Faltantes Fevereiro- Metalfisa'!S$3,METALFISA!$B:$B,'Faltantes Fevereiro- Metalfisa'!$A171)</f>
        <v>0</v>
      </c>
      <c r="T171" s="31">
        <f>SUMIFS(METALFISA!$E:$E,METALFISA!$A:$A,'Faltantes Fevereiro- Metalfisa'!T$3,METALFISA!$B:$B,'Faltantes Fevereiro- Metalfisa'!$A171)</f>
        <v>0</v>
      </c>
      <c r="U171" s="31">
        <f>SUMIFS(METALFISA!$E:$E,METALFISA!$A:$A,'Faltantes Fevereiro- Metalfisa'!U$3,METALFISA!$B:$B,'Faltantes Fevereiro- Metalfisa'!$A171)</f>
        <v>0</v>
      </c>
      <c r="V171" s="31">
        <f>SUMIFS(METALFISA!$E:$E,METALFISA!$A:$A,'Faltantes Fevereiro- Metalfisa'!V$3,METALFISA!$B:$B,'Faltantes Fevereiro- Metalfisa'!$A171)</f>
        <v>0</v>
      </c>
      <c r="W171" s="31">
        <f>SUMIFS(METALFISA!$E:$E,METALFISA!$A:$A,'Faltantes Fevereiro- Metalfisa'!W$3,METALFISA!$B:$B,'Faltantes Fevereiro- Metalfisa'!$A171)</f>
        <v>0</v>
      </c>
      <c r="X171" s="31">
        <f>SUMIFS(METALFISA!$E:$E,METALFISA!$A:$A,'Faltantes Fevereiro- Metalfisa'!X$3,METALFISA!$B:$B,'Faltantes Fevereiro- Metalfisa'!$A171)</f>
        <v>0</v>
      </c>
      <c r="Y171" s="31">
        <f>SUMIFS(METALFISA!$E:$E,METALFISA!$A:$A,'Faltantes Fevereiro- Metalfisa'!Y$3,METALFISA!$B:$B,'Faltantes Fevereiro- Metalfisa'!$A171)</f>
        <v>0</v>
      </c>
      <c r="Z171" s="31">
        <f>SUMIFS(METALFISA!$E:$E,METALFISA!$A:$A,'Faltantes Fevereiro- Metalfisa'!Z$3,METALFISA!$B:$B,'Faltantes Fevereiro- Metalfisa'!$A171)</f>
        <v>0</v>
      </c>
      <c r="AA171" s="31">
        <f>SUMIFS(METALFISA!$E:$E,METALFISA!$A:$A,'Faltantes Fevereiro- Metalfisa'!AA$3,METALFISA!$B:$B,'Faltantes Fevereiro- Metalfisa'!$A171)</f>
        <v>0</v>
      </c>
      <c r="AB171" s="31">
        <f>SUMIFS(METALFISA!$E:$E,METALFISA!$A:$A,'Faltantes Fevereiro- Metalfisa'!AB$3,METALFISA!$B:$B,'Faltantes Fevereiro- Metalfisa'!$A171)</f>
        <v>0</v>
      </c>
      <c r="AC171" s="31">
        <f>SUMIFS(METALFISA!$E:$E,METALFISA!$A:$A,'Faltantes Fevereiro- Metalfisa'!AC$3,METALFISA!$B:$B,'Faltantes Fevereiro- Metalfisa'!$A171)</f>
        <v>1</v>
      </c>
      <c r="AD171" s="31">
        <f>SUMIFS(METALFISA!$E:$E,METALFISA!$A:$A,'Faltantes Fevereiro- Metalfisa'!AD$3,METALFISA!$B:$B,'Faltantes Fevereiro- Metalfisa'!$A171)</f>
        <v>0</v>
      </c>
      <c r="AE171" s="31">
        <f>SUMIFS(METALFISA!$E:$E,METALFISA!$A:$A,'Faltantes Fevereiro- Metalfisa'!AE$3,METALFISA!$B:$B,'Faltantes Fevereiro- Metalfisa'!$A171)</f>
        <v>0</v>
      </c>
      <c r="AF171" s="31">
        <f>SUMIFS(METALFISA!$E:$E,METALFISA!$A:$A,'Faltantes Fevereiro- Metalfisa'!AF$3,METALFISA!$B:$B,'Faltantes Fevereiro- Metalfisa'!$A171)</f>
        <v>0</v>
      </c>
      <c r="AG171" s="31">
        <f>SUMIFS(METALFISA!$E:$E,METALFISA!$A:$A,'Faltantes Fevereiro- Metalfisa'!AG$3,METALFISA!$B:$B,'Faltantes Fevereiro- Metalfisa'!$A171)</f>
        <v>1</v>
      </c>
      <c r="AH171" s="31">
        <f>SUMIFS(METALFISA!$E:$E,METALFISA!$A:$A,'Faltantes Fevereiro- Metalfisa'!AH$3,METALFISA!$B:$B,'Faltantes Fevereiro- Metalfisa'!$A171)</f>
        <v>0</v>
      </c>
      <c r="AI171" s="31">
        <f>SUMIFS(METALFISA!$E:$E,METALFISA!$A:$A,'Faltantes Fevereiro- Metalfisa'!AI$3,METALFISA!$B:$B,'Faltantes Fevereiro- Metalfisa'!$A171)</f>
        <v>0</v>
      </c>
      <c r="AJ171" s="31">
        <f>SUMIFS(METALFISA!$E:$E,METALFISA!$A:$A,'Faltantes Fevereiro- Metalfisa'!AJ$3,METALFISA!$B:$B,'Faltantes Fevereiro- Metalfisa'!$A171)</f>
        <v>0</v>
      </c>
      <c r="AK171" s="31">
        <f>SUMIFS(METALFISA!$E:$E,METALFISA!$A:$A,'Faltantes Fevereiro- Metalfisa'!AK$3,METALFISA!$B:$B,'Faltantes Fevereiro- Metalfisa'!$A171)</f>
        <v>0</v>
      </c>
      <c r="AL171" s="31">
        <f>SUMIFS(METALFISA!$E:$E,METALFISA!$A:$A,'Faltantes Fevereiro- Metalfisa'!AL$3,METALFISA!$B:$B,'Faltantes Fevereiro- Metalfisa'!$A171)</f>
        <v>0</v>
      </c>
      <c r="AM171" s="31">
        <f>SUMIFS(METALFISA!$E:$E,METALFISA!$A:$A,'Faltantes Fevereiro- Metalfisa'!AM$3,METALFISA!$B:$B,'Faltantes Fevereiro- Metalfisa'!$A171)</f>
        <v>0</v>
      </c>
      <c r="AN171" s="31">
        <f>SUMIFS(METALFISA!$E:$E,METALFISA!$A:$A,'Faltantes Fevereiro- Metalfisa'!AN$3,METALFISA!$B:$B,'Faltantes Fevereiro- Metalfisa'!$A171)</f>
        <v>0</v>
      </c>
      <c r="AO171" s="31">
        <f>SUMIFS(METALFISA!$E:$E,METALFISA!$A:$A,'Faltantes Fevereiro- Metalfisa'!AO$3,METALFISA!$B:$B,'Faltantes Fevereiro- Metalfisa'!$A171)</f>
        <v>0</v>
      </c>
      <c r="AP171" s="31">
        <f>SUMIFS(METALFISA!$E:$E,METALFISA!$A:$A,'Faltantes Fevereiro- Metalfisa'!AP$3,METALFISA!$B:$B,'Faltantes Fevereiro- Metalfisa'!$A171)</f>
        <v>0</v>
      </c>
      <c r="AQ171" s="31"/>
      <c r="AR171" s="31">
        <f>SUMIFS(METALFISA!$E:$E,METALFISA!$A:$A,'Faltantes Fevereiro- Metalfisa'!AR$3,METALFISA!$B:$B,'Faltantes Fevereiro- Metalfisa'!$A171)</f>
        <v>0</v>
      </c>
      <c r="AS171" s="35">
        <f>SUMIFS(METALFISA!$E:$E,METALFISA!$A:$A,'Faltantes Fevereiro- Metalfisa'!AS$3,METALFISA!$B:$B,'Faltantes Fevereiro- Metalfisa'!$A171)</f>
        <v>0</v>
      </c>
      <c r="AU171" s="18">
        <v>0</v>
      </c>
      <c r="AV171" s="18">
        <v>0</v>
      </c>
      <c r="AW171" s="18">
        <v>0</v>
      </c>
      <c r="AX171" s="18">
        <v>0</v>
      </c>
      <c r="AY171" s="41">
        <v>0</v>
      </c>
      <c r="AZ171" s="31">
        <v>0</v>
      </c>
      <c r="BA171" s="31">
        <v>0</v>
      </c>
      <c r="BB171" s="31">
        <v>0</v>
      </c>
      <c r="BC171" s="31">
        <v>0</v>
      </c>
      <c r="BD171" s="31">
        <v>0</v>
      </c>
      <c r="BE171" s="31">
        <v>0</v>
      </c>
      <c r="BF171" s="31">
        <v>0</v>
      </c>
      <c r="BG171" s="31">
        <v>0</v>
      </c>
      <c r="BH171" s="31">
        <v>0</v>
      </c>
      <c r="BI171" s="31">
        <v>0</v>
      </c>
      <c r="BJ171" s="31">
        <v>0</v>
      </c>
      <c r="BK171" s="31">
        <v>0</v>
      </c>
      <c r="BL171" s="31">
        <v>0</v>
      </c>
      <c r="BM171" s="31">
        <v>1</v>
      </c>
      <c r="BN171" s="31">
        <v>0</v>
      </c>
      <c r="BO171" s="31">
        <v>0</v>
      </c>
      <c r="BP171" s="31">
        <v>0</v>
      </c>
      <c r="BQ171" s="31">
        <v>0</v>
      </c>
      <c r="BR171" s="31">
        <v>0</v>
      </c>
      <c r="BS171" s="31">
        <v>0</v>
      </c>
      <c r="BT171" s="31">
        <v>0</v>
      </c>
      <c r="BU171" s="31">
        <v>0</v>
      </c>
      <c r="BV171" s="31">
        <v>0</v>
      </c>
      <c r="BW171" s="31">
        <v>0</v>
      </c>
      <c r="BX171" s="31">
        <v>0</v>
      </c>
      <c r="BY171" s="31">
        <v>0</v>
      </c>
      <c r="BZ171" s="31">
        <v>0</v>
      </c>
      <c r="CA171" s="31">
        <v>0</v>
      </c>
      <c r="CB171" s="31">
        <v>0</v>
      </c>
      <c r="CC171" s="31">
        <v>0</v>
      </c>
      <c r="CD171" s="31">
        <v>0</v>
      </c>
      <c r="CE171" s="31">
        <v>0</v>
      </c>
      <c r="CF171" s="31">
        <v>0</v>
      </c>
      <c r="CG171" s="31">
        <v>0</v>
      </c>
      <c r="CH171" s="31">
        <v>0</v>
      </c>
      <c r="CI171" s="31">
        <v>0</v>
      </c>
      <c r="CJ171" s="31">
        <v>0</v>
      </c>
      <c r="CK171" s="31">
        <v>0</v>
      </c>
      <c r="CL171" s="35">
        <v>0</v>
      </c>
    </row>
    <row r="172" spans="1:90" ht="21" x14ac:dyDescent="0.15">
      <c r="A172" s="27" t="s">
        <v>927</v>
      </c>
      <c r="B172" s="28" t="s">
        <v>928</v>
      </c>
      <c r="C172" s="28">
        <v>4</v>
      </c>
      <c r="D172" s="28">
        <v>0</v>
      </c>
      <c r="E172" s="28">
        <v>0</v>
      </c>
      <c r="F172" s="28">
        <v>0</v>
      </c>
      <c r="G172" s="28">
        <v>29</v>
      </c>
      <c r="H172" s="28">
        <f>IFERROR(VLOOKUP(A172,[1]FALTANTES!$A:$AB,28,FALSE),"-")</f>
        <v>4</v>
      </c>
      <c r="I172" s="42">
        <f>IFERROR(VLOOKUP(A172,[1]FALTANTES!$A:$AC,29,FALSE),"-")</f>
        <v>0</v>
      </c>
      <c r="J172" s="29">
        <f>IFERROR(VLOOKUP(A172,[1]FALTANTES!$A:$AD,30,FALSE),"-")</f>
        <v>-33</v>
      </c>
      <c r="K172" s="30">
        <v>0</v>
      </c>
      <c r="L172" s="30">
        <f t="shared" si="2"/>
        <v>33</v>
      </c>
      <c r="M172" s="31">
        <f>SUMIFS(METALFISA!$E:$E,METALFISA!$A:$A,'Faltantes Fevereiro- Metalfisa'!M$3,METALFISA!$B:$B,'Faltantes Fevereiro- Metalfisa'!$A172)</f>
        <v>0</v>
      </c>
      <c r="N172" s="31">
        <f>SUMIFS(METALFISA!$E:$E,METALFISA!$A:$A,'Faltantes Fevereiro- Metalfisa'!N$3,METALFISA!$B:$B,'Faltantes Fevereiro- Metalfisa'!$A172)</f>
        <v>0</v>
      </c>
      <c r="O172" s="31">
        <f>SUMIFS(METALFISA!$E:$E,METALFISA!$A:$A,'Faltantes Fevereiro- Metalfisa'!O$3,METALFISA!$B:$B,'Faltantes Fevereiro- Metalfisa'!$A172)</f>
        <v>0</v>
      </c>
      <c r="P172" s="31">
        <f>SUMIFS(METALFISA!$E:$E,METALFISA!$A:$A,'Faltantes Fevereiro- Metalfisa'!P$3,METALFISA!$B:$B,'Faltantes Fevereiro- Metalfisa'!$A172)</f>
        <v>0</v>
      </c>
      <c r="Q172" s="31">
        <f>SUMIFS(METALFISA!$E:$E,METALFISA!$A:$A,'Faltantes Fevereiro- Metalfisa'!Q$3,METALFISA!$B:$B,'Faltantes Fevereiro- Metalfisa'!$A172)</f>
        <v>0</v>
      </c>
      <c r="R172" s="31">
        <f>SUMIFS(METALFISA!$E:$E,METALFISA!$A:$A,'Faltantes Fevereiro- Metalfisa'!R$3,METALFISA!$B:$B,'Faltantes Fevereiro- Metalfisa'!$A172)</f>
        <v>0</v>
      </c>
      <c r="S172" s="31">
        <f>SUMIFS(METALFISA!$E:$E,METALFISA!$A:$A,'Faltantes Fevereiro- Metalfisa'!S$3,METALFISA!$B:$B,'Faltantes Fevereiro- Metalfisa'!$A172)</f>
        <v>0</v>
      </c>
      <c r="T172" s="31">
        <f>SUMIFS(METALFISA!$E:$E,METALFISA!$A:$A,'Faltantes Fevereiro- Metalfisa'!T$3,METALFISA!$B:$B,'Faltantes Fevereiro- Metalfisa'!$A172)</f>
        <v>0</v>
      </c>
      <c r="U172" s="31">
        <f>SUMIFS(METALFISA!$E:$E,METALFISA!$A:$A,'Faltantes Fevereiro- Metalfisa'!U$3,METALFISA!$B:$B,'Faltantes Fevereiro- Metalfisa'!$A172)</f>
        <v>0</v>
      </c>
      <c r="V172" s="31">
        <f>SUMIFS(METALFISA!$E:$E,METALFISA!$A:$A,'Faltantes Fevereiro- Metalfisa'!V$3,METALFISA!$B:$B,'Faltantes Fevereiro- Metalfisa'!$A172)</f>
        <v>0</v>
      </c>
      <c r="W172" s="31">
        <f>SUMIFS(METALFISA!$E:$E,METALFISA!$A:$A,'Faltantes Fevereiro- Metalfisa'!W$3,METALFISA!$B:$B,'Faltantes Fevereiro- Metalfisa'!$A172)</f>
        <v>0</v>
      </c>
      <c r="X172" s="31">
        <f>SUMIFS(METALFISA!$E:$E,METALFISA!$A:$A,'Faltantes Fevereiro- Metalfisa'!X$3,METALFISA!$B:$B,'Faltantes Fevereiro- Metalfisa'!$A172)</f>
        <v>0</v>
      </c>
      <c r="Y172" s="31">
        <f>SUMIFS(METALFISA!$E:$E,METALFISA!$A:$A,'Faltantes Fevereiro- Metalfisa'!Y$3,METALFISA!$B:$B,'Faltantes Fevereiro- Metalfisa'!$A172)</f>
        <v>0</v>
      </c>
      <c r="Z172" s="31">
        <f>SUMIFS(METALFISA!$E:$E,METALFISA!$A:$A,'Faltantes Fevereiro- Metalfisa'!Z$3,METALFISA!$B:$B,'Faltantes Fevereiro- Metalfisa'!$A172)</f>
        <v>0</v>
      </c>
      <c r="AA172" s="31">
        <f>SUMIFS(METALFISA!$E:$E,METALFISA!$A:$A,'Faltantes Fevereiro- Metalfisa'!AA$3,METALFISA!$B:$B,'Faltantes Fevereiro- Metalfisa'!$A172)</f>
        <v>0</v>
      </c>
      <c r="AB172" s="31">
        <f>SUMIFS(METALFISA!$E:$E,METALFISA!$A:$A,'Faltantes Fevereiro- Metalfisa'!AB$3,METALFISA!$B:$B,'Faltantes Fevereiro- Metalfisa'!$A172)</f>
        <v>0</v>
      </c>
      <c r="AC172" s="31">
        <f>SUMIFS(METALFISA!$E:$E,METALFISA!$A:$A,'Faltantes Fevereiro- Metalfisa'!AC$3,METALFISA!$B:$B,'Faltantes Fevereiro- Metalfisa'!$A172)</f>
        <v>0</v>
      </c>
      <c r="AD172" s="31">
        <f>SUMIFS(METALFISA!$E:$E,METALFISA!$A:$A,'Faltantes Fevereiro- Metalfisa'!AD$3,METALFISA!$B:$B,'Faltantes Fevereiro- Metalfisa'!$A172)</f>
        <v>0</v>
      </c>
      <c r="AE172" s="31">
        <f>SUMIFS(METALFISA!$E:$E,METALFISA!$A:$A,'Faltantes Fevereiro- Metalfisa'!AE$3,METALFISA!$B:$B,'Faltantes Fevereiro- Metalfisa'!$A172)</f>
        <v>0</v>
      </c>
      <c r="AF172" s="31">
        <f>SUMIFS(METALFISA!$E:$E,METALFISA!$A:$A,'Faltantes Fevereiro- Metalfisa'!AF$3,METALFISA!$B:$B,'Faltantes Fevereiro- Metalfisa'!$A172)</f>
        <v>0</v>
      </c>
      <c r="AG172" s="31">
        <f>SUMIFS(METALFISA!$E:$E,METALFISA!$A:$A,'Faltantes Fevereiro- Metalfisa'!AG$3,METALFISA!$B:$B,'Faltantes Fevereiro- Metalfisa'!$A172)</f>
        <v>0</v>
      </c>
      <c r="AH172" s="31">
        <f>SUMIFS(METALFISA!$E:$E,METALFISA!$A:$A,'Faltantes Fevereiro- Metalfisa'!AH$3,METALFISA!$B:$B,'Faltantes Fevereiro- Metalfisa'!$A172)</f>
        <v>33</v>
      </c>
      <c r="AI172" s="31">
        <f>SUMIFS(METALFISA!$E:$E,METALFISA!$A:$A,'Faltantes Fevereiro- Metalfisa'!AI$3,METALFISA!$B:$B,'Faltantes Fevereiro- Metalfisa'!$A172)</f>
        <v>0</v>
      </c>
      <c r="AJ172" s="31">
        <f>SUMIFS(METALFISA!$E:$E,METALFISA!$A:$A,'Faltantes Fevereiro- Metalfisa'!AJ$3,METALFISA!$B:$B,'Faltantes Fevereiro- Metalfisa'!$A172)</f>
        <v>0</v>
      </c>
      <c r="AK172" s="31">
        <f>SUMIFS(METALFISA!$E:$E,METALFISA!$A:$A,'Faltantes Fevereiro- Metalfisa'!AK$3,METALFISA!$B:$B,'Faltantes Fevereiro- Metalfisa'!$A172)</f>
        <v>0</v>
      </c>
      <c r="AL172" s="31">
        <f>SUMIFS(METALFISA!$E:$E,METALFISA!$A:$A,'Faltantes Fevereiro- Metalfisa'!AL$3,METALFISA!$B:$B,'Faltantes Fevereiro- Metalfisa'!$A172)</f>
        <v>0</v>
      </c>
      <c r="AM172" s="31">
        <f>SUMIFS(METALFISA!$E:$E,METALFISA!$A:$A,'Faltantes Fevereiro- Metalfisa'!AM$3,METALFISA!$B:$B,'Faltantes Fevereiro- Metalfisa'!$A172)</f>
        <v>0</v>
      </c>
      <c r="AN172" s="31">
        <f>SUMIFS(METALFISA!$E:$E,METALFISA!$A:$A,'Faltantes Fevereiro- Metalfisa'!AN$3,METALFISA!$B:$B,'Faltantes Fevereiro- Metalfisa'!$A172)</f>
        <v>0</v>
      </c>
      <c r="AO172" s="31">
        <f>SUMIFS(METALFISA!$E:$E,METALFISA!$A:$A,'Faltantes Fevereiro- Metalfisa'!AO$3,METALFISA!$B:$B,'Faltantes Fevereiro- Metalfisa'!$A172)</f>
        <v>0</v>
      </c>
      <c r="AP172" s="31">
        <f>SUMIFS(METALFISA!$E:$E,METALFISA!$A:$A,'Faltantes Fevereiro- Metalfisa'!AP$3,METALFISA!$B:$B,'Faltantes Fevereiro- Metalfisa'!$A172)</f>
        <v>0</v>
      </c>
      <c r="AQ172" s="31"/>
      <c r="AR172" s="31">
        <f>SUMIFS(METALFISA!$E:$E,METALFISA!$A:$A,'Faltantes Fevereiro- Metalfisa'!AR$3,METALFISA!$B:$B,'Faltantes Fevereiro- Metalfisa'!$A172)</f>
        <v>0</v>
      </c>
      <c r="AS172" s="35">
        <f>SUMIFS(METALFISA!$E:$E,METALFISA!$A:$A,'Faltantes Fevereiro- Metalfisa'!AS$3,METALFISA!$B:$B,'Faltantes Fevereiro- Metalfisa'!$A172)</f>
        <v>0</v>
      </c>
      <c r="AU172" s="18">
        <v>0</v>
      </c>
      <c r="AV172" s="18">
        <v>0</v>
      </c>
      <c r="AW172" s="18">
        <v>0</v>
      </c>
      <c r="AX172" s="18">
        <v>0</v>
      </c>
      <c r="AY172" s="41">
        <v>1</v>
      </c>
      <c r="AZ172" s="31">
        <v>1</v>
      </c>
      <c r="BA172" s="31">
        <v>0</v>
      </c>
      <c r="BB172" s="31">
        <v>0</v>
      </c>
      <c r="BC172" s="31">
        <v>0</v>
      </c>
      <c r="BD172" s="31">
        <v>0</v>
      </c>
      <c r="BE172" s="31">
        <v>0</v>
      </c>
      <c r="BF172" s="31">
        <v>0</v>
      </c>
      <c r="BG172" s="31">
        <v>0</v>
      </c>
      <c r="BH172" s="31">
        <v>0</v>
      </c>
      <c r="BI172" s="31">
        <v>0</v>
      </c>
      <c r="BJ172" s="31">
        <v>0</v>
      </c>
      <c r="BK172" s="31">
        <v>0</v>
      </c>
      <c r="BL172" s="31">
        <v>0</v>
      </c>
      <c r="BM172" s="31">
        <v>0</v>
      </c>
      <c r="BN172" s="31">
        <v>0</v>
      </c>
      <c r="BO172" s="31">
        <v>0</v>
      </c>
      <c r="BP172" s="31">
        <v>0</v>
      </c>
      <c r="BQ172" s="31">
        <v>0</v>
      </c>
      <c r="BR172" s="31">
        <v>0</v>
      </c>
      <c r="BS172" s="31">
        <v>0</v>
      </c>
      <c r="BT172" s="31">
        <v>0</v>
      </c>
      <c r="BU172" s="31">
        <v>0</v>
      </c>
      <c r="BV172" s="31">
        <v>0</v>
      </c>
      <c r="BW172" s="31">
        <v>0</v>
      </c>
      <c r="BX172" s="31">
        <v>0</v>
      </c>
      <c r="BY172" s="31">
        <v>0</v>
      </c>
      <c r="BZ172" s="31">
        <v>0</v>
      </c>
      <c r="CA172" s="31">
        <v>0</v>
      </c>
      <c r="CB172" s="31">
        <v>0</v>
      </c>
      <c r="CC172" s="31">
        <v>0</v>
      </c>
      <c r="CD172" s="31">
        <v>0</v>
      </c>
      <c r="CE172" s="31">
        <v>0</v>
      </c>
      <c r="CF172" s="31">
        <v>0</v>
      </c>
      <c r="CG172" s="31">
        <v>0</v>
      </c>
      <c r="CH172" s="31">
        <v>0</v>
      </c>
      <c r="CI172" s="31">
        <v>0</v>
      </c>
      <c r="CJ172" s="31">
        <v>0</v>
      </c>
      <c r="CK172" s="31">
        <v>0</v>
      </c>
      <c r="CL172" s="35">
        <v>0</v>
      </c>
    </row>
    <row r="173" spans="1:90" ht="21" x14ac:dyDescent="0.15">
      <c r="A173" s="27" t="s">
        <v>812</v>
      </c>
      <c r="B173" s="28" t="s">
        <v>813</v>
      </c>
      <c r="C173" s="28">
        <v>1</v>
      </c>
      <c r="D173" s="28">
        <v>0</v>
      </c>
      <c r="E173" s="28">
        <v>5</v>
      </c>
      <c r="F173" s="28">
        <v>0</v>
      </c>
      <c r="G173" s="28">
        <v>0</v>
      </c>
      <c r="H173" s="28">
        <f>IFERROR(VLOOKUP(A173,[1]FALTANTES!$A:$AB,28,FALSE),"-")</f>
        <v>6</v>
      </c>
      <c r="I173" s="42">
        <f>IFERROR(VLOOKUP(A173,[1]FALTANTES!$A:$AC,29,FALSE),"-")</f>
        <v>0</v>
      </c>
      <c r="J173" s="29">
        <f>IFERROR(VLOOKUP(A173,[1]FALTANTES!$A:$AD,30,FALSE),"-")</f>
        <v>-6</v>
      </c>
      <c r="K173" s="30">
        <v>0</v>
      </c>
      <c r="L173" s="30">
        <f t="shared" ref="L173:L213" si="3">SUM(M173:AS173)</f>
        <v>46</v>
      </c>
      <c r="M173" s="31">
        <f>SUMIFS(METALFISA!$E:$E,METALFISA!$A:$A,'Faltantes Fevereiro- Metalfisa'!M$3,METALFISA!$B:$B,'Faltantes Fevereiro- Metalfisa'!$A173)</f>
        <v>0</v>
      </c>
      <c r="N173" s="31">
        <f>SUMIFS(METALFISA!$E:$E,METALFISA!$A:$A,'Faltantes Fevereiro- Metalfisa'!N$3,METALFISA!$B:$B,'Faltantes Fevereiro- Metalfisa'!$A173)</f>
        <v>0</v>
      </c>
      <c r="O173" s="31">
        <f>SUMIFS(METALFISA!$E:$E,METALFISA!$A:$A,'Faltantes Fevereiro- Metalfisa'!O$3,METALFISA!$B:$B,'Faltantes Fevereiro- Metalfisa'!$A173)</f>
        <v>0</v>
      </c>
      <c r="P173" s="31">
        <f>SUMIFS(METALFISA!$E:$E,METALFISA!$A:$A,'Faltantes Fevereiro- Metalfisa'!P$3,METALFISA!$B:$B,'Faltantes Fevereiro- Metalfisa'!$A173)</f>
        <v>0</v>
      </c>
      <c r="Q173" s="31">
        <f>SUMIFS(METALFISA!$E:$E,METALFISA!$A:$A,'Faltantes Fevereiro- Metalfisa'!Q$3,METALFISA!$B:$B,'Faltantes Fevereiro- Metalfisa'!$A173)</f>
        <v>0</v>
      </c>
      <c r="R173" s="31">
        <f>SUMIFS(METALFISA!$E:$E,METALFISA!$A:$A,'Faltantes Fevereiro- Metalfisa'!R$3,METALFISA!$B:$B,'Faltantes Fevereiro- Metalfisa'!$A173)</f>
        <v>0</v>
      </c>
      <c r="S173" s="31">
        <f>SUMIFS(METALFISA!$E:$E,METALFISA!$A:$A,'Faltantes Fevereiro- Metalfisa'!S$3,METALFISA!$B:$B,'Faltantes Fevereiro- Metalfisa'!$A173)</f>
        <v>0</v>
      </c>
      <c r="T173" s="31">
        <f>SUMIFS(METALFISA!$E:$E,METALFISA!$A:$A,'Faltantes Fevereiro- Metalfisa'!T$3,METALFISA!$B:$B,'Faltantes Fevereiro- Metalfisa'!$A173)</f>
        <v>0</v>
      </c>
      <c r="U173" s="31">
        <f>SUMIFS(METALFISA!$E:$E,METALFISA!$A:$A,'Faltantes Fevereiro- Metalfisa'!U$3,METALFISA!$B:$B,'Faltantes Fevereiro- Metalfisa'!$A173)</f>
        <v>0</v>
      </c>
      <c r="V173" s="31">
        <f>SUMIFS(METALFISA!$E:$E,METALFISA!$A:$A,'Faltantes Fevereiro- Metalfisa'!V$3,METALFISA!$B:$B,'Faltantes Fevereiro- Metalfisa'!$A173)</f>
        <v>0</v>
      </c>
      <c r="W173" s="31">
        <f>SUMIFS(METALFISA!$E:$E,METALFISA!$A:$A,'Faltantes Fevereiro- Metalfisa'!W$3,METALFISA!$B:$B,'Faltantes Fevereiro- Metalfisa'!$A173)</f>
        <v>0</v>
      </c>
      <c r="X173" s="31">
        <f>SUMIFS(METALFISA!$E:$E,METALFISA!$A:$A,'Faltantes Fevereiro- Metalfisa'!X$3,METALFISA!$B:$B,'Faltantes Fevereiro- Metalfisa'!$A173)</f>
        <v>0</v>
      </c>
      <c r="Y173" s="31">
        <f>SUMIFS(METALFISA!$E:$E,METALFISA!$A:$A,'Faltantes Fevereiro- Metalfisa'!Y$3,METALFISA!$B:$B,'Faltantes Fevereiro- Metalfisa'!$A173)</f>
        <v>0</v>
      </c>
      <c r="Z173" s="31">
        <f>SUMIFS(METALFISA!$E:$E,METALFISA!$A:$A,'Faltantes Fevereiro- Metalfisa'!Z$3,METALFISA!$B:$B,'Faltantes Fevereiro- Metalfisa'!$A173)</f>
        <v>0</v>
      </c>
      <c r="AA173" s="31">
        <f>SUMIFS(METALFISA!$E:$E,METALFISA!$A:$A,'Faltantes Fevereiro- Metalfisa'!AA$3,METALFISA!$B:$B,'Faltantes Fevereiro- Metalfisa'!$A173)</f>
        <v>0</v>
      </c>
      <c r="AB173" s="31">
        <f>SUMIFS(METALFISA!$E:$E,METALFISA!$A:$A,'Faltantes Fevereiro- Metalfisa'!AB$3,METALFISA!$B:$B,'Faltantes Fevereiro- Metalfisa'!$A173)</f>
        <v>0</v>
      </c>
      <c r="AC173" s="31">
        <f>SUMIFS(METALFISA!$E:$E,METALFISA!$A:$A,'Faltantes Fevereiro- Metalfisa'!AC$3,METALFISA!$B:$B,'Faltantes Fevereiro- Metalfisa'!$A173)</f>
        <v>0</v>
      </c>
      <c r="AD173" s="31">
        <f>SUMIFS(METALFISA!$E:$E,METALFISA!$A:$A,'Faltantes Fevereiro- Metalfisa'!AD$3,METALFISA!$B:$B,'Faltantes Fevereiro- Metalfisa'!$A173)</f>
        <v>0</v>
      </c>
      <c r="AE173" s="31">
        <f>SUMIFS(METALFISA!$E:$E,METALFISA!$A:$A,'Faltantes Fevereiro- Metalfisa'!AE$3,METALFISA!$B:$B,'Faltantes Fevereiro- Metalfisa'!$A173)</f>
        <v>0</v>
      </c>
      <c r="AF173" s="31">
        <f>SUMIFS(METALFISA!$E:$E,METALFISA!$A:$A,'Faltantes Fevereiro- Metalfisa'!AF$3,METALFISA!$B:$B,'Faltantes Fevereiro- Metalfisa'!$A173)</f>
        <v>0</v>
      </c>
      <c r="AG173" s="31">
        <f>SUMIFS(METALFISA!$E:$E,METALFISA!$A:$A,'Faltantes Fevereiro- Metalfisa'!AG$3,METALFISA!$B:$B,'Faltantes Fevereiro- Metalfisa'!$A173)</f>
        <v>0</v>
      </c>
      <c r="AH173" s="31">
        <f>SUMIFS(METALFISA!$E:$E,METALFISA!$A:$A,'Faltantes Fevereiro- Metalfisa'!AH$3,METALFISA!$B:$B,'Faltantes Fevereiro- Metalfisa'!$A173)</f>
        <v>0</v>
      </c>
      <c r="AI173" s="31">
        <f>SUMIFS(METALFISA!$E:$E,METALFISA!$A:$A,'Faltantes Fevereiro- Metalfisa'!AI$3,METALFISA!$B:$B,'Faltantes Fevereiro- Metalfisa'!$A173)</f>
        <v>0</v>
      </c>
      <c r="AJ173" s="31">
        <f>SUMIFS(METALFISA!$E:$E,METALFISA!$A:$A,'Faltantes Fevereiro- Metalfisa'!AJ$3,METALFISA!$B:$B,'Faltantes Fevereiro- Metalfisa'!$A173)</f>
        <v>0</v>
      </c>
      <c r="AK173" s="31">
        <f>SUMIFS(METALFISA!$E:$E,METALFISA!$A:$A,'Faltantes Fevereiro- Metalfisa'!AK$3,METALFISA!$B:$B,'Faltantes Fevereiro- Metalfisa'!$A173)</f>
        <v>40</v>
      </c>
      <c r="AL173" s="31">
        <f>SUMIFS(METALFISA!$E:$E,METALFISA!$A:$A,'Faltantes Fevereiro- Metalfisa'!AL$3,METALFISA!$B:$B,'Faltantes Fevereiro- Metalfisa'!$A173)</f>
        <v>6</v>
      </c>
      <c r="AM173" s="31">
        <f>SUMIFS(METALFISA!$E:$E,METALFISA!$A:$A,'Faltantes Fevereiro- Metalfisa'!AM$3,METALFISA!$B:$B,'Faltantes Fevereiro- Metalfisa'!$A173)</f>
        <v>0</v>
      </c>
      <c r="AN173" s="31">
        <f>SUMIFS(METALFISA!$E:$E,METALFISA!$A:$A,'Faltantes Fevereiro- Metalfisa'!AN$3,METALFISA!$B:$B,'Faltantes Fevereiro- Metalfisa'!$A173)</f>
        <v>0</v>
      </c>
      <c r="AO173" s="31">
        <f>SUMIFS(METALFISA!$E:$E,METALFISA!$A:$A,'Faltantes Fevereiro- Metalfisa'!AO$3,METALFISA!$B:$B,'Faltantes Fevereiro- Metalfisa'!$A173)</f>
        <v>0</v>
      </c>
      <c r="AP173" s="31">
        <f>SUMIFS(METALFISA!$E:$E,METALFISA!$A:$A,'Faltantes Fevereiro- Metalfisa'!AP$3,METALFISA!$B:$B,'Faltantes Fevereiro- Metalfisa'!$A173)</f>
        <v>0</v>
      </c>
      <c r="AQ173" s="31"/>
      <c r="AR173" s="31">
        <f>SUMIFS(METALFISA!$E:$E,METALFISA!$A:$A,'Faltantes Fevereiro- Metalfisa'!AR$3,METALFISA!$B:$B,'Faltantes Fevereiro- Metalfisa'!$A173)</f>
        <v>0</v>
      </c>
      <c r="AS173" s="35">
        <f>SUMIFS(METALFISA!$E:$E,METALFISA!$A:$A,'Faltantes Fevereiro- Metalfisa'!AS$3,METALFISA!$B:$B,'Faltantes Fevereiro- Metalfisa'!$A173)</f>
        <v>0</v>
      </c>
      <c r="AU173" s="18">
        <v>0</v>
      </c>
      <c r="AV173" s="18">
        <v>0</v>
      </c>
      <c r="AW173" s="18">
        <v>0</v>
      </c>
      <c r="AX173" s="18">
        <v>0</v>
      </c>
      <c r="AY173" s="41">
        <v>0</v>
      </c>
      <c r="AZ173" s="31">
        <v>0</v>
      </c>
      <c r="BA173" s="31">
        <v>1</v>
      </c>
      <c r="BB173" s="31">
        <v>0</v>
      </c>
      <c r="BC173" s="31">
        <v>0</v>
      </c>
      <c r="BD173" s="31">
        <v>0</v>
      </c>
      <c r="BE173" s="31">
        <v>0</v>
      </c>
      <c r="BF173" s="31">
        <v>0</v>
      </c>
      <c r="BG173" s="31">
        <v>0</v>
      </c>
      <c r="BH173" s="31">
        <v>0</v>
      </c>
      <c r="BI173" s="31">
        <v>0</v>
      </c>
      <c r="BJ173" s="31">
        <v>0</v>
      </c>
      <c r="BK173" s="31">
        <v>0</v>
      </c>
      <c r="BL173" s="31">
        <v>0</v>
      </c>
      <c r="BM173" s="31">
        <v>0</v>
      </c>
      <c r="BN173" s="31">
        <v>0</v>
      </c>
      <c r="BO173" s="31">
        <v>0</v>
      </c>
      <c r="BP173" s="31">
        <v>0</v>
      </c>
      <c r="BQ173" s="31">
        <v>0</v>
      </c>
      <c r="BR173" s="31">
        <v>0</v>
      </c>
      <c r="BS173" s="31">
        <v>0</v>
      </c>
      <c r="BT173" s="31">
        <v>0</v>
      </c>
      <c r="BU173" s="31">
        <v>0</v>
      </c>
      <c r="BV173" s="31">
        <v>0</v>
      </c>
      <c r="BW173" s="31">
        <v>0</v>
      </c>
      <c r="BX173" s="31">
        <v>0</v>
      </c>
      <c r="BY173" s="31">
        <v>0</v>
      </c>
      <c r="BZ173" s="31">
        <v>0</v>
      </c>
      <c r="CA173" s="31">
        <v>0</v>
      </c>
      <c r="CB173" s="31">
        <v>0</v>
      </c>
      <c r="CC173" s="31">
        <v>0</v>
      </c>
      <c r="CD173" s="31">
        <v>0</v>
      </c>
      <c r="CE173" s="31">
        <v>0</v>
      </c>
      <c r="CF173" s="31">
        <v>0</v>
      </c>
      <c r="CG173" s="31">
        <v>0</v>
      </c>
      <c r="CH173" s="31">
        <v>0</v>
      </c>
      <c r="CI173" s="31">
        <v>0</v>
      </c>
      <c r="CJ173" s="31">
        <v>0</v>
      </c>
      <c r="CK173" s="31">
        <v>0</v>
      </c>
      <c r="CL173" s="35">
        <v>0</v>
      </c>
    </row>
    <row r="174" spans="1:90" ht="21" x14ac:dyDescent="0.15">
      <c r="A174" s="27" t="s">
        <v>929</v>
      </c>
      <c r="B174" s="28" t="s">
        <v>5589</v>
      </c>
      <c r="C174" s="28">
        <v>0</v>
      </c>
      <c r="D174" s="28">
        <v>0</v>
      </c>
      <c r="E174" s="28">
        <v>3</v>
      </c>
      <c r="F174" s="28">
        <v>0</v>
      </c>
      <c r="G174" s="28">
        <v>0</v>
      </c>
      <c r="H174" s="28">
        <f>IFERROR(VLOOKUP(A174,[1]FALTANTES!$A:$AB,28,FALSE),"-")</f>
        <v>3</v>
      </c>
      <c r="I174" s="42">
        <f>IFERROR(VLOOKUP(A174,[1]FALTANTES!$A:$AC,29,FALSE),"-")</f>
        <v>0</v>
      </c>
      <c r="J174" s="29">
        <f>IFERROR(VLOOKUP(A174,[1]FALTANTES!$A:$AD,30,FALSE),"-")</f>
        <v>-3</v>
      </c>
      <c r="K174" s="30">
        <v>0</v>
      </c>
      <c r="L174" s="30">
        <f t="shared" si="3"/>
        <v>43</v>
      </c>
      <c r="M174" s="31">
        <f>SUMIFS(METALFISA!$E:$E,METALFISA!$A:$A,'Faltantes Fevereiro- Metalfisa'!M$3,METALFISA!$B:$B,'Faltantes Fevereiro- Metalfisa'!$A174)</f>
        <v>0</v>
      </c>
      <c r="N174" s="31">
        <f>SUMIFS(METALFISA!$E:$E,METALFISA!$A:$A,'Faltantes Fevereiro- Metalfisa'!N$3,METALFISA!$B:$B,'Faltantes Fevereiro- Metalfisa'!$A174)</f>
        <v>0</v>
      </c>
      <c r="O174" s="31">
        <f>SUMIFS(METALFISA!$E:$E,METALFISA!$A:$A,'Faltantes Fevereiro- Metalfisa'!O$3,METALFISA!$B:$B,'Faltantes Fevereiro- Metalfisa'!$A174)</f>
        <v>0</v>
      </c>
      <c r="P174" s="31">
        <f>SUMIFS(METALFISA!$E:$E,METALFISA!$A:$A,'Faltantes Fevereiro- Metalfisa'!P$3,METALFISA!$B:$B,'Faltantes Fevereiro- Metalfisa'!$A174)</f>
        <v>0</v>
      </c>
      <c r="Q174" s="31">
        <f>SUMIFS(METALFISA!$E:$E,METALFISA!$A:$A,'Faltantes Fevereiro- Metalfisa'!Q$3,METALFISA!$B:$B,'Faltantes Fevereiro- Metalfisa'!$A174)</f>
        <v>0</v>
      </c>
      <c r="R174" s="31">
        <f>SUMIFS(METALFISA!$E:$E,METALFISA!$A:$A,'Faltantes Fevereiro- Metalfisa'!R$3,METALFISA!$B:$B,'Faltantes Fevereiro- Metalfisa'!$A174)</f>
        <v>0</v>
      </c>
      <c r="S174" s="31">
        <f>SUMIFS(METALFISA!$E:$E,METALFISA!$A:$A,'Faltantes Fevereiro- Metalfisa'!S$3,METALFISA!$B:$B,'Faltantes Fevereiro- Metalfisa'!$A174)</f>
        <v>0</v>
      </c>
      <c r="T174" s="31">
        <f>SUMIFS(METALFISA!$E:$E,METALFISA!$A:$A,'Faltantes Fevereiro- Metalfisa'!T$3,METALFISA!$B:$B,'Faltantes Fevereiro- Metalfisa'!$A174)</f>
        <v>0</v>
      </c>
      <c r="U174" s="31">
        <f>SUMIFS(METALFISA!$E:$E,METALFISA!$A:$A,'Faltantes Fevereiro- Metalfisa'!U$3,METALFISA!$B:$B,'Faltantes Fevereiro- Metalfisa'!$A174)</f>
        <v>0</v>
      </c>
      <c r="V174" s="31">
        <f>SUMIFS(METALFISA!$E:$E,METALFISA!$A:$A,'Faltantes Fevereiro- Metalfisa'!V$3,METALFISA!$B:$B,'Faltantes Fevereiro- Metalfisa'!$A174)</f>
        <v>0</v>
      </c>
      <c r="W174" s="31">
        <f>SUMIFS(METALFISA!$E:$E,METALFISA!$A:$A,'Faltantes Fevereiro- Metalfisa'!W$3,METALFISA!$B:$B,'Faltantes Fevereiro- Metalfisa'!$A174)</f>
        <v>0</v>
      </c>
      <c r="X174" s="31">
        <f>SUMIFS(METALFISA!$E:$E,METALFISA!$A:$A,'Faltantes Fevereiro- Metalfisa'!X$3,METALFISA!$B:$B,'Faltantes Fevereiro- Metalfisa'!$A174)</f>
        <v>0</v>
      </c>
      <c r="Y174" s="31">
        <f>SUMIFS(METALFISA!$E:$E,METALFISA!$A:$A,'Faltantes Fevereiro- Metalfisa'!Y$3,METALFISA!$B:$B,'Faltantes Fevereiro- Metalfisa'!$A174)</f>
        <v>0</v>
      </c>
      <c r="Z174" s="31">
        <f>SUMIFS(METALFISA!$E:$E,METALFISA!$A:$A,'Faltantes Fevereiro- Metalfisa'!Z$3,METALFISA!$B:$B,'Faltantes Fevereiro- Metalfisa'!$A174)</f>
        <v>0</v>
      </c>
      <c r="AA174" s="31">
        <f>SUMIFS(METALFISA!$E:$E,METALFISA!$A:$A,'Faltantes Fevereiro- Metalfisa'!AA$3,METALFISA!$B:$B,'Faltantes Fevereiro- Metalfisa'!$A174)</f>
        <v>0</v>
      </c>
      <c r="AB174" s="31">
        <f>SUMIFS(METALFISA!$E:$E,METALFISA!$A:$A,'Faltantes Fevereiro- Metalfisa'!AB$3,METALFISA!$B:$B,'Faltantes Fevereiro- Metalfisa'!$A174)</f>
        <v>0</v>
      </c>
      <c r="AC174" s="31">
        <f>SUMIFS(METALFISA!$E:$E,METALFISA!$A:$A,'Faltantes Fevereiro- Metalfisa'!AC$3,METALFISA!$B:$B,'Faltantes Fevereiro- Metalfisa'!$A174)</f>
        <v>0</v>
      </c>
      <c r="AD174" s="31">
        <f>SUMIFS(METALFISA!$E:$E,METALFISA!$A:$A,'Faltantes Fevereiro- Metalfisa'!AD$3,METALFISA!$B:$B,'Faltantes Fevereiro- Metalfisa'!$A174)</f>
        <v>0</v>
      </c>
      <c r="AE174" s="31">
        <f>SUMIFS(METALFISA!$E:$E,METALFISA!$A:$A,'Faltantes Fevereiro- Metalfisa'!AE$3,METALFISA!$B:$B,'Faltantes Fevereiro- Metalfisa'!$A174)</f>
        <v>0</v>
      </c>
      <c r="AF174" s="31">
        <f>SUMIFS(METALFISA!$E:$E,METALFISA!$A:$A,'Faltantes Fevereiro- Metalfisa'!AF$3,METALFISA!$B:$B,'Faltantes Fevereiro- Metalfisa'!$A174)</f>
        <v>0</v>
      </c>
      <c r="AG174" s="31">
        <f>SUMIFS(METALFISA!$E:$E,METALFISA!$A:$A,'Faltantes Fevereiro- Metalfisa'!AG$3,METALFISA!$B:$B,'Faltantes Fevereiro- Metalfisa'!$A174)</f>
        <v>0</v>
      </c>
      <c r="AH174" s="31">
        <f>SUMIFS(METALFISA!$E:$E,METALFISA!$A:$A,'Faltantes Fevereiro- Metalfisa'!AH$3,METALFISA!$B:$B,'Faltantes Fevereiro- Metalfisa'!$A174)</f>
        <v>0</v>
      </c>
      <c r="AI174" s="31">
        <f>SUMIFS(METALFISA!$E:$E,METALFISA!$A:$A,'Faltantes Fevereiro- Metalfisa'!AI$3,METALFISA!$B:$B,'Faltantes Fevereiro- Metalfisa'!$A174)</f>
        <v>0</v>
      </c>
      <c r="AJ174" s="31">
        <f>SUMIFS(METALFISA!$E:$E,METALFISA!$A:$A,'Faltantes Fevereiro- Metalfisa'!AJ$3,METALFISA!$B:$B,'Faltantes Fevereiro- Metalfisa'!$A174)</f>
        <v>0</v>
      </c>
      <c r="AK174" s="31">
        <f>SUMIFS(METALFISA!$E:$E,METALFISA!$A:$A,'Faltantes Fevereiro- Metalfisa'!AK$3,METALFISA!$B:$B,'Faltantes Fevereiro- Metalfisa'!$A174)</f>
        <v>40</v>
      </c>
      <c r="AL174" s="31">
        <f>SUMIFS(METALFISA!$E:$E,METALFISA!$A:$A,'Faltantes Fevereiro- Metalfisa'!AL$3,METALFISA!$B:$B,'Faltantes Fevereiro- Metalfisa'!$A174)</f>
        <v>0</v>
      </c>
      <c r="AM174" s="31">
        <f>SUMIFS(METALFISA!$E:$E,METALFISA!$A:$A,'Faltantes Fevereiro- Metalfisa'!AM$3,METALFISA!$B:$B,'Faltantes Fevereiro- Metalfisa'!$A174)</f>
        <v>3</v>
      </c>
      <c r="AN174" s="31">
        <f>SUMIFS(METALFISA!$E:$E,METALFISA!$A:$A,'Faltantes Fevereiro- Metalfisa'!AN$3,METALFISA!$B:$B,'Faltantes Fevereiro- Metalfisa'!$A174)</f>
        <v>0</v>
      </c>
      <c r="AO174" s="31">
        <f>SUMIFS(METALFISA!$E:$E,METALFISA!$A:$A,'Faltantes Fevereiro- Metalfisa'!AO$3,METALFISA!$B:$B,'Faltantes Fevereiro- Metalfisa'!$A174)</f>
        <v>0</v>
      </c>
      <c r="AP174" s="31">
        <f>SUMIFS(METALFISA!$E:$E,METALFISA!$A:$A,'Faltantes Fevereiro- Metalfisa'!AP$3,METALFISA!$B:$B,'Faltantes Fevereiro- Metalfisa'!$A174)</f>
        <v>0</v>
      </c>
      <c r="AQ174" s="31"/>
      <c r="AR174" s="31">
        <f>SUMIFS(METALFISA!$E:$E,METALFISA!$A:$A,'Faltantes Fevereiro- Metalfisa'!AR$3,METALFISA!$B:$B,'Faltantes Fevereiro- Metalfisa'!$A174)</f>
        <v>0</v>
      </c>
      <c r="AS174" s="35">
        <f>SUMIFS(METALFISA!$E:$E,METALFISA!$A:$A,'Faltantes Fevereiro- Metalfisa'!AS$3,METALFISA!$B:$B,'Faltantes Fevereiro- Metalfisa'!$A174)</f>
        <v>0</v>
      </c>
      <c r="AU174" s="18">
        <v>0</v>
      </c>
      <c r="AV174" s="18">
        <v>0</v>
      </c>
      <c r="AW174" s="18">
        <v>0</v>
      </c>
      <c r="AX174" s="18">
        <v>0</v>
      </c>
      <c r="AY174" s="41">
        <v>0</v>
      </c>
      <c r="AZ174" s="31">
        <v>0</v>
      </c>
      <c r="BA174" s="31">
        <v>1</v>
      </c>
      <c r="BB174" s="31">
        <v>0</v>
      </c>
      <c r="BC174" s="31">
        <v>0</v>
      </c>
      <c r="BD174" s="31">
        <v>0</v>
      </c>
      <c r="BE174" s="31">
        <v>0</v>
      </c>
      <c r="BF174" s="31">
        <v>0</v>
      </c>
      <c r="BG174" s="31">
        <v>0</v>
      </c>
      <c r="BH174" s="31">
        <v>0</v>
      </c>
      <c r="BI174" s="31">
        <v>0</v>
      </c>
      <c r="BJ174" s="31">
        <v>0</v>
      </c>
      <c r="BK174" s="31">
        <v>0</v>
      </c>
      <c r="BL174" s="31">
        <v>0</v>
      </c>
      <c r="BM174" s="31">
        <v>0</v>
      </c>
      <c r="BN174" s="31">
        <v>0</v>
      </c>
      <c r="BO174" s="31">
        <v>0</v>
      </c>
      <c r="BP174" s="31">
        <v>0</v>
      </c>
      <c r="BQ174" s="31">
        <v>0</v>
      </c>
      <c r="BR174" s="31">
        <v>0</v>
      </c>
      <c r="BS174" s="31">
        <v>0</v>
      </c>
      <c r="BT174" s="31">
        <v>0</v>
      </c>
      <c r="BU174" s="31">
        <v>0</v>
      </c>
      <c r="BV174" s="31">
        <v>0</v>
      </c>
      <c r="BW174" s="31">
        <v>0</v>
      </c>
      <c r="BX174" s="31">
        <v>0</v>
      </c>
      <c r="BY174" s="31">
        <v>0</v>
      </c>
      <c r="BZ174" s="31">
        <v>0</v>
      </c>
      <c r="CA174" s="31">
        <v>0</v>
      </c>
      <c r="CB174" s="31">
        <v>0</v>
      </c>
      <c r="CC174" s="31">
        <v>0</v>
      </c>
      <c r="CD174" s="31">
        <v>0</v>
      </c>
      <c r="CE174" s="31">
        <v>0</v>
      </c>
      <c r="CF174" s="31">
        <v>0</v>
      </c>
      <c r="CG174" s="31">
        <v>0</v>
      </c>
      <c r="CH174" s="31">
        <v>0</v>
      </c>
      <c r="CI174" s="31">
        <v>0</v>
      </c>
      <c r="CJ174" s="31">
        <v>0</v>
      </c>
      <c r="CK174" s="31">
        <v>0</v>
      </c>
      <c r="CL174" s="35">
        <v>0</v>
      </c>
    </row>
    <row r="175" spans="1:90" x14ac:dyDescent="0.15">
      <c r="A175" s="27" t="s">
        <v>481</v>
      </c>
      <c r="B175" s="28" t="s">
        <v>482</v>
      </c>
      <c r="C175" s="28">
        <v>0</v>
      </c>
      <c r="D175" s="28">
        <v>0</v>
      </c>
      <c r="E175" s="28">
        <v>0</v>
      </c>
      <c r="F175" s="28">
        <v>0</v>
      </c>
      <c r="G175" s="28">
        <v>6</v>
      </c>
      <c r="H175" s="28">
        <f>IFERROR(VLOOKUP(A175,[1]FALTANTES!$A:$AB,28,FALSE),"-")</f>
        <v>0</v>
      </c>
      <c r="I175" s="42">
        <f>IFERROR(VLOOKUP(A175,[1]FALTANTES!$A:$AC,29,FALSE),"-")</f>
        <v>0</v>
      </c>
      <c r="J175" s="29">
        <f>IFERROR(VLOOKUP(A175,[1]FALTANTES!$A:$AD,30,FALSE),"-")</f>
        <v>-6</v>
      </c>
      <c r="K175" s="30">
        <v>0</v>
      </c>
      <c r="L175" s="30">
        <f t="shared" si="3"/>
        <v>60</v>
      </c>
      <c r="M175" s="31">
        <f>SUMIFS(METALFISA!$E:$E,METALFISA!$A:$A,'Faltantes Fevereiro- Metalfisa'!M$3,METALFISA!$B:$B,'Faltantes Fevereiro- Metalfisa'!$A175)</f>
        <v>0</v>
      </c>
      <c r="N175" s="31">
        <f>SUMIFS(METALFISA!$E:$E,METALFISA!$A:$A,'Faltantes Fevereiro- Metalfisa'!N$3,METALFISA!$B:$B,'Faltantes Fevereiro- Metalfisa'!$A175)</f>
        <v>0</v>
      </c>
      <c r="O175" s="31">
        <f>SUMIFS(METALFISA!$E:$E,METALFISA!$A:$A,'Faltantes Fevereiro- Metalfisa'!O$3,METALFISA!$B:$B,'Faltantes Fevereiro- Metalfisa'!$A175)</f>
        <v>0</v>
      </c>
      <c r="P175" s="31">
        <f>SUMIFS(METALFISA!$E:$E,METALFISA!$A:$A,'Faltantes Fevereiro- Metalfisa'!P$3,METALFISA!$B:$B,'Faltantes Fevereiro- Metalfisa'!$A175)</f>
        <v>0</v>
      </c>
      <c r="Q175" s="31">
        <f>SUMIFS(METALFISA!$E:$E,METALFISA!$A:$A,'Faltantes Fevereiro- Metalfisa'!Q$3,METALFISA!$B:$B,'Faltantes Fevereiro- Metalfisa'!$A175)</f>
        <v>0</v>
      </c>
      <c r="R175" s="31">
        <f>SUMIFS(METALFISA!$E:$E,METALFISA!$A:$A,'Faltantes Fevereiro- Metalfisa'!R$3,METALFISA!$B:$B,'Faltantes Fevereiro- Metalfisa'!$A175)</f>
        <v>0</v>
      </c>
      <c r="S175" s="31">
        <f>SUMIFS(METALFISA!$E:$E,METALFISA!$A:$A,'Faltantes Fevereiro- Metalfisa'!S$3,METALFISA!$B:$B,'Faltantes Fevereiro- Metalfisa'!$A175)</f>
        <v>0</v>
      </c>
      <c r="T175" s="31">
        <f>SUMIFS(METALFISA!$E:$E,METALFISA!$A:$A,'Faltantes Fevereiro- Metalfisa'!T$3,METALFISA!$B:$B,'Faltantes Fevereiro- Metalfisa'!$A175)</f>
        <v>0</v>
      </c>
      <c r="U175" s="31">
        <f>SUMIFS(METALFISA!$E:$E,METALFISA!$A:$A,'Faltantes Fevereiro- Metalfisa'!U$3,METALFISA!$B:$B,'Faltantes Fevereiro- Metalfisa'!$A175)</f>
        <v>0</v>
      </c>
      <c r="V175" s="31">
        <f>SUMIFS(METALFISA!$E:$E,METALFISA!$A:$A,'Faltantes Fevereiro- Metalfisa'!V$3,METALFISA!$B:$B,'Faltantes Fevereiro- Metalfisa'!$A175)</f>
        <v>0</v>
      </c>
      <c r="W175" s="31">
        <f>SUMIFS(METALFISA!$E:$E,METALFISA!$A:$A,'Faltantes Fevereiro- Metalfisa'!W$3,METALFISA!$B:$B,'Faltantes Fevereiro- Metalfisa'!$A175)</f>
        <v>0</v>
      </c>
      <c r="X175" s="31">
        <f>SUMIFS(METALFISA!$E:$E,METALFISA!$A:$A,'Faltantes Fevereiro- Metalfisa'!X$3,METALFISA!$B:$B,'Faltantes Fevereiro- Metalfisa'!$A175)</f>
        <v>0</v>
      </c>
      <c r="Y175" s="31">
        <f>SUMIFS(METALFISA!$E:$E,METALFISA!$A:$A,'Faltantes Fevereiro- Metalfisa'!Y$3,METALFISA!$B:$B,'Faltantes Fevereiro- Metalfisa'!$A175)</f>
        <v>0</v>
      </c>
      <c r="Z175" s="31">
        <f>SUMIFS(METALFISA!$E:$E,METALFISA!$A:$A,'Faltantes Fevereiro- Metalfisa'!Z$3,METALFISA!$B:$B,'Faltantes Fevereiro- Metalfisa'!$A175)</f>
        <v>0</v>
      </c>
      <c r="AA175" s="31">
        <f>SUMIFS(METALFISA!$E:$E,METALFISA!$A:$A,'Faltantes Fevereiro- Metalfisa'!AA$3,METALFISA!$B:$B,'Faltantes Fevereiro- Metalfisa'!$A175)</f>
        <v>0</v>
      </c>
      <c r="AB175" s="31">
        <f>SUMIFS(METALFISA!$E:$E,METALFISA!$A:$A,'Faltantes Fevereiro- Metalfisa'!AB$3,METALFISA!$B:$B,'Faltantes Fevereiro- Metalfisa'!$A175)</f>
        <v>0</v>
      </c>
      <c r="AC175" s="31">
        <f>SUMIFS(METALFISA!$E:$E,METALFISA!$A:$A,'Faltantes Fevereiro- Metalfisa'!AC$3,METALFISA!$B:$B,'Faltantes Fevereiro- Metalfisa'!$A175)</f>
        <v>0</v>
      </c>
      <c r="AD175" s="31">
        <f>SUMIFS(METALFISA!$E:$E,METALFISA!$A:$A,'Faltantes Fevereiro- Metalfisa'!AD$3,METALFISA!$B:$B,'Faltantes Fevereiro- Metalfisa'!$A175)</f>
        <v>0</v>
      </c>
      <c r="AE175" s="31">
        <f>SUMIFS(METALFISA!$E:$E,METALFISA!$A:$A,'Faltantes Fevereiro- Metalfisa'!AE$3,METALFISA!$B:$B,'Faltantes Fevereiro- Metalfisa'!$A175)</f>
        <v>0</v>
      </c>
      <c r="AF175" s="31">
        <f>SUMIFS(METALFISA!$E:$E,METALFISA!$A:$A,'Faltantes Fevereiro- Metalfisa'!AF$3,METALFISA!$B:$B,'Faltantes Fevereiro- Metalfisa'!$A175)</f>
        <v>0</v>
      </c>
      <c r="AG175" s="31">
        <f>SUMIFS(METALFISA!$E:$E,METALFISA!$A:$A,'Faltantes Fevereiro- Metalfisa'!AG$3,METALFISA!$B:$B,'Faltantes Fevereiro- Metalfisa'!$A175)</f>
        <v>0</v>
      </c>
      <c r="AH175" s="31">
        <f>SUMIFS(METALFISA!$E:$E,METALFISA!$A:$A,'Faltantes Fevereiro- Metalfisa'!AH$3,METALFISA!$B:$B,'Faltantes Fevereiro- Metalfisa'!$A175)</f>
        <v>0</v>
      </c>
      <c r="AI175" s="31">
        <f>SUMIFS(METALFISA!$E:$E,METALFISA!$A:$A,'Faltantes Fevereiro- Metalfisa'!AI$3,METALFISA!$B:$B,'Faltantes Fevereiro- Metalfisa'!$A175)</f>
        <v>8</v>
      </c>
      <c r="AJ175" s="31">
        <f>SUMIFS(METALFISA!$E:$E,METALFISA!$A:$A,'Faltantes Fevereiro- Metalfisa'!AJ$3,METALFISA!$B:$B,'Faltantes Fevereiro- Metalfisa'!$A175)</f>
        <v>0</v>
      </c>
      <c r="AK175" s="31">
        <f>SUMIFS(METALFISA!$E:$E,METALFISA!$A:$A,'Faltantes Fevereiro- Metalfisa'!AK$3,METALFISA!$B:$B,'Faltantes Fevereiro- Metalfisa'!$A175)</f>
        <v>28</v>
      </c>
      <c r="AL175" s="31">
        <f>SUMIFS(METALFISA!$E:$E,METALFISA!$A:$A,'Faltantes Fevereiro- Metalfisa'!AL$3,METALFISA!$B:$B,'Faltantes Fevereiro- Metalfisa'!$A175)</f>
        <v>0</v>
      </c>
      <c r="AM175" s="31">
        <f>SUMIFS(METALFISA!$E:$E,METALFISA!$A:$A,'Faltantes Fevereiro- Metalfisa'!AM$3,METALFISA!$B:$B,'Faltantes Fevereiro- Metalfisa'!$A175)</f>
        <v>16</v>
      </c>
      <c r="AN175" s="31">
        <f>SUMIFS(METALFISA!$E:$E,METALFISA!$A:$A,'Faltantes Fevereiro- Metalfisa'!AN$3,METALFISA!$B:$B,'Faltantes Fevereiro- Metalfisa'!$A175)</f>
        <v>8</v>
      </c>
      <c r="AO175" s="31">
        <f>SUMIFS(METALFISA!$E:$E,METALFISA!$A:$A,'Faltantes Fevereiro- Metalfisa'!AO$3,METALFISA!$B:$B,'Faltantes Fevereiro- Metalfisa'!$A175)</f>
        <v>0</v>
      </c>
      <c r="AP175" s="31">
        <f>SUMIFS(METALFISA!$E:$E,METALFISA!$A:$A,'Faltantes Fevereiro- Metalfisa'!AP$3,METALFISA!$B:$B,'Faltantes Fevereiro- Metalfisa'!$A175)</f>
        <v>0</v>
      </c>
      <c r="AQ175" s="31"/>
      <c r="AR175" s="31">
        <f>SUMIFS(METALFISA!$E:$E,METALFISA!$A:$A,'Faltantes Fevereiro- Metalfisa'!AR$3,METALFISA!$B:$B,'Faltantes Fevereiro- Metalfisa'!$A175)</f>
        <v>0</v>
      </c>
      <c r="AS175" s="35">
        <f>SUMIFS(METALFISA!$E:$E,METALFISA!$A:$A,'Faltantes Fevereiro- Metalfisa'!AS$3,METALFISA!$B:$B,'Faltantes Fevereiro- Metalfisa'!$A175)</f>
        <v>0</v>
      </c>
      <c r="AU175" s="18">
        <v>0</v>
      </c>
      <c r="AV175" s="18">
        <v>0</v>
      </c>
      <c r="AW175" s="18">
        <v>0</v>
      </c>
      <c r="AX175" s="18">
        <v>0</v>
      </c>
      <c r="AY175" s="41">
        <v>0</v>
      </c>
      <c r="AZ175" s="31">
        <v>0</v>
      </c>
      <c r="BA175" s="31">
        <v>0</v>
      </c>
      <c r="BB175" s="31">
        <v>0</v>
      </c>
      <c r="BC175" s="31">
        <v>0</v>
      </c>
      <c r="BD175" s="31">
        <v>0</v>
      </c>
      <c r="BE175" s="31">
        <v>0</v>
      </c>
      <c r="BF175" s="31">
        <v>0</v>
      </c>
      <c r="BG175" s="31">
        <v>0</v>
      </c>
      <c r="BH175" s="31">
        <v>2</v>
      </c>
      <c r="BI175" s="31">
        <v>0</v>
      </c>
      <c r="BJ175" s="31">
        <v>0</v>
      </c>
      <c r="BK175" s="31">
        <v>0</v>
      </c>
      <c r="BL175" s="31">
        <v>0</v>
      </c>
      <c r="BM175" s="31">
        <v>0</v>
      </c>
      <c r="BN175" s="31">
        <v>0</v>
      </c>
      <c r="BO175" s="31">
        <v>0</v>
      </c>
      <c r="BP175" s="31">
        <v>0</v>
      </c>
      <c r="BQ175" s="31">
        <v>0</v>
      </c>
      <c r="BR175" s="31">
        <v>0</v>
      </c>
      <c r="BS175" s="31">
        <v>0</v>
      </c>
      <c r="BT175" s="31">
        <v>0</v>
      </c>
      <c r="BU175" s="31">
        <v>0</v>
      </c>
      <c r="BV175" s="31">
        <v>0</v>
      </c>
      <c r="BW175" s="31">
        <v>0</v>
      </c>
      <c r="BX175" s="31">
        <v>0</v>
      </c>
      <c r="BY175" s="31">
        <v>2</v>
      </c>
      <c r="BZ175" s="31">
        <v>0</v>
      </c>
      <c r="CA175" s="31">
        <v>0</v>
      </c>
      <c r="CB175" s="31">
        <v>0</v>
      </c>
      <c r="CC175" s="31">
        <v>0</v>
      </c>
      <c r="CD175" s="31">
        <v>0</v>
      </c>
      <c r="CE175" s="31">
        <v>0</v>
      </c>
      <c r="CF175" s="31">
        <v>0</v>
      </c>
      <c r="CG175" s="31">
        <v>0</v>
      </c>
      <c r="CH175" s="31">
        <v>0</v>
      </c>
      <c r="CI175" s="31">
        <v>0</v>
      </c>
      <c r="CJ175" s="31">
        <v>0</v>
      </c>
      <c r="CK175" s="31">
        <v>0</v>
      </c>
      <c r="CL175" s="35">
        <v>0</v>
      </c>
    </row>
    <row r="176" spans="1:90" x14ac:dyDescent="0.15">
      <c r="A176" s="27" t="s">
        <v>483</v>
      </c>
      <c r="B176" s="28" t="s">
        <v>484</v>
      </c>
      <c r="C176" s="28">
        <v>1</v>
      </c>
      <c r="D176" s="28">
        <v>0</v>
      </c>
      <c r="E176" s="28">
        <v>0</v>
      </c>
      <c r="F176" s="28">
        <v>0</v>
      </c>
      <c r="G176" s="28">
        <v>3</v>
      </c>
      <c r="H176" s="28">
        <f>IFERROR(VLOOKUP(A176,[1]FALTANTES!$A:$AB,28,FALSE),"-")</f>
        <v>1</v>
      </c>
      <c r="I176" s="42">
        <f>IFERROR(VLOOKUP(A176,[1]FALTANTES!$A:$AC,29,FALSE),"-")</f>
        <v>0</v>
      </c>
      <c r="J176" s="29">
        <f>IFERROR(VLOOKUP(A176,[1]FALTANTES!$A:$AD,30,FALSE),"-")</f>
        <v>-4</v>
      </c>
      <c r="K176" s="30">
        <v>0</v>
      </c>
      <c r="L176" s="30">
        <f t="shared" si="3"/>
        <v>32</v>
      </c>
      <c r="M176" s="31">
        <f>SUMIFS(METALFISA!$E:$E,METALFISA!$A:$A,'Faltantes Fevereiro- Metalfisa'!M$3,METALFISA!$B:$B,'Faltantes Fevereiro- Metalfisa'!$A176)</f>
        <v>0</v>
      </c>
      <c r="N176" s="31">
        <f>SUMIFS(METALFISA!$E:$E,METALFISA!$A:$A,'Faltantes Fevereiro- Metalfisa'!N$3,METALFISA!$B:$B,'Faltantes Fevereiro- Metalfisa'!$A176)</f>
        <v>0</v>
      </c>
      <c r="O176" s="31">
        <f>SUMIFS(METALFISA!$E:$E,METALFISA!$A:$A,'Faltantes Fevereiro- Metalfisa'!O$3,METALFISA!$B:$B,'Faltantes Fevereiro- Metalfisa'!$A176)</f>
        <v>0</v>
      </c>
      <c r="P176" s="31">
        <f>SUMIFS(METALFISA!$E:$E,METALFISA!$A:$A,'Faltantes Fevereiro- Metalfisa'!P$3,METALFISA!$B:$B,'Faltantes Fevereiro- Metalfisa'!$A176)</f>
        <v>0</v>
      </c>
      <c r="Q176" s="31">
        <f>SUMIFS(METALFISA!$E:$E,METALFISA!$A:$A,'Faltantes Fevereiro- Metalfisa'!Q$3,METALFISA!$B:$B,'Faltantes Fevereiro- Metalfisa'!$A176)</f>
        <v>0</v>
      </c>
      <c r="R176" s="31">
        <f>SUMIFS(METALFISA!$E:$E,METALFISA!$A:$A,'Faltantes Fevereiro- Metalfisa'!R$3,METALFISA!$B:$B,'Faltantes Fevereiro- Metalfisa'!$A176)</f>
        <v>0</v>
      </c>
      <c r="S176" s="31">
        <f>SUMIFS(METALFISA!$E:$E,METALFISA!$A:$A,'Faltantes Fevereiro- Metalfisa'!S$3,METALFISA!$B:$B,'Faltantes Fevereiro- Metalfisa'!$A176)</f>
        <v>0</v>
      </c>
      <c r="T176" s="31">
        <f>SUMIFS(METALFISA!$E:$E,METALFISA!$A:$A,'Faltantes Fevereiro- Metalfisa'!T$3,METALFISA!$B:$B,'Faltantes Fevereiro- Metalfisa'!$A176)</f>
        <v>0</v>
      </c>
      <c r="U176" s="31">
        <f>SUMIFS(METALFISA!$E:$E,METALFISA!$A:$A,'Faltantes Fevereiro- Metalfisa'!U$3,METALFISA!$B:$B,'Faltantes Fevereiro- Metalfisa'!$A176)</f>
        <v>0</v>
      </c>
      <c r="V176" s="31">
        <f>SUMIFS(METALFISA!$E:$E,METALFISA!$A:$A,'Faltantes Fevereiro- Metalfisa'!V$3,METALFISA!$B:$B,'Faltantes Fevereiro- Metalfisa'!$A176)</f>
        <v>0</v>
      </c>
      <c r="W176" s="31">
        <f>SUMIFS(METALFISA!$E:$E,METALFISA!$A:$A,'Faltantes Fevereiro- Metalfisa'!W$3,METALFISA!$B:$B,'Faltantes Fevereiro- Metalfisa'!$A176)</f>
        <v>0</v>
      </c>
      <c r="X176" s="31">
        <f>SUMIFS(METALFISA!$E:$E,METALFISA!$A:$A,'Faltantes Fevereiro- Metalfisa'!X$3,METALFISA!$B:$B,'Faltantes Fevereiro- Metalfisa'!$A176)</f>
        <v>0</v>
      </c>
      <c r="Y176" s="31">
        <f>SUMIFS(METALFISA!$E:$E,METALFISA!$A:$A,'Faltantes Fevereiro- Metalfisa'!Y$3,METALFISA!$B:$B,'Faltantes Fevereiro- Metalfisa'!$A176)</f>
        <v>0</v>
      </c>
      <c r="Z176" s="31">
        <f>SUMIFS(METALFISA!$E:$E,METALFISA!$A:$A,'Faltantes Fevereiro- Metalfisa'!Z$3,METALFISA!$B:$B,'Faltantes Fevereiro- Metalfisa'!$A176)</f>
        <v>0</v>
      </c>
      <c r="AA176" s="31">
        <f>SUMIFS(METALFISA!$E:$E,METALFISA!$A:$A,'Faltantes Fevereiro- Metalfisa'!AA$3,METALFISA!$B:$B,'Faltantes Fevereiro- Metalfisa'!$A176)</f>
        <v>0</v>
      </c>
      <c r="AB176" s="31">
        <f>SUMIFS(METALFISA!$E:$E,METALFISA!$A:$A,'Faltantes Fevereiro- Metalfisa'!AB$3,METALFISA!$B:$B,'Faltantes Fevereiro- Metalfisa'!$A176)</f>
        <v>0</v>
      </c>
      <c r="AC176" s="31">
        <f>SUMIFS(METALFISA!$E:$E,METALFISA!$A:$A,'Faltantes Fevereiro- Metalfisa'!AC$3,METALFISA!$B:$B,'Faltantes Fevereiro- Metalfisa'!$A176)</f>
        <v>0</v>
      </c>
      <c r="AD176" s="31">
        <f>SUMIFS(METALFISA!$E:$E,METALFISA!$A:$A,'Faltantes Fevereiro- Metalfisa'!AD$3,METALFISA!$B:$B,'Faltantes Fevereiro- Metalfisa'!$A176)</f>
        <v>0</v>
      </c>
      <c r="AE176" s="31">
        <f>SUMIFS(METALFISA!$E:$E,METALFISA!$A:$A,'Faltantes Fevereiro- Metalfisa'!AE$3,METALFISA!$B:$B,'Faltantes Fevereiro- Metalfisa'!$A176)</f>
        <v>0</v>
      </c>
      <c r="AF176" s="31">
        <f>SUMIFS(METALFISA!$E:$E,METALFISA!$A:$A,'Faltantes Fevereiro- Metalfisa'!AF$3,METALFISA!$B:$B,'Faltantes Fevereiro- Metalfisa'!$A176)</f>
        <v>0</v>
      </c>
      <c r="AG176" s="31">
        <f>SUMIFS(METALFISA!$E:$E,METALFISA!$A:$A,'Faltantes Fevereiro- Metalfisa'!AG$3,METALFISA!$B:$B,'Faltantes Fevereiro- Metalfisa'!$A176)</f>
        <v>0</v>
      </c>
      <c r="AH176" s="31">
        <f>SUMIFS(METALFISA!$E:$E,METALFISA!$A:$A,'Faltantes Fevereiro- Metalfisa'!AH$3,METALFISA!$B:$B,'Faltantes Fevereiro- Metalfisa'!$A176)</f>
        <v>0</v>
      </c>
      <c r="AI176" s="31">
        <f>SUMIFS(METALFISA!$E:$E,METALFISA!$A:$A,'Faltantes Fevereiro- Metalfisa'!AI$3,METALFISA!$B:$B,'Faltantes Fevereiro- Metalfisa'!$A176)</f>
        <v>4</v>
      </c>
      <c r="AJ176" s="31">
        <f>SUMIFS(METALFISA!$E:$E,METALFISA!$A:$A,'Faltantes Fevereiro- Metalfisa'!AJ$3,METALFISA!$B:$B,'Faltantes Fevereiro- Metalfisa'!$A176)</f>
        <v>0</v>
      </c>
      <c r="AK176" s="31">
        <f>SUMIFS(METALFISA!$E:$E,METALFISA!$A:$A,'Faltantes Fevereiro- Metalfisa'!AK$3,METALFISA!$B:$B,'Faltantes Fevereiro- Metalfisa'!$A176)</f>
        <v>16</v>
      </c>
      <c r="AL176" s="31">
        <f>SUMIFS(METALFISA!$E:$E,METALFISA!$A:$A,'Faltantes Fevereiro- Metalfisa'!AL$3,METALFISA!$B:$B,'Faltantes Fevereiro- Metalfisa'!$A176)</f>
        <v>0</v>
      </c>
      <c r="AM176" s="31">
        <f>SUMIFS(METALFISA!$E:$E,METALFISA!$A:$A,'Faltantes Fevereiro- Metalfisa'!AM$3,METALFISA!$B:$B,'Faltantes Fevereiro- Metalfisa'!$A176)</f>
        <v>8</v>
      </c>
      <c r="AN176" s="31">
        <f>SUMIFS(METALFISA!$E:$E,METALFISA!$A:$A,'Faltantes Fevereiro- Metalfisa'!AN$3,METALFISA!$B:$B,'Faltantes Fevereiro- Metalfisa'!$A176)</f>
        <v>4</v>
      </c>
      <c r="AO176" s="31">
        <f>SUMIFS(METALFISA!$E:$E,METALFISA!$A:$A,'Faltantes Fevereiro- Metalfisa'!AO$3,METALFISA!$B:$B,'Faltantes Fevereiro- Metalfisa'!$A176)</f>
        <v>0</v>
      </c>
      <c r="AP176" s="31">
        <f>SUMIFS(METALFISA!$E:$E,METALFISA!$A:$A,'Faltantes Fevereiro- Metalfisa'!AP$3,METALFISA!$B:$B,'Faltantes Fevereiro- Metalfisa'!$A176)</f>
        <v>0</v>
      </c>
      <c r="AQ176" s="31"/>
      <c r="AR176" s="31">
        <f>SUMIFS(METALFISA!$E:$E,METALFISA!$A:$A,'Faltantes Fevereiro- Metalfisa'!AR$3,METALFISA!$B:$B,'Faltantes Fevereiro- Metalfisa'!$A176)</f>
        <v>0</v>
      </c>
      <c r="AS176" s="35">
        <f>SUMIFS(METALFISA!$E:$E,METALFISA!$A:$A,'Faltantes Fevereiro- Metalfisa'!AS$3,METALFISA!$B:$B,'Faltantes Fevereiro- Metalfisa'!$A176)</f>
        <v>0</v>
      </c>
      <c r="AU176" s="18">
        <v>0</v>
      </c>
      <c r="AV176" s="18">
        <v>0</v>
      </c>
      <c r="AW176" s="18">
        <v>0</v>
      </c>
      <c r="AX176" s="18">
        <v>0</v>
      </c>
      <c r="AY176" s="41">
        <v>0</v>
      </c>
      <c r="AZ176" s="31">
        <v>0</v>
      </c>
      <c r="BA176" s="31">
        <v>0</v>
      </c>
      <c r="BB176" s="31">
        <v>0</v>
      </c>
      <c r="BC176" s="31">
        <v>0</v>
      </c>
      <c r="BD176" s="31">
        <v>0</v>
      </c>
      <c r="BE176" s="31">
        <v>0</v>
      </c>
      <c r="BF176" s="31">
        <v>0</v>
      </c>
      <c r="BG176" s="31">
        <v>0</v>
      </c>
      <c r="BH176" s="31">
        <v>1</v>
      </c>
      <c r="BI176" s="31">
        <v>0</v>
      </c>
      <c r="BJ176" s="31">
        <v>0</v>
      </c>
      <c r="BK176" s="31">
        <v>0</v>
      </c>
      <c r="BL176" s="31">
        <v>0</v>
      </c>
      <c r="BM176" s="31">
        <v>0</v>
      </c>
      <c r="BN176" s="31">
        <v>0</v>
      </c>
      <c r="BO176" s="31">
        <v>0</v>
      </c>
      <c r="BP176" s="31">
        <v>0</v>
      </c>
      <c r="BQ176" s="31">
        <v>0</v>
      </c>
      <c r="BR176" s="31">
        <v>0</v>
      </c>
      <c r="BS176" s="31">
        <v>0</v>
      </c>
      <c r="BT176" s="31">
        <v>0</v>
      </c>
      <c r="BU176" s="31">
        <v>0</v>
      </c>
      <c r="BV176" s="31">
        <v>0</v>
      </c>
      <c r="BW176" s="31">
        <v>0</v>
      </c>
      <c r="BX176" s="31">
        <v>0</v>
      </c>
      <c r="BY176" s="31">
        <v>1</v>
      </c>
      <c r="BZ176" s="31">
        <v>0</v>
      </c>
      <c r="CA176" s="31">
        <v>0</v>
      </c>
      <c r="CB176" s="31">
        <v>0</v>
      </c>
      <c r="CC176" s="31">
        <v>0</v>
      </c>
      <c r="CD176" s="31">
        <v>0</v>
      </c>
      <c r="CE176" s="31">
        <v>0</v>
      </c>
      <c r="CF176" s="31">
        <v>0</v>
      </c>
      <c r="CG176" s="31">
        <v>0</v>
      </c>
      <c r="CH176" s="31">
        <v>0</v>
      </c>
      <c r="CI176" s="31">
        <v>0</v>
      </c>
      <c r="CJ176" s="31">
        <v>0</v>
      </c>
      <c r="CK176" s="31">
        <v>0</v>
      </c>
      <c r="CL176" s="35">
        <v>0</v>
      </c>
    </row>
    <row r="177" spans="1:90" x14ac:dyDescent="0.15">
      <c r="A177" s="27" t="s">
        <v>1839</v>
      </c>
      <c r="B177" s="28" t="s">
        <v>1840</v>
      </c>
      <c r="C177" s="28">
        <v>0</v>
      </c>
      <c r="D177" s="28">
        <v>0</v>
      </c>
      <c r="E177" s="28">
        <v>0</v>
      </c>
      <c r="F177" s="28">
        <v>0</v>
      </c>
      <c r="G177" s="28">
        <v>374</v>
      </c>
      <c r="H177" s="28">
        <f>IFERROR(VLOOKUP(A177,[1]FALTANTES!$A:$AB,28,FALSE),"-")</f>
        <v>0</v>
      </c>
      <c r="I177" s="42">
        <f>IFERROR(VLOOKUP(A177,[1]FALTANTES!$A:$AC,29,FALSE),"-")</f>
        <v>327</v>
      </c>
      <c r="J177" s="29">
        <f>IFERROR(VLOOKUP(A177,[1]FALTANTES!$A:$AD,30,FALSE),"-")</f>
        <v>-47</v>
      </c>
      <c r="K177" s="30">
        <v>0</v>
      </c>
      <c r="L177" s="30">
        <f t="shared" si="3"/>
        <v>2</v>
      </c>
      <c r="M177" s="31">
        <f>SUMIFS(METALFISA!$E:$E,METALFISA!$A:$A,'Faltantes Fevereiro- Metalfisa'!M$3,METALFISA!$B:$B,'Faltantes Fevereiro- Metalfisa'!$A177)</f>
        <v>0</v>
      </c>
      <c r="N177" s="31">
        <f>SUMIFS(METALFISA!$E:$E,METALFISA!$A:$A,'Faltantes Fevereiro- Metalfisa'!N$3,METALFISA!$B:$B,'Faltantes Fevereiro- Metalfisa'!$A177)</f>
        <v>0</v>
      </c>
      <c r="O177" s="31">
        <f>SUMIFS(METALFISA!$E:$E,METALFISA!$A:$A,'Faltantes Fevereiro- Metalfisa'!O$3,METALFISA!$B:$B,'Faltantes Fevereiro- Metalfisa'!$A177)</f>
        <v>0</v>
      </c>
      <c r="P177" s="31">
        <f>SUMIFS(METALFISA!$E:$E,METALFISA!$A:$A,'Faltantes Fevereiro- Metalfisa'!P$3,METALFISA!$B:$B,'Faltantes Fevereiro- Metalfisa'!$A177)</f>
        <v>0</v>
      </c>
      <c r="Q177" s="31">
        <f>SUMIFS(METALFISA!$E:$E,METALFISA!$A:$A,'Faltantes Fevereiro- Metalfisa'!Q$3,METALFISA!$B:$B,'Faltantes Fevereiro- Metalfisa'!$A177)</f>
        <v>0</v>
      </c>
      <c r="R177" s="31">
        <f>SUMIFS(METALFISA!$E:$E,METALFISA!$A:$A,'Faltantes Fevereiro- Metalfisa'!R$3,METALFISA!$B:$B,'Faltantes Fevereiro- Metalfisa'!$A177)</f>
        <v>0</v>
      </c>
      <c r="S177" s="31">
        <f>SUMIFS(METALFISA!$E:$E,METALFISA!$A:$A,'Faltantes Fevereiro- Metalfisa'!S$3,METALFISA!$B:$B,'Faltantes Fevereiro- Metalfisa'!$A177)</f>
        <v>0</v>
      </c>
      <c r="T177" s="31">
        <f>SUMIFS(METALFISA!$E:$E,METALFISA!$A:$A,'Faltantes Fevereiro- Metalfisa'!T$3,METALFISA!$B:$B,'Faltantes Fevereiro- Metalfisa'!$A177)</f>
        <v>0</v>
      </c>
      <c r="U177" s="31">
        <f>SUMIFS(METALFISA!$E:$E,METALFISA!$A:$A,'Faltantes Fevereiro- Metalfisa'!U$3,METALFISA!$B:$B,'Faltantes Fevereiro- Metalfisa'!$A177)</f>
        <v>0</v>
      </c>
      <c r="V177" s="31">
        <f>SUMIFS(METALFISA!$E:$E,METALFISA!$A:$A,'Faltantes Fevereiro- Metalfisa'!V$3,METALFISA!$B:$B,'Faltantes Fevereiro- Metalfisa'!$A177)</f>
        <v>0</v>
      </c>
      <c r="W177" s="31">
        <f>SUMIFS(METALFISA!$E:$E,METALFISA!$A:$A,'Faltantes Fevereiro- Metalfisa'!W$3,METALFISA!$B:$B,'Faltantes Fevereiro- Metalfisa'!$A177)</f>
        <v>0</v>
      </c>
      <c r="X177" s="31">
        <f>SUMIFS(METALFISA!$E:$E,METALFISA!$A:$A,'Faltantes Fevereiro- Metalfisa'!X$3,METALFISA!$B:$B,'Faltantes Fevereiro- Metalfisa'!$A177)</f>
        <v>0</v>
      </c>
      <c r="Y177" s="31">
        <f>SUMIFS(METALFISA!$E:$E,METALFISA!$A:$A,'Faltantes Fevereiro- Metalfisa'!Y$3,METALFISA!$B:$B,'Faltantes Fevereiro- Metalfisa'!$A177)</f>
        <v>0</v>
      </c>
      <c r="Z177" s="31">
        <f>SUMIFS(METALFISA!$E:$E,METALFISA!$A:$A,'Faltantes Fevereiro- Metalfisa'!Z$3,METALFISA!$B:$B,'Faltantes Fevereiro- Metalfisa'!$A177)</f>
        <v>0</v>
      </c>
      <c r="AA177" s="31">
        <f>SUMIFS(METALFISA!$E:$E,METALFISA!$A:$A,'Faltantes Fevereiro- Metalfisa'!AA$3,METALFISA!$B:$B,'Faltantes Fevereiro- Metalfisa'!$A177)</f>
        <v>0</v>
      </c>
      <c r="AB177" s="31">
        <f>SUMIFS(METALFISA!$E:$E,METALFISA!$A:$A,'Faltantes Fevereiro- Metalfisa'!AB$3,METALFISA!$B:$B,'Faltantes Fevereiro- Metalfisa'!$A177)</f>
        <v>0</v>
      </c>
      <c r="AC177" s="31">
        <f>SUMIFS(METALFISA!$E:$E,METALFISA!$A:$A,'Faltantes Fevereiro- Metalfisa'!AC$3,METALFISA!$B:$B,'Faltantes Fevereiro- Metalfisa'!$A177)</f>
        <v>0</v>
      </c>
      <c r="AD177" s="31">
        <f>SUMIFS(METALFISA!$E:$E,METALFISA!$A:$A,'Faltantes Fevereiro- Metalfisa'!AD$3,METALFISA!$B:$B,'Faltantes Fevereiro- Metalfisa'!$A177)</f>
        <v>0</v>
      </c>
      <c r="AE177" s="31">
        <f>SUMIFS(METALFISA!$E:$E,METALFISA!$A:$A,'Faltantes Fevereiro- Metalfisa'!AE$3,METALFISA!$B:$B,'Faltantes Fevereiro- Metalfisa'!$A177)</f>
        <v>0</v>
      </c>
      <c r="AF177" s="31">
        <f>SUMIFS(METALFISA!$E:$E,METALFISA!$A:$A,'Faltantes Fevereiro- Metalfisa'!AF$3,METALFISA!$B:$B,'Faltantes Fevereiro- Metalfisa'!$A177)</f>
        <v>0</v>
      </c>
      <c r="AG177" s="31">
        <f>SUMIFS(METALFISA!$E:$E,METALFISA!$A:$A,'Faltantes Fevereiro- Metalfisa'!AG$3,METALFISA!$B:$B,'Faltantes Fevereiro- Metalfisa'!$A177)</f>
        <v>0</v>
      </c>
      <c r="AH177" s="31">
        <f>SUMIFS(METALFISA!$E:$E,METALFISA!$A:$A,'Faltantes Fevereiro- Metalfisa'!AH$3,METALFISA!$B:$B,'Faltantes Fevereiro- Metalfisa'!$A177)</f>
        <v>2</v>
      </c>
      <c r="AI177" s="31">
        <f>SUMIFS(METALFISA!$E:$E,METALFISA!$A:$A,'Faltantes Fevereiro- Metalfisa'!AI$3,METALFISA!$B:$B,'Faltantes Fevereiro- Metalfisa'!$A177)</f>
        <v>0</v>
      </c>
      <c r="AJ177" s="31">
        <f>SUMIFS(METALFISA!$E:$E,METALFISA!$A:$A,'Faltantes Fevereiro- Metalfisa'!AJ$3,METALFISA!$B:$B,'Faltantes Fevereiro- Metalfisa'!$A177)</f>
        <v>0</v>
      </c>
      <c r="AK177" s="31">
        <f>SUMIFS(METALFISA!$E:$E,METALFISA!$A:$A,'Faltantes Fevereiro- Metalfisa'!AK$3,METALFISA!$B:$B,'Faltantes Fevereiro- Metalfisa'!$A177)</f>
        <v>0</v>
      </c>
      <c r="AL177" s="31">
        <f>SUMIFS(METALFISA!$E:$E,METALFISA!$A:$A,'Faltantes Fevereiro- Metalfisa'!AL$3,METALFISA!$B:$B,'Faltantes Fevereiro- Metalfisa'!$A177)</f>
        <v>0</v>
      </c>
      <c r="AM177" s="31">
        <f>SUMIFS(METALFISA!$E:$E,METALFISA!$A:$A,'Faltantes Fevereiro- Metalfisa'!AM$3,METALFISA!$B:$B,'Faltantes Fevereiro- Metalfisa'!$A177)</f>
        <v>0</v>
      </c>
      <c r="AN177" s="31">
        <f>SUMIFS(METALFISA!$E:$E,METALFISA!$A:$A,'Faltantes Fevereiro- Metalfisa'!AN$3,METALFISA!$B:$B,'Faltantes Fevereiro- Metalfisa'!$A177)</f>
        <v>0</v>
      </c>
      <c r="AO177" s="31">
        <f>SUMIFS(METALFISA!$E:$E,METALFISA!$A:$A,'Faltantes Fevereiro- Metalfisa'!AO$3,METALFISA!$B:$B,'Faltantes Fevereiro- Metalfisa'!$A177)</f>
        <v>0</v>
      </c>
      <c r="AP177" s="31">
        <f>SUMIFS(METALFISA!$E:$E,METALFISA!$A:$A,'Faltantes Fevereiro- Metalfisa'!AP$3,METALFISA!$B:$B,'Faltantes Fevereiro- Metalfisa'!$A177)</f>
        <v>0</v>
      </c>
      <c r="AQ177" s="31"/>
      <c r="AR177" s="31">
        <f>SUMIFS(METALFISA!$E:$E,METALFISA!$A:$A,'Faltantes Fevereiro- Metalfisa'!AR$3,METALFISA!$B:$B,'Faltantes Fevereiro- Metalfisa'!$A177)</f>
        <v>0</v>
      </c>
      <c r="AS177" s="35">
        <f>SUMIFS(METALFISA!$E:$E,METALFISA!$A:$A,'Faltantes Fevereiro- Metalfisa'!AS$3,METALFISA!$B:$B,'Faltantes Fevereiro- Metalfisa'!$A177)</f>
        <v>0</v>
      </c>
      <c r="AU177" s="18">
        <v>0</v>
      </c>
      <c r="AV177" s="18">
        <v>0</v>
      </c>
      <c r="AW177" s="18">
        <v>0</v>
      </c>
      <c r="AX177" s="18">
        <v>0</v>
      </c>
      <c r="AY177" s="41">
        <v>0</v>
      </c>
      <c r="AZ177" s="31">
        <v>22</v>
      </c>
      <c r="BA177" s="31">
        <v>16</v>
      </c>
      <c r="BB177" s="31">
        <v>18</v>
      </c>
      <c r="BC177" s="31">
        <v>0</v>
      </c>
      <c r="BD177" s="31">
        <v>0</v>
      </c>
      <c r="BE177" s="31">
        <v>0</v>
      </c>
      <c r="BF177" s="31">
        <v>0</v>
      </c>
      <c r="BG177" s="31">
        <v>22</v>
      </c>
      <c r="BH177" s="31">
        <v>0</v>
      </c>
      <c r="BI177" s="31">
        <v>0</v>
      </c>
      <c r="BJ177" s="31">
        <v>0</v>
      </c>
      <c r="BK177" s="31">
        <v>0</v>
      </c>
      <c r="BL177" s="31">
        <v>0</v>
      </c>
      <c r="BM177" s="31">
        <v>0</v>
      </c>
      <c r="BN177" s="31">
        <v>0</v>
      </c>
      <c r="BO177" s="31">
        <v>0</v>
      </c>
      <c r="BP177" s="31">
        <v>0</v>
      </c>
      <c r="BQ177" s="31">
        <v>0</v>
      </c>
      <c r="BR177" s="31">
        <v>0</v>
      </c>
      <c r="BS177" s="31">
        <v>0</v>
      </c>
      <c r="BT177" s="31">
        <v>0</v>
      </c>
      <c r="BU177" s="31">
        <v>0</v>
      </c>
      <c r="BV177" s="31">
        <v>0</v>
      </c>
      <c r="BW177" s="31">
        <v>0</v>
      </c>
      <c r="BX177" s="31">
        <v>0</v>
      </c>
      <c r="BY177" s="31">
        <v>0</v>
      </c>
      <c r="BZ177" s="31">
        <v>22</v>
      </c>
      <c r="CA177" s="31">
        <v>0</v>
      </c>
      <c r="CB177" s="31">
        <v>0</v>
      </c>
      <c r="CC177" s="31">
        <v>0</v>
      </c>
      <c r="CD177" s="31">
        <v>0</v>
      </c>
      <c r="CE177" s="31">
        <v>0</v>
      </c>
      <c r="CF177" s="31">
        <v>0</v>
      </c>
      <c r="CG177" s="31">
        <v>0</v>
      </c>
      <c r="CH177" s="31">
        <v>0</v>
      </c>
      <c r="CI177" s="31">
        <v>0</v>
      </c>
      <c r="CJ177" s="31">
        <v>0</v>
      </c>
      <c r="CK177" s="31">
        <v>0</v>
      </c>
      <c r="CL177" s="35">
        <v>0</v>
      </c>
    </row>
    <row r="178" spans="1:90" ht="21" x14ac:dyDescent="0.15">
      <c r="A178" s="27" t="s">
        <v>818</v>
      </c>
      <c r="B178" s="28" t="s">
        <v>819</v>
      </c>
      <c r="C178" s="28">
        <v>0</v>
      </c>
      <c r="D178" s="28">
        <v>0</v>
      </c>
      <c r="E178" s="28">
        <v>0</v>
      </c>
      <c r="F178" s="28">
        <v>0</v>
      </c>
      <c r="G178" s="28">
        <v>6</v>
      </c>
      <c r="H178" s="28">
        <f>IFERROR(VLOOKUP(A178,[1]FALTANTES!$A:$AB,28,FALSE),"-")</f>
        <v>0</v>
      </c>
      <c r="I178" s="42">
        <f>IFERROR(VLOOKUP(A178,[1]FALTANTES!$A:$AC,29,FALSE),"-")</f>
        <v>4</v>
      </c>
      <c r="J178" s="29">
        <f>IFERROR(VLOOKUP(A178,[1]FALTANTES!$A:$AD,30,FALSE),"-")</f>
        <v>-2</v>
      </c>
      <c r="K178" s="30">
        <v>0</v>
      </c>
      <c r="L178" s="30">
        <f t="shared" si="3"/>
        <v>33</v>
      </c>
      <c r="M178" s="31">
        <f>SUMIFS(METALFISA!$E:$E,METALFISA!$A:$A,'Faltantes Fevereiro- Metalfisa'!M$3,METALFISA!$B:$B,'Faltantes Fevereiro- Metalfisa'!$A178)</f>
        <v>0</v>
      </c>
      <c r="N178" s="31">
        <f>SUMIFS(METALFISA!$E:$E,METALFISA!$A:$A,'Faltantes Fevereiro- Metalfisa'!N$3,METALFISA!$B:$B,'Faltantes Fevereiro- Metalfisa'!$A178)</f>
        <v>0</v>
      </c>
      <c r="O178" s="31">
        <f>SUMIFS(METALFISA!$E:$E,METALFISA!$A:$A,'Faltantes Fevereiro- Metalfisa'!O$3,METALFISA!$B:$B,'Faltantes Fevereiro- Metalfisa'!$A178)</f>
        <v>0</v>
      </c>
      <c r="P178" s="31">
        <f>SUMIFS(METALFISA!$E:$E,METALFISA!$A:$A,'Faltantes Fevereiro- Metalfisa'!P$3,METALFISA!$B:$B,'Faltantes Fevereiro- Metalfisa'!$A178)</f>
        <v>0</v>
      </c>
      <c r="Q178" s="31">
        <f>SUMIFS(METALFISA!$E:$E,METALFISA!$A:$A,'Faltantes Fevereiro- Metalfisa'!Q$3,METALFISA!$B:$B,'Faltantes Fevereiro- Metalfisa'!$A178)</f>
        <v>0</v>
      </c>
      <c r="R178" s="31">
        <f>SUMIFS(METALFISA!$E:$E,METALFISA!$A:$A,'Faltantes Fevereiro- Metalfisa'!R$3,METALFISA!$B:$B,'Faltantes Fevereiro- Metalfisa'!$A178)</f>
        <v>0</v>
      </c>
      <c r="S178" s="31">
        <f>SUMIFS(METALFISA!$E:$E,METALFISA!$A:$A,'Faltantes Fevereiro- Metalfisa'!S$3,METALFISA!$B:$B,'Faltantes Fevereiro- Metalfisa'!$A178)</f>
        <v>0</v>
      </c>
      <c r="T178" s="31">
        <f>SUMIFS(METALFISA!$E:$E,METALFISA!$A:$A,'Faltantes Fevereiro- Metalfisa'!T$3,METALFISA!$B:$B,'Faltantes Fevereiro- Metalfisa'!$A178)</f>
        <v>0</v>
      </c>
      <c r="U178" s="31">
        <f>SUMIFS(METALFISA!$E:$E,METALFISA!$A:$A,'Faltantes Fevereiro- Metalfisa'!U$3,METALFISA!$B:$B,'Faltantes Fevereiro- Metalfisa'!$A178)</f>
        <v>0</v>
      </c>
      <c r="V178" s="31">
        <f>SUMIFS(METALFISA!$E:$E,METALFISA!$A:$A,'Faltantes Fevereiro- Metalfisa'!V$3,METALFISA!$B:$B,'Faltantes Fevereiro- Metalfisa'!$A178)</f>
        <v>0</v>
      </c>
      <c r="W178" s="31">
        <f>SUMIFS(METALFISA!$E:$E,METALFISA!$A:$A,'Faltantes Fevereiro- Metalfisa'!W$3,METALFISA!$B:$B,'Faltantes Fevereiro- Metalfisa'!$A178)</f>
        <v>0</v>
      </c>
      <c r="X178" s="31">
        <f>SUMIFS(METALFISA!$E:$E,METALFISA!$A:$A,'Faltantes Fevereiro- Metalfisa'!X$3,METALFISA!$B:$B,'Faltantes Fevereiro- Metalfisa'!$A178)</f>
        <v>0</v>
      </c>
      <c r="Y178" s="31">
        <f>SUMIFS(METALFISA!$E:$E,METALFISA!$A:$A,'Faltantes Fevereiro- Metalfisa'!Y$3,METALFISA!$B:$B,'Faltantes Fevereiro- Metalfisa'!$A178)</f>
        <v>0</v>
      </c>
      <c r="Z178" s="31">
        <f>SUMIFS(METALFISA!$E:$E,METALFISA!$A:$A,'Faltantes Fevereiro- Metalfisa'!Z$3,METALFISA!$B:$B,'Faltantes Fevereiro- Metalfisa'!$A178)</f>
        <v>0</v>
      </c>
      <c r="AA178" s="31">
        <f>SUMIFS(METALFISA!$E:$E,METALFISA!$A:$A,'Faltantes Fevereiro- Metalfisa'!AA$3,METALFISA!$B:$B,'Faltantes Fevereiro- Metalfisa'!$A178)</f>
        <v>0</v>
      </c>
      <c r="AB178" s="31">
        <f>SUMIFS(METALFISA!$E:$E,METALFISA!$A:$A,'Faltantes Fevereiro- Metalfisa'!AB$3,METALFISA!$B:$B,'Faltantes Fevereiro- Metalfisa'!$A178)</f>
        <v>0</v>
      </c>
      <c r="AC178" s="31">
        <f>SUMIFS(METALFISA!$E:$E,METALFISA!$A:$A,'Faltantes Fevereiro- Metalfisa'!AC$3,METALFISA!$B:$B,'Faltantes Fevereiro- Metalfisa'!$A178)</f>
        <v>0</v>
      </c>
      <c r="AD178" s="31">
        <f>SUMIFS(METALFISA!$E:$E,METALFISA!$A:$A,'Faltantes Fevereiro- Metalfisa'!AD$3,METALFISA!$B:$B,'Faltantes Fevereiro- Metalfisa'!$A178)</f>
        <v>0</v>
      </c>
      <c r="AE178" s="31">
        <f>SUMIFS(METALFISA!$E:$E,METALFISA!$A:$A,'Faltantes Fevereiro- Metalfisa'!AE$3,METALFISA!$B:$B,'Faltantes Fevereiro- Metalfisa'!$A178)</f>
        <v>0</v>
      </c>
      <c r="AF178" s="31">
        <f>SUMIFS(METALFISA!$E:$E,METALFISA!$A:$A,'Faltantes Fevereiro- Metalfisa'!AF$3,METALFISA!$B:$B,'Faltantes Fevereiro- Metalfisa'!$A178)</f>
        <v>0</v>
      </c>
      <c r="AG178" s="31">
        <f>SUMIFS(METALFISA!$E:$E,METALFISA!$A:$A,'Faltantes Fevereiro- Metalfisa'!AG$3,METALFISA!$B:$B,'Faltantes Fevereiro- Metalfisa'!$A178)</f>
        <v>0</v>
      </c>
      <c r="AH178" s="31">
        <f>SUMIFS(METALFISA!$E:$E,METALFISA!$A:$A,'Faltantes Fevereiro- Metalfisa'!AH$3,METALFISA!$B:$B,'Faltantes Fevereiro- Metalfisa'!$A178)</f>
        <v>33</v>
      </c>
      <c r="AI178" s="31">
        <f>SUMIFS(METALFISA!$E:$E,METALFISA!$A:$A,'Faltantes Fevereiro- Metalfisa'!AI$3,METALFISA!$B:$B,'Faltantes Fevereiro- Metalfisa'!$A178)</f>
        <v>0</v>
      </c>
      <c r="AJ178" s="31">
        <f>SUMIFS(METALFISA!$E:$E,METALFISA!$A:$A,'Faltantes Fevereiro- Metalfisa'!AJ$3,METALFISA!$B:$B,'Faltantes Fevereiro- Metalfisa'!$A178)</f>
        <v>0</v>
      </c>
      <c r="AK178" s="31">
        <f>SUMIFS(METALFISA!$E:$E,METALFISA!$A:$A,'Faltantes Fevereiro- Metalfisa'!AK$3,METALFISA!$B:$B,'Faltantes Fevereiro- Metalfisa'!$A178)</f>
        <v>0</v>
      </c>
      <c r="AL178" s="31">
        <f>SUMIFS(METALFISA!$E:$E,METALFISA!$A:$A,'Faltantes Fevereiro- Metalfisa'!AL$3,METALFISA!$B:$B,'Faltantes Fevereiro- Metalfisa'!$A178)</f>
        <v>0</v>
      </c>
      <c r="AM178" s="31">
        <f>SUMIFS(METALFISA!$E:$E,METALFISA!$A:$A,'Faltantes Fevereiro- Metalfisa'!AM$3,METALFISA!$B:$B,'Faltantes Fevereiro- Metalfisa'!$A178)</f>
        <v>0</v>
      </c>
      <c r="AN178" s="31">
        <f>SUMIFS(METALFISA!$E:$E,METALFISA!$A:$A,'Faltantes Fevereiro- Metalfisa'!AN$3,METALFISA!$B:$B,'Faltantes Fevereiro- Metalfisa'!$A178)</f>
        <v>0</v>
      </c>
      <c r="AO178" s="31">
        <f>SUMIFS(METALFISA!$E:$E,METALFISA!$A:$A,'Faltantes Fevereiro- Metalfisa'!AO$3,METALFISA!$B:$B,'Faltantes Fevereiro- Metalfisa'!$A178)</f>
        <v>0</v>
      </c>
      <c r="AP178" s="31">
        <f>SUMIFS(METALFISA!$E:$E,METALFISA!$A:$A,'Faltantes Fevereiro- Metalfisa'!AP$3,METALFISA!$B:$B,'Faltantes Fevereiro- Metalfisa'!$A178)</f>
        <v>0</v>
      </c>
      <c r="AQ178" s="31"/>
      <c r="AR178" s="31">
        <f>SUMIFS(METALFISA!$E:$E,METALFISA!$A:$A,'Faltantes Fevereiro- Metalfisa'!AR$3,METALFISA!$B:$B,'Faltantes Fevereiro- Metalfisa'!$A178)</f>
        <v>0</v>
      </c>
      <c r="AS178" s="35">
        <f>SUMIFS(METALFISA!$E:$E,METALFISA!$A:$A,'Faltantes Fevereiro- Metalfisa'!AS$3,METALFISA!$B:$B,'Faltantes Fevereiro- Metalfisa'!$A178)</f>
        <v>0</v>
      </c>
      <c r="AU178" s="18">
        <v>0</v>
      </c>
      <c r="AV178" s="18">
        <v>0</v>
      </c>
      <c r="AW178" s="18">
        <v>0</v>
      </c>
      <c r="AX178" s="18">
        <v>0</v>
      </c>
      <c r="AY178" s="41">
        <v>1</v>
      </c>
      <c r="AZ178" s="31">
        <v>1</v>
      </c>
      <c r="BA178" s="31">
        <v>0</v>
      </c>
      <c r="BB178" s="31">
        <v>0</v>
      </c>
      <c r="BC178" s="31">
        <v>0</v>
      </c>
      <c r="BD178" s="31">
        <v>0</v>
      </c>
      <c r="BE178" s="31">
        <v>0</v>
      </c>
      <c r="BF178" s="31">
        <v>1</v>
      </c>
      <c r="BG178" s="31">
        <v>0</v>
      </c>
      <c r="BH178" s="31">
        <v>1</v>
      </c>
      <c r="BI178" s="31">
        <v>1</v>
      </c>
      <c r="BJ178" s="31">
        <v>0</v>
      </c>
      <c r="BK178" s="31">
        <v>0</v>
      </c>
      <c r="BL178" s="31">
        <v>0</v>
      </c>
      <c r="BM178" s="31">
        <v>0</v>
      </c>
      <c r="BN178" s="31">
        <v>0</v>
      </c>
      <c r="BO178" s="31">
        <v>0</v>
      </c>
      <c r="BP178" s="31">
        <v>0</v>
      </c>
      <c r="BQ178" s="31">
        <v>0</v>
      </c>
      <c r="BR178" s="31">
        <v>0</v>
      </c>
      <c r="BS178" s="31">
        <v>0</v>
      </c>
      <c r="BT178" s="31">
        <v>0</v>
      </c>
      <c r="BU178" s="31">
        <v>0</v>
      </c>
      <c r="BV178" s="31">
        <v>1</v>
      </c>
      <c r="BW178" s="31">
        <v>0</v>
      </c>
      <c r="BX178" s="31">
        <v>1</v>
      </c>
      <c r="BY178" s="31">
        <v>1</v>
      </c>
      <c r="BZ178" s="31">
        <v>0</v>
      </c>
      <c r="CA178" s="31">
        <v>0</v>
      </c>
      <c r="CB178" s="31">
        <v>0</v>
      </c>
      <c r="CC178" s="31">
        <v>0</v>
      </c>
      <c r="CD178" s="31">
        <v>0</v>
      </c>
      <c r="CE178" s="31">
        <v>0</v>
      </c>
      <c r="CF178" s="31">
        <v>0</v>
      </c>
      <c r="CG178" s="31">
        <v>0</v>
      </c>
      <c r="CH178" s="31">
        <v>0</v>
      </c>
      <c r="CI178" s="31">
        <v>0</v>
      </c>
      <c r="CJ178" s="31">
        <v>0</v>
      </c>
      <c r="CK178" s="31">
        <v>0</v>
      </c>
      <c r="CL178" s="35">
        <v>0</v>
      </c>
    </row>
    <row r="179" spans="1:90" ht="21" x14ac:dyDescent="0.15">
      <c r="A179" s="27" t="s">
        <v>1798</v>
      </c>
      <c r="B179" s="28" t="s">
        <v>1799</v>
      </c>
      <c r="C179" s="28">
        <v>1</v>
      </c>
      <c r="D179" s="28">
        <v>7</v>
      </c>
      <c r="E179" s="28">
        <v>0</v>
      </c>
      <c r="F179" s="28">
        <v>0</v>
      </c>
      <c r="G179" s="28">
        <v>28</v>
      </c>
      <c r="H179" s="28">
        <f>IFERROR(VLOOKUP(A179,[1]FALTANTES!$A:$AB,28,FALSE),"-")</f>
        <v>0</v>
      </c>
      <c r="I179" s="42">
        <f>IFERROR(VLOOKUP(A179,[1]FALTANTES!$A:$AC,29,FALSE),"-")</f>
        <v>30</v>
      </c>
      <c r="J179" s="29">
        <f>IFERROR(VLOOKUP(A179,[1]FALTANTES!$A:$AD,30,FALSE),"-")</f>
        <v>-6</v>
      </c>
      <c r="K179" s="30">
        <v>0</v>
      </c>
      <c r="L179" s="30">
        <f t="shared" si="3"/>
        <v>1</v>
      </c>
      <c r="M179" s="31">
        <f>SUMIFS(METALFISA!$E:$E,METALFISA!$A:$A,'Faltantes Fevereiro- Metalfisa'!M$3,METALFISA!$B:$B,'Faltantes Fevereiro- Metalfisa'!$A179)</f>
        <v>0</v>
      </c>
      <c r="N179" s="31">
        <f>SUMIFS(METALFISA!$E:$E,METALFISA!$A:$A,'Faltantes Fevereiro- Metalfisa'!N$3,METALFISA!$B:$B,'Faltantes Fevereiro- Metalfisa'!$A179)</f>
        <v>0</v>
      </c>
      <c r="O179" s="31">
        <f>SUMIFS(METALFISA!$E:$E,METALFISA!$A:$A,'Faltantes Fevereiro- Metalfisa'!O$3,METALFISA!$B:$B,'Faltantes Fevereiro- Metalfisa'!$A179)</f>
        <v>0</v>
      </c>
      <c r="P179" s="31">
        <f>SUMIFS(METALFISA!$E:$E,METALFISA!$A:$A,'Faltantes Fevereiro- Metalfisa'!P$3,METALFISA!$B:$B,'Faltantes Fevereiro- Metalfisa'!$A179)</f>
        <v>0</v>
      </c>
      <c r="Q179" s="31">
        <f>SUMIFS(METALFISA!$E:$E,METALFISA!$A:$A,'Faltantes Fevereiro- Metalfisa'!Q$3,METALFISA!$B:$B,'Faltantes Fevereiro- Metalfisa'!$A179)</f>
        <v>0</v>
      </c>
      <c r="R179" s="31">
        <f>SUMIFS(METALFISA!$E:$E,METALFISA!$A:$A,'Faltantes Fevereiro- Metalfisa'!R$3,METALFISA!$B:$B,'Faltantes Fevereiro- Metalfisa'!$A179)</f>
        <v>0</v>
      </c>
      <c r="S179" s="31">
        <f>SUMIFS(METALFISA!$E:$E,METALFISA!$A:$A,'Faltantes Fevereiro- Metalfisa'!S$3,METALFISA!$B:$B,'Faltantes Fevereiro- Metalfisa'!$A179)</f>
        <v>0</v>
      </c>
      <c r="T179" s="31">
        <f>SUMIFS(METALFISA!$E:$E,METALFISA!$A:$A,'Faltantes Fevereiro- Metalfisa'!T$3,METALFISA!$B:$B,'Faltantes Fevereiro- Metalfisa'!$A179)</f>
        <v>0</v>
      </c>
      <c r="U179" s="31">
        <f>SUMIFS(METALFISA!$E:$E,METALFISA!$A:$A,'Faltantes Fevereiro- Metalfisa'!U$3,METALFISA!$B:$B,'Faltantes Fevereiro- Metalfisa'!$A179)</f>
        <v>0</v>
      </c>
      <c r="V179" s="31">
        <f>SUMIFS(METALFISA!$E:$E,METALFISA!$A:$A,'Faltantes Fevereiro- Metalfisa'!V$3,METALFISA!$B:$B,'Faltantes Fevereiro- Metalfisa'!$A179)</f>
        <v>0</v>
      </c>
      <c r="W179" s="31">
        <f>SUMIFS(METALFISA!$E:$E,METALFISA!$A:$A,'Faltantes Fevereiro- Metalfisa'!W$3,METALFISA!$B:$B,'Faltantes Fevereiro- Metalfisa'!$A179)</f>
        <v>0</v>
      </c>
      <c r="X179" s="31">
        <f>SUMIFS(METALFISA!$E:$E,METALFISA!$A:$A,'Faltantes Fevereiro- Metalfisa'!X$3,METALFISA!$B:$B,'Faltantes Fevereiro- Metalfisa'!$A179)</f>
        <v>0</v>
      </c>
      <c r="Y179" s="31">
        <f>SUMIFS(METALFISA!$E:$E,METALFISA!$A:$A,'Faltantes Fevereiro- Metalfisa'!Y$3,METALFISA!$B:$B,'Faltantes Fevereiro- Metalfisa'!$A179)</f>
        <v>0</v>
      </c>
      <c r="Z179" s="31">
        <f>SUMIFS(METALFISA!$E:$E,METALFISA!$A:$A,'Faltantes Fevereiro- Metalfisa'!Z$3,METALFISA!$B:$B,'Faltantes Fevereiro- Metalfisa'!$A179)</f>
        <v>0</v>
      </c>
      <c r="AA179" s="31">
        <f>SUMIFS(METALFISA!$E:$E,METALFISA!$A:$A,'Faltantes Fevereiro- Metalfisa'!AA$3,METALFISA!$B:$B,'Faltantes Fevereiro- Metalfisa'!$A179)</f>
        <v>0</v>
      </c>
      <c r="AB179" s="31">
        <f>SUMIFS(METALFISA!$E:$E,METALFISA!$A:$A,'Faltantes Fevereiro- Metalfisa'!AB$3,METALFISA!$B:$B,'Faltantes Fevereiro- Metalfisa'!$A179)</f>
        <v>0</v>
      </c>
      <c r="AC179" s="31">
        <f>SUMIFS(METALFISA!$E:$E,METALFISA!$A:$A,'Faltantes Fevereiro- Metalfisa'!AC$3,METALFISA!$B:$B,'Faltantes Fevereiro- Metalfisa'!$A179)</f>
        <v>0</v>
      </c>
      <c r="AD179" s="31">
        <f>SUMIFS(METALFISA!$E:$E,METALFISA!$A:$A,'Faltantes Fevereiro- Metalfisa'!AD$3,METALFISA!$B:$B,'Faltantes Fevereiro- Metalfisa'!$A179)</f>
        <v>0</v>
      </c>
      <c r="AE179" s="31">
        <f>SUMIFS(METALFISA!$E:$E,METALFISA!$A:$A,'Faltantes Fevereiro- Metalfisa'!AE$3,METALFISA!$B:$B,'Faltantes Fevereiro- Metalfisa'!$A179)</f>
        <v>0</v>
      </c>
      <c r="AF179" s="31">
        <f>SUMIFS(METALFISA!$E:$E,METALFISA!$A:$A,'Faltantes Fevereiro- Metalfisa'!AF$3,METALFISA!$B:$B,'Faltantes Fevereiro- Metalfisa'!$A179)</f>
        <v>1</v>
      </c>
      <c r="AG179" s="31">
        <f>SUMIFS(METALFISA!$E:$E,METALFISA!$A:$A,'Faltantes Fevereiro- Metalfisa'!AG$3,METALFISA!$B:$B,'Faltantes Fevereiro- Metalfisa'!$A179)</f>
        <v>0</v>
      </c>
      <c r="AH179" s="31">
        <f>SUMIFS(METALFISA!$E:$E,METALFISA!$A:$A,'Faltantes Fevereiro- Metalfisa'!AH$3,METALFISA!$B:$B,'Faltantes Fevereiro- Metalfisa'!$A179)</f>
        <v>0</v>
      </c>
      <c r="AI179" s="31">
        <f>SUMIFS(METALFISA!$E:$E,METALFISA!$A:$A,'Faltantes Fevereiro- Metalfisa'!AI$3,METALFISA!$B:$B,'Faltantes Fevereiro- Metalfisa'!$A179)</f>
        <v>0</v>
      </c>
      <c r="AJ179" s="31">
        <f>SUMIFS(METALFISA!$E:$E,METALFISA!$A:$A,'Faltantes Fevereiro- Metalfisa'!AJ$3,METALFISA!$B:$B,'Faltantes Fevereiro- Metalfisa'!$A179)</f>
        <v>0</v>
      </c>
      <c r="AK179" s="31">
        <f>SUMIFS(METALFISA!$E:$E,METALFISA!$A:$A,'Faltantes Fevereiro- Metalfisa'!AK$3,METALFISA!$B:$B,'Faltantes Fevereiro- Metalfisa'!$A179)</f>
        <v>0</v>
      </c>
      <c r="AL179" s="31">
        <f>SUMIFS(METALFISA!$E:$E,METALFISA!$A:$A,'Faltantes Fevereiro- Metalfisa'!AL$3,METALFISA!$B:$B,'Faltantes Fevereiro- Metalfisa'!$A179)</f>
        <v>0</v>
      </c>
      <c r="AM179" s="31">
        <f>SUMIFS(METALFISA!$E:$E,METALFISA!$A:$A,'Faltantes Fevereiro- Metalfisa'!AM$3,METALFISA!$B:$B,'Faltantes Fevereiro- Metalfisa'!$A179)</f>
        <v>0</v>
      </c>
      <c r="AN179" s="31">
        <f>SUMIFS(METALFISA!$E:$E,METALFISA!$A:$A,'Faltantes Fevereiro- Metalfisa'!AN$3,METALFISA!$B:$B,'Faltantes Fevereiro- Metalfisa'!$A179)</f>
        <v>0</v>
      </c>
      <c r="AO179" s="31">
        <f>SUMIFS(METALFISA!$E:$E,METALFISA!$A:$A,'Faltantes Fevereiro- Metalfisa'!AO$3,METALFISA!$B:$B,'Faltantes Fevereiro- Metalfisa'!$A179)</f>
        <v>0</v>
      </c>
      <c r="AP179" s="31">
        <f>SUMIFS(METALFISA!$E:$E,METALFISA!$A:$A,'Faltantes Fevereiro- Metalfisa'!AP$3,METALFISA!$B:$B,'Faltantes Fevereiro- Metalfisa'!$A179)</f>
        <v>0</v>
      </c>
      <c r="AQ179" s="31"/>
      <c r="AR179" s="31">
        <f>SUMIFS(METALFISA!$E:$E,METALFISA!$A:$A,'Faltantes Fevereiro- Metalfisa'!AR$3,METALFISA!$B:$B,'Faltantes Fevereiro- Metalfisa'!$A179)</f>
        <v>0</v>
      </c>
      <c r="AS179" s="35">
        <f>SUMIFS(METALFISA!$E:$E,METALFISA!$A:$A,'Faltantes Fevereiro- Metalfisa'!AS$3,METALFISA!$B:$B,'Faltantes Fevereiro- Metalfisa'!$A179)</f>
        <v>0</v>
      </c>
      <c r="AU179" s="18">
        <v>0</v>
      </c>
      <c r="AV179" s="18">
        <v>0</v>
      </c>
      <c r="AW179" s="18">
        <v>0</v>
      </c>
      <c r="AX179" s="18">
        <v>0</v>
      </c>
      <c r="AY179" s="41">
        <v>0</v>
      </c>
      <c r="AZ179" s="31">
        <v>0</v>
      </c>
      <c r="BA179" s="31">
        <v>0</v>
      </c>
      <c r="BB179" s="31">
        <v>0</v>
      </c>
      <c r="BC179" s="31">
        <v>0</v>
      </c>
      <c r="BD179" s="31">
        <v>0</v>
      </c>
      <c r="BE179" s="31">
        <v>0</v>
      </c>
      <c r="BF179" s="31">
        <v>0</v>
      </c>
      <c r="BG179" s="31">
        <v>1</v>
      </c>
      <c r="BH179" s="31">
        <v>0</v>
      </c>
      <c r="BI179" s="31">
        <v>0</v>
      </c>
      <c r="BJ179" s="31">
        <v>0</v>
      </c>
      <c r="BK179" s="31">
        <v>0</v>
      </c>
      <c r="BL179" s="31">
        <v>0</v>
      </c>
      <c r="BM179" s="31">
        <v>0</v>
      </c>
      <c r="BN179" s="31">
        <v>0</v>
      </c>
      <c r="BO179" s="31">
        <v>0</v>
      </c>
      <c r="BP179" s="31">
        <v>0</v>
      </c>
      <c r="BQ179" s="31">
        <v>0</v>
      </c>
      <c r="BR179" s="31">
        <v>0</v>
      </c>
      <c r="BS179" s="31">
        <v>0</v>
      </c>
      <c r="BT179" s="31">
        <v>0</v>
      </c>
      <c r="BU179" s="31">
        <v>0</v>
      </c>
      <c r="BV179" s="31">
        <v>0</v>
      </c>
      <c r="BW179" s="31">
        <v>0</v>
      </c>
      <c r="BX179" s="31">
        <v>0</v>
      </c>
      <c r="BY179" s="31">
        <v>0</v>
      </c>
      <c r="BZ179" s="31">
        <v>1</v>
      </c>
      <c r="CA179" s="31">
        <v>0</v>
      </c>
      <c r="CB179" s="31">
        <v>0</v>
      </c>
      <c r="CC179" s="31">
        <v>0</v>
      </c>
      <c r="CD179" s="31">
        <v>0</v>
      </c>
      <c r="CE179" s="31">
        <v>0</v>
      </c>
      <c r="CF179" s="31">
        <v>0</v>
      </c>
      <c r="CG179" s="31">
        <v>0</v>
      </c>
      <c r="CH179" s="31">
        <v>0</v>
      </c>
      <c r="CI179" s="31">
        <v>0</v>
      </c>
      <c r="CJ179" s="31">
        <v>0</v>
      </c>
      <c r="CK179" s="31">
        <v>0</v>
      </c>
      <c r="CL179" s="35">
        <v>0</v>
      </c>
    </row>
    <row r="180" spans="1:90" x14ac:dyDescent="0.15">
      <c r="A180" s="27" t="s">
        <v>314</v>
      </c>
      <c r="B180" s="28" t="s">
        <v>315</v>
      </c>
      <c r="C180" s="28">
        <v>0</v>
      </c>
      <c r="D180" s="28">
        <v>2</v>
      </c>
      <c r="E180" s="28">
        <v>0</v>
      </c>
      <c r="F180" s="28">
        <v>0</v>
      </c>
      <c r="G180" s="28">
        <v>28</v>
      </c>
      <c r="H180" s="28">
        <f>IFERROR(VLOOKUP(A180,[1]FALTANTES!$A:$AB,28,FALSE),"-")</f>
        <v>0</v>
      </c>
      <c r="I180" s="42">
        <f>IFERROR(VLOOKUP(A180,[1]FALTANTES!$A:$AC,29,FALSE),"-")</f>
        <v>29</v>
      </c>
      <c r="J180" s="29">
        <f>IFERROR(VLOOKUP(A180,[1]FALTANTES!$A:$AD,30,FALSE),"-")</f>
        <v>-1</v>
      </c>
      <c r="K180" s="30">
        <v>0</v>
      </c>
      <c r="L180" s="30">
        <f t="shared" si="3"/>
        <v>2</v>
      </c>
      <c r="M180" s="31">
        <f>SUMIFS(METALFISA!$E:$E,METALFISA!$A:$A,'Faltantes Fevereiro- Metalfisa'!M$3,METALFISA!$B:$B,'Faltantes Fevereiro- Metalfisa'!$A180)</f>
        <v>0</v>
      </c>
      <c r="N180" s="31">
        <f>SUMIFS(METALFISA!$E:$E,METALFISA!$A:$A,'Faltantes Fevereiro- Metalfisa'!N$3,METALFISA!$B:$B,'Faltantes Fevereiro- Metalfisa'!$A180)</f>
        <v>0</v>
      </c>
      <c r="O180" s="31">
        <f>SUMIFS(METALFISA!$E:$E,METALFISA!$A:$A,'Faltantes Fevereiro- Metalfisa'!O$3,METALFISA!$B:$B,'Faltantes Fevereiro- Metalfisa'!$A180)</f>
        <v>0</v>
      </c>
      <c r="P180" s="31">
        <f>SUMIFS(METALFISA!$E:$E,METALFISA!$A:$A,'Faltantes Fevereiro- Metalfisa'!P$3,METALFISA!$B:$B,'Faltantes Fevereiro- Metalfisa'!$A180)</f>
        <v>0</v>
      </c>
      <c r="Q180" s="31">
        <f>SUMIFS(METALFISA!$E:$E,METALFISA!$A:$A,'Faltantes Fevereiro- Metalfisa'!Q$3,METALFISA!$B:$B,'Faltantes Fevereiro- Metalfisa'!$A180)</f>
        <v>0</v>
      </c>
      <c r="R180" s="31">
        <f>SUMIFS(METALFISA!$E:$E,METALFISA!$A:$A,'Faltantes Fevereiro- Metalfisa'!R$3,METALFISA!$B:$B,'Faltantes Fevereiro- Metalfisa'!$A180)</f>
        <v>0</v>
      </c>
      <c r="S180" s="31">
        <f>SUMIFS(METALFISA!$E:$E,METALFISA!$A:$A,'Faltantes Fevereiro- Metalfisa'!S$3,METALFISA!$B:$B,'Faltantes Fevereiro- Metalfisa'!$A180)</f>
        <v>0</v>
      </c>
      <c r="T180" s="31">
        <f>SUMIFS(METALFISA!$E:$E,METALFISA!$A:$A,'Faltantes Fevereiro- Metalfisa'!T$3,METALFISA!$B:$B,'Faltantes Fevereiro- Metalfisa'!$A180)</f>
        <v>0</v>
      </c>
      <c r="U180" s="31">
        <f>SUMIFS(METALFISA!$E:$E,METALFISA!$A:$A,'Faltantes Fevereiro- Metalfisa'!U$3,METALFISA!$B:$B,'Faltantes Fevereiro- Metalfisa'!$A180)</f>
        <v>0</v>
      </c>
      <c r="V180" s="31">
        <f>SUMIFS(METALFISA!$E:$E,METALFISA!$A:$A,'Faltantes Fevereiro- Metalfisa'!V$3,METALFISA!$B:$B,'Faltantes Fevereiro- Metalfisa'!$A180)</f>
        <v>0</v>
      </c>
      <c r="W180" s="31">
        <f>SUMIFS(METALFISA!$E:$E,METALFISA!$A:$A,'Faltantes Fevereiro- Metalfisa'!W$3,METALFISA!$B:$B,'Faltantes Fevereiro- Metalfisa'!$A180)</f>
        <v>0</v>
      </c>
      <c r="X180" s="31">
        <f>SUMIFS(METALFISA!$E:$E,METALFISA!$A:$A,'Faltantes Fevereiro- Metalfisa'!X$3,METALFISA!$B:$B,'Faltantes Fevereiro- Metalfisa'!$A180)</f>
        <v>0</v>
      </c>
      <c r="Y180" s="31">
        <f>SUMIFS(METALFISA!$E:$E,METALFISA!$A:$A,'Faltantes Fevereiro- Metalfisa'!Y$3,METALFISA!$B:$B,'Faltantes Fevereiro- Metalfisa'!$A180)</f>
        <v>0</v>
      </c>
      <c r="Z180" s="31">
        <f>SUMIFS(METALFISA!$E:$E,METALFISA!$A:$A,'Faltantes Fevereiro- Metalfisa'!Z$3,METALFISA!$B:$B,'Faltantes Fevereiro- Metalfisa'!$A180)</f>
        <v>0</v>
      </c>
      <c r="AA180" s="31">
        <f>SUMIFS(METALFISA!$E:$E,METALFISA!$A:$A,'Faltantes Fevereiro- Metalfisa'!AA$3,METALFISA!$B:$B,'Faltantes Fevereiro- Metalfisa'!$A180)</f>
        <v>0</v>
      </c>
      <c r="AB180" s="31">
        <f>SUMIFS(METALFISA!$E:$E,METALFISA!$A:$A,'Faltantes Fevereiro- Metalfisa'!AB$3,METALFISA!$B:$B,'Faltantes Fevereiro- Metalfisa'!$A180)</f>
        <v>0</v>
      </c>
      <c r="AC180" s="31">
        <f>SUMIFS(METALFISA!$E:$E,METALFISA!$A:$A,'Faltantes Fevereiro- Metalfisa'!AC$3,METALFISA!$B:$B,'Faltantes Fevereiro- Metalfisa'!$A180)</f>
        <v>0</v>
      </c>
      <c r="AD180" s="31">
        <f>SUMIFS(METALFISA!$E:$E,METALFISA!$A:$A,'Faltantes Fevereiro- Metalfisa'!AD$3,METALFISA!$B:$B,'Faltantes Fevereiro- Metalfisa'!$A180)</f>
        <v>0</v>
      </c>
      <c r="AE180" s="31">
        <f>SUMIFS(METALFISA!$E:$E,METALFISA!$A:$A,'Faltantes Fevereiro- Metalfisa'!AE$3,METALFISA!$B:$B,'Faltantes Fevereiro- Metalfisa'!$A180)</f>
        <v>0</v>
      </c>
      <c r="AF180" s="31">
        <f>SUMIFS(METALFISA!$E:$E,METALFISA!$A:$A,'Faltantes Fevereiro- Metalfisa'!AF$3,METALFISA!$B:$B,'Faltantes Fevereiro- Metalfisa'!$A180)</f>
        <v>0</v>
      </c>
      <c r="AG180" s="31">
        <f>SUMIFS(METALFISA!$E:$E,METALFISA!$A:$A,'Faltantes Fevereiro- Metalfisa'!AG$3,METALFISA!$B:$B,'Faltantes Fevereiro- Metalfisa'!$A180)</f>
        <v>0</v>
      </c>
      <c r="AH180" s="31">
        <f>SUMIFS(METALFISA!$E:$E,METALFISA!$A:$A,'Faltantes Fevereiro- Metalfisa'!AH$3,METALFISA!$B:$B,'Faltantes Fevereiro- Metalfisa'!$A180)</f>
        <v>0</v>
      </c>
      <c r="AI180" s="31">
        <f>SUMIFS(METALFISA!$E:$E,METALFISA!$A:$A,'Faltantes Fevereiro- Metalfisa'!AI$3,METALFISA!$B:$B,'Faltantes Fevereiro- Metalfisa'!$A180)</f>
        <v>1</v>
      </c>
      <c r="AJ180" s="31">
        <f>SUMIFS(METALFISA!$E:$E,METALFISA!$A:$A,'Faltantes Fevereiro- Metalfisa'!AJ$3,METALFISA!$B:$B,'Faltantes Fevereiro- Metalfisa'!$A180)</f>
        <v>0</v>
      </c>
      <c r="AK180" s="31">
        <f>SUMIFS(METALFISA!$E:$E,METALFISA!$A:$A,'Faltantes Fevereiro- Metalfisa'!AK$3,METALFISA!$B:$B,'Faltantes Fevereiro- Metalfisa'!$A180)</f>
        <v>0</v>
      </c>
      <c r="AL180" s="31">
        <f>SUMIFS(METALFISA!$E:$E,METALFISA!$A:$A,'Faltantes Fevereiro- Metalfisa'!AL$3,METALFISA!$B:$B,'Faltantes Fevereiro- Metalfisa'!$A180)</f>
        <v>0</v>
      </c>
      <c r="AM180" s="31">
        <f>SUMIFS(METALFISA!$E:$E,METALFISA!$A:$A,'Faltantes Fevereiro- Metalfisa'!AM$3,METALFISA!$B:$B,'Faltantes Fevereiro- Metalfisa'!$A180)</f>
        <v>0</v>
      </c>
      <c r="AN180" s="31">
        <f>SUMIFS(METALFISA!$E:$E,METALFISA!$A:$A,'Faltantes Fevereiro- Metalfisa'!AN$3,METALFISA!$B:$B,'Faltantes Fevereiro- Metalfisa'!$A180)</f>
        <v>1</v>
      </c>
      <c r="AO180" s="31">
        <f>SUMIFS(METALFISA!$E:$E,METALFISA!$A:$A,'Faltantes Fevereiro- Metalfisa'!AO$3,METALFISA!$B:$B,'Faltantes Fevereiro- Metalfisa'!$A180)</f>
        <v>0</v>
      </c>
      <c r="AP180" s="31">
        <f>SUMIFS(METALFISA!$E:$E,METALFISA!$A:$A,'Faltantes Fevereiro- Metalfisa'!AP$3,METALFISA!$B:$B,'Faltantes Fevereiro- Metalfisa'!$A180)</f>
        <v>0</v>
      </c>
      <c r="AQ180" s="31"/>
      <c r="AR180" s="31">
        <f>SUMIFS(METALFISA!$E:$E,METALFISA!$A:$A,'Faltantes Fevereiro- Metalfisa'!AR$3,METALFISA!$B:$B,'Faltantes Fevereiro- Metalfisa'!$A180)</f>
        <v>0</v>
      </c>
      <c r="AS180" s="35">
        <f>SUMIFS(METALFISA!$E:$E,METALFISA!$A:$A,'Faltantes Fevereiro- Metalfisa'!AS$3,METALFISA!$B:$B,'Faltantes Fevereiro- Metalfisa'!$A180)</f>
        <v>0</v>
      </c>
      <c r="AU180" s="18">
        <v>0</v>
      </c>
      <c r="AV180" s="18">
        <v>0</v>
      </c>
      <c r="AW180" s="18">
        <v>0</v>
      </c>
      <c r="AX180" s="18">
        <v>0</v>
      </c>
      <c r="AY180" s="41">
        <v>0</v>
      </c>
      <c r="AZ180" s="31">
        <v>0</v>
      </c>
      <c r="BA180" s="31">
        <v>0</v>
      </c>
      <c r="BB180" s="31">
        <v>0</v>
      </c>
      <c r="BC180" s="31">
        <v>0</v>
      </c>
      <c r="BD180" s="31">
        <v>0</v>
      </c>
      <c r="BE180" s="31">
        <v>0</v>
      </c>
      <c r="BF180" s="31">
        <v>0</v>
      </c>
      <c r="BG180" s="31">
        <v>1</v>
      </c>
      <c r="BH180" s="31">
        <v>0</v>
      </c>
      <c r="BI180" s="31">
        <v>0</v>
      </c>
      <c r="BJ180" s="31">
        <v>0</v>
      </c>
      <c r="BK180" s="31">
        <v>0</v>
      </c>
      <c r="BL180" s="31">
        <v>0</v>
      </c>
      <c r="BM180" s="31">
        <v>0</v>
      </c>
      <c r="BN180" s="31">
        <v>0</v>
      </c>
      <c r="BO180" s="31">
        <v>0</v>
      </c>
      <c r="BP180" s="31">
        <v>0</v>
      </c>
      <c r="BQ180" s="31">
        <v>0</v>
      </c>
      <c r="BR180" s="31">
        <v>0</v>
      </c>
      <c r="BS180" s="31">
        <v>0</v>
      </c>
      <c r="BT180" s="31">
        <v>0</v>
      </c>
      <c r="BU180" s="31">
        <v>0</v>
      </c>
      <c r="BV180" s="31">
        <v>0</v>
      </c>
      <c r="BW180" s="31">
        <v>0</v>
      </c>
      <c r="BX180" s="31">
        <v>0</v>
      </c>
      <c r="BY180" s="31">
        <v>0</v>
      </c>
      <c r="BZ180" s="31">
        <v>1</v>
      </c>
      <c r="CA180" s="31">
        <v>0</v>
      </c>
      <c r="CB180" s="31">
        <v>0</v>
      </c>
      <c r="CC180" s="31">
        <v>0</v>
      </c>
      <c r="CD180" s="31">
        <v>0</v>
      </c>
      <c r="CE180" s="31">
        <v>0</v>
      </c>
      <c r="CF180" s="31">
        <v>0</v>
      </c>
      <c r="CG180" s="31">
        <v>0</v>
      </c>
      <c r="CH180" s="31">
        <v>0</v>
      </c>
      <c r="CI180" s="31">
        <v>0</v>
      </c>
      <c r="CJ180" s="31">
        <v>0</v>
      </c>
      <c r="CK180" s="31">
        <v>0</v>
      </c>
      <c r="CL180" s="35">
        <v>0</v>
      </c>
    </row>
    <row r="181" spans="1:90" x14ac:dyDescent="0.15">
      <c r="A181" s="27" t="s">
        <v>266</v>
      </c>
      <c r="B181" s="28" t="s">
        <v>267</v>
      </c>
      <c r="C181" s="28">
        <v>0</v>
      </c>
      <c r="D181" s="28">
        <v>0</v>
      </c>
      <c r="E181" s="28">
        <v>0</v>
      </c>
      <c r="F181" s="28">
        <v>0</v>
      </c>
      <c r="G181" s="28">
        <v>3</v>
      </c>
      <c r="H181" s="28">
        <f>IFERROR(VLOOKUP(A181,[1]FALTANTES!$A:$AB,28,FALSE),"-")</f>
        <v>0</v>
      </c>
      <c r="I181" s="42">
        <f>IFERROR(VLOOKUP(A181,[1]FALTANTES!$A:$AC,29,FALSE),"-")</f>
        <v>0</v>
      </c>
      <c r="J181" s="29">
        <f>IFERROR(VLOOKUP(A181,[1]FALTANTES!$A:$AD,30,FALSE),"-")</f>
        <v>-3</v>
      </c>
      <c r="K181" s="30">
        <v>0</v>
      </c>
      <c r="L181" s="30">
        <f t="shared" si="3"/>
        <v>10</v>
      </c>
      <c r="M181" s="31">
        <f>SUMIFS(METALFISA!$E:$E,METALFISA!$A:$A,'Faltantes Fevereiro- Metalfisa'!M$3,METALFISA!$B:$B,'Faltantes Fevereiro- Metalfisa'!$A181)</f>
        <v>0</v>
      </c>
      <c r="N181" s="31">
        <f>SUMIFS(METALFISA!$E:$E,METALFISA!$A:$A,'Faltantes Fevereiro- Metalfisa'!N$3,METALFISA!$B:$B,'Faltantes Fevereiro- Metalfisa'!$A181)</f>
        <v>0</v>
      </c>
      <c r="O181" s="31">
        <f>SUMIFS(METALFISA!$E:$E,METALFISA!$A:$A,'Faltantes Fevereiro- Metalfisa'!O$3,METALFISA!$B:$B,'Faltantes Fevereiro- Metalfisa'!$A181)</f>
        <v>0</v>
      </c>
      <c r="P181" s="31">
        <f>SUMIFS(METALFISA!$E:$E,METALFISA!$A:$A,'Faltantes Fevereiro- Metalfisa'!P$3,METALFISA!$B:$B,'Faltantes Fevereiro- Metalfisa'!$A181)</f>
        <v>0</v>
      </c>
      <c r="Q181" s="31">
        <f>SUMIFS(METALFISA!$E:$E,METALFISA!$A:$A,'Faltantes Fevereiro- Metalfisa'!Q$3,METALFISA!$B:$B,'Faltantes Fevereiro- Metalfisa'!$A181)</f>
        <v>0</v>
      </c>
      <c r="R181" s="31">
        <f>SUMIFS(METALFISA!$E:$E,METALFISA!$A:$A,'Faltantes Fevereiro- Metalfisa'!R$3,METALFISA!$B:$B,'Faltantes Fevereiro- Metalfisa'!$A181)</f>
        <v>0</v>
      </c>
      <c r="S181" s="31">
        <f>SUMIFS(METALFISA!$E:$E,METALFISA!$A:$A,'Faltantes Fevereiro- Metalfisa'!S$3,METALFISA!$B:$B,'Faltantes Fevereiro- Metalfisa'!$A181)</f>
        <v>0</v>
      </c>
      <c r="T181" s="31">
        <f>SUMIFS(METALFISA!$E:$E,METALFISA!$A:$A,'Faltantes Fevereiro- Metalfisa'!T$3,METALFISA!$B:$B,'Faltantes Fevereiro- Metalfisa'!$A181)</f>
        <v>0</v>
      </c>
      <c r="U181" s="31">
        <f>SUMIFS(METALFISA!$E:$E,METALFISA!$A:$A,'Faltantes Fevereiro- Metalfisa'!U$3,METALFISA!$B:$B,'Faltantes Fevereiro- Metalfisa'!$A181)</f>
        <v>0</v>
      </c>
      <c r="V181" s="31">
        <f>SUMIFS(METALFISA!$E:$E,METALFISA!$A:$A,'Faltantes Fevereiro- Metalfisa'!V$3,METALFISA!$B:$B,'Faltantes Fevereiro- Metalfisa'!$A181)</f>
        <v>0</v>
      </c>
      <c r="W181" s="31">
        <f>SUMIFS(METALFISA!$E:$E,METALFISA!$A:$A,'Faltantes Fevereiro- Metalfisa'!W$3,METALFISA!$B:$B,'Faltantes Fevereiro- Metalfisa'!$A181)</f>
        <v>0</v>
      </c>
      <c r="X181" s="31">
        <f>SUMIFS(METALFISA!$E:$E,METALFISA!$A:$A,'Faltantes Fevereiro- Metalfisa'!X$3,METALFISA!$B:$B,'Faltantes Fevereiro- Metalfisa'!$A181)</f>
        <v>0</v>
      </c>
      <c r="Y181" s="31">
        <f>SUMIFS(METALFISA!$E:$E,METALFISA!$A:$A,'Faltantes Fevereiro- Metalfisa'!Y$3,METALFISA!$B:$B,'Faltantes Fevereiro- Metalfisa'!$A181)</f>
        <v>0</v>
      </c>
      <c r="Z181" s="31">
        <f>SUMIFS(METALFISA!$E:$E,METALFISA!$A:$A,'Faltantes Fevereiro- Metalfisa'!Z$3,METALFISA!$B:$B,'Faltantes Fevereiro- Metalfisa'!$A181)</f>
        <v>0</v>
      </c>
      <c r="AA181" s="31">
        <f>SUMIFS(METALFISA!$E:$E,METALFISA!$A:$A,'Faltantes Fevereiro- Metalfisa'!AA$3,METALFISA!$B:$B,'Faltantes Fevereiro- Metalfisa'!$A181)</f>
        <v>0</v>
      </c>
      <c r="AB181" s="31">
        <f>SUMIFS(METALFISA!$E:$E,METALFISA!$A:$A,'Faltantes Fevereiro- Metalfisa'!AB$3,METALFISA!$B:$B,'Faltantes Fevereiro- Metalfisa'!$A181)</f>
        <v>0</v>
      </c>
      <c r="AC181" s="31">
        <f>SUMIFS(METALFISA!$E:$E,METALFISA!$A:$A,'Faltantes Fevereiro- Metalfisa'!AC$3,METALFISA!$B:$B,'Faltantes Fevereiro- Metalfisa'!$A181)</f>
        <v>0</v>
      </c>
      <c r="AD181" s="31">
        <f>SUMIFS(METALFISA!$E:$E,METALFISA!$A:$A,'Faltantes Fevereiro- Metalfisa'!AD$3,METALFISA!$B:$B,'Faltantes Fevereiro- Metalfisa'!$A181)</f>
        <v>0</v>
      </c>
      <c r="AE181" s="31">
        <f>SUMIFS(METALFISA!$E:$E,METALFISA!$A:$A,'Faltantes Fevereiro- Metalfisa'!AE$3,METALFISA!$B:$B,'Faltantes Fevereiro- Metalfisa'!$A181)</f>
        <v>0</v>
      </c>
      <c r="AF181" s="31">
        <f>SUMIFS(METALFISA!$E:$E,METALFISA!$A:$A,'Faltantes Fevereiro- Metalfisa'!AF$3,METALFISA!$B:$B,'Faltantes Fevereiro- Metalfisa'!$A181)</f>
        <v>0</v>
      </c>
      <c r="AG181" s="31">
        <f>SUMIFS(METALFISA!$E:$E,METALFISA!$A:$A,'Faltantes Fevereiro- Metalfisa'!AG$3,METALFISA!$B:$B,'Faltantes Fevereiro- Metalfisa'!$A181)</f>
        <v>0</v>
      </c>
      <c r="AH181" s="31">
        <f>SUMIFS(METALFISA!$E:$E,METALFISA!$A:$A,'Faltantes Fevereiro- Metalfisa'!AH$3,METALFISA!$B:$B,'Faltantes Fevereiro- Metalfisa'!$A181)</f>
        <v>0</v>
      </c>
      <c r="AI181" s="31">
        <f>SUMIFS(METALFISA!$E:$E,METALFISA!$A:$A,'Faltantes Fevereiro- Metalfisa'!AI$3,METALFISA!$B:$B,'Faltantes Fevereiro- Metalfisa'!$A181)</f>
        <v>2</v>
      </c>
      <c r="AJ181" s="31">
        <f>SUMIFS(METALFISA!$E:$E,METALFISA!$A:$A,'Faltantes Fevereiro- Metalfisa'!AJ$3,METALFISA!$B:$B,'Faltantes Fevereiro- Metalfisa'!$A181)</f>
        <v>0</v>
      </c>
      <c r="AK181" s="31">
        <f>SUMIFS(METALFISA!$E:$E,METALFISA!$A:$A,'Faltantes Fevereiro- Metalfisa'!AK$3,METALFISA!$B:$B,'Faltantes Fevereiro- Metalfisa'!$A181)</f>
        <v>6</v>
      </c>
      <c r="AL181" s="31">
        <f>SUMIFS(METALFISA!$E:$E,METALFISA!$A:$A,'Faltantes Fevereiro- Metalfisa'!AL$3,METALFISA!$B:$B,'Faltantes Fevereiro- Metalfisa'!$A181)</f>
        <v>0</v>
      </c>
      <c r="AM181" s="31">
        <f>SUMIFS(METALFISA!$E:$E,METALFISA!$A:$A,'Faltantes Fevereiro- Metalfisa'!AM$3,METALFISA!$B:$B,'Faltantes Fevereiro- Metalfisa'!$A181)</f>
        <v>0</v>
      </c>
      <c r="AN181" s="31">
        <f>SUMIFS(METALFISA!$E:$E,METALFISA!$A:$A,'Faltantes Fevereiro- Metalfisa'!AN$3,METALFISA!$B:$B,'Faltantes Fevereiro- Metalfisa'!$A181)</f>
        <v>2</v>
      </c>
      <c r="AO181" s="31">
        <f>SUMIFS(METALFISA!$E:$E,METALFISA!$A:$A,'Faltantes Fevereiro- Metalfisa'!AO$3,METALFISA!$B:$B,'Faltantes Fevereiro- Metalfisa'!$A181)</f>
        <v>0</v>
      </c>
      <c r="AP181" s="31">
        <f>SUMIFS(METALFISA!$E:$E,METALFISA!$A:$A,'Faltantes Fevereiro- Metalfisa'!AP$3,METALFISA!$B:$B,'Faltantes Fevereiro- Metalfisa'!$A181)</f>
        <v>0</v>
      </c>
      <c r="AQ181" s="31"/>
      <c r="AR181" s="31">
        <f>SUMIFS(METALFISA!$E:$E,METALFISA!$A:$A,'Faltantes Fevereiro- Metalfisa'!AR$3,METALFISA!$B:$B,'Faltantes Fevereiro- Metalfisa'!$A181)</f>
        <v>0</v>
      </c>
      <c r="AS181" s="35">
        <f>SUMIFS(METALFISA!$E:$E,METALFISA!$A:$A,'Faltantes Fevereiro- Metalfisa'!AS$3,METALFISA!$B:$B,'Faltantes Fevereiro- Metalfisa'!$A181)</f>
        <v>0</v>
      </c>
      <c r="AU181" s="18">
        <v>0</v>
      </c>
      <c r="AV181" s="18">
        <v>0</v>
      </c>
      <c r="AW181" s="18">
        <v>0</v>
      </c>
      <c r="AX181" s="18">
        <v>0</v>
      </c>
      <c r="AY181" s="41">
        <v>0</v>
      </c>
      <c r="AZ181" s="31">
        <v>0</v>
      </c>
      <c r="BA181" s="31">
        <v>0</v>
      </c>
      <c r="BB181" s="31">
        <v>0</v>
      </c>
      <c r="BC181" s="31">
        <v>0</v>
      </c>
      <c r="BD181" s="31">
        <v>0</v>
      </c>
      <c r="BE181" s="31">
        <v>0</v>
      </c>
      <c r="BF181" s="31">
        <v>0</v>
      </c>
      <c r="BG181" s="31">
        <v>0</v>
      </c>
      <c r="BH181" s="31">
        <v>0</v>
      </c>
      <c r="BI181" s="31">
        <v>0</v>
      </c>
      <c r="BJ181" s="31">
        <v>0</v>
      </c>
      <c r="BK181" s="31">
        <v>0</v>
      </c>
      <c r="BL181" s="31">
        <v>1</v>
      </c>
      <c r="BM181" s="31">
        <v>0</v>
      </c>
      <c r="BN181" s="31">
        <v>0</v>
      </c>
      <c r="BO181" s="31">
        <v>0</v>
      </c>
      <c r="BP181" s="31">
        <v>0</v>
      </c>
      <c r="BQ181" s="31">
        <v>0</v>
      </c>
      <c r="BR181" s="31">
        <v>0</v>
      </c>
      <c r="BS181" s="31">
        <v>0</v>
      </c>
      <c r="BT181" s="31">
        <v>0</v>
      </c>
      <c r="BU181" s="31">
        <v>0</v>
      </c>
      <c r="BV181" s="31">
        <v>0</v>
      </c>
      <c r="BW181" s="31">
        <v>0</v>
      </c>
      <c r="BX181" s="31">
        <v>0</v>
      </c>
      <c r="BY181" s="31">
        <v>0</v>
      </c>
      <c r="BZ181" s="31">
        <v>0</v>
      </c>
      <c r="CA181" s="31">
        <v>0</v>
      </c>
      <c r="CB181" s="31">
        <v>0</v>
      </c>
      <c r="CC181" s="31">
        <v>0</v>
      </c>
      <c r="CD181" s="31">
        <v>0</v>
      </c>
      <c r="CE181" s="31">
        <v>0</v>
      </c>
      <c r="CF181" s="31">
        <v>0</v>
      </c>
      <c r="CG181" s="31">
        <v>0</v>
      </c>
      <c r="CH181" s="31">
        <v>0</v>
      </c>
      <c r="CI181" s="31">
        <v>0</v>
      </c>
      <c r="CJ181" s="31">
        <v>0</v>
      </c>
      <c r="CK181" s="31">
        <v>0</v>
      </c>
      <c r="CL181" s="35">
        <v>0</v>
      </c>
    </row>
    <row r="182" spans="1:90" x14ac:dyDescent="0.15">
      <c r="A182" s="27" t="s">
        <v>268</v>
      </c>
      <c r="B182" s="28" t="s">
        <v>269</v>
      </c>
      <c r="C182" s="28">
        <v>0</v>
      </c>
      <c r="D182" s="28">
        <v>2</v>
      </c>
      <c r="E182" s="28">
        <v>0</v>
      </c>
      <c r="F182" s="28">
        <v>0</v>
      </c>
      <c r="G182" s="28">
        <v>7</v>
      </c>
      <c r="H182" s="28">
        <f>IFERROR(VLOOKUP(A182,[1]FALTANTES!$A:$AB,28,FALSE),"-")</f>
        <v>2</v>
      </c>
      <c r="I182" s="42">
        <f>IFERROR(VLOOKUP(A182,[1]FALTANTES!$A:$AC,29,FALSE),"-")</f>
        <v>0</v>
      </c>
      <c r="J182" s="29">
        <f>IFERROR(VLOOKUP(A182,[1]FALTANTES!$A:$AD,30,FALSE),"-")</f>
        <v>-9</v>
      </c>
      <c r="K182" s="30">
        <v>0</v>
      </c>
      <c r="L182" s="30">
        <f t="shared" si="3"/>
        <v>7</v>
      </c>
      <c r="M182" s="31">
        <f>SUMIFS(METALFISA!$E:$E,METALFISA!$A:$A,'Faltantes Fevereiro- Metalfisa'!M$3,METALFISA!$B:$B,'Faltantes Fevereiro- Metalfisa'!$A182)</f>
        <v>0</v>
      </c>
      <c r="N182" s="31">
        <f>SUMIFS(METALFISA!$E:$E,METALFISA!$A:$A,'Faltantes Fevereiro- Metalfisa'!N$3,METALFISA!$B:$B,'Faltantes Fevereiro- Metalfisa'!$A182)</f>
        <v>0</v>
      </c>
      <c r="O182" s="31">
        <f>SUMIFS(METALFISA!$E:$E,METALFISA!$A:$A,'Faltantes Fevereiro- Metalfisa'!O$3,METALFISA!$B:$B,'Faltantes Fevereiro- Metalfisa'!$A182)</f>
        <v>0</v>
      </c>
      <c r="P182" s="31">
        <f>SUMIFS(METALFISA!$E:$E,METALFISA!$A:$A,'Faltantes Fevereiro- Metalfisa'!P$3,METALFISA!$B:$B,'Faltantes Fevereiro- Metalfisa'!$A182)</f>
        <v>0</v>
      </c>
      <c r="Q182" s="31">
        <f>SUMIFS(METALFISA!$E:$E,METALFISA!$A:$A,'Faltantes Fevereiro- Metalfisa'!Q$3,METALFISA!$B:$B,'Faltantes Fevereiro- Metalfisa'!$A182)</f>
        <v>0</v>
      </c>
      <c r="R182" s="31">
        <f>SUMIFS(METALFISA!$E:$E,METALFISA!$A:$A,'Faltantes Fevereiro- Metalfisa'!R$3,METALFISA!$B:$B,'Faltantes Fevereiro- Metalfisa'!$A182)</f>
        <v>0</v>
      </c>
      <c r="S182" s="31">
        <f>SUMIFS(METALFISA!$E:$E,METALFISA!$A:$A,'Faltantes Fevereiro- Metalfisa'!S$3,METALFISA!$B:$B,'Faltantes Fevereiro- Metalfisa'!$A182)</f>
        <v>0</v>
      </c>
      <c r="T182" s="31">
        <f>SUMIFS(METALFISA!$E:$E,METALFISA!$A:$A,'Faltantes Fevereiro- Metalfisa'!T$3,METALFISA!$B:$B,'Faltantes Fevereiro- Metalfisa'!$A182)</f>
        <v>1</v>
      </c>
      <c r="U182" s="31">
        <f>SUMIFS(METALFISA!$E:$E,METALFISA!$A:$A,'Faltantes Fevereiro- Metalfisa'!U$3,METALFISA!$B:$B,'Faltantes Fevereiro- Metalfisa'!$A182)</f>
        <v>0</v>
      </c>
      <c r="V182" s="31">
        <f>SUMIFS(METALFISA!$E:$E,METALFISA!$A:$A,'Faltantes Fevereiro- Metalfisa'!V$3,METALFISA!$B:$B,'Faltantes Fevereiro- Metalfisa'!$A182)</f>
        <v>0</v>
      </c>
      <c r="W182" s="31">
        <f>SUMIFS(METALFISA!$E:$E,METALFISA!$A:$A,'Faltantes Fevereiro- Metalfisa'!W$3,METALFISA!$B:$B,'Faltantes Fevereiro- Metalfisa'!$A182)</f>
        <v>0</v>
      </c>
      <c r="X182" s="31">
        <f>SUMIFS(METALFISA!$E:$E,METALFISA!$A:$A,'Faltantes Fevereiro- Metalfisa'!X$3,METALFISA!$B:$B,'Faltantes Fevereiro- Metalfisa'!$A182)</f>
        <v>0</v>
      </c>
      <c r="Y182" s="31">
        <f>SUMIFS(METALFISA!$E:$E,METALFISA!$A:$A,'Faltantes Fevereiro- Metalfisa'!Y$3,METALFISA!$B:$B,'Faltantes Fevereiro- Metalfisa'!$A182)</f>
        <v>0</v>
      </c>
      <c r="Z182" s="31">
        <f>SUMIFS(METALFISA!$E:$E,METALFISA!$A:$A,'Faltantes Fevereiro- Metalfisa'!Z$3,METALFISA!$B:$B,'Faltantes Fevereiro- Metalfisa'!$A182)</f>
        <v>0</v>
      </c>
      <c r="AA182" s="31">
        <f>SUMIFS(METALFISA!$E:$E,METALFISA!$A:$A,'Faltantes Fevereiro- Metalfisa'!AA$3,METALFISA!$B:$B,'Faltantes Fevereiro- Metalfisa'!$A182)</f>
        <v>0</v>
      </c>
      <c r="AB182" s="31">
        <f>SUMIFS(METALFISA!$E:$E,METALFISA!$A:$A,'Faltantes Fevereiro- Metalfisa'!AB$3,METALFISA!$B:$B,'Faltantes Fevereiro- Metalfisa'!$A182)</f>
        <v>0</v>
      </c>
      <c r="AC182" s="31">
        <f>SUMIFS(METALFISA!$E:$E,METALFISA!$A:$A,'Faltantes Fevereiro- Metalfisa'!AC$3,METALFISA!$B:$B,'Faltantes Fevereiro- Metalfisa'!$A182)</f>
        <v>0</v>
      </c>
      <c r="AD182" s="31">
        <f>SUMIFS(METALFISA!$E:$E,METALFISA!$A:$A,'Faltantes Fevereiro- Metalfisa'!AD$3,METALFISA!$B:$B,'Faltantes Fevereiro- Metalfisa'!$A182)</f>
        <v>0</v>
      </c>
      <c r="AE182" s="31">
        <f>SUMIFS(METALFISA!$E:$E,METALFISA!$A:$A,'Faltantes Fevereiro- Metalfisa'!AE$3,METALFISA!$B:$B,'Faltantes Fevereiro- Metalfisa'!$A182)</f>
        <v>0</v>
      </c>
      <c r="AF182" s="31">
        <f>SUMIFS(METALFISA!$E:$E,METALFISA!$A:$A,'Faltantes Fevereiro- Metalfisa'!AF$3,METALFISA!$B:$B,'Faltantes Fevereiro- Metalfisa'!$A182)</f>
        <v>0</v>
      </c>
      <c r="AG182" s="31">
        <f>SUMIFS(METALFISA!$E:$E,METALFISA!$A:$A,'Faltantes Fevereiro- Metalfisa'!AG$3,METALFISA!$B:$B,'Faltantes Fevereiro- Metalfisa'!$A182)</f>
        <v>0</v>
      </c>
      <c r="AH182" s="31">
        <f>SUMIFS(METALFISA!$E:$E,METALFISA!$A:$A,'Faltantes Fevereiro- Metalfisa'!AH$3,METALFISA!$B:$B,'Faltantes Fevereiro- Metalfisa'!$A182)</f>
        <v>0</v>
      </c>
      <c r="AI182" s="31">
        <f>SUMIFS(METALFISA!$E:$E,METALFISA!$A:$A,'Faltantes Fevereiro- Metalfisa'!AI$3,METALFISA!$B:$B,'Faltantes Fevereiro- Metalfisa'!$A182)</f>
        <v>0</v>
      </c>
      <c r="AJ182" s="31">
        <f>SUMIFS(METALFISA!$E:$E,METALFISA!$A:$A,'Faltantes Fevereiro- Metalfisa'!AJ$3,METALFISA!$B:$B,'Faltantes Fevereiro- Metalfisa'!$A182)</f>
        <v>0</v>
      </c>
      <c r="AK182" s="31">
        <f>SUMIFS(METALFISA!$E:$E,METALFISA!$A:$A,'Faltantes Fevereiro- Metalfisa'!AK$3,METALFISA!$B:$B,'Faltantes Fevereiro- Metalfisa'!$A182)</f>
        <v>6</v>
      </c>
      <c r="AL182" s="31">
        <f>SUMIFS(METALFISA!$E:$E,METALFISA!$A:$A,'Faltantes Fevereiro- Metalfisa'!AL$3,METALFISA!$B:$B,'Faltantes Fevereiro- Metalfisa'!$A182)</f>
        <v>0</v>
      </c>
      <c r="AM182" s="31">
        <f>SUMIFS(METALFISA!$E:$E,METALFISA!$A:$A,'Faltantes Fevereiro- Metalfisa'!AM$3,METALFISA!$B:$B,'Faltantes Fevereiro- Metalfisa'!$A182)</f>
        <v>0</v>
      </c>
      <c r="AN182" s="31">
        <f>SUMIFS(METALFISA!$E:$E,METALFISA!$A:$A,'Faltantes Fevereiro- Metalfisa'!AN$3,METALFISA!$B:$B,'Faltantes Fevereiro- Metalfisa'!$A182)</f>
        <v>0</v>
      </c>
      <c r="AO182" s="31">
        <f>SUMIFS(METALFISA!$E:$E,METALFISA!$A:$A,'Faltantes Fevereiro- Metalfisa'!AO$3,METALFISA!$B:$B,'Faltantes Fevereiro- Metalfisa'!$A182)</f>
        <v>0</v>
      </c>
      <c r="AP182" s="31">
        <f>SUMIFS(METALFISA!$E:$E,METALFISA!$A:$A,'Faltantes Fevereiro- Metalfisa'!AP$3,METALFISA!$B:$B,'Faltantes Fevereiro- Metalfisa'!$A182)</f>
        <v>0</v>
      </c>
      <c r="AQ182" s="31"/>
      <c r="AR182" s="31">
        <f>SUMIFS(METALFISA!$E:$E,METALFISA!$A:$A,'Faltantes Fevereiro- Metalfisa'!AR$3,METALFISA!$B:$B,'Faltantes Fevereiro- Metalfisa'!$A182)</f>
        <v>0</v>
      </c>
      <c r="AS182" s="35">
        <f>SUMIFS(METALFISA!$E:$E,METALFISA!$A:$A,'Faltantes Fevereiro- Metalfisa'!AS$3,METALFISA!$B:$B,'Faltantes Fevereiro- Metalfisa'!$A182)</f>
        <v>0</v>
      </c>
      <c r="AU182" s="18">
        <v>0</v>
      </c>
      <c r="AV182" s="18">
        <v>0</v>
      </c>
      <c r="AW182" s="18">
        <v>0</v>
      </c>
      <c r="AX182" s="18">
        <v>0</v>
      </c>
      <c r="AY182" s="41">
        <v>0</v>
      </c>
      <c r="AZ182" s="31">
        <v>0</v>
      </c>
      <c r="BA182" s="31">
        <v>0</v>
      </c>
      <c r="BB182" s="31">
        <v>0</v>
      </c>
      <c r="BC182" s="31">
        <v>0</v>
      </c>
      <c r="BD182" s="31">
        <v>0</v>
      </c>
      <c r="BE182" s="31">
        <v>0</v>
      </c>
      <c r="BF182" s="31">
        <v>0</v>
      </c>
      <c r="BG182" s="31">
        <v>0</v>
      </c>
      <c r="BH182" s="31">
        <v>0</v>
      </c>
      <c r="BI182" s="31">
        <v>0</v>
      </c>
      <c r="BJ182" s="31">
        <v>0</v>
      </c>
      <c r="BK182" s="31">
        <v>0</v>
      </c>
      <c r="BL182" s="31">
        <v>1</v>
      </c>
      <c r="BM182" s="31">
        <v>0</v>
      </c>
      <c r="BN182" s="31">
        <v>0</v>
      </c>
      <c r="BO182" s="31">
        <v>0</v>
      </c>
      <c r="BP182" s="31">
        <v>0</v>
      </c>
      <c r="BQ182" s="31">
        <v>0</v>
      </c>
      <c r="BR182" s="31">
        <v>0</v>
      </c>
      <c r="BS182" s="31">
        <v>0</v>
      </c>
      <c r="BT182" s="31">
        <v>0</v>
      </c>
      <c r="BU182" s="31">
        <v>0</v>
      </c>
      <c r="BV182" s="31">
        <v>0</v>
      </c>
      <c r="BW182" s="31">
        <v>0</v>
      </c>
      <c r="BX182" s="31">
        <v>0</v>
      </c>
      <c r="BY182" s="31">
        <v>0</v>
      </c>
      <c r="BZ182" s="31">
        <v>0</v>
      </c>
      <c r="CA182" s="31">
        <v>0</v>
      </c>
      <c r="CB182" s="31">
        <v>0</v>
      </c>
      <c r="CC182" s="31">
        <v>0</v>
      </c>
      <c r="CD182" s="31">
        <v>0</v>
      </c>
      <c r="CE182" s="31">
        <v>0</v>
      </c>
      <c r="CF182" s="31">
        <v>0</v>
      </c>
      <c r="CG182" s="31">
        <v>0</v>
      </c>
      <c r="CH182" s="31">
        <v>0</v>
      </c>
      <c r="CI182" s="31">
        <v>0</v>
      </c>
      <c r="CJ182" s="31">
        <v>0</v>
      </c>
      <c r="CK182" s="31">
        <v>0</v>
      </c>
      <c r="CL182" s="35">
        <v>0</v>
      </c>
    </row>
    <row r="183" spans="1:90" ht="21" x14ac:dyDescent="0.15">
      <c r="A183" s="27" t="s">
        <v>272</v>
      </c>
      <c r="B183" s="28" t="s">
        <v>273</v>
      </c>
      <c r="C183" s="28">
        <v>0</v>
      </c>
      <c r="D183" s="28">
        <v>0</v>
      </c>
      <c r="E183" s="28">
        <v>0</v>
      </c>
      <c r="F183" s="28">
        <v>0</v>
      </c>
      <c r="G183" s="28">
        <v>6</v>
      </c>
      <c r="H183" s="28">
        <f>IFERROR(VLOOKUP(A183,[1]FALTANTES!$A:$AB,28,FALSE),"-")</f>
        <v>0</v>
      </c>
      <c r="I183" s="42">
        <f>IFERROR(VLOOKUP(A183,[1]FALTANTES!$A:$AC,29,FALSE),"-")</f>
        <v>0</v>
      </c>
      <c r="J183" s="29">
        <f>IFERROR(VLOOKUP(A183,[1]FALTANTES!$A:$AD,30,FALSE),"-")</f>
        <v>-6</v>
      </c>
      <c r="K183" s="30">
        <v>0</v>
      </c>
      <c r="L183" s="30">
        <f t="shared" si="3"/>
        <v>22</v>
      </c>
      <c r="M183" s="31">
        <f>SUMIFS(METALFISA!$E:$E,METALFISA!$A:$A,'Faltantes Fevereiro- Metalfisa'!M$3,METALFISA!$B:$B,'Faltantes Fevereiro- Metalfisa'!$A183)</f>
        <v>0</v>
      </c>
      <c r="N183" s="31">
        <f>SUMIFS(METALFISA!$E:$E,METALFISA!$A:$A,'Faltantes Fevereiro- Metalfisa'!N$3,METALFISA!$B:$B,'Faltantes Fevereiro- Metalfisa'!$A183)</f>
        <v>0</v>
      </c>
      <c r="O183" s="31">
        <f>SUMIFS(METALFISA!$E:$E,METALFISA!$A:$A,'Faltantes Fevereiro- Metalfisa'!O$3,METALFISA!$B:$B,'Faltantes Fevereiro- Metalfisa'!$A183)</f>
        <v>0</v>
      </c>
      <c r="P183" s="31">
        <f>SUMIFS(METALFISA!$E:$E,METALFISA!$A:$A,'Faltantes Fevereiro- Metalfisa'!P$3,METALFISA!$B:$B,'Faltantes Fevereiro- Metalfisa'!$A183)</f>
        <v>0</v>
      </c>
      <c r="Q183" s="31">
        <f>SUMIFS(METALFISA!$E:$E,METALFISA!$A:$A,'Faltantes Fevereiro- Metalfisa'!Q$3,METALFISA!$B:$B,'Faltantes Fevereiro- Metalfisa'!$A183)</f>
        <v>0</v>
      </c>
      <c r="R183" s="31">
        <f>SUMIFS(METALFISA!$E:$E,METALFISA!$A:$A,'Faltantes Fevereiro- Metalfisa'!R$3,METALFISA!$B:$B,'Faltantes Fevereiro- Metalfisa'!$A183)</f>
        <v>0</v>
      </c>
      <c r="S183" s="31">
        <f>SUMIFS(METALFISA!$E:$E,METALFISA!$A:$A,'Faltantes Fevereiro- Metalfisa'!S$3,METALFISA!$B:$B,'Faltantes Fevereiro- Metalfisa'!$A183)</f>
        <v>0</v>
      </c>
      <c r="T183" s="31">
        <f>SUMIFS(METALFISA!$E:$E,METALFISA!$A:$A,'Faltantes Fevereiro- Metalfisa'!T$3,METALFISA!$B:$B,'Faltantes Fevereiro- Metalfisa'!$A183)</f>
        <v>0</v>
      </c>
      <c r="U183" s="31">
        <f>SUMIFS(METALFISA!$E:$E,METALFISA!$A:$A,'Faltantes Fevereiro- Metalfisa'!U$3,METALFISA!$B:$B,'Faltantes Fevereiro- Metalfisa'!$A183)</f>
        <v>0</v>
      </c>
      <c r="V183" s="31">
        <f>SUMIFS(METALFISA!$E:$E,METALFISA!$A:$A,'Faltantes Fevereiro- Metalfisa'!V$3,METALFISA!$B:$B,'Faltantes Fevereiro- Metalfisa'!$A183)</f>
        <v>0</v>
      </c>
      <c r="W183" s="31">
        <f>SUMIFS(METALFISA!$E:$E,METALFISA!$A:$A,'Faltantes Fevereiro- Metalfisa'!W$3,METALFISA!$B:$B,'Faltantes Fevereiro- Metalfisa'!$A183)</f>
        <v>0</v>
      </c>
      <c r="X183" s="31">
        <f>SUMIFS(METALFISA!$E:$E,METALFISA!$A:$A,'Faltantes Fevereiro- Metalfisa'!X$3,METALFISA!$B:$B,'Faltantes Fevereiro- Metalfisa'!$A183)</f>
        <v>0</v>
      </c>
      <c r="Y183" s="31">
        <f>SUMIFS(METALFISA!$E:$E,METALFISA!$A:$A,'Faltantes Fevereiro- Metalfisa'!Y$3,METALFISA!$B:$B,'Faltantes Fevereiro- Metalfisa'!$A183)</f>
        <v>0</v>
      </c>
      <c r="Z183" s="31">
        <f>SUMIFS(METALFISA!$E:$E,METALFISA!$A:$A,'Faltantes Fevereiro- Metalfisa'!Z$3,METALFISA!$B:$B,'Faltantes Fevereiro- Metalfisa'!$A183)</f>
        <v>0</v>
      </c>
      <c r="AA183" s="31">
        <f>SUMIFS(METALFISA!$E:$E,METALFISA!$A:$A,'Faltantes Fevereiro- Metalfisa'!AA$3,METALFISA!$B:$B,'Faltantes Fevereiro- Metalfisa'!$A183)</f>
        <v>0</v>
      </c>
      <c r="AB183" s="31">
        <f>SUMIFS(METALFISA!$E:$E,METALFISA!$A:$A,'Faltantes Fevereiro- Metalfisa'!AB$3,METALFISA!$B:$B,'Faltantes Fevereiro- Metalfisa'!$A183)</f>
        <v>0</v>
      </c>
      <c r="AC183" s="31">
        <f>SUMIFS(METALFISA!$E:$E,METALFISA!$A:$A,'Faltantes Fevereiro- Metalfisa'!AC$3,METALFISA!$B:$B,'Faltantes Fevereiro- Metalfisa'!$A183)</f>
        <v>0</v>
      </c>
      <c r="AD183" s="31">
        <f>SUMIFS(METALFISA!$E:$E,METALFISA!$A:$A,'Faltantes Fevereiro- Metalfisa'!AD$3,METALFISA!$B:$B,'Faltantes Fevereiro- Metalfisa'!$A183)</f>
        <v>0</v>
      </c>
      <c r="AE183" s="31">
        <f>SUMIFS(METALFISA!$E:$E,METALFISA!$A:$A,'Faltantes Fevereiro- Metalfisa'!AE$3,METALFISA!$B:$B,'Faltantes Fevereiro- Metalfisa'!$A183)</f>
        <v>0</v>
      </c>
      <c r="AF183" s="31">
        <f>SUMIFS(METALFISA!$E:$E,METALFISA!$A:$A,'Faltantes Fevereiro- Metalfisa'!AF$3,METALFISA!$B:$B,'Faltantes Fevereiro- Metalfisa'!$A183)</f>
        <v>0</v>
      </c>
      <c r="AG183" s="31">
        <f>SUMIFS(METALFISA!$E:$E,METALFISA!$A:$A,'Faltantes Fevereiro- Metalfisa'!AG$3,METALFISA!$B:$B,'Faltantes Fevereiro- Metalfisa'!$A183)</f>
        <v>0</v>
      </c>
      <c r="AH183" s="31">
        <f>SUMIFS(METALFISA!$E:$E,METALFISA!$A:$A,'Faltantes Fevereiro- Metalfisa'!AH$3,METALFISA!$B:$B,'Faltantes Fevereiro- Metalfisa'!$A183)</f>
        <v>0</v>
      </c>
      <c r="AI183" s="31">
        <f>SUMIFS(METALFISA!$E:$E,METALFISA!$A:$A,'Faltantes Fevereiro- Metalfisa'!AI$3,METALFISA!$B:$B,'Faltantes Fevereiro- Metalfisa'!$A183)</f>
        <v>0</v>
      </c>
      <c r="AJ183" s="31">
        <f>SUMIFS(METALFISA!$E:$E,METALFISA!$A:$A,'Faltantes Fevereiro- Metalfisa'!AJ$3,METALFISA!$B:$B,'Faltantes Fevereiro- Metalfisa'!$A183)</f>
        <v>0</v>
      </c>
      <c r="AK183" s="31">
        <f>SUMIFS(METALFISA!$E:$E,METALFISA!$A:$A,'Faltantes Fevereiro- Metalfisa'!AK$3,METALFISA!$B:$B,'Faltantes Fevereiro- Metalfisa'!$A183)</f>
        <v>12</v>
      </c>
      <c r="AL183" s="31">
        <f>SUMIFS(METALFISA!$E:$E,METALFISA!$A:$A,'Faltantes Fevereiro- Metalfisa'!AL$3,METALFISA!$B:$B,'Faltantes Fevereiro- Metalfisa'!$A183)</f>
        <v>0</v>
      </c>
      <c r="AM183" s="31">
        <f>SUMIFS(METALFISA!$E:$E,METALFISA!$A:$A,'Faltantes Fevereiro- Metalfisa'!AM$3,METALFISA!$B:$B,'Faltantes Fevereiro- Metalfisa'!$A183)</f>
        <v>10</v>
      </c>
      <c r="AN183" s="31">
        <f>SUMIFS(METALFISA!$E:$E,METALFISA!$A:$A,'Faltantes Fevereiro- Metalfisa'!AN$3,METALFISA!$B:$B,'Faltantes Fevereiro- Metalfisa'!$A183)</f>
        <v>0</v>
      </c>
      <c r="AO183" s="31">
        <f>SUMIFS(METALFISA!$E:$E,METALFISA!$A:$A,'Faltantes Fevereiro- Metalfisa'!AO$3,METALFISA!$B:$B,'Faltantes Fevereiro- Metalfisa'!$A183)</f>
        <v>0</v>
      </c>
      <c r="AP183" s="31">
        <f>SUMIFS(METALFISA!$E:$E,METALFISA!$A:$A,'Faltantes Fevereiro- Metalfisa'!AP$3,METALFISA!$B:$B,'Faltantes Fevereiro- Metalfisa'!$A183)</f>
        <v>0</v>
      </c>
      <c r="AQ183" s="31"/>
      <c r="AR183" s="31">
        <f>SUMIFS(METALFISA!$E:$E,METALFISA!$A:$A,'Faltantes Fevereiro- Metalfisa'!AR$3,METALFISA!$B:$B,'Faltantes Fevereiro- Metalfisa'!$A183)</f>
        <v>0</v>
      </c>
      <c r="AS183" s="35">
        <f>SUMIFS(METALFISA!$E:$E,METALFISA!$A:$A,'Faltantes Fevereiro- Metalfisa'!AS$3,METALFISA!$B:$B,'Faltantes Fevereiro- Metalfisa'!$A183)</f>
        <v>0</v>
      </c>
      <c r="AU183" s="18">
        <v>0</v>
      </c>
      <c r="AV183" s="18">
        <v>0</v>
      </c>
      <c r="AW183" s="18">
        <v>0</v>
      </c>
      <c r="AX183" s="18">
        <v>0</v>
      </c>
      <c r="AY183" s="41">
        <v>0</v>
      </c>
      <c r="AZ183" s="31">
        <v>0</v>
      </c>
      <c r="BA183" s="31">
        <v>0</v>
      </c>
      <c r="BB183" s="31">
        <v>0</v>
      </c>
      <c r="BC183" s="31">
        <v>0</v>
      </c>
      <c r="BD183" s="31">
        <v>0</v>
      </c>
      <c r="BE183" s="31">
        <v>0</v>
      </c>
      <c r="BF183" s="31">
        <v>0</v>
      </c>
      <c r="BG183" s="31">
        <v>0</v>
      </c>
      <c r="BH183" s="31">
        <v>0</v>
      </c>
      <c r="BI183" s="31">
        <v>0</v>
      </c>
      <c r="BJ183" s="31">
        <v>0</v>
      </c>
      <c r="BK183" s="31">
        <v>0</v>
      </c>
      <c r="BL183" s="31">
        <v>2</v>
      </c>
      <c r="BM183" s="31">
        <v>0</v>
      </c>
      <c r="BN183" s="31">
        <v>0</v>
      </c>
      <c r="BO183" s="31">
        <v>0</v>
      </c>
      <c r="BP183" s="31">
        <v>0</v>
      </c>
      <c r="BQ183" s="31">
        <v>0</v>
      </c>
      <c r="BR183" s="31">
        <v>0</v>
      </c>
      <c r="BS183" s="31">
        <v>0</v>
      </c>
      <c r="BT183" s="31">
        <v>0</v>
      </c>
      <c r="BU183" s="31">
        <v>0</v>
      </c>
      <c r="BV183" s="31">
        <v>0</v>
      </c>
      <c r="BW183" s="31">
        <v>0</v>
      </c>
      <c r="BX183" s="31">
        <v>0</v>
      </c>
      <c r="BY183" s="31">
        <v>0</v>
      </c>
      <c r="BZ183" s="31">
        <v>0</v>
      </c>
      <c r="CA183" s="31">
        <v>0</v>
      </c>
      <c r="CB183" s="31">
        <v>0</v>
      </c>
      <c r="CC183" s="31">
        <v>0</v>
      </c>
      <c r="CD183" s="31">
        <v>0</v>
      </c>
      <c r="CE183" s="31">
        <v>0</v>
      </c>
      <c r="CF183" s="31">
        <v>0</v>
      </c>
      <c r="CG183" s="31">
        <v>0</v>
      </c>
      <c r="CH183" s="31">
        <v>0</v>
      </c>
      <c r="CI183" s="31">
        <v>0</v>
      </c>
      <c r="CJ183" s="31">
        <v>0</v>
      </c>
      <c r="CK183" s="31">
        <v>0</v>
      </c>
      <c r="CL183" s="35">
        <v>0</v>
      </c>
    </row>
    <row r="184" spans="1:90" ht="21" x14ac:dyDescent="0.15">
      <c r="A184" s="27" t="s">
        <v>274</v>
      </c>
      <c r="B184" s="28" t="s">
        <v>5603</v>
      </c>
      <c r="C184" s="28">
        <v>0</v>
      </c>
      <c r="D184" s="28">
        <v>7</v>
      </c>
      <c r="E184" s="28">
        <v>0</v>
      </c>
      <c r="F184" s="28">
        <v>0</v>
      </c>
      <c r="G184" s="28">
        <v>8</v>
      </c>
      <c r="H184" s="28">
        <f>IFERROR(VLOOKUP(A184,[1]FALTANTES!$A:$AB,28,FALSE),"-")</f>
        <v>7</v>
      </c>
      <c r="I184" s="42">
        <f>IFERROR(VLOOKUP(A184,[1]FALTANTES!$A:$AC,29,FALSE),"-")</f>
        <v>0</v>
      </c>
      <c r="J184" s="29">
        <f>IFERROR(VLOOKUP(A184,[1]FALTANTES!$A:$AD,30,FALSE),"-")</f>
        <v>-15</v>
      </c>
      <c r="K184" s="30">
        <v>0</v>
      </c>
      <c r="L184" s="30">
        <f t="shared" si="3"/>
        <v>31</v>
      </c>
      <c r="M184" s="31">
        <f>SUMIFS(METALFISA!$E:$E,METALFISA!$A:$A,'Faltantes Fevereiro- Metalfisa'!M$3,METALFISA!$B:$B,'Faltantes Fevereiro- Metalfisa'!$A184)</f>
        <v>0</v>
      </c>
      <c r="N184" s="31">
        <f>SUMIFS(METALFISA!$E:$E,METALFISA!$A:$A,'Faltantes Fevereiro- Metalfisa'!N$3,METALFISA!$B:$B,'Faltantes Fevereiro- Metalfisa'!$A184)</f>
        <v>0</v>
      </c>
      <c r="O184" s="31">
        <f>SUMIFS(METALFISA!$E:$E,METALFISA!$A:$A,'Faltantes Fevereiro- Metalfisa'!O$3,METALFISA!$B:$B,'Faltantes Fevereiro- Metalfisa'!$A184)</f>
        <v>0</v>
      </c>
      <c r="P184" s="31">
        <f>SUMIFS(METALFISA!$E:$E,METALFISA!$A:$A,'Faltantes Fevereiro- Metalfisa'!P$3,METALFISA!$B:$B,'Faltantes Fevereiro- Metalfisa'!$A184)</f>
        <v>0</v>
      </c>
      <c r="Q184" s="31">
        <f>SUMIFS(METALFISA!$E:$E,METALFISA!$A:$A,'Faltantes Fevereiro- Metalfisa'!Q$3,METALFISA!$B:$B,'Faltantes Fevereiro- Metalfisa'!$A184)</f>
        <v>0</v>
      </c>
      <c r="R184" s="31">
        <f>SUMIFS(METALFISA!$E:$E,METALFISA!$A:$A,'Faltantes Fevereiro- Metalfisa'!R$3,METALFISA!$B:$B,'Faltantes Fevereiro- Metalfisa'!$A184)</f>
        <v>0</v>
      </c>
      <c r="S184" s="31">
        <f>SUMIFS(METALFISA!$E:$E,METALFISA!$A:$A,'Faltantes Fevereiro- Metalfisa'!S$3,METALFISA!$B:$B,'Faltantes Fevereiro- Metalfisa'!$A184)</f>
        <v>0</v>
      </c>
      <c r="T184" s="31">
        <f>SUMIFS(METALFISA!$E:$E,METALFISA!$A:$A,'Faltantes Fevereiro- Metalfisa'!T$3,METALFISA!$B:$B,'Faltantes Fevereiro- Metalfisa'!$A184)</f>
        <v>0</v>
      </c>
      <c r="U184" s="31">
        <f>SUMIFS(METALFISA!$E:$E,METALFISA!$A:$A,'Faltantes Fevereiro- Metalfisa'!U$3,METALFISA!$B:$B,'Faltantes Fevereiro- Metalfisa'!$A184)</f>
        <v>0</v>
      </c>
      <c r="V184" s="31">
        <f>SUMIFS(METALFISA!$E:$E,METALFISA!$A:$A,'Faltantes Fevereiro- Metalfisa'!V$3,METALFISA!$B:$B,'Faltantes Fevereiro- Metalfisa'!$A184)</f>
        <v>0</v>
      </c>
      <c r="W184" s="31">
        <f>SUMIFS(METALFISA!$E:$E,METALFISA!$A:$A,'Faltantes Fevereiro- Metalfisa'!W$3,METALFISA!$B:$B,'Faltantes Fevereiro- Metalfisa'!$A184)</f>
        <v>0</v>
      </c>
      <c r="X184" s="31">
        <f>SUMIFS(METALFISA!$E:$E,METALFISA!$A:$A,'Faltantes Fevereiro- Metalfisa'!X$3,METALFISA!$B:$B,'Faltantes Fevereiro- Metalfisa'!$A184)</f>
        <v>0</v>
      </c>
      <c r="Y184" s="31">
        <f>SUMIFS(METALFISA!$E:$E,METALFISA!$A:$A,'Faltantes Fevereiro- Metalfisa'!Y$3,METALFISA!$B:$B,'Faltantes Fevereiro- Metalfisa'!$A184)</f>
        <v>0</v>
      </c>
      <c r="Z184" s="31">
        <f>SUMIFS(METALFISA!$E:$E,METALFISA!$A:$A,'Faltantes Fevereiro- Metalfisa'!Z$3,METALFISA!$B:$B,'Faltantes Fevereiro- Metalfisa'!$A184)</f>
        <v>0</v>
      </c>
      <c r="AA184" s="31">
        <f>SUMIFS(METALFISA!$E:$E,METALFISA!$A:$A,'Faltantes Fevereiro- Metalfisa'!AA$3,METALFISA!$B:$B,'Faltantes Fevereiro- Metalfisa'!$A184)</f>
        <v>0</v>
      </c>
      <c r="AB184" s="31">
        <f>SUMIFS(METALFISA!$E:$E,METALFISA!$A:$A,'Faltantes Fevereiro- Metalfisa'!AB$3,METALFISA!$B:$B,'Faltantes Fevereiro- Metalfisa'!$A184)</f>
        <v>0</v>
      </c>
      <c r="AC184" s="31">
        <f>SUMIFS(METALFISA!$E:$E,METALFISA!$A:$A,'Faltantes Fevereiro- Metalfisa'!AC$3,METALFISA!$B:$B,'Faltantes Fevereiro- Metalfisa'!$A184)</f>
        <v>0</v>
      </c>
      <c r="AD184" s="31">
        <f>SUMIFS(METALFISA!$E:$E,METALFISA!$A:$A,'Faltantes Fevereiro- Metalfisa'!AD$3,METALFISA!$B:$B,'Faltantes Fevereiro- Metalfisa'!$A184)</f>
        <v>0</v>
      </c>
      <c r="AE184" s="31">
        <f>SUMIFS(METALFISA!$E:$E,METALFISA!$A:$A,'Faltantes Fevereiro- Metalfisa'!AE$3,METALFISA!$B:$B,'Faltantes Fevereiro- Metalfisa'!$A184)</f>
        <v>0</v>
      </c>
      <c r="AF184" s="31">
        <f>SUMIFS(METALFISA!$E:$E,METALFISA!$A:$A,'Faltantes Fevereiro- Metalfisa'!AF$3,METALFISA!$B:$B,'Faltantes Fevereiro- Metalfisa'!$A184)</f>
        <v>0</v>
      </c>
      <c r="AG184" s="31">
        <f>SUMIFS(METALFISA!$E:$E,METALFISA!$A:$A,'Faltantes Fevereiro- Metalfisa'!AG$3,METALFISA!$B:$B,'Faltantes Fevereiro- Metalfisa'!$A184)</f>
        <v>0</v>
      </c>
      <c r="AH184" s="31">
        <f>SUMIFS(METALFISA!$E:$E,METALFISA!$A:$A,'Faltantes Fevereiro- Metalfisa'!AH$3,METALFISA!$B:$B,'Faltantes Fevereiro- Metalfisa'!$A184)</f>
        <v>0</v>
      </c>
      <c r="AI184" s="31">
        <f>SUMIFS(METALFISA!$E:$E,METALFISA!$A:$A,'Faltantes Fevereiro- Metalfisa'!AI$3,METALFISA!$B:$B,'Faltantes Fevereiro- Metalfisa'!$A184)</f>
        <v>0</v>
      </c>
      <c r="AJ184" s="31">
        <f>SUMIFS(METALFISA!$E:$E,METALFISA!$A:$A,'Faltantes Fevereiro- Metalfisa'!AJ$3,METALFISA!$B:$B,'Faltantes Fevereiro- Metalfisa'!$A184)</f>
        <v>0</v>
      </c>
      <c r="AK184" s="31">
        <f>SUMIFS(METALFISA!$E:$E,METALFISA!$A:$A,'Faltantes Fevereiro- Metalfisa'!AK$3,METALFISA!$B:$B,'Faltantes Fevereiro- Metalfisa'!$A184)</f>
        <v>12</v>
      </c>
      <c r="AL184" s="31">
        <f>SUMIFS(METALFISA!$E:$E,METALFISA!$A:$A,'Faltantes Fevereiro- Metalfisa'!AL$3,METALFISA!$B:$B,'Faltantes Fevereiro- Metalfisa'!$A184)</f>
        <v>0</v>
      </c>
      <c r="AM184" s="31">
        <f>SUMIFS(METALFISA!$E:$E,METALFISA!$A:$A,'Faltantes Fevereiro- Metalfisa'!AM$3,METALFISA!$B:$B,'Faltantes Fevereiro- Metalfisa'!$A184)</f>
        <v>19</v>
      </c>
      <c r="AN184" s="31">
        <f>SUMIFS(METALFISA!$E:$E,METALFISA!$A:$A,'Faltantes Fevereiro- Metalfisa'!AN$3,METALFISA!$B:$B,'Faltantes Fevereiro- Metalfisa'!$A184)</f>
        <v>0</v>
      </c>
      <c r="AO184" s="31">
        <f>SUMIFS(METALFISA!$E:$E,METALFISA!$A:$A,'Faltantes Fevereiro- Metalfisa'!AO$3,METALFISA!$B:$B,'Faltantes Fevereiro- Metalfisa'!$A184)</f>
        <v>0</v>
      </c>
      <c r="AP184" s="31">
        <f>SUMIFS(METALFISA!$E:$E,METALFISA!$A:$A,'Faltantes Fevereiro- Metalfisa'!AP$3,METALFISA!$B:$B,'Faltantes Fevereiro- Metalfisa'!$A184)</f>
        <v>0</v>
      </c>
      <c r="AQ184" s="31"/>
      <c r="AR184" s="31">
        <f>SUMIFS(METALFISA!$E:$E,METALFISA!$A:$A,'Faltantes Fevereiro- Metalfisa'!AR$3,METALFISA!$B:$B,'Faltantes Fevereiro- Metalfisa'!$A184)</f>
        <v>0</v>
      </c>
      <c r="AS184" s="35">
        <f>SUMIFS(METALFISA!$E:$E,METALFISA!$A:$A,'Faltantes Fevereiro- Metalfisa'!AS$3,METALFISA!$B:$B,'Faltantes Fevereiro- Metalfisa'!$A184)</f>
        <v>0</v>
      </c>
      <c r="AU184" s="18">
        <v>0</v>
      </c>
      <c r="AV184" s="18">
        <v>0</v>
      </c>
      <c r="AW184" s="18">
        <v>0</v>
      </c>
      <c r="AX184" s="18">
        <v>0</v>
      </c>
      <c r="AY184" s="41">
        <v>0</v>
      </c>
      <c r="AZ184" s="31">
        <v>0</v>
      </c>
      <c r="BA184" s="31">
        <v>0</v>
      </c>
      <c r="BB184" s="31">
        <v>0</v>
      </c>
      <c r="BC184" s="31">
        <v>0</v>
      </c>
      <c r="BD184" s="31">
        <v>0</v>
      </c>
      <c r="BE184" s="31">
        <v>0</v>
      </c>
      <c r="BF184" s="31">
        <v>0</v>
      </c>
      <c r="BG184" s="31">
        <v>0</v>
      </c>
      <c r="BH184" s="31">
        <v>0</v>
      </c>
      <c r="BI184" s="31">
        <v>0</v>
      </c>
      <c r="BJ184" s="31">
        <v>0</v>
      </c>
      <c r="BK184" s="31">
        <v>0</v>
      </c>
      <c r="BL184" s="31">
        <v>2</v>
      </c>
      <c r="BM184" s="31">
        <v>0</v>
      </c>
      <c r="BN184" s="31">
        <v>0</v>
      </c>
      <c r="BO184" s="31">
        <v>0</v>
      </c>
      <c r="BP184" s="31">
        <v>0</v>
      </c>
      <c r="BQ184" s="31">
        <v>0</v>
      </c>
      <c r="BR184" s="31">
        <v>0</v>
      </c>
      <c r="BS184" s="31">
        <v>0</v>
      </c>
      <c r="BT184" s="31">
        <v>0</v>
      </c>
      <c r="BU184" s="31">
        <v>0</v>
      </c>
      <c r="BV184" s="31">
        <v>0</v>
      </c>
      <c r="BW184" s="31">
        <v>0</v>
      </c>
      <c r="BX184" s="31">
        <v>0</v>
      </c>
      <c r="BY184" s="31">
        <v>0</v>
      </c>
      <c r="BZ184" s="31">
        <v>0</v>
      </c>
      <c r="CA184" s="31">
        <v>0</v>
      </c>
      <c r="CB184" s="31">
        <v>0</v>
      </c>
      <c r="CC184" s="31">
        <v>0</v>
      </c>
      <c r="CD184" s="31">
        <v>0</v>
      </c>
      <c r="CE184" s="31">
        <v>0</v>
      </c>
      <c r="CF184" s="31">
        <v>0</v>
      </c>
      <c r="CG184" s="31">
        <v>0</v>
      </c>
      <c r="CH184" s="31">
        <v>0</v>
      </c>
      <c r="CI184" s="31">
        <v>0</v>
      </c>
      <c r="CJ184" s="31">
        <v>0</v>
      </c>
      <c r="CK184" s="31">
        <v>0</v>
      </c>
      <c r="CL184" s="35">
        <v>0</v>
      </c>
    </row>
    <row r="185" spans="1:90" ht="21" x14ac:dyDescent="0.15">
      <c r="A185" s="27" t="s">
        <v>275</v>
      </c>
      <c r="B185" s="28" t="s">
        <v>276</v>
      </c>
      <c r="C185" s="28">
        <v>0</v>
      </c>
      <c r="D185" s="28">
        <v>0</v>
      </c>
      <c r="E185" s="28">
        <v>0</v>
      </c>
      <c r="F185" s="28">
        <v>0</v>
      </c>
      <c r="G185" s="28">
        <v>4</v>
      </c>
      <c r="H185" s="28">
        <f>IFERROR(VLOOKUP(A185,[1]FALTANTES!$A:$AB,28,FALSE),"-")</f>
        <v>0</v>
      </c>
      <c r="I185" s="42">
        <f>IFERROR(VLOOKUP(A185,[1]FALTANTES!$A:$AC,29,FALSE),"-")</f>
        <v>0</v>
      </c>
      <c r="J185" s="29">
        <f>IFERROR(VLOOKUP(A185,[1]FALTANTES!$A:$AD,30,FALSE),"-")</f>
        <v>-4</v>
      </c>
      <c r="K185" s="30">
        <v>0</v>
      </c>
      <c r="L185" s="30">
        <f t="shared" si="3"/>
        <v>8</v>
      </c>
      <c r="M185" s="31">
        <f>SUMIFS(METALFISA!$E:$E,METALFISA!$A:$A,'Faltantes Fevereiro- Metalfisa'!M$3,METALFISA!$B:$B,'Faltantes Fevereiro- Metalfisa'!$A185)</f>
        <v>0</v>
      </c>
      <c r="N185" s="31">
        <f>SUMIFS(METALFISA!$E:$E,METALFISA!$A:$A,'Faltantes Fevereiro- Metalfisa'!N$3,METALFISA!$B:$B,'Faltantes Fevereiro- Metalfisa'!$A185)</f>
        <v>0</v>
      </c>
      <c r="O185" s="31">
        <f>SUMIFS(METALFISA!$E:$E,METALFISA!$A:$A,'Faltantes Fevereiro- Metalfisa'!O$3,METALFISA!$B:$B,'Faltantes Fevereiro- Metalfisa'!$A185)</f>
        <v>0</v>
      </c>
      <c r="P185" s="31">
        <f>SUMIFS(METALFISA!$E:$E,METALFISA!$A:$A,'Faltantes Fevereiro- Metalfisa'!P$3,METALFISA!$B:$B,'Faltantes Fevereiro- Metalfisa'!$A185)</f>
        <v>0</v>
      </c>
      <c r="Q185" s="31">
        <f>SUMIFS(METALFISA!$E:$E,METALFISA!$A:$A,'Faltantes Fevereiro- Metalfisa'!Q$3,METALFISA!$B:$B,'Faltantes Fevereiro- Metalfisa'!$A185)</f>
        <v>0</v>
      </c>
      <c r="R185" s="31">
        <f>SUMIFS(METALFISA!$E:$E,METALFISA!$A:$A,'Faltantes Fevereiro- Metalfisa'!R$3,METALFISA!$B:$B,'Faltantes Fevereiro- Metalfisa'!$A185)</f>
        <v>0</v>
      </c>
      <c r="S185" s="31">
        <f>SUMIFS(METALFISA!$E:$E,METALFISA!$A:$A,'Faltantes Fevereiro- Metalfisa'!S$3,METALFISA!$B:$B,'Faltantes Fevereiro- Metalfisa'!$A185)</f>
        <v>0</v>
      </c>
      <c r="T185" s="31">
        <f>SUMIFS(METALFISA!$E:$E,METALFISA!$A:$A,'Faltantes Fevereiro- Metalfisa'!T$3,METALFISA!$B:$B,'Faltantes Fevereiro- Metalfisa'!$A185)</f>
        <v>0</v>
      </c>
      <c r="U185" s="31">
        <f>SUMIFS(METALFISA!$E:$E,METALFISA!$A:$A,'Faltantes Fevereiro- Metalfisa'!U$3,METALFISA!$B:$B,'Faltantes Fevereiro- Metalfisa'!$A185)</f>
        <v>0</v>
      </c>
      <c r="V185" s="31">
        <f>SUMIFS(METALFISA!$E:$E,METALFISA!$A:$A,'Faltantes Fevereiro- Metalfisa'!V$3,METALFISA!$B:$B,'Faltantes Fevereiro- Metalfisa'!$A185)</f>
        <v>0</v>
      </c>
      <c r="W185" s="31">
        <f>SUMIFS(METALFISA!$E:$E,METALFISA!$A:$A,'Faltantes Fevereiro- Metalfisa'!W$3,METALFISA!$B:$B,'Faltantes Fevereiro- Metalfisa'!$A185)</f>
        <v>0</v>
      </c>
      <c r="X185" s="31">
        <f>SUMIFS(METALFISA!$E:$E,METALFISA!$A:$A,'Faltantes Fevereiro- Metalfisa'!X$3,METALFISA!$B:$B,'Faltantes Fevereiro- Metalfisa'!$A185)</f>
        <v>0</v>
      </c>
      <c r="Y185" s="31">
        <f>SUMIFS(METALFISA!$E:$E,METALFISA!$A:$A,'Faltantes Fevereiro- Metalfisa'!Y$3,METALFISA!$B:$B,'Faltantes Fevereiro- Metalfisa'!$A185)</f>
        <v>0</v>
      </c>
      <c r="Z185" s="31">
        <f>SUMIFS(METALFISA!$E:$E,METALFISA!$A:$A,'Faltantes Fevereiro- Metalfisa'!Z$3,METALFISA!$B:$B,'Faltantes Fevereiro- Metalfisa'!$A185)</f>
        <v>0</v>
      </c>
      <c r="AA185" s="31">
        <f>SUMIFS(METALFISA!$E:$E,METALFISA!$A:$A,'Faltantes Fevereiro- Metalfisa'!AA$3,METALFISA!$B:$B,'Faltantes Fevereiro- Metalfisa'!$A185)</f>
        <v>0</v>
      </c>
      <c r="AB185" s="31">
        <f>SUMIFS(METALFISA!$E:$E,METALFISA!$A:$A,'Faltantes Fevereiro- Metalfisa'!AB$3,METALFISA!$B:$B,'Faltantes Fevereiro- Metalfisa'!$A185)</f>
        <v>0</v>
      </c>
      <c r="AC185" s="31">
        <f>SUMIFS(METALFISA!$E:$E,METALFISA!$A:$A,'Faltantes Fevereiro- Metalfisa'!AC$3,METALFISA!$B:$B,'Faltantes Fevereiro- Metalfisa'!$A185)</f>
        <v>0</v>
      </c>
      <c r="AD185" s="31">
        <f>SUMIFS(METALFISA!$E:$E,METALFISA!$A:$A,'Faltantes Fevereiro- Metalfisa'!AD$3,METALFISA!$B:$B,'Faltantes Fevereiro- Metalfisa'!$A185)</f>
        <v>0</v>
      </c>
      <c r="AE185" s="31">
        <f>SUMIFS(METALFISA!$E:$E,METALFISA!$A:$A,'Faltantes Fevereiro- Metalfisa'!AE$3,METALFISA!$B:$B,'Faltantes Fevereiro- Metalfisa'!$A185)</f>
        <v>0</v>
      </c>
      <c r="AF185" s="31">
        <f>SUMIFS(METALFISA!$E:$E,METALFISA!$A:$A,'Faltantes Fevereiro- Metalfisa'!AF$3,METALFISA!$B:$B,'Faltantes Fevereiro- Metalfisa'!$A185)</f>
        <v>0</v>
      </c>
      <c r="AG185" s="31">
        <f>SUMIFS(METALFISA!$E:$E,METALFISA!$A:$A,'Faltantes Fevereiro- Metalfisa'!AG$3,METALFISA!$B:$B,'Faltantes Fevereiro- Metalfisa'!$A185)</f>
        <v>0</v>
      </c>
      <c r="AH185" s="31">
        <f>SUMIFS(METALFISA!$E:$E,METALFISA!$A:$A,'Faltantes Fevereiro- Metalfisa'!AH$3,METALFISA!$B:$B,'Faltantes Fevereiro- Metalfisa'!$A185)</f>
        <v>0</v>
      </c>
      <c r="AI185" s="31">
        <f>SUMIFS(METALFISA!$E:$E,METALFISA!$A:$A,'Faltantes Fevereiro- Metalfisa'!AI$3,METALFISA!$B:$B,'Faltantes Fevereiro- Metalfisa'!$A185)</f>
        <v>0</v>
      </c>
      <c r="AJ185" s="31">
        <f>SUMIFS(METALFISA!$E:$E,METALFISA!$A:$A,'Faltantes Fevereiro- Metalfisa'!AJ$3,METALFISA!$B:$B,'Faltantes Fevereiro- Metalfisa'!$A185)</f>
        <v>0</v>
      </c>
      <c r="AK185" s="31">
        <f>SUMIFS(METALFISA!$E:$E,METALFISA!$A:$A,'Faltantes Fevereiro- Metalfisa'!AK$3,METALFISA!$B:$B,'Faltantes Fevereiro- Metalfisa'!$A185)</f>
        <v>8</v>
      </c>
      <c r="AL185" s="31">
        <f>SUMIFS(METALFISA!$E:$E,METALFISA!$A:$A,'Faltantes Fevereiro- Metalfisa'!AL$3,METALFISA!$B:$B,'Faltantes Fevereiro- Metalfisa'!$A185)</f>
        <v>0</v>
      </c>
      <c r="AM185" s="31">
        <f>SUMIFS(METALFISA!$E:$E,METALFISA!$A:$A,'Faltantes Fevereiro- Metalfisa'!AM$3,METALFISA!$B:$B,'Faltantes Fevereiro- Metalfisa'!$A185)</f>
        <v>0</v>
      </c>
      <c r="AN185" s="31">
        <f>SUMIFS(METALFISA!$E:$E,METALFISA!$A:$A,'Faltantes Fevereiro- Metalfisa'!AN$3,METALFISA!$B:$B,'Faltantes Fevereiro- Metalfisa'!$A185)</f>
        <v>0</v>
      </c>
      <c r="AO185" s="31">
        <f>SUMIFS(METALFISA!$E:$E,METALFISA!$A:$A,'Faltantes Fevereiro- Metalfisa'!AO$3,METALFISA!$B:$B,'Faltantes Fevereiro- Metalfisa'!$A185)</f>
        <v>0</v>
      </c>
      <c r="AP185" s="31">
        <f>SUMIFS(METALFISA!$E:$E,METALFISA!$A:$A,'Faltantes Fevereiro- Metalfisa'!AP$3,METALFISA!$B:$B,'Faltantes Fevereiro- Metalfisa'!$A185)</f>
        <v>0</v>
      </c>
      <c r="AQ185" s="31"/>
      <c r="AR185" s="31">
        <f>SUMIFS(METALFISA!$E:$E,METALFISA!$A:$A,'Faltantes Fevereiro- Metalfisa'!AR$3,METALFISA!$B:$B,'Faltantes Fevereiro- Metalfisa'!$A185)</f>
        <v>0</v>
      </c>
      <c r="AS185" s="35">
        <f>SUMIFS(METALFISA!$E:$E,METALFISA!$A:$A,'Faltantes Fevereiro- Metalfisa'!AS$3,METALFISA!$B:$B,'Faltantes Fevereiro- Metalfisa'!$A185)</f>
        <v>0</v>
      </c>
      <c r="AU185" s="18">
        <v>0</v>
      </c>
      <c r="AV185" s="18">
        <v>0</v>
      </c>
      <c r="AW185" s="18">
        <v>0</v>
      </c>
      <c r="AX185" s="18">
        <v>0</v>
      </c>
      <c r="AY185" s="41">
        <v>0</v>
      </c>
      <c r="AZ185" s="31">
        <v>0</v>
      </c>
      <c r="BA185" s="31">
        <v>0</v>
      </c>
      <c r="BB185" s="31">
        <v>0</v>
      </c>
      <c r="BC185" s="31">
        <v>0</v>
      </c>
      <c r="BD185" s="31">
        <v>0</v>
      </c>
      <c r="BE185" s="31">
        <v>0</v>
      </c>
      <c r="BF185" s="31">
        <v>0</v>
      </c>
      <c r="BG185" s="31">
        <v>0</v>
      </c>
      <c r="BH185" s="31">
        <v>0</v>
      </c>
      <c r="BI185" s="31">
        <v>0</v>
      </c>
      <c r="BJ185" s="31">
        <v>0</v>
      </c>
      <c r="BK185" s="31">
        <v>0</v>
      </c>
      <c r="BL185" s="31">
        <v>2</v>
      </c>
      <c r="BM185" s="31">
        <v>0</v>
      </c>
      <c r="BN185" s="31">
        <v>0</v>
      </c>
      <c r="BO185" s="31">
        <v>0</v>
      </c>
      <c r="BP185" s="31">
        <v>0</v>
      </c>
      <c r="BQ185" s="31">
        <v>0</v>
      </c>
      <c r="BR185" s="31">
        <v>0</v>
      </c>
      <c r="BS185" s="31">
        <v>0</v>
      </c>
      <c r="BT185" s="31">
        <v>0</v>
      </c>
      <c r="BU185" s="31">
        <v>0</v>
      </c>
      <c r="BV185" s="31">
        <v>0</v>
      </c>
      <c r="BW185" s="31">
        <v>0</v>
      </c>
      <c r="BX185" s="31">
        <v>0</v>
      </c>
      <c r="BY185" s="31">
        <v>0</v>
      </c>
      <c r="BZ185" s="31">
        <v>0</v>
      </c>
      <c r="CA185" s="31">
        <v>0</v>
      </c>
      <c r="CB185" s="31">
        <v>0</v>
      </c>
      <c r="CC185" s="31">
        <v>0</v>
      </c>
      <c r="CD185" s="31">
        <v>0</v>
      </c>
      <c r="CE185" s="31">
        <v>0</v>
      </c>
      <c r="CF185" s="31">
        <v>0</v>
      </c>
      <c r="CG185" s="31">
        <v>0</v>
      </c>
      <c r="CH185" s="31">
        <v>0</v>
      </c>
      <c r="CI185" s="31">
        <v>0</v>
      </c>
      <c r="CJ185" s="31">
        <v>0</v>
      </c>
      <c r="CK185" s="31">
        <v>0</v>
      </c>
      <c r="CL185" s="35">
        <v>0</v>
      </c>
    </row>
    <row r="186" spans="1:90" x14ac:dyDescent="0.15">
      <c r="A186" s="27" t="s">
        <v>277</v>
      </c>
      <c r="B186" s="28" t="s">
        <v>278</v>
      </c>
      <c r="C186" s="28">
        <v>0</v>
      </c>
      <c r="D186" s="28">
        <v>2</v>
      </c>
      <c r="E186" s="28">
        <v>0</v>
      </c>
      <c r="F186" s="28">
        <v>0</v>
      </c>
      <c r="G186" s="28">
        <v>1</v>
      </c>
      <c r="H186" s="28">
        <f>IFERROR(VLOOKUP(A186,[1]FALTANTES!$A:$AB,28,FALSE),"-")</f>
        <v>2</v>
      </c>
      <c r="I186" s="42">
        <f>IFERROR(VLOOKUP(A186,[1]FALTANTES!$A:$AC,29,FALSE),"-")</f>
        <v>0</v>
      </c>
      <c r="J186" s="29">
        <f>IFERROR(VLOOKUP(A186,[1]FALTANTES!$A:$AD,30,FALSE),"-")</f>
        <v>-3</v>
      </c>
      <c r="K186" s="30">
        <v>0</v>
      </c>
      <c r="L186" s="30">
        <f t="shared" si="3"/>
        <v>8</v>
      </c>
      <c r="M186" s="31">
        <f>SUMIFS(METALFISA!$E:$E,METALFISA!$A:$A,'Faltantes Fevereiro- Metalfisa'!M$3,METALFISA!$B:$B,'Faltantes Fevereiro- Metalfisa'!$A186)</f>
        <v>0</v>
      </c>
      <c r="N186" s="31">
        <f>SUMIFS(METALFISA!$E:$E,METALFISA!$A:$A,'Faltantes Fevereiro- Metalfisa'!N$3,METALFISA!$B:$B,'Faltantes Fevereiro- Metalfisa'!$A186)</f>
        <v>0</v>
      </c>
      <c r="O186" s="31">
        <f>SUMIFS(METALFISA!$E:$E,METALFISA!$A:$A,'Faltantes Fevereiro- Metalfisa'!O$3,METALFISA!$B:$B,'Faltantes Fevereiro- Metalfisa'!$A186)</f>
        <v>0</v>
      </c>
      <c r="P186" s="31">
        <f>SUMIFS(METALFISA!$E:$E,METALFISA!$A:$A,'Faltantes Fevereiro- Metalfisa'!P$3,METALFISA!$B:$B,'Faltantes Fevereiro- Metalfisa'!$A186)</f>
        <v>0</v>
      </c>
      <c r="Q186" s="31">
        <f>SUMIFS(METALFISA!$E:$E,METALFISA!$A:$A,'Faltantes Fevereiro- Metalfisa'!Q$3,METALFISA!$B:$B,'Faltantes Fevereiro- Metalfisa'!$A186)</f>
        <v>0</v>
      </c>
      <c r="R186" s="31">
        <f>SUMIFS(METALFISA!$E:$E,METALFISA!$A:$A,'Faltantes Fevereiro- Metalfisa'!R$3,METALFISA!$B:$B,'Faltantes Fevereiro- Metalfisa'!$A186)</f>
        <v>0</v>
      </c>
      <c r="S186" s="31">
        <f>SUMIFS(METALFISA!$E:$E,METALFISA!$A:$A,'Faltantes Fevereiro- Metalfisa'!S$3,METALFISA!$B:$B,'Faltantes Fevereiro- Metalfisa'!$A186)</f>
        <v>0</v>
      </c>
      <c r="T186" s="31">
        <f>SUMIFS(METALFISA!$E:$E,METALFISA!$A:$A,'Faltantes Fevereiro- Metalfisa'!T$3,METALFISA!$B:$B,'Faltantes Fevereiro- Metalfisa'!$A186)</f>
        <v>0</v>
      </c>
      <c r="U186" s="31">
        <f>SUMIFS(METALFISA!$E:$E,METALFISA!$A:$A,'Faltantes Fevereiro- Metalfisa'!U$3,METALFISA!$B:$B,'Faltantes Fevereiro- Metalfisa'!$A186)</f>
        <v>0</v>
      </c>
      <c r="V186" s="31">
        <f>SUMIFS(METALFISA!$E:$E,METALFISA!$A:$A,'Faltantes Fevereiro- Metalfisa'!V$3,METALFISA!$B:$B,'Faltantes Fevereiro- Metalfisa'!$A186)</f>
        <v>0</v>
      </c>
      <c r="W186" s="31">
        <f>SUMIFS(METALFISA!$E:$E,METALFISA!$A:$A,'Faltantes Fevereiro- Metalfisa'!W$3,METALFISA!$B:$B,'Faltantes Fevereiro- Metalfisa'!$A186)</f>
        <v>0</v>
      </c>
      <c r="X186" s="31">
        <f>SUMIFS(METALFISA!$E:$E,METALFISA!$A:$A,'Faltantes Fevereiro- Metalfisa'!X$3,METALFISA!$B:$B,'Faltantes Fevereiro- Metalfisa'!$A186)</f>
        <v>0</v>
      </c>
      <c r="Y186" s="31">
        <f>SUMIFS(METALFISA!$E:$E,METALFISA!$A:$A,'Faltantes Fevereiro- Metalfisa'!Y$3,METALFISA!$B:$B,'Faltantes Fevereiro- Metalfisa'!$A186)</f>
        <v>0</v>
      </c>
      <c r="Z186" s="31">
        <f>SUMIFS(METALFISA!$E:$E,METALFISA!$A:$A,'Faltantes Fevereiro- Metalfisa'!Z$3,METALFISA!$B:$B,'Faltantes Fevereiro- Metalfisa'!$A186)</f>
        <v>0</v>
      </c>
      <c r="AA186" s="31">
        <f>SUMIFS(METALFISA!$E:$E,METALFISA!$A:$A,'Faltantes Fevereiro- Metalfisa'!AA$3,METALFISA!$B:$B,'Faltantes Fevereiro- Metalfisa'!$A186)</f>
        <v>0</v>
      </c>
      <c r="AB186" s="31">
        <f>SUMIFS(METALFISA!$E:$E,METALFISA!$A:$A,'Faltantes Fevereiro- Metalfisa'!AB$3,METALFISA!$B:$B,'Faltantes Fevereiro- Metalfisa'!$A186)</f>
        <v>0</v>
      </c>
      <c r="AC186" s="31">
        <f>SUMIFS(METALFISA!$E:$E,METALFISA!$A:$A,'Faltantes Fevereiro- Metalfisa'!AC$3,METALFISA!$B:$B,'Faltantes Fevereiro- Metalfisa'!$A186)</f>
        <v>0</v>
      </c>
      <c r="AD186" s="31">
        <f>SUMIFS(METALFISA!$E:$E,METALFISA!$A:$A,'Faltantes Fevereiro- Metalfisa'!AD$3,METALFISA!$B:$B,'Faltantes Fevereiro- Metalfisa'!$A186)</f>
        <v>0</v>
      </c>
      <c r="AE186" s="31">
        <f>SUMIFS(METALFISA!$E:$E,METALFISA!$A:$A,'Faltantes Fevereiro- Metalfisa'!AE$3,METALFISA!$B:$B,'Faltantes Fevereiro- Metalfisa'!$A186)</f>
        <v>0</v>
      </c>
      <c r="AF186" s="31">
        <f>SUMIFS(METALFISA!$E:$E,METALFISA!$A:$A,'Faltantes Fevereiro- Metalfisa'!AF$3,METALFISA!$B:$B,'Faltantes Fevereiro- Metalfisa'!$A186)</f>
        <v>0</v>
      </c>
      <c r="AG186" s="31">
        <f>SUMIFS(METALFISA!$E:$E,METALFISA!$A:$A,'Faltantes Fevereiro- Metalfisa'!AG$3,METALFISA!$B:$B,'Faltantes Fevereiro- Metalfisa'!$A186)</f>
        <v>0</v>
      </c>
      <c r="AH186" s="31">
        <f>SUMIFS(METALFISA!$E:$E,METALFISA!$A:$A,'Faltantes Fevereiro- Metalfisa'!AH$3,METALFISA!$B:$B,'Faltantes Fevereiro- Metalfisa'!$A186)</f>
        <v>0</v>
      </c>
      <c r="AI186" s="31">
        <f>SUMIFS(METALFISA!$E:$E,METALFISA!$A:$A,'Faltantes Fevereiro- Metalfisa'!AI$3,METALFISA!$B:$B,'Faltantes Fevereiro- Metalfisa'!$A186)</f>
        <v>2</v>
      </c>
      <c r="AJ186" s="31">
        <f>SUMIFS(METALFISA!$E:$E,METALFISA!$A:$A,'Faltantes Fevereiro- Metalfisa'!AJ$3,METALFISA!$B:$B,'Faltantes Fevereiro- Metalfisa'!$A186)</f>
        <v>0</v>
      </c>
      <c r="AK186" s="31">
        <f>SUMIFS(METALFISA!$E:$E,METALFISA!$A:$A,'Faltantes Fevereiro- Metalfisa'!AK$3,METALFISA!$B:$B,'Faltantes Fevereiro- Metalfisa'!$A186)</f>
        <v>4</v>
      </c>
      <c r="AL186" s="31">
        <f>SUMIFS(METALFISA!$E:$E,METALFISA!$A:$A,'Faltantes Fevereiro- Metalfisa'!AL$3,METALFISA!$B:$B,'Faltantes Fevereiro- Metalfisa'!$A186)</f>
        <v>0</v>
      </c>
      <c r="AM186" s="31">
        <f>SUMIFS(METALFISA!$E:$E,METALFISA!$A:$A,'Faltantes Fevereiro- Metalfisa'!AM$3,METALFISA!$B:$B,'Faltantes Fevereiro- Metalfisa'!$A186)</f>
        <v>0</v>
      </c>
      <c r="AN186" s="31">
        <f>SUMIFS(METALFISA!$E:$E,METALFISA!$A:$A,'Faltantes Fevereiro- Metalfisa'!AN$3,METALFISA!$B:$B,'Faltantes Fevereiro- Metalfisa'!$A186)</f>
        <v>2</v>
      </c>
      <c r="AO186" s="31">
        <f>SUMIFS(METALFISA!$E:$E,METALFISA!$A:$A,'Faltantes Fevereiro- Metalfisa'!AO$3,METALFISA!$B:$B,'Faltantes Fevereiro- Metalfisa'!$A186)</f>
        <v>0</v>
      </c>
      <c r="AP186" s="31">
        <f>SUMIFS(METALFISA!$E:$E,METALFISA!$A:$A,'Faltantes Fevereiro- Metalfisa'!AP$3,METALFISA!$B:$B,'Faltantes Fevereiro- Metalfisa'!$A186)</f>
        <v>0</v>
      </c>
      <c r="AQ186" s="31"/>
      <c r="AR186" s="31">
        <f>SUMIFS(METALFISA!$E:$E,METALFISA!$A:$A,'Faltantes Fevereiro- Metalfisa'!AR$3,METALFISA!$B:$B,'Faltantes Fevereiro- Metalfisa'!$A186)</f>
        <v>0</v>
      </c>
      <c r="AS186" s="35">
        <f>SUMIFS(METALFISA!$E:$E,METALFISA!$A:$A,'Faltantes Fevereiro- Metalfisa'!AS$3,METALFISA!$B:$B,'Faltantes Fevereiro- Metalfisa'!$A186)</f>
        <v>0</v>
      </c>
      <c r="AU186" s="18">
        <v>0</v>
      </c>
      <c r="AV186" s="18">
        <v>0</v>
      </c>
      <c r="AW186" s="18">
        <v>0</v>
      </c>
      <c r="AX186" s="18">
        <v>0</v>
      </c>
      <c r="AY186" s="41">
        <v>0</v>
      </c>
      <c r="AZ186" s="31">
        <v>0</v>
      </c>
      <c r="BA186" s="31">
        <v>0</v>
      </c>
      <c r="BB186" s="31">
        <v>0</v>
      </c>
      <c r="BC186" s="31">
        <v>0</v>
      </c>
      <c r="BD186" s="31">
        <v>0</v>
      </c>
      <c r="BE186" s="31">
        <v>0</v>
      </c>
      <c r="BF186" s="31">
        <v>0</v>
      </c>
      <c r="BG186" s="31">
        <v>0</v>
      </c>
      <c r="BH186" s="31">
        <v>0</v>
      </c>
      <c r="BI186" s="31">
        <v>0</v>
      </c>
      <c r="BJ186" s="31">
        <v>0</v>
      </c>
      <c r="BK186" s="31">
        <v>0</v>
      </c>
      <c r="BL186" s="31">
        <v>1</v>
      </c>
      <c r="BM186" s="31">
        <v>0</v>
      </c>
      <c r="BN186" s="31">
        <v>0</v>
      </c>
      <c r="BO186" s="31">
        <v>0</v>
      </c>
      <c r="BP186" s="31">
        <v>0</v>
      </c>
      <c r="BQ186" s="31">
        <v>0</v>
      </c>
      <c r="BR186" s="31">
        <v>0</v>
      </c>
      <c r="BS186" s="31">
        <v>0</v>
      </c>
      <c r="BT186" s="31">
        <v>0</v>
      </c>
      <c r="BU186" s="31">
        <v>0</v>
      </c>
      <c r="BV186" s="31">
        <v>0</v>
      </c>
      <c r="BW186" s="31">
        <v>0</v>
      </c>
      <c r="BX186" s="31">
        <v>0</v>
      </c>
      <c r="BY186" s="31">
        <v>0</v>
      </c>
      <c r="BZ186" s="31">
        <v>0</v>
      </c>
      <c r="CA186" s="31">
        <v>0</v>
      </c>
      <c r="CB186" s="31">
        <v>0</v>
      </c>
      <c r="CC186" s="31">
        <v>0</v>
      </c>
      <c r="CD186" s="31">
        <v>0</v>
      </c>
      <c r="CE186" s="31">
        <v>0</v>
      </c>
      <c r="CF186" s="31">
        <v>0</v>
      </c>
      <c r="CG186" s="31">
        <v>0</v>
      </c>
      <c r="CH186" s="31">
        <v>0</v>
      </c>
      <c r="CI186" s="31">
        <v>0</v>
      </c>
      <c r="CJ186" s="31">
        <v>0</v>
      </c>
      <c r="CK186" s="31">
        <v>0</v>
      </c>
      <c r="CL186" s="35">
        <v>0</v>
      </c>
    </row>
    <row r="187" spans="1:90" ht="21" x14ac:dyDescent="0.15">
      <c r="A187" s="27" t="s">
        <v>104</v>
      </c>
      <c r="B187" s="28" t="s">
        <v>105</v>
      </c>
      <c r="C187" s="28">
        <v>0</v>
      </c>
      <c r="D187" s="28">
        <v>20</v>
      </c>
      <c r="E187" s="28">
        <v>8</v>
      </c>
      <c r="F187" s="28">
        <v>0</v>
      </c>
      <c r="G187" s="28">
        <v>72</v>
      </c>
      <c r="H187" s="28">
        <f>IFERROR(VLOOKUP(A187,[1]FALTANTES!$A:$AB,28,FALSE),"-")</f>
        <v>20</v>
      </c>
      <c r="I187" s="42">
        <f>IFERROR(VLOOKUP(A187,[1]FALTANTES!$A:$AC,29,FALSE),"-")</f>
        <v>0</v>
      </c>
      <c r="J187" s="29">
        <f>IFERROR(VLOOKUP(A187,[1]FALTANTES!$A:$AD,30,FALSE),"-")</f>
        <v>-100</v>
      </c>
      <c r="K187" s="30">
        <v>0</v>
      </c>
      <c r="L187" s="30">
        <f t="shared" si="3"/>
        <v>160</v>
      </c>
      <c r="M187" s="31">
        <f>SUMIFS(METALFISA!$E:$E,METALFISA!$A:$A,'Faltantes Fevereiro- Metalfisa'!M$3,METALFISA!$B:$B,'Faltantes Fevereiro- Metalfisa'!$A187)</f>
        <v>0</v>
      </c>
      <c r="N187" s="31">
        <f>SUMIFS(METALFISA!$E:$E,METALFISA!$A:$A,'Faltantes Fevereiro- Metalfisa'!N$3,METALFISA!$B:$B,'Faltantes Fevereiro- Metalfisa'!$A187)</f>
        <v>0</v>
      </c>
      <c r="O187" s="31">
        <f>SUMIFS(METALFISA!$E:$E,METALFISA!$A:$A,'Faltantes Fevereiro- Metalfisa'!O$3,METALFISA!$B:$B,'Faltantes Fevereiro- Metalfisa'!$A187)</f>
        <v>0</v>
      </c>
      <c r="P187" s="31">
        <f>SUMIFS(METALFISA!$E:$E,METALFISA!$A:$A,'Faltantes Fevereiro- Metalfisa'!P$3,METALFISA!$B:$B,'Faltantes Fevereiro- Metalfisa'!$A187)</f>
        <v>0</v>
      </c>
      <c r="Q187" s="31">
        <f>SUMIFS(METALFISA!$E:$E,METALFISA!$A:$A,'Faltantes Fevereiro- Metalfisa'!Q$3,METALFISA!$B:$B,'Faltantes Fevereiro- Metalfisa'!$A187)</f>
        <v>0</v>
      </c>
      <c r="R187" s="31">
        <f>SUMIFS(METALFISA!$E:$E,METALFISA!$A:$A,'Faltantes Fevereiro- Metalfisa'!R$3,METALFISA!$B:$B,'Faltantes Fevereiro- Metalfisa'!$A187)</f>
        <v>0</v>
      </c>
      <c r="S187" s="31">
        <f>SUMIFS(METALFISA!$E:$E,METALFISA!$A:$A,'Faltantes Fevereiro- Metalfisa'!S$3,METALFISA!$B:$B,'Faltantes Fevereiro- Metalfisa'!$A187)</f>
        <v>0</v>
      </c>
      <c r="T187" s="31">
        <f>SUMIFS(METALFISA!$E:$E,METALFISA!$A:$A,'Faltantes Fevereiro- Metalfisa'!T$3,METALFISA!$B:$B,'Faltantes Fevereiro- Metalfisa'!$A187)</f>
        <v>0</v>
      </c>
      <c r="U187" s="31">
        <f>SUMIFS(METALFISA!$E:$E,METALFISA!$A:$A,'Faltantes Fevereiro- Metalfisa'!U$3,METALFISA!$B:$B,'Faltantes Fevereiro- Metalfisa'!$A187)</f>
        <v>0</v>
      </c>
      <c r="V187" s="31">
        <f>SUMIFS(METALFISA!$E:$E,METALFISA!$A:$A,'Faltantes Fevereiro- Metalfisa'!V$3,METALFISA!$B:$B,'Faltantes Fevereiro- Metalfisa'!$A187)</f>
        <v>0</v>
      </c>
      <c r="W187" s="31">
        <f>SUMIFS(METALFISA!$E:$E,METALFISA!$A:$A,'Faltantes Fevereiro- Metalfisa'!W$3,METALFISA!$B:$B,'Faltantes Fevereiro- Metalfisa'!$A187)</f>
        <v>0</v>
      </c>
      <c r="X187" s="31">
        <f>SUMIFS(METALFISA!$E:$E,METALFISA!$A:$A,'Faltantes Fevereiro- Metalfisa'!X$3,METALFISA!$B:$B,'Faltantes Fevereiro- Metalfisa'!$A187)</f>
        <v>0</v>
      </c>
      <c r="Y187" s="31">
        <f>SUMIFS(METALFISA!$E:$E,METALFISA!$A:$A,'Faltantes Fevereiro- Metalfisa'!Y$3,METALFISA!$B:$B,'Faltantes Fevereiro- Metalfisa'!$A187)</f>
        <v>0</v>
      </c>
      <c r="Z187" s="31">
        <f>SUMIFS(METALFISA!$E:$E,METALFISA!$A:$A,'Faltantes Fevereiro- Metalfisa'!Z$3,METALFISA!$B:$B,'Faltantes Fevereiro- Metalfisa'!$A187)</f>
        <v>0</v>
      </c>
      <c r="AA187" s="31">
        <f>SUMIFS(METALFISA!$E:$E,METALFISA!$A:$A,'Faltantes Fevereiro- Metalfisa'!AA$3,METALFISA!$B:$B,'Faltantes Fevereiro- Metalfisa'!$A187)</f>
        <v>68</v>
      </c>
      <c r="AB187" s="31">
        <f>SUMIFS(METALFISA!$E:$E,METALFISA!$A:$A,'Faltantes Fevereiro- Metalfisa'!AB$3,METALFISA!$B:$B,'Faltantes Fevereiro- Metalfisa'!$A187)</f>
        <v>0</v>
      </c>
      <c r="AC187" s="31">
        <f>SUMIFS(METALFISA!$E:$E,METALFISA!$A:$A,'Faltantes Fevereiro- Metalfisa'!AC$3,METALFISA!$B:$B,'Faltantes Fevereiro- Metalfisa'!$A187)</f>
        <v>0</v>
      </c>
      <c r="AD187" s="31">
        <f>SUMIFS(METALFISA!$E:$E,METALFISA!$A:$A,'Faltantes Fevereiro- Metalfisa'!AD$3,METALFISA!$B:$B,'Faltantes Fevereiro- Metalfisa'!$A187)</f>
        <v>0</v>
      </c>
      <c r="AE187" s="31">
        <f>SUMIFS(METALFISA!$E:$E,METALFISA!$A:$A,'Faltantes Fevereiro- Metalfisa'!AE$3,METALFISA!$B:$B,'Faltantes Fevereiro- Metalfisa'!$A187)</f>
        <v>0</v>
      </c>
      <c r="AF187" s="31">
        <f>SUMIFS(METALFISA!$E:$E,METALFISA!$A:$A,'Faltantes Fevereiro- Metalfisa'!AF$3,METALFISA!$B:$B,'Faltantes Fevereiro- Metalfisa'!$A187)</f>
        <v>0</v>
      </c>
      <c r="AG187" s="31">
        <f>SUMIFS(METALFISA!$E:$E,METALFISA!$A:$A,'Faltantes Fevereiro- Metalfisa'!AG$3,METALFISA!$B:$B,'Faltantes Fevereiro- Metalfisa'!$A187)</f>
        <v>0</v>
      </c>
      <c r="AH187" s="31">
        <f>SUMIFS(METALFISA!$E:$E,METALFISA!$A:$A,'Faltantes Fevereiro- Metalfisa'!AH$3,METALFISA!$B:$B,'Faltantes Fevereiro- Metalfisa'!$A187)</f>
        <v>0</v>
      </c>
      <c r="AI187" s="31">
        <f>SUMIFS(METALFISA!$E:$E,METALFISA!$A:$A,'Faltantes Fevereiro- Metalfisa'!AI$3,METALFISA!$B:$B,'Faltantes Fevereiro- Metalfisa'!$A187)</f>
        <v>36</v>
      </c>
      <c r="AJ187" s="31">
        <f>SUMIFS(METALFISA!$E:$E,METALFISA!$A:$A,'Faltantes Fevereiro- Metalfisa'!AJ$3,METALFISA!$B:$B,'Faltantes Fevereiro- Metalfisa'!$A187)</f>
        <v>0</v>
      </c>
      <c r="AK187" s="31">
        <f>SUMIFS(METALFISA!$E:$E,METALFISA!$A:$A,'Faltantes Fevereiro- Metalfisa'!AK$3,METALFISA!$B:$B,'Faltantes Fevereiro- Metalfisa'!$A187)</f>
        <v>8</v>
      </c>
      <c r="AL187" s="31">
        <f>SUMIFS(METALFISA!$E:$E,METALFISA!$A:$A,'Faltantes Fevereiro- Metalfisa'!AL$3,METALFISA!$B:$B,'Faltantes Fevereiro- Metalfisa'!$A187)</f>
        <v>12</v>
      </c>
      <c r="AM187" s="31">
        <f>SUMIFS(METALFISA!$E:$E,METALFISA!$A:$A,'Faltantes Fevereiro- Metalfisa'!AM$3,METALFISA!$B:$B,'Faltantes Fevereiro- Metalfisa'!$A187)</f>
        <v>0</v>
      </c>
      <c r="AN187" s="31">
        <f>SUMIFS(METALFISA!$E:$E,METALFISA!$A:$A,'Faltantes Fevereiro- Metalfisa'!AN$3,METALFISA!$B:$B,'Faltantes Fevereiro- Metalfisa'!$A187)</f>
        <v>36</v>
      </c>
      <c r="AO187" s="31">
        <f>SUMIFS(METALFISA!$E:$E,METALFISA!$A:$A,'Faltantes Fevereiro- Metalfisa'!AO$3,METALFISA!$B:$B,'Faltantes Fevereiro- Metalfisa'!$A187)</f>
        <v>0</v>
      </c>
      <c r="AP187" s="31">
        <f>SUMIFS(METALFISA!$E:$E,METALFISA!$A:$A,'Faltantes Fevereiro- Metalfisa'!AP$3,METALFISA!$B:$B,'Faltantes Fevereiro- Metalfisa'!$A187)</f>
        <v>0</v>
      </c>
      <c r="AQ187" s="31"/>
      <c r="AR187" s="31">
        <f>SUMIFS(METALFISA!$E:$E,METALFISA!$A:$A,'Faltantes Fevereiro- Metalfisa'!AR$3,METALFISA!$B:$B,'Faltantes Fevereiro- Metalfisa'!$A187)</f>
        <v>0</v>
      </c>
      <c r="AS187" s="35">
        <f>SUMIFS(METALFISA!$E:$E,METALFISA!$A:$A,'Faltantes Fevereiro- Metalfisa'!AS$3,METALFISA!$B:$B,'Faltantes Fevereiro- Metalfisa'!$A187)</f>
        <v>0</v>
      </c>
      <c r="AU187" s="18">
        <v>0</v>
      </c>
      <c r="AV187" s="18">
        <v>0</v>
      </c>
      <c r="AW187" s="18">
        <v>0</v>
      </c>
      <c r="AX187" s="18">
        <v>0</v>
      </c>
      <c r="AY187" s="41">
        <v>0</v>
      </c>
      <c r="AZ187" s="31">
        <v>0</v>
      </c>
      <c r="BA187" s="31">
        <v>0</v>
      </c>
      <c r="BB187" s="31">
        <v>0</v>
      </c>
      <c r="BC187" s="31">
        <v>0</v>
      </c>
      <c r="BD187" s="31">
        <v>0</v>
      </c>
      <c r="BE187" s="31">
        <v>0</v>
      </c>
      <c r="BF187" s="31">
        <v>0</v>
      </c>
      <c r="BG187" s="31">
        <v>0</v>
      </c>
      <c r="BH187" s="31">
        <v>0</v>
      </c>
      <c r="BI187" s="31">
        <v>4</v>
      </c>
      <c r="BJ187" s="31">
        <v>0</v>
      </c>
      <c r="BK187" s="31">
        <v>4</v>
      </c>
      <c r="BL187" s="31">
        <v>4</v>
      </c>
      <c r="BM187" s="31">
        <v>0</v>
      </c>
      <c r="BN187" s="31">
        <v>0</v>
      </c>
      <c r="BO187" s="31">
        <v>0</v>
      </c>
      <c r="BP187" s="31">
        <v>0</v>
      </c>
      <c r="BQ187" s="31">
        <v>0</v>
      </c>
      <c r="BR187" s="31">
        <v>0</v>
      </c>
      <c r="BS187" s="31">
        <v>0</v>
      </c>
      <c r="BT187" s="31">
        <v>0</v>
      </c>
      <c r="BU187" s="31">
        <v>0</v>
      </c>
      <c r="BV187" s="31">
        <v>4</v>
      </c>
      <c r="BW187" s="31">
        <v>0</v>
      </c>
      <c r="BX187" s="31">
        <v>0</v>
      </c>
      <c r="BY187" s="31">
        <v>0</v>
      </c>
      <c r="BZ187" s="31">
        <v>0</v>
      </c>
      <c r="CA187" s="31">
        <v>0</v>
      </c>
      <c r="CB187" s="31">
        <v>0</v>
      </c>
      <c r="CC187" s="31">
        <v>0</v>
      </c>
      <c r="CD187" s="31">
        <v>0</v>
      </c>
      <c r="CE187" s="31">
        <v>0</v>
      </c>
      <c r="CF187" s="31">
        <v>0</v>
      </c>
      <c r="CG187" s="31">
        <v>0</v>
      </c>
      <c r="CH187" s="31">
        <v>0</v>
      </c>
      <c r="CI187" s="31">
        <v>0</v>
      </c>
      <c r="CJ187" s="31">
        <v>0</v>
      </c>
      <c r="CK187" s="31">
        <v>0</v>
      </c>
      <c r="CL187" s="35">
        <v>0</v>
      </c>
    </row>
    <row r="188" spans="1:90" ht="21" x14ac:dyDescent="0.15">
      <c r="A188" s="27" t="s">
        <v>279</v>
      </c>
      <c r="B188" s="28" t="s">
        <v>280</v>
      </c>
      <c r="C188" s="28">
        <v>0</v>
      </c>
      <c r="D188" s="28">
        <v>1</v>
      </c>
      <c r="E188" s="28">
        <v>0</v>
      </c>
      <c r="F188" s="28">
        <v>0</v>
      </c>
      <c r="G188" s="28">
        <v>1</v>
      </c>
      <c r="H188" s="28">
        <f>IFERROR(VLOOKUP(A188,[1]FALTANTES!$A:$AB,28,FALSE),"-")</f>
        <v>1</v>
      </c>
      <c r="I188" s="42">
        <f>IFERROR(VLOOKUP(A188,[1]FALTANTES!$A:$AC,29,FALSE),"-")</f>
        <v>0</v>
      </c>
      <c r="J188" s="29">
        <f>IFERROR(VLOOKUP(A188,[1]FALTANTES!$A:$AD,30,FALSE),"-")</f>
        <v>-2</v>
      </c>
      <c r="K188" s="30">
        <v>0</v>
      </c>
      <c r="L188" s="30">
        <f t="shared" si="3"/>
        <v>4</v>
      </c>
      <c r="M188" s="31">
        <f>SUMIFS(METALFISA!$E:$E,METALFISA!$A:$A,'Faltantes Fevereiro- Metalfisa'!M$3,METALFISA!$B:$B,'Faltantes Fevereiro- Metalfisa'!$A188)</f>
        <v>0</v>
      </c>
      <c r="N188" s="31">
        <f>SUMIFS(METALFISA!$E:$E,METALFISA!$A:$A,'Faltantes Fevereiro- Metalfisa'!N$3,METALFISA!$B:$B,'Faltantes Fevereiro- Metalfisa'!$A188)</f>
        <v>0</v>
      </c>
      <c r="O188" s="31">
        <f>SUMIFS(METALFISA!$E:$E,METALFISA!$A:$A,'Faltantes Fevereiro- Metalfisa'!O$3,METALFISA!$B:$B,'Faltantes Fevereiro- Metalfisa'!$A188)</f>
        <v>0</v>
      </c>
      <c r="P188" s="31">
        <f>SUMIFS(METALFISA!$E:$E,METALFISA!$A:$A,'Faltantes Fevereiro- Metalfisa'!P$3,METALFISA!$B:$B,'Faltantes Fevereiro- Metalfisa'!$A188)</f>
        <v>0</v>
      </c>
      <c r="Q188" s="31">
        <f>SUMIFS(METALFISA!$E:$E,METALFISA!$A:$A,'Faltantes Fevereiro- Metalfisa'!Q$3,METALFISA!$B:$B,'Faltantes Fevereiro- Metalfisa'!$A188)</f>
        <v>0</v>
      </c>
      <c r="R188" s="31">
        <f>SUMIFS(METALFISA!$E:$E,METALFISA!$A:$A,'Faltantes Fevereiro- Metalfisa'!R$3,METALFISA!$B:$B,'Faltantes Fevereiro- Metalfisa'!$A188)</f>
        <v>0</v>
      </c>
      <c r="S188" s="31">
        <f>SUMIFS(METALFISA!$E:$E,METALFISA!$A:$A,'Faltantes Fevereiro- Metalfisa'!S$3,METALFISA!$B:$B,'Faltantes Fevereiro- Metalfisa'!$A188)</f>
        <v>0</v>
      </c>
      <c r="T188" s="31">
        <f>SUMIFS(METALFISA!$E:$E,METALFISA!$A:$A,'Faltantes Fevereiro- Metalfisa'!T$3,METALFISA!$B:$B,'Faltantes Fevereiro- Metalfisa'!$A188)</f>
        <v>0</v>
      </c>
      <c r="U188" s="31">
        <f>SUMIFS(METALFISA!$E:$E,METALFISA!$A:$A,'Faltantes Fevereiro- Metalfisa'!U$3,METALFISA!$B:$B,'Faltantes Fevereiro- Metalfisa'!$A188)</f>
        <v>0</v>
      </c>
      <c r="V188" s="31">
        <f>SUMIFS(METALFISA!$E:$E,METALFISA!$A:$A,'Faltantes Fevereiro- Metalfisa'!V$3,METALFISA!$B:$B,'Faltantes Fevereiro- Metalfisa'!$A188)</f>
        <v>0</v>
      </c>
      <c r="W188" s="31">
        <f>SUMIFS(METALFISA!$E:$E,METALFISA!$A:$A,'Faltantes Fevereiro- Metalfisa'!W$3,METALFISA!$B:$B,'Faltantes Fevereiro- Metalfisa'!$A188)</f>
        <v>0</v>
      </c>
      <c r="X188" s="31">
        <f>SUMIFS(METALFISA!$E:$E,METALFISA!$A:$A,'Faltantes Fevereiro- Metalfisa'!X$3,METALFISA!$B:$B,'Faltantes Fevereiro- Metalfisa'!$A188)</f>
        <v>0</v>
      </c>
      <c r="Y188" s="31">
        <f>SUMIFS(METALFISA!$E:$E,METALFISA!$A:$A,'Faltantes Fevereiro- Metalfisa'!Y$3,METALFISA!$B:$B,'Faltantes Fevereiro- Metalfisa'!$A188)</f>
        <v>0</v>
      </c>
      <c r="Z188" s="31">
        <f>SUMIFS(METALFISA!$E:$E,METALFISA!$A:$A,'Faltantes Fevereiro- Metalfisa'!Z$3,METALFISA!$B:$B,'Faltantes Fevereiro- Metalfisa'!$A188)</f>
        <v>0</v>
      </c>
      <c r="AA188" s="31">
        <f>SUMIFS(METALFISA!$E:$E,METALFISA!$A:$A,'Faltantes Fevereiro- Metalfisa'!AA$3,METALFISA!$B:$B,'Faltantes Fevereiro- Metalfisa'!$A188)</f>
        <v>4</v>
      </c>
      <c r="AB188" s="31">
        <f>SUMIFS(METALFISA!$E:$E,METALFISA!$A:$A,'Faltantes Fevereiro- Metalfisa'!AB$3,METALFISA!$B:$B,'Faltantes Fevereiro- Metalfisa'!$A188)</f>
        <v>0</v>
      </c>
      <c r="AC188" s="31">
        <f>SUMIFS(METALFISA!$E:$E,METALFISA!$A:$A,'Faltantes Fevereiro- Metalfisa'!AC$3,METALFISA!$B:$B,'Faltantes Fevereiro- Metalfisa'!$A188)</f>
        <v>0</v>
      </c>
      <c r="AD188" s="31">
        <f>SUMIFS(METALFISA!$E:$E,METALFISA!$A:$A,'Faltantes Fevereiro- Metalfisa'!AD$3,METALFISA!$B:$B,'Faltantes Fevereiro- Metalfisa'!$A188)</f>
        <v>0</v>
      </c>
      <c r="AE188" s="31">
        <f>SUMIFS(METALFISA!$E:$E,METALFISA!$A:$A,'Faltantes Fevereiro- Metalfisa'!AE$3,METALFISA!$B:$B,'Faltantes Fevereiro- Metalfisa'!$A188)</f>
        <v>0</v>
      </c>
      <c r="AF188" s="31">
        <f>SUMIFS(METALFISA!$E:$E,METALFISA!$A:$A,'Faltantes Fevereiro- Metalfisa'!AF$3,METALFISA!$B:$B,'Faltantes Fevereiro- Metalfisa'!$A188)</f>
        <v>0</v>
      </c>
      <c r="AG188" s="31">
        <f>SUMIFS(METALFISA!$E:$E,METALFISA!$A:$A,'Faltantes Fevereiro- Metalfisa'!AG$3,METALFISA!$B:$B,'Faltantes Fevereiro- Metalfisa'!$A188)</f>
        <v>0</v>
      </c>
      <c r="AH188" s="31">
        <f>SUMIFS(METALFISA!$E:$E,METALFISA!$A:$A,'Faltantes Fevereiro- Metalfisa'!AH$3,METALFISA!$B:$B,'Faltantes Fevereiro- Metalfisa'!$A188)</f>
        <v>0</v>
      </c>
      <c r="AI188" s="31">
        <f>SUMIFS(METALFISA!$E:$E,METALFISA!$A:$A,'Faltantes Fevereiro- Metalfisa'!AI$3,METALFISA!$B:$B,'Faltantes Fevereiro- Metalfisa'!$A188)</f>
        <v>0</v>
      </c>
      <c r="AJ188" s="31">
        <f>SUMIFS(METALFISA!$E:$E,METALFISA!$A:$A,'Faltantes Fevereiro- Metalfisa'!AJ$3,METALFISA!$B:$B,'Faltantes Fevereiro- Metalfisa'!$A188)</f>
        <v>0</v>
      </c>
      <c r="AK188" s="31">
        <f>SUMIFS(METALFISA!$E:$E,METALFISA!$A:$A,'Faltantes Fevereiro- Metalfisa'!AK$3,METALFISA!$B:$B,'Faltantes Fevereiro- Metalfisa'!$A188)</f>
        <v>0</v>
      </c>
      <c r="AL188" s="31">
        <f>SUMIFS(METALFISA!$E:$E,METALFISA!$A:$A,'Faltantes Fevereiro- Metalfisa'!AL$3,METALFISA!$B:$B,'Faltantes Fevereiro- Metalfisa'!$A188)</f>
        <v>0</v>
      </c>
      <c r="AM188" s="31">
        <f>SUMIFS(METALFISA!$E:$E,METALFISA!$A:$A,'Faltantes Fevereiro- Metalfisa'!AM$3,METALFISA!$B:$B,'Faltantes Fevereiro- Metalfisa'!$A188)</f>
        <v>0</v>
      </c>
      <c r="AN188" s="31">
        <f>SUMIFS(METALFISA!$E:$E,METALFISA!$A:$A,'Faltantes Fevereiro- Metalfisa'!AN$3,METALFISA!$B:$B,'Faltantes Fevereiro- Metalfisa'!$A188)</f>
        <v>0</v>
      </c>
      <c r="AO188" s="31">
        <f>SUMIFS(METALFISA!$E:$E,METALFISA!$A:$A,'Faltantes Fevereiro- Metalfisa'!AO$3,METALFISA!$B:$B,'Faltantes Fevereiro- Metalfisa'!$A188)</f>
        <v>0</v>
      </c>
      <c r="AP188" s="31">
        <f>SUMIFS(METALFISA!$E:$E,METALFISA!$A:$A,'Faltantes Fevereiro- Metalfisa'!AP$3,METALFISA!$B:$B,'Faltantes Fevereiro- Metalfisa'!$A188)</f>
        <v>0</v>
      </c>
      <c r="AQ188" s="31"/>
      <c r="AR188" s="31">
        <f>SUMIFS(METALFISA!$E:$E,METALFISA!$A:$A,'Faltantes Fevereiro- Metalfisa'!AR$3,METALFISA!$B:$B,'Faltantes Fevereiro- Metalfisa'!$A188)</f>
        <v>0</v>
      </c>
      <c r="AS188" s="35">
        <f>SUMIFS(METALFISA!$E:$E,METALFISA!$A:$A,'Faltantes Fevereiro- Metalfisa'!AS$3,METALFISA!$B:$B,'Faltantes Fevereiro- Metalfisa'!$A188)</f>
        <v>0</v>
      </c>
      <c r="AU188" s="18">
        <v>0</v>
      </c>
      <c r="AV188" s="18">
        <v>0</v>
      </c>
      <c r="AW188" s="18">
        <v>0</v>
      </c>
      <c r="AX188" s="18">
        <v>0</v>
      </c>
      <c r="AY188" s="41">
        <v>0</v>
      </c>
      <c r="AZ188" s="31">
        <v>0</v>
      </c>
      <c r="BA188" s="31">
        <v>0</v>
      </c>
      <c r="BB188" s="31">
        <v>0</v>
      </c>
      <c r="BC188" s="31">
        <v>0</v>
      </c>
      <c r="BD188" s="31">
        <v>0</v>
      </c>
      <c r="BE188" s="31">
        <v>0</v>
      </c>
      <c r="BF188" s="31">
        <v>0</v>
      </c>
      <c r="BG188" s="31">
        <v>0</v>
      </c>
      <c r="BH188" s="31">
        <v>0</v>
      </c>
      <c r="BI188" s="31">
        <v>0</v>
      </c>
      <c r="BJ188" s="31">
        <v>0</v>
      </c>
      <c r="BK188" s="31">
        <v>0</v>
      </c>
      <c r="BL188" s="31">
        <v>1</v>
      </c>
      <c r="BM188" s="31">
        <v>0</v>
      </c>
      <c r="BN188" s="31">
        <v>0</v>
      </c>
      <c r="BO188" s="31">
        <v>0</v>
      </c>
      <c r="BP188" s="31">
        <v>0</v>
      </c>
      <c r="BQ188" s="31">
        <v>0</v>
      </c>
      <c r="BR188" s="31">
        <v>0</v>
      </c>
      <c r="BS188" s="31">
        <v>0</v>
      </c>
      <c r="BT188" s="31">
        <v>0</v>
      </c>
      <c r="BU188" s="31">
        <v>0</v>
      </c>
      <c r="BV188" s="31">
        <v>0</v>
      </c>
      <c r="BW188" s="31">
        <v>0</v>
      </c>
      <c r="BX188" s="31">
        <v>0</v>
      </c>
      <c r="BY188" s="31">
        <v>0</v>
      </c>
      <c r="BZ188" s="31">
        <v>0</v>
      </c>
      <c r="CA188" s="31">
        <v>0</v>
      </c>
      <c r="CB188" s="31">
        <v>0</v>
      </c>
      <c r="CC188" s="31">
        <v>0</v>
      </c>
      <c r="CD188" s="31">
        <v>0</v>
      </c>
      <c r="CE188" s="31">
        <v>0</v>
      </c>
      <c r="CF188" s="31">
        <v>0</v>
      </c>
      <c r="CG188" s="31">
        <v>0</v>
      </c>
      <c r="CH188" s="31">
        <v>0</v>
      </c>
      <c r="CI188" s="31">
        <v>0</v>
      </c>
      <c r="CJ188" s="31">
        <v>0</v>
      </c>
      <c r="CK188" s="31">
        <v>0</v>
      </c>
      <c r="CL188" s="35">
        <v>0</v>
      </c>
    </row>
    <row r="189" spans="1:90" ht="21" x14ac:dyDescent="0.15">
      <c r="A189" s="27" t="s">
        <v>282</v>
      </c>
      <c r="B189" s="28" t="s">
        <v>283</v>
      </c>
      <c r="C189" s="28">
        <v>0</v>
      </c>
      <c r="D189" s="28">
        <v>2</v>
      </c>
      <c r="E189" s="28">
        <v>0</v>
      </c>
      <c r="F189" s="28">
        <v>0</v>
      </c>
      <c r="G189" s="28">
        <v>2</v>
      </c>
      <c r="H189" s="28">
        <f>IFERROR(VLOOKUP(A189,[1]FALTANTES!$A:$AB,28,FALSE),"-")</f>
        <v>1</v>
      </c>
      <c r="I189" s="42">
        <f>IFERROR(VLOOKUP(A189,[1]FALTANTES!$A:$AC,29,FALSE),"-")</f>
        <v>0</v>
      </c>
      <c r="J189" s="29">
        <f>IFERROR(VLOOKUP(A189,[1]FALTANTES!$A:$AD,30,FALSE),"-")</f>
        <v>-4</v>
      </c>
      <c r="K189" s="30">
        <v>0</v>
      </c>
      <c r="L189" s="30">
        <f t="shared" si="3"/>
        <v>7</v>
      </c>
      <c r="M189" s="31">
        <f>SUMIFS(METALFISA!$E:$E,METALFISA!$A:$A,'Faltantes Fevereiro- Metalfisa'!M$3,METALFISA!$B:$B,'Faltantes Fevereiro- Metalfisa'!$A189)</f>
        <v>0</v>
      </c>
      <c r="N189" s="31">
        <f>SUMIFS(METALFISA!$E:$E,METALFISA!$A:$A,'Faltantes Fevereiro- Metalfisa'!N$3,METALFISA!$B:$B,'Faltantes Fevereiro- Metalfisa'!$A189)</f>
        <v>0</v>
      </c>
      <c r="O189" s="31">
        <f>SUMIFS(METALFISA!$E:$E,METALFISA!$A:$A,'Faltantes Fevereiro- Metalfisa'!O$3,METALFISA!$B:$B,'Faltantes Fevereiro- Metalfisa'!$A189)</f>
        <v>0</v>
      </c>
      <c r="P189" s="31">
        <f>SUMIFS(METALFISA!$E:$E,METALFISA!$A:$A,'Faltantes Fevereiro- Metalfisa'!P$3,METALFISA!$B:$B,'Faltantes Fevereiro- Metalfisa'!$A189)</f>
        <v>0</v>
      </c>
      <c r="Q189" s="31">
        <f>SUMIFS(METALFISA!$E:$E,METALFISA!$A:$A,'Faltantes Fevereiro- Metalfisa'!Q$3,METALFISA!$B:$B,'Faltantes Fevereiro- Metalfisa'!$A189)</f>
        <v>0</v>
      </c>
      <c r="R189" s="31">
        <f>SUMIFS(METALFISA!$E:$E,METALFISA!$A:$A,'Faltantes Fevereiro- Metalfisa'!R$3,METALFISA!$B:$B,'Faltantes Fevereiro- Metalfisa'!$A189)</f>
        <v>0</v>
      </c>
      <c r="S189" s="31">
        <f>SUMIFS(METALFISA!$E:$E,METALFISA!$A:$A,'Faltantes Fevereiro- Metalfisa'!S$3,METALFISA!$B:$B,'Faltantes Fevereiro- Metalfisa'!$A189)</f>
        <v>0</v>
      </c>
      <c r="T189" s="31">
        <f>SUMIFS(METALFISA!$E:$E,METALFISA!$A:$A,'Faltantes Fevereiro- Metalfisa'!T$3,METALFISA!$B:$B,'Faltantes Fevereiro- Metalfisa'!$A189)</f>
        <v>0</v>
      </c>
      <c r="U189" s="31">
        <f>SUMIFS(METALFISA!$E:$E,METALFISA!$A:$A,'Faltantes Fevereiro- Metalfisa'!U$3,METALFISA!$B:$B,'Faltantes Fevereiro- Metalfisa'!$A189)</f>
        <v>0</v>
      </c>
      <c r="V189" s="31">
        <f>SUMIFS(METALFISA!$E:$E,METALFISA!$A:$A,'Faltantes Fevereiro- Metalfisa'!V$3,METALFISA!$B:$B,'Faltantes Fevereiro- Metalfisa'!$A189)</f>
        <v>0</v>
      </c>
      <c r="W189" s="31">
        <f>SUMIFS(METALFISA!$E:$E,METALFISA!$A:$A,'Faltantes Fevereiro- Metalfisa'!W$3,METALFISA!$B:$B,'Faltantes Fevereiro- Metalfisa'!$A189)</f>
        <v>0</v>
      </c>
      <c r="X189" s="31">
        <f>SUMIFS(METALFISA!$E:$E,METALFISA!$A:$A,'Faltantes Fevereiro- Metalfisa'!X$3,METALFISA!$B:$B,'Faltantes Fevereiro- Metalfisa'!$A189)</f>
        <v>0</v>
      </c>
      <c r="Y189" s="31">
        <f>SUMIFS(METALFISA!$E:$E,METALFISA!$A:$A,'Faltantes Fevereiro- Metalfisa'!Y$3,METALFISA!$B:$B,'Faltantes Fevereiro- Metalfisa'!$A189)</f>
        <v>0</v>
      </c>
      <c r="Z189" s="31">
        <f>SUMIFS(METALFISA!$E:$E,METALFISA!$A:$A,'Faltantes Fevereiro- Metalfisa'!Z$3,METALFISA!$B:$B,'Faltantes Fevereiro- Metalfisa'!$A189)</f>
        <v>0</v>
      </c>
      <c r="AA189" s="31">
        <f>SUMIFS(METALFISA!$E:$E,METALFISA!$A:$A,'Faltantes Fevereiro- Metalfisa'!AA$3,METALFISA!$B:$B,'Faltantes Fevereiro- Metalfisa'!$A189)</f>
        <v>7</v>
      </c>
      <c r="AB189" s="31">
        <f>SUMIFS(METALFISA!$E:$E,METALFISA!$A:$A,'Faltantes Fevereiro- Metalfisa'!AB$3,METALFISA!$B:$B,'Faltantes Fevereiro- Metalfisa'!$A189)</f>
        <v>0</v>
      </c>
      <c r="AC189" s="31">
        <f>SUMIFS(METALFISA!$E:$E,METALFISA!$A:$A,'Faltantes Fevereiro- Metalfisa'!AC$3,METALFISA!$B:$B,'Faltantes Fevereiro- Metalfisa'!$A189)</f>
        <v>0</v>
      </c>
      <c r="AD189" s="31">
        <f>SUMIFS(METALFISA!$E:$E,METALFISA!$A:$A,'Faltantes Fevereiro- Metalfisa'!AD$3,METALFISA!$B:$B,'Faltantes Fevereiro- Metalfisa'!$A189)</f>
        <v>0</v>
      </c>
      <c r="AE189" s="31">
        <f>SUMIFS(METALFISA!$E:$E,METALFISA!$A:$A,'Faltantes Fevereiro- Metalfisa'!AE$3,METALFISA!$B:$B,'Faltantes Fevereiro- Metalfisa'!$A189)</f>
        <v>0</v>
      </c>
      <c r="AF189" s="31">
        <f>SUMIFS(METALFISA!$E:$E,METALFISA!$A:$A,'Faltantes Fevereiro- Metalfisa'!AF$3,METALFISA!$B:$B,'Faltantes Fevereiro- Metalfisa'!$A189)</f>
        <v>0</v>
      </c>
      <c r="AG189" s="31">
        <f>SUMIFS(METALFISA!$E:$E,METALFISA!$A:$A,'Faltantes Fevereiro- Metalfisa'!AG$3,METALFISA!$B:$B,'Faltantes Fevereiro- Metalfisa'!$A189)</f>
        <v>0</v>
      </c>
      <c r="AH189" s="31">
        <f>SUMIFS(METALFISA!$E:$E,METALFISA!$A:$A,'Faltantes Fevereiro- Metalfisa'!AH$3,METALFISA!$B:$B,'Faltantes Fevereiro- Metalfisa'!$A189)</f>
        <v>0</v>
      </c>
      <c r="AI189" s="31">
        <f>SUMIFS(METALFISA!$E:$E,METALFISA!$A:$A,'Faltantes Fevereiro- Metalfisa'!AI$3,METALFISA!$B:$B,'Faltantes Fevereiro- Metalfisa'!$A189)</f>
        <v>0</v>
      </c>
      <c r="AJ189" s="31">
        <f>SUMIFS(METALFISA!$E:$E,METALFISA!$A:$A,'Faltantes Fevereiro- Metalfisa'!AJ$3,METALFISA!$B:$B,'Faltantes Fevereiro- Metalfisa'!$A189)</f>
        <v>0</v>
      </c>
      <c r="AK189" s="31">
        <f>SUMIFS(METALFISA!$E:$E,METALFISA!$A:$A,'Faltantes Fevereiro- Metalfisa'!AK$3,METALFISA!$B:$B,'Faltantes Fevereiro- Metalfisa'!$A189)</f>
        <v>0</v>
      </c>
      <c r="AL189" s="31">
        <f>SUMIFS(METALFISA!$E:$E,METALFISA!$A:$A,'Faltantes Fevereiro- Metalfisa'!AL$3,METALFISA!$B:$B,'Faltantes Fevereiro- Metalfisa'!$A189)</f>
        <v>0</v>
      </c>
      <c r="AM189" s="31">
        <f>SUMIFS(METALFISA!$E:$E,METALFISA!$A:$A,'Faltantes Fevereiro- Metalfisa'!AM$3,METALFISA!$B:$B,'Faltantes Fevereiro- Metalfisa'!$A189)</f>
        <v>0</v>
      </c>
      <c r="AN189" s="31">
        <f>SUMIFS(METALFISA!$E:$E,METALFISA!$A:$A,'Faltantes Fevereiro- Metalfisa'!AN$3,METALFISA!$B:$B,'Faltantes Fevereiro- Metalfisa'!$A189)</f>
        <v>0</v>
      </c>
      <c r="AO189" s="31">
        <f>SUMIFS(METALFISA!$E:$E,METALFISA!$A:$A,'Faltantes Fevereiro- Metalfisa'!AO$3,METALFISA!$B:$B,'Faltantes Fevereiro- Metalfisa'!$A189)</f>
        <v>0</v>
      </c>
      <c r="AP189" s="31">
        <f>SUMIFS(METALFISA!$E:$E,METALFISA!$A:$A,'Faltantes Fevereiro- Metalfisa'!AP$3,METALFISA!$B:$B,'Faltantes Fevereiro- Metalfisa'!$A189)</f>
        <v>0</v>
      </c>
      <c r="AQ189" s="31"/>
      <c r="AR189" s="31">
        <f>SUMIFS(METALFISA!$E:$E,METALFISA!$A:$A,'Faltantes Fevereiro- Metalfisa'!AR$3,METALFISA!$B:$B,'Faltantes Fevereiro- Metalfisa'!$A189)</f>
        <v>0</v>
      </c>
      <c r="AS189" s="35">
        <f>SUMIFS(METALFISA!$E:$E,METALFISA!$A:$A,'Faltantes Fevereiro- Metalfisa'!AS$3,METALFISA!$B:$B,'Faltantes Fevereiro- Metalfisa'!$A189)</f>
        <v>0</v>
      </c>
      <c r="AU189" s="18">
        <v>0</v>
      </c>
      <c r="AV189" s="18">
        <v>0</v>
      </c>
      <c r="AW189" s="18">
        <v>0</v>
      </c>
      <c r="AX189" s="18">
        <v>0</v>
      </c>
      <c r="AY189" s="41">
        <v>0</v>
      </c>
      <c r="AZ189" s="31">
        <v>0</v>
      </c>
      <c r="BA189" s="31">
        <v>0</v>
      </c>
      <c r="BB189" s="31">
        <v>0</v>
      </c>
      <c r="BC189" s="31">
        <v>0</v>
      </c>
      <c r="BD189" s="31">
        <v>0</v>
      </c>
      <c r="BE189" s="31">
        <v>0</v>
      </c>
      <c r="BF189" s="31">
        <v>0</v>
      </c>
      <c r="BG189" s="31">
        <v>0</v>
      </c>
      <c r="BH189" s="31">
        <v>0</v>
      </c>
      <c r="BI189" s="31">
        <v>0</v>
      </c>
      <c r="BJ189" s="31">
        <v>0</v>
      </c>
      <c r="BK189" s="31">
        <v>0</v>
      </c>
      <c r="BL189" s="31">
        <v>2</v>
      </c>
      <c r="BM189" s="31">
        <v>0</v>
      </c>
      <c r="BN189" s="31">
        <v>0</v>
      </c>
      <c r="BO189" s="31">
        <v>0</v>
      </c>
      <c r="BP189" s="31">
        <v>0</v>
      </c>
      <c r="BQ189" s="31">
        <v>0</v>
      </c>
      <c r="BR189" s="31">
        <v>0</v>
      </c>
      <c r="BS189" s="31">
        <v>0</v>
      </c>
      <c r="BT189" s="31">
        <v>0</v>
      </c>
      <c r="BU189" s="31">
        <v>0</v>
      </c>
      <c r="BV189" s="31">
        <v>0</v>
      </c>
      <c r="BW189" s="31">
        <v>0</v>
      </c>
      <c r="BX189" s="31">
        <v>0</v>
      </c>
      <c r="BY189" s="31">
        <v>0</v>
      </c>
      <c r="BZ189" s="31">
        <v>0</v>
      </c>
      <c r="CA189" s="31">
        <v>0</v>
      </c>
      <c r="CB189" s="31">
        <v>0</v>
      </c>
      <c r="CC189" s="31">
        <v>0</v>
      </c>
      <c r="CD189" s="31">
        <v>0</v>
      </c>
      <c r="CE189" s="31">
        <v>0</v>
      </c>
      <c r="CF189" s="31">
        <v>0</v>
      </c>
      <c r="CG189" s="31">
        <v>0</v>
      </c>
      <c r="CH189" s="31">
        <v>0</v>
      </c>
      <c r="CI189" s="31">
        <v>0</v>
      </c>
      <c r="CJ189" s="31">
        <v>0</v>
      </c>
      <c r="CK189" s="31">
        <v>0</v>
      </c>
      <c r="CL189" s="35">
        <v>0</v>
      </c>
    </row>
    <row r="190" spans="1:90" x14ac:dyDescent="0.15">
      <c r="A190" s="27" t="s">
        <v>987</v>
      </c>
      <c r="B190" s="28" t="s">
        <v>988</v>
      </c>
      <c r="C190" s="28">
        <v>0</v>
      </c>
      <c r="D190" s="28">
        <v>0</v>
      </c>
      <c r="E190" s="28">
        <v>0</v>
      </c>
      <c r="F190" s="28">
        <v>0</v>
      </c>
      <c r="G190" s="28">
        <v>8</v>
      </c>
      <c r="H190" s="28">
        <f>IFERROR(VLOOKUP(A190,[1]FALTANTES!$A:$AB,28,FALSE),"-")</f>
        <v>0</v>
      </c>
      <c r="I190" s="42">
        <f>IFERROR(VLOOKUP(A190,[1]FALTANTES!$A:$AC,29,FALSE),"-")</f>
        <v>2</v>
      </c>
      <c r="J190" s="29">
        <f>IFERROR(VLOOKUP(A190,[1]FALTANTES!$A:$AD,30,FALSE),"-")</f>
        <v>-6</v>
      </c>
      <c r="K190" s="30">
        <v>0</v>
      </c>
      <c r="L190" s="30">
        <f t="shared" si="3"/>
        <v>2</v>
      </c>
      <c r="M190" s="31">
        <f>SUMIFS(METALFISA!$E:$E,METALFISA!$A:$A,'Faltantes Fevereiro- Metalfisa'!M$3,METALFISA!$B:$B,'Faltantes Fevereiro- Metalfisa'!$A190)</f>
        <v>0</v>
      </c>
      <c r="N190" s="31">
        <f>SUMIFS(METALFISA!$E:$E,METALFISA!$A:$A,'Faltantes Fevereiro- Metalfisa'!N$3,METALFISA!$B:$B,'Faltantes Fevereiro- Metalfisa'!$A190)</f>
        <v>0</v>
      </c>
      <c r="O190" s="31">
        <f>SUMIFS(METALFISA!$E:$E,METALFISA!$A:$A,'Faltantes Fevereiro- Metalfisa'!O$3,METALFISA!$B:$B,'Faltantes Fevereiro- Metalfisa'!$A190)</f>
        <v>0</v>
      </c>
      <c r="P190" s="31">
        <f>SUMIFS(METALFISA!$E:$E,METALFISA!$A:$A,'Faltantes Fevereiro- Metalfisa'!P$3,METALFISA!$B:$B,'Faltantes Fevereiro- Metalfisa'!$A190)</f>
        <v>0</v>
      </c>
      <c r="Q190" s="31">
        <f>SUMIFS(METALFISA!$E:$E,METALFISA!$A:$A,'Faltantes Fevereiro- Metalfisa'!Q$3,METALFISA!$B:$B,'Faltantes Fevereiro- Metalfisa'!$A190)</f>
        <v>0</v>
      </c>
      <c r="R190" s="31">
        <f>SUMIFS(METALFISA!$E:$E,METALFISA!$A:$A,'Faltantes Fevereiro- Metalfisa'!R$3,METALFISA!$B:$B,'Faltantes Fevereiro- Metalfisa'!$A190)</f>
        <v>0</v>
      </c>
      <c r="S190" s="31">
        <f>SUMIFS(METALFISA!$E:$E,METALFISA!$A:$A,'Faltantes Fevereiro- Metalfisa'!S$3,METALFISA!$B:$B,'Faltantes Fevereiro- Metalfisa'!$A190)</f>
        <v>0</v>
      </c>
      <c r="T190" s="31">
        <f>SUMIFS(METALFISA!$E:$E,METALFISA!$A:$A,'Faltantes Fevereiro- Metalfisa'!T$3,METALFISA!$B:$B,'Faltantes Fevereiro- Metalfisa'!$A190)</f>
        <v>0</v>
      </c>
      <c r="U190" s="31">
        <f>SUMIFS(METALFISA!$E:$E,METALFISA!$A:$A,'Faltantes Fevereiro- Metalfisa'!U$3,METALFISA!$B:$B,'Faltantes Fevereiro- Metalfisa'!$A190)</f>
        <v>0</v>
      </c>
      <c r="V190" s="31">
        <f>SUMIFS(METALFISA!$E:$E,METALFISA!$A:$A,'Faltantes Fevereiro- Metalfisa'!V$3,METALFISA!$B:$B,'Faltantes Fevereiro- Metalfisa'!$A190)</f>
        <v>0</v>
      </c>
      <c r="W190" s="31">
        <f>SUMIFS(METALFISA!$E:$E,METALFISA!$A:$A,'Faltantes Fevereiro- Metalfisa'!W$3,METALFISA!$B:$B,'Faltantes Fevereiro- Metalfisa'!$A190)</f>
        <v>0</v>
      </c>
      <c r="X190" s="31">
        <f>SUMIFS(METALFISA!$E:$E,METALFISA!$A:$A,'Faltantes Fevereiro- Metalfisa'!X$3,METALFISA!$B:$B,'Faltantes Fevereiro- Metalfisa'!$A190)</f>
        <v>0</v>
      </c>
      <c r="Y190" s="31">
        <f>SUMIFS(METALFISA!$E:$E,METALFISA!$A:$A,'Faltantes Fevereiro- Metalfisa'!Y$3,METALFISA!$B:$B,'Faltantes Fevereiro- Metalfisa'!$A190)</f>
        <v>0</v>
      </c>
      <c r="Z190" s="31">
        <f>SUMIFS(METALFISA!$E:$E,METALFISA!$A:$A,'Faltantes Fevereiro- Metalfisa'!Z$3,METALFISA!$B:$B,'Faltantes Fevereiro- Metalfisa'!$A190)</f>
        <v>0</v>
      </c>
      <c r="AA190" s="31">
        <f>SUMIFS(METALFISA!$E:$E,METALFISA!$A:$A,'Faltantes Fevereiro- Metalfisa'!AA$3,METALFISA!$B:$B,'Faltantes Fevereiro- Metalfisa'!$A190)</f>
        <v>0</v>
      </c>
      <c r="AB190" s="31">
        <f>SUMIFS(METALFISA!$E:$E,METALFISA!$A:$A,'Faltantes Fevereiro- Metalfisa'!AB$3,METALFISA!$B:$B,'Faltantes Fevereiro- Metalfisa'!$A190)</f>
        <v>0</v>
      </c>
      <c r="AC190" s="31">
        <f>SUMIFS(METALFISA!$E:$E,METALFISA!$A:$A,'Faltantes Fevereiro- Metalfisa'!AC$3,METALFISA!$B:$B,'Faltantes Fevereiro- Metalfisa'!$A190)</f>
        <v>0</v>
      </c>
      <c r="AD190" s="31">
        <f>SUMIFS(METALFISA!$E:$E,METALFISA!$A:$A,'Faltantes Fevereiro- Metalfisa'!AD$3,METALFISA!$B:$B,'Faltantes Fevereiro- Metalfisa'!$A190)</f>
        <v>0</v>
      </c>
      <c r="AE190" s="31">
        <f>SUMIFS(METALFISA!$E:$E,METALFISA!$A:$A,'Faltantes Fevereiro- Metalfisa'!AE$3,METALFISA!$B:$B,'Faltantes Fevereiro- Metalfisa'!$A190)</f>
        <v>2</v>
      </c>
      <c r="AF190" s="31">
        <f>SUMIFS(METALFISA!$E:$E,METALFISA!$A:$A,'Faltantes Fevereiro- Metalfisa'!AF$3,METALFISA!$B:$B,'Faltantes Fevereiro- Metalfisa'!$A190)</f>
        <v>0</v>
      </c>
      <c r="AG190" s="31">
        <f>SUMIFS(METALFISA!$E:$E,METALFISA!$A:$A,'Faltantes Fevereiro- Metalfisa'!AG$3,METALFISA!$B:$B,'Faltantes Fevereiro- Metalfisa'!$A190)</f>
        <v>0</v>
      </c>
      <c r="AH190" s="31">
        <f>SUMIFS(METALFISA!$E:$E,METALFISA!$A:$A,'Faltantes Fevereiro- Metalfisa'!AH$3,METALFISA!$B:$B,'Faltantes Fevereiro- Metalfisa'!$A190)</f>
        <v>0</v>
      </c>
      <c r="AI190" s="31">
        <f>SUMIFS(METALFISA!$E:$E,METALFISA!$A:$A,'Faltantes Fevereiro- Metalfisa'!AI$3,METALFISA!$B:$B,'Faltantes Fevereiro- Metalfisa'!$A190)</f>
        <v>0</v>
      </c>
      <c r="AJ190" s="31">
        <f>SUMIFS(METALFISA!$E:$E,METALFISA!$A:$A,'Faltantes Fevereiro- Metalfisa'!AJ$3,METALFISA!$B:$B,'Faltantes Fevereiro- Metalfisa'!$A190)</f>
        <v>0</v>
      </c>
      <c r="AK190" s="31">
        <f>SUMIFS(METALFISA!$E:$E,METALFISA!$A:$A,'Faltantes Fevereiro- Metalfisa'!AK$3,METALFISA!$B:$B,'Faltantes Fevereiro- Metalfisa'!$A190)</f>
        <v>0</v>
      </c>
      <c r="AL190" s="31">
        <f>SUMIFS(METALFISA!$E:$E,METALFISA!$A:$A,'Faltantes Fevereiro- Metalfisa'!AL$3,METALFISA!$B:$B,'Faltantes Fevereiro- Metalfisa'!$A190)</f>
        <v>0</v>
      </c>
      <c r="AM190" s="31">
        <f>SUMIFS(METALFISA!$E:$E,METALFISA!$A:$A,'Faltantes Fevereiro- Metalfisa'!AM$3,METALFISA!$B:$B,'Faltantes Fevereiro- Metalfisa'!$A190)</f>
        <v>0</v>
      </c>
      <c r="AN190" s="31">
        <f>SUMIFS(METALFISA!$E:$E,METALFISA!$A:$A,'Faltantes Fevereiro- Metalfisa'!AN$3,METALFISA!$B:$B,'Faltantes Fevereiro- Metalfisa'!$A190)</f>
        <v>0</v>
      </c>
      <c r="AO190" s="31">
        <f>SUMIFS(METALFISA!$E:$E,METALFISA!$A:$A,'Faltantes Fevereiro- Metalfisa'!AO$3,METALFISA!$B:$B,'Faltantes Fevereiro- Metalfisa'!$A190)</f>
        <v>0</v>
      </c>
      <c r="AP190" s="31">
        <f>SUMIFS(METALFISA!$E:$E,METALFISA!$A:$A,'Faltantes Fevereiro- Metalfisa'!AP$3,METALFISA!$B:$B,'Faltantes Fevereiro- Metalfisa'!$A190)</f>
        <v>0</v>
      </c>
      <c r="AQ190" s="31"/>
      <c r="AR190" s="31">
        <f>SUMIFS(METALFISA!$E:$E,METALFISA!$A:$A,'Faltantes Fevereiro- Metalfisa'!AR$3,METALFISA!$B:$B,'Faltantes Fevereiro- Metalfisa'!$A190)</f>
        <v>0</v>
      </c>
      <c r="AS190" s="35">
        <f>SUMIFS(METALFISA!$E:$E,METALFISA!$A:$A,'Faltantes Fevereiro- Metalfisa'!AS$3,METALFISA!$B:$B,'Faltantes Fevereiro- Metalfisa'!$A190)</f>
        <v>0</v>
      </c>
      <c r="AU190" s="18">
        <v>0</v>
      </c>
      <c r="AV190" s="18">
        <v>0</v>
      </c>
      <c r="AW190" s="18">
        <v>0</v>
      </c>
      <c r="AX190" s="18">
        <v>0</v>
      </c>
      <c r="AY190" s="41">
        <v>0</v>
      </c>
      <c r="AZ190" s="31">
        <v>0</v>
      </c>
      <c r="BA190" s="31">
        <v>0</v>
      </c>
      <c r="BB190" s="31">
        <v>0</v>
      </c>
      <c r="BC190" s="31">
        <v>0</v>
      </c>
      <c r="BD190" s="31">
        <v>0</v>
      </c>
      <c r="BE190" s="31">
        <v>0</v>
      </c>
      <c r="BF190" s="31">
        <v>0</v>
      </c>
      <c r="BG190" s="31">
        <v>0</v>
      </c>
      <c r="BH190" s="31">
        <v>0</v>
      </c>
      <c r="BI190" s="31">
        <v>0</v>
      </c>
      <c r="BJ190" s="31">
        <v>0</v>
      </c>
      <c r="BK190" s="31">
        <v>0</v>
      </c>
      <c r="BL190" s="31">
        <v>0</v>
      </c>
      <c r="BM190" s="31">
        <v>0</v>
      </c>
      <c r="BN190" s="31">
        <v>1</v>
      </c>
      <c r="BO190" s="31">
        <v>1</v>
      </c>
      <c r="BP190" s="31">
        <v>0</v>
      </c>
      <c r="BQ190" s="31">
        <v>0</v>
      </c>
      <c r="BR190" s="31">
        <v>0</v>
      </c>
      <c r="BS190" s="31">
        <v>0</v>
      </c>
      <c r="BT190" s="31">
        <v>0</v>
      </c>
      <c r="BU190" s="31">
        <v>0</v>
      </c>
      <c r="BV190" s="31">
        <v>0</v>
      </c>
      <c r="BW190" s="31">
        <v>0</v>
      </c>
      <c r="BX190" s="31">
        <v>0</v>
      </c>
      <c r="BY190" s="31">
        <v>0</v>
      </c>
      <c r="BZ190" s="31">
        <v>0</v>
      </c>
      <c r="CA190" s="31">
        <v>0</v>
      </c>
      <c r="CB190" s="31">
        <v>0</v>
      </c>
      <c r="CC190" s="31">
        <v>0</v>
      </c>
      <c r="CD190" s="31">
        <v>0</v>
      </c>
      <c r="CE190" s="31">
        <v>0</v>
      </c>
      <c r="CF190" s="31">
        <v>0</v>
      </c>
      <c r="CG190" s="31">
        <v>0</v>
      </c>
      <c r="CH190" s="31">
        <v>0</v>
      </c>
      <c r="CI190" s="31">
        <v>0</v>
      </c>
      <c r="CJ190" s="31">
        <v>0</v>
      </c>
      <c r="CK190" s="31">
        <v>0</v>
      </c>
      <c r="CL190" s="35">
        <v>0</v>
      </c>
    </row>
    <row r="191" spans="1:90" x14ac:dyDescent="0.15">
      <c r="A191" s="27" t="s">
        <v>991</v>
      </c>
      <c r="B191" s="28" t="s">
        <v>992</v>
      </c>
      <c r="C191" s="28">
        <v>3</v>
      </c>
      <c r="D191" s="28">
        <v>0</v>
      </c>
      <c r="E191" s="28">
        <v>0</v>
      </c>
      <c r="F191" s="28">
        <v>0</v>
      </c>
      <c r="G191" s="28">
        <v>14</v>
      </c>
      <c r="H191" s="28">
        <f>IFERROR(VLOOKUP(A191,[1]FALTANTES!$A:$AB,28,FALSE),"-")</f>
        <v>3</v>
      </c>
      <c r="I191" s="42">
        <f>IFERROR(VLOOKUP(A191,[1]FALTANTES!$A:$AC,29,FALSE),"-")</f>
        <v>0</v>
      </c>
      <c r="J191" s="29">
        <f>IFERROR(VLOOKUP(A191,[1]FALTANTES!$A:$AD,30,FALSE),"-")</f>
        <v>-17</v>
      </c>
      <c r="K191" s="30">
        <v>0</v>
      </c>
      <c r="L191" s="30">
        <f t="shared" si="3"/>
        <v>4</v>
      </c>
      <c r="M191" s="31">
        <f>SUMIFS(METALFISA!$E:$E,METALFISA!$A:$A,'Faltantes Fevereiro- Metalfisa'!M$3,METALFISA!$B:$B,'Faltantes Fevereiro- Metalfisa'!$A191)</f>
        <v>0</v>
      </c>
      <c r="N191" s="31">
        <f>SUMIFS(METALFISA!$E:$E,METALFISA!$A:$A,'Faltantes Fevereiro- Metalfisa'!N$3,METALFISA!$B:$B,'Faltantes Fevereiro- Metalfisa'!$A191)</f>
        <v>0</v>
      </c>
      <c r="O191" s="31">
        <f>SUMIFS(METALFISA!$E:$E,METALFISA!$A:$A,'Faltantes Fevereiro- Metalfisa'!O$3,METALFISA!$B:$B,'Faltantes Fevereiro- Metalfisa'!$A191)</f>
        <v>0</v>
      </c>
      <c r="P191" s="31">
        <f>SUMIFS(METALFISA!$E:$E,METALFISA!$A:$A,'Faltantes Fevereiro- Metalfisa'!P$3,METALFISA!$B:$B,'Faltantes Fevereiro- Metalfisa'!$A191)</f>
        <v>0</v>
      </c>
      <c r="Q191" s="31">
        <f>SUMIFS(METALFISA!$E:$E,METALFISA!$A:$A,'Faltantes Fevereiro- Metalfisa'!Q$3,METALFISA!$B:$B,'Faltantes Fevereiro- Metalfisa'!$A191)</f>
        <v>0</v>
      </c>
      <c r="R191" s="31">
        <f>SUMIFS(METALFISA!$E:$E,METALFISA!$A:$A,'Faltantes Fevereiro- Metalfisa'!R$3,METALFISA!$B:$B,'Faltantes Fevereiro- Metalfisa'!$A191)</f>
        <v>0</v>
      </c>
      <c r="S191" s="31">
        <f>SUMIFS(METALFISA!$E:$E,METALFISA!$A:$A,'Faltantes Fevereiro- Metalfisa'!S$3,METALFISA!$B:$B,'Faltantes Fevereiro- Metalfisa'!$A191)</f>
        <v>0</v>
      </c>
      <c r="T191" s="31">
        <f>SUMIFS(METALFISA!$E:$E,METALFISA!$A:$A,'Faltantes Fevereiro- Metalfisa'!T$3,METALFISA!$B:$B,'Faltantes Fevereiro- Metalfisa'!$A191)</f>
        <v>0</v>
      </c>
      <c r="U191" s="31">
        <f>SUMIFS(METALFISA!$E:$E,METALFISA!$A:$A,'Faltantes Fevereiro- Metalfisa'!U$3,METALFISA!$B:$B,'Faltantes Fevereiro- Metalfisa'!$A191)</f>
        <v>0</v>
      </c>
      <c r="V191" s="31">
        <f>SUMIFS(METALFISA!$E:$E,METALFISA!$A:$A,'Faltantes Fevereiro- Metalfisa'!V$3,METALFISA!$B:$B,'Faltantes Fevereiro- Metalfisa'!$A191)</f>
        <v>0</v>
      </c>
      <c r="W191" s="31">
        <f>SUMIFS(METALFISA!$E:$E,METALFISA!$A:$A,'Faltantes Fevereiro- Metalfisa'!W$3,METALFISA!$B:$B,'Faltantes Fevereiro- Metalfisa'!$A191)</f>
        <v>0</v>
      </c>
      <c r="X191" s="31">
        <f>SUMIFS(METALFISA!$E:$E,METALFISA!$A:$A,'Faltantes Fevereiro- Metalfisa'!X$3,METALFISA!$B:$B,'Faltantes Fevereiro- Metalfisa'!$A191)</f>
        <v>0</v>
      </c>
      <c r="Y191" s="31">
        <f>SUMIFS(METALFISA!$E:$E,METALFISA!$A:$A,'Faltantes Fevereiro- Metalfisa'!Y$3,METALFISA!$B:$B,'Faltantes Fevereiro- Metalfisa'!$A191)</f>
        <v>0</v>
      </c>
      <c r="Z191" s="31">
        <f>SUMIFS(METALFISA!$E:$E,METALFISA!$A:$A,'Faltantes Fevereiro- Metalfisa'!Z$3,METALFISA!$B:$B,'Faltantes Fevereiro- Metalfisa'!$A191)</f>
        <v>0</v>
      </c>
      <c r="AA191" s="31">
        <f>SUMIFS(METALFISA!$E:$E,METALFISA!$A:$A,'Faltantes Fevereiro- Metalfisa'!AA$3,METALFISA!$B:$B,'Faltantes Fevereiro- Metalfisa'!$A191)</f>
        <v>0</v>
      </c>
      <c r="AB191" s="31">
        <f>SUMIFS(METALFISA!$E:$E,METALFISA!$A:$A,'Faltantes Fevereiro- Metalfisa'!AB$3,METALFISA!$B:$B,'Faltantes Fevereiro- Metalfisa'!$A191)</f>
        <v>0</v>
      </c>
      <c r="AC191" s="31">
        <f>SUMIFS(METALFISA!$E:$E,METALFISA!$A:$A,'Faltantes Fevereiro- Metalfisa'!AC$3,METALFISA!$B:$B,'Faltantes Fevereiro- Metalfisa'!$A191)</f>
        <v>0</v>
      </c>
      <c r="AD191" s="31">
        <f>SUMIFS(METALFISA!$E:$E,METALFISA!$A:$A,'Faltantes Fevereiro- Metalfisa'!AD$3,METALFISA!$B:$B,'Faltantes Fevereiro- Metalfisa'!$A191)</f>
        <v>0</v>
      </c>
      <c r="AE191" s="31">
        <f>SUMIFS(METALFISA!$E:$E,METALFISA!$A:$A,'Faltantes Fevereiro- Metalfisa'!AE$3,METALFISA!$B:$B,'Faltantes Fevereiro- Metalfisa'!$A191)</f>
        <v>4</v>
      </c>
      <c r="AF191" s="31">
        <f>SUMIFS(METALFISA!$E:$E,METALFISA!$A:$A,'Faltantes Fevereiro- Metalfisa'!AF$3,METALFISA!$B:$B,'Faltantes Fevereiro- Metalfisa'!$A191)</f>
        <v>0</v>
      </c>
      <c r="AG191" s="31">
        <f>SUMIFS(METALFISA!$E:$E,METALFISA!$A:$A,'Faltantes Fevereiro- Metalfisa'!AG$3,METALFISA!$B:$B,'Faltantes Fevereiro- Metalfisa'!$A191)</f>
        <v>0</v>
      </c>
      <c r="AH191" s="31">
        <f>SUMIFS(METALFISA!$E:$E,METALFISA!$A:$A,'Faltantes Fevereiro- Metalfisa'!AH$3,METALFISA!$B:$B,'Faltantes Fevereiro- Metalfisa'!$A191)</f>
        <v>0</v>
      </c>
      <c r="AI191" s="31">
        <f>SUMIFS(METALFISA!$E:$E,METALFISA!$A:$A,'Faltantes Fevereiro- Metalfisa'!AI$3,METALFISA!$B:$B,'Faltantes Fevereiro- Metalfisa'!$A191)</f>
        <v>0</v>
      </c>
      <c r="AJ191" s="31">
        <f>SUMIFS(METALFISA!$E:$E,METALFISA!$A:$A,'Faltantes Fevereiro- Metalfisa'!AJ$3,METALFISA!$B:$B,'Faltantes Fevereiro- Metalfisa'!$A191)</f>
        <v>0</v>
      </c>
      <c r="AK191" s="31">
        <f>SUMIFS(METALFISA!$E:$E,METALFISA!$A:$A,'Faltantes Fevereiro- Metalfisa'!AK$3,METALFISA!$B:$B,'Faltantes Fevereiro- Metalfisa'!$A191)</f>
        <v>0</v>
      </c>
      <c r="AL191" s="31">
        <f>SUMIFS(METALFISA!$E:$E,METALFISA!$A:$A,'Faltantes Fevereiro- Metalfisa'!AL$3,METALFISA!$B:$B,'Faltantes Fevereiro- Metalfisa'!$A191)</f>
        <v>0</v>
      </c>
      <c r="AM191" s="31">
        <f>SUMIFS(METALFISA!$E:$E,METALFISA!$A:$A,'Faltantes Fevereiro- Metalfisa'!AM$3,METALFISA!$B:$B,'Faltantes Fevereiro- Metalfisa'!$A191)</f>
        <v>0</v>
      </c>
      <c r="AN191" s="31">
        <f>SUMIFS(METALFISA!$E:$E,METALFISA!$A:$A,'Faltantes Fevereiro- Metalfisa'!AN$3,METALFISA!$B:$B,'Faltantes Fevereiro- Metalfisa'!$A191)</f>
        <v>0</v>
      </c>
      <c r="AO191" s="31">
        <f>SUMIFS(METALFISA!$E:$E,METALFISA!$A:$A,'Faltantes Fevereiro- Metalfisa'!AO$3,METALFISA!$B:$B,'Faltantes Fevereiro- Metalfisa'!$A191)</f>
        <v>0</v>
      </c>
      <c r="AP191" s="31">
        <f>SUMIFS(METALFISA!$E:$E,METALFISA!$A:$A,'Faltantes Fevereiro- Metalfisa'!AP$3,METALFISA!$B:$B,'Faltantes Fevereiro- Metalfisa'!$A191)</f>
        <v>0</v>
      </c>
      <c r="AQ191" s="31"/>
      <c r="AR191" s="31">
        <f>SUMIFS(METALFISA!$E:$E,METALFISA!$A:$A,'Faltantes Fevereiro- Metalfisa'!AR$3,METALFISA!$B:$B,'Faltantes Fevereiro- Metalfisa'!$A191)</f>
        <v>0</v>
      </c>
      <c r="AS191" s="35">
        <f>SUMIFS(METALFISA!$E:$E,METALFISA!$A:$A,'Faltantes Fevereiro- Metalfisa'!AS$3,METALFISA!$B:$B,'Faltantes Fevereiro- Metalfisa'!$A191)</f>
        <v>0</v>
      </c>
      <c r="AU191" s="18">
        <v>0</v>
      </c>
      <c r="AV191" s="18">
        <v>0</v>
      </c>
      <c r="AW191" s="18">
        <v>0</v>
      </c>
      <c r="AX191" s="18">
        <v>0</v>
      </c>
      <c r="AY191" s="41">
        <v>0</v>
      </c>
      <c r="AZ191" s="31">
        <v>0</v>
      </c>
      <c r="BA191" s="31">
        <v>0</v>
      </c>
      <c r="BB191" s="31">
        <v>0</v>
      </c>
      <c r="BC191" s="31">
        <v>0</v>
      </c>
      <c r="BD191" s="31">
        <v>0</v>
      </c>
      <c r="BE191" s="31">
        <v>0</v>
      </c>
      <c r="BF191" s="31">
        <v>0</v>
      </c>
      <c r="BG191" s="31">
        <v>0</v>
      </c>
      <c r="BH191" s="31">
        <v>0</v>
      </c>
      <c r="BI191" s="31">
        <v>0</v>
      </c>
      <c r="BJ191" s="31">
        <v>0</v>
      </c>
      <c r="BK191" s="31">
        <v>0</v>
      </c>
      <c r="BL191" s="31">
        <v>0</v>
      </c>
      <c r="BM191" s="31">
        <v>0</v>
      </c>
      <c r="BN191" s="31">
        <v>2</v>
      </c>
      <c r="BO191" s="31">
        <v>0</v>
      </c>
      <c r="BP191" s="31">
        <v>0</v>
      </c>
      <c r="BQ191" s="31">
        <v>0</v>
      </c>
      <c r="BR191" s="31">
        <v>0</v>
      </c>
      <c r="BS191" s="31">
        <v>0</v>
      </c>
      <c r="BT191" s="31">
        <v>0</v>
      </c>
      <c r="BU191" s="31">
        <v>0</v>
      </c>
      <c r="BV191" s="31">
        <v>0</v>
      </c>
      <c r="BW191" s="31">
        <v>0</v>
      </c>
      <c r="BX191" s="31">
        <v>0</v>
      </c>
      <c r="BY191" s="31">
        <v>0</v>
      </c>
      <c r="BZ191" s="31">
        <v>0</v>
      </c>
      <c r="CA191" s="31">
        <v>0</v>
      </c>
      <c r="CB191" s="31">
        <v>0</v>
      </c>
      <c r="CC191" s="31">
        <v>0</v>
      </c>
      <c r="CD191" s="31">
        <v>0</v>
      </c>
      <c r="CE191" s="31">
        <v>0</v>
      </c>
      <c r="CF191" s="31">
        <v>0</v>
      </c>
      <c r="CG191" s="31">
        <v>0</v>
      </c>
      <c r="CH191" s="31">
        <v>0</v>
      </c>
      <c r="CI191" s="31">
        <v>0</v>
      </c>
      <c r="CJ191" s="31">
        <v>0</v>
      </c>
      <c r="CK191" s="31">
        <v>0</v>
      </c>
      <c r="CL191" s="35">
        <v>0</v>
      </c>
    </row>
    <row r="192" spans="1:90" ht="31.5" x14ac:dyDescent="0.15">
      <c r="A192" s="27" t="s">
        <v>999</v>
      </c>
      <c r="B192" s="28" t="s">
        <v>1000</v>
      </c>
      <c r="C192" s="28">
        <v>5</v>
      </c>
      <c r="D192" s="28">
        <v>0</v>
      </c>
      <c r="E192" s="28">
        <v>0</v>
      </c>
      <c r="F192" s="28">
        <v>0</v>
      </c>
      <c r="G192" s="28">
        <v>39</v>
      </c>
      <c r="H192" s="28">
        <f>IFERROR(VLOOKUP(A192,[1]FALTANTES!$A:$AB,28,FALSE),"-")</f>
        <v>0</v>
      </c>
      <c r="I192" s="42">
        <f>IFERROR(VLOOKUP(A192,[1]FALTANTES!$A:$AC,29,FALSE),"-")</f>
        <v>13</v>
      </c>
      <c r="J192" s="29">
        <f>IFERROR(VLOOKUP(A192,[1]FALTANTES!$A:$AD,30,FALSE),"-")</f>
        <v>-34</v>
      </c>
      <c r="K192" s="30" t="s">
        <v>5640</v>
      </c>
      <c r="L192" s="30">
        <f t="shared" si="3"/>
        <v>1</v>
      </c>
      <c r="M192" s="31">
        <f>SUMIFS(METALFISA!$E:$E,METALFISA!$A:$A,'Faltantes Fevereiro- Metalfisa'!M$3,METALFISA!$B:$B,'Faltantes Fevereiro- Metalfisa'!$A192)</f>
        <v>0</v>
      </c>
      <c r="N192" s="31">
        <f>SUMIFS(METALFISA!$E:$E,METALFISA!$A:$A,'Faltantes Fevereiro- Metalfisa'!N$3,METALFISA!$B:$B,'Faltantes Fevereiro- Metalfisa'!$A192)</f>
        <v>0</v>
      </c>
      <c r="O192" s="31">
        <f>SUMIFS(METALFISA!$E:$E,METALFISA!$A:$A,'Faltantes Fevereiro- Metalfisa'!O$3,METALFISA!$B:$B,'Faltantes Fevereiro- Metalfisa'!$A192)</f>
        <v>0</v>
      </c>
      <c r="P192" s="31">
        <f>SUMIFS(METALFISA!$E:$E,METALFISA!$A:$A,'Faltantes Fevereiro- Metalfisa'!P$3,METALFISA!$B:$B,'Faltantes Fevereiro- Metalfisa'!$A192)</f>
        <v>0</v>
      </c>
      <c r="Q192" s="31">
        <f>SUMIFS(METALFISA!$E:$E,METALFISA!$A:$A,'Faltantes Fevereiro- Metalfisa'!Q$3,METALFISA!$B:$B,'Faltantes Fevereiro- Metalfisa'!$A192)</f>
        <v>0</v>
      </c>
      <c r="R192" s="31">
        <f>SUMIFS(METALFISA!$E:$E,METALFISA!$A:$A,'Faltantes Fevereiro- Metalfisa'!R$3,METALFISA!$B:$B,'Faltantes Fevereiro- Metalfisa'!$A192)</f>
        <v>0</v>
      </c>
      <c r="S192" s="31">
        <f>SUMIFS(METALFISA!$E:$E,METALFISA!$A:$A,'Faltantes Fevereiro- Metalfisa'!S$3,METALFISA!$B:$B,'Faltantes Fevereiro- Metalfisa'!$A192)</f>
        <v>0</v>
      </c>
      <c r="T192" s="31">
        <f>SUMIFS(METALFISA!$E:$E,METALFISA!$A:$A,'Faltantes Fevereiro- Metalfisa'!T$3,METALFISA!$B:$B,'Faltantes Fevereiro- Metalfisa'!$A192)</f>
        <v>0</v>
      </c>
      <c r="U192" s="31">
        <f>SUMIFS(METALFISA!$E:$E,METALFISA!$A:$A,'Faltantes Fevereiro- Metalfisa'!U$3,METALFISA!$B:$B,'Faltantes Fevereiro- Metalfisa'!$A192)</f>
        <v>0</v>
      </c>
      <c r="V192" s="31">
        <f>SUMIFS(METALFISA!$E:$E,METALFISA!$A:$A,'Faltantes Fevereiro- Metalfisa'!V$3,METALFISA!$B:$B,'Faltantes Fevereiro- Metalfisa'!$A192)</f>
        <v>0</v>
      </c>
      <c r="W192" s="31">
        <f>SUMIFS(METALFISA!$E:$E,METALFISA!$A:$A,'Faltantes Fevereiro- Metalfisa'!W$3,METALFISA!$B:$B,'Faltantes Fevereiro- Metalfisa'!$A192)</f>
        <v>0</v>
      </c>
      <c r="X192" s="31">
        <f>SUMIFS(METALFISA!$E:$E,METALFISA!$A:$A,'Faltantes Fevereiro- Metalfisa'!X$3,METALFISA!$B:$B,'Faltantes Fevereiro- Metalfisa'!$A192)</f>
        <v>0</v>
      </c>
      <c r="Y192" s="31">
        <f>SUMIFS(METALFISA!$E:$E,METALFISA!$A:$A,'Faltantes Fevereiro- Metalfisa'!Y$3,METALFISA!$B:$B,'Faltantes Fevereiro- Metalfisa'!$A192)</f>
        <v>0</v>
      </c>
      <c r="Z192" s="31">
        <f>SUMIFS(METALFISA!$E:$E,METALFISA!$A:$A,'Faltantes Fevereiro- Metalfisa'!Z$3,METALFISA!$B:$B,'Faltantes Fevereiro- Metalfisa'!$A192)</f>
        <v>0</v>
      </c>
      <c r="AA192" s="31">
        <f>SUMIFS(METALFISA!$E:$E,METALFISA!$A:$A,'Faltantes Fevereiro- Metalfisa'!AA$3,METALFISA!$B:$B,'Faltantes Fevereiro- Metalfisa'!$A192)</f>
        <v>0</v>
      </c>
      <c r="AB192" s="31">
        <f>SUMIFS(METALFISA!$E:$E,METALFISA!$A:$A,'Faltantes Fevereiro- Metalfisa'!AB$3,METALFISA!$B:$B,'Faltantes Fevereiro- Metalfisa'!$A192)</f>
        <v>0</v>
      </c>
      <c r="AC192" s="31">
        <f>SUMIFS(METALFISA!$E:$E,METALFISA!$A:$A,'Faltantes Fevereiro- Metalfisa'!AC$3,METALFISA!$B:$B,'Faltantes Fevereiro- Metalfisa'!$A192)</f>
        <v>0</v>
      </c>
      <c r="AD192" s="31">
        <f>SUMIFS(METALFISA!$E:$E,METALFISA!$A:$A,'Faltantes Fevereiro- Metalfisa'!AD$3,METALFISA!$B:$B,'Faltantes Fevereiro- Metalfisa'!$A192)</f>
        <v>0</v>
      </c>
      <c r="AE192" s="31">
        <f>SUMIFS(METALFISA!$E:$E,METALFISA!$A:$A,'Faltantes Fevereiro- Metalfisa'!AE$3,METALFISA!$B:$B,'Faltantes Fevereiro- Metalfisa'!$A192)</f>
        <v>1</v>
      </c>
      <c r="AF192" s="31">
        <f>SUMIFS(METALFISA!$E:$E,METALFISA!$A:$A,'Faltantes Fevereiro- Metalfisa'!AF$3,METALFISA!$B:$B,'Faltantes Fevereiro- Metalfisa'!$A192)</f>
        <v>0</v>
      </c>
      <c r="AG192" s="31">
        <f>SUMIFS(METALFISA!$E:$E,METALFISA!$A:$A,'Faltantes Fevereiro- Metalfisa'!AG$3,METALFISA!$B:$B,'Faltantes Fevereiro- Metalfisa'!$A192)</f>
        <v>0</v>
      </c>
      <c r="AH192" s="31">
        <f>SUMIFS(METALFISA!$E:$E,METALFISA!$A:$A,'Faltantes Fevereiro- Metalfisa'!AH$3,METALFISA!$B:$B,'Faltantes Fevereiro- Metalfisa'!$A192)</f>
        <v>0</v>
      </c>
      <c r="AI192" s="31">
        <f>SUMIFS(METALFISA!$E:$E,METALFISA!$A:$A,'Faltantes Fevereiro- Metalfisa'!AI$3,METALFISA!$B:$B,'Faltantes Fevereiro- Metalfisa'!$A192)</f>
        <v>0</v>
      </c>
      <c r="AJ192" s="31">
        <f>SUMIFS(METALFISA!$E:$E,METALFISA!$A:$A,'Faltantes Fevereiro- Metalfisa'!AJ$3,METALFISA!$B:$B,'Faltantes Fevereiro- Metalfisa'!$A192)</f>
        <v>0</v>
      </c>
      <c r="AK192" s="31">
        <f>SUMIFS(METALFISA!$E:$E,METALFISA!$A:$A,'Faltantes Fevereiro- Metalfisa'!AK$3,METALFISA!$B:$B,'Faltantes Fevereiro- Metalfisa'!$A192)</f>
        <v>0</v>
      </c>
      <c r="AL192" s="31">
        <f>SUMIFS(METALFISA!$E:$E,METALFISA!$A:$A,'Faltantes Fevereiro- Metalfisa'!AL$3,METALFISA!$B:$B,'Faltantes Fevereiro- Metalfisa'!$A192)</f>
        <v>0</v>
      </c>
      <c r="AM192" s="31">
        <f>SUMIFS(METALFISA!$E:$E,METALFISA!$A:$A,'Faltantes Fevereiro- Metalfisa'!AM$3,METALFISA!$B:$B,'Faltantes Fevereiro- Metalfisa'!$A192)</f>
        <v>0</v>
      </c>
      <c r="AN192" s="31">
        <f>SUMIFS(METALFISA!$E:$E,METALFISA!$A:$A,'Faltantes Fevereiro- Metalfisa'!AN$3,METALFISA!$B:$B,'Faltantes Fevereiro- Metalfisa'!$A192)</f>
        <v>0</v>
      </c>
      <c r="AO192" s="31">
        <f>SUMIFS(METALFISA!$E:$E,METALFISA!$A:$A,'Faltantes Fevereiro- Metalfisa'!AO$3,METALFISA!$B:$B,'Faltantes Fevereiro- Metalfisa'!$A192)</f>
        <v>0</v>
      </c>
      <c r="AP192" s="31">
        <f>SUMIFS(METALFISA!$E:$E,METALFISA!$A:$A,'Faltantes Fevereiro- Metalfisa'!AP$3,METALFISA!$B:$B,'Faltantes Fevereiro- Metalfisa'!$A192)</f>
        <v>0</v>
      </c>
      <c r="AQ192" s="31"/>
      <c r="AR192" s="31">
        <f>SUMIFS(METALFISA!$E:$E,METALFISA!$A:$A,'Faltantes Fevereiro- Metalfisa'!AR$3,METALFISA!$B:$B,'Faltantes Fevereiro- Metalfisa'!$A192)</f>
        <v>0</v>
      </c>
      <c r="AS192" s="35">
        <f>SUMIFS(METALFISA!$E:$E,METALFISA!$A:$A,'Faltantes Fevereiro- Metalfisa'!AS$3,METALFISA!$B:$B,'Faltantes Fevereiro- Metalfisa'!$A192)</f>
        <v>0</v>
      </c>
      <c r="AU192" s="18">
        <v>0</v>
      </c>
      <c r="AV192" s="18">
        <v>0</v>
      </c>
      <c r="AW192" s="18">
        <v>0</v>
      </c>
      <c r="AX192" s="18">
        <v>0</v>
      </c>
      <c r="AY192" s="41">
        <v>0</v>
      </c>
      <c r="AZ192" s="31">
        <v>0</v>
      </c>
      <c r="BA192" s="31">
        <v>0</v>
      </c>
      <c r="BB192" s="31">
        <v>0</v>
      </c>
      <c r="BC192" s="31">
        <v>0</v>
      </c>
      <c r="BD192" s="31">
        <v>0</v>
      </c>
      <c r="BE192" s="31">
        <v>0</v>
      </c>
      <c r="BF192" s="31">
        <v>0</v>
      </c>
      <c r="BG192" s="31">
        <v>0</v>
      </c>
      <c r="BH192" s="31">
        <v>0</v>
      </c>
      <c r="BI192" s="31">
        <v>0</v>
      </c>
      <c r="BJ192" s="31">
        <v>0</v>
      </c>
      <c r="BK192" s="31">
        <v>0</v>
      </c>
      <c r="BL192" s="31">
        <v>0</v>
      </c>
      <c r="BM192" s="31">
        <v>0</v>
      </c>
      <c r="BN192" s="31">
        <v>3</v>
      </c>
      <c r="BO192" s="31">
        <v>5</v>
      </c>
      <c r="BP192" s="31">
        <v>0</v>
      </c>
      <c r="BQ192" s="31">
        <v>0</v>
      </c>
      <c r="BR192" s="31">
        <v>0</v>
      </c>
      <c r="BS192" s="31">
        <v>0</v>
      </c>
      <c r="BT192" s="31">
        <v>0</v>
      </c>
      <c r="BU192" s="31">
        <v>0</v>
      </c>
      <c r="BV192" s="31">
        <v>0</v>
      </c>
      <c r="BW192" s="31">
        <v>0</v>
      </c>
      <c r="BX192" s="31">
        <v>0</v>
      </c>
      <c r="BY192" s="31">
        <v>0</v>
      </c>
      <c r="BZ192" s="31">
        <v>0</v>
      </c>
      <c r="CA192" s="31">
        <v>0</v>
      </c>
      <c r="CB192" s="31">
        <v>0</v>
      </c>
      <c r="CC192" s="31">
        <v>0</v>
      </c>
      <c r="CD192" s="31">
        <v>0</v>
      </c>
      <c r="CE192" s="31">
        <v>0</v>
      </c>
      <c r="CF192" s="31">
        <v>0</v>
      </c>
      <c r="CG192" s="31">
        <v>0</v>
      </c>
      <c r="CH192" s="31">
        <v>0</v>
      </c>
      <c r="CI192" s="31">
        <v>0</v>
      </c>
      <c r="CJ192" s="31">
        <v>0</v>
      </c>
      <c r="CK192" s="31">
        <v>0</v>
      </c>
      <c r="CL192" s="35">
        <v>0</v>
      </c>
    </row>
    <row r="193" spans="1:90" x14ac:dyDescent="0.15">
      <c r="A193" s="27" t="s">
        <v>1001</v>
      </c>
      <c r="B193" s="28" t="s">
        <v>1002</v>
      </c>
      <c r="C193" s="28">
        <v>0</v>
      </c>
      <c r="D193" s="28">
        <v>0</v>
      </c>
      <c r="E193" s="28">
        <v>0</v>
      </c>
      <c r="F193" s="28">
        <v>0</v>
      </c>
      <c r="G193" s="28">
        <v>9</v>
      </c>
      <c r="H193" s="28">
        <f>IFERROR(VLOOKUP(A193,[1]FALTANTES!$A:$AB,28,FALSE),"-")</f>
        <v>0</v>
      </c>
      <c r="I193" s="42">
        <f>IFERROR(VLOOKUP(A193,[1]FALTANTES!$A:$AC,29,FALSE),"-")</f>
        <v>2</v>
      </c>
      <c r="J193" s="29">
        <f>IFERROR(VLOOKUP(A193,[1]FALTANTES!$A:$AD,30,FALSE),"-")</f>
        <v>-7</v>
      </c>
      <c r="K193" s="30">
        <v>0</v>
      </c>
      <c r="L193" s="30">
        <f t="shared" si="3"/>
        <v>2</v>
      </c>
      <c r="M193" s="31">
        <f>SUMIFS(METALFISA!$E:$E,METALFISA!$A:$A,'Faltantes Fevereiro- Metalfisa'!M$3,METALFISA!$B:$B,'Faltantes Fevereiro- Metalfisa'!$A193)</f>
        <v>0</v>
      </c>
      <c r="N193" s="31">
        <f>SUMIFS(METALFISA!$E:$E,METALFISA!$A:$A,'Faltantes Fevereiro- Metalfisa'!N$3,METALFISA!$B:$B,'Faltantes Fevereiro- Metalfisa'!$A193)</f>
        <v>0</v>
      </c>
      <c r="O193" s="31">
        <f>SUMIFS(METALFISA!$E:$E,METALFISA!$A:$A,'Faltantes Fevereiro- Metalfisa'!O$3,METALFISA!$B:$B,'Faltantes Fevereiro- Metalfisa'!$A193)</f>
        <v>0</v>
      </c>
      <c r="P193" s="31">
        <f>SUMIFS(METALFISA!$E:$E,METALFISA!$A:$A,'Faltantes Fevereiro- Metalfisa'!P$3,METALFISA!$B:$B,'Faltantes Fevereiro- Metalfisa'!$A193)</f>
        <v>0</v>
      </c>
      <c r="Q193" s="31">
        <f>SUMIFS(METALFISA!$E:$E,METALFISA!$A:$A,'Faltantes Fevereiro- Metalfisa'!Q$3,METALFISA!$B:$B,'Faltantes Fevereiro- Metalfisa'!$A193)</f>
        <v>0</v>
      </c>
      <c r="R193" s="31">
        <f>SUMIFS(METALFISA!$E:$E,METALFISA!$A:$A,'Faltantes Fevereiro- Metalfisa'!R$3,METALFISA!$B:$B,'Faltantes Fevereiro- Metalfisa'!$A193)</f>
        <v>0</v>
      </c>
      <c r="S193" s="31">
        <f>SUMIFS(METALFISA!$E:$E,METALFISA!$A:$A,'Faltantes Fevereiro- Metalfisa'!S$3,METALFISA!$B:$B,'Faltantes Fevereiro- Metalfisa'!$A193)</f>
        <v>0</v>
      </c>
      <c r="T193" s="31">
        <f>SUMIFS(METALFISA!$E:$E,METALFISA!$A:$A,'Faltantes Fevereiro- Metalfisa'!T$3,METALFISA!$B:$B,'Faltantes Fevereiro- Metalfisa'!$A193)</f>
        <v>0</v>
      </c>
      <c r="U193" s="31">
        <f>SUMIFS(METALFISA!$E:$E,METALFISA!$A:$A,'Faltantes Fevereiro- Metalfisa'!U$3,METALFISA!$B:$B,'Faltantes Fevereiro- Metalfisa'!$A193)</f>
        <v>0</v>
      </c>
      <c r="V193" s="31">
        <f>SUMIFS(METALFISA!$E:$E,METALFISA!$A:$A,'Faltantes Fevereiro- Metalfisa'!V$3,METALFISA!$B:$B,'Faltantes Fevereiro- Metalfisa'!$A193)</f>
        <v>0</v>
      </c>
      <c r="W193" s="31">
        <f>SUMIFS(METALFISA!$E:$E,METALFISA!$A:$A,'Faltantes Fevereiro- Metalfisa'!W$3,METALFISA!$B:$B,'Faltantes Fevereiro- Metalfisa'!$A193)</f>
        <v>0</v>
      </c>
      <c r="X193" s="31">
        <f>SUMIFS(METALFISA!$E:$E,METALFISA!$A:$A,'Faltantes Fevereiro- Metalfisa'!X$3,METALFISA!$B:$B,'Faltantes Fevereiro- Metalfisa'!$A193)</f>
        <v>0</v>
      </c>
      <c r="Y193" s="31">
        <f>SUMIFS(METALFISA!$E:$E,METALFISA!$A:$A,'Faltantes Fevereiro- Metalfisa'!Y$3,METALFISA!$B:$B,'Faltantes Fevereiro- Metalfisa'!$A193)</f>
        <v>0</v>
      </c>
      <c r="Z193" s="31">
        <f>SUMIFS(METALFISA!$E:$E,METALFISA!$A:$A,'Faltantes Fevereiro- Metalfisa'!Z$3,METALFISA!$B:$B,'Faltantes Fevereiro- Metalfisa'!$A193)</f>
        <v>0</v>
      </c>
      <c r="AA193" s="31">
        <f>SUMIFS(METALFISA!$E:$E,METALFISA!$A:$A,'Faltantes Fevereiro- Metalfisa'!AA$3,METALFISA!$B:$B,'Faltantes Fevereiro- Metalfisa'!$A193)</f>
        <v>0</v>
      </c>
      <c r="AB193" s="31">
        <f>SUMIFS(METALFISA!$E:$E,METALFISA!$A:$A,'Faltantes Fevereiro- Metalfisa'!AB$3,METALFISA!$B:$B,'Faltantes Fevereiro- Metalfisa'!$A193)</f>
        <v>0</v>
      </c>
      <c r="AC193" s="31">
        <f>SUMIFS(METALFISA!$E:$E,METALFISA!$A:$A,'Faltantes Fevereiro- Metalfisa'!AC$3,METALFISA!$B:$B,'Faltantes Fevereiro- Metalfisa'!$A193)</f>
        <v>0</v>
      </c>
      <c r="AD193" s="31">
        <f>SUMIFS(METALFISA!$E:$E,METALFISA!$A:$A,'Faltantes Fevereiro- Metalfisa'!AD$3,METALFISA!$B:$B,'Faltantes Fevereiro- Metalfisa'!$A193)</f>
        <v>0</v>
      </c>
      <c r="AE193" s="31">
        <f>SUMIFS(METALFISA!$E:$E,METALFISA!$A:$A,'Faltantes Fevereiro- Metalfisa'!AE$3,METALFISA!$B:$B,'Faltantes Fevereiro- Metalfisa'!$A193)</f>
        <v>2</v>
      </c>
      <c r="AF193" s="31">
        <f>SUMIFS(METALFISA!$E:$E,METALFISA!$A:$A,'Faltantes Fevereiro- Metalfisa'!AF$3,METALFISA!$B:$B,'Faltantes Fevereiro- Metalfisa'!$A193)</f>
        <v>0</v>
      </c>
      <c r="AG193" s="31">
        <f>SUMIFS(METALFISA!$E:$E,METALFISA!$A:$A,'Faltantes Fevereiro- Metalfisa'!AG$3,METALFISA!$B:$B,'Faltantes Fevereiro- Metalfisa'!$A193)</f>
        <v>0</v>
      </c>
      <c r="AH193" s="31">
        <f>SUMIFS(METALFISA!$E:$E,METALFISA!$A:$A,'Faltantes Fevereiro- Metalfisa'!AH$3,METALFISA!$B:$B,'Faltantes Fevereiro- Metalfisa'!$A193)</f>
        <v>0</v>
      </c>
      <c r="AI193" s="31">
        <f>SUMIFS(METALFISA!$E:$E,METALFISA!$A:$A,'Faltantes Fevereiro- Metalfisa'!AI$3,METALFISA!$B:$B,'Faltantes Fevereiro- Metalfisa'!$A193)</f>
        <v>0</v>
      </c>
      <c r="AJ193" s="31">
        <f>SUMIFS(METALFISA!$E:$E,METALFISA!$A:$A,'Faltantes Fevereiro- Metalfisa'!AJ$3,METALFISA!$B:$B,'Faltantes Fevereiro- Metalfisa'!$A193)</f>
        <v>0</v>
      </c>
      <c r="AK193" s="31">
        <f>SUMIFS(METALFISA!$E:$E,METALFISA!$A:$A,'Faltantes Fevereiro- Metalfisa'!AK$3,METALFISA!$B:$B,'Faltantes Fevereiro- Metalfisa'!$A193)</f>
        <v>0</v>
      </c>
      <c r="AL193" s="31">
        <f>SUMIFS(METALFISA!$E:$E,METALFISA!$A:$A,'Faltantes Fevereiro- Metalfisa'!AL$3,METALFISA!$B:$B,'Faltantes Fevereiro- Metalfisa'!$A193)</f>
        <v>0</v>
      </c>
      <c r="AM193" s="31">
        <f>SUMIFS(METALFISA!$E:$E,METALFISA!$A:$A,'Faltantes Fevereiro- Metalfisa'!AM$3,METALFISA!$B:$B,'Faltantes Fevereiro- Metalfisa'!$A193)</f>
        <v>0</v>
      </c>
      <c r="AN193" s="31">
        <f>SUMIFS(METALFISA!$E:$E,METALFISA!$A:$A,'Faltantes Fevereiro- Metalfisa'!AN$3,METALFISA!$B:$B,'Faltantes Fevereiro- Metalfisa'!$A193)</f>
        <v>0</v>
      </c>
      <c r="AO193" s="31">
        <f>SUMIFS(METALFISA!$E:$E,METALFISA!$A:$A,'Faltantes Fevereiro- Metalfisa'!AO$3,METALFISA!$B:$B,'Faltantes Fevereiro- Metalfisa'!$A193)</f>
        <v>0</v>
      </c>
      <c r="AP193" s="31">
        <f>SUMIFS(METALFISA!$E:$E,METALFISA!$A:$A,'Faltantes Fevereiro- Metalfisa'!AP$3,METALFISA!$B:$B,'Faltantes Fevereiro- Metalfisa'!$A193)</f>
        <v>0</v>
      </c>
      <c r="AQ193" s="31"/>
      <c r="AR193" s="31">
        <f>SUMIFS(METALFISA!$E:$E,METALFISA!$A:$A,'Faltantes Fevereiro- Metalfisa'!AR$3,METALFISA!$B:$B,'Faltantes Fevereiro- Metalfisa'!$A193)</f>
        <v>0</v>
      </c>
      <c r="AS193" s="35">
        <f>SUMIFS(METALFISA!$E:$E,METALFISA!$A:$A,'Faltantes Fevereiro- Metalfisa'!AS$3,METALFISA!$B:$B,'Faltantes Fevereiro- Metalfisa'!$A193)</f>
        <v>0</v>
      </c>
      <c r="AU193" s="18">
        <v>0</v>
      </c>
      <c r="AV193" s="18">
        <v>0</v>
      </c>
      <c r="AW193" s="18">
        <v>0</v>
      </c>
      <c r="AX193" s="18">
        <v>0</v>
      </c>
      <c r="AY193" s="41">
        <v>0</v>
      </c>
      <c r="AZ193" s="31">
        <v>0</v>
      </c>
      <c r="BA193" s="31">
        <v>0</v>
      </c>
      <c r="BB193" s="31">
        <v>0</v>
      </c>
      <c r="BC193" s="31">
        <v>0</v>
      </c>
      <c r="BD193" s="31">
        <v>0</v>
      </c>
      <c r="BE193" s="31">
        <v>0</v>
      </c>
      <c r="BF193" s="31">
        <v>0</v>
      </c>
      <c r="BG193" s="31">
        <v>0</v>
      </c>
      <c r="BH193" s="31">
        <v>0</v>
      </c>
      <c r="BI193" s="31">
        <v>0</v>
      </c>
      <c r="BJ193" s="31">
        <v>0</v>
      </c>
      <c r="BK193" s="31">
        <v>0</v>
      </c>
      <c r="BL193" s="31">
        <v>0</v>
      </c>
      <c r="BM193" s="31">
        <v>0</v>
      </c>
      <c r="BN193" s="31">
        <v>1</v>
      </c>
      <c r="BO193" s="31">
        <v>1</v>
      </c>
      <c r="BP193" s="31">
        <v>0</v>
      </c>
      <c r="BQ193" s="31">
        <v>0</v>
      </c>
      <c r="BR193" s="31">
        <v>0</v>
      </c>
      <c r="BS193" s="31">
        <v>0</v>
      </c>
      <c r="BT193" s="31">
        <v>0</v>
      </c>
      <c r="BU193" s="31">
        <v>0</v>
      </c>
      <c r="BV193" s="31">
        <v>0</v>
      </c>
      <c r="BW193" s="31">
        <v>0</v>
      </c>
      <c r="BX193" s="31">
        <v>0</v>
      </c>
      <c r="BY193" s="31">
        <v>0</v>
      </c>
      <c r="BZ193" s="31">
        <v>0</v>
      </c>
      <c r="CA193" s="31">
        <v>0</v>
      </c>
      <c r="CB193" s="31">
        <v>0</v>
      </c>
      <c r="CC193" s="31">
        <v>0</v>
      </c>
      <c r="CD193" s="31">
        <v>0</v>
      </c>
      <c r="CE193" s="31">
        <v>0</v>
      </c>
      <c r="CF193" s="31">
        <v>0</v>
      </c>
      <c r="CG193" s="31">
        <v>0</v>
      </c>
      <c r="CH193" s="31">
        <v>0</v>
      </c>
      <c r="CI193" s="31">
        <v>0</v>
      </c>
      <c r="CJ193" s="31">
        <v>0</v>
      </c>
      <c r="CK193" s="31">
        <v>0</v>
      </c>
      <c r="CL193" s="35">
        <v>0</v>
      </c>
    </row>
    <row r="194" spans="1:90" ht="21" x14ac:dyDescent="0.15">
      <c r="A194" s="27" t="s">
        <v>1003</v>
      </c>
      <c r="B194" s="28" t="s">
        <v>1004</v>
      </c>
      <c r="C194" s="28">
        <v>0</v>
      </c>
      <c r="D194" s="28">
        <v>0</v>
      </c>
      <c r="E194" s="28">
        <v>0</v>
      </c>
      <c r="F194" s="28">
        <v>0</v>
      </c>
      <c r="G194" s="28">
        <v>8</v>
      </c>
      <c r="H194" s="28">
        <f>IFERROR(VLOOKUP(A194,[1]FALTANTES!$A:$AB,28,FALSE),"-")</f>
        <v>0</v>
      </c>
      <c r="I194" s="42">
        <f>IFERROR(VLOOKUP(A194,[1]FALTANTES!$A:$AC,29,FALSE),"-")</f>
        <v>2</v>
      </c>
      <c r="J194" s="29">
        <f>IFERROR(VLOOKUP(A194,[1]FALTANTES!$A:$AD,30,FALSE),"-")</f>
        <v>-6</v>
      </c>
      <c r="K194" s="30">
        <v>0</v>
      </c>
      <c r="L194" s="30">
        <f t="shared" si="3"/>
        <v>2</v>
      </c>
      <c r="M194" s="31">
        <f>SUMIFS(METALFISA!$E:$E,METALFISA!$A:$A,'Faltantes Fevereiro- Metalfisa'!M$3,METALFISA!$B:$B,'Faltantes Fevereiro- Metalfisa'!$A194)</f>
        <v>0</v>
      </c>
      <c r="N194" s="31">
        <f>SUMIFS(METALFISA!$E:$E,METALFISA!$A:$A,'Faltantes Fevereiro- Metalfisa'!N$3,METALFISA!$B:$B,'Faltantes Fevereiro- Metalfisa'!$A194)</f>
        <v>0</v>
      </c>
      <c r="O194" s="31">
        <f>SUMIFS(METALFISA!$E:$E,METALFISA!$A:$A,'Faltantes Fevereiro- Metalfisa'!O$3,METALFISA!$B:$B,'Faltantes Fevereiro- Metalfisa'!$A194)</f>
        <v>0</v>
      </c>
      <c r="P194" s="31">
        <f>SUMIFS(METALFISA!$E:$E,METALFISA!$A:$A,'Faltantes Fevereiro- Metalfisa'!P$3,METALFISA!$B:$B,'Faltantes Fevereiro- Metalfisa'!$A194)</f>
        <v>0</v>
      </c>
      <c r="Q194" s="31">
        <f>SUMIFS(METALFISA!$E:$E,METALFISA!$A:$A,'Faltantes Fevereiro- Metalfisa'!Q$3,METALFISA!$B:$B,'Faltantes Fevereiro- Metalfisa'!$A194)</f>
        <v>0</v>
      </c>
      <c r="R194" s="31">
        <f>SUMIFS(METALFISA!$E:$E,METALFISA!$A:$A,'Faltantes Fevereiro- Metalfisa'!R$3,METALFISA!$B:$B,'Faltantes Fevereiro- Metalfisa'!$A194)</f>
        <v>0</v>
      </c>
      <c r="S194" s="31">
        <f>SUMIFS(METALFISA!$E:$E,METALFISA!$A:$A,'Faltantes Fevereiro- Metalfisa'!S$3,METALFISA!$B:$B,'Faltantes Fevereiro- Metalfisa'!$A194)</f>
        <v>0</v>
      </c>
      <c r="T194" s="31">
        <f>SUMIFS(METALFISA!$E:$E,METALFISA!$A:$A,'Faltantes Fevereiro- Metalfisa'!T$3,METALFISA!$B:$B,'Faltantes Fevereiro- Metalfisa'!$A194)</f>
        <v>0</v>
      </c>
      <c r="U194" s="31">
        <f>SUMIFS(METALFISA!$E:$E,METALFISA!$A:$A,'Faltantes Fevereiro- Metalfisa'!U$3,METALFISA!$B:$B,'Faltantes Fevereiro- Metalfisa'!$A194)</f>
        <v>0</v>
      </c>
      <c r="V194" s="31">
        <f>SUMIFS(METALFISA!$E:$E,METALFISA!$A:$A,'Faltantes Fevereiro- Metalfisa'!V$3,METALFISA!$B:$B,'Faltantes Fevereiro- Metalfisa'!$A194)</f>
        <v>0</v>
      </c>
      <c r="W194" s="31">
        <f>SUMIFS(METALFISA!$E:$E,METALFISA!$A:$A,'Faltantes Fevereiro- Metalfisa'!W$3,METALFISA!$B:$B,'Faltantes Fevereiro- Metalfisa'!$A194)</f>
        <v>0</v>
      </c>
      <c r="X194" s="31">
        <f>SUMIFS(METALFISA!$E:$E,METALFISA!$A:$A,'Faltantes Fevereiro- Metalfisa'!X$3,METALFISA!$B:$B,'Faltantes Fevereiro- Metalfisa'!$A194)</f>
        <v>0</v>
      </c>
      <c r="Y194" s="31">
        <f>SUMIFS(METALFISA!$E:$E,METALFISA!$A:$A,'Faltantes Fevereiro- Metalfisa'!Y$3,METALFISA!$B:$B,'Faltantes Fevereiro- Metalfisa'!$A194)</f>
        <v>0</v>
      </c>
      <c r="Z194" s="31">
        <f>SUMIFS(METALFISA!$E:$E,METALFISA!$A:$A,'Faltantes Fevereiro- Metalfisa'!Z$3,METALFISA!$B:$B,'Faltantes Fevereiro- Metalfisa'!$A194)</f>
        <v>0</v>
      </c>
      <c r="AA194" s="31">
        <f>SUMIFS(METALFISA!$E:$E,METALFISA!$A:$A,'Faltantes Fevereiro- Metalfisa'!AA$3,METALFISA!$B:$B,'Faltantes Fevereiro- Metalfisa'!$A194)</f>
        <v>0</v>
      </c>
      <c r="AB194" s="31">
        <f>SUMIFS(METALFISA!$E:$E,METALFISA!$A:$A,'Faltantes Fevereiro- Metalfisa'!AB$3,METALFISA!$B:$B,'Faltantes Fevereiro- Metalfisa'!$A194)</f>
        <v>0</v>
      </c>
      <c r="AC194" s="31">
        <f>SUMIFS(METALFISA!$E:$E,METALFISA!$A:$A,'Faltantes Fevereiro- Metalfisa'!AC$3,METALFISA!$B:$B,'Faltantes Fevereiro- Metalfisa'!$A194)</f>
        <v>0</v>
      </c>
      <c r="AD194" s="31">
        <f>SUMIFS(METALFISA!$E:$E,METALFISA!$A:$A,'Faltantes Fevereiro- Metalfisa'!AD$3,METALFISA!$B:$B,'Faltantes Fevereiro- Metalfisa'!$A194)</f>
        <v>0</v>
      </c>
      <c r="AE194" s="31">
        <f>SUMIFS(METALFISA!$E:$E,METALFISA!$A:$A,'Faltantes Fevereiro- Metalfisa'!AE$3,METALFISA!$B:$B,'Faltantes Fevereiro- Metalfisa'!$A194)</f>
        <v>2</v>
      </c>
      <c r="AF194" s="31">
        <f>SUMIFS(METALFISA!$E:$E,METALFISA!$A:$A,'Faltantes Fevereiro- Metalfisa'!AF$3,METALFISA!$B:$B,'Faltantes Fevereiro- Metalfisa'!$A194)</f>
        <v>0</v>
      </c>
      <c r="AG194" s="31">
        <f>SUMIFS(METALFISA!$E:$E,METALFISA!$A:$A,'Faltantes Fevereiro- Metalfisa'!AG$3,METALFISA!$B:$B,'Faltantes Fevereiro- Metalfisa'!$A194)</f>
        <v>0</v>
      </c>
      <c r="AH194" s="31">
        <f>SUMIFS(METALFISA!$E:$E,METALFISA!$A:$A,'Faltantes Fevereiro- Metalfisa'!AH$3,METALFISA!$B:$B,'Faltantes Fevereiro- Metalfisa'!$A194)</f>
        <v>0</v>
      </c>
      <c r="AI194" s="31">
        <f>SUMIFS(METALFISA!$E:$E,METALFISA!$A:$A,'Faltantes Fevereiro- Metalfisa'!AI$3,METALFISA!$B:$B,'Faltantes Fevereiro- Metalfisa'!$A194)</f>
        <v>0</v>
      </c>
      <c r="AJ194" s="31">
        <f>SUMIFS(METALFISA!$E:$E,METALFISA!$A:$A,'Faltantes Fevereiro- Metalfisa'!AJ$3,METALFISA!$B:$B,'Faltantes Fevereiro- Metalfisa'!$A194)</f>
        <v>0</v>
      </c>
      <c r="AK194" s="31">
        <f>SUMIFS(METALFISA!$E:$E,METALFISA!$A:$A,'Faltantes Fevereiro- Metalfisa'!AK$3,METALFISA!$B:$B,'Faltantes Fevereiro- Metalfisa'!$A194)</f>
        <v>0</v>
      </c>
      <c r="AL194" s="31">
        <f>SUMIFS(METALFISA!$E:$E,METALFISA!$A:$A,'Faltantes Fevereiro- Metalfisa'!AL$3,METALFISA!$B:$B,'Faltantes Fevereiro- Metalfisa'!$A194)</f>
        <v>0</v>
      </c>
      <c r="AM194" s="31">
        <f>SUMIFS(METALFISA!$E:$E,METALFISA!$A:$A,'Faltantes Fevereiro- Metalfisa'!AM$3,METALFISA!$B:$B,'Faltantes Fevereiro- Metalfisa'!$A194)</f>
        <v>0</v>
      </c>
      <c r="AN194" s="31">
        <f>SUMIFS(METALFISA!$E:$E,METALFISA!$A:$A,'Faltantes Fevereiro- Metalfisa'!AN$3,METALFISA!$B:$B,'Faltantes Fevereiro- Metalfisa'!$A194)</f>
        <v>0</v>
      </c>
      <c r="AO194" s="31">
        <f>SUMIFS(METALFISA!$E:$E,METALFISA!$A:$A,'Faltantes Fevereiro- Metalfisa'!AO$3,METALFISA!$B:$B,'Faltantes Fevereiro- Metalfisa'!$A194)</f>
        <v>0</v>
      </c>
      <c r="AP194" s="31">
        <f>SUMIFS(METALFISA!$E:$E,METALFISA!$A:$A,'Faltantes Fevereiro- Metalfisa'!AP$3,METALFISA!$B:$B,'Faltantes Fevereiro- Metalfisa'!$A194)</f>
        <v>0</v>
      </c>
      <c r="AQ194" s="31"/>
      <c r="AR194" s="31">
        <f>SUMIFS(METALFISA!$E:$E,METALFISA!$A:$A,'Faltantes Fevereiro- Metalfisa'!AR$3,METALFISA!$B:$B,'Faltantes Fevereiro- Metalfisa'!$A194)</f>
        <v>0</v>
      </c>
      <c r="AS194" s="35">
        <f>SUMIFS(METALFISA!$E:$E,METALFISA!$A:$A,'Faltantes Fevereiro- Metalfisa'!AS$3,METALFISA!$B:$B,'Faltantes Fevereiro- Metalfisa'!$A194)</f>
        <v>0</v>
      </c>
      <c r="AU194" s="18">
        <v>0</v>
      </c>
      <c r="AV194" s="18">
        <v>0</v>
      </c>
      <c r="AW194" s="18">
        <v>0</v>
      </c>
      <c r="AX194" s="18">
        <v>0</v>
      </c>
      <c r="AY194" s="41">
        <v>0</v>
      </c>
      <c r="AZ194" s="31">
        <v>0</v>
      </c>
      <c r="BA194" s="31">
        <v>0</v>
      </c>
      <c r="BB194" s="31">
        <v>0</v>
      </c>
      <c r="BC194" s="31">
        <v>0</v>
      </c>
      <c r="BD194" s="31">
        <v>0</v>
      </c>
      <c r="BE194" s="31">
        <v>0</v>
      </c>
      <c r="BF194" s="31">
        <v>0</v>
      </c>
      <c r="BG194" s="31">
        <v>0</v>
      </c>
      <c r="BH194" s="31">
        <v>0</v>
      </c>
      <c r="BI194" s="31">
        <v>0</v>
      </c>
      <c r="BJ194" s="31">
        <v>0</v>
      </c>
      <c r="BK194" s="31">
        <v>0</v>
      </c>
      <c r="BL194" s="31">
        <v>0</v>
      </c>
      <c r="BM194" s="31">
        <v>0</v>
      </c>
      <c r="BN194" s="31">
        <v>1</v>
      </c>
      <c r="BO194" s="31">
        <v>1</v>
      </c>
      <c r="BP194" s="31">
        <v>0</v>
      </c>
      <c r="BQ194" s="31">
        <v>0</v>
      </c>
      <c r="BR194" s="31">
        <v>0</v>
      </c>
      <c r="BS194" s="31">
        <v>0</v>
      </c>
      <c r="BT194" s="31">
        <v>0</v>
      </c>
      <c r="BU194" s="31">
        <v>0</v>
      </c>
      <c r="BV194" s="31">
        <v>0</v>
      </c>
      <c r="BW194" s="31">
        <v>0</v>
      </c>
      <c r="BX194" s="31">
        <v>0</v>
      </c>
      <c r="BY194" s="31">
        <v>0</v>
      </c>
      <c r="BZ194" s="31">
        <v>0</v>
      </c>
      <c r="CA194" s="31">
        <v>0</v>
      </c>
      <c r="CB194" s="31">
        <v>0</v>
      </c>
      <c r="CC194" s="31">
        <v>0</v>
      </c>
      <c r="CD194" s="31">
        <v>0</v>
      </c>
      <c r="CE194" s="31">
        <v>0</v>
      </c>
      <c r="CF194" s="31">
        <v>0</v>
      </c>
      <c r="CG194" s="31">
        <v>0</v>
      </c>
      <c r="CH194" s="31">
        <v>0</v>
      </c>
      <c r="CI194" s="31">
        <v>0</v>
      </c>
      <c r="CJ194" s="31">
        <v>0</v>
      </c>
      <c r="CK194" s="31">
        <v>0</v>
      </c>
      <c r="CL194" s="35">
        <v>0</v>
      </c>
    </row>
    <row r="195" spans="1:90" x14ac:dyDescent="0.15">
      <c r="A195" s="27" t="s">
        <v>1017</v>
      </c>
      <c r="B195" s="28" t="s">
        <v>1018</v>
      </c>
      <c r="C195" s="28">
        <v>1</v>
      </c>
      <c r="D195" s="28">
        <v>0</v>
      </c>
      <c r="E195" s="28">
        <v>0</v>
      </c>
      <c r="F195" s="28">
        <v>0</v>
      </c>
      <c r="G195" s="28">
        <v>9</v>
      </c>
      <c r="H195" s="28">
        <f>IFERROR(VLOOKUP(A195,[1]FALTANTES!$A:$AB,28,FALSE),"-")</f>
        <v>0</v>
      </c>
      <c r="I195" s="42">
        <f>IFERROR(VLOOKUP(A195,[1]FALTANTES!$A:$AC,29,FALSE),"-")</f>
        <v>3</v>
      </c>
      <c r="J195" s="29">
        <f>IFERROR(VLOOKUP(A195,[1]FALTANTES!$A:$AD,30,FALSE),"-")</f>
        <v>-7</v>
      </c>
      <c r="K195" s="30">
        <v>0</v>
      </c>
      <c r="L195" s="30">
        <f t="shared" si="3"/>
        <v>2</v>
      </c>
      <c r="M195" s="31">
        <f>SUMIFS(METALFISA!$E:$E,METALFISA!$A:$A,'Faltantes Fevereiro- Metalfisa'!M$3,METALFISA!$B:$B,'Faltantes Fevereiro- Metalfisa'!$A195)</f>
        <v>0</v>
      </c>
      <c r="N195" s="31">
        <f>SUMIFS(METALFISA!$E:$E,METALFISA!$A:$A,'Faltantes Fevereiro- Metalfisa'!N$3,METALFISA!$B:$B,'Faltantes Fevereiro- Metalfisa'!$A195)</f>
        <v>0</v>
      </c>
      <c r="O195" s="31">
        <f>SUMIFS(METALFISA!$E:$E,METALFISA!$A:$A,'Faltantes Fevereiro- Metalfisa'!O$3,METALFISA!$B:$B,'Faltantes Fevereiro- Metalfisa'!$A195)</f>
        <v>0</v>
      </c>
      <c r="P195" s="31">
        <f>SUMIFS(METALFISA!$E:$E,METALFISA!$A:$A,'Faltantes Fevereiro- Metalfisa'!P$3,METALFISA!$B:$B,'Faltantes Fevereiro- Metalfisa'!$A195)</f>
        <v>0</v>
      </c>
      <c r="Q195" s="31">
        <f>SUMIFS(METALFISA!$E:$E,METALFISA!$A:$A,'Faltantes Fevereiro- Metalfisa'!Q$3,METALFISA!$B:$B,'Faltantes Fevereiro- Metalfisa'!$A195)</f>
        <v>0</v>
      </c>
      <c r="R195" s="31">
        <f>SUMIFS(METALFISA!$E:$E,METALFISA!$A:$A,'Faltantes Fevereiro- Metalfisa'!R$3,METALFISA!$B:$B,'Faltantes Fevereiro- Metalfisa'!$A195)</f>
        <v>0</v>
      </c>
      <c r="S195" s="31">
        <f>SUMIFS(METALFISA!$E:$E,METALFISA!$A:$A,'Faltantes Fevereiro- Metalfisa'!S$3,METALFISA!$B:$B,'Faltantes Fevereiro- Metalfisa'!$A195)</f>
        <v>0</v>
      </c>
      <c r="T195" s="31">
        <f>SUMIFS(METALFISA!$E:$E,METALFISA!$A:$A,'Faltantes Fevereiro- Metalfisa'!T$3,METALFISA!$B:$B,'Faltantes Fevereiro- Metalfisa'!$A195)</f>
        <v>0</v>
      </c>
      <c r="U195" s="31">
        <f>SUMIFS(METALFISA!$E:$E,METALFISA!$A:$A,'Faltantes Fevereiro- Metalfisa'!U$3,METALFISA!$B:$B,'Faltantes Fevereiro- Metalfisa'!$A195)</f>
        <v>0</v>
      </c>
      <c r="V195" s="31">
        <f>SUMIFS(METALFISA!$E:$E,METALFISA!$A:$A,'Faltantes Fevereiro- Metalfisa'!V$3,METALFISA!$B:$B,'Faltantes Fevereiro- Metalfisa'!$A195)</f>
        <v>0</v>
      </c>
      <c r="W195" s="31">
        <f>SUMIFS(METALFISA!$E:$E,METALFISA!$A:$A,'Faltantes Fevereiro- Metalfisa'!W$3,METALFISA!$B:$B,'Faltantes Fevereiro- Metalfisa'!$A195)</f>
        <v>0</v>
      </c>
      <c r="X195" s="31">
        <f>SUMIFS(METALFISA!$E:$E,METALFISA!$A:$A,'Faltantes Fevereiro- Metalfisa'!X$3,METALFISA!$B:$B,'Faltantes Fevereiro- Metalfisa'!$A195)</f>
        <v>0</v>
      </c>
      <c r="Y195" s="31">
        <f>SUMIFS(METALFISA!$E:$E,METALFISA!$A:$A,'Faltantes Fevereiro- Metalfisa'!Y$3,METALFISA!$B:$B,'Faltantes Fevereiro- Metalfisa'!$A195)</f>
        <v>0</v>
      </c>
      <c r="Z195" s="31">
        <f>SUMIFS(METALFISA!$E:$E,METALFISA!$A:$A,'Faltantes Fevereiro- Metalfisa'!Z$3,METALFISA!$B:$B,'Faltantes Fevereiro- Metalfisa'!$A195)</f>
        <v>0</v>
      </c>
      <c r="AA195" s="31">
        <f>SUMIFS(METALFISA!$E:$E,METALFISA!$A:$A,'Faltantes Fevereiro- Metalfisa'!AA$3,METALFISA!$B:$B,'Faltantes Fevereiro- Metalfisa'!$A195)</f>
        <v>0</v>
      </c>
      <c r="AB195" s="31">
        <f>SUMIFS(METALFISA!$E:$E,METALFISA!$A:$A,'Faltantes Fevereiro- Metalfisa'!AB$3,METALFISA!$B:$B,'Faltantes Fevereiro- Metalfisa'!$A195)</f>
        <v>0</v>
      </c>
      <c r="AC195" s="31">
        <f>SUMIFS(METALFISA!$E:$E,METALFISA!$A:$A,'Faltantes Fevereiro- Metalfisa'!AC$3,METALFISA!$B:$B,'Faltantes Fevereiro- Metalfisa'!$A195)</f>
        <v>0</v>
      </c>
      <c r="AD195" s="31">
        <f>SUMIFS(METALFISA!$E:$E,METALFISA!$A:$A,'Faltantes Fevereiro- Metalfisa'!AD$3,METALFISA!$B:$B,'Faltantes Fevereiro- Metalfisa'!$A195)</f>
        <v>0</v>
      </c>
      <c r="AE195" s="31">
        <f>SUMIFS(METALFISA!$E:$E,METALFISA!$A:$A,'Faltantes Fevereiro- Metalfisa'!AE$3,METALFISA!$B:$B,'Faltantes Fevereiro- Metalfisa'!$A195)</f>
        <v>2</v>
      </c>
      <c r="AF195" s="31">
        <f>SUMIFS(METALFISA!$E:$E,METALFISA!$A:$A,'Faltantes Fevereiro- Metalfisa'!AF$3,METALFISA!$B:$B,'Faltantes Fevereiro- Metalfisa'!$A195)</f>
        <v>0</v>
      </c>
      <c r="AG195" s="31">
        <f>SUMIFS(METALFISA!$E:$E,METALFISA!$A:$A,'Faltantes Fevereiro- Metalfisa'!AG$3,METALFISA!$B:$B,'Faltantes Fevereiro- Metalfisa'!$A195)</f>
        <v>0</v>
      </c>
      <c r="AH195" s="31">
        <f>SUMIFS(METALFISA!$E:$E,METALFISA!$A:$A,'Faltantes Fevereiro- Metalfisa'!AH$3,METALFISA!$B:$B,'Faltantes Fevereiro- Metalfisa'!$A195)</f>
        <v>0</v>
      </c>
      <c r="AI195" s="31">
        <f>SUMIFS(METALFISA!$E:$E,METALFISA!$A:$A,'Faltantes Fevereiro- Metalfisa'!AI$3,METALFISA!$B:$B,'Faltantes Fevereiro- Metalfisa'!$A195)</f>
        <v>0</v>
      </c>
      <c r="AJ195" s="31">
        <f>SUMIFS(METALFISA!$E:$E,METALFISA!$A:$A,'Faltantes Fevereiro- Metalfisa'!AJ$3,METALFISA!$B:$B,'Faltantes Fevereiro- Metalfisa'!$A195)</f>
        <v>0</v>
      </c>
      <c r="AK195" s="31">
        <f>SUMIFS(METALFISA!$E:$E,METALFISA!$A:$A,'Faltantes Fevereiro- Metalfisa'!AK$3,METALFISA!$B:$B,'Faltantes Fevereiro- Metalfisa'!$A195)</f>
        <v>0</v>
      </c>
      <c r="AL195" s="31">
        <f>SUMIFS(METALFISA!$E:$E,METALFISA!$A:$A,'Faltantes Fevereiro- Metalfisa'!AL$3,METALFISA!$B:$B,'Faltantes Fevereiro- Metalfisa'!$A195)</f>
        <v>0</v>
      </c>
      <c r="AM195" s="31">
        <f>SUMIFS(METALFISA!$E:$E,METALFISA!$A:$A,'Faltantes Fevereiro- Metalfisa'!AM$3,METALFISA!$B:$B,'Faltantes Fevereiro- Metalfisa'!$A195)</f>
        <v>0</v>
      </c>
      <c r="AN195" s="31">
        <f>SUMIFS(METALFISA!$E:$E,METALFISA!$A:$A,'Faltantes Fevereiro- Metalfisa'!AN$3,METALFISA!$B:$B,'Faltantes Fevereiro- Metalfisa'!$A195)</f>
        <v>0</v>
      </c>
      <c r="AO195" s="31">
        <f>SUMIFS(METALFISA!$E:$E,METALFISA!$A:$A,'Faltantes Fevereiro- Metalfisa'!AO$3,METALFISA!$B:$B,'Faltantes Fevereiro- Metalfisa'!$A195)</f>
        <v>0</v>
      </c>
      <c r="AP195" s="31">
        <f>SUMIFS(METALFISA!$E:$E,METALFISA!$A:$A,'Faltantes Fevereiro- Metalfisa'!AP$3,METALFISA!$B:$B,'Faltantes Fevereiro- Metalfisa'!$A195)</f>
        <v>0</v>
      </c>
      <c r="AQ195" s="31"/>
      <c r="AR195" s="31">
        <f>SUMIFS(METALFISA!$E:$E,METALFISA!$A:$A,'Faltantes Fevereiro- Metalfisa'!AR$3,METALFISA!$B:$B,'Faltantes Fevereiro- Metalfisa'!$A195)</f>
        <v>0</v>
      </c>
      <c r="AS195" s="35">
        <f>SUMIFS(METALFISA!$E:$E,METALFISA!$A:$A,'Faltantes Fevereiro- Metalfisa'!AS$3,METALFISA!$B:$B,'Faltantes Fevereiro- Metalfisa'!$A195)</f>
        <v>0</v>
      </c>
      <c r="AU195" s="18">
        <v>0</v>
      </c>
      <c r="AV195" s="18">
        <v>0</v>
      </c>
      <c r="AW195" s="18">
        <v>0</v>
      </c>
      <c r="AX195" s="18">
        <v>0</v>
      </c>
      <c r="AY195" s="41">
        <v>0</v>
      </c>
      <c r="AZ195" s="31">
        <v>0</v>
      </c>
      <c r="BA195" s="31">
        <v>0</v>
      </c>
      <c r="BB195" s="31">
        <v>0</v>
      </c>
      <c r="BC195" s="31">
        <v>0</v>
      </c>
      <c r="BD195" s="31">
        <v>0</v>
      </c>
      <c r="BE195" s="31">
        <v>0</v>
      </c>
      <c r="BF195" s="31">
        <v>0</v>
      </c>
      <c r="BG195" s="31">
        <v>0</v>
      </c>
      <c r="BH195" s="31">
        <v>0</v>
      </c>
      <c r="BI195" s="31">
        <v>0</v>
      </c>
      <c r="BJ195" s="31">
        <v>0</v>
      </c>
      <c r="BK195" s="31">
        <v>0</v>
      </c>
      <c r="BL195" s="31">
        <v>0</v>
      </c>
      <c r="BM195" s="31">
        <v>0</v>
      </c>
      <c r="BN195" s="31">
        <v>1</v>
      </c>
      <c r="BO195" s="31">
        <v>1</v>
      </c>
      <c r="BP195" s="31">
        <v>0</v>
      </c>
      <c r="BQ195" s="31">
        <v>0</v>
      </c>
      <c r="BR195" s="31">
        <v>0</v>
      </c>
      <c r="BS195" s="31">
        <v>0</v>
      </c>
      <c r="BT195" s="31">
        <v>0</v>
      </c>
      <c r="BU195" s="31">
        <v>0</v>
      </c>
      <c r="BV195" s="31">
        <v>0</v>
      </c>
      <c r="BW195" s="31">
        <v>0</v>
      </c>
      <c r="BX195" s="31">
        <v>0</v>
      </c>
      <c r="BY195" s="31">
        <v>0</v>
      </c>
      <c r="BZ195" s="31">
        <v>0</v>
      </c>
      <c r="CA195" s="31">
        <v>0</v>
      </c>
      <c r="CB195" s="31">
        <v>0</v>
      </c>
      <c r="CC195" s="31">
        <v>0</v>
      </c>
      <c r="CD195" s="31">
        <v>0</v>
      </c>
      <c r="CE195" s="31">
        <v>0</v>
      </c>
      <c r="CF195" s="31">
        <v>0</v>
      </c>
      <c r="CG195" s="31">
        <v>0</v>
      </c>
      <c r="CH195" s="31">
        <v>0</v>
      </c>
      <c r="CI195" s="31">
        <v>0</v>
      </c>
      <c r="CJ195" s="31">
        <v>0</v>
      </c>
      <c r="CK195" s="31">
        <v>0</v>
      </c>
      <c r="CL195" s="35">
        <v>0</v>
      </c>
    </row>
    <row r="196" spans="1:90" ht="21" x14ac:dyDescent="0.15">
      <c r="A196" s="27" t="s">
        <v>1019</v>
      </c>
      <c r="B196" s="28" t="s">
        <v>1020</v>
      </c>
      <c r="C196" s="28">
        <v>1</v>
      </c>
      <c r="D196" s="28">
        <v>0</v>
      </c>
      <c r="E196" s="28">
        <v>0</v>
      </c>
      <c r="F196" s="28">
        <v>0</v>
      </c>
      <c r="G196" s="28">
        <v>9</v>
      </c>
      <c r="H196" s="28">
        <f>IFERROR(VLOOKUP(A196,[1]FALTANTES!$A:$AB,28,FALSE),"-")</f>
        <v>0</v>
      </c>
      <c r="I196" s="42">
        <f>IFERROR(VLOOKUP(A196,[1]FALTANTES!$A:$AC,29,FALSE),"-")</f>
        <v>2</v>
      </c>
      <c r="J196" s="29">
        <f>IFERROR(VLOOKUP(A196,[1]FALTANTES!$A:$AD,30,FALSE),"-")</f>
        <v>-8</v>
      </c>
      <c r="K196" s="30">
        <v>0</v>
      </c>
      <c r="L196" s="30">
        <f t="shared" si="3"/>
        <v>2</v>
      </c>
      <c r="M196" s="31">
        <f>SUMIFS(METALFISA!$E:$E,METALFISA!$A:$A,'Faltantes Fevereiro- Metalfisa'!M$3,METALFISA!$B:$B,'Faltantes Fevereiro- Metalfisa'!$A196)</f>
        <v>0</v>
      </c>
      <c r="N196" s="31">
        <f>SUMIFS(METALFISA!$E:$E,METALFISA!$A:$A,'Faltantes Fevereiro- Metalfisa'!N$3,METALFISA!$B:$B,'Faltantes Fevereiro- Metalfisa'!$A196)</f>
        <v>0</v>
      </c>
      <c r="O196" s="31">
        <f>SUMIFS(METALFISA!$E:$E,METALFISA!$A:$A,'Faltantes Fevereiro- Metalfisa'!O$3,METALFISA!$B:$B,'Faltantes Fevereiro- Metalfisa'!$A196)</f>
        <v>0</v>
      </c>
      <c r="P196" s="31">
        <f>SUMIFS(METALFISA!$E:$E,METALFISA!$A:$A,'Faltantes Fevereiro- Metalfisa'!P$3,METALFISA!$B:$B,'Faltantes Fevereiro- Metalfisa'!$A196)</f>
        <v>0</v>
      </c>
      <c r="Q196" s="31">
        <f>SUMIFS(METALFISA!$E:$E,METALFISA!$A:$A,'Faltantes Fevereiro- Metalfisa'!Q$3,METALFISA!$B:$B,'Faltantes Fevereiro- Metalfisa'!$A196)</f>
        <v>0</v>
      </c>
      <c r="R196" s="31">
        <f>SUMIFS(METALFISA!$E:$E,METALFISA!$A:$A,'Faltantes Fevereiro- Metalfisa'!R$3,METALFISA!$B:$B,'Faltantes Fevereiro- Metalfisa'!$A196)</f>
        <v>0</v>
      </c>
      <c r="S196" s="31">
        <f>SUMIFS(METALFISA!$E:$E,METALFISA!$A:$A,'Faltantes Fevereiro- Metalfisa'!S$3,METALFISA!$B:$B,'Faltantes Fevereiro- Metalfisa'!$A196)</f>
        <v>0</v>
      </c>
      <c r="T196" s="31">
        <f>SUMIFS(METALFISA!$E:$E,METALFISA!$A:$A,'Faltantes Fevereiro- Metalfisa'!T$3,METALFISA!$B:$B,'Faltantes Fevereiro- Metalfisa'!$A196)</f>
        <v>0</v>
      </c>
      <c r="U196" s="31">
        <f>SUMIFS(METALFISA!$E:$E,METALFISA!$A:$A,'Faltantes Fevereiro- Metalfisa'!U$3,METALFISA!$B:$B,'Faltantes Fevereiro- Metalfisa'!$A196)</f>
        <v>0</v>
      </c>
      <c r="V196" s="31">
        <f>SUMIFS(METALFISA!$E:$E,METALFISA!$A:$A,'Faltantes Fevereiro- Metalfisa'!V$3,METALFISA!$B:$B,'Faltantes Fevereiro- Metalfisa'!$A196)</f>
        <v>0</v>
      </c>
      <c r="W196" s="31">
        <f>SUMIFS(METALFISA!$E:$E,METALFISA!$A:$A,'Faltantes Fevereiro- Metalfisa'!W$3,METALFISA!$B:$B,'Faltantes Fevereiro- Metalfisa'!$A196)</f>
        <v>0</v>
      </c>
      <c r="X196" s="31">
        <f>SUMIFS(METALFISA!$E:$E,METALFISA!$A:$A,'Faltantes Fevereiro- Metalfisa'!X$3,METALFISA!$B:$B,'Faltantes Fevereiro- Metalfisa'!$A196)</f>
        <v>0</v>
      </c>
      <c r="Y196" s="31">
        <f>SUMIFS(METALFISA!$E:$E,METALFISA!$A:$A,'Faltantes Fevereiro- Metalfisa'!Y$3,METALFISA!$B:$B,'Faltantes Fevereiro- Metalfisa'!$A196)</f>
        <v>0</v>
      </c>
      <c r="Z196" s="31">
        <f>SUMIFS(METALFISA!$E:$E,METALFISA!$A:$A,'Faltantes Fevereiro- Metalfisa'!Z$3,METALFISA!$B:$B,'Faltantes Fevereiro- Metalfisa'!$A196)</f>
        <v>0</v>
      </c>
      <c r="AA196" s="31">
        <f>SUMIFS(METALFISA!$E:$E,METALFISA!$A:$A,'Faltantes Fevereiro- Metalfisa'!AA$3,METALFISA!$B:$B,'Faltantes Fevereiro- Metalfisa'!$A196)</f>
        <v>0</v>
      </c>
      <c r="AB196" s="31">
        <f>SUMIFS(METALFISA!$E:$E,METALFISA!$A:$A,'Faltantes Fevereiro- Metalfisa'!AB$3,METALFISA!$B:$B,'Faltantes Fevereiro- Metalfisa'!$A196)</f>
        <v>0</v>
      </c>
      <c r="AC196" s="31">
        <f>SUMIFS(METALFISA!$E:$E,METALFISA!$A:$A,'Faltantes Fevereiro- Metalfisa'!AC$3,METALFISA!$B:$B,'Faltantes Fevereiro- Metalfisa'!$A196)</f>
        <v>0</v>
      </c>
      <c r="AD196" s="31">
        <f>SUMIFS(METALFISA!$E:$E,METALFISA!$A:$A,'Faltantes Fevereiro- Metalfisa'!AD$3,METALFISA!$B:$B,'Faltantes Fevereiro- Metalfisa'!$A196)</f>
        <v>0</v>
      </c>
      <c r="AE196" s="31">
        <f>SUMIFS(METALFISA!$E:$E,METALFISA!$A:$A,'Faltantes Fevereiro- Metalfisa'!AE$3,METALFISA!$B:$B,'Faltantes Fevereiro- Metalfisa'!$A196)</f>
        <v>2</v>
      </c>
      <c r="AF196" s="31">
        <f>SUMIFS(METALFISA!$E:$E,METALFISA!$A:$A,'Faltantes Fevereiro- Metalfisa'!AF$3,METALFISA!$B:$B,'Faltantes Fevereiro- Metalfisa'!$A196)</f>
        <v>0</v>
      </c>
      <c r="AG196" s="31">
        <f>SUMIFS(METALFISA!$E:$E,METALFISA!$A:$A,'Faltantes Fevereiro- Metalfisa'!AG$3,METALFISA!$B:$B,'Faltantes Fevereiro- Metalfisa'!$A196)</f>
        <v>0</v>
      </c>
      <c r="AH196" s="31">
        <f>SUMIFS(METALFISA!$E:$E,METALFISA!$A:$A,'Faltantes Fevereiro- Metalfisa'!AH$3,METALFISA!$B:$B,'Faltantes Fevereiro- Metalfisa'!$A196)</f>
        <v>0</v>
      </c>
      <c r="AI196" s="31">
        <f>SUMIFS(METALFISA!$E:$E,METALFISA!$A:$A,'Faltantes Fevereiro- Metalfisa'!AI$3,METALFISA!$B:$B,'Faltantes Fevereiro- Metalfisa'!$A196)</f>
        <v>0</v>
      </c>
      <c r="AJ196" s="31">
        <f>SUMIFS(METALFISA!$E:$E,METALFISA!$A:$A,'Faltantes Fevereiro- Metalfisa'!AJ$3,METALFISA!$B:$B,'Faltantes Fevereiro- Metalfisa'!$A196)</f>
        <v>0</v>
      </c>
      <c r="AK196" s="31">
        <f>SUMIFS(METALFISA!$E:$E,METALFISA!$A:$A,'Faltantes Fevereiro- Metalfisa'!AK$3,METALFISA!$B:$B,'Faltantes Fevereiro- Metalfisa'!$A196)</f>
        <v>0</v>
      </c>
      <c r="AL196" s="31">
        <f>SUMIFS(METALFISA!$E:$E,METALFISA!$A:$A,'Faltantes Fevereiro- Metalfisa'!AL$3,METALFISA!$B:$B,'Faltantes Fevereiro- Metalfisa'!$A196)</f>
        <v>0</v>
      </c>
      <c r="AM196" s="31">
        <f>SUMIFS(METALFISA!$E:$E,METALFISA!$A:$A,'Faltantes Fevereiro- Metalfisa'!AM$3,METALFISA!$B:$B,'Faltantes Fevereiro- Metalfisa'!$A196)</f>
        <v>0</v>
      </c>
      <c r="AN196" s="31">
        <f>SUMIFS(METALFISA!$E:$E,METALFISA!$A:$A,'Faltantes Fevereiro- Metalfisa'!AN$3,METALFISA!$B:$B,'Faltantes Fevereiro- Metalfisa'!$A196)</f>
        <v>0</v>
      </c>
      <c r="AO196" s="31">
        <f>SUMIFS(METALFISA!$E:$E,METALFISA!$A:$A,'Faltantes Fevereiro- Metalfisa'!AO$3,METALFISA!$B:$B,'Faltantes Fevereiro- Metalfisa'!$A196)</f>
        <v>0</v>
      </c>
      <c r="AP196" s="31">
        <f>SUMIFS(METALFISA!$E:$E,METALFISA!$A:$A,'Faltantes Fevereiro- Metalfisa'!AP$3,METALFISA!$B:$B,'Faltantes Fevereiro- Metalfisa'!$A196)</f>
        <v>0</v>
      </c>
      <c r="AQ196" s="31"/>
      <c r="AR196" s="31">
        <f>SUMIFS(METALFISA!$E:$E,METALFISA!$A:$A,'Faltantes Fevereiro- Metalfisa'!AR$3,METALFISA!$B:$B,'Faltantes Fevereiro- Metalfisa'!$A196)</f>
        <v>0</v>
      </c>
      <c r="AS196" s="35">
        <f>SUMIFS(METALFISA!$E:$E,METALFISA!$A:$A,'Faltantes Fevereiro- Metalfisa'!AS$3,METALFISA!$B:$B,'Faltantes Fevereiro- Metalfisa'!$A196)</f>
        <v>0</v>
      </c>
      <c r="AU196" s="18">
        <v>0</v>
      </c>
      <c r="AV196" s="18">
        <v>0</v>
      </c>
      <c r="AW196" s="18">
        <v>0</v>
      </c>
      <c r="AX196" s="18">
        <v>0</v>
      </c>
      <c r="AY196" s="41">
        <v>0</v>
      </c>
      <c r="AZ196" s="31">
        <v>0</v>
      </c>
      <c r="BA196" s="31">
        <v>0</v>
      </c>
      <c r="BB196" s="31">
        <v>0</v>
      </c>
      <c r="BC196" s="31">
        <v>0</v>
      </c>
      <c r="BD196" s="31">
        <v>0</v>
      </c>
      <c r="BE196" s="31">
        <v>0</v>
      </c>
      <c r="BF196" s="31">
        <v>0</v>
      </c>
      <c r="BG196" s="31">
        <v>0</v>
      </c>
      <c r="BH196" s="31">
        <v>0</v>
      </c>
      <c r="BI196" s="31">
        <v>0</v>
      </c>
      <c r="BJ196" s="31">
        <v>0</v>
      </c>
      <c r="BK196" s="31">
        <v>0</v>
      </c>
      <c r="BL196" s="31">
        <v>0</v>
      </c>
      <c r="BM196" s="31">
        <v>0</v>
      </c>
      <c r="BN196" s="31">
        <v>1</v>
      </c>
      <c r="BO196" s="31">
        <v>1</v>
      </c>
      <c r="BP196" s="31">
        <v>0</v>
      </c>
      <c r="BQ196" s="31">
        <v>0</v>
      </c>
      <c r="BR196" s="31">
        <v>0</v>
      </c>
      <c r="BS196" s="31">
        <v>0</v>
      </c>
      <c r="BT196" s="31">
        <v>0</v>
      </c>
      <c r="BU196" s="31">
        <v>0</v>
      </c>
      <c r="BV196" s="31">
        <v>0</v>
      </c>
      <c r="BW196" s="31">
        <v>0</v>
      </c>
      <c r="BX196" s="31">
        <v>0</v>
      </c>
      <c r="BY196" s="31">
        <v>0</v>
      </c>
      <c r="BZ196" s="31">
        <v>0</v>
      </c>
      <c r="CA196" s="31">
        <v>0</v>
      </c>
      <c r="CB196" s="31">
        <v>0</v>
      </c>
      <c r="CC196" s="31">
        <v>0</v>
      </c>
      <c r="CD196" s="31">
        <v>0</v>
      </c>
      <c r="CE196" s="31">
        <v>0</v>
      </c>
      <c r="CF196" s="31">
        <v>0</v>
      </c>
      <c r="CG196" s="31">
        <v>0</v>
      </c>
      <c r="CH196" s="31">
        <v>0</v>
      </c>
      <c r="CI196" s="31">
        <v>0</v>
      </c>
      <c r="CJ196" s="31">
        <v>0</v>
      </c>
      <c r="CK196" s="31">
        <v>0</v>
      </c>
      <c r="CL196" s="35">
        <v>0</v>
      </c>
    </row>
    <row r="197" spans="1:90" ht="21" x14ac:dyDescent="0.15">
      <c r="A197" s="27" t="s">
        <v>1021</v>
      </c>
      <c r="B197" s="28" t="s">
        <v>1022</v>
      </c>
      <c r="C197" s="28">
        <v>1</v>
      </c>
      <c r="D197" s="28">
        <v>0</v>
      </c>
      <c r="E197" s="28">
        <v>0</v>
      </c>
      <c r="F197" s="28">
        <v>0</v>
      </c>
      <c r="G197" s="28">
        <v>9</v>
      </c>
      <c r="H197" s="28">
        <f>IFERROR(VLOOKUP(A197,[1]FALTANTES!$A:$AB,28,FALSE),"-")</f>
        <v>0</v>
      </c>
      <c r="I197" s="42">
        <f>IFERROR(VLOOKUP(A197,[1]FALTANTES!$A:$AC,29,FALSE),"-")</f>
        <v>2</v>
      </c>
      <c r="J197" s="29">
        <f>IFERROR(VLOOKUP(A197,[1]FALTANTES!$A:$AD,30,FALSE),"-")</f>
        <v>-8</v>
      </c>
      <c r="K197" s="30">
        <v>0</v>
      </c>
      <c r="L197" s="30">
        <f t="shared" si="3"/>
        <v>2</v>
      </c>
      <c r="M197" s="31">
        <f>SUMIFS(METALFISA!$E:$E,METALFISA!$A:$A,'Faltantes Fevereiro- Metalfisa'!M$3,METALFISA!$B:$B,'Faltantes Fevereiro- Metalfisa'!$A197)</f>
        <v>0</v>
      </c>
      <c r="N197" s="31">
        <f>SUMIFS(METALFISA!$E:$E,METALFISA!$A:$A,'Faltantes Fevereiro- Metalfisa'!N$3,METALFISA!$B:$B,'Faltantes Fevereiro- Metalfisa'!$A197)</f>
        <v>0</v>
      </c>
      <c r="O197" s="31">
        <f>SUMIFS(METALFISA!$E:$E,METALFISA!$A:$A,'Faltantes Fevereiro- Metalfisa'!O$3,METALFISA!$B:$B,'Faltantes Fevereiro- Metalfisa'!$A197)</f>
        <v>0</v>
      </c>
      <c r="P197" s="31">
        <f>SUMIFS(METALFISA!$E:$E,METALFISA!$A:$A,'Faltantes Fevereiro- Metalfisa'!P$3,METALFISA!$B:$B,'Faltantes Fevereiro- Metalfisa'!$A197)</f>
        <v>0</v>
      </c>
      <c r="Q197" s="31">
        <f>SUMIFS(METALFISA!$E:$E,METALFISA!$A:$A,'Faltantes Fevereiro- Metalfisa'!Q$3,METALFISA!$B:$B,'Faltantes Fevereiro- Metalfisa'!$A197)</f>
        <v>0</v>
      </c>
      <c r="R197" s="31">
        <f>SUMIFS(METALFISA!$E:$E,METALFISA!$A:$A,'Faltantes Fevereiro- Metalfisa'!R$3,METALFISA!$B:$B,'Faltantes Fevereiro- Metalfisa'!$A197)</f>
        <v>0</v>
      </c>
      <c r="S197" s="31">
        <f>SUMIFS(METALFISA!$E:$E,METALFISA!$A:$A,'Faltantes Fevereiro- Metalfisa'!S$3,METALFISA!$B:$B,'Faltantes Fevereiro- Metalfisa'!$A197)</f>
        <v>0</v>
      </c>
      <c r="T197" s="31">
        <f>SUMIFS(METALFISA!$E:$E,METALFISA!$A:$A,'Faltantes Fevereiro- Metalfisa'!T$3,METALFISA!$B:$B,'Faltantes Fevereiro- Metalfisa'!$A197)</f>
        <v>0</v>
      </c>
      <c r="U197" s="31">
        <f>SUMIFS(METALFISA!$E:$E,METALFISA!$A:$A,'Faltantes Fevereiro- Metalfisa'!U$3,METALFISA!$B:$B,'Faltantes Fevereiro- Metalfisa'!$A197)</f>
        <v>0</v>
      </c>
      <c r="V197" s="31">
        <f>SUMIFS(METALFISA!$E:$E,METALFISA!$A:$A,'Faltantes Fevereiro- Metalfisa'!V$3,METALFISA!$B:$B,'Faltantes Fevereiro- Metalfisa'!$A197)</f>
        <v>0</v>
      </c>
      <c r="W197" s="31">
        <f>SUMIFS(METALFISA!$E:$E,METALFISA!$A:$A,'Faltantes Fevereiro- Metalfisa'!W$3,METALFISA!$B:$B,'Faltantes Fevereiro- Metalfisa'!$A197)</f>
        <v>0</v>
      </c>
      <c r="X197" s="31">
        <f>SUMIFS(METALFISA!$E:$E,METALFISA!$A:$A,'Faltantes Fevereiro- Metalfisa'!X$3,METALFISA!$B:$B,'Faltantes Fevereiro- Metalfisa'!$A197)</f>
        <v>0</v>
      </c>
      <c r="Y197" s="31">
        <f>SUMIFS(METALFISA!$E:$E,METALFISA!$A:$A,'Faltantes Fevereiro- Metalfisa'!Y$3,METALFISA!$B:$B,'Faltantes Fevereiro- Metalfisa'!$A197)</f>
        <v>0</v>
      </c>
      <c r="Z197" s="31">
        <f>SUMIFS(METALFISA!$E:$E,METALFISA!$A:$A,'Faltantes Fevereiro- Metalfisa'!Z$3,METALFISA!$B:$B,'Faltantes Fevereiro- Metalfisa'!$A197)</f>
        <v>0</v>
      </c>
      <c r="AA197" s="31">
        <f>SUMIFS(METALFISA!$E:$E,METALFISA!$A:$A,'Faltantes Fevereiro- Metalfisa'!AA$3,METALFISA!$B:$B,'Faltantes Fevereiro- Metalfisa'!$A197)</f>
        <v>0</v>
      </c>
      <c r="AB197" s="31">
        <f>SUMIFS(METALFISA!$E:$E,METALFISA!$A:$A,'Faltantes Fevereiro- Metalfisa'!AB$3,METALFISA!$B:$B,'Faltantes Fevereiro- Metalfisa'!$A197)</f>
        <v>0</v>
      </c>
      <c r="AC197" s="31">
        <f>SUMIFS(METALFISA!$E:$E,METALFISA!$A:$A,'Faltantes Fevereiro- Metalfisa'!AC$3,METALFISA!$B:$B,'Faltantes Fevereiro- Metalfisa'!$A197)</f>
        <v>0</v>
      </c>
      <c r="AD197" s="31">
        <f>SUMIFS(METALFISA!$E:$E,METALFISA!$A:$A,'Faltantes Fevereiro- Metalfisa'!AD$3,METALFISA!$B:$B,'Faltantes Fevereiro- Metalfisa'!$A197)</f>
        <v>0</v>
      </c>
      <c r="AE197" s="31">
        <f>SUMIFS(METALFISA!$E:$E,METALFISA!$A:$A,'Faltantes Fevereiro- Metalfisa'!AE$3,METALFISA!$B:$B,'Faltantes Fevereiro- Metalfisa'!$A197)</f>
        <v>2</v>
      </c>
      <c r="AF197" s="31">
        <f>SUMIFS(METALFISA!$E:$E,METALFISA!$A:$A,'Faltantes Fevereiro- Metalfisa'!AF$3,METALFISA!$B:$B,'Faltantes Fevereiro- Metalfisa'!$A197)</f>
        <v>0</v>
      </c>
      <c r="AG197" s="31">
        <f>SUMIFS(METALFISA!$E:$E,METALFISA!$A:$A,'Faltantes Fevereiro- Metalfisa'!AG$3,METALFISA!$B:$B,'Faltantes Fevereiro- Metalfisa'!$A197)</f>
        <v>0</v>
      </c>
      <c r="AH197" s="31">
        <f>SUMIFS(METALFISA!$E:$E,METALFISA!$A:$A,'Faltantes Fevereiro- Metalfisa'!AH$3,METALFISA!$B:$B,'Faltantes Fevereiro- Metalfisa'!$A197)</f>
        <v>0</v>
      </c>
      <c r="AI197" s="31">
        <f>SUMIFS(METALFISA!$E:$E,METALFISA!$A:$A,'Faltantes Fevereiro- Metalfisa'!AI$3,METALFISA!$B:$B,'Faltantes Fevereiro- Metalfisa'!$A197)</f>
        <v>0</v>
      </c>
      <c r="AJ197" s="31">
        <f>SUMIFS(METALFISA!$E:$E,METALFISA!$A:$A,'Faltantes Fevereiro- Metalfisa'!AJ$3,METALFISA!$B:$B,'Faltantes Fevereiro- Metalfisa'!$A197)</f>
        <v>0</v>
      </c>
      <c r="AK197" s="31">
        <f>SUMIFS(METALFISA!$E:$E,METALFISA!$A:$A,'Faltantes Fevereiro- Metalfisa'!AK$3,METALFISA!$B:$B,'Faltantes Fevereiro- Metalfisa'!$A197)</f>
        <v>0</v>
      </c>
      <c r="AL197" s="31">
        <f>SUMIFS(METALFISA!$E:$E,METALFISA!$A:$A,'Faltantes Fevereiro- Metalfisa'!AL$3,METALFISA!$B:$B,'Faltantes Fevereiro- Metalfisa'!$A197)</f>
        <v>0</v>
      </c>
      <c r="AM197" s="31">
        <f>SUMIFS(METALFISA!$E:$E,METALFISA!$A:$A,'Faltantes Fevereiro- Metalfisa'!AM$3,METALFISA!$B:$B,'Faltantes Fevereiro- Metalfisa'!$A197)</f>
        <v>0</v>
      </c>
      <c r="AN197" s="31">
        <f>SUMIFS(METALFISA!$E:$E,METALFISA!$A:$A,'Faltantes Fevereiro- Metalfisa'!AN$3,METALFISA!$B:$B,'Faltantes Fevereiro- Metalfisa'!$A197)</f>
        <v>0</v>
      </c>
      <c r="AO197" s="31">
        <f>SUMIFS(METALFISA!$E:$E,METALFISA!$A:$A,'Faltantes Fevereiro- Metalfisa'!AO$3,METALFISA!$B:$B,'Faltantes Fevereiro- Metalfisa'!$A197)</f>
        <v>0</v>
      </c>
      <c r="AP197" s="31">
        <f>SUMIFS(METALFISA!$E:$E,METALFISA!$A:$A,'Faltantes Fevereiro- Metalfisa'!AP$3,METALFISA!$B:$B,'Faltantes Fevereiro- Metalfisa'!$A197)</f>
        <v>0</v>
      </c>
      <c r="AQ197" s="31"/>
      <c r="AR197" s="31">
        <f>SUMIFS(METALFISA!$E:$E,METALFISA!$A:$A,'Faltantes Fevereiro- Metalfisa'!AR$3,METALFISA!$B:$B,'Faltantes Fevereiro- Metalfisa'!$A197)</f>
        <v>0</v>
      </c>
      <c r="AS197" s="35">
        <f>SUMIFS(METALFISA!$E:$E,METALFISA!$A:$A,'Faltantes Fevereiro- Metalfisa'!AS$3,METALFISA!$B:$B,'Faltantes Fevereiro- Metalfisa'!$A197)</f>
        <v>0</v>
      </c>
      <c r="AU197" s="18">
        <v>0</v>
      </c>
      <c r="AV197" s="18">
        <v>0</v>
      </c>
      <c r="AW197" s="18">
        <v>0</v>
      </c>
      <c r="AX197" s="18">
        <v>0</v>
      </c>
      <c r="AY197" s="41">
        <v>0</v>
      </c>
      <c r="AZ197" s="31">
        <v>0</v>
      </c>
      <c r="BA197" s="31">
        <v>0</v>
      </c>
      <c r="BB197" s="31">
        <v>0</v>
      </c>
      <c r="BC197" s="31">
        <v>0</v>
      </c>
      <c r="BD197" s="31">
        <v>0</v>
      </c>
      <c r="BE197" s="31">
        <v>0</v>
      </c>
      <c r="BF197" s="31">
        <v>0</v>
      </c>
      <c r="BG197" s="31">
        <v>0</v>
      </c>
      <c r="BH197" s="31">
        <v>0</v>
      </c>
      <c r="BI197" s="31">
        <v>0</v>
      </c>
      <c r="BJ197" s="31">
        <v>0</v>
      </c>
      <c r="BK197" s="31">
        <v>0</v>
      </c>
      <c r="BL197" s="31">
        <v>0</v>
      </c>
      <c r="BM197" s="31">
        <v>0</v>
      </c>
      <c r="BN197" s="31">
        <v>1</v>
      </c>
      <c r="BO197" s="31">
        <v>1</v>
      </c>
      <c r="BP197" s="31">
        <v>0</v>
      </c>
      <c r="BQ197" s="31">
        <v>0</v>
      </c>
      <c r="BR197" s="31">
        <v>0</v>
      </c>
      <c r="BS197" s="31">
        <v>0</v>
      </c>
      <c r="BT197" s="31">
        <v>0</v>
      </c>
      <c r="BU197" s="31">
        <v>0</v>
      </c>
      <c r="BV197" s="31">
        <v>0</v>
      </c>
      <c r="BW197" s="31">
        <v>0</v>
      </c>
      <c r="BX197" s="31">
        <v>0</v>
      </c>
      <c r="BY197" s="31">
        <v>0</v>
      </c>
      <c r="BZ197" s="31">
        <v>0</v>
      </c>
      <c r="CA197" s="31">
        <v>0</v>
      </c>
      <c r="CB197" s="31">
        <v>0</v>
      </c>
      <c r="CC197" s="31">
        <v>0</v>
      </c>
      <c r="CD197" s="31">
        <v>0</v>
      </c>
      <c r="CE197" s="31">
        <v>0</v>
      </c>
      <c r="CF197" s="31">
        <v>0</v>
      </c>
      <c r="CG197" s="31">
        <v>0</v>
      </c>
      <c r="CH197" s="31">
        <v>0</v>
      </c>
      <c r="CI197" s="31">
        <v>0</v>
      </c>
      <c r="CJ197" s="31">
        <v>0</v>
      </c>
      <c r="CK197" s="31">
        <v>0</v>
      </c>
      <c r="CL197" s="35">
        <v>0</v>
      </c>
    </row>
    <row r="198" spans="1:90" ht="21" x14ac:dyDescent="0.15">
      <c r="A198" s="27" t="s">
        <v>1023</v>
      </c>
      <c r="B198" s="28" t="s">
        <v>1024</v>
      </c>
      <c r="C198" s="28">
        <v>1</v>
      </c>
      <c r="D198" s="28">
        <v>0</v>
      </c>
      <c r="E198" s="28">
        <v>0</v>
      </c>
      <c r="F198" s="28">
        <v>0</v>
      </c>
      <c r="G198" s="28">
        <v>9</v>
      </c>
      <c r="H198" s="28">
        <f>IFERROR(VLOOKUP(A198,[1]FALTANTES!$A:$AB,28,FALSE),"-")</f>
        <v>0</v>
      </c>
      <c r="I198" s="42">
        <f>IFERROR(VLOOKUP(A198,[1]FALTANTES!$A:$AC,29,FALSE),"-")</f>
        <v>2</v>
      </c>
      <c r="J198" s="29">
        <f>IFERROR(VLOOKUP(A198,[1]FALTANTES!$A:$AD,30,FALSE),"-")</f>
        <v>-8</v>
      </c>
      <c r="K198" s="30">
        <v>0</v>
      </c>
      <c r="L198" s="30">
        <f t="shared" si="3"/>
        <v>2</v>
      </c>
      <c r="M198" s="31">
        <f>SUMIFS(METALFISA!$E:$E,METALFISA!$A:$A,'Faltantes Fevereiro- Metalfisa'!M$3,METALFISA!$B:$B,'Faltantes Fevereiro- Metalfisa'!$A198)</f>
        <v>0</v>
      </c>
      <c r="N198" s="31">
        <f>SUMIFS(METALFISA!$E:$E,METALFISA!$A:$A,'Faltantes Fevereiro- Metalfisa'!N$3,METALFISA!$B:$B,'Faltantes Fevereiro- Metalfisa'!$A198)</f>
        <v>0</v>
      </c>
      <c r="O198" s="31">
        <f>SUMIFS(METALFISA!$E:$E,METALFISA!$A:$A,'Faltantes Fevereiro- Metalfisa'!O$3,METALFISA!$B:$B,'Faltantes Fevereiro- Metalfisa'!$A198)</f>
        <v>0</v>
      </c>
      <c r="P198" s="31">
        <f>SUMIFS(METALFISA!$E:$E,METALFISA!$A:$A,'Faltantes Fevereiro- Metalfisa'!P$3,METALFISA!$B:$B,'Faltantes Fevereiro- Metalfisa'!$A198)</f>
        <v>0</v>
      </c>
      <c r="Q198" s="31">
        <f>SUMIFS(METALFISA!$E:$E,METALFISA!$A:$A,'Faltantes Fevereiro- Metalfisa'!Q$3,METALFISA!$B:$B,'Faltantes Fevereiro- Metalfisa'!$A198)</f>
        <v>0</v>
      </c>
      <c r="R198" s="31">
        <f>SUMIFS(METALFISA!$E:$E,METALFISA!$A:$A,'Faltantes Fevereiro- Metalfisa'!R$3,METALFISA!$B:$B,'Faltantes Fevereiro- Metalfisa'!$A198)</f>
        <v>0</v>
      </c>
      <c r="S198" s="31">
        <f>SUMIFS(METALFISA!$E:$E,METALFISA!$A:$A,'Faltantes Fevereiro- Metalfisa'!S$3,METALFISA!$B:$B,'Faltantes Fevereiro- Metalfisa'!$A198)</f>
        <v>0</v>
      </c>
      <c r="T198" s="31">
        <f>SUMIFS(METALFISA!$E:$E,METALFISA!$A:$A,'Faltantes Fevereiro- Metalfisa'!T$3,METALFISA!$B:$B,'Faltantes Fevereiro- Metalfisa'!$A198)</f>
        <v>0</v>
      </c>
      <c r="U198" s="31">
        <f>SUMIFS(METALFISA!$E:$E,METALFISA!$A:$A,'Faltantes Fevereiro- Metalfisa'!U$3,METALFISA!$B:$B,'Faltantes Fevereiro- Metalfisa'!$A198)</f>
        <v>0</v>
      </c>
      <c r="V198" s="31">
        <f>SUMIFS(METALFISA!$E:$E,METALFISA!$A:$A,'Faltantes Fevereiro- Metalfisa'!V$3,METALFISA!$B:$B,'Faltantes Fevereiro- Metalfisa'!$A198)</f>
        <v>0</v>
      </c>
      <c r="W198" s="31">
        <f>SUMIFS(METALFISA!$E:$E,METALFISA!$A:$A,'Faltantes Fevereiro- Metalfisa'!W$3,METALFISA!$B:$B,'Faltantes Fevereiro- Metalfisa'!$A198)</f>
        <v>0</v>
      </c>
      <c r="X198" s="31">
        <f>SUMIFS(METALFISA!$E:$E,METALFISA!$A:$A,'Faltantes Fevereiro- Metalfisa'!X$3,METALFISA!$B:$B,'Faltantes Fevereiro- Metalfisa'!$A198)</f>
        <v>0</v>
      </c>
      <c r="Y198" s="31">
        <f>SUMIFS(METALFISA!$E:$E,METALFISA!$A:$A,'Faltantes Fevereiro- Metalfisa'!Y$3,METALFISA!$B:$B,'Faltantes Fevereiro- Metalfisa'!$A198)</f>
        <v>0</v>
      </c>
      <c r="Z198" s="31">
        <f>SUMIFS(METALFISA!$E:$E,METALFISA!$A:$A,'Faltantes Fevereiro- Metalfisa'!Z$3,METALFISA!$B:$B,'Faltantes Fevereiro- Metalfisa'!$A198)</f>
        <v>0</v>
      </c>
      <c r="AA198" s="31">
        <f>SUMIFS(METALFISA!$E:$E,METALFISA!$A:$A,'Faltantes Fevereiro- Metalfisa'!AA$3,METALFISA!$B:$B,'Faltantes Fevereiro- Metalfisa'!$A198)</f>
        <v>0</v>
      </c>
      <c r="AB198" s="31">
        <f>SUMIFS(METALFISA!$E:$E,METALFISA!$A:$A,'Faltantes Fevereiro- Metalfisa'!AB$3,METALFISA!$B:$B,'Faltantes Fevereiro- Metalfisa'!$A198)</f>
        <v>0</v>
      </c>
      <c r="AC198" s="31">
        <f>SUMIFS(METALFISA!$E:$E,METALFISA!$A:$A,'Faltantes Fevereiro- Metalfisa'!AC$3,METALFISA!$B:$B,'Faltantes Fevereiro- Metalfisa'!$A198)</f>
        <v>0</v>
      </c>
      <c r="AD198" s="31">
        <f>SUMIFS(METALFISA!$E:$E,METALFISA!$A:$A,'Faltantes Fevereiro- Metalfisa'!AD$3,METALFISA!$B:$B,'Faltantes Fevereiro- Metalfisa'!$A198)</f>
        <v>0</v>
      </c>
      <c r="AE198" s="31">
        <f>SUMIFS(METALFISA!$E:$E,METALFISA!$A:$A,'Faltantes Fevereiro- Metalfisa'!AE$3,METALFISA!$B:$B,'Faltantes Fevereiro- Metalfisa'!$A198)</f>
        <v>2</v>
      </c>
      <c r="AF198" s="31">
        <f>SUMIFS(METALFISA!$E:$E,METALFISA!$A:$A,'Faltantes Fevereiro- Metalfisa'!AF$3,METALFISA!$B:$B,'Faltantes Fevereiro- Metalfisa'!$A198)</f>
        <v>0</v>
      </c>
      <c r="AG198" s="31">
        <f>SUMIFS(METALFISA!$E:$E,METALFISA!$A:$A,'Faltantes Fevereiro- Metalfisa'!AG$3,METALFISA!$B:$B,'Faltantes Fevereiro- Metalfisa'!$A198)</f>
        <v>0</v>
      </c>
      <c r="AH198" s="31">
        <f>SUMIFS(METALFISA!$E:$E,METALFISA!$A:$A,'Faltantes Fevereiro- Metalfisa'!AH$3,METALFISA!$B:$B,'Faltantes Fevereiro- Metalfisa'!$A198)</f>
        <v>0</v>
      </c>
      <c r="AI198" s="31">
        <f>SUMIFS(METALFISA!$E:$E,METALFISA!$A:$A,'Faltantes Fevereiro- Metalfisa'!AI$3,METALFISA!$B:$B,'Faltantes Fevereiro- Metalfisa'!$A198)</f>
        <v>0</v>
      </c>
      <c r="AJ198" s="31">
        <f>SUMIFS(METALFISA!$E:$E,METALFISA!$A:$A,'Faltantes Fevereiro- Metalfisa'!AJ$3,METALFISA!$B:$B,'Faltantes Fevereiro- Metalfisa'!$A198)</f>
        <v>0</v>
      </c>
      <c r="AK198" s="31">
        <f>SUMIFS(METALFISA!$E:$E,METALFISA!$A:$A,'Faltantes Fevereiro- Metalfisa'!AK$3,METALFISA!$B:$B,'Faltantes Fevereiro- Metalfisa'!$A198)</f>
        <v>0</v>
      </c>
      <c r="AL198" s="31">
        <f>SUMIFS(METALFISA!$E:$E,METALFISA!$A:$A,'Faltantes Fevereiro- Metalfisa'!AL$3,METALFISA!$B:$B,'Faltantes Fevereiro- Metalfisa'!$A198)</f>
        <v>0</v>
      </c>
      <c r="AM198" s="31">
        <f>SUMIFS(METALFISA!$E:$E,METALFISA!$A:$A,'Faltantes Fevereiro- Metalfisa'!AM$3,METALFISA!$B:$B,'Faltantes Fevereiro- Metalfisa'!$A198)</f>
        <v>0</v>
      </c>
      <c r="AN198" s="31">
        <f>SUMIFS(METALFISA!$E:$E,METALFISA!$A:$A,'Faltantes Fevereiro- Metalfisa'!AN$3,METALFISA!$B:$B,'Faltantes Fevereiro- Metalfisa'!$A198)</f>
        <v>0</v>
      </c>
      <c r="AO198" s="31">
        <f>SUMIFS(METALFISA!$E:$E,METALFISA!$A:$A,'Faltantes Fevereiro- Metalfisa'!AO$3,METALFISA!$B:$B,'Faltantes Fevereiro- Metalfisa'!$A198)</f>
        <v>0</v>
      </c>
      <c r="AP198" s="31">
        <f>SUMIFS(METALFISA!$E:$E,METALFISA!$A:$A,'Faltantes Fevereiro- Metalfisa'!AP$3,METALFISA!$B:$B,'Faltantes Fevereiro- Metalfisa'!$A198)</f>
        <v>0</v>
      </c>
      <c r="AQ198" s="31"/>
      <c r="AR198" s="31">
        <f>SUMIFS(METALFISA!$E:$E,METALFISA!$A:$A,'Faltantes Fevereiro- Metalfisa'!AR$3,METALFISA!$B:$B,'Faltantes Fevereiro- Metalfisa'!$A198)</f>
        <v>0</v>
      </c>
      <c r="AS198" s="35">
        <f>SUMIFS(METALFISA!$E:$E,METALFISA!$A:$A,'Faltantes Fevereiro- Metalfisa'!AS$3,METALFISA!$B:$B,'Faltantes Fevereiro- Metalfisa'!$A198)</f>
        <v>0</v>
      </c>
      <c r="AU198" s="18">
        <v>0</v>
      </c>
      <c r="AV198" s="18">
        <v>0</v>
      </c>
      <c r="AW198" s="18">
        <v>0</v>
      </c>
      <c r="AX198" s="18">
        <v>0</v>
      </c>
      <c r="AY198" s="41">
        <v>0</v>
      </c>
      <c r="AZ198" s="31">
        <v>0</v>
      </c>
      <c r="BA198" s="31">
        <v>0</v>
      </c>
      <c r="BB198" s="31">
        <v>0</v>
      </c>
      <c r="BC198" s="31">
        <v>0</v>
      </c>
      <c r="BD198" s="31">
        <v>0</v>
      </c>
      <c r="BE198" s="31">
        <v>0</v>
      </c>
      <c r="BF198" s="31">
        <v>0</v>
      </c>
      <c r="BG198" s="31">
        <v>0</v>
      </c>
      <c r="BH198" s="31">
        <v>0</v>
      </c>
      <c r="BI198" s="31">
        <v>0</v>
      </c>
      <c r="BJ198" s="31">
        <v>0</v>
      </c>
      <c r="BK198" s="31">
        <v>0</v>
      </c>
      <c r="BL198" s="31">
        <v>0</v>
      </c>
      <c r="BM198" s="31">
        <v>0</v>
      </c>
      <c r="BN198" s="31">
        <v>1</v>
      </c>
      <c r="BO198" s="31">
        <v>1</v>
      </c>
      <c r="BP198" s="31">
        <v>0</v>
      </c>
      <c r="BQ198" s="31">
        <v>0</v>
      </c>
      <c r="BR198" s="31">
        <v>0</v>
      </c>
      <c r="BS198" s="31">
        <v>0</v>
      </c>
      <c r="BT198" s="31">
        <v>0</v>
      </c>
      <c r="BU198" s="31">
        <v>0</v>
      </c>
      <c r="BV198" s="31">
        <v>0</v>
      </c>
      <c r="BW198" s="31">
        <v>0</v>
      </c>
      <c r="BX198" s="31">
        <v>0</v>
      </c>
      <c r="BY198" s="31">
        <v>0</v>
      </c>
      <c r="BZ198" s="31">
        <v>0</v>
      </c>
      <c r="CA198" s="31">
        <v>0</v>
      </c>
      <c r="CB198" s="31">
        <v>0</v>
      </c>
      <c r="CC198" s="31">
        <v>0</v>
      </c>
      <c r="CD198" s="31">
        <v>0</v>
      </c>
      <c r="CE198" s="31">
        <v>0</v>
      </c>
      <c r="CF198" s="31">
        <v>0</v>
      </c>
      <c r="CG198" s="31">
        <v>0</v>
      </c>
      <c r="CH198" s="31">
        <v>0</v>
      </c>
      <c r="CI198" s="31">
        <v>0</v>
      </c>
      <c r="CJ198" s="31">
        <v>0</v>
      </c>
      <c r="CK198" s="31">
        <v>0</v>
      </c>
      <c r="CL198" s="35">
        <v>0</v>
      </c>
    </row>
    <row r="199" spans="1:90" x14ac:dyDescent="0.15">
      <c r="A199" s="27" t="s">
        <v>1025</v>
      </c>
      <c r="B199" s="28" t="s">
        <v>1026</v>
      </c>
      <c r="C199" s="28">
        <v>4</v>
      </c>
      <c r="D199" s="28">
        <v>0</v>
      </c>
      <c r="E199" s="28">
        <v>0</v>
      </c>
      <c r="F199" s="28">
        <v>0</v>
      </c>
      <c r="G199" s="28">
        <v>36</v>
      </c>
      <c r="H199" s="28">
        <f>IFERROR(VLOOKUP(A199,[1]FALTANTES!$A:$AB,28,FALSE),"-")</f>
        <v>0</v>
      </c>
      <c r="I199" s="42">
        <f>IFERROR(VLOOKUP(A199,[1]FALTANTES!$A:$AC,29,FALSE),"-")</f>
        <v>12</v>
      </c>
      <c r="J199" s="29">
        <f>IFERROR(VLOOKUP(A199,[1]FALTANTES!$A:$AD,30,FALSE),"-")</f>
        <v>-28</v>
      </c>
      <c r="K199" s="30">
        <v>0</v>
      </c>
      <c r="L199" s="30">
        <f t="shared" si="3"/>
        <v>4</v>
      </c>
      <c r="M199" s="31">
        <f>SUMIFS(METALFISA!$E:$E,METALFISA!$A:$A,'Faltantes Fevereiro- Metalfisa'!M$3,METALFISA!$B:$B,'Faltantes Fevereiro- Metalfisa'!$A199)</f>
        <v>0</v>
      </c>
      <c r="N199" s="31">
        <f>SUMIFS(METALFISA!$E:$E,METALFISA!$A:$A,'Faltantes Fevereiro- Metalfisa'!N$3,METALFISA!$B:$B,'Faltantes Fevereiro- Metalfisa'!$A199)</f>
        <v>0</v>
      </c>
      <c r="O199" s="31">
        <f>SUMIFS(METALFISA!$E:$E,METALFISA!$A:$A,'Faltantes Fevereiro- Metalfisa'!O$3,METALFISA!$B:$B,'Faltantes Fevereiro- Metalfisa'!$A199)</f>
        <v>0</v>
      </c>
      <c r="P199" s="31">
        <f>SUMIFS(METALFISA!$E:$E,METALFISA!$A:$A,'Faltantes Fevereiro- Metalfisa'!P$3,METALFISA!$B:$B,'Faltantes Fevereiro- Metalfisa'!$A199)</f>
        <v>0</v>
      </c>
      <c r="Q199" s="31">
        <f>SUMIFS(METALFISA!$E:$E,METALFISA!$A:$A,'Faltantes Fevereiro- Metalfisa'!Q$3,METALFISA!$B:$B,'Faltantes Fevereiro- Metalfisa'!$A199)</f>
        <v>0</v>
      </c>
      <c r="R199" s="31">
        <f>SUMIFS(METALFISA!$E:$E,METALFISA!$A:$A,'Faltantes Fevereiro- Metalfisa'!R$3,METALFISA!$B:$B,'Faltantes Fevereiro- Metalfisa'!$A199)</f>
        <v>0</v>
      </c>
      <c r="S199" s="31">
        <f>SUMIFS(METALFISA!$E:$E,METALFISA!$A:$A,'Faltantes Fevereiro- Metalfisa'!S$3,METALFISA!$B:$B,'Faltantes Fevereiro- Metalfisa'!$A199)</f>
        <v>0</v>
      </c>
      <c r="T199" s="31">
        <f>SUMIFS(METALFISA!$E:$E,METALFISA!$A:$A,'Faltantes Fevereiro- Metalfisa'!T$3,METALFISA!$B:$B,'Faltantes Fevereiro- Metalfisa'!$A199)</f>
        <v>0</v>
      </c>
      <c r="U199" s="31">
        <f>SUMIFS(METALFISA!$E:$E,METALFISA!$A:$A,'Faltantes Fevereiro- Metalfisa'!U$3,METALFISA!$B:$B,'Faltantes Fevereiro- Metalfisa'!$A199)</f>
        <v>0</v>
      </c>
      <c r="V199" s="31">
        <f>SUMIFS(METALFISA!$E:$E,METALFISA!$A:$A,'Faltantes Fevereiro- Metalfisa'!V$3,METALFISA!$B:$B,'Faltantes Fevereiro- Metalfisa'!$A199)</f>
        <v>0</v>
      </c>
      <c r="W199" s="31">
        <f>SUMIFS(METALFISA!$E:$E,METALFISA!$A:$A,'Faltantes Fevereiro- Metalfisa'!W$3,METALFISA!$B:$B,'Faltantes Fevereiro- Metalfisa'!$A199)</f>
        <v>0</v>
      </c>
      <c r="X199" s="31">
        <f>SUMIFS(METALFISA!$E:$E,METALFISA!$A:$A,'Faltantes Fevereiro- Metalfisa'!X$3,METALFISA!$B:$B,'Faltantes Fevereiro- Metalfisa'!$A199)</f>
        <v>0</v>
      </c>
      <c r="Y199" s="31">
        <f>SUMIFS(METALFISA!$E:$E,METALFISA!$A:$A,'Faltantes Fevereiro- Metalfisa'!Y$3,METALFISA!$B:$B,'Faltantes Fevereiro- Metalfisa'!$A199)</f>
        <v>0</v>
      </c>
      <c r="Z199" s="31">
        <f>SUMIFS(METALFISA!$E:$E,METALFISA!$A:$A,'Faltantes Fevereiro- Metalfisa'!Z$3,METALFISA!$B:$B,'Faltantes Fevereiro- Metalfisa'!$A199)</f>
        <v>0</v>
      </c>
      <c r="AA199" s="31">
        <f>SUMIFS(METALFISA!$E:$E,METALFISA!$A:$A,'Faltantes Fevereiro- Metalfisa'!AA$3,METALFISA!$B:$B,'Faltantes Fevereiro- Metalfisa'!$A199)</f>
        <v>0</v>
      </c>
      <c r="AB199" s="31">
        <f>SUMIFS(METALFISA!$E:$E,METALFISA!$A:$A,'Faltantes Fevereiro- Metalfisa'!AB$3,METALFISA!$B:$B,'Faltantes Fevereiro- Metalfisa'!$A199)</f>
        <v>0</v>
      </c>
      <c r="AC199" s="31">
        <f>SUMIFS(METALFISA!$E:$E,METALFISA!$A:$A,'Faltantes Fevereiro- Metalfisa'!AC$3,METALFISA!$B:$B,'Faltantes Fevereiro- Metalfisa'!$A199)</f>
        <v>0</v>
      </c>
      <c r="AD199" s="31">
        <f>SUMIFS(METALFISA!$E:$E,METALFISA!$A:$A,'Faltantes Fevereiro- Metalfisa'!AD$3,METALFISA!$B:$B,'Faltantes Fevereiro- Metalfisa'!$A199)</f>
        <v>0</v>
      </c>
      <c r="AE199" s="31">
        <f>SUMIFS(METALFISA!$E:$E,METALFISA!$A:$A,'Faltantes Fevereiro- Metalfisa'!AE$3,METALFISA!$B:$B,'Faltantes Fevereiro- Metalfisa'!$A199)</f>
        <v>4</v>
      </c>
      <c r="AF199" s="31">
        <f>SUMIFS(METALFISA!$E:$E,METALFISA!$A:$A,'Faltantes Fevereiro- Metalfisa'!AF$3,METALFISA!$B:$B,'Faltantes Fevereiro- Metalfisa'!$A199)</f>
        <v>0</v>
      </c>
      <c r="AG199" s="31">
        <f>SUMIFS(METALFISA!$E:$E,METALFISA!$A:$A,'Faltantes Fevereiro- Metalfisa'!AG$3,METALFISA!$B:$B,'Faltantes Fevereiro- Metalfisa'!$A199)</f>
        <v>0</v>
      </c>
      <c r="AH199" s="31">
        <f>SUMIFS(METALFISA!$E:$E,METALFISA!$A:$A,'Faltantes Fevereiro- Metalfisa'!AH$3,METALFISA!$B:$B,'Faltantes Fevereiro- Metalfisa'!$A199)</f>
        <v>0</v>
      </c>
      <c r="AI199" s="31">
        <f>SUMIFS(METALFISA!$E:$E,METALFISA!$A:$A,'Faltantes Fevereiro- Metalfisa'!AI$3,METALFISA!$B:$B,'Faltantes Fevereiro- Metalfisa'!$A199)</f>
        <v>0</v>
      </c>
      <c r="AJ199" s="31">
        <f>SUMIFS(METALFISA!$E:$E,METALFISA!$A:$A,'Faltantes Fevereiro- Metalfisa'!AJ$3,METALFISA!$B:$B,'Faltantes Fevereiro- Metalfisa'!$A199)</f>
        <v>0</v>
      </c>
      <c r="AK199" s="31">
        <f>SUMIFS(METALFISA!$E:$E,METALFISA!$A:$A,'Faltantes Fevereiro- Metalfisa'!AK$3,METALFISA!$B:$B,'Faltantes Fevereiro- Metalfisa'!$A199)</f>
        <v>0</v>
      </c>
      <c r="AL199" s="31">
        <f>SUMIFS(METALFISA!$E:$E,METALFISA!$A:$A,'Faltantes Fevereiro- Metalfisa'!AL$3,METALFISA!$B:$B,'Faltantes Fevereiro- Metalfisa'!$A199)</f>
        <v>0</v>
      </c>
      <c r="AM199" s="31">
        <f>SUMIFS(METALFISA!$E:$E,METALFISA!$A:$A,'Faltantes Fevereiro- Metalfisa'!AM$3,METALFISA!$B:$B,'Faltantes Fevereiro- Metalfisa'!$A199)</f>
        <v>0</v>
      </c>
      <c r="AN199" s="31">
        <f>SUMIFS(METALFISA!$E:$E,METALFISA!$A:$A,'Faltantes Fevereiro- Metalfisa'!AN$3,METALFISA!$B:$B,'Faltantes Fevereiro- Metalfisa'!$A199)</f>
        <v>0</v>
      </c>
      <c r="AO199" s="31">
        <f>SUMIFS(METALFISA!$E:$E,METALFISA!$A:$A,'Faltantes Fevereiro- Metalfisa'!AO$3,METALFISA!$B:$B,'Faltantes Fevereiro- Metalfisa'!$A199)</f>
        <v>0</v>
      </c>
      <c r="AP199" s="31">
        <f>SUMIFS(METALFISA!$E:$E,METALFISA!$A:$A,'Faltantes Fevereiro- Metalfisa'!AP$3,METALFISA!$B:$B,'Faltantes Fevereiro- Metalfisa'!$A199)</f>
        <v>0</v>
      </c>
      <c r="AQ199" s="31"/>
      <c r="AR199" s="31">
        <f>SUMIFS(METALFISA!$E:$E,METALFISA!$A:$A,'Faltantes Fevereiro- Metalfisa'!AR$3,METALFISA!$B:$B,'Faltantes Fevereiro- Metalfisa'!$A199)</f>
        <v>0</v>
      </c>
      <c r="AS199" s="35">
        <f>SUMIFS(METALFISA!$E:$E,METALFISA!$A:$A,'Faltantes Fevereiro- Metalfisa'!AS$3,METALFISA!$B:$B,'Faltantes Fevereiro- Metalfisa'!$A199)</f>
        <v>0</v>
      </c>
      <c r="AU199" s="18">
        <v>0</v>
      </c>
      <c r="AV199" s="18">
        <v>0</v>
      </c>
      <c r="AW199" s="18">
        <v>0</v>
      </c>
      <c r="AX199" s="18">
        <v>0</v>
      </c>
      <c r="AY199" s="41">
        <v>0</v>
      </c>
      <c r="AZ199" s="31">
        <v>0</v>
      </c>
      <c r="BA199" s="31">
        <v>0</v>
      </c>
      <c r="BB199" s="31">
        <v>0</v>
      </c>
      <c r="BC199" s="31">
        <v>0</v>
      </c>
      <c r="BD199" s="31">
        <v>0</v>
      </c>
      <c r="BE199" s="31">
        <v>0</v>
      </c>
      <c r="BF199" s="31">
        <v>0</v>
      </c>
      <c r="BG199" s="31">
        <v>0</v>
      </c>
      <c r="BH199" s="31">
        <v>0</v>
      </c>
      <c r="BI199" s="31">
        <v>0</v>
      </c>
      <c r="BJ199" s="31">
        <v>0</v>
      </c>
      <c r="BK199" s="31">
        <v>0</v>
      </c>
      <c r="BL199" s="31">
        <v>0</v>
      </c>
      <c r="BM199" s="31">
        <v>0</v>
      </c>
      <c r="BN199" s="31">
        <v>4</v>
      </c>
      <c r="BO199" s="31">
        <v>4</v>
      </c>
      <c r="BP199" s="31">
        <v>0</v>
      </c>
      <c r="BQ199" s="31">
        <v>0</v>
      </c>
      <c r="BR199" s="31">
        <v>0</v>
      </c>
      <c r="BS199" s="31">
        <v>0</v>
      </c>
      <c r="BT199" s="31">
        <v>0</v>
      </c>
      <c r="BU199" s="31">
        <v>0</v>
      </c>
      <c r="BV199" s="31">
        <v>0</v>
      </c>
      <c r="BW199" s="31">
        <v>0</v>
      </c>
      <c r="BX199" s="31">
        <v>0</v>
      </c>
      <c r="BY199" s="31">
        <v>0</v>
      </c>
      <c r="BZ199" s="31">
        <v>0</v>
      </c>
      <c r="CA199" s="31">
        <v>0</v>
      </c>
      <c r="CB199" s="31">
        <v>0</v>
      </c>
      <c r="CC199" s="31">
        <v>0</v>
      </c>
      <c r="CD199" s="31">
        <v>0</v>
      </c>
      <c r="CE199" s="31">
        <v>0</v>
      </c>
      <c r="CF199" s="31">
        <v>0</v>
      </c>
      <c r="CG199" s="31">
        <v>0</v>
      </c>
      <c r="CH199" s="31">
        <v>0</v>
      </c>
      <c r="CI199" s="31">
        <v>0</v>
      </c>
      <c r="CJ199" s="31">
        <v>0</v>
      </c>
      <c r="CK199" s="31">
        <v>0</v>
      </c>
      <c r="CL199" s="35">
        <v>0</v>
      </c>
    </row>
    <row r="200" spans="1:90" ht="21" x14ac:dyDescent="0.15">
      <c r="A200" s="27" t="s">
        <v>1027</v>
      </c>
      <c r="B200" s="28" t="s">
        <v>1028</v>
      </c>
      <c r="C200" s="28">
        <v>0</v>
      </c>
      <c r="D200" s="28">
        <v>0</v>
      </c>
      <c r="E200" s="28">
        <v>0</v>
      </c>
      <c r="F200" s="28">
        <v>0</v>
      </c>
      <c r="G200" s="28">
        <v>36</v>
      </c>
      <c r="H200" s="28">
        <f>IFERROR(VLOOKUP(A200,[1]FALTANTES!$A:$AB,28,FALSE),"-")</f>
        <v>0</v>
      </c>
      <c r="I200" s="42">
        <f>IFERROR(VLOOKUP(A200,[1]FALTANTES!$A:$AC,29,FALSE),"-")</f>
        <v>8</v>
      </c>
      <c r="J200" s="29">
        <f>IFERROR(VLOOKUP(A200,[1]FALTANTES!$A:$AD,30,FALSE),"-")</f>
        <v>-28</v>
      </c>
      <c r="K200" s="30">
        <v>0</v>
      </c>
      <c r="L200" s="30">
        <f t="shared" si="3"/>
        <v>8</v>
      </c>
      <c r="M200" s="31">
        <f>SUMIFS(METALFISA!$E:$E,METALFISA!$A:$A,'Faltantes Fevereiro- Metalfisa'!M$3,METALFISA!$B:$B,'Faltantes Fevereiro- Metalfisa'!$A200)</f>
        <v>0</v>
      </c>
      <c r="N200" s="31">
        <f>SUMIFS(METALFISA!$E:$E,METALFISA!$A:$A,'Faltantes Fevereiro- Metalfisa'!N$3,METALFISA!$B:$B,'Faltantes Fevereiro- Metalfisa'!$A200)</f>
        <v>0</v>
      </c>
      <c r="O200" s="31">
        <f>SUMIFS(METALFISA!$E:$E,METALFISA!$A:$A,'Faltantes Fevereiro- Metalfisa'!O$3,METALFISA!$B:$B,'Faltantes Fevereiro- Metalfisa'!$A200)</f>
        <v>0</v>
      </c>
      <c r="P200" s="31">
        <f>SUMIFS(METALFISA!$E:$E,METALFISA!$A:$A,'Faltantes Fevereiro- Metalfisa'!P$3,METALFISA!$B:$B,'Faltantes Fevereiro- Metalfisa'!$A200)</f>
        <v>0</v>
      </c>
      <c r="Q200" s="31">
        <f>SUMIFS(METALFISA!$E:$E,METALFISA!$A:$A,'Faltantes Fevereiro- Metalfisa'!Q$3,METALFISA!$B:$B,'Faltantes Fevereiro- Metalfisa'!$A200)</f>
        <v>0</v>
      </c>
      <c r="R200" s="31">
        <f>SUMIFS(METALFISA!$E:$E,METALFISA!$A:$A,'Faltantes Fevereiro- Metalfisa'!R$3,METALFISA!$B:$B,'Faltantes Fevereiro- Metalfisa'!$A200)</f>
        <v>0</v>
      </c>
      <c r="S200" s="31">
        <f>SUMIFS(METALFISA!$E:$E,METALFISA!$A:$A,'Faltantes Fevereiro- Metalfisa'!S$3,METALFISA!$B:$B,'Faltantes Fevereiro- Metalfisa'!$A200)</f>
        <v>0</v>
      </c>
      <c r="T200" s="31">
        <f>SUMIFS(METALFISA!$E:$E,METALFISA!$A:$A,'Faltantes Fevereiro- Metalfisa'!T$3,METALFISA!$B:$B,'Faltantes Fevereiro- Metalfisa'!$A200)</f>
        <v>0</v>
      </c>
      <c r="U200" s="31">
        <f>SUMIFS(METALFISA!$E:$E,METALFISA!$A:$A,'Faltantes Fevereiro- Metalfisa'!U$3,METALFISA!$B:$B,'Faltantes Fevereiro- Metalfisa'!$A200)</f>
        <v>0</v>
      </c>
      <c r="V200" s="31">
        <f>SUMIFS(METALFISA!$E:$E,METALFISA!$A:$A,'Faltantes Fevereiro- Metalfisa'!V$3,METALFISA!$B:$B,'Faltantes Fevereiro- Metalfisa'!$A200)</f>
        <v>0</v>
      </c>
      <c r="W200" s="31">
        <f>SUMIFS(METALFISA!$E:$E,METALFISA!$A:$A,'Faltantes Fevereiro- Metalfisa'!W$3,METALFISA!$B:$B,'Faltantes Fevereiro- Metalfisa'!$A200)</f>
        <v>0</v>
      </c>
      <c r="X200" s="31">
        <f>SUMIFS(METALFISA!$E:$E,METALFISA!$A:$A,'Faltantes Fevereiro- Metalfisa'!X$3,METALFISA!$B:$B,'Faltantes Fevereiro- Metalfisa'!$A200)</f>
        <v>0</v>
      </c>
      <c r="Y200" s="31">
        <f>SUMIFS(METALFISA!$E:$E,METALFISA!$A:$A,'Faltantes Fevereiro- Metalfisa'!Y$3,METALFISA!$B:$B,'Faltantes Fevereiro- Metalfisa'!$A200)</f>
        <v>0</v>
      </c>
      <c r="Z200" s="31">
        <f>SUMIFS(METALFISA!$E:$E,METALFISA!$A:$A,'Faltantes Fevereiro- Metalfisa'!Z$3,METALFISA!$B:$B,'Faltantes Fevereiro- Metalfisa'!$A200)</f>
        <v>0</v>
      </c>
      <c r="AA200" s="31">
        <f>SUMIFS(METALFISA!$E:$E,METALFISA!$A:$A,'Faltantes Fevereiro- Metalfisa'!AA$3,METALFISA!$B:$B,'Faltantes Fevereiro- Metalfisa'!$A200)</f>
        <v>0</v>
      </c>
      <c r="AB200" s="31">
        <f>SUMIFS(METALFISA!$E:$E,METALFISA!$A:$A,'Faltantes Fevereiro- Metalfisa'!AB$3,METALFISA!$B:$B,'Faltantes Fevereiro- Metalfisa'!$A200)</f>
        <v>0</v>
      </c>
      <c r="AC200" s="31">
        <f>SUMIFS(METALFISA!$E:$E,METALFISA!$A:$A,'Faltantes Fevereiro- Metalfisa'!AC$3,METALFISA!$B:$B,'Faltantes Fevereiro- Metalfisa'!$A200)</f>
        <v>0</v>
      </c>
      <c r="AD200" s="31">
        <f>SUMIFS(METALFISA!$E:$E,METALFISA!$A:$A,'Faltantes Fevereiro- Metalfisa'!AD$3,METALFISA!$B:$B,'Faltantes Fevereiro- Metalfisa'!$A200)</f>
        <v>0</v>
      </c>
      <c r="AE200" s="31">
        <f>SUMIFS(METALFISA!$E:$E,METALFISA!$A:$A,'Faltantes Fevereiro- Metalfisa'!AE$3,METALFISA!$B:$B,'Faltantes Fevereiro- Metalfisa'!$A200)</f>
        <v>8</v>
      </c>
      <c r="AF200" s="31">
        <f>SUMIFS(METALFISA!$E:$E,METALFISA!$A:$A,'Faltantes Fevereiro- Metalfisa'!AF$3,METALFISA!$B:$B,'Faltantes Fevereiro- Metalfisa'!$A200)</f>
        <v>0</v>
      </c>
      <c r="AG200" s="31">
        <f>SUMIFS(METALFISA!$E:$E,METALFISA!$A:$A,'Faltantes Fevereiro- Metalfisa'!AG$3,METALFISA!$B:$B,'Faltantes Fevereiro- Metalfisa'!$A200)</f>
        <v>0</v>
      </c>
      <c r="AH200" s="31">
        <f>SUMIFS(METALFISA!$E:$E,METALFISA!$A:$A,'Faltantes Fevereiro- Metalfisa'!AH$3,METALFISA!$B:$B,'Faltantes Fevereiro- Metalfisa'!$A200)</f>
        <v>0</v>
      </c>
      <c r="AI200" s="31">
        <f>SUMIFS(METALFISA!$E:$E,METALFISA!$A:$A,'Faltantes Fevereiro- Metalfisa'!AI$3,METALFISA!$B:$B,'Faltantes Fevereiro- Metalfisa'!$A200)</f>
        <v>0</v>
      </c>
      <c r="AJ200" s="31">
        <f>SUMIFS(METALFISA!$E:$E,METALFISA!$A:$A,'Faltantes Fevereiro- Metalfisa'!AJ$3,METALFISA!$B:$B,'Faltantes Fevereiro- Metalfisa'!$A200)</f>
        <v>0</v>
      </c>
      <c r="AK200" s="31">
        <f>SUMIFS(METALFISA!$E:$E,METALFISA!$A:$A,'Faltantes Fevereiro- Metalfisa'!AK$3,METALFISA!$B:$B,'Faltantes Fevereiro- Metalfisa'!$A200)</f>
        <v>0</v>
      </c>
      <c r="AL200" s="31">
        <f>SUMIFS(METALFISA!$E:$E,METALFISA!$A:$A,'Faltantes Fevereiro- Metalfisa'!AL$3,METALFISA!$B:$B,'Faltantes Fevereiro- Metalfisa'!$A200)</f>
        <v>0</v>
      </c>
      <c r="AM200" s="31">
        <f>SUMIFS(METALFISA!$E:$E,METALFISA!$A:$A,'Faltantes Fevereiro- Metalfisa'!AM$3,METALFISA!$B:$B,'Faltantes Fevereiro- Metalfisa'!$A200)</f>
        <v>0</v>
      </c>
      <c r="AN200" s="31">
        <f>SUMIFS(METALFISA!$E:$E,METALFISA!$A:$A,'Faltantes Fevereiro- Metalfisa'!AN$3,METALFISA!$B:$B,'Faltantes Fevereiro- Metalfisa'!$A200)</f>
        <v>0</v>
      </c>
      <c r="AO200" s="31">
        <f>SUMIFS(METALFISA!$E:$E,METALFISA!$A:$A,'Faltantes Fevereiro- Metalfisa'!AO$3,METALFISA!$B:$B,'Faltantes Fevereiro- Metalfisa'!$A200)</f>
        <v>0</v>
      </c>
      <c r="AP200" s="31">
        <f>SUMIFS(METALFISA!$E:$E,METALFISA!$A:$A,'Faltantes Fevereiro- Metalfisa'!AP$3,METALFISA!$B:$B,'Faltantes Fevereiro- Metalfisa'!$A200)</f>
        <v>0</v>
      </c>
      <c r="AQ200" s="31"/>
      <c r="AR200" s="31">
        <f>SUMIFS(METALFISA!$E:$E,METALFISA!$A:$A,'Faltantes Fevereiro- Metalfisa'!AR$3,METALFISA!$B:$B,'Faltantes Fevereiro- Metalfisa'!$A200)</f>
        <v>0</v>
      </c>
      <c r="AS200" s="35">
        <f>SUMIFS(METALFISA!$E:$E,METALFISA!$A:$A,'Faltantes Fevereiro- Metalfisa'!AS$3,METALFISA!$B:$B,'Faltantes Fevereiro- Metalfisa'!$A200)</f>
        <v>0</v>
      </c>
      <c r="AU200" s="18">
        <v>0</v>
      </c>
      <c r="AV200" s="18">
        <v>0</v>
      </c>
      <c r="AW200" s="18">
        <v>0</v>
      </c>
      <c r="AX200" s="18">
        <v>0</v>
      </c>
      <c r="AY200" s="41">
        <v>0</v>
      </c>
      <c r="AZ200" s="31">
        <v>0</v>
      </c>
      <c r="BA200" s="31">
        <v>0</v>
      </c>
      <c r="BB200" s="31">
        <v>0</v>
      </c>
      <c r="BC200" s="31">
        <v>0</v>
      </c>
      <c r="BD200" s="31">
        <v>0</v>
      </c>
      <c r="BE200" s="31">
        <v>0</v>
      </c>
      <c r="BF200" s="31">
        <v>0</v>
      </c>
      <c r="BG200" s="31">
        <v>0</v>
      </c>
      <c r="BH200" s="31">
        <v>0</v>
      </c>
      <c r="BI200" s="31">
        <v>0</v>
      </c>
      <c r="BJ200" s="31">
        <v>0</v>
      </c>
      <c r="BK200" s="31">
        <v>0</v>
      </c>
      <c r="BL200" s="31">
        <v>0</v>
      </c>
      <c r="BM200" s="31">
        <v>0</v>
      </c>
      <c r="BN200" s="31">
        <v>4</v>
      </c>
      <c r="BO200" s="31">
        <v>4</v>
      </c>
      <c r="BP200" s="31">
        <v>0</v>
      </c>
      <c r="BQ200" s="31">
        <v>0</v>
      </c>
      <c r="BR200" s="31">
        <v>0</v>
      </c>
      <c r="BS200" s="31">
        <v>0</v>
      </c>
      <c r="BT200" s="31">
        <v>0</v>
      </c>
      <c r="BU200" s="31">
        <v>0</v>
      </c>
      <c r="BV200" s="31">
        <v>0</v>
      </c>
      <c r="BW200" s="31">
        <v>0</v>
      </c>
      <c r="BX200" s="31">
        <v>0</v>
      </c>
      <c r="BY200" s="31">
        <v>0</v>
      </c>
      <c r="BZ200" s="31">
        <v>0</v>
      </c>
      <c r="CA200" s="31">
        <v>0</v>
      </c>
      <c r="CB200" s="31">
        <v>0</v>
      </c>
      <c r="CC200" s="31">
        <v>0</v>
      </c>
      <c r="CD200" s="31">
        <v>0</v>
      </c>
      <c r="CE200" s="31">
        <v>0</v>
      </c>
      <c r="CF200" s="31">
        <v>0</v>
      </c>
      <c r="CG200" s="31">
        <v>0</v>
      </c>
      <c r="CH200" s="31">
        <v>0</v>
      </c>
      <c r="CI200" s="31">
        <v>0</v>
      </c>
      <c r="CJ200" s="31">
        <v>0</v>
      </c>
      <c r="CK200" s="31">
        <v>0</v>
      </c>
      <c r="CL200" s="35">
        <v>0</v>
      </c>
    </row>
    <row r="201" spans="1:90" x14ac:dyDescent="0.15">
      <c r="A201" s="27" t="s">
        <v>1029</v>
      </c>
      <c r="B201" s="28" t="s">
        <v>1030</v>
      </c>
      <c r="C201" s="28">
        <v>1</v>
      </c>
      <c r="D201" s="28">
        <v>0</v>
      </c>
      <c r="E201" s="28">
        <v>0</v>
      </c>
      <c r="F201" s="28">
        <v>0</v>
      </c>
      <c r="G201" s="28">
        <v>9</v>
      </c>
      <c r="H201" s="28">
        <f>IFERROR(VLOOKUP(A201,[1]FALTANTES!$A:$AB,28,FALSE),"-")</f>
        <v>0</v>
      </c>
      <c r="I201" s="42">
        <f>IFERROR(VLOOKUP(A201,[1]FALTANTES!$A:$AC,29,FALSE),"-")</f>
        <v>2</v>
      </c>
      <c r="J201" s="29">
        <f>IFERROR(VLOOKUP(A201,[1]FALTANTES!$A:$AD,30,FALSE),"-")</f>
        <v>-8</v>
      </c>
      <c r="K201" s="30"/>
      <c r="L201" s="30">
        <f t="shared" si="3"/>
        <v>2</v>
      </c>
      <c r="M201" s="31">
        <f>SUMIFS(METALFISA!$E:$E,METALFISA!$A:$A,'Faltantes Fevereiro- Metalfisa'!M$3,METALFISA!$B:$B,'Faltantes Fevereiro- Metalfisa'!$A201)</f>
        <v>0</v>
      </c>
      <c r="N201" s="31">
        <f>SUMIFS(METALFISA!$E:$E,METALFISA!$A:$A,'Faltantes Fevereiro- Metalfisa'!N$3,METALFISA!$B:$B,'Faltantes Fevereiro- Metalfisa'!$A201)</f>
        <v>0</v>
      </c>
      <c r="O201" s="31">
        <f>SUMIFS(METALFISA!$E:$E,METALFISA!$A:$A,'Faltantes Fevereiro- Metalfisa'!O$3,METALFISA!$B:$B,'Faltantes Fevereiro- Metalfisa'!$A201)</f>
        <v>0</v>
      </c>
      <c r="P201" s="31">
        <f>SUMIFS(METALFISA!$E:$E,METALFISA!$A:$A,'Faltantes Fevereiro- Metalfisa'!P$3,METALFISA!$B:$B,'Faltantes Fevereiro- Metalfisa'!$A201)</f>
        <v>0</v>
      </c>
      <c r="Q201" s="31">
        <f>SUMIFS(METALFISA!$E:$E,METALFISA!$A:$A,'Faltantes Fevereiro- Metalfisa'!Q$3,METALFISA!$B:$B,'Faltantes Fevereiro- Metalfisa'!$A201)</f>
        <v>0</v>
      </c>
      <c r="R201" s="31">
        <f>SUMIFS(METALFISA!$E:$E,METALFISA!$A:$A,'Faltantes Fevereiro- Metalfisa'!R$3,METALFISA!$B:$B,'Faltantes Fevereiro- Metalfisa'!$A201)</f>
        <v>0</v>
      </c>
      <c r="S201" s="31">
        <f>SUMIFS(METALFISA!$E:$E,METALFISA!$A:$A,'Faltantes Fevereiro- Metalfisa'!S$3,METALFISA!$B:$B,'Faltantes Fevereiro- Metalfisa'!$A201)</f>
        <v>0</v>
      </c>
      <c r="T201" s="31">
        <f>SUMIFS(METALFISA!$E:$E,METALFISA!$A:$A,'Faltantes Fevereiro- Metalfisa'!T$3,METALFISA!$B:$B,'Faltantes Fevereiro- Metalfisa'!$A201)</f>
        <v>0</v>
      </c>
      <c r="U201" s="31">
        <f>SUMIFS(METALFISA!$E:$E,METALFISA!$A:$A,'Faltantes Fevereiro- Metalfisa'!U$3,METALFISA!$B:$B,'Faltantes Fevereiro- Metalfisa'!$A201)</f>
        <v>0</v>
      </c>
      <c r="V201" s="31">
        <f>SUMIFS(METALFISA!$E:$E,METALFISA!$A:$A,'Faltantes Fevereiro- Metalfisa'!V$3,METALFISA!$B:$B,'Faltantes Fevereiro- Metalfisa'!$A201)</f>
        <v>0</v>
      </c>
      <c r="W201" s="31">
        <f>SUMIFS(METALFISA!$E:$E,METALFISA!$A:$A,'Faltantes Fevereiro- Metalfisa'!W$3,METALFISA!$B:$B,'Faltantes Fevereiro- Metalfisa'!$A201)</f>
        <v>0</v>
      </c>
      <c r="X201" s="31">
        <f>SUMIFS(METALFISA!$E:$E,METALFISA!$A:$A,'Faltantes Fevereiro- Metalfisa'!X$3,METALFISA!$B:$B,'Faltantes Fevereiro- Metalfisa'!$A201)</f>
        <v>0</v>
      </c>
      <c r="Y201" s="31">
        <f>SUMIFS(METALFISA!$E:$E,METALFISA!$A:$A,'Faltantes Fevereiro- Metalfisa'!Y$3,METALFISA!$B:$B,'Faltantes Fevereiro- Metalfisa'!$A201)</f>
        <v>0</v>
      </c>
      <c r="Z201" s="31">
        <f>SUMIFS(METALFISA!$E:$E,METALFISA!$A:$A,'Faltantes Fevereiro- Metalfisa'!Z$3,METALFISA!$B:$B,'Faltantes Fevereiro- Metalfisa'!$A201)</f>
        <v>0</v>
      </c>
      <c r="AA201" s="31">
        <f>SUMIFS(METALFISA!$E:$E,METALFISA!$A:$A,'Faltantes Fevereiro- Metalfisa'!AA$3,METALFISA!$B:$B,'Faltantes Fevereiro- Metalfisa'!$A201)</f>
        <v>0</v>
      </c>
      <c r="AB201" s="31">
        <f>SUMIFS(METALFISA!$E:$E,METALFISA!$A:$A,'Faltantes Fevereiro- Metalfisa'!AB$3,METALFISA!$B:$B,'Faltantes Fevereiro- Metalfisa'!$A201)</f>
        <v>0</v>
      </c>
      <c r="AC201" s="31">
        <f>SUMIFS(METALFISA!$E:$E,METALFISA!$A:$A,'Faltantes Fevereiro- Metalfisa'!AC$3,METALFISA!$B:$B,'Faltantes Fevereiro- Metalfisa'!$A201)</f>
        <v>0</v>
      </c>
      <c r="AD201" s="31">
        <f>SUMIFS(METALFISA!$E:$E,METALFISA!$A:$A,'Faltantes Fevereiro- Metalfisa'!AD$3,METALFISA!$B:$B,'Faltantes Fevereiro- Metalfisa'!$A201)</f>
        <v>0</v>
      </c>
      <c r="AE201" s="31">
        <f>SUMIFS(METALFISA!$E:$E,METALFISA!$A:$A,'Faltantes Fevereiro- Metalfisa'!AE$3,METALFISA!$B:$B,'Faltantes Fevereiro- Metalfisa'!$A201)</f>
        <v>2</v>
      </c>
      <c r="AF201" s="31">
        <f>SUMIFS(METALFISA!$E:$E,METALFISA!$A:$A,'Faltantes Fevereiro- Metalfisa'!AF$3,METALFISA!$B:$B,'Faltantes Fevereiro- Metalfisa'!$A201)</f>
        <v>0</v>
      </c>
      <c r="AG201" s="31">
        <f>SUMIFS(METALFISA!$E:$E,METALFISA!$A:$A,'Faltantes Fevereiro- Metalfisa'!AG$3,METALFISA!$B:$B,'Faltantes Fevereiro- Metalfisa'!$A201)</f>
        <v>0</v>
      </c>
      <c r="AH201" s="31">
        <f>SUMIFS(METALFISA!$E:$E,METALFISA!$A:$A,'Faltantes Fevereiro- Metalfisa'!AH$3,METALFISA!$B:$B,'Faltantes Fevereiro- Metalfisa'!$A201)</f>
        <v>0</v>
      </c>
      <c r="AI201" s="31">
        <f>SUMIFS(METALFISA!$E:$E,METALFISA!$A:$A,'Faltantes Fevereiro- Metalfisa'!AI$3,METALFISA!$B:$B,'Faltantes Fevereiro- Metalfisa'!$A201)</f>
        <v>0</v>
      </c>
      <c r="AJ201" s="31">
        <f>SUMIFS(METALFISA!$E:$E,METALFISA!$A:$A,'Faltantes Fevereiro- Metalfisa'!AJ$3,METALFISA!$B:$B,'Faltantes Fevereiro- Metalfisa'!$A201)</f>
        <v>0</v>
      </c>
      <c r="AK201" s="31">
        <f>SUMIFS(METALFISA!$E:$E,METALFISA!$A:$A,'Faltantes Fevereiro- Metalfisa'!AK$3,METALFISA!$B:$B,'Faltantes Fevereiro- Metalfisa'!$A201)</f>
        <v>0</v>
      </c>
      <c r="AL201" s="31">
        <f>SUMIFS(METALFISA!$E:$E,METALFISA!$A:$A,'Faltantes Fevereiro- Metalfisa'!AL$3,METALFISA!$B:$B,'Faltantes Fevereiro- Metalfisa'!$A201)</f>
        <v>0</v>
      </c>
      <c r="AM201" s="31">
        <f>SUMIFS(METALFISA!$E:$E,METALFISA!$A:$A,'Faltantes Fevereiro- Metalfisa'!AM$3,METALFISA!$B:$B,'Faltantes Fevereiro- Metalfisa'!$A201)</f>
        <v>0</v>
      </c>
      <c r="AN201" s="31">
        <f>SUMIFS(METALFISA!$E:$E,METALFISA!$A:$A,'Faltantes Fevereiro- Metalfisa'!AN$3,METALFISA!$B:$B,'Faltantes Fevereiro- Metalfisa'!$A201)</f>
        <v>0</v>
      </c>
      <c r="AO201" s="31">
        <f>SUMIFS(METALFISA!$E:$E,METALFISA!$A:$A,'Faltantes Fevereiro- Metalfisa'!AO$3,METALFISA!$B:$B,'Faltantes Fevereiro- Metalfisa'!$A201)</f>
        <v>0</v>
      </c>
      <c r="AP201" s="31">
        <f>SUMIFS(METALFISA!$E:$E,METALFISA!$A:$A,'Faltantes Fevereiro- Metalfisa'!AP$3,METALFISA!$B:$B,'Faltantes Fevereiro- Metalfisa'!$A201)</f>
        <v>0</v>
      </c>
      <c r="AQ201" s="31"/>
      <c r="AR201" s="31">
        <f>SUMIFS(METALFISA!$E:$E,METALFISA!$A:$A,'Faltantes Fevereiro- Metalfisa'!AR$3,METALFISA!$B:$B,'Faltantes Fevereiro- Metalfisa'!$A201)</f>
        <v>0</v>
      </c>
      <c r="AS201" s="35">
        <f>SUMIFS(METALFISA!$E:$E,METALFISA!$A:$A,'Faltantes Fevereiro- Metalfisa'!AS$3,METALFISA!$B:$B,'Faltantes Fevereiro- Metalfisa'!$A201)</f>
        <v>0</v>
      </c>
      <c r="AU201" s="18">
        <v>0</v>
      </c>
      <c r="AV201" s="18">
        <v>0</v>
      </c>
      <c r="AW201" s="18">
        <v>0</v>
      </c>
      <c r="AX201" s="18">
        <v>0</v>
      </c>
      <c r="AY201" s="41">
        <v>0</v>
      </c>
      <c r="AZ201" s="31">
        <v>0</v>
      </c>
      <c r="BA201" s="31">
        <v>0</v>
      </c>
      <c r="BB201" s="31">
        <v>0</v>
      </c>
      <c r="BC201" s="31">
        <v>0</v>
      </c>
      <c r="BD201" s="31">
        <v>0</v>
      </c>
      <c r="BE201" s="31">
        <v>0</v>
      </c>
      <c r="BF201" s="31">
        <v>0</v>
      </c>
      <c r="BG201" s="31">
        <v>0</v>
      </c>
      <c r="BH201" s="31">
        <v>0</v>
      </c>
      <c r="BI201" s="31">
        <v>0</v>
      </c>
      <c r="BJ201" s="31">
        <v>0</v>
      </c>
      <c r="BK201" s="31">
        <v>0</v>
      </c>
      <c r="BL201" s="31">
        <v>0</v>
      </c>
      <c r="BM201" s="31">
        <v>0</v>
      </c>
      <c r="BN201" s="31">
        <v>1</v>
      </c>
      <c r="BO201" s="31">
        <v>1</v>
      </c>
      <c r="BP201" s="31">
        <v>0</v>
      </c>
      <c r="BQ201" s="31">
        <v>0</v>
      </c>
      <c r="BR201" s="31">
        <v>0</v>
      </c>
      <c r="BS201" s="31">
        <v>0</v>
      </c>
      <c r="BT201" s="31">
        <v>0</v>
      </c>
      <c r="BU201" s="31">
        <v>0</v>
      </c>
      <c r="BV201" s="31">
        <v>0</v>
      </c>
      <c r="BW201" s="31">
        <v>0</v>
      </c>
      <c r="BX201" s="31">
        <v>0</v>
      </c>
      <c r="BY201" s="31">
        <v>0</v>
      </c>
      <c r="BZ201" s="31">
        <v>0</v>
      </c>
      <c r="CA201" s="31">
        <v>0</v>
      </c>
      <c r="CB201" s="31">
        <v>0</v>
      </c>
      <c r="CC201" s="31">
        <v>0</v>
      </c>
      <c r="CD201" s="31">
        <v>0</v>
      </c>
      <c r="CE201" s="31">
        <v>0</v>
      </c>
      <c r="CF201" s="31">
        <v>0</v>
      </c>
      <c r="CG201" s="31">
        <v>0</v>
      </c>
      <c r="CH201" s="31">
        <v>0</v>
      </c>
      <c r="CI201" s="31">
        <v>0</v>
      </c>
      <c r="CJ201" s="31">
        <v>0</v>
      </c>
      <c r="CK201" s="31">
        <v>0</v>
      </c>
      <c r="CL201" s="35">
        <v>0</v>
      </c>
    </row>
    <row r="202" spans="1:90" ht="21" x14ac:dyDescent="0.15">
      <c r="A202" s="27" t="s">
        <v>1031</v>
      </c>
      <c r="B202" s="28" t="s">
        <v>1032</v>
      </c>
      <c r="C202" s="28">
        <v>0</v>
      </c>
      <c r="D202" s="28">
        <v>0</v>
      </c>
      <c r="E202" s="28">
        <v>0</v>
      </c>
      <c r="F202" s="28">
        <v>0</v>
      </c>
      <c r="G202" s="28">
        <v>17</v>
      </c>
      <c r="H202" s="28">
        <f>IFERROR(VLOOKUP(A202,[1]FALTANTES!$A:$AB,28,FALSE),"-")</f>
        <v>0</v>
      </c>
      <c r="I202" s="42">
        <f>IFERROR(VLOOKUP(A202,[1]FALTANTES!$A:$AC,29,FALSE),"-")</f>
        <v>4</v>
      </c>
      <c r="J202" s="29">
        <f>IFERROR(VLOOKUP(A202,[1]FALTANTES!$A:$AD,30,FALSE),"-")</f>
        <v>-13</v>
      </c>
      <c r="K202" s="30"/>
      <c r="L202" s="30">
        <f t="shared" si="3"/>
        <v>4</v>
      </c>
      <c r="M202" s="31">
        <f>SUMIFS(METALFISA!$E:$E,METALFISA!$A:$A,'Faltantes Fevereiro- Metalfisa'!M$3,METALFISA!$B:$B,'Faltantes Fevereiro- Metalfisa'!$A202)</f>
        <v>0</v>
      </c>
      <c r="N202" s="31">
        <f>SUMIFS(METALFISA!$E:$E,METALFISA!$A:$A,'Faltantes Fevereiro- Metalfisa'!N$3,METALFISA!$B:$B,'Faltantes Fevereiro- Metalfisa'!$A202)</f>
        <v>0</v>
      </c>
      <c r="O202" s="31">
        <f>SUMIFS(METALFISA!$E:$E,METALFISA!$A:$A,'Faltantes Fevereiro- Metalfisa'!O$3,METALFISA!$B:$B,'Faltantes Fevereiro- Metalfisa'!$A202)</f>
        <v>0</v>
      </c>
      <c r="P202" s="31">
        <f>SUMIFS(METALFISA!$E:$E,METALFISA!$A:$A,'Faltantes Fevereiro- Metalfisa'!P$3,METALFISA!$B:$B,'Faltantes Fevereiro- Metalfisa'!$A202)</f>
        <v>0</v>
      </c>
      <c r="Q202" s="31">
        <f>SUMIFS(METALFISA!$E:$E,METALFISA!$A:$A,'Faltantes Fevereiro- Metalfisa'!Q$3,METALFISA!$B:$B,'Faltantes Fevereiro- Metalfisa'!$A202)</f>
        <v>0</v>
      </c>
      <c r="R202" s="31">
        <f>SUMIFS(METALFISA!$E:$E,METALFISA!$A:$A,'Faltantes Fevereiro- Metalfisa'!R$3,METALFISA!$B:$B,'Faltantes Fevereiro- Metalfisa'!$A202)</f>
        <v>0</v>
      </c>
      <c r="S202" s="31">
        <f>SUMIFS(METALFISA!$E:$E,METALFISA!$A:$A,'Faltantes Fevereiro- Metalfisa'!S$3,METALFISA!$B:$B,'Faltantes Fevereiro- Metalfisa'!$A202)</f>
        <v>0</v>
      </c>
      <c r="T202" s="31">
        <f>SUMIFS(METALFISA!$E:$E,METALFISA!$A:$A,'Faltantes Fevereiro- Metalfisa'!T$3,METALFISA!$B:$B,'Faltantes Fevereiro- Metalfisa'!$A202)</f>
        <v>0</v>
      </c>
      <c r="U202" s="31">
        <f>SUMIFS(METALFISA!$E:$E,METALFISA!$A:$A,'Faltantes Fevereiro- Metalfisa'!U$3,METALFISA!$B:$B,'Faltantes Fevereiro- Metalfisa'!$A202)</f>
        <v>0</v>
      </c>
      <c r="V202" s="31">
        <f>SUMIFS(METALFISA!$E:$E,METALFISA!$A:$A,'Faltantes Fevereiro- Metalfisa'!V$3,METALFISA!$B:$B,'Faltantes Fevereiro- Metalfisa'!$A202)</f>
        <v>0</v>
      </c>
      <c r="W202" s="31">
        <f>SUMIFS(METALFISA!$E:$E,METALFISA!$A:$A,'Faltantes Fevereiro- Metalfisa'!W$3,METALFISA!$B:$B,'Faltantes Fevereiro- Metalfisa'!$A202)</f>
        <v>0</v>
      </c>
      <c r="X202" s="31">
        <f>SUMIFS(METALFISA!$E:$E,METALFISA!$A:$A,'Faltantes Fevereiro- Metalfisa'!X$3,METALFISA!$B:$B,'Faltantes Fevereiro- Metalfisa'!$A202)</f>
        <v>0</v>
      </c>
      <c r="Y202" s="31">
        <f>SUMIFS(METALFISA!$E:$E,METALFISA!$A:$A,'Faltantes Fevereiro- Metalfisa'!Y$3,METALFISA!$B:$B,'Faltantes Fevereiro- Metalfisa'!$A202)</f>
        <v>0</v>
      </c>
      <c r="Z202" s="31">
        <f>SUMIFS(METALFISA!$E:$E,METALFISA!$A:$A,'Faltantes Fevereiro- Metalfisa'!Z$3,METALFISA!$B:$B,'Faltantes Fevereiro- Metalfisa'!$A202)</f>
        <v>0</v>
      </c>
      <c r="AA202" s="31">
        <f>SUMIFS(METALFISA!$E:$E,METALFISA!$A:$A,'Faltantes Fevereiro- Metalfisa'!AA$3,METALFISA!$B:$B,'Faltantes Fevereiro- Metalfisa'!$A202)</f>
        <v>0</v>
      </c>
      <c r="AB202" s="31">
        <f>SUMIFS(METALFISA!$E:$E,METALFISA!$A:$A,'Faltantes Fevereiro- Metalfisa'!AB$3,METALFISA!$B:$B,'Faltantes Fevereiro- Metalfisa'!$A202)</f>
        <v>0</v>
      </c>
      <c r="AC202" s="31">
        <f>SUMIFS(METALFISA!$E:$E,METALFISA!$A:$A,'Faltantes Fevereiro- Metalfisa'!AC$3,METALFISA!$B:$B,'Faltantes Fevereiro- Metalfisa'!$A202)</f>
        <v>0</v>
      </c>
      <c r="AD202" s="31">
        <f>SUMIFS(METALFISA!$E:$E,METALFISA!$A:$A,'Faltantes Fevereiro- Metalfisa'!AD$3,METALFISA!$B:$B,'Faltantes Fevereiro- Metalfisa'!$A202)</f>
        <v>0</v>
      </c>
      <c r="AE202" s="31">
        <f>SUMIFS(METALFISA!$E:$E,METALFISA!$A:$A,'Faltantes Fevereiro- Metalfisa'!AE$3,METALFISA!$B:$B,'Faltantes Fevereiro- Metalfisa'!$A202)</f>
        <v>4</v>
      </c>
      <c r="AF202" s="31">
        <f>SUMIFS(METALFISA!$E:$E,METALFISA!$A:$A,'Faltantes Fevereiro- Metalfisa'!AF$3,METALFISA!$B:$B,'Faltantes Fevereiro- Metalfisa'!$A202)</f>
        <v>0</v>
      </c>
      <c r="AG202" s="31">
        <f>SUMIFS(METALFISA!$E:$E,METALFISA!$A:$A,'Faltantes Fevereiro- Metalfisa'!AG$3,METALFISA!$B:$B,'Faltantes Fevereiro- Metalfisa'!$A202)</f>
        <v>0</v>
      </c>
      <c r="AH202" s="31">
        <f>SUMIFS(METALFISA!$E:$E,METALFISA!$A:$A,'Faltantes Fevereiro- Metalfisa'!AH$3,METALFISA!$B:$B,'Faltantes Fevereiro- Metalfisa'!$A202)</f>
        <v>0</v>
      </c>
      <c r="AI202" s="31">
        <f>SUMIFS(METALFISA!$E:$E,METALFISA!$A:$A,'Faltantes Fevereiro- Metalfisa'!AI$3,METALFISA!$B:$B,'Faltantes Fevereiro- Metalfisa'!$A202)</f>
        <v>0</v>
      </c>
      <c r="AJ202" s="31">
        <f>SUMIFS(METALFISA!$E:$E,METALFISA!$A:$A,'Faltantes Fevereiro- Metalfisa'!AJ$3,METALFISA!$B:$B,'Faltantes Fevereiro- Metalfisa'!$A202)</f>
        <v>0</v>
      </c>
      <c r="AK202" s="31">
        <f>SUMIFS(METALFISA!$E:$E,METALFISA!$A:$A,'Faltantes Fevereiro- Metalfisa'!AK$3,METALFISA!$B:$B,'Faltantes Fevereiro- Metalfisa'!$A202)</f>
        <v>0</v>
      </c>
      <c r="AL202" s="31">
        <f>SUMIFS(METALFISA!$E:$E,METALFISA!$A:$A,'Faltantes Fevereiro- Metalfisa'!AL$3,METALFISA!$B:$B,'Faltantes Fevereiro- Metalfisa'!$A202)</f>
        <v>0</v>
      </c>
      <c r="AM202" s="31">
        <f>SUMIFS(METALFISA!$E:$E,METALFISA!$A:$A,'Faltantes Fevereiro- Metalfisa'!AM$3,METALFISA!$B:$B,'Faltantes Fevereiro- Metalfisa'!$A202)</f>
        <v>0</v>
      </c>
      <c r="AN202" s="31">
        <f>SUMIFS(METALFISA!$E:$E,METALFISA!$A:$A,'Faltantes Fevereiro- Metalfisa'!AN$3,METALFISA!$B:$B,'Faltantes Fevereiro- Metalfisa'!$A202)</f>
        <v>0</v>
      </c>
      <c r="AO202" s="31">
        <f>SUMIFS(METALFISA!$E:$E,METALFISA!$A:$A,'Faltantes Fevereiro- Metalfisa'!AO$3,METALFISA!$B:$B,'Faltantes Fevereiro- Metalfisa'!$A202)</f>
        <v>0</v>
      </c>
      <c r="AP202" s="31">
        <f>SUMIFS(METALFISA!$E:$E,METALFISA!$A:$A,'Faltantes Fevereiro- Metalfisa'!AP$3,METALFISA!$B:$B,'Faltantes Fevereiro- Metalfisa'!$A202)</f>
        <v>0</v>
      </c>
      <c r="AQ202" s="31"/>
      <c r="AR202" s="31">
        <f>SUMIFS(METALFISA!$E:$E,METALFISA!$A:$A,'Faltantes Fevereiro- Metalfisa'!AR$3,METALFISA!$B:$B,'Faltantes Fevereiro- Metalfisa'!$A202)</f>
        <v>0</v>
      </c>
      <c r="AS202" s="35">
        <f>SUMIFS(METALFISA!$E:$E,METALFISA!$A:$A,'Faltantes Fevereiro- Metalfisa'!AS$3,METALFISA!$B:$B,'Faltantes Fevereiro- Metalfisa'!$A202)</f>
        <v>0</v>
      </c>
      <c r="AU202" s="18">
        <v>0</v>
      </c>
      <c r="AV202" s="18">
        <v>0</v>
      </c>
      <c r="AW202" s="18">
        <v>0</v>
      </c>
      <c r="AX202" s="18">
        <v>0</v>
      </c>
      <c r="AY202" s="41">
        <v>0</v>
      </c>
      <c r="AZ202" s="31">
        <v>0</v>
      </c>
      <c r="BA202" s="31">
        <v>0</v>
      </c>
      <c r="BB202" s="31">
        <v>0</v>
      </c>
      <c r="BC202" s="31">
        <v>0</v>
      </c>
      <c r="BD202" s="31">
        <v>0</v>
      </c>
      <c r="BE202" s="31">
        <v>0</v>
      </c>
      <c r="BF202" s="31">
        <v>0</v>
      </c>
      <c r="BG202" s="31">
        <v>0</v>
      </c>
      <c r="BH202" s="31">
        <v>0</v>
      </c>
      <c r="BI202" s="31">
        <v>0</v>
      </c>
      <c r="BJ202" s="31">
        <v>0</v>
      </c>
      <c r="BK202" s="31">
        <v>0</v>
      </c>
      <c r="BL202" s="31">
        <v>0</v>
      </c>
      <c r="BM202" s="31">
        <v>0</v>
      </c>
      <c r="BN202" s="31">
        <v>2</v>
      </c>
      <c r="BO202" s="31">
        <v>2</v>
      </c>
      <c r="BP202" s="31">
        <v>0</v>
      </c>
      <c r="BQ202" s="31">
        <v>0</v>
      </c>
      <c r="BR202" s="31">
        <v>0</v>
      </c>
      <c r="BS202" s="31">
        <v>0</v>
      </c>
      <c r="BT202" s="31">
        <v>0</v>
      </c>
      <c r="BU202" s="31">
        <v>0</v>
      </c>
      <c r="BV202" s="31">
        <v>0</v>
      </c>
      <c r="BW202" s="31">
        <v>0</v>
      </c>
      <c r="BX202" s="31">
        <v>0</v>
      </c>
      <c r="BY202" s="31">
        <v>0</v>
      </c>
      <c r="BZ202" s="31">
        <v>0</v>
      </c>
      <c r="CA202" s="31">
        <v>0</v>
      </c>
      <c r="CB202" s="31">
        <v>0</v>
      </c>
      <c r="CC202" s="31">
        <v>0</v>
      </c>
      <c r="CD202" s="31">
        <v>0</v>
      </c>
      <c r="CE202" s="31">
        <v>0</v>
      </c>
      <c r="CF202" s="31">
        <v>0</v>
      </c>
      <c r="CG202" s="31">
        <v>0</v>
      </c>
      <c r="CH202" s="31">
        <v>0</v>
      </c>
      <c r="CI202" s="31">
        <v>0</v>
      </c>
      <c r="CJ202" s="31">
        <v>0</v>
      </c>
      <c r="CK202" s="31">
        <v>0</v>
      </c>
      <c r="CL202" s="35">
        <v>0</v>
      </c>
    </row>
    <row r="203" spans="1:90" ht="21" x14ac:dyDescent="0.15">
      <c r="A203" s="27" t="s">
        <v>1037</v>
      </c>
      <c r="B203" s="28" t="s">
        <v>1038</v>
      </c>
      <c r="C203" s="28">
        <v>1</v>
      </c>
      <c r="D203" s="28">
        <v>0</v>
      </c>
      <c r="E203" s="28">
        <v>0</v>
      </c>
      <c r="F203" s="28">
        <v>0</v>
      </c>
      <c r="G203" s="28">
        <v>9</v>
      </c>
      <c r="H203" s="28">
        <f>IFERROR(VLOOKUP(A203,[1]FALTANTES!$A:$AB,28,FALSE),"-")</f>
        <v>0</v>
      </c>
      <c r="I203" s="42">
        <f>IFERROR(VLOOKUP(A203,[1]FALTANTES!$A:$AC,29,FALSE),"-")</f>
        <v>2</v>
      </c>
      <c r="J203" s="29">
        <f>IFERROR(VLOOKUP(A203,[1]FALTANTES!$A:$AD,30,FALSE),"-")</f>
        <v>-8</v>
      </c>
      <c r="K203" s="30"/>
      <c r="L203" s="30">
        <f t="shared" si="3"/>
        <v>2</v>
      </c>
      <c r="M203" s="31">
        <f>SUMIFS(METALFISA!$E:$E,METALFISA!$A:$A,'Faltantes Fevereiro- Metalfisa'!M$3,METALFISA!$B:$B,'Faltantes Fevereiro- Metalfisa'!$A203)</f>
        <v>0</v>
      </c>
      <c r="N203" s="31">
        <f>SUMIFS(METALFISA!$E:$E,METALFISA!$A:$A,'Faltantes Fevereiro- Metalfisa'!N$3,METALFISA!$B:$B,'Faltantes Fevereiro- Metalfisa'!$A203)</f>
        <v>0</v>
      </c>
      <c r="O203" s="31">
        <f>SUMIFS(METALFISA!$E:$E,METALFISA!$A:$A,'Faltantes Fevereiro- Metalfisa'!O$3,METALFISA!$B:$B,'Faltantes Fevereiro- Metalfisa'!$A203)</f>
        <v>0</v>
      </c>
      <c r="P203" s="31">
        <f>SUMIFS(METALFISA!$E:$E,METALFISA!$A:$A,'Faltantes Fevereiro- Metalfisa'!P$3,METALFISA!$B:$B,'Faltantes Fevereiro- Metalfisa'!$A203)</f>
        <v>0</v>
      </c>
      <c r="Q203" s="31">
        <f>SUMIFS(METALFISA!$E:$E,METALFISA!$A:$A,'Faltantes Fevereiro- Metalfisa'!Q$3,METALFISA!$B:$B,'Faltantes Fevereiro- Metalfisa'!$A203)</f>
        <v>0</v>
      </c>
      <c r="R203" s="31">
        <f>SUMIFS(METALFISA!$E:$E,METALFISA!$A:$A,'Faltantes Fevereiro- Metalfisa'!R$3,METALFISA!$B:$B,'Faltantes Fevereiro- Metalfisa'!$A203)</f>
        <v>0</v>
      </c>
      <c r="S203" s="31">
        <f>SUMIFS(METALFISA!$E:$E,METALFISA!$A:$A,'Faltantes Fevereiro- Metalfisa'!S$3,METALFISA!$B:$B,'Faltantes Fevereiro- Metalfisa'!$A203)</f>
        <v>0</v>
      </c>
      <c r="T203" s="31">
        <f>SUMIFS(METALFISA!$E:$E,METALFISA!$A:$A,'Faltantes Fevereiro- Metalfisa'!T$3,METALFISA!$B:$B,'Faltantes Fevereiro- Metalfisa'!$A203)</f>
        <v>0</v>
      </c>
      <c r="U203" s="31">
        <f>SUMIFS(METALFISA!$E:$E,METALFISA!$A:$A,'Faltantes Fevereiro- Metalfisa'!U$3,METALFISA!$B:$B,'Faltantes Fevereiro- Metalfisa'!$A203)</f>
        <v>0</v>
      </c>
      <c r="V203" s="31">
        <f>SUMIFS(METALFISA!$E:$E,METALFISA!$A:$A,'Faltantes Fevereiro- Metalfisa'!V$3,METALFISA!$B:$B,'Faltantes Fevereiro- Metalfisa'!$A203)</f>
        <v>0</v>
      </c>
      <c r="W203" s="31">
        <f>SUMIFS(METALFISA!$E:$E,METALFISA!$A:$A,'Faltantes Fevereiro- Metalfisa'!W$3,METALFISA!$B:$B,'Faltantes Fevereiro- Metalfisa'!$A203)</f>
        <v>0</v>
      </c>
      <c r="X203" s="31">
        <f>SUMIFS(METALFISA!$E:$E,METALFISA!$A:$A,'Faltantes Fevereiro- Metalfisa'!X$3,METALFISA!$B:$B,'Faltantes Fevereiro- Metalfisa'!$A203)</f>
        <v>0</v>
      </c>
      <c r="Y203" s="31">
        <f>SUMIFS(METALFISA!$E:$E,METALFISA!$A:$A,'Faltantes Fevereiro- Metalfisa'!Y$3,METALFISA!$B:$B,'Faltantes Fevereiro- Metalfisa'!$A203)</f>
        <v>0</v>
      </c>
      <c r="Z203" s="31">
        <f>SUMIFS(METALFISA!$E:$E,METALFISA!$A:$A,'Faltantes Fevereiro- Metalfisa'!Z$3,METALFISA!$B:$B,'Faltantes Fevereiro- Metalfisa'!$A203)</f>
        <v>0</v>
      </c>
      <c r="AA203" s="31">
        <f>SUMIFS(METALFISA!$E:$E,METALFISA!$A:$A,'Faltantes Fevereiro- Metalfisa'!AA$3,METALFISA!$B:$B,'Faltantes Fevereiro- Metalfisa'!$A203)</f>
        <v>0</v>
      </c>
      <c r="AB203" s="31">
        <f>SUMIFS(METALFISA!$E:$E,METALFISA!$A:$A,'Faltantes Fevereiro- Metalfisa'!AB$3,METALFISA!$B:$B,'Faltantes Fevereiro- Metalfisa'!$A203)</f>
        <v>0</v>
      </c>
      <c r="AC203" s="31">
        <f>SUMIFS(METALFISA!$E:$E,METALFISA!$A:$A,'Faltantes Fevereiro- Metalfisa'!AC$3,METALFISA!$B:$B,'Faltantes Fevereiro- Metalfisa'!$A203)</f>
        <v>0</v>
      </c>
      <c r="AD203" s="31">
        <f>SUMIFS(METALFISA!$E:$E,METALFISA!$A:$A,'Faltantes Fevereiro- Metalfisa'!AD$3,METALFISA!$B:$B,'Faltantes Fevereiro- Metalfisa'!$A203)</f>
        <v>0</v>
      </c>
      <c r="AE203" s="31">
        <f>SUMIFS(METALFISA!$E:$E,METALFISA!$A:$A,'Faltantes Fevereiro- Metalfisa'!AE$3,METALFISA!$B:$B,'Faltantes Fevereiro- Metalfisa'!$A203)</f>
        <v>2</v>
      </c>
      <c r="AF203" s="31">
        <f>SUMIFS(METALFISA!$E:$E,METALFISA!$A:$A,'Faltantes Fevereiro- Metalfisa'!AF$3,METALFISA!$B:$B,'Faltantes Fevereiro- Metalfisa'!$A203)</f>
        <v>0</v>
      </c>
      <c r="AG203" s="31">
        <f>SUMIFS(METALFISA!$E:$E,METALFISA!$A:$A,'Faltantes Fevereiro- Metalfisa'!AG$3,METALFISA!$B:$B,'Faltantes Fevereiro- Metalfisa'!$A203)</f>
        <v>0</v>
      </c>
      <c r="AH203" s="31">
        <f>SUMIFS(METALFISA!$E:$E,METALFISA!$A:$A,'Faltantes Fevereiro- Metalfisa'!AH$3,METALFISA!$B:$B,'Faltantes Fevereiro- Metalfisa'!$A203)</f>
        <v>0</v>
      </c>
      <c r="AI203" s="31">
        <f>SUMIFS(METALFISA!$E:$E,METALFISA!$A:$A,'Faltantes Fevereiro- Metalfisa'!AI$3,METALFISA!$B:$B,'Faltantes Fevereiro- Metalfisa'!$A203)</f>
        <v>0</v>
      </c>
      <c r="AJ203" s="31">
        <f>SUMIFS(METALFISA!$E:$E,METALFISA!$A:$A,'Faltantes Fevereiro- Metalfisa'!AJ$3,METALFISA!$B:$B,'Faltantes Fevereiro- Metalfisa'!$A203)</f>
        <v>0</v>
      </c>
      <c r="AK203" s="31">
        <f>SUMIFS(METALFISA!$E:$E,METALFISA!$A:$A,'Faltantes Fevereiro- Metalfisa'!AK$3,METALFISA!$B:$B,'Faltantes Fevereiro- Metalfisa'!$A203)</f>
        <v>0</v>
      </c>
      <c r="AL203" s="31">
        <f>SUMIFS(METALFISA!$E:$E,METALFISA!$A:$A,'Faltantes Fevereiro- Metalfisa'!AL$3,METALFISA!$B:$B,'Faltantes Fevereiro- Metalfisa'!$A203)</f>
        <v>0</v>
      </c>
      <c r="AM203" s="31">
        <f>SUMIFS(METALFISA!$E:$E,METALFISA!$A:$A,'Faltantes Fevereiro- Metalfisa'!AM$3,METALFISA!$B:$B,'Faltantes Fevereiro- Metalfisa'!$A203)</f>
        <v>0</v>
      </c>
      <c r="AN203" s="31">
        <f>SUMIFS(METALFISA!$E:$E,METALFISA!$A:$A,'Faltantes Fevereiro- Metalfisa'!AN$3,METALFISA!$B:$B,'Faltantes Fevereiro- Metalfisa'!$A203)</f>
        <v>0</v>
      </c>
      <c r="AO203" s="31">
        <f>SUMIFS(METALFISA!$E:$E,METALFISA!$A:$A,'Faltantes Fevereiro- Metalfisa'!AO$3,METALFISA!$B:$B,'Faltantes Fevereiro- Metalfisa'!$A203)</f>
        <v>0</v>
      </c>
      <c r="AP203" s="31">
        <f>SUMIFS(METALFISA!$E:$E,METALFISA!$A:$A,'Faltantes Fevereiro- Metalfisa'!AP$3,METALFISA!$B:$B,'Faltantes Fevereiro- Metalfisa'!$A203)</f>
        <v>0</v>
      </c>
      <c r="AQ203" s="31"/>
      <c r="AR203" s="31">
        <f>SUMIFS(METALFISA!$E:$E,METALFISA!$A:$A,'Faltantes Fevereiro- Metalfisa'!AR$3,METALFISA!$B:$B,'Faltantes Fevereiro- Metalfisa'!$A203)</f>
        <v>0</v>
      </c>
      <c r="AS203" s="35">
        <f>SUMIFS(METALFISA!$E:$E,METALFISA!$A:$A,'Faltantes Fevereiro- Metalfisa'!AS$3,METALFISA!$B:$B,'Faltantes Fevereiro- Metalfisa'!$A203)</f>
        <v>0</v>
      </c>
      <c r="AU203" s="18">
        <v>0</v>
      </c>
      <c r="AV203" s="18">
        <v>0</v>
      </c>
      <c r="AW203" s="18">
        <v>0</v>
      </c>
      <c r="AX203" s="18">
        <v>0</v>
      </c>
      <c r="AY203" s="41">
        <v>0</v>
      </c>
      <c r="AZ203" s="31">
        <v>0</v>
      </c>
      <c r="BA203" s="31">
        <v>0</v>
      </c>
      <c r="BB203" s="31">
        <v>0</v>
      </c>
      <c r="BC203" s="31">
        <v>0</v>
      </c>
      <c r="BD203" s="31">
        <v>0</v>
      </c>
      <c r="BE203" s="31">
        <v>0</v>
      </c>
      <c r="BF203" s="31">
        <v>0</v>
      </c>
      <c r="BG203" s="31">
        <v>0</v>
      </c>
      <c r="BH203" s="31">
        <v>0</v>
      </c>
      <c r="BI203" s="31">
        <v>0</v>
      </c>
      <c r="BJ203" s="31">
        <v>0</v>
      </c>
      <c r="BK203" s="31">
        <v>0</v>
      </c>
      <c r="BL203" s="31">
        <v>0</v>
      </c>
      <c r="BM203" s="31">
        <v>0</v>
      </c>
      <c r="BN203" s="31">
        <v>1</v>
      </c>
      <c r="BO203" s="31">
        <v>1</v>
      </c>
      <c r="BP203" s="31">
        <v>0</v>
      </c>
      <c r="BQ203" s="31">
        <v>0</v>
      </c>
      <c r="BR203" s="31">
        <v>0</v>
      </c>
      <c r="BS203" s="31">
        <v>0</v>
      </c>
      <c r="BT203" s="31">
        <v>0</v>
      </c>
      <c r="BU203" s="31">
        <v>0</v>
      </c>
      <c r="BV203" s="31">
        <v>0</v>
      </c>
      <c r="BW203" s="31">
        <v>0</v>
      </c>
      <c r="BX203" s="31">
        <v>0</v>
      </c>
      <c r="BY203" s="31">
        <v>0</v>
      </c>
      <c r="BZ203" s="31">
        <v>0</v>
      </c>
      <c r="CA203" s="31">
        <v>0</v>
      </c>
      <c r="CB203" s="31">
        <v>0</v>
      </c>
      <c r="CC203" s="31">
        <v>0</v>
      </c>
      <c r="CD203" s="31">
        <v>0</v>
      </c>
      <c r="CE203" s="31">
        <v>0</v>
      </c>
      <c r="CF203" s="31">
        <v>0</v>
      </c>
      <c r="CG203" s="31">
        <v>0</v>
      </c>
      <c r="CH203" s="31">
        <v>0</v>
      </c>
      <c r="CI203" s="31">
        <v>0</v>
      </c>
      <c r="CJ203" s="31">
        <v>0</v>
      </c>
      <c r="CK203" s="31">
        <v>0</v>
      </c>
      <c r="CL203" s="35">
        <v>0</v>
      </c>
    </row>
    <row r="204" spans="1:90" x14ac:dyDescent="0.15">
      <c r="A204" s="27" t="s">
        <v>1039</v>
      </c>
      <c r="B204" s="28" t="s">
        <v>1040</v>
      </c>
      <c r="C204" s="28">
        <v>0</v>
      </c>
      <c r="D204" s="28">
        <v>0</v>
      </c>
      <c r="E204" s="28">
        <v>0</v>
      </c>
      <c r="F204" s="28">
        <v>0</v>
      </c>
      <c r="G204" s="28">
        <v>9</v>
      </c>
      <c r="H204" s="28">
        <f>IFERROR(VLOOKUP(A204,[1]FALTANTES!$A:$AB,28,FALSE),"-")</f>
        <v>0</v>
      </c>
      <c r="I204" s="42">
        <f>IFERROR(VLOOKUP(A204,[1]FALTANTES!$A:$AC,29,FALSE),"-")</f>
        <v>0</v>
      </c>
      <c r="J204" s="29">
        <f>IFERROR(VLOOKUP(A204,[1]FALTANTES!$A:$AD,30,FALSE),"-")</f>
        <v>-9</v>
      </c>
      <c r="K204" s="30">
        <v>0</v>
      </c>
      <c r="L204" s="30">
        <f t="shared" si="3"/>
        <v>2</v>
      </c>
      <c r="M204" s="31">
        <f>SUMIFS(METALFISA!$E:$E,METALFISA!$A:$A,'Faltantes Fevereiro- Metalfisa'!M$3,METALFISA!$B:$B,'Faltantes Fevereiro- Metalfisa'!$A204)</f>
        <v>0</v>
      </c>
      <c r="N204" s="31">
        <f>SUMIFS(METALFISA!$E:$E,METALFISA!$A:$A,'Faltantes Fevereiro- Metalfisa'!N$3,METALFISA!$B:$B,'Faltantes Fevereiro- Metalfisa'!$A204)</f>
        <v>0</v>
      </c>
      <c r="O204" s="31">
        <f>SUMIFS(METALFISA!$E:$E,METALFISA!$A:$A,'Faltantes Fevereiro- Metalfisa'!O$3,METALFISA!$B:$B,'Faltantes Fevereiro- Metalfisa'!$A204)</f>
        <v>0</v>
      </c>
      <c r="P204" s="31">
        <f>SUMIFS(METALFISA!$E:$E,METALFISA!$A:$A,'Faltantes Fevereiro- Metalfisa'!P$3,METALFISA!$B:$B,'Faltantes Fevereiro- Metalfisa'!$A204)</f>
        <v>0</v>
      </c>
      <c r="Q204" s="31">
        <f>SUMIFS(METALFISA!$E:$E,METALFISA!$A:$A,'Faltantes Fevereiro- Metalfisa'!Q$3,METALFISA!$B:$B,'Faltantes Fevereiro- Metalfisa'!$A204)</f>
        <v>0</v>
      </c>
      <c r="R204" s="31">
        <f>SUMIFS(METALFISA!$E:$E,METALFISA!$A:$A,'Faltantes Fevereiro- Metalfisa'!R$3,METALFISA!$B:$B,'Faltantes Fevereiro- Metalfisa'!$A204)</f>
        <v>0</v>
      </c>
      <c r="S204" s="31">
        <f>SUMIFS(METALFISA!$E:$E,METALFISA!$A:$A,'Faltantes Fevereiro- Metalfisa'!S$3,METALFISA!$B:$B,'Faltantes Fevereiro- Metalfisa'!$A204)</f>
        <v>0</v>
      </c>
      <c r="T204" s="31">
        <f>SUMIFS(METALFISA!$E:$E,METALFISA!$A:$A,'Faltantes Fevereiro- Metalfisa'!T$3,METALFISA!$B:$B,'Faltantes Fevereiro- Metalfisa'!$A204)</f>
        <v>0</v>
      </c>
      <c r="U204" s="31">
        <f>SUMIFS(METALFISA!$E:$E,METALFISA!$A:$A,'Faltantes Fevereiro- Metalfisa'!U$3,METALFISA!$B:$B,'Faltantes Fevereiro- Metalfisa'!$A204)</f>
        <v>0</v>
      </c>
      <c r="V204" s="31">
        <f>SUMIFS(METALFISA!$E:$E,METALFISA!$A:$A,'Faltantes Fevereiro- Metalfisa'!V$3,METALFISA!$B:$B,'Faltantes Fevereiro- Metalfisa'!$A204)</f>
        <v>0</v>
      </c>
      <c r="W204" s="31">
        <f>SUMIFS(METALFISA!$E:$E,METALFISA!$A:$A,'Faltantes Fevereiro- Metalfisa'!W$3,METALFISA!$B:$B,'Faltantes Fevereiro- Metalfisa'!$A204)</f>
        <v>0</v>
      </c>
      <c r="X204" s="31">
        <f>SUMIFS(METALFISA!$E:$E,METALFISA!$A:$A,'Faltantes Fevereiro- Metalfisa'!X$3,METALFISA!$B:$B,'Faltantes Fevereiro- Metalfisa'!$A204)</f>
        <v>0</v>
      </c>
      <c r="Y204" s="31">
        <f>SUMIFS(METALFISA!$E:$E,METALFISA!$A:$A,'Faltantes Fevereiro- Metalfisa'!Y$3,METALFISA!$B:$B,'Faltantes Fevereiro- Metalfisa'!$A204)</f>
        <v>0</v>
      </c>
      <c r="Z204" s="31">
        <f>SUMIFS(METALFISA!$E:$E,METALFISA!$A:$A,'Faltantes Fevereiro- Metalfisa'!Z$3,METALFISA!$B:$B,'Faltantes Fevereiro- Metalfisa'!$A204)</f>
        <v>0</v>
      </c>
      <c r="AA204" s="31">
        <f>SUMIFS(METALFISA!$E:$E,METALFISA!$A:$A,'Faltantes Fevereiro- Metalfisa'!AA$3,METALFISA!$B:$B,'Faltantes Fevereiro- Metalfisa'!$A204)</f>
        <v>0</v>
      </c>
      <c r="AB204" s="31">
        <f>SUMIFS(METALFISA!$E:$E,METALFISA!$A:$A,'Faltantes Fevereiro- Metalfisa'!AB$3,METALFISA!$B:$B,'Faltantes Fevereiro- Metalfisa'!$A204)</f>
        <v>0</v>
      </c>
      <c r="AC204" s="31">
        <f>SUMIFS(METALFISA!$E:$E,METALFISA!$A:$A,'Faltantes Fevereiro- Metalfisa'!AC$3,METALFISA!$B:$B,'Faltantes Fevereiro- Metalfisa'!$A204)</f>
        <v>0</v>
      </c>
      <c r="AD204" s="31">
        <f>SUMIFS(METALFISA!$E:$E,METALFISA!$A:$A,'Faltantes Fevereiro- Metalfisa'!AD$3,METALFISA!$B:$B,'Faltantes Fevereiro- Metalfisa'!$A204)</f>
        <v>0</v>
      </c>
      <c r="AE204" s="31">
        <f>SUMIFS(METALFISA!$E:$E,METALFISA!$A:$A,'Faltantes Fevereiro- Metalfisa'!AE$3,METALFISA!$B:$B,'Faltantes Fevereiro- Metalfisa'!$A204)</f>
        <v>2</v>
      </c>
      <c r="AF204" s="31">
        <f>SUMIFS(METALFISA!$E:$E,METALFISA!$A:$A,'Faltantes Fevereiro- Metalfisa'!AF$3,METALFISA!$B:$B,'Faltantes Fevereiro- Metalfisa'!$A204)</f>
        <v>0</v>
      </c>
      <c r="AG204" s="31">
        <f>SUMIFS(METALFISA!$E:$E,METALFISA!$A:$A,'Faltantes Fevereiro- Metalfisa'!AG$3,METALFISA!$B:$B,'Faltantes Fevereiro- Metalfisa'!$A204)</f>
        <v>0</v>
      </c>
      <c r="AH204" s="31">
        <f>SUMIFS(METALFISA!$E:$E,METALFISA!$A:$A,'Faltantes Fevereiro- Metalfisa'!AH$3,METALFISA!$B:$B,'Faltantes Fevereiro- Metalfisa'!$A204)</f>
        <v>0</v>
      </c>
      <c r="AI204" s="31">
        <f>SUMIFS(METALFISA!$E:$E,METALFISA!$A:$A,'Faltantes Fevereiro- Metalfisa'!AI$3,METALFISA!$B:$B,'Faltantes Fevereiro- Metalfisa'!$A204)</f>
        <v>0</v>
      </c>
      <c r="AJ204" s="31">
        <f>SUMIFS(METALFISA!$E:$E,METALFISA!$A:$A,'Faltantes Fevereiro- Metalfisa'!AJ$3,METALFISA!$B:$B,'Faltantes Fevereiro- Metalfisa'!$A204)</f>
        <v>0</v>
      </c>
      <c r="AK204" s="31">
        <f>SUMIFS(METALFISA!$E:$E,METALFISA!$A:$A,'Faltantes Fevereiro- Metalfisa'!AK$3,METALFISA!$B:$B,'Faltantes Fevereiro- Metalfisa'!$A204)</f>
        <v>0</v>
      </c>
      <c r="AL204" s="31">
        <f>SUMIFS(METALFISA!$E:$E,METALFISA!$A:$A,'Faltantes Fevereiro- Metalfisa'!AL$3,METALFISA!$B:$B,'Faltantes Fevereiro- Metalfisa'!$A204)</f>
        <v>0</v>
      </c>
      <c r="AM204" s="31">
        <f>SUMIFS(METALFISA!$E:$E,METALFISA!$A:$A,'Faltantes Fevereiro- Metalfisa'!AM$3,METALFISA!$B:$B,'Faltantes Fevereiro- Metalfisa'!$A204)</f>
        <v>0</v>
      </c>
      <c r="AN204" s="31">
        <f>SUMIFS(METALFISA!$E:$E,METALFISA!$A:$A,'Faltantes Fevereiro- Metalfisa'!AN$3,METALFISA!$B:$B,'Faltantes Fevereiro- Metalfisa'!$A204)</f>
        <v>0</v>
      </c>
      <c r="AO204" s="31">
        <f>SUMIFS(METALFISA!$E:$E,METALFISA!$A:$A,'Faltantes Fevereiro- Metalfisa'!AO$3,METALFISA!$B:$B,'Faltantes Fevereiro- Metalfisa'!$A204)</f>
        <v>0</v>
      </c>
      <c r="AP204" s="31">
        <f>SUMIFS(METALFISA!$E:$E,METALFISA!$A:$A,'Faltantes Fevereiro- Metalfisa'!AP$3,METALFISA!$B:$B,'Faltantes Fevereiro- Metalfisa'!$A204)</f>
        <v>0</v>
      </c>
      <c r="AQ204" s="31"/>
      <c r="AR204" s="31">
        <f>SUMIFS(METALFISA!$E:$E,METALFISA!$A:$A,'Faltantes Fevereiro- Metalfisa'!AR$3,METALFISA!$B:$B,'Faltantes Fevereiro- Metalfisa'!$A204)</f>
        <v>0</v>
      </c>
      <c r="AS204" s="35">
        <f>SUMIFS(METALFISA!$E:$E,METALFISA!$A:$A,'Faltantes Fevereiro- Metalfisa'!AS$3,METALFISA!$B:$B,'Faltantes Fevereiro- Metalfisa'!$A204)</f>
        <v>0</v>
      </c>
      <c r="AU204" s="18">
        <v>0</v>
      </c>
      <c r="AV204" s="18">
        <v>0</v>
      </c>
      <c r="AW204" s="18">
        <v>0</v>
      </c>
      <c r="AX204" s="18">
        <v>0</v>
      </c>
      <c r="AY204" s="41">
        <v>0</v>
      </c>
      <c r="AZ204" s="31">
        <v>0</v>
      </c>
      <c r="BA204" s="31">
        <v>0</v>
      </c>
      <c r="BB204" s="31">
        <v>0</v>
      </c>
      <c r="BC204" s="31">
        <v>0</v>
      </c>
      <c r="BD204" s="31">
        <v>0</v>
      </c>
      <c r="BE204" s="31">
        <v>0</v>
      </c>
      <c r="BF204" s="31">
        <v>0</v>
      </c>
      <c r="BG204" s="31">
        <v>0</v>
      </c>
      <c r="BH204" s="31">
        <v>0</v>
      </c>
      <c r="BI204" s="31">
        <v>0</v>
      </c>
      <c r="BJ204" s="31">
        <v>0</v>
      </c>
      <c r="BK204" s="31">
        <v>0</v>
      </c>
      <c r="BL204" s="31">
        <v>0</v>
      </c>
      <c r="BM204" s="31">
        <v>0</v>
      </c>
      <c r="BN204" s="31">
        <v>1</v>
      </c>
      <c r="BO204" s="31">
        <v>1</v>
      </c>
      <c r="BP204" s="31">
        <v>0</v>
      </c>
      <c r="BQ204" s="31">
        <v>0</v>
      </c>
      <c r="BR204" s="31">
        <v>0</v>
      </c>
      <c r="BS204" s="31">
        <v>0</v>
      </c>
      <c r="BT204" s="31">
        <v>0</v>
      </c>
      <c r="BU204" s="31">
        <v>0</v>
      </c>
      <c r="BV204" s="31">
        <v>0</v>
      </c>
      <c r="BW204" s="31">
        <v>0</v>
      </c>
      <c r="BX204" s="31">
        <v>0</v>
      </c>
      <c r="BY204" s="31">
        <v>0</v>
      </c>
      <c r="BZ204" s="31">
        <v>0</v>
      </c>
      <c r="CA204" s="31">
        <v>0</v>
      </c>
      <c r="CB204" s="31">
        <v>0</v>
      </c>
      <c r="CC204" s="31">
        <v>0</v>
      </c>
      <c r="CD204" s="31">
        <v>0</v>
      </c>
      <c r="CE204" s="31">
        <v>0</v>
      </c>
      <c r="CF204" s="31">
        <v>0</v>
      </c>
      <c r="CG204" s="31">
        <v>0</v>
      </c>
      <c r="CH204" s="31">
        <v>0</v>
      </c>
      <c r="CI204" s="31">
        <v>0</v>
      </c>
      <c r="CJ204" s="31">
        <v>0</v>
      </c>
      <c r="CK204" s="31">
        <v>0</v>
      </c>
      <c r="CL204" s="35">
        <v>0</v>
      </c>
    </row>
    <row r="205" spans="1:90" x14ac:dyDescent="0.15">
      <c r="A205" s="27" t="s">
        <v>1041</v>
      </c>
      <c r="B205" s="28" t="s">
        <v>1042</v>
      </c>
      <c r="C205" s="28">
        <v>0</v>
      </c>
      <c r="D205" s="28">
        <v>0</v>
      </c>
      <c r="E205" s="28">
        <v>0</v>
      </c>
      <c r="F205" s="28">
        <v>0</v>
      </c>
      <c r="G205" s="28">
        <v>9</v>
      </c>
      <c r="H205" s="28">
        <f>IFERROR(VLOOKUP(A205,[1]FALTANTES!$A:$AB,28,FALSE),"-")</f>
        <v>0</v>
      </c>
      <c r="I205" s="42">
        <f>IFERROR(VLOOKUP(A205,[1]FALTANTES!$A:$AC,29,FALSE),"-")</f>
        <v>2</v>
      </c>
      <c r="J205" s="29">
        <f>IFERROR(VLOOKUP(A205,[1]FALTANTES!$A:$AD,30,FALSE),"-")</f>
        <v>-7</v>
      </c>
      <c r="K205" s="30"/>
      <c r="L205" s="30">
        <f t="shared" si="3"/>
        <v>2</v>
      </c>
      <c r="M205" s="31">
        <f>SUMIFS(METALFISA!$E:$E,METALFISA!$A:$A,'Faltantes Fevereiro- Metalfisa'!M$3,METALFISA!$B:$B,'Faltantes Fevereiro- Metalfisa'!$A205)</f>
        <v>0</v>
      </c>
      <c r="N205" s="31">
        <f>SUMIFS(METALFISA!$E:$E,METALFISA!$A:$A,'Faltantes Fevereiro- Metalfisa'!N$3,METALFISA!$B:$B,'Faltantes Fevereiro- Metalfisa'!$A205)</f>
        <v>0</v>
      </c>
      <c r="O205" s="31">
        <f>SUMIFS(METALFISA!$E:$E,METALFISA!$A:$A,'Faltantes Fevereiro- Metalfisa'!O$3,METALFISA!$B:$B,'Faltantes Fevereiro- Metalfisa'!$A205)</f>
        <v>0</v>
      </c>
      <c r="P205" s="31">
        <f>SUMIFS(METALFISA!$E:$E,METALFISA!$A:$A,'Faltantes Fevereiro- Metalfisa'!P$3,METALFISA!$B:$B,'Faltantes Fevereiro- Metalfisa'!$A205)</f>
        <v>0</v>
      </c>
      <c r="Q205" s="31">
        <f>SUMIFS(METALFISA!$E:$E,METALFISA!$A:$A,'Faltantes Fevereiro- Metalfisa'!Q$3,METALFISA!$B:$B,'Faltantes Fevereiro- Metalfisa'!$A205)</f>
        <v>0</v>
      </c>
      <c r="R205" s="31">
        <f>SUMIFS(METALFISA!$E:$E,METALFISA!$A:$A,'Faltantes Fevereiro- Metalfisa'!R$3,METALFISA!$B:$B,'Faltantes Fevereiro- Metalfisa'!$A205)</f>
        <v>0</v>
      </c>
      <c r="S205" s="31">
        <f>SUMIFS(METALFISA!$E:$E,METALFISA!$A:$A,'Faltantes Fevereiro- Metalfisa'!S$3,METALFISA!$B:$B,'Faltantes Fevereiro- Metalfisa'!$A205)</f>
        <v>0</v>
      </c>
      <c r="T205" s="31">
        <f>SUMIFS(METALFISA!$E:$E,METALFISA!$A:$A,'Faltantes Fevereiro- Metalfisa'!T$3,METALFISA!$B:$B,'Faltantes Fevereiro- Metalfisa'!$A205)</f>
        <v>0</v>
      </c>
      <c r="U205" s="31">
        <f>SUMIFS(METALFISA!$E:$E,METALFISA!$A:$A,'Faltantes Fevereiro- Metalfisa'!U$3,METALFISA!$B:$B,'Faltantes Fevereiro- Metalfisa'!$A205)</f>
        <v>0</v>
      </c>
      <c r="V205" s="31">
        <f>SUMIFS(METALFISA!$E:$E,METALFISA!$A:$A,'Faltantes Fevereiro- Metalfisa'!V$3,METALFISA!$B:$B,'Faltantes Fevereiro- Metalfisa'!$A205)</f>
        <v>0</v>
      </c>
      <c r="W205" s="31">
        <f>SUMIFS(METALFISA!$E:$E,METALFISA!$A:$A,'Faltantes Fevereiro- Metalfisa'!W$3,METALFISA!$B:$B,'Faltantes Fevereiro- Metalfisa'!$A205)</f>
        <v>0</v>
      </c>
      <c r="X205" s="31">
        <f>SUMIFS(METALFISA!$E:$E,METALFISA!$A:$A,'Faltantes Fevereiro- Metalfisa'!X$3,METALFISA!$B:$B,'Faltantes Fevereiro- Metalfisa'!$A205)</f>
        <v>0</v>
      </c>
      <c r="Y205" s="31">
        <f>SUMIFS(METALFISA!$E:$E,METALFISA!$A:$A,'Faltantes Fevereiro- Metalfisa'!Y$3,METALFISA!$B:$B,'Faltantes Fevereiro- Metalfisa'!$A205)</f>
        <v>0</v>
      </c>
      <c r="Z205" s="31">
        <f>SUMIFS(METALFISA!$E:$E,METALFISA!$A:$A,'Faltantes Fevereiro- Metalfisa'!Z$3,METALFISA!$B:$B,'Faltantes Fevereiro- Metalfisa'!$A205)</f>
        <v>0</v>
      </c>
      <c r="AA205" s="31">
        <f>SUMIFS(METALFISA!$E:$E,METALFISA!$A:$A,'Faltantes Fevereiro- Metalfisa'!AA$3,METALFISA!$B:$B,'Faltantes Fevereiro- Metalfisa'!$A205)</f>
        <v>0</v>
      </c>
      <c r="AB205" s="31">
        <f>SUMIFS(METALFISA!$E:$E,METALFISA!$A:$A,'Faltantes Fevereiro- Metalfisa'!AB$3,METALFISA!$B:$B,'Faltantes Fevereiro- Metalfisa'!$A205)</f>
        <v>0</v>
      </c>
      <c r="AC205" s="31">
        <f>SUMIFS(METALFISA!$E:$E,METALFISA!$A:$A,'Faltantes Fevereiro- Metalfisa'!AC$3,METALFISA!$B:$B,'Faltantes Fevereiro- Metalfisa'!$A205)</f>
        <v>0</v>
      </c>
      <c r="AD205" s="31">
        <f>SUMIFS(METALFISA!$E:$E,METALFISA!$A:$A,'Faltantes Fevereiro- Metalfisa'!AD$3,METALFISA!$B:$B,'Faltantes Fevereiro- Metalfisa'!$A205)</f>
        <v>0</v>
      </c>
      <c r="AE205" s="31">
        <f>SUMIFS(METALFISA!$E:$E,METALFISA!$A:$A,'Faltantes Fevereiro- Metalfisa'!AE$3,METALFISA!$B:$B,'Faltantes Fevereiro- Metalfisa'!$A205)</f>
        <v>2</v>
      </c>
      <c r="AF205" s="31">
        <f>SUMIFS(METALFISA!$E:$E,METALFISA!$A:$A,'Faltantes Fevereiro- Metalfisa'!AF$3,METALFISA!$B:$B,'Faltantes Fevereiro- Metalfisa'!$A205)</f>
        <v>0</v>
      </c>
      <c r="AG205" s="31">
        <f>SUMIFS(METALFISA!$E:$E,METALFISA!$A:$A,'Faltantes Fevereiro- Metalfisa'!AG$3,METALFISA!$B:$B,'Faltantes Fevereiro- Metalfisa'!$A205)</f>
        <v>0</v>
      </c>
      <c r="AH205" s="31">
        <f>SUMIFS(METALFISA!$E:$E,METALFISA!$A:$A,'Faltantes Fevereiro- Metalfisa'!AH$3,METALFISA!$B:$B,'Faltantes Fevereiro- Metalfisa'!$A205)</f>
        <v>0</v>
      </c>
      <c r="AI205" s="31">
        <f>SUMIFS(METALFISA!$E:$E,METALFISA!$A:$A,'Faltantes Fevereiro- Metalfisa'!AI$3,METALFISA!$B:$B,'Faltantes Fevereiro- Metalfisa'!$A205)</f>
        <v>0</v>
      </c>
      <c r="AJ205" s="31">
        <f>SUMIFS(METALFISA!$E:$E,METALFISA!$A:$A,'Faltantes Fevereiro- Metalfisa'!AJ$3,METALFISA!$B:$B,'Faltantes Fevereiro- Metalfisa'!$A205)</f>
        <v>0</v>
      </c>
      <c r="AK205" s="31">
        <f>SUMIFS(METALFISA!$E:$E,METALFISA!$A:$A,'Faltantes Fevereiro- Metalfisa'!AK$3,METALFISA!$B:$B,'Faltantes Fevereiro- Metalfisa'!$A205)</f>
        <v>0</v>
      </c>
      <c r="AL205" s="31">
        <f>SUMIFS(METALFISA!$E:$E,METALFISA!$A:$A,'Faltantes Fevereiro- Metalfisa'!AL$3,METALFISA!$B:$B,'Faltantes Fevereiro- Metalfisa'!$A205)</f>
        <v>0</v>
      </c>
      <c r="AM205" s="31">
        <f>SUMIFS(METALFISA!$E:$E,METALFISA!$A:$A,'Faltantes Fevereiro- Metalfisa'!AM$3,METALFISA!$B:$B,'Faltantes Fevereiro- Metalfisa'!$A205)</f>
        <v>0</v>
      </c>
      <c r="AN205" s="31">
        <f>SUMIFS(METALFISA!$E:$E,METALFISA!$A:$A,'Faltantes Fevereiro- Metalfisa'!AN$3,METALFISA!$B:$B,'Faltantes Fevereiro- Metalfisa'!$A205)</f>
        <v>0</v>
      </c>
      <c r="AO205" s="31">
        <f>SUMIFS(METALFISA!$E:$E,METALFISA!$A:$A,'Faltantes Fevereiro- Metalfisa'!AO$3,METALFISA!$B:$B,'Faltantes Fevereiro- Metalfisa'!$A205)</f>
        <v>0</v>
      </c>
      <c r="AP205" s="31">
        <f>SUMIFS(METALFISA!$E:$E,METALFISA!$A:$A,'Faltantes Fevereiro- Metalfisa'!AP$3,METALFISA!$B:$B,'Faltantes Fevereiro- Metalfisa'!$A205)</f>
        <v>0</v>
      </c>
      <c r="AQ205" s="31"/>
      <c r="AR205" s="31">
        <f>SUMIFS(METALFISA!$E:$E,METALFISA!$A:$A,'Faltantes Fevereiro- Metalfisa'!AR$3,METALFISA!$B:$B,'Faltantes Fevereiro- Metalfisa'!$A205)</f>
        <v>0</v>
      </c>
      <c r="AS205" s="35">
        <f>SUMIFS(METALFISA!$E:$E,METALFISA!$A:$A,'Faltantes Fevereiro- Metalfisa'!AS$3,METALFISA!$B:$B,'Faltantes Fevereiro- Metalfisa'!$A205)</f>
        <v>0</v>
      </c>
      <c r="AU205" s="18">
        <v>0</v>
      </c>
      <c r="AV205" s="18">
        <v>0</v>
      </c>
      <c r="AW205" s="18">
        <v>0</v>
      </c>
      <c r="AX205" s="18">
        <v>0</v>
      </c>
      <c r="AY205" s="41">
        <v>0</v>
      </c>
      <c r="AZ205" s="31">
        <v>0</v>
      </c>
      <c r="BA205" s="31">
        <v>0</v>
      </c>
      <c r="BB205" s="31">
        <v>0</v>
      </c>
      <c r="BC205" s="31">
        <v>0</v>
      </c>
      <c r="BD205" s="31">
        <v>0</v>
      </c>
      <c r="BE205" s="31">
        <v>0</v>
      </c>
      <c r="BF205" s="31">
        <v>0</v>
      </c>
      <c r="BG205" s="31">
        <v>0</v>
      </c>
      <c r="BH205" s="31">
        <v>0</v>
      </c>
      <c r="BI205" s="31">
        <v>0</v>
      </c>
      <c r="BJ205" s="31">
        <v>0</v>
      </c>
      <c r="BK205" s="31">
        <v>0</v>
      </c>
      <c r="BL205" s="31">
        <v>0</v>
      </c>
      <c r="BM205" s="31">
        <v>0</v>
      </c>
      <c r="BN205" s="31">
        <v>1</v>
      </c>
      <c r="BO205" s="31">
        <v>1</v>
      </c>
      <c r="BP205" s="31">
        <v>0</v>
      </c>
      <c r="BQ205" s="31">
        <v>0</v>
      </c>
      <c r="BR205" s="31">
        <v>0</v>
      </c>
      <c r="BS205" s="31">
        <v>0</v>
      </c>
      <c r="BT205" s="31">
        <v>0</v>
      </c>
      <c r="BU205" s="31">
        <v>0</v>
      </c>
      <c r="BV205" s="31">
        <v>0</v>
      </c>
      <c r="BW205" s="31">
        <v>0</v>
      </c>
      <c r="BX205" s="31">
        <v>0</v>
      </c>
      <c r="BY205" s="31">
        <v>0</v>
      </c>
      <c r="BZ205" s="31">
        <v>0</v>
      </c>
      <c r="CA205" s="31">
        <v>0</v>
      </c>
      <c r="CB205" s="31">
        <v>0</v>
      </c>
      <c r="CC205" s="31">
        <v>0</v>
      </c>
      <c r="CD205" s="31">
        <v>0</v>
      </c>
      <c r="CE205" s="31">
        <v>0</v>
      </c>
      <c r="CF205" s="31">
        <v>0</v>
      </c>
      <c r="CG205" s="31">
        <v>0</v>
      </c>
      <c r="CH205" s="31">
        <v>0</v>
      </c>
      <c r="CI205" s="31">
        <v>0</v>
      </c>
      <c r="CJ205" s="31">
        <v>0</v>
      </c>
      <c r="CK205" s="31">
        <v>0</v>
      </c>
      <c r="CL205" s="35">
        <v>0</v>
      </c>
    </row>
    <row r="206" spans="1:90" x14ac:dyDescent="0.15">
      <c r="A206" s="27" t="s">
        <v>1045</v>
      </c>
      <c r="B206" s="28" t="s">
        <v>1046</v>
      </c>
      <c r="C206" s="28">
        <v>1</v>
      </c>
      <c r="D206" s="28">
        <v>0</v>
      </c>
      <c r="E206" s="28">
        <v>0</v>
      </c>
      <c r="F206" s="28">
        <v>0</v>
      </c>
      <c r="G206" s="28">
        <v>9</v>
      </c>
      <c r="H206" s="28">
        <f>IFERROR(VLOOKUP(A206,[1]FALTANTES!$A:$AB,28,FALSE),"-")</f>
        <v>0</v>
      </c>
      <c r="I206" s="42">
        <f>IFERROR(VLOOKUP(A206,[1]FALTANTES!$A:$AC,29,FALSE),"-")</f>
        <v>3</v>
      </c>
      <c r="J206" s="29">
        <f>IFERROR(VLOOKUP(A206,[1]FALTANTES!$A:$AD,30,FALSE),"-")</f>
        <v>-7</v>
      </c>
      <c r="K206" s="30"/>
      <c r="L206" s="30">
        <f t="shared" si="3"/>
        <v>1</v>
      </c>
      <c r="M206" s="31">
        <f>SUMIFS(METALFISA!$E:$E,METALFISA!$A:$A,'Faltantes Fevereiro- Metalfisa'!M$3,METALFISA!$B:$B,'Faltantes Fevereiro- Metalfisa'!$A206)</f>
        <v>0</v>
      </c>
      <c r="N206" s="31">
        <f>SUMIFS(METALFISA!$E:$E,METALFISA!$A:$A,'Faltantes Fevereiro- Metalfisa'!N$3,METALFISA!$B:$B,'Faltantes Fevereiro- Metalfisa'!$A206)</f>
        <v>0</v>
      </c>
      <c r="O206" s="31">
        <f>SUMIFS(METALFISA!$E:$E,METALFISA!$A:$A,'Faltantes Fevereiro- Metalfisa'!O$3,METALFISA!$B:$B,'Faltantes Fevereiro- Metalfisa'!$A206)</f>
        <v>0</v>
      </c>
      <c r="P206" s="31">
        <f>SUMIFS(METALFISA!$E:$E,METALFISA!$A:$A,'Faltantes Fevereiro- Metalfisa'!P$3,METALFISA!$B:$B,'Faltantes Fevereiro- Metalfisa'!$A206)</f>
        <v>0</v>
      </c>
      <c r="Q206" s="31">
        <f>SUMIFS(METALFISA!$E:$E,METALFISA!$A:$A,'Faltantes Fevereiro- Metalfisa'!Q$3,METALFISA!$B:$B,'Faltantes Fevereiro- Metalfisa'!$A206)</f>
        <v>0</v>
      </c>
      <c r="R206" s="31">
        <f>SUMIFS(METALFISA!$E:$E,METALFISA!$A:$A,'Faltantes Fevereiro- Metalfisa'!R$3,METALFISA!$B:$B,'Faltantes Fevereiro- Metalfisa'!$A206)</f>
        <v>0</v>
      </c>
      <c r="S206" s="31">
        <f>SUMIFS(METALFISA!$E:$E,METALFISA!$A:$A,'Faltantes Fevereiro- Metalfisa'!S$3,METALFISA!$B:$B,'Faltantes Fevereiro- Metalfisa'!$A206)</f>
        <v>0</v>
      </c>
      <c r="T206" s="31">
        <f>SUMIFS(METALFISA!$E:$E,METALFISA!$A:$A,'Faltantes Fevereiro- Metalfisa'!T$3,METALFISA!$B:$B,'Faltantes Fevereiro- Metalfisa'!$A206)</f>
        <v>0</v>
      </c>
      <c r="U206" s="31">
        <f>SUMIFS(METALFISA!$E:$E,METALFISA!$A:$A,'Faltantes Fevereiro- Metalfisa'!U$3,METALFISA!$B:$B,'Faltantes Fevereiro- Metalfisa'!$A206)</f>
        <v>0</v>
      </c>
      <c r="V206" s="31">
        <f>SUMIFS(METALFISA!$E:$E,METALFISA!$A:$A,'Faltantes Fevereiro- Metalfisa'!V$3,METALFISA!$B:$B,'Faltantes Fevereiro- Metalfisa'!$A206)</f>
        <v>0</v>
      </c>
      <c r="W206" s="31">
        <f>SUMIFS(METALFISA!$E:$E,METALFISA!$A:$A,'Faltantes Fevereiro- Metalfisa'!W$3,METALFISA!$B:$B,'Faltantes Fevereiro- Metalfisa'!$A206)</f>
        <v>0</v>
      </c>
      <c r="X206" s="31">
        <f>SUMIFS(METALFISA!$E:$E,METALFISA!$A:$A,'Faltantes Fevereiro- Metalfisa'!X$3,METALFISA!$B:$B,'Faltantes Fevereiro- Metalfisa'!$A206)</f>
        <v>0</v>
      </c>
      <c r="Y206" s="31">
        <f>SUMIFS(METALFISA!$E:$E,METALFISA!$A:$A,'Faltantes Fevereiro- Metalfisa'!Y$3,METALFISA!$B:$B,'Faltantes Fevereiro- Metalfisa'!$A206)</f>
        <v>0</v>
      </c>
      <c r="Z206" s="31">
        <f>SUMIFS(METALFISA!$E:$E,METALFISA!$A:$A,'Faltantes Fevereiro- Metalfisa'!Z$3,METALFISA!$B:$B,'Faltantes Fevereiro- Metalfisa'!$A206)</f>
        <v>0</v>
      </c>
      <c r="AA206" s="31">
        <f>SUMIFS(METALFISA!$E:$E,METALFISA!$A:$A,'Faltantes Fevereiro- Metalfisa'!AA$3,METALFISA!$B:$B,'Faltantes Fevereiro- Metalfisa'!$A206)</f>
        <v>0</v>
      </c>
      <c r="AB206" s="31">
        <f>SUMIFS(METALFISA!$E:$E,METALFISA!$A:$A,'Faltantes Fevereiro- Metalfisa'!AB$3,METALFISA!$B:$B,'Faltantes Fevereiro- Metalfisa'!$A206)</f>
        <v>0</v>
      </c>
      <c r="AC206" s="31">
        <f>SUMIFS(METALFISA!$E:$E,METALFISA!$A:$A,'Faltantes Fevereiro- Metalfisa'!AC$3,METALFISA!$B:$B,'Faltantes Fevereiro- Metalfisa'!$A206)</f>
        <v>0</v>
      </c>
      <c r="AD206" s="31">
        <f>SUMIFS(METALFISA!$E:$E,METALFISA!$A:$A,'Faltantes Fevereiro- Metalfisa'!AD$3,METALFISA!$B:$B,'Faltantes Fevereiro- Metalfisa'!$A206)</f>
        <v>0</v>
      </c>
      <c r="AE206" s="31">
        <f>SUMIFS(METALFISA!$E:$E,METALFISA!$A:$A,'Faltantes Fevereiro- Metalfisa'!AE$3,METALFISA!$B:$B,'Faltantes Fevereiro- Metalfisa'!$A206)</f>
        <v>1</v>
      </c>
      <c r="AF206" s="31">
        <f>SUMIFS(METALFISA!$E:$E,METALFISA!$A:$A,'Faltantes Fevereiro- Metalfisa'!AF$3,METALFISA!$B:$B,'Faltantes Fevereiro- Metalfisa'!$A206)</f>
        <v>0</v>
      </c>
      <c r="AG206" s="31">
        <f>SUMIFS(METALFISA!$E:$E,METALFISA!$A:$A,'Faltantes Fevereiro- Metalfisa'!AG$3,METALFISA!$B:$B,'Faltantes Fevereiro- Metalfisa'!$A206)</f>
        <v>0</v>
      </c>
      <c r="AH206" s="31">
        <f>SUMIFS(METALFISA!$E:$E,METALFISA!$A:$A,'Faltantes Fevereiro- Metalfisa'!AH$3,METALFISA!$B:$B,'Faltantes Fevereiro- Metalfisa'!$A206)</f>
        <v>0</v>
      </c>
      <c r="AI206" s="31">
        <f>SUMIFS(METALFISA!$E:$E,METALFISA!$A:$A,'Faltantes Fevereiro- Metalfisa'!AI$3,METALFISA!$B:$B,'Faltantes Fevereiro- Metalfisa'!$A206)</f>
        <v>0</v>
      </c>
      <c r="AJ206" s="31">
        <f>SUMIFS(METALFISA!$E:$E,METALFISA!$A:$A,'Faltantes Fevereiro- Metalfisa'!AJ$3,METALFISA!$B:$B,'Faltantes Fevereiro- Metalfisa'!$A206)</f>
        <v>0</v>
      </c>
      <c r="AK206" s="31">
        <f>SUMIFS(METALFISA!$E:$E,METALFISA!$A:$A,'Faltantes Fevereiro- Metalfisa'!AK$3,METALFISA!$B:$B,'Faltantes Fevereiro- Metalfisa'!$A206)</f>
        <v>0</v>
      </c>
      <c r="AL206" s="31">
        <f>SUMIFS(METALFISA!$E:$E,METALFISA!$A:$A,'Faltantes Fevereiro- Metalfisa'!AL$3,METALFISA!$B:$B,'Faltantes Fevereiro- Metalfisa'!$A206)</f>
        <v>0</v>
      </c>
      <c r="AM206" s="31">
        <f>SUMIFS(METALFISA!$E:$E,METALFISA!$A:$A,'Faltantes Fevereiro- Metalfisa'!AM$3,METALFISA!$B:$B,'Faltantes Fevereiro- Metalfisa'!$A206)</f>
        <v>0</v>
      </c>
      <c r="AN206" s="31">
        <f>SUMIFS(METALFISA!$E:$E,METALFISA!$A:$A,'Faltantes Fevereiro- Metalfisa'!AN$3,METALFISA!$B:$B,'Faltantes Fevereiro- Metalfisa'!$A206)</f>
        <v>0</v>
      </c>
      <c r="AO206" s="31">
        <f>SUMIFS(METALFISA!$E:$E,METALFISA!$A:$A,'Faltantes Fevereiro- Metalfisa'!AO$3,METALFISA!$B:$B,'Faltantes Fevereiro- Metalfisa'!$A206)</f>
        <v>0</v>
      </c>
      <c r="AP206" s="31">
        <f>SUMIFS(METALFISA!$E:$E,METALFISA!$A:$A,'Faltantes Fevereiro- Metalfisa'!AP$3,METALFISA!$B:$B,'Faltantes Fevereiro- Metalfisa'!$A206)</f>
        <v>0</v>
      </c>
      <c r="AQ206" s="31"/>
      <c r="AR206" s="31">
        <f>SUMIFS(METALFISA!$E:$E,METALFISA!$A:$A,'Faltantes Fevereiro- Metalfisa'!AR$3,METALFISA!$B:$B,'Faltantes Fevereiro- Metalfisa'!$A206)</f>
        <v>0</v>
      </c>
      <c r="AS206" s="35">
        <f>SUMIFS(METALFISA!$E:$E,METALFISA!$A:$A,'Faltantes Fevereiro- Metalfisa'!AS$3,METALFISA!$B:$B,'Faltantes Fevereiro- Metalfisa'!$A206)</f>
        <v>0</v>
      </c>
      <c r="AU206" s="18">
        <v>0</v>
      </c>
      <c r="AV206" s="18">
        <v>0</v>
      </c>
      <c r="AW206" s="18">
        <v>0</v>
      </c>
      <c r="AX206" s="18">
        <v>0</v>
      </c>
      <c r="AY206" s="41">
        <v>0</v>
      </c>
      <c r="AZ206" s="31">
        <v>0</v>
      </c>
      <c r="BA206" s="31">
        <v>0</v>
      </c>
      <c r="BB206" s="31">
        <v>0</v>
      </c>
      <c r="BC206" s="31">
        <v>0</v>
      </c>
      <c r="BD206" s="31">
        <v>0</v>
      </c>
      <c r="BE206" s="31">
        <v>0</v>
      </c>
      <c r="BF206" s="31">
        <v>0</v>
      </c>
      <c r="BG206" s="31">
        <v>0</v>
      </c>
      <c r="BH206" s="31">
        <v>0</v>
      </c>
      <c r="BI206" s="31">
        <v>0</v>
      </c>
      <c r="BJ206" s="31">
        <v>0</v>
      </c>
      <c r="BK206" s="31">
        <v>0</v>
      </c>
      <c r="BL206" s="31">
        <v>0</v>
      </c>
      <c r="BM206" s="31">
        <v>0</v>
      </c>
      <c r="BN206" s="31">
        <v>1</v>
      </c>
      <c r="BO206" s="31">
        <v>1</v>
      </c>
      <c r="BP206" s="31">
        <v>0</v>
      </c>
      <c r="BQ206" s="31">
        <v>0</v>
      </c>
      <c r="BR206" s="31">
        <v>0</v>
      </c>
      <c r="BS206" s="31">
        <v>0</v>
      </c>
      <c r="BT206" s="31">
        <v>0</v>
      </c>
      <c r="BU206" s="31">
        <v>0</v>
      </c>
      <c r="BV206" s="31">
        <v>0</v>
      </c>
      <c r="BW206" s="31">
        <v>0</v>
      </c>
      <c r="BX206" s="31">
        <v>0</v>
      </c>
      <c r="BY206" s="31">
        <v>0</v>
      </c>
      <c r="BZ206" s="31">
        <v>0</v>
      </c>
      <c r="CA206" s="31">
        <v>0</v>
      </c>
      <c r="CB206" s="31">
        <v>0</v>
      </c>
      <c r="CC206" s="31">
        <v>0</v>
      </c>
      <c r="CD206" s="31">
        <v>0</v>
      </c>
      <c r="CE206" s="31">
        <v>0</v>
      </c>
      <c r="CF206" s="31">
        <v>0</v>
      </c>
      <c r="CG206" s="31">
        <v>0</v>
      </c>
      <c r="CH206" s="31">
        <v>0</v>
      </c>
      <c r="CI206" s="31">
        <v>0</v>
      </c>
      <c r="CJ206" s="31">
        <v>0</v>
      </c>
      <c r="CK206" s="31">
        <v>0</v>
      </c>
      <c r="CL206" s="35">
        <v>0</v>
      </c>
    </row>
    <row r="207" spans="1:90" x14ac:dyDescent="0.15">
      <c r="A207" s="27" t="s">
        <v>1059</v>
      </c>
      <c r="B207" s="28" t="s">
        <v>1060</v>
      </c>
      <c r="C207" s="28">
        <v>2</v>
      </c>
      <c r="D207" s="28">
        <v>0</v>
      </c>
      <c r="E207" s="28">
        <v>0</v>
      </c>
      <c r="F207" s="28">
        <v>0</v>
      </c>
      <c r="G207" s="28">
        <v>9</v>
      </c>
      <c r="H207" s="28">
        <f>IFERROR(VLOOKUP(A207,[1]FALTANTES!$A:$AB,28,FALSE),"-")</f>
        <v>0</v>
      </c>
      <c r="I207" s="42">
        <f>IFERROR(VLOOKUP(A207,[1]FALTANTES!$A:$AC,29,FALSE),"-")</f>
        <v>2</v>
      </c>
      <c r="J207" s="29">
        <f>IFERROR(VLOOKUP(A207,[1]FALTANTES!$A:$AD,30,FALSE),"-")</f>
        <v>-9</v>
      </c>
      <c r="K207" s="30">
        <v>0</v>
      </c>
      <c r="L207" s="30">
        <f t="shared" si="3"/>
        <v>2</v>
      </c>
      <c r="M207" s="31">
        <f>SUMIFS(METALFISA!$E:$E,METALFISA!$A:$A,'Faltantes Fevereiro- Metalfisa'!M$3,METALFISA!$B:$B,'Faltantes Fevereiro- Metalfisa'!$A207)</f>
        <v>0</v>
      </c>
      <c r="N207" s="31">
        <f>SUMIFS(METALFISA!$E:$E,METALFISA!$A:$A,'Faltantes Fevereiro- Metalfisa'!N$3,METALFISA!$B:$B,'Faltantes Fevereiro- Metalfisa'!$A207)</f>
        <v>0</v>
      </c>
      <c r="O207" s="31">
        <f>SUMIFS(METALFISA!$E:$E,METALFISA!$A:$A,'Faltantes Fevereiro- Metalfisa'!O$3,METALFISA!$B:$B,'Faltantes Fevereiro- Metalfisa'!$A207)</f>
        <v>0</v>
      </c>
      <c r="P207" s="31">
        <f>SUMIFS(METALFISA!$E:$E,METALFISA!$A:$A,'Faltantes Fevereiro- Metalfisa'!P$3,METALFISA!$B:$B,'Faltantes Fevereiro- Metalfisa'!$A207)</f>
        <v>0</v>
      </c>
      <c r="Q207" s="31">
        <f>SUMIFS(METALFISA!$E:$E,METALFISA!$A:$A,'Faltantes Fevereiro- Metalfisa'!Q$3,METALFISA!$B:$B,'Faltantes Fevereiro- Metalfisa'!$A207)</f>
        <v>0</v>
      </c>
      <c r="R207" s="31">
        <f>SUMIFS(METALFISA!$E:$E,METALFISA!$A:$A,'Faltantes Fevereiro- Metalfisa'!R$3,METALFISA!$B:$B,'Faltantes Fevereiro- Metalfisa'!$A207)</f>
        <v>0</v>
      </c>
      <c r="S207" s="31">
        <f>SUMIFS(METALFISA!$E:$E,METALFISA!$A:$A,'Faltantes Fevereiro- Metalfisa'!S$3,METALFISA!$B:$B,'Faltantes Fevereiro- Metalfisa'!$A207)</f>
        <v>0</v>
      </c>
      <c r="T207" s="31">
        <f>SUMIFS(METALFISA!$E:$E,METALFISA!$A:$A,'Faltantes Fevereiro- Metalfisa'!T$3,METALFISA!$B:$B,'Faltantes Fevereiro- Metalfisa'!$A207)</f>
        <v>0</v>
      </c>
      <c r="U207" s="31">
        <f>SUMIFS(METALFISA!$E:$E,METALFISA!$A:$A,'Faltantes Fevereiro- Metalfisa'!U$3,METALFISA!$B:$B,'Faltantes Fevereiro- Metalfisa'!$A207)</f>
        <v>0</v>
      </c>
      <c r="V207" s="31">
        <f>SUMIFS(METALFISA!$E:$E,METALFISA!$A:$A,'Faltantes Fevereiro- Metalfisa'!V$3,METALFISA!$B:$B,'Faltantes Fevereiro- Metalfisa'!$A207)</f>
        <v>0</v>
      </c>
      <c r="W207" s="31">
        <f>SUMIFS(METALFISA!$E:$E,METALFISA!$A:$A,'Faltantes Fevereiro- Metalfisa'!W$3,METALFISA!$B:$B,'Faltantes Fevereiro- Metalfisa'!$A207)</f>
        <v>0</v>
      </c>
      <c r="X207" s="31">
        <f>SUMIFS(METALFISA!$E:$E,METALFISA!$A:$A,'Faltantes Fevereiro- Metalfisa'!X$3,METALFISA!$B:$B,'Faltantes Fevereiro- Metalfisa'!$A207)</f>
        <v>0</v>
      </c>
      <c r="Y207" s="31">
        <f>SUMIFS(METALFISA!$E:$E,METALFISA!$A:$A,'Faltantes Fevereiro- Metalfisa'!Y$3,METALFISA!$B:$B,'Faltantes Fevereiro- Metalfisa'!$A207)</f>
        <v>0</v>
      </c>
      <c r="Z207" s="31">
        <f>SUMIFS(METALFISA!$E:$E,METALFISA!$A:$A,'Faltantes Fevereiro- Metalfisa'!Z$3,METALFISA!$B:$B,'Faltantes Fevereiro- Metalfisa'!$A207)</f>
        <v>0</v>
      </c>
      <c r="AA207" s="31">
        <f>SUMIFS(METALFISA!$E:$E,METALFISA!$A:$A,'Faltantes Fevereiro- Metalfisa'!AA$3,METALFISA!$B:$B,'Faltantes Fevereiro- Metalfisa'!$A207)</f>
        <v>0</v>
      </c>
      <c r="AB207" s="31">
        <f>SUMIFS(METALFISA!$E:$E,METALFISA!$A:$A,'Faltantes Fevereiro- Metalfisa'!AB$3,METALFISA!$B:$B,'Faltantes Fevereiro- Metalfisa'!$A207)</f>
        <v>0</v>
      </c>
      <c r="AC207" s="31">
        <f>SUMIFS(METALFISA!$E:$E,METALFISA!$A:$A,'Faltantes Fevereiro- Metalfisa'!AC$3,METALFISA!$B:$B,'Faltantes Fevereiro- Metalfisa'!$A207)</f>
        <v>0</v>
      </c>
      <c r="AD207" s="31">
        <f>SUMIFS(METALFISA!$E:$E,METALFISA!$A:$A,'Faltantes Fevereiro- Metalfisa'!AD$3,METALFISA!$B:$B,'Faltantes Fevereiro- Metalfisa'!$A207)</f>
        <v>0</v>
      </c>
      <c r="AE207" s="31">
        <f>SUMIFS(METALFISA!$E:$E,METALFISA!$A:$A,'Faltantes Fevereiro- Metalfisa'!AE$3,METALFISA!$B:$B,'Faltantes Fevereiro- Metalfisa'!$A207)</f>
        <v>2</v>
      </c>
      <c r="AF207" s="31">
        <f>SUMIFS(METALFISA!$E:$E,METALFISA!$A:$A,'Faltantes Fevereiro- Metalfisa'!AF$3,METALFISA!$B:$B,'Faltantes Fevereiro- Metalfisa'!$A207)</f>
        <v>0</v>
      </c>
      <c r="AG207" s="31">
        <f>SUMIFS(METALFISA!$E:$E,METALFISA!$A:$A,'Faltantes Fevereiro- Metalfisa'!AG$3,METALFISA!$B:$B,'Faltantes Fevereiro- Metalfisa'!$A207)</f>
        <v>0</v>
      </c>
      <c r="AH207" s="31">
        <f>SUMIFS(METALFISA!$E:$E,METALFISA!$A:$A,'Faltantes Fevereiro- Metalfisa'!AH$3,METALFISA!$B:$B,'Faltantes Fevereiro- Metalfisa'!$A207)</f>
        <v>0</v>
      </c>
      <c r="AI207" s="31">
        <f>SUMIFS(METALFISA!$E:$E,METALFISA!$A:$A,'Faltantes Fevereiro- Metalfisa'!AI$3,METALFISA!$B:$B,'Faltantes Fevereiro- Metalfisa'!$A207)</f>
        <v>0</v>
      </c>
      <c r="AJ207" s="31">
        <f>SUMIFS(METALFISA!$E:$E,METALFISA!$A:$A,'Faltantes Fevereiro- Metalfisa'!AJ$3,METALFISA!$B:$B,'Faltantes Fevereiro- Metalfisa'!$A207)</f>
        <v>0</v>
      </c>
      <c r="AK207" s="31">
        <f>SUMIFS(METALFISA!$E:$E,METALFISA!$A:$A,'Faltantes Fevereiro- Metalfisa'!AK$3,METALFISA!$B:$B,'Faltantes Fevereiro- Metalfisa'!$A207)</f>
        <v>0</v>
      </c>
      <c r="AL207" s="31">
        <f>SUMIFS(METALFISA!$E:$E,METALFISA!$A:$A,'Faltantes Fevereiro- Metalfisa'!AL$3,METALFISA!$B:$B,'Faltantes Fevereiro- Metalfisa'!$A207)</f>
        <v>0</v>
      </c>
      <c r="AM207" s="31">
        <f>SUMIFS(METALFISA!$E:$E,METALFISA!$A:$A,'Faltantes Fevereiro- Metalfisa'!AM$3,METALFISA!$B:$B,'Faltantes Fevereiro- Metalfisa'!$A207)</f>
        <v>0</v>
      </c>
      <c r="AN207" s="31">
        <f>SUMIFS(METALFISA!$E:$E,METALFISA!$A:$A,'Faltantes Fevereiro- Metalfisa'!AN$3,METALFISA!$B:$B,'Faltantes Fevereiro- Metalfisa'!$A207)</f>
        <v>0</v>
      </c>
      <c r="AO207" s="31">
        <f>SUMIFS(METALFISA!$E:$E,METALFISA!$A:$A,'Faltantes Fevereiro- Metalfisa'!AO$3,METALFISA!$B:$B,'Faltantes Fevereiro- Metalfisa'!$A207)</f>
        <v>0</v>
      </c>
      <c r="AP207" s="31">
        <f>SUMIFS(METALFISA!$E:$E,METALFISA!$A:$A,'Faltantes Fevereiro- Metalfisa'!AP$3,METALFISA!$B:$B,'Faltantes Fevereiro- Metalfisa'!$A207)</f>
        <v>0</v>
      </c>
      <c r="AQ207" s="31"/>
      <c r="AR207" s="31">
        <f>SUMIFS(METALFISA!$E:$E,METALFISA!$A:$A,'Faltantes Fevereiro- Metalfisa'!AR$3,METALFISA!$B:$B,'Faltantes Fevereiro- Metalfisa'!$A207)</f>
        <v>0</v>
      </c>
      <c r="AS207" s="35">
        <f>SUMIFS(METALFISA!$E:$E,METALFISA!$A:$A,'Faltantes Fevereiro- Metalfisa'!AS$3,METALFISA!$B:$B,'Faltantes Fevereiro- Metalfisa'!$A207)</f>
        <v>0</v>
      </c>
      <c r="AU207" s="18">
        <v>0</v>
      </c>
      <c r="AV207" s="18">
        <v>0</v>
      </c>
      <c r="AW207" s="18">
        <v>0</v>
      </c>
      <c r="AX207" s="18">
        <v>0</v>
      </c>
      <c r="AY207" s="41">
        <v>0</v>
      </c>
      <c r="AZ207" s="31">
        <v>0</v>
      </c>
      <c r="BA207" s="31">
        <v>0</v>
      </c>
      <c r="BB207" s="31">
        <v>0</v>
      </c>
      <c r="BC207" s="31">
        <v>0</v>
      </c>
      <c r="BD207" s="31">
        <v>0</v>
      </c>
      <c r="BE207" s="31">
        <v>0</v>
      </c>
      <c r="BF207" s="31">
        <v>0</v>
      </c>
      <c r="BG207" s="31">
        <v>0</v>
      </c>
      <c r="BH207" s="31">
        <v>0</v>
      </c>
      <c r="BI207" s="31">
        <v>0</v>
      </c>
      <c r="BJ207" s="31">
        <v>0</v>
      </c>
      <c r="BK207" s="31">
        <v>0</v>
      </c>
      <c r="BL207" s="31">
        <v>0</v>
      </c>
      <c r="BM207" s="31">
        <v>0</v>
      </c>
      <c r="BN207" s="31">
        <v>1</v>
      </c>
      <c r="BO207" s="31">
        <v>1</v>
      </c>
      <c r="BP207" s="31">
        <v>0</v>
      </c>
      <c r="BQ207" s="31">
        <v>0</v>
      </c>
      <c r="BR207" s="31">
        <v>0</v>
      </c>
      <c r="BS207" s="31">
        <v>0</v>
      </c>
      <c r="BT207" s="31">
        <v>0</v>
      </c>
      <c r="BU207" s="31">
        <v>0</v>
      </c>
      <c r="BV207" s="31">
        <v>0</v>
      </c>
      <c r="BW207" s="31">
        <v>0</v>
      </c>
      <c r="BX207" s="31">
        <v>0</v>
      </c>
      <c r="BY207" s="31">
        <v>0</v>
      </c>
      <c r="BZ207" s="31">
        <v>0</v>
      </c>
      <c r="CA207" s="31">
        <v>0</v>
      </c>
      <c r="CB207" s="31">
        <v>0</v>
      </c>
      <c r="CC207" s="31">
        <v>0</v>
      </c>
      <c r="CD207" s="31">
        <v>0</v>
      </c>
      <c r="CE207" s="31">
        <v>0</v>
      </c>
      <c r="CF207" s="31">
        <v>0</v>
      </c>
      <c r="CG207" s="31">
        <v>0</v>
      </c>
      <c r="CH207" s="31">
        <v>0</v>
      </c>
      <c r="CI207" s="31">
        <v>0</v>
      </c>
      <c r="CJ207" s="31">
        <v>0</v>
      </c>
      <c r="CK207" s="31">
        <v>0</v>
      </c>
      <c r="CL207" s="35">
        <v>0</v>
      </c>
    </row>
    <row r="208" spans="1:90" x14ac:dyDescent="0.15">
      <c r="A208" s="27" t="s">
        <v>1061</v>
      </c>
      <c r="B208" s="28" t="s">
        <v>1062</v>
      </c>
      <c r="C208" s="28">
        <v>0</v>
      </c>
      <c r="D208" s="28">
        <v>0</v>
      </c>
      <c r="E208" s="28">
        <v>0</v>
      </c>
      <c r="F208" s="28">
        <v>0</v>
      </c>
      <c r="G208" s="28">
        <v>9</v>
      </c>
      <c r="H208" s="28">
        <f>IFERROR(VLOOKUP(A208,[1]FALTANTES!$A:$AB,28,FALSE),"-")</f>
        <v>0</v>
      </c>
      <c r="I208" s="42">
        <f>IFERROR(VLOOKUP(A208,[1]FALTANTES!$A:$AC,29,FALSE),"-")</f>
        <v>2</v>
      </c>
      <c r="J208" s="29">
        <f>IFERROR(VLOOKUP(A208,[1]FALTANTES!$A:$AD,30,FALSE),"-")</f>
        <v>-7</v>
      </c>
      <c r="K208" s="30">
        <v>0</v>
      </c>
      <c r="L208" s="30">
        <f t="shared" si="3"/>
        <v>2</v>
      </c>
      <c r="M208" s="31">
        <f>SUMIFS(METALFISA!$E:$E,METALFISA!$A:$A,'Faltantes Fevereiro- Metalfisa'!M$3,METALFISA!$B:$B,'Faltantes Fevereiro- Metalfisa'!$A208)</f>
        <v>0</v>
      </c>
      <c r="N208" s="31">
        <f>SUMIFS(METALFISA!$E:$E,METALFISA!$A:$A,'Faltantes Fevereiro- Metalfisa'!N$3,METALFISA!$B:$B,'Faltantes Fevereiro- Metalfisa'!$A208)</f>
        <v>0</v>
      </c>
      <c r="O208" s="31">
        <f>SUMIFS(METALFISA!$E:$E,METALFISA!$A:$A,'Faltantes Fevereiro- Metalfisa'!O$3,METALFISA!$B:$B,'Faltantes Fevereiro- Metalfisa'!$A208)</f>
        <v>0</v>
      </c>
      <c r="P208" s="31">
        <f>SUMIFS(METALFISA!$E:$E,METALFISA!$A:$A,'Faltantes Fevereiro- Metalfisa'!P$3,METALFISA!$B:$B,'Faltantes Fevereiro- Metalfisa'!$A208)</f>
        <v>0</v>
      </c>
      <c r="Q208" s="31">
        <f>SUMIFS(METALFISA!$E:$E,METALFISA!$A:$A,'Faltantes Fevereiro- Metalfisa'!Q$3,METALFISA!$B:$B,'Faltantes Fevereiro- Metalfisa'!$A208)</f>
        <v>0</v>
      </c>
      <c r="R208" s="31">
        <f>SUMIFS(METALFISA!$E:$E,METALFISA!$A:$A,'Faltantes Fevereiro- Metalfisa'!R$3,METALFISA!$B:$B,'Faltantes Fevereiro- Metalfisa'!$A208)</f>
        <v>0</v>
      </c>
      <c r="S208" s="31">
        <f>SUMIFS(METALFISA!$E:$E,METALFISA!$A:$A,'Faltantes Fevereiro- Metalfisa'!S$3,METALFISA!$B:$B,'Faltantes Fevereiro- Metalfisa'!$A208)</f>
        <v>0</v>
      </c>
      <c r="T208" s="31">
        <f>SUMIFS(METALFISA!$E:$E,METALFISA!$A:$A,'Faltantes Fevereiro- Metalfisa'!T$3,METALFISA!$B:$B,'Faltantes Fevereiro- Metalfisa'!$A208)</f>
        <v>0</v>
      </c>
      <c r="U208" s="31">
        <f>SUMIFS(METALFISA!$E:$E,METALFISA!$A:$A,'Faltantes Fevereiro- Metalfisa'!U$3,METALFISA!$B:$B,'Faltantes Fevereiro- Metalfisa'!$A208)</f>
        <v>0</v>
      </c>
      <c r="V208" s="31">
        <f>SUMIFS(METALFISA!$E:$E,METALFISA!$A:$A,'Faltantes Fevereiro- Metalfisa'!V$3,METALFISA!$B:$B,'Faltantes Fevereiro- Metalfisa'!$A208)</f>
        <v>0</v>
      </c>
      <c r="W208" s="31">
        <f>SUMIFS(METALFISA!$E:$E,METALFISA!$A:$A,'Faltantes Fevereiro- Metalfisa'!W$3,METALFISA!$B:$B,'Faltantes Fevereiro- Metalfisa'!$A208)</f>
        <v>0</v>
      </c>
      <c r="X208" s="31">
        <f>SUMIFS(METALFISA!$E:$E,METALFISA!$A:$A,'Faltantes Fevereiro- Metalfisa'!X$3,METALFISA!$B:$B,'Faltantes Fevereiro- Metalfisa'!$A208)</f>
        <v>0</v>
      </c>
      <c r="Y208" s="31">
        <f>SUMIFS(METALFISA!$E:$E,METALFISA!$A:$A,'Faltantes Fevereiro- Metalfisa'!Y$3,METALFISA!$B:$B,'Faltantes Fevereiro- Metalfisa'!$A208)</f>
        <v>0</v>
      </c>
      <c r="Z208" s="31">
        <f>SUMIFS(METALFISA!$E:$E,METALFISA!$A:$A,'Faltantes Fevereiro- Metalfisa'!Z$3,METALFISA!$B:$B,'Faltantes Fevereiro- Metalfisa'!$A208)</f>
        <v>0</v>
      </c>
      <c r="AA208" s="31">
        <f>SUMIFS(METALFISA!$E:$E,METALFISA!$A:$A,'Faltantes Fevereiro- Metalfisa'!AA$3,METALFISA!$B:$B,'Faltantes Fevereiro- Metalfisa'!$A208)</f>
        <v>0</v>
      </c>
      <c r="AB208" s="31">
        <f>SUMIFS(METALFISA!$E:$E,METALFISA!$A:$A,'Faltantes Fevereiro- Metalfisa'!AB$3,METALFISA!$B:$B,'Faltantes Fevereiro- Metalfisa'!$A208)</f>
        <v>0</v>
      </c>
      <c r="AC208" s="31">
        <f>SUMIFS(METALFISA!$E:$E,METALFISA!$A:$A,'Faltantes Fevereiro- Metalfisa'!AC$3,METALFISA!$B:$B,'Faltantes Fevereiro- Metalfisa'!$A208)</f>
        <v>0</v>
      </c>
      <c r="AD208" s="31">
        <f>SUMIFS(METALFISA!$E:$E,METALFISA!$A:$A,'Faltantes Fevereiro- Metalfisa'!AD$3,METALFISA!$B:$B,'Faltantes Fevereiro- Metalfisa'!$A208)</f>
        <v>0</v>
      </c>
      <c r="AE208" s="31">
        <f>SUMIFS(METALFISA!$E:$E,METALFISA!$A:$A,'Faltantes Fevereiro- Metalfisa'!AE$3,METALFISA!$B:$B,'Faltantes Fevereiro- Metalfisa'!$A208)</f>
        <v>2</v>
      </c>
      <c r="AF208" s="31">
        <f>SUMIFS(METALFISA!$E:$E,METALFISA!$A:$A,'Faltantes Fevereiro- Metalfisa'!AF$3,METALFISA!$B:$B,'Faltantes Fevereiro- Metalfisa'!$A208)</f>
        <v>0</v>
      </c>
      <c r="AG208" s="31">
        <f>SUMIFS(METALFISA!$E:$E,METALFISA!$A:$A,'Faltantes Fevereiro- Metalfisa'!AG$3,METALFISA!$B:$B,'Faltantes Fevereiro- Metalfisa'!$A208)</f>
        <v>0</v>
      </c>
      <c r="AH208" s="31">
        <f>SUMIFS(METALFISA!$E:$E,METALFISA!$A:$A,'Faltantes Fevereiro- Metalfisa'!AH$3,METALFISA!$B:$B,'Faltantes Fevereiro- Metalfisa'!$A208)</f>
        <v>0</v>
      </c>
      <c r="AI208" s="31">
        <f>SUMIFS(METALFISA!$E:$E,METALFISA!$A:$A,'Faltantes Fevereiro- Metalfisa'!AI$3,METALFISA!$B:$B,'Faltantes Fevereiro- Metalfisa'!$A208)</f>
        <v>0</v>
      </c>
      <c r="AJ208" s="31">
        <f>SUMIFS(METALFISA!$E:$E,METALFISA!$A:$A,'Faltantes Fevereiro- Metalfisa'!AJ$3,METALFISA!$B:$B,'Faltantes Fevereiro- Metalfisa'!$A208)</f>
        <v>0</v>
      </c>
      <c r="AK208" s="31">
        <f>SUMIFS(METALFISA!$E:$E,METALFISA!$A:$A,'Faltantes Fevereiro- Metalfisa'!AK$3,METALFISA!$B:$B,'Faltantes Fevereiro- Metalfisa'!$A208)</f>
        <v>0</v>
      </c>
      <c r="AL208" s="31">
        <f>SUMIFS(METALFISA!$E:$E,METALFISA!$A:$A,'Faltantes Fevereiro- Metalfisa'!AL$3,METALFISA!$B:$B,'Faltantes Fevereiro- Metalfisa'!$A208)</f>
        <v>0</v>
      </c>
      <c r="AM208" s="31">
        <f>SUMIFS(METALFISA!$E:$E,METALFISA!$A:$A,'Faltantes Fevereiro- Metalfisa'!AM$3,METALFISA!$B:$B,'Faltantes Fevereiro- Metalfisa'!$A208)</f>
        <v>0</v>
      </c>
      <c r="AN208" s="31">
        <f>SUMIFS(METALFISA!$E:$E,METALFISA!$A:$A,'Faltantes Fevereiro- Metalfisa'!AN$3,METALFISA!$B:$B,'Faltantes Fevereiro- Metalfisa'!$A208)</f>
        <v>0</v>
      </c>
      <c r="AO208" s="31">
        <f>SUMIFS(METALFISA!$E:$E,METALFISA!$A:$A,'Faltantes Fevereiro- Metalfisa'!AO$3,METALFISA!$B:$B,'Faltantes Fevereiro- Metalfisa'!$A208)</f>
        <v>0</v>
      </c>
      <c r="AP208" s="31">
        <f>SUMIFS(METALFISA!$E:$E,METALFISA!$A:$A,'Faltantes Fevereiro- Metalfisa'!AP$3,METALFISA!$B:$B,'Faltantes Fevereiro- Metalfisa'!$A208)</f>
        <v>0</v>
      </c>
      <c r="AQ208" s="31"/>
      <c r="AR208" s="31">
        <f>SUMIFS(METALFISA!$E:$E,METALFISA!$A:$A,'Faltantes Fevereiro- Metalfisa'!AR$3,METALFISA!$B:$B,'Faltantes Fevereiro- Metalfisa'!$A208)</f>
        <v>0</v>
      </c>
      <c r="AS208" s="35">
        <f>SUMIFS(METALFISA!$E:$E,METALFISA!$A:$A,'Faltantes Fevereiro- Metalfisa'!AS$3,METALFISA!$B:$B,'Faltantes Fevereiro- Metalfisa'!$A208)</f>
        <v>0</v>
      </c>
      <c r="AU208" s="18">
        <v>0</v>
      </c>
      <c r="AV208" s="18">
        <v>0</v>
      </c>
      <c r="AW208" s="18">
        <v>0</v>
      </c>
      <c r="AX208" s="18">
        <v>0</v>
      </c>
      <c r="AY208" s="41">
        <v>0</v>
      </c>
      <c r="AZ208" s="31">
        <v>0</v>
      </c>
      <c r="BA208" s="31">
        <v>0</v>
      </c>
      <c r="BB208" s="31">
        <v>0</v>
      </c>
      <c r="BC208" s="31">
        <v>0</v>
      </c>
      <c r="BD208" s="31">
        <v>0</v>
      </c>
      <c r="BE208" s="31">
        <v>0</v>
      </c>
      <c r="BF208" s="31">
        <v>0</v>
      </c>
      <c r="BG208" s="31">
        <v>0</v>
      </c>
      <c r="BH208" s="31">
        <v>0</v>
      </c>
      <c r="BI208" s="31">
        <v>0</v>
      </c>
      <c r="BJ208" s="31">
        <v>0</v>
      </c>
      <c r="BK208" s="31">
        <v>0</v>
      </c>
      <c r="BL208" s="31">
        <v>0</v>
      </c>
      <c r="BM208" s="31">
        <v>0</v>
      </c>
      <c r="BN208" s="31">
        <v>1</v>
      </c>
      <c r="BO208" s="31">
        <v>1</v>
      </c>
      <c r="BP208" s="31">
        <v>0</v>
      </c>
      <c r="BQ208" s="31">
        <v>0</v>
      </c>
      <c r="BR208" s="31">
        <v>0</v>
      </c>
      <c r="BS208" s="31">
        <v>0</v>
      </c>
      <c r="BT208" s="31">
        <v>0</v>
      </c>
      <c r="BU208" s="31">
        <v>0</v>
      </c>
      <c r="BV208" s="31">
        <v>0</v>
      </c>
      <c r="BW208" s="31">
        <v>0</v>
      </c>
      <c r="BX208" s="31">
        <v>0</v>
      </c>
      <c r="BY208" s="31">
        <v>0</v>
      </c>
      <c r="BZ208" s="31">
        <v>0</v>
      </c>
      <c r="CA208" s="31">
        <v>0</v>
      </c>
      <c r="CB208" s="31">
        <v>0</v>
      </c>
      <c r="CC208" s="31">
        <v>0</v>
      </c>
      <c r="CD208" s="31">
        <v>0</v>
      </c>
      <c r="CE208" s="31">
        <v>0</v>
      </c>
      <c r="CF208" s="31">
        <v>0</v>
      </c>
      <c r="CG208" s="31">
        <v>0</v>
      </c>
      <c r="CH208" s="31">
        <v>0</v>
      </c>
      <c r="CI208" s="31">
        <v>0</v>
      </c>
      <c r="CJ208" s="31">
        <v>0</v>
      </c>
      <c r="CK208" s="31">
        <v>0</v>
      </c>
      <c r="CL208" s="35">
        <v>0</v>
      </c>
    </row>
    <row r="209" spans="1:90" x14ac:dyDescent="0.15">
      <c r="A209" s="27" t="s">
        <v>1071</v>
      </c>
      <c r="B209" s="28" t="s">
        <v>1072</v>
      </c>
      <c r="C209" s="28">
        <v>0</v>
      </c>
      <c r="D209" s="28">
        <v>0</v>
      </c>
      <c r="E209" s="28">
        <v>0</v>
      </c>
      <c r="F209" s="28">
        <v>0</v>
      </c>
      <c r="G209" s="28">
        <v>6</v>
      </c>
      <c r="H209" s="28">
        <f>IFERROR(VLOOKUP(A209,[1]FALTANTES!$A:$AB,28,FALSE),"-")</f>
        <v>0</v>
      </c>
      <c r="I209" s="42">
        <f>IFERROR(VLOOKUP(A209,[1]FALTANTES!$A:$AC,29,FALSE),"-")</f>
        <v>2</v>
      </c>
      <c r="J209" s="29">
        <f>IFERROR(VLOOKUP(A209,[1]FALTANTES!$A:$AD,30,FALSE),"-")</f>
        <v>-4</v>
      </c>
      <c r="K209" s="30">
        <v>0</v>
      </c>
      <c r="L209" s="30">
        <f t="shared" si="3"/>
        <v>2</v>
      </c>
      <c r="M209" s="31">
        <f>SUMIFS(METALFISA!$E:$E,METALFISA!$A:$A,'Faltantes Fevereiro- Metalfisa'!M$3,METALFISA!$B:$B,'Faltantes Fevereiro- Metalfisa'!$A209)</f>
        <v>0</v>
      </c>
      <c r="N209" s="31">
        <f>SUMIFS(METALFISA!$E:$E,METALFISA!$A:$A,'Faltantes Fevereiro- Metalfisa'!N$3,METALFISA!$B:$B,'Faltantes Fevereiro- Metalfisa'!$A209)</f>
        <v>0</v>
      </c>
      <c r="O209" s="31">
        <f>SUMIFS(METALFISA!$E:$E,METALFISA!$A:$A,'Faltantes Fevereiro- Metalfisa'!O$3,METALFISA!$B:$B,'Faltantes Fevereiro- Metalfisa'!$A209)</f>
        <v>0</v>
      </c>
      <c r="P209" s="31">
        <f>SUMIFS(METALFISA!$E:$E,METALFISA!$A:$A,'Faltantes Fevereiro- Metalfisa'!P$3,METALFISA!$B:$B,'Faltantes Fevereiro- Metalfisa'!$A209)</f>
        <v>0</v>
      </c>
      <c r="Q209" s="31">
        <f>SUMIFS(METALFISA!$E:$E,METALFISA!$A:$A,'Faltantes Fevereiro- Metalfisa'!Q$3,METALFISA!$B:$B,'Faltantes Fevereiro- Metalfisa'!$A209)</f>
        <v>0</v>
      </c>
      <c r="R209" s="31">
        <f>SUMIFS(METALFISA!$E:$E,METALFISA!$A:$A,'Faltantes Fevereiro- Metalfisa'!R$3,METALFISA!$B:$B,'Faltantes Fevereiro- Metalfisa'!$A209)</f>
        <v>0</v>
      </c>
      <c r="S209" s="31">
        <f>SUMIFS(METALFISA!$E:$E,METALFISA!$A:$A,'Faltantes Fevereiro- Metalfisa'!S$3,METALFISA!$B:$B,'Faltantes Fevereiro- Metalfisa'!$A209)</f>
        <v>0</v>
      </c>
      <c r="T209" s="31">
        <f>SUMIFS(METALFISA!$E:$E,METALFISA!$A:$A,'Faltantes Fevereiro- Metalfisa'!T$3,METALFISA!$B:$B,'Faltantes Fevereiro- Metalfisa'!$A209)</f>
        <v>0</v>
      </c>
      <c r="U209" s="31">
        <f>SUMIFS(METALFISA!$E:$E,METALFISA!$A:$A,'Faltantes Fevereiro- Metalfisa'!U$3,METALFISA!$B:$B,'Faltantes Fevereiro- Metalfisa'!$A209)</f>
        <v>0</v>
      </c>
      <c r="V209" s="31">
        <f>SUMIFS(METALFISA!$E:$E,METALFISA!$A:$A,'Faltantes Fevereiro- Metalfisa'!V$3,METALFISA!$B:$B,'Faltantes Fevereiro- Metalfisa'!$A209)</f>
        <v>0</v>
      </c>
      <c r="W209" s="31">
        <f>SUMIFS(METALFISA!$E:$E,METALFISA!$A:$A,'Faltantes Fevereiro- Metalfisa'!W$3,METALFISA!$B:$B,'Faltantes Fevereiro- Metalfisa'!$A209)</f>
        <v>0</v>
      </c>
      <c r="X209" s="31">
        <f>SUMIFS(METALFISA!$E:$E,METALFISA!$A:$A,'Faltantes Fevereiro- Metalfisa'!X$3,METALFISA!$B:$B,'Faltantes Fevereiro- Metalfisa'!$A209)</f>
        <v>0</v>
      </c>
      <c r="Y209" s="31">
        <f>SUMIFS(METALFISA!$E:$E,METALFISA!$A:$A,'Faltantes Fevereiro- Metalfisa'!Y$3,METALFISA!$B:$B,'Faltantes Fevereiro- Metalfisa'!$A209)</f>
        <v>0</v>
      </c>
      <c r="Z209" s="31">
        <f>SUMIFS(METALFISA!$E:$E,METALFISA!$A:$A,'Faltantes Fevereiro- Metalfisa'!Z$3,METALFISA!$B:$B,'Faltantes Fevereiro- Metalfisa'!$A209)</f>
        <v>0</v>
      </c>
      <c r="AA209" s="31">
        <f>SUMIFS(METALFISA!$E:$E,METALFISA!$A:$A,'Faltantes Fevereiro- Metalfisa'!AA$3,METALFISA!$B:$B,'Faltantes Fevereiro- Metalfisa'!$A209)</f>
        <v>0</v>
      </c>
      <c r="AB209" s="31">
        <f>SUMIFS(METALFISA!$E:$E,METALFISA!$A:$A,'Faltantes Fevereiro- Metalfisa'!AB$3,METALFISA!$B:$B,'Faltantes Fevereiro- Metalfisa'!$A209)</f>
        <v>0</v>
      </c>
      <c r="AC209" s="31">
        <f>SUMIFS(METALFISA!$E:$E,METALFISA!$A:$A,'Faltantes Fevereiro- Metalfisa'!AC$3,METALFISA!$B:$B,'Faltantes Fevereiro- Metalfisa'!$A209)</f>
        <v>0</v>
      </c>
      <c r="AD209" s="31">
        <f>SUMIFS(METALFISA!$E:$E,METALFISA!$A:$A,'Faltantes Fevereiro- Metalfisa'!AD$3,METALFISA!$B:$B,'Faltantes Fevereiro- Metalfisa'!$A209)</f>
        <v>0</v>
      </c>
      <c r="AE209" s="31">
        <f>SUMIFS(METALFISA!$E:$E,METALFISA!$A:$A,'Faltantes Fevereiro- Metalfisa'!AE$3,METALFISA!$B:$B,'Faltantes Fevereiro- Metalfisa'!$A209)</f>
        <v>2</v>
      </c>
      <c r="AF209" s="31">
        <f>SUMIFS(METALFISA!$E:$E,METALFISA!$A:$A,'Faltantes Fevereiro- Metalfisa'!AF$3,METALFISA!$B:$B,'Faltantes Fevereiro- Metalfisa'!$A209)</f>
        <v>0</v>
      </c>
      <c r="AG209" s="31">
        <f>SUMIFS(METALFISA!$E:$E,METALFISA!$A:$A,'Faltantes Fevereiro- Metalfisa'!AG$3,METALFISA!$B:$B,'Faltantes Fevereiro- Metalfisa'!$A209)</f>
        <v>0</v>
      </c>
      <c r="AH209" s="31">
        <f>SUMIFS(METALFISA!$E:$E,METALFISA!$A:$A,'Faltantes Fevereiro- Metalfisa'!AH$3,METALFISA!$B:$B,'Faltantes Fevereiro- Metalfisa'!$A209)</f>
        <v>0</v>
      </c>
      <c r="AI209" s="31">
        <f>SUMIFS(METALFISA!$E:$E,METALFISA!$A:$A,'Faltantes Fevereiro- Metalfisa'!AI$3,METALFISA!$B:$B,'Faltantes Fevereiro- Metalfisa'!$A209)</f>
        <v>0</v>
      </c>
      <c r="AJ209" s="31">
        <f>SUMIFS(METALFISA!$E:$E,METALFISA!$A:$A,'Faltantes Fevereiro- Metalfisa'!AJ$3,METALFISA!$B:$B,'Faltantes Fevereiro- Metalfisa'!$A209)</f>
        <v>0</v>
      </c>
      <c r="AK209" s="31">
        <f>SUMIFS(METALFISA!$E:$E,METALFISA!$A:$A,'Faltantes Fevereiro- Metalfisa'!AK$3,METALFISA!$B:$B,'Faltantes Fevereiro- Metalfisa'!$A209)</f>
        <v>0</v>
      </c>
      <c r="AL209" s="31">
        <f>SUMIFS(METALFISA!$E:$E,METALFISA!$A:$A,'Faltantes Fevereiro- Metalfisa'!AL$3,METALFISA!$B:$B,'Faltantes Fevereiro- Metalfisa'!$A209)</f>
        <v>0</v>
      </c>
      <c r="AM209" s="31">
        <f>SUMIFS(METALFISA!$E:$E,METALFISA!$A:$A,'Faltantes Fevereiro- Metalfisa'!AM$3,METALFISA!$B:$B,'Faltantes Fevereiro- Metalfisa'!$A209)</f>
        <v>0</v>
      </c>
      <c r="AN209" s="31">
        <f>SUMIFS(METALFISA!$E:$E,METALFISA!$A:$A,'Faltantes Fevereiro- Metalfisa'!AN$3,METALFISA!$B:$B,'Faltantes Fevereiro- Metalfisa'!$A209)</f>
        <v>0</v>
      </c>
      <c r="AO209" s="31">
        <f>SUMIFS(METALFISA!$E:$E,METALFISA!$A:$A,'Faltantes Fevereiro- Metalfisa'!AO$3,METALFISA!$B:$B,'Faltantes Fevereiro- Metalfisa'!$A209)</f>
        <v>0</v>
      </c>
      <c r="AP209" s="31">
        <f>SUMIFS(METALFISA!$E:$E,METALFISA!$A:$A,'Faltantes Fevereiro- Metalfisa'!AP$3,METALFISA!$B:$B,'Faltantes Fevereiro- Metalfisa'!$A209)</f>
        <v>0</v>
      </c>
      <c r="AQ209" s="31"/>
      <c r="AR209" s="31">
        <f>SUMIFS(METALFISA!$E:$E,METALFISA!$A:$A,'Faltantes Fevereiro- Metalfisa'!AR$3,METALFISA!$B:$B,'Faltantes Fevereiro- Metalfisa'!$A209)</f>
        <v>0</v>
      </c>
      <c r="AS209" s="35">
        <f>SUMIFS(METALFISA!$E:$E,METALFISA!$A:$A,'Faltantes Fevereiro- Metalfisa'!AS$3,METALFISA!$B:$B,'Faltantes Fevereiro- Metalfisa'!$A209)</f>
        <v>0</v>
      </c>
      <c r="AU209" s="18">
        <v>0</v>
      </c>
      <c r="AV209" s="18">
        <v>0</v>
      </c>
      <c r="AW209" s="18">
        <v>0</v>
      </c>
      <c r="AX209" s="18">
        <v>0</v>
      </c>
      <c r="AY209" s="41">
        <v>0</v>
      </c>
      <c r="AZ209" s="31">
        <v>0</v>
      </c>
      <c r="BA209" s="31">
        <v>0</v>
      </c>
      <c r="BB209" s="31">
        <v>0</v>
      </c>
      <c r="BC209" s="31">
        <v>0</v>
      </c>
      <c r="BD209" s="31">
        <v>0</v>
      </c>
      <c r="BE209" s="31">
        <v>0</v>
      </c>
      <c r="BF209" s="31">
        <v>0</v>
      </c>
      <c r="BG209" s="31">
        <v>0</v>
      </c>
      <c r="BH209" s="31">
        <v>0</v>
      </c>
      <c r="BI209" s="31">
        <v>0</v>
      </c>
      <c r="BJ209" s="31">
        <v>0</v>
      </c>
      <c r="BK209" s="31">
        <v>0</v>
      </c>
      <c r="BL209" s="31">
        <v>0</v>
      </c>
      <c r="BM209" s="31">
        <v>0</v>
      </c>
      <c r="BN209" s="31">
        <v>0</v>
      </c>
      <c r="BO209" s="31">
        <v>1</v>
      </c>
      <c r="BP209" s="31">
        <v>0</v>
      </c>
      <c r="BQ209" s="31">
        <v>0</v>
      </c>
      <c r="BR209" s="31">
        <v>0</v>
      </c>
      <c r="BS209" s="31">
        <v>0</v>
      </c>
      <c r="BT209" s="31">
        <v>0</v>
      </c>
      <c r="BU209" s="31">
        <v>0</v>
      </c>
      <c r="BV209" s="31">
        <v>0</v>
      </c>
      <c r="BW209" s="31">
        <v>0</v>
      </c>
      <c r="BX209" s="31">
        <v>0</v>
      </c>
      <c r="BY209" s="31">
        <v>0</v>
      </c>
      <c r="BZ209" s="31">
        <v>0</v>
      </c>
      <c r="CA209" s="31">
        <v>0</v>
      </c>
      <c r="CB209" s="31">
        <v>0</v>
      </c>
      <c r="CC209" s="31">
        <v>0</v>
      </c>
      <c r="CD209" s="31">
        <v>0</v>
      </c>
      <c r="CE209" s="31">
        <v>0</v>
      </c>
      <c r="CF209" s="31">
        <v>0</v>
      </c>
      <c r="CG209" s="31">
        <v>0</v>
      </c>
      <c r="CH209" s="31">
        <v>0</v>
      </c>
      <c r="CI209" s="31">
        <v>0</v>
      </c>
      <c r="CJ209" s="31">
        <v>0</v>
      </c>
      <c r="CK209" s="31">
        <v>0</v>
      </c>
      <c r="CL209" s="35">
        <v>0</v>
      </c>
    </row>
    <row r="210" spans="1:90" x14ac:dyDescent="0.15">
      <c r="A210" s="27" t="s">
        <v>1073</v>
      </c>
      <c r="B210" s="28" t="s">
        <v>1074</v>
      </c>
      <c r="C210" s="28">
        <v>0</v>
      </c>
      <c r="D210" s="28">
        <v>0</v>
      </c>
      <c r="E210" s="28">
        <v>0</v>
      </c>
      <c r="F210" s="28">
        <v>0</v>
      </c>
      <c r="G210" s="28">
        <v>6</v>
      </c>
      <c r="H210" s="28">
        <f>IFERROR(VLOOKUP(A210,[1]FALTANTES!$A:$AB,28,FALSE),"-")</f>
        <v>0</v>
      </c>
      <c r="I210" s="42">
        <f>IFERROR(VLOOKUP(A210,[1]FALTANTES!$A:$AC,29,FALSE),"-")</f>
        <v>2</v>
      </c>
      <c r="J210" s="29">
        <f>IFERROR(VLOOKUP(A210,[1]FALTANTES!$A:$AD,30,FALSE),"-")</f>
        <v>-4</v>
      </c>
      <c r="K210" s="30">
        <v>0</v>
      </c>
      <c r="L210" s="30">
        <f t="shared" si="3"/>
        <v>2</v>
      </c>
      <c r="M210" s="31">
        <f>SUMIFS(METALFISA!$E:$E,METALFISA!$A:$A,'Faltantes Fevereiro- Metalfisa'!M$3,METALFISA!$B:$B,'Faltantes Fevereiro- Metalfisa'!$A210)</f>
        <v>0</v>
      </c>
      <c r="N210" s="31">
        <f>SUMIFS(METALFISA!$E:$E,METALFISA!$A:$A,'Faltantes Fevereiro- Metalfisa'!N$3,METALFISA!$B:$B,'Faltantes Fevereiro- Metalfisa'!$A210)</f>
        <v>0</v>
      </c>
      <c r="O210" s="31">
        <f>SUMIFS(METALFISA!$E:$E,METALFISA!$A:$A,'Faltantes Fevereiro- Metalfisa'!O$3,METALFISA!$B:$B,'Faltantes Fevereiro- Metalfisa'!$A210)</f>
        <v>0</v>
      </c>
      <c r="P210" s="31">
        <f>SUMIFS(METALFISA!$E:$E,METALFISA!$A:$A,'Faltantes Fevereiro- Metalfisa'!P$3,METALFISA!$B:$B,'Faltantes Fevereiro- Metalfisa'!$A210)</f>
        <v>0</v>
      </c>
      <c r="Q210" s="31">
        <f>SUMIFS(METALFISA!$E:$E,METALFISA!$A:$A,'Faltantes Fevereiro- Metalfisa'!Q$3,METALFISA!$B:$B,'Faltantes Fevereiro- Metalfisa'!$A210)</f>
        <v>0</v>
      </c>
      <c r="R210" s="31">
        <f>SUMIFS(METALFISA!$E:$E,METALFISA!$A:$A,'Faltantes Fevereiro- Metalfisa'!R$3,METALFISA!$B:$B,'Faltantes Fevereiro- Metalfisa'!$A210)</f>
        <v>0</v>
      </c>
      <c r="S210" s="31">
        <f>SUMIFS(METALFISA!$E:$E,METALFISA!$A:$A,'Faltantes Fevereiro- Metalfisa'!S$3,METALFISA!$B:$B,'Faltantes Fevereiro- Metalfisa'!$A210)</f>
        <v>0</v>
      </c>
      <c r="T210" s="31">
        <f>SUMIFS(METALFISA!$E:$E,METALFISA!$A:$A,'Faltantes Fevereiro- Metalfisa'!T$3,METALFISA!$B:$B,'Faltantes Fevereiro- Metalfisa'!$A210)</f>
        <v>0</v>
      </c>
      <c r="U210" s="31">
        <f>SUMIFS(METALFISA!$E:$E,METALFISA!$A:$A,'Faltantes Fevereiro- Metalfisa'!U$3,METALFISA!$B:$B,'Faltantes Fevereiro- Metalfisa'!$A210)</f>
        <v>0</v>
      </c>
      <c r="V210" s="31">
        <f>SUMIFS(METALFISA!$E:$E,METALFISA!$A:$A,'Faltantes Fevereiro- Metalfisa'!V$3,METALFISA!$B:$B,'Faltantes Fevereiro- Metalfisa'!$A210)</f>
        <v>0</v>
      </c>
      <c r="W210" s="31">
        <f>SUMIFS(METALFISA!$E:$E,METALFISA!$A:$A,'Faltantes Fevereiro- Metalfisa'!W$3,METALFISA!$B:$B,'Faltantes Fevereiro- Metalfisa'!$A210)</f>
        <v>0</v>
      </c>
      <c r="X210" s="31">
        <f>SUMIFS(METALFISA!$E:$E,METALFISA!$A:$A,'Faltantes Fevereiro- Metalfisa'!X$3,METALFISA!$B:$B,'Faltantes Fevereiro- Metalfisa'!$A210)</f>
        <v>0</v>
      </c>
      <c r="Y210" s="31">
        <f>SUMIFS(METALFISA!$E:$E,METALFISA!$A:$A,'Faltantes Fevereiro- Metalfisa'!Y$3,METALFISA!$B:$B,'Faltantes Fevereiro- Metalfisa'!$A210)</f>
        <v>0</v>
      </c>
      <c r="Z210" s="31">
        <f>SUMIFS(METALFISA!$E:$E,METALFISA!$A:$A,'Faltantes Fevereiro- Metalfisa'!Z$3,METALFISA!$B:$B,'Faltantes Fevereiro- Metalfisa'!$A210)</f>
        <v>0</v>
      </c>
      <c r="AA210" s="31">
        <f>SUMIFS(METALFISA!$E:$E,METALFISA!$A:$A,'Faltantes Fevereiro- Metalfisa'!AA$3,METALFISA!$B:$B,'Faltantes Fevereiro- Metalfisa'!$A210)</f>
        <v>0</v>
      </c>
      <c r="AB210" s="31">
        <f>SUMIFS(METALFISA!$E:$E,METALFISA!$A:$A,'Faltantes Fevereiro- Metalfisa'!AB$3,METALFISA!$B:$B,'Faltantes Fevereiro- Metalfisa'!$A210)</f>
        <v>0</v>
      </c>
      <c r="AC210" s="31">
        <f>SUMIFS(METALFISA!$E:$E,METALFISA!$A:$A,'Faltantes Fevereiro- Metalfisa'!AC$3,METALFISA!$B:$B,'Faltantes Fevereiro- Metalfisa'!$A210)</f>
        <v>0</v>
      </c>
      <c r="AD210" s="31">
        <f>SUMIFS(METALFISA!$E:$E,METALFISA!$A:$A,'Faltantes Fevereiro- Metalfisa'!AD$3,METALFISA!$B:$B,'Faltantes Fevereiro- Metalfisa'!$A210)</f>
        <v>0</v>
      </c>
      <c r="AE210" s="31">
        <f>SUMIFS(METALFISA!$E:$E,METALFISA!$A:$A,'Faltantes Fevereiro- Metalfisa'!AE$3,METALFISA!$B:$B,'Faltantes Fevereiro- Metalfisa'!$A210)</f>
        <v>2</v>
      </c>
      <c r="AF210" s="31">
        <f>SUMIFS(METALFISA!$E:$E,METALFISA!$A:$A,'Faltantes Fevereiro- Metalfisa'!AF$3,METALFISA!$B:$B,'Faltantes Fevereiro- Metalfisa'!$A210)</f>
        <v>0</v>
      </c>
      <c r="AG210" s="31">
        <f>SUMIFS(METALFISA!$E:$E,METALFISA!$A:$A,'Faltantes Fevereiro- Metalfisa'!AG$3,METALFISA!$B:$B,'Faltantes Fevereiro- Metalfisa'!$A210)</f>
        <v>0</v>
      </c>
      <c r="AH210" s="31">
        <f>SUMIFS(METALFISA!$E:$E,METALFISA!$A:$A,'Faltantes Fevereiro- Metalfisa'!AH$3,METALFISA!$B:$B,'Faltantes Fevereiro- Metalfisa'!$A210)</f>
        <v>0</v>
      </c>
      <c r="AI210" s="31">
        <f>SUMIFS(METALFISA!$E:$E,METALFISA!$A:$A,'Faltantes Fevereiro- Metalfisa'!AI$3,METALFISA!$B:$B,'Faltantes Fevereiro- Metalfisa'!$A210)</f>
        <v>0</v>
      </c>
      <c r="AJ210" s="31">
        <f>SUMIFS(METALFISA!$E:$E,METALFISA!$A:$A,'Faltantes Fevereiro- Metalfisa'!AJ$3,METALFISA!$B:$B,'Faltantes Fevereiro- Metalfisa'!$A210)</f>
        <v>0</v>
      </c>
      <c r="AK210" s="31">
        <f>SUMIFS(METALFISA!$E:$E,METALFISA!$A:$A,'Faltantes Fevereiro- Metalfisa'!AK$3,METALFISA!$B:$B,'Faltantes Fevereiro- Metalfisa'!$A210)</f>
        <v>0</v>
      </c>
      <c r="AL210" s="31">
        <f>SUMIFS(METALFISA!$E:$E,METALFISA!$A:$A,'Faltantes Fevereiro- Metalfisa'!AL$3,METALFISA!$B:$B,'Faltantes Fevereiro- Metalfisa'!$A210)</f>
        <v>0</v>
      </c>
      <c r="AM210" s="31">
        <f>SUMIFS(METALFISA!$E:$E,METALFISA!$A:$A,'Faltantes Fevereiro- Metalfisa'!AM$3,METALFISA!$B:$B,'Faltantes Fevereiro- Metalfisa'!$A210)</f>
        <v>0</v>
      </c>
      <c r="AN210" s="31">
        <f>SUMIFS(METALFISA!$E:$E,METALFISA!$A:$A,'Faltantes Fevereiro- Metalfisa'!AN$3,METALFISA!$B:$B,'Faltantes Fevereiro- Metalfisa'!$A210)</f>
        <v>0</v>
      </c>
      <c r="AO210" s="31">
        <f>SUMIFS(METALFISA!$E:$E,METALFISA!$A:$A,'Faltantes Fevereiro- Metalfisa'!AO$3,METALFISA!$B:$B,'Faltantes Fevereiro- Metalfisa'!$A210)</f>
        <v>0</v>
      </c>
      <c r="AP210" s="31">
        <f>SUMIFS(METALFISA!$E:$E,METALFISA!$A:$A,'Faltantes Fevereiro- Metalfisa'!AP$3,METALFISA!$B:$B,'Faltantes Fevereiro- Metalfisa'!$A210)</f>
        <v>0</v>
      </c>
      <c r="AQ210" s="31"/>
      <c r="AR210" s="31">
        <f>SUMIFS(METALFISA!$E:$E,METALFISA!$A:$A,'Faltantes Fevereiro- Metalfisa'!AR$3,METALFISA!$B:$B,'Faltantes Fevereiro- Metalfisa'!$A210)</f>
        <v>0</v>
      </c>
      <c r="AS210" s="35">
        <f>SUMIFS(METALFISA!$E:$E,METALFISA!$A:$A,'Faltantes Fevereiro- Metalfisa'!AS$3,METALFISA!$B:$B,'Faltantes Fevereiro- Metalfisa'!$A210)</f>
        <v>0</v>
      </c>
      <c r="AU210" s="18">
        <v>0</v>
      </c>
      <c r="AV210" s="18">
        <v>0</v>
      </c>
      <c r="AW210" s="18">
        <v>0</v>
      </c>
      <c r="AX210" s="18">
        <v>0</v>
      </c>
      <c r="AY210" s="41">
        <v>0</v>
      </c>
      <c r="AZ210" s="31">
        <v>0</v>
      </c>
      <c r="BA210" s="31">
        <v>0</v>
      </c>
      <c r="BB210" s="31">
        <v>0</v>
      </c>
      <c r="BC210" s="31">
        <v>0</v>
      </c>
      <c r="BD210" s="31">
        <v>0</v>
      </c>
      <c r="BE210" s="31">
        <v>0</v>
      </c>
      <c r="BF210" s="31">
        <v>0</v>
      </c>
      <c r="BG210" s="31">
        <v>0</v>
      </c>
      <c r="BH210" s="31">
        <v>0</v>
      </c>
      <c r="BI210" s="31">
        <v>0</v>
      </c>
      <c r="BJ210" s="31">
        <v>0</v>
      </c>
      <c r="BK210" s="31">
        <v>0</v>
      </c>
      <c r="BL210" s="31">
        <v>0</v>
      </c>
      <c r="BM210" s="31">
        <v>0</v>
      </c>
      <c r="BN210" s="31">
        <v>0</v>
      </c>
      <c r="BO210" s="31">
        <v>1</v>
      </c>
      <c r="BP210" s="31">
        <v>0</v>
      </c>
      <c r="BQ210" s="31">
        <v>0</v>
      </c>
      <c r="BR210" s="31">
        <v>0</v>
      </c>
      <c r="BS210" s="31">
        <v>0</v>
      </c>
      <c r="BT210" s="31">
        <v>0</v>
      </c>
      <c r="BU210" s="31">
        <v>0</v>
      </c>
      <c r="BV210" s="31">
        <v>0</v>
      </c>
      <c r="BW210" s="31">
        <v>0</v>
      </c>
      <c r="BX210" s="31">
        <v>0</v>
      </c>
      <c r="BY210" s="31">
        <v>0</v>
      </c>
      <c r="BZ210" s="31">
        <v>0</v>
      </c>
      <c r="CA210" s="31">
        <v>0</v>
      </c>
      <c r="CB210" s="31">
        <v>0</v>
      </c>
      <c r="CC210" s="31">
        <v>0</v>
      </c>
      <c r="CD210" s="31">
        <v>0</v>
      </c>
      <c r="CE210" s="31">
        <v>0</v>
      </c>
      <c r="CF210" s="31">
        <v>0</v>
      </c>
      <c r="CG210" s="31">
        <v>0</v>
      </c>
      <c r="CH210" s="31">
        <v>0</v>
      </c>
      <c r="CI210" s="31">
        <v>0</v>
      </c>
      <c r="CJ210" s="31">
        <v>0</v>
      </c>
      <c r="CK210" s="31">
        <v>0</v>
      </c>
      <c r="CL210" s="35">
        <v>0</v>
      </c>
    </row>
    <row r="211" spans="1:90" x14ac:dyDescent="0.15">
      <c r="A211" s="27" t="s">
        <v>1081</v>
      </c>
      <c r="B211" s="28" t="s">
        <v>1082</v>
      </c>
      <c r="C211" s="28">
        <v>0</v>
      </c>
      <c r="D211" s="28">
        <v>0</v>
      </c>
      <c r="E211" s="28">
        <v>0</v>
      </c>
      <c r="F211" s="28">
        <v>0</v>
      </c>
      <c r="G211" s="28">
        <v>6</v>
      </c>
      <c r="H211" s="28">
        <f>IFERROR(VLOOKUP(A211,[1]FALTANTES!$A:$AB,28,FALSE),"-")</f>
        <v>0</v>
      </c>
      <c r="I211" s="42">
        <f>IFERROR(VLOOKUP(A211,[1]FALTANTES!$A:$AC,29,FALSE),"-")</f>
        <v>2</v>
      </c>
      <c r="J211" s="29">
        <f>IFERROR(VLOOKUP(A211,[1]FALTANTES!$A:$AD,30,FALSE),"-")</f>
        <v>-4</v>
      </c>
      <c r="K211" s="30">
        <v>0</v>
      </c>
      <c r="L211" s="30">
        <f t="shared" si="3"/>
        <v>1</v>
      </c>
      <c r="M211" s="31">
        <f>SUMIFS(METALFISA!$E:$E,METALFISA!$A:$A,'Faltantes Fevereiro- Metalfisa'!M$3,METALFISA!$B:$B,'Faltantes Fevereiro- Metalfisa'!$A211)</f>
        <v>0</v>
      </c>
      <c r="N211" s="31">
        <f>SUMIFS(METALFISA!$E:$E,METALFISA!$A:$A,'Faltantes Fevereiro- Metalfisa'!N$3,METALFISA!$B:$B,'Faltantes Fevereiro- Metalfisa'!$A211)</f>
        <v>0</v>
      </c>
      <c r="O211" s="31">
        <f>SUMIFS(METALFISA!$E:$E,METALFISA!$A:$A,'Faltantes Fevereiro- Metalfisa'!O$3,METALFISA!$B:$B,'Faltantes Fevereiro- Metalfisa'!$A211)</f>
        <v>0</v>
      </c>
      <c r="P211" s="31">
        <f>SUMIFS(METALFISA!$E:$E,METALFISA!$A:$A,'Faltantes Fevereiro- Metalfisa'!P$3,METALFISA!$B:$B,'Faltantes Fevereiro- Metalfisa'!$A211)</f>
        <v>0</v>
      </c>
      <c r="Q211" s="31">
        <f>SUMIFS(METALFISA!$E:$E,METALFISA!$A:$A,'Faltantes Fevereiro- Metalfisa'!Q$3,METALFISA!$B:$B,'Faltantes Fevereiro- Metalfisa'!$A211)</f>
        <v>0</v>
      </c>
      <c r="R211" s="31">
        <f>SUMIFS(METALFISA!$E:$E,METALFISA!$A:$A,'Faltantes Fevereiro- Metalfisa'!R$3,METALFISA!$B:$B,'Faltantes Fevereiro- Metalfisa'!$A211)</f>
        <v>0</v>
      </c>
      <c r="S211" s="31">
        <f>SUMIFS(METALFISA!$E:$E,METALFISA!$A:$A,'Faltantes Fevereiro- Metalfisa'!S$3,METALFISA!$B:$B,'Faltantes Fevereiro- Metalfisa'!$A211)</f>
        <v>0</v>
      </c>
      <c r="T211" s="31">
        <f>SUMIFS(METALFISA!$E:$E,METALFISA!$A:$A,'Faltantes Fevereiro- Metalfisa'!T$3,METALFISA!$B:$B,'Faltantes Fevereiro- Metalfisa'!$A211)</f>
        <v>0</v>
      </c>
      <c r="U211" s="31">
        <f>SUMIFS(METALFISA!$E:$E,METALFISA!$A:$A,'Faltantes Fevereiro- Metalfisa'!U$3,METALFISA!$B:$B,'Faltantes Fevereiro- Metalfisa'!$A211)</f>
        <v>0</v>
      </c>
      <c r="V211" s="31">
        <f>SUMIFS(METALFISA!$E:$E,METALFISA!$A:$A,'Faltantes Fevereiro- Metalfisa'!V$3,METALFISA!$B:$B,'Faltantes Fevereiro- Metalfisa'!$A211)</f>
        <v>0</v>
      </c>
      <c r="W211" s="31">
        <f>SUMIFS(METALFISA!$E:$E,METALFISA!$A:$A,'Faltantes Fevereiro- Metalfisa'!W$3,METALFISA!$B:$B,'Faltantes Fevereiro- Metalfisa'!$A211)</f>
        <v>0</v>
      </c>
      <c r="X211" s="31">
        <f>SUMIFS(METALFISA!$E:$E,METALFISA!$A:$A,'Faltantes Fevereiro- Metalfisa'!X$3,METALFISA!$B:$B,'Faltantes Fevereiro- Metalfisa'!$A211)</f>
        <v>0</v>
      </c>
      <c r="Y211" s="31">
        <f>SUMIFS(METALFISA!$E:$E,METALFISA!$A:$A,'Faltantes Fevereiro- Metalfisa'!Y$3,METALFISA!$B:$B,'Faltantes Fevereiro- Metalfisa'!$A211)</f>
        <v>0</v>
      </c>
      <c r="Z211" s="31">
        <f>SUMIFS(METALFISA!$E:$E,METALFISA!$A:$A,'Faltantes Fevereiro- Metalfisa'!Z$3,METALFISA!$B:$B,'Faltantes Fevereiro- Metalfisa'!$A211)</f>
        <v>0</v>
      </c>
      <c r="AA211" s="31">
        <f>SUMIFS(METALFISA!$E:$E,METALFISA!$A:$A,'Faltantes Fevereiro- Metalfisa'!AA$3,METALFISA!$B:$B,'Faltantes Fevereiro- Metalfisa'!$A211)</f>
        <v>0</v>
      </c>
      <c r="AB211" s="31">
        <f>SUMIFS(METALFISA!$E:$E,METALFISA!$A:$A,'Faltantes Fevereiro- Metalfisa'!AB$3,METALFISA!$B:$B,'Faltantes Fevereiro- Metalfisa'!$A211)</f>
        <v>0</v>
      </c>
      <c r="AC211" s="31">
        <f>SUMIFS(METALFISA!$E:$E,METALFISA!$A:$A,'Faltantes Fevereiro- Metalfisa'!AC$3,METALFISA!$B:$B,'Faltantes Fevereiro- Metalfisa'!$A211)</f>
        <v>0</v>
      </c>
      <c r="AD211" s="31">
        <f>SUMIFS(METALFISA!$E:$E,METALFISA!$A:$A,'Faltantes Fevereiro- Metalfisa'!AD$3,METALFISA!$B:$B,'Faltantes Fevereiro- Metalfisa'!$A211)</f>
        <v>0</v>
      </c>
      <c r="AE211" s="31">
        <f>SUMIFS(METALFISA!$E:$E,METALFISA!$A:$A,'Faltantes Fevereiro- Metalfisa'!AE$3,METALFISA!$B:$B,'Faltantes Fevereiro- Metalfisa'!$A211)</f>
        <v>1</v>
      </c>
      <c r="AF211" s="31">
        <f>SUMIFS(METALFISA!$E:$E,METALFISA!$A:$A,'Faltantes Fevereiro- Metalfisa'!AF$3,METALFISA!$B:$B,'Faltantes Fevereiro- Metalfisa'!$A211)</f>
        <v>0</v>
      </c>
      <c r="AG211" s="31">
        <f>SUMIFS(METALFISA!$E:$E,METALFISA!$A:$A,'Faltantes Fevereiro- Metalfisa'!AG$3,METALFISA!$B:$B,'Faltantes Fevereiro- Metalfisa'!$A211)</f>
        <v>0</v>
      </c>
      <c r="AH211" s="31">
        <f>SUMIFS(METALFISA!$E:$E,METALFISA!$A:$A,'Faltantes Fevereiro- Metalfisa'!AH$3,METALFISA!$B:$B,'Faltantes Fevereiro- Metalfisa'!$A211)</f>
        <v>0</v>
      </c>
      <c r="AI211" s="31">
        <f>SUMIFS(METALFISA!$E:$E,METALFISA!$A:$A,'Faltantes Fevereiro- Metalfisa'!AI$3,METALFISA!$B:$B,'Faltantes Fevereiro- Metalfisa'!$A211)</f>
        <v>0</v>
      </c>
      <c r="AJ211" s="31">
        <f>SUMIFS(METALFISA!$E:$E,METALFISA!$A:$A,'Faltantes Fevereiro- Metalfisa'!AJ$3,METALFISA!$B:$B,'Faltantes Fevereiro- Metalfisa'!$A211)</f>
        <v>0</v>
      </c>
      <c r="AK211" s="31">
        <f>SUMIFS(METALFISA!$E:$E,METALFISA!$A:$A,'Faltantes Fevereiro- Metalfisa'!AK$3,METALFISA!$B:$B,'Faltantes Fevereiro- Metalfisa'!$A211)</f>
        <v>0</v>
      </c>
      <c r="AL211" s="31">
        <f>SUMIFS(METALFISA!$E:$E,METALFISA!$A:$A,'Faltantes Fevereiro- Metalfisa'!AL$3,METALFISA!$B:$B,'Faltantes Fevereiro- Metalfisa'!$A211)</f>
        <v>0</v>
      </c>
      <c r="AM211" s="31">
        <f>SUMIFS(METALFISA!$E:$E,METALFISA!$A:$A,'Faltantes Fevereiro- Metalfisa'!AM$3,METALFISA!$B:$B,'Faltantes Fevereiro- Metalfisa'!$A211)</f>
        <v>0</v>
      </c>
      <c r="AN211" s="31">
        <f>SUMIFS(METALFISA!$E:$E,METALFISA!$A:$A,'Faltantes Fevereiro- Metalfisa'!AN$3,METALFISA!$B:$B,'Faltantes Fevereiro- Metalfisa'!$A211)</f>
        <v>0</v>
      </c>
      <c r="AO211" s="31">
        <f>SUMIFS(METALFISA!$E:$E,METALFISA!$A:$A,'Faltantes Fevereiro- Metalfisa'!AO$3,METALFISA!$B:$B,'Faltantes Fevereiro- Metalfisa'!$A211)</f>
        <v>0</v>
      </c>
      <c r="AP211" s="31">
        <f>SUMIFS(METALFISA!$E:$E,METALFISA!$A:$A,'Faltantes Fevereiro- Metalfisa'!AP$3,METALFISA!$B:$B,'Faltantes Fevereiro- Metalfisa'!$A211)</f>
        <v>0</v>
      </c>
      <c r="AQ211" s="31"/>
      <c r="AR211" s="31">
        <f>SUMIFS(METALFISA!$E:$E,METALFISA!$A:$A,'Faltantes Fevereiro- Metalfisa'!AR$3,METALFISA!$B:$B,'Faltantes Fevereiro- Metalfisa'!$A211)</f>
        <v>0</v>
      </c>
      <c r="AS211" s="35">
        <f>SUMIFS(METALFISA!$E:$E,METALFISA!$A:$A,'Faltantes Fevereiro- Metalfisa'!AS$3,METALFISA!$B:$B,'Faltantes Fevereiro- Metalfisa'!$A211)</f>
        <v>0</v>
      </c>
      <c r="AU211" s="18">
        <v>0</v>
      </c>
      <c r="AV211" s="18">
        <v>0</v>
      </c>
      <c r="AW211" s="18">
        <v>0</v>
      </c>
      <c r="AX211" s="18">
        <v>0</v>
      </c>
      <c r="AY211" s="41">
        <v>0</v>
      </c>
      <c r="AZ211" s="31">
        <v>0</v>
      </c>
      <c r="BA211" s="31">
        <v>0</v>
      </c>
      <c r="BB211" s="31">
        <v>0</v>
      </c>
      <c r="BC211" s="31">
        <v>0</v>
      </c>
      <c r="BD211" s="31">
        <v>0</v>
      </c>
      <c r="BE211" s="31">
        <v>0</v>
      </c>
      <c r="BF211" s="31">
        <v>0</v>
      </c>
      <c r="BG211" s="31">
        <v>0</v>
      </c>
      <c r="BH211" s="31">
        <v>0</v>
      </c>
      <c r="BI211" s="31">
        <v>0</v>
      </c>
      <c r="BJ211" s="31">
        <v>0</v>
      </c>
      <c r="BK211" s="31">
        <v>0</v>
      </c>
      <c r="BL211" s="31">
        <v>0</v>
      </c>
      <c r="BM211" s="31">
        <v>0</v>
      </c>
      <c r="BN211" s="31">
        <v>0</v>
      </c>
      <c r="BO211" s="31">
        <v>1</v>
      </c>
      <c r="BP211" s="31">
        <v>0</v>
      </c>
      <c r="BQ211" s="31">
        <v>0</v>
      </c>
      <c r="BR211" s="31">
        <v>0</v>
      </c>
      <c r="BS211" s="31">
        <v>0</v>
      </c>
      <c r="BT211" s="31">
        <v>0</v>
      </c>
      <c r="BU211" s="31">
        <v>0</v>
      </c>
      <c r="BV211" s="31">
        <v>0</v>
      </c>
      <c r="BW211" s="31">
        <v>0</v>
      </c>
      <c r="BX211" s="31">
        <v>0</v>
      </c>
      <c r="BY211" s="31">
        <v>0</v>
      </c>
      <c r="BZ211" s="31">
        <v>0</v>
      </c>
      <c r="CA211" s="31">
        <v>0</v>
      </c>
      <c r="CB211" s="31">
        <v>0</v>
      </c>
      <c r="CC211" s="31">
        <v>0</v>
      </c>
      <c r="CD211" s="31">
        <v>0</v>
      </c>
      <c r="CE211" s="31">
        <v>0</v>
      </c>
      <c r="CF211" s="31">
        <v>0</v>
      </c>
      <c r="CG211" s="31">
        <v>0</v>
      </c>
      <c r="CH211" s="31">
        <v>0</v>
      </c>
      <c r="CI211" s="31">
        <v>0</v>
      </c>
      <c r="CJ211" s="31">
        <v>0</v>
      </c>
      <c r="CK211" s="31">
        <v>0</v>
      </c>
      <c r="CL211" s="35">
        <v>0</v>
      </c>
    </row>
    <row r="212" spans="1:90" x14ac:dyDescent="0.15">
      <c r="A212" s="27" t="s">
        <v>1083</v>
      </c>
      <c r="B212" s="28" t="s">
        <v>1084</v>
      </c>
      <c r="C212" s="28">
        <v>0</v>
      </c>
      <c r="D212" s="28">
        <v>0</v>
      </c>
      <c r="E212" s="28">
        <v>0</v>
      </c>
      <c r="F212" s="28">
        <v>0</v>
      </c>
      <c r="G212" s="28">
        <v>6</v>
      </c>
      <c r="H212" s="28">
        <f>IFERROR(VLOOKUP(A212,[1]FALTANTES!$A:$AB,28,FALSE),"-")</f>
        <v>0</v>
      </c>
      <c r="I212" s="42">
        <f>IFERROR(VLOOKUP(A212,[1]FALTANTES!$A:$AC,29,FALSE),"-")</f>
        <v>2</v>
      </c>
      <c r="J212" s="29">
        <f>IFERROR(VLOOKUP(A212,[1]FALTANTES!$A:$AD,30,FALSE),"-")</f>
        <v>-4</v>
      </c>
      <c r="K212" s="30">
        <v>0</v>
      </c>
      <c r="L212" s="30">
        <f t="shared" si="3"/>
        <v>1</v>
      </c>
      <c r="M212" s="31">
        <f>SUMIFS(METALFISA!$E:$E,METALFISA!$A:$A,'Faltantes Fevereiro- Metalfisa'!M$3,METALFISA!$B:$B,'Faltantes Fevereiro- Metalfisa'!$A212)</f>
        <v>0</v>
      </c>
      <c r="N212" s="31">
        <f>SUMIFS(METALFISA!$E:$E,METALFISA!$A:$A,'Faltantes Fevereiro- Metalfisa'!N$3,METALFISA!$B:$B,'Faltantes Fevereiro- Metalfisa'!$A212)</f>
        <v>0</v>
      </c>
      <c r="O212" s="31">
        <f>SUMIFS(METALFISA!$E:$E,METALFISA!$A:$A,'Faltantes Fevereiro- Metalfisa'!O$3,METALFISA!$B:$B,'Faltantes Fevereiro- Metalfisa'!$A212)</f>
        <v>0</v>
      </c>
      <c r="P212" s="31">
        <f>SUMIFS(METALFISA!$E:$E,METALFISA!$A:$A,'Faltantes Fevereiro- Metalfisa'!P$3,METALFISA!$B:$B,'Faltantes Fevereiro- Metalfisa'!$A212)</f>
        <v>0</v>
      </c>
      <c r="Q212" s="31">
        <f>SUMIFS(METALFISA!$E:$E,METALFISA!$A:$A,'Faltantes Fevereiro- Metalfisa'!Q$3,METALFISA!$B:$B,'Faltantes Fevereiro- Metalfisa'!$A212)</f>
        <v>0</v>
      </c>
      <c r="R212" s="31">
        <f>SUMIFS(METALFISA!$E:$E,METALFISA!$A:$A,'Faltantes Fevereiro- Metalfisa'!R$3,METALFISA!$B:$B,'Faltantes Fevereiro- Metalfisa'!$A212)</f>
        <v>0</v>
      </c>
      <c r="S212" s="31">
        <f>SUMIFS(METALFISA!$E:$E,METALFISA!$A:$A,'Faltantes Fevereiro- Metalfisa'!S$3,METALFISA!$B:$B,'Faltantes Fevereiro- Metalfisa'!$A212)</f>
        <v>0</v>
      </c>
      <c r="T212" s="31">
        <f>SUMIFS(METALFISA!$E:$E,METALFISA!$A:$A,'Faltantes Fevereiro- Metalfisa'!T$3,METALFISA!$B:$B,'Faltantes Fevereiro- Metalfisa'!$A212)</f>
        <v>0</v>
      </c>
      <c r="U212" s="31">
        <f>SUMIFS(METALFISA!$E:$E,METALFISA!$A:$A,'Faltantes Fevereiro- Metalfisa'!U$3,METALFISA!$B:$B,'Faltantes Fevereiro- Metalfisa'!$A212)</f>
        <v>0</v>
      </c>
      <c r="V212" s="31">
        <f>SUMIFS(METALFISA!$E:$E,METALFISA!$A:$A,'Faltantes Fevereiro- Metalfisa'!V$3,METALFISA!$B:$B,'Faltantes Fevereiro- Metalfisa'!$A212)</f>
        <v>0</v>
      </c>
      <c r="W212" s="31">
        <f>SUMIFS(METALFISA!$E:$E,METALFISA!$A:$A,'Faltantes Fevereiro- Metalfisa'!W$3,METALFISA!$B:$B,'Faltantes Fevereiro- Metalfisa'!$A212)</f>
        <v>0</v>
      </c>
      <c r="X212" s="31">
        <f>SUMIFS(METALFISA!$E:$E,METALFISA!$A:$A,'Faltantes Fevereiro- Metalfisa'!X$3,METALFISA!$B:$B,'Faltantes Fevereiro- Metalfisa'!$A212)</f>
        <v>0</v>
      </c>
      <c r="Y212" s="31">
        <f>SUMIFS(METALFISA!$E:$E,METALFISA!$A:$A,'Faltantes Fevereiro- Metalfisa'!Y$3,METALFISA!$B:$B,'Faltantes Fevereiro- Metalfisa'!$A212)</f>
        <v>0</v>
      </c>
      <c r="Z212" s="31">
        <f>SUMIFS(METALFISA!$E:$E,METALFISA!$A:$A,'Faltantes Fevereiro- Metalfisa'!Z$3,METALFISA!$B:$B,'Faltantes Fevereiro- Metalfisa'!$A212)</f>
        <v>0</v>
      </c>
      <c r="AA212" s="31">
        <f>SUMIFS(METALFISA!$E:$E,METALFISA!$A:$A,'Faltantes Fevereiro- Metalfisa'!AA$3,METALFISA!$B:$B,'Faltantes Fevereiro- Metalfisa'!$A212)</f>
        <v>0</v>
      </c>
      <c r="AB212" s="31">
        <f>SUMIFS(METALFISA!$E:$E,METALFISA!$A:$A,'Faltantes Fevereiro- Metalfisa'!AB$3,METALFISA!$B:$B,'Faltantes Fevereiro- Metalfisa'!$A212)</f>
        <v>0</v>
      </c>
      <c r="AC212" s="31">
        <f>SUMIFS(METALFISA!$E:$E,METALFISA!$A:$A,'Faltantes Fevereiro- Metalfisa'!AC$3,METALFISA!$B:$B,'Faltantes Fevereiro- Metalfisa'!$A212)</f>
        <v>0</v>
      </c>
      <c r="AD212" s="31">
        <f>SUMIFS(METALFISA!$E:$E,METALFISA!$A:$A,'Faltantes Fevereiro- Metalfisa'!AD$3,METALFISA!$B:$B,'Faltantes Fevereiro- Metalfisa'!$A212)</f>
        <v>0</v>
      </c>
      <c r="AE212" s="31">
        <f>SUMIFS(METALFISA!$E:$E,METALFISA!$A:$A,'Faltantes Fevereiro- Metalfisa'!AE$3,METALFISA!$B:$B,'Faltantes Fevereiro- Metalfisa'!$A212)</f>
        <v>1</v>
      </c>
      <c r="AF212" s="31">
        <f>SUMIFS(METALFISA!$E:$E,METALFISA!$A:$A,'Faltantes Fevereiro- Metalfisa'!AF$3,METALFISA!$B:$B,'Faltantes Fevereiro- Metalfisa'!$A212)</f>
        <v>0</v>
      </c>
      <c r="AG212" s="31">
        <f>SUMIFS(METALFISA!$E:$E,METALFISA!$A:$A,'Faltantes Fevereiro- Metalfisa'!AG$3,METALFISA!$B:$B,'Faltantes Fevereiro- Metalfisa'!$A212)</f>
        <v>0</v>
      </c>
      <c r="AH212" s="31">
        <f>SUMIFS(METALFISA!$E:$E,METALFISA!$A:$A,'Faltantes Fevereiro- Metalfisa'!AH$3,METALFISA!$B:$B,'Faltantes Fevereiro- Metalfisa'!$A212)</f>
        <v>0</v>
      </c>
      <c r="AI212" s="31">
        <f>SUMIFS(METALFISA!$E:$E,METALFISA!$A:$A,'Faltantes Fevereiro- Metalfisa'!AI$3,METALFISA!$B:$B,'Faltantes Fevereiro- Metalfisa'!$A212)</f>
        <v>0</v>
      </c>
      <c r="AJ212" s="31">
        <f>SUMIFS(METALFISA!$E:$E,METALFISA!$A:$A,'Faltantes Fevereiro- Metalfisa'!AJ$3,METALFISA!$B:$B,'Faltantes Fevereiro- Metalfisa'!$A212)</f>
        <v>0</v>
      </c>
      <c r="AK212" s="31">
        <f>SUMIFS(METALFISA!$E:$E,METALFISA!$A:$A,'Faltantes Fevereiro- Metalfisa'!AK$3,METALFISA!$B:$B,'Faltantes Fevereiro- Metalfisa'!$A212)</f>
        <v>0</v>
      </c>
      <c r="AL212" s="31">
        <f>SUMIFS(METALFISA!$E:$E,METALFISA!$A:$A,'Faltantes Fevereiro- Metalfisa'!AL$3,METALFISA!$B:$B,'Faltantes Fevereiro- Metalfisa'!$A212)</f>
        <v>0</v>
      </c>
      <c r="AM212" s="31">
        <f>SUMIFS(METALFISA!$E:$E,METALFISA!$A:$A,'Faltantes Fevereiro- Metalfisa'!AM$3,METALFISA!$B:$B,'Faltantes Fevereiro- Metalfisa'!$A212)</f>
        <v>0</v>
      </c>
      <c r="AN212" s="31">
        <f>SUMIFS(METALFISA!$E:$E,METALFISA!$A:$A,'Faltantes Fevereiro- Metalfisa'!AN$3,METALFISA!$B:$B,'Faltantes Fevereiro- Metalfisa'!$A212)</f>
        <v>0</v>
      </c>
      <c r="AO212" s="31">
        <f>SUMIFS(METALFISA!$E:$E,METALFISA!$A:$A,'Faltantes Fevereiro- Metalfisa'!AO$3,METALFISA!$B:$B,'Faltantes Fevereiro- Metalfisa'!$A212)</f>
        <v>0</v>
      </c>
      <c r="AP212" s="31">
        <f>SUMIFS(METALFISA!$E:$E,METALFISA!$A:$A,'Faltantes Fevereiro- Metalfisa'!AP$3,METALFISA!$B:$B,'Faltantes Fevereiro- Metalfisa'!$A212)</f>
        <v>0</v>
      </c>
      <c r="AQ212" s="31"/>
      <c r="AR212" s="31">
        <f>SUMIFS(METALFISA!$E:$E,METALFISA!$A:$A,'Faltantes Fevereiro- Metalfisa'!AR$3,METALFISA!$B:$B,'Faltantes Fevereiro- Metalfisa'!$A212)</f>
        <v>0</v>
      </c>
      <c r="AS212" s="35">
        <f>SUMIFS(METALFISA!$E:$E,METALFISA!$A:$A,'Faltantes Fevereiro- Metalfisa'!AS$3,METALFISA!$B:$B,'Faltantes Fevereiro- Metalfisa'!$A212)</f>
        <v>0</v>
      </c>
      <c r="AU212" s="18">
        <v>0</v>
      </c>
      <c r="AV212" s="18">
        <v>0</v>
      </c>
      <c r="AW212" s="18">
        <v>0</v>
      </c>
      <c r="AX212" s="18">
        <v>0</v>
      </c>
      <c r="AY212" s="41">
        <v>0</v>
      </c>
      <c r="AZ212" s="31">
        <v>0</v>
      </c>
      <c r="BA212" s="31">
        <v>0</v>
      </c>
      <c r="BB212" s="31">
        <v>0</v>
      </c>
      <c r="BC212" s="31">
        <v>0</v>
      </c>
      <c r="BD212" s="31">
        <v>0</v>
      </c>
      <c r="BE212" s="31">
        <v>0</v>
      </c>
      <c r="BF212" s="31">
        <v>0</v>
      </c>
      <c r="BG212" s="31">
        <v>0</v>
      </c>
      <c r="BH212" s="31">
        <v>0</v>
      </c>
      <c r="BI212" s="31">
        <v>0</v>
      </c>
      <c r="BJ212" s="31">
        <v>0</v>
      </c>
      <c r="BK212" s="31">
        <v>0</v>
      </c>
      <c r="BL212" s="31">
        <v>0</v>
      </c>
      <c r="BM212" s="31">
        <v>0</v>
      </c>
      <c r="BN212" s="31">
        <v>0</v>
      </c>
      <c r="BO212" s="31">
        <v>1</v>
      </c>
      <c r="BP212" s="31">
        <v>0</v>
      </c>
      <c r="BQ212" s="31">
        <v>0</v>
      </c>
      <c r="BR212" s="31">
        <v>0</v>
      </c>
      <c r="BS212" s="31">
        <v>0</v>
      </c>
      <c r="BT212" s="31">
        <v>0</v>
      </c>
      <c r="BU212" s="31">
        <v>0</v>
      </c>
      <c r="BV212" s="31">
        <v>0</v>
      </c>
      <c r="BW212" s="31">
        <v>0</v>
      </c>
      <c r="BX212" s="31">
        <v>0</v>
      </c>
      <c r="BY212" s="31">
        <v>0</v>
      </c>
      <c r="BZ212" s="31">
        <v>0</v>
      </c>
      <c r="CA212" s="31">
        <v>0</v>
      </c>
      <c r="CB212" s="31">
        <v>0</v>
      </c>
      <c r="CC212" s="31">
        <v>0</v>
      </c>
      <c r="CD212" s="31">
        <v>0</v>
      </c>
      <c r="CE212" s="31">
        <v>0</v>
      </c>
      <c r="CF212" s="31">
        <v>0</v>
      </c>
      <c r="CG212" s="31">
        <v>0</v>
      </c>
      <c r="CH212" s="31">
        <v>0</v>
      </c>
      <c r="CI212" s="31">
        <v>0</v>
      </c>
      <c r="CJ212" s="31">
        <v>0</v>
      </c>
      <c r="CK212" s="31">
        <v>0</v>
      </c>
      <c r="CL212" s="35">
        <v>0</v>
      </c>
    </row>
    <row r="213" spans="1:90" x14ac:dyDescent="0.15">
      <c r="A213" s="27" t="s">
        <v>1085</v>
      </c>
      <c r="B213" s="28" t="s">
        <v>1086</v>
      </c>
      <c r="C213" s="28">
        <v>0</v>
      </c>
      <c r="D213" s="28">
        <v>0</v>
      </c>
      <c r="E213" s="28">
        <v>0</v>
      </c>
      <c r="F213" s="28">
        <v>0</v>
      </c>
      <c r="G213" s="28">
        <v>6</v>
      </c>
      <c r="H213" s="28">
        <f>IFERROR(VLOOKUP(A213,[1]FALTANTES!$A:$AB,28,FALSE),"-")</f>
        <v>0</v>
      </c>
      <c r="I213" s="42">
        <f>IFERROR(VLOOKUP(A213,[1]FALTANTES!$A:$AC,29,FALSE),"-")</f>
        <v>0</v>
      </c>
      <c r="J213" s="29">
        <f>IFERROR(VLOOKUP(A213,[1]FALTANTES!$A:$AD,30,FALSE),"-")</f>
        <v>-6</v>
      </c>
      <c r="K213" s="30">
        <v>0</v>
      </c>
      <c r="L213" s="30">
        <f t="shared" si="3"/>
        <v>2</v>
      </c>
      <c r="M213" s="31">
        <f>SUMIFS(METALFISA!$E:$E,METALFISA!$A:$A,'Faltantes Fevereiro- Metalfisa'!M$3,METALFISA!$B:$B,'Faltantes Fevereiro- Metalfisa'!$A213)</f>
        <v>0</v>
      </c>
      <c r="N213" s="31">
        <f>SUMIFS(METALFISA!$E:$E,METALFISA!$A:$A,'Faltantes Fevereiro- Metalfisa'!N$3,METALFISA!$B:$B,'Faltantes Fevereiro- Metalfisa'!$A213)</f>
        <v>0</v>
      </c>
      <c r="O213" s="31">
        <f>SUMIFS(METALFISA!$E:$E,METALFISA!$A:$A,'Faltantes Fevereiro- Metalfisa'!O$3,METALFISA!$B:$B,'Faltantes Fevereiro- Metalfisa'!$A213)</f>
        <v>0</v>
      </c>
      <c r="P213" s="31">
        <f>SUMIFS(METALFISA!$E:$E,METALFISA!$A:$A,'Faltantes Fevereiro- Metalfisa'!P$3,METALFISA!$B:$B,'Faltantes Fevereiro- Metalfisa'!$A213)</f>
        <v>0</v>
      </c>
      <c r="Q213" s="31">
        <f>SUMIFS(METALFISA!$E:$E,METALFISA!$A:$A,'Faltantes Fevereiro- Metalfisa'!Q$3,METALFISA!$B:$B,'Faltantes Fevereiro- Metalfisa'!$A213)</f>
        <v>0</v>
      </c>
      <c r="R213" s="31">
        <f>SUMIFS(METALFISA!$E:$E,METALFISA!$A:$A,'Faltantes Fevereiro- Metalfisa'!R$3,METALFISA!$B:$B,'Faltantes Fevereiro- Metalfisa'!$A213)</f>
        <v>0</v>
      </c>
      <c r="S213" s="31">
        <f>SUMIFS(METALFISA!$E:$E,METALFISA!$A:$A,'Faltantes Fevereiro- Metalfisa'!S$3,METALFISA!$B:$B,'Faltantes Fevereiro- Metalfisa'!$A213)</f>
        <v>0</v>
      </c>
      <c r="T213" s="31">
        <f>SUMIFS(METALFISA!$E:$E,METALFISA!$A:$A,'Faltantes Fevereiro- Metalfisa'!T$3,METALFISA!$B:$B,'Faltantes Fevereiro- Metalfisa'!$A213)</f>
        <v>0</v>
      </c>
      <c r="U213" s="31">
        <f>SUMIFS(METALFISA!$E:$E,METALFISA!$A:$A,'Faltantes Fevereiro- Metalfisa'!U$3,METALFISA!$B:$B,'Faltantes Fevereiro- Metalfisa'!$A213)</f>
        <v>0</v>
      </c>
      <c r="V213" s="31">
        <f>SUMIFS(METALFISA!$E:$E,METALFISA!$A:$A,'Faltantes Fevereiro- Metalfisa'!V$3,METALFISA!$B:$B,'Faltantes Fevereiro- Metalfisa'!$A213)</f>
        <v>0</v>
      </c>
      <c r="W213" s="31">
        <f>SUMIFS(METALFISA!$E:$E,METALFISA!$A:$A,'Faltantes Fevereiro- Metalfisa'!W$3,METALFISA!$B:$B,'Faltantes Fevereiro- Metalfisa'!$A213)</f>
        <v>0</v>
      </c>
      <c r="X213" s="31">
        <f>SUMIFS(METALFISA!$E:$E,METALFISA!$A:$A,'Faltantes Fevereiro- Metalfisa'!X$3,METALFISA!$B:$B,'Faltantes Fevereiro- Metalfisa'!$A213)</f>
        <v>0</v>
      </c>
      <c r="Y213" s="31">
        <f>SUMIFS(METALFISA!$E:$E,METALFISA!$A:$A,'Faltantes Fevereiro- Metalfisa'!Y$3,METALFISA!$B:$B,'Faltantes Fevereiro- Metalfisa'!$A213)</f>
        <v>0</v>
      </c>
      <c r="Z213" s="31">
        <f>SUMIFS(METALFISA!$E:$E,METALFISA!$A:$A,'Faltantes Fevereiro- Metalfisa'!Z$3,METALFISA!$B:$B,'Faltantes Fevereiro- Metalfisa'!$A213)</f>
        <v>0</v>
      </c>
      <c r="AA213" s="31">
        <f>SUMIFS(METALFISA!$E:$E,METALFISA!$A:$A,'Faltantes Fevereiro- Metalfisa'!AA$3,METALFISA!$B:$B,'Faltantes Fevereiro- Metalfisa'!$A213)</f>
        <v>0</v>
      </c>
      <c r="AB213" s="31">
        <f>SUMIFS(METALFISA!$E:$E,METALFISA!$A:$A,'Faltantes Fevereiro- Metalfisa'!AB$3,METALFISA!$B:$B,'Faltantes Fevereiro- Metalfisa'!$A213)</f>
        <v>0</v>
      </c>
      <c r="AC213" s="31">
        <f>SUMIFS(METALFISA!$E:$E,METALFISA!$A:$A,'Faltantes Fevereiro- Metalfisa'!AC$3,METALFISA!$B:$B,'Faltantes Fevereiro- Metalfisa'!$A213)</f>
        <v>0</v>
      </c>
      <c r="AD213" s="31">
        <f>SUMIFS(METALFISA!$E:$E,METALFISA!$A:$A,'Faltantes Fevereiro- Metalfisa'!AD$3,METALFISA!$B:$B,'Faltantes Fevereiro- Metalfisa'!$A213)</f>
        <v>0</v>
      </c>
      <c r="AE213" s="31">
        <f>SUMIFS(METALFISA!$E:$E,METALFISA!$A:$A,'Faltantes Fevereiro- Metalfisa'!AE$3,METALFISA!$B:$B,'Faltantes Fevereiro- Metalfisa'!$A213)</f>
        <v>2</v>
      </c>
      <c r="AF213" s="31">
        <f>SUMIFS(METALFISA!$E:$E,METALFISA!$A:$A,'Faltantes Fevereiro- Metalfisa'!AF$3,METALFISA!$B:$B,'Faltantes Fevereiro- Metalfisa'!$A213)</f>
        <v>0</v>
      </c>
      <c r="AG213" s="31">
        <f>SUMIFS(METALFISA!$E:$E,METALFISA!$A:$A,'Faltantes Fevereiro- Metalfisa'!AG$3,METALFISA!$B:$B,'Faltantes Fevereiro- Metalfisa'!$A213)</f>
        <v>0</v>
      </c>
      <c r="AH213" s="31">
        <f>SUMIFS(METALFISA!$E:$E,METALFISA!$A:$A,'Faltantes Fevereiro- Metalfisa'!AH$3,METALFISA!$B:$B,'Faltantes Fevereiro- Metalfisa'!$A213)</f>
        <v>0</v>
      </c>
      <c r="AI213" s="31">
        <f>SUMIFS(METALFISA!$E:$E,METALFISA!$A:$A,'Faltantes Fevereiro- Metalfisa'!AI$3,METALFISA!$B:$B,'Faltantes Fevereiro- Metalfisa'!$A213)</f>
        <v>0</v>
      </c>
      <c r="AJ213" s="31">
        <f>SUMIFS(METALFISA!$E:$E,METALFISA!$A:$A,'Faltantes Fevereiro- Metalfisa'!AJ$3,METALFISA!$B:$B,'Faltantes Fevereiro- Metalfisa'!$A213)</f>
        <v>0</v>
      </c>
      <c r="AK213" s="31">
        <f>SUMIFS(METALFISA!$E:$E,METALFISA!$A:$A,'Faltantes Fevereiro- Metalfisa'!AK$3,METALFISA!$B:$B,'Faltantes Fevereiro- Metalfisa'!$A213)</f>
        <v>0</v>
      </c>
      <c r="AL213" s="31">
        <f>SUMIFS(METALFISA!$E:$E,METALFISA!$A:$A,'Faltantes Fevereiro- Metalfisa'!AL$3,METALFISA!$B:$B,'Faltantes Fevereiro- Metalfisa'!$A213)</f>
        <v>0</v>
      </c>
      <c r="AM213" s="31">
        <f>SUMIFS(METALFISA!$E:$E,METALFISA!$A:$A,'Faltantes Fevereiro- Metalfisa'!AM$3,METALFISA!$B:$B,'Faltantes Fevereiro- Metalfisa'!$A213)</f>
        <v>0</v>
      </c>
      <c r="AN213" s="31">
        <f>SUMIFS(METALFISA!$E:$E,METALFISA!$A:$A,'Faltantes Fevereiro- Metalfisa'!AN$3,METALFISA!$B:$B,'Faltantes Fevereiro- Metalfisa'!$A213)</f>
        <v>0</v>
      </c>
      <c r="AO213" s="31">
        <f>SUMIFS(METALFISA!$E:$E,METALFISA!$A:$A,'Faltantes Fevereiro- Metalfisa'!AO$3,METALFISA!$B:$B,'Faltantes Fevereiro- Metalfisa'!$A213)</f>
        <v>0</v>
      </c>
      <c r="AP213" s="31">
        <f>SUMIFS(METALFISA!$E:$E,METALFISA!$A:$A,'Faltantes Fevereiro- Metalfisa'!AP$3,METALFISA!$B:$B,'Faltantes Fevereiro- Metalfisa'!$A213)</f>
        <v>0</v>
      </c>
      <c r="AQ213" s="31"/>
      <c r="AR213" s="31">
        <f>SUMIFS(METALFISA!$E:$E,METALFISA!$A:$A,'Faltantes Fevereiro- Metalfisa'!AR$3,METALFISA!$B:$B,'Faltantes Fevereiro- Metalfisa'!$A213)</f>
        <v>0</v>
      </c>
      <c r="AS213" s="35">
        <f>SUMIFS(METALFISA!$E:$E,METALFISA!$A:$A,'Faltantes Fevereiro- Metalfisa'!AS$3,METALFISA!$B:$B,'Faltantes Fevereiro- Metalfisa'!$A213)</f>
        <v>0</v>
      </c>
      <c r="AU213" s="18">
        <v>0</v>
      </c>
      <c r="AV213" s="18">
        <v>0</v>
      </c>
      <c r="AW213" s="18">
        <v>0</v>
      </c>
      <c r="AX213" s="18">
        <v>0</v>
      </c>
      <c r="AY213" s="41">
        <v>0</v>
      </c>
      <c r="AZ213" s="31">
        <v>0</v>
      </c>
      <c r="BA213" s="31">
        <v>0</v>
      </c>
      <c r="BB213" s="31">
        <v>0</v>
      </c>
      <c r="BC213" s="31">
        <v>0</v>
      </c>
      <c r="BD213" s="31">
        <v>0</v>
      </c>
      <c r="BE213" s="31">
        <v>0</v>
      </c>
      <c r="BF213" s="31">
        <v>0</v>
      </c>
      <c r="BG213" s="31">
        <v>0</v>
      </c>
      <c r="BH213" s="31">
        <v>0</v>
      </c>
      <c r="BI213" s="31">
        <v>0</v>
      </c>
      <c r="BJ213" s="31">
        <v>0</v>
      </c>
      <c r="BK213" s="31">
        <v>0</v>
      </c>
      <c r="BL213" s="31">
        <v>0</v>
      </c>
      <c r="BM213" s="31">
        <v>0</v>
      </c>
      <c r="BN213" s="31">
        <v>0</v>
      </c>
      <c r="BO213" s="31">
        <v>1</v>
      </c>
      <c r="BP213" s="31">
        <v>0</v>
      </c>
      <c r="BQ213" s="31">
        <v>0</v>
      </c>
      <c r="BR213" s="31">
        <v>0</v>
      </c>
      <c r="BS213" s="31">
        <v>0</v>
      </c>
      <c r="BT213" s="31">
        <v>0</v>
      </c>
      <c r="BU213" s="31">
        <v>0</v>
      </c>
      <c r="BV213" s="31">
        <v>0</v>
      </c>
      <c r="BW213" s="31">
        <v>0</v>
      </c>
      <c r="BX213" s="31">
        <v>0</v>
      </c>
      <c r="BY213" s="31">
        <v>0</v>
      </c>
      <c r="BZ213" s="31">
        <v>0</v>
      </c>
      <c r="CA213" s="31">
        <v>0</v>
      </c>
      <c r="CB213" s="31">
        <v>0</v>
      </c>
      <c r="CC213" s="31">
        <v>0</v>
      </c>
      <c r="CD213" s="31">
        <v>0</v>
      </c>
      <c r="CE213" s="31">
        <v>0</v>
      </c>
      <c r="CF213" s="31">
        <v>0</v>
      </c>
      <c r="CG213" s="31">
        <v>0</v>
      </c>
      <c r="CH213" s="31">
        <v>0</v>
      </c>
      <c r="CI213" s="31">
        <v>0</v>
      </c>
      <c r="CJ213" s="31">
        <v>0</v>
      </c>
      <c r="CK213" s="31">
        <v>0</v>
      </c>
      <c r="CL213" s="35">
        <v>0</v>
      </c>
    </row>
    <row r="214" spans="1:90" x14ac:dyDescent="0.15">
      <c r="A214" s="27" t="s">
        <v>1089</v>
      </c>
      <c r="B214" s="28" t="s">
        <v>1090</v>
      </c>
      <c r="C214" s="28">
        <v>0</v>
      </c>
      <c r="D214" s="28">
        <v>0</v>
      </c>
      <c r="E214" s="28">
        <v>0</v>
      </c>
      <c r="F214" s="28">
        <v>0</v>
      </c>
      <c r="G214" s="28">
        <v>12</v>
      </c>
      <c r="H214" s="28">
        <f>IFERROR(VLOOKUP(A214,[1]FALTANTES!$A:$AB,28,FALSE),"-")</f>
        <v>0</v>
      </c>
      <c r="I214" s="42">
        <f>IFERROR(VLOOKUP(A214,[1]FALTANTES!$A:$AC,29,FALSE),"-")</f>
        <v>4</v>
      </c>
      <c r="J214" s="29">
        <f>IFERROR(VLOOKUP(A214,[1]FALTANTES!$A:$AD,30,FALSE),"-")</f>
        <v>-8</v>
      </c>
      <c r="K214" s="30"/>
      <c r="L214" s="30">
        <f t="shared" ref="L214:L254" si="4">SUM(M214:AS214)</f>
        <v>4</v>
      </c>
      <c r="M214" s="31">
        <f>SUMIFS(METALFISA!$E:$E,METALFISA!$A:$A,'Faltantes Fevereiro- Metalfisa'!M$3,METALFISA!$B:$B,'Faltantes Fevereiro- Metalfisa'!$A214)</f>
        <v>0</v>
      </c>
      <c r="N214" s="31">
        <f>SUMIFS(METALFISA!$E:$E,METALFISA!$A:$A,'Faltantes Fevereiro- Metalfisa'!N$3,METALFISA!$B:$B,'Faltantes Fevereiro- Metalfisa'!$A214)</f>
        <v>0</v>
      </c>
      <c r="O214" s="31">
        <f>SUMIFS(METALFISA!$E:$E,METALFISA!$A:$A,'Faltantes Fevereiro- Metalfisa'!O$3,METALFISA!$B:$B,'Faltantes Fevereiro- Metalfisa'!$A214)</f>
        <v>0</v>
      </c>
      <c r="P214" s="31">
        <f>SUMIFS(METALFISA!$E:$E,METALFISA!$A:$A,'Faltantes Fevereiro- Metalfisa'!P$3,METALFISA!$B:$B,'Faltantes Fevereiro- Metalfisa'!$A214)</f>
        <v>0</v>
      </c>
      <c r="Q214" s="31">
        <f>SUMIFS(METALFISA!$E:$E,METALFISA!$A:$A,'Faltantes Fevereiro- Metalfisa'!Q$3,METALFISA!$B:$B,'Faltantes Fevereiro- Metalfisa'!$A214)</f>
        <v>0</v>
      </c>
      <c r="R214" s="31">
        <f>SUMIFS(METALFISA!$E:$E,METALFISA!$A:$A,'Faltantes Fevereiro- Metalfisa'!R$3,METALFISA!$B:$B,'Faltantes Fevereiro- Metalfisa'!$A214)</f>
        <v>0</v>
      </c>
      <c r="S214" s="31">
        <f>SUMIFS(METALFISA!$E:$E,METALFISA!$A:$A,'Faltantes Fevereiro- Metalfisa'!S$3,METALFISA!$B:$B,'Faltantes Fevereiro- Metalfisa'!$A214)</f>
        <v>0</v>
      </c>
      <c r="T214" s="31">
        <f>SUMIFS(METALFISA!$E:$E,METALFISA!$A:$A,'Faltantes Fevereiro- Metalfisa'!T$3,METALFISA!$B:$B,'Faltantes Fevereiro- Metalfisa'!$A214)</f>
        <v>0</v>
      </c>
      <c r="U214" s="31">
        <f>SUMIFS(METALFISA!$E:$E,METALFISA!$A:$A,'Faltantes Fevereiro- Metalfisa'!U$3,METALFISA!$B:$B,'Faltantes Fevereiro- Metalfisa'!$A214)</f>
        <v>0</v>
      </c>
      <c r="V214" s="31">
        <f>SUMIFS(METALFISA!$E:$E,METALFISA!$A:$A,'Faltantes Fevereiro- Metalfisa'!V$3,METALFISA!$B:$B,'Faltantes Fevereiro- Metalfisa'!$A214)</f>
        <v>0</v>
      </c>
      <c r="W214" s="31">
        <f>SUMIFS(METALFISA!$E:$E,METALFISA!$A:$A,'Faltantes Fevereiro- Metalfisa'!W$3,METALFISA!$B:$B,'Faltantes Fevereiro- Metalfisa'!$A214)</f>
        <v>0</v>
      </c>
      <c r="X214" s="31">
        <f>SUMIFS(METALFISA!$E:$E,METALFISA!$A:$A,'Faltantes Fevereiro- Metalfisa'!X$3,METALFISA!$B:$B,'Faltantes Fevereiro- Metalfisa'!$A214)</f>
        <v>0</v>
      </c>
      <c r="Y214" s="31">
        <f>SUMIFS(METALFISA!$E:$E,METALFISA!$A:$A,'Faltantes Fevereiro- Metalfisa'!Y$3,METALFISA!$B:$B,'Faltantes Fevereiro- Metalfisa'!$A214)</f>
        <v>0</v>
      </c>
      <c r="Z214" s="31">
        <f>SUMIFS(METALFISA!$E:$E,METALFISA!$A:$A,'Faltantes Fevereiro- Metalfisa'!Z$3,METALFISA!$B:$B,'Faltantes Fevereiro- Metalfisa'!$A214)</f>
        <v>0</v>
      </c>
      <c r="AA214" s="31">
        <f>SUMIFS(METALFISA!$E:$E,METALFISA!$A:$A,'Faltantes Fevereiro- Metalfisa'!AA$3,METALFISA!$B:$B,'Faltantes Fevereiro- Metalfisa'!$A214)</f>
        <v>0</v>
      </c>
      <c r="AB214" s="31">
        <f>SUMIFS(METALFISA!$E:$E,METALFISA!$A:$A,'Faltantes Fevereiro- Metalfisa'!AB$3,METALFISA!$B:$B,'Faltantes Fevereiro- Metalfisa'!$A214)</f>
        <v>0</v>
      </c>
      <c r="AC214" s="31">
        <f>SUMIFS(METALFISA!$E:$E,METALFISA!$A:$A,'Faltantes Fevereiro- Metalfisa'!AC$3,METALFISA!$B:$B,'Faltantes Fevereiro- Metalfisa'!$A214)</f>
        <v>0</v>
      </c>
      <c r="AD214" s="31">
        <f>SUMIFS(METALFISA!$E:$E,METALFISA!$A:$A,'Faltantes Fevereiro- Metalfisa'!AD$3,METALFISA!$B:$B,'Faltantes Fevereiro- Metalfisa'!$A214)</f>
        <v>0</v>
      </c>
      <c r="AE214" s="31">
        <f>SUMIFS(METALFISA!$E:$E,METALFISA!$A:$A,'Faltantes Fevereiro- Metalfisa'!AE$3,METALFISA!$B:$B,'Faltantes Fevereiro- Metalfisa'!$A214)</f>
        <v>4</v>
      </c>
      <c r="AF214" s="31">
        <f>SUMIFS(METALFISA!$E:$E,METALFISA!$A:$A,'Faltantes Fevereiro- Metalfisa'!AF$3,METALFISA!$B:$B,'Faltantes Fevereiro- Metalfisa'!$A214)</f>
        <v>0</v>
      </c>
      <c r="AG214" s="31">
        <f>SUMIFS(METALFISA!$E:$E,METALFISA!$A:$A,'Faltantes Fevereiro- Metalfisa'!AG$3,METALFISA!$B:$B,'Faltantes Fevereiro- Metalfisa'!$A214)</f>
        <v>0</v>
      </c>
      <c r="AH214" s="31">
        <f>SUMIFS(METALFISA!$E:$E,METALFISA!$A:$A,'Faltantes Fevereiro- Metalfisa'!AH$3,METALFISA!$B:$B,'Faltantes Fevereiro- Metalfisa'!$A214)</f>
        <v>0</v>
      </c>
      <c r="AI214" s="31">
        <f>SUMIFS(METALFISA!$E:$E,METALFISA!$A:$A,'Faltantes Fevereiro- Metalfisa'!AI$3,METALFISA!$B:$B,'Faltantes Fevereiro- Metalfisa'!$A214)</f>
        <v>0</v>
      </c>
      <c r="AJ214" s="31">
        <f>SUMIFS(METALFISA!$E:$E,METALFISA!$A:$A,'Faltantes Fevereiro- Metalfisa'!AJ$3,METALFISA!$B:$B,'Faltantes Fevereiro- Metalfisa'!$A214)</f>
        <v>0</v>
      </c>
      <c r="AK214" s="31">
        <f>SUMIFS(METALFISA!$E:$E,METALFISA!$A:$A,'Faltantes Fevereiro- Metalfisa'!AK$3,METALFISA!$B:$B,'Faltantes Fevereiro- Metalfisa'!$A214)</f>
        <v>0</v>
      </c>
      <c r="AL214" s="31">
        <f>SUMIFS(METALFISA!$E:$E,METALFISA!$A:$A,'Faltantes Fevereiro- Metalfisa'!AL$3,METALFISA!$B:$B,'Faltantes Fevereiro- Metalfisa'!$A214)</f>
        <v>0</v>
      </c>
      <c r="AM214" s="31">
        <f>SUMIFS(METALFISA!$E:$E,METALFISA!$A:$A,'Faltantes Fevereiro- Metalfisa'!AM$3,METALFISA!$B:$B,'Faltantes Fevereiro- Metalfisa'!$A214)</f>
        <v>0</v>
      </c>
      <c r="AN214" s="31">
        <f>SUMIFS(METALFISA!$E:$E,METALFISA!$A:$A,'Faltantes Fevereiro- Metalfisa'!AN$3,METALFISA!$B:$B,'Faltantes Fevereiro- Metalfisa'!$A214)</f>
        <v>0</v>
      </c>
      <c r="AO214" s="31">
        <f>SUMIFS(METALFISA!$E:$E,METALFISA!$A:$A,'Faltantes Fevereiro- Metalfisa'!AO$3,METALFISA!$B:$B,'Faltantes Fevereiro- Metalfisa'!$A214)</f>
        <v>0</v>
      </c>
      <c r="AP214" s="31">
        <f>SUMIFS(METALFISA!$E:$E,METALFISA!$A:$A,'Faltantes Fevereiro- Metalfisa'!AP$3,METALFISA!$B:$B,'Faltantes Fevereiro- Metalfisa'!$A214)</f>
        <v>0</v>
      </c>
      <c r="AQ214" s="31"/>
      <c r="AR214" s="31">
        <f>SUMIFS(METALFISA!$E:$E,METALFISA!$A:$A,'Faltantes Fevereiro- Metalfisa'!AR$3,METALFISA!$B:$B,'Faltantes Fevereiro- Metalfisa'!$A214)</f>
        <v>0</v>
      </c>
      <c r="AS214" s="35">
        <f>SUMIFS(METALFISA!$E:$E,METALFISA!$A:$A,'Faltantes Fevereiro- Metalfisa'!AS$3,METALFISA!$B:$B,'Faltantes Fevereiro- Metalfisa'!$A214)</f>
        <v>0</v>
      </c>
      <c r="AU214" s="18">
        <v>0</v>
      </c>
      <c r="AV214" s="18">
        <v>0</v>
      </c>
      <c r="AW214" s="18">
        <v>0</v>
      </c>
      <c r="AX214" s="18">
        <v>0</v>
      </c>
      <c r="AY214" s="41">
        <v>0</v>
      </c>
      <c r="AZ214" s="31">
        <v>0</v>
      </c>
      <c r="BA214" s="31">
        <v>0</v>
      </c>
      <c r="BB214" s="31">
        <v>0</v>
      </c>
      <c r="BC214" s="31">
        <v>0</v>
      </c>
      <c r="BD214" s="31">
        <v>0</v>
      </c>
      <c r="BE214" s="31">
        <v>0</v>
      </c>
      <c r="BF214" s="31">
        <v>0</v>
      </c>
      <c r="BG214" s="31">
        <v>0</v>
      </c>
      <c r="BH214" s="31">
        <v>0</v>
      </c>
      <c r="BI214" s="31">
        <v>0</v>
      </c>
      <c r="BJ214" s="31">
        <v>0</v>
      </c>
      <c r="BK214" s="31">
        <v>0</v>
      </c>
      <c r="BL214" s="31">
        <v>0</v>
      </c>
      <c r="BM214" s="31">
        <v>0</v>
      </c>
      <c r="BN214" s="31">
        <v>0</v>
      </c>
      <c r="BO214" s="31">
        <v>2</v>
      </c>
      <c r="BP214" s="31">
        <v>0</v>
      </c>
      <c r="BQ214" s="31">
        <v>0</v>
      </c>
      <c r="BR214" s="31">
        <v>0</v>
      </c>
      <c r="BS214" s="31">
        <v>0</v>
      </c>
      <c r="BT214" s="31">
        <v>0</v>
      </c>
      <c r="BU214" s="31">
        <v>0</v>
      </c>
      <c r="BV214" s="31">
        <v>0</v>
      </c>
      <c r="BW214" s="31">
        <v>0</v>
      </c>
      <c r="BX214" s="31">
        <v>0</v>
      </c>
      <c r="BY214" s="31">
        <v>0</v>
      </c>
      <c r="BZ214" s="31">
        <v>0</v>
      </c>
      <c r="CA214" s="31">
        <v>0</v>
      </c>
      <c r="CB214" s="31">
        <v>0</v>
      </c>
      <c r="CC214" s="31">
        <v>0</v>
      </c>
      <c r="CD214" s="31">
        <v>0</v>
      </c>
      <c r="CE214" s="31">
        <v>0</v>
      </c>
      <c r="CF214" s="31">
        <v>0</v>
      </c>
      <c r="CG214" s="31">
        <v>0</v>
      </c>
      <c r="CH214" s="31">
        <v>0</v>
      </c>
      <c r="CI214" s="31">
        <v>0</v>
      </c>
      <c r="CJ214" s="31">
        <v>0</v>
      </c>
      <c r="CK214" s="31">
        <v>0</v>
      </c>
      <c r="CL214" s="35">
        <v>0</v>
      </c>
    </row>
    <row r="215" spans="1:90" x14ac:dyDescent="0.15">
      <c r="A215" s="27" t="s">
        <v>1091</v>
      </c>
      <c r="B215" s="28" t="s">
        <v>1092</v>
      </c>
      <c r="C215" s="28">
        <v>0</v>
      </c>
      <c r="D215" s="28">
        <v>0</v>
      </c>
      <c r="E215" s="28">
        <v>0</v>
      </c>
      <c r="F215" s="28">
        <v>0</v>
      </c>
      <c r="G215" s="28">
        <v>12</v>
      </c>
      <c r="H215" s="28">
        <f>IFERROR(VLOOKUP(A215,[1]FALTANTES!$A:$AB,28,FALSE),"-")</f>
        <v>0</v>
      </c>
      <c r="I215" s="42">
        <f>IFERROR(VLOOKUP(A215,[1]FALTANTES!$A:$AC,29,FALSE),"-")</f>
        <v>4</v>
      </c>
      <c r="J215" s="29">
        <f>IFERROR(VLOOKUP(A215,[1]FALTANTES!$A:$AD,30,FALSE),"-")</f>
        <v>-8</v>
      </c>
      <c r="K215" s="30"/>
      <c r="L215" s="30">
        <f t="shared" si="4"/>
        <v>4</v>
      </c>
      <c r="M215" s="31">
        <f>SUMIFS(METALFISA!$E:$E,METALFISA!$A:$A,'Faltantes Fevereiro- Metalfisa'!M$3,METALFISA!$B:$B,'Faltantes Fevereiro- Metalfisa'!$A215)</f>
        <v>0</v>
      </c>
      <c r="N215" s="31">
        <f>SUMIFS(METALFISA!$E:$E,METALFISA!$A:$A,'Faltantes Fevereiro- Metalfisa'!N$3,METALFISA!$B:$B,'Faltantes Fevereiro- Metalfisa'!$A215)</f>
        <v>0</v>
      </c>
      <c r="O215" s="31">
        <f>SUMIFS(METALFISA!$E:$E,METALFISA!$A:$A,'Faltantes Fevereiro- Metalfisa'!O$3,METALFISA!$B:$B,'Faltantes Fevereiro- Metalfisa'!$A215)</f>
        <v>0</v>
      </c>
      <c r="P215" s="31">
        <f>SUMIFS(METALFISA!$E:$E,METALFISA!$A:$A,'Faltantes Fevereiro- Metalfisa'!P$3,METALFISA!$B:$B,'Faltantes Fevereiro- Metalfisa'!$A215)</f>
        <v>0</v>
      </c>
      <c r="Q215" s="31">
        <f>SUMIFS(METALFISA!$E:$E,METALFISA!$A:$A,'Faltantes Fevereiro- Metalfisa'!Q$3,METALFISA!$B:$B,'Faltantes Fevereiro- Metalfisa'!$A215)</f>
        <v>0</v>
      </c>
      <c r="R215" s="31">
        <f>SUMIFS(METALFISA!$E:$E,METALFISA!$A:$A,'Faltantes Fevereiro- Metalfisa'!R$3,METALFISA!$B:$B,'Faltantes Fevereiro- Metalfisa'!$A215)</f>
        <v>0</v>
      </c>
      <c r="S215" s="31">
        <f>SUMIFS(METALFISA!$E:$E,METALFISA!$A:$A,'Faltantes Fevereiro- Metalfisa'!S$3,METALFISA!$B:$B,'Faltantes Fevereiro- Metalfisa'!$A215)</f>
        <v>0</v>
      </c>
      <c r="T215" s="31">
        <f>SUMIFS(METALFISA!$E:$E,METALFISA!$A:$A,'Faltantes Fevereiro- Metalfisa'!T$3,METALFISA!$B:$B,'Faltantes Fevereiro- Metalfisa'!$A215)</f>
        <v>0</v>
      </c>
      <c r="U215" s="31">
        <f>SUMIFS(METALFISA!$E:$E,METALFISA!$A:$A,'Faltantes Fevereiro- Metalfisa'!U$3,METALFISA!$B:$B,'Faltantes Fevereiro- Metalfisa'!$A215)</f>
        <v>0</v>
      </c>
      <c r="V215" s="31">
        <f>SUMIFS(METALFISA!$E:$E,METALFISA!$A:$A,'Faltantes Fevereiro- Metalfisa'!V$3,METALFISA!$B:$B,'Faltantes Fevereiro- Metalfisa'!$A215)</f>
        <v>0</v>
      </c>
      <c r="W215" s="31">
        <f>SUMIFS(METALFISA!$E:$E,METALFISA!$A:$A,'Faltantes Fevereiro- Metalfisa'!W$3,METALFISA!$B:$B,'Faltantes Fevereiro- Metalfisa'!$A215)</f>
        <v>0</v>
      </c>
      <c r="X215" s="31">
        <f>SUMIFS(METALFISA!$E:$E,METALFISA!$A:$A,'Faltantes Fevereiro- Metalfisa'!X$3,METALFISA!$B:$B,'Faltantes Fevereiro- Metalfisa'!$A215)</f>
        <v>0</v>
      </c>
      <c r="Y215" s="31">
        <f>SUMIFS(METALFISA!$E:$E,METALFISA!$A:$A,'Faltantes Fevereiro- Metalfisa'!Y$3,METALFISA!$B:$B,'Faltantes Fevereiro- Metalfisa'!$A215)</f>
        <v>0</v>
      </c>
      <c r="Z215" s="31">
        <f>SUMIFS(METALFISA!$E:$E,METALFISA!$A:$A,'Faltantes Fevereiro- Metalfisa'!Z$3,METALFISA!$B:$B,'Faltantes Fevereiro- Metalfisa'!$A215)</f>
        <v>0</v>
      </c>
      <c r="AA215" s="31">
        <f>SUMIFS(METALFISA!$E:$E,METALFISA!$A:$A,'Faltantes Fevereiro- Metalfisa'!AA$3,METALFISA!$B:$B,'Faltantes Fevereiro- Metalfisa'!$A215)</f>
        <v>0</v>
      </c>
      <c r="AB215" s="31">
        <f>SUMIFS(METALFISA!$E:$E,METALFISA!$A:$A,'Faltantes Fevereiro- Metalfisa'!AB$3,METALFISA!$B:$B,'Faltantes Fevereiro- Metalfisa'!$A215)</f>
        <v>0</v>
      </c>
      <c r="AC215" s="31">
        <f>SUMIFS(METALFISA!$E:$E,METALFISA!$A:$A,'Faltantes Fevereiro- Metalfisa'!AC$3,METALFISA!$B:$B,'Faltantes Fevereiro- Metalfisa'!$A215)</f>
        <v>0</v>
      </c>
      <c r="AD215" s="31">
        <f>SUMIFS(METALFISA!$E:$E,METALFISA!$A:$A,'Faltantes Fevereiro- Metalfisa'!AD$3,METALFISA!$B:$B,'Faltantes Fevereiro- Metalfisa'!$A215)</f>
        <v>0</v>
      </c>
      <c r="AE215" s="31">
        <f>SUMIFS(METALFISA!$E:$E,METALFISA!$A:$A,'Faltantes Fevereiro- Metalfisa'!AE$3,METALFISA!$B:$B,'Faltantes Fevereiro- Metalfisa'!$A215)</f>
        <v>4</v>
      </c>
      <c r="AF215" s="31">
        <f>SUMIFS(METALFISA!$E:$E,METALFISA!$A:$A,'Faltantes Fevereiro- Metalfisa'!AF$3,METALFISA!$B:$B,'Faltantes Fevereiro- Metalfisa'!$A215)</f>
        <v>0</v>
      </c>
      <c r="AG215" s="31">
        <f>SUMIFS(METALFISA!$E:$E,METALFISA!$A:$A,'Faltantes Fevereiro- Metalfisa'!AG$3,METALFISA!$B:$B,'Faltantes Fevereiro- Metalfisa'!$A215)</f>
        <v>0</v>
      </c>
      <c r="AH215" s="31">
        <f>SUMIFS(METALFISA!$E:$E,METALFISA!$A:$A,'Faltantes Fevereiro- Metalfisa'!AH$3,METALFISA!$B:$B,'Faltantes Fevereiro- Metalfisa'!$A215)</f>
        <v>0</v>
      </c>
      <c r="AI215" s="31">
        <f>SUMIFS(METALFISA!$E:$E,METALFISA!$A:$A,'Faltantes Fevereiro- Metalfisa'!AI$3,METALFISA!$B:$B,'Faltantes Fevereiro- Metalfisa'!$A215)</f>
        <v>0</v>
      </c>
      <c r="AJ215" s="31">
        <f>SUMIFS(METALFISA!$E:$E,METALFISA!$A:$A,'Faltantes Fevereiro- Metalfisa'!AJ$3,METALFISA!$B:$B,'Faltantes Fevereiro- Metalfisa'!$A215)</f>
        <v>0</v>
      </c>
      <c r="AK215" s="31">
        <f>SUMIFS(METALFISA!$E:$E,METALFISA!$A:$A,'Faltantes Fevereiro- Metalfisa'!AK$3,METALFISA!$B:$B,'Faltantes Fevereiro- Metalfisa'!$A215)</f>
        <v>0</v>
      </c>
      <c r="AL215" s="31">
        <f>SUMIFS(METALFISA!$E:$E,METALFISA!$A:$A,'Faltantes Fevereiro- Metalfisa'!AL$3,METALFISA!$B:$B,'Faltantes Fevereiro- Metalfisa'!$A215)</f>
        <v>0</v>
      </c>
      <c r="AM215" s="31">
        <f>SUMIFS(METALFISA!$E:$E,METALFISA!$A:$A,'Faltantes Fevereiro- Metalfisa'!AM$3,METALFISA!$B:$B,'Faltantes Fevereiro- Metalfisa'!$A215)</f>
        <v>0</v>
      </c>
      <c r="AN215" s="31">
        <f>SUMIFS(METALFISA!$E:$E,METALFISA!$A:$A,'Faltantes Fevereiro- Metalfisa'!AN$3,METALFISA!$B:$B,'Faltantes Fevereiro- Metalfisa'!$A215)</f>
        <v>0</v>
      </c>
      <c r="AO215" s="31">
        <f>SUMIFS(METALFISA!$E:$E,METALFISA!$A:$A,'Faltantes Fevereiro- Metalfisa'!AO$3,METALFISA!$B:$B,'Faltantes Fevereiro- Metalfisa'!$A215)</f>
        <v>0</v>
      </c>
      <c r="AP215" s="31">
        <f>SUMIFS(METALFISA!$E:$E,METALFISA!$A:$A,'Faltantes Fevereiro- Metalfisa'!AP$3,METALFISA!$B:$B,'Faltantes Fevereiro- Metalfisa'!$A215)</f>
        <v>0</v>
      </c>
      <c r="AQ215" s="31"/>
      <c r="AR215" s="31">
        <f>SUMIFS(METALFISA!$E:$E,METALFISA!$A:$A,'Faltantes Fevereiro- Metalfisa'!AR$3,METALFISA!$B:$B,'Faltantes Fevereiro- Metalfisa'!$A215)</f>
        <v>0</v>
      </c>
      <c r="AS215" s="35">
        <f>SUMIFS(METALFISA!$E:$E,METALFISA!$A:$A,'Faltantes Fevereiro- Metalfisa'!AS$3,METALFISA!$B:$B,'Faltantes Fevereiro- Metalfisa'!$A215)</f>
        <v>0</v>
      </c>
      <c r="AU215" s="18">
        <v>0</v>
      </c>
      <c r="AV215" s="18">
        <v>0</v>
      </c>
      <c r="AW215" s="18">
        <v>0</v>
      </c>
      <c r="AX215" s="18">
        <v>0</v>
      </c>
      <c r="AY215" s="41">
        <v>0</v>
      </c>
      <c r="AZ215" s="31">
        <v>0</v>
      </c>
      <c r="BA215" s="31">
        <v>0</v>
      </c>
      <c r="BB215" s="31">
        <v>0</v>
      </c>
      <c r="BC215" s="31">
        <v>0</v>
      </c>
      <c r="BD215" s="31">
        <v>0</v>
      </c>
      <c r="BE215" s="31">
        <v>0</v>
      </c>
      <c r="BF215" s="31">
        <v>0</v>
      </c>
      <c r="BG215" s="31">
        <v>0</v>
      </c>
      <c r="BH215" s="31">
        <v>0</v>
      </c>
      <c r="BI215" s="31">
        <v>0</v>
      </c>
      <c r="BJ215" s="31">
        <v>0</v>
      </c>
      <c r="BK215" s="31">
        <v>0</v>
      </c>
      <c r="BL215" s="31">
        <v>0</v>
      </c>
      <c r="BM215" s="31">
        <v>0</v>
      </c>
      <c r="BN215" s="31">
        <v>0</v>
      </c>
      <c r="BO215" s="31">
        <v>2</v>
      </c>
      <c r="BP215" s="31">
        <v>0</v>
      </c>
      <c r="BQ215" s="31">
        <v>0</v>
      </c>
      <c r="BR215" s="31">
        <v>0</v>
      </c>
      <c r="BS215" s="31">
        <v>0</v>
      </c>
      <c r="BT215" s="31">
        <v>0</v>
      </c>
      <c r="BU215" s="31">
        <v>0</v>
      </c>
      <c r="BV215" s="31">
        <v>0</v>
      </c>
      <c r="BW215" s="31">
        <v>0</v>
      </c>
      <c r="BX215" s="31">
        <v>0</v>
      </c>
      <c r="BY215" s="31">
        <v>0</v>
      </c>
      <c r="BZ215" s="31">
        <v>0</v>
      </c>
      <c r="CA215" s="31">
        <v>0</v>
      </c>
      <c r="CB215" s="31">
        <v>0</v>
      </c>
      <c r="CC215" s="31">
        <v>0</v>
      </c>
      <c r="CD215" s="31">
        <v>0</v>
      </c>
      <c r="CE215" s="31">
        <v>0</v>
      </c>
      <c r="CF215" s="31">
        <v>0</v>
      </c>
      <c r="CG215" s="31">
        <v>0</v>
      </c>
      <c r="CH215" s="31">
        <v>0</v>
      </c>
      <c r="CI215" s="31">
        <v>0</v>
      </c>
      <c r="CJ215" s="31">
        <v>0</v>
      </c>
      <c r="CK215" s="31">
        <v>0</v>
      </c>
      <c r="CL215" s="35">
        <v>0</v>
      </c>
    </row>
    <row r="216" spans="1:90" ht="21" x14ac:dyDescent="0.15">
      <c r="A216" s="27" t="s">
        <v>1093</v>
      </c>
      <c r="B216" s="28" t="s">
        <v>1094</v>
      </c>
      <c r="C216" s="28">
        <v>0</v>
      </c>
      <c r="D216" s="28">
        <v>0</v>
      </c>
      <c r="E216" s="28">
        <v>0</v>
      </c>
      <c r="F216" s="28">
        <v>0</v>
      </c>
      <c r="G216" s="28">
        <v>24</v>
      </c>
      <c r="H216" s="28">
        <f>IFERROR(VLOOKUP(A216,[1]FALTANTES!$A:$AB,28,FALSE),"-")</f>
        <v>0</v>
      </c>
      <c r="I216" s="42">
        <f>IFERROR(VLOOKUP(A216,[1]FALTANTES!$A:$AC,29,FALSE),"-")</f>
        <v>8</v>
      </c>
      <c r="J216" s="29">
        <f>IFERROR(VLOOKUP(A216,[1]FALTANTES!$A:$AD,30,FALSE),"-")</f>
        <v>-16</v>
      </c>
      <c r="K216" s="30"/>
      <c r="L216" s="30">
        <f t="shared" si="4"/>
        <v>8</v>
      </c>
      <c r="M216" s="31">
        <f>SUMIFS(METALFISA!$E:$E,METALFISA!$A:$A,'Faltantes Fevereiro- Metalfisa'!M$3,METALFISA!$B:$B,'Faltantes Fevereiro- Metalfisa'!$A216)</f>
        <v>0</v>
      </c>
      <c r="N216" s="31">
        <f>SUMIFS(METALFISA!$E:$E,METALFISA!$A:$A,'Faltantes Fevereiro- Metalfisa'!N$3,METALFISA!$B:$B,'Faltantes Fevereiro- Metalfisa'!$A216)</f>
        <v>0</v>
      </c>
      <c r="O216" s="31">
        <f>SUMIFS(METALFISA!$E:$E,METALFISA!$A:$A,'Faltantes Fevereiro- Metalfisa'!O$3,METALFISA!$B:$B,'Faltantes Fevereiro- Metalfisa'!$A216)</f>
        <v>0</v>
      </c>
      <c r="P216" s="31">
        <f>SUMIFS(METALFISA!$E:$E,METALFISA!$A:$A,'Faltantes Fevereiro- Metalfisa'!P$3,METALFISA!$B:$B,'Faltantes Fevereiro- Metalfisa'!$A216)</f>
        <v>0</v>
      </c>
      <c r="Q216" s="31">
        <f>SUMIFS(METALFISA!$E:$E,METALFISA!$A:$A,'Faltantes Fevereiro- Metalfisa'!Q$3,METALFISA!$B:$B,'Faltantes Fevereiro- Metalfisa'!$A216)</f>
        <v>0</v>
      </c>
      <c r="R216" s="31">
        <f>SUMIFS(METALFISA!$E:$E,METALFISA!$A:$A,'Faltantes Fevereiro- Metalfisa'!R$3,METALFISA!$B:$B,'Faltantes Fevereiro- Metalfisa'!$A216)</f>
        <v>0</v>
      </c>
      <c r="S216" s="31">
        <f>SUMIFS(METALFISA!$E:$E,METALFISA!$A:$A,'Faltantes Fevereiro- Metalfisa'!S$3,METALFISA!$B:$B,'Faltantes Fevereiro- Metalfisa'!$A216)</f>
        <v>0</v>
      </c>
      <c r="T216" s="31">
        <f>SUMIFS(METALFISA!$E:$E,METALFISA!$A:$A,'Faltantes Fevereiro- Metalfisa'!T$3,METALFISA!$B:$B,'Faltantes Fevereiro- Metalfisa'!$A216)</f>
        <v>0</v>
      </c>
      <c r="U216" s="31">
        <f>SUMIFS(METALFISA!$E:$E,METALFISA!$A:$A,'Faltantes Fevereiro- Metalfisa'!U$3,METALFISA!$B:$B,'Faltantes Fevereiro- Metalfisa'!$A216)</f>
        <v>0</v>
      </c>
      <c r="V216" s="31">
        <f>SUMIFS(METALFISA!$E:$E,METALFISA!$A:$A,'Faltantes Fevereiro- Metalfisa'!V$3,METALFISA!$B:$B,'Faltantes Fevereiro- Metalfisa'!$A216)</f>
        <v>0</v>
      </c>
      <c r="W216" s="31">
        <f>SUMIFS(METALFISA!$E:$E,METALFISA!$A:$A,'Faltantes Fevereiro- Metalfisa'!W$3,METALFISA!$B:$B,'Faltantes Fevereiro- Metalfisa'!$A216)</f>
        <v>0</v>
      </c>
      <c r="X216" s="31">
        <f>SUMIFS(METALFISA!$E:$E,METALFISA!$A:$A,'Faltantes Fevereiro- Metalfisa'!X$3,METALFISA!$B:$B,'Faltantes Fevereiro- Metalfisa'!$A216)</f>
        <v>0</v>
      </c>
      <c r="Y216" s="31">
        <f>SUMIFS(METALFISA!$E:$E,METALFISA!$A:$A,'Faltantes Fevereiro- Metalfisa'!Y$3,METALFISA!$B:$B,'Faltantes Fevereiro- Metalfisa'!$A216)</f>
        <v>0</v>
      </c>
      <c r="Z216" s="31">
        <f>SUMIFS(METALFISA!$E:$E,METALFISA!$A:$A,'Faltantes Fevereiro- Metalfisa'!Z$3,METALFISA!$B:$B,'Faltantes Fevereiro- Metalfisa'!$A216)</f>
        <v>0</v>
      </c>
      <c r="AA216" s="31">
        <f>SUMIFS(METALFISA!$E:$E,METALFISA!$A:$A,'Faltantes Fevereiro- Metalfisa'!AA$3,METALFISA!$B:$B,'Faltantes Fevereiro- Metalfisa'!$A216)</f>
        <v>0</v>
      </c>
      <c r="AB216" s="31">
        <f>SUMIFS(METALFISA!$E:$E,METALFISA!$A:$A,'Faltantes Fevereiro- Metalfisa'!AB$3,METALFISA!$B:$B,'Faltantes Fevereiro- Metalfisa'!$A216)</f>
        <v>0</v>
      </c>
      <c r="AC216" s="31">
        <f>SUMIFS(METALFISA!$E:$E,METALFISA!$A:$A,'Faltantes Fevereiro- Metalfisa'!AC$3,METALFISA!$B:$B,'Faltantes Fevereiro- Metalfisa'!$A216)</f>
        <v>0</v>
      </c>
      <c r="AD216" s="31">
        <f>SUMIFS(METALFISA!$E:$E,METALFISA!$A:$A,'Faltantes Fevereiro- Metalfisa'!AD$3,METALFISA!$B:$B,'Faltantes Fevereiro- Metalfisa'!$A216)</f>
        <v>0</v>
      </c>
      <c r="AE216" s="31">
        <f>SUMIFS(METALFISA!$E:$E,METALFISA!$A:$A,'Faltantes Fevereiro- Metalfisa'!AE$3,METALFISA!$B:$B,'Faltantes Fevereiro- Metalfisa'!$A216)</f>
        <v>8</v>
      </c>
      <c r="AF216" s="31">
        <f>SUMIFS(METALFISA!$E:$E,METALFISA!$A:$A,'Faltantes Fevereiro- Metalfisa'!AF$3,METALFISA!$B:$B,'Faltantes Fevereiro- Metalfisa'!$A216)</f>
        <v>0</v>
      </c>
      <c r="AG216" s="31">
        <f>SUMIFS(METALFISA!$E:$E,METALFISA!$A:$A,'Faltantes Fevereiro- Metalfisa'!AG$3,METALFISA!$B:$B,'Faltantes Fevereiro- Metalfisa'!$A216)</f>
        <v>0</v>
      </c>
      <c r="AH216" s="31">
        <f>SUMIFS(METALFISA!$E:$E,METALFISA!$A:$A,'Faltantes Fevereiro- Metalfisa'!AH$3,METALFISA!$B:$B,'Faltantes Fevereiro- Metalfisa'!$A216)</f>
        <v>0</v>
      </c>
      <c r="AI216" s="31">
        <f>SUMIFS(METALFISA!$E:$E,METALFISA!$A:$A,'Faltantes Fevereiro- Metalfisa'!AI$3,METALFISA!$B:$B,'Faltantes Fevereiro- Metalfisa'!$A216)</f>
        <v>0</v>
      </c>
      <c r="AJ216" s="31">
        <f>SUMIFS(METALFISA!$E:$E,METALFISA!$A:$A,'Faltantes Fevereiro- Metalfisa'!AJ$3,METALFISA!$B:$B,'Faltantes Fevereiro- Metalfisa'!$A216)</f>
        <v>0</v>
      </c>
      <c r="AK216" s="31">
        <f>SUMIFS(METALFISA!$E:$E,METALFISA!$A:$A,'Faltantes Fevereiro- Metalfisa'!AK$3,METALFISA!$B:$B,'Faltantes Fevereiro- Metalfisa'!$A216)</f>
        <v>0</v>
      </c>
      <c r="AL216" s="31">
        <f>SUMIFS(METALFISA!$E:$E,METALFISA!$A:$A,'Faltantes Fevereiro- Metalfisa'!AL$3,METALFISA!$B:$B,'Faltantes Fevereiro- Metalfisa'!$A216)</f>
        <v>0</v>
      </c>
      <c r="AM216" s="31">
        <f>SUMIFS(METALFISA!$E:$E,METALFISA!$A:$A,'Faltantes Fevereiro- Metalfisa'!AM$3,METALFISA!$B:$B,'Faltantes Fevereiro- Metalfisa'!$A216)</f>
        <v>0</v>
      </c>
      <c r="AN216" s="31">
        <f>SUMIFS(METALFISA!$E:$E,METALFISA!$A:$A,'Faltantes Fevereiro- Metalfisa'!AN$3,METALFISA!$B:$B,'Faltantes Fevereiro- Metalfisa'!$A216)</f>
        <v>0</v>
      </c>
      <c r="AO216" s="31">
        <f>SUMIFS(METALFISA!$E:$E,METALFISA!$A:$A,'Faltantes Fevereiro- Metalfisa'!AO$3,METALFISA!$B:$B,'Faltantes Fevereiro- Metalfisa'!$A216)</f>
        <v>0</v>
      </c>
      <c r="AP216" s="31">
        <f>SUMIFS(METALFISA!$E:$E,METALFISA!$A:$A,'Faltantes Fevereiro- Metalfisa'!AP$3,METALFISA!$B:$B,'Faltantes Fevereiro- Metalfisa'!$A216)</f>
        <v>0</v>
      </c>
      <c r="AQ216" s="31"/>
      <c r="AR216" s="31">
        <f>SUMIFS(METALFISA!$E:$E,METALFISA!$A:$A,'Faltantes Fevereiro- Metalfisa'!AR$3,METALFISA!$B:$B,'Faltantes Fevereiro- Metalfisa'!$A216)</f>
        <v>0</v>
      </c>
      <c r="AS216" s="35">
        <f>SUMIFS(METALFISA!$E:$E,METALFISA!$A:$A,'Faltantes Fevereiro- Metalfisa'!AS$3,METALFISA!$B:$B,'Faltantes Fevereiro- Metalfisa'!$A216)</f>
        <v>0</v>
      </c>
      <c r="AU216" s="18">
        <v>0</v>
      </c>
      <c r="AV216" s="18">
        <v>0</v>
      </c>
      <c r="AW216" s="18">
        <v>0</v>
      </c>
      <c r="AX216" s="18">
        <v>0</v>
      </c>
      <c r="AY216" s="41">
        <v>0</v>
      </c>
      <c r="AZ216" s="31">
        <v>0</v>
      </c>
      <c r="BA216" s="31">
        <v>0</v>
      </c>
      <c r="BB216" s="31">
        <v>0</v>
      </c>
      <c r="BC216" s="31">
        <v>0</v>
      </c>
      <c r="BD216" s="31">
        <v>0</v>
      </c>
      <c r="BE216" s="31">
        <v>0</v>
      </c>
      <c r="BF216" s="31">
        <v>0</v>
      </c>
      <c r="BG216" s="31">
        <v>0</v>
      </c>
      <c r="BH216" s="31">
        <v>0</v>
      </c>
      <c r="BI216" s="31">
        <v>0</v>
      </c>
      <c r="BJ216" s="31">
        <v>0</v>
      </c>
      <c r="BK216" s="31">
        <v>0</v>
      </c>
      <c r="BL216" s="31">
        <v>0</v>
      </c>
      <c r="BM216" s="31">
        <v>0</v>
      </c>
      <c r="BN216" s="31">
        <v>0</v>
      </c>
      <c r="BO216" s="31">
        <v>4</v>
      </c>
      <c r="BP216" s="31">
        <v>0</v>
      </c>
      <c r="BQ216" s="31">
        <v>0</v>
      </c>
      <c r="BR216" s="31">
        <v>0</v>
      </c>
      <c r="BS216" s="31">
        <v>0</v>
      </c>
      <c r="BT216" s="31">
        <v>0</v>
      </c>
      <c r="BU216" s="31">
        <v>0</v>
      </c>
      <c r="BV216" s="31">
        <v>0</v>
      </c>
      <c r="BW216" s="31">
        <v>0</v>
      </c>
      <c r="BX216" s="31">
        <v>0</v>
      </c>
      <c r="BY216" s="31">
        <v>0</v>
      </c>
      <c r="BZ216" s="31">
        <v>0</v>
      </c>
      <c r="CA216" s="31">
        <v>0</v>
      </c>
      <c r="CB216" s="31">
        <v>0</v>
      </c>
      <c r="CC216" s="31">
        <v>0</v>
      </c>
      <c r="CD216" s="31">
        <v>0</v>
      </c>
      <c r="CE216" s="31">
        <v>0</v>
      </c>
      <c r="CF216" s="31">
        <v>0</v>
      </c>
      <c r="CG216" s="31">
        <v>0</v>
      </c>
      <c r="CH216" s="31">
        <v>0</v>
      </c>
      <c r="CI216" s="31">
        <v>0</v>
      </c>
      <c r="CJ216" s="31">
        <v>0</v>
      </c>
      <c r="CK216" s="31">
        <v>0</v>
      </c>
      <c r="CL216" s="35">
        <v>0</v>
      </c>
    </row>
    <row r="217" spans="1:90" ht="21" x14ac:dyDescent="0.15">
      <c r="A217" s="27" t="s">
        <v>1095</v>
      </c>
      <c r="B217" s="28" t="s">
        <v>1096</v>
      </c>
      <c r="C217" s="28">
        <v>0</v>
      </c>
      <c r="D217" s="28">
        <v>0</v>
      </c>
      <c r="E217" s="28">
        <v>0</v>
      </c>
      <c r="F217" s="28">
        <v>0</v>
      </c>
      <c r="G217" s="28">
        <v>24</v>
      </c>
      <c r="H217" s="28">
        <f>IFERROR(VLOOKUP(A217,[1]FALTANTES!$A:$AB,28,FALSE),"-")</f>
        <v>0</v>
      </c>
      <c r="I217" s="42">
        <f>IFERROR(VLOOKUP(A217,[1]FALTANTES!$A:$AC,29,FALSE),"-")</f>
        <v>12</v>
      </c>
      <c r="J217" s="29">
        <f>IFERROR(VLOOKUP(A217,[1]FALTANTES!$A:$AD,30,FALSE),"-")</f>
        <v>-12</v>
      </c>
      <c r="K217" s="30"/>
      <c r="L217" s="30">
        <f t="shared" si="4"/>
        <v>4</v>
      </c>
      <c r="M217" s="31">
        <f>SUMIFS(METALFISA!$E:$E,METALFISA!$A:$A,'Faltantes Fevereiro- Metalfisa'!M$3,METALFISA!$B:$B,'Faltantes Fevereiro- Metalfisa'!$A217)</f>
        <v>0</v>
      </c>
      <c r="N217" s="31">
        <f>SUMIFS(METALFISA!$E:$E,METALFISA!$A:$A,'Faltantes Fevereiro- Metalfisa'!N$3,METALFISA!$B:$B,'Faltantes Fevereiro- Metalfisa'!$A217)</f>
        <v>0</v>
      </c>
      <c r="O217" s="31">
        <f>SUMIFS(METALFISA!$E:$E,METALFISA!$A:$A,'Faltantes Fevereiro- Metalfisa'!O$3,METALFISA!$B:$B,'Faltantes Fevereiro- Metalfisa'!$A217)</f>
        <v>0</v>
      </c>
      <c r="P217" s="31">
        <f>SUMIFS(METALFISA!$E:$E,METALFISA!$A:$A,'Faltantes Fevereiro- Metalfisa'!P$3,METALFISA!$B:$B,'Faltantes Fevereiro- Metalfisa'!$A217)</f>
        <v>0</v>
      </c>
      <c r="Q217" s="31">
        <f>SUMIFS(METALFISA!$E:$E,METALFISA!$A:$A,'Faltantes Fevereiro- Metalfisa'!Q$3,METALFISA!$B:$B,'Faltantes Fevereiro- Metalfisa'!$A217)</f>
        <v>0</v>
      </c>
      <c r="R217" s="31">
        <f>SUMIFS(METALFISA!$E:$E,METALFISA!$A:$A,'Faltantes Fevereiro- Metalfisa'!R$3,METALFISA!$B:$B,'Faltantes Fevereiro- Metalfisa'!$A217)</f>
        <v>0</v>
      </c>
      <c r="S217" s="31">
        <f>SUMIFS(METALFISA!$E:$E,METALFISA!$A:$A,'Faltantes Fevereiro- Metalfisa'!S$3,METALFISA!$B:$B,'Faltantes Fevereiro- Metalfisa'!$A217)</f>
        <v>0</v>
      </c>
      <c r="T217" s="31">
        <f>SUMIFS(METALFISA!$E:$E,METALFISA!$A:$A,'Faltantes Fevereiro- Metalfisa'!T$3,METALFISA!$B:$B,'Faltantes Fevereiro- Metalfisa'!$A217)</f>
        <v>0</v>
      </c>
      <c r="U217" s="31">
        <f>SUMIFS(METALFISA!$E:$E,METALFISA!$A:$A,'Faltantes Fevereiro- Metalfisa'!U$3,METALFISA!$B:$B,'Faltantes Fevereiro- Metalfisa'!$A217)</f>
        <v>0</v>
      </c>
      <c r="V217" s="31">
        <f>SUMIFS(METALFISA!$E:$E,METALFISA!$A:$A,'Faltantes Fevereiro- Metalfisa'!V$3,METALFISA!$B:$B,'Faltantes Fevereiro- Metalfisa'!$A217)</f>
        <v>0</v>
      </c>
      <c r="W217" s="31">
        <f>SUMIFS(METALFISA!$E:$E,METALFISA!$A:$A,'Faltantes Fevereiro- Metalfisa'!W$3,METALFISA!$B:$B,'Faltantes Fevereiro- Metalfisa'!$A217)</f>
        <v>0</v>
      </c>
      <c r="X217" s="31">
        <f>SUMIFS(METALFISA!$E:$E,METALFISA!$A:$A,'Faltantes Fevereiro- Metalfisa'!X$3,METALFISA!$B:$B,'Faltantes Fevereiro- Metalfisa'!$A217)</f>
        <v>0</v>
      </c>
      <c r="Y217" s="31">
        <f>SUMIFS(METALFISA!$E:$E,METALFISA!$A:$A,'Faltantes Fevereiro- Metalfisa'!Y$3,METALFISA!$B:$B,'Faltantes Fevereiro- Metalfisa'!$A217)</f>
        <v>0</v>
      </c>
      <c r="Z217" s="31">
        <f>SUMIFS(METALFISA!$E:$E,METALFISA!$A:$A,'Faltantes Fevereiro- Metalfisa'!Z$3,METALFISA!$B:$B,'Faltantes Fevereiro- Metalfisa'!$A217)</f>
        <v>0</v>
      </c>
      <c r="AA217" s="31">
        <f>SUMIFS(METALFISA!$E:$E,METALFISA!$A:$A,'Faltantes Fevereiro- Metalfisa'!AA$3,METALFISA!$B:$B,'Faltantes Fevereiro- Metalfisa'!$A217)</f>
        <v>0</v>
      </c>
      <c r="AB217" s="31">
        <f>SUMIFS(METALFISA!$E:$E,METALFISA!$A:$A,'Faltantes Fevereiro- Metalfisa'!AB$3,METALFISA!$B:$B,'Faltantes Fevereiro- Metalfisa'!$A217)</f>
        <v>0</v>
      </c>
      <c r="AC217" s="31">
        <f>SUMIFS(METALFISA!$E:$E,METALFISA!$A:$A,'Faltantes Fevereiro- Metalfisa'!AC$3,METALFISA!$B:$B,'Faltantes Fevereiro- Metalfisa'!$A217)</f>
        <v>0</v>
      </c>
      <c r="AD217" s="31">
        <f>SUMIFS(METALFISA!$E:$E,METALFISA!$A:$A,'Faltantes Fevereiro- Metalfisa'!AD$3,METALFISA!$B:$B,'Faltantes Fevereiro- Metalfisa'!$A217)</f>
        <v>0</v>
      </c>
      <c r="AE217" s="31">
        <f>SUMIFS(METALFISA!$E:$E,METALFISA!$A:$A,'Faltantes Fevereiro- Metalfisa'!AE$3,METALFISA!$B:$B,'Faltantes Fevereiro- Metalfisa'!$A217)</f>
        <v>4</v>
      </c>
      <c r="AF217" s="31">
        <f>SUMIFS(METALFISA!$E:$E,METALFISA!$A:$A,'Faltantes Fevereiro- Metalfisa'!AF$3,METALFISA!$B:$B,'Faltantes Fevereiro- Metalfisa'!$A217)</f>
        <v>0</v>
      </c>
      <c r="AG217" s="31">
        <f>SUMIFS(METALFISA!$E:$E,METALFISA!$A:$A,'Faltantes Fevereiro- Metalfisa'!AG$3,METALFISA!$B:$B,'Faltantes Fevereiro- Metalfisa'!$A217)</f>
        <v>0</v>
      </c>
      <c r="AH217" s="31">
        <f>SUMIFS(METALFISA!$E:$E,METALFISA!$A:$A,'Faltantes Fevereiro- Metalfisa'!AH$3,METALFISA!$B:$B,'Faltantes Fevereiro- Metalfisa'!$A217)</f>
        <v>0</v>
      </c>
      <c r="AI217" s="31">
        <f>SUMIFS(METALFISA!$E:$E,METALFISA!$A:$A,'Faltantes Fevereiro- Metalfisa'!AI$3,METALFISA!$B:$B,'Faltantes Fevereiro- Metalfisa'!$A217)</f>
        <v>0</v>
      </c>
      <c r="AJ217" s="31">
        <f>SUMIFS(METALFISA!$E:$E,METALFISA!$A:$A,'Faltantes Fevereiro- Metalfisa'!AJ$3,METALFISA!$B:$B,'Faltantes Fevereiro- Metalfisa'!$A217)</f>
        <v>0</v>
      </c>
      <c r="AK217" s="31">
        <f>SUMIFS(METALFISA!$E:$E,METALFISA!$A:$A,'Faltantes Fevereiro- Metalfisa'!AK$3,METALFISA!$B:$B,'Faltantes Fevereiro- Metalfisa'!$A217)</f>
        <v>0</v>
      </c>
      <c r="AL217" s="31">
        <f>SUMIFS(METALFISA!$E:$E,METALFISA!$A:$A,'Faltantes Fevereiro- Metalfisa'!AL$3,METALFISA!$B:$B,'Faltantes Fevereiro- Metalfisa'!$A217)</f>
        <v>0</v>
      </c>
      <c r="AM217" s="31">
        <f>SUMIFS(METALFISA!$E:$E,METALFISA!$A:$A,'Faltantes Fevereiro- Metalfisa'!AM$3,METALFISA!$B:$B,'Faltantes Fevereiro- Metalfisa'!$A217)</f>
        <v>0</v>
      </c>
      <c r="AN217" s="31">
        <f>SUMIFS(METALFISA!$E:$E,METALFISA!$A:$A,'Faltantes Fevereiro- Metalfisa'!AN$3,METALFISA!$B:$B,'Faltantes Fevereiro- Metalfisa'!$A217)</f>
        <v>0</v>
      </c>
      <c r="AO217" s="31">
        <f>SUMIFS(METALFISA!$E:$E,METALFISA!$A:$A,'Faltantes Fevereiro- Metalfisa'!AO$3,METALFISA!$B:$B,'Faltantes Fevereiro- Metalfisa'!$A217)</f>
        <v>0</v>
      </c>
      <c r="AP217" s="31">
        <f>SUMIFS(METALFISA!$E:$E,METALFISA!$A:$A,'Faltantes Fevereiro- Metalfisa'!AP$3,METALFISA!$B:$B,'Faltantes Fevereiro- Metalfisa'!$A217)</f>
        <v>0</v>
      </c>
      <c r="AQ217" s="31"/>
      <c r="AR217" s="31">
        <f>SUMIFS(METALFISA!$E:$E,METALFISA!$A:$A,'Faltantes Fevereiro- Metalfisa'!AR$3,METALFISA!$B:$B,'Faltantes Fevereiro- Metalfisa'!$A217)</f>
        <v>0</v>
      </c>
      <c r="AS217" s="35">
        <f>SUMIFS(METALFISA!$E:$E,METALFISA!$A:$A,'Faltantes Fevereiro- Metalfisa'!AS$3,METALFISA!$B:$B,'Faltantes Fevereiro- Metalfisa'!$A217)</f>
        <v>0</v>
      </c>
      <c r="AU217" s="18">
        <v>0</v>
      </c>
      <c r="AV217" s="18">
        <v>0</v>
      </c>
      <c r="AW217" s="18">
        <v>0</v>
      </c>
      <c r="AX217" s="18">
        <v>0</v>
      </c>
      <c r="AY217" s="41">
        <v>0</v>
      </c>
      <c r="AZ217" s="31">
        <v>0</v>
      </c>
      <c r="BA217" s="31">
        <v>0</v>
      </c>
      <c r="BB217" s="31">
        <v>0</v>
      </c>
      <c r="BC217" s="31">
        <v>0</v>
      </c>
      <c r="BD217" s="31">
        <v>0</v>
      </c>
      <c r="BE217" s="31">
        <v>0</v>
      </c>
      <c r="BF217" s="31">
        <v>0</v>
      </c>
      <c r="BG217" s="31">
        <v>0</v>
      </c>
      <c r="BH217" s="31">
        <v>0</v>
      </c>
      <c r="BI217" s="31">
        <v>0</v>
      </c>
      <c r="BJ217" s="31">
        <v>0</v>
      </c>
      <c r="BK217" s="31">
        <v>0</v>
      </c>
      <c r="BL217" s="31">
        <v>0</v>
      </c>
      <c r="BM217" s="31">
        <v>0</v>
      </c>
      <c r="BN217" s="31">
        <v>0</v>
      </c>
      <c r="BO217" s="31">
        <v>4</v>
      </c>
      <c r="BP217" s="31">
        <v>0</v>
      </c>
      <c r="BQ217" s="31">
        <v>0</v>
      </c>
      <c r="BR217" s="31">
        <v>0</v>
      </c>
      <c r="BS217" s="31">
        <v>0</v>
      </c>
      <c r="BT217" s="31">
        <v>0</v>
      </c>
      <c r="BU217" s="31">
        <v>0</v>
      </c>
      <c r="BV217" s="31">
        <v>0</v>
      </c>
      <c r="BW217" s="31">
        <v>0</v>
      </c>
      <c r="BX217" s="31">
        <v>0</v>
      </c>
      <c r="BY217" s="31">
        <v>0</v>
      </c>
      <c r="BZ217" s="31">
        <v>0</v>
      </c>
      <c r="CA217" s="31">
        <v>0</v>
      </c>
      <c r="CB217" s="31">
        <v>0</v>
      </c>
      <c r="CC217" s="31">
        <v>0</v>
      </c>
      <c r="CD217" s="31">
        <v>0</v>
      </c>
      <c r="CE217" s="31">
        <v>0</v>
      </c>
      <c r="CF217" s="31">
        <v>0</v>
      </c>
      <c r="CG217" s="31">
        <v>0</v>
      </c>
      <c r="CH217" s="31">
        <v>0</v>
      </c>
      <c r="CI217" s="31">
        <v>0</v>
      </c>
      <c r="CJ217" s="31">
        <v>0</v>
      </c>
      <c r="CK217" s="31">
        <v>0</v>
      </c>
      <c r="CL217" s="35">
        <v>0</v>
      </c>
    </row>
    <row r="218" spans="1:90" x14ac:dyDescent="0.15">
      <c r="A218" s="27" t="s">
        <v>1099</v>
      </c>
      <c r="B218" s="28" t="s">
        <v>1100</v>
      </c>
      <c r="C218" s="28">
        <v>0</v>
      </c>
      <c r="D218" s="28">
        <v>0</v>
      </c>
      <c r="E218" s="28">
        <v>0</v>
      </c>
      <c r="F218" s="28">
        <v>0</v>
      </c>
      <c r="G218" s="28">
        <v>12</v>
      </c>
      <c r="H218" s="28">
        <f>IFERROR(VLOOKUP(A218,[1]FALTANTES!$A:$AB,28,FALSE),"-")</f>
        <v>0</v>
      </c>
      <c r="I218" s="42">
        <f>IFERROR(VLOOKUP(A218,[1]FALTANTES!$A:$AC,29,FALSE),"-")</f>
        <v>4</v>
      </c>
      <c r="J218" s="29">
        <f>IFERROR(VLOOKUP(A218,[1]FALTANTES!$A:$AD,30,FALSE),"-")</f>
        <v>-8</v>
      </c>
      <c r="K218" s="30">
        <v>0</v>
      </c>
      <c r="L218" s="30">
        <f t="shared" si="4"/>
        <v>4</v>
      </c>
      <c r="M218" s="31">
        <f>SUMIFS(METALFISA!$E:$E,METALFISA!$A:$A,'Faltantes Fevereiro- Metalfisa'!M$3,METALFISA!$B:$B,'Faltantes Fevereiro- Metalfisa'!$A218)</f>
        <v>0</v>
      </c>
      <c r="N218" s="31">
        <f>SUMIFS(METALFISA!$E:$E,METALFISA!$A:$A,'Faltantes Fevereiro- Metalfisa'!N$3,METALFISA!$B:$B,'Faltantes Fevereiro- Metalfisa'!$A218)</f>
        <v>0</v>
      </c>
      <c r="O218" s="31">
        <f>SUMIFS(METALFISA!$E:$E,METALFISA!$A:$A,'Faltantes Fevereiro- Metalfisa'!O$3,METALFISA!$B:$B,'Faltantes Fevereiro- Metalfisa'!$A218)</f>
        <v>0</v>
      </c>
      <c r="P218" s="31">
        <f>SUMIFS(METALFISA!$E:$E,METALFISA!$A:$A,'Faltantes Fevereiro- Metalfisa'!P$3,METALFISA!$B:$B,'Faltantes Fevereiro- Metalfisa'!$A218)</f>
        <v>0</v>
      </c>
      <c r="Q218" s="31">
        <f>SUMIFS(METALFISA!$E:$E,METALFISA!$A:$A,'Faltantes Fevereiro- Metalfisa'!Q$3,METALFISA!$B:$B,'Faltantes Fevereiro- Metalfisa'!$A218)</f>
        <v>0</v>
      </c>
      <c r="R218" s="31">
        <f>SUMIFS(METALFISA!$E:$E,METALFISA!$A:$A,'Faltantes Fevereiro- Metalfisa'!R$3,METALFISA!$B:$B,'Faltantes Fevereiro- Metalfisa'!$A218)</f>
        <v>0</v>
      </c>
      <c r="S218" s="31">
        <f>SUMIFS(METALFISA!$E:$E,METALFISA!$A:$A,'Faltantes Fevereiro- Metalfisa'!S$3,METALFISA!$B:$B,'Faltantes Fevereiro- Metalfisa'!$A218)</f>
        <v>0</v>
      </c>
      <c r="T218" s="31">
        <f>SUMIFS(METALFISA!$E:$E,METALFISA!$A:$A,'Faltantes Fevereiro- Metalfisa'!T$3,METALFISA!$B:$B,'Faltantes Fevereiro- Metalfisa'!$A218)</f>
        <v>0</v>
      </c>
      <c r="U218" s="31">
        <f>SUMIFS(METALFISA!$E:$E,METALFISA!$A:$A,'Faltantes Fevereiro- Metalfisa'!U$3,METALFISA!$B:$B,'Faltantes Fevereiro- Metalfisa'!$A218)</f>
        <v>0</v>
      </c>
      <c r="V218" s="31">
        <f>SUMIFS(METALFISA!$E:$E,METALFISA!$A:$A,'Faltantes Fevereiro- Metalfisa'!V$3,METALFISA!$B:$B,'Faltantes Fevereiro- Metalfisa'!$A218)</f>
        <v>0</v>
      </c>
      <c r="W218" s="31">
        <f>SUMIFS(METALFISA!$E:$E,METALFISA!$A:$A,'Faltantes Fevereiro- Metalfisa'!W$3,METALFISA!$B:$B,'Faltantes Fevereiro- Metalfisa'!$A218)</f>
        <v>0</v>
      </c>
      <c r="X218" s="31">
        <f>SUMIFS(METALFISA!$E:$E,METALFISA!$A:$A,'Faltantes Fevereiro- Metalfisa'!X$3,METALFISA!$B:$B,'Faltantes Fevereiro- Metalfisa'!$A218)</f>
        <v>0</v>
      </c>
      <c r="Y218" s="31">
        <f>SUMIFS(METALFISA!$E:$E,METALFISA!$A:$A,'Faltantes Fevereiro- Metalfisa'!Y$3,METALFISA!$B:$B,'Faltantes Fevereiro- Metalfisa'!$A218)</f>
        <v>0</v>
      </c>
      <c r="Z218" s="31">
        <f>SUMIFS(METALFISA!$E:$E,METALFISA!$A:$A,'Faltantes Fevereiro- Metalfisa'!Z$3,METALFISA!$B:$B,'Faltantes Fevereiro- Metalfisa'!$A218)</f>
        <v>0</v>
      </c>
      <c r="AA218" s="31">
        <f>SUMIFS(METALFISA!$E:$E,METALFISA!$A:$A,'Faltantes Fevereiro- Metalfisa'!AA$3,METALFISA!$B:$B,'Faltantes Fevereiro- Metalfisa'!$A218)</f>
        <v>0</v>
      </c>
      <c r="AB218" s="31">
        <f>SUMIFS(METALFISA!$E:$E,METALFISA!$A:$A,'Faltantes Fevereiro- Metalfisa'!AB$3,METALFISA!$B:$B,'Faltantes Fevereiro- Metalfisa'!$A218)</f>
        <v>0</v>
      </c>
      <c r="AC218" s="31">
        <f>SUMIFS(METALFISA!$E:$E,METALFISA!$A:$A,'Faltantes Fevereiro- Metalfisa'!AC$3,METALFISA!$B:$B,'Faltantes Fevereiro- Metalfisa'!$A218)</f>
        <v>0</v>
      </c>
      <c r="AD218" s="31">
        <f>SUMIFS(METALFISA!$E:$E,METALFISA!$A:$A,'Faltantes Fevereiro- Metalfisa'!AD$3,METALFISA!$B:$B,'Faltantes Fevereiro- Metalfisa'!$A218)</f>
        <v>0</v>
      </c>
      <c r="AE218" s="31">
        <f>SUMIFS(METALFISA!$E:$E,METALFISA!$A:$A,'Faltantes Fevereiro- Metalfisa'!AE$3,METALFISA!$B:$B,'Faltantes Fevereiro- Metalfisa'!$A218)</f>
        <v>4</v>
      </c>
      <c r="AF218" s="31">
        <f>SUMIFS(METALFISA!$E:$E,METALFISA!$A:$A,'Faltantes Fevereiro- Metalfisa'!AF$3,METALFISA!$B:$B,'Faltantes Fevereiro- Metalfisa'!$A218)</f>
        <v>0</v>
      </c>
      <c r="AG218" s="31">
        <f>SUMIFS(METALFISA!$E:$E,METALFISA!$A:$A,'Faltantes Fevereiro- Metalfisa'!AG$3,METALFISA!$B:$B,'Faltantes Fevereiro- Metalfisa'!$A218)</f>
        <v>0</v>
      </c>
      <c r="AH218" s="31">
        <f>SUMIFS(METALFISA!$E:$E,METALFISA!$A:$A,'Faltantes Fevereiro- Metalfisa'!AH$3,METALFISA!$B:$B,'Faltantes Fevereiro- Metalfisa'!$A218)</f>
        <v>0</v>
      </c>
      <c r="AI218" s="31">
        <f>SUMIFS(METALFISA!$E:$E,METALFISA!$A:$A,'Faltantes Fevereiro- Metalfisa'!AI$3,METALFISA!$B:$B,'Faltantes Fevereiro- Metalfisa'!$A218)</f>
        <v>0</v>
      </c>
      <c r="AJ218" s="31">
        <f>SUMIFS(METALFISA!$E:$E,METALFISA!$A:$A,'Faltantes Fevereiro- Metalfisa'!AJ$3,METALFISA!$B:$B,'Faltantes Fevereiro- Metalfisa'!$A218)</f>
        <v>0</v>
      </c>
      <c r="AK218" s="31">
        <f>SUMIFS(METALFISA!$E:$E,METALFISA!$A:$A,'Faltantes Fevereiro- Metalfisa'!AK$3,METALFISA!$B:$B,'Faltantes Fevereiro- Metalfisa'!$A218)</f>
        <v>0</v>
      </c>
      <c r="AL218" s="31">
        <f>SUMIFS(METALFISA!$E:$E,METALFISA!$A:$A,'Faltantes Fevereiro- Metalfisa'!AL$3,METALFISA!$B:$B,'Faltantes Fevereiro- Metalfisa'!$A218)</f>
        <v>0</v>
      </c>
      <c r="AM218" s="31">
        <f>SUMIFS(METALFISA!$E:$E,METALFISA!$A:$A,'Faltantes Fevereiro- Metalfisa'!AM$3,METALFISA!$B:$B,'Faltantes Fevereiro- Metalfisa'!$A218)</f>
        <v>0</v>
      </c>
      <c r="AN218" s="31">
        <f>SUMIFS(METALFISA!$E:$E,METALFISA!$A:$A,'Faltantes Fevereiro- Metalfisa'!AN$3,METALFISA!$B:$B,'Faltantes Fevereiro- Metalfisa'!$A218)</f>
        <v>0</v>
      </c>
      <c r="AO218" s="31">
        <f>SUMIFS(METALFISA!$E:$E,METALFISA!$A:$A,'Faltantes Fevereiro- Metalfisa'!AO$3,METALFISA!$B:$B,'Faltantes Fevereiro- Metalfisa'!$A218)</f>
        <v>0</v>
      </c>
      <c r="AP218" s="31">
        <f>SUMIFS(METALFISA!$E:$E,METALFISA!$A:$A,'Faltantes Fevereiro- Metalfisa'!AP$3,METALFISA!$B:$B,'Faltantes Fevereiro- Metalfisa'!$A218)</f>
        <v>0</v>
      </c>
      <c r="AQ218" s="31"/>
      <c r="AR218" s="31">
        <f>SUMIFS(METALFISA!$E:$E,METALFISA!$A:$A,'Faltantes Fevereiro- Metalfisa'!AR$3,METALFISA!$B:$B,'Faltantes Fevereiro- Metalfisa'!$A218)</f>
        <v>0</v>
      </c>
      <c r="AS218" s="35">
        <f>SUMIFS(METALFISA!$E:$E,METALFISA!$A:$A,'Faltantes Fevereiro- Metalfisa'!AS$3,METALFISA!$B:$B,'Faltantes Fevereiro- Metalfisa'!$A218)</f>
        <v>0</v>
      </c>
      <c r="AU218" s="18">
        <v>0</v>
      </c>
      <c r="AV218" s="18">
        <v>0</v>
      </c>
      <c r="AW218" s="18">
        <v>0</v>
      </c>
      <c r="AX218" s="18">
        <v>0</v>
      </c>
      <c r="AY218" s="41">
        <v>0</v>
      </c>
      <c r="AZ218" s="31">
        <v>0</v>
      </c>
      <c r="BA218" s="31">
        <v>0</v>
      </c>
      <c r="BB218" s="31">
        <v>0</v>
      </c>
      <c r="BC218" s="31">
        <v>0</v>
      </c>
      <c r="BD218" s="31">
        <v>0</v>
      </c>
      <c r="BE218" s="31">
        <v>0</v>
      </c>
      <c r="BF218" s="31">
        <v>0</v>
      </c>
      <c r="BG218" s="31">
        <v>0</v>
      </c>
      <c r="BH218" s="31">
        <v>0</v>
      </c>
      <c r="BI218" s="31">
        <v>0</v>
      </c>
      <c r="BJ218" s="31">
        <v>0</v>
      </c>
      <c r="BK218" s="31">
        <v>0</v>
      </c>
      <c r="BL218" s="31">
        <v>0</v>
      </c>
      <c r="BM218" s="31">
        <v>0</v>
      </c>
      <c r="BN218" s="31">
        <v>0</v>
      </c>
      <c r="BO218" s="31">
        <v>2</v>
      </c>
      <c r="BP218" s="31">
        <v>0</v>
      </c>
      <c r="BQ218" s="31">
        <v>0</v>
      </c>
      <c r="BR218" s="31">
        <v>0</v>
      </c>
      <c r="BS218" s="31">
        <v>0</v>
      </c>
      <c r="BT218" s="31">
        <v>0</v>
      </c>
      <c r="BU218" s="31">
        <v>0</v>
      </c>
      <c r="BV218" s="31">
        <v>0</v>
      </c>
      <c r="BW218" s="31">
        <v>0</v>
      </c>
      <c r="BX218" s="31">
        <v>0</v>
      </c>
      <c r="BY218" s="31">
        <v>0</v>
      </c>
      <c r="BZ218" s="31">
        <v>0</v>
      </c>
      <c r="CA218" s="31">
        <v>0</v>
      </c>
      <c r="CB218" s="31">
        <v>0</v>
      </c>
      <c r="CC218" s="31">
        <v>0</v>
      </c>
      <c r="CD218" s="31">
        <v>0</v>
      </c>
      <c r="CE218" s="31">
        <v>0</v>
      </c>
      <c r="CF218" s="31">
        <v>0</v>
      </c>
      <c r="CG218" s="31">
        <v>0</v>
      </c>
      <c r="CH218" s="31">
        <v>0</v>
      </c>
      <c r="CI218" s="31">
        <v>0</v>
      </c>
      <c r="CJ218" s="31">
        <v>0</v>
      </c>
      <c r="CK218" s="31">
        <v>0</v>
      </c>
      <c r="CL218" s="35">
        <v>0</v>
      </c>
    </row>
    <row r="219" spans="1:90" x14ac:dyDescent="0.15">
      <c r="A219" s="27" t="s">
        <v>1109</v>
      </c>
      <c r="B219" s="28" t="s">
        <v>1110</v>
      </c>
      <c r="C219" s="28">
        <v>0</v>
      </c>
      <c r="D219" s="28">
        <v>0</v>
      </c>
      <c r="E219" s="28">
        <v>0</v>
      </c>
      <c r="F219" s="28">
        <v>0</v>
      </c>
      <c r="G219" s="28">
        <v>12</v>
      </c>
      <c r="H219" s="28">
        <f>IFERROR(VLOOKUP(A219,[1]FALTANTES!$A:$AB,28,FALSE),"-")</f>
        <v>0</v>
      </c>
      <c r="I219" s="42">
        <f>IFERROR(VLOOKUP(A219,[1]FALTANTES!$A:$AC,29,FALSE),"-")</f>
        <v>7</v>
      </c>
      <c r="J219" s="29">
        <f>IFERROR(VLOOKUP(A219,[1]FALTANTES!$A:$AD,30,FALSE),"-")</f>
        <v>-5</v>
      </c>
      <c r="K219" s="30">
        <v>0</v>
      </c>
      <c r="L219" s="30">
        <f t="shared" si="4"/>
        <v>1</v>
      </c>
      <c r="M219" s="31">
        <f>SUMIFS(METALFISA!$E:$E,METALFISA!$A:$A,'Faltantes Fevereiro- Metalfisa'!M$3,METALFISA!$B:$B,'Faltantes Fevereiro- Metalfisa'!$A219)</f>
        <v>0</v>
      </c>
      <c r="N219" s="31">
        <f>SUMIFS(METALFISA!$E:$E,METALFISA!$A:$A,'Faltantes Fevereiro- Metalfisa'!N$3,METALFISA!$B:$B,'Faltantes Fevereiro- Metalfisa'!$A219)</f>
        <v>0</v>
      </c>
      <c r="O219" s="31">
        <f>SUMIFS(METALFISA!$E:$E,METALFISA!$A:$A,'Faltantes Fevereiro- Metalfisa'!O$3,METALFISA!$B:$B,'Faltantes Fevereiro- Metalfisa'!$A219)</f>
        <v>0</v>
      </c>
      <c r="P219" s="31">
        <f>SUMIFS(METALFISA!$E:$E,METALFISA!$A:$A,'Faltantes Fevereiro- Metalfisa'!P$3,METALFISA!$B:$B,'Faltantes Fevereiro- Metalfisa'!$A219)</f>
        <v>0</v>
      </c>
      <c r="Q219" s="31">
        <f>SUMIFS(METALFISA!$E:$E,METALFISA!$A:$A,'Faltantes Fevereiro- Metalfisa'!Q$3,METALFISA!$B:$B,'Faltantes Fevereiro- Metalfisa'!$A219)</f>
        <v>0</v>
      </c>
      <c r="R219" s="31">
        <f>SUMIFS(METALFISA!$E:$E,METALFISA!$A:$A,'Faltantes Fevereiro- Metalfisa'!R$3,METALFISA!$B:$B,'Faltantes Fevereiro- Metalfisa'!$A219)</f>
        <v>0</v>
      </c>
      <c r="S219" s="31">
        <f>SUMIFS(METALFISA!$E:$E,METALFISA!$A:$A,'Faltantes Fevereiro- Metalfisa'!S$3,METALFISA!$B:$B,'Faltantes Fevereiro- Metalfisa'!$A219)</f>
        <v>0</v>
      </c>
      <c r="T219" s="31">
        <f>SUMIFS(METALFISA!$E:$E,METALFISA!$A:$A,'Faltantes Fevereiro- Metalfisa'!T$3,METALFISA!$B:$B,'Faltantes Fevereiro- Metalfisa'!$A219)</f>
        <v>0</v>
      </c>
      <c r="U219" s="31">
        <f>SUMIFS(METALFISA!$E:$E,METALFISA!$A:$A,'Faltantes Fevereiro- Metalfisa'!U$3,METALFISA!$B:$B,'Faltantes Fevereiro- Metalfisa'!$A219)</f>
        <v>0</v>
      </c>
      <c r="V219" s="31">
        <f>SUMIFS(METALFISA!$E:$E,METALFISA!$A:$A,'Faltantes Fevereiro- Metalfisa'!V$3,METALFISA!$B:$B,'Faltantes Fevereiro- Metalfisa'!$A219)</f>
        <v>0</v>
      </c>
      <c r="W219" s="31">
        <f>SUMIFS(METALFISA!$E:$E,METALFISA!$A:$A,'Faltantes Fevereiro- Metalfisa'!W$3,METALFISA!$B:$B,'Faltantes Fevereiro- Metalfisa'!$A219)</f>
        <v>0</v>
      </c>
      <c r="X219" s="31">
        <f>SUMIFS(METALFISA!$E:$E,METALFISA!$A:$A,'Faltantes Fevereiro- Metalfisa'!X$3,METALFISA!$B:$B,'Faltantes Fevereiro- Metalfisa'!$A219)</f>
        <v>0</v>
      </c>
      <c r="Y219" s="31">
        <f>SUMIFS(METALFISA!$E:$E,METALFISA!$A:$A,'Faltantes Fevereiro- Metalfisa'!Y$3,METALFISA!$B:$B,'Faltantes Fevereiro- Metalfisa'!$A219)</f>
        <v>0</v>
      </c>
      <c r="Z219" s="31">
        <f>SUMIFS(METALFISA!$E:$E,METALFISA!$A:$A,'Faltantes Fevereiro- Metalfisa'!Z$3,METALFISA!$B:$B,'Faltantes Fevereiro- Metalfisa'!$A219)</f>
        <v>0</v>
      </c>
      <c r="AA219" s="31">
        <f>SUMIFS(METALFISA!$E:$E,METALFISA!$A:$A,'Faltantes Fevereiro- Metalfisa'!AA$3,METALFISA!$B:$B,'Faltantes Fevereiro- Metalfisa'!$A219)</f>
        <v>0</v>
      </c>
      <c r="AB219" s="31">
        <f>SUMIFS(METALFISA!$E:$E,METALFISA!$A:$A,'Faltantes Fevereiro- Metalfisa'!AB$3,METALFISA!$B:$B,'Faltantes Fevereiro- Metalfisa'!$A219)</f>
        <v>0</v>
      </c>
      <c r="AC219" s="31">
        <f>SUMIFS(METALFISA!$E:$E,METALFISA!$A:$A,'Faltantes Fevereiro- Metalfisa'!AC$3,METALFISA!$B:$B,'Faltantes Fevereiro- Metalfisa'!$A219)</f>
        <v>0</v>
      </c>
      <c r="AD219" s="31">
        <f>SUMIFS(METALFISA!$E:$E,METALFISA!$A:$A,'Faltantes Fevereiro- Metalfisa'!AD$3,METALFISA!$B:$B,'Faltantes Fevereiro- Metalfisa'!$A219)</f>
        <v>0</v>
      </c>
      <c r="AE219" s="31">
        <f>SUMIFS(METALFISA!$E:$E,METALFISA!$A:$A,'Faltantes Fevereiro- Metalfisa'!AE$3,METALFISA!$B:$B,'Faltantes Fevereiro- Metalfisa'!$A219)</f>
        <v>1</v>
      </c>
      <c r="AF219" s="31">
        <f>SUMIFS(METALFISA!$E:$E,METALFISA!$A:$A,'Faltantes Fevereiro- Metalfisa'!AF$3,METALFISA!$B:$B,'Faltantes Fevereiro- Metalfisa'!$A219)</f>
        <v>0</v>
      </c>
      <c r="AG219" s="31">
        <f>SUMIFS(METALFISA!$E:$E,METALFISA!$A:$A,'Faltantes Fevereiro- Metalfisa'!AG$3,METALFISA!$B:$B,'Faltantes Fevereiro- Metalfisa'!$A219)</f>
        <v>0</v>
      </c>
      <c r="AH219" s="31">
        <f>SUMIFS(METALFISA!$E:$E,METALFISA!$A:$A,'Faltantes Fevereiro- Metalfisa'!AH$3,METALFISA!$B:$B,'Faltantes Fevereiro- Metalfisa'!$A219)</f>
        <v>0</v>
      </c>
      <c r="AI219" s="31">
        <f>SUMIFS(METALFISA!$E:$E,METALFISA!$A:$A,'Faltantes Fevereiro- Metalfisa'!AI$3,METALFISA!$B:$B,'Faltantes Fevereiro- Metalfisa'!$A219)</f>
        <v>0</v>
      </c>
      <c r="AJ219" s="31">
        <f>SUMIFS(METALFISA!$E:$E,METALFISA!$A:$A,'Faltantes Fevereiro- Metalfisa'!AJ$3,METALFISA!$B:$B,'Faltantes Fevereiro- Metalfisa'!$A219)</f>
        <v>0</v>
      </c>
      <c r="AK219" s="31">
        <f>SUMIFS(METALFISA!$E:$E,METALFISA!$A:$A,'Faltantes Fevereiro- Metalfisa'!AK$3,METALFISA!$B:$B,'Faltantes Fevereiro- Metalfisa'!$A219)</f>
        <v>0</v>
      </c>
      <c r="AL219" s="31">
        <f>SUMIFS(METALFISA!$E:$E,METALFISA!$A:$A,'Faltantes Fevereiro- Metalfisa'!AL$3,METALFISA!$B:$B,'Faltantes Fevereiro- Metalfisa'!$A219)</f>
        <v>0</v>
      </c>
      <c r="AM219" s="31">
        <f>SUMIFS(METALFISA!$E:$E,METALFISA!$A:$A,'Faltantes Fevereiro- Metalfisa'!AM$3,METALFISA!$B:$B,'Faltantes Fevereiro- Metalfisa'!$A219)</f>
        <v>0</v>
      </c>
      <c r="AN219" s="31">
        <f>SUMIFS(METALFISA!$E:$E,METALFISA!$A:$A,'Faltantes Fevereiro- Metalfisa'!AN$3,METALFISA!$B:$B,'Faltantes Fevereiro- Metalfisa'!$A219)</f>
        <v>0</v>
      </c>
      <c r="AO219" s="31">
        <f>SUMIFS(METALFISA!$E:$E,METALFISA!$A:$A,'Faltantes Fevereiro- Metalfisa'!AO$3,METALFISA!$B:$B,'Faltantes Fevereiro- Metalfisa'!$A219)</f>
        <v>0</v>
      </c>
      <c r="AP219" s="31">
        <f>SUMIFS(METALFISA!$E:$E,METALFISA!$A:$A,'Faltantes Fevereiro- Metalfisa'!AP$3,METALFISA!$B:$B,'Faltantes Fevereiro- Metalfisa'!$A219)</f>
        <v>0</v>
      </c>
      <c r="AQ219" s="31"/>
      <c r="AR219" s="31">
        <f>SUMIFS(METALFISA!$E:$E,METALFISA!$A:$A,'Faltantes Fevereiro- Metalfisa'!AR$3,METALFISA!$B:$B,'Faltantes Fevereiro- Metalfisa'!$A219)</f>
        <v>0</v>
      </c>
      <c r="AS219" s="35">
        <f>SUMIFS(METALFISA!$E:$E,METALFISA!$A:$A,'Faltantes Fevereiro- Metalfisa'!AS$3,METALFISA!$B:$B,'Faltantes Fevereiro- Metalfisa'!$A219)</f>
        <v>0</v>
      </c>
      <c r="AU219" s="18">
        <v>0</v>
      </c>
      <c r="AV219" s="18">
        <v>0</v>
      </c>
      <c r="AW219" s="18">
        <v>0</v>
      </c>
      <c r="AX219" s="18">
        <v>0</v>
      </c>
      <c r="AY219" s="41">
        <v>0</v>
      </c>
      <c r="AZ219" s="31">
        <v>0</v>
      </c>
      <c r="BA219" s="31">
        <v>0</v>
      </c>
      <c r="BB219" s="31">
        <v>0</v>
      </c>
      <c r="BC219" s="31">
        <v>0</v>
      </c>
      <c r="BD219" s="31">
        <v>0</v>
      </c>
      <c r="BE219" s="31">
        <v>0</v>
      </c>
      <c r="BF219" s="31">
        <v>0</v>
      </c>
      <c r="BG219" s="31">
        <v>0</v>
      </c>
      <c r="BH219" s="31">
        <v>0</v>
      </c>
      <c r="BI219" s="31">
        <v>0</v>
      </c>
      <c r="BJ219" s="31">
        <v>0</v>
      </c>
      <c r="BK219" s="31">
        <v>0</v>
      </c>
      <c r="BL219" s="31">
        <v>0</v>
      </c>
      <c r="BM219" s="31">
        <v>0</v>
      </c>
      <c r="BN219" s="31">
        <v>0</v>
      </c>
      <c r="BO219" s="31">
        <v>2</v>
      </c>
      <c r="BP219" s="31">
        <v>0</v>
      </c>
      <c r="BQ219" s="31">
        <v>0</v>
      </c>
      <c r="BR219" s="31">
        <v>0</v>
      </c>
      <c r="BS219" s="31">
        <v>0</v>
      </c>
      <c r="BT219" s="31">
        <v>0</v>
      </c>
      <c r="BU219" s="31">
        <v>0</v>
      </c>
      <c r="BV219" s="31">
        <v>0</v>
      </c>
      <c r="BW219" s="31">
        <v>0</v>
      </c>
      <c r="BX219" s="31">
        <v>0</v>
      </c>
      <c r="BY219" s="31">
        <v>0</v>
      </c>
      <c r="BZ219" s="31">
        <v>0</v>
      </c>
      <c r="CA219" s="31">
        <v>0</v>
      </c>
      <c r="CB219" s="31">
        <v>0</v>
      </c>
      <c r="CC219" s="31">
        <v>0</v>
      </c>
      <c r="CD219" s="31">
        <v>0</v>
      </c>
      <c r="CE219" s="31">
        <v>0</v>
      </c>
      <c r="CF219" s="31">
        <v>0</v>
      </c>
      <c r="CG219" s="31">
        <v>0</v>
      </c>
      <c r="CH219" s="31">
        <v>0</v>
      </c>
      <c r="CI219" s="31">
        <v>0</v>
      </c>
      <c r="CJ219" s="31">
        <v>0</v>
      </c>
      <c r="CK219" s="31">
        <v>0</v>
      </c>
      <c r="CL219" s="35">
        <v>0</v>
      </c>
    </row>
    <row r="220" spans="1:90" x14ac:dyDescent="0.15">
      <c r="A220" s="27" t="s">
        <v>1111</v>
      </c>
      <c r="B220" s="28" t="s">
        <v>1112</v>
      </c>
      <c r="C220" s="28">
        <v>0</v>
      </c>
      <c r="D220" s="28">
        <v>0</v>
      </c>
      <c r="E220" s="28">
        <v>0</v>
      </c>
      <c r="F220" s="28">
        <v>0</v>
      </c>
      <c r="G220" s="28">
        <v>24</v>
      </c>
      <c r="H220" s="28">
        <f>IFERROR(VLOOKUP(A220,[1]FALTANTES!$A:$AB,28,FALSE),"-")</f>
        <v>0</v>
      </c>
      <c r="I220" s="42">
        <f>IFERROR(VLOOKUP(A220,[1]FALTANTES!$A:$AC,29,FALSE),"-")</f>
        <v>8</v>
      </c>
      <c r="J220" s="29">
        <f>IFERROR(VLOOKUP(A220,[1]FALTANTES!$A:$AD,30,FALSE),"-")</f>
        <v>-16</v>
      </c>
      <c r="K220" s="30">
        <v>0</v>
      </c>
      <c r="L220" s="30">
        <f t="shared" si="4"/>
        <v>8</v>
      </c>
      <c r="M220" s="31">
        <f>SUMIFS(METALFISA!$E:$E,METALFISA!$A:$A,'Faltantes Fevereiro- Metalfisa'!M$3,METALFISA!$B:$B,'Faltantes Fevereiro- Metalfisa'!$A220)</f>
        <v>0</v>
      </c>
      <c r="N220" s="31">
        <f>SUMIFS(METALFISA!$E:$E,METALFISA!$A:$A,'Faltantes Fevereiro- Metalfisa'!N$3,METALFISA!$B:$B,'Faltantes Fevereiro- Metalfisa'!$A220)</f>
        <v>0</v>
      </c>
      <c r="O220" s="31">
        <f>SUMIFS(METALFISA!$E:$E,METALFISA!$A:$A,'Faltantes Fevereiro- Metalfisa'!O$3,METALFISA!$B:$B,'Faltantes Fevereiro- Metalfisa'!$A220)</f>
        <v>0</v>
      </c>
      <c r="P220" s="31">
        <f>SUMIFS(METALFISA!$E:$E,METALFISA!$A:$A,'Faltantes Fevereiro- Metalfisa'!P$3,METALFISA!$B:$B,'Faltantes Fevereiro- Metalfisa'!$A220)</f>
        <v>0</v>
      </c>
      <c r="Q220" s="31">
        <f>SUMIFS(METALFISA!$E:$E,METALFISA!$A:$A,'Faltantes Fevereiro- Metalfisa'!Q$3,METALFISA!$B:$B,'Faltantes Fevereiro- Metalfisa'!$A220)</f>
        <v>0</v>
      </c>
      <c r="R220" s="31">
        <f>SUMIFS(METALFISA!$E:$E,METALFISA!$A:$A,'Faltantes Fevereiro- Metalfisa'!R$3,METALFISA!$B:$B,'Faltantes Fevereiro- Metalfisa'!$A220)</f>
        <v>0</v>
      </c>
      <c r="S220" s="31">
        <f>SUMIFS(METALFISA!$E:$E,METALFISA!$A:$A,'Faltantes Fevereiro- Metalfisa'!S$3,METALFISA!$B:$B,'Faltantes Fevereiro- Metalfisa'!$A220)</f>
        <v>0</v>
      </c>
      <c r="T220" s="31">
        <f>SUMIFS(METALFISA!$E:$E,METALFISA!$A:$A,'Faltantes Fevereiro- Metalfisa'!T$3,METALFISA!$B:$B,'Faltantes Fevereiro- Metalfisa'!$A220)</f>
        <v>0</v>
      </c>
      <c r="U220" s="31">
        <f>SUMIFS(METALFISA!$E:$E,METALFISA!$A:$A,'Faltantes Fevereiro- Metalfisa'!U$3,METALFISA!$B:$B,'Faltantes Fevereiro- Metalfisa'!$A220)</f>
        <v>0</v>
      </c>
      <c r="V220" s="31">
        <f>SUMIFS(METALFISA!$E:$E,METALFISA!$A:$A,'Faltantes Fevereiro- Metalfisa'!V$3,METALFISA!$B:$B,'Faltantes Fevereiro- Metalfisa'!$A220)</f>
        <v>0</v>
      </c>
      <c r="W220" s="31">
        <f>SUMIFS(METALFISA!$E:$E,METALFISA!$A:$A,'Faltantes Fevereiro- Metalfisa'!W$3,METALFISA!$B:$B,'Faltantes Fevereiro- Metalfisa'!$A220)</f>
        <v>0</v>
      </c>
      <c r="X220" s="31">
        <f>SUMIFS(METALFISA!$E:$E,METALFISA!$A:$A,'Faltantes Fevereiro- Metalfisa'!X$3,METALFISA!$B:$B,'Faltantes Fevereiro- Metalfisa'!$A220)</f>
        <v>0</v>
      </c>
      <c r="Y220" s="31">
        <f>SUMIFS(METALFISA!$E:$E,METALFISA!$A:$A,'Faltantes Fevereiro- Metalfisa'!Y$3,METALFISA!$B:$B,'Faltantes Fevereiro- Metalfisa'!$A220)</f>
        <v>0</v>
      </c>
      <c r="Z220" s="31">
        <f>SUMIFS(METALFISA!$E:$E,METALFISA!$A:$A,'Faltantes Fevereiro- Metalfisa'!Z$3,METALFISA!$B:$B,'Faltantes Fevereiro- Metalfisa'!$A220)</f>
        <v>0</v>
      </c>
      <c r="AA220" s="31">
        <f>SUMIFS(METALFISA!$E:$E,METALFISA!$A:$A,'Faltantes Fevereiro- Metalfisa'!AA$3,METALFISA!$B:$B,'Faltantes Fevereiro- Metalfisa'!$A220)</f>
        <v>0</v>
      </c>
      <c r="AB220" s="31">
        <f>SUMIFS(METALFISA!$E:$E,METALFISA!$A:$A,'Faltantes Fevereiro- Metalfisa'!AB$3,METALFISA!$B:$B,'Faltantes Fevereiro- Metalfisa'!$A220)</f>
        <v>0</v>
      </c>
      <c r="AC220" s="31">
        <f>SUMIFS(METALFISA!$E:$E,METALFISA!$A:$A,'Faltantes Fevereiro- Metalfisa'!AC$3,METALFISA!$B:$B,'Faltantes Fevereiro- Metalfisa'!$A220)</f>
        <v>0</v>
      </c>
      <c r="AD220" s="31">
        <f>SUMIFS(METALFISA!$E:$E,METALFISA!$A:$A,'Faltantes Fevereiro- Metalfisa'!AD$3,METALFISA!$B:$B,'Faltantes Fevereiro- Metalfisa'!$A220)</f>
        <v>0</v>
      </c>
      <c r="AE220" s="31">
        <f>SUMIFS(METALFISA!$E:$E,METALFISA!$A:$A,'Faltantes Fevereiro- Metalfisa'!AE$3,METALFISA!$B:$B,'Faltantes Fevereiro- Metalfisa'!$A220)</f>
        <v>8</v>
      </c>
      <c r="AF220" s="31">
        <f>SUMIFS(METALFISA!$E:$E,METALFISA!$A:$A,'Faltantes Fevereiro- Metalfisa'!AF$3,METALFISA!$B:$B,'Faltantes Fevereiro- Metalfisa'!$A220)</f>
        <v>0</v>
      </c>
      <c r="AG220" s="31">
        <f>SUMIFS(METALFISA!$E:$E,METALFISA!$A:$A,'Faltantes Fevereiro- Metalfisa'!AG$3,METALFISA!$B:$B,'Faltantes Fevereiro- Metalfisa'!$A220)</f>
        <v>0</v>
      </c>
      <c r="AH220" s="31">
        <f>SUMIFS(METALFISA!$E:$E,METALFISA!$A:$A,'Faltantes Fevereiro- Metalfisa'!AH$3,METALFISA!$B:$B,'Faltantes Fevereiro- Metalfisa'!$A220)</f>
        <v>0</v>
      </c>
      <c r="AI220" s="31">
        <f>SUMIFS(METALFISA!$E:$E,METALFISA!$A:$A,'Faltantes Fevereiro- Metalfisa'!AI$3,METALFISA!$B:$B,'Faltantes Fevereiro- Metalfisa'!$A220)</f>
        <v>0</v>
      </c>
      <c r="AJ220" s="31">
        <f>SUMIFS(METALFISA!$E:$E,METALFISA!$A:$A,'Faltantes Fevereiro- Metalfisa'!AJ$3,METALFISA!$B:$B,'Faltantes Fevereiro- Metalfisa'!$A220)</f>
        <v>0</v>
      </c>
      <c r="AK220" s="31">
        <f>SUMIFS(METALFISA!$E:$E,METALFISA!$A:$A,'Faltantes Fevereiro- Metalfisa'!AK$3,METALFISA!$B:$B,'Faltantes Fevereiro- Metalfisa'!$A220)</f>
        <v>0</v>
      </c>
      <c r="AL220" s="31">
        <f>SUMIFS(METALFISA!$E:$E,METALFISA!$A:$A,'Faltantes Fevereiro- Metalfisa'!AL$3,METALFISA!$B:$B,'Faltantes Fevereiro- Metalfisa'!$A220)</f>
        <v>0</v>
      </c>
      <c r="AM220" s="31">
        <f>SUMIFS(METALFISA!$E:$E,METALFISA!$A:$A,'Faltantes Fevereiro- Metalfisa'!AM$3,METALFISA!$B:$B,'Faltantes Fevereiro- Metalfisa'!$A220)</f>
        <v>0</v>
      </c>
      <c r="AN220" s="31">
        <f>SUMIFS(METALFISA!$E:$E,METALFISA!$A:$A,'Faltantes Fevereiro- Metalfisa'!AN$3,METALFISA!$B:$B,'Faltantes Fevereiro- Metalfisa'!$A220)</f>
        <v>0</v>
      </c>
      <c r="AO220" s="31">
        <f>SUMIFS(METALFISA!$E:$E,METALFISA!$A:$A,'Faltantes Fevereiro- Metalfisa'!AO$3,METALFISA!$B:$B,'Faltantes Fevereiro- Metalfisa'!$A220)</f>
        <v>0</v>
      </c>
      <c r="AP220" s="31">
        <f>SUMIFS(METALFISA!$E:$E,METALFISA!$A:$A,'Faltantes Fevereiro- Metalfisa'!AP$3,METALFISA!$B:$B,'Faltantes Fevereiro- Metalfisa'!$A220)</f>
        <v>0</v>
      </c>
      <c r="AQ220" s="31"/>
      <c r="AR220" s="31">
        <f>SUMIFS(METALFISA!$E:$E,METALFISA!$A:$A,'Faltantes Fevereiro- Metalfisa'!AR$3,METALFISA!$B:$B,'Faltantes Fevereiro- Metalfisa'!$A220)</f>
        <v>0</v>
      </c>
      <c r="AS220" s="35">
        <f>SUMIFS(METALFISA!$E:$E,METALFISA!$A:$A,'Faltantes Fevereiro- Metalfisa'!AS$3,METALFISA!$B:$B,'Faltantes Fevereiro- Metalfisa'!$A220)</f>
        <v>0</v>
      </c>
      <c r="AU220" s="18">
        <v>0</v>
      </c>
      <c r="AV220" s="18">
        <v>0</v>
      </c>
      <c r="AW220" s="18">
        <v>0</v>
      </c>
      <c r="AX220" s="18">
        <v>0</v>
      </c>
      <c r="AY220" s="41">
        <v>0</v>
      </c>
      <c r="AZ220" s="31">
        <v>0</v>
      </c>
      <c r="BA220" s="31">
        <v>0</v>
      </c>
      <c r="BB220" s="31">
        <v>0</v>
      </c>
      <c r="BC220" s="31">
        <v>0</v>
      </c>
      <c r="BD220" s="31">
        <v>0</v>
      </c>
      <c r="BE220" s="31">
        <v>0</v>
      </c>
      <c r="BF220" s="31">
        <v>0</v>
      </c>
      <c r="BG220" s="31">
        <v>0</v>
      </c>
      <c r="BH220" s="31">
        <v>0</v>
      </c>
      <c r="BI220" s="31">
        <v>0</v>
      </c>
      <c r="BJ220" s="31">
        <v>0</v>
      </c>
      <c r="BK220" s="31">
        <v>0</v>
      </c>
      <c r="BL220" s="31">
        <v>0</v>
      </c>
      <c r="BM220" s="31">
        <v>0</v>
      </c>
      <c r="BN220" s="31">
        <v>0</v>
      </c>
      <c r="BO220" s="31">
        <v>4</v>
      </c>
      <c r="BP220" s="31">
        <v>0</v>
      </c>
      <c r="BQ220" s="31">
        <v>0</v>
      </c>
      <c r="BR220" s="31">
        <v>0</v>
      </c>
      <c r="BS220" s="31">
        <v>0</v>
      </c>
      <c r="BT220" s="31">
        <v>0</v>
      </c>
      <c r="BU220" s="31">
        <v>0</v>
      </c>
      <c r="BV220" s="31">
        <v>0</v>
      </c>
      <c r="BW220" s="31">
        <v>0</v>
      </c>
      <c r="BX220" s="31">
        <v>0</v>
      </c>
      <c r="BY220" s="31">
        <v>0</v>
      </c>
      <c r="BZ220" s="31">
        <v>0</v>
      </c>
      <c r="CA220" s="31">
        <v>0</v>
      </c>
      <c r="CB220" s="31">
        <v>0</v>
      </c>
      <c r="CC220" s="31">
        <v>0</v>
      </c>
      <c r="CD220" s="31">
        <v>0</v>
      </c>
      <c r="CE220" s="31">
        <v>0</v>
      </c>
      <c r="CF220" s="31">
        <v>0</v>
      </c>
      <c r="CG220" s="31">
        <v>0</v>
      </c>
      <c r="CH220" s="31">
        <v>0</v>
      </c>
      <c r="CI220" s="31">
        <v>0</v>
      </c>
      <c r="CJ220" s="31">
        <v>0</v>
      </c>
      <c r="CK220" s="31">
        <v>0</v>
      </c>
      <c r="CL220" s="35">
        <v>0</v>
      </c>
    </row>
    <row r="221" spans="1:90" ht="21" x14ac:dyDescent="0.15">
      <c r="A221" s="27" t="s">
        <v>1115</v>
      </c>
      <c r="B221" s="28" t="s">
        <v>1116</v>
      </c>
      <c r="C221" s="28">
        <v>0</v>
      </c>
      <c r="D221" s="28">
        <v>0</v>
      </c>
      <c r="E221" s="28">
        <v>0</v>
      </c>
      <c r="F221" s="28">
        <v>0</v>
      </c>
      <c r="G221" s="28">
        <v>12</v>
      </c>
      <c r="H221" s="28">
        <f>IFERROR(VLOOKUP(A221,[1]FALTANTES!$A:$AB,28,FALSE),"-")</f>
        <v>0</v>
      </c>
      <c r="I221" s="42">
        <f>IFERROR(VLOOKUP(A221,[1]FALTANTES!$A:$AC,29,FALSE),"-")</f>
        <v>0</v>
      </c>
      <c r="J221" s="29">
        <f>IFERROR(VLOOKUP(A221,[1]FALTANTES!$A:$AD,30,FALSE),"-")</f>
        <v>-12</v>
      </c>
      <c r="K221" s="30">
        <v>0</v>
      </c>
      <c r="L221" s="30">
        <f t="shared" si="4"/>
        <v>4</v>
      </c>
      <c r="M221" s="31">
        <f>SUMIFS(METALFISA!$E:$E,METALFISA!$A:$A,'Faltantes Fevereiro- Metalfisa'!M$3,METALFISA!$B:$B,'Faltantes Fevereiro- Metalfisa'!$A221)</f>
        <v>0</v>
      </c>
      <c r="N221" s="31">
        <f>SUMIFS(METALFISA!$E:$E,METALFISA!$A:$A,'Faltantes Fevereiro- Metalfisa'!N$3,METALFISA!$B:$B,'Faltantes Fevereiro- Metalfisa'!$A221)</f>
        <v>0</v>
      </c>
      <c r="O221" s="31">
        <f>SUMIFS(METALFISA!$E:$E,METALFISA!$A:$A,'Faltantes Fevereiro- Metalfisa'!O$3,METALFISA!$B:$B,'Faltantes Fevereiro- Metalfisa'!$A221)</f>
        <v>0</v>
      </c>
      <c r="P221" s="31">
        <f>SUMIFS(METALFISA!$E:$E,METALFISA!$A:$A,'Faltantes Fevereiro- Metalfisa'!P$3,METALFISA!$B:$B,'Faltantes Fevereiro- Metalfisa'!$A221)</f>
        <v>0</v>
      </c>
      <c r="Q221" s="31">
        <f>SUMIFS(METALFISA!$E:$E,METALFISA!$A:$A,'Faltantes Fevereiro- Metalfisa'!Q$3,METALFISA!$B:$B,'Faltantes Fevereiro- Metalfisa'!$A221)</f>
        <v>0</v>
      </c>
      <c r="R221" s="31">
        <f>SUMIFS(METALFISA!$E:$E,METALFISA!$A:$A,'Faltantes Fevereiro- Metalfisa'!R$3,METALFISA!$B:$B,'Faltantes Fevereiro- Metalfisa'!$A221)</f>
        <v>0</v>
      </c>
      <c r="S221" s="31">
        <f>SUMIFS(METALFISA!$E:$E,METALFISA!$A:$A,'Faltantes Fevereiro- Metalfisa'!S$3,METALFISA!$B:$B,'Faltantes Fevereiro- Metalfisa'!$A221)</f>
        <v>0</v>
      </c>
      <c r="T221" s="31">
        <f>SUMIFS(METALFISA!$E:$E,METALFISA!$A:$A,'Faltantes Fevereiro- Metalfisa'!T$3,METALFISA!$B:$B,'Faltantes Fevereiro- Metalfisa'!$A221)</f>
        <v>0</v>
      </c>
      <c r="U221" s="31">
        <f>SUMIFS(METALFISA!$E:$E,METALFISA!$A:$A,'Faltantes Fevereiro- Metalfisa'!U$3,METALFISA!$B:$B,'Faltantes Fevereiro- Metalfisa'!$A221)</f>
        <v>0</v>
      </c>
      <c r="V221" s="31">
        <f>SUMIFS(METALFISA!$E:$E,METALFISA!$A:$A,'Faltantes Fevereiro- Metalfisa'!V$3,METALFISA!$B:$B,'Faltantes Fevereiro- Metalfisa'!$A221)</f>
        <v>0</v>
      </c>
      <c r="W221" s="31">
        <f>SUMIFS(METALFISA!$E:$E,METALFISA!$A:$A,'Faltantes Fevereiro- Metalfisa'!W$3,METALFISA!$B:$B,'Faltantes Fevereiro- Metalfisa'!$A221)</f>
        <v>0</v>
      </c>
      <c r="X221" s="31">
        <f>SUMIFS(METALFISA!$E:$E,METALFISA!$A:$A,'Faltantes Fevereiro- Metalfisa'!X$3,METALFISA!$B:$B,'Faltantes Fevereiro- Metalfisa'!$A221)</f>
        <v>0</v>
      </c>
      <c r="Y221" s="31">
        <f>SUMIFS(METALFISA!$E:$E,METALFISA!$A:$A,'Faltantes Fevereiro- Metalfisa'!Y$3,METALFISA!$B:$B,'Faltantes Fevereiro- Metalfisa'!$A221)</f>
        <v>0</v>
      </c>
      <c r="Z221" s="31">
        <f>SUMIFS(METALFISA!$E:$E,METALFISA!$A:$A,'Faltantes Fevereiro- Metalfisa'!Z$3,METALFISA!$B:$B,'Faltantes Fevereiro- Metalfisa'!$A221)</f>
        <v>0</v>
      </c>
      <c r="AA221" s="31">
        <f>SUMIFS(METALFISA!$E:$E,METALFISA!$A:$A,'Faltantes Fevereiro- Metalfisa'!AA$3,METALFISA!$B:$B,'Faltantes Fevereiro- Metalfisa'!$A221)</f>
        <v>0</v>
      </c>
      <c r="AB221" s="31">
        <f>SUMIFS(METALFISA!$E:$E,METALFISA!$A:$A,'Faltantes Fevereiro- Metalfisa'!AB$3,METALFISA!$B:$B,'Faltantes Fevereiro- Metalfisa'!$A221)</f>
        <v>0</v>
      </c>
      <c r="AC221" s="31">
        <f>SUMIFS(METALFISA!$E:$E,METALFISA!$A:$A,'Faltantes Fevereiro- Metalfisa'!AC$3,METALFISA!$B:$B,'Faltantes Fevereiro- Metalfisa'!$A221)</f>
        <v>0</v>
      </c>
      <c r="AD221" s="31">
        <f>SUMIFS(METALFISA!$E:$E,METALFISA!$A:$A,'Faltantes Fevereiro- Metalfisa'!AD$3,METALFISA!$B:$B,'Faltantes Fevereiro- Metalfisa'!$A221)</f>
        <v>0</v>
      </c>
      <c r="AE221" s="31">
        <f>SUMIFS(METALFISA!$E:$E,METALFISA!$A:$A,'Faltantes Fevereiro- Metalfisa'!AE$3,METALFISA!$B:$B,'Faltantes Fevereiro- Metalfisa'!$A221)</f>
        <v>4</v>
      </c>
      <c r="AF221" s="31">
        <f>SUMIFS(METALFISA!$E:$E,METALFISA!$A:$A,'Faltantes Fevereiro- Metalfisa'!AF$3,METALFISA!$B:$B,'Faltantes Fevereiro- Metalfisa'!$A221)</f>
        <v>0</v>
      </c>
      <c r="AG221" s="31">
        <f>SUMIFS(METALFISA!$E:$E,METALFISA!$A:$A,'Faltantes Fevereiro- Metalfisa'!AG$3,METALFISA!$B:$B,'Faltantes Fevereiro- Metalfisa'!$A221)</f>
        <v>0</v>
      </c>
      <c r="AH221" s="31">
        <f>SUMIFS(METALFISA!$E:$E,METALFISA!$A:$A,'Faltantes Fevereiro- Metalfisa'!AH$3,METALFISA!$B:$B,'Faltantes Fevereiro- Metalfisa'!$A221)</f>
        <v>0</v>
      </c>
      <c r="AI221" s="31">
        <f>SUMIFS(METALFISA!$E:$E,METALFISA!$A:$A,'Faltantes Fevereiro- Metalfisa'!AI$3,METALFISA!$B:$B,'Faltantes Fevereiro- Metalfisa'!$A221)</f>
        <v>0</v>
      </c>
      <c r="AJ221" s="31">
        <f>SUMIFS(METALFISA!$E:$E,METALFISA!$A:$A,'Faltantes Fevereiro- Metalfisa'!AJ$3,METALFISA!$B:$B,'Faltantes Fevereiro- Metalfisa'!$A221)</f>
        <v>0</v>
      </c>
      <c r="AK221" s="31">
        <f>SUMIFS(METALFISA!$E:$E,METALFISA!$A:$A,'Faltantes Fevereiro- Metalfisa'!AK$3,METALFISA!$B:$B,'Faltantes Fevereiro- Metalfisa'!$A221)</f>
        <v>0</v>
      </c>
      <c r="AL221" s="31">
        <f>SUMIFS(METALFISA!$E:$E,METALFISA!$A:$A,'Faltantes Fevereiro- Metalfisa'!AL$3,METALFISA!$B:$B,'Faltantes Fevereiro- Metalfisa'!$A221)</f>
        <v>0</v>
      </c>
      <c r="AM221" s="31">
        <f>SUMIFS(METALFISA!$E:$E,METALFISA!$A:$A,'Faltantes Fevereiro- Metalfisa'!AM$3,METALFISA!$B:$B,'Faltantes Fevereiro- Metalfisa'!$A221)</f>
        <v>0</v>
      </c>
      <c r="AN221" s="31">
        <f>SUMIFS(METALFISA!$E:$E,METALFISA!$A:$A,'Faltantes Fevereiro- Metalfisa'!AN$3,METALFISA!$B:$B,'Faltantes Fevereiro- Metalfisa'!$A221)</f>
        <v>0</v>
      </c>
      <c r="AO221" s="31">
        <f>SUMIFS(METALFISA!$E:$E,METALFISA!$A:$A,'Faltantes Fevereiro- Metalfisa'!AO$3,METALFISA!$B:$B,'Faltantes Fevereiro- Metalfisa'!$A221)</f>
        <v>0</v>
      </c>
      <c r="AP221" s="31">
        <f>SUMIFS(METALFISA!$E:$E,METALFISA!$A:$A,'Faltantes Fevereiro- Metalfisa'!AP$3,METALFISA!$B:$B,'Faltantes Fevereiro- Metalfisa'!$A221)</f>
        <v>0</v>
      </c>
      <c r="AQ221" s="31"/>
      <c r="AR221" s="31">
        <f>SUMIFS(METALFISA!$E:$E,METALFISA!$A:$A,'Faltantes Fevereiro- Metalfisa'!AR$3,METALFISA!$B:$B,'Faltantes Fevereiro- Metalfisa'!$A221)</f>
        <v>0</v>
      </c>
      <c r="AS221" s="35">
        <f>SUMIFS(METALFISA!$E:$E,METALFISA!$A:$A,'Faltantes Fevereiro- Metalfisa'!AS$3,METALFISA!$B:$B,'Faltantes Fevereiro- Metalfisa'!$A221)</f>
        <v>0</v>
      </c>
      <c r="AU221" s="18">
        <v>0</v>
      </c>
      <c r="AV221" s="18">
        <v>0</v>
      </c>
      <c r="AW221" s="18">
        <v>0</v>
      </c>
      <c r="AX221" s="18">
        <v>0</v>
      </c>
      <c r="AY221" s="41">
        <v>0</v>
      </c>
      <c r="AZ221" s="31">
        <v>0</v>
      </c>
      <c r="BA221" s="31">
        <v>0</v>
      </c>
      <c r="BB221" s="31">
        <v>0</v>
      </c>
      <c r="BC221" s="31">
        <v>0</v>
      </c>
      <c r="BD221" s="31">
        <v>0</v>
      </c>
      <c r="BE221" s="31">
        <v>0</v>
      </c>
      <c r="BF221" s="31">
        <v>0</v>
      </c>
      <c r="BG221" s="31">
        <v>0</v>
      </c>
      <c r="BH221" s="31">
        <v>0</v>
      </c>
      <c r="BI221" s="31">
        <v>0</v>
      </c>
      <c r="BJ221" s="31">
        <v>0</v>
      </c>
      <c r="BK221" s="31">
        <v>0</v>
      </c>
      <c r="BL221" s="31">
        <v>0</v>
      </c>
      <c r="BM221" s="31">
        <v>0</v>
      </c>
      <c r="BN221" s="31">
        <v>0</v>
      </c>
      <c r="BO221" s="31">
        <v>2</v>
      </c>
      <c r="BP221" s="31">
        <v>0</v>
      </c>
      <c r="BQ221" s="31">
        <v>0</v>
      </c>
      <c r="BR221" s="31">
        <v>0</v>
      </c>
      <c r="BS221" s="31">
        <v>0</v>
      </c>
      <c r="BT221" s="31">
        <v>0</v>
      </c>
      <c r="BU221" s="31">
        <v>0</v>
      </c>
      <c r="BV221" s="31">
        <v>0</v>
      </c>
      <c r="BW221" s="31">
        <v>0</v>
      </c>
      <c r="BX221" s="31">
        <v>0</v>
      </c>
      <c r="BY221" s="31">
        <v>0</v>
      </c>
      <c r="BZ221" s="31">
        <v>0</v>
      </c>
      <c r="CA221" s="31">
        <v>0</v>
      </c>
      <c r="CB221" s="31">
        <v>0</v>
      </c>
      <c r="CC221" s="31">
        <v>0</v>
      </c>
      <c r="CD221" s="31">
        <v>0</v>
      </c>
      <c r="CE221" s="31">
        <v>0</v>
      </c>
      <c r="CF221" s="31">
        <v>0</v>
      </c>
      <c r="CG221" s="31">
        <v>0</v>
      </c>
      <c r="CH221" s="31">
        <v>0</v>
      </c>
      <c r="CI221" s="31">
        <v>0</v>
      </c>
      <c r="CJ221" s="31">
        <v>0</v>
      </c>
      <c r="CK221" s="31">
        <v>0</v>
      </c>
      <c r="CL221" s="35">
        <v>0</v>
      </c>
    </row>
    <row r="222" spans="1:90" x14ac:dyDescent="0.15">
      <c r="A222" s="27" t="s">
        <v>1123</v>
      </c>
      <c r="B222" s="28" t="s">
        <v>1124</v>
      </c>
      <c r="C222" s="28">
        <v>16</v>
      </c>
      <c r="D222" s="28">
        <v>0</v>
      </c>
      <c r="E222" s="28">
        <v>0</v>
      </c>
      <c r="F222" s="28">
        <v>0</v>
      </c>
      <c r="G222" s="28">
        <v>84</v>
      </c>
      <c r="H222" s="28">
        <f>IFERROR(VLOOKUP(A222,[1]FALTANTES!$A:$AB,28,FALSE),"-")</f>
        <v>0</v>
      </c>
      <c r="I222" s="42">
        <f>IFERROR(VLOOKUP(A222,[1]FALTANTES!$A:$AC,29,FALSE),"-")</f>
        <v>64</v>
      </c>
      <c r="J222" s="29">
        <f>IFERROR(VLOOKUP(A222,[1]FALTANTES!$A:$AD,30,FALSE),"-")</f>
        <v>-36</v>
      </c>
      <c r="K222" s="30">
        <v>0</v>
      </c>
      <c r="L222" s="30">
        <f t="shared" si="4"/>
        <v>16</v>
      </c>
      <c r="M222" s="31">
        <f>SUMIFS(METALFISA!$E:$E,METALFISA!$A:$A,'Faltantes Fevereiro- Metalfisa'!M$3,METALFISA!$B:$B,'Faltantes Fevereiro- Metalfisa'!$A222)</f>
        <v>0</v>
      </c>
      <c r="N222" s="31">
        <f>SUMIFS(METALFISA!$E:$E,METALFISA!$A:$A,'Faltantes Fevereiro- Metalfisa'!N$3,METALFISA!$B:$B,'Faltantes Fevereiro- Metalfisa'!$A222)</f>
        <v>0</v>
      </c>
      <c r="O222" s="31">
        <f>SUMIFS(METALFISA!$E:$E,METALFISA!$A:$A,'Faltantes Fevereiro- Metalfisa'!O$3,METALFISA!$B:$B,'Faltantes Fevereiro- Metalfisa'!$A222)</f>
        <v>0</v>
      </c>
      <c r="P222" s="31">
        <f>SUMIFS(METALFISA!$E:$E,METALFISA!$A:$A,'Faltantes Fevereiro- Metalfisa'!P$3,METALFISA!$B:$B,'Faltantes Fevereiro- Metalfisa'!$A222)</f>
        <v>0</v>
      </c>
      <c r="Q222" s="31">
        <f>SUMIFS(METALFISA!$E:$E,METALFISA!$A:$A,'Faltantes Fevereiro- Metalfisa'!Q$3,METALFISA!$B:$B,'Faltantes Fevereiro- Metalfisa'!$A222)</f>
        <v>0</v>
      </c>
      <c r="R222" s="31">
        <f>SUMIFS(METALFISA!$E:$E,METALFISA!$A:$A,'Faltantes Fevereiro- Metalfisa'!R$3,METALFISA!$B:$B,'Faltantes Fevereiro- Metalfisa'!$A222)</f>
        <v>0</v>
      </c>
      <c r="S222" s="31">
        <f>SUMIFS(METALFISA!$E:$E,METALFISA!$A:$A,'Faltantes Fevereiro- Metalfisa'!S$3,METALFISA!$B:$B,'Faltantes Fevereiro- Metalfisa'!$A222)</f>
        <v>0</v>
      </c>
      <c r="T222" s="31">
        <f>SUMIFS(METALFISA!$E:$E,METALFISA!$A:$A,'Faltantes Fevereiro- Metalfisa'!T$3,METALFISA!$B:$B,'Faltantes Fevereiro- Metalfisa'!$A222)</f>
        <v>0</v>
      </c>
      <c r="U222" s="31">
        <f>SUMIFS(METALFISA!$E:$E,METALFISA!$A:$A,'Faltantes Fevereiro- Metalfisa'!U$3,METALFISA!$B:$B,'Faltantes Fevereiro- Metalfisa'!$A222)</f>
        <v>0</v>
      </c>
      <c r="V222" s="31">
        <f>SUMIFS(METALFISA!$E:$E,METALFISA!$A:$A,'Faltantes Fevereiro- Metalfisa'!V$3,METALFISA!$B:$B,'Faltantes Fevereiro- Metalfisa'!$A222)</f>
        <v>0</v>
      </c>
      <c r="W222" s="31">
        <f>SUMIFS(METALFISA!$E:$E,METALFISA!$A:$A,'Faltantes Fevereiro- Metalfisa'!W$3,METALFISA!$B:$B,'Faltantes Fevereiro- Metalfisa'!$A222)</f>
        <v>0</v>
      </c>
      <c r="X222" s="31">
        <f>SUMIFS(METALFISA!$E:$E,METALFISA!$A:$A,'Faltantes Fevereiro- Metalfisa'!X$3,METALFISA!$B:$B,'Faltantes Fevereiro- Metalfisa'!$A222)</f>
        <v>0</v>
      </c>
      <c r="Y222" s="31">
        <f>SUMIFS(METALFISA!$E:$E,METALFISA!$A:$A,'Faltantes Fevereiro- Metalfisa'!Y$3,METALFISA!$B:$B,'Faltantes Fevereiro- Metalfisa'!$A222)</f>
        <v>0</v>
      </c>
      <c r="Z222" s="31">
        <f>SUMIFS(METALFISA!$E:$E,METALFISA!$A:$A,'Faltantes Fevereiro- Metalfisa'!Z$3,METALFISA!$B:$B,'Faltantes Fevereiro- Metalfisa'!$A222)</f>
        <v>0</v>
      </c>
      <c r="AA222" s="31">
        <f>SUMIFS(METALFISA!$E:$E,METALFISA!$A:$A,'Faltantes Fevereiro- Metalfisa'!AA$3,METALFISA!$B:$B,'Faltantes Fevereiro- Metalfisa'!$A222)</f>
        <v>0</v>
      </c>
      <c r="AB222" s="31">
        <f>SUMIFS(METALFISA!$E:$E,METALFISA!$A:$A,'Faltantes Fevereiro- Metalfisa'!AB$3,METALFISA!$B:$B,'Faltantes Fevereiro- Metalfisa'!$A222)</f>
        <v>0</v>
      </c>
      <c r="AC222" s="31">
        <f>SUMIFS(METALFISA!$E:$E,METALFISA!$A:$A,'Faltantes Fevereiro- Metalfisa'!AC$3,METALFISA!$B:$B,'Faltantes Fevereiro- Metalfisa'!$A222)</f>
        <v>0</v>
      </c>
      <c r="AD222" s="31">
        <f>SUMIFS(METALFISA!$E:$E,METALFISA!$A:$A,'Faltantes Fevereiro- Metalfisa'!AD$3,METALFISA!$B:$B,'Faltantes Fevereiro- Metalfisa'!$A222)</f>
        <v>0</v>
      </c>
      <c r="AE222" s="31">
        <f>SUMIFS(METALFISA!$E:$E,METALFISA!$A:$A,'Faltantes Fevereiro- Metalfisa'!AE$3,METALFISA!$B:$B,'Faltantes Fevereiro- Metalfisa'!$A222)</f>
        <v>16</v>
      </c>
      <c r="AF222" s="31">
        <f>SUMIFS(METALFISA!$E:$E,METALFISA!$A:$A,'Faltantes Fevereiro- Metalfisa'!AF$3,METALFISA!$B:$B,'Faltantes Fevereiro- Metalfisa'!$A222)</f>
        <v>0</v>
      </c>
      <c r="AG222" s="31">
        <f>SUMIFS(METALFISA!$E:$E,METALFISA!$A:$A,'Faltantes Fevereiro- Metalfisa'!AG$3,METALFISA!$B:$B,'Faltantes Fevereiro- Metalfisa'!$A222)</f>
        <v>0</v>
      </c>
      <c r="AH222" s="31">
        <f>SUMIFS(METALFISA!$E:$E,METALFISA!$A:$A,'Faltantes Fevereiro- Metalfisa'!AH$3,METALFISA!$B:$B,'Faltantes Fevereiro- Metalfisa'!$A222)</f>
        <v>0</v>
      </c>
      <c r="AI222" s="31">
        <f>SUMIFS(METALFISA!$E:$E,METALFISA!$A:$A,'Faltantes Fevereiro- Metalfisa'!AI$3,METALFISA!$B:$B,'Faltantes Fevereiro- Metalfisa'!$A222)</f>
        <v>0</v>
      </c>
      <c r="AJ222" s="31">
        <f>SUMIFS(METALFISA!$E:$E,METALFISA!$A:$A,'Faltantes Fevereiro- Metalfisa'!AJ$3,METALFISA!$B:$B,'Faltantes Fevereiro- Metalfisa'!$A222)</f>
        <v>0</v>
      </c>
      <c r="AK222" s="31">
        <f>SUMIFS(METALFISA!$E:$E,METALFISA!$A:$A,'Faltantes Fevereiro- Metalfisa'!AK$3,METALFISA!$B:$B,'Faltantes Fevereiro- Metalfisa'!$A222)</f>
        <v>0</v>
      </c>
      <c r="AL222" s="31">
        <f>SUMIFS(METALFISA!$E:$E,METALFISA!$A:$A,'Faltantes Fevereiro- Metalfisa'!AL$3,METALFISA!$B:$B,'Faltantes Fevereiro- Metalfisa'!$A222)</f>
        <v>0</v>
      </c>
      <c r="AM222" s="31">
        <f>SUMIFS(METALFISA!$E:$E,METALFISA!$A:$A,'Faltantes Fevereiro- Metalfisa'!AM$3,METALFISA!$B:$B,'Faltantes Fevereiro- Metalfisa'!$A222)</f>
        <v>0</v>
      </c>
      <c r="AN222" s="31">
        <f>SUMIFS(METALFISA!$E:$E,METALFISA!$A:$A,'Faltantes Fevereiro- Metalfisa'!AN$3,METALFISA!$B:$B,'Faltantes Fevereiro- Metalfisa'!$A222)</f>
        <v>0</v>
      </c>
      <c r="AO222" s="31">
        <f>SUMIFS(METALFISA!$E:$E,METALFISA!$A:$A,'Faltantes Fevereiro- Metalfisa'!AO$3,METALFISA!$B:$B,'Faltantes Fevereiro- Metalfisa'!$A222)</f>
        <v>0</v>
      </c>
      <c r="AP222" s="31">
        <f>SUMIFS(METALFISA!$E:$E,METALFISA!$A:$A,'Faltantes Fevereiro- Metalfisa'!AP$3,METALFISA!$B:$B,'Faltantes Fevereiro- Metalfisa'!$A222)</f>
        <v>0</v>
      </c>
      <c r="AQ222" s="31"/>
      <c r="AR222" s="31">
        <f>SUMIFS(METALFISA!$E:$E,METALFISA!$A:$A,'Faltantes Fevereiro- Metalfisa'!AR$3,METALFISA!$B:$B,'Faltantes Fevereiro- Metalfisa'!$A222)</f>
        <v>0</v>
      </c>
      <c r="AS222" s="35">
        <f>SUMIFS(METALFISA!$E:$E,METALFISA!$A:$A,'Faltantes Fevereiro- Metalfisa'!AS$3,METALFISA!$B:$B,'Faltantes Fevereiro- Metalfisa'!$A222)</f>
        <v>0</v>
      </c>
      <c r="AU222" s="18">
        <v>0</v>
      </c>
      <c r="AV222" s="18">
        <v>0</v>
      </c>
      <c r="AW222" s="18">
        <v>0</v>
      </c>
      <c r="AX222" s="18">
        <v>0</v>
      </c>
      <c r="AY222" s="41">
        <v>0</v>
      </c>
      <c r="AZ222" s="31">
        <v>0</v>
      </c>
      <c r="BA222" s="31">
        <v>0</v>
      </c>
      <c r="BB222" s="31">
        <v>0</v>
      </c>
      <c r="BC222" s="31">
        <v>0</v>
      </c>
      <c r="BD222" s="31">
        <v>0</v>
      </c>
      <c r="BE222" s="31">
        <v>0</v>
      </c>
      <c r="BF222" s="31">
        <v>0</v>
      </c>
      <c r="BG222" s="31">
        <v>0</v>
      </c>
      <c r="BH222" s="31">
        <v>0</v>
      </c>
      <c r="BI222" s="31">
        <v>0</v>
      </c>
      <c r="BJ222" s="31">
        <v>0</v>
      </c>
      <c r="BK222" s="31">
        <v>0</v>
      </c>
      <c r="BL222" s="31">
        <v>0</v>
      </c>
      <c r="BM222" s="31">
        <v>0</v>
      </c>
      <c r="BN222" s="31">
        <v>4</v>
      </c>
      <c r="BO222" s="31">
        <v>12</v>
      </c>
      <c r="BP222" s="31">
        <v>0</v>
      </c>
      <c r="BQ222" s="31">
        <v>0</v>
      </c>
      <c r="BR222" s="31">
        <v>0</v>
      </c>
      <c r="BS222" s="31">
        <v>0</v>
      </c>
      <c r="BT222" s="31">
        <v>0</v>
      </c>
      <c r="BU222" s="31">
        <v>0</v>
      </c>
      <c r="BV222" s="31">
        <v>0</v>
      </c>
      <c r="BW222" s="31">
        <v>0</v>
      </c>
      <c r="BX222" s="31">
        <v>0</v>
      </c>
      <c r="BY222" s="31">
        <v>0</v>
      </c>
      <c r="BZ222" s="31">
        <v>0</v>
      </c>
      <c r="CA222" s="31">
        <v>0</v>
      </c>
      <c r="CB222" s="31">
        <v>0</v>
      </c>
      <c r="CC222" s="31">
        <v>0</v>
      </c>
      <c r="CD222" s="31">
        <v>0</v>
      </c>
      <c r="CE222" s="31">
        <v>0</v>
      </c>
      <c r="CF222" s="31">
        <v>0</v>
      </c>
      <c r="CG222" s="31">
        <v>0</v>
      </c>
      <c r="CH222" s="31">
        <v>0</v>
      </c>
      <c r="CI222" s="31">
        <v>0</v>
      </c>
      <c r="CJ222" s="31">
        <v>0</v>
      </c>
      <c r="CK222" s="31">
        <v>0</v>
      </c>
      <c r="CL222" s="35">
        <v>0</v>
      </c>
    </row>
    <row r="223" spans="1:90" ht="21" x14ac:dyDescent="0.15">
      <c r="A223" s="27" t="s">
        <v>1133</v>
      </c>
      <c r="B223" s="28" t="s">
        <v>1134</v>
      </c>
      <c r="C223" s="28">
        <v>2</v>
      </c>
      <c r="D223" s="28">
        <v>0</v>
      </c>
      <c r="E223" s="28">
        <v>0</v>
      </c>
      <c r="F223" s="28">
        <v>0</v>
      </c>
      <c r="G223" s="28">
        <v>18</v>
      </c>
      <c r="H223" s="28">
        <f>IFERROR(VLOOKUP(A223,[1]FALTANTES!$A:$AB,28,FALSE),"-")</f>
        <v>0</v>
      </c>
      <c r="I223" s="42">
        <f>IFERROR(VLOOKUP(A223,[1]FALTANTES!$A:$AC,29,FALSE),"-")</f>
        <v>4</v>
      </c>
      <c r="J223" s="29">
        <f>IFERROR(VLOOKUP(A223,[1]FALTANTES!$A:$AD,30,FALSE),"-")</f>
        <v>-16</v>
      </c>
      <c r="K223" s="30"/>
      <c r="L223" s="30">
        <f t="shared" si="4"/>
        <v>2</v>
      </c>
      <c r="M223" s="31">
        <f>SUMIFS(METALFISA!$E:$E,METALFISA!$A:$A,'Faltantes Fevereiro- Metalfisa'!M$3,METALFISA!$B:$B,'Faltantes Fevereiro- Metalfisa'!$A223)</f>
        <v>0</v>
      </c>
      <c r="N223" s="31">
        <f>SUMIFS(METALFISA!$E:$E,METALFISA!$A:$A,'Faltantes Fevereiro- Metalfisa'!N$3,METALFISA!$B:$B,'Faltantes Fevereiro- Metalfisa'!$A223)</f>
        <v>0</v>
      </c>
      <c r="O223" s="31">
        <f>SUMIFS(METALFISA!$E:$E,METALFISA!$A:$A,'Faltantes Fevereiro- Metalfisa'!O$3,METALFISA!$B:$B,'Faltantes Fevereiro- Metalfisa'!$A223)</f>
        <v>0</v>
      </c>
      <c r="P223" s="31">
        <f>SUMIFS(METALFISA!$E:$E,METALFISA!$A:$A,'Faltantes Fevereiro- Metalfisa'!P$3,METALFISA!$B:$B,'Faltantes Fevereiro- Metalfisa'!$A223)</f>
        <v>0</v>
      </c>
      <c r="Q223" s="31">
        <f>SUMIFS(METALFISA!$E:$E,METALFISA!$A:$A,'Faltantes Fevereiro- Metalfisa'!Q$3,METALFISA!$B:$B,'Faltantes Fevereiro- Metalfisa'!$A223)</f>
        <v>0</v>
      </c>
      <c r="R223" s="31">
        <f>SUMIFS(METALFISA!$E:$E,METALFISA!$A:$A,'Faltantes Fevereiro- Metalfisa'!R$3,METALFISA!$B:$B,'Faltantes Fevereiro- Metalfisa'!$A223)</f>
        <v>0</v>
      </c>
      <c r="S223" s="31">
        <f>SUMIFS(METALFISA!$E:$E,METALFISA!$A:$A,'Faltantes Fevereiro- Metalfisa'!S$3,METALFISA!$B:$B,'Faltantes Fevereiro- Metalfisa'!$A223)</f>
        <v>0</v>
      </c>
      <c r="T223" s="31">
        <f>SUMIFS(METALFISA!$E:$E,METALFISA!$A:$A,'Faltantes Fevereiro- Metalfisa'!T$3,METALFISA!$B:$B,'Faltantes Fevereiro- Metalfisa'!$A223)</f>
        <v>0</v>
      </c>
      <c r="U223" s="31">
        <f>SUMIFS(METALFISA!$E:$E,METALFISA!$A:$A,'Faltantes Fevereiro- Metalfisa'!U$3,METALFISA!$B:$B,'Faltantes Fevereiro- Metalfisa'!$A223)</f>
        <v>0</v>
      </c>
      <c r="V223" s="31">
        <f>SUMIFS(METALFISA!$E:$E,METALFISA!$A:$A,'Faltantes Fevereiro- Metalfisa'!V$3,METALFISA!$B:$B,'Faltantes Fevereiro- Metalfisa'!$A223)</f>
        <v>0</v>
      </c>
      <c r="W223" s="31">
        <f>SUMIFS(METALFISA!$E:$E,METALFISA!$A:$A,'Faltantes Fevereiro- Metalfisa'!W$3,METALFISA!$B:$B,'Faltantes Fevereiro- Metalfisa'!$A223)</f>
        <v>0</v>
      </c>
      <c r="X223" s="31">
        <f>SUMIFS(METALFISA!$E:$E,METALFISA!$A:$A,'Faltantes Fevereiro- Metalfisa'!X$3,METALFISA!$B:$B,'Faltantes Fevereiro- Metalfisa'!$A223)</f>
        <v>0</v>
      </c>
      <c r="Y223" s="31">
        <f>SUMIFS(METALFISA!$E:$E,METALFISA!$A:$A,'Faltantes Fevereiro- Metalfisa'!Y$3,METALFISA!$B:$B,'Faltantes Fevereiro- Metalfisa'!$A223)</f>
        <v>0</v>
      </c>
      <c r="Z223" s="31">
        <f>SUMIFS(METALFISA!$E:$E,METALFISA!$A:$A,'Faltantes Fevereiro- Metalfisa'!Z$3,METALFISA!$B:$B,'Faltantes Fevereiro- Metalfisa'!$A223)</f>
        <v>0</v>
      </c>
      <c r="AA223" s="31">
        <f>SUMIFS(METALFISA!$E:$E,METALFISA!$A:$A,'Faltantes Fevereiro- Metalfisa'!AA$3,METALFISA!$B:$B,'Faltantes Fevereiro- Metalfisa'!$A223)</f>
        <v>0</v>
      </c>
      <c r="AB223" s="31">
        <f>SUMIFS(METALFISA!$E:$E,METALFISA!$A:$A,'Faltantes Fevereiro- Metalfisa'!AB$3,METALFISA!$B:$B,'Faltantes Fevereiro- Metalfisa'!$A223)</f>
        <v>0</v>
      </c>
      <c r="AC223" s="31">
        <f>SUMIFS(METALFISA!$E:$E,METALFISA!$A:$A,'Faltantes Fevereiro- Metalfisa'!AC$3,METALFISA!$B:$B,'Faltantes Fevereiro- Metalfisa'!$A223)</f>
        <v>0</v>
      </c>
      <c r="AD223" s="31">
        <f>SUMIFS(METALFISA!$E:$E,METALFISA!$A:$A,'Faltantes Fevereiro- Metalfisa'!AD$3,METALFISA!$B:$B,'Faltantes Fevereiro- Metalfisa'!$A223)</f>
        <v>0</v>
      </c>
      <c r="AE223" s="31">
        <f>SUMIFS(METALFISA!$E:$E,METALFISA!$A:$A,'Faltantes Fevereiro- Metalfisa'!AE$3,METALFISA!$B:$B,'Faltantes Fevereiro- Metalfisa'!$A223)</f>
        <v>2</v>
      </c>
      <c r="AF223" s="31">
        <f>SUMIFS(METALFISA!$E:$E,METALFISA!$A:$A,'Faltantes Fevereiro- Metalfisa'!AF$3,METALFISA!$B:$B,'Faltantes Fevereiro- Metalfisa'!$A223)</f>
        <v>0</v>
      </c>
      <c r="AG223" s="31">
        <f>SUMIFS(METALFISA!$E:$E,METALFISA!$A:$A,'Faltantes Fevereiro- Metalfisa'!AG$3,METALFISA!$B:$B,'Faltantes Fevereiro- Metalfisa'!$A223)</f>
        <v>0</v>
      </c>
      <c r="AH223" s="31">
        <f>SUMIFS(METALFISA!$E:$E,METALFISA!$A:$A,'Faltantes Fevereiro- Metalfisa'!AH$3,METALFISA!$B:$B,'Faltantes Fevereiro- Metalfisa'!$A223)</f>
        <v>0</v>
      </c>
      <c r="AI223" s="31">
        <f>SUMIFS(METALFISA!$E:$E,METALFISA!$A:$A,'Faltantes Fevereiro- Metalfisa'!AI$3,METALFISA!$B:$B,'Faltantes Fevereiro- Metalfisa'!$A223)</f>
        <v>0</v>
      </c>
      <c r="AJ223" s="31">
        <f>SUMIFS(METALFISA!$E:$E,METALFISA!$A:$A,'Faltantes Fevereiro- Metalfisa'!AJ$3,METALFISA!$B:$B,'Faltantes Fevereiro- Metalfisa'!$A223)</f>
        <v>0</v>
      </c>
      <c r="AK223" s="31">
        <f>SUMIFS(METALFISA!$E:$E,METALFISA!$A:$A,'Faltantes Fevereiro- Metalfisa'!AK$3,METALFISA!$B:$B,'Faltantes Fevereiro- Metalfisa'!$A223)</f>
        <v>0</v>
      </c>
      <c r="AL223" s="31">
        <f>SUMIFS(METALFISA!$E:$E,METALFISA!$A:$A,'Faltantes Fevereiro- Metalfisa'!AL$3,METALFISA!$B:$B,'Faltantes Fevereiro- Metalfisa'!$A223)</f>
        <v>0</v>
      </c>
      <c r="AM223" s="31">
        <f>SUMIFS(METALFISA!$E:$E,METALFISA!$A:$A,'Faltantes Fevereiro- Metalfisa'!AM$3,METALFISA!$B:$B,'Faltantes Fevereiro- Metalfisa'!$A223)</f>
        <v>0</v>
      </c>
      <c r="AN223" s="31">
        <f>SUMIFS(METALFISA!$E:$E,METALFISA!$A:$A,'Faltantes Fevereiro- Metalfisa'!AN$3,METALFISA!$B:$B,'Faltantes Fevereiro- Metalfisa'!$A223)</f>
        <v>0</v>
      </c>
      <c r="AO223" s="31">
        <f>SUMIFS(METALFISA!$E:$E,METALFISA!$A:$A,'Faltantes Fevereiro- Metalfisa'!AO$3,METALFISA!$B:$B,'Faltantes Fevereiro- Metalfisa'!$A223)</f>
        <v>0</v>
      </c>
      <c r="AP223" s="31">
        <f>SUMIFS(METALFISA!$E:$E,METALFISA!$A:$A,'Faltantes Fevereiro- Metalfisa'!AP$3,METALFISA!$B:$B,'Faltantes Fevereiro- Metalfisa'!$A223)</f>
        <v>0</v>
      </c>
      <c r="AQ223" s="31"/>
      <c r="AR223" s="31">
        <f>SUMIFS(METALFISA!$E:$E,METALFISA!$A:$A,'Faltantes Fevereiro- Metalfisa'!AR$3,METALFISA!$B:$B,'Faltantes Fevereiro- Metalfisa'!$A223)</f>
        <v>0</v>
      </c>
      <c r="AS223" s="35">
        <f>SUMIFS(METALFISA!$E:$E,METALFISA!$A:$A,'Faltantes Fevereiro- Metalfisa'!AS$3,METALFISA!$B:$B,'Faltantes Fevereiro- Metalfisa'!$A223)</f>
        <v>0</v>
      </c>
      <c r="AU223" s="18">
        <v>0</v>
      </c>
      <c r="AV223" s="18">
        <v>0</v>
      </c>
      <c r="AW223" s="18">
        <v>0</v>
      </c>
      <c r="AX223" s="18">
        <v>0</v>
      </c>
      <c r="AY223" s="41">
        <v>0</v>
      </c>
      <c r="AZ223" s="31">
        <v>0</v>
      </c>
      <c r="BA223" s="31">
        <v>0</v>
      </c>
      <c r="BB223" s="31">
        <v>0</v>
      </c>
      <c r="BC223" s="31">
        <v>0</v>
      </c>
      <c r="BD223" s="31">
        <v>0</v>
      </c>
      <c r="BE223" s="31">
        <v>0</v>
      </c>
      <c r="BF223" s="31">
        <v>0</v>
      </c>
      <c r="BG223" s="31">
        <v>0</v>
      </c>
      <c r="BH223" s="31">
        <v>0</v>
      </c>
      <c r="BI223" s="31">
        <v>0</v>
      </c>
      <c r="BJ223" s="31">
        <v>0</v>
      </c>
      <c r="BK223" s="31">
        <v>0</v>
      </c>
      <c r="BL223" s="31">
        <v>0</v>
      </c>
      <c r="BM223" s="31">
        <v>0</v>
      </c>
      <c r="BN223" s="31">
        <v>2</v>
      </c>
      <c r="BO223" s="31">
        <v>2</v>
      </c>
      <c r="BP223" s="31">
        <v>0</v>
      </c>
      <c r="BQ223" s="31">
        <v>0</v>
      </c>
      <c r="BR223" s="31">
        <v>0</v>
      </c>
      <c r="BS223" s="31">
        <v>0</v>
      </c>
      <c r="BT223" s="31">
        <v>0</v>
      </c>
      <c r="BU223" s="31">
        <v>0</v>
      </c>
      <c r="BV223" s="31">
        <v>0</v>
      </c>
      <c r="BW223" s="31">
        <v>0</v>
      </c>
      <c r="BX223" s="31">
        <v>0</v>
      </c>
      <c r="BY223" s="31">
        <v>0</v>
      </c>
      <c r="BZ223" s="31">
        <v>0</v>
      </c>
      <c r="CA223" s="31">
        <v>0</v>
      </c>
      <c r="CB223" s="31">
        <v>0</v>
      </c>
      <c r="CC223" s="31">
        <v>0</v>
      </c>
      <c r="CD223" s="31">
        <v>0</v>
      </c>
      <c r="CE223" s="31">
        <v>0</v>
      </c>
      <c r="CF223" s="31">
        <v>0</v>
      </c>
      <c r="CG223" s="31">
        <v>0</v>
      </c>
      <c r="CH223" s="31">
        <v>0</v>
      </c>
      <c r="CI223" s="31">
        <v>0</v>
      </c>
      <c r="CJ223" s="31">
        <v>0</v>
      </c>
      <c r="CK223" s="31">
        <v>0</v>
      </c>
      <c r="CL223" s="35">
        <v>0</v>
      </c>
    </row>
    <row r="224" spans="1:90" ht="21" x14ac:dyDescent="0.15">
      <c r="A224" s="27" t="s">
        <v>1135</v>
      </c>
      <c r="B224" s="28" t="s">
        <v>1136</v>
      </c>
      <c r="C224" s="28">
        <v>1</v>
      </c>
      <c r="D224" s="28">
        <v>0</v>
      </c>
      <c r="E224" s="28">
        <v>0</v>
      </c>
      <c r="F224" s="28">
        <v>0</v>
      </c>
      <c r="G224" s="28">
        <v>18</v>
      </c>
      <c r="H224" s="28">
        <f>IFERROR(VLOOKUP(A224,[1]FALTANTES!$A:$AB,28,FALSE),"-")</f>
        <v>1</v>
      </c>
      <c r="I224" s="42">
        <f>IFERROR(VLOOKUP(A224,[1]FALTANTES!$A:$AC,29,FALSE),"-")</f>
        <v>4</v>
      </c>
      <c r="J224" s="29">
        <f>IFERROR(VLOOKUP(A224,[1]FALTANTES!$A:$AD,30,FALSE),"-")</f>
        <v>-19</v>
      </c>
      <c r="K224" s="30"/>
      <c r="L224" s="30">
        <f t="shared" si="4"/>
        <v>2</v>
      </c>
      <c r="M224" s="31">
        <f>SUMIFS(METALFISA!$E:$E,METALFISA!$A:$A,'Faltantes Fevereiro- Metalfisa'!M$3,METALFISA!$B:$B,'Faltantes Fevereiro- Metalfisa'!$A224)</f>
        <v>0</v>
      </c>
      <c r="N224" s="31">
        <f>SUMIFS(METALFISA!$E:$E,METALFISA!$A:$A,'Faltantes Fevereiro- Metalfisa'!N$3,METALFISA!$B:$B,'Faltantes Fevereiro- Metalfisa'!$A224)</f>
        <v>0</v>
      </c>
      <c r="O224" s="31">
        <f>SUMIFS(METALFISA!$E:$E,METALFISA!$A:$A,'Faltantes Fevereiro- Metalfisa'!O$3,METALFISA!$B:$B,'Faltantes Fevereiro- Metalfisa'!$A224)</f>
        <v>0</v>
      </c>
      <c r="P224" s="31">
        <f>SUMIFS(METALFISA!$E:$E,METALFISA!$A:$A,'Faltantes Fevereiro- Metalfisa'!P$3,METALFISA!$B:$B,'Faltantes Fevereiro- Metalfisa'!$A224)</f>
        <v>0</v>
      </c>
      <c r="Q224" s="31">
        <f>SUMIFS(METALFISA!$E:$E,METALFISA!$A:$A,'Faltantes Fevereiro- Metalfisa'!Q$3,METALFISA!$B:$B,'Faltantes Fevereiro- Metalfisa'!$A224)</f>
        <v>0</v>
      </c>
      <c r="R224" s="31">
        <f>SUMIFS(METALFISA!$E:$E,METALFISA!$A:$A,'Faltantes Fevereiro- Metalfisa'!R$3,METALFISA!$B:$B,'Faltantes Fevereiro- Metalfisa'!$A224)</f>
        <v>0</v>
      </c>
      <c r="S224" s="31">
        <f>SUMIFS(METALFISA!$E:$E,METALFISA!$A:$A,'Faltantes Fevereiro- Metalfisa'!S$3,METALFISA!$B:$B,'Faltantes Fevereiro- Metalfisa'!$A224)</f>
        <v>0</v>
      </c>
      <c r="T224" s="31">
        <f>SUMIFS(METALFISA!$E:$E,METALFISA!$A:$A,'Faltantes Fevereiro- Metalfisa'!T$3,METALFISA!$B:$B,'Faltantes Fevereiro- Metalfisa'!$A224)</f>
        <v>0</v>
      </c>
      <c r="U224" s="31">
        <f>SUMIFS(METALFISA!$E:$E,METALFISA!$A:$A,'Faltantes Fevereiro- Metalfisa'!U$3,METALFISA!$B:$B,'Faltantes Fevereiro- Metalfisa'!$A224)</f>
        <v>0</v>
      </c>
      <c r="V224" s="31">
        <f>SUMIFS(METALFISA!$E:$E,METALFISA!$A:$A,'Faltantes Fevereiro- Metalfisa'!V$3,METALFISA!$B:$B,'Faltantes Fevereiro- Metalfisa'!$A224)</f>
        <v>0</v>
      </c>
      <c r="W224" s="31">
        <f>SUMIFS(METALFISA!$E:$E,METALFISA!$A:$A,'Faltantes Fevereiro- Metalfisa'!W$3,METALFISA!$B:$B,'Faltantes Fevereiro- Metalfisa'!$A224)</f>
        <v>0</v>
      </c>
      <c r="X224" s="31">
        <f>SUMIFS(METALFISA!$E:$E,METALFISA!$A:$A,'Faltantes Fevereiro- Metalfisa'!X$3,METALFISA!$B:$B,'Faltantes Fevereiro- Metalfisa'!$A224)</f>
        <v>0</v>
      </c>
      <c r="Y224" s="31">
        <f>SUMIFS(METALFISA!$E:$E,METALFISA!$A:$A,'Faltantes Fevereiro- Metalfisa'!Y$3,METALFISA!$B:$B,'Faltantes Fevereiro- Metalfisa'!$A224)</f>
        <v>0</v>
      </c>
      <c r="Z224" s="31">
        <f>SUMIFS(METALFISA!$E:$E,METALFISA!$A:$A,'Faltantes Fevereiro- Metalfisa'!Z$3,METALFISA!$B:$B,'Faltantes Fevereiro- Metalfisa'!$A224)</f>
        <v>0</v>
      </c>
      <c r="AA224" s="31">
        <f>SUMIFS(METALFISA!$E:$E,METALFISA!$A:$A,'Faltantes Fevereiro- Metalfisa'!AA$3,METALFISA!$B:$B,'Faltantes Fevereiro- Metalfisa'!$A224)</f>
        <v>0</v>
      </c>
      <c r="AB224" s="31">
        <f>SUMIFS(METALFISA!$E:$E,METALFISA!$A:$A,'Faltantes Fevereiro- Metalfisa'!AB$3,METALFISA!$B:$B,'Faltantes Fevereiro- Metalfisa'!$A224)</f>
        <v>0</v>
      </c>
      <c r="AC224" s="31">
        <f>SUMIFS(METALFISA!$E:$E,METALFISA!$A:$A,'Faltantes Fevereiro- Metalfisa'!AC$3,METALFISA!$B:$B,'Faltantes Fevereiro- Metalfisa'!$A224)</f>
        <v>0</v>
      </c>
      <c r="AD224" s="31">
        <f>SUMIFS(METALFISA!$E:$E,METALFISA!$A:$A,'Faltantes Fevereiro- Metalfisa'!AD$3,METALFISA!$B:$B,'Faltantes Fevereiro- Metalfisa'!$A224)</f>
        <v>0</v>
      </c>
      <c r="AE224" s="31">
        <f>SUMIFS(METALFISA!$E:$E,METALFISA!$A:$A,'Faltantes Fevereiro- Metalfisa'!AE$3,METALFISA!$B:$B,'Faltantes Fevereiro- Metalfisa'!$A224)</f>
        <v>2</v>
      </c>
      <c r="AF224" s="31">
        <f>SUMIFS(METALFISA!$E:$E,METALFISA!$A:$A,'Faltantes Fevereiro- Metalfisa'!AF$3,METALFISA!$B:$B,'Faltantes Fevereiro- Metalfisa'!$A224)</f>
        <v>0</v>
      </c>
      <c r="AG224" s="31">
        <f>SUMIFS(METALFISA!$E:$E,METALFISA!$A:$A,'Faltantes Fevereiro- Metalfisa'!AG$3,METALFISA!$B:$B,'Faltantes Fevereiro- Metalfisa'!$A224)</f>
        <v>0</v>
      </c>
      <c r="AH224" s="31">
        <f>SUMIFS(METALFISA!$E:$E,METALFISA!$A:$A,'Faltantes Fevereiro- Metalfisa'!AH$3,METALFISA!$B:$B,'Faltantes Fevereiro- Metalfisa'!$A224)</f>
        <v>0</v>
      </c>
      <c r="AI224" s="31">
        <f>SUMIFS(METALFISA!$E:$E,METALFISA!$A:$A,'Faltantes Fevereiro- Metalfisa'!AI$3,METALFISA!$B:$B,'Faltantes Fevereiro- Metalfisa'!$A224)</f>
        <v>0</v>
      </c>
      <c r="AJ224" s="31">
        <f>SUMIFS(METALFISA!$E:$E,METALFISA!$A:$A,'Faltantes Fevereiro- Metalfisa'!AJ$3,METALFISA!$B:$B,'Faltantes Fevereiro- Metalfisa'!$A224)</f>
        <v>0</v>
      </c>
      <c r="AK224" s="31">
        <f>SUMIFS(METALFISA!$E:$E,METALFISA!$A:$A,'Faltantes Fevereiro- Metalfisa'!AK$3,METALFISA!$B:$B,'Faltantes Fevereiro- Metalfisa'!$A224)</f>
        <v>0</v>
      </c>
      <c r="AL224" s="31">
        <f>SUMIFS(METALFISA!$E:$E,METALFISA!$A:$A,'Faltantes Fevereiro- Metalfisa'!AL$3,METALFISA!$B:$B,'Faltantes Fevereiro- Metalfisa'!$A224)</f>
        <v>0</v>
      </c>
      <c r="AM224" s="31">
        <f>SUMIFS(METALFISA!$E:$E,METALFISA!$A:$A,'Faltantes Fevereiro- Metalfisa'!AM$3,METALFISA!$B:$B,'Faltantes Fevereiro- Metalfisa'!$A224)</f>
        <v>0</v>
      </c>
      <c r="AN224" s="31">
        <f>SUMIFS(METALFISA!$E:$E,METALFISA!$A:$A,'Faltantes Fevereiro- Metalfisa'!AN$3,METALFISA!$B:$B,'Faltantes Fevereiro- Metalfisa'!$A224)</f>
        <v>0</v>
      </c>
      <c r="AO224" s="31">
        <f>SUMIFS(METALFISA!$E:$E,METALFISA!$A:$A,'Faltantes Fevereiro- Metalfisa'!AO$3,METALFISA!$B:$B,'Faltantes Fevereiro- Metalfisa'!$A224)</f>
        <v>0</v>
      </c>
      <c r="AP224" s="31">
        <f>SUMIFS(METALFISA!$E:$E,METALFISA!$A:$A,'Faltantes Fevereiro- Metalfisa'!AP$3,METALFISA!$B:$B,'Faltantes Fevereiro- Metalfisa'!$A224)</f>
        <v>0</v>
      </c>
      <c r="AQ224" s="31"/>
      <c r="AR224" s="31">
        <f>SUMIFS(METALFISA!$E:$E,METALFISA!$A:$A,'Faltantes Fevereiro- Metalfisa'!AR$3,METALFISA!$B:$B,'Faltantes Fevereiro- Metalfisa'!$A224)</f>
        <v>0</v>
      </c>
      <c r="AS224" s="35">
        <f>SUMIFS(METALFISA!$E:$E,METALFISA!$A:$A,'Faltantes Fevereiro- Metalfisa'!AS$3,METALFISA!$B:$B,'Faltantes Fevereiro- Metalfisa'!$A224)</f>
        <v>0</v>
      </c>
      <c r="AU224" s="18">
        <v>0</v>
      </c>
      <c r="AV224" s="18">
        <v>0</v>
      </c>
      <c r="AW224" s="18">
        <v>0</v>
      </c>
      <c r="AX224" s="18">
        <v>0</v>
      </c>
      <c r="AY224" s="41">
        <v>0</v>
      </c>
      <c r="AZ224" s="31">
        <v>0</v>
      </c>
      <c r="BA224" s="31">
        <v>0</v>
      </c>
      <c r="BB224" s="31">
        <v>0</v>
      </c>
      <c r="BC224" s="31">
        <v>0</v>
      </c>
      <c r="BD224" s="31">
        <v>0</v>
      </c>
      <c r="BE224" s="31">
        <v>0</v>
      </c>
      <c r="BF224" s="31">
        <v>0</v>
      </c>
      <c r="BG224" s="31">
        <v>0</v>
      </c>
      <c r="BH224" s="31">
        <v>0</v>
      </c>
      <c r="BI224" s="31">
        <v>0</v>
      </c>
      <c r="BJ224" s="31">
        <v>0</v>
      </c>
      <c r="BK224" s="31">
        <v>0</v>
      </c>
      <c r="BL224" s="31">
        <v>0</v>
      </c>
      <c r="BM224" s="31">
        <v>0</v>
      </c>
      <c r="BN224" s="31">
        <v>2</v>
      </c>
      <c r="BO224" s="31">
        <v>2</v>
      </c>
      <c r="BP224" s="31">
        <v>0</v>
      </c>
      <c r="BQ224" s="31">
        <v>0</v>
      </c>
      <c r="BR224" s="31">
        <v>0</v>
      </c>
      <c r="BS224" s="31">
        <v>0</v>
      </c>
      <c r="BT224" s="31">
        <v>0</v>
      </c>
      <c r="BU224" s="31">
        <v>0</v>
      </c>
      <c r="BV224" s="31">
        <v>0</v>
      </c>
      <c r="BW224" s="31">
        <v>0</v>
      </c>
      <c r="BX224" s="31">
        <v>0</v>
      </c>
      <c r="BY224" s="31">
        <v>0</v>
      </c>
      <c r="BZ224" s="31">
        <v>0</v>
      </c>
      <c r="CA224" s="31">
        <v>0</v>
      </c>
      <c r="CB224" s="31">
        <v>0</v>
      </c>
      <c r="CC224" s="31">
        <v>0</v>
      </c>
      <c r="CD224" s="31">
        <v>0</v>
      </c>
      <c r="CE224" s="31">
        <v>0</v>
      </c>
      <c r="CF224" s="31">
        <v>0</v>
      </c>
      <c r="CG224" s="31">
        <v>0</v>
      </c>
      <c r="CH224" s="31">
        <v>0</v>
      </c>
      <c r="CI224" s="31">
        <v>0</v>
      </c>
      <c r="CJ224" s="31">
        <v>0</v>
      </c>
      <c r="CK224" s="31">
        <v>0</v>
      </c>
      <c r="CL224" s="35">
        <v>0</v>
      </c>
    </row>
    <row r="225" spans="1:90" ht="21" x14ac:dyDescent="0.15">
      <c r="A225" s="27" t="s">
        <v>1139</v>
      </c>
      <c r="B225" s="28" t="s">
        <v>1140</v>
      </c>
      <c r="C225" s="28">
        <v>3</v>
      </c>
      <c r="D225" s="28">
        <v>0</v>
      </c>
      <c r="E225" s="28">
        <v>0</v>
      </c>
      <c r="F225" s="28">
        <v>0</v>
      </c>
      <c r="G225" s="28">
        <v>18</v>
      </c>
      <c r="H225" s="28">
        <f>IFERROR(VLOOKUP(A225,[1]FALTANTES!$A:$AB,28,FALSE),"-")</f>
        <v>0</v>
      </c>
      <c r="I225" s="42">
        <f>IFERROR(VLOOKUP(A225,[1]FALTANTES!$A:$AC,29,FALSE),"-")</f>
        <v>4</v>
      </c>
      <c r="J225" s="29">
        <f>IFERROR(VLOOKUP(A225,[1]FALTANTES!$A:$AD,30,FALSE),"-")</f>
        <v>-17</v>
      </c>
      <c r="K225" s="30"/>
      <c r="L225" s="30">
        <f t="shared" si="4"/>
        <v>2</v>
      </c>
      <c r="M225" s="31">
        <f>SUMIFS(METALFISA!$E:$E,METALFISA!$A:$A,'Faltantes Fevereiro- Metalfisa'!M$3,METALFISA!$B:$B,'Faltantes Fevereiro- Metalfisa'!$A225)</f>
        <v>0</v>
      </c>
      <c r="N225" s="31">
        <f>SUMIFS(METALFISA!$E:$E,METALFISA!$A:$A,'Faltantes Fevereiro- Metalfisa'!N$3,METALFISA!$B:$B,'Faltantes Fevereiro- Metalfisa'!$A225)</f>
        <v>0</v>
      </c>
      <c r="O225" s="31">
        <f>SUMIFS(METALFISA!$E:$E,METALFISA!$A:$A,'Faltantes Fevereiro- Metalfisa'!O$3,METALFISA!$B:$B,'Faltantes Fevereiro- Metalfisa'!$A225)</f>
        <v>0</v>
      </c>
      <c r="P225" s="31">
        <f>SUMIFS(METALFISA!$E:$E,METALFISA!$A:$A,'Faltantes Fevereiro- Metalfisa'!P$3,METALFISA!$B:$B,'Faltantes Fevereiro- Metalfisa'!$A225)</f>
        <v>0</v>
      </c>
      <c r="Q225" s="31">
        <f>SUMIFS(METALFISA!$E:$E,METALFISA!$A:$A,'Faltantes Fevereiro- Metalfisa'!Q$3,METALFISA!$B:$B,'Faltantes Fevereiro- Metalfisa'!$A225)</f>
        <v>0</v>
      </c>
      <c r="R225" s="31">
        <f>SUMIFS(METALFISA!$E:$E,METALFISA!$A:$A,'Faltantes Fevereiro- Metalfisa'!R$3,METALFISA!$B:$B,'Faltantes Fevereiro- Metalfisa'!$A225)</f>
        <v>0</v>
      </c>
      <c r="S225" s="31">
        <f>SUMIFS(METALFISA!$E:$E,METALFISA!$A:$A,'Faltantes Fevereiro- Metalfisa'!S$3,METALFISA!$B:$B,'Faltantes Fevereiro- Metalfisa'!$A225)</f>
        <v>0</v>
      </c>
      <c r="T225" s="31">
        <f>SUMIFS(METALFISA!$E:$E,METALFISA!$A:$A,'Faltantes Fevereiro- Metalfisa'!T$3,METALFISA!$B:$B,'Faltantes Fevereiro- Metalfisa'!$A225)</f>
        <v>0</v>
      </c>
      <c r="U225" s="31">
        <f>SUMIFS(METALFISA!$E:$E,METALFISA!$A:$A,'Faltantes Fevereiro- Metalfisa'!U$3,METALFISA!$B:$B,'Faltantes Fevereiro- Metalfisa'!$A225)</f>
        <v>0</v>
      </c>
      <c r="V225" s="31">
        <f>SUMIFS(METALFISA!$E:$E,METALFISA!$A:$A,'Faltantes Fevereiro- Metalfisa'!V$3,METALFISA!$B:$B,'Faltantes Fevereiro- Metalfisa'!$A225)</f>
        <v>0</v>
      </c>
      <c r="W225" s="31">
        <f>SUMIFS(METALFISA!$E:$E,METALFISA!$A:$A,'Faltantes Fevereiro- Metalfisa'!W$3,METALFISA!$B:$B,'Faltantes Fevereiro- Metalfisa'!$A225)</f>
        <v>0</v>
      </c>
      <c r="X225" s="31">
        <f>SUMIFS(METALFISA!$E:$E,METALFISA!$A:$A,'Faltantes Fevereiro- Metalfisa'!X$3,METALFISA!$B:$B,'Faltantes Fevereiro- Metalfisa'!$A225)</f>
        <v>0</v>
      </c>
      <c r="Y225" s="31">
        <f>SUMIFS(METALFISA!$E:$E,METALFISA!$A:$A,'Faltantes Fevereiro- Metalfisa'!Y$3,METALFISA!$B:$B,'Faltantes Fevereiro- Metalfisa'!$A225)</f>
        <v>0</v>
      </c>
      <c r="Z225" s="31">
        <f>SUMIFS(METALFISA!$E:$E,METALFISA!$A:$A,'Faltantes Fevereiro- Metalfisa'!Z$3,METALFISA!$B:$B,'Faltantes Fevereiro- Metalfisa'!$A225)</f>
        <v>0</v>
      </c>
      <c r="AA225" s="31">
        <f>SUMIFS(METALFISA!$E:$E,METALFISA!$A:$A,'Faltantes Fevereiro- Metalfisa'!AA$3,METALFISA!$B:$B,'Faltantes Fevereiro- Metalfisa'!$A225)</f>
        <v>0</v>
      </c>
      <c r="AB225" s="31">
        <f>SUMIFS(METALFISA!$E:$E,METALFISA!$A:$A,'Faltantes Fevereiro- Metalfisa'!AB$3,METALFISA!$B:$B,'Faltantes Fevereiro- Metalfisa'!$A225)</f>
        <v>0</v>
      </c>
      <c r="AC225" s="31">
        <f>SUMIFS(METALFISA!$E:$E,METALFISA!$A:$A,'Faltantes Fevereiro- Metalfisa'!AC$3,METALFISA!$B:$B,'Faltantes Fevereiro- Metalfisa'!$A225)</f>
        <v>0</v>
      </c>
      <c r="AD225" s="31">
        <f>SUMIFS(METALFISA!$E:$E,METALFISA!$A:$A,'Faltantes Fevereiro- Metalfisa'!AD$3,METALFISA!$B:$B,'Faltantes Fevereiro- Metalfisa'!$A225)</f>
        <v>0</v>
      </c>
      <c r="AE225" s="31">
        <f>SUMIFS(METALFISA!$E:$E,METALFISA!$A:$A,'Faltantes Fevereiro- Metalfisa'!AE$3,METALFISA!$B:$B,'Faltantes Fevereiro- Metalfisa'!$A225)</f>
        <v>2</v>
      </c>
      <c r="AF225" s="31">
        <f>SUMIFS(METALFISA!$E:$E,METALFISA!$A:$A,'Faltantes Fevereiro- Metalfisa'!AF$3,METALFISA!$B:$B,'Faltantes Fevereiro- Metalfisa'!$A225)</f>
        <v>0</v>
      </c>
      <c r="AG225" s="31">
        <f>SUMIFS(METALFISA!$E:$E,METALFISA!$A:$A,'Faltantes Fevereiro- Metalfisa'!AG$3,METALFISA!$B:$B,'Faltantes Fevereiro- Metalfisa'!$A225)</f>
        <v>0</v>
      </c>
      <c r="AH225" s="31">
        <f>SUMIFS(METALFISA!$E:$E,METALFISA!$A:$A,'Faltantes Fevereiro- Metalfisa'!AH$3,METALFISA!$B:$B,'Faltantes Fevereiro- Metalfisa'!$A225)</f>
        <v>0</v>
      </c>
      <c r="AI225" s="31">
        <f>SUMIFS(METALFISA!$E:$E,METALFISA!$A:$A,'Faltantes Fevereiro- Metalfisa'!AI$3,METALFISA!$B:$B,'Faltantes Fevereiro- Metalfisa'!$A225)</f>
        <v>0</v>
      </c>
      <c r="AJ225" s="31">
        <f>SUMIFS(METALFISA!$E:$E,METALFISA!$A:$A,'Faltantes Fevereiro- Metalfisa'!AJ$3,METALFISA!$B:$B,'Faltantes Fevereiro- Metalfisa'!$A225)</f>
        <v>0</v>
      </c>
      <c r="AK225" s="31">
        <f>SUMIFS(METALFISA!$E:$E,METALFISA!$A:$A,'Faltantes Fevereiro- Metalfisa'!AK$3,METALFISA!$B:$B,'Faltantes Fevereiro- Metalfisa'!$A225)</f>
        <v>0</v>
      </c>
      <c r="AL225" s="31">
        <f>SUMIFS(METALFISA!$E:$E,METALFISA!$A:$A,'Faltantes Fevereiro- Metalfisa'!AL$3,METALFISA!$B:$B,'Faltantes Fevereiro- Metalfisa'!$A225)</f>
        <v>0</v>
      </c>
      <c r="AM225" s="31">
        <f>SUMIFS(METALFISA!$E:$E,METALFISA!$A:$A,'Faltantes Fevereiro- Metalfisa'!AM$3,METALFISA!$B:$B,'Faltantes Fevereiro- Metalfisa'!$A225)</f>
        <v>0</v>
      </c>
      <c r="AN225" s="31">
        <f>SUMIFS(METALFISA!$E:$E,METALFISA!$A:$A,'Faltantes Fevereiro- Metalfisa'!AN$3,METALFISA!$B:$B,'Faltantes Fevereiro- Metalfisa'!$A225)</f>
        <v>0</v>
      </c>
      <c r="AO225" s="31">
        <f>SUMIFS(METALFISA!$E:$E,METALFISA!$A:$A,'Faltantes Fevereiro- Metalfisa'!AO$3,METALFISA!$B:$B,'Faltantes Fevereiro- Metalfisa'!$A225)</f>
        <v>0</v>
      </c>
      <c r="AP225" s="31">
        <f>SUMIFS(METALFISA!$E:$E,METALFISA!$A:$A,'Faltantes Fevereiro- Metalfisa'!AP$3,METALFISA!$B:$B,'Faltantes Fevereiro- Metalfisa'!$A225)</f>
        <v>0</v>
      </c>
      <c r="AQ225" s="31"/>
      <c r="AR225" s="31">
        <f>SUMIFS(METALFISA!$E:$E,METALFISA!$A:$A,'Faltantes Fevereiro- Metalfisa'!AR$3,METALFISA!$B:$B,'Faltantes Fevereiro- Metalfisa'!$A225)</f>
        <v>0</v>
      </c>
      <c r="AS225" s="35">
        <f>SUMIFS(METALFISA!$E:$E,METALFISA!$A:$A,'Faltantes Fevereiro- Metalfisa'!AS$3,METALFISA!$B:$B,'Faltantes Fevereiro- Metalfisa'!$A225)</f>
        <v>0</v>
      </c>
      <c r="AU225" s="18">
        <v>0</v>
      </c>
      <c r="AV225" s="18">
        <v>0</v>
      </c>
      <c r="AW225" s="18">
        <v>0</v>
      </c>
      <c r="AX225" s="18">
        <v>0</v>
      </c>
      <c r="AY225" s="41">
        <v>0</v>
      </c>
      <c r="AZ225" s="31">
        <v>0</v>
      </c>
      <c r="BA225" s="31">
        <v>0</v>
      </c>
      <c r="BB225" s="31">
        <v>0</v>
      </c>
      <c r="BC225" s="31">
        <v>0</v>
      </c>
      <c r="BD225" s="31">
        <v>0</v>
      </c>
      <c r="BE225" s="31">
        <v>0</v>
      </c>
      <c r="BF225" s="31">
        <v>0</v>
      </c>
      <c r="BG225" s="31">
        <v>0</v>
      </c>
      <c r="BH225" s="31">
        <v>0</v>
      </c>
      <c r="BI225" s="31">
        <v>0</v>
      </c>
      <c r="BJ225" s="31">
        <v>0</v>
      </c>
      <c r="BK225" s="31">
        <v>0</v>
      </c>
      <c r="BL225" s="31">
        <v>0</v>
      </c>
      <c r="BM225" s="31">
        <v>0</v>
      </c>
      <c r="BN225" s="31">
        <v>2</v>
      </c>
      <c r="BO225" s="31">
        <v>2</v>
      </c>
      <c r="BP225" s="31">
        <v>0</v>
      </c>
      <c r="BQ225" s="31">
        <v>0</v>
      </c>
      <c r="BR225" s="31">
        <v>0</v>
      </c>
      <c r="BS225" s="31">
        <v>0</v>
      </c>
      <c r="BT225" s="31">
        <v>0</v>
      </c>
      <c r="BU225" s="31">
        <v>0</v>
      </c>
      <c r="BV225" s="31">
        <v>0</v>
      </c>
      <c r="BW225" s="31">
        <v>0</v>
      </c>
      <c r="BX225" s="31">
        <v>0</v>
      </c>
      <c r="BY225" s="31">
        <v>0</v>
      </c>
      <c r="BZ225" s="31">
        <v>0</v>
      </c>
      <c r="CA225" s="31">
        <v>0</v>
      </c>
      <c r="CB225" s="31">
        <v>0</v>
      </c>
      <c r="CC225" s="31">
        <v>0</v>
      </c>
      <c r="CD225" s="31">
        <v>0</v>
      </c>
      <c r="CE225" s="31">
        <v>0</v>
      </c>
      <c r="CF225" s="31">
        <v>0</v>
      </c>
      <c r="CG225" s="31">
        <v>0</v>
      </c>
      <c r="CH225" s="31">
        <v>0</v>
      </c>
      <c r="CI225" s="31">
        <v>0</v>
      </c>
      <c r="CJ225" s="31">
        <v>0</v>
      </c>
      <c r="CK225" s="31">
        <v>0</v>
      </c>
      <c r="CL225" s="35">
        <v>0</v>
      </c>
    </row>
    <row r="226" spans="1:90" x14ac:dyDescent="0.15">
      <c r="A226" s="27" t="s">
        <v>1141</v>
      </c>
      <c r="B226" s="28" t="s">
        <v>1142</v>
      </c>
      <c r="C226" s="28">
        <v>0</v>
      </c>
      <c r="D226" s="28">
        <v>0</v>
      </c>
      <c r="E226" s="28">
        <v>0</v>
      </c>
      <c r="F226" s="28">
        <v>0</v>
      </c>
      <c r="G226" s="28">
        <v>13</v>
      </c>
      <c r="H226" s="28">
        <f>IFERROR(VLOOKUP(A226,[1]FALTANTES!$A:$AB,28,FALSE),"-")</f>
        <v>0</v>
      </c>
      <c r="I226" s="42">
        <f>IFERROR(VLOOKUP(A226,[1]FALTANTES!$A:$AC,29,FALSE),"-")</f>
        <v>11</v>
      </c>
      <c r="J226" s="29">
        <f>IFERROR(VLOOKUP(A226,[1]FALTANTES!$A:$AD,30,FALSE),"-")</f>
        <v>-2</v>
      </c>
      <c r="K226" s="30"/>
      <c r="L226" s="30">
        <f t="shared" si="4"/>
        <v>2</v>
      </c>
      <c r="M226" s="31">
        <f>SUMIFS(METALFISA!$E:$E,METALFISA!$A:$A,'Faltantes Fevereiro- Metalfisa'!M$3,METALFISA!$B:$B,'Faltantes Fevereiro- Metalfisa'!$A226)</f>
        <v>0</v>
      </c>
      <c r="N226" s="31">
        <f>SUMIFS(METALFISA!$E:$E,METALFISA!$A:$A,'Faltantes Fevereiro- Metalfisa'!N$3,METALFISA!$B:$B,'Faltantes Fevereiro- Metalfisa'!$A226)</f>
        <v>0</v>
      </c>
      <c r="O226" s="31">
        <f>SUMIFS(METALFISA!$E:$E,METALFISA!$A:$A,'Faltantes Fevereiro- Metalfisa'!O$3,METALFISA!$B:$B,'Faltantes Fevereiro- Metalfisa'!$A226)</f>
        <v>0</v>
      </c>
      <c r="P226" s="31">
        <f>SUMIFS(METALFISA!$E:$E,METALFISA!$A:$A,'Faltantes Fevereiro- Metalfisa'!P$3,METALFISA!$B:$B,'Faltantes Fevereiro- Metalfisa'!$A226)</f>
        <v>0</v>
      </c>
      <c r="Q226" s="31">
        <f>SUMIFS(METALFISA!$E:$E,METALFISA!$A:$A,'Faltantes Fevereiro- Metalfisa'!Q$3,METALFISA!$B:$B,'Faltantes Fevereiro- Metalfisa'!$A226)</f>
        <v>0</v>
      </c>
      <c r="R226" s="31">
        <f>SUMIFS(METALFISA!$E:$E,METALFISA!$A:$A,'Faltantes Fevereiro- Metalfisa'!R$3,METALFISA!$B:$B,'Faltantes Fevereiro- Metalfisa'!$A226)</f>
        <v>0</v>
      </c>
      <c r="S226" s="31">
        <f>SUMIFS(METALFISA!$E:$E,METALFISA!$A:$A,'Faltantes Fevereiro- Metalfisa'!S$3,METALFISA!$B:$B,'Faltantes Fevereiro- Metalfisa'!$A226)</f>
        <v>0</v>
      </c>
      <c r="T226" s="31">
        <f>SUMIFS(METALFISA!$E:$E,METALFISA!$A:$A,'Faltantes Fevereiro- Metalfisa'!T$3,METALFISA!$B:$B,'Faltantes Fevereiro- Metalfisa'!$A226)</f>
        <v>0</v>
      </c>
      <c r="U226" s="31">
        <f>SUMIFS(METALFISA!$E:$E,METALFISA!$A:$A,'Faltantes Fevereiro- Metalfisa'!U$3,METALFISA!$B:$B,'Faltantes Fevereiro- Metalfisa'!$A226)</f>
        <v>0</v>
      </c>
      <c r="V226" s="31">
        <f>SUMIFS(METALFISA!$E:$E,METALFISA!$A:$A,'Faltantes Fevereiro- Metalfisa'!V$3,METALFISA!$B:$B,'Faltantes Fevereiro- Metalfisa'!$A226)</f>
        <v>0</v>
      </c>
      <c r="W226" s="31">
        <f>SUMIFS(METALFISA!$E:$E,METALFISA!$A:$A,'Faltantes Fevereiro- Metalfisa'!W$3,METALFISA!$B:$B,'Faltantes Fevereiro- Metalfisa'!$A226)</f>
        <v>0</v>
      </c>
      <c r="X226" s="31">
        <f>SUMIFS(METALFISA!$E:$E,METALFISA!$A:$A,'Faltantes Fevereiro- Metalfisa'!X$3,METALFISA!$B:$B,'Faltantes Fevereiro- Metalfisa'!$A226)</f>
        <v>0</v>
      </c>
      <c r="Y226" s="31">
        <f>SUMIFS(METALFISA!$E:$E,METALFISA!$A:$A,'Faltantes Fevereiro- Metalfisa'!Y$3,METALFISA!$B:$B,'Faltantes Fevereiro- Metalfisa'!$A226)</f>
        <v>0</v>
      </c>
      <c r="Z226" s="31">
        <f>SUMIFS(METALFISA!$E:$E,METALFISA!$A:$A,'Faltantes Fevereiro- Metalfisa'!Z$3,METALFISA!$B:$B,'Faltantes Fevereiro- Metalfisa'!$A226)</f>
        <v>0</v>
      </c>
      <c r="AA226" s="31">
        <f>SUMIFS(METALFISA!$E:$E,METALFISA!$A:$A,'Faltantes Fevereiro- Metalfisa'!AA$3,METALFISA!$B:$B,'Faltantes Fevereiro- Metalfisa'!$A226)</f>
        <v>0</v>
      </c>
      <c r="AB226" s="31">
        <f>SUMIFS(METALFISA!$E:$E,METALFISA!$A:$A,'Faltantes Fevereiro- Metalfisa'!AB$3,METALFISA!$B:$B,'Faltantes Fevereiro- Metalfisa'!$A226)</f>
        <v>0</v>
      </c>
      <c r="AC226" s="31">
        <f>SUMIFS(METALFISA!$E:$E,METALFISA!$A:$A,'Faltantes Fevereiro- Metalfisa'!AC$3,METALFISA!$B:$B,'Faltantes Fevereiro- Metalfisa'!$A226)</f>
        <v>0</v>
      </c>
      <c r="AD226" s="31">
        <f>SUMIFS(METALFISA!$E:$E,METALFISA!$A:$A,'Faltantes Fevereiro- Metalfisa'!AD$3,METALFISA!$B:$B,'Faltantes Fevereiro- Metalfisa'!$A226)</f>
        <v>0</v>
      </c>
      <c r="AE226" s="31">
        <f>SUMIFS(METALFISA!$E:$E,METALFISA!$A:$A,'Faltantes Fevereiro- Metalfisa'!AE$3,METALFISA!$B:$B,'Faltantes Fevereiro- Metalfisa'!$A226)</f>
        <v>2</v>
      </c>
      <c r="AF226" s="31">
        <f>SUMIFS(METALFISA!$E:$E,METALFISA!$A:$A,'Faltantes Fevereiro- Metalfisa'!AF$3,METALFISA!$B:$B,'Faltantes Fevereiro- Metalfisa'!$A226)</f>
        <v>0</v>
      </c>
      <c r="AG226" s="31">
        <f>SUMIFS(METALFISA!$E:$E,METALFISA!$A:$A,'Faltantes Fevereiro- Metalfisa'!AG$3,METALFISA!$B:$B,'Faltantes Fevereiro- Metalfisa'!$A226)</f>
        <v>0</v>
      </c>
      <c r="AH226" s="31">
        <f>SUMIFS(METALFISA!$E:$E,METALFISA!$A:$A,'Faltantes Fevereiro- Metalfisa'!AH$3,METALFISA!$B:$B,'Faltantes Fevereiro- Metalfisa'!$A226)</f>
        <v>0</v>
      </c>
      <c r="AI226" s="31">
        <f>SUMIFS(METALFISA!$E:$E,METALFISA!$A:$A,'Faltantes Fevereiro- Metalfisa'!AI$3,METALFISA!$B:$B,'Faltantes Fevereiro- Metalfisa'!$A226)</f>
        <v>0</v>
      </c>
      <c r="AJ226" s="31">
        <f>SUMIFS(METALFISA!$E:$E,METALFISA!$A:$A,'Faltantes Fevereiro- Metalfisa'!AJ$3,METALFISA!$B:$B,'Faltantes Fevereiro- Metalfisa'!$A226)</f>
        <v>0</v>
      </c>
      <c r="AK226" s="31">
        <f>SUMIFS(METALFISA!$E:$E,METALFISA!$A:$A,'Faltantes Fevereiro- Metalfisa'!AK$3,METALFISA!$B:$B,'Faltantes Fevereiro- Metalfisa'!$A226)</f>
        <v>0</v>
      </c>
      <c r="AL226" s="31">
        <f>SUMIFS(METALFISA!$E:$E,METALFISA!$A:$A,'Faltantes Fevereiro- Metalfisa'!AL$3,METALFISA!$B:$B,'Faltantes Fevereiro- Metalfisa'!$A226)</f>
        <v>0</v>
      </c>
      <c r="AM226" s="31">
        <f>SUMIFS(METALFISA!$E:$E,METALFISA!$A:$A,'Faltantes Fevereiro- Metalfisa'!AM$3,METALFISA!$B:$B,'Faltantes Fevereiro- Metalfisa'!$A226)</f>
        <v>0</v>
      </c>
      <c r="AN226" s="31">
        <f>SUMIFS(METALFISA!$E:$E,METALFISA!$A:$A,'Faltantes Fevereiro- Metalfisa'!AN$3,METALFISA!$B:$B,'Faltantes Fevereiro- Metalfisa'!$A226)</f>
        <v>0</v>
      </c>
      <c r="AO226" s="31">
        <f>SUMIFS(METALFISA!$E:$E,METALFISA!$A:$A,'Faltantes Fevereiro- Metalfisa'!AO$3,METALFISA!$B:$B,'Faltantes Fevereiro- Metalfisa'!$A226)</f>
        <v>0</v>
      </c>
      <c r="AP226" s="31">
        <f>SUMIFS(METALFISA!$E:$E,METALFISA!$A:$A,'Faltantes Fevereiro- Metalfisa'!AP$3,METALFISA!$B:$B,'Faltantes Fevereiro- Metalfisa'!$A226)</f>
        <v>0</v>
      </c>
      <c r="AQ226" s="31"/>
      <c r="AR226" s="31">
        <f>SUMIFS(METALFISA!$E:$E,METALFISA!$A:$A,'Faltantes Fevereiro- Metalfisa'!AR$3,METALFISA!$B:$B,'Faltantes Fevereiro- Metalfisa'!$A226)</f>
        <v>0</v>
      </c>
      <c r="AS226" s="35">
        <f>SUMIFS(METALFISA!$E:$E,METALFISA!$A:$A,'Faltantes Fevereiro- Metalfisa'!AS$3,METALFISA!$B:$B,'Faltantes Fevereiro- Metalfisa'!$A226)</f>
        <v>0</v>
      </c>
      <c r="AU226" s="18">
        <v>0</v>
      </c>
      <c r="AV226" s="18">
        <v>0</v>
      </c>
      <c r="AW226" s="18">
        <v>0</v>
      </c>
      <c r="AX226" s="18">
        <v>0</v>
      </c>
      <c r="AY226" s="41">
        <v>0</v>
      </c>
      <c r="AZ226" s="31">
        <v>0</v>
      </c>
      <c r="BA226" s="31">
        <v>0</v>
      </c>
      <c r="BB226" s="31">
        <v>0</v>
      </c>
      <c r="BC226" s="31">
        <v>0</v>
      </c>
      <c r="BD226" s="31">
        <v>0</v>
      </c>
      <c r="BE226" s="31">
        <v>0</v>
      </c>
      <c r="BF226" s="31">
        <v>0</v>
      </c>
      <c r="BG226" s="31">
        <v>0</v>
      </c>
      <c r="BH226" s="31">
        <v>0</v>
      </c>
      <c r="BI226" s="31">
        <v>0</v>
      </c>
      <c r="BJ226" s="31">
        <v>0</v>
      </c>
      <c r="BK226" s="31">
        <v>0</v>
      </c>
      <c r="BL226" s="31">
        <v>0</v>
      </c>
      <c r="BM226" s="31">
        <v>0</v>
      </c>
      <c r="BN226" s="31">
        <v>3</v>
      </c>
      <c r="BO226" s="31">
        <v>3</v>
      </c>
      <c r="BP226" s="31">
        <v>0</v>
      </c>
      <c r="BQ226" s="31">
        <v>0</v>
      </c>
      <c r="BR226" s="31">
        <v>0</v>
      </c>
      <c r="BS226" s="31">
        <v>0</v>
      </c>
      <c r="BT226" s="31">
        <v>0</v>
      </c>
      <c r="BU226" s="31">
        <v>0</v>
      </c>
      <c r="BV226" s="31">
        <v>0</v>
      </c>
      <c r="BW226" s="31">
        <v>0</v>
      </c>
      <c r="BX226" s="31">
        <v>0</v>
      </c>
      <c r="BY226" s="31">
        <v>0</v>
      </c>
      <c r="BZ226" s="31">
        <v>0</v>
      </c>
      <c r="CA226" s="31">
        <v>0</v>
      </c>
      <c r="CB226" s="31">
        <v>0</v>
      </c>
      <c r="CC226" s="31">
        <v>0</v>
      </c>
      <c r="CD226" s="31">
        <v>0</v>
      </c>
      <c r="CE226" s="31">
        <v>0</v>
      </c>
      <c r="CF226" s="31">
        <v>0</v>
      </c>
      <c r="CG226" s="31">
        <v>0</v>
      </c>
      <c r="CH226" s="31">
        <v>0</v>
      </c>
      <c r="CI226" s="31">
        <v>0</v>
      </c>
      <c r="CJ226" s="31">
        <v>0</v>
      </c>
      <c r="CK226" s="31">
        <v>0</v>
      </c>
      <c r="CL226" s="35">
        <v>0</v>
      </c>
    </row>
    <row r="227" spans="1:90" x14ac:dyDescent="0.15">
      <c r="A227" s="27" t="s">
        <v>1145</v>
      </c>
      <c r="B227" s="28" t="s">
        <v>1146</v>
      </c>
      <c r="C227" s="28">
        <v>6</v>
      </c>
      <c r="D227" s="28">
        <v>0</v>
      </c>
      <c r="E227" s="28">
        <v>0</v>
      </c>
      <c r="F227" s="28">
        <v>0</v>
      </c>
      <c r="G227" s="28">
        <v>36</v>
      </c>
      <c r="H227" s="28">
        <f>IFERROR(VLOOKUP(A227,[1]FALTANTES!$A:$AB,28,FALSE),"-")</f>
        <v>0</v>
      </c>
      <c r="I227" s="42">
        <f>IFERROR(VLOOKUP(A227,[1]FALTANTES!$A:$AC,29,FALSE),"-")</f>
        <v>8</v>
      </c>
      <c r="J227" s="29">
        <f>IFERROR(VLOOKUP(A227,[1]FALTANTES!$A:$AD,30,FALSE),"-")</f>
        <v>-34</v>
      </c>
      <c r="K227" s="30">
        <v>0</v>
      </c>
      <c r="L227" s="30">
        <f t="shared" si="4"/>
        <v>4</v>
      </c>
      <c r="M227" s="31">
        <f>SUMIFS(METALFISA!$E:$E,METALFISA!$A:$A,'Faltantes Fevereiro- Metalfisa'!M$3,METALFISA!$B:$B,'Faltantes Fevereiro- Metalfisa'!$A227)</f>
        <v>0</v>
      </c>
      <c r="N227" s="31">
        <f>SUMIFS(METALFISA!$E:$E,METALFISA!$A:$A,'Faltantes Fevereiro- Metalfisa'!N$3,METALFISA!$B:$B,'Faltantes Fevereiro- Metalfisa'!$A227)</f>
        <v>0</v>
      </c>
      <c r="O227" s="31">
        <f>SUMIFS(METALFISA!$E:$E,METALFISA!$A:$A,'Faltantes Fevereiro- Metalfisa'!O$3,METALFISA!$B:$B,'Faltantes Fevereiro- Metalfisa'!$A227)</f>
        <v>0</v>
      </c>
      <c r="P227" s="31">
        <f>SUMIFS(METALFISA!$E:$E,METALFISA!$A:$A,'Faltantes Fevereiro- Metalfisa'!P$3,METALFISA!$B:$B,'Faltantes Fevereiro- Metalfisa'!$A227)</f>
        <v>0</v>
      </c>
      <c r="Q227" s="31">
        <f>SUMIFS(METALFISA!$E:$E,METALFISA!$A:$A,'Faltantes Fevereiro- Metalfisa'!Q$3,METALFISA!$B:$B,'Faltantes Fevereiro- Metalfisa'!$A227)</f>
        <v>0</v>
      </c>
      <c r="R227" s="31">
        <f>SUMIFS(METALFISA!$E:$E,METALFISA!$A:$A,'Faltantes Fevereiro- Metalfisa'!R$3,METALFISA!$B:$B,'Faltantes Fevereiro- Metalfisa'!$A227)</f>
        <v>0</v>
      </c>
      <c r="S227" s="31">
        <f>SUMIFS(METALFISA!$E:$E,METALFISA!$A:$A,'Faltantes Fevereiro- Metalfisa'!S$3,METALFISA!$B:$B,'Faltantes Fevereiro- Metalfisa'!$A227)</f>
        <v>0</v>
      </c>
      <c r="T227" s="31">
        <f>SUMIFS(METALFISA!$E:$E,METALFISA!$A:$A,'Faltantes Fevereiro- Metalfisa'!T$3,METALFISA!$B:$B,'Faltantes Fevereiro- Metalfisa'!$A227)</f>
        <v>0</v>
      </c>
      <c r="U227" s="31">
        <f>SUMIFS(METALFISA!$E:$E,METALFISA!$A:$A,'Faltantes Fevereiro- Metalfisa'!U$3,METALFISA!$B:$B,'Faltantes Fevereiro- Metalfisa'!$A227)</f>
        <v>0</v>
      </c>
      <c r="V227" s="31">
        <f>SUMIFS(METALFISA!$E:$E,METALFISA!$A:$A,'Faltantes Fevereiro- Metalfisa'!V$3,METALFISA!$B:$B,'Faltantes Fevereiro- Metalfisa'!$A227)</f>
        <v>0</v>
      </c>
      <c r="W227" s="31">
        <f>SUMIFS(METALFISA!$E:$E,METALFISA!$A:$A,'Faltantes Fevereiro- Metalfisa'!W$3,METALFISA!$B:$B,'Faltantes Fevereiro- Metalfisa'!$A227)</f>
        <v>0</v>
      </c>
      <c r="X227" s="31">
        <f>SUMIFS(METALFISA!$E:$E,METALFISA!$A:$A,'Faltantes Fevereiro- Metalfisa'!X$3,METALFISA!$B:$B,'Faltantes Fevereiro- Metalfisa'!$A227)</f>
        <v>0</v>
      </c>
      <c r="Y227" s="31">
        <f>SUMIFS(METALFISA!$E:$E,METALFISA!$A:$A,'Faltantes Fevereiro- Metalfisa'!Y$3,METALFISA!$B:$B,'Faltantes Fevereiro- Metalfisa'!$A227)</f>
        <v>0</v>
      </c>
      <c r="Z227" s="31">
        <f>SUMIFS(METALFISA!$E:$E,METALFISA!$A:$A,'Faltantes Fevereiro- Metalfisa'!Z$3,METALFISA!$B:$B,'Faltantes Fevereiro- Metalfisa'!$A227)</f>
        <v>0</v>
      </c>
      <c r="AA227" s="31">
        <f>SUMIFS(METALFISA!$E:$E,METALFISA!$A:$A,'Faltantes Fevereiro- Metalfisa'!AA$3,METALFISA!$B:$B,'Faltantes Fevereiro- Metalfisa'!$A227)</f>
        <v>0</v>
      </c>
      <c r="AB227" s="31">
        <f>SUMIFS(METALFISA!$E:$E,METALFISA!$A:$A,'Faltantes Fevereiro- Metalfisa'!AB$3,METALFISA!$B:$B,'Faltantes Fevereiro- Metalfisa'!$A227)</f>
        <v>0</v>
      </c>
      <c r="AC227" s="31">
        <f>SUMIFS(METALFISA!$E:$E,METALFISA!$A:$A,'Faltantes Fevereiro- Metalfisa'!AC$3,METALFISA!$B:$B,'Faltantes Fevereiro- Metalfisa'!$A227)</f>
        <v>0</v>
      </c>
      <c r="AD227" s="31">
        <f>SUMIFS(METALFISA!$E:$E,METALFISA!$A:$A,'Faltantes Fevereiro- Metalfisa'!AD$3,METALFISA!$B:$B,'Faltantes Fevereiro- Metalfisa'!$A227)</f>
        <v>0</v>
      </c>
      <c r="AE227" s="31">
        <f>SUMIFS(METALFISA!$E:$E,METALFISA!$A:$A,'Faltantes Fevereiro- Metalfisa'!AE$3,METALFISA!$B:$B,'Faltantes Fevereiro- Metalfisa'!$A227)</f>
        <v>4</v>
      </c>
      <c r="AF227" s="31">
        <f>SUMIFS(METALFISA!$E:$E,METALFISA!$A:$A,'Faltantes Fevereiro- Metalfisa'!AF$3,METALFISA!$B:$B,'Faltantes Fevereiro- Metalfisa'!$A227)</f>
        <v>0</v>
      </c>
      <c r="AG227" s="31">
        <f>SUMIFS(METALFISA!$E:$E,METALFISA!$A:$A,'Faltantes Fevereiro- Metalfisa'!AG$3,METALFISA!$B:$B,'Faltantes Fevereiro- Metalfisa'!$A227)</f>
        <v>0</v>
      </c>
      <c r="AH227" s="31">
        <f>SUMIFS(METALFISA!$E:$E,METALFISA!$A:$A,'Faltantes Fevereiro- Metalfisa'!AH$3,METALFISA!$B:$B,'Faltantes Fevereiro- Metalfisa'!$A227)</f>
        <v>0</v>
      </c>
      <c r="AI227" s="31">
        <f>SUMIFS(METALFISA!$E:$E,METALFISA!$A:$A,'Faltantes Fevereiro- Metalfisa'!AI$3,METALFISA!$B:$B,'Faltantes Fevereiro- Metalfisa'!$A227)</f>
        <v>0</v>
      </c>
      <c r="AJ227" s="31">
        <f>SUMIFS(METALFISA!$E:$E,METALFISA!$A:$A,'Faltantes Fevereiro- Metalfisa'!AJ$3,METALFISA!$B:$B,'Faltantes Fevereiro- Metalfisa'!$A227)</f>
        <v>0</v>
      </c>
      <c r="AK227" s="31">
        <f>SUMIFS(METALFISA!$E:$E,METALFISA!$A:$A,'Faltantes Fevereiro- Metalfisa'!AK$3,METALFISA!$B:$B,'Faltantes Fevereiro- Metalfisa'!$A227)</f>
        <v>0</v>
      </c>
      <c r="AL227" s="31">
        <f>SUMIFS(METALFISA!$E:$E,METALFISA!$A:$A,'Faltantes Fevereiro- Metalfisa'!AL$3,METALFISA!$B:$B,'Faltantes Fevereiro- Metalfisa'!$A227)</f>
        <v>0</v>
      </c>
      <c r="AM227" s="31">
        <f>SUMIFS(METALFISA!$E:$E,METALFISA!$A:$A,'Faltantes Fevereiro- Metalfisa'!AM$3,METALFISA!$B:$B,'Faltantes Fevereiro- Metalfisa'!$A227)</f>
        <v>0</v>
      </c>
      <c r="AN227" s="31">
        <f>SUMIFS(METALFISA!$E:$E,METALFISA!$A:$A,'Faltantes Fevereiro- Metalfisa'!AN$3,METALFISA!$B:$B,'Faltantes Fevereiro- Metalfisa'!$A227)</f>
        <v>0</v>
      </c>
      <c r="AO227" s="31">
        <f>SUMIFS(METALFISA!$E:$E,METALFISA!$A:$A,'Faltantes Fevereiro- Metalfisa'!AO$3,METALFISA!$B:$B,'Faltantes Fevereiro- Metalfisa'!$A227)</f>
        <v>0</v>
      </c>
      <c r="AP227" s="31">
        <f>SUMIFS(METALFISA!$E:$E,METALFISA!$A:$A,'Faltantes Fevereiro- Metalfisa'!AP$3,METALFISA!$B:$B,'Faltantes Fevereiro- Metalfisa'!$A227)</f>
        <v>0</v>
      </c>
      <c r="AQ227" s="31"/>
      <c r="AR227" s="31">
        <f>SUMIFS(METALFISA!$E:$E,METALFISA!$A:$A,'Faltantes Fevereiro- Metalfisa'!AR$3,METALFISA!$B:$B,'Faltantes Fevereiro- Metalfisa'!$A227)</f>
        <v>0</v>
      </c>
      <c r="AS227" s="35">
        <f>SUMIFS(METALFISA!$E:$E,METALFISA!$A:$A,'Faltantes Fevereiro- Metalfisa'!AS$3,METALFISA!$B:$B,'Faltantes Fevereiro- Metalfisa'!$A227)</f>
        <v>0</v>
      </c>
      <c r="AU227" s="18">
        <v>0</v>
      </c>
      <c r="AV227" s="18">
        <v>0</v>
      </c>
      <c r="AW227" s="18">
        <v>0</v>
      </c>
      <c r="AX227" s="18">
        <v>0</v>
      </c>
      <c r="AY227" s="41">
        <v>0</v>
      </c>
      <c r="AZ227" s="31">
        <v>0</v>
      </c>
      <c r="BA227" s="31">
        <v>0</v>
      </c>
      <c r="BB227" s="31">
        <v>0</v>
      </c>
      <c r="BC227" s="31">
        <v>0</v>
      </c>
      <c r="BD227" s="31">
        <v>0</v>
      </c>
      <c r="BE227" s="31">
        <v>0</v>
      </c>
      <c r="BF227" s="31">
        <v>0</v>
      </c>
      <c r="BG227" s="31">
        <v>0</v>
      </c>
      <c r="BH227" s="31">
        <v>0</v>
      </c>
      <c r="BI227" s="31">
        <v>0</v>
      </c>
      <c r="BJ227" s="31">
        <v>0</v>
      </c>
      <c r="BK227" s="31">
        <v>0</v>
      </c>
      <c r="BL227" s="31">
        <v>0</v>
      </c>
      <c r="BM227" s="31">
        <v>0</v>
      </c>
      <c r="BN227" s="31">
        <v>4</v>
      </c>
      <c r="BO227" s="31">
        <v>4</v>
      </c>
      <c r="BP227" s="31">
        <v>0</v>
      </c>
      <c r="BQ227" s="31">
        <v>0</v>
      </c>
      <c r="BR227" s="31">
        <v>0</v>
      </c>
      <c r="BS227" s="31">
        <v>0</v>
      </c>
      <c r="BT227" s="31">
        <v>0</v>
      </c>
      <c r="BU227" s="31">
        <v>0</v>
      </c>
      <c r="BV227" s="31">
        <v>0</v>
      </c>
      <c r="BW227" s="31">
        <v>0</v>
      </c>
      <c r="BX227" s="31">
        <v>0</v>
      </c>
      <c r="BY227" s="31">
        <v>0</v>
      </c>
      <c r="BZ227" s="31">
        <v>0</v>
      </c>
      <c r="CA227" s="31">
        <v>0</v>
      </c>
      <c r="CB227" s="31">
        <v>0</v>
      </c>
      <c r="CC227" s="31">
        <v>0</v>
      </c>
      <c r="CD227" s="31">
        <v>0</v>
      </c>
      <c r="CE227" s="31">
        <v>0</v>
      </c>
      <c r="CF227" s="31">
        <v>0</v>
      </c>
      <c r="CG227" s="31">
        <v>0</v>
      </c>
      <c r="CH227" s="31">
        <v>0</v>
      </c>
      <c r="CI227" s="31">
        <v>0</v>
      </c>
      <c r="CJ227" s="31">
        <v>0</v>
      </c>
      <c r="CK227" s="31">
        <v>0</v>
      </c>
      <c r="CL227" s="35">
        <v>0</v>
      </c>
    </row>
    <row r="228" spans="1:90" x14ac:dyDescent="0.15">
      <c r="A228" s="27" t="s">
        <v>1147</v>
      </c>
      <c r="B228" s="28" t="s">
        <v>1148</v>
      </c>
      <c r="C228" s="28">
        <v>3</v>
      </c>
      <c r="D228" s="28">
        <v>0</v>
      </c>
      <c r="E228" s="28">
        <v>0</v>
      </c>
      <c r="F228" s="28">
        <v>0</v>
      </c>
      <c r="G228" s="28">
        <v>18</v>
      </c>
      <c r="H228" s="28">
        <f>IFERROR(VLOOKUP(A228,[1]FALTANTES!$A:$AB,28,FALSE),"-")</f>
        <v>0</v>
      </c>
      <c r="I228" s="42">
        <f>IFERROR(VLOOKUP(A228,[1]FALTANTES!$A:$AC,29,FALSE),"-")</f>
        <v>4</v>
      </c>
      <c r="J228" s="29">
        <f>IFERROR(VLOOKUP(A228,[1]FALTANTES!$A:$AD,30,FALSE),"-")</f>
        <v>-17</v>
      </c>
      <c r="K228" s="30">
        <v>0</v>
      </c>
      <c r="L228" s="30">
        <f t="shared" si="4"/>
        <v>2</v>
      </c>
      <c r="M228" s="31">
        <f>SUMIFS(METALFISA!$E:$E,METALFISA!$A:$A,'Faltantes Fevereiro- Metalfisa'!M$3,METALFISA!$B:$B,'Faltantes Fevereiro- Metalfisa'!$A228)</f>
        <v>0</v>
      </c>
      <c r="N228" s="31">
        <f>SUMIFS(METALFISA!$E:$E,METALFISA!$A:$A,'Faltantes Fevereiro- Metalfisa'!N$3,METALFISA!$B:$B,'Faltantes Fevereiro- Metalfisa'!$A228)</f>
        <v>0</v>
      </c>
      <c r="O228" s="31">
        <f>SUMIFS(METALFISA!$E:$E,METALFISA!$A:$A,'Faltantes Fevereiro- Metalfisa'!O$3,METALFISA!$B:$B,'Faltantes Fevereiro- Metalfisa'!$A228)</f>
        <v>0</v>
      </c>
      <c r="P228" s="31">
        <f>SUMIFS(METALFISA!$E:$E,METALFISA!$A:$A,'Faltantes Fevereiro- Metalfisa'!P$3,METALFISA!$B:$B,'Faltantes Fevereiro- Metalfisa'!$A228)</f>
        <v>0</v>
      </c>
      <c r="Q228" s="31">
        <f>SUMIFS(METALFISA!$E:$E,METALFISA!$A:$A,'Faltantes Fevereiro- Metalfisa'!Q$3,METALFISA!$B:$B,'Faltantes Fevereiro- Metalfisa'!$A228)</f>
        <v>0</v>
      </c>
      <c r="R228" s="31">
        <f>SUMIFS(METALFISA!$E:$E,METALFISA!$A:$A,'Faltantes Fevereiro- Metalfisa'!R$3,METALFISA!$B:$B,'Faltantes Fevereiro- Metalfisa'!$A228)</f>
        <v>0</v>
      </c>
      <c r="S228" s="31">
        <f>SUMIFS(METALFISA!$E:$E,METALFISA!$A:$A,'Faltantes Fevereiro- Metalfisa'!S$3,METALFISA!$B:$B,'Faltantes Fevereiro- Metalfisa'!$A228)</f>
        <v>0</v>
      </c>
      <c r="T228" s="31">
        <f>SUMIFS(METALFISA!$E:$E,METALFISA!$A:$A,'Faltantes Fevereiro- Metalfisa'!T$3,METALFISA!$B:$B,'Faltantes Fevereiro- Metalfisa'!$A228)</f>
        <v>0</v>
      </c>
      <c r="U228" s="31">
        <f>SUMIFS(METALFISA!$E:$E,METALFISA!$A:$A,'Faltantes Fevereiro- Metalfisa'!U$3,METALFISA!$B:$B,'Faltantes Fevereiro- Metalfisa'!$A228)</f>
        <v>0</v>
      </c>
      <c r="V228" s="31">
        <f>SUMIFS(METALFISA!$E:$E,METALFISA!$A:$A,'Faltantes Fevereiro- Metalfisa'!V$3,METALFISA!$B:$B,'Faltantes Fevereiro- Metalfisa'!$A228)</f>
        <v>0</v>
      </c>
      <c r="W228" s="31">
        <f>SUMIFS(METALFISA!$E:$E,METALFISA!$A:$A,'Faltantes Fevereiro- Metalfisa'!W$3,METALFISA!$B:$B,'Faltantes Fevereiro- Metalfisa'!$A228)</f>
        <v>0</v>
      </c>
      <c r="X228" s="31">
        <f>SUMIFS(METALFISA!$E:$E,METALFISA!$A:$A,'Faltantes Fevereiro- Metalfisa'!X$3,METALFISA!$B:$B,'Faltantes Fevereiro- Metalfisa'!$A228)</f>
        <v>0</v>
      </c>
      <c r="Y228" s="31">
        <f>SUMIFS(METALFISA!$E:$E,METALFISA!$A:$A,'Faltantes Fevereiro- Metalfisa'!Y$3,METALFISA!$B:$B,'Faltantes Fevereiro- Metalfisa'!$A228)</f>
        <v>0</v>
      </c>
      <c r="Z228" s="31">
        <f>SUMIFS(METALFISA!$E:$E,METALFISA!$A:$A,'Faltantes Fevereiro- Metalfisa'!Z$3,METALFISA!$B:$B,'Faltantes Fevereiro- Metalfisa'!$A228)</f>
        <v>0</v>
      </c>
      <c r="AA228" s="31">
        <f>SUMIFS(METALFISA!$E:$E,METALFISA!$A:$A,'Faltantes Fevereiro- Metalfisa'!AA$3,METALFISA!$B:$B,'Faltantes Fevereiro- Metalfisa'!$A228)</f>
        <v>0</v>
      </c>
      <c r="AB228" s="31">
        <f>SUMIFS(METALFISA!$E:$E,METALFISA!$A:$A,'Faltantes Fevereiro- Metalfisa'!AB$3,METALFISA!$B:$B,'Faltantes Fevereiro- Metalfisa'!$A228)</f>
        <v>0</v>
      </c>
      <c r="AC228" s="31">
        <f>SUMIFS(METALFISA!$E:$E,METALFISA!$A:$A,'Faltantes Fevereiro- Metalfisa'!AC$3,METALFISA!$B:$B,'Faltantes Fevereiro- Metalfisa'!$A228)</f>
        <v>0</v>
      </c>
      <c r="AD228" s="31">
        <f>SUMIFS(METALFISA!$E:$E,METALFISA!$A:$A,'Faltantes Fevereiro- Metalfisa'!AD$3,METALFISA!$B:$B,'Faltantes Fevereiro- Metalfisa'!$A228)</f>
        <v>0</v>
      </c>
      <c r="AE228" s="31">
        <f>SUMIFS(METALFISA!$E:$E,METALFISA!$A:$A,'Faltantes Fevereiro- Metalfisa'!AE$3,METALFISA!$B:$B,'Faltantes Fevereiro- Metalfisa'!$A228)</f>
        <v>2</v>
      </c>
      <c r="AF228" s="31">
        <f>SUMIFS(METALFISA!$E:$E,METALFISA!$A:$A,'Faltantes Fevereiro- Metalfisa'!AF$3,METALFISA!$B:$B,'Faltantes Fevereiro- Metalfisa'!$A228)</f>
        <v>0</v>
      </c>
      <c r="AG228" s="31">
        <f>SUMIFS(METALFISA!$E:$E,METALFISA!$A:$A,'Faltantes Fevereiro- Metalfisa'!AG$3,METALFISA!$B:$B,'Faltantes Fevereiro- Metalfisa'!$A228)</f>
        <v>0</v>
      </c>
      <c r="AH228" s="31">
        <f>SUMIFS(METALFISA!$E:$E,METALFISA!$A:$A,'Faltantes Fevereiro- Metalfisa'!AH$3,METALFISA!$B:$B,'Faltantes Fevereiro- Metalfisa'!$A228)</f>
        <v>0</v>
      </c>
      <c r="AI228" s="31">
        <f>SUMIFS(METALFISA!$E:$E,METALFISA!$A:$A,'Faltantes Fevereiro- Metalfisa'!AI$3,METALFISA!$B:$B,'Faltantes Fevereiro- Metalfisa'!$A228)</f>
        <v>0</v>
      </c>
      <c r="AJ228" s="31">
        <f>SUMIFS(METALFISA!$E:$E,METALFISA!$A:$A,'Faltantes Fevereiro- Metalfisa'!AJ$3,METALFISA!$B:$B,'Faltantes Fevereiro- Metalfisa'!$A228)</f>
        <v>0</v>
      </c>
      <c r="AK228" s="31">
        <f>SUMIFS(METALFISA!$E:$E,METALFISA!$A:$A,'Faltantes Fevereiro- Metalfisa'!AK$3,METALFISA!$B:$B,'Faltantes Fevereiro- Metalfisa'!$A228)</f>
        <v>0</v>
      </c>
      <c r="AL228" s="31">
        <f>SUMIFS(METALFISA!$E:$E,METALFISA!$A:$A,'Faltantes Fevereiro- Metalfisa'!AL$3,METALFISA!$B:$B,'Faltantes Fevereiro- Metalfisa'!$A228)</f>
        <v>0</v>
      </c>
      <c r="AM228" s="31">
        <f>SUMIFS(METALFISA!$E:$E,METALFISA!$A:$A,'Faltantes Fevereiro- Metalfisa'!AM$3,METALFISA!$B:$B,'Faltantes Fevereiro- Metalfisa'!$A228)</f>
        <v>0</v>
      </c>
      <c r="AN228" s="31">
        <f>SUMIFS(METALFISA!$E:$E,METALFISA!$A:$A,'Faltantes Fevereiro- Metalfisa'!AN$3,METALFISA!$B:$B,'Faltantes Fevereiro- Metalfisa'!$A228)</f>
        <v>0</v>
      </c>
      <c r="AO228" s="31">
        <f>SUMIFS(METALFISA!$E:$E,METALFISA!$A:$A,'Faltantes Fevereiro- Metalfisa'!AO$3,METALFISA!$B:$B,'Faltantes Fevereiro- Metalfisa'!$A228)</f>
        <v>0</v>
      </c>
      <c r="AP228" s="31">
        <f>SUMIFS(METALFISA!$E:$E,METALFISA!$A:$A,'Faltantes Fevereiro- Metalfisa'!AP$3,METALFISA!$B:$B,'Faltantes Fevereiro- Metalfisa'!$A228)</f>
        <v>0</v>
      </c>
      <c r="AQ228" s="31"/>
      <c r="AR228" s="31">
        <f>SUMIFS(METALFISA!$E:$E,METALFISA!$A:$A,'Faltantes Fevereiro- Metalfisa'!AR$3,METALFISA!$B:$B,'Faltantes Fevereiro- Metalfisa'!$A228)</f>
        <v>0</v>
      </c>
      <c r="AS228" s="35">
        <f>SUMIFS(METALFISA!$E:$E,METALFISA!$A:$A,'Faltantes Fevereiro- Metalfisa'!AS$3,METALFISA!$B:$B,'Faltantes Fevereiro- Metalfisa'!$A228)</f>
        <v>0</v>
      </c>
      <c r="AU228" s="18">
        <v>0</v>
      </c>
      <c r="AV228" s="18">
        <v>0</v>
      </c>
      <c r="AW228" s="18">
        <v>0</v>
      </c>
      <c r="AX228" s="18">
        <v>0</v>
      </c>
      <c r="AY228" s="41">
        <v>0</v>
      </c>
      <c r="AZ228" s="31">
        <v>0</v>
      </c>
      <c r="BA228" s="31">
        <v>0</v>
      </c>
      <c r="BB228" s="31">
        <v>0</v>
      </c>
      <c r="BC228" s="31">
        <v>0</v>
      </c>
      <c r="BD228" s="31">
        <v>0</v>
      </c>
      <c r="BE228" s="31">
        <v>0</v>
      </c>
      <c r="BF228" s="31">
        <v>0</v>
      </c>
      <c r="BG228" s="31">
        <v>0</v>
      </c>
      <c r="BH228" s="31">
        <v>0</v>
      </c>
      <c r="BI228" s="31">
        <v>0</v>
      </c>
      <c r="BJ228" s="31">
        <v>0</v>
      </c>
      <c r="BK228" s="31">
        <v>0</v>
      </c>
      <c r="BL228" s="31">
        <v>0</v>
      </c>
      <c r="BM228" s="31">
        <v>0</v>
      </c>
      <c r="BN228" s="31">
        <v>2</v>
      </c>
      <c r="BO228" s="31">
        <v>2</v>
      </c>
      <c r="BP228" s="31">
        <v>0</v>
      </c>
      <c r="BQ228" s="31">
        <v>0</v>
      </c>
      <c r="BR228" s="31">
        <v>0</v>
      </c>
      <c r="BS228" s="31">
        <v>0</v>
      </c>
      <c r="BT228" s="31">
        <v>0</v>
      </c>
      <c r="BU228" s="31">
        <v>0</v>
      </c>
      <c r="BV228" s="31">
        <v>0</v>
      </c>
      <c r="BW228" s="31">
        <v>0</v>
      </c>
      <c r="BX228" s="31">
        <v>0</v>
      </c>
      <c r="BY228" s="31">
        <v>0</v>
      </c>
      <c r="BZ228" s="31">
        <v>0</v>
      </c>
      <c r="CA228" s="31">
        <v>0</v>
      </c>
      <c r="CB228" s="31">
        <v>0</v>
      </c>
      <c r="CC228" s="31">
        <v>0</v>
      </c>
      <c r="CD228" s="31">
        <v>0</v>
      </c>
      <c r="CE228" s="31">
        <v>0</v>
      </c>
      <c r="CF228" s="31">
        <v>0</v>
      </c>
      <c r="CG228" s="31">
        <v>0</v>
      </c>
      <c r="CH228" s="31">
        <v>0</v>
      </c>
      <c r="CI228" s="31">
        <v>0</v>
      </c>
      <c r="CJ228" s="31">
        <v>0</v>
      </c>
      <c r="CK228" s="31">
        <v>0</v>
      </c>
      <c r="CL228" s="35">
        <v>0</v>
      </c>
    </row>
    <row r="229" spans="1:90" x14ac:dyDescent="0.15">
      <c r="A229" s="27" t="s">
        <v>1151</v>
      </c>
      <c r="B229" s="28" t="s">
        <v>1152</v>
      </c>
      <c r="C229" s="28">
        <v>2</v>
      </c>
      <c r="D229" s="28">
        <v>0</v>
      </c>
      <c r="E229" s="28">
        <v>0</v>
      </c>
      <c r="F229" s="28">
        <v>0</v>
      </c>
      <c r="G229" s="28">
        <v>18</v>
      </c>
      <c r="H229" s="28">
        <f>IFERROR(VLOOKUP(A229,[1]FALTANTES!$A:$AB,28,FALSE),"-")</f>
        <v>0</v>
      </c>
      <c r="I229" s="42">
        <f>IFERROR(VLOOKUP(A229,[1]FALTANTES!$A:$AC,29,FALSE),"-")</f>
        <v>12</v>
      </c>
      <c r="J229" s="29">
        <f>IFERROR(VLOOKUP(A229,[1]FALTANTES!$A:$AD,30,FALSE),"-")</f>
        <v>-8</v>
      </c>
      <c r="K229" s="30">
        <v>0</v>
      </c>
      <c r="L229" s="30">
        <f t="shared" si="4"/>
        <v>2</v>
      </c>
      <c r="M229" s="31">
        <f>SUMIFS(METALFISA!$E:$E,METALFISA!$A:$A,'Faltantes Fevereiro- Metalfisa'!M$3,METALFISA!$B:$B,'Faltantes Fevereiro- Metalfisa'!$A229)</f>
        <v>0</v>
      </c>
      <c r="N229" s="31">
        <f>SUMIFS(METALFISA!$E:$E,METALFISA!$A:$A,'Faltantes Fevereiro- Metalfisa'!N$3,METALFISA!$B:$B,'Faltantes Fevereiro- Metalfisa'!$A229)</f>
        <v>0</v>
      </c>
      <c r="O229" s="31">
        <f>SUMIFS(METALFISA!$E:$E,METALFISA!$A:$A,'Faltantes Fevereiro- Metalfisa'!O$3,METALFISA!$B:$B,'Faltantes Fevereiro- Metalfisa'!$A229)</f>
        <v>0</v>
      </c>
      <c r="P229" s="31">
        <f>SUMIFS(METALFISA!$E:$E,METALFISA!$A:$A,'Faltantes Fevereiro- Metalfisa'!P$3,METALFISA!$B:$B,'Faltantes Fevereiro- Metalfisa'!$A229)</f>
        <v>0</v>
      </c>
      <c r="Q229" s="31">
        <f>SUMIFS(METALFISA!$E:$E,METALFISA!$A:$A,'Faltantes Fevereiro- Metalfisa'!Q$3,METALFISA!$B:$B,'Faltantes Fevereiro- Metalfisa'!$A229)</f>
        <v>0</v>
      </c>
      <c r="R229" s="31">
        <f>SUMIFS(METALFISA!$E:$E,METALFISA!$A:$A,'Faltantes Fevereiro- Metalfisa'!R$3,METALFISA!$B:$B,'Faltantes Fevereiro- Metalfisa'!$A229)</f>
        <v>0</v>
      </c>
      <c r="S229" s="31">
        <f>SUMIFS(METALFISA!$E:$E,METALFISA!$A:$A,'Faltantes Fevereiro- Metalfisa'!S$3,METALFISA!$B:$B,'Faltantes Fevereiro- Metalfisa'!$A229)</f>
        <v>0</v>
      </c>
      <c r="T229" s="31">
        <f>SUMIFS(METALFISA!$E:$E,METALFISA!$A:$A,'Faltantes Fevereiro- Metalfisa'!T$3,METALFISA!$B:$B,'Faltantes Fevereiro- Metalfisa'!$A229)</f>
        <v>0</v>
      </c>
      <c r="U229" s="31">
        <f>SUMIFS(METALFISA!$E:$E,METALFISA!$A:$A,'Faltantes Fevereiro- Metalfisa'!U$3,METALFISA!$B:$B,'Faltantes Fevereiro- Metalfisa'!$A229)</f>
        <v>0</v>
      </c>
      <c r="V229" s="31">
        <f>SUMIFS(METALFISA!$E:$E,METALFISA!$A:$A,'Faltantes Fevereiro- Metalfisa'!V$3,METALFISA!$B:$B,'Faltantes Fevereiro- Metalfisa'!$A229)</f>
        <v>0</v>
      </c>
      <c r="W229" s="31">
        <f>SUMIFS(METALFISA!$E:$E,METALFISA!$A:$A,'Faltantes Fevereiro- Metalfisa'!W$3,METALFISA!$B:$B,'Faltantes Fevereiro- Metalfisa'!$A229)</f>
        <v>0</v>
      </c>
      <c r="X229" s="31">
        <f>SUMIFS(METALFISA!$E:$E,METALFISA!$A:$A,'Faltantes Fevereiro- Metalfisa'!X$3,METALFISA!$B:$B,'Faltantes Fevereiro- Metalfisa'!$A229)</f>
        <v>0</v>
      </c>
      <c r="Y229" s="31">
        <f>SUMIFS(METALFISA!$E:$E,METALFISA!$A:$A,'Faltantes Fevereiro- Metalfisa'!Y$3,METALFISA!$B:$B,'Faltantes Fevereiro- Metalfisa'!$A229)</f>
        <v>0</v>
      </c>
      <c r="Z229" s="31">
        <f>SUMIFS(METALFISA!$E:$E,METALFISA!$A:$A,'Faltantes Fevereiro- Metalfisa'!Z$3,METALFISA!$B:$B,'Faltantes Fevereiro- Metalfisa'!$A229)</f>
        <v>0</v>
      </c>
      <c r="AA229" s="31">
        <f>SUMIFS(METALFISA!$E:$E,METALFISA!$A:$A,'Faltantes Fevereiro- Metalfisa'!AA$3,METALFISA!$B:$B,'Faltantes Fevereiro- Metalfisa'!$A229)</f>
        <v>0</v>
      </c>
      <c r="AB229" s="31">
        <f>SUMIFS(METALFISA!$E:$E,METALFISA!$A:$A,'Faltantes Fevereiro- Metalfisa'!AB$3,METALFISA!$B:$B,'Faltantes Fevereiro- Metalfisa'!$A229)</f>
        <v>0</v>
      </c>
      <c r="AC229" s="31">
        <f>SUMIFS(METALFISA!$E:$E,METALFISA!$A:$A,'Faltantes Fevereiro- Metalfisa'!AC$3,METALFISA!$B:$B,'Faltantes Fevereiro- Metalfisa'!$A229)</f>
        <v>0</v>
      </c>
      <c r="AD229" s="31">
        <f>SUMIFS(METALFISA!$E:$E,METALFISA!$A:$A,'Faltantes Fevereiro- Metalfisa'!AD$3,METALFISA!$B:$B,'Faltantes Fevereiro- Metalfisa'!$A229)</f>
        <v>0</v>
      </c>
      <c r="AE229" s="31">
        <f>SUMIFS(METALFISA!$E:$E,METALFISA!$A:$A,'Faltantes Fevereiro- Metalfisa'!AE$3,METALFISA!$B:$B,'Faltantes Fevereiro- Metalfisa'!$A229)</f>
        <v>2</v>
      </c>
      <c r="AF229" s="31">
        <f>SUMIFS(METALFISA!$E:$E,METALFISA!$A:$A,'Faltantes Fevereiro- Metalfisa'!AF$3,METALFISA!$B:$B,'Faltantes Fevereiro- Metalfisa'!$A229)</f>
        <v>0</v>
      </c>
      <c r="AG229" s="31">
        <f>SUMIFS(METALFISA!$E:$E,METALFISA!$A:$A,'Faltantes Fevereiro- Metalfisa'!AG$3,METALFISA!$B:$B,'Faltantes Fevereiro- Metalfisa'!$A229)</f>
        <v>0</v>
      </c>
      <c r="AH229" s="31">
        <f>SUMIFS(METALFISA!$E:$E,METALFISA!$A:$A,'Faltantes Fevereiro- Metalfisa'!AH$3,METALFISA!$B:$B,'Faltantes Fevereiro- Metalfisa'!$A229)</f>
        <v>0</v>
      </c>
      <c r="AI229" s="31">
        <f>SUMIFS(METALFISA!$E:$E,METALFISA!$A:$A,'Faltantes Fevereiro- Metalfisa'!AI$3,METALFISA!$B:$B,'Faltantes Fevereiro- Metalfisa'!$A229)</f>
        <v>0</v>
      </c>
      <c r="AJ229" s="31">
        <f>SUMIFS(METALFISA!$E:$E,METALFISA!$A:$A,'Faltantes Fevereiro- Metalfisa'!AJ$3,METALFISA!$B:$B,'Faltantes Fevereiro- Metalfisa'!$A229)</f>
        <v>0</v>
      </c>
      <c r="AK229" s="31">
        <f>SUMIFS(METALFISA!$E:$E,METALFISA!$A:$A,'Faltantes Fevereiro- Metalfisa'!AK$3,METALFISA!$B:$B,'Faltantes Fevereiro- Metalfisa'!$A229)</f>
        <v>0</v>
      </c>
      <c r="AL229" s="31">
        <f>SUMIFS(METALFISA!$E:$E,METALFISA!$A:$A,'Faltantes Fevereiro- Metalfisa'!AL$3,METALFISA!$B:$B,'Faltantes Fevereiro- Metalfisa'!$A229)</f>
        <v>0</v>
      </c>
      <c r="AM229" s="31">
        <f>SUMIFS(METALFISA!$E:$E,METALFISA!$A:$A,'Faltantes Fevereiro- Metalfisa'!AM$3,METALFISA!$B:$B,'Faltantes Fevereiro- Metalfisa'!$A229)</f>
        <v>0</v>
      </c>
      <c r="AN229" s="31">
        <f>SUMIFS(METALFISA!$E:$E,METALFISA!$A:$A,'Faltantes Fevereiro- Metalfisa'!AN$3,METALFISA!$B:$B,'Faltantes Fevereiro- Metalfisa'!$A229)</f>
        <v>0</v>
      </c>
      <c r="AO229" s="31">
        <f>SUMIFS(METALFISA!$E:$E,METALFISA!$A:$A,'Faltantes Fevereiro- Metalfisa'!AO$3,METALFISA!$B:$B,'Faltantes Fevereiro- Metalfisa'!$A229)</f>
        <v>0</v>
      </c>
      <c r="AP229" s="31">
        <f>SUMIFS(METALFISA!$E:$E,METALFISA!$A:$A,'Faltantes Fevereiro- Metalfisa'!AP$3,METALFISA!$B:$B,'Faltantes Fevereiro- Metalfisa'!$A229)</f>
        <v>0</v>
      </c>
      <c r="AQ229" s="31"/>
      <c r="AR229" s="31">
        <f>SUMIFS(METALFISA!$E:$E,METALFISA!$A:$A,'Faltantes Fevereiro- Metalfisa'!AR$3,METALFISA!$B:$B,'Faltantes Fevereiro- Metalfisa'!$A229)</f>
        <v>0</v>
      </c>
      <c r="AS229" s="35">
        <f>SUMIFS(METALFISA!$E:$E,METALFISA!$A:$A,'Faltantes Fevereiro- Metalfisa'!AS$3,METALFISA!$B:$B,'Faltantes Fevereiro- Metalfisa'!$A229)</f>
        <v>0</v>
      </c>
      <c r="AU229" s="18">
        <v>0</v>
      </c>
      <c r="AV229" s="18">
        <v>0</v>
      </c>
      <c r="AW229" s="18">
        <v>0</v>
      </c>
      <c r="AX229" s="18">
        <v>0</v>
      </c>
      <c r="AY229" s="41">
        <v>0</v>
      </c>
      <c r="AZ229" s="31">
        <v>0</v>
      </c>
      <c r="BA229" s="31">
        <v>0</v>
      </c>
      <c r="BB229" s="31">
        <v>0</v>
      </c>
      <c r="BC229" s="31">
        <v>0</v>
      </c>
      <c r="BD229" s="31">
        <v>0</v>
      </c>
      <c r="BE229" s="31">
        <v>0</v>
      </c>
      <c r="BF229" s="31">
        <v>0</v>
      </c>
      <c r="BG229" s="31">
        <v>0</v>
      </c>
      <c r="BH229" s="31">
        <v>0</v>
      </c>
      <c r="BI229" s="31">
        <v>0</v>
      </c>
      <c r="BJ229" s="31">
        <v>0</v>
      </c>
      <c r="BK229" s="31">
        <v>0</v>
      </c>
      <c r="BL229" s="31">
        <v>0</v>
      </c>
      <c r="BM229" s="31">
        <v>0</v>
      </c>
      <c r="BN229" s="31">
        <v>2</v>
      </c>
      <c r="BO229" s="31">
        <v>2</v>
      </c>
      <c r="BP229" s="31">
        <v>0</v>
      </c>
      <c r="BQ229" s="31">
        <v>0</v>
      </c>
      <c r="BR229" s="31">
        <v>0</v>
      </c>
      <c r="BS229" s="31">
        <v>0</v>
      </c>
      <c r="BT229" s="31">
        <v>0</v>
      </c>
      <c r="BU229" s="31">
        <v>0</v>
      </c>
      <c r="BV229" s="31">
        <v>0</v>
      </c>
      <c r="BW229" s="31">
        <v>0</v>
      </c>
      <c r="BX229" s="31">
        <v>0</v>
      </c>
      <c r="BY229" s="31">
        <v>0</v>
      </c>
      <c r="BZ229" s="31">
        <v>0</v>
      </c>
      <c r="CA229" s="31">
        <v>0</v>
      </c>
      <c r="CB229" s="31">
        <v>0</v>
      </c>
      <c r="CC229" s="31">
        <v>0</v>
      </c>
      <c r="CD229" s="31">
        <v>0</v>
      </c>
      <c r="CE229" s="31">
        <v>0</v>
      </c>
      <c r="CF229" s="31">
        <v>0</v>
      </c>
      <c r="CG229" s="31">
        <v>0</v>
      </c>
      <c r="CH229" s="31">
        <v>0</v>
      </c>
      <c r="CI229" s="31">
        <v>0</v>
      </c>
      <c r="CJ229" s="31">
        <v>0</v>
      </c>
      <c r="CK229" s="31">
        <v>0</v>
      </c>
      <c r="CL229" s="35">
        <v>0</v>
      </c>
    </row>
    <row r="230" spans="1:90" x14ac:dyDescent="0.15">
      <c r="A230" s="27" t="s">
        <v>1153</v>
      </c>
      <c r="B230" s="28" t="s">
        <v>1154</v>
      </c>
      <c r="C230" s="28">
        <v>0</v>
      </c>
      <c r="D230" s="28">
        <v>0</v>
      </c>
      <c r="E230" s="28">
        <v>0</v>
      </c>
      <c r="F230" s="28">
        <v>0</v>
      </c>
      <c r="G230" s="28">
        <v>18</v>
      </c>
      <c r="H230" s="28">
        <f>IFERROR(VLOOKUP(A230,[1]FALTANTES!$A:$AB,28,FALSE),"-")</f>
        <v>0</v>
      </c>
      <c r="I230" s="42">
        <f>IFERROR(VLOOKUP(A230,[1]FALTANTES!$A:$AC,29,FALSE),"-")</f>
        <v>16</v>
      </c>
      <c r="J230" s="29">
        <f>IFERROR(VLOOKUP(A230,[1]FALTANTES!$A:$AD,30,FALSE),"-")</f>
        <v>-2</v>
      </c>
      <c r="K230" s="30">
        <v>0</v>
      </c>
      <c r="L230" s="30">
        <f t="shared" si="4"/>
        <v>2</v>
      </c>
      <c r="M230" s="31">
        <f>SUMIFS(METALFISA!$E:$E,METALFISA!$A:$A,'Faltantes Fevereiro- Metalfisa'!M$3,METALFISA!$B:$B,'Faltantes Fevereiro- Metalfisa'!$A230)</f>
        <v>0</v>
      </c>
      <c r="N230" s="31">
        <f>SUMIFS(METALFISA!$E:$E,METALFISA!$A:$A,'Faltantes Fevereiro- Metalfisa'!N$3,METALFISA!$B:$B,'Faltantes Fevereiro- Metalfisa'!$A230)</f>
        <v>0</v>
      </c>
      <c r="O230" s="31">
        <f>SUMIFS(METALFISA!$E:$E,METALFISA!$A:$A,'Faltantes Fevereiro- Metalfisa'!O$3,METALFISA!$B:$B,'Faltantes Fevereiro- Metalfisa'!$A230)</f>
        <v>0</v>
      </c>
      <c r="P230" s="31">
        <f>SUMIFS(METALFISA!$E:$E,METALFISA!$A:$A,'Faltantes Fevereiro- Metalfisa'!P$3,METALFISA!$B:$B,'Faltantes Fevereiro- Metalfisa'!$A230)</f>
        <v>0</v>
      </c>
      <c r="Q230" s="31">
        <f>SUMIFS(METALFISA!$E:$E,METALFISA!$A:$A,'Faltantes Fevereiro- Metalfisa'!Q$3,METALFISA!$B:$B,'Faltantes Fevereiro- Metalfisa'!$A230)</f>
        <v>0</v>
      </c>
      <c r="R230" s="31">
        <f>SUMIFS(METALFISA!$E:$E,METALFISA!$A:$A,'Faltantes Fevereiro- Metalfisa'!R$3,METALFISA!$B:$B,'Faltantes Fevereiro- Metalfisa'!$A230)</f>
        <v>0</v>
      </c>
      <c r="S230" s="31">
        <f>SUMIFS(METALFISA!$E:$E,METALFISA!$A:$A,'Faltantes Fevereiro- Metalfisa'!S$3,METALFISA!$B:$B,'Faltantes Fevereiro- Metalfisa'!$A230)</f>
        <v>0</v>
      </c>
      <c r="T230" s="31">
        <f>SUMIFS(METALFISA!$E:$E,METALFISA!$A:$A,'Faltantes Fevereiro- Metalfisa'!T$3,METALFISA!$B:$B,'Faltantes Fevereiro- Metalfisa'!$A230)</f>
        <v>0</v>
      </c>
      <c r="U230" s="31">
        <f>SUMIFS(METALFISA!$E:$E,METALFISA!$A:$A,'Faltantes Fevereiro- Metalfisa'!U$3,METALFISA!$B:$B,'Faltantes Fevereiro- Metalfisa'!$A230)</f>
        <v>0</v>
      </c>
      <c r="V230" s="31">
        <f>SUMIFS(METALFISA!$E:$E,METALFISA!$A:$A,'Faltantes Fevereiro- Metalfisa'!V$3,METALFISA!$B:$B,'Faltantes Fevereiro- Metalfisa'!$A230)</f>
        <v>0</v>
      </c>
      <c r="W230" s="31">
        <f>SUMIFS(METALFISA!$E:$E,METALFISA!$A:$A,'Faltantes Fevereiro- Metalfisa'!W$3,METALFISA!$B:$B,'Faltantes Fevereiro- Metalfisa'!$A230)</f>
        <v>0</v>
      </c>
      <c r="X230" s="31">
        <f>SUMIFS(METALFISA!$E:$E,METALFISA!$A:$A,'Faltantes Fevereiro- Metalfisa'!X$3,METALFISA!$B:$B,'Faltantes Fevereiro- Metalfisa'!$A230)</f>
        <v>0</v>
      </c>
      <c r="Y230" s="31">
        <f>SUMIFS(METALFISA!$E:$E,METALFISA!$A:$A,'Faltantes Fevereiro- Metalfisa'!Y$3,METALFISA!$B:$B,'Faltantes Fevereiro- Metalfisa'!$A230)</f>
        <v>0</v>
      </c>
      <c r="Z230" s="31">
        <f>SUMIFS(METALFISA!$E:$E,METALFISA!$A:$A,'Faltantes Fevereiro- Metalfisa'!Z$3,METALFISA!$B:$B,'Faltantes Fevereiro- Metalfisa'!$A230)</f>
        <v>0</v>
      </c>
      <c r="AA230" s="31">
        <f>SUMIFS(METALFISA!$E:$E,METALFISA!$A:$A,'Faltantes Fevereiro- Metalfisa'!AA$3,METALFISA!$B:$B,'Faltantes Fevereiro- Metalfisa'!$A230)</f>
        <v>0</v>
      </c>
      <c r="AB230" s="31">
        <f>SUMIFS(METALFISA!$E:$E,METALFISA!$A:$A,'Faltantes Fevereiro- Metalfisa'!AB$3,METALFISA!$B:$B,'Faltantes Fevereiro- Metalfisa'!$A230)</f>
        <v>0</v>
      </c>
      <c r="AC230" s="31">
        <f>SUMIFS(METALFISA!$E:$E,METALFISA!$A:$A,'Faltantes Fevereiro- Metalfisa'!AC$3,METALFISA!$B:$B,'Faltantes Fevereiro- Metalfisa'!$A230)</f>
        <v>0</v>
      </c>
      <c r="AD230" s="31">
        <f>SUMIFS(METALFISA!$E:$E,METALFISA!$A:$A,'Faltantes Fevereiro- Metalfisa'!AD$3,METALFISA!$B:$B,'Faltantes Fevereiro- Metalfisa'!$A230)</f>
        <v>0</v>
      </c>
      <c r="AE230" s="31">
        <f>SUMIFS(METALFISA!$E:$E,METALFISA!$A:$A,'Faltantes Fevereiro- Metalfisa'!AE$3,METALFISA!$B:$B,'Faltantes Fevereiro- Metalfisa'!$A230)</f>
        <v>2</v>
      </c>
      <c r="AF230" s="31">
        <f>SUMIFS(METALFISA!$E:$E,METALFISA!$A:$A,'Faltantes Fevereiro- Metalfisa'!AF$3,METALFISA!$B:$B,'Faltantes Fevereiro- Metalfisa'!$A230)</f>
        <v>0</v>
      </c>
      <c r="AG230" s="31">
        <f>SUMIFS(METALFISA!$E:$E,METALFISA!$A:$A,'Faltantes Fevereiro- Metalfisa'!AG$3,METALFISA!$B:$B,'Faltantes Fevereiro- Metalfisa'!$A230)</f>
        <v>0</v>
      </c>
      <c r="AH230" s="31">
        <f>SUMIFS(METALFISA!$E:$E,METALFISA!$A:$A,'Faltantes Fevereiro- Metalfisa'!AH$3,METALFISA!$B:$B,'Faltantes Fevereiro- Metalfisa'!$A230)</f>
        <v>0</v>
      </c>
      <c r="AI230" s="31">
        <f>SUMIFS(METALFISA!$E:$E,METALFISA!$A:$A,'Faltantes Fevereiro- Metalfisa'!AI$3,METALFISA!$B:$B,'Faltantes Fevereiro- Metalfisa'!$A230)</f>
        <v>0</v>
      </c>
      <c r="AJ230" s="31">
        <f>SUMIFS(METALFISA!$E:$E,METALFISA!$A:$A,'Faltantes Fevereiro- Metalfisa'!AJ$3,METALFISA!$B:$B,'Faltantes Fevereiro- Metalfisa'!$A230)</f>
        <v>0</v>
      </c>
      <c r="AK230" s="31">
        <f>SUMIFS(METALFISA!$E:$E,METALFISA!$A:$A,'Faltantes Fevereiro- Metalfisa'!AK$3,METALFISA!$B:$B,'Faltantes Fevereiro- Metalfisa'!$A230)</f>
        <v>0</v>
      </c>
      <c r="AL230" s="31">
        <f>SUMIFS(METALFISA!$E:$E,METALFISA!$A:$A,'Faltantes Fevereiro- Metalfisa'!AL$3,METALFISA!$B:$B,'Faltantes Fevereiro- Metalfisa'!$A230)</f>
        <v>0</v>
      </c>
      <c r="AM230" s="31">
        <f>SUMIFS(METALFISA!$E:$E,METALFISA!$A:$A,'Faltantes Fevereiro- Metalfisa'!AM$3,METALFISA!$B:$B,'Faltantes Fevereiro- Metalfisa'!$A230)</f>
        <v>0</v>
      </c>
      <c r="AN230" s="31">
        <f>SUMIFS(METALFISA!$E:$E,METALFISA!$A:$A,'Faltantes Fevereiro- Metalfisa'!AN$3,METALFISA!$B:$B,'Faltantes Fevereiro- Metalfisa'!$A230)</f>
        <v>0</v>
      </c>
      <c r="AO230" s="31">
        <f>SUMIFS(METALFISA!$E:$E,METALFISA!$A:$A,'Faltantes Fevereiro- Metalfisa'!AO$3,METALFISA!$B:$B,'Faltantes Fevereiro- Metalfisa'!$A230)</f>
        <v>0</v>
      </c>
      <c r="AP230" s="31">
        <f>SUMIFS(METALFISA!$E:$E,METALFISA!$A:$A,'Faltantes Fevereiro- Metalfisa'!AP$3,METALFISA!$B:$B,'Faltantes Fevereiro- Metalfisa'!$A230)</f>
        <v>0</v>
      </c>
      <c r="AQ230" s="31"/>
      <c r="AR230" s="31">
        <f>SUMIFS(METALFISA!$E:$E,METALFISA!$A:$A,'Faltantes Fevereiro- Metalfisa'!AR$3,METALFISA!$B:$B,'Faltantes Fevereiro- Metalfisa'!$A230)</f>
        <v>0</v>
      </c>
      <c r="AS230" s="35">
        <f>SUMIFS(METALFISA!$E:$E,METALFISA!$A:$A,'Faltantes Fevereiro- Metalfisa'!AS$3,METALFISA!$B:$B,'Faltantes Fevereiro- Metalfisa'!$A230)</f>
        <v>0</v>
      </c>
      <c r="AU230" s="18">
        <v>0</v>
      </c>
      <c r="AV230" s="18">
        <v>0</v>
      </c>
      <c r="AW230" s="18">
        <v>0</v>
      </c>
      <c r="AX230" s="18">
        <v>0</v>
      </c>
      <c r="AY230" s="41">
        <v>0</v>
      </c>
      <c r="AZ230" s="31">
        <v>0</v>
      </c>
      <c r="BA230" s="31">
        <v>0</v>
      </c>
      <c r="BB230" s="31">
        <v>0</v>
      </c>
      <c r="BC230" s="31">
        <v>0</v>
      </c>
      <c r="BD230" s="31">
        <v>0</v>
      </c>
      <c r="BE230" s="31">
        <v>0</v>
      </c>
      <c r="BF230" s="31">
        <v>0</v>
      </c>
      <c r="BG230" s="31">
        <v>0</v>
      </c>
      <c r="BH230" s="31">
        <v>0</v>
      </c>
      <c r="BI230" s="31">
        <v>0</v>
      </c>
      <c r="BJ230" s="31">
        <v>0</v>
      </c>
      <c r="BK230" s="31">
        <v>0</v>
      </c>
      <c r="BL230" s="31">
        <v>0</v>
      </c>
      <c r="BM230" s="31">
        <v>0</v>
      </c>
      <c r="BN230" s="31">
        <v>2</v>
      </c>
      <c r="BO230" s="31">
        <v>2</v>
      </c>
      <c r="BP230" s="31">
        <v>0</v>
      </c>
      <c r="BQ230" s="31">
        <v>0</v>
      </c>
      <c r="BR230" s="31">
        <v>0</v>
      </c>
      <c r="BS230" s="31">
        <v>0</v>
      </c>
      <c r="BT230" s="31">
        <v>0</v>
      </c>
      <c r="BU230" s="31">
        <v>0</v>
      </c>
      <c r="BV230" s="31">
        <v>0</v>
      </c>
      <c r="BW230" s="31">
        <v>0</v>
      </c>
      <c r="BX230" s="31">
        <v>0</v>
      </c>
      <c r="BY230" s="31">
        <v>0</v>
      </c>
      <c r="BZ230" s="31">
        <v>0</v>
      </c>
      <c r="CA230" s="31">
        <v>0</v>
      </c>
      <c r="CB230" s="31">
        <v>0</v>
      </c>
      <c r="CC230" s="31">
        <v>0</v>
      </c>
      <c r="CD230" s="31">
        <v>0</v>
      </c>
      <c r="CE230" s="31">
        <v>0</v>
      </c>
      <c r="CF230" s="31">
        <v>0</v>
      </c>
      <c r="CG230" s="31">
        <v>0</v>
      </c>
      <c r="CH230" s="31">
        <v>0</v>
      </c>
      <c r="CI230" s="31">
        <v>0</v>
      </c>
      <c r="CJ230" s="31">
        <v>0</v>
      </c>
      <c r="CK230" s="31">
        <v>0</v>
      </c>
      <c r="CL230" s="35">
        <v>0</v>
      </c>
    </row>
    <row r="231" spans="1:90" x14ac:dyDescent="0.15">
      <c r="A231" s="27" t="s">
        <v>1155</v>
      </c>
      <c r="B231" s="28" t="s">
        <v>1156</v>
      </c>
      <c r="C231" s="28">
        <v>2</v>
      </c>
      <c r="D231" s="28">
        <v>0</v>
      </c>
      <c r="E231" s="28">
        <v>0</v>
      </c>
      <c r="F231" s="28">
        <v>0</v>
      </c>
      <c r="G231" s="28">
        <v>18</v>
      </c>
      <c r="H231" s="28">
        <f>IFERROR(VLOOKUP(A231,[1]FALTANTES!$A:$AB,28,FALSE),"-")</f>
        <v>4</v>
      </c>
      <c r="I231" s="42">
        <f>IFERROR(VLOOKUP(A231,[1]FALTANTES!$A:$AC,29,FALSE),"-")</f>
        <v>0</v>
      </c>
      <c r="J231" s="29">
        <f>IFERROR(VLOOKUP(A231,[1]FALTANTES!$A:$AD,30,FALSE),"-")</f>
        <v>-20</v>
      </c>
      <c r="K231" s="30">
        <v>0</v>
      </c>
      <c r="L231" s="30">
        <f t="shared" si="4"/>
        <v>2</v>
      </c>
      <c r="M231" s="31">
        <f>SUMIFS(METALFISA!$E:$E,METALFISA!$A:$A,'Faltantes Fevereiro- Metalfisa'!M$3,METALFISA!$B:$B,'Faltantes Fevereiro- Metalfisa'!$A231)</f>
        <v>0</v>
      </c>
      <c r="N231" s="31">
        <f>SUMIFS(METALFISA!$E:$E,METALFISA!$A:$A,'Faltantes Fevereiro- Metalfisa'!N$3,METALFISA!$B:$B,'Faltantes Fevereiro- Metalfisa'!$A231)</f>
        <v>0</v>
      </c>
      <c r="O231" s="31">
        <f>SUMIFS(METALFISA!$E:$E,METALFISA!$A:$A,'Faltantes Fevereiro- Metalfisa'!O$3,METALFISA!$B:$B,'Faltantes Fevereiro- Metalfisa'!$A231)</f>
        <v>0</v>
      </c>
      <c r="P231" s="31">
        <f>SUMIFS(METALFISA!$E:$E,METALFISA!$A:$A,'Faltantes Fevereiro- Metalfisa'!P$3,METALFISA!$B:$B,'Faltantes Fevereiro- Metalfisa'!$A231)</f>
        <v>0</v>
      </c>
      <c r="Q231" s="31">
        <f>SUMIFS(METALFISA!$E:$E,METALFISA!$A:$A,'Faltantes Fevereiro- Metalfisa'!Q$3,METALFISA!$B:$B,'Faltantes Fevereiro- Metalfisa'!$A231)</f>
        <v>0</v>
      </c>
      <c r="R231" s="31">
        <f>SUMIFS(METALFISA!$E:$E,METALFISA!$A:$A,'Faltantes Fevereiro- Metalfisa'!R$3,METALFISA!$B:$B,'Faltantes Fevereiro- Metalfisa'!$A231)</f>
        <v>0</v>
      </c>
      <c r="S231" s="31">
        <f>SUMIFS(METALFISA!$E:$E,METALFISA!$A:$A,'Faltantes Fevereiro- Metalfisa'!S$3,METALFISA!$B:$B,'Faltantes Fevereiro- Metalfisa'!$A231)</f>
        <v>0</v>
      </c>
      <c r="T231" s="31">
        <f>SUMIFS(METALFISA!$E:$E,METALFISA!$A:$A,'Faltantes Fevereiro- Metalfisa'!T$3,METALFISA!$B:$B,'Faltantes Fevereiro- Metalfisa'!$A231)</f>
        <v>0</v>
      </c>
      <c r="U231" s="31">
        <f>SUMIFS(METALFISA!$E:$E,METALFISA!$A:$A,'Faltantes Fevereiro- Metalfisa'!U$3,METALFISA!$B:$B,'Faltantes Fevereiro- Metalfisa'!$A231)</f>
        <v>0</v>
      </c>
      <c r="V231" s="31">
        <f>SUMIFS(METALFISA!$E:$E,METALFISA!$A:$A,'Faltantes Fevereiro- Metalfisa'!V$3,METALFISA!$B:$B,'Faltantes Fevereiro- Metalfisa'!$A231)</f>
        <v>0</v>
      </c>
      <c r="W231" s="31">
        <f>SUMIFS(METALFISA!$E:$E,METALFISA!$A:$A,'Faltantes Fevereiro- Metalfisa'!W$3,METALFISA!$B:$B,'Faltantes Fevereiro- Metalfisa'!$A231)</f>
        <v>0</v>
      </c>
      <c r="X231" s="31">
        <f>SUMIFS(METALFISA!$E:$E,METALFISA!$A:$A,'Faltantes Fevereiro- Metalfisa'!X$3,METALFISA!$B:$B,'Faltantes Fevereiro- Metalfisa'!$A231)</f>
        <v>0</v>
      </c>
      <c r="Y231" s="31">
        <f>SUMIFS(METALFISA!$E:$E,METALFISA!$A:$A,'Faltantes Fevereiro- Metalfisa'!Y$3,METALFISA!$B:$B,'Faltantes Fevereiro- Metalfisa'!$A231)</f>
        <v>0</v>
      </c>
      <c r="Z231" s="31">
        <f>SUMIFS(METALFISA!$E:$E,METALFISA!$A:$A,'Faltantes Fevereiro- Metalfisa'!Z$3,METALFISA!$B:$B,'Faltantes Fevereiro- Metalfisa'!$A231)</f>
        <v>0</v>
      </c>
      <c r="AA231" s="31">
        <f>SUMIFS(METALFISA!$E:$E,METALFISA!$A:$A,'Faltantes Fevereiro- Metalfisa'!AA$3,METALFISA!$B:$B,'Faltantes Fevereiro- Metalfisa'!$A231)</f>
        <v>0</v>
      </c>
      <c r="AB231" s="31">
        <f>SUMIFS(METALFISA!$E:$E,METALFISA!$A:$A,'Faltantes Fevereiro- Metalfisa'!AB$3,METALFISA!$B:$B,'Faltantes Fevereiro- Metalfisa'!$A231)</f>
        <v>0</v>
      </c>
      <c r="AC231" s="31">
        <f>SUMIFS(METALFISA!$E:$E,METALFISA!$A:$A,'Faltantes Fevereiro- Metalfisa'!AC$3,METALFISA!$B:$B,'Faltantes Fevereiro- Metalfisa'!$A231)</f>
        <v>0</v>
      </c>
      <c r="AD231" s="31">
        <f>SUMIFS(METALFISA!$E:$E,METALFISA!$A:$A,'Faltantes Fevereiro- Metalfisa'!AD$3,METALFISA!$B:$B,'Faltantes Fevereiro- Metalfisa'!$A231)</f>
        <v>0</v>
      </c>
      <c r="AE231" s="31">
        <f>SUMIFS(METALFISA!$E:$E,METALFISA!$A:$A,'Faltantes Fevereiro- Metalfisa'!AE$3,METALFISA!$B:$B,'Faltantes Fevereiro- Metalfisa'!$A231)</f>
        <v>2</v>
      </c>
      <c r="AF231" s="31">
        <f>SUMIFS(METALFISA!$E:$E,METALFISA!$A:$A,'Faltantes Fevereiro- Metalfisa'!AF$3,METALFISA!$B:$B,'Faltantes Fevereiro- Metalfisa'!$A231)</f>
        <v>0</v>
      </c>
      <c r="AG231" s="31">
        <f>SUMIFS(METALFISA!$E:$E,METALFISA!$A:$A,'Faltantes Fevereiro- Metalfisa'!AG$3,METALFISA!$B:$B,'Faltantes Fevereiro- Metalfisa'!$A231)</f>
        <v>0</v>
      </c>
      <c r="AH231" s="31">
        <f>SUMIFS(METALFISA!$E:$E,METALFISA!$A:$A,'Faltantes Fevereiro- Metalfisa'!AH$3,METALFISA!$B:$B,'Faltantes Fevereiro- Metalfisa'!$A231)</f>
        <v>0</v>
      </c>
      <c r="AI231" s="31">
        <f>SUMIFS(METALFISA!$E:$E,METALFISA!$A:$A,'Faltantes Fevereiro- Metalfisa'!AI$3,METALFISA!$B:$B,'Faltantes Fevereiro- Metalfisa'!$A231)</f>
        <v>0</v>
      </c>
      <c r="AJ231" s="31">
        <f>SUMIFS(METALFISA!$E:$E,METALFISA!$A:$A,'Faltantes Fevereiro- Metalfisa'!AJ$3,METALFISA!$B:$B,'Faltantes Fevereiro- Metalfisa'!$A231)</f>
        <v>0</v>
      </c>
      <c r="AK231" s="31">
        <f>SUMIFS(METALFISA!$E:$E,METALFISA!$A:$A,'Faltantes Fevereiro- Metalfisa'!AK$3,METALFISA!$B:$B,'Faltantes Fevereiro- Metalfisa'!$A231)</f>
        <v>0</v>
      </c>
      <c r="AL231" s="31">
        <f>SUMIFS(METALFISA!$E:$E,METALFISA!$A:$A,'Faltantes Fevereiro- Metalfisa'!AL$3,METALFISA!$B:$B,'Faltantes Fevereiro- Metalfisa'!$A231)</f>
        <v>0</v>
      </c>
      <c r="AM231" s="31">
        <f>SUMIFS(METALFISA!$E:$E,METALFISA!$A:$A,'Faltantes Fevereiro- Metalfisa'!AM$3,METALFISA!$B:$B,'Faltantes Fevereiro- Metalfisa'!$A231)</f>
        <v>0</v>
      </c>
      <c r="AN231" s="31">
        <f>SUMIFS(METALFISA!$E:$E,METALFISA!$A:$A,'Faltantes Fevereiro- Metalfisa'!AN$3,METALFISA!$B:$B,'Faltantes Fevereiro- Metalfisa'!$A231)</f>
        <v>0</v>
      </c>
      <c r="AO231" s="31">
        <f>SUMIFS(METALFISA!$E:$E,METALFISA!$A:$A,'Faltantes Fevereiro- Metalfisa'!AO$3,METALFISA!$B:$B,'Faltantes Fevereiro- Metalfisa'!$A231)</f>
        <v>0</v>
      </c>
      <c r="AP231" s="31">
        <f>SUMIFS(METALFISA!$E:$E,METALFISA!$A:$A,'Faltantes Fevereiro- Metalfisa'!AP$3,METALFISA!$B:$B,'Faltantes Fevereiro- Metalfisa'!$A231)</f>
        <v>0</v>
      </c>
      <c r="AQ231" s="31"/>
      <c r="AR231" s="31">
        <f>SUMIFS(METALFISA!$E:$E,METALFISA!$A:$A,'Faltantes Fevereiro- Metalfisa'!AR$3,METALFISA!$B:$B,'Faltantes Fevereiro- Metalfisa'!$A231)</f>
        <v>0</v>
      </c>
      <c r="AS231" s="35">
        <f>SUMIFS(METALFISA!$E:$E,METALFISA!$A:$A,'Faltantes Fevereiro- Metalfisa'!AS$3,METALFISA!$B:$B,'Faltantes Fevereiro- Metalfisa'!$A231)</f>
        <v>0</v>
      </c>
      <c r="AU231" s="18">
        <v>0</v>
      </c>
      <c r="AV231" s="18">
        <v>0</v>
      </c>
      <c r="AW231" s="18">
        <v>0</v>
      </c>
      <c r="AX231" s="18">
        <v>0</v>
      </c>
      <c r="AY231" s="41">
        <v>0</v>
      </c>
      <c r="AZ231" s="31">
        <v>0</v>
      </c>
      <c r="BA231" s="31">
        <v>0</v>
      </c>
      <c r="BB231" s="31">
        <v>0</v>
      </c>
      <c r="BC231" s="31">
        <v>0</v>
      </c>
      <c r="BD231" s="31">
        <v>0</v>
      </c>
      <c r="BE231" s="31">
        <v>0</v>
      </c>
      <c r="BF231" s="31">
        <v>0</v>
      </c>
      <c r="BG231" s="31">
        <v>0</v>
      </c>
      <c r="BH231" s="31">
        <v>0</v>
      </c>
      <c r="BI231" s="31">
        <v>0</v>
      </c>
      <c r="BJ231" s="31">
        <v>0</v>
      </c>
      <c r="BK231" s="31">
        <v>0</v>
      </c>
      <c r="BL231" s="31">
        <v>0</v>
      </c>
      <c r="BM231" s="31">
        <v>0</v>
      </c>
      <c r="BN231" s="31">
        <v>2</v>
      </c>
      <c r="BO231" s="31">
        <v>2</v>
      </c>
      <c r="BP231" s="31">
        <v>0</v>
      </c>
      <c r="BQ231" s="31">
        <v>0</v>
      </c>
      <c r="BR231" s="31">
        <v>0</v>
      </c>
      <c r="BS231" s="31">
        <v>0</v>
      </c>
      <c r="BT231" s="31">
        <v>0</v>
      </c>
      <c r="BU231" s="31">
        <v>0</v>
      </c>
      <c r="BV231" s="31">
        <v>0</v>
      </c>
      <c r="BW231" s="31">
        <v>0</v>
      </c>
      <c r="BX231" s="31">
        <v>0</v>
      </c>
      <c r="BY231" s="31">
        <v>0</v>
      </c>
      <c r="BZ231" s="31">
        <v>0</v>
      </c>
      <c r="CA231" s="31">
        <v>0</v>
      </c>
      <c r="CB231" s="31">
        <v>0</v>
      </c>
      <c r="CC231" s="31">
        <v>0</v>
      </c>
      <c r="CD231" s="31">
        <v>0</v>
      </c>
      <c r="CE231" s="31">
        <v>0</v>
      </c>
      <c r="CF231" s="31">
        <v>0</v>
      </c>
      <c r="CG231" s="31">
        <v>0</v>
      </c>
      <c r="CH231" s="31">
        <v>0</v>
      </c>
      <c r="CI231" s="31">
        <v>0</v>
      </c>
      <c r="CJ231" s="31">
        <v>0</v>
      </c>
      <c r="CK231" s="31">
        <v>0</v>
      </c>
      <c r="CL231" s="35">
        <v>0</v>
      </c>
    </row>
    <row r="232" spans="1:90" x14ac:dyDescent="0.15">
      <c r="A232" s="27" t="s">
        <v>1159</v>
      </c>
      <c r="B232" s="28" t="s">
        <v>1160</v>
      </c>
      <c r="C232" s="28">
        <v>1</v>
      </c>
      <c r="D232" s="28">
        <v>0</v>
      </c>
      <c r="E232" s="28">
        <v>0</v>
      </c>
      <c r="F232" s="28">
        <v>0</v>
      </c>
      <c r="G232" s="28">
        <v>9</v>
      </c>
      <c r="H232" s="28">
        <f>IFERROR(VLOOKUP(A232,[1]FALTANTES!$A:$AB,28,FALSE),"-")</f>
        <v>1</v>
      </c>
      <c r="I232" s="42">
        <f>IFERROR(VLOOKUP(A232,[1]FALTANTES!$A:$AC,29,FALSE),"-")</f>
        <v>2</v>
      </c>
      <c r="J232" s="29">
        <f>IFERROR(VLOOKUP(A232,[1]FALTANTES!$A:$AD,30,FALSE),"-")</f>
        <v>-10</v>
      </c>
      <c r="K232" s="30">
        <v>0</v>
      </c>
      <c r="L232" s="30">
        <f t="shared" si="4"/>
        <v>2</v>
      </c>
      <c r="M232" s="31">
        <f>SUMIFS(METALFISA!$E:$E,METALFISA!$A:$A,'Faltantes Fevereiro- Metalfisa'!M$3,METALFISA!$B:$B,'Faltantes Fevereiro- Metalfisa'!$A232)</f>
        <v>0</v>
      </c>
      <c r="N232" s="31">
        <f>SUMIFS(METALFISA!$E:$E,METALFISA!$A:$A,'Faltantes Fevereiro- Metalfisa'!N$3,METALFISA!$B:$B,'Faltantes Fevereiro- Metalfisa'!$A232)</f>
        <v>0</v>
      </c>
      <c r="O232" s="31">
        <f>SUMIFS(METALFISA!$E:$E,METALFISA!$A:$A,'Faltantes Fevereiro- Metalfisa'!O$3,METALFISA!$B:$B,'Faltantes Fevereiro- Metalfisa'!$A232)</f>
        <v>0</v>
      </c>
      <c r="P232" s="31">
        <f>SUMIFS(METALFISA!$E:$E,METALFISA!$A:$A,'Faltantes Fevereiro- Metalfisa'!P$3,METALFISA!$B:$B,'Faltantes Fevereiro- Metalfisa'!$A232)</f>
        <v>0</v>
      </c>
      <c r="Q232" s="31">
        <f>SUMIFS(METALFISA!$E:$E,METALFISA!$A:$A,'Faltantes Fevereiro- Metalfisa'!Q$3,METALFISA!$B:$B,'Faltantes Fevereiro- Metalfisa'!$A232)</f>
        <v>0</v>
      </c>
      <c r="R232" s="31">
        <f>SUMIFS(METALFISA!$E:$E,METALFISA!$A:$A,'Faltantes Fevereiro- Metalfisa'!R$3,METALFISA!$B:$B,'Faltantes Fevereiro- Metalfisa'!$A232)</f>
        <v>0</v>
      </c>
      <c r="S232" s="31">
        <f>SUMIFS(METALFISA!$E:$E,METALFISA!$A:$A,'Faltantes Fevereiro- Metalfisa'!S$3,METALFISA!$B:$B,'Faltantes Fevereiro- Metalfisa'!$A232)</f>
        <v>0</v>
      </c>
      <c r="T232" s="31">
        <f>SUMIFS(METALFISA!$E:$E,METALFISA!$A:$A,'Faltantes Fevereiro- Metalfisa'!T$3,METALFISA!$B:$B,'Faltantes Fevereiro- Metalfisa'!$A232)</f>
        <v>0</v>
      </c>
      <c r="U232" s="31">
        <f>SUMIFS(METALFISA!$E:$E,METALFISA!$A:$A,'Faltantes Fevereiro- Metalfisa'!U$3,METALFISA!$B:$B,'Faltantes Fevereiro- Metalfisa'!$A232)</f>
        <v>0</v>
      </c>
      <c r="V232" s="31">
        <f>SUMIFS(METALFISA!$E:$E,METALFISA!$A:$A,'Faltantes Fevereiro- Metalfisa'!V$3,METALFISA!$B:$B,'Faltantes Fevereiro- Metalfisa'!$A232)</f>
        <v>0</v>
      </c>
      <c r="W232" s="31">
        <f>SUMIFS(METALFISA!$E:$E,METALFISA!$A:$A,'Faltantes Fevereiro- Metalfisa'!W$3,METALFISA!$B:$B,'Faltantes Fevereiro- Metalfisa'!$A232)</f>
        <v>0</v>
      </c>
      <c r="X232" s="31">
        <f>SUMIFS(METALFISA!$E:$E,METALFISA!$A:$A,'Faltantes Fevereiro- Metalfisa'!X$3,METALFISA!$B:$B,'Faltantes Fevereiro- Metalfisa'!$A232)</f>
        <v>0</v>
      </c>
      <c r="Y232" s="31">
        <f>SUMIFS(METALFISA!$E:$E,METALFISA!$A:$A,'Faltantes Fevereiro- Metalfisa'!Y$3,METALFISA!$B:$B,'Faltantes Fevereiro- Metalfisa'!$A232)</f>
        <v>0</v>
      </c>
      <c r="Z232" s="31">
        <f>SUMIFS(METALFISA!$E:$E,METALFISA!$A:$A,'Faltantes Fevereiro- Metalfisa'!Z$3,METALFISA!$B:$B,'Faltantes Fevereiro- Metalfisa'!$A232)</f>
        <v>0</v>
      </c>
      <c r="AA232" s="31">
        <f>SUMIFS(METALFISA!$E:$E,METALFISA!$A:$A,'Faltantes Fevereiro- Metalfisa'!AA$3,METALFISA!$B:$B,'Faltantes Fevereiro- Metalfisa'!$A232)</f>
        <v>0</v>
      </c>
      <c r="AB232" s="31">
        <f>SUMIFS(METALFISA!$E:$E,METALFISA!$A:$A,'Faltantes Fevereiro- Metalfisa'!AB$3,METALFISA!$B:$B,'Faltantes Fevereiro- Metalfisa'!$A232)</f>
        <v>0</v>
      </c>
      <c r="AC232" s="31">
        <f>SUMIFS(METALFISA!$E:$E,METALFISA!$A:$A,'Faltantes Fevereiro- Metalfisa'!AC$3,METALFISA!$B:$B,'Faltantes Fevereiro- Metalfisa'!$A232)</f>
        <v>0</v>
      </c>
      <c r="AD232" s="31">
        <f>SUMIFS(METALFISA!$E:$E,METALFISA!$A:$A,'Faltantes Fevereiro- Metalfisa'!AD$3,METALFISA!$B:$B,'Faltantes Fevereiro- Metalfisa'!$A232)</f>
        <v>0</v>
      </c>
      <c r="AE232" s="31">
        <f>SUMIFS(METALFISA!$E:$E,METALFISA!$A:$A,'Faltantes Fevereiro- Metalfisa'!AE$3,METALFISA!$B:$B,'Faltantes Fevereiro- Metalfisa'!$A232)</f>
        <v>2</v>
      </c>
      <c r="AF232" s="31">
        <f>SUMIFS(METALFISA!$E:$E,METALFISA!$A:$A,'Faltantes Fevereiro- Metalfisa'!AF$3,METALFISA!$B:$B,'Faltantes Fevereiro- Metalfisa'!$A232)</f>
        <v>0</v>
      </c>
      <c r="AG232" s="31">
        <f>SUMIFS(METALFISA!$E:$E,METALFISA!$A:$A,'Faltantes Fevereiro- Metalfisa'!AG$3,METALFISA!$B:$B,'Faltantes Fevereiro- Metalfisa'!$A232)</f>
        <v>0</v>
      </c>
      <c r="AH232" s="31">
        <f>SUMIFS(METALFISA!$E:$E,METALFISA!$A:$A,'Faltantes Fevereiro- Metalfisa'!AH$3,METALFISA!$B:$B,'Faltantes Fevereiro- Metalfisa'!$A232)</f>
        <v>0</v>
      </c>
      <c r="AI232" s="31">
        <f>SUMIFS(METALFISA!$E:$E,METALFISA!$A:$A,'Faltantes Fevereiro- Metalfisa'!AI$3,METALFISA!$B:$B,'Faltantes Fevereiro- Metalfisa'!$A232)</f>
        <v>0</v>
      </c>
      <c r="AJ232" s="31">
        <f>SUMIFS(METALFISA!$E:$E,METALFISA!$A:$A,'Faltantes Fevereiro- Metalfisa'!AJ$3,METALFISA!$B:$B,'Faltantes Fevereiro- Metalfisa'!$A232)</f>
        <v>0</v>
      </c>
      <c r="AK232" s="31">
        <f>SUMIFS(METALFISA!$E:$E,METALFISA!$A:$A,'Faltantes Fevereiro- Metalfisa'!AK$3,METALFISA!$B:$B,'Faltantes Fevereiro- Metalfisa'!$A232)</f>
        <v>0</v>
      </c>
      <c r="AL232" s="31">
        <f>SUMIFS(METALFISA!$E:$E,METALFISA!$A:$A,'Faltantes Fevereiro- Metalfisa'!AL$3,METALFISA!$B:$B,'Faltantes Fevereiro- Metalfisa'!$A232)</f>
        <v>0</v>
      </c>
      <c r="AM232" s="31">
        <f>SUMIFS(METALFISA!$E:$E,METALFISA!$A:$A,'Faltantes Fevereiro- Metalfisa'!AM$3,METALFISA!$B:$B,'Faltantes Fevereiro- Metalfisa'!$A232)</f>
        <v>0</v>
      </c>
      <c r="AN232" s="31">
        <f>SUMIFS(METALFISA!$E:$E,METALFISA!$A:$A,'Faltantes Fevereiro- Metalfisa'!AN$3,METALFISA!$B:$B,'Faltantes Fevereiro- Metalfisa'!$A232)</f>
        <v>0</v>
      </c>
      <c r="AO232" s="31">
        <f>SUMIFS(METALFISA!$E:$E,METALFISA!$A:$A,'Faltantes Fevereiro- Metalfisa'!AO$3,METALFISA!$B:$B,'Faltantes Fevereiro- Metalfisa'!$A232)</f>
        <v>0</v>
      </c>
      <c r="AP232" s="31">
        <f>SUMIFS(METALFISA!$E:$E,METALFISA!$A:$A,'Faltantes Fevereiro- Metalfisa'!AP$3,METALFISA!$B:$B,'Faltantes Fevereiro- Metalfisa'!$A232)</f>
        <v>0</v>
      </c>
      <c r="AQ232" s="31"/>
      <c r="AR232" s="31">
        <f>SUMIFS(METALFISA!$E:$E,METALFISA!$A:$A,'Faltantes Fevereiro- Metalfisa'!AR$3,METALFISA!$B:$B,'Faltantes Fevereiro- Metalfisa'!$A232)</f>
        <v>0</v>
      </c>
      <c r="AS232" s="35">
        <f>SUMIFS(METALFISA!$E:$E,METALFISA!$A:$A,'Faltantes Fevereiro- Metalfisa'!AS$3,METALFISA!$B:$B,'Faltantes Fevereiro- Metalfisa'!$A232)</f>
        <v>0</v>
      </c>
      <c r="AU232" s="18">
        <v>0</v>
      </c>
      <c r="AV232" s="18">
        <v>0</v>
      </c>
      <c r="AW232" s="18">
        <v>0</v>
      </c>
      <c r="AX232" s="18">
        <v>0</v>
      </c>
      <c r="AY232" s="41">
        <v>0</v>
      </c>
      <c r="AZ232" s="31">
        <v>0</v>
      </c>
      <c r="BA232" s="31">
        <v>0</v>
      </c>
      <c r="BB232" s="31">
        <v>0</v>
      </c>
      <c r="BC232" s="31">
        <v>0</v>
      </c>
      <c r="BD232" s="31">
        <v>0</v>
      </c>
      <c r="BE232" s="31">
        <v>0</v>
      </c>
      <c r="BF232" s="31">
        <v>0</v>
      </c>
      <c r="BG232" s="31">
        <v>0</v>
      </c>
      <c r="BH232" s="31">
        <v>0</v>
      </c>
      <c r="BI232" s="31">
        <v>0</v>
      </c>
      <c r="BJ232" s="31">
        <v>0</v>
      </c>
      <c r="BK232" s="31">
        <v>0</v>
      </c>
      <c r="BL232" s="31">
        <v>0</v>
      </c>
      <c r="BM232" s="31">
        <v>0</v>
      </c>
      <c r="BN232" s="31">
        <v>1</v>
      </c>
      <c r="BO232" s="31">
        <v>1</v>
      </c>
      <c r="BP232" s="31">
        <v>0</v>
      </c>
      <c r="BQ232" s="31">
        <v>0</v>
      </c>
      <c r="BR232" s="31">
        <v>0</v>
      </c>
      <c r="BS232" s="31">
        <v>0</v>
      </c>
      <c r="BT232" s="31">
        <v>0</v>
      </c>
      <c r="BU232" s="31">
        <v>0</v>
      </c>
      <c r="BV232" s="31">
        <v>0</v>
      </c>
      <c r="BW232" s="31">
        <v>0</v>
      </c>
      <c r="BX232" s="31">
        <v>0</v>
      </c>
      <c r="BY232" s="31">
        <v>0</v>
      </c>
      <c r="BZ232" s="31">
        <v>0</v>
      </c>
      <c r="CA232" s="31">
        <v>0</v>
      </c>
      <c r="CB232" s="31">
        <v>0</v>
      </c>
      <c r="CC232" s="31">
        <v>0</v>
      </c>
      <c r="CD232" s="31">
        <v>0</v>
      </c>
      <c r="CE232" s="31">
        <v>0</v>
      </c>
      <c r="CF232" s="31">
        <v>0</v>
      </c>
      <c r="CG232" s="31">
        <v>0</v>
      </c>
      <c r="CH232" s="31">
        <v>0</v>
      </c>
      <c r="CI232" s="31">
        <v>0</v>
      </c>
      <c r="CJ232" s="31">
        <v>0</v>
      </c>
      <c r="CK232" s="31">
        <v>0</v>
      </c>
      <c r="CL232" s="35">
        <v>0</v>
      </c>
    </row>
    <row r="233" spans="1:90" x14ac:dyDescent="0.15">
      <c r="A233" s="27" t="s">
        <v>1161</v>
      </c>
      <c r="B233" s="28" t="s">
        <v>1162</v>
      </c>
      <c r="C233" s="28">
        <v>0</v>
      </c>
      <c r="D233" s="28">
        <v>0</v>
      </c>
      <c r="E233" s="28">
        <v>0</v>
      </c>
      <c r="F233" s="28">
        <v>0</v>
      </c>
      <c r="G233" s="28">
        <v>18</v>
      </c>
      <c r="H233" s="28">
        <f>IFERROR(VLOOKUP(A233,[1]FALTANTES!$A:$AB,28,FALSE),"-")</f>
        <v>0</v>
      </c>
      <c r="I233" s="42">
        <f>IFERROR(VLOOKUP(A233,[1]FALTANTES!$A:$AC,29,FALSE),"-")</f>
        <v>12</v>
      </c>
      <c r="J233" s="29">
        <f>IFERROR(VLOOKUP(A233,[1]FALTANTES!$A:$AD,30,FALSE),"-")</f>
        <v>-6</v>
      </c>
      <c r="K233" s="30">
        <v>0</v>
      </c>
      <c r="L233" s="30">
        <f t="shared" si="4"/>
        <v>4</v>
      </c>
      <c r="M233" s="31">
        <f>SUMIFS(METALFISA!$E:$E,METALFISA!$A:$A,'Faltantes Fevereiro- Metalfisa'!M$3,METALFISA!$B:$B,'Faltantes Fevereiro- Metalfisa'!$A233)</f>
        <v>0</v>
      </c>
      <c r="N233" s="31">
        <f>SUMIFS(METALFISA!$E:$E,METALFISA!$A:$A,'Faltantes Fevereiro- Metalfisa'!N$3,METALFISA!$B:$B,'Faltantes Fevereiro- Metalfisa'!$A233)</f>
        <v>0</v>
      </c>
      <c r="O233" s="31">
        <f>SUMIFS(METALFISA!$E:$E,METALFISA!$A:$A,'Faltantes Fevereiro- Metalfisa'!O$3,METALFISA!$B:$B,'Faltantes Fevereiro- Metalfisa'!$A233)</f>
        <v>0</v>
      </c>
      <c r="P233" s="31">
        <f>SUMIFS(METALFISA!$E:$E,METALFISA!$A:$A,'Faltantes Fevereiro- Metalfisa'!P$3,METALFISA!$B:$B,'Faltantes Fevereiro- Metalfisa'!$A233)</f>
        <v>0</v>
      </c>
      <c r="Q233" s="31">
        <f>SUMIFS(METALFISA!$E:$E,METALFISA!$A:$A,'Faltantes Fevereiro- Metalfisa'!Q$3,METALFISA!$B:$B,'Faltantes Fevereiro- Metalfisa'!$A233)</f>
        <v>0</v>
      </c>
      <c r="R233" s="31">
        <f>SUMIFS(METALFISA!$E:$E,METALFISA!$A:$A,'Faltantes Fevereiro- Metalfisa'!R$3,METALFISA!$B:$B,'Faltantes Fevereiro- Metalfisa'!$A233)</f>
        <v>0</v>
      </c>
      <c r="S233" s="31">
        <f>SUMIFS(METALFISA!$E:$E,METALFISA!$A:$A,'Faltantes Fevereiro- Metalfisa'!S$3,METALFISA!$B:$B,'Faltantes Fevereiro- Metalfisa'!$A233)</f>
        <v>0</v>
      </c>
      <c r="T233" s="31">
        <f>SUMIFS(METALFISA!$E:$E,METALFISA!$A:$A,'Faltantes Fevereiro- Metalfisa'!T$3,METALFISA!$B:$B,'Faltantes Fevereiro- Metalfisa'!$A233)</f>
        <v>0</v>
      </c>
      <c r="U233" s="31">
        <f>SUMIFS(METALFISA!$E:$E,METALFISA!$A:$A,'Faltantes Fevereiro- Metalfisa'!U$3,METALFISA!$B:$B,'Faltantes Fevereiro- Metalfisa'!$A233)</f>
        <v>0</v>
      </c>
      <c r="V233" s="31">
        <f>SUMIFS(METALFISA!$E:$E,METALFISA!$A:$A,'Faltantes Fevereiro- Metalfisa'!V$3,METALFISA!$B:$B,'Faltantes Fevereiro- Metalfisa'!$A233)</f>
        <v>0</v>
      </c>
      <c r="W233" s="31">
        <f>SUMIFS(METALFISA!$E:$E,METALFISA!$A:$A,'Faltantes Fevereiro- Metalfisa'!W$3,METALFISA!$B:$B,'Faltantes Fevereiro- Metalfisa'!$A233)</f>
        <v>0</v>
      </c>
      <c r="X233" s="31">
        <f>SUMIFS(METALFISA!$E:$E,METALFISA!$A:$A,'Faltantes Fevereiro- Metalfisa'!X$3,METALFISA!$B:$B,'Faltantes Fevereiro- Metalfisa'!$A233)</f>
        <v>0</v>
      </c>
      <c r="Y233" s="31">
        <f>SUMIFS(METALFISA!$E:$E,METALFISA!$A:$A,'Faltantes Fevereiro- Metalfisa'!Y$3,METALFISA!$B:$B,'Faltantes Fevereiro- Metalfisa'!$A233)</f>
        <v>0</v>
      </c>
      <c r="Z233" s="31">
        <f>SUMIFS(METALFISA!$E:$E,METALFISA!$A:$A,'Faltantes Fevereiro- Metalfisa'!Z$3,METALFISA!$B:$B,'Faltantes Fevereiro- Metalfisa'!$A233)</f>
        <v>0</v>
      </c>
      <c r="AA233" s="31">
        <f>SUMIFS(METALFISA!$E:$E,METALFISA!$A:$A,'Faltantes Fevereiro- Metalfisa'!AA$3,METALFISA!$B:$B,'Faltantes Fevereiro- Metalfisa'!$A233)</f>
        <v>0</v>
      </c>
      <c r="AB233" s="31">
        <f>SUMIFS(METALFISA!$E:$E,METALFISA!$A:$A,'Faltantes Fevereiro- Metalfisa'!AB$3,METALFISA!$B:$B,'Faltantes Fevereiro- Metalfisa'!$A233)</f>
        <v>0</v>
      </c>
      <c r="AC233" s="31">
        <f>SUMIFS(METALFISA!$E:$E,METALFISA!$A:$A,'Faltantes Fevereiro- Metalfisa'!AC$3,METALFISA!$B:$B,'Faltantes Fevereiro- Metalfisa'!$A233)</f>
        <v>0</v>
      </c>
      <c r="AD233" s="31">
        <f>SUMIFS(METALFISA!$E:$E,METALFISA!$A:$A,'Faltantes Fevereiro- Metalfisa'!AD$3,METALFISA!$B:$B,'Faltantes Fevereiro- Metalfisa'!$A233)</f>
        <v>0</v>
      </c>
      <c r="AE233" s="31">
        <f>SUMIFS(METALFISA!$E:$E,METALFISA!$A:$A,'Faltantes Fevereiro- Metalfisa'!AE$3,METALFISA!$B:$B,'Faltantes Fevereiro- Metalfisa'!$A233)</f>
        <v>4</v>
      </c>
      <c r="AF233" s="31">
        <f>SUMIFS(METALFISA!$E:$E,METALFISA!$A:$A,'Faltantes Fevereiro- Metalfisa'!AF$3,METALFISA!$B:$B,'Faltantes Fevereiro- Metalfisa'!$A233)</f>
        <v>0</v>
      </c>
      <c r="AG233" s="31">
        <f>SUMIFS(METALFISA!$E:$E,METALFISA!$A:$A,'Faltantes Fevereiro- Metalfisa'!AG$3,METALFISA!$B:$B,'Faltantes Fevereiro- Metalfisa'!$A233)</f>
        <v>0</v>
      </c>
      <c r="AH233" s="31">
        <f>SUMIFS(METALFISA!$E:$E,METALFISA!$A:$A,'Faltantes Fevereiro- Metalfisa'!AH$3,METALFISA!$B:$B,'Faltantes Fevereiro- Metalfisa'!$A233)</f>
        <v>0</v>
      </c>
      <c r="AI233" s="31">
        <f>SUMIFS(METALFISA!$E:$E,METALFISA!$A:$A,'Faltantes Fevereiro- Metalfisa'!AI$3,METALFISA!$B:$B,'Faltantes Fevereiro- Metalfisa'!$A233)</f>
        <v>0</v>
      </c>
      <c r="AJ233" s="31">
        <f>SUMIFS(METALFISA!$E:$E,METALFISA!$A:$A,'Faltantes Fevereiro- Metalfisa'!AJ$3,METALFISA!$B:$B,'Faltantes Fevereiro- Metalfisa'!$A233)</f>
        <v>0</v>
      </c>
      <c r="AK233" s="31">
        <f>SUMIFS(METALFISA!$E:$E,METALFISA!$A:$A,'Faltantes Fevereiro- Metalfisa'!AK$3,METALFISA!$B:$B,'Faltantes Fevereiro- Metalfisa'!$A233)</f>
        <v>0</v>
      </c>
      <c r="AL233" s="31">
        <f>SUMIFS(METALFISA!$E:$E,METALFISA!$A:$A,'Faltantes Fevereiro- Metalfisa'!AL$3,METALFISA!$B:$B,'Faltantes Fevereiro- Metalfisa'!$A233)</f>
        <v>0</v>
      </c>
      <c r="AM233" s="31">
        <f>SUMIFS(METALFISA!$E:$E,METALFISA!$A:$A,'Faltantes Fevereiro- Metalfisa'!AM$3,METALFISA!$B:$B,'Faltantes Fevereiro- Metalfisa'!$A233)</f>
        <v>0</v>
      </c>
      <c r="AN233" s="31">
        <f>SUMIFS(METALFISA!$E:$E,METALFISA!$A:$A,'Faltantes Fevereiro- Metalfisa'!AN$3,METALFISA!$B:$B,'Faltantes Fevereiro- Metalfisa'!$A233)</f>
        <v>0</v>
      </c>
      <c r="AO233" s="31">
        <f>SUMIFS(METALFISA!$E:$E,METALFISA!$A:$A,'Faltantes Fevereiro- Metalfisa'!AO$3,METALFISA!$B:$B,'Faltantes Fevereiro- Metalfisa'!$A233)</f>
        <v>0</v>
      </c>
      <c r="AP233" s="31">
        <f>SUMIFS(METALFISA!$E:$E,METALFISA!$A:$A,'Faltantes Fevereiro- Metalfisa'!AP$3,METALFISA!$B:$B,'Faltantes Fevereiro- Metalfisa'!$A233)</f>
        <v>0</v>
      </c>
      <c r="AQ233" s="31"/>
      <c r="AR233" s="31">
        <f>SUMIFS(METALFISA!$E:$E,METALFISA!$A:$A,'Faltantes Fevereiro- Metalfisa'!AR$3,METALFISA!$B:$B,'Faltantes Fevereiro- Metalfisa'!$A233)</f>
        <v>0</v>
      </c>
      <c r="AS233" s="35">
        <f>SUMIFS(METALFISA!$E:$E,METALFISA!$A:$A,'Faltantes Fevereiro- Metalfisa'!AS$3,METALFISA!$B:$B,'Faltantes Fevereiro- Metalfisa'!$A233)</f>
        <v>0</v>
      </c>
      <c r="AU233" s="18">
        <v>0</v>
      </c>
      <c r="AV233" s="18">
        <v>0</v>
      </c>
      <c r="AW233" s="18">
        <v>0</v>
      </c>
      <c r="AX233" s="18">
        <v>0</v>
      </c>
      <c r="AY233" s="41">
        <v>0</v>
      </c>
      <c r="AZ233" s="31">
        <v>0</v>
      </c>
      <c r="BA233" s="31">
        <v>0</v>
      </c>
      <c r="BB233" s="31">
        <v>0</v>
      </c>
      <c r="BC233" s="31">
        <v>0</v>
      </c>
      <c r="BD233" s="31">
        <v>0</v>
      </c>
      <c r="BE233" s="31">
        <v>0</v>
      </c>
      <c r="BF233" s="31">
        <v>0</v>
      </c>
      <c r="BG233" s="31">
        <v>0</v>
      </c>
      <c r="BH233" s="31">
        <v>0</v>
      </c>
      <c r="BI233" s="31">
        <v>0</v>
      </c>
      <c r="BJ233" s="31">
        <v>0</v>
      </c>
      <c r="BK233" s="31">
        <v>0</v>
      </c>
      <c r="BL233" s="31">
        <v>0</v>
      </c>
      <c r="BM233" s="31">
        <v>0</v>
      </c>
      <c r="BN233" s="31">
        <v>2</v>
      </c>
      <c r="BO233" s="31">
        <v>2</v>
      </c>
      <c r="BP233" s="31">
        <v>0</v>
      </c>
      <c r="BQ233" s="31">
        <v>0</v>
      </c>
      <c r="BR233" s="31">
        <v>0</v>
      </c>
      <c r="BS233" s="31">
        <v>0</v>
      </c>
      <c r="BT233" s="31">
        <v>0</v>
      </c>
      <c r="BU233" s="31">
        <v>0</v>
      </c>
      <c r="BV233" s="31">
        <v>0</v>
      </c>
      <c r="BW233" s="31">
        <v>0</v>
      </c>
      <c r="BX233" s="31">
        <v>0</v>
      </c>
      <c r="BY233" s="31">
        <v>0</v>
      </c>
      <c r="BZ233" s="31">
        <v>0</v>
      </c>
      <c r="CA233" s="31">
        <v>0</v>
      </c>
      <c r="CB233" s="31">
        <v>0</v>
      </c>
      <c r="CC233" s="31">
        <v>0</v>
      </c>
      <c r="CD233" s="31">
        <v>0</v>
      </c>
      <c r="CE233" s="31">
        <v>0</v>
      </c>
      <c r="CF233" s="31">
        <v>0</v>
      </c>
      <c r="CG233" s="31">
        <v>0</v>
      </c>
      <c r="CH233" s="31">
        <v>0</v>
      </c>
      <c r="CI233" s="31">
        <v>0</v>
      </c>
      <c r="CJ233" s="31">
        <v>0</v>
      </c>
      <c r="CK233" s="31">
        <v>0</v>
      </c>
      <c r="CL233" s="35">
        <v>0</v>
      </c>
    </row>
    <row r="234" spans="1:90" ht="21" x14ac:dyDescent="0.15">
      <c r="A234" s="27" t="s">
        <v>1167</v>
      </c>
      <c r="B234" s="28" t="s">
        <v>1168</v>
      </c>
      <c r="C234" s="28">
        <v>1</v>
      </c>
      <c r="D234" s="28">
        <v>0</v>
      </c>
      <c r="E234" s="28">
        <v>0</v>
      </c>
      <c r="F234" s="28">
        <v>0</v>
      </c>
      <c r="G234" s="28">
        <v>9</v>
      </c>
      <c r="H234" s="28">
        <f>IFERROR(VLOOKUP(A234,[1]FALTANTES!$A:$AB,28,FALSE),"-")</f>
        <v>0</v>
      </c>
      <c r="I234" s="42">
        <f>IFERROR(VLOOKUP(A234,[1]FALTANTES!$A:$AC,29,FALSE),"-")</f>
        <v>7</v>
      </c>
      <c r="J234" s="29">
        <f>IFERROR(VLOOKUP(A234,[1]FALTANTES!$A:$AD,30,FALSE),"-")</f>
        <v>-3</v>
      </c>
      <c r="K234" s="30">
        <v>0</v>
      </c>
      <c r="L234" s="30">
        <f t="shared" si="4"/>
        <v>2</v>
      </c>
      <c r="M234" s="31">
        <f>SUMIFS(METALFISA!$E:$E,METALFISA!$A:$A,'Faltantes Fevereiro- Metalfisa'!M$3,METALFISA!$B:$B,'Faltantes Fevereiro- Metalfisa'!$A234)</f>
        <v>0</v>
      </c>
      <c r="N234" s="31">
        <f>SUMIFS(METALFISA!$E:$E,METALFISA!$A:$A,'Faltantes Fevereiro- Metalfisa'!N$3,METALFISA!$B:$B,'Faltantes Fevereiro- Metalfisa'!$A234)</f>
        <v>0</v>
      </c>
      <c r="O234" s="31">
        <f>SUMIFS(METALFISA!$E:$E,METALFISA!$A:$A,'Faltantes Fevereiro- Metalfisa'!O$3,METALFISA!$B:$B,'Faltantes Fevereiro- Metalfisa'!$A234)</f>
        <v>0</v>
      </c>
      <c r="P234" s="31">
        <f>SUMIFS(METALFISA!$E:$E,METALFISA!$A:$A,'Faltantes Fevereiro- Metalfisa'!P$3,METALFISA!$B:$B,'Faltantes Fevereiro- Metalfisa'!$A234)</f>
        <v>0</v>
      </c>
      <c r="Q234" s="31">
        <f>SUMIFS(METALFISA!$E:$E,METALFISA!$A:$A,'Faltantes Fevereiro- Metalfisa'!Q$3,METALFISA!$B:$B,'Faltantes Fevereiro- Metalfisa'!$A234)</f>
        <v>0</v>
      </c>
      <c r="R234" s="31">
        <f>SUMIFS(METALFISA!$E:$E,METALFISA!$A:$A,'Faltantes Fevereiro- Metalfisa'!R$3,METALFISA!$B:$B,'Faltantes Fevereiro- Metalfisa'!$A234)</f>
        <v>0</v>
      </c>
      <c r="S234" s="31">
        <f>SUMIFS(METALFISA!$E:$E,METALFISA!$A:$A,'Faltantes Fevereiro- Metalfisa'!S$3,METALFISA!$B:$B,'Faltantes Fevereiro- Metalfisa'!$A234)</f>
        <v>0</v>
      </c>
      <c r="T234" s="31">
        <f>SUMIFS(METALFISA!$E:$E,METALFISA!$A:$A,'Faltantes Fevereiro- Metalfisa'!T$3,METALFISA!$B:$B,'Faltantes Fevereiro- Metalfisa'!$A234)</f>
        <v>0</v>
      </c>
      <c r="U234" s="31">
        <f>SUMIFS(METALFISA!$E:$E,METALFISA!$A:$A,'Faltantes Fevereiro- Metalfisa'!U$3,METALFISA!$B:$B,'Faltantes Fevereiro- Metalfisa'!$A234)</f>
        <v>0</v>
      </c>
      <c r="V234" s="31">
        <f>SUMIFS(METALFISA!$E:$E,METALFISA!$A:$A,'Faltantes Fevereiro- Metalfisa'!V$3,METALFISA!$B:$B,'Faltantes Fevereiro- Metalfisa'!$A234)</f>
        <v>0</v>
      </c>
      <c r="W234" s="31">
        <f>SUMIFS(METALFISA!$E:$E,METALFISA!$A:$A,'Faltantes Fevereiro- Metalfisa'!W$3,METALFISA!$B:$B,'Faltantes Fevereiro- Metalfisa'!$A234)</f>
        <v>0</v>
      </c>
      <c r="X234" s="31">
        <f>SUMIFS(METALFISA!$E:$E,METALFISA!$A:$A,'Faltantes Fevereiro- Metalfisa'!X$3,METALFISA!$B:$B,'Faltantes Fevereiro- Metalfisa'!$A234)</f>
        <v>0</v>
      </c>
      <c r="Y234" s="31">
        <f>SUMIFS(METALFISA!$E:$E,METALFISA!$A:$A,'Faltantes Fevereiro- Metalfisa'!Y$3,METALFISA!$B:$B,'Faltantes Fevereiro- Metalfisa'!$A234)</f>
        <v>0</v>
      </c>
      <c r="Z234" s="31">
        <f>SUMIFS(METALFISA!$E:$E,METALFISA!$A:$A,'Faltantes Fevereiro- Metalfisa'!Z$3,METALFISA!$B:$B,'Faltantes Fevereiro- Metalfisa'!$A234)</f>
        <v>0</v>
      </c>
      <c r="AA234" s="31">
        <f>SUMIFS(METALFISA!$E:$E,METALFISA!$A:$A,'Faltantes Fevereiro- Metalfisa'!AA$3,METALFISA!$B:$B,'Faltantes Fevereiro- Metalfisa'!$A234)</f>
        <v>0</v>
      </c>
      <c r="AB234" s="31">
        <f>SUMIFS(METALFISA!$E:$E,METALFISA!$A:$A,'Faltantes Fevereiro- Metalfisa'!AB$3,METALFISA!$B:$B,'Faltantes Fevereiro- Metalfisa'!$A234)</f>
        <v>0</v>
      </c>
      <c r="AC234" s="31">
        <f>SUMIFS(METALFISA!$E:$E,METALFISA!$A:$A,'Faltantes Fevereiro- Metalfisa'!AC$3,METALFISA!$B:$B,'Faltantes Fevereiro- Metalfisa'!$A234)</f>
        <v>0</v>
      </c>
      <c r="AD234" s="31">
        <f>SUMIFS(METALFISA!$E:$E,METALFISA!$A:$A,'Faltantes Fevereiro- Metalfisa'!AD$3,METALFISA!$B:$B,'Faltantes Fevereiro- Metalfisa'!$A234)</f>
        <v>0</v>
      </c>
      <c r="AE234" s="31">
        <f>SUMIFS(METALFISA!$E:$E,METALFISA!$A:$A,'Faltantes Fevereiro- Metalfisa'!AE$3,METALFISA!$B:$B,'Faltantes Fevereiro- Metalfisa'!$A234)</f>
        <v>2</v>
      </c>
      <c r="AF234" s="31">
        <f>SUMIFS(METALFISA!$E:$E,METALFISA!$A:$A,'Faltantes Fevereiro- Metalfisa'!AF$3,METALFISA!$B:$B,'Faltantes Fevereiro- Metalfisa'!$A234)</f>
        <v>0</v>
      </c>
      <c r="AG234" s="31">
        <f>SUMIFS(METALFISA!$E:$E,METALFISA!$A:$A,'Faltantes Fevereiro- Metalfisa'!AG$3,METALFISA!$B:$B,'Faltantes Fevereiro- Metalfisa'!$A234)</f>
        <v>0</v>
      </c>
      <c r="AH234" s="31">
        <f>SUMIFS(METALFISA!$E:$E,METALFISA!$A:$A,'Faltantes Fevereiro- Metalfisa'!AH$3,METALFISA!$B:$B,'Faltantes Fevereiro- Metalfisa'!$A234)</f>
        <v>0</v>
      </c>
      <c r="AI234" s="31">
        <f>SUMIFS(METALFISA!$E:$E,METALFISA!$A:$A,'Faltantes Fevereiro- Metalfisa'!AI$3,METALFISA!$B:$B,'Faltantes Fevereiro- Metalfisa'!$A234)</f>
        <v>0</v>
      </c>
      <c r="AJ234" s="31">
        <f>SUMIFS(METALFISA!$E:$E,METALFISA!$A:$A,'Faltantes Fevereiro- Metalfisa'!AJ$3,METALFISA!$B:$B,'Faltantes Fevereiro- Metalfisa'!$A234)</f>
        <v>0</v>
      </c>
      <c r="AK234" s="31">
        <f>SUMIFS(METALFISA!$E:$E,METALFISA!$A:$A,'Faltantes Fevereiro- Metalfisa'!AK$3,METALFISA!$B:$B,'Faltantes Fevereiro- Metalfisa'!$A234)</f>
        <v>0</v>
      </c>
      <c r="AL234" s="31">
        <f>SUMIFS(METALFISA!$E:$E,METALFISA!$A:$A,'Faltantes Fevereiro- Metalfisa'!AL$3,METALFISA!$B:$B,'Faltantes Fevereiro- Metalfisa'!$A234)</f>
        <v>0</v>
      </c>
      <c r="AM234" s="31">
        <f>SUMIFS(METALFISA!$E:$E,METALFISA!$A:$A,'Faltantes Fevereiro- Metalfisa'!AM$3,METALFISA!$B:$B,'Faltantes Fevereiro- Metalfisa'!$A234)</f>
        <v>0</v>
      </c>
      <c r="AN234" s="31">
        <f>SUMIFS(METALFISA!$E:$E,METALFISA!$A:$A,'Faltantes Fevereiro- Metalfisa'!AN$3,METALFISA!$B:$B,'Faltantes Fevereiro- Metalfisa'!$A234)</f>
        <v>0</v>
      </c>
      <c r="AO234" s="31">
        <f>SUMIFS(METALFISA!$E:$E,METALFISA!$A:$A,'Faltantes Fevereiro- Metalfisa'!AO$3,METALFISA!$B:$B,'Faltantes Fevereiro- Metalfisa'!$A234)</f>
        <v>0</v>
      </c>
      <c r="AP234" s="31">
        <f>SUMIFS(METALFISA!$E:$E,METALFISA!$A:$A,'Faltantes Fevereiro- Metalfisa'!AP$3,METALFISA!$B:$B,'Faltantes Fevereiro- Metalfisa'!$A234)</f>
        <v>0</v>
      </c>
      <c r="AQ234" s="31"/>
      <c r="AR234" s="31">
        <f>SUMIFS(METALFISA!$E:$E,METALFISA!$A:$A,'Faltantes Fevereiro- Metalfisa'!AR$3,METALFISA!$B:$B,'Faltantes Fevereiro- Metalfisa'!$A234)</f>
        <v>0</v>
      </c>
      <c r="AS234" s="35">
        <f>SUMIFS(METALFISA!$E:$E,METALFISA!$A:$A,'Faltantes Fevereiro- Metalfisa'!AS$3,METALFISA!$B:$B,'Faltantes Fevereiro- Metalfisa'!$A234)</f>
        <v>0</v>
      </c>
      <c r="AU234" s="18">
        <v>0</v>
      </c>
      <c r="AV234" s="18">
        <v>0</v>
      </c>
      <c r="AW234" s="18">
        <v>0</v>
      </c>
      <c r="AX234" s="18">
        <v>0</v>
      </c>
      <c r="AY234" s="41">
        <v>0</v>
      </c>
      <c r="AZ234" s="31">
        <v>0</v>
      </c>
      <c r="BA234" s="31">
        <v>0</v>
      </c>
      <c r="BB234" s="31">
        <v>0</v>
      </c>
      <c r="BC234" s="31">
        <v>0</v>
      </c>
      <c r="BD234" s="31">
        <v>0</v>
      </c>
      <c r="BE234" s="31">
        <v>0</v>
      </c>
      <c r="BF234" s="31">
        <v>0</v>
      </c>
      <c r="BG234" s="31">
        <v>0</v>
      </c>
      <c r="BH234" s="31">
        <v>0</v>
      </c>
      <c r="BI234" s="31">
        <v>0</v>
      </c>
      <c r="BJ234" s="31">
        <v>0</v>
      </c>
      <c r="BK234" s="31">
        <v>0</v>
      </c>
      <c r="BL234" s="31">
        <v>0</v>
      </c>
      <c r="BM234" s="31">
        <v>0</v>
      </c>
      <c r="BN234" s="31">
        <v>1</v>
      </c>
      <c r="BO234" s="31">
        <v>1</v>
      </c>
      <c r="BP234" s="31">
        <v>0</v>
      </c>
      <c r="BQ234" s="31">
        <v>0</v>
      </c>
      <c r="BR234" s="31">
        <v>0</v>
      </c>
      <c r="BS234" s="31">
        <v>0</v>
      </c>
      <c r="BT234" s="31">
        <v>0</v>
      </c>
      <c r="BU234" s="31">
        <v>0</v>
      </c>
      <c r="BV234" s="31">
        <v>0</v>
      </c>
      <c r="BW234" s="31">
        <v>0</v>
      </c>
      <c r="BX234" s="31">
        <v>0</v>
      </c>
      <c r="BY234" s="31">
        <v>0</v>
      </c>
      <c r="BZ234" s="31">
        <v>0</v>
      </c>
      <c r="CA234" s="31">
        <v>0</v>
      </c>
      <c r="CB234" s="31">
        <v>0</v>
      </c>
      <c r="CC234" s="31">
        <v>0</v>
      </c>
      <c r="CD234" s="31">
        <v>0</v>
      </c>
      <c r="CE234" s="31">
        <v>0</v>
      </c>
      <c r="CF234" s="31">
        <v>0</v>
      </c>
      <c r="CG234" s="31">
        <v>0</v>
      </c>
      <c r="CH234" s="31">
        <v>0</v>
      </c>
      <c r="CI234" s="31">
        <v>0</v>
      </c>
      <c r="CJ234" s="31">
        <v>0</v>
      </c>
      <c r="CK234" s="31">
        <v>0</v>
      </c>
      <c r="CL234" s="35">
        <v>0</v>
      </c>
    </row>
    <row r="235" spans="1:90" x14ac:dyDescent="0.15">
      <c r="A235" s="27" t="s">
        <v>1171</v>
      </c>
      <c r="B235" s="28" t="s">
        <v>1172</v>
      </c>
      <c r="C235" s="28">
        <v>0</v>
      </c>
      <c r="D235" s="28">
        <v>0</v>
      </c>
      <c r="E235" s="28">
        <v>0</v>
      </c>
      <c r="F235" s="28">
        <v>0</v>
      </c>
      <c r="G235" s="28">
        <v>9</v>
      </c>
      <c r="H235" s="28">
        <f>IFERROR(VLOOKUP(A235,[1]FALTANTES!$A:$AB,28,FALSE),"-")</f>
        <v>0</v>
      </c>
      <c r="I235" s="42">
        <f>IFERROR(VLOOKUP(A235,[1]FALTANTES!$A:$AC,29,FALSE),"-")</f>
        <v>5</v>
      </c>
      <c r="J235" s="29">
        <f>IFERROR(VLOOKUP(A235,[1]FALTANTES!$A:$AD,30,FALSE),"-")</f>
        <v>-4</v>
      </c>
      <c r="K235" s="30"/>
      <c r="L235" s="30">
        <f t="shared" si="4"/>
        <v>2</v>
      </c>
      <c r="M235" s="31">
        <f>SUMIFS(METALFISA!$E:$E,METALFISA!$A:$A,'Faltantes Fevereiro- Metalfisa'!M$3,METALFISA!$B:$B,'Faltantes Fevereiro- Metalfisa'!$A235)</f>
        <v>0</v>
      </c>
      <c r="N235" s="31">
        <f>SUMIFS(METALFISA!$E:$E,METALFISA!$A:$A,'Faltantes Fevereiro- Metalfisa'!N$3,METALFISA!$B:$B,'Faltantes Fevereiro- Metalfisa'!$A235)</f>
        <v>0</v>
      </c>
      <c r="O235" s="31">
        <f>SUMIFS(METALFISA!$E:$E,METALFISA!$A:$A,'Faltantes Fevereiro- Metalfisa'!O$3,METALFISA!$B:$B,'Faltantes Fevereiro- Metalfisa'!$A235)</f>
        <v>0</v>
      </c>
      <c r="P235" s="31">
        <f>SUMIFS(METALFISA!$E:$E,METALFISA!$A:$A,'Faltantes Fevereiro- Metalfisa'!P$3,METALFISA!$B:$B,'Faltantes Fevereiro- Metalfisa'!$A235)</f>
        <v>0</v>
      </c>
      <c r="Q235" s="31">
        <f>SUMIFS(METALFISA!$E:$E,METALFISA!$A:$A,'Faltantes Fevereiro- Metalfisa'!Q$3,METALFISA!$B:$B,'Faltantes Fevereiro- Metalfisa'!$A235)</f>
        <v>0</v>
      </c>
      <c r="R235" s="31">
        <f>SUMIFS(METALFISA!$E:$E,METALFISA!$A:$A,'Faltantes Fevereiro- Metalfisa'!R$3,METALFISA!$B:$B,'Faltantes Fevereiro- Metalfisa'!$A235)</f>
        <v>0</v>
      </c>
      <c r="S235" s="31">
        <f>SUMIFS(METALFISA!$E:$E,METALFISA!$A:$A,'Faltantes Fevereiro- Metalfisa'!S$3,METALFISA!$B:$B,'Faltantes Fevereiro- Metalfisa'!$A235)</f>
        <v>0</v>
      </c>
      <c r="T235" s="31">
        <f>SUMIFS(METALFISA!$E:$E,METALFISA!$A:$A,'Faltantes Fevereiro- Metalfisa'!T$3,METALFISA!$B:$B,'Faltantes Fevereiro- Metalfisa'!$A235)</f>
        <v>0</v>
      </c>
      <c r="U235" s="31">
        <f>SUMIFS(METALFISA!$E:$E,METALFISA!$A:$A,'Faltantes Fevereiro- Metalfisa'!U$3,METALFISA!$B:$B,'Faltantes Fevereiro- Metalfisa'!$A235)</f>
        <v>0</v>
      </c>
      <c r="V235" s="31">
        <f>SUMIFS(METALFISA!$E:$E,METALFISA!$A:$A,'Faltantes Fevereiro- Metalfisa'!V$3,METALFISA!$B:$B,'Faltantes Fevereiro- Metalfisa'!$A235)</f>
        <v>0</v>
      </c>
      <c r="W235" s="31">
        <f>SUMIFS(METALFISA!$E:$E,METALFISA!$A:$A,'Faltantes Fevereiro- Metalfisa'!W$3,METALFISA!$B:$B,'Faltantes Fevereiro- Metalfisa'!$A235)</f>
        <v>0</v>
      </c>
      <c r="X235" s="31">
        <f>SUMIFS(METALFISA!$E:$E,METALFISA!$A:$A,'Faltantes Fevereiro- Metalfisa'!X$3,METALFISA!$B:$B,'Faltantes Fevereiro- Metalfisa'!$A235)</f>
        <v>0</v>
      </c>
      <c r="Y235" s="31">
        <f>SUMIFS(METALFISA!$E:$E,METALFISA!$A:$A,'Faltantes Fevereiro- Metalfisa'!Y$3,METALFISA!$B:$B,'Faltantes Fevereiro- Metalfisa'!$A235)</f>
        <v>0</v>
      </c>
      <c r="Z235" s="31">
        <f>SUMIFS(METALFISA!$E:$E,METALFISA!$A:$A,'Faltantes Fevereiro- Metalfisa'!Z$3,METALFISA!$B:$B,'Faltantes Fevereiro- Metalfisa'!$A235)</f>
        <v>0</v>
      </c>
      <c r="AA235" s="31">
        <f>SUMIFS(METALFISA!$E:$E,METALFISA!$A:$A,'Faltantes Fevereiro- Metalfisa'!AA$3,METALFISA!$B:$B,'Faltantes Fevereiro- Metalfisa'!$A235)</f>
        <v>0</v>
      </c>
      <c r="AB235" s="31">
        <f>SUMIFS(METALFISA!$E:$E,METALFISA!$A:$A,'Faltantes Fevereiro- Metalfisa'!AB$3,METALFISA!$B:$B,'Faltantes Fevereiro- Metalfisa'!$A235)</f>
        <v>0</v>
      </c>
      <c r="AC235" s="31">
        <f>SUMIFS(METALFISA!$E:$E,METALFISA!$A:$A,'Faltantes Fevereiro- Metalfisa'!AC$3,METALFISA!$B:$B,'Faltantes Fevereiro- Metalfisa'!$A235)</f>
        <v>0</v>
      </c>
      <c r="AD235" s="31">
        <f>SUMIFS(METALFISA!$E:$E,METALFISA!$A:$A,'Faltantes Fevereiro- Metalfisa'!AD$3,METALFISA!$B:$B,'Faltantes Fevereiro- Metalfisa'!$A235)</f>
        <v>0</v>
      </c>
      <c r="AE235" s="31">
        <f>SUMIFS(METALFISA!$E:$E,METALFISA!$A:$A,'Faltantes Fevereiro- Metalfisa'!AE$3,METALFISA!$B:$B,'Faltantes Fevereiro- Metalfisa'!$A235)</f>
        <v>2</v>
      </c>
      <c r="AF235" s="31">
        <f>SUMIFS(METALFISA!$E:$E,METALFISA!$A:$A,'Faltantes Fevereiro- Metalfisa'!AF$3,METALFISA!$B:$B,'Faltantes Fevereiro- Metalfisa'!$A235)</f>
        <v>0</v>
      </c>
      <c r="AG235" s="31">
        <f>SUMIFS(METALFISA!$E:$E,METALFISA!$A:$A,'Faltantes Fevereiro- Metalfisa'!AG$3,METALFISA!$B:$B,'Faltantes Fevereiro- Metalfisa'!$A235)</f>
        <v>0</v>
      </c>
      <c r="AH235" s="31">
        <f>SUMIFS(METALFISA!$E:$E,METALFISA!$A:$A,'Faltantes Fevereiro- Metalfisa'!AH$3,METALFISA!$B:$B,'Faltantes Fevereiro- Metalfisa'!$A235)</f>
        <v>0</v>
      </c>
      <c r="AI235" s="31">
        <f>SUMIFS(METALFISA!$E:$E,METALFISA!$A:$A,'Faltantes Fevereiro- Metalfisa'!AI$3,METALFISA!$B:$B,'Faltantes Fevereiro- Metalfisa'!$A235)</f>
        <v>0</v>
      </c>
      <c r="AJ235" s="31">
        <f>SUMIFS(METALFISA!$E:$E,METALFISA!$A:$A,'Faltantes Fevereiro- Metalfisa'!AJ$3,METALFISA!$B:$B,'Faltantes Fevereiro- Metalfisa'!$A235)</f>
        <v>0</v>
      </c>
      <c r="AK235" s="31">
        <f>SUMIFS(METALFISA!$E:$E,METALFISA!$A:$A,'Faltantes Fevereiro- Metalfisa'!AK$3,METALFISA!$B:$B,'Faltantes Fevereiro- Metalfisa'!$A235)</f>
        <v>0</v>
      </c>
      <c r="AL235" s="31">
        <f>SUMIFS(METALFISA!$E:$E,METALFISA!$A:$A,'Faltantes Fevereiro- Metalfisa'!AL$3,METALFISA!$B:$B,'Faltantes Fevereiro- Metalfisa'!$A235)</f>
        <v>0</v>
      </c>
      <c r="AM235" s="31">
        <f>SUMIFS(METALFISA!$E:$E,METALFISA!$A:$A,'Faltantes Fevereiro- Metalfisa'!AM$3,METALFISA!$B:$B,'Faltantes Fevereiro- Metalfisa'!$A235)</f>
        <v>0</v>
      </c>
      <c r="AN235" s="31">
        <f>SUMIFS(METALFISA!$E:$E,METALFISA!$A:$A,'Faltantes Fevereiro- Metalfisa'!AN$3,METALFISA!$B:$B,'Faltantes Fevereiro- Metalfisa'!$A235)</f>
        <v>0</v>
      </c>
      <c r="AO235" s="31">
        <f>SUMIFS(METALFISA!$E:$E,METALFISA!$A:$A,'Faltantes Fevereiro- Metalfisa'!AO$3,METALFISA!$B:$B,'Faltantes Fevereiro- Metalfisa'!$A235)</f>
        <v>0</v>
      </c>
      <c r="AP235" s="31">
        <f>SUMIFS(METALFISA!$E:$E,METALFISA!$A:$A,'Faltantes Fevereiro- Metalfisa'!AP$3,METALFISA!$B:$B,'Faltantes Fevereiro- Metalfisa'!$A235)</f>
        <v>0</v>
      </c>
      <c r="AQ235" s="31"/>
      <c r="AR235" s="31">
        <f>SUMIFS(METALFISA!$E:$E,METALFISA!$A:$A,'Faltantes Fevereiro- Metalfisa'!AR$3,METALFISA!$B:$B,'Faltantes Fevereiro- Metalfisa'!$A235)</f>
        <v>0</v>
      </c>
      <c r="AS235" s="35">
        <f>SUMIFS(METALFISA!$E:$E,METALFISA!$A:$A,'Faltantes Fevereiro- Metalfisa'!AS$3,METALFISA!$B:$B,'Faltantes Fevereiro- Metalfisa'!$A235)</f>
        <v>0</v>
      </c>
      <c r="AU235" s="18">
        <v>0</v>
      </c>
      <c r="AV235" s="18">
        <v>0</v>
      </c>
      <c r="AW235" s="18">
        <v>0</v>
      </c>
      <c r="AX235" s="18">
        <v>0</v>
      </c>
      <c r="AY235" s="41">
        <v>0</v>
      </c>
      <c r="AZ235" s="31">
        <v>0</v>
      </c>
      <c r="BA235" s="31">
        <v>0</v>
      </c>
      <c r="BB235" s="31">
        <v>0</v>
      </c>
      <c r="BC235" s="31">
        <v>0</v>
      </c>
      <c r="BD235" s="31">
        <v>0</v>
      </c>
      <c r="BE235" s="31">
        <v>0</v>
      </c>
      <c r="BF235" s="31">
        <v>0</v>
      </c>
      <c r="BG235" s="31">
        <v>0</v>
      </c>
      <c r="BH235" s="31">
        <v>0</v>
      </c>
      <c r="BI235" s="31">
        <v>0</v>
      </c>
      <c r="BJ235" s="31">
        <v>0</v>
      </c>
      <c r="BK235" s="31">
        <v>0</v>
      </c>
      <c r="BL235" s="31">
        <v>0</v>
      </c>
      <c r="BM235" s="31">
        <v>0</v>
      </c>
      <c r="BN235" s="31">
        <v>1</v>
      </c>
      <c r="BO235" s="31">
        <v>1</v>
      </c>
      <c r="BP235" s="31">
        <v>0</v>
      </c>
      <c r="BQ235" s="31">
        <v>0</v>
      </c>
      <c r="BR235" s="31">
        <v>0</v>
      </c>
      <c r="BS235" s="31">
        <v>0</v>
      </c>
      <c r="BT235" s="31">
        <v>0</v>
      </c>
      <c r="BU235" s="31">
        <v>0</v>
      </c>
      <c r="BV235" s="31">
        <v>0</v>
      </c>
      <c r="BW235" s="31">
        <v>0</v>
      </c>
      <c r="BX235" s="31">
        <v>0</v>
      </c>
      <c r="BY235" s="31">
        <v>0</v>
      </c>
      <c r="BZ235" s="31">
        <v>0</v>
      </c>
      <c r="CA235" s="31">
        <v>0</v>
      </c>
      <c r="CB235" s="31">
        <v>0</v>
      </c>
      <c r="CC235" s="31">
        <v>0</v>
      </c>
      <c r="CD235" s="31">
        <v>0</v>
      </c>
      <c r="CE235" s="31">
        <v>0</v>
      </c>
      <c r="CF235" s="31">
        <v>0</v>
      </c>
      <c r="CG235" s="31">
        <v>0</v>
      </c>
      <c r="CH235" s="31">
        <v>0</v>
      </c>
      <c r="CI235" s="31">
        <v>0</v>
      </c>
      <c r="CJ235" s="31">
        <v>0</v>
      </c>
      <c r="CK235" s="31">
        <v>0</v>
      </c>
      <c r="CL235" s="35">
        <v>0</v>
      </c>
    </row>
    <row r="236" spans="1:90" ht="21" x14ac:dyDescent="0.15">
      <c r="A236" s="27" t="s">
        <v>1175</v>
      </c>
      <c r="B236" s="28" t="s">
        <v>1176</v>
      </c>
      <c r="C236" s="28">
        <v>0</v>
      </c>
      <c r="D236" s="28">
        <v>0</v>
      </c>
      <c r="E236" s="28">
        <v>0</v>
      </c>
      <c r="F236" s="28">
        <v>0</v>
      </c>
      <c r="G236" s="28">
        <v>9</v>
      </c>
      <c r="H236" s="28">
        <f>IFERROR(VLOOKUP(A236,[1]FALTANTES!$A:$AB,28,FALSE),"-")</f>
        <v>0</v>
      </c>
      <c r="I236" s="42">
        <f>IFERROR(VLOOKUP(A236,[1]FALTANTES!$A:$AC,29,FALSE),"-")</f>
        <v>2</v>
      </c>
      <c r="J236" s="29">
        <f>IFERROR(VLOOKUP(A236,[1]FALTANTES!$A:$AD,30,FALSE),"-")</f>
        <v>-7</v>
      </c>
      <c r="K236" s="30"/>
      <c r="L236" s="30">
        <f t="shared" si="4"/>
        <v>2</v>
      </c>
      <c r="M236" s="31">
        <f>SUMIFS(METALFISA!$E:$E,METALFISA!$A:$A,'Faltantes Fevereiro- Metalfisa'!M$3,METALFISA!$B:$B,'Faltantes Fevereiro- Metalfisa'!$A236)</f>
        <v>0</v>
      </c>
      <c r="N236" s="31">
        <f>SUMIFS(METALFISA!$E:$E,METALFISA!$A:$A,'Faltantes Fevereiro- Metalfisa'!N$3,METALFISA!$B:$B,'Faltantes Fevereiro- Metalfisa'!$A236)</f>
        <v>0</v>
      </c>
      <c r="O236" s="31">
        <f>SUMIFS(METALFISA!$E:$E,METALFISA!$A:$A,'Faltantes Fevereiro- Metalfisa'!O$3,METALFISA!$B:$B,'Faltantes Fevereiro- Metalfisa'!$A236)</f>
        <v>0</v>
      </c>
      <c r="P236" s="31">
        <f>SUMIFS(METALFISA!$E:$E,METALFISA!$A:$A,'Faltantes Fevereiro- Metalfisa'!P$3,METALFISA!$B:$B,'Faltantes Fevereiro- Metalfisa'!$A236)</f>
        <v>0</v>
      </c>
      <c r="Q236" s="31">
        <f>SUMIFS(METALFISA!$E:$E,METALFISA!$A:$A,'Faltantes Fevereiro- Metalfisa'!Q$3,METALFISA!$B:$B,'Faltantes Fevereiro- Metalfisa'!$A236)</f>
        <v>0</v>
      </c>
      <c r="R236" s="31">
        <f>SUMIFS(METALFISA!$E:$E,METALFISA!$A:$A,'Faltantes Fevereiro- Metalfisa'!R$3,METALFISA!$B:$B,'Faltantes Fevereiro- Metalfisa'!$A236)</f>
        <v>0</v>
      </c>
      <c r="S236" s="31">
        <f>SUMIFS(METALFISA!$E:$E,METALFISA!$A:$A,'Faltantes Fevereiro- Metalfisa'!S$3,METALFISA!$B:$B,'Faltantes Fevereiro- Metalfisa'!$A236)</f>
        <v>0</v>
      </c>
      <c r="T236" s="31">
        <f>SUMIFS(METALFISA!$E:$E,METALFISA!$A:$A,'Faltantes Fevereiro- Metalfisa'!T$3,METALFISA!$B:$B,'Faltantes Fevereiro- Metalfisa'!$A236)</f>
        <v>0</v>
      </c>
      <c r="U236" s="31">
        <f>SUMIFS(METALFISA!$E:$E,METALFISA!$A:$A,'Faltantes Fevereiro- Metalfisa'!U$3,METALFISA!$B:$B,'Faltantes Fevereiro- Metalfisa'!$A236)</f>
        <v>0</v>
      </c>
      <c r="V236" s="31">
        <f>SUMIFS(METALFISA!$E:$E,METALFISA!$A:$A,'Faltantes Fevereiro- Metalfisa'!V$3,METALFISA!$B:$B,'Faltantes Fevereiro- Metalfisa'!$A236)</f>
        <v>0</v>
      </c>
      <c r="W236" s="31">
        <f>SUMIFS(METALFISA!$E:$E,METALFISA!$A:$A,'Faltantes Fevereiro- Metalfisa'!W$3,METALFISA!$B:$B,'Faltantes Fevereiro- Metalfisa'!$A236)</f>
        <v>0</v>
      </c>
      <c r="X236" s="31">
        <f>SUMIFS(METALFISA!$E:$E,METALFISA!$A:$A,'Faltantes Fevereiro- Metalfisa'!X$3,METALFISA!$B:$B,'Faltantes Fevereiro- Metalfisa'!$A236)</f>
        <v>0</v>
      </c>
      <c r="Y236" s="31">
        <f>SUMIFS(METALFISA!$E:$E,METALFISA!$A:$A,'Faltantes Fevereiro- Metalfisa'!Y$3,METALFISA!$B:$B,'Faltantes Fevereiro- Metalfisa'!$A236)</f>
        <v>0</v>
      </c>
      <c r="Z236" s="31">
        <f>SUMIFS(METALFISA!$E:$E,METALFISA!$A:$A,'Faltantes Fevereiro- Metalfisa'!Z$3,METALFISA!$B:$B,'Faltantes Fevereiro- Metalfisa'!$A236)</f>
        <v>0</v>
      </c>
      <c r="AA236" s="31">
        <f>SUMIFS(METALFISA!$E:$E,METALFISA!$A:$A,'Faltantes Fevereiro- Metalfisa'!AA$3,METALFISA!$B:$B,'Faltantes Fevereiro- Metalfisa'!$A236)</f>
        <v>0</v>
      </c>
      <c r="AB236" s="31">
        <f>SUMIFS(METALFISA!$E:$E,METALFISA!$A:$A,'Faltantes Fevereiro- Metalfisa'!AB$3,METALFISA!$B:$B,'Faltantes Fevereiro- Metalfisa'!$A236)</f>
        <v>0</v>
      </c>
      <c r="AC236" s="31">
        <f>SUMIFS(METALFISA!$E:$E,METALFISA!$A:$A,'Faltantes Fevereiro- Metalfisa'!AC$3,METALFISA!$B:$B,'Faltantes Fevereiro- Metalfisa'!$A236)</f>
        <v>0</v>
      </c>
      <c r="AD236" s="31">
        <f>SUMIFS(METALFISA!$E:$E,METALFISA!$A:$A,'Faltantes Fevereiro- Metalfisa'!AD$3,METALFISA!$B:$B,'Faltantes Fevereiro- Metalfisa'!$A236)</f>
        <v>0</v>
      </c>
      <c r="AE236" s="31">
        <f>SUMIFS(METALFISA!$E:$E,METALFISA!$A:$A,'Faltantes Fevereiro- Metalfisa'!AE$3,METALFISA!$B:$B,'Faltantes Fevereiro- Metalfisa'!$A236)</f>
        <v>2</v>
      </c>
      <c r="AF236" s="31">
        <f>SUMIFS(METALFISA!$E:$E,METALFISA!$A:$A,'Faltantes Fevereiro- Metalfisa'!AF$3,METALFISA!$B:$B,'Faltantes Fevereiro- Metalfisa'!$A236)</f>
        <v>0</v>
      </c>
      <c r="AG236" s="31">
        <f>SUMIFS(METALFISA!$E:$E,METALFISA!$A:$A,'Faltantes Fevereiro- Metalfisa'!AG$3,METALFISA!$B:$B,'Faltantes Fevereiro- Metalfisa'!$A236)</f>
        <v>0</v>
      </c>
      <c r="AH236" s="31">
        <f>SUMIFS(METALFISA!$E:$E,METALFISA!$A:$A,'Faltantes Fevereiro- Metalfisa'!AH$3,METALFISA!$B:$B,'Faltantes Fevereiro- Metalfisa'!$A236)</f>
        <v>0</v>
      </c>
      <c r="AI236" s="31">
        <f>SUMIFS(METALFISA!$E:$E,METALFISA!$A:$A,'Faltantes Fevereiro- Metalfisa'!AI$3,METALFISA!$B:$B,'Faltantes Fevereiro- Metalfisa'!$A236)</f>
        <v>0</v>
      </c>
      <c r="AJ236" s="31">
        <f>SUMIFS(METALFISA!$E:$E,METALFISA!$A:$A,'Faltantes Fevereiro- Metalfisa'!AJ$3,METALFISA!$B:$B,'Faltantes Fevereiro- Metalfisa'!$A236)</f>
        <v>0</v>
      </c>
      <c r="AK236" s="31">
        <f>SUMIFS(METALFISA!$E:$E,METALFISA!$A:$A,'Faltantes Fevereiro- Metalfisa'!AK$3,METALFISA!$B:$B,'Faltantes Fevereiro- Metalfisa'!$A236)</f>
        <v>0</v>
      </c>
      <c r="AL236" s="31">
        <f>SUMIFS(METALFISA!$E:$E,METALFISA!$A:$A,'Faltantes Fevereiro- Metalfisa'!AL$3,METALFISA!$B:$B,'Faltantes Fevereiro- Metalfisa'!$A236)</f>
        <v>0</v>
      </c>
      <c r="AM236" s="31">
        <f>SUMIFS(METALFISA!$E:$E,METALFISA!$A:$A,'Faltantes Fevereiro- Metalfisa'!AM$3,METALFISA!$B:$B,'Faltantes Fevereiro- Metalfisa'!$A236)</f>
        <v>0</v>
      </c>
      <c r="AN236" s="31">
        <f>SUMIFS(METALFISA!$E:$E,METALFISA!$A:$A,'Faltantes Fevereiro- Metalfisa'!AN$3,METALFISA!$B:$B,'Faltantes Fevereiro- Metalfisa'!$A236)</f>
        <v>0</v>
      </c>
      <c r="AO236" s="31">
        <f>SUMIFS(METALFISA!$E:$E,METALFISA!$A:$A,'Faltantes Fevereiro- Metalfisa'!AO$3,METALFISA!$B:$B,'Faltantes Fevereiro- Metalfisa'!$A236)</f>
        <v>0</v>
      </c>
      <c r="AP236" s="31">
        <f>SUMIFS(METALFISA!$E:$E,METALFISA!$A:$A,'Faltantes Fevereiro- Metalfisa'!AP$3,METALFISA!$B:$B,'Faltantes Fevereiro- Metalfisa'!$A236)</f>
        <v>0</v>
      </c>
      <c r="AQ236" s="31"/>
      <c r="AR236" s="31">
        <f>SUMIFS(METALFISA!$E:$E,METALFISA!$A:$A,'Faltantes Fevereiro- Metalfisa'!AR$3,METALFISA!$B:$B,'Faltantes Fevereiro- Metalfisa'!$A236)</f>
        <v>0</v>
      </c>
      <c r="AS236" s="35">
        <f>SUMIFS(METALFISA!$E:$E,METALFISA!$A:$A,'Faltantes Fevereiro- Metalfisa'!AS$3,METALFISA!$B:$B,'Faltantes Fevereiro- Metalfisa'!$A236)</f>
        <v>0</v>
      </c>
      <c r="AU236" s="18">
        <v>0</v>
      </c>
      <c r="AV236" s="18">
        <v>0</v>
      </c>
      <c r="AW236" s="18">
        <v>0</v>
      </c>
      <c r="AX236" s="18">
        <v>0</v>
      </c>
      <c r="AY236" s="41">
        <v>0</v>
      </c>
      <c r="AZ236" s="31">
        <v>0</v>
      </c>
      <c r="BA236" s="31">
        <v>0</v>
      </c>
      <c r="BB236" s="31">
        <v>0</v>
      </c>
      <c r="BC236" s="31">
        <v>0</v>
      </c>
      <c r="BD236" s="31">
        <v>0</v>
      </c>
      <c r="BE236" s="31">
        <v>0</v>
      </c>
      <c r="BF236" s="31">
        <v>0</v>
      </c>
      <c r="BG236" s="31">
        <v>0</v>
      </c>
      <c r="BH236" s="31">
        <v>0</v>
      </c>
      <c r="BI236" s="31">
        <v>0</v>
      </c>
      <c r="BJ236" s="31">
        <v>0</v>
      </c>
      <c r="BK236" s="31">
        <v>0</v>
      </c>
      <c r="BL236" s="31">
        <v>0</v>
      </c>
      <c r="BM236" s="31">
        <v>0</v>
      </c>
      <c r="BN236" s="31">
        <v>1</v>
      </c>
      <c r="BO236" s="31">
        <v>1</v>
      </c>
      <c r="BP236" s="31">
        <v>0</v>
      </c>
      <c r="BQ236" s="31">
        <v>0</v>
      </c>
      <c r="BR236" s="31">
        <v>0</v>
      </c>
      <c r="BS236" s="31">
        <v>0</v>
      </c>
      <c r="BT236" s="31">
        <v>0</v>
      </c>
      <c r="BU236" s="31">
        <v>0</v>
      </c>
      <c r="BV236" s="31">
        <v>0</v>
      </c>
      <c r="BW236" s="31">
        <v>0</v>
      </c>
      <c r="BX236" s="31">
        <v>0</v>
      </c>
      <c r="BY236" s="31">
        <v>0</v>
      </c>
      <c r="BZ236" s="31">
        <v>0</v>
      </c>
      <c r="CA236" s="31">
        <v>0</v>
      </c>
      <c r="CB236" s="31">
        <v>0</v>
      </c>
      <c r="CC236" s="31">
        <v>0</v>
      </c>
      <c r="CD236" s="31">
        <v>0</v>
      </c>
      <c r="CE236" s="31">
        <v>0</v>
      </c>
      <c r="CF236" s="31">
        <v>0</v>
      </c>
      <c r="CG236" s="31">
        <v>0</v>
      </c>
      <c r="CH236" s="31">
        <v>0</v>
      </c>
      <c r="CI236" s="31">
        <v>0</v>
      </c>
      <c r="CJ236" s="31">
        <v>0</v>
      </c>
      <c r="CK236" s="31">
        <v>0</v>
      </c>
      <c r="CL236" s="35">
        <v>0</v>
      </c>
    </row>
    <row r="237" spans="1:90" ht="21" x14ac:dyDescent="0.15">
      <c r="A237" s="27" t="s">
        <v>1177</v>
      </c>
      <c r="B237" s="28" t="s">
        <v>1178</v>
      </c>
      <c r="C237" s="28">
        <v>0</v>
      </c>
      <c r="D237" s="28">
        <v>0</v>
      </c>
      <c r="E237" s="28">
        <v>0</v>
      </c>
      <c r="F237" s="28">
        <v>0</v>
      </c>
      <c r="G237" s="28">
        <v>12</v>
      </c>
      <c r="H237" s="28">
        <f>IFERROR(VLOOKUP(A237,[1]FALTANTES!$A:$AB,28,FALSE),"-")</f>
        <v>0</v>
      </c>
      <c r="I237" s="42">
        <f>IFERROR(VLOOKUP(A237,[1]FALTANTES!$A:$AC,29,FALSE),"-")</f>
        <v>0</v>
      </c>
      <c r="J237" s="29">
        <f>IFERROR(VLOOKUP(A237,[1]FALTANTES!$A:$AD,30,FALSE),"-")</f>
        <v>-12</v>
      </c>
      <c r="K237" s="30">
        <v>0</v>
      </c>
      <c r="L237" s="30">
        <f t="shared" si="4"/>
        <v>4</v>
      </c>
      <c r="M237" s="31">
        <f>SUMIFS(METALFISA!$E:$E,METALFISA!$A:$A,'Faltantes Fevereiro- Metalfisa'!M$3,METALFISA!$B:$B,'Faltantes Fevereiro- Metalfisa'!$A237)</f>
        <v>0</v>
      </c>
      <c r="N237" s="31">
        <f>SUMIFS(METALFISA!$E:$E,METALFISA!$A:$A,'Faltantes Fevereiro- Metalfisa'!N$3,METALFISA!$B:$B,'Faltantes Fevereiro- Metalfisa'!$A237)</f>
        <v>0</v>
      </c>
      <c r="O237" s="31">
        <f>SUMIFS(METALFISA!$E:$E,METALFISA!$A:$A,'Faltantes Fevereiro- Metalfisa'!O$3,METALFISA!$B:$B,'Faltantes Fevereiro- Metalfisa'!$A237)</f>
        <v>0</v>
      </c>
      <c r="P237" s="31">
        <f>SUMIFS(METALFISA!$E:$E,METALFISA!$A:$A,'Faltantes Fevereiro- Metalfisa'!P$3,METALFISA!$B:$B,'Faltantes Fevereiro- Metalfisa'!$A237)</f>
        <v>0</v>
      </c>
      <c r="Q237" s="31">
        <f>SUMIFS(METALFISA!$E:$E,METALFISA!$A:$A,'Faltantes Fevereiro- Metalfisa'!Q$3,METALFISA!$B:$B,'Faltantes Fevereiro- Metalfisa'!$A237)</f>
        <v>0</v>
      </c>
      <c r="R237" s="31">
        <f>SUMIFS(METALFISA!$E:$E,METALFISA!$A:$A,'Faltantes Fevereiro- Metalfisa'!R$3,METALFISA!$B:$B,'Faltantes Fevereiro- Metalfisa'!$A237)</f>
        <v>0</v>
      </c>
      <c r="S237" s="31">
        <f>SUMIFS(METALFISA!$E:$E,METALFISA!$A:$A,'Faltantes Fevereiro- Metalfisa'!S$3,METALFISA!$B:$B,'Faltantes Fevereiro- Metalfisa'!$A237)</f>
        <v>0</v>
      </c>
      <c r="T237" s="31">
        <f>SUMIFS(METALFISA!$E:$E,METALFISA!$A:$A,'Faltantes Fevereiro- Metalfisa'!T$3,METALFISA!$B:$B,'Faltantes Fevereiro- Metalfisa'!$A237)</f>
        <v>0</v>
      </c>
      <c r="U237" s="31">
        <f>SUMIFS(METALFISA!$E:$E,METALFISA!$A:$A,'Faltantes Fevereiro- Metalfisa'!U$3,METALFISA!$B:$B,'Faltantes Fevereiro- Metalfisa'!$A237)</f>
        <v>0</v>
      </c>
      <c r="V237" s="31">
        <f>SUMIFS(METALFISA!$E:$E,METALFISA!$A:$A,'Faltantes Fevereiro- Metalfisa'!V$3,METALFISA!$B:$B,'Faltantes Fevereiro- Metalfisa'!$A237)</f>
        <v>0</v>
      </c>
      <c r="W237" s="31">
        <f>SUMIFS(METALFISA!$E:$E,METALFISA!$A:$A,'Faltantes Fevereiro- Metalfisa'!W$3,METALFISA!$B:$B,'Faltantes Fevereiro- Metalfisa'!$A237)</f>
        <v>0</v>
      </c>
      <c r="X237" s="31">
        <f>SUMIFS(METALFISA!$E:$E,METALFISA!$A:$A,'Faltantes Fevereiro- Metalfisa'!X$3,METALFISA!$B:$B,'Faltantes Fevereiro- Metalfisa'!$A237)</f>
        <v>0</v>
      </c>
      <c r="Y237" s="31">
        <f>SUMIFS(METALFISA!$E:$E,METALFISA!$A:$A,'Faltantes Fevereiro- Metalfisa'!Y$3,METALFISA!$B:$B,'Faltantes Fevereiro- Metalfisa'!$A237)</f>
        <v>0</v>
      </c>
      <c r="Z237" s="31">
        <f>SUMIFS(METALFISA!$E:$E,METALFISA!$A:$A,'Faltantes Fevereiro- Metalfisa'!Z$3,METALFISA!$B:$B,'Faltantes Fevereiro- Metalfisa'!$A237)</f>
        <v>0</v>
      </c>
      <c r="AA237" s="31">
        <f>SUMIFS(METALFISA!$E:$E,METALFISA!$A:$A,'Faltantes Fevereiro- Metalfisa'!AA$3,METALFISA!$B:$B,'Faltantes Fevereiro- Metalfisa'!$A237)</f>
        <v>0</v>
      </c>
      <c r="AB237" s="31">
        <f>SUMIFS(METALFISA!$E:$E,METALFISA!$A:$A,'Faltantes Fevereiro- Metalfisa'!AB$3,METALFISA!$B:$B,'Faltantes Fevereiro- Metalfisa'!$A237)</f>
        <v>0</v>
      </c>
      <c r="AC237" s="31">
        <f>SUMIFS(METALFISA!$E:$E,METALFISA!$A:$A,'Faltantes Fevereiro- Metalfisa'!AC$3,METALFISA!$B:$B,'Faltantes Fevereiro- Metalfisa'!$A237)</f>
        <v>0</v>
      </c>
      <c r="AD237" s="31">
        <f>SUMIFS(METALFISA!$E:$E,METALFISA!$A:$A,'Faltantes Fevereiro- Metalfisa'!AD$3,METALFISA!$B:$B,'Faltantes Fevereiro- Metalfisa'!$A237)</f>
        <v>0</v>
      </c>
      <c r="AE237" s="31">
        <f>SUMIFS(METALFISA!$E:$E,METALFISA!$A:$A,'Faltantes Fevereiro- Metalfisa'!AE$3,METALFISA!$B:$B,'Faltantes Fevereiro- Metalfisa'!$A237)</f>
        <v>4</v>
      </c>
      <c r="AF237" s="31">
        <f>SUMIFS(METALFISA!$E:$E,METALFISA!$A:$A,'Faltantes Fevereiro- Metalfisa'!AF$3,METALFISA!$B:$B,'Faltantes Fevereiro- Metalfisa'!$A237)</f>
        <v>0</v>
      </c>
      <c r="AG237" s="31">
        <f>SUMIFS(METALFISA!$E:$E,METALFISA!$A:$A,'Faltantes Fevereiro- Metalfisa'!AG$3,METALFISA!$B:$B,'Faltantes Fevereiro- Metalfisa'!$A237)</f>
        <v>0</v>
      </c>
      <c r="AH237" s="31">
        <f>SUMIFS(METALFISA!$E:$E,METALFISA!$A:$A,'Faltantes Fevereiro- Metalfisa'!AH$3,METALFISA!$B:$B,'Faltantes Fevereiro- Metalfisa'!$A237)</f>
        <v>0</v>
      </c>
      <c r="AI237" s="31">
        <f>SUMIFS(METALFISA!$E:$E,METALFISA!$A:$A,'Faltantes Fevereiro- Metalfisa'!AI$3,METALFISA!$B:$B,'Faltantes Fevereiro- Metalfisa'!$A237)</f>
        <v>0</v>
      </c>
      <c r="AJ237" s="31">
        <f>SUMIFS(METALFISA!$E:$E,METALFISA!$A:$A,'Faltantes Fevereiro- Metalfisa'!AJ$3,METALFISA!$B:$B,'Faltantes Fevereiro- Metalfisa'!$A237)</f>
        <v>0</v>
      </c>
      <c r="AK237" s="31">
        <f>SUMIFS(METALFISA!$E:$E,METALFISA!$A:$A,'Faltantes Fevereiro- Metalfisa'!AK$3,METALFISA!$B:$B,'Faltantes Fevereiro- Metalfisa'!$A237)</f>
        <v>0</v>
      </c>
      <c r="AL237" s="31">
        <f>SUMIFS(METALFISA!$E:$E,METALFISA!$A:$A,'Faltantes Fevereiro- Metalfisa'!AL$3,METALFISA!$B:$B,'Faltantes Fevereiro- Metalfisa'!$A237)</f>
        <v>0</v>
      </c>
      <c r="AM237" s="31">
        <f>SUMIFS(METALFISA!$E:$E,METALFISA!$A:$A,'Faltantes Fevereiro- Metalfisa'!AM$3,METALFISA!$B:$B,'Faltantes Fevereiro- Metalfisa'!$A237)</f>
        <v>0</v>
      </c>
      <c r="AN237" s="31">
        <f>SUMIFS(METALFISA!$E:$E,METALFISA!$A:$A,'Faltantes Fevereiro- Metalfisa'!AN$3,METALFISA!$B:$B,'Faltantes Fevereiro- Metalfisa'!$A237)</f>
        <v>0</v>
      </c>
      <c r="AO237" s="31">
        <f>SUMIFS(METALFISA!$E:$E,METALFISA!$A:$A,'Faltantes Fevereiro- Metalfisa'!AO$3,METALFISA!$B:$B,'Faltantes Fevereiro- Metalfisa'!$A237)</f>
        <v>0</v>
      </c>
      <c r="AP237" s="31">
        <f>SUMIFS(METALFISA!$E:$E,METALFISA!$A:$A,'Faltantes Fevereiro- Metalfisa'!AP$3,METALFISA!$B:$B,'Faltantes Fevereiro- Metalfisa'!$A237)</f>
        <v>0</v>
      </c>
      <c r="AQ237" s="31"/>
      <c r="AR237" s="31">
        <f>SUMIFS(METALFISA!$E:$E,METALFISA!$A:$A,'Faltantes Fevereiro- Metalfisa'!AR$3,METALFISA!$B:$B,'Faltantes Fevereiro- Metalfisa'!$A237)</f>
        <v>0</v>
      </c>
      <c r="AS237" s="35">
        <f>SUMIFS(METALFISA!$E:$E,METALFISA!$A:$A,'Faltantes Fevereiro- Metalfisa'!AS$3,METALFISA!$B:$B,'Faltantes Fevereiro- Metalfisa'!$A237)</f>
        <v>0</v>
      </c>
      <c r="AU237" s="18">
        <v>0</v>
      </c>
      <c r="AV237" s="18">
        <v>0</v>
      </c>
      <c r="AW237" s="18">
        <v>0</v>
      </c>
      <c r="AX237" s="18">
        <v>0</v>
      </c>
      <c r="AY237" s="41">
        <v>0</v>
      </c>
      <c r="AZ237" s="31">
        <v>0</v>
      </c>
      <c r="BA237" s="31">
        <v>0</v>
      </c>
      <c r="BB237" s="31">
        <v>0</v>
      </c>
      <c r="BC237" s="31">
        <v>0</v>
      </c>
      <c r="BD237" s="31">
        <v>0</v>
      </c>
      <c r="BE237" s="31">
        <v>0</v>
      </c>
      <c r="BF237" s="31">
        <v>0</v>
      </c>
      <c r="BG237" s="31">
        <v>0</v>
      </c>
      <c r="BH237" s="31">
        <v>0</v>
      </c>
      <c r="BI237" s="31">
        <v>0</v>
      </c>
      <c r="BJ237" s="31">
        <v>0</v>
      </c>
      <c r="BK237" s="31">
        <v>0</v>
      </c>
      <c r="BL237" s="31">
        <v>0</v>
      </c>
      <c r="BM237" s="31">
        <v>0</v>
      </c>
      <c r="BN237" s="31">
        <v>0</v>
      </c>
      <c r="BO237" s="31">
        <v>2</v>
      </c>
      <c r="BP237" s="31">
        <v>0</v>
      </c>
      <c r="BQ237" s="31">
        <v>0</v>
      </c>
      <c r="BR237" s="31">
        <v>0</v>
      </c>
      <c r="BS237" s="31">
        <v>0</v>
      </c>
      <c r="BT237" s="31">
        <v>0</v>
      </c>
      <c r="BU237" s="31">
        <v>0</v>
      </c>
      <c r="BV237" s="31">
        <v>0</v>
      </c>
      <c r="BW237" s="31">
        <v>0</v>
      </c>
      <c r="BX237" s="31">
        <v>0</v>
      </c>
      <c r="BY237" s="31">
        <v>0</v>
      </c>
      <c r="BZ237" s="31">
        <v>0</v>
      </c>
      <c r="CA237" s="31">
        <v>0</v>
      </c>
      <c r="CB237" s="31">
        <v>0</v>
      </c>
      <c r="CC237" s="31">
        <v>0</v>
      </c>
      <c r="CD237" s="31">
        <v>0</v>
      </c>
      <c r="CE237" s="31">
        <v>0</v>
      </c>
      <c r="CF237" s="31">
        <v>0</v>
      </c>
      <c r="CG237" s="31">
        <v>0</v>
      </c>
      <c r="CH237" s="31">
        <v>0</v>
      </c>
      <c r="CI237" s="31">
        <v>0</v>
      </c>
      <c r="CJ237" s="31">
        <v>0</v>
      </c>
      <c r="CK237" s="31">
        <v>0</v>
      </c>
      <c r="CL237" s="35">
        <v>0</v>
      </c>
    </row>
    <row r="238" spans="1:90" ht="21" x14ac:dyDescent="0.15">
      <c r="A238" s="27" t="s">
        <v>1179</v>
      </c>
      <c r="B238" s="28" t="s">
        <v>1180</v>
      </c>
      <c r="C238" s="28">
        <v>0</v>
      </c>
      <c r="D238" s="28">
        <v>0</v>
      </c>
      <c r="E238" s="28">
        <v>0</v>
      </c>
      <c r="F238" s="28">
        <v>0</v>
      </c>
      <c r="G238" s="28">
        <v>6</v>
      </c>
      <c r="H238" s="28">
        <f>IFERROR(VLOOKUP(A238,[1]FALTANTES!$A:$AB,28,FALSE),"-")</f>
        <v>0</v>
      </c>
      <c r="I238" s="42">
        <f>IFERROR(VLOOKUP(A238,[1]FALTANTES!$A:$AC,29,FALSE),"-")</f>
        <v>2</v>
      </c>
      <c r="J238" s="29">
        <f>IFERROR(VLOOKUP(A238,[1]FALTANTES!$A:$AD,30,FALSE),"-")</f>
        <v>-4</v>
      </c>
      <c r="K238" s="30"/>
      <c r="L238" s="30">
        <f t="shared" si="4"/>
        <v>2</v>
      </c>
      <c r="M238" s="31">
        <f>SUMIFS(METALFISA!$E:$E,METALFISA!$A:$A,'Faltantes Fevereiro- Metalfisa'!M$3,METALFISA!$B:$B,'Faltantes Fevereiro- Metalfisa'!$A238)</f>
        <v>0</v>
      </c>
      <c r="N238" s="31">
        <f>SUMIFS(METALFISA!$E:$E,METALFISA!$A:$A,'Faltantes Fevereiro- Metalfisa'!N$3,METALFISA!$B:$B,'Faltantes Fevereiro- Metalfisa'!$A238)</f>
        <v>0</v>
      </c>
      <c r="O238" s="31">
        <f>SUMIFS(METALFISA!$E:$E,METALFISA!$A:$A,'Faltantes Fevereiro- Metalfisa'!O$3,METALFISA!$B:$B,'Faltantes Fevereiro- Metalfisa'!$A238)</f>
        <v>0</v>
      </c>
      <c r="P238" s="31">
        <f>SUMIFS(METALFISA!$E:$E,METALFISA!$A:$A,'Faltantes Fevereiro- Metalfisa'!P$3,METALFISA!$B:$B,'Faltantes Fevereiro- Metalfisa'!$A238)</f>
        <v>0</v>
      </c>
      <c r="Q238" s="31">
        <f>SUMIFS(METALFISA!$E:$E,METALFISA!$A:$A,'Faltantes Fevereiro- Metalfisa'!Q$3,METALFISA!$B:$B,'Faltantes Fevereiro- Metalfisa'!$A238)</f>
        <v>0</v>
      </c>
      <c r="R238" s="31">
        <f>SUMIFS(METALFISA!$E:$E,METALFISA!$A:$A,'Faltantes Fevereiro- Metalfisa'!R$3,METALFISA!$B:$B,'Faltantes Fevereiro- Metalfisa'!$A238)</f>
        <v>0</v>
      </c>
      <c r="S238" s="31">
        <f>SUMIFS(METALFISA!$E:$E,METALFISA!$A:$A,'Faltantes Fevereiro- Metalfisa'!S$3,METALFISA!$B:$B,'Faltantes Fevereiro- Metalfisa'!$A238)</f>
        <v>0</v>
      </c>
      <c r="T238" s="31">
        <f>SUMIFS(METALFISA!$E:$E,METALFISA!$A:$A,'Faltantes Fevereiro- Metalfisa'!T$3,METALFISA!$B:$B,'Faltantes Fevereiro- Metalfisa'!$A238)</f>
        <v>0</v>
      </c>
      <c r="U238" s="31">
        <f>SUMIFS(METALFISA!$E:$E,METALFISA!$A:$A,'Faltantes Fevereiro- Metalfisa'!U$3,METALFISA!$B:$B,'Faltantes Fevereiro- Metalfisa'!$A238)</f>
        <v>0</v>
      </c>
      <c r="V238" s="31">
        <f>SUMIFS(METALFISA!$E:$E,METALFISA!$A:$A,'Faltantes Fevereiro- Metalfisa'!V$3,METALFISA!$B:$B,'Faltantes Fevereiro- Metalfisa'!$A238)</f>
        <v>0</v>
      </c>
      <c r="W238" s="31">
        <f>SUMIFS(METALFISA!$E:$E,METALFISA!$A:$A,'Faltantes Fevereiro- Metalfisa'!W$3,METALFISA!$B:$B,'Faltantes Fevereiro- Metalfisa'!$A238)</f>
        <v>0</v>
      </c>
      <c r="X238" s="31">
        <f>SUMIFS(METALFISA!$E:$E,METALFISA!$A:$A,'Faltantes Fevereiro- Metalfisa'!X$3,METALFISA!$B:$B,'Faltantes Fevereiro- Metalfisa'!$A238)</f>
        <v>0</v>
      </c>
      <c r="Y238" s="31">
        <f>SUMIFS(METALFISA!$E:$E,METALFISA!$A:$A,'Faltantes Fevereiro- Metalfisa'!Y$3,METALFISA!$B:$B,'Faltantes Fevereiro- Metalfisa'!$A238)</f>
        <v>0</v>
      </c>
      <c r="Z238" s="31">
        <f>SUMIFS(METALFISA!$E:$E,METALFISA!$A:$A,'Faltantes Fevereiro- Metalfisa'!Z$3,METALFISA!$B:$B,'Faltantes Fevereiro- Metalfisa'!$A238)</f>
        <v>0</v>
      </c>
      <c r="AA238" s="31">
        <f>SUMIFS(METALFISA!$E:$E,METALFISA!$A:$A,'Faltantes Fevereiro- Metalfisa'!AA$3,METALFISA!$B:$B,'Faltantes Fevereiro- Metalfisa'!$A238)</f>
        <v>0</v>
      </c>
      <c r="AB238" s="31">
        <f>SUMIFS(METALFISA!$E:$E,METALFISA!$A:$A,'Faltantes Fevereiro- Metalfisa'!AB$3,METALFISA!$B:$B,'Faltantes Fevereiro- Metalfisa'!$A238)</f>
        <v>0</v>
      </c>
      <c r="AC238" s="31">
        <f>SUMIFS(METALFISA!$E:$E,METALFISA!$A:$A,'Faltantes Fevereiro- Metalfisa'!AC$3,METALFISA!$B:$B,'Faltantes Fevereiro- Metalfisa'!$A238)</f>
        <v>0</v>
      </c>
      <c r="AD238" s="31">
        <f>SUMIFS(METALFISA!$E:$E,METALFISA!$A:$A,'Faltantes Fevereiro- Metalfisa'!AD$3,METALFISA!$B:$B,'Faltantes Fevereiro- Metalfisa'!$A238)</f>
        <v>0</v>
      </c>
      <c r="AE238" s="31">
        <f>SUMIFS(METALFISA!$E:$E,METALFISA!$A:$A,'Faltantes Fevereiro- Metalfisa'!AE$3,METALFISA!$B:$B,'Faltantes Fevereiro- Metalfisa'!$A238)</f>
        <v>2</v>
      </c>
      <c r="AF238" s="31">
        <f>SUMIFS(METALFISA!$E:$E,METALFISA!$A:$A,'Faltantes Fevereiro- Metalfisa'!AF$3,METALFISA!$B:$B,'Faltantes Fevereiro- Metalfisa'!$A238)</f>
        <v>0</v>
      </c>
      <c r="AG238" s="31">
        <f>SUMIFS(METALFISA!$E:$E,METALFISA!$A:$A,'Faltantes Fevereiro- Metalfisa'!AG$3,METALFISA!$B:$B,'Faltantes Fevereiro- Metalfisa'!$A238)</f>
        <v>0</v>
      </c>
      <c r="AH238" s="31">
        <f>SUMIFS(METALFISA!$E:$E,METALFISA!$A:$A,'Faltantes Fevereiro- Metalfisa'!AH$3,METALFISA!$B:$B,'Faltantes Fevereiro- Metalfisa'!$A238)</f>
        <v>0</v>
      </c>
      <c r="AI238" s="31">
        <f>SUMIFS(METALFISA!$E:$E,METALFISA!$A:$A,'Faltantes Fevereiro- Metalfisa'!AI$3,METALFISA!$B:$B,'Faltantes Fevereiro- Metalfisa'!$A238)</f>
        <v>0</v>
      </c>
      <c r="AJ238" s="31">
        <f>SUMIFS(METALFISA!$E:$E,METALFISA!$A:$A,'Faltantes Fevereiro- Metalfisa'!AJ$3,METALFISA!$B:$B,'Faltantes Fevereiro- Metalfisa'!$A238)</f>
        <v>0</v>
      </c>
      <c r="AK238" s="31">
        <f>SUMIFS(METALFISA!$E:$E,METALFISA!$A:$A,'Faltantes Fevereiro- Metalfisa'!AK$3,METALFISA!$B:$B,'Faltantes Fevereiro- Metalfisa'!$A238)</f>
        <v>0</v>
      </c>
      <c r="AL238" s="31">
        <f>SUMIFS(METALFISA!$E:$E,METALFISA!$A:$A,'Faltantes Fevereiro- Metalfisa'!AL$3,METALFISA!$B:$B,'Faltantes Fevereiro- Metalfisa'!$A238)</f>
        <v>0</v>
      </c>
      <c r="AM238" s="31">
        <f>SUMIFS(METALFISA!$E:$E,METALFISA!$A:$A,'Faltantes Fevereiro- Metalfisa'!AM$3,METALFISA!$B:$B,'Faltantes Fevereiro- Metalfisa'!$A238)</f>
        <v>0</v>
      </c>
      <c r="AN238" s="31">
        <f>SUMIFS(METALFISA!$E:$E,METALFISA!$A:$A,'Faltantes Fevereiro- Metalfisa'!AN$3,METALFISA!$B:$B,'Faltantes Fevereiro- Metalfisa'!$A238)</f>
        <v>0</v>
      </c>
      <c r="AO238" s="31">
        <f>SUMIFS(METALFISA!$E:$E,METALFISA!$A:$A,'Faltantes Fevereiro- Metalfisa'!AO$3,METALFISA!$B:$B,'Faltantes Fevereiro- Metalfisa'!$A238)</f>
        <v>0</v>
      </c>
      <c r="AP238" s="31">
        <f>SUMIFS(METALFISA!$E:$E,METALFISA!$A:$A,'Faltantes Fevereiro- Metalfisa'!AP$3,METALFISA!$B:$B,'Faltantes Fevereiro- Metalfisa'!$A238)</f>
        <v>0</v>
      </c>
      <c r="AQ238" s="31"/>
      <c r="AR238" s="31">
        <f>SUMIFS(METALFISA!$E:$E,METALFISA!$A:$A,'Faltantes Fevereiro- Metalfisa'!AR$3,METALFISA!$B:$B,'Faltantes Fevereiro- Metalfisa'!$A238)</f>
        <v>0</v>
      </c>
      <c r="AS238" s="35">
        <f>SUMIFS(METALFISA!$E:$E,METALFISA!$A:$A,'Faltantes Fevereiro- Metalfisa'!AS$3,METALFISA!$B:$B,'Faltantes Fevereiro- Metalfisa'!$A238)</f>
        <v>0</v>
      </c>
      <c r="AU238" s="18">
        <v>0</v>
      </c>
      <c r="AV238" s="18">
        <v>0</v>
      </c>
      <c r="AW238" s="18">
        <v>0</v>
      </c>
      <c r="AX238" s="18">
        <v>0</v>
      </c>
      <c r="AY238" s="41">
        <v>0</v>
      </c>
      <c r="AZ238" s="31">
        <v>0</v>
      </c>
      <c r="BA238" s="31">
        <v>0</v>
      </c>
      <c r="BB238" s="31">
        <v>0</v>
      </c>
      <c r="BC238" s="31">
        <v>0</v>
      </c>
      <c r="BD238" s="31">
        <v>0</v>
      </c>
      <c r="BE238" s="31">
        <v>0</v>
      </c>
      <c r="BF238" s="31">
        <v>0</v>
      </c>
      <c r="BG238" s="31">
        <v>0</v>
      </c>
      <c r="BH238" s="31">
        <v>0</v>
      </c>
      <c r="BI238" s="31">
        <v>0</v>
      </c>
      <c r="BJ238" s="31">
        <v>0</v>
      </c>
      <c r="BK238" s="31">
        <v>0</v>
      </c>
      <c r="BL238" s="31">
        <v>0</v>
      </c>
      <c r="BM238" s="31">
        <v>0</v>
      </c>
      <c r="BN238" s="31">
        <v>0</v>
      </c>
      <c r="BO238" s="31">
        <v>1</v>
      </c>
      <c r="BP238" s="31">
        <v>0</v>
      </c>
      <c r="BQ238" s="31">
        <v>0</v>
      </c>
      <c r="BR238" s="31">
        <v>0</v>
      </c>
      <c r="BS238" s="31">
        <v>0</v>
      </c>
      <c r="BT238" s="31">
        <v>0</v>
      </c>
      <c r="BU238" s="31">
        <v>0</v>
      </c>
      <c r="BV238" s="31">
        <v>0</v>
      </c>
      <c r="BW238" s="31">
        <v>0</v>
      </c>
      <c r="BX238" s="31">
        <v>0</v>
      </c>
      <c r="BY238" s="31">
        <v>0</v>
      </c>
      <c r="BZ238" s="31">
        <v>0</v>
      </c>
      <c r="CA238" s="31">
        <v>0</v>
      </c>
      <c r="CB238" s="31">
        <v>0</v>
      </c>
      <c r="CC238" s="31">
        <v>0</v>
      </c>
      <c r="CD238" s="31">
        <v>0</v>
      </c>
      <c r="CE238" s="31">
        <v>0</v>
      </c>
      <c r="CF238" s="31">
        <v>0</v>
      </c>
      <c r="CG238" s="31">
        <v>0</v>
      </c>
      <c r="CH238" s="31">
        <v>0</v>
      </c>
      <c r="CI238" s="31">
        <v>0</v>
      </c>
      <c r="CJ238" s="31">
        <v>0</v>
      </c>
      <c r="CK238" s="31">
        <v>0</v>
      </c>
      <c r="CL238" s="35">
        <v>0</v>
      </c>
    </row>
    <row r="239" spans="1:90" ht="21" x14ac:dyDescent="0.15">
      <c r="A239" s="27" t="s">
        <v>1187</v>
      </c>
      <c r="B239" s="28" t="s">
        <v>1188</v>
      </c>
      <c r="C239" s="28">
        <v>5</v>
      </c>
      <c r="D239" s="28">
        <v>0</v>
      </c>
      <c r="E239" s="28">
        <v>0</v>
      </c>
      <c r="F239" s="28">
        <v>0</v>
      </c>
      <c r="G239" s="28">
        <v>30</v>
      </c>
      <c r="H239" s="28">
        <f>IFERROR(VLOOKUP(A239,[1]FALTANTES!$A:$AB,28,FALSE),"-")</f>
        <v>0</v>
      </c>
      <c r="I239" s="42">
        <f>IFERROR(VLOOKUP(A239,[1]FALTANTES!$A:$AC,29,FALSE),"-")</f>
        <v>8</v>
      </c>
      <c r="J239" s="29">
        <f>IFERROR(VLOOKUP(A239,[1]FALTANTES!$A:$AD,30,FALSE),"-")</f>
        <v>-27</v>
      </c>
      <c r="K239" s="30">
        <v>0</v>
      </c>
      <c r="L239" s="30">
        <f t="shared" si="4"/>
        <v>4</v>
      </c>
      <c r="M239" s="31">
        <f>SUMIFS(METALFISA!$E:$E,METALFISA!$A:$A,'Faltantes Fevereiro- Metalfisa'!M$3,METALFISA!$B:$B,'Faltantes Fevereiro- Metalfisa'!$A239)</f>
        <v>0</v>
      </c>
      <c r="N239" s="31">
        <f>SUMIFS(METALFISA!$E:$E,METALFISA!$A:$A,'Faltantes Fevereiro- Metalfisa'!N$3,METALFISA!$B:$B,'Faltantes Fevereiro- Metalfisa'!$A239)</f>
        <v>0</v>
      </c>
      <c r="O239" s="31">
        <f>SUMIFS(METALFISA!$E:$E,METALFISA!$A:$A,'Faltantes Fevereiro- Metalfisa'!O$3,METALFISA!$B:$B,'Faltantes Fevereiro- Metalfisa'!$A239)</f>
        <v>0</v>
      </c>
      <c r="P239" s="31">
        <f>SUMIFS(METALFISA!$E:$E,METALFISA!$A:$A,'Faltantes Fevereiro- Metalfisa'!P$3,METALFISA!$B:$B,'Faltantes Fevereiro- Metalfisa'!$A239)</f>
        <v>0</v>
      </c>
      <c r="Q239" s="31">
        <f>SUMIFS(METALFISA!$E:$E,METALFISA!$A:$A,'Faltantes Fevereiro- Metalfisa'!Q$3,METALFISA!$B:$B,'Faltantes Fevereiro- Metalfisa'!$A239)</f>
        <v>0</v>
      </c>
      <c r="R239" s="31">
        <f>SUMIFS(METALFISA!$E:$E,METALFISA!$A:$A,'Faltantes Fevereiro- Metalfisa'!R$3,METALFISA!$B:$B,'Faltantes Fevereiro- Metalfisa'!$A239)</f>
        <v>0</v>
      </c>
      <c r="S239" s="31">
        <f>SUMIFS(METALFISA!$E:$E,METALFISA!$A:$A,'Faltantes Fevereiro- Metalfisa'!S$3,METALFISA!$B:$B,'Faltantes Fevereiro- Metalfisa'!$A239)</f>
        <v>0</v>
      </c>
      <c r="T239" s="31">
        <f>SUMIFS(METALFISA!$E:$E,METALFISA!$A:$A,'Faltantes Fevereiro- Metalfisa'!T$3,METALFISA!$B:$B,'Faltantes Fevereiro- Metalfisa'!$A239)</f>
        <v>0</v>
      </c>
      <c r="U239" s="31">
        <f>SUMIFS(METALFISA!$E:$E,METALFISA!$A:$A,'Faltantes Fevereiro- Metalfisa'!U$3,METALFISA!$B:$B,'Faltantes Fevereiro- Metalfisa'!$A239)</f>
        <v>0</v>
      </c>
      <c r="V239" s="31">
        <f>SUMIFS(METALFISA!$E:$E,METALFISA!$A:$A,'Faltantes Fevereiro- Metalfisa'!V$3,METALFISA!$B:$B,'Faltantes Fevereiro- Metalfisa'!$A239)</f>
        <v>0</v>
      </c>
      <c r="W239" s="31">
        <f>SUMIFS(METALFISA!$E:$E,METALFISA!$A:$A,'Faltantes Fevereiro- Metalfisa'!W$3,METALFISA!$B:$B,'Faltantes Fevereiro- Metalfisa'!$A239)</f>
        <v>0</v>
      </c>
      <c r="X239" s="31">
        <f>SUMIFS(METALFISA!$E:$E,METALFISA!$A:$A,'Faltantes Fevereiro- Metalfisa'!X$3,METALFISA!$B:$B,'Faltantes Fevereiro- Metalfisa'!$A239)</f>
        <v>0</v>
      </c>
      <c r="Y239" s="31">
        <f>SUMIFS(METALFISA!$E:$E,METALFISA!$A:$A,'Faltantes Fevereiro- Metalfisa'!Y$3,METALFISA!$B:$B,'Faltantes Fevereiro- Metalfisa'!$A239)</f>
        <v>0</v>
      </c>
      <c r="Z239" s="31">
        <f>SUMIFS(METALFISA!$E:$E,METALFISA!$A:$A,'Faltantes Fevereiro- Metalfisa'!Z$3,METALFISA!$B:$B,'Faltantes Fevereiro- Metalfisa'!$A239)</f>
        <v>0</v>
      </c>
      <c r="AA239" s="31">
        <f>SUMIFS(METALFISA!$E:$E,METALFISA!$A:$A,'Faltantes Fevereiro- Metalfisa'!AA$3,METALFISA!$B:$B,'Faltantes Fevereiro- Metalfisa'!$A239)</f>
        <v>0</v>
      </c>
      <c r="AB239" s="31">
        <f>SUMIFS(METALFISA!$E:$E,METALFISA!$A:$A,'Faltantes Fevereiro- Metalfisa'!AB$3,METALFISA!$B:$B,'Faltantes Fevereiro- Metalfisa'!$A239)</f>
        <v>0</v>
      </c>
      <c r="AC239" s="31">
        <f>SUMIFS(METALFISA!$E:$E,METALFISA!$A:$A,'Faltantes Fevereiro- Metalfisa'!AC$3,METALFISA!$B:$B,'Faltantes Fevereiro- Metalfisa'!$A239)</f>
        <v>0</v>
      </c>
      <c r="AD239" s="31">
        <f>SUMIFS(METALFISA!$E:$E,METALFISA!$A:$A,'Faltantes Fevereiro- Metalfisa'!AD$3,METALFISA!$B:$B,'Faltantes Fevereiro- Metalfisa'!$A239)</f>
        <v>0</v>
      </c>
      <c r="AE239" s="31">
        <f>SUMIFS(METALFISA!$E:$E,METALFISA!$A:$A,'Faltantes Fevereiro- Metalfisa'!AE$3,METALFISA!$B:$B,'Faltantes Fevereiro- Metalfisa'!$A239)</f>
        <v>4</v>
      </c>
      <c r="AF239" s="31">
        <f>SUMIFS(METALFISA!$E:$E,METALFISA!$A:$A,'Faltantes Fevereiro- Metalfisa'!AF$3,METALFISA!$B:$B,'Faltantes Fevereiro- Metalfisa'!$A239)</f>
        <v>0</v>
      </c>
      <c r="AG239" s="31">
        <f>SUMIFS(METALFISA!$E:$E,METALFISA!$A:$A,'Faltantes Fevereiro- Metalfisa'!AG$3,METALFISA!$B:$B,'Faltantes Fevereiro- Metalfisa'!$A239)</f>
        <v>0</v>
      </c>
      <c r="AH239" s="31">
        <f>SUMIFS(METALFISA!$E:$E,METALFISA!$A:$A,'Faltantes Fevereiro- Metalfisa'!AH$3,METALFISA!$B:$B,'Faltantes Fevereiro- Metalfisa'!$A239)</f>
        <v>0</v>
      </c>
      <c r="AI239" s="31">
        <f>SUMIFS(METALFISA!$E:$E,METALFISA!$A:$A,'Faltantes Fevereiro- Metalfisa'!AI$3,METALFISA!$B:$B,'Faltantes Fevereiro- Metalfisa'!$A239)</f>
        <v>0</v>
      </c>
      <c r="AJ239" s="31">
        <f>SUMIFS(METALFISA!$E:$E,METALFISA!$A:$A,'Faltantes Fevereiro- Metalfisa'!AJ$3,METALFISA!$B:$B,'Faltantes Fevereiro- Metalfisa'!$A239)</f>
        <v>0</v>
      </c>
      <c r="AK239" s="31">
        <f>SUMIFS(METALFISA!$E:$E,METALFISA!$A:$A,'Faltantes Fevereiro- Metalfisa'!AK$3,METALFISA!$B:$B,'Faltantes Fevereiro- Metalfisa'!$A239)</f>
        <v>0</v>
      </c>
      <c r="AL239" s="31">
        <f>SUMIFS(METALFISA!$E:$E,METALFISA!$A:$A,'Faltantes Fevereiro- Metalfisa'!AL$3,METALFISA!$B:$B,'Faltantes Fevereiro- Metalfisa'!$A239)</f>
        <v>0</v>
      </c>
      <c r="AM239" s="31">
        <f>SUMIFS(METALFISA!$E:$E,METALFISA!$A:$A,'Faltantes Fevereiro- Metalfisa'!AM$3,METALFISA!$B:$B,'Faltantes Fevereiro- Metalfisa'!$A239)</f>
        <v>0</v>
      </c>
      <c r="AN239" s="31">
        <f>SUMIFS(METALFISA!$E:$E,METALFISA!$A:$A,'Faltantes Fevereiro- Metalfisa'!AN$3,METALFISA!$B:$B,'Faltantes Fevereiro- Metalfisa'!$A239)</f>
        <v>0</v>
      </c>
      <c r="AO239" s="31">
        <f>SUMIFS(METALFISA!$E:$E,METALFISA!$A:$A,'Faltantes Fevereiro- Metalfisa'!AO$3,METALFISA!$B:$B,'Faltantes Fevereiro- Metalfisa'!$A239)</f>
        <v>0</v>
      </c>
      <c r="AP239" s="31">
        <f>SUMIFS(METALFISA!$E:$E,METALFISA!$A:$A,'Faltantes Fevereiro- Metalfisa'!AP$3,METALFISA!$B:$B,'Faltantes Fevereiro- Metalfisa'!$A239)</f>
        <v>0</v>
      </c>
      <c r="AQ239" s="31"/>
      <c r="AR239" s="31">
        <f>SUMIFS(METALFISA!$E:$E,METALFISA!$A:$A,'Faltantes Fevereiro- Metalfisa'!AR$3,METALFISA!$B:$B,'Faltantes Fevereiro- Metalfisa'!$A239)</f>
        <v>0</v>
      </c>
      <c r="AS239" s="35">
        <f>SUMIFS(METALFISA!$E:$E,METALFISA!$A:$A,'Faltantes Fevereiro- Metalfisa'!AS$3,METALFISA!$B:$B,'Faltantes Fevereiro- Metalfisa'!$A239)</f>
        <v>0</v>
      </c>
      <c r="AU239" s="18">
        <v>0</v>
      </c>
      <c r="AV239" s="18">
        <v>0</v>
      </c>
      <c r="AW239" s="18">
        <v>0</v>
      </c>
      <c r="AX239" s="18">
        <v>0</v>
      </c>
      <c r="AY239" s="41">
        <v>0</v>
      </c>
      <c r="AZ239" s="31">
        <v>0</v>
      </c>
      <c r="BA239" s="31">
        <v>0</v>
      </c>
      <c r="BB239" s="31">
        <v>0</v>
      </c>
      <c r="BC239" s="31">
        <v>0</v>
      </c>
      <c r="BD239" s="31">
        <v>0</v>
      </c>
      <c r="BE239" s="31">
        <v>0</v>
      </c>
      <c r="BF239" s="31">
        <v>0</v>
      </c>
      <c r="BG239" s="31">
        <v>0</v>
      </c>
      <c r="BH239" s="31">
        <v>0</v>
      </c>
      <c r="BI239" s="31">
        <v>0</v>
      </c>
      <c r="BJ239" s="31">
        <v>0</v>
      </c>
      <c r="BK239" s="31">
        <v>0</v>
      </c>
      <c r="BL239" s="31">
        <v>0</v>
      </c>
      <c r="BM239" s="31">
        <v>0</v>
      </c>
      <c r="BN239" s="31">
        <v>2</v>
      </c>
      <c r="BO239" s="31">
        <v>4</v>
      </c>
      <c r="BP239" s="31">
        <v>0</v>
      </c>
      <c r="BQ239" s="31">
        <v>0</v>
      </c>
      <c r="BR239" s="31">
        <v>0</v>
      </c>
      <c r="BS239" s="31">
        <v>0</v>
      </c>
      <c r="BT239" s="31">
        <v>0</v>
      </c>
      <c r="BU239" s="31">
        <v>0</v>
      </c>
      <c r="BV239" s="31">
        <v>0</v>
      </c>
      <c r="BW239" s="31">
        <v>0</v>
      </c>
      <c r="BX239" s="31">
        <v>0</v>
      </c>
      <c r="BY239" s="31">
        <v>0</v>
      </c>
      <c r="BZ239" s="31">
        <v>0</v>
      </c>
      <c r="CA239" s="31">
        <v>0</v>
      </c>
      <c r="CB239" s="31">
        <v>0</v>
      </c>
      <c r="CC239" s="31">
        <v>0</v>
      </c>
      <c r="CD239" s="31">
        <v>0</v>
      </c>
      <c r="CE239" s="31">
        <v>0</v>
      </c>
      <c r="CF239" s="31">
        <v>0</v>
      </c>
      <c r="CG239" s="31">
        <v>0</v>
      </c>
      <c r="CH239" s="31">
        <v>0</v>
      </c>
      <c r="CI239" s="31">
        <v>0</v>
      </c>
      <c r="CJ239" s="31">
        <v>0</v>
      </c>
      <c r="CK239" s="31">
        <v>0</v>
      </c>
      <c r="CL239" s="35">
        <v>0</v>
      </c>
    </row>
    <row r="240" spans="1:90" ht="21" x14ac:dyDescent="0.15">
      <c r="A240" s="27" t="s">
        <v>1189</v>
      </c>
      <c r="B240" s="28" t="s">
        <v>1190</v>
      </c>
      <c r="C240" s="28">
        <v>0</v>
      </c>
      <c r="D240" s="28">
        <v>0</v>
      </c>
      <c r="E240" s="28">
        <v>0</v>
      </c>
      <c r="F240" s="28">
        <v>0</v>
      </c>
      <c r="G240" s="28">
        <v>6</v>
      </c>
      <c r="H240" s="28">
        <f>IFERROR(VLOOKUP(A240,[1]FALTANTES!$A:$AB,28,FALSE),"-")</f>
        <v>0</v>
      </c>
      <c r="I240" s="42">
        <f>IFERROR(VLOOKUP(A240,[1]FALTANTES!$A:$AC,29,FALSE),"-")</f>
        <v>2</v>
      </c>
      <c r="J240" s="29">
        <f>IFERROR(VLOOKUP(A240,[1]FALTANTES!$A:$AD,30,FALSE),"-")</f>
        <v>-4</v>
      </c>
      <c r="K240" s="30">
        <v>0</v>
      </c>
      <c r="L240" s="30">
        <f t="shared" si="4"/>
        <v>2</v>
      </c>
      <c r="M240" s="31">
        <f>SUMIFS(METALFISA!$E:$E,METALFISA!$A:$A,'Faltantes Fevereiro- Metalfisa'!M$3,METALFISA!$B:$B,'Faltantes Fevereiro- Metalfisa'!$A240)</f>
        <v>0</v>
      </c>
      <c r="N240" s="31">
        <f>SUMIFS(METALFISA!$E:$E,METALFISA!$A:$A,'Faltantes Fevereiro- Metalfisa'!N$3,METALFISA!$B:$B,'Faltantes Fevereiro- Metalfisa'!$A240)</f>
        <v>0</v>
      </c>
      <c r="O240" s="31">
        <f>SUMIFS(METALFISA!$E:$E,METALFISA!$A:$A,'Faltantes Fevereiro- Metalfisa'!O$3,METALFISA!$B:$B,'Faltantes Fevereiro- Metalfisa'!$A240)</f>
        <v>0</v>
      </c>
      <c r="P240" s="31">
        <f>SUMIFS(METALFISA!$E:$E,METALFISA!$A:$A,'Faltantes Fevereiro- Metalfisa'!P$3,METALFISA!$B:$B,'Faltantes Fevereiro- Metalfisa'!$A240)</f>
        <v>0</v>
      </c>
      <c r="Q240" s="31">
        <f>SUMIFS(METALFISA!$E:$E,METALFISA!$A:$A,'Faltantes Fevereiro- Metalfisa'!Q$3,METALFISA!$B:$B,'Faltantes Fevereiro- Metalfisa'!$A240)</f>
        <v>0</v>
      </c>
      <c r="R240" s="31">
        <f>SUMIFS(METALFISA!$E:$E,METALFISA!$A:$A,'Faltantes Fevereiro- Metalfisa'!R$3,METALFISA!$B:$B,'Faltantes Fevereiro- Metalfisa'!$A240)</f>
        <v>0</v>
      </c>
      <c r="S240" s="31">
        <f>SUMIFS(METALFISA!$E:$E,METALFISA!$A:$A,'Faltantes Fevereiro- Metalfisa'!S$3,METALFISA!$B:$B,'Faltantes Fevereiro- Metalfisa'!$A240)</f>
        <v>0</v>
      </c>
      <c r="T240" s="31">
        <f>SUMIFS(METALFISA!$E:$E,METALFISA!$A:$A,'Faltantes Fevereiro- Metalfisa'!T$3,METALFISA!$B:$B,'Faltantes Fevereiro- Metalfisa'!$A240)</f>
        <v>0</v>
      </c>
      <c r="U240" s="31">
        <f>SUMIFS(METALFISA!$E:$E,METALFISA!$A:$A,'Faltantes Fevereiro- Metalfisa'!U$3,METALFISA!$B:$B,'Faltantes Fevereiro- Metalfisa'!$A240)</f>
        <v>0</v>
      </c>
      <c r="V240" s="31">
        <f>SUMIFS(METALFISA!$E:$E,METALFISA!$A:$A,'Faltantes Fevereiro- Metalfisa'!V$3,METALFISA!$B:$B,'Faltantes Fevereiro- Metalfisa'!$A240)</f>
        <v>0</v>
      </c>
      <c r="W240" s="31">
        <f>SUMIFS(METALFISA!$E:$E,METALFISA!$A:$A,'Faltantes Fevereiro- Metalfisa'!W$3,METALFISA!$B:$B,'Faltantes Fevereiro- Metalfisa'!$A240)</f>
        <v>0</v>
      </c>
      <c r="X240" s="31">
        <f>SUMIFS(METALFISA!$E:$E,METALFISA!$A:$A,'Faltantes Fevereiro- Metalfisa'!X$3,METALFISA!$B:$B,'Faltantes Fevereiro- Metalfisa'!$A240)</f>
        <v>0</v>
      </c>
      <c r="Y240" s="31">
        <f>SUMIFS(METALFISA!$E:$E,METALFISA!$A:$A,'Faltantes Fevereiro- Metalfisa'!Y$3,METALFISA!$B:$B,'Faltantes Fevereiro- Metalfisa'!$A240)</f>
        <v>0</v>
      </c>
      <c r="Z240" s="31">
        <f>SUMIFS(METALFISA!$E:$E,METALFISA!$A:$A,'Faltantes Fevereiro- Metalfisa'!Z$3,METALFISA!$B:$B,'Faltantes Fevereiro- Metalfisa'!$A240)</f>
        <v>0</v>
      </c>
      <c r="AA240" s="31">
        <f>SUMIFS(METALFISA!$E:$E,METALFISA!$A:$A,'Faltantes Fevereiro- Metalfisa'!AA$3,METALFISA!$B:$B,'Faltantes Fevereiro- Metalfisa'!$A240)</f>
        <v>0</v>
      </c>
      <c r="AB240" s="31">
        <f>SUMIFS(METALFISA!$E:$E,METALFISA!$A:$A,'Faltantes Fevereiro- Metalfisa'!AB$3,METALFISA!$B:$B,'Faltantes Fevereiro- Metalfisa'!$A240)</f>
        <v>0</v>
      </c>
      <c r="AC240" s="31">
        <f>SUMIFS(METALFISA!$E:$E,METALFISA!$A:$A,'Faltantes Fevereiro- Metalfisa'!AC$3,METALFISA!$B:$B,'Faltantes Fevereiro- Metalfisa'!$A240)</f>
        <v>0</v>
      </c>
      <c r="AD240" s="31">
        <f>SUMIFS(METALFISA!$E:$E,METALFISA!$A:$A,'Faltantes Fevereiro- Metalfisa'!AD$3,METALFISA!$B:$B,'Faltantes Fevereiro- Metalfisa'!$A240)</f>
        <v>0</v>
      </c>
      <c r="AE240" s="31">
        <f>SUMIFS(METALFISA!$E:$E,METALFISA!$A:$A,'Faltantes Fevereiro- Metalfisa'!AE$3,METALFISA!$B:$B,'Faltantes Fevereiro- Metalfisa'!$A240)</f>
        <v>2</v>
      </c>
      <c r="AF240" s="31">
        <f>SUMIFS(METALFISA!$E:$E,METALFISA!$A:$A,'Faltantes Fevereiro- Metalfisa'!AF$3,METALFISA!$B:$B,'Faltantes Fevereiro- Metalfisa'!$A240)</f>
        <v>0</v>
      </c>
      <c r="AG240" s="31">
        <f>SUMIFS(METALFISA!$E:$E,METALFISA!$A:$A,'Faltantes Fevereiro- Metalfisa'!AG$3,METALFISA!$B:$B,'Faltantes Fevereiro- Metalfisa'!$A240)</f>
        <v>0</v>
      </c>
      <c r="AH240" s="31">
        <f>SUMIFS(METALFISA!$E:$E,METALFISA!$A:$A,'Faltantes Fevereiro- Metalfisa'!AH$3,METALFISA!$B:$B,'Faltantes Fevereiro- Metalfisa'!$A240)</f>
        <v>0</v>
      </c>
      <c r="AI240" s="31">
        <f>SUMIFS(METALFISA!$E:$E,METALFISA!$A:$A,'Faltantes Fevereiro- Metalfisa'!AI$3,METALFISA!$B:$B,'Faltantes Fevereiro- Metalfisa'!$A240)</f>
        <v>0</v>
      </c>
      <c r="AJ240" s="31">
        <f>SUMIFS(METALFISA!$E:$E,METALFISA!$A:$A,'Faltantes Fevereiro- Metalfisa'!AJ$3,METALFISA!$B:$B,'Faltantes Fevereiro- Metalfisa'!$A240)</f>
        <v>0</v>
      </c>
      <c r="AK240" s="31">
        <f>SUMIFS(METALFISA!$E:$E,METALFISA!$A:$A,'Faltantes Fevereiro- Metalfisa'!AK$3,METALFISA!$B:$B,'Faltantes Fevereiro- Metalfisa'!$A240)</f>
        <v>0</v>
      </c>
      <c r="AL240" s="31">
        <f>SUMIFS(METALFISA!$E:$E,METALFISA!$A:$A,'Faltantes Fevereiro- Metalfisa'!AL$3,METALFISA!$B:$B,'Faltantes Fevereiro- Metalfisa'!$A240)</f>
        <v>0</v>
      </c>
      <c r="AM240" s="31">
        <f>SUMIFS(METALFISA!$E:$E,METALFISA!$A:$A,'Faltantes Fevereiro- Metalfisa'!AM$3,METALFISA!$B:$B,'Faltantes Fevereiro- Metalfisa'!$A240)</f>
        <v>0</v>
      </c>
      <c r="AN240" s="31">
        <f>SUMIFS(METALFISA!$E:$E,METALFISA!$A:$A,'Faltantes Fevereiro- Metalfisa'!AN$3,METALFISA!$B:$B,'Faltantes Fevereiro- Metalfisa'!$A240)</f>
        <v>0</v>
      </c>
      <c r="AO240" s="31">
        <f>SUMIFS(METALFISA!$E:$E,METALFISA!$A:$A,'Faltantes Fevereiro- Metalfisa'!AO$3,METALFISA!$B:$B,'Faltantes Fevereiro- Metalfisa'!$A240)</f>
        <v>0</v>
      </c>
      <c r="AP240" s="31">
        <f>SUMIFS(METALFISA!$E:$E,METALFISA!$A:$A,'Faltantes Fevereiro- Metalfisa'!AP$3,METALFISA!$B:$B,'Faltantes Fevereiro- Metalfisa'!$A240)</f>
        <v>0</v>
      </c>
      <c r="AQ240" s="31"/>
      <c r="AR240" s="31">
        <f>SUMIFS(METALFISA!$E:$E,METALFISA!$A:$A,'Faltantes Fevereiro- Metalfisa'!AR$3,METALFISA!$B:$B,'Faltantes Fevereiro- Metalfisa'!$A240)</f>
        <v>0</v>
      </c>
      <c r="AS240" s="35">
        <f>SUMIFS(METALFISA!$E:$E,METALFISA!$A:$A,'Faltantes Fevereiro- Metalfisa'!AS$3,METALFISA!$B:$B,'Faltantes Fevereiro- Metalfisa'!$A240)</f>
        <v>0</v>
      </c>
      <c r="AU240" s="18">
        <v>0</v>
      </c>
      <c r="AV240" s="18">
        <v>0</v>
      </c>
      <c r="AW240" s="18">
        <v>0</v>
      </c>
      <c r="AX240" s="18">
        <v>0</v>
      </c>
      <c r="AY240" s="41">
        <v>0</v>
      </c>
      <c r="AZ240" s="31">
        <v>0</v>
      </c>
      <c r="BA240" s="31">
        <v>0</v>
      </c>
      <c r="BB240" s="31">
        <v>0</v>
      </c>
      <c r="BC240" s="31">
        <v>0</v>
      </c>
      <c r="BD240" s="31">
        <v>0</v>
      </c>
      <c r="BE240" s="31">
        <v>0</v>
      </c>
      <c r="BF240" s="31">
        <v>0</v>
      </c>
      <c r="BG240" s="31">
        <v>0</v>
      </c>
      <c r="BH240" s="31">
        <v>0</v>
      </c>
      <c r="BI240" s="31">
        <v>0</v>
      </c>
      <c r="BJ240" s="31">
        <v>0</v>
      </c>
      <c r="BK240" s="31">
        <v>0</v>
      </c>
      <c r="BL240" s="31">
        <v>0</v>
      </c>
      <c r="BM240" s="31">
        <v>0</v>
      </c>
      <c r="BN240" s="31">
        <v>1</v>
      </c>
      <c r="BO240" s="31">
        <v>1</v>
      </c>
      <c r="BP240" s="31">
        <v>0</v>
      </c>
      <c r="BQ240" s="31">
        <v>0</v>
      </c>
      <c r="BR240" s="31">
        <v>0</v>
      </c>
      <c r="BS240" s="31">
        <v>0</v>
      </c>
      <c r="BT240" s="31">
        <v>0</v>
      </c>
      <c r="BU240" s="31">
        <v>0</v>
      </c>
      <c r="BV240" s="31">
        <v>0</v>
      </c>
      <c r="BW240" s="31">
        <v>0</v>
      </c>
      <c r="BX240" s="31">
        <v>0</v>
      </c>
      <c r="BY240" s="31">
        <v>0</v>
      </c>
      <c r="BZ240" s="31">
        <v>0</v>
      </c>
      <c r="CA240" s="31">
        <v>0</v>
      </c>
      <c r="CB240" s="31">
        <v>0</v>
      </c>
      <c r="CC240" s="31">
        <v>0</v>
      </c>
      <c r="CD240" s="31">
        <v>0</v>
      </c>
      <c r="CE240" s="31">
        <v>0</v>
      </c>
      <c r="CF240" s="31">
        <v>0</v>
      </c>
      <c r="CG240" s="31">
        <v>0</v>
      </c>
      <c r="CH240" s="31">
        <v>0</v>
      </c>
      <c r="CI240" s="31">
        <v>0</v>
      </c>
      <c r="CJ240" s="31">
        <v>0</v>
      </c>
      <c r="CK240" s="31">
        <v>0</v>
      </c>
      <c r="CL240" s="35">
        <v>0</v>
      </c>
    </row>
    <row r="241" spans="1:90" ht="21" x14ac:dyDescent="0.15">
      <c r="A241" s="27" t="s">
        <v>1195</v>
      </c>
      <c r="B241" s="28" t="s">
        <v>1196</v>
      </c>
      <c r="C241" s="28">
        <v>0</v>
      </c>
      <c r="D241" s="28">
        <v>0</v>
      </c>
      <c r="E241" s="28">
        <v>0</v>
      </c>
      <c r="F241" s="28">
        <v>0</v>
      </c>
      <c r="G241" s="28">
        <v>15</v>
      </c>
      <c r="H241" s="28">
        <f>IFERROR(VLOOKUP(A241,[1]FALTANTES!$A:$AB,28,FALSE),"-")</f>
        <v>0</v>
      </c>
      <c r="I241" s="42">
        <f>IFERROR(VLOOKUP(A241,[1]FALTANTES!$A:$AC,29,FALSE),"-")</f>
        <v>4</v>
      </c>
      <c r="J241" s="29">
        <f>IFERROR(VLOOKUP(A241,[1]FALTANTES!$A:$AD,30,FALSE),"-")</f>
        <v>-11</v>
      </c>
      <c r="K241" s="30"/>
      <c r="L241" s="30">
        <f t="shared" si="4"/>
        <v>2</v>
      </c>
      <c r="M241" s="31">
        <f>SUMIFS(METALFISA!$E:$E,METALFISA!$A:$A,'Faltantes Fevereiro- Metalfisa'!M$3,METALFISA!$B:$B,'Faltantes Fevereiro- Metalfisa'!$A241)</f>
        <v>0</v>
      </c>
      <c r="N241" s="31">
        <f>SUMIFS(METALFISA!$E:$E,METALFISA!$A:$A,'Faltantes Fevereiro- Metalfisa'!N$3,METALFISA!$B:$B,'Faltantes Fevereiro- Metalfisa'!$A241)</f>
        <v>0</v>
      </c>
      <c r="O241" s="31">
        <f>SUMIFS(METALFISA!$E:$E,METALFISA!$A:$A,'Faltantes Fevereiro- Metalfisa'!O$3,METALFISA!$B:$B,'Faltantes Fevereiro- Metalfisa'!$A241)</f>
        <v>0</v>
      </c>
      <c r="P241" s="31">
        <f>SUMIFS(METALFISA!$E:$E,METALFISA!$A:$A,'Faltantes Fevereiro- Metalfisa'!P$3,METALFISA!$B:$B,'Faltantes Fevereiro- Metalfisa'!$A241)</f>
        <v>0</v>
      </c>
      <c r="Q241" s="31">
        <f>SUMIFS(METALFISA!$E:$E,METALFISA!$A:$A,'Faltantes Fevereiro- Metalfisa'!Q$3,METALFISA!$B:$B,'Faltantes Fevereiro- Metalfisa'!$A241)</f>
        <v>0</v>
      </c>
      <c r="R241" s="31">
        <f>SUMIFS(METALFISA!$E:$E,METALFISA!$A:$A,'Faltantes Fevereiro- Metalfisa'!R$3,METALFISA!$B:$B,'Faltantes Fevereiro- Metalfisa'!$A241)</f>
        <v>0</v>
      </c>
      <c r="S241" s="31">
        <f>SUMIFS(METALFISA!$E:$E,METALFISA!$A:$A,'Faltantes Fevereiro- Metalfisa'!S$3,METALFISA!$B:$B,'Faltantes Fevereiro- Metalfisa'!$A241)</f>
        <v>0</v>
      </c>
      <c r="T241" s="31">
        <f>SUMIFS(METALFISA!$E:$E,METALFISA!$A:$A,'Faltantes Fevereiro- Metalfisa'!T$3,METALFISA!$B:$B,'Faltantes Fevereiro- Metalfisa'!$A241)</f>
        <v>0</v>
      </c>
      <c r="U241" s="31">
        <f>SUMIFS(METALFISA!$E:$E,METALFISA!$A:$A,'Faltantes Fevereiro- Metalfisa'!U$3,METALFISA!$B:$B,'Faltantes Fevereiro- Metalfisa'!$A241)</f>
        <v>0</v>
      </c>
      <c r="V241" s="31">
        <f>SUMIFS(METALFISA!$E:$E,METALFISA!$A:$A,'Faltantes Fevereiro- Metalfisa'!V$3,METALFISA!$B:$B,'Faltantes Fevereiro- Metalfisa'!$A241)</f>
        <v>0</v>
      </c>
      <c r="W241" s="31">
        <f>SUMIFS(METALFISA!$E:$E,METALFISA!$A:$A,'Faltantes Fevereiro- Metalfisa'!W$3,METALFISA!$B:$B,'Faltantes Fevereiro- Metalfisa'!$A241)</f>
        <v>0</v>
      </c>
      <c r="X241" s="31">
        <f>SUMIFS(METALFISA!$E:$E,METALFISA!$A:$A,'Faltantes Fevereiro- Metalfisa'!X$3,METALFISA!$B:$B,'Faltantes Fevereiro- Metalfisa'!$A241)</f>
        <v>0</v>
      </c>
      <c r="Y241" s="31">
        <f>SUMIFS(METALFISA!$E:$E,METALFISA!$A:$A,'Faltantes Fevereiro- Metalfisa'!Y$3,METALFISA!$B:$B,'Faltantes Fevereiro- Metalfisa'!$A241)</f>
        <v>0</v>
      </c>
      <c r="Z241" s="31">
        <f>SUMIFS(METALFISA!$E:$E,METALFISA!$A:$A,'Faltantes Fevereiro- Metalfisa'!Z$3,METALFISA!$B:$B,'Faltantes Fevereiro- Metalfisa'!$A241)</f>
        <v>0</v>
      </c>
      <c r="AA241" s="31">
        <f>SUMIFS(METALFISA!$E:$E,METALFISA!$A:$A,'Faltantes Fevereiro- Metalfisa'!AA$3,METALFISA!$B:$B,'Faltantes Fevereiro- Metalfisa'!$A241)</f>
        <v>0</v>
      </c>
      <c r="AB241" s="31">
        <f>SUMIFS(METALFISA!$E:$E,METALFISA!$A:$A,'Faltantes Fevereiro- Metalfisa'!AB$3,METALFISA!$B:$B,'Faltantes Fevereiro- Metalfisa'!$A241)</f>
        <v>0</v>
      </c>
      <c r="AC241" s="31">
        <f>SUMIFS(METALFISA!$E:$E,METALFISA!$A:$A,'Faltantes Fevereiro- Metalfisa'!AC$3,METALFISA!$B:$B,'Faltantes Fevereiro- Metalfisa'!$A241)</f>
        <v>0</v>
      </c>
      <c r="AD241" s="31">
        <f>SUMIFS(METALFISA!$E:$E,METALFISA!$A:$A,'Faltantes Fevereiro- Metalfisa'!AD$3,METALFISA!$B:$B,'Faltantes Fevereiro- Metalfisa'!$A241)</f>
        <v>0</v>
      </c>
      <c r="AE241" s="31">
        <f>SUMIFS(METALFISA!$E:$E,METALFISA!$A:$A,'Faltantes Fevereiro- Metalfisa'!AE$3,METALFISA!$B:$B,'Faltantes Fevereiro- Metalfisa'!$A241)</f>
        <v>2</v>
      </c>
      <c r="AF241" s="31">
        <f>SUMIFS(METALFISA!$E:$E,METALFISA!$A:$A,'Faltantes Fevereiro- Metalfisa'!AF$3,METALFISA!$B:$B,'Faltantes Fevereiro- Metalfisa'!$A241)</f>
        <v>0</v>
      </c>
      <c r="AG241" s="31">
        <f>SUMIFS(METALFISA!$E:$E,METALFISA!$A:$A,'Faltantes Fevereiro- Metalfisa'!AG$3,METALFISA!$B:$B,'Faltantes Fevereiro- Metalfisa'!$A241)</f>
        <v>0</v>
      </c>
      <c r="AH241" s="31">
        <f>SUMIFS(METALFISA!$E:$E,METALFISA!$A:$A,'Faltantes Fevereiro- Metalfisa'!AH$3,METALFISA!$B:$B,'Faltantes Fevereiro- Metalfisa'!$A241)</f>
        <v>0</v>
      </c>
      <c r="AI241" s="31">
        <f>SUMIFS(METALFISA!$E:$E,METALFISA!$A:$A,'Faltantes Fevereiro- Metalfisa'!AI$3,METALFISA!$B:$B,'Faltantes Fevereiro- Metalfisa'!$A241)</f>
        <v>0</v>
      </c>
      <c r="AJ241" s="31">
        <f>SUMIFS(METALFISA!$E:$E,METALFISA!$A:$A,'Faltantes Fevereiro- Metalfisa'!AJ$3,METALFISA!$B:$B,'Faltantes Fevereiro- Metalfisa'!$A241)</f>
        <v>0</v>
      </c>
      <c r="AK241" s="31">
        <f>SUMIFS(METALFISA!$E:$E,METALFISA!$A:$A,'Faltantes Fevereiro- Metalfisa'!AK$3,METALFISA!$B:$B,'Faltantes Fevereiro- Metalfisa'!$A241)</f>
        <v>0</v>
      </c>
      <c r="AL241" s="31">
        <f>SUMIFS(METALFISA!$E:$E,METALFISA!$A:$A,'Faltantes Fevereiro- Metalfisa'!AL$3,METALFISA!$B:$B,'Faltantes Fevereiro- Metalfisa'!$A241)</f>
        <v>0</v>
      </c>
      <c r="AM241" s="31">
        <f>SUMIFS(METALFISA!$E:$E,METALFISA!$A:$A,'Faltantes Fevereiro- Metalfisa'!AM$3,METALFISA!$B:$B,'Faltantes Fevereiro- Metalfisa'!$A241)</f>
        <v>0</v>
      </c>
      <c r="AN241" s="31">
        <f>SUMIFS(METALFISA!$E:$E,METALFISA!$A:$A,'Faltantes Fevereiro- Metalfisa'!AN$3,METALFISA!$B:$B,'Faltantes Fevereiro- Metalfisa'!$A241)</f>
        <v>0</v>
      </c>
      <c r="AO241" s="31">
        <f>SUMIFS(METALFISA!$E:$E,METALFISA!$A:$A,'Faltantes Fevereiro- Metalfisa'!AO$3,METALFISA!$B:$B,'Faltantes Fevereiro- Metalfisa'!$A241)</f>
        <v>0</v>
      </c>
      <c r="AP241" s="31">
        <f>SUMIFS(METALFISA!$E:$E,METALFISA!$A:$A,'Faltantes Fevereiro- Metalfisa'!AP$3,METALFISA!$B:$B,'Faltantes Fevereiro- Metalfisa'!$A241)</f>
        <v>0</v>
      </c>
      <c r="AQ241" s="31"/>
      <c r="AR241" s="31">
        <f>SUMIFS(METALFISA!$E:$E,METALFISA!$A:$A,'Faltantes Fevereiro- Metalfisa'!AR$3,METALFISA!$B:$B,'Faltantes Fevereiro- Metalfisa'!$A241)</f>
        <v>0</v>
      </c>
      <c r="AS241" s="35">
        <f>SUMIFS(METALFISA!$E:$E,METALFISA!$A:$A,'Faltantes Fevereiro- Metalfisa'!AS$3,METALFISA!$B:$B,'Faltantes Fevereiro- Metalfisa'!$A241)</f>
        <v>0</v>
      </c>
      <c r="AU241" s="18">
        <v>0</v>
      </c>
      <c r="AV241" s="18">
        <v>0</v>
      </c>
      <c r="AW241" s="18">
        <v>0</v>
      </c>
      <c r="AX241" s="18">
        <v>0</v>
      </c>
      <c r="AY241" s="41">
        <v>0</v>
      </c>
      <c r="AZ241" s="31">
        <v>0</v>
      </c>
      <c r="BA241" s="31">
        <v>0</v>
      </c>
      <c r="BB241" s="31">
        <v>0</v>
      </c>
      <c r="BC241" s="31">
        <v>0</v>
      </c>
      <c r="BD241" s="31">
        <v>0</v>
      </c>
      <c r="BE241" s="31">
        <v>0</v>
      </c>
      <c r="BF241" s="31">
        <v>0</v>
      </c>
      <c r="BG241" s="31">
        <v>0</v>
      </c>
      <c r="BH241" s="31">
        <v>0</v>
      </c>
      <c r="BI241" s="31">
        <v>0</v>
      </c>
      <c r="BJ241" s="31">
        <v>0</v>
      </c>
      <c r="BK241" s="31">
        <v>0</v>
      </c>
      <c r="BL241" s="31">
        <v>0</v>
      </c>
      <c r="BM241" s="31">
        <v>0</v>
      </c>
      <c r="BN241" s="31">
        <v>1</v>
      </c>
      <c r="BO241" s="31">
        <v>2</v>
      </c>
      <c r="BP241" s="31">
        <v>0</v>
      </c>
      <c r="BQ241" s="31">
        <v>0</v>
      </c>
      <c r="BR241" s="31">
        <v>0</v>
      </c>
      <c r="BS241" s="31">
        <v>0</v>
      </c>
      <c r="BT241" s="31">
        <v>0</v>
      </c>
      <c r="BU241" s="31">
        <v>0</v>
      </c>
      <c r="BV241" s="31">
        <v>0</v>
      </c>
      <c r="BW241" s="31">
        <v>0</v>
      </c>
      <c r="BX241" s="31">
        <v>0</v>
      </c>
      <c r="BY241" s="31">
        <v>0</v>
      </c>
      <c r="BZ241" s="31">
        <v>0</v>
      </c>
      <c r="CA241" s="31">
        <v>0</v>
      </c>
      <c r="CB241" s="31">
        <v>0</v>
      </c>
      <c r="CC241" s="31">
        <v>0</v>
      </c>
      <c r="CD241" s="31">
        <v>0</v>
      </c>
      <c r="CE241" s="31">
        <v>0</v>
      </c>
      <c r="CF241" s="31">
        <v>0</v>
      </c>
      <c r="CG241" s="31">
        <v>0</v>
      </c>
      <c r="CH241" s="31">
        <v>0</v>
      </c>
      <c r="CI241" s="31">
        <v>0</v>
      </c>
      <c r="CJ241" s="31">
        <v>0</v>
      </c>
      <c r="CK241" s="31">
        <v>0</v>
      </c>
      <c r="CL241" s="35">
        <v>0</v>
      </c>
    </row>
    <row r="242" spans="1:90" ht="21" x14ac:dyDescent="0.15">
      <c r="A242" s="27" t="s">
        <v>1209</v>
      </c>
      <c r="B242" s="28" t="s">
        <v>1210</v>
      </c>
      <c r="C242" s="28">
        <v>0</v>
      </c>
      <c r="D242" s="28">
        <v>0</v>
      </c>
      <c r="E242" s="28">
        <v>0</v>
      </c>
      <c r="F242" s="28">
        <v>0</v>
      </c>
      <c r="G242" s="28">
        <v>10</v>
      </c>
      <c r="H242" s="28">
        <f>IFERROR(VLOOKUP(A242,[1]FALTANTES!$A:$AB,28,FALSE),"-")</f>
        <v>0</v>
      </c>
      <c r="I242" s="42">
        <f>IFERROR(VLOOKUP(A242,[1]FALTANTES!$A:$AC,29,FALSE),"-")</f>
        <v>0</v>
      </c>
      <c r="J242" s="29">
        <f>IFERROR(VLOOKUP(A242,[1]FALTANTES!$A:$AD,30,FALSE),"-")</f>
        <v>-10</v>
      </c>
      <c r="K242" s="30">
        <v>0</v>
      </c>
      <c r="L242" s="30">
        <f t="shared" si="4"/>
        <v>2</v>
      </c>
      <c r="M242" s="31">
        <f>SUMIFS(METALFISA!$E:$E,METALFISA!$A:$A,'Faltantes Fevereiro- Metalfisa'!M$3,METALFISA!$B:$B,'Faltantes Fevereiro- Metalfisa'!$A242)</f>
        <v>0</v>
      </c>
      <c r="N242" s="31">
        <f>SUMIFS(METALFISA!$E:$E,METALFISA!$A:$A,'Faltantes Fevereiro- Metalfisa'!N$3,METALFISA!$B:$B,'Faltantes Fevereiro- Metalfisa'!$A242)</f>
        <v>0</v>
      </c>
      <c r="O242" s="31">
        <f>SUMIFS(METALFISA!$E:$E,METALFISA!$A:$A,'Faltantes Fevereiro- Metalfisa'!O$3,METALFISA!$B:$B,'Faltantes Fevereiro- Metalfisa'!$A242)</f>
        <v>0</v>
      </c>
      <c r="P242" s="31">
        <f>SUMIFS(METALFISA!$E:$E,METALFISA!$A:$A,'Faltantes Fevereiro- Metalfisa'!P$3,METALFISA!$B:$B,'Faltantes Fevereiro- Metalfisa'!$A242)</f>
        <v>0</v>
      </c>
      <c r="Q242" s="31">
        <f>SUMIFS(METALFISA!$E:$E,METALFISA!$A:$A,'Faltantes Fevereiro- Metalfisa'!Q$3,METALFISA!$B:$B,'Faltantes Fevereiro- Metalfisa'!$A242)</f>
        <v>0</v>
      </c>
      <c r="R242" s="31">
        <f>SUMIFS(METALFISA!$E:$E,METALFISA!$A:$A,'Faltantes Fevereiro- Metalfisa'!R$3,METALFISA!$B:$B,'Faltantes Fevereiro- Metalfisa'!$A242)</f>
        <v>0</v>
      </c>
      <c r="S242" s="31">
        <f>SUMIFS(METALFISA!$E:$E,METALFISA!$A:$A,'Faltantes Fevereiro- Metalfisa'!S$3,METALFISA!$B:$B,'Faltantes Fevereiro- Metalfisa'!$A242)</f>
        <v>0</v>
      </c>
      <c r="T242" s="31">
        <f>SUMIFS(METALFISA!$E:$E,METALFISA!$A:$A,'Faltantes Fevereiro- Metalfisa'!T$3,METALFISA!$B:$B,'Faltantes Fevereiro- Metalfisa'!$A242)</f>
        <v>0</v>
      </c>
      <c r="U242" s="31">
        <f>SUMIFS(METALFISA!$E:$E,METALFISA!$A:$A,'Faltantes Fevereiro- Metalfisa'!U$3,METALFISA!$B:$B,'Faltantes Fevereiro- Metalfisa'!$A242)</f>
        <v>0</v>
      </c>
      <c r="V242" s="31">
        <f>SUMIFS(METALFISA!$E:$E,METALFISA!$A:$A,'Faltantes Fevereiro- Metalfisa'!V$3,METALFISA!$B:$B,'Faltantes Fevereiro- Metalfisa'!$A242)</f>
        <v>0</v>
      </c>
      <c r="W242" s="31">
        <f>SUMIFS(METALFISA!$E:$E,METALFISA!$A:$A,'Faltantes Fevereiro- Metalfisa'!W$3,METALFISA!$B:$B,'Faltantes Fevereiro- Metalfisa'!$A242)</f>
        <v>0</v>
      </c>
      <c r="X242" s="31">
        <f>SUMIFS(METALFISA!$E:$E,METALFISA!$A:$A,'Faltantes Fevereiro- Metalfisa'!X$3,METALFISA!$B:$B,'Faltantes Fevereiro- Metalfisa'!$A242)</f>
        <v>0</v>
      </c>
      <c r="Y242" s="31">
        <f>SUMIFS(METALFISA!$E:$E,METALFISA!$A:$A,'Faltantes Fevereiro- Metalfisa'!Y$3,METALFISA!$B:$B,'Faltantes Fevereiro- Metalfisa'!$A242)</f>
        <v>0</v>
      </c>
      <c r="Z242" s="31">
        <f>SUMIFS(METALFISA!$E:$E,METALFISA!$A:$A,'Faltantes Fevereiro- Metalfisa'!Z$3,METALFISA!$B:$B,'Faltantes Fevereiro- Metalfisa'!$A242)</f>
        <v>0</v>
      </c>
      <c r="AA242" s="31">
        <f>SUMIFS(METALFISA!$E:$E,METALFISA!$A:$A,'Faltantes Fevereiro- Metalfisa'!AA$3,METALFISA!$B:$B,'Faltantes Fevereiro- Metalfisa'!$A242)</f>
        <v>0</v>
      </c>
      <c r="AB242" s="31">
        <f>SUMIFS(METALFISA!$E:$E,METALFISA!$A:$A,'Faltantes Fevereiro- Metalfisa'!AB$3,METALFISA!$B:$B,'Faltantes Fevereiro- Metalfisa'!$A242)</f>
        <v>0</v>
      </c>
      <c r="AC242" s="31">
        <f>SUMIFS(METALFISA!$E:$E,METALFISA!$A:$A,'Faltantes Fevereiro- Metalfisa'!AC$3,METALFISA!$B:$B,'Faltantes Fevereiro- Metalfisa'!$A242)</f>
        <v>0</v>
      </c>
      <c r="AD242" s="31">
        <f>SUMIFS(METALFISA!$E:$E,METALFISA!$A:$A,'Faltantes Fevereiro- Metalfisa'!AD$3,METALFISA!$B:$B,'Faltantes Fevereiro- Metalfisa'!$A242)</f>
        <v>0</v>
      </c>
      <c r="AE242" s="31">
        <f>SUMIFS(METALFISA!$E:$E,METALFISA!$A:$A,'Faltantes Fevereiro- Metalfisa'!AE$3,METALFISA!$B:$B,'Faltantes Fevereiro- Metalfisa'!$A242)</f>
        <v>2</v>
      </c>
      <c r="AF242" s="31">
        <f>SUMIFS(METALFISA!$E:$E,METALFISA!$A:$A,'Faltantes Fevereiro- Metalfisa'!AF$3,METALFISA!$B:$B,'Faltantes Fevereiro- Metalfisa'!$A242)</f>
        <v>0</v>
      </c>
      <c r="AG242" s="31">
        <f>SUMIFS(METALFISA!$E:$E,METALFISA!$A:$A,'Faltantes Fevereiro- Metalfisa'!AG$3,METALFISA!$B:$B,'Faltantes Fevereiro- Metalfisa'!$A242)</f>
        <v>0</v>
      </c>
      <c r="AH242" s="31">
        <f>SUMIFS(METALFISA!$E:$E,METALFISA!$A:$A,'Faltantes Fevereiro- Metalfisa'!AH$3,METALFISA!$B:$B,'Faltantes Fevereiro- Metalfisa'!$A242)</f>
        <v>0</v>
      </c>
      <c r="AI242" s="31">
        <f>SUMIFS(METALFISA!$E:$E,METALFISA!$A:$A,'Faltantes Fevereiro- Metalfisa'!AI$3,METALFISA!$B:$B,'Faltantes Fevereiro- Metalfisa'!$A242)</f>
        <v>0</v>
      </c>
      <c r="AJ242" s="31">
        <f>SUMIFS(METALFISA!$E:$E,METALFISA!$A:$A,'Faltantes Fevereiro- Metalfisa'!AJ$3,METALFISA!$B:$B,'Faltantes Fevereiro- Metalfisa'!$A242)</f>
        <v>0</v>
      </c>
      <c r="AK242" s="31">
        <f>SUMIFS(METALFISA!$E:$E,METALFISA!$A:$A,'Faltantes Fevereiro- Metalfisa'!AK$3,METALFISA!$B:$B,'Faltantes Fevereiro- Metalfisa'!$A242)</f>
        <v>0</v>
      </c>
      <c r="AL242" s="31">
        <f>SUMIFS(METALFISA!$E:$E,METALFISA!$A:$A,'Faltantes Fevereiro- Metalfisa'!AL$3,METALFISA!$B:$B,'Faltantes Fevereiro- Metalfisa'!$A242)</f>
        <v>0</v>
      </c>
      <c r="AM242" s="31">
        <f>SUMIFS(METALFISA!$E:$E,METALFISA!$A:$A,'Faltantes Fevereiro- Metalfisa'!AM$3,METALFISA!$B:$B,'Faltantes Fevereiro- Metalfisa'!$A242)</f>
        <v>0</v>
      </c>
      <c r="AN242" s="31">
        <f>SUMIFS(METALFISA!$E:$E,METALFISA!$A:$A,'Faltantes Fevereiro- Metalfisa'!AN$3,METALFISA!$B:$B,'Faltantes Fevereiro- Metalfisa'!$A242)</f>
        <v>0</v>
      </c>
      <c r="AO242" s="31">
        <f>SUMIFS(METALFISA!$E:$E,METALFISA!$A:$A,'Faltantes Fevereiro- Metalfisa'!AO$3,METALFISA!$B:$B,'Faltantes Fevereiro- Metalfisa'!$A242)</f>
        <v>0</v>
      </c>
      <c r="AP242" s="31">
        <f>SUMIFS(METALFISA!$E:$E,METALFISA!$A:$A,'Faltantes Fevereiro- Metalfisa'!AP$3,METALFISA!$B:$B,'Faltantes Fevereiro- Metalfisa'!$A242)</f>
        <v>0</v>
      </c>
      <c r="AQ242" s="31"/>
      <c r="AR242" s="31">
        <f>SUMIFS(METALFISA!$E:$E,METALFISA!$A:$A,'Faltantes Fevereiro- Metalfisa'!AR$3,METALFISA!$B:$B,'Faltantes Fevereiro- Metalfisa'!$A242)</f>
        <v>0</v>
      </c>
      <c r="AS242" s="35">
        <f>SUMIFS(METALFISA!$E:$E,METALFISA!$A:$A,'Faltantes Fevereiro- Metalfisa'!AS$3,METALFISA!$B:$B,'Faltantes Fevereiro- Metalfisa'!$A242)</f>
        <v>0</v>
      </c>
      <c r="AU242" s="18">
        <v>0</v>
      </c>
      <c r="AV242" s="18">
        <v>0</v>
      </c>
      <c r="AW242" s="18">
        <v>0</v>
      </c>
      <c r="AX242" s="18">
        <v>0</v>
      </c>
      <c r="AY242" s="41">
        <v>0</v>
      </c>
      <c r="AZ242" s="31">
        <v>0</v>
      </c>
      <c r="BA242" s="31">
        <v>0</v>
      </c>
      <c r="BB242" s="31">
        <v>0</v>
      </c>
      <c r="BC242" s="31">
        <v>0</v>
      </c>
      <c r="BD242" s="31">
        <v>0</v>
      </c>
      <c r="BE242" s="31">
        <v>0</v>
      </c>
      <c r="BF242" s="31">
        <v>0</v>
      </c>
      <c r="BG242" s="31">
        <v>0</v>
      </c>
      <c r="BH242" s="31">
        <v>0</v>
      </c>
      <c r="BI242" s="31">
        <v>0</v>
      </c>
      <c r="BJ242" s="31">
        <v>0</v>
      </c>
      <c r="BK242" s="31">
        <v>0</v>
      </c>
      <c r="BL242" s="31">
        <v>0</v>
      </c>
      <c r="BM242" s="31">
        <v>0</v>
      </c>
      <c r="BN242" s="31">
        <v>0</v>
      </c>
      <c r="BO242" s="31">
        <v>2</v>
      </c>
      <c r="BP242" s="31">
        <v>0</v>
      </c>
      <c r="BQ242" s="31">
        <v>0</v>
      </c>
      <c r="BR242" s="31">
        <v>0</v>
      </c>
      <c r="BS242" s="31">
        <v>0</v>
      </c>
      <c r="BT242" s="31">
        <v>0</v>
      </c>
      <c r="BU242" s="31">
        <v>0</v>
      </c>
      <c r="BV242" s="31">
        <v>0</v>
      </c>
      <c r="BW242" s="31">
        <v>0</v>
      </c>
      <c r="BX242" s="31">
        <v>0</v>
      </c>
      <c r="BY242" s="31">
        <v>0</v>
      </c>
      <c r="BZ242" s="31">
        <v>0</v>
      </c>
      <c r="CA242" s="31">
        <v>0</v>
      </c>
      <c r="CB242" s="31">
        <v>0</v>
      </c>
      <c r="CC242" s="31">
        <v>0</v>
      </c>
      <c r="CD242" s="31">
        <v>0</v>
      </c>
      <c r="CE242" s="31">
        <v>0</v>
      </c>
      <c r="CF242" s="31">
        <v>0</v>
      </c>
      <c r="CG242" s="31">
        <v>0</v>
      </c>
      <c r="CH242" s="31">
        <v>0</v>
      </c>
      <c r="CI242" s="31">
        <v>0</v>
      </c>
      <c r="CJ242" s="31">
        <v>0</v>
      </c>
      <c r="CK242" s="31">
        <v>0</v>
      </c>
      <c r="CL242" s="35">
        <v>0</v>
      </c>
    </row>
    <row r="243" spans="1:90" x14ac:dyDescent="0.15">
      <c r="A243" s="27" t="s">
        <v>1213</v>
      </c>
      <c r="B243" s="28" t="s">
        <v>1214</v>
      </c>
      <c r="C243" s="28">
        <v>0</v>
      </c>
      <c r="D243" s="28">
        <v>0</v>
      </c>
      <c r="E243" s="28">
        <v>0</v>
      </c>
      <c r="F243" s="28">
        <v>0</v>
      </c>
      <c r="G243" s="28">
        <v>6</v>
      </c>
      <c r="H243" s="28">
        <f>IFERROR(VLOOKUP(A243,[1]FALTANTES!$A:$AB,28,FALSE),"-")</f>
        <v>0</v>
      </c>
      <c r="I243" s="42">
        <f>IFERROR(VLOOKUP(A243,[1]FALTANTES!$A:$AC,29,FALSE),"-")</f>
        <v>2</v>
      </c>
      <c r="J243" s="29">
        <f>IFERROR(VLOOKUP(A243,[1]FALTANTES!$A:$AD,30,FALSE),"-")</f>
        <v>-4</v>
      </c>
      <c r="K243" s="30">
        <v>0</v>
      </c>
      <c r="L243" s="30">
        <f t="shared" si="4"/>
        <v>1</v>
      </c>
      <c r="M243" s="31">
        <f>SUMIFS(METALFISA!$E:$E,METALFISA!$A:$A,'Faltantes Fevereiro- Metalfisa'!M$3,METALFISA!$B:$B,'Faltantes Fevereiro- Metalfisa'!$A243)</f>
        <v>0</v>
      </c>
      <c r="N243" s="31">
        <f>SUMIFS(METALFISA!$E:$E,METALFISA!$A:$A,'Faltantes Fevereiro- Metalfisa'!N$3,METALFISA!$B:$B,'Faltantes Fevereiro- Metalfisa'!$A243)</f>
        <v>0</v>
      </c>
      <c r="O243" s="31">
        <f>SUMIFS(METALFISA!$E:$E,METALFISA!$A:$A,'Faltantes Fevereiro- Metalfisa'!O$3,METALFISA!$B:$B,'Faltantes Fevereiro- Metalfisa'!$A243)</f>
        <v>0</v>
      </c>
      <c r="P243" s="31">
        <f>SUMIFS(METALFISA!$E:$E,METALFISA!$A:$A,'Faltantes Fevereiro- Metalfisa'!P$3,METALFISA!$B:$B,'Faltantes Fevereiro- Metalfisa'!$A243)</f>
        <v>0</v>
      </c>
      <c r="Q243" s="31">
        <f>SUMIFS(METALFISA!$E:$E,METALFISA!$A:$A,'Faltantes Fevereiro- Metalfisa'!Q$3,METALFISA!$B:$B,'Faltantes Fevereiro- Metalfisa'!$A243)</f>
        <v>0</v>
      </c>
      <c r="R243" s="31">
        <f>SUMIFS(METALFISA!$E:$E,METALFISA!$A:$A,'Faltantes Fevereiro- Metalfisa'!R$3,METALFISA!$B:$B,'Faltantes Fevereiro- Metalfisa'!$A243)</f>
        <v>0</v>
      </c>
      <c r="S243" s="31">
        <f>SUMIFS(METALFISA!$E:$E,METALFISA!$A:$A,'Faltantes Fevereiro- Metalfisa'!S$3,METALFISA!$B:$B,'Faltantes Fevereiro- Metalfisa'!$A243)</f>
        <v>0</v>
      </c>
      <c r="T243" s="31">
        <f>SUMIFS(METALFISA!$E:$E,METALFISA!$A:$A,'Faltantes Fevereiro- Metalfisa'!T$3,METALFISA!$B:$B,'Faltantes Fevereiro- Metalfisa'!$A243)</f>
        <v>0</v>
      </c>
      <c r="U243" s="31">
        <f>SUMIFS(METALFISA!$E:$E,METALFISA!$A:$A,'Faltantes Fevereiro- Metalfisa'!U$3,METALFISA!$B:$B,'Faltantes Fevereiro- Metalfisa'!$A243)</f>
        <v>0</v>
      </c>
      <c r="V243" s="31">
        <f>SUMIFS(METALFISA!$E:$E,METALFISA!$A:$A,'Faltantes Fevereiro- Metalfisa'!V$3,METALFISA!$B:$B,'Faltantes Fevereiro- Metalfisa'!$A243)</f>
        <v>0</v>
      </c>
      <c r="W243" s="31">
        <f>SUMIFS(METALFISA!$E:$E,METALFISA!$A:$A,'Faltantes Fevereiro- Metalfisa'!W$3,METALFISA!$B:$B,'Faltantes Fevereiro- Metalfisa'!$A243)</f>
        <v>0</v>
      </c>
      <c r="X243" s="31">
        <f>SUMIFS(METALFISA!$E:$E,METALFISA!$A:$A,'Faltantes Fevereiro- Metalfisa'!X$3,METALFISA!$B:$B,'Faltantes Fevereiro- Metalfisa'!$A243)</f>
        <v>0</v>
      </c>
      <c r="Y243" s="31">
        <f>SUMIFS(METALFISA!$E:$E,METALFISA!$A:$A,'Faltantes Fevereiro- Metalfisa'!Y$3,METALFISA!$B:$B,'Faltantes Fevereiro- Metalfisa'!$A243)</f>
        <v>0</v>
      </c>
      <c r="Z243" s="31">
        <f>SUMIFS(METALFISA!$E:$E,METALFISA!$A:$A,'Faltantes Fevereiro- Metalfisa'!Z$3,METALFISA!$B:$B,'Faltantes Fevereiro- Metalfisa'!$A243)</f>
        <v>0</v>
      </c>
      <c r="AA243" s="31">
        <f>SUMIFS(METALFISA!$E:$E,METALFISA!$A:$A,'Faltantes Fevereiro- Metalfisa'!AA$3,METALFISA!$B:$B,'Faltantes Fevereiro- Metalfisa'!$A243)</f>
        <v>0</v>
      </c>
      <c r="AB243" s="31">
        <f>SUMIFS(METALFISA!$E:$E,METALFISA!$A:$A,'Faltantes Fevereiro- Metalfisa'!AB$3,METALFISA!$B:$B,'Faltantes Fevereiro- Metalfisa'!$A243)</f>
        <v>0</v>
      </c>
      <c r="AC243" s="31">
        <f>SUMIFS(METALFISA!$E:$E,METALFISA!$A:$A,'Faltantes Fevereiro- Metalfisa'!AC$3,METALFISA!$B:$B,'Faltantes Fevereiro- Metalfisa'!$A243)</f>
        <v>0</v>
      </c>
      <c r="AD243" s="31">
        <f>SUMIFS(METALFISA!$E:$E,METALFISA!$A:$A,'Faltantes Fevereiro- Metalfisa'!AD$3,METALFISA!$B:$B,'Faltantes Fevereiro- Metalfisa'!$A243)</f>
        <v>0</v>
      </c>
      <c r="AE243" s="31">
        <f>SUMIFS(METALFISA!$E:$E,METALFISA!$A:$A,'Faltantes Fevereiro- Metalfisa'!AE$3,METALFISA!$B:$B,'Faltantes Fevereiro- Metalfisa'!$A243)</f>
        <v>1</v>
      </c>
      <c r="AF243" s="31">
        <f>SUMIFS(METALFISA!$E:$E,METALFISA!$A:$A,'Faltantes Fevereiro- Metalfisa'!AF$3,METALFISA!$B:$B,'Faltantes Fevereiro- Metalfisa'!$A243)</f>
        <v>0</v>
      </c>
      <c r="AG243" s="31">
        <f>SUMIFS(METALFISA!$E:$E,METALFISA!$A:$A,'Faltantes Fevereiro- Metalfisa'!AG$3,METALFISA!$B:$B,'Faltantes Fevereiro- Metalfisa'!$A243)</f>
        <v>0</v>
      </c>
      <c r="AH243" s="31">
        <f>SUMIFS(METALFISA!$E:$E,METALFISA!$A:$A,'Faltantes Fevereiro- Metalfisa'!AH$3,METALFISA!$B:$B,'Faltantes Fevereiro- Metalfisa'!$A243)</f>
        <v>0</v>
      </c>
      <c r="AI243" s="31">
        <f>SUMIFS(METALFISA!$E:$E,METALFISA!$A:$A,'Faltantes Fevereiro- Metalfisa'!AI$3,METALFISA!$B:$B,'Faltantes Fevereiro- Metalfisa'!$A243)</f>
        <v>0</v>
      </c>
      <c r="AJ243" s="31">
        <f>SUMIFS(METALFISA!$E:$E,METALFISA!$A:$A,'Faltantes Fevereiro- Metalfisa'!AJ$3,METALFISA!$B:$B,'Faltantes Fevereiro- Metalfisa'!$A243)</f>
        <v>0</v>
      </c>
      <c r="AK243" s="31">
        <f>SUMIFS(METALFISA!$E:$E,METALFISA!$A:$A,'Faltantes Fevereiro- Metalfisa'!AK$3,METALFISA!$B:$B,'Faltantes Fevereiro- Metalfisa'!$A243)</f>
        <v>0</v>
      </c>
      <c r="AL243" s="31">
        <f>SUMIFS(METALFISA!$E:$E,METALFISA!$A:$A,'Faltantes Fevereiro- Metalfisa'!AL$3,METALFISA!$B:$B,'Faltantes Fevereiro- Metalfisa'!$A243)</f>
        <v>0</v>
      </c>
      <c r="AM243" s="31">
        <f>SUMIFS(METALFISA!$E:$E,METALFISA!$A:$A,'Faltantes Fevereiro- Metalfisa'!AM$3,METALFISA!$B:$B,'Faltantes Fevereiro- Metalfisa'!$A243)</f>
        <v>0</v>
      </c>
      <c r="AN243" s="31">
        <f>SUMIFS(METALFISA!$E:$E,METALFISA!$A:$A,'Faltantes Fevereiro- Metalfisa'!AN$3,METALFISA!$B:$B,'Faltantes Fevereiro- Metalfisa'!$A243)</f>
        <v>0</v>
      </c>
      <c r="AO243" s="31">
        <f>SUMIFS(METALFISA!$E:$E,METALFISA!$A:$A,'Faltantes Fevereiro- Metalfisa'!AO$3,METALFISA!$B:$B,'Faltantes Fevereiro- Metalfisa'!$A243)</f>
        <v>0</v>
      </c>
      <c r="AP243" s="31">
        <f>SUMIFS(METALFISA!$E:$E,METALFISA!$A:$A,'Faltantes Fevereiro- Metalfisa'!AP$3,METALFISA!$B:$B,'Faltantes Fevereiro- Metalfisa'!$A243)</f>
        <v>0</v>
      </c>
      <c r="AQ243" s="31"/>
      <c r="AR243" s="31">
        <f>SUMIFS(METALFISA!$E:$E,METALFISA!$A:$A,'Faltantes Fevereiro- Metalfisa'!AR$3,METALFISA!$B:$B,'Faltantes Fevereiro- Metalfisa'!$A243)</f>
        <v>0</v>
      </c>
      <c r="AS243" s="35">
        <f>SUMIFS(METALFISA!$E:$E,METALFISA!$A:$A,'Faltantes Fevereiro- Metalfisa'!AS$3,METALFISA!$B:$B,'Faltantes Fevereiro- Metalfisa'!$A243)</f>
        <v>0</v>
      </c>
      <c r="AU243" s="18">
        <v>0</v>
      </c>
      <c r="AV243" s="18">
        <v>0</v>
      </c>
      <c r="AW243" s="18">
        <v>0</v>
      </c>
      <c r="AX243" s="18">
        <v>0</v>
      </c>
      <c r="AY243" s="41">
        <v>0</v>
      </c>
      <c r="AZ243" s="31">
        <v>0</v>
      </c>
      <c r="BA243" s="31">
        <v>0</v>
      </c>
      <c r="BB243" s="31">
        <v>0</v>
      </c>
      <c r="BC243" s="31">
        <v>0</v>
      </c>
      <c r="BD243" s="31">
        <v>0</v>
      </c>
      <c r="BE243" s="31">
        <v>0</v>
      </c>
      <c r="BF243" s="31">
        <v>0</v>
      </c>
      <c r="BG243" s="31">
        <v>0</v>
      </c>
      <c r="BH243" s="31">
        <v>0</v>
      </c>
      <c r="BI243" s="31">
        <v>0</v>
      </c>
      <c r="BJ243" s="31">
        <v>0</v>
      </c>
      <c r="BK243" s="31">
        <v>0</v>
      </c>
      <c r="BL243" s="31">
        <v>0</v>
      </c>
      <c r="BM243" s="31">
        <v>0</v>
      </c>
      <c r="BN243" s="31">
        <v>0</v>
      </c>
      <c r="BO243" s="31">
        <v>1</v>
      </c>
      <c r="BP243" s="31">
        <v>0</v>
      </c>
      <c r="BQ243" s="31">
        <v>0</v>
      </c>
      <c r="BR243" s="31">
        <v>0</v>
      </c>
      <c r="BS243" s="31">
        <v>0</v>
      </c>
      <c r="BT243" s="31">
        <v>0</v>
      </c>
      <c r="BU243" s="31">
        <v>0</v>
      </c>
      <c r="BV243" s="31">
        <v>0</v>
      </c>
      <c r="BW243" s="31">
        <v>0</v>
      </c>
      <c r="BX243" s="31">
        <v>0</v>
      </c>
      <c r="BY243" s="31">
        <v>0</v>
      </c>
      <c r="BZ243" s="31">
        <v>0</v>
      </c>
      <c r="CA243" s="31">
        <v>0</v>
      </c>
      <c r="CB243" s="31">
        <v>0</v>
      </c>
      <c r="CC243" s="31">
        <v>0</v>
      </c>
      <c r="CD243" s="31">
        <v>0</v>
      </c>
      <c r="CE243" s="31">
        <v>0</v>
      </c>
      <c r="CF243" s="31">
        <v>0</v>
      </c>
      <c r="CG243" s="31">
        <v>0</v>
      </c>
      <c r="CH243" s="31">
        <v>0</v>
      </c>
      <c r="CI243" s="31">
        <v>0</v>
      </c>
      <c r="CJ243" s="31">
        <v>0</v>
      </c>
      <c r="CK243" s="31">
        <v>0</v>
      </c>
      <c r="CL243" s="35">
        <v>0</v>
      </c>
    </row>
    <row r="244" spans="1:90" x14ac:dyDescent="0.15">
      <c r="A244" s="27" t="s">
        <v>1215</v>
      </c>
      <c r="B244" s="28" t="s">
        <v>1216</v>
      </c>
      <c r="C244" s="28">
        <v>0</v>
      </c>
      <c r="D244" s="28">
        <v>0</v>
      </c>
      <c r="E244" s="28">
        <v>0</v>
      </c>
      <c r="F244" s="28">
        <v>0</v>
      </c>
      <c r="G244" s="28">
        <v>6</v>
      </c>
      <c r="H244" s="28">
        <f>IFERROR(VLOOKUP(A244,[1]FALTANTES!$A:$AB,28,FALSE),"-")</f>
        <v>0</v>
      </c>
      <c r="I244" s="42">
        <f>IFERROR(VLOOKUP(A244,[1]FALTANTES!$A:$AC,29,FALSE),"-")</f>
        <v>0</v>
      </c>
      <c r="J244" s="29">
        <f>IFERROR(VLOOKUP(A244,[1]FALTANTES!$A:$AD,30,FALSE),"-")</f>
        <v>-6</v>
      </c>
      <c r="K244" s="30">
        <v>0</v>
      </c>
      <c r="L244" s="30">
        <f t="shared" si="4"/>
        <v>2</v>
      </c>
      <c r="M244" s="31">
        <f>SUMIFS(METALFISA!$E:$E,METALFISA!$A:$A,'Faltantes Fevereiro- Metalfisa'!M$3,METALFISA!$B:$B,'Faltantes Fevereiro- Metalfisa'!$A244)</f>
        <v>0</v>
      </c>
      <c r="N244" s="31">
        <f>SUMIFS(METALFISA!$E:$E,METALFISA!$A:$A,'Faltantes Fevereiro- Metalfisa'!N$3,METALFISA!$B:$B,'Faltantes Fevereiro- Metalfisa'!$A244)</f>
        <v>0</v>
      </c>
      <c r="O244" s="31">
        <f>SUMIFS(METALFISA!$E:$E,METALFISA!$A:$A,'Faltantes Fevereiro- Metalfisa'!O$3,METALFISA!$B:$B,'Faltantes Fevereiro- Metalfisa'!$A244)</f>
        <v>0</v>
      </c>
      <c r="P244" s="31">
        <f>SUMIFS(METALFISA!$E:$E,METALFISA!$A:$A,'Faltantes Fevereiro- Metalfisa'!P$3,METALFISA!$B:$B,'Faltantes Fevereiro- Metalfisa'!$A244)</f>
        <v>0</v>
      </c>
      <c r="Q244" s="31">
        <f>SUMIFS(METALFISA!$E:$E,METALFISA!$A:$A,'Faltantes Fevereiro- Metalfisa'!Q$3,METALFISA!$B:$B,'Faltantes Fevereiro- Metalfisa'!$A244)</f>
        <v>0</v>
      </c>
      <c r="R244" s="31">
        <f>SUMIFS(METALFISA!$E:$E,METALFISA!$A:$A,'Faltantes Fevereiro- Metalfisa'!R$3,METALFISA!$B:$B,'Faltantes Fevereiro- Metalfisa'!$A244)</f>
        <v>0</v>
      </c>
      <c r="S244" s="31">
        <f>SUMIFS(METALFISA!$E:$E,METALFISA!$A:$A,'Faltantes Fevereiro- Metalfisa'!S$3,METALFISA!$B:$B,'Faltantes Fevereiro- Metalfisa'!$A244)</f>
        <v>0</v>
      </c>
      <c r="T244" s="31">
        <f>SUMIFS(METALFISA!$E:$E,METALFISA!$A:$A,'Faltantes Fevereiro- Metalfisa'!T$3,METALFISA!$B:$B,'Faltantes Fevereiro- Metalfisa'!$A244)</f>
        <v>0</v>
      </c>
      <c r="U244" s="31">
        <f>SUMIFS(METALFISA!$E:$E,METALFISA!$A:$A,'Faltantes Fevereiro- Metalfisa'!U$3,METALFISA!$B:$B,'Faltantes Fevereiro- Metalfisa'!$A244)</f>
        <v>0</v>
      </c>
      <c r="V244" s="31">
        <f>SUMIFS(METALFISA!$E:$E,METALFISA!$A:$A,'Faltantes Fevereiro- Metalfisa'!V$3,METALFISA!$B:$B,'Faltantes Fevereiro- Metalfisa'!$A244)</f>
        <v>0</v>
      </c>
      <c r="W244" s="31">
        <f>SUMIFS(METALFISA!$E:$E,METALFISA!$A:$A,'Faltantes Fevereiro- Metalfisa'!W$3,METALFISA!$B:$B,'Faltantes Fevereiro- Metalfisa'!$A244)</f>
        <v>0</v>
      </c>
      <c r="X244" s="31">
        <f>SUMIFS(METALFISA!$E:$E,METALFISA!$A:$A,'Faltantes Fevereiro- Metalfisa'!X$3,METALFISA!$B:$B,'Faltantes Fevereiro- Metalfisa'!$A244)</f>
        <v>0</v>
      </c>
      <c r="Y244" s="31">
        <f>SUMIFS(METALFISA!$E:$E,METALFISA!$A:$A,'Faltantes Fevereiro- Metalfisa'!Y$3,METALFISA!$B:$B,'Faltantes Fevereiro- Metalfisa'!$A244)</f>
        <v>0</v>
      </c>
      <c r="Z244" s="31">
        <f>SUMIFS(METALFISA!$E:$E,METALFISA!$A:$A,'Faltantes Fevereiro- Metalfisa'!Z$3,METALFISA!$B:$B,'Faltantes Fevereiro- Metalfisa'!$A244)</f>
        <v>0</v>
      </c>
      <c r="AA244" s="31">
        <f>SUMIFS(METALFISA!$E:$E,METALFISA!$A:$A,'Faltantes Fevereiro- Metalfisa'!AA$3,METALFISA!$B:$B,'Faltantes Fevereiro- Metalfisa'!$A244)</f>
        <v>0</v>
      </c>
      <c r="AB244" s="31">
        <f>SUMIFS(METALFISA!$E:$E,METALFISA!$A:$A,'Faltantes Fevereiro- Metalfisa'!AB$3,METALFISA!$B:$B,'Faltantes Fevereiro- Metalfisa'!$A244)</f>
        <v>0</v>
      </c>
      <c r="AC244" s="31">
        <f>SUMIFS(METALFISA!$E:$E,METALFISA!$A:$A,'Faltantes Fevereiro- Metalfisa'!AC$3,METALFISA!$B:$B,'Faltantes Fevereiro- Metalfisa'!$A244)</f>
        <v>0</v>
      </c>
      <c r="AD244" s="31">
        <f>SUMIFS(METALFISA!$E:$E,METALFISA!$A:$A,'Faltantes Fevereiro- Metalfisa'!AD$3,METALFISA!$B:$B,'Faltantes Fevereiro- Metalfisa'!$A244)</f>
        <v>0</v>
      </c>
      <c r="AE244" s="31">
        <f>SUMIFS(METALFISA!$E:$E,METALFISA!$A:$A,'Faltantes Fevereiro- Metalfisa'!AE$3,METALFISA!$B:$B,'Faltantes Fevereiro- Metalfisa'!$A244)</f>
        <v>2</v>
      </c>
      <c r="AF244" s="31">
        <f>SUMIFS(METALFISA!$E:$E,METALFISA!$A:$A,'Faltantes Fevereiro- Metalfisa'!AF$3,METALFISA!$B:$B,'Faltantes Fevereiro- Metalfisa'!$A244)</f>
        <v>0</v>
      </c>
      <c r="AG244" s="31">
        <f>SUMIFS(METALFISA!$E:$E,METALFISA!$A:$A,'Faltantes Fevereiro- Metalfisa'!AG$3,METALFISA!$B:$B,'Faltantes Fevereiro- Metalfisa'!$A244)</f>
        <v>0</v>
      </c>
      <c r="AH244" s="31">
        <f>SUMIFS(METALFISA!$E:$E,METALFISA!$A:$A,'Faltantes Fevereiro- Metalfisa'!AH$3,METALFISA!$B:$B,'Faltantes Fevereiro- Metalfisa'!$A244)</f>
        <v>0</v>
      </c>
      <c r="AI244" s="31">
        <f>SUMIFS(METALFISA!$E:$E,METALFISA!$A:$A,'Faltantes Fevereiro- Metalfisa'!AI$3,METALFISA!$B:$B,'Faltantes Fevereiro- Metalfisa'!$A244)</f>
        <v>0</v>
      </c>
      <c r="AJ244" s="31">
        <f>SUMIFS(METALFISA!$E:$E,METALFISA!$A:$A,'Faltantes Fevereiro- Metalfisa'!AJ$3,METALFISA!$B:$B,'Faltantes Fevereiro- Metalfisa'!$A244)</f>
        <v>0</v>
      </c>
      <c r="AK244" s="31">
        <f>SUMIFS(METALFISA!$E:$E,METALFISA!$A:$A,'Faltantes Fevereiro- Metalfisa'!AK$3,METALFISA!$B:$B,'Faltantes Fevereiro- Metalfisa'!$A244)</f>
        <v>0</v>
      </c>
      <c r="AL244" s="31">
        <f>SUMIFS(METALFISA!$E:$E,METALFISA!$A:$A,'Faltantes Fevereiro- Metalfisa'!AL$3,METALFISA!$B:$B,'Faltantes Fevereiro- Metalfisa'!$A244)</f>
        <v>0</v>
      </c>
      <c r="AM244" s="31">
        <f>SUMIFS(METALFISA!$E:$E,METALFISA!$A:$A,'Faltantes Fevereiro- Metalfisa'!AM$3,METALFISA!$B:$B,'Faltantes Fevereiro- Metalfisa'!$A244)</f>
        <v>0</v>
      </c>
      <c r="AN244" s="31">
        <f>SUMIFS(METALFISA!$E:$E,METALFISA!$A:$A,'Faltantes Fevereiro- Metalfisa'!AN$3,METALFISA!$B:$B,'Faltantes Fevereiro- Metalfisa'!$A244)</f>
        <v>0</v>
      </c>
      <c r="AO244" s="31">
        <f>SUMIFS(METALFISA!$E:$E,METALFISA!$A:$A,'Faltantes Fevereiro- Metalfisa'!AO$3,METALFISA!$B:$B,'Faltantes Fevereiro- Metalfisa'!$A244)</f>
        <v>0</v>
      </c>
      <c r="AP244" s="31">
        <f>SUMIFS(METALFISA!$E:$E,METALFISA!$A:$A,'Faltantes Fevereiro- Metalfisa'!AP$3,METALFISA!$B:$B,'Faltantes Fevereiro- Metalfisa'!$A244)</f>
        <v>0</v>
      </c>
      <c r="AQ244" s="31"/>
      <c r="AR244" s="31">
        <f>SUMIFS(METALFISA!$E:$E,METALFISA!$A:$A,'Faltantes Fevereiro- Metalfisa'!AR$3,METALFISA!$B:$B,'Faltantes Fevereiro- Metalfisa'!$A244)</f>
        <v>0</v>
      </c>
      <c r="AS244" s="35">
        <f>SUMIFS(METALFISA!$E:$E,METALFISA!$A:$A,'Faltantes Fevereiro- Metalfisa'!AS$3,METALFISA!$B:$B,'Faltantes Fevereiro- Metalfisa'!$A244)</f>
        <v>0</v>
      </c>
      <c r="AU244" s="18">
        <v>0</v>
      </c>
      <c r="AV244" s="18">
        <v>0</v>
      </c>
      <c r="AW244" s="18">
        <v>0</v>
      </c>
      <c r="AX244" s="18">
        <v>0</v>
      </c>
      <c r="AY244" s="41">
        <v>0</v>
      </c>
      <c r="AZ244" s="31">
        <v>0</v>
      </c>
      <c r="BA244" s="31">
        <v>0</v>
      </c>
      <c r="BB244" s="31">
        <v>0</v>
      </c>
      <c r="BC244" s="31">
        <v>0</v>
      </c>
      <c r="BD244" s="31">
        <v>0</v>
      </c>
      <c r="BE244" s="31">
        <v>0</v>
      </c>
      <c r="BF244" s="31">
        <v>0</v>
      </c>
      <c r="BG244" s="31">
        <v>0</v>
      </c>
      <c r="BH244" s="31">
        <v>0</v>
      </c>
      <c r="BI244" s="31">
        <v>0</v>
      </c>
      <c r="BJ244" s="31">
        <v>0</v>
      </c>
      <c r="BK244" s="31">
        <v>0</v>
      </c>
      <c r="BL244" s="31">
        <v>0</v>
      </c>
      <c r="BM244" s="31">
        <v>0</v>
      </c>
      <c r="BN244" s="31">
        <v>0</v>
      </c>
      <c r="BO244" s="31">
        <v>1</v>
      </c>
      <c r="BP244" s="31">
        <v>0</v>
      </c>
      <c r="BQ244" s="31">
        <v>0</v>
      </c>
      <c r="BR244" s="31">
        <v>0</v>
      </c>
      <c r="BS244" s="31">
        <v>0</v>
      </c>
      <c r="BT244" s="31">
        <v>0</v>
      </c>
      <c r="BU244" s="31">
        <v>0</v>
      </c>
      <c r="BV244" s="31">
        <v>0</v>
      </c>
      <c r="BW244" s="31">
        <v>0</v>
      </c>
      <c r="BX244" s="31">
        <v>0</v>
      </c>
      <c r="BY244" s="31">
        <v>0</v>
      </c>
      <c r="BZ244" s="31">
        <v>0</v>
      </c>
      <c r="CA244" s="31">
        <v>0</v>
      </c>
      <c r="CB244" s="31">
        <v>0</v>
      </c>
      <c r="CC244" s="31">
        <v>0</v>
      </c>
      <c r="CD244" s="31">
        <v>0</v>
      </c>
      <c r="CE244" s="31">
        <v>0</v>
      </c>
      <c r="CF244" s="31">
        <v>0</v>
      </c>
      <c r="CG244" s="31">
        <v>0</v>
      </c>
      <c r="CH244" s="31">
        <v>0</v>
      </c>
      <c r="CI244" s="31">
        <v>0</v>
      </c>
      <c r="CJ244" s="31">
        <v>0</v>
      </c>
      <c r="CK244" s="31">
        <v>0</v>
      </c>
      <c r="CL244" s="35">
        <v>0</v>
      </c>
    </row>
    <row r="245" spans="1:90" x14ac:dyDescent="0.15">
      <c r="A245" s="27" t="s">
        <v>1223</v>
      </c>
      <c r="B245" s="28" t="s">
        <v>1224</v>
      </c>
      <c r="C245" s="28">
        <v>6</v>
      </c>
      <c r="D245" s="28">
        <v>0</v>
      </c>
      <c r="E245" s="28">
        <v>0</v>
      </c>
      <c r="F245" s="28">
        <v>0</v>
      </c>
      <c r="G245" s="28">
        <v>80</v>
      </c>
      <c r="H245" s="28">
        <f>IFERROR(VLOOKUP(A245,[1]FALTANTES!$A:$AB,28,FALSE),"-")</f>
        <v>6</v>
      </c>
      <c r="I245" s="42">
        <f>IFERROR(VLOOKUP(A245,[1]FALTANTES!$A:$AC,29,FALSE),"-")</f>
        <v>0</v>
      </c>
      <c r="J245" s="29">
        <f>IFERROR(VLOOKUP(A245,[1]FALTANTES!$A:$AD,30,FALSE),"-")</f>
        <v>-86</v>
      </c>
      <c r="K245" s="30">
        <v>0</v>
      </c>
      <c r="L245" s="30">
        <f t="shared" si="4"/>
        <v>8</v>
      </c>
      <c r="M245" s="31">
        <f>SUMIFS(METALFISA!$E:$E,METALFISA!$A:$A,'Faltantes Fevereiro- Metalfisa'!M$3,METALFISA!$B:$B,'Faltantes Fevereiro- Metalfisa'!$A245)</f>
        <v>0</v>
      </c>
      <c r="N245" s="31">
        <f>SUMIFS(METALFISA!$E:$E,METALFISA!$A:$A,'Faltantes Fevereiro- Metalfisa'!N$3,METALFISA!$B:$B,'Faltantes Fevereiro- Metalfisa'!$A245)</f>
        <v>0</v>
      </c>
      <c r="O245" s="31">
        <f>SUMIFS(METALFISA!$E:$E,METALFISA!$A:$A,'Faltantes Fevereiro- Metalfisa'!O$3,METALFISA!$B:$B,'Faltantes Fevereiro- Metalfisa'!$A245)</f>
        <v>0</v>
      </c>
      <c r="P245" s="31">
        <f>SUMIFS(METALFISA!$E:$E,METALFISA!$A:$A,'Faltantes Fevereiro- Metalfisa'!P$3,METALFISA!$B:$B,'Faltantes Fevereiro- Metalfisa'!$A245)</f>
        <v>0</v>
      </c>
      <c r="Q245" s="31">
        <f>SUMIFS(METALFISA!$E:$E,METALFISA!$A:$A,'Faltantes Fevereiro- Metalfisa'!Q$3,METALFISA!$B:$B,'Faltantes Fevereiro- Metalfisa'!$A245)</f>
        <v>0</v>
      </c>
      <c r="R245" s="31">
        <f>SUMIFS(METALFISA!$E:$E,METALFISA!$A:$A,'Faltantes Fevereiro- Metalfisa'!R$3,METALFISA!$B:$B,'Faltantes Fevereiro- Metalfisa'!$A245)</f>
        <v>0</v>
      </c>
      <c r="S245" s="31">
        <f>SUMIFS(METALFISA!$E:$E,METALFISA!$A:$A,'Faltantes Fevereiro- Metalfisa'!S$3,METALFISA!$B:$B,'Faltantes Fevereiro- Metalfisa'!$A245)</f>
        <v>0</v>
      </c>
      <c r="T245" s="31">
        <f>SUMIFS(METALFISA!$E:$E,METALFISA!$A:$A,'Faltantes Fevereiro- Metalfisa'!T$3,METALFISA!$B:$B,'Faltantes Fevereiro- Metalfisa'!$A245)</f>
        <v>0</v>
      </c>
      <c r="U245" s="31">
        <f>SUMIFS(METALFISA!$E:$E,METALFISA!$A:$A,'Faltantes Fevereiro- Metalfisa'!U$3,METALFISA!$B:$B,'Faltantes Fevereiro- Metalfisa'!$A245)</f>
        <v>0</v>
      </c>
      <c r="V245" s="31">
        <f>SUMIFS(METALFISA!$E:$E,METALFISA!$A:$A,'Faltantes Fevereiro- Metalfisa'!V$3,METALFISA!$B:$B,'Faltantes Fevereiro- Metalfisa'!$A245)</f>
        <v>0</v>
      </c>
      <c r="W245" s="31">
        <f>SUMIFS(METALFISA!$E:$E,METALFISA!$A:$A,'Faltantes Fevereiro- Metalfisa'!W$3,METALFISA!$B:$B,'Faltantes Fevereiro- Metalfisa'!$A245)</f>
        <v>0</v>
      </c>
      <c r="X245" s="31">
        <f>SUMIFS(METALFISA!$E:$E,METALFISA!$A:$A,'Faltantes Fevereiro- Metalfisa'!X$3,METALFISA!$B:$B,'Faltantes Fevereiro- Metalfisa'!$A245)</f>
        <v>0</v>
      </c>
      <c r="Y245" s="31">
        <f>SUMIFS(METALFISA!$E:$E,METALFISA!$A:$A,'Faltantes Fevereiro- Metalfisa'!Y$3,METALFISA!$B:$B,'Faltantes Fevereiro- Metalfisa'!$A245)</f>
        <v>0</v>
      </c>
      <c r="Z245" s="31">
        <f>SUMIFS(METALFISA!$E:$E,METALFISA!$A:$A,'Faltantes Fevereiro- Metalfisa'!Z$3,METALFISA!$B:$B,'Faltantes Fevereiro- Metalfisa'!$A245)</f>
        <v>0</v>
      </c>
      <c r="AA245" s="31">
        <f>SUMIFS(METALFISA!$E:$E,METALFISA!$A:$A,'Faltantes Fevereiro- Metalfisa'!AA$3,METALFISA!$B:$B,'Faltantes Fevereiro- Metalfisa'!$A245)</f>
        <v>0</v>
      </c>
      <c r="AB245" s="31">
        <f>SUMIFS(METALFISA!$E:$E,METALFISA!$A:$A,'Faltantes Fevereiro- Metalfisa'!AB$3,METALFISA!$B:$B,'Faltantes Fevereiro- Metalfisa'!$A245)</f>
        <v>0</v>
      </c>
      <c r="AC245" s="31">
        <f>SUMIFS(METALFISA!$E:$E,METALFISA!$A:$A,'Faltantes Fevereiro- Metalfisa'!AC$3,METALFISA!$B:$B,'Faltantes Fevereiro- Metalfisa'!$A245)</f>
        <v>0</v>
      </c>
      <c r="AD245" s="31">
        <f>SUMIFS(METALFISA!$E:$E,METALFISA!$A:$A,'Faltantes Fevereiro- Metalfisa'!AD$3,METALFISA!$B:$B,'Faltantes Fevereiro- Metalfisa'!$A245)</f>
        <v>0</v>
      </c>
      <c r="AE245" s="31">
        <f>SUMIFS(METALFISA!$E:$E,METALFISA!$A:$A,'Faltantes Fevereiro- Metalfisa'!AE$3,METALFISA!$B:$B,'Faltantes Fevereiro- Metalfisa'!$A245)</f>
        <v>8</v>
      </c>
      <c r="AF245" s="31">
        <f>SUMIFS(METALFISA!$E:$E,METALFISA!$A:$A,'Faltantes Fevereiro- Metalfisa'!AF$3,METALFISA!$B:$B,'Faltantes Fevereiro- Metalfisa'!$A245)</f>
        <v>0</v>
      </c>
      <c r="AG245" s="31">
        <f>SUMIFS(METALFISA!$E:$E,METALFISA!$A:$A,'Faltantes Fevereiro- Metalfisa'!AG$3,METALFISA!$B:$B,'Faltantes Fevereiro- Metalfisa'!$A245)</f>
        <v>0</v>
      </c>
      <c r="AH245" s="31">
        <f>SUMIFS(METALFISA!$E:$E,METALFISA!$A:$A,'Faltantes Fevereiro- Metalfisa'!AH$3,METALFISA!$B:$B,'Faltantes Fevereiro- Metalfisa'!$A245)</f>
        <v>0</v>
      </c>
      <c r="AI245" s="31">
        <f>SUMIFS(METALFISA!$E:$E,METALFISA!$A:$A,'Faltantes Fevereiro- Metalfisa'!AI$3,METALFISA!$B:$B,'Faltantes Fevereiro- Metalfisa'!$A245)</f>
        <v>0</v>
      </c>
      <c r="AJ245" s="31">
        <f>SUMIFS(METALFISA!$E:$E,METALFISA!$A:$A,'Faltantes Fevereiro- Metalfisa'!AJ$3,METALFISA!$B:$B,'Faltantes Fevereiro- Metalfisa'!$A245)</f>
        <v>0</v>
      </c>
      <c r="AK245" s="31">
        <f>SUMIFS(METALFISA!$E:$E,METALFISA!$A:$A,'Faltantes Fevereiro- Metalfisa'!AK$3,METALFISA!$B:$B,'Faltantes Fevereiro- Metalfisa'!$A245)</f>
        <v>0</v>
      </c>
      <c r="AL245" s="31">
        <f>SUMIFS(METALFISA!$E:$E,METALFISA!$A:$A,'Faltantes Fevereiro- Metalfisa'!AL$3,METALFISA!$B:$B,'Faltantes Fevereiro- Metalfisa'!$A245)</f>
        <v>0</v>
      </c>
      <c r="AM245" s="31">
        <f>SUMIFS(METALFISA!$E:$E,METALFISA!$A:$A,'Faltantes Fevereiro- Metalfisa'!AM$3,METALFISA!$B:$B,'Faltantes Fevereiro- Metalfisa'!$A245)</f>
        <v>0</v>
      </c>
      <c r="AN245" s="31">
        <f>SUMIFS(METALFISA!$E:$E,METALFISA!$A:$A,'Faltantes Fevereiro- Metalfisa'!AN$3,METALFISA!$B:$B,'Faltantes Fevereiro- Metalfisa'!$A245)</f>
        <v>0</v>
      </c>
      <c r="AO245" s="31">
        <f>SUMIFS(METALFISA!$E:$E,METALFISA!$A:$A,'Faltantes Fevereiro- Metalfisa'!AO$3,METALFISA!$B:$B,'Faltantes Fevereiro- Metalfisa'!$A245)</f>
        <v>0</v>
      </c>
      <c r="AP245" s="31">
        <f>SUMIFS(METALFISA!$E:$E,METALFISA!$A:$A,'Faltantes Fevereiro- Metalfisa'!AP$3,METALFISA!$B:$B,'Faltantes Fevereiro- Metalfisa'!$A245)</f>
        <v>0</v>
      </c>
      <c r="AQ245" s="31"/>
      <c r="AR245" s="31">
        <f>SUMIFS(METALFISA!$E:$E,METALFISA!$A:$A,'Faltantes Fevereiro- Metalfisa'!AR$3,METALFISA!$B:$B,'Faltantes Fevereiro- Metalfisa'!$A245)</f>
        <v>0</v>
      </c>
      <c r="AS245" s="35">
        <f>SUMIFS(METALFISA!$E:$E,METALFISA!$A:$A,'Faltantes Fevereiro- Metalfisa'!AS$3,METALFISA!$B:$B,'Faltantes Fevereiro- Metalfisa'!$A245)</f>
        <v>0</v>
      </c>
      <c r="AU245" s="18">
        <v>0</v>
      </c>
      <c r="AV245" s="18">
        <v>0</v>
      </c>
      <c r="AW245" s="18">
        <v>0</v>
      </c>
      <c r="AX245" s="18">
        <v>0</v>
      </c>
      <c r="AY245" s="41">
        <v>0</v>
      </c>
      <c r="AZ245" s="31">
        <v>0</v>
      </c>
      <c r="BA245" s="31">
        <v>0</v>
      </c>
      <c r="BB245" s="31">
        <v>0</v>
      </c>
      <c r="BC245" s="31">
        <v>0</v>
      </c>
      <c r="BD245" s="31">
        <v>0</v>
      </c>
      <c r="BE245" s="31">
        <v>0</v>
      </c>
      <c r="BF245" s="31">
        <v>0</v>
      </c>
      <c r="BG245" s="31">
        <v>0</v>
      </c>
      <c r="BH245" s="31">
        <v>0</v>
      </c>
      <c r="BI245" s="31">
        <v>0</v>
      </c>
      <c r="BJ245" s="31">
        <v>0</v>
      </c>
      <c r="BK245" s="31">
        <v>0</v>
      </c>
      <c r="BL245" s="31">
        <v>0</v>
      </c>
      <c r="BM245" s="31">
        <v>0</v>
      </c>
      <c r="BN245" s="31">
        <v>8</v>
      </c>
      <c r="BO245" s="31">
        <v>8</v>
      </c>
      <c r="BP245" s="31">
        <v>0</v>
      </c>
      <c r="BQ245" s="31">
        <v>0</v>
      </c>
      <c r="BR245" s="31">
        <v>0</v>
      </c>
      <c r="BS245" s="31">
        <v>0</v>
      </c>
      <c r="BT245" s="31">
        <v>0</v>
      </c>
      <c r="BU245" s="31">
        <v>0</v>
      </c>
      <c r="BV245" s="31">
        <v>0</v>
      </c>
      <c r="BW245" s="31">
        <v>0</v>
      </c>
      <c r="BX245" s="31">
        <v>0</v>
      </c>
      <c r="BY245" s="31">
        <v>0</v>
      </c>
      <c r="BZ245" s="31">
        <v>0</v>
      </c>
      <c r="CA245" s="31">
        <v>0</v>
      </c>
      <c r="CB245" s="31">
        <v>0</v>
      </c>
      <c r="CC245" s="31">
        <v>0</v>
      </c>
      <c r="CD245" s="31">
        <v>0</v>
      </c>
      <c r="CE245" s="31">
        <v>0</v>
      </c>
      <c r="CF245" s="31">
        <v>0</v>
      </c>
      <c r="CG245" s="31">
        <v>0</v>
      </c>
      <c r="CH245" s="31">
        <v>0</v>
      </c>
      <c r="CI245" s="31">
        <v>0</v>
      </c>
      <c r="CJ245" s="31">
        <v>0</v>
      </c>
      <c r="CK245" s="31">
        <v>0</v>
      </c>
      <c r="CL245" s="35">
        <v>0</v>
      </c>
    </row>
    <row r="246" spans="1:90" x14ac:dyDescent="0.15">
      <c r="A246" s="27" t="s">
        <v>1225</v>
      </c>
      <c r="B246" s="28" t="s">
        <v>1226</v>
      </c>
      <c r="C246" s="28">
        <v>0</v>
      </c>
      <c r="D246" s="28">
        <v>0</v>
      </c>
      <c r="E246" s="28">
        <v>0</v>
      </c>
      <c r="F246" s="28">
        <v>0</v>
      </c>
      <c r="G246" s="28">
        <v>38</v>
      </c>
      <c r="H246" s="28">
        <f>IFERROR(VLOOKUP(A246,[1]FALTANTES!$A:$AB,28,FALSE),"-")</f>
        <v>0</v>
      </c>
      <c r="I246" s="42">
        <f>IFERROR(VLOOKUP(A246,[1]FALTANTES!$A:$AC,29,FALSE),"-")</f>
        <v>32</v>
      </c>
      <c r="J246" s="29">
        <f>IFERROR(VLOOKUP(A246,[1]FALTANTES!$A:$AD,30,FALSE),"-")</f>
        <v>-6</v>
      </c>
      <c r="K246" s="30">
        <v>0</v>
      </c>
      <c r="L246" s="30">
        <f t="shared" si="4"/>
        <v>8</v>
      </c>
      <c r="M246" s="31">
        <f>SUMIFS(METALFISA!$E:$E,METALFISA!$A:$A,'Faltantes Fevereiro- Metalfisa'!M$3,METALFISA!$B:$B,'Faltantes Fevereiro- Metalfisa'!$A246)</f>
        <v>0</v>
      </c>
      <c r="N246" s="31">
        <f>SUMIFS(METALFISA!$E:$E,METALFISA!$A:$A,'Faltantes Fevereiro- Metalfisa'!N$3,METALFISA!$B:$B,'Faltantes Fevereiro- Metalfisa'!$A246)</f>
        <v>0</v>
      </c>
      <c r="O246" s="31">
        <f>SUMIFS(METALFISA!$E:$E,METALFISA!$A:$A,'Faltantes Fevereiro- Metalfisa'!O$3,METALFISA!$B:$B,'Faltantes Fevereiro- Metalfisa'!$A246)</f>
        <v>0</v>
      </c>
      <c r="P246" s="31">
        <f>SUMIFS(METALFISA!$E:$E,METALFISA!$A:$A,'Faltantes Fevereiro- Metalfisa'!P$3,METALFISA!$B:$B,'Faltantes Fevereiro- Metalfisa'!$A246)</f>
        <v>0</v>
      </c>
      <c r="Q246" s="31">
        <f>SUMIFS(METALFISA!$E:$E,METALFISA!$A:$A,'Faltantes Fevereiro- Metalfisa'!Q$3,METALFISA!$B:$B,'Faltantes Fevereiro- Metalfisa'!$A246)</f>
        <v>0</v>
      </c>
      <c r="R246" s="31">
        <f>SUMIFS(METALFISA!$E:$E,METALFISA!$A:$A,'Faltantes Fevereiro- Metalfisa'!R$3,METALFISA!$B:$B,'Faltantes Fevereiro- Metalfisa'!$A246)</f>
        <v>0</v>
      </c>
      <c r="S246" s="31">
        <f>SUMIFS(METALFISA!$E:$E,METALFISA!$A:$A,'Faltantes Fevereiro- Metalfisa'!S$3,METALFISA!$B:$B,'Faltantes Fevereiro- Metalfisa'!$A246)</f>
        <v>0</v>
      </c>
      <c r="T246" s="31">
        <f>SUMIFS(METALFISA!$E:$E,METALFISA!$A:$A,'Faltantes Fevereiro- Metalfisa'!T$3,METALFISA!$B:$B,'Faltantes Fevereiro- Metalfisa'!$A246)</f>
        <v>0</v>
      </c>
      <c r="U246" s="31">
        <f>SUMIFS(METALFISA!$E:$E,METALFISA!$A:$A,'Faltantes Fevereiro- Metalfisa'!U$3,METALFISA!$B:$B,'Faltantes Fevereiro- Metalfisa'!$A246)</f>
        <v>0</v>
      </c>
      <c r="V246" s="31">
        <f>SUMIFS(METALFISA!$E:$E,METALFISA!$A:$A,'Faltantes Fevereiro- Metalfisa'!V$3,METALFISA!$B:$B,'Faltantes Fevereiro- Metalfisa'!$A246)</f>
        <v>0</v>
      </c>
      <c r="W246" s="31">
        <f>SUMIFS(METALFISA!$E:$E,METALFISA!$A:$A,'Faltantes Fevereiro- Metalfisa'!W$3,METALFISA!$B:$B,'Faltantes Fevereiro- Metalfisa'!$A246)</f>
        <v>0</v>
      </c>
      <c r="X246" s="31">
        <f>SUMIFS(METALFISA!$E:$E,METALFISA!$A:$A,'Faltantes Fevereiro- Metalfisa'!X$3,METALFISA!$B:$B,'Faltantes Fevereiro- Metalfisa'!$A246)</f>
        <v>0</v>
      </c>
      <c r="Y246" s="31">
        <f>SUMIFS(METALFISA!$E:$E,METALFISA!$A:$A,'Faltantes Fevereiro- Metalfisa'!Y$3,METALFISA!$B:$B,'Faltantes Fevereiro- Metalfisa'!$A246)</f>
        <v>0</v>
      </c>
      <c r="Z246" s="31">
        <f>SUMIFS(METALFISA!$E:$E,METALFISA!$A:$A,'Faltantes Fevereiro- Metalfisa'!Z$3,METALFISA!$B:$B,'Faltantes Fevereiro- Metalfisa'!$A246)</f>
        <v>0</v>
      </c>
      <c r="AA246" s="31">
        <f>SUMIFS(METALFISA!$E:$E,METALFISA!$A:$A,'Faltantes Fevereiro- Metalfisa'!AA$3,METALFISA!$B:$B,'Faltantes Fevereiro- Metalfisa'!$A246)</f>
        <v>0</v>
      </c>
      <c r="AB246" s="31">
        <f>SUMIFS(METALFISA!$E:$E,METALFISA!$A:$A,'Faltantes Fevereiro- Metalfisa'!AB$3,METALFISA!$B:$B,'Faltantes Fevereiro- Metalfisa'!$A246)</f>
        <v>0</v>
      </c>
      <c r="AC246" s="31">
        <f>SUMIFS(METALFISA!$E:$E,METALFISA!$A:$A,'Faltantes Fevereiro- Metalfisa'!AC$3,METALFISA!$B:$B,'Faltantes Fevereiro- Metalfisa'!$A246)</f>
        <v>0</v>
      </c>
      <c r="AD246" s="31">
        <f>SUMIFS(METALFISA!$E:$E,METALFISA!$A:$A,'Faltantes Fevereiro- Metalfisa'!AD$3,METALFISA!$B:$B,'Faltantes Fevereiro- Metalfisa'!$A246)</f>
        <v>0</v>
      </c>
      <c r="AE246" s="31">
        <f>SUMIFS(METALFISA!$E:$E,METALFISA!$A:$A,'Faltantes Fevereiro- Metalfisa'!AE$3,METALFISA!$B:$B,'Faltantes Fevereiro- Metalfisa'!$A246)</f>
        <v>8</v>
      </c>
      <c r="AF246" s="31">
        <f>SUMIFS(METALFISA!$E:$E,METALFISA!$A:$A,'Faltantes Fevereiro- Metalfisa'!AF$3,METALFISA!$B:$B,'Faltantes Fevereiro- Metalfisa'!$A246)</f>
        <v>0</v>
      </c>
      <c r="AG246" s="31">
        <f>SUMIFS(METALFISA!$E:$E,METALFISA!$A:$A,'Faltantes Fevereiro- Metalfisa'!AG$3,METALFISA!$B:$B,'Faltantes Fevereiro- Metalfisa'!$A246)</f>
        <v>0</v>
      </c>
      <c r="AH246" s="31">
        <f>SUMIFS(METALFISA!$E:$E,METALFISA!$A:$A,'Faltantes Fevereiro- Metalfisa'!AH$3,METALFISA!$B:$B,'Faltantes Fevereiro- Metalfisa'!$A246)</f>
        <v>0</v>
      </c>
      <c r="AI246" s="31">
        <f>SUMIFS(METALFISA!$E:$E,METALFISA!$A:$A,'Faltantes Fevereiro- Metalfisa'!AI$3,METALFISA!$B:$B,'Faltantes Fevereiro- Metalfisa'!$A246)</f>
        <v>0</v>
      </c>
      <c r="AJ246" s="31">
        <f>SUMIFS(METALFISA!$E:$E,METALFISA!$A:$A,'Faltantes Fevereiro- Metalfisa'!AJ$3,METALFISA!$B:$B,'Faltantes Fevereiro- Metalfisa'!$A246)</f>
        <v>0</v>
      </c>
      <c r="AK246" s="31">
        <f>SUMIFS(METALFISA!$E:$E,METALFISA!$A:$A,'Faltantes Fevereiro- Metalfisa'!AK$3,METALFISA!$B:$B,'Faltantes Fevereiro- Metalfisa'!$A246)</f>
        <v>0</v>
      </c>
      <c r="AL246" s="31">
        <f>SUMIFS(METALFISA!$E:$E,METALFISA!$A:$A,'Faltantes Fevereiro- Metalfisa'!AL$3,METALFISA!$B:$B,'Faltantes Fevereiro- Metalfisa'!$A246)</f>
        <v>0</v>
      </c>
      <c r="AM246" s="31">
        <f>SUMIFS(METALFISA!$E:$E,METALFISA!$A:$A,'Faltantes Fevereiro- Metalfisa'!AM$3,METALFISA!$B:$B,'Faltantes Fevereiro- Metalfisa'!$A246)</f>
        <v>0</v>
      </c>
      <c r="AN246" s="31">
        <f>SUMIFS(METALFISA!$E:$E,METALFISA!$A:$A,'Faltantes Fevereiro- Metalfisa'!AN$3,METALFISA!$B:$B,'Faltantes Fevereiro- Metalfisa'!$A246)</f>
        <v>0</v>
      </c>
      <c r="AO246" s="31">
        <f>SUMIFS(METALFISA!$E:$E,METALFISA!$A:$A,'Faltantes Fevereiro- Metalfisa'!AO$3,METALFISA!$B:$B,'Faltantes Fevereiro- Metalfisa'!$A246)</f>
        <v>0</v>
      </c>
      <c r="AP246" s="31">
        <f>SUMIFS(METALFISA!$E:$E,METALFISA!$A:$A,'Faltantes Fevereiro- Metalfisa'!AP$3,METALFISA!$B:$B,'Faltantes Fevereiro- Metalfisa'!$A246)</f>
        <v>0</v>
      </c>
      <c r="AQ246" s="31"/>
      <c r="AR246" s="31">
        <f>SUMIFS(METALFISA!$E:$E,METALFISA!$A:$A,'Faltantes Fevereiro- Metalfisa'!AR$3,METALFISA!$B:$B,'Faltantes Fevereiro- Metalfisa'!$A246)</f>
        <v>0</v>
      </c>
      <c r="AS246" s="35">
        <f>SUMIFS(METALFISA!$E:$E,METALFISA!$A:$A,'Faltantes Fevereiro- Metalfisa'!AS$3,METALFISA!$B:$B,'Faltantes Fevereiro- Metalfisa'!$A246)</f>
        <v>0</v>
      </c>
      <c r="AU246" s="18">
        <v>0</v>
      </c>
      <c r="AV246" s="18">
        <v>0</v>
      </c>
      <c r="AW246" s="18">
        <v>0</v>
      </c>
      <c r="AX246" s="18">
        <v>0</v>
      </c>
      <c r="AY246" s="41">
        <v>0</v>
      </c>
      <c r="AZ246" s="31">
        <v>0</v>
      </c>
      <c r="BA246" s="31">
        <v>0</v>
      </c>
      <c r="BB246" s="31">
        <v>0</v>
      </c>
      <c r="BC246" s="31">
        <v>0</v>
      </c>
      <c r="BD246" s="31">
        <v>0</v>
      </c>
      <c r="BE246" s="31">
        <v>0</v>
      </c>
      <c r="BF246" s="31">
        <v>0</v>
      </c>
      <c r="BG246" s="31">
        <v>0</v>
      </c>
      <c r="BH246" s="31">
        <v>0</v>
      </c>
      <c r="BI246" s="31">
        <v>0</v>
      </c>
      <c r="BJ246" s="31">
        <v>0</v>
      </c>
      <c r="BK246" s="31">
        <v>0</v>
      </c>
      <c r="BL246" s="31">
        <v>0</v>
      </c>
      <c r="BM246" s="31">
        <v>0</v>
      </c>
      <c r="BN246" s="31">
        <v>4</v>
      </c>
      <c r="BO246" s="31">
        <v>4</v>
      </c>
      <c r="BP246" s="31">
        <v>0</v>
      </c>
      <c r="BQ246" s="31">
        <v>0</v>
      </c>
      <c r="BR246" s="31">
        <v>0</v>
      </c>
      <c r="BS246" s="31">
        <v>0</v>
      </c>
      <c r="BT246" s="31">
        <v>0</v>
      </c>
      <c r="BU246" s="31">
        <v>0</v>
      </c>
      <c r="BV246" s="31">
        <v>0</v>
      </c>
      <c r="BW246" s="31">
        <v>0</v>
      </c>
      <c r="BX246" s="31">
        <v>0</v>
      </c>
      <c r="BY246" s="31">
        <v>0</v>
      </c>
      <c r="BZ246" s="31">
        <v>0</v>
      </c>
      <c r="CA246" s="31">
        <v>0</v>
      </c>
      <c r="CB246" s="31">
        <v>0</v>
      </c>
      <c r="CC246" s="31">
        <v>0</v>
      </c>
      <c r="CD246" s="31">
        <v>0</v>
      </c>
      <c r="CE246" s="31">
        <v>0</v>
      </c>
      <c r="CF246" s="31">
        <v>0</v>
      </c>
      <c r="CG246" s="31">
        <v>0</v>
      </c>
      <c r="CH246" s="31">
        <v>0</v>
      </c>
      <c r="CI246" s="31">
        <v>0</v>
      </c>
      <c r="CJ246" s="31">
        <v>0</v>
      </c>
      <c r="CK246" s="31">
        <v>0</v>
      </c>
      <c r="CL246" s="35">
        <v>0</v>
      </c>
    </row>
    <row r="247" spans="1:90" ht="21" x14ac:dyDescent="0.15">
      <c r="A247" s="27" t="s">
        <v>1233</v>
      </c>
      <c r="B247" s="28" t="s">
        <v>1234</v>
      </c>
      <c r="C247" s="28">
        <v>3</v>
      </c>
      <c r="D247" s="28">
        <v>0</v>
      </c>
      <c r="E247" s="28">
        <v>0</v>
      </c>
      <c r="F247" s="28">
        <v>0</v>
      </c>
      <c r="G247" s="28">
        <v>9</v>
      </c>
      <c r="H247" s="28">
        <f>IFERROR(VLOOKUP(A247,[1]FALTANTES!$A:$AB,28,FALSE),"-")</f>
        <v>0</v>
      </c>
      <c r="I247" s="42">
        <f>IFERROR(VLOOKUP(A247,[1]FALTANTES!$A:$AC,29,FALSE),"-")</f>
        <v>4</v>
      </c>
      <c r="J247" s="29">
        <f>IFERROR(VLOOKUP(A247,[1]FALTANTES!$A:$AD,30,FALSE),"-")</f>
        <v>-8</v>
      </c>
      <c r="K247" s="30">
        <v>0</v>
      </c>
      <c r="L247" s="30">
        <f t="shared" si="4"/>
        <v>2</v>
      </c>
      <c r="M247" s="31">
        <f>SUMIFS(METALFISA!$E:$E,METALFISA!$A:$A,'Faltantes Fevereiro- Metalfisa'!M$3,METALFISA!$B:$B,'Faltantes Fevereiro- Metalfisa'!$A247)</f>
        <v>0</v>
      </c>
      <c r="N247" s="31">
        <f>SUMIFS(METALFISA!$E:$E,METALFISA!$A:$A,'Faltantes Fevereiro- Metalfisa'!N$3,METALFISA!$B:$B,'Faltantes Fevereiro- Metalfisa'!$A247)</f>
        <v>0</v>
      </c>
      <c r="O247" s="31">
        <f>SUMIFS(METALFISA!$E:$E,METALFISA!$A:$A,'Faltantes Fevereiro- Metalfisa'!O$3,METALFISA!$B:$B,'Faltantes Fevereiro- Metalfisa'!$A247)</f>
        <v>0</v>
      </c>
      <c r="P247" s="31">
        <f>SUMIFS(METALFISA!$E:$E,METALFISA!$A:$A,'Faltantes Fevereiro- Metalfisa'!P$3,METALFISA!$B:$B,'Faltantes Fevereiro- Metalfisa'!$A247)</f>
        <v>0</v>
      </c>
      <c r="Q247" s="31">
        <f>SUMIFS(METALFISA!$E:$E,METALFISA!$A:$A,'Faltantes Fevereiro- Metalfisa'!Q$3,METALFISA!$B:$B,'Faltantes Fevereiro- Metalfisa'!$A247)</f>
        <v>0</v>
      </c>
      <c r="R247" s="31">
        <f>SUMIFS(METALFISA!$E:$E,METALFISA!$A:$A,'Faltantes Fevereiro- Metalfisa'!R$3,METALFISA!$B:$B,'Faltantes Fevereiro- Metalfisa'!$A247)</f>
        <v>0</v>
      </c>
      <c r="S247" s="31">
        <f>SUMIFS(METALFISA!$E:$E,METALFISA!$A:$A,'Faltantes Fevereiro- Metalfisa'!S$3,METALFISA!$B:$B,'Faltantes Fevereiro- Metalfisa'!$A247)</f>
        <v>0</v>
      </c>
      <c r="T247" s="31">
        <f>SUMIFS(METALFISA!$E:$E,METALFISA!$A:$A,'Faltantes Fevereiro- Metalfisa'!T$3,METALFISA!$B:$B,'Faltantes Fevereiro- Metalfisa'!$A247)</f>
        <v>0</v>
      </c>
      <c r="U247" s="31">
        <f>SUMIFS(METALFISA!$E:$E,METALFISA!$A:$A,'Faltantes Fevereiro- Metalfisa'!U$3,METALFISA!$B:$B,'Faltantes Fevereiro- Metalfisa'!$A247)</f>
        <v>0</v>
      </c>
      <c r="V247" s="31">
        <f>SUMIFS(METALFISA!$E:$E,METALFISA!$A:$A,'Faltantes Fevereiro- Metalfisa'!V$3,METALFISA!$B:$B,'Faltantes Fevereiro- Metalfisa'!$A247)</f>
        <v>0</v>
      </c>
      <c r="W247" s="31">
        <f>SUMIFS(METALFISA!$E:$E,METALFISA!$A:$A,'Faltantes Fevereiro- Metalfisa'!W$3,METALFISA!$B:$B,'Faltantes Fevereiro- Metalfisa'!$A247)</f>
        <v>0</v>
      </c>
      <c r="X247" s="31">
        <f>SUMIFS(METALFISA!$E:$E,METALFISA!$A:$A,'Faltantes Fevereiro- Metalfisa'!X$3,METALFISA!$B:$B,'Faltantes Fevereiro- Metalfisa'!$A247)</f>
        <v>0</v>
      </c>
      <c r="Y247" s="31">
        <f>SUMIFS(METALFISA!$E:$E,METALFISA!$A:$A,'Faltantes Fevereiro- Metalfisa'!Y$3,METALFISA!$B:$B,'Faltantes Fevereiro- Metalfisa'!$A247)</f>
        <v>0</v>
      </c>
      <c r="Z247" s="31">
        <f>SUMIFS(METALFISA!$E:$E,METALFISA!$A:$A,'Faltantes Fevereiro- Metalfisa'!Z$3,METALFISA!$B:$B,'Faltantes Fevereiro- Metalfisa'!$A247)</f>
        <v>0</v>
      </c>
      <c r="AA247" s="31">
        <f>SUMIFS(METALFISA!$E:$E,METALFISA!$A:$A,'Faltantes Fevereiro- Metalfisa'!AA$3,METALFISA!$B:$B,'Faltantes Fevereiro- Metalfisa'!$A247)</f>
        <v>0</v>
      </c>
      <c r="AB247" s="31">
        <f>SUMIFS(METALFISA!$E:$E,METALFISA!$A:$A,'Faltantes Fevereiro- Metalfisa'!AB$3,METALFISA!$B:$B,'Faltantes Fevereiro- Metalfisa'!$A247)</f>
        <v>0</v>
      </c>
      <c r="AC247" s="31">
        <f>SUMIFS(METALFISA!$E:$E,METALFISA!$A:$A,'Faltantes Fevereiro- Metalfisa'!AC$3,METALFISA!$B:$B,'Faltantes Fevereiro- Metalfisa'!$A247)</f>
        <v>0</v>
      </c>
      <c r="AD247" s="31">
        <f>SUMIFS(METALFISA!$E:$E,METALFISA!$A:$A,'Faltantes Fevereiro- Metalfisa'!AD$3,METALFISA!$B:$B,'Faltantes Fevereiro- Metalfisa'!$A247)</f>
        <v>0</v>
      </c>
      <c r="AE247" s="31">
        <f>SUMIFS(METALFISA!$E:$E,METALFISA!$A:$A,'Faltantes Fevereiro- Metalfisa'!AE$3,METALFISA!$B:$B,'Faltantes Fevereiro- Metalfisa'!$A247)</f>
        <v>2</v>
      </c>
      <c r="AF247" s="31">
        <f>SUMIFS(METALFISA!$E:$E,METALFISA!$A:$A,'Faltantes Fevereiro- Metalfisa'!AF$3,METALFISA!$B:$B,'Faltantes Fevereiro- Metalfisa'!$A247)</f>
        <v>0</v>
      </c>
      <c r="AG247" s="31">
        <f>SUMIFS(METALFISA!$E:$E,METALFISA!$A:$A,'Faltantes Fevereiro- Metalfisa'!AG$3,METALFISA!$B:$B,'Faltantes Fevereiro- Metalfisa'!$A247)</f>
        <v>0</v>
      </c>
      <c r="AH247" s="31">
        <f>SUMIFS(METALFISA!$E:$E,METALFISA!$A:$A,'Faltantes Fevereiro- Metalfisa'!AH$3,METALFISA!$B:$B,'Faltantes Fevereiro- Metalfisa'!$A247)</f>
        <v>0</v>
      </c>
      <c r="AI247" s="31">
        <f>SUMIFS(METALFISA!$E:$E,METALFISA!$A:$A,'Faltantes Fevereiro- Metalfisa'!AI$3,METALFISA!$B:$B,'Faltantes Fevereiro- Metalfisa'!$A247)</f>
        <v>0</v>
      </c>
      <c r="AJ247" s="31">
        <f>SUMIFS(METALFISA!$E:$E,METALFISA!$A:$A,'Faltantes Fevereiro- Metalfisa'!AJ$3,METALFISA!$B:$B,'Faltantes Fevereiro- Metalfisa'!$A247)</f>
        <v>0</v>
      </c>
      <c r="AK247" s="31">
        <f>SUMIFS(METALFISA!$E:$E,METALFISA!$A:$A,'Faltantes Fevereiro- Metalfisa'!AK$3,METALFISA!$B:$B,'Faltantes Fevereiro- Metalfisa'!$A247)</f>
        <v>0</v>
      </c>
      <c r="AL247" s="31">
        <f>SUMIFS(METALFISA!$E:$E,METALFISA!$A:$A,'Faltantes Fevereiro- Metalfisa'!AL$3,METALFISA!$B:$B,'Faltantes Fevereiro- Metalfisa'!$A247)</f>
        <v>0</v>
      </c>
      <c r="AM247" s="31">
        <f>SUMIFS(METALFISA!$E:$E,METALFISA!$A:$A,'Faltantes Fevereiro- Metalfisa'!AM$3,METALFISA!$B:$B,'Faltantes Fevereiro- Metalfisa'!$A247)</f>
        <v>0</v>
      </c>
      <c r="AN247" s="31">
        <f>SUMIFS(METALFISA!$E:$E,METALFISA!$A:$A,'Faltantes Fevereiro- Metalfisa'!AN$3,METALFISA!$B:$B,'Faltantes Fevereiro- Metalfisa'!$A247)</f>
        <v>0</v>
      </c>
      <c r="AO247" s="31">
        <f>SUMIFS(METALFISA!$E:$E,METALFISA!$A:$A,'Faltantes Fevereiro- Metalfisa'!AO$3,METALFISA!$B:$B,'Faltantes Fevereiro- Metalfisa'!$A247)</f>
        <v>0</v>
      </c>
      <c r="AP247" s="31">
        <f>SUMIFS(METALFISA!$E:$E,METALFISA!$A:$A,'Faltantes Fevereiro- Metalfisa'!AP$3,METALFISA!$B:$B,'Faltantes Fevereiro- Metalfisa'!$A247)</f>
        <v>0</v>
      </c>
      <c r="AQ247" s="31"/>
      <c r="AR247" s="31">
        <f>SUMIFS(METALFISA!$E:$E,METALFISA!$A:$A,'Faltantes Fevereiro- Metalfisa'!AR$3,METALFISA!$B:$B,'Faltantes Fevereiro- Metalfisa'!$A247)</f>
        <v>0</v>
      </c>
      <c r="AS247" s="35">
        <f>SUMIFS(METALFISA!$E:$E,METALFISA!$A:$A,'Faltantes Fevereiro- Metalfisa'!AS$3,METALFISA!$B:$B,'Faltantes Fevereiro- Metalfisa'!$A247)</f>
        <v>0</v>
      </c>
      <c r="AU247" s="18">
        <v>0</v>
      </c>
      <c r="AV247" s="18">
        <v>0</v>
      </c>
      <c r="AW247" s="18">
        <v>0</v>
      </c>
      <c r="AX247" s="18">
        <v>0</v>
      </c>
      <c r="AY247" s="41">
        <v>0</v>
      </c>
      <c r="AZ247" s="31">
        <v>0</v>
      </c>
      <c r="BA247" s="31">
        <v>0</v>
      </c>
      <c r="BB247" s="31">
        <v>0</v>
      </c>
      <c r="BC247" s="31">
        <v>0</v>
      </c>
      <c r="BD247" s="31">
        <v>0</v>
      </c>
      <c r="BE247" s="31">
        <v>0</v>
      </c>
      <c r="BF247" s="31">
        <v>0</v>
      </c>
      <c r="BG247" s="31">
        <v>0</v>
      </c>
      <c r="BH247" s="31">
        <v>0</v>
      </c>
      <c r="BI247" s="31">
        <v>0</v>
      </c>
      <c r="BJ247" s="31">
        <v>0</v>
      </c>
      <c r="BK247" s="31">
        <v>0</v>
      </c>
      <c r="BL247" s="31">
        <v>0</v>
      </c>
      <c r="BM247" s="31">
        <v>0</v>
      </c>
      <c r="BN247" s="31">
        <v>1</v>
      </c>
      <c r="BO247" s="31">
        <v>1</v>
      </c>
      <c r="BP247" s="31">
        <v>0</v>
      </c>
      <c r="BQ247" s="31">
        <v>0</v>
      </c>
      <c r="BR247" s="31">
        <v>0</v>
      </c>
      <c r="BS247" s="31">
        <v>0</v>
      </c>
      <c r="BT247" s="31">
        <v>0</v>
      </c>
      <c r="BU247" s="31">
        <v>0</v>
      </c>
      <c r="BV247" s="31">
        <v>0</v>
      </c>
      <c r="BW247" s="31">
        <v>0</v>
      </c>
      <c r="BX247" s="31">
        <v>0</v>
      </c>
      <c r="BY247" s="31">
        <v>0</v>
      </c>
      <c r="BZ247" s="31">
        <v>0</v>
      </c>
      <c r="CA247" s="31">
        <v>0</v>
      </c>
      <c r="CB247" s="31">
        <v>0</v>
      </c>
      <c r="CC247" s="31">
        <v>0</v>
      </c>
      <c r="CD247" s="31">
        <v>0</v>
      </c>
      <c r="CE247" s="31">
        <v>0</v>
      </c>
      <c r="CF247" s="31">
        <v>0</v>
      </c>
      <c r="CG247" s="31">
        <v>0</v>
      </c>
      <c r="CH247" s="31">
        <v>0</v>
      </c>
      <c r="CI247" s="31">
        <v>0</v>
      </c>
      <c r="CJ247" s="31">
        <v>0</v>
      </c>
      <c r="CK247" s="31">
        <v>0</v>
      </c>
      <c r="CL247" s="35">
        <v>0</v>
      </c>
    </row>
    <row r="248" spans="1:90" ht="21" x14ac:dyDescent="0.15">
      <c r="A248" s="27" t="s">
        <v>1235</v>
      </c>
      <c r="B248" s="28" t="s">
        <v>1236</v>
      </c>
      <c r="C248" s="28">
        <v>0</v>
      </c>
      <c r="D248" s="28">
        <v>0</v>
      </c>
      <c r="E248" s="28">
        <v>0</v>
      </c>
      <c r="F248" s="28">
        <v>0</v>
      </c>
      <c r="G248" s="28">
        <v>18</v>
      </c>
      <c r="H248" s="28">
        <f>IFERROR(VLOOKUP(A248,[1]FALTANTES!$A:$AB,28,FALSE),"-")</f>
        <v>0</v>
      </c>
      <c r="I248" s="42">
        <f>IFERROR(VLOOKUP(A248,[1]FALTANTES!$A:$AC,29,FALSE),"-")</f>
        <v>0</v>
      </c>
      <c r="J248" s="29">
        <f>IFERROR(VLOOKUP(A248,[1]FALTANTES!$A:$AD,30,FALSE),"-")</f>
        <v>-18</v>
      </c>
      <c r="K248" s="30">
        <v>0</v>
      </c>
      <c r="L248" s="30">
        <f t="shared" si="4"/>
        <v>2</v>
      </c>
      <c r="M248" s="31">
        <f>SUMIFS(METALFISA!$E:$E,METALFISA!$A:$A,'Faltantes Fevereiro- Metalfisa'!M$3,METALFISA!$B:$B,'Faltantes Fevereiro- Metalfisa'!$A248)</f>
        <v>0</v>
      </c>
      <c r="N248" s="31">
        <f>SUMIFS(METALFISA!$E:$E,METALFISA!$A:$A,'Faltantes Fevereiro- Metalfisa'!N$3,METALFISA!$B:$B,'Faltantes Fevereiro- Metalfisa'!$A248)</f>
        <v>0</v>
      </c>
      <c r="O248" s="31">
        <f>SUMIFS(METALFISA!$E:$E,METALFISA!$A:$A,'Faltantes Fevereiro- Metalfisa'!O$3,METALFISA!$B:$B,'Faltantes Fevereiro- Metalfisa'!$A248)</f>
        <v>0</v>
      </c>
      <c r="P248" s="31">
        <f>SUMIFS(METALFISA!$E:$E,METALFISA!$A:$A,'Faltantes Fevereiro- Metalfisa'!P$3,METALFISA!$B:$B,'Faltantes Fevereiro- Metalfisa'!$A248)</f>
        <v>0</v>
      </c>
      <c r="Q248" s="31">
        <f>SUMIFS(METALFISA!$E:$E,METALFISA!$A:$A,'Faltantes Fevereiro- Metalfisa'!Q$3,METALFISA!$B:$B,'Faltantes Fevereiro- Metalfisa'!$A248)</f>
        <v>0</v>
      </c>
      <c r="R248" s="31">
        <f>SUMIFS(METALFISA!$E:$E,METALFISA!$A:$A,'Faltantes Fevereiro- Metalfisa'!R$3,METALFISA!$B:$B,'Faltantes Fevereiro- Metalfisa'!$A248)</f>
        <v>0</v>
      </c>
      <c r="S248" s="31">
        <f>SUMIFS(METALFISA!$E:$E,METALFISA!$A:$A,'Faltantes Fevereiro- Metalfisa'!S$3,METALFISA!$B:$B,'Faltantes Fevereiro- Metalfisa'!$A248)</f>
        <v>0</v>
      </c>
      <c r="T248" s="31">
        <f>SUMIFS(METALFISA!$E:$E,METALFISA!$A:$A,'Faltantes Fevereiro- Metalfisa'!T$3,METALFISA!$B:$B,'Faltantes Fevereiro- Metalfisa'!$A248)</f>
        <v>0</v>
      </c>
      <c r="U248" s="31">
        <f>SUMIFS(METALFISA!$E:$E,METALFISA!$A:$A,'Faltantes Fevereiro- Metalfisa'!U$3,METALFISA!$B:$B,'Faltantes Fevereiro- Metalfisa'!$A248)</f>
        <v>0</v>
      </c>
      <c r="V248" s="31">
        <f>SUMIFS(METALFISA!$E:$E,METALFISA!$A:$A,'Faltantes Fevereiro- Metalfisa'!V$3,METALFISA!$B:$B,'Faltantes Fevereiro- Metalfisa'!$A248)</f>
        <v>0</v>
      </c>
      <c r="W248" s="31">
        <f>SUMIFS(METALFISA!$E:$E,METALFISA!$A:$A,'Faltantes Fevereiro- Metalfisa'!W$3,METALFISA!$B:$B,'Faltantes Fevereiro- Metalfisa'!$A248)</f>
        <v>0</v>
      </c>
      <c r="X248" s="31">
        <f>SUMIFS(METALFISA!$E:$E,METALFISA!$A:$A,'Faltantes Fevereiro- Metalfisa'!X$3,METALFISA!$B:$B,'Faltantes Fevereiro- Metalfisa'!$A248)</f>
        <v>0</v>
      </c>
      <c r="Y248" s="31">
        <f>SUMIFS(METALFISA!$E:$E,METALFISA!$A:$A,'Faltantes Fevereiro- Metalfisa'!Y$3,METALFISA!$B:$B,'Faltantes Fevereiro- Metalfisa'!$A248)</f>
        <v>0</v>
      </c>
      <c r="Z248" s="31">
        <f>SUMIFS(METALFISA!$E:$E,METALFISA!$A:$A,'Faltantes Fevereiro- Metalfisa'!Z$3,METALFISA!$B:$B,'Faltantes Fevereiro- Metalfisa'!$A248)</f>
        <v>0</v>
      </c>
      <c r="AA248" s="31">
        <f>SUMIFS(METALFISA!$E:$E,METALFISA!$A:$A,'Faltantes Fevereiro- Metalfisa'!AA$3,METALFISA!$B:$B,'Faltantes Fevereiro- Metalfisa'!$A248)</f>
        <v>0</v>
      </c>
      <c r="AB248" s="31">
        <f>SUMIFS(METALFISA!$E:$E,METALFISA!$A:$A,'Faltantes Fevereiro- Metalfisa'!AB$3,METALFISA!$B:$B,'Faltantes Fevereiro- Metalfisa'!$A248)</f>
        <v>0</v>
      </c>
      <c r="AC248" s="31">
        <f>SUMIFS(METALFISA!$E:$E,METALFISA!$A:$A,'Faltantes Fevereiro- Metalfisa'!AC$3,METALFISA!$B:$B,'Faltantes Fevereiro- Metalfisa'!$A248)</f>
        <v>0</v>
      </c>
      <c r="AD248" s="31">
        <f>SUMIFS(METALFISA!$E:$E,METALFISA!$A:$A,'Faltantes Fevereiro- Metalfisa'!AD$3,METALFISA!$B:$B,'Faltantes Fevereiro- Metalfisa'!$A248)</f>
        <v>0</v>
      </c>
      <c r="AE248" s="31">
        <f>SUMIFS(METALFISA!$E:$E,METALFISA!$A:$A,'Faltantes Fevereiro- Metalfisa'!AE$3,METALFISA!$B:$B,'Faltantes Fevereiro- Metalfisa'!$A248)</f>
        <v>2</v>
      </c>
      <c r="AF248" s="31">
        <f>SUMIFS(METALFISA!$E:$E,METALFISA!$A:$A,'Faltantes Fevereiro- Metalfisa'!AF$3,METALFISA!$B:$B,'Faltantes Fevereiro- Metalfisa'!$A248)</f>
        <v>0</v>
      </c>
      <c r="AG248" s="31">
        <f>SUMIFS(METALFISA!$E:$E,METALFISA!$A:$A,'Faltantes Fevereiro- Metalfisa'!AG$3,METALFISA!$B:$B,'Faltantes Fevereiro- Metalfisa'!$A248)</f>
        <v>0</v>
      </c>
      <c r="AH248" s="31">
        <f>SUMIFS(METALFISA!$E:$E,METALFISA!$A:$A,'Faltantes Fevereiro- Metalfisa'!AH$3,METALFISA!$B:$B,'Faltantes Fevereiro- Metalfisa'!$A248)</f>
        <v>0</v>
      </c>
      <c r="AI248" s="31">
        <f>SUMIFS(METALFISA!$E:$E,METALFISA!$A:$A,'Faltantes Fevereiro- Metalfisa'!AI$3,METALFISA!$B:$B,'Faltantes Fevereiro- Metalfisa'!$A248)</f>
        <v>0</v>
      </c>
      <c r="AJ248" s="31">
        <f>SUMIFS(METALFISA!$E:$E,METALFISA!$A:$A,'Faltantes Fevereiro- Metalfisa'!AJ$3,METALFISA!$B:$B,'Faltantes Fevereiro- Metalfisa'!$A248)</f>
        <v>0</v>
      </c>
      <c r="AK248" s="31">
        <f>SUMIFS(METALFISA!$E:$E,METALFISA!$A:$A,'Faltantes Fevereiro- Metalfisa'!AK$3,METALFISA!$B:$B,'Faltantes Fevereiro- Metalfisa'!$A248)</f>
        <v>0</v>
      </c>
      <c r="AL248" s="31">
        <f>SUMIFS(METALFISA!$E:$E,METALFISA!$A:$A,'Faltantes Fevereiro- Metalfisa'!AL$3,METALFISA!$B:$B,'Faltantes Fevereiro- Metalfisa'!$A248)</f>
        <v>0</v>
      </c>
      <c r="AM248" s="31">
        <f>SUMIFS(METALFISA!$E:$E,METALFISA!$A:$A,'Faltantes Fevereiro- Metalfisa'!AM$3,METALFISA!$B:$B,'Faltantes Fevereiro- Metalfisa'!$A248)</f>
        <v>0</v>
      </c>
      <c r="AN248" s="31">
        <f>SUMIFS(METALFISA!$E:$E,METALFISA!$A:$A,'Faltantes Fevereiro- Metalfisa'!AN$3,METALFISA!$B:$B,'Faltantes Fevereiro- Metalfisa'!$A248)</f>
        <v>0</v>
      </c>
      <c r="AO248" s="31">
        <f>SUMIFS(METALFISA!$E:$E,METALFISA!$A:$A,'Faltantes Fevereiro- Metalfisa'!AO$3,METALFISA!$B:$B,'Faltantes Fevereiro- Metalfisa'!$A248)</f>
        <v>0</v>
      </c>
      <c r="AP248" s="31">
        <f>SUMIFS(METALFISA!$E:$E,METALFISA!$A:$A,'Faltantes Fevereiro- Metalfisa'!AP$3,METALFISA!$B:$B,'Faltantes Fevereiro- Metalfisa'!$A248)</f>
        <v>0</v>
      </c>
      <c r="AQ248" s="31"/>
      <c r="AR248" s="31">
        <f>SUMIFS(METALFISA!$E:$E,METALFISA!$A:$A,'Faltantes Fevereiro- Metalfisa'!AR$3,METALFISA!$B:$B,'Faltantes Fevereiro- Metalfisa'!$A248)</f>
        <v>0</v>
      </c>
      <c r="AS248" s="35">
        <f>SUMIFS(METALFISA!$E:$E,METALFISA!$A:$A,'Faltantes Fevereiro- Metalfisa'!AS$3,METALFISA!$B:$B,'Faltantes Fevereiro- Metalfisa'!$A248)</f>
        <v>0</v>
      </c>
      <c r="AU248" s="18">
        <v>0</v>
      </c>
      <c r="AV248" s="18">
        <v>0</v>
      </c>
      <c r="AW248" s="18">
        <v>0</v>
      </c>
      <c r="AX248" s="18">
        <v>0</v>
      </c>
      <c r="AY248" s="41">
        <v>0</v>
      </c>
      <c r="AZ248" s="31">
        <v>0</v>
      </c>
      <c r="BA248" s="31">
        <v>0</v>
      </c>
      <c r="BB248" s="31">
        <v>0</v>
      </c>
      <c r="BC248" s="31">
        <v>0</v>
      </c>
      <c r="BD248" s="31">
        <v>0</v>
      </c>
      <c r="BE248" s="31">
        <v>0</v>
      </c>
      <c r="BF248" s="31">
        <v>0</v>
      </c>
      <c r="BG248" s="31">
        <v>0</v>
      </c>
      <c r="BH248" s="31">
        <v>0</v>
      </c>
      <c r="BI248" s="31">
        <v>0</v>
      </c>
      <c r="BJ248" s="31">
        <v>0</v>
      </c>
      <c r="BK248" s="31">
        <v>0</v>
      </c>
      <c r="BL248" s="31">
        <v>0</v>
      </c>
      <c r="BM248" s="31">
        <v>0</v>
      </c>
      <c r="BN248" s="31">
        <v>2</v>
      </c>
      <c r="BO248" s="31">
        <v>2</v>
      </c>
      <c r="BP248" s="31">
        <v>0</v>
      </c>
      <c r="BQ248" s="31">
        <v>0</v>
      </c>
      <c r="BR248" s="31">
        <v>0</v>
      </c>
      <c r="BS248" s="31">
        <v>0</v>
      </c>
      <c r="BT248" s="31">
        <v>0</v>
      </c>
      <c r="BU248" s="31">
        <v>0</v>
      </c>
      <c r="BV248" s="31">
        <v>0</v>
      </c>
      <c r="BW248" s="31">
        <v>0</v>
      </c>
      <c r="BX248" s="31">
        <v>0</v>
      </c>
      <c r="BY248" s="31">
        <v>0</v>
      </c>
      <c r="BZ248" s="31">
        <v>0</v>
      </c>
      <c r="CA248" s="31">
        <v>0</v>
      </c>
      <c r="CB248" s="31">
        <v>0</v>
      </c>
      <c r="CC248" s="31">
        <v>0</v>
      </c>
      <c r="CD248" s="31">
        <v>0</v>
      </c>
      <c r="CE248" s="31">
        <v>0</v>
      </c>
      <c r="CF248" s="31">
        <v>0</v>
      </c>
      <c r="CG248" s="31">
        <v>0</v>
      </c>
      <c r="CH248" s="31">
        <v>0</v>
      </c>
      <c r="CI248" s="31">
        <v>0</v>
      </c>
      <c r="CJ248" s="31">
        <v>0</v>
      </c>
      <c r="CK248" s="31">
        <v>0</v>
      </c>
      <c r="CL248" s="35">
        <v>0</v>
      </c>
    </row>
    <row r="249" spans="1:90" x14ac:dyDescent="0.15">
      <c r="A249" s="27" t="s">
        <v>1237</v>
      </c>
      <c r="B249" s="28" t="s">
        <v>1238</v>
      </c>
      <c r="C249" s="28">
        <v>1</v>
      </c>
      <c r="D249" s="28">
        <v>0</v>
      </c>
      <c r="E249" s="28">
        <v>0</v>
      </c>
      <c r="F249" s="28">
        <v>0</v>
      </c>
      <c r="G249" s="28">
        <v>9</v>
      </c>
      <c r="H249" s="28">
        <f>IFERROR(VLOOKUP(A249,[1]FALTANTES!$A:$AB,28,FALSE),"-")</f>
        <v>0</v>
      </c>
      <c r="I249" s="42">
        <f>IFERROR(VLOOKUP(A249,[1]FALTANTES!$A:$AC,29,FALSE),"-")</f>
        <v>2</v>
      </c>
      <c r="J249" s="29">
        <f>IFERROR(VLOOKUP(A249,[1]FALTANTES!$A:$AD,30,FALSE),"-")</f>
        <v>-8</v>
      </c>
      <c r="K249" s="30">
        <v>0</v>
      </c>
      <c r="L249" s="30">
        <f t="shared" si="4"/>
        <v>2</v>
      </c>
      <c r="M249" s="31">
        <f>SUMIFS(METALFISA!$E:$E,METALFISA!$A:$A,'Faltantes Fevereiro- Metalfisa'!M$3,METALFISA!$B:$B,'Faltantes Fevereiro- Metalfisa'!$A249)</f>
        <v>0</v>
      </c>
      <c r="N249" s="31">
        <f>SUMIFS(METALFISA!$E:$E,METALFISA!$A:$A,'Faltantes Fevereiro- Metalfisa'!N$3,METALFISA!$B:$B,'Faltantes Fevereiro- Metalfisa'!$A249)</f>
        <v>0</v>
      </c>
      <c r="O249" s="31">
        <f>SUMIFS(METALFISA!$E:$E,METALFISA!$A:$A,'Faltantes Fevereiro- Metalfisa'!O$3,METALFISA!$B:$B,'Faltantes Fevereiro- Metalfisa'!$A249)</f>
        <v>0</v>
      </c>
      <c r="P249" s="31">
        <f>SUMIFS(METALFISA!$E:$E,METALFISA!$A:$A,'Faltantes Fevereiro- Metalfisa'!P$3,METALFISA!$B:$B,'Faltantes Fevereiro- Metalfisa'!$A249)</f>
        <v>0</v>
      </c>
      <c r="Q249" s="31">
        <f>SUMIFS(METALFISA!$E:$E,METALFISA!$A:$A,'Faltantes Fevereiro- Metalfisa'!Q$3,METALFISA!$B:$B,'Faltantes Fevereiro- Metalfisa'!$A249)</f>
        <v>0</v>
      </c>
      <c r="R249" s="31">
        <f>SUMIFS(METALFISA!$E:$E,METALFISA!$A:$A,'Faltantes Fevereiro- Metalfisa'!R$3,METALFISA!$B:$B,'Faltantes Fevereiro- Metalfisa'!$A249)</f>
        <v>0</v>
      </c>
      <c r="S249" s="31">
        <f>SUMIFS(METALFISA!$E:$E,METALFISA!$A:$A,'Faltantes Fevereiro- Metalfisa'!S$3,METALFISA!$B:$B,'Faltantes Fevereiro- Metalfisa'!$A249)</f>
        <v>0</v>
      </c>
      <c r="T249" s="31">
        <f>SUMIFS(METALFISA!$E:$E,METALFISA!$A:$A,'Faltantes Fevereiro- Metalfisa'!T$3,METALFISA!$B:$B,'Faltantes Fevereiro- Metalfisa'!$A249)</f>
        <v>0</v>
      </c>
      <c r="U249" s="31">
        <f>SUMIFS(METALFISA!$E:$E,METALFISA!$A:$A,'Faltantes Fevereiro- Metalfisa'!U$3,METALFISA!$B:$B,'Faltantes Fevereiro- Metalfisa'!$A249)</f>
        <v>0</v>
      </c>
      <c r="V249" s="31">
        <f>SUMIFS(METALFISA!$E:$E,METALFISA!$A:$A,'Faltantes Fevereiro- Metalfisa'!V$3,METALFISA!$B:$B,'Faltantes Fevereiro- Metalfisa'!$A249)</f>
        <v>0</v>
      </c>
      <c r="W249" s="31">
        <f>SUMIFS(METALFISA!$E:$E,METALFISA!$A:$A,'Faltantes Fevereiro- Metalfisa'!W$3,METALFISA!$B:$B,'Faltantes Fevereiro- Metalfisa'!$A249)</f>
        <v>0</v>
      </c>
      <c r="X249" s="31">
        <f>SUMIFS(METALFISA!$E:$E,METALFISA!$A:$A,'Faltantes Fevereiro- Metalfisa'!X$3,METALFISA!$B:$B,'Faltantes Fevereiro- Metalfisa'!$A249)</f>
        <v>0</v>
      </c>
      <c r="Y249" s="31">
        <f>SUMIFS(METALFISA!$E:$E,METALFISA!$A:$A,'Faltantes Fevereiro- Metalfisa'!Y$3,METALFISA!$B:$B,'Faltantes Fevereiro- Metalfisa'!$A249)</f>
        <v>0</v>
      </c>
      <c r="Z249" s="31">
        <f>SUMIFS(METALFISA!$E:$E,METALFISA!$A:$A,'Faltantes Fevereiro- Metalfisa'!Z$3,METALFISA!$B:$B,'Faltantes Fevereiro- Metalfisa'!$A249)</f>
        <v>0</v>
      </c>
      <c r="AA249" s="31">
        <f>SUMIFS(METALFISA!$E:$E,METALFISA!$A:$A,'Faltantes Fevereiro- Metalfisa'!AA$3,METALFISA!$B:$B,'Faltantes Fevereiro- Metalfisa'!$A249)</f>
        <v>0</v>
      </c>
      <c r="AB249" s="31">
        <f>SUMIFS(METALFISA!$E:$E,METALFISA!$A:$A,'Faltantes Fevereiro- Metalfisa'!AB$3,METALFISA!$B:$B,'Faltantes Fevereiro- Metalfisa'!$A249)</f>
        <v>0</v>
      </c>
      <c r="AC249" s="31">
        <f>SUMIFS(METALFISA!$E:$E,METALFISA!$A:$A,'Faltantes Fevereiro- Metalfisa'!AC$3,METALFISA!$B:$B,'Faltantes Fevereiro- Metalfisa'!$A249)</f>
        <v>0</v>
      </c>
      <c r="AD249" s="31">
        <f>SUMIFS(METALFISA!$E:$E,METALFISA!$A:$A,'Faltantes Fevereiro- Metalfisa'!AD$3,METALFISA!$B:$B,'Faltantes Fevereiro- Metalfisa'!$A249)</f>
        <v>0</v>
      </c>
      <c r="AE249" s="31">
        <f>SUMIFS(METALFISA!$E:$E,METALFISA!$A:$A,'Faltantes Fevereiro- Metalfisa'!AE$3,METALFISA!$B:$B,'Faltantes Fevereiro- Metalfisa'!$A249)</f>
        <v>2</v>
      </c>
      <c r="AF249" s="31">
        <f>SUMIFS(METALFISA!$E:$E,METALFISA!$A:$A,'Faltantes Fevereiro- Metalfisa'!AF$3,METALFISA!$B:$B,'Faltantes Fevereiro- Metalfisa'!$A249)</f>
        <v>0</v>
      </c>
      <c r="AG249" s="31">
        <f>SUMIFS(METALFISA!$E:$E,METALFISA!$A:$A,'Faltantes Fevereiro- Metalfisa'!AG$3,METALFISA!$B:$B,'Faltantes Fevereiro- Metalfisa'!$A249)</f>
        <v>0</v>
      </c>
      <c r="AH249" s="31">
        <f>SUMIFS(METALFISA!$E:$E,METALFISA!$A:$A,'Faltantes Fevereiro- Metalfisa'!AH$3,METALFISA!$B:$B,'Faltantes Fevereiro- Metalfisa'!$A249)</f>
        <v>0</v>
      </c>
      <c r="AI249" s="31">
        <f>SUMIFS(METALFISA!$E:$E,METALFISA!$A:$A,'Faltantes Fevereiro- Metalfisa'!AI$3,METALFISA!$B:$B,'Faltantes Fevereiro- Metalfisa'!$A249)</f>
        <v>0</v>
      </c>
      <c r="AJ249" s="31">
        <f>SUMIFS(METALFISA!$E:$E,METALFISA!$A:$A,'Faltantes Fevereiro- Metalfisa'!AJ$3,METALFISA!$B:$B,'Faltantes Fevereiro- Metalfisa'!$A249)</f>
        <v>0</v>
      </c>
      <c r="AK249" s="31">
        <f>SUMIFS(METALFISA!$E:$E,METALFISA!$A:$A,'Faltantes Fevereiro- Metalfisa'!AK$3,METALFISA!$B:$B,'Faltantes Fevereiro- Metalfisa'!$A249)</f>
        <v>0</v>
      </c>
      <c r="AL249" s="31">
        <f>SUMIFS(METALFISA!$E:$E,METALFISA!$A:$A,'Faltantes Fevereiro- Metalfisa'!AL$3,METALFISA!$B:$B,'Faltantes Fevereiro- Metalfisa'!$A249)</f>
        <v>0</v>
      </c>
      <c r="AM249" s="31">
        <f>SUMIFS(METALFISA!$E:$E,METALFISA!$A:$A,'Faltantes Fevereiro- Metalfisa'!AM$3,METALFISA!$B:$B,'Faltantes Fevereiro- Metalfisa'!$A249)</f>
        <v>0</v>
      </c>
      <c r="AN249" s="31">
        <f>SUMIFS(METALFISA!$E:$E,METALFISA!$A:$A,'Faltantes Fevereiro- Metalfisa'!AN$3,METALFISA!$B:$B,'Faltantes Fevereiro- Metalfisa'!$A249)</f>
        <v>0</v>
      </c>
      <c r="AO249" s="31">
        <f>SUMIFS(METALFISA!$E:$E,METALFISA!$A:$A,'Faltantes Fevereiro- Metalfisa'!AO$3,METALFISA!$B:$B,'Faltantes Fevereiro- Metalfisa'!$A249)</f>
        <v>0</v>
      </c>
      <c r="AP249" s="31">
        <f>SUMIFS(METALFISA!$E:$E,METALFISA!$A:$A,'Faltantes Fevereiro- Metalfisa'!AP$3,METALFISA!$B:$B,'Faltantes Fevereiro- Metalfisa'!$A249)</f>
        <v>0</v>
      </c>
      <c r="AQ249" s="31"/>
      <c r="AR249" s="31">
        <f>SUMIFS(METALFISA!$E:$E,METALFISA!$A:$A,'Faltantes Fevereiro- Metalfisa'!AR$3,METALFISA!$B:$B,'Faltantes Fevereiro- Metalfisa'!$A249)</f>
        <v>0</v>
      </c>
      <c r="AS249" s="35">
        <f>SUMIFS(METALFISA!$E:$E,METALFISA!$A:$A,'Faltantes Fevereiro- Metalfisa'!AS$3,METALFISA!$B:$B,'Faltantes Fevereiro- Metalfisa'!$A249)</f>
        <v>0</v>
      </c>
      <c r="AU249" s="18">
        <v>0</v>
      </c>
      <c r="AV249" s="18">
        <v>0</v>
      </c>
      <c r="AW249" s="18">
        <v>0</v>
      </c>
      <c r="AX249" s="18">
        <v>0</v>
      </c>
      <c r="AY249" s="41">
        <v>0</v>
      </c>
      <c r="AZ249" s="31">
        <v>0</v>
      </c>
      <c r="BA249" s="31">
        <v>0</v>
      </c>
      <c r="BB249" s="31">
        <v>0</v>
      </c>
      <c r="BC249" s="31">
        <v>0</v>
      </c>
      <c r="BD249" s="31">
        <v>0</v>
      </c>
      <c r="BE249" s="31">
        <v>0</v>
      </c>
      <c r="BF249" s="31">
        <v>0</v>
      </c>
      <c r="BG249" s="31">
        <v>0</v>
      </c>
      <c r="BH249" s="31">
        <v>0</v>
      </c>
      <c r="BI249" s="31">
        <v>0</v>
      </c>
      <c r="BJ249" s="31">
        <v>0</v>
      </c>
      <c r="BK249" s="31">
        <v>0</v>
      </c>
      <c r="BL249" s="31">
        <v>0</v>
      </c>
      <c r="BM249" s="31">
        <v>0</v>
      </c>
      <c r="BN249" s="31">
        <v>1</v>
      </c>
      <c r="BO249" s="31">
        <v>1</v>
      </c>
      <c r="BP249" s="31">
        <v>0</v>
      </c>
      <c r="BQ249" s="31">
        <v>0</v>
      </c>
      <c r="BR249" s="31">
        <v>0</v>
      </c>
      <c r="BS249" s="31">
        <v>0</v>
      </c>
      <c r="BT249" s="31">
        <v>0</v>
      </c>
      <c r="BU249" s="31">
        <v>0</v>
      </c>
      <c r="BV249" s="31">
        <v>0</v>
      </c>
      <c r="BW249" s="31">
        <v>0</v>
      </c>
      <c r="BX249" s="31">
        <v>0</v>
      </c>
      <c r="BY249" s="31">
        <v>0</v>
      </c>
      <c r="BZ249" s="31">
        <v>0</v>
      </c>
      <c r="CA249" s="31">
        <v>0</v>
      </c>
      <c r="CB249" s="31">
        <v>0</v>
      </c>
      <c r="CC249" s="31">
        <v>0</v>
      </c>
      <c r="CD249" s="31">
        <v>0</v>
      </c>
      <c r="CE249" s="31">
        <v>0</v>
      </c>
      <c r="CF249" s="31">
        <v>0</v>
      </c>
      <c r="CG249" s="31">
        <v>0</v>
      </c>
      <c r="CH249" s="31">
        <v>0</v>
      </c>
      <c r="CI249" s="31">
        <v>0</v>
      </c>
      <c r="CJ249" s="31">
        <v>0</v>
      </c>
      <c r="CK249" s="31">
        <v>0</v>
      </c>
      <c r="CL249" s="35">
        <v>0</v>
      </c>
    </row>
    <row r="250" spans="1:90" x14ac:dyDescent="0.15">
      <c r="A250" s="27" t="s">
        <v>1241</v>
      </c>
      <c r="B250" s="28" t="s">
        <v>1242</v>
      </c>
      <c r="C250" s="28">
        <v>1</v>
      </c>
      <c r="D250" s="28">
        <v>0</v>
      </c>
      <c r="E250" s="28">
        <v>0</v>
      </c>
      <c r="F250" s="28">
        <v>0</v>
      </c>
      <c r="G250" s="28">
        <v>9</v>
      </c>
      <c r="H250" s="28">
        <f>IFERROR(VLOOKUP(A250,[1]FALTANTES!$A:$AB,28,FALSE),"-")</f>
        <v>0</v>
      </c>
      <c r="I250" s="42">
        <f>IFERROR(VLOOKUP(A250,[1]FALTANTES!$A:$AC,29,FALSE),"-")</f>
        <v>4</v>
      </c>
      <c r="J250" s="29">
        <f>IFERROR(VLOOKUP(A250,[1]FALTANTES!$A:$AD,30,FALSE),"-")</f>
        <v>-6</v>
      </c>
      <c r="K250" s="30">
        <v>0</v>
      </c>
      <c r="L250" s="30">
        <f t="shared" si="4"/>
        <v>2</v>
      </c>
      <c r="M250" s="31">
        <f>SUMIFS(METALFISA!$E:$E,METALFISA!$A:$A,'Faltantes Fevereiro- Metalfisa'!M$3,METALFISA!$B:$B,'Faltantes Fevereiro- Metalfisa'!$A250)</f>
        <v>0</v>
      </c>
      <c r="N250" s="31">
        <f>SUMIFS(METALFISA!$E:$E,METALFISA!$A:$A,'Faltantes Fevereiro- Metalfisa'!N$3,METALFISA!$B:$B,'Faltantes Fevereiro- Metalfisa'!$A250)</f>
        <v>0</v>
      </c>
      <c r="O250" s="31">
        <f>SUMIFS(METALFISA!$E:$E,METALFISA!$A:$A,'Faltantes Fevereiro- Metalfisa'!O$3,METALFISA!$B:$B,'Faltantes Fevereiro- Metalfisa'!$A250)</f>
        <v>0</v>
      </c>
      <c r="P250" s="31">
        <f>SUMIFS(METALFISA!$E:$E,METALFISA!$A:$A,'Faltantes Fevereiro- Metalfisa'!P$3,METALFISA!$B:$B,'Faltantes Fevereiro- Metalfisa'!$A250)</f>
        <v>0</v>
      </c>
      <c r="Q250" s="31">
        <f>SUMIFS(METALFISA!$E:$E,METALFISA!$A:$A,'Faltantes Fevereiro- Metalfisa'!Q$3,METALFISA!$B:$B,'Faltantes Fevereiro- Metalfisa'!$A250)</f>
        <v>0</v>
      </c>
      <c r="R250" s="31">
        <f>SUMIFS(METALFISA!$E:$E,METALFISA!$A:$A,'Faltantes Fevereiro- Metalfisa'!R$3,METALFISA!$B:$B,'Faltantes Fevereiro- Metalfisa'!$A250)</f>
        <v>0</v>
      </c>
      <c r="S250" s="31">
        <f>SUMIFS(METALFISA!$E:$E,METALFISA!$A:$A,'Faltantes Fevereiro- Metalfisa'!S$3,METALFISA!$B:$B,'Faltantes Fevereiro- Metalfisa'!$A250)</f>
        <v>0</v>
      </c>
      <c r="T250" s="31">
        <f>SUMIFS(METALFISA!$E:$E,METALFISA!$A:$A,'Faltantes Fevereiro- Metalfisa'!T$3,METALFISA!$B:$B,'Faltantes Fevereiro- Metalfisa'!$A250)</f>
        <v>0</v>
      </c>
      <c r="U250" s="31">
        <f>SUMIFS(METALFISA!$E:$E,METALFISA!$A:$A,'Faltantes Fevereiro- Metalfisa'!U$3,METALFISA!$B:$B,'Faltantes Fevereiro- Metalfisa'!$A250)</f>
        <v>0</v>
      </c>
      <c r="V250" s="31">
        <f>SUMIFS(METALFISA!$E:$E,METALFISA!$A:$A,'Faltantes Fevereiro- Metalfisa'!V$3,METALFISA!$B:$B,'Faltantes Fevereiro- Metalfisa'!$A250)</f>
        <v>0</v>
      </c>
      <c r="W250" s="31">
        <f>SUMIFS(METALFISA!$E:$E,METALFISA!$A:$A,'Faltantes Fevereiro- Metalfisa'!W$3,METALFISA!$B:$B,'Faltantes Fevereiro- Metalfisa'!$A250)</f>
        <v>0</v>
      </c>
      <c r="X250" s="31">
        <f>SUMIFS(METALFISA!$E:$E,METALFISA!$A:$A,'Faltantes Fevereiro- Metalfisa'!X$3,METALFISA!$B:$B,'Faltantes Fevereiro- Metalfisa'!$A250)</f>
        <v>0</v>
      </c>
      <c r="Y250" s="31">
        <f>SUMIFS(METALFISA!$E:$E,METALFISA!$A:$A,'Faltantes Fevereiro- Metalfisa'!Y$3,METALFISA!$B:$B,'Faltantes Fevereiro- Metalfisa'!$A250)</f>
        <v>0</v>
      </c>
      <c r="Z250" s="31">
        <f>SUMIFS(METALFISA!$E:$E,METALFISA!$A:$A,'Faltantes Fevereiro- Metalfisa'!Z$3,METALFISA!$B:$B,'Faltantes Fevereiro- Metalfisa'!$A250)</f>
        <v>0</v>
      </c>
      <c r="AA250" s="31">
        <f>SUMIFS(METALFISA!$E:$E,METALFISA!$A:$A,'Faltantes Fevereiro- Metalfisa'!AA$3,METALFISA!$B:$B,'Faltantes Fevereiro- Metalfisa'!$A250)</f>
        <v>0</v>
      </c>
      <c r="AB250" s="31">
        <f>SUMIFS(METALFISA!$E:$E,METALFISA!$A:$A,'Faltantes Fevereiro- Metalfisa'!AB$3,METALFISA!$B:$B,'Faltantes Fevereiro- Metalfisa'!$A250)</f>
        <v>0</v>
      </c>
      <c r="AC250" s="31">
        <f>SUMIFS(METALFISA!$E:$E,METALFISA!$A:$A,'Faltantes Fevereiro- Metalfisa'!AC$3,METALFISA!$B:$B,'Faltantes Fevereiro- Metalfisa'!$A250)</f>
        <v>0</v>
      </c>
      <c r="AD250" s="31">
        <f>SUMIFS(METALFISA!$E:$E,METALFISA!$A:$A,'Faltantes Fevereiro- Metalfisa'!AD$3,METALFISA!$B:$B,'Faltantes Fevereiro- Metalfisa'!$A250)</f>
        <v>0</v>
      </c>
      <c r="AE250" s="31">
        <f>SUMIFS(METALFISA!$E:$E,METALFISA!$A:$A,'Faltantes Fevereiro- Metalfisa'!AE$3,METALFISA!$B:$B,'Faltantes Fevereiro- Metalfisa'!$A250)</f>
        <v>2</v>
      </c>
      <c r="AF250" s="31">
        <f>SUMIFS(METALFISA!$E:$E,METALFISA!$A:$A,'Faltantes Fevereiro- Metalfisa'!AF$3,METALFISA!$B:$B,'Faltantes Fevereiro- Metalfisa'!$A250)</f>
        <v>0</v>
      </c>
      <c r="AG250" s="31">
        <f>SUMIFS(METALFISA!$E:$E,METALFISA!$A:$A,'Faltantes Fevereiro- Metalfisa'!AG$3,METALFISA!$B:$B,'Faltantes Fevereiro- Metalfisa'!$A250)</f>
        <v>0</v>
      </c>
      <c r="AH250" s="31">
        <f>SUMIFS(METALFISA!$E:$E,METALFISA!$A:$A,'Faltantes Fevereiro- Metalfisa'!AH$3,METALFISA!$B:$B,'Faltantes Fevereiro- Metalfisa'!$A250)</f>
        <v>0</v>
      </c>
      <c r="AI250" s="31">
        <f>SUMIFS(METALFISA!$E:$E,METALFISA!$A:$A,'Faltantes Fevereiro- Metalfisa'!AI$3,METALFISA!$B:$B,'Faltantes Fevereiro- Metalfisa'!$A250)</f>
        <v>0</v>
      </c>
      <c r="AJ250" s="31">
        <f>SUMIFS(METALFISA!$E:$E,METALFISA!$A:$A,'Faltantes Fevereiro- Metalfisa'!AJ$3,METALFISA!$B:$B,'Faltantes Fevereiro- Metalfisa'!$A250)</f>
        <v>0</v>
      </c>
      <c r="AK250" s="31">
        <f>SUMIFS(METALFISA!$E:$E,METALFISA!$A:$A,'Faltantes Fevereiro- Metalfisa'!AK$3,METALFISA!$B:$B,'Faltantes Fevereiro- Metalfisa'!$A250)</f>
        <v>0</v>
      </c>
      <c r="AL250" s="31">
        <f>SUMIFS(METALFISA!$E:$E,METALFISA!$A:$A,'Faltantes Fevereiro- Metalfisa'!AL$3,METALFISA!$B:$B,'Faltantes Fevereiro- Metalfisa'!$A250)</f>
        <v>0</v>
      </c>
      <c r="AM250" s="31">
        <f>SUMIFS(METALFISA!$E:$E,METALFISA!$A:$A,'Faltantes Fevereiro- Metalfisa'!AM$3,METALFISA!$B:$B,'Faltantes Fevereiro- Metalfisa'!$A250)</f>
        <v>0</v>
      </c>
      <c r="AN250" s="31">
        <f>SUMIFS(METALFISA!$E:$E,METALFISA!$A:$A,'Faltantes Fevereiro- Metalfisa'!AN$3,METALFISA!$B:$B,'Faltantes Fevereiro- Metalfisa'!$A250)</f>
        <v>0</v>
      </c>
      <c r="AO250" s="31">
        <f>SUMIFS(METALFISA!$E:$E,METALFISA!$A:$A,'Faltantes Fevereiro- Metalfisa'!AO$3,METALFISA!$B:$B,'Faltantes Fevereiro- Metalfisa'!$A250)</f>
        <v>0</v>
      </c>
      <c r="AP250" s="31">
        <f>SUMIFS(METALFISA!$E:$E,METALFISA!$A:$A,'Faltantes Fevereiro- Metalfisa'!AP$3,METALFISA!$B:$B,'Faltantes Fevereiro- Metalfisa'!$A250)</f>
        <v>0</v>
      </c>
      <c r="AQ250" s="31"/>
      <c r="AR250" s="31">
        <f>SUMIFS(METALFISA!$E:$E,METALFISA!$A:$A,'Faltantes Fevereiro- Metalfisa'!AR$3,METALFISA!$B:$B,'Faltantes Fevereiro- Metalfisa'!$A250)</f>
        <v>0</v>
      </c>
      <c r="AS250" s="35">
        <f>SUMIFS(METALFISA!$E:$E,METALFISA!$A:$A,'Faltantes Fevereiro- Metalfisa'!AS$3,METALFISA!$B:$B,'Faltantes Fevereiro- Metalfisa'!$A250)</f>
        <v>0</v>
      </c>
      <c r="AU250" s="18">
        <v>0</v>
      </c>
      <c r="AV250" s="18">
        <v>0</v>
      </c>
      <c r="AW250" s="18">
        <v>0</v>
      </c>
      <c r="AX250" s="18">
        <v>0</v>
      </c>
      <c r="AY250" s="41">
        <v>0</v>
      </c>
      <c r="AZ250" s="31">
        <v>0</v>
      </c>
      <c r="BA250" s="31">
        <v>0</v>
      </c>
      <c r="BB250" s="31">
        <v>0</v>
      </c>
      <c r="BC250" s="31">
        <v>0</v>
      </c>
      <c r="BD250" s="31">
        <v>0</v>
      </c>
      <c r="BE250" s="31">
        <v>0</v>
      </c>
      <c r="BF250" s="31">
        <v>0</v>
      </c>
      <c r="BG250" s="31">
        <v>0</v>
      </c>
      <c r="BH250" s="31">
        <v>0</v>
      </c>
      <c r="BI250" s="31">
        <v>0</v>
      </c>
      <c r="BJ250" s="31">
        <v>0</v>
      </c>
      <c r="BK250" s="31">
        <v>0</v>
      </c>
      <c r="BL250" s="31">
        <v>0</v>
      </c>
      <c r="BM250" s="31">
        <v>0</v>
      </c>
      <c r="BN250" s="31">
        <v>1</v>
      </c>
      <c r="BO250" s="31">
        <v>1</v>
      </c>
      <c r="BP250" s="31">
        <v>0</v>
      </c>
      <c r="BQ250" s="31">
        <v>0</v>
      </c>
      <c r="BR250" s="31">
        <v>0</v>
      </c>
      <c r="BS250" s="31">
        <v>0</v>
      </c>
      <c r="BT250" s="31">
        <v>0</v>
      </c>
      <c r="BU250" s="31">
        <v>0</v>
      </c>
      <c r="BV250" s="31">
        <v>0</v>
      </c>
      <c r="BW250" s="31">
        <v>0</v>
      </c>
      <c r="BX250" s="31">
        <v>0</v>
      </c>
      <c r="BY250" s="31">
        <v>0</v>
      </c>
      <c r="BZ250" s="31">
        <v>0</v>
      </c>
      <c r="CA250" s="31">
        <v>0</v>
      </c>
      <c r="CB250" s="31">
        <v>0</v>
      </c>
      <c r="CC250" s="31">
        <v>0</v>
      </c>
      <c r="CD250" s="31">
        <v>0</v>
      </c>
      <c r="CE250" s="31">
        <v>0</v>
      </c>
      <c r="CF250" s="31">
        <v>0</v>
      </c>
      <c r="CG250" s="31">
        <v>0</v>
      </c>
      <c r="CH250" s="31">
        <v>0</v>
      </c>
      <c r="CI250" s="31">
        <v>0</v>
      </c>
      <c r="CJ250" s="31">
        <v>0</v>
      </c>
      <c r="CK250" s="31">
        <v>0</v>
      </c>
      <c r="CL250" s="35">
        <v>0</v>
      </c>
    </row>
    <row r="251" spans="1:90" x14ac:dyDescent="0.15">
      <c r="A251" s="27" t="s">
        <v>1243</v>
      </c>
      <c r="B251" s="28" t="s">
        <v>1244</v>
      </c>
      <c r="C251" s="28">
        <v>0</v>
      </c>
      <c r="D251" s="28">
        <v>0</v>
      </c>
      <c r="E251" s="28">
        <v>0</v>
      </c>
      <c r="F251" s="28">
        <v>0</v>
      </c>
      <c r="G251" s="28">
        <v>4</v>
      </c>
      <c r="H251" s="28">
        <f>IFERROR(VLOOKUP(A251,[1]FALTANTES!$A:$AB,28,FALSE),"-")</f>
        <v>0</v>
      </c>
      <c r="I251" s="42">
        <f>IFERROR(VLOOKUP(A251,[1]FALTANTES!$A:$AC,29,FALSE),"-")</f>
        <v>3</v>
      </c>
      <c r="J251" s="29">
        <f>IFERROR(VLOOKUP(A251,[1]FALTANTES!$A:$AD,30,FALSE),"-")</f>
        <v>-1</v>
      </c>
      <c r="K251" s="30"/>
      <c r="L251" s="30">
        <f t="shared" si="4"/>
        <v>2</v>
      </c>
      <c r="M251" s="31">
        <f>SUMIFS(METALFISA!$E:$E,METALFISA!$A:$A,'Faltantes Fevereiro- Metalfisa'!M$3,METALFISA!$B:$B,'Faltantes Fevereiro- Metalfisa'!$A251)</f>
        <v>0</v>
      </c>
      <c r="N251" s="31">
        <f>SUMIFS(METALFISA!$E:$E,METALFISA!$A:$A,'Faltantes Fevereiro- Metalfisa'!N$3,METALFISA!$B:$B,'Faltantes Fevereiro- Metalfisa'!$A251)</f>
        <v>0</v>
      </c>
      <c r="O251" s="31">
        <f>SUMIFS(METALFISA!$E:$E,METALFISA!$A:$A,'Faltantes Fevereiro- Metalfisa'!O$3,METALFISA!$B:$B,'Faltantes Fevereiro- Metalfisa'!$A251)</f>
        <v>0</v>
      </c>
      <c r="P251" s="31">
        <f>SUMIFS(METALFISA!$E:$E,METALFISA!$A:$A,'Faltantes Fevereiro- Metalfisa'!P$3,METALFISA!$B:$B,'Faltantes Fevereiro- Metalfisa'!$A251)</f>
        <v>0</v>
      </c>
      <c r="Q251" s="31">
        <f>SUMIFS(METALFISA!$E:$E,METALFISA!$A:$A,'Faltantes Fevereiro- Metalfisa'!Q$3,METALFISA!$B:$B,'Faltantes Fevereiro- Metalfisa'!$A251)</f>
        <v>0</v>
      </c>
      <c r="R251" s="31">
        <f>SUMIFS(METALFISA!$E:$E,METALFISA!$A:$A,'Faltantes Fevereiro- Metalfisa'!R$3,METALFISA!$B:$B,'Faltantes Fevereiro- Metalfisa'!$A251)</f>
        <v>0</v>
      </c>
      <c r="S251" s="31">
        <f>SUMIFS(METALFISA!$E:$E,METALFISA!$A:$A,'Faltantes Fevereiro- Metalfisa'!S$3,METALFISA!$B:$B,'Faltantes Fevereiro- Metalfisa'!$A251)</f>
        <v>0</v>
      </c>
      <c r="T251" s="31">
        <f>SUMIFS(METALFISA!$E:$E,METALFISA!$A:$A,'Faltantes Fevereiro- Metalfisa'!T$3,METALFISA!$B:$B,'Faltantes Fevereiro- Metalfisa'!$A251)</f>
        <v>0</v>
      </c>
      <c r="U251" s="31">
        <f>SUMIFS(METALFISA!$E:$E,METALFISA!$A:$A,'Faltantes Fevereiro- Metalfisa'!U$3,METALFISA!$B:$B,'Faltantes Fevereiro- Metalfisa'!$A251)</f>
        <v>0</v>
      </c>
      <c r="V251" s="31">
        <f>SUMIFS(METALFISA!$E:$E,METALFISA!$A:$A,'Faltantes Fevereiro- Metalfisa'!V$3,METALFISA!$B:$B,'Faltantes Fevereiro- Metalfisa'!$A251)</f>
        <v>0</v>
      </c>
      <c r="W251" s="31">
        <f>SUMIFS(METALFISA!$E:$E,METALFISA!$A:$A,'Faltantes Fevereiro- Metalfisa'!W$3,METALFISA!$B:$B,'Faltantes Fevereiro- Metalfisa'!$A251)</f>
        <v>0</v>
      </c>
      <c r="X251" s="31">
        <f>SUMIFS(METALFISA!$E:$E,METALFISA!$A:$A,'Faltantes Fevereiro- Metalfisa'!X$3,METALFISA!$B:$B,'Faltantes Fevereiro- Metalfisa'!$A251)</f>
        <v>0</v>
      </c>
      <c r="Y251" s="31">
        <f>SUMIFS(METALFISA!$E:$E,METALFISA!$A:$A,'Faltantes Fevereiro- Metalfisa'!Y$3,METALFISA!$B:$B,'Faltantes Fevereiro- Metalfisa'!$A251)</f>
        <v>0</v>
      </c>
      <c r="Z251" s="31">
        <f>SUMIFS(METALFISA!$E:$E,METALFISA!$A:$A,'Faltantes Fevereiro- Metalfisa'!Z$3,METALFISA!$B:$B,'Faltantes Fevereiro- Metalfisa'!$A251)</f>
        <v>0</v>
      </c>
      <c r="AA251" s="31">
        <f>SUMIFS(METALFISA!$E:$E,METALFISA!$A:$A,'Faltantes Fevereiro- Metalfisa'!AA$3,METALFISA!$B:$B,'Faltantes Fevereiro- Metalfisa'!$A251)</f>
        <v>0</v>
      </c>
      <c r="AB251" s="31">
        <f>SUMIFS(METALFISA!$E:$E,METALFISA!$A:$A,'Faltantes Fevereiro- Metalfisa'!AB$3,METALFISA!$B:$B,'Faltantes Fevereiro- Metalfisa'!$A251)</f>
        <v>0</v>
      </c>
      <c r="AC251" s="31">
        <f>SUMIFS(METALFISA!$E:$E,METALFISA!$A:$A,'Faltantes Fevereiro- Metalfisa'!AC$3,METALFISA!$B:$B,'Faltantes Fevereiro- Metalfisa'!$A251)</f>
        <v>0</v>
      </c>
      <c r="AD251" s="31">
        <f>SUMIFS(METALFISA!$E:$E,METALFISA!$A:$A,'Faltantes Fevereiro- Metalfisa'!AD$3,METALFISA!$B:$B,'Faltantes Fevereiro- Metalfisa'!$A251)</f>
        <v>0</v>
      </c>
      <c r="AE251" s="31">
        <f>SUMIFS(METALFISA!$E:$E,METALFISA!$A:$A,'Faltantes Fevereiro- Metalfisa'!AE$3,METALFISA!$B:$B,'Faltantes Fevereiro- Metalfisa'!$A251)</f>
        <v>2</v>
      </c>
      <c r="AF251" s="31">
        <f>SUMIFS(METALFISA!$E:$E,METALFISA!$A:$A,'Faltantes Fevereiro- Metalfisa'!AF$3,METALFISA!$B:$B,'Faltantes Fevereiro- Metalfisa'!$A251)</f>
        <v>0</v>
      </c>
      <c r="AG251" s="31">
        <f>SUMIFS(METALFISA!$E:$E,METALFISA!$A:$A,'Faltantes Fevereiro- Metalfisa'!AG$3,METALFISA!$B:$B,'Faltantes Fevereiro- Metalfisa'!$A251)</f>
        <v>0</v>
      </c>
      <c r="AH251" s="31">
        <f>SUMIFS(METALFISA!$E:$E,METALFISA!$A:$A,'Faltantes Fevereiro- Metalfisa'!AH$3,METALFISA!$B:$B,'Faltantes Fevereiro- Metalfisa'!$A251)</f>
        <v>0</v>
      </c>
      <c r="AI251" s="31">
        <f>SUMIFS(METALFISA!$E:$E,METALFISA!$A:$A,'Faltantes Fevereiro- Metalfisa'!AI$3,METALFISA!$B:$B,'Faltantes Fevereiro- Metalfisa'!$A251)</f>
        <v>0</v>
      </c>
      <c r="AJ251" s="31">
        <f>SUMIFS(METALFISA!$E:$E,METALFISA!$A:$A,'Faltantes Fevereiro- Metalfisa'!AJ$3,METALFISA!$B:$B,'Faltantes Fevereiro- Metalfisa'!$A251)</f>
        <v>0</v>
      </c>
      <c r="AK251" s="31">
        <f>SUMIFS(METALFISA!$E:$E,METALFISA!$A:$A,'Faltantes Fevereiro- Metalfisa'!AK$3,METALFISA!$B:$B,'Faltantes Fevereiro- Metalfisa'!$A251)</f>
        <v>0</v>
      </c>
      <c r="AL251" s="31">
        <f>SUMIFS(METALFISA!$E:$E,METALFISA!$A:$A,'Faltantes Fevereiro- Metalfisa'!AL$3,METALFISA!$B:$B,'Faltantes Fevereiro- Metalfisa'!$A251)</f>
        <v>0</v>
      </c>
      <c r="AM251" s="31">
        <f>SUMIFS(METALFISA!$E:$E,METALFISA!$A:$A,'Faltantes Fevereiro- Metalfisa'!AM$3,METALFISA!$B:$B,'Faltantes Fevereiro- Metalfisa'!$A251)</f>
        <v>0</v>
      </c>
      <c r="AN251" s="31">
        <f>SUMIFS(METALFISA!$E:$E,METALFISA!$A:$A,'Faltantes Fevereiro- Metalfisa'!AN$3,METALFISA!$B:$B,'Faltantes Fevereiro- Metalfisa'!$A251)</f>
        <v>0</v>
      </c>
      <c r="AO251" s="31">
        <f>SUMIFS(METALFISA!$E:$E,METALFISA!$A:$A,'Faltantes Fevereiro- Metalfisa'!AO$3,METALFISA!$B:$B,'Faltantes Fevereiro- Metalfisa'!$A251)</f>
        <v>0</v>
      </c>
      <c r="AP251" s="31">
        <f>SUMIFS(METALFISA!$E:$E,METALFISA!$A:$A,'Faltantes Fevereiro- Metalfisa'!AP$3,METALFISA!$B:$B,'Faltantes Fevereiro- Metalfisa'!$A251)</f>
        <v>0</v>
      </c>
      <c r="AQ251" s="31"/>
      <c r="AR251" s="31">
        <f>SUMIFS(METALFISA!$E:$E,METALFISA!$A:$A,'Faltantes Fevereiro- Metalfisa'!AR$3,METALFISA!$B:$B,'Faltantes Fevereiro- Metalfisa'!$A251)</f>
        <v>0</v>
      </c>
      <c r="AS251" s="35">
        <f>SUMIFS(METALFISA!$E:$E,METALFISA!$A:$A,'Faltantes Fevereiro- Metalfisa'!AS$3,METALFISA!$B:$B,'Faltantes Fevereiro- Metalfisa'!$A251)</f>
        <v>0</v>
      </c>
      <c r="AU251" s="18">
        <v>0</v>
      </c>
      <c r="AV251" s="18">
        <v>0</v>
      </c>
      <c r="AW251" s="18">
        <v>0</v>
      </c>
      <c r="AX251" s="18">
        <v>0</v>
      </c>
      <c r="AY251" s="41">
        <v>0</v>
      </c>
      <c r="AZ251" s="31">
        <v>0</v>
      </c>
      <c r="BA251" s="31">
        <v>0</v>
      </c>
      <c r="BB251" s="31">
        <v>0</v>
      </c>
      <c r="BC251" s="31">
        <v>0</v>
      </c>
      <c r="BD251" s="31">
        <v>0</v>
      </c>
      <c r="BE251" s="31">
        <v>0</v>
      </c>
      <c r="BF251" s="31">
        <v>0</v>
      </c>
      <c r="BG251" s="31">
        <v>0</v>
      </c>
      <c r="BH251" s="31">
        <v>0</v>
      </c>
      <c r="BI251" s="31">
        <v>0</v>
      </c>
      <c r="BJ251" s="31">
        <v>0</v>
      </c>
      <c r="BK251" s="31">
        <v>0</v>
      </c>
      <c r="BL251" s="31">
        <v>0</v>
      </c>
      <c r="BM251" s="31">
        <v>0</v>
      </c>
      <c r="BN251" s="31">
        <v>1</v>
      </c>
      <c r="BO251" s="31">
        <v>1</v>
      </c>
      <c r="BP251" s="31">
        <v>0</v>
      </c>
      <c r="BQ251" s="31">
        <v>0</v>
      </c>
      <c r="BR251" s="31">
        <v>0</v>
      </c>
      <c r="BS251" s="31">
        <v>0</v>
      </c>
      <c r="BT251" s="31">
        <v>0</v>
      </c>
      <c r="BU251" s="31">
        <v>0</v>
      </c>
      <c r="BV251" s="31">
        <v>0</v>
      </c>
      <c r="BW251" s="31">
        <v>0</v>
      </c>
      <c r="BX251" s="31">
        <v>0</v>
      </c>
      <c r="BY251" s="31">
        <v>0</v>
      </c>
      <c r="BZ251" s="31">
        <v>0</v>
      </c>
      <c r="CA251" s="31">
        <v>0</v>
      </c>
      <c r="CB251" s="31">
        <v>0</v>
      </c>
      <c r="CC251" s="31">
        <v>0</v>
      </c>
      <c r="CD251" s="31">
        <v>0</v>
      </c>
      <c r="CE251" s="31">
        <v>0</v>
      </c>
      <c r="CF251" s="31">
        <v>0</v>
      </c>
      <c r="CG251" s="31">
        <v>0</v>
      </c>
      <c r="CH251" s="31">
        <v>0</v>
      </c>
      <c r="CI251" s="31">
        <v>0</v>
      </c>
      <c r="CJ251" s="31">
        <v>0</v>
      </c>
      <c r="CK251" s="31">
        <v>0</v>
      </c>
      <c r="CL251" s="35">
        <v>0</v>
      </c>
    </row>
    <row r="252" spans="1:90" x14ac:dyDescent="0.15">
      <c r="A252" s="27" t="s">
        <v>1249</v>
      </c>
      <c r="B252" s="28" t="s">
        <v>1250</v>
      </c>
      <c r="C252" s="28">
        <v>0</v>
      </c>
      <c r="D252" s="28">
        <v>0</v>
      </c>
      <c r="E252" s="28">
        <v>0</v>
      </c>
      <c r="F252" s="28">
        <v>0</v>
      </c>
      <c r="G252" s="28">
        <v>6</v>
      </c>
      <c r="H252" s="28">
        <f>IFERROR(VLOOKUP(A252,[1]FALTANTES!$A:$AB,28,FALSE),"-")</f>
        <v>0</v>
      </c>
      <c r="I252" s="42">
        <f>IFERROR(VLOOKUP(A252,[1]FALTANTES!$A:$AC,29,FALSE),"-")</f>
        <v>2</v>
      </c>
      <c r="J252" s="29">
        <f>IFERROR(VLOOKUP(A252,[1]FALTANTES!$A:$AD,30,FALSE),"-")</f>
        <v>-4</v>
      </c>
      <c r="K252" s="30">
        <v>0</v>
      </c>
      <c r="L252" s="30">
        <f t="shared" si="4"/>
        <v>2</v>
      </c>
      <c r="M252" s="31">
        <f>SUMIFS(METALFISA!$E:$E,METALFISA!$A:$A,'Faltantes Fevereiro- Metalfisa'!M$3,METALFISA!$B:$B,'Faltantes Fevereiro- Metalfisa'!$A252)</f>
        <v>0</v>
      </c>
      <c r="N252" s="31">
        <f>SUMIFS(METALFISA!$E:$E,METALFISA!$A:$A,'Faltantes Fevereiro- Metalfisa'!N$3,METALFISA!$B:$B,'Faltantes Fevereiro- Metalfisa'!$A252)</f>
        <v>0</v>
      </c>
      <c r="O252" s="31">
        <f>SUMIFS(METALFISA!$E:$E,METALFISA!$A:$A,'Faltantes Fevereiro- Metalfisa'!O$3,METALFISA!$B:$B,'Faltantes Fevereiro- Metalfisa'!$A252)</f>
        <v>0</v>
      </c>
      <c r="P252" s="31">
        <f>SUMIFS(METALFISA!$E:$E,METALFISA!$A:$A,'Faltantes Fevereiro- Metalfisa'!P$3,METALFISA!$B:$B,'Faltantes Fevereiro- Metalfisa'!$A252)</f>
        <v>0</v>
      </c>
      <c r="Q252" s="31">
        <f>SUMIFS(METALFISA!$E:$E,METALFISA!$A:$A,'Faltantes Fevereiro- Metalfisa'!Q$3,METALFISA!$B:$B,'Faltantes Fevereiro- Metalfisa'!$A252)</f>
        <v>0</v>
      </c>
      <c r="R252" s="31">
        <f>SUMIFS(METALFISA!$E:$E,METALFISA!$A:$A,'Faltantes Fevereiro- Metalfisa'!R$3,METALFISA!$B:$B,'Faltantes Fevereiro- Metalfisa'!$A252)</f>
        <v>0</v>
      </c>
      <c r="S252" s="31">
        <f>SUMIFS(METALFISA!$E:$E,METALFISA!$A:$A,'Faltantes Fevereiro- Metalfisa'!S$3,METALFISA!$B:$B,'Faltantes Fevereiro- Metalfisa'!$A252)</f>
        <v>0</v>
      </c>
      <c r="T252" s="31">
        <f>SUMIFS(METALFISA!$E:$E,METALFISA!$A:$A,'Faltantes Fevereiro- Metalfisa'!T$3,METALFISA!$B:$B,'Faltantes Fevereiro- Metalfisa'!$A252)</f>
        <v>0</v>
      </c>
      <c r="U252" s="31">
        <f>SUMIFS(METALFISA!$E:$E,METALFISA!$A:$A,'Faltantes Fevereiro- Metalfisa'!U$3,METALFISA!$B:$B,'Faltantes Fevereiro- Metalfisa'!$A252)</f>
        <v>0</v>
      </c>
      <c r="V252" s="31">
        <f>SUMIFS(METALFISA!$E:$E,METALFISA!$A:$A,'Faltantes Fevereiro- Metalfisa'!V$3,METALFISA!$B:$B,'Faltantes Fevereiro- Metalfisa'!$A252)</f>
        <v>0</v>
      </c>
      <c r="W252" s="31">
        <f>SUMIFS(METALFISA!$E:$E,METALFISA!$A:$A,'Faltantes Fevereiro- Metalfisa'!W$3,METALFISA!$B:$B,'Faltantes Fevereiro- Metalfisa'!$A252)</f>
        <v>0</v>
      </c>
      <c r="X252" s="31">
        <f>SUMIFS(METALFISA!$E:$E,METALFISA!$A:$A,'Faltantes Fevereiro- Metalfisa'!X$3,METALFISA!$B:$B,'Faltantes Fevereiro- Metalfisa'!$A252)</f>
        <v>0</v>
      </c>
      <c r="Y252" s="31">
        <f>SUMIFS(METALFISA!$E:$E,METALFISA!$A:$A,'Faltantes Fevereiro- Metalfisa'!Y$3,METALFISA!$B:$B,'Faltantes Fevereiro- Metalfisa'!$A252)</f>
        <v>0</v>
      </c>
      <c r="Z252" s="31">
        <f>SUMIFS(METALFISA!$E:$E,METALFISA!$A:$A,'Faltantes Fevereiro- Metalfisa'!Z$3,METALFISA!$B:$B,'Faltantes Fevereiro- Metalfisa'!$A252)</f>
        <v>0</v>
      </c>
      <c r="AA252" s="31">
        <f>SUMIFS(METALFISA!$E:$E,METALFISA!$A:$A,'Faltantes Fevereiro- Metalfisa'!AA$3,METALFISA!$B:$B,'Faltantes Fevereiro- Metalfisa'!$A252)</f>
        <v>0</v>
      </c>
      <c r="AB252" s="31">
        <f>SUMIFS(METALFISA!$E:$E,METALFISA!$A:$A,'Faltantes Fevereiro- Metalfisa'!AB$3,METALFISA!$B:$B,'Faltantes Fevereiro- Metalfisa'!$A252)</f>
        <v>0</v>
      </c>
      <c r="AC252" s="31">
        <f>SUMIFS(METALFISA!$E:$E,METALFISA!$A:$A,'Faltantes Fevereiro- Metalfisa'!AC$3,METALFISA!$B:$B,'Faltantes Fevereiro- Metalfisa'!$A252)</f>
        <v>0</v>
      </c>
      <c r="AD252" s="31">
        <f>SUMIFS(METALFISA!$E:$E,METALFISA!$A:$A,'Faltantes Fevereiro- Metalfisa'!AD$3,METALFISA!$B:$B,'Faltantes Fevereiro- Metalfisa'!$A252)</f>
        <v>0</v>
      </c>
      <c r="AE252" s="31">
        <f>SUMIFS(METALFISA!$E:$E,METALFISA!$A:$A,'Faltantes Fevereiro- Metalfisa'!AE$3,METALFISA!$B:$B,'Faltantes Fevereiro- Metalfisa'!$A252)</f>
        <v>2</v>
      </c>
      <c r="AF252" s="31">
        <f>SUMIFS(METALFISA!$E:$E,METALFISA!$A:$A,'Faltantes Fevereiro- Metalfisa'!AF$3,METALFISA!$B:$B,'Faltantes Fevereiro- Metalfisa'!$A252)</f>
        <v>0</v>
      </c>
      <c r="AG252" s="31">
        <f>SUMIFS(METALFISA!$E:$E,METALFISA!$A:$A,'Faltantes Fevereiro- Metalfisa'!AG$3,METALFISA!$B:$B,'Faltantes Fevereiro- Metalfisa'!$A252)</f>
        <v>0</v>
      </c>
      <c r="AH252" s="31">
        <f>SUMIFS(METALFISA!$E:$E,METALFISA!$A:$A,'Faltantes Fevereiro- Metalfisa'!AH$3,METALFISA!$B:$B,'Faltantes Fevereiro- Metalfisa'!$A252)</f>
        <v>0</v>
      </c>
      <c r="AI252" s="31">
        <f>SUMIFS(METALFISA!$E:$E,METALFISA!$A:$A,'Faltantes Fevereiro- Metalfisa'!AI$3,METALFISA!$B:$B,'Faltantes Fevereiro- Metalfisa'!$A252)</f>
        <v>0</v>
      </c>
      <c r="AJ252" s="31">
        <f>SUMIFS(METALFISA!$E:$E,METALFISA!$A:$A,'Faltantes Fevereiro- Metalfisa'!AJ$3,METALFISA!$B:$B,'Faltantes Fevereiro- Metalfisa'!$A252)</f>
        <v>0</v>
      </c>
      <c r="AK252" s="31">
        <f>SUMIFS(METALFISA!$E:$E,METALFISA!$A:$A,'Faltantes Fevereiro- Metalfisa'!AK$3,METALFISA!$B:$B,'Faltantes Fevereiro- Metalfisa'!$A252)</f>
        <v>0</v>
      </c>
      <c r="AL252" s="31">
        <f>SUMIFS(METALFISA!$E:$E,METALFISA!$A:$A,'Faltantes Fevereiro- Metalfisa'!AL$3,METALFISA!$B:$B,'Faltantes Fevereiro- Metalfisa'!$A252)</f>
        <v>0</v>
      </c>
      <c r="AM252" s="31">
        <f>SUMIFS(METALFISA!$E:$E,METALFISA!$A:$A,'Faltantes Fevereiro- Metalfisa'!AM$3,METALFISA!$B:$B,'Faltantes Fevereiro- Metalfisa'!$A252)</f>
        <v>0</v>
      </c>
      <c r="AN252" s="31">
        <f>SUMIFS(METALFISA!$E:$E,METALFISA!$A:$A,'Faltantes Fevereiro- Metalfisa'!AN$3,METALFISA!$B:$B,'Faltantes Fevereiro- Metalfisa'!$A252)</f>
        <v>0</v>
      </c>
      <c r="AO252" s="31">
        <f>SUMIFS(METALFISA!$E:$E,METALFISA!$A:$A,'Faltantes Fevereiro- Metalfisa'!AO$3,METALFISA!$B:$B,'Faltantes Fevereiro- Metalfisa'!$A252)</f>
        <v>0</v>
      </c>
      <c r="AP252" s="31">
        <f>SUMIFS(METALFISA!$E:$E,METALFISA!$A:$A,'Faltantes Fevereiro- Metalfisa'!AP$3,METALFISA!$B:$B,'Faltantes Fevereiro- Metalfisa'!$A252)</f>
        <v>0</v>
      </c>
      <c r="AQ252" s="31"/>
      <c r="AR252" s="31">
        <f>SUMIFS(METALFISA!$E:$E,METALFISA!$A:$A,'Faltantes Fevereiro- Metalfisa'!AR$3,METALFISA!$B:$B,'Faltantes Fevereiro- Metalfisa'!$A252)</f>
        <v>0</v>
      </c>
      <c r="AS252" s="35">
        <f>SUMIFS(METALFISA!$E:$E,METALFISA!$A:$A,'Faltantes Fevereiro- Metalfisa'!AS$3,METALFISA!$B:$B,'Faltantes Fevereiro- Metalfisa'!$A252)</f>
        <v>0</v>
      </c>
      <c r="AU252" s="18">
        <v>0</v>
      </c>
      <c r="AV252" s="18">
        <v>0</v>
      </c>
      <c r="AW252" s="18">
        <v>0</v>
      </c>
      <c r="AX252" s="18">
        <v>0</v>
      </c>
      <c r="AY252" s="41">
        <v>0</v>
      </c>
      <c r="AZ252" s="31">
        <v>0</v>
      </c>
      <c r="BA252" s="31">
        <v>0</v>
      </c>
      <c r="BB252" s="31">
        <v>0</v>
      </c>
      <c r="BC252" s="31">
        <v>0</v>
      </c>
      <c r="BD252" s="31">
        <v>0</v>
      </c>
      <c r="BE252" s="31">
        <v>0</v>
      </c>
      <c r="BF252" s="31">
        <v>0</v>
      </c>
      <c r="BG252" s="31">
        <v>0</v>
      </c>
      <c r="BH252" s="31">
        <v>0</v>
      </c>
      <c r="BI252" s="31">
        <v>0</v>
      </c>
      <c r="BJ252" s="31">
        <v>0</v>
      </c>
      <c r="BK252" s="31">
        <v>0</v>
      </c>
      <c r="BL252" s="31">
        <v>0</v>
      </c>
      <c r="BM252" s="31">
        <v>0</v>
      </c>
      <c r="BN252" s="31">
        <v>0</v>
      </c>
      <c r="BO252" s="31">
        <v>1</v>
      </c>
      <c r="BP252" s="31">
        <v>0</v>
      </c>
      <c r="BQ252" s="31">
        <v>0</v>
      </c>
      <c r="BR252" s="31">
        <v>0</v>
      </c>
      <c r="BS252" s="31">
        <v>0</v>
      </c>
      <c r="BT252" s="31">
        <v>0</v>
      </c>
      <c r="BU252" s="31">
        <v>0</v>
      </c>
      <c r="BV252" s="31">
        <v>0</v>
      </c>
      <c r="BW252" s="31">
        <v>0</v>
      </c>
      <c r="BX252" s="31">
        <v>0</v>
      </c>
      <c r="BY252" s="31">
        <v>0</v>
      </c>
      <c r="BZ252" s="31">
        <v>0</v>
      </c>
      <c r="CA252" s="31">
        <v>0</v>
      </c>
      <c r="CB252" s="31">
        <v>0</v>
      </c>
      <c r="CC252" s="31">
        <v>0</v>
      </c>
      <c r="CD252" s="31">
        <v>0</v>
      </c>
      <c r="CE252" s="31">
        <v>0</v>
      </c>
      <c r="CF252" s="31">
        <v>0</v>
      </c>
      <c r="CG252" s="31">
        <v>0</v>
      </c>
      <c r="CH252" s="31">
        <v>0</v>
      </c>
      <c r="CI252" s="31">
        <v>0</v>
      </c>
      <c r="CJ252" s="31">
        <v>0</v>
      </c>
      <c r="CK252" s="31">
        <v>0</v>
      </c>
      <c r="CL252" s="35">
        <v>0</v>
      </c>
    </row>
    <row r="253" spans="1:90" x14ac:dyDescent="0.15">
      <c r="A253" s="27" t="s">
        <v>1252</v>
      </c>
      <c r="B253" s="28" t="s">
        <v>1253</v>
      </c>
      <c r="C253" s="28">
        <v>0</v>
      </c>
      <c r="D253" s="28">
        <v>0</v>
      </c>
      <c r="E253" s="28">
        <v>0</v>
      </c>
      <c r="F253" s="28">
        <v>0</v>
      </c>
      <c r="G253" s="28">
        <v>6</v>
      </c>
      <c r="H253" s="28">
        <f>IFERROR(VLOOKUP(A253,[1]FALTANTES!$A:$AB,28,FALSE),"-")</f>
        <v>0</v>
      </c>
      <c r="I253" s="42">
        <f>IFERROR(VLOOKUP(A253,[1]FALTANTES!$A:$AC,29,FALSE),"-")</f>
        <v>2</v>
      </c>
      <c r="J253" s="29">
        <f>IFERROR(VLOOKUP(A253,[1]FALTANTES!$A:$AD,30,FALSE),"-")</f>
        <v>-4</v>
      </c>
      <c r="K253" s="30">
        <v>0</v>
      </c>
      <c r="L253" s="30">
        <f t="shared" si="4"/>
        <v>2</v>
      </c>
      <c r="M253" s="31">
        <f>SUMIFS(METALFISA!$E:$E,METALFISA!$A:$A,'Faltantes Fevereiro- Metalfisa'!M$3,METALFISA!$B:$B,'Faltantes Fevereiro- Metalfisa'!$A253)</f>
        <v>0</v>
      </c>
      <c r="N253" s="31">
        <f>SUMIFS(METALFISA!$E:$E,METALFISA!$A:$A,'Faltantes Fevereiro- Metalfisa'!N$3,METALFISA!$B:$B,'Faltantes Fevereiro- Metalfisa'!$A253)</f>
        <v>0</v>
      </c>
      <c r="O253" s="31">
        <f>SUMIFS(METALFISA!$E:$E,METALFISA!$A:$A,'Faltantes Fevereiro- Metalfisa'!O$3,METALFISA!$B:$B,'Faltantes Fevereiro- Metalfisa'!$A253)</f>
        <v>0</v>
      </c>
      <c r="P253" s="31">
        <f>SUMIFS(METALFISA!$E:$E,METALFISA!$A:$A,'Faltantes Fevereiro- Metalfisa'!P$3,METALFISA!$B:$B,'Faltantes Fevereiro- Metalfisa'!$A253)</f>
        <v>0</v>
      </c>
      <c r="Q253" s="31">
        <f>SUMIFS(METALFISA!$E:$E,METALFISA!$A:$A,'Faltantes Fevereiro- Metalfisa'!Q$3,METALFISA!$B:$B,'Faltantes Fevereiro- Metalfisa'!$A253)</f>
        <v>0</v>
      </c>
      <c r="R253" s="31">
        <f>SUMIFS(METALFISA!$E:$E,METALFISA!$A:$A,'Faltantes Fevereiro- Metalfisa'!R$3,METALFISA!$B:$B,'Faltantes Fevereiro- Metalfisa'!$A253)</f>
        <v>0</v>
      </c>
      <c r="S253" s="31">
        <f>SUMIFS(METALFISA!$E:$E,METALFISA!$A:$A,'Faltantes Fevereiro- Metalfisa'!S$3,METALFISA!$B:$B,'Faltantes Fevereiro- Metalfisa'!$A253)</f>
        <v>0</v>
      </c>
      <c r="T253" s="31">
        <f>SUMIFS(METALFISA!$E:$E,METALFISA!$A:$A,'Faltantes Fevereiro- Metalfisa'!T$3,METALFISA!$B:$B,'Faltantes Fevereiro- Metalfisa'!$A253)</f>
        <v>0</v>
      </c>
      <c r="U253" s="31">
        <f>SUMIFS(METALFISA!$E:$E,METALFISA!$A:$A,'Faltantes Fevereiro- Metalfisa'!U$3,METALFISA!$B:$B,'Faltantes Fevereiro- Metalfisa'!$A253)</f>
        <v>0</v>
      </c>
      <c r="V253" s="31">
        <f>SUMIFS(METALFISA!$E:$E,METALFISA!$A:$A,'Faltantes Fevereiro- Metalfisa'!V$3,METALFISA!$B:$B,'Faltantes Fevereiro- Metalfisa'!$A253)</f>
        <v>0</v>
      </c>
      <c r="W253" s="31">
        <f>SUMIFS(METALFISA!$E:$E,METALFISA!$A:$A,'Faltantes Fevereiro- Metalfisa'!W$3,METALFISA!$B:$B,'Faltantes Fevereiro- Metalfisa'!$A253)</f>
        <v>0</v>
      </c>
      <c r="X253" s="31">
        <f>SUMIFS(METALFISA!$E:$E,METALFISA!$A:$A,'Faltantes Fevereiro- Metalfisa'!X$3,METALFISA!$B:$B,'Faltantes Fevereiro- Metalfisa'!$A253)</f>
        <v>0</v>
      </c>
      <c r="Y253" s="31">
        <f>SUMIFS(METALFISA!$E:$E,METALFISA!$A:$A,'Faltantes Fevereiro- Metalfisa'!Y$3,METALFISA!$B:$B,'Faltantes Fevereiro- Metalfisa'!$A253)</f>
        <v>0</v>
      </c>
      <c r="Z253" s="31">
        <f>SUMIFS(METALFISA!$E:$E,METALFISA!$A:$A,'Faltantes Fevereiro- Metalfisa'!Z$3,METALFISA!$B:$B,'Faltantes Fevereiro- Metalfisa'!$A253)</f>
        <v>0</v>
      </c>
      <c r="AA253" s="31">
        <f>SUMIFS(METALFISA!$E:$E,METALFISA!$A:$A,'Faltantes Fevereiro- Metalfisa'!AA$3,METALFISA!$B:$B,'Faltantes Fevereiro- Metalfisa'!$A253)</f>
        <v>0</v>
      </c>
      <c r="AB253" s="31">
        <f>SUMIFS(METALFISA!$E:$E,METALFISA!$A:$A,'Faltantes Fevereiro- Metalfisa'!AB$3,METALFISA!$B:$B,'Faltantes Fevereiro- Metalfisa'!$A253)</f>
        <v>0</v>
      </c>
      <c r="AC253" s="31">
        <f>SUMIFS(METALFISA!$E:$E,METALFISA!$A:$A,'Faltantes Fevereiro- Metalfisa'!AC$3,METALFISA!$B:$B,'Faltantes Fevereiro- Metalfisa'!$A253)</f>
        <v>0</v>
      </c>
      <c r="AD253" s="31">
        <f>SUMIFS(METALFISA!$E:$E,METALFISA!$A:$A,'Faltantes Fevereiro- Metalfisa'!AD$3,METALFISA!$B:$B,'Faltantes Fevereiro- Metalfisa'!$A253)</f>
        <v>0</v>
      </c>
      <c r="AE253" s="31">
        <f>SUMIFS(METALFISA!$E:$E,METALFISA!$A:$A,'Faltantes Fevereiro- Metalfisa'!AE$3,METALFISA!$B:$B,'Faltantes Fevereiro- Metalfisa'!$A253)</f>
        <v>2</v>
      </c>
      <c r="AF253" s="31">
        <f>SUMIFS(METALFISA!$E:$E,METALFISA!$A:$A,'Faltantes Fevereiro- Metalfisa'!AF$3,METALFISA!$B:$B,'Faltantes Fevereiro- Metalfisa'!$A253)</f>
        <v>0</v>
      </c>
      <c r="AG253" s="31">
        <f>SUMIFS(METALFISA!$E:$E,METALFISA!$A:$A,'Faltantes Fevereiro- Metalfisa'!AG$3,METALFISA!$B:$B,'Faltantes Fevereiro- Metalfisa'!$A253)</f>
        <v>0</v>
      </c>
      <c r="AH253" s="31">
        <f>SUMIFS(METALFISA!$E:$E,METALFISA!$A:$A,'Faltantes Fevereiro- Metalfisa'!AH$3,METALFISA!$B:$B,'Faltantes Fevereiro- Metalfisa'!$A253)</f>
        <v>0</v>
      </c>
      <c r="AI253" s="31">
        <f>SUMIFS(METALFISA!$E:$E,METALFISA!$A:$A,'Faltantes Fevereiro- Metalfisa'!AI$3,METALFISA!$B:$B,'Faltantes Fevereiro- Metalfisa'!$A253)</f>
        <v>0</v>
      </c>
      <c r="AJ253" s="31">
        <f>SUMIFS(METALFISA!$E:$E,METALFISA!$A:$A,'Faltantes Fevereiro- Metalfisa'!AJ$3,METALFISA!$B:$B,'Faltantes Fevereiro- Metalfisa'!$A253)</f>
        <v>0</v>
      </c>
      <c r="AK253" s="31">
        <f>SUMIFS(METALFISA!$E:$E,METALFISA!$A:$A,'Faltantes Fevereiro- Metalfisa'!AK$3,METALFISA!$B:$B,'Faltantes Fevereiro- Metalfisa'!$A253)</f>
        <v>0</v>
      </c>
      <c r="AL253" s="31">
        <f>SUMIFS(METALFISA!$E:$E,METALFISA!$A:$A,'Faltantes Fevereiro- Metalfisa'!AL$3,METALFISA!$B:$B,'Faltantes Fevereiro- Metalfisa'!$A253)</f>
        <v>0</v>
      </c>
      <c r="AM253" s="31">
        <f>SUMIFS(METALFISA!$E:$E,METALFISA!$A:$A,'Faltantes Fevereiro- Metalfisa'!AM$3,METALFISA!$B:$B,'Faltantes Fevereiro- Metalfisa'!$A253)</f>
        <v>0</v>
      </c>
      <c r="AN253" s="31">
        <f>SUMIFS(METALFISA!$E:$E,METALFISA!$A:$A,'Faltantes Fevereiro- Metalfisa'!AN$3,METALFISA!$B:$B,'Faltantes Fevereiro- Metalfisa'!$A253)</f>
        <v>0</v>
      </c>
      <c r="AO253" s="31">
        <f>SUMIFS(METALFISA!$E:$E,METALFISA!$A:$A,'Faltantes Fevereiro- Metalfisa'!AO$3,METALFISA!$B:$B,'Faltantes Fevereiro- Metalfisa'!$A253)</f>
        <v>0</v>
      </c>
      <c r="AP253" s="31">
        <f>SUMIFS(METALFISA!$E:$E,METALFISA!$A:$A,'Faltantes Fevereiro- Metalfisa'!AP$3,METALFISA!$B:$B,'Faltantes Fevereiro- Metalfisa'!$A253)</f>
        <v>0</v>
      </c>
      <c r="AQ253" s="31"/>
      <c r="AR253" s="31">
        <f>SUMIFS(METALFISA!$E:$E,METALFISA!$A:$A,'Faltantes Fevereiro- Metalfisa'!AR$3,METALFISA!$B:$B,'Faltantes Fevereiro- Metalfisa'!$A253)</f>
        <v>0</v>
      </c>
      <c r="AS253" s="35">
        <f>SUMIFS(METALFISA!$E:$E,METALFISA!$A:$A,'Faltantes Fevereiro- Metalfisa'!AS$3,METALFISA!$B:$B,'Faltantes Fevereiro- Metalfisa'!$A253)</f>
        <v>0</v>
      </c>
      <c r="AU253" s="18">
        <v>0</v>
      </c>
      <c r="AV253" s="18">
        <v>0</v>
      </c>
      <c r="AW253" s="18">
        <v>0</v>
      </c>
      <c r="AX253" s="18">
        <v>0</v>
      </c>
      <c r="AY253" s="41">
        <v>0</v>
      </c>
      <c r="AZ253" s="31">
        <v>0</v>
      </c>
      <c r="BA253" s="31">
        <v>0</v>
      </c>
      <c r="BB253" s="31">
        <v>0</v>
      </c>
      <c r="BC253" s="31">
        <v>0</v>
      </c>
      <c r="BD253" s="31">
        <v>0</v>
      </c>
      <c r="BE253" s="31">
        <v>0</v>
      </c>
      <c r="BF253" s="31">
        <v>0</v>
      </c>
      <c r="BG253" s="31">
        <v>0</v>
      </c>
      <c r="BH253" s="31">
        <v>0</v>
      </c>
      <c r="BI253" s="31">
        <v>0</v>
      </c>
      <c r="BJ253" s="31">
        <v>0</v>
      </c>
      <c r="BK253" s="31">
        <v>0</v>
      </c>
      <c r="BL253" s="31">
        <v>0</v>
      </c>
      <c r="BM253" s="31">
        <v>0</v>
      </c>
      <c r="BN253" s="31">
        <v>0</v>
      </c>
      <c r="BO253" s="31">
        <v>1</v>
      </c>
      <c r="BP253" s="31">
        <v>0</v>
      </c>
      <c r="BQ253" s="31">
        <v>0</v>
      </c>
      <c r="BR253" s="31">
        <v>0</v>
      </c>
      <c r="BS253" s="31">
        <v>0</v>
      </c>
      <c r="BT253" s="31">
        <v>0</v>
      </c>
      <c r="BU253" s="31">
        <v>0</v>
      </c>
      <c r="BV253" s="31">
        <v>0</v>
      </c>
      <c r="BW253" s="31">
        <v>0</v>
      </c>
      <c r="BX253" s="31">
        <v>0</v>
      </c>
      <c r="BY253" s="31">
        <v>0</v>
      </c>
      <c r="BZ253" s="31">
        <v>0</v>
      </c>
      <c r="CA253" s="31">
        <v>0</v>
      </c>
      <c r="CB253" s="31">
        <v>0</v>
      </c>
      <c r="CC253" s="31">
        <v>0</v>
      </c>
      <c r="CD253" s="31">
        <v>0</v>
      </c>
      <c r="CE253" s="31">
        <v>0</v>
      </c>
      <c r="CF253" s="31">
        <v>0</v>
      </c>
      <c r="CG253" s="31">
        <v>0</v>
      </c>
      <c r="CH253" s="31">
        <v>0</v>
      </c>
      <c r="CI253" s="31">
        <v>0</v>
      </c>
      <c r="CJ253" s="31">
        <v>0</v>
      </c>
      <c r="CK253" s="31">
        <v>0</v>
      </c>
      <c r="CL253" s="35">
        <v>0</v>
      </c>
    </row>
    <row r="254" spans="1:90" ht="21" x14ac:dyDescent="0.15">
      <c r="A254" s="27" t="s">
        <v>1256</v>
      </c>
      <c r="B254" s="28" t="s">
        <v>1257</v>
      </c>
      <c r="C254" s="28">
        <v>0</v>
      </c>
      <c r="D254" s="28">
        <v>0</v>
      </c>
      <c r="E254" s="28">
        <v>0</v>
      </c>
      <c r="F254" s="28">
        <v>0</v>
      </c>
      <c r="G254" s="28">
        <v>36</v>
      </c>
      <c r="H254" s="28">
        <f>IFERROR(VLOOKUP(A254,[1]FALTANTES!$A:$AB,28,FALSE),"-")</f>
        <v>0</v>
      </c>
      <c r="I254" s="42">
        <f>IFERROR(VLOOKUP(A254,[1]FALTANTES!$A:$AC,29,FALSE),"-")</f>
        <v>0</v>
      </c>
      <c r="J254" s="29">
        <f>IFERROR(VLOOKUP(A254,[1]FALTANTES!$A:$AD,30,FALSE),"-")</f>
        <v>-36</v>
      </c>
      <c r="K254" s="30">
        <v>0</v>
      </c>
      <c r="L254" s="30">
        <f t="shared" si="4"/>
        <v>4</v>
      </c>
      <c r="M254" s="31">
        <f>SUMIFS(METALFISA!$E:$E,METALFISA!$A:$A,'Faltantes Fevereiro- Metalfisa'!M$3,METALFISA!$B:$B,'Faltantes Fevereiro- Metalfisa'!$A254)</f>
        <v>0</v>
      </c>
      <c r="N254" s="31">
        <f>SUMIFS(METALFISA!$E:$E,METALFISA!$A:$A,'Faltantes Fevereiro- Metalfisa'!N$3,METALFISA!$B:$B,'Faltantes Fevereiro- Metalfisa'!$A254)</f>
        <v>0</v>
      </c>
      <c r="O254" s="31">
        <f>SUMIFS(METALFISA!$E:$E,METALFISA!$A:$A,'Faltantes Fevereiro- Metalfisa'!O$3,METALFISA!$B:$B,'Faltantes Fevereiro- Metalfisa'!$A254)</f>
        <v>0</v>
      </c>
      <c r="P254" s="31">
        <f>SUMIFS(METALFISA!$E:$E,METALFISA!$A:$A,'Faltantes Fevereiro- Metalfisa'!P$3,METALFISA!$B:$B,'Faltantes Fevereiro- Metalfisa'!$A254)</f>
        <v>0</v>
      </c>
      <c r="Q254" s="31">
        <f>SUMIFS(METALFISA!$E:$E,METALFISA!$A:$A,'Faltantes Fevereiro- Metalfisa'!Q$3,METALFISA!$B:$B,'Faltantes Fevereiro- Metalfisa'!$A254)</f>
        <v>0</v>
      </c>
      <c r="R254" s="31">
        <f>SUMIFS(METALFISA!$E:$E,METALFISA!$A:$A,'Faltantes Fevereiro- Metalfisa'!R$3,METALFISA!$B:$B,'Faltantes Fevereiro- Metalfisa'!$A254)</f>
        <v>0</v>
      </c>
      <c r="S254" s="31">
        <f>SUMIFS(METALFISA!$E:$E,METALFISA!$A:$A,'Faltantes Fevereiro- Metalfisa'!S$3,METALFISA!$B:$B,'Faltantes Fevereiro- Metalfisa'!$A254)</f>
        <v>0</v>
      </c>
      <c r="T254" s="31">
        <f>SUMIFS(METALFISA!$E:$E,METALFISA!$A:$A,'Faltantes Fevereiro- Metalfisa'!T$3,METALFISA!$B:$B,'Faltantes Fevereiro- Metalfisa'!$A254)</f>
        <v>0</v>
      </c>
      <c r="U254" s="31">
        <f>SUMIFS(METALFISA!$E:$E,METALFISA!$A:$A,'Faltantes Fevereiro- Metalfisa'!U$3,METALFISA!$B:$B,'Faltantes Fevereiro- Metalfisa'!$A254)</f>
        <v>0</v>
      </c>
      <c r="V254" s="31">
        <f>SUMIFS(METALFISA!$E:$E,METALFISA!$A:$A,'Faltantes Fevereiro- Metalfisa'!V$3,METALFISA!$B:$B,'Faltantes Fevereiro- Metalfisa'!$A254)</f>
        <v>0</v>
      </c>
      <c r="W254" s="31">
        <f>SUMIFS(METALFISA!$E:$E,METALFISA!$A:$A,'Faltantes Fevereiro- Metalfisa'!W$3,METALFISA!$B:$B,'Faltantes Fevereiro- Metalfisa'!$A254)</f>
        <v>0</v>
      </c>
      <c r="X254" s="31">
        <f>SUMIFS(METALFISA!$E:$E,METALFISA!$A:$A,'Faltantes Fevereiro- Metalfisa'!X$3,METALFISA!$B:$B,'Faltantes Fevereiro- Metalfisa'!$A254)</f>
        <v>0</v>
      </c>
      <c r="Y254" s="31">
        <f>SUMIFS(METALFISA!$E:$E,METALFISA!$A:$A,'Faltantes Fevereiro- Metalfisa'!Y$3,METALFISA!$B:$B,'Faltantes Fevereiro- Metalfisa'!$A254)</f>
        <v>0</v>
      </c>
      <c r="Z254" s="31">
        <f>SUMIFS(METALFISA!$E:$E,METALFISA!$A:$A,'Faltantes Fevereiro- Metalfisa'!Z$3,METALFISA!$B:$B,'Faltantes Fevereiro- Metalfisa'!$A254)</f>
        <v>0</v>
      </c>
      <c r="AA254" s="31">
        <f>SUMIFS(METALFISA!$E:$E,METALFISA!$A:$A,'Faltantes Fevereiro- Metalfisa'!AA$3,METALFISA!$B:$B,'Faltantes Fevereiro- Metalfisa'!$A254)</f>
        <v>0</v>
      </c>
      <c r="AB254" s="31">
        <f>SUMIFS(METALFISA!$E:$E,METALFISA!$A:$A,'Faltantes Fevereiro- Metalfisa'!AB$3,METALFISA!$B:$B,'Faltantes Fevereiro- Metalfisa'!$A254)</f>
        <v>0</v>
      </c>
      <c r="AC254" s="31">
        <f>SUMIFS(METALFISA!$E:$E,METALFISA!$A:$A,'Faltantes Fevereiro- Metalfisa'!AC$3,METALFISA!$B:$B,'Faltantes Fevereiro- Metalfisa'!$A254)</f>
        <v>0</v>
      </c>
      <c r="AD254" s="31">
        <f>SUMIFS(METALFISA!$E:$E,METALFISA!$A:$A,'Faltantes Fevereiro- Metalfisa'!AD$3,METALFISA!$B:$B,'Faltantes Fevereiro- Metalfisa'!$A254)</f>
        <v>0</v>
      </c>
      <c r="AE254" s="31">
        <f>SUMIFS(METALFISA!$E:$E,METALFISA!$A:$A,'Faltantes Fevereiro- Metalfisa'!AE$3,METALFISA!$B:$B,'Faltantes Fevereiro- Metalfisa'!$A254)</f>
        <v>4</v>
      </c>
      <c r="AF254" s="31">
        <f>SUMIFS(METALFISA!$E:$E,METALFISA!$A:$A,'Faltantes Fevereiro- Metalfisa'!AF$3,METALFISA!$B:$B,'Faltantes Fevereiro- Metalfisa'!$A254)</f>
        <v>0</v>
      </c>
      <c r="AG254" s="31">
        <f>SUMIFS(METALFISA!$E:$E,METALFISA!$A:$A,'Faltantes Fevereiro- Metalfisa'!AG$3,METALFISA!$B:$B,'Faltantes Fevereiro- Metalfisa'!$A254)</f>
        <v>0</v>
      </c>
      <c r="AH254" s="31">
        <f>SUMIFS(METALFISA!$E:$E,METALFISA!$A:$A,'Faltantes Fevereiro- Metalfisa'!AH$3,METALFISA!$B:$B,'Faltantes Fevereiro- Metalfisa'!$A254)</f>
        <v>0</v>
      </c>
      <c r="AI254" s="31">
        <f>SUMIFS(METALFISA!$E:$E,METALFISA!$A:$A,'Faltantes Fevereiro- Metalfisa'!AI$3,METALFISA!$B:$B,'Faltantes Fevereiro- Metalfisa'!$A254)</f>
        <v>0</v>
      </c>
      <c r="AJ254" s="31">
        <f>SUMIFS(METALFISA!$E:$E,METALFISA!$A:$A,'Faltantes Fevereiro- Metalfisa'!AJ$3,METALFISA!$B:$B,'Faltantes Fevereiro- Metalfisa'!$A254)</f>
        <v>0</v>
      </c>
      <c r="AK254" s="31">
        <f>SUMIFS(METALFISA!$E:$E,METALFISA!$A:$A,'Faltantes Fevereiro- Metalfisa'!AK$3,METALFISA!$B:$B,'Faltantes Fevereiro- Metalfisa'!$A254)</f>
        <v>0</v>
      </c>
      <c r="AL254" s="31">
        <f>SUMIFS(METALFISA!$E:$E,METALFISA!$A:$A,'Faltantes Fevereiro- Metalfisa'!AL$3,METALFISA!$B:$B,'Faltantes Fevereiro- Metalfisa'!$A254)</f>
        <v>0</v>
      </c>
      <c r="AM254" s="31">
        <f>SUMIFS(METALFISA!$E:$E,METALFISA!$A:$A,'Faltantes Fevereiro- Metalfisa'!AM$3,METALFISA!$B:$B,'Faltantes Fevereiro- Metalfisa'!$A254)</f>
        <v>0</v>
      </c>
      <c r="AN254" s="31">
        <f>SUMIFS(METALFISA!$E:$E,METALFISA!$A:$A,'Faltantes Fevereiro- Metalfisa'!AN$3,METALFISA!$B:$B,'Faltantes Fevereiro- Metalfisa'!$A254)</f>
        <v>0</v>
      </c>
      <c r="AO254" s="31">
        <f>SUMIFS(METALFISA!$E:$E,METALFISA!$A:$A,'Faltantes Fevereiro- Metalfisa'!AO$3,METALFISA!$B:$B,'Faltantes Fevereiro- Metalfisa'!$A254)</f>
        <v>0</v>
      </c>
      <c r="AP254" s="31">
        <f>SUMIFS(METALFISA!$E:$E,METALFISA!$A:$A,'Faltantes Fevereiro- Metalfisa'!AP$3,METALFISA!$B:$B,'Faltantes Fevereiro- Metalfisa'!$A254)</f>
        <v>0</v>
      </c>
      <c r="AQ254" s="31"/>
      <c r="AR254" s="31">
        <f>SUMIFS(METALFISA!$E:$E,METALFISA!$A:$A,'Faltantes Fevereiro- Metalfisa'!AR$3,METALFISA!$B:$B,'Faltantes Fevereiro- Metalfisa'!$A254)</f>
        <v>0</v>
      </c>
      <c r="AS254" s="35">
        <f>SUMIFS(METALFISA!$E:$E,METALFISA!$A:$A,'Faltantes Fevereiro- Metalfisa'!AS$3,METALFISA!$B:$B,'Faltantes Fevereiro- Metalfisa'!$A254)</f>
        <v>0</v>
      </c>
      <c r="AU254" s="18">
        <v>0</v>
      </c>
      <c r="AV254" s="18">
        <v>0</v>
      </c>
      <c r="AW254" s="18">
        <v>0</v>
      </c>
      <c r="AX254" s="18">
        <v>0</v>
      </c>
      <c r="AY254" s="41">
        <v>0</v>
      </c>
      <c r="AZ254" s="31">
        <v>0</v>
      </c>
      <c r="BA254" s="31">
        <v>0</v>
      </c>
      <c r="BB254" s="31">
        <v>0</v>
      </c>
      <c r="BC254" s="31">
        <v>0</v>
      </c>
      <c r="BD254" s="31">
        <v>0</v>
      </c>
      <c r="BE254" s="31">
        <v>0</v>
      </c>
      <c r="BF254" s="31">
        <v>0</v>
      </c>
      <c r="BG254" s="31">
        <v>0</v>
      </c>
      <c r="BH254" s="31">
        <v>0</v>
      </c>
      <c r="BI254" s="31">
        <v>0</v>
      </c>
      <c r="BJ254" s="31">
        <v>0</v>
      </c>
      <c r="BK254" s="31">
        <v>0</v>
      </c>
      <c r="BL254" s="31">
        <v>0</v>
      </c>
      <c r="BM254" s="31">
        <v>0</v>
      </c>
      <c r="BN254" s="31">
        <v>4</v>
      </c>
      <c r="BO254" s="31">
        <v>4</v>
      </c>
      <c r="BP254" s="31">
        <v>0</v>
      </c>
      <c r="BQ254" s="31">
        <v>0</v>
      </c>
      <c r="BR254" s="31">
        <v>0</v>
      </c>
      <c r="BS254" s="31">
        <v>0</v>
      </c>
      <c r="BT254" s="31">
        <v>0</v>
      </c>
      <c r="BU254" s="31">
        <v>0</v>
      </c>
      <c r="BV254" s="31">
        <v>0</v>
      </c>
      <c r="BW254" s="31">
        <v>0</v>
      </c>
      <c r="BX254" s="31">
        <v>0</v>
      </c>
      <c r="BY254" s="31">
        <v>0</v>
      </c>
      <c r="BZ254" s="31">
        <v>0</v>
      </c>
      <c r="CA254" s="31">
        <v>0</v>
      </c>
      <c r="CB254" s="31">
        <v>0</v>
      </c>
      <c r="CC254" s="31">
        <v>0</v>
      </c>
      <c r="CD254" s="31">
        <v>0</v>
      </c>
      <c r="CE254" s="31">
        <v>0</v>
      </c>
      <c r="CF254" s="31">
        <v>0</v>
      </c>
      <c r="CG254" s="31">
        <v>0</v>
      </c>
      <c r="CH254" s="31">
        <v>0</v>
      </c>
      <c r="CI254" s="31">
        <v>0</v>
      </c>
      <c r="CJ254" s="31">
        <v>0</v>
      </c>
      <c r="CK254" s="31">
        <v>0</v>
      </c>
      <c r="CL254" s="35">
        <v>0</v>
      </c>
    </row>
    <row r="255" spans="1:90" ht="21" x14ac:dyDescent="0.15">
      <c r="A255" s="27" t="s">
        <v>1259</v>
      </c>
      <c r="B255" s="28" t="s">
        <v>1260</v>
      </c>
      <c r="C255" s="28">
        <v>2</v>
      </c>
      <c r="D255" s="28">
        <v>0</v>
      </c>
      <c r="E255" s="28">
        <v>0</v>
      </c>
      <c r="F255" s="28">
        <v>0</v>
      </c>
      <c r="G255" s="28">
        <v>9</v>
      </c>
      <c r="H255" s="28">
        <f>IFERROR(VLOOKUP(A255,[1]FALTANTES!$A:$AB,28,FALSE),"-")</f>
        <v>0</v>
      </c>
      <c r="I255" s="42">
        <f>IFERROR(VLOOKUP(A255,[1]FALTANTES!$A:$AC,29,FALSE),"-")</f>
        <v>2</v>
      </c>
      <c r="J255" s="29">
        <f>IFERROR(VLOOKUP(A255,[1]FALTANTES!$A:$AD,30,FALSE),"-")</f>
        <v>-9</v>
      </c>
      <c r="K255" s="30">
        <v>0</v>
      </c>
      <c r="L255" s="30">
        <f t="shared" ref="L255:L304" si="5">SUM(M255:AS255)</f>
        <v>2</v>
      </c>
      <c r="M255" s="31">
        <f>SUMIFS(METALFISA!$E:$E,METALFISA!$A:$A,'Faltantes Fevereiro- Metalfisa'!M$3,METALFISA!$B:$B,'Faltantes Fevereiro- Metalfisa'!$A255)</f>
        <v>0</v>
      </c>
      <c r="N255" s="31">
        <f>SUMIFS(METALFISA!$E:$E,METALFISA!$A:$A,'Faltantes Fevereiro- Metalfisa'!N$3,METALFISA!$B:$B,'Faltantes Fevereiro- Metalfisa'!$A255)</f>
        <v>0</v>
      </c>
      <c r="O255" s="31">
        <f>SUMIFS(METALFISA!$E:$E,METALFISA!$A:$A,'Faltantes Fevereiro- Metalfisa'!O$3,METALFISA!$B:$B,'Faltantes Fevereiro- Metalfisa'!$A255)</f>
        <v>0</v>
      </c>
      <c r="P255" s="31">
        <f>SUMIFS(METALFISA!$E:$E,METALFISA!$A:$A,'Faltantes Fevereiro- Metalfisa'!P$3,METALFISA!$B:$B,'Faltantes Fevereiro- Metalfisa'!$A255)</f>
        <v>0</v>
      </c>
      <c r="Q255" s="31">
        <f>SUMIFS(METALFISA!$E:$E,METALFISA!$A:$A,'Faltantes Fevereiro- Metalfisa'!Q$3,METALFISA!$B:$B,'Faltantes Fevereiro- Metalfisa'!$A255)</f>
        <v>0</v>
      </c>
      <c r="R255" s="31">
        <f>SUMIFS(METALFISA!$E:$E,METALFISA!$A:$A,'Faltantes Fevereiro- Metalfisa'!R$3,METALFISA!$B:$B,'Faltantes Fevereiro- Metalfisa'!$A255)</f>
        <v>0</v>
      </c>
      <c r="S255" s="31">
        <f>SUMIFS(METALFISA!$E:$E,METALFISA!$A:$A,'Faltantes Fevereiro- Metalfisa'!S$3,METALFISA!$B:$B,'Faltantes Fevereiro- Metalfisa'!$A255)</f>
        <v>0</v>
      </c>
      <c r="T255" s="31">
        <f>SUMIFS(METALFISA!$E:$E,METALFISA!$A:$A,'Faltantes Fevereiro- Metalfisa'!T$3,METALFISA!$B:$B,'Faltantes Fevereiro- Metalfisa'!$A255)</f>
        <v>0</v>
      </c>
      <c r="U255" s="31">
        <f>SUMIFS(METALFISA!$E:$E,METALFISA!$A:$A,'Faltantes Fevereiro- Metalfisa'!U$3,METALFISA!$B:$B,'Faltantes Fevereiro- Metalfisa'!$A255)</f>
        <v>0</v>
      </c>
      <c r="V255" s="31">
        <f>SUMIFS(METALFISA!$E:$E,METALFISA!$A:$A,'Faltantes Fevereiro- Metalfisa'!V$3,METALFISA!$B:$B,'Faltantes Fevereiro- Metalfisa'!$A255)</f>
        <v>0</v>
      </c>
      <c r="W255" s="31">
        <f>SUMIFS(METALFISA!$E:$E,METALFISA!$A:$A,'Faltantes Fevereiro- Metalfisa'!W$3,METALFISA!$B:$B,'Faltantes Fevereiro- Metalfisa'!$A255)</f>
        <v>0</v>
      </c>
      <c r="X255" s="31">
        <f>SUMIFS(METALFISA!$E:$E,METALFISA!$A:$A,'Faltantes Fevereiro- Metalfisa'!X$3,METALFISA!$B:$B,'Faltantes Fevereiro- Metalfisa'!$A255)</f>
        <v>0</v>
      </c>
      <c r="Y255" s="31">
        <f>SUMIFS(METALFISA!$E:$E,METALFISA!$A:$A,'Faltantes Fevereiro- Metalfisa'!Y$3,METALFISA!$B:$B,'Faltantes Fevereiro- Metalfisa'!$A255)</f>
        <v>0</v>
      </c>
      <c r="Z255" s="31">
        <f>SUMIFS(METALFISA!$E:$E,METALFISA!$A:$A,'Faltantes Fevereiro- Metalfisa'!Z$3,METALFISA!$B:$B,'Faltantes Fevereiro- Metalfisa'!$A255)</f>
        <v>0</v>
      </c>
      <c r="AA255" s="31">
        <f>SUMIFS(METALFISA!$E:$E,METALFISA!$A:$A,'Faltantes Fevereiro- Metalfisa'!AA$3,METALFISA!$B:$B,'Faltantes Fevereiro- Metalfisa'!$A255)</f>
        <v>0</v>
      </c>
      <c r="AB255" s="31">
        <f>SUMIFS(METALFISA!$E:$E,METALFISA!$A:$A,'Faltantes Fevereiro- Metalfisa'!AB$3,METALFISA!$B:$B,'Faltantes Fevereiro- Metalfisa'!$A255)</f>
        <v>0</v>
      </c>
      <c r="AC255" s="31">
        <f>SUMIFS(METALFISA!$E:$E,METALFISA!$A:$A,'Faltantes Fevereiro- Metalfisa'!AC$3,METALFISA!$B:$B,'Faltantes Fevereiro- Metalfisa'!$A255)</f>
        <v>0</v>
      </c>
      <c r="AD255" s="31">
        <f>SUMIFS(METALFISA!$E:$E,METALFISA!$A:$A,'Faltantes Fevereiro- Metalfisa'!AD$3,METALFISA!$B:$B,'Faltantes Fevereiro- Metalfisa'!$A255)</f>
        <v>0</v>
      </c>
      <c r="AE255" s="31">
        <f>SUMIFS(METALFISA!$E:$E,METALFISA!$A:$A,'Faltantes Fevereiro- Metalfisa'!AE$3,METALFISA!$B:$B,'Faltantes Fevereiro- Metalfisa'!$A255)</f>
        <v>2</v>
      </c>
      <c r="AF255" s="31">
        <f>SUMIFS(METALFISA!$E:$E,METALFISA!$A:$A,'Faltantes Fevereiro- Metalfisa'!AF$3,METALFISA!$B:$B,'Faltantes Fevereiro- Metalfisa'!$A255)</f>
        <v>0</v>
      </c>
      <c r="AG255" s="31">
        <f>SUMIFS(METALFISA!$E:$E,METALFISA!$A:$A,'Faltantes Fevereiro- Metalfisa'!AG$3,METALFISA!$B:$B,'Faltantes Fevereiro- Metalfisa'!$A255)</f>
        <v>0</v>
      </c>
      <c r="AH255" s="31">
        <f>SUMIFS(METALFISA!$E:$E,METALFISA!$A:$A,'Faltantes Fevereiro- Metalfisa'!AH$3,METALFISA!$B:$B,'Faltantes Fevereiro- Metalfisa'!$A255)</f>
        <v>0</v>
      </c>
      <c r="AI255" s="31">
        <f>SUMIFS(METALFISA!$E:$E,METALFISA!$A:$A,'Faltantes Fevereiro- Metalfisa'!AI$3,METALFISA!$B:$B,'Faltantes Fevereiro- Metalfisa'!$A255)</f>
        <v>0</v>
      </c>
      <c r="AJ255" s="31">
        <f>SUMIFS(METALFISA!$E:$E,METALFISA!$A:$A,'Faltantes Fevereiro- Metalfisa'!AJ$3,METALFISA!$B:$B,'Faltantes Fevereiro- Metalfisa'!$A255)</f>
        <v>0</v>
      </c>
      <c r="AK255" s="31">
        <f>SUMIFS(METALFISA!$E:$E,METALFISA!$A:$A,'Faltantes Fevereiro- Metalfisa'!AK$3,METALFISA!$B:$B,'Faltantes Fevereiro- Metalfisa'!$A255)</f>
        <v>0</v>
      </c>
      <c r="AL255" s="31">
        <f>SUMIFS(METALFISA!$E:$E,METALFISA!$A:$A,'Faltantes Fevereiro- Metalfisa'!AL$3,METALFISA!$B:$B,'Faltantes Fevereiro- Metalfisa'!$A255)</f>
        <v>0</v>
      </c>
      <c r="AM255" s="31">
        <f>SUMIFS(METALFISA!$E:$E,METALFISA!$A:$A,'Faltantes Fevereiro- Metalfisa'!AM$3,METALFISA!$B:$B,'Faltantes Fevereiro- Metalfisa'!$A255)</f>
        <v>0</v>
      </c>
      <c r="AN255" s="31">
        <f>SUMIFS(METALFISA!$E:$E,METALFISA!$A:$A,'Faltantes Fevereiro- Metalfisa'!AN$3,METALFISA!$B:$B,'Faltantes Fevereiro- Metalfisa'!$A255)</f>
        <v>0</v>
      </c>
      <c r="AO255" s="31">
        <f>SUMIFS(METALFISA!$E:$E,METALFISA!$A:$A,'Faltantes Fevereiro- Metalfisa'!AO$3,METALFISA!$B:$B,'Faltantes Fevereiro- Metalfisa'!$A255)</f>
        <v>0</v>
      </c>
      <c r="AP255" s="31">
        <f>SUMIFS(METALFISA!$E:$E,METALFISA!$A:$A,'Faltantes Fevereiro- Metalfisa'!AP$3,METALFISA!$B:$B,'Faltantes Fevereiro- Metalfisa'!$A255)</f>
        <v>0</v>
      </c>
      <c r="AQ255" s="31"/>
      <c r="AR255" s="31">
        <f>SUMIFS(METALFISA!$E:$E,METALFISA!$A:$A,'Faltantes Fevereiro- Metalfisa'!AR$3,METALFISA!$B:$B,'Faltantes Fevereiro- Metalfisa'!$A255)</f>
        <v>0</v>
      </c>
      <c r="AS255" s="35">
        <f>SUMIFS(METALFISA!$E:$E,METALFISA!$A:$A,'Faltantes Fevereiro- Metalfisa'!AS$3,METALFISA!$B:$B,'Faltantes Fevereiro- Metalfisa'!$A255)</f>
        <v>0</v>
      </c>
      <c r="AU255" s="18">
        <v>0</v>
      </c>
      <c r="AV255" s="18">
        <v>0</v>
      </c>
      <c r="AW255" s="18">
        <v>0</v>
      </c>
      <c r="AX255" s="18">
        <v>0</v>
      </c>
      <c r="AY255" s="41">
        <v>0</v>
      </c>
      <c r="AZ255" s="31">
        <v>0</v>
      </c>
      <c r="BA255" s="31">
        <v>0</v>
      </c>
      <c r="BB255" s="31">
        <v>0</v>
      </c>
      <c r="BC255" s="31">
        <v>0</v>
      </c>
      <c r="BD255" s="31">
        <v>0</v>
      </c>
      <c r="BE255" s="31">
        <v>0</v>
      </c>
      <c r="BF255" s="31">
        <v>0</v>
      </c>
      <c r="BG255" s="31">
        <v>0</v>
      </c>
      <c r="BH255" s="31">
        <v>0</v>
      </c>
      <c r="BI255" s="31">
        <v>0</v>
      </c>
      <c r="BJ255" s="31">
        <v>0</v>
      </c>
      <c r="BK255" s="31">
        <v>0</v>
      </c>
      <c r="BL255" s="31">
        <v>0</v>
      </c>
      <c r="BM255" s="31">
        <v>0</v>
      </c>
      <c r="BN255" s="31">
        <v>1</v>
      </c>
      <c r="BO255" s="31">
        <v>1</v>
      </c>
      <c r="BP255" s="31">
        <v>0</v>
      </c>
      <c r="BQ255" s="31">
        <v>0</v>
      </c>
      <c r="BR255" s="31">
        <v>0</v>
      </c>
      <c r="BS255" s="31">
        <v>0</v>
      </c>
      <c r="BT255" s="31">
        <v>0</v>
      </c>
      <c r="BU255" s="31">
        <v>0</v>
      </c>
      <c r="BV255" s="31">
        <v>0</v>
      </c>
      <c r="BW255" s="31">
        <v>0</v>
      </c>
      <c r="BX255" s="31">
        <v>0</v>
      </c>
      <c r="BY255" s="31">
        <v>0</v>
      </c>
      <c r="BZ255" s="31">
        <v>0</v>
      </c>
      <c r="CA255" s="31">
        <v>0</v>
      </c>
      <c r="CB255" s="31">
        <v>0</v>
      </c>
      <c r="CC255" s="31">
        <v>0</v>
      </c>
      <c r="CD255" s="31">
        <v>0</v>
      </c>
      <c r="CE255" s="31">
        <v>0</v>
      </c>
      <c r="CF255" s="31">
        <v>0</v>
      </c>
      <c r="CG255" s="31">
        <v>0</v>
      </c>
      <c r="CH255" s="31">
        <v>0</v>
      </c>
      <c r="CI255" s="31">
        <v>0</v>
      </c>
      <c r="CJ255" s="31">
        <v>0</v>
      </c>
      <c r="CK255" s="31">
        <v>0</v>
      </c>
      <c r="CL255" s="35">
        <v>0</v>
      </c>
    </row>
    <row r="256" spans="1:90" x14ac:dyDescent="0.15">
      <c r="A256" s="27" t="s">
        <v>1265</v>
      </c>
      <c r="B256" s="28" t="s">
        <v>1266</v>
      </c>
      <c r="C256" s="28">
        <v>1</v>
      </c>
      <c r="D256" s="28">
        <v>0</v>
      </c>
      <c r="E256" s="28">
        <v>0</v>
      </c>
      <c r="F256" s="28">
        <v>0</v>
      </c>
      <c r="G256" s="28">
        <v>9</v>
      </c>
      <c r="H256" s="28">
        <f>IFERROR(VLOOKUP(A256,[1]FALTANTES!$A:$AB,28,FALSE),"-")</f>
        <v>0</v>
      </c>
      <c r="I256" s="42">
        <f>IFERROR(VLOOKUP(A256,[1]FALTANTES!$A:$AC,29,FALSE),"-")</f>
        <v>2</v>
      </c>
      <c r="J256" s="29">
        <f>IFERROR(VLOOKUP(A256,[1]FALTANTES!$A:$AD,30,FALSE),"-")</f>
        <v>-8</v>
      </c>
      <c r="K256" s="30">
        <v>0</v>
      </c>
      <c r="L256" s="30">
        <f t="shared" si="5"/>
        <v>2</v>
      </c>
      <c r="M256" s="31">
        <f>SUMIFS(METALFISA!$E:$E,METALFISA!$A:$A,'Faltantes Fevereiro- Metalfisa'!M$3,METALFISA!$B:$B,'Faltantes Fevereiro- Metalfisa'!$A256)</f>
        <v>0</v>
      </c>
      <c r="N256" s="31">
        <f>SUMIFS(METALFISA!$E:$E,METALFISA!$A:$A,'Faltantes Fevereiro- Metalfisa'!N$3,METALFISA!$B:$B,'Faltantes Fevereiro- Metalfisa'!$A256)</f>
        <v>0</v>
      </c>
      <c r="O256" s="31">
        <f>SUMIFS(METALFISA!$E:$E,METALFISA!$A:$A,'Faltantes Fevereiro- Metalfisa'!O$3,METALFISA!$B:$B,'Faltantes Fevereiro- Metalfisa'!$A256)</f>
        <v>0</v>
      </c>
      <c r="P256" s="31">
        <f>SUMIFS(METALFISA!$E:$E,METALFISA!$A:$A,'Faltantes Fevereiro- Metalfisa'!P$3,METALFISA!$B:$B,'Faltantes Fevereiro- Metalfisa'!$A256)</f>
        <v>0</v>
      </c>
      <c r="Q256" s="31">
        <f>SUMIFS(METALFISA!$E:$E,METALFISA!$A:$A,'Faltantes Fevereiro- Metalfisa'!Q$3,METALFISA!$B:$B,'Faltantes Fevereiro- Metalfisa'!$A256)</f>
        <v>0</v>
      </c>
      <c r="R256" s="31">
        <f>SUMIFS(METALFISA!$E:$E,METALFISA!$A:$A,'Faltantes Fevereiro- Metalfisa'!R$3,METALFISA!$B:$B,'Faltantes Fevereiro- Metalfisa'!$A256)</f>
        <v>0</v>
      </c>
      <c r="S256" s="31">
        <f>SUMIFS(METALFISA!$E:$E,METALFISA!$A:$A,'Faltantes Fevereiro- Metalfisa'!S$3,METALFISA!$B:$B,'Faltantes Fevereiro- Metalfisa'!$A256)</f>
        <v>0</v>
      </c>
      <c r="T256" s="31">
        <f>SUMIFS(METALFISA!$E:$E,METALFISA!$A:$A,'Faltantes Fevereiro- Metalfisa'!T$3,METALFISA!$B:$B,'Faltantes Fevereiro- Metalfisa'!$A256)</f>
        <v>0</v>
      </c>
      <c r="U256" s="31">
        <f>SUMIFS(METALFISA!$E:$E,METALFISA!$A:$A,'Faltantes Fevereiro- Metalfisa'!U$3,METALFISA!$B:$B,'Faltantes Fevereiro- Metalfisa'!$A256)</f>
        <v>0</v>
      </c>
      <c r="V256" s="31">
        <f>SUMIFS(METALFISA!$E:$E,METALFISA!$A:$A,'Faltantes Fevereiro- Metalfisa'!V$3,METALFISA!$B:$B,'Faltantes Fevereiro- Metalfisa'!$A256)</f>
        <v>0</v>
      </c>
      <c r="W256" s="31">
        <f>SUMIFS(METALFISA!$E:$E,METALFISA!$A:$A,'Faltantes Fevereiro- Metalfisa'!W$3,METALFISA!$B:$B,'Faltantes Fevereiro- Metalfisa'!$A256)</f>
        <v>0</v>
      </c>
      <c r="X256" s="31">
        <f>SUMIFS(METALFISA!$E:$E,METALFISA!$A:$A,'Faltantes Fevereiro- Metalfisa'!X$3,METALFISA!$B:$B,'Faltantes Fevereiro- Metalfisa'!$A256)</f>
        <v>0</v>
      </c>
      <c r="Y256" s="31">
        <f>SUMIFS(METALFISA!$E:$E,METALFISA!$A:$A,'Faltantes Fevereiro- Metalfisa'!Y$3,METALFISA!$B:$B,'Faltantes Fevereiro- Metalfisa'!$A256)</f>
        <v>0</v>
      </c>
      <c r="Z256" s="31">
        <f>SUMIFS(METALFISA!$E:$E,METALFISA!$A:$A,'Faltantes Fevereiro- Metalfisa'!Z$3,METALFISA!$B:$B,'Faltantes Fevereiro- Metalfisa'!$A256)</f>
        <v>0</v>
      </c>
      <c r="AA256" s="31">
        <f>SUMIFS(METALFISA!$E:$E,METALFISA!$A:$A,'Faltantes Fevereiro- Metalfisa'!AA$3,METALFISA!$B:$B,'Faltantes Fevereiro- Metalfisa'!$A256)</f>
        <v>0</v>
      </c>
      <c r="AB256" s="31">
        <f>SUMIFS(METALFISA!$E:$E,METALFISA!$A:$A,'Faltantes Fevereiro- Metalfisa'!AB$3,METALFISA!$B:$B,'Faltantes Fevereiro- Metalfisa'!$A256)</f>
        <v>0</v>
      </c>
      <c r="AC256" s="31">
        <f>SUMIFS(METALFISA!$E:$E,METALFISA!$A:$A,'Faltantes Fevereiro- Metalfisa'!AC$3,METALFISA!$B:$B,'Faltantes Fevereiro- Metalfisa'!$A256)</f>
        <v>0</v>
      </c>
      <c r="AD256" s="31">
        <f>SUMIFS(METALFISA!$E:$E,METALFISA!$A:$A,'Faltantes Fevereiro- Metalfisa'!AD$3,METALFISA!$B:$B,'Faltantes Fevereiro- Metalfisa'!$A256)</f>
        <v>0</v>
      </c>
      <c r="AE256" s="31">
        <f>SUMIFS(METALFISA!$E:$E,METALFISA!$A:$A,'Faltantes Fevereiro- Metalfisa'!AE$3,METALFISA!$B:$B,'Faltantes Fevereiro- Metalfisa'!$A256)</f>
        <v>2</v>
      </c>
      <c r="AF256" s="31">
        <f>SUMIFS(METALFISA!$E:$E,METALFISA!$A:$A,'Faltantes Fevereiro- Metalfisa'!AF$3,METALFISA!$B:$B,'Faltantes Fevereiro- Metalfisa'!$A256)</f>
        <v>0</v>
      </c>
      <c r="AG256" s="31">
        <f>SUMIFS(METALFISA!$E:$E,METALFISA!$A:$A,'Faltantes Fevereiro- Metalfisa'!AG$3,METALFISA!$B:$B,'Faltantes Fevereiro- Metalfisa'!$A256)</f>
        <v>0</v>
      </c>
      <c r="AH256" s="31">
        <f>SUMIFS(METALFISA!$E:$E,METALFISA!$A:$A,'Faltantes Fevereiro- Metalfisa'!AH$3,METALFISA!$B:$B,'Faltantes Fevereiro- Metalfisa'!$A256)</f>
        <v>0</v>
      </c>
      <c r="AI256" s="31">
        <f>SUMIFS(METALFISA!$E:$E,METALFISA!$A:$A,'Faltantes Fevereiro- Metalfisa'!AI$3,METALFISA!$B:$B,'Faltantes Fevereiro- Metalfisa'!$A256)</f>
        <v>0</v>
      </c>
      <c r="AJ256" s="31">
        <f>SUMIFS(METALFISA!$E:$E,METALFISA!$A:$A,'Faltantes Fevereiro- Metalfisa'!AJ$3,METALFISA!$B:$B,'Faltantes Fevereiro- Metalfisa'!$A256)</f>
        <v>0</v>
      </c>
      <c r="AK256" s="31">
        <f>SUMIFS(METALFISA!$E:$E,METALFISA!$A:$A,'Faltantes Fevereiro- Metalfisa'!AK$3,METALFISA!$B:$B,'Faltantes Fevereiro- Metalfisa'!$A256)</f>
        <v>0</v>
      </c>
      <c r="AL256" s="31">
        <f>SUMIFS(METALFISA!$E:$E,METALFISA!$A:$A,'Faltantes Fevereiro- Metalfisa'!AL$3,METALFISA!$B:$B,'Faltantes Fevereiro- Metalfisa'!$A256)</f>
        <v>0</v>
      </c>
      <c r="AM256" s="31">
        <f>SUMIFS(METALFISA!$E:$E,METALFISA!$A:$A,'Faltantes Fevereiro- Metalfisa'!AM$3,METALFISA!$B:$B,'Faltantes Fevereiro- Metalfisa'!$A256)</f>
        <v>0</v>
      </c>
      <c r="AN256" s="31">
        <f>SUMIFS(METALFISA!$E:$E,METALFISA!$A:$A,'Faltantes Fevereiro- Metalfisa'!AN$3,METALFISA!$B:$B,'Faltantes Fevereiro- Metalfisa'!$A256)</f>
        <v>0</v>
      </c>
      <c r="AO256" s="31">
        <f>SUMIFS(METALFISA!$E:$E,METALFISA!$A:$A,'Faltantes Fevereiro- Metalfisa'!AO$3,METALFISA!$B:$B,'Faltantes Fevereiro- Metalfisa'!$A256)</f>
        <v>0</v>
      </c>
      <c r="AP256" s="31">
        <f>SUMIFS(METALFISA!$E:$E,METALFISA!$A:$A,'Faltantes Fevereiro- Metalfisa'!AP$3,METALFISA!$B:$B,'Faltantes Fevereiro- Metalfisa'!$A256)</f>
        <v>0</v>
      </c>
      <c r="AQ256" s="31"/>
      <c r="AR256" s="31">
        <f>SUMIFS(METALFISA!$E:$E,METALFISA!$A:$A,'Faltantes Fevereiro- Metalfisa'!AR$3,METALFISA!$B:$B,'Faltantes Fevereiro- Metalfisa'!$A256)</f>
        <v>0</v>
      </c>
      <c r="AS256" s="35">
        <f>SUMIFS(METALFISA!$E:$E,METALFISA!$A:$A,'Faltantes Fevereiro- Metalfisa'!AS$3,METALFISA!$B:$B,'Faltantes Fevereiro- Metalfisa'!$A256)</f>
        <v>0</v>
      </c>
      <c r="AU256" s="18">
        <v>0</v>
      </c>
      <c r="AV256" s="18">
        <v>0</v>
      </c>
      <c r="AW256" s="18">
        <v>0</v>
      </c>
      <c r="AX256" s="18">
        <v>0</v>
      </c>
      <c r="AY256" s="41">
        <v>0</v>
      </c>
      <c r="AZ256" s="31">
        <v>0</v>
      </c>
      <c r="BA256" s="31">
        <v>0</v>
      </c>
      <c r="BB256" s="31">
        <v>0</v>
      </c>
      <c r="BC256" s="31">
        <v>0</v>
      </c>
      <c r="BD256" s="31">
        <v>0</v>
      </c>
      <c r="BE256" s="31">
        <v>0</v>
      </c>
      <c r="BF256" s="31">
        <v>0</v>
      </c>
      <c r="BG256" s="31">
        <v>0</v>
      </c>
      <c r="BH256" s="31">
        <v>0</v>
      </c>
      <c r="BI256" s="31">
        <v>0</v>
      </c>
      <c r="BJ256" s="31">
        <v>0</v>
      </c>
      <c r="BK256" s="31">
        <v>0</v>
      </c>
      <c r="BL256" s="31">
        <v>0</v>
      </c>
      <c r="BM256" s="31">
        <v>0</v>
      </c>
      <c r="BN256" s="31">
        <v>1</v>
      </c>
      <c r="BO256" s="31">
        <v>1</v>
      </c>
      <c r="BP256" s="31">
        <v>0</v>
      </c>
      <c r="BQ256" s="31">
        <v>0</v>
      </c>
      <c r="BR256" s="31">
        <v>0</v>
      </c>
      <c r="BS256" s="31">
        <v>0</v>
      </c>
      <c r="BT256" s="31">
        <v>0</v>
      </c>
      <c r="BU256" s="31">
        <v>0</v>
      </c>
      <c r="BV256" s="31">
        <v>0</v>
      </c>
      <c r="BW256" s="31">
        <v>0</v>
      </c>
      <c r="BX256" s="31">
        <v>0</v>
      </c>
      <c r="BY256" s="31">
        <v>0</v>
      </c>
      <c r="BZ256" s="31">
        <v>0</v>
      </c>
      <c r="CA256" s="31">
        <v>0</v>
      </c>
      <c r="CB256" s="31">
        <v>0</v>
      </c>
      <c r="CC256" s="31">
        <v>0</v>
      </c>
      <c r="CD256" s="31">
        <v>0</v>
      </c>
      <c r="CE256" s="31">
        <v>0</v>
      </c>
      <c r="CF256" s="31">
        <v>0</v>
      </c>
      <c r="CG256" s="31">
        <v>0</v>
      </c>
      <c r="CH256" s="31">
        <v>0</v>
      </c>
      <c r="CI256" s="31">
        <v>0</v>
      </c>
      <c r="CJ256" s="31">
        <v>0</v>
      </c>
      <c r="CK256" s="31">
        <v>0</v>
      </c>
      <c r="CL256" s="35">
        <v>0</v>
      </c>
    </row>
    <row r="257" spans="1:90" x14ac:dyDescent="0.15">
      <c r="A257" s="27" t="s">
        <v>1268</v>
      </c>
      <c r="B257" s="28" t="s">
        <v>1269</v>
      </c>
      <c r="C257" s="28">
        <v>1</v>
      </c>
      <c r="D257" s="28">
        <v>0</v>
      </c>
      <c r="E257" s="28">
        <v>0</v>
      </c>
      <c r="F257" s="28">
        <v>0</v>
      </c>
      <c r="G257" s="28">
        <v>9</v>
      </c>
      <c r="H257" s="28">
        <f>IFERROR(VLOOKUP(A257,[1]FALTANTES!$A:$AB,28,FALSE),"-")</f>
        <v>0</v>
      </c>
      <c r="I257" s="42">
        <f>IFERROR(VLOOKUP(A257,[1]FALTANTES!$A:$AC,29,FALSE),"-")</f>
        <v>2</v>
      </c>
      <c r="J257" s="29">
        <f>IFERROR(VLOOKUP(A257,[1]FALTANTES!$A:$AD,30,FALSE),"-")</f>
        <v>-8</v>
      </c>
      <c r="K257" s="30">
        <v>0</v>
      </c>
      <c r="L257" s="30">
        <f t="shared" si="5"/>
        <v>2</v>
      </c>
      <c r="M257" s="31">
        <f>SUMIFS(METALFISA!$E:$E,METALFISA!$A:$A,'Faltantes Fevereiro- Metalfisa'!M$3,METALFISA!$B:$B,'Faltantes Fevereiro- Metalfisa'!$A257)</f>
        <v>0</v>
      </c>
      <c r="N257" s="31">
        <f>SUMIFS(METALFISA!$E:$E,METALFISA!$A:$A,'Faltantes Fevereiro- Metalfisa'!N$3,METALFISA!$B:$B,'Faltantes Fevereiro- Metalfisa'!$A257)</f>
        <v>0</v>
      </c>
      <c r="O257" s="31">
        <f>SUMIFS(METALFISA!$E:$E,METALFISA!$A:$A,'Faltantes Fevereiro- Metalfisa'!O$3,METALFISA!$B:$B,'Faltantes Fevereiro- Metalfisa'!$A257)</f>
        <v>0</v>
      </c>
      <c r="P257" s="31">
        <f>SUMIFS(METALFISA!$E:$E,METALFISA!$A:$A,'Faltantes Fevereiro- Metalfisa'!P$3,METALFISA!$B:$B,'Faltantes Fevereiro- Metalfisa'!$A257)</f>
        <v>0</v>
      </c>
      <c r="Q257" s="31">
        <f>SUMIFS(METALFISA!$E:$E,METALFISA!$A:$A,'Faltantes Fevereiro- Metalfisa'!Q$3,METALFISA!$B:$B,'Faltantes Fevereiro- Metalfisa'!$A257)</f>
        <v>0</v>
      </c>
      <c r="R257" s="31">
        <f>SUMIFS(METALFISA!$E:$E,METALFISA!$A:$A,'Faltantes Fevereiro- Metalfisa'!R$3,METALFISA!$B:$B,'Faltantes Fevereiro- Metalfisa'!$A257)</f>
        <v>0</v>
      </c>
      <c r="S257" s="31">
        <f>SUMIFS(METALFISA!$E:$E,METALFISA!$A:$A,'Faltantes Fevereiro- Metalfisa'!S$3,METALFISA!$B:$B,'Faltantes Fevereiro- Metalfisa'!$A257)</f>
        <v>0</v>
      </c>
      <c r="T257" s="31">
        <f>SUMIFS(METALFISA!$E:$E,METALFISA!$A:$A,'Faltantes Fevereiro- Metalfisa'!T$3,METALFISA!$B:$B,'Faltantes Fevereiro- Metalfisa'!$A257)</f>
        <v>0</v>
      </c>
      <c r="U257" s="31">
        <f>SUMIFS(METALFISA!$E:$E,METALFISA!$A:$A,'Faltantes Fevereiro- Metalfisa'!U$3,METALFISA!$B:$B,'Faltantes Fevereiro- Metalfisa'!$A257)</f>
        <v>0</v>
      </c>
      <c r="V257" s="31">
        <f>SUMIFS(METALFISA!$E:$E,METALFISA!$A:$A,'Faltantes Fevereiro- Metalfisa'!V$3,METALFISA!$B:$B,'Faltantes Fevereiro- Metalfisa'!$A257)</f>
        <v>0</v>
      </c>
      <c r="W257" s="31">
        <f>SUMIFS(METALFISA!$E:$E,METALFISA!$A:$A,'Faltantes Fevereiro- Metalfisa'!W$3,METALFISA!$B:$B,'Faltantes Fevereiro- Metalfisa'!$A257)</f>
        <v>0</v>
      </c>
      <c r="X257" s="31">
        <f>SUMIFS(METALFISA!$E:$E,METALFISA!$A:$A,'Faltantes Fevereiro- Metalfisa'!X$3,METALFISA!$B:$B,'Faltantes Fevereiro- Metalfisa'!$A257)</f>
        <v>0</v>
      </c>
      <c r="Y257" s="31">
        <f>SUMIFS(METALFISA!$E:$E,METALFISA!$A:$A,'Faltantes Fevereiro- Metalfisa'!Y$3,METALFISA!$B:$B,'Faltantes Fevereiro- Metalfisa'!$A257)</f>
        <v>0</v>
      </c>
      <c r="Z257" s="31">
        <f>SUMIFS(METALFISA!$E:$E,METALFISA!$A:$A,'Faltantes Fevereiro- Metalfisa'!Z$3,METALFISA!$B:$B,'Faltantes Fevereiro- Metalfisa'!$A257)</f>
        <v>0</v>
      </c>
      <c r="AA257" s="31">
        <f>SUMIFS(METALFISA!$E:$E,METALFISA!$A:$A,'Faltantes Fevereiro- Metalfisa'!AA$3,METALFISA!$B:$B,'Faltantes Fevereiro- Metalfisa'!$A257)</f>
        <v>0</v>
      </c>
      <c r="AB257" s="31">
        <f>SUMIFS(METALFISA!$E:$E,METALFISA!$A:$A,'Faltantes Fevereiro- Metalfisa'!AB$3,METALFISA!$B:$B,'Faltantes Fevereiro- Metalfisa'!$A257)</f>
        <v>0</v>
      </c>
      <c r="AC257" s="31">
        <f>SUMIFS(METALFISA!$E:$E,METALFISA!$A:$A,'Faltantes Fevereiro- Metalfisa'!AC$3,METALFISA!$B:$B,'Faltantes Fevereiro- Metalfisa'!$A257)</f>
        <v>0</v>
      </c>
      <c r="AD257" s="31">
        <f>SUMIFS(METALFISA!$E:$E,METALFISA!$A:$A,'Faltantes Fevereiro- Metalfisa'!AD$3,METALFISA!$B:$B,'Faltantes Fevereiro- Metalfisa'!$A257)</f>
        <v>0</v>
      </c>
      <c r="AE257" s="31">
        <f>SUMIFS(METALFISA!$E:$E,METALFISA!$A:$A,'Faltantes Fevereiro- Metalfisa'!AE$3,METALFISA!$B:$B,'Faltantes Fevereiro- Metalfisa'!$A257)</f>
        <v>2</v>
      </c>
      <c r="AF257" s="31">
        <f>SUMIFS(METALFISA!$E:$E,METALFISA!$A:$A,'Faltantes Fevereiro- Metalfisa'!AF$3,METALFISA!$B:$B,'Faltantes Fevereiro- Metalfisa'!$A257)</f>
        <v>0</v>
      </c>
      <c r="AG257" s="31">
        <f>SUMIFS(METALFISA!$E:$E,METALFISA!$A:$A,'Faltantes Fevereiro- Metalfisa'!AG$3,METALFISA!$B:$B,'Faltantes Fevereiro- Metalfisa'!$A257)</f>
        <v>0</v>
      </c>
      <c r="AH257" s="31">
        <f>SUMIFS(METALFISA!$E:$E,METALFISA!$A:$A,'Faltantes Fevereiro- Metalfisa'!AH$3,METALFISA!$B:$B,'Faltantes Fevereiro- Metalfisa'!$A257)</f>
        <v>0</v>
      </c>
      <c r="AI257" s="31">
        <f>SUMIFS(METALFISA!$E:$E,METALFISA!$A:$A,'Faltantes Fevereiro- Metalfisa'!AI$3,METALFISA!$B:$B,'Faltantes Fevereiro- Metalfisa'!$A257)</f>
        <v>0</v>
      </c>
      <c r="AJ257" s="31">
        <f>SUMIFS(METALFISA!$E:$E,METALFISA!$A:$A,'Faltantes Fevereiro- Metalfisa'!AJ$3,METALFISA!$B:$B,'Faltantes Fevereiro- Metalfisa'!$A257)</f>
        <v>0</v>
      </c>
      <c r="AK257" s="31">
        <f>SUMIFS(METALFISA!$E:$E,METALFISA!$A:$A,'Faltantes Fevereiro- Metalfisa'!AK$3,METALFISA!$B:$B,'Faltantes Fevereiro- Metalfisa'!$A257)</f>
        <v>0</v>
      </c>
      <c r="AL257" s="31">
        <f>SUMIFS(METALFISA!$E:$E,METALFISA!$A:$A,'Faltantes Fevereiro- Metalfisa'!AL$3,METALFISA!$B:$B,'Faltantes Fevereiro- Metalfisa'!$A257)</f>
        <v>0</v>
      </c>
      <c r="AM257" s="31">
        <f>SUMIFS(METALFISA!$E:$E,METALFISA!$A:$A,'Faltantes Fevereiro- Metalfisa'!AM$3,METALFISA!$B:$B,'Faltantes Fevereiro- Metalfisa'!$A257)</f>
        <v>0</v>
      </c>
      <c r="AN257" s="31">
        <f>SUMIFS(METALFISA!$E:$E,METALFISA!$A:$A,'Faltantes Fevereiro- Metalfisa'!AN$3,METALFISA!$B:$B,'Faltantes Fevereiro- Metalfisa'!$A257)</f>
        <v>0</v>
      </c>
      <c r="AO257" s="31">
        <f>SUMIFS(METALFISA!$E:$E,METALFISA!$A:$A,'Faltantes Fevereiro- Metalfisa'!AO$3,METALFISA!$B:$B,'Faltantes Fevereiro- Metalfisa'!$A257)</f>
        <v>0</v>
      </c>
      <c r="AP257" s="31">
        <f>SUMIFS(METALFISA!$E:$E,METALFISA!$A:$A,'Faltantes Fevereiro- Metalfisa'!AP$3,METALFISA!$B:$B,'Faltantes Fevereiro- Metalfisa'!$A257)</f>
        <v>0</v>
      </c>
      <c r="AQ257" s="31"/>
      <c r="AR257" s="31">
        <f>SUMIFS(METALFISA!$E:$E,METALFISA!$A:$A,'Faltantes Fevereiro- Metalfisa'!AR$3,METALFISA!$B:$B,'Faltantes Fevereiro- Metalfisa'!$A257)</f>
        <v>0</v>
      </c>
      <c r="AS257" s="35">
        <f>SUMIFS(METALFISA!$E:$E,METALFISA!$A:$A,'Faltantes Fevereiro- Metalfisa'!AS$3,METALFISA!$B:$B,'Faltantes Fevereiro- Metalfisa'!$A257)</f>
        <v>0</v>
      </c>
      <c r="AU257" s="18">
        <v>0</v>
      </c>
      <c r="AV257" s="18">
        <v>0</v>
      </c>
      <c r="AW257" s="18">
        <v>0</v>
      </c>
      <c r="AX257" s="18">
        <v>0</v>
      </c>
      <c r="AY257" s="41">
        <v>0</v>
      </c>
      <c r="AZ257" s="31">
        <v>0</v>
      </c>
      <c r="BA257" s="31">
        <v>0</v>
      </c>
      <c r="BB257" s="31">
        <v>0</v>
      </c>
      <c r="BC257" s="31">
        <v>0</v>
      </c>
      <c r="BD257" s="31">
        <v>0</v>
      </c>
      <c r="BE257" s="31">
        <v>0</v>
      </c>
      <c r="BF257" s="31">
        <v>0</v>
      </c>
      <c r="BG257" s="31">
        <v>0</v>
      </c>
      <c r="BH257" s="31">
        <v>0</v>
      </c>
      <c r="BI257" s="31">
        <v>0</v>
      </c>
      <c r="BJ257" s="31">
        <v>0</v>
      </c>
      <c r="BK257" s="31">
        <v>0</v>
      </c>
      <c r="BL257" s="31">
        <v>0</v>
      </c>
      <c r="BM257" s="31">
        <v>0</v>
      </c>
      <c r="BN257" s="31">
        <v>1</v>
      </c>
      <c r="BO257" s="31">
        <v>1</v>
      </c>
      <c r="BP257" s="31">
        <v>0</v>
      </c>
      <c r="BQ257" s="31">
        <v>0</v>
      </c>
      <c r="BR257" s="31">
        <v>0</v>
      </c>
      <c r="BS257" s="31">
        <v>0</v>
      </c>
      <c r="BT257" s="31">
        <v>0</v>
      </c>
      <c r="BU257" s="31">
        <v>0</v>
      </c>
      <c r="BV257" s="31">
        <v>0</v>
      </c>
      <c r="BW257" s="31">
        <v>0</v>
      </c>
      <c r="BX257" s="31">
        <v>0</v>
      </c>
      <c r="BY257" s="31">
        <v>0</v>
      </c>
      <c r="BZ257" s="31">
        <v>0</v>
      </c>
      <c r="CA257" s="31">
        <v>0</v>
      </c>
      <c r="CB257" s="31">
        <v>0</v>
      </c>
      <c r="CC257" s="31">
        <v>0</v>
      </c>
      <c r="CD257" s="31">
        <v>0</v>
      </c>
      <c r="CE257" s="31">
        <v>0</v>
      </c>
      <c r="CF257" s="31">
        <v>0</v>
      </c>
      <c r="CG257" s="31">
        <v>0</v>
      </c>
      <c r="CH257" s="31">
        <v>0</v>
      </c>
      <c r="CI257" s="31">
        <v>0</v>
      </c>
      <c r="CJ257" s="31">
        <v>0</v>
      </c>
      <c r="CK257" s="31">
        <v>0</v>
      </c>
      <c r="CL257" s="35">
        <v>0</v>
      </c>
    </row>
    <row r="258" spans="1:90" ht="21" x14ac:dyDescent="0.15">
      <c r="A258" s="27" t="s">
        <v>1273</v>
      </c>
      <c r="B258" s="28" t="s">
        <v>1274</v>
      </c>
      <c r="C258" s="28">
        <v>0</v>
      </c>
      <c r="D258" s="28">
        <v>0</v>
      </c>
      <c r="E258" s="28">
        <v>0</v>
      </c>
      <c r="F258" s="28">
        <v>0</v>
      </c>
      <c r="G258" s="28">
        <v>2</v>
      </c>
      <c r="H258" s="28">
        <f>IFERROR(VLOOKUP(A258,[1]FALTANTES!$A:$AB,28,FALSE),"-")</f>
        <v>0</v>
      </c>
      <c r="I258" s="42">
        <f>IFERROR(VLOOKUP(A258,[1]FALTANTES!$A:$AC,29,FALSE),"-")</f>
        <v>0</v>
      </c>
      <c r="J258" s="29">
        <f>IFERROR(VLOOKUP(A258,[1]FALTANTES!$A:$AD,30,FALSE),"-")</f>
        <v>-2</v>
      </c>
      <c r="K258" s="30">
        <v>0</v>
      </c>
      <c r="L258" s="30">
        <f t="shared" si="5"/>
        <v>2</v>
      </c>
      <c r="M258" s="31">
        <f>SUMIFS(METALFISA!$E:$E,METALFISA!$A:$A,'Faltantes Fevereiro- Metalfisa'!M$3,METALFISA!$B:$B,'Faltantes Fevereiro- Metalfisa'!$A258)</f>
        <v>0</v>
      </c>
      <c r="N258" s="31">
        <f>SUMIFS(METALFISA!$E:$E,METALFISA!$A:$A,'Faltantes Fevereiro- Metalfisa'!N$3,METALFISA!$B:$B,'Faltantes Fevereiro- Metalfisa'!$A258)</f>
        <v>0</v>
      </c>
      <c r="O258" s="31">
        <f>SUMIFS(METALFISA!$E:$E,METALFISA!$A:$A,'Faltantes Fevereiro- Metalfisa'!O$3,METALFISA!$B:$B,'Faltantes Fevereiro- Metalfisa'!$A258)</f>
        <v>0</v>
      </c>
      <c r="P258" s="31">
        <f>SUMIFS(METALFISA!$E:$E,METALFISA!$A:$A,'Faltantes Fevereiro- Metalfisa'!P$3,METALFISA!$B:$B,'Faltantes Fevereiro- Metalfisa'!$A258)</f>
        <v>0</v>
      </c>
      <c r="Q258" s="31">
        <f>SUMIFS(METALFISA!$E:$E,METALFISA!$A:$A,'Faltantes Fevereiro- Metalfisa'!Q$3,METALFISA!$B:$B,'Faltantes Fevereiro- Metalfisa'!$A258)</f>
        <v>0</v>
      </c>
      <c r="R258" s="31">
        <f>SUMIFS(METALFISA!$E:$E,METALFISA!$A:$A,'Faltantes Fevereiro- Metalfisa'!R$3,METALFISA!$B:$B,'Faltantes Fevereiro- Metalfisa'!$A258)</f>
        <v>0</v>
      </c>
      <c r="S258" s="31">
        <f>SUMIFS(METALFISA!$E:$E,METALFISA!$A:$A,'Faltantes Fevereiro- Metalfisa'!S$3,METALFISA!$B:$B,'Faltantes Fevereiro- Metalfisa'!$A258)</f>
        <v>0</v>
      </c>
      <c r="T258" s="31">
        <f>SUMIFS(METALFISA!$E:$E,METALFISA!$A:$A,'Faltantes Fevereiro- Metalfisa'!T$3,METALFISA!$B:$B,'Faltantes Fevereiro- Metalfisa'!$A258)</f>
        <v>0</v>
      </c>
      <c r="U258" s="31">
        <f>SUMIFS(METALFISA!$E:$E,METALFISA!$A:$A,'Faltantes Fevereiro- Metalfisa'!U$3,METALFISA!$B:$B,'Faltantes Fevereiro- Metalfisa'!$A258)</f>
        <v>0</v>
      </c>
      <c r="V258" s="31">
        <f>SUMIFS(METALFISA!$E:$E,METALFISA!$A:$A,'Faltantes Fevereiro- Metalfisa'!V$3,METALFISA!$B:$B,'Faltantes Fevereiro- Metalfisa'!$A258)</f>
        <v>0</v>
      </c>
      <c r="W258" s="31">
        <f>SUMIFS(METALFISA!$E:$E,METALFISA!$A:$A,'Faltantes Fevereiro- Metalfisa'!W$3,METALFISA!$B:$B,'Faltantes Fevereiro- Metalfisa'!$A258)</f>
        <v>0</v>
      </c>
      <c r="X258" s="31">
        <f>SUMIFS(METALFISA!$E:$E,METALFISA!$A:$A,'Faltantes Fevereiro- Metalfisa'!X$3,METALFISA!$B:$B,'Faltantes Fevereiro- Metalfisa'!$A258)</f>
        <v>0</v>
      </c>
      <c r="Y258" s="31">
        <f>SUMIFS(METALFISA!$E:$E,METALFISA!$A:$A,'Faltantes Fevereiro- Metalfisa'!Y$3,METALFISA!$B:$B,'Faltantes Fevereiro- Metalfisa'!$A258)</f>
        <v>0</v>
      </c>
      <c r="Z258" s="31">
        <f>SUMIFS(METALFISA!$E:$E,METALFISA!$A:$A,'Faltantes Fevereiro- Metalfisa'!Z$3,METALFISA!$B:$B,'Faltantes Fevereiro- Metalfisa'!$A258)</f>
        <v>0</v>
      </c>
      <c r="AA258" s="31">
        <f>SUMIFS(METALFISA!$E:$E,METALFISA!$A:$A,'Faltantes Fevereiro- Metalfisa'!AA$3,METALFISA!$B:$B,'Faltantes Fevereiro- Metalfisa'!$A258)</f>
        <v>0</v>
      </c>
      <c r="AB258" s="31">
        <f>SUMIFS(METALFISA!$E:$E,METALFISA!$A:$A,'Faltantes Fevereiro- Metalfisa'!AB$3,METALFISA!$B:$B,'Faltantes Fevereiro- Metalfisa'!$A258)</f>
        <v>0</v>
      </c>
      <c r="AC258" s="31">
        <f>SUMIFS(METALFISA!$E:$E,METALFISA!$A:$A,'Faltantes Fevereiro- Metalfisa'!AC$3,METALFISA!$B:$B,'Faltantes Fevereiro- Metalfisa'!$A258)</f>
        <v>0</v>
      </c>
      <c r="AD258" s="31">
        <f>SUMIFS(METALFISA!$E:$E,METALFISA!$A:$A,'Faltantes Fevereiro- Metalfisa'!AD$3,METALFISA!$B:$B,'Faltantes Fevereiro- Metalfisa'!$A258)</f>
        <v>0</v>
      </c>
      <c r="AE258" s="31">
        <f>SUMIFS(METALFISA!$E:$E,METALFISA!$A:$A,'Faltantes Fevereiro- Metalfisa'!AE$3,METALFISA!$B:$B,'Faltantes Fevereiro- Metalfisa'!$A258)</f>
        <v>2</v>
      </c>
      <c r="AF258" s="31">
        <f>SUMIFS(METALFISA!$E:$E,METALFISA!$A:$A,'Faltantes Fevereiro- Metalfisa'!AF$3,METALFISA!$B:$B,'Faltantes Fevereiro- Metalfisa'!$A258)</f>
        <v>0</v>
      </c>
      <c r="AG258" s="31">
        <f>SUMIFS(METALFISA!$E:$E,METALFISA!$A:$A,'Faltantes Fevereiro- Metalfisa'!AG$3,METALFISA!$B:$B,'Faltantes Fevereiro- Metalfisa'!$A258)</f>
        <v>0</v>
      </c>
      <c r="AH258" s="31">
        <f>SUMIFS(METALFISA!$E:$E,METALFISA!$A:$A,'Faltantes Fevereiro- Metalfisa'!AH$3,METALFISA!$B:$B,'Faltantes Fevereiro- Metalfisa'!$A258)</f>
        <v>0</v>
      </c>
      <c r="AI258" s="31">
        <f>SUMIFS(METALFISA!$E:$E,METALFISA!$A:$A,'Faltantes Fevereiro- Metalfisa'!AI$3,METALFISA!$B:$B,'Faltantes Fevereiro- Metalfisa'!$A258)</f>
        <v>0</v>
      </c>
      <c r="AJ258" s="31">
        <f>SUMIFS(METALFISA!$E:$E,METALFISA!$A:$A,'Faltantes Fevereiro- Metalfisa'!AJ$3,METALFISA!$B:$B,'Faltantes Fevereiro- Metalfisa'!$A258)</f>
        <v>0</v>
      </c>
      <c r="AK258" s="31">
        <f>SUMIFS(METALFISA!$E:$E,METALFISA!$A:$A,'Faltantes Fevereiro- Metalfisa'!AK$3,METALFISA!$B:$B,'Faltantes Fevereiro- Metalfisa'!$A258)</f>
        <v>0</v>
      </c>
      <c r="AL258" s="31">
        <f>SUMIFS(METALFISA!$E:$E,METALFISA!$A:$A,'Faltantes Fevereiro- Metalfisa'!AL$3,METALFISA!$B:$B,'Faltantes Fevereiro- Metalfisa'!$A258)</f>
        <v>0</v>
      </c>
      <c r="AM258" s="31">
        <f>SUMIFS(METALFISA!$E:$E,METALFISA!$A:$A,'Faltantes Fevereiro- Metalfisa'!AM$3,METALFISA!$B:$B,'Faltantes Fevereiro- Metalfisa'!$A258)</f>
        <v>0</v>
      </c>
      <c r="AN258" s="31">
        <f>SUMIFS(METALFISA!$E:$E,METALFISA!$A:$A,'Faltantes Fevereiro- Metalfisa'!AN$3,METALFISA!$B:$B,'Faltantes Fevereiro- Metalfisa'!$A258)</f>
        <v>0</v>
      </c>
      <c r="AO258" s="31">
        <f>SUMIFS(METALFISA!$E:$E,METALFISA!$A:$A,'Faltantes Fevereiro- Metalfisa'!AO$3,METALFISA!$B:$B,'Faltantes Fevereiro- Metalfisa'!$A258)</f>
        <v>0</v>
      </c>
      <c r="AP258" s="31">
        <f>SUMIFS(METALFISA!$E:$E,METALFISA!$A:$A,'Faltantes Fevereiro- Metalfisa'!AP$3,METALFISA!$B:$B,'Faltantes Fevereiro- Metalfisa'!$A258)</f>
        <v>0</v>
      </c>
      <c r="AQ258" s="31"/>
      <c r="AR258" s="31">
        <f>SUMIFS(METALFISA!$E:$E,METALFISA!$A:$A,'Faltantes Fevereiro- Metalfisa'!AR$3,METALFISA!$B:$B,'Faltantes Fevereiro- Metalfisa'!$A258)</f>
        <v>0</v>
      </c>
      <c r="AS258" s="35">
        <f>SUMIFS(METALFISA!$E:$E,METALFISA!$A:$A,'Faltantes Fevereiro- Metalfisa'!AS$3,METALFISA!$B:$B,'Faltantes Fevereiro- Metalfisa'!$A258)</f>
        <v>0</v>
      </c>
      <c r="AU258" s="18">
        <v>0</v>
      </c>
      <c r="AV258" s="18">
        <v>0</v>
      </c>
      <c r="AW258" s="18">
        <v>0</v>
      </c>
      <c r="AX258" s="18">
        <v>0</v>
      </c>
      <c r="AY258" s="41">
        <v>0</v>
      </c>
      <c r="AZ258" s="31">
        <v>0</v>
      </c>
      <c r="BA258" s="31">
        <v>0</v>
      </c>
      <c r="BB258" s="31">
        <v>0</v>
      </c>
      <c r="BC258" s="31">
        <v>0</v>
      </c>
      <c r="BD258" s="31">
        <v>0</v>
      </c>
      <c r="BE258" s="31">
        <v>0</v>
      </c>
      <c r="BF258" s="31">
        <v>0</v>
      </c>
      <c r="BG258" s="31">
        <v>0</v>
      </c>
      <c r="BH258" s="31">
        <v>0</v>
      </c>
      <c r="BI258" s="31">
        <v>0</v>
      </c>
      <c r="BJ258" s="31">
        <v>0</v>
      </c>
      <c r="BK258" s="31">
        <v>0</v>
      </c>
      <c r="BL258" s="31">
        <v>0</v>
      </c>
      <c r="BM258" s="31">
        <v>0</v>
      </c>
      <c r="BN258" s="31">
        <v>0</v>
      </c>
      <c r="BO258" s="31">
        <v>0</v>
      </c>
      <c r="BP258" s="31">
        <v>0</v>
      </c>
      <c r="BQ258" s="31">
        <v>0</v>
      </c>
      <c r="BR258" s="31">
        <v>0</v>
      </c>
      <c r="BS258" s="31">
        <v>0</v>
      </c>
      <c r="BT258" s="31">
        <v>0</v>
      </c>
      <c r="BU258" s="31">
        <v>0</v>
      </c>
      <c r="BV258" s="31">
        <v>0</v>
      </c>
      <c r="BW258" s="31">
        <v>0</v>
      </c>
      <c r="BX258" s="31">
        <v>0</v>
      </c>
      <c r="BY258" s="31">
        <v>0</v>
      </c>
      <c r="BZ258" s="31">
        <v>0</v>
      </c>
      <c r="CA258" s="31">
        <v>0</v>
      </c>
      <c r="CB258" s="31">
        <v>0</v>
      </c>
      <c r="CC258" s="31">
        <v>0</v>
      </c>
      <c r="CD258" s="31">
        <v>0</v>
      </c>
      <c r="CE258" s="31">
        <v>0</v>
      </c>
      <c r="CF258" s="31">
        <v>0</v>
      </c>
      <c r="CG258" s="31">
        <v>0</v>
      </c>
      <c r="CH258" s="31">
        <v>0</v>
      </c>
      <c r="CI258" s="31">
        <v>0</v>
      </c>
      <c r="CJ258" s="31">
        <v>0</v>
      </c>
      <c r="CK258" s="31">
        <v>0</v>
      </c>
      <c r="CL258" s="35">
        <v>0</v>
      </c>
    </row>
    <row r="259" spans="1:90" x14ac:dyDescent="0.15">
      <c r="A259" s="27" t="s">
        <v>1277</v>
      </c>
      <c r="B259" s="28" t="s">
        <v>1278</v>
      </c>
      <c r="C259" s="28">
        <v>0</v>
      </c>
      <c r="D259" s="28">
        <v>0</v>
      </c>
      <c r="E259" s="28">
        <v>0</v>
      </c>
      <c r="F259" s="28">
        <v>0</v>
      </c>
      <c r="G259" s="28">
        <v>27</v>
      </c>
      <c r="H259" s="28">
        <f>IFERROR(VLOOKUP(A259,[1]FALTANTES!$A:$AB,28,FALSE),"-")</f>
        <v>0</v>
      </c>
      <c r="I259" s="42">
        <f>IFERROR(VLOOKUP(A259,[1]FALTANTES!$A:$AC,29,FALSE),"-")</f>
        <v>0</v>
      </c>
      <c r="J259" s="29">
        <f>IFERROR(VLOOKUP(A259,[1]FALTANTES!$A:$AD,30,FALSE),"-")</f>
        <v>-27</v>
      </c>
      <c r="K259" s="30">
        <v>0</v>
      </c>
      <c r="L259" s="30">
        <f t="shared" si="5"/>
        <v>8</v>
      </c>
      <c r="M259" s="31">
        <f>SUMIFS(METALFISA!$E:$E,METALFISA!$A:$A,'Faltantes Fevereiro- Metalfisa'!M$3,METALFISA!$B:$B,'Faltantes Fevereiro- Metalfisa'!$A259)</f>
        <v>0</v>
      </c>
      <c r="N259" s="31">
        <f>SUMIFS(METALFISA!$E:$E,METALFISA!$A:$A,'Faltantes Fevereiro- Metalfisa'!N$3,METALFISA!$B:$B,'Faltantes Fevereiro- Metalfisa'!$A259)</f>
        <v>0</v>
      </c>
      <c r="O259" s="31">
        <f>SUMIFS(METALFISA!$E:$E,METALFISA!$A:$A,'Faltantes Fevereiro- Metalfisa'!O$3,METALFISA!$B:$B,'Faltantes Fevereiro- Metalfisa'!$A259)</f>
        <v>0</v>
      </c>
      <c r="P259" s="31">
        <f>SUMIFS(METALFISA!$E:$E,METALFISA!$A:$A,'Faltantes Fevereiro- Metalfisa'!P$3,METALFISA!$B:$B,'Faltantes Fevereiro- Metalfisa'!$A259)</f>
        <v>0</v>
      </c>
      <c r="Q259" s="31">
        <f>SUMIFS(METALFISA!$E:$E,METALFISA!$A:$A,'Faltantes Fevereiro- Metalfisa'!Q$3,METALFISA!$B:$B,'Faltantes Fevereiro- Metalfisa'!$A259)</f>
        <v>0</v>
      </c>
      <c r="R259" s="31">
        <f>SUMIFS(METALFISA!$E:$E,METALFISA!$A:$A,'Faltantes Fevereiro- Metalfisa'!R$3,METALFISA!$B:$B,'Faltantes Fevereiro- Metalfisa'!$A259)</f>
        <v>0</v>
      </c>
      <c r="S259" s="31">
        <f>SUMIFS(METALFISA!$E:$E,METALFISA!$A:$A,'Faltantes Fevereiro- Metalfisa'!S$3,METALFISA!$B:$B,'Faltantes Fevereiro- Metalfisa'!$A259)</f>
        <v>0</v>
      </c>
      <c r="T259" s="31">
        <f>SUMIFS(METALFISA!$E:$E,METALFISA!$A:$A,'Faltantes Fevereiro- Metalfisa'!T$3,METALFISA!$B:$B,'Faltantes Fevereiro- Metalfisa'!$A259)</f>
        <v>0</v>
      </c>
      <c r="U259" s="31">
        <f>SUMIFS(METALFISA!$E:$E,METALFISA!$A:$A,'Faltantes Fevereiro- Metalfisa'!U$3,METALFISA!$B:$B,'Faltantes Fevereiro- Metalfisa'!$A259)</f>
        <v>0</v>
      </c>
      <c r="V259" s="31">
        <f>SUMIFS(METALFISA!$E:$E,METALFISA!$A:$A,'Faltantes Fevereiro- Metalfisa'!V$3,METALFISA!$B:$B,'Faltantes Fevereiro- Metalfisa'!$A259)</f>
        <v>0</v>
      </c>
      <c r="W259" s="31">
        <f>SUMIFS(METALFISA!$E:$E,METALFISA!$A:$A,'Faltantes Fevereiro- Metalfisa'!W$3,METALFISA!$B:$B,'Faltantes Fevereiro- Metalfisa'!$A259)</f>
        <v>0</v>
      </c>
      <c r="X259" s="31">
        <f>SUMIFS(METALFISA!$E:$E,METALFISA!$A:$A,'Faltantes Fevereiro- Metalfisa'!X$3,METALFISA!$B:$B,'Faltantes Fevereiro- Metalfisa'!$A259)</f>
        <v>0</v>
      </c>
      <c r="Y259" s="31">
        <f>SUMIFS(METALFISA!$E:$E,METALFISA!$A:$A,'Faltantes Fevereiro- Metalfisa'!Y$3,METALFISA!$B:$B,'Faltantes Fevereiro- Metalfisa'!$A259)</f>
        <v>0</v>
      </c>
      <c r="Z259" s="31">
        <f>SUMIFS(METALFISA!$E:$E,METALFISA!$A:$A,'Faltantes Fevereiro- Metalfisa'!Z$3,METALFISA!$B:$B,'Faltantes Fevereiro- Metalfisa'!$A259)</f>
        <v>0</v>
      </c>
      <c r="AA259" s="31">
        <f>SUMIFS(METALFISA!$E:$E,METALFISA!$A:$A,'Faltantes Fevereiro- Metalfisa'!AA$3,METALFISA!$B:$B,'Faltantes Fevereiro- Metalfisa'!$A259)</f>
        <v>0</v>
      </c>
      <c r="AB259" s="31">
        <f>SUMIFS(METALFISA!$E:$E,METALFISA!$A:$A,'Faltantes Fevereiro- Metalfisa'!AB$3,METALFISA!$B:$B,'Faltantes Fevereiro- Metalfisa'!$A259)</f>
        <v>0</v>
      </c>
      <c r="AC259" s="31">
        <f>SUMIFS(METALFISA!$E:$E,METALFISA!$A:$A,'Faltantes Fevereiro- Metalfisa'!AC$3,METALFISA!$B:$B,'Faltantes Fevereiro- Metalfisa'!$A259)</f>
        <v>0</v>
      </c>
      <c r="AD259" s="31">
        <f>SUMIFS(METALFISA!$E:$E,METALFISA!$A:$A,'Faltantes Fevereiro- Metalfisa'!AD$3,METALFISA!$B:$B,'Faltantes Fevereiro- Metalfisa'!$A259)</f>
        <v>0</v>
      </c>
      <c r="AE259" s="31">
        <f>SUMIFS(METALFISA!$E:$E,METALFISA!$A:$A,'Faltantes Fevereiro- Metalfisa'!AE$3,METALFISA!$B:$B,'Faltantes Fevereiro- Metalfisa'!$A259)</f>
        <v>8</v>
      </c>
      <c r="AF259" s="31">
        <f>SUMIFS(METALFISA!$E:$E,METALFISA!$A:$A,'Faltantes Fevereiro- Metalfisa'!AF$3,METALFISA!$B:$B,'Faltantes Fevereiro- Metalfisa'!$A259)</f>
        <v>0</v>
      </c>
      <c r="AG259" s="31">
        <f>SUMIFS(METALFISA!$E:$E,METALFISA!$A:$A,'Faltantes Fevereiro- Metalfisa'!AG$3,METALFISA!$B:$B,'Faltantes Fevereiro- Metalfisa'!$A259)</f>
        <v>0</v>
      </c>
      <c r="AH259" s="31">
        <f>SUMIFS(METALFISA!$E:$E,METALFISA!$A:$A,'Faltantes Fevereiro- Metalfisa'!AH$3,METALFISA!$B:$B,'Faltantes Fevereiro- Metalfisa'!$A259)</f>
        <v>0</v>
      </c>
      <c r="AI259" s="31">
        <f>SUMIFS(METALFISA!$E:$E,METALFISA!$A:$A,'Faltantes Fevereiro- Metalfisa'!AI$3,METALFISA!$B:$B,'Faltantes Fevereiro- Metalfisa'!$A259)</f>
        <v>0</v>
      </c>
      <c r="AJ259" s="31">
        <f>SUMIFS(METALFISA!$E:$E,METALFISA!$A:$A,'Faltantes Fevereiro- Metalfisa'!AJ$3,METALFISA!$B:$B,'Faltantes Fevereiro- Metalfisa'!$A259)</f>
        <v>0</v>
      </c>
      <c r="AK259" s="31">
        <f>SUMIFS(METALFISA!$E:$E,METALFISA!$A:$A,'Faltantes Fevereiro- Metalfisa'!AK$3,METALFISA!$B:$B,'Faltantes Fevereiro- Metalfisa'!$A259)</f>
        <v>0</v>
      </c>
      <c r="AL259" s="31">
        <f>SUMIFS(METALFISA!$E:$E,METALFISA!$A:$A,'Faltantes Fevereiro- Metalfisa'!AL$3,METALFISA!$B:$B,'Faltantes Fevereiro- Metalfisa'!$A259)</f>
        <v>0</v>
      </c>
      <c r="AM259" s="31">
        <f>SUMIFS(METALFISA!$E:$E,METALFISA!$A:$A,'Faltantes Fevereiro- Metalfisa'!AM$3,METALFISA!$B:$B,'Faltantes Fevereiro- Metalfisa'!$A259)</f>
        <v>0</v>
      </c>
      <c r="AN259" s="31">
        <f>SUMIFS(METALFISA!$E:$E,METALFISA!$A:$A,'Faltantes Fevereiro- Metalfisa'!AN$3,METALFISA!$B:$B,'Faltantes Fevereiro- Metalfisa'!$A259)</f>
        <v>0</v>
      </c>
      <c r="AO259" s="31">
        <f>SUMIFS(METALFISA!$E:$E,METALFISA!$A:$A,'Faltantes Fevereiro- Metalfisa'!AO$3,METALFISA!$B:$B,'Faltantes Fevereiro- Metalfisa'!$A259)</f>
        <v>0</v>
      </c>
      <c r="AP259" s="31">
        <f>SUMIFS(METALFISA!$E:$E,METALFISA!$A:$A,'Faltantes Fevereiro- Metalfisa'!AP$3,METALFISA!$B:$B,'Faltantes Fevereiro- Metalfisa'!$A259)</f>
        <v>0</v>
      </c>
      <c r="AQ259" s="31"/>
      <c r="AR259" s="31">
        <f>SUMIFS(METALFISA!$E:$E,METALFISA!$A:$A,'Faltantes Fevereiro- Metalfisa'!AR$3,METALFISA!$B:$B,'Faltantes Fevereiro- Metalfisa'!$A259)</f>
        <v>0</v>
      </c>
      <c r="AS259" s="35">
        <f>SUMIFS(METALFISA!$E:$E,METALFISA!$A:$A,'Faltantes Fevereiro- Metalfisa'!AS$3,METALFISA!$B:$B,'Faltantes Fevereiro- Metalfisa'!$A259)</f>
        <v>0</v>
      </c>
      <c r="AU259" s="18">
        <v>0</v>
      </c>
      <c r="AV259" s="18">
        <v>0</v>
      </c>
      <c r="AW259" s="18">
        <v>0</v>
      </c>
      <c r="AX259" s="18">
        <v>0</v>
      </c>
      <c r="AY259" s="41">
        <v>0</v>
      </c>
      <c r="AZ259" s="31">
        <v>0</v>
      </c>
      <c r="BA259" s="31">
        <v>0</v>
      </c>
      <c r="BB259" s="31">
        <v>0</v>
      </c>
      <c r="BC259" s="31">
        <v>0</v>
      </c>
      <c r="BD259" s="31">
        <v>0</v>
      </c>
      <c r="BE259" s="31">
        <v>0</v>
      </c>
      <c r="BF259" s="31">
        <v>0</v>
      </c>
      <c r="BG259" s="31">
        <v>0</v>
      </c>
      <c r="BH259" s="31">
        <v>0</v>
      </c>
      <c r="BI259" s="31">
        <v>0</v>
      </c>
      <c r="BJ259" s="31">
        <v>0</v>
      </c>
      <c r="BK259" s="31">
        <v>0</v>
      </c>
      <c r="BL259" s="31">
        <v>0</v>
      </c>
      <c r="BM259" s="31">
        <v>0</v>
      </c>
      <c r="BN259" s="31">
        <v>4</v>
      </c>
      <c r="BO259" s="31">
        <v>4</v>
      </c>
      <c r="BP259" s="31">
        <v>0</v>
      </c>
      <c r="BQ259" s="31">
        <v>0</v>
      </c>
      <c r="BR259" s="31">
        <v>0</v>
      </c>
      <c r="BS259" s="31">
        <v>0</v>
      </c>
      <c r="BT259" s="31">
        <v>0</v>
      </c>
      <c r="BU259" s="31">
        <v>0</v>
      </c>
      <c r="BV259" s="31">
        <v>0</v>
      </c>
      <c r="BW259" s="31">
        <v>0</v>
      </c>
      <c r="BX259" s="31">
        <v>0</v>
      </c>
      <c r="BY259" s="31">
        <v>0</v>
      </c>
      <c r="BZ259" s="31">
        <v>0</v>
      </c>
      <c r="CA259" s="31">
        <v>0</v>
      </c>
      <c r="CB259" s="31">
        <v>0</v>
      </c>
      <c r="CC259" s="31">
        <v>0</v>
      </c>
      <c r="CD259" s="31">
        <v>0</v>
      </c>
      <c r="CE259" s="31">
        <v>0</v>
      </c>
      <c r="CF259" s="31">
        <v>0</v>
      </c>
      <c r="CG259" s="31">
        <v>0</v>
      </c>
      <c r="CH259" s="31">
        <v>0</v>
      </c>
      <c r="CI259" s="31">
        <v>0</v>
      </c>
      <c r="CJ259" s="31">
        <v>0</v>
      </c>
      <c r="CK259" s="31">
        <v>0</v>
      </c>
      <c r="CL259" s="35">
        <v>0</v>
      </c>
    </row>
    <row r="260" spans="1:90" x14ac:dyDescent="0.15">
      <c r="A260" s="27" t="s">
        <v>1280</v>
      </c>
      <c r="B260" s="28" t="s">
        <v>1281</v>
      </c>
      <c r="C260" s="28">
        <v>0</v>
      </c>
      <c r="D260" s="28">
        <v>0</v>
      </c>
      <c r="E260" s="28">
        <v>0</v>
      </c>
      <c r="F260" s="28">
        <v>0</v>
      </c>
      <c r="G260" s="28">
        <v>36</v>
      </c>
      <c r="H260" s="28">
        <f>IFERROR(VLOOKUP(A260,[1]FALTANTES!$A:$AB,28,FALSE),"-")</f>
        <v>0</v>
      </c>
      <c r="I260" s="42">
        <f>IFERROR(VLOOKUP(A260,[1]FALTANTES!$A:$AC,29,FALSE),"-")</f>
        <v>11</v>
      </c>
      <c r="J260" s="29">
        <f>IFERROR(VLOOKUP(A260,[1]FALTANTES!$A:$AD,30,FALSE),"-")</f>
        <v>-25</v>
      </c>
      <c r="K260" s="30">
        <v>0</v>
      </c>
      <c r="L260" s="30">
        <f t="shared" si="5"/>
        <v>5</v>
      </c>
      <c r="M260" s="31">
        <f>SUMIFS(METALFISA!$E:$E,METALFISA!$A:$A,'Faltantes Fevereiro- Metalfisa'!M$3,METALFISA!$B:$B,'Faltantes Fevereiro- Metalfisa'!$A260)</f>
        <v>0</v>
      </c>
      <c r="N260" s="31">
        <f>SUMIFS(METALFISA!$E:$E,METALFISA!$A:$A,'Faltantes Fevereiro- Metalfisa'!N$3,METALFISA!$B:$B,'Faltantes Fevereiro- Metalfisa'!$A260)</f>
        <v>0</v>
      </c>
      <c r="O260" s="31">
        <f>SUMIFS(METALFISA!$E:$E,METALFISA!$A:$A,'Faltantes Fevereiro- Metalfisa'!O$3,METALFISA!$B:$B,'Faltantes Fevereiro- Metalfisa'!$A260)</f>
        <v>0</v>
      </c>
      <c r="P260" s="31">
        <f>SUMIFS(METALFISA!$E:$E,METALFISA!$A:$A,'Faltantes Fevereiro- Metalfisa'!P$3,METALFISA!$B:$B,'Faltantes Fevereiro- Metalfisa'!$A260)</f>
        <v>0</v>
      </c>
      <c r="Q260" s="31">
        <f>SUMIFS(METALFISA!$E:$E,METALFISA!$A:$A,'Faltantes Fevereiro- Metalfisa'!Q$3,METALFISA!$B:$B,'Faltantes Fevereiro- Metalfisa'!$A260)</f>
        <v>0</v>
      </c>
      <c r="R260" s="31">
        <f>SUMIFS(METALFISA!$E:$E,METALFISA!$A:$A,'Faltantes Fevereiro- Metalfisa'!R$3,METALFISA!$B:$B,'Faltantes Fevereiro- Metalfisa'!$A260)</f>
        <v>0</v>
      </c>
      <c r="S260" s="31">
        <f>SUMIFS(METALFISA!$E:$E,METALFISA!$A:$A,'Faltantes Fevereiro- Metalfisa'!S$3,METALFISA!$B:$B,'Faltantes Fevereiro- Metalfisa'!$A260)</f>
        <v>0</v>
      </c>
      <c r="T260" s="31">
        <f>SUMIFS(METALFISA!$E:$E,METALFISA!$A:$A,'Faltantes Fevereiro- Metalfisa'!T$3,METALFISA!$B:$B,'Faltantes Fevereiro- Metalfisa'!$A260)</f>
        <v>0</v>
      </c>
      <c r="U260" s="31">
        <f>SUMIFS(METALFISA!$E:$E,METALFISA!$A:$A,'Faltantes Fevereiro- Metalfisa'!U$3,METALFISA!$B:$B,'Faltantes Fevereiro- Metalfisa'!$A260)</f>
        <v>0</v>
      </c>
      <c r="V260" s="31">
        <f>SUMIFS(METALFISA!$E:$E,METALFISA!$A:$A,'Faltantes Fevereiro- Metalfisa'!V$3,METALFISA!$B:$B,'Faltantes Fevereiro- Metalfisa'!$A260)</f>
        <v>0</v>
      </c>
      <c r="W260" s="31">
        <f>SUMIFS(METALFISA!$E:$E,METALFISA!$A:$A,'Faltantes Fevereiro- Metalfisa'!W$3,METALFISA!$B:$B,'Faltantes Fevereiro- Metalfisa'!$A260)</f>
        <v>0</v>
      </c>
      <c r="X260" s="31">
        <f>SUMIFS(METALFISA!$E:$E,METALFISA!$A:$A,'Faltantes Fevereiro- Metalfisa'!X$3,METALFISA!$B:$B,'Faltantes Fevereiro- Metalfisa'!$A260)</f>
        <v>0</v>
      </c>
      <c r="Y260" s="31">
        <f>SUMIFS(METALFISA!$E:$E,METALFISA!$A:$A,'Faltantes Fevereiro- Metalfisa'!Y$3,METALFISA!$B:$B,'Faltantes Fevereiro- Metalfisa'!$A260)</f>
        <v>0</v>
      </c>
      <c r="Z260" s="31">
        <f>SUMIFS(METALFISA!$E:$E,METALFISA!$A:$A,'Faltantes Fevereiro- Metalfisa'!Z$3,METALFISA!$B:$B,'Faltantes Fevereiro- Metalfisa'!$A260)</f>
        <v>0</v>
      </c>
      <c r="AA260" s="31">
        <f>SUMIFS(METALFISA!$E:$E,METALFISA!$A:$A,'Faltantes Fevereiro- Metalfisa'!AA$3,METALFISA!$B:$B,'Faltantes Fevereiro- Metalfisa'!$A260)</f>
        <v>0</v>
      </c>
      <c r="AB260" s="31">
        <f>SUMIFS(METALFISA!$E:$E,METALFISA!$A:$A,'Faltantes Fevereiro- Metalfisa'!AB$3,METALFISA!$B:$B,'Faltantes Fevereiro- Metalfisa'!$A260)</f>
        <v>0</v>
      </c>
      <c r="AC260" s="31">
        <f>SUMIFS(METALFISA!$E:$E,METALFISA!$A:$A,'Faltantes Fevereiro- Metalfisa'!AC$3,METALFISA!$B:$B,'Faltantes Fevereiro- Metalfisa'!$A260)</f>
        <v>0</v>
      </c>
      <c r="AD260" s="31">
        <f>SUMIFS(METALFISA!$E:$E,METALFISA!$A:$A,'Faltantes Fevereiro- Metalfisa'!AD$3,METALFISA!$B:$B,'Faltantes Fevereiro- Metalfisa'!$A260)</f>
        <v>0</v>
      </c>
      <c r="AE260" s="31">
        <f>SUMIFS(METALFISA!$E:$E,METALFISA!$A:$A,'Faltantes Fevereiro- Metalfisa'!AE$3,METALFISA!$B:$B,'Faltantes Fevereiro- Metalfisa'!$A260)</f>
        <v>5</v>
      </c>
      <c r="AF260" s="31">
        <f>SUMIFS(METALFISA!$E:$E,METALFISA!$A:$A,'Faltantes Fevereiro- Metalfisa'!AF$3,METALFISA!$B:$B,'Faltantes Fevereiro- Metalfisa'!$A260)</f>
        <v>0</v>
      </c>
      <c r="AG260" s="31">
        <f>SUMIFS(METALFISA!$E:$E,METALFISA!$A:$A,'Faltantes Fevereiro- Metalfisa'!AG$3,METALFISA!$B:$B,'Faltantes Fevereiro- Metalfisa'!$A260)</f>
        <v>0</v>
      </c>
      <c r="AH260" s="31">
        <f>SUMIFS(METALFISA!$E:$E,METALFISA!$A:$A,'Faltantes Fevereiro- Metalfisa'!AH$3,METALFISA!$B:$B,'Faltantes Fevereiro- Metalfisa'!$A260)</f>
        <v>0</v>
      </c>
      <c r="AI260" s="31">
        <f>SUMIFS(METALFISA!$E:$E,METALFISA!$A:$A,'Faltantes Fevereiro- Metalfisa'!AI$3,METALFISA!$B:$B,'Faltantes Fevereiro- Metalfisa'!$A260)</f>
        <v>0</v>
      </c>
      <c r="AJ260" s="31">
        <f>SUMIFS(METALFISA!$E:$E,METALFISA!$A:$A,'Faltantes Fevereiro- Metalfisa'!AJ$3,METALFISA!$B:$B,'Faltantes Fevereiro- Metalfisa'!$A260)</f>
        <v>0</v>
      </c>
      <c r="AK260" s="31">
        <f>SUMIFS(METALFISA!$E:$E,METALFISA!$A:$A,'Faltantes Fevereiro- Metalfisa'!AK$3,METALFISA!$B:$B,'Faltantes Fevereiro- Metalfisa'!$A260)</f>
        <v>0</v>
      </c>
      <c r="AL260" s="31">
        <f>SUMIFS(METALFISA!$E:$E,METALFISA!$A:$A,'Faltantes Fevereiro- Metalfisa'!AL$3,METALFISA!$B:$B,'Faltantes Fevereiro- Metalfisa'!$A260)</f>
        <v>0</v>
      </c>
      <c r="AM260" s="31">
        <f>SUMIFS(METALFISA!$E:$E,METALFISA!$A:$A,'Faltantes Fevereiro- Metalfisa'!AM$3,METALFISA!$B:$B,'Faltantes Fevereiro- Metalfisa'!$A260)</f>
        <v>0</v>
      </c>
      <c r="AN260" s="31">
        <f>SUMIFS(METALFISA!$E:$E,METALFISA!$A:$A,'Faltantes Fevereiro- Metalfisa'!AN$3,METALFISA!$B:$B,'Faltantes Fevereiro- Metalfisa'!$A260)</f>
        <v>0</v>
      </c>
      <c r="AO260" s="31">
        <f>SUMIFS(METALFISA!$E:$E,METALFISA!$A:$A,'Faltantes Fevereiro- Metalfisa'!AO$3,METALFISA!$B:$B,'Faltantes Fevereiro- Metalfisa'!$A260)</f>
        <v>0</v>
      </c>
      <c r="AP260" s="31">
        <f>SUMIFS(METALFISA!$E:$E,METALFISA!$A:$A,'Faltantes Fevereiro- Metalfisa'!AP$3,METALFISA!$B:$B,'Faltantes Fevereiro- Metalfisa'!$A260)</f>
        <v>0</v>
      </c>
      <c r="AQ260" s="31"/>
      <c r="AR260" s="31">
        <f>SUMIFS(METALFISA!$E:$E,METALFISA!$A:$A,'Faltantes Fevereiro- Metalfisa'!AR$3,METALFISA!$B:$B,'Faltantes Fevereiro- Metalfisa'!$A260)</f>
        <v>0</v>
      </c>
      <c r="AS260" s="35">
        <f>SUMIFS(METALFISA!$E:$E,METALFISA!$A:$A,'Faltantes Fevereiro- Metalfisa'!AS$3,METALFISA!$B:$B,'Faltantes Fevereiro- Metalfisa'!$A260)</f>
        <v>0</v>
      </c>
      <c r="AU260" s="18">
        <v>0</v>
      </c>
      <c r="AV260" s="18">
        <v>0</v>
      </c>
      <c r="AW260" s="18">
        <v>0</v>
      </c>
      <c r="AX260" s="18">
        <v>0</v>
      </c>
      <c r="AY260" s="41">
        <v>0</v>
      </c>
      <c r="AZ260" s="31">
        <v>0</v>
      </c>
      <c r="BA260" s="31">
        <v>0</v>
      </c>
      <c r="BB260" s="31">
        <v>0</v>
      </c>
      <c r="BC260" s="31">
        <v>0</v>
      </c>
      <c r="BD260" s="31">
        <v>0</v>
      </c>
      <c r="BE260" s="31">
        <v>0</v>
      </c>
      <c r="BF260" s="31">
        <v>0</v>
      </c>
      <c r="BG260" s="31">
        <v>0</v>
      </c>
      <c r="BH260" s="31">
        <v>0</v>
      </c>
      <c r="BI260" s="31">
        <v>0</v>
      </c>
      <c r="BJ260" s="31">
        <v>0</v>
      </c>
      <c r="BK260" s="31">
        <v>0</v>
      </c>
      <c r="BL260" s="31">
        <v>0</v>
      </c>
      <c r="BM260" s="31">
        <v>0</v>
      </c>
      <c r="BN260" s="31">
        <v>4</v>
      </c>
      <c r="BO260" s="31">
        <v>4</v>
      </c>
      <c r="BP260" s="31">
        <v>0</v>
      </c>
      <c r="BQ260" s="31">
        <v>0</v>
      </c>
      <c r="BR260" s="31">
        <v>0</v>
      </c>
      <c r="BS260" s="31">
        <v>0</v>
      </c>
      <c r="BT260" s="31">
        <v>0</v>
      </c>
      <c r="BU260" s="31">
        <v>0</v>
      </c>
      <c r="BV260" s="31">
        <v>0</v>
      </c>
      <c r="BW260" s="31">
        <v>0</v>
      </c>
      <c r="BX260" s="31">
        <v>0</v>
      </c>
      <c r="BY260" s="31">
        <v>0</v>
      </c>
      <c r="BZ260" s="31">
        <v>0</v>
      </c>
      <c r="CA260" s="31">
        <v>0</v>
      </c>
      <c r="CB260" s="31">
        <v>0</v>
      </c>
      <c r="CC260" s="31">
        <v>0</v>
      </c>
      <c r="CD260" s="31">
        <v>0</v>
      </c>
      <c r="CE260" s="31">
        <v>0</v>
      </c>
      <c r="CF260" s="31">
        <v>0</v>
      </c>
      <c r="CG260" s="31">
        <v>0</v>
      </c>
      <c r="CH260" s="31">
        <v>0</v>
      </c>
      <c r="CI260" s="31">
        <v>0</v>
      </c>
      <c r="CJ260" s="31">
        <v>0</v>
      </c>
      <c r="CK260" s="31">
        <v>0</v>
      </c>
      <c r="CL260" s="35">
        <v>0</v>
      </c>
    </row>
    <row r="261" spans="1:90" x14ac:dyDescent="0.15">
      <c r="A261" s="27" t="s">
        <v>1283</v>
      </c>
      <c r="B261" s="28" t="s">
        <v>1284</v>
      </c>
      <c r="C261" s="28">
        <v>0</v>
      </c>
      <c r="D261" s="28">
        <v>0</v>
      </c>
      <c r="E261" s="28">
        <v>0</v>
      </c>
      <c r="F261" s="28">
        <v>0</v>
      </c>
      <c r="G261" s="28">
        <v>6</v>
      </c>
      <c r="H261" s="28">
        <f>IFERROR(VLOOKUP(A261,[1]FALTANTES!$A:$AB,28,FALSE),"-")</f>
        <v>0</v>
      </c>
      <c r="I261" s="42">
        <f>IFERROR(VLOOKUP(A261,[1]FALTANTES!$A:$AC,29,FALSE),"-")</f>
        <v>2</v>
      </c>
      <c r="J261" s="29">
        <f>IFERROR(VLOOKUP(A261,[1]FALTANTES!$A:$AD,30,FALSE),"-")</f>
        <v>-4</v>
      </c>
      <c r="K261" s="30">
        <v>0</v>
      </c>
      <c r="L261" s="30">
        <f t="shared" si="5"/>
        <v>2</v>
      </c>
      <c r="M261" s="31">
        <f>SUMIFS(METALFISA!$E:$E,METALFISA!$A:$A,'Faltantes Fevereiro- Metalfisa'!M$3,METALFISA!$B:$B,'Faltantes Fevereiro- Metalfisa'!$A261)</f>
        <v>0</v>
      </c>
      <c r="N261" s="31">
        <f>SUMIFS(METALFISA!$E:$E,METALFISA!$A:$A,'Faltantes Fevereiro- Metalfisa'!N$3,METALFISA!$B:$B,'Faltantes Fevereiro- Metalfisa'!$A261)</f>
        <v>0</v>
      </c>
      <c r="O261" s="31">
        <f>SUMIFS(METALFISA!$E:$E,METALFISA!$A:$A,'Faltantes Fevereiro- Metalfisa'!O$3,METALFISA!$B:$B,'Faltantes Fevereiro- Metalfisa'!$A261)</f>
        <v>0</v>
      </c>
      <c r="P261" s="31">
        <f>SUMIFS(METALFISA!$E:$E,METALFISA!$A:$A,'Faltantes Fevereiro- Metalfisa'!P$3,METALFISA!$B:$B,'Faltantes Fevereiro- Metalfisa'!$A261)</f>
        <v>0</v>
      </c>
      <c r="Q261" s="31">
        <f>SUMIFS(METALFISA!$E:$E,METALFISA!$A:$A,'Faltantes Fevereiro- Metalfisa'!Q$3,METALFISA!$B:$B,'Faltantes Fevereiro- Metalfisa'!$A261)</f>
        <v>0</v>
      </c>
      <c r="R261" s="31">
        <f>SUMIFS(METALFISA!$E:$E,METALFISA!$A:$A,'Faltantes Fevereiro- Metalfisa'!R$3,METALFISA!$B:$B,'Faltantes Fevereiro- Metalfisa'!$A261)</f>
        <v>0</v>
      </c>
      <c r="S261" s="31">
        <f>SUMIFS(METALFISA!$E:$E,METALFISA!$A:$A,'Faltantes Fevereiro- Metalfisa'!S$3,METALFISA!$B:$B,'Faltantes Fevereiro- Metalfisa'!$A261)</f>
        <v>0</v>
      </c>
      <c r="T261" s="31">
        <f>SUMIFS(METALFISA!$E:$E,METALFISA!$A:$A,'Faltantes Fevereiro- Metalfisa'!T$3,METALFISA!$B:$B,'Faltantes Fevereiro- Metalfisa'!$A261)</f>
        <v>0</v>
      </c>
      <c r="U261" s="31">
        <f>SUMIFS(METALFISA!$E:$E,METALFISA!$A:$A,'Faltantes Fevereiro- Metalfisa'!U$3,METALFISA!$B:$B,'Faltantes Fevereiro- Metalfisa'!$A261)</f>
        <v>0</v>
      </c>
      <c r="V261" s="31">
        <f>SUMIFS(METALFISA!$E:$E,METALFISA!$A:$A,'Faltantes Fevereiro- Metalfisa'!V$3,METALFISA!$B:$B,'Faltantes Fevereiro- Metalfisa'!$A261)</f>
        <v>0</v>
      </c>
      <c r="W261" s="31">
        <f>SUMIFS(METALFISA!$E:$E,METALFISA!$A:$A,'Faltantes Fevereiro- Metalfisa'!W$3,METALFISA!$B:$B,'Faltantes Fevereiro- Metalfisa'!$A261)</f>
        <v>0</v>
      </c>
      <c r="X261" s="31">
        <f>SUMIFS(METALFISA!$E:$E,METALFISA!$A:$A,'Faltantes Fevereiro- Metalfisa'!X$3,METALFISA!$B:$B,'Faltantes Fevereiro- Metalfisa'!$A261)</f>
        <v>0</v>
      </c>
      <c r="Y261" s="31">
        <f>SUMIFS(METALFISA!$E:$E,METALFISA!$A:$A,'Faltantes Fevereiro- Metalfisa'!Y$3,METALFISA!$B:$B,'Faltantes Fevereiro- Metalfisa'!$A261)</f>
        <v>0</v>
      </c>
      <c r="Z261" s="31">
        <f>SUMIFS(METALFISA!$E:$E,METALFISA!$A:$A,'Faltantes Fevereiro- Metalfisa'!Z$3,METALFISA!$B:$B,'Faltantes Fevereiro- Metalfisa'!$A261)</f>
        <v>0</v>
      </c>
      <c r="AA261" s="31">
        <f>SUMIFS(METALFISA!$E:$E,METALFISA!$A:$A,'Faltantes Fevereiro- Metalfisa'!AA$3,METALFISA!$B:$B,'Faltantes Fevereiro- Metalfisa'!$A261)</f>
        <v>0</v>
      </c>
      <c r="AB261" s="31">
        <f>SUMIFS(METALFISA!$E:$E,METALFISA!$A:$A,'Faltantes Fevereiro- Metalfisa'!AB$3,METALFISA!$B:$B,'Faltantes Fevereiro- Metalfisa'!$A261)</f>
        <v>0</v>
      </c>
      <c r="AC261" s="31">
        <f>SUMIFS(METALFISA!$E:$E,METALFISA!$A:$A,'Faltantes Fevereiro- Metalfisa'!AC$3,METALFISA!$B:$B,'Faltantes Fevereiro- Metalfisa'!$A261)</f>
        <v>0</v>
      </c>
      <c r="AD261" s="31">
        <f>SUMIFS(METALFISA!$E:$E,METALFISA!$A:$A,'Faltantes Fevereiro- Metalfisa'!AD$3,METALFISA!$B:$B,'Faltantes Fevereiro- Metalfisa'!$A261)</f>
        <v>0</v>
      </c>
      <c r="AE261" s="31">
        <f>SUMIFS(METALFISA!$E:$E,METALFISA!$A:$A,'Faltantes Fevereiro- Metalfisa'!AE$3,METALFISA!$B:$B,'Faltantes Fevereiro- Metalfisa'!$A261)</f>
        <v>2</v>
      </c>
      <c r="AF261" s="31">
        <f>SUMIFS(METALFISA!$E:$E,METALFISA!$A:$A,'Faltantes Fevereiro- Metalfisa'!AF$3,METALFISA!$B:$B,'Faltantes Fevereiro- Metalfisa'!$A261)</f>
        <v>0</v>
      </c>
      <c r="AG261" s="31">
        <f>SUMIFS(METALFISA!$E:$E,METALFISA!$A:$A,'Faltantes Fevereiro- Metalfisa'!AG$3,METALFISA!$B:$B,'Faltantes Fevereiro- Metalfisa'!$A261)</f>
        <v>0</v>
      </c>
      <c r="AH261" s="31">
        <f>SUMIFS(METALFISA!$E:$E,METALFISA!$A:$A,'Faltantes Fevereiro- Metalfisa'!AH$3,METALFISA!$B:$B,'Faltantes Fevereiro- Metalfisa'!$A261)</f>
        <v>0</v>
      </c>
      <c r="AI261" s="31">
        <f>SUMIFS(METALFISA!$E:$E,METALFISA!$A:$A,'Faltantes Fevereiro- Metalfisa'!AI$3,METALFISA!$B:$B,'Faltantes Fevereiro- Metalfisa'!$A261)</f>
        <v>0</v>
      </c>
      <c r="AJ261" s="31">
        <f>SUMIFS(METALFISA!$E:$E,METALFISA!$A:$A,'Faltantes Fevereiro- Metalfisa'!AJ$3,METALFISA!$B:$B,'Faltantes Fevereiro- Metalfisa'!$A261)</f>
        <v>0</v>
      </c>
      <c r="AK261" s="31">
        <f>SUMIFS(METALFISA!$E:$E,METALFISA!$A:$A,'Faltantes Fevereiro- Metalfisa'!AK$3,METALFISA!$B:$B,'Faltantes Fevereiro- Metalfisa'!$A261)</f>
        <v>0</v>
      </c>
      <c r="AL261" s="31">
        <f>SUMIFS(METALFISA!$E:$E,METALFISA!$A:$A,'Faltantes Fevereiro- Metalfisa'!AL$3,METALFISA!$B:$B,'Faltantes Fevereiro- Metalfisa'!$A261)</f>
        <v>0</v>
      </c>
      <c r="AM261" s="31">
        <f>SUMIFS(METALFISA!$E:$E,METALFISA!$A:$A,'Faltantes Fevereiro- Metalfisa'!AM$3,METALFISA!$B:$B,'Faltantes Fevereiro- Metalfisa'!$A261)</f>
        <v>0</v>
      </c>
      <c r="AN261" s="31">
        <f>SUMIFS(METALFISA!$E:$E,METALFISA!$A:$A,'Faltantes Fevereiro- Metalfisa'!AN$3,METALFISA!$B:$B,'Faltantes Fevereiro- Metalfisa'!$A261)</f>
        <v>0</v>
      </c>
      <c r="AO261" s="31">
        <f>SUMIFS(METALFISA!$E:$E,METALFISA!$A:$A,'Faltantes Fevereiro- Metalfisa'!AO$3,METALFISA!$B:$B,'Faltantes Fevereiro- Metalfisa'!$A261)</f>
        <v>0</v>
      </c>
      <c r="AP261" s="31">
        <f>SUMIFS(METALFISA!$E:$E,METALFISA!$A:$A,'Faltantes Fevereiro- Metalfisa'!AP$3,METALFISA!$B:$B,'Faltantes Fevereiro- Metalfisa'!$A261)</f>
        <v>0</v>
      </c>
      <c r="AQ261" s="31"/>
      <c r="AR261" s="31">
        <f>SUMIFS(METALFISA!$E:$E,METALFISA!$A:$A,'Faltantes Fevereiro- Metalfisa'!AR$3,METALFISA!$B:$B,'Faltantes Fevereiro- Metalfisa'!$A261)</f>
        <v>0</v>
      </c>
      <c r="AS261" s="35">
        <f>SUMIFS(METALFISA!$E:$E,METALFISA!$A:$A,'Faltantes Fevereiro- Metalfisa'!AS$3,METALFISA!$B:$B,'Faltantes Fevereiro- Metalfisa'!$A261)</f>
        <v>0</v>
      </c>
      <c r="AU261" s="18">
        <v>0</v>
      </c>
      <c r="AV261" s="18">
        <v>0</v>
      </c>
      <c r="AW261" s="18">
        <v>0</v>
      </c>
      <c r="AX261" s="18">
        <v>0</v>
      </c>
      <c r="AY261" s="41">
        <v>0</v>
      </c>
      <c r="AZ261" s="31">
        <v>0</v>
      </c>
      <c r="BA261" s="31">
        <v>0</v>
      </c>
      <c r="BB261" s="31">
        <v>0</v>
      </c>
      <c r="BC261" s="31">
        <v>0</v>
      </c>
      <c r="BD261" s="31">
        <v>0</v>
      </c>
      <c r="BE261" s="31">
        <v>0</v>
      </c>
      <c r="BF261" s="31">
        <v>0</v>
      </c>
      <c r="BG261" s="31">
        <v>0</v>
      </c>
      <c r="BH261" s="31">
        <v>0</v>
      </c>
      <c r="BI261" s="31">
        <v>0</v>
      </c>
      <c r="BJ261" s="31">
        <v>0</v>
      </c>
      <c r="BK261" s="31">
        <v>0</v>
      </c>
      <c r="BL261" s="31">
        <v>0</v>
      </c>
      <c r="BM261" s="31">
        <v>0</v>
      </c>
      <c r="BN261" s="31">
        <v>0</v>
      </c>
      <c r="BO261" s="31">
        <v>1</v>
      </c>
      <c r="BP261" s="31">
        <v>0</v>
      </c>
      <c r="BQ261" s="31">
        <v>0</v>
      </c>
      <c r="BR261" s="31">
        <v>0</v>
      </c>
      <c r="BS261" s="31">
        <v>0</v>
      </c>
      <c r="BT261" s="31">
        <v>0</v>
      </c>
      <c r="BU261" s="31">
        <v>0</v>
      </c>
      <c r="BV261" s="31">
        <v>0</v>
      </c>
      <c r="BW261" s="31">
        <v>0</v>
      </c>
      <c r="BX261" s="31">
        <v>0</v>
      </c>
      <c r="BY261" s="31">
        <v>0</v>
      </c>
      <c r="BZ261" s="31">
        <v>0</v>
      </c>
      <c r="CA261" s="31">
        <v>0</v>
      </c>
      <c r="CB261" s="31">
        <v>0</v>
      </c>
      <c r="CC261" s="31">
        <v>0</v>
      </c>
      <c r="CD261" s="31">
        <v>0</v>
      </c>
      <c r="CE261" s="31">
        <v>0</v>
      </c>
      <c r="CF261" s="31">
        <v>0</v>
      </c>
      <c r="CG261" s="31">
        <v>0</v>
      </c>
      <c r="CH261" s="31">
        <v>0</v>
      </c>
      <c r="CI261" s="31">
        <v>0</v>
      </c>
      <c r="CJ261" s="31">
        <v>0</v>
      </c>
      <c r="CK261" s="31">
        <v>0</v>
      </c>
      <c r="CL261" s="35">
        <v>0</v>
      </c>
    </row>
    <row r="262" spans="1:90" ht="21" x14ac:dyDescent="0.15">
      <c r="A262" s="27" t="s">
        <v>1303</v>
      </c>
      <c r="B262" s="28" t="s">
        <v>1304</v>
      </c>
      <c r="C262" s="28">
        <v>0</v>
      </c>
      <c r="D262" s="28">
        <v>0</v>
      </c>
      <c r="E262" s="28">
        <v>0</v>
      </c>
      <c r="F262" s="28">
        <v>0</v>
      </c>
      <c r="G262" s="28">
        <v>45</v>
      </c>
      <c r="H262" s="28">
        <f>IFERROR(VLOOKUP(A262,[1]FALTANTES!$A:$AB,28,FALSE),"-")</f>
        <v>0</v>
      </c>
      <c r="I262" s="42">
        <f>IFERROR(VLOOKUP(A262,[1]FALTANTES!$A:$AC,29,FALSE),"-")</f>
        <v>6</v>
      </c>
      <c r="J262" s="29">
        <f>IFERROR(VLOOKUP(A262,[1]FALTANTES!$A:$AD,30,FALSE),"-")</f>
        <v>-39</v>
      </c>
      <c r="K262" s="30">
        <v>0</v>
      </c>
      <c r="L262" s="30">
        <f t="shared" si="5"/>
        <v>6</v>
      </c>
      <c r="M262" s="31">
        <f>SUMIFS(METALFISA!$E:$E,METALFISA!$A:$A,'Faltantes Fevereiro- Metalfisa'!M$3,METALFISA!$B:$B,'Faltantes Fevereiro- Metalfisa'!$A262)</f>
        <v>0</v>
      </c>
      <c r="N262" s="31">
        <f>SUMIFS(METALFISA!$E:$E,METALFISA!$A:$A,'Faltantes Fevereiro- Metalfisa'!N$3,METALFISA!$B:$B,'Faltantes Fevereiro- Metalfisa'!$A262)</f>
        <v>0</v>
      </c>
      <c r="O262" s="31">
        <f>SUMIFS(METALFISA!$E:$E,METALFISA!$A:$A,'Faltantes Fevereiro- Metalfisa'!O$3,METALFISA!$B:$B,'Faltantes Fevereiro- Metalfisa'!$A262)</f>
        <v>0</v>
      </c>
      <c r="P262" s="31">
        <f>SUMIFS(METALFISA!$E:$E,METALFISA!$A:$A,'Faltantes Fevereiro- Metalfisa'!P$3,METALFISA!$B:$B,'Faltantes Fevereiro- Metalfisa'!$A262)</f>
        <v>0</v>
      </c>
      <c r="Q262" s="31">
        <f>SUMIFS(METALFISA!$E:$E,METALFISA!$A:$A,'Faltantes Fevereiro- Metalfisa'!Q$3,METALFISA!$B:$B,'Faltantes Fevereiro- Metalfisa'!$A262)</f>
        <v>0</v>
      </c>
      <c r="R262" s="31">
        <f>SUMIFS(METALFISA!$E:$E,METALFISA!$A:$A,'Faltantes Fevereiro- Metalfisa'!R$3,METALFISA!$B:$B,'Faltantes Fevereiro- Metalfisa'!$A262)</f>
        <v>0</v>
      </c>
      <c r="S262" s="31">
        <f>SUMIFS(METALFISA!$E:$E,METALFISA!$A:$A,'Faltantes Fevereiro- Metalfisa'!S$3,METALFISA!$B:$B,'Faltantes Fevereiro- Metalfisa'!$A262)</f>
        <v>0</v>
      </c>
      <c r="T262" s="31">
        <f>SUMIFS(METALFISA!$E:$E,METALFISA!$A:$A,'Faltantes Fevereiro- Metalfisa'!T$3,METALFISA!$B:$B,'Faltantes Fevereiro- Metalfisa'!$A262)</f>
        <v>0</v>
      </c>
      <c r="U262" s="31">
        <f>SUMIFS(METALFISA!$E:$E,METALFISA!$A:$A,'Faltantes Fevereiro- Metalfisa'!U$3,METALFISA!$B:$B,'Faltantes Fevereiro- Metalfisa'!$A262)</f>
        <v>0</v>
      </c>
      <c r="V262" s="31">
        <f>SUMIFS(METALFISA!$E:$E,METALFISA!$A:$A,'Faltantes Fevereiro- Metalfisa'!V$3,METALFISA!$B:$B,'Faltantes Fevereiro- Metalfisa'!$A262)</f>
        <v>0</v>
      </c>
      <c r="W262" s="31">
        <f>SUMIFS(METALFISA!$E:$E,METALFISA!$A:$A,'Faltantes Fevereiro- Metalfisa'!W$3,METALFISA!$B:$B,'Faltantes Fevereiro- Metalfisa'!$A262)</f>
        <v>0</v>
      </c>
      <c r="X262" s="31">
        <f>SUMIFS(METALFISA!$E:$E,METALFISA!$A:$A,'Faltantes Fevereiro- Metalfisa'!X$3,METALFISA!$B:$B,'Faltantes Fevereiro- Metalfisa'!$A262)</f>
        <v>0</v>
      </c>
      <c r="Y262" s="31">
        <f>SUMIFS(METALFISA!$E:$E,METALFISA!$A:$A,'Faltantes Fevereiro- Metalfisa'!Y$3,METALFISA!$B:$B,'Faltantes Fevereiro- Metalfisa'!$A262)</f>
        <v>0</v>
      </c>
      <c r="Z262" s="31">
        <f>SUMIFS(METALFISA!$E:$E,METALFISA!$A:$A,'Faltantes Fevereiro- Metalfisa'!Z$3,METALFISA!$B:$B,'Faltantes Fevereiro- Metalfisa'!$A262)</f>
        <v>0</v>
      </c>
      <c r="AA262" s="31">
        <f>SUMIFS(METALFISA!$E:$E,METALFISA!$A:$A,'Faltantes Fevereiro- Metalfisa'!AA$3,METALFISA!$B:$B,'Faltantes Fevereiro- Metalfisa'!$A262)</f>
        <v>0</v>
      </c>
      <c r="AB262" s="31">
        <f>SUMIFS(METALFISA!$E:$E,METALFISA!$A:$A,'Faltantes Fevereiro- Metalfisa'!AB$3,METALFISA!$B:$B,'Faltantes Fevereiro- Metalfisa'!$A262)</f>
        <v>0</v>
      </c>
      <c r="AC262" s="31">
        <f>SUMIFS(METALFISA!$E:$E,METALFISA!$A:$A,'Faltantes Fevereiro- Metalfisa'!AC$3,METALFISA!$B:$B,'Faltantes Fevereiro- Metalfisa'!$A262)</f>
        <v>0</v>
      </c>
      <c r="AD262" s="31">
        <f>SUMIFS(METALFISA!$E:$E,METALFISA!$A:$A,'Faltantes Fevereiro- Metalfisa'!AD$3,METALFISA!$B:$B,'Faltantes Fevereiro- Metalfisa'!$A262)</f>
        <v>0</v>
      </c>
      <c r="AE262" s="31">
        <f>SUMIFS(METALFISA!$E:$E,METALFISA!$A:$A,'Faltantes Fevereiro- Metalfisa'!AE$3,METALFISA!$B:$B,'Faltantes Fevereiro- Metalfisa'!$A262)</f>
        <v>6</v>
      </c>
      <c r="AF262" s="31">
        <f>SUMIFS(METALFISA!$E:$E,METALFISA!$A:$A,'Faltantes Fevereiro- Metalfisa'!AF$3,METALFISA!$B:$B,'Faltantes Fevereiro- Metalfisa'!$A262)</f>
        <v>0</v>
      </c>
      <c r="AG262" s="31">
        <f>SUMIFS(METALFISA!$E:$E,METALFISA!$A:$A,'Faltantes Fevereiro- Metalfisa'!AG$3,METALFISA!$B:$B,'Faltantes Fevereiro- Metalfisa'!$A262)</f>
        <v>0</v>
      </c>
      <c r="AH262" s="31">
        <f>SUMIFS(METALFISA!$E:$E,METALFISA!$A:$A,'Faltantes Fevereiro- Metalfisa'!AH$3,METALFISA!$B:$B,'Faltantes Fevereiro- Metalfisa'!$A262)</f>
        <v>0</v>
      </c>
      <c r="AI262" s="31">
        <f>SUMIFS(METALFISA!$E:$E,METALFISA!$A:$A,'Faltantes Fevereiro- Metalfisa'!AI$3,METALFISA!$B:$B,'Faltantes Fevereiro- Metalfisa'!$A262)</f>
        <v>0</v>
      </c>
      <c r="AJ262" s="31">
        <f>SUMIFS(METALFISA!$E:$E,METALFISA!$A:$A,'Faltantes Fevereiro- Metalfisa'!AJ$3,METALFISA!$B:$B,'Faltantes Fevereiro- Metalfisa'!$A262)</f>
        <v>0</v>
      </c>
      <c r="AK262" s="31">
        <f>SUMIFS(METALFISA!$E:$E,METALFISA!$A:$A,'Faltantes Fevereiro- Metalfisa'!AK$3,METALFISA!$B:$B,'Faltantes Fevereiro- Metalfisa'!$A262)</f>
        <v>0</v>
      </c>
      <c r="AL262" s="31">
        <f>SUMIFS(METALFISA!$E:$E,METALFISA!$A:$A,'Faltantes Fevereiro- Metalfisa'!AL$3,METALFISA!$B:$B,'Faltantes Fevereiro- Metalfisa'!$A262)</f>
        <v>0</v>
      </c>
      <c r="AM262" s="31">
        <f>SUMIFS(METALFISA!$E:$E,METALFISA!$A:$A,'Faltantes Fevereiro- Metalfisa'!AM$3,METALFISA!$B:$B,'Faltantes Fevereiro- Metalfisa'!$A262)</f>
        <v>0</v>
      </c>
      <c r="AN262" s="31">
        <f>SUMIFS(METALFISA!$E:$E,METALFISA!$A:$A,'Faltantes Fevereiro- Metalfisa'!AN$3,METALFISA!$B:$B,'Faltantes Fevereiro- Metalfisa'!$A262)</f>
        <v>0</v>
      </c>
      <c r="AO262" s="31">
        <f>SUMIFS(METALFISA!$E:$E,METALFISA!$A:$A,'Faltantes Fevereiro- Metalfisa'!AO$3,METALFISA!$B:$B,'Faltantes Fevereiro- Metalfisa'!$A262)</f>
        <v>0</v>
      </c>
      <c r="AP262" s="31">
        <f>SUMIFS(METALFISA!$E:$E,METALFISA!$A:$A,'Faltantes Fevereiro- Metalfisa'!AP$3,METALFISA!$B:$B,'Faltantes Fevereiro- Metalfisa'!$A262)</f>
        <v>0</v>
      </c>
      <c r="AQ262" s="31"/>
      <c r="AR262" s="31">
        <f>SUMIFS(METALFISA!$E:$E,METALFISA!$A:$A,'Faltantes Fevereiro- Metalfisa'!AR$3,METALFISA!$B:$B,'Faltantes Fevereiro- Metalfisa'!$A262)</f>
        <v>0</v>
      </c>
      <c r="AS262" s="35">
        <f>SUMIFS(METALFISA!$E:$E,METALFISA!$A:$A,'Faltantes Fevereiro- Metalfisa'!AS$3,METALFISA!$B:$B,'Faltantes Fevereiro- Metalfisa'!$A262)</f>
        <v>0</v>
      </c>
      <c r="AU262" s="18">
        <v>0</v>
      </c>
      <c r="AV262" s="18">
        <v>0</v>
      </c>
      <c r="AW262" s="18">
        <v>0</v>
      </c>
      <c r="AX262" s="18">
        <v>0</v>
      </c>
      <c r="AY262" s="41">
        <v>0</v>
      </c>
      <c r="AZ262" s="31">
        <v>0</v>
      </c>
      <c r="BA262" s="31">
        <v>0</v>
      </c>
      <c r="BB262" s="31">
        <v>0</v>
      </c>
      <c r="BC262" s="31">
        <v>0</v>
      </c>
      <c r="BD262" s="31">
        <v>0</v>
      </c>
      <c r="BE262" s="31">
        <v>0</v>
      </c>
      <c r="BF262" s="31">
        <v>0</v>
      </c>
      <c r="BG262" s="31">
        <v>0</v>
      </c>
      <c r="BH262" s="31">
        <v>0</v>
      </c>
      <c r="BI262" s="31">
        <v>0</v>
      </c>
      <c r="BJ262" s="31">
        <v>0</v>
      </c>
      <c r="BK262" s="31">
        <v>0</v>
      </c>
      <c r="BL262" s="31">
        <v>0</v>
      </c>
      <c r="BM262" s="31">
        <v>0</v>
      </c>
      <c r="BN262" s="31">
        <v>6</v>
      </c>
      <c r="BO262" s="31">
        <v>5</v>
      </c>
      <c r="BP262" s="31">
        <v>0</v>
      </c>
      <c r="BQ262" s="31">
        <v>0</v>
      </c>
      <c r="BR262" s="31">
        <v>0</v>
      </c>
      <c r="BS262" s="31">
        <v>0</v>
      </c>
      <c r="BT262" s="31">
        <v>0</v>
      </c>
      <c r="BU262" s="31">
        <v>0</v>
      </c>
      <c r="BV262" s="31">
        <v>0</v>
      </c>
      <c r="BW262" s="31">
        <v>0</v>
      </c>
      <c r="BX262" s="31">
        <v>0</v>
      </c>
      <c r="BY262" s="31">
        <v>0</v>
      </c>
      <c r="BZ262" s="31">
        <v>0</v>
      </c>
      <c r="CA262" s="31">
        <v>0</v>
      </c>
      <c r="CB262" s="31">
        <v>0</v>
      </c>
      <c r="CC262" s="31">
        <v>0</v>
      </c>
      <c r="CD262" s="31">
        <v>0</v>
      </c>
      <c r="CE262" s="31">
        <v>0</v>
      </c>
      <c r="CF262" s="31">
        <v>0</v>
      </c>
      <c r="CG262" s="31">
        <v>0</v>
      </c>
      <c r="CH262" s="31">
        <v>0</v>
      </c>
      <c r="CI262" s="31">
        <v>0</v>
      </c>
      <c r="CJ262" s="31">
        <v>0</v>
      </c>
      <c r="CK262" s="31">
        <v>0</v>
      </c>
      <c r="CL262" s="35">
        <v>0</v>
      </c>
    </row>
    <row r="263" spans="1:90" ht="21" x14ac:dyDescent="0.15">
      <c r="A263" s="27" t="s">
        <v>1306</v>
      </c>
      <c r="B263" s="28" t="s">
        <v>1307</v>
      </c>
      <c r="C263" s="28">
        <v>0</v>
      </c>
      <c r="D263" s="28">
        <v>0</v>
      </c>
      <c r="E263" s="28">
        <v>0</v>
      </c>
      <c r="F263" s="28">
        <v>0</v>
      </c>
      <c r="G263" s="28">
        <v>6</v>
      </c>
      <c r="H263" s="28">
        <f>IFERROR(VLOOKUP(A263,[1]FALTANTES!$A:$AB,28,FALSE),"-")</f>
        <v>0</v>
      </c>
      <c r="I263" s="42">
        <f>IFERROR(VLOOKUP(A263,[1]FALTANTES!$A:$AC,29,FALSE),"-")</f>
        <v>2</v>
      </c>
      <c r="J263" s="29">
        <f>IFERROR(VLOOKUP(A263,[1]FALTANTES!$A:$AD,30,FALSE),"-")</f>
        <v>-4</v>
      </c>
      <c r="K263" s="30">
        <v>0</v>
      </c>
      <c r="L263" s="30">
        <f t="shared" si="5"/>
        <v>2</v>
      </c>
      <c r="M263" s="31">
        <f>SUMIFS(METALFISA!$E:$E,METALFISA!$A:$A,'Faltantes Fevereiro- Metalfisa'!M$3,METALFISA!$B:$B,'Faltantes Fevereiro- Metalfisa'!$A263)</f>
        <v>0</v>
      </c>
      <c r="N263" s="31">
        <f>SUMIFS(METALFISA!$E:$E,METALFISA!$A:$A,'Faltantes Fevereiro- Metalfisa'!N$3,METALFISA!$B:$B,'Faltantes Fevereiro- Metalfisa'!$A263)</f>
        <v>0</v>
      </c>
      <c r="O263" s="31">
        <f>SUMIFS(METALFISA!$E:$E,METALFISA!$A:$A,'Faltantes Fevereiro- Metalfisa'!O$3,METALFISA!$B:$B,'Faltantes Fevereiro- Metalfisa'!$A263)</f>
        <v>0</v>
      </c>
      <c r="P263" s="31">
        <f>SUMIFS(METALFISA!$E:$E,METALFISA!$A:$A,'Faltantes Fevereiro- Metalfisa'!P$3,METALFISA!$B:$B,'Faltantes Fevereiro- Metalfisa'!$A263)</f>
        <v>0</v>
      </c>
      <c r="Q263" s="31">
        <f>SUMIFS(METALFISA!$E:$E,METALFISA!$A:$A,'Faltantes Fevereiro- Metalfisa'!Q$3,METALFISA!$B:$B,'Faltantes Fevereiro- Metalfisa'!$A263)</f>
        <v>0</v>
      </c>
      <c r="R263" s="31">
        <f>SUMIFS(METALFISA!$E:$E,METALFISA!$A:$A,'Faltantes Fevereiro- Metalfisa'!R$3,METALFISA!$B:$B,'Faltantes Fevereiro- Metalfisa'!$A263)</f>
        <v>0</v>
      </c>
      <c r="S263" s="31">
        <f>SUMIFS(METALFISA!$E:$E,METALFISA!$A:$A,'Faltantes Fevereiro- Metalfisa'!S$3,METALFISA!$B:$B,'Faltantes Fevereiro- Metalfisa'!$A263)</f>
        <v>0</v>
      </c>
      <c r="T263" s="31">
        <f>SUMIFS(METALFISA!$E:$E,METALFISA!$A:$A,'Faltantes Fevereiro- Metalfisa'!T$3,METALFISA!$B:$B,'Faltantes Fevereiro- Metalfisa'!$A263)</f>
        <v>0</v>
      </c>
      <c r="U263" s="31">
        <f>SUMIFS(METALFISA!$E:$E,METALFISA!$A:$A,'Faltantes Fevereiro- Metalfisa'!U$3,METALFISA!$B:$B,'Faltantes Fevereiro- Metalfisa'!$A263)</f>
        <v>0</v>
      </c>
      <c r="V263" s="31">
        <f>SUMIFS(METALFISA!$E:$E,METALFISA!$A:$A,'Faltantes Fevereiro- Metalfisa'!V$3,METALFISA!$B:$B,'Faltantes Fevereiro- Metalfisa'!$A263)</f>
        <v>0</v>
      </c>
      <c r="W263" s="31">
        <f>SUMIFS(METALFISA!$E:$E,METALFISA!$A:$A,'Faltantes Fevereiro- Metalfisa'!W$3,METALFISA!$B:$B,'Faltantes Fevereiro- Metalfisa'!$A263)</f>
        <v>0</v>
      </c>
      <c r="X263" s="31">
        <f>SUMIFS(METALFISA!$E:$E,METALFISA!$A:$A,'Faltantes Fevereiro- Metalfisa'!X$3,METALFISA!$B:$B,'Faltantes Fevereiro- Metalfisa'!$A263)</f>
        <v>0</v>
      </c>
      <c r="Y263" s="31">
        <f>SUMIFS(METALFISA!$E:$E,METALFISA!$A:$A,'Faltantes Fevereiro- Metalfisa'!Y$3,METALFISA!$B:$B,'Faltantes Fevereiro- Metalfisa'!$A263)</f>
        <v>0</v>
      </c>
      <c r="Z263" s="31">
        <f>SUMIFS(METALFISA!$E:$E,METALFISA!$A:$A,'Faltantes Fevereiro- Metalfisa'!Z$3,METALFISA!$B:$B,'Faltantes Fevereiro- Metalfisa'!$A263)</f>
        <v>0</v>
      </c>
      <c r="AA263" s="31">
        <f>SUMIFS(METALFISA!$E:$E,METALFISA!$A:$A,'Faltantes Fevereiro- Metalfisa'!AA$3,METALFISA!$B:$B,'Faltantes Fevereiro- Metalfisa'!$A263)</f>
        <v>0</v>
      </c>
      <c r="AB263" s="31">
        <f>SUMIFS(METALFISA!$E:$E,METALFISA!$A:$A,'Faltantes Fevereiro- Metalfisa'!AB$3,METALFISA!$B:$B,'Faltantes Fevereiro- Metalfisa'!$A263)</f>
        <v>0</v>
      </c>
      <c r="AC263" s="31">
        <f>SUMIFS(METALFISA!$E:$E,METALFISA!$A:$A,'Faltantes Fevereiro- Metalfisa'!AC$3,METALFISA!$B:$B,'Faltantes Fevereiro- Metalfisa'!$A263)</f>
        <v>0</v>
      </c>
      <c r="AD263" s="31">
        <f>SUMIFS(METALFISA!$E:$E,METALFISA!$A:$A,'Faltantes Fevereiro- Metalfisa'!AD$3,METALFISA!$B:$B,'Faltantes Fevereiro- Metalfisa'!$A263)</f>
        <v>0</v>
      </c>
      <c r="AE263" s="31">
        <f>SUMIFS(METALFISA!$E:$E,METALFISA!$A:$A,'Faltantes Fevereiro- Metalfisa'!AE$3,METALFISA!$B:$B,'Faltantes Fevereiro- Metalfisa'!$A263)</f>
        <v>2</v>
      </c>
      <c r="AF263" s="31">
        <f>SUMIFS(METALFISA!$E:$E,METALFISA!$A:$A,'Faltantes Fevereiro- Metalfisa'!AF$3,METALFISA!$B:$B,'Faltantes Fevereiro- Metalfisa'!$A263)</f>
        <v>0</v>
      </c>
      <c r="AG263" s="31">
        <f>SUMIFS(METALFISA!$E:$E,METALFISA!$A:$A,'Faltantes Fevereiro- Metalfisa'!AG$3,METALFISA!$B:$B,'Faltantes Fevereiro- Metalfisa'!$A263)</f>
        <v>0</v>
      </c>
      <c r="AH263" s="31">
        <f>SUMIFS(METALFISA!$E:$E,METALFISA!$A:$A,'Faltantes Fevereiro- Metalfisa'!AH$3,METALFISA!$B:$B,'Faltantes Fevereiro- Metalfisa'!$A263)</f>
        <v>0</v>
      </c>
      <c r="AI263" s="31">
        <f>SUMIFS(METALFISA!$E:$E,METALFISA!$A:$A,'Faltantes Fevereiro- Metalfisa'!AI$3,METALFISA!$B:$B,'Faltantes Fevereiro- Metalfisa'!$A263)</f>
        <v>0</v>
      </c>
      <c r="AJ263" s="31">
        <f>SUMIFS(METALFISA!$E:$E,METALFISA!$A:$A,'Faltantes Fevereiro- Metalfisa'!AJ$3,METALFISA!$B:$B,'Faltantes Fevereiro- Metalfisa'!$A263)</f>
        <v>0</v>
      </c>
      <c r="AK263" s="31">
        <f>SUMIFS(METALFISA!$E:$E,METALFISA!$A:$A,'Faltantes Fevereiro- Metalfisa'!AK$3,METALFISA!$B:$B,'Faltantes Fevereiro- Metalfisa'!$A263)</f>
        <v>0</v>
      </c>
      <c r="AL263" s="31">
        <f>SUMIFS(METALFISA!$E:$E,METALFISA!$A:$A,'Faltantes Fevereiro- Metalfisa'!AL$3,METALFISA!$B:$B,'Faltantes Fevereiro- Metalfisa'!$A263)</f>
        <v>0</v>
      </c>
      <c r="AM263" s="31">
        <f>SUMIFS(METALFISA!$E:$E,METALFISA!$A:$A,'Faltantes Fevereiro- Metalfisa'!AM$3,METALFISA!$B:$B,'Faltantes Fevereiro- Metalfisa'!$A263)</f>
        <v>0</v>
      </c>
      <c r="AN263" s="31">
        <f>SUMIFS(METALFISA!$E:$E,METALFISA!$A:$A,'Faltantes Fevereiro- Metalfisa'!AN$3,METALFISA!$B:$B,'Faltantes Fevereiro- Metalfisa'!$A263)</f>
        <v>0</v>
      </c>
      <c r="AO263" s="31">
        <f>SUMIFS(METALFISA!$E:$E,METALFISA!$A:$A,'Faltantes Fevereiro- Metalfisa'!AO$3,METALFISA!$B:$B,'Faltantes Fevereiro- Metalfisa'!$A263)</f>
        <v>0</v>
      </c>
      <c r="AP263" s="31">
        <f>SUMIFS(METALFISA!$E:$E,METALFISA!$A:$A,'Faltantes Fevereiro- Metalfisa'!AP$3,METALFISA!$B:$B,'Faltantes Fevereiro- Metalfisa'!$A263)</f>
        <v>0</v>
      </c>
      <c r="AQ263" s="31"/>
      <c r="AR263" s="31">
        <f>SUMIFS(METALFISA!$E:$E,METALFISA!$A:$A,'Faltantes Fevereiro- Metalfisa'!AR$3,METALFISA!$B:$B,'Faltantes Fevereiro- Metalfisa'!$A263)</f>
        <v>0</v>
      </c>
      <c r="AS263" s="35">
        <f>SUMIFS(METALFISA!$E:$E,METALFISA!$A:$A,'Faltantes Fevereiro- Metalfisa'!AS$3,METALFISA!$B:$B,'Faltantes Fevereiro- Metalfisa'!$A263)</f>
        <v>0</v>
      </c>
      <c r="AU263" s="18">
        <v>0</v>
      </c>
      <c r="AV263" s="18">
        <v>0</v>
      </c>
      <c r="AW263" s="18">
        <v>0</v>
      </c>
      <c r="AX263" s="18">
        <v>0</v>
      </c>
      <c r="AY263" s="41">
        <v>0</v>
      </c>
      <c r="AZ263" s="31">
        <v>0</v>
      </c>
      <c r="BA263" s="31">
        <v>0</v>
      </c>
      <c r="BB263" s="31">
        <v>0</v>
      </c>
      <c r="BC263" s="31">
        <v>0</v>
      </c>
      <c r="BD263" s="31">
        <v>0</v>
      </c>
      <c r="BE263" s="31">
        <v>0</v>
      </c>
      <c r="BF263" s="31">
        <v>0</v>
      </c>
      <c r="BG263" s="31">
        <v>0</v>
      </c>
      <c r="BH263" s="31">
        <v>0</v>
      </c>
      <c r="BI263" s="31">
        <v>0</v>
      </c>
      <c r="BJ263" s="31">
        <v>0</v>
      </c>
      <c r="BK263" s="31">
        <v>0</v>
      </c>
      <c r="BL263" s="31">
        <v>0</v>
      </c>
      <c r="BM263" s="31">
        <v>0</v>
      </c>
      <c r="BN263" s="31">
        <v>0</v>
      </c>
      <c r="BO263" s="31">
        <v>1</v>
      </c>
      <c r="BP263" s="31">
        <v>0</v>
      </c>
      <c r="BQ263" s="31">
        <v>0</v>
      </c>
      <c r="BR263" s="31">
        <v>0</v>
      </c>
      <c r="BS263" s="31">
        <v>0</v>
      </c>
      <c r="BT263" s="31">
        <v>0</v>
      </c>
      <c r="BU263" s="31">
        <v>0</v>
      </c>
      <c r="BV263" s="31">
        <v>0</v>
      </c>
      <c r="BW263" s="31">
        <v>0</v>
      </c>
      <c r="BX263" s="31">
        <v>0</v>
      </c>
      <c r="BY263" s="31">
        <v>0</v>
      </c>
      <c r="BZ263" s="31">
        <v>0</v>
      </c>
      <c r="CA263" s="31">
        <v>0</v>
      </c>
      <c r="CB263" s="31">
        <v>0</v>
      </c>
      <c r="CC263" s="31">
        <v>0</v>
      </c>
      <c r="CD263" s="31">
        <v>0</v>
      </c>
      <c r="CE263" s="31">
        <v>0</v>
      </c>
      <c r="CF263" s="31">
        <v>0</v>
      </c>
      <c r="CG263" s="31">
        <v>0</v>
      </c>
      <c r="CH263" s="31">
        <v>0</v>
      </c>
      <c r="CI263" s="31">
        <v>0</v>
      </c>
      <c r="CJ263" s="31">
        <v>0</v>
      </c>
      <c r="CK263" s="31">
        <v>0</v>
      </c>
      <c r="CL263" s="35">
        <v>0</v>
      </c>
    </row>
    <row r="264" spans="1:90" ht="21" x14ac:dyDescent="0.15">
      <c r="A264" s="27" t="s">
        <v>1314</v>
      </c>
      <c r="B264" s="28" t="s">
        <v>1315</v>
      </c>
      <c r="C264" s="28">
        <v>0</v>
      </c>
      <c r="D264" s="28">
        <v>0</v>
      </c>
      <c r="E264" s="28">
        <v>0</v>
      </c>
      <c r="F264" s="28">
        <v>0</v>
      </c>
      <c r="G264" s="28">
        <v>6</v>
      </c>
      <c r="H264" s="28">
        <f>IFERROR(VLOOKUP(A264,[1]FALTANTES!$A:$AB,28,FALSE),"-")</f>
        <v>0</v>
      </c>
      <c r="I264" s="42">
        <f>IFERROR(VLOOKUP(A264,[1]FALTANTES!$A:$AC,29,FALSE),"-")</f>
        <v>2</v>
      </c>
      <c r="J264" s="29">
        <f>IFERROR(VLOOKUP(A264,[1]FALTANTES!$A:$AD,30,FALSE),"-")</f>
        <v>-4</v>
      </c>
      <c r="K264" s="30">
        <v>0</v>
      </c>
      <c r="L264" s="30">
        <f t="shared" si="5"/>
        <v>2</v>
      </c>
      <c r="M264" s="31">
        <f>SUMIFS(METALFISA!$E:$E,METALFISA!$A:$A,'Faltantes Fevereiro- Metalfisa'!M$3,METALFISA!$B:$B,'Faltantes Fevereiro- Metalfisa'!$A264)</f>
        <v>0</v>
      </c>
      <c r="N264" s="31">
        <f>SUMIFS(METALFISA!$E:$E,METALFISA!$A:$A,'Faltantes Fevereiro- Metalfisa'!N$3,METALFISA!$B:$B,'Faltantes Fevereiro- Metalfisa'!$A264)</f>
        <v>0</v>
      </c>
      <c r="O264" s="31">
        <f>SUMIFS(METALFISA!$E:$E,METALFISA!$A:$A,'Faltantes Fevereiro- Metalfisa'!O$3,METALFISA!$B:$B,'Faltantes Fevereiro- Metalfisa'!$A264)</f>
        <v>0</v>
      </c>
      <c r="P264" s="31">
        <f>SUMIFS(METALFISA!$E:$E,METALFISA!$A:$A,'Faltantes Fevereiro- Metalfisa'!P$3,METALFISA!$B:$B,'Faltantes Fevereiro- Metalfisa'!$A264)</f>
        <v>0</v>
      </c>
      <c r="Q264" s="31">
        <f>SUMIFS(METALFISA!$E:$E,METALFISA!$A:$A,'Faltantes Fevereiro- Metalfisa'!Q$3,METALFISA!$B:$B,'Faltantes Fevereiro- Metalfisa'!$A264)</f>
        <v>0</v>
      </c>
      <c r="R264" s="31">
        <f>SUMIFS(METALFISA!$E:$E,METALFISA!$A:$A,'Faltantes Fevereiro- Metalfisa'!R$3,METALFISA!$B:$B,'Faltantes Fevereiro- Metalfisa'!$A264)</f>
        <v>0</v>
      </c>
      <c r="S264" s="31">
        <f>SUMIFS(METALFISA!$E:$E,METALFISA!$A:$A,'Faltantes Fevereiro- Metalfisa'!S$3,METALFISA!$B:$B,'Faltantes Fevereiro- Metalfisa'!$A264)</f>
        <v>0</v>
      </c>
      <c r="T264" s="31">
        <f>SUMIFS(METALFISA!$E:$E,METALFISA!$A:$A,'Faltantes Fevereiro- Metalfisa'!T$3,METALFISA!$B:$B,'Faltantes Fevereiro- Metalfisa'!$A264)</f>
        <v>0</v>
      </c>
      <c r="U264" s="31">
        <f>SUMIFS(METALFISA!$E:$E,METALFISA!$A:$A,'Faltantes Fevereiro- Metalfisa'!U$3,METALFISA!$B:$B,'Faltantes Fevereiro- Metalfisa'!$A264)</f>
        <v>0</v>
      </c>
      <c r="V264" s="31">
        <f>SUMIFS(METALFISA!$E:$E,METALFISA!$A:$A,'Faltantes Fevereiro- Metalfisa'!V$3,METALFISA!$B:$B,'Faltantes Fevereiro- Metalfisa'!$A264)</f>
        <v>0</v>
      </c>
      <c r="W264" s="31">
        <f>SUMIFS(METALFISA!$E:$E,METALFISA!$A:$A,'Faltantes Fevereiro- Metalfisa'!W$3,METALFISA!$B:$B,'Faltantes Fevereiro- Metalfisa'!$A264)</f>
        <v>0</v>
      </c>
      <c r="X264" s="31">
        <f>SUMIFS(METALFISA!$E:$E,METALFISA!$A:$A,'Faltantes Fevereiro- Metalfisa'!X$3,METALFISA!$B:$B,'Faltantes Fevereiro- Metalfisa'!$A264)</f>
        <v>0</v>
      </c>
      <c r="Y264" s="31">
        <f>SUMIFS(METALFISA!$E:$E,METALFISA!$A:$A,'Faltantes Fevereiro- Metalfisa'!Y$3,METALFISA!$B:$B,'Faltantes Fevereiro- Metalfisa'!$A264)</f>
        <v>0</v>
      </c>
      <c r="Z264" s="31">
        <f>SUMIFS(METALFISA!$E:$E,METALFISA!$A:$A,'Faltantes Fevereiro- Metalfisa'!Z$3,METALFISA!$B:$B,'Faltantes Fevereiro- Metalfisa'!$A264)</f>
        <v>0</v>
      </c>
      <c r="AA264" s="31">
        <f>SUMIFS(METALFISA!$E:$E,METALFISA!$A:$A,'Faltantes Fevereiro- Metalfisa'!AA$3,METALFISA!$B:$B,'Faltantes Fevereiro- Metalfisa'!$A264)</f>
        <v>0</v>
      </c>
      <c r="AB264" s="31">
        <f>SUMIFS(METALFISA!$E:$E,METALFISA!$A:$A,'Faltantes Fevereiro- Metalfisa'!AB$3,METALFISA!$B:$B,'Faltantes Fevereiro- Metalfisa'!$A264)</f>
        <v>0</v>
      </c>
      <c r="AC264" s="31">
        <f>SUMIFS(METALFISA!$E:$E,METALFISA!$A:$A,'Faltantes Fevereiro- Metalfisa'!AC$3,METALFISA!$B:$B,'Faltantes Fevereiro- Metalfisa'!$A264)</f>
        <v>0</v>
      </c>
      <c r="AD264" s="31">
        <f>SUMIFS(METALFISA!$E:$E,METALFISA!$A:$A,'Faltantes Fevereiro- Metalfisa'!AD$3,METALFISA!$B:$B,'Faltantes Fevereiro- Metalfisa'!$A264)</f>
        <v>0</v>
      </c>
      <c r="AE264" s="31">
        <f>SUMIFS(METALFISA!$E:$E,METALFISA!$A:$A,'Faltantes Fevereiro- Metalfisa'!AE$3,METALFISA!$B:$B,'Faltantes Fevereiro- Metalfisa'!$A264)</f>
        <v>2</v>
      </c>
      <c r="AF264" s="31">
        <f>SUMIFS(METALFISA!$E:$E,METALFISA!$A:$A,'Faltantes Fevereiro- Metalfisa'!AF$3,METALFISA!$B:$B,'Faltantes Fevereiro- Metalfisa'!$A264)</f>
        <v>0</v>
      </c>
      <c r="AG264" s="31">
        <f>SUMIFS(METALFISA!$E:$E,METALFISA!$A:$A,'Faltantes Fevereiro- Metalfisa'!AG$3,METALFISA!$B:$B,'Faltantes Fevereiro- Metalfisa'!$A264)</f>
        <v>0</v>
      </c>
      <c r="AH264" s="31">
        <f>SUMIFS(METALFISA!$E:$E,METALFISA!$A:$A,'Faltantes Fevereiro- Metalfisa'!AH$3,METALFISA!$B:$B,'Faltantes Fevereiro- Metalfisa'!$A264)</f>
        <v>0</v>
      </c>
      <c r="AI264" s="31">
        <f>SUMIFS(METALFISA!$E:$E,METALFISA!$A:$A,'Faltantes Fevereiro- Metalfisa'!AI$3,METALFISA!$B:$B,'Faltantes Fevereiro- Metalfisa'!$A264)</f>
        <v>0</v>
      </c>
      <c r="AJ264" s="31">
        <f>SUMIFS(METALFISA!$E:$E,METALFISA!$A:$A,'Faltantes Fevereiro- Metalfisa'!AJ$3,METALFISA!$B:$B,'Faltantes Fevereiro- Metalfisa'!$A264)</f>
        <v>0</v>
      </c>
      <c r="AK264" s="31">
        <f>SUMIFS(METALFISA!$E:$E,METALFISA!$A:$A,'Faltantes Fevereiro- Metalfisa'!AK$3,METALFISA!$B:$B,'Faltantes Fevereiro- Metalfisa'!$A264)</f>
        <v>0</v>
      </c>
      <c r="AL264" s="31">
        <f>SUMIFS(METALFISA!$E:$E,METALFISA!$A:$A,'Faltantes Fevereiro- Metalfisa'!AL$3,METALFISA!$B:$B,'Faltantes Fevereiro- Metalfisa'!$A264)</f>
        <v>0</v>
      </c>
      <c r="AM264" s="31">
        <f>SUMIFS(METALFISA!$E:$E,METALFISA!$A:$A,'Faltantes Fevereiro- Metalfisa'!AM$3,METALFISA!$B:$B,'Faltantes Fevereiro- Metalfisa'!$A264)</f>
        <v>0</v>
      </c>
      <c r="AN264" s="31">
        <f>SUMIFS(METALFISA!$E:$E,METALFISA!$A:$A,'Faltantes Fevereiro- Metalfisa'!AN$3,METALFISA!$B:$B,'Faltantes Fevereiro- Metalfisa'!$A264)</f>
        <v>0</v>
      </c>
      <c r="AO264" s="31">
        <f>SUMIFS(METALFISA!$E:$E,METALFISA!$A:$A,'Faltantes Fevereiro- Metalfisa'!AO$3,METALFISA!$B:$B,'Faltantes Fevereiro- Metalfisa'!$A264)</f>
        <v>0</v>
      </c>
      <c r="AP264" s="31">
        <f>SUMIFS(METALFISA!$E:$E,METALFISA!$A:$A,'Faltantes Fevereiro- Metalfisa'!AP$3,METALFISA!$B:$B,'Faltantes Fevereiro- Metalfisa'!$A264)</f>
        <v>0</v>
      </c>
      <c r="AQ264" s="31"/>
      <c r="AR264" s="31">
        <f>SUMIFS(METALFISA!$E:$E,METALFISA!$A:$A,'Faltantes Fevereiro- Metalfisa'!AR$3,METALFISA!$B:$B,'Faltantes Fevereiro- Metalfisa'!$A264)</f>
        <v>0</v>
      </c>
      <c r="AS264" s="35">
        <f>SUMIFS(METALFISA!$E:$E,METALFISA!$A:$A,'Faltantes Fevereiro- Metalfisa'!AS$3,METALFISA!$B:$B,'Faltantes Fevereiro- Metalfisa'!$A264)</f>
        <v>0</v>
      </c>
      <c r="AU264" s="18">
        <v>0</v>
      </c>
      <c r="AV264" s="18">
        <v>0</v>
      </c>
      <c r="AW264" s="18">
        <v>0</v>
      </c>
      <c r="AX264" s="18">
        <v>0</v>
      </c>
      <c r="AY264" s="41">
        <v>0</v>
      </c>
      <c r="AZ264" s="31">
        <v>0</v>
      </c>
      <c r="BA264" s="31">
        <v>0</v>
      </c>
      <c r="BB264" s="31">
        <v>0</v>
      </c>
      <c r="BC264" s="31">
        <v>0</v>
      </c>
      <c r="BD264" s="31">
        <v>0</v>
      </c>
      <c r="BE264" s="31">
        <v>0</v>
      </c>
      <c r="BF264" s="31">
        <v>0</v>
      </c>
      <c r="BG264" s="31">
        <v>0</v>
      </c>
      <c r="BH264" s="31">
        <v>0</v>
      </c>
      <c r="BI264" s="31">
        <v>0</v>
      </c>
      <c r="BJ264" s="31">
        <v>0</v>
      </c>
      <c r="BK264" s="31">
        <v>0</v>
      </c>
      <c r="BL264" s="31">
        <v>0</v>
      </c>
      <c r="BM264" s="31">
        <v>0</v>
      </c>
      <c r="BN264" s="31">
        <v>0</v>
      </c>
      <c r="BO264" s="31">
        <v>1</v>
      </c>
      <c r="BP264" s="31">
        <v>0</v>
      </c>
      <c r="BQ264" s="31">
        <v>0</v>
      </c>
      <c r="BR264" s="31">
        <v>0</v>
      </c>
      <c r="BS264" s="31">
        <v>0</v>
      </c>
      <c r="BT264" s="31">
        <v>0</v>
      </c>
      <c r="BU264" s="31">
        <v>0</v>
      </c>
      <c r="BV264" s="31">
        <v>0</v>
      </c>
      <c r="BW264" s="31">
        <v>0</v>
      </c>
      <c r="BX264" s="31">
        <v>0</v>
      </c>
      <c r="BY264" s="31">
        <v>0</v>
      </c>
      <c r="BZ264" s="31">
        <v>0</v>
      </c>
      <c r="CA264" s="31">
        <v>0</v>
      </c>
      <c r="CB264" s="31">
        <v>0</v>
      </c>
      <c r="CC264" s="31">
        <v>0</v>
      </c>
      <c r="CD264" s="31">
        <v>0</v>
      </c>
      <c r="CE264" s="31">
        <v>0</v>
      </c>
      <c r="CF264" s="31">
        <v>0</v>
      </c>
      <c r="CG264" s="31">
        <v>0</v>
      </c>
      <c r="CH264" s="31">
        <v>0</v>
      </c>
      <c r="CI264" s="31">
        <v>0</v>
      </c>
      <c r="CJ264" s="31">
        <v>0</v>
      </c>
      <c r="CK264" s="31">
        <v>0</v>
      </c>
      <c r="CL264" s="35">
        <v>0</v>
      </c>
    </row>
    <row r="265" spans="1:90" ht="21" x14ac:dyDescent="0.15">
      <c r="A265" s="27" t="s">
        <v>1319</v>
      </c>
      <c r="B265" s="28" t="s">
        <v>1320</v>
      </c>
      <c r="C265" s="28">
        <v>0</v>
      </c>
      <c r="D265" s="28">
        <v>0</v>
      </c>
      <c r="E265" s="28">
        <v>0</v>
      </c>
      <c r="F265" s="28">
        <v>0</v>
      </c>
      <c r="G265" s="28">
        <v>6</v>
      </c>
      <c r="H265" s="28">
        <f>IFERROR(VLOOKUP(A265,[1]FALTANTES!$A:$AB,28,FALSE),"-")</f>
        <v>0</v>
      </c>
      <c r="I265" s="42">
        <f>IFERROR(VLOOKUP(A265,[1]FALTANTES!$A:$AC,29,FALSE),"-")</f>
        <v>2</v>
      </c>
      <c r="J265" s="29">
        <f>IFERROR(VLOOKUP(A265,[1]FALTANTES!$A:$AD,30,FALSE),"-")</f>
        <v>-4</v>
      </c>
      <c r="K265" s="30">
        <v>0</v>
      </c>
      <c r="L265" s="30">
        <f t="shared" si="5"/>
        <v>2</v>
      </c>
      <c r="M265" s="31">
        <f>SUMIFS(METALFISA!$E:$E,METALFISA!$A:$A,'Faltantes Fevereiro- Metalfisa'!M$3,METALFISA!$B:$B,'Faltantes Fevereiro- Metalfisa'!$A265)</f>
        <v>0</v>
      </c>
      <c r="N265" s="31">
        <f>SUMIFS(METALFISA!$E:$E,METALFISA!$A:$A,'Faltantes Fevereiro- Metalfisa'!N$3,METALFISA!$B:$B,'Faltantes Fevereiro- Metalfisa'!$A265)</f>
        <v>0</v>
      </c>
      <c r="O265" s="31">
        <f>SUMIFS(METALFISA!$E:$E,METALFISA!$A:$A,'Faltantes Fevereiro- Metalfisa'!O$3,METALFISA!$B:$B,'Faltantes Fevereiro- Metalfisa'!$A265)</f>
        <v>0</v>
      </c>
      <c r="P265" s="31">
        <f>SUMIFS(METALFISA!$E:$E,METALFISA!$A:$A,'Faltantes Fevereiro- Metalfisa'!P$3,METALFISA!$B:$B,'Faltantes Fevereiro- Metalfisa'!$A265)</f>
        <v>0</v>
      </c>
      <c r="Q265" s="31">
        <f>SUMIFS(METALFISA!$E:$E,METALFISA!$A:$A,'Faltantes Fevereiro- Metalfisa'!Q$3,METALFISA!$B:$B,'Faltantes Fevereiro- Metalfisa'!$A265)</f>
        <v>0</v>
      </c>
      <c r="R265" s="31">
        <f>SUMIFS(METALFISA!$E:$E,METALFISA!$A:$A,'Faltantes Fevereiro- Metalfisa'!R$3,METALFISA!$B:$B,'Faltantes Fevereiro- Metalfisa'!$A265)</f>
        <v>0</v>
      </c>
      <c r="S265" s="31">
        <f>SUMIFS(METALFISA!$E:$E,METALFISA!$A:$A,'Faltantes Fevereiro- Metalfisa'!S$3,METALFISA!$B:$B,'Faltantes Fevereiro- Metalfisa'!$A265)</f>
        <v>0</v>
      </c>
      <c r="T265" s="31">
        <f>SUMIFS(METALFISA!$E:$E,METALFISA!$A:$A,'Faltantes Fevereiro- Metalfisa'!T$3,METALFISA!$B:$B,'Faltantes Fevereiro- Metalfisa'!$A265)</f>
        <v>0</v>
      </c>
      <c r="U265" s="31">
        <f>SUMIFS(METALFISA!$E:$E,METALFISA!$A:$A,'Faltantes Fevereiro- Metalfisa'!U$3,METALFISA!$B:$B,'Faltantes Fevereiro- Metalfisa'!$A265)</f>
        <v>0</v>
      </c>
      <c r="V265" s="31">
        <f>SUMIFS(METALFISA!$E:$E,METALFISA!$A:$A,'Faltantes Fevereiro- Metalfisa'!V$3,METALFISA!$B:$B,'Faltantes Fevereiro- Metalfisa'!$A265)</f>
        <v>0</v>
      </c>
      <c r="W265" s="31">
        <f>SUMIFS(METALFISA!$E:$E,METALFISA!$A:$A,'Faltantes Fevereiro- Metalfisa'!W$3,METALFISA!$B:$B,'Faltantes Fevereiro- Metalfisa'!$A265)</f>
        <v>0</v>
      </c>
      <c r="X265" s="31">
        <f>SUMIFS(METALFISA!$E:$E,METALFISA!$A:$A,'Faltantes Fevereiro- Metalfisa'!X$3,METALFISA!$B:$B,'Faltantes Fevereiro- Metalfisa'!$A265)</f>
        <v>0</v>
      </c>
      <c r="Y265" s="31">
        <f>SUMIFS(METALFISA!$E:$E,METALFISA!$A:$A,'Faltantes Fevereiro- Metalfisa'!Y$3,METALFISA!$B:$B,'Faltantes Fevereiro- Metalfisa'!$A265)</f>
        <v>0</v>
      </c>
      <c r="Z265" s="31">
        <f>SUMIFS(METALFISA!$E:$E,METALFISA!$A:$A,'Faltantes Fevereiro- Metalfisa'!Z$3,METALFISA!$B:$B,'Faltantes Fevereiro- Metalfisa'!$A265)</f>
        <v>0</v>
      </c>
      <c r="AA265" s="31">
        <f>SUMIFS(METALFISA!$E:$E,METALFISA!$A:$A,'Faltantes Fevereiro- Metalfisa'!AA$3,METALFISA!$B:$B,'Faltantes Fevereiro- Metalfisa'!$A265)</f>
        <v>0</v>
      </c>
      <c r="AB265" s="31">
        <f>SUMIFS(METALFISA!$E:$E,METALFISA!$A:$A,'Faltantes Fevereiro- Metalfisa'!AB$3,METALFISA!$B:$B,'Faltantes Fevereiro- Metalfisa'!$A265)</f>
        <v>0</v>
      </c>
      <c r="AC265" s="31">
        <f>SUMIFS(METALFISA!$E:$E,METALFISA!$A:$A,'Faltantes Fevereiro- Metalfisa'!AC$3,METALFISA!$B:$B,'Faltantes Fevereiro- Metalfisa'!$A265)</f>
        <v>0</v>
      </c>
      <c r="AD265" s="31">
        <f>SUMIFS(METALFISA!$E:$E,METALFISA!$A:$A,'Faltantes Fevereiro- Metalfisa'!AD$3,METALFISA!$B:$B,'Faltantes Fevereiro- Metalfisa'!$A265)</f>
        <v>0</v>
      </c>
      <c r="AE265" s="31">
        <f>SUMIFS(METALFISA!$E:$E,METALFISA!$A:$A,'Faltantes Fevereiro- Metalfisa'!AE$3,METALFISA!$B:$B,'Faltantes Fevereiro- Metalfisa'!$A265)</f>
        <v>2</v>
      </c>
      <c r="AF265" s="31">
        <f>SUMIFS(METALFISA!$E:$E,METALFISA!$A:$A,'Faltantes Fevereiro- Metalfisa'!AF$3,METALFISA!$B:$B,'Faltantes Fevereiro- Metalfisa'!$A265)</f>
        <v>0</v>
      </c>
      <c r="AG265" s="31">
        <f>SUMIFS(METALFISA!$E:$E,METALFISA!$A:$A,'Faltantes Fevereiro- Metalfisa'!AG$3,METALFISA!$B:$B,'Faltantes Fevereiro- Metalfisa'!$A265)</f>
        <v>0</v>
      </c>
      <c r="AH265" s="31">
        <f>SUMIFS(METALFISA!$E:$E,METALFISA!$A:$A,'Faltantes Fevereiro- Metalfisa'!AH$3,METALFISA!$B:$B,'Faltantes Fevereiro- Metalfisa'!$A265)</f>
        <v>0</v>
      </c>
      <c r="AI265" s="31">
        <f>SUMIFS(METALFISA!$E:$E,METALFISA!$A:$A,'Faltantes Fevereiro- Metalfisa'!AI$3,METALFISA!$B:$B,'Faltantes Fevereiro- Metalfisa'!$A265)</f>
        <v>0</v>
      </c>
      <c r="AJ265" s="31">
        <f>SUMIFS(METALFISA!$E:$E,METALFISA!$A:$A,'Faltantes Fevereiro- Metalfisa'!AJ$3,METALFISA!$B:$B,'Faltantes Fevereiro- Metalfisa'!$A265)</f>
        <v>0</v>
      </c>
      <c r="AK265" s="31">
        <f>SUMIFS(METALFISA!$E:$E,METALFISA!$A:$A,'Faltantes Fevereiro- Metalfisa'!AK$3,METALFISA!$B:$B,'Faltantes Fevereiro- Metalfisa'!$A265)</f>
        <v>0</v>
      </c>
      <c r="AL265" s="31">
        <f>SUMIFS(METALFISA!$E:$E,METALFISA!$A:$A,'Faltantes Fevereiro- Metalfisa'!AL$3,METALFISA!$B:$B,'Faltantes Fevereiro- Metalfisa'!$A265)</f>
        <v>0</v>
      </c>
      <c r="AM265" s="31">
        <f>SUMIFS(METALFISA!$E:$E,METALFISA!$A:$A,'Faltantes Fevereiro- Metalfisa'!AM$3,METALFISA!$B:$B,'Faltantes Fevereiro- Metalfisa'!$A265)</f>
        <v>0</v>
      </c>
      <c r="AN265" s="31">
        <f>SUMIFS(METALFISA!$E:$E,METALFISA!$A:$A,'Faltantes Fevereiro- Metalfisa'!AN$3,METALFISA!$B:$B,'Faltantes Fevereiro- Metalfisa'!$A265)</f>
        <v>0</v>
      </c>
      <c r="AO265" s="31">
        <f>SUMIFS(METALFISA!$E:$E,METALFISA!$A:$A,'Faltantes Fevereiro- Metalfisa'!AO$3,METALFISA!$B:$B,'Faltantes Fevereiro- Metalfisa'!$A265)</f>
        <v>0</v>
      </c>
      <c r="AP265" s="31">
        <f>SUMIFS(METALFISA!$E:$E,METALFISA!$A:$A,'Faltantes Fevereiro- Metalfisa'!AP$3,METALFISA!$B:$B,'Faltantes Fevereiro- Metalfisa'!$A265)</f>
        <v>0</v>
      </c>
      <c r="AQ265" s="31"/>
      <c r="AR265" s="31">
        <f>SUMIFS(METALFISA!$E:$E,METALFISA!$A:$A,'Faltantes Fevereiro- Metalfisa'!AR$3,METALFISA!$B:$B,'Faltantes Fevereiro- Metalfisa'!$A265)</f>
        <v>0</v>
      </c>
      <c r="AS265" s="35">
        <f>SUMIFS(METALFISA!$E:$E,METALFISA!$A:$A,'Faltantes Fevereiro- Metalfisa'!AS$3,METALFISA!$B:$B,'Faltantes Fevereiro- Metalfisa'!$A265)</f>
        <v>0</v>
      </c>
      <c r="AU265" s="18">
        <v>0</v>
      </c>
      <c r="AV265" s="18">
        <v>0</v>
      </c>
      <c r="AW265" s="18">
        <v>0</v>
      </c>
      <c r="AX265" s="18">
        <v>0</v>
      </c>
      <c r="AY265" s="41">
        <v>0</v>
      </c>
      <c r="AZ265" s="31">
        <v>0</v>
      </c>
      <c r="BA265" s="31">
        <v>0</v>
      </c>
      <c r="BB265" s="31">
        <v>0</v>
      </c>
      <c r="BC265" s="31">
        <v>0</v>
      </c>
      <c r="BD265" s="31">
        <v>0</v>
      </c>
      <c r="BE265" s="31">
        <v>0</v>
      </c>
      <c r="BF265" s="31">
        <v>0</v>
      </c>
      <c r="BG265" s="31">
        <v>0</v>
      </c>
      <c r="BH265" s="31">
        <v>0</v>
      </c>
      <c r="BI265" s="31">
        <v>0</v>
      </c>
      <c r="BJ265" s="31">
        <v>0</v>
      </c>
      <c r="BK265" s="31">
        <v>0</v>
      </c>
      <c r="BL265" s="31">
        <v>0</v>
      </c>
      <c r="BM265" s="31">
        <v>0</v>
      </c>
      <c r="BN265" s="31">
        <v>0</v>
      </c>
      <c r="BO265" s="31">
        <v>1</v>
      </c>
      <c r="BP265" s="31">
        <v>0</v>
      </c>
      <c r="BQ265" s="31">
        <v>0</v>
      </c>
      <c r="BR265" s="31">
        <v>0</v>
      </c>
      <c r="BS265" s="31">
        <v>0</v>
      </c>
      <c r="BT265" s="31">
        <v>0</v>
      </c>
      <c r="BU265" s="31">
        <v>0</v>
      </c>
      <c r="BV265" s="31">
        <v>0</v>
      </c>
      <c r="BW265" s="31">
        <v>0</v>
      </c>
      <c r="BX265" s="31">
        <v>0</v>
      </c>
      <c r="BY265" s="31">
        <v>0</v>
      </c>
      <c r="BZ265" s="31">
        <v>0</v>
      </c>
      <c r="CA265" s="31">
        <v>0</v>
      </c>
      <c r="CB265" s="31">
        <v>0</v>
      </c>
      <c r="CC265" s="31">
        <v>0</v>
      </c>
      <c r="CD265" s="31">
        <v>0</v>
      </c>
      <c r="CE265" s="31">
        <v>0</v>
      </c>
      <c r="CF265" s="31">
        <v>0</v>
      </c>
      <c r="CG265" s="31">
        <v>0</v>
      </c>
      <c r="CH265" s="31">
        <v>0</v>
      </c>
      <c r="CI265" s="31">
        <v>0</v>
      </c>
      <c r="CJ265" s="31">
        <v>0</v>
      </c>
      <c r="CK265" s="31">
        <v>0</v>
      </c>
      <c r="CL265" s="35">
        <v>0</v>
      </c>
    </row>
    <row r="266" spans="1:90" ht="21" x14ac:dyDescent="0.15">
      <c r="A266" s="27" t="s">
        <v>1323</v>
      </c>
      <c r="B266" s="28" t="s">
        <v>1324</v>
      </c>
      <c r="C266" s="28">
        <v>0</v>
      </c>
      <c r="D266" s="28">
        <v>0</v>
      </c>
      <c r="E266" s="28">
        <v>0</v>
      </c>
      <c r="F266" s="28">
        <v>0</v>
      </c>
      <c r="G266" s="28">
        <v>12</v>
      </c>
      <c r="H266" s="28">
        <f>IFERROR(VLOOKUP(A266,[1]FALTANTES!$A:$AB,28,FALSE),"-")</f>
        <v>0</v>
      </c>
      <c r="I266" s="42">
        <f>IFERROR(VLOOKUP(A266,[1]FALTANTES!$A:$AC,29,FALSE),"-")</f>
        <v>4</v>
      </c>
      <c r="J266" s="29">
        <f>IFERROR(VLOOKUP(A266,[1]FALTANTES!$A:$AD,30,FALSE),"-")</f>
        <v>-8</v>
      </c>
      <c r="K266" s="30">
        <v>0</v>
      </c>
      <c r="L266" s="30">
        <f t="shared" si="5"/>
        <v>4</v>
      </c>
      <c r="M266" s="31">
        <f>SUMIFS(METALFISA!$E:$E,METALFISA!$A:$A,'Faltantes Fevereiro- Metalfisa'!M$3,METALFISA!$B:$B,'Faltantes Fevereiro- Metalfisa'!$A266)</f>
        <v>0</v>
      </c>
      <c r="N266" s="31">
        <f>SUMIFS(METALFISA!$E:$E,METALFISA!$A:$A,'Faltantes Fevereiro- Metalfisa'!N$3,METALFISA!$B:$B,'Faltantes Fevereiro- Metalfisa'!$A266)</f>
        <v>0</v>
      </c>
      <c r="O266" s="31">
        <f>SUMIFS(METALFISA!$E:$E,METALFISA!$A:$A,'Faltantes Fevereiro- Metalfisa'!O$3,METALFISA!$B:$B,'Faltantes Fevereiro- Metalfisa'!$A266)</f>
        <v>0</v>
      </c>
      <c r="P266" s="31">
        <f>SUMIFS(METALFISA!$E:$E,METALFISA!$A:$A,'Faltantes Fevereiro- Metalfisa'!P$3,METALFISA!$B:$B,'Faltantes Fevereiro- Metalfisa'!$A266)</f>
        <v>0</v>
      </c>
      <c r="Q266" s="31">
        <f>SUMIFS(METALFISA!$E:$E,METALFISA!$A:$A,'Faltantes Fevereiro- Metalfisa'!Q$3,METALFISA!$B:$B,'Faltantes Fevereiro- Metalfisa'!$A266)</f>
        <v>0</v>
      </c>
      <c r="R266" s="31">
        <f>SUMIFS(METALFISA!$E:$E,METALFISA!$A:$A,'Faltantes Fevereiro- Metalfisa'!R$3,METALFISA!$B:$B,'Faltantes Fevereiro- Metalfisa'!$A266)</f>
        <v>0</v>
      </c>
      <c r="S266" s="31">
        <f>SUMIFS(METALFISA!$E:$E,METALFISA!$A:$A,'Faltantes Fevereiro- Metalfisa'!S$3,METALFISA!$B:$B,'Faltantes Fevereiro- Metalfisa'!$A266)</f>
        <v>0</v>
      </c>
      <c r="T266" s="31">
        <f>SUMIFS(METALFISA!$E:$E,METALFISA!$A:$A,'Faltantes Fevereiro- Metalfisa'!T$3,METALFISA!$B:$B,'Faltantes Fevereiro- Metalfisa'!$A266)</f>
        <v>0</v>
      </c>
      <c r="U266" s="31">
        <f>SUMIFS(METALFISA!$E:$E,METALFISA!$A:$A,'Faltantes Fevereiro- Metalfisa'!U$3,METALFISA!$B:$B,'Faltantes Fevereiro- Metalfisa'!$A266)</f>
        <v>0</v>
      </c>
      <c r="V266" s="31">
        <f>SUMIFS(METALFISA!$E:$E,METALFISA!$A:$A,'Faltantes Fevereiro- Metalfisa'!V$3,METALFISA!$B:$B,'Faltantes Fevereiro- Metalfisa'!$A266)</f>
        <v>0</v>
      </c>
      <c r="W266" s="31">
        <f>SUMIFS(METALFISA!$E:$E,METALFISA!$A:$A,'Faltantes Fevereiro- Metalfisa'!W$3,METALFISA!$B:$B,'Faltantes Fevereiro- Metalfisa'!$A266)</f>
        <v>0</v>
      </c>
      <c r="X266" s="31">
        <f>SUMIFS(METALFISA!$E:$E,METALFISA!$A:$A,'Faltantes Fevereiro- Metalfisa'!X$3,METALFISA!$B:$B,'Faltantes Fevereiro- Metalfisa'!$A266)</f>
        <v>0</v>
      </c>
      <c r="Y266" s="31">
        <f>SUMIFS(METALFISA!$E:$E,METALFISA!$A:$A,'Faltantes Fevereiro- Metalfisa'!Y$3,METALFISA!$B:$B,'Faltantes Fevereiro- Metalfisa'!$A266)</f>
        <v>0</v>
      </c>
      <c r="Z266" s="31">
        <f>SUMIFS(METALFISA!$E:$E,METALFISA!$A:$A,'Faltantes Fevereiro- Metalfisa'!Z$3,METALFISA!$B:$B,'Faltantes Fevereiro- Metalfisa'!$A266)</f>
        <v>0</v>
      </c>
      <c r="AA266" s="31">
        <f>SUMIFS(METALFISA!$E:$E,METALFISA!$A:$A,'Faltantes Fevereiro- Metalfisa'!AA$3,METALFISA!$B:$B,'Faltantes Fevereiro- Metalfisa'!$A266)</f>
        <v>0</v>
      </c>
      <c r="AB266" s="31">
        <f>SUMIFS(METALFISA!$E:$E,METALFISA!$A:$A,'Faltantes Fevereiro- Metalfisa'!AB$3,METALFISA!$B:$B,'Faltantes Fevereiro- Metalfisa'!$A266)</f>
        <v>0</v>
      </c>
      <c r="AC266" s="31">
        <f>SUMIFS(METALFISA!$E:$E,METALFISA!$A:$A,'Faltantes Fevereiro- Metalfisa'!AC$3,METALFISA!$B:$B,'Faltantes Fevereiro- Metalfisa'!$A266)</f>
        <v>0</v>
      </c>
      <c r="AD266" s="31">
        <f>SUMIFS(METALFISA!$E:$E,METALFISA!$A:$A,'Faltantes Fevereiro- Metalfisa'!AD$3,METALFISA!$B:$B,'Faltantes Fevereiro- Metalfisa'!$A266)</f>
        <v>0</v>
      </c>
      <c r="AE266" s="31">
        <f>SUMIFS(METALFISA!$E:$E,METALFISA!$A:$A,'Faltantes Fevereiro- Metalfisa'!AE$3,METALFISA!$B:$B,'Faltantes Fevereiro- Metalfisa'!$A266)</f>
        <v>4</v>
      </c>
      <c r="AF266" s="31">
        <f>SUMIFS(METALFISA!$E:$E,METALFISA!$A:$A,'Faltantes Fevereiro- Metalfisa'!AF$3,METALFISA!$B:$B,'Faltantes Fevereiro- Metalfisa'!$A266)</f>
        <v>0</v>
      </c>
      <c r="AG266" s="31">
        <f>SUMIFS(METALFISA!$E:$E,METALFISA!$A:$A,'Faltantes Fevereiro- Metalfisa'!AG$3,METALFISA!$B:$B,'Faltantes Fevereiro- Metalfisa'!$A266)</f>
        <v>0</v>
      </c>
      <c r="AH266" s="31">
        <f>SUMIFS(METALFISA!$E:$E,METALFISA!$A:$A,'Faltantes Fevereiro- Metalfisa'!AH$3,METALFISA!$B:$B,'Faltantes Fevereiro- Metalfisa'!$A266)</f>
        <v>0</v>
      </c>
      <c r="AI266" s="31">
        <f>SUMIFS(METALFISA!$E:$E,METALFISA!$A:$A,'Faltantes Fevereiro- Metalfisa'!AI$3,METALFISA!$B:$B,'Faltantes Fevereiro- Metalfisa'!$A266)</f>
        <v>0</v>
      </c>
      <c r="AJ266" s="31">
        <f>SUMIFS(METALFISA!$E:$E,METALFISA!$A:$A,'Faltantes Fevereiro- Metalfisa'!AJ$3,METALFISA!$B:$B,'Faltantes Fevereiro- Metalfisa'!$A266)</f>
        <v>0</v>
      </c>
      <c r="AK266" s="31">
        <f>SUMIFS(METALFISA!$E:$E,METALFISA!$A:$A,'Faltantes Fevereiro- Metalfisa'!AK$3,METALFISA!$B:$B,'Faltantes Fevereiro- Metalfisa'!$A266)</f>
        <v>0</v>
      </c>
      <c r="AL266" s="31">
        <f>SUMIFS(METALFISA!$E:$E,METALFISA!$A:$A,'Faltantes Fevereiro- Metalfisa'!AL$3,METALFISA!$B:$B,'Faltantes Fevereiro- Metalfisa'!$A266)</f>
        <v>0</v>
      </c>
      <c r="AM266" s="31">
        <f>SUMIFS(METALFISA!$E:$E,METALFISA!$A:$A,'Faltantes Fevereiro- Metalfisa'!AM$3,METALFISA!$B:$B,'Faltantes Fevereiro- Metalfisa'!$A266)</f>
        <v>0</v>
      </c>
      <c r="AN266" s="31">
        <f>SUMIFS(METALFISA!$E:$E,METALFISA!$A:$A,'Faltantes Fevereiro- Metalfisa'!AN$3,METALFISA!$B:$B,'Faltantes Fevereiro- Metalfisa'!$A266)</f>
        <v>0</v>
      </c>
      <c r="AO266" s="31">
        <f>SUMIFS(METALFISA!$E:$E,METALFISA!$A:$A,'Faltantes Fevereiro- Metalfisa'!AO$3,METALFISA!$B:$B,'Faltantes Fevereiro- Metalfisa'!$A266)</f>
        <v>0</v>
      </c>
      <c r="AP266" s="31">
        <f>SUMIFS(METALFISA!$E:$E,METALFISA!$A:$A,'Faltantes Fevereiro- Metalfisa'!AP$3,METALFISA!$B:$B,'Faltantes Fevereiro- Metalfisa'!$A266)</f>
        <v>0</v>
      </c>
      <c r="AQ266" s="31"/>
      <c r="AR266" s="31">
        <f>SUMIFS(METALFISA!$E:$E,METALFISA!$A:$A,'Faltantes Fevereiro- Metalfisa'!AR$3,METALFISA!$B:$B,'Faltantes Fevereiro- Metalfisa'!$A266)</f>
        <v>0</v>
      </c>
      <c r="AS266" s="35">
        <f>SUMIFS(METALFISA!$E:$E,METALFISA!$A:$A,'Faltantes Fevereiro- Metalfisa'!AS$3,METALFISA!$B:$B,'Faltantes Fevereiro- Metalfisa'!$A266)</f>
        <v>0</v>
      </c>
      <c r="AU266" s="18">
        <v>0</v>
      </c>
      <c r="AV266" s="18">
        <v>0</v>
      </c>
      <c r="AW266" s="18">
        <v>0</v>
      </c>
      <c r="AX266" s="18">
        <v>0</v>
      </c>
      <c r="AY266" s="41">
        <v>0</v>
      </c>
      <c r="AZ266" s="31">
        <v>0</v>
      </c>
      <c r="BA266" s="31">
        <v>0</v>
      </c>
      <c r="BB266" s="31">
        <v>0</v>
      </c>
      <c r="BC266" s="31">
        <v>0</v>
      </c>
      <c r="BD266" s="31">
        <v>0</v>
      </c>
      <c r="BE266" s="31">
        <v>0</v>
      </c>
      <c r="BF266" s="31">
        <v>0</v>
      </c>
      <c r="BG266" s="31">
        <v>0</v>
      </c>
      <c r="BH266" s="31">
        <v>0</v>
      </c>
      <c r="BI266" s="31">
        <v>0</v>
      </c>
      <c r="BJ266" s="31">
        <v>0</v>
      </c>
      <c r="BK266" s="31">
        <v>0</v>
      </c>
      <c r="BL266" s="31">
        <v>0</v>
      </c>
      <c r="BM266" s="31">
        <v>0</v>
      </c>
      <c r="BN266" s="31">
        <v>0</v>
      </c>
      <c r="BO266" s="31">
        <v>2</v>
      </c>
      <c r="BP266" s="31">
        <v>0</v>
      </c>
      <c r="BQ266" s="31">
        <v>0</v>
      </c>
      <c r="BR266" s="31">
        <v>0</v>
      </c>
      <c r="BS266" s="31">
        <v>0</v>
      </c>
      <c r="BT266" s="31">
        <v>0</v>
      </c>
      <c r="BU266" s="31">
        <v>0</v>
      </c>
      <c r="BV266" s="31">
        <v>0</v>
      </c>
      <c r="BW266" s="31">
        <v>0</v>
      </c>
      <c r="BX266" s="31">
        <v>0</v>
      </c>
      <c r="BY266" s="31">
        <v>0</v>
      </c>
      <c r="BZ266" s="31">
        <v>0</v>
      </c>
      <c r="CA266" s="31">
        <v>0</v>
      </c>
      <c r="CB266" s="31">
        <v>0</v>
      </c>
      <c r="CC266" s="31">
        <v>0</v>
      </c>
      <c r="CD266" s="31">
        <v>0</v>
      </c>
      <c r="CE266" s="31">
        <v>0</v>
      </c>
      <c r="CF266" s="31">
        <v>0</v>
      </c>
      <c r="CG266" s="31">
        <v>0</v>
      </c>
      <c r="CH266" s="31">
        <v>0</v>
      </c>
      <c r="CI266" s="31">
        <v>0</v>
      </c>
      <c r="CJ266" s="31">
        <v>0</v>
      </c>
      <c r="CK266" s="31">
        <v>0</v>
      </c>
      <c r="CL266" s="35">
        <v>0</v>
      </c>
    </row>
    <row r="267" spans="1:90" ht="21" x14ac:dyDescent="0.15">
      <c r="A267" s="27" t="s">
        <v>1331</v>
      </c>
      <c r="B267" s="28" t="s">
        <v>1332</v>
      </c>
      <c r="C267" s="28">
        <v>0</v>
      </c>
      <c r="D267" s="28">
        <v>0</v>
      </c>
      <c r="E267" s="28">
        <v>0</v>
      </c>
      <c r="F267" s="28">
        <v>0</v>
      </c>
      <c r="G267" s="28">
        <v>6</v>
      </c>
      <c r="H267" s="28">
        <f>IFERROR(VLOOKUP(A267,[1]FALTANTES!$A:$AB,28,FALSE),"-")</f>
        <v>0</v>
      </c>
      <c r="I267" s="42">
        <f>IFERROR(VLOOKUP(A267,[1]FALTANTES!$A:$AC,29,FALSE),"-")</f>
        <v>2</v>
      </c>
      <c r="J267" s="29">
        <f>IFERROR(VLOOKUP(A267,[1]FALTANTES!$A:$AD,30,FALSE),"-")</f>
        <v>-4</v>
      </c>
      <c r="K267" s="30">
        <v>0</v>
      </c>
      <c r="L267" s="30">
        <f t="shared" si="5"/>
        <v>2</v>
      </c>
      <c r="M267" s="31">
        <f>SUMIFS(METALFISA!$E:$E,METALFISA!$A:$A,'Faltantes Fevereiro- Metalfisa'!M$3,METALFISA!$B:$B,'Faltantes Fevereiro- Metalfisa'!$A267)</f>
        <v>0</v>
      </c>
      <c r="N267" s="31">
        <f>SUMIFS(METALFISA!$E:$E,METALFISA!$A:$A,'Faltantes Fevereiro- Metalfisa'!N$3,METALFISA!$B:$B,'Faltantes Fevereiro- Metalfisa'!$A267)</f>
        <v>0</v>
      </c>
      <c r="O267" s="31">
        <f>SUMIFS(METALFISA!$E:$E,METALFISA!$A:$A,'Faltantes Fevereiro- Metalfisa'!O$3,METALFISA!$B:$B,'Faltantes Fevereiro- Metalfisa'!$A267)</f>
        <v>0</v>
      </c>
      <c r="P267" s="31">
        <f>SUMIFS(METALFISA!$E:$E,METALFISA!$A:$A,'Faltantes Fevereiro- Metalfisa'!P$3,METALFISA!$B:$B,'Faltantes Fevereiro- Metalfisa'!$A267)</f>
        <v>0</v>
      </c>
      <c r="Q267" s="31">
        <f>SUMIFS(METALFISA!$E:$E,METALFISA!$A:$A,'Faltantes Fevereiro- Metalfisa'!Q$3,METALFISA!$B:$B,'Faltantes Fevereiro- Metalfisa'!$A267)</f>
        <v>0</v>
      </c>
      <c r="R267" s="31">
        <f>SUMIFS(METALFISA!$E:$E,METALFISA!$A:$A,'Faltantes Fevereiro- Metalfisa'!R$3,METALFISA!$B:$B,'Faltantes Fevereiro- Metalfisa'!$A267)</f>
        <v>0</v>
      </c>
      <c r="S267" s="31">
        <f>SUMIFS(METALFISA!$E:$E,METALFISA!$A:$A,'Faltantes Fevereiro- Metalfisa'!S$3,METALFISA!$B:$B,'Faltantes Fevereiro- Metalfisa'!$A267)</f>
        <v>0</v>
      </c>
      <c r="T267" s="31">
        <f>SUMIFS(METALFISA!$E:$E,METALFISA!$A:$A,'Faltantes Fevereiro- Metalfisa'!T$3,METALFISA!$B:$B,'Faltantes Fevereiro- Metalfisa'!$A267)</f>
        <v>0</v>
      </c>
      <c r="U267" s="31">
        <f>SUMIFS(METALFISA!$E:$E,METALFISA!$A:$A,'Faltantes Fevereiro- Metalfisa'!U$3,METALFISA!$B:$B,'Faltantes Fevereiro- Metalfisa'!$A267)</f>
        <v>0</v>
      </c>
      <c r="V267" s="31">
        <f>SUMIFS(METALFISA!$E:$E,METALFISA!$A:$A,'Faltantes Fevereiro- Metalfisa'!V$3,METALFISA!$B:$B,'Faltantes Fevereiro- Metalfisa'!$A267)</f>
        <v>0</v>
      </c>
      <c r="W267" s="31">
        <f>SUMIFS(METALFISA!$E:$E,METALFISA!$A:$A,'Faltantes Fevereiro- Metalfisa'!W$3,METALFISA!$B:$B,'Faltantes Fevereiro- Metalfisa'!$A267)</f>
        <v>0</v>
      </c>
      <c r="X267" s="31">
        <f>SUMIFS(METALFISA!$E:$E,METALFISA!$A:$A,'Faltantes Fevereiro- Metalfisa'!X$3,METALFISA!$B:$B,'Faltantes Fevereiro- Metalfisa'!$A267)</f>
        <v>0</v>
      </c>
      <c r="Y267" s="31">
        <f>SUMIFS(METALFISA!$E:$E,METALFISA!$A:$A,'Faltantes Fevereiro- Metalfisa'!Y$3,METALFISA!$B:$B,'Faltantes Fevereiro- Metalfisa'!$A267)</f>
        <v>0</v>
      </c>
      <c r="Z267" s="31">
        <f>SUMIFS(METALFISA!$E:$E,METALFISA!$A:$A,'Faltantes Fevereiro- Metalfisa'!Z$3,METALFISA!$B:$B,'Faltantes Fevereiro- Metalfisa'!$A267)</f>
        <v>0</v>
      </c>
      <c r="AA267" s="31">
        <f>SUMIFS(METALFISA!$E:$E,METALFISA!$A:$A,'Faltantes Fevereiro- Metalfisa'!AA$3,METALFISA!$B:$B,'Faltantes Fevereiro- Metalfisa'!$A267)</f>
        <v>0</v>
      </c>
      <c r="AB267" s="31">
        <f>SUMIFS(METALFISA!$E:$E,METALFISA!$A:$A,'Faltantes Fevereiro- Metalfisa'!AB$3,METALFISA!$B:$B,'Faltantes Fevereiro- Metalfisa'!$A267)</f>
        <v>0</v>
      </c>
      <c r="AC267" s="31">
        <f>SUMIFS(METALFISA!$E:$E,METALFISA!$A:$A,'Faltantes Fevereiro- Metalfisa'!AC$3,METALFISA!$B:$B,'Faltantes Fevereiro- Metalfisa'!$A267)</f>
        <v>0</v>
      </c>
      <c r="AD267" s="31">
        <f>SUMIFS(METALFISA!$E:$E,METALFISA!$A:$A,'Faltantes Fevereiro- Metalfisa'!AD$3,METALFISA!$B:$B,'Faltantes Fevereiro- Metalfisa'!$A267)</f>
        <v>0</v>
      </c>
      <c r="AE267" s="31">
        <f>SUMIFS(METALFISA!$E:$E,METALFISA!$A:$A,'Faltantes Fevereiro- Metalfisa'!AE$3,METALFISA!$B:$B,'Faltantes Fevereiro- Metalfisa'!$A267)</f>
        <v>2</v>
      </c>
      <c r="AF267" s="31">
        <f>SUMIFS(METALFISA!$E:$E,METALFISA!$A:$A,'Faltantes Fevereiro- Metalfisa'!AF$3,METALFISA!$B:$B,'Faltantes Fevereiro- Metalfisa'!$A267)</f>
        <v>0</v>
      </c>
      <c r="AG267" s="31">
        <f>SUMIFS(METALFISA!$E:$E,METALFISA!$A:$A,'Faltantes Fevereiro- Metalfisa'!AG$3,METALFISA!$B:$B,'Faltantes Fevereiro- Metalfisa'!$A267)</f>
        <v>0</v>
      </c>
      <c r="AH267" s="31">
        <f>SUMIFS(METALFISA!$E:$E,METALFISA!$A:$A,'Faltantes Fevereiro- Metalfisa'!AH$3,METALFISA!$B:$B,'Faltantes Fevereiro- Metalfisa'!$A267)</f>
        <v>0</v>
      </c>
      <c r="AI267" s="31">
        <f>SUMIFS(METALFISA!$E:$E,METALFISA!$A:$A,'Faltantes Fevereiro- Metalfisa'!AI$3,METALFISA!$B:$B,'Faltantes Fevereiro- Metalfisa'!$A267)</f>
        <v>0</v>
      </c>
      <c r="AJ267" s="31">
        <f>SUMIFS(METALFISA!$E:$E,METALFISA!$A:$A,'Faltantes Fevereiro- Metalfisa'!AJ$3,METALFISA!$B:$B,'Faltantes Fevereiro- Metalfisa'!$A267)</f>
        <v>0</v>
      </c>
      <c r="AK267" s="31">
        <f>SUMIFS(METALFISA!$E:$E,METALFISA!$A:$A,'Faltantes Fevereiro- Metalfisa'!AK$3,METALFISA!$B:$B,'Faltantes Fevereiro- Metalfisa'!$A267)</f>
        <v>0</v>
      </c>
      <c r="AL267" s="31">
        <f>SUMIFS(METALFISA!$E:$E,METALFISA!$A:$A,'Faltantes Fevereiro- Metalfisa'!AL$3,METALFISA!$B:$B,'Faltantes Fevereiro- Metalfisa'!$A267)</f>
        <v>0</v>
      </c>
      <c r="AM267" s="31">
        <f>SUMIFS(METALFISA!$E:$E,METALFISA!$A:$A,'Faltantes Fevereiro- Metalfisa'!AM$3,METALFISA!$B:$B,'Faltantes Fevereiro- Metalfisa'!$A267)</f>
        <v>0</v>
      </c>
      <c r="AN267" s="31">
        <f>SUMIFS(METALFISA!$E:$E,METALFISA!$A:$A,'Faltantes Fevereiro- Metalfisa'!AN$3,METALFISA!$B:$B,'Faltantes Fevereiro- Metalfisa'!$A267)</f>
        <v>0</v>
      </c>
      <c r="AO267" s="31">
        <f>SUMIFS(METALFISA!$E:$E,METALFISA!$A:$A,'Faltantes Fevereiro- Metalfisa'!AO$3,METALFISA!$B:$B,'Faltantes Fevereiro- Metalfisa'!$A267)</f>
        <v>0</v>
      </c>
      <c r="AP267" s="31">
        <f>SUMIFS(METALFISA!$E:$E,METALFISA!$A:$A,'Faltantes Fevereiro- Metalfisa'!AP$3,METALFISA!$B:$B,'Faltantes Fevereiro- Metalfisa'!$A267)</f>
        <v>0</v>
      </c>
      <c r="AQ267" s="31"/>
      <c r="AR267" s="31">
        <f>SUMIFS(METALFISA!$E:$E,METALFISA!$A:$A,'Faltantes Fevereiro- Metalfisa'!AR$3,METALFISA!$B:$B,'Faltantes Fevereiro- Metalfisa'!$A267)</f>
        <v>0</v>
      </c>
      <c r="AS267" s="35">
        <f>SUMIFS(METALFISA!$E:$E,METALFISA!$A:$A,'Faltantes Fevereiro- Metalfisa'!AS$3,METALFISA!$B:$B,'Faltantes Fevereiro- Metalfisa'!$A267)</f>
        <v>0</v>
      </c>
      <c r="AU267" s="18">
        <v>0</v>
      </c>
      <c r="AV267" s="18">
        <v>0</v>
      </c>
      <c r="AW267" s="18">
        <v>0</v>
      </c>
      <c r="AX267" s="18">
        <v>0</v>
      </c>
      <c r="AY267" s="41">
        <v>0</v>
      </c>
      <c r="AZ267" s="31">
        <v>0</v>
      </c>
      <c r="BA267" s="31">
        <v>0</v>
      </c>
      <c r="BB267" s="31">
        <v>0</v>
      </c>
      <c r="BC267" s="31">
        <v>0</v>
      </c>
      <c r="BD267" s="31">
        <v>0</v>
      </c>
      <c r="BE267" s="31">
        <v>0</v>
      </c>
      <c r="BF267" s="31">
        <v>0</v>
      </c>
      <c r="BG267" s="31">
        <v>0</v>
      </c>
      <c r="BH267" s="31">
        <v>0</v>
      </c>
      <c r="BI267" s="31">
        <v>0</v>
      </c>
      <c r="BJ267" s="31">
        <v>0</v>
      </c>
      <c r="BK267" s="31">
        <v>0</v>
      </c>
      <c r="BL267" s="31">
        <v>0</v>
      </c>
      <c r="BM267" s="31">
        <v>0</v>
      </c>
      <c r="BN267" s="31">
        <v>0</v>
      </c>
      <c r="BO267" s="31">
        <v>1</v>
      </c>
      <c r="BP267" s="31">
        <v>0</v>
      </c>
      <c r="BQ267" s="31">
        <v>0</v>
      </c>
      <c r="BR267" s="31">
        <v>0</v>
      </c>
      <c r="BS267" s="31">
        <v>0</v>
      </c>
      <c r="BT267" s="31">
        <v>0</v>
      </c>
      <c r="BU267" s="31">
        <v>0</v>
      </c>
      <c r="BV267" s="31">
        <v>0</v>
      </c>
      <c r="BW267" s="31">
        <v>0</v>
      </c>
      <c r="BX267" s="31">
        <v>0</v>
      </c>
      <c r="BY267" s="31">
        <v>0</v>
      </c>
      <c r="BZ267" s="31">
        <v>0</v>
      </c>
      <c r="CA267" s="31">
        <v>0</v>
      </c>
      <c r="CB267" s="31">
        <v>0</v>
      </c>
      <c r="CC267" s="31">
        <v>0</v>
      </c>
      <c r="CD267" s="31">
        <v>0</v>
      </c>
      <c r="CE267" s="31">
        <v>0</v>
      </c>
      <c r="CF267" s="31">
        <v>0</v>
      </c>
      <c r="CG267" s="31">
        <v>0</v>
      </c>
      <c r="CH267" s="31">
        <v>0</v>
      </c>
      <c r="CI267" s="31">
        <v>0</v>
      </c>
      <c r="CJ267" s="31">
        <v>0</v>
      </c>
      <c r="CK267" s="31">
        <v>0</v>
      </c>
      <c r="CL267" s="35">
        <v>0</v>
      </c>
    </row>
    <row r="268" spans="1:90" ht="21" x14ac:dyDescent="0.15">
      <c r="A268" s="27" t="s">
        <v>1337</v>
      </c>
      <c r="B268" s="28" t="s">
        <v>1338</v>
      </c>
      <c r="C268" s="28">
        <v>0</v>
      </c>
      <c r="D268" s="28">
        <v>0</v>
      </c>
      <c r="E268" s="28">
        <v>0</v>
      </c>
      <c r="F268" s="28">
        <v>0</v>
      </c>
      <c r="G268" s="28">
        <v>6</v>
      </c>
      <c r="H268" s="28">
        <f>IFERROR(VLOOKUP(A268,[1]FALTANTES!$A:$AB,28,FALSE),"-")</f>
        <v>0</v>
      </c>
      <c r="I268" s="42">
        <f>IFERROR(VLOOKUP(A268,[1]FALTANTES!$A:$AC,29,FALSE),"-")</f>
        <v>2</v>
      </c>
      <c r="J268" s="29">
        <f>IFERROR(VLOOKUP(A268,[1]FALTANTES!$A:$AD,30,FALSE),"-")</f>
        <v>-4</v>
      </c>
      <c r="K268" s="30">
        <v>0</v>
      </c>
      <c r="L268" s="30">
        <f t="shared" si="5"/>
        <v>2</v>
      </c>
      <c r="M268" s="31">
        <f>SUMIFS(METALFISA!$E:$E,METALFISA!$A:$A,'Faltantes Fevereiro- Metalfisa'!M$3,METALFISA!$B:$B,'Faltantes Fevereiro- Metalfisa'!$A268)</f>
        <v>0</v>
      </c>
      <c r="N268" s="31">
        <f>SUMIFS(METALFISA!$E:$E,METALFISA!$A:$A,'Faltantes Fevereiro- Metalfisa'!N$3,METALFISA!$B:$B,'Faltantes Fevereiro- Metalfisa'!$A268)</f>
        <v>0</v>
      </c>
      <c r="O268" s="31">
        <f>SUMIFS(METALFISA!$E:$E,METALFISA!$A:$A,'Faltantes Fevereiro- Metalfisa'!O$3,METALFISA!$B:$B,'Faltantes Fevereiro- Metalfisa'!$A268)</f>
        <v>0</v>
      </c>
      <c r="P268" s="31">
        <f>SUMIFS(METALFISA!$E:$E,METALFISA!$A:$A,'Faltantes Fevereiro- Metalfisa'!P$3,METALFISA!$B:$B,'Faltantes Fevereiro- Metalfisa'!$A268)</f>
        <v>0</v>
      </c>
      <c r="Q268" s="31">
        <f>SUMIFS(METALFISA!$E:$E,METALFISA!$A:$A,'Faltantes Fevereiro- Metalfisa'!Q$3,METALFISA!$B:$B,'Faltantes Fevereiro- Metalfisa'!$A268)</f>
        <v>0</v>
      </c>
      <c r="R268" s="31">
        <f>SUMIFS(METALFISA!$E:$E,METALFISA!$A:$A,'Faltantes Fevereiro- Metalfisa'!R$3,METALFISA!$B:$B,'Faltantes Fevereiro- Metalfisa'!$A268)</f>
        <v>0</v>
      </c>
      <c r="S268" s="31">
        <f>SUMIFS(METALFISA!$E:$E,METALFISA!$A:$A,'Faltantes Fevereiro- Metalfisa'!S$3,METALFISA!$B:$B,'Faltantes Fevereiro- Metalfisa'!$A268)</f>
        <v>0</v>
      </c>
      <c r="T268" s="31">
        <f>SUMIFS(METALFISA!$E:$E,METALFISA!$A:$A,'Faltantes Fevereiro- Metalfisa'!T$3,METALFISA!$B:$B,'Faltantes Fevereiro- Metalfisa'!$A268)</f>
        <v>0</v>
      </c>
      <c r="U268" s="31">
        <f>SUMIFS(METALFISA!$E:$E,METALFISA!$A:$A,'Faltantes Fevereiro- Metalfisa'!U$3,METALFISA!$B:$B,'Faltantes Fevereiro- Metalfisa'!$A268)</f>
        <v>0</v>
      </c>
      <c r="V268" s="31">
        <f>SUMIFS(METALFISA!$E:$E,METALFISA!$A:$A,'Faltantes Fevereiro- Metalfisa'!V$3,METALFISA!$B:$B,'Faltantes Fevereiro- Metalfisa'!$A268)</f>
        <v>0</v>
      </c>
      <c r="W268" s="31">
        <f>SUMIFS(METALFISA!$E:$E,METALFISA!$A:$A,'Faltantes Fevereiro- Metalfisa'!W$3,METALFISA!$B:$B,'Faltantes Fevereiro- Metalfisa'!$A268)</f>
        <v>0</v>
      </c>
      <c r="X268" s="31">
        <f>SUMIFS(METALFISA!$E:$E,METALFISA!$A:$A,'Faltantes Fevereiro- Metalfisa'!X$3,METALFISA!$B:$B,'Faltantes Fevereiro- Metalfisa'!$A268)</f>
        <v>0</v>
      </c>
      <c r="Y268" s="31">
        <f>SUMIFS(METALFISA!$E:$E,METALFISA!$A:$A,'Faltantes Fevereiro- Metalfisa'!Y$3,METALFISA!$B:$B,'Faltantes Fevereiro- Metalfisa'!$A268)</f>
        <v>0</v>
      </c>
      <c r="Z268" s="31">
        <f>SUMIFS(METALFISA!$E:$E,METALFISA!$A:$A,'Faltantes Fevereiro- Metalfisa'!Z$3,METALFISA!$B:$B,'Faltantes Fevereiro- Metalfisa'!$A268)</f>
        <v>0</v>
      </c>
      <c r="AA268" s="31">
        <f>SUMIFS(METALFISA!$E:$E,METALFISA!$A:$A,'Faltantes Fevereiro- Metalfisa'!AA$3,METALFISA!$B:$B,'Faltantes Fevereiro- Metalfisa'!$A268)</f>
        <v>0</v>
      </c>
      <c r="AB268" s="31">
        <f>SUMIFS(METALFISA!$E:$E,METALFISA!$A:$A,'Faltantes Fevereiro- Metalfisa'!AB$3,METALFISA!$B:$B,'Faltantes Fevereiro- Metalfisa'!$A268)</f>
        <v>0</v>
      </c>
      <c r="AC268" s="31">
        <f>SUMIFS(METALFISA!$E:$E,METALFISA!$A:$A,'Faltantes Fevereiro- Metalfisa'!AC$3,METALFISA!$B:$B,'Faltantes Fevereiro- Metalfisa'!$A268)</f>
        <v>0</v>
      </c>
      <c r="AD268" s="31">
        <f>SUMIFS(METALFISA!$E:$E,METALFISA!$A:$A,'Faltantes Fevereiro- Metalfisa'!AD$3,METALFISA!$B:$B,'Faltantes Fevereiro- Metalfisa'!$A268)</f>
        <v>0</v>
      </c>
      <c r="AE268" s="31">
        <f>SUMIFS(METALFISA!$E:$E,METALFISA!$A:$A,'Faltantes Fevereiro- Metalfisa'!AE$3,METALFISA!$B:$B,'Faltantes Fevereiro- Metalfisa'!$A268)</f>
        <v>2</v>
      </c>
      <c r="AF268" s="31">
        <f>SUMIFS(METALFISA!$E:$E,METALFISA!$A:$A,'Faltantes Fevereiro- Metalfisa'!AF$3,METALFISA!$B:$B,'Faltantes Fevereiro- Metalfisa'!$A268)</f>
        <v>0</v>
      </c>
      <c r="AG268" s="31">
        <f>SUMIFS(METALFISA!$E:$E,METALFISA!$A:$A,'Faltantes Fevereiro- Metalfisa'!AG$3,METALFISA!$B:$B,'Faltantes Fevereiro- Metalfisa'!$A268)</f>
        <v>0</v>
      </c>
      <c r="AH268" s="31">
        <f>SUMIFS(METALFISA!$E:$E,METALFISA!$A:$A,'Faltantes Fevereiro- Metalfisa'!AH$3,METALFISA!$B:$B,'Faltantes Fevereiro- Metalfisa'!$A268)</f>
        <v>0</v>
      </c>
      <c r="AI268" s="31">
        <f>SUMIFS(METALFISA!$E:$E,METALFISA!$A:$A,'Faltantes Fevereiro- Metalfisa'!AI$3,METALFISA!$B:$B,'Faltantes Fevereiro- Metalfisa'!$A268)</f>
        <v>0</v>
      </c>
      <c r="AJ268" s="31">
        <f>SUMIFS(METALFISA!$E:$E,METALFISA!$A:$A,'Faltantes Fevereiro- Metalfisa'!AJ$3,METALFISA!$B:$B,'Faltantes Fevereiro- Metalfisa'!$A268)</f>
        <v>0</v>
      </c>
      <c r="AK268" s="31">
        <f>SUMIFS(METALFISA!$E:$E,METALFISA!$A:$A,'Faltantes Fevereiro- Metalfisa'!AK$3,METALFISA!$B:$B,'Faltantes Fevereiro- Metalfisa'!$A268)</f>
        <v>0</v>
      </c>
      <c r="AL268" s="31">
        <f>SUMIFS(METALFISA!$E:$E,METALFISA!$A:$A,'Faltantes Fevereiro- Metalfisa'!AL$3,METALFISA!$B:$B,'Faltantes Fevereiro- Metalfisa'!$A268)</f>
        <v>0</v>
      </c>
      <c r="AM268" s="31">
        <f>SUMIFS(METALFISA!$E:$E,METALFISA!$A:$A,'Faltantes Fevereiro- Metalfisa'!AM$3,METALFISA!$B:$B,'Faltantes Fevereiro- Metalfisa'!$A268)</f>
        <v>0</v>
      </c>
      <c r="AN268" s="31">
        <f>SUMIFS(METALFISA!$E:$E,METALFISA!$A:$A,'Faltantes Fevereiro- Metalfisa'!AN$3,METALFISA!$B:$B,'Faltantes Fevereiro- Metalfisa'!$A268)</f>
        <v>0</v>
      </c>
      <c r="AO268" s="31">
        <f>SUMIFS(METALFISA!$E:$E,METALFISA!$A:$A,'Faltantes Fevereiro- Metalfisa'!AO$3,METALFISA!$B:$B,'Faltantes Fevereiro- Metalfisa'!$A268)</f>
        <v>0</v>
      </c>
      <c r="AP268" s="31">
        <f>SUMIFS(METALFISA!$E:$E,METALFISA!$A:$A,'Faltantes Fevereiro- Metalfisa'!AP$3,METALFISA!$B:$B,'Faltantes Fevereiro- Metalfisa'!$A268)</f>
        <v>0</v>
      </c>
      <c r="AQ268" s="31"/>
      <c r="AR268" s="31">
        <f>SUMIFS(METALFISA!$E:$E,METALFISA!$A:$A,'Faltantes Fevereiro- Metalfisa'!AR$3,METALFISA!$B:$B,'Faltantes Fevereiro- Metalfisa'!$A268)</f>
        <v>0</v>
      </c>
      <c r="AS268" s="35">
        <f>SUMIFS(METALFISA!$E:$E,METALFISA!$A:$A,'Faltantes Fevereiro- Metalfisa'!AS$3,METALFISA!$B:$B,'Faltantes Fevereiro- Metalfisa'!$A268)</f>
        <v>0</v>
      </c>
      <c r="AU268" s="18">
        <v>0</v>
      </c>
      <c r="AV268" s="18">
        <v>0</v>
      </c>
      <c r="AW268" s="18">
        <v>0</v>
      </c>
      <c r="AX268" s="18">
        <v>0</v>
      </c>
      <c r="AY268" s="41">
        <v>0</v>
      </c>
      <c r="AZ268" s="31">
        <v>0</v>
      </c>
      <c r="BA268" s="31">
        <v>0</v>
      </c>
      <c r="BB268" s="31">
        <v>0</v>
      </c>
      <c r="BC268" s="31">
        <v>0</v>
      </c>
      <c r="BD268" s="31">
        <v>0</v>
      </c>
      <c r="BE268" s="31">
        <v>0</v>
      </c>
      <c r="BF268" s="31">
        <v>0</v>
      </c>
      <c r="BG268" s="31">
        <v>0</v>
      </c>
      <c r="BH268" s="31">
        <v>0</v>
      </c>
      <c r="BI268" s="31">
        <v>0</v>
      </c>
      <c r="BJ268" s="31">
        <v>0</v>
      </c>
      <c r="BK268" s="31">
        <v>0</v>
      </c>
      <c r="BL268" s="31">
        <v>0</v>
      </c>
      <c r="BM268" s="31">
        <v>0</v>
      </c>
      <c r="BN268" s="31">
        <v>0</v>
      </c>
      <c r="BO268" s="31">
        <v>1</v>
      </c>
      <c r="BP268" s="31">
        <v>0</v>
      </c>
      <c r="BQ268" s="31">
        <v>0</v>
      </c>
      <c r="BR268" s="31">
        <v>0</v>
      </c>
      <c r="BS268" s="31">
        <v>0</v>
      </c>
      <c r="BT268" s="31">
        <v>0</v>
      </c>
      <c r="BU268" s="31">
        <v>0</v>
      </c>
      <c r="BV268" s="31">
        <v>0</v>
      </c>
      <c r="BW268" s="31">
        <v>0</v>
      </c>
      <c r="BX268" s="31">
        <v>0</v>
      </c>
      <c r="BY268" s="31">
        <v>0</v>
      </c>
      <c r="BZ268" s="31">
        <v>0</v>
      </c>
      <c r="CA268" s="31">
        <v>0</v>
      </c>
      <c r="CB268" s="31">
        <v>0</v>
      </c>
      <c r="CC268" s="31">
        <v>0</v>
      </c>
      <c r="CD268" s="31">
        <v>0</v>
      </c>
      <c r="CE268" s="31">
        <v>0</v>
      </c>
      <c r="CF268" s="31">
        <v>0</v>
      </c>
      <c r="CG268" s="31">
        <v>0</v>
      </c>
      <c r="CH268" s="31">
        <v>0</v>
      </c>
      <c r="CI268" s="31">
        <v>0</v>
      </c>
      <c r="CJ268" s="31">
        <v>0</v>
      </c>
      <c r="CK268" s="31">
        <v>0</v>
      </c>
      <c r="CL268" s="35">
        <v>0</v>
      </c>
    </row>
    <row r="269" spans="1:90" ht="21" x14ac:dyDescent="0.15">
      <c r="A269" s="27" t="s">
        <v>1341</v>
      </c>
      <c r="B269" s="28" t="s">
        <v>1342</v>
      </c>
      <c r="C269" s="28">
        <v>0</v>
      </c>
      <c r="D269" s="28">
        <v>0</v>
      </c>
      <c r="E269" s="28">
        <v>0</v>
      </c>
      <c r="F269" s="28">
        <v>0</v>
      </c>
      <c r="G269" s="28">
        <v>12</v>
      </c>
      <c r="H269" s="28">
        <f>IFERROR(VLOOKUP(A269,[1]FALTANTES!$A:$AB,28,FALSE),"-")</f>
        <v>0</v>
      </c>
      <c r="I269" s="42">
        <f>IFERROR(VLOOKUP(A269,[1]FALTANTES!$A:$AC,29,FALSE),"-")</f>
        <v>4</v>
      </c>
      <c r="J269" s="29">
        <f>IFERROR(VLOOKUP(A269,[1]FALTANTES!$A:$AD,30,FALSE),"-")</f>
        <v>-8</v>
      </c>
      <c r="K269" s="30">
        <v>0</v>
      </c>
      <c r="L269" s="30">
        <f t="shared" si="5"/>
        <v>4</v>
      </c>
      <c r="M269" s="31">
        <f>SUMIFS(METALFISA!$E:$E,METALFISA!$A:$A,'Faltantes Fevereiro- Metalfisa'!M$3,METALFISA!$B:$B,'Faltantes Fevereiro- Metalfisa'!$A269)</f>
        <v>0</v>
      </c>
      <c r="N269" s="31">
        <f>SUMIFS(METALFISA!$E:$E,METALFISA!$A:$A,'Faltantes Fevereiro- Metalfisa'!N$3,METALFISA!$B:$B,'Faltantes Fevereiro- Metalfisa'!$A269)</f>
        <v>0</v>
      </c>
      <c r="O269" s="31">
        <f>SUMIFS(METALFISA!$E:$E,METALFISA!$A:$A,'Faltantes Fevereiro- Metalfisa'!O$3,METALFISA!$B:$B,'Faltantes Fevereiro- Metalfisa'!$A269)</f>
        <v>0</v>
      </c>
      <c r="P269" s="31">
        <f>SUMIFS(METALFISA!$E:$E,METALFISA!$A:$A,'Faltantes Fevereiro- Metalfisa'!P$3,METALFISA!$B:$B,'Faltantes Fevereiro- Metalfisa'!$A269)</f>
        <v>0</v>
      </c>
      <c r="Q269" s="31">
        <f>SUMIFS(METALFISA!$E:$E,METALFISA!$A:$A,'Faltantes Fevereiro- Metalfisa'!Q$3,METALFISA!$B:$B,'Faltantes Fevereiro- Metalfisa'!$A269)</f>
        <v>0</v>
      </c>
      <c r="R269" s="31">
        <f>SUMIFS(METALFISA!$E:$E,METALFISA!$A:$A,'Faltantes Fevereiro- Metalfisa'!R$3,METALFISA!$B:$B,'Faltantes Fevereiro- Metalfisa'!$A269)</f>
        <v>0</v>
      </c>
      <c r="S269" s="31">
        <f>SUMIFS(METALFISA!$E:$E,METALFISA!$A:$A,'Faltantes Fevereiro- Metalfisa'!S$3,METALFISA!$B:$B,'Faltantes Fevereiro- Metalfisa'!$A269)</f>
        <v>0</v>
      </c>
      <c r="T269" s="31">
        <f>SUMIFS(METALFISA!$E:$E,METALFISA!$A:$A,'Faltantes Fevereiro- Metalfisa'!T$3,METALFISA!$B:$B,'Faltantes Fevereiro- Metalfisa'!$A269)</f>
        <v>0</v>
      </c>
      <c r="U269" s="31">
        <f>SUMIFS(METALFISA!$E:$E,METALFISA!$A:$A,'Faltantes Fevereiro- Metalfisa'!U$3,METALFISA!$B:$B,'Faltantes Fevereiro- Metalfisa'!$A269)</f>
        <v>0</v>
      </c>
      <c r="V269" s="31">
        <f>SUMIFS(METALFISA!$E:$E,METALFISA!$A:$A,'Faltantes Fevereiro- Metalfisa'!V$3,METALFISA!$B:$B,'Faltantes Fevereiro- Metalfisa'!$A269)</f>
        <v>0</v>
      </c>
      <c r="W269" s="31">
        <f>SUMIFS(METALFISA!$E:$E,METALFISA!$A:$A,'Faltantes Fevereiro- Metalfisa'!W$3,METALFISA!$B:$B,'Faltantes Fevereiro- Metalfisa'!$A269)</f>
        <v>0</v>
      </c>
      <c r="X269" s="31">
        <f>SUMIFS(METALFISA!$E:$E,METALFISA!$A:$A,'Faltantes Fevereiro- Metalfisa'!X$3,METALFISA!$B:$B,'Faltantes Fevereiro- Metalfisa'!$A269)</f>
        <v>0</v>
      </c>
      <c r="Y269" s="31">
        <f>SUMIFS(METALFISA!$E:$E,METALFISA!$A:$A,'Faltantes Fevereiro- Metalfisa'!Y$3,METALFISA!$B:$B,'Faltantes Fevereiro- Metalfisa'!$A269)</f>
        <v>0</v>
      </c>
      <c r="Z269" s="31">
        <f>SUMIFS(METALFISA!$E:$E,METALFISA!$A:$A,'Faltantes Fevereiro- Metalfisa'!Z$3,METALFISA!$B:$B,'Faltantes Fevereiro- Metalfisa'!$A269)</f>
        <v>0</v>
      </c>
      <c r="AA269" s="31">
        <f>SUMIFS(METALFISA!$E:$E,METALFISA!$A:$A,'Faltantes Fevereiro- Metalfisa'!AA$3,METALFISA!$B:$B,'Faltantes Fevereiro- Metalfisa'!$A269)</f>
        <v>0</v>
      </c>
      <c r="AB269" s="31">
        <f>SUMIFS(METALFISA!$E:$E,METALFISA!$A:$A,'Faltantes Fevereiro- Metalfisa'!AB$3,METALFISA!$B:$B,'Faltantes Fevereiro- Metalfisa'!$A269)</f>
        <v>0</v>
      </c>
      <c r="AC269" s="31">
        <f>SUMIFS(METALFISA!$E:$E,METALFISA!$A:$A,'Faltantes Fevereiro- Metalfisa'!AC$3,METALFISA!$B:$B,'Faltantes Fevereiro- Metalfisa'!$A269)</f>
        <v>0</v>
      </c>
      <c r="AD269" s="31">
        <f>SUMIFS(METALFISA!$E:$E,METALFISA!$A:$A,'Faltantes Fevereiro- Metalfisa'!AD$3,METALFISA!$B:$B,'Faltantes Fevereiro- Metalfisa'!$A269)</f>
        <v>0</v>
      </c>
      <c r="AE269" s="31">
        <f>SUMIFS(METALFISA!$E:$E,METALFISA!$A:$A,'Faltantes Fevereiro- Metalfisa'!AE$3,METALFISA!$B:$B,'Faltantes Fevereiro- Metalfisa'!$A269)</f>
        <v>4</v>
      </c>
      <c r="AF269" s="31">
        <f>SUMIFS(METALFISA!$E:$E,METALFISA!$A:$A,'Faltantes Fevereiro- Metalfisa'!AF$3,METALFISA!$B:$B,'Faltantes Fevereiro- Metalfisa'!$A269)</f>
        <v>0</v>
      </c>
      <c r="AG269" s="31">
        <f>SUMIFS(METALFISA!$E:$E,METALFISA!$A:$A,'Faltantes Fevereiro- Metalfisa'!AG$3,METALFISA!$B:$B,'Faltantes Fevereiro- Metalfisa'!$A269)</f>
        <v>0</v>
      </c>
      <c r="AH269" s="31">
        <f>SUMIFS(METALFISA!$E:$E,METALFISA!$A:$A,'Faltantes Fevereiro- Metalfisa'!AH$3,METALFISA!$B:$B,'Faltantes Fevereiro- Metalfisa'!$A269)</f>
        <v>0</v>
      </c>
      <c r="AI269" s="31">
        <f>SUMIFS(METALFISA!$E:$E,METALFISA!$A:$A,'Faltantes Fevereiro- Metalfisa'!AI$3,METALFISA!$B:$B,'Faltantes Fevereiro- Metalfisa'!$A269)</f>
        <v>0</v>
      </c>
      <c r="AJ269" s="31">
        <f>SUMIFS(METALFISA!$E:$E,METALFISA!$A:$A,'Faltantes Fevereiro- Metalfisa'!AJ$3,METALFISA!$B:$B,'Faltantes Fevereiro- Metalfisa'!$A269)</f>
        <v>0</v>
      </c>
      <c r="AK269" s="31">
        <f>SUMIFS(METALFISA!$E:$E,METALFISA!$A:$A,'Faltantes Fevereiro- Metalfisa'!AK$3,METALFISA!$B:$B,'Faltantes Fevereiro- Metalfisa'!$A269)</f>
        <v>0</v>
      </c>
      <c r="AL269" s="31">
        <f>SUMIFS(METALFISA!$E:$E,METALFISA!$A:$A,'Faltantes Fevereiro- Metalfisa'!AL$3,METALFISA!$B:$B,'Faltantes Fevereiro- Metalfisa'!$A269)</f>
        <v>0</v>
      </c>
      <c r="AM269" s="31">
        <f>SUMIFS(METALFISA!$E:$E,METALFISA!$A:$A,'Faltantes Fevereiro- Metalfisa'!AM$3,METALFISA!$B:$B,'Faltantes Fevereiro- Metalfisa'!$A269)</f>
        <v>0</v>
      </c>
      <c r="AN269" s="31">
        <f>SUMIFS(METALFISA!$E:$E,METALFISA!$A:$A,'Faltantes Fevereiro- Metalfisa'!AN$3,METALFISA!$B:$B,'Faltantes Fevereiro- Metalfisa'!$A269)</f>
        <v>0</v>
      </c>
      <c r="AO269" s="31">
        <f>SUMIFS(METALFISA!$E:$E,METALFISA!$A:$A,'Faltantes Fevereiro- Metalfisa'!AO$3,METALFISA!$B:$B,'Faltantes Fevereiro- Metalfisa'!$A269)</f>
        <v>0</v>
      </c>
      <c r="AP269" s="31">
        <f>SUMIFS(METALFISA!$E:$E,METALFISA!$A:$A,'Faltantes Fevereiro- Metalfisa'!AP$3,METALFISA!$B:$B,'Faltantes Fevereiro- Metalfisa'!$A269)</f>
        <v>0</v>
      </c>
      <c r="AQ269" s="31"/>
      <c r="AR269" s="31">
        <f>SUMIFS(METALFISA!$E:$E,METALFISA!$A:$A,'Faltantes Fevereiro- Metalfisa'!AR$3,METALFISA!$B:$B,'Faltantes Fevereiro- Metalfisa'!$A269)</f>
        <v>0</v>
      </c>
      <c r="AS269" s="35">
        <f>SUMIFS(METALFISA!$E:$E,METALFISA!$A:$A,'Faltantes Fevereiro- Metalfisa'!AS$3,METALFISA!$B:$B,'Faltantes Fevereiro- Metalfisa'!$A269)</f>
        <v>0</v>
      </c>
      <c r="AU269" s="18">
        <v>0</v>
      </c>
      <c r="AV269" s="18">
        <v>0</v>
      </c>
      <c r="AW269" s="18">
        <v>0</v>
      </c>
      <c r="AX269" s="18">
        <v>0</v>
      </c>
      <c r="AY269" s="41">
        <v>0</v>
      </c>
      <c r="AZ269" s="31">
        <v>0</v>
      </c>
      <c r="BA269" s="31">
        <v>0</v>
      </c>
      <c r="BB269" s="31">
        <v>0</v>
      </c>
      <c r="BC269" s="31">
        <v>0</v>
      </c>
      <c r="BD269" s="31">
        <v>0</v>
      </c>
      <c r="BE269" s="31">
        <v>0</v>
      </c>
      <c r="BF269" s="31">
        <v>0</v>
      </c>
      <c r="BG269" s="31">
        <v>0</v>
      </c>
      <c r="BH269" s="31">
        <v>0</v>
      </c>
      <c r="BI269" s="31">
        <v>0</v>
      </c>
      <c r="BJ269" s="31">
        <v>0</v>
      </c>
      <c r="BK269" s="31">
        <v>0</v>
      </c>
      <c r="BL269" s="31">
        <v>0</v>
      </c>
      <c r="BM269" s="31">
        <v>0</v>
      </c>
      <c r="BN269" s="31">
        <v>0</v>
      </c>
      <c r="BO269" s="31">
        <v>2</v>
      </c>
      <c r="BP269" s="31">
        <v>0</v>
      </c>
      <c r="BQ269" s="31">
        <v>0</v>
      </c>
      <c r="BR269" s="31">
        <v>0</v>
      </c>
      <c r="BS269" s="31">
        <v>0</v>
      </c>
      <c r="BT269" s="31">
        <v>0</v>
      </c>
      <c r="BU269" s="31">
        <v>0</v>
      </c>
      <c r="BV269" s="31">
        <v>0</v>
      </c>
      <c r="BW269" s="31">
        <v>0</v>
      </c>
      <c r="BX269" s="31">
        <v>0</v>
      </c>
      <c r="BY269" s="31">
        <v>0</v>
      </c>
      <c r="BZ269" s="31">
        <v>0</v>
      </c>
      <c r="CA269" s="31">
        <v>0</v>
      </c>
      <c r="CB269" s="31">
        <v>0</v>
      </c>
      <c r="CC269" s="31">
        <v>0</v>
      </c>
      <c r="CD269" s="31">
        <v>0</v>
      </c>
      <c r="CE269" s="31">
        <v>0</v>
      </c>
      <c r="CF269" s="31">
        <v>0</v>
      </c>
      <c r="CG269" s="31">
        <v>0</v>
      </c>
      <c r="CH269" s="31">
        <v>0</v>
      </c>
      <c r="CI269" s="31">
        <v>0</v>
      </c>
      <c r="CJ269" s="31">
        <v>0</v>
      </c>
      <c r="CK269" s="31">
        <v>0</v>
      </c>
      <c r="CL269" s="35">
        <v>0</v>
      </c>
    </row>
    <row r="270" spans="1:90" ht="21" x14ac:dyDescent="0.15">
      <c r="A270" s="27" t="s">
        <v>1345</v>
      </c>
      <c r="B270" s="28" t="s">
        <v>1346</v>
      </c>
      <c r="C270" s="28">
        <v>0</v>
      </c>
      <c r="D270" s="28">
        <v>0</v>
      </c>
      <c r="E270" s="28">
        <v>0</v>
      </c>
      <c r="F270" s="28">
        <v>0</v>
      </c>
      <c r="G270" s="28">
        <v>12</v>
      </c>
      <c r="H270" s="28">
        <f>IFERROR(VLOOKUP(A270,[1]FALTANTES!$A:$AB,28,FALSE),"-")</f>
        <v>0</v>
      </c>
      <c r="I270" s="42">
        <f>IFERROR(VLOOKUP(A270,[1]FALTANTES!$A:$AC,29,FALSE),"-")</f>
        <v>8</v>
      </c>
      <c r="J270" s="29">
        <f>IFERROR(VLOOKUP(A270,[1]FALTANTES!$A:$AD,30,FALSE),"-")</f>
        <v>-4</v>
      </c>
      <c r="K270" s="30">
        <v>0</v>
      </c>
      <c r="L270" s="30">
        <f t="shared" si="5"/>
        <v>4</v>
      </c>
      <c r="M270" s="31">
        <f>SUMIFS(METALFISA!$E:$E,METALFISA!$A:$A,'Faltantes Fevereiro- Metalfisa'!M$3,METALFISA!$B:$B,'Faltantes Fevereiro- Metalfisa'!$A270)</f>
        <v>0</v>
      </c>
      <c r="N270" s="31">
        <f>SUMIFS(METALFISA!$E:$E,METALFISA!$A:$A,'Faltantes Fevereiro- Metalfisa'!N$3,METALFISA!$B:$B,'Faltantes Fevereiro- Metalfisa'!$A270)</f>
        <v>0</v>
      </c>
      <c r="O270" s="31">
        <f>SUMIFS(METALFISA!$E:$E,METALFISA!$A:$A,'Faltantes Fevereiro- Metalfisa'!O$3,METALFISA!$B:$B,'Faltantes Fevereiro- Metalfisa'!$A270)</f>
        <v>0</v>
      </c>
      <c r="P270" s="31">
        <f>SUMIFS(METALFISA!$E:$E,METALFISA!$A:$A,'Faltantes Fevereiro- Metalfisa'!P$3,METALFISA!$B:$B,'Faltantes Fevereiro- Metalfisa'!$A270)</f>
        <v>0</v>
      </c>
      <c r="Q270" s="31">
        <f>SUMIFS(METALFISA!$E:$E,METALFISA!$A:$A,'Faltantes Fevereiro- Metalfisa'!Q$3,METALFISA!$B:$B,'Faltantes Fevereiro- Metalfisa'!$A270)</f>
        <v>0</v>
      </c>
      <c r="R270" s="31">
        <f>SUMIFS(METALFISA!$E:$E,METALFISA!$A:$A,'Faltantes Fevereiro- Metalfisa'!R$3,METALFISA!$B:$B,'Faltantes Fevereiro- Metalfisa'!$A270)</f>
        <v>0</v>
      </c>
      <c r="S270" s="31">
        <f>SUMIFS(METALFISA!$E:$E,METALFISA!$A:$A,'Faltantes Fevereiro- Metalfisa'!S$3,METALFISA!$B:$B,'Faltantes Fevereiro- Metalfisa'!$A270)</f>
        <v>0</v>
      </c>
      <c r="T270" s="31">
        <f>SUMIFS(METALFISA!$E:$E,METALFISA!$A:$A,'Faltantes Fevereiro- Metalfisa'!T$3,METALFISA!$B:$B,'Faltantes Fevereiro- Metalfisa'!$A270)</f>
        <v>0</v>
      </c>
      <c r="U270" s="31">
        <f>SUMIFS(METALFISA!$E:$E,METALFISA!$A:$A,'Faltantes Fevereiro- Metalfisa'!U$3,METALFISA!$B:$B,'Faltantes Fevereiro- Metalfisa'!$A270)</f>
        <v>0</v>
      </c>
      <c r="V270" s="31">
        <f>SUMIFS(METALFISA!$E:$E,METALFISA!$A:$A,'Faltantes Fevereiro- Metalfisa'!V$3,METALFISA!$B:$B,'Faltantes Fevereiro- Metalfisa'!$A270)</f>
        <v>0</v>
      </c>
      <c r="W270" s="31">
        <f>SUMIFS(METALFISA!$E:$E,METALFISA!$A:$A,'Faltantes Fevereiro- Metalfisa'!W$3,METALFISA!$B:$B,'Faltantes Fevereiro- Metalfisa'!$A270)</f>
        <v>0</v>
      </c>
      <c r="X270" s="31">
        <f>SUMIFS(METALFISA!$E:$E,METALFISA!$A:$A,'Faltantes Fevereiro- Metalfisa'!X$3,METALFISA!$B:$B,'Faltantes Fevereiro- Metalfisa'!$A270)</f>
        <v>0</v>
      </c>
      <c r="Y270" s="31">
        <f>SUMIFS(METALFISA!$E:$E,METALFISA!$A:$A,'Faltantes Fevereiro- Metalfisa'!Y$3,METALFISA!$B:$B,'Faltantes Fevereiro- Metalfisa'!$A270)</f>
        <v>0</v>
      </c>
      <c r="Z270" s="31">
        <f>SUMIFS(METALFISA!$E:$E,METALFISA!$A:$A,'Faltantes Fevereiro- Metalfisa'!Z$3,METALFISA!$B:$B,'Faltantes Fevereiro- Metalfisa'!$A270)</f>
        <v>0</v>
      </c>
      <c r="AA270" s="31">
        <f>SUMIFS(METALFISA!$E:$E,METALFISA!$A:$A,'Faltantes Fevereiro- Metalfisa'!AA$3,METALFISA!$B:$B,'Faltantes Fevereiro- Metalfisa'!$A270)</f>
        <v>0</v>
      </c>
      <c r="AB270" s="31">
        <f>SUMIFS(METALFISA!$E:$E,METALFISA!$A:$A,'Faltantes Fevereiro- Metalfisa'!AB$3,METALFISA!$B:$B,'Faltantes Fevereiro- Metalfisa'!$A270)</f>
        <v>0</v>
      </c>
      <c r="AC270" s="31">
        <f>SUMIFS(METALFISA!$E:$E,METALFISA!$A:$A,'Faltantes Fevereiro- Metalfisa'!AC$3,METALFISA!$B:$B,'Faltantes Fevereiro- Metalfisa'!$A270)</f>
        <v>0</v>
      </c>
      <c r="AD270" s="31">
        <f>SUMIFS(METALFISA!$E:$E,METALFISA!$A:$A,'Faltantes Fevereiro- Metalfisa'!AD$3,METALFISA!$B:$B,'Faltantes Fevereiro- Metalfisa'!$A270)</f>
        <v>0</v>
      </c>
      <c r="AE270" s="31">
        <f>SUMIFS(METALFISA!$E:$E,METALFISA!$A:$A,'Faltantes Fevereiro- Metalfisa'!AE$3,METALFISA!$B:$B,'Faltantes Fevereiro- Metalfisa'!$A270)</f>
        <v>4</v>
      </c>
      <c r="AF270" s="31">
        <f>SUMIFS(METALFISA!$E:$E,METALFISA!$A:$A,'Faltantes Fevereiro- Metalfisa'!AF$3,METALFISA!$B:$B,'Faltantes Fevereiro- Metalfisa'!$A270)</f>
        <v>0</v>
      </c>
      <c r="AG270" s="31">
        <f>SUMIFS(METALFISA!$E:$E,METALFISA!$A:$A,'Faltantes Fevereiro- Metalfisa'!AG$3,METALFISA!$B:$B,'Faltantes Fevereiro- Metalfisa'!$A270)</f>
        <v>0</v>
      </c>
      <c r="AH270" s="31">
        <f>SUMIFS(METALFISA!$E:$E,METALFISA!$A:$A,'Faltantes Fevereiro- Metalfisa'!AH$3,METALFISA!$B:$B,'Faltantes Fevereiro- Metalfisa'!$A270)</f>
        <v>0</v>
      </c>
      <c r="AI270" s="31">
        <f>SUMIFS(METALFISA!$E:$E,METALFISA!$A:$A,'Faltantes Fevereiro- Metalfisa'!AI$3,METALFISA!$B:$B,'Faltantes Fevereiro- Metalfisa'!$A270)</f>
        <v>0</v>
      </c>
      <c r="AJ270" s="31">
        <f>SUMIFS(METALFISA!$E:$E,METALFISA!$A:$A,'Faltantes Fevereiro- Metalfisa'!AJ$3,METALFISA!$B:$B,'Faltantes Fevereiro- Metalfisa'!$A270)</f>
        <v>0</v>
      </c>
      <c r="AK270" s="31">
        <f>SUMIFS(METALFISA!$E:$E,METALFISA!$A:$A,'Faltantes Fevereiro- Metalfisa'!AK$3,METALFISA!$B:$B,'Faltantes Fevereiro- Metalfisa'!$A270)</f>
        <v>0</v>
      </c>
      <c r="AL270" s="31">
        <f>SUMIFS(METALFISA!$E:$E,METALFISA!$A:$A,'Faltantes Fevereiro- Metalfisa'!AL$3,METALFISA!$B:$B,'Faltantes Fevereiro- Metalfisa'!$A270)</f>
        <v>0</v>
      </c>
      <c r="AM270" s="31">
        <f>SUMIFS(METALFISA!$E:$E,METALFISA!$A:$A,'Faltantes Fevereiro- Metalfisa'!AM$3,METALFISA!$B:$B,'Faltantes Fevereiro- Metalfisa'!$A270)</f>
        <v>0</v>
      </c>
      <c r="AN270" s="31">
        <f>SUMIFS(METALFISA!$E:$E,METALFISA!$A:$A,'Faltantes Fevereiro- Metalfisa'!AN$3,METALFISA!$B:$B,'Faltantes Fevereiro- Metalfisa'!$A270)</f>
        <v>0</v>
      </c>
      <c r="AO270" s="31">
        <f>SUMIFS(METALFISA!$E:$E,METALFISA!$A:$A,'Faltantes Fevereiro- Metalfisa'!AO$3,METALFISA!$B:$B,'Faltantes Fevereiro- Metalfisa'!$A270)</f>
        <v>0</v>
      </c>
      <c r="AP270" s="31">
        <f>SUMIFS(METALFISA!$E:$E,METALFISA!$A:$A,'Faltantes Fevereiro- Metalfisa'!AP$3,METALFISA!$B:$B,'Faltantes Fevereiro- Metalfisa'!$A270)</f>
        <v>0</v>
      </c>
      <c r="AQ270" s="31"/>
      <c r="AR270" s="31">
        <f>SUMIFS(METALFISA!$E:$E,METALFISA!$A:$A,'Faltantes Fevereiro- Metalfisa'!AR$3,METALFISA!$B:$B,'Faltantes Fevereiro- Metalfisa'!$A270)</f>
        <v>0</v>
      </c>
      <c r="AS270" s="35">
        <f>SUMIFS(METALFISA!$E:$E,METALFISA!$A:$A,'Faltantes Fevereiro- Metalfisa'!AS$3,METALFISA!$B:$B,'Faltantes Fevereiro- Metalfisa'!$A270)</f>
        <v>0</v>
      </c>
      <c r="AU270" s="18">
        <v>0</v>
      </c>
      <c r="AV270" s="18">
        <v>0</v>
      </c>
      <c r="AW270" s="18">
        <v>0</v>
      </c>
      <c r="AX270" s="18">
        <v>0</v>
      </c>
      <c r="AY270" s="41">
        <v>0</v>
      </c>
      <c r="AZ270" s="31">
        <v>0</v>
      </c>
      <c r="BA270" s="31">
        <v>0</v>
      </c>
      <c r="BB270" s="31">
        <v>0</v>
      </c>
      <c r="BC270" s="31">
        <v>0</v>
      </c>
      <c r="BD270" s="31">
        <v>0</v>
      </c>
      <c r="BE270" s="31">
        <v>0</v>
      </c>
      <c r="BF270" s="31">
        <v>0</v>
      </c>
      <c r="BG270" s="31">
        <v>0</v>
      </c>
      <c r="BH270" s="31">
        <v>0</v>
      </c>
      <c r="BI270" s="31">
        <v>0</v>
      </c>
      <c r="BJ270" s="31">
        <v>0</v>
      </c>
      <c r="BK270" s="31">
        <v>0</v>
      </c>
      <c r="BL270" s="31">
        <v>0</v>
      </c>
      <c r="BM270" s="31">
        <v>0</v>
      </c>
      <c r="BN270" s="31">
        <v>0</v>
      </c>
      <c r="BO270" s="31">
        <v>2</v>
      </c>
      <c r="BP270" s="31">
        <v>0</v>
      </c>
      <c r="BQ270" s="31">
        <v>0</v>
      </c>
      <c r="BR270" s="31">
        <v>0</v>
      </c>
      <c r="BS270" s="31">
        <v>0</v>
      </c>
      <c r="BT270" s="31">
        <v>0</v>
      </c>
      <c r="BU270" s="31">
        <v>0</v>
      </c>
      <c r="BV270" s="31">
        <v>0</v>
      </c>
      <c r="BW270" s="31">
        <v>0</v>
      </c>
      <c r="BX270" s="31">
        <v>0</v>
      </c>
      <c r="BY270" s="31">
        <v>0</v>
      </c>
      <c r="BZ270" s="31">
        <v>0</v>
      </c>
      <c r="CA270" s="31">
        <v>0</v>
      </c>
      <c r="CB270" s="31">
        <v>0</v>
      </c>
      <c r="CC270" s="31">
        <v>0</v>
      </c>
      <c r="CD270" s="31">
        <v>0</v>
      </c>
      <c r="CE270" s="31">
        <v>0</v>
      </c>
      <c r="CF270" s="31">
        <v>0</v>
      </c>
      <c r="CG270" s="31">
        <v>0</v>
      </c>
      <c r="CH270" s="31">
        <v>0</v>
      </c>
      <c r="CI270" s="31">
        <v>0</v>
      </c>
      <c r="CJ270" s="31">
        <v>0</v>
      </c>
      <c r="CK270" s="31">
        <v>0</v>
      </c>
      <c r="CL270" s="35">
        <v>0</v>
      </c>
    </row>
    <row r="271" spans="1:90" ht="21" x14ac:dyDescent="0.15">
      <c r="A271" s="27" t="s">
        <v>1349</v>
      </c>
      <c r="B271" s="28" t="s">
        <v>1350</v>
      </c>
      <c r="C271" s="28">
        <v>0</v>
      </c>
      <c r="D271" s="28">
        <v>0</v>
      </c>
      <c r="E271" s="28">
        <v>0</v>
      </c>
      <c r="F271" s="28">
        <v>0</v>
      </c>
      <c r="G271" s="28">
        <v>12</v>
      </c>
      <c r="H271" s="28">
        <f>IFERROR(VLOOKUP(A271,[1]FALTANTES!$A:$AB,28,FALSE),"-")</f>
        <v>0</v>
      </c>
      <c r="I271" s="42">
        <f>IFERROR(VLOOKUP(A271,[1]FALTANTES!$A:$AC,29,FALSE),"-")</f>
        <v>0</v>
      </c>
      <c r="J271" s="29">
        <f>IFERROR(VLOOKUP(A271,[1]FALTANTES!$A:$AD,30,FALSE),"-")</f>
        <v>-12</v>
      </c>
      <c r="K271" s="30">
        <v>0</v>
      </c>
      <c r="L271" s="30">
        <f t="shared" si="5"/>
        <v>4</v>
      </c>
      <c r="M271" s="31">
        <f>SUMIFS(METALFISA!$E:$E,METALFISA!$A:$A,'Faltantes Fevereiro- Metalfisa'!M$3,METALFISA!$B:$B,'Faltantes Fevereiro- Metalfisa'!$A271)</f>
        <v>0</v>
      </c>
      <c r="N271" s="31">
        <f>SUMIFS(METALFISA!$E:$E,METALFISA!$A:$A,'Faltantes Fevereiro- Metalfisa'!N$3,METALFISA!$B:$B,'Faltantes Fevereiro- Metalfisa'!$A271)</f>
        <v>0</v>
      </c>
      <c r="O271" s="31">
        <f>SUMIFS(METALFISA!$E:$E,METALFISA!$A:$A,'Faltantes Fevereiro- Metalfisa'!O$3,METALFISA!$B:$B,'Faltantes Fevereiro- Metalfisa'!$A271)</f>
        <v>0</v>
      </c>
      <c r="P271" s="31">
        <f>SUMIFS(METALFISA!$E:$E,METALFISA!$A:$A,'Faltantes Fevereiro- Metalfisa'!P$3,METALFISA!$B:$B,'Faltantes Fevereiro- Metalfisa'!$A271)</f>
        <v>0</v>
      </c>
      <c r="Q271" s="31">
        <f>SUMIFS(METALFISA!$E:$E,METALFISA!$A:$A,'Faltantes Fevereiro- Metalfisa'!Q$3,METALFISA!$B:$B,'Faltantes Fevereiro- Metalfisa'!$A271)</f>
        <v>0</v>
      </c>
      <c r="R271" s="31">
        <f>SUMIFS(METALFISA!$E:$E,METALFISA!$A:$A,'Faltantes Fevereiro- Metalfisa'!R$3,METALFISA!$B:$B,'Faltantes Fevereiro- Metalfisa'!$A271)</f>
        <v>0</v>
      </c>
      <c r="S271" s="31">
        <f>SUMIFS(METALFISA!$E:$E,METALFISA!$A:$A,'Faltantes Fevereiro- Metalfisa'!S$3,METALFISA!$B:$B,'Faltantes Fevereiro- Metalfisa'!$A271)</f>
        <v>0</v>
      </c>
      <c r="T271" s="31">
        <f>SUMIFS(METALFISA!$E:$E,METALFISA!$A:$A,'Faltantes Fevereiro- Metalfisa'!T$3,METALFISA!$B:$B,'Faltantes Fevereiro- Metalfisa'!$A271)</f>
        <v>0</v>
      </c>
      <c r="U271" s="31">
        <f>SUMIFS(METALFISA!$E:$E,METALFISA!$A:$A,'Faltantes Fevereiro- Metalfisa'!U$3,METALFISA!$B:$B,'Faltantes Fevereiro- Metalfisa'!$A271)</f>
        <v>0</v>
      </c>
      <c r="V271" s="31">
        <f>SUMIFS(METALFISA!$E:$E,METALFISA!$A:$A,'Faltantes Fevereiro- Metalfisa'!V$3,METALFISA!$B:$B,'Faltantes Fevereiro- Metalfisa'!$A271)</f>
        <v>0</v>
      </c>
      <c r="W271" s="31">
        <f>SUMIFS(METALFISA!$E:$E,METALFISA!$A:$A,'Faltantes Fevereiro- Metalfisa'!W$3,METALFISA!$B:$B,'Faltantes Fevereiro- Metalfisa'!$A271)</f>
        <v>0</v>
      </c>
      <c r="X271" s="31">
        <f>SUMIFS(METALFISA!$E:$E,METALFISA!$A:$A,'Faltantes Fevereiro- Metalfisa'!X$3,METALFISA!$B:$B,'Faltantes Fevereiro- Metalfisa'!$A271)</f>
        <v>0</v>
      </c>
      <c r="Y271" s="31">
        <f>SUMIFS(METALFISA!$E:$E,METALFISA!$A:$A,'Faltantes Fevereiro- Metalfisa'!Y$3,METALFISA!$B:$B,'Faltantes Fevereiro- Metalfisa'!$A271)</f>
        <v>0</v>
      </c>
      <c r="Z271" s="31">
        <f>SUMIFS(METALFISA!$E:$E,METALFISA!$A:$A,'Faltantes Fevereiro- Metalfisa'!Z$3,METALFISA!$B:$B,'Faltantes Fevereiro- Metalfisa'!$A271)</f>
        <v>0</v>
      </c>
      <c r="AA271" s="31">
        <f>SUMIFS(METALFISA!$E:$E,METALFISA!$A:$A,'Faltantes Fevereiro- Metalfisa'!AA$3,METALFISA!$B:$B,'Faltantes Fevereiro- Metalfisa'!$A271)</f>
        <v>0</v>
      </c>
      <c r="AB271" s="31">
        <f>SUMIFS(METALFISA!$E:$E,METALFISA!$A:$A,'Faltantes Fevereiro- Metalfisa'!AB$3,METALFISA!$B:$B,'Faltantes Fevereiro- Metalfisa'!$A271)</f>
        <v>0</v>
      </c>
      <c r="AC271" s="31">
        <f>SUMIFS(METALFISA!$E:$E,METALFISA!$A:$A,'Faltantes Fevereiro- Metalfisa'!AC$3,METALFISA!$B:$B,'Faltantes Fevereiro- Metalfisa'!$A271)</f>
        <v>0</v>
      </c>
      <c r="AD271" s="31">
        <f>SUMIFS(METALFISA!$E:$E,METALFISA!$A:$A,'Faltantes Fevereiro- Metalfisa'!AD$3,METALFISA!$B:$B,'Faltantes Fevereiro- Metalfisa'!$A271)</f>
        <v>0</v>
      </c>
      <c r="AE271" s="31">
        <f>SUMIFS(METALFISA!$E:$E,METALFISA!$A:$A,'Faltantes Fevereiro- Metalfisa'!AE$3,METALFISA!$B:$B,'Faltantes Fevereiro- Metalfisa'!$A271)</f>
        <v>4</v>
      </c>
      <c r="AF271" s="31">
        <f>SUMIFS(METALFISA!$E:$E,METALFISA!$A:$A,'Faltantes Fevereiro- Metalfisa'!AF$3,METALFISA!$B:$B,'Faltantes Fevereiro- Metalfisa'!$A271)</f>
        <v>0</v>
      </c>
      <c r="AG271" s="31">
        <f>SUMIFS(METALFISA!$E:$E,METALFISA!$A:$A,'Faltantes Fevereiro- Metalfisa'!AG$3,METALFISA!$B:$B,'Faltantes Fevereiro- Metalfisa'!$A271)</f>
        <v>0</v>
      </c>
      <c r="AH271" s="31">
        <f>SUMIFS(METALFISA!$E:$E,METALFISA!$A:$A,'Faltantes Fevereiro- Metalfisa'!AH$3,METALFISA!$B:$B,'Faltantes Fevereiro- Metalfisa'!$A271)</f>
        <v>0</v>
      </c>
      <c r="AI271" s="31">
        <f>SUMIFS(METALFISA!$E:$E,METALFISA!$A:$A,'Faltantes Fevereiro- Metalfisa'!AI$3,METALFISA!$B:$B,'Faltantes Fevereiro- Metalfisa'!$A271)</f>
        <v>0</v>
      </c>
      <c r="AJ271" s="31">
        <f>SUMIFS(METALFISA!$E:$E,METALFISA!$A:$A,'Faltantes Fevereiro- Metalfisa'!AJ$3,METALFISA!$B:$B,'Faltantes Fevereiro- Metalfisa'!$A271)</f>
        <v>0</v>
      </c>
      <c r="AK271" s="31">
        <f>SUMIFS(METALFISA!$E:$E,METALFISA!$A:$A,'Faltantes Fevereiro- Metalfisa'!AK$3,METALFISA!$B:$B,'Faltantes Fevereiro- Metalfisa'!$A271)</f>
        <v>0</v>
      </c>
      <c r="AL271" s="31">
        <f>SUMIFS(METALFISA!$E:$E,METALFISA!$A:$A,'Faltantes Fevereiro- Metalfisa'!AL$3,METALFISA!$B:$B,'Faltantes Fevereiro- Metalfisa'!$A271)</f>
        <v>0</v>
      </c>
      <c r="AM271" s="31">
        <f>SUMIFS(METALFISA!$E:$E,METALFISA!$A:$A,'Faltantes Fevereiro- Metalfisa'!AM$3,METALFISA!$B:$B,'Faltantes Fevereiro- Metalfisa'!$A271)</f>
        <v>0</v>
      </c>
      <c r="AN271" s="31">
        <f>SUMIFS(METALFISA!$E:$E,METALFISA!$A:$A,'Faltantes Fevereiro- Metalfisa'!AN$3,METALFISA!$B:$B,'Faltantes Fevereiro- Metalfisa'!$A271)</f>
        <v>0</v>
      </c>
      <c r="AO271" s="31">
        <f>SUMIFS(METALFISA!$E:$E,METALFISA!$A:$A,'Faltantes Fevereiro- Metalfisa'!AO$3,METALFISA!$B:$B,'Faltantes Fevereiro- Metalfisa'!$A271)</f>
        <v>0</v>
      </c>
      <c r="AP271" s="31">
        <f>SUMIFS(METALFISA!$E:$E,METALFISA!$A:$A,'Faltantes Fevereiro- Metalfisa'!AP$3,METALFISA!$B:$B,'Faltantes Fevereiro- Metalfisa'!$A271)</f>
        <v>0</v>
      </c>
      <c r="AQ271" s="31"/>
      <c r="AR271" s="31">
        <f>SUMIFS(METALFISA!$E:$E,METALFISA!$A:$A,'Faltantes Fevereiro- Metalfisa'!AR$3,METALFISA!$B:$B,'Faltantes Fevereiro- Metalfisa'!$A271)</f>
        <v>0</v>
      </c>
      <c r="AS271" s="35">
        <f>SUMIFS(METALFISA!$E:$E,METALFISA!$A:$A,'Faltantes Fevereiro- Metalfisa'!AS$3,METALFISA!$B:$B,'Faltantes Fevereiro- Metalfisa'!$A271)</f>
        <v>0</v>
      </c>
      <c r="AU271" s="18">
        <v>0</v>
      </c>
      <c r="AV271" s="18">
        <v>0</v>
      </c>
      <c r="AW271" s="18">
        <v>0</v>
      </c>
      <c r="AX271" s="18">
        <v>0</v>
      </c>
      <c r="AY271" s="41">
        <v>0</v>
      </c>
      <c r="AZ271" s="31">
        <v>0</v>
      </c>
      <c r="BA271" s="31">
        <v>0</v>
      </c>
      <c r="BB271" s="31">
        <v>0</v>
      </c>
      <c r="BC271" s="31">
        <v>0</v>
      </c>
      <c r="BD271" s="31">
        <v>0</v>
      </c>
      <c r="BE271" s="31">
        <v>0</v>
      </c>
      <c r="BF271" s="31">
        <v>0</v>
      </c>
      <c r="BG271" s="31">
        <v>0</v>
      </c>
      <c r="BH271" s="31">
        <v>0</v>
      </c>
      <c r="BI271" s="31">
        <v>0</v>
      </c>
      <c r="BJ271" s="31">
        <v>0</v>
      </c>
      <c r="BK271" s="31">
        <v>0</v>
      </c>
      <c r="BL271" s="31">
        <v>0</v>
      </c>
      <c r="BM271" s="31">
        <v>0</v>
      </c>
      <c r="BN271" s="31">
        <v>0</v>
      </c>
      <c r="BO271" s="31">
        <v>2</v>
      </c>
      <c r="BP271" s="31">
        <v>0</v>
      </c>
      <c r="BQ271" s="31">
        <v>0</v>
      </c>
      <c r="BR271" s="31">
        <v>0</v>
      </c>
      <c r="BS271" s="31">
        <v>0</v>
      </c>
      <c r="BT271" s="31">
        <v>0</v>
      </c>
      <c r="BU271" s="31">
        <v>0</v>
      </c>
      <c r="BV271" s="31">
        <v>0</v>
      </c>
      <c r="BW271" s="31">
        <v>0</v>
      </c>
      <c r="BX271" s="31">
        <v>0</v>
      </c>
      <c r="BY271" s="31">
        <v>0</v>
      </c>
      <c r="BZ271" s="31">
        <v>0</v>
      </c>
      <c r="CA271" s="31">
        <v>0</v>
      </c>
      <c r="CB271" s="31">
        <v>0</v>
      </c>
      <c r="CC271" s="31">
        <v>0</v>
      </c>
      <c r="CD271" s="31">
        <v>0</v>
      </c>
      <c r="CE271" s="31">
        <v>0</v>
      </c>
      <c r="CF271" s="31">
        <v>0</v>
      </c>
      <c r="CG271" s="31">
        <v>0</v>
      </c>
      <c r="CH271" s="31">
        <v>0</v>
      </c>
      <c r="CI271" s="31">
        <v>0</v>
      </c>
      <c r="CJ271" s="31">
        <v>0</v>
      </c>
      <c r="CK271" s="31">
        <v>0</v>
      </c>
      <c r="CL271" s="35">
        <v>0</v>
      </c>
    </row>
    <row r="272" spans="1:90" ht="21" x14ac:dyDescent="0.15">
      <c r="A272" s="27" t="s">
        <v>1359</v>
      </c>
      <c r="B272" s="28" t="s">
        <v>1360</v>
      </c>
      <c r="C272" s="28">
        <v>0</v>
      </c>
      <c r="D272" s="28">
        <v>0</v>
      </c>
      <c r="E272" s="28">
        <v>0</v>
      </c>
      <c r="F272" s="28">
        <v>0</v>
      </c>
      <c r="G272" s="28">
        <v>12</v>
      </c>
      <c r="H272" s="28">
        <f>IFERROR(VLOOKUP(A272,[1]FALTANTES!$A:$AB,28,FALSE),"-")</f>
        <v>0</v>
      </c>
      <c r="I272" s="42">
        <f>IFERROR(VLOOKUP(A272,[1]FALTANTES!$A:$AC,29,FALSE),"-")</f>
        <v>8</v>
      </c>
      <c r="J272" s="29">
        <f>IFERROR(VLOOKUP(A272,[1]FALTANTES!$A:$AD,30,FALSE),"-")</f>
        <v>-4</v>
      </c>
      <c r="K272" s="30">
        <v>0</v>
      </c>
      <c r="L272" s="30">
        <f t="shared" si="5"/>
        <v>4</v>
      </c>
      <c r="M272" s="31">
        <f>SUMIFS(METALFISA!$E:$E,METALFISA!$A:$A,'Faltantes Fevereiro- Metalfisa'!M$3,METALFISA!$B:$B,'Faltantes Fevereiro- Metalfisa'!$A272)</f>
        <v>0</v>
      </c>
      <c r="N272" s="31">
        <f>SUMIFS(METALFISA!$E:$E,METALFISA!$A:$A,'Faltantes Fevereiro- Metalfisa'!N$3,METALFISA!$B:$B,'Faltantes Fevereiro- Metalfisa'!$A272)</f>
        <v>0</v>
      </c>
      <c r="O272" s="31">
        <f>SUMIFS(METALFISA!$E:$E,METALFISA!$A:$A,'Faltantes Fevereiro- Metalfisa'!O$3,METALFISA!$B:$B,'Faltantes Fevereiro- Metalfisa'!$A272)</f>
        <v>0</v>
      </c>
      <c r="P272" s="31">
        <f>SUMIFS(METALFISA!$E:$E,METALFISA!$A:$A,'Faltantes Fevereiro- Metalfisa'!P$3,METALFISA!$B:$B,'Faltantes Fevereiro- Metalfisa'!$A272)</f>
        <v>0</v>
      </c>
      <c r="Q272" s="31">
        <f>SUMIFS(METALFISA!$E:$E,METALFISA!$A:$A,'Faltantes Fevereiro- Metalfisa'!Q$3,METALFISA!$B:$B,'Faltantes Fevereiro- Metalfisa'!$A272)</f>
        <v>0</v>
      </c>
      <c r="R272" s="31">
        <f>SUMIFS(METALFISA!$E:$E,METALFISA!$A:$A,'Faltantes Fevereiro- Metalfisa'!R$3,METALFISA!$B:$B,'Faltantes Fevereiro- Metalfisa'!$A272)</f>
        <v>0</v>
      </c>
      <c r="S272" s="31">
        <f>SUMIFS(METALFISA!$E:$E,METALFISA!$A:$A,'Faltantes Fevereiro- Metalfisa'!S$3,METALFISA!$B:$B,'Faltantes Fevereiro- Metalfisa'!$A272)</f>
        <v>0</v>
      </c>
      <c r="T272" s="31">
        <f>SUMIFS(METALFISA!$E:$E,METALFISA!$A:$A,'Faltantes Fevereiro- Metalfisa'!T$3,METALFISA!$B:$B,'Faltantes Fevereiro- Metalfisa'!$A272)</f>
        <v>0</v>
      </c>
      <c r="U272" s="31">
        <f>SUMIFS(METALFISA!$E:$E,METALFISA!$A:$A,'Faltantes Fevereiro- Metalfisa'!U$3,METALFISA!$B:$B,'Faltantes Fevereiro- Metalfisa'!$A272)</f>
        <v>0</v>
      </c>
      <c r="V272" s="31">
        <f>SUMIFS(METALFISA!$E:$E,METALFISA!$A:$A,'Faltantes Fevereiro- Metalfisa'!V$3,METALFISA!$B:$B,'Faltantes Fevereiro- Metalfisa'!$A272)</f>
        <v>0</v>
      </c>
      <c r="W272" s="31">
        <f>SUMIFS(METALFISA!$E:$E,METALFISA!$A:$A,'Faltantes Fevereiro- Metalfisa'!W$3,METALFISA!$B:$B,'Faltantes Fevereiro- Metalfisa'!$A272)</f>
        <v>0</v>
      </c>
      <c r="X272" s="31">
        <f>SUMIFS(METALFISA!$E:$E,METALFISA!$A:$A,'Faltantes Fevereiro- Metalfisa'!X$3,METALFISA!$B:$B,'Faltantes Fevereiro- Metalfisa'!$A272)</f>
        <v>0</v>
      </c>
      <c r="Y272" s="31">
        <f>SUMIFS(METALFISA!$E:$E,METALFISA!$A:$A,'Faltantes Fevereiro- Metalfisa'!Y$3,METALFISA!$B:$B,'Faltantes Fevereiro- Metalfisa'!$A272)</f>
        <v>0</v>
      </c>
      <c r="Z272" s="31">
        <f>SUMIFS(METALFISA!$E:$E,METALFISA!$A:$A,'Faltantes Fevereiro- Metalfisa'!Z$3,METALFISA!$B:$B,'Faltantes Fevereiro- Metalfisa'!$A272)</f>
        <v>0</v>
      </c>
      <c r="AA272" s="31">
        <f>SUMIFS(METALFISA!$E:$E,METALFISA!$A:$A,'Faltantes Fevereiro- Metalfisa'!AA$3,METALFISA!$B:$B,'Faltantes Fevereiro- Metalfisa'!$A272)</f>
        <v>0</v>
      </c>
      <c r="AB272" s="31">
        <f>SUMIFS(METALFISA!$E:$E,METALFISA!$A:$A,'Faltantes Fevereiro- Metalfisa'!AB$3,METALFISA!$B:$B,'Faltantes Fevereiro- Metalfisa'!$A272)</f>
        <v>0</v>
      </c>
      <c r="AC272" s="31">
        <f>SUMIFS(METALFISA!$E:$E,METALFISA!$A:$A,'Faltantes Fevereiro- Metalfisa'!AC$3,METALFISA!$B:$B,'Faltantes Fevereiro- Metalfisa'!$A272)</f>
        <v>0</v>
      </c>
      <c r="AD272" s="31">
        <f>SUMIFS(METALFISA!$E:$E,METALFISA!$A:$A,'Faltantes Fevereiro- Metalfisa'!AD$3,METALFISA!$B:$B,'Faltantes Fevereiro- Metalfisa'!$A272)</f>
        <v>0</v>
      </c>
      <c r="AE272" s="31">
        <f>SUMIFS(METALFISA!$E:$E,METALFISA!$A:$A,'Faltantes Fevereiro- Metalfisa'!AE$3,METALFISA!$B:$B,'Faltantes Fevereiro- Metalfisa'!$A272)</f>
        <v>4</v>
      </c>
      <c r="AF272" s="31">
        <f>SUMIFS(METALFISA!$E:$E,METALFISA!$A:$A,'Faltantes Fevereiro- Metalfisa'!AF$3,METALFISA!$B:$B,'Faltantes Fevereiro- Metalfisa'!$A272)</f>
        <v>0</v>
      </c>
      <c r="AG272" s="31">
        <f>SUMIFS(METALFISA!$E:$E,METALFISA!$A:$A,'Faltantes Fevereiro- Metalfisa'!AG$3,METALFISA!$B:$B,'Faltantes Fevereiro- Metalfisa'!$A272)</f>
        <v>0</v>
      </c>
      <c r="AH272" s="31">
        <f>SUMIFS(METALFISA!$E:$E,METALFISA!$A:$A,'Faltantes Fevereiro- Metalfisa'!AH$3,METALFISA!$B:$B,'Faltantes Fevereiro- Metalfisa'!$A272)</f>
        <v>0</v>
      </c>
      <c r="AI272" s="31">
        <f>SUMIFS(METALFISA!$E:$E,METALFISA!$A:$A,'Faltantes Fevereiro- Metalfisa'!AI$3,METALFISA!$B:$B,'Faltantes Fevereiro- Metalfisa'!$A272)</f>
        <v>0</v>
      </c>
      <c r="AJ272" s="31">
        <f>SUMIFS(METALFISA!$E:$E,METALFISA!$A:$A,'Faltantes Fevereiro- Metalfisa'!AJ$3,METALFISA!$B:$B,'Faltantes Fevereiro- Metalfisa'!$A272)</f>
        <v>0</v>
      </c>
      <c r="AK272" s="31">
        <f>SUMIFS(METALFISA!$E:$E,METALFISA!$A:$A,'Faltantes Fevereiro- Metalfisa'!AK$3,METALFISA!$B:$B,'Faltantes Fevereiro- Metalfisa'!$A272)</f>
        <v>0</v>
      </c>
      <c r="AL272" s="31">
        <f>SUMIFS(METALFISA!$E:$E,METALFISA!$A:$A,'Faltantes Fevereiro- Metalfisa'!AL$3,METALFISA!$B:$B,'Faltantes Fevereiro- Metalfisa'!$A272)</f>
        <v>0</v>
      </c>
      <c r="AM272" s="31">
        <f>SUMIFS(METALFISA!$E:$E,METALFISA!$A:$A,'Faltantes Fevereiro- Metalfisa'!AM$3,METALFISA!$B:$B,'Faltantes Fevereiro- Metalfisa'!$A272)</f>
        <v>0</v>
      </c>
      <c r="AN272" s="31">
        <f>SUMIFS(METALFISA!$E:$E,METALFISA!$A:$A,'Faltantes Fevereiro- Metalfisa'!AN$3,METALFISA!$B:$B,'Faltantes Fevereiro- Metalfisa'!$A272)</f>
        <v>0</v>
      </c>
      <c r="AO272" s="31">
        <f>SUMIFS(METALFISA!$E:$E,METALFISA!$A:$A,'Faltantes Fevereiro- Metalfisa'!AO$3,METALFISA!$B:$B,'Faltantes Fevereiro- Metalfisa'!$A272)</f>
        <v>0</v>
      </c>
      <c r="AP272" s="31">
        <f>SUMIFS(METALFISA!$E:$E,METALFISA!$A:$A,'Faltantes Fevereiro- Metalfisa'!AP$3,METALFISA!$B:$B,'Faltantes Fevereiro- Metalfisa'!$A272)</f>
        <v>0</v>
      </c>
      <c r="AQ272" s="31"/>
      <c r="AR272" s="31">
        <f>SUMIFS(METALFISA!$E:$E,METALFISA!$A:$A,'Faltantes Fevereiro- Metalfisa'!AR$3,METALFISA!$B:$B,'Faltantes Fevereiro- Metalfisa'!$A272)</f>
        <v>0</v>
      </c>
      <c r="AS272" s="35">
        <f>SUMIFS(METALFISA!$E:$E,METALFISA!$A:$A,'Faltantes Fevereiro- Metalfisa'!AS$3,METALFISA!$B:$B,'Faltantes Fevereiro- Metalfisa'!$A272)</f>
        <v>0</v>
      </c>
      <c r="AU272" s="18">
        <v>0</v>
      </c>
      <c r="AV272" s="18">
        <v>0</v>
      </c>
      <c r="AW272" s="18">
        <v>0</v>
      </c>
      <c r="AX272" s="18">
        <v>0</v>
      </c>
      <c r="AY272" s="41">
        <v>0</v>
      </c>
      <c r="AZ272" s="31">
        <v>0</v>
      </c>
      <c r="BA272" s="31">
        <v>0</v>
      </c>
      <c r="BB272" s="31">
        <v>0</v>
      </c>
      <c r="BC272" s="31">
        <v>0</v>
      </c>
      <c r="BD272" s="31">
        <v>0</v>
      </c>
      <c r="BE272" s="31">
        <v>0</v>
      </c>
      <c r="BF272" s="31">
        <v>0</v>
      </c>
      <c r="BG272" s="31">
        <v>0</v>
      </c>
      <c r="BH272" s="31">
        <v>0</v>
      </c>
      <c r="BI272" s="31">
        <v>0</v>
      </c>
      <c r="BJ272" s="31">
        <v>0</v>
      </c>
      <c r="BK272" s="31">
        <v>0</v>
      </c>
      <c r="BL272" s="31">
        <v>0</v>
      </c>
      <c r="BM272" s="31">
        <v>0</v>
      </c>
      <c r="BN272" s="31">
        <v>0</v>
      </c>
      <c r="BO272" s="31">
        <v>2</v>
      </c>
      <c r="BP272" s="31">
        <v>0</v>
      </c>
      <c r="BQ272" s="31">
        <v>0</v>
      </c>
      <c r="BR272" s="31">
        <v>0</v>
      </c>
      <c r="BS272" s="31">
        <v>0</v>
      </c>
      <c r="BT272" s="31">
        <v>0</v>
      </c>
      <c r="BU272" s="31">
        <v>0</v>
      </c>
      <c r="BV272" s="31">
        <v>0</v>
      </c>
      <c r="BW272" s="31">
        <v>0</v>
      </c>
      <c r="BX272" s="31">
        <v>0</v>
      </c>
      <c r="BY272" s="31">
        <v>0</v>
      </c>
      <c r="BZ272" s="31">
        <v>0</v>
      </c>
      <c r="CA272" s="31">
        <v>0</v>
      </c>
      <c r="CB272" s="31">
        <v>0</v>
      </c>
      <c r="CC272" s="31">
        <v>0</v>
      </c>
      <c r="CD272" s="31">
        <v>0</v>
      </c>
      <c r="CE272" s="31">
        <v>0</v>
      </c>
      <c r="CF272" s="31">
        <v>0</v>
      </c>
      <c r="CG272" s="31">
        <v>0</v>
      </c>
      <c r="CH272" s="31">
        <v>0</v>
      </c>
      <c r="CI272" s="31">
        <v>0</v>
      </c>
      <c r="CJ272" s="31">
        <v>0</v>
      </c>
      <c r="CK272" s="31">
        <v>0</v>
      </c>
      <c r="CL272" s="35">
        <v>0</v>
      </c>
    </row>
    <row r="273" spans="1:90" ht="21" x14ac:dyDescent="0.15">
      <c r="A273" s="27" t="s">
        <v>1363</v>
      </c>
      <c r="B273" s="28" t="s">
        <v>1364</v>
      </c>
      <c r="C273" s="28">
        <v>0</v>
      </c>
      <c r="D273" s="28">
        <v>0</v>
      </c>
      <c r="E273" s="28">
        <v>0</v>
      </c>
      <c r="F273" s="28">
        <v>0</v>
      </c>
      <c r="G273" s="28">
        <v>12</v>
      </c>
      <c r="H273" s="28">
        <f>IFERROR(VLOOKUP(A273,[1]FALTANTES!$A:$AB,28,FALSE),"-")</f>
        <v>0</v>
      </c>
      <c r="I273" s="42">
        <f>IFERROR(VLOOKUP(A273,[1]FALTANTES!$A:$AC,29,FALSE),"-")</f>
        <v>0</v>
      </c>
      <c r="J273" s="29">
        <f>IFERROR(VLOOKUP(A273,[1]FALTANTES!$A:$AD,30,FALSE),"-")</f>
        <v>-12</v>
      </c>
      <c r="K273" s="30">
        <v>0</v>
      </c>
      <c r="L273" s="30">
        <f t="shared" si="5"/>
        <v>4</v>
      </c>
      <c r="M273" s="31">
        <f>SUMIFS(METALFISA!$E:$E,METALFISA!$A:$A,'Faltantes Fevereiro- Metalfisa'!M$3,METALFISA!$B:$B,'Faltantes Fevereiro- Metalfisa'!$A273)</f>
        <v>0</v>
      </c>
      <c r="N273" s="31">
        <f>SUMIFS(METALFISA!$E:$E,METALFISA!$A:$A,'Faltantes Fevereiro- Metalfisa'!N$3,METALFISA!$B:$B,'Faltantes Fevereiro- Metalfisa'!$A273)</f>
        <v>0</v>
      </c>
      <c r="O273" s="31">
        <f>SUMIFS(METALFISA!$E:$E,METALFISA!$A:$A,'Faltantes Fevereiro- Metalfisa'!O$3,METALFISA!$B:$B,'Faltantes Fevereiro- Metalfisa'!$A273)</f>
        <v>0</v>
      </c>
      <c r="P273" s="31">
        <f>SUMIFS(METALFISA!$E:$E,METALFISA!$A:$A,'Faltantes Fevereiro- Metalfisa'!P$3,METALFISA!$B:$B,'Faltantes Fevereiro- Metalfisa'!$A273)</f>
        <v>0</v>
      </c>
      <c r="Q273" s="31">
        <f>SUMIFS(METALFISA!$E:$E,METALFISA!$A:$A,'Faltantes Fevereiro- Metalfisa'!Q$3,METALFISA!$B:$B,'Faltantes Fevereiro- Metalfisa'!$A273)</f>
        <v>0</v>
      </c>
      <c r="R273" s="31">
        <f>SUMIFS(METALFISA!$E:$E,METALFISA!$A:$A,'Faltantes Fevereiro- Metalfisa'!R$3,METALFISA!$B:$B,'Faltantes Fevereiro- Metalfisa'!$A273)</f>
        <v>0</v>
      </c>
      <c r="S273" s="31">
        <f>SUMIFS(METALFISA!$E:$E,METALFISA!$A:$A,'Faltantes Fevereiro- Metalfisa'!S$3,METALFISA!$B:$B,'Faltantes Fevereiro- Metalfisa'!$A273)</f>
        <v>0</v>
      </c>
      <c r="T273" s="31">
        <f>SUMIFS(METALFISA!$E:$E,METALFISA!$A:$A,'Faltantes Fevereiro- Metalfisa'!T$3,METALFISA!$B:$B,'Faltantes Fevereiro- Metalfisa'!$A273)</f>
        <v>0</v>
      </c>
      <c r="U273" s="31">
        <f>SUMIFS(METALFISA!$E:$E,METALFISA!$A:$A,'Faltantes Fevereiro- Metalfisa'!U$3,METALFISA!$B:$B,'Faltantes Fevereiro- Metalfisa'!$A273)</f>
        <v>0</v>
      </c>
      <c r="V273" s="31">
        <f>SUMIFS(METALFISA!$E:$E,METALFISA!$A:$A,'Faltantes Fevereiro- Metalfisa'!V$3,METALFISA!$B:$B,'Faltantes Fevereiro- Metalfisa'!$A273)</f>
        <v>0</v>
      </c>
      <c r="W273" s="31">
        <f>SUMIFS(METALFISA!$E:$E,METALFISA!$A:$A,'Faltantes Fevereiro- Metalfisa'!W$3,METALFISA!$B:$B,'Faltantes Fevereiro- Metalfisa'!$A273)</f>
        <v>0</v>
      </c>
      <c r="X273" s="31">
        <f>SUMIFS(METALFISA!$E:$E,METALFISA!$A:$A,'Faltantes Fevereiro- Metalfisa'!X$3,METALFISA!$B:$B,'Faltantes Fevereiro- Metalfisa'!$A273)</f>
        <v>0</v>
      </c>
      <c r="Y273" s="31">
        <f>SUMIFS(METALFISA!$E:$E,METALFISA!$A:$A,'Faltantes Fevereiro- Metalfisa'!Y$3,METALFISA!$B:$B,'Faltantes Fevereiro- Metalfisa'!$A273)</f>
        <v>0</v>
      </c>
      <c r="Z273" s="31">
        <f>SUMIFS(METALFISA!$E:$E,METALFISA!$A:$A,'Faltantes Fevereiro- Metalfisa'!Z$3,METALFISA!$B:$B,'Faltantes Fevereiro- Metalfisa'!$A273)</f>
        <v>0</v>
      </c>
      <c r="AA273" s="31">
        <f>SUMIFS(METALFISA!$E:$E,METALFISA!$A:$A,'Faltantes Fevereiro- Metalfisa'!AA$3,METALFISA!$B:$B,'Faltantes Fevereiro- Metalfisa'!$A273)</f>
        <v>0</v>
      </c>
      <c r="AB273" s="31">
        <f>SUMIFS(METALFISA!$E:$E,METALFISA!$A:$A,'Faltantes Fevereiro- Metalfisa'!AB$3,METALFISA!$B:$B,'Faltantes Fevereiro- Metalfisa'!$A273)</f>
        <v>0</v>
      </c>
      <c r="AC273" s="31">
        <f>SUMIFS(METALFISA!$E:$E,METALFISA!$A:$A,'Faltantes Fevereiro- Metalfisa'!AC$3,METALFISA!$B:$B,'Faltantes Fevereiro- Metalfisa'!$A273)</f>
        <v>0</v>
      </c>
      <c r="AD273" s="31">
        <f>SUMIFS(METALFISA!$E:$E,METALFISA!$A:$A,'Faltantes Fevereiro- Metalfisa'!AD$3,METALFISA!$B:$B,'Faltantes Fevereiro- Metalfisa'!$A273)</f>
        <v>0</v>
      </c>
      <c r="AE273" s="31">
        <f>SUMIFS(METALFISA!$E:$E,METALFISA!$A:$A,'Faltantes Fevereiro- Metalfisa'!AE$3,METALFISA!$B:$B,'Faltantes Fevereiro- Metalfisa'!$A273)</f>
        <v>4</v>
      </c>
      <c r="AF273" s="31">
        <f>SUMIFS(METALFISA!$E:$E,METALFISA!$A:$A,'Faltantes Fevereiro- Metalfisa'!AF$3,METALFISA!$B:$B,'Faltantes Fevereiro- Metalfisa'!$A273)</f>
        <v>0</v>
      </c>
      <c r="AG273" s="31">
        <f>SUMIFS(METALFISA!$E:$E,METALFISA!$A:$A,'Faltantes Fevereiro- Metalfisa'!AG$3,METALFISA!$B:$B,'Faltantes Fevereiro- Metalfisa'!$A273)</f>
        <v>0</v>
      </c>
      <c r="AH273" s="31">
        <f>SUMIFS(METALFISA!$E:$E,METALFISA!$A:$A,'Faltantes Fevereiro- Metalfisa'!AH$3,METALFISA!$B:$B,'Faltantes Fevereiro- Metalfisa'!$A273)</f>
        <v>0</v>
      </c>
      <c r="AI273" s="31">
        <f>SUMIFS(METALFISA!$E:$E,METALFISA!$A:$A,'Faltantes Fevereiro- Metalfisa'!AI$3,METALFISA!$B:$B,'Faltantes Fevereiro- Metalfisa'!$A273)</f>
        <v>0</v>
      </c>
      <c r="AJ273" s="31">
        <f>SUMIFS(METALFISA!$E:$E,METALFISA!$A:$A,'Faltantes Fevereiro- Metalfisa'!AJ$3,METALFISA!$B:$B,'Faltantes Fevereiro- Metalfisa'!$A273)</f>
        <v>0</v>
      </c>
      <c r="AK273" s="31">
        <f>SUMIFS(METALFISA!$E:$E,METALFISA!$A:$A,'Faltantes Fevereiro- Metalfisa'!AK$3,METALFISA!$B:$B,'Faltantes Fevereiro- Metalfisa'!$A273)</f>
        <v>0</v>
      </c>
      <c r="AL273" s="31">
        <f>SUMIFS(METALFISA!$E:$E,METALFISA!$A:$A,'Faltantes Fevereiro- Metalfisa'!AL$3,METALFISA!$B:$B,'Faltantes Fevereiro- Metalfisa'!$A273)</f>
        <v>0</v>
      </c>
      <c r="AM273" s="31">
        <f>SUMIFS(METALFISA!$E:$E,METALFISA!$A:$A,'Faltantes Fevereiro- Metalfisa'!AM$3,METALFISA!$B:$B,'Faltantes Fevereiro- Metalfisa'!$A273)</f>
        <v>0</v>
      </c>
      <c r="AN273" s="31">
        <f>SUMIFS(METALFISA!$E:$E,METALFISA!$A:$A,'Faltantes Fevereiro- Metalfisa'!AN$3,METALFISA!$B:$B,'Faltantes Fevereiro- Metalfisa'!$A273)</f>
        <v>0</v>
      </c>
      <c r="AO273" s="31">
        <f>SUMIFS(METALFISA!$E:$E,METALFISA!$A:$A,'Faltantes Fevereiro- Metalfisa'!AO$3,METALFISA!$B:$B,'Faltantes Fevereiro- Metalfisa'!$A273)</f>
        <v>0</v>
      </c>
      <c r="AP273" s="31">
        <f>SUMIFS(METALFISA!$E:$E,METALFISA!$A:$A,'Faltantes Fevereiro- Metalfisa'!AP$3,METALFISA!$B:$B,'Faltantes Fevereiro- Metalfisa'!$A273)</f>
        <v>0</v>
      </c>
      <c r="AQ273" s="31"/>
      <c r="AR273" s="31">
        <f>SUMIFS(METALFISA!$E:$E,METALFISA!$A:$A,'Faltantes Fevereiro- Metalfisa'!AR$3,METALFISA!$B:$B,'Faltantes Fevereiro- Metalfisa'!$A273)</f>
        <v>0</v>
      </c>
      <c r="AS273" s="35">
        <f>SUMIFS(METALFISA!$E:$E,METALFISA!$A:$A,'Faltantes Fevereiro- Metalfisa'!AS$3,METALFISA!$B:$B,'Faltantes Fevereiro- Metalfisa'!$A273)</f>
        <v>0</v>
      </c>
      <c r="AU273" s="18">
        <v>0</v>
      </c>
      <c r="AV273" s="18">
        <v>0</v>
      </c>
      <c r="AW273" s="18">
        <v>0</v>
      </c>
      <c r="AX273" s="18">
        <v>0</v>
      </c>
      <c r="AY273" s="41">
        <v>0</v>
      </c>
      <c r="AZ273" s="31">
        <v>0</v>
      </c>
      <c r="BA273" s="31">
        <v>0</v>
      </c>
      <c r="BB273" s="31">
        <v>0</v>
      </c>
      <c r="BC273" s="31">
        <v>0</v>
      </c>
      <c r="BD273" s="31">
        <v>0</v>
      </c>
      <c r="BE273" s="31">
        <v>0</v>
      </c>
      <c r="BF273" s="31">
        <v>0</v>
      </c>
      <c r="BG273" s="31">
        <v>0</v>
      </c>
      <c r="BH273" s="31">
        <v>0</v>
      </c>
      <c r="BI273" s="31">
        <v>0</v>
      </c>
      <c r="BJ273" s="31">
        <v>0</v>
      </c>
      <c r="BK273" s="31">
        <v>0</v>
      </c>
      <c r="BL273" s="31">
        <v>0</v>
      </c>
      <c r="BM273" s="31">
        <v>0</v>
      </c>
      <c r="BN273" s="31">
        <v>0</v>
      </c>
      <c r="BO273" s="31">
        <v>2</v>
      </c>
      <c r="BP273" s="31">
        <v>0</v>
      </c>
      <c r="BQ273" s="31">
        <v>0</v>
      </c>
      <c r="BR273" s="31">
        <v>0</v>
      </c>
      <c r="BS273" s="31">
        <v>0</v>
      </c>
      <c r="BT273" s="31">
        <v>0</v>
      </c>
      <c r="BU273" s="31">
        <v>0</v>
      </c>
      <c r="BV273" s="31">
        <v>0</v>
      </c>
      <c r="BW273" s="31">
        <v>0</v>
      </c>
      <c r="BX273" s="31">
        <v>0</v>
      </c>
      <c r="BY273" s="31">
        <v>0</v>
      </c>
      <c r="BZ273" s="31">
        <v>0</v>
      </c>
      <c r="CA273" s="31">
        <v>0</v>
      </c>
      <c r="CB273" s="31">
        <v>0</v>
      </c>
      <c r="CC273" s="31">
        <v>0</v>
      </c>
      <c r="CD273" s="31">
        <v>0</v>
      </c>
      <c r="CE273" s="31">
        <v>0</v>
      </c>
      <c r="CF273" s="31">
        <v>0</v>
      </c>
      <c r="CG273" s="31">
        <v>0</v>
      </c>
      <c r="CH273" s="31">
        <v>0</v>
      </c>
      <c r="CI273" s="31">
        <v>0</v>
      </c>
      <c r="CJ273" s="31">
        <v>0</v>
      </c>
      <c r="CK273" s="31">
        <v>0</v>
      </c>
      <c r="CL273" s="35">
        <v>0</v>
      </c>
    </row>
    <row r="274" spans="1:90" ht="21" x14ac:dyDescent="0.15">
      <c r="A274" s="27" t="s">
        <v>1371</v>
      </c>
      <c r="B274" s="28" t="s">
        <v>1372</v>
      </c>
      <c r="C274" s="28">
        <v>0</v>
      </c>
      <c r="D274" s="28">
        <v>0</v>
      </c>
      <c r="E274" s="28">
        <v>0</v>
      </c>
      <c r="F274" s="28">
        <v>0</v>
      </c>
      <c r="G274" s="28">
        <v>12</v>
      </c>
      <c r="H274" s="28">
        <f>IFERROR(VLOOKUP(A274,[1]FALTANTES!$A:$AB,28,FALSE),"-")</f>
        <v>0</v>
      </c>
      <c r="I274" s="42">
        <f>IFERROR(VLOOKUP(A274,[1]FALTANTES!$A:$AC,29,FALSE),"-")</f>
        <v>0</v>
      </c>
      <c r="J274" s="29">
        <f>IFERROR(VLOOKUP(A274,[1]FALTANTES!$A:$AD,30,FALSE),"-")</f>
        <v>-12</v>
      </c>
      <c r="K274" s="30">
        <v>0</v>
      </c>
      <c r="L274" s="30">
        <f t="shared" si="5"/>
        <v>4</v>
      </c>
      <c r="M274" s="31">
        <f>SUMIFS(METALFISA!$E:$E,METALFISA!$A:$A,'Faltantes Fevereiro- Metalfisa'!M$3,METALFISA!$B:$B,'Faltantes Fevereiro- Metalfisa'!$A274)</f>
        <v>0</v>
      </c>
      <c r="N274" s="31">
        <f>SUMIFS(METALFISA!$E:$E,METALFISA!$A:$A,'Faltantes Fevereiro- Metalfisa'!N$3,METALFISA!$B:$B,'Faltantes Fevereiro- Metalfisa'!$A274)</f>
        <v>0</v>
      </c>
      <c r="O274" s="31">
        <f>SUMIFS(METALFISA!$E:$E,METALFISA!$A:$A,'Faltantes Fevereiro- Metalfisa'!O$3,METALFISA!$B:$B,'Faltantes Fevereiro- Metalfisa'!$A274)</f>
        <v>0</v>
      </c>
      <c r="P274" s="31">
        <f>SUMIFS(METALFISA!$E:$E,METALFISA!$A:$A,'Faltantes Fevereiro- Metalfisa'!P$3,METALFISA!$B:$B,'Faltantes Fevereiro- Metalfisa'!$A274)</f>
        <v>0</v>
      </c>
      <c r="Q274" s="31">
        <f>SUMIFS(METALFISA!$E:$E,METALFISA!$A:$A,'Faltantes Fevereiro- Metalfisa'!Q$3,METALFISA!$B:$B,'Faltantes Fevereiro- Metalfisa'!$A274)</f>
        <v>0</v>
      </c>
      <c r="R274" s="31">
        <f>SUMIFS(METALFISA!$E:$E,METALFISA!$A:$A,'Faltantes Fevereiro- Metalfisa'!R$3,METALFISA!$B:$B,'Faltantes Fevereiro- Metalfisa'!$A274)</f>
        <v>0</v>
      </c>
      <c r="S274" s="31">
        <f>SUMIFS(METALFISA!$E:$E,METALFISA!$A:$A,'Faltantes Fevereiro- Metalfisa'!S$3,METALFISA!$B:$B,'Faltantes Fevereiro- Metalfisa'!$A274)</f>
        <v>0</v>
      </c>
      <c r="T274" s="31">
        <f>SUMIFS(METALFISA!$E:$E,METALFISA!$A:$A,'Faltantes Fevereiro- Metalfisa'!T$3,METALFISA!$B:$B,'Faltantes Fevereiro- Metalfisa'!$A274)</f>
        <v>0</v>
      </c>
      <c r="U274" s="31">
        <f>SUMIFS(METALFISA!$E:$E,METALFISA!$A:$A,'Faltantes Fevereiro- Metalfisa'!U$3,METALFISA!$B:$B,'Faltantes Fevereiro- Metalfisa'!$A274)</f>
        <v>0</v>
      </c>
      <c r="V274" s="31">
        <f>SUMIFS(METALFISA!$E:$E,METALFISA!$A:$A,'Faltantes Fevereiro- Metalfisa'!V$3,METALFISA!$B:$B,'Faltantes Fevereiro- Metalfisa'!$A274)</f>
        <v>0</v>
      </c>
      <c r="W274" s="31">
        <f>SUMIFS(METALFISA!$E:$E,METALFISA!$A:$A,'Faltantes Fevereiro- Metalfisa'!W$3,METALFISA!$B:$B,'Faltantes Fevereiro- Metalfisa'!$A274)</f>
        <v>0</v>
      </c>
      <c r="X274" s="31">
        <f>SUMIFS(METALFISA!$E:$E,METALFISA!$A:$A,'Faltantes Fevereiro- Metalfisa'!X$3,METALFISA!$B:$B,'Faltantes Fevereiro- Metalfisa'!$A274)</f>
        <v>0</v>
      </c>
      <c r="Y274" s="31">
        <f>SUMIFS(METALFISA!$E:$E,METALFISA!$A:$A,'Faltantes Fevereiro- Metalfisa'!Y$3,METALFISA!$B:$B,'Faltantes Fevereiro- Metalfisa'!$A274)</f>
        <v>0</v>
      </c>
      <c r="Z274" s="31">
        <f>SUMIFS(METALFISA!$E:$E,METALFISA!$A:$A,'Faltantes Fevereiro- Metalfisa'!Z$3,METALFISA!$B:$B,'Faltantes Fevereiro- Metalfisa'!$A274)</f>
        <v>0</v>
      </c>
      <c r="AA274" s="31">
        <f>SUMIFS(METALFISA!$E:$E,METALFISA!$A:$A,'Faltantes Fevereiro- Metalfisa'!AA$3,METALFISA!$B:$B,'Faltantes Fevereiro- Metalfisa'!$A274)</f>
        <v>0</v>
      </c>
      <c r="AB274" s="31">
        <f>SUMIFS(METALFISA!$E:$E,METALFISA!$A:$A,'Faltantes Fevereiro- Metalfisa'!AB$3,METALFISA!$B:$B,'Faltantes Fevereiro- Metalfisa'!$A274)</f>
        <v>0</v>
      </c>
      <c r="AC274" s="31">
        <f>SUMIFS(METALFISA!$E:$E,METALFISA!$A:$A,'Faltantes Fevereiro- Metalfisa'!AC$3,METALFISA!$B:$B,'Faltantes Fevereiro- Metalfisa'!$A274)</f>
        <v>0</v>
      </c>
      <c r="AD274" s="31">
        <f>SUMIFS(METALFISA!$E:$E,METALFISA!$A:$A,'Faltantes Fevereiro- Metalfisa'!AD$3,METALFISA!$B:$B,'Faltantes Fevereiro- Metalfisa'!$A274)</f>
        <v>0</v>
      </c>
      <c r="AE274" s="31">
        <f>SUMIFS(METALFISA!$E:$E,METALFISA!$A:$A,'Faltantes Fevereiro- Metalfisa'!AE$3,METALFISA!$B:$B,'Faltantes Fevereiro- Metalfisa'!$A274)</f>
        <v>4</v>
      </c>
      <c r="AF274" s="31">
        <f>SUMIFS(METALFISA!$E:$E,METALFISA!$A:$A,'Faltantes Fevereiro- Metalfisa'!AF$3,METALFISA!$B:$B,'Faltantes Fevereiro- Metalfisa'!$A274)</f>
        <v>0</v>
      </c>
      <c r="AG274" s="31">
        <f>SUMIFS(METALFISA!$E:$E,METALFISA!$A:$A,'Faltantes Fevereiro- Metalfisa'!AG$3,METALFISA!$B:$B,'Faltantes Fevereiro- Metalfisa'!$A274)</f>
        <v>0</v>
      </c>
      <c r="AH274" s="31">
        <f>SUMIFS(METALFISA!$E:$E,METALFISA!$A:$A,'Faltantes Fevereiro- Metalfisa'!AH$3,METALFISA!$B:$B,'Faltantes Fevereiro- Metalfisa'!$A274)</f>
        <v>0</v>
      </c>
      <c r="AI274" s="31">
        <f>SUMIFS(METALFISA!$E:$E,METALFISA!$A:$A,'Faltantes Fevereiro- Metalfisa'!AI$3,METALFISA!$B:$B,'Faltantes Fevereiro- Metalfisa'!$A274)</f>
        <v>0</v>
      </c>
      <c r="AJ274" s="31">
        <f>SUMIFS(METALFISA!$E:$E,METALFISA!$A:$A,'Faltantes Fevereiro- Metalfisa'!AJ$3,METALFISA!$B:$B,'Faltantes Fevereiro- Metalfisa'!$A274)</f>
        <v>0</v>
      </c>
      <c r="AK274" s="31">
        <f>SUMIFS(METALFISA!$E:$E,METALFISA!$A:$A,'Faltantes Fevereiro- Metalfisa'!AK$3,METALFISA!$B:$B,'Faltantes Fevereiro- Metalfisa'!$A274)</f>
        <v>0</v>
      </c>
      <c r="AL274" s="31">
        <f>SUMIFS(METALFISA!$E:$E,METALFISA!$A:$A,'Faltantes Fevereiro- Metalfisa'!AL$3,METALFISA!$B:$B,'Faltantes Fevereiro- Metalfisa'!$A274)</f>
        <v>0</v>
      </c>
      <c r="AM274" s="31">
        <f>SUMIFS(METALFISA!$E:$E,METALFISA!$A:$A,'Faltantes Fevereiro- Metalfisa'!AM$3,METALFISA!$B:$B,'Faltantes Fevereiro- Metalfisa'!$A274)</f>
        <v>0</v>
      </c>
      <c r="AN274" s="31">
        <f>SUMIFS(METALFISA!$E:$E,METALFISA!$A:$A,'Faltantes Fevereiro- Metalfisa'!AN$3,METALFISA!$B:$B,'Faltantes Fevereiro- Metalfisa'!$A274)</f>
        <v>0</v>
      </c>
      <c r="AO274" s="31">
        <f>SUMIFS(METALFISA!$E:$E,METALFISA!$A:$A,'Faltantes Fevereiro- Metalfisa'!AO$3,METALFISA!$B:$B,'Faltantes Fevereiro- Metalfisa'!$A274)</f>
        <v>0</v>
      </c>
      <c r="AP274" s="31">
        <f>SUMIFS(METALFISA!$E:$E,METALFISA!$A:$A,'Faltantes Fevereiro- Metalfisa'!AP$3,METALFISA!$B:$B,'Faltantes Fevereiro- Metalfisa'!$A274)</f>
        <v>0</v>
      </c>
      <c r="AQ274" s="31"/>
      <c r="AR274" s="31">
        <f>SUMIFS(METALFISA!$E:$E,METALFISA!$A:$A,'Faltantes Fevereiro- Metalfisa'!AR$3,METALFISA!$B:$B,'Faltantes Fevereiro- Metalfisa'!$A274)</f>
        <v>0</v>
      </c>
      <c r="AS274" s="35">
        <f>SUMIFS(METALFISA!$E:$E,METALFISA!$A:$A,'Faltantes Fevereiro- Metalfisa'!AS$3,METALFISA!$B:$B,'Faltantes Fevereiro- Metalfisa'!$A274)</f>
        <v>0</v>
      </c>
      <c r="AU274" s="18">
        <v>0</v>
      </c>
      <c r="AV274" s="18">
        <v>0</v>
      </c>
      <c r="AW274" s="18">
        <v>0</v>
      </c>
      <c r="AX274" s="18">
        <v>0</v>
      </c>
      <c r="AY274" s="41">
        <v>0</v>
      </c>
      <c r="AZ274" s="31">
        <v>0</v>
      </c>
      <c r="BA274" s="31">
        <v>0</v>
      </c>
      <c r="BB274" s="31">
        <v>0</v>
      </c>
      <c r="BC274" s="31">
        <v>0</v>
      </c>
      <c r="BD274" s="31">
        <v>0</v>
      </c>
      <c r="BE274" s="31">
        <v>0</v>
      </c>
      <c r="BF274" s="31">
        <v>0</v>
      </c>
      <c r="BG274" s="31">
        <v>0</v>
      </c>
      <c r="BH274" s="31">
        <v>0</v>
      </c>
      <c r="BI274" s="31">
        <v>0</v>
      </c>
      <c r="BJ274" s="31">
        <v>0</v>
      </c>
      <c r="BK274" s="31">
        <v>0</v>
      </c>
      <c r="BL274" s="31">
        <v>0</v>
      </c>
      <c r="BM274" s="31">
        <v>0</v>
      </c>
      <c r="BN274" s="31">
        <v>0</v>
      </c>
      <c r="BO274" s="31">
        <v>2</v>
      </c>
      <c r="BP274" s="31">
        <v>0</v>
      </c>
      <c r="BQ274" s="31">
        <v>0</v>
      </c>
      <c r="BR274" s="31">
        <v>0</v>
      </c>
      <c r="BS274" s="31">
        <v>0</v>
      </c>
      <c r="BT274" s="31">
        <v>0</v>
      </c>
      <c r="BU274" s="31">
        <v>0</v>
      </c>
      <c r="BV274" s="31">
        <v>0</v>
      </c>
      <c r="BW274" s="31">
        <v>0</v>
      </c>
      <c r="BX274" s="31">
        <v>0</v>
      </c>
      <c r="BY274" s="31">
        <v>0</v>
      </c>
      <c r="BZ274" s="31">
        <v>0</v>
      </c>
      <c r="CA274" s="31">
        <v>0</v>
      </c>
      <c r="CB274" s="31">
        <v>0</v>
      </c>
      <c r="CC274" s="31">
        <v>0</v>
      </c>
      <c r="CD274" s="31">
        <v>0</v>
      </c>
      <c r="CE274" s="31">
        <v>0</v>
      </c>
      <c r="CF274" s="31">
        <v>0</v>
      </c>
      <c r="CG274" s="31">
        <v>0</v>
      </c>
      <c r="CH274" s="31">
        <v>0</v>
      </c>
      <c r="CI274" s="31">
        <v>0</v>
      </c>
      <c r="CJ274" s="31">
        <v>0</v>
      </c>
      <c r="CK274" s="31">
        <v>0</v>
      </c>
      <c r="CL274" s="35">
        <v>0</v>
      </c>
    </row>
    <row r="275" spans="1:90" ht="21" x14ac:dyDescent="0.15">
      <c r="A275" s="27" t="s">
        <v>1377</v>
      </c>
      <c r="B275" s="28" t="s">
        <v>1378</v>
      </c>
      <c r="C275" s="28">
        <v>0</v>
      </c>
      <c r="D275" s="28">
        <v>0</v>
      </c>
      <c r="E275" s="28">
        <v>0</v>
      </c>
      <c r="F275" s="28">
        <v>0</v>
      </c>
      <c r="G275" s="28">
        <v>6</v>
      </c>
      <c r="H275" s="28">
        <f>IFERROR(VLOOKUP(A275,[1]FALTANTES!$A:$AB,28,FALSE),"-")</f>
        <v>0</v>
      </c>
      <c r="I275" s="42">
        <f>IFERROR(VLOOKUP(A275,[1]FALTANTES!$A:$AC,29,FALSE),"-")</f>
        <v>3</v>
      </c>
      <c r="J275" s="29">
        <f>IFERROR(VLOOKUP(A275,[1]FALTANTES!$A:$AD,30,FALSE),"-")</f>
        <v>-3</v>
      </c>
      <c r="K275" s="30"/>
      <c r="L275" s="30">
        <f t="shared" si="5"/>
        <v>2</v>
      </c>
      <c r="M275" s="31">
        <f>SUMIFS(METALFISA!$E:$E,METALFISA!$A:$A,'Faltantes Fevereiro- Metalfisa'!M$3,METALFISA!$B:$B,'Faltantes Fevereiro- Metalfisa'!$A275)</f>
        <v>0</v>
      </c>
      <c r="N275" s="31">
        <f>SUMIFS(METALFISA!$E:$E,METALFISA!$A:$A,'Faltantes Fevereiro- Metalfisa'!N$3,METALFISA!$B:$B,'Faltantes Fevereiro- Metalfisa'!$A275)</f>
        <v>0</v>
      </c>
      <c r="O275" s="31">
        <f>SUMIFS(METALFISA!$E:$E,METALFISA!$A:$A,'Faltantes Fevereiro- Metalfisa'!O$3,METALFISA!$B:$B,'Faltantes Fevereiro- Metalfisa'!$A275)</f>
        <v>0</v>
      </c>
      <c r="P275" s="31">
        <f>SUMIFS(METALFISA!$E:$E,METALFISA!$A:$A,'Faltantes Fevereiro- Metalfisa'!P$3,METALFISA!$B:$B,'Faltantes Fevereiro- Metalfisa'!$A275)</f>
        <v>0</v>
      </c>
      <c r="Q275" s="31">
        <f>SUMIFS(METALFISA!$E:$E,METALFISA!$A:$A,'Faltantes Fevereiro- Metalfisa'!Q$3,METALFISA!$B:$B,'Faltantes Fevereiro- Metalfisa'!$A275)</f>
        <v>0</v>
      </c>
      <c r="R275" s="31">
        <f>SUMIFS(METALFISA!$E:$E,METALFISA!$A:$A,'Faltantes Fevereiro- Metalfisa'!R$3,METALFISA!$B:$B,'Faltantes Fevereiro- Metalfisa'!$A275)</f>
        <v>0</v>
      </c>
      <c r="S275" s="31">
        <f>SUMIFS(METALFISA!$E:$E,METALFISA!$A:$A,'Faltantes Fevereiro- Metalfisa'!S$3,METALFISA!$B:$B,'Faltantes Fevereiro- Metalfisa'!$A275)</f>
        <v>0</v>
      </c>
      <c r="T275" s="31">
        <f>SUMIFS(METALFISA!$E:$E,METALFISA!$A:$A,'Faltantes Fevereiro- Metalfisa'!T$3,METALFISA!$B:$B,'Faltantes Fevereiro- Metalfisa'!$A275)</f>
        <v>0</v>
      </c>
      <c r="U275" s="31">
        <f>SUMIFS(METALFISA!$E:$E,METALFISA!$A:$A,'Faltantes Fevereiro- Metalfisa'!U$3,METALFISA!$B:$B,'Faltantes Fevereiro- Metalfisa'!$A275)</f>
        <v>0</v>
      </c>
      <c r="V275" s="31">
        <f>SUMIFS(METALFISA!$E:$E,METALFISA!$A:$A,'Faltantes Fevereiro- Metalfisa'!V$3,METALFISA!$B:$B,'Faltantes Fevereiro- Metalfisa'!$A275)</f>
        <v>0</v>
      </c>
      <c r="W275" s="31">
        <f>SUMIFS(METALFISA!$E:$E,METALFISA!$A:$A,'Faltantes Fevereiro- Metalfisa'!W$3,METALFISA!$B:$B,'Faltantes Fevereiro- Metalfisa'!$A275)</f>
        <v>0</v>
      </c>
      <c r="X275" s="31">
        <f>SUMIFS(METALFISA!$E:$E,METALFISA!$A:$A,'Faltantes Fevereiro- Metalfisa'!X$3,METALFISA!$B:$B,'Faltantes Fevereiro- Metalfisa'!$A275)</f>
        <v>0</v>
      </c>
      <c r="Y275" s="31">
        <f>SUMIFS(METALFISA!$E:$E,METALFISA!$A:$A,'Faltantes Fevereiro- Metalfisa'!Y$3,METALFISA!$B:$B,'Faltantes Fevereiro- Metalfisa'!$A275)</f>
        <v>0</v>
      </c>
      <c r="Z275" s="31">
        <f>SUMIFS(METALFISA!$E:$E,METALFISA!$A:$A,'Faltantes Fevereiro- Metalfisa'!Z$3,METALFISA!$B:$B,'Faltantes Fevereiro- Metalfisa'!$A275)</f>
        <v>0</v>
      </c>
      <c r="AA275" s="31">
        <f>SUMIFS(METALFISA!$E:$E,METALFISA!$A:$A,'Faltantes Fevereiro- Metalfisa'!AA$3,METALFISA!$B:$B,'Faltantes Fevereiro- Metalfisa'!$A275)</f>
        <v>0</v>
      </c>
      <c r="AB275" s="31">
        <f>SUMIFS(METALFISA!$E:$E,METALFISA!$A:$A,'Faltantes Fevereiro- Metalfisa'!AB$3,METALFISA!$B:$B,'Faltantes Fevereiro- Metalfisa'!$A275)</f>
        <v>0</v>
      </c>
      <c r="AC275" s="31">
        <f>SUMIFS(METALFISA!$E:$E,METALFISA!$A:$A,'Faltantes Fevereiro- Metalfisa'!AC$3,METALFISA!$B:$B,'Faltantes Fevereiro- Metalfisa'!$A275)</f>
        <v>0</v>
      </c>
      <c r="AD275" s="31">
        <f>SUMIFS(METALFISA!$E:$E,METALFISA!$A:$A,'Faltantes Fevereiro- Metalfisa'!AD$3,METALFISA!$B:$B,'Faltantes Fevereiro- Metalfisa'!$A275)</f>
        <v>0</v>
      </c>
      <c r="AE275" s="31">
        <f>SUMIFS(METALFISA!$E:$E,METALFISA!$A:$A,'Faltantes Fevereiro- Metalfisa'!AE$3,METALFISA!$B:$B,'Faltantes Fevereiro- Metalfisa'!$A275)</f>
        <v>2</v>
      </c>
      <c r="AF275" s="31">
        <f>SUMIFS(METALFISA!$E:$E,METALFISA!$A:$A,'Faltantes Fevereiro- Metalfisa'!AF$3,METALFISA!$B:$B,'Faltantes Fevereiro- Metalfisa'!$A275)</f>
        <v>0</v>
      </c>
      <c r="AG275" s="31">
        <f>SUMIFS(METALFISA!$E:$E,METALFISA!$A:$A,'Faltantes Fevereiro- Metalfisa'!AG$3,METALFISA!$B:$B,'Faltantes Fevereiro- Metalfisa'!$A275)</f>
        <v>0</v>
      </c>
      <c r="AH275" s="31">
        <f>SUMIFS(METALFISA!$E:$E,METALFISA!$A:$A,'Faltantes Fevereiro- Metalfisa'!AH$3,METALFISA!$B:$B,'Faltantes Fevereiro- Metalfisa'!$A275)</f>
        <v>0</v>
      </c>
      <c r="AI275" s="31">
        <f>SUMIFS(METALFISA!$E:$E,METALFISA!$A:$A,'Faltantes Fevereiro- Metalfisa'!AI$3,METALFISA!$B:$B,'Faltantes Fevereiro- Metalfisa'!$A275)</f>
        <v>0</v>
      </c>
      <c r="AJ275" s="31">
        <f>SUMIFS(METALFISA!$E:$E,METALFISA!$A:$A,'Faltantes Fevereiro- Metalfisa'!AJ$3,METALFISA!$B:$B,'Faltantes Fevereiro- Metalfisa'!$A275)</f>
        <v>0</v>
      </c>
      <c r="AK275" s="31">
        <f>SUMIFS(METALFISA!$E:$E,METALFISA!$A:$A,'Faltantes Fevereiro- Metalfisa'!AK$3,METALFISA!$B:$B,'Faltantes Fevereiro- Metalfisa'!$A275)</f>
        <v>0</v>
      </c>
      <c r="AL275" s="31">
        <f>SUMIFS(METALFISA!$E:$E,METALFISA!$A:$A,'Faltantes Fevereiro- Metalfisa'!AL$3,METALFISA!$B:$B,'Faltantes Fevereiro- Metalfisa'!$A275)</f>
        <v>0</v>
      </c>
      <c r="AM275" s="31">
        <f>SUMIFS(METALFISA!$E:$E,METALFISA!$A:$A,'Faltantes Fevereiro- Metalfisa'!AM$3,METALFISA!$B:$B,'Faltantes Fevereiro- Metalfisa'!$A275)</f>
        <v>0</v>
      </c>
      <c r="AN275" s="31">
        <f>SUMIFS(METALFISA!$E:$E,METALFISA!$A:$A,'Faltantes Fevereiro- Metalfisa'!AN$3,METALFISA!$B:$B,'Faltantes Fevereiro- Metalfisa'!$A275)</f>
        <v>0</v>
      </c>
      <c r="AO275" s="31">
        <f>SUMIFS(METALFISA!$E:$E,METALFISA!$A:$A,'Faltantes Fevereiro- Metalfisa'!AO$3,METALFISA!$B:$B,'Faltantes Fevereiro- Metalfisa'!$A275)</f>
        <v>0</v>
      </c>
      <c r="AP275" s="31">
        <f>SUMIFS(METALFISA!$E:$E,METALFISA!$A:$A,'Faltantes Fevereiro- Metalfisa'!AP$3,METALFISA!$B:$B,'Faltantes Fevereiro- Metalfisa'!$A275)</f>
        <v>0</v>
      </c>
      <c r="AQ275" s="31"/>
      <c r="AR275" s="31">
        <f>SUMIFS(METALFISA!$E:$E,METALFISA!$A:$A,'Faltantes Fevereiro- Metalfisa'!AR$3,METALFISA!$B:$B,'Faltantes Fevereiro- Metalfisa'!$A275)</f>
        <v>0</v>
      </c>
      <c r="AS275" s="35">
        <f>SUMIFS(METALFISA!$E:$E,METALFISA!$A:$A,'Faltantes Fevereiro- Metalfisa'!AS$3,METALFISA!$B:$B,'Faltantes Fevereiro- Metalfisa'!$A275)</f>
        <v>0</v>
      </c>
      <c r="AU275" s="18">
        <v>0</v>
      </c>
      <c r="AV275" s="18">
        <v>0</v>
      </c>
      <c r="AW275" s="18">
        <v>0</v>
      </c>
      <c r="AX275" s="18">
        <v>0</v>
      </c>
      <c r="AY275" s="41">
        <v>0</v>
      </c>
      <c r="AZ275" s="31">
        <v>0</v>
      </c>
      <c r="BA275" s="31">
        <v>0</v>
      </c>
      <c r="BB275" s="31">
        <v>0</v>
      </c>
      <c r="BC275" s="31">
        <v>0</v>
      </c>
      <c r="BD275" s="31">
        <v>0</v>
      </c>
      <c r="BE275" s="31">
        <v>0</v>
      </c>
      <c r="BF275" s="31">
        <v>0</v>
      </c>
      <c r="BG275" s="31">
        <v>0</v>
      </c>
      <c r="BH275" s="31">
        <v>0</v>
      </c>
      <c r="BI275" s="31">
        <v>0</v>
      </c>
      <c r="BJ275" s="31">
        <v>0</v>
      </c>
      <c r="BK275" s="31">
        <v>0</v>
      </c>
      <c r="BL275" s="31">
        <v>0</v>
      </c>
      <c r="BM275" s="31">
        <v>0</v>
      </c>
      <c r="BN275" s="31">
        <v>0</v>
      </c>
      <c r="BO275" s="31">
        <v>1</v>
      </c>
      <c r="BP275" s="31">
        <v>0</v>
      </c>
      <c r="BQ275" s="31">
        <v>0</v>
      </c>
      <c r="BR275" s="31">
        <v>0</v>
      </c>
      <c r="BS275" s="31">
        <v>0</v>
      </c>
      <c r="BT275" s="31">
        <v>0</v>
      </c>
      <c r="BU275" s="31">
        <v>0</v>
      </c>
      <c r="BV275" s="31">
        <v>0</v>
      </c>
      <c r="BW275" s="31">
        <v>0</v>
      </c>
      <c r="BX275" s="31">
        <v>0</v>
      </c>
      <c r="BY275" s="31">
        <v>0</v>
      </c>
      <c r="BZ275" s="31">
        <v>0</v>
      </c>
      <c r="CA275" s="31">
        <v>0</v>
      </c>
      <c r="CB275" s="31">
        <v>0</v>
      </c>
      <c r="CC275" s="31">
        <v>0</v>
      </c>
      <c r="CD275" s="31">
        <v>0</v>
      </c>
      <c r="CE275" s="31">
        <v>0</v>
      </c>
      <c r="CF275" s="31">
        <v>0</v>
      </c>
      <c r="CG275" s="31">
        <v>0</v>
      </c>
      <c r="CH275" s="31">
        <v>0</v>
      </c>
      <c r="CI275" s="31">
        <v>0</v>
      </c>
      <c r="CJ275" s="31">
        <v>0</v>
      </c>
      <c r="CK275" s="31">
        <v>0</v>
      </c>
      <c r="CL275" s="35">
        <v>0</v>
      </c>
    </row>
    <row r="276" spans="1:90" x14ac:dyDescent="0.15">
      <c r="A276" s="27" t="s">
        <v>1381</v>
      </c>
      <c r="B276" s="28" t="s">
        <v>1382</v>
      </c>
      <c r="C276" s="28">
        <v>1</v>
      </c>
      <c r="D276" s="28">
        <v>0</v>
      </c>
      <c r="E276" s="28">
        <v>0</v>
      </c>
      <c r="F276" s="28">
        <v>0</v>
      </c>
      <c r="G276" s="28">
        <v>20</v>
      </c>
      <c r="H276" s="28">
        <f>IFERROR(VLOOKUP(A276,[1]FALTANTES!$A:$AB,28,FALSE),"-")</f>
        <v>1</v>
      </c>
      <c r="I276" s="42">
        <f>IFERROR(VLOOKUP(A276,[1]FALTANTES!$A:$AC,29,FALSE),"-")</f>
        <v>0</v>
      </c>
      <c r="J276" s="29">
        <f>IFERROR(VLOOKUP(A276,[1]FALTANTES!$A:$AD,30,FALSE),"-")</f>
        <v>-21</v>
      </c>
      <c r="K276" s="30">
        <v>0</v>
      </c>
      <c r="L276" s="30">
        <f t="shared" si="5"/>
        <v>5</v>
      </c>
      <c r="M276" s="31">
        <f>SUMIFS(METALFISA!$E:$E,METALFISA!$A:$A,'Faltantes Fevereiro- Metalfisa'!M$3,METALFISA!$B:$B,'Faltantes Fevereiro- Metalfisa'!$A276)</f>
        <v>0</v>
      </c>
      <c r="N276" s="31">
        <f>SUMIFS(METALFISA!$E:$E,METALFISA!$A:$A,'Faltantes Fevereiro- Metalfisa'!N$3,METALFISA!$B:$B,'Faltantes Fevereiro- Metalfisa'!$A276)</f>
        <v>0</v>
      </c>
      <c r="O276" s="31">
        <f>SUMIFS(METALFISA!$E:$E,METALFISA!$A:$A,'Faltantes Fevereiro- Metalfisa'!O$3,METALFISA!$B:$B,'Faltantes Fevereiro- Metalfisa'!$A276)</f>
        <v>0</v>
      </c>
      <c r="P276" s="31">
        <f>SUMIFS(METALFISA!$E:$E,METALFISA!$A:$A,'Faltantes Fevereiro- Metalfisa'!P$3,METALFISA!$B:$B,'Faltantes Fevereiro- Metalfisa'!$A276)</f>
        <v>0</v>
      </c>
      <c r="Q276" s="31">
        <f>SUMIFS(METALFISA!$E:$E,METALFISA!$A:$A,'Faltantes Fevereiro- Metalfisa'!Q$3,METALFISA!$B:$B,'Faltantes Fevereiro- Metalfisa'!$A276)</f>
        <v>0</v>
      </c>
      <c r="R276" s="31">
        <f>SUMIFS(METALFISA!$E:$E,METALFISA!$A:$A,'Faltantes Fevereiro- Metalfisa'!R$3,METALFISA!$B:$B,'Faltantes Fevereiro- Metalfisa'!$A276)</f>
        <v>0</v>
      </c>
      <c r="S276" s="31">
        <f>SUMIFS(METALFISA!$E:$E,METALFISA!$A:$A,'Faltantes Fevereiro- Metalfisa'!S$3,METALFISA!$B:$B,'Faltantes Fevereiro- Metalfisa'!$A276)</f>
        <v>0</v>
      </c>
      <c r="T276" s="31">
        <f>SUMIFS(METALFISA!$E:$E,METALFISA!$A:$A,'Faltantes Fevereiro- Metalfisa'!T$3,METALFISA!$B:$B,'Faltantes Fevereiro- Metalfisa'!$A276)</f>
        <v>0</v>
      </c>
      <c r="U276" s="31">
        <f>SUMIFS(METALFISA!$E:$E,METALFISA!$A:$A,'Faltantes Fevereiro- Metalfisa'!U$3,METALFISA!$B:$B,'Faltantes Fevereiro- Metalfisa'!$A276)</f>
        <v>0</v>
      </c>
      <c r="V276" s="31">
        <f>SUMIFS(METALFISA!$E:$E,METALFISA!$A:$A,'Faltantes Fevereiro- Metalfisa'!V$3,METALFISA!$B:$B,'Faltantes Fevereiro- Metalfisa'!$A276)</f>
        <v>0</v>
      </c>
      <c r="W276" s="31">
        <f>SUMIFS(METALFISA!$E:$E,METALFISA!$A:$A,'Faltantes Fevereiro- Metalfisa'!W$3,METALFISA!$B:$B,'Faltantes Fevereiro- Metalfisa'!$A276)</f>
        <v>0</v>
      </c>
      <c r="X276" s="31">
        <f>SUMIFS(METALFISA!$E:$E,METALFISA!$A:$A,'Faltantes Fevereiro- Metalfisa'!X$3,METALFISA!$B:$B,'Faltantes Fevereiro- Metalfisa'!$A276)</f>
        <v>0</v>
      </c>
      <c r="Y276" s="31">
        <f>SUMIFS(METALFISA!$E:$E,METALFISA!$A:$A,'Faltantes Fevereiro- Metalfisa'!Y$3,METALFISA!$B:$B,'Faltantes Fevereiro- Metalfisa'!$A276)</f>
        <v>0</v>
      </c>
      <c r="Z276" s="31">
        <f>SUMIFS(METALFISA!$E:$E,METALFISA!$A:$A,'Faltantes Fevereiro- Metalfisa'!Z$3,METALFISA!$B:$B,'Faltantes Fevereiro- Metalfisa'!$A276)</f>
        <v>0</v>
      </c>
      <c r="AA276" s="31">
        <f>SUMIFS(METALFISA!$E:$E,METALFISA!$A:$A,'Faltantes Fevereiro- Metalfisa'!AA$3,METALFISA!$B:$B,'Faltantes Fevereiro- Metalfisa'!$A276)</f>
        <v>0</v>
      </c>
      <c r="AB276" s="31">
        <f>SUMIFS(METALFISA!$E:$E,METALFISA!$A:$A,'Faltantes Fevereiro- Metalfisa'!AB$3,METALFISA!$B:$B,'Faltantes Fevereiro- Metalfisa'!$A276)</f>
        <v>0</v>
      </c>
      <c r="AC276" s="31">
        <f>SUMIFS(METALFISA!$E:$E,METALFISA!$A:$A,'Faltantes Fevereiro- Metalfisa'!AC$3,METALFISA!$B:$B,'Faltantes Fevereiro- Metalfisa'!$A276)</f>
        <v>0</v>
      </c>
      <c r="AD276" s="31">
        <f>SUMIFS(METALFISA!$E:$E,METALFISA!$A:$A,'Faltantes Fevereiro- Metalfisa'!AD$3,METALFISA!$B:$B,'Faltantes Fevereiro- Metalfisa'!$A276)</f>
        <v>0</v>
      </c>
      <c r="AE276" s="31">
        <f>SUMIFS(METALFISA!$E:$E,METALFISA!$A:$A,'Faltantes Fevereiro- Metalfisa'!AE$3,METALFISA!$B:$B,'Faltantes Fevereiro- Metalfisa'!$A276)</f>
        <v>4</v>
      </c>
      <c r="AF276" s="31">
        <f>SUMIFS(METALFISA!$E:$E,METALFISA!$A:$A,'Faltantes Fevereiro- Metalfisa'!AF$3,METALFISA!$B:$B,'Faltantes Fevereiro- Metalfisa'!$A276)</f>
        <v>0</v>
      </c>
      <c r="AG276" s="31">
        <f>SUMIFS(METALFISA!$E:$E,METALFISA!$A:$A,'Faltantes Fevereiro- Metalfisa'!AG$3,METALFISA!$B:$B,'Faltantes Fevereiro- Metalfisa'!$A276)</f>
        <v>0</v>
      </c>
      <c r="AH276" s="31">
        <f>SUMIFS(METALFISA!$E:$E,METALFISA!$A:$A,'Faltantes Fevereiro- Metalfisa'!AH$3,METALFISA!$B:$B,'Faltantes Fevereiro- Metalfisa'!$A276)</f>
        <v>0</v>
      </c>
      <c r="AI276" s="31">
        <f>SUMIFS(METALFISA!$E:$E,METALFISA!$A:$A,'Faltantes Fevereiro- Metalfisa'!AI$3,METALFISA!$B:$B,'Faltantes Fevereiro- Metalfisa'!$A276)</f>
        <v>0</v>
      </c>
      <c r="AJ276" s="31">
        <f>SUMIFS(METALFISA!$E:$E,METALFISA!$A:$A,'Faltantes Fevereiro- Metalfisa'!AJ$3,METALFISA!$B:$B,'Faltantes Fevereiro- Metalfisa'!$A276)</f>
        <v>0</v>
      </c>
      <c r="AK276" s="31">
        <f>SUMIFS(METALFISA!$E:$E,METALFISA!$A:$A,'Faltantes Fevereiro- Metalfisa'!AK$3,METALFISA!$B:$B,'Faltantes Fevereiro- Metalfisa'!$A276)</f>
        <v>0</v>
      </c>
      <c r="AL276" s="31">
        <f>SUMIFS(METALFISA!$E:$E,METALFISA!$A:$A,'Faltantes Fevereiro- Metalfisa'!AL$3,METALFISA!$B:$B,'Faltantes Fevereiro- Metalfisa'!$A276)</f>
        <v>0</v>
      </c>
      <c r="AM276" s="31">
        <f>SUMIFS(METALFISA!$E:$E,METALFISA!$A:$A,'Faltantes Fevereiro- Metalfisa'!AM$3,METALFISA!$B:$B,'Faltantes Fevereiro- Metalfisa'!$A276)</f>
        <v>1</v>
      </c>
      <c r="AN276" s="31">
        <f>SUMIFS(METALFISA!$E:$E,METALFISA!$A:$A,'Faltantes Fevereiro- Metalfisa'!AN$3,METALFISA!$B:$B,'Faltantes Fevereiro- Metalfisa'!$A276)</f>
        <v>0</v>
      </c>
      <c r="AO276" s="31">
        <f>SUMIFS(METALFISA!$E:$E,METALFISA!$A:$A,'Faltantes Fevereiro- Metalfisa'!AO$3,METALFISA!$B:$B,'Faltantes Fevereiro- Metalfisa'!$A276)</f>
        <v>0</v>
      </c>
      <c r="AP276" s="31">
        <f>SUMIFS(METALFISA!$E:$E,METALFISA!$A:$A,'Faltantes Fevereiro- Metalfisa'!AP$3,METALFISA!$B:$B,'Faltantes Fevereiro- Metalfisa'!$A276)</f>
        <v>0</v>
      </c>
      <c r="AQ276" s="31"/>
      <c r="AR276" s="31">
        <f>SUMIFS(METALFISA!$E:$E,METALFISA!$A:$A,'Faltantes Fevereiro- Metalfisa'!AR$3,METALFISA!$B:$B,'Faltantes Fevereiro- Metalfisa'!$A276)</f>
        <v>0</v>
      </c>
      <c r="AS276" s="35">
        <f>SUMIFS(METALFISA!$E:$E,METALFISA!$A:$A,'Faltantes Fevereiro- Metalfisa'!AS$3,METALFISA!$B:$B,'Faltantes Fevereiro- Metalfisa'!$A276)</f>
        <v>0</v>
      </c>
      <c r="AU276" s="18">
        <v>0</v>
      </c>
      <c r="AV276" s="18">
        <v>0</v>
      </c>
      <c r="AW276" s="18">
        <v>0</v>
      </c>
      <c r="AX276" s="18">
        <v>0</v>
      </c>
      <c r="AY276" s="41">
        <v>0</v>
      </c>
      <c r="AZ276" s="31">
        <v>0</v>
      </c>
      <c r="BA276" s="31">
        <v>0</v>
      </c>
      <c r="BB276" s="31">
        <v>0</v>
      </c>
      <c r="BC276" s="31">
        <v>0</v>
      </c>
      <c r="BD276" s="31">
        <v>0</v>
      </c>
      <c r="BE276" s="31">
        <v>0</v>
      </c>
      <c r="BF276" s="31">
        <v>0</v>
      </c>
      <c r="BG276" s="31">
        <v>0</v>
      </c>
      <c r="BH276" s="31">
        <v>0</v>
      </c>
      <c r="BI276" s="31">
        <v>0</v>
      </c>
      <c r="BJ276" s="31">
        <v>0</v>
      </c>
      <c r="BK276" s="31">
        <v>0</v>
      </c>
      <c r="BL276" s="31">
        <v>0</v>
      </c>
      <c r="BM276" s="31">
        <v>0</v>
      </c>
      <c r="BN276" s="31">
        <v>2</v>
      </c>
      <c r="BO276" s="31">
        <v>2</v>
      </c>
      <c r="BP276" s="31">
        <v>0</v>
      </c>
      <c r="BQ276" s="31">
        <v>0</v>
      </c>
      <c r="BR276" s="31">
        <v>0</v>
      </c>
      <c r="BS276" s="31">
        <v>0</v>
      </c>
      <c r="BT276" s="31">
        <v>0</v>
      </c>
      <c r="BU276" s="31">
        <v>0</v>
      </c>
      <c r="BV276" s="31">
        <v>0</v>
      </c>
      <c r="BW276" s="31">
        <v>0</v>
      </c>
      <c r="BX276" s="31">
        <v>0</v>
      </c>
      <c r="BY276" s="31">
        <v>0</v>
      </c>
      <c r="BZ276" s="31">
        <v>0</v>
      </c>
      <c r="CA276" s="31">
        <v>0</v>
      </c>
      <c r="CB276" s="31">
        <v>0</v>
      </c>
      <c r="CC276" s="31">
        <v>0</v>
      </c>
      <c r="CD276" s="31">
        <v>0</v>
      </c>
      <c r="CE276" s="31">
        <v>0</v>
      </c>
      <c r="CF276" s="31">
        <v>0</v>
      </c>
      <c r="CG276" s="31">
        <v>0</v>
      </c>
      <c r="CH276" s="31">
        <v>0</v>
      </c>
      <c r="CI276" s="31">
        <v>0</v>
      </c>
      <c r="CJ276" s="31">
        <v>0</v>
      </c>
      <c r="CK276" s="31">
        <v>0</v>
      </c>
      <c r="CL276" s="35">
        <v>0</v>
      </c>
    </row>
    <row r="277" spans="1:90" x14ac:dyDescent="0.15">
      <c r="A277" s="27" t="s">
        <v>1386</v>
      </c>
      <c r="B277" s="28" t="s">
        <v>1387</v>
      </c>
      <c r="C277" s="28">
        <v>5</v>
      </c>
      <c r="D277" s="28">
        <v>0</v>
      </c>
      <c r="E277" s="28">
        <v>0</v>
      </c>
      <c r="F277" s="28">
        <v>0</v>
      </c>
      <c r="G277" s="28">
        <v>30</v>
      </c>
      <c r="H277" s="28">
        <f>IFERROR(VLOOKUP(A277,[1]FALTANTES!$A:$AB,28,FALSE),"-")</f>
        <v>0</v>
      </c>
      <c r="I277" s="42">
        <f>IFERROR(VLOOKUP(A277,[1]FALTANTES!$A:$AC,29,FALSE),"-")</f>
        <v>13</v>
      </c>
      <c r="J277" s="29">
        <f>IFERROR(VLOOKUP(A277,[1]FALTANTES!$A:$AD,30,FALSE),"-")</f>
        <v>-22</v>
      </c>
      <c r="K277" s="30">
        <v>0</v>
      </c>
      <c r="L277" s="30">
        <f t="shared" si="5"/>
        <v>1</v>
      </c>
      <c r="M277" s="31">
        <f>SUMIFS(METALFISA!$E:$E,METALFISA!$A:$A,'Faltantes Fevereiro- Metalfisa'!M$3,METALFISA!$B:$B,'Faltantes Fevereiro- Metalfisa'!$A277)</f>
        <v>0</v>
      </c>
      <c r="N277" s="31">
        <f>SUMIFS(METALFISA!$E:$E,METALFISA!$A:$A,'Faltantes Fevereiro- Metalfisa'!N$3,METALFISA!$B:$B,'Faltantes Fevereiro- Metalfisa'!$A277)</f>
        <v>0</v>
      </c>
      <c r="O277" s="31">
        <f>SUMIFS(METALFISA!$E:$E,METALFISA!$A:$A,'Faltantes Fevereiro- Metalfisa'!O$3,METALFISA!$B:$B,'Faltantes Fevereiro- Metalfisa'!$A277)</f>
        <v>0</v>
      </c>
      <c r="P277" s="31">
        <f>SUMIFS(METALFISA!$E:$E,METALFISA!$A:$A,'Faltantes Fevereiro- Metalfisa'!P$3,METALFISA!$B:$B,'Faltantes Fevereiro- Metalfisa'!$A277)</f>
        <v>0</v>
      </c>
      <c r="Q277" s="31">
        <f>SUMIFS(METALFISA!$E:$E,METALFISA!$A:$A,'Faltantes Fevereiro- Metalfisa'!Q$3,METALFISA!$B:$B,'Faltantes Fevereiro- Metalfisa'!$A277)</f>
        <v>0</v>
      </c>
      <c r="R277" s="31">
        <f>SUMIFS(METALFISA!$E:$E,METALFISA!$A:$A,'Faltantes Fevereiro- Metalfisa'!R$3,METALFISA!$B:$B,'Faltantes Fevereiro- Metalfisa'!$A277)</f>
        <v>0</v>
      </c>
      <c r="S277" s="31">
        <f>SUMIFS(METALFISA!$E:$E,METALFISA!$A:$A,'Faltantes Fevereiro- Metalfisa'!S$3,METALFISA!$B:$B,'Faltantes Fevereiro- Metalfisa'!$A277)</f>
        <v>0</v>
      </c>
      <c r="T277" s="31">
        <f>SUMIFS(METALFISA!$E:$E,METALFISA!$A:$A,'Faltantes Fevereiro- Metalfisa'!T$3,METALFISA!$B:$B,'Faltantes Fevereiro- Metalfisa'!$A277)</f>
        <v>0</v>
      </c>
      <c r="U277" s="31">
        <f>SUMIFS(METALFISA!$E:$E,METALFISA!$A:$A,'Faltantes Fevereiro- Metalfisa'!U$3,METALFISA!$B:$B,'Faltantes Fevereiro- Metalfisa'!$A277)</f>
        <v>0</v>
      </c>
      <c r="V277" s="31">
        <f>SUMIFS(METALFISA!$E:$E,METALFISA!$A:$A,'Faltantes Fevereiro- Metalfisa'!V$3,METALFISA!$B:$B,'Faltantes Fevereiro- Metalfisa'!$A277)</f>
        <v>0</v>
      </c>
      <c r="W277" s="31">
        <f>SUMIFS(METALFISA!$E:$E,METALFISA!$A:$A,'Faltantes Fevereiro- Metalfisa'!W$3,METALFISA!$B:$B,'Faltantes Fevereiro- Metalfisa'!$A277)</f>
        <v>0</v>
      </c>
      <c r="X277" s="31">
        <f>SUMIFS(METALFISA!$E:$E,METALFISA!$A:$A,'Faltantes Fevereiro- Metalfisa'!X$3,METALFISA!$B:$B,'Faltantes Fevereiro- Metalfisa'!$A277)</f>
        <v>0</v>
      </c>
      <c r="Y277" s="31">
        <f>SUMIFS(METALFISA!$E:$E,METALFISA!$A:$A,'Faltantes Fevereiro- Metalfisa'!Y$3,METALFISA!$B:$B,'Faltantes Fevereiro- Metalfisa'!$A277)</f>
        <v>0</v>
      </c>
      <c r="Z277" s="31">
        <f>SUMIFS(METALFISA!$E:$E,METALFISA!$A:$A,'Faltantes Fevereiro- Metalfisa'!Z$3,METALFISA!$B:$B,'Faltantes Fevereiro- Metalfisa'!$A277)</f>
        <v>0</v>
      </c>
      <c r="AA277" s="31">
        <f>SUMIFS(METALFISA!$E:$E,METALFISA!$A:$A,'Faltantes Fevereiro- Metalfisa'!AA$3,METALFISA!$B:$B,'Faltantes Fevereiro- Metalfisa'!$A277)</f>
        <v>0</v>
      </c>
      <c r="AB277" s="31">
        <f>SUMIFS(METALFISA!$E:$E,METALFISA!$A:$A,'Faltantes Fevereiro- Metalfisa'!AB$3,METALFISA!$B:$B,'Faltantes Fevereiro- Metalfisa'!$A277)</f>
        <v>0</v>
      </c>
      <c r="AC277" s="31">
        <f>SUMIFS(METALFISA!$E:$E,METALFISA!$A:$A,'Faltantes Fevereiro- Metalfisa'!AC$3,METALFISA!$B:$B,'Faltantes Fevereiro- Metalfisa'!$A277)</f>
        <v>0</v>
      </c>
      <c r="AD277" s="31">
        <f>SUMIFS(METALFISA!$E:$E,METALFISA!$A:$A,'Faltantes Fevereiro- Metalfisa'!AD$3,METALFISA!$B:$B,'Faltantes Fevereiro- Metalfisa'!$A277)</f>
        <v>0</v>
      </c>
      <c r="AE277" s="31">
        <f>SUMIFS(METALFISA!$E:$E,METALFISA!$A:$A,'Faltantes Fevereiro- Metalfisa'!AE$3,METALFISA!$B:$B,'Faltantes Fevereiro- Metalfisa'!$A277)</f>
        <v>1</v>
      </c>
      <c r="AF277" s="31">
        <f>SUMIFS(METALFISA!$E:$E,METALFISA!$A:$A,'Faltantes Fevereiro- Metalfisa'!AF$3,METALFISA!$B:$B,'Faltantes Fevereiro- Metalfisa'!$A277)</f>
        <v>0</v>
      </c>
      <c r="AG277" s="31">
        <f>SUMIFS(METALFISA!$E:$E,METALFISA!$A:$A,'Faltantes Fevereiro- Metalfisa'!AG$3,METALFISA!$B:$B,'Faltantes Fevereiro- Metalfisa'!$A277)</f>
        <v>0</v>
      </c>
      <c r="AH277" s="31">
        <f>SUMIFS(METALFISA!$E:$E,METALFISA!$A:$A,'Faltantes Fevereiro- Metalfisa'!AH$3,METALFISA!$B:$B,'Faltantes Fevereiro- Metalfisa'!$A277)</f>
        <v>0</v>
      </c>
      <c r="AI277" s="31">
        <f>SUMIFS(METALFISA!$E:$E,METALFISA!$A:$A,'Faltantes Fevereiro- Metalfisa'!AI$3,METALFISA!$B:$B,'Faltantes Fevereiro- Metalfisa'!$A277)</f>
        <v>0</v>
      </c>
      <c r="AJ277" s="31">
        <f>SUMIFS(METALFISA!$E:$E,METALFISA!$A:$A,'Faltantes Fevereiro- Metalfisa'!AJ$3,METALFISA!$B:$B,'Faltantes Fevereiro- Metalfisa'!$A277)</f>
        <v>0</v>
      </c>
      <c r="AK277" s="31">
        <f>SUMIFS(METALFISA!$E:$E,METALFISA!$A:$A,'Faltantes Fevereiro- Metalfisa'!AK$3,METALFISA!$B:$B,'Faltantes Fevereiro- Metalfisa'!$A277)</f>
        <v>0</v>
      </c>
      <c r="AL277" s="31">
        <f>SUMIFS(METALFISA!$E:$E,METALFISA!$A:$A,'Faltantes Fevereiro- Metalfisa'!AL$3,METALFISA!$B:$B,'Faltantes Fevereiro- Metalfisa'!$A277)</f>
        <v>0</v>
      </c>
      <c r="AM277" s="31">
        <f>SUMIFS(METALFISA!$E:$E,METALFISA!$A:$A,'Faltantes Fevereiro- Metalfisa'!AM$3,METALFISA!$B:$B,'Faltantes Fevereiro- Metalfisa'!$A277)</f>
        <v>0</v>
      </c>
      <c r="AN277" s="31">
        <f>SUMIFS(METALFISA!$E:$E,METALFISA!$A:$A,'Faltantes Fevereiro- Metalfisa'!AN$3,METALFISA!$B:$B,'Faltantes Fevereiro- Metalfisa'!$A277)</f>
        <v>0</v>
      </c>
      <c r="AO277" s="31">
        <f>SUMIFS(METALFISA!$E:$E,METALFISA!$A:$A,'Faltantes Fevereiro- Metalfisa'!AO$3,METALFISA!$B:$B,'Faltantes Fevereiro- Metalfisa'!$A277)</f>
        <v>0</v>
      </c>
      <c r="AP277" s="31">
        <f>SUMIFS(METALFISA!$E:$E,METALFISA!$A:$A,'Faltantes Fevereiro- Metalfisa'!AP$3,METALFISA!$B:$B,'Faltantes Fevereiro- Metalfisa'!$A277)</f>
        <v>0</v>
      </c>
      <c r="AQ277" s="31"/>
      <c r="AR277" s="31">
        <f>SUMIFS(METALFISA!$E:$E,METALFISA!$A:$A,'Faltantes Fevereiro- Metalfisa'!AR$3,METALFISA!$B:$B,'Faltantes Fevereiro- Metalfisa'!$A277)</f>
        <v>0</v>
      </c>
      <c r="AS277" s="35">
        <f>SUMIFS(METALFISA!$E:$E,METALFISA!$A:$A,'Faltantes Fevereiro- Metalfisa'!AS$3,METALFISA!$B:$B,'Faltantes Fevereiro- Metalfisa'!$A277)</f>
        <v>0</v>
      </c>
      <c r="AU277" s="18">
        <v>0</v>
      </c>
      <c r="AV277" s="18">
        <v>0</v>
      </c>
      <c r="AW277" s="18">
        <v>0</v>
      </c>
      <c r="AX277" s="18">
        <v>0</v>
      </c>
      <c r="AY277" s="41">
        <v>0</v>
      </c>
      <c r="AZ277" s="31">
        <v>0</v>
      </c>
      <c r="BA277" s="31">
        <v>0</v>
      </c>
      <c r="BB277" s="31">
        <v>0</v>
      </c>
      <c r="BC277" s="31">
        <v>0</v>
      </c>
      <c r="BD277" s="31">
        <v>0</v>
      </c>
      <c r="BE277" s="31">
        <v>0</v>
      </c>
      <c r="BF277" s="31">
        <v>0</v>
      </c>
      <c r="BG277" s="31">
        <v>0</v>
      </c>
      <c r="BH277" s="31">
        <v>0</v>
      </c>
      <c r="BI277" s="31">
        <v>0</v>
      </c>
      <c r="BJ277" s="31">
        <v>0</v>
      </c>
      <c r="BK277" s="31">
        <v>0</v>
      </c>
      <c r="BL277" s="31">
        <v>0</v>
      </c>
      <c r="BM277" s="31">
        <v>0</v>
      </c>
      <c r="BN277" s="31">
        <v>2</v>
      </c>
      <c r="BO277" s="31">
        <v>4</v>
      </c>
      <c r="BP277" s="31">
        <v>0</v>
      </c>
      <c r="BQ277" s="31">
        <v>0</v>
      </c>
      <c r="BR277" s="31">
        <v>0</v>
      </c>
      <c r="BS277" s="31">
        <v>0</v>
      </c>
      <c r="BT277" s="31">
        <v>0</v>
      </c>
      <c r="BU277" s="31">
        <v>0</v>
      </c>
      <c r="BV277" s="31">
        <v>0</v>
      </c>
      <c r="BW277" s="31">
        <v>0</v>
      </c>
      <c r="BX277" s="31">
        <v>0</v>
      </c>
      <c r="BY277" s="31">
        <v>0</v>
      </c>
      <c r="BZ277" s="31">
        <v>0</v>
      </c>
      <c r="CA277" s="31">
        <v>0</v>
      </c>
      <c r="CB277" s="31">
        <v>0</v>
      </c>
      <c r="CC277" s="31">
        <v>0</v>
      </c>
      <c r="CD277" s="31">
        <v>0</v>
      </c>
      <c r="CE277" s="31">
        <v>0</v>
      </c>
      <c r="CF277" s="31">
        <v>0</v>
      </c>
      <c r="CG277" s="31">
        <v>0</v>
      </c>
      <c r="CH277" s="31">
        <v>0</v>
      </c>
      <c r="CI277" s="31">
        <v>0</v>
      </c>
      <c r="CJ277" s="31">
        <v>0</v>
      </c>
      <c r="CK277" s="31">
        <v>0</v>
      </c>
      <c r="CL277" s="35">
        <v>0</v>
      </c>
    </row>
    <row r="278" spans="1:90" ht="21" x14ac:dyDescent="0.15">
      <c r="A278" s="27" t="s">
        <v>1389</v>
      </c>
      <c r="B278" s="28" t="s">
        <v>1390</v>
      </c>
      <c r="C278" s="28">
        <v>5</v>
      </c>
      <c r="D278" s="28">
        <v>0</v>
      </c>
      <c r="E278" s="28">
        <v>0</v>
      </c>
      <c r="F278" s="28">
        <v>0</v>
      </c>
      <c r="G278" s="28">
        <v>18</v>
      </c>
      <c r="H278" s="28">
        <f>IFERROR(VLOOKUP(A278,[1]FALTANTES!$A:$AB,28,FALSE),"-")</f>
        <v>0</v>
      </c>
      <c r="I278" s="42">
        <f>IFERROR(VLOOKUP(A278,[1]FALTANTES!$A:$AC,29,FALSE),"-")</f>
        <v>6</v>
      </c>
      <c r="J278" s="29">
        <f>IFERROR(VLOOKUP(A278,[1]FALTANTES!$A:$AD,30,FALSE),"-")</f>
        <v>-17</v>
      </c>
      <c r="K278" s="30">
        <v>0</v>
      </c>
      <c r="L278" s="30">
        <f t="shared" si="5"/>
        <v>2</v>
      </c>
      <c r="M278" s="31">
        <f>SUMIFS(METALFISA!$E:$E,METALFISA!$A:$A,'Faltantes Fevereiro- Metalfisa'!M$3,METALFISA!$B:$B,'Faltantes Fevereiro- Metalfisa'!$A278)</f>
        <v>0</v>
      </c>
      <c r="N278" s="31">
        <f>SUMIFS(METALFISA!$E:$E,METALFISA!$A:$A,'Faltantes Fevereiro- Metalfisa'!N$3,METALFISA!$B:$B,'Faltantes Fevereiro- Metalfisa'!$A278)</f>
        <v>0</v>
      </c>
      <c r="O278" s="31">
        <f>SUMIFS(METALFISA!$E:$E,METALFISA!$A:$A,'Faltantes Fevereiro- Metalfisa'!O$3,METALFISA!$B:$B,'Faltantes Fevereiro- Metalfisa'!$A278)</f>
        <v>0</v>
      </c>
      <c r="P278" s="31">
        <f>SUMIFS(METALFISA!$E:$E,METALFISA!$A:$A,'Faltantes Fevereiro- Metalfisa'!P$3,METALFISA!$B:$B,'Faltantes Fevereiro- Metalfisa'!$A278)</f>
        <v>0</v>
      </c>
      <c r="Q278" s="31">
        <f>SUMIFS(METALFISA!$E:$E,METALFISA!$A:$A,'Faltantes Fevereiro- Metalfisa'!Q$3,METALFISA!$B:$B,'Faltantes Fevereiro- Metalfisa'!$A278)</f>
        <v>0</v>
      </c>
      <c r="R278" s="31">
        <f>SUMIFS(METALFISA!$E:$E,METALFISA!$A:$A,'Faltantes Fevereiro- Metalfisa'!R$3,METALFISA!$B:$B,'Faltantes Fevereiro- Metalfisa'!$A278)</f>
        <v>0</v>
      </c>
      <c r="S278" s="31">
        <f>SUMIFS(METALFISA!$E:$E,METALFISA!$A:$A,'Faltantes Fevereiro- Metalfisa'!S$3,METALFISA!$B:$B,'Faltantes Fevereiro- Metalfisa'!$A278)</f>
        <v>0</v>
      </c>
      <c r="T278" s="31">
        <f>SUMIFS(METALFISA!$E:$E,METALFISA!$A:$A,'Faltantes Fevereiro- Metalfisa'!T$3,METALFISA!$B:$B,'Faltantes Fevereiro- Metalfisa'!$A278)</f>
        <v>0</v>
      </c>
      <c r="U278" s="31">
        <f>SUMIFS(METALFISA!$E:$E,METALFISA!$A:$A,'Faltantes Fevereiro- Metalfisa'!U$3,METALFISA!$B:$B,'Faltantes Fevereiro- Metalfisa'!$A278)</f>
        <v>0</v>
      </c>
      <c r="V278" s="31">
        <f>SUMIFS(METALFISA!$E:$E,METALFISA!$A:$A,'Faltantes Fevereiro- Metalfisa'!V$3,METALFISA!$B:$B,'Faltantes Fevereiro- Metalfisa'!$A278)</f>
        <v>0</v>
      </c>
      <c r="W278" s="31">
        <f>SUMIFS(METALFISA!$E:$E,METALFISA!$A:$A,'Faltantes Fevereiro- Metalfisa'!W$3,METALFISA!$B:$B,'Faltantes Fevereiro- Metalfisa'!$A278)</f>
        <v>0</v>
      </c>
      <c r="X278" s="31">
        <f>SUMIFS(METALFISA!$E:$E,METALFISA!$A:$A,'Faltantes Fevereiro- Metalfisa'!X$3,METALFISA!$B:$B,'Faltantes Fevereiro- Metalfisa'!$A278)</f>
        <v>0</v>
      </c>
      <c r="Y278" s="31">
        <f>SUMIFS(METALFISA!$E:$E,METALFISA!$A:$A,'Faltantes Fevereiro- Metalfisa'!Y$3,METALFISA!$B:$B,'Faltantes Fevereiro- Metalfisa'!$A278)</f>
        <v>0</v>
      </c>
      <c r="Z278" s="31">
        <f>SUMIFS(METALFISA!$E:$E,METALFISA!$A:$A,'Faltantes Fevereiro- Metalfisa'!Z$3,METALFISA!$B:$B,'Faltantes Fevereiro- Metalfisa'!$A278)</f>
        <v>0</v>
      </c>
      <c r="AA278" s="31">
        <f>SUMIFS(METALFISA!$E:$E,METALFISA!$A:$A,'Faltantes Fevereiro- Metalfisa'!AA$3,METALFISA!$B:$B,'Faltantes Fevereiro- Metalfisa'!$A278)</f>
        <v>0</v>
      </c>
      <c r="AB278" s="31">
        <f>SUMIFS(METALFISA!$E:$E,METALFISA!$A:$A,'Faltantes Fevereiro- Metalfisa'!AB$3,METALFISA!$B:$B,'Faltantes Fevereiro- Metalfisa'!$A278)</f>
        <v>0</v>
      </c>
      <c r="AC278" s="31">
        <f>SUMIFS(METALFISA!$E:$E,METALFISA!$A:$A,'Faltantes Fevereiro- Metalfisa'!AC$3,METALFISA!$B:$B,'Faltantes Fevereiro- Metalfisa'!$A278)</f>
        <v>0</v>
      </c>
      <c r="AD278" s="31">
        <f>SUMIFS(METALFISA!$E:$E,METALFISA!$A:$A,'Faltantes Fevereiro- Metalfisa'!AD$3,METALFISA!$B:$B,'Faltantes Fevereiro- Metalfisa'!$A278)</f>
        <v>0</v>
      </c>
      <c r="AE278" s="31">
        <f>SUMIFS(METALFISA!$E:$E,METALFISA!$A:$A,'Faltantes Fevereiro- Metalfisa'!AE$3,METALFISA!$B:$B,'Faltantes Fevereiro- Metalfisa'!$A278)</f>
        <v>2</v>
      </c>
      <c r="AF278" s="31">
        <f>SUMIFS(METALFISA!$E:$E,METALFISA!$A:$A,'Faltantes Fevereiro- Metalfisa'!AF$3,METALFISA!$B:$B,'Faltantes Fevereiro- Metalfisa'!$A278)</f>
        <v>0</v>
      </c>
      <c r="AG278" s="31">
        <f>SUMIFS(METALFISA!$E:$E,METALFISA!$A:$A,'Faltantes Fevereiro- Metalfisa'!AG$3,METALFISA!$B:$B,'Faltantes Fevereiro- Metalfisa'!$A278)</f>
        <v>0</v>
      </c>
      <c r="AH278" s="31">
        <f>SUMIFS(METALFISA!$E:$E,METALFISA!$A:$A,'Faltantes Fevereiro- Metalfisa'!AH$3,METALFISA!$B:$B,'Faltantes Fevereiro- Metalfisa'!$A278)</f>
        <v>0</v>
      </c>
      <c r="AI278" s="31">
        <f>SUMIFS(METALFISA!$E:$E,METALFISA!$A:$A,'Faltantes Fevereiro- Metalfisa'!AI$3,METALFISA!$B:$B,'Faltantes Fevereiro- Metalfisa'!$A278)</f>
        <v>0</v>
      </c>
      <c r="AJ278" s="31">
        <f>SUMIFS(METALFISA!$E:$E,METALFISA!$A:$A,'Faltantes Fevereiro- Metalfisa'!AJ$3,METALFISA!$B:$B,'Faltantes Fevereiro- Metalfisa'!$A278)</f>
        <v>0</v>
      </c>
      <c r="AK278" s="31">
        <f>SUMIFS(METALFISA!$E:$E,METALFISA!$A:$A,'Faltantes Fevereiro- Metalfisa'!AK$3,METALFISA!$B:$B,'Faltantes Fevereiro- Metalfisa'!$A278)</f>
        <v>0</v>
      </c>
      <c r="AL278" s="31">
        <f>SUMIFS(METALFISA!$E:$E,METALFISA!$A:$A,'Faltantes Fevereiro- Metalfisa'!AL$3,METALFISA!$B:$B,'Faltantes Fevereiro- Metalfisa'!$A278)</f>
        <v>0</v>
      </c>
      <c r="AM278" s="31">
        <f>SUMIFS(METALFISA!$E:$E,METALFISA!$A:$A,'Faltantes Fevereiro- Metalfisa'!AM$3,METALFISA!$B:$B,'Faltantes Fevereiro- Metalfisa'!$A278)</f>
        <v>0</v>
      </c>
      <c r="AN278" s="31">
        <f>SUMIFS(METALFISA!$E:$E,METALFISA!$A:$A,'Faltantes Fevereiro- Metalfisa'!AN$3,METALFISA!$B:$B,'Faltantes Fevereiro- Metalfisa'!$A278)</f>
        <v>0</v>
      </c>
      <c r="AO278" s="31">
        <f>SUMIFS(METALFISA!$E:$E,METALFISA!$A:$A,'Faltantes Fevereiro- Metalfisa'!AO$3,METALFISA!$B:$B,'Faltantes Fevereiro- Metalfisa'!$A278)</f>
        <v>0</v>
      </c>
      <c r="AP278" s="31">
        <f>SUMIFS(METALFISA!$E:$E,METALFISA!$A:$A,'Faltantes Fevereiro- Metalfisa'!AP$3,METALFISA!$B:$B,'Faltantes Fevereiro- Metalfisa'!$A278)</f>
        <v>0</v>
      </c>
      <c r="AQ278" s="31"/>
      <c r="AR278" s="31">
        <f>SUMIFS(METALFISA!$E:$E,METALFISA!$A:$A,'Faltantes Fevereiro- Metalfisa'!AR$3,METALFISA!$B:$B,'Faltantes Fevereiro- Metalfisa'!$A278)</f>
        <v>0</v>
      </c>
      <c r="AS278" s="35">
        <f>SUMIFS(METALFISA!$E:$E,METALFISA!$A:$A,'Faltantes Fevereiro- Metalfisa'!AS$3,METALFISA!$B:$B,'Faltantes Fevereiro- Metalfisa'!$A278)</f>
        <v>0</v>
      </c>
      <c r="AU278" s="18">
        <v>0</v>
      </c>
      <c r="AV278" s="18">
        <v>0</v>
      </c>
      <c r="AW278" s="18">
        <v>0</v>
      </c>
      <c r="AX278" s="18">
        <v>0</v>
      </c>
      <c r="AY278" s="41">
        <v>0</v>
      </c>
      <c r="AZ278" s="31">
        <v>0</v>
      </c>
      <c r="BA278" s="31">
        <v>0</v>
      </c>
      <c r="BB278" s="31">
        <v>0</v>
      </c>
      <c r="BC278" s="31">
        <v>0</v>
      </c>
      <c r="BD278" s="31">
        <v>0</v>
      </c>
      <c r="BE278" s="31">
        <v>0</v>
      </c>
      <c r="BF278" s="31">
        <v>0</v>
      </c>
      <c r="BG278" s="31">
        <v>0</v>
      </c>
      <c r="BH278" s="31">
        <v>0</v>
      </c>
      <c r="BI278" s="31">
        <v>0</v>
      </c>
      <c r="BJ278" s="31">
        <v>0</v>
      </c>
      <c r="BK278" s="31">
        <v>0</v>
      </c>
      <c r="BL278" s="31">
        <v>0</v>
      </c>
      <c r="BM278" s="31">
        <v>0</v>
      </c>
      <c r="BN278" s="31">
        <v>2</v>
      </c>
      <c r="BO278" s="31">
        <v>2</v>
      </c>
      <c r="BP278" s="31">
        <v>0</v>
      </c>
      <c r="BQ278" s="31">
        <v>0</v>
      </c>
      <c r="BR278" s="31">
        <v>0</v>
      </c>
      <c r="BS278" s="31">
        <v>0</v>
      </c>
      <c r="BT278" s="31">
        <v>0</v>
      </c>
      <c r="BU278" s="31">
        <v>0</v>
      </c>
      <c r="BV278" s="31">
        <v>0</v>
      </c>
      <c r="BW278" s="31">
        <v>0</v>
      </c>
      <c r="BX278" s="31">
        <v>0</v>
      </c>
      <c r="BY278" s="31">
        <v>0</v>
      </c>
      <c r="BZ278" s="31">
        <v>0</v>
      </c>
      <c r="CA278" s="31">
        <v>0</v>
      </c>
      <c r="CB278" s="31">
        <v>0</v>
      </c>
      <c r="CC278" s="31">
        <v>0</v>
      </c>
      <c r="CD278" s="31">
        <v>0</v>
      </c>
      <c r="CE278" s="31">
        <v>0</v>
      </c>
      <c r="CF278" s="31">
        <v>0</v>
      </c>
      <c r="CG278" s="31">
        <v>0</v>
      </c>
      <c r="CH278" s="31">
        <v>0</v>
      </c>
      <c r="CI278" s="31">
        <v>0</v>
      </c>
      <c r="CJ278" s="31">
        <v>0</v>
      </c>
      <c r="CK278" s="31">
        <v>0</v>
      </c>
      <c r="CL278" s="35">
        <v>0</v>
      </c>
    </row>
    <row r="279" spans="1:90" ht="21" x14ac:dyDescent="0.15">
      <c r="A279" s="27" t="s">
        <v>1392</v>
      </c>
      <c r="B279" s="28" t="s">
        <v>1393</v>
      </c>
      <c r="C279" s="28">
        <v>0</v>
      </c>
      <c r="D279" s="28">
        <v>0</v>
      </c>
      <c r="E279" s="28">
        <v>0</v>
      </c>
      <c r="F279" s="28">
        <v>0</v>
      </c>
      <c r="G279" s="28">
        <v>20</v>
      </c>
      <c r="H279" s="28">
        <f>IFERROR(VLOOKUP(A279,[1]FALTANTES!$A:$AB,28,FALSE),"-")</f>
        <v>0</v>
      </c>
      <c r="I279" s="42">
        <f>IFERROR(VLOOKUP(A279,[1]FALTANTES!$A:$AC,29,FALSE),"-")</f>
        <v>8</v>
      </c>
      <c r="J279" s="29">
        <f>IFERROR(VLOOKUP(A279,[1]FALTANTES!$A:$AD,30,FALSE),"-")</f>
        <v>-12</v>
      </c>
      <c r="K279" s="30">
        <v>0</v>
      </c>
      <c r="L279" s="30">
        <f t="shared" si="5"/>
        <v>4</v>
      </c>
      <c r="M279" s="31">
        <f>SUMIFS(METALFISA!$E:$E,METALFISA!$A:$A,'Faltantes Fevereiro- Metalfisa'!M$3,METALFISA!$B:$B,'Faltantes Fevereiro- Metalfisa'!$A279)</f>
        <v>0</v>
      </c>
      <c r="N279" s="31">
        <f>SUMIFS(METALFISA!$E:$E,METALFISA!$A:$A,'Faltantes Fevereiro- Metalfisa'!N$3,METALFISA!$B:$B,'Faltantes Fevereiro- Metalfisa'!$A279)</f>
        <v>0</v>
      </c>
      <c r="O279" s="31">
        <f>SUMIFS(METALFISA!$E:$E,METALFISA!$A:$A,'Faltantes Fevereiro- Metalfisa'!O$3,METALFISA!$B:$B,'Faltantes Fevereiro- Metalfisa'!$A279)</f>
        <v>0</v>
      </c>
      <c r="P279" s="31">
        <f>SUMIFS(METALFISA!$E:$E,METALFISA!$A:$A,'Faltantes Fevereiro- Metalfisa'!P$3,METALFISA!$B:$B,'Faltantes Fevereiro- Metalfisa'!$A279)</f>
        <v>0</v>
      </c>
      <c r="Q279" s="31">
        <f>SUMIFS(METALFISA!$E:$E,METALFISA!$A:$A,'Faltantes Fevereiro- Metalfisa'!Q$3,METALFISA!$B:$B,'Faltantes Fevereiro- Metalfisa'!$A279)</f>
        <v>0</v>
      </c>
      <c r="R279" s="31">
        <f>SUMIFS(METALFISA!$E:$E,METALFISA!$A:$A,'Faltantes Fevereiro- Metalfisa'!R$3,METALFISA!$B:$B,'Faltantes Fevereiro- Metalfisa'!$A279)</f>
        <v>0</v>
      </c>
      <c r="S279" s="31">
        <f>SUMIFS(METALFISA!$E:$E,METALFISA!$A:$A,'Faltantes Fevereiro- Metalfisa'!S$3,METALFISA!$B:$B,'Faltantes Fevereiro- Metalfisa'!$A279)</f>
        <v>0</v>
      </c>
      <c r="T279" s="31">
        <f>SUMIFS(METALFISA!$E:$E,METALFISA!$A:$A,'Faltantes Fevereiro- Metalfisa'!T$3,METALFISA!$B:$B,'Faltantes Fevereiro- Metalfisa'!$A279)</f>
        <v>0</v>
      </c>
      <c r="U279" s="31">
        <f>SUMIFS(METALFISA!$E:$E,METALFISA!$A:$A,'Faltantes Fevereiro- Metalfisa'!U$3,METALFISA!$B:$B,'Faltantes Fevereiro- Metalfisa'!$A279)</f>
        <v>0</v>
      </c>
      <c r="V279" s="31">
        <f>SUMIFS(METALFISA!$E:$E,METALFISA!$A:$A,'Faltantes Fevereiro- Metalfisa'!V$3,METALFISA!$B:$B,'Faltantes Fevereiro- Metalfisa'!$A279)</f>
        <v>0</v>
      </c>
      <c r="W279" s="31">
        <f>SUMIFS(METALFISA!$E:$E,METALFISA!$A:$A,'Faltantes Fevereiro- Metalfisa'!W$3,METALFISA!$B:$B,'Faltantes Fevereiro- Metalfisa'!$A279)</f>
        <v>0</v>
      </c>
      <c r="X279" s="31">
        <f>SUMIFS(METALFISA!$E:$E,METALFISA!$A:$A,'Faltantes Fevereiro- Metalfisa'!X$3,METALFISA!$B:$B,'Faltantes Fevereiro- Metalfisa'!$A279)</f>
        <v>0</v>
      </c>
      <c r="Y279" s="31">
        <f>SUMIFS(METALFISA!$E:$E,METALFISA!$A:$A,'Faltantes Fevereiro- Metalfisa'!Y$3,METALFISA!$B:$B,'Faltantes Fevereiro- Metalfisa'!$A279)</f>
        <v>0</v>
      </c>
      <c r="Z279" s="31">
        <f>SUMIFS(METALFISA!$E:$E,METALFISA!$A:$A,'Faltantes Fevereiro- Metalfisa'!Z$3,METALFISA!$B:$B,'Faltantes Fevereiro- Metalfisa'!$A279)</f>
        <v>0</v>
      </c>
      <c r="AA279" s="31">
        <f>SUMIFS(METALFISA!$E:$E,METALFISA!$A:$A,'Faltantes Fevereiro- Metalfisa'!AA$3,METALFISA!$B:$B,'Faltantes Fevereiro- Metalfisa'!$A279)</f>
        <v>0</v>
      </c>
      <c r="AB279" s="31">
        <f>SUMIFS(METALFISA!$E:$E,METALFISA!$A:$A,'Faltantes Fevereiro- Metalfisa'!AB$3,METALFISA!$B:$B,'Faltantes Fevereiro- Metalfisa'!$A279)</f>
        <v>0</v>
      </c>
      <c r="AC279" s="31">
        <f>SUMIFS(METALFISA!$E:$E,METALFISA!$A:$A,'Faltantes Fevereiro- Metalfisa'!AC$3,METALFISA!$B:$B,'Faltantes Fevereiro- Metalfisa'!$A279)</f>
        <v>0</v>
      </c>
      <c r="AD279" s="31">
        <f>SUMIFS(METALFISA!$E:$E,METALFISA!$A:$A,'Faltantes Fevereiro- Metalfisa'!AD$3,METALFISA!$B:$B,'Faltantes Fevereiro- Metalfisa'!$A279)</f>
        <v>0</v>
      </c>
      <c r="AE279" s="31">
        <f>SUMIFS(METALFISA!$E:$E,METALFISA!$A:$A,'Faltantes Fevereiro- Metalfisa'!AE$3,METALFISA!$B:$B,'Faltantes Fevereiro- Metalfisa'!$A279)</f>
        <v>4</v>
      </c>
      <c r="AF279" s="31">
        <f>SUMIFS(METALFISA!$E:$E,METALFISA!$A:$A,'Faltantes Fevereiro- Metalfisa'!AF$3,METALFISA!$B:$B,'Faltantes Fevereiro- Metalfisa'!$A279)</f>
        <v>0</v>
      </c>
      <c r="AG279" s="31">
        <f>SUMIFS(METALFISA!$E:$E,METALFISA!$A:$A,'Faltantes Fevereiro- Metalfisa'!AG$3,METALFISA!$B:$B,'Faltantes Fevereiro- Metalfisa'!$A279)</f>
        <v>0</v>
      </c>
      <c r="AH279" s="31">
        <f>SUMIFS(METALFISA!$E:$E,METALFISA!$A:$A,'Faltantes Fevereiro- Metalfisa'!AH$3,METALFISA!$B:$B,'Faltantes Fevereiro- Metalfisa'!$A279)</f>
        <v>0</v>
      </c>
      <c r="AI279" s="31">
        <f>SUMIFS(METALFISA!$E:$E,METALFISA!$A:$A,'Faltantes Fevereiro- Metalfisa'!AI$3,METALFISA!$B:$B,'Faltantes Fevereiro- Metalfisa'!$A279)</f>
        <v>0</v>
      </c>
      <c r="AJ279" s="31">
        <f>SUMIFS(METALFISA!$E:$E,METALFISA!$A:$A,'Faltantes Fevereiro- Metalfisa'!AJ$3,METALFISA!$B:$B,'Faltantes Fevereiro- Metalfisa'!$A279)</f>
        <v>0</v>
      </c>
      <c r="AK279" s="31">
        <f>SUMIFS(METALFISA!$E:$E,METALFISA!$A:$A,'Faltantes Fevereiro- Metalfisa'!AK$3,METALFISA!$B:$B,'Faltantes Fevereiro- Metalfisa'!$A279)</f>
        <v>0</v>
      </c>
      <c r="AL279" s="31">
        <f>SUMIFS(METALFISA!$E:$E,METALFISA!$A:$A,'Faltantes Fevereiro- Metalfisa'!AL$3,METALFISA!$B:$B,'Faltantes Fevereiro- Metalfisa'!$A279)</f>
        <v>0</v>
      </c>
      <c r="AM279" s="31">
        <f>SUMIFS(METALFISA!$E:$E,METALFISA!$A:$A,'Faltantes Fevereiro- Metalfisa'!AM$3,METALFISA!$B:$B,'Faltantes Fevereiro- Metalfisa'!$A279)</f>
        <v>0</v>
      </c>
      <c r="AN279" s="31">
        <f>SUMIFS(METALFISA!$E:$E,METALFISA!$A:$A,'Faltantes Fevereiro- Metalfisa'!AN$3,METALFISA!$B:$B,'Faltantes Fevereiro- Metalfisa'!$A279)</f>
        <v>0</v>
      </c>
      <c r="AO279" s="31">
        <f>SUMIFS(METALFISA!$E:$E,METALFISA!$A:$A,'Faltantes Fevereiro- Metalfisa'!AO$3,METALFISA!$B:$B,'Faltantes Fevereiro- Metalfisa'!$A279)</f>
        <v>0</v>
      </c>
      <c r="AP279" s="31">
        <f>SUMIFS(METALFISA!$E:$E,METALFISA!$A:$A,'Faltantes Fevereiro- Metalfisa'!AP$3,METALFISA!$B:$B,'Faltantes Fevereiro- Metalfisa'!$A279)</f>
        <v>0</v>
      </c>
      <c r="AQ279" s="31"/>
      <c r="AR279" s="31">
        <f>SUMIFS(METALFISA!$E:$E,METALFISA!$A:$A,'Faltantes Fevereiro- Metalfisa'!AR$3,METALFISA!$B:$B,'Faltantes Fevereiro- Metalfisa'!$A279)</f>
        <v>0</v>
      </c>
      <c r="AS279" s="35">
        <f>SUMIFS(METALFISA!$E:$E,METALFISA!$A:$A,'Faltantes Fevereiro- Metalfisa'!AS$3,METALFISA!$B:$B,'Faltantes Fevereiro- Metalfisa'!$A279)</f>
        <v>0</v>
      </c>
      <c r="AU279" s="18">
        <v>0</v>
      </c>
      <c r="AV279" s="18">
        <v>0</v>
      </c>
      <c r="AW279" s="18">
        <v>0</v>
      </c>
      <c r="AX279" s="18">
        <v>0</v>
      </c>
      <c r="AY279" s="41">
        <v>0</v>
      </c>
      <c r="AZ279" s="31">
        <v>0</v>
      </c>
      <c r="BA279" s="31">
        <v>0</v>
      </c>
      <c r="BB279" s="31">
        <v>0</v>
      </c>
      <c r="BC279" s="31">
        <v>0</v>
      </c>
      <c r="BD279" s="31">
        <v>0</v>
      </c>
      <c r="BE279" s="31">
        <v>0</v>
      </c>
      <c r="BF279" s="31">
        <v>0</v>
      </c>
      <c r="BG279" s="31">
        <v>0</v>
      </c>
      <c r="BH279" s="31">
        <v>0</v>
      </c>
      <c r="BI279" s="31">
        <v>0</v>
      </c>
      <c r="BJ279" s="31">
        <v>0</v>
      </c>
      <c r="BK279" s="31">
        <v>0</v>
      </c>
      <c r="BL279" s="31">
        <v>0</v>
      </c>
      <c r="BM279" s="31">
        <v>0</v>
      </c>
      <c r="BN279" s="31">
        <v>0</v>
      </c>
      <c r="BO279" s="31">
        <v>4</v>
      </c>
      <c r="BP279" s="31">
        <v>0</v>
      </c>
      <c r="BQ279" s="31">
        <v>0</v>
      </c>
      <c r="BR279" s="31">
        <v>0</v>
      </c>
      <c r="BS279" s="31">
        <v>0</v>
      </c>
      <c r="BT279" s="31">
        <v>0</v>
      </c>
      <c r="BU279" s="31">
        <v>0</v>
      </c>
      <c r="BV279" s="31">
        <v>0</v>
      </c>
      <c r="BW279" s="31">
        <v>0</v>
      </c>
      <c r="BX279" s="31">
        <v>0</v>
      </c>
      <c r="BY279" s="31">
        <v>0</v>
      </c>
      <c r="BZ279" s="31">
        <v>0</v>
      </c>
      <c r="CA279" s="31">
        <v>0</v>
      </c>
      <c r="CB279" s="31">
        <v>0</v>
      </c>
      <c r="CC279" s="31">
        <v>0</v>
      </c>
      <c r="CD279" s="31">
        <v>0</v>
      </c>
      <c r="CE279" s="31">
        <v>0</v>
      </c>
      <c r="CF279" s="31">
        <v>0</v>
      </c>
      <c r="CG279" s="31">
        <v>0</v>
      </c>
      <c r="CH279" s="31">
        <v>0</v>
      </c>
      <c r="CI279" s="31">
        <v>0</v>
      </c>
      <c r="CJ279" s="31">
        <v>0</v>
      </c>
      <c r="CK279" s="31">
        <v>0</v>
      </c>
      <c r="CL279" s="35">
        <v>0</v>
      </c>
    </row>
    <row r="280" spans="1:90" x14ac:dyDescent="0.15">
      <c r="A280" s="27" t="s">
        <v>1395</v>
      </c>
      <c r="B280" s="28" t="s">
        <v>1396</v>
      </c>
      <c r="C280" s="28">
        <v>0</v>
      </c>
      <c r="D280" s="28">
        <v>0</v>
      </c>
      <c r="E280" s="28">
        <v>0</v>
      </c>
      <c r="F280" s="28">
        <v>0</v>
      </c>
      <c r="G280" s="28">
        <v>6</v>
      </c>
      <c r="H280" s="28">
        <f>IFERROR(VLOOKUP(A280,[1]FALTANTES!$A:$AB,28,FALSE),"-")</f>
        <v>0</v>
      </c>
      <c r="I280" s="42">
        <f>IFERROR(VLOOKUP(A280,[1]FALTANTES!$A:$AC,29,FALSE),"-")</f>
        <v>2</v>
      </c>
      <c r="J280" s="29">
        <f>IFERROR(VLOOKUP(A280,[1]FALTANTES!$A:$AD,30,FALSE),"-")</f>
        <v>-4</v>
      </c>
      <c r="K280" s="30">
        <v>0</v>
      </c>
      <c r="L280" s="30">
        <f t="shared" si="5"/>
        <v>1</v>
      </c>
      <c r="M280" s="31">
        <f>SUMIFS(METALFISA!$E:$E,METALFISA!$A:$A,'Faltantes Fevereiro- Metalfisa'!M$3,METALFISA!$B:$B,'Faltantes Fevereiro- Metalfisa'!$A280)</f>
        <v>0</v>
      </c>
      <c r="N280" s="31">
        <f>SUMIFS(METALFISA!$E:$E,METALFISA!$A:$A,'Faltantes Fevereiro- Metalfisa'!N$3,METALFISA!$B:$B,'Faltantes Fevereiro- Metalfisa'!$A280)</f>
        <v>0</v>
      </c>
      <c r="O280" s="31">
        <f>SUMIFS(METALFISA!$E:$E,METALFISA!$A:$A,'Faltantes Fevereiro- Metalfisa'!O$3,METALFISA!$B:$B,'Faltantes Fevereiro- Metalfisa'!$A280)</f>
        <v>0</v>
      </c>
      <c r="P280" s="31">
        <f>SUMIFS(METALFISA!$E:$E,METALFISA!$A:$A,'Faltantes Fevereiro- Metalfisa'!P$3,METALFISA!$B:$B,'Faltantes Fevereiro- Metalfisa'!$A280)</f>
        <v>0</v>
      </c>
      <c r="Q280" s="31">
        <f>SUMIFS(METALFISA!$E:$E,METALFISA!$A:$A,'Faltantes Fevereiro- Metalfisa'!Q$3,METALFISA!$B:$B,'Faltantes Fevereiro- Metalfisa'!$A280)</f>
        <v>0</v>
      </c>
      <c r="R280" s="31">
        <f>SUMIFS(METALFISA!$E:$E,METALFISA!$A:$A,'Faltantes Fevereiro- Metalfisa'!R$3,METALFISA!$B:$B,'Faltantes Fevereiro- Metalfisa'!$A280)</f>
        <v>0</v>
      </c>
      <c r="S280" s="31">
        <f>SUMIFS(METALFISA!$E:$E,METALFISA!$A:$A,'Faltantes Fevereiro- Metalfisa'!S$3,METALFISA!$B:$B,'Faltantes Fevereiro- Metalfisa'!$A280)</f>
        <v>0</v>
      </c>
      <c r="T280" s="31">
        <f>SUMIFS(METALFISA!$E:$E,METALFISA!$A:$A,'Faltantes Fevereiro- Metalfisa'!T$3,METALFISA!$B:$B,'Faltantes Fevereiro- Metalfisa'!$A280)</f>
        <v>0</v>
      </c>
      <c r="U280" s="31">
        <f>SUMIFS(METALFISA!$E:$E,METALFISA!$A:$A,'Faltantes Fevereiro- Metalfisa'!U$3,METALFISA!$B:$B,'Faltantes Fevereiro- Metalfisa'!$A280)</f>
        <v>0</v>
      </c>
      <c r="V280" s="31">
        <f>SUMIFS(METALFISA!$E:$E,METALFISA!$A:$A,'Faltantes Fevereiro- Metalfisa'!V$3,METALFISA!$B:$B,'Faltantes Fevereiro- Metalfisa'!$A280)</f>
        <v>0</v>
      </c>
      <c r="W280" s="31">
        <f>SUMIFS(METALFISA!$E:$E,METALFISA!$A:$A,'Faltantes Fevereiro- Metalfisa'!W$3,METALFISA!$B:$B,'Faltantes Fevereiro- Metalfisa'!$A280)</f>
        <v>0</v>
      </c>
      <c r="X280" s="31">
        <f>SUMIFS(METALFISA!$E:$E,METALFISA!$A:$A,'Faltantes Fevereiro- Metalfisa'!X$3,METALFISA!$B:$B,'Faltantes Fevereiro- Metalfisa'!$A280)</f>
        <v>0</v>
      </c>
      <c r="Y280" s="31">
        <f>SUMIFS(METALFISA!$E:$E,METALFISA!$A:$A,'Faltantes Fevereiro- Metalfisa'!Y$3,METALFISA!$B:$B,'Faltantes Fevereiro- Metalfisa'!$A280)</f>
        <v>0</v>
      </c>
      <c r="Z280" s="31">
        <f>SUMIFS(METALFISA!$E:$E,METALFISA!$A:$A,'Faltantes Fevereiro- Metalfisa'!Z$3,METALFISA!$B:$B,'Faltantes Fevereiro- Metalfisa'!$A280)</f>
        <v>0</v>
      </c>
      <c r="AA280" s="31">
        <f>SUMIFS(METALFISA!$E:$E,METALFISA!$A:$A,'Faltantes Fevereiro- Metalfisa'!AA$3,METALFISA!$B:$B,'Faltantes Fevereiro- Metalfisa'!$A280)</f>
        <v>0</v>
      </c>
      <c r="AB280" s="31">
        <f>SUMIFS(METALFISA!$E:$E,METALFISA!$A:$A,'Faltantes Fevereiro- Metalfisa'!AB$3,METALFISA!$B:$B,'Faltantes Fevereiro- Metalfisa'!$A280)</f>
        <v>0</v>
      </c>
      <c r="AC280" s="31">
        <f>SUMIFS(METALFISA!$E:$E,METALFISA!$A:$A,'Faltantes Fevereiro- Metalfisa'!AC$3,METALFISA!$B:$B,'Faltantes Fevereiro- Metalfisa'!$A280)</f>
        <v>0</v>
      </c>
      <c r="AD280" s="31">
        <f>SUMIFS(METALFISA!$E:$E,METALFISA!$A:$A,'Faltantes Fevereiro- Metalfisa'!AD$3,METALFISA!$B:$B,'Faltantes Fevereiro- Metalfisa'!$A280)</f>
        <v>0</v>
      </c>
      <c r="AE280" s="31">
        <f>SUMIFS(METALFISA!$E:$E,METALFISA!$A:$A,'Faltantes Fevereiro- Metalfisa'!AE$3,METALFISA!$B:$B,'Faltantes Fevereiro- Metalfisa'!$A280)</f>
        <v>1</v>
      </c>
      <c r="AF280" s="31">
        <f>SUMIFS(METALFISA!$E:$E,METALFISA!$A:$A,'Faltantes Fevereiro- Metalfisa'!AF$3,METALFISA!$B:$B,'Faltantes Fevereiro- Metalfisa'!$A280)</f>
        <v>0</v>
      </c>
      <c r="AG280" s="31">
        <f>SUMIFS(METALFISA!$E:$E,METALFISA!$A:$A,'Faltantes Fevereiro- Metalfisa'!AG$3,METALFISA!$B:$B,'Faltantes Fevereiro- Metalfisa'!$A280)</f>
        <v>0</v>
      </c>
      <c r="AH280" s="31">
        <f>SUMIFS(METALFISA!$E:$E,METALFISA!$A:$A,'Faltantes Fevereiro- Metalfisa'!AH$3,METALFISA!$B:$B,'Faltantes Fevereiro- Metalfisa'!$A280)</f>
        <v>0</v>
      </c>
      <c r="AI280" s="31">
        <f>SUMIFS(METALFISA!$E:$E,METALFISA!$A:$A,'Faltantes Fevereiro- Metalfisa'!AI$3,METALFISA!$B:$B,'Faltantes Fevereiro- Metalfisa'!$A280)</f>
        <v>0</v>
      </c>
      <c r="AJ280" s="31">
        <f>SUMIFS(METALFISA!$E:$E,METALFISA!$A:$A,'Faltantes Fevereiro- Metalfisa'!AJ$3,METALFISA!$B:$B,'Faltantes Fevereiro- Metalfisa'!$A280)</f>
        <v>0</v>
      </c>
      <c r="AK280" s="31">
        <f>SUMIFS(METALFISA!$E:$E,METALFISA!$A:$A,'Faltantes Fevereiro- Metalfisa'!AK$3,METALFISA!$B:$B,'Faltantes Fevereiro- Metalfisa'!$A280)</f>
        <v>0</v>
      </c>
      <c r="AL280" s="31">
        <f>SUMIFS(METALFISA!$E:$E,METALFISA!$A:$A,'Faltantes Fevereiro- Metalfisa'!AL$3,METALFISA!$B:$B,'Faltantes Fevereiro- Metalfisa'!$A280)</f>
        <v>0</v>
      </c>
      <c r="AM280" s="31">
        <f>SUMIFS(METALFISA!$E:$E,METALFISA!$A:$A,'Faltantes Fevereiro- Metalfisa'!AM$3,METALFISA!$B:$B,'Faltantes Fevereiro- Metalfisa'!$A280)</f>
        <v>0</v>
      </c>
      <c r="AN280" s="31">
        <f>SUMIFS(METALFISA!$E:$E,METALFISA!$A:$A,'Faltantes Fevereiro- Metalfisa'!AN$3,METALFISA!$B:$B,'Faltantes Fevereiro- Metalfisa'!$A280)</f>
        <v>0</v>
      </c>
      <c r="AO280" s="31">
        <f>SUMIFS(METALFISA!$E:$E,METALFISA!$A:$A,'Faltantes Fevereiro- Metalfisa'!AO$3,METALFISA!$B:$B,'Faltantes Fevereiro- Metalfisa'!$A280)</f>
        <v>0</v>
      </c>
      <c r="AP280" s="31">
        <f>SUMIFS(METALFISA!$E:$E,METALFISA!$A:$A,'Faltantes Fevereiro- Metalfisa'!AP$3,METALFISA!$B:$B,'Faltantes Fevereiro- Metalfisa'!$A280)</f>
        <v>0</v>
      </c>
      <c r="AQ280" s="31"/>
      <c r="AR280" s="31">
        <f>SUMIFS(METALFISA!$E:$E,METALFISA!$A:$A,'Faltantes Fevereiro- Metalfisa'!AR$3,METALFISA!$B:$B,'Faltantes Fevereiro- Metalfisa'!$A280)</f>
        <v>0</v>
      </c>
      <c r="AS280" s="35">
        <f>SUMIFS(METALFISA!$E:$E,METALFISA!$A:$A,'Faltantes Fevereiro- Metalfisa'!AS$3,METALFISA!$B:$B,'Faltantes Fevereiro- Metalfisa'!$A280)</f>
        <v>0</v>
      </c>
      <c r="AU280" s="18">
        <v>0</v>
      </c>
      <c r="AV280" s="18">
        <v>0</v>
      </c>
      <c r="AW280" s="18">
        <v>0</v>
      </c>
      <c r="AX280" s="18">
        <v>0</v>
      </c>
      <c r="AY280" s="41">
        <v>0</v>
      </c>
      <c r="AZ280" s="31">
        <v>0</v>
      </c>
      <c r="BA280" s="31">
        <v>0</v>
      </c>
      <c r="BB280" s="31">
        <v>0</v>
      </c>
      <c r="BC280" s="31">
        <v>0</v>
      </c>
      <c r="BD280" s="31">
        <v>0</v>
      </c>
      <c r="BE280" s="31">
        <v>0</v>
      </c>
      <c r="BF280" s="31">
        <v>0</v>
      </c>
      <c r="BG280" s="31">
        <v>0</v>
      </c>
      <c r="BH280" s="31">
        <v>0</v>
      </c>
      <c r="BI280" s="31">
        <v>0</v>
      </c>
      <c r="BJ280" s="31">
        <v>0</v>
      </c>
      <c r="BK280" s="31">
        <v>0</v>
      </c>
      <c r="BL280" s="31">
        <v>0</v>
      </c>
      <c r="BM280" s="31">
        <v>0</v>
      </c>
      <c r="BN280" s="31">
        <v>0</v>
      </c>
      <c r="BO280" s="31">
        <v>1</v>
      </c>
      <c r="BP280" s="31">
        <v>0</v>
      </c>
      <c r="BQ280" s="31">
        <v>0</v>
      </c>
      <c r="BR280" s="31">
        <v>0</v>
      </c>
      <c r="BS280" s="31">
        <v>0</v>
      </c>
      <c r="BT280" s="31">
        <v>0</v>
      </c>
      <c r="BU280" s="31">
        <v>0</v>
      </c>
      <c r="BV280" s="31">
        <v>0</v>
      </c>
      <c r="BW280" s="31">
        <v>0</v>
      </c>
      <c r="BX280" s="31">
        <v>0</v>
      </c>
      <c r="BY280" s="31">
        <v>0</v>
      </c>
      <c r="BZ280" s="31">
        <v>0</v>
      </c>
      <c r="CA280" s="31">
        <v>0</v>
      </c>
      <c r="CB280" s="31">
        <v>0</v>
      </c>
      <c r="CC280" s="31">
        <v>0</v>
      </c>
      <c r="CD280" s="31">
        <v>0</v>
      </c>
      <c r="CE280" s="31">
        <v>0</v>
      </c>
      <c r="CF280" s="31">
        <v>0</v>
      </c>
      <c r="CG280" s="31">
        <v>0</v>
      </c>
      <c r="CH280" s="31">
        <v>0</v>
      </c>
      <c r="CI280" s="31">
        <v>0</v>
      </c>
      <c r="CJ280" s="31">
        <v>0</v>
      </c>
      <c r="CK280" s="31">
        <v>0</v>
      </c>
      <c r="CL280" s="35">
        <v>0</v>
      </c>
    </row>
    <row r="281" spans="1:90" x14ac:dyDescent="0.15">
      <c r="A281" s="27" t="s">
        <v>1398</v>
      </c>
      <c r="B281" s="28" t="s">
        <v>1399</v>
      </c>
      <c r="C281" s="28">
        <v>0</v>
      </c>
      <c r="D281" s="28">
        <v>0</v>
      </c>
      <c r="E281" s="28">
        <v>0</v>
      </c>
      <c r="F281" s="28">
        <v>0</v>
      </c>
      <c r="G281" s="28">
        <v>32</v>
      </c>
      <c r="H281" s="28">
        <f>IFERROR(VLOOKUP(A281,[1]FALTANTES!$A:$AB,28,FALSE),"-")</f>
        <v>0</v>
      </c>
      <c r="I281" s="42">
        <f>IFERROR(VLOOKUP(A281,[1]FALTANTES!$A:$AC,29,FALSE),"-")</f>
        <v>16</v>
      </c>
      <c r="J281" s="29">
        <f>IFERROR(VLOOKUP(A281,[1]FALTANTES!$A:$AD,30,FALSE),"-")</f>
        <v>-16</v>
      </c>
      <c r="K281" s="30">
        <v>0</v>
      </c>
      <c r="L281" s="30">
        <f t="shared" si="5"/>
        <v>4</v>
      </c>
      <c r="M281" s="31">
        <f>SUMIFS(METALFISA!$E:$E,METALFISA!$A:$A,'Faltantes Fevereiro- Metalfisa'!M$3,METALFISA!$B:$B,'Faltantes Fevereiro- Metalfisa'!$A281)</f>
        <v>0</v>
      </c>
      <c r="N281" s="31">
        <f>SUMIFS(METALFISA!$E:$E,METALFISA!$A:$A,'Faltantes Fevereiro- Metalfisa'!N$3,METALFISA!$B:$B,'Faltantes Fevereiro- Metalfisa'!$A281)</f>
        <v>0</v>
      </c>
      <c r="O281" s="31">
        <f>SUMIFS(METALFISA!$E:$E,METALFISA!$A:$A,'Faltantes Fevereiro- Metalfisa'!O$3,METALFISA!$B:$B,'Faltantes Fevereiro- Metalfisa'!$A281)</f>
        <v>0</v>
      </c>
      <c r="P281" s="31">
        <f>SUMIFS(METALFISA!$E:$E,METALFISA!$A:$A,'Faltantes Fevereiro- Metalfisa'!P$3,METALFISA!$B:$B,'Faltantes Fevereiro- Metalfisa'!$A281)</f>
        <v>0</v>
      </c>
      <c r="Q281" s="31">
        <f>SUMIFS(METALFISA!$E:$E,METALFISA!$A:$A,'Faltantes Fevereiro- Metalfisa'!Q$3,METALFISA!$B:$B,'Faltantes Fevereiro- Metalfisa'!$A281)</f>
        <v>0</v>
      </c>
      <c r="R281" s="31">
        <f>SUMIFS(METALFISA!$E:$E,METALFISA!$A:$A,'Faltantes Fevereiro- Metalfisa'!R$3,METALFISA!$B:$B,'Faltantes Fevereiro- Metalfisa'!$A281)</f>
        <v>0</v>
      </c>
      <c r="S281" s="31">
        <f>SUMIFS(METALFISA!$E:$E,METALFISA!$A:$A,'Faltantes Fevereiro- Metalfisa'!S$3,METALFISA!$B:$B,'Faltantes Fevereiro- Metalfisa'!$A281)</f>
        <v>0</v>
      </c>
      <c r="T281" s="31">
        <f>SUMIFS(METALFISA!$E:$E,METALFISA!$A:$A,'Faltantes Fevereiro- Metalfisa'!T$3,METALFISA!$B:$B,'Faltantes Fevereiro- Metalfisa'!$A281)</f>
        <v>0</v>
      </c>
      <c r="U281" s="31">
        <f>SUMIFS(METALFISA!$E:$E,METALFISA!$A:$A,'Faltantes Fevereiro- Metalfisa'!U$3,METALFISA!$B:$B,'Faltantes Fevereiro- Metalfisa'!$A281)</f>
        <v>0</v>
      </c>
      <c r="V281" s="31">
        <f>SUMIFS(METALFISA!$E:$E,METALFISA!$A:$A,'Faltantes Fevereiro- Metalfisa'!V$3,METALFISA!$B:$B,'Faltantes Fevereiro- Metalfisa'!$A281)</f>
        <v>0</v>
      </c>
      <c r="W281" s="31">
        <f>SUMIFS(METALFISA!$E:$E,METALFISA!$A:$A,'Faltantes Fevereiro- Metalfisa'!W$3,METALFISA!$B:$B,'Faltantes Fevereiro- Metalfisa'!$A281)</f>
        <v>0</v>
      </c>
      <c r="X281" s="31">
        <f>SUMIFS(METALFISA!$E:$E,METALFISA!$A:$A,'Faltantes Fevereiro- Metalfisa'!X$3,METALFISA!$B:$B,'Faltantes Fevereiro- Metalfisa'!$A281)</f>
        <v>0</v>
      </c>
      <c r="Y281" s="31">
        <f>SUMIFS(METALFISA!$E:$E,METALFISA!$A:$A,'Faltantes Fevereiro- Metalfisa'!Y$3,METALFISA!$B:$B,'Faltantes Fevereiro- Metalfisa'!$A281)</f>
        <v>0</v>
      </c>
      <c r="Z281" s="31">
        <f>SUMIFS(METALFISA!$E:$E,METALFISA!$A:$A,'Faltantes Fevereiro- Metalfisa'!Z$3,METALFISA!$B:$B,'Faltantes Fevereiro- Metalfisa'!$A281)</f>
        <v>0</v>
      </c>
      <c r="AA281" s="31">
        <f>SUMIFS(METALFISA!$E:$E,METALFISA!$A:$A,'Faltantes Fevereiro- Metalfisa'!AA$3,METALFISA!$B:$B,'Faltantes Fevereiro- Metalfisa'!$A281)</f>
        <v>0</v>
      </c>
      <c r="AB281" s="31">
        <f>SUMIFS(METALFISA!$E:$E,METALFISA!$A:$A,'Faltantes Fevereiro- Metalfisa'!AB$3,METALFISA!$B:$B,'Faltantes Fevereiro- Metalfisa'!$A281)</f>
        <v>0</v>
      </c>
      <c r="AC281" s="31">
        <f>SUMIFS(METALFISA!$E:$E,METALFISA!$A:$A,'Faltantes Fevereiro- Metalfisa'!AC$3,METALFISA!$B:$B,'Faltantes Fevereiro- Metalfisa'!$A281)</f>
        <v>0</v>
      </c>
      <c r="AD281" s="31">
        <f>SUMIFS(METALFISA!$E:$E,METALFISA!$A:$A,'Faltantes Fevereiro- Metalfisa'!AD$3,METALFISA!$B:$B,'Faltantes Fevereiro- Metalfisa'!$A281)</f>
        <v>0</v>
      </c>
      <c r="AE281" s="31">
        <f>SUMIFS(METALFISA!$E:$E,METALFISA!$A:$A,'Faltantes Fevereiro- Metalfisa'!AE$3,METALFISA!$B:$B,'Faltantes Fevereiro- Metalfisa'!$A281)</f>
        <v>4</v>
      </c>
      <c r="AF281" s="31">
        <f>SUMIFS(METALFISA!$E:$E,METALFISA!$A:$A,'Faltantes Fevereiro- Metalfisa'!AF$3,METALFISA!$B:$B,'Faltantes Fevereiro- Metalfisa'!$A281)</f>
        <v>0</v>
      </c>
      <c r="AG281" s="31">
        <f>SUMIFS(METALFISA!$E:$E,METALFISA!$A:$A,'Faltantes Fevereiro- Metalfisa'!AG$3,METALFISA!$B:$B,'Faltantes Fevereiro- Metalfisa'!$A281)</f>
        <v>0</v>
      </c>
      <c r="AH281" s="31">
        <f>SUMIFS(METALFISA!$E:$E,METALFISA!$A:$A,'Faltantes Fevereiro- Metalfisa'!AH$3,METALFISA!$B:$B,'Faltantes Fevereiro- Metalfisa'!$A281)</f>
        <v>0</v>
      </c>
      <c r="AI281" s="31">
        <f>SUMIFS(METALFISA!$E:$E,METALFISA!$A:$A,'Faltantes Fevereiro- Metalfisa'!AI$3,METALFISA!$B:$B,'Faltantes Fevereiro- Metalfisa'!$A281)</f>
        <v>0</v>
      </c>
      <c r="AJ281" s="31">
        <f>SUMIFS(METALFISA!$E:$E,METALFISA!$A:$A,'Faltantes Fevereiro- Metalfisa'!AJ$3,METALFISA!$B:$B,'Faltantes Fevereiro- Metalfisa'!$A281)</f>
        <v>0</v>
      </c>
      <c r="AK281" s="31">
        <f>SUMIFS(METALFISA!$E:$E,METALFISA!$A:$A,'Faltantes Fevereiro- Metalfisa'!AK$3,METALFISA!$B:$B,'Faltantes Fevereiro- Metalfisa'!$A281)</f>
        <v>0</v>
      </c>
      <c r="AL281" s="31">
        <f>SUMIFS(METALFISA!$E:$E,METALFISA!$A:$A,'Faltantes Fevereiro- Metalfisa'!AL$3,METALFISA!$B:$B,'Faltantes Fevereiro- Metalfisa'!$A281)</f>
        <v>0</v>
      </c>
      <c r="AM281" s="31">
        <f>SUMIFS(METALFISA!$E:$E,METALFISA!$A:$A,'Faltantes Fevereiro- Metalfisa'!AM$3,METALFISA!$B:$B,'Faltantes Fevereiro- Metalfisa'!$A281)</f>
        <v>0</v>
      </c>
      <c r="AN281" s="31">
        <f>SUMIFS(METALFISA!$E:$E,METALFISA!$A:$A,'Faltantes Fevereiro- Metalfisa'!AN$3,METALFISA!$B:$B,'Faltantes Fevereiro- Metalfisa'!$A281)</f>
        <v>0</v>
      </c>
      <c r="AO281" s="31">
        <f>SUMIFS(METALFISA!$E:$E,METALFISA!$A:$A,'Faltantes Fevereiro- Metalfisa'!AO$3,METALFISA!$B:$B,'Faltantes Fevereiro- Metalfisa'!$A281)</f>
        <v>0</v>
      </c>
      <c r="AP281" s="31">
        <f>SUMIFS(METALFISA!$E:$E,METALFISA!$A:$A,'Faltantes Fevereiro- Metalfisa'!AP$3,METALFISA!$B:$B,'Faltantes Fevereiro- Metalfisa'!$A281)</f>
        <v>0</v>
      </c>
      <c r="AQ281" s="31"/>
      <c r="AR281" s="31">
        <f>SUMIFS(METALFISA!$E:$E,METALFISA!$A:$A,'Faltantes Fevereiro- Metalfisa'!AR$3,METALFISA!$B:$B,'Faltantes Fevereiro- Metalfisa'!$A281)</f>
        <v>0</v>
      </c>
      <c r="AS281" s="35">
        <f>SUMIFS(METALFISA!$E:$E,METALFISA!$A:$A,'Faltantes Fevereiro- Metalfisa'!AS$3,METALFISA!$B:$B,'Faltantes Fevereiro- Metalfisa'!$A281)</f>
        <v>0</v>
      </c>
      <c r="AU281" s="18">
        <v>0</v>
      </c>
      <c r="AV281" s="18">
        <v>0</v>
      </c>
      <c r="AW281" s="18">
        <v>0</v>
      </c>
      <c r="AX281" s="18">
        <v>0</v>
      </c>
      <c r="AY281" s="41">
        <v>0</v>
      </c>
      <c r="AZ281" s="31">
        <v>0</v>
      </c>
      <c r="BA281" s="31">
        <v>0</v>
      </c>
      <c r="BB281" s="31">
        <v>0</v>
      </c>
      <c r="BC281" s="31">
        <v>0</v>
      </c>
      <c r="BD281" s="31">
        <v>0</v>
      </c>
      <c r="BE281" s="31">
        <v>0</v>
      </c>
      <c r="BF281" s="31">
        <v>0</v>
      </c>
      <c r="BG281" s="31">
        <v>0</v>
      </c>
      <c r="BH281" s="31">
        <v>0</v>
      </c>
      <c r="BI281" s="31">
        <v>0</v>
      </c>
      <c r="BJ281" s="31">
        <v>0</v>
      </c>
      <c r="BK281" s="31">
        <v>0</v>
      </c>
      <c r="BL281" s="31">
        <v>0</v>
      </c>
      <c r="BM281" s="31">
        <v>0</v>
      </c>
      <c r="BN281" s="31">
        <v>4</v>
      </c>
      <c r="BO281" s="31">
        <v>4</v>
      </c>
      <c r="BP281" s="31">
        <v>0</v>
      </c>
      <c r="BQ281" s="31">
        <v>0</v>
      </c>
      <c r="BR281" s="31">
        <v>0</v>
      </c>
      <c r="BS281" s="31">
        <v>0</v>
      </c>
      <c r="BT281" s="31">
        <v>0</v>
      </c>
      <c r="BU281" s="31">
        <v>0</v>
      </c>
      <c r="BV281" s="31">
        <v>0</v>
      </c>
      <c r="BW281" s="31">
        <v>0</v>
      </c>
      <c r="BX281" s="31">
        <v>0</v>
      </c>
      <c r="BY281" s="31">
        <v>0</v>
      </c>
      <c r="BZ281" s="31">
        <v>0</v>
      </c>
      <c r="CA281" s="31">
        <v>0</v>
      </c>
      <c r="CB281" s="31">
        <v>0</v>
      </c>
      <c r="CC281" s="31">
        <v>0</v>
      </c>
      <c r="CD281" s="31">
        <v>0</v>
      </c>
      <c r="CE281" s="31">
        <v>0</v>
      </c>
      <c r="CF281" s="31">
        <v>0</v>
      </c>
      <c r="CG281" s="31">
        <v>0</v>
      </c>
      <c r="CH281" s="31">
        <v>0</v>
      </c>
      <c r="CI281" s="31">
        <v>0</v>
      </c>
      <c r="CJ281" s="31">
        <v>0</v>
      </c>
      <c r="CK281" s="31">
        <v>0</v>
      </c>
      <c r="CL281" s="35">
        <v>0</v>
      </c>
    </row>
    <row r="282" spans="1:90" ht="21" x14ac:dyDescent="0.15">
      <c r="A282" s="27" t="s">
        <v>1401</v>
      </c>
      <c r="B282" s="28" t="s">
        <v>1402</v>
      </c>
      <c r="C282" s="28">
        <v>0</v>
      </c>
      <c r="D282" s="28">
        <v>0</v>
      </c>
      <c r="E282" s="28">
        <v>0</v>
      </c>
      <c r="F282" s="28">
        <v>0</v>
      </c>
      <c r="G282" s="28">
        <v>25</v>
      </c>
      <c r="H282" s="28">
        <f>IFERROR(VLOOKUP(A282,[1]FALTANTES!$A:$AB,28,FALSE),"-")</f>
        <v>0</v>
      </c>
      <c r="I282" s="42">
        <f>IFERROR(VLOOKUP(A282,[1]FALTANTES!$A:$AC,29,FALSE),"-")</f>
        <v>10</v>
      </c>
      <c r="J282" s="29">
        <f>IFERROR(VLOOKUP(A282,[1]FALTANTES!$A:$AD,30,FALSE),"-")</f>
        <v>-15</v>
      </c>
      <c r="K282" s="30"/>
      <c r="L282" s="30">
        <f t="shared" si="5"/>
        <v>8</v>
      </c>
      <c r="M282" s="31">
        <f>SUMIFS(METALFISA!$E:$E,METALFISA!$A:$A,'Faltantes Fevereiro- Metalfisa'!M$3,METALFISA!$B:$B,'Faltantes Fevereiro- Metalfisa'!$A282)</f>
        <v>0</v>
      </c>
      <c r="N282" s="31">
        <f>SUMIFS(METALFISA!$E:$E,METALFISA!$A:$A,'Faltantes Fevereiro- Metalfisa'!N$3,METALFISA!$B:$B,'Faltantes Fevereiro- Metalfisa'!$A282)</f>
        <v>0</v>
      </c>
      <c r="O282" s="31">
        <f>SUMIFS(METALFISA!$E:$E,METALFISA!$A:$A,'Faltantes Fevereiro- Metalfisa'!O$3,METALFISA!$B:$B,'Faltantes Fevereiro- Metalfisa'!$A282)</f>
        <v>0</v>
      </c>
      <c r="P282" s="31">
        <f>SUMIFS(METALFISA!$E:$E,METALFISA!$A:$A,'Faltantes Fevereiro- Metalfisa'!P$3,METALFISA!$B:$B,'Faltantes Fevereiro- Metalfisa'!$A282)</f>
        <v>0</v>
      </c>
      <c r="Q282" s="31">
        <f>SUMIFS(METALFISA!$E:$E,METALFISA!$A:$A,'Faltantes Fevereiro- Metalfisa'!Q$3,METALFISA!$B:$B,'Faltantes Fevereiro- Metalfisa'!$A282)</f>
        <v>0</v>
      </c>
      <c r="R282" s="31">
        <f>SUMIFS(METALFISA!$E:$E,METALFISA!$A:$A,'Faltantes Fevereiro- Metalfisa'!R$3,METALFISA!$B:$B,'Faltantes Fevereiro- Metalfisa'!$A282)</f>
        <v>0</v>
      </c>
      <c r="S282" s="31">
        <f>SUMIFS(METALFISA!$E:$E,METALFISA!$A:$A,'Faltantes Fevereiro- Metalfisa'!S$3,METALFISA!$B:$B,'Faltantes Fevereiro- Metalfisa'!$A282)</f>
        <v>0</v>
      </c>
      <c r="T282" s="31">
        <f>SUMIFS(METALFISA!$E:$E,METALFISA!$A:$A,'Faltantes Fevereiro- Metalfisa'!T$3,METALFISA!$B:$B,'Faltantes Fevereiro- Metalfisa'!$A282)</f>
        <v>0</v>
      </c>
      <c r="U282" s="31">
        <f>SUMIFS(METALFISA!$E:$E,METALFISA!$A:$A,'Faltantes Fevereiro- Metalfisa'!U$3,METALFISA!$B:$B,'Faltantes Fevereiro- Metalfisa'!$A282)</f>
        <v>0</v>
      </c>
      <c r="V282" s="31">
        <f>SUMIFS(METALFISA!$E:$E,METALFISA!$A:$A,'Faltantes Fevereiro- Metalfisa'!V$3,METALFISA!$B:$B,'Faltantes Fevereiro- Metalfisa'!$A282)</f>
        <v>0</v>
      </c>
      <c r="W282" s="31">
        <f>SUMIFS(METALFISA!$E:$E,METALFISA!$A:$A,'Faltantes Fevereiro- Metalfisa'!W$3,METALFISA!$B:$B,'Faltantes Fevereiro- Metalfisa'!$A282)</f>
        <v>0</v>
      </c>
      <c r="X282" s="31">
        <f>SUMIFS(METALFISA!$E:$E,METALFISA!$A:$A,'Faltantes Fevereiro- Metalfisa'!X$3,METALFISA!$B:$B,'Faltantes Fevereiro- Metalfisa'!$A282)</f>
        <v>0</v>
      </c>
      <c r="Y282" s="31">
        <f>SUMIFS(METALFISA!$E:$E,METALFISA!$A:$A,'Faltantes Fevereiro- Metalfisa'!Y$3,METALFISA!$B:$B,'Faltantes Fevereiro- Metalfisa'!$A282)</f>
        <v>0</v>
      </c>
      <c r="Z282" s="31">
        <f>SUMIFS(METALFISA!$E:$E,METALFISA!$A:$A,'Faltantes Fevereiro- Metalfisa'!Z$3,METALFISA!$B:$B,'Faltantes Fevereiro- Metalfisa'!$A282)</f>
        <v>0</v>
      </c>
      <c r="AA282" s="31">
        <f>SUMIFS(METALFISA!$E:$E,METALFISA!$A:$A,'Faltantes Fevereiro- Metalfisa'!AA$3,METALFISA!$B:$B,'Faltantes Fevereiro- Metalfisa'!$A282)</f>
        <v>0</v>
      </c>
      <c r="AB282" s="31">
        <f>SUMIFS(METALFISA!$E:$E,METALFISA!$A:$A,'Faltantes Fevereiro- Metalfisa'!AB$3,METALFISA!$B:$B,'Faltantes Fevereiro- Metalfisa'!$A282)</f>
        <v>0</v>
      </c>
      <c r="AC282" s="31">
        <f>SUMIFS(METALFISA!$E:$E,METALFISA!$A:$A,'Faltantes Fevereiro- Metalfisa'!AC$3,METALFISA!$B:$B,'Faltantes Fevereiro- Metalfisa'!$A282)</f>
        <v>0</v>
      </c>
      <c r="AD282" s="31">
        <f>SUMIFS(METALFISA!$E:$E,METALFISA!$A:$A,'Faltantes Fevereiro- Metalfisa'!AD$3,METALFISA!$B:$B,'Faltantes Fevereiro- Metalfisa'!$A282)</f>
        <v>0</v>
      </c>
      <c r="AE282" s="31">
        <f>SUMIFS(METALFISA!$E:$E,METALFISA!$A:$A,'Faltantes Fevereiro- Metalfisa'!AE$3,METALFISA!$B:$B,'Faltantes Fevereiro- Metalfisa'!$A282)</f>
        <v>8</v>
      </c>
      <c r="AF282" s="31">
        <f>SUMIFS(METALFISA!$E:$E,METALFISA!$A:$A,'Faltantes Fevereiro- Metalfisa'!AF$3,METALFISA!$B:$B,'Faltantes Fevereiro- Metalfisa'!$A282)</f>
        <v>0</v>
      </c>
      <c r="AG282" s="31">
        <f>SUMIFS(METALFISA!$E:$E,METALFISA!$A:$A,'Faltantes Fevereiro- Metalfisa'!AG$3,METALFISA!$B:$B,'Faltantes Fevereiro- Metalfisa'!$A282)</f>
        <v>0</v>
      </c>
      <c r="AH282" s="31">
        <f>SUMIFS(METALFISA!$E:$E,METALFISA!$A:$A,'Faltantes Fevereiro- Metalfisa'!AH$3,METALFISA!$B:$B,'Faltantes Fevereiro- Metalfisa'!$A282)</f>
        <v>0</v>
      </c>
      <c r="AI282" s="31">
        <f>SUMIFS(METALFISA!$E:$E,METALFISA!$A:$A,'Faltantes Fevereiro- Metalfisa'!AI$3,METALFISA!$B:$B,'Faltantes Fevereiro- Metalfisa'!$A282)</f>
        <v>0</v>
      </c>
      <c r="AJ282" s="31">
        <f>SUMIFS(METALFISA!$E:$E,METALFISA!$A:$A,'Faltantes Fevereiro- Metalfisa'!AJ$3,METALFISA!$B:$B,'Faltantes Fevereiro- Metalfisa'!$A282)</f>
        <v>0</v>
      </c>
      <c r="AK282" s="31">
        <f>SUMIFS(METALFISA!$E:$E,METALFISA!$A:$A,'Faltantes Fevereiro- Metalfisa'!AK$3,METALFISA!$B:$B,'Faltantes Fevereiro- Metalfisa'!$A282)</f>
        <v>0</v>
      </c>
      <c r="AL282" s="31">
        <f>SUMIFS(METALFISA!$E:$E,METALFISA!$A:$A,'Faltantes Fevereiro- Metalfisa'!AL$3,METALFISA!$B:$B,'Faltantes Fevereiro- Metalfisa'!$A282)</f>
        <v>0</v>
      </c>
      <c r="AM282" s="31">
        <f>SUMIFS(METALFISA!$E:$E,METALFISA!$A:$A,'Faltantes Fevereiro- Metalfisa'!AM$3,METALFISA!$B:$B,'Faltantes Fevereiro- Metalfisa'!$A282)</f>
        <v>0</v>
      </c>
      <c r="AN282" s="31">
        <f>SUMIFS(METALFISA!$E:$E,METALFISA!$A:$A,'Faltantes Fevereiro- Metalfisa'!AN$3,METALFISA!$B:$B,'Faltantes Fevereiro- Metalfisa'!$A282)</f>
        <v>0</v>
      </c>
      <c r="AO282" s="31">
        <f>SUMIFS(METALFISA!$E:$E,METALFISA!$A:$A,'Faltantes Fevereiro- Metalfisa'!AO$3,METALFISA!$B:$B,'Faltantes Fevereiro- Metalfisa'!$A282)</f>
        <v>0</v>
      </c>
      <c r="AP282" s="31">
        <f>SUMIFS(METALFISA!$E:$E,METALFISA!$A:$A,'Faltantes Fevereiro- Metalfisa'!AP$3,METALFISA!$B:$B,'Faltantes Fevereiro- Metalfisa'!$A282)</f>
        <v>0</v>
      </c>
      <c r="AQ282" s="31"/>
      <c r="AR282" s="31">
        <f>SUMIFS(METALFISA!$E:$E,METALFISA!$A:$A,'Faltantes Fevereiro- Metalfisa'!AR$3,METALFISA!$B:$B,'Faltantes Fevereiro- Metalfisa'!$A282)</f>
        <v>0</v>
      </c>
      <c r="AS282" s="35">
        <f>SUMIFS(METALFISA!$E:$E,METALFISA!$A:$A,'Faltantes Fevereiro- Metalfisa'!AS$3,METALFISA!$B:$B,'Faltantes Fevereiro- Metalfisa'!$A282)</f>
        <v>0</v>
      </c>
      <c r="AU282" s="18">
        <v>0</v>
      </c>
      <c r="AV282" s="18">
        <v>0</v>
      </c>
      <c r="AW282" s="18">
        <v>0</v>
      </c>
      <c r="AX282" s="18">
        <v>0</v>
      </c>
      <c r="AY282" s="41">
        <v>0</v>
      </c>
      <c r="AZ282" s="31">
        <v>0</v>
      </c>
      <c r="BA282" s="31">
        <v>0</v>
      </c>
      <c r="BB282" s="31">
        <v>0</v>
      </c>
      <c r="BC282" s="31">
        <v>0</v>
      </c>
      <c r="BD282" s="31">
        <v>0</v>
      </c>
      <c r="BE282" s="31">
        <v>0</v>
      </c>
      <c r="BF282" s="31">
        <v>0</v>
      </c>
      <c r="BG282" s="31">
        <v>0</v>
      </c>
      <c r="BH282" s="31">
        <v>0</v>
      </c>
      <c r="BI282" s="31">
        <v>0</v>
      </c>
      <c r="BJ282" s="31">
        <v>0</v>
      </c>
      <c r="BK282" s="31">
        <v>0</v>
      </c>
      <c r="BL282" s="31">
        <v>0</v>
      </c>
      <c r="BM282" s="31">
        <v>0</v>
      </c>
      <c r="BN282" s="31">
        <v>1</v>
      </c>
      <c r="BO282" s="31">
        <v>5</v>
      </c>
      <c r="BP282" s="31">
        <v>0</v>
      </c>
      <c r="BQ282" s="31">
        <v>0</v>
      </c>
      <c r="BR282" s="31">
        <v>0</v>
      </c>
      <c r="BS282" s="31">
        <v>0</v>
      </c>
      <c r="BT282" s="31">
        <v>0</v>
      </c>
      <c r="BU282" s="31">
        <v>0</v>
      </c>
      <c r="BV282" s="31">
        <v>0</v>
      </c>
      <c r="BW282" s="31">
        <v>0</v>
      </c>
      <c r="BX282" s="31">
        <v>0</v>
      </c>
      <c r="BY282" s="31">
        <v>0</v>
      </c>
      <c r="BZ282" s="31">
        <v>0</v>
      </c>
      <c r="CA282" s="31">
        <v>0</v>
      </c>
      <c r="CB282" s="31">
        <v>0</v>
      </c>
      <c r="CC282" s="31">
        <v>0</v>
      </c>
      <c r="CD282" s="31">
        <v>0</v>
      </c>
      <c r="CE282" s="31">
        <v>0</v>
      </c>
      <c r="CF282" s="31">
        <v>0</v>
      </c>
      <c r="CG282" s="31">
        <v>0</v>
      </c>
      <c r="CH282" s="31">
        <v>0</v>
      </c>
      <c r="CI282" s="31">
        <v>0</v>
      </c>
      <c r="CJ282" s="31">
        <v>0</v>
      </c>
      <c r="CK282" s="31">
        <v>0</v>
      </c>
      <c r="CL282" s="35">
        <v>0</v>
      </c>
    </row>
    <row r="283" spans="1:90" ht="21" x14ac:dyDescent="0.15">
      <c r="A283" s="27" t="s">
        <v>1404</v>
      </c>
      <c r="B283" s="28" t="s">
        <v>1405</v>
      </c>
      <c r="C283" s="28">
        <v>0</v>
      </c>
      <c r="D283" s="28">
        <v>0</v>
      </c>
      <c r="E283" s="28">
        <v>0</v>
      </c>
      <c r="F283" s="28">
        <v>0</v>
      </c>
      <c r="G283" s="28">
        <v>7</v>
      </c>
      <c r="H283" s="28">
        <f>IFERROR(VLOOKUP(A283,[1]FALTANTES!$A:$AB,28,FALSE),"-")</f>
        <v>0</v>
      </c>
      <c r="I283" s="42">
        <f>IFERROR(VLOOKUP(A283,[1]FALTANTES!$A:$AC,29,FALSE),"-")</f>
        <v>2</v>
      </c>
      <c r="J283" s="29">
        <f>IFERROR(VLOOKUP(A283,[1]FALTANTES!$A:$AD,30,FALSE),"-")</f>
        <v>-5</v>
      </c>
      <c r="K283" s="30"/>
      <c r="L283" s="30">
        <f t="shared" si="5"/>
        <v>2</v>
      </c>
      <c r="M283" s="31">
        <f>SUMIFS(METALFISA!$E:$E,METALFISA!$A:$A,'Faltantes Fevereiro- Metalfisa'!M$3,METALFISA!$B:$B,'Faltantes Fevereiro- Metalfisa'!$A283)</f>
        <v>0</v>
      </c>
      <c r="N283" s="31">
        <f>SUMIFS(METALFISA!$E:$E,METALFISA!$A:$A,'Faltantes Fevereiro- Metalfisa'!N$3,METALFISA!$B:$B,'Faltantes Fevereiro- Metalfisa'!$A283)</f>
        <v>0</v>
      </c>
      <c r="O283" s="31">
        <f>SUMIFS(METALFISA!$E:$E,METALFISA!$A:$A,'Faltantes Fevereiro- Metalfisa'!O$3,METALFISA!$B:$B,'Faltantes Fevereiro- Metalfisa'!$A283)</f>
        <v>0</v>
      </c>
      <c r="P283" s="31">
        <f>SUMIFS(METALFISA!$E:$E,METALFISA!$A:$A,'Faltantes Fevereiro- Metalfisa'!P$3,METALFISA!$B:$B,'Faltantes Fevereiro- Metalfisa'!$A283)</f>
        <v>0</v>
      </c>
      <c r="Q283" s="31">
        <f>SUMIFS(METALFISA!$E:$E,METALFISA!$A:$A,'Faltantes Fevereiro- Metalfisa'!Q$3,METALFISA!$B:$B,'Faltantes Fevereiro- Metalfisa'!$A283)</f>
        <v>0</v>
      </c>
      <c r="R283" s="31">
        <f>SUMIFS(METALFISA!$E:$E,METALFISA!$A:$A,'Faltantes Fevereiro- Metalfisa'!R$3,METALFISA!$B:$B,'Faltantes Fevereiro- Metalfisa'!$A283)</f>
        <v>0</v>
      </c>
      <c r="S283" s="31">
        <f>SUMIFS(METALFISA!$E:$E,METALFISA!$A:$A,'Faltantes Fevereiro- Metalfisa'!S$3,METALFISA!$B:$B,'Faltantes Fevereiro- Metalfisa'!$A283)</f>
        <v>0</v>
      </c>
      <c r="T283" s="31">
        <f>SUMIFS(METALFISA!$E:$E,METALFISA!$A:$A,'Faltantes Fevereiro- Metalfisa'!T$3,METALFISA!$B:$B,'Faltantes Fevereiro- Metalfisa'!$A283)</f>
        <v>0</v>
      </c>
      <c r="U283" s="31">
        <f>SUMIFS(METALFISA!$E:$E,METALFISA!$A:$A,'Faltantes Fevereiro- Metalfisa'!U$3,METALFISA!$B:$B,'Faltantes Fevereiro- Metalfisa'!$A283)</f>
        <v>0</v>
      </c>
      <c r="V283" s="31">
        <f>SUMIFS(METALFISA!$E:$E,METALFISA!$A:$A,'Faltantes Fevereiro- Metalfisa'!V$3,METALFISA!$B:$B,'Faltantes Fevereiro- Metalfisa'!$A283)</f>
        <v>0</v>
      </c>
      <c r="W283" s="31">
        <f>SUMIFS(METALFISA!$E:$E,METALFISA!$A:$A,'Faltantes Fevereiro- Metalfisa'!W$3,METALFISA!$B:$B,'Faltantes Fevereiro- Metalfisa'!$A283)</f>
        <v>0</v>
      </c>
      <c r="X283" s="31">
        <f>SUMIFS(METALFISA!$E:$E,METALFISA!$A:$A,'Faltantes Fevereiro- Metalfisa'!X$3,METALFISA!$B:$B,'Faltantes Fevereiro- Metalfisa'!$A283)</f>
        <v>0</v>
      </c>
      <c r="Y283" s="31">
        <f>SUMIFS(METALFISA!$E:$E,METALFISA!$A:$A,'Faltantes Fevereiro- Metalfisa'!Y$3,METALFISA!$B:$B,'Faltantes Fevereiro- Metalfisa'!$A283)</f>
        <v>0</v>
      </c>
      <c r="Z283" s="31">
        <f>SUMIFS(METALFISA!$E:$E,METALFISA!$A:$A,'Faltantes Fevereiro- Metalfisa'!Z$3,METALFISA!$B:$B,'Faltantes Fevereiro- Metalfisa'!$A283)</f>
        <v>0</v>
      </c>
      <c r="AA283" s="31">
        <f>SUMIFS(METALFISA!$E:$E,METALFISA!$A:$A,'Faltantes Fevereiro- Metalfisa'!AA$3,METALFISA!$B:$B,'Faltantes Fevereiro- Metalfisa'!$A283)</f>
        <v>0</v>
      </c>
      <c r="AB283" s="31">
        <f>SUMIFS(METALFISA!$E:$E,METALFISA!$A:$A,'Faltantes Fevereiro- Metalfisa'!AB$3,METALFISA!$B:$B,'Faltantes Fevereiro- Metalfisa'!$A283)</f>
        <v>0</v>
      </c>
      <c r="AC283" s="31">
        <f>SUMIFS(METALFISA!$E:$E,METALFISA!$A:$A,'Faltantes Fevereiro- Metalfisa'!AC$3,METALFISA!$B:$B,'Faltantes Fevereiro- Metalfisa'!$A283)</f>
        <v>0</v>
      </c>
      <c r="AD283" s="31">
        <f>SUMIFS(METALFISA!$E:$E,METALFISA!$A:$A,'Faltantes Fevereiro- Metalfisa'!AD$3,METALFISA!$B:$B,'Faltantes Fevereiro- Metalfisa'!$A283)</f>
        <v>0</v>
      </c>
      <c r="AE283" s="31">
        <f>SUMIFS(METALFISA!$E:$E,METALFISA!$A:$A,'Faltantes Fevereiro- Metalfisa'!AE$3,METALFISA!$B:$B,'Faltantes Fevereiro- Metalfisa'!$A283)</f>
        <v>2</v>
      </c>
      <c r="AF283" s="31">
        <f>SUMIFS(METALFISA!$E:$E,METALFISA!$A:$A,'Faltantes Fevereiro- Metalfisa'!AF$3,METALFISA!$B:$B,'Faltantes Fevereiro- Metalfisa'!$A283)</f>
        <v>0</v>
      </c>
      <c r="AG283" s="31">
        <f>SUMIFS(METALFISA!$E:$E,METALFISA!$A:$A,'Faltantes Fevereiro- Metalfisa'!AG$3,METALFISA!$B:$B,'Faltantes Fevereiro- Metalfisa'!$A283)</f>
        <v>0</v>
      </c>
      <c r="AH283" s="31">
        <f>SUMIFS(METALFISA!$E:$E,METALFISA!$A:$A,'Faltantes Fevereiro- Metalfisa'!AH$3,METALFISA!$B:$B,'Faltantes Fevereiro- Metalfisa'!$A283)</f>
        <v>0</v>
      </c>
      <c r="AI283" s="31">
        <f>SUMIFS(METALFISA!$E:$E,METALFISA!$A:$A,'Faltantes Fevereiro- Metalfisa'!AI$3,METALFISA!$B:$B,'Faltantes Fevereiro- Metalfisa'!$A283)</f>
        <v>0</v>
      </c>
      <c r="AJ283" s="31">
        <f>SUMIFS(METALFISA!$E:$E,METALFISA!$A:$A,'Faltantes Fevereiro- Metalfisa'!AJ$3,METALFISA!$B:$B,'Faltantes Fevereiro- Metalfisa'!$A283)</f>
        <v>0</v>
      </c>
      <c r="AK283" s="31">
        <f>SUMIFS(METALFISA!$E:$E,METALFISA!$A:$A,'Faltantes Fevereiro- Metalfisa'!AK$3,METALFISA!$B:$B,'Faltantes Fevereiro- Metalfisa'!$A283)</f>
        <v>0</v>
      </c>
      <c r="AL283" s="31">
        <f>SUMIFS(METALFISA!$E:$E,METALFISA!$A:$A,'Faltantes Fevereiro- Metalfisa'!AL$3,METALFISA!$B:$B,'Faltantes Fevereiro- Metalfisa'!$A283)</f>
        <v>0</v>
      </c>
      <c r="AM283" s="31">
        <f>SUMIFS(METALFISA!$E:$E,METALFISA!$A:$A,'Faltantes Fevereiro- Metalfisa'!AM$3,METALFISA!$B:$B,'Faltantes Fevereiro- Metalfisa'!$A283)</f>
        <v>0</v>
      </c>
      <c r="AN283" s="31">
        <f>SUMIFS(METALFISA!$E:$E,METALFISA!$A:$A,'Faltantes Fevereiro- Metalfisa'!AN$3,METALFISA!$B:$B,'Faltantes Fevereiro- Metalfisa'!$A283)</f>
        <v>0</v>
      </c>
      <c r="AO283" s="31">
        <f>SUMIFS(METALFISA!$E:$E,METALFISA!$A:$A,'Faltantes Fevereiro- Metalfisa'!AO$3,METALFISA!$B:$B,'Faltantes Fevereiro- Metalfisa'!$A283)</f>
        <v>0</v>
      </c>
      <c r="AP283" s="31">
        <f>SUMIFS(METALFISA!$E:$E,METALFISA!$A:$A,'Faltantes Fevereiro- Metalfisa'!AP$3,METALFISA!$B:$B,'Faltantes Fevereiro- Metalfisa'!$A283)</f>
        <v>0</v>
      </c>
      <c r="AQ283" s="31"/>
      <c r="AR283" s="31">
        <f>SUMIFS(METALFISA!$E:$E,METALFISA!$A:$A,'Faltantes Fevereiro- Metalfisa'!AR$3,METALFISA!$B:$B,'Faltantes Fevereiro- Metalfisa'!$A283)</f>
        <v>0</v>
      </c>
      <c r="AS283" s="35">
        <f>SUMIFS(METALFISA!$E:$E,METALFISA!$A:$A,'Faltantes Fevereiro- Metalfisa'!AS$3,METALFISA!$B:$B,'Faltantes Fevereiro- Metalfisa'!$A283)</f>
        <v>0</v>
      </c>
      <c r="AU283" s="18">
        <v>0</v>
      </c>
      <c r="AV283" s="18">
        <v>0</v>
      </c>
      <c r="AW283" s="18">
        <v>0</v>
      </c>
      <c r="AX283" s="18">
        <v>0</v>
      </c>
      <c r="AY283" s="41">
        <v>0</v>
      </c>
      <c r="AZ283" s="31">
        <v>0</v>
      </c>
      <c r="BA283" s="31">
        <v>0</v>
      </c>
      <c r="BB283" s="31">
        <v>0</v>
      </c>
      <c r="BC283" s="31">
        <v>0</v>
      </c>
      <c r="BD283" s="31">
        <v>0</v>
      </c>
      <c r="BE283" s="31">
        <v>0</v>
      </c>
      <c r="BF283" s="31">
        <v>0</v>
      </c>
      <c r="BG283" s="31">
        <v>0</v>
      </c>
      <c r="BH283" s="31">
        <v>0</v>
      </c>
      <c r="BI283" s="31">
        <v>0</v>
      </c>
      <c r="BJ283" s="31">
        <v>0</v>
      </c>
      <c r="BK283" s="31">
        <v>0</v>
      </c>
      <c r="BL283" s="31">
        <v>0</v>
      </c>
      <c r="BM283" s="31">
        <v>0</v>
      </c>
      <c r="BN283" s="31">
        <v>1</v>
      </c>
      <c r="BO283" s="31">
        <v>1</v>
      </c>
      <c r="BP283" s="31">
        <v>0</v>
      </c>
      <c r="BQ283" s="31">
        <v>0</v>
      </c>
      <c r="BR283" s="31">
        <v>0</v>
      </c>
      <c r="BS283" s="31">
        <v>0</v>
      </c>
      <c r="BT283" s="31">
        <v>0</v>
      </c>
      <c r="BU283" s="31">
        <v>0</v>
      </c>
      <c r="BV283" s="31">
        <v>0</v>
      </c>
      <c r="BW283" s="31">
        <v>0</v>
      </c>
      <c r="BX283" s="31">
        <v>0</v>
      </c>
      <c r="BY283" s="31">
        <v>0</v>
      </c>
      <c r="BZ283" s="31">
        <v>0</v>
      </c>
      <c r="CA283" s="31">
        <v>0</v>
      </c>
      <c r="CB283" s="31">
        <v>0</v>
      </c>
      <c r="CC283" s="31">
        <v>0</v>
      </c>
      <c r="CD283" s="31">
        <v>0</v>
      </c>
      <c r="CE283" s="31">
        <v>0</v>
      </c>
      <c r="CF283" s="31">
        <v>0</v>
      </c>
      <c r="CG283" s="31">
        <v>0</v>
      </c>
      <c r="CH283" s="31">
        <v>0</v>
      </c>
      <c r="CI283" s="31">
        <v>0</v>
      </c>
      <c r="CJ283" s="31">
        <v>0</v>
      </c>
      <c r="CK283" s="31">
        <v>0</v>
      </c>
      <c r="CL283" s="35">
        <v>0</v>
      </c>
    </row>
    <row r="284" spans="1:90" ht="31.5" x14ac:dyDescent="0.15">
      <c r="A284" s="27" t="s">
        <v>1406</v>
      </c>
      <c r="B284" s="28" t="s">
        <v>1407</v>
      </c>
      <c r="C284" s="28">
        <v>1</v>
      </c>
      <c r="D284" s="28">
        <v>0</v>
      </c>
      <c r="E284" s="28">
        <v>0</v>
      </c>
      <c r="F284" s="28">
        <v>0</v>
      </c>
      <c r="G284" s="28">
        <v>6</v>
      </c>
      <c r="H284" s="28">
        <f>IFERROR(VLOOKUP(A284,[1]FALTANTES!$A:$AB,28,FALSE),"-")</f>
        <v>0</v>
      </c>
      <c r="I284" s="42">
        <f>IFERROR(VLOOKUP(A284,[1]FALTANTES!$A:$AC,29,FALSE),"-")</f>
        <v>4</v>
      </c>
      <c r="J284" s="29">
        <f>IFERROR(VLOOKUP(A284,[1]FALTANTES!$A:$AD,30,FALSE),"-")</f>
        <v>-3</v>
      </c>
      <c r="K284" s="30" t="s">
        <v>5639</v>
      </c>
      <c r="L284" s="30">
        <f t="shared" si="5"/>
        <v>1</v>
      </c>
      <c r="M284" s="31">
        <f>SUMIFS(METALFISA!$E:$E,METALFISA!$A:$A,'Faltantes Fevereiro- Metalfisa'!M$3,METALFISA!$B:$B,'Faltantes Fevereiro- Metalfisa'!$A284)</f>
        <v>0</v>
      </c>
      <c r="N284" s="31">
        <f>SUMIFS(METALFISA!$E:$E,METALFISA!$A:$A,'Faltantes Fevereiro- Metalfisa'!N$3,METALFISA!$B:$B,'Faltantes Fevereiro- Metalfisa'!$A284)</f>
        <v>0</v>
      </c>
      <c r="O284" s="31">
        <f>SUMIFS(METALFISA!$E:$E,METALFISA!$A:$A,'Faltantes Fevereiro- Metalfisa'!O$3,METALFISA!$B:$B,'Faltantes Fevereiro- Metalfisa'!$A284)</f>
        <v>0</v>
      </c>
      <c r="P284" s="31">
        <f>SUMIFS(METALFISA!$E:$E,METALFISA!$A:$A,'Faltantes Fevereiro- Metalfisa'!P$3,METALFISA!$B:$B,'Faltantes Fevereiro- Metalfisa'!$A284)</f>
        <v>0</v>
      </c>
      <c r="Q284" s="31">
        <f>SUMIFS(METALFISA!$E:$E,METALFISA!$A:$A,'Faltantes Fevereiro- Metalfisa'!Q$3,METALFISA!$B:$B,'Faltantes Fevereiro- Metalfisa'!$A284)</f>
        <v>0</v>
      </c>
      <c r="R284" s="31">
        <f>SUMIFS(METALFISA!$E:$E,METALFISA!$A:$A,'Faltantes Fevereiro- Metalfisa'!R$3,METALFISA!$B:$B,'Faltantes Fevereiro- Metalfisa'!$A284)</f>
        <v>0</v>
      </c>
      <c r="S284" s="31">
        <f>SUMIFS(METALFISA!$E:$E,METALFISA!$A:$A,'Faltantes Fevereiro- Metalfisa'!S$3,METALFISA!$B:$B,'Faltantes Fevereiro- Metalfisa'!$A284)</f>
        <v>0</v>
      </c>
      <c r="T284" s="31">
        <f>SUMIFS(METALFISA!$E:$E,METALFISA!$A:$A,'Faltantes Fevereiro- Metalfisa'!T$3,METALFISA!$B:$B,'Faltantes Fevereiro- Metalfisa'!$A284)</f>
        <v>0</v>
      </c>
      <c r="U284" s="31">
        <f>SUMIFS(METALFISA!$E:$E,METALFISA!$A:$A,'Faltantes Fevereiro- Metalfisa'!U$3,METALFISA!$B:$B,'Faltantes Fevereiro- Metalfisa'!$A284)</f>
        <v>0</v>
      </c>
      <c r="V284" s="31">
        <f>SUMIFS(METALFISA!$E:$E,METALFISA!$A:$A,'Faltantes Fevereiro- Metalfisa'!V$3,METALFISA!$B:$B,'Faltantes Fevereiro- Metalfisa'!$A284)</f>
        <v>0</v>
      </c>
      <c r="W284" s="31">
        <f>SUMIFS(METALFISA!$E:$E,METALFISA!$A:$A,'Faltantes Fevereiro- Metalfisa'!W$3,METALFISA!$B:$B,'Faltantes Fevereiro- Metalfisa'!$A284)</f>
        <v>0</v>
      </c>
      <c r="X284" s="31">
        <f>SUMIFS(METALFISA!$E:$E,METALFISA!$A:$A,'Faltantes Fevereiro- Metalfisa'!X$3,METALFISA!$B:$B,'Faltantes Fevereiro- Metalfisa'!$A284)</f>
        <v>0</v>
      </c>
      <c r="Y284" s="31">
        <f>SUMIFS(METALFISA!$E:$E,METALFISA!$A:$A,'Faltantes Fevereiro- Metalfisa'!Y$3,METALFISA!$B:$B,'Faltantes Fevereiro- Metalfisa'!$A284)</f>
        <v>0</v>
      </c>
      <c r="Z284" s="31">
        <f>SUMIFS(METALFISA!$E:$E,METALFISA!$A:$A,'Faltantes Fevereiro- Metalfisa'!Z$3,METALFISA!$B:$B,'Faltantes Fevereiro- Metalfisa'!$A284)</f>
        <v>0</v>
      </c>
      <c r="AA284" s="31">
        <f>SUMIFS(METALFISA!$E:$E,METALFISA!$A:$A,'Faltantes Fevereiro- Metalfisa'!AA$3,METALFISA!$B:$B,'Faltantes Fevereiro- Metalfisa'!$A284)</f>
        <v>0</v>
      </c>
      <c r="AB284" s="31">
        <f>SUMIFS(METALFISA!$E:$E,METALFISA!$A:$A,'Faltantes Fevereiro- Metalfisa'!AB$3,METALFISA!$B:$B,'Faltantes Fevereiro- Metalfisa'!$A284)</f>
        <v>0</v>
      </c>
      <c r="AC284" s="31">
        <f>SUMIFS(METALFISA!$E:$E,METALFISA!$A:$A,'Faltantes Fevereiro- Metalfisa'!AC$3,METALFISA!$B:$B,'Faltantes Fevereiro- Metalfisa'!$A284)</f>
        <v>0</v>
      </c>
      <c r="AD284" s="31">
        <f>SUMIFS(METALFISA!$E:$E,METALFISA!$A:$A,'Faltantes Fevereiro- Metalfisa'!AD$3,METALFISA!$B:$B,'Faltantes Fevereiro- Metalfisa'!$A284)</f>
        <v>0</v>
      </c>
      <c r="AE284" s="31">
        <f>SUMIFS(METALFISA!$E:$E,METALFISA!$A:$A,'Faltantes Fevereiro- Metalfisa'!AE$3,METALFISA!$B:$B,'Faltantes Fevereiro- Metalfisa'!$A284)</f>
        <v>0</v>
      </c>
      <c r="AF284" s="31">
        <f>SUMIFS(METALFISA!$E:$E,METALFISA!$A:$A,'Faltantes Fevereiro- Metalfisa'!AF$3,METALFISA!$B:$B,'Faltantes Fevereiro- Metalfisa'!$A284)</f>
        <v>0</v>
      </c>
      <c r="AG284" s="31">
        <f>SUMIFS(METALFISA!$E:$E,METALFISA!$A:$A,'Faltantes Fevereiro- Metalfisa'!AG$3,METALFISA!$B:$B,'Faltantes Fevereiro- Metalfisa'!$A284)</f>
        <v>0</v>
      </c>
      <c r="AH284" s="31">
        <f>SUMIFS(METALFISA!$E:$E,METALFISA!$A:$A,'Faltantes Fevereiro- Metalfisa'!AH$3,METALFISA!$B:$B,'Faltantes Fevereiro- Metalfisa'!$A284)</f>
        <v>0</v>
      </c>
      <c r="AI284" s="31">
        <f>SUMIFS(METALFISA!$E:$E,METALFISA!$A:$A,'Faltantes Fevereiro- Metalfisa'!AI$3,METALFISA!$B:$B,'Faltantes Fevereiro- Metalfisa'!$A284)</f>
        <v>0</v>
      </c>
      <c r="AJ284" s="31">
        <f>SUMIFS(METALFISA!$E:$E,METALFISA!$A:$A,'Faltantes Fevereiro- Metalfisa'!AJ$3,METALFISA!$B:$B,'Faltantes Fevereiro- Metalfisa'!$A284)</f>
        <v>0</v>
      </c>
      <c r="AK284" s="31">
        <f>SUMIFS(METALFISA!$E:$E,METALFISA!$A:$A,'Faltantes Fevereiro- Metalfisa'!AK$3,METALFISA!$B:$B,'Faltantes Fevereiro- Metalfisa'!$A284)</f>
        <v>0</v>
      </c>
      <c r="AL284" s="31">
        <f>SUMIFS(METALFISA!$E:$E,METALFISA!$A:$A,'Faltantes Fevereiro- Metalfisa'!AL$3,METALFISA!$B:$B,'Faltantes Fevereiro- Metalfisa'!$A284)</f>
        <v>0</v>
      </c>
      <c r="AM284" s="31">
        <f>SUMIFS(METALFISA!$E:$E,METALFISA!$A:$A,'Faltantes Fevereiro- Metalfisa'!AM$3,METALFISA!$B:$B,'Faltantes Fevereiro- Metalfisa'!$A284)</f>
        <v>1</v>
      </c>
      <c r="AN284" s="31">
        <f>SUMIFS(METALFISA!$E:$E,METALFISA!$A:$A,'Faltantes Fevereiro- Metalfisa'!AN$3,METALFISA!$B:$B,'Faltantes Fevereiro- Metalfisa'!$A284)</f>
        <v>0</v>
      </c>
      <c r="AO284" s="31">
        <f>SUMIFS(METALFISA!$E:$E,METALFISA!$A:$A,'Faltantes Fevereiro- Metalfisa'!AO$3,METALFISA!$B:$B,'Faltantes Fevereiro- Metalfisa'!$A284)</f>
        <v>0</v>
      </c>
      <c r="AP284" s="31">
        <f>SUMIFS(METALFISA!$E:$E,METALFISA!$A:$A,'Faltantes Fevereiro- Metalfisa'!AP$3,METALFISA!$B:$B,'Faltantes Fevereiro- Metalfisa'!$A284)</f>
        <v>0</v>
      </c>
      <c r="AQ284" s="31"/>
      <c r="AR284" s="31">
        <f>SUMIFS(METALFISA!$E:$E,METALFISA!$A:$A,'Faltantes Fevereiro- Metalfisa'!AR$3,METALFISA!$B:$B,'Faltantes Fevereiro- Metalfisa'!$A284)</f>
        <v>0</v>
      </c>
      <c r="AS284" s="35">
        <f>SUMIFS(METALFISA!$E:$E,METALFISA!$A:$A,'Faltantes Fevereiro- Metalfisa'!AS$3,METALFISA!$B:$B,'Faltantes Fevereiro- Metalfisa'!$A284)</f>
        <v>0</v>
      </c>
      <c r="AU284" s="18">
        <v>0</v>
      </c>
      <c r="AV284" s="18">
        <v>0</v>
      </c>
      <c r="AW284" s="18">
        <v>0</v>
      </c>
      <c r="AX284" s="18">
        <v>0</v>
      </c>
      <c r="AY284" s="41">
        <v>0</v>
      </c>
      <c r="AZ284" s="31">
        <v>0</v>
      </c>
      <c r="BA284" s="31">
        <v>0</v>
      </c>
      <c r="BB284" s="31">
        <v>0</v>
      </c>
      <c r="BC284" s="31">
        <v>0</v>
      </c>
      <c r="BD284" s="31">
        <v>0</v>
      </c>
      <c r="BE284" s="31">
        <v>0</v>
      </c>
      <c r="BF284" s="31">
        <v>0</v>
      </c>
      <c r="BG284" s="31">
        <v>0</v>
      </c>
      <c r="BH284" s="31">
        <v>0</v>
      </c>
      <c r="BI284" s="31">
        <v>0</v>
      </c>
      <c r="BJ284" s="31">
        <v>0</v>
      </c>
      <c r="BK284" s="31">
        <v>0</v>
      </c>
      <c r="BL284" s="31">
        <v>0</v>
      </c>
      <c r="BM284" s="31">
        <v>0</v>
      </c>
      <c r="BN284" s="31">
        <v>0</v>
      </c>
      <c r="BO284" s="31">
        <v>1</v>
      </c>
      <c r="BP284" s="31">
        <v>0</v>
      </c>
      <c r="BQ284" s="31">
        <v>0</v>
      </c>
      <c r="BR284" s="31">
        <v>0</v>
      </c>
      <c r="BS284" s="31">
        <v>0</v>
      </c>
      <c r="BT284" s="31">
        <v>0</v>
      </c>
      <c r="BU284" s="31">
        <v>0</v>
      </c>
      <c r="BV284" s="31">
        <v>0</v>
      </c>
      <c r="BW284" s="31">
        <v>0</v>
      </c>
      <c r="BX284" s="31">
        <v>0</v>
      </c>
      <c r="BY284" s="31">
        <v>0</v>
      </c>
      <c r="BZ284" s="31">
        <v>0</v>
      </c>
      <c r="CA284" s="31">
        <v>0</v>
      </c>
      <c r="CB284" s="31">
        <v>0</v>
      </c>
      <c r="CC284" s="31">
        <v>0</v>
      </c>
      <c r="CD284" s="31">
        <v>0</v>
      </c>
      <c r="CE284" s="31">
        <v>0</v>
      </c>
      <c r="CF284" s="31">
        <v>0</v>
      </c>
      <c r="CG284" s="31">
        <v>0</v>
      </c>
      <c r="CH284" s="31">
        <v>0</v>
      </c>
      <c r="CI284" s="31">
        <v>0</v>
      </c>
      <c r="CJ284" s="31">
        <v>0</v>
      </c>
      <c r="CK284" s="31">
        <v>0</v>
      </c>
      <c r="CL284" s="35">
        <v>0</v>
      </c>
    </row>
    <row r="285" spans="1:90" x14ac:dyDescent="0.15">
      <c r="A285" s="27" t="s">
        <v>1409</v>
      </c>
      <c r="B285" s="28" t="s">
        <v>1410</v>
      </c>
      <c r="C285" s="28">
        <v>0</v>
      </c>
      <c r="D285" s="28">
        <v>0</v>
      </c>
      <c r="E285" s="28">
        <v>0</v>
      </c>
      <c r="F285" s="28">
        <v>0</v>
      </c>
      <c r="G285" s="28">
        <v>6</v>
      </c>
      <c r="H285" s="28">
        <f>IFERROR(VLOOKUP(A285,[1]FALTANTES!$A:$AB,28,FALSE),"-")</f>
        <v>0</v>
      </c>
      <c r="I285" s="42">
        <f>IFERROR(VLOOKUP(A285,[1]FALTANTES!$A:$AC,29,FALSE),"-")</f>
        <v>2</v>
      </c>
      <c r="J285" s="29">
        <f>IFERROR(VLOOKUP(A285,[1]FALTANTES!$A:$AD,30,FALSE),"-")</f>
        <v>-4</v>
      </c>
      <c r="K285" s="30">
        <v>0</v>
      </c>
      <c r="L285" s="30">
        <f t="shared" si="5"/>
        <v>2</v>
      </c>
      <c r="M285" s="31">
        <f>SUMIFS(METALFISA!$E:$E,METALFISA!$A:$A,'Faltantes Fevereiro- Metalfisa'!M$3,METALFISA!$B:$B,'Faltantes Fevereiro- Metalfisa'!$A285)</f>
        <v>0</v>
      </c>
      <c r="N285" s="31">
        <f>SUMIFS(METALFISA!$E:$E,METALFISA!$A:$A,'Faltantes Fevereiro- Metalfisa'!N$3,METALFISA!$B:$B,'Faltantes Fevereiro- Metalfisa'!$A285)</f>
        <v>0</v>
      </c>
      <c r="O285" s="31">
        <f>SUMIFS(METALFISA!$E:$E,METALFISA!$A:$A,'Faltantes Fevereiro- Metalfisa'!O$3,METALFISA!$B:$B,'Faltantes Fevereiro- Metalfisa'!$A285)</f>
        <v>0</v>
      </c>
      <c r="P285" s="31">
        <f>SUMIFS(METALFISA!$E:$E,METALFISA!$A:$A,'Faltantes Fevereiro- Metalfisa'!P$3,METALFISA!$B:$B,'Faltantes Fevereiro- Metalfisa'!$A285)</f>
        <v>0</v>
      </c>
      <c r="Q285" s="31">
        <f>SUMIFS(METALFISA!$E:$E,METALFISA!$A:$A,'Faltantes Fevereiro- Metalfisa'!Q$3,METALFISA!$B:$B,'Faltantes Fevereiro- Metalfisa'!$A285)</f>
        <v>0</v>
      </c>
      <c r="R285" s="31">
        <f>SUMIFS(METALFISA!$E:$E,METALFISA!$A:$A,'Faltantes Fevereiro- Metalfisa'!R$3,METALFISA!$B:$B,'Faltantes Fevereiro- Metalfisa'!$A285)</f>
        <v>0</v>
      </c>
      <c r="S285" s="31">
        <f>SUMIFS(METALFISA!$E:$E,METALFISA!$A:$A,'Faltantes Fevereiro- Metalfisa'!S$3,METALFISA!$B:$B,'Faltantes Fevereiro- Metalfisa'!$A285)</f>
        <v>0</v>
      </c>
      <c r="T285" s="31">
        <f>SUMIFS(METALFISA!$E:$E,METALFISA!$A:$A,'Faltantes Fevereiro- Metalfisa'!T$3,METALFISA!$B:$B,'Faltantes Fevereiro- Metalfisa'!$A285)</f>
        <v>0</v>
      </c>
      <c r="U285" s="31">
        <f>SUMIFS(METALFISA!$E:$E,METALFISA!$A:$A,'Faltantes Fevereiro- Metalfisa'!U$3,METALFISA!$B:$B,'Faltantes Fevereiro- Metalfisa'!$A285)</f>
        <v>0</v>
      </c>
      <c r="V285" s="31">
        <f>SUMIFS(METALFISA!$E:$E,METALFISA!$A:$A,'Faltantes Fevereiro- Metalfisa'!V$3,METALFISA!$B:$B,'Faltantes Fevereiro- Metalfisa'!$A285)</f>
        <v>0</v>
      </c>
      <c r="W285" s="31">
        <f>SUMIFS(METALFISA!$E:$E,METALFISA!$A:$A,'Faltantes Fevereiro- Metalfisa'!W$3,METALFISA!$B:$B,'Faltantes Fevereiro- Metalfisa'!$A285)</f>
        <v>0</v>
      </c>
      <c r="X285" s="31">
        <f>SUMIFS(METALFISA!$E:$E,METALFISA!$A:$A,'Faltantes Fevereiro- Metalfisa'!X$3,METALFISA!$B:$B,'Faltantes Fevereiro- Metalfisa'!$A285)</f>
        <v>0</v>
      </c>
      <c r="Y285" s="31">
        <f>SUMIFS(METALFISA!$E:$E,METALFISA!$A:$A,'Faltantes Fevereiro- Metalfisa'!Y$3,METALFISA!$B:$B,'Faltantes Fevereiro- Metalfisa'!$A285)</f>
        <v>0</v>
      </c>
      <c r="Z285" s="31">
        <f>SUMIFS(METALFISA!$E:$E,METALFISA!$A:$A,'Faltantes Fevereiro- Metalfisa'!Z$3,METALFISA!$B:$B,'Faltantes Fevereiro- Metalfisa'!$A285)</f>
        <v>0</v>
      </c>
      <c r="AA285" s="31">
        <f>SUMIFS(METALFISA!$E:$E,METALFISA!$A:$A,'Faltantes Fevereiro- Metalfisa'!AA$3,METALFISA!$B:$B,'Faltantes Fevereiro- Metalfisa'!$A285)</f>
        <v>0</v>
      </c>
      <c r="AB285" s="31">
        <f>SUMIFS(METALFISA!$E:$E,METALFISA!$A:$A,'Faltantes Fevereiro- Metalfisa'!AB$3,METALFISA!$B:$B,'Faltantes Fevereiro- Metalfisa'!$A285)</f>
        <v>0</v>
      </c>
      <c r="AC285" s="31">
        <f>SUMIFS(METALFISA!$E:$E,METALFISA!$A:$A,'Faltantes Fevereiro- Metalfisa'!AC$3,METALFISA!$B:$B,'Faltantes Fevereiro- Metalfisa'!$A285)</f>
        <v>0</v>
      </c>
      <c r="AD285" s="31">
        <f>SUMIFS(METALFISA!$E:$E,METALFISA!$A:$A,'Faltantes Fevereiro- Metalfisa'!AD$3,METALFISA!$B:$B,'Faltantes Fevereiro- Metalfisa'!$A285)</f>
        <v>0</v>
      </c>
      <c r="AE285" s="31">
        <f>SUMIFS(METALFISA!$E:$E,METALFISA!$A:$A,'Faltantes Fevereiro- Metalfisa'!AE$3,METALFISA!$B:$B,'Faltantes Fevereiro- Metalfisa'!$A285)</f>
        <v>2</v>
      </c>
      <c r="AF285" s="31">
        <f>SUMIFS(METALFISA!$E:$E,METALFISA!$A:$A,'Faltantes Fevereiro- Metalfisa'!AF$3,METALFISA!$B:$B,'Faltantes Fevereiro- Metalfisa'!$A285)</f>
        <v>0</v>
      </c>
      <c r="AG285" s="31">
        <f>SUMIFS(METALFISA!$E:$E,METALFISA!$A:$A,'Faltantes Fevereiro- Metalfisa'!AG$3,METALFISA!$B:$B,'Faltantes Fevereiro- Metalfisa'!$A285)</f>
        <v>0</v>
      </c>
      <c r="AH285" s="31">
        <f>SUMIFS(METALFISA!$E:$E,METALFISA!$A:$A,'Faltantes Fevereiro- Metalfisa'!AH$3,METALFISA!$B:$B,'Faltantes Fevereiro- Metalfisa'!$A285)</f>
        <v>0</v>
      </c>
      <c r="AI285" s="31">
        <f>SUMIFS(METALFISA!$E:$E,METALFISA!$A:$A,'Faltantes Fevereiro- Metalfisa'!AI$3,METALFISA!$B:$B,'Faltantes Fevereiro- Metalfisa'!$A285)</f>
        <v>0</v>
      </c>
      <c r="AJ285" s="31">
        <f>SUMIFS(METALFISA!$E:$E,METALFISA!$A:$A,'Faltantes Fevereiro- Metalfisa'!AJ$3,METALFISA!$B:$B,'Faltantes Fevereiro- Metalfisa'!$A285)</f>
        <v>0</v>
      </c>
      <c r="AK285" s="31">
        <f>SUMIFS(METALFISA!$E:$E,METALFISA!$A:$A,'Faltantes Fevereiro- Metalfisa'!AK$3,METALFISA!$B:$B,'Faltantes Fevereiro- Metalfisa'!$A285)</f>
        <v>0</v>
      </c>
      <c r="AL285" s="31">
        <f>SUMIFS(METALFISA!$E:$E,METALFISA!$A:$A,'Faltantes Fevereiro- Metalfisa'!AL$3,METALFISA!$B:$B,'Faltantes Fevereiro- Metalfisa'!$A285)</f>
        <v>0</v>
      </c>
      <c r="AM285" s="31">
        <f>SUMIFS(METALFISA!$E:$E,METALFISA!$A:$A,'Faltantes Fevereiro- Metalfisa'!AM$3,METALFISA!$B:$B,'Faltantes Fevereiro- Metalfisa'!$A285)</f>
        <v>0</v>
      </c>
      <c r="AN285" s="31">
        <f>SUMIFS(METALFISA!$E:$E,METALFISA!$A:$A,'Faltantes Fevereiro- Metalfisa'!AN$3,METALFISA!$B:$B,'Faltantes Fevereiro- Metalfisa'!$A285)</f>
        <v>0</v>
      </c>
      <c r="AO285" s="31">
        <f>SUMIFS(METALFISA!$E:$E,METALFISA!$A:$A,'Faltantes Fevereiro- Metalfisa'!AO$3,METALFISA!$B:$B,'Faltantes Fevereiro- Metalfisa'!$A285)</f>
        <v>0</v>
      </c>
      <c r="AP285" s="31">
        <f>SUMIFS(METALFISA!$E:$E,METALFISA!$A:$A,'Faltantes Fevereiro- Metalfisa'!AP$3,METALFISA!$B:$B,'Faltantes Fevereiro- Metalfisa'!$A285)</f>
        <v>0</v>
      </c>
      <c r="AQ285" s="31"/>
      <c r="AR285" s="31">
        <f>SUMIFS(METALFISA!$E:$E,METALFISA!$A:$A,'Faltantes Fevereiro- Metalfisa'!AR$3,METALFISA!$B:$B,'Faltantes Fevereiro- Metalfisa'!$A285)</f>
        <v>0</v>
      </c>
      <c r="AS285" s="35">
        <f>SUMIFS(METALFISA!$E:$E,METALFISA!$A:$A,'Faltantes Fevereiro- Metalfisa'!AS$3,METALFISA!$B:$B,'Faltantes Fevereiro- Metalfisa'!$A285)</f>
        <v>0</v>
      </c>
      <c r="AU285" s="18">
        <v>0</v>
      </c>
      <c r="AV285" s="18">
        <v>0</v>
      </c>
      <c r="AW285" s="18">
        <v>0</v>
      </c>
      <c r="AX285" s="18">
        <v>0</v>
      </c>
      <c r="AY285" s="41">
        <v>0</v>
      </c>
      <c r="AZ285" s="31">
        <v>0</v>
      </c>
      <c r="BA285" s="31">
        <v>0</v>
      </c>
      <c r="BB285" s="31">
        <v>0</v>
      </c>
      <c r="BC285" s="31">
        <v>0</v>
      </c>
      <c r="BD285" s="31">
        <v>0</v>
      </c>
      <c r="BE285" s="31">
        <v>0</v>
      </c>
      <c r="BF285" s="31">
        <v>0</v>
      </c>
      <c r="BG285" s="31">
        <v>0</v>
      </c>
      <c r="BH285" s="31">
        <v>0</v>
      </c>
      <c r="BI285" s="31">
        <v>0</v>
      </c>
      <c r="BJ285" s="31">
        <v>0</v>
      </c>
      <c r="BK285" s="31">
        <v>0</v>
      </c>
      <c r="BL285" s="31">
        <v>0</v>
      </c>
      <c r="BM285" s="31">
        <v>0</v>
      </c>
      <c r="BN285" s="31">
        <v>0</v>
      </c>
      <c r="BO285" s="31">
        <v>1</v>
      </c>
      <c r="BP285" s="31">
        <v>0</v>
      </c>
      <c r="BQ285" s="31">
        <v>0</v>
      </c>
      <c r="BR285" s="31">
        <v>0</v>
      </c>
      <c r="BS285" s="31">
        <v>0</v>
      </c>
      <c r="BT285" s="31">
        <v>0</v>
      </c>
      <c r="BU285" s="31">
        <v>0</v>
      </c>
      <c r="BV285" s="31">
        <v>0</v>
      </c>
      <c r="BW285" s="31">
        <v>0</v>
      </c>
      <c r="BX285" s="31">
        <v>0</v>
      </c>
      <c r="BY285" s="31">
        <v>0</v>
      </c>
      <c r="BZ285" s="31">
        <v>0</v>
      </c>
      <c r="CA285" s="31">
        <v>0</v>
      </c>
      <c r="CB285" s="31">
        <v>0</v>
      </c>
      <c r="CC285" s="31">
        <v>0</v>
      </c>
      <c r="CD285" s="31">
        <v>0</v>
      </c>
      <c r="CE285" s="31">
        <v>0</v>
      </c>
      <c r="CF285" s="31">
        <v>0</v>
      </c>
      <c r="CG285" s="31">
        <v>0</v>
      </c>
      <c r="CH285" s="31">
        <v>0</v>
      </c>
      <c r="CI285" s="31">
        <v>0</v>
      </c>
      <c r="CJ285" s="31">
        <v>0</v>
      </c>
      <c r="CK285" s="31">
        <v>0</v>
      </c>
      <c r="CL285" s="35">
        <v>0</v>
      </c>
    </row>
    <row r="286" spans="1:90" ht="21" x14ac:dyDescent="0.15">
      <c r="A286" s="27" t="s">
        <v>1413</v>
      </c>
      <c r="B286" s="28" t="s">
        <v>1414</v>
      </c>
      <c r="C286" s="28">
        <v>0</v>
      </c>
      <c r="D286" s="28">
        <v>0</v>
      </c>
      <c r="E286" s="28">
        <v>0</v>
      </c>
      <c r="F286" s="28">
        <v>0</v>
      </c>
      <c r="G286" s="28">
        <v>6</v>
      </c>
      <c r="H286" s="28">
        <f>IFERROR(VLOOKUP(A286,[1]FALTANTES!$A:$AB,28,FALSE),"-")</f>
        <v>0</v>
      </c>
      <c r="I286" s="42">
        <f>IFERROR(VLOOKUP(A286,[1]FALTANTES!$A:$AC,29,FALSE),"-")</f>
        <v>2</v>
      </c>
      <c r="J286" s="29">
        <f>IFERROR(VLOOKUP(A286,[1]FALTANTES!$A:$AD,30,FALSE),"-")</f>
        <v>-4</v>
      </c>
      <c r="K286" s="30">
        <v>0</v>
      </c>
      <c r="L286" s="30">
        <f t="shared" si="5"/>
        <v>2</v>
      </c>
      <c r="M286" s="31">
        <f>SUMIFS(METALFISA!$E:$E,METALFISA!$A:$A,'Faltantes Fevereiro- Metalfisa'!M$3,METALFISA!$B:$B,'Faltantes Fevereiro- Metalfisa'!$A286)</f>
        <v>0</v>
      </c>
      <c r="N286" s="31">
        <f>SUMIFS(METALFISA!$E:$E,METALFISA!$A:$A,'Faltantes Fevereiro- Metalfisa'!N$3,METALFISA!$B:$B,'Faltantes Fevereiro- Metalfisa'!$A286)</f>
        <v>0</v>
      </c>
      <c r="O286" s="31">
        <f>SUMIFS(METALFISA!$E:$E,METALFISA!$A:$A,'Faltantes Fevereiro- Metalfisa'!O$3,METALFISA!$B:$B,'Faltantes Fevereiro- Metalfisa'!$A286)</f>
        <v>0</v>
      </c>
      <c r="P286" s="31">
        <f>SUMIFS(METALFISA!$E:$E,METALFISA!$A:$A,'Faltantes Fevereiro- Metalfisa'!P$3,METALFISA!$B:$B,'Faltantes Fevereiro- Metalfisa'!$A286)</f>
        <v>0</v>
      </c>
      <c r="Q286" s="31">
        <f>SUMIFS(METALFISA!$E:$E,METALFISA!$A:$A,'Faltantes Fevereiro- Metalfisa'!Q$3,METALFISA!$B:$B,'Faltantes Fevereiro- Metalfisa'!$A286)</f>
        <v>0</v>
      </c>
      <c r="R286" s="31">
        <f>SUMIFS(METALFISA!$E:$E,METALFISA!$A:$A,'Faltantes Fevereiro- Metalfisa'!R$3,METALFISA!$B:$B,'Faltantes Fevereiro- Metalfisa'!$A286)</f>
        <v>0</v>
      </c>
      <c r="S286" s="31">
        <f>SUMIFS(METALFISA!$E:$E,METALFISA!$A:$A,'Faltantes Fevereiro- Metalfisa'!S$3,METALFISA!$B:$B,'Faltantes Fevereiro- Metalfisa'!$A286)</f>
        <v>0</v>
      </c>
      <c r="T286" s="31">
        <f>SUMIFS(METALFISA!$E:$E,METALFISA!$A:$A,'Faltantes Fevereiro- Metalfisa'!T$3,METALFISA!$B:$B,'Faltantes Fevereiro- Metalfisa'!$A286)</f>
        <v>0</v>
      </c>
      <c r="U286" s="31">
        <f>SUMIFS(METALFISA!$E:$E,METALFISA!$A:$A,'Faltantes Fevereiro- Metalfisa'!U$3,METALFISA!$B:$B,'Faltantes Fevereiro- Metalfisa'!$A286)</f>
        <v>0</v>
      </c>
      <c r="V286" s="31">
        <f>SUMIFS(METALFISA!$E:$E,METALFISA!$A:$A,'Faltantes Fevereiro- Metalfisa'!V$3,METALFISA!$B:$B,'Faltantes Fevereiro- Metalfisa'!$A286)</f>
        <v>0</v>
      </c>
      <c r="W286" s="31">
        <f>SUMIFS(METALFISA!$E:$E,METALFISA!$A:$A,'Faltantes Fevereiro- Metalfisa'!W$3,METALFISA!$B:$B,'Faltantes Fevereiro- Metalfisa'!$A286)</f>
        <v>0</v>
      </c>
      <c r="X286" s="31">
        <f>SUMIFS(METALFISA!$E:$E,METALFISA!$A:$A,'Faltantes Fevereiro- Metalfisa'!X$3,METALFISA!$B:$B,'Faltantes Fevereiro- Metalfisa'!$A286)</f>
        <v>0</v>
      </c>
      <c r="Y286" s="31">
        <f>SUMIFS(METALFISA!$E:$E,METALFISA!$A:$A,'Faltantes Fevereiro- Metalfisa'!Y$3,METALFISA!$B:$B,'Faltantes Fevereiro- Metalfisa'!$A286)</f>
        <v>0</v>
      </c>
      <c r="Z286" s="31">
        <f>SUMIFS(METALFISA!$E:$E,METALFISA!$A:$A,'Faltantes Fevereiro- Metalfisa'!Z$3,METALFISA!$B:$B,'Faltantes Fevereiro- Metalfisa'!$A286)</f>
        <v>0</v>
      </c>
      <c r="AA286" s="31">
        <f>SUMIFS(METALFISA!$E:$E,METALFISA!$A:$A,'Faltantes Fevereiro- Metalfisa'!AA$3,METALFISA!$B:$B,'Faltantes Fevereiro- Metalfisa'!$A286)</f>
        <v>0</v>
      </c>
      <c r="AB286" s="31">
        <f>SUMIFS(METALFISA!$E:$E,METALFISA!$A:$A,'Faltantes Fevereiro- Metalfisa'!AB$3,METALFISA!$B:$B,'Faltantes Fevereiro- Metalfisa'!$A286)</f>
        <v>0</v>
      </c>
      <c r="AC286" s="31">
        <f>SUMIFS(METALFISA!$E:$E,METALFISA!$A:$A,'Faltantes Fevereiro- Metalfisa'!AC$3,METALFISA!$B:$B,'Faltantes Fevereiro- Metalfisa'!$A286)</f>
        <v>0</v>
      </c>
      <c r="AD286" s="31">
        <f>SUMIFS(METALFISA!$E:$E,METALFISA!$A:$A,'Faltantes Fevereiro- Metalfisa'!AD$3,METALFISA!$B:$B,'Faltantes Fevereiro- Metalfisa'!$A286)</f>
        <v>0</v>
      </c>
      <c r="AE286" s="31">
        <f>SUMIFS(METALFISA!$E:$E,METALFISA!$A:$A,'Faltantes Fevereiro- Metalfisa'!AE$3,METALFISA!$B:$B,'Faltantes Fevereiro- Metalfisa'!$A286)</f>
        <v>2</v>
      </c>
      <c r="AF286" s="31">
        <f>SUMIFS(METALFISA!$E:$E,METALFISA!$A:$A,'Faltantes Fevereiro- Metalfisa'!AF$3,METALFISA!$B:$B,'Faltantes Fevereiro- Metalfisa'!$A286)</f>
        <v>0</v>
      </c>
      <c r="AG286" s="31">
        <f>SUMIFS(METALFISA!$E:$E,METALFISA!$A:$A,'Faltantes Fevereiro- Metalfisa'!AG$3,METALFISA!$B:$B,'Faltantes Fevereiro- Metalfisa'!$A286)</f>
        <v>0</v>
      </c>
      <c r="AH286" s="31">
        <f>SUMIFS(METALFISA!$E:$E,METALFISA!$A:$A,'Faltantes Fevereiro- Metalfisa'!AH$3,METALFISA!$B:$B,'Faltantes Fevereiro- Metalfisa'!$A286)</f>
        <v>0</v>
      </c>
      <c r="AI286" s="31">
        <f>SUMIFS(METALFISA!$E:$E,METALFISA!$A:$A,'Faltantes Fevereiro- Metalfisa'!AI$3,METALFISA!$B:$B,'Faltantes Fevereiro- Metalfisa'!$A286)</f>
        <v>0</v>
      </c>
      <c r="AJ286" s="31">
        <f>SUMIFS(METALFISA!$E:$E,METALFISA!$A:$A,'Faltantes Fevereiro- Metalfisa'!AJ$3,METALFISA!$B:$B,'Faltantes Fevereiro- Metalfisa'!$A286)</f>
        <v>0</v>
      </c>
      <c r="AK286" s="31">
        <f>SUMIFS(METALFISA!$E:$E,METALFISA!$A:$A,'Faltantes Fevereiro- Metalfisa'!AK$3,METALFISA!$B:$B,'Faltantes Fevereiro- Metalfisa'!$A286)</f>
        <v>0</v>
      </c>
      <c r="AL286" s="31">
        <f>SUMIFS(METALFISA!$E:$E,METALFISA!$A:$A,'Faltantes Fevereiro- Metalfisa'!AL$3,METALFISA!$B:$B,'Faltantes Fevereiro- Metalfisa'!$A286)</f>
        <v>0</v>
      </c>
      <c r="AM286" s="31">
        <f>SUMIFS(METALFISA!$E:$E,METALFISA!$A:$A,'Faltantes Fevereiro- Metalfisa'!AM$3,METALFISA!$B:$B,'Faltantes Fevereiro- Metalfisa'!$A286)</f>
        <v>0</v>
      </c>
      <c r="AN286" s="31">
        <f>SUMIFS(METALFISA!$E:$E,METALFISA!$A:$A,'Faltantes Fevereiro- Metalfisa'!AN$3,METALFISA!$B:$B,'Faltantes Fevereiro- Metalfisa'!$A286)</f>
        <v>0</v>
      </c>
      <c r="AO286" s="31">
        <f>SUMIFS(METALFISA!$E:$E,METALFISA!$A:$A,'Faltantes Fevereiro- Metalfisa'!AO$3,METALFISA!$B:$B,'Faltantes Fevereiro- Metalfisa'!$A286)</f>
        <v>0</v>
      </c>
      <c r="AP286" s="31">
        <f>SUMIFS(METALFISA!$E:$E,METALFISA!$A:$A,'Faltantes Fevereiro- Metalfisa'!AP$3,METALFISA!$B:$B,'Faltantes Fevereiro- Metalfisa'!$A286)</f>
        <v>0</v>
      </c>
      <c r="AQ286" s="31"/>
      <c r="AR286" s="31">
        <f>SUMIFS(METALFISA!$E:$E,METALFISA!$A:$A,'Faltantes Fevereiro- Metalfisa'!AR$3,METALFISA!$B:$B,'Faltantes Fevereiro- Metalfisa'!$A286)</f>
        <v>0</v>
      </c>
      <c r="AS286" s="35">
        <f>SUMIFS(METALFISA!$E:$E,METALFISA!$A:$A,'Faltantes Fevereiro- Metalfisa'!AS$3,METALFISA!$B:$B,'Faltantes Fevereiro- Metalfisa'!$A286)</f>
        <v>0</v>
      </c>
      <c r="AU286" s="18">
        <v>0</v>
      </c>
      <c r="AV286" s="18">
        <v>0</v>
      </c>
      <c r="AW286" s="18">
        <v>0</v>
      </c>
      <c r="AX286" s="18">
        <v>0</v>
      </c>
      <c r="AY286" s="41">
        <v>0</v>
      </c>
      <c r="AZ286" s="31">
        <v>0</v>
      </c>
      <c r="BA286" s="31">
        <v>0</v>
      </c>
      <c r="BB286" s="31">
        <v>0</v>
      </c>
      <c r="BC286" s="31">
        <v>0</v>
      </c>
      <c r="BD286" s="31">
        <v>0</v>
      </c>
      <c r="BE286" s="31">
        <v>0</v>
      </c>
      <c r="BF286" s="31">
        <v>0</v>
      </c>
      <c r="BG286" s="31">
        <v>0</v>
      </c>
      <c r="BH286" s="31">
        <v>0</v>
      </c>
      <c r="BI286" s="31">
        <v>0</v>
      </c>
      <c r="BJ286" s="31">
        <v>0</v>
      </c>
      <c r="BK286" s="31">
        <v>0</v>
      </c>
      <c r="BL286" s="31">
        <v>0</v>
      </c>
      <c r="BM286" s="31">
        <v>0</v>
      </c>
      <c r="BN286" s="31">
        <v>0</v>
      </c>
      <c r="BO286" s="31">
        <v>1</v>
      </c>
      <c r="BP286" s="31">
        <v>0</v>
      </c>
      <c r="BQ286" s="31">
        <v>0</v>
      </c>
      <c r="BR286" s="31">
        <v>0</v>
      </c>
      <c r="BS286" s="31">
        <v>0</v>
      </c>
      <c r="BT286" s="31">
        <v>0</v>
      </c>
      <c r="BU286" s="31">
        <v>0</v>
      </c>
      <c r="BV286" s="31">
        <v>0</v>
      </c>
      <c r="BW286" s="31">
        <v>0</v>
      </c>
      <c r="BX286" s="31">
        <v>0</v>
      </c>
      <c r="BY286" s="31">
        <v>0</v>
      </c>
      <c r="BZ286" s="31">
        <v>0</v>
      </c>
      <c r="CA286" s="31">
        <v>0</v>
      </c>
      <c r="CB286" s="31">
        <v>0</v>
      </c>
      <c r="CC286" s="31">
        <v>0</v>
      </c>
      <c r="CD286" s="31">
        <v>0</v>
      </c>
      <c r="CE286" s="31">
        <v>0</v>
      </c>
      <c r="CF286" s="31">
        <v>0</v>
      </c>
      <c r="CG286" s="31">
        <v>0</v>
      </c>
      <c r="CH286" s="31">
        <v>0</v>
      </c>
      <c r="CI286" s="31">
        <v>0</v>
      </c>
      <c r="CJ286" s="31">
        <v>0</v>
      </c>
      <c r="CK286" s="31">
        <v>0</v>
      </c>
      <c r="CL286" s="35">
        <v>0</v>
      </c>
    </row>
    <row r="287" spans="1:90" ht="21" x14ac:dyDescent="0.15">
      <c r="A287" s="27" t="s">
        <v>1419</v>
      </c>
      <c r="B287" s="28" t="s">
        <v>1420</v>
      </c>
      <c r="C287" s="28">
        <v>0</v>
      </c>
      <c r="D287" s="28">
        <v>0</v>
      </c>
      <c r="E287" s="28">
        <v>0</v>
      </c>
      <c r="F287" s="28">
        <v>0</v>
      </c>
      <c r="G287" s="28">
        <v>4</v>
      </c>
      <c r="H287" s="28">
        <f>IFERROR(VLOOKUP(A287,[1]FALTANTES!$A:$AB,28,FALSE),"-")</f>
        <v>0</v>
      </c>
      <c r="I287" s="42">
        <f>IFERROR(VLOOKUP(A287,[1]FALTANTES!$A:$AC,29,FALSE),"-")</f>
        <v>2</v>
      </c>
      <c r="J287" s="29">
        <f>IFERROR(VLOOKUP(A287,[1]FALTANTES!$A:$AD,30,FALSE),"-")</f>
        <v>-2</v>
      </c>
      <c r="K287" s="30"/>
      <c r="L287" s="30">
        <f t="shared" si="5"/>
        <v>1</v>
      </c>
      <c r="M287" s="31">
        <f>SUMIFS(METALFISA!$E:$E,METALFISA!$A:$A,'Faltantes Fevereiro- Metalfisa'!M$3,METALFISA!$B:$B,'Faltantes Fevereiro- Metalfisa'!$A287)</f>
        <v>0</v>
      </c>
      <c r="N287" s="31">
        <f>SUMIFS(METALFISA!$E:$E,METALFISA!$A:$A,'Faltantes Fevereiro- Metalfisa'!N$3,METALFISA!$B:$B,'Faltantes Fevereiro- Metalfisa'!$A287)</f>
        <v>0</v>
      </c>
      <c r="O287" s="31">
        <f>SUMIFS(METALFISA!$E:$E,METALFISA!$A:$A,'Faltantes Fevereiro- Metalfisa'!O$3,METALFISA!$B:$B,'Faltantes Fevereiro- Metalfisa'!$A287)</f>
        <v>0</v>
      </c>
      <c r="P287" s="31">
        <f>SUMIFS(METALFISA!$E:$E,METALFISA!$A:$A,'Faltantes Fevereiro- Metalfisa'!P$3,METALFISA!$B:$B,'Faltantes Fevereiro- Metalfisa'!$A287)</f>
        <v>0</v>
      </c>
      <c r="Q287" s="31">
        <f>SUMIFS(METALFISA!$E:$E,METALFISA!$A:$A,'Faltantes Fevereiro- Metalfisa'!Q$3,METALFISA!$B:$B,'Faltantes Fevereiro- Metalfisa'!$A287)</f>
        <v>0</v>
      </c>
      <c r="R287" s="31">
        <f>SUMIFS(METALFISA!$E:$E,METALFISA!$A:$A,'Faltantes Fevereiro- Metalfisa'!R$3,METALFISA!$B:$B,'Faltantes Fevereiro- Metalfisa'!$A287)</f>
        <v>0</v>
      </c>
      <c r="S287" s="31">
        <f>SUMIFS(METALFISA!$E:$E,METALFISA!$A:$A,'Faltantes Fevereiro- Metalfisa'!S$3,METALFISA!$B:$B,'Faltantes Fevereiro- Metalfisa'!$A287)</f>
        <v>0</v>
      </c>
      <c r="T287" s="31">
        <f>SUMIFS(METALFISA!$E:$E,METALFISA!$A:$A,'Faltantes Fevereiro- Metalfisa'!T$3,METALFISA!$B:$B,'Faltantes Fevereiro- Metalfisa'!$A287)</f>
        <v>0</v>
      </c>
      <c r="U287" s="31">
        <f>SUMIFS(METALFISA!$E:$E,METALFISA!$A:$A,'Faltantes Fevereiro- Metalfisa'!U$3,METALFISA!$B:$B,'Faltantes Fevereiro- Metalfisa'!$A287)</f>
        <v>0</v>
      </c>
      <c r="V287" s="31">
        <f>SUMIFS(METALFISA!$E:$E,METALFISA!$A:$A,'Faltantes Fevereiro- Metalfisa'!V$3,METALFISA!$B:$B,'Faltantes Fevereiro- Metalfisa'!$A287)</f>
        <v>0</v>
      </c>
      <c r="W287" s="31">
        <f>SUMIFS(METALFISA!$E:$E,METALFISA!$A:$A,'Faltantes Fevereiro- Metalfisa'!W$3,METALFISA!$B:$B,'Faltantes Fevereiro- Metalfisa'!$A287)</f>
        <v>0</v>
      </c>
      <c r="X287" s="31">
        <f>SUMIFS(METALFISA!$E:$E,METALFISA!$A:$A,'Faltantes Fevereiro- Metalfisa'!X$3,METALFISA!$B:$B,'Faltantes Fevereiro- Metalfisa'!$A287)</f>
        <v>0</v>
      </c>
      <c r="Y287" s="31">
        <f>SUMIFS(METALFISA!$E:$E,METALFISA!$A:$A,'Faltantes Fevereiro- Metalfisa'!Y$3,METALFISA!$B:$B,'Faltantes Fevereiro- Metalfisa'!$A287)</f>
        <v>0</v>
      </c>
      <c r="Z287" s="31">
        <f>SUMIFS(METALFISA!$E:$E,METALFISA!$A:$A,'Faltantes Fevereiro- Metalfisa'!Z$3,METALFISA!$B:$B,'Faltantes Fevereiro- Metalfisa'!$A287)</f>
        <v>0</v>
      </c>
      <c r="AA287" s="31">
        <f>SUMIFS(METALFISA!$E:$E,METALFISA!$A:$A,'Faltantes Fevereiro- Metalfisa'!AA$3,METALFISA!$B:$B,'Faltantes Fevereiro- Metalfisa'!$A287)</f>
        <v>0</v>
      </c>
      <c r="AB287" s="31">
        <f>SUMIFS(METALFISA!$E:$E,METALFISA!$A:$A,'Faltantes Fevereiro- Metalfisa'!AB$3,METALFISA!$B:$B,'Faltantes Fevereiro- Metalfisa'!$A287)</f>
        <v>0</v>
      </c>
      <c r="AC287" s="31">
        <f>SUMIFS(METALFISA!$E:$E,METALFISA!$A:$A,'Faltantes Fevereiro- Metalfisa'!AC$3,METALFISA!$B:$B,'Faltantes Fevereiro- Metalfisa'!$A287)</f>
        <v>0</v>
      </c>
      <c r="AD287" s="31">
        <f>SUMIFS(METALFISA!$E:$E,METALFISA!$A:$A,'Faltantes Fevereiro- Metalfisa'!AD$3,METALFISA!$B:$B,'Faltantes Fevereiro- Metalfisa'!$A287)</f>
        <v>0</v>
      </c>
      <c r="AE287" s="31">
        <f>SUMIFS(METALFISA!$E:$E,METALFISA!$A:$A,'Faltantes Fevereiro- Metalfisa'!AE$3,METALFISA!$B:$B,'Faltantes Fevereiro- Metalfisa'!$A287)</f>
        <v>1</v>
      </c>
      <c r="AF287" s="31">
        <f>SUMIFS(METALFISA!$E:$E,METALFISA!$A:$A,'Faltantes Fevereiro- Metalfisa'!AF$3,METALFISA!$B:$B,'Faltantes Fevereiro- Metalfisa'!$A287)</f>
        <v>0</v>
      </c>
      <c r="AG287" s="31">
        <f>SUMIFS(METALFISA!$E:$E,METALFISA!$A:$A,'Faltantes Fevereiro- Metalfisa'!AG$3,METALFISA!$B:$B,'Faltantes Fevereiro- Metalfisa'!$A287)</f>
        <v>0</v>
      </c>
      <c r="AH287" s="31">
        <f>SUMIFS(METALFISA!$E:$E,METALFISA!$A:$A,'Faltantes Fevereiro- Metalfisa'!AH$3,METALFISA!$B:$B,'Faltantes Fevereiro- Metalfisa'!$A287)</f>
        <v>0</v>
      </c>
      <c r="AI287" s="31">
        <f>SUMIFS(METALFISA!$E:$E,METALFISA!$A:$A,'Faltantes Fevereiro- Metalfisa'!AI$3,METALFISA!$B:$B,'Faltantes Fevereiro- Metalfisa'!$A287)</f>
        <v>0</v>
      </c>
      <c r="AJ287" s="31">
        <f>SUMIFS(METALFISA!$E:$E,METALFISA!$A:$A,'Faltantes Fevereiro- Metalfisa'!AJ$3,METALFISA!$B:$B,'Faltantes Fevereiro- Metalfisa'!$A287)</f>
        <v>0</v>
      </c>
      <c r="AK287" s="31">
        <f>SUMIFS(METALFISA!$E:$E,METALFISA!$A:$A,'Faltantes Fevereiro- Metalfisa'!AK$3,METALFISA!$B:$B,'Faltantes Fevereiro- Metalfisa'!$A287)</f>
        <v>0</v>
      </c>
      <c r="AL287" s="31">
        <f>SUMIFS(METALFISA!$E:$E,METALFISA!$A:$A,'Faltantes Fevereiro- Metalfisa'!AL$3,METALFISA!$B:$B,'Faltantes Fevereiro- Metalfisa'!$A287)</f>
        <v>0</v>
      </c>
      <c r="AM287" s="31">
        <f>SUMIFS(METALFISA!$E:$E,METALFISA!$A:$A,'Faltantes Fevereiro- Metalfisa'!AM$3,METALFISA!$B:$B,'Faltantes Fevereiro- Metalfisa'!$A287)</f>
        <v>0</v>
      </c>
      <c r="AN287" s="31">
        <f>SUMIFS(METALFISA!$E:$E,METALFISA!$A:$A,'Faltantes Fevereiro- Metalfisa'!AN$3,METALFISA!$B:$B,'Faltantes Fevereiro- Metalfisa'!$A287)</f>
        <v>0</v>
      </c>
      <c r="AO287" s="31">
        <f>SUMIFS(METALFISA!$E:$E,METALFISA!$A:$A,'Faltantes Fevereiro- Metalfisa'!AO$3,METALFISA!$B:$B,'Faltantes Fevereiro- Metalfisa'!$A287)</f>
        <v>0</v>
      </c>
      <c r="AP287" s="31">
        <f>SUMIFS(METALFISA!$E:$E,METALFISA!$A:$A,'Faltantes Fevereiro- Metalfisa'!AP$3,METALFISA!$B:$B,'Faltantes Fevereiro- Metalfisa'!$A287)</f>
        <v>0</v>
      </c>
      <c r="AQ287" s="31"/>
      <c r="AR287" s="31">
        <f>SUMIFS(METALFISA!$E:$E,METALFISA!$A:$A,'Faltantes Fevereiro- Metalfisa'!AR$3,METALFISA!$B:$B,'Faltantes Fevereiro- Metalfisa'!$A287)</f>
        <v>0</v>
      </c>
      <c r="AS287" s="35">
        <f>SUMIFS(METALFISA!$E:$E,METALFISA!$A:$A,'Faltantes Fevereiro- Metalfisa'!AS$3,METALFISA!$B:$B,'Faltantes Fevereiro- Metalfisa'!$A287)</f>
        <v>0</v>
      </c>
      <c r="AU287" s="18">
        <v>0</v>
      </c>
      <c r="AV287" s="18">
        <v>0</v>
      </c>
      <c r="AW287" s="18">
        <v>0</v>
      </c>
      <c r="AX287" s="18">
        <v>0</v>
      </c>
      <c r="AY287" s="41">
        <v>0</v>
      </c>
      <c r="AZ287" s="31">
        <v>0</v>
      </c>
      <c r="BA287" s="31">
        <v>0</v>
      </c>
      <c r="BB287" s="31">
        <v>0</v>
      </c>
      <c r="BC287" s="31">
        <v>0</v>
      </c>
      <c r="BD287" s="31">
        <v>0</v>
      </c>
      <c r="BE287" s="31">
        <v>0</v>
      </c>
      <c r="BF287" s="31">
        <v>0</v>
      </c>
      <c r="BG287" s="31">
        <v>0</v>
      </c>
      <c r="BH287" s="31">
        <v>0</v>
      </c>
      <c r="BI287" s="31">
        <v>0</v>
      </c>
      <c r="BJ287" s="31">
        <v>0</v>
      </c>
      <c r="BK287" s="31">
        <v>0</v>
      </c>
      <c r="BL287" s="31">
        <v>0</v>
      </c>
      <c r="BM287" s="31">
        <v>0</v>
      </c>
      <c r="BN287" s="31">
        <v>0</v>
      </c>
      <c r="BO287" s="31">
        <v>1</v>
      </c>
      <c r="BP287" s="31">
        <v>0</v>
      </c>
      <c r="BQ287" s="31">
        <v>0</v>
      </c>
      <c r="BR287" s="31">
        <v>0</v>
      </c>
      <c r="BS287" s="31">
        <v>0</v>
      </c>
      <c r="BT287" s="31">
        <v>0</v>
      </c>
      <c r="BU287" s="31">
        <v>0</v>
      </c>
      <c r="BV287" s="31">
        <v>0</v>
      </c>
      <c r="BW287" s="31">
        <v>0</v>
      </c>
      <c r="BX287" s="31">
        <v>0</v>
      </c>
      <c r="BY287" s="31">
        <v>0</v>
      </c>
      <c r="BZ287" s="31">
        <v>0</v>
      </c>
      <c r="CA287" s="31">
        <v>0</v>
      </c>
      <c r="CB287" s="31">
        <v>0</v>
      </c>
      <c r="CC287" s="31">
        <v>0</v>
      </c>
      <c r="CD287" s="31">
        <v>0</v>
      </c>
      <c r="CE287" s="31">
        <v>0</v>
      </c>
      <c r="CF287" s="31">
        <v>0</v>
      </c>
      <c r="CG287" s="31">
        <v>0</v>
      </c>
      <c r="CH287" s="31">
        <v>0</v>
      </c>
      <c r="CI287" s="31">
        <v>0</v>
      </c>
      <c r="CJ287" s="31">
        <v>0</v>
      </c>
      <c r="CK287" s="31">
        <v>0</v>
      </c>
      <c r="CL287" s="35">
        <v>0</v>
      </c>
    </row>
    <row r="288" spans="1:90" ht="21" x14ac:dyDescent="0.15">
      <c r="A288" s="27" t="s">
        <v>1422</v>
      </c>
      <c r="B288" s="28" t="s">
        <v>1423</v>
      </c>
      <c r="C288" s="28">
        <v>0</v>
      </c>
      <c r="D288" s="28">
        <v>0</v>
      </c>
      <c r="E288" s="28">
        <v>0</v>
      </c>
      <c r="F288" s="28">
        <v>0</v>
      </c>
      <c r="G288" s="28">
        <v>6</v>
      </c>
      <c r="H288" s="28">
        <f>IFERROR(VLOOKUP(A288,[1]FALTANTES!$A:$AB,28,FALSE),"-")</f>
        <v>0</v>
      </c>
      <c r="I288" s="42">
        <f>IFERROR(VLOOKUP(A288,[1]FALTANTES!$A:$AC,29,FALSE),"-")</f>
        <v>2</v>
      </c>
      <c r="J288" s="29">
        <f>IFERROR(VLOOKUP(A288,[1]FALTANTES!$A:$AD,30,FALSE),"-")</f>
        <v>-4</v>
      </c>
      <c r="K288" s="30"/>
      <c r="L288" s="30">
        <f t="shared" si="5"/>
        <v>2</v>
      </c>
      <c r="M288" s="31">
        <f>SUMIFS(METALFISA!$E:$E,METALFISA!$A:$A,'Faltantes Fevereiro- Metalfisa'!M$3,METALFISA!$B:$B,'Faltantes Fevereiro- Metalfisa'!$A288)</f>
        <v>0</v>
      </c>
      <c r="N288" s="31">
        <f>SUMIFS(METALFISA!$E:$E,METALFISA!$A:$A,'Faltantes Fevereiro- Metalfisa'!N$3,METALFISA!$B:$B,'Faltantes Fevereiro- Metalfisa'!$A288)</f>
        <v>0</v>
      </c>
      <c r="O288" s="31">
        <f>SUMIFS(METALFISA!$E:$E,METALFISA!$A:$A,'Faltantes Fevereiro- Metalfisa'!O$3,METALFISA!$B:$B,'Faltantes Fevereiro- Metalfisa'!$A288)</f>
        <v>0</v>
      </c>
      <c r="P288" s="31">
        <f>SUMIFS(METALFISA!$E:$E,METALFISA!$A:$A,'Faltantes Fevereiro- Metalfisa'!P$3,METALFISA!$B:$B,'Faltantes Fevereiro- Metalfisa'!$A288)</f>
        <v>0</v>
      </c>
      <c r="Q288" s="31">
        <f>SUMIFS(METALFISA!$E:$E,METALFISA!$A:$A,'Faltantes Fevereiro- Metalfisa'!Q$3,METALFISA!$B:$B,'Faltantes Fevereiro- Metalfisa'!$A288)</f>
        <v>0</v>
      </c>
      <c r="R288" s="31">
        <f>SUMIFS(METALFISA!$E:$E,METALFISA!$A:$A,'Faltantes Fevereiro- Metalfisa'!R$3,METALFISA!$B:$B,'Faltantes Fevereiro- Metalfisa'!$A288)</f>
        <v>0</v>
      </c>
      <c r="S288" s="31">
        <f>SUMIFS(METALFISA!$E:$E,METALFISA!$A:$A,'Faltantes Fevereiro- Metalfisa'!S$3,METALFISA!$B:$B,'Faltantes Fevereiro- Metalfisa'!$A288)</f>
        <v>0</v>
      </c>
      <c r="T288" s="31">
        <f>SUMIFS(METALFISA!$E:$E,METALFISA!$A:$A,'Faltantes Fevereiro- Metalfisa'!T$3,METALFISA!$B:$B,'Faltantes Fevereiro- Metalfisa'!$A288)</f>
        <v>0</v>
      </c>
      <c r="U288" s="31">
        <f>SUMIFS(METALFISA!$E:$E,METALFISA!$A:$A,'Faltantes Fevereiro- Metalfisa'!U$3,METALFISA!$B:$B,'Faltantes Fevereiro- Metalfisa'!$A288)</f>
        <v>0</v>
      </c>
      <c r="V288" s="31">
        <f>SUMIFS(METALFISA!$E:$E,METALFISA!$A:$A,'Faltantes Fevereiro- Metalfisa'!V$3,METALFISA!$B:$B,'Faltantes Fevereiro- Metalfisa'!$A288)</f>
        <v>0</v>
      </c>
      <c r="W288" s="31">
        <f>SUMIFS(METALFISA!$E:$E,METALFISA!$A:$A,'Faltantes Fevereiro- Metalfisa'!W$3,METALFISA!$B:$B,'Faltantes Fevereiro- Metalfisa'!$A288)</f>
        <v>0</v>
      </c>
      <c r="X288" s="31">
        <f>SUMIFS(METALFISA!$E:$E,METALFISA!$A:$A,'Faltantes Fevereiro- Metalfisa'!X$3,METALFISA!$B:$B,'Faltantes Fevereiro- Metalfisa'!$A288)</f>
        <v>0</v>
      </c>
      <c r="Y288" s="31">
        <f>SUMIFS(METALFISA!$E:$E,METALFISA!$A:$A,'Faltantes Fevereiro- Metalfisa'!Y$3,METALFISA!$B:$B,'Faltantes Fevereiro- Metalfisa'!$A288)</f>
        <v>0</v>
      </c>
      <c r="Z288" s="31">
        <f>SUMIFS(METALFISA!$E:$E,METALFISA!$A:$A,'Faltantes Fevereiro- Metalfisa'!Z$3,METALFISA!$B:$B,'Faltantes Fevereiro- Metalfisa'!$A288)</f>
        <v>0</v>
      </c>
      <c r="AA288" s="31">
        <f>SUMIFS(METALFISA!$E:$E,METALFISA!$A:$A,'Faltantes Fevereiro- Metalfisa'!AA$3,METALFISA!$B:$B,'Faltantes Fevereiro- Metalfisa'!$A288)</f>
        <v>0</v>
      </c>
      <c r="AB288" s="31">
        <f>SUMIFS(METALFISA!$E:$E,METALFISA!$A:$A,'Faltantes Fevereiro- Metalfisa'!AB$3,METALFISA!$B:$B,'Faltantes Fevereiro- Metalfisa'!$A288)</f>
        <v>0</v>
      </c>
      <c r="AC288" s="31">
        <f>SUMIFS(METALFISA!$E:$E,METALFISA!$A:$A,'Faltantes Fevereiro- Metalfisa'!AC$3,METALFISA!$B:$B,'Faltantes Fevereiro- Metalfisa'!$A288)</f>
        <v>0</v>
      </c>
      <c r="AD288" s="31">
        <f>SUMIFS(METALFISA!$E:$E,METALFISA!$A:$A,'Faltantes Fevereiro- Metalfisa'!AD$3,METALFISA!$B:$B,'Faltantes Fevereiro- Metalfisa'!$A288)</f>
        <v>0</v>
      </c>
      <c r="AE288" s="31">
        <f>SUMIFS(METALFISA!$E:$E,METALFISA!$A:$A,'Faltantes Fevereiro- Metalfisa'!AE$3,METALFISA!$B:$B,'Faltantes Fevereiro- Metalfisa'!$A288)</f>
        <v>2</v>
      </c>
      <c r="AF288" s="31">
        <f>SUMIFS(METALFISA!$E:$E,METALFISA!$A:$A,'Faltantes Fevereiro- Metalfisa'!AF$3,METALFISA!$B:$B,'Faltantes Fevereiro- Metalfisa'!$A288)</f>
        <v>0</v>
      </c>
      <c r="AG288" s="31">
        <f>SUMIFS(METALFISA!$E:$E,METALFISA!$A:$A,'Faltantes Fevereiro- Metalfisa'!AG$3,METALFISA!$B:$B,'Faltantes Fevereiro- Metalfisa'!$A288)</f>
        <v>0</v>
      </c>
      <c r="AH288" s="31">
        <f>SUMIFS(METALFISA!$E:$E,METALFISA!$A:$A,'Faltantes Fevereiro- Metalfisa'!AH$3,METALFISA!$B:$B,'Faltantes Fevereiro- Metalfisa'!$A288)</f>
        <v>0</v>
      </c>
      <c r="AI288" s="31">
        <f>SUMIFS(METALFISA!$E:$E,METALFISA!$A:$A,'Faltantes Fevereiro- Metalfisa'!AI$3,METALFISA!$B:$B,'Faltantes Fevereiro- Metalfisa'!$A288)</f>
        <v>0</v>
      </c>
      <c r="AJ288" s="31">
        <f>SUMIFS(METALFISA!$E:$E,METALFISA!$A:$A,'Faltantes Fevereiro- Metalfisa'!AJ$3,METALFISA!$B:$B,'Faltantes Fevereiro- Metalfisa'!$A288)</f>
        <v>0</v>
      </c>
      <c r="AK288" s="31">
        <f>SUMIFS(METALFISA!$E:$E,METALFISA!$A:$A,'Faltantes Fevereiro- Metalfisa'!AK$3,METALFISA!$B:$B,'Faltantes Fevereiro- Metalfisa'!$A288)</f>
        <v>0</v>
      </c>
      <c r="AL288" s="31">
        <f>SUMIFS(METALFISA!$E:$E,METALFISA!$A:$A,'Faltantes Fevereiro- Metalfisa'!AL$3,METALFISA!$B:$B,'Faltantes Fevereiro- Metalfisa'!$A288)</f>
        <v>0</v>
      </c>
      <c r="AM288" s="31">
        <f>SUMIFS(METALFISA!$E:$E,METALFISA!$A:$A,'Faltantes Fevereiro- Metalfisa'!AM$3,METALFISA!$B:$B,'Faltantes Fevereiro- Metalfisa'!$A288)</f>
        <v>0</v>
      </c>
      <c r="AN288" s="31">
        <f>SUMIFS(METALFISA!$E:$E,METALFISA!$A:$A,'Faltantes Fevereiro- Metalfisa'!AN$3,METALFISA!$B:$B,'Faltantes Fevereiro- Metalfisa'!$A288)</f>
        <v>0</v>
      </c>
      <c r="AO288" s="31">
        <f>SUMIFS(METALFISA!$E:$E,METALFISA!$A:$A,'Faltantes Fevereiro- Metalfisa'!AO$3,METALFISA!$B:$B,'Faltantes Fevereiro- Metalfisa'!$A288)</f>
        <v>0</v>
      </c>
      <c r="AP288" s="31">
        <f>SUMIFS(METALFISA!$E:$E,METALFISA!$A:$A,'Faltantes Fevereiro- Metalfisa'!AP$3,METALFISA!$B:$B,'Faltantes Fevereiro- Metalfisa'!$A288)</f>
        <v>0</v>
      </c>
      <c r="AQ288" s="31"/>
      <c r="AR288" s="31">
        <f>SUMIFS(METALFISA!$E:$E,METALFISA!$A:$A,'Faltantes Fevereiro- Metalfisa'!AR$3,METALFISA!$B:$B,'Faltantes Fevereiro- Metalfisa'!$A288)</f>
        <v>0</v>
      </c>
      <c r="AS288" s="35">
        <f>SUMIFS(METALFISA!$E:$E,METALFISA!$A:$A,'Faltantes Fevereiro- Metalfisa'!AS$3,METALFISA!$B:$B,'Faltantes Fevereiro- Metalfisa'!$A288)</f>
        <v>0</v>
      </c>
      <c r="AU288" s="18">
        <v>0</v>
      </c>
      <c r="AV288" s="18">
        <v>0</v>
      </c>
      <c r="AW288" s="18">
        <v>0</v>
      </c>
      <c r="AX288" s="18">
        <v>0</v>
      </c>
      <c r="AY288" s="41">
        <v>0</v>
      </c>
      <c r="AZ288" s="31">
        <v>0</v>
      </c>
      <c r="BA288" s="31">
        <v>0</v>
      </c>
      <c r="BB288" s="31">
        <v>0</v>
      </c>
      <c r="BC288" s="31">
        <v>0</v>
      </c>
      <c r="BD288" s="31">
        <v>0</v>
      </c>
      <c r="BE288" s="31">
        <v>0</v>
      </c>
      <c r="BF288" s="31">
        <v>0</v>
      </c>
      <c r="BG288" s="31">
        <v>0</v>
      </c>
      <c r="BH288" s="31">
        <v>0</v>
      </c>
      <c r="BI288" s="31">
        <v>0</v>
      </c>
      <c r="BJ288" s="31">
        <v>0</v>
      </c>
      <c r="BK288" s="31">
        <v>0</v>
      </c>
      <c r="BL288" s="31">
        <v>0</v>
      </c>
      <c r="BM288" s="31">
        <v>0</v>
      </c>
      <c r="BN288" s="31">
        <v>0</v>
      </c>
      <c r="BO288" s="31">
        <v>1</v>
      </c>
      <c r="BP288" s="31">
        <v>0</v>
      </c>
      <c r="BQ288" s="31">
        <v>0</v>
      </c>
      <c r="BR288" s="31">
        <v>0</v>
      </c>
      <c r="BS288" s="31">
        <v>0</v>
      </c>
      <c r="BT288" s="31">
        <v>0</v>
      </c>
      <c r="BU288" s="31">
        <v>0</v>
      </c>
      <c r="BV288" s="31">
        <v>0</v>
      </c>
      <c r="BW288" s="31">
        <v>0</v>
      </c>
      <c r="BX288" s="31">
        <v>0</v>
      </c>
      <c r="BY288" s="31">
        <v>0</v>
      </c>
      <c r="BZ288" s="31">
        <v>0</v>
      </c>
      <c r="CA288" s="31">
        <v>0</v>
      </c>
      <c r="CB288" s="31">
        <v>0</v>
      </c>
      <c r="CC288" s="31">
        <v>0</v>
      </c>
      <c r="CD288" s="31">
        <v>0</v>
      </c>
      <c r="CE288" s="31">
        <v>0</v>
      </c>
      <c r="CF288" s="31">
        <v>0</v>
      </c>
      <c r="CG288" s="31">
        <v>0</v>
      </c>
      <c r="CH288" s="31">
        <v>0</v>
      </c>
      <c r="CI288" s="31">
        <v>0</v>
      </c>
      <c r="CJ288" s="31">
        <v>0</v>
      </c>
      <c r="CK288" s="31">
        <v>0</v>
      </c>
      <c r="CL288" s="35">
        <v>0</v>
      </c>
    </row>
    <row r="289" spans="1:90" ht="21" x14ac:dyDescent="0.15">
      <c r="A289" s="27" t="s">
        <v>1426</v>
      </c>
      <c r="B289" s="28" t="s">
        <v>1427</v>
      </c>
      <c r="C289" s="28">
        <v>0</v>
      </c>
      <c r="D289" s="28">
        <v>0</v>
      </c>
      <c r="E289" s="28">
        <v>0</v>
      </c>
      <c r="F289" s="28">
        <v>0</v>
      </c>
      <c r="G289" s="28">
        <v>6</v>
      </c>
      <c r="H289" s="28">
        <f>IFERROR(VLOOKUP(A289,[1]FALTANTES!$A:$AB,28,FALSE),"-")</f>
        <v>0</v>
      </c>
      <c r="I289" s="42">
        <f>IFERROR(VLOOKUP(A289,[1]FALTANTES!$A:$AC,29,FALSE),"-")</f>
        <v>2</v>
      </c>
      <c r="J289" s="29">
        <f>IFERROR(VLOOKUP(A289,[1]FALTANTES!$A:$AD,30,FALSE),"-")</f>
        <v>-4</v>
      </c>
      <c r="K289" s="30">
        <v>0</v>
      </c>
      <c r="L289" s="30">
        <f t="shared" si="5"/>
        <v>1</v>
      </c>
      <c r="M289" s="31">
        <f>SUMIFS(METALFISA!$E:$E,METALFISA!$A:$A,'Faltantes Fevereiro- Metalfisa'!M$3,METALFISA!$B:$B,'Faltantes Fevereiro- Metalfisa'!$A289)</f>
        <v>0</v>
      </c>
      <c r="N289" s="31">
        <f>SUMIFS(METALFISA!$E:$E,METALFISA!$A:$A,'Faltantes Fevereiro- Metalfisa'!N$3,METALFISA!$B:$B,'Faltantes Fevereiro- Metalfisa'!$A289)</f>
        <v>0</v>
      </c>
      <c r="O289" s="31">
        <f>SUMIFS(METALFISA!$E:$E,METALFISA!$A:$A,'Faltantes Fevereiro- Metalfisa'!O$3,METALFISA!$B:$B,'Faltantes Fevereiro- Metalfisa'!$A289)</f>
        <v>0</v>
      </c>
      <c r="P289" s="31">
        <f>SUMIFS(METALFISA!$E:$E,METALFISA!$A:$A,'Faltantes Fevereiro- Metalfisa'!P$3,METALFISA!$B:$B,'Faltantes Fevereiro- Metalfisa'!$A289)</f>
        <v>0</v>
      </c>
      <c r="Q289" s="31">
        <f>SUMIFS(METALFISA!$E:$E,METALFISA!$A:$A,'Faltantes Fevereiro- Metalfisa'!Q$3,METALFISA!$B:$B,'Faltantes Fevereiro- Metalfisa'!$A289)</f>
        <v>0</v>
      </c>
      <c r="R289" s="31">
        <f>SUMIFS(METALFISA!$E:$E,METALFISA!$A:$A,'Faltantes Fevereiro- Metalfisa'!R$3,METALFISA!$B:$B,'Faltantes Fevereiro- Metalfisa'!$A289)</f>
        <v>0</v>
      </c>
      <c r="S289" s="31">
        <f>SUMIFS(METALFISA!$E:$E,METALFISA!$A:$A,'Faltantes Fevereiro- Metalfisa'!S$3,METALFISA!$B:$B,'Faltantes Fevereiro- Metalfisa'!$A289)</f>
        <v>0</v>
      </c>
      <c r="T289" s="31">
        <f>SUMIFS(METALFISA!$E:$E,METALFISA!$A:$A,'Faltantes Fevereiro- Metalfisa'!T$3,METALFISA!$B:$B,'Faltantes Fevereiro- Metalfisa'!$A289)</f>
        <v>0</v>
      </c>
      <c r="U289" s="31">
        <f>SUMIFS(METALFISA!$E:$E,METALFISA!$A:$A,'Faltantes Fevereiro- Metalfisa'!U$3,METALFISA!$B:$B,'Faltantes Fevereiro- Metalfisa'!$A289)</f>
        <v>0</v>
      </c>
      <c r="V289" s="31">
        <f>SUMIFS(METALFISA!$E:$E,METALFISA!$A:$A,'Faltantes Fevereiro- Metalfisa'!V$3,METALFISA!$B:$B,'Faltantes Fevereiro- Metalfisa'!$A289)</f>
        <v>0</v>
      </c>
      <c r="W289" s="31">
        <f>SUMIFS(METALFISA!$E:$E,METALFISA!$A:$A,'Faltantes Fevereiro- Metalfisa'!W$3,METALFISA!$B:$B,'Faltantes Fevereiro- Metalfisa'!$A289)</f>
        <v>0</v>
      </c>
      <c r="X289" s="31">
        <f>SUMIFS(METALFISA!$E:$E,METALFISA!$A:$A,'Faltantes Fevereiro- Metalfisa'!X$3,METALFISA!$B:$B,'Faltantes Fevereiro- Metalfisa'!$A289)</f>
        <v>0</v>
      </c>
      <c r="Y289" s="31">
        <f>SUMIFS(METALFISA!$E:$E,METALFISA!$A:$A,'Faltantes Fevereiro- Metalfisa'!Y$3,METALFISA!$B:$B,'Faltantes Fevereiro- Metalfisa'!$A289)</f>
        <v>0</v>
      </c>
      <c r="Z289" s="31">
        <f>SUMIFS(METALFISA!$E:$E,METALFISA!$A:$A,'Faltantes Fevereiro- Metalfisa'!Z$3,METALFISA!$B:$B,'Faltantes Fevereiro- Metalfisa'!$A289)</f>
        <v>0</v>
      </c>
      <c r="AA289" s="31">
        <f>SUMIFS(METALFISA!$E:$E,METALFISA!$A:$A,'Faltantes Fevereiro- Metalfisa'!AA$3,METALFISA!$B:$B,'Faltantes Fevereiro- Metalfisa'!$A289)</f>
        <v>0</v>
      </c>
      <c r="AB289" s="31">
        <f>SUMIFS(METALFISA!$E:$E,METALFISA!$A:$A,'Faltantes Fevereiro- Metalfisa'!AB$3,METALFISA!$B:$B,'Faltantes Fevereiro- Metalfisa'!$A289)</f>
        <v>0</v>
      </c>
      <c r="AC289" s="31">
        <f>SUMIFS(METALFISA!$E:$E,METALFISA!$A:$A,'Faltantes Fevereiro- Metalfisa'!AC$3,METALFISA!$B:$B,'Faltantes Fevereiro- Metalfisa'!$A289)</f>
        <v>0</v>
      </c>
      <c r="AD289" s="31">
        <f>SUMIFS(METALFISA!$E:$E,METALFISA!$A:$A,'Faltantes Fevereiro- Metalfisa'!AD$3,METALFISA!$B:$B,'Faltantes Fevereiro- Metalfisa'!$A289)</f>
        <v>0</v>
      </c>
      <c r="AE289" s="31">
        <f>SUMIFS(METALFISA!$E:$E,METALFISA!$A:$A,'Faltantes Fevereiro- Metalfisa'!AE$3,METALFISA!$B:$B,'Faltantes Fevereiro- Metalfisa'!$A289)</f>
        <v>1</v>
      </c>
      <c r="AF289" s="31">
        <f>SUMIFS(METALFISA!$E:$E,METALFISA!$A:$A,'Faltantes Fevereiro- Metalfisa'!AF$3,METALFISA!$B:$B,'Faltantes Fevereiro- Metalfisa'!$A289)</f>
        <v>0</v>
      </c>
      <c r="AG289" s="31">
        <f>SUMIFS(METALFISA!$E:$E,METALFISA!$A:$A,'Faltantes Fevereiro- Metalfisa'!AG$3,METALFISA!$B:$B,'Faltantes Fevereiro- Metalfisa'!$A289)</f>
        <v>0</v>
      </c>
      <c r="AH289" s="31">
        <f>SUMIFS(METALFISA!$E:$E,METALFISA!$A:$A,'Faltantes Fevereiro- Metalfisa'!AH$3,METALFISA!$B:$B,'Faltantes Fevereiro- Metalfisa'!$A289)</f>
        <v>0</v>
      </c>
      <c r="AI289" s="31">
        <f>SUMIFS(METALFISA!$E:$E,METALFISA!$A:$A,'Faltantes Fevereiro- Metalfisa'!AI$3,METALFISA!$B:$B,'Faltantes Fevereiro- Metalfisa'!$A289)</f>
        <v>0</v>
      </c>
      <c r="AJ289" s="31">
        <f>SUMIFS(METALFISA!$E:$E,METALFISA!$A:$A,'Faltantes Fevereiro- Metalfisa'!AJ$3,METALFISA!$B:$B,'Faltantes Fevereiro- Metalfisa'!$A289)</f>
        <v>0</v>
      </c>
      <c r="AK289" s="31">
        <f>SUMIFS(METALFISA!$E:$E,METALFISA!$A:$A,'Faltantes Fevereiro- Metalfisa'!AK$3,METALFISA!$B:$B,'Faltantes Fevereiro- Metalfisa'!$A289)</f>
        <v>0</v>
      </c>
      <c r="AL289" s="31">
        <f>SUMIFS(METALFISA!$E:$E,METALFISA!$A:$A,'Faltantes Fevereiro- Metalfisa'!AL$3,METALFISA!$B:$B,'Faltantes Fevereiro- Metalfisa'!$A289)</f>
        <v>0</v>
      </c>
      <c r="AM289" s="31">
        <f>SUMIFS(METALFISA!$E:$E,METALFISA!$A:$A,'Faltantes Fevereiro- Metalfisa'!AM$3,METALFISA!$B:$B,'Faltantes Fevereiro- Metalfisa'!$A289)</f>
        <v>0</v>
      </c>
      <c r="AN289" s="31">
        <f>SUMIFS(METALFISA!$E:$E,METALFISA!$A:$A,'Faltantes Fevereiro- Metalfisa'!AN$3,METALFISA!$B:$B,'Faltantes Fevereiro- Metalfisa'!$A289)</f>
        <v>0</v>
      </c>
      <c r="AO289" s="31">
        <f>SUMIFS(METALFISA!$E:$E,METALFISA!$A:$A,'Faltantes Fevereiro- Metalfisa'!AO$3,METALFISA!$B:$B,'Faltantes Fevereiro- Metalfisa'!$A289)</f>
        <v>0</v>
      </c>
      <c r="AP289" s="31">
        <f>SUMIFS(METALFISA!$E:$E,METALFISA!$A:$A,'Faltantes Fevereiro- Metalfisa'!AP$3,METALFISA!$B:$B,'Faltantes Fevereiro- Metalfisa'!$A289)</f>
        <v>0</v>
      </c>
      <c r="AQ289" s="31"/>
      <c r="AR289" s="31">
        <f>SUMIFS(METALFISA!$E:$E,METALFISA!$A:$A,'Faltantes Fevereiro- Metalfisa'!AR$3,METALFISA!$B:$B,'Faltantes Fevereiro- Metalfisa'!$A289)</f>
        <v>0</v>
      </c>
      <c r="AS289" s="35">
        <f>SUMIFS(METALFISA!$E:$E,METALFISA!$A:$A,'Faltantes Fevereiro- Metalfisa'!AS$3,METALFISA!$B:$B,'Faltantes Fevereiro- Metalfisa'!$A289)</f>
        <v>0</v>
      </c>
      <c r="AU289" s="18">
        <v>0</v>
      </c>
      <c r="AV289" s="18">
        <v>0</v>
      </c>
      <c r="AW289" s="18">
        <v>0</v>
      </c>
      <c r="AX289" s="18">
        <v>0</v>
      </c>
      <c r="AY289" s="41">
        <v>0</v>
      </c>
      <c r="AZ289" s="31">
        <v>0</v>
      </c>
      <c r="BA289" s="31">
        <v>0</v>
      </c>
      <c r="BB289" s="31">
        <v>0</v>
      </c>
      <c r="BC289" s="31">
        <v>0</v>
      </c>
      <c r="BD289" s="31">
        <v>0</v>
      </c>
      <c r="BE289" s="31">
        <v>0</v>
      </c>
      <c r="BF289" s="31">
        <v>0</v>
      </c>
      <c r="BG289" s="31">
        <v>0</v>
      </c>
      <c r="BH289" s="31">
        <v>0</v>
      </c>
      <c r="BI289" s="31">
        <v>0</v>
      </c>
      <c r="BJ289" s="31">
        <v>0</v>
      </c>
      <c r="BK289" s="31">
        <v>0</v>
      </c>
      <c r="BL289" s="31">
        <v>0</v>
      </c>
      <c r="BM289" s="31">
        <v>0</v>
      </c>
      <c r="BN289" s="31">
        <v>0</v>
      </c>
      <c r="BO289" s="31">
        <v>1</v>
      </c>
      <c r="BP289" s="31">
        <v>0</v>
      </c>
      <c r="BQ289" s="31">
        <v>0</v>
      </c>
      <c r="BR289" s="31">
        <v>0</v>
      </c>
      <c r="BS289" s="31">
        <v>0</v>
      </c>
      <c r="BT289" s="31">
        <v>0</v>
      </c>
      <c r="BU289" s="31">
        <v>0</v>
      </c>
      <c r="BV289" s="31">
        <v>0</v>
      </c>
      <c r="BW289" s="31">
        <v>0</v>
      </c>
      <c r="BX289" s="31">
        <v>0</v>
      </c>
      <c r="BY289" s="31">
        <v>0</v>
      </c>
      <c r="BZ289" s="31">
        <v>0</v>
      </c>
      <c r="CA289" s="31">
        <v>0</v>
      </c>
      <c r="CB289" s="31">
        <v>0</v>
      </c>
      <c r="CC289" s="31">
        <v>0</v>
      </c>
      <c r="CD289" s="31">
        <v>0</v>
      </c>
      <c r="CE289" s="31">
        <v>0</v>
      </c>
      <c r="CF289" s="31">
        <v>0</v>
      </c>
      <c r="CG289" s="31">
        <v>0</v>
      </c>
      <c r="CH289" s="31">
        <v>0</v>
      </c>
      <c r="CI289" s="31">
        <v>0</v>
      </c>
      <c r="CJ289" s="31">
        <v>0</v>
      </c>
      <c r="CK289" s="31">
        <v>0</v>
      </c>
      <c r="CL289" s="35">
        <v>0</v>
      </c>
    </row>
    <row r="290" spans="1:90" ht="21" x14ac:dyDescent="0.15">
      <c r="A290" s="27" t="s">
        <v>1429</v>
      </c>
      <c r="B290" s="28" t="s">
        <v>1430</v>
      </c>
      <c r="C290" s="28">
        <v>0</v>
      </c>
      <c r="D290" s="28">
        <v>0</v>
      </c>
      <c r="E290" s="28">
        <v>0</v>
      </c>
      <c r="F290" s="28">
        <v>0</v>
      </c>
      <c r="G290" s="28">
        <v>6</v>
      </c>
      <c r="H290" s="28">
        <f>IFERROR(VLOOKUP(A290,[1]FALTANTES!$A:$AB,28,FALSE),"-")</f>
        <v>0</v>
      </c>
      <c r="I290" s="42">
        <f>IFERROR(VLOOKUP(A290,[1]FALTANTES!$A:$AC,29,FALSE),"-")</f>
        <v>2</v>
      </c>
      <c r="J290" s="29">
        <f>IFERROR(VLOOKUP(A290,[1]FALTANTES!$A:$AD,30,FALSE),"-")</f>
        <v>-4</v>
      </c>
      <c r="K290" s="30"/>
      <c r="L290" s="30">
        <f t="shared" si="5"/>
        <v>2</v>
      </c>
      <c r="M290" s="31">
        <f>SUMIFS(METALFISA!$E:$E,METALFISA!$A:$A,'Faltantes Fevereiro- Metalfisa'!M$3,METALFISA!$B:$B,'Faltantes Fevereiro- Metalfisa'!$A290)</f>
        <v>0</v>
      </c>
      <c r="N290" s="31">
        <f>SUMIFS(METALFISA!$E:$E,METALFISA!$A:$A,'Faltantes Fevereiro- Metalfisa'!N$3,METALFISA!$B:$B,'Faltantes Fevereiro- Metalfisa'!$A290)</f>
        <v>0</v>
      </c>
      <c r="O290" s="31">
        <f>SUMIFS(METALFISA!$E:$E,METALFISA!$A:$A,'Faltantes Fevereiro- Metalfisa'!O$3,METALFISA!$B:$B,'Faltantes Fevereiro- Metalfisa'!$A290)</f>
        <v>0</v>
      </c>
      <c r="P290" s="31">
        <f>SUMIFS(METALFISA!$E:$E,METALFISA!$A:$A,'Faltantes Fevereiro- Metalfisa'!P$3,METALFISA!$B:$B,'Faltantes Fevereiro- Metalfisa'!$A290)</f>
        <v>0</v>
      </c>
      <c r="Q290" s="31">
        <f>SUMIFS(METALFISA!$E:$E,METALFISA!$A:$A,'Faltantes Fevereiro- Metalfisa'!Q$3,METALFISA!$B:$B,'Faltantes Fevereiro- Metalfisa'!$A290)</f>
        <v>0</v>
      </c>
      <c r="R290" s="31">
        <f>SUMIFS(METALFISA!$E:$E,METALFISA!$A:$A,'Faltantes Fevereiro- Metalfisa'!R$3,METALFISA!$B:$B,'Faltantes Fevereiro- Metalfisa'!$A290)</f>
        <v>0</v>
      </c>
      <c r="S290" s="31">
        <f>SUMIFS(METALFISA!$E:$E,METALFISA!$A:$A,'Faltantes Fevereiro- Metalfisa'!S$3,METALFISA!$B:$B,'Faltantes Fevereiro- Metalfisa'!$A290)</f>
        <v>0</v>
      </c>
      <c r="T290" s="31">
        <f>SUMIFS(METALFISA!$E:$E,METALFISA!$A:$A,'Faltantes Fevereiro- Metalfisa'!T$3,METALFISA!$B:$B,'Faltantes Fevereiro- Metalfisa'!$A290)</f>
        <v>0</v>
      </c>
      <c r="U290" s="31">
        <f>SUMIFS(METALFISA!$E:$E,METALFISA!$A:$A,'Faltantes Fevereiro- Metalfisa'!U$3,METALFISA!$B:$B,'Faltantes Fevereiro- Metalfisa'!$A290)</f>
        <v>0</v>
      </c>
      <c r="V290" s="31">
        <f>SUMIFS(METALFISA!$E:$E,METALFISA!$A:$A,'Faltantes Fevereiro- Metalfisa'!V$3,METALFISA!$B:$B,'Faltantes Fevereiro- Metalfisa'!$A290)</f>
        <v>0</v>
      </c>
      <c r="W290" s="31">
        <f>SUMIFS(METALFISA!$E:$E,METALFISA!$A:$A,'Faltantes Fevereiro- Metalfisa'!W$3,METALFISA!$B:$B,'Faltantes Fevereiro- Metalfisa'!$A290)</f>
        <v>0</v>
      </c>
      <c r="X290" s="31">
        <f>SUMIFS(METALFISA!$E:$E,METALFISA!$A:$A,'Faltantes Fevereiro- Metalfisa'!X$3,METALFISA!$B:$B,'Faltantes Fevereiro- Metalfisa'!$A290)</f>
        <v>0</v>
      </c>
      <c r="Y290" s="31">
        <f>SUMIFS(METALFISA!$E:$E,METALFISA!$A:$A,'Faltantes Fevereiro- Metalfisa'!Y$3,METALFISA!$B:$B,'Faltantes Fevereiro- Metalfisa'!$A290)</f>
        <v>0</v>
      </c>
      <c r="Z290" s="31">
        <f>SUMIFS(METALFISA!$E:$E,METALFISA!$A:$A,'Faltantes Fevereiro- Metalfisa'!Z$3,METALFISA!$B:$B,'Faltantes Fevereiro- Metalfisa'!$A290)</f>
        <v>0</v>
      </c>
      <c r="AA290" s="31">
        <f>SUMIFS(METALFISA!$E:$E,METALFISA!$A:$A,'Faltantes Fevereiro- Metalfisa'!AA$3,METALFISA!$B:$B,'Faltantes Fevereiro- Metalfisa'!$A290)</f>
        <v>0</v>
      </c>
      <c r="AB290" s="31">
        <f>SUMIFS(METALFISA!$E:$E,METALFISA!$A:$A,'Faltantes Fevereiro- Metalfisa'!AB$3,METALFISA!$B:$B,'Faltantes Fevereiro- Metalfisa'!$A290)</f>
        <v>0</v>
      </c>
      <c r="AC290" s="31">
        <f>SUMIFS(METALFISA!$E:$E,METALFISA!$A:$A,'Faltantes Fevereiro- Metalfisa'!AC$3,METALFISA!$B:$B,'Faltantes Fevereiro- Metalfisa'!$A290)</f>
        <v>0</v>
      </c>
      <c r="AD290" s="31">
        <f>SUMIFS(METALFISA!$E:$E,METALFISA!$A:$A,'Faltantes Fevereiro- Metalfisa'!AD$3,METALFISA!$B:$B,'Faltantes Fevereiro- Metalfisa'!$A290)</f>
        <v>0</v>
      </c>
      <c r="AE290" s="31">
        <f>SUMIFS(METALFISA!$E:$E,METALFISA!$A:$A,'Faltantes Fevereiro- Metalfisa'!AE$3,METALFISA!$B:$B,'Faltantes Fevereiro- Metalfisa'!$A290)</f>
        <v>2</v>
      </c>
      <c r="AF290" s="31">
        <f>SUMIFS(METALFISA!$E:$E,METALFISA!$A:$A,'Faltantes Fevereiro- Metalfisa'!AF$3,METALFISA!$B:$B,'Faltantes Fevereiro- Metalfisa'!$A290)</f>
        <v>0</v>
      </c>
      <c r="AG290" s="31">
        <f>SUMIFS(METALFISA!$E:$E,METALFISA!$A:$A,'Faltantes Fevereiro- Metalfisa'!AG$3,METALFISA!$B:$B,'Faltantes Fevereiro- Metalfisa'!$A290)</f>
        <v>0</v>
      </c>
      <c r="AH290" s="31">
        <f>SUMIFS(METALFISA!$E:$E,METALFISA!$A:$A,'Faltantes Fevereiro- Metalfisa'!AH$3,METALFISA!$B:$B,'Faltantes Fevereiro- Metalfisa'!$A290)</f>
        <v>0</v>
      </c>
      <c r="AI290" s="31">
        <f>SUMIFS(METALFISA!$E:$E,METALFISA!$A:$A,'Faltantes Fevereiro- Metalfisa'!AI$3,METALFISA!$B:$B,'Faltantes Fevereiro- Metalfisa'!$A290)</f>
        <v>0</v>
      </c>
      <c r="AJ290" s="31">
        <f>SUMIFS(METALFISA!$E:$E,METALFISA!$A:$A,'Faltantes Fevereiro- Metalfisa'!AJ$3,METALFISA!$B:$B,'Faltantes Fevereiro- Metalfisa'!$A290)</f>
        <v>0</v>
      </c>
      <c r="AK290" s="31">
        <f>SUMIFS(METALFISA!$E:$E,METALFISA!$A:$A,'Faltantes Fevereiro- Metalfisa'!AK$3,METALFISA!$B:$B,'Faltantes Fevereiro- Metalfisa'!$A290)</f>
        <v>0</v>
      </c>
      <c r="AL290" s="31">
        <f>SUMIFS(METALFISA!$E:$E,METALFISA!$A:$A,'Faltantes Fevereiro- Metalfisa'!AL$3,METALFISA!$B:$B,'Faltantes Fevereiro- Metalfisa'!$A290)</f>
        <v>0</v>
      </c>
      <c r="AM290" s="31">
        <f>SUMIFS(METALFISA!$E:$E,METALFISA!$A:$A,'Faltantes Fevereiro- Metalfisa'!AM$3,METALFISA!$B:$B,'Faltantes Fevereiro- Metalfisa'!$A290)</f>
        <v>0</v>
      </c>
      <c r="AN290" s="31">
        <f>SUMIFS(METALFISA!$E:$E,METALFISA!$A:$A,'Faltantes Fevereiro- Metalfisa'!AN$3,METALFISA!$B:$B,'Faltantes Fevereiro- Metalfisa'!$A290)</f>
        <v>0</v>
      </c>
      <c r="AO290" s="31">
        <f>SUMIFS(METALFISA!$E:$E,METALFISA!$A:$A,'Faltantes Fevereiro- Metalfisa'!AO$3,METALFISA!$B:$B,'Faltantes Fevereiro- Metalfisa'!$A290)</f>
        <v>0</v>
      </c>
      <c r="AP290" s="31">
        <f>SUMIFS(METALFISA!$E:$E,METALFISA!$A:$A,'Faltantes Fevereiro- Metalfisa'!AP$3,METALFISA!$B:$B,'Faltantes Fevereiro- Metalfisa'!$A290)</f>
        <v>0</v>
      </c>
      <c r="AQ290" s="31"/>
      <c r="AR290" s="31">
        <f>SUMIFS(METALFISA!$E:$E,METALFISA!$A:$A,'Faltantes Fevereiro- Metalfisa'!AR$3,METALFISA!$B:$B,'Faltantes Fevereiro- Metalfisa'!$A290)</f>
        <v>0</v>
      </c>
      <c r="AS290" s="35">
        <f>SUMIFS(METALFISA!$E:$E,METALFISA!$A:$A,'Faltantes Fevereiro- Metalfisa'!AS$3,METALFISA!$B:$B,'Faltantes Fevereiro- Metalfisa'!$A290)</f>
        <v>0</v>
      </c>
      <c r="AU290" s="18">
        <v>0</v>
      </c>
      <c r="AV290" s="18">
        <v>0</v>
      </c>
      <c r="AW290" s="18">
        <v>0</v>
      </c>
      <c r="AX290" s="18">
        <v>0</v>
      </c>
      <c r="AY290" s="41">
        <v>0</v>
      </c>
      <c r="AZ290" s="31">
        <v>0</v>
      </c>
      <c r="BA290" s="31">
        <v>0</v>
      </c>
      <c r="BB290" s="31">
        <v>0</v>
      </c>
      <c r="BC290" s="31">
        <v>0</v>
      </c>
      <c r="BD290" s="31">
        <v>0</v>
      </c>
      <c r="BE290" s="31">
        <v>0</v>
      </c>
      <c r="BF290" s="31">
        <v>0</v>
      </c>
      <c r="BG290" s="31">
        <v>0</v>
      </c>
      <c r="BH290" s="31">
        <v>0</v>
      </c>
      <c r="BI290" s="31">
        <v>0</v>
      </c>
      <c r="BJ290" s="31">
        <v>0</v>
      </c>
      <c r="BK290" s="31">
        <v>0</v>
      </c>
      <c r="BL290" s="31">
        <v>0</v>
      </c>
      <c r="BM290" s="31">
        <v>0</v>
      </c>
      <c r="BN290" s="31">
        <v>0</v>
      </c>
      <c r="BO290" s="31">
        <v>1</v>
      </c>
      <c r="BP290" s="31">
        <v>0</v>
      </c>
      <c r="BQ290" s="31">
        <v>0</v>
      </c>
      <c r="BR290" s="31">
        <v>0</v>
      </c>
      <c r="BS290" s="31">
        <v>0</v>
      </c>
      <c r="BT290" s="31">
        <v>0</v>
      </c>
      <c r="BU290" s="31">
        <v>0</v>
      </c>
      <c r="BV290" s="31">
        <v>0</v>
      </c>
      <c r="BW290" s="31">
        <v>0</v>
      </c>
      <c r="BX290" s="31">
        <v>0</v>
      </c>
      <c r="BY290" s="31">
        <v>0</v>
      </c>
      <c r="BZ290" s="31">
        <v>0</v>
      </c>
      <c r="CA290" s="31">
        <v>0</v>
      </c>
      <c r="CB290" s="31">
        <v>0</v>
      </c>
      <c r="CC290" s="31">
        <v>0</v>
      </c>
      <c r="CD290" s="31">
        <v>0</v>
      </c>
      <c r="CE290" s="31">
        <v>0</v>
      </c>
      <c r="CF290" s="31">
        <v>0</v>
      </c>
      <c r="CG290" s="31">
        <v>0</v>
      </c>
      <c r="CH290" s="31">
        <v>0</v>
      </c>
      <c r="CI290" s="31">
        <v>0</v>
      </c>
      <c r="CJ290" s="31">
        <v>0</v>
      </c>
      <c r="CK290" s="31">
        <v>0</v>
      </c>
      <c r="CL290" s="35">
        <v>0</v>
      </c>
    </row>
    <row r="291" spans="1:90" ht="21" x14ac:dyDescent="0.15">
      <c r="A291" s="27" t="s">
        <v>1433</v>
      </c>
      <c r="B291" s="28" t="s">
        <v>1434</v>
      </c>
      <c r="C291" s="28">
        <v>0</v>
      </c>
      <c r="D291" s="28">
        <v>0</v>
      </c>
      <c r="E291" s="28">
        <v>0</v>
      </c>
      <c r="F291" s="28">
        <v>0</v>
      </c>
      <c r="G291" s="28">
        <v>6</v>
      </c>
      <c r="H291" s="28">
        <f>IFERROR(VLOOKUP(A291,[1]FALTANTES!$A:$AB,28,FALSE),"-")</f>
        <v>0</v>
      </c>
      <c r="I291" s="42">
        <f>IFERROR(VLOOKUP(A291,[1]FALTANTES!$A:$AC,29,FALSE),"-")</f>
        <v>2</v>
      </c>
      <c r="J291" s="29">
        <f>IFERROR(VLOOKUP(A291,[1]FALTANTES!$A:$AD,30,FALSE),"-")</f>
        <v>-4</v>
      </c>
      <c r="K291" s="30">
        <v>0</v>
      </c>
      <c r="L291" s="30">
        <f t="shared" si="5"/>
        <v>2</v>
      </c>
      <c r="M291" s="31">
        <f>SUMIFS(METALFISA!$E:$E,METALFISA!$A:$A,'Faltantes Fevereiro- Metalfisa'!M$3,METALFISA!$B:$B,'Faltantes Fevereiro- Metalfisa'!$A291)</f>
        <v>0</v>
      </c>
      <c r="N291" s="31">
        <f>SUMIFS(METALFISA!$E:$E,METALFISA!$A:$A,'Faltantes Fevereiro- Metalfisa'!N$3,METALFISA!$B:$B,'Faltantes Fevereiro- Metalfisa'!$A291)</f>
        <v>0</v>
      </c>
      <c r="O291" s="31">
        <f>SUMIFS(METALFISA!$E:$E,METALFISA!$A:$A,'Faltantes Fevereiro- Metalfisa'!O$3,METALFISA!$B:$B,'Faltantes Fevereiro- Metalfisa'!$A291)</f>
        <v>0</v>
      </c>
      <c r="P291" s="31">
        <f>SUMIFS(METALFISA!$E:$E,METALFISA!$A:$A,'Faltantes Fevereiro- Metalfisa'!P$3,METALFISA!$B:$B,'Faltantes Fevereiro- Metalfisa'!$A291)</f>
        <v>0</v>
      </c>
      <c r="Q291" s="31">
        <f>SUMIFS(METALFISA!$E:$E,METALFISA!$A:$A,'Faltantes Fevereiro- Metalfisa'!Q$3,METALFISA!$B:$B,'Faltantes Fevereiro- Metalfisa'!$A291)</f>
        <v>0</v>
      </c>
      <c r="R291" s="31">
        <f>SUMIFS(METALFISA!$E:$E,METALFISA!$A:$A,'Faltantes Fevereiro- Metalfisa'!R$3,METALFISA!$B:$B,'Faltantes Fevereiro- Metalfisa'!$A291)</f>
        <v>0</v>
      </c>
      <c r="S291" s="31">
        <f>SUMIFS(METALFISA!$E:$E,METALFISA!$A:$A,'Faltantes Fevereiro- Metalfisa'!S$3,METALFISA!$B:$B,'Faltantes Fevereiro- Metalfisa'!$A291)</f>
        <v>0</v>
      </c>
      <c r="T291" s="31">
        <f>SUMIFS(METALFISA!$E:$E,METALFISA!$A:$A,'Faltantes Fevereiro- Metalfisa'!T$3,METALFISA!$B:$B,'Faltantes Fevereiro- Metalfisa'!$A291)</f>
        <v>0</v>
      </c>
      <c r="U291" s="31">
        <f>SUMIFS(METALFISA!$E:$E,METALFISA!$A:$A,'Faltantes Fevereiro- Metalfisa'!U$3,METALFISA!$B:$B,'Faltantes Fevereiro- Metalfisa'!$A291)</f>
        <v>0</v>
      </c>
      <c r="V291" s="31">
        <f>SUMIFS(METALFISA!$E:$E,METALFISA!$A:$A,'Faltantes Fevereiro- Metalfisa'!V$3,METALFISA!$B:$B,'Faltantes Fevereiro- Metalfisa'!$A291)</f>
        <v>0</v>
      </c>
      <c r="W291" s="31">
        <f>SUMIFS(METALFISA!$E:$E,METALFISA!$A:$A,'Faltantes Fevereiro- Metalfisa'!W$3,METALFISA!$B:$B,'Faltantes Fevereiro- Metalfisa'!$A291)</f>
        <v>0</v>
      </c>
      <c r="X291" s="31">
        <f>SUMIFS(METALFISA!$E:$E,METALFISA!$A:$A,'Faltantes Fevereiro- Metalfisa'!X$3,METALFISA!$B:$B,'Faltantes Fevereiro- Metalfisa'!$A291)</f>
        <v>0</v>
      </c>
      <c r="Y291" s="31">
        <f>SUMIFS(METALFISA!$E:$E,METALFISA!$A:$A,'Faltantes Fevereiro- Metalfisa'!Y$3,METALFISA!$B:$B,'Faltantes Fevereiro- Metalfisa'!$A291)</f>
        <v>0</v>
      </c>
      <c r="Z291" s="31">
        <f>SUMIFS(METALFISA!$E:$E,METALFISA!$A:$A,'Faltantes Fevereiro- Metalfisa'!Z$3,METALFISA!$B:$B,'Faltantes Fevereiro- Metalfisa'!$A291)</f>
        <v>0</v>
      </c>
      <c r="AA291" s="31">
        <f>SUMIFS(METALFISA!$E:$E,METALFISA!$A:$A,'Faltantes Fevereiro- Metalfisa'!AA$3,METALFISA!$B:$B,'Faltantes Fevereiro- Metalfisa'!$A291)</f>
        <v>0</v>
      </c>
      <c r="AB291" s="31">
        <f>SUMIFS(METALFISA!$E:$E,METALFISA!$A:$A,'Faltantes Fevereiro- Metalfisa'!AB$3,METALFISA!$B:$B,'Faltantes Fevereiro- Metalfisa'!$A291)</f>
        <v>0</v>
      </c>
      <c r="AC291" s="31">
        <f>SUMIFS(METALFISA!$E:$E,METALFISA!$A:$A,'Faltantes Fevereiro- Metalfisa'!AC$3,METALFISA!$B:$B,'Faltantes Fevereiro- Metalfisa'!$A291)</f>
        <v>0</v>
      </c>
      <c r="AD291" s="31">
        <f>SUMIFS(METALFISA!$E:$E,METALFISA!$A:$A,'Faltantes Fevereiro- Metalfisa'!AD$3,METALFISA!$B:$B,'Faltantes Fevereiro- Metalfisa'!$A291)</f>
        <v>0</v>
      </c>
      <c r="AE291" s="31">
        <f>SUMIFS(METALFISA!$E:$E,METALFISA!$A:$A,'Faltantes Fevereiro- Metalfisa'!AE$3,METALFISA!$B:$B,'Faltantes Fevereiro- Metalfisa'!$A291)</f>
        <v>2</v>
      </c>
      <c r="AF291" s="31">
        <f>SUMIFS(METALFISA!$E:$E,METALFISA!$A:$A,'Faltantes Fevereiro- Metalfisa'!AF$3,METALFISA!$B:$B,'Faltantes Fevereiro- Metalfisa'!$A291)</f>
        <v>0</v>
      </c>
      <c r="AG291" s="31">
        <f>SUMIFS(METALFISA!$E:$E,METALFISA!$A:$A,'Faltantes Fevereiro- Metalfisa'!AG$3,METALFISA!$B:$B,'Faltantes Fevereiro- Metalfisa'!$A291)</f>
        <v>0</v>
      </c>
      <c r="AH291" s="31">
        <f>SUMIFS(METALFISA!$E:$E,METALFISA!$A:$A,'Faltantes Fevereiro- Metalfisa'!AH$3,METALFISA!$B:$B,'Faltantes Fevereiro- Metalfisa'!$A291)</f>
        <v>0</v>
      </c>
      <c r="AI291" s="31">
        <f>SUMIFS(METALFISA!$E:$E,METALFISA!$A:$A,'Faltantes Fevereiro- Metalfisa'!AI$3,METALFISA!$B:$B,'Faltantes Fevereiro- Metalfisa'!$A291)</f>
        <v>0</v>
      </c>
      <c r="AJ291" s="31">
        <f>SUMIFS(METALFISA!$E:$E,METALFISA!$A:$A,'Faltantes Fevereiro- Metalfisa'!AJ$3,METALFISA!$B:$B,'Faltantes Fevereiro- Metalfisa'!$A291)</f>
        <v>0</v>
      </c>
      <c r="AK291" s="31">
        <f>SUMIFS(METALFISA!$E:$E,METALFISA!$A:$A,'Faltantes Fevereiro- Metalfisa'!AK$3,METALFISA!$B:$B,'Faltantes Fevereiro- Metalfisa'!$A291)</f>
        <v>0</v>
      </c>
      <c r="AL291" s="31">
        <f>SUMIFS(METALFISA!$E:$E,METALFISA!$A:$A,'Faltantes Fevereiro- Metalfisa'!AL$3,METALFISA!$B:$B,'Faltantes Fevereiro- Metalfisa'!$A291)</f>
        <v>0</v>
      </c>
      <c r="AM291" s="31">
        <f>SUMIFS(METALFISA!$E:$E,METALFISA!$A:$A,'Faltantes Fevereiro- Metalfisa'!AM$3,METALFISA!$B:$B,'Faltantes Fevereiro- Metalfisa'!$A291)</f>
        <v>0</v>
      </c>
      <c r="AN291" s="31">
        <f>SUMIFS(METALFISA!$E:$E,METALFISA!$A:$A,'Faltantes Fevereiro- Metalfisa'!AN$3,METALFISA!$B:$B,'Faltantes Fevereiro- Metalfisa'!$A291)</f>
        <v>0</v>
      </c>
      <c r="AO291" s="31">
        <f>SUMIFS(METALFISA!$E:$E,METALFISA!$A:$A,'Faltantes Fevereiro- Metalfisa'!AO$3,METALFISA!$B:$B,'Faltantes Fevereiro- Metalfisa'!$A291)</f>
        <v>0</v>
      </c>
      <c r="AP291" s="31">
        <f>SUMIFS(METALFISA!$E:$E,METALFISA!$A:$A,'Faltantes Fevereiro- Metalfisa'!AP$3,METALFISA!$B:$B,'Faltantes Fevereiro- Metalfisa'!$A291)</f>
        <v>0</v>
      </c>
      <c r="AQ291" s="31"/>
      <c r="AR291" s="31">
        <f>SUMIFS(METALFISA!$E:$E,METALFISA!$A:$A,'Faltantes Fevereiro- Metalfisa'!AR$3,METALFISA!$B:$B,'Faltantes Fevereiro- Metalfisa'!$A291)</f>
        <v>0</v>
      </c>
      <c r="AS291" s="35">
        <f>SUMIFS(METALFISA!$E:$E,METALFISA!$A:$A,'Faltantes Fevereiro- Metalfisa'!AS$3,METALFISA!$B:$B,'Faltantes Fevereiro- Metalfisa'!$A291)</f>
        <v>0</v>
      </c>
      <c r="AU291" s="18">
        <v>0</v>
      </c>
      <c r="AV291" s="18">
        <v>0</v>
      </c>
      <c r="AW291" s="18">
        <v>0</v>
      </c>
      <c r="AX291" s="18">
        <v>0</v>
      </c>
      <c r="AY291" s="41">
        <v>0</v>
      </c>
      <c r="AZ291" s="31">
        <v>0</v>
      </c>
      <c r="BA291" s="31">
        <v>0</v>
      </c>
      <c r="BB291" s="31">
        <v>0</v>
      </c>
      <c r="BC291" s="31">
        <v>0</v>
      </c>
      <c r="BD291" s="31">
        <v>0</v>
      </c>
      <c r="BE291" s="31">
        <v>0</v>
      </c>
      <c r="BF291" s="31">
        <v>0</v>
      </c>
      <c r="BG291" s="31">
        <v>0</v>
      </c>
      <c r="BH291" s="31">
        <v>0</v>
      </c>
      <c r="BI291" s="31">
        <v>0</v>
      </c>
      <c r="BJ291" s="31">
        <v>0</v>
      </c>
      <c r="BK291" s="31">
        <v>0</v>
      </c>
      <c r="BL291" s="31">
        <v>0</v>
      </c>
      <c r="BM291" s="31">
        <v>0</v>
      </c>
      <c r="BN291" s="31">
        <v>0</v>
      </c>
      <c r="BO291" s="31">
        <v>1</v>
      </c>
      <c r="BP291" s="31">
        <v>0</v>
      </c>
      <c r="BQ291" s="31">
        <v>0</v>
      </c>
      <c r="BR291" s="31">
        <v>0</v>
      </c>
      <c r="BS291" s="31">
        <v>0</v>
      </c>
      <c r="BT291" s="31">
        <v>0</v>
      </c>
      <c r="BU291" s="31">
        <v>0</v>
      </c>
      <c r="BV291" s="31">
        <v>0</v>
      </c>
      <c r="BW291" s="31">
        <v>0</v>
      </c>
      <c r="BX291" s="31">
        <v>0</v>
      </c>
      <c r="BY291" s="31">
        <v>0</v>
      </c>
      <c r="BZ291" s="31">
        <v>0</v>
      </c>
      <c r="CA291" s="31">
        <v>0</v>
      </c>
      <c r="CB291" s="31">
        <v>0</v>
      </c>
      <c r="CC291" s="31">
        <v>0</v>
      </c>
      <c r="CD291" s="31">
        <v>0</v>
      </c>
      <c r="CE291" s="31">
        <v>0</v>
      </c>
      <c r="CF291" s="31">
        <v>0</v>
      </c>
      <c r="CG291" s="31">
        <v>0</v>
      </c>
      <c r="CH291" s="31">
        <v>0</v>
      </c>
      <c r="CI291" s="31">
        <v>0</v>
      </c>
      <c r="CJ291" s="31">
        <v>0</v>
      </c>
      <c r="CK291" s="31">
        <v>0</v>
      </c>
      <c r="CL291" s="35">
        <v>0</v>
      </c>
    </row>
    <row r="292" spans="1:90" ht="21" x14ac:dyDescent="0.15">
      <c r="A292" s="27" t="s">
        <v>1437</v>
      </c>
      <c r="B292" s="28" t="s">
        <v>1438</v>
      </c>
      <c r="C292" s="28">
        <v>0</v>
      </c>
      <c r="D292" s="28">
        <v>0</v>
      </c>
      <c r="E292" s="28">
        <v>0</v>
      </c>
      <c r="F292" s="28">
        <v>0</v>
      </c>
      <c r="G292" s="28">
        <v>6</v>
      </c>
      <c r="H292" s="28">
        <f>IFERROR(VLOOKUP(A292,[1]FALTANTES!$A:$AB,28,FALSE),"-")</f>
        <v>0</v>
      </c>
      <c r="I292" s="42">
        <f>IFERROR(VLOOKUP(A292,[1]FALTANTES!$A:$AC,29,FALSE),"-")</f>
        <v>2</v>
      </c>
      <c r="J292" s="29">
        <f>IFERROR(VLOOKUP(A292,[1]FALTANTES!$A:$AD,30,FALSE),"-")</f>
        <v>-4</v>
      </c>
      <c r="K292" s="30">
        <v>0</v>
      </c>
      <c r="L292" s="30">
        <f t="shared" si="5"/>
        <v>1</v>
      </c>
      <c r="M292" s="31">
        <f>SUMIFS(METALFISA!$E:$E,METALFISA!$A:$A,'Faltantes Fevereiro- Metalfisa'!M$3,METALFISA!$B:$B,'Faltantes Fevereiro- Metalfisa'!$A292)</f>
        <v>0</v>
      </c>
      <c r="N292" s="31">
        <f>SUMIFS(METALFISA!$E:$E,METALFISA!$A:$A,'Faltantes Fevereiro- Metalfisa'!N$3,METALFISA!$B:$B,'Faltantes Fevereiro- Metalfisa'!$A292)</f>
        <v>0</v>
      </c>
      <c r="O292" s="31">
        <f>SUMIFS(METALFISA!$E:$E,METALFISA!$A:$A,'Faltantes Fevereiro- Metalfisa'!O$3,METALFISA!$B:$B,'Faltantes Fevereiro- Metalfisa'!$A292)</f>
        <v>0</v>
      </c>
      <c r="P292" s="31">
        <f>SUMIFS(METALFISA!$E:$E,METALFISA!$A:$A,'Faltantes Fevereiro- Metalfisa'!P$3,METALFISA!$B:$B,'Faltantes Fevereiro- Metalfisa'!$A292)</f>
        <v>0</v>
      </c>
      <c r="Q292" s="31">
        <f>SUMIFS(METALFISA!$E:$E,METALFISA!$A:$A,'Faltantes Fevereiro- Metalfisa'!Q$3,METALFISA!$B:$B,'Faltantes Fevereiro- Metalfisa'!$A292)</f>
        <v>0</v>
      </c>
      <c r="R292" s="31">
        <f>SUMIFS(METALFISA!$E:$E,METALFISA!$A:$A,'Faltantes Fevereiro- Metalfisa'!R$3,METALFISA!$B:$B,'Faltantes Fevereiro- Metalfisa'!$A292)</f>
        <v>0</v>
      </c>
      <c r="S292" s="31">
        <f>SUMIFS(METALFISA!$E:$E,METALFISA!$A:$A,'Faltantes Fevereiro- Metalfisa'!S$3,METALFISA!$B:$B,'Faltantes Fevereiro- Metalfisa'!$A292)</f>
        <v>0</v>
      </c>
      <c r="T292" s="31">
        <f>SUMIFS(METALFISA!$E:$E,METALFISA!$A:$A,'Faltantes Fevereiro- Metalfisa'!T$3,METALFISA!$B:$B,'Faltantes Fevereiro- Metalfisa'!$A292)</f>
        <v>0</v>
      </c>
      <c r="U292" s="31">
        <f>SUMIFS(METALFISA!$E:$E,METALFISA!$A:$A,'Faltantes Fevereiro- Metalfisa'!U$3,METALFISA!$B:$B,'Faltantes Fevereiro- Metalfisa'!$A292)</f>
        <v>0</v>
      </c>
      <c r="V292" s="31">
        <f>SUMIFS(METALFISA!$E:$E,METALFISA!$A:$A,'Faltantes Fevereiro- Metalfisa'!V$3,METALFISA!$B:$B,'Faltantes Fevereiro- Metalfisa'!$A292)</f>
        <v>0</v>
      </c>
      <c r="W292" s="31">
        <f>SUMIFS(METALFISA!$E:$E,METALFISA!$A:$A,'Faltantes Fevereiro- Metalfisa'!W$3,METALFISA!$B:$B,'Faltantes Fevereiro- Metalfisa'!$A292)</f>
        <v>0</v>
      </c>
      <c r="X292" s="31">
        <f>SUMIFS(METALFISA!$E:$E,METALFISA!$A:$A,'Faltantes Fevereiro- Metalfisa'!X$3,METALFISA!$B:$B,'Faltantes Fevereiro- Metalfisa'!$A292)</f>
        <v>0</v>
      </c>
      <c r="Y292" s="31">
        <f>SUMIFS(METALFISA!$E:$E,METALFISA!$A:$A,'Faltantes Fevereiro- Metalfisa'!Y$3,METALFISA!$B:$B,'Faltantes Fevereiro- Metalfisa'!$A292)</f>
        <v>0</v>
      </c>
      <c r="Z292" s="31">
        <f>SUMIFS(METALFISA!$E:$E,METALFISA!$A:$A,'Faltantes Fevereiro- Metalfisa'!Z$3,METALFISA!$B:$B,'Faltantes Fevereiro- Metalfisa'!$A292)</f>
        <v>0</v>
      </c>
      <c r="AA292" s="31">
        <f>SUMIFS(METALFISA!$E:$E,METALFISA!$A:$A,'Faltantes Fevereiro- Metalfisa'!AA$3,METALFISA!$B:$B,'Faltantes Fevereiro- Metalfisa'!$A292)</f>
        <v>0</v>
      </c>
      <c r="AB292" s="31">
        <f>SUMIFS(METALFISA!$E:$E,METALFISA!$A:$A,'Faltantes Fevereiro- Metalfisa'!AB$3,METALFISA!$B:$B,'Faltantes Fevereiro- Metalfisa'!$A292)</f>
        <v>0</v>
      </c>
      <c r="AC292" s="31">
        <f>SUMIFS(METALFISA!$E:$E,METALFISA!$A:$A,'Faltantes Fevereiro- Metalfisa'!AC$3,METALFISA!$B:$B,'Faltantes Fevereiro- Metalfisa'!$A292)</f>
        <v>0</v>
      </c>
      <c r="AD292" s="31">
        <f>SUMIFS(METALFISA!$E:$E,METALFISA!$A:$A,'Faltantes Fevereiro- Metalfisa'!AD$3,METALFISA!$B:$B,'Faltantes Fevereiro- Metalfisa'!$A292)</f>
        <v>0</v>
      </c>
      <c r="AE292" s="31">
        <f>SUMIFS(METALFISA!$E:$E,METALFISA!$A:$A,'Faltantes Fevereiro- Metalfisa'!AE$3,METALFISA!$B:$B,'Faltantes Fevereiro- Metalfisa'!$A292)</f>
        <v>1</v>
      </c>
      <c r="AF292" s="31">
        <f>SUMIFS(METALFISA!$E:$E,METALFISA!$A:$A,'Faltantes Fevereiro- Metalfisa'!AF$3,METALFISA!$B:$B,'Faltantes Fevereiro- Metalfisa'!$A292)</f>
        <v>0</v>
      </c>
      <c r="AG292" s="31">
        <f>SUMIFS(METALFISA!$E:$E,METALFISA!$A:$A,'Faltantes Fevereiro- Metalfisa'!AG$3,METALFISA!$B:$B,'Faltantes Fevereiro- Metalfisa'!$A292)</f>
        <v>0</v>
      </c>
      <c r="AH292" s="31">
        <f>SUMIFS(METALFISA!$E:$E,METALFISA!$A:$A,'Faltantes Fevereiro- Metalfisa'!AH$3,METALFISA!$B:$B,'Faltantes Fevereiro- Metalfisa'!$A292)</f>
        <v>0</v>
      </c>
      <c r="AI292" s="31">
        <f>SUMIFS(METALFISA!$E:$E,METALFISA!$A:$A,'Faltantes Fevereiro- Metalfisa'!AI$3,METALFISA!$B:$B,'Faltantes Fevereiro- Metalfisa'!$A292)</f>
        <v>0</v>
      </c>
      <c r="AJ292" s="31">
        <f>SUMIFS(METALFISA!$E:$E,METALFISA!$A:$A,'Faltantes Fevereiro- Metalfisa'!AJ$3,METALFISA!$B:$B,'Faltantes Fevereiro- Metalfisa'!$A292)</f>
        <v>0</v>
      </c>
      <c r="AK292" s="31">
        <f>SUMIFS(METALFISA!$E:$E,METALFISA!$A:$A,'Faltantes Fevereiro- Metalfisa'!AK$3,METALFISA!$B:$B,'Faltantes Fevereiro- Metalfisa'!$A292)</f>
        <v>0</v>
      </c>
      <c r="AL292" s="31">
        <f>SUMIFS(METALFISA!$E:$E,METALFISA!$A:$A,'Faltantes Fevereiro- Metalfisa'!AL$3,METALFISA!$B:$B,'Faltantes Fevereiro- Metalfisa'!$A292)</f>
        <v>0</v>
      </c>
      <c r="AM292" s="31">
        <f>SUMIFS(METALFISA!$E:$E,METALFISA!$A:$A,'Faltantes Fevereiro- Metalfisa'!AM$3,METALFISA!$B:$B,'Faltantes Fevereiro- Metalfisa'!$A292)</f>
        <v>0</v>
      </c>
      <c r="AN292" s="31">
        <f>SUMIFS(METALFISA!$E:$E,METALFISA!$A:$A,'Faltantes Fevereiro- Metalfisa'!AN$3,METALFISA!$B:$B,'Faltantes Fevereiro- Metalfisa'!$A292)</f>
        <v>0</v>
      </c>
      <c r="AO292" s="31">
        <f>SUMIFS(METALFISA!$E:$E,METALFISA!$A:$A,'Faltantes Fevereiro- Metalfisa'!AO$3,METALFISA!$B:$B,'Faltantes Fevereiro- Metalfisa'!$A292)</f>
        <v>0</v>
      </c>
      <c r="AP292" s="31">
        <f>SUMIFS(METALFISA!$E:$E,METALFISA!$A:$A,'Faltantes Fevereiro- Metalfisa'!AP$3,METALFISA!$B:$B,'Faltantes Fevereiro- Metalfisa'!$A292)</f>
        <v>0</v>
      </c>
      <c r="AQ292" s="31"/>
      <c r="AR292" s="31">
        <f>SUMIFS(METALFISA!$E:$E,METALFISA!$A:$A,'Faltantes Fevereiro- Metalfisa'!AR$3,METALFISA!$B:$B,'Faltantes Fevereiro- Metalfisa'!$A292)</f>
        <v>0</v>
      </c>
      <c r="AS292" s="35">
        <f>SUMIFS(METALFISA!$E:$E,METALFISA!$A:$A,'Faltantes Fevereiro- Metalfisa'!AS$3,METALFISA!$B:$B,'Faltantes Fevereiro- Metalfisa'!$A292)</f>
        <v>0</v>
      </c>
      <c r="AU292" s="18">
        <v>0</v>
      </c>
      <c r="AV292" s="18">
        <v>0</v>
      </c>
      <c r="AW292" s="18">
        <v>0</v>
      </c>
      <c r="AX292" s="18">
        <v>0</v>
      </c>
      <c r="AY292" s="41">
        <v>0</v>
      </c>
      <c r="AZ292" s="31">
        <v>0</v>
      </c>
      <c r="BA292" s="31">
        <v>0</v>
      </c>
      <c r="BB292" s="31">
        <v>0</v>
      </c>
      <c r="BC292" s="31">
        <v>0</v>
      </c>
      <c r="BD292" s="31">
        <v>0</v>
      </c>
      <c r="BE292" s="31">
        <v>0</v>
      </c>
      <c r="BF292" s="31">
        <v>0</v>
      </c>
      <c r="BG292" s="31">
        <v>0</v>
      </c>
      <c r="BH292" s="31">
        <v>0</v>
      </c>
      <c r="BI292" s="31">
        <v>0</v>
      </c>
      <c r="BJ292" s="31">
        <v>0</v>
      </c>
      <c r="BK292" s="31">
        <v>0</v>
      </c>
      <c r="BL292" s="31">
        <v>0</v>
      </c>
      <c r="BM292" s="31">
        <v>0</v>
      </c>
      <c r="BN292" s="31">
        <v>0</v>
      </c>
      <c r="BO292" s="31">
        <v>1</v>
      </c>
      <c r="BP292" s="31">
        <v>0</v>
      </c>
      <c r="BQ292" s="31">
        <v>0</v>
      </c>
      <c r="BR292" s="31">
        <v>0</v>
      </c>
      <c r="BS292" s="31">
        <v>0</v>
      </c>
      <c r="BT292" s="31">
        <v>0</v>
      </c>
      <c r="BU292" s="31">
        <v>0</v>
      </c>
      <c r="BV292" s="31">
        <v>0</v>
      </c>
      <c r="BW292" s="31">
        <v>0</v>
      </c>
      <c r="BX292" s="31">
        <v>0</v>
      </c>
      <c r="BY292" s="31">
        <v>0</v>
      </c>
      <c r="BZ292" s="31">
        <v>0</v>
      </c>
      <c r="CA292" s="31">
        <v>0</v>
      </c>
      <c r="CB292" s="31">
        <v>0</v>
      </c>
      <c r="CC292" s="31">
        <v>0</v>
      </c>
      <c r="CD292" s="31">
        <v>0</v>
      </c>
      <c r="CE292" s="31">
        <v>0</v>
      </c>
      <c r="CF292" s="31">
        <v>0</v>
      </c>
      <c r="CG292" s="31">
        <v>0</v>
      </c>
      <c r="CH292" s="31">
        <v>0</v>
      </c>
      <c r="CI292" s="31">
        <v>0</v>
      </c>
      <c r="CJ292" s="31">
        <v>0</v>
      </c>
      <c r="CK292" s="31">
        <v>0</v>
      </c>
      <c r="CL292" s="35">
        <v>0</v>
      </c>
    </row>
    <row r="293" spans="1:90" ht="21" x14ac:dyDescent="0.15">
      <c r="A293" s="27" t="s">
        <v>1444</v>
      </c>
      <c r="B293" s="28" t="s">
        <v>1445</v>
      </c>
      <c r="C293" s="28">
        <v>0</v>
      </c>
      <c r="D293" s="28">
        <v>0</v>
      </c>
      <c r="E293" s="28">
        <v>0</v>
      </c>
      <c r="F293" s="28">
        <v>0</v>
      </c>
      <c r="G293" s="28">
        <v>159</v>
      </c>
      <c r="H293" s="28">
        <f>IFERROR(VLOOKUP(A293,[1]FALTANTES!$A:$AB,28,FALSE),"-")</f>
        <v>0</v>
      </c>
      <c r="I293" s="42">
        <f>IFERROR(VLOOKUP(A293,[1]FALTANTES!$A:$AC,29,FALSE),"-")</f>
        <v>0</v>
      </c>
      <c r="J293" s="29">
        <f>IFERROR(VLOOKUP(A293,[1]FALTANTES!$A:$AD,30,FALSE),"-")</f>
        <v>-159</v>
      </c>
      <c r="K293" s="30">
        <v>0</v>
      </c>
      <c r="L293" s="30">
        <f t="shared" si="5"/>
        <v>24</v>
      </c>
      <c r="M293" s="31">
        <f>SUMIFS(METALFISA!$E:$E,METALFISA!$A:$A,'Faltantes Fevereiro- Metalfisa'!M$3,METALFISA!$B:$B,'Faltantes Fevereiro- Metalfisa'!$A293)</f>
        <v>0</v>
      </c>
      <c r="N293" s="31">
        <f>SUMIFS(METALFISA!$E:$E,METALFISA!$A:$A,'Faltantes Fevereiro- Metalfisa'!N$3,METALFISA!$B:$B,'Faltantes Fevereiro- Metalfisa'!$A293)</f>
        <v>0</v>
      </c>
      <c r="O293" s="31">
        <f>SUMIFS(METALFISA!$E:$E,METALFISA!$A:$A,'Faltantes Fevereiro- Metalfisa'!O$3,METALFISA!$B:$B,'Faltantes Fevereiro- Metalfisa'!$A293)</f>
        <v>0</v>
      </c>
      <c r="P293" s="31">
        <f>SUMIFS(METALFISA!$E:$E,METALFISA!$A:$A,'Faltantes Fevereiro- Metalfisa'!P$3,METALFISA!$B:$B,'Faltantes Fevereiro- Metalfisa'!$A293)</f>
        <v>0</v>
      </c>
      <c r="Q293" s="31">
        <f>SUMIFS(METALFISA!$E:$E,METALFISA!$A:$A,'Faltantes Fevereiro- Metalfisa'!Q$3,METALFISA!$B:$B,'Faltantes Fevereiro- Metalfisa'!$A293)</f>
        <v>0</v>
      </c>
      <c r="R293" s="31">
        <f>SUMIFS(METALFISA!$E:$E,METALFISA!$A:$A,'Faltantes Fevereiro- Metalfisa'!R$3,METALFISA!$B:$B,'Faltantes Fevereiro- Metalfisa'!$A293)</f>
        <v>0</v>
      </c>
      <c r="S293" s="31">
        <f>SUMIFS(METALFISA!$E:$E,METALFISA!$A:$A,'Faltantes Fevereiro- Metalfisa'!S$3,METALFISA!$B:$B,'Faltantes Fevereiro- Metalfisa'!$A293)</f>
        <v>0</v>
      </c>
      <c r="T293" s="31">
        <f>SUMIFS(METALFISA!$E:$E,METALFISA!$A:$A,'Faltantes Fevereiro- Metalfisa'!T$3,METALFISA!$B:$B,'Faltantes Fevereiro- Metalfisa'!$A293)</f>
        <v>0</v>
      </c>
      <c r="U293" s="31">
        <f>SUMIFS(METALFISA!$E:$E,METALFISA!$A:$A,'Faltantes Fevereiro- Metalfisa'!U$3,METALFISA!$B:$B,'Faltantes Fevereiro- Metalfisa'!$A293)</f>
        <v>0</v>
      </c>
      <c r="V293" s="31">
        <f>SUMIFS(METALFISA!$E:$E,METALFISA!$A:$A,'Faltantes Fevereiro- Metalfisa'!V$3,METALFISA!$B:$B,'Faltantes Fevereiro- Metalfisa'!$A293)</f>
        <v>0</v>
      </c>
      <c r="W293" s="31">
        <f>SUMIFS(METALFISA!$E:$E,METALFISA!$A:$A,'Faltantes Fevereiro- Metalfisa'!W$3,METALFISA!$B:$B,'Faltantes Fevereiro- Metalfisa'!$A293)</f>
        <v>0</v>
      </c>
      <c r="X293" s="31">
        <f>SUMIFS(METALFISA!$E:$E,METALFISA!$A:$A,'Faltantes Fevereiro- Metalfisa'!X$3,METALFISA!$B:$B,'Faltantes Fevereiro- Metalfisa'!$A293)</f>
        <v>0</v>
      </c>
      <c r="Y293" s="31">
        <f>SUMIFS(METALFISA!$E:$E,METALFISA!$A:$A,'Faltantes Fevereiro- Metalfisa'!Y$3,METALFISA!$B:$B,'Faltantes Fevereiro- Metalfisa'!$A293)</f>
        <v>0</v>
      </c>
      <c r="Z293" s="31">
        <f>SUMIFS(METALFISA!$E:$E,METALFISA!$A:$A,'Faltantes Fevereiro- Metalfisa'!Z$3,METALFISA!$B:$B,'Faltantes Fevereiro- Metalfisa'!$A293)</f>
        <v>0</v>
      </c>
      <c r="AA293" s="31">
        <f>SUMIFS(METALFISA!$E:$E,METALFISA!$A:$A,'Faltantes Fevereiro- Metalfisa'!AA$3,METALFISA!$B:$B,'Faltantes Fevereiro- Metalfisa'!$A293)</f>
        <v>0</v>
      </c>
      <c r="AB293" s="31">
        <f>SUMIFS(METALFISA!$E:$E,METALFISA!$A:$A,'Faltantes Fevereiro- Metalfisa'!AB$3,METALFISA!$B:$B,'Faltantes Fevereiro- Metalfisa'!$A293)</f>
        <v>0</v>
      </c>
      <c r="AC293" s="31">
        <f>SUMIFS(METALFISA!$E:$E,METALFISA!$A:$A,'Faltantes Fevereiro- Metalfisa'!AC$3,METALFISA!$B:$B,'Faltantes Fevereiro- Metalfisa'!$A293)</f>
        <v>0</v>
      </c>
      <c r="AD293" s="31">
        <f>SUMIFS(METALFISA!$E:$E,METALFISA!$A:$A,'Faltantes Fevereiro- Metalfisa'!AD$3,METALFISA!$B:$B,'Faltantes Fevereiro- Metalfisa'!$A293)</f>
        <v>0</v>
      </c>
      <c r="AE293" s="31">
        <f>SUMIFS(METALFISA!$E:$E,METALFISA!$A:$A,'Faltantes Fevereiro- Metalfisa'!AE$3,METALFISA!$B:$B,'Faltantes Fevereiro- Metalfisa'!$A293)</f>
        <v>24</v>
      </c>
      <c r="AF293" s="31">
        <f>SUMIFS(METALFISA!$E:$E,METALFISA!$A:$A,'Faltantes Fevereiro- Metalfisa'!AF$3,METALFISA!$B:$B,'Faltantes Fevereiro- Metalfisa'!$A293)</f>
        <v>0</v>
      </c>
      <c r="AG293" s="31">
        <f>SUMIFS(METALFISA!$E:$E,METALFISA!$A:$A,'Faltantes Fevereiro- Metalfisa'!AG$3,METALFISA!$B:$B,'Faltantes Fevereiro- Metalfisa'!$A293)</f>
        <v>0</v>
      </c>
      <c r="AH293" s="31">
        <f>SUMIFS(METALFISA!$E:$E,METALFISA!$A:$A,'Faltantes Fevereiro- Metalfisa'!AH$3,METALFISA!$B:$B,'Faltantes Fevereiro- Metalfisa'!$A293)</f>
        <v>0</v>
      </c>
      <c r="AI293" s="31">
        <f>SUMIFS(METALFISA!$E:$E,METALFISA!$A:$A,'Faltantes Fevereiro- Metalfisa'!AI$3,METALFISA!$B:$B,'Faltantes Fevereiro- Metalfisa'!$A293)</f>
        <v>0</v>
      </c>
      <c r="AJ293" s="31">
        <f>SUMIFS(METALFISA!$E:$E,METALFISA!$A:$A,'Faltantes Fevereiro- Metalfisa'!AJ$3,METALFISA!$B:$B,'Faltantes Fevereiro- Metalfisa'!$A293)</f>
        <v>0</v>
      </c>
      <c r="AK293" s="31">
        <f>SUMIFS(METALFISA!$E:$E,METALFISA!$A:$A,'Faltantes Fevereiro- Metalfisa'!AK$3,METALFISA!$B:$B,'Faltantes Fevereiro- Metalfisa'!$A293)</f>
        <v>0</v>
      </c>
      <c r="AL293" s="31">
        <f>SUMIFS(METALFISA!$E:$E,METALFISA!$A:$A,'Faltantes Fevereiro- Metalfisa'!AL$3,METALFISA!$B:$B,'Faltantes Fevereiro- Metalfisa'!$A293)</f>
        <v>0</v>
      </c>
      <c r="AM293" s="31">
        <f>SUMIFS(METALFISA!$E:$E,METALFISA!$A:$A,'Faltantes Fevereiro- Metalfisa'!AM$3,METALFISA!$B:$B,'Faltantes Fevereiro- Metalfisa'!$A293)</f>
        <v>0</v>
      </c>
      <c r="AN293" s="31">
        <f>SUMIFS(METALFISA!$E:$E,METALFISA!$A:$A,'Faltantes Fevereiro- Metalfisa'!AN$3,METALFISA!$B:$B,'Faltantes Fevereiro- Metalfisa'!$A293)</f>
        <v>0</v>
      </c>
      <c r="AO293" s="31">
        <f>SUMIFS(METALFISA!$E:$E,METALFISA!$A:$A,'Faltantes Fevereiro- Metalfisa'!AO$3,METALFISA!$B:$B,'Faltantes Fevereiro- Metalfisa'!$A293)</f>
        <v>0</v>
      </c>
      <c r="AP293" s="31">
        <f>SUMIFS(METALFISA!$E:$E,METALFISA!$A:$A,'Faltantes Fevereiro- Metalfisa'!AP$3,METALFISA!$B:$B,'Faltantes Fevereiro- Metalfisa'!$A293)</f>
        <v>0</v>
      </c>
      <c r="AQ293" s="31"/>
      <c r="AR293" s="31">
        <f>SUMIFS(METALFISA!$E:$E,METALFISA!$A:$A,'Faltantes Fevereiro- Metalfisa'!AR$3,METALFISA!$B:$B,'Faltantes Fevereiro- Metalfisa'!$A293)</f>
        <v>0</v>
      </c>
      <c r="AS293" s="35">
        <f>SUMIFS(METALFISA!$E:$E,METALFISA!$A:$A,'Faltantes Fevereiro- Metalfisa'!AS$3,METALFISA!$B:$B,'Faltantes Fevereiro- Metalfisa'!$A293)</f>
        <v>0</v>
      </c>
      <c r="AU293" s="18">
        <v>0</v>
      </c>
      <c r="AV293" s="18">
        <v>0</v>
      </c>
      <c r="AW293" s="18">
        <v>0</v>
      </c>
      <c r="AX293" s="18">
        <v>0</v>
      </c>
      <c r="AY293" s="41">
        <v>0</v>
      </c>
      <c r="AZ293" s="31">
        <v>0</v>
      </c>
      <c r="BA293" s="31">
        <v>0</v>
      </c>
      <c r="BB293" s="31">
        <v>0</v>
      </c>
      <c r="BC293" s="31">
        <v>0</v>
      </c>
      <c r="BD293" s="31">
        <v>0</v>
      </c>
      <c r="BE293" s="31">
        <v>0</v>
      </c>
      <c r="BF293" s="31">
        <v>0</v>
      </c>
      <c r="BG293" s="31">
        <v>0</v>
      </c>
      <c r="BH293" s="31">
        <v>0</v>
      </c>
      <c r="BI293" s="31">
        <v>0</v>
      </c>
      <c r="BJ293" s="31">
        <v>0</v>
      </c>
      <c r="BK293" s="31">
        <v>0</v>
      </c>
      <c r="BL293" s="31">
        <v>0</v>
      </c>
      <c r="BM293" s="31">
        <v>0</v>
      </c>
      <c r="BN293" s="31">
        <v>12</v>
      </c>
      <c r="BO293" s="31">
        <v>30</v>
      </c>
      <c r="BP293" s="31">
        <v>0</v>
      </c>
      <c r="BQ293" s="31">
        <v>0</v>
      </c>
      <c r="BR293" s="31">
        <v>0</v>
      </c>
      <c r="BS293" s="31">
        <v>0</v>
      </c>
      <c r="BT293" s="31">
        <v>0</v>
      </c>
      <c r="BU293" s="31">
        <v>0</v>
      </c>
      <c r="BV293" s="31">
        <v>0</v>
      </c>
      <c r="BW293" s="31">
        <v>0</v>
      </c>
      <c r="BX293" s="31">
        <v>0</v>
      </c>
      <c r="BY293" s="31">
        <v>0</v>
      </c>
      <c r="BZ293" s="31">
        <v>0</v>
      </c>
      <c r="CA293" s="31">
        <v>0</v>
      </c>
      <c r="CB293" s="31">
        <v>0</v>
      </c>
      <c r="CC293" s="31">
        <v>0</v>
      </c>
      <c r="CD293" s="31">
        <v>0</v>
      </c>
      <c r="CE293" s="31">
        <v>0</v>
      </c>
      <c r="CF293" s="31">
        <v>0</v>
      </c>
      <c r="CG293" s="31">
        <v>0</v>
      </c>
      <c r="CH293" s="31">
        <v>0</v>
      </c>
      <c r="CI293" s="31">
        <v>0</v>
      </c>
      <c r="CJ293" s="31">
        <v>0</v>
      </c>
      <c r="CK293" s="31">
        <v>0</v>
      </c>
      <c r="CL293" s="35">
        <v>0</v>
      </c>
    </row>
    <row r="294" spans="1:90" ht="21" x14ac:dyDescent="0.15">
      <c r="A294" s="27" t="s">
        <v>1447</v>
      </c>
      <c r="B294" s="28" t="s">
        <v>1448</v>
      </c>
      <c r="C294" s="28">
        <v>0</v>
      </c>
      <c r="D294" s="28">
        <v>0</v>
      </c>
      <c r="E294" s="28">
        <v>0</v>
      </c>
      <c r="F294" s="28">
        <v>0</v>
      </c>
      <c r="G294" s="28">
        <v>56</v>
      </c>
      <c r="H294" s="28">
        <f>IFERROR(VLOOKUP(A294,[1]FALTANTES!$A:$AB,28,FALSE),"-")</f>
        <v>0</v>
      </c>
      <c r="I294" s="42">
        <f>IFERROR(VLOOKUP(A294,[1]FALTANTES!$A:$AC,29,FALSE),"-")</f>
        <v>48</v>
      </c>
      <c r="J294" s="29">
        <f>IFERROR(VLOOKUP(A294,[1]FALTANTES!$A:$AD,30,FALSE),"-")</f>
        <v>-8</v>
      </c>
      <c r="K294" s="30">
        <v>0</v>
      </c>
      <c r="L294" s="30">
        <f t="shared" si="5"/>
        <v>8</v>
      </c>
      <c r="M294" s="31">
        <f>SUMIFS(METALFISA!$E:$E,METALFISA!$A:$A,'Faltantes Fevereiro- Metalfisa'!M$3,METALFISA!$B:$B,'Faltantes Fevereiro- Metalfisa'!$A294)</f>
        <v>0</v>
      </c>
      <c r="N294" s="31">
        <f>SUMIFS(METALFISA!$E:$E,METALFISA!$A:$A,'Faltantes Fevereiro- Metalfisa'!N$3,METALFISA!$B:$B,'Faltantes Fevereiro- Metalfisa'!$A294)</f>
        <v>0</v>
      </c>
      <c r="O294" s="31">
        <f>SUMIFS(METALFISA!$E:$E,METALFISA!$A:$A,'Faltantes Fevereiro- Metalfisa'!O$3,METALFISA!$B:$B,'Faltantes Fevereiro- Metalfisa'!$A294)</f>
        <v>0</v>
      </c>
      <c r="P294" s="31">
        <f>SUMIFS(METALFISA!$E:$E,METALFISA!$A:$A,'Faltantes Fevereiro- Metalfisa'!P$3,METALFISA!$B:$B,'Faltantes Fevereiro- Metalfisa'!$A294)</f>
        <v>0</v>
      </c>
      <c r="Q294" s="31">
        <f>SUMIFS(METALFISA!$E:$E,METALFISA!$A:$A,'Faltantes Fevereiro- Metalfisa'!Q$3,METALFISA!$B:$B,'Faltantes Fevereiro- Metalfisa'!$A294)</f>
        <v>0</v>
      </c>
      <c r="R294" s="31">
        <f>SUMIFS(METALFISA!$E:$E,METALFISA!$A:$A,'Faltantes Fevereiro- Metalfisa'!R$3,METALFISA!$B:$B,'Faltantes Fevereiro- Metalfisa'!$A294)</f>
        <v>0</v>
      </c>
      <c r="S294" s="31">
        <f>SUMIFS(METALFISA!$E:$E,METALFISA!$A:$A,'Faltantes Fevereiro- Metalfisa'!S$3,METALFISA!$B:$B,'Faltantes Fevereiro- Metalfisa'!$A294)</f>
        <v>0</v>
      </c>
      <c r="T294" s="31">
        <f>SUMIFS(METALFISA!$E:$E,METALFISA!$A:$A,'Faltantes Fevereiro- Metalfisa'!T$3,METALFISA!$B:$B,'Faltantes Fevereiro- Metalfisa'!$A294)</f>
        <v>0</v>
      </c>
      <c r="U294" s="31">
        <f>SUMIFS(METALFISA!$E:$E,METALFISA!$A:$A,'Faltantes Fevereiro- Metalfisa'!U$3,METALFISA!$B:$B,'Faltantes Fevereiro- Metalfisa'!$A294)</f>
        <v>0</v>
      </c>
      <c r="V294" s="31">
        <f>SUMIFS(METALFISA!$E:$E,METALFISA!$A:$A,'Faltantes Fevereiro- Metalfisa'!V$3,METALFISA!$B:$B,'Faltantes Fevereiro- Metalfisa'!$A294)</f>
        <v>0</v>
      </c>
      <c r="W294" s="31">
        <f>SUMIFS(METALFISA!$E:$E,METALFISA!$A:$A,'Faltantes Fevereiro- Metalfisa'!W$3,METALFISA!$B:$B,'Faltantes Fevereiro- Metalfisa'!$A294)</f>
        <v>0</v>
      </c>
      <c r="X294" s="31">
        <f>SUMIFS(METALFISA!$E:$E,METALFISA!$A:$A,'Faltantes Fevereiro- Metalfisa'!X$3,METALFISA!$B:$B,'Faltantes Fevereiro- Metalfisa'!$A294)</f>
        <v>0</v>
      </c>
      <c r="Y294" s="31">
        <f>SUMIFS(METALFISA!$E:$E,METALFISA!$A:$A,'Faltantes Fevereiro- Metalfisa'!Y$3,METALFISA!$B:$B,'Faltantes Fevereiro- Metalfisa'!$A294)</f>
        <v>0</v>
      </c>
      <c r="Z294" s="31">
        <f>SUMIFS(METALFISA!$E:$E,METALFISA!$A:$A,'Faltantes Fevereiro- Metalfisa'!Z$3,METALFISA!$B:$B,'Faltantes Fevereiro- Metalfisa'!$A294)</f>
        <v>0</v>
      </c>
      <c r="AA294" s="31">
        <f>SUMIFS(METALFISA!$E:$E,METALFISA!$A:$A,'Faltantes Fevereiro- Metalfisa'!AA$3,METALFISA!$B:$B,'Faltantes Fevereiro- Metalfisa'!$A294)</f>
        <v>0</v>
      </c>
      <c r="AB294" s="31">
        <f>SUMIFS(METALFISA!$E:$E,METALFISA!$A:$A,'Faltantes Fevereiro- Metalfisa'!AB$3,METALFISA!$B:$B,'Faltantes Fevereiro- Metalfisa'!$A294)</f>
        <v>0</v>
      </c>
      <c r="AC294" s="31">
        <f>SUMIFS(METALFISA!$E:$E,METALFISA!$A:$A,'Faltantes Fevereiro- Metalfisa'!AC$3,METALFISA!$B:$B,'Faltantes Fevereiro- Metalfisa'!$A294)</f>
        <v>0</v>
      </c>
      <c r="AD294" s="31">
        <f>SUMIFS(METALFISA!$E:$E,METALFISA!$A:$A,'Faltantes Fevereiro- Metalfisa'!AD$3,METALFISA!$B:$B,'Faltantes Fevereiro- Metalfisa'!$A294)</f>
        <v>0</v>
      </c>
      <c r="AE294" s="31">
        <f>SUMIFS(METALFISA!$E:$E,METALFISA!$A:$A,'Faltantes Fevereiro- Metalfisa'!AE$3,METALFISA!$B:$B,'Faltantes Fevereiro- Metalfisa'!$A294)</f>
        <v>8</v>
      </c>
      <c r="AF294" s="31">
        <f>SUMIFS(METALFISA!$E:$E,METALFISA!$A:$A,'Faltantes Fevereiro- Metalfisa'!AF$3,METALFISA!$B:$B,'Faltantes Fevereiro- Metalfisa'!$A294)</f>
        <v>0</v>
      </c>
      <c r="AG294" s="31">
        <f>SUMIFS(METALFISA!$E:$E,METALFISA!$A:$A,'Faltantes Fevereiro- Metalfisa'!AG$3,METALFISA!$B:$B,'Faltantes Fevereiro- Metalfisa'!$A294)</f>
        <v>0</v>
      </c>
      <c r="AH294" s="31">
        <f>SUMIFS(METALFISA!$E:$E,METALFISA!$A:$A,'Faltantes Fevereiro- Metalfisa'!AH$3,METALFISA!$B:$B,'Faltantes Fevereiro- Metalfisa'!$A294)</f>
        <v>0</v>
      </c>
      <c r="AI294" s="31">
        <f>SUMIFS(METALFISA!$E:$E,METALFISA!$A:$A,'Faltantes Fevereiro- Metalfisa'!AI$3,METALFISA!$B:$B,'Faltantes Fevereiro- Metalfisa'!$A294)</f>
        <v>0</v>
      </c>
      <c r="AJ294" s="31">
        <f>SUMIFS(METALFISA!$E:$E,METALFISA!$A:$A,'Faltantes Fevereiro- Metalfisa'!AJ$3,METALFISA!$B:$B,'Faltantes Fevereiro- Metalfisa'!$A294)</f>
        <v>0</v>
      </c>
      <c r="AK294" s="31">
        <f>SUMIFS(METALFISA!$E:$E,METALFISA!$A:$A,'Faltantes Fevereiro- Metalfisa'!AK$3,METALFISA!$B:$B,'Faltantes Fevereiro- Metalfisa'!$A294)</f>
        <v>0</v>
      </c>
      <c r="AL294" s="31">
        <f>SUMIFS(METALFISA!$E:$E,METALFISA!$A:$A,'Faltantes Fevereiro- Metalfisa'!AL$3,METALFISA!$B:$B,'Faltantes Fevereiro- Metalfisa'!$A294)</f>
        <v>0</v>
      </c>
      <c r="AM294" s="31">
        <f>SUMIFS(METALFISA!$E:$E,METALFISA!$A:$A,'Faltantes Fevereiro- Metalfisa'!AM$3,METALFISA!$B:$B,'Faltantes Fevereiro- Metalfisa'!$A294)</f>
        <v>0</v>
      </c>
      <c r="AN294" s="31">
        <f>SUMIFS(METALFISA!$E:$E,METALFISA!$A:$A,'Faltantes Fevereiro- Metalfisa'!AN$3,METALFISA!$B:$B,'Faltantes Fevereiro- Metalfisa'!$A294)</f>
        <v>0</v>
      </c>
      <c r="AO294" s="31">
        <f>SUMIFS(METALFISA!$E:$E,METALFISA!$A:$A,'Faltantes Fevereiro- Metalfisa'!AO$3,METALFISA!$B:$B,'Faltantes Fevereiro- Metalfisa'!$A294)</f>
        <v>0</v>
      </c>
      <c r="AP294" s="31">
        <f>SUMIFS(METALFISA!$E:$E,METALFISA!$A:$A,'Faltantes Fevereiro- Metalfisa'!AP$3,METALFISA!$B:$B,'Faltantes Fevereiro- Metalfisa'!$A294)</f>
        <v>0</v>
      </c>
      <c r="AQ294" s="31"/>
      <c r="AR294" s="31">
        <f>SUMIFS(METALFISA!$E:$E,METALFISA!$A:$A,'Faltantes Fevereiro- Metalfisa'!AR$3,METALFISA!$B:$B,'Faltantes Fevereiro- Metalfisa'!$A294)</f>
        <v>0</v>
      </c>
      <c r="AS294" s="35">
        <f>SUMIFS(METALFISA!$E:$E,METALFISA!$A:$A,'Faltantes Fevereiro- Metalfisa'!AS$3,METALFISA!$B:$B,'Faltantes Fevereiro- Metalfisa'!$A294)</f>
        <v>0</v>
      </c>
      <c r="AU294" s="18">
        <v>0</v>
      </c>
      <c r="AV294" s="18">
        <v>0</v>
      </c>
      <c r="AW294" s="18">
        <v>0</v>
      </c>
      <c r="AX294" s="18">
        <v>0</v>
      </c>
      <c r="AY294" s="41">
        <v>0</v>
      </c>
      <c r="AZ294" s="31">
        <v>0</v>
      </c>
      <c r="BA294" s="31">
        <v>0</v>
      </c>
      <c r="BB294" s="31">
        <v>0</v>
      </c>
      <c r="BC294" s="31">
        <v>0</v>
      </c>
      <c r="BD294" s="31">
        <v>0</v>
      </c>
      <c r="BE294" s="31">
        <v>0</v>
      </c>
      <c r="BF294" s="31">
        <v>0</v>
      </c>
      <c r="BG294" s="31">
        <v>0</v>
      </c>
      <c r="BH294" s="31">
        <v>0</v>
      </c>
      <c r="BI294" s="31">
        <v>0</v>
      </c>
      <c r="BJ294" s="31">
        <v>0</v>
      </c>
      <c r="BK294" s="31">
        <v>0</v>
      </c>
      <c r="BL294" s="31">
        <v>0</v>
      </c>
      <c r="BM294" s="31">
        <v>0</v>
      </c>
      <c r="BN294" s="31">
        <v>4</v>
      </c>
      <c r="BO294" s="31">
        <v>10</v>
      </c>
      <c r="BP294" s="31">
        <v>0</v>
      </c>
      <c r="BQ294" s="31">
        <v>0</v>
      </c>
      <c r="BR294" s="31">
        <v>0</v>
      </c>
      <c r="BS294" s="31">
        <v>0</v>
      </c>
      <c r="BT294" s="31">
        <v>0</v>
      </c>
      <c r="BU294" s="31">
        <v>0</v>
      </c>
      <c r="BV294" s="31">
        <v>0</v>
      </c>
      <c r="BW294" s="31">
        <v>0</v>
      </c>
      <c r="BX294" s="31">
        <v>0</v>
      </c>
      <c r="BY294" s="31">
        <v>0</v>
      </c>
      <c r="BZ294" s="31">
        <v>0</v>
      </c>
      <c r="CA294" s="31">
        <v>0</v>
      </c>
      <c r="CB294" s="31">
        <v>0</v>
      </c>
      <c r="CC294" s="31">
        <v>0</v>
      </c>
      <c r="CD294" s="31">
        <v>0</v>
      </c>
      <c r="CE294" s="31">
        <v>0</v>
      </c>
      <c r="CF294" s="31">
        <v>0</v>
      </c>
      <c r="CG294" s="31">
        <v>0</v>
      </c>
      <c r="CH294" s="31">
        <v>0</v>
      </c>
      <c r="CI294" s="31">
        <v>0</v>
      </c>
      <c r="CJ294" s="31">
        <v>0</v>
      </c>
      <c r="CK294" s="31">
        <v>0</v>
      </c>
      <c r="CL294" s="35">
        <v>0</v>
      </c>
    </row>
    <row r="295" spans="1:90" ht="31.5" x14ac:dyDescent="0.15">
      <c r="A295" s="27" t="s">
        <v>1450</v>
      </c>
      <c r="B295" s="28" t="s">
        <v>1451</v>
      </c>
      <c r="C295" s="28">
        <v>0</v>
      </c>
      <c r="D295" s="28">
        <v>0</v>
      </c>
      <c r="E295" s="28">
        <v>0</v>
      </c>
      <c r="F295" s="28">
        <v>0</v>
      </c>
      <c r="G295" s="28">
        <v>4</v>
      </c>
      <c r="H295" s="28">
        <f>IFERROR(VLOOKUP(A295,[1]FALTANTES!$A:$AB,28,FALSE),"-")</f>
        <v>0</v>
      </c>
      <c r="I295" s="42">
        <f>IFERROR(VLOOKUP(A295,[1]FALTANTES!$A:$AC,29,FALSE),"-")</f>
        <v>2</v>
      </c>
      <c r="J295" s="29">
        <f>IFERROR(VLOOKUP(A295,[1]FALTANTES!$A:$AD,30,FALSE),"-")</f>
        <v>-2</v>
      </c>
      <c r="K295" s="30">
        <v>0</v>
      </c>
      <c r="L295" s="30">
        <f t="shared" si="5"/>
        <v>1</v>
      </c>
      <c r="M295" s="31">
        <f>SUMIFS(METALFISA!$E:$E,METALFISA!$A:$A,'Faltantes Fevereiro- Metalfisa'!M$3,METALFISA!$B:$B,'Faltantes Fevereiro- Metalfisa'!$A295)</f>
        <v>0</v>
      </c>
      <c r="N295" s="31">
        <f>SUMIFS(METALFISA!$E:$E,METALFISA!$A:$A,'Faltantes Fevereiro- Metalfisa'!N$3,METALFISA!$B:$B,'Faltantes Fevereiro- Metalfisa'!$A295)</f>
        <v>0</v>
      </c>
      <c r="O295" s="31">
        <f>SUMIFS(METALFISA!$E:$E,METALFISA!$A:$A,'Faltantes Fevereiro- Metalfisa'!O$3,METALFISA!$B:$B,'Faltantes Fevereiro- Metalfisa'!$A295)</f>
        <v>0</v>
      </c>
      <c r="P295" s="31">
        <f>SUMIFS(METALFISA!$E:$E,METALFISA!$A:$A,'Faltantes Fevereiro- Metalfisa'!P$3,METALFISA!$B:$B,'Faltantes Fevereiro- Metalfisa'!$A295)</f>
        <v>0</v>
      </c>
      <c r="Q295" s="31">
        <f>SUMIFS(METALFISA!$E:$E,METALFISA!$A:$A,'Faltantes Fevereiro- Metalfisa'!Q$3,METALFISA!$B:$B,'Faltantes Fevereiro- Metalfisa'!$A295)</f>
        <v>0</v>
      </c>
      <c r="R295" s="31">
        <f>SUMIFS(METALFISA!$E:$E,METALFISA!$A:$A,'Faltantes Fevereiro- Metalfisa'!R$3,METALFISA!$B:$B,'Faltantes Fevereiro- Metalfisa'!$A295)</f>
        <v>0</v>
      </c>
      <c r="S295" s="31">
        <f>SUMIFS(METALFISA!$E:$E,METALFISA!$A:$A,'Faltantes Fevereiro- Metalfisa'!S$3,METALFISA!$B:$B,'Faltantes Fevereiro- Metalfisa'!$A295)</f>
        <v>0</v>
      </c>
      <c r="T295" s="31">
        <f>SUMIFS(METALFISA!$E:$E,METALFISA!$A:$A,'Faltantes Fevereiro- Metalfisa'!T$3,METALFISA!$B:$B,'Faltantes Fevereiro- Metalfisa'!$A295)</f>
        <v>0</v>
      </c>
      <c r="U295" s="31">
        <f>SUMIFS(METALFISA!$E:$E,METALFISA!$A:$A,'Faltantes Fevereiro- Metalfisa'!U$3,METALFISA!$B:$B,'Faltantes Fevereiro- Metalfisa'!$A295)</f>
        <v>0</v>
      </c>
      <c r="V295" s="31">
        <f>SUMIFS(METALFISA!$E:$E,METALFISA!$A:$A,'Faltantes Fevereiro- Metalfisa'!V$3,METALFISA!$B:$B,'Faltantes Fevereiro- Metalfisa'!$A295)</f>
        <v>0</v>
      </c>
      <c r="W295" s="31">
        <f>SUMIFS(METALFISA!$E:$E,METALFISA!$A:$A,'Faltantes Fevereiro- Metalfisa'!W$3,METALFISA!$B:$B,'Faltantes Fevereiro- Metalfisa'!$A295)</f>
        <v>0</v>
      </c>
      <c r="X295" s="31">
        <f>SUMIFS(METALFISA!$E:$E,METALFISA!$A:$A,'Faltantes Fevereiro- Metalfisa'!X$3,METALFISA!$B:$B,'Faltantes Fevereiro- Metalfisa'!$A295)</f>
        <v>0</v>
      </c>
      <c r="Y295" s="31">
        <f>SUMIFS(METALFISA!$E:$E,METALFISA!$A:$A,'Faltantes Fevereiro- Metalfisa'!Y$3,METALFISA!$B:$B,'Faltantes Fevereiro- Metalfisa'!$A295)</f>
        <v>0</v>
      </c>
      <c r="Z295" s="31">
        <f>SUMIFS(METALFISA!$E:$E,METALFISA!$A:$A,'Faltantes Fevereiro- Metalfisa'!Z$3,METALFISA!$B:$B,'Faltantes Fevereiro- Metalfisa'!$A295)</f>
        <v>0</v>
      </c>
      <c r="AA295" s="31">
        <f>SUMIFS(METALFISA!$E:$E,METALFISA!$A:$A,'Faltantes Fevereiro- Metalfisa'!AA$3,METALFISA!$B:$B,'Faltantes Fevereiro- Metalfisa'!$A295)</f>
        <v>0</v>
      </c>
      <c r="AB295" s="31">
        <f>SUMIFS(METALFISA!$E:$E,METALFISA!$A:$A,'Faltantes Fevereiro- Metalfisa'!AB$3,METALFISA!$B:$B,'Faltantes Fevereiro- Metalfisa'!$A295)</f>
        <v>0</v>
      </c>
      <c r="AC295" s="31">
        <f>SUMIFS(METALFISA!$E:$E,METALFISA!$A:$A,'Faltantes Fevereiro- Metalfisa'!AC$3,METALFISA!$B:$B,'Faltantes Fevereiro- Metalfisa'!$A295)</f>
        <v>0</v>
      </c>
      <c r="AD295" s="31">
        <f>SUMIFS(METALFISA!$E:$E,METALFISA!$A:$A,'Faltantes Fevereiro- Metalfisa'!AD$3,METALFISA!$B:$B,'Faltantes Fevereiro- Metalfisa'!$A295)</f>
        <v>0</v>
      </c>
      <c r="AE295" s="31">
        <f>SUMIFS(METALFISA!$E:$E,METALFISA!$A:$A,'Faltantes Fevereiro- Metalfisa'!AE$3,METALFISA!$B:$B,'Faltantes Fevereiro- Metalfisa'!$A295)</f>
        <v>1</v>
      </c>
      <c r="AF295" s="31">
        <f>SUMIFS(METALFISA!$E:$E,METALFISA!$A:$A,'Faltantes Fevereiro- Metalfisa'!AF$3,METALFISA!$B:$B,'Faltantes Fevereiro- Metalfisa'!$A295)</f>
        <v>0</v>
      </c>
      <c r="AG295" s="31">
        <f>SUMIFS(METALFISA!$E:$E,METALFISA!$A:$A,'Faltantes Fevereiro- Metalfisa'!AG$3,METALFISA!$B:$B,'Faltantes Fevereiro- Metalfisa'!$A295)</f>
        <v>0</v>
      </c>
      <c r="AH295" s="31">
        <f>SUMIFS(METALFISA!$E:$E,METALFISA!$A:$A,'Faltantes Fevereiro- Metalfisa'!AH$3,METALFISA!$B:$B,'Faltantes Fevereiro- Metalfisa'!$A295)</f>
        <v>0</v>
      </c>
      <c r="AI295" s="31">
        <f>SUMIFS(METALFISA!$E:$E,METALFISA!$A:$A,'Faltantes Fevereiro- Metalfisa'!AI$3,METALFISA!$B:$B,'Faltantes Fevereiro- Metalfisa'!$A295)</f>
        <v>0</v>
      </c>
      <c r="AJ295" s="31">
        <f>SUMIFS(METALFISA!$E:$E,METALFISA!$A:$A,'Faltantes Fevereiro- Metalfisa'!AJ$3,METALFISA!$B:$B,'Faltantes Fevereiro- Metalfisa'!$A295)</f>
        <v>0</v>
      </c>
      <c r="AK295" s="31">
        <f>SUMIFS(METALFISA!$E:$E,METALFISA!$A:$A,'Faltantes Fevereiro- Metalfisa'!AK$3,METALFISA!$B:$B,'Faltantes Fevereiro- Metalfisa'!$A295)</f>
        <v>0</v>
      </c>
      <c r="AL295" s="31">
        <f>SUMIFS(METALFISA!$E:$E,METALFISA!$A:$A,'Faltantes Fevereiro- Metalfisa'!AL$3,METALFISA!$B:$B,'Faltantes Fevereiro- Metalfisa'!$A295)</f>
        <v>0</v>
      </c>
      <c r="AM295" s="31">
        <f>SUMIFS(METALFISA!$E:$E,METALFISA!$A:$A,'Faltantes Fevereiro- Metalfisa'!AM$3,METALFISA!$B:$B,'Faltantes Fevereiro- Metalfisa'!$A295)</f>
        <v>0</v>
      </c>
      <c r="AN295" s="31">
        <f>SUMIFS(METALFISA!$E:$E,METALFISA!$A:$A,'Faltantes Fevereiro- Metalfisa'!AN$3,METALFISA!$B:$B,'Faltantes Fevereiro- Metalfisa'!$A295)</f>
        <v>0</v>
      </c>
      <c r="AO295" s="31">
        <f>SUMIFS(METALFISA!$E:$E,METALFISA!$A:$A,'Faltantes Fevereiro- Metalfisa'!AO$3,METALFISA!$B:$B,'Faltantes Fevereiro- Metalfisa'!$A295)</f>
        <v>0</v>
      </c>
      <c r="AP295" s="31">
        <f>SUMIFS(METALFISA!$E:$E,METALFISA!$A:$A,'Faltantes Fevereiro- Metalfisa'!AP$3,METALFISA!$B:$B,'Faltantes Fevereiro- Metalfisa'!$A295)</f>
        <v>0</v>
      </c>
      <c r="AQ295" s="31"/>
      <c r="AR295" s="31">
        <f>SUMIFS(METALFISA!$E:$E,METALFISA!$A:$A,'Faltantes Fevereiro- Metalfisa'!AR$3,METALFISA!$B:$B,'Faltantes Fevereiro- Metalfisa'!$A295)</f>
        <v>0</v>
      </c>
      <c r="AS295" s="35">
        <f>SUMIFS(METALFISA!$E:$E,METALFISA!$A:$A,'Faltantes Fevereiro- Metalfisa'!AS$3,METALFISA!$B:$B,'Faltantes Fevereiro- Metalfisa'!$A295)</f>
        <v>0</v>
      </c>
      <c r="AU295" s="18">
        <v>0</v>
      </c>
      <c r="AV295" s="18">
        <v>0</v>
      </c>
      <c r="AW295" s="18">
        <v>0</v>
      </c>
      <c r="AX295" s="18">
        <v>0</v>
      </c>
      <c r="AY295" s="41">
        <v>0</v>
      </c>
      <c r="AZ295" s="31">
        <v>0</v>
      </c>
      <c r="BA295" s="31">
        <v>0</v>
      </c>
      <c r="BB295" s="31">
        <v>0</v>
      </c>
      <c r="BC295" s="31">
        <v>0</v>
      </c>
      <c r="BD295" s="31">
        <v>0</v>
      </c>
      <c r="BE295" s="31">
        <v>0</v>
      </c>
      <c r="BF295" s="31">
        <v>0</v>
      </c>
      <c r="BG295" s="31">
        <v>0</v>
      </c>
      <c r="BH295" s="31">
        <v>0</v>
      </c>
      <c r="BI295" s="31">
        <v>0</v>
      </c>
      <c r="BJ295" s="31">
        <v>0</v>
      </c>
      <c r="BK295" s="31">
        <v>0</v>
      </c>
      <c r="BL295" s="31">
        <v>0</v>
      </c>
      <c r="BM295" s="31">
        <v>0</v>
      </c>
      <c r="BN295" s="31">
        <v>0</v>
      </c>
      <c r="BO295" s="31">
        <v>1</v>
      </c>
      <c r="BP295" s="31">
        <v>0</v>
      </c>
      <c r="BQ295" s="31">
        <v>0</v>
      </c>
      <c r="BR295" s="31">
        <v>0</v>
      </c>
      <c r="BS295" s="31">
        <v>0</v>
      </c>
      <c r="BT295" s="31">
        <v>0</v>
      </c>
      <c r="BU295" s="31">
        <v>0</v>
      </c>
      <c r="BV295" s="31">
        <v>0</v>
      </c>
      <c r="BW295" s="31">
        <v>0</v>
      </c>
      <c r="BX295" s="31">
        <v>0</v>
      </c>
      <c r="BY295" s="31">
        <v>0</v>
      </c>
      <c r="BZ295" s="31">
        <v>0</v>
      </c>
      <c r="CA295" s="31">
        <v>0</v>
      </c>
      <c r="CB295" s="31">
        <v>0</v>
      </c>
      <c r="CC295" s="31">
        <v>0</v>
      </c>
      <c r="CD295" s="31">
        <v>0</v>
      </c>
      <c r="CE295" s="31">
        <v>0</v>
      </c>
      <c r="CF295" s="31">
        <v>0</v>
      </c>
      <c r="CG295" s="31">
        <v>0</v>
      </c>
      <c r="CH295" s="31">
        <v>0</v>
      </c>
      <c r="CI295" s="31">
        <v>0</v>
      </c>
      <c r="CJ295" s="31">
        <v>0</v>
      </c>
      <c r="CK295" s="31">
        <v>0</v>
      </c>
      <c r="CL295" s="35">
        <v>0</v>
      </c>
    </row>
    <row r="296" spans="1:90" ht="31.5" x14ac:dyDescent="0.15">
      <c r="A296" s="27" t="s">
        <v>1453</v>
      </c>
      <c r="B296" s="28" t="s">
        <v>1454</v>
      </c>
      <c r="C296" s="28">
        <v>0</v>
      </c>
      <c r="D296" s="28">
        <v>0</v>
      </c>
      <c r="E296" s="28">
        <v>0</v>
      </c>
      <c r="F296" s="28">
        <v>0</v>
      </c>
      <c r="G296" s="28">
        <v>4</v>
      </c>
      <c r="H296" s="28">
        <f>IFERROR(VLOOKUP(A296,[1]FALTANTES!$A:$AB,28,FALSE),"-")</f>
        <v>0</v>
      </c>
      <c r="I296" s="42">
        <f>IFERROR(VLOOKUP(A296,[1]FALTANTES!$A:$AC,29,FALSE),"-")</f>
        <v>2</v>
      </c>
      <c r="J296" s="29">
        <f>IFERROR(VLOOKUP(A296,[1]FALTANTES!$A:$AD,30,FALSE),"-")</f>
        <v>-2</v>
      </c>
      <c r="K296" s="30">
        <v>0</v>
      </c>
      <c r="L296" s="30">
        <f t="shared" si="5"/>
        <v>1</v>
      </c>
      <c r="M296" s="31">
        <f>SUMIFS(METALFISA!$E:$E,METALFISA!$A:$A,'Faltantes Fevereiro- Metalfisa'!M$3,METALFISA!$B:$B,'Faltantes Fevereiro- Metalfisa'!$A296)</f>
        <v>0</v>
      </c>
      <c r="N296" s="31">
        <f>SUMIFS(METALFISA!$E:$E,METALFISA!$A:$A,'Faltantes Fevereiro- Metalfisa'!N$3,METALFISA!$B:$B,'Faltantes Fevereiro- Metalfisa'!$A296)</f>
        <v>0</v>
      </c>
      <c r="O296" s="31">
        <f>SUMIFS(METALFISA!$E:$E,METALFISA!$A:$A,'Faltantes Fevereiro- Metalfisa'!O$3,METALFISA!$B:$B,'Faltantes Fevereiro- Metalfisa'!$A296)</f>
        <v>0</v>
      </c>
      <c r="P296" s="31">
        <f>SUMIFS(METALFISA!$E:$E,METALFISA!$A:$A,'Faltantes Fevereiro- Metalfisa'!P$3,METALFISA!$B:$B,'Faltantes Fevereiro- Metalfisa'!$A296)</f>
        <v>0</v>
      </c>
      <c r="Q296" s="31">
        <f>SUMIFS(METALFISA!$E:$E,METALFISA!$A:$A,'Faltantes Fevereiro- Metalfisa'!Q$3,METALFISA!$B:$B,'Faltantes Fevereiro- Metalfisa'!$A296)</f>
        <v>0</v>
      </c>
      <c r="R296" s="31">
        <f>SUMIFS(METALFISA!$E:$E,METALFISA!$A:$A,'Faltantes Fevereiro- Metalfisa'!R$3,METALFISA!$B:$B,'Faltantes Fevereiro- Metalfisa'!$A296)</f>
        <v>0</v>
      </c>
      <c r="S296" s="31">
        <f>SUMIFS(METALFISA!$E:$E,METALFISA!$A:$A,'Faltantes Fevereiro- Metalfisa'!S$3,METALFISA!$B:$B,'Faltantes Fevereiro- Metalfisa'!$A296)</f>
        <v>0</v>
      </c>
      <c r="T296" s="31">
        <f>SUMIFS(METALFISA!$E:$E,METALFISA!$A:$A,'Faltantes Fevereiro- Metalfisa'!T$3,METALFISA!$B:$B,'Faltantes Fevereiro- Metalfisa'!$A296)</f>
        <v>0</v>
      </c>
      <c r="U296" s="31">
        <f>SUMIFS(METALFISA!$E:$E,METALFISA!$A:$A,'Faltantes Fevereiro- Metalfisa'!U$3,METALFISA!$B:$B,'Faltantes Fevereiro- Metalfisa'!$A296)</f>
        <v>0</v>
      </c>
      <c r="V296" s="31">
        <f>SUMIFS(METALFISA!$E:$E,METALFISA!$A:$A,'Faltantes Fevereiro- Metalfisa'!V$3,METALFISA!$B:$B,'Faltantes Fevereiro- Metalfisa'!$A296)</f>
        <v>0</v>
      </c>
      <c r="W296" s="31">
        <f>SUMIFS(METALFISA!$E:$E,METALFISA!$A:$A,'Faltantes Fevereiro- Metalfisa'!W$3,METALFISA!$B:$B,'Faltantes Fevereiro- Metalfisa'!$A296)</f>
        <v>0</v>
      </c>
      <c r="X296" s="31">
        <f>SUMIFS(METALFISA!$E:$E,METALFISA!$A:$A,'Faltantes Fevereiro- Metalfisa'!X$3,METALFISA!$B:$B,'Faltantes Fevereiro- Metalfisa'!$A296)</f>
        <v>0</v>
      </c>
      <c r="Y296" s="31">
        <f>SUMIFS(METALFISA!$E:$E,METALFISA!$A:$A,'Faltantes Fevereiro- Metalfisa'!Y$3,METALFISA!$B:$B,'Faltantes Fevereiro- Metalfisa'!$A296)</f>
        <v>0</v>
      </c>
      <c r="Z296" s="31">
        <f>SUMIFS(METALFISA!$E:$E,METALFISA!$A:$A,'Faltantes Fevereiro- Metalfisa'!Z$3,METALFISA!$B:$B,'Faltantes Fevereiro- Metalfisa'!$A296)</f>
        <v>0</v>
      </c>
      <c r="AA296" s="31">
        <f>SUMIFS(METALFISA!$E:$E,METALFISA!$A:$A,'Faltantes Fevereiro- Metalfisa'!AA$3,METALFISA!$B:$B,'Faltantes Fevereiro- Metalfisa'!$A296)</f>
        <v>0</v>
      </c>
      <c r="AB296" s="31">
        <f>SUMIFS(METALFISA!$E:$E,METALFISA!$A:$A,'Faltantes Fevereiro- Metalfisa'!AB$3,METALFISA!$B:$B,'Faltantes Fevereiro- Metalfisa'!$A296)</f>
        <v>0</v>
      </c>
      <c r="AC296" s="31">
        <f>SUMIFS(METALFISA!$E:$E,METALFISA!$A:$A,'Faltantes Fevereiro- Metalfisa'!AC$3,METALFISA!$B:$B,'Faltantes Fevereiro- Metalfisa'!$A296)</f>
        <v>0</v>
      </c>
      <c r="AD296" s="31">
        <f>SUMIFS(METALFISA!$E:$E,METALFISA!$A:$A,'Faltantes Fevereiro- Metalfisa'!AD$3,METALFISA!$B:$B,'Faltantes Fevereiro- Metalfisa'!$A296)</f>
        <v>0</v>
      </c>
      <c r="AE296" s="31">
        <f>SUMIFS(METALFISA!$E:$E,METALFISA!$A:$A,'Faltantes Fevereiro- Metalfisa'!AE$3,METALFISA!$B:$B,'Faltantes Fevereiro- Metalfisa'!$A296)</f>
        <v>1</v>
      </c>
      <c r="AF296" s="31">
        <f>SUMIFS(METALFISA!$E:$E,METALFISA!$A:$A,'Faltantes Fevereiro- Metalfisa'!AF$3,METALFISA!$B:$B,'Faltantes Fevereiro- Metalfisa'!$A296)</f>
        <v>0</v>
      </c>
      <c r="AG296" s="31">
        <f>SUMIFS(METALFISA!$E:$E,METALFISA!$A:$A,'Faltantes Fevereiro- Metalfisa'!AG$3,METALFISA!$B:$B,'Faltantes Fevereiro- Metalfisa'!$A296)</f>
        <v>0</v>
      </c>
      <c r="AH296" s="31">
        <f>SUMIFS(METALFISA!$E:$E,METALFISA!$A:$A,'Faltantes Fevereiro- Metalfisa'!AH$3,METALFISA!$B:$B,'Faltantes Fevereiro- Metalfisa'!$A296)</f>
        <v>0</v>
      </c>
      <c r="AI296" s="31">
        <f>SUMIFS(METALFISA!$E:$E,METALFISA!$A:$A,'Faltantes Fevereiro- Metalfisa'!AI$3,METALFISA!$B:$B,'Faltantes Fevereiro- Metalfisa'!$A296)</f>
        <v>0</v>
      </c>
      <c r="AJ296" s="31">
        <f>SUMIFS(METALFISA!$E:$E,METALFISA!$A:$A,'Faltantes Fevereiro- Metalfisa'!AJ$3,METALFISA!$B:$B,'Faltantes Fevereiro- Metalfisa'!$A296)</f>
        <v>0</v>
      </c>
      <c r="AK296" s="31">
        <f>SUMIFS(METALFISA!$E:$E,METALFISA!$A:$A,'Faltantes Fevereiro- Metalfisa'!AK$3,METALFISA!$B:$B,'Faltantes Fevereiro- Metalfisa'!$A296)</f>
        <v>0</v>
      </c>
      <c r="AL296" s="31">
        <f>SUMIFS(METALFISA!$E:$E,METALFISA!$A:$A,'Faltantes Fevereiro- Metalfisa'!AL$3,METALFISA!$B:$B,'Faltantes Fevereiro- Metalfisa'!$A296)</f>
        <v>0</v>
      </c>
      <c r="AM296" s="31">
        <f>SUMIFS(METALFISA!$E:$E,METALFISA!$A:$A,'Faltantes Fevereiro- Metalfisa'!AM$3,METALFISA!$B:$B,'Faltantes Fevereiro- Metalfisa'!$A296)</f>
        <v>0</v>
      </c>
      <c r="AN296" s="31">
        <f>SUMIFS(METALFISA!$E:$E,METALFISA!$A:$A,'Faltantes Fevereiro- Metalfisa'!AN$3,METALFISA!$B:$B,'Faltantes Fevereiro- Metalfisa'!$A296)</f>
        <v>0</v>
      </c>
      <c r="AO296" s="31">
        <f>SUMIFS(METALFISA!$E:$E,METALFISA!$A:$A,'Faltantes Fevereiro- Metalfisa'!AO$3,METALFISA!$B:$B,'Faltantes Fevereiro- Metalfisa'!$A296)</f>
        <v>0</v>
      </c>
      <c r="AP296" s="31">
        <f>SUMIFS(METALFISA!$E:$E,METALFISA!$A:$A,'Faltantes Fevereiro- Metalfisa'!AP$3,METALFISA!$B:$B,'Faltantes Fevereiro- Metalfisa'!$A296)</f>
        <v>0</v>
      </c>
      <c r="AQ296" s="31"/>
      <c r="AR296" s="31">
        <f>SUMIFS(METALFISA!$E:$E,METALFISA!$A:$A,'Faltantes Fevereiro- Metalfisa'!AR$3,METALFISA!$B:$B,'Faltantes Fevereiro- Metalfisa'!$A296)</f>
        <v>0</v>
      </c>
      <c r="AS296" s="35">
        <f>SUMIFS(METALFISA!$E:$E,METALFISA!$A:$A,'Faltantes Fevereiro- Metalfisa'!AS$3,METALFISA!$B:$B,'Faltantes Fevereiro- Metalfisa'!$A296)</f>
        <v>0</v>
      </c>
      <c r="AU296" s="18">
        <v>0</v>
      </c>
      <c r="AV296" s="18">
        <v>0</v>
      </c>
      <c r="AW296" s="18">
        <v>0</v>
      </c>
      <c r="AX296" s="18">
        <v>0</v>
      </c>
      <c r="AY296" s="41">
        <v>0</v>
      </c>
      <c r="AZ296" s="31">
        <v>0</v>
      </c>
      <c r="BA296" s="31">
        <v>0</v>
      </c>
      <c r="BB296" s="31">
        <v>0</v>
      </c>
      <c r="BC296" s="31">
        <v>0</v>
      </c>
      <c r="BD296" s="31">
        <v>0</v>
      </c>
      <c r="BE296" s="31">
        <v>0</v>
      </c>
      <c r="BF296" s="31">
        <v>0</v>
      </c>
      <c r="BG296" s="31">
        <v>0</v>
      </c>
      <c r="BH296" s="31">
        <v>0</v>
      </c>
      <c r="BI296" s="31">
        <v>0</v>
      </c>
      <c r="BJ296" s="31">
        <v>0</v>
      </c>
      <c r="BK296" s="31">
        <v>0</v>
      </c>
      <c r="BL296" s="31">
        <v>0</v>
      </c>
      <c r="BM296" s="31">
        <v>0</v>
      </c>
      <c r="BN296" s="31">
        <v>0</v>
      </c>
      <c r="BO296" s="31">
        <v>1</v>
      </c>
      <c r="BP296" s="31">
        <v>0</v>
      </c>
      <c r="BQ296" s="31">
        <v>0</v>
      </c>
      <c r="BR296" s="31">
        <v>0</v>
      </c>
      <c r="BS296" s="31">
        <v>0</v>
      </c>
      <c r="BT296" s="31">
        <v>0</v>
      </c>
      <c r="BU296" s="31">
        <v>0</v>
      </c>
      <c r="BV296" s="31">
        <v>0</v>
      </c>
      <c r="BW296" s="31">
        <v>0</v>
      </c>
      <c r="BX296" s="31">
        <v>0</v>
      </c>
      <c r="BY296" s="31">
        <v>0</v>
      </c>
      <c r="BZ296" s="31">
        <v>0</v>
      </c>
      <c r="CA296" s="31">
        <v>0</v>
      </c>
      <c r="CB296" s="31">
        <v>0</v>
      </c>
      <c r="CC296" s="31">
        <v>0</v>
      </c>
      <c r="CD296" s="31">
        <v>0</v>
      </c>
      <c r="CE296" s="31">
        <v>0</v>
      </c>
      <c r="CF296" s="31">
        <v>0</v>
      </c>
      <c r="CG296" s="31">
        <v>0</v>
      </c>
      <c r="CH296" s="31">
        <v>0</v>
      </c>
      <c r="CI296" s="31">
        <v>0</v>
      </c>
      <c r="CJ296" s="31">
        <v>0</v>
      </c>
      <c r="CK296" s="31">
        <v>0</v>
      </c>
      <c r="CL296" s="35">
        <v>0</v>
      </c>
    </row>
    <row r="297" spans="1:90" ht="31.5" x14ac:dyDescent="0.15">
      <c r="A297" s="27" t="s">
        <v>1456</v>
      </c>
      <c r="B297" s="28" t="s">
        <v>1457</v>
      </c>
      <c r="C297" s="28">
        <v>0</v>
      </c>
      <c r="D297" s="28">
        <v>0</v>
      </c>
      <c r="E297" s="28">
        <v>0</v>
      </c>
      <c r="F297" s="28">
        <v>0</v>
      </c>
      <c r="G297" s="28">
        <v>4</v>
      </c>
      <c r="H297" s="28">
        <f>IFERROR(VLOOKUP(A297,[1]FALTANTES!$A:$AB,28,FALSE),"-")</f>
        <v>0</v>
      </c>
      <c r="I297" s="42">
        <f>IFERROR(VLOOKUP(A297,[1]FALTANTES!$A:$AC,29,FALSE),"-")</f>
        <v>2</v>
      </c>
      <c r="J297" s="29">
        <f>IFERROR(VLOOKUP(A297,[1]FALTANTES!$A:$AD,30,FALSE),"-")</f>
        <v>-2</v>
      </c>
      <c r="K297" s="30">
        <v>0</v>
      </c>
      <c r="L297" s="30">
        <f t="shared" si="5"/>
        <v>1</v>
      </c>
      <c r="M297" s="31">
        <f>SUMIFS(METALFISA!$E:$E,METALFISA!$A:$A,'Faltantes Fevereiro- Metalfisa'!M$3,METALFISA!$B:$B,'Faltantes Fevereiro- Metalfisa'!$A297)</f>
        <v>0</v>
      </c>
      <c r="N297" s="31">
        <f>SUMIFS(METALFISA!$E:$E,METALFISA!$A:$A,'Faltantes Fevereiro- Metalfisa'!N$3,METALFISA!$B:$B,'Faltantes Fevereiro- Metalfisa'!$A297)</f>
        <v>0</v>
      </c>
      <c r="O297" s="31">
        <f>SUMIFS(METALFISA!$E:$E,METALFISA!$A:$A,'Faltantes Fevereiro- Metalfisa'!O$3,METALFISA!$B:$B,'Faltantes Fevereiro- Metalfisa'!$A297)</f>
        <v>0</v>
      </c>
      <c r="P297" s="31">
        <f>SUMIFS(METALFISA!$E:$E,METALFISA!$A:$A,'Faltantes Fevereiro- Metalfisa'!P$3,METALFISA!$B:$B,'Faltantes Fevereiro- Metalfisa'!$A297)</f>
        <v>0</v>
      </c>
      <c r="Q297" s="31">
        <f>SUMIFS(METALFISA!$E:$E,METALFISA!$A:$A,'Faltantes Fevereiro- Metalfisa'!Q$3,METALFISA!$B:$B,'Faltantes Fevereiro- Metalfisa'!$A297)</f>
        <v>0</v>
      </c>
      <c r="R297" s="31">
        <f>SUMIFS(METALFISA!$E:$E,METALFISA!$A:$A,'Faltantes Fevereiro- Metalfisa'!R$3,METALFISA!$B:$B,'Faltantes Fevereiro- Metalfisa'!$A297)</f>
        <v>0</v>
      </c>
      <c r="S297" s="31">
        <f>SUMIFS(METALFISA!$E:$E,METALFISA!$A:$A,'Faltantes Fevereiro- Metalfisa'!S$3,METALFISA!$B:$B,'Faltantes Fevereiro- Metalfisa'!$A297)</f>
        <v>0</v>
      </c>
      <c r="T297" s="31">
        <f>SUMIFS(METALFISA!$E:$E,METALFISA!$A:$A,'Faltantes Fevereiro- Metalfisa'!T$3,METALFISA!$B:$B,'Faltantes Fevereiro- Metalfisa'!$A297)</f>
        <v>0</v>
      </c>
      <c r="U297" s="31">
        <f>SUMIFS(METALFISA!$E:$E,METALFISA!$A:$A,'Faltantes Fevereiro- Metalfisa'!U$3,METALFISA!$B:$B,'Faltantes Fevereiro- Metalfisa'!$A297)</f>
        <v>0</v>
      </c>
      <c r="V297" s="31">
        <f>SUMIFS(METALFISA!$E:$E,METALFISA!$A:$A,'Faltantes Fevereiro- Metalfisa'!V$3,METALFISA!$B:$B,'Faltantes Fevereiro- Metalfisa'!$A297)</f>
        <v>0</v>
      </c>
      <c r="W297" s="31">
        <f>SUMIFS(METALFISA!$E:$E,METALFISA!$A:$A,'Faltantes Fevereiro- Metalfisa'!W$3,METALFISA!$B:$B,'Faltantes Fevereiro- Metalfisa'!$A297)</f>
        <v>0</v>
      </c>
      <c r="X297" s="31">
        <f>SUMIFS(METALFISA!$E:$E,METALFISA!$A:$A,'Faltantes Fevereiro- Metalfisa'!X$3,METALFISA!$B:$B,'Faltantes Fevereiro- Metalfisa'!$A297)</f>
        <v>0</v>
      </c>
      <c r="Y297" s="31">
        <f>SUMIFS(METALFISA!$E:$E,METALFISA!$A:$A,'Faltantes Fevereiro- Metalfisa'!Y$3,METALFISA!$B:$B,'Faltantes Fevereiro- Metalfisa'!$A297)</f>
        <v>0</v>
      </c>
      <c r="Z297" s="31">
        <f>SUMIFS(METALFISA!$E:$E,METALFISA!$A:$A,'Faltantes Fevereiro- Metalfisa'!Z$3,METALFISA!$B:$B,'Faltantes Fevereiro- Metalfisa'!$A297)</f>
        <v>0</v>
      </c>
      <c r="AA297" s="31">
        <f>SUMIFS(METALFISA!$E:$E,METALFISA!$A:$A,'Faltantes Fevereiro- Metalfisa'!AA$3,METALFISA!$B:$B,'Faltantes Fevereiro- Metalfisa'!$A297)</f>
        <v>0</v>
      </c>
      <c r="AB297" s="31">
        <f>SUMIFS(METALFISA!$E:$E,METALFISA!$A:$A,'Faltantes Fevereiro- Metalfisa'!AB$3,METALFISA!$B:$B,'Faltantes Fevereiro- Metalfisa'!$A297)</f>
        <v>0</v>
      </c>
      <c r="AC297" s="31">
        <f>SUMIFS(METALFISA!$E:$E,METALFISA!$A:$A,'Faltantes Fevereiro- Metalfisa'!AC$3,METALFISA!$B:$B,'Faltantes Fevereiro- Metalfisa'!$A297)</f>
        <v>0</v>
      </c>
      <c r="AD297" s="31">
        <f>SUMIFS(METALFISA!$E:$E,METALFISA!$A:$A,'Faltantes Fevereiro- Metalfisa'!AD$3,METALFISA!$B:$B,'Faltantes Fevereiro- Metalfisa'!$A297)</f>
        <v>0</v>
      </c>
      <c r="AE297" s="31">
        <f>SUMIFS(METALFISA!$E:$E,METALFISA!$A:$A,'Faltantes Fevereiro- Metalfisa'!AE$3,METALFISA!$B:$B,'Faltantes Fevereiro- Metalfisa'!$A297)</f>
        <v>1</v>
      </c>
      <c r="AF297" s="31">
        <f>SUMIFS(METALFISA!$E:$E,METALFISA!$A:$A,'Faltantes Fevereiro- Metalfisa'!AF$3,METALFISA!$B:$B,'Faltantes Fevereiro- Metalfisa'!$A297)</f>
        <v>0</v>
      </c>
      <c r="AG297" s="31">
        <f>SUMIFS(METALFISA!$E:$E,METALFISA!$A:$A,'Faltantes Fevereiro- Metalfisa'!AG$3,METALFISA!$B:$B,'Faltantes Fevereiro- Metalfisa'!$A297)</f>
        <v>0</v>
      </c>
      <c r="AH297" s="31">
        <f>SUMIFS(METALFISA!$E:$E,METALFISA!$A:$A,'Faltantes Fevereiro- Metalfisa'!AH$3,METALFISA!$B:$B,'Faltantes Fevereiro- Metalfisa'!$A297)</f>
        <v>0</v>
      </c>
      <c r="AI297" s="31">
        <f>SUMIFS(METALFISA!$E:$E,METALFISA!$A:$A,'Faltantes Fevereiro- Metalfisa'!AI$3,METALFISA!$B:$B,'Faltantes Fevereiro- Metalfisa'!$A297)</f>
        <v>0</v>
      </c>
      <c r="AJ297" s="31">
        <f>SUMIFS(METALFISA!$E:$E,METALFISA!$A:$A,'Faltantes Fevereiro- Metalfisa'!AJ$3,METALFISA!$B:$B,'Faltantes Fevereiro- Metalfisa'!$A297)</f>
        <v>0</v>
      </c>
      <c r="AK297" s="31">
        <f>SUMIFS(METALFISA!$E:$E,METALFISA!$A:$A,'Faltantes Fevereiro- Metalfisa'!AK$3,METALFISA!$B:$B,'Faltantes Fevereiro- Metalfisa'!$A297)</f>
        <v>0</v>
      </c>
      <c r="AL297" s="31">
        <f>SUMIFS(METALFISA!$E:$E,METALFISA!$A:$A,'Faltantes Fevereiro- Metalfisa'!AL$3,METALFISA!$B:$B,'Faltantes Fevereiro- Metalfisa'!$A297)</f>
        <v>0</v>
      </c>
      <c r="AM297" s="31">
        <f>SUMIFS(METALFISA!$E:$E,METALFISA!$A:$A,'Faltantes Fevereiro- Metalfisa'!AM$3,METALFISA!$B:$B,'Faltantes Fevereiro- Metalfisa'!$A297)</f>
        <v>0</v>
      </c>
      <c r="AN297" s="31">
        <f>SUMIFS(METALFISA!$E:$E,METALFISA!$A:$A,'Faltantes Fevereiro- Metalfisa'!AN$3,METALFISA!$B:$B,'Faltantes Fevereiro- Metalfisa'!$A297)</f>
        <v>0</v>
      </c>
      <c r="AO297" s="31">
        <f>SUMIFS(METALFISA!$E:$E,METALFISA!$A:$A,'Faltantes Fevereiro- Metalfisa'!AO$3,METALFISA!$B:$B,'Faltantes Fevereiro- Metalfisa'!$A297)</f>
        <v>0</v>
      </c>
      <c r="AP297" s="31">
        <f>SUMIFS(METALFISA!$E:$E,METALFISA!$A:$A,'Faltantes Fevereiro- Metalfisa'!AP$3,METALFISA!$B:$B,'Faltantes Fevereiro- Metalfisa'!$A297)</f>
        <v>0</v>
      </c>
      <c r="AQ297" s="31"/>
      <c r="AR297" s="31">
        <f>SUMIFS(METALFISA!$E:$E,METALFISA!$A:$A,'Faltantes Fevereiro- Metalfisa'!AR$3,METALFISA!$B:$B,'Faltantes Fevereiro- Metalfisa'!$A297)</f>
        <v>0</v>
      </c>
      <c r="AS297" s="35">
        <f>SUMIFS(METALFISA!$E:$E,METALFISA!$A:$A,'Faltantes Fevereiro- Metalfisa'!AS$3,METALFISA!$B:$B,'Faltantes Fevereiro- Metalfisa'!$A297)</f>
        <v>0</v>
      </c>
      <c r="AU297" s="18">
        <v>0</v>
      </c>
      <c r="AV297" s="18">
        <v>0</v>
      </c>
      <c r="AW297" s="18">
        <v>0</v>
      </c>
      <c r="AX297" s="18">
        <v>0</v>
      </c>
      <c r="AY297" s="41">
        <v>0</v>
      </c>
      <c r="AZ297" s="31">
        <v>0</v>
      </c>
      <c r="BA297" s="31">
        <v>0</v>
      </c>
      <c r="BB297" s="31">
        <v>0</v>
      </c>
      <c r="BC297" s="31">
        <v>0</v>
      </c>
      <c r="BD297" s="31">
        <v>0</v>
      </c>
      <c r="BE297" s="31">
        <v>0</v>
      </c>
      <c r="BF297" s="31">
        <v>0</v>
      </c>
      <c r="BG297" s="31">
        <v>0</v>
      </c>
      <c r="BH297" s="31">
        <v>0</v>
      </c>
      <c r="BI297" s="31">
        <v>0</v>
      </c>
      <c r="BJ297" s="31">
        <v>0</v>
      </c>
      <c r="BK297" s="31">
        <v>0</v>
      </c>
      <c r="BL297" s="31">
        <v>0</v>
      </c>
      <c r="BM297" s="31">
        <v>0</v>
      </c>
      <c r="BN297" s="31">
        <v>0</v>
      </c>
      <c r="BO297" s="31">
        <v>1</v>
      </c>
      <c r="BP297" s="31">
        <v>0</v>
      </c>
      <c r="BQ297" s="31">
        <v>0</v>
      </c>
      <c r="BR297" s="31">
        <v>0</v>
      </c>
      <c r="BS297" s="31">
        <v>0</v>
      </c>
      <c r="BT297" s="31">
        <v>0</v>
      </c>
      <c r="BU297" s="31">
        <v>0</v>
      </c>
      <c r="BV297" s="31">
        <v>0</v>
      </c>
      <c r="BW297" s="31">
        <v>0</v>
      </c>
      <c r="BX297" s="31">
        <v>0</v>
      </c>
      <c r="BY297" s="31">
        <v>0</v>
      </c>
      <c r="BZ297" s="31">
        <v>0</v>
      </c>
      <c r="CA297" s="31">
        <v>0</v>
      </c>
      <c r="CB297" s="31">
        <v>0</v>
      </c>
      <c r="CC297" s="31">
        <v>0</v>
      </c>
      <c r="CD297" s="31">
        <v>0</v>
      </c>
      <c r="CE297" s="31">
        <v>0</v>
      </c>
      <c r="CF297" s="31">
        <v>0</v>
      </c>
      <c r="CG297" s="31">
        <v>0</v>
      </c>
      <c r="CH297" s="31">
        <v>0</v>
      </c>
      <c r="CI297" s="31">
        <v>0</v>
      </c>
      <c r="CJ297" s="31">
        <v>0</v>
      </c>
      <c r="CK297" s="31">
        <v>0</v>
      </c>
      <c r="CL297" s="35">
        <v>0</v>
      </c>
    </row>
    <row r="298" spans="1:90" ht="31.5" x14ac:dyDescent="0.15">
      <c r="A298" s="27" t="s">
        <v>1459</v>
      </c>
      <c r="B298" s="28" t="s">
        <v>1460</v>
      </c>
      <c r="C298" s="28">
        <v>0</v>
      </c>
      <c r="D298" s="28">
        <v>0</v>
      </c>
      <c r="E298" s="28">
        <v>0</v>
      </c>
      <c r="F298" s="28">
        <v>0</v>
      </c>
      <c r="G298" s="28">
        <v>6</v>
      </c>
      <c r="H298" s="28">
        <f>IFERROR(VLOOKUP(A298,[1]FALTANTES!$A:$AB,28,FALSE),"-")</f>
        <v>0</v>
      </c>
      <c r="I298" s="42">
        <f>IFERROR(VLOOKUP(A298,[1]FALTANTES!$A:$AC,29,FALSE),"-")</f>
        <v>4</v>
      </c>
      <c r="J298" s="29">
        <f>IFERROR(VLOOKUP(A298,[1]FALTANTES!$A:$AD,30,FALSE),"-")</f>
        <v>-2</v>
      </c>
      <c r="K298" s="30">
        <v>0</v>
      </c>
      <c r="L298" s="30">
        <f t="shared" si="5"/>
        <v>2</v>
      </c>
      <c r="M298" s="31">
        <f>SUMIFS(METALFISA!$E:$E,METALFISA!$A:$A,'Faltantes Fevereiro- Metalfisa'!M$3,METALFISA!$B:$B,'Faltantes Fevereiro- Metalfisa'!$A298)</f>
        <v>0</v>
      </c>
      <c r="N298" s="31">
        <f>SUMIFS(METALFISA!$E:$E,METALFISA!$A:$A,'Faltantes Fevereiro- Metalfisa'!N$3,METALFISA!$B:$B,'Faltantes Fevereiro- Metalfisa'!$A298)</f>
        <v>0</v>
      </c>
      <c r="O298" s="31">
        <f>SUMIFS(METALFISA!$E:$E,METALFISA!$A:$A,'Faltantes Fevereiro- Metalfisa'!O$3,METALFISA!$B:$B,'Faltantes Fevereiro- Metalfisa'!$A298)</f>
        <v>0</v>
      </c>
      <c r="P298" s="31">
        <f>SUMIFS(METALFISA!$E:$E,METALFISA!$A:$A,'Faltantes Fevereiro- Metalfisa'!P$3,METALFISA!$B:$B,'Faltantes Fevereiro- Metalfisa'!$A298)</f>
        <v>0</v>
      </c>
      <c r="Q298" s="31">
        <f>SUMIFS(METALFISA!$E:$E,METALFISA!$A:$A,'Faltantes Fevereiro- Metalfisa'!Q$3,METALFISA!$B:$B,'Faltantes Fevereiro- Metalfisa'!$A298)</f>
        <v>0</v>
      </c>
      <c r="R298" s="31">
        <f>SUMIFS(METALFISA!$E:$E,METALFISA!$A:$A,'Faltantes Fevereiro- Metalfisa'!R$3,METALFISA!$B:$B,'Faltantes Fevereiro- Metalfisa'!$A298)</f>
        <v>0</v>
      </c>
      <c r="S298" s="31">
        <f>SUMIFS(METALFISA!$E:$E,METALFISA!$A:$A,'Faltantes Fevereiro- Metalfisa'!S$3,METALFISA!$B:$B,'Faltantes Fevereiro- Metalfisa'!$A298)</f>
        <v>0</v>
      </c>
      <c r="T298" s="31">
        <f>SUMIFS(METALFISA!$E:$E,METALFISA!$A:$A,'Faltantes Fevereiro- Metalfisa'!T$3,METALFISA!$B:$B,'Faltantes Fevereiro- Metalfisa'!$A298)</f>
        <v>0</v>
      </c>
      <c r="U298" s="31">
        <f>SUMIFS(METALFISA!$E:$E,METALFISA!$A:$A,'Faltantes Fevereiro- Metalfisa'!U$3,METALFISA!$B:$B,'Faltantes Fevereiro- Metalfisa'!$A298)</f>
        <v>0</v>
      </c>
      <c r="V298" s="31">
        <f>SUMIFS(METALFISA!$E:$E,METALFISA!$A:$A,'Faltantes Fevereiro- Metalfisa'!V$3,METALFISA!$B:$B,'Faltantes Fevereiro- Metalfisa'!$A298)</f>
        <v>0</v>
      </c>
      <c r="W298" s="31">
        <f>SUMIFS(METALFISA!$E:$E,METALFISA!$A:$A,'Faltantes Fevereiro- Metalfisa'!W$3,METALFISA!$B:$B,'Faltantes Fevereiro- Metalfisa'!$A298)</f>
        <v>0</v>
      </c>
      <c r="X298" s="31">
        <f>SUMIFS(METALFISA!$E:$E,METALFISA!$A:$A,'Faltantes Fevereiro- Metalfisa'!X$3,METALFISA!$B:$B,'Faltantes Fevereiro- Metalfisa'!$A298)</f>
        <v>0</v>
      </c>
      <c r="Y298" s="31">
        <f>SUMIFS(METALFISA!$E:$E,METALFISA!$A:$A,'Faltantes Fevereiro- Metalfisa'!Y$3,METALFISA!$B:$B,'Faltantes Fevereiro- Metalfisa'!$A298)</f>
        <v>0</v>
      </c>
      <c r="Z298" s="31">
        <f>SUMIFS(METALFISA!$E:$E,METALFISA!$A:$A,'Faltantes Fevereiro- Metalfisa'!Z$3,METALFISA!$B:$B,'Faltantes Fevereiro- Metalfisa'!$A298)</f>
        <v>0</v>
      </c>
      <c r="AA298" s="31">
        <f>SUMIFS(METALFISA!$E:$E,METALFISA!$A:$A,'Faltantes Fevereiro- Metalfisa'!AA$3,METALFISA!$B:$B,'Faltantes Fevereiro- Metalfisa'!$A298)</f>
        <v>0</v>
      </c>
      <c r="AB298" s="31">
        <f>SUMIFS(METALFISA!$E:$E,METALFISA!$A:$A,'Faltantes Fevereiro- Metalfisa'!AB$3,METALFISA!$B:$B,'Faltantes Fevereiro- Metalfisa'!$A298)</f>
        <v>0</v>
      </c>
      <c r="AC298" s="31">
        <f>SUMIFS(METALFISA!$E:$E,METALFISA!$A:$A,'Faltantes Fevereiro- Metalfisa'!AC$3,METALFISA!$B:$B,'Faltantes Fevereiro- Metalfisa'!$A298)</f>
        <v>0</v>
      </c>
      <c r="AD298" s="31">
        <f>SUMIFS(METALFISA!$E:$E,METALFISA!$A:$A,'Faltantes Fevereiro- Metalfisa'!AD$3,METALFISA!$B:$B,'Faltantes Fevereiro- Metalfisa'!$A298)</f>
        <v>0</v>
      </c>
      <c r="AE298" s="31">
        <f>SUMIFS(METALFISA!$E:$E,METALFISA!$A:$A,'Faltantes Fevereiro- Metalfisa'!AE$3,METALFISA!$B:$B,'Faltantes Fevereiro- Metalfisa'!$A298)</f>
        <v>2</v>
      </c>
      <c r="AF298" s="31">
        <f>SUMIFS(METALFISA!$E:$E,METALFISA!$A:$A,'Faltantes Fevereiro- Metalfisa'!AF$3,METALFISA!$B:$B,'Faltantes Fevereiro- Metalfisa'!$A298)</f>
        <v>0</v>
      </c>
      <c r="AG298" s="31">
        <f>SUMIFS(METALFISA!$E:$E,METALFISA!$A:$A,'Faltantes Fevereiro- Metalfisa'!AG$3,METALFISA!$B:$B,'Faltantes Fevereiro- Metalfisa'!$A298)</f>
        <v>0</v>
      </c>
      <c r="AH298" s="31">
        <f>SUMIFS(METALFISA!$E:$E,METALFISA!$A:$A,'Faltantes Fevereiro- Metalfisa'!AH$3,METALFISA!$B:$B,'Faltantes Fevereiro- Metalfisa'!$A298)</f>
        <v>0</v>
      </c>
      <c r="AI298" s="31">
        <f>SUMIFS(METALFISA!$E:$E,METALFISA!$A:$A,'Faltantes Fevereiro- Metalfisa'!AI$3,METALFISA!$B:$B,'Faltantes Fevereiro- Metalfisa'!$A298)</f>
        <v>0</v>
      </c>
      <c r="AJ298" s="31">
        <f>SUMIFS(METALFISA!$E:$E,METALFISA!$A:$A,'Faltantes Fevereiro- Metalfisa'!AJ$3,METALFISA!$B:$B,'Faltantes Fevereiro- Metalfisa'!$A298)</f>
        <v>0</v>
      </c>
      <c r="AK298" s="31">
        <f>SUMIFS(METALFISA!$E:$E,METALFISA!$A:$A,'Faltantes Fevereiro- Metalfisa'!AK$3,METALFISA!$B:$B,'Faltantes Fevereiro- Metalfisa'!$A298)</f>
        <v>0</v>
      </c>
      <c r="AL298" s="31">
        <f>SUMIFS(METALFISA!$E:$E,METALFISA!$A:$A,'Faltantes Fevereiro- Metalfisa'!AL$3,METALFISA!$B:$B,'Faltantes Fevereiro- Metalfisa'!$A298)</f>
        <v>0</v>
      </c>
      <c r="AM298" s="31">
        <f>SUMIFS(METALFISA!$E:$E,METALFISA!$A:$A,'Faltantes Fevereiro- Metalfisa'!AM$3,METALFISA!$B:$B,'Faltantes Fevereiro- Metalfisa'!$A298)</f>
        <v>0</v>
      </c>
      <c r="AN298" s="31">
        <f>SUMIFS(METALFISA!$E:$E,METALFISA!$A:$A,'Faltantes Fevereiro- Metalfisa'!AN$3,METALFISA!$B:$B,'Faltantes Fevereiro- Metalfisa'!$A298)</f>
        <v>0</v>
      </c>
      <c r="AO298" s="31">
        <f>SUMIFS(METALFISA!$E:$E,METALFISA!$A:$A,'Faltantes Fevereiro- Metalfisa'!AO$3,METALFISA!$B:$B,'Faltantes Fevereiro- Metalfisa'!$A298)</f>
        <v>0</v>
      </c>
      <c r="AP298" s="31">
        <f>SUMIFS(METALFISA!$E:$E,METALFISA!$A:$A,'Faltantes Fevereiro- Metalfisa'!AP$3,METALFISA!$B:$B,'Faltantes Fevereiro- Metalfisa'!$A298)</f>
        <v>0</v>
      </c>
      <c r="AQ298" s="31"/>
      <c r="AR298" s="31">
        <f>SUMIFS(METALFISA!$E:$E,METALFISA!$A:$A,'Faltantes Fevereiro- Metalfisa'!AR$3,METALFISA!$B:$B,'Faltantes Fevereiro- Metalfisa'!$A298)</f>
        <v>0</v>
      </c>
      <c r="AS298" s="35">
        <f>SUMIFS(METALFISA!$E:$E,METALFISA!$A:$A,'Faltantes Fevereiro- Metalfisa'!AS$3,METALFISA!$B:$B,'Faltantes Fevereiro- Metalfisa'!$A298)</f>
        <v>0</v>
      </c>
      <c r="AU298" s="18">
        <v>0</v>
      </c>
      <c r="AV298" s="18">
        <v>0</v>
      </c>
      <c r="AW298" s="18">
        <v>0</v>
      </c>
      <c r="AX298" s="18">
        <v>0</v>
      </c>
      <c r="AY298" s="41">
        <v>0</v>
      </c>
      <c r="AZ298" s="31">
        <v>0</v>
      </c>
      <c r="BA298" s="31">
        <v>0</v>
      </c>
      <c r="BB298" s="31">
        <v>0</v>
      </c>
      <c r="BC298" s="31">
        <v>0</v>
      </c>
      <c r="BD298" s="31">
        <v>0</v>
      </c>
      <c r="BE298" s="31">
        <v>0</v>
      </c>
      <c r="BF298" s="31">
        <v>0</v>
      </c>
      <c r="BG298" s="31">
        <v>0</v>
      </c>
      <c r="BH298" s="31">
        <v>0</v>
      </c>
      <c r="BI298" s="31">
        <v>0</v>
      </c>
      <c r="BJ298" s="31">
        <v>0</v>
      </c>
      <c r="BK298" s="31">
        <v>0</v>
      </c>
      <c r="BL298" s="31">
        <v>0</v>
      </c>
      <c r="BM298" s="31">
        <v>0</v>
      </c>
      <c r="BN298" s="31">
        <v>0</v>
      </c>
      <c r="BO298" s="31">
        <v>1</v>
      </c>
      <c r="BP298" s="31">
        <v>0</v>
      </c>
      <c r="BQ298" s="31">
        <v>0</v>
      </c>
      <c r="BR298" s="31">
        <v>0</v>
      </c>
      <c r="BS298" s="31">
        <v>0</v>
      </c>
      <c r="BT298" s="31">
        <v>0</v>
      </c>
      <c r="BU298" s="31">
        <v>0</v>
      </c>
      <c r="BV298" s="31">
        <v>0</v>
      </c>
      <c r="BW298" s="31">
        <v>0</v>
      </c>
      <c r="BX298" s="31">
        <v>0</v>
      </c>
      <c r="BY298" s="31">
        <v>0</v>
      </c>
      <c r="BZ298" s="31">
        <v>0</v>
      </c>
      <c r="CA298" s="31">
        <v>0</v>
      </c>
      <c r="CB298" s="31">
        <v>0</v>
      </c>
      <c r="CC298" s="31">
        <v>0</v>
      </c>
      <c r="CD298" s="31">
        <v>0</v>
      </c>
      <c r="CE298" s="31">
        <v>0</v>
      </c>
      <c r="CF298" s="31">
        <v>0</v>
      </c>
      <c r="CG298" s="31">
        <v>0</v>
      </c>
      <c r="CH298" s="31">
        <v>0</v>
      </c>
      <c r="CI298" s="31">
        <v>0</v>
      </c>
      <c r="CJ298" s="31">
        <v>0</v>
      </c>
      <c r="CK298" s="31">
        <v>0</v>
      </c>
      <c r="CL298" s="35">
        <v>0</v>
      </c>
    </row>
    <row r="299" spans="1:90" ht="31.5" x14ac:dyDescent="0.15">
      <c r="A299" s="27" t="s">
        <v>1463</v>
      </c>
      <c r="B299" s="28" t="s">
        <v>1464</v>
      </c>
      <c r="C299" s="28">
        <v>0</v>
      </c>
      <c r="D299" s="28">
        <v>0</v>
      </c>
      <c r="E299" s="28">
        <v>0</v>
      </c>
      <c r="F299" s="28">
        <v>0</v>
      </c>
      <c r="G299" s="28">
        <v>5</v>
      </c>
      <c r="H299" s="28">
        <f>IFERROR(VLOOKUP(A299,[1]FALTANTES!$A:$AB,28,FALSE),"-")</f>
        <v>0</v>
      </c>
      <c r="I299" s="42">
        <f>IFERROR(VLOOKUP(A299,[1]FALTANTES!$A:$AC,29,FALSE),"-")</f>
        <v>3</v>
      </c>
      <c r="J299" s="29">
        <f>IFERROR(VLOOKUP(A299,[1]FALTANTES!$A:$AD,30,FALSE),"-")</f>
        <v>-2</v>
      </c>
      <c r="K299" s="30">
        <v>0</v>
      </c>
      <c r="L299" s="30">
        <f t="shared" si="5"/>
        <v>2</v>
      </c>
      <c r="M299" s="31">
        <f>SUMIFS(METALFISA!$E:$E,METALFISA!$A:$A,'Faltantes Fevereiro- Metalfisa'!M$3,METALFISA!$B:$B,'Faltantes Fevereiro- Metalfisa'!$A299)</f>
        <v>0</v>
      </c>
      <c r="N299" s="31">
        <f>SUMIFS(METALFISA!$E:$E,METALFISA!$A:$A,'Faltantes Fevereiro- Metalfisa'!N$3,METALFISA!$B:$B,'Faltantes Fevereiro- Metalfisa'!$A299)</f>
        <v>0</v>
      </c>
      <c r="O299" s="31">
        <f>SUMIFS(METALFISA!$E:$E,METALFISA!$A:$A,'Faltantes Fevereiro- Metalfisa'!O$3,METALFISA!$B:$B,'Faltantes Fevereiro- Metalfisa'!$A299)</f>
        <v>0</v>
      </c>
      <c r="P299" s="31">
        <f>SUMIFS(METALFISA!$E:$E,METALFISA!$A:$A,'Faltantes Fevereiro- Metalfisa'!P$3,METALFISA!$B:$B,'Faltantes Fevereiro- Metalfisa'!$A299)</f>
        <v>0</v>
      </c>
      <c r="Q299" s="31">
        <f>SUMIFS(METALFISA!$E:$E,METALFISA!$A:$A,'Faltantes Fevereiro- Metalfisa'!Q$3,METALFISA!$B:$B,'Faltantes Fevereiro- Metalfisa'!$A299)</f>
        <v>0</v>
      </c>
      <c r="R299" s="31">
        <f>SUMIFS(METALFISA!$E:$E,METALFISA!$A:$A,'Faltantes Fevereiro- Metalfisa'!R$3,METALFISA!$B:$B,'Faltantes Fevereiro- Metalfisa'!$A299)</f>
        <v>0</v>
      </c>
      <c r="S299" s="31">
        <f>SUMIFS(METALFISA!$E:$E,METALFISA!$A:$A,'Faltantes Fevereiro- Metalfisa'!S$3,METALFISA!$B:$B,'Faltantes Fevereiro- Metalfisa'!$A299)</f>
        <v>0</v>
      </c>
      <c r="T299" s="31">
        <f>SUMIFS(METALFISA!$E:$E,METALFISA!$A:$A,'Faltantes Fevereiro- Metalfisa'!T$3,METALFISA!$B:$B,'Faltantes Fevereiro- Metalfisa'!$A299)</f>
        <v>0</v>
      </c>
      <c r="U299" s="31">
        <f>SUMIFS(METALFISA!$E:$E,METALFISA!$A:$A,'Faltantes Fevereiro- Metalfisa'!U$3,METALFISA!$B:$B,'Faltantes Fevereiro- Metalfisa'!$A299)</f>
        <v>0</v>
      </c>
      <c r="V299" s="31">
        <f>SUMIFS(METALFISA!$E:$E,METALFISA!$A:$A,'Faltantes Fevereiro- Metalfisa'!V$3,METALFISA!$B:$B,'Faltantes Fevereiro- Metalfisa'!$A299)</f>
        <v>0</v>
      </c>
      <c r="W299" s="31">
        <f>SUMIFS(METALFISA!$E:$E,METALFISA!$A:$A,'Faltantes Fevereiro- Metalfisa'!W$3,METALFISA!$B:$B,'Faltantes Fevereiro- Metalfisa'!$A299)</f>
        <v>0</v>
      </c>
      <c r="X299" s="31">
        <f>SUMIFS(METALFISA!$E:$E,METALFISA!$A:$A,'Faltantes Fevereiro- Metalfisa'!X$3,METALFISA!$B:$B,'Faltantes Fevereiro- Metalfisa'!$A299)</f>
        <v>0</v>
      </c>
      <c r="Y299" s="31">
        <f>SUMIFS(METALFISA!$E:$E,METALFISA!$A:$A,'Faltantes Fevereiro- Metalfisa'!Y$3,METALFISA!$B:$B,'Faltantes Fevereiro- Metalfisa'!$A299)</f>
        <v>0</v>
      </c>
      <c r="Z299" s="31">
        <f>SUMIFS(METALFISA!$E:$E,METALFISA!$A:$A,'Faltantes Fevereiro- Metalfisa'!Z$3,METALFISA!$B:$B,'Faltantes Fevereiro- Metalfisa'!$A299)</f>
        <v>0</v>
      </c>
      <c r="AA299" s="31">
        <f>SUMIFS(METALFISA!$E:$E,METALFISA!$A:$A,'Faltantes Fevereiro- Metalfisa'!AA$3,METALFISA!$B:$B,'Faltantes Fevereiro- Metalfisa'!$A299)</f>
        <v>0</v>
      </c>
      <c r="AB299" s="31">
        <f>SUMIFS(METALFISA!$E:$E,METALFISA!$A:$A,'Faltantes Fevereiro- Metalfisa'!AB$3,METALFISA!$B:$B,'Faltantes Fevereiro- Metalfisa'!$A299)</f>
        <v>0</v>
      </c>
      <c r="AC299" s="31">
        <f>SUMIFS(METALFISA!$E:$E,METALFISA!$A:$A,'Faltantes Fevereiro- Metalfisa'!AC$3,METALFISA!$B:$B,'Faltantes Fevereiro- Metalfisa'!$A299)</f>
        <v>0</v>
      </c>
      <c r="AD299" s="31">
        <f>SUMIFS(METALFISA!$E:$E,METALFISA!$A:$A,'Faltantes Fevereiro- Metalfisa'!AD$3,METALFISA!$B:$B,'Faltantes Fevereiro- Metalfisa'!$A299)</f>
        <v>0</v>
      </c>
      <c r="AE299" s="31">
        <f>SUMIFS(METALFISA!$E:$E,METALFISA!$A:$A,'Faltantes Fevereiro- Metalfisa'!AE$3,METALFISA!$B:$B,'Faltantes Fevereiro- Metalfisa'!$A299)</f>
        <v>2</v>
      </c>
      <c r="AF299" s="31">
        <f>SUMIFS(METALFISA!$E:$E,METALFISA!$A:$A,'Faltantes Fevereiro- Metalfisa'!AF$3,METALFISA!$B:$B,'Faltantes Fevereiro- Metalfisa'!$A299)</f>
        <v>0</v>
      </c>
      <c r="AG299" s="31">
        <f>SUMIFS(METALFISA!$E:$E,METALFISA!$A:$A,'Faltantes Fevereiro- Metalfisa'!AG$3,METALFISA!$B:$B,'Faltantes Fevereiro- Metalfisa'!$A299)</f>
        <v>0</v>
      </c>
      <c r="AH299" s="31">
        <f>SUMIFS(METALFISA!$E:$E,METALFISA!$A:$A,'Faltantes Fevereiro- Metalfisa'!AH$3,METALFISA!$B:$B,'Faltantes Fevereiro- Metalfisa'!$A299)</f>
        <v>0</v>
      </c>
      <c r="AI299" s="31">
        <f>SUMIFS(METALFISA!$E:$E,METALFISA!$A:$A,'Faltantes Fevereiro- Metalfisa'!AI$3,METALFISA!$B:$B,'Faltantes Fevereiro- Metalfisa'!$A299)</f>
        <v>0</v>
      </c>
      <c r="AJ299" s="31">
        <f>SUMIFS(METALFISA!$E:$E,METALFISA!$A:$A,'Faltantes Fevereiro- Metalfisa'!AJ$3,METALFISA!$B:$B,'Faltantes Fevereiro- Metalfisa'!$A299)</f>
        <v>0</v>
      </c>
      <c r="AK299" s="31">
        <f>SUMIFS(METALFISA!$E:$E,METALFISA!$A:$A,'Faltantes Fevereiro- Metalfisa'!AK$3,METALFISA!$B:$B,'Faltantes Fevereiro- Metalfisa'!$A299)</f>
        <v>0</v>
      </c>
      <c r="AL299" s="31">
        <f>SUMIFS(METALFISA!$E:$E,METALFISA!$A:$A,'Faltantes Fevereiro- Metalfisa'!AL$3,METALFISA!$B:$B,'Faltantes Fevereiro- Metalfisa'!$A299)</f>
        <v>0</v>
      </c>
      <c r="AM299" s="31">
        <f>SUMIFS(METALFISA!$E:$E,METALFISA!$A:$A,'Faltantes Fevereiro- Metalfisa'!AM$3,METALFISA!$B:$B,'Faltantes Fevereiro- Metalfisa'!$A299)</f>
        <v>0</v>
      </c>
      <c r="AN299" s="31">
        <f>SUMIFS(METALFISA!$E:$E,METALFISA!$A:$A,'Faltantes Fevereiro- Metalfisa'!AN$3,METALFISA!$B:$B,'Faltantes Fevereiro- Metalfisa'!$A299)</f>
        <v>0</v>
      </c>
      <c r="AO299" s="31">
        <f>SUMIFS(METALFISA!$E:$E,METALFISA!$A:$A,'Faltantes Fevereiro- Metalfisa'!AO$3,METALFISA!$B:$B,'Faltantes Fevereiro- Metalfisa'!$A299)</f>
        <v>0</v>
      </c>
      <c r="AP299" s="31">
        <f>SUMIFS(METALFISA!$E:$E,METALFISA!$A:$A,'Faltantes Fevereiro- Metalfisa'!AP$3,METALFISA!$B:$B,'Faltantes Fevereiro- Metalfisa'!$A299)</f>
        <v>0</v>
      </c>
      <c r="AQ299" s="31"/>
      <c r="AR299" s="31">
        <f>SUMIFS(METALFISA!$E:$E,METALFISA!$A:$A,'Faltantes Fevereiro- Metalfisa'!AR$3,METALFISA!$B:$B,'Faltantes Fevereiro- Metalfisa'!$A299)</f>
        <v>0</v>
      </c>
      <c r="AS299" s="35">
        <f>SUMIFS(METALFISA!$E:$E,METALFISA!$A:$A,'Faltantes Fevereiro- Metalfisa'!AS$3,METALFISA!$B:$B,'Faltantes Fevereiro- Metalfisa'!$A299)</f>
        <v>0</v>
      </c>
      <c r="AU299" s="18">
        <v>0</v>
      </c>
      <c r="AV299" s="18">
        <v>0</v>
      </c>
      <c r="AW299" s="18">
        <v>0</v>
      </c>
      <c r="AX299" s="18">
        <v>0</v>
      </c>
      <c r="AY299" s="41">
        <v>0</v>
      </c>
      <c r="AZ299" s="31">
        <v>0</v>
      </c>
      <c r="BA299" s="31">
        <v>0</v>
      </c>
      <c r="BB299" s="31">
        <v>0</v>
      </c>
      <c r="BC299" s="31">
        <v>0</v>
      </c>
      <c r="BD299" s="31">
        <v>0</v>
      </c>
      <c r="BE299" s="31">
        <v>0</v>
      </c>
      <c r="BF299" s="31">
        <v>0</v>
      </c>
      <c r="BG299" s="31">
        <v>0</v>
      </c>
      <c r="BH299" s="31">
        <v>0</v>
      </c>
      <c r="BI299" s="31">
        <v>0</v>
      </c>
      <c r="BJ299" s="31">
        <v>0</v>
      </c>
      <c r="BK299" s="31">
        <v>0</v>
      </c>
      <c r="BL299" s="31">
        <v>0</v>
      </c>
      <c r="BM299" s="31">
        <v>0</v>
      </c>
      <c r="BN299" s="31">
        <v>0</v>
      </c>
      <c r="BO299" s="31">
        <v>1</v>
      </c>
      <c r="BP299" s="31">
        <v>0</v>
      </c>
      <c r="BQ299" s="31">
        <v>0</v>
      </c>
      <c r="BR299" s="31">
        <v>0</v>
      </c>
      <c r="BS299" s="31">
        <v>0</v>
      </c>
      <c r="BT299" s="31">
        <v>0</v>
      </c>
      <c r="BU299" s="31">
        <v>0</v>
      </c>
      <c r="BV299" s="31">
        <v>0</v>
      </c>
      <c r="BW299" s="31">
        <v>0</v>
      </c>
      <c r="BX299" s="31">
        <v>0</v>
      </c>
      <c r="BY299" s="31">
        <v>0</v>
      </c>
      <c r="BZ299" s="31">
        <v>0</v>
      </c>
      <c r="CA299" s="31">
        <v>0</v>
      </c>
      <c r="CB299" s="31">
        <v>0</v>
      </c>
      <c r="CC299" s="31">
        <v>0</v>
      </c>
      <c r="CD299" s="31">
        <v>0</v>
      </c>
      <c r="CE299" s="31">
        <v>0</v>
      </c>
      <c r="CF299" s="31">
        <v>0</v>
      </c>
      <c r="CG299" s="31">
        <v>0</v>
      </c>
      <c r="CH299" s="31">
        <v>0</v>
      </c>
      <c r="CI299" s="31">
        <v>0</v>
      </c>
      <c r="CJ299" s="31">
        <v>0</v>
      </c>
      <c r="CK299" s="31">
        <v>0</v>
      </c>
      <c r="CL299" s="35">
        <v>0</v>
      </c>
    </row>
    <row r="300" spans="1:90" ht="21" x14ac:dyDescent="0.15">
      <c r="A300" s="27" t="s">
        <v>1467</v>
      </c>
      <c r="B300" s="28" t="s">
        <v>1468</v>
      </c>
      <c r="C300" s="28">
        <v>0</v>
      </c>
      <c r="D300" s="28">
        <v>0</v>
      </c>
      <c r="E300" s="28">
        <v>0</v>
      </c>
      <c r="F300" s="28">
        <v>0</v>
      </c>
      <c r="G300" s="28">
        <v>6</v>
      </c>
      <c r="H300" s="28">
        <f>IFERROR(VLOOKUP(A300,[1]FALTANTES!$A:$AB,28,FALSE),"-")</f>
        <v>0</v>
      </c>
      <c r="I300" s="42">
        <f>IFERROR(VLOOKUP(A300,[1]FALTANTES!$A:$AC,29,FALSE),"-")</f>
        <v>2</v>
      </c>
      <c r="J300" s="29">
        <f>IFERROR(VLOOKUP(A300,[1]FALTANTES!$A:$AD,30,FALSE),"-")</f>
        <v>-4</v>
      </c>
      <c r="K300" s="30">
        <v>0</v>
      </c>
      <c r="L300" s="30">
        <f t="shared" si="5"/>
        <v>2</v>
      </c>
      <c r="M300" s="31">
        <f>SUMIFS(METALFISA!$E:$E,METALFISA!$A:$A,'Faltantes Fevereiro- Metalfisa'!M$3,METALFISA!$B:$B,'Faltantes Fevereiro- Metalfisa'!$A300)</f>
        <v>0</v>
      </c>
      <c r="N300" s="31">
        <f>SUMIFS(METALFISA!$E:$E,METALFISA!$A:$A,'Faltantes Fevereiro- Metalfisa'!N$3,METALFISA!$B:$B,'Faltantes Fevereiro- Metalfisa'!$A300)</f>
        <v>0</v>
      </c>
      <c r="O300" s="31">
        <f>SUMIFS(METALFISA!$E:$E,METALFISA!$A:$A,'Faltantes Fevereiro- Metalfisa'!O$3,METALFISA!$B:$B,'Faltantes Fevereiro- Metalfisa'!$A300)</f>
        <v>0</v>
      </c>
      <c r="P300" s="31">
        <f>SUMIFS(METALFISA!$E:$E,METALFISA!$A:$A,'Faltantes Fevereiro- Metalfisa'!P$3,METALFISA!$B:$B,'Faltantes Fevereiro- Metalfisa'!$A300)</f>
        <v>0</v>
      </c>
      <c r="Q300" s="31">
        <f>SUMIFS(METALFISA!$E:$E,METALFISA!$A:$A,'Faltantes Fevereiro- Metalfisa'!Q$3,METALFISA!$B:$B,'Faltantes Fevereiro- Metalfisa'!$A300)</f>
        <v>0</v>
      </c>
      <c r="R300" s="31">
        <f>SUMIFS(METALFISA!$E:$E,METALFISA!$A:$A,'Faltantes Fevereiro- Metalfisa'!R$3,METALFISA!$B:$B,'Faltantes Fevereiro- Metalfisa'!$A300)</f>
        <v>0</v>
      </c>
      <c r="S300" s="31">
        <f>SUMIFS(METALFISA!$E:$E,METALFISA!$A:$A,'Faltantes Fevereiro- Metalfisa'!S$3,METALFISA!$B:$B,'Faltantes Fevereiro- Metalfisa'!$A300)</f>
        <v>0</v>
      </c>
      <c r="T300" s="31">
        <f>SUMIFS(METALFISA!$E:$E,METALFISA!$A:$A,'Faltantes Fevereiro- Metalfisa'!T$3,METALFISA!$B:$B,'Faltantes Fevereiro- Metalfisa'!$A300)</f>
        <v>0</v>
      </c>
      <c r="U300" s="31">
        <f>SUMIFS(METALFISA!$E:$E,METALFISA!$A:$A,'Faltantes Fevereiro- Metalfisa'!U$3,METALFISA!$B:$B,'Faltantes Fevereiro- Metalfisa'!$A300)</f>
        <v>0</v>
      </c>
      <c r="V300" s="31">
        <f>SUMIFS(METALFISA!$E:$E,METALFISA!$A:$A,'Faltantes Fevereiro- Metalfisa'!V$3,METALFISA!$B:$B,'Faltantes Fevereiro- Metalfisa'!$A300)</f>
        <v>0</v>
      </c>
      <c r="W300" s="31">
        <f>SUMIFS(METALFISA!$E:$E,METALFISA!$A:$A,'Faltantes Fevereiro- Metalfisa'!W$3,METALFISA!$B:$B,'Faltantes Fevereiro- Metalfisa'!$A300)</f>
        <v>0</v>
      </c>
      <c r="X300" s="31">
        <f>SUMIFS(METALFISA!$E:$E,METALFISA!$A:$A,'Faltantes Fevereiro- Metalfisa'!X$3,METALFISA!$B:$B,'Faltantes Fevereiro- Metalfisa'!$A300)</f>
        <v>0</v>
      </c>
      <c r="Y300" s="31">
        <f>SUMIFS(METALFISA!$E:$E,METALFISA!$A:$A,'Faltantes Fevereiro- Metalfisa'!Y$3,METALFISA!$B:$B,'Faltantes Fevereiro- Metalfisa'!$A300)</f>
        <v>0</v>
      </c>
      <c r="Z300" s="31">
        <f>SUMIFS(METALFISA!$E:$E,METALFISA!$A:$A,'Faltantes Fevereiro- Metalfisa'!Z$3,METALFISA!$B:$B,'Faltantes Fevereiro- Metalfisa'!$A300)</f>
        <v>0</v>
      </c>
      <c r="AA300" s="31">
        <f>SUMIFS(METALFISA!$E:$E,METALFISA!$A:$A,'Faltantes Fevereiro- Metalfisa'!AA$3,METALFISA!$B:$B,'Faltantes Fevereiro- Metalfisa'!$A300)</f>
        <v>0</v>
      </c>
      <c r="AB300" s="31">
        <f>SUMIFS(METALFISA!$E:$E,METALFISA!$A:$A,'Faltantes Fevereiro- Metalfisa'!AB$3,METALFISA!$B:$B,'Faltantes Fevereiro- Metalfisa'!$A300)</f>
        <v>0</v>
      </c>
      <c r="AC300" s="31">
        <f>SUMIFS(METALFISA!$E:$E,METALFISA!$A:$A,'Faltantes Fevereiro- Metalfisa'!AC$3,METALFISA!$B:$B,'Faltantes Fevereiro- Metalfisa'!$A300)</f>
        <v>0</v>
      </c>
      <c r="AD300" s="31">
        <f>SUMIFS(METALFISA!$E:$E,METALFISA!$A:$A,'Faltantes Fevereiro- Metalfisa'!AD$3,METALFISA!$B:$B,'Faltantes Fevereiro- Metalfisa'!$A300)</f>
        <v>0</v>
      </c>
      <c r="AE300" s="31">
        <f>SUMIFS(METALFISA!$E:$E,METALFISA!$A:$A,'Faltantes Fevereiro- Metalfisa'!AE$3,METALFISA!$B:$B,'Faltantes Fevereiro- Metalfisa'!$A300)</f>
        <v>2</v>
      </c>
      <c r="AF300" s="31">
        <f>SUMIFS(METALFISA!$E:$E,METALFISA!$A:$A,'Faltantes Fevereiro- Metalfisa'!AF$3,METALFISA!$B:$B,'Faltantes Fevereiro- Metalfisa'!$A300)</f>
        <v>0</v>
      </c>
      <c r="AG300" s="31">
        <f>SUMIFS(METALFISA!$E:$E,METALFISA!$A:$A,'Faltantes Fevereiro- Metalfisa'!AG$3,METALFISA!$B:$B,'Faltantes Fevereiro- Metalfisa'!$A300)</f>
        <v>0</v>
      </c>
      <c r="AH300" s="31">
        <f>SUMIFS(METALFISA!$E:$E,METALFISA!$A:$A,'Faltantes Fevereiro- Metalfisa'!AH$3,METALFISA!$B:$B,'Faltantes Fevereiro- Metalfisa'!$A300)</f>
        <v>0</v>
      </c>
      <c r="AI300" s="31">
        <f>SUMIFS(METALFISA!$E:$E,METALFISA!$A:$A,'Faltantes Fevereiro- Metalfisa'!AI$3,METALFISA!$B:$B,'Faltantes Fevereiro- Metalfisa'!$A300)</f>
        <v>0</v>
      </c>
      <c r="AJ300" s="31">
        <f>SUMIFS(METALFISA!$E:$E,METALFISA!$A:$A,'Faltantes Fevereiro- Metalfisa'!AJ$3,METALFISA!$B:$B,'Faltantes Fevereiro- Metalfisa'!$A300)</f>
        <v>0</v>
      </c>
      <c r="AK300" s="31">
        <f>SUMIFS(METALFISA!$E:$E,METALFISA!$A:$A,'Faltantes Fevereiro- Metalfisa'!AK$3,METALFISA!$B:$B,'Faltantes Fevereiro- Metalfisa'!$A300)</f>
        <v>0</v>
      </c>
      <c r="AL300" s="31">
        <f>SUMIFS(METALFISA!$E:$E,METALFISA!$A:$A,'Faltantes Fevereiro- Metalfisa'!AL$3,METALFISA!$B:$B,'Faltantes Fevereiro- Metalfisa'!$A300)</f>
        <v>0</v>
      </c>
      <c r="AM300" s="31">
        <f>SUMIFS(METALFISA!$E:$E,METALFISA!$A:$A,'Faltantes Fevereiro- Metalfisa'!AM$3,METALFISA!$B:$B,'Faltantes Fevereiro- Metalfisa'!$A300)</f>
        <v>0</v>
      </c>
      <c r="AN300" s="31">
        <f>SUMIFS(METALFISA!$E:$E,METALFISA!$A:$A,'Faltantes Fevereiro- Metalfisa'!AN$3,METALFISA!$B:$B,'Faltantes Fevereiro- Metalfisa'!$A300)</f>
        <v>0</v>
      </c>
      <c r="AO300" s="31">
        <f>SUMIFS(METALFISA!$E:$E,METALFISA!$A:$A,'Faltantes Fevereiro- Metalfisa'!AO$3,METALFISA!$B:$B,'Faltantes Fevereiro- Metalfisa'!$A300)</f>
        <v>0</v>
      </c>
      <c r="AP300" s="31">
        <f>SUMIFS(METALFISA!$E:$E,METALFISA!$A:$A,'Faltantes Fevereiro- Metalfisa'!AP$3,METALFISA!$B:$B,'Faltantes Fevereiro- Metalfisa'!$A300)</f>
        <v>0</v>
      </c>
      <c r="AQ300" s="31"/>
      <c r="AR300" s="31">
        <f>SUMIFS(METALFISA!$E:$E,METALFISA!$A:$A,'Faltantes Fevereiro- Metalfisa'!AR$3,METALFISA!$B:$B,'Faltantes Fevereiro- Metalfisa'!$A300)</f>
        <v>0</v>
      </c>
      <c r="AS300" s="35">
        <f>SUMIFS(METALFISA!$E:$E,METALFISA!$A:$A,'Faltantes Fevereiro- Metalfisa'!AS$3,METALFISA!$B:$B,'Faltantes Fevereiro- Metalfisa'!$A300)</f>
        <v>0</v>
      </c>
      <c r="AU300" s="18">
        <v>0</v>
      </c>
      <c r="AV300" s="18">
        <v>0</v>
      </c>
      <c r="AW300" s="18">
        <v>0</v>
      </c>
      <c r="AX300" s="18">
        <v>0</v>
      </c>
      <c r="AY300" s="41">
        <v>0</v>
      </c>
      <c r="AZ300" s="31">
        <v>0</v>
      </c>
      <c r="BA300" s="31">
        <v>0</v>
      </c>
      <c r="BB300" s="31">
        <v>0</v>
      </c>
      <c r="BC300" s="31">
        <v>0</v>
      </c>
      <c r="BD300" s="31">
        <v>0</v>
      </c>
      <c r="BE300" s="31">
        <v>0</v>
      </c>
      <c r="BF300" s="31">
        <v>0</v>
      </c>
      <c r="BG300" s="31">
        <v>0</v>
      </c>
      <c r="BH300" s="31">
        <v>0</v>
      </c>
      <c r="BI300" s="31">
        <v>0</v>
      </c>
      <c r="BJ300" s="31">
        <v>0</v>
      </c>
      <c r="BK300" s="31">
        <v>0</v>
      </c>
      <c r="BL300" s="31">
        <v>0</v>
      </c>
      <c r="BM300" s="31">
        <v>0</v>
      </c>
      <c r="BN300" s="31">
        <v>0</v>
      </c>
      <c r="BO300" s="31">
        <v>1</v>
      </c>
      <c r="BP300" s="31">
        <v>0</v>
      </c>
      <c r="BQ300" s="31">
        <v>0</v>
      </c>
      <c r="BR300" s="31">
        <v>0</v>
      </c>
      <c r="BS300" s="31">
        <v>0</v>
      </c>
      <c r="BT300" s="31">
        <v>0</v>
      </c>
      <c r="BU300" s="31">
        <v>0</v>
      </c>
      <c r="BV300" s="31">
        <v>0</v>
      </c>
      <c r="BW300" s="31">
        <v>0</v>
      </c>
      <c r="BX300" s="31">
        <v>0</v>
      </c>
      <c r="BY300" s="31">
        <v>0</v>
      </c>
      <c r="BZ300" s="31">
        <v>0</v>
      </c>
      <c r="CA300" s="31">
        <v>0</v>
      </c>
      <c r="CB300" s="31">
        <v>0</v>
      </c>
      <c r="CC300" s="31">
        <v>0</v>
      </c>
      <c r="CD300" s="31">
        <v>0</v>
      </c>
      <c r="CE300" s="31">
        <v>0</v>
      </c>
      <c r="CF300" s="31">
        <v>0</v>
      </c>
      <c r="CG300" s="31">
        <v>0</v>
      </c>
      <c r="CH300" s="31">
        <v>0</v>
      </c>
      <c r="CI300" s="31">
        <v>0</v>
      </c>
      <c r="CJ300" s="31">
        <v>0</v>
      </c>
      <c r="CK300" s="31">
        <v>0</v>
      </c>
      <c r="CL300" s="35">
        <v>0</v>
      </c>
    </row>
    <row r="301" spans="1:90" ht="31.5" x14ac:dyDescent="0.15">
      <c r="A301" s="27" t="s">
        <v>1471</v>
      </c>
      <c r="B301" s="28" t="s">
        <v>1472</v>
      </c>
      <c r="C301" s="28">
        <v>0</v>
      </c>
      <c r="D301" s="28">
        <v>0</v>
      </c>
      <c r="E301" s="28">
        <v>0</v>
      </c>
      <c r="F301" s="28">
        <v>0</v>
      </c>
      <c r="G301" s="28">
        <v>4</v>
      </c>
      <c r="H301" s="28">
        <f>IFERROR(VLOOKUP(A301,[1]FALTANTES!$A:$AB,28,FALSE),"-")</f>
        <v>0</v>
      </c>
      <c r="I301" s="42">
        <f>IFERROR(VLOOKUP(A301,[1]FALTANTES!$A:$AC,29,FALSE),"-")</f>
        <v>2</v>
      </c>
      <c r="J301" s="29">
        <f>IFERROR(VLOOKUP(A301,[1]FALTANTES!$A:$AD,30,FALSE),"-")</f>
        <v>-2</v>
      </c>
      <c r="K301" s="30">
        <v>0</v>
      </c>
      <c r="L301" s="30">
        <f t="shared" si="5"/>
        <v>1</v>
      </c>
      <c r="M301" s="31">
        <f>SUMIFS(METALFISA!$E:$E,METALFISA!$A:$A,'Faltantes Fevereiro- Metalfisa'!M$3,METALFISA!$B:$B,'Faltantes Fevereiro- Metalfisa'!$A301)</f>
        <v>0</v>
      </c>
      <c r="N301" s="31">
        <f>SUMIFS(METALFISA!$E:$E,METALFISA!$A:$A,'Faltantes Fevereiro- Metalfisa'!N$3,METALFISA!$B:$B,'Faltantes Fevereiro- Metalfisa'!$A301)</f>
        <v>0</v>
      </c>
      <c r="O301" s="31">
        <f>SUMIFS(METALFISA!$E:$E,METALFISA!$A:$A,'Faltantes Fevereiro- Metalfisa'!O$3,METALFISA!$B:$B,'Faltantes Fevereiro- Metalfisa'!$A301)</f>
        <v>0</v>
      </c>
      <c r="P301" s="31">
        <f>SUMIFS(METALFISA!$E:$E,METALFISA!$A:$A,'Faltantes Fevereiro- Metalfisa'!P$3,METALFISA!$B:$B,'Faltantes Fevereiro- Metalfisa'!$A301)</f>
        <v>0</v>
      </c>
      <c r="Q301" s="31">
        <f>SUMIFS(METALFISA!$E:$E,METALFISA!$A:$A,'Faltantes Fevereiro- Metalfisa'!Q$3,METALFISA!$B:$B,'Faltantes Fevereiro- Metalfisa'!$A301)</f>
        <v>0</v>
      </c>
      <c r="R301" s="31">
        <f>SUMIFS(METALFISA!$E:$E,METALFISA!$A:$A,'Faltantes Fevereiro- Metalfisa'!R$3,METALFISA!$B:$B,'Faltantes Fevereiro- Metalfisa'!$A301)</f>
        <v>0</v>
      </c>
      <c r="S301" s="31">
        <f>SUMIFS(METALFISA!$E:$E,METALFISA!$A:$A,'Faltantes Fevereiro- Metalfisa'!S$3,METALFISA!$B:$B,'Faltantes Fevereiro- Metalfisa'!$A301)</f>
        <v>0</v>
      </c>
      <c r="T301" s="31">
        <f>SUMIFS(METALFISA!$E:$E,METALFISA!$A:$A,'Faltantes Fevereiro- Metalfisa'!T$3,METALFISA!$B:$B,'Faltantes Fevereiro- Metalfisa'!$A301)</f>
        <v>0</v>
      </c>
      <c r="U301" s="31">
        <f>SUMIFS(METALFISA!$E:$E,METALFISA!$A:$A,'Faltantes Fevereiro- Metalfisa'!U$3,METALFISA!$B:$B,'Faltantes Fevereiro- Metalfisa'!$A301)</f>
        <v>0</v>
      </c>
      <c r="V301" s="31">
        <f>SUMIFS(METALFISA!$E:$E,METALFISA!$A:$A,'Faltantes Fevereiro- Metalfisa'!V$3,METALFISA!$B:$B,'Faltantes Fevereiro- Metalfisa'!$A301)</f>
        <v>0</v>
      </c>
      <c r="W301" s="31">
        <f>SUMIFS(METALFISA!$E:$E,METALFISA!$A:$A,'Faltantes Fevereiro- Metalfisa'!W$3,METALFISA!$B:$B,'Faltantes Fevereiro- Metalfisa'!$A301)</f>
        <v>0</v>
      </c>
      <c r="X301" s="31">
        <f>SUMIFS(METALFISA!$E:$E,METALFISA!$A:$A,'Faltantes Fevereiro- Metalfisa'!X$3,METALFISA!$B:$B,'Faltantes Fevereiro- Metalfisa'!$A301)</f>
        <v>0</v>
      </c>
      <c r="Y301" s="31">
        <f>SUMIFS(METALFISA!$E:$E,METALFISA!$A:$A,'Faltantes Fevereiro- Metalfisa'!Y$3,METALFISA!$B:$B,'Faltantes Fevereiro- Metalfisa'!$A301)</f>
        <v>0</v>
      </c>
      <c r="Z301" s="31">
        <f>SUMIFS(METALFISA!$E:$E,METALFISA!$A:$A,'Faltantes Fevereiro- Metalfisa'!Z$3,METALFISA!$B:$B,'Faltantes Fevereiro- Metalfisa'!$A301)</f>
        <v>0</v>
      </c>
      <c r="AA301" s="31">
        <f>SUMIFS(METALFISA!$E:$E,METALFISA!$A:$A,'Faltantes Fevereiro- Metalfisa'!AA$3,METALFISA!$B:$B,'Faltantes Fevereiro- Metalfisa'!$A301)</f>
        <v>0</v>
      </c>
      <c r="AB301" s="31">
        <f>SUMIFS(METALFISA!$E:$E,METALFISA!$A:$A,'Faltantes Fevereiro- Metalfisa'!AB$3,METALFISA!$B:$B,'Faltantes Fevereiro- Metalfisa'!$A301)</f>
        <v>0</v>
      </c>
      <c r="AC301" s="31">
        <f>SUMIFS(METALFISA!$E:$E,METALFISA!$A:$A,'Faltantes Fevereiro- Metalfisa'!AC$3,METALFISA!$B:$B,'Faltantes Fevereiro- Metalfisa'!$A301)</f>
        <v>0</v>
      </c>
      <c r="AD301" s="31">
        <f>SUMIFS(METALFISA!$E:$E,METALFISA!$A:$A,'Faltantes Fevereiro- Metalfisa'!AD$3,METALFISA!$B:$B,'Faltantes Fevereiro- Metalfisa'!$A301)</f>
        <v>0</v>
      </c>
      <c r="AE301" s="31">
        <f>SUMIFS(METALFISA!$E:$E,METALFISA!$A:$A,'Faltantes Fevereiro- Metalfisa'!AE$3,METALFISA!$B:$B,'Faltantes Fevereiro- Metalfisa'!$A301)</f>
        <v>1</v>
      </c>
      <c r="AF301" s="31">
        <f>SUMIFS(METALFISA!$E:$E,METALFISA!$A:$A,'Faltantes Fevereiro- Metalfisa'!AF$3,METALFISA!$B:$B,'Faltantes Fevereiro- Metalfisa'!$A301)</f>
        <v>0</v>
      </c>
      <c r="AG301" s="31">
        <f>SUMIFS(METALFISA!$E:$E,METALFISA!$A:$A,'Faltantes Fevereiro- Metalfisa'!AG$3,METALFISA!$B:$B,'Faltantes Fevereiro- Metalfisa'!$A301)</f>
        <v>0</v>
      </c>
      <c r="AH301" s="31">
        <f>SUMIFS(METALFISA!$E:$E,METALFISA!$A:$A,'Faltantes Fevereiro- Metalfisa'!AH$3,METALFISA!$B:$B,'Faltantes Fevereiro- Metalfisa'!$A301)</f>
        <v>0</v>
      </c>
      <c r="AI301" s="31">
        <f>SUMIFS(METALFISA!$E:$E,METALFISA!$A:$A,'Faltantes Fevereiro- Metalfisa'!AI$3,METALFISA!$B:$B,'Faltantes Fevereiro- Metalfisa'!$A301)</f>
        <v>0</v>
      </c>
      <c r="AJ301" s="31">
        <f>SUMIFS(METALFISA!$E:$E,METALFISA!$A:$A,'Faltantes Fevereiro- Metalfisa'!AJ$3,METALFISA!$B:$B,'Faltantes Fevereiro- Metalfisa'!$A301)</f>
        <v>0</v>
      </c>
      <c r="AK301" s="31">
        <f>SUMIFS(METALFISA!$E:$E,METALFISA!$A:$A,'Faltantes Fevereiro- Metalfisa'!AK$3,METALFISA!$B:$B,'Faltantes Fevereiro- Metalfisa'!$A301)</f>
        <v>0</v>
      </c>
      <c r="AL301" s="31">
        <f>SUMIFS(METALFISA!$E:$E,METALFISA!$A:$A,'Faltantes Fevereiro- Metalfisa'!AL$3,METALFISA!$B:$B,'Faltantes Fevereiro- Metalfisa'!$A301)</f>
        <v>0</v>
      </c>
      <c r="AM301" s="31">
        <f>SUMIFS(METALFISA!$E:$E,METALFISA!$A:$A,'Faltantes Fevereiro- Metalfisa'!AM$3,METALFISA!$B:$B,'Faltantes Fevereiro- Metalfisa'!$A301)</f>
        <v>0</v>
      </c>
      <c r="AN301" s="31">
        <f>SUMIFS(METALFISA!$E:$E,METALFISA!$A:$A,'Faltantes Fevereiro- Metalfisa'!AN$3,METALFISA!$B:$B,'Faltantes Fevereiro- Metalfisa'!$A301)</f>
        <v>0</v>
      </c>
      <c r="AO301" s="31">
        <f>SUMIFS(METALFISA!$E:$E,METALFISA!$A:$A,'Faltantes Fevereiro- Metalfisa'!AO$3,METALFISA!$B:$B,'Faltantes Fevereiro- Metalfisa'!$A301)</f>
        <v>0</v>
      </c>
      <c r="AP301" s="31">
        <f>SUMIFS(METALFISA!$E:$E,METALFISA!$A:$A,'Faltantes Fevereiro- Metalfisa'!AP$3,METALFISA!$B:$B,'Faltantes Fevereiro- Metalfisa'!$A301)</f>
        <v>0</v>
      </c>
      <c r="AQ301" s="31"/>
      <c r="AR301" s="31">
        <f>SUMIFS(METALFISA!$E:$E,METALFISA!$A:$A,'Faltantes Fevereiro- Metalfisa'!AR$3,METALFISA!$B:$B,'Faltantes Fevereiro- Metalfisa'!$A301)</f>
        <v>0</v>
      </c>
      <c r="AS301" s="35">
        <f>SUMIFS(METALFISA!$E:$E,METALFISA!$A:$A,'Faltantes Fevereiro- Metalfisa'!AS$3,METALFISA!$B:$B,'Faltantes Fevereiro- Metalfisa'!$A301)</f>
        <v>0</v>
      </c>
      <c r="AU301" s="18">
        <v>0</v>
      </c>
      <c r="AV301" s="18">
        <v>0</v>
      </c>
      <c r="AW301" s="18">
        <v>0</v>
      </c>
      <c r="AX301" s="18">
        <v>0</v>
      </c>
      <c r="AY301" s="41">
        <v>0</v>
      </c>
      <c r="AZ301" s="31">
        <v>0</v>
      </c>
      <c r="BA301" s="31">
        <v>0</v>
      </c>
      <c r="BB301" s="31">
        <v>0</v>
      </c>
      <c r="BC301" s="31">
        <v>0</v>
      </c>
      <c r="BD301" s="31">
        <v>0</v>
      </c>
      <c r="BE301" s="31">
        <v>0</v>
      </c>
      <c r="BF301" s="31">
        <v>0</v>
      </c>
      <c r="BG301" s="31">
        <v>0</v>
      </c>
      <c r="BH301" s="31">
        <v>0</v>
      </c>
      <c r="BI301" s="31">
        <v>0</v>
      </c>
      <c r="BJ301" s="31">
        <v>0</v>
      </c>
      <c r="BK301" s="31">
        <v>0</v>
      </c>
      <c r="BL301" s="31">
        <v>0</v>
      </c>
      <c r="BM301" s="31">
        <v>0</v>
      </c>
      <c r="BN301" s="31">
        <v>0</v>
      </c>
      <c r="BO301" s="31">
        <v>1</v>
      </c>
      <c r="BP301" s="31">
        <v>0</v>
      </c>
      <c r="BQ301" s="31">
        <v>0</v>
      </c>
      <c r="BR301" s="31">
        <v>0</v>
      </c>
      <c r="BS301" s="31">
        <v>0</v>
      </c>
      <c r="BT301" s="31">
        <v>0</v>
      </c>
      <c r="BU301" s="31">
        <v>0</v>
      </c>
      <c r="BV301" s="31">
        <v>0</v>
      </c>
      <c r="BW301" s="31">
        <v>0</v>
      </c>
      <c r="BX301" s="31">
        <v>0</v>
      </c>
      <c r="BY301" s="31">
        <v>0</v>
      </c>
      <c r="BZ301" s="31">
        <v>0</v>
      </c>
      <c r="CA301" s="31">
        <v>0</v>
      </c>
      <c r="CB301" s="31">
        <v>0</v>
      </c>
      <c r="CC301" s="31">
        <v>0</v>
      </c>
      <c r="CD301" s="31">
        <v>0</v>
      </c>
      <c r="CE301" s="31">
        <v>0</v>
      </c>
      <c r="CF301" s="31">
        <v>0</v>
      </c>
      <c r="CG301" s="31">
        <v>0</v>
      </c>
      <c r="CH301" s="31">
        <v>0</v>
      </c>
      <c r="CI301" s="31">
        <v>0</v>
      </c>
      <c r="CJ301" s="31">
        <v>0</v>
      </c>
      <c r="CK301" s="31">
        <v>0</v>
      </c>
      <c r="CL301" s="35">
        <v>0</v>
      </c>
    </row>
    <row r="302" spans="1:90" ht="31.5" x14ac:dyDescent="0.15">
      <c r="A302" s="27" t="s">
        <v>1474</v>
      </c>
      <c r="B302" s="28" t="s">
        <v>1475</v>
      </c>
      <c r="C302" s="28">
        <v>0</v>
      </c>
      <c r="D302" s="28">
        <v>0</v>
      </c>
      <c r="E302" s="28">
        <v>0</v>
      </c>
      <c r="F302" s="28">
        <v>0</v>
      </c>
      <c r="G302" s="28">
        <v>4</v>
      </c>
      <c r="H302" s="28">
        <f>IFERROR(VLOOKUP(A302,[1]FALTANTES!$A:$AB,28,FALSE),"-")</f>
        <v>0</v>
      </c>
      <c r="I302" s="42">
        <f>IFERROR(VLOOKUP(A302,[1]FALTANTES!$A:$AC,29,FALSE),"-")</f>
        <v>2</v>
      </c>
      <c r="J302" s="29">
        <f>IFERROR(VLOOKUP(A302,[1]FALTANTES!$A:$AD,30,FALSE),"-")</f>
        <v>-2</v>
      </c>
      <c r="K302" s="30">
        <v>0</v>
      </c>
      <c r="L302" s="30">
        <f t="shared" si="5"/>
        <v>2</v>
      </c>
      <c r="M302" s="31">
        <f>SUMIFS(METALFISA!$E:$E,METALFISA!$A:$A,'Faltantes Fevereiro- Metalfisa'!M$3,METALFISA!$B:$B,'Faltantes Fevereiro- Metalfisa'!$A302)</f>
        <v>0</v>
      </c>
      <c r="N302" s="31">
        <f>SUMIFS(METALFISA!$E:$E,METALFISA!$A:$A,'Faltantes Fevereiro- Metalfisa'!N$3,METALFISA!$B:$B,'Faltantes Fevereiro- Metalfisa'!$A302)</f>
        <v>0</v>
      </c>
      <c r="O302" s="31">
        <f>SUMIFS(METALFISA!$E:$E,METALFISA!$A:$A,'Faltantes Fevereiro- Metalfisa'!O$3,METALFISA!$B:$B,'Faltantes Fevereiro- Metalfisa'!$A302)</f>
        <v>0</v>
      </c>
      <c r="P302" s="31">
        <f>SUMIFS(METALFISA!$E:$E,METALFISA!$A:$A,'Faltantes Fevereiro- Metalfisa'!P$3,METALFISA!$B:$B,'Faltantes Fevereiro- Metalfisa'!$A302)</f>
        <v>0</v>
      </c>
      <c r="Q302" s="31">
        <f>SUMIFS(METALFISA!$E:$E,METALFISA!$A:$A,'Faltantes Fevereiro- Metalfisa'!Q$3,METALFISA!$B:$B,'Faltantes Fevereiro- Metalfisa'!$A302)</f>
        <v>0</v>
      </c>
      <c r="R302" s="31">
        <f>SUMIFS(METALFISA!$E:$E,METALFISA!$A:$A,'Faltantes Fevereiro- Metalfisa'!R$3,METALFISA!$B:$B,'Faltantes Fevereiro- Metalfisa'!$A302)</f>
        <v>0</v>
      </c>
      <c r="S302" s="31">
        <f>SUMIFS(METALFISA!$E:$E,METALFISA!$A:$A,'Faltantes Fevereiro- Metalfisa'!S$3,METALFISA!$B:$B,'Faltantes Fevereiro- Metalfisa'!$A302)</f>
        <v>0</v>
      </c>
      <c r="T302" s="31">
        <f>SUMIFS(METALFISA!$E:$E,METALFISA!$A:$A,'Faltantes Fevereiro- Metalfisa'!T$3,METALFISA!$B:$B,'Faltantes Fevereiro- Metalfisa'!$A302)</f>
        <v>0</v>
      </c>
      <c r="U302" s="31">
        <f>SUMIFS(METALFISA!$E:$E,METALFISA!$A:$A,'Faltantes Fevereiro- Metalfisa'!U$3,METALFISA!$B:$B,'Faltantes Fevereiro- Metalfisa'!$A302)</f>
        <v>0</v>
      </c>
      <c r="V302" s="31">
        <f>SUMIFS(METALFISA!$E:$E,METALFISA!$A:$A,'Faltantes Fevereiro- Metalfisa'!V$3,METALFISA!$B:$B,'Faltantes Fevereiro- Metalfisa'!$A302)</f>
        <v>0</v>
      </c>
      <c r="W302" s="31">
        <f>SUMIFS(METALFISA!$E:$E,METALFISA!$A:$A,'Faltantes Fevereiro- Metalfisa'!W$3,METALFISA!$B:$B,'Faltantes Fevereiro- Metalfisa'!$A302)</f>
        <v>0</v>
      </c>
      <c r="X302" s="31">
        <f>SUMIFS(METALFISA!$E:$E,METALFISA!$A:$A,'Faltantes Fevereiro- Metalfisa'!X$3,METALFISA!$B:$B,'Faltantes Fevereiro- Metalfisa'!$A302)</f>
        <v>0</v>
      </c>
      <c r="Y302" s="31">
        <f>SUMIFS(METALFISA!$E:$E,METALFISA!$A:$A,'Faltantes Fevereiro- Metalfisa'!Y$3,METALFISA!$B:$B,'Faltantes Fevereiro- Metalfisa'!$A302)</f>
        <v>0</v>
      </c>
      <c r="Z302" s="31">
        <f>SUMIFS(METALFISA!$E:$E,METALFISA!$A:$A,'Faltantes Fevereiro- Metalfisa'!Z$3,METALFISA!$B:$B,'Faltantes Fevereiro- Metalfisa'!$A302)</f>
        <v>0</v>
      </c>
      <c r="AA302" s="31">
        <f>SUMIFS(METALFISA!$E:$E,METALFISA!$A:$A,'Faltantes Fevereiro- Metalfisa'!AA$3,METALFISA!$B:$B,'Faltantes Fevereiro- Metalfisa'!$A302)</f>
        <v>0</v>
      </c>
      <c r="AB302" s="31">
        <f>SUMIFS(METALFISA!$E:$E,METALFISA!$A:$A,'Faltantes Fevereiro- Metalfisa'!AB$3,METALFISA!$B:$B,'Faltantes Fevereiro- Metalfisa'!$A302)</f>
        <v>0</v>
      </c>
      <c r="AC302" s="31">
        <f>SUMIFS(METALFISA!$E:$E,METALFISA!$A:$A,'Faltantes Fevereiro- Metalfisa'!AC$3,METALFISA!$B:$B,'Faltantes Fevereiro- Metalfisa'!$A302)</f>
        <v>0</v>
      </c>
      <c r="AD302" s="31">
        <f>SUMIFS(METALFISA!$E:$E,METALFISA!$A:$A,'Faltantes Fevereiro- Metalfisa'!AD$3,METALFISA!$B:$B,'Faltantes Fevereiro- Metalfisa'!$A302)</f>
        <v>0</v>
      </c>
      <c r="AE302" s="31">
        <f>SUMIFS(METALFISA!$E:$E,METALFISA!$A:$A,'Faltantes Fevereiro- Metalfisa'!AE$3,METALFISA!$B:$B,'Faltantes Fevereiro- Metalfisa'!$A302)</f>
        <v>2</v>
      </c>
      <c r="AF302" s="31">
        <f>SUMIFS(METALFISA!$E:$E,METALFISA!$A:$A,'Faltantes Fevereiro- Metalfisa'!AF$3,METALFISA!$B:$B,'Faltantes Fevereiro- Metalfisa'!$A302)</f>
        <v>0</v>
      </c>
      <c r="AG302" s="31">
        <f>SUMIFS(METALFISA!$E:$E,METALFISA!$A:$A,'Faltantes Fevereiro- Metalfisa'!AG$3,METALFISA!$B:$B,'Faltantes Fevereiro- Metalfisa'!$A302)</f>
        <v>0</v>
      </c>
      <c r="AH302" s="31">
        <f>SUMIFS(METALFISA!$E:$E,METALFISA!$A:$A,'Faltantes Fevereiro- Metalfisa'!AH$3,METALFISA!$B:$B,'Faltantes Fevereiro- Metalfisa'!$A302)</f>
        <v>0</v>
      </c>
      <c r="AI302" s="31">
        <f>SUMIFS(METALFISA!$E:$E,METALFISA!$A:$A,'Faltantes Fevereiro- Metalfisa'!AI$3,METALFISA!$B:$B,'Faltantes Fevereiro- Metalfisa'!$A302)</f>
        <v>0</v>
      </c>
      <c r="AJ302" s="31">
        <f>SUMIFS(METALFISA!$E:$E,METALFISA!$A:$A,'Faltantes Fevereiro- Metalfisa'!AJ$3,METALFISA!$B:$B,'Faltantes Fevereiro- Metalfisa'!$A302)</f>
        <v>0</v>
      </c>
      <c r="AK302" s="31">
        <f>SUMIFS(METALFISA!$E:$E,METALFISA!$A:$A,'Faltantes Fevereiro- Metalfisa'!AK$3,METALFISA!$B:$B,'Faltantes Fevereiro- Metalfisa'!$A302)</f>
        <v>0</v>
      </c>
      <c r="AL302" s="31">
        <f>SUMIFS(METALFISA!$E:$E,METALFISA!$A:$A,'Faltantes Fevereiro- Metalfisa'!AL$3,METALFISA!$B:$B,'Faltantes Fevereiro- Metalfisa'!$A302)</f>
        <v>0</v>
      </c>
      <c r="AM302" s="31">
        <f>SUMIFS(METALFISA!$E:$E,METALFISA!$A:$A,'Faltantes Fevereiro- Metalfisa'!AM$3,METALFISA!$B:$B,'Faltantes Fevereiro- Metalfisa'!$A302)</f>
        <v>0</v>
      </c>
      <c r="AN302" s="31">
        <f>SUMIFS(METALFISA!$E:$E,METALFISA!$A:$A,'Faltantes Fevereiro- Metalfisa'!AN$3,METALFISA!$B:$B,'Faltantes Fevereiro- Metalfisa'!$A302)</f>
        <v>0</v>
      </c>
      <c r="AO302" s="31">
        <f>SUMIFS(METALFISA!$E:$E,METALFISA!$A:$A,'Faltantes Fevereiro- Metalfisa'!AO$3,METALFISA!$B:$B,'Faltantes Fevereiro- Metalfisa'!$A302)</f>
        <v>0</v>
      </c>
      <c r="AP302" s="31">
        <f>SUMIFS(METALFISA!$E:$E,METALFISA!$A:$A,'Faltantes Fevereiro- Metalfisa'!AP$3,METALFISA!$B:$B,'Faltantes Fevereiro- Metalfisa'!$A302)</f>
        <v>0</v>
      </c>
      <c r="AQ302" s="31"/>
      <c r="AR302" s="31">
        <f>SUMIFS(METALFISA!$E:$E,METALFISA!$A:$A,'Faltantes Fevereiro- Metalfisa'!AR$3,METALFISA!$B:$B,'Faltantes Fevereiro- Metalfisa'!$A302)</f>
        <v>0</v>
      </c>
      <c r="AS302" s="35">
        <f>SUMIFS(METALFISA!$E:$E,METALFISA!$A:$A,'Faltantes Fevereiro- Metalfisa'!AS$3,METALFISA!$B:$B,'Faltantes Fevereiro- Metalfisa'!$A302)</f>
        <v>0</v>
      </c>
      <c r="AU302" s="18">
        <v>0</v>
      </c>
      <c r="AV302" s="18">
        <v>0</v>
      </c>
      <c r="AW302" s="18">
        <v>0</v>
      </c>
      <c r="AX302" s="18">
        <v>0</v>
      </c>
      <c r="AY302" s="41">
        <v>0</v>
      </c>
      <c r="AZ302" s="31">
        <v>0</v>
      </c>
      <c r="BA302" s="31">
        <v>0</v>
      </c>
      <c r="BB302" s="31">
        <v>0</v>
      </c>
      <c r="BC302" s="31">
        <v>0</v>
      </c>
      <c r="BD302" s="31">
        <v>0</v>
      </c>
      <c r="BE302" s="31">
        <v>0</v>
      </c>
      <c r="BF302" s="31">
        <v>0</v>
      </c>
      <c r="BG302" s="31">
        <v>0</v>
      </c>
      <c r="BH302" s="31">
        <v>0</v>
      </c>
      <c r="BI302" s="31">
        <v>0</v>
      </c>
      <c r="BJ302" s="31">
        <v>0</v>
      </c>
      <c r="BK302" s="31">
        <v>0</v>
      </c>
      <c r="BL302" s="31">
        <v>0</v>
      </c>
      <c r="BM302" s="31">
        <v>0</v>
      </c>
      <c r="BN302" s="31">
        <v>0</v>
      </c>
      <c r="BO302" s="31">
        <v>1</v>
      </c>
      <c r="BP302" s="31">
        <v>0</v>
      </c>
      <c r="BQ302" s="31">
        <v>0</v>
      </c>
      <c r="BR302" s="31">
        <v>0</v>
      </c>
      <c r="BS302" s="31">
        <v>0</v>
      </c>
      <c r="BT302" s="31">
        <v>0</v>
      </c>
      <c r="BU302" s="31">
        <v>0</v>
      </c>
      <c r="BV302" s="31">
        <v>0</v>
      </c>
      <c r="BW302" s="31">
        <v>0</v>
      </c>
      <c r="BX302" s="31">
        <v>0</v>
      </c>
      <c r="BY302" s="31">
        <v>0</v>
      </c>
      <c r="BZ302" s="31">
        <v>0</v>
      </c>
      <c r="CA302" s="31">
        <v>0</v>
      </c>
      <c r="CB302" s="31">
        <v>0</v>
      </c>
      <c r="CC302" s="31">
        <v>0</v>
      </c>
      <c r="CD302" s="31">
        <v>0</v>
      </c>
      <c r="CE302" s="31">
        <v>0</v>
      </c>
      <c r="CF302" s="31">
        <v>0</v>
      </c>
      <c r="CG302" s="31">
        <v>0</v>
      </c>
      <c r="CH302" s="31">
        <v>0</v>
      </c>
      <c r="CI302" s="31">
        <v>0</v>
      </c>
      <c r="CJ302" s="31">
        <v>0</v>
      </c>
      <c r="CK302" s="31">
        <v>0</v>
      </c>
      <c r="CL302" s="35">
        <v>0</v>
      </c>
    </row>
    <row r="303" spans="1:90" ht="31.5" x14ac:dyDescent="0.15">
      <c r="A303" s="27" t="s">
        <v>1478</v>
      </c>
      <c r="B303" s="28" t="s">
        <v>1479</v>
      </c>
      <c r="C303" s="28">
        <v>0</v>
      </c>
      <c r="D303" s="28">
        <v>0</v>
      </c>
      <c r="E303" s="28">
        <v>0</v>
      </c>
      <c r="F303" s="28">
        <v>0</v>
      </c>
      <c r="G303" s="28">
        <v>4</v>
      </c>
      <c r="H303" s="28">
        <f>IFERROR(VLOOKUP(A303,[1]FALTANTES!$A:$AB,28,FALSE),"-")</f>
        <v>0</v>
      </c>
      <c r="I303" s="42">
        <f>IFERROR(VLOOKUP(A303,[1]FALTANTES!$A:$AC,29,FALSE),"-")</f>
        <v>2</v>
      </c>
      <c r="J303" s="29">
        <f>IFERROR(VLOOKUP(A303,[1]FALTANTES!$A:$AD,30,FALSE),"-")</f>
        <v>-2</v>
      </c>
      <c r="K303" s="30">
        <v>0</v>
      </c>
      <c r="L303" s="30">
        <f t="shared" si="5"/>
        <v>2</v>
      </c>
      <c r="M303" s="31">
        <f>SUMIFS(METALFISA!$E:$E,METALFISA!$A:$A,'Faltantes Fevereiro- Metalfisa'!M$3,METALFISA!$B:$B,'Faltantes Fevereiro- Metalfisa'!$A303)</f>
        <v>0</v>
      </c>
      <c r="N303" s="31">
        <f>SUMIFS(METALFISA!$E:$E,METALFISA!$A:$A,'Faltantes Fevereiro- Metalfisa'!N$3,METALFISA!$B:$B,'Faltantes Fevereiro- Metalfisa'!$A303)</f>
        <v>0</v>
      </c>
      <c r="O303" s="31">
        <f>SUMIFS(METALFISA!$E:$E,METALFISA!$A:$A,'Faltantes Fevereiro- Metalfisa'!O$3,METALFISA!$B:$B,'Faltantes Fevereiro- Metalfisa'!$A303)</f>
        <v>0</v>
      </c>
      <c r="P303" s="31">
        <f>SUMIFS(METALFISA!$E:$E,METALFISA!$A:$A,'Faltantes Fevereiro- Metalfisa'!P$3,METALFISA!$B:$B,'Faltantes Fevereiro- Metalfisa'!$A303)</f>
        <v>0</v>
      </c>
      <c r="Q303" s="31">
        <f>SUMIFS(METALFISA!$E:$E,METALFISA!$A:$A,'Faltantes Fevereiro- Metalfisa'!Q$3,METALFISA!$B:$B,'Faltantes Fevereiro- Metalfisa'!$A303)</f>
        <v>0</v>
      </c>
      <c r="R303" s="31">
        <f>SUMIFS(METALFISA!$E:$E,METALFISA!$A:$A,'Faltantes Fevereiro- Metalfisa'!R$3,METALFISA!$B:$B,'Faltantes Fevereiro- Metalfisa'!$A303)</f>
        <v>0</v>
      </c>
      <c r="S303" s="31">
        <f>SUMIFS(METALFISA!$E:$E,METALFISA!$A:$A,'Faltantes Fevereiro- Metalfisa'!S$3,METALFISA!$B:$B,'Faltantes Fevereiro- Metalfisa'!$A303)</f>
        <v>0</v>
      </c>
      <c r="T303" s="31">
        <f>SUMIFS(METALFISA!$E:$E,METALFISA!$A:$A,'Faltantes Fevereiro- Metalfisa'!T$3,METALFISA!$B:$B,'Faltantes Fevereiro- Metalfisa'!$A303)</f>
        <v>0</v>
      </c>
      <c r="U303" s="31">
        <f>SUMIFS(METALFISA!$E:$E,METALFISA!$A:$A,'Faltantes Fevereiro- Metalfisa'!U$3,METALFISA!$B:$B,'Faltantes Fevereiro- Metalfisa'!$A303)</f>
        <v>0</v>
      </c>
      <c r="V303" s="31">
        <f>SUMIFS(METALFISA!$E:$E,METALFISA!$A:$A,'Faltantes Fevereiro- Metalfisa'!V$3,METALFISA!$B:$B,'Faltantes Fevereiro- Metalfisa'!$A303)</f>
        <v>0</v>
      </c>
      <c r="W303" s="31">
        <f>SUMIFS(METALFISA!$E:$E,METALFISA!$A:$A,'Faltantes Fevereiro- Metalfisa'!W$3,METALFISA!$B:$B,'Faltantes Fevereiro- Metalfisa'!$A303)</f>
        <v>0</v>
      </c>
      <c r="X303" s="31">
        <f>SUMIFS(METALFISA!$E:$E,METALFISA!$A:$A,'Faltantes Fevereiro- Metalfisa'!X$3,METALFISA!$B:$B,'Faltantes Fevereiro- Metalfisa'!$A303)</f>
        <v>0</v>
      </c>
      <c r="Y303" s="31">
        <f>SUMIFS(METALFISA!$E:$E,METALFISA!$A:$A,'Faltantes Fevereiro- Metalfisa'!Y$3,METALFISA!$B:$B,'Faltantes Fevereiro- Metalfisa'!$A303)</f>
        <v>0</v>
      </c>
      <c r="Z303" s="31">
        <f>SUMIFS(METALFISA!$E:$E,METALFISA!$A:$A,'Faltantes Fevereiro- Metalfisa'!Z$3,METALFISA!$B:$B,'Faltantes Fevereiro- Metalfisa'!$A303)</f>
        <v>0</v>
      </c>
      <c r="AA303" s="31">
        <f>SUMIFS(METALFISA!$E:$E,METALFISA!$A:$A,'Faltantes Fevereiro- Metalfisa'!AA$3,METALFISA!$B:$B,'Faltantes Fevereiro- Metalfisa'!$A303)</f>
        <v>0</v>
      </c>
      <c r="AB303" s="31">
        <f>SUMIFS(METALFISA!$E:$E,METALFISA!$A:$A,'Faltantes Fevereiro- Metalfisa'!AB$3,METALFISA!$B:$B,'Faltantes Fevereiro- Metalfisa'!$A303)</f>
        <v>0</v>
      </c>
      <c r="AC303" s="31">
        <f>SUMIFS(METALFISA!$E:$E,METALFISA!$A:$A,'Faltantes Fevereiro- Metalfisa'!AC$3,METALFISA!$B:$B,'Faltantes Fevereiro- Metalfisa'!$A303)</f>
        <v>0</v>
      </c>
      <c r="AD303" s="31">
        <f>SUMIFS(METALFISA!$E:$E,METALFISA!$A:$A,'Faltantes Fevereiro- Metalfisa'!AD$3,METALFISA!$B:$B,'Faltantes Fevereiro- Metalfisa'!$A303)</f>
        <v>0</v>
      </c>
      <c r="AE303" s="31">
        <f>SUMIFS(METALFISA!$E:$E,METALFISA!$A:$A,'Faltantes Fevereiro- Metalfisa'!AE$3,METALFISA!$B:$B,'Faltantes Fevereiro- Metalfisa'!$A303)</f>
        <v>2</v>
      </c>
      <c r="AF303" s="31">
        <f>SUMIFS(METALFISA!$E:$E,METALFISA!$A:$A,'Faltantes Fevereiro- Metalfisa'!AF$3,METALFISA!$B:$B,'Faltantes Fevereiro- Metalfisa'!$A303)</f>
        <v>0</v>
      </c>
      <c r="AG303" s="31">
        <f>SUMIFS(METALFISA!$E:$E,METALFISA!$A:$A,'Faltantes Fevereiro- Metalfisa'!AG$3,METALFISA!$B:$B,'Faltantes Fevereiro- Metalfisa'!$A303)</f>
        <v>0</v>
      </c>
      <c r="AH303" s="31">
        <f>SUMIFS(METALFISA!$E:$E,METALFISA!$A:$A,'Faltantes Fevereiro- Metalfisa'!AH$3,METALFISA!$B:$B,'Faltantes Fevereiro- Metalfisa'!$A303)</f>
        <v>0</v>
      </c>
      <c r="AI303" s="31">
        <f>SUMIFS(METALFISA!$E:$E,METALFISA!$A:$A,'Faltantes Fevereiro- Metalfisa'!AI$3,METALFISA!$B:$B,'Faltantes Fevereiro- Metalfisa'!$A303)</f>
        <v>0</v>
      </c>
      <c r="AJ303" s="31">
        <f>SUMIFS(METALFISA!$E:$E,METALFISA!$A:$A,'Faltantes Fevereiro- Metalfisa'!AJ$3,METALFISA!$B:$B,'Faltantes Fevereiro- Metalfisa'!$A303)</f>
        <v>0</v>
      </c>
      <c r="AK303" s="31">
        <f>SUMIFS(METALFISA!$E:$E,METALFISA!$A:$A,'Faltantes Fevereiro- Metalfisa'!AK$3,METALFISA!$B:$B,'Faltantes Fevereiro- Metalfisa'!$A303)</f>
        <v>0</v>
      </c>
      <c r="AL303" s="31">
        <f>SUMIFS(METALFISA!$E:$E,METALFISA!$A:$A,'Faltantes Fevereiro- Metalfisa'!AL$3,METALFISA!$B:$B,'Faltantes Fevereiro- Metalfisa'!$A303)</f>
        <v>0</v>
      </c>
      <c r="AM303" s="31">
        <f>SUMIFS(METALFISA!$E:$E,METALFISA!$A:$A,'Faltantes Fevereiro- Metalfisa'!AM$3,METALFISA!$B:$B,'Faltantes Fevereiro- Metalfisa'!$A303)</f>
        <v>0</v>
      </c>
      <c r="AN303" s="31">
        <f>SUMIFS(METALFISA!$E:$E,METALFISA!$A:$A,'Faltantes Fevereiro- Metalfisa'!AN$3,METALFISA!$B:$B,'Faltantes Fevereiro- Metalfisa'!$A303)</f>
        <v>0</v>
      </c>
      <c r="AO303" s="31">
        <f>SUMIFS(METALFISA!$E:$E,METALFISA!$A:$A,'Faltantes Fevereiro- Metalfisa'!AO$3,METALFISA!$B:$B,'Faltantes Fevereiro- Metalfisa'!$A303)</f>
        <v>0</v>
      </c>
      <c r="AP303" s="31">
        <f>SUMIFS(METALFISA!$E:$E,METALFISA!$A:$A,'Faltantes Fevereiro- Metalfisa'!AP$3,METALFISA!$B:$B,'Faltantes Fevereiro- Metalfisa'!$A303)</f>
        <v>0</v>
      </c>
      <c r="AQ303" s="31"/>
      <c r="AR303" s="31">
        <f>SUMIFS(METALFISA!$E:$E,METALFISA!$A:$A,'Faltantes Fevereiro- Metalfisa'!AR$3,METALFISA!$B:$B,'Faltantes Fevereiro- Metalfisa'!$A303)</f>
        <v>0</v>
      </c>
      <c r="AS303" s="35">
        <f>SUMIFS(METALFISA!$E:$E,METALFISA!$A:$A,'Faltantes Fevereiro- Metalfisa'!AS$3,METALFISA!$B:$B,'Faltantes Fevereiro- Metalfisa'!$A303)</f>
        <v>0</v>
      </c>
      <c r="AU303" s="18">
        <v>0</v>
      </c>
      <c r="AV303" s="18">
        <v>0</v>
      </c>
      <c r="AW303" s="18">
        <v>0</v>
      </c>
      <c r="AX303" s="18">
        <v>0</v>
      </c>
      <c r="AY303" s="41">
        <v>0</v>
      </c>
      <c r="AZ303" s="31">
        <v>0</v>
      </c>
      <c r="BA303" s="31">
        <v>0</v>
      </c>
      <c r="BB303" s="31">
        <v>0</v>
      </c>
      <c r="BC303" s="31">
        <v>0</v>
      </c>
      <c r="BD303" s="31">
        <v>0</v>
      </c>
      <c r="BE303" s="31">
        <v>0</v>
      </c>
      <c r="BF303" s="31">
        <v>0</v>
      </c>
      <c r="BG303" s="31">
        <v>0</v>
      </c>
      <c r="BH303" s="31">
        <v>0</v>
      </c>
      <c r="BI303" s="31">
        <v>0</v>
      </c>
      <c r="BJ303" s="31">
        <v>0</v>
      </c>
      <c r="BK303" s="31">
        <v>0</v>
      </c>
      <c r="BL303" s="31">
        <v>0</v>
      </c>
      <c r="BM303" s="31">
        <v>0</v>
      </c>
      <c r="BN303" s="31">
        <v>0</v>
      </c>
      <c r="BO303" s="31">
        <v>1</v>
      </c>
      <c r="BP303" s="31">
        <v>0</v>
      </c>
      <c r="BQ303" s="31">
        <v>0</v>
      </c>
      <c r="BR303" s="31">
        <v>0</v>
      </c>
      <c r="BS303" s="31">
        <v>0</v>
      </c>
      <c r="BT303" s="31">
        <v>0</v>
      </c>
      <c r="BU303" s="31">
        <v>0</v>
      </c>
      <c r="BV303" s="31">
        <v>0</v>
      </c>
      <c r="BW303" s="31">
        <v>0</v>
      </c>
      <c r="BX303" s="31">
        <v>0</v>
      </c>
      <c r="BY303" s="31">
        <v>0</v>
      </c>
      <c r="BZ303" s="31">
        <v>0</v>
      </c>
      <c r="CA303" s="31">
        <v>0</v>
      </c>
      <c r="CB303" s="31">
        <v>0</v>
      </c>
      <c r="CC303" s="31">
        <v>0</v>
      </c>
      <c r="CD303" s="31">
        <v>0</v>
      </c>
      <c r="CE303" s="31">
        <v>0</v>
      </c>
      <c r="CF303" s="31">
        <v>0</v>
      </c>
      <c r="CG303" s="31">
        <v>0</v>
      </c>
      <c r="CH303" s="31">
        <v>0</v>
      </c>
      <c r="CI303" s="31">
        <v>0</v>
      </c>
      <c r="CJ303" s="31">
        <v>0</v>
      </c>
      <c r="CK303" s="31">
        <v>0</v>
      </c>
      <c r="CL303" s="35">
        <v>0</v>
      </c>
    </row>
    <row r="304" spans="1:90" ht="21" x14ac:dyDescent="0.15">
      <c r="A304" s="27" t="s">
        <v>1486</v>
      </c>
      <c r="B304" s="28" t="s">
        <v>1487</v>
      </c>
      <c r="C304" s="28">
        <v>0</v>
      </c>
      <c r="D304" s="28">
        <v>0</v>
      </c>
      <c r="E304" s="28">
        <v>0</v>
      </c>
      <c r="F304" s="28">
        <v>0</v>
      </c>
      <c r="G304" s="28">
        <v>6</v>
      </c>
      <c r="H304" s="28">
        <f>IFERROR(VLOOKUP(A304,[1]FALTANTES!$A:$AB,28,FALSE),"-")</f>
        <v>0</v>
      </c>
      <c r="I304" s="42">
        <f>IFERROR(VLOOKUP(A304,[1]FALTANTES!$A:$AC,29,FALSE),"-")</f>
        <v>2</v>
      </c>
      <c r="J304" s="29">
        <f>IFERROR(VLOOKUP(A304,[1]FALTANTES!$A:$AD,30,FALSE),"-")</f>
        <v>-4</v>
      </c>
      <c r="K304" s="30"/>
      <c r="L304" s="30">
        <f t="shared" si="5"/>
        <v>2</v>
      </c>
      <c r="M304" s="31">
        <f>SUMIFS(METALFISA!$E:$E,METALFISA!$A:$A,'Faltantes Fevereiro- Metalfisa'!M$3,METALFISA!$B:$B,'Faltantes Fevereiro- Metalfisa'!$A304)</f>
        <v>0</v>
      </c>
      <c r="N304" s="31">
        <f>SUMIFS(METALFISA!$E:$E,METALFISA!$A:$A,'Faltantes Fevereiro- Metalfisa'!N$3,METALFISA!$B:$B,'Faltantes Fevereiro- Metalfisa'!$A304)</f>
        <v>0</v>
      </c>
      <c r="O304" s="31">
        <f>SUMIFS(METALFISA!$E:$E,METALFISA!$A:$A,'Faltantes Fevereiro- Metalfisa'!O$3,METALFISA!$B:$B,'Faltantes Fevereiro- Metalfisa'!$A304)</f>
        <v>0</v>
      </c>
      <c r="P304" s="31">
        <f>SUMIFS(METALFISA!$E:$E,METALFISA!$A:$A,'Faltantes Fevereiro- Metalfisa'!P$3,METALFISA!$B:$B,'Faltantes Fevereiro- Metalfisa'!$A304)</f>
        <v>0</v>
      </c>
      <c r="Q304" s="31">
        <f>SUMIFS(METALFISA!$E:$E,METALFISA!$A:$A,'Faltantes Fevereiro- Metalfisa'!Q$3,METALFISA!$B:$B,'Faltantes Fevereiro- Metalfisa'!$A304)</f>
        <v>0</v>
      </c>
      <c r="R304" s="31">
        <f>SUMIFS(METALFISA!$E:$E,METALFISA!$A:$A,'Faltantes Fevereiro- Metalfisa'!R$3,METALFISA!$B:$B,'Faltantes Fevereiro- Metalfisa'!$A304)</f>
        <v>0</v>
      </c>
      <c r="S304" s="31">
        <f>SUMIFS(METALFISA!$E:$E,METALFISA!$A:$A,'Faltantes Fevereiro- Metalfisa'!S$3,METALFISA!$B:$B,'Faltantes Fevereiro- Metalfisa'!$A304)</f>
        <v>0</v>
      </c>
      <c r="T304" s="31">
        <f>SUMIFS(METALFISA!$E:$E,METALFISA!$A:$A,'Faltantes Fevereiro- Metalfisa'!T$3,METALFISA!$B:$B,'Faltantes Fevereiro- Metalfisa'!$A304)</f>
        <v>0</v>
      </c>
      <c r="U304" s="31">
        <f>SUMIFS(METALFISA!$E:$E,METALFISA!$A:$A,'Faltantes Fevereiro- Metalfisa'!U$3,METALFISA!$B:$B,'Faltantes Fevereiro- Metalfisa'!$A304)</f>
        <v>0</v>
      </c>
      <c r="V304" s="31">
        <f>SUMIFS(METALFISA!$E:$E,METALFISA!$A:$A,'Faltantes Fevereiro- Metalfisa'!V$3,METALFISA!$B:$B,'Faltantes Fevereiro- Metalfisa'!$A304)</f>
        <v>0</v>
      </c>
      <c r="W304" s="31">
        <f>SUMIFS(METALFISA!$E:$E,METALFISA!$A:$A,'Faltantes Fevereiro- Metalfisa'!W$3,METALFISA!$B:$B,'Faltantes Fevereiro- Metalfisa'!$A304)</f>
        <v>0</v>
      </c>
      <c r="X304" s="31">
        <f>SUMIFS(METALFISA!$E:$E,METALFISA!$A:$A,'Faltantes Fevereiro- Metalfisa'!X$3,METALFISA!$B:$B,'Faltantes Fevereiro- Metalfisa'!$A304)</f>
        <v>0</v>
      </c>
      <c r="Y304" s="31">
        <f>SUMIFS(METALFISA!$E:$E,METALFISA!$A:$A,'Faltantes Fevereiro- Metalfisa'!Y$3,METALFISA!$B:$B,'Faltantes Fevereiro- Metalfisa'!$A304)</f>
        <v>0</v>
      </c>
      <c r="Z304" s="31">
        <f>SUMIFS(METALFISA!$E:$E,METALFISA!$A:$A,'Faltantes Fevereiro- Metalfisa'!Z$3,METALFISA!$B:$B,'Faltantes Fevereiro- Metalfisa'!$A304)</f>
        <v>0</v>
      </c>
      <c r="AA304" s="31">
        <f>SUMIFS(METALFISA!$E:$E,METALFISA!$A:$A,'Faltantes Fevereiro- Metalfisa'!AA$3,METALFISA!$B:$B,'Faltantes Fevereiro- Metalfisa'!$A304)</f>
        <v>0</v>
      </c>
      <c r="AB304" s="31">
        <f>SUMIFS(METALFISA!$E:$E,METALFISA!$A:$A,'Faltantes Fevereiro- Metalfisa'!AB$3,METALFISA!$B:$B,'Faltantes Fevereiro- Metalfisa'!$A304)</f>
        <v>0</v>
      </c>
      <c r="AC304" s="31">
        <f>SUMIFS(METALFISA!$E:$E,METALFISA!$A:$A,'Faltantes Fevereiro- Metalfisa'!AC$3,METALFISA!$B:$B,'Faltantes Fevereiro- Metalfisa'!$A304)</f>
        <v>0</v>
      </c>
      <c r="AD304" s="31">
        <f>SUMIFS(METALFISA!$E:$E,METALFISA!$A:$A,'Faltantes Fevereiro- Metalfisa'!AD$3,METALFISA!$B:$B,'Faltantes Fevereiro- Metalfisa'!$A304)</f>
        <v>0</v>
      </c>
      <c r="AE304" s="31">
        <f>SUMIFS(METALFISA!$E:$E,METALFISA!$A:$A,'Faltantes Fevereiro- Metalfisa'!AE$3,METALFISA!$B:$B,'Faltantes Fevereiro- Metalfisa'!$A304)</f>
        <v>2</v>
      </c>
      <c r="AF304" s="31">
        <f>SUMIFS(METALFISA!$E:$E,METALFISA!$A:$A,'Faltantes Fevereiro- Metalfisa'!AF$3,METALFISA!$B:$B,'Faltantes Fevereiro- Metalfisa'!$A304)</f>
        <v>0</v>
      </c>
      <c r="AG304" s="31">
        <f>SUMIFS(METALFISA!$E:$E,METALFISA!$A:$A,'Faltantes Fevereiro- Metalfisa'!AG$3,METALFISA!$B:$B,'Faltantes Fevereiro- Metalfisa'!$A304)</f>
        <v>0</v>
      </c>
      <c r="AH304" s="31">
        <f>SUMIFS(METALFISA!$E:$E,METALFISA!$A:$A,'Faltantes Fevereiro- Metalfisa'!AH$3,METALFISA!$B:$B,'Faltantes Fevereiro- Metalfisa'!$A304)</f>
        <v>0</v>
      </c>
      <c r="AI304" s="31">
        <f>SUMIFS(METALFISA!$E:$E,METALFISA!$A:$A,'Faltantes Fevereiro- Metalfisa'!AI$3,METALFISA!$B:$B,'Faltantes Fevereiro- Metalfisa'!$A304)</f>
        <v>0</v>
      </c>
      <c r="AJ304" s="31">
        <f>SUMIFS(METALFISA!$E:$E,METALFISA!$A:$A,'Faltantes Fevereiro- Metalfisa'!AJ$3,METALFISA!$B:$B,'Faltantes Fevereiro- Metalfisa'!$A304)</f>
        <v>0</v>
      </c>
      <c r="AK304" s="31">
        <f>SUMIFS(METALFISA!$E:$E,METALFISA!$A:$A,'Faltantes Fevereiro- Metalfisa'!AK$3,METALFISA!$B:$B,'Faltantes Fevereiro- Metalfisa'!$A304)</f>
        <v>0</v>
      </c>
      <c r="AL304" s="31">
        <f>SUMIFS(METALFISA!$E:$E,METALFISA!$A:$A,'Faltantes Fevereiro- Metalfisa'!AL$3,METALFISA!$B:$B,'Faltantes Fevereiro- Metalfisa'!$A304)</f>
        <v>0</v>
      </c>
      <c r="AM304" s="31">
        <f>SUMIFS(METALFISA!$E:$E,METALFISA!$A:$A,'Faltantes Fevereiro- Metalfisa'!AM$3,METALFISA!$B:$B,'Faltantes Fevereiro- Metalfisa'!$A304)</f>
        <v>0</v>
      </c>
      <c r="AN304" s="31">
        <f>SUMIFS(METALFISA!$E:$E,METALFISA!$A:$A,'Faltantes Fevereiro- Metalfisa'!AN$3,METALFISA!$B:$B,'Faltantes Fevereiro- Metalfisa'!$A304)</f>
        <v>0</v>
      </c>
      <c r="AO304" s="31">
        <f>SUMIFS(METALFISA!$E:$E,METALFISA!$A:$A,'Faltantes Fevereiro- Metalfisa'!AO$3,METALFISA!$B:$B,'Faltantes Fevereiro- Metalfisa'!$A304)</f>
        <v>0</v>
      </c>
      <c r="AP304" s="31">
        <f>SUMIFS(METALFISA!$E:$E,METALFISA!$A:$A,'Faltantes Fevereiro- Metalfisa'!AP$3,METALFISA!$B:$B,'Faltantes Fevereiro- Metalfisa'!$A304)</f>
        <v>0</v>
      </c>
      <c r="AQ304" s="31"/>
      <c r="AR304" s="31">
        <f>SUMIFS(METALFISA!$E:$E,METALFISA!$A:$A,'Faltantes Fevereiro- Metalfisa'!AR$3,METALFISA!$B:$B,'Faltantes Fevereiro- Metalfisa'!$A304)</f>
        <v>0</v>
      </c>
      <c r="AS304" s="35">
        <f>SUMIFS(METALFISA!$E:$E,METALFISA!$A:$A,'Faltantes Fevereiro- Metalfisa'!AS$3,METALFISA!$B:$B,'Faltantes Fevereiro- Metalfisa'!$A304)</f>
        <v>0</v>
      </c>
      <c r="AU304" s="18">
        <v>0</v>
      </c>
      <c r="AV304" s="18">
        <v>0</v>
      </c>
      <c r="AW304" s="18">
        <v>0</v>
      </c>
      <c r="AX304" s="18">
        <v>0</v>
      </c>
      <c r="AY304" s="41">
        <v>0</v>
      </c>
      <c r="AZ304" s="31">
        <v>0</v>
      </c>
      <c r="BA304" s="31">
        <v>0</v>
      </c>
      <c r="BB304" s="31">
        <v>0</v>
      </c>
      <c r="BC304" s="31">
        <v>0</v>
      </c>
      <c r="BD304" s="31">
        <v>0</v>
      </c>
      <c r="BE304" s="31">
        <v>0</v>
      </c>
      <c r="BF304" s="31">
        <v>0</v>
      </c>
      <c r="BG304" s="31">
        <v>0</v>
      </c>
      <c r="BH304" s="31">
        <v>0</v>
      </c>
      <c r="BI304" s="31">
        <v>0</v>
      </c>
      <c r="BJ304" s="31">
        <v>0</v>
      </c>
      <c r="BK304" s="31">
        <v>0</v>
      </c>
      <c r="BL304" s="31">
        <v>0</v>
      </c>
      <c r="BM304" s="31">
        <v>0</v>
      </c>
      <c r="BN304" s="31">
        <v>0</v>
      </c>
      <c r="BO304" s="31">
        <v>1</v>
      </c>
      <c r="BP304" s="31">
        <v>0</v>
      </c>
      <c r="BQ304" s="31">
        <v>0</v>
      </c>
      <c r="BR304" s="31">
        <v>0</v>
      </c>
      <c r="BS304" s="31">
        <v>0</v>
      </c>
      <c r="BT304" s="31">
        <v>0</v>
      </c>
      <c r="BU304" s="31">
        <v>0</v>
      </c>
      <c r="BV304" s="31">
        <v>0</v>
      </c>
      <c r="BW304" s="31">
        <v>0</v>
      </c>
      <c r="BX304" s="31">
        <v>0</v>
      </c>
      <c r="BY304" s="31">
        <v>0</v>
      </c>
      <c r="BZ304" s="31">
        <v>0</v>
      </c>
      <c r="CA304" s="31">
        <v>0</v>
      </c>
      <c r="CB304" s="31">
        <v>0</v>
      </c>
      <c r="CC304" s="31">
        <v>0</v>
      </c>
      <c r="CD304" s="31">
        <v>0</v>
      </c>
      <c r="CE304" s="31">
        <v>0</v>
      </c>
      <c r="CF304" s="31">
        <v>0</v>
      </c>
      <c r="CG304" s="31">
        <v>0</v>
      </c>
      <c r="CH304" s="31">
        <v>0</v>
      </c>
      <c r="CI304" s="31">
        <v>0</v>
      </c>
      <c r="CJ304" s="31">
        <v>0</v>
      </c>
      <c r="CK304" s="31">
        <v>0</v>
      </c>
      <c r="CL304" s="35">
        <v>0</v>
      </c>
    </row>
    <row r="305" spans="1:90" ht="21" x14ac:dyDescent="0.15">
      <c r="A305" s="27" t="s">
        <v>1491</v>
      </c>
      <c r="B305" s="28" t="s">
        <v>1492</v>
      </c>
      <c r="C305" s="28">
        <v>0</v>
      </c>
      <c r="D305" s="28">
        <v>0</v>
      </c>
      <c r="E305" s="28">
        <v>0</v>
      </c>
      <c r="F305" s="28">
        <v>0</v>
      </c>
      <c r="G305" s="28">
        <v>6</v>
      </c>
      <c r="H305" s="28">
        <f>IFERROR(VLOOKUP(A305,[1]FALTANTES!$A:$AB,28,FALSE),"-")</f>
        <v>0</v>
      </c>
      <c r="I305" s="42">
        <f>IFERROR(VLOOKUP(A305,[1]FALTANTES!$A:$AC,29,FALSE),"-")</f>
        <v>3</v>
      </c>
      <c r="J305" s="29">
        <f>IFERROR(VLOOKUP(A305,[1]FALTANTES!$A:$AD,30,FALSE),"-")</f>
        <v>-3</v>
      </c>
      <c r="K305" s="30"/>
      <c r="L305" s="30">
        <f t="shared" ref="L305:L343" si="6">SUM(M305:AS305)</f>
        <v>1</v>
      </c>
      <c r="M305" s="31">
        <f>SUMIFS(METALFISA!$E:$E,METALFISA!$A:$A,'Faltantes Fevereiro- Metalfisa'!M$3,METALFISA!$B:$B,'Faltantes Fevereiro- Metalfisa'!$A305)</f>
        <v>0</v>
      </c>
      <c r="N305" s="31">
        <f>SUMIFS(METALFISA!$E:$E,METALFISA!$A:$A,'Faltantes Fevereiro- Metalfisa'!N$3,METALFISA!$B:$B,'Faltantes Fevereiro- Metalfisa'!$A305)</f>
        <v>0</v>
      </c>
      <c r="O305" s="31">
        <f>SUMIFS(METALFISA!$E:$E,METALFISA!$A:$A,'Faltantes Fevereiro- Metalfisa'!O$3,METALFISA!$B:$B,'Faltantes Fevereiro- Metalfisa'!$A305)</f>
        <v>0</v>
      </c>
      <c r="P305" s="31">
        <f>SUMIFS(METALFISA!$E:$E,METALFISA!$A:$A,'Faltantes Fevereiro- Metalfisa'!P$3,METALFISA!$B:$B,'Faltantes Fevereiro- Metalfisa'!$A305)</f>
        <v>0</v>
      </c>
      <c r="Q305" s="31">
        <f>SUMIFS(METALFISA!$E:$E,METALFISA!$A:$A,'Faltantes Fevereiro- Metalfisa'!Q$3,METALFISA!$B:$B,'Faltantes Fevereiro- Metalfisa'!$A305)</f>
        <v>0</v>
      </c>
      <c r="R305" s="31">
        <f>SUMIFS(METALFISA!$E:$E,METALFISA!$A:$A,'Faltantes Fevereiro- Metalfisa'!R$3,METALFISA!$B:$B,'Faltantes Fevereiro- Metalfisa'!$A305)</f>
        <v>0</v>
      </c>
      <c r="S305" s="31">
        <f>SUMIFS(METALFISA!$E:$E,METALFISA!$A:$A,'Faltantes Fevereiro- Metalfisa'!S$3,METALFISA!$B:$B,'Faltantes Fevereiro- Metalfisa'!$A305)</f>
        <v>0</v>
      </c>
      <c r="T305" s="31">
        <f>SUMIFS(METALFISA!$E:$E,METALFISA!$A:$A,'Faltantes Fevereiro- Metalfisa'!T$3,METALFISA!$B:$B,'Faltantes Fevereiro- Metalfisa'!$A305)</f>
        <v>0</v>
      </c>
      <c r="U305" s="31">
        <f>SUMIFS(METALFISA!$E:$E,METALFISA!$A:$A,'Faltantes Fevereiro- Metalfisa'!U$3,METALFISA!$B:$B,'Faltantes Fevereiro- Metalfisa'!$A305)</f>
        <v>0</v>
      </c>
      <c r="V305" s="31">
        <f>SUMIFS(METALFISA!$E:$E,METALFISA!$A:$A,'Faltantes Fevereiro- Metalfisa'!V$3,METALFISA!$B:$B,'Faltantes Fevereiro- Metalfisa'!$A305)</f>
        <v>0</v>
      </c>
      <c r="W305" s="31">
        <f>SUMIFS(METALFISA!$E:$E,METALFISA!$A:$A,'Faltantes Fevereiro- Metalfisa'!W$3,METALFISA!$B:$B,'Faltantes Fevereiro- Metalfisa'!$A305)</f>
        <v>0</v>
      </c>
      <c r="X305" s="31">
        <f>SUMIFS(METALFISA!$E:$E,METALFISA!$A:$A,'Faltantes Fevereiro- Metalfisa'!X$3,METALFISA!$B:$B,'Faltantes Fevereiro- Metalfisa'!$A305)</f>
        <v>0</v>
      </c>
      <c r="Y305" s="31">
        <f>SUMIFS(METALFISA!$E:$E,METALFISA!$A:$A,'Faltantes Fevereiro- Metalfisa'!Y$3,METALFISA!$B:$B,'Faltantes Fevereiro- Metalfisa'!$A305)</f>
        <v>0</v>
      </c>
      <c r="Z305" s="31">
        <f>SUMIFS(METALFISA!$E:$E,METALFISA!$A:$A,'Faltantes Fevereiro- Metalfisa'!Z$3,METALFISA!$B:$B,'Faltantes Fevereiro- Metalfisa'!$A305)</f>
        <v>0</v>
      </c>
      <c r="AA305" s="31">
        <f>SUMIFS(METALFISA!$E:$E,METALFISA!$A:$A,'Faltantes Fevereiro- Metalfisa'!AA$3,METALFISA!$B:$B,'Faltantes Fevereiro- Metalfisa'!$A305)</f>
        <v>0</v>
      </c>
      <c r="AB305" s="31">
        <f>SUMIFS(METALFISA!$E:$E,METALFISA!$A:$A,'Faltantes Fevereiro- Metalfisa'!AB$3,METALFISA!$B:$B,'Faltantes Fevereiro- Metalfisa'!$A305)</f>
        <v>0</v>
      </c>
      <c r="AC305" s="31">
        <f>SUMIFS(METALFISA!$E:$E,METALFISA!$A:$A,'Faltantes Fevereiro- Metalfisa'!AC$3,METALFISA!$B:$B,'Faltantes Fevereiro- Metalfisa'!$A305)</f>
        <v>0</v>
      </c>
      <c r="AD305" s="31">
        <f>SUMIFS(METALFISA!$E:$E,METALFISA!$A:$A,'Faltantes Fevereiro- Metalfisa'!AD$3,METALFISA!$B:$B,'Faltantes Fevereiro- Metalfisa'!$A305)</f>
        <v>0</v>
      </c>
      <c r="AE305" s="31">
        <f>SUMIFS(METALFISA!$E:$E,METALFISA!$A:$A,'Faltantes Fevereiro- Metalfisa'!AE$3,METALFISA!$B:$B,'Faltantes Fevereiro- Metalfisa'!$A305)</f>
        <v>1</v>
      </c>
      <c r="AF305" s="31">
        <f>SUMIFS(METALFISA!$E:$E,METALFISA!$A:$A,'Faltantes Fevereiro- Metalfisa'!AF$3,METALFISA!$B:$B,'Faltantes Fevereiro- Metalfisa'!$A305)</f>
        <v>0</v>
      </c>
      <c r="AG305" s="31">
        <f>SUMIFS(METALFISA!$E:$E,METALFISA!$A:$A,'Faltantes Fevereiro- Metalfisa'!AG$3,METALFISA!$B:$B,'Faltantes Fevereiro- Metalfisa'!$A305)</f>
        <v>0</v>
      </c>
      <c r="AH305" s="31">
        <f>SUMIFS(METALFISA!$E:$E,METALFISA!$A:$A,'Faltantes Fevereiro- Metalfisa'!AH$3,METALFISA!$B:$B,'Faltantes Fevereiro- Metalfisa'!$A305)</f>
        <v>0</v>
      </c>
      <c r="AI305" s="31">
        <f>SUMIFS(METALFISA!$E:$E,METALFISA!$A:$A,'Faltantes Fevereiro- Metalfisa'!AI$3,METALFISA!$B:$B,'Faltantes Fevereiro- Metalfisa'!$A305)</f>
        <v>0</v>
      </c>
      <c r="AJ305" s="31">
        <f>SUMIFS(METALFISA!$E:$E,METALFISA!$A:$A,'Faltantes Fevereiro- Metalfisa'!AJ$3,METALFISA!$B:$B,'Faltantes Fevereiro- Metalfisa'!$A305)</f>
        <v>0</v>
      </c>
      <c r="AK305" s="31">
        <f>SUMIFS(METALFISA!$E:$E,METALFISA!$A:$A,'Faltantes Fevereiro- Metalfisa'!AK$3,METALFISA!$B:$B,'Faltantes Fevereiro- Metalfisa'!$A305)</f>
        <v>0</v>
      </c>
      <c r="AL305" s="31">
        <f>SUMIFS(METALFISA!$E:$E,METALFISA!$A:$A,'Faltantes Fevereiro- Metalfisa'!AL$3,METALFISA!$B:$B,'Faltantes Fevereiro- Metalfisa'!$A305)</f>
        <v>0</v>
      </c>
      <c r="AM305" s="31">
        <f>SUMIFS(METALFISA!$E:$E,METALFISA!$A:$A,'Faltantes Fevereiro- Metalfisa'!AM$3,METALFISA!$B:$B,'Faltantes Fevereiro- Metalfisa'!$A305)</f>
        <v>0</v>
      </c>
      <c r="AN305" s="31">
        <f>SUMIFS(METALFISA!$E:$E,METALFISA!$A:$A,'Faltantes Fevereiro- Metalfisa'!AN$3,METALFISA!$B:$B,'Faltantes Fevereiro- Metalfisa'!$A305)</f>
        <v>0</v>
      </c>
      <c r="AO305" s="31">
        <f>SUMIFS(METALFISA!$E:$E,METALFISA!$A:$A,'Faltantes Fevereiro- Metalfisa'!AO$3,METALFISA!$B:$B,'Faltantes Fevereiro- Metalfisa'!$A305)</f>
        <v>0</v>
      </c>
      <c r="AP305" s="31">
        <f>SUMIFS(METALFISA!$E:$E,METALFISA!$A:$A,'Faltantes Fevereiro- Metalfisa'!AP$3,METALFISA!$B:$B,'Faltantes Fevereiro- Metalfisa'!$A305)</f>
        <v>0</v>
      </c>
      <c r="AQ305" s="31"/>
      <c r="AR305" s="31">
        <f>SUMIFS(METALFISA!$E:$E,METALFISA!$A:$A,'Faltantes Fevereiro- Metalfisa'!AR$3,METALFISA!$B:$B,'Faltantes Fevereiro- Metalfisa'!$A305)</f>
        <v>0</v>
      </c>
      <c r="AS305" s="35">
        <f>SUMIFS(METALFISA!$E:$E,METALFISA!$A:$A,'Faltantes Fevereiro- Metalfisa'!AS$3,METALFISA!$B:$B,'Faltantes Fevereiro- Metalfisa'!$A305)</f>
        <v>0</v>
      </c>
      <c r="AU305" s="18">
        <v>0</v>
      </c>
      <c r="AV305" s="18">
        <v>0</v>
      </c>
      <c r="AW305" s="18">
        <v>0</v>
      </c>
      <c r="AX305" s="18">
        <v>0</v>
      </c>
      <c r="AY305" s="41">
        <v>0</v>
      </c>
      <c r="AZ305" s="31">
        <v>0</v>
      </c>
      <c r="BA305" s="31">
        <v>0</v>
      </c>
      <c r="BB305" s="31">
        <v>0</v>
      </c>
      <c r="BC305" s="31">
        <v>0</v>
      </c>
      <c r="BD305" s="31">
        <v>0</v>
      </c>
      <c r="BE305" s="31">
        <v>0</v>
      </c>
      <c r="BF305" s="31">
        <v>0</v>
      </c>
      <c r="BG305" s="31">
        <v>0</v>
      </c>
      <c r="BH305" s="31">
        <v>0</v>
      </c>
      <c r="BI305" s="31">
        <v>0</v>
      </c>
      <c r="BJ305" s="31">
        <v>0</v>
      </c>
      <c r="BK305" s="31">
        <v>0</v>
      </c>
      <c r="BL305" s="31">
        <v>0</v>
      </c>
      <c r="BM305" s="31">
        <v>0</v>
      </c>
      <c r="BN305" s="31">
        <v>0</v>
      </c>
      <c r="BO305" s="31">
        <v>1</v>
      </c>
      <c r="BP305" s="31">
        <v>0</v>
      </c>
      <c r="BQ305" s="31">
        <v>0</v>
      </c>
      <c r="BR305" s="31">
        <v>0</v>
      </c>
      <c r="BS305" s="31">
        <v>0</v>
      </c>
      <c r="BT305" s="31">
        <v>0</v>
      </c>
      <c r="BU305" s="31">
        <v>0</v>
      </c>
      <c r="BV305" s="31">
        <v>0</v>
      </c>
      <c r="BW305" s="31">
        <v>0</v>
      </c>
      <c r="BX305" s="31">
        <v>0</v>
      </c>
      <c r="BY305" s="31">
        <v>0</v>
      </c>
      <c r="BZ305" s="31">
        <v>0</v>
      </c>
      <c r="CA305" s="31">
        <v>0</v>
      </c>
      <c r="CB305" s="31">
        <v>0</v>
      </c>
      <c r="CC305" s="31">
        <v>0</v>
      </c>
      <c r="CD305" s="31">
        <v>0</v>
      </c>
      <c r="CE305" s="31">
        <v>0</v>
      </c>
      <c r="CF305" s="31">
        <v>0</v>
      </c>
      <c r="CG305" s="31">
        <v>0</v>
      </c>
      <c r="CH305" s="31">
        <v>0</v>
      </c>
      <c r="CI305" s="31">
        <v>0</v>
      </c>
      <c r="CJ305" s="31">
        <v>0</v>
      </c>
      <c r="CK305" s="31">
        <v>0</v>
      </c>
      <c r="CL305" s="35">
        <v>0</v>
      </c>
    </row>
    <row r="306" spans="1:90" ht="21" x14ac:dyDescent="0.15">
      <c r="A306" s="27" t="s">
        <v>1497</v>
      </c>
      <c r="B306" s="28" t="s">
        <v>1498</v>
      </c>
      <c r="C306" s="28">
        <v>0</v>
      </c>
      <c r="D306" s="28">
        <v>0</v>
      </c>
      <c r="E306" s="28">
        <v>0</v>
      </c>
      <c r="F306" s="28">
        <v>0</v>
      </c>
      <c r="G306" s="28">
        <v>6</v>
      </c>
      <c r="H306" s="28">
        <f>IFERROR(VLOOKUP(A306,[1]FALTANTES!$A:$AB,28,FALSE),"-")</f>
        <v>0</v>
      </c>
      <c r="I306" s="42">
        <f>IFERROR(VLOOKUP(A306,[1]FALTANTES!$A:$AC,29,FALSE),"-")</f>
        <v>2</v>
      </c>
      <c r="J306" s="29">
        <f>IFERROR(VLOOKUP(A306,[1]FALTANTES!$A:$AD,30,FALSE),"-")</f>
        <v>-4</v>
      </c>
      <c r="K306" s="30"/>
      <c r="L306" s="30">
        <f t="shared" si="6"/>
        <v>1</v>
      </c>
      <c r="M306" s="31">
        <f>SUMIFS(METALFISA!$E:$E,METALFISA!$A:$A,'Faltantes Fevereiro- Metalfisa'!M$3,METALFISA!$B:$B,'Faltantes Fevereiro- Metalfisa'!$A306)</f>
        <v>0</v>
      </c>
      <c r="N306" s="31">
        <f>SUMIFS(METALFISA!$E:$E,METALFISA!$A:$A,'Faltantes Fevereiro- Metalfisa'!N$3,METALFISA!$B:$B,'Faltantes Fevereiro- Metalfisa'!$A306)</f>
        <v>0</v>
      </c>
      <c r="O306" s="31">
        <f>SUMIFS(METALFISA!$E:$E,METALFISA!$A:$A,'Faltantes Fevereiro- Metalfisa'!O$3,METALFISA!$B:$B,'Faltantes Fevereiro- Metalfisa'!$A306)</f>
        <v>0</v>
      </c>
      <c r="P306" s="31">
        <f>SUMIFS(METALFISA!$E:$E,METALFISA!$A:$A,'Faltantes Fevereiro- Metalfisa'!P$3,METALFISA!$B:$B,'Faltantes Fevereiro- Metalfisa'!$A306)</f>
        <v>0</v>
      </c>
      <c r="Q306" s="31">
        <f>SUMIFS(METALFISA!$E:$E,METALFISA!$A:$A,'Faltantes Fevereiro- Metalfisa'!Q$3,METALFISA!$B:$B,'Faltantes Fevereiro- Metalfisa'!$A306)</f>
        <v>0</v>
      </c>
      <c r="R306" s="31">
        <f>SUMIFS(METALFISA!$E:$E,METALFISA!$A:$A,'Faltantes Fevereiro- Metalfisa'!R$3,METALFISA!$B:$B,'Faltantes Fevereiro- Metalfisa'!$A306)</f>
        <v>0</v>
      </c>
      <c r="S306" s="31">
        <f>SUMIFS(METALFISA!$E:$E,METALFISA!$A:$A,'Faltantes Fevereiro- Metalfisa'!S$3,METALFISA!$B:$B,'Faltantes Fevereiro- Metalfisa'!$A306)</f>
        <v>0</v>
      </c>
      <c r="T306" s="31">
        <f>SUMIFS(METALFISA!$E:$E,METALFISA!$A:$A,'Faltantes Fevereiro- Metalfisa'!T$3,METALFISA!$B:$B,'Faltantes Fevereiro- Metalfisa'!$A306)</f>
        <v>0</v>
      </c>
      <c r="U306" s="31">
        <f>SUMIFS(METALFISA!$E:$E,METALFISA!$A:$A,'Faltantes Fevereiro- Metalfisa'!U$3,METALFISA!$B:$B,'Faltantes Fevereiro- Metalfisa'!$A306)</f>
        <v>0</v>
      </c>
      <c r="V306" s="31">
        <f>SUMIFS(METALFISA!$E:$E,METALFISA!$A:$A,'Faltantes Fevereiro- Metalfisa'!V$3,METALFISA!$B:$B,'Faltantes Fevereiro- Metalfisa'!$A306)</f>
        <v>0</v>
      </c>
      <c r="W306" s="31">
        <f>SUMIFS(METALFISA!$E:$E,METALFISA!$A:$A,'Faltantes Fevereiro- Metalfisa'!W$3,METALFISA!$B:$B,'Faltantes Fevereiro- Metalfisa'!$A306)</f>
        <v>0</v>
      </c>
      <c r="X306" s="31">
        <f>SUMIFS(METALFISA!$E:$E,METALFISA!$A:$A,'Faltantes Fevereiro- Metalfisa'!X$3,METALFISA!$B:$B,'Faltantes Fevereiro- Metalfisa'!$A306)</f>
        <v>0</v>
      </c>
      <c r="Y306" s="31">
        <f>SUMIFS(METALFISA!$E:$E,METALFISA!$A:$A,'Faltantes Fevereiro- Metalfisa'!Y$3,METALFISA!$B:$B,'Faltantes Fevereiro- Metalfisa'!$A306)</f>
        <v>0</v>
      </c>
      <c r="Z306" s="31">
        <f>SUMIFS(METALFISA!$E:$E,METALFISA!$A:$A,'Faltantes Fevereiro- Metalfisa'!Z$3,METALFISA!$B:$B,'Faltantes Fevereiro- Metalfisa'!$A306)</f>
        <v>0</v>
      </c>
      <c r="AA306" s="31">
        <f>SUMIFS(METALFISA!$E:$E,METALFISA!$A:$A,'Faltantes Fevereiro- Metalfisa'!AA$3,METALFISA!$B:$B,'Faltantes Fevereiro- Metalfisa'!$A306)</f>
        <v>0</v>
      </c>
      <c r="AB306" s="31">
        <f>SUMIFS(METALFISA!$E:$E,METALFISA!$A:$A,'Faltantes Fevereiro- Metalfisa'!AB$3,METALFISA!$B:$B,'Faltantes Fevereiro- Metalfisa'!$A306)</f>
        <v>0</v>
      </c>
      <c r="AC306" s="31">
        <f>SUMIFS(METALFISA!$E:$E,METALFISA!$A:$A,'Faltantes Fevereiro- Metalfisa'!AC$3,METALFISA!$B:$B,'Faltantes Fevereiro- Metalfisa'!$A306)</f>
        <v>0</v>
      </c>
      <c r="AD306" s="31">
        <f>SUMIFS(METALFISA!$E:$E,METALFISA!$A:$A,'Faltantes Fevereiro- Metalfisa'!AD$3,METALFISA!$B:$B,'Faltantes Fevereiro- Metalfisa'!$A306)</f>
        <v>0</v>
      </c>
      <c r="AE306" s="31">
        <f>SUMIFS(METALFISA!$E:$E,METALFISA!$A:$A,'Faltantes Fevereiro- Metalfisa'!AE$3,METALFISA!$B:$B,'Faltantes Fevereiro- Metalfisa'!$A306)</f>
        <v>1</v>
      </c>
      <c r="AF306" s="31">
        <f>SUMIFS(METALFISA!$E:$E,METALFISA!$A:$A,'Faltantes Fevereiro- Metalfisa'!AF$3,METALFISA!$B:$B,'Faltantes Fevereiro- Metalfisa'!$A306)</f>
        <v>0</v>
      </c>
      <c r="AG306" s="31">
        <f>SUMIFS(METALFISA!$E:$E,METALFISA!$A:$A,'Faltantes Fevereiro- Metalfisa'!AG$3,METALFISA!$B:$B,'Faltantes Fevereiro- Metalfisa'!$A306)</f>
        <v>0</v>
      </c>
      <c r="AH306" s="31">
        <f>SUMIFS(METALFISA!$E:$E,METALFISA!$A:$A,'Faltantes Fevereiro- Metalfisa'!AH$3,METALFISA!$B:$B,'Faltantes Fevereiro- Metalfisa'!$A306)</f>
        <v>0</v>
      </c>
      <c r="AI306" s="31">
        <f>SUMIFS(METALFISA!$E:$E,METALFISA!$A:$A,'Faltantes Fevereiro- Metalfisa'!AI$3,METALFISA!$B:$B,'Faltantes Fevereiro- Metalfisa'!$A306)</f>
        <v>0</v>
      </c>
      <c r="AJ306" s="31">
        <f>SUMIFS(METALFISA!$E:$E,METALFISA!$A:$A,'Faltantes Fevereiro- Metalfisa'!AJ$3,METALFISA!$B:$B,'Faltantes Fevereiro- Metalfisa'!$A306)</f>
        <v>0</v>
      </c>
      <c r="AK306" s="31">
        <f>SUMIFS(METALFISA!$E:$E,METALFISA!$A:$A,'Faltantes Fevereiro- Metalfisa'!AK$3,METALFISA!$B:$B,'Faltantes Fevereiro- Metalfisa'!$A306)</f>
        <v>0</v>
      </c>
      <c r="AL306" s="31">
        <f>SUMIFS(METALFISA!$E:$E,METALFISA!$A:$A,'Faltantes Fevereiro- Metalfisa'!AL$3,METALFISA!$B:$B,'Faltantes Fevereiro- Metalfisa'!$A306)</f>
        <v>0</v>
      </c>
      <c r="AM306" s="31">
        <f>SUMIFS(METALFISA!$E:$E,METALFISA!$A:$A,'Faltantes Fevereiro- Metalfisa'!AM$3,METALFISA!$B:$B,'Faltantes Fevereiro- Metalfisa'!$A306)</f>
        <v>0</v>
      </c>
      <c r="AN306" s="31">
        <f>SUMIFS(METALFISA!$E:$E,METALFISA!$A:$A,'Faltantes Fevereiro- Metalfisa'!AN$3,METALFISA!$B:$B,'Faltantes Fevereiro- Metalfisa'!$A306)</f>
        <v>0</v>
      </c>
      <c r="AO306" s="31">
        <f>SUMIFS(METALFISA!$E:$E,METALFISA!$A:$A,'Faltantes Fevereiro- Metalfisa'!AO$3,METALFISA!$B:$B,'Faltantes Fevereiro- Metalfisa'!$A306)</f>
        <v>0</v>
      </c>
      <c r="AP306" s="31">
        <f>SUMIFS(METALFISA!$E:$E,METALFISA!$A:$A,'Faltantes Fevereiro- Metalfisa'!AP$3,METALFISA!$B:$B,'Faltantes Fevereiro- Metalfisa'!$A306)</f>
        <v>0</v>
      </c>
      <c r="AQ306" s="31"/>
      <c r="AR306" s="31">
        <f>SUMIFS(METALFISA!$E:$E,METALFISA!$A:$A,'Faltantes Fevereiro- Metalfisa'!AR$3,METALFISA!$B:$B,'Faltantes Fevereiro- Metalfisa'!$A306)</f>
        <v>0</v>
      </c>
      <c r="AS306" s="35">
        <f>SUMIFS(METALFISA!$E:$E,METALFISA!$A:$A,'Faltantes Fevereiro- Metalfisa'!AS$3,METALFISA!$B:$B,'Faltantes Fevereiro- Metalfisa'!$A306)</f>
        <v>0</v>
      </c>
      <c r="AU306" s="18">
        <v>0</v>
      </c>
      <c r="AV306" s="18">
        <v>0</v>
      </c>
      <c r="AW306" s="18">
        <v>0</v>
      </c>
      <c r="AX306" s="18">
        <v>0</v>
      </c>
      <c r="AY306" s="41">
        <v>0</v>
      </c>
      <c r="AZ306" s="31">
        <v>0</v>
      </c>
      <c r="BA306" s="31">
        <v>0</v>
      </c>
      <c r="BB306" s="31">
        <v>0</v>
      </c>
      <c r="BC306" s="31">
        <v>0</v>
      </c>
      <c r="BD306" s="31">
        <v>0</v>
      </c>
      <c r="BE306" s="31">
        <v>0</v>
      </c>
      <c r="BF306" s="31">
        <v>0</v>
      </c>
      <c r="BG306" s="31">
        <v>0</v>
      </c>
      <c r="BH306" s="31">
        <v>0</v>
      </c>
      <c r="BI306" s="31">
        <v>0</v>
      </c>
      <c r="BJ306" s="31">
        <v>0</v>
      </c>
      <c r="BK306" s="31">
        <v>0</v>
      </c>
      <c r="BL306" s="31">
        <v>0</v>
      </c>
      <c r="BM306" s="31">
        <v>0</v>
      </c>
      <c r="BN306" s="31">
        <v>0</v>
      </c>
      <c r="BO306" s="31">
        <v>1</v>
      </c>
      <c r="BP306" s="31">
        <v>0</v>
      </c>
      <c r="BQ306" s="31">
        <v>0</v>
      </c>
      <c r="BR306" s="31">
        <v>0</v>
      </c>
      <c r="BS306" s="31">
        <v>0</v>
      </c>
      <c r="BT306" s="31">
        <v>0</v>
      </c>
      <c r="BU306" s="31">
        <v>0</v>
      </c>
      <c r="BV306" s="31">
        <v>0</v>
      </c>
      <c r="BW306" s="31">
        <v>0</v>
      </c>
      <c r="BX306" s="31">
        <v>0</v>
      </c>
      <c r="BY306" s="31">
        <v>0</v>
      </c>
      <c r="BZ306" s="31">
        <v>0</v>
      </c>
      <c r="CA306" s="31">
        <v>0</v>
      </c>
      <c r="CB306" s="31">
        <v>0</v>
      </c>
      <c r="CC306" s="31">
        <v>0</v>
      </c>
      <c r="CD306" s="31">
        <v>0</v>
      </c>
      <c r="CE306" s="31">
        <v>0</v>
      </c>
      <c r="CF306" s="31">
        <v>0</v>
      </c>
      <c r="CG306" s="31">
        <v>0</v>
      </c>
      <c r="CH306" s="31">
        <v>0</v>
      </c>
      <c r="CI306" s="31">
        <v>0</v>
      </c>
      <c r="CJ306" s="31">
        <v>0</v>
      </c>
      <c r="CK306" s="31">
        <v>0</v>
      </c>
      <c r="CL306" s="35">
        <v>0</v>
      </c>
    </row>
    <row r="307" spans="1:90" ht="21" x14ac:dyDescent="0.15">
      <c r="A307" s="27" t="s">
        <v>1500</v>
      </c>
      <c r="B307" s="28" t="s">
        <v>1501</v>
      </c>
      <c r="C307" s="28">
        <v>0</v>
      </c>
      <c r="D307" s="28">
        <v>0</v>
      </c>
      <c r="E307" s="28">
        <v>0</v>
      </c>
      <c r="F307" s="28">
        <v>0</v>
      </c>
      <c r="G307" s="28">
        <v>6</v>
      </c>
      <c r="H307" s="28">
        <f>IFERROR(VLOOKUP(A307,[1]FALTANTES!$A:$AB,28,FALSE),"-")</f>
        <v>0</v>
      </c>
      <c r="I307" s="42">
        <f>IFERROR(VLOOKUP(A307,[1]FALTANTES!$A:$AC,29,FALSE),"-")</f>
        <v>2</v>
      </c>
      <c r="J307" s="29">
        <f>IFERROR(VLOOKUP(A307,[1]FALTANTES!$A:$AD,30,FALSE),"-")</f>
        <v>-4</v>
      </c>
      <c r="K307" s="30"/>
      <c r="L307" s="30">
        <f t="shared" si="6"/>
        <v>1</v>
      </c>
      <c r="M307" s="31">
        <f>SUMIFS(METALFISA!$E:$E,METALFISA!$A:$A,'Faltantes Fevereiro- Metalfisa'!M$3,METALFISA!$B:$B,'Faltantes Fevereiro- Metalfisa'!$A307)</f>
        <v>0</v>
      </c>
      <c r="N307" s="31">
        <f>SUMIFS(METALFISA!$E:$E,METALFISA!$A:$A,'Faltantes Fevereiro- Metalfisa'!N$3,METALFISA!$B:$B,'Faltantes Fevereiro- Metalfisa'!$A307)</f>
        <v>0</v>
      </c>
      <c r="O307" s="31">
        <f>SUMIFS(METALFISA!$E:$E,METALFISA!$A:$A,'Faltantes Fevereiro- Metalfisa'!O$3,METALFISA!$B:$B,'Faltantes Fevereiro- Metalfisa'!$A307)</f>
        <v>0</v>
      </c>
      <c r="P307" s="31">
        <f>SUMIFS(METALFISA!$E:$E,METALFISA!$A:$A,'Faltantes Fevereiro- Metalfisa'!P$3,METALFISA!$B:$B,'Faltantes Fevereiro- Metalfisa'!$A307)</f>
        <v>0</v>
      </c>
      <c r="Q307" s="31">
        <f>SUMIFS(METALFISA!$E:$E,METALFISA!$A:$A,'Faltantes Fevereiro- Metalfisa'!Q$3,METALFISA!$B:$B,'Faltantes Fevereiro- Metalfisa'!$A307)</f>
        <v>0</v>
      </c>
      <c r="R307" s="31">
        <f>SUMIFS(METALFISA!$E:$E,METALFISA!$A:$A,'Faltantes Fevereiro- Metalfisa'!R$3,METALFISA!$B:$B,'Faltantes Fevereiro- Metalfisa'!$A307)</f>
        <v>0</v>
      </c>
      <c r="S307" s="31">
        <f>SUMIFS(METALFISA!$E:$E,METALFISA!$A:$A,'Faltantes Fevereiro- Metalfisa'!S$3,METALFISA!$B:$B,'Faltantes Fevereiro- Metalfisa'!$A307)</f>
        <v>0</v>
      </c>
      <c r="T307" s="31">
        <f>SUMIFS(METALFISA!$E:$E,METALFISA!$A:$A,'Faltantes Fevereiro- Metalfisa'!T$3,METALFISA!$B:$B,'Faltantes Fevereiro- Metalfisa'!$A307)</f>
        <v>0</v>
      </c>
      <c r="U307" s="31">
        <f>SUMIFS(METALFISA!$E:$E,METALFISA!$A:$A,'Faltantes Fevereiro- Metalfisa'!U$3,METALFISA!$B:$B,'Faltantes Fevereiro- Metalfisa'!$A307)</f>
        <v>0</v>
      </c>
      <c r="V307" s="31">
        <f>SUMIFS(METALFISA!$E:$E,METALFISA!$A:$A,'Faltantes Fevereiro- Metalfisa'!V$3,METALFISA!$B:$B,'Faltantes Fevereiro- Metalfisa'!$A307)</f>
        <v>0</v>
      </c>
      <c r="W307" s="31">
        <f>SUMIFS(METALFISA!$E:$E,METALFISA!$A:$A,'Faltantes Fevereiro- Metalfisa'!W$3,METALFISA!$B:$B,'Faltantes Fevereiro- Metalfisa'!$A307)</f>
        <v>0</v>
      </c>
      <c r="X307" s="31">
        <f>SUMIFS(METALFISA!$E:$E,METALFISA!$A:$A,'Faltantes Fevereiro- Metalfisa'!X$3,METALFISA!$B:$B,'Faltantes Fevereiro- Metalfisa'!$A307)</f>
        <v>0</v>
      </c>
      <c r="Y307" s="31">
        <f>SUMIFS(METALFISA!$E:$E,METALFISA!$A:$A,'Faltantes Fevereiro- Metalfisa'!Y$3,METALFISA!$B:$B,'Faltantes Fevereiro- Metalfisa'!$A307)</f>
        <v>0</v>
      </c>
      <c r="Z307" s="31">
        <f>SUMIFS(METALFISA!$E:$E,METALFISA!$A:$A,'Faltantes Fevereiro- Metalfisa'!Z$3,METALFISA!$B:$B,'Faltantes Fevereiro- Metalfisa'!$A307)</f>
        <v>0</v>
      </c>
      <c r="AA307" s="31">
        <f>SUMIFS(METALFISA!$E:$E,METALFISA!$A:$A,'Faltantes Fevereiro- Metalfisa'!AA$3,METALFISA!$B:$B,'Faltantes Fevereiro- Metalfisa'!$A307)</f>
        <v>0</v>
      </c>
      <c r="AB307" s="31">
        <f>SUMIFS(METALFISA!$E:$E,METALFISA!$A:$A,'Faltantes Fevereiro- Metalfisa'!AB$3,METALFISA!$B:$B,'Faltantes Fevereiro- Metalfisa'!$A307)</f>
        <v>0</v>
      </c>
      <c r="AC307" s="31">
        <f>SUMIFS(METALFISA!$E:$E,METALFISA!$A:$A,'Faltantes Fevereiro- Metalfisa'!AC$3,METALFISA!$B:$B,'Faltantes Fevereiro- Metalfisa'!$A307)</f>
        <v>0</v>
      </c>
      <c r="AD307" s="31">
        <f>SUMIFS(METALFISA!$E:$E,METALFISA!$A:$A,'Faltantes Fevereiro- Metalfisa'!AD$3,METALFISA!$B:$B,'Faltantes Fevereiro- Metalfisa'!$A307)</f>
        <v>0</v>
      </c>
      <c r="AE307" s="31">
        <f>SUMIFS(METALFISA!$E:$E,METALFISA!$A:$A,'Faltantes Fevereiro- Metalfisa'!AE$3,METALFISA!$B:$B,'Faltantes Fevereiro- Metalfisa'!$A307)</f>
        <v>1</v>
      </c>
      <c r="AF307" s="31">
        <f>SUMIFS(METALFISA!$E:$E,METALFISA!$A:$A,'Faltantes Fevereiro- Metalfisa'!AF$3,METALFISA!$B:$B,'Faltantes Fevereiro- Metalfisa'!$A307)</f>
        <v>0</v>
      </c>
      <c r="AG307" s="31">
        <f>SUMIFS(METALFISA!$E:$E,METALFISA!$A:$A,'Faltantes Fevereiro- Metalfisa'!AG$3,METALFISA!$B:$B,'Faltantes Fevereiro- Metalfisa'!$A307)</f>
        <v>0</v>
      </c>
      <c r="AH307" s="31">
        <f>SUMIFS(METALFISA!$E:$E,METALFISA!$A:$A,'Faltantes Fevereiro- Metalfisa'!AH$3,METALFISA!$B:$B,'Faltantes Fevereiro- Metalfisa'!$A307)</f>
        <v>0</v>
      </c>
      <c r="AI307" s="31">
        <f>SUMIFS(METALFISA!$E:$E,METALFISA!$A:$A,'Faltantes Fevereiro- Metalfisa'!AI$3,METALFISA!$B:$B,'Faltantes Fevereiro- Metalfisa'!$A307)</f>
        <v>0</v>
      </c>
      <c r="AJ307" s="31">
        <f>SUMIFS(METALFISA!$E:$E,METALFISA!$A:$A,'Faltantes Fevereiro- Metalfisa'!AJ$3,METALFISA!$B:$B,'Faltantes Fevereiro- Metalfisa'!$A307)</f>
        <v>0</v>
      </c>
      <c r="AK307" s="31">
        <f>SUMIFS(METALFISA!$E:$E,METALFISA!$A:$A,'Faltantes Fevereiro- Metalfisa'!AK$3,METALFISA!$B:$B,'Faltantes Fevereiro- Metalfisa'!$A307)</f>
        <v>0</v>
      </c>
      <c r="AL307" s="31">
        <f>SUMIFS(METALFISA!$E:$E,METALFISA!$A:$A,'Faltantes Fevereiro- Metalfisa'!AL$3,METALFISA!$B:$B,'Faltantes Fevereiro- Metalfisa'!$A307)</f>
        <v>0</v>
      </c>
      <c r="AM307" s="31">
        <f>SUMIFS(METALFISA!$E:$E,METALFISA!$A:$A,'Faltantes Fevereiro- Metalfisa'!AM$3,METALFISA!$B:$B,'Faltantes Fevereiro- Metalfisa'!$A307)</f>
        <v>0</v>
      </c>
      <c r="AN307" s="31">
        <f>SUMIFS(METALFISA!$E:$E,METALFISA!$A:$A,'Faltantes Fevereiro- Metalfisa'!AN$3,METALFISA!$B:$B,'Faltantes Fevereiro- Metalfisa'!$A307)</f>
        <v>0</v>
      </c>
      <c r="AO307" s="31">
        <f>SUMIFS(METALFISA!$E:$E,METALFISA!$A:$A,'Faltantes Fevereiro- Metalfisa'!AO$3,METALFISA!$B:$B,'Faltantes Fevereiro- Metalfisa'!$A307)</f>
        <v>0</v>
      </c>
      <c r="AP307" s="31">
        <f>SUMIFS(METALFISA!$E:$E,METALFISA!$A:$A,'Faltantes Fevereiro- Metalfisa'!AP$3,METALFISA!$B:$B,'Faltantes Fevereiro- Metalfisa'!$A307)</f>
        <v>0</v>
      </c>
      <c r="AQ307" s="31"/>
      <c r="AR307" s="31">
        <f>SUMIFS(METALFISA!$E:$E,METALFISA!$A:$A,'Faltantes Fevereiro- Metalfisa'!AR$3,METALFISA!$B:$B,'Faltantes Fevereiro- Metalfisa'!$A307)</f>
        <v>0</v>
      </c>
      <c r="AS307" s="35">
        <f>SUMIFS(METALFISA!$E:$E,METALFISA!$A:$A,'Faltantes Fevereiro- Metalfisa'!AS$3,METALFISA!$B:$B,'Faltantes Fevereiro- Metalfisa'!$A307)</f>
        <v>0</v>
      </c>
      <c r="AU307" s="18">
        <v>0</v>
      </c>
      <c r="AV307" s="18">
        <v>0</v>
      </c>
      <c r="AW307" s="18">
        <v>0</v>
      </c>
      <c r="AX307" s="18">
        <v>0</v>
      </c>
      <c r="AY307" s="41">
        <v>0</v>
      </c>
      <c r="AZ307" s="31">
        <v>0</v>
      </c>
      <c r="BA307" s="31">
        <v>0</v>
      </c>
      <c r="BB307" s="31">
        <v>0</v>
      </c>
      <c r="BC307" s="31">
        <v>0</v>
      </c>
      <c r="BD307" s="31">
        <v>0</v>
      </c>
      <c r="BE307" s="31">
        <v>0</v>
      </c>
      <c r="BF307" s="31">
        <v>0</v>
      </c>
      <c r="BG307" s="31">
        <v>0</v>
      </c>
      <c r="BH307" s="31">
        <v>0</v>
      </c>
      <c r="BI307" s="31">
        <v>0</v>
      </c>
      <c r="BJ307" s="31">
        <v>0</v>
      </c>
      <c r="BK307" s="31">
        <v>0</v>
      </c>
      <c r="BL307" s="31">
        <v>0</v>
      </c>
      <c r="BM307" s="31">
        <v>0</v>
      </c>
      <c r="BN307" s="31">
        <v>0</v>
      </c>
      <c r="BO307" s="31">
        <v>1</v>
      </c>
      <c r="BP307" s="31">
        <v>0</v>
      </c>
      <c r="BQ307" s="31">
        <v>0</v>
      </c>
      <c r="BR307" s="31">
        <v>0</v>
      </c>
      <c r="BS307" s="31">
        <v>0</v>
      </c>
      <c r="BT307" s="31">
        <v>0</v>
      </c>
      <c r="BU307" s="31">
        <v>0</v>
      </c>
      <c r="BV307" s="31">
        <v>0</v>
      </c>
      <c r="BW307" s="31">
        <v>0</v>
      </c>
      <c r="BX307" s="31">
        <v>0</v>
      </c>
      <c r="BY307" s="31">
        <v>0</v>
      </c>
      <c r="BZ307" s="31">
        <v>0</v>
      </c>
      <c r="CA307" s="31">
        <v>0</v>
      </c>
      <c r="CB307" s="31">
        <v>0</v>
      </c>
      <c r="CC307" s="31">
        <v>0</v>
      </c>
      <c r="CD307" s="31">
        <v>0</v>
      </c>
      <c r="CE307" s="31">
        <v>0</v>
      </c>
      <c r="CF307" s="31">
        <v>0</v>
      </c>
      <c r="CG307" s="31">
        <v>0</v>
      </c>
      <c r="CH307" s="31">
        <v>0</v>
      </c>
      <c r="CI307" s="31">
        <v>0</v>
      </c>
      <c r="CJ307" s="31">
        <v>0</v>
      </c>
      <c r="CK307" s="31">
        <v>0</v>
      </c>
      <c r="CL307" s="35">
        <v>0</v>
      </c>
    </row>
    <row r="308" spans="1:90" ht="31.5" x14ac:dyDescent="0.15">
      <c r="A308" s="27" t="s">
        <v>1506</v>
      </c>
      <c r="B308" s="28" t="s">
        <v>1507</v>
      </c>
      <c r="C308" s="28">
        <v>1</v>
      </c>
      <c r="D308" s="28">
        <v>0</v>
      </c>
      <c r="E308" s="28">
        <v>0</v>
      </c>
      <c r="F308" s="28">
        <v>0</v>
      </c>
      <c r="G308" s="28">
        <v>9</v>
      </c>
      <c r="H308" s="28">
        <f>IFERROR(VLOOKUP(A308,[1]FALTANTES!$A:$AB,28,FALSE),"-")</f>
        <v>0</v>
      </c>
      <c r="I308" s="42">
        <f>IFERROR(VLOOKUP(A308,[1]FALTANTES!$A:$AC,29,FALSE),"-")</f>
        <v>4</v>
      </c>
      <c r="J308" s="29">
        <f>IFERROR(VLOOKUP(A308,[1]FALTANTES!$A:$AD,30,FALSE),"-")</f>
        <v>-6</v>
      </c>
      <c r="K308" s="30">
        <v>0</v>
      </c>
      <c r="L308" s="30">
        <f t="shared" si="6"/>
        <v>2</v>
      </c>
      <c r="M308" s="31">
        <f>SUMIFS(METALFISA!$E:$E,METALFISA!$A:$A,'Faltantes Fevereiro- Metalfisa'!M$3,METALFISA!$B:$B,'Faltantes Fevereiro- Metalfisa'!$A308)</f>
        <v>0</v>
      </c>
      <c r="N308" s="31">
        <f>SUMIFS(METALFISA!$E:$E,METALFISA!$A:$A,'Faltantes Fevereiro- Metalfisa'!N$3,METALFISA!$B:$B,'Faltantes Fevereiro- Metalfisa'!$A308)</f>
        <v>0</v>
      </c>
      <c r="O308" s="31">
        <f>SUMIFS(METALFISA!$E:$E,METALFISA!$A:$A,'Faltantes Fevereiro- Metalfisa'!O$3,METALFISA!$B:$B,'Faltantes Fevereiro- Metalfisa'!$A308)</f>
        <v>0</v>
      </c>
      <c r="P308" s="31">
        <f>SUMIFS(METALFISA!$E:$E,METALFISA!$A:$A,'Faltantes Fevereiro- Metalfisa'!P$3,METALFISA!$B:$B,'Faltantes Fevereiro- Metalfisa'!$A308)</f>
        <v>0</v>
      </c>
      <c r="Q308" s="31">
        <f>SUMIFS(METALFISA!$E:$E,METALFISA!$A:$A,'Faltantes Fevereiro- Metalfisa'!Q$3,METALFISA!$B:$B,'Faltantes Fevereiro- Metalfisa'!$A308)</f>
        <v>0</v>
      </c>
      <c r="R308" s="31">
        <f>SUMIFS(METALFISA!$E:$E,METALFISA!$A:$A,'Faltantes Fevereiro- Metalfisa'!R$3,METALFISA!$B:$B,'Faltantes Fevereiro- Metalfisa'!$A308)</f>
        <v>0</v>
      </c>
      <c r="S308" s="31">
        <f>SUMIFS(METALFISA!$E:$E,METALFISA!$A:$A,'Faltantes Fevereiro- Metalfisa'!S$3,METALFISA!$B:$B,'Faltantes Fevereiro- Metalfisa'!$A308)</f>
        <v>0</v>
      </c>
      <c r="T308" s="31">
        <f>SUMIFS(METALFISA!$E:$E,METALFISA!$A:$A,'Faltantes Fevereiro- Metalfisa'!T$3,METALFISA!$B:$B,'Faltantes Fevereiro- Metalfisa'!$A308)</f>
        <v>0</v>
      </c>
      <c r="U308" s="31">
        <f>SUMIFS(METALFISA!$E:$E,METALFISA!$A:$A,'Faltantes Fevereiro- Metalfisa'!U$3,METALFISA!$B:$B,'Faltantes Fevereiro- Metalfisa'!$A308)</f>
        <v>0</v>
      </c>
      <c r="V308" s="31">
        <f>SUMIFS(METALFISA!$E:$E,METALFISA!$A:$A,'Faltantes Fevereiro- Metalfisa'!V$3,METALFISA!$B:$B,'Faltantes Fevereiro- Metalfisa'!$A308)</f>
        <v>0</v>
      </c>
      <c r="W308" s="31">
        <f>SUMIFS(METALFISA!$E:$E,METALFISA!$A:$A,'Faltantes Fevereiro- Metalfisa'!W$3,METALFISA!$B:$B,'Faltantes Fevereiro- Metalfisa'!$A308)</f>
        <v>0</v>
      </c>
      <c r="X308" s="31">
        <f>SUMIFS(METALFISA!$E:$E,METALFISA!$A:$A,'Faltantes Fevereiro- Metalfisa'!X$3,METALFISA!$B:$B,'Faltantes Fevereiro- Metalfisa'!$A308)</f>
        <v>0</v>
      </c>
      <c r="Y308" s="31">
        <f>SUMIFS(METALFISA!$E:$E,METALFISA!$A:$A,'Faltantes Fevereiro- Metalfisa'!Y$3,METALFISA!$B:$B,'Faltantes Fevereiro- Metalfisa'!$A308)</f>
        <v>0</v>
      </c>
      <c r="Z308" s="31">
        <f>SUMIFS(METALFISA!$E:$E,METALFISA!$A:$A,'Faltantes Fevereiro- Metalfisa'!Z$3,METALFISA!$B:$B,'Faltantes Fevereiro- Metalfisa'!$A308)</f>
        <v>0</v>
      </c>
      <c r="AA308" s="31">
        <f>SUMIFS(METALFISA!$E:$E,METALFISA!$A:$A,'Faltantes Fevereiro- Metalfisa'!AA$3,METALFISA!$B:$B,'Faltantes Fevereiro- Metalfisa'!$A308)</f>
        <v>0</v>
      </c>
      <c r="AB308" s="31">
        <f>SUMIFS(METALFISA!$E:$E,METALFISA!$A:$A,'Faltantes Fevereiro- Metalfisa'!AB$3,METALFISA!$B:$B,'Faltantes Fevereiro- Metalfisa'!$A308)</f>
        <v>0</v>
      </c>
      <c r="AC308" s="31">
        <f>SUMIFS(METALFISA!$E:$E,METALFISA!$A:$A,'Faltantes Fevereiro- Metalfisa'!AC$3,METALFISA!$B:$B,'Faltantes Fevereiro- Metalfisa'!$A308)</f>
        <v>0</v>
      </c>
      <c r="AD308" s="31">
        <f>SUMIFS(METALFISA!$E:$E,METALFISA!$A:$A,'Faltantes Fevereiro- Metalfisa'!AD$3,METALFISA!$B:$B,'Faltantes Fevereiro- Metalfisa'!$A308)</f>
        <v>0</v>
      </c>
      <c r="AE308" s="31">
        <f>SUMIFS(METALFISA!$E:$E,METALFISA!$A:$A,'Faltantes Fevereiro- Metalfisa'!AE$3,METALFISA!$B:$B,'Faltantes Fevereiro- Metalfisa'!$A308)</f>
        <v>2</v>
      </c>
      <c r="AF308" s="31">
        <f>SUMIFS(METALFISA!$E:$E,METALFISA!$A:$A,'Faltantes Fevereiro- Metalfisa'!AF$3,METALFISA!$B:$B,'Faltantes Fevereiro- Metalfisa'!$A308)</f>
        <v>0</v>
      </c>
      <c r="AG308" s="31">
        <f>SUMIFS(METALFISA!$E:$E,METALFISA!$A:$A,'Faltantes Fevereiro- Metalfisa'!AG$3,METALFISA!$B:$B,'Faltantes Fevereiro- Metalfisa'!$A308)</f>
        <v>0</v>
      </c>
      <c r="AH308" s="31">
        <f>SUMIFS(METALFISA!$E:$E,METALFISA!$A:$A,'Faltantes Fevereiro- Metalfisa'!AH$3,METALFISA!$B:$B,'Faltantes Fevereiro- Metalfisa'!$A308)</f>
        <v>0</v>
      </c>
      <c r="AI308" s="31">
        <f>SUMIFS(METALFISA!$E:$E,METALFISA!$A:$A,'Faltantes Fevereiro- Metalfisa'!AI$3,METALFISA!$B:$B,'Faltantes Fevereiro- Metalfisa'!$A308)</f>
        <v>0</v>
      </c>
      <c r="AJ308" s="31">
        <f>SUMIFS(METALFISA!$E:$E,METALFISA!$A:$A,'Faltantes Fevereiro- Metalfisa'!AJ$3,METALFISA!$B:$B,'Faltantes Fevereiro- Metalfisa'!$A308)</f>
        <v>0</v>
      </c>
      <c r="AK308" s="31">
        <f>SUMIFS(METALFISA!$E:$E,METALFISA!$A:$A,'Faltantes Fevereiro- Metalfisa'!AK$3,METALFISA!$B:$B,'Faltantes Fevereiro- Metalfisa'!$A308)</f>
        <v>0</v>
      </c>
      <c r="AL308" s="31">
        <f>SUMIFS(METALFISA!$E:$E,METALFISA!$A:$A,'Faltantes Fevereiro- Metalfisa'!AL$3,METALFISA!$B:$B,'Faltantes Fevereiro- Metalfisa'!$A308)</f>
        <v>0</v>
      </c>
      <c r="AM308" s="31">
        <f>SUMIFS(METALFISA!$E:$E,METALFISA!$A:$A,'Faltantes Fevereiro- Metalfisa'!AM$3,METALFISA!$B:$B,'Faltantes Fevereiro- Metalfisa'!$A308)</f>
        <v>0</v>
      </c>
      <c r="AN308" s="31">
        <f>SUMIFS(METALFISA!$E:$E,METALFISA!$A:$A,'Faltantes Fevereiro- Metalfisa'!AN$3,METALFISA!$B:$B,'Faltantes Fevereiro- Metalfisa'!$A308)</f>
        <v>0</v>
      </c>
      <c r="AO308" s="31">
        <f>SUMIFS(METALFISA!$E:$E,METALFISA!$A:$A,'Faltantes Fevereiro- Metalfisa'!AO$3,METALFISA!$B:$B,'Faltantes Fevereiro- Metalfisa'!$A308)</f>
        <v>0</v>
      </c>
      <c r="AP308" s="31">
        <f>SUMIFS(METALFISA!$E:$E,METALFISA!$A:$A,'Faltantes Fevereiro- Metalfisa'!AP$3,METALFISA!$B:$B,'Faltantes Fevereiro- Metalfisa'!$A308)</f>
        <v>0</v>
      </c>
      <c r="AQ308" s="31"/>
      <c r="AR308" s="31">
        <f>SUMIFS(METALFISA!$E:$E,METALFISA!$A:$A,'Faltantes Fevereiro- Metalfisa'!AR$3,METALFISA!$B:$B,'Faltantes Fevereiro- Metalfisa'!$A308)</f>
        <v>0</v>
      </c>
      <c r="AS308" s="35">
        <f>SUMIFS(METALFISA!$E:$E,METALFISA!$A:$A,'Faltantes Fevereiro- Metalfisa'!AS$3,METALFISA!$B:$B,'Faltantes Fevereiro- Metalfisa'!$A308)</f>
        <v>0</v>
      </c>
      <c r="AU308" s="18">
        <v>0</v>
      </c>
      <c r="AV308" s="18">
        <v>0</v>
      </c>
      <c r="AW308" s="18">
        <v>0</v>
      </c>
      <c r="AX308" s="18">
        <v>0</v>
      </c>
      <c r="AY308" s="41">
        <v>0</v>
      </c>
      <c r="AZ308" s="31">
        <v>0</v>
      </c>
      <c r="BA308" s="31">
        <v>0</v>
      </c>
      <c r="BB308" s="31">
        <v>0</v>
      </c>
      <c r="BC308" s="31">
        <v>0</v>
      </c>
      <c r="BD308" s="31">
        <v>0</v>
      </c>
      <c r="BE308" s="31">
        <v>0</v>
      </c>
      <c r="BF308" s="31">
        <v>0</v>
      </c>
      <c r="BG308" s="31">
        <v>0</v>
      </c>
      <c r="BH308" s="31">
        <v>0</v>
      </c>
      <c r="BI308" s="31">
        <v>0</v>
      </c>
      <c r="BJ308" s="31">
        <v>0</v>
      </c>
      <c r="BK308" s="31">
        <v>0</v>
      </c>
      <c r="BL308" s="31">
        <v>0</v>
      </c>
      <c r="BM308" s="31">
        <v>0</v>
      </c>
      <c r="BN308" s="31">
        <v>1</v>
      </c>
      <c r="BO308" s="31">
        <v>1</v>
      </c>
      <c r="BP308" s="31">
        <v>0</v>
      </c>
      <c r="BQ308" s="31">
        <v>0</v>
      </c>
      <c r="BR308" s="31">
        <v>0</v>
      </c>
      <c r="BS308" s="31">
        <v>0</v>
      </c>
      <c r="BT308" s="31">
        <v>0</v>
      </c>
      <c r="BU308" s="31">
        <v>0</v>
      </c>
      <c r="BV308" s="31">
        <v>0</v>
      </c>
      <c r="BW308" s="31">
        <v>0</v>
      </c>
      <c r="BX308" s="31">
        <v>0</v>
      </c>
      <c r="BY308" s="31">
        <v>0</v>
      </c>
      <c r="BZ308" s="31">
        <v>0</v>
      </c>
      <c r="CA308" s="31">
        <v>0</v>
      </c>
      <c r="CB308" s="31">
        <v>0</v>
      </c>
      <c r="CC308" s="31">
        <v>0</v>
      </c>
      <c r="CD308" s="31">
        <v>0</v>
      </c>
      <c r="CE308" s="31">
        <v>0</v>
      </c>
      <c r="CF308" s="31">
        <v>0</v>
      </c>
      <c r="CG308" s="31">
        <v>0</v>
      </c>
      <c r="CH308" s="31">
        <v>0</v>
      </c>
      <c r="CI308" s="31">
        <v>0</v>
      </c>
      <c r="CJ308" s="31">
        <v>0</v>
      </c>
      <c r="CK308" s="31">
        <v>0</v>
      </c>
      <c r="CL308" s="35">
        <v>0</v>
      </c>
    </row>
    <row r="309" spans="1:90" ht="21" x14ac:dyDescent="0.15">
      <c r="A309" s="27" t="s">
        <v>1509</v>
      </c>
      <c r="B309" s="28" t="s">
        <v>1510</v>
      </c>
      <c r="C309" s="28">
        <v>0</v>
      </c>
      <c r="D309" s="28">
        <v>0</v>
      </c>
      <c r="E309" s="28">
        <v>0</v>
      </c>
      <c r="F309" s="28">
        <v>0</v>
      </c>
      <c r="G309" s="28">
        <v>6</v>
      </c>
      <c r="H309" s="28">
        <f>IFERROR(VLOOKUP(A309,[1]FALTANTES!$A:$AB,28,FALSE),"-")</f>
        <v>0</v>
      </c>
      <c r="I309" s="42">
        <f>IFERROR(VLOOKUP(A309,[1]FALTANTES!$A:$AC,29,FALSE),"-")</f>
        <v>2</v>
      </c>
      <c r="J309" s="29">
        <f>IFERROR(VLOOKUP(A309,[1]FALTANTES!$A:$AD,30,FALSE),"-")</f>
        <v>-4</v>
      </c>
      <c r="K309" s="30">
        <v>0</v>
      </c>
      <c r="L309" s="30">
        <f t="shared" si="6"/>
        <v>2</v>
      </c>
      <c r="M309" s="31">
        <f>SUMIFS(METALFISA!$E:$E,METALFISA!$A:$A,'Faltantes Fevereiro- Metalfisa'!M$3,METALFISA!$B:$B,'Faltantes Fevereiro- Metalfisa'!$A309)</f>
        <v>0</v>
      </c>
      <c r="N309" s="31">
        <f>SUMIFS(METALFISA!$E:$E,METALFISA!$A:$A,'Faltantes Fevereiro- Metalfisa'!N$3,METALFISA!$B:$B,'Faltantes Fevereiro- Metalfisa'!$A309)</f>
        <v>0</v>
      </c>
      <c r="O309" s="31">
        <f>SUMIFS(METALFISA!$E:$E,METALFISA!$A:$A,'Faltantes Fevereiro- Metalfisa'!O$3,METALFISA!$B:$B,'Faltantes Fevereiro- Metalfisa'!$A309)</f>
        <v>0</v>
      </c>
      <c r="P309" s="31">
        <f>SUMIFS(METALFISA!$E:$E,METALFISA!$A:$A,'Faltantes Fevereiro- Metalfisa'!P$3,METALFISA!$B:$B,'Faltantes Fevereiro- Metalfisa'!$A309)</f>
        <v>0</v>
      </c>
      <c r="Q309" s="31">
        <f>SUMIFS(METALFISA!$E:$E,METALFISA!$A:$A,'Faltantes Fevereiro- Metalfisa'!Q$3,METALFISA!$B:$B,'Faltantes Fevereiro- Metalfisa'!$A309)</f>
        <v>0</v>
      </c>
      <c r="R309" s="31">
        <f>SUMIFS(METALFISA!$E:$E,METALFISA!$A:$A,'Faltantes Fevereiro- Metalfisa'!R$3,METALFISA!$B:$B,'Faltantes Fevereiro- Metalfisa'!$A309)</f>
        <v>0</v>
      </c>
      <c r="S309" s="31">
        <f>SUMIFS(METALFISA!$E:$E,METALFISA!$A:$A,'Faltantes Fevereiro- Metalfisa'!S$3,METALFISA!$B:$B,'Faltantes Fevereiro- Metalfisa'!$A309)</f>
        <v>0</v>
      </c>
      <c r="T309" s="31">
        <f>SUMIFS(METALFISA!$E:$E,METALFISA!$A:$A,'Faltantes Fevereiro- Metalfisa'!T$3,METALFISA!$B:$B,'Faltantes Fevereiro- Metalfisa'!$A309)</f>
        <v>0</v>
      </c>
      <c r="U309" s="31">
        <f>SUMIFS(METALFISA!$E:$E,METALFISA!$A:$A,'Faltantes Fevereiro- Metalfisa'!U$3,METALFISA!$B:$B,'Faltantes Fevereiro- Metalfisa'!$A309)</f>
        <v>0</v>
      </c>
      <c r="V309" s="31">
        <f>SUMIFS(METALFISA!$E:$E,METALFISA!$A:$A,'Faltantes Fevereiro- Metalfisa'!V$3,METALFISA!$B:$B,'Faltantes Fevereiro- Metalfisa'!$A309)</f>
        <v>0</v>
      </c>
      <c r="W309" s="31">
        <f>SUMIFS(METALFISA!$E:$E,METALFISA!$A:$A,'Faltantes Fevereiro- Metalfisa'!W$3,METALFISA!$B:$B,'Faltantes Fevereiro- Metalfisa'!$A309)</f>
        <v>0</v>
      </c>
      <c r="X309" s="31">
        <f>SUMIFS(METALFISA!$E:$E,METALFISA!$A:$A,'Faltantes Fevereiro- Metalfisa'!X$3,METALFISA!$B:$B,'Faltantes Fevereiro- Metalfisa'!$A309)</f>
        <v>0</v>
      </c>
      <c r="Y309" s="31">
        <f>SUMIFS(METALFISA!$E:$E,METALFISA!$A:$A,'Faltantes Fevereiro- Metalfisa'!Y$3,METALFISA!$B:$B,'Faltantes Fevereiro- Metalfisa'!$A309)</f>
        <v>0</v>
      </c>
      <c r="Z309" s="31">
        <f>SUMIFS(METALFISA!$E:$E,METALFISA!$A:$A,'Faltantes Fevereiro- Metalfisa'!Z$3,METALFISA!$B:$B,'Faltantes Fevereiro- Metalfisa'!$A309)</f>
        <v>0</v>
      </c>
      <c r="AA309" s="31">
        <f>SUMIFS(METALFISA!$E:$E,METALFISA!$A:$A,'Faltantes Fevereiro- Metalfisa'!AA$3,METALFISA!$B:$B,'Faltantes Fevereiro- Metalfisa'!$A309)</f>
        <v>0</v>
      </c>
      <c r="AB309" s="31">
        <f>SUMIFS(METALFISA!$E:$E,METALFISA!$A:$A,'Faltantes Fevereiro- Metalfisa'!AB$3,METALFISA!$B:$B,'Faltantes Fevereiro- Metalfisa'!$A309)</f>
        <v>0</v>
      </c>
      <c r="AC309" s="31">
        <f>SUMIFS(METALFISA!$E:$E,METALFISA!$A:$A,'Faltantes Fevereiro- Metalfisa'!AC$3,METALFISA!$B:$B,'Faltantes Fevereiro- Metalfisa'!$A309)</f>
        <v>0</v>
      </c>
      <c r="AD309" s="31">
        <f>SUMIFS(METALFISA!$E:$E,METALFISA!$A:$A,'Faltantes Fevereiro- Metalfisa'!AD$3,METALFISA!$B:$B,'Faltantes Fevereiro- Metalfisa'!$A309)</f>
        <v>0</v>
      </c>
      <c r="AE309" s="31">
        <f>SUMIFS(METALFISA!$E:$E,METALFISA!$A:$A,'Faltantes Fevereiro- Metalfisa'!AE$3,METALFISA!$B:$B,'Faltantes Fevereiro- Metalfisa'!$A309)</f>
        <v>2</v>
      </c>
      <c r="AF309" s="31">
        <f>SUMIFS(METALFISA!$E:$E,METALFISA!$A:$A,'Faltantes Fevereiro- Metalfisa'!AF$3,METALFISA!$B:$B,'Faltantes Fevereiro- Metalfisa'!$A309)</f>
        <v>0</v>
      </c>
      <c r="AG309" s="31">
        <f>SUMIFS(METALFISA!$E:$E,METALFISA!$A:$A,'Faltantes Fevereiro- Metalfisa'!AG$3,METALFISA!$B:$B,'Faltantes Fevereiro- Metalfisa'!$A309)</f>
        <v>0</v>
      </c>
      <c r="AH309" s="31">
        <f>SUMIFS(METALFISA!$E:$E,METALFISA!$A:$A,'Faltantes Fevereiro- Metalfisa'!AH$3,METALFISA!$B:$B,'Faltantes Fevereiro- Metalfisa'!$A309)</f>
        <v>0</v>
      </c>
      <c r="AI309" s="31">
        <f>SUMIFS(METALFISA!$E:$E,METALFISA!$A:$A,'Faltantes Fevereiro- Metalfisa'!AI$3,METALFISA!$B:$B,'Faltantes Fevereiro- Metalfisa'!$A309)</f>
        <v>0</v>
      </c>
      <c r="AJ309" s="31">
        <f>SUMIFS(METALFISA!$E:$E,METALFISA!$A:$A,'Faltantes Fevereiro- Metalfisa'!AJ$3,METALFISA!$B:$B,'Faltantes Fevereiro- Metalfisa'!$A309)</f>
        <v>0</v>
      </c>
      <c r="AK309" s="31">
        <f>SUMIFS(METALFISA!$E:$E,METALFISA!$A:$A,'Faltantes Fevereiro- Metalfisa'!AK$3,METALFISA!$B:$B,'Faltantes Fevereiro- Metalfisa'!$A309)</f>
        <v>0</v>
      </c>
      <c r="AL309" s="31">
        <f>SUMIFS(METALFISA!$E:$E,METALFISA!$A:$A,'Faltantes Fevereiro- Metalfisa'!AL$3,METALFISA!$B:$B,'Faltantes Fevereiro- Metalfisa'!$A309)</f>
        <v>0</v>
      </c>
      <c r="AM309" s="31">
        <f>SUMIFS(METALFISA!$E:$E,METALFISA!$A:$A,'Faltantes Fevereiro- Metalfisa'!AM$3,METALFISA!$B:$B,'Faltantes Fevereiro- Metalfisa'!$A309)</f>
        <v>0</v>
      </c>
      <c r="AN309" s="31">
        <f>SUMIFS(METALFISA!$E:$E,METALFISA!$A:$A,'Faltantes Fevereiro- Metalfisa'!AN$3,METALFISA!$B:$B,'Faltantes Fevereiro- Metalfisa'!$A309)</f>
        <v>0</v>
      </c>
      <c r="AO309" s="31">
        <f>SUMIFS(METALFISA!$E:$E,METALFISA!$A:$A,'Faltantes Fevereiro- Metalfisa'!AO$3,METALFISA!$B:$B,'Faltantes Fevereiro- Metalfisa'!$A309)</f>
        <v>0</v>
      </c>
      <c r="AP309" s="31">
        <f>SUMIFS(METALFISA!$E:$E,METALFISA!$A:$A,'Faltantes Fevereiro- Metalfisa'!AP$3,METALFISA!$B:$B,'Faltantes Fevereiro- Metalfisa'!$A309)</f>
        <v>0</v>
      </c>
      <c r="AQ309" s="31"/>
      <c r="AR309" s="31">
        <f>SUMIFS(METALFISA!$E:$E,METALFISA!$A:$A,'Faltantes Fevereiro- Metalfisa'!AR$3,METALFISA!$B:$B,'Faltantes Fevereiro- Metalfisa'!$A309)</f>
        <v>0</v>
      </c>
      <c r="AS309" s="35">
        <f>SUMIFS(METALFISA!$E:$E,METALFISA!$A:$A,'Faltantes Fevereiro- Metalfisa'!AS$3,METALFISA!$B:$B,'Faltantes Fevereiro- Metalfisa'!$A309)</f>
        <v>0</v>
      </c>
      <c r="AU309" s="18">
        <v>0</v>
      </c>
      <c r="AV309" s="18">
        <v>0</v>
      </c>
      <c r="AW309" s="18">
        <v>0</v>
      </c>
      <c r="AX309" s="18">
        <v>0</v>
      </c>
      <c r="AY309" s="41">
        <v>0</v>
      </c>
      <c r="AZ309" s="31">
        <v>0</v>
      </c>
      <c r="BA309" s="31">
        <v>0</v>
      </c>
      <c r="BB309" s="31">
        <v>0</v>
      </c>
      <c r="BC309" s="31">
        <v>0</v>
      </c>
      <c r="BD309" s="31">
        <v>0</v>
      </c>
      <c r="BE309" s="31">
        <v>0</v>
      </c>
      <c r="BF309" s="31">
        <v>0</v>
      </c>
      <c r="BG309" s="31">
        <v>0</v>
      </c>
      <c r="BH309" s="31">
        <v>0</v>
      </c>
      <c r="BI309" s="31">
        <v>0</v>
      </c>
      <c r="BJ309" s="31">
        <v>0</v>
      </c>
      <c r="BK309" s="31">
        <v>0</v>
      </c>
      <c r="BL309" s="31">
        <v>0</v>
      </c>
      <c r="BM309" s="31">
        <v>0</v>
      </c>
      <c r="BN309" s="31">
        <v>2</v>
      </c>
      <c r="BO309" s="31">
        <v>1</v>
      </c>
      <c r="BP309" s="31">
        <v>0</v>
      </c>
      <c r="BQ309" s="31">
        <v>0</v>
      </c>
      <c r="BR309" s="31">
        <v>0</v>
      </c>
      <c r="BS309" s="31">
        <v>0</v>
      </c>
      <c r="BT309" s="31">
        <v>0</v>
      </c>
      <c r="BU309" s="31">
        <v>0</v>
      </c>
      <c r="BV309" s="31">
        <v>0</v>
      </c>
      <c r="BW309" s="31">
        <v>0</v>
      </c>
      <c r="BX309" s="31">
        <v>0</v>
      </c>
      <c r="BY309" s="31">
        <v>0</v>
      </c>
      <c r="BZ309" s="31">
        <v>0</v>
      </c>
      <c r="CA309" s="31">
        <v>0</v>
      </c>
      <c r="CB309" s="31">
        <v>0</v>
      </c>
      <c r="CC309" s="31">
        <v>0</v>
      </c>
      <c r="CD309" s="31">
        <v>0</v>
      </c>
      <c r="CE309" s="31">
        <v>0</v>
      </c>
      <c r="CF309" s="31">
        <v>0</v>
      </c>
      <c r="CG309" s="31">
        <v>0</v>
      </c>
      <c r="CH309" s="31">
        <v>0</v>
      </c>
      <c r="CI309" s="31">
        <v>0</v>
      </c>
      <c r="CJ309" s="31">
        <v>0</v>
      </c>
      <c r="CK309" s="31">
        <v>0</v>
      </c>
      <c r="CL309" s="35">
        <v>0</v>
      </c>
    </row>
    <row r="310" spans="1:90" ht="31.5" x14ac:dyDescent="0.15">
      <c r="A310" s="27" t="s">
        <v>1528</v>
      </c>
      <c r="B310" s="28" t="s">
        <v>1529</v>
      </c>
      <c r="C310" s="28">
        <v>0</v>
      </c>
      <c r="D310" s="28">
        <v>0</v>
      </c>
      <c r="E310" s="28">
        <v>0</v>
      </c>
      <c r="F310" s="28">
        <v>0</v>
      </c>
      <c r="G310" s="28">
        <v>4</v>
      </c>
      <c r="H310" s="28">
        <f>IFERROR(VLOOKUP(A310,[1]FALTANTES!$A:$AB,28,FALSE),"-")</f>
        <v>0</v>
      </c>
      <c r="I310" s="42">
        <f>IFERROR(VLOOKUP(A310,[1]FALTANTES!$A:$AC,29,FALSE),"-")</f>
        <v>2</v>
      </c>
      <c r="J310" s="29">
        <f>IFERROR(VLOOKUP(A310,[1]FALTANTES!$A:$AD,30,FALSE),"-")</f>
        <v>-2</v>
      </c>
      <c r="K310" s="30">
        <v>0</v>
      </c>
      <c r="L310" s="30">
        <f t="shared" si="6"/>
        <v>2</v>
      </c>
      <c r="M310" s="31">
        <f>SUMIFS(METALFISA!$E:$E,METALFISA!$A:$A,'Faltantes Fevereiro- Metalfisa'!M$3,METALFISA!$B:$B,'Faltantes Fevereiro- Metalfisa'!$A310)</f>
        <v>0</v>
      </c>
      <c r="N310" s="31">
        <f>SUMIFS(METALFISA!$E:$E,METALFISA!$A:$A,'Faltantes Fevereiro- Metalfisa'!N$3,METALFISA!$B:$B,'Faltantes Fevereiro- Metalfisa'!$A310)</f>
        <v>0</v>
      </c>
      <c r="O310" s="31">
        <f>SUMIFS(METALFISA!$E:$E,METALFISA!$A:$A,'Faltantes Fevereiro- Metalfisa'!O$3,METALFISA!$B:$B,'Faltantes Fevereiro- Metalfisa'!$A310)</f>
        <v>0</v>
      </c>
      <c r="P310" s="31">
        <f>SUMIFS(METALFISA!$E:$E,METALFISA!$A:$A,'Faltantes Fevereiro- Metalfisa'!P$3,METALFISA!$B:$B,'Faltantes Fevereiro- Metalfisa'!$A310)</f>
        <v>0</v>
      </c>
      <c r="Q310" s="31">
        <f>SUMIFS(METALFISA!$E:$E,METALFISA!$A:$A,'Faltantes Fevereiro- Metalfisa'!Q$3,METALFISA!$B:$B,'Faltantes Fevereiro- Metalfisa'!$A310)</f>
        <v>0</v>
      </c>
      <c r="R310" s="31">
        <f>SUMIFS(METALFISA!$E:$E,METALFISA!$A:$A,'Faltantes Fevereiro- Metalfisa'!R$3,METALFISA!$B:$B,'Faltantes Fevereiro- Metalfisa'!$A310)</f>
        <v>0</v>
      </c>
      <c r="S310" s="31">
        <f>SUMIFS(METALFISA!$E:$E,METALFISA!$A:$A,'Faltantes Fevereiro- Metalfisa'!S$3,METALFISA!$B:$B,'Faltantes Fevereiro- Metalfisa'!$A310)</f>
        <v>0</v>
      </c>
      <c r="T310" s="31">
        <f>SUMIFS(METALFISA!$E:$E,METALFISA!$A:$A,'Faltantes Fevereiro- Metalfisa'!T$3,METALFISA!$B:$B,'Faltantes Fevereiro- Metalfisa'!$A310)</f>
        <v>0</v>
      </c>
      <c r="U310" s="31">
        <f>SUMIFS(METALFISA!$E:$E,METALFISA!$A:$A,'Faltantes Fevereiro- Metalfisa'!U$3,METALFISA!$B:$B,'Faltantes Fevereiro- Metalfisa'!$A310)</f>
        <v>0</v>
      </c>
      <c r="V310" s="31">
        <f>SUMIFS(METALFISA!$E:$E,METALFISA!$A:$A,'Faltantes Fevereiro- Metalfisa'!V$3,METALFISA!$B:$B,'Faltantes Fevereiro- Metalfisa'!$A310)</f>
        <v>0</v>
      </c>
      <c r="W310" s="31">
        <f>SUMIFS(METALFISA!$E:$E,METALFISA!$A:$A,'Faltantes Fevereiro- Metalfisa'!W$3,METALFISA!$B:$B,'Faltantes Fevereiro- Metalfisa'!$A310)</f>
        <v>0</v>
      </c>
      <c r="X310" s="31">
        <f>SUMIFS(METALFISA!$E:$E,METALFISA!$A:$A,'Faltantes Fevereiro- Metalfisa'!X$3,METALFISA!$B:$B,'Faltantes Fevereiro- Metalfisa'!$A310)</f>
        <v>0</v>
      </c>
      <c r="Y310" s="31">
        <f>SUMIFS(METALFISA!$E:$E,METALFISA!$A:$A,'Faltantes Fevereiro- Metalfisa'!Y$3,METALFISA!$B:$B,'Faltantes Fevereiro- Metalfisa'!$A310)</f>
        <v>0</v>
      </c>
      <c r="Z310" s="31">
        <f>SUMIFS(METALFISA!$E:$E,METALFISA!$A:$A,'Faltantes Fevereiro- Metalfisa'!Z$3,METALFISA!$B:$B,'Faltantes Fevereiro- Metalfisa'!$A310)</f>
        <v>0</v>
      </c>
      <c r="AA310" s="31">
        <f>SUMIFS(METALFISA!$E:$E,METALFISA!$A:$A,'Faltantes Fevereiro- Metalfisa'!AA$3,METALFISA!$B:$B,'Faltantes Fevereiro- Metalfisa'!$A310)</f>
        <v>0</v>
      </c>
      <c r="AB310" s="31">
        <f>SUMIFS(METALFISA!$E:$E,METALFISA!$A:$A,'Faltantes Fevereiro- Metalfisa'!AB$3,METALFISA!$B:$B,'Faltantes Fevereiro- Metalfisa'!$A310)</f>
        <v>0</v>
      </c>
      <c r="AC310" s="31">
        <f>SUMIFS(METALFISA!$E:$E,METALFISA!$A:$A,'Faltantes Fevereiro- Metalfisa'!AC$3,METALFISA!$B:$B,'Faltantes Fevereiro- Metalfisa'!$A310)</f>
        <v>0</v>
      </c>
      <c r="AD310" s="31">
        <f>SUMIFS(METALFISA!$E:$E,METALFISA!$A:$A,'Faltantes Fevereiro- Metalfisa'!AD$3,METALFISA!$B:$B,'Faltantes Fevereiro- Metalfisa'!$A310)</f>
        <v>0</v>
      </c>
      <c r="AE310" s="31">
        <f>SUMIFS(METALFISA!$E:$E,METALFISA!$A:$A,'Faltantes Fevereiro- Metalfisa'!AE$3,METALFISA!$B:$B,'Faltantes Fevereiro- Metalfisa'!$A310)</f>
        <v>2</v>
      </c>
      <c r="AF310" s="31">
        <f>SUMIFS(METALFISA!$E:$E,METALFISA!$A:$A,'Faltantes Fevereiro- Metalfisa'!AF$3,METALFISA!$B:$B,'Faltantes Fevereiro- Metalfisa'!$A310)</f>
        <v>0</v>
      </c>
      <c r="AG310" s="31">
        <f>SUMIFS(METALFISA!$E:$E,METALFISA!$A:$A,'Faltantes Fevereiro- Metalfisa'!AG$3,METALFISA!$B:$B,'Faltantes Fevereiro- Metalfisa'!$A310)</f>
        <v>0</v>
      </c>
      <c r="AH310" s="31">
        <f>SUMIFS(METALFISA!$E:$E,METALFISA!$A:$A,'Faltantes Fevereiro- Metalfisa'!AH$3,METALFISA!$B:$B,'Faltantes Fevereiro- Metalfisa'!$A310)</f>
        <v>0</v>
      </c>
      <c r="AI310" s="31">
        <f>SUMIFS(METALFISA!$E:$E,METALFISA!$A:$A,'Faltantes Fevereiro- Metalfisa'!AI$3,METALFISA!$B:$B,'Faltantes Fevereiro- Metalfisa'!$A310)</f>
        <v>0</v>
      </c>
      <c r="AJ310" s="31">
        <f>SUMIFS(METALFISA!$E:$E,METALFISA!$A:$A,'Faltantes Fevereiro- Metalfisa'!AJ$3,METALFISA!$B:$B,'Faltantes Fevereiro- Metalfisa'!$A310)</f>
        <v>0</v>
      </c>
      <c r="AK310" s="31">
        <f>SUMIFS(METALFISA!$E:$E,METALFISA!$A:$A,'Faltantes Fevereiro- Metalfisa'!AK$3,METALFISA!$B:$B,'Faltantes Fevereiro- Metalfisa'!$A310)</f>
        <v>0</v>
      </c>
      <c r="AL310" s="31">
        <f>SUMIFS(METALFISA!$E:$E,METALFISA!$A:$A,'Faltantes Fevereiro- Metalfisa'!AL$3,METALFISA!$B:$B,'Faltantes Fevereiro- Metalfisa'!$A310)</f>
        <v>0</v>
      </c>
      <c r="AM310" s="31">
        <f>SUMIFS(METALFISA!$E:$E,METALFISA!$A:$A,'Faltantes Fevereiro- Metalfisa'!AM$3,METALFISA!$B:$B,'Faltantes Fevereiro- Metalfisa'!$A310)</f>
        <v>0</v>
      </c>
      <c r="AN310" s="31">
        <f>SUMIFS(METALFISA!$E:$E,METALFISA!$A:$A,'Faltantes Fevereiro- Metalfisa'!AN$3,METALFISA!$B:$B,'Faltantes Fevereiro- Metalfisa'!$A310)</f>
        <v>0</v>
      </c>
      <c r="AO310" s="31">
        <f>SUMIFS(METALFISA!$E:$E,METALFISA!$A:$A,'Faltantes Fevereiro- Metalfisa'!AO$3,METALFISA!$B:$B,'Faltantes Fevereiro- Metalfisa'!$A310)</f>
        <v>0</v>
      </c>
      <c r="AP310" s="31">
        <f>SUMIFS(METALFISA!$E:$E,METALFISA!$A:$A,'Faltantes Fevereiro- Metalfisa'!AP$3,METALFISA!$B:$B,'Faltantes Fevereiro- Metalfisa'!$A310)</f>
        <v>0</v>
      </c>
      <c r="AQ310" s="31"/>
      <c r="AR310" s="31">
        <f>SUMIFS(METALFISA!$E:$E,METALFISA!$A:$A,'Faltantes Fevereiro- Metalfisa'!AR$3,METALFISA!$B:$B,'Faltantes Fevereiro- Metalfisa'!$A310)</f>
        <v>0</v>
      </c>
      <c r="AS310" s="35">
        <f>SUMIFS(METALFISA!$E:$E,METALFISA!$A:$A,'Faltantes Fevereiro- Metalfisa'!AS$3,METALFISA!$B:$B,'Faltantes Fevereiro- Metalfisa'!$A310)</f>
        <v>0</v>
      </c>
      <c r="AU310" s="18">
        <v>0</v>
      </c>
      <c r="AV310" s="18">
        <v>0</v>
      </c>
      <c r="AW310" s="18">
        <v>0</v>
      </c>
      <c r="AX310" s="18">
        <v>0</v>
      </c>
      <c r="AY310" s="41">
        <v>0</v>
      </c>
      <c r="AZ310" s="31">
        <v>0</v>
      </c>
      <c r="BA310" s="31">
        <v>0</v>
      </c>
      <c r="BB310" s="31">
        <v>0</v>
      </c>
      <c r="BC310" s="31">
        <v>0</v>
      </c>
      <c r="BD310" s="31">
        <v>0</v>
      </c>
      <c r="BE310" s="31">
        <v>0</v>
      </c>
      <c r="BF310" s="31">
        <v>0</v>
      </c>
      <c r="BG310" s="31">
        <v>0</v>
      </c>
      <c r="BH310" s="31">
        <v>0</v>
      </c>
      <c r="BI310" s="31">
        <v>0</v>
      </c>
      <c r="BJ310" s="31">
        <v>0</v>
      </c>
      <c r="BK310" s="31">
        <v>0</v>
      </c>
      <c r="BL310" s="31">
        <v>0</v>
      </c>
      <c r="BM310" s="31">
        <v>0</v>
      </c>
      <c r="BN310" s="31">
        <v>0</v>
      </c>
      <c r="BO310" s="31">
        <v>1</v>
      </c>
      <c r="BP310" s="31">
        <v>0</v>
      </c>
      <c r="BQ310" s="31">
        <v>0</v>
      </c>
      <c r="BR310" s="31">
        <v>0</v>
      </c>
      <c r="BS310" s="31">
        <v>0</v>
      </c>
      <c r="BT310" s="31">
        <v>0</v>
      </c>
      <c r="BU310" s="31">
        <v>0</v>
      </c>
      <c r="BV310" s="31">
        <v>0</v>
      </c>
      <c r="BW310" s="31">
        <v>0</v>
      </c>
      <c r="BX310" s="31">
        <v>0</v>
      </c>
      <c r="BY310" s="31">
        <v>0</v>
      </c>
      <c r="BZ310" s="31">
        <v>0</v>
      </c>
      <c r="CA310" s="31">
        <v>0</v>
      </c>
      <c r="CB310" s="31">
        <v>0</v>
      </c>
      <c r="CC310" s="31">
        <v>0</v>
      </c>
      <c r="CD310" s="31">
        <v>0</v>
      </c>
      <c r="CE310" s="31">
        <v>0</v>
      </c>
      <c r="CF310" s="31">
        <v>0</v>
      </c>
      <c r="CG310" s="31">
        <v>0</v>
      </c>
      <c r="CH310" s="31">
        <v>0</v>
      </c>
      <c r="CI310" s="31">
        <v>0</v>
      </c>
      <c r="CJ310" s="31">
        <v>0</v>
      </c>
      <c r="CK310" s="31">
        <v>0</v>
      </c>
      <c r="CL310" s="35">
        <v>0</v>
      </c>
    </row>
    <row r="311" spans="1:90" ht="21" x14ac:dyDescent="0.15">
      <c r="A311" s="27" t="s">
        <v>1532</v>
      </c>
      <c r="B311" s="28" t="s">
        <v>1533</v>
      </c>
      <c r="C311" s="28">
        <v>0</v>
      </c>
      <c r="D311" s="28">
        <v>0</v>
      </c>
      <c r="E311" s="28">
        <v>0</v>
      </c>
      <c r="F311" s="28">
        <v>0</v>
      </c>
      <c r="G311" s="28">
        <v>4</v>
      </c>
      <c r="H311" s="28">
        <f>IFERROR(VLOOKUP(A311,[1]FALTANTES!$A:$AB,28,FALSE),"-")</f>
        <v>0</v>
      </c>
      <c r="I311" s="42">
        <f>IFERROR(VLOOKUP(A311,[1]FALTANTES!$A:$AC,29,FALSE),"-")</f>
        <v>2</v>
      </c>
      <c r="J311" s="29">
        <f>IFERROR(VLOOKUP(A311,[1]FALTANTES!$A:$AD,30,FALSE),"-")</f>
        <v>-2</v>
      </c>
      <c r="K311" s="30">
        <v>0</v>
      </c>
      <c r="L311" s="30">
        <f t="shared" si="6"/>
        <v>2</v>
      </c>
      <c r="M311" s="31">
        <f>SUMIFS(METALFISA!$E:$E,METALFISA!$A:$A,'Faltantes Fevereiro- Metalfisa'!M$3,METALFISA!$B:$B,'Faltantes Fevereiro- Metalfisa'!$A311)</f>
        <v>0</v>
      </c>
      <c r="N311" s="31">
        <f>SUMIFS(METALFISA!$E:$E,METALFISA!$A:$A,'Faltantes Fevereiro- Metalfisa'!N$3,METALFISA!$B:$B,'Faltantes Fevereiro- Metalfisa'!$A311)</f>
        <v>0</v>
      </c>
      <c r="O311" s="31">
        <f>SUMIFS(METALFISA!$E:$E,METALFISA!$A:$A,'Faltantes Fevereiro- Metalfisa'!O$3,METALFISA!$B:$B,'Faltantes Fevereiro- Metalfisa'!$A311)</f>
        <v>0</v>
      </c>
      <c r="P311" s="31">
        <f>SUMIFS(METALFISA!$E:$E,METALFISA!$A:$A,'Faltantes Fevereiro- Metalfisa'!P$3,METALFISA!$B:$B,'Faltantes Fevereiro- Metalfisa'!$A311)</f>
        <v>0</v>
      </c>
      <c r="Q311" s="31">
        <f>SUMIFS(METALFISA!$E:$E,METALFISA!$A:$A,'Faltantes Fevereiro- Metalfisa'!Q$3,METALFISA!$B:$B,'Faltantes Fevereiro- Metalfisa'!$A311)</f>
        <v>0</v>
      </c>
      <c r="R311" s="31">
        <f>SUMIFS(METALFISA!$E:$E,METALFISA!$A:$A,'Faltantes Fevereiro- Metalfisa'!R$3,METALFISA!$B:$B,'Faltantes Fevereiro- Metalfisa'!$A311)</f>
        <v>0</v>
      </c>
      <c r="S311" s="31">
        <f>SUMIFS(METALFISA!$E:$E,METALFISA!$A:$A,'Faltantes Fevereiro- Metalfisa'!S$3,METALFISA!$B:$B,'Faltantes Fevereiro- Metalfisa'!$A311)</f>
        <v>0</v>
      </c>
      <c r="T311" s="31">
        <f>SUMIFS(METALFISA!$E:$E,METALFISA!$A:$A,'Faltantes Fevereiro- Metalfisa'!T$3,METALFISA!$B:$B,'Faltantes Fevereiro- Metalfisa'!$A311)</f>
        <v>0</v>
      </c>
      <c r="U311" s="31">
        <f>SUMIFS(METALFISA!$E:$E,METALFISA!$A:$A,'Faltantes Fevereiro- Metalfisa'!U$3,METALFISA!$B:$B,'Faltantes Fevereiro- Metalfisa'!$A311)</f>
        <v>0</v>
      </c>
      <c r="V311" s="31">
        <f>SUMIFS(METALFISA!$E:$E,METALFISA!$A:$A,'Faltantes Fevereiro- Metalfisa'!V$3,METALFISA!$B:$B,'Faltantes Fevereiro- Metalfisa'!$A311)</f>
        <v>0</v>
      </c>
      <c r="W311" s="31">
        <f>SUMIFS(METALFISA!$E:$E,METALFISA!$A:$A,'Faltantes Fevereiro- Metalfisa'!W$3,METALFISA!$B:$B,'Faltantes Fevereiro- Metalfisa'!$A311)</f>
        <v>0</v>
      </c>
      <c r="X311" s="31">
        <f>SUMIFS(METALFISA!$E:$E,METALFISA!$A:$A,'Faltantes Fevereiro- Metalfisa'!X$3,METALFISA!$B:$B,'Faltantes Fevereiro- Metalfisa'!$A311)</f>
        <v>0</v>
      </c>
      <c r="Y311" s="31">
        <f>SUMIFS(METALFISA!$E:$E,METALFISA!$A:$A,'Faltantes Fevereiro- Metalfisa'!Y$3,METALFISA!$B:$B,'Faltantes Fevereiro- Metalfisa'!$A311)</f>
        <v>0</v>
      </c>
      <c r="Z311" s="31">
        <f>SUMIFS(METALFISA!$E:$E,METALFISA!$A:$A,'Faltantes Fevereiro- Metalfisa'!Z$3,METALFISA!$B:$B,'Faltantes Fevereiro- Metalfisa'!$A311)</f>
        <v>0</v>
      </c>
      <c r="AA311" s="31">
        <f>SUMIFS(METALFISA!$E:$E,METALFISA!$A:$A,'Faltantes Fevereiro- Metalfisa'!AA$3,METALFISA!$B:$B,'Faltantes Fevereiro- Metalfisa'!$A311)</f>
        <v>0</v>
      </c>
      <c r="AB311" s="31">
        <f>SUMIFS(METALFISA!$E:$E,METALFISA!$A:$A,'Faltantes Fevereiro- Metalfisa'!AB$3,METALFISA!$B:$B,'Faltantes Fevereiro- Metalfisa'!$A311)</f>
        <v>0</v>
      </c>
      <c r="AC311" s="31">
        <f>SUMIFS(METALFISA!$E:$E,METALFISA!$A:$A,'Faltantes Fevereiro- Metalfisa'!AC$3,METALFISA!$B:$B,'Faltantes Fevereiro- Metalfisa'!$A311)</f>
        <v>0</v>
      </c>
      <c r="AD311" s="31">
        <f>SUMIFS(METALFISA!$E:$E,METALFISA!$A:$A,'Faltantes Fevereiro- Metalfisa'!AD$3,METALFISA!$B:$B,'Faltantes Fevereiro- Metalfisa'!$A311)</f>
        <v>0</v>
      </c>
      <c r="AE311" s="31">
        <f>SUMIFS(METALFISA!$E:$E,METALFISA!$A:$A,'Faltantes Fevereiro- Metalfisa'!AE$3,METALFISA!$B:$B,'Faltantes Fevereiro- Metalfisa'!$A311)</f>
        <v>2</v>
      </c>
      <c r="AF311" s="31">
        <f>SUMIFS(METALFISA!$E:$E,METALFISA!$A:$A,'Faltantes Fevereiro- Metalfisa'!AF$3,METALFISA!$B:$B,'Faltantes Fevereiro- Metalfisa'!$A311)</f>
        <v>0</v>
      </c>
      <c r="AG311" s="31">
        <f>SUMIFS(METALFISA!$E:$E,METALFISA!$A:$A,'Faltantes Fevereiro- Metalfisa'!AG$3,METALFISA!$B:$B,'Faltantes Fevereiro- Metalfisa'!$A311)</f>
        <v>0</v>
      </c>
      <c r="AH311" s="31">
        <f>SUMIFS(METALFISA!$E:$E,METALFISA!$A:$A,'Faltantes Fevereiro- Metalfisa'!AH$3,METALFISA!$B:$B,'Faltantes Fevereiro- Metalfisa'!$A311)</f>
        <v>0</v>
      </c>
      <c r="AI311" s="31">
        <f>SUMIFS(METALFISA!$E:$E,METALFISA!$A:$A,'Faltantes Fevereiro- Metalfisa'!AI$3,METALFISA!$B:$B,'Faltantes Fevereiro- Metalfisa'!$A311)</f>
        <v>0</v>
      </c>
      <c r="AJ311" s="31">
        <f>SUMIFS(METALFISA!$E:$E,METALFISA!$A:$A,'Faltantes Fevereiro- Metalfisa'!AJ$3,METALFISA!$B:$B,'Faltantes Fevereiro- Metalfisa'!$A311)</f>
        <v>0</v>
      </c>
      <c r="AK311" s="31">
        <f>SUMIFS(METALFISA!$E:$E,METALFISA!$A:$A,'Faltantes Fevereiro- Metalfisa'!AK$3,METALFISA!$B:$B,'Faltantes Fevereiro- Metalfisa'!$A311)</f>
        <v>0</v>
      </c>
      <c r="AL311" s="31">
        <f>SUMIFS(METALFISA!$E:$E,METALFISA!$A:$A,'Faltantes Fevereiro- Metalfisa'!AL$3,METALFISA!$B:$B,'Faltantes Fevereiro- Metalfisa'!$A311)</f>
        <v>0</v>
      </c>
      <c r="AM311" s="31">
        <f>SUMIFS(METALFISA!$E:$E,METALFISA!$A:$A,'Faltantes Fevereiro- Metalfisa'!AM$3,METALFISA!$B:$B,'Faltantes Fevereiro- Metalfisa'!$A311)</f>
        <v>0</v>
      </c>
      <c r="AN311" s="31">
        <f>SUMIFS(METALFISA!$E:$E,METALFISA!$A:$A,'Faltantes Fevereiro- Metalfisa'!AN$3,METALFISA!$B:$B,'Faltantes Fevereiro- Metalfisa'!$A311)</f>
        <v>0</v>
      </c>
      <c r="AO311" s="31">
        <f>SUMIFS(METALFISA!$E:$E,METALFISA!$A:$A,'Faltantes Fevereiro- Metalfisa'!AO$3,METALFISA!$B:$B,'Faltantes Fevereiro- Metalfisa'!$A311)</f>
        <v>0</v>
      </c>
      <c r="AP311" s="31">
        <f>SUMIFS(METALFISA!$E:$E,METALFISA!$A:$A,'Faltantes Fevereiro- Metalfisa'!AP$3,METALFISA!$B:$B,'Faltantes Fevereiro- Metalfisa'!$A311)</f>
        <v>0</v>
      </c>
      <c r="AQ311" s="31"/>
      <c r="AR311" s="31">
        <f>SUMIFS(METALFISA!$E:$E,METALFISA!$A:$A,'Faltantes Fevereiro- Metalfisa'!AR$3,METALFISA!$B:$B,'Faltantes Fevereiro- Metalfisa'!$A311)</f>
        <v>0</v>
      </c>
      <c r="AS311" s="35">
        <f>SUMIFS(METALFISA!$E:$E,METALFISA!$A:$A,'Faltantes Fevereiro- Metalfisa'!AS$3,METALFISA!$B:$B,'Faltantes Fevereiro- Metalfisa'!$A311)</f>
        <v>0</v>
      </c>
      <c r="AU311" s="18">
        <v>0</v>
      </c>
      <c r="AV311" s="18">
        <v>0</v>
      </c>
      <c r="AW311" s="18">
        <v>0</v>
      </c>
      <c r="AX311" s="18">
        <v>0</v>
      </c>
      <c r="AY311" s="41">
        <v>0</v>
      </c>
      <c r="AZ311" s="31">
        <v>0</v>
      </c>
      <c r="BA311" s="31">
        <v>0</v>
      </c>
      <c r="BB311" s="31">
        <v>0</v>
      </c>
      <c r="BC311" s="31">
        <v>0</v>
      </c>
      <c r="BD311" s="31">
        <v>0</v>
      </c>
      <c r="BE311" s="31">
        <v>0</v>
      </c>
      <c r="BF311" s="31">
        <v>0</v>
      </c>
      <c r="BG311" s="31">
        <v>0</v>
      </c>
      <c r="BH311" s="31">
        <v>0</v>
      </c>
      <c r="BI311" s="31">
        <v>0</v>
      </c>
      <c r="BJ311" s="31">
        <v>0</v>
      </c>
      <c r="BK311" s="31">
        <v>0</v>
      </c>
      <c r="BL311" s="31">
        <v>0</v>
      </c>
      <c r="BM311" s="31">
        <v>0</v>
      </c>
      <c r="BN311" s="31">
        <v>0</v>
      </c>
      <c r="BO311" s="31">
        <v>1</v>
      </c>
      <c r="BP311" s="31">
        <v>0</v>
      </c>
      <c r="BQ311" s="31">
        <v>0</v>
      </c>
      <c r="BR311" s="31">
        <v>0</v>
      </c>
      <c r="BS311" s="31">
        <v>0</v>
      </c>
      <c r="BT311" s="31">
        <v>0</v>
      </c>
      <c r="BU311" s="31">
        <v>0</v>
      </c>
      <c r="BV311" s="31">
        <v>0</v>
      </c>
      <c r="BW311" s="31">
        <v>0</v>
      </c>
      <c r="BX311" s="31">
        <v>0</v>
      </c>
      <c r="BY311" s="31">
        <v>0</v>
      </c>
      <c r="BZ311" s="31">
        <v>0</v>
      </c>
      <c r="CA311" s="31">
        <v>0</v>
      </c>
      <c r="CB311" s="31">
        <v>0</v>
      </c>
      <c r="CC311" s="31">
        <v>0</v>
      </c>
      <c r="CD311" s="31">
        <v>0</v>
      </c>
      <c r="CE311" s="31">
        <v>0</v>
      </c>
      <c r="CF311" s="31">
        <v>0</v>
      </c>
      <c r="CG311" s="31">
        <v>0</v>
      </c>
      <c r="CH311" s="31">
        <v>0</v>
      </c>
      <c r="CI311" s="31">
        <v>0</v>
      </c>
      <c r="CJ311" s="31">
        <v>0</v>
      </c>
      <c r="CK311" s="31">
        <v>0</v>
      </c>
      <c r="CL311" s="35">
        <v>0</v>
      </c>
    </row>
    <row r="312" spans="1:90" ht="21" x14ac:dyDescent="0.15">
      <c r="A312" s="27" t="s">
        <v>1536</v>
      </c>
      <c r="B312" s="28" t="s">
        <v>1537</v>
      </c>
      <c r="C312" s="28">
        <v>0</v>
      </c>
      <c r="D312" s="28">
        <v>0</v>
      </c>
      <c r="E312" s="28">
        <v>0</v>
      </c>
      <c r="F312" s="28">
        <v>0</v>
      </c>
      <c r="G312" s="28">
        <v>8</v>
      </c>
      <c r="H312" s="28">
        <f>IFERROR(VLOOKUP(A312,[1]FALTANTES!$A:$AB,28,FALSE),"-")</f>
        <v>0</v>
      </c>
      <c r="I312" s="42">
        <f>IFERROR(VLOOKUP(A312,[1]FALTANTES!$A:$AC,29,FALSE),"-")</f>
        <v>4</v>
      </c>
      <c r="J312" s="29">
        <f>IFERROR(VLOOKUP(A312,[1]FALTANTES!$A:$AD,30,FALSE),"-")</f>
        <v>-4</v>
      </c>
      <c r="K312" s="30">
        <v>0</v>
      </c>
      <c r="L312" s="30">
        <f t="shared" si="6"/>
        <v>2</v>
      </c>
      <c r="M312" s="31">
        <f>SUMIFS(METALFISA!$E:$E,METALFISA!$A:$A,'Faltantes Fevereiro- Metalfisa'!M$3,METALFISA!$B:$B,'Faltantes Fevereiro- Metalfisa'!$A312)</f>
        <v>0</v>
      </c>
      <c r="N312" s="31">
        <f>SUMIFS(METALFISA!$E:$E,METALFISA!$A:$A,'Faltantes Fevereiro- Metalfisa'!N$3,METALFISA!$B:$B,'Faltantes Fevereiro- Metalfisa'!$A312)</f>
        <v>0</v>
      </c>
      <c r="O312" s="31">
        <f>SUMIFS(METALFISA!$E:$E,METALFISA!$A:$A,'Faltantes Fevereiro- Metalfisa'!O$3,METALFISA!$B:$B,'Faltantes Fevereiro- Metalfisa'!$A312)</f>
        <v>0</v>
      </c>
      <c r="P312" s="31">
        <f>SUMIFS(METALFISA!$E:$E,METALFISA!$A:$A,'Faltantes Fevereiro- Metalfisa'!P$3,METALFISA!$B:$B,'Faltantes Fevereiro- Metalfisa'!$A312)</f>
        <v>0</v>
      </c>
      <c r="Q312" s="31">
        <f>SUMIFS(METALFISA!$E:$E,METALFISA!$A:$A,'Faltantes Fevereiro- Metalfisa'!Q$3,METALFISA!$B:$B,'Faltantes Fevereiro- Metalfisa'!$A312)</f>
        <v>0</v>
      </c>
      <c r="R312" s="31">
        <f>SUMIFS(METALFISA!$E:$E,METALFISA!$A:$A,'Faltantes Fevereiro- Metalfisa'!R$3,METALFISA!$B:$B,'Faltantes Fevereiro- Metalfisa'!$A312)</f>
        <v>0</v>
      </c>
      <c r="S312" s="31">
        <f>SUMIFS(METALFISA!$E:$E,METALFISA!$A:$A,'Faltantes Fevereiro- Metalfisa'!S$3,METALFISA!$B:$B,'Faltantes Fevereiro- Metalfisa'!$A312)</f>
        <v>0</v>
      </c>
      <c r="T312" s="31">
        <f>SUMIFS(METALFISA!$E:$E,METALFISA!$A:$A,'Faltantes Fevereiro- Metalfisa'!T$3,METALFISA!$B:$B,'Faltantes Fevereiro- Metalfisa'!$A312)</f>
        <v>0</v>
      </c>
      <c r="U312" s="31">
        <f>SUMIFS(METALFISA!$E:$E,METALFISA!$A:$A,'Faltantes Fevereiro- Metalfisa'!U$3,METALFISA!$B:$B,'Faltantes Fevereiro- Metalfisa'!$A312)</f>
        <v>0</v>
      </c>
      <c r="V312" s="31">
        <f>SUMIFS(METALFISA!$E:$E,METALFISA!$A:$A,'Faltantes Fevereiro- Metalfisa'!V$3,METALFISA!$B:$B,'Faltantes Fevereiro- Metalfisa'!$A312)</f>
        <v>0</v>
      </c>
      <c r="W312" s="31">
        <f>SUMIFS(METALFISA!$E:$E,METALFISA!$A:$A,'Faltantes Fevereiro- Metalfisa'!W$3,METALFISA!$B:$B,'Faltantes Fevereiro- Metalfisa'!$A312)</f>
        <v>0</v>
      </c>
      <c r="X312" s="31">
        <f>SUMIFS(METALFISA!$E:$E,METALFISA!$A:$A,'Faltantes Fevereiro- Metalfisa'!X$3,METALFISA!$B:$B,'Faltantes Fevereiro- Metalfisa'!$A312)</f>
        <v>0</v>
      </c>
      <c r="Y312" s="31">
        <f>SUMIFS(METALFISA!$E:$E,METALFISA!$A:$A,'Faltantes Fevereiro- Metalfisa'!Y$3,METALFISA!$B:$B,'Faltantes Fevereiro- Metalfisa'!$A312)</f>
        <v>0</v>
      </c>
      <c r="Z312" s="31">
        <f>SUMIFS(METALFISA!$E:$E,METALFISA!$A:$A,'Faltantes Fevereiro- Metalfisa'!Z$3,METALFISA!$B:$B,'Faltantes Fevereiro- Metalfisa'!$A312)</f>
        <v>0</v>
      </c>
      <c r="AA312" s="31">
        <f>SUMIFS(METALFISA!$E:$E,METALFISA!$A:$A,'Faltantes Fevereiro- Metalfisa'!AA$3,METALFISA!$B:$B,'Faltantes Fevereiro- Metalfisa'!$A312)</f>
        <v>0</v>
      </c>
      <c r="AB312" s="31">
        <f>SUMIFS(METALFISA!$E:$E,METALFISA!$A:$A,'Faltantes Fevereiro- Metalfisa'!AB$3,METALFISA!$B:$B,'Faltantes Fevereiro- Metalfisa'!$A312)</f>
        <v>0</v>
      </c>
      <c r="AC312" s="31">
        <f>SUMIFS(METALFISA!$E:$E,METALFISA!$A:$A,'Faltantes Fevereiro- Metalfisa'!AC$3,METALFISA!$B:$B,'Faltantes Fevereiro- Metalfisa'!$A312)</f>
        <v>0</v>
      </c>
      <c r="AD312" s="31">
        <f>SUMIFS(METALFISA!$E:$E,METALFISA!$A:$A,'Faltantes Fevereiro- Metalfisa'!AD$3,METALFISA!$B:$B,'Faltantes Fevereiro- Metalfisa'!$A312)</f>
        <v>0</v>
      </c>
      <c r="AE312" s="31">
        <f>SUMIFS(METALFISA!$E:$E,METALFISA!$A:$A,'Faltantes Fevereiro- Metalfisa'!AE$3,METALFISA!$B:$B,'Faltantes Fevereiro- Metalfisa'!$A312)</f>
        <v>2</v>
      </c>
      <c r="AF312" s="31">
        <f>SUMIFS(METALFISA!$E:$E,METALFISA!$A:$A,'Faltantes Fevereiro- Metalfisa'!AF$3,METALFISA!$B:$B,'Faltantes Fevereiro- Metalfisa'!$A312)</f>
        <v>0</v>
      </c>
      <c r="AG312" s="31">
        <f>SUMIFS(METALFISA!$E:$E,METALFISA!$A:$A,'Faltantes Fevereiro- Metalfisa'!AG$3,METALFISA!$B:$B,'Faltantes Fevereiro- Metalfisa'!$A312)</f>
        <v>0</v>
      </c>
      <c r="AH312" s="31">
        <f>SUMIFS(METALFISA!$E:$E,METALFISA!$A:$A,'Faltantes Fevereiro- Metalfisa'!AH$3,METALFISA!$B:$B,'Faltantes Fevereiro- Metalfisa'!$A312)</f>
        <v>0</v>
      </c>
      <c r="AI312" s="31">
        <f>SUMIFS(METALFISA!$E:$E,METALFISA!$A:$A,'Faltantes Fevereiro- Metalfisa'!AI$3,METALFISA!$B:$B,'Faltantes Fevereiro- Metalfisa'!$A312)</f>
        <v>0</v>
      </c>
      <c r="AJ312" s="31">
        <f>SUMIFS(METALFISA!$E:$E,METALFISA!$A:$A,'Faltantes Fevereiro- Metalfisa'!AJ$3,METALFISA!$B:$B,'Faltantes Fevereiro- Metalfisa'!$A312)</f>
        <v>0</v>
      </c>
      <c r="AK312" s="31">
        <f>SUMIFS(METALFISA!$E:$E,METALFISA!$A:$A,'Faltantes Fevereiro- Metalfisa'!AK$3,METALFISA!$B:$B,'Faltantes Fevereiro- Metalfisa'!$A312)</f>
        <v>0</v>
      </c>
      <c r="AL312" s="31">
        <f>SUMIFS(METALFISA!$E:$E,METALFISA!$A:$A,'Faltantes Fevereiro- Metalfisa'!AL$3,METALFISA!$B:$B,'Faltantes Fevereiro- Metalfisa'!$A312)</f>
        <v>0</v>
      </c>
      <c r="AM312" s="31">
        <f>SUMIFS(METALFISA!$E:$E,METALFISA!$A:$A,'Faltantes Fevereiro- Metalfisa'!AM$3,METALFISA!$B:$B,'Faltantes Fevereiro- Metalfisa'!$A312)</f>
        <v>0</v>
      </c>
      <c r="AN312" s="31">
        <f>SUMIFS(METALFISA!$E:$E,METALFISA!$A:$A,'Faltantes Fevereiro- Metalfisa'!AN$3,METALFISA!$B:$B,'Faltantes Fevereiro- Metalfisa'!$A312)</f>
        <v>0</v>
      </c>
      <c r="AO312" s="31">
        <f>SUMIFS(METALFISA!$E:$E,METALFISA!$A:$A,'Faltantes Fevereiro- Metalfisa'!AO$3,METALFISA!$B:$B,'Faltantes Fevereiro- Metalfisa'!$A312)</f>
        <v>0</v>
      </c>
      <c r="AP312" s="31">
        <f>SUMIFS(METALFISA!$E:$E,METALFISA!$A:$A,'Faltantes Fevereiro- Metalfisa'!AP$3,METALFISA!$B:$B,'Faltantes Fevereiro- Metalfisa'!$A312)</f>
        <v>0</v>
      </c>
      <c r="AQ312" s="31"/>
      <c r="AR312" s="31">
        <f>SUMIFS(METALFISA!$E:$E,METALFISA!$A:$A,'Faltantes Fevereiro- Metalfisa'!AR$3,METALFISA!$B:$B,'Faltantes Fevereiro- Metalfisa'!$A312)</f>
        <v>0</v>
      </c>
      <c r="AS312" s="35">
        <f>SUMIFS(METALFISA!$E:$E,METALFISA!$A:$A,'Faltantes Fevereiro- Metalfisa'!AS$3,METALFISA!$B:$B,'Faltantes Fevereiro- Metalfisa'!$A312)</f>
        <v>0</v>
      </c>
      <c r="AU312" s="18">
        <v>0</v>
      </c>
      <c r="AV312" s="18">
        <v>0</v>
      </c>
      <c r="AW312" s="18">
        <v>0</v>
      </c>
      <c r="AX312" s="18">
        <v>0</v>
      </c>
      <c r="AY312" s="41">
        <v>0</v>
      </c>
      <c r="AZ312" s="31">
        <v>0</v>
      </c>
      <c r="BA312" s="31">
        <v>0</v>
      </c>
      <c r="BB312" s="31">
        <v>0</v>
      </c>
      <c r="BC312" s="31">
        <v>0</v>
      </c>
      <c r="BD312" s="31">
        <v>0</v>
      </c>
      <c r="BE312" s="31">
        <v>0</v>
      </c>
      <c r="BF312" s="31">
        <v>0</v>
      </c>
      <c r="BG312" s="31">
        <v>0</v>
      </c>
      <c r="BH312" s="31">
        <v>0</v>
      </c>
      <c r="BI312" s="31">
        <v>0</v>
      </c>
      <c r="BJ312" s="31">
        <v>0</v>
      </c>
      <c r="BK312" s="31">
        <v>0</v>
      </c>
      <c r="BL312" s="31">
        <v>0</v>
      </c>
      <c r="BM312" s="31">
        <v>0</v>
      </c>
      <c r="BN312" s="31">
        <v>0</v>
      </c>
      <c r="BO312" s="31">
        <v>2</v>
      </c>
      <c r="BP312" s="31">
        <v>0</v>
      </c>
      <c r="BQ312" s="31">
        <v>0</v>
      </c>
      <c r="BR312" s="31">
        <v>0</v>
      </c>
      <c r="BS312" s="31">
        <v>0</v>
      </c>
      <c r="BT312" s="31">
        <v>0</v>
      </c>
      <c r="BU312" s="31">
        <v>0</v>
      </c>
      <c r="BV312" s="31">
        <v>0</v>
      </c>
      <c r="BW312" s="31">
        <v>0</v>
      </c>
      <c r="BX312" s="31">
        <v>0</v>
      </c>
      <c r="BY312" s="31">
        <v>0</v>
      </c>
      <c r="BZ312" s="31">
        <v>0</v>
      </c>
      <c r="CA312" s="31">
        <v>0</v>
      </c>
      <c r="CB312" s="31">
        <v>0</v>
      </c>
      <c r="CC312" s="31">
        <v>0</v>
      </c>
      <c r="CD312" s="31">
        <v>0</v>
      </c>
      <c r="CE312" s="31">
        <v>0</v>
      </c>
      <c r="CF312" s="31">
        <v>0</v>
      </c>
      <c r="CG312" s="31">
        <v>0</v>
      </c>
      <c r="CH312" s="31">
        <v>0</v>
      </c>
      <c r="CI312" s="31">
        <v>0</v>
      </c>
      <c r="CJ312" s="31">
        <v>0</v>
      </c>
      <c r="CK312" s="31">
        <v>0</v>
      </c>
      <c r="CL312" s="35">
        <v>0</v>
      </c>
    </row>
    <row r="313" spans="1:90" ht="31.5" x14ac:dyDescent="0.15">
      <c r="A313" s="27" t="s">
        <v>1559</v>
      </c>
      <c r="B313" s="28" t="s">
        <v>1560</v>
      </c>
      <c r="C313" s="28">
        <v>2</v>
      </c>
      <c r="D313" s="28">
        <v>0</v>
      </c>
      <c r="E313" s="28">
        <v>0</v>
      </c>
      <c r="F313" s="28">
        <v>0</v>
      </c>
      <c r="G313" s="28">
        <v>15</v>
      </c>
      <c r="H313" s="28">
        <f>IFERROR(VLOOKUP(A313,[1]FALTANTES!$A:$AB,28,FALSE),"-")</f>
        <v>0</v>
      </c>
      <c r="I313" s="42">
        <f>IFERROR(VLOOKUP(A313,[1]FALTANTES!$A:$AC,29,FALSE),"-")</f>
        <v>8</v>
      </c>
      <c r="J313" s="29">
        <f>IFERROR(VLOOKUP(A313,[1]FALTANTES!$A:$AD,30,FALSE),"-")</f>
        <v>-9</v>
      </c>
      <c r="K313" s="30">
        <v>0</v>
      </c>
      <c r="L313" s="30">
        <f t="shared" si="6"/>
        <v>2</v>
      </c>
      <c r="M313" s="31">
        <f>SUMIFS(METALFISA!$E:$E,METALFISA!$A:$A,'Faltantes Fevereiro- Metalfisa'!M$3,METALFISA!$B:$B,'Faltantes Fevereiro- Metalfisa'!$A313)</f>
        <v>0</v>
      </c>
      <c r="N313" s="31">
        <f>SUMIFS(METALFISA!$E:$E,METALFISA!$A:$A,'Faltantes Fevereiro- Metalfisa'!N$3,METALFISA!$B:$B,'Faltantes Fevereiro- Metalfisa'!$A313)</f>
        <v>0</v>
      </c>
      <c r="O313" s="31">
        <f>SUMIFS(METALFISA!$E:$E,METALFISA!$A:$A,'Faltantes Fevereiro- Metalfisa'!O$3,METALFISA!$B:$B,'Faltantes Fevereiro- Metalfisa'!$A313)</f>
        <v>0</v>
      </c>
      <c r="P313" s="31">
        <f>SUMIFS(METALFISA!$E:$E,METALFISA!$A:$A,'Faltantes Fevereiro- Metalfisa'!P$3,METALFISA!$B:$B,'Faltantes Fevereiro- Metalfisa'!$A313)</f>
        <v>0</v>
      </c>
      <c r="Q313" s="31">
        <f>SUMIFS(METALFISA!$E:$E,METALFISA!$A:$A,'Faltantes Fevereiro- Metalfisa'!Q$3,METALFISA!$B:$B,'Faltantes Fevereiro- Metalfisa'!$A313)</f>
        <v>0</v>
      </c>
      <c r="R313" s="31">
        <f>SUMIFS(METALFISA!$E:$E,METALFISA!$A:$A,'Faltantes Fevereiro- Metalfisa'!R$3,METALFISA!$B:$B,'Faltantes Fevereiro- Metalfisa'!$A313)</f>
        <v>0</v>
      </c>
      <c r="S313" s="31">
        <f>SUMIFS(METALFISA!$E:$E,METALFISA!$A:$A,'Faltantes Fevereiro- Metalfisa'!S$3,METALFISA!$B:$B,'Faltantes Fevereiro- Metalfisa'!$A313)</f>
        <v>0</v>
      </c>
      <c r="T313" s="31">
        <f>SUMIFS(METALFISA!$E:$E,METALFISA!$A:$A,'Faltantes Fevereiro- Metalfisa'!T$3,METALFISA!$B:$B,'Faltantes Fevereiro- Metalfisa'!$A313)</f>
        <v>0</v>
      </c>
      <c r="U313" s="31">
        <f>SUMIFS(METALFISA!$E:$E,METALFISA!$A:$A,'Faltantes Fevereiro- Metalfisa'!U$3,METALFISA!$B:$B,'Faltantes Fevereiro- Metalfisa'!$A313)</f>
        <v>0</v>
      </c>
      <c r="V313" s="31">
        <f>SUMIFS(METALFISA!$E:$E,METALFISA!$A:$A,'Faltantes Fevereiro- Metalfisa'!V$3,METALFISA!$B:$B,'Faltantes Fevereiro- Metalfisa'!$A313)</f>
        <v>0</v>
      </c>
      <c r="W313" s="31">
        <f>SUMIFS(METALFISA!$E:$E,METALFISA!$A:$A,'Faltantes Fevereiro- Metalfisa'!W$3,METALFISA!$B:$B,'Faltantes Fevereiro- Metalfisa'!$A313)</f>
        <v>0</v>
      </c>
      <c r="X313" s="31">
        <f>SUMIFS(METALFISA!$E:$E,METALFISA!$A:$A,'Faltantes Fevereiro- Metalfisa'!X$3,METALFISA!$B:$B,'Faltantes Fevereiro- Metalfisa'!$A313)</f>
        <v>0</v>
      </c>
      <c r="Y313" s="31">
        <f>SUMIFS(METALFISA!$E:$E,METALFISA!$A:$A,'Faltantes Fevereiro- Metalfisa'!Y$3,METALFISA!$B:$B,'Faltantes Fevereiro- Metalfisa'!$A313)</f>
        <v>0</v>
      </c>
      <c r="Z313" s="31">
        <f>SUMIFS(METALFISA!$E:$E,METALFISA!$A:$A,'Faltantes Fevereiro- Metalfisa'!Z$3,METALFISA!$B:$B,'Faltantes Fevereiro- Metalfisa'!$A313)</f>
        <v>0</v>
      </c>
      <c r="AA313" s="31">
        <f>SUMIFS(METALFISA!$E:$E,METALFISA!$A:$A,'Faltantes Fevereiro- Metalfisa'!AA$3,METALFISA!$B:$B,'Faltantes Fevereiro- Metalfisa'!$A313)</f>
        <v>0</v>
      </c>
      <c r="AB313" s="31">
        <f>SUMIFS(METALFISA!$E:$E,METALFISA!$A:$A,'Faltantes Fevereiro- Metalfisa'!AB$3,METALFISA!$B:$B,'Faltantes Fevereiro- Metalfisa'!$A313)</f>
        <v>0</v>
      </c>
      <c r="AC313" s="31">
        <f>SUMIFS(METALFISA!$E:$E,METALFISA!$A:$A,'Faltantes Fevereiro- Metalfisa'!AC$3,METALFISA!$B:$B,'Faltantes Fevereiro- Metalfisa'!$A313)</f>
        <v>0</v>
      </c>
      <c r="AD313" s="31">
        <f>SUMIFS(METALFISA!$E:$E,METALFISA!$A:$A,'Faltantes Fevereiro- Metalfisa'!AD$3,METALFISA!$B:$B,'Faltantes Fevereiro- Metalfisa'!$A313)</f>
        <v>0</v>
      </c>
      <c r="AE313" s="31">
        <f>SUMIFS(METALFISA!$E:$E,METALFISA!$A:$A,'Faltantes Fevereiro- Metalfisa'!AE$3,METALFISA!$B:$B,'Faltantes Fevereiro- Metalfisa'!$A313)</f>
        <v>2</v>
      </c>
      <c r="AF313" s="31">
        <f>SUMIFS(METALFISA!$E:$E,METALFISA!$A:$A,'Faltantes Fevereiro- Metalfisa'!AF$3,METALFISA!$B:$B,'Faltantes Fevereiro- Metalfisa'!$A313)</f>
        <v>0</v>
      </c>
      <c r="AG313" s="31">
        <f>SUMIFS(METALFISA!$E:$E,METALFISA!$A:$A,'Faltantes Fevereiro- Metalfisa'!AG$3,METALFISA!$B:$B,'Faltantes Fevereiro- Metalfisa'!$A313)</f>
        <v>0</v>
      </c>
      <c r="AH313" s="31">
        <f>SUMIFS(METALFISA!$E:$E,METALFISA!$A:$A,'Faltantes Fevereiro- Metalfisa'!AH$3,METALFISA!$B:$B,'Faltantes Fevereiro- Metalfisa'!$A313)</f>
        <v>0</v>
      </c>
      <c r="AI313" s="31">
        <f>SUMIFS(METALFISA!$E:$E,METALFISA!$A:$A,'Faltantes Fevereiro- Metalfisa'!AI$3,METALFISA!$B:$B,'Faltantes Fevereiro- Metalfisa'!$A313)</f>
        <v>0</v>
      </c>
      <c r="AJ313" s="31">
        <f>SUMIFS(METALFISA!$E:$E,METALFISA!$A:$A,'Faltantes Fevereiro- Metalfisa'!AJ$3,METALFISA!$B:$B,'Faltantes Fevereiro- Metalfisa'!$A313)</f>
        <v>0</v>
      </c>
      <c r="AK313" s="31">
        <f>SUMIFS(METALFISA!$E:$E,METALFISA!$A:$A,'Faltantes Fevereiro- Metalfisa'!AK$3,METALFISA!$B:$B,'Faltantes Fevereiro- Metalfisa'!$A313)</f>
        <v>0</v>
      </c>
      <c r="AL313" s="31">
        <f>SUMIFS(METALFISA!$E:$E,METALFISA!$A:$A,'Faltantes Fevereiro- Metalfisa'!AL$3,METALFISA!$B:$B,'Faltantes Fevereiro- Metalfisa'!$A313)</f>
        <v>0</v>
      </c>
      <c r="AM313" s="31">
        <f>SUMIFS(METALFISA!$E:$E,METALFISA!$A:$A,'Faltantes Fevereiro- Metalfisa'!AM$3,METALFISA!$B:$B,'Faltantes Fevereiro- Metalfisa'!$A313)</f>
        <v>0</v>
      </c>
      <c r="AN313" s="31">
        <f>SUMIFS(METALFISA!$E:$E,METALFISA!$A:$A,'Faltantes Fevereiro- Metalfisa'!AN$3,METALFISA!$B:$B,'Faltantes Fevereiro- Metalfisa'!$A313)</f>
        <v>0</v>
      </c>
      <c r="AO313" s="31">
        <f>SUMIFS(METALFISA!$E:$E,METALFISA!$A:$A,'Faltantes Fevereiro- Metalfisa'!AO$3,METALFISA!$B:$B,'Faltantes Fevereiro- Metalfisa'!$A313)</f>
        <v>0</v>
      </c>
      <c r="AP313" s="31">
        <f>SUMIFS(METALFISA!$E:$E,METALFISA!$A:$A,'Faltantes Fevereiro- Metalfisa'!AP$3,METALFISA!$B:$B,'Faltantes Fevereiro- Metalfisa'!$A313)</f>
        <v>0</v>
      </c>
      <c r="AQ313" s="31"/>
      <c r="AR313" s="31">
        <f>SUMIFS(METALFISA!$E:$E,METALFISA!$A:$A,'Faltantes Fevereiro- Metalfisa'!AR$3,METALFISA!$B:$B,'Faltantes Fevereiro- Metalfisa'!$A313)</f>
        <v>0</v>
      </c>
      <c r="AS313" s="35">
        <f>SUMIFS(METALFISA!$E:$E,METALFISA!$A:$A,'Faltantes Fevereiro- Metalfisa'!AS$3,METALFISA!$B:$B,'Faltantes Fevereiro- Metalfisa'!$A313)</f>
        <v>0</v>
      </c>
      <c r="AU313" s="18">
        <v>0</v>
      </c>
      <c r="AV313" s="18">
        <v>0</v>
      </c>
      <c r="AW313" s="18">
        <v>0</v>
      </c>
      <c r="AX313" s="18">
        <v>0</v>
      </c>
      <c r="AY313" s="41">
        <v>0</v>
      </c>
      <c r="AZ313" s="31">
        <v>0</v>
      </c>
      <c r="BA313" s="31">
        <v>0</v>
      </c>
      <c r="BB313" s="31">
        <v>0</v>
      </c>
      <c r="BC313" s="31">
        <v>0</v>
      </c>
      <c r="BD313" s="31">
        <v>0</v>
      </c>
      <c r="BE313" s="31">
        <v>0</v>
      </c>
      <c r="BF313" s="31">
        <v>0</v>
      </c>
      <c r="BG313" s="31">
        <v>0</v>
      </c>
      <c r="BH313" s="31">
        <v>0</v>
      </c>
      <c r="BI313" s="31">
        <v>0</v>
      </c>
      <c r="BJ313" s="31">
        <v>0</v>
      </c>
      <c r="BK313" s="31">
        <v>0</v>
      </c>
      <c r="BL313" s="31">
        <v>0</v>
      </c>
      <c r="BM313" s="31">
        <v>0</v>
      </c>
      <c r="BN313" s="31">
        <v>1</v>
      </c>
      <c r="BO313" s="31">
        <v>2</v>
      </c>
      <c r="BP313" s="31">
        <v>0</v>
      </c>
      <c r="BQ313" s="31">
        <v>0</v>
      </c>
      <c r="BR313" s="31">
        <v>0</v>
      </c>
      <c r="BS313" s="31">
        <v>0</v>
      </c>
      <c r="BT313" s="31">
        <v>0</v>
      </c>
      <c r="BU313" s="31">
        <v>0</v>
      </c>
      <c r="BV313" s="31">
        <v>0</v>
      </c>
      <c r="BW313" s="31">
        <v>0</v>
      </c>
      <c r="BX313" s="31">
        <v>0</v>
      </c>
      <c r="BY313" s="31">
        <v>0</v>
      </c>
      <c r="BZ313" s="31">
        <v>0</v>
      </c>
      <c r="CA313" s="31">
        <v>0</v>
      </c>
      <c r="CB313" s="31">
        <v>0</v>
      </c>
      <c r="CC313" s="31">
        <v>0</v>
      </c>
      <c r="CD313" s="31">
        <v>0</v>
      </c>
      <c r="CE313" s="31">
        <v>0</v>
      </c>
      <c r="CF313" s="31">
        <v>0</v>
      </c>
      <c r="CG313" s="31">
        <v>0</v>
      </c>
      <c r="CH313" s="31">
        <v>0</v>
      </c>
      <c r="CI313" s="31">
        <v>0</v>
      </c>
      <c r="CJ313" s="31">
        <v>0</v>
      </c>
      <c r="CK313" s="31">
        <v>0</v>
      </c>
      <c r="CL313" s="35">
        <v>0</v>
      </c>
    </row>
    <row r="314" spans="1:90" ht="21" x14ac:dyDescent="0.15">
      <c r="A314" s="27" t="s">
        <v>1568</v>
      </c>
      <c r="B314" s="28" t="s">
        <v>1569</v>
      </c>
      <c r="C314" s="28">
        <v>0</v>
      </c>
      <c r="D314" s="28">
        <v>0</v>
      </c>
      <c r="E314" s="28">
        <v>0</v>
      </c>
      <c r="F314" s="28">
        <v>0</v>
      </c>
      <c r="G314" s="28">
        <v>12</v>
      </c>
      <c r="H314" s="28">
        <f>IFERROR(VLOOKUP(A314,[1]FALTANTES!$A:$AB,28,FALSE),"-")</f>
        <v>0</v>
      </c>
      <c r="I314" s="42">
        <f>IFERROR(VLOOKUP(A314,[1]FALTANTES!$A:$AC,29,FALSE),"-")</f>
        <v>0</v>
      </c>
      <c r="J314" s="29">
        <f>IFERROR(VLOOKUP(A314,[1]FALTANTES!$A:$AD,30,FALSE),"-")</f>
        <v>-12</v>
      </c>
      <c r="K314" s="30">
        <v>0</v>
      </c>
      <c r="L314" s="30">
        <f t="shared" si="6"/>
        <v>2</v>
      </c>
      <c r="M314" s="31">
        <f>SUMIFS(METALFISA!$E:$E,METALFISA!$A:$A,'Faltantes Fevereiro- Metalfisa'!M$3,METALFISA!$B:$B,'Faltantes Fevereiro- Metalfisa'!$A314)</f>
        <v>0</v>
      </c>
      <c r="N314" s="31">
        <f>SUMIFS(METALFISA!$E:$E,METALFISA!$A:$A,'Faltantes Fevereiro- Metalfisa'!N$3,METALFISA!$B:$B,'Faltantes Fevereiro- Metalfisa'!$A314)</f>
        <v>0</v>
      </c>
      <c r="O314" s="31">
        <f>SUMIFS(METALFISA!$E:$E,METALFISA!$A:$A,'Faltantes Fevereiro- Metalfisa'!O$3,METALFISA!$B:$B,'Faltantes Fevereiro- Metalfisa'!$A314)</f>
        <v>0</v>
      </c>
      <c r="P314" s="31">
        <f>SUMIFS(METALFISA!$E:$E,METALFISA!$A:$A,'Faltantes Fevereiro- Metalfisa'!P$3,METALFISA!$B:$B,'Faltantes Fevereiro- Metalfisa'!$A314)</f>
        <v>0</v>
      </c>
      <c r="Q314" s="31">
        <f>SUMIFS(METALFISA!$E:$E,METALFISA!$A:$A,'Faltantes Fevereiro- Metalfisa'!Q$3,METALFISA!$B:$B,'Faltantes Fevereiro- Metalfisa'!$A314)</f>
        <v>0</v>
      </c>
      <c r="R314" s="31">
        <f>SUMIFS(METALFISA!$E:$E,METALFISA!$A:$A,'Faltantes Fevereiro- Metalfisa'!R$3,METALFISA!$B:$B,'Faltantes Fevereiro- Metalfisa'!$A314)</f>
        <v>0</v>
      </c>
      <c r="S314" s="31">
        <f>SUMIFS(METALFISA!$E:$E,METALFISA!$A:$A,'Faltantes Fevereiro- Metalfisa'!S$3,METALFISA!$B:$B,'Faltantes Fevereiro- Metalfisa'!$A314)</f>
        <v>0</v>
      </c>
      <c r="T314" s="31">
        <f>SUMIFS(METALFISA!$E:$E,METALFISA!$A:$A,'Faltantes Fevereiro- Metalfisa'!T$3,METALFISA!$B:$B,'Faltantes Fevereiro- Metalfisa'!$A314)</f>
        <v>0</v>
      </c>
      <c r="U314" s="31">
        <f>SUMIFS(METALFISA!$E:$E,METALFISA!$A:$A,'Faltantes Fevereiro- Metalfisa'!U$3,METALFISA!$B:$B,'Faltantes Fevereiro- Metalfisa'!$A314)</f>
        <v>0</v>
      </c>
      <c r="V314" s="31">
        <f>SUMIFS(METALFISA!$E:$E,METALFISA!$A:$A,'Faltantes Fevereiro- Metalfisa'!V$3,METALFISA!$B:$B,'Faltantes Fevereiro- Metalfisa'!$A314)</f>
        <v>0</v>
      </c>
      <c r="W314" s="31">
        <f>SUMIFS(METALFISA!$E:$E,METALFISA!$A:$A,'Faltantes Fevereiro- Metalfisa'!W$3,METALFISA!$B:$B,'Faltantes Fevereiro- Metalfisa'!$A314)</f>
        <v>0</v>
      </c>
      <c r="X314" s="31">
        <f>SUMIFS(METALFISA!$E:$E,METALFISA!$A:$A,'Faltantes Fevereiro- Metalfisa'!X$3,METALFISA!$B:$B,'Faltantes Fevereiro- Metalfisa'!$A314)</f>
        <v>0</v>
      </c>
      <c r="Y314" s="31">
        <f>SUMIFS(METALFISA!$E:$E,METALFISA!$A:$A,'Faltantes Fevereiro- Metalfisa'!Y$3,METALFISA!$B:$B,'Faltantes Fevereiro- Metalfisa'!$A314)</f>
        <v>0</v>
      </c>
      <c r="Z314" s="31">
        <f>SUMIFS(METALFISA!$E:$E,METALFISA!$A:$A,'Faltantes Fevereiro- Metalfisa'!Z$3,METALFISA!$B:$B,'Faltantes Fevereiro- Metalfisa'!$A314)</f>
        <v>0</v>
      </c>
      <c r="AA314" s="31">
        <f>SUMIFS(METALFISA!$E:$E,METALFISA!$A:$A,'Faltantes Fevereiro- Metalfisa'!AA$3,METALFISA!$B:$B,'Faltantes Fevereiro- Metalfisa'!$A314)</f>
        <v>0</v>
      </c>
      <c r="AB314" s="31">
        <f>SUMIFS(METALFISA!$E:$E,METALFISA!$A:$A,'Faltantes Fevereiro- Metalfisa'!AB$3,METALFISA!$B:$B,'Faltantes Fevereiro- Metalfisa'!$A314)</f>
        <v>0</v>
      </c>
      <c r="AC314" s="31">
        <f>SUMIFS(METALFISA!$E:$E,METALFISA!$A:$A,'Faltantes Fevereiro- Metalfisa'!AC$3,METALFISA!$B:$B,'Faltantes Fevereiro- Metalfisa'!$A314)</f>
        <v>0</v>
      </c>
      <c r="AD314" s="31">
        <f>SUMIFS(METALFISA!$E:$E,METALFISA!$A:$A,'Faltantes Fevereiro- Metalfisa'!AD$3,METALFISA!$B:$B,'Faltantes Fevereiro- Metalfisa'!$A314)</f>
        <v>0</v>
      </c>
      <c r="AE314" s="31">
        <f>SUMIFS(METALFISA!$E:$E,METALFISA!$A:$A,'Faltantes Fevereiro- Metalfisa'!AE$3,METALFISA!$B:$B,'Faltantes Fevereiro- Metalfisa'!$A314)</f>
        <v>2</v>
      </c>
      <c r="AF314" s="31">
        <f>SUMIFS(METALFISA!$E:$E,METALFISA!$A:$A,'Faltantes Fevereiro- Metalfisa'!AF$3,METALFISA!$B:$B,'Faltantes Fevereiro- Metalfisa'!$A314)</f>
        <v>0</v>
      </c>
      <c r="AG314" s="31">
        <f>SUMIFS(METALFISA!$E:$E,METALFISA!$A:$A,'Faltantes Fevereiro- Metalfisa'!AG$3,METALFISA!$B:$B,'Faltantes Fevereiro- Metalfisa'!$A314)</f>
        <v>0</v>
      </c>
      <c r="AH314" s="31">
        <f>SUMIFS(METALFISA!$E:$E,METALFISA!$A:$A,'Faltantes Fevereiro- Metalfisa'!AH$3,METALFISA!$B:$B,'Faltantes Fevereiro- Metalfisa'!$A314)</f>
        <v>0</v>
      </c>
      <c r="AI314" s="31">
        <f>SUMIFS(METALFISA!$E:$E,METALFISA!$A:$A,'Faltantes Fevereiro- Metalfisa'!AI$3,METALFISA!$B:$B,'Faltantes Fevereiro- Metalfisa'!$A314)</f>
        <v>0</v>
      </c>
      <c r="AJ314" s="31">
        <f>SUMIFS(METALFISA!$E:$E,METALFISA!$A:$A,'Faltantes Fevereiro- Metalfisa'!AJ$3,METALFISA!$B:$B,'Faltantes Fevereiro- Metalfisa'!$A314)</f>
        <v>0</v>
      </c>
      <c r="AK314" s="31">
        <f>SUMIFS(METALFISA!$E:$E,METALFISA!$A:$A,'Faltantes Fevereiro- Metalfisa'!AK$3,METALFISA!$B:$B,'Faltantes Fevereiro- Metalfisa'!$A314)</f>
        <v>0</v>
      </c>
      <c r="AL314" s="31">
        <f>SUMIFS(METALFISA!$E:$E,METALFISA!$A:$A,'Faltantes Fevereiro- Metalfisa'!AL$3,METALFISA!$B:$B,'Faltantes Fevereiro- Metalfisa'!$A314)</f>
        <v>0</v>
      </c>
      <c r="AM314" s="31">
        <f>SUMIFS(METALFISA!$E:$E,METALFISA!$A:$A,'Faltantes Fevereiro- Metalfisa'!AM$3,METALFISA!$B:$B,'Faltantes Fevereiro- Metalfisa'!$A314)</f>
        <v>0</v>
      </c>
      <c r="AN314" s="31">
        <f>SUMIFS(METALFISA!$E:$E,METALFISA!$A:$A,'Faltantes Fevereiro- Metalfisa'!AN$3,METALFISA!$B:$B,'Faltantes Fevereiro- Metalfisa'!$A314)</f>
        <v>0</v>
      </c>
      <c r="AO314" s="31">
        <f>SUMIFS(METALFISA!$E:$E,METALFISA!$A:$A,'Faltantes Fevereiro- Metalfisa'!AO$3,METALFISA!$B:$B,'Faltantes Fevereiro- Metalfisa'!$A314)</f>
        <v>0</v>
      </c>
      <c r="AP314" s="31">
        <f>SUMIFS(METALFISA!$E:$E,METALFISA!$A:$A,'Faltantes Fevereiro- Metalfisa'!AP$3,METALFISA!$B:$B,'Faltantes Fevereiro- Metalfisa'!$A314)</f>
        <v>0</v>
      </c>
      <c r="AQ314" s="31"/>
      <c r="AR314" s="31">
        <f>SUMIFS(METALFISA!$E:$E,METALFISA!$A:$A,'Faltantes Fevereiro- Metalfisa'!AR$3,METALFISA!$B:$B,'Faltantes Fevereiro- Metalfisa'!$A314)</f>
        <v>0</v>
      </c>
      <c r="AS314" s="35">
        <f>SUMIFS(METALFISA!$E:$E,METALFISA!$A:$A,'Faltantes Fevereiro- Metalfisa'!AS$3,METALFISA!$B:$B,'Faltantes Fevereiro- Metalfisa'!$A314)</f>
        <v>0</v>
      </c>
      <c r="AU314" s="18">
        <v>0</v>
      </c>
      <c r="AV314" s="18">
        <v>0</v>
      </c>
      <c r="AW314" s="18">
        <v>0</v>
      </c>
      <c r="AX314" s="18">
        <v>0</v>
      </c>
      <c r="AY314" s="41">
        <v>0</v>
      </c>
      <c r="AZ314" s="31">
        <v>0</v>
      </c>
      <c r="BA314" s="31">
        <v>0</v>
      </c>
      <c r="BB314" s="31">
        <v>0</v>
      </c>
      <c r="BC314" s="31">
        <v>0</v>
      </c>
      <c r="BD314" s="31">
        <v>0</v>
      </c>
      <c r="BE314" s="31">
        <v>0</v>
      </c>
      <c r="BF314" s="31">
        <v>0</v>
      </c>
      <c r="BG314" s="31">
        <v>0</v>
      </c>
      <c r="BH314" s="31">
        <v>0</v>
      </c>
      <c r="BI314" s="31">
        <v>0</v>
      </c>
      <c r="BJ314" s="31">
        <v>0</v>
      </c>
      <c r="BK314" s="31">
        <v>0</v>
      </c>
      <c r="BL314" s="31">
        <v>0</v>
      </c>
      <c r="BM314" s="31">
        <v>0</v>
      </c>
      <c r="BN314" s="31">
        <v>0</v>
      </c>
      <c r="BO314" s="31">
        <v>2</v>
      </c>
      <c r="BP314" s="31">
        <v>0</v>
      </c>
      <c r="BQ314" s="31">
        <v>0</v>
      </c>
      <c r="BR314" s="31">
        <v>0</v>
      </c>
      <c r="BS314" s="31">
        <v>0</v>
      </c>
      <c r="BT314" s="31">
        <v>0</v>
      </c>
      <c r="BU314" s="31">
        <v>0</v>
      </c>
      <c r="BV314" s="31">
        <v>0</v>
      </c>
      <c r="BW314" s="31">
        <v>0</v>
      </c>
      <c r="BX314" s="31">
        <v>0</v>
      </c>
      <c r="BY314" s="31">
        <v>0</v>
      </c>
      <c r="BZ314" s="31">
        <v>0</v>
      </c>
      <c r="CA314" s="31">
        <v>0</v>
      </c>
      <c r="CB314" s="31">
        <v>0</v>
      </c>
      <c r="CC314" s="31">
        <v>0</v>
      </c>
      <c r="CD314" s="31">
        <v>0</v>
      </c>
      <c r="CE314" s="31">
        <v>0</v>
      </c>
      <c r="CF314" s="31">
        <v>0</v>
      </c>
      <c r="CG314" s="31">
        <v>0</v>
      </c>
      <c r="CH314" s="31">
        <v>0</v>
      </c>
      <c r="CI314" s="31">
        <v>0</v>
      </c>
      <c r="CJ314" s="31">
        <v>0</v>
      </c>
      <c r="CK314" s="31">
        <v>0</v>
      </c>
      <c r="CL314" s="35">
        <v>0</v>
      </c>
    </row>
    <row r="315" spans="1:90" x14ac:dyDescent="0.15">
      <c r="A315" s="27" t="s">
        <v>1571</v>
      </c>
      <c r="B315" s="28" t="s">
        <v>1572</v>
      </c>
      <c r="C315" s="28">
        <v>0</v>
      </c>
      <c r="D315" s="28">
        <v>0</v>
      </c>
      <c r="E315" s="28">
        <v>0</v>
      </c>
      <c r="F315" s="28">
        <v>0</v>
      </c>
      <c r="G315" s="28">
        <v>113</v>
      </c>
      <c r="H315" s="28">
        <f>IFERROR(VLOOKUP(A315,[1]FALTANTES!$A:$AB,28,FALSE),"-")</f>
        <v>0</v>
      </c>
      <c r="I315" s="42">
        <f>IFERROR(VLOOKUP(A315,[1]FALTANTES!$A:$AC,29,FALSE),"-")</f>
        <v>0</v>
      </c>
      <c r="J315" s="29">
        <f>IFERROR(VLOOKUP(A315,[1]FALTANTES!$A:$AD,30,FALSE),"-")</f>
        <v>-113</v>
      </c>
      <c r="K315" s="30">
        <v>0</v>
      </c>
      <c r="L315" s="30">
        <f t="shared" si="6"/>
        <v>38</v>
      </c>
      <c r="M315" s="31">
        <f>SUMIFS(METALFISA!$E:$E,METALFISA!$A:$A,'Faltantes Fevereiro- Metalfisa'!M$3,METALFISA!$B:$B,'Faltantes Fevereiro- Metalfisa'!$A315)</f>
        <v>0</v>
      </c>
      <c r="N315" s="31">
        <f>SUMIFS(METALFISA!$E:$E,METALFISA!$A:$A,'Faltantes Fevereiro- Metalfisa'!N$3,METALFISA!$B:$B,'Faltantes Fevereiro- Metalfisa'!$A315)</f>
        <v>0</v>
      </c>
      <c r="O315" s="31">
        <f>SUMIFS(METALFISA!$E:$E,METALFISA!$A:$A,'Faltantes Fevereiro- Metalfisa'!O$3,METALFISA!$B:$B,'Faltantes Fevereiro- Metalfisa'!$A315)</f>
        <v>0</v>
      </c>
      <c r="P315" s="31">
        <f>SUMIFS(METALFISA!$E:$E,METALFISA!$A:$A,'Faltantes Fevereiro- Metalfisa'!P$3,METALFISA!$B:$B,'Faltantes Fevereiro- Metalfisa'!$A315)</f>
        <v>0</v>
      </c>
      <c r="Q315" s="31">
        <f>SUMIFS(METALFISA!$E:$E,METALFISA!$A:$A,'Faltantes Fevereiro- Metalfisa'!Q$3,METALFISA!$B:$B,'Faltantes Fevereiro- Metalfisa'!$A315)</f>
        <v>0</v>
      </c>
      <c r="R315" s="31">
        <f>SUMIFS(METALFISA!$E:$E,METALFISA!$A:$A,'Faltantes Fevereiro- Metalfisa'!R$3,METALFISA!$B:$B,'Faltantes Fevereiro- Metalfisa'!$A315)</f>
        <v>0</v>
      </c>
      <c r="S315" s="31">
        <f>SUMIFS(METALFISA!$E:$E,METALFISA!$A:$A,'Faltantes Fevereiro- Metalfisa'!S$3,METALFISA!$B:$B,'Faltantes Fevereiro- Metalfisa'!$A315)</f>
        <v>0</v>
      </c>
      <c r="T315" s="31">
        <f>SUMIFS(METALFISA!$E:$E,METALFISA!$A:$A,'Faltantes Fevereiro- Metalfisa'!T$3,METALFISA!$B:$B,'Faltantes Fevereiro- Metalfisa'!$A315)</f>
        <v>0</v>
      </c>
      <c r="U315" s="31">
        <f>SUMIFS(METALFISA!$E:$E,METALFISA!$A:$A,'Faltantes Fevereiro- Metalfisa'!U$3,METALFISA!$B:$B,'Faltantes Fevereiro- Metalfisa'!$A315)</f>
        <v>0</v>
      </c>
      <c r="V315" s="31">
        <f>SUMIFS(METALFISA!$E:$E,METALFISA!$A:$A,'Faltantes Fevereiro- Metalfisa'!V$3,METALFISA!$B:$B,'Faltantes Fevereiro- Metalfisa'!$A315)</f>
        <v>0</v>
      </c>
      <c r="W315" s="31">
        <f>SUMIFS(METALFISA!$E:$E,METALFISA!$A:$A,'Faltantes Fevereiro- Metalfisa'!W$3,METALFISA!$B:$B,'Faltantes Fevereiro- Metalfisa'!$A315)</f>
        <v>0</v>
      </c>
      <c r="X315" s="31">
        <f>SUMIFS(METALFISA!$E:$E,METALFISA!$A:$A,'Faltantes Fevereiro- Metalfisa'!X$3,METALFISA!$B:$B,'Faltantes Fevereiro- Metalfisa'!$A315)</f>
        <v>0</v>
      </c>
      <c r="Y315" s="31">
        <f>SUMIFS(METALFISA!$E:$E,METALFISA!$A:$A,'Faltantes Fevereiro- Metalfisa'!Y$3,METALFISA!$B:$B,'Faltantes Fevereiro- Metalfisa'!$A315)</f>
        <v>0</v>
      </c>
      <c r="Z315" s="31">
        <f>SUMIFS(METALFISA!$E:$E,METALFISA!$A:$A,'Faltantes Fevereiro- Metalfisa'!Z$3,METALFISA!$B:$B,'Faltantes Fevereiro- Metalfisa'!$A315)</f>
        <v>0</v>
      </c>
      <c r="AA315" s="31">
        <f>SUMIFS(METALFISA!$E:$E,METALFISA!$A:$A,'Faltantes Fevereiro- Metalfisa'!AA$3,METALFISA!$B:$B,'Faltantes Fevereiro- Metalfisa'!$A315)</f>
        <v>0</v>
      </c>
      <c r="AB315" s="31">
        <f>SUMIFS(METALFISA!$E:$E,METALFISA!$A:$A,'Faltantes Fevereiro- Metalfisa'!AB$3,METALFISA!$B:$B,'Faltantes Fevereiro- Metalfisa'!$A315)</f>
        <v>0</v>
      </c>
      <c r="AC315" s="31">
        <f>SUMIFS(METALFISA!$E:$E,METALFISA!$A:$A,'Faltantes Fevereiro- Metalfisa'!AC$3,METALFISA!$B:$B,'Faltantes Fevereiro- Metalfisa'!$A315)</f>
        <v>0</v>
      </c>
      <c r="AD315" s="31">
        <f>SUMIFS(METALFISA!$E:$E,METALFISA!$A:$A,'Faltantes Fevereiro- Metalfisa'!AD$3,METALFISA!$B:$B,'Faltantes Fevereiro- Metalfisa'!$A315)</f>
        <v>0</v>
      </c>
      <c r="AE315" s="31">
        <f>SUMIFS(METALFISA!$E:$E,METALFISA!$A:$A,'Faltantes Fevereiro- Metalfisa'!AE$3,METALFISA!$B:$B,'Faltantes Fevereiro- Metalfisa'!$A315)</f>
        <v>38</v>
      </c>
      <c r="AF315" s="31">
        <f>SUMIFS(METALFISA!$E:$E,METALFISA!$A:$A,'Faltantes Fevereiro- Metalfisa'!AF$3,METALFISA!$B:$B,'Faltantes Fevereiro- Metalfisa'!$A315)</f>
        <v>0</v>
      </c>
      <c r="AG315" s="31">
        <f>SUMIFS(METALFISA!$E:$E,METALFISA!$A:$A,'Faltantes Fevereiro- Metalfisa'!AG$3,METALFISA!$B:$B,'Faltantes Fevereiro- Metalfisa'!$A315)</f>
        <v>0</v>
      </c>
      <c r="AH315" s="31">
        <f>SUMIFS(METALFISA!$E:$E,METALFISA!$A:$A,'Faltantes Fevereiro- Metalfisa'!AH$3,METALFISA!$B:$B,'Faltantes Fevereiro- Metalfisa'!$A315)</f>
        <v>0</v>
      </c>
      <c r="AI315" s="31">
        <f>SUMIFS(METALFISA!$E:$E,METALFISA!$A:$A,'Faltantes Fevereiro- Metalfisa'!AI$3,METALFISA!$B:$B,'Faltantes Fevereiro- Metalfisa'!$A315)</f>
        <v>0</v>
      </c>
      <c r="AJ315" s="31">
        <f>SUMIFS(METALFISA!$E:$E,METALFISA!$A:$A,'Faltantes Fevereiro- Metalfisa'!AJ$3,METALFISA!$B:$B,'Faltantes Fevereiro- Metalfisa'!$A315)</f>
        <v>0</v>
      </c>
      <c r="AK315" s="31">
        <f>SUMIFS(METALFISA!$E:$E,METALFISA!$A:$A,'Faltantes Fevereiro- Metalfisa'!AK$3,METALFISA!$B:$B,'Faltantes Fevereiro- Metalfisa'!$A315)</f>
        <v>0</v>
      </c>
      <c r="AL315" s="31">
        <f>SUMIFS(METALFISA!$E:$E,METALFISA!$A:$A,'Faltantes Fevereiro- Metalfisa'!AL$3,METALFISA!$B:$B,'Faltantes Fevereiro- Metalfisa'!$A315)</f>
        <v>0</v>
      </c>
      <c r="AM315" s="31">
        <f>SUMIFS(METALFISA!$E:$E,METALFISA!$A:$A,'Faltantes Fevereiro- Metalfisa'!AM$3,METALFISA!$B:$B,'Faltantes Fevereiro- Metalfisa'!$A315)</f>
        <v>0</v>
      </c>
      <c r="AN315" s="31">
        <f>SUMIFS(METALFISA!$E:$E,METALFISA!$A:$A,'Faltantes Fevereiro- Metalfisa'!AN$3,METALFISA!$B:$B,'Faltantes Fevereiro- Metalfisa'!$A315)</f>
        <v>0</v>
      </c>
      <c r="AO315" s="31">
        <f>SUMIFS(METALFISA!$E:$E,METALFISA!$A:$A,'Faltantes Fevereiro- Metalfisa'!AO$3,METALFISA!$B:$B,'Faltantes Fevereiro- Metalfisa'!$A315)</f>
        <v>0</v>
      </c>
      <c r="AP315" s="31">
        <f>SUMIFS(METALFISA!$E:$E,METALFISA!$A:$A,'Faltantes Fevereiro- Metalfisa'!AP$3,METALFISA!$B:$B,'Faltantes Fevereiro- Metalfisa'!$A315)</f>
        <v>0</v>
      </c>
      <c r="AQ315" s="31"/>
      <c r="AR315" s="31">
        <f>SUMIFS(METALFISA!$E:$E,METALFISA!$A:$A,'Faltantes Fevereiro- Metalfisa'!AR$3,METALFISA!$B:$B,'Faltantes Fevereiro- Metalfisa'!$A315)</f>
        <v>0</v>
      </c>
      <c r="AS315" s="35">
        <f>SUMIFS(METALFISA!$E:$E,METALFISA!$A:$A,'Faltantes Fevereiro- Metalfisa'!AS$3,METALFISA!$B:$B,'Faltantes Fevereiro- Metalfisa'!$A315)</f>
        <v>0</v>
      </c>
      <c r="AU315" s="18">
        <v>0</v>
      </c>
      <c r="AV315" s="18">
        <v>0</v>
      </c>
      <c r="AW315" s="18">
        <v>0</v>
      </c>
      <c r="AX315" s="18">
        <v>0</v>
      </c>
      <c r="AY315" s="41">
        <v>0</v>
      </c>
      <c r="AZ315" s="31">
        <v>0</v>
      </c>
      <c r="BA315" s="31">
        <v>0</v>
      </c>
      <c r="BB315" s="31">
        <v>0</v>
      </c>
      <c r="BC315" s="31">
        <v>0</v>
      </c>
      <c r="BD315" s="31">
        <v>0</v>
      </c>
      <c r="BE315" s="31">
        <v>0</v>
      </c>
      <c r="BF315" s="31">
        <v>0</v>
      </c>
      <c r="BG315" s="31">
        <v>0</v>
      </c>
      <c r="BH315" s="31">
        <v>0</v>
      </c>
      <c r="BI315" s="31">
        <v>0</v>
      </c>
      <c r="BJ315" s="31">
        <v>0</v>
      </c>
      <c r="BK315" s="31">
        <v>0</v>
      </c>
      <c r="BL315" s="31">
        <v>0</v>
      </c>
      <c r="BM315" s="31">
        <v>0</v>
      </c>
      <c r="BN315" s="31">
        <v>0</v>
      </c>
      <c r="BO315" s="31">
        <v>38</v>
      </c>
      <c r="BP315" s="31">
        <v>0</v>
      </c>
      <c r="BQ315" s="31">
        <v>0</v>
      </c>
      <c r="BR315" s="31">
        <v>0</v>
      </c>
      <c r="BS315" s="31">
        <v>0</v>
      </c>
      <c r="BT315" s="31">
        <v>0</v>
      </c>
      <c r="BU315" s="31">
        <v>0</v>
      </c>
      <c r="BV315" s="31">
        <v>0</v>
      </c>
      <c r="BW315" s="31">
        <v>0</v>
      </c>
      <c r="BX315" s="31">
        <v>0</v>
      </c>
      <c r="BY315" s="31">
        <v>0</v>
      </c>
      <c r="BZ315" s="31">
        <v>0</v>
      </c>
      <c r="CA315" s="31">
        <v>0</v>
      </c>
      <c r="CB315" s="31">
        <v>0</v>
      </c>
      <c r="CC315" s="31">
        <v>0</v>
      </c>
      <c r="CD315" s="31">
        <v>0</v>
      </c>
      <c r="CE315" s="31">
        <v>0</v>
      </c>
      <c r="CF315" s="31">
        <v>0</v>
      </c>
      <c r="CG315" s="31">
        <v>0</v>
      </c>
      <c r="CH315" s="31">
        <v>0</v>
      </c>
      <c r="CI315" s="31">
        <v>0</v>
      </c>
      <c r="CJ315" s="31">
        <v>0</v>
      </c>
      <c r="CK315" s="31">
        <v>0</v>
      </c>
      <c r="CL315" s="35">
        <v>0</v>
      </c>
    </row>
    <row r="316" spans="1:90" ht="21" x14ac:dyDescent="0.15">
      <c r="A316" s="27" t="s">
        <v>1574</v>
      </c>
      <c r="B316" s="28" t="s">
        <v>1575</v>
      </c>
      <c r="C316" s="28">
        <v>0</v>
      </c>
      <c r="D316" s="28">
        <v>0</v>
      </c>
      <c r="E316" s="28">
        <v>0</v>
      </c>
      <c r="F316" s="28">
        <v>0</v>
      </c>
      <c r="G316" s="28">
        <v>17</v>
      </c>
      <c r="H316" s="28">
        <f>IFERROR(VLOOKUP(A316,[1]FALTANTES!$A:$AB,28,FALSE),"-")</f>
        <v>0</v>
      </c>
      <c r="I316" s="42">
        <f>IFERROR(VLOOKUP(A316,[1]FALTANTES!$A:$AC,29,FALSE),"-")</f>
        <v>1</v>
      </c>
      <c r="J316" s="29">
        <f>IFERROR(VLOOKUP(A316,[1]FALTANTES!$A:$AD,30,FALSE),"-")</f>
        <v>-16</v>
      </c>
      <c r="K316" s="30">
        <v>0</v>
      </c>
      <c r="L316" s="30">
        <f t="shared" si="6"/>
        <v>4</v>
      </c>
      <c r="M316" s="31">
        <f>SUMIFS(METALFISA!$E:$E,METALFISA!$A:$A,'Faltantes Fevereiro- Metalfisa'!M$3,METALFISA!$B:$B,'Faltantes Fevereiro- Metalfisa'!$A316)</f>
        <v>0</v>
      </c>
      <c r="N316" s="31">
        <f>SUMIFS(METALFISA!$E:$E,METALFISA!$A:$A,'Faltantes Fevereiro- Metalfisa'!N$3,METALFISA!$B:$B,'Faltantes Fevereiro- Metalfisa'!$A316)</f>
        <v>0</v>
      </c>
      <c r="O316" s="31">
        <f>SUMIFS(METALFISA!$E:$E,METALFISA!$A:$A,'Faltantes Fevereiro- Metalfisa'!O$3,METALFISA!$B:$B,'Faltantes Fevereiro- Metalfisa'!$A316)</f>
        <v>0</v>
      </c>
      <c r="P316" s="31">
        <f>SUMIFS(METALFISA!$E:$E,METALFISA!$A:$A,'Faltantes Fevereiro- Metalfisa'!P$3,METALFISA!$B:$B,'Faltantes Fevereiro- Metalfisa'!$A316)</f>
        <v>0</v>
      </c>
      <c r="Q316" s="31">
        <f>SUMIFS(METALFISA!$E:$E,METALFISA!$A:$A,'Faltantes Fevereiro- Metalfisa'!Q$3,METALFISA!$B:$B,'Faltantes Fevereiro- Metalfisa'!$A316)</f>
        <v>0</v>
      </c>
      <c r="R316" s="31">
        <f>SUMIFS(METALFISA!$E:$E,METALFISA!$A:$A,'Faltantes Fevereiro- Metalfisa'!R$3,METALFISA!$B:$B,'Faltantes Fevereiro- Metalfisa'!$A316)</f>
        <v>0</v>
      </c>
      <c r="S316" s="31">
        <f>SUMIFS(METALFISA!$E:$E,METALFISA!$A:$A,'Faltantes Fevereiro- Metalfisa'!S$3,METALFISA!$B:$B,'Faltantes Fevereiro- Metalfisa'!$A316)</f>
        <v>0</v>
      </c>
      <c r="T316" s="31">
        <f>SUMIFS(METALFISA!$E:$E,METALFISA!$A:$A,'Faltantes Fevereiro- Metalfisa'!T$3,METALFISA!$B:$B,'Faltantes Fevereiro- Metalfisa'!$A316)</f>
        <v>0</v>
      </c>
      <c r="U316" s="31">
        <f>SUMIFS(METALFISA!$E:$E,METALFISA!$A:$A,'Faltantes Fevereiro- Metalfisa'!U$3,METALFISA!$B:$B,'Faltantes Fevereiro- Metalfisa'!$A316)</f>
        <v>0</v>
      </c>
      <c r="V316" s="31">
        <f>SUMIFS(METALFISA!$E:$E,METALFISA!$A:$A,'Faltantes Fevereiro- Metalfisa'!V$3,METALFISA!$B:$B,'Faltantes Fevereiro- Metalfisa'!$A316)</f>
        <v>0</v>
      </c>
      <c r="W316" s="31">
        <f>SUMIFS(METALFISA!$E:$E,METALFISA!$A:$A,'Faltantes Fevereiro- Metalfisa'!W$3,METALFISA!$B:$B,'Faltantes Fevereiro- Metalfisa'!$A316)</f>
        <v>0</v>
      </c>
      <c r="X316" s="31">
        <f>SUMIFS(METALFISA!$E:$E,METALFISA!$A:$A,'Faltantes Fevereiro- Metalfisa'!X$3,METALFISA!$B:$B,'Faltantes Fevereiro- Metalfisa'!$A316)</f>
        <v>0</v>
      </c>
      <c r="Y316" s="31">
        <f>SUMIFS(METALFISA!$E:$E,METALFISA!$A:$A,'Faltantes Fevereiro- Metalfisa'!Y$3,METALFISA!$B:$B,'Faltantes Fevereiro- Metalfisa'!$A316)</f>
        <v>0</v>
      </c>
      <c r="Z316" s="31">
        <f>SUMIFS(METALFISA!$E:$E,METALFISA!$A:$A,'Faltantes Fevereiro- Metalfisa'!Z$3,METALFISA!$B:$B,'Faltantes Fevereiro- Metalfisa'!$A316)</f>
        <v>0</v>
      </c>
      <c r="AA316" s="31">
        <f>SUMIFS(METALFISA!$E:$E,METALFISA!$A:$A,'Faltantes Fevereiro- Metalfisa'!AA$3,METALFISA!$B:$B,'Faltantes Fevereiro- Metalfisa'!$A316)</f>
        <v>0</v>
      </c>
      <c r="AB316" s="31">
        <f>SUMIFS(METALFISA!$E:$E,METALFISA!$A:$A,'Faltantes Fevereiro- Metalfisa'!AB$3,METALFISA!$B:$B,'Faltantes Fevereiro- Metalfisa'!$A316)</f>
        <v>0</v>
      </c>
      <c r="AC316" s="31">
        <f>SUMIFS(METALFISA!$E:$E,METALFISA!$A:$A,'Faltantes Fevereiro- Metalfisa'!AC$3,METALFISA!$B:$B,'Faltantes Fevereiro- Metalfisa'!$A316)</f>
        <v>0</v>
      </c>
      <c r="AD316" s="31">
        <f>SUMIFS(METALFISA!$E:$E,METALFISA!$A:$A,'Faltantes Fevereiro- Metalfisa'!AD$3,METALFISA!$B:$B,'Faltantes Fevereiro- Metalfisa'!$A316)</f>
        <v>0</v>
      </c>
      <c r="AE316" s="31">
        <f>SUMIFS(METALFISA!$E:$E,METALFISA!$A:$A,'Faltantes Fevereiro- Metalfisa'!AE$3,METALFISA!$B:$B,'Faltantes Fevereiro- Metalfisa'!$A316)</f>
        <v>4</v>
      </c>
      <c r="AF316" s="31">
        <f>SUMIFS(METALFISA!$E:$E,METALFISA!$A:$A,'Faltantes Fevereiro- Metalfisa'!AF$3,METALFISA!$B:$B,'Faltantes Fevereiro- Metalfisa'!$A316)</f>
        <v>0</v>
      </c>
      <c r="AG316" s="31">
        <f>SUMIFS(METALFISA!$E:$E,METALFISA!$A:$A,'Faltantes Fevereiro- Metalfisa'!AG$3,METALFISA!$B:$B,'Faltantes Fevereiro- Metalfisa'!$A316)</f>
        <v>0</v>
      </c>
      <c r="AH316" s="31">
        <f>SUMIFS(METALFISA!$E:$E,METALFISA!$A:$A,'Faltantes Fevereiro- Metalfisa'!AH$3,METALFISA!$B:$B,'Faltantes Fevereiro- Metalfisa'!$A316)</f>
        <v>0</v>
      </c>
      <c r="AI316" s="31">
        <f>SUMIFS(METALFISA!$E:$E,METALFISA!$A:$A,'Faltantes Fevereiro- Metalfisa'!AI$3,METALFISA!$B:$B,'Faltantes Fevereiro- Metalfisa'!$A316)</f>
        <v>0</v>
      </c>
      <c r="AJ316" s="31">
        <f>SUMIFS(METALFISA!$E:$E,METALFISA!$A:$A,'Faltantes Fevereiro- Metalfisa'!AJ$3,METALFISA!$B:$B,'Faltantes Fevereiro- Metalfisa'!$A316)</f>
        <v>0</v>
      </c>
      <c r="AK316" s="31">
        <f>SUMIFS(METALFISA!$E:$E,METALFISA!$A:$A,'Faltantes Fevereiro- Metalfisa'!AK$3,METALFISA!$B:$B,'Faltantes Fevereiro- Metalfisa'!$A316)</f>
        <v>0</v>
      </c>
      <c r="AL316" s="31">
        <f>SUMIFS(METALFISA!$E:$E,METALFISA!$A:$A,'Faltantes Fevereiro- Metalfisa'!AL$3,METALFISA!$B:$B,'Faltantes Fevereiro- Metalfisa'!$A316)</f>
        <v>0</v>
      </c>
      <c r="AM316" s="31">
        <f>SUMIFS(METALFISA!$E:$E,METALFISA!$A:$A,'Faltantes Fevereiro- Metalfisa'!AM$3,METALFISA!$B:$B,'Faltantes Fevereiro- Metalfisa'!$A316)</f>
        <v>0</v>
      </c>
      <c r="AN316" s="31">
        <f>SUMIFS(METALFISA!$E:$E,METALFISA!$A:$A,'Faltantes Fevereiro- Metalfisa'!AN$3,METALFISA!$B:$B,'Faltantes Fevereiro- Metalfisa'!$A316)</f>
        <v>0</v>
      </c>
      <c r="AO316" s="31">
        <f>SUMIFS(METALFISA!$E:$E,METALFISA!$A:$A,'Faltantes Fevereiro- Metalfisa'!AO$3,METALFISA!$B:$B,'Faltantes Fevereiro- Metalfisa'!$A316)</f>
        <v>0</v>
      </c>
      <c r="AP316" s="31">
        <f>SUMIFS(METALFISA!$E:$E,METALFISA!$A:$A,'Faltantes Fevereiro- Metalfisa'!AP$3,METALFISA!$B:$B,'Faltantes Fevereiro- Metalfisa'!$A316)</f>
        <v>0</v>
      </c>
      <c r="AQ316" s="31"/>
      <c r="AR316" s="31">
        <f>SUMIFS(METALFISA!$E:$E,METALFISA!$A:$A,'Faltantes Fevereiro- Metalfisa'!AR$3,METALFISA!$B:$B,'Faltantes Fevereiro- Metalfisa'!$A316)</f>
        <v>0</v>
      </c>
      <c r="AS316" s="35">
        <f>SUMIFS(METALFISA!$E:$E,METALFISA!$A:$A,'Faltantes Fevereiro- Metalfisa'!AS$3,METALFISA!$B:$B,'Faltantes Fevereiro- Metalfisa'!$A316)</f>
        <v>0</v>
      </c>
      <c r="AU316" s="18">
        <v>0</v>
      </c>
      <c r="AV316" s="18">
        <v>0</v>
      </c>
      <c r="AW316" s="18">
        <v>0</v>
      </c>
      <c r="AX316" s="18">
        <v>0</v>
      </c>
      <c r="AY316" s="41">
        <v>0</v>
      </c>
      <c r="AZ316" s="31">
        <v>0</v>
      </c>
      <c r="BA316" s="31">
        <v>0</v>
      </c>
      <c r="BB316" s="31">
        <v>0</v>
      </c>
      <c r="BC316" s="31">
        <v>0</v>
      </c>
      <c r="BD316" s="31">
        <v>0</v>
      </c>
      <c r="BE316" s="31">
        <v>0</v>
      </c>
      <c r="BF316" s="31">
        <v>0</v>
      </c>
      <c r="BG316" s="31">
        <v>0</v>
      </c>
      <c r="BH316" s="31">
        <v>0</v>
      </c>
      <c r="BI316" s="31">
        <v>0</v>
      </c>
      <c r="BJ316" s="31">
        <v>0</v>
      </c>
      <c r="BK316" s="31">
        <v>0</v>
      </c>
      <c r="BL316" s="31">
        <v>0</v>
      </c>
      <c r="BM316" s="31">
        <v>0</v>
      </c>
      <c r="BN316" s="31">
        <v>0</v>
      </c>
      <c r="BO316" s="31">
        <v>4</v>
      </c>
      <c r="BP316" s="31">
        <v>0</v>
      </c>
      <c r="BQ316" s="31">
        <v>0</v>
      </c>
      <c r="BR316" s="31">
        <v>0</v>
      </c>
      <c r="BS316" s="31">
        <v>0</v>
      </c>
      <c r="BT316" s="31">
        <v>0</v>
      </c>
      <c r="BU316" s="31">
        <v>0</v>
      </c>
      <c r="BV316" s="31">
        <v>0</v>
      </c>
      <c r="BW316" s="31">
        <v>0</v>
      </c>
      <c r="BX316" s="31">
        <v>0</v>
      </c>
      <c r="BY316" s="31">
        <v>0</v>
      </c>
      <c r="BZ316" s="31">
        <v>0</v>
      </c>
      <c r="CA316" s="31">
        <v>0</v>
      </c>
      <c r="CB316" s="31">
        <v>0</v>
      </c>
      <c r="CC316" s="31">
        <v>0</v>
      </c>
      <c r="CD316" s="31">
        <v>0</v>
      </c>
      <c r="CE316" s="31">
        <v>0</v>
      </c>
      <c r="CF316" s="31">
        <v>0</v>
      </c>
      <c r="CG316" s="31">
        <v>0</v>
      </c>
      <c r="CH316" s="31">
        <v>0</v>
      </c>
      <c r="CI316" s="31">
        <v>0</v>
      </c>
      <c r="CJ316" s="31">
        <v>0</v>
      </c>
      <c r="CK316" s="31">
        <v>0</v>
      </c>
      <c r="CL316" s="35">
        <v>0</v>
      </c>
    </row>
    <row r="317" spans="1:90" ht="21" x14ac:dyDescent="0.15">
      <c r="A317" s="27" t="s">
        <v>1577</v>
      </c>
      <c r="B317" s="28" t="s">
        <v>1578</v>
      </c>
      <c r="C317" s="28">
        <v>0</v>
      </c>
      <c r="D317" s="28">
        <v>0</v>
      </c>
      <c r="E317" s="28">
        <v>0</v>
      </c>
      <c r="F317" s="28">
        <v>0</v>
      </c>
      <c r="G317" s="28">
        <v>12</v>
      </c>
      <c r="H317" s="28">
        <f>IFERROR(VLOOKUP(A317,[1]FALTANTES!$A:$AB,28,FALSE),"-")</f>
        <v>0</v>
      </c>
      <c r="I317" s="42">
        <f>IFERROR(VLOOKUP(A317,[1]FALTANTES!$A:$AC,29,FALSE),"-")</f>
        <v>0</v>
      </c>
      <c r="J317" s="29">
        <f>IFERROR(VLOOKUP(A317,[1]FALTANTES!$A:$AD,30,FALSE),"-")</f>
        <v>-12</v>
      </c>
      <c r="K317" s="30">
        <v>0</v>
      </c>
      <c r="L317" s="30">
        <f t="shared" si="6"/>
        <v>2</v>
      </c>
      <c r="M317" s="31">
        <f>SUMIFS(METALFISA!$E:$E,METALFISA!$A:$A,'Faltantes Fevereiro- Metalfisa'!M$3,METALFISA!$B:$B,'Faltantes Fevereiro- Metalfisa'!$A317)</f>
        <v>0</v>
      </c>
      <c r="N317" s="31">
        <f>SUMIFS(METALFISA!$E:$E,METALFISA!$A:$A,'Faltantes Fevereiro- Metalfisa'!N$3,METALFISA!$B:$B,'Faltantes Fevereiro- Metalfisa'!$A317)</f>
        <v>0</v>
      </c>
      <c r="O317" s="31">
        <f>SUMIFS(METALFISA!$E:$E,METALFISA!$A:$A,'Faltantes Fevereiro- Metalfisa'!O$3,METALFISA!$B:$B,'Faltantes Fevereiro- Metalfisa'!$A317)</f>
        <v>0</v>
      </c>
      <c r="P317" s="31">
        <f>SUMIFS(METALFISA!$E:$E,METALFISA!$A:$A,'Faltantes Fevereiro- Metalfisa'!P$3,METALFISA!$B:$B,'Faltantes Fevereiro- Metalfisa'!$A317)</f>
        <v>0</v>
      </c>
      <c r="Q317" s="31">
        <f>SUMIFS(METALFISA!$E:$E,METALFISA!$A:$A,'Faltantes Fevereiro- Metalfisa'!Q$3,METALFISA!$B:$B,'Faltantes Fevereiro- Metalfisa'!$A317)</f>
        <v>0</v>
      </c>
      <c r="R317" s="31">
        <f>SUMIFS(METALFISA!$E:$E,METALFISA!$A:$A,'Faltantes Fevereiro- Metalfisa'!R$3,METALFISA!$B:$B,'Faltantes Fevereiro- Metalfisa'!$A317)</f>
        <v>0</v>
      </c>
      <c r="S317" s="31">
        <f>SUMIFS(METALFISA!$E:$E,METALFISA!$A:$A,'Faltantes Fevereiro- Metalfisa'!S$3,METALFISA!$B:$B,'Faltantes Fevereiro- Metalfisa'!$A317)</f>
        <v>0</v>
      </c>
      <c r="T317" s="31">
        <f>SUMIFS(METALFISA!$E:$E,METALFISA!$A:$A,'Faltantes Fevereiro- Metalfisa'!T$3,METALFISA!$B:$B,'Faltantes Fevereiro- Metalfisa'!$A317)</f>
        <v>0</v>
      </c>
      <c r="U317" s="31">
        <f>SUMIFS(METALFISA!$E:$E,METALFISA!$A:$A,'Faltantes Fevereiro- Metalfisa'!U$3,METALFISA!$B:$B,'Faltantes Fevereiro- Metalfisa'!$A317)</f>
        <v>0</v>
      </c>
      <c r="V317" s="31">
        <f>SUMIFS(METALFISA!$E:$E,METALFISA!$A:$A,'Faltantes Fevereiro- Metalfisa'!V$3,METALFISA!$B:$B,'Faltantes Fevereiro- Metalfisa'!$A317)</f>
        <v>0</v>
      </c>
      <c r="W317" s="31">
        <f>SUMIFS(METALFISA!$E:$E,METALFISA!$A:$A,'Faltantes Fevereiro- Metalfisa'!W$3,METALFISA!$B:$B,'Faltantes Fevereiro- Metalfisa'!$A317)</f>
        <v>0</v>
      </c>
      <c r="X317" s="31">
        <f>SUMIFS(METALFISA!$E:$E,METALFISA!$A:$A,'Faltantes Fevereiro- Metalfisa'!X$3,METALFISA!$B:$B,'Faltantes Fevereiro- Metalfisa'!$A317)</f>
        <v>0</v>
      </c>
      <c r="Y317" s="31">
        <f>SUMIFS(METALFISA!$E:$E,METALFISA!$A:$A,'Faltantes Fevereiro- Metalfisa'!Y$3,METALFISA!$B:$B,'Faltantes Fevereiro- Metalfisa'!$A317)</f>
        <v>0</v>
      </c>
      <c r="Z317" s="31">
        <f>SUMIFS(METALFISA!$E:$E,METALFISA!$A:$A,'Faltantes Fevereiro- Metalfisa'!Z$3,METALFISA!$B:$B,'Faltantes Fevereiro- Metalfisa'!$A317)</f>
        <v>0</v>
      </c>
      <c r="AA317" s="31">
        <f>SUMIFS(METALFISA!$E:$E,METALFISA!$A:$A,'Faltantes Fevereiro- Metalfisa'!AA$3,METALFISA!$B:$B,'Faltantes Fevereiro- Metalfisa'!$A317)</f>
        <v>0</v>
      </c>
      <c r="AB317" s="31">
        <f>SUMIFS(METALFISA!$E:$E,METALFISA!$A:$A,'Faltantes Fevereiro- Metalfisa'!AB$3,METALFISA!$B:$B,'Faltantes Fevereiro- Metalfisa'!$A317)</f>
        <v>0</v>
      </c>
      <c r="AC317" s="31">
        <f>SUMIFS(METALFISA!$E:$E,METALFISA!$A:$A,'Faltantes Fevereiro- Metalfisa'!AC$3,METALFISA!$B:$B,'Faltantes Fevereiro- Metalfisa'!$A317)</f>
        <v>0</v>
      </c>
      <c r="AD317" s="31">
        <f>SUMIFS(METALFISA!$E:$E,METALFISA!$A:$A,'Faltantes Fevereiro- Metalfisa'!AD$3,METALFISA!$B:$B,'Faltantes Fevereiro- Metalfisa'!$A317)</f>
        <v>0</v>
      </c>
      <c r="AE317" s="31">
        <f>SUMIFS(METALFISA!$E:$E,METALFISA!$A:$A,'Faltantes Fevereiro- Metalfisa'!AE$3,METALFISA!$B:$B,'Faltantes Fevereiro- Metalfisa'!$A317)</f>
        <v>2</v>
      </c>
      <c r="AF317" s="31">
        <f>SUMIFS(METALFISA!$E:$E,METALFISA!$A:$A,'Faltantes Fevereiro- Metalfisa'!AF$3,METALFISA!$B:$B,'Faltantes Fevereiro- Metalfisa'!$A317)</f>
        <v>0</v>
      </c>
      <c r="AG317" s="31">
        <f>SUMIFS(METALFISA!$E:$E,METALFISA!$A:$A,'Faltantes Fevereiro- Metalfisa'!AG$3,METALFISA!$B:$B,'Faltantes Fevereiro- Metalfisa'!$A317)</f>
        <v>0</v>
      </c>
      <c r="AH317" s="31">
        <f>SUMIFS(METALFISA!$E:$E,METALFISA!$A:$A,'Faltantes Fevereiro- Metalfisa'!AH$3,METALFISA!$B:$B,'Faltantes Fevereiro- Metalfisa'!$A317)</f>
        <v>0</v>
      </c>
      <c r="AI317" s="31">
        <f>SUMIFS(METALFISA!$E:$E,METALFISA!$A:$A,'Faltantes Fevereiro- Metalfisa'!AI$3,METALFISA!$B:$B,'Faltantes Fevereiro- Metalfisa'!$A317)</f>
        <v>0</v>
      </c>
      <c r="AJ317" s="31">
        <f>SUMIFS(METALFISA!$E:$E,METALFISA!$A:$A,'Faltantes Fevereiro- Metalfisa'!AJ$3,METALFISA!$B:$B,'Faltantes Fevereiro- Metalfisa'!$A317)</f>
        <v>0</v>
      </c>
      <c r="AK317" s="31">
        <f>SUMIFS(METALFISA!$E:$E,METALFISA!$A:$A,'Faltantes Fevereiro- Metalfisa'!AK$3,METALFISA!$B:$B,'Faltantes Fevereiro- Metalfisa'!$A317)</f>
        <v>0</v>
      </c>
      <c r="AL317" s="31">
        <f>SUMIFS(METALFISA!$E:$E,METALFISA!$A:$A,'Faltantes Fevereiro- Metalfisa'!AL$3,METALFISA!$B:$B,'Faltantes Fevereiro- Metalfisa'!$A317)</f>
        <v>0</v>
      </c>
      <c r="AM317" s="31">
        <f>SUMIFS(METALFISA!$E:$E,METALFISA!$A:$A,'Faltantes Fevereiro- Metalfisa'!AM$3,METALFISA!$B:$B,'Faltantes Fevereiro- Metalfisa'!$A317)</f>
        <v>0</v>
      </c>
      <c r="AN317" s="31">
        <f>SUMIFS(METALFISA!$E:$E,METALFISA!$A:$A,'Faltantes Fevereiro- Metalfisa'!AN$3,METALFISA!$B:$B,'Faltantes Fevereiro- Metalfisa'!$A317)</f>
        <v>0</v>
      </c>
      <c r="AO317" s="31">
        <f>SUMIFS(METALFISA!$E:$E,METALFISA!$A:$A,'Faltantes Fevereiro- Metalfisa'!AO$3,METALFISA!$B:$B,'Faltantes Fevereiro- Metalfisa'!$A317)</f>
        <v>0</v>
      </c>
      <c r="AP317" s="31">
        <f>SUMIFS(METALFISA!$E:$E,METALFISA!$A:$A,'Faltantes Fevereiro- Metalfisa'!AP$3,METALFISA!$B:$B,'Faltantes Fevereiro- Metalfisa'!$A317)</f>
        <v>0</v>
      </c>
      <c r="AQ317" s="31"/>
      <c r="AR317" s="31">
        <f>SUMIFS(METALFISA!$E:$E,METALFISA!$A:$A,'Faltantes Fevereiro- Metalfisa'!AR$3,METALFISA!$B:$B,'Faltantes Fevereiro- Metalfisa'!$A317)</f>
        <v>0</v>
      </c>
      <c r="AS317" s="35">
        <f>SUMIFS(METALFISA!$E:$E,METALFISA!$A:$A,'Faltantes Fevereiro- Metalfisa'!AS$3,METALFISA!$B:$B,'Faltantes Fevereiro- Metalfisa'!$A317)</f>
        <v>0</v>
      </c>
      <c r="AU317" s="18">
        <v>0</v>
      </c>
      <c r="AV317" s="18">
        <v>0</v>
      </c>
      <c r="AW317" s="18">
        <v>0</v>
      </c>
      <c r="AX317" s="18">
        <v>0</v>
      </c>
      <c r="AY317" s="41">
        <v>0</v>
      </c>
      <c r="AZ317" s="31">
        <v>0</v>
      </c>
      <c r="BA317" s="31">
        <v>0</v>
      </c>
      <c r="BB317" s="31">
        <v>0</v>
      </c>
      <c r="BC317" s="31">
        <v>0</v>
      </c>
      <c r="BD317" s="31">
        <v>0</v>
      </c>
      <c r="BE317" s="31">
        <v>0</v>
      </c>
      <c r="BF317" s="31">
        <v>0</v>
      </c>
      <c r="BG317" s="31">
        <v>0</v>
      </c>
      <c r="BH317" s="31">
        <v>0</v>
      </c>
      <c r="BI317" s="31">
        <v>0</v>
      </c>
      <c r="BJ317" s="31">
        <v>0</v>
      </c>
      <c r="BK317" s="31">
        <v>0</v>
      </c>
      <c r="BL317" s="31">
        <v>0</v>
      </c>
      <c r="BM317" s="31">
        <v>0</v>
      </c>
      <c r="BN317" s="31">
        <v>0</v>
      </c>
      <c r="BO317" s="31">
        <v>2</v>
      </c>
      <c r="BP317" s="31">
        <v>0</v>
      </c>
      <c r="BQ317" s="31">
        <v>0</v>
      </c>
      <c r="BR317" s="31">
        <v>0</v>
      </c>
      <c r="BS317" s="31">
        <v>0</v>
      </c>
      <c r="BT317" s="31">
        <v>0</v>
      </c>
      <c r="BU317" s="31">
        <v>0</v>
      </c>
      <c r="BV317" s="31">
        <v>0</v>
      </c>
      <c r="BW317" s="31">
        <v>0</v>
      </c>
      <c r="BX317" s="31">
        <v>0</v>
      </c>
      <c r="BY317" s="31">
        <v>0</v>
      </c>
      <c r="BZ317" s="31">
        <v>0</v>
      </c>
      <c r="CA317" s="31">
        <v>0</v>
      </c>
      <c r="CB317" s="31">
        <v>0</v>
      </c>
      <c r="CC317" s="31">
        <v>0</v>
      </c>
      <c r="CD317" s="31">
        <v>0</v>
      </c>
      <c r="CE317" s="31">
        <v>0</v>
      </c>
      <c r="CF317" s="31">
        <v>0</v>
      </c>
      <c r="CG317" s="31">
        <v>0</v>
      </c>
      <c r="CH317" s="31">
        <v>0</v>
      </c>
      <c r="CI317" s="31">
        <v>0</v>
      </c>
      <c r="CJ317" s="31">
        <v>0</v>
      </c>
      <c r="CK317" s="31">
        <v>0</v>
      </c>
      <c r="CL317" s="35">
        <v>0</v>
      </c>
    </row>
    <row r="318" spans="1:90" ht="21" x14ac:dyDescent="0.15">
      <c r="A318" s="27" t="s">
        <v>1582</v>
      </c>
      <c r="B318" s="28" t="s">
        <v>1583</v>
      </c>
      <c r="C318" s="28">
        <v>0</v>
      </c>
      <c r="D318" s="28">
        <v>0</v>
      </c>
      <c r="E318" s="28">
        <v>0</v>
      </c>
      <c r="F318" s="28">
        <v>0</v>
      </c>
      <c r="G318" s="28">
        <v>5</v>
      </c>
      <c r="H318" s="28">
        <f>IFERROR(VLOOKUP(A318,[1]FALTANTES!$A:$AB,28,FALSE),"-")</f>
        <v>0</v>
      </c>
      <c r="I318" s="42">
        <f>IFERROR(VLOOKUP(A318,[1]FALTANTES!$A:$AC,29,FALSE),"-")</f>
        <v>1</v>
      </c>
      <c r="J318" s="29">
        <f>IFERROR(VLOOKUP(A318,[1]FALTANTES!$A:$AD,30,FALSE),"-")</f>
        <v>-4</v>
      </c>
      <c r="K318" s="30">
        <v>0</v>
      </c>
      <c r="L318" s="30">
        <f t="shared" si="6"/>
        <v>2</v>
      </c>
      <c r="M318" s="31">
        <f>SUMIFS(METALFISA!$E:$E,METALFISA!$A:$A,'Faltantes Fevereiro- Metalfisa'!M$3,METALFISA!$B:$B,'Faltantes Fevereiro- Metalfisa'!$A318)</f>
        <v>0</v>
      </c>
      <c r="N318" s="31">
        <f>SUMIFS(METALFISA!$E:$E,METALFISA!$A:$A,'Faltantes Fevereiro- Metalfisa'!N$3,METALFISA!$B:$B,'Faltantes Fevereiro- Metalfisa'!$A318)</f>
        <v>0</v>
      </c>
      <c r="O318" s="31">
        <f>SUMIFS(METALFISA!$E:$E,METALFISA!$A:$A,'Faltantes Fevereiro- Metalfisa'!O$3,METALFISA!$B:$B,'Faltantes Fevereiro- Metalfisa'!$A318)</f>
        <v>0</v>
      </c>
      <c r="P318" s="31">
        <f>SUMIFS(METALFISA!$E:$E,METALFISA!$A:$A,'Faltantes Fevereiro- Metalfisa'!P$3,METALFISA!$B:$B,'Faltantes Fevereiro- Metalfisa'!$A318)</f>
        <v>0</v>
      </c>
      <c r="Q318" s="31">
        <f>SUMIFS(METALFISA!$E:$E,METALFISA!$A:$A,'Faltantes Fevereiro- Metalfisa'!Q$3,METALFISA!$B:$B,'Faltantes Fevereiro- Metalfisa'!$A318)</f>
        <v>0</v>
      </c>
      <c r="R318" s="31">
        <f>SUMIFS(METALFISA!$E:$E,METALFISA!$A:$A,'Faltantes Fevereiro- Metalfisa'!R$3,METALFISA!$B:$B,'Faltantes Fevereiro- Metalfisa'!$A318)</f>
        <v>0</v>
      </c>
      <c r="S318" s="31">
        <f>SUMIFS(METALFISA!$E:$E,METALFISA!$A:$A,'Faltantes Fevereiro- Metalfisa'!S$3,METALFISA!$B:$B,'Faltantes Fevereiro- Metalfisa'!$A318)</f>
        <v>0</v>
      </c>
      <c r="T318" s="31">
        <f>SUMIFS(METALFISA!$E:$E,METALFISA!$A:$A,'Faltantes Fevereiro- Metalfisa'!T$3,METALFISA!$B:$B,'Faltantes Fevereiro- Metalfisa'!$A318)</f>
        <v>0</v>
      </c>
      <c r="U318" s="31">
        <f>SUMIFS(METALFISA!$E:$E,METALFISA!$A:$A,'Faltantes Fevereiro- Metalfisa'!U$3,METALFISA!$B:$B,'Faltantes Fevereiro- Metalfisa'!$A318)</f>
        <v>0</v>
      </c>
      <c r="V318" s="31">
        <f>SUMIFS(METALFISA!$E:$E,METALFISA!$A:$A,'Faltantes Fevereiro- Metalfisa'!V$3,METALFISA!$B:$B,'Faltantes Fevereiro- Metalfisa'!$A318)</f>
        <v>0</v>
      </c>
      <c r="W318" s="31">
        <f>SUMIFS(METALFISA!$E:$E,METALFISA!$A:$A,'Faltantes Fevereiro- Metalfisa'!W$3,METALFISA!$B:$B,'Faltantes Fevereiro- Metalfisa'!$A318)</f>
        <v>0</v>
      </c>
      <c r="X318" s="31">
        <f>SUMIFS(METALFISA!$E:$E,METALFISA!$A:$A,'Faltantes Fevereiro- Metalfisa'!X$3,METALFISA!$B:$B,'Faltantes Fevereiro- Metalfisa'!$A318)</f>
        <v>0</v>
      </c>
      <c r="Y318" s="31">
        <f>SUMIFS(METALFISA!$E:$E,METALFISA!$A:$A,'Faltantes Fevereiro- Metalfisa'!Y$3,METALFISA!$B:$B,'Faltantes Fevereiro- Metalfisa'!$A318)</f>
        <v>0</v>
      </c>
      <c r="Z318" s="31">
        <f>SUMIFS(METALFISA!$E:$E,METALFISA!$A:$A,'Faltantes Fevereiro- Metalfisa'!Z$3,METALFISA!$B:$B,'Faltantes Fevereiro- Metalfisa'!$A318)</f>
        <v>0</v>
      </c>
      <c r="AA318" s="31">
        <f>SUMIFS(METALFISA!$E:$E,METALFISA!$A:$A,'Faltantes Fevereiro- Metalfisa'!AA$3,METALFISA!$B:$B,'Faltantes Fevereiro- Metalfisa'!$A318)</f>
        <v>0</v>
      </c>
      <c r="AB318" s="31">
        <f>SUMIFS(METALFISA!$E:$E,METALFISA!$A:$A,'Faltantes Fevereiro- Metalfisa'!AB$3,METALFISA!$B:$B,'Faltantes Fevereiro- Metalfisa'!$A318)</f>
        <v>0</v>
      </c>
      <c r="AC318" s="31">
        <f>SUMIFS(METALFISA!$E:$E,METALFISA!$A:$A,'Faltantes Fevereiro- Metalfisa'!AC$3,METALFISA!$B:$B,'Faltantes Fevereiro- Metalfisa'!$A318)</f>
        <v>0</v>
      </c>
      <c r="AD318" s="31">
        <f>SUMIFS(METALFISA!$E:$E,METALFISA!$A:$A,'Faltantes Fevereiro- Metalfisa'!AD$3,METALFISA!$B:$B,'Faltantes Fevereiro- Metalfisa'!$A318)</f>
        <v>0</v>
      </c>
      <c r="AE318" s="31">
        <f>SUMIFS(METALFISA!$E:$E,METALFISA!$A:$A,'Faltantes Fevereiro- Metalfisa'!AE$3,METALFISA!$B:$B,'Faltantes Fevereiro- Metalfisa'!$A318)</f>
        <v>2</v>
      </c>
      <c r="AF318" s="31">
        <f>SUMIFS(METALFISA!$E:$E,METALFISA!$A:$A,'Faltantes Fevereiro- Metalfisa'!AF$3,METALFISA!$B:$B,'Faltantes Fevereiro- Metalfisa'!$A318)</f>
        <v>0</v>
      </c>
      <c r="AG318" s="31">
        <f>SUMIFS(METALFISA!$E:$E,METALFISA!$A:$A,'Faltantes Fevereiro- Metalfisa'!AG$3,METALFISA!$B:$B,'Faltantes Fevereiro- Metalfisa'!$A318)</f>
        <v>0</v>
      </c>
      <c r="AH318" s="31">
        <f>SUMIFS(METALFISA!$E:$E,METALFISA!$A:$A,'Faltantes Fevereiro- Metalfisa'!AH$3,METALFISA!$B:$B,'Faltantes Fevereiro- Metalfisa'!$A318)</f>
        <v>0</v>
      </c>
      <c r="AI318" s="31">
        <f>SUMIFS(METALFISA!$E:$E,METALFISA!$A:$A,'Faltantes Fevereiro- Metalfisa'!AI$3,METALFISA!$B:$B,'Faltantes Fevereiro- Metalfisa'!$A318)</f>
        <v>0</v>
      </c>
      <c r="AJ318" s="31">
        <f>SUMIFS(METALFISA!$E:$E,METALFISA!$A:$A,'Faltantes Fevereiro- Metalfisa'!AJ$3,METALFISA!$B:$B,'Faltantes Fevereiro- Metalfisa'!$A318)</f>
        <v>0</v>
      </c>
      <c r="AK318" s="31">
        <f>SUMIFS(METALFISA!$E:$E,METALFISA!$A:$A,'Faltantes Fevereiro- Metalfisa'!AK$3,METALFISA!$B:$B,'Faltantes Fevereiro- Metalfisa'!$A318)</f>
        <v>0</v>
      </c>
      <c r="AL318" s="31">
        <f>SUMIFS(METALFISA!$E:$E,METALFISA!$A:$A,'Faltantes Fevereiro- Metalfisa'!AL$3,METALFISA!$B:$B,'Faltantes Fevereiro- Metalfisa'!$A318)</f>
        <v>0</v>
      </c>
      <c r="AM318" s="31">
        <f>SUMIFS(METALFISA!$E:$E,METALFISA!$A:$A,'Faltantes Fevereiro- Metalfisa'!AM$3,METALFISA!$B:$B,'Faltantes Fevereiro- Metalfisa'!$A318)</f>
        <v>0</v>
      </c>
      <c r="AN318" s="31">
        <f>SUMIFS(METALFISA!$E:$E,METALFISA!$A:$A,'Faltantes Fevereiro- Metalfisa'!AN$3,METALFISA!$B:$B,'Faltantes Fevereiro- Metalfisa'!$A318)</f>
        <v>0</v>
      </c>
      <c r="AO318" s="31">
        <f>SUMIFS(METALFISA!$E:$E,METALFISA!$A:$A,'Faltantes Fevereiro- Metalfisa'!AO$3,METALFISA!$B:$B,'Faltantes Fevereiro- Metalfisa'!$A318)</f>
        <v>0</v>
      </c>
      <c r="AP318" s="31">
        <f>SUMIFS(METALFISA!$E:$E,METALFISA!$A:$A,'Faltantes Fevereiro- Metalfisa'!AP$3,METALFISA!$B:$B,'Faltantes Fevereiro- Metalfisa'!$A318)</f>
        <v>0</v>
      </c>
      <c r="AQ318" s="31"/>
      <c r="AR318" s="31">
        <f>SUMIFS(METALFISA!$E:$E,METALFISA!$A:$A,'Faltantes Fevereiro- Metalfisa'!AR$3,METALFISA!$B:$B,'Faltantes Fevereiro- Metalfisa'!$A318)</f>
        <v>0</v>
      </c>
      <c r="AS318" s="35">
        <f>SUMIFS(METALFISA!$E:$E,METALFISA!$A:$A,'Faltantes Fevereiro- Metalfisa'!AS$3,METALFISA!$B:$B,'Faltantes Fevereiro- Metalfisa'!$A318)</f>
        <v>0</v>
      </c>
      <c r="AU318" s="18">
        <v>0</v>
      </c>
      <c r="AV318" s="18">
        <v>0</v>
      </c>
      <c r="AW318" s="18">
        <v>0</v>
      </c>
      <c r="AX318" s="18">
        <v>0</v>
      </c>
      <c r="AY318" s="41">
        <v>0</v>
      </c>
      <c r="AZ318" s="31">
        <v>0</v>
      </c>
      <c r="BA318" s="31">
        <v>0</v>
      </c>
      <c r="BB318" s="31">
        <v>0</v>
      </c>
      <c r="BC318" s="31">
        <v>0</v>
      </c>
      <c r="BD318" s="31">
        <v>0</v>
      </c>
      <c r="BE318" s="31">
        <v>0</v>
      </c>
      <c r="BF318" s="31">
        <v>0</v>
      </c>
      <c r="BG318" s="31">
        <v>0</v>
      </c>
      <c r="BH318" s="31">
        <v>0</v>
      </c>
      <c r="BI318" s="31">
        <v>0</v>
      </c>
      <c r="BJ318" s="31">
        <v>0</v>
      </c>
      <c r="BK318" s="31">
        <v>0</v>
      </c>
      <c r="BL318" s="31">
        <v>0</v>
      </c>
      <c r="BM318" s="31">
        <v>0</v>
      </c>
      <c r="BN318" s="31">
        <v>0</v>
      </c>
      <c r="BO318" s="31">
        <v>1</v>
      </c>
      <c r="BP318" s="31">
        <v>0</v>
      </c>
      <c r="BQ318" s="31">
        <v>0</v>
      </c>
      <c r="BR318" s="31">
        <v>0</v>
      </c>
      <c r="BS318" s="31">
        <v>0</v>
      </c>
      <c r="BT318" s="31">
        <v>0</v>
      </c>
      <c r="BU318" s="31">
        <v>0</v>
      </c>
      <c r="BV318" s="31">
        <v>0</v>
      </c>
      <c r="BW318" s="31">
        <v>0</v>
      </c>
      <c r="BX318" s="31">
        <v>0</v>
      </c>
      <c r="BY318" s="31">
        <v>0</v>
      </c>
      <c r="BZ318" s="31">
        <v>0</v>
      </c>
      <c r="CA318" s="31">
        <v>0</v>
      </c>
      <c r="CB318" s="31">
        <v>0</v>
      </c>
      <c r="CC318" s="31">
        <v>0</v>
      </c>
      <c r="CD318" s="31">
        <v>0</v>
      </c>
      <c r="CE318" s="31">
        <v>0</v>
      </c>
      <c r="CF318" s="31">
        <v>0</v>
      </c>
      <c r="CG318" s="31">
        <v>0</v>
      </c>
      <c r="CH318" s="31">
        <v>0</v>
      </c>
      <c r="CI318" s="31">
        <v>0</v>
      </c>
      <c r="CJ318" s="31">
        <v>0</v>
      </c>
      <c r="CK318" s="31">
        <v>0</v>
      </c>
      <c r="CL318" s="35">
        <v>0</v>
      </c>
    </row>
    <row r="319" spans="1:90" ht="21" x14ac:dyDescent="0.15">
      <c r="A319" s="27" t="s">
        <v>1592</v>
      </c>
      <c r="B319" s="28" t="s">
        <v>1593</v>
      </c>
      <c r="C319" s="28">
        <v>0</v>
      </c>
      <c r="D319" s="28">
        <v>0</v>
      </c>
      <c r="E319" s="28">
        <v>0</v>
      </c>
      <c r="F319" s="28">
        <v>0</v>
      </c>
      <c r="G319" s="28">
        <v>2</v>
      </c>
      <c r="H319" s="28">
        <f>IFERROR(VLOOKUP(A319,[1]FALTANTES!$A:$AB,28,FALSE),"-")</f>
        <v>0</v>
      </c>
      <c r="I319" s="42">
        <f>IFERROR(VLOOKUP(A319,[1]FALTANTES!$A:$AC,29,FALSE),"-")</f>
        <v>0</v>
      </c>
      <c r="J319" s="29">
        <f>IFERROR(VLOOKUP(A319,[1]FALTANTES!$A:$AD,30,FALSE),"-")</f>
        <v>-2</v>
      </c>
      <c r="K319" s="30">
        <v>0</v>
      </c>
      <c r="L319" s="30">
        <f t="shared" si="6"/>
        <v>2</v>
      </c>
      <c r="M319" s="31">
        <f>SUMIFS(METALFISA!$E:$E,METALFISA!$A:$A,'Faltantes Fevereiro- Metalfisa'!M$3,METALFISA!$B:$B,'Faltantes Fevereiro- Metalfisa'!$A319)</f>
        <v>0</v>
      </c>
      <c r="N319" s="31">
        <f>SUMIFS(METALFISA!$E:$E,METALFISA!$A:$A,'Faltantes Fevereiro- Metalfisa'!N$3,METALFISA!$B:$B,'Faltantes Fevereiro- Metalfisa'!$A319)</f>
        <v>0</v>
      </c>
      <c r="O319" s="31">
        <f>SUMIFS(METALFISA!$E:$E,METALFISA!$A:$A,'Faltantes Fevereiro- Metalfisa'!O$3,METALFISA!$B:$B,'Faltantes Fevereiro- Metalfisa'!$A319)</f>
        <v>0</v>
      </c>
      <c r="P319" s="31">
        <f>SUMIFS(METALFISA!$E:$E,METALFISA!$A:$A,'Faltantes Fevereiro- Metalfisa'!P$3,METALFISA!$B:$B,'Faltantes Fevereiro- Metalfisa'!$A319)</f>
        <v>0</v>
      </c>
      <c r="Q319" s="31">
        <f>SUMIFS(METALFISA!$E:$E,METALFISA!$A:$A,'Faltantes Fevereiro- Metalfisa'!Q$3,METALFISA!$B:$B,'Faltantes Fevereiro- Metalfisa'!$A319)</f>
        <v>0</v>
      </c>
      <c r="R319" s="31">
        <f>SUMIFS(METALFISA!$E:$E,METALFISA!$A:$A,'Faltantes Fevereiro- Metalfisa'!R$3,METALFISA!$B:$B,'Faltantes Fevereiro- Metalfisa'!$A319)</f>
        <v>0</v>
      </c>
      <c r="S319" s="31">
        <f>SUMIFS(METALFISA!$E:$E,METALFISA!$A:$A,'Faltantes Fevereiro- Metalfisa'!S$3,METALFISA!$B:$B,'Faltantes Fevereiro- Metalfisa'!$A319)</f>
        <v>0</v>
      </c>
      <c r="T319" s="31">
        <f>SUMIFS(METALFISA!$E:$E,METALFISA!$A:$A,'Faltantes Fevereiro- Metalfisa'!T$3,METALFISA!$B:$B,'Faltantes Fevereiro- Metalfisa'!$A319)</f>
        <v>0</v>
      </c>
      <c r="U319" s="31">
        <f>SUMIFS(METALFISA!$E:$E,METALFISA!$A:$A,'Faltantes Fevereiro- Metalfisa'!U$3,METALFISA!$B:$B,'Faltantes Fevereiro- Metalfisa'!$A319)</f>
        <v>0</v>
      </c>
      <c r="V319" s="31">
        <f>SUMIFS(METALFISA!$E:$E,METALFISA!$A:$A,'Faltantes Fevereiro- Metalfisa'!V$3,METALFISA!$B:$B,'Faltantes Fevereiro- Metalfisa'!$A319)</f>
        <v>0</v>
      </c>
      <c r="W319" s="31">
        <f>SUMIFS(METALFISA!$E:$E,METALFISA!$A:$A,'Faltantes Fevereiro- Metalfisa'!W$3,METALFISA!$B:$B,'Faltantes Fevereiro- Metalfisa'!$A319)</f>
        <v>0</v>
      </c>
      <c r="X319" s="31">
        <f>SUMIFS(METALFISA!$E:$E,METALFISA!$A:$A,'Faltantes Fevereiro- Metalfisa'!X$3,METALFISA!$B:$B,'Faltantes Fevereiro- Metalfisa'!$A319)</f>
        <v>0</v>
      </c>
      <c r="Y319" s="31">
        <f>SUMIFS(METALFISA!$E:$E,METALFISA!$A:$A,'Faltantes Fevereiro- Metalfisa'!Y$3,METALFISA!$B:$B,'Faltantes Fevereiro- Metalfisa'!$A319)</f>
        <v>0</v>
      </c>
      <c r="Z319" s="31">
        <f>SUMIFS(METALFISA!$E:$E,METALFISA!$A:$A,'Faltantes Fevereiro- Metalfisa'!Z$3,METALFISA!$B:$B,'Faltantes Fevereiro- Metalfisa'!$A319)</f>
        <v>0</v>
      </c>
      <c r="AA319" s="31">
        <f>SUMIFS(METALFISA!$E:$E,METALFISA!$A:$A,'Faltantes Fevereiro- Metalfisa'!AA$3,METALFISA!$B:$B,'Faltantes Fevereiro- Metalfisa'!$A319)</f>
        <v>0</v>
      </c>
      <c r="AB319" s="31">
        <f>SUMIFS(METALFISA!$E:$E,METALFISA!$A:$A,'Faltantes Fevereiro- Metalfisa'!AB$3,METALFISA!$B:$B,'Faltantes Fevereiro- Metalfisa'!$A319)</f>
        <v>0</v>
      </c>
      <c r="AC319" s="31">
        <f>SUMIFS(METALFISA!$E:$E,METALFISA!$A:$A,'Faltantes Fevereiro- Metalfisa'!AC$3,METALFISA!$B:$B,'Faltantes Fevereiro- Metalfisa'!$A319)</f>
        <v>0</v>
      </c>
      <c r="AD319" s="31">
        <f>SUMIFS(METALFISA!$E:$E,METALFISA!$A:$A,'Faltantes Fevereiro- Metalfisa'!AD$3,METALFISA!$B:$B,'Faltantes Fevereiro- Metalfisa'!$A319)</f>
        <v>0</v>
      </c>
      <c r="AE319" s="31">
        <f>SUMIFS(METALFISA!$E:$E,METALFISA!$A:$A,'Faltantes Fevereiro- Metalfisa'!AE$3,METALFISA!$B:$B,'Faltantes Fevereiro- Metalfisa'!$A319)</f>
        <v>2</v>
      </c>
      <c r="AF319" s="31">
        <f>SUMIFS(METALFISA!$E:$E,METALFISA!$A:$A,'Faltantes Fevereiro- Metalfisa'!AF$3,METALFISA!$B:$B,'Faltantes Fevereiro- Metalfisa'!$A319)</f>
        <v>0</v>
      </c>
      <c r="AG319" s="31">
        <f>SUMIFS(METALFISA!$E:$E,METALFISA!$A:$A,'Faltantes Fevereiro- Metalfisa'!AG$3,METALFISA!$B:$B,'Faltantes Fevereiro- Metalfisa'!$A319)</f>
        <v>0</v>
      </c>
      <c r="AH319" s="31">
        <f>SUMIFS(METALFISA!$E:$E,METALFISA!$A:$A,'Faltantes Fevereiro- Metalfisa'!AH$3,METALFISA!$B:$B,'Faltantes Fevereiro- Metalfisa'!$A319)</f>
        <v>0</v>
      </c>
      <c r="AI319" s="31">
        <f>SUMIFS(METALFISA!$E:$E,METALFISA!$A:$A,'Faltantes Fevereiro- Metalfisa'!AI$3,METALFISA!$B:$B,'Faltantes Fevereiro- Metalfisa'!$A319)</f>
        <v>0</v>
      </c>
      <c r="AJ319" s="31">
        <f>SUMIFS(METALFISA!$E:$E,METALFISA!$A:$A,'Faltantes Fevereiro- Metalfisa'!AJ$3,METALFISA!$B:$B,'Faltantes Fevereiro- Metalfisa'!$A319)</f>
        <v>0</v>
      </c>
      <c r="AK319" s="31">
        <f>SUMIFS(METALFISA!$E:$E,METALFISA!$A:$A,'Faltantes Fevereiro- Metalfisa'!AK$3,METALFISA!$B:$B,'Faltantes Fevereiro- Metalfisa'!$A319)</f>
        <v>0</v>
      </c>
      <c r="AL319" s="31">
        <f>SUMIFS(METALFISA!$E:$E,METALFISA!$A:$A,'Faltantes Fevereiro- Metalfisa'!AL$3,METALFISA!$B:$B,'Faltantes Fevereiro- Metalfisa'!$A319)</f>
        <v>0</v>
      </c>
      <c r="AM319" s="31">
        <f>SUMIFS(METALFISA!$E:$E,METALFISA!$A:$A,'Faltantes Fevereiro- Metalfisa'!AM$3,METALFISA!$B:$B,'Faltantes Fevereiro- Metalfisa'!$A319)</f>
        <v>0</v>
      </c>
      <c r="AN319" s="31">
        <f>SUMIFS(METALFISA!$E:$E,METALFISA!$A:$A,'Faltantes Fevereiro- Metalfisa'!AN$3,METALFISA!$B:$B,'Faltantes Fevereiro- Metalfisa'!$A319)</f>
        <v>0</v>
      </c>
      <c r="AO319" s="31">
        <f>SUMIFS(METALFISA!$E:$E,METALFISA!$A:$A,'Faltantes Fevereiro- Metalfisa'!AO$3,METALFISA!$B:$B,'Faltantes Fevereiro- Metalfisa'!$A319)</f>
        <v>0</v>
      </c>
      <c r="AP319" s="31">
        <f>SUMIFS(METALFISA!$E:$E,METALFISA!$A:$A,'Faltantes Fevereiro- Metalfisa'!AP$3,METALFISA!$B:$B,'Faltantes Fevereiro- Metalfisa'!$A319)</f>
        <v>0</v>
      </c>
      <c r="AQ319" s="31"/>
      <c r="AR319" s="31">
        <f>SUMIFS(METALFISA!$E:$E,METALFISA!$A:$A,'Faltantes Fevereiro- Metalfisa'!AR$3,METALFISA!$B:$B,'Faltantes Fevereiro- Metalfisa'!$A319)</f>
        <v>0</v>
      </c>
      <c r="AS319" s="35">
        <f>SUMIFS(METALFISA!$E:$E,METALFISA!$A:$A,'Faltantes Fevereiro- Metalfisa'!AS$3,METALFISA!$B:$B,'Faltantes Fevereiro- Metalfisa'!$A319)</f>
        <v>0</v>
      </c>
      <c r="AU319" s="18">
        <v>0</v>
      </c>
      <c r="AV319" s="18">
        <v>0</v>
      </c>
      <c r="AW319" s="18">
        <v>0</v>
      </c>
      <c r="AX319" s="18">
        <v>0</v>
      </c>
      <c r="AY319" s="41">
        <v>0</v>
      </c>
      <c r="AZ319" s="31">
        <v>0</v>
      </c>
      <c r="BA319" s="31">
        <v>0</v>
      </c>
      <c r="BB319" s="31">
        <v>0</v>
      </c>
      <c r="BC319" s="31">
        <v>0</v>
      </c>
      <c r="BD319" s="31">
        <v>0</v>
      </c>
      <c r="BE319" s="31">
        <v>0</v>
      </c>
      <c r="BF319" s="31">
        <v>0</v>
      </c>
      <c r="BG319" s="31">
        <v>0</v>
      </c>
      <c r="BH319" s="31">
        <v>0</v>
      </c>
      <c r="BI319" s="31">
        <v>0</v>
      </c>
      <c r="BJ319" s="31">
        <v>0</v>
      </c>
      <c r="BK319" s="31">
        <v>0</v>
      </c>
      <c r="BL319" s="31">
        <v>0</v>
      </c>
      <c r="BM319" s="31">
        <v>0</v>
      </c>
      <c r="BN319" s="31">
        <v>0</v>
      </c>
      <c r="BO319" s="31">
        <v>0</v>
      </c>
      <c r="BP319" s="31">
        <v>0</v>
      </c>
      <c r="BQ319" s="31">
        <v>0</v>
      </c>
      <c r="BR319" s="31">
        <v>0</v>
      </c>
      <c r="BS319" s="31">
        <v>0</v>
      </c>
      <c r="BT319" s="31">
        <v>0</v>
      </c>
      <c r="BU319" s="31">
        <v>0</v>
      </c>
      <c r="BV319" s="31">
        <v>0</v>
      </c>
      <c r="BW319" s="31">
        <v>0</v>
      </c>
      <c r="BX319" s="31">
        <v>0</v>
      </c>
      <c r="BY319" s="31">
        <v>0</v>
      </c>
      <c r="BZ319" s="31">
        <v>0</v>
      </c>
      <c r="CA319" s="31">
        <v>0</v>
      </c>
      <c r="CB319" s="31">
        <v>0</v>
      </c>
      <c r="CC319" s="31">
        <v>0</v>
      </c>
      <c r="CD319" s="31">
        <v>0</v>
      </c>
      <c r="CE319" s="31">
        <v>0</v>
      </c>
      <c r="CF319" s="31">
        <v>0</v>
      </c>
      <c r="CG319" s="31">
        <v>0</v>
      </c>
      <c r="CH319" s="31">
        <v>0</v>
      </c>
      <c r="CI319" s="31">
        <v>0</v>
      </c>
      <c r="CJ319" s="31">
        <v>0</v>
      </c>
      <c r="CK319" s="31">
        <v>0</v>
      </c>
      <c r="CL319" s="35">
        <v>0</v>
      </c>
    </row>
    <row r="320" spans="1:90" ht="21" x14ac:dyDescent="0.15">
      <c r="A320" s="27" t="s">
        <v>1596</v>
      </c>
      <c r="B320" s="28" t="s">
        <v>1597</v>
      </c>
      <c r="C320" s="28">
        <v>0</v>
      </c>
      <c r="D320" s="28">
        <v>0</v>
      </c>
      <c r="E320" s="28">
        <v>0</v>
      </c>
      <c r="F320" s="28">
        <v>0</v>
      </c>
      <c r="G320" s="28">
        <v>2</v>
      </c>
      <c r="H320" s="28">
        <f>IFERROR(VLOOKUP(A320,[1]FALTANTES!$A:$AB,28,FALSE),"-")</f>
        <v>0</v>
      </c>
      <c r="I320" s="42">
        <f>IFERROR(VLOOKUP(A320,[1]FALTANTES!$A:$AC,29,FALSE),"-")</f>
        <v>0</v>
      </c>
      <c r="J320" s="29">
        <f>IFERROR(VLOOKUP(A320,[1]FALTANTES!$A:$AD,30,FALSE),"-")</f>
        <v>-2</v>
      </c>
      <c r="K320" s="30">
        <v>0</v>
      </c>
      <c r="L320" s="30">
        <f t="shared" si="6"/>
        <v>2</v>
      </c>
      <c r="M320" s="31">
        <f>SUMIFS(METALFISA!$E:$E,METALFISA!$A:$A,'Faltantes Fevereiro- Metalfisa'!M$3,METALFISA!$B:$B,'Faltantes Fevereiro- Metalfisa'!$A320)</f>
        <v>0</v>
      </c>
      <c r="N320" s="31">
        <f>SUMIFS(METALFISA!$E:$E,METALFISA!$A:$A,'Faltantes Fevereiro- Metalfisa'!N$3,METALFISA!$B:$B,'Faltantes Fevereiro- Metalfisa'!$A320)</f>
        <v>0</v>
      </c>
      <c r="O320" s="31">
        <f>SUMIFS(METALFISA!$E:$E,METALFISA!$A:$A,'Faltantes Fevereiro- Metalfisa'!O$3,METALFISA!$B:$B,'Faltantes Fevereiro- Metalfisa'!$A320)</f>
        <v>0</v>
      </c>
      <c r="P320" s="31">
        <f>SUMIFS(METALFISA!$E:$E,METALFISA!$A:$A,'Faltantes Fevereiro- Metalfisa'!P$3,METALFISA!$B:$B,'Faltantes Fevereiro- Metalfisa'!$A320)</f>
        <v>0</v>
      </c>
      <c r="Q320" s="31">
        <f>SUMIFS(METALFISA!$E:$E,METALFISA!$A:$A,'Faltantes Fevereiro- Metalfisa'!Q$3,METALFISA!$B:$B,'Faltantes Fevereiro- Metalfisa'!$A320)</f>
        <v>0</v>
      </c>
      <c r="R320" s="31">
        <f>SUMIFS(METALFISA!$E:$E,METALFISA!$A:$A,'Faltantes Fevereiro- Metalfisa'!R$3,METALFISA!$B:$B,'Faltantes Fevereiro- Metalfisa'!$A320)</f>
        <v>0</v>
      </c>
      <c r="S320" s="31">
        <f>SUMIFS(METALFISA!$E:$E,METALFISA!$A:$A,'Faltantes Fevereiro- Metalfisa'!S$3,METALFISA!$B:$B,'Faltantes Fevereiro- Metalfisa'!$A320)</f>
        <v>0</v>
      </c>
      <c r="T320" s="31">
        <f>SUMIFS(METALFISA!$E:$E,METALFISA!$A:$A,'Faltantes Fevereiro- Metalfisa'!T$3,METALFISA!$B:$B,'Faltantes Fevereiro- Metalfisa'!$A320)</f>
        <v>0</v>
      </c>
      <c r="U320" s="31">
        <f>SUMIFS(METALFISA!$E:$E,METALFISA!$A:$A,'Faltantes Fevereiro- Metalfisa'!U$3,METALFISA!$B:$B,'Faltantes Fevereiro- Metalfisa'!$A320)</f>
        <v>0</v>
      </c>
      <c r="V320" s="31">
        <f>SUMIFS(METALFISA!$E:$E,METALFISA!$A:$A,'Faltantes Fevereiro- Metalfisa'!V$3,METALFISA!$B:$B,'Faltantes Fevereiro- Metalfisa'!$A320)</f>
        <v>0</v>
      </c>
      <c r="W320" s="31">
        <f>SUMIFS(METALFISA!$E:$E,METALFISA!$A:$A,'Faltantes Fevereiro- Metalfisa'!W$3,METALFISA!$B:$B,'Faltantes Fevereiro- Metalfisa'!$A320)</f>
        <v>0</v>
      </c>
      <c r="X320" s="31">
        <f>SUMIFS(METALFISA!$E:$E,METALFISA!$A:$A,'Faltantes Fevereiro- Metalfisa'!X$3,METALFISA!$B:$B,'Faltantes Fevereiro- Metalfisa'!$A320)</f>
        <v>0</v>
      </c>
      <c r="Y320" s="31">
        <f>SUMIFS(METALFISA!$E:$E,METALFISA!$A:$A,'Faltantes Fevereiro- Metalfisa'!Y$3,METALFISA!$B:$B,'Faltantes Fevereiro- Metalfisa'!$A320)</f>
        <v>0</v>
      </c>
      <c r="Z320" s="31">
        <f>SUMIFS(METALFISA!$E:$E,METALFISA!$A:$A,'Faltantes Fevereiro- Metalfisa'!Z$3,METALFISA!$B:$B,'Faltantes Fevereiro- Metalfisa'!$A320)</f>
        <v>0</v>
      </c>
      <c r="AA320" s="31">
        <f>SUMIFS(METALFISA!$E:$E,METALFISA!$A:$A,'Faltantes Fevereiro- Metalfisa'!AA$3,METALFISA!$B:$B,'Faltantes Fevereiro- Metalfisa'!$A320)</f>
        <v>0</v>
      </c>
      <c r="AB320" s="31">
        <f>SUMIFS(METALFISA!$E:$E,METALFISA!$A:$A,'Faltantes Fevereiro- Metalfisa'!AB$3,METALFISA!$B:$B,'Faltantes Fevereiro- Metalfisa'!$A320)</f>
        <v>0</v>
      </c>
      <c r="AC320" s="31">
        <f>SUMIFS(METALFISA!$E:$E,METALFISA!$A:$A,'Faltantes Fevereiro- Metalfisa'!AC$3,METALFISA!$B:$B,'Faltantes Fevereiro- Metalfisa'!$A320)</f>
        <v>0</v>
      </c>
      <c r="AD320" s="31">
        <f>SUMIFS(METALFISA!$E:$E,METALFISA!$A:$A,'Faltantes Fevereiro- Metalfisa'!AD$3,METALFISA!$B:$B,'Faltantes Fevereiro- Metalfisa'!$A320)</f>
        <v>0</v>
      </c>
      <c r="AE320" s="31">
        <f>SUMIFS(METALFISA!$E:$E,METALFISA!$A:$A,'Faltantes Fevereiro- Metalfisa'!AE$3,METALFISA!$B:$B,'Faltantes Fevereiro- Metalfisa'!$A320)</f>
        <v>2</v>
      </c>
      <c r="AF320" s="31">
        <f>SUMIFS(METALFISA!$E:$E,METALFISA!$A:$A,'Faltantes Fevereiro- Metalfisa'!AF$3,METALFISA!$B:$B,'Faltantes Fevereiro- Metalfisa'!$A320)</f>
        <v>0</v>
      </c>
      <c r="AG320" s="31">
        <f>SUMIFS(METALFISA!$E:$E,METALFISA!$A:$A,'Faltantes Fevereiro- Metalfisa'!AG$3,METALFISA!$B:$B,'Faltantes Fevereiro- Metalfisa'!$A320)</f>
        <v>0</v>
      </c>
      <c r="AH320" s="31">
        <f>SUMIFS(METALFISA!$E:$E,METALFISA!$A:$A,'Faltantes Fevereiro- Metalfisa'!AH$3,METALFISA!$B:$B,'Faltantes Fevereiro- Metalfisa'!$A320)</f>
        <v>0</v>
      </c>
      <c r="AI320" s="31">
        <f>SUMIFS(METALFISA!$E:$E,METALFISA!$A:$A,'Faltantes Fevereiro- Metalfisa'!AI$3,METALFISA!$B:$B,'Faltantes Fevereiro- Metalfisa'!$A320)</f>
        <v>0</v>
      </c>
      <c r="AJ320" s="31">
        <f>SUMIFS(METALFISA!$E:$E,METALFISA!$A:$A,'Faltantes Fevereiro- Metalfisa'!AJ$3,METALFISA!$B:$B,'Faltantes Fevereiro- Metalfisa'!$A320)</f>
        <v>0</v>
      </c>
      <c r="AK320" s="31">
        <f>SUMIFS(METALFISA!$E:$E,METALFISA!$A:$A,'Faltantes Fevereiro- Metalfisa'!AK$3,METALFISA!$B:$B,'Faltantes Fevereiro- Metalfisa'!$A320)</f>
        <v>0</v>
      </c>
      <c r="AL320" s="31">
        <f>SUMIFS(METALFISA!$E:$E,METALFISA!$A:$A,'Faltantes Fevereiro- Metalfisa'!AL$3,METALFISA!$B:$B,'Faltantes Fevereiro- Metalfisa'!$A320)</f>
        <v>0</v>
      </c>
      <c r="AM320" s="31">
        <f>SUMIFS(METALFISA!$E:$E,METALFISA!$A:$A,'Faltantes Fevereiro- Metalfisa'!AM$3,METALFISA!$B:$B,'Faltantes Fevereiro- Metalfisa'!$A320)</f>
        <v>0</v>
      </c>
      <c r="AN320" s="31">
        <f>SUMIFS(METALFISA!$E:$E,METALFISA!$A:$A,'Faltantes Fevereiro- Metalfisa'!AN$3,METALFISA!$B:$B,'Faltantes Fevereiro- Metalfisa'!$A320)</f>
        <v>0</v>
      </c>
      <c r="AO320" s="31">
        <f>SUMIFS(METALFISA!$E:$E,METALFISA!$A:$A,'Faltantes Fevereiro- Metalfisa'!AO$3,METALFISA!$B:$B,'Faltantes Fevereiro- Metalfisa'!$A320)</f>
        <v>0</v>
      </c>
      <c r="AP320" s="31">
        <f>SUMIFS(METALFISA!$E:$E,METALFISA!$A:$A,'Faltantes Fevereiro- Metalfisa'!AP$3,METALFISA!$B:$B,'Faltantes Fevereiro- Metalfisa'!$A320)</f>
        <v>0</v>
      </c>
      <c r="AQ320" s="31"/>
      <c r="AR320" s="31">
        <f>SUMIFS(METALFISA!$E:$E,METALFISA!$A:$A,'Faltantes Fevereiro- Metalfisa'!AR$3,METALFISA!$B:$B,'Faltantes Fevereiro- Metalfisa'!$A320)</f>
        <v>0</v>
      </c>
      <c r="AS320" s="35">
        <f>SUMIFS(METALFISA!$E:$E,METALFISA!$A:$A,'Faltantes Fevereiro- Metalfisa'!AS$3,METALFISA!$B:$B,'Faltantes Fevereiro- Metalfisa'!$A320)</f>
        <v>0</v>
      </c>
      <c r="AU320" s="18">
        <v>0</v>
      </c>
      <c r="AV320" s="18">
        <v>0</v>
      </c>
      <c r="AW320" s="18">
        <v>0</v>
      </c>
      <c r="AX320" s="18">
        <v>0</v>
      </c>
      <c r="AY320" s="41">
        <v>0</v>
      </c>
      <c r="AZ320" s="31">
        <v>0</v>
      </c>
      <c r="BA320" s="31">
        <v>0</v>
      </c>
      <c r="BB320" s="31">
        <v>0</v>
      </c>
      <c r="BC320" s="31">
        <v>0</v>
      </c>
      <c r="BD320" s="31">
        <v>0</v>
      </c>
      <c r="BE320" s="31">
        <v>0</v>
      </c>
      <c r="BF320" s="31">
        <v>0</v>
      </c>
      <c r="BG320" s="31">
        <v>0</v>
      </c>
      <c r="BH320" s="31">
        <v>0</v>
      </c>
      <c r="BI320" s="31">
        <v>0</v>
      </c>
      <c r="BJ320" s="31">
        <v>0</v>
      </c>
      <c r="BK320" s="31">
        <v>0</v>
      </c>
      <c r="BL320" s="31">
        <v>0</v>
      </c>
      <c r="BM320" s="31">
        <v>0</v>
      </c>
      <c r="BN320" s="31">
        <v>0</v>
      </c>
      <c r="BO320" s="31">
        <v>0</v>
      </c>
      <c r="BP320" s="31">
        <v>0</v>
      </c>
      <c r="BQ320" s="31">
        <v>0</v>
      </c>
      <c r="BR320" s="31">
        <v>0</v>
      </c>
      <c r="BS320" s="31">
        <v>0</v>
      </c>
      <c r="BT320" s="31">
        <v>0</v>
      </c>
      <c r="BU320" s="31">
        <v>0</v>
      </c>
      <c r="BV320" s="31">
        <v>0</v>
      </c>
      <c r="BW320" s="31">
        <v>0</v>
      </c>
      <c r="BX320" s="31">
        <v>0</v>
      </c>
      <c r="BY320" s="31">
        <v>0</v>
      </c>
      <c r="BZ320" s="31">
        <v>0</v>
      </c>
      <c r="CA320" s="31">
        <v>0</v>
      </c>
      <c r="CB320" s="31">
        <v>0</v>
      </c>
      <c r="CC320" s="31">
        <v>0</v>
      </c>
      <c r="CD320" s="31">
        <v>0</v>
      </c>
      <c r="CE320" s="31">
        <v>0</v>
      </c>
      <c r="CF320" s="31">
        <v>0</v>
      </c>
      <c r="CG320" s="31">
        <v>0</v>
      </c>
      <c r="CH320" s="31">
        <v>0</v>
      </c>
      <c r="CI320" s="31">
        <v>0</v>
      </c>
      <c r="CJ320" s="31">
        <v>0</v>
      </c>
      <c r="CK320" s="31">
        <v>0</v>
      </c>
      <c r="CL320" s="35">
        <v>0</v>
      </c>
    </row>
    <row r="321" spans="1:90" ht="21" x14ac:dyDescent="0.15">
      <c r="A321" s="27" t="s">
        <v>1604</v>
      </c>
      <c r="B321" s="28" t="s">
        <v>1605</v>
      </c>
      <c r="C321" s="28">
        <v>0</v>
      </c>
      <c r="D321" s="28">
        <v>0</v>
      </c>
      <c r="E321" s="28">
        <v>0</v>
      </c>
      <c r="F321" s="28">
        <v>0</v>
      </c>
      <c r="G321" s="28">
        <v>6</v>
      </c>
      <c r="H321" s="28">
        <f>IFERROR(VLOOKUP(A321,[1]FALTANTES!$A:$AB,28,FALSE),"-")</f>
        <v>0</v>
      </c>
      <c r="I321" s="42">
        <f>IFERROR(VLOOKUP(A321,[1]FALTANTES!$A:$AC,29,FALSE),"-")</f>
        <v>2</v>
      </c>
      <c r="J321" s="29">
        <f>IFERROR(VLOOKUP(A321,[1]FALTANTES!$A:$AD,30,FALSE),"-")</f>
        <v>-4</v>
      </c>
      <c r="K321" s="30">
        <v>0</v>
      </c>
      <c r="L321" s="30">
        <f t="shared" si="6"/>
        <v>2</v>
      </c>
      <c r="M321" s="31">
        <f>SUMIFS(METALFISA!$E:$E,METALFISA!$A:$A,'Faltantes Fevereiro- Metalfisa'!M$3,METALFISA!$B:$B,'Faltantes Fevereiro- Metalfisa'!$A321)</f>
        <v>0</v>
      </c>
      <c r="N321" s="31">
        <f>SUMIFS(METALFISA!$E:$E,METALFISA!$A:$A,'Faltantes Fevereiro- Metalfisa'!N$3,METALFISA!$B:$B,'Faltantes Fevereiro- Metalfisa'!$A321)</f>
        <v>0</v>
      </c>
      <c r="O321" s="31">
        <f>SUMIFS(METALFISA!$E:$E,METALFISA!$A:$A,'Faltantes Fevereiro- Metalfisa'!O$3,METALFISA!$B:$B,'Faltantes Fevereiro- Metalfisa'!$A321)</f>
        <v>0</v>
      </c>
      <c r="P321" s="31">
        <f>SUMIFS(METALFISA!$E:$E,METALFISA!$A:$A,'Faltantes Fevereiro- Metalfisa'!P$3,METALFISA!$B:$B,'Faltantes Fevereiro- Metalfisa'!$A321)</f>
        <v>0</v>
      </c>
      <c r="Q321" s="31">
        <f>SUMIFS(METALFISA!$E:$E,METALFISA!$A:$A,'Faltantes Fevereiro- Metalfisa'!Q$3,METALFISA!$B:$B,'Faltantes Fevereiro- Metalfisa'!$A321)</f>
        <v>0</v>
      </c>
      <c r="R321" s="31">
        <f>SUMIFS(METALFISA!$E:$E,METALFISA!$A:$A,'Faltantes Fevereiro- Metalfisa'!R$3,METALFISA!$B:$B,'Faltantes Fevereiro- Metalfisa'!$A321)</f>
        <v>0</v>
      </c>
      <c r="S321" s="31">
        <f>SUMIFS(METALFISA!$E:$E,METALFISA!$A:$A,'Faltantes Fevereiro- Metalfisa'!S$3,METALFISA!$B:$B,'Faltantes Fevereiro- Metalfisa'!$A321)</f>
        <v>0</v>
      </c>
      <c r="T321" s="31">
        <f>SUMIFS(METALFISA!$E:$E,METALFISA!$A:$A,'Faltantes Fevereiro- Metalfisa'!T$3,METALFISA!$B:$B,'Faltantes Fevereiro- Metalfisa'!$A321)</f>
        <v>0</v>
      </c>
      <c r="U321" s="31">
        <f>SUMIFS(METALFISA!$E:$E,METALFISA!$A:$A,'Faltantes Fevereiro- Metalfisa'!U$3,METALFISA!$B:$B,'Faltantes Fevereiro- Metalfisa'!$A321)</f>
        <v>0</v>
      </c>
      <c r="V321" s="31">
        <f>SUMIFS(METALFISA!$E:$E,METALFISA!$A:$A,'Faltantes Fevereiro- Metalfisa'!V$3,METALFISA!$B:$B,'Faltantes Fevereiro- Metalfisa'!$A321)</f>
        <v>0</v>
      </c>
      <c r="W321" s="31">
        <f>SUMIFS(METALFISA!$E:$E,METALFISA!$A:$A,'Faltantes Fevereiro- Metalfisa'!W$3,METALFISA!$B:$B,'Faltantes Fevereiro- Metalfisa'!$A321)</f>
        <v>0</v>
      </c>
      <c r="X321" s="31">
        <f>SUMIFS(METALFISA!$E:$E,METALFISA!$A:$A,'Faltantes Fevereiro- Metalfisa'!X$3,METALFISA!$B:$B,'Faltantes Fevereiro- Metalfisa'!$A321)</f>
        <v>0</v>
      </c>
      <c r="Y321" s="31">
        <f>SUMIFS(METALFISA!$E:$E,METALFISA!$A:$A,'Faltantes Fevereiro- Metalfisa'!Y$3,METALFISA!$B:$B,'Faltantes Fevereiro- Metalfisa'!$A321)</f>
        <v>0</v>
      </c>
      <c r="Z321" s="31">
        <f>SUMIFS(METALFISA!$E:$E,METALFISA!$A:$A,'Faltantes Fevereiro- Metalfisa'!Z$3,METALFISA!$B:$B,'Faltantes Fevereiro- Metalfisa'!$A321)</f>
        <v>0</v>
      </c>
      <c r="AA321" s="31">
        <f>SUMIFS(METALFISA!$E:$E,METALFISA!$A:$A,'Faltantes Fevereiro- Metalfisa'!AA$3,METALFISA!$B:$B,'Faltantes Fevereiro- Metalfisa'!$A321)</f>
        <v>0</v>
      </c>
      <c r="AB321" s="31">
        <f>SUMIFS(METALFISA!$E:$E,METALFISA!$A:$A,'Faltantes Fevereiro- Metalfisa'!AB$3,METALFISA!$B:$B,'Faltantes Fevereiro- Metalfisa'!$A321)</f>
        <v>0</v>
      </c>
      <c r="AC321" s="31">
        <f>SUMIFS(METALFISA!$E:$E,METALFISA!$A:$A,'Faltantes Fevereiro- Metalfisa'!AC$3,METALFISA!$B:$B,'Faltantes Fevereiro- Metalfisa'!$A321)</f>
        <v>0</v>
      </c>
      <c r="AD321" s="31">
        <f>SUMIFS(METALFISA!$E:$E,METALFISA!$A:$A,'Faltantes Fevereiro- Metalfisa'!AD$3,METALFISA!$B:$B,'Faltantes Fevereiro- Metalfisa'!$A321)</f>
        <v>0</v>
      </c>
      <c r="AE321" s="31">
        <f>SUMIFS(METALFISA!$E:$E,METALFISA!$A:$A,'Faltantes Fevereiro- Metalfisa'!AE$3,METALFISA!$B:$B,'Faltantes Fevereiro- Metalfisa'!$A321)</f>
        <v>2</v>
      </c>
      <c r="AF321" s="31">
        <f>SUMIFS(METALFISA!$E:$E,METALFISA!$A:$A,'Faltantes Fevereiro- Metalfisa'!AF$3,METALFISA!$B:$B,'Faltantes Fevereiro- Metalfisa'!$A321)</f>
        <v>0</v>
      </c>
      <c r="AG321" s="31">
        <f>SUMIFS(METALFISA!$E:$E,METALFISA!$A:$A,'Faltantes Fevereiro- Metalfisa'!AG$3,METALFISA!$B:$B,'Faltantes Fevereiro- Metalfisa'!$A321)</f>
        <v>0</v>
      </c>
      <c r="AH321" s="31">
        <f>SUMIFS(METALFISA!$E:$E,METALFISA!$A:$A,'Faltantes Fevereiro- Metalfisa'!AH$3,METALFISA!$B:$B,'Faltantes Fevereiro- Metalfisa'!$A321)</f>
        <v>0</v>
      </c>
      <c r="AI321" s="31">
        <f>SUMIFS(METALFISA!$E:$E,METALFISA!$A:$A,'Faltantes Fevereiro- Metalfisa'!AI$3,METALFISA!$B:$B,'Faltantes Fevereiro- Metalfisa'!$A321)</f>
        <v>0</v>
      </c>
      <c r="AJ321" s="31">
        <f>SUMIFS(METALFISA!$E:$E,METALFISA!$A:$A,'Faltantes Fevereiro- Metalfisa'!AJ$3,METALFISA!$B:$B,'Faltantes Fevereiro- Metalfisa'!$A321)</f>
        <v>0</v>
      </c>
      <c r="AK321" s="31">
        <f>SUMIFS(METALFISA!$E:$E,METALFISA!$A:$A,'Faltantes Fevereiro- Metalfisa'!AK$3,METALFISA!$B:$B,'Faltantes Fevereiro- Metalfisa'!$A321)</f>
        <v>0</v>
      </c>
      <c r="AL321" s="31">
        <f>SUMIFS(METALFISA!$E:$E,METALFISA!$A:$A,'Faltantes Fevereiro- Metalfisa'!AL$3,METALFISA!$B:$B,'Faltantes Fevereiro- Metalfisa'!$A321)</f>
        <v>0</v>
      </c>
      <c r="AM321" s="31">
        <f>SUMIFS(METALFISA!$E:$E,METALFISA!$A:$A,'Faltantes Fevereiro- Metalfisa'!AM$3,METALFISA!$B:$B,'Faltantes Fevereiro- Metalfisa'!$A321)</f>
        <v>0</v>
      </c>
      <c r="AN321" s="31">
        <f>SUMIFS(METALFISA!$E:$E,METALFISA!$A:$A,'Faltantes Fevereiro- Metalfisa'!AN$3,METALFISA!$B:$B,'Faltantes Fevereiro- Metalfisa'!$A321)</f>
        <v>0</v>
      </c>
      <c r="AO321" s="31">
        <f>SUMIFS(METALFISA!$E:$E,METALFISA!$A:$A,'Faltantes Fevereiro- Metalfisa'!AO$3,METALFISA!$B:$B,'Faltantes Fevereiro- Metalfisa'!$A321)</f>
        <v>0</v>
      </c>
      <c r="AP321" s="31">
        <f>SUMIFS(METALFISA!$E:$E,METALFISA!$A:$A,'Faltantes Fevereiro- Metalfisa'!AP$3,METALFISA!$B:$B,'Faltantes Fevereiro- Metalfisa'!$A321)</f>
        <v>0</v>
      </c>
      <c r="AQ321" s="31"/>
      <c r="AR321" s="31">
        <f>SUMIFS(METALFISA!$E:$E,METALFISA!$A:$A,'Faltantes Fevereiro- Metalfisa'!AR$3,METALFISA!$B:$B,'Faltantes Fevereiro- Metalfisa'!$A321)</f>
        <v>0</v>
      </c>
      <c r="AS321" s="35">
        <f>SUMIFS(METALFISA!$E:$E,METALFISA!$A:$A,'Faltantes Fevereiro- Metalfisa'!AS$3,METALFISA!$B:$B,'Faltantes Fevereiro- Metalfisa'!$A321)</f>
        <v>0</v>
      </c>
      <c r="AU321" s="18">
        <v>0</v>
      </c>
      <c r="AV321" s="18">
        <v>0</v>
      </c>
      <c r="AW321" s="18">
        <v>0</v>
      </c>
      <c r="AX321" s="18">
        <v>0</v>
      </c>
      <c r="AY321" s="41">
        <v>0</v>
      </c>
      <c r="AZ321" s="31">
        <v>0</v>
      </c>
      <c r="BA321" s="31">
        <v>0</v>
      </c>
      <c r="BB321" s="31">
        <v>0</v>
      </c>
      <c r="BC321" s="31">
        <v>0</v>
      </c>
      <c r="BD321" s="31">
        <v>0</v>
      </c>
      <c r="BE321" s="31">
        <v>0</v>
      </c>
      <c r="BF321" s="31">
        <v>0</v>
      </c>
      <c r="BG321" s="31">
        <v>0</v>
      </c>
      <c r="BH321" s="31">
        <v>0</v>
      </c>
      <c r="BI321" s="31">
        <v>0</v>
      </c>
      <c r="BJ321" s="31">
        <v>0</v>
      </c>
      <c r="BK321" s="31">
        <v>0</v>
      </c>
      <c r="BL321" s="31">
        <v>0</v>
      </c>
      <c r="BM321" s="31">
        <v>0</v>
      </c>
      <c r="BN321" s="31">
        <v>0</v>
      </c>
      <c r="BO321" s="31">
        <v>1</v>
      </c>
      <c r="BP321" s="31">
        <v>0</v>
      </c>
      <c r="BQ321" s="31">
        <v>0</v>
      </c>
      <c r="BR321" s="31">
        <v>0</v>
      </c>
      <c r="BS321" s="31">
        <v>0</v>
      </c>
      <c r="BT321" s="31">
        <v>0</v>
      </c>
      <c r="BU321" s="31">
        <v>0</v>
      </c>
      <c r="BV321" s="31">
        <v>0</v>
      </c>
      <c r="BW321" s="31">
        <v>0</v>
      </c>
      <c r="BX321" s="31">
        <v>0</v>
      </c>
      <c r="BY321" s="31">
        <v>0</v>
      </c>
      <c r="BZ321" s="31">
        <v>0</v>
      </c>
      <c r="CA321" s="31">
        <v>0</v>
      </c>
      <c r="CB321" s="31">
        <v>0</v>
      </c>
      <c r="CC321" s="31">
        <v>0</v>
      </c>
      <c r="CD321" s="31">
        <v>0</v>
      </c>
      <c r="CE321" s="31">
        <v>0</v>
      </c>
      <c r="CF321" s="31">
        <v>0</v>
      </c>
      <c r="CG321" s="31">
        <v>0</v>
      </c>
      <c r="CH321" s="31">
        <v>0</v>
      </c>
      <c r="CI321" s="31">
        <v>0</v>
      </c>
      <c r="CJ321" s="31">
        <v>0</v>
      </c>
      <c r="CK321" s="31">
        <v>0</v>
      </c>
      <c r="CL321" s="35">
        <v>0</v>
      </c>
    </row>
    <row r="322" spans="1:90" ht="21" x14ac:dyDescent="0.15">
      <c r="A322" s="27" t="s">
        <v>1608</v>
      </c>
      <c r="B322" s="28" t="s">
        <v>1609</v>
      </c>
      <c r="C322" s="28">
        <v>0</v>
      </c>
      <c r="D322" s="28">
        <v>0</v>
      </c>
      <c r="E322" s="28">
        <v>0</v>
      </c>
      <c r="F322" s="28">
        <v>0</v>
      </c>
      <c r="G322" s="28">
        <v>6</v>
      </c>
      <c r="H322" s="28">
        <f>IFERROR(VLOOKUP(A322,[1]FALTANTES!$A:$AB,28,FALSE),"-")</f>
        <v>0</v>
      </c>
      <c r="I322" s="42">
        <f>IFERROR(VLOOKUP(A322,[1]FALTANTES!$A:$AC,29,FALSE),"-")</f>
        <v>2</v>
      </c>
      <c r="J322" s="29">
        <f>IFERROR(VLOOKUP(A322,[1]FALTANTES!$A:$AD,30,FALSE),"-")</f>
        <v>-4</v>
      </c>
      <c r="K322" s="30"/>
      <c r="L322" s="30">
        <f t="shared" si="6"/>
        <v>2</v>
      </c>
      <c r="M322" s="31">
        <f>SUMIFS(METALFISA!$E:$E,METALFISA!$A:$A,'Faltantes Fevereiro- Metalfisa'!M$3,METALFISA!$B:$B,'Faltantes Fevereiro- Metalfisa'!$A322)</f>
        <v>0</v>
      </c>
      <c r="N322" s="31">
        <f>SUMIFS(METALFISA!$E:$E,METALFISA!$A:$A,'Faltantes Fevereiro- Metalfisa'!N$3,METALFISA!$B:$B,'Faltantes Fevereiro- Metalfisa'!$A322)</f>
        <v>0</v>
      </c>
      <c r="O322" s="31">
        <f>SUMIFS(METALFISA!$E:$E,METALFISA!$A:$A,'Faltantes Fevereiro- Metalfisa'!O$3,METALFISA!$B:$B,'Faltantes Fevereiro- Metalfisa'!$A322)</f>
        <v>0</v>
      </c>
      <c r="P322" s="31">
        <f>SUMIFS(METALFISA!$E:$E,METALFISA!$A:$A,'Faltantes Fevereiro- Metalfisa'!P$3,METALFISA!$B:$B,'Faltantes Fevereiro- Metalfisa'!$A322)</f>
        <v>0</v>
      </c>
      <c r="Q322" s="31">
        <f>SUMIFS(METALFISA!$E:$E,METALFISA!$A:$A,'Faltantes Fevereiro- Metalfisa'!Q$3,METALFISA!$B:$B,'Faltantes Fevereiro- Metalfisa'!$A322)</f>
        <v>0</v>
      </c>
      <c r="R322" s="31">
        <f>SUMIFS(METALFISA!$E:$E,METALFISA!$A:$A,'Faltantes Fevereiro- Metalfisa'!R$3,METALFISA!$B:$B,'Faltantes Fevereiro- Metalfisa'!$A322)</f>
        <v>0</v>
      </c>
      <c r="S322" s="31">
        <f>SUMIFS(METALFISA!$E:$E,METALFISA!$A:$A,'Faltantes Fevereiro- Metalfisa'!S$3,METALFISA!$B:$B,'Faltantes Fevereiro- Metalfisa'!$A322)</f>
        <v>0</v>
      </c>
      <c r="T322" s="31">
        <f>SUMIFS(METALFISA!$E:$E,METALFISA!$A:$A,'Faltantes Fevereiro- Metalfisa'!T$3,METALFISA!$B:$B,'Faltantes Fevereiro- Metalfisa'!$A322)</f>
        <v>0</v>
      </c>
      <c r="U322" s="31">
        <f>SUMIFS(METALFISA!$E:$E,METALFISA!$A:$A,'Faltantes Fevereiro- Metalfisa'!U$3,METALFISA!$B:$B,'Faltantes Fevereiro- Metalfisa'!$A322)</f>
        <v>0</v>
      </c>
      <c r="V322" s="31">
        <f>SUMIFS(METALFISA!$E:$E,METALFISA!$A:$A,'Faltantes Fevereiro- Metalfisa'!V$3,METALFISA!$B:$B,'Faltantes Fevereiro- Metalfisa'!$A322)</f>
        <v>0</v>
      </c>
      <c r="W322" s="31">
        <f>SUMIFS(METALFISA!$E:$E,METALFISA!$A:$A,'Faltantes Fevereiro- Metalfisa'!W$3,METALFISA!$B:$B,'Faltantes Fevereiro- Metalfisa'!$A322)</f>
        <v>0</v>
      </c>
      <c r="X322" s="31">
        <f>SUMIFS(METALFISA!$E:$E,METALFISA!$A:$A,'Faltantes Fevereiro- Metalfisa'!X$3,METALFISA!$B:$B,'Faltantes Fevereiro- Metalfisa'!$A322)</f>
        <v>0</v>
      </c>
      <c r="Y322" s="31">
        <f>SUMIFS(METALFISA!$E:$E,METALFISA!$A:$A,'Faltantes Fevereiro- Metalfisa'!Y$3,METALFISA!$B:$B,'Faltantes Fevereiro- Metalfisa'!$A322)</f>
        <v>0</v>
      </c>
      <c r="Z322" s="31">
        <f>SUMIFS(METALFISA!$E:$E,METALFISA!$A:$A,'Faltantes Fevereiro- Metalfisa'!Z$3,METALFISA!$B:$B,'Faltantes Fevereiro- Metalfisa'!$A322)</f>
        <v>0</v>
      </c>
      <c r="AA322" s="31">
        <f>SUMIFS(METALFISA!$E:$E,METALFISA!$A:$A,'Faltantes Fevereiro- Metalfisa'!AA$3,METALFISA!$B:$B,'Faltantes Fevereiro- Metalfisa'!$A322)</f>
        <v>0</v>
      </c>
      <c r="AB322" s="31">
        <f>SUMIFS(METALFISA!$E:$E,METALFISA!$A:$A,'Faltantes Fevereiro- Metalfisa'!AB$3,METALFISA!$B:$B,'Faltantes Fevereiro- Metalfisa'!$A322)</f>
        <v>0</v>
      </c>
      <c r="AC322" s="31">
        <f>SUMIFS(METALFISA!$E:$E,METALFISA!$A:$A,'Faltantes Fevereiro- Metalfisa'!AC$3,METALFISA!$B:$B,'Faltantes Fevereiro- Metalfisa'!$A322)</f>
        <v>0</v>
      </c>
      <c r="AD322" s="31">
        <f>SUMIFS(METALFISA!$E:$E,METALFISA!$A:$A,'Faltantes Fevereiro- Metalfisa'!AD$3,METALFISA!$B:$B,'Faltantes Fevereiro- Metalfisa'!$A322)</f>
        <v>0</v>
      </c>
      <c r="AE322" s="31">
        <f>SUMIFS(METALFISA!$E:$E,METALFISA!$A:$A,'Faltantes Fevereiro- Metalfisa'!AE$3,METALFISA!$B:$B,'Faltantes Fevereiro- Metalfisa'!$A322)</f>
        <v>2</v>
      </c>
      <c r="AF322" s="31">
        <f>SUMIFS(METALFISA!$E:$E,METALFISA!$A:$A,'Faltantes Fevereiro- Metalfisa'!AF$3,METALFISA!$B:$B,'Faltantes Fevereiro- Metalfisa'!$A322)</f>
        <v>0</v>
      </c>
      <c r="AG322" s="31">
        <f>SUMIFS(METALFISA!$E:$E,METALFISA!$A:$A,'Faltantes Fevereiro- Metalfisa'!AG$3,METALFISA!$B:$B,'Faltantes Fevereiro- Metalfisa'!$A322)</f>
        <v>0</v>
      </c>
      <c r="AH322" s="31">
        <f>SUMIFS(METALFISA!$E:$E,METALFISA!$A:$A,'Faltantes Fevereiro- Metalfisa'!AH$3,METALFISA!$B:$B,'Faltantes Fevereiro- Metalfisa'!$A322)</f>
        <v>0</v>
      </c>
      <c r="AI322" s="31">
        <f>SUMIFS(METALFISA!$E:$E,METALFISA!$A:$A,'Faltantes Fevereiro- Metalfisa'!AI$3,METALFISA!$B:$B,'Faltantes Fevereiro- Metalfisa'!$A322)</f>
        <v>0</v>
      </c>
      <c r="AJ322" s="31">
        <f>SUMIFS(METALFISA!$E:$E,METALFISA!$A:$A,'Faltantes Fevereiro- Metalfisa'!AJ$3,METALFISA!$B:$B,'Faltantes Fevereiro- Metalfisa'!$A322)</f>
        <v>0</v>
      </c>
      <c r="AK322" s="31">
        <f>SUMIFS(METALFISA!$E:$E,METALFISA!$A:$A,'Faltantes Fevereiro- Metalfisa'!AK$3,METALFISA!$B:$B,'Faltantes Fevereiro- Metalfisa'!$A322)</f>
        <v>0</v>
      </c>
      <c r="AL322" s="31">
        <f>SUMIFS(METALFISA!$E:$E,METALFISA!$A:$A,'Faltantes Fevereiro- Metalfisa'!AL$3,METALFISA!$B:$B,'Faltantes Fevereiro- Metalfisa'!$A322)</f>
        <v>0</v>
      </c>
      <c r="AM322" s="31">
        <f>SUMIFS(METALFISA!$E:$E,METALFISA!$A:$A,'Faltantes Fevereiro- Metalfisa'!AM$3,METALFISA!$B:$B,'Faltantes Fevereiro- Metalfisa'!$A322)</f>
        <v>0</v>
      </c>
      <c r="AN322" s="31">
        <f>SUMIFS(METALFISA!$E:$E,METALFISA!$A:$A,'Faltantes Fevereiro- Metalfisa'!AN$3,METALFISA!$B:$B,'Faltantes Fevereiro- Metalfisa'!$A322)</f>
        <v>0</v>
      </c>
      <c r="AO322" s="31">
        <f>SUMIFS(METALFISA!$E:$E,METALFISA!$A:$A,'Faltantes Fevereiro- Metalfisa'!AO$3,METALFISA!$B:$B,'Faltantes Fevereiro- Metalfisa'!$A322)</f>
        <v>0</v>
      </c>
      <c r="AP322" s="31">
        <f>SUMIFS(METALFISA!$E:$E,METALFISA!$A:$A,'Faltantes Fevereiro- Metalfisa'!AP$3,METALFISA!$B:$B,'Faltantes Fevereiro- Metalfisa'!$A322)</f>
        <v>0</v>
      </c>
      <c r="AQ322" s="31"/>
      <c r="AR322" s="31">
        <f>SUMIFS(METALFISA!$E:$E,METALFISA!$A:$A,'Faltantes Fevereiro- Metalfisa'!AR$3,METALFISA!$B:$B,'Faltantes Fevereiro- Metalfisa'!$A322)</f>
        <v>0</v>
      </c>
      <c r="AS322" s="35">
        <f>SUMIFS(METALFISA!$E:$E,METALFISA!$A:$A,'Faltantes Fevereiro- Metalfisa'!AS$3,METALFISA!$B:$B,'Faltantes Fevereiro- Metalfisa'!$A322)</f>
        <v>0</v>
      </c>
      <c r="AU322" s="18">
        <v>0</v>
      </c>
      <c r="AV322" s="18">
        <v>0</v>
      </c>
      <c r="AW322" s="18">
        <v>0</v>
      </c>
      <c r="AX322" s="18">
        <v>0</v>
      </c>
      <c r="AY322" s="41">
        <v>0</v>
      </c>
      <c r="AZ322" s="31">
        <v>0</v>
      </c>
      <c r="BA322" s="31">
        <v>0</v>
      </c>
      <c r="BB322" s="31">
        <v>0</v>
      </c>
      <c r="BC322" s="31">
        <v>0</v>
      </c>
      <c r="BD322" s="31">
        <v>0</v>
      </c>
      <c r="BE322" s="31">
        <v>0</v>
      </c>
      <c r="BF322" s="31">
        <v>0</v>
      </c>
      <c r="BG322" s="31">
        <v>0</v>
      </c>
      <c r="BH322" s="31">
        <v>0</v>
      </c>
      <c r="BI322" s="31">
        <v>0</v>
      </c>
      <c r="BJ322" s="31">
        <v>0</v>
      </c>
      <c r="BK322" s="31">
        <v>0</v>
      </c>
      <c r="BL322" s="31">
        <v>0</v>
      </c>
      <c r="BM322" s="31">
        <v>0</v>
      </c>
      <c r="BN322" s="31">
        <v>0</v>
      </c>
      <c r="BO322" s="31">
        <v>1</v>
      </c>
      <c r="BP322" s="31">
        <v>0</v>
      </c>
      <c r="BQ322" s="31">
        <v>0</v>
      </c>
      <c r="BR322" s="31">
        <v>0</v>
      </c>
      <c r="BS322" s="31">
        <v>0</v>
      </c>
      <c r="BT322" s="31">
        <v>0</v>
      </c>
      <c r="BU322" s="31">
        <v>0</v>
      </c>
      <c r="BV322" s="31">
        <v>0</v>
      </c>
      <c r="BW322" s="31">
        <v>0</v>
      </c>
      <c r="BX322" s="31">
        <v>0</v>
      </c>
      <c r="BY322" s="31">
        <v>0</v>
      </c>
      <c r="BZ322" s="31">
        <v>0</v>
      </c>
      <c r="CA322" s="31">
        <v>0</v>
      </c>
      <c r="CB322" s="31">
        <v>0</v>
      </c>
      <c r="CC322" s="31">
        <v>0</v>
      </c>
      <c r="CD322" s="31">
        <v>0</v>
      </c>
      <c r="CE322" s="31">
        <v>0</v>
      </c>
      <c r="CF322" s="31">
        <v>0</v>
      </c>
      <c r="CG322" s="31">
        <v>0</v>
      </c>
      <c r="CH322" s="31">
        <v>0</v>
      </c>
      <c r="CI322" s="31">
        <v>0</v>
      </c>
      <c r="CJ322" s="31">
        <v>0</v>
      </c>
      <c r="CK322" s="31">
        <v>0</v>
      </c>
      <c r="CL322" s="35">
        <v>0</v>
      </c>
    </row>
    <row r="323" spans="1:90" ht="21" x14ac:dyDescent="0.15">
      <c r="A323" s="27" t="s">
        <v>1612</v>
      </c>
      <c r="B323" s="28" t="s">
        <v>1613</v>
      </c>
      <c r="C323" s="28">
        <v>0</v>
      </c>
      <c r="D323" s="28">
        <v>0</v>
      </c>
      <c r="E323" s="28">
        <v>0</v>
      </c>
      <c r="F323" s="28">
        <v>0</v>
      </c>
      <c r="G323" s="28">
        <v>6</v>
      </c>
      <c r="H323" s="28">
        <f>IFERROR(VLOOKUP(A323,[1]FALTANTES!$A:$AB,28,FALSE),"-")</f>
        <v>0</v>
      </c>
      <c r="I323" s="42">
        <f>IFERROR(VLOOKUP(A323,[1]FALTANTES!$A:$AC,29,FALSE),"-")</f>
        <v>2</v>
      </c>
      <c r="J323" s="29">
        <f>IFERROR(VLOOKUP(A323,[1]FALTANTES!$A:$AD,30,FALSE),"-")</f>
        <v>-4</v>
      </c>
      <c r="K323" s="30">
        <v>0</v>
      </c>
      <c r="L323" s="30">
        <f t="shared" si="6"/>
        <v>2</v>
      </c>
      <c r="M323" s="31">
        <f>SUMIFS(METALFISA!$E:$E,METALFISA!$A:$A,'Faltantes Fevereiro- Metalfisa'!M$3,METALFISA!$B:$B,'Faltantes Fevereiro- Metalfisa'!$A323)</f>
        <v>0</v>
      </c>
      <c r="N323" s="31">
        <f>SUMIFS(METALFISA!$E:$E,METALFISA!$A:$A,'Faltantes Fevereiro- Metalfisa'!N$3,METALFISA!$B:$B,'Faltantes Fevereiro- Metalfisa'!$A323)</f>
        <v>0</v>
      </c>
      <c r="O323" s="31">
        <f>SUMIFS(METALFISA!$E:$E,METALFISA!$A:$A,'Faltantes Fevereiro- Metalfisa'!O$3,METALFISA!$B:$B,'Faltantes Fevereiro- Metalfisa'!$A323)</f>
        <v>0</v>
      </c>
      <c r="P323" s="31">
        <f>SUMIFS(METALFISA!$E:$E,METALFISA!$A:$A,'Faltantes Fevereiro- Metalfisa'!P$3,METALFISA!$B:$B,'Faltantes Fevereiro- Metalfisa'!$A323)</f>
        <v>0</v>
      </c>
      <c r="Q323" s="31">
        <f>SUMIFS(METALFISA!$E:$E,METALFISA!$A:$A,'Faltantes Fevereiro- Metalfisa'!Q$3,METALFISA!$B:$B,'Faltantes Fevereiro- Metalfisa'!$A323)</f>
        <v>0</v>
      </c>
      <c r="R323" s="31">
        <f>SUMIFS(METALFISA!$E:$E,METALFISA!$A:$A,'Faltantes Fevereiro- Metalfisa'!R$3,METALFISA!$B:$B,'Faltantes Fevereiro- Metalfisa'!$A323)</f>
        <v>0</v>
      </c>
      <c r="S323" s="31">
        <f>SUMIFS(METALFISA!$E:$E,METALFISA!$A:$A,'Faltantes Fevereiro- Metalfisa'!S$3,METALFISA!$B:$B,'Faltantes Fevereiro- Metalfisa'!$A323)</f>
        <v>0</v>
      </c>
      <c r="T323" s="31">
        <f>SUMIFS(METALFISA!$E:$E,METALFISA!$A:$A,'Faltantes Fevereiro- Metalfisa'!T$3,METALFISA!$B:$B,'Faltantes Fevereiro- Metalfisa'!$A323)</f>
        <v>0</v>
      </c>
      <c r="U323" s="31">
        <f>SUMIFS(METALFISA!$E:$E,METALFISA!$A:$A,'Faltantes Fevereiro- Metalfisa'!U$3,METALFISA!$B:$B,'Faltantes Fevereiro- Metalfisa'!$A323)</f>
        <v>0</v>
      </c>
      <c r="V323" s="31">
        <f>SUMIFS(METALFISA!$E:$E,METALFISA!$A:$A,'Faltantes Fevereiro- Metalfisa'!V$3,METALFISA!$B:$B,'Faltantes Fevereiro- Metalfisa'!$A323)</f>
        <v>0</v>
      </c>
      <c r="W323" s="31">
        <f>SUMIFS(METALFISA!$E:$E,METALFISA!$A:$A,'Faltantes Fevereiro- Metalfisa'!W$3,METALFISA!$B:$B,'Faltantes Fevereiro- Metalfisa'!$A323)</f>
        <v>0</v>
      </c>
      <c r="X323" s="31">
        <f>SUMIFS(METALFISA!$E:$E,METALFISA!$A:$A,'Faltantes Fevereiro- Metalfisa'!X$3,METALFISA!$B:$B,'Faltantes Fevereiro- Metalfisa'!$A323)</f>
        <v>0</v>
      </c>
      <c r="Y323" s="31">
        <f>SUMIFS(METALFISA!$E:$E,METALFISA!$A:$A,'Faltantes Fevereiro- Metalfisa'!Y$3,METALFISA!$B:$B,'Faltantes Fevereiro- Metalfisa'!$A323)</f>
        <v>0</v>
      </c>
      <c r="Z323" s="31">
        <f>SUMIFS(METALFISA!$E:$E,METALFISA!$A:$A,'Faltantes Fevereiro- Metalfisa'!Z$3,METALFISA!$B:$B,'Faltantes Fevereiro- Metalfisa'!$A323)</f>
        <v>0</v>
      </c>
      <c r="AA323" s="31">
        <f>SUMIFS(METALFISA!$E:$E,METALFISA!$A:$A,'Faltantes Fevereiro- Metalfisa'!AA$3,METALFISA!$B:$B,'Faltantes Fevereiro- Metalfisa'!$A323)</f>
        <v>0</v>
      </c>
      <c r="AB323" s="31">
        <f>SUMIFS(METALFISA!$E:$E,METALFISA!$A:$A,'Faltantes Fevereiro- Metalfisa'!AB$3,METALFISA!$B:$B,'Faltantes Fevereiro- Metalfisa'!$A323)</f>
        <v>0</v>
      </c>
      <c r="AC323" s="31">
        <f>SUMIFS(METALFISA!$E:$E,METALFISA!$A:$A,'Faltantes Fevereiro- Metalfisa'!AC$3,METALFISA!$B:$B,'Faltantes Fevereiro- Metalfisa'!$A323)</f>
        <v>0</v>
      </c>
      <c r="AD323" s="31">
        <f>SUMIFS(METALFISA!$E:$E,METALFISA!$A:$A,'Faltantes Fevereiro- Metalfisa'!AD$3,METALFISA!$B:$B,'Faltantes Fevereiro- Metalfisa'!$A323)</f>
        <v>0</v>
      </c>
      <c r="AE323" s="31">
        <f>SUMIFS(METALFISA!$E:$E,METALFISA!$A:$A,'Faltantes Fevereiro- Metalfisa'!AE$3,METALFISA!$B:$B,'Faltantes Fevereiro- Metalfisa'!$A323)</f>
        <v>2</v>
      </c>
      <c r="AF323" s="31">
        <f>SUMIFS(METALFISA!$E:$E,METALFISA!$A:$A,'Faltantes Fevereiro- Metalfisa'!AF$3,METALFISA!$B:$B,'Faltantes Fevereiro- Metalfisa'!$A323)</f>
        <v>0</v>
      </c>
      <c r="AG323" s="31">
        <f>SUMIFS(METALFISA!$E:$E,METALFISA!$A:$A,'Faltantes Fevereiro- Metalfisa'!AG$3,METALFISA!$B:$B,'Faltantes Fevereiro- Metalfisa'!$A323)</f>
        <v>0</v>
      </c>
      <c r="AH323" s="31">
        <f>SUMIFS(METALFISA!$E:$E,METALFISA!$A:$A,'Faltantes Fevereiro- Metalfisa'!AH$3,METALFISA!$B:$B,'Faltantes Fevereiro- Metalfisa'!$A323)</f>
        <v>0</v>
      </c>
      <c r="AI323" s="31">
        <f>SUMIFS(METALFISA!$E:$E,METALFISA!$A:$A,'Faltantes Fevereiro- Metalfisa'!AI$3,METALFISA!$B:$B,'Faltantes Fevereiro- Metalfisa'!$A323)</f>
        <v>0</v>
      </c>
      <c r="AJ323" s="31">
        <f>SUMIFS(METALFISA!$E:$E,METALFISA!$A:$A,'Faltantes Fevereiro- Metalfisa'!AJ$3,METALFISA!$B:$B,'Faltantes Fevereiro- Metalfisa'!$A323)</f>
        <v>0</v>
      </c>
      <c r="AK323" s="31">
        <f>SUMIFS(METALFISA!$E:$E,METALFISA!$A:$A,'Faltantes Fevereiro- Metalfisa'!AK$3,METALFISA!$B:$B,'Faltantes Fevereiro- Metalfisa'!$A323)</f>
        <v>0</v>
      </c>
      <c r="AL323" s="31">
        <f>SUMIFS(METALFISA!$E:$E,METALFISA!$A:$A,'Faltantes Fevereiro- Metalfisa'!AL$3,METALFISA!$B:$B,'Faltantes Fevereiro- Metalfisa'!$A323)</f>
        <v>0</v>
      </c>
      <c r="AM323" s="31">
        <f>SUMIFS(METALFISA!$E:$E,METALFISA!$A:$A,'Faltantes Fevereiro- Metalfisa'!AM$3,METALFISA!$B:$B,'Faltantes Fevereiro- Metalfisa'!$A323)</f>
        <v>0</v>
      </c>
      <c r="AN323" s="31">
        <f>SUMIFS(METALFISA!$E:$E,METALFISA!$A:$A,'Faltantes Fevereiro- Metalfisa'!AN$3,METALFISA!$B:$B,'Faltantes Fevereiro- Metalfisa'!$A323)</f>
        <v>0</v>
      </c>
      <c r="AO323" s="31">
        <f>SUMIFS(METALFISA!$E:$E,METALFISA!$A:$A,'Faltantes Fevereiro- Metalfisa'!AO$3,METALFISA!$B:$B,'Faltantes Fevereiro- Metalfisa'!$A323)</f>
        <v>0</v>
      </c>
      <c r="AP323" s="31">
        <f>SUMIFS(METALFISA!$E:$E,METALFISA!$A:$A,'Faltantes Fevereiro- Metalfisa'!AP$3,METALFISA!$B:$B,'Faltantes Fevereiro- Metalfisa'!$A323)</f>
        <v>0</v>
      </c>
      <c r="AQ323" s="31"/>
      <c r="AR323" s="31">
        <f>SUMIFS(METALFISA!$E:$E,METALFISA!$A:$A,'Faltantes Fevereiro- Metalfisa'!AR$3,METALFISA!$B:$B,'Faltantes Fevereiro- Metalfisa'!$A323)</f>
        <v>0</v>
      </c>
      <c r="AS323" s="35">
        <f>SUMIFS(METALFISA!$E:$E,METALFISA!$A:$A,'Faltantes Fevereiro- Metalfisa'!AS$3,METALFISA!$B:$B,'Faltantes Fevereiro- Metalfisa'!$A323)</f>
        <v>0</v>
      </c>
      <c r="AU323" s="18">
        <v>0</v>
      </c>
      <c r="AV323" s="18">
        <v>0</v>
      </c>
      <c r="AW323" s="18">
        <v>0</v>
      </c>
      <c r="AX323" s="18">
        <v>0</v>
      </c>
      <c r="AY323" s="41">
        <v>0</v>
      </c>
      <c r="AZ323" s="31">
        <v>0</v>
      </c>
      <c r="BA323" s="31">
        <v>0</v>
      </c>
      <c r="BB323" s="31">
        <v>0</v>
      </c>
      <c r="BC323" s="31">
        <v>0</v>
      </c>
      <c r="BD323" s="31">
        <v>0</v>
      </c>
      <c r="BE323" s="31">
        <v>0</v>
      </c>
      <c r="BF323" s="31">
        <v>0</v>
      </c>
      <c r="BG323" s="31">
        <v>0</v>
      </c>
      <c r="BH323" s="31">
        <v>0</v>
      </c>
      <c r="BI323" s="31">
        <v>0</v>
      </c>
      <c r="BJ323" s="31">
        <v>0</v>
      </c>
      <c r="BK323" s="31">
        <v>0</v>
      </c>
      <c r="BL323" s="31">
        <v>0</v>
      </c>
      <c r="BM323" s="31">
        <v>0</v>
      </c>
      <c r="BN323" s="31">
        <v>0</v>
      </c>
      <c r="BO323" s="31">
        <v>1</v>
      </c>
      <c r="BP323" s="31">
        <v>0</v>
      </c>
      <c r="BQ323" s="31">
        <v>0</v>
      </c>
      <c r="BR323" s="31">
        <v>0</v>
      </c>
      <c r="BS323" s="31">
        <v>0</v>
      </c>
      <c r="BT323" s="31">
        <v>0</v>
      </c>
      <c r="BU323" s="31">
        <v>0</v>
      </c>
      <c r="BV323" s="31">
        <v>0</v>
      </c>
      <c r="BW323" s="31">
        <v>0</v>
      </c>
      <c r="BX323" s="31">
        <v>0</v>
      </c>
      <c r="BY323" s="31">
        <v>0</v>
      </c>
      <c r="BZ323" s="31">
        <v>0</v>
      </c>
      <c r="CA323" s="31">
        <v>0</v>
      </c>
      <c r="CB323" s="31">
        <v>0</v>
      </c>
      <c r="CC323" s="31">
        <v>0</v>
      </c>
      <c r="CD323" s="31">
        <v>0</v>
      </c>
      <c r="CE323" s="31">
        <v>0</v>
      </c>
      <c r="CF323" s="31">
        <v>0</v>
      </c>
      <c r="CG323" s="31">
        <v>0</v>
      </c>
      <c r="CH323" s="31">
        <v>0</v>
      </c>
      <c r="CI323" s="31">
        <v>0</v>
      </c>
      <c r="CJ323" s="31">
        <v>0</v>
      </c>
      <c r="CK323" s="31">
        <v>0</v>
      </c>
      <c r="CL323" s="35">
        <v>0</v>
      </c>
    </row>
    <row r="324" spans="1:90" ht="21" x14ac:dyDescent="0.15">
      <c r="A324" s="27" t="s">
        <v>1618</v>
      </c>
      <c r="B324" s="28" t="s">
        <v>1619</v>
      </c>
      <c r="C324" s="28">
        <v>0</v>
      </c>
      <c r="D324" s="28">
        <v>0</v>
      </c>
      <c r="E324" s="28">
        <v>0</v>
      </c>
      <c r="F324" s="28">
        <v>0</v>
      </c>
      <c r="G324" s="28">
        <v>4</v>
      </c>
      <c r="H324" s="28">
        <f>IFERROR(VLOOKUP(A324,[1]FALTANTES!$A:$AB,28,FALSE),"-")</f>
        <v>0</v>
      </c>
      <c r="I324" s="42">
        <f>IFERROR(VLOOKUP(A324,[1]FALTANTES!$A:$AC,29,FALSE),"-")</f>
        <v>0</v>
      </c>
      <c r="J324" s="29">
        <f>IFERROR(VLOOKUP(A324,[1]FALTANTES!$A:$AD,30,FALSE),"-")</f>
        <v>-4</v>
      </c>
      <c r="K324" s="30">
        <v>0</v>
      </c>
      <c r="L324" s="30">
        <f t="shared" si="6"/>
        <v>2</v>
      </c>
      <c r="M324" s="31">
        <f>SUMIFS(METALFISA!$E:$E,METALFISA!$A:$A,'Faltantes Fevereiro- Metalfisa'!M$3,METALFISA!$B:$B,'Faltantes Fevereiro- Metalfisa'!$A324)</f>
        <v>0</v>
      </c>
      <c r="N324" s="31">
        <f>SUMIFS(METALFISA!$E:$E,METALFISA!$A:$A,'Faltantes Fevereiro- Metalfisa'!N$3,METALFISA!$B:$B,'Faltantes Fevereiro- Metalfisa'!$A324)</f>
        <v>0</v>
      </c>
      <c r="O324" s="31">
        <f>SUMIFS(METALFISA!$E:$E,METALFISA!$A:$A,'Faltantes Fevereiro- Metalfisa'!O$3,METALFISA!$B:$B,'Faltantes Fevereiro- Metalfisa'!$A324)</f>
        <v>0</v>
      </c>
      <c r="P324" s="31">
        <f>SUMIFS(METALFISA!$E:$E,METALFISA!$A:$A,'Faltantes Fevereiro- Metalfisa'!P$3,METALFISA!$B:$B,'Faltantes Fevereiro- Metalfisa'!$A324)</f>
        <v>0</v>
      </c>
      <c r="Q324" s="31">
        <f>SUMIFS(METALFISA!$E:$E,METALFISA!$A:$A,'Faltantes Fevereiro- Metalfisa'!Q$3,METALFISA!$B:$B,'Faltantes Fevereiro- Metalfisa'!$A324)</f>
        <v>0</v>
      </c>
      <c r="R324" s="31">
        <f>SUMIFS(METALFISA!$E:$E,METALFISA!$A:$A,'Faltantes Fevereiro- Metalfisa'!R$3,METALFISA!$B:$B,'Faltantes Fevereiro- Metalfisa'!$A324)</f>
        <v>0</v>
      </c>
      <c r="S324" s="31">
        <f>SUMIFS(METALFISA!$E:$E,METALFISA!$A:$A,'Faltantes Fevereiro- Metalfisa'!S$3,METALFISA!$B:$B,'Faltantes Fevereiro- Metalfisa'!$A324)</f>
        <v>0</v>
      </c>
      <c r="T324" s="31">
        <f>SUMIFS(METALFISA!$E:$E,METALFISA!$A:$A,'Faltantes Fevereiro- Metalfisa'!T$3,METALFISA!$B:$B,'Faltantes Fevereiro- Metalfisa'!$A324)</f>
        <v>0</v>
      </c>
      <c r="U324" s="31">
        <f>SUMIFS(METALFISA!$E:$E,METALFISA!$A:$A,'Faltantes Fevereiro- Metalfisa'!U$3,METALFISA!$B:$B,'Faltantes Fevereiro- Metalfisa'!$A324)</f>
        <v>0</v>
      </c>
      <c r="V324" s="31">
        <f>SUMIFS(METALFISA!$E:$E,METALFISA!$A:$A,'Faltantes Fevereiro- Metalfisa'!V$3,METALFISA!$B:$B,'Faltantes Fevereiro- Metalfisa'!$A324)</f>
        <v>0</v>
      </c>
      <c r="W324" s="31">
        <f>SUMIFS(METALFISA!$E:$E,METALFISA!$A:$A,'Faltantes Fevereiro- Metalfisa'!W$3,METALFISA!$B:$B,'Faltantes Fevereiro- Metalfisa'!$A324)</f>
        <v>0</v>
      </c>
      <c r="X324" s="31">
        <f>SUMIFS(METALFISA!$E:$E,METALFISA!$A:$A,'Faltantes Fevereiro- Metalfisa'!X$3,METALFISA!$B:$B,'Faltantes Fevereiro- Metalfisa'!$A324)</f>
        <v>0</v>
      </c>
      <c r="Y324" s="31">
        <f>SUMIFS(METALFISA!$E:$E,METALFISA!$A:$A,'Faltantes Fevereiro- Metalfisa'!Y$3,METALFISA!$B:$B,'Faltantes Fevereiro- Metalfisa'!$A324)</f>
        <v>0</v>
      </c>
      <c r="Z324" s="31">
        <f>SUMIFS(METALFISA!$E:$E,METALFISA!$A:$A,'Faltantes Fevereiro- Metalfisa'!Z$3,METALFISA!$B:$B,'Faltantes Fevereiro- Metalfisa'!$A324)</f>
        <v>0</v>
      </c>
      <c r="AA324" s="31">
        <f>SUMIFS(METALFISA!$E:$E,METALFISA!$A:$A,'Faltantes Fevereiro- Metalfisa'!AA$3,METALFISA!$B:$B,'Faltantes Fevereiro- Metalfisa'!$A324)</f>
        <v>0</v>
      </c>
      <c r="AB324" s="31">
        <f>SUMIFS(METALFISA!$E:$E,METALFISA!$A:$A,'Faltantes Fevereiro- Metalfisa'!AB$3,METALFISA!$B:$B,'Faltantes Fevereiro- Metalfisa'!$A324)</f>
        <v>0</v>
      </c>
      <c r="AC324" s="31">
        <f>SUMIFS(METALFISA!$E:$E,METALFISA!$A:$A,'Faltantes Fevereiro- Metalfisa'!AC$3,METALFISA!$B:$B,'Faltantes Fevereiro- Metalfisa'!$A324)</f>
        <v>0</v>
      </c>
      <c r="AD324" s="31">
        <f>SUMIFS(METALFISA!$E:$E,METALFISA!$A:$A,'Faltantes Fevereiro- Metalfisa'!AD$3,METALFISA!$B:$B,'Faltantes Fevereiro- Metalfisa'!$A324)</f>
        <v>0</v>
      </c>
      <c r="AE324" s="31">
        <f>SUMIFS(METALFISA!$E:$E,METALFISA!$A:$A,'Faltantes Fevereiro- Metalfisa'!AE$3,METALFISA!$B:$B,'Faltantes Fevereiro- Metalfisa'!$A324)</f>
        <v>2</v>
      </c>
      <c r="AF324" s="31">
        <f>SUMIFS(METALFISA!$E:$E,METALFISA!$A:$A,'Faltantes Fevereiro- Metalfisa'!AF$3,METALFISA!$B:$B,'Faltantes Fevereiro- Metalfisa'!$A324)</f>
        <v>0</v>
      </c>
      <c r="AG324" s="31">
        <f>SUMIFS(METALFISA!$E:$E,METALFISA!$A:$A,'Faltantes Fevereiro- Metalfisa'!AG$3,METALFISA!$B:$B,'Faltantes Fevereiro- Metalfisa'!$A324)</f>
        <v>0</v>
      </c>
      <c r="AH324" s="31">
        <f>SUMIFS(METALFISA!$E:$E,METALFISA!$A:$A,'Faltantes Fevereiro- Metalfisa'!AH$3,METALFISA!$B:$B,'Faltantes Fevereiro- Metalfisa'!$A324)</f>
        <v>0</v>
      </c>
      <c r="AI324" s="31">
        <f>SUMIFS(METALFISA!$E:$E,METALFISA!$A:$A,'Faltantes Fevereiro- Metalfisa'!AI$3,METALFISA!$B:$B,'Faltantes Fevereiro- Metalfisa'!$A324)</f>
        <v>0</v>
      </c>
      <c r="AJ324" s="31">
        <f>SUMIFS(METALFISA!$E:$E,METALFISA!$A:$A,'Faltantes Fevereiro- Metalfisa'!AJ$3,METALFISA!$B:$B,'Faltantes Fevereiro- Metalfisa'!$A324)</f>
        <v>0</v>
      </c>
      <c r="AK324" s="31">
        <f>SUMIFS(METALFISA!$E:$E,METALFISA!$A:$A,'Faltantes Fevereiro- Metalfisa'!AK$3,METALFISA!$B:$B,'Faltantes Fevereiro- Metalfisa'!$A324)</f>
        <v>0</v>
      </c>
      <c r="AL324" s="31">
        <f>SUMIFS(METALFISA!$E:$E,METALFISA!$A:$A,'Faltantes Fevereiro- Metalfisa'!AL$3,METALFISA!$B:$B,'Faltantes Fevereiro- Metalfisa'!$A324)</f>
        <v>0</v>
      </c>
      <c r="AM324" s="31">
        <f>SUMIFS(METALFISA!$E:$E,METALFISA!$A:$A,'Faltantes Fevereiro- Metalfisa'!AM$3,METALFISA!$B:$B,'Faltantes Fevereiro- Metalfisa'!$A324)</f>
        <v>0</v>
      </c>
      <c r="AN324" s="31">
        <f>SUMIFS(METALFISA!$E:$E,METALFISA!$A:$A,'Faltantes Fevereiro- Metalfisa'!AN$3,METALFISA!$B:$B,'Faltantes Fevereiro- Metalfisa'!$A324)</f>
        <v>0</v>
      </c>
      <c r="AO324" s="31">
        <f>SUMIFS(METALFISA!$E:$E,METALFISA!$A:$A,'Faltantes Fevereiro- Metalfisa'!AO$3,METALFISA!$B:$B,'Faltantes Fevereiro- Metalfisa'!$A324)</f>
        <v>0</v>
      </c>
      <c r="AP324" s="31">
        <f>SUMIFS(METALFISA!$E:$E,METALFISA!$A:$A,'Faltantes Fevereiro- Metalfisa'!AP$3,METALFISA!$B:$B,'Faltantes Fevereiro- Metalfisa'!$A324)</f>
        <v>0</v>
      </c>
      <c r="AQ324" s="31"/>
      <c r="AR324" s="31">
        <f>SUMIFS(METALFISA!$E:$E,METALFISA!$A:$A,'Faltantes Fevereiro- Metalfisa'!AR$3,METALFISA!$B:$B,'Faltantes Fevereiro- Metalfisa'!$A324)</f>
        <v>0</v>
      </c>
      <c r="AS324" s="35">
        <f>SUMIFS(METALFISA!$E:$E,METALFISA!$A:$A,'Faltantes Fevereiro- Metalfisa'!AS$3,METALFISA!$B:$B,'Faltantes Fevereiro- Metalfisa'!$A324)</f>
        <v>0</v>
      </c>
      <c r="AU324" s="18">
        <v>0</v>
      </c>
      <c r="AV324" s="18">
        <v>0</v>
      </c>
      <c r="AW324" s="18">
        <v>0</v>
      </c>
      <c r="AX324" s="18">
        <v>0</v>
      </c>
      <c r="AY324" s="41">
        <v>0</v>
      </c>
      <c r="AZ324" s="31">
        <v>0</v>
      </c>
      <c r="BA324" s="31">
        <v>0</v>
      </c>
      <c r="BB324" s="31">
        <v>0</v>
      </c>
      <c r="BC324" s="31">
        <v>0</v>
      </c>
      <c r="BD324" s="31">
        <v>0</v>
      </c>
      <c r="BE324" s="31">
        <v>0</v>
      </c>
      <c r="BF324" s="31">
        <v>0</v>
      </c>
      <c r="BG324" s="31">
        <v>0</v>
      </c>
      <c r="BH324" s="31">
        <v>0</v>
      </c>
      <c r="BI324" s="31">
        <v>0</v>
      </c>
      <c r="BJ324" s="31">
        <v>0</v>
      </c>
      <c r="BK324" s="31">
        <v>0</v>
      </c>
      <c r="BL324" s="31">
        <v>0</v>
      </c>
      <c r="BM324" s="31">
        <v>0</v>
      </c>
      <c r="BN324" s="31">
        <v>0</v>
      </c>
      <c r="BO324" s="31">
        <v>1</v>
      </c>
      <c r="BP324" s="31">
        <v>0</v>
      </c>
      <c r="BQ324" s="31">
        <v>0</v>
      </c>
      <c r="BR324" s="31">
        <v>0</v>
      </c>
      <c r="BS324" s="31">
        <v>0</v>
      </c>
      <c r="BT324" s="31">
        <v>0</v>
      </c>
      <c r="BU324" s="31">
        <v>0</v>
      </c>
      <c r="BV324" s="31">
        <v>0</v>
      </c>
      <c r="BW324" s="31">
        <v>0</v>
      </c>
      <c r="BX324" s="31">
        <v>0</v>
      </c>
      <c r="BY324" s="31">
        <v>0</v>
      </c>
      <c r="BZ324" s="31">
        <v>0</v>
      </c>
      <c r="CA324" s="31">
        <v>0</v>
      </c>
      <c r="CB324" s="31">
        <v>0</v>
      </c>
      <c r="CC324" s="31">
        <v>0</v>
      </c>
      <c r="CD324" s="31">
        <v>0</v>
      </c>
      <c r="CE324" s="31">
        <v>0</v>
      </c>
      <c r="CF324" s="31">
        <v>0</v>
      </c>
      <c r="CG324" s="31">
        <v>0</v>
      </c>
      <c r="CH324" s="31">
        <v>0</v>
      </c>
      <c r="CI324" s="31">
        <v>0</v>
      </c>
      <c r="CJ324" s="31">
        <v>0</v>
      </c>
      <c r="CK324" s="31">
        <v>0</v>
      </c>
      <c r="CL324" s="35">
        <v>0</v>
      </c>
    </row>
    <row r="325" spans="1:90" x14ac:dyDescent="0.15">
      <c r="A325" s="27" t="s">
        <v>1626</v>
      </c>
      <c r="B325" s="28" t="s">
        <v>1627</v>
      </c>
      <c r="C325" s="28">
        <v>0</v>
      </c>
      <c r="D325" s="28">
        <v>0</v>
      </c>
      <c r="E325" s="28">
        <v>0</v>
      </c>
      <c r="F325" s="28">
        <v>0</v>
      </c>
      <c r="G325" s="28">
        <v>4</v>
      </c>
      <c r="H325" s="28">
        <f>IFERROR(VLOOKUP(A325,[1]FALTANTES!$A:$AB,28,FALSE),"-")</f>
        <v>0</v>
      </c>
      <c r="I325" s="42">
        <f>IFERROR(VLOOKUP(A325,[1]FALTANTES!$A:$AC,29,FALSE),"-")</f>
        <v>0</v>
      </c>
      <c r="J325" s="29">
        <f>IFERROR(VLOOKUP(A325,[1]FALTANTES!$A:$AD,30,FALSE),"-")</f>
        <v>-4</v>
      </c>
      <c r="K325" s="30">
        <v>0</v>
      </c>
      <c r="L325" s="30">
        <f t="shared" si="6"/>
        <v>2</v>
      </c>
      <c r="M325" s="31">
        <f>SUMIFS(METALFISA!$E:$E,METALFISA!$A:$A,'Faltantes Fevereiro- Metalfisa'!M$3,METALFISA!$B:$B,'Faltantes Fevereiro- Metalfisa'!$A325)</f>
        <v>0</v>
      </c>
      <c r="N325" s="31">
        <f>SUMIFS(METALFISA!$E:$E,METALFISA!$A:$A,'Faltantes Fevereiro- Metalfisa'!N$3,METALFISA!$B:$B,'Faltantes Fevereiro- Metalfisa'!$A325)</f>
        <v>0</v>
      </c>
      <c r="O325" s="31">
        <f>SUMIFS(METALFISA!$E:$E,METALFISA!$A:$A,'Faltantes Fevereiro- Metalfisa'!O$3,METALFISA!$B:$B,'Faltantes Fevereiro- Metalfisa'!$A325)</f>
        <v>0</v>
      </c>
      <c r="P325" s="31">
        <f>SUMIFS(METALFISA!$E:$E,METALFISA!$A:$A,'Faltantes Fevereiro- Metalfisa'!P$3,METALFISA!$B:$B,'Faltantes Fevereiro- Metalfisa'!$A325)</f>
        <v>0</v>
      </c>
      <c r="Q325" s="31">
        <f>SUMIFS(METALFISA!$E:$E,METALFISA!$A:$A,'Faltantes Fevereiro- Metalfisa'!Q$3,METALFISA!$B:$B,'Faltantes Fevereiro- Metalfisa'!$A325)</f>
        <v>0</v>
      </c>
      <c r="R325" s="31">
        <f>SUMIFS(METALFISA!$E:$E,METALFISA!$A:$A,'Faltantes Fevereiro- Metalfisa'!R$3,METALFISA!$B:$B,'Faltantes Fevereiro- Metalfisa'!$A325)</f>
        <v>0</v>
      </c>
      <c r="S325" s="31">
        <f>SUMIFS(METALFISA!$E:$E,METALFISA!$A:$A,'Faltantes Fevereiro- Metalfisa'!S$3,METALFISA!$B:$B,'Faltantes Fevereiro- Metalfisa'!$A325)</f>
        <v>0</v>
      </c>
      <c r="T325" s="31">
        <f>SUMIFS(METALFISA!$E:$E,METALFISA!$A:$A,'Faltantes Fevereiro- Metalfisa'!T$3,METALFISA!$B:$B,'Faltantes Fevereiro- Metalfisa'!$A325)</f>
        <v>0</v>
      </c>
      <c r="U325" s="31">
        <f>SUMIFS(METALFISA!$E:$E,METALFISA!$A:$A,'Faltantes Fevereiro- Metalfisa'!U$3,METALFISA!$B:$B,'Faltantes Fevereiro- Metalfisa'!$A325)</f>
        <v>0</v>
      </c>
      <c r="V325" s="31">
        <f>SUMIFS(METALFISA!$E:$E,METALFISA!$A:$A,'Faltantes Fevereiro- Metalfisa'!V$3,METALFISA!$B:$B,'Faltantes Fevereiro- Metalfisa'!$A325)</f>
        <v>0</v>
      </c>
      <c r="W325" s="31">
        <f>SUMIFS(METALFISA!$E:$E,METALFISA!$A:$A,'Faltantes Fevereiro- Metalfisa'!W$3,METALFISA!$B:$B,'Faltantes Fevereiro- Metalfisa'!$A325)</f>
        <v>0</v>
      </c>
      <c r="X325" s="31">
        <f>SUMIFS(METALFISA!$E:$E,METALFISA!$A:$A,'Faltantes Fevereiro- Metalfisa'!X$3,METALFISA!$B:$B,'Faltantes Fevereiro- Metalfisa'!$A325)</f>
        <v>0</v>
      </c>
      <c r="Y325" s="31">
        <f>SUMIFS(METALFISA!$E:$E,METALFISA!$A:$A,'Faltantes Fevereiro- Metalfisa'!Y$3,METALFISA!$B:$B,'Faltantes Fevereiro- Metalfisa'!$A325)</f>
        <v>0</v>
      </c>
      <c r="Z325" s="31">
        <f>SUMIFS(METALFISA!$E:$E,METALFISA!$A:$A,'Faltantes Fevereiro- Metalfisa'!Z$3,METALFISA!$B:$B,'Faltantes Fevereiro- Metalfisa'!$A325)</f>
        <v>0</v>
      </c>
      <c r="AA325" s="31">
        <f>SUMIFS(METALFISA!$E:$E,METALFISA!$A:$A,'Faltantes Fevereiro- Metalfisa'!AA$3,METALFISA!$B:$B,'Faltantes Fevereiro- Metalfisa'!$A325)</f>
        <v>0</v>
      </c>
      <c r="AB325" s="31">
        <f>SUMIFS(METALFISA!$E:$E,METALFISA!$A:$A,'Faltantes Fevereiro- Metalfisa'!AB$3,METALFISA!$B:$B,'Faltantes Fevereiro- Metalfisa'!$A325)</f>
        <v>0</v>
      </c>
      <c r="AC325" s="31">
        <f>SUMIFS(METALFISA!$E:$E,METALFISA!$A:$A,'Faltantes Fevereiro- Metalfisa'!AC$3,METALFISA!$B:$B,'Faltantes Fevereiro- Metalfisa'!$A325)</f>
        <v>0</v>
      </c>
      <c r="AD325" s="31">
        <f>SUMIFS(METALFISA!$E:$E,METALFISA!$A:$A,'Faltantes Fevereiro- Metalfisa'!AD$3,METALFISA!$B:$B,'Faltantes Fevereiro- Metalfisa'!$A325)</f>
        <v>0</v>
      </c>
      <c r="AE325" s="31">
        <f>SUMIFS(METALFISA!$E:$E,METALFISA!$A:$A,'Faltantes Fevereiro- Metalfisa'!AE$3,METALFISA!$B:$B,'Faltantes Fevereiro- Metalfisa'!$A325)</f>
        <v>2</v>
      </c>
      <c r="AF325" s="31">
        <f>SUMIFS(METALFISA!$E:$E,METALFISA!$A:$A,'Faltantes Fevereiro- Metalfisa'!AF$3,METALFISA!$B:$B,'Faltantes Fevereiro- Metalfisa'!$A325)</f>
        <v>0</v>
      </c>
      <c r="AG325" s="31">
        <f>SUMIFS(METALFISA!$E:$E,METALFISA!$A:$A,'Faltantes Fevereiro- Metalfisa'!AG$3,METALFISA!$B:$B,'Faltantes Fevereiro- Metalfisa'!$A325)</f>
        <v>0</v>
      </c>
      <c r="AH325" s="31">
        <f>SUMIFS(METALFISA!$E:$E,METALFISA!$A:$A,'Faltantes Fevereiro- Metalfisa'!AH$3,METALFISA!$B:$B,'Faltantes Fevereiro- Metalfisa'!$A325)</f>
        <v>0</v>
      </c>
      <c r="AI325" s="31">
        <f>SUMIFS(METALFISA!$E:$E,METALFISA!$A:$A,'Faltantes Fevereiro- Metalfisa'!AI$3,METALFISA!$B:$B,'Faltantes Fevereiro- Metalfisa'!$A325)</f>
        <v>0</v>
      </c>
      <c r="AJ325" s="31">
        <f>SUMIFS(METALFISA!$E:$E,METALFISA!$A:$A,'Faltantes Fevereiro- Metalfisa'!AJ$3,METALFISA!$B:$B,'Faltantes Fevereiro- Metalfisa'!$A325)</f>
        <v>0</v>
      </c>
      <c r="AK325" s="31">
        <f>SUMIFS(METALFISA!$E:$E,METALFISA!$A:$A,'Faltantes Fevereiro- Metalfisa'!AK$3,METALFISA!$B:$B,'Faltantes Fevereiro- Metalfisa'!$A325)</f>
        <v>0</v>
      </c>
      <c r="AL325" s="31">
        <f>SUMIFS(METALFISA!$E:$E,METALFISA!$A:$A,'Faltantes Fevereiro- Metalfisa'!AL$3,METALFISA!$B:$B,'Faltantes Fevereiro- Metalfisa'!$A325)</f>
        <v>0</v>
      </c>
      <c r="AM325" s="31">
        <f>SUMIFS(METALFISA!$E:$E,METALFISA!$A:$A,'Faltantes Fevereiro- Metalfisa'!AM$3,METALFISA!$B:$B,'Faltantes Fevereiro- Metalfisa'!$A325)</f>
        <v>0</v>
      </c>
      <c r="AN325" s="31">
        <f>SUMIFS(METALFISA!$E:$E,METALFISA!$A:$A,'Faltantes Fevereiro- Metalfisa'!AN$3,METALFISA!$B:$B,'Faltantes Fevereiro- Metalfisa'!$A325)</f>
        <v>0</v>
      </c>
      <c r="AO325" s="31">
        <f>SUMIFS(METALFISA!$E:$E,METALFISA!$A:$A,'Faltantes Fevereiro- Metalfisa'!AO$3,METALFISA!$B:$B,'Faltantes Fevereiro- Metalfisa'!$A325)</f>
        <v>0</v>
      </c>
      <c r="AP325" s="31">
        <f>SUMIFS(METALFISA!$E:$E,METALFISA!$A:$A,'Faltantes Fevereiro- Metalfisa'!AP$3,METALFISA!$B:$B,'Faltantes Fevereiro- Metalfisa'!$A325)</f>
        <v>0</v>
      </c>
      <c r="AQ325" s="31"/>
      <c r="AR325" s="31">
        <f>SUMIFS(METALFISA!$E:$E,METALFISA!$A:$A,'Faltantes Fevereiro- Metalfisa'!AR$3,METALFISA!$B:$B,'Faltantes Fevereiro- Metalfisa'!$A325)</f>
        <v>0</v>
      </c>
      <c r="AS325" s="35">
        <f>SUMIFS(METALFISA!$E:$E,METALFISA!$A:$A,'Faltantes Fevereiro- Metalfisa'!AS$3,METALFISA!$B:$B,'Faltantes Fevereiro- Metalfisa'!$A325)</f>
        <v>0</v>
      </c>
      <c r="AU325" s="18">
        <v>0</v>
      </c>
      <c r="AV325" s="18">
        <v>0</v>
      </c>
      <c r="AW325" s="18">
        <v>0</v>
      </c>
      <c r="AX325" s="18">
        <v>0</v>
      </c>
      <c r="AY325" s="41">
        <v>0</v>
      </c>
      <c r="AZ325" s="31">
        <v>0</v>
      </c>
      <c r="BA325" s="31">
        <v>0</v>
      </c>
      <c r="BB325" s="31">
        <v>0</v>
      </c>
      <c r="BC325" s="31">
        <v>0</v>
      </c>
      <c r="BD325" s="31">
        <v>0</v>
      </c>
      <c r="BE325" s="31">
        <v>0</v>
      </c>
      <c r="BF325" s="31">
        <v>0</v>
      </c>
      <c r="BG325" s="31">
        <v>0</v>
      </c>
      <c r="BH325" s="31">
        <v>0</v>
      </c>
      <c r="BI325" s="31">
        <v>0</v>
      </c>
      <c r="BJ325" s="31">
        <v>0</v>
      </c>
      <c r="BK325" s="31">
        <v>0</v>
      </c>
      <c r="BL325" s="31">
        <v>0</v>
      </c>
      <c r="BM325" s="31">
        <v>0</v>
      </c>
      <c r="BN325" s="31">
        <v>0</v>
      </c>
      <c r="BO325" s="31">
        <v>1</v>
      </c>
      <c r="BP325" s="31">
        <v>0</v>
      </c>
      <c r="BQ325" s="31">
        <v>0</v>
      </c>
      <c r="BR325" s="31">
        <v>0</v>
      </c>
      <c r="BS325" s="31">
        <v>0</v>
      </c>
      <c r="BT325" s="31">
        <v>0</v>
      </c>
      <c r="BU325" s="31">
        <v>0</v>
      </c>
      <c r="BV325" s="31">
        <v>0</v>
      </c>
      <c r="BW325" s="31">
        <v>0</v>
      </c>
      <c r="BX325" s="31">
        <v>0</v>
      </c>
      <c r="BY325" s="31">
        <v>0</v>
      </c>
      <c r="BZ325" s="31">
        <v>0</v>
      </c>
      <c r="CA325" s="31">
        <v>0</v>
      </c>
      <c r="CB325" s="31">
        <v>0</v>
      </c>
      <c r="CC325" s="31">
        <v>0</v>
      </c>
      <c r="CD325" s="31">
        <v>0</v>
      </c>
      <c r="CE325" s="31">
        <v>0</v>
      </c>
      <c r="CF325" s="31">
        <v>0</v>
      </c>
      <c r="CG325" s="31">
        <v>0</v>
      </c>
      <c r="CH325" s="31">
        <v>0</v>
      </c>
      <c r="CI325" s="31">
        <v>0</v>
      </c>
      <c r="CJ325" s="31">
        <v>0</v>
      </c>
      <c r="CK325" s="31">
        <v>0</v>
      </c>
      <c r="CL325" s="35">
        <v>0</v>
      </c>
    </row>
    <row r="326" spans="1:90" x14ac:dyDescent="0.15">
      <c r="A326" s="27" t="s">
        <v>1630</v>
      </c>
      <c r="B326" s="28" t="s">
        <v>1631</v>
      </c>
      <c r="C326" s="28">
        <v>0</v>
      </c>
      <c r="D326" s="28">
        <v>0</v>
      </c>
      <c r="E326" s="28">
        <v>0</v>
      </c>
      <c r="F326" s="28">
        <v>0</v>
      </c>
      <c r="G326" s="28">
        <v>6</v>
      </c>
      <c r="H326" s="28">
        <f>IFERROR(VLOOKUP(A326,[1]FALTANTES!$A:$AB,28,FALSE),"-")</f>
        <v>0</v>
      </c>
      <c r="I326" s="42">
        <f>IFERROR(VLOOKUP(A326,[1]FALTANTES!$A:$AC,29,FALSE),"-")</f>
        <v>2</v>
      </c>
      <c r="J326" s="29">
        <f>IFERROR(VLOOKUP(A326,[1]FALTANTES!$A:$AD,30,FALSE),"-")</f>
        <v>-4</v>
      </c>
      <c r="K326" s="30">
        <v>0</v>
      </c>
      <c r="L326" s="30">
        <f t="shared" si="6"/>
        <v>2</v>
      </c>
      <c r="M326" s="31">
        <f>SUMIFS(METALFISA!$E:$E,METALFISA!$A:$A,'Faltantes Fevereiro- Metalfisa'!M$3,METALFISA!$B:$B,'Faltantes Fevereiro- Metalfisa'!$A326)</f>
        <v>0</v>
      </c>
      <c r="N326" s="31">
        <f>SUMIFS(METALFISA!$E:$E,METALFISA!$A:$A,'Faltantes Fevereiro- Metalfisa'!N$3,METALFISA!$B:$B,'Faltantes Fevereiro- Metalfisa'!$A326)</f>
        <v>0</v>
      </c>
      <c r="O326" s="31">
        <f>SUMIFS(METALFISA!$E:$E,METALFISA!$A:$A,'Faltantes Fevereiro- Metalfisa'!O$3,METALFISA!$B:$B,'Faltantes Fevereiro- Metalfisa'!$A326)</f>
        <v>0</v>
      </c>
      <c r="P326" s="31">
        <f>SUMIFS(METALFISA!$E:$E,METALFISA!$A:$A,'Faltantes Fevereiro- Metalfisa'!P$3,METALFISA!$B:$B,'Faltantes Fevereiro- Metalfisa'!$A326)</f>
        <v>0</v>
      </c>
      <c r="Q326" s="31">
        <f>SUMIFS(METALFISA!$E:$E,METALFISA!$A:$A,'Faltantes Fevereiro- Metalfisa'!Q$3,METALFISA!$B:$B,'Faltantes Fevereiro- Metalfisa'!$A326)</f>
        <v>0</v>
      </c>
      <c r="R326" s="31">
        <f>SUMIFS(METALFISA!$E:$E,METALFISA!$A:$A,'Faltantes Fevereiro- Metalfisa'!R$3,METALFISA!$B:$B,'Faltantes Fevereiro- Metalfisa'!$A326)</f>
        <v>0</v>
      </c>
      <c r="S326" s="31">
        <f>SUMIFS(METALFISA!$E:$E,METALFISA!$A:$A,'Faltantes Fevereiro- Metalfisa'!S$3,METALFISA!$B:$B,'Faltantes Fevereiro- Metalfisa'!$A326)</f>
        <v>0</v>
      </c>
      <c r="T326" s="31">
        <f>SUMIFS(METALFISA!$E:$E,METALFISA!$A:$A,'Faltantes Fevereiro- Metalfisa'!T$3,METALFISA!$B:$B,'Faltantes Fevereiro- Metalfisa'!$A326)</f>
        <v>0</v>
      </c>
      <c r="U326" s="31">
        <f>SUMIFS(METALFISA!$E:$E,METALFISA!$A:$A,'Faltantes Fevereiro- Metalfisa'!U$3,METALFISA!$B:$B,'Faltantes Fevereiro- Metalfisa'!$A326)</f>
        <v>0</v>
      </c>
      <c r="V326" s="31">
        <f>SUMIFS(METALFISA!$E:$E,METALFISA!$A:$A,'Faltantes Fevereiro- Metalfisa'!V$3,METALFISA!$B:$B,'Faltantes Fevereiro- Metalfisa'!$A326)</f>
        <v>0</v>
      </c>
      <c r="W326" s="31">
        <f>SUMIFS(METALFISA!$E:$E,METALFISA!$A:$A,'Faltantes Fevereiro- Metalfisa'!W$3,METALFISA!$B:$B,'Faltantes Fevereiro- Metalfisa'!$A326)</f>
        <v>0</v>
      </c>
      <c r="X326" s="31">
        <f>SUMIFS(METALFISA!$E:$E,METALFISA!$A:$A,'Faltantes Fevereiro- Metalfisa'!X$3,METALFISA!$B:$B,'Faltantes Fevereiro- Metalfisa'!$A326)</f>
        <v>0</v>
      </c>
      <c r="Y326" s="31">
        <f>SUMIFS(METALFISA!$E:$E,METALFISA!$A:$A,'Faltantes Fevereiro- Metalfisa'!Y$3,METALFISA!$B:$B,'Faltantes Fevereiro- Metalfisa'!$A326)</f>
        <v>0</v>
      </c>
      <c r="Z326" s="31">
        <f>SUMIFS(METALFISA!$E:$E,METALFISA!$A:$A,'Faltantes Fevereiro- Metalfisa'!Z$3,METALFISA!$B:$B,'Faltantes Fevereiro- Metalfisa'!$A326)</f>
        <v>0</v>
      </c>
      <c r="AA326" s="31">
        <f>SUMIFS(METALFISA!$E:$E,METALFISA!$A:$A,'Faltantes Fevereiro- Metalfisa'!AA$3,METALFISA!$B:$B,'Faltantes Fevereiro- Metalfisa'!$A326)</f>
        <v>0</v>
      </c>
      <c r="AB326" s="31">
        <f>SUMIFS(METALFISA!$E:$E,METALFISA!$A:$A,'Faltantes Fevereiro- Metalfisa'!AB$3,METALFISA!$B:$B,'Faltantes Fevereiro- Metalfisa'!$A326)</f>
        <v>0</v>
      </c>
      <c r="AC326" s="31">
        <f>SUMIFS(METALFISA!$E:$E,METALFISA!$A:$A,'Faltantes Fevereiro- Metalfisa'!AC$3,METALFISA!$B:$B,'Faltantes Fevereiro- Metalfisa'!$A326)</f>
        <v>0</v>
      </c>
      <c r="AD326" s="31">
        <f>SUMIFS(METALFISA!$E:$E,METALFISA!$A:$A,'Faltantes Fevereiro- Metalfisa'!AD$3,METALFISA!$B:$B,'Faltantes Fevereiro- Metalfisa'!$A326)</f>
        <v>0</v>
      </c>
      <c r="AE326" s="31">
        <f>SUMIFS(METALFISA!$E:$E,METALFISA!$A:$A,'Faltantes Fevereiro- Metalfisa'!AE$3,METALFISA!$B:$B,'Faltantes Fevereiro- Metalfisa'!$A326)</f>
        <v>2</v>
      </c>
      <c r="AF326" s="31">
        <f>SUMIFS(METALFISA!$E:$E,METALFISA!$A:$A,'Faltantes Fevereiro- Metalfisa'!AF$3,METALFISA!$B:$B,'Faltantes Fevereiro- Metalfisa'!$A326)</f>
        <v>0</v>
      </c>
      <c r="AG326" s="31">
        <f>SUMIFS(METALFISA!$E:$E,METALFISA!$A:$A,'Faltantes Fevereiro- Metalfisa'!AG$3,METALFISA!$B:$B,'Faltantes Fevereiro- Metalfisa'!$A326)</f>
        <v>0</v>
      </c>
      <c r="AH326" s="31">
        <f>SUMIFS(METALFISA!$E:$E,METALFISA!$A:$A,'Faltantes Fevereiro- Metalfisa'!AH$3,METALFISA!$B:$B,'Faltantes Fevereiro- Metalfisa'!$A326)</f>
        <v>0</v>
      </c>
      <c r="AI326" s="31">
        <f>SUMIFS(METALFISA!$E:$E,METALFISA!$A:$A,'Faltantes Fevereiro- Metalfisa'!AI$3,METALFISA!$B:$B,'Faltantes Fevereiro- Metalfisa'!$A326)</f>
        <v>0</v>
      </c>
      <c r="AJ326" s="31">
        <f>SUMIFS(METALFISA!$E:$E,METALFISA!$A:$A,'Faltantes Fevereiro- Metalfisa'!AJ$3,METALFISA!$B:$B,'Faltantes Fevereiro- Metalfisa'!$A326)</f>
        <v>0</v>
      </c>
      <c r="AK326" s="31">
        <f>SUMIFS(METALFISA!$E:$E,METALFISA!$A:$A,'Faltantes Fevereiro- Metalfisa'!AK$3,METALFISA!$B:$B,'Faltantes Fevereiro- Metalfisa'!$A326)</f>
        <v>0</v>
      </c>
      <c r="AL326" s="31">
        <f>SUMIFS(METALFISA!$E:$E,METALFISA!$A:$A,'Faltantes Fevereiro- Metalfisa'!AL$3,METALFISA!$B:$B,'Faltantes Fevereiro- Metalfisa'!$A326)</f>
        <v>0</v>
      </c>
      <c r="AM326" s="31">
        <f>SUMIFS(METALFISA!$E:$E,METALFISA!$A:$A,'Faltantes Fevereiro- Metalfisa'!AM$3,METALFISA!$B:$B,'Faltantes Fevereiro- Metalfisa'!$A326)</f>
        <v>0</v>
      </c>
      <c r="AN326" s="31">
        <f>SUMIFS(METALFISA!$E:$E,METALFISA!$A:$A,'Faltantes Fevereiro- Metalfisa'!AN$3,METALFISA!$B:$B,'Faltantes Fevereiro- Metalfisa'!$A326)</f>
        <v>0</v>
      </c>
      <c r="AO326" s="31">
        <f>SUMIFS(METALFISA!$E:$E,METALFISA!$A:$A,'Faltantes Fevereiro- Metalfisa'!AO$3,METALFISA!$B:$B,'Faltantes Fevereiro- Metalfisa'!$A326)</f>
        <v>0</v>
      </c>
      <c r="AP326" s="31">
        <f>SUMIFS(METALFISA!$E:$E,METALFISA!$A:$A,'Faltantes Fevereiro- Metalfisa'!AP$3,METALFISA!$B:$B,'Faltantes Fevereiro- Metalfisa'!$A326)</f>
        <v>0</v>
      </c>
      <c r="AQ326" s="31"/>
      <c r="AR326" s="31">
        <f>SUMIFS(METALFISA!$E:$E,METALFISA!$A:$A,'Faltantes Fevereiro- Metalfisa'!AR$3,METALFISA!$B:$B,'Faltantes Fevereiro- Metalfisa'!$A326)</f>
        <v>0</v>
      </c>
      <c r="AS326" s="35">
        <f>SUMIFS(METALFISA!$E:$E,METALFISA!$A:$A,'Faltantes Fevereiro- Metalfisa'!AS$3,METALFISA!$B:$B,'Faltantes Fevereiro- Metalfisa'!$A326)</f>
        <v>0</v>
      </c>
      <c r="AU326" s="18">
        <v>0</v>
      </c>
      <c r="AV326" s="18">
        <v>0</v>
      </c>
      <c r="AW326" s="18">
        <v>0</v>
      </c>
      <c r="AX326" s="18">
        <v>0</v>
      </c>
      <c r="AY326" s="41">
        <v>0</v>
      </c>
      <c r="AZ326" s="31">
        <v>0</v>
      </c>
      <c r="BA326" s="31">
        <v>0</v>
      </c>
      <c r="BB326" s="31">
        <v>0</v>
      </c>
      <c r="BC326" s="31">
        <v>0</v>
      </c>
      <c r="BD326" s="31">
        <v>0</v>
      </c>
      <c r="BE326" s="31">
        <v>0</v>
      </c>
      <c r="BF326" s="31">
        <v>0</v>
      </c>
      <c r="BG326" s="31">
        <v>0</v>
      </c>
      <c r="BH326" s="31">
        <v>0</v>
      </c>
      <c r="BI326" s="31">
        <v>0</v>
      </c>
      <c r="BJ326" s="31">
        <v>0</v>
      </c>
      <c r="BK326" s="31">
        <v>0</v>
      </c>
      <c r="BL326" s="31">
        <v>0</v>
      </c>
      <c r="BM326" s="31">
        <v>0</v>
      </c>
      <c r="BN326" s="31">
        <v>0</v>
      </c>
      <c r="BO326" s="31">
        <v>1</v>
      </c>
      <c r="BP326" s="31">
        <v>0</v>
      </c>
      <c r="BQ326" s="31">
        <v>0</v>
      </c>
      <c r="BR326" s="31">
        <v>0</v>
      </c>
      <c r="BS326" s="31">
        <v>0</v>
      </c>
      <c r="BT326" s="31">
        <v>0</v>
      </c>
      <c r="BU326" s="31">
        <v>0</v>
      </c>
      <c r="BV326" s="31">
        <v>0</v>
      </c>
      <c r="BW326" s="31">
        <v>0</v>
      </c>
      <c r="BX326" s="31">
        <v>0</v>
      </c>
      <c r="BY326" s="31">
        <v>0</v>
      </c>
      <c r="BZ326" s="31">
        <v>0</v>
      </c>
      <c r="CA326" s="31">
        <v>0</v>
      </c>
      <c r="CB326" s="31">
        <v>0</v>
      </c>
      <c r="CC326" s="31">
        <v>0</v>
      </c>
      <c r="CD326" s="31">
        <v>0</v>
      </c>
      <c r="CE326" s="31">
        <v>0</v>
      </c>
      <c r="CF326" s="31">
        <v>0</v>
      </c>
      <c r="CG326" s="31">
        <v>0</v>
      </c>
      <c r="CH326" s="31">
        <v>0</v>
      </c>
      <c r="CI326" s="31">
        <v>0</v>
      </c>
      <c r="CJ326" s="31">
        <v>0</v>
      </c>
      <c r="CK326" s="31">
        <v>0</v>
      </c>
      <c r="CL326" s="35">
        <v>0</v>
      </c>
    </row>
    <row r="327" spans="1:90" ht="21" x14ac:dyDescent="0.15">
      <c r="A327" s="27" t="s">
        <v>1637</v>
      </c>
      <c r="B327" s="28" t="s">
        <v>1638</v>
      </c>
      <c r="C327" s="28">
        <v>0</v>
      </c>
      <c r="D327" s="28">
        <v>0</v>
      </c>
      <c r="E327" s="28">
        <v>0</v>
      </c>
      <c r="F327" s="28">
        <v>0</v>
      </c>
      <c r="G327" s="28">
        <v>6</v>
      </c>
      <c r="H327" s="28">
        <f>IFERROR(VLOOKUP(A327,[1]FALTANTES!$A:$AB,28,FALSE),"-")</f>
        <v>0</v>
      </c>
      <c r="I327" s="42">
        <f>IFERROR(VLOOKUP(A327,[1]FALTANTES!$A:$AC,29,FALSE),"-")</f>
        <v>2</v>
      </c>
      <c r="J327" s="29">
        <f>IFERROR(VLOOKUP(A327,[1]FALTANTES!$A:$AD,30,FALSE),"-")</f>
        <v>-4</v>
      </c>
      <c r="K327" s="30">
        <v>0</v>
      </c>
      <c r="L327" s="30">
        <f t="shared" si="6"/>
        <v>2</v>
      </c>
      <c r="M327" s="31">
        <f>SUMIFS(METALFISA!$E:$E,METALFISA!$A:$A,'Faltantes Fevereiro- Metalfisa'!M$3,METALFISA!$B:$B,'Faltantes Fevereiro- Metalfisa'!$A327)</f>
        <v>0</v>
      </c>
      <c r="N327" s="31">
        <f>SUMIFS(METALFISA!$E:$E,METALFISA!$A:$A,'Faltantes Fevereiro- Metalfisa'!N$3,METALFISA!$B:$B,'Faltantes Fevereiro- Metalfisa'!$A327)</f>
        <v>0</v>
      </c>
      <c r="O327" s="31">
        <f>SUMIFS(METALFISA!$E:$E,METALFISA!$A:$A,'Faltantes Fevereiro- Metalfisa'!O$3,METALFISA!$B:$B,'Faltantes Fevereiro- Metalfisa'!$A327)</f>
        <v>0</v>
      </c>
      <c r="P327" s="31">
        <f>SUMIFS(METALFISA!$E:$E,METALFISA!$A:$A,'Faltantes Fevereiro- Metalfisa'!P$3,METALFISA!$B:$B,'Faltantes Fevereiro- Metalfisa'!$A327)</f>
        <v>0</v>
      </c>
      <c r="Q327" s="31">
        <f>SUMIFS(METALFISA!$E:$E,METALFISA!$A:$A,'Faltantes Fevereiro- Metalfisa'!Q$3,METALFISA!$B:$B,'Faltantes Fevereiro- Metalfisa'!$A327)</f>
        <v>0</v>
      </c>
      <c r="R327" s="31">
        <f>SUMIFS(METALFISA!$E:$E,METALFISA!$A:$A,'Faltantes Fevereiro- Metalfisa'!R$3,METALFISA!$B:$B,'Faltantes Fevereiro- Metalfisa'!$A327)</f>
        <v>0</v>
      </c>
      <c r="S327" s="31">
        <f>SUMIFS(METALFISA!$E:$E,METALFISA!$A:$A,'Faltantes Fevereiro- Metalfisa'!S$3,METALFISA!$B:$B,'Faltantes Fevereiro- Metalfisa'!$A327)</f>
        <v>0</v>
      </c>
      <c r="T327" s="31">
        <f>SUMIFS(METALFISA!$E:$E,METALFISA!$A:$A,'Faltantes Fevereiro- Metalfisa'!T$3,METALFISA!$B:$B,'Faltantes Fevereiro- Metalfisa'!$A327)</f>
        <v>0</v>
      </c>
      <c r="U327" s="31">
        <f>SUMIFS(METALFISA!$E:$E,METALFISA!$A:$A,'Faltantes Fevereiro- Metalfisa'!U$3,METALFISA!$B:$B,'Faltantes Fevereiro- Metalfisa'!$A327)</f>
        <v>0</v>
      </c>
      <c r="V327" s="31">
        <f>SUMIFS(METALFISA!$E:$E,METALFISA!$A:$A,'Faltantes Fevereiro- Metalfisa'!V$3,METALFISA!$B:$B,'Faltantes Fevereiro- Metalfisa'!$A327)</f>
        <v>0</v>
      </c>
      <c r="W327" s="31">
        <f>SUMIFS(METALFISA!$E:$E,METALFISA!$A:$A,'Faltantes Fevereiro- Metalfisa'!W$3,METALFISA!$B:$B,'Faltantes Fevereiro- Metalfisa'!$A327)</f>
        <v>0</v>
      </c>
      <c r="X327" s="31">
        <f>SUMIFS(METALFISA!$E:$E,METALFISA!$A:$A,'Faltantes Fevereiro- Metalfisa'!X$3,METALFISA!$B:$B,'Faltantes Fevereiro- Metalfisa'!$A327)</f>
        <v>0</v>
      </c>
      <c r="Y327" s="31">
        <f>SUMIFS(METALFISA!$E:$E,METALFISA!$A:$A,'Faltantes Fevereiro- Metalfisa'!Y$3,METALFISA!$B:$B,'Faltantes Fevereiro- Metalfisa'!$A327)</f>
        <v>0</v>
      </c>
      <c r="Z327" s="31">
        <f>SUMIFS(METALFISA!$E:$E,METALFISA!$A:$A,'Faltantes Fevereiro- Metalfisa'!Z$3,METALFISA!$B:$B,'Faltantes Fevereiro- Metalfisa'!$A327)</f>
        <v>0</v>
      </c>
      <c r="AA327" s="31">
        <f>SUMIFS(METALFISA!$E:$E,METALFISA!$A:$A,'Faltantes Fevereiro- Metalfisa'!AA$3,METALFISA!$B:$B,'Faltantes Fevereiro- Metalfisa'!$A327)</f>
        <v>0</v>
      </c>
      <c r="AB327" s="31">
        <f>SUMIFS(METALFISA!$E:$E,METALFISA!$A:$A,'Faltantes Fevereiro- Metalfisa'!AB$3,METALFISA!$B:$B,'Faltantes Fevereiro- Metalfisa'!$A327)</f>
        <v>0</v>
      </c>
      <c r="AC327" s="31">
        <f>SUMIFS(METALFISA!$E:$E,METALFISA!$A:$A,'Faltantes Fevereiro- Metalfisa'!AC$3,METALFISA!$B:$B,'Faltantes Fevereiro- Metalfisa'!$A327)</f>
        <v>0</v>
      </c>
      <c r="AD327" s="31">
        <f>SUMIFS(METALFISA!$E:$E,METALFISA!$A:$A,'Faltantes Fevereiro- Metalfisa'!AD$3,METALFISA!$B:$B,'Faltantes Fevereiro- Metalfisa'!$A327)</f>
        <v>0</v>
      </c>
      <c r="AE327" s="31">
        <f>SUMIFS(METALFISA!$E:$E,METALFISA!$A:$A,'Faltantes Fevereiro- Metalfisa'!AE$3,METALFISA!$B:$B,'Faltantes Fevereiro- Metalfisa'!$A327)</f>
        <v>2</v>
      </c>
      <c r="AF327" s="31">
        <f>SUMIFS(METALFISA!$E:$E,METALFISA!$A:$A,'Faltantes Fevereiro- Metalfisa'!AF$3,METALFISA!$B:$B,'Faltantes Fevereiro- Metalfisa'!$A327)</f>
        <v>0</v>
      </c>
      <c r="AG327" s="31">
        <f>SUMIFS(METALFISA!$E:$E,METALFISA!$A:$A,'Faltantes Fevereiro- Metalfisa'!AG$3,METALFISA!$B:$B,'Faltantes Fevereiro- Metalfisa'!$A327)</f>
        <v>0</v>
      </c>
      <c r="AH327" s="31">
        <f>SUMIFS(METALFISA!$E:$E,METALFISA!$A:$A,'Faltantes Fevereiro- Metalfisa'!AH$3,METALFISA!$B:$B,'Faltantes Fevereiro- Metalfisa'!$A327)</f>
        <v>0</v>
      </c>
      <c r="AI327" s="31">
        <f>SUMIFS(METALFISA!$E:$E,METALFISA!$A:$A,'Faltantes Fevereiro- Metalfisa'!AI$3,METALFISA!$B:$B,'Faltantes Fevereiro- Metalfisa'!$A327)</f>
        <v>0</v>
      </c>
      <c r="AJ327" s="31">
        <f>SUMIFS(METALFISA!$E:$E,METALFISA!$A:$A,'Faltantes Fevereiro- Metalfisa'!AJ$3,METALFISA!$B:$B,'Faltantes Fevereiro- Metalfisa'!$A327)</f>
        <v>0</v>
      </c>
      <c r="AK327" s="31">
        <f>SUMIFS(METALFISA!$E:$E,METALFISA!$A:$A,'Faltantes Fevereiro- Metalfisa'!AK$3,METALFISA!$B:$B,'Faltantes Fevereiro- Metalfisa'!$A327)</f>
        <v>0</v>
      </c>
      <c r="AL327" s="31">
        <f>SUMIFS(METALFISA!$E:$E,METALFISA!$A:$A,'Faltantes Fevereiro- Metalfisa'!AL$3,METALFISA!$B:$B,'Faltantes Fevereiro- Metalfisa'!$A327)</f>
        <v>0</v>
      </c>
      <c r="AM327" s="31">
        <f>SUMIFS(METALFISA!$E:$E,METALFISA!$A:$A,'Faltantes Fevereiro- Metalfisa'!AM$3,METALFISA!$B:$B,'Faltantes Fevereiro- Metalfisa'!$A327)</f>
        <v>0</v>
      </c>
      <c r="AN327" s="31">
        <f>SUMIFS(METALFISA!$E:$E,METALFISA!$A:$A,'Faltantes Fevereiro- Metalfisa'!AN$3,METALFISA!$B:$B,'Faltantes Fevereiro- Metalfisa'!$A327)</f>
        <v>0</v>
      </c>
      <c r="AO327" s="31">
        <f>SUMIFS(METALFISA!$E:$E,METALFISA!$A:$A,'Faltantes Fevereiro- Metalfisa'!AO$3,METALFISA!$B:$B,'Faltantes Fevereiro- Metalfisa'!$A327)</f>
        <v>0</v>
      </c>
      <c r="AP327" s="31">
        <f>SUMIFS(METALFISA!$E:$E,METALFISA!$A:$A,'Faltantes Fevereiro- Metalfisa'!AP$3,METALFISA!$B:$B,'Faltantes Fevereiro- Metalfisa'!$A327)</f>
        <v>0</v>
      </c>
      <c r="AQ327" s="31"/>
      <c r="AR327" s="31">
        <f>SUMIFS(METALFISA!$E:$E,METALFISA!$A:$A,'Faltantes Fevereiro- Metalfisa'!AR$3,METALFISA!$B:$B,'Faltantes Fevereiro- Metalfisa'!$A327)</f>
        <v>0</v>
      </c>
      <c r="AS327" s="35">
        <f>SUMIFS(METALFISA!$E:$E,METALFISA!$A:$A,'Faltantes Fevereiro- Metalfisa'!AS$3,METALFISA!$B:$B,'Faltantes Fevereiro- Metalfisa'!$A327)</f>
        <v>0</v>
      </c>
      <c r="AU327" s="18">
        <v>0</v>
      </c>
      <c r="AV327" s="18">
        <v>0</v>
      </c>
      <c r="AW327" s="18">
        <v>0</v>
      </c>
      <c r="AX327" s="18">
        <v>0</v>
      </c>
      <c r="AY327" s="41">
        <v>0</v>
      </c>
      <c r="AZ327" s="31">
        <v>0</v>
      </c>
      <c r="BA327" s="31">
        <v>0</v>
      </c>
      <c r="BB327" s="31">
        <v>0</v>
      </c>
      <c r="BC327" s="31">
        <v>0</v>
      </c>
      <c r="BD327" s="31">
        <v>0</v>
      </c>
      <c r="BE327" s="31">
        <v>0</v>
      </c>
      <c r="BF327" s="31">
        <v>0</v>
      </c>
      <c r="BG327" s="31">
        <v>0</v>
      </c>
      <c r="BH327" s="31">
        <v>0</v>
      </c>
      <c r="BI327" s="31">
        <v>0</v>
      </c>
      <c r="BJ327" s="31">
        <v>0</v>
      </c>
      <c r="BK327" s="31">
        <v>0</v>
      </c>
      <c r="BL327" s="31">
        <v>0</v>
      </c>
      <c r="BM327" s="31">
        <v>0</v>
      </c>
      <c r="BN327" s="31">
        <v>0</v>
      </c>
      <c r="BO327" s="31">
        <v>1</v>
      </c>
      <c r="BP327" s="31">
        <v>0</v>
      </c>
      <c r="BQ327" s="31">
        <v>0</v>
      </c>
      <c r="BR327" s="31">
        <v>0</v>
      </c>
      <c r="BS327" s="31">
        <v>0</v>
      </c>
      <c r="BT327" s="31">
        <v>0</v>
      </c>
      <c r="BU327" s="31">
        <v>0</v>
      </c>
      <c r="BV327" s="31">
        <v>0</v>
      </c>
      <c r="BW327" s="31">
        <v>0</v>
      </c>
      <c r="BX327" s="31">
        <v>0</v>
      </c>
      <c r="BY327" s="31">
        <v>0</v>
      </c>
      <c r="BZ327" s="31">
        <v>0</v>
      </c>
      <c r="CA327" s="31">
        <v>0</v>
      </c>
      <c r="CB327" s="31">
        <v>0</v>
      </c>
      <c r="CC327" s="31">
        <v>0</v>
      </c>
      <c r="CD327" s="31">
        <v>0</v>
      </c>
      <c r="CE327" s="31">
        <v>0</v>
      </c>
      <c r="CF327" s="31">
        <v>0</v>
      </c>
      <c r="CG327" s="31">
        <v>0</v>
      </c>
      <c r="CH327" s="31">
        <v>0</v>
      </c>
      <c r="CI327" s="31">
        <v>0</v>
      </c>
      <c r="CJ327" s="31">
        <v>0</v>
      </c>
      <c r="CK327" s="31">
        <v>0</v>
      </c>
      <c r="CL327" s="35">
        <v>0</v>
      </c>
    </row>
    <row r="328" spans="1:90" x14ac:dyDescent="0.15">
      <c r="A328" s="27" t="s">
        <v>1642</v>
      </c>
      <c r="B328" s="28" t="s">
        <v>1643</v>
      </c>
      <c r="C328" s="28">
        <v>0</v>
      </c>
      <c r="D328" s="28">
        <v>0</v>
      </c>
      <c r="E328" s="28">
        <v>0</v>
      </c>
      <c r="F328" s="28">
        <v>0</v>
      </c>
      <c r="G328" s="28">
        <v>6</v>
      </c>
      <c r="H328" s="28">
        <f>IFERROR(VLOOKUP(A328,[1]FALTANTES!$A:$AB,28,FALSE),"-")</f>
        <v>0</v>
      </c>
      <c r="I328" s="42">
        <f>IFERROR(VLOOKUP(A328,[1]FALTANTES!$A:$AC,29,FALSE),"-")</f>
        <v>3</v>
      </c>
      <c r="J328" s="29">
        <f>IFERROR(VLOOKUP(A328,[1]FALTANTES!$A:$AD,30,FALSE),"-")</f>
        <v>-3</v>
      </c>
      <c r="K328" s="30">
        <v>0</v>
      </c>
      <c r="L328" s="30">
        <f t="shared" si="6"/>
        <v>1</v>
      </c>
      <c r="M328" s="31">
        <f>SUMIFS(METALFISA!$E:$E,METALFISA!$A:$A,'Faltantes Fevereiro- Metalfisa'!M$3,METALFISA!$B:$B,'Faltantes Fevereiro- Metalfisa'!$A328)</f>
        <v>0</v>
      </c>
      <c r="N328" s="31">
        <f>SUMIFS(METALFISA!$E:$E,METALFISA!$A:$A,'Faltantes Fevereiro- Metalfisa'!N$3,METALFISA!$B:$B,'Faltantes Fevereiro- Metalfisa'!$A328)</f>
        <v>0</v>
      </c>
      <c r="O328" s="31">
        <f>SUMIFS(METALFISA!$E:$E,METALFISA!$A:$A,'Faltantes Fevereiro- Metalfisa'!O$3,METALFISA!$B:$B,'Faltantes Fevereiro- Metalfisa'!$A328)</f>
        <v>0</v>
      </c>
      <c r="P328" s="31">
        <f>SUMIFS(METALFISA!$E:$E,METALFISA!$A:$A,'Faltantes Fevereiro- Metalfisa'!P$3,METALFISA!$B:$B,'Faltantes Fevereiro- Metalfisa'!$A328)</f>
        <v>0</v>
      </c>
      <c r="Q328" s="31">
        <f>SUMIFS(METALFISA!$E:$E,METALFISA!$A:$A,'Faltantes Fevereiro- Metalfisa'!Q$3,METALFISA!$B:$B,'Faltantes Fevereiro- Metalfisa'!$A328)</f>
        <v>0</v>
      </c>
      <c r="R328" s="31">
        <f>SUMIFS(METALFISA!$E:$E,METALFISA!$A:$A,'Faltantes Fevereiro- Metalfisa'!R$3,METALFISA!$B:$B,'Faltantes Fevereiro- Metalfisa'!$A328)</f>
        <v>0</v>
      </c>
      <c r="S328" s="31">
        <f>SUMIFS(METALFISA!$E:$E,METALFISA!$A:$A,'Faltantes Fevereiro- Metalfisa'!S$3,METALFISA!$B:$B,'Faltantes Fevereiro- Metalfisa'!$A328)</f>
        <v>0</v>
      </c>
      <c r="T328" s="31">
        <f>SUMIFS(METALFISA!$E:$E,METALFISA!$A:$A,'Faltantes Fevereiro- Metalfisa'!T$3,METALFISA!$B:$B,'Faltantes Fevereiro- Metalfisa'!$A328)</f>
        <v>0</v>
      </c>
      <c r="U328" s="31">
        <f>SUMIFS(METALFISA!$E:$E,METALFISA!$A:$A,'Faltantes Fevereiro- Metalfisa'!U$3,METALFISA!$B:$B,'Faltantes Fevereiro- Metalfisa'!$A328)</f>
        <v>0</v>
      </c>
      <c r="V328" s="31">
        <f>SUMIFS(METALFISA!$E:$E,METALFISA!$A:$A,'Faltantes Fevereiro- Metalfisa'!V$3,METALFISA!$B:$B,'Faltantes Fevereiro- Metalfisa'!$A328)</f>
        <v>0</v>
      </c>
      <c r="W328" s="31">
        <f>SUMIFS(METALFISA!$E:$E,METALFISA!$A:$A,'Faltantes Fevereiro- Metalfisa'!W$3,METALFISA!$B:$B,'Faltantes Fevereiro- Metalfisa'!$A328)</f>
        <v>0</v>
      </c>
      <c r="X328" s="31">
        <f>SUMIFS(METALFISA!$E:$E,METALFISA!$A:$A,'Faltantes Fevereiro- Metalfisa'!X$3,METALFISA!$B:$B,'Faltantes Fevereiro- Metalfisa'!$A328)</f>
        <v>0</v>
      </c>
      <c r="Y328" s="31">
        <f>SUMIFS(METALFISA!$E:$E,METALFISA!$A:$A,'Faltantes Fevereiro- Metalfisa'!Y$3,METALFISA!$B:$B,'Faltantes Fevereiro- Metalfisa'!$A328)</f>
        <v>0</v>
      </c>
      <c r="Z328" s="31">
        <f>SUMIFS(METALFISA!$E:$E,METALFISA!$A:$A,'Faltantes Fevereiro- Metalfisa'!Z$3,METALFISA!$B:$B,'Faltantes Fevereiro- Metalfisa'!$A328)</f>
        <v>0</v>
      </c>
      <c r="AA328" s="31">
        <f>SUMIFS(METALFISA!$E:$E,METALFISA!$A:$A,'Faltantes Fevereiro- Metalfisa'!AA$3,METALFISA!$B:$B,'Faltantes Fevereiro- Metalfisa'!$A328)</f>
        <v>0</v>
      </c>
      <c r="AB328" s="31">
        <f>SUMIFS(METALFISA!$E:$E,METALFISA!$A:$A,'Faltantes Fevereiro- Metalfisa'!AB$3,METALFISA!$B:$B,'Faltantes Fevereiro- Metalfisa'!$A328)</f>
        <v>0</v>
      </c>
      <c r="AC328" s="31">
        <f>SUMIFS(METALFISA!$E:$E,METALFISA!$A:$A,'Faltantes Fevereiro- Metalfisa'!AC$3,METALFISA!$B:$B,'Faltantes Fevereiro- Metalfisa'!$A328)</f>
        <v>0</v>
      </c>
      <c r="AD328" s="31">
        <f>SUMIFS(METALFISA!$E:$E,METALFISA!$A:$A,'Faltantes Fevereiro- Metalfisa'!AD$3,METALFISA!$B:$B,'Faltantes Fevereiro- Metalfisa'!$A328)</f>
        <v>0</v>
      </c>
      <c r="AE328" s="31">
        <f>SUMIFS(METALFISA!$E:$E,METALFISA!$A:$A,'Faltantes Fevereiro- Metalfisa'!AE$3,METALFISA!$B:$B,'Faltantes Fevereiro- Metalfisa'!$A328)</f>
        <v>1</v>
      </c>
      <c r="AF328" s="31">
        <f>SUMIFS(METALFISA!$E:$E,METALFISA!$A:$A,'Faltantes Fevereiro- Metalfisa'!AF$3,METALFISA!$B:$B,'Faltantes Fevereiro- Metalfisa'!$A328)</f>
        <v>0</v>
      </c>
      <c r="AG328" s="31">
        <f>SUMIFS(METALFISA!$E:$E,METALFISA!$A:$A,'Faltantes Fevereiro- Metalfisa'!AG$3,METALFISA!$B:$B,'Faltantes Fevereiro- Metalfisa'!$A328)</f>
        <v>0</v>
      </c>
      <c r="AH328" s="31">
        <f>SUMIFS(METALFISA!$E:$E,METALFISA!$A:$A,'Faltantes Fevereiro- Metalfisa'!AH$3,METALFISA!$B:$B,'Faltantes Fevereiro- Metalfisa'!$A328)</f>
        <v>0</v>
      </c>
      <c r="AI328" s="31">
        <f>SUMIFS(METALFISA!$E:$E,METALFISA!$A:$A,'Faltantes Fevereiro- Metalfisa'!AI$3,METALFISA!$B:$B,'Faltantes Fevereiro- Metalfisa'!$A328)</f>
        <v>0</v>
      </c>
      <c r="AJ328" s="31">
        <f>SUMIFS(METALFISA!$E:$E,METALFISA!$A:$A,'Faltantes Fevereiro- Metalfisa'!AJ$3,METALFISA!$B:$B,'Faltantes Fevereiro- Metalfisa'!$A328)</f>
        <v>0</v>
      </c>
      <c r="AK328" s="31">
        <f>SUMIFS(METALFISA!$E:$E,METALFISA!$A:$A,'Faltantes Fevereiro- Metalfisa'!AK$3,METALFISA!$B:$B,'Faltantes Fevereiro- Metalfisa'!$A328)</f>
        <v>0</v>
      </c>
      <c r="AL328" s="31">
        <f>SUMIFS(METALFISA!$E:$E,METALFISA!$A:$A,'Faltantes Fevereiro- Metalfisa'!AL$3,METALFISA!$B:$B,'Faltantes Fevereiro- Metalfisa'!$A328)</f>
        <v>0</v>
      </c>
      <c r="AM328" s="31">
        <f>SUMIFS(METALFISA!$E:$E,METALFISA!$A:$A,'Faltantes Fevereiro- Metalfisa'!AM$3,METALFISA!$B:$B,'Faltantes Fevereiro- Metalfisa'!$A328)</f>
        <v>0</v>
      </c>
      <c r="AN328" s="31">
        <f>SUMIFS(METALFISA!$E:$E,METALFISA!$A:$A,'Faltantes Fevereiro- Metalfisa'!AN$3,METALFISA!$B:$B,'Faltantes Fevereiro- Metalfisa'!$A328)</f>
        <v>0</v>
      </c>
      <c r="AO328" s="31">
        <f>SUMIFS(METALFISA!$E:$E,METALFISA!$A:$A,'Faltantes Fevereiro- Metalfisa'!AO$3,METALFISA!$B:$B,'Faltantes Fevereiro- Metalfisa'!$A328)</f>
        <v>0</v>
      </c>
      <c r="AP328" s="31">
        <f>SUMIFS(METALFISA!$E:$E,METALFISA!$A:$A,'Faltantes Fevereiro- Metalfisa'!AP$3,METALFISA!$B:$B,'Faltantes Fevereiro- Metalfisa'!$A328)</f>
        <v>0</v>
      </c>
      <c r="AQ328" s="31"/>
      <c r="AR328" s="31">
        <f>SUMIFS(METALFISA!$E:$E,METALFISA!$A:$A,'Faltantes Fevereiro- Metalfisa'!AR$3,METALFISA!$B:$B,'Faltantes Fevereiro- Metalfisa'!$A328)</f>
        <v>0</v>
      </c>
      <c r="AS328" s="35">
        <f>SUMIFS(METALFISA!$E:$E,METALFISA!$A:$A,'Faltantes Fevereiro- Metalfisa'!AS$3,METALFISA!$B:$B,'Faltantes Fevereiro- Metalfisa'!$A328)</f>
        <v>0</v>
      </c>
      <c r="AU328" s="18">
        <v>0</v>
      </c>
      <c r="AV328" s="18">
        <v>0</v>
      </c>
      <c r="AW328" s="18">
        <v>0</v>
      </c>
      <c r="AX328" s="18">
        <v>0</v>
      </c>
      <c r="AY328" s="41">
        <v>0</v>
      </c>
      <c r="AZ328" s="31">
        <v>0</v>
      </c>
      <c r="BA328" s="31">
        <v>0</v>
      </c>
      <c r="BB328" s="31">
        <v>0</v>
      </c>
      <c r="BC328" s="31">
        <v>0</v>
      </c>
      <c r="BD328" s="31">
        <v>0</v>
      </c>
      <c r="BE328" s="31">
        <v>0</v>
      </c>
      <c r="BF328" s="31">
        <v>0</v>
      </c>
      <c r="BG328" s="31">
        <v>0</v>
      </c>
      <c r="BH328" s="31">
        <v>0</v>
      </c>
      <c r="BI328" s="31">
        <v>0</v>
      </c>
      <c r="BJ328" s="31">
        <v>0</v>
      </c>
      <c r="BK328" s="31">
        <v>0</v>
      </c>
      <c r="BL328" s="31">
        <v>0</v>
      </c>
      <c r="BM328" s="31">
        <v>0</v>
      </c>
      <c r="BN328" s="31">
        <v>0</v>
      </c>
      <c r="BO328" s="31">
        <v>1</v>
      </c>
      <c r="BP328" s="31">
        <v>0</v>
      </c>
      <c r="BQ328" s="31">
        <v>0</v>
      </c>
      <c r="BR328" s="31">
        <v>0</v>
      </c>
      <c r="BS328" s="31">
        <v>0</v>
      </c>
      <c r="BT328" s="31">
        <v>0</v>
      </c>
      <c r="BU328" s="31">
        <v>0</v>
      </c>
      <c r="BV328" s="31">
        <v>0</v>
      </c>
      <c r="BW328" s="31">
        <v>0</v>
      </c>
      <c r="BX328" s="31">
        <v>0</v>
      </c>
      <c r="BY328" s="31">
        <v>0</v>
      </c>
      <c r="BZ328" s="31">
        <v>0</v>
      </c>
      <c r="CA328" s="31">
        <v>0</v>
      </c>
      <c r="CB328" s="31">
        <v>0</v>
      </c>
      <c r="CC328" s="31">
        <v>0</v>
      </c>
      <c r="CD328" s="31">
        <v>0</v>
      </c>
      <c r="CE328" s="31">
        <v>0</v>
      </c>
      <c r="CF328" s="31">
        <v>0</v>
      </c>
      <c r="CG328" s="31">
        <v>0</v>
      </c>
      <c r="CH328" s="31">
        <v>0</v>
      </c>
      <c r="CI328" s="31">
        <v>0</v>
      </c>
      <c r="CJ328" s="31">
        <v>0</v>
      </c>
      <c r="CK328" s="31">
        <v>0</v>
      </c>
      <c r="CL328" s="35">
        <v>0</v>
      </c>
    </row>
    <row r="329" spans="1:90" x14ac:dyDescent="0.15">
      <c r="A329" s="27" t="s">
        <v>1645</v>
      </c>
      <c r="B329" s="28" t="s">
        <v>1646</v>
      </c>
      <c r="C329" s="28">
        <v>0</v>
      </c>
      <c r="D329" s="28">
        <v>0</v>
      </c>
      <c r="E329" s="28">
        <v>0</v>
      </c>
      <c r="F329" s="28">
        <v>0</v>
      </c>
      <c r="G329" s="28">
        <v>6</v>
      </c>
      <c r="H329" s="28">
        <f>IFERROR(VLOOKUP(A329,[1]FALTANTES!$A:$AB,28,FALSE),"-")</f>
        <v>0</v>
      </c>
      <c r="I329" s="42">
        <f>IFERROR(VLOOKUP(A329,[1]FALTANTES!$A:$AC,29,FALSE),"-")</f>
        <v>3</v>
      </c>
      <c r="J329" s="29">
        <f>IFERROR(VLOOKUP(A329,[1]FALTANTES!$A:$AD,30,FALSE),"-")</f>
        <v>-3</v>
      </c>
      <c r="K329" s="30"/>
      <c r="L329" s="30">
        <f t="shared" si="6"/>
        <v>1</v>
      </c>
      <c r="M329" s="31">
        <f>SUMIFS(METALFISA!$E:$E,METALFISA!$A:$A,'Faltantes Fevereiro- Metalfisa'!M$3,METALFISA!$B:$B,'Faltantes Fevereiro- Metalfisa'!$A329)</f>
        <v>0</v>
      </c>
      <c r="N329" s="31">
        <f>SUMIFS(METALFISA!$E:$E,METALFISA!$A:$A,'Faltantes Fevereiro- Metalfisa'!N$3,METALFISA!$B:$B,'Faltantes Fevereiro- Metalfisa'!$A329)</f>
        <v>0</v>
      </c>
      <c r="O329" s="31">
        <f>SUMIFS(METALFISA!$E:$E,METALFISA!$A:$A,'Faltantes Fevereiro- Metalfisa'!O$3,METALFISA!$B:$B,'Faltantes Fevereiro- Metalfisa'!$A329)</f>
        <v>0</v>
      </c>
      <c r="P329" s="31">
        <f>SUMIFS(METALFISA!$E:$E,METALFISA!$A:$A,'Faltantes Fevereiro- Metalfisa'!P$3,METALFISA!$B:$B,'Faltantes Fevereiro- Metalfisa'!$A329)</f>
        <v>0</v>
      </c>
      <c r="Q329" s="31">
        <f>SUMIFS(METALFISA!$E:$E,METALFISA!$A:$A,'Faltantes Fevereiro- Metalfisa'!Q$3,METALFISA!$B:$B,'Faltantes Fevereiro- Metalfisa'!$A329)</f>
        <v>0</v>
      </c>
      <c r="R329" s="31">
        <f>SUMIFS(METALFISA!$E:$E,METALFISA!$A:$A,'Faltantes Fevereiro- Metalfisa'!R$3,METALFISA!$B:$B,'Faltantes Fevereiro- Metalfisa'!$A329)</f>
        <v>0</v>
      </c>
      <c r="S329" s="31">
        <f>SUMIFS(METALFISA!$E:$E,METALFISA!$A:$A,'Faltantes Fevereiro- Metalfisa'!S$3,METALFISA!$B:$B,'Faltantes Fevereiro- Metalfisa'!$A329)</f>
        <v>0</v>
      </c>
      <c r="T329" s="31">
        <f>SUMIFS(METALFISA!$E:$E,METALFISA!$A:$A,'Faltantes Fevereiro- Metalfisa'!T$3,METALFISA!$B:$B,'Faltantes Fevereiro- Metalfisa'!$A329)</f>
        <v>0</v>
      </c>
      <c r="U329" s="31">
        <f>SUMIFS(METALFISA!$E:$E,METALFISA!$A:$A,'Faltantes Fevereiro- Metalfisa'!U$3,METALFISA!$B:$B,'Faltantes Fevereiro- Metalfisa'!$A329)</f>
        <v>0</v>
      </c>
      <c r="V329" s="31">
        <f>SUMIFS(METALFISA!$E:$E,METALFISA!$A:$A,'Faltantes Fevereiro- Metalfisa'!V$3,METALFISA!$B:$B,'Faltantes Fevereiro- Metalfisa'!$A329)</f>
        <v>0</v>
      </c>
      <c r="W329" s="31">
        <f>SUMIFS(METALFISA!$E:$E,METALFISA!$A:$A,'Faltantes Fevereiro- Metalfisa'!W$3,METALFISA!$B:$B,'Faltantes Fevereiro- Metalfisa'!$A329)</f>
        <v>0</v>
      </c>
      <c r="X329" s="31">
        <f>SUMIFS(METALFISA!$E:$E,METALFISA!$A:$A,'Faltantes Fevereiro- Metalfisa'!X$3,METALFISA!$B:$B,'Faltantes Fevereiro- Metalfisa'!$A329)</f>
        <v>0</v>
      </c>
      <c r="Y329" s="31">
        <f>SUMIFS(METALFISA!$E:$E,METALFISA!$A:$A,'Faltantes Fevereiro- Metalfisa'!Y$3,METALFISA!$B:$B,'Faltantes Fevereiro- Metalfisa'!$A329)</f>
        <v>0</v>
      </c>
      <c r="Z329" s="31">
        <f>SUMIFS(METALFISA!$E:$E,METALFISA!$A:$A,'Faltantes Fevereiro- Metalfisa'!Z$3,METALFISA!$B:$B,'Faltantes Fevereiro- Metalfisa'!$A329)</f>
        <v>0</v>
      </c>
      <c r="AA329" s="31">
        <f>SUMIFS(METALFISA!$E:$E,METALFISA!$A:$A,'Faltantes Fevereiro- Metalfisa'!AA$3,METALFISA!$B:$B,'Faltantes Fevereiro- Metalfisa'!$A329)</f>
        <v>0</v>
      </c>
      <c r="AB329" s="31">
        <f>SUMIFS(METALFISA!$E:$E,METALFISA!$A:$A,'Faltantes Fevereiro- Metalfisa'!AB$3,METALFISA!$B:$B,'Faltantes Fevereiro- Metalfisa'!$A329)</f>
        <v>0</v>
      </c>
      <c r="AC329" s="31">
        <f>SUMIFS(METALFISA!$E:$E,METALFISA!$A:$A,'Faltantes Fevereiro- Metalfisa'!AC$3,METALFISA!$B:$B,'Faltantes Fevereiro- Metalfisa'!$A329)</f>
        <v>0</v>
      </c>
      <c r="AD329" s="31">
        <f>SUMIFS(METALFISA!$E:$E,METALFISA!$A:$A,'Faltantes Fevereiro- Metalfisa'!AD$3,METALFISA!$B:$B,'Faltantes Fevereiro- Metalfisa'!$A329)</f>
        <v>0</v>
      </c>
      <c r="AE329" s="31">
        <f>SUMIFS(METALFISA!$E:$E,METALFISA!$A:$A,'Faltantes Fevereiro- Metalfisa'!AE$3,METALFISA!$B:$B,'Faltantes Fevereiro- Metalfisa'!$A329)</f>
        <v>1</v>
      </c>
      <c r="AF329" s="31">
        <f>SUMIFS(METALFISA!$E:$E,METALFISA!$A:$A,'Faltantes Fevereiro- Metalfisa'!AF$3,METALFISA!$B:$B,'Faltantes Fevereiro- Metalfisa'!$A329)</f>
        <v>0</v>
      </c>
      <c r="AG329" s="31">
        <f>SUMIFS(METALFISA!$E:$E,METALFISA!$A:$A,'Faltantes Fevereiro- Metalfisa'!AG$3,METALFISA!$B:$B,'Faltantes Fevereiro- Metalfisa'!$A329)</f>
        <v>0</v>
      </c>
      <c r="AH329" s="31">
        <f>SUMIFS(METALFISA!$E:$E,METALFISA!$A:$A,'Faltantes Fevereiro- Metalfisa'!AH$3,METALFISA!$B:$B,'Faltantes Fevereiro- Metalfisa'!$A329)</f>
        <v>0</v>
      </c>
      <c r="AI329" s="31">
        <f>SUMIFS(METALFISA!$E:$E,METALFISA!$A:$A,'Faltantes Fevereiro- Metalfisa'!AI$3,METALFISA!$B:$B,'Faltantes Fevereiro- Metalfisa'!$A329)</f>
        <v>0</v>
      </c>
      <c r="AJ329" s="31">
        <f>SUMIFS(METALFISA!$E:$E,METALFISA!$A:$A,'Faltantes Fevereiro- Metalfisa'!AJ$3,METALFISA!$B:$B,'Faltantes Fevereiro- Metalfisa'!$A329)</f>
        <v>0</v>
      </c>
      <c r="AK329" s="31">
        <f>SUMIFS(METALFISA!$E:$E,METALFISA!$A:$A,'Faltantes Fevereiro- Metalfisa'!AK$3,METALFISA!$B:$B,'Faltantes Fevereiro- Metalfisa'!$A329)</f>
        <v>0</v>
      </c>
      <c r="AL329" s="31">
        <f>SUMIFS(METALFISA!$E:$E,METALFISA!$A:$A,'Faltantes Fevereiro- Metalfisa'!AL$3,METALFISA!$B:$B,'Faltantes Fevereiro- Metalfisa'!$A329)</f>
        <v>0</v>
      </c>
      <c r="AM329" s="31">
        <f>SUMIFS(METALFISA!$E:$E,METALFISA!$A:$A,'Faltantes Fevereiro- Metalfisa'!AM$3,METALFISA!$B:$B,'Faltantes Fevereiro- Metalfisa'!$A329)</f>
        <v>0</v>
      </c>
      <c r="AN329" s="31">
        <f>SUMIFS(METALFISA!$E:$E,METALFISA!$A:$A,'Faltantes Fevereiro- Metalfisa'!AN$3,METALFISA!$B:$B,'Faltantes Fevereiro- Metalfisa'!$A329)</f>
        <v>0</v>
      </c>
      <c r="AO329" s="31">
        <f>SUMIFS(METALFISA!$E:$E,METALFISA!$A:$A,'Faltantes Fevereiro- Metalfisa'!AO$3,METALFISA!$B:$B,'Faltantes Fevereiro- Metalfisa'!$A329)</f>
        <v>0</v>
      </c>
      <c r="AP329" s="31">
        <f>SUMIFS(METALFISA!$E:$E,METALFISA!$A:$A,'Faltantes Fevereiro- Metalfisa'!AP$3,METALFISA!$B:$B,'Faltantes Fevereiro- Metalfisa'!$A329)</f>
        <v>0</v>
      </c>
      <c r="AQ329" s="31"/>
      <c r="AR329" s="31">
        <f>SUMIFS(METALFISA!$E:$E,METALFISA!$A:$A,'Faltantes Fevereiro- Metalfisa'!AR$3,METALFISA!$B:$B,'Faltantes Fevereiro- Metalfisa'!$A329)</f>
        <v>0</v>
      </c>
      <c r="AS329" s="35">
        <f>SUMIFS(METALFISA!$E:$E,METALFISA!$A:$A,'Faltantes Fevereiro- Metalfisa'!AS$3,METALFISA!$B:$B,'Faltantes Fevereiro- Metalfisa'!$A329)</f>
        <v>0</v>
      </c>
      <c r="AU329" s="18">
        <v>0</v>
      </c>
      <c r="AV329" s="18">
        <v>0</v>
      </c>
      <c r="AW329" s="18">
        <v>0</v>
      </c>
      <c r="AX329" s="18">
        <v>0</v>
      </c>
      <c r="AY329" s="41">
        <v>0</v>
      </c>
      <c r="AZ329" s="31">
        <v>0</v>
      </c>
      <c r="BA329" s="31">
        <v>0</v>
      </c>
      <c r="BB329" s="31">
        <v>0</v>
      </c>
      <c r="BC329" s="31">
        <v>0</v>
      </c>
      <c r="BD329" s="31">
        <v>0</v>
      </c>
      <c r="BE329" s="31">
        <v>0</v>
      </c>
      <c r="BF329" s="31">
        <v>0</v>
      </c>
      <c r="BG329" s="31">
        <v>0</v>
      </c>
      <c r="BH329" s="31">
        <v>0</v>
      </c>
      <c r="BI329" s="31">
        <v>0</v>
      </c>
      <c r="BJ329" s="31">
        <v>0</v>
      </c>
      <c r="BK329" s="31">
        <v>0</v>
      </c>
      <c r="BL329" s="31">
        <v>0</v>
      </c>
      <c r="BM329" s="31">
        <v>0</v>
      </c>
      <c r="BN329" s="31">
        <v>0</v>
      </c>
      <c r="BO329" s="31">
        <v>1</v>
      </c>
      <c r="BP329" s="31">
        <v>0</v>
      </c>
      <c r="BQ329" s="31">
        <v>0</v>
      </c>
      <c r="BR329" s="31">
        <v>0</v>
      </c>
      <c r="BS329" s="31">
        <v>0</v>
      </c>
      <c r="BT329" s="31">
        <v>0</v>
      </c>
      <c r="BU329" s="31">
        <v>0</v>
      </c>
      <c r="BV329" s="31">
        <v>0</v>
      </c>
      <c r="BW329" s="31">
        <v>0</v>
      </c>
      <c r="BX329" s="31">
        <v>0</v>
      </c>
      <c r="BY329" s="31">
        <v>0</v>
      </c>
      <c r="BZ329" s="31">
        <v>0</v>
      </c>
      <c r="CA329" s="31">
        <v>0</v>
      </c>
      <c r="CB329" s="31">
        <v>0</v>
      </c>
      <c r="CC329" s="31">
        <v>0</v>
      </c>
      <c r="CD329" s="31">
        <v>0</v>
      </c>
      <c r="CE329" s="31">
        <v>0</v>
      </c>
      <c r="CF329" s="31">
        <v>0</v>
      </c>
      <c r="CG329" s="31">
        <v>0</v>
      </c>
      <c r="CH329" s="31">
        <v>0</v>
      </c>
      <c r="CI329" s="31">
        <v>0</v>
      </c>
      <c r="CJ329" s="31">
        <v>0</v>
      </c>
      <c r="CK329" s="31">
        <v>0</v>
      </c>
      <c r="CL329" s="35">
        <v>0</v>
      </c>
    </row>
    <row r="330" spans="1:90" ht="21" x14ac:dyDescent="0.15">
      <c r="A330" s="27" t="s">
        <v>1652</v>
      </c>
      <c r="B330" s="28" t="s">
        <v>1653</v>
      </c>
      <c r="C330" s="28">
        <v>1</v>
      </c>
      <c r="D330" s="28">
        <v>0</v>
      </c>
      <c r="E330" s="28">
        <v>0</v>
      </c>
      <c r="F330" s="28">
        <v>0</v>
      </c>
      <c r="G330" s="28">
        <v>6</v>
      </c>
      <c r="H330" s="28">
        <f>IFERROR(VLOOKUP(A330,[1]FALTANTES!$A:$AB,28,FALSE),"-")</f>
        <v>0</v>
      </c>
      <c r="I330" s="42">
        <f>IFERROR(VLOOKUP(A330,[1]FALTANTES!$A:$AC,29,FALSE),"-")</f>
        <v>3</v>
      </c>
      <c r="J330" s="29">
        <f>IFERROR(VLOOKUP(A330,[1]FALTANTES!$A:$AD,30,FALSE),"-")</f>
        <v>-4</v>
      </c>
      <c r="K330" s="30"/>
      <c r="L330" s="30">
        <f t="shared" si="6"/>
        <v>1</v>
      </c>
      <c r="M330" s="31">
        <f>SUMIFS(METALFISA!$E:$E,METALFISA!$A:$A,'Faltantes Fevereiro- Metalfisa'!M$3,METALFISA!$B:$B,'Faltantes Fevereiro- Metalfisa'!$A330)</f>
        <v>0</v>
      </c>
      <c r="N330" s="31">
        <f>SUMIFS(METALFISA!$E:$E,METALFISA!$A:$A,'Faltantes Fevereiro- Metalfisa'!N$3,METALFISA!$B:$B,'Faltantes Fevereiro- Metalfisa'!$A330)</f>
        <v>0</v>
      </c>
      <c r="O330" s="31">
        <f>SUMIFS(METALFISA!$E:$E,METALFISA!$A:$A,'Faltantes Fevereiro- Metalfisa'!O$3,METALFISA!$B:$B,'Faltantes Fevereiro- Metalfisa'!$A330)</f>
        <v>0</v>
      </c>
      <c r="P330" s="31">
        <f>SUMIFS(METALFISA!$E:$E,METALFISA!$A:$A,'Faltantes Fevereiro- Metalfisa'!P$3,METALFISA!$B:$B,'Faltantes Fevereiro- Metalfisa'!$A330)</f>
        <v>0</v>
      </c>
      <c r="Q330" s="31">
        <f>SUMIFS(METALFISA!$E:$E,METALFISA!$A:$A,'Faltantes Fevereiro- Metalfisa'!Q$3,METALFISA!$B:$B,'Faltantes Fevereiro- Metalfisa'!$A330)</f>
        <v>0</v>
      </c>
      <c r="R330" s="31">
        <f>SUMIFS(METALFISA!$E:$E,METALFISA!$A:$A,'Faltantes Fevereiro- Metalfisa'!R$3,METALFISA!$B:$B,'Faltantes Fevereiro- Metalfisa'!$A330)</f>
        <v>0</v>
      </c>
      <c r="S330" s="31">
        <f>SUMIFS(METALFISA!$E:$E,METALFISA!$A:$A,'Faltantes Fevereiro- Metalfisa'!S$3,METALFISA!$B:$B,'Faltantes Fevereiro- Metalfisa'!$A330)</f>
        <v>0</v>
      </c>
      <c r="T330" s="31">
        <f>SUMIFS(METALFISA!$E:$E,METALFISA!$A:$A,'Faltantes Fevereiro- Metalfisa'!T$3,METALFISA!$B:$B,'Faltantes Fevereiro- Metalfisa'!$A330)</f>
        <v>0</v>
      </c>
      <c r="U330" s="31">
        <f>SUMIFS(METALFISA!$E:$E,METALFISA!$A:$A,'Faltantes Fevereiro- Metalfisa'!U$3,METALFISA!$B:$B,'Faltantes Fevereiro- Metalfisa'!$A330)</f>
        <v>0</v>
      </c>
      <c r="V330" s="31">
        <f>SUMIFS(METALFISA!$E:$E,METALFISA!$A:$A,'Faltantes Fevereiro- Metalfisa'!V$3,METALFISA!$B:$B,'Faltantes Fevereiro- Metalfisa'!$A330)</f>
        <v>0</v>
      </c>
      <c r="W330" s="31">
        <f>SUMIFS(METALFISA!$E:$E,METALFISA!$A:$A,'Faltantes Fevereiro- Metalfisa'!W$3,METALFISA!$B:$B,'Faltantes Fevereiro- Metalfisa'!$A330)</f>
        <v>0</v>
      </c>
      <c r="X330" s="31">
        <f>SUMIFS(METALFISA!$E:$E,METALFISA!$A:$A,'Faltantes Fevereiro- Metalfisa'!X$3,METALFISA!$B:$B,'Faltantes Fevereiro- Metalfisa'!$A330)</f>
        <v>0</v>
      </c>
      <c r="Y330" s="31">
        <f>SUMIFS(METALFISA!$E:$E,METALFISA!$A:$A,'Faltantes Fevereiro- Metalfisa'!Y$3,METALFISA!$B:$B,'Faltantes Fevereiro- Metalfisa'!$A330)</f>
        <v>0</v>
      </c>
      <c r="Z330" s="31">
        <f>SUMIFS(METALFISA!$E:$E,METALFISA!$A:$A,'Faltantes Fevereiro- Metalfisa'!Z$3,METALFISA!$B:$B,'Faltantes Fevereiro- Metalfisa'!$A330)</f>
        <v>0</v>
      </c>
      <c r="AA330" s="31">
        <f>SUMIFS(METALFISA!$E:$E,METALFISA!$A:$A,'Faltantes Fevereiro- Metalfisa'!AA$3,METALFISA!$B:$B,'Faltantes Fevereiro- Metalfisa'!$A330)</f>
        <v>0</v>
      </c>
      <c r="AB330" s="31">
        <f>SUMIFS(METALFISA!$E:$E,METALFISA!$A:$A,'Faltantes Fevereiro- Metalfisa'!AB$3,METALFISA!$B:$B,'Faltantes Fevereiro- Metalfisa'!$A330)</f>
        <v>0</v>
      </c>
      <c r="AC330" s="31">
        <f>SUMIFS(METALFISA!$E:$E,METALFISA!$A:$A,'Faltantes Fevereiro- Metalfisa'!AC$3,METALFISA!$B:$B,'Faltantes Fevereiro- Metalfisa'!$A330)</f>
        <v>0</v>
      </c>
      <c r="AD330" s="31">
        <f>SUMIFS(METALFISA!$E:$E,METALFISA!$A:$A,'Faltantes Fevereiro- Metalfisa'!AD$3,METALFISA!$B:$B,'Faltantes Fevereiro- Metalfisa'!$A330)</f>
        <v>0</v>
      </c>
      <c r="AE330" s="31">
        <f>SUMIFS(METALFISA!$E:$E,METALFISA!$A:$A,'Faltantes Fevereiro- Metalfisa'!AE$3,METALFISA!$B:$B,'Faltantes Fevereiro- Metalfisa'!$A330)</f>
        <v>1</v>
      </c>
      <c r="AF330" s="31">
        <f>SUMIFS(METALFISA!$E:$E,METALFISA!$A:$A,'Faltantes Fevereiro- Metalfisa'!AF$3,METALFISA!$B:$B,'Faltantes Fevereiro- Metalfisa'!$A330)</f>
        <v>0</v>
      </c>
      <c r="AG330" s="31">
        <f>SUMIFS(METALFISA!$E:$E,METALFISA!$A:$A,'Faltantes Fevereiro- Metalfisa'!AG$3,METALFISA!$B:$B,'Faltantes Fevereiro- Metalfisa'!$A330)</f>
        <v>0</v>
      </c>
      <c r="AH330" s="31">
        <f>SUMIFS(METALFISA!$E:$E,METALFISA!$A:$A,'Faltantes Fevereiro- Metalfisa'!AH$3,METALFISA!$B:$B,'Faltantes Fevereiro- Metalfisa'!$A330)</f>
        <v>0</v>
      </c>
      <c r="AI330" s="31">
        <f>SUMIFS(METALFISA!$E:$E,METALFISA!$A:$A,'Faltantes Fevereiro- Metalfisa'!AI$3,METALFISA!$B:$B,'Faltantes Fevereiro- Metalfisa'!$A330)</f>
        <v>0</v>
      </c>
      <c r="AJ330" s="31">
        <f>SUMIFS(METALFISA!$E:$E,METALFISA!$A:$A,'Faltantes Fevereiro- Metalfisa'!AJ$3,METALFISA!$B:$B,'Faltantes Fevereiro- Metalfisa'!$A330)</f>
        <v>0</v>
      </c>
      <c r="AK330" s="31">
        <f>SUMIFS(METALFISA!$E:$E,METALFISA!$A:$A,'Faltantes Fevereiro- Metalfisa'!AK$3,METALFISA!$B:$B,'Faltantes Fevereiro- Metalfisa'!$A330)</f>
        <v>0</v>
      </c>
      <c r="AL330" s="31">
        <f>SUMIFS(METALFISA!$E:$E,METALFISA!$A:$A,'Faltantes Fevereiro- Metalfisa'!AL$3,METALFISA!$B:$B,'Faltantes Fevereiro- Metalfisa'!$A330)</f>
        <v>0</v>
      </c>
      <c r="AM330" s="31">
        <f>SUMIFS(METALFISA!$E:$E,METALFISA!$A:$A,'Faltantes Fevereiro- Metalfisa'!AM$3,METALFISA!$B:$B,'Faltantes Fevereiro- Metalfisa'!$A330)</f>
        <v>0</v>
      </c>
      <c r="AN330" s="31">
        <f>SUMIFS(METALFISA!$E:$E,METALFISA!$A:$A,'Faltantes Fevereiro- Metalfisa'!AN$3,METALFISA!$B:$B,'Faltantes Fevereiro- Metalfisa'!$A330)</f>
        <v>0</v>
      </c>
      <c r="AO330" s="31">
        <f>SUMIFS(METALFISA!$E:$E,METALFISA!$A:$A,'Faltantes Fevereiro- Metalfisa'!AO$3,METALFISA!$B:$B,'Faltantes Fevereiro- Metalfisa'!$A330)</f>
        <v>0</v>
      </c>
      <c r="AP330" s="31">
        <f>SUMIFS(METALFISA!$E:$E,METALFISA!$A:$A,'Faltantes Fevereiro- Metalfisa'!AP$3,METALFISA!$B:$B,'Faltantes Fevereiro- Metalfisa'!$A330)</f>
        <v>0</v>
      </c>
      <c r="AQ330" s="31"/>
      <c r="AR330" s="31">
        <f>SUMIFS(METALFISA!$E:$E,METALFISA!$A:$A,'Faltantes Fevereiro- Metalfisa'!AR$3,METALFISA!$B:$B,'Faltantes Fevereiro- Metalfisa'!$A330)</f>
        <v>0</v>
      </c>
      <c r="AS330" s="35">
        <f>SUMIFS(METALFISA!$E:$E,METALFISA!$A:$A,'Faltantes Fevereiro- Metalfisa'!AS$3,METALFISA!$B:$B,'Faltantes Fevereiro- Metalfisa'!$A330)</f>
        <v>0</v>
      </c>
      <c r="AU330" s="18">
        <v>0</v>
      </c>
      <c r="AV330" s="18">
        <v>0</v>
      </c>
      <c r="AW330" s="18">
        <v>0</v>
      </c>
      <c r="AX330" s="18">
        <v>0</v>
      </c>
      <c r="AY330" s="41">
        <v>0</v>
      </c>
      <c r="AZ330" s="31">
        <v>0</v>
      </c>
      <c r="BA330" s="31">
        <v>0</v>
      </c>
      <c r="BB330" s="31">
        <v>0</v>
      </c>
      <c r="BC330" s="31">
        <v>0</v>
      </c>
      <c r="BD330" s="31">
        <v>0</v>
      </c>
      <c r="BE330" s="31">
        <v>0</v>
      </c>
      <c r="BF330" s="31">
        <v>0</v>
      </c>
      <c r="BG330" s="31">
        <v>0</v>
      </c>
      <c r="BH330" s="31">
        <v>0</v>
      </c>
      <c r="BI330" s="31">
        <v>0</v>
      </c>
      <c r="BJ330" s="31">
        <v>0</v>
      </c>
      <c r="BK330" s="31">
        <v>0</v>
      </c>
      <c r="BL330" s="31">
        <v>0</v>
      </c>
      <c r="BM330" s="31">
        <v>0</v>
      </c>
      <c r="BN330" s="31">
        <v>0</v>
      </c>
      <c r="BO330" s="31">
        <v>1</v>
      </c>
      <c r="BP330" s="31">
        <v>0</v>
      </c>
      <c r="BQ330" s="31">
        <v>0</v>
      </c>
      <c r="BR330" s="31">
        <v>0</v>
      </c>
      <c r="BS330" s="31">
        <v>0</v>
      </c>
      <c r="BT330" s="31">
        <v>0</v>
      </c>
      <c r="BU330" s="31">
        <v>0</v>
      </c>
      <c r="BV330" s="31">
        <v>0</v>
      </c>
      <c r="BW330" s="31">
        <v>0</v>
      </c>
      <c r="BX330" s="31">
        <v>0</v>
      </c>
      <c r="BY330" s="31">
        <v>0</v>
      </c>
      <c r="BZ330" s="31">
        <v>0</v>
      </c>
      <c r="CA330" s="31">
        <v>0</v>
      </c>
      <c r="CB330" s="31">
        <v>0</v>
      </c>
      <c r="CC330" s="31">
        <v>0</v>
      </c>
      <c r="CD330" s="31">
        <v>0</v>
      </c>
      <c r="CE330" s="31">
        <v>0</v>
      </c>
      <c r="CF330" s="31">
        <v>0</v>
      </c>
      <c r="CG330" s="31">
        <v>0</v>
      </c>
      <c r="CH330" s="31">
        <v>0</v>
      </c>
      <c r="CI330" s="31">
        <v>0</v>
      </c>
      <c r="CJ330" s="31">
        <v>0</v>
      </c>
      <c r="CK330" s="31">
        <v>0</v>
      </c>
      <c r="CL330" s="35">
        <v>0</v>
      </c>
    </row>
    <row r="331" spans="1:90" ht="21" x14ac:dyDescent="0.15">
      <c r="A331" s="27" t="s">
        <v>1658</v>
      </c>
      <c r="B331" s="28" t="s">
        <v>1659</v>
      </c>
      <c r="C331" s="28">
        <v>0</v>
      </c>
      <c r="D331" s="28">
        <v>0</v>
      </c>
      <c r="E331" s="28">
        <v>0</v>
      </c>
      <c r="F331" s="28">
        <v>0</v>
      </c>
      <c r="G331" s="28">
        <v>2</v>
      </c>
      <c r="H331" s="28">
        <f>IFERROR(VLOOKUP(A331,[1]FALTANTES!$A:$AB,28,FALSE),"-")</f>
        <v>0</v>
      </c>
      <c r="I331" s="42">
        <f>IFERROR(VLOOKUP(A331,[1]FALTANTES!$A:$AC,29,FALSE),"-")</f>
        <v>0</v>
      </c>
      <c r="J331" s="29">
        <f>IFERROR(VLOOKUP(A331,[1]FALTANTES!$A:$AD,30,FALSE),"-")</f>
        <v>-2</v>
      </c>
      <c r="K331" s="30">
        <v>0</v>
      </c>
      <c r="L331" s="30">
        <f t="shared" si="6"/>
        <v>2</v>
      </c>
      <c r="M331" s="31">
        <f>SUMIFS(METALFISA!$E:$E,METALFISA!$A:$A,'Faltantes Fevereiro- Metalfisa'!M$3,METALFISA!$B:$B,'Faltantes Fevereiro- Metalfisa'!$A331)</f>
        <v>0</v>
      </c>
      <c r="N331" s="31">
        <f>SUMIFS(METALFISA!$E:$E,METALFISA!$A:$A,'Faltantes Fevereiro- Metalfisa'!N$3,METALFISA!$B:$B,'Faltantes Fevereiro- Metalfisa'!$A331)</f>
        <v>0</v>
      </c>
      <c r="O331" s="31">
        <f>SUMIFS(METALFISA!$E:$E,METALFISA!$A:$A,'Faltantes Fevereiro- Metalfisa'!O$3,METALFISA!$B:$B,'Faltantes Fevereiro- Metalfisa'!$A331)</f>
        <v>0</v>
      </c>
      <c r="P331" s="31">
        <f>SUMIFS(METALFISA!$E:$E,METALFISA!$A:$A,'Faltantes Fevereiro- Metalfisa'!P$3,METALFISA!$B:$B,'Faltantes Fevereiro- Metalfisa'!$A331)</f>
        <v>0</v>
      </c>
      <c r="Q331" s="31">
        <f>SUMIFS(METALFISA!$E:$E,METALFISA!$A:$A,'Faltantes Fevereiro- Metalfisa'!Q$3,METALFISA!$B:$B,'Faltantes Fevereiro- Metalfisa'!$A331)</f>
        <v>0</v>
      </c>
      <c r="R331" s="31">
        <f>SUMIFS(METALFISA!$E:$E,METALFISA!$A:$A,'Faltantes Fevereiro- Metalfisa'!R$3,METALFISA!$B:$B,'Faltantes Fevereiro- Metalfisa'!$A331)</f>
        <v>0</v>
      </c>
      <c r="S331" s="31">
        <f>SUMIFS(METALFISA!$E:$E,METALFISA!$A:$A,'Faltantes Fevereiro- Metalfisa'!S$3,METALFISA!$B:$B,'Faltantes Fevereiro- Metalfisa'!$A331)</f>
        <v>0</v>
      </c>
      <c r="T331" s="31">
        <f>SUMIFS(METALFISA!$E:$E,METALFISA!$A:$A,'Faltantes Fevereiro- Metalfisa'!T$3,METALFISA!$B:$B,'Faltantes Fevereiro- Metalfisa'!$A331)</f>
        <v>0</v>
      </c>
      <c r="U331" s="31">
        <f>SUMIFS(METALFISA!$E:$E,METALFISA!$A:$A,'Faltantes Fevereiro- Metalfisa'!U$3,METALFISA!$B:$B,'Faltantes Fevereiro- Metalfisa'!$A331)</f>
        <v>0</v>
      </c>
      <c r="V331" s="31">
        <f>SUMIFS(METALFISA!$E:$E,METALFISA!$A:$A,'Faltantes Fevereiro- Metalfisa'!V$3,METALFISA!$B:$B,'Faltantes Fevereiro- Metalfisa'!$A331)</f>
        <v>0</v>
      </c>
      <c r="W331" s="31">
        <f>SUMIFS(METALFISA!$E:$E,METALFISA!$A:$A,'Faltantes Fevereiro- Metalfisa'!W$3,METALFISA!$B:$B,'Faltantes Fevereiro- Metalfisa'!$A331)</f>
        <v>0</v>
      </c>
      <c r="X331" s="31">
        <f>SUMIFS(METALFISA!$E:$E,METALFISA!$A:$A,'Faltantes Fevereiro- Metalfisa'!X$3,METALFISA!$B:$B,'Faltantes Fevereiro- Metalfisa'!$A331)</f>
        <v>0</v>
      </c>
      <c r="Y331" s="31">
        <f>SUMIFS(METALFISA!$E:$E,METALFISA!$A:$A,'Faltantes Fevereiro- Metalfisa'!Y$3,METALFISA!$B:$B,'Faltantes Fevereiro- Metalfisa'!$A331)</f>
        <v>0</v>
      </c>
      <c r="Z331" s="31">
        <f>SUMIFS(METALFISA!$E:$E,METALFISA!$A:$A,'Faltantes Fevereiro- Metalfisa'!Z$3,METALFISA!$B:$B,'Faltantes Fevereiro- Metalfisa'!$A331)</f>
        <v>0</v>
      </c>
      <c r="AA331" s="31">
        <f>SUMIFS(METALFISA!$E:$E,METALFISA!$A:$A,'Faltantes Fevereiro- Metalfisa'!AA$3,METALFISA!$B:$B,'Faltantes Fevereiro- Metalfisa'!$A331)</f>
        <v>0</v>
      </c>
      <c r="AB331" s="31">
        <f>SUMIFS(METALFISA!$E:$E,METALFISA!$A:$A,'Faltantes Fevereiro- Metalfisa'!AB$3,METALFISA!$B:$B,'Faltantes Fevereiro- Metalfisa'!$A331)</f>
        <v>0</v>
      </c>
      <c r="AC331" s="31">
        <f>SUMIFS(METALFISA!$E:$E,METALFISA!$A:$A,'Faltantes Fevereiro- Metalfisa'!AC$3,METALFISA!$B:$B,'Faltantes Fevereiro- Metalfisa'!$A331)</f>
        <v>0</v>
      </c>
      <c r="AD331" s="31">
        <f>SUMIFS(METALFISA!$E:$E,METALFISA!$A:$A,'Faltantes Fevereiro- Metalfisa'!AD$3,METALFISA!$B:$B,'Faltantes Fevereiro- Metalfisa'!$A331)</f>
        <v>0</v>
      </c>
      <c r="AE331" s="31">
        <f>SUMIFS(METALFISA!$E:$E,METALFISA!$A:$A,'Faltantes Fevereiro- Metalfisa'!AE$3,METALFISA!$B:$B,'Faltantes Fevereiro- Metalfisa'!$A331)</f>
        <v>2</v>
      </c>
      <c r="AF331" s="31">
        <f>SUMIFS(METALFISA!$E:$E,METALFISA!$A:$A,'Faltantes Fevereiro- Metalfisa'!AF$3,METALFISA!$B:$B,'Faltantes Fevereiro- Metalfisa'!$A331)</f>
        <v>0</v>
      </c>
      <c r="AG331" s="31">
        <f>SUMIFS(METALFISA!$E:$E,METALFISA!$A:$A,'Faltantes Fevereiro- Metalfisa'!AG$3,METALFISA!$B:$B,'Faltantes Fevereiro- Metalfisa'!$A331)</f>
        <v>0</v>
      </c>
      <c r="AH331" s="31">
        <f>SUMIFS(METALFISA!$E:$E,METALFISA!$A:$A,'Faltantes Fevereiro- Metalfisa'!AH$3,METALFISA!$B:$B,'Faltantes Fevereiro- Metalfisa'!$A331)</f>
        <v>0</v>
      </c>
      <c r="AI331" s="31">
        <f>SUMIFS(METALFISA!$E:$E,METALFISA!$A:$A,'Faltantes Fevereiro- Metalfisa'!AI$3,METALFISA!$B:$B,'Faltantes Fevereiro- Metalfisa'!$A331)</f>
        <v>0</v>
      </c>
      <c r="AJ331" s="31">
        <f>SUMIFS(METALFISA!$E:$E,METALFISA!$A:$A,'Faltantes Fevereiro- Metalfisa'!AJ$3,METALFISA!$B:$B,'Faltantes Fevereiro- Metalfisa'!$A331)</f>
        <v>0</v>
      </c>
      <c r="AK331" s="31">
        <f>SUMIFS(METALFISA!$E:$E,METALFISA!$A:$A,'Faltantes Fevereiro- Metalfisa'!AK$3,METALFISA!$B:$B,'Faltantes Fevereiro- Metalfisa'!$A331)</f>
        <v>0</v>
      </c>
      <c r="AL331" s="31">
        <f>SUMIFS(METALFISA!$E:$E,METALFISA!$A:$A,'Faltantes Fevereiro- Metalfisa'!AL$3,METALFISA!$B:$B,'Faltantes Fevereiro- Metalfisa'!$A331)</f>
        <v>0</v>
      </c>
      <c r="AM331" s="31">
        <f>SUMIFS(METALFISA!$E:$E,METALFISA!$A:$A,'Faltantes Fevereiro- Metalfisa'!AM$3,METALFISA!$B:$B,'Faltantes Fevereiro- Metalfisa'!$A331)</f>
        <v>0</v>
      </c>
      <c r="AN331" s="31">
        <f>SUMIFS(METALFISA!$E:$E,METALFISA!$A:$A,'Faltantes Fevereiro- Metalfisa'!AN$3,METALFISA!$B:$B,'Faltantes Fevereiro- Metalfisa'!$A331)</f>
        <v>0</v>
      </c>
      <c r="AO331" s="31">
        <f>SUMIFS(METALFISA!$E:$E,METALFISA!$A:$A,'Faltantes Fevereiro- Metalfisa'!AO$3,METALFISA!$B:$B,'Faltantes Fevereiro- Metalfisa'!$A331)</f>
        <v>0</v>
      </c>
      <c r="AP331" s="31">
        <f>SUMIFS(METALFISA!$E:$E,METALFISA!$A:$A,'Faltantes Fevereiro- Metalfisa'!AP$3,METALFISA!$B:$B,'Faltantes Fevereiro- Metalfisa'!$A331)</f>
        <v>0</v>
      </c>
      <c r="AQ331" s="31"/>
      <c r="AR331" s="31">
        <f>SUMIFS(METALFISA!$E:$E,METALFISA!$A:$A,'Faltantes Fevereiro- Metalfisa'!AR$3,METALFISA!$B:$B,'Faltantes Fevereiro- Metalfisa'!$A331)</f>
        <v>0</v>
      </c>
      <c r="AS331" s="35">
        <f>SUMIFS(METALFISA!$E:$E,METALFISA!$A:$A,'Faltantes Fevereiro- Metalfisa'!AS$3,METALFISA!$B:$B,'Faltantes Fevereiro- Metalfisa'!$A331)</f>
        <v>0</v>
      </c>
      <c r="AU331" s="18">
        <v>0</v>
      </c>
      <c r="AV331" s="18">
        <v>0</v>
      </c>
      <c r="AW331" s="18">
        <v>0</v>
      </c>
      <c r="AX331" s="18">
        <v>0</v>
      </c>
      <c r="AY331" s="41">
        <v>0</v>
      </c>
      <c r="AZ331" s="31">
        <v>0</v>
      </c>
      <c r="BA331" s="31">
        <v>0</v>
      </c>
      <c r="BB331" s="31">
        <v>0</v>
      </c>
      <c r="BC331" s="31">
        <v>0</v>
      </c>
      <c r="BD331" s="31">
        <v>0</v>
      </c>
      <c r="BE331" s="31">
        <v>0</v>
      </c>
      <c r="BF331" s="31">
        <v>0</v>
      </c>
      <c r="BG331" s="31">
        <v>0</v>
      </c>
      <c r="BH331" s="31">
        <v>0</v>
      </c>
      <c r="BI331" s="31">
        <v>0</v>
      </c>
      <c r="BJ331" s="31">
        <v>0</v>
      </c>
      <c r="BK331" s="31">
        <v>0</v>
      </c>
      <c r="BL331" s="31">
        <v>0</v>
      </c>
      <c r="BM331" s="31">
        <v>0</v>
      </c>
      <c r="BN331" s="31">
        <v>0</v>
      </c>
      <c r="BO331" s="31">
        <v>0</v>
      </c>
      <c r="BP331" s="31">
        <v>0</v>
      </c>
      <c r="BQ331" s="31">
        <v>0</v>
      </c>
      <c r="BR331" s="31">
        <v>0</v>
      </c>
      <c r="BS331" s="31">
        <v>0</v>
      </c>
      <c r="BT331" s="31">
        <v>0</v>
      </c>
      <c r="BU331" s="31">
        <v>0</v>
      </c>
      <c r="BV331" s="31">
        <v>0</v>
      </c>
      <c r="BW331" s="31">
        <v>0</v>
      </c>
      <c r="BX331" s="31">
        <v>0</v>
      </c>
      <c r="BY331" s="31">
        <v>0</v>
      </c>
      <c r="BZ331" s="31">
        <v>0</v>
      </c>
      <c r="CA331" s="31">
        <v>0</v>
      </c>
      <c r="CB331" s="31">
        <v>0</v>
      </c>
      <c r="CC331" s="31">
        <v>0</v>
      </c>
      <c r="CD331" s="31">
        <v>0</v>
      </c>
      <c r="CE331" s="31">
        <v>0</v>
      </c>
      <c r="CF331" s="31">
        <v>0</v>
      </c>
      <c r="CG331" s="31">
        <v>0</v>
      </c>
      <c r="CH331" s="31">
        <v>0</v>
      </c>
      <c r="CI331" s="31">
        <v>0</v>
      </c>
      <c r="CJ331" s="31">
        <v>0</v>
      </c>
      <c r="CK331" s="31">
        <v>0</v>
      </c>
      <c r="CL331" s="35">
        <v>0</v>
      </c>
    </row>
    <row r="332" spans="1:90" ht="21" x14ac:dyDescent="0.15">
      <c r="A332" s="27" t="s">
        <v>1662</v>
      </c>
      <c r="B332" s="28" t="s">
        <v>1663</v>
      </c>
      <c r="C332" s="28">
        <v>0</v>
      </c>
      <c r="D332" s="28">
        <v>0</v>
      </c>
      <c r="E332" s="28">
        <v>0</v>
      </c>
      <c r="F332" s="28">
        <v>0</v>
      </c>
      <c r="G332" s="28">
        <v>2</v>
      </c>
      <c r="H332" s="28">
        <f>IFERROR(VLOOKUP(A332,[1]FALTANTES!$A:$AB,28,FALSE),"-")</f>
        <v>0</v>
      </c>
      <c r="I332" s="42">
        <f>IFERROR(VLOOKUP(A332,[1]FALTANTES!$A:$AC,29,FALSE),"-")</f>
        <v>0</v>
      </c>
      <c r="J332" s="29">
        <f>IFERROR(VLOOKUP(A332,[1]FALTANTES!$A:$AD,30,FALSE),"-")</f>
        <v>-2</v>
      </c>
      <c r="K332" s="30">
        <v>0</v>
      </c>
      <c r="L332" s="30">
        <f t="shared" si="6"/>
        <v>2</v>
      </c>
      <c r="M332" s="31">
        <f>SUMIFS(METALFISA!$E:$E,METALFISA!$A:$A,'Faltantes Fevereiro- Metalfisa'!M$3,METALFISA!$B:$B,'Faltantes Fevereiro- Metalfisa'!$A332)</f>
        <v>0</v>
      </c>
      <c r="N332" s="31">
        <f>SUMIFS(METALFISA!$E:$E,METALFISA!$A:$A,'Faltantes Fevereiro- Metalfisa'!N$3,METALFISA!$B:$B,'Faltantes Fevereiro- Metalfisa'!$A332)</f>
        <v>0</v>
      </c>
      <c r="O332" s="31">
        <f>SUMIFS(METALFISA!$E:$E,METALFISA!$A:$A,'Faltantes Fevereiro- Metalfisa'!O$3,METALFISA!$B:$B,'Faltantes Fevereiro- Metalfisa'!$A332)</f>
        <v>0</v>
      </c>
      <c r="P332" s="31">
        <f>SUMIFS(METALFISA!$E:$E,METALFISA!$A:$A,'Faltantes Fevereiro- Metalfisa'!P$3,METALFISA!$B:$B,'Faltantes Fevereiro- Metalfisa'!$A332)</f>
        <v>0</v>
      </c>
      <c r="Q332" s="31">
        <f>SUMIFS(METALFISA!$E:$E,METALFISA!$A:$A,'Faltantes Fevereiro- Metalfisa'!Q$3,METALFISA!$B:$B,'Faltantes Fevereiro- Metalfisa'!$A332)</f>
        <v>0</v>
      </c>
      <c r="R332" s="31">
        <f>SUMIFS(METALFISA!$E:$E,METALFISA!$A:$A,'Faltantes Fevereiro- Metalfisa'!R$3,METALFISA!$B:$B,'Faltantes Fevereiro- Metalfisa'!$A332)</f>
        <v>0</v>
      </c>
      <c r="S332" s="31">
        <f>SUMIFS(METALFISA!$E:$E,METALFISA!$A:$A,'Faltantes Fevereiro- Metalfisa'!S$3,METALFISA!$B:$B,'Faltantes Fevereiro- Metalfisa'!$A332)</f>
        <v>0</v>
      </c>
      <c r="T332" s="31">
        <f>SUMIFS(METALFISA!$E:$E,METALFISA!$A:$A,'Faltantes Fevereiro- Metalfisa'!T$3,METALFISA!$B:$B,'Faltantes Fevereiro- Metalfisa'!$A332)</f>
        <v>0</v>
      </c>
      <c r="U332" s="31">
        <f>SUMIFS(METALFISA!$E:$E,METALFISA!$A:$A,'Faltantes Fevereiro- Metalfisa'!U$3,METALFISA!$B:$B,'Faltantes Fevereiro- Metalfisa'!$A332)</f>
        <v>0</v>
      </c>
      <c r="V332" s="31">
        <f>SUMIFS(METALFISA!$E:$E,METALFISA!$A:$A,'Faltantes Fevereiro- Metalfisa'!V$3,METALFISA!$B:$B,'Faltantes Fevereiro- Metalfisa'!$A332)</f>
        <v>0</v>
      </c>
      <c r="W332" s="31">
        <f>SUMIFS(METALFISA!$E:$E,METALFISA!$A:$A,'Faltantes Fevereiro- Metalfisa'!W$3,METALFISA!$B:$B,'Faltantes Fevereiro- Metalfisa'!$A332)</f>
        <v>0</v>
      </c>
      <c r="X332" s="31">
        <f>SUMIFS(METALFISA!$E:$E,METALFISA!$A:$A,'Faltantes Fevereiro- Metalfisa'!X$3,METALFISA!$B:$B,'Faltantes Fevereiro- Metalfisa'!$A332)</f>
        <v>0</v>
      </c>
      <c r="Y332" s="31">
        <f>SUMIFS(METALFISA!$E:$E,METALFISA!$A:$A,'Faltantes Fevereiro- Metalfisa'!Y$3,METALFISA!$B:$B,'Faltantes Fevereiro- Metalfisa'!$A332)</f>
        <v>0</v>
      </c>
      <c r="Z332" s="31">
        <f>SUMIFS(METALFISA!$E:$E,METALFISA!$A:$A,'Faltantes Fevereiro- Metalfisa'!Z$3,METALFISA!$B:$B,'Faltantes Fevereiro- Metalfisa'!$A332)</f>
        <v>0</v>
      </c>
      <c r="AA332" s="31">
        <f>SUMIFS(METALFISA!$E:$E,METALFISA!$A:$A,'Faltantes Fevereiro- Metalfisa'!AA$3,METALFISA!$B:$B,'Faltantes Fevereiro- Metalfisa'!$A332)</f>
        <v>0</v>
      </c>
      <c r="AB332" s="31">
        <f>SUMIFS(METALFISA!$E:$E,METALFISA!$A:$A,'Faltantes Fevereiro- Metalfisa'!AB$3,METALFISA!$B:$B,'Faltantes Fevereiro- Metalfisa'!$A332)</f>
        <v>0</v>
      </c>
      <c r="AC332" s="31">
        <f>SUMIFS(METALFISA!$E:$E,METALFISA!$A:$A,'Faltantes Fevereiro- Metalfisa'!AC$3,METALFISA!$B:$B,'Faltantes Fevereiro- Metalfisa'!$A332)</f>
        <v>0</v>
      </c>
      <c r="AD332" s="31">
        <f>SUMIFS(METALFISA!$E:$E,METALFISA!$A:$A,'Faltantes Fevereiro- Metalfisa'!AD$3,METALFISA!$B:$B,'Faltantes Fevereiro- Metalfisa'!$A332)</f>
        <v>0</v>
      </c>
      <c r="AE332" s="31">
        <f>SUMIFS(METALFISA!$E:$E,METALFISA!$A:$A,'Faltantes Fevereiro- Metalfisa'!AE$3,METALFISA!$B:$B,'Faltantes Fevereiro- Metalfisa'!$A332)</f>
        <v>2</v>
      </c>
      <c r="AF332" s="31">
        <f>SUMIFS(METALFISA!$E:$E,METALFISA!$A:$A,'Faltantes Fevereiro- Metalfisa'!AF$3,METALFISA!$B:$B,'Faltantes Fevereiro- Metalfisa'!$A332)</f>
        <v>0</v>
      </c>
      <c r="AG332" s="31">
        <f>SUMIFS(METALFISA!$E:$E,METALFISA!$A:$A,'Faltantes Fevereiro- Metalfisa'!AG$3,METALFISA!$B:$B,'Faltantes Fevereiro- Metalfisa'!$A332)</f>
        <v>0</v>
      </c>
      <c r="AH332" s="31">
        <f>SUMIFS(METALFISA!$E:$E,METALFISA!$A:$A,'Faltantes Fevereiro- Metalfisa'!AH$3,METALFISA!$B:$B,'Faltantes Fevereiro- Metalfisa'!$A332)</f>
        <v>0</v>
      </c>
      <c r="AI332" s="31">
        <f>SUMIFS(METALFISA!$E:$E,METALFISA!$A:$A,'Faltantes Fevereiro- Metalfisa'!AI$3,METALFISA!$B:$B,'Faltantes Fevereiro- Metalfisa'!$A332)</f>
        <v>0</v>
      </c>
      <c r="AJ332" s="31">
        <f>SUMIFS(METALFISA!$E:$E,METALFISA!$A:$A,'Faltantes Fevereiro- Metalfisa'!AJ$3,METALFISA!$B:$B,'Faltantes Fevereiro- Metalfisa'!$A332)</f>
        <v>0</v>
      </c>
      <c r="AK332" s="31">
        <f>SUMIFS(METALFISA!$E:$E,METALFISA!$A:$A,'Faltantes Fevereiro- Metalfisa'!AK$3,METALFISA!$B:$B,'Faltantes Fevereiro- Metalfisa'!$A332)</f>
        <v>0</v>
      </c>
      <c r="AL332" s="31">
        <f>SUMIFS(METALFISA!$E:$E,METALFISA!$A:$A,'Faltantes Fevereiro- Metalfisa'!AL$3,METALFISA!$B:$B,'Faltantes Fevereiro- Metalfisa'!$A332)</f>
        <v>0</v>
      </c>
      <c r="AM332" s="31">
        <f>SUMIFS(METALFISA!$E:$E,METALFISA!$A:$A,'Faltantes Fevereiro- Metalfisa'!AM$3,METALFISA!$B:$B,'Faltantes Fevereiro- Metalfisa'!$A332)</f>
        <v>0</v>
      </c>
      <c r="AN332" s="31">
        <f>SUMIFS(METALFISA!$E:$E,METALFISA!$A:$A,'Faltantes Fevereiro- Metalfisa'!AN$3,METALFISA!$B:$B,'Faltantes Fevereiro- Metalfisa'!$A332)</f>
        <v>0</v>
      </c>
      <c r="AO332" s="31">
        <f>SUMIFS(METALFISA!$E:$E,METALFISA!$A:$A,'Faltantes Fevereiro- Metalfisa'!AO$3,METALFISA!$B:$B,'Faltantes Fevereiro- Metalfisa'!$A332)</f>
        <v>0</v>
      </c>
      <c r="AP332" s="31">
        <f>SUMIFS(METALFISA!$E:$E,METALFISA!$A:$A,'Faltantes Fevereiro- Metalfisa'!AP$3,METALFISA!$B:$B,'Faltantes Fevereiro- Metalfisa'!$A332)</f>
        <v>0</v>
      </c>
      <c r="AQ332" s="31"/>
      <c r="AR332" s="31">
        <f>SUMIFS(METALFISA!$E:$E,METALFISA!$A:$A,'Faltantes Fevereiro- Metalfisa'!AR$3,METALFISA!$B:$B,'Faltantes Fevereiro- Metalfisa'!$A332)</f>
        <v>0</v>
      </c>
      <c r="AS332" s="35">
        <f>SUMIFS(METALFISA!$E:$E,METALFISA!$A:$A,'Faltantes Fevereiro- Metalfisa'!AS$3,METALFISA!$B:$B,'Faltantes Fevereiro- Metalfisa'!$A332)</f>
        <v>0</v>
      </c>
      <c r="AU332" s="18">
        <v>0</v>
      </c>
      <c r="AV332" s="18">
        <v>0</v>
      </c>
      <c r="AW332" s="18">
        <v>0</v>
      </c>
      <c r="AX332" s="18">
        <v>0</v>
      </c>
      <c r="AY332" s="41">
        <v>0</v>
      </c>
      <c r="AZ332" s="31">
        <v>0</v>
      </c>
      <c r="BA332" s="31">
        <v>0</v>
      </c>
      <c r="BB332" s="31">
        <v>0</v>
      </c>
      <c r="BC332" s="31">
        <v>0</v>
      </c>
      <c r="BD332" s="31">
        <v>0</v>
      </c>
      <c r="BE332" s="31">
        <v>0</v>
      </c>
      <c r="BF332" s="31">
        <v>0</v>
      </c>
      <c r="BG332" s="31">
        <v>0</v>
      </c>
      <c r="BH332" s="31">
        <v>0</v>
      </c>
      <c r="BI332" s="31">
        <v>0</v>
      </c>
      <c r="BJ332" s="31">
        <v>0</v>
      </c>
      <c r="BK332" s="31">
        <v>0</v>
      </c>
      <c r="BL332" s="31">
        <v>0</v>
      </c>
      <c r="BM332" s="31">
        <v>0</v>
      </c>
      <c r="BN332" s="31">
        <v>0</v>
      </c>
      <c r="BO332" s="31">
        <v>0</v>
      </c>
      <c r="BP332" s="31">
        <v>0</v>
      </c>
      <c r="BQ332" s="31">
        <v>0</v>
      </c>
      <c r="BR332" s="31">
        <v>0</v>
      </c>
      <c r="BS332" s="31">
        <v>0</v>
      </c>
      <c r="BT332" s="31">
        <v>0</v>
      </c>
      <c r="BU332" s="31">
        <v>0</v>
      </c>
      <c r="BV332" s="31">
        <v>0</v>
      </c>
      <c r="BW332" s="31">
        <v>0</v>
      </c>
      <c r="BX332" s="31">
        <v>0</v>
      </c>
      <c r="BY332" s="31">
        <v>0</v>
      </c>
      <c r="BZ332" s="31">
        <v>0</v>
      </c>
      <c r="CA332" s="31">
        <v>0</v>
      </c>
      <c r="CB332" s="31">
        <v>0</v>
      </c>
      <c r="CC332" s="31">
        <v>0</v>
      </c>
      <c r="CD332" s="31">
        <v>0</v>
      </c>
      <c r="CE332" s="31">
        <v>0</v>
      </c>
      <c r="CF332" s="31">
        <v>0</v>
      </c>
      <c r="CG332" s="31">
        <v>0</v>
      </c>
      <c r="CH332" s="31">
        <v>0</v>
      </c>
      <c r="CI332" s="31">
        <v>0</v>
      </c>
      <c r="CJ332" s="31">
        <v>0</v>
      </c>
      <c r="CK332" s="31">
        <v>0</v>
      </c>
      <c r="CL332" s="35">
        <v>0</v>
      </c>
    </row>
    <row r="333" spans="1:90" ht="21" x14ac:dyDescent="0.15">
      <c r="A333" s="27" t="s">
        <v>1666</v>
      </c>
      <c r="B333" s="28" t="s">
        <v>1667</v>
      </c>
      <c r="C333" s="28">
        <v>1</v>
      </c>
      <c r="D333" s="28">
        <v>0</v>
      </c>
      <c r="E333" s="28">
        <v>0</v>
      </c>
      <c r="F333" s="28">
        <v>0</v>
      </c>
      <c r="G333" s="28">
        <v>36</v>
      </c>
      <c r="H333" s="28">
        <f>IFERROR(VLOOKUP(A333,[1]FALTANTES!$A:$AB,28,FALSE),"-")</f>
        <v>1</v>
      </c>
      <c r="I333" s="42">
        <f>IFERROR(VLOOKUP(A333,[1]FALTANTES!$A:$AC,29,FALSE),"-")</f>
        <v>12</v>
      </c>
      <c r="J333" s="29">
        <f>IFERROR(VLOOKUP(A333,[1]FALTANTES!$A:$AD,30,FALSE),"-")</f>
        <v>-25</v>
      </c>
      <c r="K333" s="30">
        <v>0</v>
      </c>
      <c r="L333" s="30">
        <f t="shared" si="6"/>
        <v>12</v>
      </c>
      <c r="M333" s="31">
        <f>SUMIFS(METALFISA!$E:$E,METALFISA!$A:$A,'Faltantes Fevereiro- Metalfisa'!M$3,METALFISA!$B:$B,'Faltantes Fevereiro- Metalfisa'!$A333)</f>
        <v>0</v>
      </c>
      <c r="N333" s="31">
        <f>SUMIFS(METALFISA!$E:$E,METALFISA!$A:$A,'Faltantes Fevereiro- Metalfisa'!N$3,METALFISA!$B:$B,'Faltantes Fevereiro- Metalfisa'!$A333)</f>
        <v>0</v>
      </c>
      <c r="O333" s="31">
        <f>SUMIFS(METALFISA!$E:$E,METALFISA!$A:$A,'Faltantes Fevereiro- Metalfisa'!O$3,METALFISA!$B:$B,'Faltantes Fevereiro- Metalfisa'!$A333)</f>
        <v>0</v>
      </c>
      <c r="P333" s="31">
        <f>SUMIFS(METALFISA!$E:$E,METALFISA!$A:$A,'Faltantes Fevereiro- Metalfisa'!P$3,METALFISA!$B:$B,'Faltantes Fevereiro- Metalfisa'!$A333)</f>
        <v>0</v>
      </c>
      <c r="Q333" s="31">
        <f>SUMIFS(METALFISA!$E:$E,METALFISA!$A:$A,'Faltantes Fevereiro- Metalfisa'!Q$3,METALFISA!$B:$B,'Faltantes Fevereiro- Metalfisa'!$A333)</f>
        <v>0</v>
      </c>
      <c r="R333" s="31">
        <f>SUMIFS(METALFISA!$E:$E,METALFISA!$A:$A,'Faltantes Fevereiro- Metalfisa'!R$3,METALFISA!$B:$B,'Faltantes Fevereiro- Metalfisa'!$A333)</f>
        <v>0</v>
      </c>
      <c r="S333" s="31">
        <f>SUMIFS(METALFISA!$E:$E,METALFISA!$A:$A,'Faltantes Fevereiro- Metalfisa'!S$3,METALFISA!$B:$B,'Faltantes Fevereiro- Metalfisa'!$A333)</f>
        <v>0</v>
      </c>
      <c r="T333" s="31">
        <f>SUMIFS(METALFISA!$E:$E,METALFISA!$A:$A,'Faltantes Fevereiro- Metalfisa'!T$3,METALFISA!$B:$B,'Faltantes Fevereiro- Metalfisa'!$A333)</f>
        <v>0</v>
      </c>
      <c r="U333" s="31">
        <f>SUMIFS(METALFISA!$E:$E,METALFISA!$A:$A,'Faltantes Fevereiro- Metalfisa'!U$3,METALFISA!$B:$B,'Faltantes Fevereiro- Metalfisa'!$A333)</f>
        <v>0</v>
      </c>
      <c r="V333" s="31">
        <f>SUMIFS(METALFISA!$E:$E,METALFISA!$A:$A,'Faltantes Fevereiro- Metalfisa'!V$3,METALFISA!$B:$B,'Faltantes Fevereiro- Metalfisa'!$A333)</f>
        <v>0</v>
      </c>
      <c r="W333" s="31">
        <f>SUMIFS(METALFISA!$E:$E,METALFISA!$A:$A,'Faltantes Fevereiro- Metalfisa'!W$3,METALFISA!$B:$B,'Faltantes Fevereiro- Metalfisa'!$A333)</f>
        <v>0</v>
      </c>
      <c r="X333" s="31">
        <f>SUMIFS(METALFISA!$E:$E,METALFISA!$A:$A,'Faltantes Fevereiro- Metalfisa'!X$3,METALFISA!$B:$B,'Faltantes Fevereiro- Metalfisa'!$A333)</f>
        <v>0</v>
      </c>
      <c r="Y333" s="31">
        <f>SUMIFS(METALFISA!$E:$E,METALFISA!$A:$A,'Faltantes Fevereiro- Metalfisa'!Y$3,METALFISA!$B:$B,'Faltantes Fevereiro- Metalfisa'!$A333)</f>
        <v>0</v>
      </c>
      <c r="Z333" s="31">
        <f>SUMIFS(METALFISA!$E:$E,METALFISA!$A:$A,'Faltantes Fevereiro- Metalfisa'!Z$3,METALFISA!$B:$B,'Faltantes Fevereiro- Metalfisa'!$A333)</f>
        <v>0</v>
      </c>
      <c r="AA333" s="31">
        <f>SUMIFS(METALFISA!$E:$E,METALFISA!$A:$A,'Faltantes Fevereiro- Metalfisa'!AA$3,METALFISA!$B:$B,'Faltantes Fevereiro- Metalfisa'!$A333)</f>
        <v>0</v>
      </c>
      <c r="AB333" s="31">
        <f>SUMIFS(METALFISA!$E:$E,METALFISA!$A:$A,'Faltantes Fevereiro- Metalfisa'!AB$3,METALFISA!$B:$B,'Faltantes Fevereiro- Metalfisa'!$A333)</f>
        <v>0</v>
      </c>
      <c r="AC333" s="31">
        <f>SUMIFS(METALFISA!$E:$E,METALFISA!$A:$A,'Faltantes Fevereiro- Metalfisa'!AC$3,METALFISA!$B:$B,'Faltantes Fevereiro- Metalfisa'!$A333)</f>
        <v>0</v>
      </c>
      <c r="AD333" s="31">
        <f>SUMIFS(METALFISA!$E:$E,METALFISA!$A:$A,'Faltantes Fevereiro- Metalfisa'!AD$3,METALFISA!$B:$B,'Faltantes Fevereiro- Metalfisa'!$A333)</f>
        <v>0</v>
      </c>
      <c r="AE333" s="31">
        <f>SUMIFS(METALFISA!$E:$E,METALFISA!$A:$A,'Faltantes Fevereiro- Metalfisa'!AE$3,METALFISA!$B:$B,'Faltantes Fevereiro- Metalfisa'!$A333)</f>
        <v>12</v>
      </c>
      <c r="AF333" s="31">
        <f>SUMIFS(METALFISA!$E:$E,METALFISA!$A:$A,'Faltantes Fevereiro- Metalfisa'!AF$3,METALFISA!$B:$B,'Faltantes Fevereiro- Metalfisa'!$A333)</f>
        <v>0</v>
      </c>
      <c r="AG333" s="31">
        <f>SUMIFS(METALFISA!$E:$E,METALFISA!$A:$A,'Faltantes Fevereiro- Metalfisa'!AG$3,METALFISA!$B:$B,'Faltantes Fevereiro- Metalfisa'!$A333)</f>
        <v>0</v>
      </c>
      <c r="AH333" s="31">
        <f>SUMIFS(METALFISA!$E:$E,METALFISA!$A:$A,'Faltantes Fevereiro- Metalfisa'!AH$3,METALFISA!$B:$B,'Faltantes Fevereiro- Metalfisa'!$A333)</f>
        <v>0</v>
      </c>
      <c r="AI333" s="31">
        <f>SUMIFS(METALFISA!$E:$E,METALFISA!$A:$A,'Faltantes Fevereiro- Metalfisa'!AI$3,METALFISA!$B:$B,'Faltantes Fevereiro- Metalfisa'!$A333)</f>
        <v>0</v>
      </c>
      <c r="AJ333" s="31">
        <f>SUMIFS(METALFISA!$E:$E,METALFISA!$A:$A,'Faltantes Fevereiro- Metalfisa'!AJ$3,METALFISA!$B:$B,'Faltantes Fevereiro- Metalfisa'!$A333)</f>
        <v>0</v>
      </c>
      <c r="AK333" s="31">
        <f>SUMIFS(METALFISA!$E:$E,METALFISA!$A:$A,'Faltantes Fevereiro- Metalfisa'!AK$3,METALFISA!$B:$B,'Faltantes Fevereiro- Metalfisa'!$A333)</f>
        <v>0</v>
      </c>
      <c r="AL333" s="31">
        <f>SUMIFS(METALFISA!$E:$E,METALFISA!$A:$A,'Faltantes Fevereiro- Metalfisa'!AL$3,METALFISA!$B:$B,'Faltantes Fevereiro- Metalfisa'!$A333)</f>
        <v>0</v>
      </c>
      <c r="AM333" s="31">
        <f>SUMIFS(METALFISA!$E:$E,METALFISA!$A:$A,'Faltantes Fevereiro- Metalfisa'!AM$3,METALFISA!$B:$B,'Faltantes Fevereiro- Metalfisa'!$A333)</f>
        <v>0</v>
      </c>
      <c r="AN333" s="31">
        <f>SUMIFS(METALFISA!$E:$E,METALFISA!$A:$A,'Faltantes Fevereiro- Metalfisa'!AN$3,METALFISA!$B:$B,'Faltantes Fevereiro- Metalfisa'!$A333)</f>
        <v>0</v>
      </c>
      <c r="AO333" s="31">
        <f>SUMIFS(METALFISA!$E:$E,METALFISA!$A:$A,'Faltantes Fevereiro- Metalfisa'!AO$3,METALFISA!$B:$B,'Faltantes Fevereiro- Metalfisa'!$A333)</f>
        <v>0</v>
      </c>
      <c r="AP333" s="31">
        <f>SUMIFS(METALFISA!$E:$E,METALFISA!$A:$A,'Faltantes Fevereiro- Metalfisa'!AP$3,METALFISA!$B:$B,'Faltantes Fevereiro- Metalfisa'!$A333)</f>
        <v>0</v>
      </c>
      <c r="AQ333" s="31"/>
      <c r="AR333" s="31">
        <f>SUMIFS(METALFISA!$E:$E,METALFISA!$A:$A,'Faltantes Fevereiro- Metalfisa'!AR$3,METALFISA!$B:$B,'Faltantes Fevereiro- Metalfisa'!$A333)</f>
        <v>0</v>
      </c>
      <c r="AS333" s="35">
        <f>SUMIFS(METALFISA!$E:$E,METALFISA!$A:$A,'Faltantes Fevereiro- Metalfisa'!AS$3,METALFISA!$B:$B,'Faltantes Fevereiro- Metalfisa'!$A333)</f>
        <v>0</v>
      </c>
      <c r="AU333" s="18">
        <v>0</v>
      </c>
      <c r="AV333" s="18">
        <v>0</v>
      </c>
      <c r="AW333" s="18">
        <v>0</v>
      </c>
      <c r="AX333" s="18">
        <v>0</v>
      </c>
      <c r="AY333" s="41">
        <v>0</v>
      </c>
      <c r="AZ333" s="31">
        <v>0</v>
      </c>
      <c r="BA333" s="31">
        <v>0</v>
      </c>
      <c r="BB333" s="31">
        <v>0</v>
      </c>
      <c r="BC333" s="31">
        <v>0</v>
      </c>
      <c r="BD333" s="31">
        <v>0</v>
      </c>
      <c r="BE333" s="31">
        <v>0</v>
      </c>
      <c r="BF333" s="31">
        <v>0</v>
      </c>
      <c r="BG333" s="31">
        <v>0</v>
      </c>
      <c r="BH333" s="31">
        <v>0</v>
      </c>
      <c r="BI333" s="31">
        <v>0</v>
      </c>
      <c r="BJ333" s="31">
        <v>0</v>
      </c>
      <c r="BK333" s="31">
        <v>0</v>
      </c>
      <c r="BL333" s="31">
        <v>0</v>
      </c>
      <c r="BM333" s="31">
        <v>0</v>
      </c>
      <c r="BN333" s="31">
        <v>0</v>
      </c>
      <c r="BO333" s="31">
        <v>6</v>
      </c>
      <c r="BP333" s="31">
        <v>0</v>
      </c>
      <c r="BQ333" s="31">
        <v>0</v>
      </c>
      <c r="BR333" s="31">
        <v>0</v>
      </c>
      <c r="BS333" s="31">
        <v>0</v>
      </c>
      <c r="BT333" s="31">
        <v>0</v>
      </c>
      <c r="BU333" s="31">
        <v>0</v>
      </c>
      <c r="BV333" s="31">
        <v>0</v>
      </c>
      <c r="BW333" s="31">
        <v>0</v>
      </c>
      <c r="BX333" s="31">
        <v>0</v>
      </c>
      <c r="BY333" s="31">
        <v>0</v>
      </c>
      <c r="BZ333" s="31">
        <v>0</v>
      </c>
      <c r="CA333" s="31">
        <v>0</v>
      </c>
      <c r="CB333" s="31">
        <v>0</v>
      </c>
      <c r="CC333" s="31">
        <v>0</v>
      </c>
      <c r="CD333" s="31">
        <v>0</v>
      </c>
      <c r="CE333" s="31">
        <v>0</v>
      </c>
      <c r="CF333" s="31">
        <v>0</v>
      </c>
      <c r="CG333" s="31">
        <v>0</v>
      </c>
      <c r="CH333" s="31">
        <v>0</v>
      </c>
      <c r="CI333" s="31">
        <v>0</v>
      </c>
      <c r="CJ333" s="31">
        <v>0</v>
      </c>
      <c r="CK333" s="31">
        <v>0</v>
      </c>
      <c r="CL333" s="35">
        <v>0</v>
      </c>
    </row>
    <row r="334" spans="1:90" ht="21" x14ac:dyDescent="0.15">
      <c r="A334" s="27" t="s">
        <v>1670</v>
      </c>
      <c r="B334" s="28" t="s">
        <v>1671</v>
      </c>
      <c r="C334" s="28">
        <v>0</v>
      </c>
      <c r="D334" s="28">
        <v>0</v>
      </c>
      <c r="E334" s="28">
        <v>0</v>
      </c>
      <c r="F334" s="28">
        <v>0</v>
      </c>
      <c r="G334" s="28">
        <v>11</v>
      </c>
      <c r="H334" s="28">
        <f>IFERROR(VLOOKUP(A334,[1]FALTANTES!$A:$AB,28,FALSE),"-")</f>
        <v>0</v>
      </c>
      <c r="I334" s="42">
        <f>IFERROR(VLOOKUP(A334,[1]FALTANTES!$A:$AC,29,FALSE),"-")</f>
        <v>4</v>
      </c>
      <c r="J334" s="29">
        <f>IFERROR(VLOOKUP(A334,[1]FALTANTES!$A:$AD,30,FALSE),"-")</f>
        <v>-7</v>
      </c>
      <c r="K334" s="30">
        <v>0</v>
      </c>
      <c r="L334" s="30">
        <f t="shared" si="6"/>
        <v>4</v>
      </c>
      <c r="M334" s="31">
        <f>SUMIFS(METALFISA!$E:$E,METALFISA!$A:$A,'Faltantes Fevereiro- Metalfisa'!M$3,METALFISA!$B:$B,'Faltantes Fevereiro- Metalfisa'!$A334)</f>
        <v>0</v>
      </c>
      <c r="N334" s="31">
        <f>SUMIFS(METALFISA!$E:$E,METALFISA!$A:$A,'Faltantes Fevereiro- Metalfisa'!N$3,METALFISA!$B:$B,'Faltantes Fevereiro- Metalfisa'!$A334)</f>
        <v>0</v>
      </c>
      <c r="O334" s="31">
        <f>SUMIFS(METALFISA!$E:$E,METALFISA!$A:$A,'Faltantes Fevereiro- Metalfisa'!O$3,METALFISA!$B:$B,'Faltantes Fevereiro- Metalfisa'!$A334)</f>
        <v>0</v>
      </c>
      <c r="P334" s="31">
        <f>SUMIFS(METALFISA!$E:$E,METALFISA!$A:$A,'Faltantes Fevereiro- Metalfisa'!P$3,METALFISA!$B:$B,'Faltantes Fevereiro- Metalfisa'!$A334)</f>
        <v>0</v>
      </c>
      <c r="Q334" s="31">
        <f>SUMIFS(METALFISA!$E:$E,METALFISA!$A:$A,'Faltantes Fevereiro- Metalfisa'!Q$3,METALFISA!$B:$B,'Faltantes Fevereiro- Metalfisa'!$A334)</f>
        <v>0</v>
      </c>
      <c r="R334" s="31">
        <f>SUMIFS(METALFISA!$E:$E,METALFISA!$A:$A,'Faltantes Fevereiro- Metalfisa'!R$3,METALFISA!$B:$B,'Faltantes Fevereiro- Metalfisa'!$A334)</f>
        <v>0</v>
      </c>
      <c r="S334" s="31">
        <f>SUMIFS(METALFISA!$E:$E,METALFISA!$A:$A,'Faltantes Fevereiro- Metalfisa'!S$3,METALFISA!$B:$B,'Faltantes Fevereiro- Metalfisa'!$A334)</f>
        <v>0</v>
      </c>
      <c r="T334" s="31">
        <f>SUMIFS(METALFISA!$E:$E,METALFISA!$A:$A,'Faltantes Fevereiro- Metalfisa'!T$3,METALFISA!$B:$B,'Faltantes Fevereiro- Metalfisa'!$A334)</f>
        <v>0</v>
      </c>
      <c r="U334" s="31">
        <f>SUMIFS(METALFISA!$E:$E,METALFISA!$A:$A,'Faltantes Fevereiro- Metalfisa'!U$3,METALFISA!$B:$B,'Faltantes Fevereiro- Metalfisa'!$A334)</f>
        <v>0</v>
      </c>
      <c r="V334" s="31">
        <f>SUMIFS(METALFISA!$E:$E,METALFISA!$A:$A,'Faltantes Fevereiro- Metalfisa'!V$3,METALFISA!$B:$B,'Faltantes Fevereiro- Metalfisa'!$A334)</f>
        <v>0</v>
      </c>
      <c r="W334" s="31">
        <f>SUMIFS(METALFISA!$E:$E,METALFISA!$A:$A,'Faltantes Fevereiro- Metalfisa'!W$3,METALFISA!$B:$B,'Faltantes Fevereiro- Metalfisa'!$A334)</f>
        <v>0</v>
      </c>
      <c r="X334" s="31">
        <f>SUMIFS(METALFISA!$E:$E,METALFISA!$A:$A,'Faltantes Fevereiro- Metalfisa'!X$3,METALFISA!$B:$B,'Faltantes Fevereiro- Metalfisa'!$A334)</f>
        <v>0</v>
      </c>
      <c r="Y334" s="31">
        <f>SUMIFS(METALFISA!$E:$E,METALFISA!$A:$A,'Faltantes Fevereiro- Metalfisa'!Y$3,METALFISA!$B:$B,'Faltantes Fevereiro- Metalfisa'!$A334)</f>
        <v>0</v>
      </c>
      <c r="Z334" s="31">
        <f>SUMIFS(METALFISA!$E:$E,METALFISA!$A:$A,'Faltantes Fevereiro- Metalfisa'!Z$3,METALFISA!$B:$B,'Faltantes Fevereiro- Metalfisa'!$A334)</f>
        <v>0</v>
      </c>
      <c r="AA334" s="31">
        <f>SUMIFS(METALFISA!$E:$E,METALFISA!$A:$A,'Faltantes Fevereiro- Metalfisa'!AA$3,METALFISA!$B:$B,'Faltantes Fevereiro- Metalfisa'!$A334)</f>
        <v>0</v>
      </c>
      <c r="AB334" s="31">
        <f>SUMIFS(METALFISA!$E:$E,METALFISA!$A:$A,'Faltantes Fevereiro- Metalfisa'!AB$3,METALFISA!$B:$B,'Faltantes Fevereiro- Metalfisa'!$A334)</f>
        <v>0</v>
      </c>
      <c r="AC334" s="31">
        <f>SUMIFS(METALFISA!$E:$E,METALFISA!$A:$A,'Faltantes Fevereiro- Metalfisa'!AC$3,METALFISA!$B:$B,'Faltantes Fevereiro- Metalfisa'!$A334)</f>
        <v>0</v>
      </c>
      <c r="AD334" s="31">
        <f>SUMIFS(METALFISA!$E:$E,METALFISA!$A:$A,'Faltantes Fevereiro- Metalfisa'!AD$3,METALFISA!$B:$B,'Faltantes Fevereiro- Metalfisa'!$A334)</f>
        <v>0</v>
      </c>
      <c r="AE334" s="31">
        <f>SUMIFS(METALFISA!$E:$E,METALFISA!$A:$A,'Faltantes Fevereiro- Metalfisa'!AE$3,METALFISA!$B:$B,'Faltantes Fevereiro- Metalfisa'!$A334)</f>
        <v>4</v>
      </c>
      <c r="AF334" s="31">
        <f>SUMIFS(METALFISA!$E:$E,METALFISA!$A:$A,'Faltantes Fevereiro- Metalfisa'!AF$3,METALFISA!$B:$B,'Faltantes Fevereiro- Metalfisa'!$A334)</f>
        <v>0</v>
      </c>
      <c r="AG334" s="31">
        <f>SUMIFS(METALFISA!$E:$E,METALFISA!$A:$A,'Faltantes Fevereiro- Metalfisa'!AG$3,METALFISA!$B:$B,'Faltantes Fevereiro- Metalfisa'!$A334)</f>
        <v>0</v>
      </c>
      <c r="AH334" s="31">
        <f>SUMIFS(METALFISA!$E:$E,METALFISA!$A:$A,'Faltantes Fevereiro- Metalfisa'!AH$3,METALFISA!$B:$B,'Faltantes Fevereiro- Metalfisa'!$A334)</f>
        <v>0</v>
      </c>
      <c r="AI334" s="31">
        <f>SUMIFS(METALFISA!$E:$E,METALFISA!$A:$A,'Faltantes Fevereiro- Metalfisa'!AI$3,METALFISA!$B:$B,'Faltantes Fevereiro- Metalfisa'!$A334)</f>
        <v>0</v>
      </c>
      <c r="AJ334" s="31">
        <f>SUMIFS(METALFISA!$E:$E,METALFISA!$A:$A,'Faltantes Fevereiro- Metalfisa'!AJ$3,METALFISA!$B:$B,'Faltantes Fevereiro- Metalfisa'!$A334)</f>
        <v>0</v>
      </c>
      <c r="AK334" s="31">
        <f>SUMIFS(METALFISA!$E:$E,METALFISA!$A:$A,'Faltantes Fevereiro- Metalfisa'!AK$3,METALFISA!$B:$B,'Faltantes Fevereiro- Metalfisa'!$A334)</f>
        <v>0</v>
      </c>
      <c r="AL334" s="31">
        <f>SUMIFS(METALFISA!$E:$E,METALFISA!$A:$A,'Faltantes Fevereiro- Metalfisa'!AL$3,METALFISA!$B:$B,'Faltantes Fevereiro- Metalfisa'!$A334)</f>
        <v>0</v>
      </c>
      <c r="AM334" s="31">
        <f>SUMIFS(METALFISA!$E:$E,METALFISA!$A:$A,'Faltantes Fevereiro- Metalfisa'!AM$3,METALFISA!$B:$B,'Faltantes Fevereiro- Metalfisa'!$A334)</f>
        <v>0</v>
      </c>
      <c r="AN334" s="31">
        <f>SUMIFS(METALFISA!$E:$E,METALFISA!$A:$A,'Faltantes Fevereiro- Metalfisa'!AN$3,METALFISA!$B:$B,'Faltantes Fevereiro- Metalfisa'!$A334)</f>
        <v>0</v>
      </c>
      <c r="AO334" s="31">
        <f>SUMIFS(METALFISA!$E:$E,METALFISA!$A:$A,'Faltantes Fevereiro- Metalfisa'!AO$3,METALFISA!$B:$B,'Faltantes Fevereiro- Metalfisa'!$A334)</f>
        <v>0</v>
      </c>
      <c r="AP334" s="31">
        <f>SUMIFS(METALFISA!$E:$E,METALFISA!$A:$A,'Faltantes Fevereiro- Metalfisa'!AP$3,METALFISA!$B:$B,'Faltantes Fevereiro- Metalfisa'!$A334)</f>
        <v>0</v>
      </c>
      <c r="AQ334" s="31"/>
      <c r="AR334" s="31">
        <f>SUMIFS(METALFISA!$E:$E,METALFISA!$A:$A,'Faltantes Fevereiro- Metalfisa'!AR$3,METALFISA!$B:$B,'Faltantes Fevereiro- Metalfisa'!$A334)</f>
        <v>0</v>
      </c>
      <c r="AS334" s="35">
        <f>SUMIFS(METALFISA!$E:$E,METALFISA!$A:$A,'Faltantes Fevereiro- Metalfisa'!AS$3,METALFISA!$B:$B,'Faltantes Fevereiro- Metalfisa'!$A334)</f>
        <v>0</v>
      </c>
      <c r="AU334" s="18">
        <v>0</v>
      </c>
      <c r="AV334" s="18">
        <v>0</v>
      </c>
      <c r="AW334" s="18">
        <v>0</v>
      </c>
      <c r="AX334" s="18">
        <v>0</v>
      </c>
      <c r="AY334" s="41">
        <v>0</v>
      </c>
      <c r="AZ334" s="31">
        <v>0</v>
      </c>
      <c r="BA334" s="31">
        <v>0</v>
      </c>
      <c r="BB334" s="31">
        <v>0</v>
      </c>
      <c r="BC334" s="31">
        <v>0</v>
      </c>
      <c r="BD334" s="31">
        <v>0</v>
      </c>
      <c r="BE334" s="31">
        <v>0</v>
      </c>
      <c r="BF334" s="31">
        <v>0</v>
      </c>
      <c r="BG334" s="31">
        <v>0</v>
      </c>
      <c r="BH334" s="31">
        <v>0</v>
      </c>
      <c r="BI334" s="31">
        <v>0</v>
      </c>
      <c r="BJ334" s="31">
        <v>0</v>
      </c>
      <c r="BK334" s="31">
        <v>0</v>
      </c>
      <c r="BL334" s="31">
        <v>0</v>
      </c>
      <c r="BM334" s="31">
        <v>0</v>
      </c>
      <c r="BN334" s="31">
        <v>0</v>
      </c>
      <c r="BO334" s="31">
        <v>2</v>
      </c>
      <c r="BP334" s="31">
        <v>0</v>
      </c>
      <c r="BQ334" s="31">
        <v>0</v>
      </c>
      <c r="BR334" s="31">
        <v>0</v>
      </c>
      <c r="BS334" s="31">
        <v>0</v>
      </c>
      <c r="BT334" s="31">
        <v>0</v>
      </c>
      <c r="BU334" s="31">
        <v>0</v>
      </c>
      <c r="BV334" s="31">
        <v>0</v>
      </c>
      <c r="BW334" s="31">
        <v>0</v>
      </c>
      <c r="BX334" s="31">
        <v>0</v>
      </c>
      <c r="BY334" s="31">
        <v>0</v>
      </c>
      <c r="BZ334" s="31">
        <v>0</v>
      </c>
      <c r="CA334" s="31">
        <v>0</v>
      </c>
      <c r="CB334" s="31">
        <v>0</v>
      </c>
      <c r="CC334" s="31">
        <v>0</v>
      </c>
      <c r="CD334" s="31">
        <v>0</v>
      </c>
      <c r="CE334" s="31">
        <v>0</v>
      </c>
      <c r="CF334" s="31">
        <v>0</v>
      </c>
      <c r="CG334" s="31">
        <v>0</v>
      </c>
      <c r="CH334" s="31">
        <v>0</v>
      </c>
      <c r="CI334" s="31">
        <v>0</v>
      </c>
      <c r="CJ334" s="31">
        <v>0</v>
      </c>
      <c r="CK334" s="31">
        <v>0</v>
      </c>
      <c r="CL334" s="35">
        <v>0</v>
      </c>
    </row>
    <row r="335" spans="1:90" x14ac:dyDescent="0.15">
      <c r="A335" s="27" t="s">
        <v>1676</v>
      </c>
      <c r="B335" s="28" t="s">
        <v>1677</v>
      </c>
      <c r="C335" s="28">
        <v>4</v>
      </c>
      <c r="D335" s="28">
        <v>0</v>
      </c>
      <c r="E335" s="28">
        <v>0</v>
      </c>
      <c r="F335" s="28">
        <v>0</v>
      </c>
      <c r="G335" s="28">
        <v>18</v>
      </c>
      <c r="H335" s="28">
        <f>IFERROR(VLOOKUP(A335,[1]FALTANTES!$A:$AB,28,FALSE),"-")</f>
        <v>5</v>
      </c>
      <c r="I335" s="42">
        <f>IFERROR(VLOOKUP(A335,[1]FALTANTES!$A:$AC,29,FALSE),"-")</f>
        <v>0</v>
      </c>
      <c r="J335" s="29">
        <f>IFERROR(VLOOKUP(A335,[1]FALTANTES!$A:$AD,30,FALSE),"-")</f>
        <v>-22</v>
      </c>
      <c r="K335" s="30">
        <v>0</v>
      </c>
      <c r="L335" s="30">
        <f t="shared" si="6"/>
        <v>2</v>
      </c>
      <c r="M335" s="31">
        <f>SUMIFS(METALFISA!$E:$E,METALFISA!$A:$A,'Faltantes Fevereiro- Metalfisa'!M$3,METALFISA!$B:$B,'Faltantes Fevereiro- Metalfisa'!$A335)</f>
        <v>0</v>
      </c>
      <c r="N335" s="31">
        <f>SUMIFS(METALFISA!$E:$E,METALFISA!$A:$A,'Faltantes Fevereiro- Metalfisa'!N$3,METALFISA!$B:$B,'Faltantes Fevereiro- Metalfisa'!$A335)</f>
        <v>0</v>
      </c>
      <c r="O335" s="31">
        <f>SUMIFS(METALFISA!$E:$E,METALFISA!$A:$A,'Faltantes Fevereiro- Metalfisa'!O$3,METALFISA!$B:$B,'Faltantes Fevereiro- Metalfisa'!$A335)</f>
        <v>0</v>
      </c>
      <c r="P335" s="31">
        <f>SUMIFS(METALFISA!$E:$E,METALFISA!$A:$A,'Faltantes Fevereiro- Metalfisa'!P$3,METALFISA!$B:$B,'Faltantes Fevereiro- Metalfisa'!$A335)</f>
        <v>0</v>
      </c>
      <c r="Q335" s="31">
        <f>SUMIFS(METALFISA!$E:$E,METALFISA!$A:$A,'Faltantes Fevereiro- Metalfisa'!Q$3,METALFISA!$B:$B,'Faltantes Fevereiro- Metalfisa'!$A335)</f>
        <v>0</v>
      </c>
      <c r="R335" s="31">
        <f>SUMIFS(METALFISA!$E:$E,METALFISA!$A:$A,'Faltantes Fevereiro- Metalfisa'!R$3,METALFISA!$B:$B,'Faltantes Fevereiro- Metalfisa'!$A335)</f>
        <v>0</v>
      </c>
      <c r="S335" s="31">
        <f>SUMIFS(METALFISA!$E:$E,METALFISA!$A:$A,'Faltantes Fevereiro- Metalfisa'!S$3,METALFISA!$B:$B,'Faltantes Fevereiro- Metalfisa'!$A335)</f>
        <v>0</v>
      </c>
      <c r="T335" s="31">
        <f>SUMIFS(METALFISA!$E:$E,METALFISA!$A:$A,'Faltantes Fevereiro- Metalfisa'!T$3,METALFISA!$B:$B,'Faltantes Fevereiro- Metalfisa'!$A335)</f>
        <v>0</v>
      </c>
      <c r="U335" s="31">
        <f>SUMIFS(METALFISA!$E:$E,METALFISA!$A:$A,'Faltantes Fevereiro- Metalfisa'!U$3,METALFISA!$B:$B,'Faltantes Fevereiro- Metalfisa'!$A335)</f>
        <v>0</v>
      </c>
      <c r="V335" s="31">
        <f>SUMIFS(METALFISA!$E:$E,METALFISA!$A:$A,'Faltantes Fevereiro- Metalfisa'!V$3,METALFISA!$B:$B,'Faltantes Fevereiro- Metalfisa'!$A335)</f>
        <v>0</v>
      </c>
      <c r="W335" s="31">
        <f>SUMIFS(METALFISA!$E:$E,METALFISA!$A:$A,'Faltantes Fevereiro- Metalfisa'!W$3,METALFISA!$B:$B,'Faltantes Fevereiro- Metalfisa'!$A335)</f>
        <v>0</v>
      </c>
      <c r="X335" s="31">
        <f>SUMIFS(METALFISA!$E:$E,METALFISA!$A:$A,'Faltantes Fevereiro- Metalfisa'!X$3,METALFISA!$B:$B,'Faltantes Fevereiro- Metalfisa'!$A335)</f>
        <v>0</v>
      </c>
      <c r="Y335" s="31">
        <f>SUMIFS(METALFISA!$E:$E,METALFISA!$A:$A,'Faltantes Fevereiro- Metalfisa'!Y$3,METALFISA!$B:$B,'Faltantes Fevereiro- Metalfisa'!$A335)</f>
        <v>0</v>
      </c>
      <c r="Z335" s="31">
        <f>SUMIFS(METALFISA!$E:$E,METALFISA!$A:$A,'Faltantes Fevereiro- Metalfisa'!Z$3,METALFISA!$B:$B,'Faltantes Fevereiro- Metalfisa'!$A335)</f>
        <v>0</v>
      </c>
      <c r="AA335" s="31">
        <f>SUMIFS(METALFISA!$E:$E,METALFISA!$A:$A,'Faltantes Fevereiro- Metalfisa'!AA$3,METALFISA!$B:$B,'Faltantes Fevereiro- Metalfisa'!$A335)</f>
        <v>0</v>
      </c>
      <c r="AB335" s="31">
        <f>SUMIFS(METALFISA!$E:$E,METALFISA!$A:$A,'Faltantes Fevereiro- Metalfisa'!AB$3,METALFISA!$B:$B,'Faltantes Fevereiro- Metalfisa'!$A335)</f>
        <v>0</v>
      </c>
      <c r="AC335" s="31">
        <f>SUMIFS(METALFISA!$E:$E,METALFISA!$A:$A,'Faltantes Fevereiro- Metalfisa'!AC$3,METALFISA!$B:$B,'Faltantes Fevereiro- Metalfisa'!$A335)</f>
        <v>0</v>
      </c>
      <c r="AD335" s="31">
        <f>SUMIFS(METALFISA!$E:$E,METALFISA!$A:$A,'Faltantes Fevereiro- Metalfisa'!AD$3,METALFISA!$B:$B,'Faltantes Fevereiro- Metalfisa'!$A335)</f>
        <v>0</v>
      </c>
      <c r="AE335" s="31">
        <f>SUMIFS(METALFISA!$E:$E,METALFISA!$A:$A,'Faltantes Fevereiro- Metalfisa'!AE$3,METALFISA!$B:$B,'Faltantes Fevereiro- Metalfisa'!$A335)</f>
        <v>2</v>
      </c>
      <c r="AF335" s="31">
        <f>SUMIFS(METALFISA!$E:$E,METALFISA!$A:$A,'Faltantes Fevereiro- Metalfisa'!AF$3,METALFISA!$B:$B,'Faltantes Fevereiro- Metalfisa'!$A335)</f>
        <v>0</v>
      </c>
      <c r="AG335" s="31">
        <f>SUMIFS(METALFISA!$E:$E,METALFISA!$A:$A,'Faltantes Fevereiro- Metalfisa'!AG$3,METALFISA!$B:$B,'Faltantes Fevereiro- Metalfisa'!$A335)</f>
        <v>0</v>
      </c>
      <c r="AH335" s="31">
        <f>SUMIFS(METALFISA!$E:$E,METALFISA!$A:$A,'Faltantes Fevereiro- Metalfisa'!AH$3,METALFISA!$B:$B,'Faltantes Fevereiro- Metalfisa'!$A335)</f>
        <v>0</v>
      </c>
      <c r="AI335" s="31">
        <f>SUMIFS(METALFISA!$E:$E,METALFISA!$A:$A,'Faltantes Fevereiro- Metalfisa'!AI$3,METALFISA!$B:$B,'Faltantes Fevereiro- Metalfisa'!$A335)</f>
        <v>0</v>
      </c>
      <c r="AJ335" s="31">
        <f>SUMIFS(METALFISA!$E:$E,METALFISA!$A:$A,'Faltantes Fevereiro- Metalfisa'!AJ$3,METALFISA!$B:$B,'Faltantes Fevereiro- Metalfisa'!$A335)</f>
        <v>0</v>
      </c>
      <c r="AK335" s="31">
        <f>SUMIFS(METALFISA!$E:$E,METALFISA!$A:$A,'Faltantes Fevereiro- Metalfisa'!AK$3,METALFISA!$B:$B,'Faltantes Fevereiro- Metalfisa'!$A335)</f>
        <v>0</v>
      </c>
      <c r="AL335" s="31">
        <f>SUMIFS(METALFISA!$E:$E,METALFISA!$A:$A,'Faltantes Fevereiro- Metalfisa'!AL$3,METALFISA!$B:$B,'Faltantes Fevereiro- Metalfisa'!$A335)</f>
        <v>0</v>
      </c>
      <c r="AM335" s="31">
        <f>SUMIFS(METALFISA!$E:$E,METALFISA!$A:$A,'Faltantes Fevereiro- Metalfisa'!AM$3,METALFISA!$B:$B,'Faltantes Fevereiro- Metalfisa'!$A335)</f>
        <v>0</v>
      </c>
      <c r="AN335" s="31">
        <f>SUMIFS(METALFISA!$E:$E,METALFISA!$A:$A,'Faltantes Fevereiro- Metalfisa'!AN$3,METALFISA!$B:$B,'Faltantes Fevereiro- Metalfisa'!$A335)</f>
        <v>0</v>
      </c>
      <c r="AO335" s="31">
        <f>SUMIFS(METALFISA!$E:$E,METALFISA!$A:$A,'Faltantes Fevereiro- Metalfisa'!AO$3,METALFISA!$B:$B,'Faltantes Fevereiro- Metalfisa'!$A335)</f>
        <v>0</v>
      </c>
      <c r="AP335" s="31">
        <f>SUMIFS(METALFISA!$E:$E,METALFISA!$A:$A,'Faltantes Fevereiro- Metalfisa'!AP$3,METALFISA!$B:$B,'Faltantes Fevereiro- Metalfisa'!$A335)</f>
        <v>0</v>
      </c>
      <c r="AQ335" s="31"/>
      <c r="AR335" s="31">
        <f>SUMIFS(METALFISA!$E:$E,METALFISA!$A:$A,'Faltantes Fevereiro- Metalfisa'!AR$3,METALFISA!$B:$B,'Faltantes Fevereiro- Metalfisa'!$A335)</f>
        <v>0</v>
      </c>
      <c r="AS335" s="35">
        <f>SUMIFS(METALFISA!$E:$E,METALFISA!$A:$A,'Faltantes Fevereiro- Metalfisa'!AS$3,METALFISA!$B:$B,'Faltantes Fevereiro- Metalfisa'!$A335)</f>
        <v>0</v>
      </c>
      <c r="AU335" s="18">
        <v>0</v>
      </c>
      <c r="AV335" s="18">
        <v>0</v>
      </c>
      <c r="AW335" s="18">
        <v>0</v>
      </c>
      <c r="AX335" s="18">
        <v>0</v>
      </c>
      <c r="AY335" s="41">
        <v>0</v>
      </c>
      <c r="AZ335" s="31">
        <v>0</v>
      </c>
      <c r="BA335" s="31">
        <v>0</v>
      </c>
      <c r="BB335" s="31">
        <v>0</v>
      </c>
      <c r="BC335" s="31">
        <v>0</v>
      </c>
      <c r="BD335" s="31">
        <v>0</v>
      </c>
      <c r="BE335" s="31">
        <v>0</v>
      </c>
      <c r="BF335" s="31">
        <v>0</v>
      </c>
      <c r="BG335" s="31">
        <v>0</v>
      </c>
      <c r="BH335" s="31">
        <v>0</v>
      </c>
      <c r="BI335" s="31">
        <v>0</v>
      </c>
      <c r="BJ335" s="31">
        <v>0</v>
      </c>
      <c r="BK335" s="31">
        <v>0</v>
      </c>
      <c r="BL335" s="31">
        <v>0</v>
      </c>
      <c r="BM335" s="31">
        <v>0</v>
      </c>
      <c r="BN335" s="31">
        <v>2</v>
      </c>
      <c r="BO335" s="31">
        <v>2</v>
      </c>
      <c r="BP335" s="31">
        <v>0</v>
      </c>
      <c r="BQ335" s="31">
        <v>0</v>
      </c>
      <c r="BR335" s="31">
        <v>0</v>
      </c>
      <c r="BS335" s="31">
        <v>0</v>
      </c>
      <c r="BT335" s="31">
        <v>0</v>
      </c>
      <c r="BU335" s="31">
        <v>0</v>
      </c>
      <c r="BV335" s="31">
        <v>0</v>
      </c>
      <c r="BW335" s="31">
        <v>0</v>
      </c>
      <c r="BX335" s="31">
        <v>0</v>
      </c>
      <c r="BY335" s="31">
        <v>0</v>
      </c>
      <c r="BZ335" s="31">
        <v>0</v>
      </c>
      <c r="CA335" s="31">
        <v>0</v>
      </c>
      <c r="CB335" s="31">
        <v>0</v>
      </c>
      <c r="CC335" s="31">
        <v>0</v>
      </c>
      <c r="CD335" s="31">
        <v>0</v>
      </c>
      <c r="CE335" s="31">
        <v>0</v>
      </c>
      <c r="CF335" s="31">
        <v>0</v>
      </c>
      <c r="CG335" s="31">
        <v>0</v>
      </c>
      <c r="CH335" s="31">
        <v>0</v>
      </c>
      <c r="CI335" s="31">
        <v>0</v>
      </c>
      <c r="CJ335" s="31">
        <v>0</v>
      </c>
      <c r="CK335" s="31">
        <v>0</v>
      </c>
      <c r="CL335" s="35">
        <v>0</v>
      </c>
    </row>
    <row r="336" spans="1:90" x14ac:dyDescent="0.15">
      <c r="A336" s="27" t="s">
        <v>1679</v>
      </c>
      <c r="B336" s="28" t="s">
        <v>1680</v>
      </c>
      <c r="C336" s="28">
        <v>0</v>
      </c>
      <c r="D336" s="28">
        <v>0</v>
      </c>
      <c r="E336" s="28">
        <v>0</v>
      </c>
      <c r="F336" s="28">
        <v>0</v>
      </c>
      <c r="G336" s="28">
        <v>14</v>
      </c>
      <c r="H336" s="28">
        <f>IFERROR(VLOOKUP(A336,[1]FALTANTES!$A:$AB,28,FALSE),"-")</f>
        <v>0</v>
      </c>
      <c r="I336" s="42">
        <f>IFERROR(VLOOKUP(A336,[1]FALTANTES!$A:$AC,29,FALSE),"-")</f>
        <v>0</v>
      </c>
      <c r="J336" s="29">
        <f>IFERROR(VLOOKUP(A336,[1]FALTANTES!$A:$AD,30,FALSE),"-")</f>
        <v>-14</v>
      </c>
      <c r="K336" s="30">
        <v>0</v>
      </c>
      <c r="L336" s="30">
        <f t="shared" si="6"/>
        <v>2</v>
      </c>
      <c r="M336" s="31">
        <f>SUMIFS(METALFISA!$E:$E,METALFISA!$A:$A,'Faltantes Fevereiro- Metalfisa'!M$3,METALFISA!$B:$B,'Faltantes Fevereiro- Metalfisa'!$A336)</f>
        <v>0</v>
      </c>
      <c r="N336" s="31">
        <f>SUMIFS(METALFISA!$E:$E,METALFISA!$A:$A,'Faltantes Fevereiro- Metalfisa'!N$3,METALFISA!$B:$B,'Faltantes Fevereiro- Metalfisa'!$A336)</f>
        <v>0</v>
      </c>
      <c r="O336" s="31">
        <f>SUMIFS(METALFISA!$E:$E,METALFISA!$A:$A,'Faltantes Fevereiro- Metalfisa'!O$3,METALFISA!$B:$B,'Faltantes Fevereiro- Metalfisa'!$A336)</f>
        <v>0</v>
      </c>
      <c r="P336" s="31">
        <f>SUMIFS(METALFISA!$E:$E,METALFISA!$A:$A,'Faltantes Fevereiro- Metalfisa'!P$3,METALFISA!$B:$B,'Faltantes Fevereiro- Metalfisa'!$A336)</f>
        <v>0</v>
      </c>
      <c r="Q336" s="31">
        <f>SUMIFS(METALFISA!$E:$E,METALFISA!$A:$A,'Faltantes Fevereiro- Metalfisa'!Q$3,METALFISA!$B:$B,'Faltantes Fevereiro- Metalfisa'!$A336)</f>
        <v>0</v>
      </c>
      <c r="R336" s="31">
        <f>SUMIFS(METALFISA!$E:$E,METALFISA!$A:$A,'Faltantes Fevereiro- Metalfisa'!R$3,METALFISA!$B:$B,'Faltantes Fevereiro- Metalfisa'!$A336)</f>
        <v>0</v>
      </c>
      <c r="S336" s="31">
        <f>SUMIFS(METALFISA!$E:$E,METALFISA!$A:$A,'Faltantes Fevereiro- Metalfisa'!S$3,METALFISA!$B:$B,'Faltantes Fevereiro- Metalfisa'!$A336)</f>
        <v>0</v>
      </c>
      <c r="T336" s="31">
        <f>SUMIFS(METALFISA!$E:$E,METALFISA!$A:$A,'Faltantes Fevereiro- Metalfisa'!T$3,METALFISA!$B:$B,'Faltantes Fevereiro- Metalfisa'!$A336)</f>
        <v>0</v>
      </c>
      <c r="U336" s="31">
        <f>SUMIFS(METALFISA!$E:$E,METALFISA!$A:$A,'Faltantes Fevereiro- Metalfisa'!U$3,METALFISA!$B:$B,'Faltantes Fevereiro- Metalfisa'!$A336)</f>
        <v>0</v>
      </c>
      <c r="V336" s="31">
        <f>SUMIFS(METALFISA!$E:$E,METALFISA!$A:$A,'Faltantes Fevereiro- Metalfisa'!V$3,METALFISA!$B:$B,'Faltantes Fevereiro- Metalfisa'!$A336)</f>
        <v>0</v>
      </c>
      <c r="W336" s="31">
        <f>SUMIFS(METALFISA!$E:$E,METALFISA!$A:$A,'Faltantes Fevereiro- Metalfisa'!W$3,METALFISA!$B:$B,'Faltantes Fevereiro- Metalfisa'!$A336)</f>
        <v>0</v>
      </c>
      <c r="X336" s="31">
        <f>SUMIFS(METALFISA!$E:$E,METALFISA!$A:$A,'Faltantes Fevereiro- Metalfisa'!X$3,METALFISA!$B:$B,'Faltantes Fevereiro- Metalfisa'!$A336)</f>
        <v>0</v>
      </c>
      <c r="Y336" s="31">
        <f>SUMIFS(METALFISA!$E:$E,METALFISA!$A:$A,'Faltantes Fevereiro- Metalfisa'!Y$3,METALFISA!$B:$B,'Faltantes Fevereiro- Metalfisa'!$A336)</f>
        <v>0</v>
      </c>
      <c r="Z336" s="31">
        <f>SUMIFS(METALFISA!$E:$E,METALFISA!$A:$A,'Faltantes Fevereiro- Metalfisa'!Z$3,METALFISA!$B:$B,'Faltantes Fevereiro- Metalfisa'!$A336)</f>
        <v>0</v>
      </c>
      <c r="AA336" s="31">
        <f>SUMIFS(METALFISA!$E:$E,METALFISA!$A:$A,'Faltantes Fevereiro- Metalfisa'!AA$3,METALFISA!$B:$B,'Faltantes Fevereiro- Metalfisa'!$A336)</f>
        <v>0</v>
      </c>
      <c r="AB336" s="31">
        <f>SUMIFS(METALFISA!$E:$E,METALFISA!$A:$A,'Faltantes Fevereiro- Metalfisa'!AB$3,METALFISA!$B:$B,'Faltantes Fevereiro- Metalfisa'!$A336)</f>
        <v>0</v>
      </c>
      <c r="AC336" s="31">
        <f>SUMIFS(METALFISA!$E:$E,METALFISA!$A:$A,'Faltantes Fevereiro- Metalfisa'!AC$3,METALFISA!$B:$B,'Faltantes Fevereiro- Metalfisa'!$A336)</f>
        <v>0</v>
      </c>
      <c r="AD336" s="31">
        <f>SUMIFS(METALFISA!$E:$E,METALFISA!$A:$A,'Faltantes Fevereiro- Metalfisa'!AD$3,METALFISA!$B:$B,'Faltantes Fevereiro- Metalfisa'!$A336)</f>
        <v>0</v>
      </c>
      <c r="AE336" s="31">
        <f>SUMIFS(METALFISA!$E:$E,METALFISA!$A:$A,'Faltantes Fevereiro- Metalfisa'!AE$3,METALFISA!$B:$B,'Faltantes Fevereiro- Metalfisa'!$A336)</f>
        <v>2</v>
      </c>
      <c r="AF336" s="31">
        <f>SUMIFS(METALFISA!$E:$E,METALFISA!$A:$A,'Faltantes Fevereiro- Metalfisa'!AF$3,METALFISA!$B:$B,'Faltantes Fevereiro- Metalfisa'!$A336)</f>
        <v>0</v>
      </c>
      <c r="AG336" s="31">
        <f>SUMIFS(METALFISA!$E:$E,METALFISA!$A:$A,'Faltantes Fevereiro- Metalfisa'!AG$3,METALFISA!$B:$B,'Faltantes Fevereiro- Metalfisa'!$A336)</f>
        <v>0</v>
      </c>
      <c r="AH336" s="31">
        <f>SUMIFS(METALFISA!$E:$E,METALFISA!$A:$A,'Faltantes Fevereiro- Metalfisa'!AH$3,METALFISA!$B:$B,'Faltantes Fevereiro- Metalfisa'!$A336)</f>
        <v>0</v>
      </c>
      <c r="AI336" s="31">
        <f>SUMIFS(METALFISA!$E:$E,METALFISA!$A:$A,'Faltantes Fevereiro- Metalfisa'!AI$3,METALFISA!$B:$B,'Faltantes Fevereiro- Metalfisa'!$A336)</f>
        <v>0</v>
      </c>
      <c r="AJ336" s="31">
        <f>SUMIFS(METALFISA!$E:$E,METALFISA!$A:$A,'Faltantes Fevereiro- Metalfisa'!AJ$3,METALFISA!$B:$B,'Faltantes Fevereiro- Metalfisa'!$A336)</f>
        <v>0</v>
      </c>
      <c r="AK336" s="31">
        <f>SUMIFS(METALFISA!$E:$E,METALFISA!$A:$A,'Faltantes Fevereiro- Metalfisa'!AK$3,METALFISA!$B:$B,'Faltantes Fevereiro- Metalfisa'!$A336)</f>
        <v>0</v>
      </c>
      <c r="AL336" s="31">
        <f>SUMIFS(METALFISA!$E:$E,METALFISA!$A:$A,'Faltantes Fevereiro- Metalfisa'!AL$3,METALFISA!$B:$B,'Faltantes Fevereiro- Metalfisa'!$A336)</f>
        <v>0</v>
      </c>
      <c r="AM336" s="31">
        <f>SUMIFS(METALFISA!$E:$E,METALFISA!$A:$A,'Faltantes Fevereiro- Metalfisa'!AM$3,METALFISA!$B:$B,'Faltantes Fevereiro- Metalfisa'!$A336)</f>
        <v>0</v>
      </c>
      <c r="AN336" s="31">
        <f>SUMIFS(METALFISA!$E:$E,METALFISA!$A:$A,'Faltantes Fevereiro- Metalfisa'!AN$3,METALFISA!$B:$B,'Faltantes Fevereiro- Metalfisa'!$A336)</f>
        <v>0</v>
      </c>
      <c r="AO336" s="31">
        <f>SUMIFS(METALFISA!$E:$E,METALFISA!$A:$A,'Faltantes Fevereiro- Metalfisa'!AO$3,METALFISA!$B:$B,'Faltantes Fevereiro- Metalfisa'!$A336)</f>
        <v>0</v>
      </c>
      <c r="AP336" s="31">
        <f>SUMIFS(METALFISA!$E:$E,METALFISA!$A:$A,'Faltantes Fevereiro- Metalfisa'!AP$3,METALFISA!$B:$B,'Faltantes Fevereiro- Metalfisa'!$A336)</f>
        <v>0</v>
      </c>
      <c r="AQ336" s="31"/>
      <c r="AR336" s="31">
        <f>SUMIFS(METALFISA!$E:$E,METALFISA!$A:$A,'Faltantes Fevereiro- Metalfisa'!AR$3,METALFISA!$B:$B,'Faltantes Fevereiro- Metalfisa'!$A336)</f>
        <v>0</v>
      </c>
      <c r="AS336" s="35">
        <f>SUMIFS(METALFISA!$E:$E,METALFISA!$A:$A,'Faltantes Fevereiro- Metalfisa'!AS$3,METALFISA!$B:$B,'Faltantes Fevereiro- Metalfisa'!$A336)</f>
        <v>0</v>
      </c>
      <c r="AU336" s="18">
        <v>0</v>
      </c>
      <c r="AV336" s="18">
        <v>0</v>
      </c>
      <c r="AW336" s="18">
        <v>0</v>
      </c>
      <c r="AX336" s="18">
        <v>0</v>
      </c>
      <c r="AY336" s="41">
        <v>0</v>
      </c>
      <c r="AZ336" s="31">
        <v>0</v>
      </c>
      <c r="BA336" s="31">
        <v>0</v>
      </c>
      <c r="BB336" s="31">
        <v>0</v>
      </c>
      <c r="BC336" s="31">
        <v>0</v>
      </c>
      <c r="BD336" s="31">
        <v>0</v>
      </c>
      <c r="BE336" s="31">
        <v>0</v>
      </c>
      <c r="BF336" s="31">
        <v>0</v>
      </c>
      <c r="BG336" s="31">
        <v>0</v>
      </c>
      <c r="BH336" s="31">
        <v>0</v>
      </c>
      <c r="BI336" s="31">
        <v>0</v>
      </c>
      <c r="BJ336" s="31">
        <v>0</v>
      </c>
      <c r="BK336" s="31">
        <v>0</v>
      </c>
      <c r="BL336" s="31">
        <v>0</v>
      </c>
      <c r="BM336" s="31">
        <v>0</v>
      </c>
      <c r="BN336" s="31">
        <v>2</v>
      </c>
      <c r="BO336" s="31">
        <v>2</v>
      </c>
      <c r="BP336" s="31">
        <v>0</v>
      </c>
      <c r="BQ336" s="31">
        <v>0</v>
      </c>
      <c r="BR336" s="31">
        <v>0</v>
      </c>
      <c r="BS336" s="31">
        <v>0</v>
      </c>
      <c r="BT336" s="31">
        <v>0</v>
      </c>
      <c r="BU336" s="31">
        <v>0</v>
      </c>
      <c r="BV336" s="31">
        <v>0</v>
      </c>
      <c r="BW336" s="31">
        <v>0</v>
      </c>
      <c r="BX336" s="31">
        <v>0</v>
      </c>
      <c r="BY336" s="31">
        <v>0</v>
      </c>
      <c r="BZ336" s="31">
        <v>0</v>
      </c>
      <c r="CA336" s="31">
        <v>0</v>
      </c>
      <c r="CB336" s="31">
        <v>0</v>
      </c>
      <c r="CC336" s="31">
        <v>0</v>
      </c>
      <c r="CD336" s="31">
        <v>0</v>
      </c>
      <c r="CE336" s="31">
        <v>0</v>
      </c>
      <c r="CF336" s="31">
        <v>0</v>
      </c>
      <c r="CG336" s="31">
        <v>0</v>
      </c>
      <c r="CH336" s="31">
        <v>0</v>
      </c>
      <c r="CI336" s="31">
        <v>0</v>
      </c>
      <c r="CJ336" s="31">
        <v>0</v>
      </c>
      <c r="CK336" s="31">
        <v>0</v>
      </c>
      <c r="CL336" s="35">
        <v>0</v>
      </c>
    </row>
    <row r="337" spans="1:90" x14ac:dyDescent="0.15">
      <c r="A337" s="27" t="s">
        <v>1682</v>
      </c>
      <c r="B337" s="28" t="s">
        <v>1683</v>
      </c>
      <c r="C337" s="28">
        <v>4</v>
      </c>
      <c r="D337" s="28">
        <v>0</v>
      </c>
      <c r="E337" s="28">
        <v>0</v>
      </c>
      <c r="F337" s="28">
        <v>0</v>
      </c>
      <c r="G337" s="28">
        <v>18</v>
      </c>
      <c r="H337" s="28">
        <f>IFERROR(VLOOKUP(A337,[1]FALTANTES!$A:$AB,28,FALSE),"-")</f>
        <v>4</v>
      </c>
      <c r="I337" s="42">
        <f>IFERROR(VLOOKUP(A337,[1]FALTANTES!$A:$AC,29,FALSE),"-")</f>
        <v>0</v>
      </c>
      <c r="J337" s="29">
        <f>IFERROR(VLOOKUP(A337,[1]FALTANTES!$A:$AD,30,FALSE),"-")</f>
        <v>-22</v>
      </c>
      <c r="K337" s="30">
        <v>0</v>
      </c>
      <c r="L337" s="30">
        <f t="shared" si="6"/>
        <v>2</v>
      </c>
      <c r="M337" s="31">
        <f>SUMIFS(METALFISA!$E:$E,METALFISA!$A:$A,'Faltantes Fevereiro- Metalfisa'!M$3,METALFISA!$B:$B,'Faltantes Fevereiro- Metalfisa'!$A337)</f>
        <v>0</v>
      </c>
      <c r="N337" s="31">
        <f>SUMIFS(METALFISA!$E:$E,METALFISA!$A:$A,'Faltantes Fevereiro- Metalfisa'!N$3,METALFISA!$B:$B,'Faltantes Fevereiro- Metalfisa'!$A337)</f>
        <v>0</v>
      </c>
      <c r="O337" s="31">
        <f>SUMIFS(METALFISA!$E:$E,METALFISA!$A:$A,'Faltantes Fevereiro- Metalfisa'!O$3,METALFISA!$B:$B,'Faltantes Fevereiro- Metalfisa'!$A337)</f>
        <v>0</v>
      </c>
      <c r="P337" s="31">
        <f>SUMIFS(METALFISA!$E:$E,METALFISA!$A:$A,'Faltantes Fevereiro- Metalfisa'!P$3,METALFISA!$B:$B,'Faltantes Fevereiro- Metalfisa'!$A337)</f>
        <v>0</v>
      </c>
      <c r="Q337" s="31">
        <f>SUMIFS(METALFISA!$E:$E,METALFISA!$A:$A,'Faltantes Fevereiro- Metalfisa'!Q$3,METALFISA!$B:$B,'Faltantes Fevereiro- Metalfisa'!$A337)</f>
        <v>0</v>
      </c>
      <c r="R337" s="31">
        <f>SUMIFS(METALFISA!$E:$E,METALFISA!$A:$A,'Faltantes Fevereiro- Metalfisa'!R$3,METALFISA!$B:$B,'Faltantes Fevereiro- Metalfisa'!$A337)</f>
        <v>0</v>
      </c>
      <c r="S337" s="31">
        <f>SUMIFS(METALFISA!$E:$E,METALFISA!$A:$A,'Faltantes Fevereiro- Metalfisa'!S$3,METALFISA!$B:$B,'Faltantes Fevereiro- Metalfisa'!$A337)</f>
        <v>0</v>
      </c>
      <c r="T337" s="31">
        <f>SUMIFS(METALFISA!$E:$E,METALFISA!$A:$A,'Faltantes Fevereiro- Metalfisa'!T$3,METALFISA!$B:$B,'Faltantes Fevereiro- Metalfisa'!$A337)</f>
        <v>0</v>
      </c>
      <c r="U337" s="31">
        <f>SUMIFS(METALFISA!$E:$E,METALFISA!$A:$A,'Faltantes Fevereiro- Metalfisa'!U$3,METALFISA!$B:$B,'Faltantes Fevereiro- Metalfisa'!$A337)</f>
        <v>0</v>
      </c>
      <c r="V337" s="31">
        <f>SUMIFS(METALFISA!$E:$E,METALFISA!$A:$A,'Faltantes Fevereiro- Metalfisa'!V$3,METALFISA!$B:$B,'Faltantes Fevereiro- Metalfisa'!$A337)</f>
        <v>0</v>
      </c>
      <c r="W337" s="31">
        <f>SUMIFS(METALFISA!$E:$E,METALFISA!$A:$A,'Faltantes Fevereiro- Metalfisa'!W$3,METALFISA!$B:$B,'Faltantes Fevereiro- Metalfisa'!$A337)</f>
        <v>0</v>
      </c>
      <c r="X337" s="31">
        <f>SUMIFS(METALFISA!$E:$E,METALFISA!$A:$A,'Faltantes Fevereiro- Metalfisa'!X$3,METALFISA!$B:$B,'Faltantes Fevereiro- Metalfisa'!$A337)</f>
        <v>0</v>
      </c>
      <c r="Y337" s="31">
        <f>SUMIFS(METALFISA!$E:$E,METALFISA!$A:$A,'Faltantes Fevereiro- Metalfisa'!Y$3,METALFISA!$B:$B,'Faltantes Fevereiro- Metalfisa'!$A337)</f>
        <v>0</v>
      </c>
      <c r="Z337" s="31">
        <f>SUMIFS(METALFISA!$E:$E,METALFISA!$A:$A,'Faltantes Fevereiro- Metalfisa'!Z$3,METALFISA!$B:$B,'Faltantes Fevereiro- Metalfisa'!$A337)</f>
        <v>0</v>
      </c>
      <c r="AA337" s="31">
        <f>SUMIFS(METALFISA!$E:$E,METALFISA!$A:$A,'Faltantes Fevereiro- Metalfisa'!AA$3,METALFISA!$B:$B,'Faltantes Fevereiro- Metalfisa'!$A337)</f>
        <v>0</v>
      </c>
      <c r="AB337" s="31">
        <f>SUMIFS(METALFISA!$E:$E,METALFISA!$A:$A,'Faltantes Fevereiro- Metalfisa'!AB$3,METALFISA!$B:$B,'Faltantes Fevereiro- Metalfisa'!$A337)</f>
        <v>0</v>
      </c>
      <c r="AC337" s="31">
        <f>SUMIFS(METALFISA!$E:$E,METALFISA!$A:$A,'Faltantes Fevereiro- Metalfisa'!AC$3,METALFISA!$B:$B,'Faltantes Fevereiro- Metalfisa'!$A337)</f>
        <v>0</v>
      </c>
      <c r="AD337" s="31">
        <f>SUMIFS(METALFISA!$E:$E,METALFISA!$A:$A,'Faltantes Fevereiro- Metalfisa'!AD$3,METALFISA!$B:$B,'Faltantes Fevereiro- Metalfisa'!$A337)</f>
        <v>0</v>
      </c>
      <c r="AE337" s="31">
        <f>SUMIFS(METALFISA!$E:$E,METALFISA!$A:$A,'Faltantes Fevereiro- Metalfisa'!AE$3,METALFISA!$B:$B,'Faltantes Fevereiro- Metalfisa'!$A337)</f>
        <v>2</v>
      </c>
      <c r="AF337" s="31">
        <f>SUMIFS(METALFISA!$E:$E,METALFISA!$A:$A,'Faltantes Fevereiro- Metalfisa'!AF$3,METALFISA!$B:$B,'Faltantes Fevereiro- Metalfisa'!$A337)</f>
        <v>0</v>
      </c>
      <c r="AG337" s="31">
        <f>SUMIFS(METALFISA!$E:$E,METALFISA!$A:$A,'Faltantes Fevereiro- Metalfisa'!AG$3,METALFISA!$B:$B,'Faltantes Fevereiro- Metalfisa'!$A337)</f>
        <v>0</v>
      </c>
      <c r="AH337" s="31">
        <f>SUMIFS(METALFISA!$E:$E,METALFISA!$A:$A,'Faltantes Fevereiro- Metalfisa'!AH$3,METALFISA!$B:$B,'Faltantes Fevereiro- Metalfisa'!$A337)</f>
        <v>0</v>
      </c>
      <c r="AI337" s="31">
        <f>SUMIFS(METALFISA!$E:$E,METALFISA!$A:$A,'Faltantes Fevereiro- Metalfisa'!AI$3,METALFISA!$B:$B,'Faltantes Fevereiro- Metalfisa'!$A337)</f>
        <v>0</v>
      </c>
      <c r="AJ337" s="31">
        <f>SUMIFS(METALFISA!$E:$E,METALFISA!$A:$A,'Faltantes Fevereiro- Metalfisa'!AJ$3,METALFISA!$B:$B,'Faltantes Fevereiro- Metalfisa'!$A337)</f>
        <v>0</v>
      </c>
      <c r="AK337" s="31">
        <f>SUMIFS(METALFISA!$E:$E,METALFISA!$A:$A,'Faltantes Fevereiro- Metalfisa'!AK$3,METALFISA!$B:$B,'Faltantes Fevereiro- Metalfisa'!$A337)</f>
        <v>0</v>
      </c>
      <c r="AL337" s="31">
        <f>SUMIFS(METALFISA!$E:$E,METALFISA!$A:$A,'Faltantes Fevereiro- Metalfisa'!AL$3,METALFISA!$B:$B,'Faltantes Fevereiro- Metalfisa'!$A337)</f>
        <v>0</v>
      </c>
      <c r="AM337" s="31">
        <f>SUMIFS(METALFISA!$E:$E,METALFISA!$A:$A,'Faltantes Fevereiro- Metalfisa'!AM$3,METALFISA!$B:$B,'Faltantes Fevereiro- Metalfisa'!$A337)</f>
        <v>0</v>
      </c>
      <c r="AN337" s="31">
        <f>SUMIFS(METALFISA!$E:$E,METALFISA!$A:$A,'Faltantes Fevereiro- Metalfisa'!AN$3,METALFISA!$B:$B,'Faltantes Fevereiro- Metalfisa'!$A337)</f>
        <v>0</v>
      </c>
      <c r="AO337" s="31">
        <f>SUMIFS(METALFISA!$E:$E,METALFISA!$A:$A,'Faltantes Fevereiro- Metalfisa'!AO$3,METALFISA!$B:$B,'Faltantes Fevereiro- Metalfisa'!$A337)</f>
        <v>0</v>
      </c>
      <c r="AP337" s="31">
        <f>SUMIFS(METALFISA!$E:$E,METALFISA!$A:$A,'Faltantes Fevereiro- Metalfisa'!AP$3,METALFISA!$B:$B,'Faltantes Fevereiro- Metalfisa'!$A337)</f>
        <v>0</v>
      </c>
      <c r="AQ337" s="31"/>
      <c r="AR337" s="31">
        <f>SUMIFS(METALFISA!$E:$E,METALFISA!$A:$A,'Faltantes Fevereiro- Metalfisa'!AR$3,METALFISA!$B:$B,'Faltantes Fevereiro- Metalfisa'!$A337)</f>
        <v>0</v>
      </c>
      <c r="AS337" s="35">
        <f>SUMIFS(METALFISA!$E:$E,METALFISA!$A:$A,'Faltantes Fevereiro- Metalfisa'!AS$3,METALFISA!$B:$B,'Faltantes Fevereiro- Metalfisa'!$A337)</f>
        <v>0</v>
      </c>
      <c r="AU337" s="18">
        <v>0</v>
      </c>
      <c r="AV337" s="18">
        <v>0</v>
      </c>
      <c r="AW337" s="18">
        <v>0</v>
      </c>
      <c r="AX337" s="18">
        <v>0</v>
      </c>
      <c r="AY337" s="41">
        <v>0</v>
      </c>
      <c r="AZ337" s="31">
        <v>0</v>
      </c>
      <c r="BA337" s="31">
        <v>0</v>
      </c>
      <c r="BB337" s="31">
        <v>0</v>
      </c>
      <c r="BC337" s="31">
        <v>0</v>
      </c>
      <c r="BD337" s="31">
        <v>0</v>
      </c>
      <c r="BE337" s="31">
        <v>0</v>
      </c>
      <c r="BF337" s="31">
        <v>0</v>
      </c>
      <c r="BG337" s="31">
        <v>0</v>
      </c>
      <c r="BH337" s="31">
        <v>0</v>
      </c>
      <c r="BI337" s="31">
        <v>0</v>
      </c>
      <c r="BJ337" s="31">
        <v>0</v>
      </c>
      <c r="BK337" s="31">
        <v>0</v>
      </c>
      <c r="BL337" s="31">
        <v>0</v>
      </c>
      <c r="BM337" s="31">
        <v>0</v>
      </c>
      <c r="BN337" s="31">
        <v>2</v>
      </c>
      <c r="BO337" s="31">
        <v>2</v>
      </c>
      <c r="BP337" s="31">
        <v>0</v>
      </c>
      <c r="BQ337" s="31">
        <v>0</v>
      </c>
      <c r="BR337" s="31">
        <v>0</v>
      </c>
      <c r="BS337" s="31">
        <v>0</v>
      </c>
      <c r="BT337" s="31">
        <v>0</v>
      </c>
      <c r="BU337" s="31">
        <v>0</v>
      </c>
      <c r="BV337" s="31">
        <v>0</v>
      </c>
      <c r="BW337" s="31">
        <v>0</v>
      </c>
      <c r="BX337" s="31">
        <v>0</v>
      </c>
      <c r="BY337" s="31">
        <v>0</v>
      </c>
      <c r="BZ337" s="31">
        <v>0</v>
      </c>
      <c r="CA337" s="31">
        <v>0</v>
      </c>
      <c r="CB337" s="31">
        <v>0</v>
      </c>
      <c r="CC337" s="31">
        <v>0</v>
      </c>
      <c r="CD337" s="31">
        <v>0</v>
      </c>
      <c r="CE337" s="31">
        <v>0</v>
      </c>
      <c r="CF337" s="31">
        <v>0</v>
      </c>
      <c r="CG337" s="31">
        <v>0</v>
      </c>
      <c r="CH337" s="31">
        <v>0</v>
      </c>
      <c r="CI337" s="31">
        <v>0</v>
      </c>
      <c r="CJ337" s="31">
        <v>0</v>
      </c>
      <c r="CK337" s="31">
        <v>0</v>
      </c>
      <c r="CL337" s="35">
        <v>0</v>
      </c>
    </row>
    <row r="338" spans="1:90" x14ac:dyDescent="0.15">
      <c r="A338" s="31" t="s">
        <v>1689</v>
      </c>
      <c r="B338" s="30" t="s">
        <v>1690</v>
      </c>
      <c r="C338" s="28">
        <v>0</v>
      </c>
      <c r="D338" s="28">
        <v>0</v>
      </c>
      <c r="E338" s="28">
        <v>0</v>
      </c>
      <c r="F338" s="28">
        <v>0</v>
      </c>
      <c r="G338" s="28">
        <v>8</v>
      </c>
      <c r="H338" s="28">
        <f>IFERROR(VLOOKUP(A338,[1]FALTANTES!$A:$AB,28,FALSE),"-")</f>
        <v>0</v>
      </c>
      <c r="I338" s="42">
        <f>IFERROR(VLOOKUP(A338,[1]FALTANTES!$A:$AC,29,FALSE),"-")</f>
        <v>0</v>
      </c>
      <c r="J338" s="29">
        <f>IFERROR(VLOOKUP(A338,[1]FALTANTES!$A:$AD,30,FALSE),"-")</f>
        <v>-8</v>
      </c>
      <c r="K338" s="30">
        <v>0</v>
      </c>
      <c r="L338" s="30">
        <f t="shared" si="6"/>
        <v>2</v>
      </c>
      <c r="M338" s="31">
        <f>SUMIFS(METALFISA!$E:$E,METALFISA!$A:$A,'Faltantes Fevereiro- Metalfisa'!M$3,METALFISA!$B:$B,'Faltantes Fevereiro- Metalfisa'!$A338)</f>
        <v>0</v>
      </c>
      <c r="N338" s="31">
        <f>SUMIFS(METALFISA!$E:$E,METALFISA!$A:$A,'Faltantes Fevereiro- Metalfisa'!N$3,METALFISA!$B:$B,'Faltantes Fevereiro- Metalfisa'!$A338)</f>
        <v>0</v>
      </c>
      <c r="O338" s="31">
        <f>SUMIFS(METALFISA!$E:$E,METALFISA!$A:$A,'Faltantes Fevereiro- Metalfisa'!O$3,METALFISA!$B:$B,'Faltantes Fevereiro- Metalfisa'!$A338)</f>
        <v>0</v>
      </c>
      <c r="P338" s="31">
        <f>SUMIFS(METALFISA!$E:$E,METALFISA!$A:$A,'Faltantes Fevereiro- Metalfisa'!P$3,METALFISA!$B:$B,'Faltantes Fevereiro- Metalfisa'!$A338)</f>
        <v>0</v>
      </c>
      <c r="Q338" s="31">
        <f>SUMIFS(METALFISA!$E:$E,METALFISA!$A:$A,'Faltantes Fevereiro- Metalfisa'!Q$3,METALFISA!$B:$B,'Faltantes Fevereiro- Metalfisa'!$A338)</f>
        <v>0</v>
      </c>
      <c r="R338" s="31">
        <f>SUMIFS(METALFISA!$E:$E,METALFISA!$A:$A,'Faltantes Fevereiro- Metalfisa'!R$3,METALFISA!$B:$B,'Faltantes Fevereiro- Metalfisa'!$A338)</f>
        <v>0</v>
      </c>
      <c r="S338" s="31">
        <f>SUMIFS(METALFISA!$E:$E,METALFISA!$A:$A,'Faltantes Fevereiro- Metalfisa'!S$3,METALFISA!$B:$B,'Faltantes Fevereiro- Metalfisa'!$A338)</f>
        <v>0</v>
      </c>
      <c r="T338" s="31">
        <f>SUMIFS(METALFISA!$E:$E,METALFISA!$A:$A,'Faltantes Fevereiro- Metalfisa'!T$3,METALFISA!$B:$B,'Faltantes Fevereiro- Metalfisa'!$A338)</f>
        <v>0</v>
      </c>
      <c r="U338" s="31">
        <f>SUMIFS(METALFISA!$E:$E,METALFISA!$A:$A,'Faltantes Fevereiro- Metalfisa'!U$3,METALFISA!$B:$B,'Faltantes Fevereiro- Metalfisa'!$A338)</f>
        <v>0</v>
      </c>
      <c r="V338" s="31">
        <f>SUMIFS(METALFISA!$E:$E,METALFISA!$A:$A,'Faltantes Fevereiro- Metalfisa'!V$3,METALFISA!$B:$B,'Faltantes Fevereiro- Metalfisa'!$A338)</f>
        <v>0</v>
      </c>
      <c r="W338" s="31">
        <f>SUMIFS(METALFISA!$E:$E,METALFISA!$A:$A,'Faltantes Fevereiro- Metalfisa'!W$3,METALFISA!$B:$B,'Faltantes Fevereiro- Metalfisa'!$A338)</f>
        <v>0</v>
      </c>
      <c r="X338" s="31">
        <f>SUMIFS(METALFISA!$E:$E,METALFISA!$A:$A,'Faltantes Fevereiro- Metalfisa'!X$3,METALFISA!$B:$B,'Faltantes Fevereiro- Metalfisa'!$A338)</f>
        <v>0</v>
      </c>
      <c r="Y338" s="31">
        <f>SUMIFS(METALFISA!$E:$E,METALFISA!$A:$A,'Faltantes Fevereiro- Metalfisa'!Y$3,METALFISA!$B:$B,'Faltantes Fevereiro- Metalfisa'!$A338)</f>
        <v>0</v>
      </c>
      <c r="Z338" s="31">
        <f>SUMIFS(METALFISA!$E:$E,METALFISA!$A:$A,'Faltantes Fevereiro- Metalfisa'!Z$3,METALFISA!$B:$B,'Faltantes Fevereiro- Metalfisa'!$A338)</f>
        <v>0</v>
      </c>
      <c r="AA338" s="31">
        <f>SUMIFS(METALFISA!$E:$E,METALFISA!$A:$A,'Faltantes Fevereiro- Metalfisa'!AA$3,METALFISA!$B:$B,'Faltantes Fevereiro- Metalfisa'!$A338)</f>
        <v>0</v>
      </c>
      <c r="AB338" s="31">
        <f>SUMIFS(METALFISA!$E:$E,METALFISA!$A:$A,'Faltantes Fevereiro- Metalfisa'!AB$3,METALFISA!$B:$B,'Faltantes Fevereiro- Metalfisa'!$A338)</f>
        <v>0</v>
      </c>
      <c r="AC338" s="31">
        <f>SUMIFS(METALFISA!$E:$E,METALFISA!$A:$A,'Faltantes Fevereiro- Metalfisa'!AC$3,METALFISA!$B:$B,'Faltantes Fevereiro- Metalfisa'!$A338)</f>
        <v>0</v>
      </c>
      <c r="AD338" s="31">
        <f>SUMIFS(METALFISA!$E:$E,METALFISA!$A:$A,'Faltantes Fevereiro- Metalfisa'!AD$3,METALFISA!$B:$B,'Faltantes Fevereiro- Metalfisa'!$A338)</f>
        <v>0</v>
      </c>
      <c r="AE338" s="31">
        <f>SUMIFS(METALFISA!$E:$E,METALFISA!$A:$A,'Faltantes Fevereiro- Metalfisa'!AE$3,METALFISA!$B:$B,'Faltantes Fevereiro- Metalfisa'!$A338)</f>
        <v>2</v>
      </c>
      <c r="AF338" s="31">
        <f>SUMIFS(METALFISA!$E:$E,METALFISA!$A:$A,'Faltantes Fevereiro- Metalfisa'!AF$3,METALFISA!$B:$B,'Faltantes Fevereiro- Metalfisa'!$A338)</f>
        <v>0</v>
      </c>
      <c r="AG338" s="31">
        <f>SUMIFS(METALFISA!$E:$E,METALFISA!$A:$A,'Faltantes Fevereiro- Metalfisa'!AG$3,METALFISA!$B:$B,'Faltantes Fevereiro- Metalfisa'!$A338)</f>
        <v>0</v>
      </c>
      <c r="AH338" s="31">
        <f>SUMIFS(METALFISA!$E:$E,METALFISA!$A:$A,'Faltantes Fevereiro- Metalfisa'!AH$3,METALFISA!$B:$B,'Faltantes Fevereiro- Metalfisa'!$A338)</f>
        <v>0</v>
      </c>
      <c r="AI338" s="31">
        <f>SUMIFS(METALFISA!$E:$E,METALFISA!$A:$A,'Faltantes Fevereiro- Metalfisa'!AI$3,METALFISA!$B:$B,'Faltantes Fevereiro- Metalfisa'!$A338)</f>
        <v>0</v>
      </c>
      <c r="AJ338" s="31">
        <f>SUMIFS(METALFISA!$E:$E,METALFISA!$A:$A,'Faltantes Fevereiro- Metalfisa'!AJ$3,METALFISA!$B:$B,'Faltantes Fevereiro- Metalfisa'!$A338)</f>
        <v>0</v>
      </c>
      <c r="AK338" s="31">
        <f>SUMIFS(METALFISA!$E:$E,METALFISA!$A:$A,'Faltantes Fevereiro- Metalfisa'!AK$3,METALFISA!$B:$B,'Faltantes Fevereiro- Metalfisa'!$A338)</f>
        <v>0</v>
      </c>
      <c r="AL338" s="31">
        <f>SUMIFS(METALFISA!$E:$E,METALFISA!$A:$A,'Faltantes Fevereiro- Metalfisa'!AL$3,METALFISA!$B:$B,'Faltantes Fevereiro- Metalfisa'!$A338)</f>
        <v>0</v>
      </c>
      <c r="AM338" s="31">
        <f>SUMIFS(METALFISA!$E:$E,METALFISA!$A:$A,'Faltantes Fevereiro- Metalfisa'!AM$3,METALFISA!$B:$B,'Faltantes Fevereiro- Metalfisa'!$A338)</f>
        <v>0</v>
      </c>
      <c r="AN338" s="31">
        <f>SUMIFS(METALFISA!$E:$E,METALFISA!$A:$A,'Faltantes Fevereiro- Metalfisa'!AN$3,METALFISA!$B:$B,'Faltantes Fevereiro- Metalfisa'!$A338)</f>
        <v>0</v>
      </c>
      <c r="AO338" s="31">
        <f>SUMIFS(METALFISA!$E:$E,METALFISA!$A:$A,'Faltantes Fevereiro- Metalfisa'!AO$3,METALFISA!$B:$B,'Faltantes Fevereiro- Metalfisa'!$A338)</f>
        <v>0</v>
      </c>
      <c r="AP338" s="31">
        <f>SUMIFS(METALFISA!$E:$E,METALFISA!$A:$A,'Faltantes Fevereiro- Metalfisa'!AP$3,METALFISA!$B:$B,'Faltantes Fevereiro- Metalfisa'!$A338)</f>
        <v>0</v>
      </c>
      <c r="AQ338" s="31"/>
      <c r="AR338" s="31"/>
      <c r="AS338" s="35"/>
      <c r="AY338" s="41">
        <v>0</v>
      </c>
      <c r="AZ338" s="31">
        <v>0</v>
      </c>
      <c r="BA338" s="31">
        <v>0</v>
      </c>
      <c r="BB338" s="31">
        <v>0</v>
      </c>
      <c r="BC338" s="31">
        <v>0</v>
      </c>
      <c r="BD338" s="31">
        <v>0</v>
      </c>
      <c r="BE338" s="31">
        <v>0</v>
      </c>
      <c r="BF338" s="31">
        <v>0</v>
      </c>
      <c r="BG338" s="31">
        <v>0</v>
      </c>
      <c r="BH338" s="31">
        <v>0</v>
      </c>
      <c r="BI338" s="31">
        <v>0</v>
      </c>
      <c r="BJ338" s="31">
        <v>0</v>
      </c>
      <c r="BK338" s="31">
        <v>0</v>
      </c>
      <c r="BL338" s="31">
        <v>0</v>
      </c>
      <c r="BM338" s="31">
        <v>0</v>
      </c>
      <c r="BN338" s="31">
        <v>1</v>
      </c>
      <c r="BO338" s="31">
        <v>1</v>
      </c>
      <c r="BP338" s="31">
        <v>0</v>
      </c>
      <c r="BQ338" s="31">
        <v>0</v>
      </c>
      <c r="BR338" s="31">
        <v>0</v>
      </c>
      <c r="BS338" s="31">
        <v>0</v>
      </c>
      <c r="BT338" s="31">
        <v>0</v>
      </c>
      <c r="BU338" s="31">
        <v>0</v>
      </c>
      <c r="BV338" s="31">
        <v>0</v>
      </c>
      <c r="BW338" s="31">
        <v>0</v>
      </c>
      <c r="BX338" s="31">
        <v>0</v>
      </c>
      <c r="BY338" s="31">
        <v>0</v>
      </c>
      <c r="BZ338" s="31">
        <v>0</v>
      </c>
      <c r="CA338" s="31">
        <v>0</v>
      </c>
      <c r="CB338" s="31">
        <v>0</v>
      </c>
      <c r="CC338" s="31">
        <v>0</v>
      </c>
      <c r="CD338" s="31">
        <v>0</v>
      </c>
      <c r="CE338" s="31">
        <v>0</v>
      </c>
      <c r="CF338" s="31">
        <v>0</v>
      </c>
      <c r="CG338" s="31">
        <v>0</v>
      </c>
      <c r="CH338" s="31">
        <v>0</v>
      </c>
      <c r="CI338" s="31">
        <v>0</v>
      </c>
      <c r="CJ338" s="31">
        <v>0</v>
      </c>
      <c r="CK338" s="31">
        <v>0</v>
      </c>
      <c r="CL338" s="35">
        <v>0</v>
      </c>
    </row>
    <row r="339" spans="1:90" x14ac:dyDescent="0.15">
      <c r="A339" s="31" t="s">
        <v>1692</v>
      </c>
      <c r="B339" s="30" t="s">
        <v>1693</v>
      </c>
      <c r="C339" s="28">
        <v>0</v>
      </c>
      <c r="D339" s="28">
        <v>0</v>
      </c>
      <c r="E339" s="28">
        <v>0</v>
      </c>
      <c r="F339" s="28">
        <v>0</v>
      </c>
      <c r="G339" s="28">
        <v>9</v>
      </c>
      <c r="H339" s="28">
        <f>IFERROR(VLOOKUP(A339,[1]FALTANTES!$A:$AB,28,FALSE),"-")</f>
        <v>0</v>
      </c>
      <c r="I339" s="42">
        <f>IFERROR(VLOOKUP(A339,[1]FALTANTES!$A:$AC,29,FALSE),"-")</f>
        <v>0</v>
      </c>
      <c r="J339" s="29">
        <f>IFERROR(VLOOKUP(A339,[1]FALTANTES!$A:$AD,30,FALSE),"-")</f>
        <v>-9</v>
      </c>
      <c r="K339" s="30">
        <v>0</v>
      </c>
      <c r="L339" s="30">
        <f t="shared" si="6"/>
        <v>2</v>
      </c>
      <c r="M339" s="31">
        <f>SUMIFS(METALFISA!$E:$E,METALFISA!$A:$A,'Faltantes Fevereiro- Metalfisa'!M$3,METALFISA!$B:$B,'Faltantes Fevereiro- Metalfisa'!$A339)</f>
        <v>0</v>
      </c>
      <c r="N339" s="31">
        <f>SUMIFS(METALFISA!$E:$E,METALFISA!$A:$A,'Faltantes Fevereiro- Metalfisa'!N$3,METALFISA!$B:$B,'Faltantes Fevereiro- Metalfisa'!$A339)</f>
        <v>0</v>
      </c>
      <c r="O339" s="31">
        <f>SUMIFS(METALFISA!$E:$E,METALFISA!$A:$A,'Faltantes Fevereiro- Metalfisa'!O$3,METALFISA!$B:$B,'Faltantes Fevereiro- Metalfisa'!$A339)</f>
        <v>0</v>
      </c>
      <c r="P339" s="31">
        <f>SUMIFS(METALFISA!$E:$E,METALFISA!$A:$A,'Faltantes Fevereiro- Metalfisa'!P$3,METALFISA!$B:$B,'Faltantes Fevereiro- Metalfisa'!$A339)</f>
        <v>0</v>
      </c>
      <c r="Q339" s="31">
        <f>SUMIFS(METALFISA!$E:$E,METALFISA!$A:$A,'Faltantes Fevereiro- Metalfisa'!Q$3,METALFISA!$B:$B,'Faltantes Fevereiro- Metalfisa'!$A339)</f>
        <v>0</v>
      </c>
      <c r="R339" s="31">
        <f>SUMIFS(METALFISA!$E:$E,METALFISA!$A:$A,'Faltantes Fevereiro- Metalfisa'!R$3,METALFISA!$B:$B,'Faltantes Fevereiro- Metalfisa'!$A339)</f>
        <v>0</v>
      </c>
      <c r="S339" s="31">
        <f>SUMIFS(METALFISA!$E:$E,METALFISA!$A:$A,'Faltantes Fevereiro- Metalfisa'!S$3,METALFISA!$B:$B,'Faltantes Fevereiro- Metalfisa'!$A339)</f>
        <v>0</v>
      </c>
      <c r="T339" s="31">
        <f>SUMIFS(METALFISA!$E:$E,METALFISA!$A:$A,'Faltantes Fevereiro- Metalfisa'!T$3,METALFISA!$B:$B,'Faltantes Fevereiro- Metalfisa'!$A339)</f>
        <v>0</v>
      </c>
      <c r="U339" s="31">
        <f>SUMIFS(METALFISA!$E:$E,METALFISA!$A:$A,'Faltantes Fevereiro- Metalfisa'!U$3,METALFISA!$B:$B,'Faltantes Fevereiro- Metalfisa'!$A339)</f>
        <v>0</v>
      </c>
      <c r="V339" s="31">
        <f>SUMIFS(METALFISA!$E:$E,METALFISA!$A:$A,'Faltantes Fevereiro- Metalfisa'!V$3,METALFISA!$B:$B,'Faltantes Fevereiro- Metalfisa'!$A339)</f>
        <v>0</v>
      </c>
      <c r="W339" s="31">
        <f>SUMIFS(METALFISA!$E:$E,METALFISA!$A:$A,'Faltantes Fevereiro- Metalfisa'!W$3,METALFISA!$B:$B,'Faltantes Fevereiro- Metalfisa'!$A339)</f>
        <v>0</v>
      </c>
      <c r="X339" s="31">
        <f>SUMIFS(METALFISA!$E:$E,METALFISA!$A:$A,'Faltantes Fevereiro- Metalfisa'!X$3,METALFISA!$B:$B,'Faltantes Fevereiro- Metalfisa'!$A339)</f>
        <v>0</v>
      </c>
      <c r="Y339" s="31">
        <f>SUMIFS(METALFISA!$E:$E,METALFISA!$A:$A,'Faltantes Fevereiro- Metalfisa'!Y$3,METALFISA!$B:$B,'Faltantes Fevereiro- Metalfisa'!$A339)</f>
        <v>0</v>
      </c>
      <c r="Z339" s="31">
        <f>SUMIFS(METALFISA!$E:$E,METALFISA!$A:$A,'Faltantes Fevereiro- Metalfisa'!Z$3,METALFISA!$B:$B,'Faltantes Fevereiro- Metalfisa'!$A339)</f>
        <v>0</v>
      </c>
      <c r="AA339" s="31">
        <f>SUMIFS(METALFISA!$E:$E,METALFISA!$A:$A,'Faltantes Fevereiro- Metalfisa'!AA$3,METALFISA!$B:$B,'Faltantes Fevereiro- Metalfisa'!$A339)</f>
        <v>0</v>
      </c>
      <c r="AB339" s="31">
        <f>SUMIFS(METALFISA!$E:$E,METALFISA!$A:$A,'Faltantes Fevereiro- Metalfisa'!AB$3,METALFISA!$B:$B,'Faltantes Fevereiro- Metalfisa'!$A339)</f>
        <v>0</v>
      </c>
      <c r="AC339" s="31">
        <f>SUMIFS(METALFISA!$E:$E,METALFISA!$A:$A,'Faltantes Fevereiro- Metalfisa'!AC$3,METALFISA!$B:$B,'Faltantes Fevereiro- Metalfisa'!$A339)</f>
        <v>0</v>
      </c>
      <c r="AD339" s="31">
        <f>SUMIFS(METALFISA!$E:$E,METALFISA!$A:$A,'Faltantes Fevereiro- Metalfisa'!AD$3,METALFISA!$B:$B,'Faltantes Fevereiro- Metalfisa'!$A339)</f>
        <v>0</v>
      </c>
      <c r="AE339" s="31">
        <f>SUMIFS(METALFISA!$E:$E,METALFISA!$A:$A,'Faltantes Fevereiro- Metalfisa'!AE$3,METALFISA!$B:$B,'Faltantes Fevereiro- Metalfisa'!$A339)</f>
        <v>2</v>
      </c>
      <c r="AF339" s="31">
        <f>SUMIFS(METALFISA!$E:$E,METALFISA!$A:$A,'Faltantes Fevereiro- Metalfisa'!AF$3,METALFISA!$B:$B,'Faltantes Fevereiro- Metalfisa'!$A339)</f>
        <v>0</v>
      </c>
      <c r="AG339" s="31">
        <f>SUMIFS(METALFISA!$E:$E,METALFISA!$A:$A,'Faltantes Fevereiro- Metalfisa'!AG$3,METALFISA!$B:$B,'Faltantes Fevereiro- Metalfisa'!$A339)</f>
        <v>0</v>
      </c>
      <c r="AH339" s="31">
        <f>SUMIFS(METALFISA!$E:$E,METALFISA!$A:$A,'Faltantes Fevereiro- Metalfisa'!AH$3,METALFISA!$B:$B,'Faltantes Fevereiro- Metalfisa'!$A339)</f>
        <v>0</v>
      </c>
      <c r="AI339" s="31">
        <f>SUMIFS(METALFISA!$E:$E,METALFISA!$A:$A,'Faltantes Fevereiro- Metalfisa'!AI$3,METALFISA!$B:$B,'Faltantes Fevereiro- Metalfisa'!$A339)</f>
        <v>0</v>
      </c>
      <c r="AJ339" s="31">
        <f>SUMIFS(METALFISA!$E:$E,METALFISA!$A:$A,'Faltantes Fevereiro- Metalfisa'!AJ$3,METALFISA!$B:$B,'Faltantes Fevereiro- Metalfisa'!$A339)</f>
        <v>0</v>
      </c>
      <c r="AK339" s="31">
        <f>SUMIFS(METALFISA!$E:$E,METALFISA!$A:$A,'Faltantes Fevereiro- Metalfisa'!AK$3,METALFISA!$B:$B,'Faltantes Fevereiro- Metalfisa'!$A339)</f>
        <v>0</v>
      </c>
      <c r="AL339" s="31">
        <f>SUMIFS(METALFISA!$E:$E,METALFISA!$A:$A,'Faltantes Fevereiro- Metalfisa'!AL$3,METALFISA!$B:$B,'Faltantes Fevereiro- Metalfisa'!$A339)</f>
        <v>0</v>
      </c>
      <c r="AM339" s="31">
        <f>SUMIFS(METALFISA!$E:$E,METALFISA!$A:$A,'Faltantes Fevereiro- Metalfisa'!AM$3,METALFISA!$B:$B,'Faltantes Fevereiro- Metalfisa'!$A339)</f>
        <v>0</v>
      </c>
      <c r="AN339" s="31">
        <f>SUMIFS(METALFISA!$E:$E,METALFISA!$A:$A,'Faltantes Fevereiro- Metalfisa'!AN$3,METALFISA!$B:$B,'Faltantes Fevereiro- Metalfisa'!$A339)</f>
        <v>0</v>
      </c>
      <c r="AO339" s="31">
        <f>SUMIFS(METALFISA!$E:$E,METALFISA!$A:$A,'Faltantes Fevereiro- Metalfisa'!AO$3,METALFISA!$B:$B,'Faltantes Fevereiro- Metalfisa'!$A339)</f>
        <v>0</v>
      </c>
      <c r="AP339" s="31">
        <f>SUMIFS(METALFISA!$E:$E,METALFISA!$A:$A,'Faltantes Fevereiro- Metalfisa'!AP$3,METALFISA!$B:$B,'Faltantes Fevereiro- Metalfisa'!$A339)</f>
        <v>0</v>
      </c>
      <c r="AQ339" s="31"/>
      <c r="AR339" s="31"/>
      <c r="AS339" s="35"/>
      <c r="AY339" s="41">
        <v>0</v>
      </c>
      <c r="AZ339" s="31">
        <v>0</v>
      </c>
      <c r="BA339" s="31">
        <v>0</v>
      </c>
      <c r="BB339" s="31">
        <v>0</v>
      </c>
      <c r="BC339" s="31">
        <v>0</v>
      </c>
      <c r="BD339" s="31">
        <v>0</v>
      </c>
      <c r="BE339" s="31">
        <v>0</v>
      </c>
      <c r="BF339" s="31">
        <v>0</v>
      </c>
      <c r="BG339" s="31">
        <v>0</v>
      </c>
      <c r="BH339" s="31">
        <v>0</v>
      </c>
      <c r="BI339" s="31">
        <v>0</v>
      </c>
      <c r="BJ339" s="31">
        <v>0</v>
      </c>
      <c r="BK339" s="31">
        <v>0</v>
      </c>
      <c r="BL339" s="31">
        <v>0</v>
      </c>
      <c r="BM339" s="31">
        <v>0</v>
      </c>
      <c r="BN339" s="31">
        <v>1</v>
      </c>
      <c r="BO339" s="31">
        <v>1</v>
      </c>
      <c r="BP339" s="31">
        <v>0</v>
      </c>
      <c r="BQ339" s="31">
        <v>0</v>
      </c>
      <c r="BR339" s="31">
        <v>0</v>
      </c>
      <c r="BS339" s="31">
        <v>0</v>
      </c>
      <c r="BT339" s="31">
        <v>0</v>
      </c>
      <c r="BU339" s="31">
        <v>0</v>
      </c>
      <c r="BV339" s="31">
        <v>0</v>
      </c>
      <c r="BW339" s="31">
        <v>0</v>
      </c>
      <c r="BX339" s="31">
        <v>0</v>
      </c>
      <c r="BY339" s="31">
        <v>0</v>
      </c>
      <c r="BZ339" s="31">
        <v>0</v>
      </c>
      <c r="CA339" s="31">
        <v>0</v>
      </c>
      <c r="CB339" s="31">
        <v>0</v>
      </c>
      <c r="CC339" s="31">
        <v>0</v>
      </c>
      <c r="CD339" s="31">
        <v>0</v>
      </c>
      <c r="CE339" s="31">
        <v>0</v>
      </c>
      <c r="CF339" s="31">
        <v>0</v>
      </c>
      <c r="CG339" s="31">
        <v>0</v>
      </c>
      <c r="CH339" s="31">
        <v>0</v>
      </c>
      <c r="CI339" s="31">
        <v>0</v>
      </c>
      <c r="CJ339" s="31">
        <v>0</v>
      </c>
      <c r="CK339" s="31">
        <v>0</v>
      </c>
      <c r="CL339" s="35">
        <v>0</v>
      </c>
    </row>
    <row r="340" spans="1:90" x14ac:dyDescent="0.15">
      <c r="A340" s="31" t="s">
        <v>1695</v>
      </c>
      <c r="B340" s="30" t="s">
        <v>1696</v>
      </c>
      <c r="C340" s="28">
        <v>0</v>
      </c>
      <c r="D340" s="28">
        <v>0</v>
      </c>
      <c r="E340" s="28">
        <v>0</v>
      </c>
      <c r="F340" s="28">
        <v>0</v>
      </c>
      <c r="G340" s="28">
        <v>9</v>
      </c>
      <c r="H340" s="28">
        <f>IFERROR(VLOOKUP(A340,[1]FALTANTES!$A:$AB,28,FALSE),"-")</f>
        <v>0</v>
      </c>
      <c r="I340" s="42">
        <f>IFERROR(VLOOKUP(A340,[1]FALTANTES!$A:$AC,29,FALSE),"-")</f>
        <v>2</v>
      </c>
      <c r="J340" s="29">
        <f>IFERROR(VLOOKUP(A340,[1]FALTANTES!$A:$AD,30,FALSE),"-")</f>
        <v>-7</v>
      </c>
      <c r="K340" s="30">
        <v>0</v>
      </c>
      <c r="L340" s="30">
        <f t="shared" si="6"/>
        <v>2</v>
      </c>
      <c r="M340" s="31">
        <f>SUMIFS(METALFISA!$E:$E,METALFISA!$A:$A,'Faltantes Fevereiro- Metalfisa'!M$3,METALFISA!$B:$B,'Faltantes Fevereiro- Metalfisa'!$A340)</f>
        <v>0</v>
      </c>
      <c r="N340" s="31">
        <f>SUMIFS(METALFISA!$E:$E,METALFISA!$A:$A,'Faltantes Fevereiro- Metalfisa'!N$3,METALFISA!$B:$B,'Faltantes Fevereiro- Metalfisa'!$A340)</f>
        <v>0</v>
      </c>
      <c r="O340" s="31">
        <f>SUMIFS(METALFISA!$E:$E,METALFISA!$A:$A,'Faltantes Fevereiro- Metalfisa'!O$3,METALFISA!$B:$B,'Faltantes Fevereiro- Metalfisa'!$A340)</f>
        <v>0</v>
      </c>
      <c r="P340" s="31">
        <f>SUMIFS(METALFISA!$E:$E,METALFISA!$A:$A,'Faltantes Fevereiro- Metalfisa'!P$3,METALFISA!$B:$B,'Faltantes Fevereiro- Metalfisa'!$A340)</f>
        <v>0</v>
      </c>
      <c r="Q340" s="31">
        <f>SUMIFS(METALFISA!$E:$E,METALFISA!$A:$A,'Faltantes Fevereiro- Metalfisa'!Q$3,METALFISA!$B:$B,'Faltantes Fevereiro- Metalfisa'!$A340)</f>
        <v>0</v>
      </c>
      <c r="R340" s="31">
        <f>SUMIFS(METALFISA!$E:$E,METALFISA!$A:$A,'Faltantes Fevereiro- Metalfisa'!R$3,METALFISA!$B:$B,'Faltantes Fevereiro- Metalfisa'!$A340)</f>
        <v>0</v>
      </c>
      <c r="S340" s="31">
        <f>SUMIFS(METALFISA!$E:$E,METALFISA!$A:$A,'Faltantes Fevereiro- Metalfisa'!S$3,METALFISA!$B:$B,'Faltantes Fevereiro- Metalfisa'!$A340)</f>
        <v>0</v>
      </c>
      <c r="T340" s="31">
        <f>SUMIFS(METALFISA!$E:$E,METALFISA!$A:$A,'Faltantes Fevereiro- Metalfisa'!T$3,METALFISA!$B:$B,'Faltantes Fevereiro- Metalfisa'!$A340)</f>
        <v>0</v>
      </c>
      <c r="U340" s="31">
        <f>SUMIFS(METALFISA!$E:$E,METALFISA!$A:$A,'Faltantes Fevereiro- Metalfisa'!U$3,METALFISA!$B:$B,'Faltantes Fevereiro- Metalfisa'!$A340)</f>
        <v>0</v>
      </c>
      <c r="V340" s="31">
        <f>SUMIFS(METALFISA!$E:$E,METALFISA!$A:$A,'Faltantes Fevereiro- Metalfisa'!V$3,METALFISA!$B:$B,'Faltantes Fevereiro- Metalfisa'!$A340)</f>
        <v>0</v>
      </c>
      <c r="W340" s="31">
        <f>SUMIFS(METALFISA!$E:$E,METALFISA!$A:$A,'Faltantes Fevereiro- Metalfisa'!W$3,METALFISA!$B:$B,'Faltantes Fevereiro- Metalfisa'!$A340)</f>
        <v>0</v>
      </c>
      <c r="X340" s="31">
        <f>SUMIFS(METALFISA!$E:$E,METALFISA!$A:$A,'Faltantes Fevereiro- Metalfisa'!X$3,METALFISA!$B:$B,'Faltantes Fevereiro- Metalfisa'!$A340)</f>
        <v>0</v>
      </c>
      <c r="Y340" s="31">
        <f>SUMIFS(METALFISA!$E:$E,METALFISA!$A:$A,'Faltantes Fevereiro- Metalfisa'!Y$3,METALFISA!$B:$B,'Faltantes Fevereiro- Metalfisa'!$A340)</f>
        <v>0</v>
      </c>
      <c r="Z340" s="31">
        <f>SUMIFS(METALFISA!$E:$E,METALFISA!$A:$A,'Faltantes Fevereiro- Metalfisa'!Z$3,METALFISA!$B:$B,'Faltantes Fevereiro- Metalfisa'!$A340)</f>
        <v>0</v>
      </c>
      <c r="AA340" s="31">
        <f>SUMIFS(METALFISA!$E:$E,METALFISA!$A:$A,'Faltantes Fevereiro- Metalfisa'!AA$3,METALFISA!$B:$B,'Faltantes Fevereiro- Metalfisa'!$A340)</f>
        <v>0</v>
      </c>
      <c r="AB340" s="31">
        <f>SUMIFS(METALFISA!$E:$E,METALFISA!$A:$A,'Faltantes Fevereiro- Metalfisa'!AB$3,METALFISA!$B:$B,'Faltantes Fevereiro- Metalfisa'!$A340)</f>
        <v>0</v>
      </c>
      <c r="AC340" s="31">
        <f>SUMIFS(METALFISA!$E:$E,METALFISA!$A:$A,'Faltantes Fevereiro- Metalfisa'!AC$3,METALFISA!$B:$B,'Faltantes Fevereiro- Metalfisa'!$A340)</f>
        <v>0</v>
      </c>
      <c r="AD340" s="31">
        <f>SUMIFS(METALFISA!$E:$E,METALFISA!$A:$A,'Faltantes Fevereiro- Metalfisa'!AD$3,METALFISA!$B:$B,'Faltantes Fevereiro- Metalfisa'!$A340)</f>
        <v>0</v>
      </c>
      <c r="AE340" s="31">
        <f>SUMIFS(METALFISA!$E:$E,METALFISA!$A:$A,'Faltantes Fevereiro- Metalfisa'!AE$3,METALFISA!$B:$B,'Faltantes Fevereiro- Metalfisa'!$A340)</f>
        <v>2</v>
      </c>
      <c r="AF340" s="31">
        <f>SUMIFS(METALFISA!$E:$E,METALFISA!$A:$A,'Faltantes Fevereiro- Metalfisa'!AF$3,METALFISA!$B:$B,'Faltantes Fevereiro- Metalfisa'!$A340)</f>
        <v>0</v>
      </c>
      <c r="AG340" s="31">
        <f>SUMIFS(METALFISA!$E:$E,METALFISA!$A:$A,'Faltantes Fevereiro- Metalfisa'!AG$3,METALFISA!$B:$B,'Faltantes Fevereiro- Metalfisa'!$A340)</f>
        <v>0</v>
      </c>
      <c r="AH340" s="31">
        <f>SUMIFS(METALFISA!$E:$E,METALFISA!$A:$A,'Faltantes Fevereiro- Metalfisa'!AH$3,METALFISA!$B:$B,'Faltantes Fevereiro- Metalfisa'!$A340)</f>
        <v>0</v>
      </c>
      <c r="AI340" s="31">
        <f>SUMIFS(METALFISA!$E:$E,METALFISA!$A:$A,'Faltantes Fevereiro- Metalfisa'!AI$3,METALFISA!$B:$B,'Faltantes Fevereiro- Metalfisa'!$A340)</f>
        <v>0</v>
      </c>
      <c r="AJ340" s="31">
        <f>SUMIFS(METALFISA!$E:$E,METALFISA!$A:$A,'Faltantes Fevereiro- Metalfisa'!AJ$3,METALFISA!$B:$B,'Faltantes Fevereiro- Metalfisa'!$A340)</f>
        <v>0</v>
      </c>
      <c r="AK340" s="31">
        <f>SUMIFS(METALFISA!$E:$E,METALFISA!$A:$A,'Faltantes Fevereiro- Metalfisa'!AK$3,METALFISA!$B:$B,'Faltantes Fevereiro- Metalfisa'!$A340)</f>
        <v>0</v>
      </c>
      <c r="AL340" s="31">
        <f>SUMIFS(METALFISA!$E:$E,METALFISA!$A:$A,'Faltantes Fevereiro- Metalfisa'!AL$3,METALFISA!$B:$B,'Faltantes Fevereiro- Metalfisa'!$A340)</f>
        <v>0</v>
      </c>
      <c r="AM340" s="31">
        <f>SUMIFS(METALFISA!$E:$E,METALFISA!$A:$A,'Faltantes Fevereiro- Metalfisa'!AM$3,METALFISA!$B:$B,'Faltantes Fevereiro- Metalfisa'!$A340)</f>
        <v>0</v>
      </c>
      <c r="AN340" s="31">
        <f>SUMIFS(METALFISA!$E:$E,METALFISA!$A:$A,'Faltantes Fevereiro- Metalfisa'!AN$3,METALFISA!$B:$B,'Faltantes Fevereiro- Metalfisa'!$A340)</f>
        <v>0</v>
      </c>
      <c r="AO340" s="31">
        <f>SUMIFS(METALFISA!$E:$E,METALFISA!$A:$A,'Faltantes Fevereiro- Metalfisa'!AO$3,METALFISA!$B:$B,'Faltantes Fevereiro- Metalfisa'!$A340)</f>
        <v>0</v>
      </c>
      <c r="AP340" s="31">
        <f>SUMIFS(METALFISA!$E:$E,METALFISA!$A:$A,'Faltantes Fevereiro- Metalfisa'!AP$3,METALFISA!$B:$B,'Faltantes Fevereiro- Metalfisa'!$A340)</f>
        <v>0</v>
      </c>
      <c r="AQ340" s="31"/>
      <c r="AR340" s="31"/>
      <c r="AS340" s="35"/>
      <c r="AY340" s="41">
        <v>0</v>
      </c>
      <c r="AZ340" s="31">
        <v>0</v>
      </c>
      <c r="BA340" s="31">
        <v>0</v>
      </c>
      <c r="BB340" s="31">
        <v>0</v>
      </c>
      <c r="BC340" s="31">
        <v>0</v>
      </c>
      <c r="BD340" s="31">
        <v>0</v>
      </c>
      <c r="BE340" s="31">
        <v>0</v>
      </c>
      <c r="BF340" s="31">
        <v>0</v>
      </c>
      <c r="BG340" s="31">
        <v>0</v>
      </c>
      <c r="BH340" s="31">
        <v>0</v>
      </c>
      <c r="BI340" s="31">
        <v>0</v>
      </c>
      <c r="BJ340" s="31">
        <v>0</v>
      </c>
      <c r="BK340" s="31">
        <v>0</v>
      </c>
      <c r="BL340" s="31">
        <v>0</v>
      </c>
      <c r="BM340" s="31">
        <v>0</v>
      </c>
      <c r="BN340" s="31">
        <v>1</v>
      </c>
      <c r="BO340" s="31">
        <v>1</v>
      </c>
      <c r="BP340" s="31">
        <v>0</v>
      </c>
      <c r="BQ340" s="31">
        <v>0</v>
      </c>
      <c r="BR340" s="31">
        <v>0</v>
      </c>
      <c r="BS340" s="31">
        <v>0</v>
      </c>
      <c r="BT340" s="31">
        <v>0</v>
      </c>
      <c r="BU340" s="31">
        <v>0</v>
      </c>
      <c r="BV340" s="31">
        <v>0</v>
      </c>
      <c r="BW340" s="31">
        <v>0</v>
      </c>
      <c r="BX340" s="31">
        <v>0</v>
      </c>
      <c r="BY340" s="31">
        <v>0</v>
      </c>
      <c r="BZ340" s="31">
        <v>0</v>
      </c>
      <c r="CA340" s="31">
        <v>0</v>
      </c>
      <c r="CB340" s="31">
        <v>0</v>
      </c>
      <c r="CC340" s="31">
        <v>0</v>
      </c>
      <c r="CD340" s="31">
        <v>0</v>
      </c>
      <c r="CE340" s="31">
        <v>0</v>
      </c>
      <c r="CF340" s="31">
        <v>0</v>
      </c>
      <c r="CG340" s="31">
        <v>0</v>
      </c>
      <c r="CH340" s="31">
        <v>0</v>
      </c>
      <c r="CI340" s="31">
        <v>0</v>
      </c>
      <c r="CJ340" s="31">
        <v>0</v>
      </c>
      <c r="CK340" s="31">
        <v>0</v>
      </c>
      <c r="CL340" s="35">
        <v>0</v>
      </c>
    </row>
    <row r="341" spans="1:90" ht="21" x14ac:dyDescent="0.15">
      <c r="A341" s="31" t="s">
        <v>1698</v>
      </c>
      <c r="B341" s="30" t="s">
        <v>1699</v>
      </c>
      <c r="C341" s="28">
        <v>0</v>
      </c>
      <c r="D341" s="28">
        <v>0</v>
      </c>
      <c r="E341" s="28">
        <v>0</v>
      </c>
      <c r="F341" s="28">
        <v>0</v>
      </c>
      <c r="G341" s="28">
        <v>9</v>
      </c>
      <c r="H341" s="28">
        <f>IFERROR(VLOOKUP(A341,[1]FALTANTES!$A:$AB,28,FALSE),"-")</f>
        <v>0</v>
      </c>
      <c r="I341" s="42">
        <f>IFERROR(VLOOKUP(A341,[1]FALTANTES!$A:$AC,29,FALSE),"-")</f>
        <v>0</v>
      </c>
      <c r="J341" s="29">
        <f>IFERROR(VLOOKUP(A341,[1]FALTANTES!$A:$AD,30,FALSE),"-")</f>
        <v>-9</v>
      </c>
      <c r="K341" s="30">
        <v>0</v>
      </c>
      <c r="L341" s="30">
        <f t="shared" si="6"/>
        <v>2</v>
      </c>
      <c r="M341" s="31">
        <f>SUMIFS(METALFISA!$E:$E,METALFISA!$A:$A,'Faltantes Fevereiro- Metalfisa'!M$3,METALFISA!$B:$B,'Faltantes Fevereiro- Metalfisa'!$A341)</f>
        <v>0</v>
      </c>
      <c r="N341" s="31">
        <f>SUMIFS(METALFISA!$E:$E,METALFISA!$A:$A,'Faltantes Fevereiro- Metalfisa'!N$3,METALFISA!$B:$B,'Faltantes Fevereiro- Metalfisa'!$A341)</f>
        <v>0</v>
      </c>
      <c r="O341" s="31">
        <f>SUMIFS(METALFISA!$E:$E,METALFISA!$A:$A,'Faltantes Fevereiro- Metalfisa'!O$3,METALFISA!$B:$B,'Faltantes Fevereiro- Metalfisa'!$A341)</f>
        <v>0</v>
      </c>
      <c r="P341" s="31">
        <f>SUMIFS(METALFISA!$E:$E,METALFISA!$A:$A,'Faltantes Fevereiro- Metalfisa'!P$3,METALFISA!$B:$B,'Faltantes Fevereiro- Metalfisa'!$A341)</f>
        <v>0</v>
      </c>
      <c r="Q341" s="31">
        <f>SUMIFS(METALFISA!$E:$E,METALFISA!$A:$A,'Faltantes Fevereiro- Metalfisa'!Q$3,METALFISA!$B:$B,'Faltantes Fevereiro- Metalfisa'!$A341)</f>
        <v>0</v>
      </c>
      <c r="R341" s="31">
        <f>SUMIFS(METALFISA!$E:$E,METALFISA!$A:$A,'Faltantes Fevereiro- Metalfisa'!R$3,METALFISA!$B:$B,'Faltantes Fevereiro- Metalfisa'!$A341)</f>
        <v>0</v>
      </c>
      <c r="S341" s="31">
        <f>SUMIFS(METALFISA!$E:$E,METALFISA!$A:$A,'Faltantes Fevereiro- Metalfisa'!S$3,METALFISA!$B:$B,'Faltantes Fevereiro- Metalfisa'!$A341)</f>
        <v>0</v>
      </c>
      <c r="T341" s="31">
        <f>SUMIFS(METALFISA!$E:$E,METALFISA!$A:$A,'Faltantes Fevereiro- Metalfisa'!T$3,METALFISA!$B:$B,'Faltantes Fevereiro- Metalfisa'!$A341)</f>
        <v>0</v>
      </c>
      <c r="U341" s="31">
        <f>SUMIFS(METALFISA!$E:$E,METALFISA!$A:$A,'Faltantes Fevereiro- Metalfisa'!U$3,METALFISA!$B:$B,'Faltantes Fevereiro- Metalfisa'!$A341)</f>
        <v>0</v>
      </c>
      <c r="V341" s="31">
        <f>SUMIFS(METALFISA!$E:$E,METALFISA!$A:$A,'Faltantes Fevereiro- Metalfisa'!V$3,METALFISA!$B:$B,'Faltantes Fevereiro- Metalfisa'!$A341)</f>
        <v>0</v>
      </c>
      <c r="W341" s="31">
        <f>SUMIFS(METALFISA!$E:$E,METALFISA!$A:$A,'Faltantes Fevereiro- Metalfisa'!W$3,METALFISA!$B:$B,'Faltantes Fevereiro- Metalfisa'!$A341)</f>
        <v>0</v>
      </c>
      <c r="X341" s="31">
        <f>SUMIFS(METALFISA!$E:$E,METALFISA!$A:$A,'Faltantes Fevereiro- Metalfisa'!X$3,METALFISA!$B:$B,'Faltantes Fevereiro- Metalfisa'!$A341)</f>
        <v>0</v>
      </c>
      <c r="Y341" s="31">
        <f>SUMIFS(METALFISA!$E:$E,METALFISA!$A:$A,'Faltantes Fevereiro- Metalfisa'!Y$3,METALFISA!$B:$B,'Faltantes Fevereiro- Metalfisa'!$A341)</f>
        <v>0</v>
      </c>
      <c r="Z341" s="31">
        <f>SUMIFS(METALFISA!$E:$E,METALFISA!$A:$A,'Faltantes Fevereiro- Metalfisa'!Z$3,METALFISA!$B:$B,'Faltantes Fevereiro- Metalfisa'!$A341)</f>
        <v>0</v>
      </c>
      <c r="AA341" s="31">
        <f>SUMIFS(METALFISA!$E:$E,METALFISA!$A:$A,'Faltantes Fevereiro- Metalfisa'!AA$3,METALFISA!$B:$B,'Faltantes Fevereiro- Metalfisa'!$A341)</f>
        <v>0</v>
      </c>
      <c r="AB341" s="31">
        <f>SUMIFS(METALFISA!$E:$E,METALFISA!$A:$A,'Faltantes Fevereiro- Metalfisa'!AB$3,METALFISA!$B:$B,'Faltantes Fevereiro- Metalfisa'!$A341)</f>
        <v>0</v>
      </c>
      <c r="AC341" s="31">
        <f>SUMIFS(METALFISA!$E:$E,METALFISA!$A:$A,'Faltantes Fevereiro- Metalfisa'!AC$3,METALFISA!$B:$B,'Faltantes Fevereiro- Metalfisa'!$A341)</f>
        <v>0</v>
      </c>
      <c r="AD341" s="31">
        <f>SUMIFS(METALFISA!$E:$E,METALFISA!$A:$A,'Faltantes Fevereiro- Metalfisa'!AD$3,METALFISA!$B:$B,'Faltantes Fevereiro- Metalfisa'!$A341)</f>
        <v>0</v>
      </c>
      <c r="AE341" s="31">
        <f>SUMIFS(METALFISA!$E:$E,METALFISA!$A:$A,'Faltantes Fevereiro- Metalfisa'!AE$3,METALFISA!$B:$B,'Faltantes Fevereiro- Metalfisa'!$A341)</f>
        <v>2</v>
      </c>
      <c r="AF341" s="31">
        <f>SUMIFS(METALFISA!$E:$E,METALFISA!$A:$A,'Faltantes Fevereiro- Metalfisa'!AF$3,METALFISA!$B:$B,'Faltantes Fevereiro- Metalfisa'!$A341)</f>
        <v>0</v>
      </c>
      <c r="AG341" s="31">
        <f>SUMIFS(METALFISA!$E:$E,METALFISA!$A:$A,'Faltantes Fevereiro- Metalfisa'!AG$3,METALFISA!$B:$B,'Faltantes Fevereiro- Metalfisa'!$A341)</f>
        <v>0</v>
      </c>
      <c r="AH341" s="31">
        <f>SUMIFS(METALFISA!$E:$E,METALFISA!$A:$A,'Faltantes Fevereiro- Metalfisa'!AH$3,METALFISA!$B:$B,'Faltantes Fevereiro- Metalfisa'!$A341)</f>
        <v>0</v>
      </c>
      <c r="AI341" s="31">
        <f>SUMIFS(METALFISA!$E:$E,METALFISA!$A:$A,'Faltantes Fevereiro- Metalfisa'!AI$3,METALFISA!$B:$B,'Faltantes Fevereiro- Metalfisa'!$A341)</f>
        <v>0</v>
      </c>
      <c r="AJ341" s="31">
        <f>SUMIFS(METALFISA!$E:$E,METALFISA!$A:$A,'Faltantes Fevereiro- Metalfisa'!AJ$3,METALFISA!$B:$B,'Faltantes Fevereiro- Metalfisa'!$A341)</f>
        <v>0</v>
      </c>
      <c r="AK341" s="31">
        <f>SUMIFS(METALFISA!$E:$E,METALFISA!$A:$A,'Faltantes Fevereiro- Metalfisa'!AK$3,METALFISA!$B:$B,'Faltantes Fevereiro- Metalfisa'!$A341)</f>
        <v>0</v>
      </c>
      <c r="AL341" s="31">
        <f>SUMIFS(METALFISA!$E:$E,METALFISA!$A:$A,'Faltantes Fevereiro- Metalfisa'!AL$3,METALFISA!$B:$B,'Faltantes Fevereiro- Metalfisa'!$A341)</f>
        <v>0</v>
      </c>
      <c r="AM341" s="31">
        <f>SUMIFS(METALFISA!$E:$E,METALFISA!$A:$A,'Faltantes Fevereiro- Metalfisa'!AM$3,METALFISA!$B:$B,'Faltantes Fevereiro- Metalfisa'!$A341)</f>
        <v>0</v>
      </c>
      <c r="AN341" s="31">
        <f>SUMIFS(METALFISA!$E:$E,METALFISA!$A:$A,'Faltantes Fevereiro- Metalfisa'!AN$3,METALFISA!$B:$B,'Faltantes Fevereiro- Metalfisa'!$A341)</f>
        <v>0</v>
      </c>
      <c r="AO341" s="31">
        <f>SUMIFS(METALFISA!$E:$E,METALFISA!$A:$A,'Faltantes Fevereiro- Metalfisa'!AO$3,METALFISA!$B:$B,'Faltantes Fevereiro- Metalfisa'!$A341)</f>
        <v>0</v>
      </c>
      <c r="AP341" s="31">
        <f>SUMIFS(METALFISA!$E:$E,METALFISA!$A:$A,'Faltantes Fevereiro- Metalfisa'!AP$3,METALFISA!$B:$B,'Faltantes Fevereiro- Metalfisa'!$A341)</f>
        <v>0</v>
      </c>
      <c r="AQ341" s="31"/>
      <c r="AR341" s="31"/>
      <c r="AS341" s="35"/>
      <c r="AY341" s="41">
        <v>0</v>
      </c>
      <c r="AZ341" s="31">
        <v>0</v>
      </c>
      <c r="BA341" s="31">
        <v>0</v>
      </c>
      <c r="BB341" s="31">
        <v>0</v>
      </c>
      <c r="BC341" s="31">
        <v>0</v>
      </c>
      <c r="BD341" s="31">
        <v>0</v>
      </c>
      <c r="BE341" s="31">
        <v>0</v>
      </c>
      <c r="BF341" s="31">
        <v>0</v>
      </c>
      <c r="BG341" s="31">
        <v>0</v>
      </c>
      <c r="BH341" s="31">
        <v>0</v>
      </c>
      <c r="BI341" s="31">
        <v>0</v>
      </c>
      <c r="BJ341" s="31">
        <v>0</v>
      </c>
      <c r="BK341" s="31">
        <v>0</v>
      </c>
      <c r="BL341" s="31">
        <v>0</v>
      </c>
      <c r="BM341" s="31">
        <v>0</v>
      </c>
      <c r="BN341" s="31">
        <v>1</v>
      </c>
      <c r="BO341" s="31">
        <v>1</v>
      </c>
      <c r="BP341" s="31">
        <v>0</v>
      </c>
      <c r="BQ341" s="31">
        <v>0</v>
      </c>
      <c r="BR341" s="31">
        <v>0</v>
      </c>
      <c r="BS341" s="31">
        <v>0</v>
      </c>
      <c r="BT341" s="31">
        <v>0</v>
      </c>
      <c r="BU341" s="31">
        <v>0</v>
      </c>
      <c r="BV341" s="31">
        <v>0</v>
      </c>
      <c r="BW341" s="31">
        <v>0</v>
      </c>
      <c r="BX341" s="31">
        <v>0</v>
      </c>
      <c r="BY341" s="31">
        <v>0</v>
      </c>
      <c r="BZ341" s="31">
        <v>0</v>
      </c>
      <c r="CA341" s="31">
        <v>0</v>
      </c>
      <c r="CB341" s="31">
        <v>0</v>
      </c>
      <c r="CC341" s="31">
        <v>0</v>
      </c>
      <c r="CD341" s="31">
        <v>0</v>
      </c>
      <c r="CE341" s="31">
        <v>0</v>
      </c>
      <c r="CF341" s="31">
        <v>0</v>
      </c>
      <c r="CG341" s="31">
        <v>0</v>
      </c>
      <c r="CH341" s="31">
        <v>0</v>
      </c>
      <c r="CI341" s="31">
        <v>0</v>
      </c>
      <c r="CJ341" s="31">
        <v>0</v>
      </c>
      <c r="CK341" s="31">
        <v>0</v>
      </c>
      <c r="CL341" s="35">
        <v>0</v>
      </c>
    </row>
    <row r="342" spans="1:90" ht="21" x14ac:dyDescent="0.15">
      <c r="A342" s="31" t="s">
        <v>1701</v>
      </c>
      <c r="B342" s="30" t="s">
        <v>1702</v>
      </c>
      <c r="C342" s="28">
        <v>0</v>
      </c>
      <c r="D342" s="28">
        <v>0</v>
      </c>
      <c r="E342" s="28">
        <v>0</v>
      </c>
      <c r="F342" s="28">
        <v>0</v>
      </c>
      <c r="G342" s="28">
        <v>9</v>
      </c>
      <c r="H342" s="28">
        <f>IFERROR(VLOOKUP(A342,[1]FALTANTES!$A:$AB,28,FALSE),"-")</f>
        <v>0</v>
      </c>
      <c r="I342" s="42">
        <f>IFERROR(VLOOKUP(A342,[1]FALTANTES!$A:$AC,29,FALSE),"-")</f>
        <v>0</v>
      </c>
      <c r="J342" s="29">
        <f>IFERROR(VLOOKUP(A342,[1]FALTANTES!$A:$AD,30,FALSE),"-")</f>
        <v>-9</v>
      </c>
      <c r="K342" s="30">
        <v>0</v>
      </c>
      <c r="L342" s="30">
        <f t="shared" si="6"/>
        <v>2</v>
      </c>
      <c r="M342" s="31">
        <f>SUMIFS(METALFISA!$E:$E,METALFISA!$A:$A,'Faltantes Fevereiro- Metalfisa'!M$3,METALFISA!$B:$B,'Faltantes Fevereiro- Metalfisa'!$A342)</f>
        <v>0</v>
      </c>
      <c r="N342" s="31">
        <f>SUMIFS(METALFISA!$E:$E,METALFISA!$A:$A,'Faltantes Fevereiro- Metalfisa'!N$3,METALFISA!$B:$B,'Faltantes Fevereiro- Metalfisa'!$A342)</f>
        <v>0</v>
      </c>
      <c r="O342" s="31">
        <f>SUMIFS(METALFISA!$E:$E,METALFISA!$A:$A,'Faltantes Fevereiro- Metalfisa'!O$3,METALFISA!$B:$B,'Faltantes Fevereiro- Metalfisa'!$A342)</f>
        <v>0</v>
      </c>
      <c r="P342" s="31">
        <f>SUMIFS(METALFISA!$E:$E,METALFISA!$A:$A,'Faltantes Fevereiro- Metalfisa'!P$3,METALFISA!$B:$B,'Faltantes Fevereiro- Metalfisa'!$A342)</f>
        <v>0</v>
      </c>
      <c r="Q342" s="31">
        <f>SUMIFS(METALFISA!$E:$E,METALFISA!$A:$A,'Faltantes Fevereiro- Metalfisa'!Q$3,METALFISA!$B:$B,'Faltantes Fevereiro- Metalfisa'!$A342)</f>
        <v>0</v>
      </c>
      <c r="R342" s="31">
        <f>SUMIFS(METALFISA!$E:$E,METALFISA!$A:$A,'Faltantes Fevereiro- Metalfisa'!R$3,METALFISA!$B:$B,'Faltantes Fevereiro- Metalfisa'!$A342)</f>
        <v>0</v>
      </c>
      <c r="S342" s="31">
        <f>SUMIFS(METALFISA!$E:$E,METALFISA!$A:$A,'Faltantes Fevereiro- Metalfisa'!S$3,METALFISA!$B:$B,'Faltantes Fevereiro- Metalfisa'!$A342)</f>
        <v>0</v>
      </c>
      <c r="T342" s="31">
        <f>SUMIFS(METALFISA!$E:$E,METALFISA!$A:$A,'Faltantes Fevereiro- Metalfisa'!T$3,METALFISA!$B:$B,'Faltantes Fevereiro- Metalfisa'!$A342)</f>
        <v>0</v>
      </c>
      <c r="U342" s="31">
        <f>SUMIFS(METALFISA!$E:$E,METALFISA!$A:$A,'Faltantes Fevereiro- Metalfisa'!U$3,METALFISA!$B:$B,'Faltantes Fevereiro- Metalfisa'!$A342)</f>
        <v>0</v>
      </c>
      <c r="V342" s="31">
        <f>SUMIFS(METALFISA!$E:$E,METALFISA!$A:$A,'Faltantes Fevereiro- Metalfisa'!V$3,METALFISA!$B:$B,'Faltantes Fevereiro- Metalfisa'!$A342)</f>
        <v>0</v>
      </c>
      <c r="W342" s="31">
        <f>SUMIFS(METALFISA!$E:$E,METALFISA!$A:$A,'Faltantes Fevereiro- Metalfisa'!W$3,METALFISA!$B:$B,'Faltantes Fevereiro- Metalfisa'!$A342)</f>
        <v>0</v>
      </c>
      <c r="X342" s="31">
        <f>SUMIFS(METALFISA!$E:$E,METALFISA!$A:$A,'Faltantes Fevereiro- Metalfisa'!X$3,METALFISA!$B:$B,'Faltantes Fevereiro- Metalfisa'!$A342)</f>
        <v>0</v>
      </c>
      <c r="Y342" s="31">
        <f>SUMIFS(METALFISA!$E:$E,METALFISA!$A:$A,'Faltantes Fevereiro- Metalfisa'!Y$3,METALFISA!$B:$B,'Faltantes Fevereiro- Metalfisa'!$A342)</f>
        <v>0</v>
      </c>
      <c r="Z342" s="31">
        <f>SUMIFS(METALFISA!$E:$E,METALFISA!$A:$A,'Faltantes Fevereiro- Metalfisa'!Z$3,METALFISA!$B:$B,'Faltantes Fevereiro- Metalfisa'!$A342)</f>
        <v>0</v>
      </c>
      <c r="AA342" s="31">
        <f>SUMIFS(METALFISA!$E:$E,METALFISA!$A:$A,'Faltantes Fevereiro- Metalfisa'!AA$3,METALFISA!$B:$B,'Faltantes Fevereiro- Metalfisa'!$A342)</f>
        <v>0</v>
      </c>
      <c r="AB342" s="31">
        <f>SUMIFS(METALFISA!$E:$E,METALFISA!$A:$A,'Faltantes Fevereiro- Metalfisa'!AB$3,METALFISA!$B:$B,'Faltantes Fevereiro- Metalfisa'!$A342)</f>
        <v>0</v>
      </c>
      <c r="AC342" s="31">
        <f>SUMIFS(METALFISA!$E:$E,METALFISA!$A:$A,'Faltantes Fevereiro- Metalfisa'!AC$3,METALFISA!$B:$B,'Faltantes Fevereiro- Metalfisa'!$A342)</f>
        <v>0</v>
      </c>
      <c r="AD342" s="31">
        <f>SUMIFS(METALFISA!$E:$E,METALFISA!$A:$A,'Faltantes Fevereiro- Metalfisa'!AD$3,METALFISA!$B:$B,'Faltantes Fevereiro- Metalfisa'!$A342)</f>
        <v>0</v>
      </c>
      <c r="AE342" s="31">
        <f>SUMIFS(METALFISA!$E:$E,METALFISA!$A:$A,'Faltantes Fevereiro- Metalfisa'!AE$3,METALFISA!$B:$B,'Faltantes Fevereiro- Metalfisa'!$A342)</f>
        <v>2</v>
      </c>
      <c r="AF342" s="31">
        <f>SUMIFS(METALFISA!$E:$E,METALFISA!$A:$A,'Faltantes Fevereiro- Metalfisa'!AF$3,METALFISA!$B:$B,'Faltantes Fevereiro- Metalfisa'!$A342)</f>
        <v>0</v>
      </c>
      <c r="AG342" s="31">
        <f>SUMIFS(METALFISA!$E:$E,METALFISA!$A:$A,'Faltantes Fevereiro- Metalfisa'!AG$3,METALFISA!$B:$B,'Faltantes Fevereiro- Metalfisa'!$A342)</f>
        <v>0</v>
      </c>
      <c r="AH342" s="31">
        <f>SUMIFS(METALFISA!$E:$E,METALFISA!$A:$A,'Faltantes Fevereiro- Metalfisa'!AH$3,METALFISA!$B:$B,'Faltantes Fevereiro- Metalfisa'!$A342)</f>
        <v>0</v>
      </c>
      <c r="AI342" s="31">
        <f>SUMIFS(METALFISA!$E:$E,METALFISA!$A:$A,'Faltantes Fevereiro- Metalfisa'!AI$3,METALFISA!$B:$B,'Faltantes Fevereiro- Metalfisa'!$A342)</f>
        <v>0</v>
      </c>
      <c r="AJ342" s="31">
        <f>SUMIFS(METALFISA!$E:$E,METALFISA!$A:$A,'Faltantes Fevereiro- Metalfisa'!AJ$3,METALFISA!$B:$B,'Faltantes Fevereiro- Metalfisa'!$A342)</f>
        <v>0</v>
      </c>
      <c r="AK342" s="31">
        <f>SUMIFS(METALFISA!$E:$E,METALFISA!$A:$A,'Faltantes Fevereiro- Metalfisa'!AK$3,METALFISA!$B:$B,'Faltantes Fevereiro- Metalfisa'!$A342)</f>
        <v>0</v>
      </c>
      <c r="AL342" s="31">
        <f>SUMIFS(METALFISA!$E:$E,METALFISA!$A:$A,'Faltantes Fevereiro- Metalfisa'!AL$3,METALFISA!$B:$B,'Faltantes Fevereiro- Metalfisa'!$A342)</f>
        <v>0</v>
      </c>
      <c r="AM342" s="31">
        <f>SUMIFS(METALFISA!$E:$E,METALFISA!$A:$A,'Faltantes Fevereiro- Metalfisa'!AM$3,METALFISA!$B:$B,'Faltantes Fevereiro- Metalfisa'!$A342)</f>
        <v>0</v>
      </c>
      <c r="AN342" s="31">
        <f>SUMIFS(METALFISA!$E:$E,METALFISA!$A:$A,'Faltantes Fevereiro- Metalfisa'!AN$3,METALFISA!$B:$B,'Faltantes Fevereiro- Metalfisa'!$A342)</f>
        <v>0</v>
      </c>
      <c r="AO342" s="31">
        <f>SUMIFS(METALFISA!$E:$E,METALFISA!$A:$A,'Faltantes Fevereiro- Metalfisa'!AO$3,METALFISA!$B:$B,'Faltantes Fevereiro- Metalfisa'!$A342)</f>
        <v>0</v>
      </c>
      <c r="AP342" s="31">
        <f>SUMIFS(METALFISA!$E:$E,METALFISA!$A:$A,'Faltantes Fevereiro- Metalfisa'!AP$3,METALFISA!$B:$B,'Faltantes Fevereiro- Metalfisa'!$A342)</f>
        <v>0</v>
      </c>
      <c r="AQ342" s="31"/>
      <c r="AR342" s="31"/>
      <c r="AS342" s="35"/>
      <c r="AY342" s="41">
        <v>0</v>
      </c>
      <c r="AZ342" s="31">
        <v>0</v>
      </c>
      <c r="BA342" s="31">
        <v>0</v>
      </c>
      <c r="BB342" s="31">
        <v>0</v>
      </c>
      <c r="BC342" s="31">
        <v>0</v>
      </c>
      <c r="BD342" s="31">
        <v>0</v>
      </c>
      <c r="BE342" s="31">
        <v>0</v>
      </c>
      <c r="BF342" s="31">
        <v>0</v>
      </c>
      <c r="BG342" s="31">
        <v>0</v>
      </c>
      <c r="BH342" s="31">
        <v>0</v>
      </c>
      <c r="BI342" s="31">
        <v>0</v>
      </c>
      <c r="BJ342" s="31">
        <v>0</v>
      </c>
      <c r="BK342" s="31">
        <v>0</v>
      </c>
      <c r="BL342" s="31">
        <v>0</v>
      </c>
      <c r="BM342" s="31">
        <v>0</v>
      </c>
      <c r="BN342" s="31">
        <v>1</v>
      </c>
      <c r="BO342" s="31">
        <v>1</v>
      </c>
      <c r="BP342" s="31">
        <v>0</v>
      </c>
      <c r="BQ342" s="31">
        <v>0</v>
      </c>
      <c r="BR342" s="31">
        <v>0</v>
      </c>
      <c r="BS342" s="31">
        <v>0</v>
      </c>
      <c r="BT342" s="31">
        <v>0</v>
      </c>
      <c r="BU342" s="31">
        <v>0</v>
      </c>
      <c r="BV342" s="31">
        <v>0</v>
      </c>
      <c r="BW342" s="31">
        <v>0</v>
      </c>
      <c r="BX342" s="31">
        <v>0</v>
      </c>
      <c r="BY342" s="31">
        <v>0</v>
      </c>
      <c r="BZ342" s="31">
        <v>0</v>
      </c>
      <c r="CA342" s="31">
        <v>0</v>
      </c>
      <c r="CB342" s="31">
        <v>0</v>
      </c>
      <c r="CC342" s="31">
        <v>0</v>
      </c>
      <c r="CD342" s="31">
        <v>0</v>
      </c>
      <c r="CE342" s="31">
        <v>0</v>
      </c>
      <c r="CF342" s="31">
        <v>0</v>
      </c>
      <c r="CG342" s="31">
        <v>0</v>
      </c>
      <c r="CH342" s="31">
        <v>0</v>
      </c>
      <c r="CI342" s="31">
        <v>0</v>
      </c>
      <c r="CJ342" s="31">
        <v>0</v>
      </c>
      <c r="CK342" s="31">
        <v>0</v>
      </c>
      <c r="CL342" s="35">
        <v>0</v>
      </c>
    </row>
    <row r="343" spans="1:90" ht="21" x14ac:dyDescent="0.15">
      <c r="A343" s="31" t="s">
        <v>1704</v>
      </c>
      <c r="B343" s="30" t="s">
        <v>1705</v>
      </c>
      <c r="C343" s="28">
        <v>0</v>
      </c>
      <c r="D343" s="28">
        <v>0</v>
      </c>
      <c r="E343" s="28">
        <v>0</v>
      </c>
      <c r="F343" s="28">
        <v>0</v>
      </c>
      <c r="G343" s="28">
        <v>7</v>
      </c>
      <c r="H343" s="28">
        <f>IFERROR(VLOOKUP(A343,[1]FALTANTES!$A:$AB,28,FALSE),"-")</f>
        <v>0</v>
      </c>
      <c r="I343" s="42">
        <f>IFERROR(VLOOKUP(A343,[1]FALTANTES!$A:$AC,29,FALSE),"-")</f>
        <v>2</v>
      </c>
      <c r="J343" s="29">
        <f>IFERROR(VLOOKUP(A343,[1]FALTANTES!$A:$AD,30,FALSE),"-")</f>
        <v>-5</v>
      </c>
      <c r="K343" s="30">
        <v>0</v>
      </c>
      <c r="L343" s="30">
        <f t="shared" si="6"/>
        <v>2</v>
      </c>
      <c r="M343" s="31">
        <f>SUMIFS(METALFISA!$E:$E,METALFISA!$A:$A,'Faltantes Fevereiro- Metalfisa'!M$3,METALFISA!$B:$B,'Faltantes Fevereiro- Metalfisa'!$A343)</f>
        <v>0</v>
      </c>
      <c r="N343" s="31">
        <f>SUMIFS(METALFISA!$E:$E,METALFISA!$A:$A,'Faltantes Fevereiro- Metalfisa'!N$3,METALFISA!$B:$B,'Faltantes Fevereiro- Metalfisa'!$A343)</f>
        <v>0</v>
      </c>
      <c r="O343" s="31">
        <f>SUMIFS(METALFISA!$E:$E,METALFISA!$A:$A,'Faltantes Fevereiro- Metalfisa'!O$3,METALFISA!$B:$B,'Faltantes Fevereiro- Metalfisa'!$A343)</f>
        <v>0</v>
      </c>
      <c r="P343" s="31">
        <f>SUMIFS(METALFISA!$E:$E,METALFISA!$A:$A,'Faltantes Fevereiro- Metalfisa'!P$3,METALFISA!$B:$B,'Faltantes Fevereiro- Metalfisa'!$A343)</f>
        <v>0</v>
      </c>
      <c r="Q343" s="31">
        <f>SUMIFS(METALFISA!$E:$E,METALFISA!$A:$A,'Faltantes Fevereiro- Metalfisa'!Q$3,METALFISA!$B:$B,'Faltantes Fevereiro- Metalfisa'!$A343)</f>
        <v>0</v>
      </c>
      <c r="R343" s="31">
        <f>SUMIFS(METALFISA!$E:$E,METALFISA!$A:$A,'Faltantes Fevereiro- Metalfisa'!R$3,METALFISA!$B:$B,'Faltantes Fevereiro- Metalfisa'!$A343)</f>
        <v>0</v>
      </c>
      <c r="S343" s="31">
        <f>SUMIFS(METALFISA!$E:$E,METALFISA!$A:$A,'Faltantes Fevereiro- Metalfisa'!S$3,METALFISA!$B:$B,'Faltantes Fevereiro- Metalfisa'!$A343)</f>
        <v>0</v>
      </c>
      <c r="T343" s="31">
        <f>SUMIFS(METALFISA!$E:$E,METALFISA!$A:$A,'Faltantes Fevereiro- Metalfisa'!T$3,METALFISA!$B:$B,'Faltantes Fevereiro- Metalfisa'!$A343)</f>
        <v>0</v>
      </c>
      <c r="U343" s="31">
        <f>SUMIFS(METALFISA!$E:$E,METALFISA!$A:$A,'Faltantes Fevereiro- Metalfisa'!U$3,METALFISA!$B:$B,'Faltantes Fevereiro- Metalfisa'!$A343)</f>
        <v>0</v>
      </c>
      <c r="V343" s="31">
        <f>SUMIFS(METALFISA!$E:$E,METALFISA!$A:$A,'Faltantes Fevereiro- Metalfisa'!V$3,METALFISA!$B:$B,'Faltantes Fevereiro- Metalfisa'!$A343)</f>
        <v>0</v>
      </c>
      <c r="W343" s="31">
        <f>SUMIFS(METALFISA!$E:$E,METALFISA!$A:$A,'Faltantes Fevereiro- Metalfisa'!W$3,METALFISA!$B:$B,'Faltantes Fevereiro- Metalfisa'!$A343)</f>
        <v>0</v>
      </c>
      <c r="X343" s="31">
        <f>SUMIFS(METALFISA!$E:$E,METALFISA!$A:$A,'Faltantes Fevereiro- Metalfisa'!X$3,METALFISA!$B:$B,'Faltantes Fevereiro- Metalfisa'!$A343)</f>
        <v>0</v>
      </c>
      <c r="Y343" s="31">
        <f>SUMIFS(METALFISA!$E:$E,METALFISA!$A:$A,'Faltantes Fevereiro- Metalfisa'!Y$3,METALFISA!$B:$B,'Faltantes Fevereiro- Metalfisa'!$A343)</f>
        <v>0</v>
      </c>
      <c r="Z343" s="31">
        <f>SUMIFS(METALFISA!$E:$E,METALFISA!$A:$A,'Faltantes Fevereiro- Metalfisa'!Z$3,METALFISA!$B:$B,'Faltantes Fevereiro- Metalfisa'!$A343)</f>
        <v>0</v>
      </c>
      <c r="AA343" s="31">
        <f>SUMIFS(METALFISA!$E:$E,METALFISA!$A:$A,'Faltantes Fevereiro- Metalfisa'!AA$3,METALFISA!$B:$B,'Faltantes Fevereiro- Metalfisa'!$A343)</f>
        <v>0</v>
      </c>
      <c r="AB343" s="31">
        <f>SUMIFS(METALFISA!$E:$E,METALFISA!$A:$A,'Faltantes Fevereiro- Metalfisa'!AB$3,METALFISA!$B:$B,'Faltantes Fevereiro- Metalfisa'!$A343)</f>
        <v>0</v>
      </c>
      <c r="AC343" s="31">
        <f>SUMIFS(METALFISA!$E:$E,METALFISA!$A:$A,'Faltantes Fevereiro- Metalfisa'!AC$3,METALFISA!$B:$B,'Faltantes Fevereiro- Metalfisa'!$A343)</f>
        <v>0</v>
      </c>
      <c r="AD343" s="31">
        <f>SUMIFS(METALFISA!$E:$E,METALFISA!$A:$A,'Faltantes Fevereiro- Metalfisa'!AD$3,METALFISA!$B:$B,'Faltantes Fevereiro- Metalfisa'!$A343)</f>
        <v>0</v>
      </c>
      <c r="AE343" s="31">
        <f>SUMIFS(METALFISA!$E:$E,METALFISA!$A:$A,'Faltantes Fevereiro- Metalfisa'!AE$3,METALFISA!$B:$B,'Faltantes Fevereiro- Metalfisa'!$A343)</f>
        <v>2</v>
      </c>
      <c r="AF343" s="31">
        <f>SUMIFS(METALFISA!$E:$E,METALFISA!$A:$A,'Faltantes Fevereiro- Metalfisa'!AF$3,METALFISA!$B:$B,'Faltantes Fevereiro- Metalfisa'!$A343)</f>
        <v>0</v>
      </c>
      <c r="AG343" s="31">
        <f>SUMIFS(METALFISA!$E:$E,METALFISA!$A:$A,'Faltantes Fevereiro- Metalfisa'!AG$3,METALFISA!$B:$B,'Faltantes Fevereiro- Metalfisa'!$A343)</f>
        <v>0</v>
      </c>
      <c r="AH343" s="31">
        <f>SUMIFS(METALFISA!$E:$E,METALFISA!$A:$A,'Faltantes Fevereiro- Metalfisa'!AH$3,METALFISA!$B:$B,'Faltantes Fevereiro- Metalfisa'!$A343)</f>
        <v>0</v>
      </c>
      <c r="AI343" s="31">
        <f>SUMIFS(METALFISA!$E:$E,METALFISA!$A:$A,'Faltantes Fevereiro- Metalfisa'!AI$3,METALFISA!$B:$B,'Faltantes Fevereiro- Metalfisa'!$A343)</f>
        <v>0</v>
      </c>
      <c r="AJ343" s="31">
        <f>SUMIFS(METALFISA!$E:$E,METALFISA!$A:$A,'Faltantes Fevereiro- Metalfisa'!AJ$3,METALFISA!$B:$B,'Faltantes Fevereiro- Metalfisa'!$A343)</f>
        <v>0</v>
      </c>
      <c r="AK343" s="31">
        <f>SUMIFS(METALFISA!$E:$E,METALFISA!$A:$A,'Faltantes Fevereiro- Metalfisa'!AK$3,METALFISA!$B:$B,'Faltantes Fevereiro- Metalfisa'!$A343)</f>
        <v>0</v>
      </c>
      <c r="AL343" s="31">
        <f>SUMIFS(METALFISA!$E:$E,METALFISA!$A:$A,'Faltantes Fevereiro- Metalfisa'!AL$3,METALFISA!$B:$B,'Faltantes Fevereiro- Metalfisa'!$A343)</f>
        <v>0</v>
      </c>
      <c r="AM343" s="31">
        <f>SUMIFS(METALFISA!$E:$E,METALFISA!$A:$A,'Faltantes Fevereiro- Metalfisa'!AM$3,METALFISA!$B:$B,'Faltantes Fevereiro- Metalfisa'!$A343)</f>
        <v>0</v>
      </c>
      <c r="AN343" s="31">
        <f>SUMIFS(METALFISA!$E:$E,METALFISA!$A:$A,'Faltantes Fevereiro- Metalfisa'!AN$3,METALFISA!$B:$B,'Faltantes Fevereiro- Metalfisa'!$A343)</f>
        <v>0</v>
      </c>
      <c r="AO343" s="31">
        <f>SUMIFS(METALFISA!$E:$E,METALFISA!$A:$A,'Faltantes Fevereiro- Metalfisa'!AO$3,METALFISA!$B:$B,'Faltantes Fevereiro- Metalfisa'!$A343)</f>
        <v>0</v>
      </c>
      <c r="AP343" s="31">
        <f>SUMIFS(METALFISA!$E:$E,METALFISA!$A:$A,'Faltantes Fevereiro- Metalfisa'!AP$3,METALFISA!$B:$B,'Faltantes Fevereiro- Metalfisa'!$A343)</f>
        <v>0</v>
      </c>
      <c r="AQ343" s="31"/>
      <c r="AR343" s="31"/>
      <c r="AS343" s="35"/>
      <c r="AY343" s="41">
        <v>0</v>
      </c>
      <c r="AZ343" s="31">
        <v>0</v>
      </c>
      <c r="BA343" s="31">
        <v>0</v>
      </c>
      <c r="BB343" s="31">
        <v>0</v>
      </c>
      <c r="BC343" s="31">
        <v>0</v>
      </c>
      <c r="BD343" s="31">
        <v>0</v>
      </c>
      <c r="BE343" s="31">
        <v>0</v>
      </c>
      <c r="BF343" s="31">
        <v>0</v>
      </c>
      <c r="BG343" s="31">
        <v>0</v>
      </c>
      <c r="BH343" s="31">
        <v>0</v>
      </c>
      <c r="BI343" s="31">
        <v>0</v>
      </c>
      <c r="BJ343" s="31">
        <v>0</v>
      </c>
      <c r="BK343" s="31">
        <v>0</v>
      </c>
      <c r="BL343" s="31">
        <v>0</v>
      </c>
      <c r="BM343" s="31">
        <v>0</v>
      </c>
      <c r="BN343" s="31">
        <v>1</v>
      </c>
      <c r="BO343" s="31">
        <v>1</v>
      </c>
      <c r="BP343" s="31">
        <v>0</v>
      </c>
      <c r="BQ343" s="31">
        <v>0</v>
      </c>
      <c r="BR343" s="31">
        <v>0</v>
      </c>
      <c r="BS343" s="31">
        <v>0</v>
      </c>
      <c r="BT343" s="31">
        <v>0</v>
      </c>
      <c r="BU343" s="31">
        <v>0</v>
      </c>
      <c r="BV343" s="31">
        <v>0</v>
      </c>
      <c r="BW343" s="31">
        <v>0</v>
      </c>
      <c r="BX343" s="31">
        <v>0</v>
      </c>
      <c r="BY343" s="31">
        <v>0</v>
      </c>
      <c r="BZ343" s="31">
        <v>0</v>
      </c>
      <c r="CA343" s="31">
        <v>0</v>
      </c>
      <c r="CB343" s="31">
        <v>0</v>
      </c>
      <c r="CC343" s="31">
        <v>0</v>
      </c>
      <c r="CD343" s="31">
        <v>0</v>
      </c>
      <c r="CE343" s="31">
        <v>0</v>
      </c>
      <c r="CF343" s="31">
        <v>0</v>
      </c>
      <c r="CG343" s="31">
        <v>0</v>
      </c>
      <c r="CH343" s="31">
        <v>0</v>
      </c>
      <c r="CI343" s="31">
        <v>0</v>
      </c>
      <c r="CJ343" s="31">
        <v>0</v>
      </c>
      <c r="CK343" s="31">
        <v>0</v>
      </c>
      <c r="CL343" s="35">
        <v>0</v>
      </c>
    </row>
    <row r="344" spans="1:90" ht="21" x14ac:dyDescent="0.15">
      <c r="A344" s="31" t="s">
        <v>1707</v>
      </c>
      <c r="B344" s="30" t="s">
        <v>1708</v>
      </c>
      <c r="C344" s="28">
        <v>0</v>
      </c>
      <c r="D344" s="28">
        <v>0</v>
      </c>
      <c r="E344" s="28">
        <v>0</v>
      </c>
      <c r="F344" s="28">
        <v>0</v>
      </c>
      <c r="G344" s="28">
        <v>9</v>
      </c>
      <c r="H344" s="28">
        <f>IFERROR(VLOOKUP(A344,[1]FALTANTES!$A:$AB,28,FALSE),"-")</f>
        <v>0</v>
      </c>
      <c r="I344" s="42">
        <f>IFERROR(VLOOKUP(A344,[1]FALTANTES!$A:$AC,29,FALSE),"-")</f>
        <v>0</v>
      </c>
      <c r="J344" s="29">
        <f>IFERROR(VLOOKUP(A344,[1]FALTANTES!$A:$AD,30,FALSE),"-")</f>
        <v>-9</v>
      </c>
      <c r="K344" s="30">
        <v>0</v>
      </c>
      <c r="L344" s="30">
        <f t="shared" ref="L344:L399" si="7">SUM(M344:AS344)</f>
        <v>2</v>
      </c>
      <c r="M344" s="31">
        <f>SUMIFS(METALFISA!$E:$E,METALFISA!$A:$A,'Faltantes Fevereiro- Metalfisa'!M$3,METALFISA!$B:$B,'Faltantes Fevereiro- Metalfisa'!$A344)</f>
        <v>0</v>
      </c>
      <c r="N344" s="31">
        <f>SUMIFS(METALFISA!$E:$E,METALFISA!$A:$A,'Faltantes Fevereiro- Metalfisa'!N$3,METALFISA!$B:$B,'Faltantes Fevereiro- Metalfisa'!$A344)</f>
        <v>0</v>
      </c>
      <c r="O344" s="31">
        <f>SUMIFS(METALFISA!$E:$E,METALFISA!$A:$A,'Faltantes Fevereiro- Metalfisa'!O$3,METALFISA!$B:$B,'Faltantes Fevereiro- Metalfisa'!$A344)</f>
        <v>0</v>
      </c>
      <c r="P344" s="31">
        <f>SUMIFS(METALFISA!$E:$E,METALFISA!$A:$A,'Faltantes Fevereiro- Metalfisa'!P$3,METALFISA!$B:$B,'Faltantes Fevereiro- Metalfisa'!$A344)</f>
        <v>0</v>
      </c>
      <c r="Q344" s="31">
        <f>SUMIFS(METALFISA!$E:$E,METALFISA!$A:$A,'Faltantes Fevereiro- Metalfisa'!Q$3,METALFISA!$B:$B,'Faltantes Fevereiro- Metalfisa'!$A344)</f>
        <v>0</v>
      </c>
      <c r="R344" s="31">
        <f>SUMIFS(METALFISA!$E:$E,METALFISA!$A:$A,'Faltantes Fevereiro- Metalfisa'!R$3,METALFISA!$B:$B,'Faltantes Fevereiro- Metalfisa'!$A344)</f>
        <v>0</v>
      </c>
      <c r="S344" s="31">
        <f>SUMIFS(METALFISA!$E:$E,METALFISA!$A:$A,'Faltantes Fevereiro- Metalfisa'!S$3,METALFISA!$B:$B,'Faltantes Fevereiro- Metalfisa'!$A344)</f>
        <v>0</v>
      </c>
      <c r="T344" s="31">
        <f>SUMIFS(METALFISA!$E:$E,METALFISA!$A:$A,'Faltantes Fevereiro- Metalfisa'!T$3,METALFISA!$B:$B,'Faltantes Fevereiro- Metalfisa'!$A344)</f>
        <v>0</v>
      </c>
      <c r="U344" s="31">
        <f>SUMIFS(METALFISA!$E:$E,METALFISA!$A:$A,'Faltantes Fevereiro- Metalfisa'!U$3,METALFISA!$B:$B,'Faltantes Fevereiro- Metalfisa'!$A344)</f>
        <v>0</v>
      </c>
      <c r="V344" s="31">
        <f>SUMIFS(METALFISA!$E:$E,METALFISA!$A:$A,'Faltantes Fevereiro- Metalfisa'!V$3,METALFISA!$B:$B,'Faltantes Fevereiro- Metalfisa'!$A344)</f>
        <v>0</v>
      </c>
      <c r="W344" s="31">
        <f>SUMIFS(METALFISA!$E:$E,METALFISA!$A:$A,'Faltantes Fevereiro- Metalfisa'!W$3,METALFISA!$B:$B,'Faltantes Fevereiro- Metalfisa'!$A344)</f>
        <v>0</v>
      </c>
      <c r="X344" s="31">
        <f>SUMIFS(METALFISA!$E:$E,METALFISA!$A:$A,'Faltantes Fevereiro- Metalfisa'!X$3,METALFISA!$B:$B,'Faltantes Fevereiro- Metalfisa'!$A344)</f>
        <v>0</v>
      </c>
      <c r="Y344" s="31">
        <f>SUMIFS(METALFISA!$E:$E,METALFISA!$A:$A,'Faltantes Fevereiro- Metalfisa'!Y$3,METALFISA!$B:$B,'Faltantes Fevereiro- Metalfisa'!$A344)</f>
        <v>0</v>
      </c>
      <c r="Z344" s="31">
        <f>SUMIFS(METALFISA!$E:$E,METALFISA!$A:$A,'Faltantes Fevereiro- Metalfisa'!Z$3,METALFISA!$B:$B,'Faltantes Fevereiro- Metalfisa'!$A344)</f>
        <v>0</v>
      </c>
      <c r="AA344" s="31">
        <f>SUMIFS(METALFISA!$E:$E,METALFISA!$A:$A,'Faltantes Fevereiro- Metalfisa'!AA$3,METALFISA!$B:$B,'Faltantes Fevereiro- Metalfisa'!$A344)</f>
        <v>0</v>
      </c>
      <c r="AB344" s="31">
        <f>SUMIFS(METALFISA!$E:$E,METALFISA!$A:$A,'Faltantes Fevereiro- Metalfisa'!AB$3,METALFISA!$B:$B,'Faltantes Fevereiro- Metalfisa'!$A344)</f>
        <v>0</v>
      </c>
      <c r="AC344" s="31">
        <f>SUMIFS(METALFISA!$E:$E,METALFISA!$A:$A,'Faltantes Fevereiro- Metalfisa'!AC$3,METALFISA!$B:$B,'Faltantes Fevereiro- Metalfisa'!$A344)</f>
        <v>0</v>
      </c>
      <c r="AD344" s="31">
        <f>SUMIFS(METALFISA!$E:$E,METALFISA!$A:$A,'Faltantes Fevereiro- Metalfisa'!AD$3,METALFISA!$B:$B,'Faltantes Fevereiro- Metalfisa'!$A344)</f>
        <v>0</v>
      </c>
      <c r="AE344" s="31">
        <f>SUMIFS(METALFISA!$E:$E,METALFISA!$A:$A,'Faltantes Fevereiro- Metalfisa'!AE$3,METALFISA!$B:$B,'Faltantes Fevereiro- Metalfisa'!$A344)</f>
        <v>2</v>
      </c>
      <c r="AF344" s="31">
        <f>SUMIFS(METALFISA!$E:$E,METALFISA!$A:$A,'Faltantes Fevereiro- Metalfisa'!AF$3,METALFISA!$B:$B,'Faltantes Fevereiro- Metalfisa'!$A344)</f>
        <v>0</v>
      </c>
      <c r="AG344" s="31">
        <f>SUMIFS(METALFISA!$E:$E,METALFISA!$A:$A,'Faltantes Fevereiro- Metalfisa'!AG$3,METALFISA!$B:$B,'Faltantes Fevereiro- Metalfisa'!$A344)</f>
        <v>0</v>
      </c>
      <c r="AH344" s="31">
        <f>SUMIFS(METALFISA!$E:$E,METALFISA!$A:$A,'Faltantes Fevereiro- Metalfisa'!AH$3,METALFISA!$B:$B,'Faltantes Fevereiro- Metalfisa'!$A344)</f>
        <v>0</v>
      </c>
      <c r="AI344" s="31">
        <f>SUMIFS(METALFISA!$E:$E,METALFISA!$A:$A,'Faltantes Fevereiro- Metalfisa'!AI$3,METALFISA!$B:$B,'Faltantes Fevereiro- Metalfisa'!$A344)</f>
        <v>0</v>
      </c>
      <c r="AJ344" s="31">
        <f>SUMIFS(METALFISA!$E:$E,METALFISA!$A:$A,'Faltantes Fevereiro- Metalfisa'!AJ$3,METALFISA!$B:$B,'Faltantes Fevereiro- Metalfisa'!$A344)</f>
        <v>0</v>
      </c>
      <c r="AK344" s="31">
        <f>SUMIFS(METALFISA!$E:$E,METALFISA!$A:$A,'Faltantes Fevereiro- Metalfisa'!AK$3,METALFISA!$B:$B,'Faltantes Fevereiro- Metalfisa'!$A344)</f>
        <v>0</v>
      </c>
      <c r="AL344" s="31">
        <f>SUMIFS(METALFISA!$E:$E,METALFISA!$A:$A,'Faltantes Fevereiro- Metalfisa'!AL$3,METALFISA!$B:$B,'Faltantes Fevereiro- Metalfisa'!$A344)</f>
        <v>0</v>
      </c>
      <c r="AM344" s="31">
        <f>SUMIFS(METALFISA!$E:$E,METALFISA!$A:$A,'Faltantes Fevereiro- Metalfisa'!AM$3,METALFISA!$B:$B,'Faltantes Fevereiro- Metalfisa'!$A344)</f>
        <v>0</v>
      </c>
      <c r="AN344" s="31">
        <f>SUMIFS(METALFISA!$E:$E,METALFISA!$A:$A,'Faltantes Fevereiro- Metalfisa'!AN$3,METALFISA!$B:$B,'Faltantes Fevereiro- Metalfisa'!$A344)</f>
        <v>0</v>
      </c>
      <c r="AO344" s="31">
        <f>SUMIFS(METALFISA!$E:$E,METALFISA!$A:$A,'Faltantes Fevereiro- Metalfisa'!AO$3,METALFISA!$B:$B,'Faltantes Fevereiro- Metalfisa'!$A344)</f>
        <v>0</v>
      </c>
      <c r="AP344" s="31">
        <f>SUMIFS(METALFISA!$E:$E,METALFISA!$A:$A,'Faltantes Fevereiro- Metalfisa'!AP$3,METALFISA!$B:$B,'Faltantes Fevereiro- Metalfisa'!$A344)</f>
        <v>0</v>
      </c>
      <c r="AQ344" s="31"/>
      <c r="AR344" s="31"/>
      <c r="AS344" s="35"/>
      <c r="AY344" s="41">
        <v>0</v>
      </c>
      <c r="AZ344" s="31">
        <v>0</v>
      </c>
      <c r="BA344" s="31">
        <v>0</v>
      </c>
      <c r="BB344" s="31">
        <v>0</v>
      </c>
      <c r="BC344" s="31">
        <v>0</v>
      </c>
      <c r="BD344" s="31">
        <v>0</v>
      </c>
      <c r="BE344" s="31">
        <v>0</v>
      </c>
      <c r="BF344" s="31">
        <v>0</v>
      </c>
      <c r="BG344" s="31">
        <v>0</v>
      </c>
      <c r="BH344" s="31">
        <v>0</v>
      </c>
      <c r="BI344" s="31">
        <v>0</v>
      </c>
      <c r="BJ344" s="31">
        <v>0</v>
      </c>
      <c r="BK344" s="31">
        <v>0</v>
      </c>
      <c r="BL344" s="31">
        <v>0</v>
      </c>
      <c r="BM344" s="31">
        <v>0</v>
      </c>
      <c r="BN344" s="31">
        <v>1</v>
      </c>
      <c r="BO344" s="31">
        <v>1</v>
      </c>
      <c r="BP344" s="31">
        <v>0</v>
      </c>
      <c r="BQ344" s="31">
        <v>0</v>
      </c>
      <c r="BR344" s="31">
        <v>0</v>
      </c>
      <c r="BS344" s="31">
        <v>0</v>
      </c>
      <c r="BT344" s="31">
        <v>0</v>
      </c>
      <c r="BU344" s="31">
        <v>0</v>
      </c>
      <c r="BV344" s="31">
        <v>0</v>
      </c>
      <c r="BW344" s="31">
        <v>0</v>
      </c>
      <c r="BX344" s="31">
        <v>0</v>
      </c>
      <c r="BY344" s="31">
        <v>0</v>
      </c>
      <c r="BZ344" s="31">
        <v>0</v>
      </c>
      <c r="CA344" s="31">
        <v>0</v>
      </c>
      <c r="CB344" s="31">
        <v>0</v>
      </c>
      <c r="CC344" s="31">
        <v>0</v>
      </c>
      <c r="CD344" s="31">
        <v>0</v>
      </c>
      <c r="CE344" s="31">
        <v>0</v>
      </c>
      <c r="CF344" s="31">
        <v>0</v>
      </c>
      <c r="CG344" s="31">
        <v>0</v>
      </c>
      <c r="CH344" s="31">
        <v>0</v>
      </c>
      <c r="CI344" s="31">
        <v>0</v>
      </c>
      <c r="CJ344" s="31">
        <v>0</v>
      </c>
      <c r="CK344" s="31">
        <v>0</v>
      </c>
      <c r="CL344" s="35">
        <v>0</v>
      </c>
    </row>
    <row r="345" spans="1:90" ht="21" x14ac:dyDescent="0.15">
      <c r="A345" s="31" t="s">
        <v>1712</v>
      </c>
      <c r="B345" s="30" t="s">
        <v>1713</v>
      </c>
      <c r="C345" s="28">
        <v>1</v>
      </c>
      <c r="D345" s="28">
        <v>0</v>
      </c>
      <c r="E345" s="28">
        <v>0</v>
      </c>
      <c r="F345" s="28">
        <v>0</v>
      </c>
      <c r="G345" s="28">
        <v>9</v>
      </c>
      <c r="H345" s="28">
        <f>IFERROR(VLOOKUP(A345,[1]FALTANTES!$A:$AB,28,FALSE),"-")</f>
        <v>1</v>
      </c>
      <c r="I345" s="42">
        <f>IFERROR(VLOOKUP(A345,[1]FALTANTES!$A:$AC,29,FALSE),"-")</f>
        <v>0</v>
      </c>
      <c r="J345" s="29">
        <f>IFERROR(VLOOKUP(A345,[1]FALTANTES!$A:$AD,30,FALSE),"-")</f>
        <v>-10</v>
      </c>
      <c r="K345" s="30">
        <v>0</v>
      </c>
      <c r="L345" s="30">
        <f t="shared" si="7"/>
        <v>2</v>
      </c>
      <c r="M345" s="31">
        <f>SUMIFS(METALFISA!$E:$E,METALFISA!$A:$A,'Faltantes Fevereiro- Metalfisa'!M$3,METALFISA!$B:$B,'Faltantes Fevereiro- Metalfisa'!$A345)</f>
        <v>0</v>
      </c>
      <c r="N345" s="31">
        <f>SUMIFS(METALFISA!$E:$E,METALFISA!$A:$A,'Faltantes Fevereiro- Metalfisa'!N$3,METALFISA!$B:$B,'Faltantes Fevereiro- Metalfisa'!$A345)</f>
        <v>0</v>
      </c>
      <c r="O345" s="31">
        <f>SUMIFS(METALFISA!$E:$E,METALFISA!$A:$A,'Faltantes Fevereiro- Metalfisa'!O$3,METALFISA!$B:$B,'Faltantes Fevereiro- Metalfisa'!$A345)</f>
        <v>0</v>
      </c>
      <c r="P345" s="31">
        <f>SUMIFS(METALFISA!$E:$E,METALFISA!$A:$A,'Faltantes Fevereiro- Metalfisa'!P$3,METALFISA!$B:$B,'Faltantes Fevereiro- Metalfisa'!$A345)</f>
        <v>0</v>
      </c>
      <c r="Q345" s="31">
        <f>SUMIFS(METALFISA!$E:$E,METALFISA!$A:$A,'Faltantes Fevereiro- Metalfisa'!Q$3,METALFISA!$B:$B,'Faltantes Fevereiro- Metalfisa'!$A345)</f>
        <v>0</v>
      </c>
      <c r="R345" s="31">
        <f>SUMIFS(METALFISA!$E:$E,METALFISA!$A:$A,'Faltantes Fevereiro- Metalfisa'!R$3,METALFISA!$B:$B,'Faltantes Fevereiro- Metalfisa'!$A345)</f>
        <v>0</v>
      </c>
      <c r="S345" s="31">
        <f>SUMIFS(METALFISA!$E:$E,METALFISA!$A:$A,'Faltantes Fevereiro- Metalfisa'!S$3,METALFISA!$B:$B,'Faltantes Fevereiro- Metalfisa'!$A345)</f>
        <v>0</v>
      </c>
      <c r="T345" s="31">
        <f>SUMIFS(METALFISA!$E:$E,METALFISA!$A:$A,'Faltantes Fevereiro- Metalfisa'!T$3,METALFISA!$B:$B,'Faltantes Fevereiro- Metalfisa'!$A345)</f>
        <v>0</v>
      </c>
      <c r="U345" s="31">
        <f>SUMIFS(METALFISA!$E:$E,METALFISA!$A:$A,'Faltantes Fevereiro- Metalfisa'!U$3,METALFISA!$B:$B,'Faltantes Fevereiro- Metalfisa'!$A345)</f>
        <v>0</v>
      </c>
      <c r="V345" s="31">
        <f>SUMIFS(METALFISA!$E:$E,METALFISA!$A:$A,'Faltantes Fevereiro- Metalfisa'!V$3,METALFISA!$B:$B,'Faltantes Fevereiro- Metalfisa'!$A345)</f>
        <v>0</v>
      </c>
      <c r="W345" s="31">
        <f>SUMIFS(METALFISA!$E:$E,METALFISA!$A:$A,'Faltantes Fevereiro- Metalfisa'!W$3,METALFISA!$B:$B,'Faltantes Fevereiro- Metalfisa'!$A345)</f>
        <v>0</v>
      </c>
      <c r="X345" s="31">
        <f>SUMIFS(METALFISA!$E:$E,METALFISA!$A:$A,'Faltantes Fevereiro- Metalfisa'!X$3,METALFISA!$B:$B,'Faltantes Fevereiro- Metalfisa'!$A345)</f>
        <v>0</v>
      </c>
      <c r="Y345" s="31">
        <f>SUMIFS(METALFISA!$E:$E,METALFISA!$A:$A,'Faltantes Fevereiro- Metalfisa'!Y$3,METALFISA!$B:$B,'Faltantes Fevereiro- Metalfisa'!$A345)</f>
        <v>0</v>
      </c>
      <c r="Z345" s="31">
        <f>SUMIFS(METALFISA!$E:$E,METALFISA!$A:$A,'Faltantes Fevereiro- Metalfisa'!Z$3,METALFISA!$B:$B,'Faltantes Fevereiro- Metalfisa'!$A345)</f>
        <v>0</v>
      </c>
      <c r="AA345" s="31">
        <f>SUMIFS(METALFISA!$E:$E,METALFISA!$A:$A,'Faltantes Fevereiro- Metalfisa'!AA$3,METALFISA!$B:$B,'Faltantes Fevereiro- Metalfisa'!$A345)</f>
        <v>0</v>
      </c>
      <c r="AB345" s="31">
        <f>SUMIFS(METALFISA!$E:$E,METALFISA!$A:$A,'Faltantes Fevereiro- Metalfisa'!AB$3,METALFISA!$B:$B,'Faltantes Fevereiro- Metalfisa'!$A345)</f>
        <v>0</v>
      </c>
      <c r="AC345" s="31">
        <f>SUMIFS(METALFISA!$E:$E,METALFISA!$A:$A,'Faltantes Fevereiro- Metalfisa'!AC$3,METALFISA!$B:$B,'Faltantes Fevereiro- Metalfisa'!$A345)</f>
        <v>0</v>
      </c>
      <c r="AD345" s="31">
        <f>SUMIFS(METALFISA!$E:$E,METALFISA!$A:$A,'Faltantes Fevereiro- Metalfisa'!AD$3,METALFISA!$B:$B,'Faltantes Fevereiro- Metalfisa'!$A345)</f>
        <v>0</v>
      </c>
      <c r="AE345" s="31">
        <f>SUMIFS(METALFISA!$E:$E,METALFISA!$A:$A,'Faltantes Fevereiro- Metalfisa'!AE$3,METALFISA!$B:$B,'Faltantes Fevereiro- Metalfisa'!$A345)</f>
        <v>2</v>
      </c>
      <c r="AF345" s="31">
        <f>SUMIFS(METALFISA!$E:$E,METALFISA!$A:$A,'Faltantes Fevereiro- Metalfisa'!AF$3,METALFISA!$B:$B,'Faltantes Fevereiro- Metalfisa'!$A345)</f>
        <v>0</v>
      </c>
      <c r="AG345" s="31">
        <f>SUMIFS(METALFISA!$E:$E,METALFISA!$A:$A,'Faltantes Fevereiro- Metalfisa'!AG$3,METALFISA!$B:$B,'Faltantes Fevereiro- Metalfisa'!$A345)</f>
        <v>0</v>
      </c>
      <c r="AH345" s="31">
        <f>SUMIFS(METALFISA!$E:$E,METALFISA!$A:$A,'Faltantes Fevereiro- Metalfisa'!AH$3,METALFISA!$B:$B,'Faltantes Fevereiro- Metalfisa'!$A345)</f>
        <v>0</v>
      </c>
      <c r="AI345" s="31">
        <f>SUMIFS(METALFISA!$E:$E,METALFISA!$A:$A,'Faltantes Fevereiro- Metalfisa'!AI$3,METALFISA!$B:$B,'Faltantes Fevereiro- Metalfisa'!$A345)</f>
        <v>0</v>
      </c>
      <c r="AJ345" s="31">
        <f>SUMIFS(METALFISA!$E:$E,METALFISA!$A:$A,'Faltantes Fevereiro- Metalfisa'!AJ$3,METALFISA!$B:$B,'Faltantes Fevereiro- Metalfisa'!$A345)</f>
        <v>0</v>
      </c>
      <c r="AK345" s="31">
        <f>SUMIFS(METALFISA!$E:$E,METALFISA!$A:$A,'Faltantes Fevereiro- Metalfisa'!AK$3,METALFISA!$B:$B,'Faltantes Fevereiro- Metalfisa'!$A345)</f>
        <v>0</v>
      </c>
      <c r="AL345" s="31">
        <f>SUMIFS(METALFISA!$E:$E,METALFISA!$A:$A,'Faltantes Fevereiro- Metalfisa'!AL$3,METALFISA!$B:$B,'Faltantes Fevereiro- Metalfisa'!$A345)</f>
        <v>0</v>
      </c>
      <c r="AM345" s="31">
        <f>SUMIFS(METALFISA!$E:$E,METALFISA!$A:$A,'Faltantes Fevereiro- Metalfisa'!AM$3,METALFISA!$B:$B,'Faltantes Fevereiro- Metalfisa'!$A345)</f>
        <v>0</v>
      </c>
      <c r="AN345" s="31">
        <f>SUMIFS(METALFISA!$E:$E,METALFISA!$A:$A,'Faltantes Fevereiro- Metalfisa'!AN$3,METALFISA!$B:$B,'Faltantes Fevereiro- Metalfisa'!$A345)</f>
        <v>0</v>
      </c>
      <c r="AO345" s="31">
        <f>SUMIFS(METALFISA!$E:$E,METALFISA!$A:$A,'Faltantes Fevereiro- Metalfisa'!AO$3,METALFISA!$B:$B,'Faltantes Fevereiro- Metalfisa'!$A345)</f>
        <v>0</v>
      </c>
      <c r="AP345" s="31">
        <f>SUMIFS(METALFISA!$E:$E,METALFISA!$A:$A,'Faltantes Fevereiro- Metalfisa'!AP$3,METALFISA!$B:$B,'Faltantes Fevereiro- Metalfisa'!$A345)</f>
        <v>0</v>
      </c>
      <c r="AQ345" s="31"/>
      <c r="AR345" s="31"/>
      <c r="AS345" s="35"/>
      <c r="AY345" s="41">
        <v>0</v>
      </c>
      <c r="AZ345" s="31">
        <v>0</v>
      </c>
      <c r="BA345" s="31">
        <v>0</v>
      </c>
      <c r="BB345" s="31">
        <v>0</v>
      </c>
      <c r="BC345" s="31">
        <v>0</v>
      </c>
      <c r="BD345" s="31">
        <v>0</v>
      </c>
      <c r="BE345" s="31">
        <v>0</v>
      </c>
      <c r="BF345" s="31">
        <v>0</v>
      </c>
      <c r="BG345" s="31">
        <v>0</v>
      </c>
      <c r="BH345" s="31">
        <v>0</v>
      </c>
      <c r="BI345" s="31">
        <v>0</v>
      </c>
      <c r="BJ345" s="31">
        <v>0</v>
      </c>
      <c r="BK345" s="31">
        <v>0</v>
      </c>
      <c r="BL345" s="31">
        <v>0</v>
      </c>
      <c r="BM345" s="31">
        <v>0</v>
      </c>
      <c r="BN345" s="31">
        <v>1</v>
      </c>
      <c r="BO345" s="31">
        <v>1</v>
      </c>
      <c r="BP345" s="31">
        <v>0</v>
      </c>
      <c r="BQ345" s="31">
        <v>0</v>
      </c>
      <c r="BR345" s="31">
        <v>0</v>
      </c>
      <c r="BS345" s="31">
        <v>0</v>
      </c>
      <c r="BT345" s="31">
        <v>0</v>
      </c>
      <c r="BU345" s="31">
        <v>0</v>
      </c>
      <c r="BV345" s="31">
        <v>0</v>
      </c>
      <c r="BW345" s="31">
        <v>0</v>
      </c>
      <c r="BX345" s="31">
        <v>0</v>
      </c>
      <c r="BY345" s="31">
        <v>0</v>
      </c>
      <c r="BZ345" s="31">
        <v>0</v>
      </c>
      <c r="CA345" s="31">
        <v>0</v>
      </c>
      <c r="CB345" s="31">
        <v>0</v>
      </c>
      <c r="CC345" s="31">
        <v>0</v>
      </c>
      <c r="CD345" s="31">
        <v>0</v>
      </c>
      <c r="CE345" s="31">
        <v>0</v>
      </c>
      <c r="CF345" s="31">
        <v>0</v>
      </c>
      <c r="CG345" s="31">
        <v>0</v>
      </c>
      <c r="CH345" s="31">
        <v>0</v>
      </c>
      <c r="CI345" s="31">
        <v>0</v>
      </c>
      <c r="CJ345" s="31">
        <v>0</v>
      </c>
      <c r="CK345" s="31">
        <v>0</v>
      </c>
      <c r="CL345" s="35">
        <v>0</v>
      </c>
    </row>
    <row r="346" spans="1:90" ht="21" x14ac:dyDescent="0.15">
      <c r="A346" s="31" t="s">
        <v>1715</v>
      </c>
      <c r="B346" s="30" t="s">
        <v>1716</v>
      </c>
      <c r="C346" s="28">
        <v>1</v>
      </c>
      <c r="D346" s="28">
        <v>0</v>
      </c>
      <c r="E346" s="28">
        <v>0</v>
      </c>
      <c r="F346" s="28">
        <v>0</v>
      </c>
      <c r="G346" s="28">
        <v>6</v>
      </c>
      <c r="H346" s="28">
        <f>IFERROR(VLOOKUP(A346,[1]FALTANTES!$A:$AB,28,FALSE),"-")</f>
        <v>0</v>
      </c>
      <c r="I346" s="42">
        <f>IFERROR(VLOOKUP(A346,[1]FALTANTES!$A:$AC,29,FALSE),"-")</f>
        <v>2</v>
      </c>
      <c r="J346" s="29">
        <f>IFERROR(VLOOKUP(A346,[1]FALTANTES!$A:$AD,30,FALSE),"-")</f>
        <v>-5</v>
      </c>
      <c r="K346" s="30">
        <v>0</v>
      </c>
      <c r="L346" s="30">
        <f t="shared" si="7"/>
        <v>3</v>
      </c>
      <c r="M346" s="31">
        <f>SUMIFS(METALFISA!$E:$E,METALFISA!$A:$A,'Faltantes Fevereiro- Metalfisa'!M$3,METALFISA!$B:$B,'Faltantes Fevereiro- Metalfisa'!$A346)</f>
        <v>0</v>
      </c>
      <c r="N346" s="31">
        <f>SUMIFS(METALFISA!$E:$E,METALFISA!$A:$A,'Faltantes Fevereiro- Metalfisa'!N$3,METALFISA!$B:$B,'Faltantes Fevereiro- Metalfisa'!$A346)</f>
        <v>0</v>
      </c>
      <c r="O346" s="31">
        <f>SUMIFS(METALFISA!$E:$E,METALFISA!$A:$A,'Faltantes Fevereiro- Metalfisa'!O$3,METALFISA!$B:$B,'Faltantes Fevereiro- Metalfisa'!$A346)</f>
        <v>0</v>
      </c>
      <c r="P346" s="31">
        <f>SUMIFS(METALFISA!$E:$E,METALFISA!$A:$A,'Faltantes Fevereiro- Metalfisa'!P$3,METALFISA!$B:$B,'Faltantes Fevereiro- Metalfisa'!$A346)</f>
        <v>0</v>
      </c>
      <c r="Q346" s="31">
        <f>SUMIFS(METALFISA!$E:$E,METALFISA!$A:$A,'Faltantes Fevereiro- Metalfisa'!Q$3,METALFISA!$B:$B,'Faltantes Fevereiro- Metalfisa'!$A346)</f>
        <v>0</v>
      </c>
      <c r="R346" s="31">
        <f>SUMIFS(METALFISA!$E:$E,METALFISA!$A:$A,'Faltantes Fevereiro- Metalfisa'!R$3,METALFISA!$B:$B,'Faltantes Fevereiro- Metalfisa'!$A346)</f>
        <v>0</v>
      </c>
      <c r="S346" s="31">
        <f>SUMIFS(METALFISA!$E:$E,METALFISA!$A:$A,'Faltantes Fevereiro- Metalfisa'!S$3,METALFISA!$B:$B,'Faltantes Fevereiro- Metalfisa'!$A346)</f>
        <v>0</v>
      </c>
      <c r="T346" s="31">
        <f>SUMIFS(METALFISA!$E:$E,METALFISA!$A:$A,'Faltantes Fevereiro- Metalfisa'!T$3,METALFISA!$B:$B,'Faltantes Fevereiro- Metalfisa'!$A346)</f>
        <v>0</v>
      </c>
      <c r="U346" s="31">
        <f>SUMIFS(METALFISA!$E:$E,METALFISA!$A:$A,'Faltantes Fevereiro- Metalfisa'!U$3,METALFISA!$B:$B,'Faltantes Fevereiro- Metalfisa'!$A346)</f>
        <v>0</v>
      </c>
      <c r="V346" s="31">
        <f>SUMIFS(METALFISA!$E:$E,METALFISA!$A:$A,'Faltantes Fevereiro- Metalfisa'!V$3,METALFISA!$B:$B,'Faltantes Fevereiro- Metalfisa'!$A346)</f>
        <v>0</v>
      </c>
      <c r="W346" s="31">
        <f>SUMIFS(METALFISA!$E:$E,METALFISA!$A:$A,'Faltantes Fevereiro- Metalfisa'!W$3,METALFISA!$B:$B,'Faltantes Fevereiro- Metalfisa'!$A346)</f>
        <v>0</v>
      </c>
      <c r="X346" s="31">
        <f>SUMIFS(METALFISA!$E:$E,METALFISA!$A:$A,'Faltantes Fevereiro- Metalfisa'!X$3,METALFISA!$B:$B,'Faltantes Fevereiro- Metalfisa'!$A346)</f>
        <v>0</v>
      </c>
      <c r="Y346" s="31">
        <f>SUMIFS(METALFISA!$E:$E,METALFISA!$A:$A,'Faltantes Fevereiro- Metalfisa'!Y$3,METALFISA!$B:$B,'Faltantes Fevereiro- Metalfisa'!$A346)</f>
        <v>0</v>
      </c>
      <c r="Z346" s="31">
        <f>SUMIFS(METALFISA!$E:$E,METALFISA!$A:$A,'Faltantes Fevereiro- Metalfisa'!Z$3,METALFISA!$B:$B,'Faltantes Fevereiro- Metalfisa'!$A346)</f>
        <v>0</v>
      </c>
      <c r="AA346" s="31">
        <f>SUMIFS(METALFISA!$E:$E,METALFISA!$A:$A,'Faltantes Fevereiro- Metalfisa'!AA$3,METALFISA!$B:$B,'Faltantes Fevereiro- Metalfisa'!$A346)</f>
        <v>0</v>
      </c>
      <c r="AB346" s="31">
        <f>SUMIFS(METALFISA!$E:$E,METALFISA!$A:$A,'Faltantes Fevereiro- Metalfisa'!AB$3,METALFISA!$B:$B,'Faltantes Fevereiro- Metalfisa'!$A346)</f>
        <v>0</v>
      </c>
      <c r="AC346" s="31">
        <f>SUMIFS(METALFISA!$E:$E,METALFISA!$A:$A,'Faltantes Fevereiro- Metalfisa'!AC$3,METALFISA!$B:$B,'Faltantes Fevereiro- Metalfisa'!$A346)</f>
        <v>0</v>
      </c>
      <c r="AD346" s="31">
        <f>SUMIFS(METALFISA!$E:$E,METALFISA!$A:$A,'Faltantes Fevereiro- Metalfisa'!AD$3,METALFISA!$B:$B,'Faltantes Fevereiro- Metalfisa'!$A346)</f>
        <v>0</v>
      </c>
      <c r="AE346" s="31">
        <f>SUMIFS(METALFISA!$E:$E,METALFISA!$A:$A,'Faltantes Fevereiro- Metalfisa'!AE$3,METALFISA!$B:$B,'Faltantes Fevereiro- Metalfisa'!$A346)</f>
        <v>3</v>
      </c>
      <c r="AF346" s="31">
        <f>SUMIFS(METALFISA!$E:$E,METALFISA!$A:$A,'Faltantes Fevereiro- Metalfisa'!AF$3,METALFISA!$B:$B,'Faltantes Fevereiro- Metalfisa'!$A346)</f>
        <v>0</v>
      </c>
      <c r="AG346" s="31">
        <f>SUMIFS(METALFISA!$E:$E,METALFISA!$A:$A,'Faltantes Fevereiro- Metalfisa'!AG$3,METALFISA!$B:$B,'Faltantes Fevereiro- Metalfisa'!$A346)</f>
        <v>0</v>
      </c>
      <c r="AH346" s="31">
        <f>SUMIFS(METALFISA!$E:$E,METALFISA!$A:$A,'Faltantes Fevereiro- Metalfisa'!AH$3,METALFISA!$B:$B,'Faltantes Fevereiro- Metalfisa'!$A346)</f>
        <v>0</v>
      </c>
      <c r="AI346" s="31">
        <f>SUMIFS(METALFISA!$E:$E,METALFISA!$A:$A,'Faltantes Fevereiro- Metalfisa'!AI$3,METALFISA!$B:$B,'Faltantes Fevereiro- Metalfisa'!$A346)</f>
        <v>0</v>
      </c>
      <c r="AJ346" s="31">
        <f>SUMIFS(METALFISA!$E:$E,METALFISA!$A:$A,'Faltantes Fevereiro- Metalfisa'!AJ$3,METALFISA!$B:$B,'Faltantes Fevereiro- Metalfisa'!$A346)</f>
        <v>0</v>
      </c>
      <c r="AK346" s="31">
        <f>SUMIFS(METALFISA!$E:$E,METALFISA!$A:$A,'Faltantes Fevereiro- Metalfisa'!AK$3,METALFISA!$B:$B,'Faltantes Fevereiro- Metalfisa'!$A346)</f>
        <v>0</v>
      </c>
      <c r="AL346" s="31">
        <f>SUMIFS(METALFISA!$E:$E,METALFISA!$A:$A,'Faltantes Fevereiro- Metalfisa'!AL$3,METALFISA!$B:$B,'Faltantes Fevereiro- Metalfisa'!$A346)</f>
        <v>0</v>
      </c>
      <c r="AM346" s="31">
        <f>SUMIFS(METALFISA!$E:$E,METALFISA!$A:$A,'Faltantes Fevereiro- Metalfisa'!AM$3,METALFISA!$B:$B,'Faltantes Fevereiro- Metalfisa'!$A346)</f>
        <v>0</v>
      </c>
      <c r="AN346" s="31">
        <f>SUMIFS(METALFISA!$E:$E,METALFISA!$A:$A,'Faltantes Fevereiro- Metalfisa'!AN$3,METALFISA!$B:$B,'Faltantes Fevereiro- Metalfisa'!$A346)</f>
        <v>0</v>
      </c>
      <c r="AO346" s="31">
        <f>SUMIFS(METALFISA!$E:$E,METALFISA!$A:$A,'Faltantes Fevereiro- Metalfisa'!AO$3,METALFISA!$B:$B,'Faltantes Fevereiro- Metalfisa'!$A346)</f>
        <v>0</v>
      </c>
      <c r="AP346" s="31">
        <f>SUMIFS(METALFISA!$E:$E,METALFISA!$A:$A,'Faltantes Fevereiro- Metalfisa'!AP$3,METALFISA!$B:$B,'Faltantes Fevereiro- Metalfisa'!$A346)</f>
        <v>0</v>
      </c>
      <c r="AQ346" s="31"/>
      <c r="AR346" s="31"/>
      <c r="AS346" s="35"/>
      <c r="AY346" s="41">
        <v>0</v>
      </c>
      <c r="AZ346" s="31">
        <v>0</v>
      </c>
      <c r="BA346" s="31">
        <v>0</v>
      </c>
      <c r="BB346" s="31">
        <v>0</v>
      </c>
      <c r="BC346" s="31">
        <v>0</v>
      </c>
      <c r="BD346" s="31">
        <v>0</v>
      </c>
      <c r="BE346" s="31">
        <v>0</v>
      </c>
      <c r="BF346" s="31">
        <v>0</v>
      </c>
      <c r="BG346" s="31">
        <v>0</v>
      </c>
      <c r="BH346" s="31">
        <v>0</v>
      </c>
      <c r="BI346" s="31">
        <v>0</v>
      </c>
      <c r="BJ346" s="31">
        <v>0</v>
      </c>
      <c r="BK346" s="31">
        <v>0</v>
      </c>
      <c r="BL346" s="31">
        <v>0</v>
      </c>
      <c r="BM346" s="31">
        <v>0</v>
      </c>
      <c r="BN346" s="31">
        <v>0</v>
      </c>
      <c r="BO346" s="31">
        <v>1</v>
      </c>
      <c r="BP346" s="31">
        <v>0</v>
      </c>
      <c r="BQ346" s="31">
        <v>0</v>
      </c>
      <c r="BR346" s="31">
        <v>0</v>
      </c>
      <c r="BS346" s="31">
        <v>0</v>
      </c>
      <c r="BT346" s="31">
        <v>0</v>
      </c>
      <c r="BU346" s="31">
        <v>0</v>
      </c>
      <c r="BV346" s="31">
        <v>0</v>
      </c>
      <c r="BW346" s="31">
        <v>0</v>
      </c>
      <c r="BX346" s="31">
        <v>0</v>
      </c>
      <c r="BY346" s="31">
        <v>0</v>
      </c>
      <c r="BZ346" s="31">
        <v>0</v>
      </c>
      <c r="CA346" s="31">
        <v>0</v>
      </c>
      <c r="CB346" s="31">
        <v>0</v>
      </c>
      <c r="CC346" s="31">
        <v>0</v>
      </c>
      <c r="CD346" s="31">
        <v>0</v>
      </c>
      <c r="CE346" s="31">
        <v>0</v>
      </c>
      <c r="CF346" s="31">
        <v>0</v>
      </c>
      <c r="CG346" s="31">
        <v>0</v>
      </c>
      <c r="CH346" s="31">
        <v>0</v>
      </c>
      <c r="CI346" s="31">
        <v>0</v>
      </c>
      <c r="CJ346" s="31">
        <v>0</v>
      </c>
      <c r="CK346" s="31">
        <v>0</v>
      </c>
      <c r="CL346" s="35">
        <v>0</v>
      </c>
    </row>
    <row r="347" spans="1:90" x14ac:dyDescent="0.15">
      <c r="A347" s="31" t="s">
        <v>1718</v>
      </c>
      <c r="B347" s="30" t="s">
        <v>1719</v>
      </c>
      <c r="C347" s="28">
        <v>2</v>
      </c>
      <c r="D347" s="28">
        <v>0</v>
      </c>
      <c r="E347" s="28">
        <v>0</v>
      </c>
      <c r="F347" s="28">
        <v>0</v>
      </c>
      <c r="G347" s="28">
        <v>18</v>
      </c>
      <c r="H347" s="28">
        <f>IFERROR(VLOOKUP(A347,[1]FALTANTES!$A:$AB,28,FALSE),"-")</f>
        <v>3</v>
      </c>
      <c r="I347" s="42">
        <f>IFERROR(VLOOKUP(A347,[1]FALTANTES!$A:$AC,29,FALSE),"-")</f>
        <v>0</v>
      </c>
      <c r="J347" s="29">
        <f>IFERROR(VLOOKUP(A347,[1]FALTANTES!$A:$AD,30,FALSE),"-")</f>
        <v>-20</v>
      </c>
      <c r="K347" s="30">
        <v>0</v>
      </c>
      <c r="L347" s="30">
        <f t="shared" si="7"/>
        <v>2</v>
      </c>
      <c r="M347" s="31">
        <f>SUMIFS(METALFISA!$E:$E,METALFISA!$A:$A,'Faltantes Fevereiro- Metalfisa'!M$3,METALFISA!$B:$B,'Faltantes Fevereiro- Metalfisa'!$A347)</f>
        <v>0</v>
      </c>
      <c r="N347" s="31">
        <f>SUMIFS(METALFISA!$E:$E,METALFISA!$A:$A,'Faltantes Fevereiro- Metalfisa'!N$3,METALFISA!$B:$B,'Faltantes Fevereiro- Metalfisa'!$A347)</f>
        <v>0</v>
      </c>
      <c r="O347" s="31">
        <f>SUMIFS(METALFISA!$E:$E,METALFISA!$A:$A,'Faltantes Fevereiro- Metalfisa'!O$3,METALFISA!$B:$B,'Faltantes Fevereiro- Metalfisa'!$A347)</f>
        <v>0</v>
      </c>
      <c r="P347" s="31">
        <f>SUMIFS(METALFISA!$E:$E,METALFISA!$A:$A,'Faltantes Fevereiro- Metalfisa'!P$3,METALFISA!$B:$B,'Faltantes Fevereiro- Metalfisa'!$A347)</f>
        <v>0</v>
      </c>
      <c r="Q347" s="31">
        <f>SUMIFS(METALFISA!$E:$E,METALFISA!$A:$A,'Faltantes Fevereiro- Metalfisa'!Q$3,METALFISA!$B:$B,'Faltantes Fevereiro- Metalfisa'!$A347)</f>
        <v>0</v>
      </c>
      <c r="R347" s="31">
        <f>SUMIFS(METALFISA!$E:$E,METALFISA!$A:$A,'Faltantes Fevereiro- Metalfisa'!R$3,METALFISA!$B:$B,'Faltantes Fevereiro- Metalfisa'!$A347)</f>
        <v>0</v>
      </c>
      <c r="S347" s="31">
        <f>SUMIFS(METALFISA!$E:$E,METALFISA!$A:$A,'Faltantes Fevereiro- Metalfisa'!S$3,METALFISA!$B:$B,'Faltantes Fevereiro- Metalfisa'!$A347)</f>
        <v>0</v>
      </c>
      <c r="T347" s="31">
        <f>SUMIFS(METALFISA!$E:$E,METALFISA!$A:$A,'Faltantes Fevereiro- Metalfisa'!T$3,METALFISA!$B:$B,'Faltantes Fevereiro- Metalfisa'!$A347)</f>
        <v>0</v>
      </c>
      <c r="U347" s="31">
        <f>SUMIFS(METALFISA!$E:$E,METALFISA!$A:$A,'Faltantes Fevereiro- Metalfisa'!U$3,METALFISA!$B:$B,'Faltantes Fevereiro- Metalfisa'!$A347)</f>
        <v>0</v>
      </c>
      <c r="V347" s="31">
        <f>SUMIFS(METALFISA!$E:$E,METALFISA!$A:$A,'Faltantes Fevereiro- Metalfisa'!V$3,METALFISA!$B:$B,'Faltantes Fevereiro- Metalfisa'!$A347)</f>
        <v>0</v>
      </c>
      <c r="W347" s="31">
        <f>SUMIFS(METALFISA!$E:$E,METALFISA!$A:$A,'Faltantes Fevereiro- Metalfisa'!W$3,METALFISA!$B:$B,'Faltantes Fevereiro- Metalfisa'!$A347)</f>
        <v>0</v>
      </c>
      <c r="X347" s="31">
        <f>SUMIFS(METALFISA!$E:$E,METALFISA!$A:$A,'Faltantes Fevereiro- Metalfisa'!X$3,METALFISA!$B:$B,'Faltantes Fevereiro- Metalfisa'!$A347)</f>
        <v>0</v>
      </c>
      <c r="Y347" s="31">
        <f>SUMIFS(METALFISA!$E:$E,METALFISA!$A:$A,'Faltantes Fevereiro- Metalfisa'!Y$3,METALFISA!$B:$B,'Faltantes Fevereiro- Metalfisa'!$A347)</f>
        <v>0</v>
      </c>
      <c r="Z347" s="31">
        <f>SUMIFS(METALFISA!$E:$E,METALFISA!$A:$A,'Faltantes Fevereiro- Metalfisa'!Z$3,METALFISA!$B:$B,'Faltantes Fevereiro- Metalfisa'!$A347)</f>
        <v>0</v>
      </c>
      <c r="AA347" s="31">
        <f>SUMIFS(METALFISA!$E:$E,METALFISA!$A:$A,'Faltantes Fevereiro- Metalfisa'!AA$3,METALFISA!$B:$B,'Faltantes Fevereiro- Metalfisa'!$A347)</f>
        <v>0</v>
      </c>
      <c r="AB347" s="31">
        <f>SUMIFS(METALFISA!$E:$E,METALFISA!$A:$A,'Faltantes Fevereiro- Metalfisa'!AB$3,METALFISA!$B:$B,'Faltantes Fevereiro- Metalfisa'!$A347)</f>
        <v>0</v>
      </c>
      <c r="AC347" s="31">
        <f>SUMIFS(METALFISA!$E:$E,METALFISA!$A:$A,'Faltantes Fevereiro- Metalfisa'!AC$3,METALFISA!$B:$B,'Faltantes Fevereiro- Metalfisa'!$A347)</f>
        <v>0</v>
      </c>
      <c r="AD347" s="31">
        <f>SUMIFS(METALFISA!$E:$E,METALFISA!$A:$A,'Faltantes Fevereiro- Metalfisa'!AD$3,METALFISA!$B:$B,'Faltantes Fevereiro- Metalfisa'!$A347)</f>
        <v>0</v>
      </c>
      <c r="AE347" s="31">
        <f>SUMIFS(METALFISA!$E:$E,METALFISA!$A:$A,'Faltantes Fevereiro- Metalfisa'!AE$3,METALFISA!$B:$B,'Faltantes Fevereiro- Metalfisa'!$A347)</f>
        <v>2</v>
      </c>
      <c r="AF347" s="31">
        <f>SUMIFS(METALFISA!$E:$E,METALFISA!$A:$A,'Faltantes Fevereiro- Metalfisa'!AF$3,METALFISA!$B:$B,'Faltantes Fevereiro- Metalfisa'!$A347)</f>
        <v>0</v>
      </c>
      <c r="AG347" s="31">
        <f>SUMIFS(METALFISA!$E:$E,METALFISA!$A:$A,'Faltantes Fevereiro- Metalfisa'!AG$3,METALFISA!$B:$B,'Faltantes Fevereiro- Metalfisa'!$A347)</f>
        <v>0</v>
      </c>
      <c r="AH347" s="31">
        <f>SUMIFS(METALFISA!$E:$E,METALFISA!$A:$A,'Faltantes Fevereiro- Metalfisa'!AH$3,METALFISA!$B:$B,'Faltantes Fevereiro- Metalfisa'!$A347)</f>
        <v>0</v>
      </c>
      <c r="AI347" s="31">
        <f>SUMIFS(METALFISA!$E:$E,METALFISA!$A:$A,'Faltantes Fevereiro- Metalfisa'!AI$3,METALFISA!$B:$B,'Faltantes Fevereiro- Metalfisa'!$A347)</f>
        <v>0</v>
      </c>
      <c r="AJ347" s="31">
        <f>SUMIFS(METALFISA!$E:$E,METALFISA!$A:$A,'Faltantes Fevereiro- Metalfisa'!AJ$3,METALFISA!$B:$B,'Faltantes Fevereiro- Metalfisa'!$A347)</f>
        <v>0</v>
      </c>
      <c r="AK347" s="31">
        <f>SUMIFS(METALFISA!$E:$E,METALFISA!$A:$A,'Faltantes Fevereiro- Metalfisa'!AK$3,METALFISA!$B:$B,'Faltantes Fevereiro- Metalfisa'!$A347)</f>
        <v>0</v>
      </c>
      <c r="AL347" s="31">
        <f>SUMIFS(METALFISA!$E:$E,METALFISA!$A:$A,'Faltantes Fevereiro- Metalfisa'!AL$3,METALFISA!$B:$B,'Faltantes Fevereiro- Metalfisa'!$A347)</f>
        <v>0</v>
      </c>
      <c r="AM347" s="31">
        <f>SUMIFS(METALFISA!$E:$E,METALFISA!$A:$A,'Faltantes Fevereiro- Metalfisa'!AM$3,METALFISA!$B:$B,'Faltantes Fevereiro- Metalfisa'!$A347)</f>
        <v>0</v>
      </c>
      <c r="AN347" s="31">
        <f>SUMIFS(METALFISA!$E:$E,METALFISA!$A:$A,'Faltantes Fevereiro- Metalfisa'!AN$3,METALFISA!$B:$B,'Faltantes Fevereiro- Metalfisa'!$A347)</f>
        <v>0</v>
      </c>
      <c r="AO347" s="31">
        <f>SUMIFS(METALFISA!$E:$E,METALFISA!$A:$A,'Faltantes Fevereiro- Metalfisa'!AO$3,METALFISA!$B:$B,'Faltantes Fevereiro- Metalfisa'!$A347)</f>
        <v>0</v>
      </c>
      <c r="AP347" s="31">
        <f>SUMIFS(METALFISA!$E:$E,METALFISA!$A:$A,'Faltantes Fevereiro- Metalfisa'!AP$3,METALFISA!$B:$B,'Faltantes Fevereiro- Metalfisa'!$A347)</f>
        <v>0</v>
      </c>
      <c r="AQ347" s="31"/>
      <c r="AR347" s="31"/>
      <c r="AS347" s="35"/>
      <c r="AY347" s="41">
        <v>0</v>
      </c>
      <c r="AZ347" s="31">
        <v>0</v>
      </c>
      <c r="BA347" s="31">
        <v>0</v>
      </c>
      <c r="BB347" s="31">
        <v>0</v>
      </c>
      <c r="BC347" s="31">
        <v>0</v>
      </c>
      <c r="BD347" s="31">
        <v>0</v>
      </c>
      <c r="BE347" s="31">
        <v>0</v>
      </c>
      <c r="BF347" s="31">
        <v>0</v>
      </c>
      <c r="BG347" s="31">
        <v>0</v>
      </c>
      <c r="BH347" s="31">
        <v>0</v>
      </c>
      <c r="BI347" s="31">
        <v>0</v>
      </c>
      <c r="BJ347" s="31">
        <v>0</v>
      </c>
      <c r="BK347" s="31">
        <v>0</v>
      </c>
      <c r="BL347" s="31">
        <v>0</v>
      </c>
      <c r="BM347" s="31">
        <v>0</v>
      </c>
      <c r="BN347" s="31">
        <v>2</v>
      </c>
      <c r="BO347" s="31">
        <v>2</v>
      </c>
      <c r="BP347" s="31">
        <v>0</v>
      </c>
      <c r="BQ347" s="31">
        <v>0</v>
      </c>
      <c r="BR347" s="31">
        <v>0</v>
      </c>
      <c r="BS347" s="31">
        <v>0</v>
      </c>
      <c r="BT347" s="31">
        <v>0</v>
      </c>
      <c r="BU347" s="31">
        <v>0</v>
      </c>
      <c r="BV347" s="31">
        <v>0</v>
      </c>
      <c r="BW347" s="31">
        <v>0</v>
      </c>
      <c r="BX347" s="31">
        <v>0</v>
      </c>
      <c r="BY347" s="31">
        <v>0</v>
      </c>
      <c r="BZ347" s="31">
        <v>0</v>
      </c>
      <c r="CA347" s="31">
        <v>0</v>
      </c>
      <c r="CB347" s="31">
        <v>0</v>
      </c>
      <c r="CC347" s="31">
        <v>0</v>
      </c>
      <c r="CD347" s="31">
        <v>0</v>
      </c>
      <c r="CE347" s="31">
        <v>0</v>
      </c>
      <c r="CF347" s="31">
        <v>0</v>
      </c>
      <c r="CG347" s="31">
        <v>0</v>
      </c>
      <c r="CH347" s="31">
        <v>0</v>
      </c>
      <c r="CI347" s="31">
        <v>0</v>
      </c>
      <c r="CJ347" s="31">
        <v>0</v>
      </c>
      <c r="CK347" s="31">
        <v>0</v>
      </c>
      <c r="CL347" s="35">
        <v>0</v>
      </c>
    </row>
    <row r="348" spans="1:90" ht="21" x14ac:dyDescent="0.15">
      <c r="A348" s="31" t="s">
        <v>1721</v>
      </c>
      <c r="B348" s="30" t="s">
        <v>1722</v>
      </c>
      <c r="C348" s="28">
        <v>0</v>
      </c>
      <c r="D348" s="28">
        <v>0</v>
      </c>
      <c r="E348" s="28">
        <v>0</v>
      </c>
      <c r="F348" s="28">
        <v>0</v>
      </c>
      <c r="G348" s="28">
        <v>6</v>
      </c>
      <c r="H348" s="28">
        <f>IFERROR(VLOOKUP(A348,[1]FALTANTES!$A:$AB,28,FALSE),"-")</f>
        <v>0</v>
      </c>
      <c r="I348" s="42">
        <f>IFERROR(VLOOKUP(A348,[1]FALTANTES!$A:$AC,29,FALSE),"-")</f>
        <v>2</v>
      </c>
      <c r="J348" s="29">
        <f>IFERROR(VLOOKUP(A348,[1]FALTANTES!$A:$AD,30,FALSE),"-")</f>
        <v>-4</v>
      </c>
      <c r="K348" s="30">
        <v>0</v>
      </c>
      <c r="L348" s="30">
        <f t="shared" si="7"/>
        <v>2</v>
      </c>
      <c r="M348" s="31">
        <f>SUMIFS(METALFISA!$E:$E,METALFISA!$A:$A,'Faltantes Fevereiro- Metalfisa'!M$3,METALFISA!$B:$B,'Faltantes Fevereiro- Metalfisa'!$A348)</f>
        <v>0</v>
      </c>
      <c r="N348" s="31">
        <f>SUMIFS(METALFISA!$E:$E,METALFISA!$A:$A,'Faltantes Fevereiro- Metalfisa'!N$3,METALFISA!$B:$B,'Faltantes Fevereiro- Metalfisa'!$A348)</f>
        <v>0</v>
      </c>
      <c r="O348" s="31">
        <f>SUMIFS(METALFISA!$E:$E,METALFISA!$A:$A,'Faltantes Fevereiro- Metalfisa'!O$3,METALFISA!$B:$B,'Faltantes Fevereiro- Metalfisa'!$A348)</f>
        <v>0</v>
      </c>
      <c r="P348" s="31">
        <f>SUMIFS(METALFISA!$E:$E,METALFISA!$A:$A,'Faltantes Fevereiro- Metalfisa'!P$3,METALFISA!$B:$B,'Faltantes Fevereiro- Metalfisa'!$A348)</f>
        <v>0</v>
      </c>
      <c r="Q348" s="31">
        <f>SUMIFS(METALFISA!$E:$E,METALFISA!$A:$A,'Faltantes Fevereiro- Metalfisa'!Q$3,METALFISA!$B:$B,'Faltantes Fevereiro- Metalfisa'!$A348)</f>
        <v>0</v>
      </c>
      <c r="R348" s="31">
        <f>SUMIFS(METALFISA!$E:$E,METALFISA!$A:$A,'Faltantes Fevereiro- Metalfisa'!R$3,METALFISA!$B:$B,'Faltantes Fevereiro- Metalfisa'!$A348)</f>
        <v>0</v>
      </c>
      <c r="S348" s="31">
        <f>SUMIFS(METALFISA!$E:$E,METALFISA!$A:$A,'Faltantes Fevereiro- Metalfisa'!S$3,METALFISA!$B:$B,'Faltantes Fevereiro- Metalfisa'!$A348)</f>
        <v>0</v>
      </c>
      <c r="T348" s="31">
        <f>SUMIFS(METALFISA!$E:$E,METALFISA!$A:$A,'Faltantes Fevereiro- Metalfisa'!T$3,METALFISA!$B:$B,'Faltantes Fevereiro- Metalfisa'!$A348)</f>
        <v>0</v>
      </c>
      <c r="U348" s="31">
        <f>SUMIFS(METALFISA!$E:$E,METALFISA!$A:$A,'Faltantes Fevereiro- Metalfisa'!U$3,METALFISA!$B:$B,'Faltantes Fevereiro- Metalfisa'!$A348)</f>
        <v>0</v>
      </c>
      <c r="V348" s="31">
        <f>SUMIFS(METALFISA!$E:$E,METALFISA!$A:$A,'Faltantes Fevereiro- Metalfisa'!V$3,METALFISA!$B:$B,'Faltantes Fevereiro- Metalfisa'!$A348)</f>
        <v>0</v>
      </c>
      <c r="W348" s="31">
        <f>SUMIFS(METALFISA!$E:$E,METALFISA!$A:$A,'Faltantes Fevereiro- Metalfisa'!W$3,METALFISA!$B:$B,'Faltantes Fevereiro- Metalfisa'!$A348)</f>
        <v>0</v>
      </c>
      <c r="X348" s="31">
        <f>SUMIFS(METALFISA!$E:$E,METALFISA!$A:$A,'Faltantes Fevereiro- Metalfisa'!X$3,METALFISA!$B:$B,'Faltantes Fevereiro- Metalfisa'!$A348)</f>
        <v>0</v>
      </c>
      <c r="Y348" s="31">
        <f>SUMIFS(METALFISA!$E:$E,METALFISA!$A:$A,'Faltantes Fevereiro- Metalfisa'!Y$3,METALFISA!$B:$B,'Faltantes Fevereiro- Metalfisa'!$A348)</f>
        <v>0</v>
      </c>
      <c r="Z348" s="31">
        <f>SUMIFS(METALFISA!$E:$E,METALFISA!$A:$A,'Faltantes Fevereiro- Metalfisa'!Z$3,METALFISA!$B:$B,'Faltantes Fevereiro- Metalfisa'!$A348)</f>
        <v>0</v>
      </c>
      <c r="AA348" s="31">
        <f>SUMIFS(METALFISA!$E:$E,METALFISA!$A:$A,'Faltantes Fevereiro- Metalfisa'!AA$3,METALFISA!$B:$B,'Faltantes Fevereiro- Metalfisa'!$A348)</f>
        <v>0</v>
      </c>
      <c r="AB348" s="31">
        <f>SUMIFS(METALFISA!$E:$E,METALFISA!$A:$A,'Faltantes Fevereiro- Metalfisa'!AB$3,METALFISA!$B:$B,'Faltantes Fevereiro- Metalfisa'!$A348)</f>
        <v>0</v>
      </c>
      <c r="AC348" s="31">
        <f>SUMIFS(METALFISA!$E:$E,METALFISA!$A:$A,'Faltantes Fevereiro- Metalfisa'!AC$3,METALFISA!$B:$B,'Faltantes Fevereiro- Metalfisa'!$A348)</f>
        <v>0</v>
      </c>
      <c r="AD348" s="31">
        <f>SUMIFS(METALFISA!$E:$E,METALFISA!$A:$A,'Faltantes Fevereiro- Metalfisa'!AD$3,METALFISA!$B:$B,'Faltantes Fevereiro- Metalfisa'!$A348)</f>
        <v>0</v>
      </c>
      <c r="AE348" s="31">
        <f>SUMIFS(METALFISA!$E:$E,METALFISA!$A:$A,'Faltantes Fevereiro- Metalfisa'!AE$3,METALFISA!$B:$B,'Faltantes Fevereiro- Metalfisa'!$A348)</f>
        <v>2</v>
      </c>
      <c r="AF348" s="31">
        <f>SUMIFS(METALFISA!$E:$E,METALFISA!$A:$A,'Faltantes Fevereiro- Metalfisa'!AF$3,METALFISA!$B:$B,'Faltantes Fevereiro- Metalfisa'!$A348)</f>
        <v>0</v>
      </c>
      <c r="AG348" s="31">
        <f>SUMIFS(METALFISA!$E:$E,METALFISA!$A:$A,'Faltantes Fevereiro- Metalfisa'!AG$3,METALFISA!$B:$B,'Faltantes Fevereiro- Metalfisa'!$A348)</f>
        <v>0</v>
      </c>
      <c r="AH348" s="31">
        <f>SUMIFS(METALFISA!$E:$E,METALFISA!$A:$A,'Faltantes Fevereiro- Metalfisa'!AH$3,METALFISA!$B:$B,'Faltantes Fevereiro- Metalfisa'!$A348)</f>
        <v>0</v>
      </c>
      <c r="AI348" s="31">
        <f>SUMIFS(METALFISA!$E:$E,METALFISA!$A:$A,'Faltantes Fevereiro- Metalfisa'!AI$3,METALFISA!$B:$B,'Faltantes Fevereiro- Metalfisa'!$A348)</f>
        <v>0</v>
      </c>
      <c r="AJ348" s="31">
        <f>SUMIFS(METALFISA!$E:$E,METALFISA!$A:$A,'Faltantes Fevereiro- Metalfisa'!AJ$3,METALFISA!$B:$B,'Faltantes Fevereiro- Metalfisa'!$A348)</f>
        <v>0</v>
      </c>
      <c r="AK348" s="31">
        <f>SUMIFS(METALFISA!$E:$E,METALFISA!$A:$A,'Faltantes Fevereiro- Metalfisa'!AK$3,METALFISA!$B:$B,'Faltantes Fevereiro- Metalfisa'!$A348)</f>
        <v>0</v>
      </c>
      <c r="AL348" s="31">
        <f>SUMIFS(METALFISA!$E:$E,METALFISA!$A:$A,'Faltantes Fevereiro- Metalfisa'!AL$3,METALFISA!$B:$B,'Faltantes Fevereiro- Metalfisa'!$A348)</f>
        <v>0</v>
      </c>
      <c r="AM348" s="31">
        <f>SUMIFS(METALFISA!$E:$E,METALFISA!$A:$A,'Faltantes Fevereiro- Metalfisa'!AM$3,METALFISA!$B:$B,'Faltantes Fevereiro- Metalfisa'!$A348)</f>
        <v>0</v>
      </c>
      <c r="AN348" s="31">
        <f>SUMIFS(METALFISA!$E:$E,METALFISA!$A:$A,'Faltantes Fevereiro- Metalfisa'!AN$3,METALFISA!$B:$B,'Faltantes Fevereiro- Metalfisa'!$A348)</f>
        <v>0</v>
      </c>
      <c r="AO348" s="31">
        <f>SUMIFS(METALFISA!$E:$E,METALFISA!$A:$A,'Faltantes Fevereiro- Metalfisa'!AO$3,METALFISA!$B:$B,'Faltantes Fevereiro- Metalfisa'!$A348)</f>
        <v>0</v>
      </c>
      <c r="AP348" s="31">
        <f>SUMIFS(METALFISA!$E:$E,METALFISA!$A:$A,'Faltantes Fevereiro- Metalfisa'!AP$3,METALFISA!$B:$B,'Faltantes Fevereiro- Metalfisa'!$A348)</f>
        <v>0</v>
      </c>
      <c r="AQ348" s="31"/>
      <c r="AR348" s="31"/>
      <c r="AS348" s="35"/>
      <c r="AY348" s="41">
        <v>0</v>
      </c>
      <c r="AZ348" s="31">
        <v>0</v>
      </c>
      <c r="BA348" s="31">
        <v>0</v>
      </c>
      <c r="BB348" s="31">
        <v>0</v>
      </c>
      <c r="BC348" s="31">
        <v>0</v>
      </c>
      <c r="BD348" s="31">
        <v>0</v>
      </c>
      <c r="BE348" s="31">
        <v>0</v>
      </c>
      <c r="BF348" s="31">
        <v>0</v>
      </c>
      <c r="BG348" s="31">
        <v>0</v>
      </c>
      <c r="BH348" s="31">
        <v>0</v>
      </c>
      <c r="BI348" s="31">
        <v>0</v>
      </c>
      <c r="BJ348" s="31">
        <v>0</v>
      </c>
      <c r="BK348" s="31">
        <v>0</v>
      </c>
      <c r="BL348" s="31">
        <v>0</v>
      </c>
      <c r="BM348" s="31">
        <v>0</v>
      </c>
      <c r="BN348" s="31">
        <v>0</v>
      </c>
      <c r="BO348" s="31">
        <v>1</v>
      </c>
      <c r="BP348" s="31">
        <v>0</v>
      </c>
      <c r="BQ348" s="31">
        <v>0</v>
      </c>
      <c r="BR348" s="31">
        <v>0</v>
      </c>
      <c r="BS348" s="31">
        <v>0</v>
      </c>
      <c r="BT348" s="31">
        <v>0</v>
      </c>
      <c r="BU348" s="31">
        <v>0</v>
      </c>
      <c r="BV348" s="31">
        <v>0</v>
      </c>
      <c r="BW348" s="31">
        <v>0</v>
      </c>
      <c r="BX348" s="31">
        <v>0</v>
      </c>
      <c r="BY348" s="31">
        <v>0</v>
      </c>
      <c r="BZ348" s="31">
        <v>0</v>
      </c>
      <c r="CA348" s="31">
        <v>0</v>
      </c>
      <c r="CB348" s="31">
        <v>0</v>
      </c>
      <c r="CC348" s="31">
        <v>0</v>
      </c>
      <c r="CD348" s="31">
        <v>0</v>
      </c>
      <c r="CE348" s="31">
        <v>0</v>
      </c>
      <c r="CF348" s="31">
        <v>0</v>
      </c>
      <c r="CG348" s="31">
        <v>0</v>
      </c>
      <c r="CH348" s="31">
        <v>0</v>
      </c>
      <c r="CI348" s="31">
        <v>0</v>
      </c>
      <c r="CJ348" s="31">
        <v>0</v>
      </c>
      <c r="CK348" s="31">
        <v>0</v>
      </c>
      <c r="CL348" s="35">
        <v>0</v>
      </c>
    </row>
    <row r="349" spans="1:90" ht="21" x14ac:dyDescent="0.15">
      <c r="A349" s="31" t="s">
        <v>1724</v>
      </c>
      <c r="B349" s="30" t="s">
        <v>1725</v>
      </c>
      <c r="C349" s="28">
        <v>0</v>
      </c>
      <c r="D349" s="28">
        <v>0</v>
      </c>
      <c r="E349" s="28">
        <v>0</v>
      </c>
      <c r="F349" s="28">
        <v>0</v>
      </c>
      <c r="G349" s="28">
        <v>5</v>
      </c>
      <c r="H349" s="28">
        <f>IFERROR(VLOOKUP(A349,[1]FALTANTES!$A:$AB,28,FALSE),"-")</f>
        <v>0</v>
      </c>
      <c r="I349" s="42">
        <f>IFERROR(VLOOKUP(A349,[1]FALTANTES!$A:$AC,29,FALSE),"-")</f>
        <v>3</v>
      </c>
      <c r="J349" s="29">
        <f>IFERROR(VLOOKUP(A349,[1]FALTANTES!$A:$AD,30,FALSE),"-")</f>
        <v>-2</v>
      </c>
      <c r="K349" s="30">
        <v>0</v>
      </c>
      <c r="L349" s="30">
        <f t="shared" si="7"/>
        <v>2</v>
      </c>
      <c r="M349" s="31">
        <f>SUMIFS(METALFISA!$E:$E,METALFISA!$A:$A,'Faltantes Fevereiro- Metalfisa'!M$3,METALFISA!$B:$B,'Faltantes Fevereiro- Metalfisa'!$A349)</f>
        <v>0</v>
      </c>
      <c r="N349" s="31">
        <f>SUMIFS(METALFISA!$E:$E,METALFISA!$A:$A,'Faltantes Fevereiro- Metalfisa'!N$3,METALFISA!$B:$B,'Faltantes Fevereiro- Metalfisa'!$A349)</f>
        <v>0</v>
      </c>
      <c r="O349" s="31">
        <f>SUMIFS(METALFISA!$E:$E,METALFISA!$A:$A,'Faltantes Fevereiro- Metalfisa'!O$3,METALFISA!$B:$B,'Faltantes Fevereiro- Metalfisa'!$A349)</f>
        <v>0</v>
      </c>
      <c r="P349" s="31">
        <f>SUMIFS(METALFISA!$E:$E,METALFISA!$A:$A,'Faltantes Fevereiro- Metalfisa'!P$3,METALFISA!$B:$B,'Faltantes Fevereiro- Metalfisa'!$A349)</f>
        <v>0</v>
      </c>
      <c r="Q349" s="31">
        <f>SUMIFS(METALFISA!$E:$E,METALFISA!$A:$A,'Faltantes Fevereiro- Metalfisa'!Q$3,METALFISA!$B:$B,'Faltantes Fevereiro- Metalfisa'!$A349)</f>
        <v>0</v>
      </c>
      <c r="R349" s="31">
        <f>SUMIFS(METALFISA!$E:$E,METALFISA!$A:$A,'Faltantes Fevereiro- Metalfisa'!R$3,METALFISA!$B:$B,'Faltantes Fevereiro- Metalfisa'!$A349)</f>
        <v>0</v>
      </c>
      <c r="S349" s="31">
        <f>SUMIFS(METALFISA!$E:$E,METALFISA!$A:$A,'Faltantes Fevereiro- Metalfisa'!S$3,METALFISA!$B:$B,'Faltantes Fevereiro- Metalfisa'!$A349)</f>
        <v>0</v>
      </c>
      <c r="T349" s="31">
        <f>SUMIFS(METALFISA!$E:$E,METALFISA!$A:$A,'Faltantes Fevereiro- Metalfisa'!T$3,METALFISA!$B:$B,'Faltantes Fevereiro- Metalfisa'!$A349)</f>
        <v>0</v>
      </c>
      <c r="U349" s="31">
        <f>SUMIFS(METALFISA!$E:$E,METALFISA!$A:$A,'Faltantes Fevereiro- Metalfisa'!U$3,METALFISA!$B:$B,'Faltantes Fevereiro- Metalfisa'!$A349)</f>
        <v>0</v>
      </c>
      <c r="V349" s="31">
        <f>SUMIFS(METALFISA!$E:$E,METALFISA!$A:$A,'Faltantes Fevereiro- Metalfisa'!V$3,METALFISA!$B:$B,'Faltantes Fevereiro- Metalfisa'!$A349)</f>
        <v>0</v>
      </c>
      <c r="W349" s="31">
        <f>SUMIFS(METALFISA!$E:$E,METALFISA!$A:$A,'Faltantes Fevereiro- Metalfisa'!W$3,METALFISA!$B:$B,'Faltantes Fevereiro- Metalfisa'!$A349)</f>
        <v>0</v>
      </c>
      <c r="X349" s="31">
        <f>SUMIFS(METALFISA!$E:$E,METALFISA!$A:$A,'Faltantes Fevereiro- Metalfisa'!X$3,METALFISA!$B:$B,'Faltantes Fevereiro- Metalfisa'!$A349)</f>
        <v>0</v>
      </c>
      <c r="Y349" s="31">
        <f>SUMIFS(METALFISA!$E:$E,METALFISA!$A:$A,'Faltantes Fevereiro- Metalfisa'!Y$3,METALFISA!$B:$B,'Faltantes Fevereiro- Metalfisa'!$A349)</f>
        <v>0</v>
      </c>
      <c r="Z349" s="31">
        <f>SUMIFS(METALFISA!$E:$E,METALFISA!$A:$A,'Faltantes Fevereiro- Metalfisa'!Z$3,METALFISA!$B:$B,'Faltantes Fevereiro- Metalfisa'!$A349)</f>
        <v>0</v>
      </c>
      <c r="AA349" s="31">
        <f>SUMIFS(METALFISA!$E:$E,METALFISA!$A:$A,'Faltantes Fevereiro- Metalfisa'!AA$3,METALFISA!$B:$B,'Faltantes Fevereiro- Metalfisa'!$A349)</f>
        <v>0</v>
      </c>
      <c r="AB349" s="31">
        <f>SUMIFS(METALFISA!$E:$E,METALFISA!$A:$A,'Faltantes Fevereiro- Metalfisa'!AB$3,METALFISA!$B:$B,'Faltantes Fevereiro- Metalfisa'!$A349)</f>
        <v>0</v>
      </c>
      <c r="AC349" s="31">
        <f>SUMIFS(METALFISA!$E:$E,METALFISA!$A:$A,'Faltantes Fevereiro- Metalfisa'!AC$3,METALFISA!$B:$B,'Faltantes Fevereiro- Metalfisa'!$A349)</f>
        <v>0</v>
      </c>
      <c r="AD349" s="31">
        <f>SUMIFS(METALFISA!$E:$E,METALFISA!$A:$A,'Faltantes Fevereiro- Metalfisa'!AD$3,METALFISA!$B:$B,'Faltantes Fevereiro- Metalfisa'!$A349)</f>
        <v>0</v>
      </c>
      <c r="AE349" s="31">
        <f>SUMIFS(METALFISA!$E:$E,METALFISA!$A:$A,'Faltantes Fevereiro- Metalfisa'!AE$3,METALFISA!$B:$B,'Faltantes Fevereiro- Metalfisa'!$A349)</f>
        <v>2</v>
      </c>
      <c r="AF349" s="31">
        <f>SUMIFS(METALFISA!$E:$E,METALFISA!$A:$A,'Faltantes Fevereiro- Metalfisa'!AF$3,METALFISA!$B:$B,'Faltantes Fevereiro- Metalfisa'!$A349)</f>
        <v>0</v>
      </c>
      <c r="AG349" s="31">
        <f>SUMIFS(METALFISA!$E:$E,METALFISA!$A:$A,'Faltantes Fevereiro- Metalfisa'!AG$3,METALFISA!$B:$B,'Faltantes Fevereiro- Metalfisa'!$A349)</f>
        <v>0</v>
      </c>
      <c r="AH349" s="31">
        <f>SUMIFS(METALFISA!$E:$E,METALFISA!$A:$A,'Faltantes Fevereiro- Metalfisa'!AH$3,METALFISA!$B:$B,'Faltantes Fevereiro- Metalfisa'!$A349)</f>
        <v>0</v>
      </c>
      <c r="AI349" s="31">
        <f>SUMIFS(METALFISA!$E:$E,METALFISA!$A:$A,'Faltantes Fevereiro- Metalfisa'!AI$3,METALFISA!$B:$B,'Faltantes Fevereiro- Metalfisa'!$A349)</f>
        <v>0</v>
      </c>
      <c r="AJ349" s="31">
        <f>SUMIFS(METALFISA!$E:$E,METALFISA!$A:$A,'Faltantes Fevereiro- Metalfisa'!AJ$3,METALFISA!$B:$B,'Faltantes Fevereiro- Metalfisa'!$A349)</f>
        <v>0</v>
      </c>
      <c r="AK349" s="31">
        <f>SUMIFS(METALFISA!$E:$E,METALFISA!$A:$A,'Faltantes Fevereiro- Metalfisa'!AK$3,METALFISA!$B:$B,'Faltantes Fevereiro- Metalfisa'!$A349)</f>
        <v>0</v>
      </c>
      <c r="AL349" s="31">
        <f>SUMIFS(METALFISA!$E:$E,METALFISA!$A:$A,'Faltantes Fevereiro- Metalfisa'!AL$3,METALFISA!$B:$B,'Faltantes Fevereiro- Metalfisa'!$A349)</f>
        <v>0</v>
      </c>
      <c r="AM349" s="31">
        <f>SUMIFS(METALFISA!$E:$E,METALFISA!$A:$A,'Faltantes Fevereiro- Metalfisa'!AM$3,METALFISA!$B:$B,'Faltantes Fevereiro- Metalfisa'!$A349)</f>
        <v>0</v>
      </c>
      <c r="AN349" s="31">
        <f>SUMIFS(METALFISA!$E:$E,METALFISA!$A:$A,'Faltantes Fevereiro- Metalfisa'!AN$3,METALFISA!$B:$B,'Faltantes Fevereiro- Metalfisa'!$A349)</f>
        <v>0</v>
      </c>
      <c r="AO349" s="31">
        <f>SUMIFS(METALFISA!$E:$E,METALFISA!$A:$A,'Faltantes Fevereiro- Metalfisa'!AO$3,METALFISA!$B:$B,'Faltantes Fevereiro- Metalfisa'!$A349)</f>
        <v>0</v>
      </c>
      <c r="AP349" s="31">
        <f>SUMIFS(METALFISA!$E:$E,METALFISA!$A:$A,'Faltantes Fevereiro- Metalfisa'!AP$3,METALFISA!$B:$B,'Faltantes Fevereiro- Metalfisa'!$A349)</f>
        <v>0</v>
      </c>
      <c r="AQ349" s="31"/>
      <c r="AR349" s="31"/>
      <c r="AS349" s="35"/>
      <c r="AY349" s="41">
        <v>0</v>
      </c>
      <c r="AZ349" s="31">
        <v>0</v>
      </c>
      <c r="BA349" s="31">
        <v>0</v>
      </c>
      <c r="BB349" s="31">
        <v>0</v>
      </c>
      <c r="BC349" s="31">
        <v>0</v>
      </c>
      <c r="BD349" s="31">
        <v>0</v>
      </c>
      <c r="BE349" s="31">
        <v>0</v>
      </c>
      <c r="BF349" s="31">
        <v>0</v>
      </c>
      <c r="BG349" s="31">
        <v>0</v>
      </c>
      <c r="BH349" s="31">
        <v>0</v>
      </c>
      <c r="BI349" s="31">
        <v>0</v>
      </c>
      <c r="BJ349" s="31">
        <v>0</v>
      </c>
      <c r="BK349" s="31">
        <v>0</v>
      </c>
      <c r="BL349" s="31">
        <v>0</v>
      </c>
      <c r="BM349" s="31">
        <v>0</v>
      </c>
      <c r="BN349" s="31">
        <v>0</v>
      </c>
      <c r="BO349" s="31">
        <v>1</v>
      </c>
      <c r="BP349" s="31">
        <v>0</v>
      </c>
      <c r="BQ349" s="31">
        <v>0</v>
      </c>
      <c r="BR349" s="31">
        <v>0</v>
      </c>
      <c r="BS349" s="31">
        <v>0</v>
      </c>
      <c r="BT349" s="31">
        <v>0</v>
      </c>
      <c r="BU349" s="31">
        <v>0</v>
      </c>
      <c r="BV349" s="31">
        <v>0</v>
      </c>
      <c r="BW349" s="31">
        <v>0</v>
      </c>
      <c r="BX349" s="31">
        <v>0</v>
      </c>
      <c r="BY349" s="31">
        <v>0</v>
      </c>
      <c r="BZ349" s="31">
        <v>0</v>
      </c>
      <c r="CA349" s="31">
        <v>0</v>
      </c>
      <c r="CB349" s="31">
        <v>0</v>
      </c>
      <c r="CC349" s="31">
        <v>0</v>
      </c>
      <c r="CD349" s="31">
        <v>0</v>
      </c>
      <c r="CE349" s="31">
        <v>0</v>
      </c>
      <c r="CF349" s="31">
        <v>0</v>
      </c>
      <c r="CG349" s="31">
        <v>0</v>
      </c>
      <c r="CH349" s="31">
        <v>0</v>
      </c>
      <c r="CI349" s="31">
        <v>0</v>
      </c>
      <c r="CJ349" s="31">
        <v>0</v>
      </c>
      <c r="CK349" s="31">
        <v>0</v>
      </c>
      <c r="CL349" s="35">
        <v>0</v>
      </c>
    </row>
    <row r="350" spans="1:90" ht="21" x14ac:dyDescent="0.15">
      <c r="A350" s="31" t="s">
        <v>1727</v>
      </c>
      <c r="B350" s="30" t="s">
        <v>1728</v>
      </c>
      <c r="C350" s="28">
        <v>0</v>
      </c>
      <c r="D350" s="28">
        <v>0</v>
      </c>
      <c r="E350" s="28">
        <v>0</v>
      </c>
      <c r="F350" s="28">
        <v>0</v>
      </c>
      <c r="G350" s="28">
        <v>6</v>
      </c>
      <c r="H350" s="28">
        <f>IFERROR(VLOOKUP(A350,[1]FALTANTES!$A:$AB,28,FALSE),"-")</f>
        <v>0</v>
      </c>
      <c r="I350" s="42">
        <f>IFERROR(VLOOKUP(A350,[1]FALTANTES!$A:$AC,29,FALSE),"-")</f>
        <v>2</v>
      </c>
      <c r="J350" s="29">
        <f>IFERROR(VLOOKUP(A350,[1]FALTANTES!$A:$AD,30,FALSE),"-")</f>
        <v>-4</v>
      </c>
      <c r="K350" s="30">
        <v>0</v>
      </c>
      <c r="L350" s="30">
        <f t="shared" si="7"/>
        <v>2</v>
      </c>
      <c r="M350" s="31">
        <f>SUMIFS(METALFISA!$E:$E,METALFISA!$A:$A,'Faltantes Fevereiro- Metalfisa'!M$3,METALFISA!$B:$B,'Faltantes Fevereiro- Metalfisa'!$A350)</f>
        <v>0</v>
      </c>
      <c r="N350" s="31">
        <f>SUMIFS(METALFISA!$E:$E,METALFISA!$A:$A,'Faltantes Fevereiro- Metalfisa'!N$3,METALFISA!$B:$B,'Faltantes Fevereiro- Metalfisa'!$A350)</f>
        <v>0</v>
      </c>
      <c r="O350" s="31">
        <f>SUMIFS(METALFISA!$E:$E,METALFISA!$A:$A,'Faltantes Fevereiro- Metalfisa'!O$3,METALFISA!$B:$B,'Faltantes Fevereiro- Metalfisa'!$A350)</f>
        <v>0</v>
      </c>
      <c r="P350" s="31">
        <f>SUMIFS(METALFISA!$E:$E,METALFISA!$A:$A,'Faltantes Fevereiro- Metalfisa'!P$3,METALFISA!$B:$B,'Faltantes Fevereiro- Metalfisa'!$A350)</f>
        <v>0</v>
      </c>
      <c r="Q350" s="31">
        <f>SUMIFS(METALFISA!$E:$E,METALFISA!$A:$A,'Faltantes Fevereiro- Metalfisa'!Q$3,METALFISA!$B:$B,'Faltantes Fevereiro- Metalfisa'!$A350)</f>
        <v>0</v>
      </c>
      <c r="R350" s="31">
        <f>SUMIFS(METALFISA!$E:$E,METALFISA!$A:$A,'Faltantes Fevereiro- Metalfisa'!R$3,METALFISA!$B:$B,'Faltantes Fevereiro- Metalfisa'!$A350)</f>
        <v>0</v>
      </c>
      <c r="S350" s="31">
        <f>SUMIFS(METALFISA!$E:$E,METALFISA!$A:$A,'Faltantes Fevereiro- Metalfisa'!S$3,METALFISA!$B:$B,'Faltantes Fevereiro- Metalfisa'!$A350)</f>
        <v>0</v>
      </c>
      <c r="T350" s="31">
        <f>SUMIFS(METALFISA!$E:$E,METALFISA!$A:$A,'Faltantes Fevereiro- Metalfisa'!T$3,METALFISA!$B:$B,'Faltantes Fevereiro- Metalfisa'!$A350)</f>
        <v>0</v>
      </c>
      <c r="U350" s="31">
        <f>SUMIFS(METALFISA!$E:$E,METALFISA!$A:$A,'Faltantes Fevereiro- Metalfisa'!U$3,METALFISA!$B:$B,'Faltantes Fevereiro- Metalfisa'!$A350)</f>
        <v>0</v>
      </c>
      <c r="V350" s="31">
        <f>SUMIFS(METALFISA!$E:$E,METALFISA!$A:$A,'Faltantes Fevereiro- Metalfisa'!V$3,METALFISA!$B:$B,'Faltantes Fevereiro- Metalfisa'!$A350)</f>
        <v>0</v>
      </c>
      <c r="W350" s="31">
        <f>SUMIFS(METALFISA!$E:$E,METALFISA!$A:$A,'Faltantes Fevereiro- Metalfisa'!W$3,METALFISA!$B:$B,'Faltantes Fevereiro- Metalfisa'!$A350)</f>
        <v>0</v>
      </c>
      <c r="X350" s="31">
        <f>SUMIFS(METALFISA!$E:$E,METALFISA!$A:$A,'Faltantes Fevereiro- Metalfisa'!X$3,METALFISA!$B:$B,'Faltantes Fevereiro- Metalfisa'!$A350)</f>
        <v>0</v>
      </c>
      <c r="Y350" s="31">
        <f>SUMIFS(METALFISA!$E:$E,METALFISA!$A:$A,'Faltantes Fevereiro- Metalfisa'!Y$3,METALFISA!$B:$B,'Faltantes Fevereiro- Metalfisa'!$A350)</f>
        <v>0</v>
      </c>
      <c r="Z350" s="31">
        <f>SUMIFS(METALFISA!$E:$E,METALFISA!$A:$A,'Faltantes Fevereiro- Metalfisa'!Z$3,METALFISA!$B:$B,'Faltantes Fevereiro- Metalfisa'!$A350)</f>
        <v>0</v>
      </c>
      <c r="AA350" s="31">
        <f>SUMIFS(METALFISA!$E:$E,METALFISA!$A:$A,'Faltantes Fevereiro- Metalfisa'!AA$3,METALFISA!$B:$B,'Faltantes Fevereiro- Metalfisa'!$A350)</f>
        <v>0</v>
      </c>
      <c r="AB350" s="31">
        <f>SUMIFS(METALFISA!$E:$E,METALFISA!$A:$A,'Faltantes Fevereiro- Metalfisa'!AB$3,METALFISA!$B:$B,'Faltantes Fevereiro- Metalfisa'!$A350)</f>
        <v>0</v>
      </c>
      <c r="AC350" s="31">
        <f>SUMIFS(METALFISA!$E:$E,METALFISA!$A:$A,'Faltantes Fevereiro- Metalfisa'!AC$3,METALFISA!$B:$B,'Faltantes Fevereiro- Metalfisa'!$A350)</f>
        <v>0</v>
      </c>
      <c r="AD350" s="31">
        <f>SUMIFS(METALFISA!$E:$E,METALFISA!$A:$A,'Faltantes Fevereiro- Metalfisa'!AD$3,METALFISA!$B:$B,'Faltantes Fevereiro- Metalfisa'!$A350)</f>
        <v>0</v>
      </c>
      <c r="AE350" s="31">
        <f>SUMIFS(METALFISA!$E:$E,METALFISA!$A:$A,'Faltantes Fevereiro- Metalfisa'!AE$3,METALFISA!$B:$B,'Faltantes Fevereiro- Metalfisa'!$A350)</f>
        <v>2</v>
      </c>
      <c r="AF350" s="31">
        <f>SUMIFS(METALFISA!$E:$E,METALFISA!$A:$A,'Faltantes Fevereiro- Metalfisa'!AF$3,METALFISA!$B:$B,'Faltantes Fevereiro- Metalfisa'!$A350)</f>
        <v>0</v>
      </c>
      <c r="AG350" s="31">
        <f>SUMIFS(METALFISA!$E:$E,METALFISA!$A:$A,'Faltantes Fevereiro- Metalfisa'!AG$3,METALFISA!$B:$B,'Faltantes Fevereiro- Metalfisa'!$A350)</f>
        <v>0</v>
      </c>
      <c r="AH350" s="31">
        <f>SUMIFS(METALFISA!$E:$E,METALFISA!$A:$A,'Faltantes Fevereiro- Metalfisa'!AH$3,METALFISA!$B:$B,'Faltantes Fevereiro- Metalfisa'!$A350)</f>
        <v>0</v>
      </c>
      <c r="AI350" s="31">
        <f>SUMIFS(METALFISA!$E:$E,METALFISA!$A:$A,'Faltantes Fevereiro- Metalfisa'!AI$3,METALFISA!$B:$B,'Faltantes Fevereiro- Metalfisa'!$A350)</f>
        <v>0</v>
      </c>
      <c r="AJ350" s="31">
        <f>SUMIFS(METALFISA!$E:$E,METALFISA!$A:$A,'Faltantes Fevereiro- Metalfisa'!AJ$3,METALFISA!$B:$B,'Faltantes Fevereiro- Metalfisa'!$A350)</f>
        <v>0</v>
      </c>
      <c r="AK350" s="31">
        <f>SUMIFS(METALFISA!$E:$E,METALFISA!$A:$A,'Faltantes Fevereiro- Metalfisa'!AK$3,METALFISA!$B:$B,'Faltantes Fevereiro- Metalfisa'!$A350)</f>
        <v>0</v>
      </c>
      <c r="AL350" s="31">
        <f>SUMIFS(METALFISA!$E:$E,METALFISA!$A:$A,'Faltantes Fevereiro- Metalfisa'!AL$3,METALFISA!$B:$B,'Faltantes Fevereiro- Metalfisa'!$A350)</f>
        <v>0</v>
      </c>
      <c r="AM350" s="31">
        <f>SUMIFS(METALFISA!$E:$E,METALFISA!$A:$A,'Faltantes Fevereiro- Metalfisa'!AM$3,METALFISA!$B:$B,'Faltantes Fevereiro- Metalfisa'!$A350)</f>
        <v>0</v>
      </c>
      <c r="AN350" s="31">
        <f>SUMIFS(METALFISA!$E:$E,METALFISA!$A:$A,'Faltantes Fevereiro- Metalfisa'!AN$3,METALFISA!$B:$B,'Faltantes Fevereiro- Metalfisa'!$A350)</f>
        <v>0</v>
      </c>
      <c r="AO350" s="31">
        <f>SUMIFS(METALFISA!$E:$E,METALFISA!$A:$A,'Faltantes Fevereiro- Metalfisa'!AO$3,METALFISA!$B:$B,'Faltantes Fevereiro- Metalfisa'!$A350)</f>
        <v>0</v>
      </c>
      <c r="AP350" s="31">
        <f>SUMIFS(METALFISA!$E:$E,METALFISA!$A:$A,'Faltantes Fevereiro- Metalfisa'!AP$3,METALFISA!$B:$B,'Faltantes Fevereiro- Metalfisa'!$A350)</f>
        <v>0</v>
      </c>
      <c r="AQ350" s="31"/>
      <c r="AR350" s="31"/>
      <c r="AS350" s="35"/>
      <c r="AY350" s="41">
        <v>0</v>
      </c>
      <c r="AZ350" s="31">
        <v>0</v>
      </c>
      <c r="BA350" s="31">
        <v>0</v>
      </c>
      <c r="BB350" s="31">
        <v>0</v>
      </c>
      <c r="BC350" s="31">
        <v>0</v>
      </c>
      <c r="BD350" s="31">
        <v>0</v>
      </c>
      <c r="BE350" s="31">
        <v>0</v>
      </c>
      <c r="BF350" s="31">
        <v>0</v>
      </c>
      <c r="BG350" s="31">
        <v>0</v>
      </c>
      <c r="BH350" s="31">
        <v>0</v>
      </c>
      <c r="BI350" s="31">
        <v>0</v>
      </c>
      <c r="BJ350" s="31">
        <v>0</v>
      </c>
      <c r="BK350" s="31">
        <v>0</v>
      </c>
      <c r="BL350" s="31">
        <v>0</v>
      </c>
      <c r="BM350" s="31">
        <v>0</v>
      </c>
      <c r="BN350" s="31">
        <v>0</v>
      </c>
      <c r="BO350" s="31">
        <v>1</v>
      </c>
      <c r="BP350" s="31">
        <v>0</v>
      </c>
      <c r="BQ350" s="31">
        <v>0</v>
      </c>
      <c r="BR350" s="31">
        <v>0</v>
      </c>
      <c r="BS350" s="31">
        <v>0</v>
      </c>
      <c r="BT350" s="31">
        <v>0</v>
      </c>
      <c r="BU350" s="31">
        <v>0</v>
      </c>
      <c r="BV350" s="31">
        <v>0</v>
      </c>
      <c r="BW350" s="31">
        <v>0</v>
      </c>
      <c r="BX350" s="31">
        <v>0</v>
      </c>
      <c r="BY350" s="31">
        <v>0</v>
      </c>
      <c r="BZ350" s="31">
        <v>0</v>
      </c>
      <c r="CA350" s="31">
        <v>0</v>
      </c>
      <c r="CB350" s="31">
        <v>0</v>
      </c>
      <c r="CC350" s="31">
        <v>0</v>
      </c>
      <c r="CD350" s="31">
        <v>0</v>
      </c>
      <c r="CE350" s="31">
        <v>0</v>
      </c>
      <c r="CF350" s="31">
        <v>0</v>
      </c>
      <c r="CG350" s="31">
        <v>0</v>
      </c>
      <c r="CH350" s="31">
        <v>0</v>
      </c>
      <c r="CI350" s="31">
        <v>0</v>
      </c>
      <c r="CJ350" s="31">
        <v>0</v>
      </c>
      <c r="CK350" s="31">
        <v>0</v>
      </c>
      <c r="CL350" s="35">
        <v>0</v>
      </c>
    </row>
    <row r="351" spans="1:90" ht="21" x14ac:dyDescent="0.15">
      <c r="A351" s="31" t="s">
        <v>1730</v>
      </c>
      <c r="B351" s="30" t="s">
        <v>1731</v>
      </c>
      <c r="C351" s="28">
        <v>0</v>
      </c>
      <c r="D351" s="28">
        <v>0</v>
      </c>
      <c r="E351" s="28">
        <v>0</v>
      </c>
      <c r="F351" s="28">
        <v>0</v>
      </c>
      <c r="G351" s="28">
        <v>12</v>
      </c>
      <c r="H351" s="28">
        <f>IFERROR(VLOOKUP(A351,[1]FALTANTES!$A:$AB,28,FALSE),"-")</f>
        <v>0</v>
      </c>
      <c r="I351" s="42">
        <f>IFERROR(VLOOKUP(A351,[1]FALTANTES!$A:$AC,29,FALSE),"-")</f>
        <v>4</v>
      </c>
      <c r="J351" s="29">
        <f>IFERROR(VLOOKUP(A351,[1]FALTANTES!$A:$AD,30,FALSE),"-")</f>
        <v>-8</v>
      </c>
      <c r="K351" s="30">
        <v>0</v>
      </c>
      <c r="L351" s="30">
        <f t="shared" si="7"/>
        <v>3</v>
      </c>
      <c r="M351" s="31">
        <f>SUMIFS(METALFISA!$E:$E,METALFISA!$A:$A,'Faltantes Fevereiro- Metalfisa'!M$3,METALFISA!$B:$B,'Faltantes Fevereiro- Metalfisa'!$A351)</f>
        <v>0</v>
      </c>
      <c r="N351" s="31">
        <f>SUMIFS(METALFISA!$E:$E,METALFISA!$A:$A,'Faltantes Fevereiro- Metalfisa'!N$3,METALFISA!$B:$B,'Faltantes Fevereiro- Metalfisa'!$A351)</f>
        <v>0</v>
      </c>
      <c r="O351" s="31">
        <f>SUMIFS(METALFISA!$E:$E,METALFISA!$A:$A,'Faltantes Fevereiro- Metalfisa'!O$3,METALFISA!$B:$B,'Faltantes Fevereiro- Metalfisa'!$A351)</f>
        <v>0</v>
      </c>
      <c r="P351" s="31">
        <f>SUMIFS(METALFISA!$E:$E,METALFISA!$A:$A,'Faltantes Fevereiro- Metalfisa'!P$3,METALFISA!$B:$B,'Faltantes Fevereiro- Metalfisa'!$A351)</f>
        <v>0</v>
      </c>
      <c r="Q351" s="31">
        <f>SUMIFS(METALFISA!$E:$E,METALFISA!$A:$A,'Faltantes Fevereiro- Metalfisa'!Q$3,METALFISA!$B:$B,'Faltantes Fevereiro- Metalfisa'!$A351)</f>
        <v>0</v>
      </c>
      <c r="R351" s="31">
        <f>SUMIFS(METALFISA!$E:$E,METALFISA!$A:$A,'Faltantes Fevereiro- Metalfisa'!R$3,METALFISA!$B:$B,'Faltantes Fevereiro- Metalfisa'!$A351)</f>
        <v>0</v>
      </c>
      <c r="S351" s="31">
        <f>SUMIFS(METALFISA!$E:$E,METALFISA!$A:$A,'Faltantes Fevereiro- Metalfisa'!S$3,METALFISA!$B:$B,'Faltantes Fevereiro- Metalfisa'!$A351)</f>
        <v>0</v>
      </c>
      <c r="T351" s="31">
        <f>SUMIFS(METALFISA!$E:$E,METALFISA!$A:$A,'Faltantes Fevereiro- Metalfisa'!T$3,METALFISA!$B:$B,'Faltantes Fevereiro- Metalfisa'!$A351)</f>
        <v>0</v>
      </c>
      <c r="U351" s="31">
        <f>SUMIFS(METALFISA!$E:$E,METALFISA!$A:$A,'Faltantes Fevereiro- Metalfisa'!U$3,METALFISA!$B:$B,'Faltantes Fevereiro- Metalfisa'!$A351)</f>
        <v>0</v>
      </c>
      <c r="V351" s="31">
        <f>SUMIFS(METALFISA!$E:$E,METALFISA!$A:$A,'Faltantes Fevereiro- Metalfisa'!V$3,METALFISA!$B:$B,'Faltantes Fevereiro- Metalfisa'!$A351)</f>
        <v>0</v>
      </c>
      <c r="W351" s="31">
        <f>SUMIFS(METALFISA!$E:$E,METALFISA!$A:$A,'Faltantes Fevereiro- Metalfisa'!W$3,METALFISA!$B:$B,'Faltantes Fevereiro- Metalfisa'!$A351)</f>
        <v>0</v>
      </c>
      <c r="X351" s="31">
        <f>SUMIFS(METALFISA!$E:$E,METALFISA!$A:$A,'Faltantes Fevereiro- Metalfisa'!X$3,METALFISA!$B:$B,'Faltantes Fevereiro- Metalfisa'!$A351)</f>
        <v>0</v>
      </c>
      <c r="Y351" s="31">
        <f>SUMIFS(METALFISA!$E:$E,METALFISA!$A:$A,'Faltantes Fevereiro- Metalfisa'!Y$3,METALFISA!$B:$B,'Faltantes Fevereiro- Metalfisa'!$A351)</f>
        <v>0</v>
      </c>
      <c r="Z351" s="31">
        <f>SUMIFS(METALFISA!$E:$E,METALFISA!$A:$A,'Faltantes Fevereiro- Metalfisa'!Z$3,METALFISA!$B:$B,'Faltantes Fevereiro- Metalfisa'!$A351)</f>
        <v>0</v>
      </c>
      <c r="AA351" s="31">
        <f>SUMIFS(METALFISA!$E:$E,METALFISA!$A:$A,'Faltantes Fevereiro- Metalfisa'!AA$3,METALFISA!$B:$B,'Faltantes Fevereiro- Metalfisa'!$A351)</f>
        <v>0</v>
      </c>
      <c r="AB351" s="31">
        <f>SUMIFS(METALFISA!$E:$E,METALFISA!$A:$A,'Faltantes Fevereiro- Metalfisa'!AB$3,METALFISA!$B:$B,'Faltantes Fevereiro- Metalfisa'!$A351)</f>
        <v>0</v>
      </c>
      <c r="AC351" s="31">
        <f>SUMIFS(METALFISA!$E:$E,METALFISA!$A:$A,'Faltantes Fevereiro- Metalfisa'!AC$3,METALFISA!$B:$B,'Faltantes Fevereiro- Metalfisa'!$A351)</f>
        <v>0</v>
      </c>
      <c r="AD351" s="31">
        <f>SUMIFS(METALFISA!$E:$E,METALFISA!$A:$A,'Faltantes Fevereiro- Metalfisa'!AD$3,METALFISA!$B:$B,'Faltantes Fevereiro- Metalfisa'!$A351)</f>
        <v>0</v>
      </c>
      <c r="AE351" s="31">
        <f>SUMIFS(METALFISA!$E:$E,METALFISA!$A:$A,'Faltantes Fevereiro- Metalfisa'!AE$3,METALFISA!$B:$B,'Faltantes Fevereiro- Metalfisa'!$A351)</f>
        <v>3</v>
      </c>
      <c r="AF351" s="31">
        <f>SUMIFS(METALFISA!$E:$E,METALFISA!$A:$A,'Faltantes Fevereiro- Metalfisa'!AF$3,METALFISA!$B:$B,'Faltantes Fevereiro- Metalfisa'!$A351)</f>
        <v>0</v>
      </c>
      <c r="AG351" s="31">
        <f>SUMIFS(METALFISA!$E:$E,METALFISA!$A:$A,'Faltantes Fevereiro- Metalfisa'!AG$3,METALFISA!$B:$B,'Faltantes Fevereiro- Metalfisa'!$A351)</f>
        <v>0</v>
      </c>
      <c r="AH351" s="31">
        <f>SUMIFS(METALFISA!$E:$E,METALFISA!$A:$A,'Faltantes Fevereiro- Metalfisa'!AH$3,METALFISA!$B:$B,'Faltantes Fevereiro- Metalfisa'!$A351)</f>
        <v>0</v>
      </c>
      <c r="AI351" s="31">
        <f>SUMIFS(METALFISA!$E:$E,METALFISA!$A:$A,'Faltantes Fevereiro- Metalfisa'!AI$3,METALFISA!$B:$B,'Faltantes Fevereiro- Metalfisa'!$A351)</f>
        <v>0</v>
      </c>
      <c r="AJ351" s="31">
        <f>SUMIFS(METALFISA!$E:$E,METALFISA!$A:$A,'Faltantes Fevereiro- Metalfisa'!AJ$3,METALFISA!$B:$B,'Faltantes Fevereiro- Metalfisa'!$A351)</f>
        <v>0</v>
      </c>
      <c r="AK351" s="31">
        <f>SUMIFS(METALFISA!$E:$E,METALFISA!$A:$A,'Faltantes Fevereiro- Metalfisa'!AK$3,METALFISA!$B:$B,'Faltantes Fevereiro- Metalfisa'!$A351)</f>
        <v>0</v>
      </c>
      <c r="AL351" s="31">
        <f>SUMIFS(METALFISA!$E:$E,METALFISA!$A:$A,'Faltantes Fevereiro- Metalfisa'!AL$3,METALFISA!$B:$B,'Faltantes Fevereiro- Metalfisa'!$A351)</f>
        <v>0</v>
      </c>
      <c r="AM351" s="31">
        <f>SUMIFS(METALFISA!$E:$E,METALFISA!$A:$A,'Faltantes Fevereiro- Metalfisa'!AM$3,METALFISA!$B:$B,'Faltantes Fevereiro- Metalfisa'!$A351)</f>
        <v>0</v>
      </c>
      <c r="AN351" s="31">
        <f>SUMIFS(METALFISA!$E:$E,METALFISA!$A:$A,'Faltantes Fevereiro- Metalfisa'!AN$3,METALFISA!$B:$B,'Faltantes Fevereiro- Metalfisa'!$A351)</f>
        <v>0</v>
      </c>
      <c r="AO351" s="31">
        <f>SUMIFS(METALFISA!$E:$E,METALFISA!$A:$A,'Faltantes Fevereiro- Metalfisa'!AO$3,METALFISA!$B:$B,'Faltantes Fevereiro- Metalfisa'!$A351)</f>
        <v>0</v>
      </c>
      <c r="AP351" s="31">
        <f>SUMIFS(METALFISA!$E:$E,METALFISA!$A:$A,'Faltantes Fevereiro- Metalfisa'!AP$3,METALFISA!$B:$B,'Faltantes Fevereiro- Metalfisa'!$A351)</f>
        <v>0</v>
      </c>
      <c r="AQ351" s="31"/>
      <c r="AR351" s="31"/>
      <c r="AS351" s="35"/>
      <c r="AY351" s="41">
        <v>0</v>
      </c>
      <c r="AZ351" s="31">
        <v>0</v>
      </c>
      <c r="BA351" s="31">
        <v>0</v>
      </c>
      <c r="BB351" s="31">
        <v>0</v>
      </c>
      <c r="BC351" s="31">
        <v>0</v>
      </c>
      <c r="BD351" s="31">
        <v>0</v>
      </c>
      <c r="BE351" s="31">
        <v>0</v>
      </c>
      <c r="BF351" s="31">
        <v>0</v>
      </c>
      <c r="BG351" s="31">
        <v>0</v>
      </c>
      <c r="BH351" s="31">
        <v>0</v>
      </c>
      <c r="BI351" s="31">
        <v>0</v>
      </c>
      <c r="BJ351" s="31">
        <v>0</v>
      </c>
      <c r="BK351" s="31">
        <v>0</v>
      </c>
      <c r="BL351" s="31">
        <v>0</v>
      </c>
      <c r="BM351" s="31">
        <v>0</v>
      </c>
      <c r="BN351" s="31">
        <v>0</v>
      </c>
      <c r="BO351" s="31">
        <v>2</v>
      </c>
      <c r="BP351" s="31">
        <v>0</v>
      </c>
      <c r="BQ351" s="31">
        <v>0</v>
      </c>
      <c r="BR351" s="31">
        <v>0</v>
      </c>
      <c r="BS351" s="31">
        <v>0</v>
      </c>
      <c r="BT351" s="31">
        <v>0</v>
      </c>
      <c r="BU351" s="31">
        <v>0</v>
      </c>
      <c r="BV351" s="31">
        <v>0</v>
      </c>
      <c r="BW351" s="31">
        <v>0</v>
      </c>
      <c r="BX351" s="31">
        <v>0</v>
      </c>
      <c r="BY351" s="31">
        <v>0</v>
      </c>
      <c r="BZ351" s="31">
        <v>0</v>
      </c>
      <c r="CA351" s="31">
        <v>0</v>
      </c>
      <c r="CB351" s="31">
        <v>0</v>
      </c>
      <c r="CC351" s="31">
        <v>0</v>
      </c>
      <c r="CD351" s="31">
        <v>0</v>
      </c>
      <c r="CE351" s="31">
        <v>0</v>
      </c>
      <c r="CF351" s="31">
        <v>0</v>
      </c>
      <c r="CG351" s="31">
        <v>0</v>
      </c>
      <c r="CH351" s="31">
        <v>0</v>
      </c>
      <c r="CI351" s="31">
        <v>0</v>
      </c>
      <c r="CJ351" s="31">
        <v>0</v>
      </c>
      <c r="CK351" s="31">
        <v>0</v>
      </c>
      <c r="CL351" s="35">
        <v>0</v>
      </c>
    </row>
    <row r="352" spans="1:90" ht="21" x14ac:dyDescent="0.15">
      <c r="A352" s="31" t="s">
        <v>1734</v>
      </c>
      <c r="B352" s="30" t="s">
        <v>1735</v>
      </c>
      <c r="C352" s="28">
        <v>0</v>
      </c>
      <c r="D352" s="28">
        <v>0</v>
      </c>
      <c r="E352" s="28">
        <v>0</v>
      </c>
      <c r="F352" s="28">
        <v>0</v>
      </c>
      <c r="G352" s="28">
        <v>5</v>
      </c>
      <c r="H352" s="28">
        <f>IFERROR(VLOOKUP(A352,[1]FALTANTES!$A:$AB,28,FALSE),"-")</f>
        <v>0</v>
      </c>
      <c r="I352" s="42">
        <f>IFERROR(VLOOKUP(A352,[1]FALTANTES!$A:$AC,29,FALSE),"-")</f>
        <v>2</v>
      </c>
      <c r="J352" s="29">
        <f>IFERROR(VLOOKUP(A352,[1]FALTANTES!$A:$AD,30,FALSE),"-")</f>
        <v>-3</v>
      </c>
      <c r="K352" s="30">
        <v>0</v>
      </c>
      <c r="L352" s="30">
        <f t="shared" si="7"/>
        <v>1</v>
      </c>
      <c r="M352" s="31">
        <f>SUMIFS(METALFISA!$E:$E,METALFISA!$A:$A,'Faltantes Fevereiro- Metalfisa'!M$3,METALFISA!$B:$B,'Faltantes Fevereiro- Metalfisa'!$A352)</f>
        <v>0</v>
      </c>
      <c r="N352" s="31">
        <f>SUMIFS(METALFISA!$E:$E,METALFISA!$A:$A,'Faltantes Fevereiro- Metalfisa'!N$3,METALFISA!$B:$B,'Faltantes Fevereiro- Metalfisa'!$A352)</f>
        <v>0</v>
      </c>
      <c r="O352" s="31">
        <f>SUMIFS(METALFISA!$E:$E,METALFISA!$A:$A,'Faltantes Fevereiro- Metalfisa'!O$3,METALFISA!$B:$B,'Faltantes Fevereiro- Metalfisa'!$A352)</f>
        <v>0</v>
      </c>
      <c r="P352" s="31">
        <f>SUMIFS(METALFISA!$E:$E,METALFISA!$A:$A,'Faltantes Fevereiro- Metalfisa'!P$3,METALFISA!$B:$B,'Faltantes Fevereiro- Metalfisa'!$A352)</f>
        <v>0</v>
      </c>
      <c r="Q352" s="31">
        <f>SUMIFS(METALFISA!$E:$E,METALFISA!$A:$A,'Faltantes Fevereiro- Metalfisa'!Q$3,METALFISA!$B:$B,'Faltantes Fevereiro- Metalfisa'!$A352)</f>
        <v>0</v>
      </c>
      <c r="R352" s="31">
        <f>SUMIFS(METALFISA!$E:$E,METALFISA!$A:$A,'Faltantes Fevereiro- Metalfisa'!R$3,METALFISA!$B:$B,'Faltantes Fevereiro- Metalfisa'!$A352)</f>
        <v>0</v>
      </c>
      <c r="S352" s="31">
        <f>SUMIFS(METALFISA!$E:$E,METALFISA!$A:$A,'Faltantes Fevereiro- Metalfisa'!S$3,METALFISA!$B:$B,'Faltantes Fevereiro- Metalfisa'!$A352)</f>
        <v>0</v>
      </c>
      <c r="T352" s="31">
        <f>SUMIFS(METALFISA!$E:$E,METALFISA!$A:$A,'Faltantes Fevereiro- Metalfisa'!T$3,METALFISA!$B:$B,'Faltantes Fevereiro- Metalfisa'!$A352)</f>
        <v>0</v>
      </c>
      <c r="U352" s="31">
        <f>SUMIFS(METALFISA!$E:$E,METALFISA!$A:$A,'Faltantes Fevereiro- Metalfisa'!U$3,METALFISA!$B:$B,'Faltantes Fevereiro- Metalfisa'!$A352)</f>
        <v>0</v>
      </c>
      <c r="V352" s="31">
        <f>SUMIFS(METALFISA!$E:$E,METALFISA!$A:$A,'Faltantes Fevereiro- Metalfisa'!V$3,METALFISA!$B:$B,'Faltantes Fevereiro- Metalfisa'!$A352)</f>
        <v>0</v>
      </c>
      <c r="W352" s="31">
        <f>SUMIFS(METALFISA!$E:$E,METALFISA!$A:$A,'Faltantes Fevereiro- Metalfisa'!W$3,METALFISA!$B:$B,'Faltantes Fevereiro- Metalfisa'!$A352)</f>
        <v>0</v>
      </c>
      <c r="X352" s="31">
        <f>SUMIFS(METALFISA!$E:$E,METALFISA!$A:$A,'Faltantes Fevereiro- Metalfisa'!X$3,METALFISA!$B:$B,'Faltantes Fevereiro- Metalfisa'!$A352)</f>
        <v>0</v>
      </c>
      <c r="Y352" s="31">
        <f>SUMIFS(METALFISA!$E:$E,METALFISA!$A:$A,'Faltantes Fevereiro- Metalfisa'!Y$3,METALFISA!$B:$B,'Faltantes Fevereiro- Metalfisa'!$A352)</f>
        <v>0</v>
      </c>
      <c r="Z352" s="31">
        <f>SUMIFS(METALFISA!$E:$E,METALFISA!$A:$A,'Faltantes Fevereiro- Metalfisa'!Z$3,METALFISA!$B:$B,'Faltantes Fevereiro- Metalfisa'!$A352)</f>
        <v>0</v>
      </c>
      <c r="AA352" s="31">
        <f>SUMIFS(METALFISA!$E:$E,METALFISA!$A:$A,'Faltantes Fevereiro- Metalfisa'!AA$3,METALFISA!$B:$B,'Faltantes Fevereiro- Metalfisa'!$A352)</f>
        <v>0</v>
      </c>
      <c r="AB352" s="31">
        <f>SUMIFS(METALFISA!$E:$E,METALFISA!$A:$A,'Faltantes Fevereiro- Metalfisa'!AB$3,METALFISA!$B:$B,'Faltantes Fevereiro- Metalfisa'!$A352)</f>
        <v>0</v>
      </c>
      <c r="AC352" s="31">
        <f>SUMIFS(METALFISA!$E:$E,METALFISA!$A:$A,'Faltantes Fevereiro- Metalfisa'!AC$3,METALFISA!$B:$B,'Faltantes Fevereiro- Metalfisa'!$A352)</f>
        <v>0</v>
      </c>
      <c r="AD352" s="31">
        <f>SUMIFS(METALFISA!$E:$E,METALFISA!$A:$A,'Faltantes Fevereiro- Metalfisa'!AD$3,METALFISA!$B:$B,'Faltantes Fevereiro- Metalfisa'!$A352)</f>
        <v>0</v>
      </c>
      <c r="AE352" s="31">
        <f>SUMIFS(METALFISA!$E:$E,METALFISA!$A:$A,'Faltantes Fevereiro- Metalfisa'!AE$3,METALFISA!$B:$B,'Faltantes Fevereiro- Metalfisa'!$A352)</f>
        <v>1</v>
      </c>
      <c r="AF352" s="31">
        <f>SUMIFS(METALFISA!$E:$E,METALFISA!$A:$A,'Faltantes Fevereiro- Metalfisa'!AF$3,METALFISA!$B:$B,'Faltantes Fevereiro- Metalfisa'!$A352)</f>
        <v>0</v>
      </c>
      <c r="AG352" s="31">
        <f>SUMIFS(METALFISA!$E:$E,METALFISA!$A:$A,'Faltantes Fevereiro- Metalfisa'!AG$3,METALFISA!$B:$B,'Faltantes Fevereiro- Metalfisa'!$A352)</f>
        <v>0</v>
      </c>
      <c r="AH352" s="31">
        <f>SUMIFS(METALFISA!$E:$E,METALFISA!$A:$A,'Faltantes Fevereiro- Metalfisa'!AH$3,METALFISA!$B:$B,'Faltantes Fevereiro- Metalfisa'!$A352)</f>
        <v>0</v>
      </c>
      <c r="AI352" s="31">
        <f>SUMIFS(METALFISA!$E:$E,METALFISA!$A:$A,'Faltantes Fevereiro- Metalfisa'!AI$3,METALFISA!$B:$B,'Faltantes Fevereiro- Metalfisa'!$A352)</f>
        <v>0</v>
      </c>
      <c r="AJ352" s="31">
        <f>SUMIFS(METALFISA!$E:$E,METALFISA!$A:$A,'Faltantes Fevereiro- Metalfisa'!AJ$3,METALFISA!$B:$B,'Faltantes Fevereiro- Metalfisa'!$A352)</f>
        <v>0</v>
      </c>
      <c r="AK352" s="31">
        <f>SUMIFS(METALFISA!$E:$E,METALFISA!$A:$A,'Faltantes Fevereiro- Metalfisa'!AK$3,METALFISA!$B:$B,'Faltantes Fevereiro- Metalfisa'!$A352)</f>
        <v>0</v>
      </c>
      <c r="AL352" s="31">
        <f>SUMIFS(METALFISA!$E:$E,METALFISA!$A:$A,'Faltantes Fevereiro- Metalfisa'!AL$3,METALFISA!$B:$B,'Faltantes Fevereiro- Metalfisa'!$A352)</f>
        <v>0</v>
      </c>
      <c r="AM352" s="31">
        <f>SUMIFS(METALFISA!$E:$E,METALFISA!$A:$A,'Faltantes Fevereiro- Metalfisa'!AM$3,METALFISA!$B:$B,'Faltantes Fevereiro- Metalfisa'!$A352)</f>
        <v>0</v>
      </c>
      <c r="AN352" s="31">
        <f>SUMIFS(METALFISA!$E:$E,METALFISA!$A:$A,'Faltantes Fevereiro- Metalfisa'!AN$3,METALFISA!$B:$B,'Faltantes Fevereiro- Metalfisa'!$A352)</f>
        <v>0</v>
      </c>
      <c r="AO352" s="31">
        <f>SUMIFS(METALFISA!$E:$E,METALFISA!$A:$A,'Faltantes Fevereiro- Metalfisa'!AO$3,METALFISA!$B:$B,'Faltantes Fevereiro- Metalfisa'!$A352)</f>
        <v>0</v>
      </c>
      <c r="AP352" s="31">
        <f>SUMIFS(METALFISA!$E:$E,METALFISA!$A:$A,'Faltantes Fevereiro- Metalfisa'!AP$3,METALFISA!$B:$B,'Faltantes Fevereiro- Metalfisa'!$A352)</f>
        <v>0</v>
      </c>
      <c r="AQ352" s="31"/>
      <c r="AR352" s="31"/>
      <c r="AS352" s="35"/>
      <c r="AY352" s="41">
        <v>0</v>
      </c>
      <c r="AZ352" s="31">
        <v>0</v>
      </c>
      <c r="BA352" s="31">
        <v>0</v>
      </c>
      <c r="BB352" s="31">
        <v>0</v>
      </c>
      <c r="BC352" s="31">
        <v>0</v>
      </c>
      <c r="BD352" s="31">
        <v>0</v>
      </c>
      <c r="BE352" s="31">
        <v>0</v>
      </c>
      <c r="BF352" s="31">
        <v>0</v>
      </c>
      <c r="BG352" s="31">
        <v>0</v>
      </c>
      <c r="BH352" s="31">
        <v>0</v>
      </c>
      <c r="BI352" s="31">
        <v>0</v>
      </c>
      <c r="BJ352" s="31">
        <v>0</v>
      </c>
      <c r="BK352" s="31">
        <v>0</v>
      </c>
      <c r="BL352" s="31">
        <v>0</v>
      </c>
      <c r="BM352" s="31">
        <v>0</v>
      </c>
      <c r="BN352" s="31">
        <v>0</v>
      </c>
      <c r="BO352" s="31">
        <v>1</v>
      </c>
      <c r="BP352" s="31">
        <v>0</v>
      </c>
      <c r="BQ352" s="31">
        <v>0</v>
      </c>
      <c r="BR352" s="31">
        <v>0</v>
      </c>
      <c r="BS352" s="31">
        <v>0</v>
      </c>
      <c r="BT352" s="31">
        <v>0</v>
      </c>
      <c r="BU352" s="31">
        <v>0</v>
      </c>
      <c r="BV352" s="31">
        <v>0</v>
      </c>
      <c r="BW352" s="31">
        <v>0</v>
      </c>
      <c r="BX352" s="31">
        <v>0</v>
      </c>
      <c r="BY352" s="31">
        <v>0</v>
      </c>
      <c r="BZ352" s="31">
        <v>0</v>
      </c>
      <c r="CA352" s="31">
        <v>0</v>
      </c>
      <c r="CB352" s="31">
        <v>0</v>
      </c>
      <c r="CC352" s="31">
        <v>0</v>
      </c>
      <c r="CD352" s="31">
        <v>0</v>
      </c>
      <c r="CE352" s="31">
        <v>0</v>
      </c>
      <c r="CF352" s="31">
        <v>0</v>
      </c>
      <c r="CG352" s="31">
        <v>0</v>
      </c>
      <c r="CH352" s="31">
        <v>0</v>
      </c>
      <c r="CI352" s="31">
        <v>0</v>
      </c>
      <c r="CJ352" s="31">
        <v>0</v>
      </c>
      <c r="CK352" s="31">
        <v>0</v>
      </c>
      <c r="CL352" s="35">
        <v>0</v>
      </c>
    </row>
    <row r="353" spans="1:90" ht="21" x14ac:dyDescent="0.15">
      <c r="A353" s="31" t="s">
        <v>1741</v>
      </c>
      <c r="B353" s="30" t="s">
        <v>1742</v>
      </c>
      <c r="C353" s="28">
        <v>0</v>
      </c>
      <c r="D353" s="28">
        <v>0</v>
      </c>
      <c r="E353" s="28">
        <v>0</v>
      </c>
      <c r="F353" s="28">
        <v>0</v>
      </c>
      <c r="G353" s="28">
        <v>6</v>
      </c>
      <c r="H353" s="28">
        <f>IFERROR(VLOOKUP(A353,[1]FALTANTES!$A:$AB,28,FALSE),"-")</f>
        <v>0</v>
      </c>
      <c r="I353" s="42">
        <f>IFERROR(VLOOKUP(A353,[1]FALTANTES!$A:$AC,29,FALSE),"-")</f>
        <v>0</v>
      </c>
      <c r="J353" s="29">
        <f>IFERROR(VLOOKUP(A353,[1]FALTANTES!$A:$AD,30,FALSE),"-")</f>
        <v>-6</v>
      </c>
      <c r="K353" s="30">
        <v>0</v>
      </c>
      <c r="L353" s="30">
        <f t="shared" si="7"/>
        <v>2</v>
      </c>
      <c r="M353" s="31">
        <f>SUMIFS(METALFISA!$E:$E,METALFISA!$A:$A,'Faltantes Fevereiro- Metalfisa'!M$3,METALFISA!$B:$B,'Faltantes Fevereiro- Metalfisa'!$A353)</f>
        <v>0</v>
      </c>
      <c r="N353" s="31">
        <f>SUMIFS(METALFISA!$E:$E,METALFISA!$A:$A,'Faltantes Fevereiro- Metalfisa'!N$3,METALFISA!$B:$B,'Faltantes Fevereiro- Metalfisa'!$A353)</f>
        <v>0</v>
      </c>
      <c r="O353" s="31">
        <f>SUMIFS(METALFISA!$E:$E,METALFISA!$A:$A,'Faltantes Fevereiro- Metalfisa'!O$3,METALFISA!$B:$B,'Faltantes Fevereiro- Metalfisa'!$A353)</f>
        <v>0</v>
      </c>
      <c r="P353" s="31">
        <f>SUMIFS(METALFISA!$E:$E,METALFISA!$A:$A,'Faltantes Fevereiro- Metalfisa'!P$3,METALFISA!$B:$B,'Faltantes Fevereiro- Metalfisa'!$A353)</f>
        <v>0</v>
      </c>
      <c r="Q353" s="31">
        <f>SUMIFS(METALFISA!$E:$E,METALFISA!$A:$A,'Faltantes Fevereiro- Metalfisa'!Q$3,METALFISA!$B:$B,'Faltantes Fevereiro- Metalfisa'!$A353)</f>
        <v>0</v>
      </c>
      <c r="R353" s="31">
        <f>SUMIFS(METALFISA!$E:$E,METALFISA!$A:$A,'Faltantes Fevereiro- Metalfisa'!R$3,METALFISA!$B:$B,'Faltantes Fevereiro- Metalfisa'!$A353)</f>
        <v>0</v>
      </c>
      <c r="S353" s="31">
        <f>SUMIFS(METALFISA!$E:$E,METALFISA!$A:$A,'Faltantes Fevereiro- Metalfisa'!S$3,METALFISA!$B:$B,'Faltantes Fevereiro- Metalfisa'!$A353)</f>
        <v>0</v>
      </c>
      <c r="T353" s="31">
        <f>SUMIFS(METALFISA!$E:$E,METALFISA!$A:$A,'Faltantes Fevereiro- Metalfisa'!T$3,METALFISA!$B:$B,'Faltantes Fevereiro- Metalfisa'!$A353)</f>
        <v>0</v>
      </c>
      <c r="U353" s="31">
        <f>SUMIFS(METALFISA!$E:$E,METALFISA!$A:$A,'Faltantes Fevereiro- Metalfisa'!U$3,METALFISA!$B:$B,'Faltantes Fevereiro- Metalfisa'!$A353)</f>
        <v>0</v>
      </c>
      <c r="V353" s="31">
        <f>SUMIFS(METALFISA!$E:$E,METALFISA!$A:$A,'Faltantes Fevereiro- Metalfisa'!V$3,METALFISA!$B:$B,'Faltantes Fevereiro- Metalfisa'!$A353)</f>
        <v>0</v>
      </c>
      <c r="W353" s="31">
        <f>SUMIFS(METALFISA!$E:$E,METALFISA!$A:$A,'Faltantes Fevereiro- Metalfisa'!W$3,METALFISA!$B:$B,'Faltantes Fevereiro- Metalfisa'!$A353)</f>
        <v>0</v>
      </c>
      <c r="X353" s="31">
        <f>SUMIFS(METALFISA!$E:$E,METALFISA!$A:$A,'Faltantes Fevereiro- Metalfisa'!X$3,METALFISA!$B:$B,'Faltantes Fevereiro- Metalfisa'!$A353)</f>
        <v>0</v>
      </c>
      <c r="Y353" s="31">
        <f>SUMIFS(METALFISA!$E:$E,METALFISA!$A:$A,'Faltantes Fevereiro- Metalfisa'!Y$3,METALFISA!$B:$B,'Faltantes Fevereiro- Metalfisa'!$A353)</f>
        <v>0</v>
      </c>
      <c r="Z353" s="31">
        <f>SUMIFS(METALFISA!$E:$E,METALFISA!$A:$A,'Faltantes Fevereiro- Metalfisa'!Z$3,METALFISA!$B:$B,'Faltantes Fevereiro- Metalfisa'!$A353)</f>
        <v>0</v>
      </c>
      <c r="AA353" s="31">
        <f>SUMIFS(METALFISA!$E:$E,METALFISA!$A:$A,'Faltantes Fevereiro- Metalfisa'!AA$3,METALFISA!$B:$B,'Faltantes Fevereiro- Metalfisa'!$A353)</f>
        <v>0</v>
      </c>
      <c r="AB353" s="31">
        <f>SUMIFS(METALFISA!$E:$E,METALFISA!$A:$A,'Faltantes Fevereiro- Metalfisa'!AB$3,METALFISA!$B:$B,'Faltantes Fevereiro- Metalfisa'!$A353)</f>
        <v>0</v>
      </c>
      <c r="AC353" s="31">
        <f>SUMIFS(METALFISA!$E:$E,METALFISA!$A:$A,'Faltantes Fevereiro- Metalfisa'!AC$3,METALFISA!$B:$B,'Faltantes Fevereiro- Metalfisa'!$A353)</f>
        <v>0</v>
      </c>
      <c r="AD353" s="31">
        <f>SUMIFS(METALFISA!$E:$E,METALFISA!$A:$A,'Faltantes Fevereiro- Metalfisa'!AD$3,METALFISA!$B:$B,'Faltantes Fevereiro- Metalfisa'!$A353)</f>
        <v>0</v>
      </c>
      <c r="AE353" s="31">
        <f>SUMIFS(METALFISA!$E:$E,METALFISA!$A:$A,'Faltantes Fevereiro- Metalfisa'!AE$3,METALFISA!$B:$B,'Faltantes Fevereiro- Metalfisa'!$A353)</f>
        <v>2</v>
      </c>
      <c r="AF353" s="31">
        <f>SUMIFS(METALFISA!$E:$E,METALFISA!$A:$A,'Faltantes Fevereiro- Metalfisa'!AF$3,METALFISA!$B:$B,'Faltantes Fevereiro- Metalfisa'!$A353)</f>
        <v>0</v>
      </c>
      <c r="AG353" s="31">
        <f>SUMIFS(METALFISA!$E:$E,METALFISA!$A:$A,'Faltantes Fevereiro- Metalfisa'!AG$3,METALFISA!$B:$B,'Faltantes Fevereiro- Metalfisa'!$A353)</f>
        <v>0</v>
      </c>
      <c r="AH353" s="31">
        <f>SUMIFS(METALFISA!$E:$E,METALFISA!$A:$A,'Faltantes Fevereiro- Metalfisa'!AH$3,METALFISA!$B:$B,'Faltantes Fevereiro- Metalfisa'!$A353)</f>
        <v>0</v>
      </c>
      <c r="AI353" s="31">
        <f>SUMIFS(METALFISA!$E:$E,METALFISA!$A:$A,'Faltantes Fevereiro- Metalfisa'!AI$3,METALFISA!$B:$B,'Faltantes Fevereiro- Metalfisa'!$A353)</f>
        <v>0</v>
      </c>
      <c r="AJ353" s="31">
        <f>SUMIFS(METALFISA!$E:$E,METALFISA!$A:$A,'Faltantes Fevereiro- Metalfisa'!AJ$3,METALFISA!$B:$B,'Faltantes Fevereiro- Metalfisa'!$A353)</f>
        <v>0</v>
      </c>
      <c r="AK353" s="31">
        <f>SUMIFS(METALFISA!$E:$E,METALFISA!$A:$A,'Faltantes Fevereiro- Metalfisa'!AK$3,METALFISA!$B:$B,'Faltantes Fevereiro- Metalfisa'!$A353)</f>
        <v>0</v>
      </c>
      <c r="AL353" s="31">
        <f>SUMIFS(METALFISA!$E:$E,METALFISA!$A:$A,'Faltantes Fevereiro- Metalfisa'!AL$3,METALFISA!$B:$B,'Faltantes Fevereiro- Metalfisa'!$A353)</f>
        <v>0</v>
      </c>
      <c r="AM353" s="31">
        <f>SUMIFS(METALFISA!$E:$E,METALFISA!$A:$A,'Faltantes Fevereiro- Metalfisa'!AM$3,METALFISA!$B:$B,'Faltantes Fevereiro- Metalfisa'!$A353)</f>
        <v>0</v>
      </c>
      <c r="AN353" s="31">
        <f>SUMIFS(METALFISA!$E:$E,METALFISA!$A:$A,'Faltantes Fevereiro- Metalfisa'!AN$3,METALFISA!$B:$B,'Faltantes Fevereiro- Metalfisa'!$A353)</f>
        <v>0</v>
      </c>
      <c r="AO353" s="31">
        <f>SUMIFS(METALFISA!$E:$E,METALFISA!$A:$A,'Faltantes Fevereiro- Metalfisa'!AO$3,METALFISA!$B:$B,'Faltantes Fevereiro- Metalfisa'!$A353)</f>
        <v>0</v>
      </c>
      <c r="AP353" s="31">
        <f>SUMIFS(METALFISA!$E:$E,METALFISA!$A:$A,'Faltantes Fevereiro- Metalfisa'!AP$3,METALFISA!$B:$B,'Faltantes Fevereiro- Metalfisa'!$A353)</f>
        <v>0</v>
      </c>
      <c r="AQ353" s="31"/>
      <c r="AR353" s="31"/>
      <c r="AS353" s="35"/>
      <c r="AY353" s="41">
        <v>0</v>
      </c>
      <c r="AZ353" s="31">
        <v>0</v>
      </c>
      <c r="BA353" s="31">
        <v>0</v>
      </c>
      <c r="BB353" s="31">
        <v>0</v>
      </c>
      <c r="BC353" s="31">
        <v>0</v>
      </c>
      <c r="BD353" s="31">
        <v>0</v>
      </c>
      <c r="BE353" s="31">
        <v>0</v>
      </c>
      <c r="BF353" s="31">
        <v>0</v>
      </c>
      <c r="BG353" s="31">
        <v>0</v>
      </c>
      <c r="BH353" s="31">
        <v>0</v>
      </c>
      <c r="BI353" s="31">
        <v>0</v>
      </c>
      <c r="BJ353" s="31">
        <v>0</v>
      </c>
      <c r="BK353" s="31">
        <v>0</v>
      </c>
      <c r="BL353" s="31">
        <v>0</v>
      </c>
      <c r="BM353" s="31">
        <v>0</v>
      </c>
      <c r="BN353" s="31">
        <v>0</v>
      </c>
      <c r="BO353" s="31">
        <v>1</v>
      </c>
      <c r="BP353" s="31">
        <v>0</v>
      </c>
      <c r="BQ353" s="31">
        <v>0</v>
      </c>
      <c r="BR353" s="31">
        <v>0</v>
      </c>
      <c r="BS353" s="31">
        <v>0</v>
      </c>
      <c r="BT353" s="31">
        <v>0</v>
      </c>
      <c r="BU353" s="31">
        <v>0</v>
      </c>
      <c r="BV353" s="31">
        <v>0</v>
      </c>
      <c r="BW353" s="31">
        <v>0</v>
      </c>
      <c r="BX353" s="31">
        <v>0</v>
      </c>
      <c r="BY353" s="31">
        <v>0</v>
      </c>
      <c r="BZ353" s="31">
        <v>0</v>
      </c>
      <c r="CA353" s="31">
        <v>0</v>
      </c>
      <c r="CB353" s="31">
        <v>0</v>
      </c>
      <c r="CC353" s="31">
        <v>0</v>
      </c>
      <c r="CD353" s="31">
        <v>0</v>
      </c>
      <c r="CE353" s="31">
        <v>0</v>
      </c>
      <c r="CF353" s="31">
        <v>0</v>
      </c>
      <c r="CG353" s="31">
        <v>0</v>
      </c>
      <c r="CH353" s="31">
        <v>0</v>
      </c>
      <c r="CI353" s="31">
        <v>0</v>
      </c>
      <c r="CJ353" s="31">
        <v>0</v>
      </c>
      <c r="CK353" s="31">
        <v>0</v>
      </c>
      <c r="CL353" s="35">
        <v>0</v>
      </c>
    </row>
    <row r="354" spans="1:90" ht="21" x14ac:dyDescent="0.15">
      <c r="A354" s="31" t="s">
        <v>1745</v>
      </c>
      <c r="B354" s="30" t="s">
        <v>1746</v>
      </c>
      <c r="C354" s="28">
        <v>0</v>
      </c>
      <c r="D354" s="28">
        <v>0</v>
      </c>
      <c r="E354" s="28">
        <v>0</v>
      </c>
      <c r="F354" s="28">
        <v>0</v>
      </c>
      <c r="G354" s="28">
        <v>6</v>
      </c>
      <c r="H354" s="28">
        <f>IFERROR(VLOOKUP(A354,[1]FALTANTES!$A:$AB,28,FALSE),"-")</f>
        <v>0</v>
      </c>
      <c r="I354" s="42">
        <f>IFERROR(VLOOKUP(A354,[1]FALTANTES!$A:$AC,29,FALSE),"-")</f>
        <v>0</v>
      </c>
      <c r="J354" s="29">
        <f>IFERROR(VLOOKUP(A354,[1]FALTANTES!$A:$AD,30,FALSE),"-")</f>
        <v>-6</v>
      </c>
      <c r="K354" s="30">
        <v>0</v>
      </c>
      <c r="L354" s="30">
        <f t="shared" si="7"/>
        <v>2</v>
      </c>
      <c r="M354" s="31">
        <f>SUMIFS(METALFISA!$E:$E,METALFISA!$A:$A,'Faltantes Fevereiro- Metalfisa'!M$3,METALFISA!$B:$B,'Faltantes Fevereiro- Metalfisa'!$A354)</f>
        <v>0</v>
      </c>
      <c r="N354" s="31">
        <f>SUMIFS(METALFISA!$E:$E,METALFISA!$A:$A,'Faltantes Fevereiro- Metalfisa'!N$3,METALFISA!$B:$B,'Faltantes Fevereiro- Metalfisa'!$A354)</f>
        <v>0</v>
      </c>
      <c r="O354" s="31">
        <f>SUMIFS(METALFISA!$E:$E,METALFISA!$A:$A,'Faltantes Fevereiro- Metalfisa'!O$3,METALFISA!$B:$B,'Faltantes Fevereiro- Metalfisa'!$A354)</f>
        <v>0</v>
      </c>
      <c r="P354" s="31">
        <f>SUMIFS(METALFISA!$E:$E,METALFISA!$A:$A,'Faltantes Fevereiro- Metalfisa'!P$3,METALFISA!$B:$B,'Faltantes Fevereiro- Metalfisa'!$A354)</f>
        <v>0</v>
      </c>
      <c r="Q354" s="31">
        <f>SUMIFS(METALFISA!$E:$E,METALFISA!$A:$A,'Faltantes Fevereiro- Metalfisa'!Q$3,METALFISA!$B:$B,'Faltantes Fevereiro- Metalfisa'!$A354)</f>
        <v>0</v>
      </c>
      <c r="R354" s="31">
        <f>SUMIFS(METALFISA!$E:$E,METALFISA!$A:$A,'Faltantes Fevereiro- Metalfisa'!R$3,METALFISA!$B:$B,'Faltantes Fevereiro- Metalfisa'!$A354)</f>
        <v>0</v>
      </c>
      <c r="S354" s="31">
        <f>SUMIFS(METALFISA!$E:$E,METALFISA!$A:$A,'Faltantes Fevereiro- Metalfisa'!S$3,METALFISA!$B:$B,'Faltantes Fevereiro- Metalfisa'!$A354)</f>
        <v>0</v>
      </c>
      <c r="T354" s="31">
        <f>SUMIFS(METALFISA!$E:$E,METALFISA!$A:$A,'Faltantes Fevereiro- Metalfisa'!T$3,METALFISA!$B:$B,'Faltantes Fevereiro- Metalfisa'!$A354)</f>
        <v>0</v>
      </c>
      <c r="U354" s="31">
        <f>SUMIFS(METALFISA!$E:$E,METALFISA!$A:$A,'Faltantes Fevereiro- Metalfisa'!U$3,METALFISA!$B:$B,'Faltantes Fevereiro- Metalfisa'!$A354)</f>
        <v>0</v>
      </c>
      <c r="V354" s="31">
        <f>SUMIFS(METALFISA!$E:$E,METALFISA!$A:$A,'Faltantes Fevereiro- Metalfisa'!V$3,METALFISA!$B:$B,'Faltantes Fevereiro- Metalfisa'!$A354)</f>
        <v>0</v>
      </c>
      <c r="W354" s="31">
        <f>SUMIFS(METALFISA!$E:$E,METALFISA!$A:$A,'Faltantes Fevereiro- Metalfisa'!W$3,METALFISA!$B:$B,'Faltantes Fevereiro- Metalfisa'!$A354)</f>
        <v>0</v>
      </c>
      <c r="X354" s="31">
        <f>SUMIFS(METALFISA!$E:$E,METALFISA!$A:$A,'Faltantes Fevereiro- Metalfisa'!X$3,METALFISA!$B:$B,'Faltantes Fevereiro- Metalfisa'!$A354)</f>
        <v>0</v>
      </c>
      <c r="Y354" s="31">
        <f>SUMIFS(METALFISA!$E:$E,METALFISA!$A:$A,'Faltantes Fevereiro- Metalfisa'!Y$3,METALFISA!$B:$B,'Faltantes Fevereiro- Metalfisa'!$A354)</f>
        <v>0</v>
      </c>
      <c r="Z354" s="31">
        <f>SUMIFS(METALFISA!$E:$E,METALFISA!$A:$A,'Faltantes Fevereiro- Metalfisa'!Z$3,METALFISA!$B:$B,'Faltantes Fevereiro- Metalfisa'!$A354)</f>
        <v>0</v>
      </c>
      <c r="AA354" s="31">
        <f>SUMIFS(METALFISA!$E:$E,METALFISA!$A:$A,'Faltantes Fevereiro- Metalfisa'!AA$3,METALFISA!$B:$B,'Faltantes Fevereiro- Metalfisa'!$A354)</f>
        <v>0</v>
      </c>
      <c r="AB354" s="31">
        <f>SUMIFS(METALFISA!$E:$E,METALFISA!$A:$A,'Faltantes Fevereiro- Metalfisa'!AB$3,METALFISA!$B:$B,'Faltantes Fevereiro- Metalfisa'!$A354)</f>
        <v>0</v>
      </c>
      <c r="AC354" s="31">
        <f>SUMIFS(METALFISA!$E:$E,METALFISA!$A:$A,'Faltantes Fevereiro- Metalfisa'!AC$3,METALFISA!$B:$B,'Faltantes Fevereiro- Metalfisa'!$A354)</f>
        <v>0</v>
      </c>
      <c r="AD354" s="31">
        <f>SUMIFS(METALFISA!$E:$E,METALFISA!$A:$A,'Faltantes Fevereiro- Metalfisa'!AD$3,METALFISA!$B:$B,'Faltantes Fevereiro- Metalfisa'!$A354)</f>
        <v>0</v>
      </c>
      <c r="AE354" s="31">
        <f>SUMIFS(METALFISA!$E:$E,METALFISA!$A:$A,'Faltantes Fevereiro- Metalfisa'!AE$3,METALFISA!$B:$B,'Faltantes Fevereiro- Metalfisa'!$A354)</f>
        <v>2</v>
      </c>
      <c r="AF354" s="31">
        <f>SUMIFS(METALFISA!$E:$E,METALFISA!$A:$A,'Faltantes Fevereiro- Metalfisa'!AF$3,METALFISA!$B:$B,'Faltantes Fevereiro- Metalfisa'!$A354)</f>
        <v>0</v>
      </c>
      <c r="AG354" s="31">
        <f>SUMIFS(METALFISA!$E:$E,METALFISA!$A:$A,'Faltantes Fevereiro- Metalfisa'!AG$3,METALFISA!$B:$B,'Faltantes Fevereiro- Metalfisa'!$A354)</f>
        <v>0</v>
      </c>
      <c r="AH354" s="31">
        <f>SUMIFS(METALFISA!$E:$E,METALFISA!$A:$A,'Faltantes Fevereiro- Metalfisa'!AH$3,METALFISA!$B:$B,'Faltantes Fevereiro- Metalfisa'!$A354)</f>
        <v>0</v>
      </c>
      <c r="AI354" s="31">
        <f>SUMIFS(METALFISA!$E:$E,METALFISA!$A:$A,'Faltantes Fevereiro- Metalfisa'!AI$3,METALFISA!$B:$B,'Faltantes Fevereiro- Metalfisa'!$A354)</f>
        <v>0</v>
      </c>
      <c r="AJ354" s="31">
        <f>SUMIFS(METALFISA!$E:$E,METALFISA!$A:$A,'Faltantes Fevereiro- Metalfisa'!AJ$3,METALFISA!$B:$B,'Faltantes Fevereiro- Metalfisa'!$A354)</f>
        <v>0</v>
      </c>
      <c r="AK354" s="31">
        <f>SUMIFS(METALFISA!$E:$E,METALFISA!$A:$A,'Faltantes Fevereiro- Metalfisa'!AK$3,METALFISA!$B:$B,'Faltantes Fevereiro- Metalfisa'!$A354)</f>
        <v>0</v>
      </c>
      <c r="AL354" s="31">
        <f>SUMIFS(METALFISA!$E:$E,METALFISA!$A:$A,'Faltantes Fevereiro- Metalfisa'!AL$3,METALFISA!$B:$B,'Faltantes Fevereiro- Metalfisa'!$A354)</f>
        <v>0</v>
      </c>
      <c r="AM354" s="31">
        <f>SUMIFS(METALFISA!$E:$E,METALFISA!$A:$A,'Faltantes Fevereiro- Metalfisa'!AM$3,METALFISA!$B:$B,'Faltantes Fevereiro- Metalfisa'!$A354)</f>
        <v>0</v>
      </c>
      <c r="AN354" s="31">
        <f>SUMIFS(METALFISA!$E:$E,METALFISA!$A:$A,'Faltantes Fevereiro- Metalfisa'!AN$3,METALFISA!$B:$B,'Faltantes Fevereiro- Metalfisa'!$A354)</f>
        <v>0</v>
      </c>
      <c r="AO354" s="31">
        <f>SUMIFS(METALFISA!$E:$E,METALFISA!$A:$A,'Faltantes Fevereiro- Metalfisa'!AO$3,METALFISA!$B:$B,'Faltantes Fevereiro- Metalfisa'!$A354)</f>
        <v>0</v>
      </c>
      <c r="AP354" s="31">
        <f>SUMIFS(METALFISA!$E:$E,METALFISA!$A:$A,'Faltantes Fevereiro- Metalfisa'!AP$3,METALFISA!$B:$B,'Faltantes Fevereiro- Metalfisa'!$A354)</f>
        <v>0</v>
      </c>
      <c r="AQ354" s="31"/>
      <c r="AR354" s="31"/>
      <c r="AS354" s="35"/>
      <c r="AY354" s="41">
        <v>0</v>
      </c>
      <c r="AZ354" s="31">
        <v>0</v>
      </c>
      <c r="BA354" s="31">
        <v>0</v>
      </c>
      <c r="BB354" s="31">
        <v>0</v>
      </c>
      <c r="BC354" s="31">
        <v>0</v>
      </c>
      <c r="BD354" s="31">
        <v>0</v>
      </c>
      <c r="BE354" s="31">
        <v>0</v>
      </c>
      <c r="BF354" s="31">
        <v>0</v>
      </c>
      <c r="BG354" s="31">
        <v>0</v>
      </c>
      <c r="BH354" s="31">
        <v>0</v>
      </c>
      <c r="BI354" s="31">
        <v>0</v>
      </c>
      <c r="BJ354" s="31">
        <v>0</v>
      </c>
      <c r="BK354" s="31">
        <v>0</v>
      </c>
      <c r="BL354" s="31">
        <v>0</v>
      </c>
      <c r="BM354" s="31">
        <v>0</v>
      </c>
      <c r="BN354" s="31">
        <v>0</v>
      </c>
      <c r="BO354" s="31">
        <v>1</v>
      </c>
      <c r="BP354" s="31">
        <v>0</v>
      </c>
      <c r="BQ354" s="31">
        <v>0</v>
      </c>
      <c r="BR354" s="31">
        <v>0</v>
      </c>
      <c r="BS354" s="31">
        <v>0</v>
      </c>
      <c r="BT354" s="31">
        <v>0</v>
      </c>
      <c r="BU354" s="31">
        <v>0</v>
      </c>
      <c r="BV354" s="31">
        <v>0</v>
      </c>
      <c r="BW354" s="31">
        <v>0</v>
      </c>
      <c r="BX354" s="31">
        <v>0</v>
      </c>
      <c r="BY354" s="31">
        <v>0</v>
      </c>
      <c r="BZ354" s="31">
        <v>0</v>
      </c>
      <c r="CA354" s="31">
        <v>0</v>
      </c>
      <c r="CB354" s="31">
        <v>0</v>
      </c>
      <c r="CC354" s="31">
        <v>0</v>
      </c>
      <c r="CD354" s="31">
        <v>0</v>
      </c>
      <c r="CE354" s="31">
        <v>0</v>
      </c>
      <c r="CF354" s="31">
        <v>0</v>
      </c>
      <c r="CG354" s="31">
        <v>0</v>
      </c>
      <c r="CH354" s="31">
        <v>0</v>
      </c>
      <c r="CI354" s="31">
        <v>0</v>
      </c>
      <c r="CJ354" s="31">
        <v>0</v>
      </c>
      <c r="CK354" s="31">
        <v>0</v>
      </c>
      <c r="CL354" s="35">
        <v>0</v>
      </c>
    </row>
    <row r="355" spans="1:90" ht="21" x14ac:dyDescent="0.15">
      <c r="A355" s="31" t="s">
        <v>1757</v>
      </c>
      <c r="B355" s="30" t="s">
        <v>1758</v>
      </c>
      <c r="C355" s="28">
        <v>0</v>
      </c>
      <c r="D355" s="28">
        <v>0</v>
      </c>
      <c r="E355" s="28">
        <v>0</v>
      </c>
      <c r="F355" s="28">
        <v>0</v>
      </c>
      <c r="G355" s="28">
        <v>6</v>
      </c>
      <c r="H355" s="28">
        <f>IFERROR(VLOOKUP(A355,[1]FALTANTES!$A:$AB,28,FALSE),"-")</f>
        <v>0</v>
      </c>
      <c r="I355" s="42">
        <f>IFERROR(VLOOKUP(A355,[1]FALTANTES!$A:$AC,29,FALSE),"-")</f>
        <v>0</v>
      </c>
      <c r="J355" s="29">
        <f>IFERROR(VLOOKUP(A355,[1]FALTANTES!$A:$AD,30,FALSE),"-")</f>
        <v>-6</v>
      </c>
      <c r="K355" s="30">
        <v>0</v>
      </c>
      <c r="L355" s="30">
        <f t="shared" si="7"/>
        <v>2</v>
      </c>
      <c r="M355" s="31">
        <f>SUMIFS(METALFISA!$E:$E,METALFISA!$A:$A,'Faltantes Fevereiro- Metalfisa'!M$3,METALFISA!$B:$B,'Faltantes Fevereiro- Metalfisa'!$A355)</f>
        <v>0</v>
      </c>
      <c r="N355" s="31">
        <f>SUMIFS(METALFISA!$E:$E,METALFISA!$A:$A,'Faltantes Fevereiro- Metalfisa'!N$3,METALFISA!$B:$B,'Faltantes Fevereiro- Metalfisa'!$A355)</f>
        <v>0</v>
      </c>
      <c r="O355" s="31">
        <f>SUMIFS(METALFISA!$E:$E,METALFISA!$A:$A,'Faltantes Fevereiro- Metalfisa'!O$3,METALFISA!$B:$B,'Faltantes Fevereiro- Metalfisa'!$A355)</f>
        <v>0</v>
      </c>
      <c r="P355" s="31">
        <f>SUMIFS(METALFISA!$E:$E,METALFISA!$A:$A,'Faltantes Fevereiro- Metalfisa'!P$3,METALFISA!$B:$B,'Faltantes Fevereiro- Metalfisa'!$A355)</f>
        <v>0</v>
      </c>
      <c r="Q355" s="31">
        <f>SUMIFS(METALFISA!$E:$E,METALFISA!$A:$A,'Faltantes Fevereiro- Metalfisa'!Q$3,METALFISA!$B:$B,'Faltantes Fevereiro- Metalfisa'!$A355)</f>
        <v>0</v>
      </c>
      <c r="R355" s="31">
        <f>SUMIFS(METALFISA!$E:$E,METALFISA!$A:$A,'Faltantes Fevereiro- Metalfisa'!R$3,METALFISA!$B:$B,'Faltantes Fevereiro- Metalfisa'!$A355)</f>
        <v>0</v>
      </c>
      <c r="S355" s="31">
        <f>SUMIFS(METALFISA!$E:$E,METALFISA!$A:$A,'Faltantes Fevereiro- Metalfisa'!S$3,METALFISA!$B:$B,'Faltantes Fevereiro- Metalfisa'!$A355)</f>
        <v>0</v>
      </c>
      <c r="T355" s="31">
        <f>SUMIFS(METALFISA!$E:$E,METALFISA!$A:$A,'Faltantes Fevereiro- Metalfisa'!T$3,METALFISA!$B:$B,'Faltantes Fevereiro- Metalfisa'!$A355)</f>
        <v>0</v>
      </c>
      <c r="U355" s="31">
        <f>SUMIFS(METALFISA!$E:$E,METALFISA!$A:$A,'Faltantes Fevereiro- Metalfisa'!U$3,METALFISA!$B:$B,'Faltantes Fevereiro- Metalfisa'!$A355)</f>
        <v>0</v>
      </c>
      <c r="V355" s="31">
        <f>SUMIFS(METALFISA!$E:$E,METALFISA!$A:$A,'Faltantes Fevereiro- Metalfisa'!V$3,METALFISA!$B:$B,'Faltantes Fevereiro- Metalfisa'!$A355)</f>
        <v>0</v>
      </c>
      <c r="W355" s="31">
        <f>SUMIFS(METALFISA!$E:$E,METALFISA!$A:$A,'Faltantes Fevereiro- Metalfisa'!W$3,METALFISA!$B:$B,'Faltantes Fevereiro- Metalfisa'!$A355)</f>
        <v>0</v>
      </c>
      <c r="X355" s="31">
        <f>SUMIFS(METALFISA!$E:$E,METALFISA!$A:$A,'Faltantes Fevereiro- Metalfisa'!X$3,METALFISA!$B:$B,'Faltantes Fevereiro- Metalfisa'!$A355)</f>
        <v>0</v>
      </c>
      <c r="Y355" s="31">
        <f>SUMIFS(METALFISA!$E:$E,METALFISA!$A:$A,'Faltantes Fevereiro- Metalfisa'!Y$3,METALFISA!$B:$B,'Faltantes Fevereiro- Metalfisa'!$A355)</f>
        <v>0</v>
      </c>
      <c r="Z355" s="31">
        <f>SUMIFS(METALFISA!$E:$E,METALFISA!$A:$A,'Faltantes Fevereiro- Metalfisa'!Z$3,METALFISA!$B:$B,'Faltantes Fevereiro- Metalfisa'!$A355)</f>
        <v>0</v>
      </c>
      <c r="AA355" s="31">
        <f>SUMIFS(METALFISA!$E:$E,METALFISA!$A:$A,'Faltantes Fevereiro- Metalfisa'!AA$3,METALFISA!$B:$B,'Faltantes Fevereiro- Metalfisa'!$A355)</f>
        <v>0</v>
      </c>
      <c r="AB355" s="31">
        <f>SUMIFS(METALFISA!$E:$E,METALFISA!$A:$A,'Faltantes Fevereiro- Metalfisa'!AB$3,METALFISA!$B:$B,'Faltantes Fevereiro- Metalfisa'!$A355)</f>
        <v>0</v>
      </c>
      <c r="AC355" s="31">
        <f>SUMIFS(METALFISA!$E:$E,METALFISA!$A:$A,'Faltantes Fevereiro- Metalfisa'!AC$3,METALFISA!$B:$B,'Faltantes Fevereiro- Metalfisa'!$A355)</f>
        <v>0</v>
      </c>
      <c r="AD355" s="31">
        <f>SUMIFS(METALFISA!$E:$E,METALFISA!$A:$A,'Faltantes Fevereiro- Metalfisa'!AD$3,METALFISA!$B:$B,'Faltantes Fevereiro- Metalfisa'!$A355)</f>
        <v>0</v>
      </c>
      <c r="AE355" s="31">
        <f>SUMIFS(METALFISA!$E:$E,METALFISA!$A:$A,'Faltantes Fevereiro- Metalfisa'!AE$3,METALFISA!$B:$B,'Faltantes Fevereiro- Metalfisa'!$A355)</f>
        <v>2</v>
      </c>
      <c r="AF355" s="31">
        <f>SUMIFS(METALFISA!$E:$E,METALFISA!$A:$A,'Faltantes Fevereiro- Metalfisa'!AF$3,METALFISA!$B:$B,'Faltantes Fevereiro- Metalfisa'!$A355)</f>
        <v>0</v>
      </c>
      <c r="AG355" s="31">
        <f>SUMIFS(METALFISA!$E:$E,METALFISA!$A:$A,'Faltantes Fevereiro- Metalfisa'!AG$3,METALFISA!$B:$B,'Faltantes Fevereiro- Metalfisa'!$A355)</f>
        <v>0</v>
      </c>
      <c r="AH355" s="31">
        <f>SUMIFS(METALFISA!$E:$E,METALFISA!$A:$A,'Faltantes Fevereiro- Metalfisa'!AH$3,METALFISA!$B:$B,'Faltantes Fevereiro- Metalfisa'!$A355)</f>
        <v>0</v>
      </c>
      <c r="AI355" s="31">
        <f>SUMIFS(METALFISA!$E:$E,METALFISA!$A:$A,'Faltantes Fevereiro- Metalfisa'!AI$3,METALFISA!$B:$B,'Faltantes Fevereiro- Metalfisa'!$A355)</f>
        <v>0</v>
      </c>
      <c r="AJ355" s="31">
        <f>SUMIFS(METALFISA!$E:$E,METALFISA!$A:$A,'Faltantes Fevereiro- Metalfisa'!AJ$3,METALFISA!$B:$B,'Faltantes Fevereiro- Metalfisa'!$A355)</f>
        <v>0</v>
      </c>
      <c r="AK355" s="31">
        <f>SUMIFS(METALFISA!$E:$E,METALFISA!$A:$A,'Faltantes Fevereiro- Metalfisa'!AK$3,METALFISA!$B:$B,'Faltantes Fevereiro- Metalfisa'!$A355)</f>
        <v>0</v>
      </c>
      <c r="AL355" s="31">
        <f>SUMIFS(METALFISA!$E:$E,METALFISA!$A:$A,'Faltantes Fevereiro- Metalfisa'!AL$3,METALFISA!$B:$B,'Faltantes Fevereiro- Metalfisa'!$A355)</f>
        <v>0</v>
      </c>
      <c r="AM355" s="31">
        <f>SUMIFS(METALFISA!$E:$E,METALFISA!$A:$A,'Faltantes Fevereiro- Metalfisa'!AM$3,METALFISA!$B:$B,'Faltantes Fevereiro- Metalfisa'!$A355)</f>
        <v>0</v>
      </c>
      <c r="AN355" s="31">
        <f>SUMIFS(METALFISA!$E:$E,METALFISA!$A:$A,'Faltantes Fevereiro- Metalfisa'!AN$3,METALFISA!$B:$B,'Faltantes Fevereiro- Metalfisa'!$A355)</f>
        <v>0</v>
      </c>
      <c r="AO355" s="31">
        <f>SUMIFS(METALFISA!$E:$E,METALFISA!$A:$A,'Faltantes Fevereiro- Metalfisa'!AO$3,METALFISA!$B:$B,'Faltantes Fevereiro- Metalfisa'!$A355)</f>
        <v>0</v>
      </c>
      <c r="AP355" s="31">
        <f>SUMIFS(METALFISA!$E:$E,METALFISA!$A:$A,'Faltantes Fevereiro- Metalfisa'!AP$3,METALFISA!$B:$B,'Faltantes Fevereiro- Metalfisa'!$A355)</f>
        <v>0</v>
      </c>
      <c r="AQ355" s="31"/>
      <c r="AR355" s="31"/>
      <c r="AS355" s="35"/>
      <c r="AY355" s="41">
        <v>0</v>
      </c>
      <c r="AZ355" s="31">
        <v>0</v>
      </c>
      <c r="BA355" s="31">
        <v>0</v>
      </c>
      <c r="BB355" s="31">
        <v>0</v>
      </c>
      <c r="BC355" s="31">
        <v>0</v>
      </c>
      <c r="BD355" s="31">
        <v>0</v>
      </c>
      <c r="BE355" s="31">
        <v>0</v>
      </c>
      <c r="BF355" s="31">
        <v>0</v>
      </c>
      <c r="BG355" s="31">
        <v>0</v>
      </c>
      <c r="BH355" s="31">
        <v>0</v>
      </c>
      <c r="BI355" s="31">
        <v>0</v>
      </c>
      <c r="BJ355" s="31">
        <v>0</v>
      </c>
      <c r="BK355" s="31">
        <v>0</v>
      </c>
      <c r="BL355" s="31">
        <v>0</v>
      </c>
      <c r="BM355" s="31">
        <v>0</v>
      </c>
      <c r="BN355" s="31">
        <v>0</v>
      </c>
      <c r="BO355" s="31">
        <v>1</v>
      </c>
      <c r="BP355" s="31">
        <v>0</v>
      </c>
      <c r="BQ355" s="31">
        <v>0</v>
      </c>
      <c r="BR355" s="31">
        <v>0</v>
      </c>
      <c r="BS355" s="31">
        <v>0</v>
      </c>
      <c r="BT355" s="31">
        <v>0</v>
      </c>
      <c r="BU355" s="31">
        <v>0</v>
      </c>
      <c r="BV355" s="31">
        <v>0</v>
      </c>
      <c r="BW355" s="31">
        <v>0</v>
      </c>
      <c r="BX355" s="31">
        <v>0</v>
      </c>
      <c r="BY355" s="31">
        <v>0</v>
      </c>
      <c r="BZ355" s="31">
        <v>0</v>
      </c>
      <c r="CA355" s="31">
        <v>0</v>
      </c>
      <c r="CB355" s="31">
        <v>0</v>
      </c>
      <c r="CC355" s="31">
        <v>0</v>
      </c>
      <c r="CD355" s="31">
        <v>0</v>
      </c>
      <c r="CE355" s="31">
        <v>0</v>
      </c>
      <c r="CF355" s="31">
        <v>0</v>
      </c>
      <c r="CG355" s="31">
        <v>0</v>
      </c>
      <c r="CH355" s="31">
        <v>0</v>
      </c>
      <c r="CI355" s="31">
        <v>0</v>
      </c>
      <c r="CJ355" s="31">
        <v>0</v>
      </c>
      <c r="CK355" s="31">
        <v>0</v>
      </c>
      <c r="CL355" s="35">
        <v>0</v>
      </c>
    </row>
    <row r="356" spans="1:90" x14ac:dyDescent="0.15">
      <c r="A356" s="31" t="s">
        <v>1761</v>
      </c>
      <c r="B356" s="30" t="s">
        <v>1762</v>
      </c>
      <c r="C356" s="28">
        <v>1</v>
      </c>
      <c r="D356" s="28">
        <v>0</v>
      </c>
      <c r="E356" s="28">
        <v>0</v>
      </c>
      <c r="F356" s="28">
        <v>0</v>
      </c>
      <c r="G356" s="28">
        <v>9</v>
      </c>
      <c r="H356" s="28">
        <f>IFERROR(VLOOKUP(A356,[1]FALTANTES!$A:$AB,28,FALSE),"-")</f>
        <v>0</v>
      </c>
      <c r="I356" s="42">
        <f>IFERROR(VLOOKUP(A356,[1]FALTANTES!$A:$AC,29,FALSE),"-")</f>
        <v>0</v>
      </c>
      <c r="J356" s="29">
        <f>IFERROR(VLOOKUP(A356,[1]FALTANTES!$A:$AD,30,FALSE),"-")</f>
        <v>-10</v>
      </c>
      <c r="K356" s="30">
        <v>0</v>
      </c>
      <c r="L356" s="30">
        <f t="shared" si="7"/>
        <v>2</v>
      </c>
      <c r="M356" s="31">
        <f>SUMIFS(METALFISA!$E:$E,METALFISA!$A:$A,'Faltantes Fevereiro- Metalfisa'!M$3,METALFISA!$B:$B,'Faltantes Fevereiro- Metalfisa'!$A356)</f>
        <v>0</v>
      </c>
      <c r="N356" s="31">
        <f>SUMIFS(METALFISA!$E:$E,METALFISA!$A:$A,'Faltantes Fevereiro- Metalfisa'!N$3,METALFISA!$B:$B,'Faltantes Fevereiro- Metalfisa'!$A356)</f>
        <v>0</v>
      </c>
      <c r="O356" s="31">
        <f>SUMIFS(METALFISA!$E:$E,METALFISA!$A:$A,'Faltantes Fevereiro- Metalfisa'!O$3,METALFISA!$B:$B,'Faltantes Fevereiro- Metalfisa'!$A356)</f>
        <v>0</v>
      </c>
      <c r="P356" s="31">
        <f>SUMIFS(METALFISA!$E:$E,METALFISA!$A:$A,'Faltantes Fevereiro- Metalfisa'!P$3,METALFISA!$B:$B,'Faltantes Fevereiro- Metalfisa'!$A356)</f>
        <v>0</v>
      </c>
      <c r="Q356" s="31">
        <f>SUMIFS(METALFISA!$E:$E,METALFISA!$A:$A,'Faltantes Fevereiro- Metalfisa'!Q$3,METALFISA!$B:$B,'Faltantes Fevereiro- Metalfisa'!$A356)</f>
        <v>0</v>
      </c>
      <c r="R356" s="31">
        <f>SUMIFS(METALFISA!$E:$E,METALFISA!$A:$A,'Faltantes Fevereiro- Metalfisa'!R$3,METALFISA!$B:$B,'Faltantes Fevereiro- Metalfisa'!$A356)</f>
        <v>0</v>
      </c>
      <c r="S356" s="31">
        <f>SUMIFS(METALFISA!$E:$E,METALFISA!$A:$A,'Faltantes Fevereiro- Metalfisa'!S$3,METALFISA!$B:$B,'Faltantes Fevereiro- Metalfisa'!$A356)</f>
        <v>0</v>
      </c>
      <c r="T356" s="31">
        <f>SUMIFS(METALFISA!$E:$E,METALFISA!$A:$A,'Faltantes Fevereiro- Metalfisa'!T$3,METALFISA!$B:$B,'Faltantes Fevereiro- Metalfisa'!$A356)</f>
        <v>0</v>
      </c>
      <c r="U356" s="31">
        <f>SUMIFS(METALFISA!$E:$E,METALFISA!$A:$A,'Faltantes Fevereiro- Metalfisa'!U$3,METALFISA!$B:$B,'Faltantes Fevereiro- Metalfisa'!$A356)</f>
        <v>0</v>
      </c>
      <c r="V356" s="31">
        <f>SUMIFS(METALFISA!$E:$E,METALFISA!$A:$A,'Faltantes Fevereiro- Metalfisa'!V$3,METALFISA!$B:$B,'Faltantes Fevereiro- Metalfisa'!$A356)</f>
        <v>0</v>
      </c>
      <c r="W356" s="31">
        <f>SUMIFS(METALFISA!$E:$E,METALFISA!$A:$A,'Faltantes Fevereiro- Metalfisa'!W$3,METALFISA!$B:$B,'Faltantes Fevereiro- Metalfisa'!$A356)</f>
        <v>0</v>
      </c>
      <c r="X356" s="31">
        <f>SUMIFS(METALFISA!$E:$E,METALFISA!$A:$A,'Faltantes Fevereiro- Metalfisa'!X$3,METALFISA!$B:$B,'Faltantes Fevereiro- Metalfisa'!$A356)</f>
        <v>0</v>
      </c>
      <c r="Y356" s="31">
        <f>SUMIFS(METALFISA!$E:$E,METALFISA!$A:$A,'Faltantes Fevereiro- Metalfisa'!Y$3,METALFISA!$B:$B,'Faltantes Fevereiro- Metalfisa'!$A356)</f>
        <v>0</v>
      </c>
      <c r="Z356" s="31">
        <f>SUMIFS(METALFISA!$E:$E,METALFISA!$A:$A,'Faltantes Fevereiro- Metalfisa'!Z$3,METALFISA!$B:$B,'Faltantes Fevereiro- Metalfisa'!$A356)</f>
        <v>0</v>
      </c>
      <c r="AA356" s="31">
        <f>SUMIFS(METALFISA!$E:$E,METALFISA!$A:$A,'Faltantes Fevereiro- Metalfisa'!AA$3,METALFISA!$B:$B,'Faltantes Fevereiro- Metalfisa'!$A356)</f>
        <v>0</v>
      </c>
      <c r="AB356" s="31">
        <f>SUMIFS(METALFISA!$E:$E,METALFISA!$A:$A,'Faltantes Fevereiro- Metalfisa'!AB$3,METALFISA!$B:$B,'Faltantes Fevereiro- Metalfisa'!$A356)</f>
        <v>0</v>
      </c>
      <c r="AC356" s="31">
        <f>SUMIFS(METALFISA!$E:$E,METALFISA!$A:$A,'Faltantes Fevereiro- Metalfisa'!AC$3,METALFISA!$B:$B,'Faltantes Fevereiro- Metalfisa'!$A356)</f>
        <v>0</v>
      </c>
      <c r="AD356" s="31">
        <f>SUMIFS(METALFISA!$E:$E,METALFISA!$A:$A,'Faltantes Fevereiro- Metalfisa'!AD$3,METALFISA!$B:$B,'Faltantes Fevereiro- Metalfisa'!$A356)</f>
        <v>0</v>
      </c>
      <c r="AE356" s="31">
        <f>SUMIFS(METALFISA!$E:$E,METALFISA!$A:$A,'Faltantes Fevereiro- Metalfisa'!AE$3,METALFISA!$B:$B,'Faltantes Fevereiro- Metalfisa'!$A356)</f>
        <v>2</v>
      </c>
      <c r="AF356" s="31">
        <f>SUMIFS(METALFISA!$E:$E,METALFISA!$A:$A,'Faltantes Fevereiro- Metalfisa'!AF$3,METALFISA!$B:$B,'Faltantes Fevereiro- Metalfisa'!$A356)</f>
        <v>0</v>
      </c>
      <c r="AG356" s="31">
        <f>SUMIFS(METALFISA!$E:$E,METALFISA!$A:$A,'Faltantes Fevereiro- Metalfisa'!AG$3,METALFISA!$B:$B,'Faltantes Fevereiro- Metalfisa'!$A356)</f>
        <v>0</v>
      </c>
      <c r="AH356" s="31">
        <f>SUMIFS(METALFISA!$E:$E,METALFISA!$A:$A,'Faltantes Fevereiro- Metalfisa'!AH$3,METALFISA!$B:$B,'Faltantes Fevereiro- Metalfisa'!$A356)</f>
        <v>0</v>
      </c>
      <c r="AI356" s="31">
        <f>SUMIFS(METALFISA!$E:$E,METALFISA!$A:$A,'Faltantes Fevereiro- Metalfisa'!AI$3,METALFISA!$B:$B,'Faltantes Fevereiro- Metalfisa'!$A356)</f>
        <v>0</v>
      </c>
      <c r="AJ356" s="31">
        <f>SUMIFS(METALFISA!$E:$E,METALFISA!$A:$A,'Faltantes Fevereiro- Metalfisa'!AJ$3,METALFISA!$B:$B,'Faltantes Fevereiro- Metalfisa'!$A356)</f>
        <v>0</v>
      </c>
      <c r="AK356" s="31">
        <f>SUMIFS(METALFISA!$E:$E,METALFISA!$A:$A,'Faltantes Fevereiro- Metalfisa'!AK$3,METALFISA!$B:$B,'Faltantes Fevereiro- Metalfisa'!$A356)</f>
        <v>0</v>
      </c>
      <c r="AL356" s="31">
        <f>SUMIFS(METALFISA!$E:$E,METALFISA!$A:$A,'Faltantes Fevereiro- Metalfisa'!AL$3,METALFISA!$B:$B,'Faltantes Fevereiro- Metalfisa'!$A356)</f>
        <v>0</v>
      </c>
      <c r="AM356" s="31">
        <f>SUMIFS(METALFISA!$E:$E,METALFISA!$A:$A,'Faltantes Fevereiro- Metalfisa'!AM$3,METALFISA!$B:$B,'Faltantes Fevereiro- Metalfisa'!$A356)</f>
        <v>0</v>
      </c>
      <c r="AN356" s="31">
        <f>SUMIFS(METALFISA!$E:$E,METALFISA!$A:$A,'Faltantes Fevereiro- Metalfisa'!AN$3,METALFISA!$B:$B,'Faltantes Fevereiro- Metalfisa'!$A356)</f>
        <v>0</v>
      </c>
      <c r="AO356" s="31">
        <f>SUMIFS(METALFISA!$E:$E,METALFISA!$A:$A,'Faltantes Fevereiro- Metalfisa'!AO$3,METALFISA!$B:$B,'Faltantes Fevereiro- Metalfisa'!$A356)</f>
        <v>0</v>
      </c>
      <c r="AP356" s="31">
        <f>SUMIFS(METALFISA!$E:$E,METALFISA!$A:$A,'Faltantes Fevereiro- Metalfisa'!AP$3,METALFISA!$B:$B,'Faltantes Fevereiro- Metalfisa'!$A356)</f>
        <v>0</v>
      </c>
      <c r="AQ356" s="31"/>
      <c r="AR356" s="31"/>
      <c r="AS356" s="35"/>
      <c r="AY356" s="41">
        <v>0</v>
      </c>
      <c r="AZ356" s="31">
        <v>0</v>
      </c>
      <c r="BA356" s="31">
        <v>0</v>
      </c>
      <c r="BB356" s="31">
        <v>0</v>
      </c>
      <c r="BC356" s="31">
        <v>0</v>
      </c>
      <c r="BD356" s="31">
        <v>0</v>
      </c>
      <c r="BE356" s="31">
        <v>0</v>
      </c>
      <c r="BF356" s="31">
        <v>0</v>
      </c>
      <c r="BG356" s="31">
        <v>0</v>
      </c>
      <c r="BH356" s="31">
        <v>0</v>
      </c>
      <c r="BI356" s="31">
        <v>0</v>
      </c>
      <c r="BJ356" s="31">
        <v>0</v>
      </c>
      <c r="BK356" s="31">
        <v>0</v>
      </c>
      <c r="BL356" s="31">
        <v>0</v>
      </c>
      <c r="BM356" s="31">
        <v>0</v>
      </c>
      <c r="BN356" s="31">
        <v>1</v>
      </c>
      <c r="BO356" s="31">
        <v>1</v>
      </c>
      <c r="BP356" s="31">
        <v>0</v>
      </c>
      <c r="BQ356" s="31">
        <v>0</v>
      </c>
      <c r="BR356" s="31">
        <v>0</v>
      </c>
      <c r="BS356" s="31">
        <v>0</v>
      </c>
      <c r="BT356" s="31">
        <v>0</v>
      </c>
      <c r="BU356" s="31">
        <v>0</v>
      </c>
      <c r="BV356" s="31">
        <v>0</v>
      </c>
      <c r="BW356" s="31">
        <v>0</v>
      </c>
      <c r="BX356" s="31">
        <v>0</v>
      </c>
      <c r="BY356" s="31">
        <v>0</v>
      </c>
      <c r="BZ356" s="31">
        <v>0</v>
      </c>
      <c r="CA356" s="31">
        <v>0</v>
      </c>
      <c r="CB356" s="31">
        <v>0</v>
      </c>
      <c r="CC356" s="31">
        <v>0</v>
      </c>
      <c r="CD356" s="31">
        <v>0</v>
      </c>
      <c r="CE356" s="31">
        <v>0</v>
      </c>
      <c r="CF356" s="31">
        <v>0</v>
      </c>
      <c r="CG356" s="31">
        <v>0</v>
      </c>
      <c r="CH356" s="31">
        <v>0</v>
      </c>
      <c r="CI356" s="31">
        <v>0</v>
      </c>
      <c r="CJ356" s="31">
        <v>0</v>
      </c>
      <c r="CK356" s="31">
        <v>0</v>
      </c>
      <c r="CL356" s="35">
        <v>0</v>
      </c>
    </row>
    <row r="357" spans="1:90" x14ac:dyDescent="0.15">
      <c r="A357" s="31" t="s">
        <v>1764</v>
      </c>
      <c r="B357" s="30" t="s">
        <v>1765</v>
      </c>
      <c r="C357" s="28">
        <v>0</v>
      </c>
      <c r="D357" s="28">
        <v>0</v>
      </c>
      <c r="E357" s="28">
        <v>0</v>
      </c>
      <c r="F357" s="28">
        <v>0</v>
      </c>
      <c r="G357" s="28">
        <v>8</v>
      </c>
      <c r="H357" s="28">
        <f>IFERROR(VLOOKUP(A357,[1]FALTANTES!$A:$AB,28,FALSE),"-")</f>
        <v>0</v>
      </c>
      <c r="I357" s="42">
        <f>IFERROR(VLOOKUP(A357,[1]FALTANTES!$A:$AC,29,FALSE),"-")</f>
        <v>2</v>
      </c>
      <c r="J357" s="29">
        <f>IFERROR(VLOOKUP(A357,[1]FALTANTES!$A:$AD,30,FALSE),"-")</f>
        <v>-6</v>
      </c>
      <c r="K357" s="30">
        <v>0</v>
      </c>
      <c r="L357" s="30">
        <f t="shared" si="7"/>
        <v>2</v>
      </c>
      <c r="M357" s="31">
        <f>SUMIFS(METALFISA!$E:$E,METALFISA!$A:$A,'Faltantes Fevereiro- Metalfisa'!M$3,METALFISA!$B:$B,'Faltantes Fevereiro- Metalfisa'!$A357)</f>
        <v>0</v>
      </c>
      <c r="N357" s="31">
        <f>SUMIFS(METALFISA!$E:$E,METALFISA!$A:$A,'Faltantes Fevereiro- Metalfisa'!N$3,METALFISA!$B:$B,'Faltantes Fevereiro- Metalfisa'!$A357)</f>
        <v>0</v>
      </c>
      <c r="O357" s="31">
        <f>SUMIFS(METALFISA!$E:$E,METALFISA!$A:$A,'Faltantes Fevereiro- Metalfisa'!O$3,METALFISA!$B:$B,'Faltantes Fevereiro- Metalfisa'!$A357)</f>
        <v>0</v>
      </c>
      <c r="P357" s="31">
        <f>SUMIFS(METALFISA!$E:$E,METALFISA!$A:$A,'Faltantes Fevereiro- Metalfisa'!P$3,METALFISA!$B:$B,'Faltantes Fevereiro- Metalfisa'!$A357)</f>
        <v>0</v>
      </c>
      <c r="Q357" s="31">
        <f>SUMIFS(METALFISA!$E:$E,METALFISA!$A:$A,'Faltantes Fevereiro- Metalfisa'!Q$3,METALFISA!$B:$B,'Faltantes Fevereiro- Metalfisa'!$A357)</f>
        <v>0</v>
      </c>
      <c r="R357" s="31">
        <f>SUMIFS(METALFISA!$E:$E,METALFISA!$A:$A,'Faltantes Fevereiro- Metalfisa'!R$3,METALFISA!$B:$B,'Faltantes Fevereiro- Metalfisa'!$A357)</f>
        <v>0</v>
      </c>
      <c r="S357" s="31">
        <f>SUMIFS(METALFISA!$E:$E,METALFISA!$A:$A,'Faltantes Fevereiro- Metalfisa'!S$3,METALFISA!$B:$B,'Faltantes Fevereiro- Metalfisa'!$A357)</f>
        <v>0</v>
      </c>
      <c r="T357" s="31">
        <f>SUMIFS(METALFISA!$E:$E,METALFISA!$A:$A,'Faltantes Fevereiro- Metalfisa'!T$3,METALFISA!$B:$B,'Faltantes Fevereiro- Metalfisa'!$A357)</f>
        <v>0</v>
      </c>
      <c r="U357" s="31">
        <f>SUMIFS(METALFISA!$E:$E,METALFISA!$A:$A,'Faltantes Fevereiro- Metalfisa'!U$3,METALFISA!$B:$B,'Faltantes Fevereiro- Metalfisa'!$A357)</f>
        <v>0</v>
      </c>
      <c r="V357" s="31">
        <f>SUMIFS(METALFISA!$E:$E,METALFISA!$A:$A,'Faltantes Fevereiro- Metalfisa'!V$3,METALFISA!$B:$B,'Faltantes Fevereiro- Metalfisa'!$A357)</f>
        <v>0</v>
      </c>
      <c r="W357" s="31">
        <f>SUMIFS(METALFISA!$E:$E,METALFISA!$A:$A,'Faltantes Fevereiro- Metalfisa'!W$3,METALFISA!$B:$B,'Faltantes Fevereiro- Metalfisa'!$A357)</f>
        <v>0</v>
      </c>
      <c r="X357" s="31">
        <f>SUMIFS(METALFISA!$E:$E,METALFISA!$A:$A,'Faltantes Fevereiro- Metalfisa'!X$3,METALFISA!$B:$B,'Faltantes Fevereiro- Metalfisa'!$A357)</f>
        <v>0</v>
      </c>
      <c r="Y357" s="31">
        <f>SUMIFS(METALFISA!$E:$E,METALFISA!$A:$A,'Faltantes Fevereiro- Metalfisa'!Y$3,METALFISA!$B:$B,'Faltantes Fevereiro- Metalfisa'!$A357)</f>
        <v>0</v>
      </c>
      <c r="Z357" s="31">
        <f>SUMIFS(METALFISA!$E:$E,METALFISA!$A:$A,'Faltantes Fevereiro- Metalfisa'!Z$3,METALFISA!$B:$B,'Faltantes Fevereiro- Metalfisa'!$A357)</f>
        <v>0</v>
      </c>
      <c r="AA357" s="31">
        <f>SUMIFS(METALFISA!$E:$E,METALFISA!$A:$A,'Faltantes Fevereiro- Metalfisa'!AA$3,METALFISA!$B:$B,'Faltantes Fevereiro- Metalfisa'!$A357)</f>
        <v>0</v>
      </c>
      <c r="AB357" s="31">
        <f>SUMIFS(METALFISA!$E:$E,METALFISA!$A:$A,'Faltantes Fevereiro- Metalfisa'!AB$3,METALFISA!$B:$B,'Faltantes Fevereiro- Metalfisa'!$A357)</f>
        <v>0</v>
      </c>
      <c r="AC357" s="31">
        <f>SUMIFS(METALFISA!$E:$E,METALFISA!$A:$A,'Faltantes Fevereiro- Metalfisa'!AC$3,METALFISA!$B:$B,'Faltantes Fevereiro- Metalfisa'!$A357)</f>
        <v>0</v>
      </c>
      <c r="AD357" s="31">
        <f>SUMIFS(METALFISA!$E:$E,METALFISA!$A:$A,'Faltantes Fevereiro- Metalfisa'!AD$3,METALFISA!$B:$B,'Faltantes Fevereiro- Metalfisa'!$A357)</f>
        <v>0</v>
      </c>
      <c r="AE357" s="31">
        <f>SUMIFS(METALFISA!$E:$E,METALFISA!$A:$A,'Faltantes Fevereiro- Metalfisa'!AE$3,METALFISA!$B:$B,'Faltantes Fevereiro- Metalfisa'!$A357)</f>
        <v>2</v>
      </c>
      <c r="AF357" s="31">
        <f>SUMIFS(METALFISA!$E:$E,METALFISA!$A:$A,'Faltantes Fevereiro- Metalfisa'!AF$3,METALFISA!$B:$B,'Faltantes Fevereiro- Metalfisa'!$A357)</f>
        <v>0</v>
      </c>
      <c r="AG357" s="31">
        <f>SUMIFS(METALFISA!$E:$E,METALFISA!$A:$A,'Faltantes Fevereiro- Metalfisa'!AG$3,METALFISA!$B:$B,'Faltantes Fevereiro- Metalfisa'!$A357)</f>
        <v>0</v>
      </c>
      <c r="AH357" s="31">
        <f>SUMIFS(METALFISA!$E:$E,METALFISA!$A:$A,'Faltantes Fevereiro- Metalfisa'!AH$3,METALFISA!$B:$B,'Faltantes Fevereiro- Metalfisa'!$A357)</f>
        <v>0</v>
      </c>
      <c r="AI357" s="31">
        <f>SUMIFS(METALFISA!$E:$E,METALFISA!$A:$A,'Faltantes Fevereiro- Metalfisa'!AI$3,METALFISA!$B:$B,'Faltantes Fevereiro- Metalfisa'!$A357)</f>
        <v>0</v>
      </c>
      <c r="AJ357" s="31">
        <f>SUMIFS(METALFISA!$E:$E,METALFISA!$A:$A,'Faltantes Fevereiro- Metalfisa'!AJ$3,METALFISA!$B:$B,'Faltantes Fevereiro- Metalfisa'!$A357)</f>
        <v>0</v>
      </c>
      <c r="AK357" s="31">
        <f>SUMIFS(METALFISA!$E:$E,METALFISA!$A:$A,'Faltantes Fevereiro- Metalfisa'!AK$3,METALFISA!$B:$B,'Faltantes Fevereiro- Metalfisa'!$A357)</f>
        <v>0</v>
      </c>
      <c r="AL357" s="31">
        <f>SUMIFS(METALFISA!$E:$E,METALFISA!$A:$A,'Faltantes Fevereiro- Metalfisa'!AL$3,METALFISA!$B:$B,'Faltantes Fevereiro- Metalfisa'!$A357)</f>
        <v>0</v>
      </c>
      <c r="AM357" s="31">
        <f>SUMIFS(METALFISA!$E:$E,METALFISA!$A:$A,'Faltantes Fevereiro- Metalfisa'!AM$3,METALFISA!$B:$B,'Faltantes Fevereiro- Metalfisa'!$A357)</f>
        <v>0</v>
      </c>
      <c r="AN357" s="31">
        <f>SUMIFS(METALFISA!$E:$E,METALFISA!$A:$A,'Faltantes Fevereiro- Metalfisa'!AN$3,METALFISA!$B:$B,'Faltantes Fevereiro- Metalfisa'!$A357)</f>
        <v>0</v>
      </c>
      <c r="AO357" s="31">
        <f>SUMIFS(METALFISA!$E:$E,METALFISA!$A:$A,'Faltantes Fevereiro- Metalfisa'!AO$3,METALFISA!$B:$B,'Faltantes Fevereiro- Metalfisa'!$A357)</f>
        <v>0</v>
      </c>
      <c r="AP357" s="31">
        <f>SUMIFS(METALFISA!$E:$E,METALFISA!$A:$A,'Faltantes Fevereiro- Metalfisa'!AP$3,METALFISA!$B:$B,'Faltantes Fevereiro- Metalfisa'!$A357)</f>
        <v>0</v>
      </c>
      <c r="AQ357" s="31"/>
      <c r="AR357" s="31"/>
      <c r="AS357" s="35"/>
      <c r="AY357" s="41">
        <v>0</v>
      </c>
      <c r="AZ357" s="31">
        <v>0</v>
      </c>
      <c r="BA357" s="31">
        <v>0</v>
      </c>
      <c r="BB357" s="31">
        <v>0</v>
      </c>
      <c r="BC357" s="31">
        <v>0</v>
      </c>
      <c r="BD357" s="31">
        <v>0</v>
      </c>
      <c r="BE357" s="31">
        <v>0</v>
      </c>
      <c r="BF357" s="31">
        <v>0</v>
      </c>
      <c r="BG357" s="31">
        <v>0</v>
      </c>
      <c r="BH357" s="31">
        <v>0</v>
      </c>
      <c r="BI357" s="31">
        <v>0</v>
      </c>
      <c r="BJ357" s="31">
        <v>0</v>
      </c>
      <c r="BK357" s="31">
        <v>0</v>
      </c>
      <c r="BL357" s="31">
        <v>0</v>
      </c>
      <c r="BM357" s="31">
        <v>0</v>
      </c>
      <c r="BN357" s="31">
        <v>1</v>
      </c>
      <c r="BO357" s="31">
        <v>1</v>
      </c>
      <c r="BP357" s="31">
        <v>0</v>
      </c>
      <c r="BQ357" s="31">
        <v>0</v>
      </c>
      <c r="BR357" s="31">
        <v>0</v>
      </c>
      <c r="BS357" s="31">
        <v>0</v>
      </c>
      <c r="BT357" s="31">
        <v>0</v>
      </c>
      <c r="BU357" s="31">
        <v>0</v>
      </c>
      <c r="BV357" s="31">
        <v>0</v>
      </c>
      <c r="BW357" s="31">
        <v>0</v>
      </c>
      <c r="BX357" s="31">
        <v>0</v>
      </c>
      <c r="BY357" s="31">
        <v>0</v>
      </c>
      <c r="BZ357" s="31">
        <v>0</v>
      </c>
      <c r="CA357" s="31">
        <v>0</v>
      </c>
      <c r="CB357" s="31">
        <v>0</v>
      </c>
      <c r="CC357" s="31">
        <v>0</v>
      </c>
      <c r="CD357" s="31">
        <v>0</v>
      </c>
      <c r="CE357" s="31">
        <v>0</v>
      </c>
      <c r="CF357" s="31">
        <v>0</v>
      </c>
      <c r="CG357" s="31">
        <v>0</v>
      </c>
      <c r="CH357" s="31">
        <v>0</v>
      </c>
      <c r="CI357" s="31">
        <v>0</v>
      </c>
      <c r="CJ357" s="31">
        <v>0</v>
      </c>
      <c r="CK357" s="31">
        <v>0</v>
      </c>
      <c r="CL357" s="35">
        <v>0</v>
      </c>
    </row>
    <row r="358" spans="1:90" ht="21" x14ac:dyDescent="0.15">
      <c r="A358" s="31" t="s">
        <v>1767</v>
      </c>
      <c r="B358" s="30" t="s">
        <v>1768</v>
      </c>
      <c r="C358" s="28">
        <v>0</v>
      </c>
      <c r="D358" s="28">
        <v>0</v>
      </c>
      <c r="E358" s="28">
        <v>0</v>
      </c>
      <c r="F358" s="28">
        <v>0</v>
      </c>
      <c r="G358" s="28">
        <v>6</v>
      </c>
      <c r="H358" s="28">
        <f>IFERROR(VLOOKUP(A358,[1]FALTANTES!$A:$AB,28,FALSE),"-")</f>
        <v>0</v>
      </c>
      <c r="I358" s="42">
        <f>IFERROR(VLOOKUP(A358,[1]FALTANTES!$A:$AC,29,FALSE),"-")</f>
        <v>0</v>
      </c>
      <c r="J358" s="29">
        <f>IFERROR(VLOOKUP(A358,[1]FALTANTES!$A:$AD,30,FALSE),"-")</f>
        <v>-6</v>
      </c>
      <c r="K358" s="30">
        <v>0</v>
      </c>
      <c r="L358" s="30">
        <f t="shared" si="7"/>
        <v>2</v>
      </c>
      <c r="M358" s="31">
        <f>SUMIFS(METALFISA!$E:$E,METALFISA!$A:$A,'Faltantes Fevereiro- Metalfisa'!M$3,METALFISA!$B:$B,'Faltantes Fevereiro- Metalfisa'!$A358)</f>
        <v>0</v>
      </c>
      <c r="N358" s="31">
        <f>SUMIFS(METALFISA!$E:$E,METALFISA!$A:$A,'Faltantes Fevereiro- Metalfisa'!N$3,METALFISA!$B:$B,'Faltantes Fevereiro- Metalfisa'!$A358)</f>
        <v>0</v>
      </c>
      <c r="O358" s="31">
        <f>SUMIFS(METALFISA!$E:$E,METALFISA!$A:$A,'Faltantes Fevereiro- Metalfisa'!O$3,METALFISA!$B:$B,'Faltantes Fevereiro- Metalfisa'!$A358)</f>
        <v>0</v>
      </c>
      <c r="P358" s="31">
        <f>SUMIFS(METALFISA!$E:$E,METALFISA!$A:$A,'Faltantes Fevereiro- Metalfisa'!P$3,METALFISA!$B:$B,'Faltantes Fevereiro- Metalfisa'!$A358)</f>
        <v>0</v>
      </c>
      <c r="Q358" s="31">
        <f>SUMIFS(METALFISA!$E:$E,METALFISA!$A:$A,'Faltantes Fevereiro- Metalfisa'!Q$3,METALFISA!$B:$B,'Faltantes Fevereiro- Metalfisa'!$A358)</f>
        <v>0</v>
      </c>
      <c r="R358" s="31">
        <f>SUMIFS(METALFISA!$E:$E,METALFISA!$A:$A,'Faltantes Fevereiro- Metalfisa'!R$3,METALFISA!$B:$B,'Faltantes Fevereiro- Metalfisa'!$A358)</f>
        <v>0</v>
      </c>
      <c r="S358" s="31">
        <f>SUMIFS(METALFISA!$E:$E,METALFISA!$A:$A,'Faltantes Fevereiro- Metalfisa'!S$3,METALFISA!$B:$B,'Faltantes Fevereiro- Metalfisa'!$A358)</f>
        <v>0</v>
      </c>
      <c r="T358" s="31">
        <f>SUMIFS(METALFISA!$E:$E,METALFISA!$A:$A,'Faltantes Fevereiro- Metalfisa'!T$3,METALFISA!$B:$B,'Faltantes Fevereiro- Metalfisa'!$A358)</f>
        <v>0</v>
      </c>
      <c r="U358" s="31">
        <f>SUMIFS(METALFISA!$E:$E,METALFISA!$A:$A,'Faltantes Fevereiro- Metalfisa'!U$3,METALFISA!$B:$B,'Faltantes Fevereiro- Metalfisa'!$A358)</f>
        <v>0</v>
      </c>
      <c r="V358" s="31">
        <f>SUMIFS(METALFISA!$E:$E,METALFISA!$A:$A,'Faltantes Fevereiro- Metalfisa'!V$3,METALFISA!$B:$B,'Faltantes Fevereiro- Metalfisa'!$A358)</f>
        <v>0</v>
      </c>
      <c r="W358" s="31">
        <f>SUMIFS(METALFISA!$E:$E,METALFISA!$A:$A,'Faltantes Fevereiro- Metalfisa'!W$3,METALFISA!$B:$B,'Faltantes Fevereiro- Metalfisa'!$A358)</f>
        <v>0</v>
      </c>
      <c r="X358" s="31">
        <f>SUMIFS(METALFISA!$E:$E,METALFISA!$A:$A,'Faltantes Fevereiro- Metalfisa'!X$3,METALFISA!$B:$B,'Faltantes Fevereiro- Metalfisa'!$A358)</f>
        <v>0</v>
      </c>
      <c r="Y358" s="31">
        <f>SUMIFS(METALFISA!$E:$E,METALFISA!$A:$A,'Faltantes Fevereiro- Metalfisa'!Y$3,METALFISA!$B:$B,'Faltantes Fevereiro- Metalfisa'!$A358)</f>
        <v>0</v>
      </c>
      <c r="Z358" s="31">
        <f>SUMIFS(METALFISA!$E:$E,METALFISA!$A:$A,'Faltantes Fevereiro- Metalfisa'!Z$3,METALFISA!$B:$B,'Faltantes Fevereiro- Metalfisa'!$A358)</f>
        <v>0</v>
      </c>
      <c r="AA358" s="31">
        <f>SUMIFS(METALFISA!$E:$E,METALFISA!$A:$A,'Faltantes Fevereiro- Metalfisa'!AA$3,METALFISA!$B:$B,'Faltantes Fevereiro- Metalfisa'!$A358)</f>
        <v>0</v>
      </c>
      <c r="AB358" s="31">
        <f>SUMIFS(METALFISA!$E:$E,METALFISA!$A:$A,'Faltantes Fevereiro- Metalfisa'!AB$3,METALFISA!$B:$B,'Faltantes Fevereiro- Metalfisa'!$A358)</f>
        <v>0</v>
      </c>
      <c r="AC358" s="31">
        <f>SUMIFS(METALFISA!$E:$E,METALFISA!$A:$A,'Faltantes Fevereiro- Metalfisa'!AC$3,METALFISA!$B:$B,'Faltantes Fevereiro- Metalfisa'!$A358)</f>
        <v>0</v>
      </c>
      <c r="AD358" s="31">
        <f>SUMIFS(METALFISA!$E:$E,METALFISA!$A:$A,'Faltantes Fevereiro- Metalfisa'!AD$3,METALFISA!$B:$B,'Faltantes Fevereiro- Metalfisa'!$A358)</f>
        <v>0</v>
      </c>
      <c r="AE358" s="31">
        <f>SUMIFS(METALFISA!$E:$E,METALFISA!$A:$A,'Faltantes Fevereiro- Metalfisa'!AE$3,METALFISA!$B:$B,'Faltantes Fevereiro- Metalfisa'!$A358)</f>
        <v>2</v>
      </c>
      <c r="AF358" s="31">
        <f>SUMIFS(METALFISA!$E:$E,METALFISA!$A:$A,'Faltantes Fevereiro- Metalfisa'!AF$3,METALFISA!$B:$B,'Faltantes Fevereiro- Metalfisa'!$A358)</f>
        <v>0</v>
      </c>
      <c r="AG358" s="31">
        <f>SUMIFS(METALFISA!$E:$E,METALFISA!$A:$A,'Faltantes Fevereiro- Metalfisa'!AG$3,METALFISA!$B:$B,'Faltantes Fevereiro- Metalfisa'!$A358)</f>
        <v>0</v>
      </c>
      <c r="AH358" s="31">
        <f>SUMIFS(METALFISA!$E:$E,METALFISA!$A:$A,'Faltantes Fevereiro- Metalfisa'!AH$3,METALFISA!$B:$B,'Faltantes Fevereiro- Metalfisa'!$A358)</f>
        <v>0</v>
      </c>
      <c r="AI358" s="31">
        <f>SUMIFS(METALFISA!$E:$E,METALFISA!$A:$A,'Faltantes Fevereiro- Metalfisa'!AI$3,METALFISA!$B:$B,'Faltantes Fevereiro- Metalfisa'!$A358)</f>
        <v>0</v>
      </c>
      <c r="AJ358" s="31">
        <f>SUMIFS(METALFISA!$E:$E,METALFISA!$A:$A,'Faltantes Fevereiro- Metalfisa'!AJ$3,METALFISA!$B:$B,'Faltantes Fevereiro- Metalfisa'!$A358)</f>
        <v>0</v>
      </c>
      <c r="AK358" s="31">
        <f>SUMIFS(METALFISA!$E:$E,METALFISA!$A:$A,'Faltantes Fevereiro- Metalfisa'!AK$3,METALFISA!$B:$B,'Faltantes Fevereiro- Metalfisa'!$A358)</f>
        <v>0</v>
      </c>
      <c r="AL358" s="31">
        <f>SUMIFS(METALFISA!$E:$E,METALFISA!$A:$A,'Faltantes Fevereiro- Metalfisa'!AL$3,METALFISA!$B:$B,'Faltantes Fevereiro- Metalfisa'!$A358)</f>
        <v>0</v>
      </c>
      <c r="AM358" s="31">
        <f>SUMIFS(METALFISA!$E:$E,METALFISA!$A:$A,'Faltantes Fevereiro- Metalfisa'!AM$3,METALFISA!$B:$B,'Faltantes Fevereiro- Metalfisa'!$A358)</f>
        <v>0</v>
      </c>
      <c r="AN358" s="31">
        <f>SUMIFS(METALFISA!$E:$E,METALFISA!$A:$A,'Faltantes Fevereiro- Metalfisa'!AN$3,METALFISA!$B:$B,'Faltantes Fevereiro- Metalfisa'!$A358)</f>
        <v>0</v>
      </c>
      <c r="AO358" s="31">
        <f>SUMIFS(METALFISA!$E:$E,METALFISA!$A:$A,'Faltantes Fevereiro- Metalfisa'!AO$3,METALFISA!$B:$B,'Faltantes Fevereiro- Metalfisa'!$A358)</f>
        <v>0</v>
      </c>
      <c r="AP358" s="31">
        <f>SUMIFS(METALFISA!$E:$E,METALFISA!$A:$A,'Faltantes Fevereiro- Metalfisa'!AP$3,METALFISA!$B:$B,'Faltantes Fevereiro- Metalfisa'!$A358)</f>
        <v>0</v>
      </c>
      <c r="AQ358" s="31"/>
      <c r="AR358" s="31"/>
      <c r="AS358" s="35"/>
      <c r="AY358" s="41">
        <v>0</v>
      </c>
      <c r="AZ358" s="31">
        <v>0</v>
      </c>
      <c r="BA358" s="31">
        <v>0</v>
      </c>
      <c r="BB358" s="31">
        <v>0</v>
      </c>
      <c r="BC358" s="31">
        <v>0</v>
      </c>
      <c r="BD358" s="31">
        <v>0</v>
      </c>
      <c r="BE358" s="31">
        <v>0</v>
      </c>
      <c r="BF358" s="31">
        <v>0</v>
      </c>
      <c r="BG358" s="31">
        <v>0</v>
      </c>
      <c r="BH358" s="31">
        <v>0</v>
      </c>
      <c r="BI358" s="31">
        <v>0</v>
      </c>
      <c r="BJ358" s="31">
        <v>0</v>
      </c>
      <c r="BK358" s="31">
        <v>0</v>
      </c>
      <c r="BL358" s="31">
        <v>0</v>
      </c>
      <c r="BM358" s="31">
        <v>0</v>
      </c>
      <c r="BN358" s="31">
        <v>0</v>
      </c>
      <c r="BO358" s="31">
        <v>1</v>
      </c>
      <c r="BP358" s="31">
        <v>0</v>
      </c>
      <c r="BQ358" s="31">
        <v>0</v>
      </c>
      <c r="BR358" s="31">
        <v>0</v>
      </c>
      <c r="BS358" s="31">
        <v>0</v>
      </c>
      <c r="BT358" s="31">
        <v>0</v>
      </c>
      <c r="BU358" s="31">
        <v>0</v>
      </c>
      <c r="BV358" s="31">
        <v>0</v>
      </c>
      <c r="BW358" s="31">
        <v>0</v>
      </c>
      <c r="BX358" s="31">
        <v>0</v>
      </c>
      <c r="BY358" s="31">
        <v>0</v>
      </c>
      <c r="BZ358" s="31">
        <v>0</v>
      </c>
      <c r="CA358" s="31">
        <v>0</v>
      </c>
      <c r="CB358" s="31">
        <v>0</v>
      </c>
      <c r="CC358" s="31">
        <v>0</v>
      </c>
      <c r="CD358" s="31">
        <v>0</v>
      </c>
      <c r="CE358" s="31">
        <v>0</v>
      </c>
      <c r="CF358" s="31">
        <v>0</v>
      </c>
      <c r="CG358" s="31">
        <v>0</v>
      </c>
      <c r="CH358" s="31">
        <v>0</v>
      </c>
      <c r="CI358" s="31">
        <v>0</v>
      </c>
      <c r="CJ358" s="31">
        <v>0</v>
      </c>
      <c r="CK358" s="31">
        <v>0</v>
      </c>
      <c r="CL358" s="35">
        <v>0</v>
      </c>
    </row>
    <row r="359" spans="1:90" x14ac:dyDescent="0.15">
      <c r="A359" s="31" t="s">
        <v>1771</v>
      </c>
      <c r="B359" s="30" t="s">
        <v>1772</v>
      </c>
      <c r="C359" s="28">
        <v>2</v>
      </c>
      <c r="D359" s="28">
        <v>0</v>
      </c>
      <c r="E359" s="28">
        <v>0</v>
      </c>
      <c r="F359" s="28">
        <v>0</v>
      </c>
      <c r="G359" s="28">
        <v>9</v>
      </c>
      <c r="H359" s="28">
        <f>IFERROR(VLOOKUP(A359,[1]FALTANTES!$A:$AB,28,FALSE),"-")</f>
        <v>3</v>
      </c>
      <c r="I359" s="42">
        <f>IFERROR(VLOOKUP(A359,[1]FALTANTES!$A:$AC,29,FALSE),"-")</f>
        <v>0</v>
      </c>
      <c r="J359" s="29">
        <f>IFERROR(VLOOKUP(A359,[1]FALTANTES!$A:$AD,30,FALSE),"-")</f>
        <v>-11</v>
      </c>
      <c r="K359" s="30">
        <v>0</v>
      </c>
      <c r="L359" s="30">
        <f t="shared" si="7"/>
        <v>2</v>
      </c>
      <c r="M359" s="31">
        <f>SUMIFS(METALFISA!$E:$E,METALFISA!$A:$A,'Faltantes Fevereiro- Metalfisa'!M$3,METALFISA!$B:$B,'Faltantes Fevereiro- Metalfisa'!$A359)</f>
        <v>0</v>
      </c>
      <c r="N359" s="31">
        <f>SUMIFS(METALFISA!$E:$E,METALFISA!$A:$A,'Faltantes Fevereiro- Metalfisa'!N$3,METALFISA!$B:$B,'Faltantes Fevereiro- Metalfisa'!$A359)</f>
        <v>0</v>
      </c>
      <c r="O359" s="31">
        <f>SUMIFS(METALFISA!$E:$E,METALFISA!$A:$A,'Faltantes Fevereiro- Metalfisa'!O$3,METALFISA!$B:$B,'Faltantes Fevereiro- Metalfisa'!$A359)</f>
        <v>0</v>
      </c>
      <c r="P359" s="31">
        <f>SUMIFS(METALFISA!$E:$E,METALFISA!$A:$A,'Faltantes Fevereiro- Metalfisa'!P$3,METALFISA!$B:$B,'Faltantes Fevereiro- Metalfisa'!$A359)</f>
        <v>0</v>
      </c>
      <c r="Q359" s="31">
        <f>SUMIFS(METALFISA!$E:$E,METALFISA!$A:$A,'Faltantes Fevereiro- Metalfisa'!Q$3,METALFISA!$B:$B,'Faltantes Fevereiro- Metalfisa'!$A359)</f>
        <v>0</v>
      </c>
      <c r="R359" s="31">
        <f>SUMIFS(METALFISA!$E:$E,METALFISA!$A:$A,'Faltantes Fevereiro- Metalfisa'!R$3,METALFISA!$B:$B,'Faltantes Fevereiro- Metalfisa'!$A359)</f>
        <v>0</v>
      </c>
      <c r="S359" s="31">
        <f>SUMIFS(METALFISA!$E:$E,METALFISA!$A:$A,'Faltantes Fevereiro- Metalfisa'!S$3,METALFISA!$B:$B,'Faltantes Fevereiro- Metalfisa'!$A359)</f>
        <v>0</v>
      </c>
      <c r="T359" s="31">
        <f>SUMIFS(METALFISA!$E:$E,METALFISA!$A:$A,'Faltantes Fevereiro- Metalfisa'!T$3,METALFISA!$B:$B,'Faltantes Fevereiro- Metalfisa'!$A359)</f>
        <v>0</v>
      </c>
      <c r="U359" s="31">
        <f>SUMIFS(METALFISA!$E:$E,METALFISA!$A:$A,'Faltantes Fevereiro- Metalfisa'!U$3,METALFISA!$B:$B,'Faltantes Fevereiro- Metalfisa'!$A359)</f>
        <v>0</v>
      </c>
      <c r="V359" s="31">
        <f>SUMIFS(METALFISA!$E:$E,METALFISA!$A:$A,'Faltantes Fevereiro- Metalfisa'!V$3,METALFISA!$B:$B,'Faltantes Fevereiro- Metalfisa'!$A359)</f>
        <v>0</v>
      </c>
      <c r="W359" s="31">
        <f>SUMIFS(METALFISA!$E:$E,METALFISA!$A:$A,'Faltantes Fevereiro- Metalfisa'!W$3,METALFISA!$B:$B,'Faltantes Fevereiro- Metalfisa'!$A359)</f>
        <v>0</v>
      </c>
      <c r="X359" s="31">
        <f>SUMIFS(METALFISA!$E:$E,METALFISA!$A:$A,'Faltantes Fevereiro- Metalfisa'!X$3,METALFISA!$B:$B,'Faltantes Fevereiro- Metalfisa'!$A359)</f>
        <v>0</v>
      </c>
      <c r="Y359" s="31">
        <f>SUMIFS(METALFISA!$E:$E,METALFISA!$A:$A,'Faltantes Fevereiro- Metalfisa'!Y$3,METALFISA!$B:$B,'Faltantes Fevereiro- Metalfisa'!$A359)</f>
        <v>0</v>
      </c>
      <c r="Z359" s="31">
        <f>SUMIFS(METALFISA!$E:$E,METALFISA!$A:$A,'Faltantes Fevereiro- Metalfisa'!Z$3,METALFISA!$B:$B,'Faltantes Fevereiro- Metalfisa'!$A359)</f>
        <v>0</v>
      </c>
      <c r="AA359" s="31">
        <f>SUMIFS(METALFISA!$E:$E,METALFISA!$A:$A,'Faltantes Fevereiro- Metalfisa'!AA$3,METALFISA!$B:$B,'Faltantes Fevereiro- Metalfisa'!$A359)</f>
        <v>0</v>
      </c>
      <c r="AB359" s="31">
        <f>SUMIFS(METALFISA!$E:$E,METALFISA!$A:$A,'Faltantes Fevereiro- Metalfisa'!AB$3,METALFISA!$B:$B,'Faltantes Fevereiro- Metalfisa'!$A359)</f>
        <v>0</v>
      </c>
      <c r="AC359" s="31">
        <f>SUMIFS(METALFISA!$E:$E,METALFISA!$A:$A,'Faltantes Fevereiro- Metalfisa'!AC$3,METALFISA!$B:$B,'Faltantes Fevereiro- Metalfisa'!$A359)</f>
        <v>0</v>
      </c>
      <c r="AD359" s="31">
        <f>SUMIFS(METALFISA!$E:$E,METALFISA!$A:$A,'Faltantes Fevereiro- Metalfisa'!AD$3,METALFISA!$B:$B,'Faltantes Fevereiro- Metalfisa'!$A359)</f>
        <v>0</v>
      </c>
      <c r="AE359" s="31">
        <f>SUMIFS(METALFISA!$E:$E,METALFISA!$A:$A,'Faltantes Fevereiro- Metalfisa'!AE$3,METALFISA!$B:$B,'Faltantes Fevereiro- Metalfisa'!$A359)</f>
        <v>2</v>
      </c>
      <c r="AF359" s="31">
        <f>SUMIFS(METALFISA!$E:$E,METALFISA!$A:$A,'Faltantes Fevereiro- Metalfisa'!AF$3,METALFISA!$B:$B,'Faltantes Fevereiro- Metalfisa'!$A359)</f>
        <v>0</v>
      </c>
      <c r="AG359" s="31">
        <f>SUMIFS(METALFISA!$E:$E,METALFISA!$A:$A,'Faltantes Fevereiro- Metalfisa'!AG$3,METALFISA!$B:$B,'Faltantes Fevereiro- Metalfisa'!$A359)</f>
        <v>0</v>
      </c>
      <c r="AH359" s="31">
        <f>SUMIFS(METALFISA!$E:$E,METALFISA!$A:$A,'Faltantes Fevereiro- Metalfisa'!AH$3,METALFISA!$B:$B,'Faltantes Fevereiro- Metalfisa'!$A359)</f>
        <v>0</v>
      </c>
      <c r="AI359" s="31">
        <f>SUMIFS(METALFISA!$E:$E,METALFISA!$A:$A,'Faltantes Fevereiro- Metalfisa'!AI$3,METALFISA!$B:$B,'Faltantes Fevereiro- Metalfisa'!$A359)</f>
        <v>0</v>
      </c>
      <c r="AJ359" s="31">
        <f>SUMIFS(METALFISA!$E:$E,METALFISA!$A:$A,'Faltantes Fevereiro- Metalfisa'!AJ$3,METALFISA!$B:$B,'Faltantes Fevereiro- Metalfisa'!$A359)</f>
        <v>0</v>
      </c>
      <c r="AK359" s="31">
        <f>SUMIFS(METALFISA!$E:$E,METALFISA!$A:$A,'Faltantes Fevereiro- Metalfisa'!AK$3,METALFISA!$B:$B,'Faltantes Fevereiro- Metalfisa'!$A359)</f>
        <v>0</v>
      </c>
      <c r="AL359" s="31">
        <f>SUMIFS(METALFISA!$E:$E,METALFISA!$A:$A,'Faltantes Fevereiro- Metalfisa'!AL$3,METALFISA!$B:$B,'Faltantes Fevereiro- Metalfisa'!$A359)</f>
        <v>0</v>
      </c>
      <c r="AM359" s="31">
        <f>SUMIFS(METALFISA!$E:$E,METALFISA!$A:$A,'Faltantes Fevereiro- Metalfisa'!AM$3,METALFISA!$B:$B,'Faltantes Fevereiro- Metalfisa'!$A359)</f>
        <v>0</v>
      </c>
      <c r="AN359" s="31">
        <f>SUMIFS(METALFISA!$E:$E,METALFISA!$A:$A,'Faltantes Fevereiro- Metalfisa'!AN$3,METALFISA!$B:$B,'Faltantes Fevereiro- Metalfisa'!$A359)</f>
        <v>0</v>
      </c>
      <c r="AO359" s="31">
        <f>SUMIFS(METALFISA!$E:$E,METALFISA!$A:$A,'Faltantes Fevereiro- Metalfisa'!AO$3,METALFISA!$B:$B,'Faltantes Fevereiro- Metalfisa'!$A359)</f>
        <v>0</v>
      </c>
      <c r="AP359" s="31">
        <f>SUMIFS(METALFISA!$E:$E,METALFISA!$A:$A,'Faltantes Fevereiro- Metalfisa'!AP$3,METALFISA!$B:$B,'Faltantes Fevereiro- Metalfisa'!$A359)</f>
        <v>0</v>
      </c>
      <c r="AQ359" s="31"/>
      <c r="AR359" s="31"/>
      <c r="AS359" s="35"/>
      <c r="AY359" s="41">
        <v>0</v>
      </c>
      <c r="AZ359" s="31">
        <v>0</v>
      </c>
      <c r="BA359" s="31">
        <v>0</v>
      </c>
      <c r="BB359" s="31">
        <v>0</v>
      </c>
      <c r="BC359" s="31">
        <v>0</v>
      </c>
      <c r="BD359" s="31">
        <v>0</v>
      </c>
      <c r="BE359" s="31">
        <v>0</v>
      </c>
      <c r="BF359" s="31">
        <v>0</v>
      </c>
      <c r="BG359" s="31">
        <v>0</v>
      </c>
      <c r="BH359" s="31">
        <v>0</v>
      </c>
      <c r="BI359" s="31">
        <v>0</v>
      </c>
      <c r="BJ359" s="31">
        <v>0</v>
      </c>
      <c r="BK359" s="31">
        <v>0</v>
      </c>
      <c r="BL359" s="31">
        <v>0</v>
      </c>
      <c r="BM359" s="31">
        <v>0</v>
      </c>
      <c r="BN359" s="31">
        <v>1</v>
      </c>
      <c r="BO359" s="31">
        <v>1</v>
      </c>
      <c r="BP359" s="31">
        <v>0</v>
      </c>
      <c r="BQ359" s="31">
        <v>0</v>
      </c>
      <c r="BR359" s="31">
        <v>0</v>
      </c>
      <c r="BS359" s="31">
        <v>0</v>
      </c>
      <c r="BT359" s="31">
        <v>0</v>
      </c>
      <c r="BU359" s="31">
        <v>0</v>
      </c>
      <c r="BV359" s="31">
        <v>0</v>
      </c>
      <c r="BW359" s="31">
        <v>0</v>
      </c>
      <c r="BX359" s="31">
        <v>0</v>
      </c>
      <c r="BY359" s="31">
        <v>0</v>
      </c>
      <c r="BZ359" s="31">
        <v>0</v>
      </c>
      <c r="CA359" s="31">
        <v>0</v>
      </c>
      <c r="CB359" s="31">
        <v>0</v>
      </c>
      <c r="CC359" s="31">
        <v>0</v>
      </c>
      <c r="CD359" s="31">
        <v>0</v>
      </c>
      <c r="CE359" s="31">
        <v>0</v>
      </c>
      <c r="CF359" s="31">
        <v>0</v>
      </c>
      <c r="CG359" s="31">
        <v>0</v>
      </c>
      <c r="CH359" s="31">
        <v>0</v>
      </c>
      <c r="CI359" s="31">
        <v>0</v>
      </c>
      <c r="CJ359" s="31">
        <v>0</v>
      </c>
      <c r="CK359" s="31">
        <v>0</v>
      </c>
      <c r="CL359" s="35">
        <v>0</v>
      </c>
    </row>
    <row r="360" spans="1:90" x14ac:dyDescent="0.15">
      <c r="A360" s="31" t="s">
        <v>1774</v>
      </c>
      <c r="B360" s="30" t="s">
        <v>1775</v>
      </c>
      <c r="C360" s="28">
        <v>0</v>
      </c>
      <c r="D360" s="28">
        <v>0</v>
      </c>
      <c r="E360" s="28">
        <v>0</v>
      </c>
      <c r="F360" s="28">
        <v>0</v>
      </c>
      <c r="G360" s="28">
        <v>9</v>
      </c>
      <c r="H360" s="28">
        <f>IFERROR(VLOOKUP(A360,[1]FALTANTES!$A:$AB,28,FALSE),"-")</f>
        <v>0</v>
      </c>
      <c r="I360" s="42">
        <f>IFERROR(VLOOKUP(A360,[1]FALTANTES!$A:$AC,29,FALSE),"-")</f>
        <v>2</v>
      </c>
      <c r="J360" s="29">
        <f>IFERROR(VLOOKUP(A360,[1]FALTANTES!$A:$AD,30,FALSE),"-")</f>
        <v>-7</v>
      </c>
      <c r="K360" s="30">
        <v>0</v>
      </c>
      <c r="L360" s="30">
        <f t="shared" si="7"/>
        <v>2</v>
      </c>
      <c r="M360" s="31">
        <f>SUMIFS(METALFISA!$E:$E,METALFISA!$A:$A,'Faltantes Fevereiro- Metalfisa'!M$3,METALFISA!$B:$B,'Faltantes Fevereiro- Metalfisa'!$A360)</f>
        <v>0</v>
      </c>
      <c r="N360" s="31">
        <f>SUMIFS(METALFISA!$E:$E,METALFISA!$A:$A,'Faltantes Fevereiro- Metalfisa'!N$3,METALFISA!$B:$B,'Faltantes Fevereiro- Metalfisa'!$A360)</f>
        <v>0</v>
      </c>
      <c r="O360" s="31">
        <f>SUMIFS(METALFISA!$E:$E,METALFISA!$A:$A,'Faltantes Fevereiro- Metalfisa'!O$3,METALFISA!$B:$B,'Faltantes Fevereiro- Metalfisa'!$A360)</f>
        <v>0</v>
      </c>
      <c r="P360" s="31">
        <f>SUMIFS(METALFISA!$E:$E,METALFISA!$A:$A,'Faltantes Fevereiro- Metalfisa'!P$3,METALFISA!$B:$B,'Faltantes Fevereiro- Metalfisa'!$A360)</f>
        <v>0</v>
      </c>
      <c r="Q360" s="31">
        <f>SUMIFS(METALFISA!$E:$E,METALFISA!$A:$A,'Faltantes Fevereiro- Metalfisa'!Q$3,METALFISA!$B:$B,'Faltantes Fevereiro- Metalfisa'!$A360)</f>
        <v>0</v>
      </c>
      <c r="R360" s="31">
        <f>SUMIFS(METALFISA!$E:$E,METALFISA!$A:$A,'Faltantes Fevereiro- Metalfisa'!R$3,METALFISA!$B:$B,'Faltantes Fevereiro- Metalfisa'!$A360)</f>
        <v>0</v>
      </c>
      <c r="S360" s="31">
        <f>SUMIFS(METALFISA!$E:$E,METALFISA!$A:$A,'Faltantes Fevereiro- Metalfisa'!S$3,METALFISA!$B:$B,'Faltantes Fevereiro- Metalfisa'!$A360)</f>
        <v>0</v>
      </c>
      <c r="T360" s="31">
        <f>SUMIFS(METALFISA!$E:$E,METALFISA!$A:$A,'Faltantes Fevereiro- Metalfisa'!T$3,METALFISA!$B:$B,'Faltantes Fevereiro- Metalfisa'!$A360)</f>
        <v>0</v>
      </c>
      <c r="U360" s="31">
        <f>SUMIFS(METALFISA!$E:$E,METALFISA!$A:$A,'Faltantes Fevereiro- Metalfisa'!U$3,METALFISA!$B:$B,'Faltantes Fevereiro- Metalfisa'!$A360)</f>
        <v>0</v>
      </c>
      <c r="V360" s="31">
        <f>SUMIFS(METALFISA!$E:$E,METALFISA!$A:$A,'Faltantes Fevereiro- Metalfisa'!V$3,METALFISA!$B:$B,'Faltantes Fevereiro- Metalfisa'!$A360)</f>
        <v>0</v>
      </c>
      <c r="W360" s="31">
        <f>SUMIFS(METALFISA!$E:$E,METALFISA!$A:$A,'Faltantes Fevereiro- Metalfisa'!W$3,METALFISA!$B:$B,'Faltantes Fevereiro- Metalfisa'!$A360)</f>
        <v>0</v>
      </c>
      <c r="X360" s="31">
        <f>SUMIFS(METALFISA!$E:$E,METALFISA!$A:$A,'Faltantes Fevereiro- Metalfisa'!X$3,METALFISA!$B:$B,'Faltantes Fevereiro- Metalfisa'!$A360)</f>
        <v>0</v>
      </c>
      <c r="Y360" s="31">
        <f>SUMIFS(METALFISA!$E:$E,METALFISA!$A:$A,'Faltantes Fevereiro- Metalfisa'!Y$3,METALFISA!$B:$B,'Faltantes Fevereiro- Metalfisa'!$A360)</f>
        <v>0</v>
      </c>
      <c r="Z360" s="31">
        <f>SUMIFS(METALFISA!$E:$E,METALFISA!$A:$A,'Faltantes Fevereiro- Metalfisa'!Z$3,METALFISA!$B:$B,'Faltantes Fevereiro- Metalfisa'!$A360)</f>
        <v>0</v>
      </c>
      <c r="AA360" s="31">
        <f>SUMIFS(METALFISA!$E:$E,METALFISA!$A:$A,'Faltantes Fevereiro- Metalfisa'!AA$3,METALFISA!$B:$B,'Faltantes Fevereiro- Metalfisa'!$A360)</f>
        <v>0</v>
      </c>
      <c r="AB360" s="31">
        <f>SUMIFS(METALFISA!$E:$E,METALFISA!$A:$A,'Faltantes Fevereiro- Metalfisa'!AB$3,METALFISA!$B:$B,'Faltantes Fevereiro- Metalfisa'!$A360)</f>
        <v>0</v>
      </c>
      <c r="AC360" s="31">
        <f>SUMIFS(METALFISA!$E:$E,METALFISA!$A:$A,'Faltantes Fevereiro- Metalfisa'!AC$3,METALFISA!$B:$B,'Faltantes Fevereiro- Metalfisa'!$A360)</f>
        <v>0</v>
      </c>
      <c r="AD360" s="31">
        <f>SUMIFS(METALFISA!$E:$E,METALFISA!$A:$A,'Faltantes Fevereiro- Metalfisa'!AD$3,METALFISA!$B:$B,'Faltantes Fevereiro- Metalfisa'!$A360)</f>
        <v>0</v>
      </c>
      <c r="AE360" s="31">
        <f>SUMIFS(METALFISA!$E:$E,METALFISA!$A:$A,'Faltantes Fevereiro- Metalfisa'!AE$3,METALFISA!$B:$B,'Faltantes Fevereiro- Metalfisa'!$A360)</f>
        <v>2</v>
      </c>
      <c r="AF360" s="31">
        <f>SUMIFS(METALFISA!$E:$E,METALFISA!$A:$A,'Faltantes Fevereiro- Metalfisa'!AF$3,METALFISA!$B:$B,'Faltantes Fevereiro- Metalfisa'!$A360)</f>
        <v>0</v>
      </c>
      <c r="AG360" s="31">
        <f>SUMIFS(METALFISA!$E:$E,METALFISA!$A:$A,'Faltantes Fevereiro- Metalfisa'!AG$3,METALFISA!$B:$B,'Faltantes Fevereiro- Metalfisa'!$A360)</f>
        <v>0</v>
      </c>
      <c r="AH360" s="31">
        <f>SUMIFS(METALFISA!$E:$E,METALFISA!$A:$A,'Faltantes Fevereiro- Metalfisa'!AH$3,METALFISA!$B:$B,'Faltantes Fevereiro- Metalfisa'!$A360)</f>
        <v>0</v>
      </c>
      <c r="AI360" s="31">
        <f>SUMIFS(METALFISA!$E:$E,METALFISA!$A:$A,'Faltantes Fevereiro- Metalfisa'!AI$3,METALFISA!$B:$B,'Faltantes Fevereiro- Metalfisa'!$A360)</f>
        <v>0</v>
      </c>
      <c r="AJ360" s="31">
        <f>SUMIFS(METALFISA!$E:$E,METALFISA!$A:$A,'Faltantes Fevereiro- Metalfisa'!AJ$3,METALFISA!$B:$B,'Faltantes Fevereiro- Metalfisa'!$A360)</f>
        <v>0</v>
      </c>
      <c r="AK360" s="31">
        <f>SUMIFS(METALFISA!$E:$E,METALFISA!$A:$A,'Faltantes Fevereiro- Metalfisa'!AK$3,METALFISA!$B:$B,'Faltantes Fevereiro- Metalfisa'!$A360)</f>
        <v>0</v>
      </c>
      <c r="AL360" s="31">
        <f>SUMIFS(METALFISA!$E:$E,METALFISA!$A:$A,'Faltantes Fevereiro- Metalfisa'!AL$3,METALFISA!$B:$B,'Faltantes Fevereiro- Metalfisa'!$A360)</f>
        <v>0</v>
      </c>
      <c r="AM360" s="31">
        <f>SUMIFS(METALFISA!$E:$E,METALFISA!$A:$A,'Faltantes Fevereiro- Metalfisa'!AM$3,METALFISA!$B:$B,'Faltantes Fevereiro- Metalfisa'!$A360)</f>
        <v>0</v>
      </c>
      <c r="AN360" s="31">
        <f>SUMIFS(METALFISA!$E:$E,METALFISA!$A:$A,'Faltantes Fevereiro- Metalfisa'!AN$3,METALFISA!$B:$B,'Faltantes Fevereiro- Metalfisa'!$A360)</f>
        <v>0</v>
      </c>
      <c r="AO360" s="31">
        <f>SUMIFS(METALFISA!$E:$E,METALFISA!$A:$A,'Faltantes Fevereiro- Metalfisa'!AO$3,METALFISA!$B:$B,'Faltantes Fevereiro- Metalfisa'!$A360)</f>
        <v>0</v>
      </c>
      <c r="AP360" s="31">
        <f>SUMIFS(METALFISA!$E:$E,METALFISA!$A:$A,'Faltantes Fevereiro- Metalfisa'!AP$3,METALFISA!$B:$B,'Faltantes Fevereiro- Metalfisa'!$A360)</f>
        <v>0</v>
      </c>
      <c r="AQ360" s="31"/>
      <c r="AR360" s="31"/>
      <c r="AS360" s="35"/>
      <c r="AY360" s="41">
        <v>0</v>
      </c>
      <c r="AZ360" s="31">
        <v>0</v>
      </c>
      <c r="BA360" s="31">
        <v>0</v>
      </c>
      <c r="BB360" s="31">
        <v>0</v>
      </c>
      <c r="BC360" s="31">
        <v>0</v>
      </c>
      <c r="BD360" s="31">
        <v>0</v>
      </c>
      <c r="BE360" s="31">
        <v>0</v>
      </c>
      <c r="BF360" s="31">
        <v>0</v>
      </c>
      <c r="BG360" s="31">
        <v>0</v>
      </c>
      <c r="BH360" s="31">
        <v>0</v>
      </c>
      <c r="BI360" s="31">
        <v>0</v>
      </c>
      <c r="BJ360" s="31">
        <v>0</v>
      </c>
      <c r="BK360" s="31">
        <v>0</v>
      </c>
      <c r="BL360" s="31">
        <v>0</v>
      </c>
      <c r="BM360" s="31">
        <v>0</v>
      </c>
      <c r="BN360" s="31">
        <v>1</v>
      </c>
      <c r="BO360" s="31">
        <v>1</v>
      </c>
      <c r="BP360" s="31">
        <v>0</v>
      </c>
      <c r="BQ360" s="31">
        <v>0</v>
      </c>
      <c r="BR360" s="31">
        <v>0</v>
      </c>
      <c r="BS360" s="31">
        <v>0</v>
      </c>
      <c r="BT360" s="31">
        <v>0</v>
      </c>
      <c r="BU360" s="31">
        <v>0</v>
      </c>
      <c r="BV360" s="31">
        <v>0</v>
      </c>
      <c r="BW360" s="31">
        <v>0</v>
      </c>
      <c r="BX360" s="31">
        <v>0</v>
      </c>
      <c r="BY360" s="31">
        <v>0</v>
      </c>
      <c r="BZ360" s="31">
        <v>0</v>
      </c>
      <c r="CA360" s="31">
        <v>0</v>
      </c>
      <c r="CB360" s="31">
        <v>0</v>
      </c>
      <c r="CC360" s="31">
        <v>0</v>
      </c>
      <c r="CD360" s="31">
        <v>0</v>
      </c>
      <c r="CE360" s="31">
        <v>0</v>
      </c>
      <c r="CF360" s="31">
        <v>0</v>
      </c>
      <c r="CG360" s="31">
        <v>0</v>
      </c>
      <c r="CH360" s="31">
        <v>0</v>
      </c>
      <c r="CI360" s="31">
        <v>0</v>
      </c>
      <c r="CJ360" s="31">
        <v>0</v>
      </c>
      <c r="CK360" s="31">
        <v>0</v>
      </c>
      <c r="CL360" s="35">
        <v>0</v>
      </c>
    </row>
    <row r="361" spans="1:90" ht="21" x14ac:dyDescent="0.15">
      <c r="A361" s="31" t="s">
        <v>1841</v>
      </c>
      <c r="B361" s="30" t="s">
        <v>1842</v>
      </c>
      <c r="C361" s="28">
        <v>17</v>
      </c>
      <c r="D361" s="28">
        <v>0</v>
      </c>
      <c r="E361" s="28">
        <v>0</v>
      </c>
      <c r="F361" s="28">
        <v>0</v>
      </c>
      <c r="G361" s="28">
        <v>48</v>
      </c>
      <c r="H361" s="28">
        <f>IFERROR(VLOOKUP(A361,[1]FALTANTES!$A:$AB,28,FALSE),"-")</f>
        <v>17</v>
      </c>
      <c r="I361" s="42">
        <f>IFERROR(VLOOKUP(A361,[1]FALTANTES!$A:$AC,29,FALSE),"-")</f>
        <v>0</v>
      </c>
      <c r="J361" s="29">
        <f>IFERROR(VLOOKUP(A361,[1]FALTANTES!$A:$AD,30,FALSE),"-")</f>
        <v>-65</v>
      </c>
      <c r="K361" s="30">
        <v>0</v>
      </c>
      <c r="L361" s="30">
        <f t="shared" si="7"/>
        <v>62</v>
      </c>
      <c r="M361" s="31">
        <f>SUMIFS(METALFISA!$E:$E,METALFISA!$A:$A,'Faltantes Fevereiro- Metalfisa'!M$3,METALFISA!$B:$B,'Faltantes Fevereiro- Metalfisa'!$A361)</f>
        <v>0</v>
      </c>
      <c r="N361" s="31">
        <f>SUMIFS(METALFISA!$E:$E,METALFISA!$A:$A,'Faltantes Fevereiro- Metalfisa'!N$3,METALFISA!$B:$B,'Faltantes Fevereiro- Metalfisa'!$A361)</f>
        <v>0</v>
      </c>
      <c r="O361" s="31">
        <f>SUMIFS(METALFISA!$E:$E,METALFISA!$A:$A,'Faltantes Fevereiro- Metalfisa'!O$3,METALFISA!$B:$B,'Faltantes Fevereiro- Metalfisa'!$A361)</f>
        <v>0</v>
      </c>
      <c r="P361" s="31">
        <f>SUMIFS(METALFISA!$E:$E,METALFISA!$A:$A,'Faltantes Fevereiro- Metalfisa'!P$3,METALFISA!$B:$B,'Faltantes Fevereiro- Metalfisa'!$A361)</f>
        <v>0</v>
      </c>
      <c r="Q361" s="31">
        <f>SUMIFS(METALFISA!$E:$E,METALFISA!$A:$A,'Faltantes Fevereiro- Metalfisa'!Q$3,METALFISA!$B:$B,'Faltantes Fevereiro- Metalfisa'!$A361)</f>
        <v>0</v>
      </c>
      <c r="R361" s="31">
        <f>SUMIFS(METALFISA!$E:$E,METALFISA!$A:$A,'Faltantes Fevereiro- Metalfisa'!R$3,METALFISA!$B:$B,'Faltantes Fevereiro- Metalfisa'!$A361)</f>
        <v>0</v>
      </c>
      <c r="S361" s="31">
        <f>SUMIFS(METALFISA!$E:$E,METALFISA!$A:$A,'Faltantes Fevereiro- Metalfisa'!S$3,METALFISA!$B:$B,'Faltantes Fevereiro- Metalfisa'!$A361)</f>
        <v>0</v>
      </c>
      <c r="T361" s="31">
        <f>SUMIFS(METALFISA!$E:$E,METALFISA!$A:$A,'Faltantes Fevereiro- Metalfisa'!T$3,METALFISA!$B:$B,'Faltantes Fevereiro- Metalfisa'!$A361)</f>
        <v>0</v>
      </c>
      <c r="U361" s="31">
        <f>SUMIFS(METALFISA!$E:$E,METALFISA!$A:$A,'Faltantes Fevereiro- Metalfisa'!U$3,METALFISA!$B:$B,'Faltantes Fevereiro- Metalfisa'!$A361)</f>
        <v>0</v>
      </c>
      <c r="V361" s="31">
        <f>SUMIFS(METALFISA!$E:$E,METALFISA!$A:$A,'Faltantes Fevereiro- Metalfisa'!V$3,METALFISA!$B:$B,'Faltantes Fevereiro- Metalfisa'!$A361)</f>
        <v>0</v>
      </c>
      <c r="W361" s="31">
        <f>SUMIFS(METALFISA!$E:$E,METALFISA!$A:$A,'Faltantes Fevereiro- Metalfisa'!W$3,METALFISA!$B:$B,'Faltantes Fevereiro- Metalfisa'!$A361)</f>
        <v>0</v>
      </c>
      <c r="X361" s="31">
        <f>SUMIFS(METALFISA!$E:$E,METALFISA!$A:$A,'Faltantes Fevereiro- Metalfisa'!X$3,METALFISA!$B:$B,'Faltantes Fevereiro- Metalfisa'!$A361)</f>
        <v>0</v>
      </c>
      <c r="Y361" s="31">
        <f>SUMIFS(METALFISA!$E:$E,METALFISA!$A:$A,'Faltantes Fevereiro- Metalfisa'!Y$3,METALFISA!$B:$B,'Faltantes Fevereiro- Metalfisa'!$A361)</f>
        <v>0</v>
      </c>
      <c r="Z361" s="31">
        <f>SUMIFS(METALFISA!$E:$E,METALFISA!$A:$A,'Faltantes Fevereiro- Metalfisa'!Z$3,METALFISA!$B:$B,'Faltantes Fevereiro- Metalfisa'!$A361)</f>
        <v>0</v>
      </c>
      <c r="AA361" s="31">
        <f>SUMIFS(METALFISA!$E:$E,METALFISA!$A:$A,'Faltantes Fevereiro- Metalfisa'!AA$3,METALFISA!$B:$B,'Faltantes Fevereiro- Metalfisa'!$A361)</f>
        <v>0</v>
      </c>
      <c r="AB361" s="31">
        <f>SUMIFS(METALFISA!$E:$E,METALFISA!$A:$A,'Faltantes Fevereiro- Metalfisa'!AB$3,METALFISA!$B:$B,'Faltantes Fevereiro- Metalfisa'!$A361)</f>
        <v>0</v>
      </c>
      <c r="AC361" s="31">
        <f>SUMIFS(METALFISA!$E:$E,METALFISA!$A:$A,'Faltantes Fevereiro- Metalfisa'!AC$3,METALFISA!$B:$B,'Faltantes Fevereiro- Metalfisa'!$A361)</f>
        <v>0</v>
      </c>
      <c r="AD361" s="31">
        <f>SUMIFS(METALFISA!$E:$E,METALFISA!$A:$A,'Faltantes Fevereiro- Metalfisa'!AD$3,METALFISA!$B:$B,'Faltantes Fevereiro- Metalfisa'!$A361)</f>
        <v>0</v>
      </c>
      <c r="AE361" s="31">
        <f>SUMIFS(METALFISA!$E:$E,METALFISA!$A:$A,'Faltantes Fevereiro- Metalfisa'!AE$3,METALFISA!$B:$B,'Faltantes Fevereiro- Metalfisa'!$A361)</f>
        <v>0</v>
      </c>
      <c r="AF361" s="31">
        <f>SUMIFS(METALFISA!$E:$E,METALFISA!$A:$A,'Faltantes Fevereiro- Metalfisa'!AF$3,METALFISA!$B:$B,'Faltantes Fevereiro- Metalfisa'!$A361)</f>
        <v>0</v>
      </c>
      <c r="AG361" s="31">
        <f>SUMIFS(METALFISA!$E:$E,METALFISA!$A:$A,'Faltantes Fevereiro- Metalfisa'!AG$3,METALFISA!$B:$B,'Faltantes Fevereiro- Metalfisa'!$A361)</f>
        <v>0</v>
      </c>
      <c r="AH361" s="31">
        <f>SUMIFS(METALFISA!$E:$E,METALFISA!$A:$A,'Faltantes Fevereiro- Metalfisa'!AH$3,METALFISA!$B:$B,'Faltantes Fevereiro- Metalfisa'!$A361)</f>
        <v>62</v>
      </c>
      <c r="AI361" s="31">
        <f>SUMIFS(METALFISA!$E:$E,METALFISA!$A:$A,'Faltantes Fevereiro- Metalfisa'!AI$3,METALFISA!$B:$B,'Faltantes Fevereiro- Metalfisa'!$A361)</f>
        <v>0</v>
      </c>
      <c r="AJ361" s="31">
        <f>SUMIFS(METALFISA!$E:$E,METALFISA!$A:$A,'Faltantes Fevereiro- Metalfisa'!AJ$3,METALFISA!$B:$B,'Faltantes Fevereiro- Metalfisa'!$A361)</f>
        <v>0</v>
      </c>
      <c r="AK361" s="31">
        <f>SUMIFS(METALFISA!$E:$E,METALFISA!$A:$A,'Faltantes Fevereiro- Metalfisa'!AK$3,METALFISA!$B:$B,'Faltantes Fevereiro- Metalfisa'!$A361)</f>
        <v>0</v>
      </c>
      <c r="AL361" s="31">
        <f>SUMIFS(METALFISA!$E:$E,METALFISA!$A:$A,'Faltantes Fevereiro- Metalfisa'!AL$3,METALFISA!$B:$B,'Faltantes Fevereiro- Metalfisa'!$A361)</f>
        <v>0</v>
      </c>
      <c r="AM361" s="31">
        <f>SUMIFS(METALFISA!$E:$E,METALFISA!$A:$A,'Faltantes Fevereiro- Metalfisa'!AM$3,METALFISA!$B:$B,'Faltantes Fevereiro- Metalfisa'!$A361)</f>
        <v>0</v>
      </c>
      <c r="AN361" s="31">
        <f>SUMIFS(METALFISA!$E:$E,METALFISA!$A:$A,'Faltantes Fevereiro- Metalfisa'!AN$3,METALFISA!$B:$B,'Faltantes Fevereiro- Metalfisa'!$A361)</f>
        <v>0</v>
      </c>
      <c r="AO361" s="31">
        <f>SUMIFS(METALFISA!$E:$E,METALFISA!$A:$A,'Faltantes Fevereiro- Metalfisa'!AO$3,METALFISA!$B:$B,'Faltantes Fevereiro- Metalfisa'!$A361)</f>
        <v>0</v>
      </c>
      <c r="AP361" s="31">
        <f>SUMIFS(METALFISA!$E:$E,METALFISA!$A:$A,'Faltantes Fevereiro- Metalfisa'!AP$3,METALFISA!$B:$B,'Faltantes Fevereiro- Metalfisa'!$A361)</f>
        <v>0</v>
      </c>
      <c r="AQ361" s="31"/>
      <c r="AR361" s="31"/>
      <c r="AS361" s="35"/>
      <c r="AY361" s="41">
        <v>2</v>
      </c>
      <c r="AZ361" s="31">
        <v>0</v>
      </c>
      <c r="BA361" s="31">
        <v>0</v>
      </c>
      <c r="BB361" s="31">
        <v>0</v>
      </c>
      <c r="BC361" s="31">
        <v>0</v>
      </c>
      <c r="BD361" s="31">
        <v>0</v>
      </c>
      <c r="BE361" s="31">
        <v>0</v>
      </c>
      <c r="BF361" s="31">
        <v>0</v>
      </c>
      <c r="BG361" s="31">
        <v>0</v>
      </c>
      <c r="BH361" s="31">
        <v>0</v>
      </c>
      <c r="BI361" s="31">
        <v>0</v>
      </c>
      <c r="BJ361" s="31">
        <v>0</v>
      </c>
      <c r="BK361" s="31">
        <v>0</v>
      </c>
      <c r="BL361" s="31">
        <v>0</v>
      </c>
      <c r="BM361" s="31">
        <v>0</v>
      </c>
      <c r="BN361" s="31">
        <v>0</v>
      </c>
      <c r="BO361" s="31">
        <v>0</v>
      </c>
      <c r="BP361" s="31">
        <v>0</v>
      </c>
      <c r="BQ361" s="31">
        <v>0</v>
      </c>
      <c r="BR361" s="31">
        <v>0</v>
      </c>
      <c r="BS361" s="31">
        <v>0</v>
      </c>
      <c r="BT361" s="31">
        <v>0</v>
      </c>
      <c r="BU361" s="31">
        <v>0</v>
      </c>
      <c r="BV361" s="31">
        <v>0</v>
      </c>
      <c r="BW361" s="31">
        <v>0</v>
      </c>
      <c r="BX361" s="31">
        <v>0</v>
      </c>
      <c r="BY361" s="31">
        <v>0</v>
      </c>
      <c r="BZ361" s="31">
        <v>0</v>
      </c>
      <c r="CA361" s="31">
        <v>0</v>
      </c>
      <c r="CB361" s="31">
        <v>0</v>
      </c>
      <c r="CC361" s="31">
        <v>0</v>
      </c>
      <c r="CD361" s="31">
        <v>0</v>
      </c>
      <c r="CE361" s="31">
        <v>0</v>
      </c>
      <c r="CF361" s="31">
        <v>0</v>
      </c>
      <c r="CG361" s="31">
        <v>0</v>
      </c>
      <c r="CH361" s="31">
        <v>0</v>
      </c>
      <c r="CI361" s="31">
        <v>0</v>
      </c>
      <c r="CJ361" s="31">
        <v>0</v>
      </c>
      <c r="CK361" s="31">
        <v>0</v>
      </c>
      <c r="CL361" s="35">
        <v>0</v>
      </c>
    </row>
    <row r="362" spans="1:90" ht="21" x14ac:dyDescent="0.15">
      <c r="A362" s="31" t="s">
        <v>1843</v>
      </c>
      <c r="B362" s="30" t="s">
        <v>1844</v>
      </c>
      <c r="C362" s="28">
        <v>12</v>
      </c>
      <c r="D362" s="28">
        <v>0</v>
      </c>
      <c r="E362" s="28">
        <v>0</v>
      </c>
      <c r="F362" s="28">
        <v>0</v>
      </c>
      <c r="G362" s="28">
        <v>48</v>
      </c>
      <c r="H362" s="28">
        <f>IFERROR(VLOOKUP(A362,[1]FALTANTES!$A:$AB,28,FALSE),"-")</f>
        <v>12</v>
      </c>
      <c r="I362" s="42">
        <f>IFERROR(VLOOKUP(A362,[1]FALTANTES!$A:$AC,29,FALSE),"-")</f>
        <v>0</v>
      </c>
      <c r="J362" s="29">
        <f>IFERROR(VLOOKUP(A362,[1]FALTANTES!$A:$AD,30,FALSE),"-")</f>
        <v>-60</v>
      </c>
      <c r="K362" s="30">
        <v>0</v>
      </c>
      <c r="L362" s="30">
        <f t="shared" si="7"/>
        <v>62</v>
      </c>
      <c r="M362" s="31">
        <f>SUMIFS(METALFISA!$E:$E,METALFISA!$A:$A,'Faltantes Fevereiro- Metalfisa'!M$3,METALFISA!$B:$B,'Faltantes Fevereiro- Metalfisa'!$A362)</f>
        <v>0</v>
      </c>
      <c r="N362" s="31">
        <f>SUMIFS(METALFISA!$E:$E,METALFISA!$A:$A,'Faltantes Fevereiro- Metalfisa'!N$3,METALFISA!$B:$B,'Faltantes Fevereiro- Metalfisa'!$A362)</f>
        <v>0</v>
      </c>
      <c r="O362" s="31">
        <f>SUMIFS(METALFISA!$E:$E,METALFISA!$A:$A,'Faltantes Fevereiro- Metalfisa'!O$3,METALFISA!$B:$B,'Faltantes Fevereiro- Metalfisa'!$A362)</f>
        <v>0</v>
      </c>
      <c r="P362" s="31">
        <f>SUMIFS(METALFISA!$E:$E,METALFISA!$A:$A,'Faltantes Fevereiro- Metalfisa'!P$3,METALFISA!$B:$B,'Faltantes Fevereiro- Metalfisa'!$A362)</f>
        <v>0</v>
      </c>
      <c r="Q362" s="31">
        <f>SUMIFS(METALFISA!$E:$E,METALFISA!$A:$A,'Faltantes Fevereiro- Metalfisa'!Q$3,METALFISA!$B:$B,'Faltantes Fevereiro- Metalfisa'!$A362)</f>
        <v>0</v>
      </c>
      <c r="R362" s="31">
        <f>SUMIFS(METALFISA!$E:$E,METALFISA!$A:$A,'Faltantes Fevereiro- Metalfisa'!R$3,METALFISA!$B:$B,'Faltantes Fevereiro- Metalfisa'!$A362)</f>
        <v>0</v>
      </c>
      <c r="S362" s="31">
        <f>SUMIFS(METALFISA!$E:$E,METALFISA!$A:$A,'Faltantes Fevereiro- Metalfisa'!S$3,METALFISA!$B:$B,'Faltantes Fevereiro- Metalfisa'!$A362)</f>
        <v>0</v>
      </c>
      <c r="T362" s="31">
        <f>SUMIFS(METALFISA!$E:$E,METALFISA!$A:$A,'Faltantes Fevereiro- Metalfisa'!T$3,METALFISA!$B:$B,'Faltantes Fevereiro- Metalfisa'!$A362)</f>
        <v>0</v>
      </c>
      <c r="U362" s="31">
        <f>SUMIFS(METALFISA!$E:$E,METALFISA!$A:$A,'Faltantes Fevereiro- Metalfisa'!U$3,METALFISA!$B:$B,'Faltantes Fevereiro- Metalfisa'!$A362)</f>
        <v>0</v>
      </c>
      <c r="V362" s="31">
        <f>SUMIFS(METALFISA!$E:$E,METALFISA!$A:$A,'Faltantes Fevereiro- Metalfisa'!V$3,METALFISA!$B:$B,'Faltantes Fevereiro- Metalfisa'!$A362)</f>
        <v>0</v>
      </c>
      <c r="W362" s="31">
        <f>SUMIFS(METALFISA!$E:$E,METALFISA!$A:$A,'Faltantes Fevereiro- Metalfisa'!W$3,METALFISA!$B:$B,'Faltantes Fevereiro- Metalfisa'!$A362)</f>
        <v>0</v>
      </c>
      <c r="X362" s="31">
        <f>SUMIFS(METALFISA!$E:$E,METALFISA!$A:$A,'Faltantes Fevereiro- Metalfisa'!X$3,METALFISA!$B:$B,'Faltantes Fevereiro- Metalfisa'!$A362)</f>
        <v>0</v>
      </c>
      <c r="Y362" s="31">
        <f>SUMIFS(METALFISA!$E:$E,METALFISA!$A:$A,'Faltantes Fevereiro- Metalfisa'!Y$3,METALFISA!$B:$B,'Faltantes Fevereiro- Metalfisa'!$A362)</f>
        <v>0</v>
      </c>
      <c r="Z362" s="31">
        <f>SUMIFS(METALFISA!$E:$E,METALFISA!$A:$A,'Faltantes Fevereiro- Metalfisa'!Z$3,METALFISA!$B:$B,'Faltantes Fevereiro- Metalfisa'!$A362)</f>
        <v>0</v>
      </c>
      <c r="AA362" s="31">
        <f>SUMIFS(METALFISA!$E:$E,METALFISA!$A:$A,'Faltantes Fevereiro- Metalfisa'!AA$3,METALFISA!$B:$B,'Faltantes Fevereiro- Metalfisa'!$A362)</f>
        <v>0</v>
      </c>
      <c r="AB362" s="31">
        <f>SUMIFS(METALFISA!$E:$E,METALFISA!$A:$A,'Faltantes Fevereiro- Metalfisa'!AB$3,METALFISA!$B:$B,'Faltantes Fevereiro- Metalfisa'!$A362)</f>
        <v>0</v>
      </c>
      <c r="AC362" s="31">
        <f>SUMIFS(METALFISA!$E:$E,METALFISA!$A:$A,'Faltantes Fevereiro- Metalfisa'!AC$3,METALFISA!$B:$B,'Faltantes Fevereiro- Metalfisa'!$A362)</f>
        <v>0</v>
      </c>
      <c r="AD362" s="31">
        <f>SUMIFS(METALFISA!$E:$E,METALFISA!$A:$A,'Faltantes Fevereiro- Metalfisa'!AD$3,METALFISA!$B:$B,'Faltantes Fevereiro- Metalfisa'!$A362)</f>
        <v>0</v>
      </c>
      <c r="AE362" s="31">
        <f>SUMIFS(METALFISA!$E:$E,METALFISA!$A:$A,'Faltantes Fevereiro- Metalfisa'!AE$3,METALFISA!$B:$B,'Faltantes Fevereiro- Metalfisa'!$A362)</f>
        <v>0</v>
      </c>
      <c r="AF362" s="31">
        <f>SUMIFS(METALFISA!$E:$E,METALFISA!$A:$A,'Faltantes Fevereiro- Metalfisa'!AF$3,METALFISA!$B:$B,'Faltantes Fevereiro- Metalfisa'!$A362)</f>
        <v>0</v>
      </c>
      <c r="AG362" s="31">
        <f>SUMIFS(METALFISA!$E:$E,METALFISA!$A:$A,'Faltantes Fevereiro- Metalfisa'!AG$3,METALFISA!$B:$B,'Faltantes Fevereiro- Metalfisa'!$A362)</f>
        <v>0</v>
      </c>
      <c r="AH362" s="31">
        <f>SUMIFS(METALFISA!$E:$E,METALFISA!$A:$A,'Faltantes Fevereiro- Metalfisa'!AH$3,METALFISA!$B:$B,'Faltantes Fevereiro- Metalfisa'!$A362)</f>
        <v>62</v>
      </c>
      <c r="AI362" s="31">
        <f>SUMIFS(METALFISA!$E:$E,METALFISA!$A:$A,'Faltantes Fevereiro- Metalfisa'!AI$3,METALFISA!$B:$B,'Faltantes Fevereiro- Metalfisa'!$A362)</f>
        <v>0</v>
      </c>
      <c r="AJ362" s="31">
        <f>SUMIFS(METALFISA!$E:$E,METALFISA!$A:$A,'Faltantes Fevereiro- Metalfisa'!AJ$3,METALFISA!$B:$B,'Faltantes Fevereiro- Metalfisa'!$A362)</f>
        <v>0</v>
      </c>
      <c r="AK362" s="31">
        <f>SUMIFS(METALFISA!$E:$E,METALFISA!$A:$A,'Faltantes Fevereiro- Metalfisa'!AK$3,METALFISA!$B:$B,'Faltantes Fevereiro- Metalfisa'!$A362)</f>
        <v>0</v>
      </c>
      <c r="AL362" s="31">
        <f>SUMIFS(METALFISA!$E:$E,METALFISA!$A:$A,'Faltantes Fevereiro- Metalfisa'!AL$3,METALFISA!$B:$B,'Faltantes Fevereiro- Metalfisa'!$A362)</f>
        <v>0</v>
      </c>
      <c r="AM362" s="31">
        <f>SUMIFS(METALFISA!$E:$E,METALFISA!$A:$A,'Faltantes Fevereiro- Metalfisa'!AM$3,METALFISA!$B:$B,'Faltantes Fevereiro- Metalfisa'!$A362)</f>
        <v>0</v>
      </c>
      <c r="AN362" s="31">
        <f>SUMIFS(METALFISA!$E:$E,METALFISA!$A:$A,'Faltantes Fevereiro- Metalfisa'!AN$3,METALFISA!$B:$B,'Faltantes Fevereiro- Metalfisa'!$A362)</f>
        <v>0</v>
      </c>
      <c r="AO362" s="31">
        <f>SUMIFS(METALFISA!$E:$E,METALFISA!$A:$A,'Faltantes Fevereiro- Metalfisa'!AO$3,METALFISA!$B:$B,'Faltantes Fevereiro- Metalfisa'!$A362)</f>
        <v>0</v>
      </c>
      <c r="AP362" s="31">
        <f>SUMIFS(METALFISA!$E:$E,METALFISA!$A:$A,'Faltantes Fevereiro- Metalfisa'!AP$3,METALFISA!$B:$B,'Faltantes Fevereiro- Metalfisa'!$A362)</f>
        <v>0</v>
      </c>
      <c r="AQ362" s="31"/>
      <c r="AR362" s="31"/>
      <c r="AS362" s="35"/>
      <c r="AY362" s="41">
        <v>2</v>
      </c>
      <c r="AZ362" s="31">
        <v>0</v>
      </c>
      <c r="BA362" s="31">
        <v>0</v>
      </c>
      <c r="BB362" s="31">
        <v>0</v>
      </c>
      <c r="BC362" s="31">
        <v>0</v>
      </c>
      <c r="BD362" s="31">
        <v>0</v>
      </c>
      <c r="BE362" s="31">
        <v>0</v>
      </c>
      <c r="BF362" s="31">
        <v>0</v>
      </c>
      <c r="BG362" s="31">
        <v>0</v>
      </c>
      <c r="BH362" s="31">
        <v>0</v>
      </c>
      <c r="BI362" s="31">
        <v>0</v>
      </c>
      <c r="BJ362" s="31">
        <v>0</v>
      </c>
      <c r="BK362" s="31">
        <v>0</v>
      </c>
      <c r="BL362" s="31">
        <v>0</v>
      </c>
      <c r="BM362" s="31">
        <v>0</v>
      </c>
      <c r="BN362" s="31">
        <v>0</v>
      </c>
      <c r="BO362" s="31">
        <v>0</v>
      </c>
      <c r="BP362" s="31">
        <v>0</v>
      </c>
      <c r="BQ362" s="31">
        <v>0</v>
      </c>
      <c r="BR362" s="31">
        <v>0</v>
      </c>
      <c r="BS362" s="31">
        <v>0</v>
      </c>
      <c r="BT362" s="31">
        <v>0</v>
      </c>
      <c r="BU362" s="31">
        <v>0</v>
      </c>
      <c r="BV362" s="31">
        <v>0</v>
      </c>
      <c r="BW362" s="31">
        <v>0</v>
      </c>
      <c r="BX362" s="31">
        <v>0</v>
      </c>
      <c r="BY362" s="31">
        <v>0</v>
      </c>
      <c r="BZ362" s="31">
        <v>0</v>
      </c>
      <c r="CA362" s="31">
        <v>0</v>
      </c>
      <c r="CB362" s="31">
        <v>0</v>
      </c>
      <c r="CC362" s="31">
        <v>0</v>
      </c>
      <c r="CD362" s="31">
        <v>0</v>
      </c>
      <c r="CE362" s="31">
        <v>0</v>
      </c>
      <c r="CF362" s="31">
        <v>0</v>
      </c>
      <c r="CG362" s="31">
        <v>0</v>
      </c>
      <c r="CH362" s="31">
        <v>0</v>
      </c>
      <c r="CI362" s="31">
        <v>0</v>
      </c>
      <c r="CJ362" s="31">
        <v>0</v>
      </c>
      <c r="CK362" s="31">
        <v>0</v>
      </c>
      <c r="CL362" s="35">
        <v>0</v>
      </c>
    </row>
    <row r="363" spans="1:90" x14ac:dyDescent="0.15">
      <c r="A363" s="31" t="s">
        <v>822</v>
      </c>
      <c r="B363" s="30" t="s">
        <v>823</v>
      </c>
      <c r="C363" s="28">
        <v>430</v>
      </c>
      <c r="D363" s="28">
        <v>44</v>
      </c>
      <c r="E363" s="28">
        <v>0</v>
      </c>
      <c r="F363" s="28">
        <v>0</v>
      </c>
      <c r="G363" s="28">
        <v>1276</v>
      </c>
      <c r="H363" s="28">
        <f>IFERROR(VLOOKUP(A363,[1]FALTANTES!$A:$AB,28,FALSE),"-")</f>
        <v>0</v>
      </c>
      <c r="I363" s="42">
        <f>IFERROR(VLOOKUP(A363,[1]FALTANTES!$A:$AC,29,FALSE),"-")</f>
        <v>735</v>
      </c>
      <c r="J363" s="29">
        <f>IFERROR(VLOOKUP(A363,[1]FALTANTES!$A:$AD,30,FALSE),"-")</f>
        <v>-1015</v>
      </c>
      <c r="K363" s="30">
        <v>0</v>
      </c>
      <c r="L363" s="30">
        <f t="shared" si="7"/>
        <v>1015</v>
      </c>
      <c r="M363" s="31">
        <f>SUMIFS(METALFISA!$E:$E,METALFISA!$A:$A,'Faltantes Fevereiro- Metalfisa'!M$3,METALFISA!$B:$B,'Faltantes Fevereiro- Metalfisa'!$A363)</f>
        <v>0</v>
      </c>
      <c r="N363" s="31">
        <f>SUMIFS(METALFISA!$E:$E,METALFISA!$A:$A,'Faltantes Fevereiro- Metalfisa'!N$3,METALFISA!$B:$B,'Faltantes Fevereiro- Metalfisa'!$A363)</f>
        <v>0</v>
      </c>
      <c r="O363" s="31">
        <f>SUMIFS(METALFISA!$E:$E,METALFISA!$A:$A,'Faltantes Fevereiro- Metalfisa'!O$3,METALFISA!$B:$B,'Faltantes Fevereiro- Metalfisa'!$A363)</f>
        <v>0</v>
      </c>
      <c r="P363" s="31">
        <f>SUMIFS(METALFISA!$E:$E,METALFISA!$A:$A,'Faltantes Fevereiro- Metalfisa'!P$3,METALFISA!$B:$B,'Faltantes Fevereiro- Metalfisa'!$A363)</f>
        <v>0</v>
      </c>
      <c r="Q363" s="31">
        <f>SUMIFS(METALFISA!$E:$E,METALFISA!$A:$A,'Faltantes Fevereiro- Metalfisa'!Q$3,METALFISA!$B:$B,'Faltantes Fevereiro- Metalfisa'!$A363)</f>
        <v>0</v>
      </c>
      <c r="R363" s="31">
        <f>SUMIFS(METALFISA!$E:$E,METALFISA!$A:$A,'Faltantes Fevereiro- Metalfisa'!R$3,METALFISA!$B:$B,'Faltantes Fevereiro- Metalfisa'!$A363)</f>
        <v>0</v>
      </c>
      <c r="S363" s="31">
        <f>SUMIFS(METALFISA!$E:$E,METALFISA!$A:$A,'Faltantes Fevereiro- Metalfisa'!S$3,METALFISA!$B:$B,'Faltantes Fevereiro- Metalfisa'!$A363)</f>
        <v>0</v>
      </c>
      <c r="T363" s="31">
        <f>SUMIFS(METALFISA!$E:$E,METALFISA!$A:$A,'Faltantes Fevereiro- Metalfisa'!T$3,METALFISA!$B:$B,'Faltantes Fevereiro- Metalfisa'!$A363)</f>
        <v>0</v>
      </c>
      <c r="U363" s="31">
        <f>SUMIFS(METALFISA!$E:$E,METALFISA!$A:$A,'Faltantes Fevereiro- Metalfisa'!U$3,METALFISA!$B:$B,'Faltantes Fevereiro- Metalfisa'!$A363)</f>
        <v>0</v>
      </c>
      <c r="V363" s="31">
        <f>SUMIFS(METALFISA!$E:$E,METALFISA!$A:$A,'Faltantes Fevereiro- Metalfisa'!V$3,METALFISA!$B:$B,'Faltantes Fevereiro- Metalfisa'!$A363)</f>
        <v>0</v>
      </c>
      <c r="W363" s="31">
        <f>SUMIFS(METALFISA!$E:$E,METALFISA!$A:$A,'Faltantes Fevereiro- Metalfisa'!W$3,METALFISA!$B:$B,'Faltantes Fevereiro- Metalfisa'!$A363)</f>
        <v>0</v>
      </c>
      <c r="X363" s="31">
        <f>SUMIFS(METALFISA!$E:$E,METALFISA!$A:$A,'Faltantes Fevereiro- Metalfisa'!X$3,METALFISA!$B:$B,'Faltantes Fevereiro- Metalfisa'!$A363)</f>
        <v>0</v>
      </c>
      <c r="Y363" s="31">
        <f>SUMIFS(METALFISA!$E:$E,METALFISA!$A:$A,'Faltantes Fevereiro- Metalfisa'!Y$3,METALFISA!$B:$B,'Faltantes Fevereiro- Metalfisa'!$A363)</f>
        <v>0</v>
      </c>
      <c r="Z363" s="31">
        <f>SUMIFS(METALFISA!$E:$E,METALFISA!$A:$A,'Faltantes Fevereiro- Metalfisa'!Z$3,METALFISA!$B:$B,'Faltantes Fevereiro- Metalfisa'!$A363)</f>
        <v>0</v>
      </c>
      <c r="AA363" s="31">
        <f>SUMIFS(METALFISA!$E:$E,METALFISA!$A:$A,'Faltantes Fevereiro- Metalfisa'!AA$3,METALFISA!$B:$B,'Faltantes Fevereiro- Metalfisa'!$A363)</f>
        <v>0</v>
      </c>
      <c r="AB363" s="31">
        <f>SUMIFS(METALFISA!$E:$E,METALFISA!$A:$A,'Faltantes Fevereiro- Metalfisa'!AB$3,METALFISA!$B:$B,'Faltantes Fevereiro- Metalfisa'!$A363)</f>
        <v>0</v>
      </c>
      <c r="AC363" s="31">
        <f>SUMIFS(METALFISA!$E:$E,METALFISA!$A:$A,'Faltantes Fevereiro- Metalfisa'!AC$3,METALFISA!$B:$B,'Faltantes Fevereiro- Metalfisa'!$A363)</f>
        <v>0</v>
      </c>
      <c r="AD363" s="31">
        <f>SUMIFS(METALFISA!$E:$E,METALFISA!$A:$A,'Faltantes Fevereiro- Metalfisa'!AD$3,METALFISA!$B:$B,'Faltantes Fevereiro- Metalfisa'!$A363)</f>
        <v>0</v>
      </c>
      <c r="AE363" s="31">
        <f>SUMIFS(METALFISA!$E:$E,METALFISA!$A:$A,'Faltantes Fevereiro- Metalfisa'!AE$3,METALFISA!$B:$B,'Faltantes Fevereiro- Metalfisa'!$A363)</f>
        <v>0</v>
      </c>
      <c r="AF363" s="31">
        <f>SUMIFS(METALFISA!$E:$E,METALFISA!$A:$A,'Faltantes Fevereiro- Metalfisa'!AF$3,METALFISA!$B:$B,'Faltantes Fevereiro- Metalfisa'!$A363)</f>
        <v>0</v>
      </c>
      <c r="AG363" s="31">
        <f>SUMIFS(METALFISA!$E:$E,METALFISA!$A:$A,'Faltantes Fevereiro- Metalfisa'!AG$3,METALFISA!$B:$B,'Faltantes Fevereiro- Metalfisa'!$A363)</f>
        <v>0</v>
      </c>
      <c r="AH363" s="31">
        <f>SUMIFS(METALFISA!$E:$E,METALFISA!$A:$A,'Faltantes Fevereiro- Metalfisa'!AH$3,METALFISA!$B:$B,'Faltantes Fevereiro- Metalfisa'!$A363)</f>
        <v>717</v>
      </c>
      <c r="AI363" s="31">
        <f>SUMIFS(METALFISA!$E:$E,METALFISA!$A:$A,'Faltantes Fevereiro- Metalfisa'!AI$3,METALFISA!$B:$B,'Faltantes Fevereiro- Metalfisa'!$A363)</f>
        <v>0</v>
      </c>
      <c r="AJ363" s="31">
        <f>SUMIFS(METALFISA!$E:$E,METALFISA!$A:$A,'Faltantes Fevereiro- Metalfisa'!AJ$3,METALFISA!$B:$B,'Faltantes Fevereiro- Metalfisa'!$A363)</f>
        <v>0</v>
      </c>
      <c r="AK363" s="31">
        <f>SUMIFS(METALFISA!$E:$E,METALFISA!$A:$A,'Faltantes Fevereiro- Metalfisa'!AK$3,METALFISA!$B:$B,'Faltantes Fevereiro- Metalfisa'!$A363)</f>
        <v>0</v>
      </c>
      <c r="AL363" s="31">
        <f>SUMIFS(METALFISA!$E:$E,METALFISA!$A:$A,'Faltantes Fevereiro- Metalfisa'!AL$3,METALFISA!$B:$B,'Faltantes Fevereiro- Metalfisa'!$A363)</f>
        <v>0</v>
      </c>
      <c r="AM363" s="31">
        <f>SUMIFS(METALFISA!$E:$E,METALFISA!$A:$A,'Faltantes Fevereiro- Metalfisa'!AM$3,METALFISA!$B:$B,'Faltantes Fevereiro- Metalfisa'!$A363)</f>
        <v>298</v>
      </c>
      <c r="AN363" s="31">
        <f>SUMIFS(METALFISA!$E:$E,METALFISA!$A:$A,'Faltantes Fevereiro- Metalfisa'!AN$3,METALFISA!$B:$B,'Faltantes Fevereiro- Metalfisa'!$A363)</f>
        <v>0</v>
      </c>
      <c r="AO363" s="31">
        <f>SUMIFS(METALFISA!$E:$E,METALFISA!$A:$A,'Faltantes Fevereiro- Metalfisa'!AO$3,METALFISA!$B:$B,'Faltantes Fevereiro- Metalfisa'!$A363)</f>
        <v>0</v>
      </c>
      <c r="AP363" s="31">
        <f>SUMIFS(METALFISA!$E:$E,METALFISA!$A:$A,'Faltantes Fevereiro- Metalfisa'!AP$3,METALFISA!$B:$B,'Faltantes Fevereiro- Metalfisa'!$A363)</f>
        <v>0</v>
      </c>
      <c r="AQ363" s="31"/>
      <c r="AR363" s="31"/>
      <c r="AS363" s="35"/>
      <c r="AY363" s="41">
        <v>44</v>
      </c>
      <c r="AZ363" s="31">
        <v>44</v>
      </c>
      <c r="BA363" s="31">
        <v>0</v>
      </c>
      <c r="BB363" s="31">
        <v>0</v>
      </c>
      <c r="BC363" s="31">
        <v>0</v>
      </c>
      <c r="BD363" s="31">
        <v>0</v>
      </c>
      <c r="BE363" s="31">
        <v>0</v>
      </c>
      <c r="BF363" s="31">
        <v>0</v>
      </c>
      <c r="BG363" s="31">
        <v>0</v>
      </c>
      <c r="BH363" s="31">
        <v>0</v>
      </c>
      <c r="BI363" s="31">
        <v>0</v>
      </c>
      <c r="BJ363" s="31">
        <v>0</v>
      </c>
      <c r="BK363" s="31">
        <v>0</v>
      </c>
      <c r="BL363" s="31">
        <v>0</v>
      </c>
      <c r="BM363" s="31">
        <v>0</v>
      </c>
      <c r="BN363" s="31">
        <v>0</v>
      </c>
      <c r="BO363" s="31">
        <v>0</v>
      </c>
      <c r="BP363" s="31">
        <v>0</v>
      </c>
      <c r="BQ363" s="31">
        <v>0</v>
      </c>
      <c r="BR363" s="31">
        <v>0</v>
      </c>
      <c r="BS363" s="31">
        <v>0</v>
      </c>
      <c r="BT363" s="31">
        <v>0</v>
      </c>
      <c r="BU363" s="31">
        <v>0</v>
      </c>
      <c r="BV363" s="31">
        <v>0</v>
      </c>
      <c r="BW363" s="31">
        <v>0</v>
      </c>
      <c r="BX363" s="31">
        <v>0</v>
      </c>
      <c r="BY363" s="31">
        <v>0</v>
      </c>
      <c r="BZ363" s="31">
        <v>0</v>
      </c>
      <c r="CA363" s="31">
        <v>0</v>
      </c>
      <c r="CB363" s="31">
        <v>0</v>
      </c>
      <c r="CC363" s="31">
        <v>0</v>
      </c>
      <c r="CD363" s="31">
        <v>0</v>
      </c>
      <c r="CE363" s="31">
        <v>0</v>
      </c>
      <c r="CF363" s="31">
        <v>0</v>
      </c>
      <c r="CG363" s="31">
        <v>0</v>
      </c>
      <c r="CH363" s="31">
        <v>0</v>
      </c>
      <c r="CI363" s="31">
        <v>0</v>
      </c>
      <c r="CJ363" s="31">
        <v>0</v>
      </c>
      <c r="CK363" s="31">
        <v>0</v>
      </c>
      <c r="CL363" s="35">
        <v>0</v>
      </c>
    </row>
    <row r="364" spans="1:90" x14ac:dyDescent="0.15">
      <c r="A364" s="31" t="s">
        <v>126</v>
      </c>
      <c r="B364" s="30" t="s">
        <v>505</v>
      </c>
      <c r="C364" s="28">
        <v>0</v>
      </c>
      <c r="D364" s="28">
        <v>0</v>
      </c>
      <c r="E364" s="28">
        <v>0</v>
      </c>
      <c r="F364" s="28">
        <v>0</v>
      </c>
      <c r="G364" s="28">
        <v>24</v>
      </c>
      <c r="H364" s="28">
        <f>IFERROR(VLOOKUP(A364,[1]FALTANTES!$A:$AB,28,FALSE),"-")</f>
        <v>0</v>
      </c>
      <c r="I364" s="42">
        <f>IFERROR(VLOOKUP(A364,[1]FALTANTES!$A:$AC,29,FALSE),"-")</f>
        <v>0</v>
      </c>
      <c r="J364" s="29">
        <f>IFERROR(VLOOKUP(A364,[1]FALTANTES!$A:$AD,30,FALSE),"-")</f>
        <v>-24</v>
      </c>
      <c r="K364" s="30">
        <v>0</v>
      </c>
      <c r="L364" s="30">
        <f t="shared" si="7"/>
        <v>110</v>
      </c>
      <c r="M364" s="31">
        <f>SUMIFS(METALFISA!$E:$E,METALFISA!$A:$A,'Faltantes Fevereiro- Metalfisa'!M$3,METALFISA!$B:$B,'Faltantes Fevereiro- Metalfisa'!$A364)</f>
        <v>0</v>
      </c>
      <c r="N364" s="31">
        <f>SUMIFS(METALFISA!$E:$E,METALFISA!$A:$A,'Faltantes Fevereiro- Metalfisa'!N$3,METALFISA!$B:$B,'Faltantes Fevereiro- Metalfisa'!$A364)</f>
        <v>0</v>
      </c>
      <c r="O364" s="31">
        <f>SUMIFS(METALFISA!$E:$E,METALFISA!$A:$A,'Faltantes Fevereiro- Metalfisa'!O$3,METALFISA!$B:$B,'Faltantes Fevereiro- Metalfisa'!$A364)</f>
        <v>0</v>
      </c>
      <c r="P364" s="31">
        <f>SUMIFS(METALFISA!$E:$E,METALFISA!$A:$A,'Faltantes Fevereiro- Metalfisa'!P$3,METALFISA!$B:$B,'Faltantes Fevereiro- Metalfisa'!$A364)</f>
        <v>0</v>
      </c>
      <c r="Q364" s="31">
        <f>SUMIFS(METALFISA!$E:$E,METALFISA!$A:$A,'Faltantes Fevereiro- Metalfisa'!Q$3,METALFISA!$B:$B,'Faltantes Fevereiro- Metalfisa'!$A364)</f>
        <v>0</v>
      </c>
      <c r="R364" s="31">
        <f>SUMIFS(METALFISA!$E:$E,METALFISA!$A:$A,'Faltantes Fevereiro- Metalfisa'!R$3,METALFISA!$B:$B,'Faltantes Fevereiro- Metalfisa'!$A364)</f>
        <v>0</v>
      </c>
      <c r="S364" s="31">
        <f>SUMIFS(METALFISA!$E:$E,METALFISA!$A:$A,'Faltantes Fevereiro- Metalfisa'!S$3,METALFISA!$B:$B,'Faltantes Fevereiro- Metalfisa'!$A364)</f>
        <v>0</v>
      </c>
      <c r="T364" s="31">
        <f>SUMIFS(METALFISA!$E:$E,METALFISA!$A:$A,'Faltantes Fevereiro- Metalfisa'!T$3,METALFISA!$B:$B,'Faltantes Fevereiro- Metalfisa'!$A364)</f>
        <v>0</v>
      </c>
      <c r="U364" s="31">
        <f>SUMIFS(METALFISA!$E:$E,METALFISA!$A:$A,'Faltantes Fevereiro- Metalfisa'!U$3,METALFISA!$B:$B,'Faltantes Fevereiro- Metalfisa'!$A364)</f>
        <v>0</v>
      </c>
      <c r="V364" s="31">
        <f>SUMIFS(METALFISA!$E:$E,METALFISA!$A:$A,'Faltantes Fevereiro- Metalfisa'!V$3,METALFISA!$B:$B,'Faltantes Fevereiro- Metalfisa'!$A364)</f>
        <v>0</v>
      </c>
      <c r="W364" s="31">
        <f>SUMIFS(METALFISA!$E:$E,METALFISA!$A:$A,'Faltantes Fevereiro- Metalfisa'!W$3,METALFISA!$B:$B,'Faltantes Fevereiro- Metalfisa'!$A364)</f>
        <v>0</v>
      </c>
      <c r="X364" s="31">
        <f>SUMIFS(METALFISA!$E:$E,METALFISA!$A:$A,'Faltantes Fevereiro- Metalfisa'!X$3,METALFISA!$B:$B,'Faltantes Fevereiro- Metalfisa'!$A364)</f>
        <v>0</v>
      </c>
      <c r="Y364" s="31">
        <f>SUMIFS(METALFISA!$E:$E,METALFISA!$A:$A,'Faltantes Fevereiro- Metalfisa'!Y$3,METALFISA!$B:$B,'Faltantes Fevereiro- Metalfisa'!$A364)</f>
        <v>0</v>
      </c>
      <c r="Z364" s="31">
        <f>SUMIFS(METALFISA!$E:$E,METALFISA!$A:$A,'Faltantes Fevereiro- Metalfisa'!Z$3,METALFISA!$B:$B,'Faltantes Fevereiro- Metalfisa'!$A364)</f>
        <v>0</v>
      </c>
      <c r="AA364" s="31">
        <f>SUMIFS(METALFISA!$E:$E,METALFISA!$A:$A,'Faltantes Fevereiro- Metalfisa'!AA$3,METALFISA!$B:$B,'Faltantes Fevereiro- Metalfisa'!$A364)</f>
        <v>0</v>
      </c>
      <c r="AB364" s="31">
        <f>SUMIFS(METALFISA!$E:$E,METALFISA!$A:$A,'Faltantes Fevereiro- Metalfisa'!AB$3,METALFISA!$B:$B,'Faltantes Fevereiro- Metalfisa'!$A364)</f>
        <v>0</v>
      </c>
      <c r="AC364" s="31">
        <f>SUMIFS(METALFISA!$E:$E,METALFISA!$A:$A,'Faltantes Fevereiro- Metalfisa'!AC$3,METALFISA!$B:$B,'Faltantes Fevereiro- Metalfisa'!$A364)</f>
        <v>0</v>
      </c>
      <c r="AD364" s="31">
        <f>SUMIFS(METALFISA!$E:$E,METALFISA!$A:$A,'Faltantes Fevereiro- Metalfisa'!AD$3,METALFISA!$B:$B,'Faltantes Fevereiro- Metalfisa'!$A364)</f>
        <v>0</v>
      </c>
      <c r="AE364" s="31">
        <f>SUMIFS(METALFISA!$E:$E,METALFISA!$A:$A,'Faltantes Fevereiro- Metalfisa'!AE$3,METALFISA!$B:$B,'Faltantes Fevereiro- Metalfisa'!$A364)</f>
        <v>0</v>
      </c>
      <c r="AF364" s="31">
        <f>SUMIFS(METALFISA!$E:$E,METALFISA!$A:$A,'Faltantes Fevereiro- Metalfisa'!AF$3,METALFISA!$B:$B,'Faltantes Fevereiro- Metalfisa'!$A364)</f>
        <v>0</v>
      </c>
      <c r="AG364" s="31">
        <f>SUMIFS(METALFISA!$E:$E,METALFISA!$A:$A,'Faltantes Fevereiro- Metalfisa'!AG$3,METALFISA!$B:$B,'Faltantes Fevereiro- Metalfisa'!$A364)</f>
        <v>0</v>
      </c>
      <c r="AH364" s="31">
        <f>SUMIFS(METALFISA!$E:$E,METALFISA!$A:$A,'Faltantes Fevereiro- Metalfisa'!AH$3,METALFISA!$B:$B,'Faltantes Fevereiro- Metalfisa'!$A364)</f>
        <v>110</v>
      </c>
      <c r="AI364" s="31">
        <f>SUMIFS(METALFISA!$E:$E,METALFISA!$A:$A,'Faltantes Fevereiro- Metalfisa'!AI$3,METALFISA!$B:$B,'Faltantes Fevereiro- Metalfisa'!$A364)</f>
        <v>0</v>
      </c>
      <c r="AJ364" s="31">
        <f>SUMIFS(METALFISA!$E:$E,METALFISA!$A:$A,'Faltantes Fevereiro- Metalfisa'!AJ$3,METALFISA!$B:$B,'Faltantes Fevereiro- Metalfisa'!$A364)</f>
        <v>0</v>
      </c>
      <c r="AK364" s="31">
        <f>SUMIFS(METALFISA!$E:$E,METALFISA!$A:$A,'Faltantes Fevereiro- Metalfisa'!AK$3,METALFISA!$B:$B,'Faltantes Fevereiro- Metalfisa'!$A364)</f>
        <v>0</v>
      </c>
      <c r="AL364" s="31">
        <f>SUMIFS(METALFISA!$E:$E,METALFISA!$A:$A,'Faltantes Fevereiro- Metalfisa'!AL$3,METALFISA!$B:$B,'Faltantes Fevereiro- Metalfisa'!$A364)</f>
        <v>0</v>
      </c>
      <c r="AM364" s="31">
        <f>SUMIFS(METALFISA!$E:$E,METALFISA!$A:$A,'Faltantes Fevereiro- Metalfisa'!AM$3,METALFISA!$B:$B,'Faltantes Fevereiro- Metalfisa'!$A364)</f>
        <v>0</v>
      </c>
      <c r="AN364" s="31">
        <f>SUMIFS(METALFISA!$E:$E,METALFISA!$A:$A,'Faltantes Fevereiro- Metalfisa'!AN$3,METALFISA!$B:$B,'Faltantes Fevereiro- Metalfisa'!$A364)</f>
        <v>0</v>
      </c>
      <c r="AO364" s="31">
        <f>SUMIFS(METALFISA!$E:$E,METALFISA!$A:$A,'Faltantes Fevereiro- Metalfisa'!AO$3,METALFISA!$B:$B,'Faltantes Fevereiro- Metalfisa'!$A364)</f>
        <v>0</v>
      </c>
      <c r="AP364" s="31">
        <f>SUMIFS(METALFISA!$E:$E,METALFISA!$A:$A,'Faltantes Fevereiro- Metalfisa'!AP$3,METALFISA!$B:$B,'Faltantes Fevereiro- Metalfisa'!$A364)</f>
        <v>0</v>
      </c>
      <c r="AQ364" s="31"/>
      <c r="AR364" s="31"/>
      <c r="AS364" s="35"/>
      <c r="AY364" s="41">
        <v>3</v>
      </c>
      <c r="AZ364" s="31">
        <v>14</v>
      </c>
      <c r="BA364" s="31">
        <v>0</v>
      </c>
      <c r="BB364" s="31">
        <v>0</v>
      </c>
      <c r="BC364" s="31">
        <v>0</v>
      </c>
      <c r="BD364" s="31">
        <v>0</v>
      </c>
      <c r="BE364" s="31">
        <v>0</v>
      </c>
      <c r="BF364" s="31">
        <v>0</v>
      </c>
      <c r="BG364" s="31">
        <v>0</v>
      </c>
      <c r="BH364" s="31">
        <v>0</v>
      </c>
      <c r="BI364" s="31">
        <v>0</v>
      </c>
      <c r="BJ364" s="31">
        <v>0</v>
      </c>
      <c r="BK364" s="31">
        <v>0</v>
      </c>
      <c r="BL364" s="31">
        <v>0</v>
      </c>
      <c r="BM364" s="31">
        <v>0</v>
      </c>
      <c r="BN364" s="31">
        <v>0</v>
      </c>
      <c r="BO364" s="31">
        <v>0</v>
      </c>
      <c r="BP364" s="31">
        <v>0</v>
      </c>
      <c r="BQ364" s="31">
        <v>0</v>
      </c>
      <c r="BR364" s="31">
        <v>0</v>
      </c>
      <c r="BS364" s="31">
        <v>0</v>
      </c>
      <c r="BT364" s="31">
        <v>0</v>
      </c>
      <c r="BU364" s="31">
        <v>0</v>
      </c>
      <c r="BV364" s="31">
        <v>0</v>
      </c>
      <c r="BW364" s="31">
        <v>0</v>
      </c>
      <c r="BX364" s="31">
        <v>0</v>
      </c>
      <c r="BY364" s="31">
        <v>0</v>
      </c>
      <c r="BZ364" s="31">
        <v>0</v>
      </c>
      <c r="CA364" s="31">
        <v>0</v>
      </c>
      <c r="CB364" s="31">
        <v>0</v>
      </c>
      <c r="CC364" s="31">
        <v>0</v>
      </c>
      <c r="CD364" s="31">
        <v>0</v>
      </c>
      <c r="CE364" s="31">
        <v>0</v>
      </c>
      <c r="CF364" s="31">
        <v>0</v>
      </c>
      <c r="CG364" s="31">
        <v>0</v>
      </c>
      <c r="CH364" s="31">
        <v>0</v>
      </c>
      <c r="CI364" s="31">
        <v>0</v>
      </c>
      <c r="CJ364" s="31">
        <v>0</v>
      </c>
      <c r="CK364" s="31">
        <v>0</v>
      </c>
      <c r="CL364" s="35">
        <v>0</v>
      </c>
    </row>
    <row r="365" spans="1:90" ht="21" x14ac:dyDescent="0.15">
      <c r="A365" s="31" t="s">
        <v>828</v>
      </c>
      <c r="B365" s="30" t="s">
        <v>829</v>
      </c>
      <c r="C365" s="28">
        <v>0</v>
      </c>
      <c r="D365" s="28">
        <v>0</v>
      </c>
      <c r="E365" s="28">
        <v>0</v>
      </c>
      <c r="F365" s="28">
        <v>0</v>
      </c>
      <c r="G365" s="28">
        <v>1</v>
      </c>
      <c r="H365" s="28">
        <f>IFERROR(VLOOKUP(A365,[1]FALTANTES!$A:$AB,28,FALSE),"-")</f>
        <v>0</v>
      </c>
      <c r="I365" s="42">
        <f>IFERROR(VLOOKUP(A365,[1]FALTANTES!$A:$AC,29,FALSE),"-")</f>
        <v>0</v>
      </c>
      <c r="J365" s="29">
        <f>IFERROR(VLOOKUP(A365,[1]FALTANTES!$A:$AD,30,FALSE),"-")</f>
        <v>-1</v>
      </c>
      <c r="K365" s="30">
        <v>0</v>
      </c>
      <c r="L365" s="30">
        <f t="shared" si="7"/>
        <v>1</v>
      </c>
      <c r="M365" s="31">
        <f>SUMIFS(METALFISA!$E:$E,METALFISA!$A:$A,'Faltantes Fevereiro- Metalfisa'!M$3,METALFISA!$B:$B,'Faltantes Fevereiro- Metalfisa'!$A365)</f>
        <v>0</v>
      </c>
      <c r="N365" s="31">
        <f>SUMIFS(METALFISA!$E:$E,METALFISA!$A:$A,'Faltantes Fevereiro- Metalfisa'!N$3,METALFISA!$B:$B,'Faltantes Fevereiro- Metalfisa'!$A365)</f>
        <v>0</v>
      </c>
      <c r="O365" s="31">
        <f>SUMIFS(METALFISA!$E:$E,METALFISA!$A:$A,'Faltantes Fevereiro- Metalfisa'!O$3,METALFISA!$B:$B,'Faltantes Fevereiro- Metalfisa'!$A365)</f>
        <v>0</v>
      </c>
      <c r="P365" s="31">
        <f>SUMIFS(METALFISA!$E:$E,METALFISA!$A:$A,'Faltantes Fevereiro- Metalfisa'!P$3,METALFISA!$B:$B,'Faltantes Fevereiro- Metalfisa'!$A365)</f>
        <v>0</v>
      </c>
      <c r="Q365" s="31">
        <f>SUMIFS(METALFISA!$E:$E,METALFISA!$A:$A,'Faltantes Fevereiro- Metalfisa'!Q$3,METALFISA!$B:$B,'Faltantes Fevereiro- Metalfisa'!$A365)</f>
        <v>0</v>
      </c>
      <c r="R365" s="31">
        <f>SUMIFS(METALFISA!$E:$E,METALFISA!$A:$A,'Faltantes Fevereiro- Metalfisa'!R$3,METALFISA!$B:$B,'Faltantes Fevereiro- Metalfisa'!$A365)</f>
        <v>0</v>
      </c>
      <c r="S365" s="31">
        <f>SUMIFS(METALFISA!$E:$E,METALFISA!$A:$A,'Faltantes Fevereiro- Metalfisa'!S$3,METALFISA!$B:$B,'Faltantes Fevereiro- Metalfisa'!$A365)</f>
        <v>0</v>
      </c>
      <c r="T365" s="31">
        <f>SUMIFS(METALFISA!$E:$E,METALFISA!$A:$A,'Faltantes Fevereiro- Metalfisa'!T$3,METALFISA!$B:$B,'Faltantes Fevereiro- Metalfisa'!$A365)</f>
        <v>0</v>
      </c>
      <c r="U365" s="31">
        <f>SUMIFS(METALFISA!$E:$E,METALFISA!$A:$A,'Faltantes Fevereiro- Metalfisa'!U$3,METALFISA!$B:$B,'Faltantes Fevereiro- Metalfisa'!$A365)</f>
        <v>0</v>
      </c>
      <c r="V365" s="31">
        <f>SUMIFS(METALFISA!$E:$E,METALFISA!$A:$A,'Faltantes Fevereiro- Metalfisa'!V$3,METALFISA!$B:$B,'Faltantes Fevereiro- Metalfisa'!$A365)</f>
        <v>0</v>
      </c>
      <c r="W365" s="31">
        <f>SUMIFS(METALFISA!$E:$E,METALFISA!$A:$A,'Faltantes Fevereiro- Metalfisa'!W$3,METALFISA!$B:$B,'Faltantes Fevereiro- Metalfisa'!$A365)</f>
        <v>0</v>
      </c>
      <c r="X365" s="31">
        <f>SUMIFS(METALFISA!$E:$E,METALFISA!$A:$A,'Faltantes Fevereiro- Metalfisa'!X$3,METALFISA!$B:$B,'Faltantes Fevereiro- Metalfisa'!$A365)</f>
        <v>0</v>
      </c>
      <c r="Y365" s="31">
        <f>SUMIFS(METALFISA!$E:$E,METALFISA!$A:$A,'Faltantes Fevereiro- Metalfisa'!Y$3,METALFISA!$B:$B,'Faltantes Fevereiro- Metalfisa'!$A365)</f>
        <v>0</v>
      </c>
      <c r="Z365" s="31">
        <f>SUMIFS(METALFISA!$E:$E,METALFISA!$A:$A,'Faltantes Fevereiro- Metalfisa'!Z$3,METALFISA!$B:$B,'Faltantes Fevereiro- Metalfisa'!$A365)</f>
        <v>0</v>
      </c>
      <c r="AA365" s="31">
        <f>SUMIFS(METALFISA!$E:$E,METALFISA!$A:$A,'Faltantes Fevereiro- Metalfisa'!AA$3,METALFISA!$B:$B,'Faltantes Fevereiro- Metalfisa'!$A365)</f>
        <v>0</v>
      </c>
      <c r="AB365" s="31">
        <f>SUMIFS(METALFISA!$E:$E,METALFISA!$A:$A,'Faltantes Fevereiro- Metalfisa'!AB$3,METALFISA!$B:$B,'Faltantes Fevereiro- Metalfisa'!$A365)</f>
        <v>0</v>
      </c>
      <c r="AC365" s="31">
        <f>SUMIFS(METALFISA!$E:$E,METALFISA!$A:$A,'Faltantes Fevereiro- Metalfisa'!AC$3,METALFISA!$B:$B,'Faltantes Fevereiro- Metalfisa'!$A365)</f>
        <v>0</v>
      </c>
      <c r="AD365" s="31">
        <f>SUMIFS(METALFISA!$E:$E,METALFISA!$A:$A,'Faltantes Fevereiro- Metalfisa'!AD$3,METALFISA!$B:$B,'Faltantes Fevereiro- Metalfisa'!$A365)</f>
        <v>0</v>
      </c>
      <c r="AE365" s="31">
        <f>SUMIFS(METALFISA!$E:$E,METALFISA!$A:$A,'Faltantes Fevereiro- Metalfisa'!AE$3,METALFISA!$B:$B,'Faltantes Fevereiro- Metalfisa'!$A365)</f>
        <v>0</v>
      </c>
      <c r="AF365" s="31">
        <f>SUMIFS(METALFISA!$E:$E,METALFISA!$A:$A,'Faltantes Fevereiro- Metalfisa'!AF$3,METALFISA!$B:$B,'Faltantes Fevereiro- Metalfisa'!$A365)</f>
        <v>0</v>
      </c>
      <c r="AG365" s="31">
        <f>SUMIFS(METALFISA!$E:$E,METALFISA!$A:$A,'Faltantes Fevereiro- Metalfisa'!AG$3,METALFISA!$B:$B,'Faltantes Fevereiro- Metalfisa'!$A365)</f>
        <v>0</v>
      </c>
      <c r="AH365" s="31">
        <f>SUMIFS(METALFISA!$E:$E,METALFISA!$A:$A,'Faltantes Fevereiro- Metalfisa'!AH$3,METALFISA!$B:$B,'Faltantes Fevereiro- Metalfisa'!$A365)</f>
        <v>1</v>
      </c>
      <c r="AI365" s="31">
        <f>SUMIFS(METALFISA!$E:$E,METALFISA!$A:$A,'Faltantes Fevereiro- Metalfisa'!AI$3,METALFISA!$B:$B,'Faltantes Fevereiro- Metalfisa'!$A365)</f>
        <v>0</v>
      </c>
      <c r="AJ365" s="31">
        <f>SUMIFS(METALFISA!$E:$E,METALFISA!$A:$A,'Faltantes Fevereiro- Metalfisa'!AJ$3,METALFISA!$B:$B,'Faltantes Fevereiro- Metalfisa'!$A365)</f>
        <v>0</v>
      </c>
      <c r="AK365" s="31">
        <f>SUMIFS(METALFISA!$E:$E,METALFISA!$A:$A,'Faltantes Fevereiro- Metalfisa'!AK$3,METALFISA!$B:$B,'Faltantes Fevereiro- Metalfisa'!$A365)</f>
        <v>0</v>
      </c>
      <c r="AL365" s="31">
        <f>SUMIFS(METALFISA!$E:$E,METALFISA!$A:$A,'Faltantes Fevereiro- Metalfisa'!AL$3,METALFISA!$B:$B,'Faltantes Fevereiro- Metalfisa'!$A365)</f>
        <v>0</v>
      </c>
      <c r="AM365" s="31">
        <f>SUMIFS(METALFISA!$E:$E,METALFISA!$A:$A,'Faltantes Fevereiro- Metalfisa'!AM$3,METALFISA!$B:$B,'Faltantes Fevereiro- Metalfisa'!$A365)</f>
        <v>0</v>
      </c>
      <c r="AN365" s="31">
        <f>SUMIFS(METALFISA!$E:$E,METALFISA!$A:$A,'Faltantes Fevereiro- Metalfisa'!AN$3,METALFISA!$B:$B,'Faltantes Fevereiro- Metalfisa'!$A365)</f>
        <v>0</v>
      </c>
      <c r="AO365" s="31">
        <f>SUMIFS(METALFISA!$E:$E,METALFISA!$A:$A,'Faltantes Fevereiro- Metalfisa'!AO$3,METALFISA!$B:$B,'Faltantes Fevereiro- Metalfisa'!$A365)</f>
        <v>0</v>
      </c>
      <c r="AP365" s="31">
        <f>SUMIFS(METALFISA!$E:$E,METALFISA!$A:$A,'Faltantes Fevereiro- Metalfisa'!AP$3,METALFISA!$B:$B,'Faltantes Fevereiro- Metalfisa'!$A365)</f>
        <v>0</v>
      </c>
      <c r="AQ365" s="31"/>
      <c r="AR365" s="31"/>
      <c r="AS365" s="35"/>
      <c r="AY365" s="41">
        <v>0</v>
      </c>
      <c r="AZ365" s="31">
        <v>1</v>
      </c>
      <c r="BA365" s="31">
        <v>0</v>
      </c>
      <c r="BB365" s="31">
        <v>0</v>
      </c>
      <c r="BC365" s="31">
        <v>0</v>
      </c>
      <c r="BD365" s="31">
        <v>0</v>
      </c>
      <c r="BE365" s="31">
        <v>0</v>
      </c>
      <c r="BF365" s="31">
        <v>0</v>
      </c>
      <c r="BG365" s="31">
        <v>0</v>
      </c>
      <c r="BH365" s="31">
        <v>0</v>
      </c>
      <c r="BI365" s="31">
        <v>0</v>
      </c>
      <c r="BJ365" s="31">
        <v>0</v>
      </c>
      <c r="BK365" s="31">
        <v>0</v>
      </c>
      <c r="BL365" s="31">
        <v>0</v>
      </c>
      <c r="BM365" s="31">
        <v>0</v>
      </c>
      <c r="BN365" s="31">
        <v>0</v>
      </c>
      <c r="BO365" s="31">
        <v>0</v>
      </c>
      <c r="BP365" s="31">
        <v>0</v>
      </c>
      <c r="BQ365" s="31">
        <v>0</v>
      </c>
      <c r="BR365" s="31">
        <v>0</v>
      </c>
      <c r="BS365" s="31">
        <v>0</v>
      </c>
      <c r="BT365" s="31">
        <v>0</v>
      </c>
      <c r="BU365" s="31">
        <v>0</v>
      </c>
      <c r="BV365" s="31">
        <v>0</v>
      </c>
      <c r="BW365" s="31">
        <v>0</v>
      </c>
      <c r="BX365" s="31">
        <v>0</v>
      </c>
      <c r="BY365" s="31">
        <v>0</v>
      </c>
      <c r="BZ365" s="31">
        <v>0</v>
      </c>
      <c r="CA365" s="31">
        <v>0</v>
      </c>
      <c r="CB365" s="31">
        <v>0</v>
      </c>
      <c r="CC365" s="31">
        <v>0</v>
      </c>
      <c r="CD365" s="31">
        <v>0</v>
      </c>
      <c r="CE365" s="31">
        <v>0</v>
      </c>
      <c r="CF365" s="31">
        <v>0</v>
      </c>
      <c r="CG365" s="31">
        <v>0</v>
      </c>
      <c r="CH365" s="31">
        <v>0</v>
      </c>
      <c r="CI365" s="31">
        <v>0</v>
      </c>
      <c r="CJ365" s="31">
        <v>0</v>
      </c>
      <c r="CK365" s="31">
        <v>0</v>
      </c>
      <c r="CL365" s="35">
        <v>0</v>
      </c>
    </row>
    <row r="366" spans="1:90" x14ac:dyDescent="0.15">
      <c r="A366" s="31" t="s">
        <v>830</v>
      </c>
      <c r="B366" s="30" t="s">
        <v>831</v>
      </c>
      <c r="C366" s="28">
        <v>0</v>
      </c>
      <c r="D366" s="28">
        <v>0</v>
      </c>
      <c r="E366" s="28">
        <v>0</v>
      </c>
      <c r="F366" s="28">
        <v>0</v>
      </c>
      <c r="G366" s="28">
        <v>20</v>
      </c>
      <c r="H366" s="28">
        <f>IFERROR(VLOOKUP(A366,[1]FALTANTES!$A:$AB,28,FALSE),"-")</f>
        <v>0</v>
      </c>
      <c r="I366" s="42">
        <f>IFERROR(VLOOKUP(A366,[1]FALTANTES!$A:$AC,29,FALSE),"-")</f>
        <v>1</v>
      </c>
      <c r="J366" s="29">
        <f>IFERROR(VLOOKUP(A366,[1]FALTANTES!$A:$AD,30,FALSE),"-")</f>
        <v>-19</v>
      </c>
      <c r="K366" s="30">
        <v>0</v>
      </c>
      <c r="L366" s="30">
        <f t="shared" si="7"/>
        <v>20</v>
      </c>
      <c r="M366" s="31">
        <f>SUMIFS(METALFISA!$E:$E,METALFISA!$A:$A,'Faltantes Fevereiro- Metalfisa'!M$3,METALFISA!$B:$B,'Faltantes Fevereiro- Metalfisa'!$A366)</f>
        <v>0</v>
      </c>
      <c r="N366" s="31">
        <f>SUMIFS(METALFISA!$E:$E,METALFISA!$A:$A,'Faltantes Fevereiro- Metalfisa'!N$3,METALFISA!$B:$B,'Faltantes Fevereiro- Metalfisa'!$A366)</f>
        <v>0</v>
      </c>
      <c r="O366" s="31">
        <f>SUMIFS(METALFISA!$E:$E,METALFISA!$A:$A,'Faltantes Fevereiro- Metalfisa'!O$3,METALFISA!$B:$B,'Faltantes Fevereiro- Metalfisa'!$A366)</f>
        <v>0</v>
      </c>
      <c r="P366" s="31">
        <f>SUMIFS(METALFISA!$E:$E,METALFISA!$A:$A,'Faltantes Fevereiro- Metalfisa'!P$3,METALFISA!$B:$B,'Faltantes Fevereiro- Metalfisa'!$A366)</f>
        <v>0</v>
      </c>
      <c r="Q366" s="31">
        <f>SUMIFS(METALFISA!$E:$E,METALFISA!$A:$A,'Faltantes Fevereiro- Metalfisa'!Q$3,METALFISA!$B:$B,'Faltantes Fevereiro- Metalfisa'!$A366)</f>
        <v>0</v>
      </c>
      <c r="R366" s="31">
        <f>SUMIFS(METALFISA!$E:$E,METALFISA!$A:$A,'Faltantes Fevereiro- Metalfisa'!R$3,METALFISA!$B:$B,'Faltantes Fevereiro- Metalfisa'!$A366)</f>
        <v>0</v>
      </c>
      <c r="S366" s="31">
        <f>SUMIFS(METALFISA!$E:$E,METALFISA!$A:$A,'Faltantes Fevereiro- Metalfisa'!S$3,METALFISA!$B:$B,'Faltantes Fevereiro- Metalfisa'!$A366)</f>
        <v>0</v>
      </c>
      <c r="T366" s="31">
        <f>SUMIFS(METALFISA!$E:$E,METALFISA!$A:$A,'Faltantes Fevereiro- Metalfisa'!T$3,METALFISA!$B:$B,'Faltantes Fevereiro- Metalfisa'!$A366)</f>
        <v>0</v>
      </c>
      <c r="U366" s="31">
        <f>SUMIFS(METALFISA!$E:$E,METALFISA!$A:$A,'Faltantes Fevereiro- Metalfisa'!U$3,METALFISA!$B:$B,'Faltantes Fevereiro- Metalfisa'!$A366)</f>
        <v>0</v>
      </c>
      <c r="V366" s="31">
        <f>SUMIFS(METALFISA!$E:$E,METALFISA!$A:$A,'Faltantes Fevereiro- Metalfisa'!V$3,METALFISA!$B:$B,'Faltantes Fevereiro- Metalfisa'!$A366)</f>
        <v>0</v>
      </c>
      <c r="W366" s="31">
        <f>SUMIFS(METALFISA!$E:$E,METALFISA!$A:$A,'Faltantes Fevereiro- Metalfisa'!W$3,METALFISA!$B:$B,'Faltantes Fevereiro- Metalfisa'!$A366)</f>
        <v>0</v>
      </c>
      <c r="X366" s="31">
        <f>SUMIFS(METALFISA!$E:$E,METALFISA!$A:$A,'Faltantes Fevereiro- Metalfisa'!X$3,METALFISA!$B:$B,'Faltantes Fevereiro- Metalfisa'!$A366)</f>
        <v>0</v>
      </c>
      <c r="Y366" s="31">
        <f>SUMIFS(METALFISA!$E:$E,METALFISA!$A:$A,'Faltantes Fevereiro- Metalfisa'!Y$3,METALFISA!$B:$B,'Faltantes Fevereiro- Metalfisa'!$A366)</f>
        <v>0</v>
      </c>
      <c r="Z366" s="31">
        <f>SUMIFS(METALFISA!$E:$E,METALFISA!$A:$A,'Faltantes Fevereiro- Metalfisa'!Z$3,METALFISA!$B:$B,'Faltantes Fevereiro- Metalfisa'!$A366)</f>
        <v>0</v>
      </c>
      <c r="AA366" s="31">
        <f>SUMIFS(METALFISA!$E:$E,METALFISA!$A:$A,'Faltantes Fevereiro- Metalfisa'!AA$3,METALFISA!$B:$B,'Faltantes Fevereiro- Metalfisa'!$A366)</f>
        <v>0</v>
      </c>
      <c r="AB366" s="31">
        <f>SUMIFS(METALFISA!$E:$E,METALFISA!$A:$A,'Faltantes Fevereiro- Metalfisa'!AB$3,METALFISA!$B:$B,'Faltantes Fevereiro- Metalfisa'!$A366)</f>
        <v>0</v>
      </c>
      <c r="AC366" s="31">
        <f>SUMIFS(METALFISA!$E:$E,METALFISA!$A:$A,'Faltantes Fevereiro- Metalfisa'!AC$3,METALFISA!$B:$B,'Faltantes Fevereiro- Metalfisa'!$A366)</f>
        <v>0</v>
      </c>
      <c r="AD366" s="31">
        <f>SUMIFS(METALFISA!$E:$E,METALFISA!$A:$A,'Faltantes Fevereiro- Metalfisa'!AD$3,METALFISA!$B:$B,'Faltantes Fevereiro- Metalfisa'!$A366)</f>
        <v>0</v>
      </c>
      <c r="AE366" s="31">
        <f>SUMIFS(METALFISA!$E:$E,METALFISA!$A:$A,'Faltantes Fevereiro- Metalfisa'!AE$3,METALFISA!$B:$B,'Faltantes Fevereiro- Metalfisa'!$A366)</f>
        <v>0</v>
      </c>
      <c r="AF366" s="31">
        <f>SUMIFS(METALFISA!$E:$E,METALFISA!$A:$A,'Faltantes Fevereiro- Metalfisa'!AF$3,METALFISA!$B:$B,'Faltantes Fevereiro- Metalfisa'!$A366)</f>
        <v>0</v>
      </c>
      <c r="AG366" s="31">
        <f>SUMIFS(METALFISA!$E:$E,METALFISA!$A:$A,'Faltantes Fevereiro- Metalfisa'!AG$3,METALFISA!$B:$B,'Faltantes Fevereiro- Metalfisa'!$A366)</f>
        <v>0</v>
      </c>
      <c r="AH366" s="31">
        <f>SUMIFS(METALFISA!$E:$E,METALFISA!$A:$A,'Faltantes Fevereiro- Metalfisa'!AH$3,METALFISA!$B:$B,'Faltantes Fevereiro- Metalfisa'!$A366)</f>
        <v>20</v>
      </c>
      <c r="AI366" s="31">
        <f>SUMIFS(METALFISA!$E:$E,METALFISA!$A:$A,'Faltantes Fevereiro- Metalfisa'!AI$3,METALFISA!$B:$B,'Faltantes Fevereiro- Metalfisa'!$A366)</f>
        <v>0</v>
      </c>
      <c r="AJ366" s="31">
        <f>SUMIFS(METALFISA!$E:$E,METALFISA!$A:$A,'Faltantes Fevereiro- Metalfisa'!AJ$3,METALFISA!$B:$B,'Faltantes Fevereiro- Metalfisa'!$A366)</f>
        <v>0</v>
      </c>
      <c r="AK366" s="31">
        <f>SUMIFS(METALFISA!$E:$E,METALFISA!$A:$A,'Faltantes Fevereiro- Metalfisa'!AK$3,METALFISA!$B:$B,'Faltantes Fevereiro- Metalfisa'!$A366)</f>
        <v>0</v>
      </c>
      <c r="AL366" s="31">
        <f>SUMIFS(METALFISA!$E:$E,METALFISA!$A:$A,'Faltantes Fevereiro- Metalfisa'!AL$3,METALFISA!$B:$B,'Faltantes Fevereiro- Metalfisa'!$A366)</f>
        <v>0</v>
      </c>
      <c r="AM366" s="31">
        <f>SUMIFS(METALFISA!$E:$E,METALFISA!$A:$A,'Faltantes Fevereiro- Metalfisa'!AM$3,METALFISA!$B:$B,'Faltantes Fevereiro- Metalfisa'!$A366)</f>
        <v>0</v>
      </c>
      <c r="AN366" s="31">
        <f>SUMIFS(METALFISA!$E:$E,METALFISA!$A:$A,'Faltantes Fevereiro- Metalfisa'!AN$3,METALFISA!$B:$B,'Faltantes Fevereiro- Metalfisa'!$A366)</f>
        <v>0</v>
      </c>
      <c r="AO366" s="31">
        <f>SUMIFS(METALFISA!$E:$E,METALFISA!$A:$A,'Faltantes Fevereiro- Metalfisa'!AO$3,METALFISA!$B:$B,'Faltantes Fevereiro- Metalfisa'!$A366)</f>
        <v>0</v>
      </c>
      <c r="AP366" s="31">
        <f>SUMIFS(METALFISA!$E:$E,METALFISA!$A:$A,'Faltantes Fevereiro- Metalfisa'!AP$3,METALFISA!$B:$B,'Faltantes Fevereiro- Metalfisa'!$A366)</f>
        <v>0</v>
      </c>
      <c r="AQ366" s="31"/>
      <c r="AR366" s="31"/>
      <c r="AS366" s="35"/>
      <c r="AY366" s="41">
        <v>4</v>
      </c>
      <c r="AZ366" s="31">
        <v>4</v>
      </c>
      <c r="BA366" s="31">
        <v>0</v>
      </c>
      <c r="BB366" s="31">
        <v>0</v>
      </c>
      <c r="BC366" s="31">
        <v>0</v>
      </c>
      <c r="BD366" s="31">
        <v>0</v>
      </c>
      <c r="BE366" s="31">
        <v>0</v>
      </c>
      <c r="BF366" s="31">
        <v>0</v>
      </c>
      <c r="BG366" s="31">
        <v>0</v>
      </c>
      <c r="BH366" s="31">
        <v>0</v>
      </c>
      <c r="BI366" s="31">
        <v>0</v>
      </c>
      <c r="BJ366" s="31">
        <v>0</v>
      </c>
      <c r="BK366" s="31">
        <v>0</v>
      </c>
      <c r="BL366" s="31">
        <v>0</v>
      </c>
      <c r="BM366" s="31">
        <v>0</v>
      </c>
      <c r="BN366" s="31">
        <v>0</v>
      </c>
      <c r="BO366" s="31">
        <v>0</v>
      </c>
      <c r="BP366" s="31">
        <v>0</v>
      </c>
      <c r="BQ366" s="31">
        <v>0</v>
      </c>
      <c r="BR366" s="31">
        <v>0</v>
      </c>
      <c r="BS366" s="31">
        <v>0</v>
      </c>
      <c r="BT366" s="31">
        <v>0</v>
      </c>
      <c r="BU366" s="31">
        <v>0</v>
      </c>
      <c r="BV366" s="31">
        <v>0</v>
      </c>
      <c r="BW366" s="31">
        <v>0</v>
      </c>
      <c r="BX366" s="31">
        <v>0</v>
      </c>
      <c r="BY366" s="31">
        <v>0</v>
      </c>
      <c r="BZ366" s="31">
        <v>0</v>
      </c>
      <c r="CA366" s="31">
        <v>0</v>
      </c>
      <c r="CB366" s="31">
        <v>0</v>
      </c>
      <c r="CC366" s="31">
        <v>0</v>
      </c>
      <c r="CD366" s="31">
        <v>0</v>
      </c>
      <c r="CE366" s="31">
        <v>0</v>
      </c>
      <c r="CF366" s="31">
        <v>0</v>
      </c>
      <c r="CG366" s="31">
        <v>0</v>
      </c>
      <c r="CH366" s="31">
        <v>0</v>
      </c>
      <c r="CI366" s="31">
        <v>0</v>
      </c>
      <c r="CJ366" s="31">
        <v>0</v>
      </c>
      <c r="CK366" s="31">
        <v>0</v>
      </c>
      <c r="CL366" s="35">
        <v>0</v>
      </c>
    </row>
    <row r="367" spans="1:90" ht="21" x14ac:dyDescent="0.15">
      <c r="A367" s="31" t="s">
        <v>836</v>
      </c>
      <c r="B367" s="30" t="s">
        <v>837</v>
      </c>
      <c r="C367" s="28">
        <v>0</v>
      </c>
      <c r="D367" s="28">
        <v>0</v>
      </c>
      <c r="E367" s="28">
        <v>0</v>
      </c>
      <c r="F367" s="28">
        <v>0</v>
      </c>
      <c r="G367" s="28">
        <v>1</v>
      </c>
      <c r="H367" s="28">
        <f>IFERROR(VLOOKUP(A367,[1]FALTANTES!$A:$AB,28,FALSE),"-")</f>
        <v>0</v>
      </c>
      <c r="I367" s="42">
        <f>IFERROR(VLOOKUP(A367,[1]FALTANTES!$A:$AC,29,FALSE),"-")</f>
        <v>0</v>
      </c>
      <c r="J367" s="29">
        <f>IFERROR(VLOOKUP(A367,[1]FALTANTES!$A:$AD,30,FALSE),"-")</f>
        <v>-1</v>
      </c>
      <c r="K367" s="30">
        <v>0</v>
      </c>
      <c r="L367" s="30">
        <f t="shared" si="7"/>
        <v>1</v>
      </c>
      <c r="M367" s="31">
        <f>SUMIFS(METALFISA!$E:$E,METALFISA!$A:$A,'Faltantes Fevereiro- Metalfisa'!M$3,METALFISA!$B:$B,'Faltantes Fevereiro- Metalfisa'!$A367)</f>
        <v>0</v>
      </c>
      <c r="N367" s="31">
        <f>SUMIFS(METALFISA!$E:$E,METALFISA!$A:$A,'Faltantes Fevereiro- Metalfisa'!N$3,METALFISA!$B:$B,'Faltantes Fevereiro- Metalfisa'!$A367)</f>
        <v>0</v>
      </c>
      <c r="O367" s="31">
        <f>SUMIFS(METALFISA!$E:$E,METALFISA!$A:$A,'Faltantes Fevereiro- Metalfisa'!O$3,METALFISA!$B:$B,'Faltantes Fevereiro- Metalfisa'!$A367)</f>
        <v>0</v>
      </c>
      <c r="P367" s="31">
        <f>SUMIFS(METALFISA!$E:$E,METALFISA!$A:$A,'Faltantes Fevereiro- Metalfisa'!P$3,METALFISA!$B:$B,'Faltantes Fevereiro- Metalfisa'!$A367)</f>
        <v>0</v>
      </c>
      <c r="Q367" s="31">
        <f>SUMIFS(METALFISA!$E:$E,METALFISA!$A:$A,'Faltantes Fevereiro- Metalfisa'!Q$3,METALFISA!$B:$B,'Faltantes Fevereiro- Metalfisa'!$A367)</f>
        <v>0</v>
      </c>
      <c r="R367" s="31">
        <f>SUMIFS(METALFISA!$E:$E,METALFISA!$A:$A,'Faltantes Fevereiro- Metalfisa'!R$3,METALFISA!$B:$B,'Faltantes Fevereiro- Metalfisa'!$A367)</f>
        <v>0</v>
      </c>
      <c r="S367" s="31">
        <f>SUMIFS(METALFISA!$E:$E,METALFISA!$A:$A,'Faltantes Fevereiro- Metalfisa'!S$3,METALFISA!$B:$B,'Faltantes Fevereiro- Metalfisa'!$A367)</f>
        <v>0</v>
      </c>
      <c r="T367" s="31">
        <f>SUMIFS(METALFISA!$E:$E,METALFISA!$A:$A,'Faltantes Fevereiro- Metalfisa'!T$3,METALFISA!$B:$B,'Faltantes Fevereiro- Metalfisa'!$A367)</f>
        <v>0</v>
      </c>
      <c r="U367" s="31">
        <f>SUMIFS(METALFISA!$E:$E,METALFISA!$A:$A,'Faltantes Fevereiro- Metalfisa'!U$3,METALFISA!$B:$B,'Faltantes Fevereiro- Metalfisa'!$A367)</f>
        <v>0</v>
      </c>
      <c r="V367" s="31">
        <f>SUMIFS(METALFISA!$E:$E,METALFISA!$A:$A,'Faltantes Fevereiro- Metalfisa'!V$3,METALFISA!$B:$B,'Faltantes Fevereiro- Metalfisa'!$A367)</f>
        <v>0</v>
      </c>
      <c r="W367" s="31">
        <f>SUMIFS(METALFISA!$E:$E,METALFISA!$A:$A,'Faltantes Fevereiro- Metalfisa'!W$3,METALFISA!$B:$B,'Faltantes Fevereiro- Metalfisa'!$A367)</f>
        <v>0</v>
      </c>
      <c r="X367" s="31">
        <f>SUMIFS(METALFISA!$E:$E,METALFISA!$A:$A,'Faltantes Fevereiro- Metalfisa'!X$3,METALFISA!$B:$B,'Faltantes Fevereiro- Metalfisa'!$A367)</f>
        <v>0</v>
      </c>
      <c r="Y367" s="31">
        <f>SUMIFS(METALFISA!$E:$E,METALFISA!$A:$A,'Faltantes Fevereiro- Metalfisa'!Y$3,METALFISA!$B:$B,'Faltantes Fevereiro- Metalfisa'!$A367)</f>
        <v>0</v>
      </c>
      <c r="Z367" s="31">
        <f>SUMIFS(METALFISA!$E:$E,METALFISA!$A:$A,'Faltantes Fevereiro- Metalfisa'!Z$3,METALFISA!$B:$B,'Faltantes Fevereiro- Metalfisa'!$A367)</f>
        <v>0</v>
      </c>
      <c r="AA367" s="31">
        <f>SUMIFS(METALFISA!$E:$E,METALFISA!$A:$A,'Faltantes Fevereiro- Metalfisa'!AA$3,METALFISA!$B:$B,'Faltantes Fevereiro- Metalfisa'!$A367)</f>
        <v>0</v>
      </c>
      <c r="AB367" s="31">
        <f>SUMIFS(METALFISA!$E:$E,METALFISA!$A:$A,'Faltantes Fevereiro- Metalfisa'!AB$3,METALFISA!$B:$B,'Faltantes Fevereiro- Metalfisa'!$A367)</f>
        <v>0</v>
      </c>
      <c r="AC367" s="31">
        <f>SUMIFS(METALFISA!$E:$E,METALFISA!$A:$A,'Faltantes Fevereiro- Metalfisa'!AC$3,METALFISA!$B:$B,'Faltantes Fevereiro- Metalfisa'!$A367)</f>
        <v>0</v>
      </c>
      <c r="AD367" s="31">
        <f>SUMIFS(METALFISA!$E:$E,METALFISA!$A:$A,'Faltantes Fevereiro- Metalfisa'!AD$3,METALFISA!$B:$B,'Faltantes Fevereiro- Metalfisa'!$A367)</f>
        <v>0</v>
      </c>
      <c r="AE367" s="31">
        <f>SUMIFS(METALFISA!$E:$E,METALFISA!$A:$A,'Faltantes Fevereiro- Metalfisa'!AE$3,METALFISA!$B:$B,'Faltantes Fevereiro- Metalfisa'!$A367)</f>
        <v>0</v>
      </c>
      <c r="AF367" s="31">
        <f>SUMIFS(METALFISA!$E:$E,METALFISA!$A:$A,'Faltantes Fevereiro- Metalfisa'!AF$3,METALFISA!$B:$B,'Faltantes Fevereiro- Metalfisa'!$A367)</f>
        <v>0</v>
      </c>
      <c r="AG367" s="31">
        <f>SUMIFS(METALFISA!$E:$E,METALFISA!$A:$A,'Faltantes Fevereiro- Metalfisa'!AG$3,METALFISA!$B:$B,'Faltantes Fevereiro- Metalfisa'!$A367)</f>
        <v>0</v>
      </c>
      <c r="AH367" s="31">
        <f>SUMIFS(METALFISA!$E:$E,METALFISA!$A:$A,'Faltantes Fevereiro- Metalfisa'!AH$3,METALFISA!$B:$B,'Faltantes Fevereiro- Metalfisa'!$A367)</f>
        <v>1</v>
      </c>
      <c r="AI367" s="31">
        <f>SUMIFS(METALFISA!$E:$E,METALFISA!$A:$A,'Faltantes Fevereiro- Metalfisa'!AI$3,METALFISA!$B:$B,'Faltantes Fevereiro- Metalfisa'!$A367)</f>
        <v>0</v>
      </c>
      <c r="AJ367" s="31">
        <f>SUMIFS(METALFISA!$E:$E,METALFISA!$A:$A,'Faltantes Fevereiro- Metalfisa'!AJ$3,METALFISA!$B:$B,'Faltantes Fevereiro- Metalfisa'!$A367)</f>
        <v>0</v>
      </c>
      <c r="AK367" s="31">
        <f>SUMIFS(METALFISA!$E:$E,METALFISA!$A:$A,'Faltantes Fevereiro- Metalfisa'!AK$3,METALFISA!$B:$B,'Faltantes Fevereiro- Metalfisa'!$A367)</f>
        <v>0</v>
      </c>
      <c r="AL367" s="31">
        <f>SUMIFS(METALFISA!$E:$E,METALFISA!$A:$A,'Faltantes Fevereiro- Metalfisa'!AL$3,METALFISA!$B:$B,'Faltantes Fevereiro- Metalfisa'!$A367)</f>
        <v>0</v>
      </c>
      <c r="AM367" s="31">
        <f>SUMIFS(METALFISA!$E:$E,METALFISA!$A:$A,'Faltantes Fevereiro- Metalfisa'!AM$3,METALFISA!$B:$B,'Faltantes Fevereiro- Metalfisa'!$A367)</f>
        <v>0</v>
      </c>
      <c r="AN367" s="31">
        <f>SUMIFS(METALFISA!$E:$E,METALFISA!$A:$A,'Faltantes Fevereiro- Metalfisa'!AN$3,METALFISA!$B:$B,'Faltantes Fevereiro- Metalfisa'!$A367)</f>
        <v>0</v>
      </c>
      <c r="AO367" s="31">
        <f>SUMIFS(METALFISA!$E:$E,METALFISA!$A:$A,'Faltantes Fevereiro- Metalfisa'!AO$3,METALFISA!$B:$B,'Faltantes Fevereiro- Metalfisa'!$A367)</f>
        <v>0</v>
      </c>
      <c r="AP367" s="31">
        <f>SUMIFS(METALFISA!$E:$E,METALFISA!$A:$A,'Faltantes Fevereiro- Metalfisa'!AP$3,METALFISA!$B:$B,'Faltantes Fevereiro- Metalfisa'!$A367)</f>
        <v>0</v>
      </c>
      <c r="AQ367" s="31"/>
      <c r="AR367" s="31"/>
      <c r="AS367" s="35"/>
      <c r="AY367" s="41">
        <v>1</v>
      </c>
      <c r="AZ367" s="31">
        <v>1</v>
      </c>
      <c r="BA367" s="31">
        <v>0</v>
      </c>
      <c r="BB367" s="31">
        <v>0</v>
      </c>
      <c r="BC367" s="31">
        <v>0</v>
      </c>
      <c r="BD367" s="31">
        <v>0</v>
      </c>
      <c r="BE367" s="31">
        <v>0</v>
      </c>
      <c r="BF367" s="31">
        <v>0</v>
      </c>
      <c r="BG367" s="31">
        <v>0</v>
      </c>
      <c r="BH367" s="31">
        <v>0</v>
      </c>
      <c r="BI367" s="31">
        <v>0</v>
      </c>
      <c r="BJ367" s="31">
        <v>0</v>
      </c>
      <c r="BK367" s="31">
        <v>0</v>
      </c>
      <c r="BL367" s="31">
        <v>0</v>
      </c>
      <c r="BM367" s="31">
        <v>0</v>
      </c>
      <c r="BN367" s="31">
        <v>0</v>
      </c>
      <c r="BO367" s="31">
        <v>0</v>
      </c>
      <c r="BP367" s="31">
        <v>0</v>
      </c>
      <c r="BQ367" s="31">
        <v>0</v>
      </c>
      <c r="BR367" s="31">
        <v>0</v>
      </c>
      <c r="BS367" s="31">
        <v>0</v>
      </c>
      <c r="BT367" s="31">
        <v>0</v>
      </c>
      <c r="BU367" s="31">
        <v>0</v>
      </c>
      <c r="BV367" s="31">
        <v>0</v>
      </c>
      <c r="BW367" s="31">
        <v>0</v>
      </c>
      <c r="BX367" s="31">
        <v>0</v>
      </c>
      <c r="BY367" s="31">
        <v>0</v>
      </c>
      <c r="BZ367" s="31">
        <v>0</v>
      </c>
      <c r="CA367" s="31">
        <v>0</v>
      </c>
      <c r="CB367" s="31">
        <v>0</v>
      </c>
      <c r="CC367" s="31">
        <v>0</v>
      </c>
      <c r="CD367" s="31">
        <v>0</v>
      </c>
      <c r="CE367" s="31">
        <v>0</v>
      </c>
      <c r="CF367" s="31">
        <v>0</v>
      </c>
      <c r="CG367" s="31">
        <v>0</v>
      </c>
      <c r="CH367" s="31">
        <v>0</v>
      </c>
      <c r="CI367" s="31">
        <v>0</v>
      </c>
      <c r="CJ367" s="31">
        <v>0</v>
      </c>
      <c r="CK367" s="31">
        <v>0</v>
      </c>
      <c r="CL367" s="35">
        <v>0</v>
      </c>
    </row>
    <row r="368" spans="1:90" ht="21" x14ac:dyDescent="0.15">
      <c r="A368" s="31" t="s">
        <v>838</v>
      </c>
      <c r="B368" s="30" t="s">
        <v>839</v>
      </c>
      <c r="C368" s="28">
        <v>5</v>
      </c>
      <c r="D368" s="28">
        <v>0</v>
      </c>
      <c r="E368" s="28">
        <v>0</v>
      </c>
      <c r="F368" s="28">
        <v>0</v>
      </c>
      <c r="G368" s="28">
        <v>29</v>
      </c>
      <c r="H368" s="28">
        <f>IFERROR(VLOOKUP(A368,[1]FALTANTES!$A:$AB,28,FALSE),"-")</f>
        <v>0</v>
      </c>
      <c r="I368" s="42">
        <f>IFERROR(VLOOKUP(A368,[1]FALTANTES!$A:$AC,29,FALSE),"-")</f>
        <v>28</v>
      </c>
      <c r="J368" s="29">
        <f>IFERROR(VLOOKUP(A368,[1]FALTANTES!$A:$AD,30,FALSE),"-")</f>
        <v>-6</v>
      </c>
      <c r="K368" s="30">
        <v>0</v>
      </c>
      <c r="L368" s="30">
        <f t="shared" si="7"/>
        <v>5</v>
      </c>
      <c r="M368" s="31">
        <f>SUMIFS(METALFISA!$E:$E,METALFISA!$A:$A,'Faltantes Fevereiro- Metalfisa'!M$3,METALFISA!$B:$B,'Faltantes Fevereiro- Metalfisa'!$A368)</f>
        <v>0</v>
      </c>
      <c r="N368" s="31">
        <f>SUMIFS(METALFISA!$E:$E,METALFISA!$A:$A,'Faltantes Fevereiro- Metalfisa'!N$3,METALFISA!$B:$B,'Faltantes Fevereiro- Metalfisa'!$A368)</f>
        <v>0</v>
      </c>
      <c r="O368" s="31">
        <f>SUMIFS(METALFISA!$E:$E,METALFISA!$A:$A,'Faltantes Fevereiro- Metalfisa'!O$3,METALFISA!$B:$B,'Faltantes Fevereiro- Metalfisa'!$A368)</f>
        <v>0</v>
      </c>
      <c r="P368" s="31">
        <f>SUMIFS(METALFISA!$E:$E,METALFISA!$A:$A,'Faltantes Fevereiro- Metalfisa'!P$3,METALFISA!$B:$B,'Faltantes Fevereiro- Metalfisa'!$A368)</f>
        <v>0</v>
      </c>
      <c r="Q368" s="31">
        <f>SUMIFS(METALFISA!$E:$E,METALFISA!$A:$A,'Faltantes Fevereiro- Metalfisa'!Q$3,METALFISA!$B:$B,'Faltantes Fevereiro- Metalfisa'!$A368)</f>
        <v>0</v>
      </c>
      <c r="R368" s="31">
        <f>SUMIFS(METALFISA!$E:$E,METALFISA!$A:$A,'Faltantes Fevereiro- Metalfisa'!R$3,METALFISA!$B:$B,'Faltantes Fevereiro- Metalfisa'!$A368)</f>
        <v>0</v>
      </c>
      <c r="S368" s="31">
        <f>SUMIFS(METALFISA!$E:$E,METALFISA!$A:$A,'Faltantes Fevereiro- Metalfisa'!S$3,METALFISA!$B:$B,'Faltantes Fevereiro- Metalfisa'!$A368)</f>
        <v>0</v>
      </c>
      <c r="T368" s="31">
        <f>SUMIFS(METALFISA!$E:$E,METALFISA!$A:$A,'Faltantes Fevereiro- Metalfisa'!T$3,METALFISA!$B:$B,'Faltantes Fevereiro- Metalfisa'!$A368)</f>
        <v>0</v>
      </c>
      <c r="U368" s="31">
        <f>SUMIFS(METALFISA!$E:$E,METALFISA!$A:$A,'Faltantes Fevereiro- Metalfisa'!U$3,METALFISA!$B:$B,'Faltantes Fevereiro- Metalfisa'!$A368)</f>
        <v>0</v>
      </c>
      <c r="V368" s="31">
        <f>SUMIFS(METALFISA!$E:$E,METALFISA!$A:$A,'Faltantes Fevereiro- Metalfisa'!V$3,METALFISA!$B:$B,'Faltantes Fevereiro- Metalfisa'!$A368)</f>
        <v>0</v>
      </c>
      <c r="W368" s="31">
        <f>SUMIFS(METALFISA!$E:$E,METALFISA!$A:$A,'Faltantes Fevereiro- Metalfisa'!W$3,METALFISA!$B:$B,'Faltantes Fevereiro- Metalfisa'!$A368)</f>
        <v>0</v>
      </c>
      <c r="X368" s="31">
        <f>SUMIFS(METALFISA!$E:$E,METALFISA!$A:$A,'Faltantes Fevereiro- Metalfisa'!X$3,METALFISA!$B:$B,'Faltantes Fevereiro- Metalfisa'!$A368)</f>
        <v>0</v>
      </c>
      <c r="Y368" s="31">
        <f>SUMIFS(METALFISA!$E:$E,METALFISA!$A:$A,'Faltantes Fevereiro- Metalfisa'!Y$3,METALFISA!$B:$B,'Faltantes Fevereiro- Metalfisa'!$A368)</f>
        <v>0</v>
      </c>
      <c r="Z368" s="31">
        <f>SUMIFS(METALFISA!$E:$E,METALFISA!$A:$A,'Faltantes Fevereiro- Metalfisa'!Z$3,METALFISA!$B:$B,'Faltantes Fevereiro- Metalfisa'!$A368)</f>
        <v>0</v>
      </c>
      <c r="AA368" s="31">
        <f>SUMIFS(METALFISA!$E:$E,METALFISA!$A:$A,'Faltantes Fevereiro- Metalfisa'!AA$3,METALFISA!$B:$B,'Faltantes Fevereiro- Metalfisa'!$A368)</f>
        <v>0</v>
      </c>
      <c r="AB368" s="31">
        <f>SUMIFS(METALFISA!$E:$E,METALFISA!$A:$A,'Faltantes Fevereiro- Metalfisa'!AB$3,METALFISA!$B:$B,'Faltantes Fevereiro- Metalfisa'!$A368)</f>
        <v>0</v>
      </c>
      <c r="AC368" s="31">
        <f>SUMIFS(METALFISA!$E:$E,METALFISA!$A:$A,'Faltantes Fevereiro- Metalfisa'!AC$3,METALFISA!$B:$B,'Faltantes Fevereiro- Metalfisa'!$A368)</f>
        <v>0</v>
      </c>
      <c r="AD368" s="31">
        <f>SUMIFS(METALFISA!$E:$E,METALFISA!$A:$A,'Faltantes Fevereiro- Metalfisa'!AD$3,METALFISA!$B:$B,'Faltantes Fevereiro- Metalfisa'!$A368)</f>
        <v>0</v>
      </c>
      <c r="AE368" s="31">
        <f>SUMIFS(METALFISA!$E:$E,METALFISA!$A:$A,'Faltantes Fevereiro- Metalfisa'!AE$3,METALFISA!$B:$B,'Faltantes Fevereiro- Metalfisa'!$A368)</f>
        <v>0</v>
      </c>
      <c r="AF368" s="31">
        <f>SUMIFS(METALFISA!$E:$E,METALFISA!$A:$A,'Faltantes Fevereiro- Metalfisa'!AF$3,METALFISA!$B:$B,'Faltantes Fevereiro- Metalfisa'!$A368)</f>
        <v>0</v>
      </c>
      <c r="AG368" s="31">
        <f>SUMIFS(METALFISA!$E:$E,METALFISA!$A:$A,'Faltantes Fevereiro- Metalfisa'!AG$3,METALFISA!$B:$B,'Faltantes Fevereiro- Metalfisa'!$A368)</f>
        <v>0</v>
      </c>
      <c r="AH368" s="31">
        <f>SUMIFS(METALFISA!$E:$E,METALFISA!$A:$A,'Faltantes Fevereiro- Metalfisa'!AH$3,METALFISA!$B:$B,'Faltantes Fevereiro- Metalfisa'!$A368)</f>
        <v>5</v>
      </c>
      <c r="AI368" s="31">
        <f>SUMIFS(METALFISA!$E:$E,METALFISA!$A:$A,'Faltantes Fevereiro- Metalfisa'!AI$3,METALFISA!$B:$B,'Faltantes Fevereiro- Metalfisa'!$A368)</f>
        <v>0</v>
      </c>
      <c r="AJ368" s="31">
        <f>SUMIFS(METALFISA!$E:$E,METALFISA!$A:$A,'Faltantes Fevereiro- Metalfisa'!AJ$3,METALFISA!$B:$B,'Faltantes Fevereiro- Metalfisa'!$A368)</f>
        <v>0</v>
      </c>
      <c r="AK368" s="31">
        <f>SUMIFS(METALFISA!$E:$E,METALFISA!$A:$A,'Faltantes Fevereiro- Metalfisa'!AK$3,METALFISA!$B:$B,'Faltantes Fevereiro- Metalfisa'!$A368)</f>
        <v>0</v>
      </c>
      <c r="AL368" s="31">
        <f>SUMIFS(METALFISA!$E:$E,METALFISA!$A:$A,'Faltantes Fevereiro- Metalfisa'!AL$3,METALFISA!$B:$B,'Faltantes Fevereiro- Metalfisa'!$A368)</f>
        <v>0</v>
      </c>
      <c r="AM368" s="31">
        <f>SUMIFS(METALFISA!$E:$E,METALFISA!$A:$A,'Faltantes Fevereiro- Metalfisa'!AM$3,METALFISA!$B:$B,'Faltantes Fevereiro- Metalfisa'!$A368)</f>
        <v>0</v>
      </c>
      <c r="AN368" s="31">
        <f>SUMIFS(METALFISA!$E:$E,METALFISA!$A:$A,'Faltantes Fevereiro- Metalfisa'!AN$3,METALFISA!$B:$B,'Faltantes Fevereiro- Metalfisa'!$A368)</f>
        <v>0</v>
      </c>
      <c r="AO368" s="31">
        <f>SUMIFS(METALFISA!$E:$E,METALFISA!$A:$A,'Faltantes Fevereiro- Metalfisa'!AO$3,METALFISA!$B:$B,'Faltantes Fevereiro- Metalfisa'!$A368)</f>
        <v>0</v>
      </c>
      <c r="AP368" s="31">
        <f>SUMIFS(METALFISA!$E:$E,METALFISA!$A:$A,'Faltantes Fevereiro- Metalfisa'!AP$3,METALFISA!$B:$B,'Faltantes Fevereiro- Metalfisa'!$A368)</f>
        <v>0</v>
      </c>
      <c r="AQ368" s="31"/>
      <c r="AR368" s="31"/>
      <c r="AS368" s="35"/>
      <c r="AY368" s="41">
        <v>1</v>
      </c>
      <c r="AZ368" s="31">
        <v>1</v>
      </c>
      <c r="BA368" s="31">
        <v>0</v>
      </c>
      <c r="BB368" s="31">
        <v>0</v>
      </c>
      <c r="BC368" s="31">
        <v>0</v>
      </c>
      <c r="BD368" s="31">
        <v>0</v>
      </c>
      <c r="BE368" s="31">
        <v>0</v>
      </c>
      <c r="BF368" s="31">
        <v>0</v>
      </c>
      <c r="BG368" s="31">
        <v>0</v>
      </c>
      <c r="BH368" s="31">
        <v>0</v>
      </c>
      <c r="BI368" s="31">
        <v>0</v>
      </c>
      <c r="BJ368" s="31">
        <v>0</v>
      </c>
      <c r="BK368" s="31">
        <v>0</v>
      </c>
      <c r="BL368" s="31">
        <v>0</v>
      </c>
      <c r="BM368" s="31">
        <v>0</v>
      </c>
      <c r="BN368" s="31">
        <v>0</v>
      </c>
      <c r="BO368" s="31">
        <v>0</v>
      </c>
      <c r="BP368" s="31">
        <v>0</v>
      </c>
      <c r="BQ368" s="31">
        <v>0</v>
      </c>
      <c r="BR368" s="31">
        <v>0</v>
      </c>
      <c r="BS368" s="31">
        <v>0</v>
      </c>
      <c r="BT368" s="31">
        <v>0</v>
      </c>
      <c r="BU368" s="31">
        <v>0</v>
      </c>
      <c r="BV368" s="31">
        <v>0</v>
      </c>
      <c r="BW368" s="31">
        <v>0</v>
      </c>
      <c r="BX368" s="31">
        <v>0</v>
      </c>
      <c r="BY368" s="31">
        <v>0</v>
      </c>
      <c r="BZ368" s="31">
        <v>0</v>
      </c>
      <c r="CA368" s="31">
        <v>0</v>
      </c>
      <c r="CB368" s="31">
        <v>0</v>
      </c>
      <c r="CC368" s="31">
        <v>0</v>
      </c>
      <c r="CD368" s="31">
        <v>0</v>
      </c>
      <c r="CE368" s="31">
        <v>0</v>
      </c>
      <c r="CF368" s="31">
        <v>0</v>
      </c>
      <c r="CG368" s="31">
        <v>0</v>
      </c>
      <c r="CH368" s="31">
        <v>0</v>
      </c>
      <c r="CI368" s="31">
        <v>0</v>
      </c>
      <c r="CJ368" s="31">
        <v>0</v>
      </c>
      <c r="CK368" s="31">
        <v>0</v>
      </c>
      <c r="CL368" s="35">
        <v>0</v>
      </c>
    </row>
    <row r="369" spans="1:90" ht="21" x14ac:dyDescent="0.15">
      <c r="A369" s="31" t="s">
        <v>840</v>
      </c>
      <c r="B369" s="30" t="s">
        <v>841</v>
      </c>
      <c r="C369" s="28">
        <v>4</v>
      </c>
      <c r="D369" s="28">
        <v>0</v>
      </c>
      <c r="E369" s="28">
        <v>0</v>
      </c>
      <c r="F369" s="28">
        <v>0</v>
      </c>
      <c r="G369" s="28">
        <v>29</v>
      </c>
      <c r="H369" s="28">
        <f>IFERROR(VLOOKUP(A369,[1]FALTANTES!$A:$AB,28,FALSE),"-")</f>
        <v>0</v>
      </c>
      <c r="I369" s="42">
        <f>IFERROR(VLOOKUP(A369,[1]FALTANTES!$A:$AC,29,FALSE),"-")</f>
        <v>30</v>
      </c>
      <c r="J369" s="29">
        <f>IFERROR(VLOOKUP(A369,[1]FALTANTES!$A:$AD,30,FALSE),"-")</f>
        <v>-3</v>
      </c>
      <c r="K369" s="30">
        <v>0</v>
      </c>
      <c r="L369" s="30">
        <f t="shared" si="7"/>
        <v>3</v>
      </c>
      <c r="M369" s="31">
        <f>SUMIFS(METALFISA!$E:$E,METALFISA!$A:$A,'Faltantes Fevereiro- Metalfisa'!M$3,METALFISA!$B:$B,'Faltantes Fevereiro- Metalfisa'!$A369)</f>
        <v>0</v>
      </c>
      <c r="N369" s="31">
        <f>SUMIFS(METALFISA!$E:$E,METALFISA!$A:$A,'Faltantes Fevereiro- Metalfisa'!N$3,METALFISA!$B:$B,'Faltantes Fevereiro- Metalfisa'!$A369)</f>
        <v>0</v>
      </c>
      <c r="O369" s="31">
        <f>SUMIFS(METALFISA!$E:$E,METALFISA!$A:$A,'Faltantes Fevereiro- Metalfisa'!O$3,METALFISA!$B:$B,'Faltantes Fevereiro- Metalfisa'!$A369)</f>
        <v>0</v>
      </c>
      <c r="P369" s="31">
        <f>SUMIFS(METALFISA!$E:$E,METALFISA!$A:$A,'Faltantes Fevereiro- Metalfisa'!P$3,METALFISA!$B:$B,'Faltantes Fevereiro- Metalfisa'!$A369)</f>
        <v>0</v>
      </c>
      <c r="Q369" s="31">
        <f>SUMIFS(METALFISA!$E:$E,METALFISA!$A:$A,'Faltantes Fevereiro- Metalfisa'!Q$3,METALFISA!$B:$B,'Faltantes Fevereiro- Metalfisa'!$A369)</f>
        <v>0</v>
      </c>
      <c r="R369" s="31">
        <f>SUMIFS(METALFISA!$E:$E,METALFISA!$A:$A,'Faltantes Fevereiro- Metalfisa'!R$3,METALFISA!$B:$B,'Faltantes Fevereiro- Metalfisa'!$A369)</f>
        <v>0</v>
      </c>
      <c r="S369" s="31">
        <f>SUMIFS(METALFISA!$E:$E,METALFISA!$A:$A,'Faltantes Fevereiro- Metalfisa'!S$3,METALFISA!$B:$B,'Faltantes Fevereiro- Metalfisa'!$A369)</f>
        <v>0</v>
      </c>
      <c r="T369" s="31">
        <f>SUMIFS(METALFISA!$E:$E,METALFISA!$A:$A,'Faltantes Fevereiro- Metalfisa'!T$3,METALFISA!$B:$B,'Faltantes Fevereiro- Metalfisa'!$A369)</f>
        <v>0</v>
      </c>
      <c r="U369" s="31">
        <f>SUMIFS(METALFISA!$E:$E,METALFISA!$A:$A,'Faltantes Fevereiro- Metalfisa'!U$3,METALFISA!$B:$B,'Faltantes Fevereiro- Metalfisa'!$A369)</f>
        <v>0</v>
      </c>
      <c r="V369" s="31">
        <f>SUMIFS(METALFISA!$E:$E,METALFISA!$A:$A,'Faltantes Fevereiro- Metalfisa'!V$3,METALFISA!$B:$B,'Faltantes Fevereiro- Metalfisa'!$A369)</f>
        <v>0</v>
      </c>
      <c r="W369" s="31">
        <f>SUMIFS(METALFISA!$E:$E,METALFISA!$A:$A,'Faltantes Fevereiro- Metalfisa'!W$3,METALFISA!$B:$B,'Faltantes Fevereiro- Metalfisa'!$A369)</f>
        <v>0</v>
      </c>
      <c r="X369" s="31">
        <f>SUMIFS(METALFISA!$E:$E,METALFISA!$A:$A,'Faltantes Fevereiro- Metalfisa'!X$3,METALFISA!$B:$B,'Faltantes Fevereiro- Metalfisa'!$A369)</f>
        <v>0</v>
      </c>
      <c r="Y369" s="31">
        <f>SUMIFS(METALFISA!$E:$E,METALFISA!$A:$A,'Faltantes Fevereiro- Metalfisa'!Y$3,METALFISA!$B:$B,'Faltantes Fevereiro- Metalfisa'!$A369)</f>
        <v>0</v>
      </c>
      <c r="Z369" s="31">
        <f>SUMIFS(METALFISA!$E:$E,METALFISA!$A:$A,'Faltantes Fevereiro- Metalfisa'!Z$3,METALFISA!$B:$B,'Faltantes Fevereiro- Metalfisa'!$A369)</f>
        <v>0</v>
      </c>
      <c r="AA369" s="31">
        <f>SUMIFS(METALFISA!$E:$E,METALFISA!$A:$A,'Faltantes Fevereiro- Metalfisa'!AA$3,METALFISA!$B:$B,'Faltantes Fevereiro- Metalfisa'!$A369)</f>
        <v>0</v>
      </c>
      <c r="AB369" s="31">
        <f>SUMIFS(METALFISA!$E:$E,METALFISA!$A:$A,'Faltantes Fevereiro- Metalfisa'!AB$3,METALFISA!$B:$B,'Faltantes Fevereiro- Metalfisa'!$A369)</f>
        <v>0</v>
      </c>
      <c r="AC369" s="31">
        <f>SUMIFS(METALFISA!$E:$E,METALFISA!$A:$A,'Faltantes Fevereiro- Metalfisa'!AC$3,METALFISA!$B:$B,'Faltantes Fevereiro- Metalfisa'!$A369)</f>
        <v>0</v>
      </c>
      <c r="AD369" s="31">
        <f>SUMIFS(METALFISA!$E:$E,METALFISA!$A:$A,'Faltantes Fevereiro- Metalfisa'!AD$3,METALFISA!$B:$B,'Faltantes Fevereiro- Metalfisa'!$A369)</f>
        <v>0</v>
      </c>
      <c r="AE369" s="31">
        <f>SUMIFS(METALFISA!$E:$E,METALFISA!$A:$A,'Faltantes Fevereiro- Metalfisa'!AE$3,METALFISA!$B:$B,'Faltantes Fevereiro- Metalfisa'!$A369)</f>
        <v>0</v>
      </c>
      <c r="AF369" s="31">
        <f>SUMIFS(METALFISA!$E:$E,METALFISA!$A:$A,'Faltantes Fevereiro- Metalfisa'!AF$3,METALFISA!$B:$B,'Faltantes Fevereiro- Metalfisa'!$A369)</f>
        <v>0</v>
      </c>
      <c r="AG369" s="31">
        <f>SUMIFS(METALFISA!$E:$E,METALFISA!$A:$A,'Faltantes Fevereiro- Metalfisa'!AG$3,METALFISA!$B:$B,'Faltantes Fevereiro- Metalfisa'!$A369)</f>
        <v>0</v>
      </c>
      <c r="AH369" s="31">
        <f>SUMIFS(METALFISA!$E:$E,METALFISA!$A:$A,'Faltantes Fevereiro- Metalfisa'!AH$3,METALFISA!$B:$B,'Faltantes Fevereiro- Metalfisa'!$A369)</f>
        <v>3</v>
      </c>
      <c r="AI369" s="31">
        <f>SUMIFS(METALFISA!$E:$E,METALFISA!$A:$A,'Faltantes Fevereiro- Metalfisa'!AI$3,METALFISA!$B:$B,'Faltantes Fevereiro- Metalfisa'!$A369)</f>
        <v>0</v>
      </c>
      <c r="AJ369" s="31">
        <f>SUMIFS(METALFISA!$E:$E,METALFISA!$A:$A,'Faltantes Fevereiro- Metalfisa'!AJ$3,METALFISA!$B:$B,'Faltantes Fevereiro- Metalfisa'!$A369)</f>
        <v>0</v>
      </c>
      <c r="AK369" s="31">
        <f>SUMIFS(METALFISA!$E:$E,METALFISA!$A:$A,'Faltantes Fevereiro- Metalfisa'!AK$3,METALFISA!$B:$B,'Faltantes Fevereiro- Metalfisa'!$A369)</f>
        <v>0</v>
      </c>
      <c r="AL369" s="31">
        <f>SUMIFS(METALFISA!$E:$E,METALFISA!$A:$A,'Faltantes Fevereiro- Metalfisa'!AL$3,METALFISA!$B:$B,'Faltantes Fevereiro- Metalfisa'!$A369)</f>
        <v>0</v>
      </c>
      <c r="AM369" s="31">
        <f>SUMIFS(METALFISA!$E:$E,METALFISA!$A:$A,'Faltantes Fevereiro- Metalfisa'!AM$3,METALFISA!$B:$B,'Faltantes Fevereiro- Metalfisa'!$A369)</f>
        <v>0</v>
      </c>
      <c r="AN369" s="31">
        <f>SUMIFS(METALFISA!$E:$E,METALFISA!$A:$A,'Faltantes Fevereiro- Metalfisa'!AN$3,METALFISA!$B:$B,'Faltantes Fevereiro- Metalfisa'!$A369)</f>
        <v>0</v>
      </c>
      <c r="AO369" s="31">
        <f>SUMIFS(METALFISA!$E:$E,METALFISA!$A:$A,'Faltantes Fevereiro- Metalfisa'!AO$3,METALFISA!$B:$B,'Faltantes Fevereiro- Metalfisa'!$A369)</f>
        <v>0</v>
      </c>
      <c r="AP369" s="31">
        <f>SUMIFS(METALFISA!$E:$E,METALFISA!$A:$A,'Faltantes Fevereiro- Metalfisa'!AP$3,METALFISA!$B:$B,'Faltantes Fevereiro- Metalfisa'!$A369)</f>
        <v>0</v>
      </c>
      <c r="AQ369" s="31"/>
      <c r="AR369" s="31"/>
      <c r="AS369" s="35"/>
      <c r="AY369" s="41">
        <v>1</v>
      </c>
      <c r="AZ369" s="31">
        <v>1</v>
      </c>
      <c r="BA369" s="31">
        <v>0</v>
      </c>
      <c r="BB369" s="31">
        <v>0</v>
      </c>
      <c r="BC369" s="31">
        <v>0</v>
      </c>
      <c r="BD369" s="31">
        <v>0</v>
      </c>
      <c r="BE369" s="31">
        <v>0</v>
      </c>
      <c r="BF369" s="31">
        <v>0</v>
      </c>
      <c r="BG369" s="31">
        <v>0</v>
      </c>
      <c r="BH369" s="31">
        <v>0</v>
      </c>
      <c r="BI369" s="31">
        <v>0</v>
      </c>
      <c r="BJ369" s="31">
        <v>0</v>
      </c>
      <c r="BK369" s="31">
        <v>0</v>
      </c>
      <c r="BL369" s="31">
        <v>0</v>
      </c>
      <c r="BM369" s="31">
        <v>0</v>
      </c>
      <c r="BN369" s="31">
        <v>0</v>
      </c>
      <c r="BO369" s="31">
        <v>0</v>
      </c>
      <c r="BP369" s="31">
        <v>0</v>
      </c>
      <c r="BQ369" s="31">
        <v>0</v>
      </c>
      <c r="BR369" s="31">
        <v>0</v>
      </c>
      <c r="BS369" s="31">
        <v>0</v>
      </c>
      <c r="BT369" s="31">
        <v>0</v>
      </c>
      <c r="BU369" s="31">
        <v>0</v>
      </c>
      <c r="BV369" s="31">
        <v>0</v>
      </c>
      <c r="BW369" s="31">
        <v>0</v>
      </c>
      <c r="BX369" s="31">
        <v>0</v>
      </c>
      <c r="BY369" s="31">
        <v>0</v>
      </c>
      <c r="BZ369" s="31">
        <v>0</v>
      </c>
      <c r="CA369" s="31">
        <v>0</v>
      </c>
      <c r="CB369" s="31">
        <v>0</v>
      </c>
      <c r="CC369" s="31">
        <v>0</v>
      </c>
      <c r="CD369" s="31">
        <v>0</v>
      </c>
      <c r="CE369" s="31">
        <v>0</v>
      </c>
      <c r="CF369" s="31">
        <v>0</v>
      </c>
      <c r="CG369" s="31">
        <v>0</v>
      </c>
      <c r="CH369" s="31">
        <v>0</v>
      </c>
      <c r="CI369" s="31">
        <v>0</v>
      </c>
      <c r="CJ369" s="31">
        <v>0</v>
      </c>
      <c r="CK369" s="31">
        <v>0</v>
      </c>
      <c r="CL369" s="35">
        <v>0</v>
      </c>
    </row>
    <row r="370" spans="1:90" ht="21" x14ac:dyDescent="0.15">
      <c r="A370" s="31" t="s">
        <v>842</v>
      </c>
      <c r="B370" s="30" t="s">
        <v>843</v>
      </c>
      <c r="C370" s="28">
        <v>6</v>
      </c>
      <c r="D370" s="28">
        <v>0</v>
      </c>
      <c r="E370" s="28">
        <v>0</v>
      </c>
      <c r="F370" s="28">
        <v>0</v>
      </c>
      <c r="G370" s="28">
        <v>29</v>
      </c>
      <c r="H370" s="28">
        <f>IFERROR(VLOOKUP(A370,[1]FALTANTES!$A:$AB,28,FALSE),"-")</f>
        <v>0</v>
      </c>
      <c r="I370" s="42">
        <f>IFERROR(VLOOKUP(A370,[1]FALTANTES!$A:$AC,29,FALSE),"-")</f>
        <v>27</v>
      </c>
      <c r="J370" s="29">
        <f>IFERROR(VLOOKUP(A370,[1]FALTANTES!$A:$AD,30,FALSE),"-")</f>
        <v>-8</v>
      </c>
      <c r="K370" s="30">
        <v>0</v>
      </c>
      <c r="L370" s="30">
        <f t="shared" si="7"/>
        <v>6</v>
      </c>
      <c r="M370" s="31">
        <f>SUMIFS(METALFISA!$E:$E,METALFISA!$A:$A,'Faltantes Fevereiro- Metalfisa'!M$3,METALFISA!$B:$B,'Faltantes Fevereiro- Metalfisa'!$A370)</f>
        <v>0</v>
      </c>
      <c r="N370" s="31">
        <f>SUMIFS(METALFISA!$E:$E,METALFISA!$A:$A,'Faltantes Fevereiro- Metalfisa'!N$3,METALFISA!$B:$B,'Faltantes Fevereiro- Metalfisa'!$A370)</f>
        <v>0</v>
      </c>
      <c r="O370" s="31">
        <f>SUMIFS(METALFISA!$E:$E,METALFISA!$A:$A,'Faltantes Fevereiro- Metalfisa'!O$3,METALFISA!$B:$B,'Faltantes Fevereiro- Metalfisa'!$A370)</f>
        <v>0</v>
      </c>
      <c r="P370" s="31">
        <f>SUMIFS(METALFISA!$E:$E,METALFISA!$A:$A,'Faltantes Fevereiro- Metalfisa'!P$3,METALFISA!$B:$B,'Faltantes Fevereiro- Metalfisa'!$A370)</f>
        <v>0</v>
      </c>
      <c r="Q370" s="31">
        <f>SUMIFS(METALFISA!$E:$E,METALFISA!$A:$A,'Faltantes Fevereiro- Metalfisa'!Q$3,METALFISA!$B:$B,'Faltantes Fevereiro- Metalfisa'!$A370)</f>
        <v>0</v>
      </c>
      <c r="R370" s="31">
        <f>SUMIFS(METALFISA!$E:$E,METALFISA!$A:$A,'Faltantes Fevereiro- Metalfisa'!R$3,METALFISA!$B:$B,'Faltantes Fevereiro- Metalfisa'!$A370)</f>
        <v>0</v>
      </c>
      <c r="S370" s="31">
        <f>SUMIFS(METALFISA!$E:$E,METALFISA!$A:$A,'Faltantes Fevereiro- Metalfisa'!S$3,METALFISA!$B:$B,'Faltantes Fevereiro- Metalfisa'!$A370)</f>
        <v>0</v>
      </c>
      <c r="T370" s="31">
        <f>SUMIFS(METALFISA!$E:$E,METALFISA!$A:$A,'Faltantes Fevereiro- Metalfisa'!T$3,METALFISA!$B:$B,'Faltantes Fevereiro- Metalfisa'!$A370)</f>
        <v>0</v>
      </c>
      <c r="U370" s="31">
        <f>SUMIFS(METALFISA!$E:$E,METALFISA!$A:$A,'Faltantes Fevereiro- Metalfisa'!U$3,METALFISA!$B:$B,'Faltantes Fevereiro- Metalfisa'!$A370)</f>
        <v>0</v>
      </c>
      <c r="V370" s="31">
        <f>SUMIFS(METALFISA!$E:$E,METALFISA!$A:$A,'Faltantes Fevereiro- Metalfisa'!V$3,METALFISA!$B:$B,'Faltantes Fevereiro- Metalfisa'!$A370)</f>
        <v>0</v>
      </c>
      <c r="W370" s="31">
        <f>SUMIFS(METALFISA!$E:$E,METALFISA!$A:$A,'Faltantes Fevereiro- Metalfisa'!W$3,METALFISA!$B:$B,'Faltantes Fevereiro- Metalfisa'!$A370)</f>
        <v>0</v>
      </c>
      <c r="X370" s="31">
        <f>SUMIFS(METALFISA!$E:$E,METALFISA!$A:$A,'Faltantes Fevereiro- Metalfisa'!X$3,METALFISA!$B:$B,'Faltantes Fevereiro- Metalfisa'!$A370)</f>
        <v>0</v>
      </c>
      <c r="Y370" s="31">
        <f>SUMIFS(METALFISA!$E:$E,METALFISA!$A:$A,'Faltantes Fevereiro- Metalfisa'!Y$3,METALFISA!$B:$B,'Faltantes Fevereiro- Metalfisa'!$A370)</f>
        <v>0</v>
      </c>
      <c r="Z370" s="31">
        <f>SUMIFS(METALFISA!$E:$E,METALFISA!$A:$A,'Faltantes Fevereiro- Metalfisa'!Z$3,METALFISA!$B:$B,'Faltantes Fevereiro- Metalfisa'!$A370)</f>
        <v>0</v>
      </c>
      <c r="AA370" s="31">
        <f>SUMIFS(METALFISA!$E:$E,METALFISA!$A:$A,'Faltantes Fevereiro- Metalfisa'!AA$3,METALFISA!$B:$B,'Faltantes Fevereiro- Metalfisa'!$A370)</f>
        <v>0</v>
      </c>
      <c r="AB370" s="31">
        <f>SUMIFS(METALFISA!$E:$E,METALFISA!$A:$A,'Faltantes Fevereiro- Metalfisa'!AB$3,METALFISA!$B:$B,'Faltantes Fevereiro- Metalfisa'!$A370)</f>
        <v>0</v>
      </c>
      <c r="AC370" s="31">
        <f>SUMIFS(METALFISA!$E:$E,METALFISA!$A:$A,'Faltantes Fevereiro- Metalfisa'!AC$3,METALFISA!$B:$B,'Faltantes Fevereiro- Metalfisa'!$A370)</f>
        <v>0</v>
      </c>
      <c r="AD370" s="31">
        <f>SUMIFS(METALFISA!$E:$E,METALFISA!$A:$A,'Faltantes Fevereiro- Metalfisa'!AD$3,METALFISA!$B:$B,'Faltantes Fevereiro- Metalfisa'!$A370)</f>
        <v>0</v>
      </c>
      <c r="AE370" s="31">
        <f>SUMIFS(METALFISA!$E:$E,METALFISA!$A:$A,'Faltantes Fevereiro- Metalfisa'!AE$3,METALFISA!$B:$B,'Faltantes Fevereiro- Metalfisa'!$A370)</f>
        <v>0</v>
      </c>
      <c r="AF370" s="31">
        <f>SUMIFS(METALFISA!$E:$E,METALFISA!$A:$A,'Faltantes Fevereiro- Metalfisa'!AF$3,METALFISA!$B:$B,'Faltantes Fevereiro- Metalfisa'!$A370)</f>
        <v>0</v>
      </c>
      <c r="AG370" s="31">
        <f>SUMIFS(METALFISA!$E:$E,METALFISA!$A:$A,'Faltantes Fevereiro- Metalfisa'!AG$3,METALFISA!$B:$B,'Faltantes Fevereiro- Metalfisa'!$A370)</f>
        <v>0</v>
      </c>
      <c r="AH370" s="31">
        <f>SUMIFS(METALFISA!$E:$E,METALFISA!$A:$A,'Faltantes Fevereiro- Metalfisa'!AH$3,METALFISA!$B:$B,'Faltantes Fevereiro- Metalfisa'!$A370)</f>
        <v>6</v>
      </c>
      <c r="AI370" s="31">
        <f>SUMIFS(METALFISA!$E:$E,METALFISA!$A:$A,'Faltantes Fevereiro- Metalfisa'!AI$3,METALFISA!$B:$B,'Faltantes Fevereiro- Metalfisa'!$A370)</f>
        <v>0</v>
      </c>
      <c r="AJ370" s="31">
        <f>SUMIFS(METALFISA!$E:$E,METALFISA!$A:$A,'Faltantes Fevereiro- Metalfisa'!AJ$3,METALFISA!$B:$B,'Faltantes Fevereiro- Metalfisa'!$A370)</f>
        <v>0</v>
      </c>
      <c r="AK370" s="31">
        <f>SUMIFS(METALFISA!$E:$E,METALFISA!$A:$A,'Faltantes Fevereiro- Metalfisa'!AK$3,METALFISA!$B:$B,'Faltantes Fevereiro- Metalfisa'!$A370)</f>
        <v>0</v>
      </c>
      <c r="AL370" s="31">
        <f>SUMIFS(METALFISA!$E:$E,METALFISA!$A:$A,'Faltantes Fevereiro- Metalfisa'!AL$3,METALFISA!$B:$B,'Faltantes Fevereiro- Metalfisa'!$A370)</f>
        <v>0</v>
      </c>
      <c r="AM370" s="31">
        <f>SUMIFS(METALFISA!$E:$E,METALFISA!$A:$A,'Faltantes Fevereiro- Metalfisa'!AM$3,METALFISA!$B:$B,'Faltantes Fevereiro- Metalfisa'!$A370)</f>
        <v>0</v>
      </c>
      <c r="AN370" s="31">
        <f>SUMIFS(METALFISA!$E:$E,METALFISA!$A:$A,'Faltantes Fevereiro- Metalfisa'!AN$3,METALFISA!$B:$B,'Faltantes Fevereiro- Metalfisa'!$A370)</f>
        <v>0</v>
      </c>
      <c r="AO370" s="31">
        <f>SUMIFS(METALFISA!$E:$E,METALFISA!$A:$A,'Faltantes Fevereiro- Metalfisa'!AO$3,METALFISA!$B:$B,'Faltantes Fevereiro- Metalfisa'!$A370)</f>
        <v>0</v>
      </c>
      <c r="AP370" s="31">
        <f>SUMIFS(METALFISA!$E:$E,METALFISA!$A:$A,'Faltantes Fevereiro- Metalfisa'!AP$3,METALFISA!$B:$B,'Faltantes Fevereiro- Metalfisa'!$A370)</f>
        <v>0</v>
      </c>
      <c r="AQ370" s="31"/>
      <c r="AR370" s="31"/>
      <c r="AS370" s="35"/>
      <c r="AY370" s="41">
        <v>1</v>
      </c>
      <c r="AZ370" s="31">
        <v>1</v>
      </c>
      <c r="BA370" s="31">
        <v>0</v>
      </c>
      <c r="BB370" s="31">
        <v>0</v>
      </c>
      <c r="BC370" s="31">
        <v>0</v>
      </c>
      <c r="BD370" s="31">
        <v>0</v>
      </c>
      <c r="BE370" s="31">
        <v>0</v>
      </c>
      <c r="BF370" s="31">
        <v>0</v>
      </c>
      <c r="BG370" s="31">
        <v>0</v>
      </c>
      <c r="BH370" s="31">
        <v>0</v>
      </c>
      <c r="BI370" s="31">
        <v>0</v>
      </c>
      <c r="BJ370" s="31">
        <v>0</v>
      </c>
      <c r="BK370" s="31">
        <v>0</v>
      </c>
      <c r="BL370" s="31">
        <v>0</v>
      </c>
      <c r="BM370" s="31">
        <v>0</v>
      </c>
      <c r="BN370" s="31">
        <v>0</v>
      </c>
      <c r="BO370" s="31">
        <v>0</v>
      </c>
      <c r="BP370" s="31">
        <v>0</v>
      </c>
      <c r="BQ370" s="31">
        <v>0</v>
      </c>
      <c r="BR370" s="31">
        <v>0</v>
      </c>
      <c r="BS370" s="31">
        <v>0</v>
      </c>
      <c r="BT370" s="31">
        <v>0</v>
      </c>
      <c r="BU370" s="31">
        <v>0</v>
      </c>
      <c r="BV370" s="31">
        <v>0</v>
      </c>
      <c r="BW370" s="31">
        <v>0</v>
      </c>
      <c r="BX370" s="31">
        <v>0</v>
      </c>
      <c r="BY370" s="31">
        <v>0</v>
      </c>
      <c r="BZ370" s="31">
        <v>0</v>
      </c>
      <c r="CA370" s="31">
        <v>0</v>
      </c>
      <c r="CB370" s="31">
        <v>0</v>
      </c>
      <c r="CC370" s="31">
        <v>0</v>
      </c>
      <c r="CD370" s="31">
        <v>0</v>
      </c>
      <c r="CE370" s="31">
        <v>0</v>
      </c>
      <c r="CF370" s="31">
        <v>0</v>
      </c>
      <c r="CG370" s="31">
        <v>0</v>
      </c>
      <c r="CH370" s="31">
        <v>0</v>
      </c>
      <c r="CI370" s="31">
        <v>0</v>
      </c>
      <c r="CJ370" s="31">
        <v>0</v>
      </c>
      <c r="CK370" s="31">
        <v>0</v>
      </c>
      <c r="CL370" s="35">
        <v>0</v>
      </c>
    </row>
    <row r="371" spans="1:90" ht="31.5" x14ac:dyDescent="0.15">
      <c r="A371" s="31" t="s">
        <v>980</v>
      </c>
      <c r="B371" s="30" t="s">
        <v>981</v>
      </c>
      <c r="C371" s="28">
        <v>44</v>
      </c>
      <c r="D371" s="28">
        <v>0</v>
      </c>
      <c r="E371" s="28">
        <v>0</v>
      </c>
      <c r="F371" s="28">
        <v>0</v>
      </c>
      <c r="G371" s="28">
        <v>232</v>
      </c>
      <c r="H371" s="28">
        <f>IFERROR(VLOOKUP(A371,[1]FALTANTES!$A:$AB,28,FALSE),"-")</f>
        <v>0</v>
      </c>
      <c r="I371" s="42">
        <f>IFERROR(VLOOKUP(A371,[1]FALTANTES!$A:$AC,29,FALSE),"-")</f>
        <v>258</v>
      </c>
      <c r="J371" s="29">
        <f>IFERROR(VLOOKUP(A371,[1]FALTANTES!$A:$AD,30,FALSE),"-")</f>
        <v>-18</v>
      </c>
      <c r="K371" s="30" t="s">
        <v>5641</v>
      </c>
      <c r="L371" s="30">
        <f t="shared" si="7"/>
        <v>17</v>
      </c>
      <c r="M371" s="31">
        <f>SUMIFS(METALFISA!$E:$E,METALFISA!$A:$A,'Faltantes Fevereiro- Metalfisa'!M$3,METALFISA!$B:$B,'Faltantes Fevereiro- Metalfisa'!$A371)</f>
        <v>0</v>
      </c>
      <c r="N371" s="31">
        <f>SUMIFS(METALFISA!$E:$E,METALFISA!$A:$A,'Faltantes Fevereiro- Metalfisa'!N$3,METALFISA!$B:$B,'Faltantes Fevereiro- Metalfisa'!$A371)</f>
        <v>0</v>
      </c>
      <c r="O371" s="31">
        <f>SUMIFS(METALFISA!$E:$E,METALFISA!$A:$A,'Faltantes Fevereiro- Metalfisa'!O$3,METALFISA!$B:$B,'Faltantes Fevereiro- Metalfisa'!$A371)</f>
        <v>0</v>
      </c>
      <c r="P371" s="31">
        <f>SUMIFS(METALFISA!$E:$E,METALFISA!$A:$A,'Faltantes Fevereiro- Metalfisa'!P$3,METALFISA!$B:$B,'Faltantes Fevereiro- Metalfisa'!$A371)</f>
        <v>0</v>
      </c>
      <c r="Q371" s="31">
        <f>SUMIFS(METALFISA!$E:$E,METALFISA!$A:$A,'Faltantes Fevereiro- Metalfisa'!Q$3,METALFISA!$B:$B,'Faltantes Fevereiro- Metalfisa'!$A371)</f>
        <v>0</v>
      </c>
      <c r="R371" s="31">
        <f>SUMIFS(METALFISA!$E:$E,METALFISA!$A:$A,'Faltantes Fevereiro- Metalfisa'!R$3,METALFISA!$B:$B,'Faltantes Fevereiro- Metalfisa'!$A371)</f>
        <v>0</v>
      </c>
      <c r="S371" s="31">
        <f>SUMIFS(METALFISA!$E:$E,METALFISA!$A:$A,'Faltantes Fevereiro- Metalfisa'!S$3,METALFISA!$B:$B,'Faltantes Fevereiro- Metalfisa'!$A371)</f>
        <v>0</v>
      </c>
      <c r="T371" s="31">
        <f>SUMIFS(METALFISA!$E:$E,METALFISA!$A:$A,'Faltantes Fevereiro- Metalfisa'!T$3,METALFISA!$B:$B,'Faltantes Fevereiro- Metalfisa'!$A371)</f>
        <v>0</v>
      </c>
      <c r="U371" s="31">
        <f>SUMIFS(METALFISA!$E:$E,METALFISA!$A:$A,'Faltantes Fevereiro- Metalfisa'!U$3,METALFISA!$B:$B,'Faltantes Fevereiro- Metalfisa'!$A371)</f>
        <v>0</v>
      </c>
      <c r="V371" s="31">
        <f>SUMIFS(METALFISA!$E:$E,METALFISA!$A:$A,'Faltantes Fevereiro- Metalfisa'!V$3,METALFISA!$B:$B,'Faltantes Fevereiro- Metalfisa'!$A371)</f>
        <v>0</v>
      </c>
      <c r="W371" s="31">
        <f>SUMIFS(METALFISA!$E:$E,METALFISA!$A:$A,'Faltantes Fevereiro- Metalfisa'!W$3,METALFISA!$B:$B,'Faltantes Fevereiro- Metalfisa'!$A371)</f>
        <v>0</v>
      </c>
      <c r="X371" s="31">
        <f>SUMIFS(METALFISA!$E:$E,METALFISA!$A:$A,'Faltantes Fevereiro- Metalfisa'!X$3,METALFISA!$B:$B,'Faltantes Fevereiro- Metalfisa'!$A371)</f>
        <v>0</v>
      </c>
      <c r="Y371" s="31">
        <f>SUMIFS(METALFISA!$E:$E,METALFISA!$A:$A,'Faltantes Fevereiro- Metalfisa'!Y$3,METALFISA!$B:$B,'Faltantes Fevereiro- Metalfisa'!$A371)</f>
        <v>0</v>
      </c>
      <c r="Z371" s="31">
        <f>SUMIFS(METALFISA!$E:$E,METALFISA!$A:$A,'Faltantes Fevereiro- Metalfisa'!Z$3,METALFISA!$B:$B,'Faltantes Fevereiro- Metalfisa'!$A371)</f>
        <v>0</v>
      </c>
      <c r="AA371" s="31">
        <f>SUMIFS(METALFISA!$E:$E,METALFISA!$A:$A,'Faltantes Fevereiro- Metalfisa'!AA$3,METALFISA!$B:$B,'Faltantes Fevereiro- Metalfisa'!$A371)</f>
        <v>0</v>
      </c>
      <c r="AB371" s="31">
        <f>SUMIFS(METALFISA!$E:$E,METALFISA!$A:$A,'Faltantes Fevereiro- Metalfisa'!AB$3,METALFISA!$B:$B,'Faltantes Fevereiro- Metalfisa'!$A371)</f>
        <v>0</v>
      </c>
      <c r="AC371" s="31">
        <f>SUMIFS(METALFISA!$E:$E,METALFISA!$A:$A,'Faltantes Fevereiro- Metalfisa'!AC$3,METALFISA!$B:$B,'Faltantes Fevereiro- Metalfisa'!$A371)</f>
        <v>0</v>
      </c>
      <c r="AD371" s="31">
        <f>SUMIFS(METALFISA!$E:$E,METALFISA!$A:$A,'Faltantes Fevereiro- Metalfisa'!AD$3,METALFISA!$B:$B,'Faltantes Fevereiro- Metalfisa'!$A371)</f>
        <v>0</v>
      </c>
      <c r="AE371" s="31">
        <f>SUMIFS(METALFISA!$E:$E,METALFISA!$A:$A,'Faltantes Fevereiro- Metalfisa'!AE$3,METALFISA!$B:$B,'Faltantes Fevereiro- Metalfisa'!$A371)</f>
        <v>0</v>
      </c>
      <c r="AF371" s="31">
        <f>SUMIFS(METALFISA!$E:$E,METALFISA!$A:$A,'Faltantes Fevereiro- Metalfisa'!AF$3,METALFISA!$B:$B,'Faltantes Fevereiro- Metalfisa'!$A371)</f>
        <v>0</v>
      </c>
      <c r="AG371" s="31">
        <f>SUMIFS(METALFISA!$E:$E,METALFISA!$A:$A,'Faltantes Fevereiro- Metalfisa'!AG$3,METALFISA!$B:$B,'Faltantes Fevereiro- Metalfisa'!$A371)</f>
        <v>0</v>
      </c>
      <c r="AH371" s="31">
        <f>SUMIFS(METALFISA!$E:$E,METALFISA!$A:$A,'Faltantes Fevereiro- Metalfisa'!AH$3,METALFISA!$B:$B,'Faltantes Fevereiro- Metalfisa'!$A371)</f>
        <v>6</v>
      </c>
      <c r="AI371" s="31">
        <f>SUMIFS(METALFISA!$E:$E,METALFISA!$A:$A,'Faltantes Fevereiro- Metalfisa'!AI$3,METALFISA!$B:$B,'Faltantes Fevereiro- Metalfisa'!$A371)</f>
        <v>0</v>
      </c>
      <c r="AJ371" s="31">
        <f>SUMIFS(METALFISA!$E:$E,METALFISA!$A:$A,'Faltantes Fevereiro- Metalfisa'!AJ$3,METALFISA!$B:$B,'Faltantes Fevereiro- Metalfisa'!$A371)</f>
        <v>0</v>
      </c>
      <c r="AK371" s="31">
        <f>SUMIFS(METALFISA!$E:$E,METALFISA!$A:$A,'Faltantes Fevereiro- Metalfisa'!AK$3,METALFISA!$B:$B,'Faltantes Fevereiro- Metalfisa'!$A371)</f>
        <v>0</v>
      </c>
      <c r="AL371" s="31">
        <f>SUMIFS(METALFISA!$E:$E,METALFISA!$A:$A,'Faltantes Fevereiro- Metalfisa'!AL$3,METALFISA!$B:$B,'Faltantes Fevereiro- Metalfisa'!$A371)</f>
        <v>0</v>
      </c>
      <c r="AM371" s="31">
        <f>SUMIFS(METALFISA!$E:$E,METALFISA!$A:$A,'Faltantes Fevereiro- Metalfisa'!AM$3,METALFISA!$B:$B,'Faltantes Fevereiro- Metalfisa'!$A371)</f>
        <v>11</v>
      </c>
      <c r="AN371" s="31">
        <f>SUMIFS(METALFISA!$E:$E,METALFISA!$A:$A,'Faltantes Fevereiro- Metalfisa'!AN$3,METALFISA!$B:$B,'Faltantes Fevereiro- Metalfisa'!$A371)</f>
        <v>0</v>
      </c>
      <c r="AO371" s="31">
        <f>SUMIFS(METALFISA!$E:$E,METALFISA!$A:$A,'Faltantes Fevereiro- Metalfisa'!AO$3,METALFISA!$B:$B,'Faltantes Fevereiro- Metalfisa'!$A371)</f>
        <v>0</v>
      </c>
      <c r="AP371" s="31">
        <f>SUMIFS(METALFISA!$E:$E,METALFISA!$A:$A,'Faltantes Fevereiro- Metalfisa'!AP$3,METALFISA!$B:$B,'Faltantes Fevereiro- Metalfisa'!$A371)</f>
        <v>0</v>
      </c>
      <c r="AQ371" s="31"/>
      <c r="AR371" s="31"/>
      <c r="AS371" s="35"/>
      <c r="AY371" s="41">
        <v>8</v>
      </c>
      <c r="AZ371" s="31">
        <v>8</v>
      </c>
      <c r="BA371" s="31">
        <v>0</v>
      </c>
      <c r="BB371" s="31">
        <v>0</v>
      </c>
      <c r="BC371" s="31">
        <v>0</v>
      </c>
      <c r="BD371" s="31">
        <v>0</v>
      </c>
      <c r="BE371" s="31">
        <v>0</v>
      </c>
      <c r="BF371" s="31">
        <v>0</v>
      </c>
      <c r="BG371" s="31">
        <v>0</v>
      </c>
      <c r="BH371" s="31">
        <v>0</v>
      </c>
      <c r="BI371" s="31">
        <v>0</v>
      </c>
      <c r="BJ371" s="31">
        <v>0</v>
      </c>
      <c r="BK371" s="31">
        <v>0</v>
      </c>
      <c r="BL371" s="31">
        <v>0</v>
      </c>
      <c r="BM371" s="31">
        <v>0</v>
      </c>
      <c r="BN371" s="31">
        <v>0</v>
      </c>
      <c r="BO371" s="31">
        <v>0</v>
      </c>
      <c r="BP371" s="31">
        <v>0</v>
      </c>
      <c r="BQ371" s="31">
        <v>0</v>
      </c>
      <c r="BR371" s="31">
        <v>0</v>
      </c>
      <c r="BS371" s="31">
        <v>0</v>
      </c>
      <c r="BT371" s="31">
        <v>0</v>
      </c>
      <c r="BU371" s="31">
        <v>0</v>
      </c>
      <c r="BV371" s="31">
        <v>0</v>
      </c>
      <c r="BW371" s="31">
        <v>0</v>
      </c>
      <c r="BX371" s="31">
        <v>0</v>
      </c>
      <c r="BY371" s="31">
        <v>0</v>
      </c>
      <c r="BZ371" s="31">
        <v>0</v>
      </c>
      <c r="CA371" s="31">
        <v>0</v>
      </c>
      <c r="CB371" s="31">
        <v>0</v>
      </c>
      <c r="CC371" s="31">
        <v>0</v>
      </c>
      <c r="CD371" s="31">
        <v>0</v>
      </c>
      <c r="CE371" s="31">
        <v>0</v>
      </c>
      <c r="CF371" s="31">
        <v>0</v>
      </c>
      <c r="CG371" s="31">
        <v>0</v>
      </c>
      <c r="CH371" s="31">
        <v>0</v>
      </c>
      <c r="CI371" s="31">
        <v>0</v>
      </c>
      <c r="CJ371" s="31">
        <v>0</v>
      </c>
      <c r="CK371" s="31">
        <v>0</v>
      </c>
      <c r="CL371" s="35">
        <v>0</v>
      </c>
    </row>
    <row r="372" spans="1:90" ht="21" x14ac:dyDescent="0.15">
      <c r="A372" s="31" t="s">
        <v>129</v>
      </c>
      <c r="B372" s="30" t="s">
        <v>154</v>
      </c>
      <c r="C372" s="28">
        <v>4</v>
      </c>
      <c r="D372" s="28">
        <v>0</v>
      </c>
      <c r="E372" s="28">
        <v>0</v>
      </c>
      <c r="F372" s="28">
        <v>0</v>
      </c>
      <c r="G372" s="28">
        <v>29</v>
      </c>
      <c r="H372" s="28">
        <f>IFERROR(VLOOKUP(A372,[1]FALTANTES!$A:$AB,28,FALSE),"-")</f>
        <v>4</v>
      </c>
      <c r="I372" s="42">
        <f>IFERROR(VLOOKUP(A372,[1]FALTANTES!$A:$AC,29,FALSE),"-")</f>
        <v>0</v>
      </c>
      <c r="J372" s="29">
        <f>IFERROR(VLOOKUP(A372,[1]FALTANTES!$A:$AD,30,FALSE),"-")</f>
        <v>-33</v>
      </c>
      <c r="K372" s="30">
        <v>0</v>
      </c>
      <c r="L372" s="30">
        <f t="shared" si="7"/>
        <v>33</v>
      </c>
      <c r="M372" s="31">
        <f>SUMIFS(METALFISA!$E:$E,METALFISA!$A:$A,'Faltantes Fevereiro- Metalfisa'!M$3,METALFISA!$B:$B,'Faltantes Fevereiro- Metalfisa'!$A372)</f>
        <v>0</v>
      </c>
      <c r="N372" s="31">
        <f>SUMIFS(METALFISA!$E:$E,METALFISA!$A:$A,'Faltantes Fevereiro- Metalfisa'!N$3,METALFISA!$B:$B,'Faltantes Fevereiro- Metalfisa'!$A372)</f>
        <v>0</v>
      </c>
      <c r="O372" s="31">
        <f>SUMIFS(METALFISA!$E:$E,METALFISA!$A:$A,'Faltantes Fevereiro- Metalfisa'!O$3,METALFISA!$B:$B,'Faltantes Fevereiro- Metalfisa'!$A372)</f>
        <v>0</v>
      </c>
      <c r="P372" s="31">
        <f>SUMIFS(METALFISA!$E:$E,METALFISA!$A:$A,'Faltantes Fevereiro- Metalfisa'!P$3,METALFISA!$B:$B,'Faltantes Fevereiro- Metalfisa'!$A372)</f>
        <v>0</v>
      </c>
      <c r="Q372" s="31">
        <f>SUMIFS(METALFISA!$E:$E,METALFISA!$A:$A,'Faltantes Fevereiro- Metalfisa'!Q$3,METALFISA!$B:$B,'Faltantes Fevereiro- Metalfisa'!$A372)</f>
        <v>0</v>
      </c>
      <c r="R372" s="31">
        <f>SUMIFS(METALFISA!$E:$E,METALFISA!$A:$A,'Faltantes Fevereiro- Metalfisa'!R$3,METALFISA!$B:$B,'Faltantes Fevereiro- Metalfisa'!$A372)</f>
        <v>0</v>
      </c>
      <c r="S372" s="31">
        <f>SUMIFS(METALFISA!$E:$E,METALFISA!$A:$A,'Faltantes Fevereiro- Metalfisa'!S$3,METALFISA!$B:$B,'Faltantes Fevereiro- Metalfisa'!$A372)</f>
        <v>0</v>
      </c>
      <c r="T372" s="31">
        <f>SUMIFS(METALFISA!$E:$E,METALFISA!$A:$A,'Faltantes Fevereiro- Metalfisa'!T$3,METALFISA!$B:$B,'Faltantes Fevereiro- Metalfisa'!$A372)</f>
        <v>0</v>
      </c>
      <c r="U372" s="31">
        <f>SUMIFS(METALFISA!$E:$E,METALFISA!$A:$A,'Faltantes Fevereiro- Metalfisa'!U$3,METALFISA!$B:$B,'Faltantes Fevereiro- Metalfisa'!$A372)</f>
        <v>0</v>
      </c>
      <c r="V372" s="31">
        <f>SUMIFS(METALFISA!$E:$E,METALFISA!$A:$A,'Faltantes Fevereiro- Metalfisa'!V$3,METALFISA!$B:$B,'Faltantes Fevereiro- Metalfisa'!$A372)</f>
        <v>0</v>
      </c>
      <c r="W372" s="31">
        <f>SUMIFS(METALFISA!$E:$E,METALFISA!$A:$A,'Faltantes Fevereiro- Metalfisa'!W$3,METALFISA!$B:$B,'Faltantes Fevereiro- Metalfisa'!$A372)</f>
        <v>0</v>
      </c>
      <c r="X372" s="31">
        <f>SUMIFS(METALFISA!$E:$E,METALFISA!$A:$A,'Faltantes Fevereiro- Metalfisa'!X$3,METALFISA!$B:$B,'Faltantes Fevereiro- Metalfisa'!$A372)</f>
        <v>0</v>
      </c>
      <c r="Y372" s="31">
        <f>SUMIFS(METALFISA!$E:$E,METALFISA!$A:$A,'Faltantes Fevereiro- Metalfisa'!Y$3,METALFISA!$B:$B,'Faltantes Fevereiro- Metalfisa'!$A372)</f>
        <v>0</v>
      </c>
      <c r="Z372" s="31">
        <f>SUMIFS(METALFISA!$E:$E,METALFISA!$A:$A,'Faltantes Fevereiro- Metalfisa'!Z$3,METALFISA!$B:$B,'Faltantes Fevereiro- Metalfisa'!$A372)</f>
        <v>0</v>
      </c>
      <c r="AA372" s="31">
        <f>SUMIFS(METALFISA!$E:$E,METALFISA!$A:$A,'Faltantes Fevereiro- Metalfisa'!AA$3,METALFISA!$B:$B,'Faltantes Fevereiro- Metalfisa'!$A372)</f>
        <v>0</v>
      </c>
      <c r="AB372" s="31">
        <f>SUMIFS(METALFISA!$E:$E,METALFISA!$A:$A,'Faltantes Fevereiro- Metalfisa'!AB$3,METALFISA!$B:$B,'Faltantes Fevereiro- Metalfisa'!$A372)</f>
        <v>0</v>
      </c>
      <c r="AC372" s="31">
        <f>SUMIFS(METALFISA!$E:$E,METALFISA!$A:$A,'Faltantes Fevereiro- Metalfisa'!AC$3,METALFISA!$B:$B,'Faltantes Fevereiro- Metalfisa'!$A372)</f>
        <v>0</v>
      </c>
      <c r="AD372" s="31">
        <f>SUMIFS(METALFISA!$E:$E,METALFISA!$A:$A,'Faltantes Fevereiro- Metalfisa'!AD$3,METALFISA!$B:$B,'Faltantes Fevereiro- Metalfisa'!$A372)</f>
        <v>0</v>
      </c>
      <c r="AE372" s="31">
        <f>SUMIFS(METALFISA!$E:$E,METALFISA!$A:$A,'Faltantes Fevereiro- Metalfisa'!AE$3,METALFISA!$B:$B,'Faltantes Fevereiro- Metalfisa'!$A372)</f>
        <v>0</v>
      </c>
      <c r="AF372" s="31">
        <f>SUMIFS(METALFISA!$E:$E,METALFISA!$A:$A,'Faltantes Fevereiro- Metalfisa'!AF$3,METALFISA!$B:$B,'Faltantes Fevereiro- Metalfisa'!$A372)</f>
        <v>0</v>
      </c>
      <c r="AG372" s="31">
        <f>SUMIFS(METALFISA!$E:$E,METALFISA!$A:$A,'Faltantes Fevereiro- Metalfisa'!AG$3,METALFISA!$B:$B,'Faltantes Fevereiro- Metalfisa'!$A372)</f>
        <v>0</v>
      </c>
      <c r="AH372" s="31">
        <f>SUMIFS(METALFISA!$E:$E,METALFISA!$A:$A,'Faltantes Fevereiro- Metalfisa'!AH$3,METALFISA!$B:$B,'Faltantes Fevereiro- Metalfisa'!$A372)</f>
        <v>33</v>
      </c>
      <c r="AI372" s="31">
        <f>SUMIFS(METALFISA!$E:$E,METALFISA!$A:$A,'Faltantes Fevereiro- Metalfisa'!AI$3,METALFISA!$B:$B,'Faltantes Fevereiro- Metalfisa'!$A372)</f>
        <v>0</v>
      </c>
      <c r="AJ372" s="31">
        <f>SUMIFS(METALFISA!$E:$E,METALFISA!$A:$A,'Faltantes Fevereiro- Metalfisa'!AJ$3,METALFISA!$B:$B,'Faltantes Fevereiro- Metalfisa'!$A372)</f>
        <v>0</v>
      </c>
      <c r="AK372" s="31">
        <f>SUMIFS(METALFISA!$E:$E,METALFISA!$A:$A,'Faltantes Fevereiro- Metalfisa'!AK$3,METALFISA!$B:$B,'Faltantes Fevereiro- Metalfisa'!$A372)</f>
        <v>0</v>
      </c>
      <c r="AL372" s="31">
        <f>SUMIFS(METALFISA!$E:$E,METALFISA!$A:$A,'Faltantes Fevereiro- Metalfisa'!AL$3,METALFISA!$B:$B,'Faltantes Fevereiro- Metalfisa'!$A372)</f>
        <v>0</v>
      </c>
      <c r="AM372" s="31">
        <f>SUMIFS(METALFISA!$E:$E,METALFISA!$A:$A,'Faltantes Fevereiro- Metalfisa'!AM$3,METALFISA!$B:$B,'Faltantes Fevereiro- Metalfisa'!$A372)</f>
        <v>0</v>
      </c>
      <c r="AN372" s="31">
        <f>SUMIFS(METALFISA!$E:$E,METALFISA!$A:$A,'Faltantes Fevereiro- Metalfisa'!AN$3,METALFISA!$B:$B,'Faltantes Fevereiro- Metalfisa'!$A372)</f>
        <v>0</v>
      </c>
      <c r="AO372" s="31">
        <f>SUMIFS(METALFISA!$E:$E,METALFISA!$A:$A,'Faltantes Fevereiro- Metalfisa'!AO$3,METALFISA!$B:$B,'Faltantes Fevereiro- Metalfisa'!$A372)</f>
        <v>0</v>
      </c>
      <c r="AP372" s="31">
        <f>SUMIFS(METALFISA!$E:$E,METALFISA!$A:$A,'Faltantes Fevereiro- Metalfisa'!AP$3,METALFISA!$B:$B,'Faltantes Fevereiro- Metalfisa'!$A372)</f>
        <v>0</v>
      </c>
      <c r="AQ372" s="31"/>
      <c r="AR372" s="31"/>
      <c r="AS372" s="35"/>
      <c r="AY372" s="41">
        <v>1</v>
      </c>
      <c r="AZ372" s="31">
        <v>1</v>
      </c>
      <c r="BA372" s="31">
        <v>0</v>
      </c>
      <c r="BB372" s="31">
        <v>0</v>
      </c>
      <c r="BC372" s="31">
        <v>0</v>
      </c>
      <c r="BD372" s="31">
        <v>0</v>
      </c>
      <c r="BE372" s="31">
        <v>0</v>
      </c>
      <c r="BF372" s="31">
        <v>0</v>
      </c>
      <c r="BG372" s="31">
        <v>0</v>
      </c>
      <c r="BH372" s="31">
        <v>0</v>
      </c>
      <c r="BI372" s="31">
        <v>0</v>
      </c>
      <c r="BJ372" s="31">
        <v>0</v>
      </c>
      <c r="BK372" s="31">
        <v>0</v>
      </c>
      <c r="BL372" s="31">
        <v>0</v>
      </c>
      <c r="BM372" s="31">
        <v>0</v>
      </c>
      <c r="BN372" s="31">
        <v>0</v>
      </c>
      <c r="BO372" s="31">
        <v>0</v>
      </c>
      <c r="BP372" s="31">
        <v>0</v>
      </c>
      <c r="BQ372" s="31">
        <v>0</v>
      </c>
      <c r="BR372" s="31">
        <v>0</v>
      </c>
      <c r="BS372" s="31">
        <v>0</v>
      </c>
      <c r="BT372" s="31">
        <v>0</v>
      </c>
      <c r="BU372" s="31">
        <v>0</v>
      </c>
      <c r="BV372" s="31">
        <v>0</v>
      </c>
      <c r="BW372" s="31">
        <v>0</v>
      </c>
      <c r="BX372" s="31">
        <v>0</v>
      </c>
      <c r="BY372" s="31">
        <v>0</v>
      </c>
      <c r="BZ372" s="31">
        <v>0</v>
      </c>
      <c r="CA372" s="31">
        <v>0</v>
      </c>
      <c r="CB372" s="31">
        <v>0</v>
      </c>
      <c r="CC372" s="31">
        <v>0</v>
      </c>
      <c r="CD372" s="31">
        <v>0</v>
      </c>
      <c r="CE372" s="31">
        <v>0</v>
      </c>
      <c r="CF372" s="31">
        <v>0</v>
      </c>
      <c r="CG372" s="31">
        <v>0</v>
      </c>
      <c r="CH372" s="31">
        <v>0</v>
      </c>
      <c r="CI372" s="31">
        <v>0</v>
      </c>
      <c r="CJ372" s="31">
        <v>0</v>
      </c>
      <c r="CK372" s="31">
        <v>0</v>
      </c>
      <c r="CL372" s="35">
        <v>0</v>
      </c>
    </row>
    <row r="373" spans="1:90" ht="21" x14ac:dyDescent="0.15">
      <c r="A373" s="31" t="s">
        <v>506</v>
      </c>
      <c r="B373" s="30" t="s">
        <v>507</v>
      </c>
      <c r="C373" s="28">
        <v>0</v>
      </c>
      <c r="D373" s="28">
        <v>0</v>
      </c>
      <c r="E373" s="28">
        <v>0</v>
      </c>
      <c r="F373" s="28">
        <v>0</v>
      </c>
      <c r="G373" s="28">
        <v>1</v>
      </c>
      <c r="H373" s="28">
        <f>IFERROR(VLOOKUP(A373,[1]FALTANTES!$A:$AB,28,FALSE),"-")</f>
        <v>0</v>
      </c>
      <c r="I373" s="42">
        <f>IFERROR(VLOOKUP(A373,[1]FALTANTES!$A:$AC,29,FALSE),"-")</f>
        <v>0</v>
      </c>
      <c r="J373" s="29">
        <f>IFERROR(VLOOKUP(A373,[1]FALTANTES!$A:$AD,30,FALSE),"-")</f>
        <v>-1</v>
      </c>
      <c r="K373" s="30">
        <v>0</v>
      </c>
      <c r="L373" s="30">
        <f t="shared" si="7"/>
        <v>1</v>
      </c>
      <c r="M373" s="31">
        <f>SUMIFS(METALFISA!$E:$E,METALFISA!$A:$A,'Faltantes Fevereiro- Metalfisa'!M$3,METALFISA!$B:$B,'Faltantes Fevereiro- Metalfisa'!$A373)</f>
        <v>0</v>
      </c>
      <c r="N373" s="31">
        <f>SUMIFS(METALFISA!$E:$E,METALFISA!$A:$A,'Faltantes Fevereiro- Metalfisa'!N$3,METALFISA!$B:$B,'Faltantes Fevereiro- Metalfisa'!$A373)</f>
        <v>0</v>
      </c>
      <c r="O373" s="31">
        <f>SUMIFS(METALFISA!$E:$E,METALFISA!$A:$A,'Faltantes Fevereiro- Metalfisa'!O$3,METALFISA!$B:$B,'Faltantes Fevereiro- Metalfisa'!$A373)</f>
        <v>0</v>
      </c>
      <c r="P373" s="31">
        <f>SUMIFS(METALFISA!$E:$E,METALFISA!$A:$A,'Faltantes Fevereiro- Metalfisa'!P$3,METALFISA!$B:$B,'Faltantes Fevereiro- Metalfisa'!$A373)</f>
        <v>0</v>
      </c>
      <c r="Q373" s="31">
        <f>SUMIFS(METALFISA!$E:$E,METALFISA!$A:$A,'Faltantes Fevereiro- Metalfisa'!Q$3,METALFISA!$B:$B,'Faltantes Fevereiro- Metalfisa'!$A373)</f>
        <v>0</v>
      </c>
      <c r="R373" s="31">
        <f>SUMIFS(METALFISA!$E:$E,METALFISA!$A:$A,'Faltantes Fevereiro- Metalfisa'!R$3,METALFISA!$B:$B,'Faltantes Fevereiro- Metalfisa'!$A373)</f>
        <v>0</v>
      </c>
      <c r="S373" s="31">
        <f>SUMIFS(METALFISA!$E:$E,METALFISA!$A:$A,'Faltantes Fevereiro- Metalfisa'!S$3,METALFISA!$B:$B,'Faltantes Fevereiro- Metalfisa'!$A373)</f>
        <v>0</v>
      </c>
      <c r="T373" s="31">
        <f>SUMIFS(METALFISA!$E:$E,METALFISA!$A:$A,'Faltantes Fevereiro- Metalfisa'!T$3,METALFISA!$B:$B,'Faltantes Fevereiro- Metalfisa'!$A373)</f>
        <v>0</v>
      </c>
      <c r="U373" s="31">
        <f>SUMIFS(METALFISA!$E:$E,METALFISA!$A:$A,'Faltantes Fevereiro- Metalfisa'!U$3,METALFISA!$B:$B,'Faltantes Fevereiro- Metalfisa'!$A373)</f>
        <v>0</v>
      </c>
      <c r="V373" s="31">
        <f>SUMIFS(METALFISA!$E:$E,METALFISA!$A:$A,'Faltantes Fevereiro- Metalfisa'!V$3,METALFISA!$B:$B,'Faltantes Fevereiro- Metalfisa'!$A373)</f>
        <v>0</v>
      </c>
      <c r="W373" s="31">
        <f>SUMIFS(METALFISA!$E:$E,METALFISA!$A:$A,'Faltantes Fevereiro- Metalfisa'!W$3,METALFISA!$B:$B,'Faltantes Fevereiro- Metalfisa'!$A373)</f>
        <v>0</v>
      </c>
      <c r="X373" s="31">
        <f>SUMIFS(METALFISA!$E:$E,METALFISA!$A:$A,'Faltantes Fevereiro- Metalfisa'!X$3,METALFISA!$B:$B,'Faltantes Fevereiro- Metalfisa'!$A373)</f>
        <v>0</v>
      </c>
      <c r="Y373" s="31">
        <f>SUMIFS(METALFISA!$E:$E,METALFISA!$A:$A,'Faltantes Fevereiro- Metalfisa'!Y$3,METALFISA!$B:$B,'Faltantes Fevereiro- Metalfisa'!$A373)</f>
        <v>0</v>
      </c>
      <c r="Z373" s="31">
        <f>SUMIFS(METALFISA!$E:$E,METALFISA!$A:$A,'Faltantes Fevereiro- Metalfisa'!Z$3,METALFISA!$B:$B,'Faltantes Fevereiro- Metalfisa'!$A373)</f>
        <v>0</v>
      </c>
      <c r="AA373" s="31">
        <f>SUMIFS(METALFISA!$E:$E,METALFISA!$A:$A,'Faltantes Fevereiro- Metalfisa'!AA$3,METALFISA!$B:$B,'Faltantes Fevereiro- Metalfisa'!$A373)</f>
        <v>0</v>
      </c>
      <c r="AB373" s="31">
        <f>SUMIFS(METALFISA!$E:$E,METALFISA!$A:$A,'Faltantes Fevereiro- Metalfisa'!AB$3,METALFISA!$B:$B,'Faltantes Fevereiro- Metalfisa'!$A373)</f>
        <v>0</v>
      </c>
      <c r="AC373" s="31">
        <f>SUMIFS(METALFISA!$E:$E,METALFISA!$A:$A,'Faltantes Fevereiro- Metalfisa'!AC$3,METALFISA!$B:$B,'Faltantes Fevereiro- Metalfisa'!$A373)</f>
        <v>0</v>
      </c>
      <c r="AD373" s="31">
        <f>SUMIFS(METALFISA!$E:$E,METALFISA!$A:$A,'Faltantes Fevereiro- Metalfisa'!AD$3,METALFISA!$B:$B,'Faltantes Fevereiro- Metalfisa'!$A373)</f>
        <v>0</v>
      </c>
      <c r="AE373" s="31">
        <f>SUMIFS(METALFISA!$E:$E,METALFISA!$A:$A,'Faltantes Fevereiro- Metalfisa'!AE$3,METALFISA!$B:$B,'Faltantes Fevereiro- Metalfisa'!$A373)</f>
        <v>0</v>
      </c>
      <c r="AF373" s="31">
        <f>SUMIFS(METALFISA!$E:$E,METALFISA!$A:$A,'Faltantes Fevereiro- Metalfisa'!AF$3,METALFISA!$B:$B,'Faltantes Fevereiro- Metalfisa'!$A373)</f>
        <v>0</v>
      </c>
      <c r="AG373" s="31">
        <f>SUMIFS(METALFISA!$E:$E,METALFISA!$A:$A,'Faltantes Fevereiro- Metalfisa'!AG$3,METALFISA!$B:$B,'Faltantes Fevereiro- Metalfisa'!$A373)</f>
        <v>0</v>
      </c>
      <c r="AH373" s="31">
        <f>SUMIFS(METALFISA!$E:$E,METALFISA!$A:$A,'Faltantes Fevereiro- Metalfisa'!AH$3,METALFISA!$B:$B,'Faltantes Fevereiro- Metalfisa'!$A373)</f>
        <v>1</v>
      </c>
      <c r="AI373" s="31">
        <f>SUMIFS(METALFISA!$E:$E,METALFISA!$A:$A,'Faltantes Fevereiro- Metalfisa'!AI$3,METALFISA!$B:$B,'Faltantes Fevereiro- Metalfisa'!$A373)</f>
        <v>0</v>
      </c>
      <c r="AJ373" s="31">
        <f>SUMIFS(METALFISA!$E:$E,METALFISA!$A:$A,'Faltantes Fevereiro- Metalfisa'!AJ$3,METALFISA!$B:$B,'Faltantes Fevereiro- Metalfisa'!$A373)</f>
        <v>0</v>
      </c>
      <c r="AK373" s="31">
        <f>SUMIFS(METALFISA!$E:$E,METALFISA!$A:$A,'Faltantes Fevereiro- Metalfisa'!AK$3,METALFISA!$B:$B,'Faltantes Fevereiro- Metalfisa'!$A373)</f>
        <v>0</v>
      </c>
      <c r="AL373" s="31">
        <f>SUMIFS(METALFISA!$E:$E,METALFISA!$A:$A,'Faltantes Fevereiro- Metalfisa'!AL$3,METALFISA!$B:$B,'Faltantes Fevereiro- Metalfisa'!$A373)</f>
        <v>0</v>
      </c>
      <c r="AM373" s="31">
        <f>SUMIFS(METALFISA!$E:$E,METALFISA!$A:$A,'Faltantes Fevereiro- Metalfisa'!AM$3,METALFISA!$B:$B,'Faltantes Fevereiro- Metalfisa'!$A373)</f>
        <v>0</v>
      </c>
      <c r="AN373" s="31">
        <f>SUMIFS(METALFISA!$E:$E,METALFISA!$A:$A,'Faltantes Fevereiro- Metalfisa'!AN$3,METALFISA!$B:$B,'Faltantes Fevereiro- Metalfisa'!$A373)</f>
        <v>0</v>
      </c>
      <c r="AO373" s="31">
        <f>SUMIFS(METALFISA!$E:$E,METALFISA!$A:$A,'Faltantes Fevereiro- Metalfisa'!AO$3,METALFISA!$B:$B,'Faltantes Fevereiro- Metalfisa'!$A373)</f>
        <v>0</v>
      </c>
      <c r="AP373" s="31">
        <f>SUMIFS(METALFISA!$E:$E,METALFISA!$A:$A,'Faltantes Fevereiro- Metalfisa'!AP$3,METALFISA!$B:$B,'Faltantes Fevereiro- Metalfisa'!$A373)</f>
        <v>0</v>
      </c>
      <c r="AQ373" s="31"/>
      <c r="AR373" s="31"/>
      <c r="AS373" s="35"/>
      <c r="AY373" s="41">
        <v>0</v>
      </c>
      <c r="AZ373" s="31">
        <v>1</v>
      </c>
      <c r="BA373" s="31">
        <v>0</v>
      </c>
      <c r="BB373" s="31">
        <v>0</v>
      </c>
      <c r="BC373" s="31">
        <v>0</v>
      </c>
      <c r="BD373" s="31">
        <v>0</v>
      </c>
      <c r="BE373" s="31">
        <v>0</v>
      </c>
      <c r="BF373" s="31">
        <v>0</v>
      </c>
      <c r="BG373" s="31">
        <v>0</v>
      </c>
      <c r="BH373" s="31">
        <v>0</v>
      </c>
      <c r="BI373" s="31">
        <v>0</v>
      </c>
      <c r="BJ373" s="31">
        <v>0</v>
      </c>
      <c r="BK373" s="31">
        <v>0</v>
      </c>
      <c r="BL373" s="31">
        <v>0</v>
      </c>
      <c r="BM373" s="31">
        <v>0</v>
      </c>
      <c r="BN373" s="31">
        <v>0</v>
      </c>
      <c r="BO373" s="31">
        <v>0</v>
      </c>
      <c r="BP373" s="31">
        <v>0</v>
      </c>
      <c r="BQ373" s="31">
        <v>0</v>
      </c>
      <c r="BR373" s="31">
        <v>0</v>
      </c>
      <c r="BS373" s="31">
        <v>0</v>
      </c>
      <c r="BT373" s="31">
        <v>0</v>
      </c>
      <c r="BU373" s="31">
        <v>0</v>
      </c>
      <c r="BV373" s="31">
        <v>0</v>
      </c>
      <c r="BW373" s="31">
        <v>0</v>
      </c>
      <c r="BX373" s="31">
        <v>0</v>
      </c>
      <c r="BY373" s="31">
        <v>0</v>
      </c>
      <c r="BZ373" s="31">
        <v>0</v>
      </c>
      <c r="CA373" s="31">
        <v>0</v>
      </c>
      <c r="CB373" s="31">
        <v>0</v>
      </c>
      <c r="CC373" s="31">
        <v>0</v>
      </c>
      <c r="CD373" s="31">
        <v>0</v>
      </c>
      <c r="CE373" s="31">
        <v>0</v>
      </c>
      <c r="CF373" s="31">
        <v>0</v>
      </c>
      <c r="CG373" s="31">
        <v>0</v>
      </c>
      <c r="CH373" s="31">
        <v>0</v>
      </c>
      <c r="CI373" s="31">
        <v>0</v>
      </c>
      <c r="CJ373" s="31">
        <v>0</v>
      </c>
      <c r="CK373" s="31">
        <v>0</v>
      </c>
      <c r="CL373" s="35">
        <v>0</v>
      </c>
    </row>
    <row r="374" spans="1:90" ht="21" x14ac:dyDescent="0.15">
      <c r="A374" s="31" t="s">
        <v>508</v>
      </c>
      <c r="B374" s="30" t="s">
        <v>509</v>
      </c>
      <c r="C374" s="28">
        <v>0</v>
      </c>
      <c r="D374" s="28">
        <v>0</v>
      </c>
      <c r="E374" s="28">
        <v>0</v>
      </c>
      <c r="F374" s="28">
        <v>0</v>
      </c>
      <c r="G374" s="28">
        <v>2</v>
      </c>
      <c r="H374" s="28">
        <f>IFERROR(VLOOKUP(A374,[1]FALTANTES!$A:$AB,28,FALSE),"-")</f>
        <v>0</v>
      </c>
      <c r="I374" s="42">
        <f>IFERROR(VLOOKUP(A374,[1]FALTANTES!$A:$AC,29,FALSE),"-")</f>
        <v>0</v>
      </c>
      <c r="J374" s="29">
        <f>IFERROR(VLOOKUP(A374,[1]FALTANTES!$A:$AD,30,FALSE),"-")</f>
        <v>-2</v>
      </c>
      <c r="K374" s="30">
        <v>0</v>
      </c>
      <c r="L374" s="30">
        <f t="shared" si="7"/>
        <v>4</v>
      </c>
      <c r="M374" s="31">
        <f>SUMIFS(METALFISA!$E:$E,METALFISA!$A:$A,'Faltantes Fevereiro- Metalfisa'!M$3,METALFISA!$B:$B,'Faltantes Fevereiro- Metalfisa'!$A374)</f>
        <v>0</v>
      </c>
      <c r="N374" s="31">
        <f>SUMIFS(METALFISA!$E:$E,METALFISA!$A:$A,'Faltantes Fevereiro- Metalfisa'!N$3,METALFISA!$B:$B,'Faltantes Fevereiro- Metalfisa'!$A374)</f>
        <v>0</v>
      </c>
      <c r="O374" s="31">
        <f>SUMIFS(METALFISA!$E:$E,METALFISA!$A:$A,'Faltantes Fevereiro- Metalfisa'!O$3,METALFISA!$B:$B,'Faltantes Fevereiro- Metalfisa'!$A374)</f>
        <v>0</v>
      </c>
      <c r="P374" s="31">
        <f>SUMIFS(METALFISA!$E:$E,METALFISA!$A:$A,'Faltantes Fevereiro- Metalfisa'!P$3,METALFISA!$B:$B,'Faltantes Fevereiro- Metalfisa'!$A374)</f>
        <v>0</v>
      </c>
      <c r="Q374" s="31">
        <f>SUMIFS(METALFISA!$E:$E,METALFISA!$A:$A,'Faltantes Fevereiro- Metalfisa'!Q$3,METALFISA!$B:$B,'Faltantes Fevereiro- Metalfisa'!$A374)</f>
        <v>0</v>
      </c>
      <c r="R374" s="31">
        <f>SUMIFS(METALFISA!$E:$E,METALFISA!$A:$A,'Faltantes Fevereiro- Metalfisa'!R$3,METALFISA!$B:$B,'Faltantes Fevereiro- Metalfisa'!$A374)</f>
        <v>0</v>
      </c>
      <c r="S374" s="31">
        <f>SUMIFS(METALFISA!$E:$E,METALFISA!$A:$A,'Faltantes Fevereiro- Metalfisa'!S$3,METALFISA!$B:$B,'Faltantes Fevereiro- Metalfisa'!$A374)</f>
        <v>0</v>
      </c>
      <c r="T374" s="31">
        <f>SUMIFS(METALFISA!$E:$E,METALFISA!$A:$A,'Faltantes Fevereiro- Metalfisa'!T$3,METALFISA!$B:$B,'Faltantes Fevereiro- Metalfisa'!$A374)</f>
        <v>0</v>
      </c>
      <c r="U374" s="31">
        <f>SUMIFS(METALFISA!$E:$E,METALFISA!$A:$A,'Faltantes Fevereiro- Metalfisa'!U$3,METALFISA!$B:$B,'Faltantes Fevereiro- Metalfisa'!$A374)</f>
        <v>0</v>
      </c>
      <c r="V374" s="31">
        <f>SUMIFS(METALFISA!$E:$E,METALFISA!$A:$A,'Faltantes Fevereiro- Metalfisa'!V$3,METALFISA!$B:$B,'Faltantes Fevereiro- Metalfisa'!$A374)</f>
        <v>0</v>
      </c>
      <c r="W374" s="31">
        <f>SUMIFS(METALFISA!$E:$E,METALFISA!$A:$A,'Faltantes Fevereiro- Metalfisa'!W$3,METALFISA!$B:$B,'Faltantes Fevereiro- Metalfisa'!$A374)</f>
        <v>0</v>
      </c>
      <c r="X374" s="31">
        <f>SUMIFS(METALFISA!$E:$E,METALFISA!$A:$A,'Faltantes Fevereiro- Metalfisa'!X$3,METALFISA!$B:$B,'Faltantes Fevereiro- Metalfisa'!$A374)</f>
        <v>0</v>
      </c>
      <c r="Y374" s="31">
        <f>SUMIFS(METALFISA!$E:$E,METALFISA!$A:$A,'Faltantes Fevereiro- Metalfisa'!Y$3,METALFISA!$B:$B,'Faltantes Fevereiro- Metalfisa'!$A374)</f>
        <v>0</v>
      </c>
      <c r="Z374" s="31">
        <f>SUMIFS(METALFISA!$E:$E,METALFISA!$A:$A,'Faltantes Fevereiro- Metalfisa'!Z$3,METALFISA!$B:$B,'Faltantes Fevereiro- Metalfisa'!$A374)</f>
        <v>0</v>
      </c>
      <c r="AA374" s="31">
        <f>SUMIFS(METALFISA!$E:$E,METALFISA!$A:$A,'Faltantes Fevereiro- Metalfisa'!AA$3,METALFISA!$B:$B,'Faltantes Fevereiro- Metalfisa'!$A374)</f>
        <v>0</v>
      </c>
      <c r="AB374" s="31">
        <f>SUMIFS(METALFISA!$E:$E,METALFISA!$A:$A,'Faltantes Fevereiro- Metalfisa'!AB$3,METALFISA!$B:$B,'Faltantes Fevereiro- Metalfisa'!$A374)</f>
        <v>0</v>
      </c>
      <c r="AC374" s="31">
        <f>SUMIFS(METALFISA!$E:$E,METALFISA!$A:$A,'Faltantes Fevereiro- Metalfisa'!AC$3,METALFISA!$B:$B,'Faltantes Fevereiro- Metalfisa'!$A374)</f>
        <v>0</v>
      </c>
      <c r="AD374" s="31">
        <f>SUMIFS(METALFISA!$E:$E,METALFISA!$A:$A,'Faltantes Fevereiro- Metalfisa'!AD$3,METALFISA!$B:$B,'Faltantes Fevereiro- Metalfisa'!$A374)</f>
        <v>0</v>
      </c>
      <c r="AE374" s="31">
        <f>SUMIFS(METALFISA!$E:$E,METALFISA!$A:$A,'Faltantes Fevereiro- Metalfisa'!AE$3,METALFISA!$B:$B,'Faltantes Fevereiro- Metalfisa'!$A374)</f>
        <v>0</v>
      </c>
      <c r="AF374" s="31">
        <f>SUMIFS(METALFISA!$E:$E,METALFISA!$A:$A,'Faltantes Fevereiro- Metalfisa'!AF$3,METALFISA!$B:$B,'Faltantes Fevereiro- Metalfisa'!$A374)</f>
        <v>0</v>
      </c>
      <c r="AG374" s="31">
        <f>SUMIFS(METALFISA!$E:$E,METALFISA!$A:$A,'Faltantes Fevereiro- Metalfisa'!AG$3,METALFISA!$B:$B,'Faltantes Fevereiro- Metalfisa'!$A374)</f>
        <v>0</v>
      </c>
      <c r="AH374" s="31">
        <f>SUMIFS(METALFISA!$E:$E,METALFISA!$A:$A,'Faltantes Fevereiro- Metalfisa'!AH$3,METALFISA!$B:$B,'Faltantes Fevereiro- Metalfisa'!$A374)</f>
        <v>4</v>
      </c>
      <c r="AI374" s="31">
        <f>SUMIFS(METALFISA!$E:$E,METALFISA!$A:$A,'Faltantes Fevereiro- Metalfisa'!AI$3,METALFISA!$B:$B,'Faltantes Fevereiro- Metalfisa'!$A374)</f>
        <v>0</v>
      </c>
      <c r="AJ374" s="31">
        <f>SUMIFS(METALFISA!$E:$E,METALFISA!$A:$A,'Faltantes Fevereiro- Metalfisa'!AJ$3,METALFISA!$B:$B,'Faltantes Fevereiro- Metalfisa'!$A374)</f>
        <v>0</v>
      </c>
      <c r="AK374" s="31">
        <f>SUMIFS(METALFISA!$E:$E,METALFISA!$A:$A,'Faltantes Fevereiro- Metalfisa'!AK$3,METALFISA!$B:$B,'Faltantes Fevereiro- Metalfisa'!$A374)</f>
        <v>0</v>
      </c>
      <c r="AL374" s="31">
        <f>SUMIFS(METALFISA!$E:$E,METALFISA!$A:$A,'Faltantes Fevereiro- Metalfisa'!AL$3,METALFISA!$B:$B,'Faltantes Fevereiro- Metalfisa'!$A374)</f>
        <v>0</v>
      </c>
      <c r="AM374" s="31">
        <f>SUMIFS(METALFISA!$E:$E,METALFISA!$A:$A,'Faltantes Fevereiro- Metalfisa'!AM$3,METALFISA!$B:$B,'Faltantes Fevereiro- Metalfisa'!$A374)</f>
        <v>0</v>
      </c>
      <c r="AN374" s="31">
        <f>SUMIFS(METALFISA!$E:$E,METALFISA!$A:$A,'Faltantes Fevereiro- Metalfisa'!AN$3,METALFISA!$B:$B,'Faltantes Fevereiro- Metalfisa'!$A374)</f>
        <v>0</v>
      </c>
      <c r="AO374" s="31">
        <f>SUMIFS(METALFISA!$E:$E,METALFISA!$A:$A,'Faltantes Fevereiro- Metalfisa'!AO$3,METALFISA!$B:$B,'Faltantes Fevereiro- Metalfisa'!$A374)</f>
        <v>0</v>
      </c>
      <c r="AP374" s="31">
        <f>SUMIFS(METALFISA!$E:$E,METALFISA!$A:$A,'Faltantes Fevereiro- Metalfisa'!AP$3,METALFISA!$B:$B,'Faltantes Fevereiro- Metalfisa'!$A374)</f>
        <v>0</v>
      </c>
      <c r="AQ374" s="31"/>
      <c r="AR374" s="31"/>
      <c r="AS374" s="35"/>
      <c r="AY374" s="41">
        <v>0</v>
      </c>
      <c r="AZ374" s="31">
        <v>2</v>
      </c>
      <c r="BA374" s="31">
        <v>0</v>
      </c>
      <c r="BB374" s="31">
        <v>0</v>
      </c>
      <c r="BC374" s="31">
        <v>0</v>
      </c>
      <c r="BD374" s="31">
        <v>0</v>
      </c>
      <c r="BE374" s="31">
        <v>0</v>
      </c>
      <c r="BF374" s="31">
        <v>0</v>
      </c>
      <c r="BG374" s="31">
        <v>0</v>
      </c>
      <c r="BH374" s="31">
        <v>0</v>
      </c>
      <c r="BI374" s="31">
        <v>0</v>
      </c>
      <c r="BJ374" s="31">
        <v>0</v>
      </c>
      <c r="BK374" s="31">
        <v>0</v>
      </c>
      <c r="BL374" s="31">
        <v>0</v>
      </c>
      <c r="BM374" s="31">
        <v>0</v>
      </c>
      <c r="BN374" s="31">
        <v>0</v>
      </c>
      <c r="BO374" s="31">
        <v>0</v>
      </c>
      <c r="BP374" s="31">
        <v>0</v>
      </c>
      <c r="BQ374" s="31">
        <v>0</v>
      </c>
      <c r="BR374" s="31">
        <v>0</v>
      </c>
      <c r="BS374" s="31">
        <v>0</v>
      </c>
      <c r="BT374" s="31">
        <v>0</v>
      </c>
      <c r="BU374" s="31">
        <v>0</v>
      </c>
      <c r="BV374" s="31">
        <v>0</v>
      </c>
      <c r="BW374" s="31">
        <v>0</v>
      </c>
      <c r="BX374" s="31">
        <v>0</v>
      </c>
      <c r="BY374" s="31">
        <v>0</v>
      </c>
      <c r="BZ374" s="31">
        <v>0</v>
      </c>
      <c r="CA374" s="31">
        <v>0</v>
      </c>
      <c r="CB374" s="31">
        <v>0</v>
      </c>
      <c r="CC374" s="31">
        <v>0</v>
      </c>
      <c r="CD374" s="31">
        <v>0</v>
      </c>
      <c r="CE374" s="31">
        <v>0</v>
      </c>
      <c r="CF374" s="31">
        <v>0</v>
      </c>
      <c r="CG374" s="31">
        <v>0</v>
      </c>
      <c r="CH374" s="31">
        <v>0</v>
      </c>
      <c r="CI374" s="31">
        <v>0</v>
      </c>
      <c r="CJ374" s="31">
        <v>0</v>
      </c>
      <c r="CK374" s="31">
        <v>0</v>
      </c>
      <c r="CL374" s="35">
        <v>0</v>
      </c>
    </row>
    <row r="375" spans="1:90" ht="21" x14ac:dyDescent="0.15">
      <c r="A375" s="31" t="s">
        <v>510</v>
      </c>
      <c r="B375" s="30" t="s">
        <v>511</v>
      </c>
      <c r="C375" s="28">
        <v>3</v>
      </c>
      <c r="D375" s="28">
        <v>0</v>
      </c>
      <c r="E375" s="28">
        <v>0</v>
      </c>
      <c r="F375" s="28">
        <v>0</v>
      </c>
      <c r="G375" s="28">
        <v>11</v>
      </c>
      <c r="H375" s="28">
        <f>IFERROR(VLOOKUP(A375,[1]FALTANTES!$A:$AB,28,FALSE),"-")</f>
        <v>0</v>
      </c>
      <c r="I375" s="42">
        <f>IFERROR(VLOOKUP(A375,[1]FALTANTES!$A:$AC,29,FALSE),"-")</f>
        <v>13</v>
      </c>
      <c r="J375" s="29">
        <f>IFERROR(VLOOKUP(A375,[1]FALTANTES!$A:$AD,30,FALSE),"-")</f>
        <v>-1</v>
      </c>
      <c r="K375" s="30">
        <v>0</v>
      </c>
      <c r="L375" s="30">
        <f t="shared" si="7"/>
        <v>2</v>
      </c>
      <c r="M375" s="31">
        <f>SUMIFS(METALFISA!$E:$E,METALFISA!$A:$A,'Faltantes Fevereiro- Metalfisa'!M$3,METALFISA!$B:$B,'Faltantes Fevereiro- Metalfisa'!$A375)</f>
        <v>0</v>
      </c>
      <c r="N375" s="31">
        <f>SUMIFS(METALFISA!$E:$E,METALFISA!$A:$A,'Faltantes Fevereiro- Metalfisa'!N$3,METALFISA!$B:$B,'Faltantes Fevereiro- Metalfisa'!$A375)</f>
        <v>0</v>
      </c>
      <c r="O375" s="31">
        <f>SUMIFS(METALFISA!$E:$E,METALFISA!$A:$A,'Faltantes Fevereiro- Metalfisa'!O$3,METALFISA!$B:$B,'Faltantes Fevereiro- Metalfisa'!$A375)</f>
        <v>0</v>
      </c>
      <c r="P375" s="31">
        <f>SUMIFS(METALFISA!$E:$E,METALFISA!$A:$A,'Faltantes Fevereiro- Metalfisa'!P$3,METALFISA!$B:$B,'Faltantes Fevereiro- Metalfisa'!$A375)</f>
        <v>0</v>
      </c>
      <c r="Q375" s="31">
        <f>SUMIFS(METALFISA!$E:$E,METALFISA!$A:$A,'Faltantes Fevereiro- Metalfisa'!Q$3,METALFISA!$B:$B,'Faltantes Fevereiro- Metalfisa'!$A375)</f>
        <v>0</v>
      </c>
      <c r="R375" s="31">
        <f>SUMIFS(METALFISA!$E:$E,METALFISA!$A:$A,'Faltantes Fevereiro- Metalfisa'!R$3,METALFISA!$B:$B,'Faltantes Fevereiro- Metalfisa'!$A375)</f>
        <v>0</v>
      </c>
      <c r="S375" s="31">
        <f>SUMIFS(METALFISA!$E:$E,METALFISA!$A:$A,'Faltantes Fevereiro- Metalfisa'!S$3,METALFISA!$B:$B,'Faltantes Fevereiro- Metalfisa'!$A375)</f>
        <v>0</v>
      </c>
      <c r="T375" s="31">
        <f>SUMIFS(METALFISA!$E:$E,METALFISA!$A:$A,'Faltantes Fevereiro- Metalfisa'!T$3,METALFISA!$B:$B,'Faltantes Fevereiro- Metalfisa'!$A375)</f>
        <v>0</v>
      </c>
      <c r="U375" s="31">
        <f>SUMIFS(METALFISA!$E:$E,METALFISA!$A:$A,'Faltantes Fevereiro- Metalfisa'!U$3,METALFISA!$B:$B,'Faltantes Fevereiro- Metalfisa'!$A375)</f>
        <v>0</v>
      </c>
      <c r="V375" s="31">
        <f>SUMIFS(METALFISA!$E:$E,METALFISA!$A:$A,'Faltantes Fevereiro- Metalfisa'!V$3,METALFISA!$B:$B,'Faltantes Fevereiro- Metalfisa'!$A375)</f>
        <v>0</v>
      </c>
      <c r="W375" s="31">
        <f>SUMIFS(METALFISA!$E:$E,METALFISA!$A:$A,'Faltantes Fevereiro- Metalfisa'!W$3,METALFISA!$B:$B,'Faltantes Fevereiro- Metalfisa'!$A375)</f>
        <v>0</v>
      </c>
      <c r="X375" s="31">
        <f>SUMIFS(METALFISA!$E:$E,METALFISA!$A:$A,'Faltantes Fevereiro- Metalfisa'!X$3,METALFISA!$B:$B,'Faltantes Fevereiro- Metalfisa'!$A375)</f>
        <v>0</v>
      </c>
      <c r="Y375" s="31">
        <f>SUMIFS(METALFISA!$E:$E,METALFISA!$A:$A,'Faltantes Fevereiro- Metalfisa'!Y$3,METALFISA!$B:$B,'Faltantes Fevereiro- Metalfisa'!$A375)</f>
        <v>0</v>
      </c>
      <c r="Z375" s="31">
        <f>SUMIFS(METALFISA!$E:$E,METALFISA!$A:$A,'Faltantes Fevereiro- Metalfisa'!Z$3,METALFISA!$B:$B,'Faltantes Fevereiro- Metalfisa'!$A375)</f>
        <v>0</v>
      </c>
      <c r="AA375" s="31">
        <f>SUMIFS(METALFISA!$E:$E,METALFISA!$A:$A,'Faltantes Fevereiro- Metalfisa'!AA$3,METALFISA!$B:$B,'Faltantes Fevereiro- Metalfisa'!$A375)</f>
        <v>0</v>
      </c>
      <c r="AB375" s="31">
        <f>SUMIFS(METALFISA!$E:$E,METALFISA!$A:$A,'Faltantes Fevereiro- Metalfisa'!AB$3,METALFISA!$B:$B,'Faltantes Fevereiro- Metalfisa'!$A375)</f>
        <v>0</v>
      </c>
      <c r="AC375" s="31">
        <f>SUMIFS(METALFISA!$E:$E,METALFISA!$A:$A,'Faltantes Fevereiro- Metalfisa'!AC$3,METALFISA!$B:$B,'Faltantes Fevereiro- Metalfisa'!$A375)</f>
        <v>0</v>
      </c>
      <c r="AD375" s="31">
        <f>SUMIFS(METALFISA!$E:$E,METALFISA!$A:$A,'Faltantes Fevereiro- Metalfisa'!AD$3,METALFISA!$B:$B,'Faltantes Fevereiro- Metalfisa'!$A375)</f>
        <v>0</v>
      </c>
      <c r="AE375" s="31">
        <f>SUMIFS(METALFISA!$E:$E,METALFISA!$A:$A,'Faltantes Fevereiro- Metalfisa'!AE$3,METALFISA!$B:$B,'Faltantes Fevereiro- Metalfisa'!$A375)</f>
        <v>0</v>
      </c>
      <c r="AF375" s="31">
        <f>SUMIFS(METALFISA!$E:$E,METALFISA!$A:$A,'Faltantes Fevereiro- Metalfisa'!AF$3,METALFISA!$B:$B,'Faltantes Fevereiro- Metalfisa'!$A375)</f>
        <v>0</v>
      </c>
      <c r="AG375" s="31">
        <f>SUMIFS(METALFISA!$E:$E,METALFISA!$A:$A,'Faltantes Fevereiro- Metalfisa'!AG$3,METALFISA!$B:$B,'Faltantes Fevereiro- Metalfisa'!$A375)</f>
        <v>0</v>
      </c>
      <c r="AH375" s="31">
        <f>SUMIFS(METALFISA!$E:$E,METALFISA!$A:$A,'Faltantes Fevereiro- Metalfisa'!AH$3,METALFISA!$B:$B,'Faltantes Fevereiro- Metalfisa'!$A375)</f>
        <v>2</v>
      </c>
      <c r="AI375" s="31">
        <f>SUMIFS(METALFISA!$E:$E,METALFISA!$A:$A,'Faltantes Fevereiro- Metalfisa'!AI$3,METALFISA!$B:$B,'Faltantes Fevereiro- Metalfisa'!$A375)</f>
        <v>0</v>
      </c>
      <c r="AJ375" s="31">
        <f>SUMIFS(METALFISA!$E:$E,METALFISA!$A:$A,'Faltantes Fevereiro- Metalfisa'!AJ$3,METALFISA!$B:$B,'Faltantes Fevereiro- Metalfisa'!$A375)</f>
        <v>0</v>
      </c>
      <c r="AK375" s="31">
        <f>SUMIFS(METALFISA!$E:$E,METALFISA!$A:$A,'Faltantes Fevereiro- Metalfisa'!AK$3,METALFISA!$B:$B,'Faltantes Fevereiro- Metalfisa'!$A375)</f>
        <v>0</v>
      </c>
      <c r="AL375" s="31">
        <f>SUMIFS(METALFISA!$E:$E,METALFISA!$A:$A,'Faltantes Fevereiro- Metalfisa'!AL$3,METALFISA!$B:$B,'Faltantes Fevereiro- Metalfisa'!$A375)</f>
        <v>0</v>
      </c>
      <c r="AM375" s="31">
        <f>SUMIFS(METALFISA!$E:$E,METALFISA!$A:$A,'Faltantes Fevereiro- Metalfisa'!AM$3,METALFISA!$B:$B,'Faltantes Fevereiro- Metalfisa'!$A375)</f>
        <v>0</v>
      </c>
      <c r="AN375" s="31">
        <f>SUMIFS(METALFISA!$E:$E,METALFISA!$A:$A,'Faltantes Fevereiro- Metalfisa'!AN$3,METALFISA!$B:$B,'Faltantes Fevereiro- Metalfisa'!$A375)</f>
        <v>0</v>
      </c>
      <c r="AO375" s="31">
        <f>SUMIFS(METALFISA!$E:$E,METALFISA!$A:$A,'Faltantes Fevereiro- Metalfisa'!AO$3,METALFISA!$B:$B,'Faltantes Fevereiro- Metalfisa'!$A375)</f>
        <v>0</v>
      </c>
      <c r="AP375" s="31">
        <f>SUMIFS(METALFISA!$E:$E,METALFISA!$A:$A,'Faltantes Fevereiro- Metalfisa'!AP$3,METALFISA!$B:$B,'Faltantes Fevereiro- Metalfisa'!$A375)</f>
        <v>0</v>
      </c>
      <c r="AQ375" s="31"/>
      <c r="AR375" s="31"/>
      <c r="AS375" s="35"/>
      <c r="AY375" s="41">
        <v>0</v>
      </c>
      <c r="AZ375" s="31">
        <v>1</v>
      </c>
      <c r="BA375" s="31">
        <v>0</v>
      </c>
      <c r="BB375" s="31">
        <v>0</v>
      </c>
      <c r="BC375" s="31">
        <v>0</v>
      </c>
      <c r="BD375" s="31">
        <v>0</v>
      </c>
      <c r="BE375" s="31">
        <v>0</v>
      </c>
      <c r="BF375" s="31">
        <v>0</v>
      </c>
      <c r="BG375" s="31">
        <v>0</v>
      </c>
      <c r="BH375" s="31">
        <v>0</v>
      </c>
      <c r="BI375" s="31">
        <v>0</v>
      </c>
      <c r="BJ375" s="31">
        <v>0</v>
      </c>
      <c r="BK375" s="31">
        <v>0</v>
      </c>
      <c r="BL375" s="31">
        <v>0</v>
      </c>
      <c r="BM375" s="31">
        <v>0</v>
      </c>
      <c r="BN375" s="31">
        <v>0</v>
      </c>
      <c r="BO375" s="31">
        <v>0</v>
      </c>
      <c r="BP375" s="31">
        <v>0</v>
      </c>
      <c r="BQ375" s="31">
        <v>0</v>
      </c>
      <c r="BR375" s="31">
        <v>0</v>
      </c>
      <c r="BS375" s="31">
        <v>0</v>
      </c>
      <c r="BT375" s="31">
        <v>0</v>
      </c>
      <c r="BU375" s="31">
        <v>0</v>
      </c>
      <c r="BV375" s="31">
        <v>0</v>
      </c>
      <c r="BW375" s="31">
        <v>0</v>
      </c>
      <c r="BX375" s="31">
        <v>0</v>
      </c>
      <c r="BY375" s="31">
        <v>0</v>
      </c>
      <c r="BZ375" s="31">
        <v>0</v>
      </c>
      <c r="CA375" s="31">
        <v>0</v>
      </c>
      <c r="CB375" s="31">
        <v>0</v>
      </c>
      <c r="CC375" s="31">
        <v>0</v>
      </c>
      <c r="CD375" s="31">
        <v>0</v>
      </c>
      <c r="CE375" s="31">
        <v>0</v>
      </c>
      <c r="CF375" s="31">
        <v>0</v>
      </c>
      <c r="CG375" s="31">
        <v>0</v>
      </c>
      <c r="CH375" s="31">
        <v>0</v>
      </c>
      <c r="CI375" s="31">
        <v>0</v>
      </c>
      <c r="CJ375" s="31">
        <v>0</v>
      </c>
      <c r="CK375" s="31">
        <v>0</v>
      </c>
      <c r="CL375" s="35">
        <v>0</v>
      </c>
    </row>
    <row r="376" spans="1:90" ht="21" x14ac:dyDescent="0.15">
      <c r="A376" s="31" t="s">
        <v>512</v>
      </c>
      <c r="B376" s="30" t="s">
        <v>513</v>
      </c>
      <c r="C376" s="28">
        <v>0</v>
      </c>
      <c r="D376" s="28">
        <v>0</v>
      </c>
      <c r="E376" s="28">
        <v>0</v>
      </c>
      <c r="F376" s="28">
        <v>0</v>
      </c>
      <c r="G376" s="28">
        <v>2</v>
      </c>
      <c r="H376" s="28">
        <f>IFERROR(VLOOKUP(A376,[1]FALTANTES!$A:$AB,28,FALSE),"-")</f>
        <v>0</v>
      </c>
      <c r="I376" s="42">
        <f>IFERROR(VLOOKUP(A376,[1]FALTANTES!$A:$AC,29,FALSE),"-")</f>
        <v>0</v>
      </c>
      <c r="J376" s="29">
        <f>IFERROR(VLOOKUP(A376,[1]FALTANTES!$A:$AD,30,FALSE),"-")</f>
        <v>-2</v>
      </c>
      <c r="K376" s="30">
        <v>0</v>
      </c>
      <c r="L376" s="30">
        <f t="shared" si="7"/>
        <v>2</v>
      </c>
      <c r="M376" s="31">
        <f>SUMIFS(METALFISA!$E:$E,METALFISA!$A:$A,'Faltantes Fevereiro- Metalfisa'!M$3,METALFISA!$B:$B,'Faltantes Fevereiro- Metalfisa'!$A376)</f>
        <v>0</v>
      </c>
      <c r="N376" s="31">
        <f>SUMIFS(METALFISA!$E:$E,METALFISA!$A:$A,'Faltantes Fevereiro- Metalfisa'!N$3,METALFISA!$B:$B,'Faltantes Fevereiro- Metalfisa'!$A376)</f>
        <v>0</v>
      </c>
      <c r="O376" s="31">
        <f>SUMIFS(METALFISA!$E:$E,METALFISA!$A:$A,'Faltantes Fevereiro- Metalfisa'!O$3,METALFISA!$B:$B,'Faltantes Fevereiro- Metalfisa'!$A376)</f>
        <v>0</v>
      </c>
      <c r="P376" s="31">
        <f>SUMIFS(METALFISA!$E:$E,METALFISA!$A:$A,'Faltantes Fevereiro- Metalfisa'!P$3,METALFISA!$B:$B,'Faltantes Fevereiro- Metalfisa'!$A376)</f>
        <v>0</v>
      </c>
      <c r="Q376" s="31">
        <f>SUMIFS(METALFISA!$E:$E,METALFISA!$A:$A,'Faltantes Fevereiro- Metalfisa'!Q$3,METALFISA!$B:$B,'Faltantes Fevereiro- Metalfisa'!$A376)</f>
        <v>0</v>
      </c>
      <c r="R376" s="31">
        <f>SUMIFS(METALFISA!$E:$E,METALFISA!$A:$A,'Faltantes Fevereiro- Metalfisa'!R$3,METALFISA!$B:$B,'Faltantes Fevereiro- Metalfisa'!$A376)</f>
        <v>0</v>
      </c>
      <c r="S376" s="31">
        <f>SUMIFS(METALFISA!$E:$E,METALFISA!$A:$A,'Faltantes Fevereiro- Metalfisa'!S$3,METALFISA!$B:$B,'Faltantes Fevereiro- Metalfisa'!$A376)</f>
        <v>0</v>
      </c>
      <c r="T376" s="31">
        <f>SUMIFS(METALFISA!$E:$E,METALFISA!$A:$A,'Faltantes Fevereiro- Metalfisa'!T$3,METALFISA!$B:$B,'Faltantes Fevereiro- Metalfisa'!$A376)</f>
        <v>0</v>
      </c>
      <c r="U376" s="31">
        <f>SUMIFS(METALFISA!$E:$E,METALFISA!$A:$A,'Faltantes Fevereiro- Metalfisa'!U$3,METALFISA!$B:$B,'Faltantes Fevereiro- Metalfisa'!$A376)</f>
        <v>0</v>
      </c>
      <c r="V376" s="31">
        <f>SUMIFS(METALFISA!$E:$E,METALFISA!$A:$A,'Faltantes Fevereiro- Metalfisa'!V$3,METALFISA!$B:$B,'Faltantes Fevereiro- Metalfisa'!$A376)</f>
        <v>0</v>
      </c>
      <c r="W376" s="31">
        <f>SUMIFS(METALFISA!$E:$E,METALFISA!$A:$A,'Faltantes Fevereiro- Metalfisa'!W$3,METALFISA!$B:$B,'Faltantes Fevereiro- Metalfisa'!$A376)</f>
        <v>0</v>
      </c>
      <c r="X376" s="31">
        <f>SUMIFS(METALFISA!$E:$E,METALFISA!$A:$A,'Faltantes Fevereiro- Metalfisa'!X$3,METALFISA!$B:$B,'Faltantes Fevereiro- Metalfisa'!$A376)</f>
        <v>0</v>
      </c>
      <c r="Y376" s="31">
        <f>SUMIFS(METALFISA!$E:$E,METALFISA!$A:$A,'Faltantes Fevereiro- Metalfisa'!Y$3,METALFISA!$B:$B,'Faltantes Fevereiro- Metalfisa'!$A376)</f>
        <v>0</v>
      </c>
      <c r="Z376" s="31">
        <f>SUMIFS(METALFISA!$E:$E,METALFISA!$A:$A,'Faltantes Fevereiro- Metalfisa'!Z$3,METALFISA!$B:$B,'Faltantes Fevereiro- Metalfisa'!$A376)</f>
        <v>0</v>
      </c>
      <c r="AA376" s="31">
        <f>SUMIFS(METALFISA!$E:$E,METALFISA!$A:$A,'Faltantes Fevereiro- Metalfisa'!AA$3,METALFISA!$B:$B,'Faltantes Fevereiro- Metalfisa'!$A376)</f>
        <v>0</v>
      </c>
      <c r="AB376" s="31">
        <f>SUMIFS(METALFISA!$E:$E,METALFISA!$A:$A,'Faltantes Fevereiro- Metalfisa'!AB$3,METALFISA!$B:$B,'Faltantes Fevereiro- Metalfisa'!$A376)</f>
        <v>0</v>
      </c>
      <c r="AC376" s="31">
        <f>SUMIFS(METALFISA!$E:$E,METALFISA!$A:$A,'Faltantes Fevereiro- Metalfisa'!AC$3,METALFISA!$B:$B,'Faltantes Fevereiro- Metalfisa'!$A376)</f>
        <v>0</v>
      </c>
      <c r="AD376" s="31">
        <f>SUMIFS(METALFISA!$E:$E,METALFISA!$A:$A,'Faltantes Fevereiro- Metalfisa'!AD$3,METALFISA!$B:$B,'Faltantes Fevereiro- Metalfisa'!$A376)</f>
        <v>0</v>
      </c>
      <c r="AE376" s="31">
        <f>SUMIFS(METALFISA!$E:$E,METALFISA!$A:$A,'Faltantes Fevereiro- Metalfisa'!AE$3,METALFISA!$B:$B,'Faltantes Fevereiro- Metalfisa'!$A376)</f>
        <v>0</v>
      </c>
      <c r="AF376" s="31">
        <f>SUMIFS(METALFISA!$E:$E,METALFISA!$A:$A,'Faltantes Fevereiro- Metalfisa'!AF$3,METALFISA!$B:$B,'Faltantes Fevereiro- Metalfisa'!$A376)</f>
        <v>0</v>
      </c>
      <c r="AG376" s="31">
        <f>SUMIFS(METALFISA!$E:$E,METALFISA!$A:$A,'Faltantes Fevereiro- Metalfisa'!AG$3,METALFISA!$B:$B,'Faltantes Fevereiro- Metalfisa'!$A376)</f>
        <v>0</v>
      </c>
      <c r="AH376" s="31">
        <f>SUMIFS(METALFISA!$E:$E,METALFISA!$A:$A,'Faltantes Fevereiro- Metalfisa'!AH$3,METALFISA!$B:$B,'Faltantes Fevereiro- Metalfisa'!$A376)</f>
        <v>2</v>
      </c>
      <c r="AI376" s="31">
        <f>SUMIFS(METALFISA!$E:$E,METALFISA!$A:$A,'Faltantes Fevereiro- Metalfisa'!AI$3,METALFISA!$B:$B,'Faltantes Fevereiro- Metalfisa'!$A376)</f>
        <v>0</v>
      </c>
      <c r="AJ376" s="31">
        <f>SUMIFS(METALFISA!$E:$E,METALFISA!$A:$A,'Faltantes Fevereiro- Metalfisa'!AJ$3,METALFISA!$B:$B,'Faltantes Fevereiro- Metalfisa'!$A376)</f>
        <v>0</v>
      </c>
      <c r="AK376" s="31">
        <f>SUMIFS(METALFISA!$E:$E,METALFISA!$A:$A,'Faltantes Fevereiro- Metalfisa'!AK$3,METALFISA!$B:$B,'Faltantes Fevereiro- Metalfisa'!$A376)</f>
        <v>0</v>
      </c>
      <c r="AL376" s="31">
        <f>SUMIFS(METALFISA!$E:$E,METALFISA!$A:$A,'Faltantes Fevereiro- Metalfisa'!AL$3,METALFISA!$B:$B,'Faltantes Fevereiro- Metalfisa'!$A376)</f>
        <v>0</v>
      </c>
      <c r="AM376" s="31">
        <f>SUMIFS(METALFISA!$E:$E,METALFISA!$A:$A,'Faltantes Fevereiro- Metalfisa'!AM$3,METALFISA!$B:$B,'Faltantes Fevereiro- Metalfisa'!$A376)</f>
        <v>0</v>
      </c>
      <c r="AN376" s="31">
        <f>SUMIFS(METALFISA!$E:$E,METALFISA!$A:$A,'Faltantes Fevereiro- Metalfisa'!AN$3,METALFISA!$B:$B,'Faltantes Fevereiro- Metalfisa'!$A376)</f>
        <v>0</v>
      </c>
      <c r="AO376" s="31">
        <f>SUMIFS(METALFISA!$E:$E,METALFISA!$A:$A,'Faltantes Fevereiro- Metalfisa'!AO$3,METALFISA!$B:$B,'Faltantes Fevereiro- Metalfisa'!$A376)</f>
        <v>0</v>
      </c>
      <c r="AP376" s="31">
        <f>SUMIFS(METALFISA!$E:$E,METALFISA!$A:$A,'Faltantes Fevereiro- Metalfisa'!AP$3,METALFISA!$B:$B,'Faltantes Fevereiro- Metalfisa'!$A376)</f>
        <v>0</v>
      </c>
      <c r="AQ376" s="31"/>
      <c r="AR376" s="31"/>
      <c r="AS376" s="35"/>
      <c r="AY376" s="41">
        <v>0</v>
      </c>
      <c r="AZ376" s="31">
        <v>2</v>
      </c>
      <c r="BA376" s="31">
        <v>0</v>
      </c>
      <c r="BB376" s="31">
        <v>0</v>
      </c>
      <c r="BC376" s="31">
        <v>0</v>
      </c>
      <c r="BD376" s="31">
        <v>0</v>
      </c>
      <c r="BE376" s="31">
        <v>0</v>
      </c>
      <c r="BF376" s="31">
        <v>0</v>
      </c>
      <c r="BG376" s="31">
        <v>0</v>
      </c>
      <c r="BH376" s="31">
        <v>0</v>
      </c>
      <c r="BI376" s="31">
        <v>0</v>
      </c>
      <c r="BJ376" s="31">
        <v>0</v>
      </c>
      <c r="BK376" s="31">
        <v>0</v>
      </c>
      <c r="BL376" s="31">
        <v>0</v>
      </c>
      <c r="BM376" s="31">
        <v>0</v>
      </c>
      <c r="BN376" s="31">
        <v>0</v>
      </c>
      <c r="BO376" s="31">
        <v>0</v>
      </c>
      <c r="BP376" s="31">
        <v>0</v>
      </c>
      <c r="BQ376" s="31">
        <v>0</v>
      </c>
      <c r="BR376" s="31">
        <v>0</v>
      </c>
      <c r="BS376" s="31">
        <v>0</v>
      </c>
      <c r="BT376" s="31">
        <v>0</v>
      </c>
      <c r="BU376" s="31">
        <v>0</v>
      </c>
      <c r="BV376" s="31">
        <v>0</v>
      </c>
      <c r="BW376" s="31">
        <v>0</v>
      </c>
      <c r="BX376" s="31">
        <v>0</v>
      </c>
      <c r="BY376" s="31">
        <v>0</v>
      </c>
      <c r="BZ376" s="31">
        <v>0</v>
      </c>
      <c r="CA376" s="31">
        <v>0</v>
      </c>
      <c r="CB376" s="31">
        <v>0</v>
      </c>
      <c r="CC376" s="31">
        <v>0</v>
      </c>
      <c r="CD376" s="31">
        <v>0</v>
      </c>
      <c r="CE376" s="31">
        <v>0</v>
      </c>
      <c r="CF376" s="31">
        <v>0</v>
      </c>
      <c r="CG376" s="31">
        <v>0</v>
      </c>
      <c r="CH376" s="31">
        <v>0</v>
      </c>
      <c r="CI376" s="31">
        <v>0</v>
      </c>
      <c r="CJ376" s="31">
        <v>0</v>
      </c>
      <c r="CK376" s="31">
        <v>0</v>
      </c>
      <c r="CL376" s="35">
        <v>0</v>
      </c>
    </row>
    <row r="377" spans="1:90" ht="21" x14ac:dyDescent="0.15">
      <c r="A377" s="31" t="s">
        <v>286</v>
      </c>
      <c r="B377" s="30" t="s">
        <v>287</v>
      </c>
      <c r="C377" s="28">
        <v>0</v>
      </c>
      <c r="D377" s="28">
        <v>0</v>
      </c>
      <c r="E377" s="28">
        <v>0</v>
      </c>
      <c r="F377" s="28">
        <v>0</v>
      </c>
      <c r="G377" s="28">
        <v>18</v>
      </c>
      <c r="H377" s="28">
        <f>IFERROR(VLOOKUP(A377,[1]FALTANTES!$A:$AB,28,FALSE),"-")</f>
        <v>0</v>
      </c>
      <c r="I377" s="42">
        <f>IFERROR(VLOOKUP(A377,[1]FALTANTES!$A:$AC,29,FALSE),"-")</f>
        <v>0</v>
      </c>
      <c r="J377" s="29">
        <f>IFERROR(VLOOKUP(A377,[1]FALTANTES!$A:$AD,30,FALSE),"-")</f>
        <v>-18</v>
      </c>
      <c r="K377" s="30">
        <v>0</v>
      </c>
      <c r="L377" s="30">
        <f t="shared" si="7"/>
        <v>18</v>
      </c>
      <c r="M377" s="31">
        <f>SUMIFS(METALFISA!$E:$E,METALFISA!$A:$A,'Faltantes Fevereiro- Metalfisa'!M$3,METALFISA!$B:$B,'Faltantes Fevereiro- Metalfisa'!$A377)</f>
        <v>0</v>
      </c>
      <c r="N377" s="31">
        <f>SUMIFS(METALFISA!$E:$E,METALFISA!$A:$A,'Faltantes Fevereiro- Metalfisa'!N$3,METALFISA!$B:$B,'Faltantes Fevereiro- Metalfisa'!$A377)</f>
        <v>0</v>
      </c>
      <c r="O377" s="31">
        <f>SUMIFS(METALFISA!$E:$E,METALFISA!$A:$A,'Faltantes Fevereiro- Metalfisa'!O$3,METALFISA!$B:$B,'Faltantes Fevereiro- Metalfisa'!$A377)</f>
        <v>0</v>
      </c>
      <c r="P377" s="31">
        <f>SUMIFS(METALFISA!$E:$E,METALFISA!$A:$A,'Faltantes Fevereiro- Metalfisa'!P$3,METALFISA!$B:$B,'Faltantes Fevereiro- Metalfisa'!$A377)</f>
        <v>0</v>
      </c>
      <c r="Q377" s="31">
        <f>SUMIFS(METALFISA!$E:$E,METALFISA!$A:$A,'Faltantes Fevereiro- Metalfisa'!Q$3,METALFISA!$B:$B,'Faltantes Fevereiro- Metalfisa'!$A377)</f>
        <v>0</v>
      </c>
      <c r="R377" s="31">
        <f>SUMIFS(METALFISA!$E:$E,METALFISA!$A:$A,'Faltantes Fevereiro- Metalfisa'!R$3,METALFISA!$B:$B,'Faltantes Fevereiro- Metalfisa'!$A377)</f>
        <v>0</v>
      </c>
      <c r="S377" s="31">
        <f>SUMIFS(METALFISA!$E:$E,METALFISA!$A:$A,'Faltantes Fevereiro- Metalfisa'!S$3,METALFISA!$B:$B,'Faltantes Fevereiro- Metalfisa'!$A377)</f>
        <v>0</v>
      </c>
      <c r="T377" s="31">
        <f>SUMIFS(METALFISA!$E:$E,METALFISA!$A:$A,'Faltantes Fevereiro- Metalfisa'!T$3,METALFISA!$B:$B,'Faltantes Fevereiro- Metalfisa'!$A377)</f>
        <v>0</v>
      </c>
      <c r="U377" s="31">
        <f>SUMIFS(METALFISA!$E:$E,METALFISA!$A:$A,'Faltantes Fevereiro- Metalfisa'!U$3,METALFISA!$B:$B,'Faltantes Fevereiro- Metalfisa'!$A377)</f>
        <v>0</v>
      </c>
      <c r="V377" s="31">
        <f>SUMIFS(METALFISA!$E:$E,METALFISA!$A:$A,'Faltantes Fevereiro- Metalfisa'!V$3,METALFISA!$B:$B,'Faltantes Fevereiro- Metalfisa'!$A377)</f>
        <v>0</v>
      </c>
      <c r="W377" s="31">
        <f>SUMIFS(METALFISA!$E:$E,METALFISA!$A:$A,'Faltantes Fevereiro- Metalfisa'!W$3,METALFISA!$B:$B,'Faltantes Fevereiro- Metalfisa'!$A377)</f>
        <v>0</v>
      </c>
      <c r="X377" s="31">
        <f>SUMIFS(METALFISA!$E:$E,METALFISA!$A:$A,'Faltantes Fevereiro- Metalfisa'!X$3,METALFISA!$B:$B,'Faltantes Fevereiro- Metalfisa'!$A377)</f>
        <v>0</v>
      </c>
      <c r="Y377" s="31">
        <f>SUMIFS(METALFISA!$E:$E,METALFISA!$A:$A,'Faltantes Fevereiro- Metalfisa'!Y$3,METALFISA!$B:$B,'Faltantes Fevereiro- Metalfisa'!$A377)</f>
        <v>0</v>
      </c>
      <c r="Z377" s="31">
        <f>SUMIFS(METALFISA!$E:$E,METALFISA!$A:$A,'Faltantes Fevereiro- Metalfisa'!Z$3,METALFISA!$B:$B,'Faltantes Fevereiro- Metalfisa'!$A377)</f>
        <v>0</v>
      </c>
      <c r="AA377" s="31">
        <f>SUMIFS(METALFISA!$E:$E,METALFISA!$A:$A,'Faltantes Fevereiro- Metalfisa'!AA$3,METALFISA!$B:$B,'Faltantes Fevereiro- Metalfisa'!$A377)</f>
        <v>0</v>
      </c>
      <c r="AB377" s="31">
        <f>SUMIFS(METALFISA!$E:$E,METALFISA!$A:$A,'Faltantes Fevereiro- Metalfisa'!AB$3,METALFISA!$B:$B,'Faltantes Fevereiro- Metalfisa'!$A377)</f>
        <v>0</v>
      </c>
      <c r="AC377" s="31">
        <f>SUMIFS(METALFISA!$E:$E,METALFISA!$A:$A,'Faltantes Fevereiro- Metalfisa'!AC$3,METALFISA!$B:$B,'Faltantes Fevereiro- Metalfisa'!$A377)</f>
        <v>6</v>
      </c>
      <c r="AD377" s="31">
        <f>SUMIFS(METALFISA!$E:$E,METALFISA!$A:$A,'Faltantes Fevereiro- Metalfisa'!AD$3,METALFISA!$B:$B,'Faltantes Fevereiro- Metalfisa'!$A377)</f>
        <v>0</v>
      </c>
      <c r="AE377" s="31">
        <f>SUMIFS(METALFISA!$E:$E,METALFISA!$A:$A,'Faltantes Fevereiro- Metalfisa'!AE$3,METALFISA!$B:$B,'Faltantes Fevereiro- Metalfisa'!$A377)</f>
        <v>0</v>
      </c>
      <c r="AF377" s="31">
        <f>SUMIFS(METALFISA!$E:$E,METALFISA!$A:$A,'Faltantes Fevereiro- Metalfisa'!AF$3,METALFISA!$B:$B,'Faltantes Fevereiro- Metalfisa'!$A377)</f>
        <v>0</v>
      </c>
      <c r="AG377" s="31">
        <f>SUMIFS(METALFISA!$E:$E,METALFISA!$A:$A,'Faltantes Fevereiro- Metalfisa'!AG$3,METALFISA!$B:$B,'Faltantes Fevereiro- Metalfisa'!$A377)</f>
        <v>12</v>
      </c>
      <c r="AH377" s="31">
        <f>SUMIFS(METALFISA!$E:$E,METALFISA!$A:$A,'Faltantes Fevereiro- Metalfisa'!AH$3,METALFISA!$B:$B,'Faltantes Fevereiro- Metalfisa'!$A377)</f>
        <v>0</v>
      </c>
      <c r="AI377" s="31">
        <f>SUMIFS(METALFISA!$E:$E,METALFISA!$A:$A,'Faltantes Fevereiro- Metalfisa'!AI$3,METALFISA!$B:$B,'Faltantes Fevereiro- Metalfisa'!$A377)</f>
        <v>0</v>
      </c>
      <c r="AJ377" s="31">
        <f>SUMIFS(METALFISA!$E:$E,METALFISA!$A:$A,'Faltantes Fevereiro- Metalfisa'!AJ$3,METALFISA!$B:$B,'Faltantes Fevereiro- Metalfisa'!$A377)</f>
        <v>0</v>
      </c>
      <c r="AK377" s="31">
        <f>SUMIFS(METALFISA!$E:$E,METALFISA!$A:$A,'Faltantes Fevereiro- Metalfisa'!AK$3,METALFISA!$B:$B,'Faltantes Fevereiro- Metalfisa'!$A377)</f>
        <v>0</v>
      </c>
      <c r="AL377" s="31">
        <f>SUMIFS(METALFISA!$E:$E,METALFISA!$A:$A,'Faltantes Fevereiro- Metalfisa'!AL$3,METALFISA!$B:$B,'Faltantes Fevereiro- Metalfisa'!$A377)</f>
        <v>0</v>
      </c>
      <c r="AM377" s="31">
        <f>SUMIFS(METALFISA!$E:$E,METALFISA!$A:$A,'Faltantes Fevereiro- Metalfisa'!AM$3,METALFISA!$B:$B,'Faltantes Fevereiro- Metalfisa'!$A377)</f>
        <v>0</v>
      </c>
      <c r="AN377" s="31">
        <f>SUMIFS(METALFISA!$E:$E,METALFISA!$A:$A,'Faltantes Fevereiro- Metalfisa'!AN$3,METALFISA!$B:$B,'Faltantes Fevereiro- Metalfisa'!$A377)</f>
        <v>0</v>
      </c>
      <c r="AO377" s="31">
        <f>SUMIFS(METALFISA!$E:$E,METALFISA!$A:$A,'Faltantes Fevereiro- Metalfisa'!AO$3,METALFISA!$B:$B,'Faltantes Fevereiro- Metalfisa'!$A377)</f>
        <v>0</v>
      </c>
      <c r="AP377" s="31">
        <f>SUMIFS(METALFISA!$E:$E,METALFISA!$A:$A,'Faltantes Fevereiro- Metalfisa'!AP$3,METALFISA!$B:$B,'Faltantes Fevereiro- Metalfisa'!$A377)</f>
        <v>0</v>
      </c>
      <c r="AQ377" s="31"/>
      <c r="AR377" s="31"/>
      <c r="AS377" s="35"/>
      <c r="AY377" s="41">
        <v>0</v>
      </c>
      <c r="AZ377" s="31">
        <v>0</v>
      </c>
      <c r="BA377" s="31">
        <v>0</v>
      </c>
      <c r="BB377" s="31">
        <v>0</v>
      </c>
      <c r="BC377" s="31">
        <v>0</v>
      </c>
      <c r="BD377" s="31">
        <v>0</v>
      </c>
      <c r="BE377" s="31">
        <v>0</v>
      </c>
      <c r="BF377" s="31">
        <v>0</v>
      </c>
      <c r="BG377" s="31">
        <v>0</v>
      </c>
      <c r="BH377" s="31">
        <v>0</v>
      </c>
      <c r="BI377" s="31">
        <v>0</v>
      </c>
      <c r="BJ377" s="31">
        <v>0</v>
      </c>
      <c r="BK377" s="31">
        <v>0</v>
      </c>
      <c r="BL377" s="31">
        <v>0</v>
      </c>
      <c r="BM377" s="31">
        <v>6</v>
      </c>
      <c r="BN377" s="31">
        <v>0</v>
      </c>
      <c r="BO377" s="31">
        <v>0</v>
      </c>
      <c r="BP377" s="31">
        <v>0</v>
      </c>
      <c r="BQ377" s="31">
        <v>0</v>
      </c>
      <c r="BR377" s="31">
        <v>0</v>
      </c>
      <c r="BS377" s="31">
        <v>0</v>
      </c>
      <c r="BT377" s="31">
        <v>0</v>
      </c>
      <c r="BU377" s="31">
        <v>0</v>
      </c>
      <c r="BV377" s="31">
        <v>0</v>
      </c>
      <c r="BW377" s="31">
        <v>0</v>
      </c>
      <c r="BX377" s="31">
        <v>0</v>
      </c>
      <c r="BY377" s="31">
        <v>0</v>
      </c>
      <c r="BZ377" s="31">
        <v>0</v>
      </c>
      <c r="CA377" s="31">
        <v>0</v>
      </c>
      <c r="CB377" s="31">
        <v>0</v>
      </c>
      <c r="CC377" s="31">
        <v>0</v>
      </c>
      <c r="CD377" s="31">
        <v>0</v>
      </c>
      <c r="CE377" s="31">
        <v>0</v>
      </c>
      <c r="CF377" s="31">
        <v>0</v>
      </c>
      <c r="CG377" s="31">
        <v>0</v>
      </c>
      <c r="CH377" s="31">
        <v>0</v>
      </c>
      <c r="CI377" s="31">
        <v>0</v>
      </c>
      <c r="CJ377" s="31">
        <v>0</v>
      </c>
      <c r="CK377" s="31">
        <v>0</v>
      </c>
      <c r="CL377" s="35">
        <v>0</v>
      </c>
    </row>
    <row r="378" spans="1:90" x14ac:dyDescent="0.15">
      <c r="A378" s="31" t="s">
        <v>736</v>
      </c>
      <c r="B378" s="30" t="s">
        <v>737</v>
      </c>
      <c r="C378" s="28">
        <v>0</v>
      </c>
      <c r="D378" s="28">
        <v>0</v>
      </c>
      <c r="E378" s="28">
        <v>0</v>
      </c>
      <c r="F378" s="28">
        <v>0</v>
      </c>
      <c r="G378" s="28">
        <v>4</v>
      </c>
      <c r="H378" s="28">
        <f>IFERROR(VLOOKUP(A378,[1]FALTANTES!$A:$AB,28,FALSE),"-")</f>
        <v>0</v>
      </c>
      <c r="I378" s="42">
        <f>IFERROR(VLOOKUP(A378,[1]FALTANTES!$A:$AC,29,FALSE),"-")</f>
        <v>0</v>
      </c>
      <c r="J378" s="29">
        <f>IFERROR(VLOOKUP(A378,[1]FALTANTES!$A:$AD,30,FALSE),"-")</f>
        <v>-4</v>
      </c>
      <c r="K378" s="30">
        <v>0</v>
      </c>
      <c r="L378" s="30">
        <f t="shared" si="7"/>
        <v>4</v>
      </c>
      <c r="M378" s="31">
        <f>SUMIFS(METALFISA!$E:$E,METALFISA!$A:$A,'Faltantes Fevereiro- Metalfisa'!M$3,METALFISA!$B:$B,'Faltantes Fevereiro- Metalfisa'!$A378)</f>
        <v>0</v>
      </c>
      <c r="N378" s="31">
        <f>SUMIFS(METALFISA!$E:$E,METALFISA!$A:$A,'Faltantes Fevereiro- Metalfisa'!N$3,METALFISA!$B:$B,'Faltantes Fevereiro- Metalfisa'!$A378)</f>
        <v>0</v>
      </c>
      <c r="O378" s="31">
        <f>SUMIFS(METALFISA!$E:$E,METALFISA!$A:$A,'Faltantes Fevereiro- Metalfisa'!O$3,METALFISA!$B:$B,'Faltantes Fevereiro- Metalfisa'!$A378)</f>
        <v>0</v>
      </c>
      <c r="P378" s="31">
        <f>SUMIFS(METALFISA!$E:$E,METALFISA!$A:$A,'Faltantes Fevereiro- Metalfisa'!P$3,METALFISA!$B:$B,'Faltantes Fevereiro- Metalfisa'!$A378)</f>
        <v>0</v>
      </c>
      <c r="Q378" s="31">
        <f>SUMIFS(METALFISA!$E:$E,METALFISA!$A:$A,'Faltantes Fevereiro- Metalfisa'!Q$3,METALFISA!$B:$B,'Faltantes Fevereiro- Metalfisa'!$A378)</f>
        <v>0</v>
      </c>
      <c r="R378" s="31">
        <f>SUMIFS(METALFISA!$E:$E,METALFISA!$A:$A,'Faltantes Fevereiro- Metalfisa'!R$3,METALFISA!$B:$B,'Faltantes Fevereiro- Metalfisa'!$A378)</f>
        <v>0</v>
      </c>
      <c r="S378" s="31">
        <f>SUMIFS(METALFISA!$E:$E,METALFISA!$A:$A,'Faltantes Fevereiro- Metalfisa'!S$3,METALFISA!$B:$B,'Faltantes Fevereiro- Metalfisa'!$A378)</f>
        <v>0</v>
      </c>
      <c r="T378" s="31">
        <f>SUMIFS(METALFISA!$E:$E,METALFISA!$A:$A,'Faltantes Fevereiro- Metalfisa'!T$3,METALFISA!$B:$B,'Faltantes Fevereiro- Metalfisa'!$A378)</f>
        <v>0</v>
      </c>
      <c r="U378" s="31">
        <f>SUMIFS(METALFISA!$E:$E,METALFISA!$A:$A,'Faltantes Fevereiro- Metalfisa'!U$3,METALFISA!$B:$B,'Faltantes Fevereiro- Metalfisa'!$A378)</f>
        <v>0</v>
      </c>
      <c r="V378" s="31">
        <f>SUMIFS(METALFISA!$E:$E,METALFISA!$A:$A,'Faltantes Fevereiro- Metalfisa'!V$3,METALFISA!$B:$B,'Faltantes Fevereiro- Metalfisa'!$A378)</f>
        <v>0</v>
      </c>
      <c r="W378" s="31">
        <f>SUMIFS(METALFISA!$E:$E,METALFISA!$A:$A,'Faltantes Fevereiro- Metalfisa'!W$3,METALFISA!$B:$B,'Faltantes Fevereiro- Metalfisa'!$A378)</f>
        <v>0</v>
      </c>
      <c r="X378" s="31">
        <f>SUMIFS(METALFISA!$E:$E,METALFISA!$A:$A,'Faltantes Fevereiro- Metalfisa'!X$3,METALFISA!$B:$B,'Faltantes Fevereiro- Metalfisa'!$A378)</f>
        <v>0</v>
      </c>
      <c r="Y378" s="31">
        <f>SUMIFS(METALFISA!$E:$E,METALFISA!$A:$A,'Faltantes Fevereiro- Metalfisa'!Y$3,METALFISA!$B:$B,'Faltantes Fevereiro- Metalfisa'!$A378)</f>
        <v>0</v>
      </c>
      <c r="Z378" s="31">
        <f>SUMIFS(METALFISA!$E:$E,METALFISA!$A:$A,'Faltantes Fevereiro- Metalfisa'!Z$3,METALFISA!$B:$B,'Faltantes Fevereiro- Metalfisa'!$A378)</f>
        <v>0</v>
      </c>
      <c r="AA378" s="31">
        <f>SUMIFS(METALFISA!$E:$E,METALFISA!$A:$A,'Faltantes Fevereiro- Metalfisa'!AA$3,METALFISA!$B:$B,'Faltantes Fevereiro- Metalfisa'!$A378)</f>
        <v>0</v>
      </c>
      <c r="AB378" s="31">
        <f>SUMIFS(METALFISA!$E:$E,METALFISA!$A:$A,'Faltantes Fevereiro- Metalfisa'!AB$3,METALFISA!$B:$B,'Faltantes Fevereiro- Metalfisa'!$A378)</f>
        <v>0</v>
      </c>
      <c r="AC378" s="31">
        <f>SUMIFS(METALFISA!$E:$E,METALFISA!$A:$A,'Faltantes Fevereiro- Metalfisa'!AC$3,METALFISA!$B:$B,'Faltantes Fevereiro- Metalfisa'!$A378)</f>
        <v>1</v>
      </c>
      <c r="AD378" s="31">
        <f>SUMIFS(METALFISA!$E:$E,METALFISA!$A:$A,'Faltantes Fevereiro- Metalfisa'!AD$3,METALFISA!$B:$B,'Faltantes Fevereiro- Metalfisa'!$A378)</f>
        <v>0</v>
      </c>
      <c r="AE378" s="31">
        <f>SUMIFS(METALFISA!$E:$E,METALFISA!$A:$A,'Faltantes Fevereiro- Metalfisa'!AE$3,METALFISA!$B:$B,'Faltantes Fevereiro- Metalfisa'!$A378)</f>
        <v>0</v>
      </c>
      <c r="AF378" s="31">
        <f>SUMIFS(METALFISA!$E:$E,METALFISA!$A:$A,'Faltantes Fevereiro- Metalfisa'!AF$3,METALFISA!$B:$B,'Faltantes Fevereiro- Metalfisa'!$A378)</f>
        <v>0</v>
      </c>
      <c r="AG378" s="31">
        <f>SUMIFS(METALFISA!$E:$E,METALFISA!$A:$A,'Faltantes Fevereiro- Metalfisa'!AG$3,METALFISA!$B:$B,'Faltantes Fevereiro- Metalfisa'!$A378)</f>
        <v>2</v>
      </c>
      <c r="AH378" s="31">
        <f>SUMIFS(METALFISA!$E:$E,METALFISA!$A:$A,'Faltantes Fevereiro- Metalfisa'!AH$3,METALFISA!$B:$B,'Faltantes Fevereiro- Metalfisa'!$A378)</f>
        <v>0</v>
      </c>
      <c r="AI378" s="31">
        <f>SUMIFS(METALFISA!$E:$E,METALFISA!$A:$A,'Faltantes Fevereiro- Metalfisa'!AI$3,METALFISA!$B:$B,'Faltantes Fevereiro- Metalfisa'!$A378)</f>
        <v>0</v>
      </c>
      <c r="AJ378" s="31">
        <f>SUMIFS(METALFISA!$E:$E,METALFISA!$A:$A,'Faltantes Fevereiro- Metalfisa'!AJ$3,METALFISA!$B:$B,'Faltantes Fevereiro- Metalfisa'!$A378)</f>
        <v>0</v>
      </c>
      <c r="AK378" s="31">
        <f>SUMIFS(METALFISA!$E:$E,METALFISA!$A:$A,'Faltantes Fevereiro- Metalfisa'!AK$3,METALFISA!$B:$B,'Faltantes Fevereiro- Metalfisa'!$A378)</f>
        <v>0</v>
      </c>
      <c r="AL378" s="31">
        <f>SUMIFS(METALFISA!$E:$E,METALFISA!$A:$A,'Faltantes Fevereiro- Metalfisa'!AL$3,METALFISA!$B:$B,'Faltantes Fevereiro- Metalfisa'!$A378)</f>
        <v>0</v>
      </c>
      <c r="AM378" s="31">
        <f>SUMIFS(METALFISA!$E:$E,METALFISA!$A:$A,'Faltantes Fevereiro- Metalfisa'!AM$3,METALFISA!$B:$B,'Faltantes Fevereiro- Metalfisa'!$A378)</f>
        <v>1</v>
      </c>
      <c r="AN378" s="31">
        <f>SUMIFS(METALFISA!$E:$E,METALFISA!$A:$A,'Faltantes Fevereiro- Metalfisa'!AN$3,METALFISA!$B:$B,'Faltantes Fevereiro- Metalfisa'!$A378)</f>
        <v>0</v>
      </c>
      <c r="AO378" s="31">
        <f>SUMIFS(METALFISA!$E:$E,METALFISA!$A:$A,'Faltantes Fevereiro- Metalfisa'!AO$3,METALFISA!$B:$B,'Faltantes Fevereiro- Metalfisa'!$A378)</f>
        <v>0</v>
      </c>
      <c r="AP378" s="31">
        <f>SUMIFS(METALFISA!$E:$E,METALFISA!$A:$A,'Faltantes Fevereiro- Metalfisa'!AP$3,METALFISA!$B:$B,'Faltantes Fevereiro- Metalfisa'!$A378)</f>
        <v>0</v>
      </c>
      <c r="AQ378" s="31"/>
      <c r="AR378" s="31"/>
      <c r="AS378" s="35"/>
      <c r="AY378" s="41">
        <v>0</v>
      </c>
      <c r="AZ378" s="31">
        <v>0</v>
      </c>
      <c r="BA378" s="31">
        <v>0</v>
      </c>
      <c r="BB378" s="31">
        <v>0</v>
      </c>
      <c r="BC378" s="31">
        <v>0</v>
      </c>
      <c r="BD378" s="31">
        <v>0</v>
      </c>
      <c r="BE378" s="31">
        <v>0</v>
      </c>
      <c r="BF378" s="31">
        <v>0</v>
      </c>
      <c r="BG378" s="31">
        <v>0</v>
      </c>
      <c r="BH378" s="31">
        <v>0</v>
      </c>
      <c r="BI378" s="31">
        <v>0</v>
      </c>
      <c r="BJ378" s="31">
        <v>0</v>
      </c>
      <c r="BK378" s="31">
        <v>0</v>
      </c>
      <c r="BL378" s="31">
        <v>0</v>
      </c>
      <c r="BM378" s="31">
        <v>1</v>
      </c>
      <c r="BN378" s="31">
        <v>0</v>
      </c>
      <c r="BO378" s="31">
        <v>0</v>
      </c>
      <c r="BP378" s="31">
        <v>0</v>
      </c>
      <c r="BQ378" s="31">
        <v>0</v>
      </c>
      <c r="BR378" s="31">
        <v>0</v>
      </c>
      <c r="BS378" s="31">
        <v>0</v>
      </c>
      <c r="BT378" s="31">
        <v>0</v>
      </c>
      <c r="BU378" s="31">
        <v>0</v>
      </c>
      <c r="BV378" s="31">
        <v>0</v>
      </c>
      <c r="BW378" s="31">
        <v>0</v>
      </c>
      <c r="BX378" s="31">
        <v>0</v>
      </c>
      <c r="BY378" s="31">
        <v>0</v>
      </c>
      <c r="BZ378" s="31">
        <v>0</v>
      </c>
      <c r="CA378" s="31">
        <v>0</v>
      </c>
      <c r="CB378" s="31">
        <v>0</v>
      </c>
      <c r="CC378" s="31">
        <v>0</v>
      </c>
      <c r="CD378" s="31">
        <v>0</v>
      </c>
      <c r="CE378" s="31">
        <v>0</v>
      </c>
      <c r="CF378" s="31">
        <v>0</v>
      </c>
      <c r="CG378" s="31">
        <v>0</v>
      </c>
      <c r="CH378" s="31">
        <v>0</v>
      </c>
      <c r="CI378" s="31">
        <v>0</v>
      </c>
      <c r="CJ378" s="31">
        <v>0</v>
      </c>
      <c r="CK378" s="31">
        <v>0</v>
      </c>
      <c r="CL378" s="35">
        <v>0</v>
      </c>
    </row>
    <row r="379" spans="1:90" ht="21" x14ac:dyDescent="0.15">
      <c r="A379" s="31" t="s">
        <v>679</v>
      </c>
      <c r="B379" s="30" t="s">
        <v>680</v>
      </c>
      <c r="C379" s="28">
        <v>0</v>
      </c>
      <c r="D379" s="28">
        <v>0</v>
      </c>
      <c r="E379" s="28">
        <v>0</v>
      </c>
      <c r="F379" s="28">
        <v>0</v>
      </c>
      <c r="G379" s="28">
        <v>18</v>
      </c>
      <c r="H379" s="28">
        <f>IFERROR(VLOOKUP(A379,[1]FALTANTES!$A:$AB,28,FALSE),"-")</f>
        <v>0</v>
      </c>
      <c r="I379" s="42">
        <f>IFERROR(VLOOKUP(A379,[1]FALTANTES!$A:$AC,29,FALSE),"-")</f>
        <v>0</v>
      </c>
      <c r="J379" s="29">
        <f>IFERROR(VLOOKUP(A379,[1]FALTANTES!$A:$AD,30,FALSE),"-")</f>
        <v>-18</v>
      </c>
      <c r="K379" s="30">
        <v>0</v>
      </c>
      <c r="L379" s="30">
        <f t="shared" si="7"/>
        <v>18</v>
      </c>
      <c r="M379" s="31">
        <f>SUMIFS(METALFISA!$E:$E,METALFISA!$A:$A,'Faltantes Fevereiro- Metalfisa'!M$3,METALFISA!$B:$B,'Faltantes Fevereiro- Metalfisa'!$A379)</f>
        <v>0</v>
      </c>
      <c r="N379" s="31">
        <f>SUMIFS(METALFISA!$E:$E,METALFISA!$A:$A,'Faltantes Fevereiro- Metalfisa'!N$3,METALFISA!$B:$B,'Faltantes Fevereiro- Metalfisa'!$A379)</f>
        <v>0</v>
      </c>
      <c r="O379" s="31">
        <f>SUMIFS(METALFISA!$E:$E,METALFISA!$A:$A,'Faltantes Fevereiro- Metalfisa'!O$3,METALFISA!$B:$B,'Faltantes Fevereiro- Metalfisa'!$A379)</f>
        <v>0</v>
      </c>
      <c r="P379" s="31">
        <f>SUMIFS(METALFISA!$E:$E,METALFISA!$A:$A,'Faltantes Fevereiro- Metalfisa'!P$3,METALFISA!$B:$B,'Faltantes Fevereiro- Metalfisa'!$A379)</f>
        <v>0</v>
      </c>
      <c r="Q379" s="31">
        <f>SUMIFS(METALFISA!$E:$E,METALFISA!$A:$A,'Faltantes Fevereiro- Metalfisa'!Q$3,METALFISA!$B:$B,'Faltantes Fevereiro- Metalfisa'!$A379)</f>
        <v>0</v>
      </c>
      <c r="R379" s="31">
        <f>SUMIFS(METALFISA!$E:$E,METALFISA!$A:$A,'Faltantes Fevereiro- Metalfisa'!R$3,METALFISA!$B:$B,'Faltantes Fevereiro- Metalfisa'!$A379)</f>
        <v>0</v>
      </c>
      <c r="S379" s="31">
        <f>SUMIFS(METALFISA!$E:$E,METALFISA!$A:$A,'Faltantes Fevereiro- Metalfisa'!S$3,METALFISA!$B:$B,'Faltantes Fevereiro- Metalfisa'!$A379)</f>
        <v>0</v>
      </c>
      <c r="T379" s="31">
        <f>SUMIFS(METALFISA!$E:$E,METALFISA!$A:$A,'Faltantes Fevereiro- Metalfisa'!T$3,METALFISA!$B:$B,'Faltantes Fevereiro- Metalfisa'!$A379)</f>
        <v>0</v>
      </c>
      <c r="U379" s="31">
        <f>SUMIFS(METALFISA!$E:$E,METALFISA!$A:$A,'Faltantes Fevereiro- Metalfisa'!U$3,METALFISA!$B:$B,'Faltantes Fevereiro- Metalfisa'!$A379)</f>
        <v>0</v>
      </c>
      <c r="V379" s="31">
        <f>SUMIFS(METALFISA!$E:$E,METALFISA!$A:$A,'Faltantes Fevereiro- Metalfisa'!V$3,METALFISA!$B:$B,'Faltantes Fevereiro- Metalfisa'!$A379)</f>
        <v>0</v>
      </c>
      <c r="W379" s="31">
        <f>SUMIFS(METALFISA!$E:$E,METALFISA!$A:$A,'Faltantes Fevereiro- Metalfisa'!W$3,METALFISA!$B:$B,'Faltantes Fevereiro- Metalfisa'!$A379)</f>
        <v>0</v>
      </c>
      <c r="X379" s="31">
        <f>SUMIFS(METALFISA!$E:$E,METALFISA!$A:$A,'Faltantes Fevereiro- Metalfisa'!X$3,METALFISA!$B:$B,'Faltantes Fevereiro- Metalfisa'!$A379)</f>
        <v>0</v>
      </c>
      <c r="Y379" s="31">
        <f>SUMIFS(METALFISA!$E:$E,METALFISA!$A:$A,'Faltantes Fevereiro- Metalfisa'!Y$3,METALFISA!$B:$B,'Faltantes Fevereiro- Metalfisa'!$A379)</f>
        <v>0</v>
      </c>
      <c r="Z379" s="31">
        <f>SUMIFS(METALFISA!$E:$E,METALFISA!$A:$A,'Faltantes Fevereiro- Metalfisa'!Z$3,METALFISA!$B:$B,'Faltantes Fevereiro- Metalfisa'!$A379)</f>
        <v>0</v>
      </c>
      <c r="AA379" s="31">
        <f>SUMIFS(METALFISA!$E:$E,METALFISA!$A:$A,'Faltantes Fevereiro- Metalfisa'!AA$3,METALFISA!$B:$B,'Faltantes Fevereiro- Metalfisa'!$A379)</f>
        <v>0</v>
      </c>
      <c r="AB379" s="31">
        <f>SUMIFS(METALFISA!$E:$E,METALFISA!$A:$A,'Faltantes Fevereiro- Metalfisa'!AB$3,METALFISA!$B:$B,'Faltantes Fevereiro- Metalfisa'!$A379)</f>
        <v>0</v>
      </c>
      <c r="AC379" s="31">
        <f>SUMIFS(METALFISA!$E:$E,METALFISA!$A:$A,'Faltantes Fevereiro- Metalfisa'!AC$3,METALFISA!$B:$B,'Faltantes Fevereiro- Metalfisa'!$A379)</f>
        <v>6</v>
      </c>
      <c r="AD379" s="31">
        <f>SUMIFS(METALFISA!$E:$E,METALFISA!$A:$A,'Faltantes Fevereiro- Metalfisa'!AD$3,METALFISA!$B:$B,'Faltantes Fevereiro- Metalfisa'!$A379)</f>
        <v>0</v>
      </c>
      <c r="AE379" s="31">
        <f>SUMIFS(METALFISA!$E:$E,METALFISA!$A:$A,'Faltantes Fevereiro- Metalfisa'!AE$3,METALFISA!$B:$B,'Faltantes Fevereiro- Metalfisa'!$A379)</f>
        <v>0</v>
      </c>
      <c r="AF379" s="31">
        <f>SUMIFS(METALFISA!$E:$E,METALFISA!$A:$A,'Faltantes Fevereiro- Metalfisa'!AF$3,METALFISA!$B:$B,'Faltantes Fevereiro- Metalfisa'!$A379)</f>
        <v>0</v>
      </c>
      <c r="AG379" s="31">
        <f>SUMIFS(METALFISA!$E:$E,METALFISA!$A:$A,'Faltantes Fevereiro- Metalfisa'!AG$3,METALFISA!$B:$B,'Faltantes Fevereiro- Metalfisa'!$A379)</f>
        <v>12</v>
      </c>
      <c r="AH379" s="31">
        <f>SUMIFS(METALFISA!$E:$E,METALFISA!$A:$A,'Faltantes Fevereiro- Metalfisa'!AH$3,METALFISA!$B:$B,'Faltantes Fevereiro- Metalfisa'!$A379)</f>
        <v>0</v>
      </c>
      <c r="AI379" s="31">
        <f>SUMIFS(METALFISA!$E:$E,METALFISA!$A:$A,'Faltantes Fevereiro- Metalfisa'!AI$3,METALFISA!$B:$B,'Faltantes Fevereiro- Metalfisa'!$A379)</f>
        <v>0</v>
      </c>
      <c r="AJ379" s="31">
        <f>SUMIFS(METALFISA!$E:$E,METALFISA!$A:$A,'Faltantes Fevereiro- Metalfisa'!AJ$3,METALFISA!$B:$B,'Faltantes Fevereiro- Metalfisa'!$A379)</f>
        <v>0</v>
      </c>
      <c r="AK379" s="31">
        <f>SUMIFS(METALFISA!$E:$E,METALFISA!$A:$A,'Faltantes Fevereiro- Metalfisa'!AK$3,METALFISA!$B:$B,'Faltantes Fevereiro- Metalfisa'!$A379)</f>
        <v>0</v>
      </c>
      <c r="AL379" s="31">
        <f>SUMIFS(METALFISA!$E:$E,METALFISA!$A:$A,'Faltantes Fevereiro- Metalfisa'!AL$3,METALFISA!$B:$B,'Faltantes Fevereiro- Metalfisa'!$A379)</f>
        <v>0</v>
      </c>
      <c r="AM379" s="31">
        <f>SUMIFS(METALFISA!$E:$E,METALFISA!$A:$A,'Faltantes Fevereiro- Metalfisa'!AM$3,METALFISA!$B:$B,'Faltantes Fevereiro- Metalfisa'!$A379)</f>
        <v>0</v>
      </c>
      <c r="AN379" s="31">
        <f>SUMIFS(METALFISA!$E:$E,METALFISA!$A:$A,'Faltantes Fevereiro- Metalfisa'!AN$3,METALFISA!$B:$B,'Faltantes Fevereiro- Metalfisa'!$A379)</f>
        <v>0</v>
      </c>
      <c r="AO379" s="31">
        <f>SUMIFS(METALFISA!$E:$E,METALFISA!$A:$A,'Faltantes Fevereiro- Metalfisa'!AO$3,METALFISA!$B:$B,'Faltantes Fevereiro- Metalfisa'!$A379)</f>
        <v>0</v>
      </c>
      <c r="AP379" s="31">
        <f>SUMIFS(METALFISA!$E:$E,METALFISA!$A:$A,'Faltantes Fevereiro- Metalfisa'!AP$3,METALFISA!$B:$B,'Faltantes Fevereiro- Metalfisa'!$A379)</f>
        <v>0</v>
      </c>
      <c r="AQ379" s="31"/>
      <c r="AR379" s="31"/>
      <c r="AS379" s="35"/>
      <c r="AY379" s="41">
        <v>0</v>
      </c>
      <c r="AZ379" s="31">
        <v>0</v>
      </c>
      <c r="BA379" s="31">
        <v>0</v>
      </c>
      <c r="BB379" s="31">
        <v>0</v>
      </c>
      <c r="BC379" s="31">
        <v>0</v>
      </c>
      <c r="BD379" s="31">
        <v>0</v>
      </c>
      <c r="BE379" s="31">
        <v>0</v>
      </c>
      <c r="BF379" s="31">
        <v>0</v>
      </c>
      <c r="BG379" s="31">
        <v>0</v>
      </c>
      <c r="BH379" s="31">
        <v>0</v>
      </c>
      <c r="BI379" s="31">
        <v>0</v>
      </c>
      <c r="BJ379" s="31">
        <v>0</v>
      </c>
      <c r="BK379" s="31">
        <v>0</v>
      </c>
      <c r="BL379" s="31">
        <v>0</v>
      </c>
      <c r="BM379" s="31">
        <v>6</v>
      </c>
      <c r="BN379" s="31">
        <v>0</v>
      </c>
      <c r="BO379" s="31">
        <v>0</v>
      </c>
      <c r="BP379" s="31">
        <v>0</v>
      </c>
      <c r="BQ379" s="31">
        <v>0</v>
      </c>
      <c r="BR379" s="31">
        <v>0</v>
      </c>
      <c r="BS379" s="31">
        <v>0</v>
      </c>
      <c r="BT379" s="31">
        <v>0</v>
      </c>
      <c r="BU379" s="31">
        <v>0</v>
      </c>
      <c r="BV379" s="31">
        <v>0</v>
      </c>
      <c r="BW379" s="31">
        <v>0</v>
      </c>
      <c r="BX379" s="31">
        <v>0</v>
      </c>
      <c r="BY379" s="31">
        <v>0</v>
      </c>
      <c r="BZ379" s="31">
        <v>0</v>
      </c>
      <c r="CA379" s="31">
        <v>0</v>
      </c>
      <c r="CB379" s="31">
        <v>0</v>
      </c>
      <c r="CC379" s="31">
        <v>0</v>
      </c>
      <c r="CD379" s="31">
        <v>0</v>
      </c>
      <c r="CE379" s="31">
        <v>0</v>
      </c>
      <c r="CF379" s="31">
        <v>0</v>
      </c>
      <c r="CG379" s="31">
        <v>0</v>
      </c>
      <c r="CH379" s="31">
        <v>0</v>
      </c>
      <c r="CI379" s="31">
        <v>0</v>
      </c>
      <c r="CJ379" s="31">
        <v>0</v>
      </c>
      <c r="CK379" s="31">
        <v>0</v>
      </c>
      <c r="CL379" s="35">
        <v>0</v>
      </c>
    </row>
    <row r="380" spans="1:90" ht="21" x14ac:dyDescent="0.15">
      <c r="A380" s="31" t="s">
        <v>681</v>
      </c>
      <c r="B380" s="30" t="s">
        <v>682</v>
      </c>
      <c r="C380" s="28">
        <v>0</v>
      </c>
      <c r="D380" s="28">
        <v>0</v>
      </c>
      <c r="E380" s="28">
        <v>0</v>
      </c>
      <c r="F380" s="28">
        <v>0</v>
      </c>
      <c r="G380" s="28">
        <v>10</v>
      </c>
      <c r="H380" s="28">
        <f>IFERROR(VLOOKUP(A380,[1]FALTANTES!$A:$AB,28,FALSE),"-")</f>
        <v>0</v>
      </c>
      <c r="I380" s="42">
        <f>IFERROR(VLOOKUP(A380,[1]FALTANTES!$A:$AC,29,FALSE),"-")</f>
        <v>0</v>
      </c>
      <c r="J380" s="29">
        <f>IFERROR(VLOOKUP(A380,[1]FALTANTES!$A:$AD,30,FALSE),"-")</f>
        <v>-10</v>
      </c>
      <c r="K380" s="30">
        <v>0</v>
      </c>
      <c r="L380" s="30">
        <f t="shared" si="7"/>
        <v>10</v>
      </c>
      <c r="M380" s="31">
        <f>SUMIFS(METALFISA!$E:$E,METALFISA!$A:$A,'Faltantes Fevereiro- Metalfisa'!M$3,METALFISA!$B:$B,'Faltantes Fevereiro- Metalfisa'!$A380)</f>
        <v>0</v>
      </c>
      <c r="N380" s="31">
        <f>SUMIFS(METALFISA!$E:$E,METALFISA!$A:$A,'Faltantes Fevereiro- Metalfisa'!N$3,METALFISA!$B:$B,'Faltantes Fevereiro- Metalfisa'!$A380)</f>
        <v>0</v>
      </c>
      <c r="O380" s="31">
        <f>SUMIFS(METALFISA!$E:$E,METALFISA!$A:$A,'Faltantes Fevereiro- Metalfisa'!O$3,METALFISA!$B:$B,'Faltantes Fevereiro- Metalfisa'!$A380)</f>
        <v>0</v>
      </c>
      <c r="P380" s="31">
        <f>SUMIFS(METALFISA!$E:$E,METALFISA!$A:$A,'Faltantes Fevereiro- Metalfisa'!P$3,METALFISA!$B:$B,'Faltantes Fevereiro- Metalfisa'!$A380)</f>
        <v>0</v>
      </c>
      <c r="Q380" s="31">
        <f>SUMIFS(METALFISA!$E:$E,METALFISA!$A:$A,'Faltantes Fevereiro- Metalfisa'!Q$3,METALFISA!$B:$B,'Faltantes Fevereiro- Metalfisa'!$A380)</f>
        <v>0</v>
      </c>
      <c r="R380" s="31">
        <f>SUMIFS(METALFISA!$E:$E,METALFISA!$A:$A,'Faltantes Fevereiro- Metalfisa'!R$3,METALFISA!$B:$B,'Faltantes Fevereiro- Metalfisa'!$A380)</f>
        <v>0</v>
      </c>
      <c r="S380" s="31">
        <f>SUMIFS(METALFISA!$E:$E,METALFISA!$A:$A,'Faltantes Fevereiro- Metalfisa'!S$3,METALFISA!$B:$B,'Faltantes Fevereiro- Metalfisa'!$A380)</f>
        <v>0</v>
      </c>
      <c r="T380" s="31">
        <f>SUMIFS(METALFISA!$E:$E,METALFISA!$A:$A,'Faltantes Fevereiro- Metalfisa'!T$3,METALFISA!$B:$B,'Faltantes Fevereiro- Metalfisa'!$A380)</f>
        <v>0</v>
      </c>
      <c r="U380" s="31">
        <f>SUMIFS(METALFISA!$E:$E,METALFISA!$A:$A,'Faltantes Fevereiro- Metalfisa'!U$3,METALFISA!$B:$B,'Faltantes Fevereiro- Metalfisa'!$A380)</f>
        <v>0</v>
      </c>
      <c r="V380" s="31">
        <f>SUMIFS(METALFISA!$E:$E,METALFISA!$A:$A,'Faltantes Fevereiro- Metalfisa'!V$3,METALFISA!$B:$B,'Faltantes Fevereiro- Metalfisa'!$A380)</f>
        <v>0</v>
      </c>
      <c r="W380" s="31">
        <f>SUMIFS(METALFISA!$E:$E,METALFISA!$A:$A,'Faltantes Fevereiro- Metalfisa'!W$3,METALFISA!$B:$B,'Faltantes Fevereiro- Metalfisa'!$A380)</f>
        <v>0</v>
      </c>
      <c r="X380" s="31">
        <f>SUMIFS(METALFISA!$E:$E,METALFISA!$A:$A,'Faltantes Fevereiro- Metalfisa'!X$3,METALFISA!$B:$B,'Faltantes Fevereiro- Metalfisa'!$A380)</f>
        <v>0</v>
      </c>
      <c r="Y380" s="31">
        <f>SUMIFS(METALFISA!$E:$E,METALFISA!$A:$A,'Faltantes Fevereiro- Metalfisa'!Y$3,METALFISA!$B:$B,'Faltantes Fevereiro- Metalfisa'!$A380)</f>
        <v>0</v>
      </c>
      <c r="Z380" s="31">
        <f>SUMIFS(METALFISA!$E:$E,METALFISA!$A:$A,'Faltantes Fevereiro- Metalfisa'!Z$3,METALFISA!$B:$B,'Faltantes Fevereiro- Metalfisa'!$A380)</f>
        <v>0</v>
      </c>
      <c r="AA380" s="31">
        <f>SUMIFS(METALFISA!$E:$E,METALFISA!$A:$A,'Faltantes Fevereiro- Metalfisa'!AA$3,METALFISA!$B:$B,'Faltantes Fevereiro- Metalfisa'!$A380)</f>
        <v>0</v>
      </c>
      <c r="AB380" s="31">
        <f>SUMIFS(METALFISA!$E:$E,METALFISA!$A:$A,'Faltantes Fevereiro- Metalfisa'!AB$3,METALFISA!$B:$B,'Faltantes Fevereiro- Metalfisa'!$A380)</f>
        <v>0</v>
      </c>
      <c r="AC380" s="31">
        <f>SUMIFS(METALFISA!$E:$E,METALFISA!$A:$A,'Faltantes Fevereiro- Metalfisa'!AC$3,METALFISA!$B:$B,'Faltantes Fevereiro- Metalfisa'!$A380)</f>
        <v>2</v>
      </c>
      <c r="AD380" s="31">
        <f>SUMIFS(METALFISA!$E:$E,METALFISA!$A:$A,'Faltantes Fevereiro- Metalfisa'!AD$3,METALFISA!$B:$B,'Faltantes Fevereiro- Metalfisa'!$A380)</f>
        <v>0</v>
      </c>
      <c r="AE380" s="31">
        <f>SUMIFS(METALFISA!$E:$E,METALFISA!$A:$A,'Faltantes Fevereiro- Metalfisa'!AE$3,METALFISA!$B:$B,'Faltantes Fevereiro- Metalfisa'!$A380)</f>
        <v>0</v>
      </c>
      <c r="AF380" s="31">
        <f>SUMIFS(METALFISA!$E:$E,METALFISA!$A:$A,'Faltantes Fevereiro- Metalfisa'!AF$3,METALFISA!$B:$B,'Faltantes Fevereiro- Metalfisa'!$A380)</f>
        <v>0</v>
      </c>
      <c r="AG380" s="31">
        <f>SUMIFS(METALFISA!$E:$E,METALFISA!$A:$A,'Faltantes Fevereiro- Metalfisa'!AG$3,METALFISA!$B:$B,'Faltantes Fevereiro- Metalfisa'!$A380)</f>
        <v>8</v>
      </c>
      <c r="AH380" s="31">
        <f>SUMIFS(METALFISA!$E:$E,METALFISA!$A:$A,'Faltantes Fevereiro- Metalfisa'!AH$3,METALFISA!$B:$B,'Faltantes Fevereiro- Metalfisa'!$A380)</f>
        <v>0</v>
      </c>
      <c r="AI380" s="31">
        <f>SUMIFS(METALFISA!$E:$E,METALFISA!$A:$A,'Faltantes Fevereiro- Metalfisa'!AI$3,METALFISA!$B:$B,'Faltantes Fevereiro- Metalfisa'!$A380)</f>
        <v>0</v>
      </c>
      <c r="AJ380" s="31">
        <f>SUMIFS(METALFISA!$E:$E,METALFISA!$A:$A,'Faltantes Fevereiro- Metalfisa'!AJ$3,METALFISA!$B:$B,'Faltantes Fevereiro- Metalfisa'!$A380)</f>
        <v>0</v>
      </c>
      <c r="AK380" s="31">
        <f>SUMIFS(METALFISA!$E:$E,METALFISA!$A:$A,'Faltantes Fevereiro- Metalfisa'!AK$3,METALFISA!$B:$B,'Faltantes Fevereiro- Metalfisa'!$A380)</f>
        <v>0</v>
      </c>
      <c r="AL380" s="31">
        <f>SUMIFS(METALFISA!$E:$E,METALFISA!$A:$A,'Faltantes Fevereiro- Metalfisa'!AL$3,METALFISA!$B:$B,'Faltantes Fevereiro- Metalfisa'!$A380)</f>
        <v>0</v>
      </c>
      <c r="AM380" s="31">
        <f>SUMIFS(METALFISA!$E:$E,METALFISA!$A:$A,'Faltantes Fevereiro- Metalfisa'!AM$3,METALFISA!$B:$B,'Faltantes Fevereiro- Metalfisa'!$A380)</f>
        <v>0</v>
      </c>
      <c r="AN380" s="31">
        <f>SUMIFS(METALFISA!$E:$E,METALFISA!$A:$A,'Faltantes Fevereiro- Metalfisa'!AN$3,METALFISA!$B:$B,'Faltantes Fevereiro- Metalfisa'!$A380)</f>
        <v>0</v>
      </c>
      <c r="AO380" s="31">
        <f>SUMIFS(METALFISA!$E:$E,METALFISA!$A:$A,'Faltantes Fevereiro- Metalfisa'!AO$3,METALFISA!$B:$B,'Faltantes Fevereiro- Metalfisa'!$A380)</f>
        <v>0</v>
      </c>
      <c r="AP380" s="31">
        <f>SUMIFS(METALFISA!$E:$E,METALFISA!$A:$A,'Faltantes Fevereiro- Metalfisa'!AP$3,METALFISA!$B:$B,'Faltantes Fevereiro- Metalfisa'!$A380)</f>
        <v>0</v>
      </c>
      <c r="AQ380" s="31"/>
      <c r="AR380" s="31"/>
      <c r="AS380" s="35"/>
      <c r="AY380" s="41">
        <v>0</v>
      </c>
      <c r="AZ380" s="31">
        <v>0</v>
      </c>
      <c r="BA380" s="31">
        <v>0</v>
      </c>
      <c r="BB380" s="31">
        <v>0</v>
      </c>
      <c r="BC380" s="31">
        <v>0</v>
      </c>
      <c r="BD380" s="31">
        <v>0</v>
      </c>
      <c r="BE380" s="31">
        <v>0</v>
      </c>
      <c r="BF380" s="31">
        <v>0</v>
      </c>
      <c r="BG380" s="31">
        <v>0</v>
      </c>
      <c r="BH380" s="31">
        <v>0</v>
      </c>
      <c r="BI380" s="31">
        <v>0</v>
      </c>
      <c r="BJ380" s="31">
        <v>0</v>
      </c>
      <c r="BK380" s="31">
        <v>0</v>
      </c>
      <c r="BL380" s="31">
        <v>0</v>
      </c>
      <c r="BM380" s="31">
        <v>4</v>
      </c>
      <c r="BN380" s="31">
        <v>0</v>
      </c>
      <c r="BO380" s="31">
        <v>0</v>
      </c>
      <c r="BP380" s="31">
        <v>0</v>
      </c>
      <c r="BQ380" s="31">
        <v>0</v>
      </c>
      <c r="BR380" s="31">
        <v>0</v>
      </c>
      <c r="BS380" s="31">
        <v>0</v>
      </c>
      <c r="BT380" s="31">
        <v>0</v>
      </c>
      <c r="BU380" s="31">
        <v>0</v>
      </c>
      <c r="BV380" s="31">
        <v>0</v>
      </c>
      <c r="BW380" s="31">
        <v>0</v>
      </c>
      <c r="BX380" s="31">
        <v>0</v>
      </c>
      <c r="BY380" s="31">
        <v>0</v>
      </c>
      <c r="BZ380" s="31">
        <v>0</v>
      </c>
      <c r="CA380" s="31">
        <v>0</v>
      </c>
      <c r="CB380" s="31">
        <v>0</v>
      </c>
      <c r="CC380" s="31">
        <v>0</v>
      </c>
      <c r="CD380" s="31">
        <v>0</v>
      </c>
      <c r="CE380" s="31">
        <v>0</v>
      </c>
      <c r="CF380" s="31">
        <v>0</v>
      </c>
      <c r="CG380" s="31">
        <v>0</v>
      </c>
      <c r="CH380" s="31">
        <v>0</v>
      </c>
      <c r="CI380" s="31">
        <v>0</v>
      </c>
      <c r="CJ380" s="31">
        <v>0</v>
      </c>
      <c r="CK380" s="31">
        <v>0</v>
      </c>
      <c r="CL380" s="35">
        <v>0</v>
      </c>
    </row>
    <row r="381" spans="1:90" ht="21" x14ac:dyDescent="0.15">
      <c r="A381" s="31" t="s">
        <v>288</v>
      </c>
      <c r="B381" s="30" t="s">
        <v>289</v>
      </c>
      <c r="C381" s="28">
        <v>0</v>
      </c>
      <c r="D381" s="28">
        <v>0</v>
      </c>
      <c r="E381" s="28">
        <v>0</v>
      </c>
      <c r="F381" s="28">
        <v>0</v>
      </c>
      <c r="G381" s="28">
        <v>6</v>
      </c>
      <c r="H381" s="28">
        <f>IFERROR(VLOOKUP(A381,[1]FALTANTES!$A:$AB,28,FALSE),"-")</f>
        <v>0</v>
      </c>
      <c r="I381" s="42">
        <f>IFERROR(VLOOKUP(A381,[1]FALTANTES!$A:$AC,29,FALSE),"-")</f>
        <v>0</v>
      </c>
      <c r="J381" s="29">
        <f>IFERROR(VLOOKUP(A381,[1]FALTANTES!$A:$AD,30,FALSE),"-")</f>
        <v>-6</v>
      </c>
      <c r="K381" s="30">
        <v>0</v>
      </c>
      <c r="L381" s="30">
        <f t="shared" si="7"/>
        <v>6</v>
      </c>
      <c r="M381" s="31">
        <f>SUMIFS(METALFISA!$E:$E,METALFISA!$A:$A,'Faltantes Fevereiro- Metalfisa'!M$3,METALFISA!$B:$B,'Faltantes Fevereiro- Metalfisa'!$A381)</f>
        <v>0</v>
      </c>
      <c r="N381" s="31">
        <f>SUMIFS(METALFISA!$E:$E,METALFISA!$A:$A,'Faltantes Fevereiro- Metalfisa'!N$3,METALFISA!$B:$B,'Faltantes Fevereiro- Metalfisa'!$A381)</f>
        <v>0</v>
      </c>
      <c r="O381" s="31">
        <f>SUMIFS(METALFISA!$E:$E,METALFISA!$A:$A,'Faltantes Fevereiro- Metalfisa'!O$3,METALFISA!$B:$B,'Faltantes Fevereiro- Metalfisa'!$A381)</f>
        <v>0</v>
      </c>
      <c r="P381" s="31">
        <f>SUMIFS(METALFISA!$E:$E,METALFISA!$A:$A,'Faltantes Fevereiro- Metalfisa'!P$3,METALFISA!$B:$B,'Faltantes Fevereiro- Metalfisa'!$A381)</f>
        <v>0</v>
      </c>
      <c r="Q381" s="31">
        <f>SUMIFS(METALFISA!$E:$E,METALFISA!$A:$A,'Faltantes Fevereiro- Metalfisa'!Q$3,METALFISA!$B:$B,'Faltantes Fevereiro- Metalfisa'!$A381)</f>
        <v>0</v>
      </c>
      <c r="R381" s="31">
        <f>SUMIFS(METALFISA!$E:$E,METALFISA!$A:$A,'Faltantes Fevereiro- Metalfisa'!R$3,METALFISA!$B:$B,'Faltantes Fevereiro- Metalfisa'!$A381)</f>
        <v>0</v>
      </c>
      <c r="S381" s="31">
        <f>SUMIFS(METALFISA!$E:$E,METALFISA!$A:$A,'Faltantes Fevereiro- Metalfisa'!S$3,METALFISA!$B:$B,'Faltantes Fevereiro- Metalfisa'!$A381)</f>
        <v>0</v>
      </c>
      <c r="T381" s="31">
        <f>SUMIFS(METALFISA!$E:$E,METALFISA!$A:$A,'Faltantes Fevereiro- Metalfisa'!T$3,METALFISA!$B:$B,'Faltantes Fevereiro- Metalfisa'!$A381)</f>
        <v>0</v>
      </c>
      <c r="U381" s="31">
        <f>SUMIFS(METALFISA!$E:$E,METALFISA!$A:$A,'Faltantes Fevereiro- Metalfisa'!U$3,METALFISA!$B:$B,'Faltantes Fevereiro- Metalfisa'!$A381)</f>
        <v>0</v>
      </c>
      <c r="V381" s="31">
        <f>SUMIFS(METALFISA!$E:$E,METALFISA!$A:$A,'Faltantes Fevereiro- Metalfisa'!V$3,METALFISA!$B:$B,'Faltantes Fevereiro- Metalfisa'!$A381)</f>
        <v>0</v>
      </c>
      <c r="W381" s="31">
        <f>SUMIFS(METALFISA!$E:$E,METALFISA!$A:$A,'Faltantes Fevereiro- Metalfisa'!W$3,METALFISA!$B:$B,'Faltantes Fevereiro- Metalfisa'!$A381)</f>
        <v>0</v>
      </c>
      <c r="X381" s="31">
        <f>SUMIFS(METALFISA!$E:$E,METALFISA!$A:$A,'Faltantes Fevereiro- Metalfisa'!X$3,METALFISA!$B:$B,'Faltantes Fevereiro- Metalfisa'!$A381)</f>
        <v>0</v>
      </c>
      <c r="Y381" s="31">
        <f>SUMIFS(METALFISA!$E:$E,METALFISA!$A:$A,'Faltantes Fevereiro- Metalfisa'!Y$3,METALFISA!$B:$B,'Faltantes Fevereiro- Metalfisa'!$A381)</f>
        <v>0</v>
      </c>
      <c r="Z381" s="31">
        <f>SUMIFS(METALFISA!$E:$E,METALFISA!$A:$A,'Faltantes Fevereiro- Metalfisa'!Z$3,METALFISA!$B:$B,'Faltantes Fevereiro- Metalfisa'!$A381)</f>
        <v>0</v>
      </c>
      <c r="AA381" s="31">
        <f>SUMIFS(METALFISA!$E:$E,METALFISA!$A:$A,'Faltantes Fevereiro- Metalfisa'!AA$3,METALFISA!$B:$B,'Faltantes Fevereiro- Metalfisa'!$A381)</f>
        <v>0</v>
      </c>
      <c r="AB381" s="31">
        <f>SUMIFS(METALFISA!$E:$E,METALFISA!$A:$A,'Faltantes Fevereiro- Metalfisa'!AB$3,METALFISA!$B:$B,'Faltantes Fevereiro- Metalfisa'!$A381)</f>
        <v>0</v>
      </c>
      <c r="AC381" s="31">
        <f>SUMIFS(METALFISA!$E:$E,METALFISA!$A:$A,'Faltantes Fevereiro- Metalfisa'!AC$3,METALFISA!$B:$B,'Faltantes Fevereiro- Metalfisa'!$A381)</f>
        <v>2</v>
      </c>
      <c r="AD381" s="31">
        <f>SUMIFS(METALFISA!$E:$E,METALFISA!$A:$A,'Faltantes Fevereiro- Metalfisa'!AD$3,METALFISA!$B:$B,'Faltantes Fevereiro- Metalfisa'!$A381)</f>
        <v>0</v>
      </c>
      <c r="AE381" s="31">
        <f>SUMIFS(METALFISA!$E:$E,METALFISA!$A:$A,'Faltantes Fevereiro- Metalfisa'!AE$3,METALFISA!$B:$B,'Faltantes Fevereiro- Metalfisa'!$A381)</f>
        <v>0</v>
      </c>
      <c r="AF381" s="31">
        <f>SUMIFS(METALFISA!$E:$E,METALFISA!$A:$A,'Faltantes Fevereiro- Metalfisa'!AF$3,METALFISA!$B:$B,'Faltantes Fevereiro- Metalfisa'!$A381)</f>
        <v>0</v>
      </c>
      <c r="AG381" s="31">
        <f>SUMIFS(METALFISA!$E:$E,METALFISA!$A:$A,'Faltantes Fevereiro- Metalfisa'!AG$3,METALFISA!$B:$B,'Faltantes Fevereiro- Metalfisa'!$A381)</f>
        <v>4</v>
      </c>
      <c r="AH381" s="31">
        <f>SUMIFS(METALFISA!$E:$E,METALFISA!$A:$A,'Faltantes Fevereiro- Metalfisa'!AH$3,METALFISA!$B:$B,'Faltantes Fevereiro- Metalfisa'!$A381)</f>
        <v>0</v>
      </c>
      <c r="AI381" s="31">
        <f>SUMIFS(METALFISA!$E:$E,METALFISA!$A:$A,'Faltantes Fevereiro- Metalfisa'!AI$3,METALFISA!$B:$B,'Faltantes Fevereiro- Metalfisa'!$A381)</f>
        <v>0</v>
      </c>
      <c r="AJ381" s="31">
        <f>SUMIFS(METALFISA!$E:$E,METALFISA!$A:$A,'Faltantes Fevereiro- Metalfisa'!AJ$3,METALFISA!$B:$B,'Faltantes Fevereiro- Metalfisa'!$A381)</f>
        <v>0</v>
      </c>
      <c r="AK381" s="31">
        <f>SUMIFS(METALFISA!$E:$E,METALFISA!$A:$A,'Faltantes Fevereiro- Metalfisa'!AK$3,METALFISA!$B:$B,'Faltantes Fevereiro- Metalfisa'!$A381)</f>
        <v>0</v>
      </c>
      <c r="AL381" s="31">
        <f>SUMIFS(METALFISA!$E:$E,METALFISA!$A:$A,'Faltantes Fevereiro- Metalfisa'!AL$3,METALFISA!$B:$B,'Faltantes Fevereiro- Metalfisa'!$A381)</f>
        <v>0</v>
      </c>
      <c r="AM381" s="31">
        <f>SUMIFS(METALFISA!$E:$E,METALFISA!$A:$A,'Faltantes Fevereiro- Metalfisa'!AM$3,METALFISA!$B:$B,'Faltantes Fevereiro- Metalfisa'!$A381)</f>
        <v>0</v>
      </c>
      <c r="AN381" s="31">
        <f>SUMIFS(METALFISA!$E:$E,METALFISA!$A:$A,'Faltantes Fevereiro- Metalfisa'!AN$3,METALFISA!$B:$B,'Faltantes Fevereiro- Metalfisa'!$A381)</f>
        <v>0</v>
      </c>
      <c r="AO381" s="31">
        <f>SUMIFS(METALFISA!$E:$E,METALFISA!$A:$A,'Faltantes Fevereiro- Metalfisa'!AO$3,METALFISA!$B:$B,'Faltantes Fevereiro- Metalfisa'!$A381)</f>
        <v>0</v>
      </c>
      <c r="AP381" s="31">
        <f>SUMIFS(METALFISA!$E:$E,METALFISA!$A:$A,'Faltantes Fevereiro- Metalfisa'!AP$3,METALFISA!$B:$B,'Faltantes Fevereiro- Metalfisa'!$A381)</f>
        <v>0</v>
      </c>
      <c r="AQ381" s="31"/>
      <c r="AR381" s="31"/>
      <c r="AS381" s="35"/>
      <c r="AY381" s="41">
        <v>0</v>
      </c>
      <c r="AZ381" s="31">
        <v>0</v>
      </c>
      <c r="BA381" s="31">
        <v>0</v>
      </c>
      <c r="BB381" s="31">
        <v>0</v>
      </c>
      <c r="BC381" s="31">
        <v>0</v>
      </c>
      <c r="BD381" s="31">
        <v>0</v>
      </c>
      <c r="BE381" s="31">
        <v>0</v>
      </c>
      <c r="BF381" s="31">
        <v>0</v>
      </c>
      <c r="BG381" s="31">
        <v>0</v>
      </c>
      <c r="BH381" s="31">
        <v>0</v>
      </c>
      <c r="BI381" s="31">
        <v>0</v>
      </c>
      <c r="BJ381" s="31">
        <v>0</v>
      </c>
      <c r="BK381" s="31">
        <v>0</v>
      </c>
      <c r="BL381" s="31">
        <v>0</v>
      </c>
      <c r="BM381" s="31">
        <v>2</v>
      </c>
      <c r="BN381" s="31">
        <v>0</v>
      </c>
      <c r="BO381" s="31">
        <v>0</v>
      </c>
      <c r="BP381" s="31">
        <v>0</v>
      </c>
      <c r="BQ381" s="31">
        <v>0</v>
      </c>
      <c r="BR381" s="31">
        <v>0</v>
      </c>
      <c r="BS381" s="31">
        <v>0</v>
      </c>
      <c r="BT381" s="31">
        <v>0</v>
      </c>
      <c r="BU381" s="31">
        <v>0</v>
      </c>
      <c r="BV381" s="31">
        <v>0</v>
      </c>
      <c r="BW381" s="31">
        <v>0</v>
      </c>
      <c r="BX381" s="31">
        <v>0</v>
      </c>
      <c r="BY381" s="31">
        <v>0</v>
      </c>
      <c r="BZ381" s="31">
        <v>0</v>
      </c>
      <c r="CA381" s="31">
        <v>0</v>
      </c>
      <c r="CB381" s="31">
        <v>0</v>
      </c>
      <c r="CC381" s="31">
        <v>0</v>
      </c>
      <c r="CD381" s="31">
        <v>0</v>
      </c>
      <c r="CE381" s="31">
        <v>0</v>
      </c>
      <c r="CF381" s="31">
        <v>0</v>
      </c>
      <c r="CG381" s="31">
        <v>0</v>
      </c>
      <c r="CH381" s="31">
        <v>0</v>
      </c>
      <c r="CI381" s="31">
        <v>0</v>
      </c>
      <c r="CJ381" s="31">
        <v>0</v>
      </c>
      <c r="CK381" s="31">
        <v>0</v>
      </c>
      <c r="CL381" s="35">
        <v>0</v>
      </c>
    </row>
    <row r="382" spans="1:90" ht="21" x14ac:dyDescent="0.15">
      <c r="A382" s="31" t="s">
        <v>290</v>
      </c>
      <c r="B382" s="30" t="s">
        <v>291</v>
      </c>
      <c r="C382" s="28">
        <v>0</v>
      </c>
      <c r="D382" s="28">
        <v>0</v>
      </c>
      <c r="E382" s="28">
        <v>0</v>
      </c>
      <c r="F382" s="28">
        <v>0</v>
      </c>
      <c r="G382" s="28">
        <v>3</v>
      </c>
      <c r="H382" s="28">
        <f>IFERROR(VLOOKUP(A382,[1]FALTANTES!$A:$AB,28,FALSE),"-")</f>
        <v>0</v>
      </c>
      <c r="I382" s="42">
        <f>IFERROR(VLOOKUP(A382,[1]FALTANTES!$A:$AC,29,FALSE),"-")</f>
        <v>0</v>
      </c>
      <c r="J382" s="29">
        <f>IFERROR(VLOOKUP(A382,[1]FALTANTES!$A:$AD,30,FALSE),"-")</f>
        <v>-3</v>
      </c>
      <c r="K382" s="30">
        <v>0</v>
      </c>
      <c r="L382" s="30">
        <f t="shared" si="7"/>
        <v>3</v>
      </c>
      <c r="M382" s="31">
        <f>SUMIFS(METALFISA!$E:$E,METALFISA!$A:$A,'Faltantes Fevereiro- Metalfisa'!M$3,METALFISA!$B:$B,'Faltantes Fevereiro- Metalfisa'!$A382)</f>
        <v>0</v>
      </c>
      <c r="N382" s="31">
        <f>SUMIFS(METALFISA!$E:$E,METALFISA!$A:$A,'Faltantes Fevereiro- Metalfisa'!N$3,METALFISA!$B:$B,'Faltantes Fevereiro- Metalfisa'!$A382)</f>
        <v>0</v>
      </c>
      <c r="O382" s="31">
        <f>SUMIFS(METALFISA!$E:$E,METALFISA!$A:$A,'Faltantes Fevereiro- Metalfisa'!O$3,METALFISA!$B:$B,'Faltantes Fevereiro- Metalfisa'!$A382)</f>
        <v>0</v>
      </c>
      <c r="P382" s="31">
        <f>SUMIFS(METALFISA!$E:$E,METALFISA!$A:$A,'Faltantes Fevereiro- Metalfisa'!P$3,METALFISA!$B:$B,'Faltantes Fevereiro- Metalfisa'!$A382)</f>
        <v>0</v>
      </c>
      <c r="Q382" s="31">
        <f>SUMIFS(METALFISA!$E:$E,METALFISA!$A:$A,'Faltantes Fevereiro- Metalfisa'!Q$3,METALFISA!$B:$B,'Faltantes Fevereiro- Metalfisa'!$A382)</f>
        <v>0</v>
      </c>
      <c r="R382" s="31">
        <f>SUMIFS(METALFISA!$E:$E,METALFISA!$A:$A,'Faltantes Fevereiro- Metalfisa'!R$3,METALFISA!$B:$B,'Faltantes Fevereiro- Metalfisa'!$A382)</f>
        <v>0</v>
      </c>
      <c r="S382" s="31">
        <f>SUMIFS(METALFISA!$E:$E,METALFISA!$A:$A,'Faltantes Fevereiro- Metalfisa'!S$3,METALFISA!$B:$B,'Faltantes Fevereiro- Metalfisa'!$A382)</f>
        <v>0</v>
      </c>
      <c r="T382" s="31">
        <f>SUMIFS(METALFISA!$E:$E,METALFISA!$A:$A,'Faltantes Fevereiro- Metalfisa'!T$3,METALFISA!$B:$B,'Faltantes Fevereiro- Metalfisa'!$A382)</f>
        <v>0</v>
      </c>
      <c r="U382" s="31">
        <f>SUMIFS(METALFISA!$E:$E,METALFISA!$A:$A,'Faltantes Fevereiro- Metalfisa'!U$3,METALFISA!$B:$B,'Faltantes Fevereiro- Metalfisa'!$A382)</f>
        <v>0</v>
      </c>
      <c r="V382" s="31">
        <f>SUMIFS(METALFISA!$E:$E,METALFISA!$A:$A,'Faltantes Fevereiro- Metalfisa'!V$3,METALFISA!$B:$B,'Faltantes Fevereiro- Metalfisa'!$A382)</f>
        <v>0</v>
      </c>
      <c r="W382" s="31">
        <f>SUMIFS(METALFISA!$E:$E,METALFISA!$A:$A,'Faltantes Fevereiro- Metalfisa'!W$3,METALFISA!$B:$B,'Faltantes Fevereiro- Metalfisa'!$A382)</f>
        <v>0</v>
      </c>
      <c r="X382" s="31">
        <f>SUMIFS(METALFISA!$E:$E,METALFISA!$A:$A,'Faltantes Fevereiro- Metalfisa'!X$3,METALFISA!$B:$B,'Faltantes Fevereiro- Metalfisa'!$A382)</f>
        <v>0</v>
      </c>
      <c r="Y382" s="31">
        <f>SUMIFS(METALFISA!$E:$E,METALFISA!$A:$A,'Faltantes Fevereiro- Metalfisa'!Y$3,METALFISA!$B:$B,'Faltantes Fevereiro- Metalfisa'!$A382)</f>
        <v>0</v>
      </c>
      <c r="Z382" s="31">
        <f>SUMIFS(METALFISA!$E:$E,METALFISA!$A:$A,'Faltantes Fevereiro- Metalfisa'!Z$3,METALFISA!$B:$B,'Faltantes Fevereiro- Metalfisa'!$A382)</f>
        <v>0</v>
      </c>
      <c r="AA382" s="31">
        <f>SUMIFS(METALFISA!$E:$E,METALFISA!$A:$A,'Faltantes Fevereiro- Metalfisa'!AA$3,METALFISA!$B:$B,'Faltantes Fevereiro- Metalfisa'!$A382)</f>
        <v>0</v>
      </c>
      <c r="AB382" s="31">
        <f>SUMIFS(METALFISA!$E:$E,METALFISA!$A:$A,'Faltantes Fevereiro- Metalfisa'!AB$3,METALFISA!$B:$B,'Faltantes Fevereiro- Metalfisa'!$A382)</f>
        <v>0</v>
      </c>
      <c r="AC382" s="31">
        <f>SUMIFS(METALFISA!$E:$E,METALFISA!$A:$A,'Faltantes Fevereiro- Metalfisa'!AC$3,METALFISA!$B:$B,'Faltantes Fevereiro- Metalfisa'!$A382)</f>
        <v>1</v>
      </c>
      <c r="AD382" s="31">
        <f>SUMIFS(METALFISA!$E:$E,METALFISA!$A:$A,'Faltantes Fevereiro- Metalfisa'!AD$3,METALFISA!$B:$B,'Faltantes Fevereiro- Metalfisa'!$A382)</f>
        <v>0</v>
      </c>
      <c r="AE382" s="31">
        <f>SUMIFS(METALFISA!$E:$E,METALFISA!$A:$A,'Faltantes Fevereiro- Metalfisa'!AE$3,METALFISA!$B:$B,'Faltantes Fevereiro- Metalfisa'!$A382)</f>
        <v>0</v>
      </c>
      <c r="AF382" s="31">
        <f>SUMIFS(METALFISA!$E:$E,METALFISA!$A:$A,'Faltantes Fevereiro- Metalfisa'!AF$3,METALFISA!$B:$B,'Faltantes Fevereiro- Metalfisa'!$A382)</f>
        <v>0</v>
      </c>
      <c r="AG382" s="31">
        <f>SUMIFS(METALFISA!$E:$E,METALFISA!$A:$A,'Faltantes Fevereiro- Metalfisa'!AG$3,METALFISA!$B:$B,'Faltantes Fevereiro- Metalfisa'!$A382)</f>
        <v>2</v>
      </c>
      <c r="AH382" s="31">
        <f>SUMIFS(METALFISA!$E:$E,METALFISA!$A:$A,'Faltantes Fevereiro- Metalfisa'!AH$3,METALFISA!$B:$B,'Faltantes Fevereiro- Metalfisa'!$A382)</f>
        <v>0</v>
      </c>
      <c r="AI382" s="31">
        <f>SUMIFS(METALFISA!$E:$E,METALFISA!$A:$A,'Faltantes Fevereiro- Metalfisa'!AI$3,METALFISA!$B:$B,'Faltantes Fevereiro- Metalfisa'!$A382)</f>
        <v>0</v>
      </c>
      <c r="AJ382" s="31">
        <f>SUMIFS(METALFISA!$E:$E,METALFISA!$A:$A,'Faltantes Fevereiro- Metalfisa'!AJ$3,METALFISA!$B:$B,'Faltantes Fevereiro- Metalfisa'!$A382)</f>
        <v>0</v>
      </c>
      <c r="AK382" s="31">
        <f>SUMIFS(METALFISA!$E:$E,METALFISA!$A:$A,'Faltantes Fevereiro- Metalfisa'!AK$3,METALFISA!$B:$B,'Faltantes Fevereiro- Metalfisa'!$A382)</f>
        <v>0</v>
      </c>
      <c r="AL382" s="31">
        <f>SUMIFS(METALFISA!$E:$E,METALFISA!$A:$A,'Faltantes Fevereiro- Metalfisa'!AL$3,METALFISA!$B:$B,'Faltantes Fevereiro- Metalfisa'!$A382)</f>
        <v>0</v>
      </c>
      <c r="AM382" s="31">
        <f>SUMIFS(METALFISA!$E:$E,METALFISA!$A:$A,'Faltantes Fevereiro- Metalfisa'!AM$3,METALFISA!$B:$B,'Faltantes Fevereiro- Metalfisa'!$A382)</f>
        <v>0</v>
      </c>
      <c r="AN382" s="31">
        <f>SUMIFS(METALFISA!$E:$E,METALFISA!$A:$A,'Faltantes Fevereiro- Metalfisa'!AN$3,METALFISA!$B:$B,'Faltantes Fevereiro- Metalfisa'!$A382)</f>
        <v>0</v>
      </c>
      <c r="AO382" s="31">
        <f>SUMIFS(METALFISA!$E:$E,METALFISA!$A:$A,'Faltantes Fevereiro- Metalfisa'!AO$3,METALFISA!$B:$B,'Faltantes Fevereiro- Metalfisa'!$A382)</f>
        <v>0</v>
      </c>
      <c r="AP382" s="31">
        <f>SUMIFS(METALFISA!$E:$E,METALFISA!$A:$A,'Faltantes Fevereiro- Metalfisa'!AP$3,METALFISA!$B:$B,'Faltantes Fevereiro- Metalfisa'!$A382)</f>
        <v>0</v>
      </c>
      <c r="AQ382" s="31"/>
      <c r="AR382" s="31"/>
      <c r="AS382" s="35"/>
      <c r="AY382" s="41">
        <v>0</v>
      </c>
      <c r="AZ382" s="31">
        <v>0</v>
      </c>
      <c r="BA382" s="31">
        <v>0</v>
      </c>
      <c r="BB382" s="31">
        <v>0</v>
      </c>
      <c r="BC382" s="31">
        <v>0</v>
      </c>
      <c r="BD382" s="31">
        <v>0</v>
      </c>
      <c r="BE382" s="31">
        <v>0</v>
      </c>
      <c r="BF382" s="31">
        <v>0</v>
      </c>
      <c r="BG382" s="31">
        <v>0</v>
      </c>
      <c r="BH382" s="31">
        <v>0</v>
      </c>
      <c r="BI382" s="31">
        <v>0</v>
      </c>
      <c r="BJ382" s="31">
        <v>0</v>
      </c>
      <c r="BK382" s="31">
        <v>0</v>
      </c>
      <c r="BL382" s="31">
        <v>0</v>
      </c>
      <c r="BM382" s="31">
        <v>1</v>
      </c>
      <c r="BN382" s="31">
        <v>0</v>
      </c>
      <c r="BO382" s="31">
        <v>0</v>
      </c>
      <c r="BP382" s="31">
        <v>0</v>
      </c>
      <c r="BQ382" s="31">
        <v>0</v>
      </c>
      <c r="BR382" s="31">
        <v>0</v>
      </c>
      <c r="BS382" s="31">
        <v>0</v>
      </c>
      <c r="BT382" s="31">
        <v>0</v>
      </c>
      <c r="BU382" s="31">
        <v>0</v>
      </c>
      <c r="BV382" s="31">
        <v>0</v>
      </c>
      <c r="BW382" s="31">
        <v>0</v>
      </c>
      <c r="BX382" s="31">
        <v>0</v>
      </c>
      <c r="BY382" s="31">
        <v>0</v>
      </c>
      <c r="BZ382" s="31">
        <v>0</v>
      </c>
      <c r="CA382" s="31">
        <v>0</v>
      </c>
      <c r="CB382" s="31">
        <v>0</v>
      </c>
      <c r="CC382" s="31">
        <v>0</v>
      </c>
      <c r="CD382" s="31">
        <v>0</v>
      </c>
      <c r="CE382" s="31">
        <v>0</v>
      </c>
      <c r="CF382" s="31">
        <v>0</v>
      </c>
      <c r="CG382" s="31">
        <v>0</v>
      </c>
      <c r="CH382" s="31">
        <v>0</v>
      </c>
      <c r="CI382" s="31">
        <v>0</v>
      </c>
      <c r="CJ382" s="31">
        <v>0</v>
      </c>
      <c r="CK382" s="31">
        <v>0</v>
      </c>
      <c r="CL382" s="35">
        <v>0</v>
      </c>
    </row>
    <row r="383" spans="1:90" ht="21" x14ac:dyDescent="0.15">
      <c r="A383" s="31" t="s">
        <v>292</v>
      </c>
      <c r="B383" s="30" t="s">
        <v>293</v>
      </c>
      <c r="C383" s="28">
        <v>0</v>
      </c>
      <c r="D383" s="28">
        <v>0</v>
      </c>
      <c r="E383" s="28">
        <v>0</v>
      </c>
      <c r="F383" s="28">
        <v>0</v>
      </c>
      <c r="G383" s="28">
        <v>3</v>
      </c>
      <c r="H383" s="28">
        <f>IFERROR(VLOOKUP(A383,[1]FALTANTES!$A:$AB,28,FALSE),"-")</f>
        <v>0</v>
      </c>
      <c r="I383" s="42">
        <f>IFERROR(VLOOKUP(A383,[1]FALTANTES!$A:$AC,29,FALSE),"-")</f>
        <v>0</v>
      </c>
      <c r="J383" s="29">
        <f>IFERROR(VLOOKUP(A383,[1]FALTANTES!$A:$AD,30,FALSE),"-")</f>
        <v>-3</v>
      </c>
      <c r="K383" s="30">
        <v>0</v>
      </c>
      <c r="L383" s="30">
        <f t="shared" si="7"/>
        <v>3</v>
      </c>
      <c r="M383" s="31">
        <f>SUMIFS(METALFISA!$E:$E,METALFISA!$A:$A,'Faltantes Fevereiro- Metalfisa'!M$3,METALFISA!$B:$B,'Faltantes Fevereiro- Metalfisa'!$A383)</f>
        <v>0</v>
      </c>
      <c r="N383" s="31">
        <f>SUMIFS(METALFISA!$E:$E,METALFISA!$A:$A,'Faltantes Fevereiro- Metalfisa'!N$3,METALFISA!$B:$B,'Faltantes Fevereiro- Metalfisa'!$A383)</f>
        <v>0</v>
      </c>
      <c r="O383" s="31">
        <f>SUMIFS(METALFISA!$E:$E,METALFISA!$A:$A,'Faltantes Fevereiro- Metalfisa'!O$3,METALFISA!$B:$B,'Faltantes Fevereiro- Metalfisa'!$A383)</f>
        <v>0</v>
      </c>
      <c r="P383" s="31">
        <f>SUMIFS(METALFISA!$E:$E,METALFISA!$A:$A,'Faltantes Fevereiro- Metalfisa'!P$3,METALFISA!$B:$B,'Faltantes Fevereiro- Metalfisa'!$A383)</f>
        <v>0</v>
      </c>
      <c r="Q383" s="31">
        <f>SUMIFS(METALFISA!$E:$E,METALFISA!$A:$A,'Faltantes Fevereiro- Metalfisa'!Q$3,METALFISA!$B:$B,'Faltantes Fevereiro- Metalfisa'!$A383)</f>
        <v>0</v>
      </c>
      <c r="R383" s="31">
        <f>SUMIFS(METALFISA!$E:$E,METALFISA!$A:$A,'Faltantes Fevereiro- Metalfisa'!R$3,METALFISA!$B:$B,'Faltantes Fevereiro- Metalfisa'!$A383)</f>
        <v>0</v>
      </c>
      <c r="S383" s="31">
        <f>SUMIFS(METALFISA!$E:$E,METALFISA!$A:$A,'Faltantes Fevereiro- Metalfisa'!S$3,METALFISA!$B:$B,'Faltantes Fevereiro- Metalfisa'!$A383)</f>
        <v>0</v>
      </c>
      <c r="T383" s="31">
        <f>SUMIFS(METALFISA!$E:$E,METALFISA!$A:$A,'Faltantes Fevereiro- Metalfisa'!T$3,METALFISA!$B:$B,'Faltantes Fevereiro- Metalfisa'!$A383)</f>
        <v>0</v>
      </c>
      <c r="U383" s="31">
        <f>SUMIFS(METALFISA!$E:$E,METALFISA!$A:$A,'Faltantes Fevereiro- Metalfisa'!U$3,METALFISA!$B:$B,'Faltantes Fevereiro- Metalfisa'!$A383)</f>
        <v>0</v>
      </c>
      <c r="V383" s="31">
        <f>SUMIFS(METALFISA!$E:$E,METALFISA!$A:$A,'Faltantes Fevereiro- Metalfisa'!V$3,METALFISA!$B:$B,'Faltantes Fevereiro- Metalfisa'!$A383)</f>
        <v>0</v>
      </c>
      <c r="W383" s="31">
        <f>SUMIFS(METALFISA!$E:$E,METALFISA!$A:$A,'Faltantes Fevereiro- Metalfisa'!W$3,METALFISA!$B:$B,'Faltantes Fevereiro- Metalfisa'!$A383)</f>
        <v>0</v>
      </c>
      <c r="X383" s="31">
        <f>SUMIFS(METALFISA!$E:$E,METALFISA!$A:$A,'Faltantes Fevereiro- Metalfisa'!X$3,METALFISA!$B:$B,'Faltantes Fevereiro- Metalfisa'!$A383)</f>
        <v>0</v>
      </c>
      <c r="Y383" s="31">
        <f>SUMIFS(METALFISA!$E:$E,METALFISA!$A:$A,'Faltantes Fevereiro- Metalfisa'!Y$3,METALFISA!$B:$B,'Faltantes Fevereiro- Metalfisa'!$A383)</f>
        <v>0</v>
      </c>
      <c r="Z383" s="31">
        <f>SUMIFS(METALFISA!$E:$E,METALFISA!$A:$A,'Faltantes Fevereiro- Metalfisa'!Z$3,METALFISA!$B:$B,'Faltantes Fevereiro- Metalfisa'!$A383)</f>
        <v>0</v>
      </c>
      <c r="AA383" s="31">
        <f>SUMIFS(METALFISA!$E:$E,METALFISA!$A:$A,'Faltantes Fevereiro- Metalfisa'!AA$3,METALFISA!$B:$B,'Faltantes Fevereiro- Metalfisa'!$A383)</f>
        <v>0</v>
      </c>
      <c r="AB383" s="31">
        <f>SUMIFS(METALFISA!$E:$E,METALFISA!$A:$A,'Faltantes Fevereiro- Metalfisa'!AB$3,METALFISA!$B:$B,'Faltantes Fevereiro- Metalfisa'!$A383)</f>
        <v>0</v>
      </c>
      <c r="AC383" s="31">
        <f>SUMIFS(METALFISA!$E:$E,METALFISA!$A:$A,'Faltantes Fevereiro- Metalfisa'!AC$3,METALFISA!$B:$B,'Faltantes Fevereiro- Metalfisa'!$A383)</f>
        <v>1</v>
      </c>
      <c r="AD383" s="31">
        <f>SUMIFS(METALFISA!$E:$E,METALFISA!$A:$A,'Faltantes Fevereiro- Metalfisa'!AD$3,METALFISA!$B:$B,'Faltantes Fevereiro- Metalfisa'!$A383)</f>
        <v>0</v>
      </c>
      <c r="AE383" s="31">
        <f>SUMIFS(METALFISA!$E:$E,METALFISA!$A:$A,'Faltantes Fevereiro- Metalfisa'!AE$3,METALFISA!$B:$B,'Faltantes Fevereiro- Metalfisa'!$A383)</f>
        <v>0</v>
      </c>
      <c r="AF383" s="31">
        <f>SUMIFS(METALFISA!$E:$E,METALFISA!$A:$A,'Faltantes Fevereiro- Metalfisa'!AF$3,METALFISA!$B:$B,'Faltantes Fevereiro- Metalfisa'!$A383)</f>
        <v>0</v>
      </c>
      <c r="AG383" s="31">
        <f>SUMIFS(METALFISA!$E:$E,METALFISA!$A:$A,'Faltantes Fevereiro- Metalfisa'!AG$3,METALFISA!$B:$B,'Faltantes Fevereiro- Metalfisa'!$A383)</f>
        <v>2</v>
      </c>
      <c r="AH383" s="31">
        <f>SUMIFS(METALFISA!$E:$E,METALFISA!$A:$A,'Faltantes Fevereiro- Metalfisa'!AH$3,METALFISA!$B:$B,'Faltantes Fevereiro- Metalfisa'!$A383)</f>
        <v>0</v>
      </c>
      <c r="AI383" s="31">
        <f>SUMIFS(METALFISA!$E:$E,METALFISA!$A:$A,'Faltantes Fevereiro- Metalfisa'!AI$3,METALFISA!$B:$B,'Faltantes Fevereiro- Metalfisa'!$A383)</f>
        <v>0</v>
      </c>
      <c r="AJ383" s="31">
        <f>SUMIFS(METALFISA!$E:$E,METALFISA!$A:$A,'Faltantes Fevereiro- Metalfisa'!AJ$3,METALFISA!$B:$B,'Faltantes Fevereiro- Metalfisa'!$A383)</f>
        <v>0</v>
      </c>
      <c r="AK383" s="31">
        <f>SUMIFS(METALFISA!$E:$E,METALFISA!$A:$A,'Faltantes Fevereiro- Metalfisa'!AK$3,METALFISA!$B:$B,'Faltantes Fevereiro- Metalfisa'!$A383)</f>
        <v>0</v>
      </c>
      <c r="AL383" s="31">
        <f>SUMIFS(METALFISA!$E:$E,METALFISA!$A:$A,'Faltantes Fevereiro- Metalfisa'!AL$3,METALFISA!$B:$B,'Faltantes Fevereiro- Metalfisa'!$A383)</f>
        <v>0</v>
      </c>
      <c r="AM383" s="31">
        <f>SUMIFS(METALFISA!$E:$E,METALFISA!$A:$A,'Faltantes Fevereiro- Metalfisa'!AM$3,METALFISA!$B:$B,'Faltantes Fevereiro- Metalfisa'!$A383)</f>
        <v>0</v>
      </c>
      <c r="AN383" s="31">
        <f>SUMIFS(METALFISA!$E:$E,METALFISA!$A:$A,'Faltantes Fevereiro- Metalfisa'!AN$3,METALFISA!$B:$B,'Faltantes Fevereiro- Metalfisa'!$A383)</f>
        <v>0</v>
      </c>
      <c r="AO383" s="31">
        <f>SUMIFS(METALFISA!$E:$E,METALFISA!$A:$A,'Faltantes Fevereiro- Metalfisa'!AO$3,METALFISA!$B:$B,'Faltantes Fevereiro- Metalfisa'!$A383)</f>
        <v>0</v>
      </c>
      <c r="AP383" s="31">
        <f>SUMIFS(METALFISA!$E:$E,METALFISA!$A:$A,'Faltantes Fevereiro- Metalfisa'!AP$3,METALFISA!$B:$B,'Faltantes Fevereiro- Metalfisa'!$A383)</f>
        <v>0</v>
      </c>
      <c r="AQ383" s="31"/>
      <c r="AR383" s="31"/>
      <c r="AS383" s="35"/>
      <c r="AY383" s="41">
        <v>0</v>
      </c>
      <c r="AZ383" s="31">
        <v>0</v>
      </c>
      <c r="BA383" s="31">
        <v>0</v>
      </c>
      <c r="BB383" s="31">
        <v>0</v>
      </c>
      <c r="BC383" s="31">
        <v>0</v>
      </c>
      <c r="BD383" s="31">
        <v>0</v>
      </c>
      <c r="BE383" s="31">
        <v>0</v>
      </c>
      <c r="BF383" s="31">
        <v>0</v>
      </c>
      <c r="BG383" s="31">
        <v>0</v>
      </c>
      <c r="BH383" s="31">
        <v>0</v>
      </c>
      <c r="BI383" s="31">
        <v>0</v>
      </c>
      <c r="BJ383" s="31">
        <v>0</v>
      </c>
      <c r="BK383" s="31">
        <v>0</v>
      </c>
      <c r="BL383" s="31">
        <v>0</v>
      </c>
      <c r="BM383" s="31">
        <v>1</v>
      </c>
      <c r="BN383" s="31">
        <v>0</v>
      </c>
      <c r="BO383" s="31">
        <v>0</v>
      </c>
      <c r="BP383" s="31">
        <v>0</v>
      </c>
      <c r="BQ383" s="31">
        <v>0</v>
      </c>
      <c r="BR383" s="31">
        <v>0</v>
      </c>
      <c r="BS383" s="31">
        <v>0</v>
      </c>
      <c r="BT383" s="31">
        <v>0</v>
      </c>
      <c r="BU383" s="31">
        <v>0</v>
      </c>
      <c r="BV383" s="31">
        <v>0</v>
      </c>
      <c r="BW383" s="31">
        <v>0</v>
      </c>
      <c r="BX383" s="31">
        <v>0</v>
      </c>
      <c r="BY383" s="31">
        <v>0</v>
      </c>
      <c r="BZ383" s="31">
        <v>0</v>
      </c>
      <c r="CA383" s="31">
        <v>0</v>
      </c>
      <c r="CB383" s="31">
        <v>0</v>
      </c>
      <c r="CC383" s="31">
        <v>0</v>
      </c>
      <c r="CD383" s="31">
        <v>0</v>
      </c>
      <c r="CE383" s="31">
        <v>0</v>
      </c>
      <c r="CF383" s="31">
        <v>0</v>
      </c>
      <c r="CG383" s="31">
        <v>0</v>
      </c>
      <c r="CH383" s="31">
        <v>0</v>
      </c>
      <c r="CI383" s="31">
        <v>0</v>
      </c>
      <c r="CJ383" s="31">
        <v>0</v>
      </c>
      <c r="CK383" s="31">
        <v>0</v>
      </c>
      <c r="CL383" s="35">
        <v>0</v>
      </c>
    </row>
    <row r="384" spans="1:90" ht="21" x14ac:dyDescent="0.15">
      <c r="A384" s="31" t="s">
        <v>683</v>
      </c>
      <c r="B384" s="30" t="s">
        <v>684</v>
      </c>
      <c r="C384" s="28">
        <v>0</v>
      </c>
      <c r="D384" s="28">
        <v>0</v>
      </c>
      <c r="E384" s="28">
        <v>0</v>
      </c>
      <c r="F384" s="28">
        <v>0</v>
      </c>
      <c r="G384" s="28">
        <v>8</v>
      </c>
      <c r="H384" s="28">
        <f>IFERROR(VLOOKUP(A384,[1]FALTANTES!$A:$AB,28,FALSE),"-")</f>
        <v>0</v>
      </c>
      <c r="I384" s="42">
        <f>IFERROR(VLOOKUP(A384,[1]FALTANTES!$A:$AC,29,FALSE),"-")</f>
        <v>0</v>
      </c>
      <c r="J384" s="29">
        <f>IFERROR(VLOOKUP(A384,[1]FALTANTES!$A:$AD,30,FALSE),"-")</f>
        <v>-8</v>
      </c>
      <c r="K384" s="30">
        <v>0</v>
      </c>
      <c r="L384" s="30">
        <f t="shared" si="7"/>
        <v>8</v>
      </c>
      <c r="M384" s="31">
        <f>SUMIFS(METALFISA!$E:$E,METALFISA!$A:$A,'Faltantes Fevereiro- Metalfisa'!M$3,METALFISA!$B:$B,'Faltantes Fevereiro- Metalfisa'!$A384)</f>
        <v>0</v>
      </c>
      <c r="N384" s="31">
        <f>SUMIFS(METALFISA!$E:$E,METALFISA!$A:$A,'Faltantes Fevereiro- Metalfisa'!N$3,METALFISA!$B:$B,'Faltantes Fevereiro- Metalfisa'!$A384)</f>
        <v>0</v>
      </c>
      <c r="O384" s="31">
        <f>SUMIFS(METALFISA!$E:$E,METALFISA!$A:$A,'Faltantes Fevereiro- Metalfisa'!O$3,METALFISA!$B:$B,'Faltantes Fevereiro- Metalfisa'!$A384)</f>
        <v>0</v>
      </c>
      <c r="P384" s="31">
        <f>SUMIFS(METALFISA!$E:$E,METALFISA!$A:$A,'Faltantes Fevereiro- Metalfisa'!P$3,METALFISA!$B:$B,'Faltantes Fevereiro- Metalfisa'!$A384)</f>
        <v>0</v>
      </c>
      <c r="Q384" s="31">
        <f>SUMIFS(METALFISA!$E:$E,METALFISA!$A:$A,'Faltantes Fevereiro- Metalfisa'!Q$3,METALFISA!$B:$B,'Faltantes Fevereiro- Metalfisa'!$A384)</f>
        <v>0</v>
      </c>
      <c r="R384" s="31">
        <f>SUMIFS(METALFISA!$E:$E,METALFISA!$A:$A,'Faltantes Fevereiro- Metalfisa'!R$3,METALFISA!$B:$B,'Faltantes Fevereiro- Metalfisa'!$A384)</f>
        <v>0</v>
      </c>
      <c r="S384" s="31">
        <f>SUMIFS(METALFISA!$E:$E,METALFISA!$A:$A,'Faltantes Fevereiro- Metalfisa'!S$3,METALFISA!$B:$B,'Faltantes Fevereiro- Metalfisa'!$A384)</f>
        <v>0</v>
      </c>
      <c r="T384" s="31">
        <f>SUMIFS(METALFISA!$E:$E,METALFISA!$A:$A,'Faltantes Fevereiro- Metalfisa'!T$3,METALFISA!$B:$B,'Faltantes Fevereiro- Metalfisa'!$A384)</f>
        <v>0</v>
      </c>
      <c r="U384" s="31">
        <f>SUMIFS(METALFISA!$E:$E,METALFISA!$A:$A,'Faltantes Fevereiro- Metalfisa'!U$3,METALFISA!$B:$B,'Faltantes Fevereiro- Metalfisa'!$A384)</f>
        <v>0</v>
      </c>
      <c r="V384" s="31">
        <f>SUMIFS(METALFISA!$E:$E,METALFISA!$A:$A,'Faltantes Fevereiro- Metalfisa'!V$3,METALFISA!$B:$B,'Faltantes Fevereiro- Metalfisa'!$A384)</f>
        <v>0</v>
      </c>
      <c r="W384" s="31">
        <f>SUMIFS(METALFISA!$E:$E,METALFISA!$A:$A,'Faltantes Fevereiro- Metalfisa'!W$3,METALFISA!$B:$B,'Faltantes Fevereiro- Metalfisa'!$A384)</f>
        <v>0</v>
      </c>
      <c r="X384" s="31">
        <f>SUMIFS(METALFISA!$E:$E,METALFISA!$A:$A,'Faltantes Fevereiro- Metalfisa'!X$3,METALFISA!$B:$B,'Faltantes Fevereiro- Metalfisa'!$A384)</f>
        <v>0</v>
      </c>
      <c r="Y384" s="31">
        <f>SUMIFS(METALFISA!$E:$E,METALFISA!$A:$A,'Faltantes Fevereiro- Metalfisa'!Y$3,METALFISA!$B:$B,'Faltantes Fevereiro- Metalfisa'!$A384)</f>
        <v>0</v>
      </c>
      <c r="Z384" s="31">
        <f>SUMIFS(METALFISA!$E:$E,METALFISA!$A:$A,'Faltantes Fevereiro- Metalfisa'!Z$3,METALFISA!$B:$B,'Faltantes Fevereiro- Metalfisa'!$A384)</f>
        <v>0</v>
      </c>
      <c r="AA384" s="31">
        <f>SUMIFS(METALFISA!$E:$E,METALFISA!$A:$A,'Faltantes Fevereiro- Metalfisa'!AA$3,METALFISA!$B:$B,'Faltantes Fevereiro- Metalfisa'!$A384)</f>
        <v>0</v>
      </c>
      <c r="AB384" s="31">
        <f>SUMIFS(METALFISA!$E:$E,METALFISA!$A:$A,'Faltantes Fevereiro- Metalfisa'!AB$3,METALFISA!$B:$B,'Faltantes Fevereiro- Metalfisa'!$A384)</f>
        <v>0</v>
      </c>
      <c r="AC384" s="31">
        <f>SUMIFS(METALFISA!$E:$E,METALFISA!$A:$A,'Faltantes Fevereiro- Metalfisa'!AC$3,METALFISA!$B:$B,'Faltantes Fevereiro- Metalfisa'!$A384)</f>
        <v>0</v>
      </c>
      <c r="AD384" s="31">
        <f>SUMIFS(METALFISA!$E:$E,METALFISA!$A:$A,'Faltantes Fevereiro- Metalfisa'!AD$3,METALFISA!$B:$B,'Faltantes Fevereiro- Metalfisa'!$A384)</f>
        <v>0</v>
      </c>
      <c r="AE384" s="31">
        <f>SUMIFS(METALFISA!$E:$E,METALFISA!$A:$A,'Faltantes Fevereiro- Metalfisa'!AE$3,METALFISA!$B:$B,'Faltantes Fevereiro- Metalfisa'!$A384)</f>
        <v>0</v>
      </c>
      <c r="AF384" s="31">
        <f>SUMIFS(METALFISA!$E:$E,METALFISA!$A:$A,'Faltantes Fevereiro- Metalfisa'!AF$3,METALFISA!$B:$B,'Faltantes Fevereiro- Metalfisa'!$A384)</f>
        <v>0</v>
      </c>
      <c r="AG384" s="31">
        <f>SUMIFS(METALFISA!$E:$E,METALFISA!$A:$A,'Faltantes Fevereiro- Metalfisa'!AG$3,METALFISA!$B:$B,'Faltantes Fevereiro- Metalfisa'!$A384)</f>
        <v>8</v>
      </c>
      <c r="AH384" s="31">
        <f>SUMIFS(METALFISA!$E:$E,METALFISA!$A:$A,'Faltantes Fevereiro- Metalfisa'!AH$3,METALFISA!$B:$B,'Faltantes Fevereiro- Metalfisa'!$A384)</f>
        <v>0</v>
      </c>
      <c r="AI384" s="31">
        <f>SUMIFS(METALFISA!$E:$E,METALFISA!$A:$A,'Faltantes Fevereiro- Metalfisa'!AI$3,METALFISA!$B:$B,'Faltantes Fevereiro- Metalfisa'!$A384)</f>
        <v>0</v>
      </c>
      <c r="AJ384" s="31">
        <f>SUMIFS(METALFISA!$E:$E,METALFISA!$A:$A,'Faltantes Fevereiro- Metalfisa'!AJ$3,METALFISA!$B:$B,'Faltantes Fevereiro- Metalfisa'!$A384)</f>
        <v>0</v>
      </c>
      <c r="AK384" s="31">
        <f>SUMIFS(METALFISA!$E:$E,METALFISA!$A:$A,'Faltantes Fevereiro- Metalfisa'!AK$3,METALFISA!$B:$B,'Faltantes Fevereiro- Metalfisa'!$A384)</f>
        <v>0</v>
      </c>
      <c r="AL384" s="31">
        <f>SUMIFS(METALFISA!$E:$E,METALFISA!$A:$A,'Faltantes Fevereiro- Metalfisa'!AL$3,METALFISA!$B:$B,'Faltantes Fevereiro- Metalfisa'!$A384)</f>
        <v>0</v>
      </c>
      <c r="AM384" s="31">
        <f>SUMIFS(METALFISA!$E:$E,METALFISA!$A:$A,'Faltantes Fevereiro- Metalfisa'!AM$3,METALFISA!$B:$B,'Faltantes Fevereiro- Metalfisa'!$A384)</f>
        <v>0</v>
      </c>
      <c r="AN384" s="31">
        <f>SUMIFS(METALFISA!$E:$E,METALFISA!$A:$A,'Faltantes Fevereiro- Metalfisa'!AN$3,METALFISA!$B:$B,'Faltantes Fevereiro- Metalfisa'!$A384)</f>
        <v>0</v>
      </c>
      <c r="AO384" s="31">
        <f>SUMIFS(METALFISA!$E:$E,METALFISA!$A:$A,'Faltantes Fevereiro- Metalfisa'!AO$3,METALFISA!$B:$B,'Faltantes Fevereiro- Metalfisa'!$A384)</f>
        <v>0</v>
      </c>
      <c r="AP384" s="31">
        <f>SUMIFS(METALFISA!$E:$E,METALFISA!$A:$A,'Faltantes Fevereiro- Metalfisa'!AP$3,METALFISA!$B:$B,'Faltantes Fevereiro- Metalfisa'!$A384)</f>
        <v>0</v>
      </c>
      <c r="AQ384" s="31"/>
      <c r="AR384" s="31"/>
      <c r="AS384" s="35"/>
      <c r="AY384" s="41">
        <v>0</v>
      </c>
      <c r="AZ384" s="31">
        <v>0</v>
      </c>
      <c r="BA384" s="31">
        <v>0</v>
      </c>
      <c r="BB384" s="31">
        <v>0</v>
      </c>
      <c r="BC384" s="31">
        <v>0</v>
      </c>
      <c r="BD384" s="31">
        <v>0</v>
      </c>
      <c r="BE384" s="31">
        <v>0</v>
      </c>
      <c r="BF384" s="31">
        <v>0</v>
      </c>
      <c r="BG384" s="31">
        <v>0</v>
      </c>
      <c r="BH384" s="31">
        <v>0</v>
      </c>
      <c r="BI384" s="31">
        <v>0</v>
      </c>
      <c r="BJ384" s="31">
        <v>0</v>
      </c>
      <c r="BK384" s="31">
        <v>0</v>
      </c>
      <c r="BL384" s="31">
        <v>0</v>
      </c>
      <c r="BM384" s="31">
        <v>6</v>
      </c>
      <c r="BN384" s="31">
        <v>0</v>
      </c>
      <c r="BO384" s="31">
        <v>0</v>
      </c>
      <c r="BP384" s="31">
        <v>0</v>
      </c>
      <c r="BQ384" s="31">
        <v>0</v>
      </c>
      <c r="BR384" s="31">
        <v>0</v>
      </c>
      <c r="BS384" s="31">
        <v>0</v>
      </c>
      <c r="BT384" s="31">
        <v>0</v>
      </c>
      <c r="BU384" s="31">
        <v>0</v>
      </c>
      <c r="BV384" s="31">
        <v>0</v>
      </c>
      <c r="BW384" s="31">
        <v>0</v>
      </c>
      <c r="BX384" s="31">
        <v>0</v>
      </c>
      <c r="BY384" s="31">
        <v>0</v>
      </c>
      <c r="BZ384" s="31">
        <v>0</v>
      </c>
      <c r="CA384" s="31">
        <v>0</v>
      </c>
      <c r="CB384" s="31">
        <v>0</v>
      </c>
      <c r="CC384" s="31">
        <v>0</v>
      </c>
      <c r="CD384" s="31">
        <v>0</v>
      </c>
      <c r="CE384" s="31">
        <v>0</v>
      </c>
      <c r="CF384" s="31">
        <v>0</v>
      </c>
      <c r="CG384" s="31">
        <v>0</v>
      </c>
      <c r="CH384" s="31">
        <v>0</v>
      </c>
      <c r="CI384" s="31">
        <v>0</v>
      </c>
      <c r="CJ384" s="31">
        <v>0</v>
      </c>
      <c r="CK384" s="31">
        <v>0</v>
      </c>
      <c r="CL384" s="35">
        <v>0</v>
      </c>
    </row>
    <row r="385" spans="1:90" ht="21" x14ac:dyDescent="0.15">
      <c r="A385" s="31" t="s">
        <v>1807</v>
      </c>
      <c r="B385" s="30" t="s">
        <v>1808</v>
      </c>
      <c r="C385" s="28">
        <v>0</v>
      </c>
      <c r="D385" s="28">
        <v>0</v>
      </c>
      <c r="E385" s="28">
        <v>0</v>
      </c>
      <c r="F385" s="28">
        <v>0</v>
      </c>
      <c r="G385" s="28">
        <v>4</v>
      </c>
      <c r="H385" s="28">
        <f>IFERROR(VLOOKUP(A385,[1]FALTANTES!$A:$AB,28,FALSE),"-")</f>
        <v>0</v>
      </c>
      <c r="I385" s="42">
        <f>IFERROR(VLOOKUP(A385,[1]FALTANTES!$A:$AC,29,FALSE),"-")</f>
        <v>0</v>
      </c>
      <c r="J385" s="29">
        <f>IFERROR(VLOOKUP(A385,[1]FALTANTES!$A:$AD,30,FALSE),"-")</f>
        <v>-4</v>
      </c>
      <c r="K385" s="30">
        <v>0</v>
      </c>
      <c r="L385" s="30">
        <f t="shared" si="7"/>
        <v>4</v>
      </c>
      <c r="M385" s="31">
        <f>SUMIFS(METALFISA!$E:$E,METALFISA!$A:$A,'Faltantes Fevereiro- Metalfisa'!M$3,METALFISA!$B:$B,'Faltantes Fevereiro- Metalfisa'!$A385)</f>
        <v>0</v>
      </c>
      <c r="N385" s="31">
        <f>SUMIFS(METALFISA!$E:$E,METALFISA!$A:$A,'Faltantes Fevereiro- Metalfisa'!N$3,METALFISA!$B:$B,'Faltantes Fevereiro- Metalfisa'!$A385)</f>
        <v>0</v>
      </c>
      <c r="O385" s="31">
        <f>SUMIFS(METALFISA!$E:$E,METALFISA!$A:$A,'Faltantes Fevereiro- Metalfisa'!O$3,METALFISA!$B:$B,'Faltantes Fevereiro- Metalfisa'!$A385)</f>
        <v>0</v>
      </c>
      <c r="P385" s="31">
        <f>SUMIFS(METALFISA!$E:$E,METALFISA!$A:$A,'Faltantes Fevereiro- Metalfisa'!P$3,METALFISA!$B:$B,'Faltantes Fevereiro- Metalfisa'!$A385)</f>
        <v>0</v>
      </c>
      <c r="Q385" s="31">
        <f>SUMIFS(METALFISA!$E:$E,METALFISA!$A:$A,'Faltantes Fevereiro- Metalfisa'!Q$3,METALFISA!$B:$B,'Faltantes Fevereiro- Metalfisa'!$A385)</f>
        <v>0</v>
      </c>
      <c r="R385" s="31">
        <f>SUMIFS(METALFISA!$E:$E,METALFISA!$A:$A,'Faltantes Fevereiro- Metalfisa'!R$3,METALFISA!$B:$B,'Faltantes Fevereiro- Metalfisa'!$A385)</f>
        <v>0</v>
      </c>
      <c r="S385" s="31">
        <f>SUMIFS(METALFISA!$E:$E,METALFISA!$A:$A,'Faltantes Fevereiro- Metalfisa'!S$3,METALFISA!$B:$B,'Faltantes Fevereiro- Metalfisa'!$A385)</f>
        <v>0</v>
      </c>
      <c r="T385" s="31">
        <f>SUMIFS(METALFISA!$E:$E,METALFISA!$A:$A,'Faltantes Fevereiro- Metalfisa'!T$3,METALFISA!$B:$B,'Faltantes Fevereiro- Metalfisa'!$A385)</f>
        <v>0</v>
      </c>
      <c r="U385" s="31">
        <f>SUMIFS(METALFISA!$E:$E,METALFISA!$A:$A,'Faltantes Fevereiro- Metalfisa'!U$3,METALFISA!$B:$B,'Faltantes Fevereiro- Metalfisa'!$A385)</f>
        <v>0</v>
      </c>
      <c r="V385" s="31">
        <f>SUMIFS(METALFISA!$E:$E,METALFISA!$A:$A,'Faltantes Fevereiro- Metalfisa'!V$3,METALFISA!$B:$B,'Faltantes Fevereiro- Metalfisa'!$A385)</f>
        <v>0</v>
      </c>
      <c r="W385" s="31">
        <f>SUMIFS(METALFISA!$E:$E,METALFISA!$A:$A,'Faltantes Fevereiro- Metalfisa'!W$3,METALFISA!$B:$B,'Faltantes Fevereiro- Metalfisa'!$A385)</f>
        <v>0</v>
      </c>
      <c r="X385" s="31">
        <f>SUMIFS(METALFISA!$E:$E,METALFISA!$A:$A,'Faltantes Fevereiro- Metalfisa'!X$3,METALFISA!$B:$B,'Faltantes Fevereiro- Metalfisa'!$A385)</f>
        <v>0</v>
      </c>
      <c r="Y385" s="31">
        <f>SUMIFS(METALFISA!$E:$E,METALFISA!$A:$A,'Faltantes Fevereiro- Metalfisa'!Y$3,METALFISA!$B:$B,'Faltantes Fevereiro- Metalfisa'!$A385)</f>
        <v>0</v>
      </c>
      <c r="Z385" s="31">
        <f>SUMIFS(METALFISA!$E:$E,METALFISA!$A:$A,'Faltantes Fevereiro- Metalfisa'!Z$3,METALFISA!$B:$B,'Faltantes Fevereiro- Metalfisa'!$A385)</f>
        <v>0</v>
      </c>
      <c r="AA385" s="31">
        <f>SUMIFS(METALFISA!$E:$E,METALFISA!$A:$A,'Faltantes Fevereiro- Metalfisa'!AA$3,METALFISA!$B:$B,'Faltantes Fevereiro- Metalfisa'!$A385)</f>
        <v>0</v>
      </c>
      <c r="AB385" s="31">
        <f>SUMIFS(METALFISA!$E:$E,METALFISA!$A:$A,'Faltantes Fevereiro- Metalfisa'!AB$3,METALFISA!$B:$B,'Faltantes Fevereiro- Metalfisa'!$A385)</f>
        <v>0</v>
      </c>
      <c r="AC385" s="31">
        <f>SUMIFS(METALFISA!$E:$E,METALFISA!$A:$A,'Faltantes Fevereiro- Metalfisa'!AC$3,METALFISA!$B:$B,'Faltantes Fevereiro- Metalfisa'!$A385)</f>
        <v>0</v>
      </c>
      <c r="AD385" s="31">
        <f>SUMIFS(METALFISA!$E:$E,METALFISA!$A:$A,'Faltantes Fevereiro- Metalfisa'!AD$3,METALFISA!$B:$B,'Faltantes Fevereiro- Metalfisa'!$A385)</f>
        <v>0</v>
      </c>
      <c r="AE385" s="31">
        <f>SUMIFS(METALFISA!$E:$E,METALFISA!$A:$A,'Faltantes Fevereiro- Metalfisa'!AE$3,METALFISA!$B:$B,'Faltantes Fevereiro- Metalfisa'!$A385)</f>
        <v>0</v>
      </c>
      <c r="AF385" s="31">
        <f>SUMIFS(METALFISA!$E:$E,METALFISA!$A:$A,'Faltantes Fevereiro- Metalfisa'!AF$3,METALFISA!$B:$B,'Faltantes Fevereiro- Metalfisa'!$A385)</f>
        <v>0</v>
      </c>
      <c r="AG385" s="31">
        <f>SUMIFS(METALFISA!$E:$E,METALFISA!$A:$A,'Faltantes Fevereiro- Metalfisa'!AG$3,METALFISA!$B:$B,'Faltantes Fevereiro- Metalfisa'!$A385)</f>
        <v>4</v>
      </c>
      <c r="AH385" s="31">
        <f>SUMIFS(METALFISA!$E:$E,METALFISA!$A:$A,'Faltantes Fevereiro- Metalfisa'!AH$3,METALFISA!$B:$B,'Faltantes Fevereiro- Metalfisa'!$A385)</f>
        <v>0</v>
      </c>
      <c r="AI385" s="31">
        <f>SUMIFS(METALFISA!$E:$E,METALFISA!$A:$A,'Faltantes Fevereiro- Metalfisa'!AI$3,METALFISA!$B:$B,'Faltantes Fevereiro- Metalfisa'!$A385)</f>
        <v>0</v>
      </c>
      <c r="AJ385" s="31">
        <f>SUMIFS(METALFISA!$E:$E,METALFISA!$A:$A,'Faltantes Fevereiro- Metalfisa'!AJ$3,METALFISA!$B:$B,'Faltantes Fevereiro- Metalfisa'!$A385)</f>
        <v>0</v>
      </c>
      <c r="AK385" s="31">
        <f>SUMIFS(METALFISA!$E:$E,METALFISA!$A:$A,'Faltantes Fevereiro- Metalfisa'!AK$3,METALFISA!$B:$B,'Faltantes Fevereiro- Metalfisa'!$A385)</f>
        <v>0</v>
      </c>
      <c r="AL385" s="31">
        <f>SUMIFS(METALFISA!$E:$E,METALFISA!$A:$A,'Faltantes Fevereiro- Metalfisa'!AL$3,METALFISA!$B:$B,'Faltantes Fevereiro- Metalfisa'!$A385)</f>
        <v>0</v>
      </c>
      <c r="AM385" s="31">
        <f>SUMIFS(METALFISA!$E:$E,METALFISA!$A:$A,'Faltantes Fevereiro- Metalfisa'!AM$3,METALFISA!$B:$B,'Faltantes Fevereiro- Metalfisa'!$A385)</f>
        <v>0</v>
      </c>
      <c r="AN385" s="31">
        <f>SUMIFS(METALFISA!$E:$E,METALFISA!$A:$A,'Faltantes Fevereiro- Metalfisa'!AN$3,METALFISA!$B:$B,'Faltantes Fevereiro- Metalfisa'!$A385)</f>
        <v>0</v>
      </c>
      <c r="AO385" s="31">
        <f>SUMIFS(METALFISA!$E:$E,METALFISA!$A:$A,'Faltantes Fevereiro- Metalfisa'!AO$3,METALFISA!$B:$B,'Faltantes Fevereiro- Metalfisa'!$A385)</f>
        <v>0</v>
      </c>
      <c r="AP385" s="31">
        <f>SUMIFS(METALFISA!$E:$E,METALFISA!$A:$A,'Faltantes Fevereiro- Metalfisa'!AP$3,METALFISA!$B:$B,'Faltantes Fevereiro- Metalfisa'!$A385)</f>
        <v>0</v>
      </c>
      <c r="AQ385" s="31"/>
      <c r="AR385" s="31"/>
      <c r="AS385" s="35"/>
      <c r="AY385" s="41">
        <v>0</v>
      </c>
      <c r="AZ385" s="31">
        <v>0</v>
      </c>
      <c r="BA385" s="31">
        <v>0</v>
      </c>
      <c r="BB385" s="31">
        <v>0</v>
      </c>
      <c r="BC385" s="31">
        <v>0</v>
      </c>
      <c r="BD385" s="31">
        <v>0</v>
      </c>
      <c r="BE385" s="31">
        <v>0</v>
      </c>
      <c r="BF385" s="31">
        <v>0</v>
      </c>
      <c r="BG385" s="31">
        <v>0</v>
      </c>
      <c r="BH385" s="31">
        <v>0</v>
      </c>
      <c r="BI385" s="31">
        <v>0</v>
      </c>
      <c r="BJ385" s="31">
        <v>0</v>
      </c>
      <c r="BK385" s="31">
        <v>0</v>
      </c>
      <c r="BL385" s="31">
        <v>0</v>
      </c>
      <c r="BM385" s="31">
        <v>4</v>
      </c>
      <c r="BN385" s="31">
        <v>0</v>
      </c>
      <c r="BO385" s="31">
        <v>0</v>
      </c>
      <c r="BP385" s="31">
        <v>0</v>
      </c>
      <c r="BQ385" s="31">
        <v>0</v>
      </c>
      <c r="BR385" s="31">
        <v>0</v>
      </c>
      <c r="BS385" s="31">
        <v>0</v>
      </c>
      <c r="BT385" s="31">
        <v>0</v>
      </c>
      <c r="BU385" s="31">
        <v>0</v>
      </c>
      <c r="BV385" s="31">
        <v>0</v>
      </c>
      <c r="BW385" s="31">
        <v>0</v>
      </c>
      <c r="BX385" s="31">
        <v>0</v>
      </c>
      <c r="BY385" s="31">
        <v>0</v>
      </c>
      <c r="BZ385" s="31">
        <v>0</v>
      </c>
      <c r="CA385" s="31">
        <v>0</v>
      </c>
      <c r="CB385" s="31">
        <v>0</v>
      </c>
      <c r="CC385" s="31">
        <v>0</v>
      </c>
      <c r="CD385" s="31">
        <v>0</v>
      </c>
      <c r="CE385" s="31">
        <v>0</v>
      </c>
      <c r="CF385" s="31">
        <v>0</v>
      </c>
      <c r="CG385" s="31">
        <v>0</v>
      </c>
      <c r="CH385" s="31">
        <v>0</v>
      </c>
      <c r="CI385" s="31">
        <v>0</v>
      </c>
      <c r="CJ385" s="31">
        <v>0</v>
      </c>
      <c r="CK385" s="31">
        <v>0</v>
      </c>
      <c r="CL385" s="35">
        <v>0</v>
      </c>
    </row>
    <row r="386" spans="1:90" ht="21" x14ac:dyDescent="0.15">
      <c r="A386" s="31" t="s">
        <v>294</v>
      </c>
      <c r="B386" s="30" t="s">
        <v>295</v>
      </c>
      <c r="C386" s="28">
        <v>0</v>
      </c>
      <c r="D386" s="28">
        <v>0</v>
      </c>
      <c r="E386" s="28">
        <v>0</v>
      </c>
      <c r="F386" s="28">
        <v>0</v>
      </c>
      <c r="G386" s="28">
        <v>6</v>
      </c>
      <c r="H386" s="28">
        <f>IFERROR(VLOOKUP(A386,[1]FALTANTES!$A:$AB,28,FALSE),"-")</f>
        <v>0</v>
      </c>
      <c r="I386" s="42">
        <f>IFERROR(VLOOKUP(A386,[1]FALTANTES!$A:$AC,29,FALSE),"-")</f>
        <v>0</v>
      </c>
      <c r="J386" s="29">
        <f>IFERROR(VLOOKUP(A386,[1]FALTANTES!$A:$AD,30,FALSE),"-")</f>
        <v>-6</v>
      </c>
      <c r="K386" s="30">
        <v>0</v>
      </c>
      <c r="L386" s="30">
        <f t="shared" si="7"/>
        <v>6</v>
      </c>
      <c r="M386" s="31">
        <f>SUMIFS(METALFISA!$E:$E,METALFISA!$A:$A,'Faltantes Fevereiro- Metalfisa'!M$3,METALFISA!$B:$B,'Faltantes Fevereiro- Metalfisa'!$A386)</f>
        <v>0</v>
      </c>
      <c r="N386" s="31">
        <f>SUMIFS(METALFISA!$E:$E,METALFISA!$A:$A,'Faltantes Fevereiro- Metalfisa'!N$3,METALFISA!$B:$B,'Faltantes Fevereiro- Metalfisa'!$A386)</f>
        <v>0</v>
      </c>
      <c r="O386" s="31">
        <f>SUMIFS(METALFISA!$E:$E,METALFISA!$A:$A,'Faltantes Fevereiro- Metalfisa'!O$3,METALFISA!$B:$B,'Faltantes Fevereiro- Metalfisa'!$A386)</f>
        <v>0</v>
      </c>
      <c r="P386" s="31">
        <f>SUMIFS(METALFISA!$E:$E,METALFISA!$A:$A,'Faltantes Fevereiro- Metalfisa'!P$3,METALFISA!$B:$B,'Faltantes Fevereiro- Metalfisa'!$A386)</f>
        <v>0</v>
      </c>
      <c r="Q386" s="31">
        <f>SUMIFS(METALFISA!$E:$E,METALFISA!$A:$A,'Faltantes Fevereiro- Metalfisa'!Q$3,METALFISA!$B:$B,'Faltantes Fevereiro- Metalfisa'!$A386)</f>
        <v>0</v>
      </c>
      <c r="R386" s="31">
        <f>SUMIFS(METALFISA!$E:$E,METALFISA!$A:$A,'Faltantes Fevereiro- Metalfisa'!R$3,METALFISA!$B:$B,'Faltantes Fevereiro- Metalfisa'!$A386)</f>
        <v>0</v>
      </c>
      <c r="S386" s="31">
        <f>SUMIFS(METALFISA!$E:$E,METALFISA!$A:$A,'Faltantes Fevereiro- Metalfisa'!S$3,METALFISA!$B:$B,'Faltantes Fevereiro- Metalfisa'!$A386)</f>
        <v>0</v>
      </c>
      <c r="T386" s="31">
        <f>SUMIFS(METALFISA!$E:$E,METALFISA!$A:$A,'Faltantes Fevereiro- Metalfisa'!T$3,METALFISA!$B:$B,'Faltantes Fevereiro- Metalfisa'!$A386)</f>
        <v>0</v>
      </c>
      <c r="U386" s="31">
        <f>SUMIFS(METALFISA!$E:$E,METALFISA!$A:$A,'Faltantes Fevereiro- Metalfisa'!U$3,METALFISA!$B:$B,'Faltantes Fevereiro- Metalfisa'!$A386)</f>
        <v>0</v>
      </c>
      <c r="V386" s="31">
        <f>SUMIFS(METALFISA!$E:$E,METALFISA!$A:$A,'Faltantes Fevereiro- Metalfisa'!V$3,METALFISA!$B:$B,'Faltantes Fevereiro- Metalfisa'!$A386)</f>
        <v>0</v>
      </c>
      <c r="W386" s="31">
        <f>SUMIFS(METALFISA!$E:$E,METALFISA!$A:$A,'Faltantes Fevereiro- Metalfisa'!W$3,METALFISA!$B:$B,'Faltantes Fevereiro- Metalfisa'!$A386)</f>
        <v>0</v>
      </c>
      <c r="X386" s="31">
        <f>SUMIFS(METALFISA!$E:$E,METALFISA!$A:$A,'Faltantes Fevereiro- Metalfisa'!X$3,METALFISA!$B:$B,'Faltantes Fevereiro- Metalfisa'!$A386)</f>
        <v>0</v>
      </c>
      <c r="Y386" s="31">
        <f>SUMIFS(METALFISA!$E:$E,METALFISA!$A:$A,'Faltantes Fevereiro- Metalfisa'!Y$3,METALFISA!$B:$B,'Faltantes Fevereiro- Metalfisa'!$A386)</f>
        <v>0</v>
      </c>
      <c r="Z386" s="31">
        <f>SUMIFS(METALFISA!$E:$E,METALFISA!$A:$A,'Faltantes Fevereiro- Metalfisa'!Z$3,METALFISA!$B:$B,'Faltantes Fevereiro- Metalfisa'!$A386)</f>
        <v>0</v>
      </c>
      <c r="AA386" s="31">
        <f>SUMIFS(METALFISA!$E:$E,METALFISA!$A:$A,'Faltantes Fevereiro- Metalfisa'!AA$3,METALFISA!$B:$B,'Faltantes Fevereiro- Metalfisa'!$A386)</f>
        <v>0</v>
      </c>
      <c r="AB386" s="31">
        <f>SUMIFS(METALFISA!$E:$E,METALFISA!$A:$A,'Faltantes Fevereiro- Metalfisa'!AB$3,METALFISA!$B:$B,'Faltantes Fevereiro- Metalfisa'!$A386)</f>
        <v>0</v>
      </c>
      <c r="AC386" s="31">
        <f>SUMIFS(METALFISA!$E:$E,METALFISA!$A:$A,'Faltantes Fevereiro- Metalfisa'!AC$3,METALFISA!$B:$B,'Faltantes Fevereiro- Metalfisa'!$A386)</f>
        <v>2</v>
      </c>
      <c r="AD386" s="31">
        <f>SUMIFS(METALFISA!$E:$E,METALFISA!$A:$A,'Faltantes Fevereiro- Metalfisa'!AD$3,METALFISA!$B:$B,'Faltantes Fevereiro- Metalfisa'!$A386)</f>
        <v>0</v>
      </c>
      <c r="AE386" s="31">
        <f>SUMIFS(METALFISA!$E:$E,METALFISA!$A:$A,'Faltantes Fevereiro- Metalfisa'!AE$3,METALFISA!$B:$B,'Faltantes Fevereiro- Metalfisa'!$A386)</f>
        <v>0</v>
      </c>
      <c r="AF386" s="31">
        <f>SUMIFS(METALFISA!$E:$E,METALFISA!$A:$A,'Faltantes Fevereiro- Metalfisa'!AF$3,METALFISA!$B:$B,'Faltantes Fevereiro- Metalfisa'!$A386)</f>
        <v>0</v>
      </c>
      <c r="AG386" s="31">
        <f>SUMIFS(METALFISA!$E:$E,METALFISA!$A:$A,'Faltantes Fevereiro- Metalfisa'!AG$3,METALFISA!$B:$B,'Faltantes Fevereiro- Metalfisa'!$A386)</f>
        <v>4</v>
      </c>
      <c r="AH386" s="31">
        <f>SUMIFS(METALFISA!$E:$E,METALFISA!$A:$A,'Faltantes Fevereiro- Metalfisa'!AH$3,METALFISA!$B:$B,'Faltantes Fevereiro- Metalfisa'!$A386)</f>
        <v>0</v>
      </c>
      <c r="AI386" s="31">
        <f>SUMIFS(METALFISA!$E:$E,METALFISA!$A:$A,'Faltantes Fevereiro- Metalfisa'!AI$3,METALFISA!$B:$B,'Faltantes Fevereiro- Metalfisa'!$A386)</f>
        <v>0</v>
      </c>
      <c r="AJ386" s="31">
        <f>SUMIFS(METALFISA!$E:$E,METALFISA!$A:$A,'Faltantes Fevereiro- Metalfisa'!AJ$3,METALFISA!$B:$B,'Faltantes Fevereiro- Metalfisa'!$A386)</f>
        <v>0</v>
      </c>
      <c r="AK386" s="31">
        <f>SUMIFS(METALFISA!$E:$E,METALFISA!$A:$A,'Faltantes Fevereiro- Metalfisa'!AK$3,METALFISA!$B:$B,'Faltantes Fevereiro- Metalfisa'!$A386)</f>
        <v>0</v>
      </c>
      <c r="AL386" s="31">
        <f>SUMIFS(METALFISA!$E:$E,METALFISA!$A:$A,'Faltantes Fevereiro- Metalfisa'!AL$3,METALFISA!$B:$B,'Faltantes Fevereiro- Metalfisa'!$A386)</f>
        <v>0</v>
      </c>
      <c r="AM386" s="31">
        <f>SUMIFS(METALFISA!$E:$E,METALFISA!$A:$A,'Faltantes Fevereiro- Metalfisa'!AM$3,METALFISA!$B:$B,'Faltantes Fevereiro- Metalfisa'!$A386)</f>
        <v>0</v>
      </c>
      <c r="AN386" s="31">
        <f>SUMIFS(METALFISA!$E:$E,METALFISA!$A:$A,'Faltantes Fevereiro- Metalfisa'!AN$3,METALFISA!$B:$B,'Faltantes Fevereiro- Metalfisa'!$A386)</f>
        <v>0</v>
      </c>
      <c r="AO386" s="31">
        <f>SUMIFS(METALFISA!$E:$E,METALFISA!$A:$A,'Faltantes Fevereiro- Metalfisa'!AO$3,METALFISA!$B:$B,'Faltantes Fevereiro- Metalfisa'!$A386)</f>
        <v>0</v>
      </c>
      <c r="AP386" s="31">
        <f>SUMIFS(METALFISA!$E:$E,METALFISA!$A:$A,'Faltantes Fevereiro- Metalfisa'!AP$3,METALFISA!$B:$B,'Faltantes Fevereiro- Metalfisa'!$A386)</f>
        <v>0</v>
      </c>
      <c r="AQ386" s="31"/>
      <c r="AR386" s="31"/>
      <c r="AS386" s="35"/>
      <c r="AY386" s="41">
        <v>0</v>
      </c>
      <c r="AZ386" s="31">
        <v>0</v>
      </c>
      <c r="BA386" s="31">
        <v>0</v>
      </c>
      <c r="BB386" s="31">
        <v>0</v>
      </c>
      <c r="BC386" s="31">
        <v>0</v>
      </c>
      <c r="BD386" s="31">
        <v>0</v>
      </c>
      <c r="BE386" s="31">
        <v>0</v>
      </c>
      <c r="BF386" s="31">
        <v>0</v>
      </c>
      <c r="BG386" s="31">
        <v>0</v>
      </c>
      <c r="BH386" s="31">
        <v>0</v>
      </c>
      <c r="BI386" s="31">
        <v>0</v>
      </c>
      <c r="BJ386" s="31">
        <v>0</v>
      </c>
      <c r="BK386" s="31">
        <v>0</v>
      </c>
      <c r="BL386" s="31">
        <v>0</v>
      </c>
      <c r="BM386" s="31">
        <v>2</v>
      </c>
      <c r="BN386" s="31">
        <v>0</v>
      </c>
      <c r="BO386" s="31">
        <v>0</v>
      </c>
      <c r="BP386" s="31">
        <v>0</v>
      </c>
      <c r="BQ386" s="31">
        <v>0</v>
      </c>
      <c r="BR386" s="31">
        <v>0</v>
      </c>
      <c r="BS386" s="31">
        <v>0</v>
      </c>
      <c r="BT386" s="31">
        <v>0</v>
      </c>
      <c r="BU386" s="31">
        <v>0</v>
      </c>
      <c r="BV386" s="31">
        <v>0</v>
      </c>
      <c r="BW386" s="31">
        <v>0</v>
      </c>
      <c r="BX386" s="31">
        <v>0</v>
      </c>
      <c r="BY386" s="31">
        <v>0</v>
      </c>
      <c r="BZ386" s="31">
        <v>0</v>
      </c>
      <c r="CA386" s="31">
        <v>0</v>
      </c>
      <c r="CB386" s="31">
        <v>0</v>
      </c>
      <c r="CC386" s="31">
        <v>0</v>
      </c>
      <c r="CD386" s="31">
        <v>0</v>
      </c>
      <c r="CE386" s="31">
        <v>0</v>
      </c>
      <c r="CF386" s="31">
        <v>0</v>
      </c>
      <c r="CG386" s="31">
        <v>0</v>
      </c>
      <c r="CH386" s="31">
        <v>0</v>
      </c>
      <c r="CI386" s="31">
        <v>0</v>
      </c>
      <c r="CJ386" s="31">
        <v>0</v>
      </c>
      <c r="CK386" s="31">
        <v>0</v>
      </c>
      <c r="CL386" s="35">
        <v>0</v>
      </c>
    </row>
    <row r="387" spans="1:90" ht="21" x14ac:dyDescent="0.15">
      <c r="A387" s="31" t="s">
        <v>740</v>
      </c>
      <c r="B387" s="30" t="s">
        <v>741</v>
      </c>
      <c r="C387" s="28">
        <v>0</v>
      </c>
      <c r="D387" s="28">
        <v>0</v>
      </c>
      <c r="E387" s="28">
        <v>0</v>
      </c>
      <c r="F387" s="28">
        <v>0</v>
      </c>
      <c r="G387" s="28">
        <v>3</v>
      </c>
      <c r="H387" s="28">
        <f>IFERROR(VLOOKUP(A387,[1]FALTANTES!$A:$AB,28,FALSE),"-")</f>
        <v>0</v>
      </c>
      <c r="I387" s="42">
        <f>IFERROR(VLOOKUP(A387,[1]FALTANTES!$A:$AC,29,FALSE),"-")</f>
        <v>0</v>
      </c>
      <c r="J387" s="29">
        <f>IFERROR(VLOOKUP(A387,[1]FALTANTES!$A:$AD,30,FALSE),"-")</f>
        <v>-3</v>
      </c>
      <c r="K387" s="30">
        <v>0</v>
      </c>
      <c r="L387" s="30">
        <f t="shared" si="7"/>
        <v>3</v>
      </c>
      <c r="M387" s="31">
        <f>SUMIFS(METALFISA!$E:$E,METALFISA!$A:$A,'Faltantes Fevereiro- Metalfisa'!M$3,METALFISA!$B:$B,'Faltantes Fevereiro- Metalfisa'!$A387)</f>
        <v>0</v>
      </c>
      <c r="N387" s="31">
        <f>SUMIFS(METALFISA!$E:$E,METALFISA!$A:$A,'Faltantes Fevereiro- Metalfisa'!N$3,METALFISA!$B:$B,'Faltantes Fevereiro- Metalfisa'!$A387)</f>
        <v>0</v>
      </c>
      <c r="O387" s="31">
        <f>SUMIFS(METALFISA!$E:$E,METALFISA!$A:$A,'Faltantes Fevereiro- Metalfisa'!O$3,METALFISA!$B:$B,'Faltantes Fevereiro- Metalfisa'!$A387)</f>
        <v>0</v>
      </c>
      <c r="P387" s="31">
        <f>SUMIFS(METALFISA!$E:$E,METALFISA!$A:$A,'Faltantes Fevereiro- Metalfisa'!P$3,METALFISA!$B:$B,'Faltantes Fevereiro- Metalfisa'!$A387)</f>
        <v>0</v>
      </c>
      <c r="Q387" s="31">
        <f>SUMIFS(METALFISA!$E:$E,METALFISA!$A:$A,'Faltantes Fevereiro- Metalfisa'!Q$3,METALFISA!$B:$B,'Faltantes Fevereiro- Metalfisa'!$A387)</f>
        <v>0</v>
      </c>
      <c r="R387" s="31">
        <f>SUMIFS(METALFISA!$E:$E,METALFISA!$A:$A,'Faltantes Fevereiro- Metalfisa'!R$3,METALFISA!$B:$B,'Faltantes Fevereiro- Metalfisa'!$A387)</f>
        <v>0</v>
      </c>
      <c r="S387" s="31">
        <f>SUMIFS(METALFISA!$E:$E,METALFISA!$A:$A,'Faltantes Fevereiro- Metalfisa'!S$3,METALFISA!$B:$B,'Faltantes Fevereiro- Metalfisa'!$A387)</f>
        <v>0</v>
      </c>
      <c r="T387" s="31">
        <f>SUMIFS(METALFISA!$E:$E,METALFISA!$A:$A,'Faltantes Fevereiro- Metalfisa'!T$3,METALFISA!$B:$B,'Faltantes Fevereiro- Metalfisa'!$A387)</f>
        <v>0</v>
      </c>
      <c r="U387" s="31">
        <f>SUMIFS(METALFISA!$E:$E,METALFISA!$A:$A,'Faltantes Fevereiro- Metalfisa'!U$3,METALFISA!$B:$B,'Faltantes Fevereiro- Metalfisa'!$A387)</f>
        <v>0</v>
      </c>
      <c r="V387" s="31">
        <f>SUMIFS(METALFISA!$E:$E,METALFISA!$A:$A,'Faltantes Fevereiro- Metalfisa'!V$3,METALFISA!$B:$B,'Faltantes Fevereiro- Metalfisa'!$A387)</f>
        <v>0</v>
      </c>
      <c r="W387" s="31">
        <f>SUMIFS(METALFISA!$E:$E,METALFISA!$A:$A,'Faltantes Fevereiro- Metalfisa'!W$3,METALFISA!$B:$B,'Faltantes Fevereiro- Metalfisa'!$A387)</f>
        <v>0</v>
      </c>
      <c r="X387" s="31">
        <f>SUMIFS(METALFISA!$E:$E,METALFISA!$A:$A,'Faltantes Fevereiro- Metalfisa'!X$3,METALFISA!$B:$B,'Faltantes Fevereiro- Metalfisa'!$A387)</f>
        <v>0</v>
      </c>
      <c r="Y387" s="31">
        <f>SUMIFS(METALFISA!$E:$E,METALFISA!$A:$A,'Faltantes Fevereiro- Metalfisa'!Y$3,METALFISA!$B:$B,'Faltantes Fevereiro- Metalfisa'!$A387)</f>
        <v>0</v>
      </c>
      <c r="Z387" s="31">
        <f>SUMIFS(METALFISA!$E:$E,METALFISA!$A:$A,'Faltantes Fevereiro- Metalfisa'!Z$3,METALFISA!$B:$B,'Faltantes Fevereiro- Metalfisa'!$A387)</f>
        <v>0</v>
      </c>
      <c r="AA387" s="31">
        <f>SUMIFS(METALFISA!$E:$E,METALFISA!$A:$A,'Faltantes Fevereiro- Metalfisa'!AA$3,METALFISA!$B:$B,'Faltantes Fevereiro- Metalfisa'!$A387)</f>
        <v>0</v>
      </c>
      <c r="AB387" s="31">
        <f>SUMIFS(METALFISA!$E:$E,METALFISA!$A:$A,'Faltantes Fevereiro- Metalfisa'!AB$3,METALFISA!$B:$B,'Faltantes Fevereiro- Metalfisa'!$A387)</f>
        <v>0</v>
      </c>
      <c r="AC387" s="31">
        <f>SUMIFS(METALFISA!$E:$E,METALFISA!$A:$A,'Faltantes Fevereiro- Metalfisa'!AC$3,METALFISA!$B:$B,'Faltantes Fevereiro- Metalfisa'!$A387)</f>
        <v>1</v>
      </c>
      <c r="AD387" s="31">
        <f>SUMIFS(METALFISA!$E:$E,METALFISA!$A:$A,'Faltantes Fevereiro- Metalfisa'!AD$3,METALFISA!$B:$B,'Faltantes Fevereiro- Metalfisa'!$A387)</f>
        <v>0</v>
      </c>
      <c r="AE387" s="31">
        <f>SUMIFS(METALFISA!$E:$E,METALFISA!$A:$A,'Faltantes Fevereiro- Metalfisa'!AE$3,METALFISA!$B:$B,'Faltantes Fevereiro- Metalfisa'!$A387)</f>
        <v>0</v>
      </c>
      <c r="AF387" s="31">
        <f>SUMIFS(METALFISA!$E:$E,METALFISA!$A:$A,'Faltantes Fevereiro- Metalfisa'!AF$3,METALFISA!$B:$B,'Faltantes Fevereiro- Metalfisa'!$A387)</f>
        <v>0</v>
      </c>
      <c r="AG387" s="31">
        <f>SUMIFS(METALFISA!$E:$E,METALFISA!$A:$A,'Faltantes Fevereiro- Metalfisa'!AG$3,METALFISA!$B:$B,'Faltantes Fevereiro- Metalfisa'!$A387)</f>
        <v>2</v>
      </c>
      <c r="AH387" s="31">
        <f>SUMIFS(METALFISA!$E:$E,METALFISA!$A:$A,'Faltantes Fevereiro- Metalfisa'!AH$3,METALFISA!$B:$B,'Faltantes Fevereiro- Metalfisa'!$A387)</f>
        <v>0</v>
      </c>
      <c r="AI387" s="31">
        <f>SUMIFS(METALFISA!$E:$E,METALFISA!$A:$A,'Faltantes Fevereiro- Metalfisa'!AI$3,METALFISA!$B:$B,'Faltantes Fevereiro- Metalfisa'!$A387)</f>
        <v>0</v>
      </c>
      <c r="AJ387" s="31">
        <f>SUMIFS(METALFISA!$E:$E,METALFISA!$A:$A,'Faltantes Fevereiro- Metalfisa'!AJ$3,METALFISA!$B:$B,'Faltantes Fevereiro- Metalfisa'!$A387)</f>
        <v>0</v>
      </c>
      <c r="AK387" s="31">
        <f>SUMIFS(METALFISA!$E:$E,METALFISA!$A:$A,'Faltantes Fevereiro- Metalfisa'!AK$3,METALFISA!$B:$B,'Faltantes Fevereiro- Metalfisa'!$A387)</f>
        <v>0</v>
      </c>
      <c r="AL387" s="31">
        <f>SUMIFS(METALFISA!$E:$E,METALFISA!$A:$A,'Faltantes Fevereiro- Metalfisa'!AL$3,METALFISA!$B:$B,'Faltantes Fevereiro- Metalfisa'!$A387)</f>
        <v>0</v>
      </c>
      <c r="AM387" s="31">
        <f>SUMIFS(METALFISA!$E:$E,METALFISA!$A:$A,'Faltantes Fevereiro- Metalfisa'!AM$3,METALFISA!$B:$B,'Faltantes Fevereiro- Metalfisa'!$A387)</f>
        <v>0</v>
      </c>
      <c r="AN387" s="31">
        <f>SUMIFS(METALFISA!$E:$E,METALFISA!$A:$A,'Faltantes Fevereiro- Metalfisa'!AN$3,METALFISA!$B:$B,'Faltantes Fevereiro- Metalfisa'!$A387)</f>
        <v>0</v>
      </c>
      <c r="AO387" s="31">
        <f>SUMIFS(METALFISA!$E:$E,METALFISA!$A:$A,'Faltantes Fevereiro- Metalfisa'!AO$3,METALFISA!$B:$B,'Faltantes Fevereiro- Metalfisa'!$A387)</f>
        <v>0</v>
      </c>
      <c r="AP387" s="31">
        <f>SUMIFS(METALFISA!$E:$E,METALFISA!$A:$A,'Faltantes Fevereiro- Metalfisa'!AP$3,METALFISA!$B:$B,'Faltantes Fevereiro- Metalfisa'!$A387)</f>
        <v>0</v>
      </c>
      <c r="AQ387" s="31"/>
      <c r="AR387" s="31"/>
      <c r="AS387" s="35"/>
      <c r="AY387" s="41">
        <v>0</v>
      </c>
      <c r="AZ387" s="31">
        <v>0</v>
      </c>
      <c r="BA387" s="31">
        <v>0</v>
      </c>
      <c r="BB387" s="31">
        <v>0</v>
      </c>
      <c r="BC387" s="31">
        <v>0</v>
      </c>
      <c r="BD387" s="31">
        <v>0</v>
      </c>
      <c r="BE387" s="31">
        <v>0</v>
      </c>
      <c r="BF387" s="31">
        <v>0</v>
      </c>
      <c r="BG387" s="31">
        <v>0</v>
      </c>
      <c r="BH387" s="31">
        <v>0</v>
      </c>
      <c r="BI387" s="31">
        <v>0</v>
      </c>
      <c r="BJ387" s="31">
        <v>0</v>
      </c>
      <c r="BK387" s="31">
        <v>0</v>
      </c>
      <c r="BL387" s="31">
        <v>0</v>
      </c>
      <c r="BM387" s="31">
        <v>1</v>
      </c>
      <c r="BN387" s="31">
        <v>0</v>
      </c>
      <c r="BO387" s="31">
        <v>0</v>
      </c>
      <c r="BP387" s="31">
        <v>0</v>
      </c>
      <c r="BQ387" s="31">
        <v>0</v>
      </c>
      <c r="BR387" s="31">
        <v>0</v>
      </c>
      <c r="BS387" s="31">
        <v>0</v>
      </c>
      <c r="BT387" s="31">
        <v>0</v>
      </c>
      <c r="BU387" s="31">
        <v>0</v>
      </c>
      <c r="BV387" s="31">
        <v>0</v>
      </c>
      <c r="BW387" s="31">
        <v>0</v>
      </c>
      <c r="BX387" s="31">
        <v>0</v>
      </c>
      <c r="BY387" s="31">
        <v>0</v>
      </c>
      <c r="BZ387" s="31">
        <v>0</v>
      </c>
      <c r="CA387" s="31">
        <v>0</v>
      </c>
      <c r="CB387" s="31">
        <v>0</v>
      </c>
      <c r="CC387" s="31">
        <v>0</v>
      </c>
      <c r="CD387" s="31">
        <v>0</v>
      </c>
      <c r="CE387" s="31">
        <v>0</v>
      </c>
      <c r="CF387" s="31">
        <v>0</v>
      </c>
      <c r="CG387" s="31">
        <v>0</v>
      </c>
      <c r="CH387" s="31">
        <v>0</v>
      </c>
      <c r="CI387" s="31">
        <v>0</v>
      </c>
      <c r="CJ387" s="31">
        <v>0</v>
      </c>
      <c r="CK387" s="31">
        <v>0</v>
      </c>
      <c r="CL387" s="35">
        <v>0</v>
      </c>
    </row>
    <row r="388" spans="1:90" ht="21" x14ac:dyDescent="0.15">
      <c r="A388" s="31" t="s">
        <v>742</v>
      </c>
      <c r="B388" s="30" t="s">
        <v>743</v>
      </c>
      <c r="C388" s="28">
        <v>0</v>
      </c>
      <c r="D388" s="28">
        <v>0</v>
      </c>
      <c r="E388" s="28">
        <v>0</v>
      </c>
      <c r="F388" s="28">
        <v>0</v>
      </c>
      <c r="G388" s="28">
        <v>3</v>
      </c>
      <c r="H388" s="28">
        <f>IFERROR(VLOOKUP(A388,[1]FALTANTES!$A:$AB,28,FALSE),"-")</f>
        <v>0</v>
      </c>
      <c r="I388" s="42">
        <f>IFERROR(VLOOKUP(A388,[1]FALTANTES!$A:$AC,29,FALSE),"-")</f>
        <v>2</v>
      </c>
      <c r="J388" s="29">
        <f>IFERROR(VLOOKUP(A388,[1]FALTANTES!$A:$AD,30,FALSE),"-")</f>
        <v>-1</v>
      </c>
      <c r="K388" s="30">
        <v>0</v>
      </c>
      <c r="L388" s="30">
        <f t="shared" si="7"/>
        <v>1</v>
      </c>
      <c r="M388" s="31">
        <f>SUMIFS(METALFISA!$E:$E,METALFISA!$A:$A,'Faltantes Fevereiro- Metalfisa'!M$3,METALFISA!$B:$B,'Faltantes Fevereiro- Metalfisa'!$A388)</f>
        <v>0</v>
      </c>
      <c r="N388" s="31">
        <f>SUMIFS(METALFISA!$E:$E,METALFISA!$A:$A,'Faltantes Fevereiro- Metalfisa'!N$3,METALFISA!$B:$B,'Faltantes Fevereiro- Metalfisa'!$A388)</f>
        <v>0</v>
      </c>
      <c r="O388" s="31">
        <f>SUMIFS(METALFISA!$E:$E,METALFISA!$A:$A,'Faltantes Fevereiro- Metalfisa'!O$3,METALFISA!$B:$B,'Faltantes Fevereiro- Metalfisa'!$A388)</f>
        <v>0</v>
      </c>
      <c r="P388" s="31">
        <f>SUMIFS(METALFISA!$E:$E,METALFISA!$A:$A,'Faltantes Fevereiro- Metalfisa'!P$3,METALFISA!$B:$B,'Faltantes Fevereiro- Metalfisa'!$A388)</f>
        <v>0</v>
      </c>
      <c r="Q388" s="31">
        <f>SUMIFS(METALFISA!$E:$E,METALFISA!$A:$A,'Faltantes Fevereiro- Metalfisa'!Q$3,METALFISA!$B:$B,'Faltantes Fevereiro- Metalfisa'!$A388)</f>
        <v>0</v>
      </c>
      <c r="R388" s="31">
        <f>SUMIFS(METALFISA!$E:$E,METALFISA!$A:$A,'Faltantes Fevereiro- Metalfisa'!R$3,METALFISA!$B:$B,'Faltantes Fevereiro- Metalfisa'!$A388)</f>
        <v>0</v>
      </c>
      <c r="S388" s="31">
        <f>SUMIFS(METALFISA!$E:$E,METALFISA!$A:$A,'Faltantes Fevereiro- Metalfisa'!S$3,METALFISA!$B:$B,'Faltantes Fevereiro- Metalfisa'!$A388)</f>
        <v>0</v>
      </c>
      <c r="T388" s="31">
        <f>SUMIFS(METALFISA!$E:$E,METALFISA!$A:$A,'Faltantes Fevereiro- Metalfisa'!T$3,METALFISA!$B:$B,'Faltantes Fevereiro- Metalfisa'!$A388)</f>
        <v>0</v>
      </c>
      <c r="U388" s="31">
        <f>SUMIFS(METALFISA!$E:$E,METALFISA!$A:$A,'Faltantes Fevereiro- Metalfisa'!U$3,METALFISA!$B:$B,'Faltantes Fevereiro- Metalfisa'!$A388)</f>
        <v>0</v>
      </c>
      <c r="V388" s="31">
        <f>SUMIFS(METALFISA!$E:$E,METALFISA!$A:$A,'Faltantes Fevereiro- Metalfisa'!V$3,METALFISA!$B:$B,'Faltantes Fevereiro- Metalfisa'!$A388)</f>
        <v>0</v>
      </c>
      <c r="W388" s="31">
        <f>SUMIFS(METALFISA!$E:$E,METALFISA!$A:$A,'Faltantes Fevereiro- Metalfisa'!W$3,METALFISA!$B:$B,'Faltantes Fevereiro- Metalfisa'!$A388)</f>
        <v>0</v>
      </c>
      <c r="X388" s="31">
        <f>SUMIFS(METALFISA!$E:$E,METALFISA!$A:$A,'Faltantes Fevereiro- Metalfisa'!X$3,METALFISA!$B:$B,'Faltantes Fevereiro- Metalfisa'!$A388)</f>
        <v>0</v>
      </c>
      <c r="Y388" s="31">
        <f>SUMIFS(METALFISA!$E:$E,METALFISA!$A:$A,'Faltantes Fevereiro- Metalfisa'!Y$3,METALFISA!$B:$B,'Faltantes Fevereiro- Metalfisa'!$A388)</f>
        <v>0</v>
      </c>
      <c r="Z388" s="31">
        <f>SUMIFS(METALFISA!$E:$E,METALFISA!$A:$A,'Faltantes Fevereiro- Metalfisa'!Z$3,METALFISA!$B:$B,'Faltantes Fevereiro- Metalfisa'!$A388)</f>
        <v>0</v>
      </c>
      <c r="AA388" s="31">
        <f>SUMIFS(METALFISA!$E:$E,METALFISA!$A:$A,'Faltantes Fevereiro- Metalfisa'!AA$3,METALFISA!$B:$B,'Faltantes Fevereiro- Metalfisa'!$A388)</f>
        <v>0</v>
      </c>
      <c r="AB388" s="31">
        <f>SUMIFS(METALFISA!$E:$E,METALFISA!$A:$A,'Faltantes Fevereiro- Metalfisa'!AB$3,METALFISA!$B:$B,'Faltantes Fevereiro- Metalfisa'!$A388)</f>
        <v>0</v>
      </c>
      <c r="AC388" s="31">
        <f>SUMIFS(METALFISA!$E:$E,METALFISA!$A:$A,'Faltantes Fevereiro- Metalfisa'!AC$3,METALFISA!$B:$B,'Faltantes Fevereiro- Metalfisa'!$A388)</f>
        <v>1</v>
      </c>
      <c r="AD388" s="31">
        <f>SUMIFS(METALFISA!$E:$E,METALFISA!$A:$A,'Faltantes Fevereiro- Metalfisa'!AD$3,METALFISA!$B:$B,'Faltantes Fevereiro- Metalfisa'!$A388)</f>
        <v>0</v>
      </c>
      <c r="AE388" s="31">
        <f>SUMIFS(METALFISA!$E:$E,METALFISA!$A:$A,'Faltantes Fevereiro- Metalfisa'!AE$3,METALFISA!$B:$B,'Faltantes Fevereiro- Metalfisa'!$A388)</f>
        <v>0</v>
      </c>
      <c r="AF388" s="31">
        <f>SUMIFS(METALFISA!$E:$E,METALFISA!$A:$A,'Faltantes Fevereiro- Metalfisa'!AF$3,METALFISA!$B:$B,'Faltantes Fevereiro- Metalfisa'!$A388)</f>
        <v>0</v>
      </c>
      <c r="AG388" s="31">
        <f>SUMIFS(METALFISA!$E:$E,METALFISA!$A:$A,'Faltantes Fevereiro- Metalfisa'!AG$3,METALFISA!$B:$B,'Faltantes Fevereiro- Metalfisa'!$A388)</f>
        <v>0</v>
      </c>
      <c r="AH388" s="31">
        <f>SUMIFS(METALFISA!$E:$E,METALFISA!$A:$A,'Faltantes Fevereiro- Metalfisa'!AH$3,METALFISA!$B:$B,'Faltantes Fevereiro- Metalfisa'!$A388)</f>
        <v>0</v>
      </c>
      <c r="AI388" s="31">
        <f>SUMIFS(METALFISA!$E:$E,METALFISA!$A:$A,'Faltantes Fevereiro- Metalfisa'!AI$3,METALFISA!$B:$B,'Faltantes Fevereiro- Metalfisa'!$A388)</f>
        <v>0</v>
      </c>
      <c r="AJ388" s="31">
        <f>SUMIFS(METALFISA!$E:$E,METALFISA!$A:$A,'Faltantes Fevereiro- Metalfisa'!AJ$3,METALFISA!$B:$B,'Faltantes Fevereiro- Metalfisa'!$A388)</f>
        <v>0</v>
      </c>
      <c r="AK388" s="31">
        <f>SUMIFS(METALFISA!$E:$E,METALFISA!$A:$A,'Faltantes Fevereiro- Metalfisa'!AK$3,METALFISA!$B:$B,'Faltantes Fevereiro- Metalfisa'!$A388)</f>
        <v>0</v>
      </c>
      <c r="AL388" s="31">
        <f>SUMIFS(METALFISA!$E:$E,METALFISA!$A:$A,'Faltantes Fevereiro- Metalfisa'!AL$3,METALFISA!$B:$B,'Faltantes Fevereiro- Metalfisa'!$A388)</f>
        <v>0</v>
      </c>
      <c r="AM388" s="31">
        <f>SUMIFS(METALFISA!$E:$E,METALFISA!$A:$A,'Faltantes Fevereiro- Metalfisa'!AM$3,METALFISA!$B:$B,'Faltantes Fevereiro- Metalfisa'!$A388)</f>
        <v>0</v>
      </c>
      <c r="AN388" s="31">
        <f>SUMIFS(METALFISA!$E:$E,METALFISA!$A:$A,'Faltantes Fevereiro- Metalfisa'!AN$3,METALFISA!$B:$B,'Faltantes Fevereiro- Metalfisa'!$A388)</f>
        <v>0</v>
      </c>
      <c r="AO388" s="31">
        <f>SUMIFS(METALFISA!$E:$E,METALFISA!$A:$A,'Faltantes Fevereiro- Metalfisa'!AO$3,METALFISA!$B:$B,'Faltantes Fevereiro- Metalfisa'!$A388)</f>
        <v>0</v>
      </c>
      <c r="AP388" s="31">
        <f>SUMIFS(METALFISA!$E:$E,METALFISA!$A:$A,'Faltantes Fevereiro- Metalfisa'!AP$3,METALFISA!$B:$B,'Faltantes Fevereiro- Metalfisa'!$A388)</f>
        <v>0</v>
      </c>
      <c r="AQ388" s="31"/>
      <c r="AR388" s="31"/>
      <c r="AS388" s="35"/>
      <c r="AY388" s="41">
        <v>0</v>
      </c>
      <c r="AZ388" s="31">
        <v>0</v>
      </c>
      <c r="BA388" s="31">
        <v>0</v>
      </c>
      <c r="BB388" s="31">
        <v>0</v>
      </c>
      <c r="BC388" s="31">
        <v>0</v>
      </c>
      <c r="BD388" s="31">
        <v>0</v>
      </c>
      <c r="BE388" s="31">
        <v>0</v>
      </c>
      <c r="BF388" s="31">
        <v>0</v>
      </c>
      <c r="BG388" s="31">
        <v>0</v>
      </c>
      <c r="BH388" s="31">
        <v>0</v>
      </c>
      <c r="BI388" s="31">
        <v>0</v>
      </c>
      <c r="BJ388" s="31">
        <v>0</v>
      </c>
      <c r="BK388" s="31">
        <v>0</v>
      </c>
      <c r="BL388" s="31">
        <v>0</v>
      </c>
      <c r="BM388" s="31">
        <v>1</v>
      </c>
      <c r="BN388" s="31">
        <v>0</v>
      </c>
      <c r="BO388" s="31">
        <v>0</v>
      </c>
      <c r="BP388" s="31">
        <v>0</v>
      </c>
      <c r="BQ388" s="31">
        <v>0</v>
      </c>
      <c r="BR388" s="31">
        <v>0</v>
      </c>
      <c r="BS388" s="31">
        <v>0</v>
      </c>
      <c r="BT388" s="31">
        <v>0</v>
      </c>
      <c r="BU388" s="31">
        <v>0</v>
      </c>
      <c r="BV388" s="31">
        <v>0</v>
      </c>
      <c r="BW388" s="31">
        <v>0</v>
      </c>
      <c r="BX388" s="31">
        <v>0</v>
      </c>
      <c r="BY388" s="31">
        <v>0</v>
      </c>
      <c r="BZ388" s="31">
        <v>0</v>
      </c>
      <c r="CA388" s="31">
        <v>0</v>
      </c>
      <c r="CB388" s="31">
        <v>0</v>
      </c>
      <c r="CC388" s="31">
        <v>0</v>
      </c>
      <c r="CD388" s="31">
        <v>0</v>
      </c>
      <c r="CE388" s="31">
        <v>0</v>
      </c>
      <c r="CF388" s="31">
        <v>0</v>
      </c>
      <c r="CG388" s="31">
        <v>0</v>
      </c>
      <c r="CH388" s="31">
        <v>0</v>
      </c>
      <c r="CI388" s="31">
        <v>0</v>
      </c>
      <c r="CJ388" s="31">
        <v>0</v>
      </c>
      <c r="CK388" s="31">
        <v>0</v>
      </c>
      <c r="CL388" s="35">
        <v>0</v>
      </c>
    </row>
    <row r="389" spans="1:90" ht="21" x14ac:dyDescent="0.15">
      <c r="A389" s="31" t="s">
        <v>688</v>
      </c>
      <c r="B389" s="30" t="s">
        <v>689</v>
      </c>
      <c r="C389" s="28">
        <v>0</v>
      </c>
      <c r="D389" s="28">
        <v>0</v>
      </c>
      <c r="E389" s="28">
        <v>0</v>
      </c>
      <c r="F389" s="28">
        <v>0</v>
      </c>
      <c r="G389" s="28">
        <v>4</v>
      </c>
      <c r="H389" s="28">
        <f>IFERROR(VLOOKUP(A389,[1]FALTANTES!$A:$AB,28,FALSE),"-")</f>
        <v>0</v>
      </c>
      <c r="I389" s="42">
        <f>IFERROR(VLOOKUP(A389,[1]FALTANTES!$A:$AC,29,FALSE),"-")</f>
        <v>0</v>
      </c>
      <c r="J389" s="29">
        <f>IFERROR(VLOOKUP(A389,[1]FALTANTES!$A:$AD,30,FALSE),"-")</f>
        <v>-4</v>
      </c>
      <c r="K389" s="30">
        <v>0</v>
      </c>
      <c r="L389" s="30">
        <f t="shared" si="7"/>
        <v>4</v>
      </c>
      <c r="M389" s="31">
        <f>SUMIFS(METALFISA!$E:$E,METALFISA!$A:$A,'Faltantes Fevereiro- Metalfisa'!M$3,METALFISA!$B:$B,'Faltantes Fevereiro- Metalfisa'!$A389)</f>
        <v>0</v>
      </c>
      <c r="N389" s="31">
        <f>SUMIFS(METALFISA!$E:$E,METALFISA!$A:$A,'Faltantes Fevereiro- Metalfisa'!N$3,METALFISA!$B:$B,'Faltantes Fevereiro- Metalfisa'!$A389)</f>
        <v>0</v>
      </c>
      <c r="O389" s="31">
        <f>SUMIFS(METALFISA!$E:$E,METALFISA!$A:$A,'Faltantes Fevereiro- Metalfisa'!O$3,METALFISA!$B:$B,'Faltantes Fevereiro- Metalfisa'!$A389)</f>
        <v>0</v>
      </c>
      <c r="P389" s="31">
        <f>SUMIFS(METALFISA!$E:$E,METALFISA!$A:$A,'Faltantes Fevereiro- Metalfisa'!P$3,METALFISA!$B:$B,'Faltantes Fevereiro- Metalfisa'!$A389)</f>
        <v>0</v>
      </c>
      <c r="Q389" s="31">
        <f>SUMIFS(METALFISA!$E:$E,METALFISA!$A:$A,'Faltantes Fevereiro- Metalfisa'!Q$3,METALFISA!$B:$B,'Faltantes Fevereiro- Metalfisa'!$A389)</f>
        <v>0</v>
      </c>
      <c r="R389" s="31">
        <f>SUMIFS(METALFISA!$E:$E,METALFISA!$A:$A,'Faltantes Fevereiro- Metalfisa'!R$3,METALFISA!$B:$B,'Faltantes Fevereiro- Metalfisa'!$A389)</f>
        <v>0</v>
      </c>
      <c r="S389" s="31">
        <f>SUMIFS(METALFISA!$E:$E,METALFISA!$A:$A,'Faltantes Fevereiro- Metalfisa'!S$3,METALFISA!$B:$B,'Faltantes Fevereiro- Metalfisa'!$A389)</f>
        <v>0</v>
      </c>
      <c r="T389" s="31">
        <f>SUMIFS(METALFISA!$E:$E,METALFISA!$A:$A,'Faltantes Fevereiro- Metalfisa'!T$3,METALFISA!$B:$B,'Faltantes Fevereiro- Metalfisa'!$A389)</f>
        <v>0</v>
      </c>
      <c r="U389" s="31">
        <f>SUMIFS(METALFISA!$E:$E,METALFISA!$A:$A,'Faltantes Fevereiro- Metalfisa'!U$3,METALFISA!$B:$B,'Faltantes Fevereiro- Metalfisa'!$A389)</f>
        <v>0</v>
      </c>
      <c r="V389" s="31">
        <f>SUMIFS(METALFISA!$E:$E,METALFISA!$A:$A,'Faltantes Fevereiro- Metalfisa'!V$3,METALFISA!$B:$B,'Faltantes Fevereiro- Metalfisa'!$A389)</f>
        <v>0</v>
      </c>
      <c r="W389" s="31">
        <f>SUMIFS(METALFISA!$E:$E,METALFISA!$A:$A,'Faltantes Fevereiro- Metalfisa'!W$3,METALFISA!$B:$B,'Faltantes Fevereiro- Metalfisa'!$A389)</f>
        <v>0</v>
      </c>
      <c r="X389" s="31">
        <f>SUMIFS(METALFISA!$E:$E,METALFISA!$A:$A,'Faltantes Fevereiro- Metalfisa'!X$3,METALFISA!$B:$B,'Faltantes Fevereiro- Metalfisa'!$A389)</f>
        <v>0</v>
      </c>
      <c r="Y389" s="31">
        <f>SUMIFS(METALFISA!$E:$E,METALFISA!$A:$A,'Faltantes Fevereiro- Metalfisa'!Y$3,METALFISA!$B:$B,'Faltantes Fevereiro- Metalfisa'!$A389)</f>
        <v>0</v>
      </c>
      <c r="Z389" s="31">
        <f>SUMIFS(METALFISA!$E:$E,METALFISA!$A:$A,'Faltantes Fevereiro- Metalfisa'!Z$3,METALFISA!$B:$B,'Faltantes Fevereiro- Metalfisa'!$A389)</f>
        <v>0</v>
      </c>
      <c r="AA389" s="31">
        <f>SUMIFS(METALFISA!$E:$E,METALFISA!$A:$A,'Faltantes Fevereiro- Metalfisa'!AA$3,METALFISA!$B:$B,'Faltantes Fevereiro- Metalfisa'!$A389)</f>
        <v>0</v>
      </c>
      <c r="AB389" s="31">
        <f>SUMIFS(METALFISA!$E:$E,METALFISA!$A:$A,'Faltantes Fevereiro- Metalfisa'!AB$3,METALFISA!$B:$B,'Faltantes Fevereiro- Metalfisa'!$A389)</f>
        <v>0</v>
      </c>
      <c r="AC389" s="31">
        <f>SUMIFS(METALFISA!$E:$E,METALFISA!$A:$A,'Faltantes Fevereiro- Metalfisa'!AC$3,METALFISA!$B:$B,'Faltantes Fevereiro- Metalfisa'!$A389)</f>
        <v>0</v>
      </c>
      <c r="AD389" s="31">
        <f>SUMIFS(METALFISA!$E:$E,METALFISA!$A:$A,'Faltantes Fevereiro- Metalfisa'!AD$3,METALFISA!$B:$B,'Faltantes Fevereiro- Metalfisa'!$A389)</f>
        <v>0</v>
      </c>
      <c r="AE389" s="31">
        <f>SUMIFS(METALFISA!$E:$E,METALFISA!$A:$A,'Faltantes Fevereiro- Metalfisa'!AE$3,METALFISA!$B:$B,'Faltantes Fevereiro- Metalfisa'!$A389)</f>
        <v>0</v>
      </c>
      <c r="AF389" s="31">
        <f>SUMIFS(METALFISA!$E:$E,METALFISA!$A:$A,'Faltantes Fevereiro- Metalfisa'!AF$3,METALFISA!$B:$B,'Faltantes Fevereiro- Metalfisa'!$A389)</f>
        <v>0</v>
      </c>
      <c r="AG389" s="31">
        <f>SUMIFS(METALFISA!$E:$E,METALFISA!$A:$A,'Faltantes Fevereiro- Metalfisa'!AG$3,METALFISA!$B:$B,'Faltantes Fevereiro- Metalfisa'!$A389)</f>
        <v>4</v>
      </c>
      <c r="AH389" s="31">
        <f>SUMIFS(METALFISA!$E:$E,METALFISA!$A:$A,'Faltantes Fevereiro- Metalfisa'!AH$3,METALFISA!$B:$B,'Faltantes Fevereiro- Metalfisa'!$A389)</f>
        <v>0</v>
      </c>
      <c r="AI389" s="31">
        <f>SUMIFS(METALFISA!$E:$E,METALFISA!$A:$A,'Faltantes Fevereiro- Metalfisa'!AI$3,METALFISA!$B:$B,'Faltantes Fevereiro- Metalfisa'!$A389)</f>
        <v>0</v>
      </c>
      <c r="AJ389" s="31">
        <f>SUMIFS(METALFISA!$E:$E,METALFISA!$A:$A,'Faltantes Fevereiro- Metalfisa'!AJ$3,METALFISA!$B:$B,'Faltantes Fevereiro- Metalfisa'!$A389)</f>
        <v>0</v>
      </c>
      <c r="AK389" s="31">
        <f>SUMIFS(METALFISA!$E:$E,METALFISA!$A:$A,'Faltantes Fevereiro- Metalfisa'!AK$3,METALFISA!$B:$B,'Faltantes Fevereiro- Metalfisa'!$A389)</f>
        <v>0</v>
      </c>
      <c r="AL389" s="31">
        <f>SUMIFS(METALFISA!$E:$E,METALFISA!$A:$A,'Faltantes Fevereiro- Metalfisa'!AL$3,METALFISA!$B:$B,'Faltantes Fevereiro- Metalfisa'!$A389)</f>
        <v>0</v>
      </c>
      <c r="AM389" s="31">
        <f>SUMIFS(METALFISA!$E:$E,METALFISA!$A:$A,'Faltantes Fevereiro- Metalfisa'!AM$3,METALFISA!$B:$B,'Faltantes Fevereiro- Metalfisa'!$A389)</f>
        <v>0</v>
      </c>
      <c r="AN389" s="31">
        <f>SUMIFS(METALFISA!$E:$E,METALFISA!$A:$A,'Faltantes Fevereiro- Metalfisa'!AN$3,METALFISA!$B:$B,'Faltantes Fevereiro- Metalfisa'!$A389)</f>
        <v>0</v>
      </c>
      <c r="AO389" s="31">
        <f>SUMIFS(METALFISA!$E:$E,METALFISA!$A:$A,'Faltantes Fevereiro- Metalfisa'!AO$3,METALFISA!$B:$B,'Faltantes Fevereiro- Metalfisa'!$A389)</f>
        <v>0</v>
      </c>
      <c r="AP389" s="31">
        <f>SUMIFS(METALFISA!$E:$E,METALFISA!$A:$A,'Faltantes Fevereiro- Metalfisa'!AP$3,METALFISA!$B:$B,'Faltantes Fevereiro- Metalfisa'!$A389)</f>
        <v>0</v>
      </c>
      <c r="AQ389" s="31"/>
      <c r="AR389" s="31"/>
      <c r="AS389" s="35"/>
      <c r="AY389" s="41">
        <v>0</v>
      </c>
      <c r="AZ389" s="31">
        <v>0</v>
      </c>
      <c r="BA389" s="31">
        <v>0</v>
      </c>
      <c r="BB389" s="31">
        <v>0</v>
      </c>
      <c r="BC389" s="31">
        <v>0</v>
      </c>
      <c r="BD389" s="31">
        <v>0</v>
      </c>
      <c r="BE389" s="31">
        <v>0</v>
      </c>
      <c r="BF389" s="31">
        <v>0</v>
      </c>
      <c r="BG389" s="31">
        <v>0</v>
      </c>
      <c r="BH389" s="31">
        <v>0</v>
      </c>
      <c r="BI389" s="31">
        <v>0</v>
      </c>
      <c r="BJ389" s="31">
        <v>0</v>
      </c>
      <c r="BK389" s="31">
        <v>0</v>
      </c>
      <c r="BL389" s="31">
        <v>0</v>
      </c>
      <c r="BM389" s="31">
        <v>2</v>
      </c>
      <c r="BN389" s="31">
        <v>0</v>
      </c>
      <c r="BO389" s="31">
        <v>0</v>
      </c>
      <c r="BP389" s="31">
        <v>0</v>
      </c>
      <c r="BQ389" s="31">
        <v>0</v>
      </c>
      <c r="BR389" s="31">
        <v>0</v>
      </c>
      <c r="BS389" s="31">
        <v>0</v>
      </c>
      <c r="BT389" s="31">
        <v>0</v>
      </c>
      <c r="BU389" s="31">
        <v>0</v>
      </c>
      <c r="BV389" s="31">
        <v>0</v>
      </c>
      <c r="BW389" s="31">
        <v>0</v>
      </c>
      <c r="BX389" s="31">
        <v>0</v>
      </c>
      <c r="BY389" s="31">
        <v>0</v>
      </c>
      <c r="BZ389" s="31">
        <v>0</v>
      </c>
      <c r="CA389" s="31">
        <v>0</v>
      </c>
      <c r="CB389" s="31">
        <v>0</v>
      </c>
      <c r="CC389" s="31">
        <v>0</v>
      </c>
      <c r="CD389" s="31">
        <v>0</v>
      </c>
      <c r="CE389" s="31">
        <v>0</v>
      </c>
      <c r="CF389" s="31">
        <v>0</v>
      </c>
      <c r="CG389" s="31">
        <v>0</v>
      </c>
      <c r="CH389" s="31">
        <v>0</v>
      </c>
      <c r="CI389" s="31">
        <v>0</v>
      </c>
      <c r="CJ389" s="31">
        <v>0</v>
      </c>
      <c r="CK389" s="31">
        <v>0</v>
      </c>
      <c r="CL389" s="35">
        <v>0</v>
      </c>
    </row>
    <row r="390" spans="1:90" ht="31.5" x14ac:dyDescent="0.15">
      <c r="A390" s="31" t="s">
        <v>296</v>
      </c>
      <c r="B390" s="30" t="s">
        <v>297</v>
      </c>
      <c r="C390" s="28">
        <v>0</v>
      </c>
      <c r="D390" s="28">
        <v>0</v>
      </c>
      <c r="E390" s="28">
        <v>0</v>
      </c>
      <c r="F390" s="28">
        <v>0</v>
      </c>
      <c r="G390" s="28">
        <v>2</v>
      </c>
      <c r="H390" s="28">
        <f>IFERROR(VLOOKUP(A390,[1]FALTANTES!$A:$AB,28,FALSE),"-")</f>
        <v>0</v>
      </c>
      <c r="I390" s="42">
        <f>IFERROR(VLOOKUP(A390,[1]FALTANTES!$A:$AC,29,FALSE),"-")</f>
        <v>0</v>
      </c>
      <c r="J390" s="29">
        <f>IFERROR(VLOOKUP(A390,[1]FALTANTES!$A:$AD,30,FALSE),"-")</f>
        <v>-2</v>
      </c>
      <c r="K390" s="30">
        <v>0</v>
      </c>
      <c r="L390" s="30">
        <f t="shared" si="7"/>
        <v>2</v>
      </c>
      <c r="M390" s="31">
        <f>SUMIFS(METALFISA!$E:$E,METALFISA!$A:$A,'Faltantes Fevereiro- Metalfisa'!M$3,METALFISA!$B:$B,'Faltantes Fevereiro- Metalfisa'!$A390)</f>
        <v>0</v>
      </c>
      <c r="N390" s="31">
        <f>SUMIFS(METALFISA!$E:$E,METALFISA!$A:$A,'Faltantes Fevereiro- Metalfisa'!N$3,METALFISA!$B:$B,'Faltantes Fevereiro- Metalfisa'!$A390)</f>
        <v>0</v>
      </c>
      <c r="O390" s="31">
        <f>SUMIFS(METALFISA!$E:$E,METALFISA!$A:$A,'Faltantes Fevereiro- Metalfisa'!O$3,METALFISA!$B:$B,'Faltantes Fevereiro- Metalfisa'!$A390)</f>
        <v>0</v>
      </c>
      <c r="P390" s="31">
        <f>SUMIFS(METALFISA!$E:$E,METALFISA!$A:$A,'Faltantes Fevereiro- Metalfisa'!P$3,METALFISA!$B:$B,'Faltantes Fevereiro- Metalfisa'!$A390)</f>
        <v>0</v>
      </c>
      <c r="Q390" s="31">
        <f>SUMIFS(METALFISA!$E:$E,METALFISA!$A:$A,'Faltantes Fevereiro- Metalfisa'!Q$3,METALFISA!$B:$B,'Faltantes Fevereiro- Metalfisa'!$A390)</f>
        <v>0</v>
      </c>
      <c r="R390" s="31">
        <f>SUMIFS(METALFISA!$E:$E,METALFISA!$A:$A,'Faltantes Fevereiro- Metalfisa'!R$3,METALFISA!$B:$B,'Faltantes Fevereiro- Metalfisa'!$A390)</f>
        <v>0</v>
      </c>
      <c r="S390" s="31">
        <f>SUMIFS(METALFISA!$E:$E,METALFISA!$A:$A,'Faltantes Fevereiro- Metalfisa'!S$3,METALFISA!$B:$B,'Faltantes Fevereiro- Metalfisa'!$A390)</f>
        <v>0</v>
      </c>
      <c r="T390" s="31">
        <f>SUMIFS(METALFISA!$E:$E,METALFISA!$A:$A,'Faltantes Fevereiro- Metalfisa'!T$3,METALFISA!$B:$B,'Faltantes Fevereiro- Metalfisa'!$A390)</f>
        <v>0</v>
      </c>
      <c r="U390" s="31">
        <f>SUMIFS(METALFISA!$E:$E,METALFISA!$A:$A,'Faltantes Fevereiro- Metalfisa'!U$3,METALFISA!$B:$B,'Faltantes Fevereiro- Metalfisa'!$A390)</f>
        <v>0</v>
      </c>
      <c r="V390" s="31">
        <f>SUMIFS(METALFISA!$E:$E,METALFISA!$A:$A,'Faltantes Fevereiro- Metalfisa'!V$3,METALFISA!$B:$B,'Faltantes Fevereiro- Metalfisa'!$A390)</f>
        <v>0</v>
      </c>
      <c r="W390" s="31">
        <f>SUMIFS(METALFISA!$E:$E,METALFISA!$A:$A,'Faltantes Fevereiro- Metalfisa'!W$3,METALFISA!$B:$B,'Faltantes Fevereiro- Metalfisa'!$A390)</f>
        <v>0</v>
      </c>
      <c r="X390" s="31">
        <f>SUMIFS(METALFISA!$E:$E,METALFISA!$A:$A,'Faltantes Fevereiro- Metalfisa'!X$3,METALFISA!$B:$B,'Faltantes Fevereiro- Metalfisa'!$A390)</f>
        <v>0</v>
      </c>
      <c r="Y390" s="31">
        <f>SUMIFS(METALFISA!$E:$E,METALFISA!$A:$A,'Faltantes Fevereiro- Metalfisa'!Y$3,METALFISA!$B:$B,'Faltantes Fevereiro- Metalfisa'!$A390)</f>
        <v>0</v>
      </c>
      <c r="Z390" s="31">
        <f>SUMIFS(METALFISA!$E:$E,METALFISA!$A:$A,'Faltantes Fevereiro- Metalfisa'!Z$3,METALFISA!$B:$B,'Faltantes Fevereiro- Metalfisa'!$A390)</f>
        <v>0</v>
      </c>
      <c r="AA390" s="31">
        <f>SUMIFS(METALFISA!$E:$E,METALFISA!$A:$A,'Faltantes Fevereiro- Metalfisa'!AA$3,METALFISA!$B:$B,'Faltantes Fevereiro- Metalfisa'!$A390)</f>
        <v>0</v>
      </c>
      <c r="AB390" s="31">
        <f>SUMIFS(METALFISA!$E:$E,METALFISA!$A:$A,'Faltantes Fevereiro- Metalfisa'!AB$3,METALFISA!$B:$B,'Faltantes Fevereiro- Metalfisa'!$A390)</f>
        <v>0</v>
      </c>
      <c r="AC390" s="31">
        <f>SUMIFS(METALFISA!$E:$E,METALFISA!$A:$A,'Faltantes Fevereiro- Metalfisa'!AC$3,METALFISA!$B:$B,'Faltantes Fevereiro- Metalfisa'!$A390)</f>
        <v>0</v>
      </c>
      <c r="AD390" s="31">
        <f>SUMIFS(METALFISA!$E:$E,METALFISA!$A:$A,'Faltantes Fevereiro- Metalfisa'!AD$3,METALFISA!$B:$B,'Faltantes Fevereiro- Metalfisa'!$A390)</f>
        <v>0</v>
      </c>
      <c r="AE390" s="31">
        <f>SUMIFS(METALFISA!$E:$E,METALFISA!$A:$A,'Faltantes Fevereiro- Metalfisa'!AE$3,METALFISA!$B:$B,'Faltantes Fevereiro- Metalfisa'!$A390)</f>
        <v>0</v>
      </c>
      <c r="AF390" s="31">
        <f>SUMIFS(METALFISA!$E:$E,METALFISA!$A:$A,'Faltantes Fevereiro- Metalfisa'!AF$3,METALFISA!$B:$B,'Faltantes Fevereiro- Metalfisa'!$A390)</f>
        <v>0</v>
      </c>
      <c r="AG390" s="31">
        <f>SUMIFS(METALFISA!$E:$E,METALFISA!$A:$A,'Faltantes Fevereiro- Metalfisa'!AG$3,METALFISA!$B:$B,'Faltantes Fevereiro- Metalfisa'!$A390)</f>
        <v>2</v>
      </c>
      <c r="AH390" s="31">
        <f>SUMIFS(METALFISA!$E:$E,METALFISA!$A:$A,'Faltantes Fevereiro- Metalfisa'!AH$3,METALFISA!$B:$B,'Faltantes Fevereiro- Metalfisa'!$A390)</f>
        <v>0</v>
      </c>
      <c r="AI390" s="31">
        <f>SUMIFS(METALFISA!$E:$E,METALFISA!$A:$A,'Faltantes Fevereiro- Metalfisa'!AI$3,METALFISA!$B:$B,'Faltantes Fevereiro- Metalfisa'!$A390)</f>
        <v>0</v>
      </c>
      <c r="AJ390" s="31">
        <f>SUMIFS(METALFISA!$E:$E,METALFISA!$A:$A,'Faltantes Fevereiro- Metalfisa'!AJ$3,METALFISA!$B:$B,'Faltantes Fevereiro- Metalfisa'!$A390)</f>
        <v>0</v>
      </c>
      <c r="AK390" s="31">
        <f>SUMIFS(METALFISA!$E:$E,METALFISA!$A:$A,'Faltantes Fevereiro- Metalfisa'!AK$3,METALFISA!$B:$B,'Faltantes Fevereiro- Metalfisa'!$A390)</f>
        <v>0</v>
      </c>
      <c r="AL390" s="31">
        <f>SUMIFS(METALFISA!$E:$E,METALFISA!$A:$A,'Faltantes Fevereiro- Metalfisa'!AL$3,METALFISA!$B:$B,'Faltantes Fevereiro- Metalfisa'!$A390)</f>
        <v>0</v>
      </c>
      <c r="AM390" s="31">
        <f>SUMIFS(METALFISA!$E:$E,METALFISA!$A:$A,'Faltantes Fevereiro- Metalfisa'!AM$3,METALFISA!$B:$B,'Faltantes Fevereiro- Metalfisa'!$A390)</f>
        <v>0</v>
      </c>
      <c r="AN390" s="31">
        <f>SUMIFS(METALFISA!$E:$E,METALFISA!$A:$A,'Faltantes Fevereiro- Metalfisa'!AN$3,METALFISA!$B:$B,'Faltantes Fevereiro- Metalfisa'!$A390)</f>
        <v>0</v>
      </c>
      <c r="AO390" s="31">
        <f>SUMIFS(METALFISA!$E:$E,METALFISA!$A:$A,'Faltantes Fevereiro- Metalfisa'!AO$3,METALFISA!$B:$B,'Faltantes Fevereiro- Metalfisa'!$A390)</f>
        <v>0</v>
      </c>
      <c r="AP390" s="31">
        <f>SUMIFS(METALFISA!$E:$E,METALFISA!$A:$A,'Faltantes Fevereiro- Metalfisa'!AP$3,METALFISA!$B:$B,'Faltantes Fevereiro- Metalfisa'!$A390)</f>
        <v>0</v>
      </c>
      <c r="AQ390" s="31"/>
      <c r="AR390" s="31"/>
      <c r="AS390" s="35"/>
      <c r="AY390" s="41">
        <v>0</v>
      </c>
      <c r="AZ390" s="31">
        <v>0</v>
      </c>
      <c r="BA390" s="31">
        <v>0</v>
      </c>
      <c r="BB390" s="31">
        <v>0</v>
      </c>
      <c r="BC390" s="31">
        <v>0</v>
      </c>
      <c r="BD390" s="31">
        <v>0</v>
      </c>
      <c r="BE390" s="31">
        <v>0</v>
      </c>
      <c r="BF390" s="31">
        <v>0</v>
      </c>
      <c r="BG390" s="31">
        <v>0</v>
      </c>
      <c r="BH390" s="31">
        <v>0</v>
      </c>
      <c r="BI390" s="31">
        <v>0</v>
      </c>
      <c r="BJ390" s="31">
        <v>0</v>
      </c>
      <c r="BK390" s="31">
        <v>0</v>
      </c>
      <c r="BL390" s="31">
        <v>0</v>
      </c>
      <c r="BM390" s="31">
        <v>2</v>
      </c>
      <c r="BN390" s="31">
        <v>0</v>
      </c>
      <c r="BO390" s="31">
        <v>0</v>
      </c>
      <c r="BP390" s="31">
        <v>0</v>
      </c>
      <c r="BQ390" s="31">
        <v>0</v>
      </c>
      <c r="BR390" s="31">
        <v>0</v>
      </c>
      <c r="BS390" s="31">
        <v>0</v>
      </c>
      <c r="BT390" s="31">
        <v>0</v>
      </c>
      <c r="BU390" s="31">
        <v>0</v>
      </c>
      <c r="BV390" s="31">
        <v>0</v>
      </c>
      <c r="BW390" s="31">
        <v>0</v>
      </c>
      <c r="BX390" s="31">
        <v>0</v>
      </c>
      <c r="BY390" s="31">
        <v>0</v>
      </c>
      <c r="BZ390" s="31">
        <v>0</v>
      </c>
      <c r="CA390" s="31">
        <v>0</v>
      </c>
      <c r="CB390" s="31">
        <v>0</v>
      </c>
      <c r="CC390" s="31">
        <v>0</v>
      </c>
      <c r="CD390" s="31">
        <v>0</v>
      </c>
      <c r="CE390" s="31">
        <v>0</v>
      </c>
      <c r="CF390" s="31">
        <v>0</v>
      </c>
      <c r="CG390" s="31">
        <v>0</v>
      </c>
      <c r="CH390" s="31">
        <v>0</v>
      </c>
      <c r="CI390" s="31">
        <v>0</v>
      </c>
      <c r="CJ390" s="31">
        <v>0</v>
      </c>
      <c r="CK390" s="31">
        <v>0</v>
      </c>
      <c r="CL390" s="35">
        <v>0</v>
      </c>
    </row>
    <row r="391" spans="1:90" ht="21" x14ac:dyDescent="0.15">
      <c r="A391" s="31" t="s">
        <v>690</v>
      </c>
      <c r="B391" s="30" t="s">
        <v>691</v>
      </c>
      <c r="C391" s="28">
        <v>0</v>
      </c>
      <c r="D391" s="28">
        <v>0</v>
      </c>
      <c r="E391" s="28">
        <v>0</v>
      </c>
      <c r="F391" s="28">
        <v>0</v>
      </c>
      <c r="G391" s="28">
        <v>4</v>
      </c>
      <c r="H391" s="28">
        <f>IFERROR(VLOOKUP(A391,[1]FALTANTES!$A:$AB,28,FALSE),"-")</f>
        <v>0</v>
      </c>
      <c r="I391" s="42">
        <f>IFERROR(VLOOKUP(A391,[1]FALTANTES!$A:$AC,29,FALSE),"-")</f>
        <v>0</v>
      </c>
      <c r="J391" s="29">
        <f>IFERROR(VLOOKUP(A391,[1]FALTANTES!$A:$AD,30,FALSE),"-")</f>
        <v>-4</v>
      </c>
      <c r="K391" s="30">
        <v>0</v>
      </c>
      <c r="L391" s="30">
        <f t="shared" si="7"/>
        <v>4</v>
      </c>
      <c r="M391" s="31">
        <f>SUMIFS(METALFISA!$E:$E,METALFISA!$A:$A,'Faltantes Fevereiro- Metalfisa'!M$3,METALFISA!$B:$B,'Faltantes Fevereiro- Metalfisa'!$A391)</f>
        <v>0</v>
      </c>
      <c r="N391" s="31">
        <f>SUMIFS(METALFISA!$E:$E,METALFISA!$A:$A,'Faltantes Fevereiro- Metalfisa'!N$3,METALFISA!$B:$B,'Faltantes Fevereiro- Metalfisa'!$A391)</f>
        <v>0</v>
      </c>
      <c r="O391" s="31">
        <f>SUMIFS(METALFISA!$E:$E,METALFISA!$A:$A,'Faltantes Fevereiro- Metalfisa'!O$3,METALFISA!$B:$B,'Faltantes Fevereiro- Metalfisa'!$A391)</f>
        <v>0</v>
      </c>
      <c r="P391" s="31">
        <f>SUMIFS(METALFISA!$E:$E,METALFISA!$A:$A,'Faltantes Fevereiro- Metalfisa'!P$3,METALFISA!$B:$B,'Faltantes Fevereiro- Metalfisa'!$A391)</f>
        <v>0</v>
      </c>
      <c r="Q391" s="31">
        <f>SUMIFS(METALFISA!$E:$E,METALFISA!$A:$A,'Faltantes Fevereiro- Metalfisa'!Q$3,METALFISA!$B:$B,'Faltantes Fevereiro- Metalfisa'!$A391)</f>
        <v>0</v>
      </c>
      <c r="R391" s="31">
        <f>SUMIFS(METALFISA!$E:$E,METALFISA!$A:$A,'Faltantes Fevereiro- Metalfisa'!R$3,METALFISA!$B:$B,'Faltantes Fevereiro- Metalfisa'!$A391)</f>
        <v>0</v>
      </c>
      <c r="S391" s="31">
        <f>SUMIFS(METALFISA!$E:$E,METALFISA!$A:$A,'Faltantes Fevereiro- Metalfisa'!S$3,METALFISA!$B:$B,'Faltantes Fevereiro- Metalfisa'!$A391)</f>
        <v>0</v>
      </c>
      <c r="T391" s="31">
        <f>SUMIFS(METALFISA!$E:$E,METALFISA!$A:$A,'Faltantes Fevereiro- Metalfisa'!T$3,METALFISA!$B:$B,'Faltantes Fevereiro- Metalfisa'!$A391)</f>
        <v>0</v>
      </c>
      <c r="U391" s="31">
        <f>SUMIFS(METALFISA!$E:$E,METALFISA!$A:$A,'Faltantes Fevereiro- Metalfisa'!U$3,METALFISA!$B:$B,'Faltantes Fevereiro- Metalfisa'!$A391)</f>
        <v>0</v>
      </c>
      <c r="V391" s="31">
        <f>SUMIFS(METALFISA!$E:$E,METALFISA!$A:$A,'Faltantes Fevereiro- Metalfisa'!V$3,METALFISA!$B:$B,'Faltantes Fevereiro- Metalfisa'!$A391)</f>
        <v>0</v>
      </c>
      <c r="W391" s="31">
        <f>SUMIFS(METALFISA!$E:$E,METALFISA!$A:$A,'Faltantes Fevereiro- Metalfisa'!W$3,METALFISA!$B:$B,'Faltantes Fevereiro- Metalfisa'!$A391)</f>
        <v>0</v>
      </c>
      <c r="X391" s="31">
        <f>SUMIFS(METALFISA!$E:$E,METALFISA!$A:$A,'Faltantes Fevereiro- Metalfisa'!X$3,METALFISA!$B:$B,'Faltantes Fevereiro- Metalfisa'!$A391)</f>
        <v>1</v>
      </c>
      <c r="Y391" s="31">
        <f>SUMIFS(METALFISA!$E:$E,METALFISA!$A:$A,'Faltantes Fevereiro- Metalfisa'!Y$3,METALFISA!$B:$B,'Faltantes Fevereiro- Metalfisa'!$A391)</f>
        <v>0</v>
      </c>
      <c r="Z391" s="31">
        <f>SUMIFS(METALFISA!$E:$E,METALFISA!$A:$A,'Faltantes Fevereiro- Metalfisa'!Z$3,METALFISA!$B:$B,'Faltantes Fevereiro- Metalfisa'!$A391)</f>
        <v>0</v>
      </c>
      <c r="AA391" s="31">
        <f>SUMIFS(METALFISA!$E:$E,METALFISA!$A:$A,'Faltantes Fevereiro- Metalfisa'!AA$3,METALFISA!$B:$B,'Faltantes Fevereiro- Metalfisa'!$A391)</f>
        <v>0</v>
      </c>
      <c r="AB391" s="31">
        <f>SUMIFS(METALFISA!$E:$E,METALFISA!$A:$A,'Faltantes Fevereiro- Metalfisa'!AB$3,METALFISA!$B:$B,'Faltantes Fevereiro- Metalfisa'!$A391)</f>
        <v>0</v>
      </c>
      <c r="AC391" s="31">
        <f>SUMIFS(METALFISA!$E:$E,METALFISA!$A:$A,'Faltantes Fevereiro- Metalfisa'!AC$3,METALFISA!$B:$B,'Faltantes Fevereiro- Metalfisa'!$A391)</f>
        <v>1</v>
      </c>
      <c r="AD391" s="31">
        <f>SUMIFS(METALFISA!$E:$E,METALFISA!$A:$A,'Faltantes Fevereiro- Metalfisa'!AD$3,METALFISA!$B:$B,'Faltantes Fevereiro- Metalfisa'!$A391)</f>
        <v>0</v>
      </c>
      <c r="AE391" s="31">
        <f>SUMIFS(METALFISA!$E:$E,METALFISA!$A:$A,'Faltantes Fevereiro- Metalfisa'!AE$3,METALFISA!$B:$B,'Faltantes Fevereiro- Metalfisa'!$A391)</f>
        <v>0</v>
      </c>
      <c r="AF391" s="31">
        <f>SUMIFS(METALFISA!$E:$E,METALFISA!$A:$A,'Faltantes Fevereiro- Metalfisa'!AF$3,METALFISA!$B:$B,'Faltantes Fevereiro- Metalfisa'!$A391)</f>
        <v>0</v>
      </c>
      <c r="AG391" s="31">
        <f>SUMIFS(METALFISA!$E:$E,METALFISA!$A:$A,'Faltantes Fevereiro- Metalfisa'!AG$3,METALFISA!$B:$B,'Faltantes Fevereiro- Metalfisa'!$A391)</f>
        <v>2</v>
      </c>
      <c r="AH391" s="31">
        <f>SUMIFS(METALFISA!$E:$E,METALFISA!$A:$A,'Faltantes Fevereiro- Metalfisa'!AH$3,METALFISA!$B:$B,'Faltantes Fevereiro- Metalfisa'!$A391)</f>
        <v>0</v>
      </c>
      <c r="AI391" s="31">
        <f>SUMIFS(METALFISA!$E:$E,METALFISA!$A:$A,'Faltantes Fevereiro- Metalfisa'!AI$3,METALFISA!$B:$B,'Faltantes Fevereiro- Metalfisa'!$A391)</f>
        <v>0</v>
      </c>
      <c r="AJ391" s="31">
        <f>SUMIFS(METALFISA!$E:$E,METALFISA!$A:$A,'Faltantes Fevereiro- Metalfisa'!AJ$3,METALFISA!$B:$B,'Faltantes Fevereiro- Metalfisa'!$A391)</f>
        <v>0</v>
      </c>
      <c r="AK391" s="31">
        <f>SUMIFS(METALFISA!$E:$E,METALFISA!$A:$A,'Faltantes Fevereiro- Metalfisa'!AK$3,METALFISA!$B:$B,'Faltantes Fevereiro- Metalfisa'!$A391)</f>
        <v>0</v>
      </c>
      <c r="AL391" s="31">
        <f>SUMIFS(METALFISA!$E:$E,METALFISA!$A:$A,'Faltantes Fevereiro- Metalfisa'!AL$3,METALFISA!$B:$B,'Faltantes Fevereiro- Metalfisa'!$A391)</f>
        <v>0</v>
      </c>
      <c r="AM391" s="31">
        <f>SUMIFS(METALFISA!$E:$E,METALFISA!$A:$A,'Faltantes Fevereiro- Metalfisa'!AM$3,METALFISA!$B:$B,'Faltantes Fevereiro- Metalfisa'!$A391)</f>
        <v>0</v>
      </c>
      <c r="AN391" s="31">
        <f>SUMIFS(METALFISA!$E:$E,METALFISA!$A:$A,'Faltantes Fevereiro- Metalfisa'!AN$3,METALFISA!$B:$B,'Faltantes Fevereiro- Metalfisa'!$A391)</f>
        <v>0</v>
      </c>
      <c r="AO391" s="31">
        <f>SUMIFS(METALFISA!$E:$E,METALFISA!$A:$A,'Faltantes Fevereiro- Metalfisa'!AO$3,METALFISA!$B:$B,'Faltantes Fevereiro- Metalfisa'!$A391)</f>
        <v>0</v>
      </c>
      <c r="AP391" s="31">
        <f>SUMIFS(METALFISA!$E:$E,METALFISA!$A:$A,'Faltantes Fevereiro- Metalfisa'!AP$3,METALFISA!$B:$B,'Faltantes Fevereiro- Metalfisa'!$A391)</f>
        <v>0</v>
      </c>
      <c r="AQ391" s="31"/>
      <c r="AR391" s="31"/>
      <c r="AS391" s="35"/>
      <c r="AY391" s="41">
        <v>0</v>
      </c>
      <c r="AZ391" s="31">
        <v>0</v>
      </c>
      <c r="BA391" s="31">
        <v>0</v>
      </c>
      <c r="BB391" s="31">
        <v>0</v>
      </c>
      <c r="BC391" s="31">
        <v>0</v>
      </c>
      <c r="BD391" s="31">
        <v>0</v>
      </c>
      <c r="BE391" s="31">
        <v>0</v>
      </c>
      <c r="BF391" s="31">
        <v>0</v>
      </c>
      <c r="BG391" s="31">
        <v>0</v>
      </c>
      <c r="BH391" s="31">
        <v>0</v>
      </c>
      <c r="BI391" s="31">
        <v>0</v>
      </c>
      <c r="BJ391" s="31">
        <v>0</v>
      </c>
      <c r="BK391" s="31">
        <v>0</v>
      </c>
      <c r="BL391" s="31">
        <v>0</v>
      </c>
      <c r="BM391" s="31">
        <v>1</v>
      </c>
      <c r="BN391" s="31">
        <v>0</v>
      </c>
      <c r="BO391" s="31">
        <v>0</v>
      </c>
      <c r="BP391" s="31">
        <v>0</v>
      </c>
      <c r="BQ391" s="31">
        <v>0</v>
      </c>
      <c r="BR391" s="31">
        <v>0</v>
      </c>
      <c r="BS391" s="31">
        <v>0</v>
      </c>
      <c r="BT391" s="31">
        <v>0</v>
      </c>
      <c r="BU391" s="31">
        <v>0</v>
      </c>
      <c r="BV391" s="31">
        <v>0</v>
      </c>
      <c r="BW391" s="31">
        <v>0</v>
      </c>
      <c r="BX391" s="31">
        <v>0</v>
      </c>
      <c r="BY391" s="31">
        <v>0</v>
      </c>
      <c r="BZ391" s="31">
        <v>0</v>
      </c>
      <c r="CA391" s="31">
        <v>0</v>
      </c>
      <c r="CB391" s="31">
        <v>0</v>
      </c>
      <c r="CC391" s="31">
        <v>0</v>
      </c>
      <c r="CD391" s="31">
        <v>0</v>
      </c>
      <c r="CE391" s="31">
        <v>0</v>
      </c>
      <c r="CF391" s="31">
        <v>0</v>
      </c>
      <c r="CG391" s="31">
        <v>0</v>
      </c>
      <c r="CH391" s="31">
        <v>0</v>
      </c>
      <c r="CI391" s="31">
        <v>0</v>
      </c>
      <c r="CJ391" s="31">
        <v>0</v>
      </c>
      <c r="CK391" s="31">
        <v>0</v>
      </c>
      <c r="CL391" s="35">
        <v>0</v>
      </c>
    </row>
    <row r="392" spans="1:90" ht="21" x14ac:dyDescent="0.15">
      <c r="A392" s="31" t="s">
        <v>21</v>
      </c>
      <c r="B392" s="30" t="s">
        <v>110</v>
      </c>
      <c r="C392" s="28">
        <v>0</v>
      </c>
      <c r="D392" s="28">
        <v>0</v>
      </c>
      <c r="E392" s="28">
        <v>0</v>
      </c>
      <c r="F392" s="28">
        <v>0</v>
      </c>
      <c r="G392" s="28">
        <v>13</v>
      </c>
      <c r="H392" s="28">
        <f>IFERROR(VLOOKUP(A392,[1]FALTANTES!$A:$AB,28,FALSE),"-")</f>
        <v>0</v>
      </c>
      <c r="I392" s="42">
        <f>IFERROR(VLOOKUP(A392,[1]FALTANTES!$A:$AC,29,FALSE),"-")</f>
        <v>0</v>
      </c>
      <c r="J392" s="29">
        <f>IFERROR(VLOOKUP(A392,[1]FALTANTES!$A:$AD,30,FALSE),"-")</f>
        <v>-13</v>
      </c>
      <c r="K392" s="30">
        <v>0</v>
      </c>
      <c r="L392" s="30">
        <f t="shared" si="7"/>
        <v>18</v>
      </c>
      <c r="M392" s="31">
        <f>SUMIFS(METALFISA!$E:$E,METALFISA!$A:$A,'Faltantes Fevereiro- Metalfisa'!M$3,METALFISA!$B:$B,'Faltantes Fevereiro- Metalfisa'!$A392)</f>
        <v>18</v>
      </c>
      <c r="N392" s="31">
        <f>SUMIFS(METALFISA!$E:$E,METALFISA!$A:$A,'Faltantes Fevereiro- Metalfisa'!N$3,METALFISA!$B:$B,'Faltantes Fevereiro- Metalfisa'!$A392)</f>
        <v>0</v>
      </c>
      <c r="O392" s="31">
        <f>SUMIFS(METALFISA!$E:$E,METALFISA!$A:$A,'Faltantes Fevereiro- Metalfisa'!O$3,METALFISA!$B:$B,'Faltantes Fevereiro- Metalfisa'!$A392)</f>
        <v>0</v>
      </c>
      <c r="P392" s="31">
        <f>SUMIFS(METALFISA!$E:$E,METALFISA!$A:$A,'Faltantes Fevereiro- Metalfisa'!P$3,METALFISA!$B:$B,'Faltantes Fevereiro- Metalfisa'!$A392)</f>
        <v>0</v>
      </c>
      <c r="Q392" s="31">
        <f>SUMIFS(METALFISA!$E:$E,METALFISA!$A:$A,'Faltantes Fevereiro- Metalfisa'!Q$3,METALFISA!$B:$B,'Faltantes Fevereiro- Metalfisa'!$A392)</f>
        <v>0</v>
      </c>
      <c r="R392" s="31">
        <f>SUMIFS(METALFISA!$E:$E,METALFISA!$A:$A,'Faltantes Fevereiro- Metalfisa'!R$3,METALFISA!$B:$B,'Faltantes Fevereiro- Metalfisa'!$A392)</f>
        <v>0</v>
      </c>
      <c r="S392" s="31">
        <f>SUMIFS(METALFISA!$E:$E,METALFISA!$A:$A,'Faltantes Fevereiro- Metalfisa'!S$3,METALFISA!$B:$B,'Faltantes Fevereiro- Metalfisa'!$A392)</f>
        <v>0</v>
      </c>
      <c r="T392" s="31">
        <f>SUMIFS(METALFISA!$E:$E,METALFISA!$A:$A,'Faltantes Fevereiro- Metalfisa'!T$3,METALFISA!$B:$B,'Faltantes Fevereiro- Metalfisa'!$A392)</f>
        <v>0</v>
      </c>
      <c r="U392" s="31">
        <f>SUMIFS(METALFISA!$E:$E,METALFISA!$A:$A,'Faltantes Fevereiro- Metalfisa'!U$3,METALFISA!$B:$B,'Faltantes Fevereiro- Metalfisa'!$A392)</f>
        <v>0</v>
      </c>
      <c r="V392" s="31">
        <f>SUMIFS(METALFISA!$E:$E,METALFISA!$A:$A,'Faltantes Fevereiro- Metalfisa'!V$3,METALFISA!$B:$B,'Faltantes Fevereiro- Metalfisa'!$A392)</f>
        <v>0</v>
      </c>
      <c r="W392" s="31">
        <f>SUMIFS(METALFISA!$E:$E,METALFISA!$A:$A,'Faltantes Fevereiro- Metalfisa'!W$3,METALFISA!$B:$B,'Faltantes Fevereiro- Metalfisa'!$A392)</f>
        <v>0</v>
      </c>
      <c r="X392" s="31">
        <f>SUMIFS(METALFISA!$E:$E,METALFISA!$A:$A,'Faltantes Fevereiro- Metalfisa'!X$3,METALFISA!$B:$B,'Faltantes Fevereiro- Metalfisa'!$A392)</f>
        <v>0</v>
      </c>
      <c r="Y392" s="31">
        <f>SUMIFS(METALFISA!$E:$E,METALFISA!$A:$A,'Faltantes Fevereiro- Metalfisa'!Y$3,METALFISA!$B:$B,'Faltantes Fevereiro- Metalfisa'!$A392)</f>
        <v>0</v>
      </c>
      <c r="Z392" s="31">
        <f>SUMIFS(METALFISA!$E:$E,METALFISA!$A:$A,'Faltantes Fevereiro- Metalfisa'!Z$3,METALFISA!$B:$B,'Faltantes Fevereiro- Metalfisa'!$A392)</f>
        <v>0</v>
      </c>
      <c r="AA392" s="31">
        <f>SUMIFS(METALFISA!$E:$E,METALFISA!$A:$A,'Faltantes Fevereiro- Metalfisa'!AA$3,METALFISA!$B:$B,'Faltantes Fevereiro- Metalfisa'!$A392)</f>
        <v>0</v>
      </c>
      <c r="AB392" s="31">
        <f>SUMIFS(METALFISA!$E:$E,METALFISA!$A:$A,'Faltantes Fevereiro- Metalfisa'!AB$3,METALFISA!$B:$B,'Faltantes Fevereiro- Metalfisa'!$A392)</f>
        <v>0</v>
      </c>
      <c r="AC392" s="31">
        <f>SUMIFS(METALFISA!$E:$E,METALFISA!$A:$A,'Faltantes Fevereiro- Metalfisa'!AC$3,METALFISA!$B:$B,'Faltantes Fevereiro- Metalfisa'!$A392)</f>
        <v>0</v>
      </c>
      <c r="AD392" s="31">
        <f>SUMIFS(METALFISA!$E:$E,METALFISA!$A:$A,'Faltantes Fevereiro- Metalfisa'!AD$3,METALFISA!$B:$B,'Faltantes Fevereiro- Metalfisa'!$A392)</f>
        <v>0</v>
      </c>
      <c r="AE392" s="31">
        <f>SUMIFS(METALFISA!$E:$E,METALFISA!$A:$A,'Faltantes Fevereiro- Metalfisa'!AE$3,METALFISA!$B:$B,'Faltantes Fevereiro- Metalfisa'!$A392)</f>
        <v>0</v>
      </c>
      <c r="AF392" s="31">
        <f>SUMIFS(METALFISA!$E:$E,METALFISA!$A:$A,'Faltantes Fevereiro- Metalfisa'!AF$3,METALFISA!$B:$B,'Faltantes Fevereiro- Metalfisa'!$A392)</f>
        <v>0</v>
      </c>
      <c r="AG392" s="31">
        <f>SUMIFS(METALFISA!$E:$E,METALFISA!$A:$A,'Faltantes Fevereiro- Metalfisa'!AG$3,METALFISA!$B:$B,'Faltantes Fevereiro- Metalfisa'!$A392)</f>
        <v>0</v>
      </c>
      <c r="AH392" s="31">
        <f>SUMIFS(METALFISA!$E:$E,METALFISA!$A:$A,'Faltantes Fevereiro- Metalfisa'!AH$3,METALFISA!$B:$B,'Faltantes Fevereiro- Metalfisa'!$A392)</f>
        <v>0</v>
      </c>
      <c r="AI392" s="31">
        <f>SUMIFS(METALFISA!$E:$E,METALFISA!$A:$A,'Faltantes Fevereiro- Metalfisa'!AI$3,METALFISA!$B:$B,'Faltantes Fevereiro- Metalfisa'!$A392)</f>
        <v>0</v>
      </c>
      <c r="AJ392" s="31">
        <f>SUMIFS(METALFISA!$E:$E,METALFISA!$A:$A,'Faltantes Fevereiro- Metalfisa'!AJ$3,METALFISA!$B:$B,'Faltantes Fevereiro- Metalfisa'!$A392)</f>
        <v>0</v>
      </c>
      <c r="AK392" s="31">
        <f>SUMIFS(METALFISA!$E:$E,METALFISA!$A:$A,'Faltantes Fevereiro- Metalfisa'!AK$3,METALFISA!$B:$B,'Faltantes Fevereiro- Metalfisa'!$A392)</f>
        <v>0</v>
      </c>
      <c r="AL392" s="31">
        <f>SUMIFS(METALFISA!$E:$E,METALFISA!$A:$A,'Faltantes Fevereiro- Metalfisa'!AL$3,METALFISA!$B:$B,'Faltantes Fevereiro- Metalfisa'!$A392)</f>
        <v>0</v>
      </c>
      <c r="AM392" s="31">
        <f>SUMIFS(METALFISA!$E:$E,METALFISA!$A:$A,'Faltantes Fevereiro- Metalfisa'!AM$3,METALFISA!$B:$B,'Faltantes Fevereiro- Metalfisa'!$A392)</f>
        <v>0</v>
      </c>
      <c r="AN392" s="31">
        <f>SUMIFS(METALFISA!$E:$E,METALFISA!$A:$A,'Faltantes Fevereiro- Metalfisa'!AN$3,METALFISA!$B:$B,'Faltantes Fevereiro- Metalfisa'!$A392)</f>
        <v>0</v>
      </c>
      <c r="AO392" s="31">
        <f>SUMIFS(METALFISA!$E:$E,METALFISA!$A:$A,'Faltantes Fevereiro- Metalfisa'!AO$3,METALFISA!$B:$B,'Faltantes Fevereiro- Metalfisa'!$A392)</f>
        <v>0</v>
      </c>
      <c r="AP392" s="31">
        <f>SUMIFS(METALFISA!$E:$E,METALFISA!$A:$A,'Faltantes Fevereiro- Metalfisa'!AP$3,METALFISA!$B:$B,'Faltantes Fevereiro- Metalfisa'!$A392)</f>
        <v>0</v>
      </c>
      <c r="AQ392" s="31"/>
      <c r="AR392" s="31"/>
      <c r="AS392" s="35"/>
      <c r="AY392" s="41">
        <v>0</v>
      </c>
      <c r="AZ392" s="31">
        <v>0</v>
      </c>
      <c r="BA392" s="31">
        <v>0</v>
      </c>
      <c r="BB392" s="31">
        <v>0</v>
      </c>
      <c r="BC392" s="31">
        <v>0</v>
      </c>
      <c r="BD392" s="31">
        <v>0</v>
      </c>
      <c r="BE392" s="31">
        <v>0</v>
      </c>
      <c r="BF392" s="31">
        <v>0</v>
      </c>
      <c r="BG392" s="31">
        <v>0</v>
      </c>
      <c r="BH392" s="31">
        <v>0</v>
      </c>
      <c r="BI392" s="31">
        <v>0</v>
      </c>
      <c r="BJ392" s="31">
        <v>0</v>
      </c>
      <c r="BK392" s="31">
        <v>1</v>
      </c>
      <c r="BL392" s="31">
        <v>0</v>
      </c>
      <c r="BM392" s="31">
        <v>0</v>
      </c>
      <c r="BN392" s="31">
        <v>0</v>
      </c>
      <c r="BO392" s="31">
        <v>0</v>
      </c>
      <c r="BP392" s="31">
        <v>0</v>
      </c>
      <c r="BQ392" s="31">
        <v>0</v>
      </c>
      <c r="BR392" s="31">
        <v>0</v>
      </c>
      <c r="BS392" s="31">
        <v>0</v>
      </c>
      <c r="BT392" s="31">
        <v>0</v>
      </c>
      <c r="BU392" s="31">
        <v>0</v>
      </c>
      <c r="BV392" s="31">
        <v>0</v>
      </c>
      <c r="BW392" s="31">
        <v>0</v>
      </c>
      <c r="BX392" s="31">
        <v>0</v>
      </c>
      <c r="BY392" s="31">
        <v>0</v>
      </c>
      <c r="BZ392" s="31">
        <v>0</v>
      </c>
      <c r="CA392" s="31">
        <v>0</v>
      </c>
      <c r="CB392" s="31">
        <v>0</v>
      </c>
      <c r="CC392" s="31">
        <v>0</v>
      </c>
      <c r="CD392" s="31">
        <v>0</v>
      </c>
      <c r="CE392" s="31">
        <v>0</v>
      </c>
      <c r="CF392" s="31">
        <v>0</v>
      </c>
      <c r="CG392" s="31">
        <v>0</v>
      </c>
      <c r="CH392" s="31">
        <v>0</v>
      </c>
      <c r="CI392" s="31">
        <v>0</v>
      </c>
      <c r="CJ392" s="31">
        <v>0</v>
      </c>
      <c r="CK392" s="31">
        <v>0</v>
      </c>
      <c r="CL392" s="35">
        <v>0</v>
      </c>
    </row>
    <row r="393" spans="1:90" ht="21" x14ac:dyDescent="0.15">
      <c r="A393" s="31" t="s">
        <v>28</v>
      </c>
      <c r="B393" s="30" t="s">
        <v>38</v>
      </c>
      <c r="C393" s="28">
        <v>0</v>
      </c>
      <c r="D393" s="28">
        <v>0</v>
      </c>
      <c r="E393" s="28">
        <v>0</v>
      </c>
      <c r="F393" s="28">
        <v>0</v>
      </c>
      <c r="G393" s="28">
        <v>19</v>
      </c>
      <c r="H393" s="28">
        <f>IFERROR(VLOOKUP(A393,[1]FALTANTES!$A:$AB,28,FALSE),"-")</f>
        <v>0</v>
      </c>
      <c r="I393" s="42">
        <f>IFERROR(VLOOKUP(A393,[1]FALTANTES!$A:$AC,29,FALSE),"-")</f>
        <v>0</v>
      </c>
      <c r="J393" s="29">
        <f>IFERROR(VLOOKUP(A393,[1]FALTANTES!$A:$AD,30,FALSE),"-")</f>
        <v>-19</v>
      </c>
      <c r="K393" s="30">
        <v>0</v>
      </c>
      <c r="L393" s="30">
        <f t="shared" si="7"/>
        <v>33</v>
      </c>
      <c r="M393" s="31">
        <f>SUMIFS(METALFISA!$E:$E,METALFISA!$A:$A,'Faltantes Fevereiro- Metalfisa'!M$3,METALFISA!$B:$B,'Faltantes Fevereiro- Metalfisa'!$A393)</f>
        <v>0</v>
      </c>
      <c r="N393" s="31">
        <f>SUMIFS(METALFISA!$E:$E,METALFISA!$A:$A,'Faltantes Fevereiro- Metalfisa'!N$3,METALFISA!$B:$B,'Faltantes Fevereiro- Metalfisa'!$A393)</f>
        <v>0</v>
      </c>
      <c r="O393" s="31">
        <f>SUMIFS(METALFISA!$E:$E,METALFISA!$A:$A,'Faltantes Fevereiro- Metalfisa'!O$3,METALFISA!$B:$B,'Faltantes Fevereiro- Metalfisa'!$A393)</f>
        <v>0</v>
      </c>
      <c r="P393" s="31">
        <f>SUMIFS(METALFISA!$E:$E,METALFISA!$A:$A,'Faltantes Fevereiro- Metalfisa'!P$3,METALFISA!$B:$B,'Faltantes Fevereiro- Metalfisa'!$A393)</f>
        <v>0</v>
      </c>
      <c r="Q393" s="31">
        <f>SUMIFS(METALFISA!$E:$E,METALFISA!$A:$A,'Faltantes Fevereiro- Metalfisa'!Q$3,METALFISA!$B:$B,'Faltantes Fevereiro- Metalfisa'!$A393)</f>
        <v>0</v>
      </c>
      <c r="R393" s="31">
        <f>SUMIFS(METALFISA!$E:$E,METALFISA!$A:$A,'Faltantes Fevereiro- Metalfisa'!R$3,METALFISA!$B:$B,'Faltantes Fevereiro- Metalfisa'!$A393)</f>
        <v>0</v>
      </c>
      <c r="S393" s="31">
        <f>SUMIFS(METALFISA!$E:$E,METALFISA!$A:$A,'Faltantes Fevereiro- Metalfisa'!S$3,METALFISA!$B:$B,'Faltantes Fevereiro- Metalfisa'!$A393)</f>
        <v>0</v>
      </c>
      <c r="T393" s="31">
        <f>SUMIFS(METALFISA!$E:$E,METALFISA!$A:$A,'Faltantes Fevereiro- Metalfisa'!T$3,METALFISA!$B:$B,'Faltantes Fevereiro- Metalfisa'!$A393)</f>
        <v>0</v>
      </c>
      <c r="U393" s="31">
        <f>SUMIFS(METALFISA!$E:$E,METALFISA!$A:$A,'Faltantes Fevereiro- Metalfisa'!U$3,METALFISA!$B:$B,'Faltantes Fevereiro- Metalfisa'!$A393)</f>
        <v>0</v>
      </c>
      <c r="V393" s="31">
        <f>SUMIFS(METALFISA!$E:$E,METALFISA!$A:$A,'Faltantes Fevereiro- Metalfisa'!V$3,METALFISA!$B:$B,'Faltantes Fevereiro- Metalfisa'!$A393)</f>
        <v>0</v>
      </c>
      <c r="W393" s="31">
        <f>SUMIFS(METALFISA!$E:$E,METALFISA!$A:$A,'Faltantes Fevereiro- Metalfisa'!W$3,METALFISA!$B:$B,'Faltantes Fevereiro- Metalfisa'!$A393)</f>
        <v>0</v>
      </c>
      <c r="X393" s="31">
        <f>SUMIFS(METALFISA!$E:$E,METALFISA!$A:$A,'Faltantes Fevereiro- Metalfisa'!X$3,METALFISA!$B:$B,'Faltantes Fevereiro- Metalfisa'!$A393)</f>
        <v>0</v>
      </c>
      <c r="Y393" s="31">
        <f>SUMIFS(METALFISA!$E:$E,METALFISA!$A:$A,'Faltantes Fevereiro- Metalfisa'!Y$3,METALFISA!$B:$B,'Faltantes Fevereiro- Metalfisa'!$A393)</f>
        <v>0</v>
      </c>
      <c r="Z393" s="31">
        <f>SUMIFS(METALFISA!$E:$E,METALFISA!$A:$A,'Faltantes Fevereiro- Metalfisa'!Z$3,METALFISA!$B:$B,'Faltantes Fevereiro- Metalfisa'!$A393)</f>
        <v>0</v>
      </c>
      <c r="AA393" s="31">
        <f>SUMIFS(METALFISA!$E:$E,METALFISA!$A:$A,'Faltantes Fevereiro- Metalfisa'!AA$3,METALFISA!$B:$B,'Faltantes Fevereiro- Metalfisa'!$A393)</f>
        <v>0</v>
      </c>
      <c r="AB393" s="31">
        <f>SUMIFS(METALFISA!$E:$E,METALFISA!$A:$A,'Faltantes Fevereiro- Metalfisa'!AB$3,METALFISA!$B:$B,'Faltantes Fevereiro- Metalfisa'!$A393)</f>
        <v>0</v>
      </c>
      <c r="AC393" s="31">
        <f>SUMIFS(METALFISA!$E:$E,METALFISA!$A:$A,'Faltantes Fevereiro- Metalfisa'!AC$3,METALFISA!$B:$B,'Faltantes Fevereiro- Metalfisa'!$A393)</f>
        <v>0</v>
      </c>
      <c r="AD393" s="31">
        <f>SUMIFS(METALFISA!$E:$E,METALFISA!$A:$A,'Faltantes Fevereiro- Metalfisa'!AD$3,METALFISA!$B:$B,'Faltantes Fevereiro- Metalfisa'!$A393)</f>
        <v>0</v>
      </c>
      <c r="AE393" s="31">
        <f>SUMIFS(METALFISA!$E:$E,METALFISA!$A:$A,'Faltantes Fevereiro- Metalfisa'!AE$3,METALFISA!$B:$B,'Faltantes Fevereiro- Metalfisa'!$A393)</f>
        <v>0</v>
      </c>
      <c r="AF393" s="31">
        <f>SUMIFS(METALFISA!$E:$E,METALFISA!$A:$A,'Faltantes Fevereiro- Metalfisa'!AF$3,METALFISA!$B:$B,'Faltantes Fevereiro- Metalfisa'!$A393)</f>
        <v>0</v>
      </c>
      <c r="AG393" s="31">
        <f>SUMIFS(METALFISA!$E:$E,METALFISA!$A:$A,'Faltantes Fevereiro- Metalfisa'!AG$3,METALFISA!$B:$B,'Faltantes Fevereiro- Metalfisa'!$A393)</f>
        <v>0</v>
      </c>
      <c r="AH393" s="31">
        <f>SUMIFS(METALFISA!$E:$E,METALFISA!$A:$A,'Faltantes Fevereiro- Metalfisa'!AH$3,METALFISA!$B:$B,'Faltantes Fevereiro- Metalfisa'!$A393)</f>
        <v>0</v>
      </c>
      <c r="AI393" s="31">
        <f>SUMIFS(METALFISA!$E:$E,METALFISA!$A:$A,'Faltantes Fevereiro- Metalfisa'!AI$3,METALFISA!$B:$B,'Faltantes Fevereiro- Metalfisa'!$A393)</f>
        <v>14</v>
      </c>
      <c r="AJ393" s="31">
        <f>SUMIFS(METALFISA!$E:$E,METALFISA!$A:$A,'Faltantes Fevereiro- Metalfisa'!AJ$3,METALFISA!$B:$B,'Faltantes Fevereiro- Metalfisa'!$A393)</f>
        <v>0</v>
      </c>
      <c r="AK393" s="31">
        <f>SUMIFS(METALFISA!$E:$E,METALFISA!$A:$A,'Faltantes Fevereiro- Metalfisa'!AK$3,METALFISA!$B:$B,'Faltantes Fevereiro- Metalfisa'!$A393)</f>
        <v>0</v>
      </c>
      <c r="AL393" s="31">
        <f>SUMIFS(METALFISA!$E:$E,METALFISA!$A:$A,'Faltantes Fevereiro- Metalfisa'!AL$3,METALFISA!$B:$B,'Faltantes Fevereiro- Metalfisa'!$A393)</f>
        <v>0</v>
      </c>
      <c r="AM393" s="31">
        <f>SUMIFS(METALFISA!$E:$E,METALFISA!$A:$A,'Faltantes Fevereiro- Metalfisa'!AM$3,METALFISA!$B:$B,'Faltantes Fevereiro- Metalfisa'!$A393)</f>
        <v>5</v>
      </c>
      <c r="AN393" s="31">
        <f>SUMIFS(METALFISA!$E:$E,METALFISA!$A:$A,'Faltantes Fevereiro- Metalfisa'!AN$3,METALFISA!$B:$B,'Faltantes Fevereiro- Metalfisa'!$A393)</f>
        <v>14</v>
      </c>
      <c r="AO393" s="31">
        <f>SUMIFS(METALFISA!$E:$E,METALFISA!$A:$A,'Faltantes Fevereiro- Metalfisa'!AO$3,METALFISA!$B:$B,'Faltantes Fevereiro- Metalfisa'!$A393)</f>
        <v>0</v>
      </c>
      <c r="AP393" s="31">
        <f>SUMIFS(METALFISA!$E:$E,METALFISA!$A:$A,'Faltantes Fevereiro- Metalfisa'!AP$3,METALFISA!$B:$B,'Faltantes Fevereiro- Metalfisa'!$A393)</f>
        <v>0</v>
      </c>
      <c r="AQ393" s="31"/>
      <c r="AR393" s="31"/>
      <c r="AS393" s="35"/>
      <c r="AY393" s="41">
        <v>0</v>
      </c>
      <c r="AZ393" s="31">
        <v>0</v>
      </c>
      <c r="BA393" s="31">
        <v>0</v>
      </c>
      <c r="BB393" s="31">
        <v>0</v>
      </c>
      <c r="BC393" s="31">
        <v>0</v>
      </c>
      <c r="BD393" s="31">
        <v>0</v>
      </c>
      <c r="BE393" s="31">
        <v>0</v>
      </c>
      <c r="BF393" s="31">
        <v>0</v>
      </c>
      <c r="BG393" s="31">
        <v>0</v>
      </c>
      <c r="BH393" s="31">
        <v>0</v>
      </c>
      <c r="BI393" s="31">
        <v>0</v>
      </c>
      <c r="BJ393" s="31">
        <v>0</v>
      </c>
      <c r="BK393" s="31">
        <v>2</v>
      </c>
      <c r="BL393" s="31">
        <v>0</v>
      </c>
      <c r="BM393" s="31">
        <v>0</v>
      </c>
      <c r="BN393" s="31">
        <v>0</v>
      </c>
      <c r="BO393" s="31">
        <v>0</v>
      </c>
      <c r="BP393" s="31">
        <v>0</v>
      </c>
      <c r="BQ393" s="31">
        <v>0</v>
      </c>
      <c r="BR393" s="31">
        <v>0</v>
      </c>
      <c r="BS393" s="31">
        <v>0</v>
      </c>
      <c r="BT393" s="31">
        <v>0</v>
      </c>
      <c r="BU393" s="31">
        <v>0</v>
      </c>
      <c r="BV393" s="31">
        <v>0</v>
      </c>
      <c r="BW393" s="31">
        <v>0</v>
      </c>
      <c r="BX393" s="31">
        <v>0</v>
      </c>
      <c r="BY393" s="31">
        <v>0</v>
      </c>
      <c r="BZ393" s="31">
        <v>0</v>
      </c>
      <c r="CA393" s="31">
        <v>0</v>
      </c>
      <c r="CB393" s="31">
        <v>0</v>
      </c>
      <c r="CC393" s="31">
        <v>0</v>
      </c>
      <c r="CD393" s="31">
        <v>0</v>
      </c>
      <c r="CE393" s="31">
        <v>0</v>
      </c>
      <c r="CF393" s="31">
        <v>0</v>
      </c>
      <c r="CG393" s="31">
        <v>0</v>
      </c>
      <c r="CH393" s="31">
        <v>0</v>
      </c>
      <c r="CI393" s="31">
        <v>0</v>
      </c>
      <c r="CJ393" s="31">
        <v>0</v>
      </c>
      <c r="CK393" s="31">
        <v>0</v>
      </c>
      <c r="CL393" s="35">
        <v>0</v>
      </c>
    </row>
    <row r="394" spans="1:90" ht="21" x14ac:dyDescent="0.15">
      <c r="A394" s="31" t="s">
        <v>34</v>
      </c>
      <c r="B394" s="30" t="s">
        <v>111</v>
      </c>
      <c r="C394" s="28">
        <v>0</v>
      </c>
      <c r="D394" s="28">
        <v>0</v>
      </c>
      <c r="E394" s="28">
        <v>0</v>
      </c>
      <c r="F394" s="28">
        <v>0</v>
      </c>
      <c r="G394" s="28">
        <v>16</v>
      </c>
      <c r="H394" s="28">
        <f>IFERROR(VLOOKUP(A394,[1]FALTANTES!$A:$AB,28,FALSE),"-")</f>
        <v>0</v>
      </c>
      <c r="I394" s="42">
        <f>IFERROR(VLOOKUP(A394,[1]FALTANTES!$A:$AC,29,FALSE),"-")</f>
        <v>14</v>
      </c>
      <c r="J394" s="29">
        <f>IFERROR(VLOOKUP(A394,[1]FALTANTES!$A:$AD,30,FALSE),"-")</f>
        <v>-2</v>
      </c>
      <c r="K394" s="30"/>
      <c r="L394" s="30">
        <f t="shared" si="7"/>
        <v>2</v>
      </c>
      <c r="M394" s="31">
        <f>SUMIFS(METALFISA!$E:$E,METALFISA!$A:$A,'Faltantes Fevereiro- Metalfisa'!M$3,METALFISA!$B:$B,'Faltantes Fevereiro- Metalfisa'!$A394)</f>
        <v>0</v>
      </c>
      <c r="N394" s="31">
        <f>SUMIFS(METALFISA!$E:$E,METALFISA!$A:$A,'Faltantes Fevereiro- Metalfisa'!N$3,METALFISA!$B:$B,'Faltantes Fevereiro- Metalfisa'!$A394)</f>
        <v>0</v>
      </c>
      <c r="O394" s="31">
        <f>SUMIFS(METALFISA!$E:$E,METALFISA!$A:$A,'Faltantes Fevereiro- Metalfisa'!O$3,METALFISA!$B:$B,'Faltantes Fevereiro- Metalfisa'!$A394)</f>
        <v>0</v>
      </c>
      <c r="P394" s="31">
        <f>SUMIFS(METALFISA!$E:$E,METALFISA!$A:$A,'Faltantes Fevereiro- Metalfisa'!P$3,METALFISA!$B:$B,'Faltantes Fevereiro- Metalfisa'!$A394)</f>
        <v>0</v>
      </c>
      <c r="Q394" s="31">
        <f>SUMIFS(METALFISA!$E:$E,METALFISA!$A:$A,'Faltantes Fevereiro- Metalfisa'!Q$3,METALFISA!$B:$B,'Faltantes Fevereiro- Metalfisa'!$A394)</f>
        <v>0</v>
      </c>
      <c r="R394" s="31">
        <f>SUMIFS(METALFISA!$E:$E,METALFISA!$A:$A,'Faltantes Fevereiro- Metalfisa'!R$3,METALFISA!$B:$B,'Faltantes Fevereiro- Metalfisa'!$A394)</f>
        <v>0</v>
      </c>
      <c r="S394" s="31">
        <f>SUMIFS(METALFISA!$E:$E,METALFISA!$A:$A,'Faltantes Fevereiro- Metalfisa'!S$3,METALFISA!$B:$B,'Faltantes Fevereiro- Metalfisa'!$A394)</f>
        <v>0</v>
      </c>
      <c r="T394" s="31">
        <f>SUMIFS(METALFISA!$E:$E,METALFISA!$A:$A,'Faltantes Fevereiro- Metalfisa'!T$3,METALFISA!$B:$B,'Faltantes Fevereiro- Metalfisa'!$A394)</f>
        <v>0</v>
      </c>
      <c r="U394" s="31">
        <f>SUMIFS(METALFISA!$E:$E,METALFISA!$A:$A,'Faltantes Fevereiro- Metalfisa'!U$3,METALFISA!$B:$B,'Faltantes Fevereiro- Metalfisa'!$A394)</f>
        <v>0</v>
      </c>
      <c r="V394" s="31">
        <f>SUMIFS(METALFISA!$E:$E,METALFISA!$A:$A,'Faltantes Fevereiro- Metalfisa'!V$3,METALFISA!$B:$B,'Faltantes Fevereiro- Metalfisa'!$A394)</f>
        <v>0</v>
      </c>
      <c r="W394" s="31">
        <f>SUMIFS(METALFISA!$E:$E,METALFISA!$A:$A,'Faltantes Fevereiro- Metalfisa'!W$3,METALFISA!$B:$B,'Faltantes Fevereiro- Metalfisa'!$A394)</f>
        <v>0</v>
      </c>
      <c r="X394" s="31">
        <f>SUMIFS(METALFISA!$E:$E,METALFISA!$A:$A,'Faltantes Fevereiro- Metalfisa'!X$3,METALFISA!$B:$B,'Faltantes Fevereiro- Metalfisa'!$A394)</f>
        <v>0</v>
      </c>
      <c r="Y394" s="31">
        <f>SUMIFS(METALFISA!$E:$E,METALFISA!$A:$A,'Faltantes Fevereiro- Metalfisa'!Y$3,METALFISA!$B:$B,'Faltantes Fevereiro- Metalfisa'!$A394)</f>
        <v>0</v>
      </c>
      <c r="Z394" s="31">
        <f>SUMIFS(METALFISA!$E:$E,METALFISA!$A:$A,'Faltantes Fevereiro- Metalfisa'!Z$3,METALFISA!$B:$B,'Faltantes Fevereiro- Metalfisa'!$A394)</f>
        <v>0</v>
      </c>
      <c r="AA394" s="31">
        <f>SUMIFS(METALFISA!$E:$E,METALFISA!$A:$A,'Faltantes Fevereiro- Metalfisa'!AA$3,METALFISA!$B:$B,'Faltantes Fevereiro- Metalfisa'!$A394)</f>
        <v>0</v>
      </c>
      <c r="AB394" s="31">
        <f>SUMIFS(METALFISA!$E:$E,METALFISA!$A:$A,'Faltantes Fevereiro- Metalfisa'!AB$3,METALFISA!$B:$B,'Faltantes Fevereiro- Metalfisa'!$A394)</f>
        <v>2</v>
      </c>
      <c r="AC394" s="31">
        <f>SUMIFS(METALFISA!$E:$E,METALFISA!$A:$A,'Faltantes Fevereiro- Metalfisa'!AC$3,METALFISA!$B:$B,'Faltantes Fevereiro- Metalfisa'!$A394)</f>
        <v>0</v>
      </c>
      <c r="AD394" s="31">
        <f>SUMIFS(METALFISA!$E:$E,METALFISA!$A:$A,'Faltantes Fevereiro- Metalfisa'!AD$3,METALFISA!$B:$B,'Faltantes Fevereiro- Metalfisa'!$A394)</f>
        <v>0</v>
      </c>
      <c r="AE394" s="31">
        <f>SUMIFS(METALFISA!$E:$E,METALFISA!$A:$A,'Faltantes Fevereiro- Metalfisa'!AE$3,METALFISA!$B:$B,'Faltantes Fevereiro- Metalfisa'!$A394)</f>
        <v>0</v>
      </c>
      <c r="AF394" s="31">
        <f>SUMIFS(METALFISA!$E:$E,METALFISA!$A:$A,'Faltantes Fevereiro- Metalfisa'!AF$3,METALFISA!$B:$B,'Faltantes Fevereiro- Metalfisa'!$A394)</f>
        <v>0</v>
      </c>
      <c r="AG394" s="31">
        <f>SUMIFS(METALFISA!$E:$E,METALFISA!$A:$A,'Faltantes Fevereiro- Metalfisa'!AG$3,METALFISA!$B:$B,'Faltantes Fevereiro- Metalfisa'!$A394)</f>
        <v>0</v>
      </c>
      <c r="AH394" s="31">
        <f>SUMIFS(METALFISA!$E:$E,METALFISA!$A:$A,'Faltantes Fevereiro- Metalfisa'!AH$3,METALFISA!$B:$B,'Faltantes Fevereiro- Metalfisa'!$A394)</f>
        <v>0</v>
      </c>
      <c r="AI394" s="31">
        <f>SUMIFS(METALFISA!$E:$E,METALFISA!$A:$A,'Faltantes Fevereiro- Metalfisa'!AI$3,METALFISA!$B:$B,'Faltantes Fevereiro- Metalfisa'!$A394)</f>
        <v>0</v>
      </c>
      <c r="AJ394" s="31">
        <f>SUMIFS(METALFISA!$E:$E,METALFISA!$A:$A,'Faltantes Fevereiro- Metalfisa'!AJ$3,METALFISA!$B:$B,'Faltantes Fevereiro- Metalfisa'!$A394)</f>
        <v>0</v>
      </c>
      <c r="AK394" s="31">
        <f>SUMIFS(METALFISA!$E:$E,METALFISA!$A:$A,'Faltantes Fevereiro- Metalfisa'!AK$3,METALFISA!$B:$B,'Faltantes Fevereiro- Metalfisa'!$A394)</f>
        <v>0</v>
      </c>
      <c r="AL394" s="31">
        <f>SUMIFS(METALFISA!$E:$E,METALFISA!$A:$A,'Faltantes Fevereiro- Metalfisa'!AL$3,METALFISA!$B:$B,'Faltantes Fevereiro- Metalfisa'!$A394)</f>
        <v>0</v>
      </c>
      <c r="AM394" s="31">
        <f>SUMIFS(METALFISA!$E:$E,METALFISA!$A:$A,'Faltantes Fevereiro- Metalfisa'!AM$3,METALFISA!$B:$B,'Faltantes Fevereiro- Metalfisa'!$A394)</f>
        <v>0</v>
      </c>
      <c r="AN394" s="31">
        <f>SUMIFS(METALFISA!$E:$E,METALFISA!$A:$A,'Faltantes Fevereiro- Metalfisa'!AN$3,METALFISA!$B:$B,'Faltantes Fevereiro- Metalfisa'!$A394)</f>
        <v>0</v>
      </c>
      <c r="AO394" s="31">
        <f>SUMIFS(METALFISA!$E:$E,METALFISA!$A:$A,'Faltantes Fevereiro- Metalfisa'!AO$3,METALFISA!$B:$B,'Faltantes Fevereiro- Metalfisa'!$A394)</f>
        <v>0</v>
      </c>
      <c r="AP394" s="31">
        <f>SUMIFS(METALFISA!$E:$E,METALFISA!$A:$A,'Faltantes Fevereiro- Metalfisa'!AP$3,METALFISA!$B:$B,'Faltantes Fevereiro- Metalfisa'!$A394)</f>
        <v>0</v>
      </c>
      <c r="AQ394" s="31"/>
      <c r="AR394" s="31"/>
      <c r="AS394" s="35"/>
      <c r="AY394" s="41">
        <v>0</v>
      </c>
      <c r="AZ394" s="31">
        <v>0</v>
      </c>
      <c r="BA394" s="31">
        <v>0</v>
      </c>
      <c r="BB394" s="31">
        <v>0</v>
      </c>
      <c r="BC394" s="31">
        <v>0</v>
      </c>
      <c r="BD394" s="31">
        <v>0</v>
      </c>
      <c r="BE394" s="31">
        <v>0</v>
      </c>
      <c r="BF394" s="31">
        <v>0</v>
      </c>
      <c r="BG394" s="31">
        <v>0</v>
      </c>
      <c r="BH394" s="31">
        <v>0</v>
      </c>
      <c r="BI394" s="31">
        <v>0</v>
      </c>
      <c r="BJ394" s="31">
        <v>0</v>
      </c>
      <c r="BK394" s="31">
        <v>2</v>
      </c>
      <c r="BL394" s="31">
        <v>0</v>
      </c>
      <c r="BM394" s="31">
        <v>0</v>
      </c>
      <c r="BN394" s="31">
        <v>0</v>
      </c>
      <c r="BO394" s="31">
        <v>0</v>
      </c>
      <c r="BP394" s="31">
        <v>0</v>
      </c>
      <c r="BQ394" s="31">
        <v>0</v>
      </c>
      <c r="BR394" s="31">
        <v>0</v>
      </c>
      <c r="BS394" s="31">
        <v>0</v>
      </c>
      <c r="BT394" s="31">
        <v>0</v>
      </c>
      <c r="BU394" s="31">
        <v>0</v>
      </c>
      <c r="BV394" s="31">
        <v>0</v>
      </c>
      <c r="BW394" s="31">
        <v>0</v>
      </c>
      <c r="BX394" s="31">
        <v>0</v>
      </c>
      <c r="BY394" s="31">
        <v>0</v>
      </c>
      <c r="BZ394" s="31">
        <v>0</v>
      </c>
      <c r="CA394" s="31">
        <v>0</v>
      </c>
      <c r="CB394" s="31">
        <v>0</v>
      </c>
      <c r="CC394" s="31">
        <v>0</v>
      </c>
      <c r="CD394" s="31">
        <v>0</v>
      </c>
      <c r="CE394" s="31">
        <v>0</v>
      </c>
      <c r="CF394" s="31">
        <v>0</v>
      </c>
      <c r="CG394" s="31">
        <v>0</v>
      </c>
      <c r="CH394" s="31">
        <v>0</v>
      </c>
      <c r="CI394" s="31">
        <v>0</v>
      </c>
      <c r="CJ394" s="31">
        <v>0</v>
      </c>
      <c r="CK394" s="31">
        <v>0</v>
      </c>
      <c r="CL394" s="35">
        <v>0</v>
      </c>
    </row>
    <row r="395" spans="1:90" ht="21" x14ac:dyDescent="0.15">
      <c r="A395" s="31" t="s">
        <v>35</v>
      </c>
      <c r="B395" s="30" t="s">
        <v>112</v>
      </c>
      <c r="C395" s="28">
        <v>0</v>
      </c>
      <c r="D395" s="28">
        <v>0</v>
      </c>
      <c r="E395" s="28">
        <v>0</v>
      </c>
      <c r="F395" s="28">
        <v>0</v>
      </c>
      <c r="G395" s="28">
        <v>17</v>
      </c>
      <c r="H395" s="28">
        <f>IFERROR(VLOOKUP(A395,[1]FALTANTES!$A:$AB,28,FALSE),"-")</f>
        <v>0</v>
      </c>
      <c r="I395" s="42">
        <f>IFERROR(VLOOKUP(A395,[1]FALTANTES!$A:$AC,29,FALSE),"-")</f>
        <v>6</v>
      </c>
      <c r="J395" s="29">
        <f>IFERROR(VLOOKUP(A395,[1]FALTANTES!$A:$AD,30,FALSE),"-")</f>
        <v>-11</v>
      </c>
      <c r="K395" s="30"/>
      <c r="L395" s="30">
        <f t="shared" si="7"/>
        <v>11</v>
      </c>
      <c r="M395" s="31">
        <f>SUMIFS(METALFISA!$E:$E,METALFISA!$A:$A,'Faltantes Fevereiro- Metalfisa'!M$3,METALFISA!$B:$B,'Faltantes Fevereiro- Metalfisa'!$A395)</f>
        <v>0</v>
      </c>
      <c r="N395" s="31">
        <f>SUMIFS(METALFISA!$E:$E,METALFISA!$A:$A,'Faltantes Fevereiro- Metalfisa'!N$3,METALFISA!$B:$B,'Faltantes Fevereiro- Metalfisa'!$A395)</f>
        <v>0</v>
      </c>
      <c r="O395" s="31">
        <f>SUMIFS(METALFISA!$E:$E,METALFISA!$A:$A,'Faltantes Fevereiro- Metalfisa'!O$3,METALFISA!$B:$B,'Faltantes Fevereiro- Metalfisa'!$A395)</f>
        <v>0</v>
      </c>
      <c r="P395" s="31">
        <f>SUMIFS(METALFISA!$E:$E,METALFISA!$A:$A,'Faltantes Fevereiro- Metalfisa'!P$3,METALFISA!$B:$B,'Faltantes Fevereiro- Metalfisa'!$A395)</f>
        <v>7</v>
      </c>
      <c r="Q395" s="31">
        <f>SUMIFS(METALFISA!$E:$E,METALFISA!$A:$A,'Faltantes Fevereiro- Metalfisa'!Q$3,METALFISA!$B:$B,'Faltantes Fevereiro- Metalfisa'!$A395)</f>
        <v>0</v>
      </c>
      <c r="R395" s="31">
        <f>SUMIFS(METALFISA!$E:$E,METALFISA!$A:$A,'Faltantes Fevereiro- Metalfisa'!R$3,METALFISA!$B:$B,'Faltantes Fevereiro- Metalfisa'!$A395)</f>
        <v>0</v>
      </c>
      <c r="S395" s="31">
        <f>SUMIFS(METALFISA!$E:$E,METALFISA!$A:$A,'Faltantes Fevereiro- Metalfisa'!S$3,METALFISA!$B:$B,'Faltantes Fevereiro- Metalfisa'!$A395)</f>
        <v>0</v>
      </c>
      <c r="T395" s="31">
        <f>SUMIFS(METALFISA!$E:$E,METALFISA!$A:$A,'Faltantes Fevereiro- Metalfisa'!T$3,METALFISA!$B:$B,'Faltantes Fevereiro- Metalfisa'!$A395)</f>
        <v>0</v>
      </c>
      <c r="U395" s="31">
        <f>SUMIFS(METALFISA!$E:$E,METALFISA!$A:$A,'Faltantes Fevereiro- Metalfisa'!U$3,METALFISA!$B:$B,'Faltantes Fevereiro- Metalfisa'!$A395)</f>
        <v>1</v>
      </c>
      <c r="V395" s="31">
        <f>SUMIFS(METALFISA!$E:$E,METALFISA!$A:$A,'Faltantes Fevereiro- Metalfisa'!V$3,METALFISA!$B:$B,'Faltantes Fevereiro- Metalfisa'!$A395)</f>
        <v>0</v>
      </c>
      <c r="W395" s="31">
        <f>SUMIFS(METALFISA!$E:$E,METALFISA!$A:$A,'Faltantes Fevereiro- Metalfisa'!W$3,METALFISA!$B:$B,'Faltantes Fevereiro- Metalfisa'!$A395)</f>
        <v>0</v>
      </c>
      <c r="X395" s="31">
        <f>SUMIFS(METALFISA!$E:$E,METALFISA!$A:$A,'Faltantes Fevereiro- Metalfisa'!X$3,METALFISA!$B:$B,'Faltantes Fevereiro- Metalfisa'!$A395)</f>
        <v>0</v>
      </c>
      <c r="Y395" s="31">
        <f>SUMIFS(METALFISA!$E:$E,METALFISA!$A:$A,'Faltantes Fevereiro- Metalfisa'!Y$3,METALFISA!$B:$B,'Faltantes Fevereiro- Metalfisa'!$A395)</f>
        <v>0</v>
      </c>
      <c r="Z395" s="31">
        <f>SUMIFS(METALFISA!$E:$E,METALFISA!$A:$A,'Faltantes Fevereiro- Metalfisa'!Z$3,METALFISA!$B:$B,'Faltantes Fevereiro- Metalfisa'!$A395)</f>
        <v>0</v>
      </c>
      <c r="AA395" s="31">
        <f>SUMIFS(METALFISA!$E:$E,METALFISA!$A:$A,'Faltantes Fevereiro- Metalfisa'!AA$3,METALFISA!$B:$B,'Faltantes Fevereiro- Metalfisa'!$A395)</f>
        <v>3</v>
      </c>
      <c r="AB395" s="31">
        <f>SUMIFS(METALFISA!$E:$E,METALFISA!$A:$A,'Faltantes Fevereiro- Metalfisa'!AB$3,METALFISA!$B:$B,'Faltantes Fevereiro- Metalfisa'!$A395)</f>
        <v>0</v>
      </c>
      <c r="AC395" s="31">
        <f>SUMIFS(METALFISA!$E:$E,METALFISA!$A:$A,'Faltantes Fevereiro- Metalfisa'!AC$3,METALFISA!$B:$B,'Faltantes Fevereiro- Metalfisa'!$A395)</f>
        <v>0</v>
      </c>
      <c r="AD395" s="31">
        <f>SUMIFS(METALFISA!$E:$E,METALFISA!$A:$A,'Faltantes Fevereiro- Metalfisa'!AD$3,METALFISA!$B:$B,'Faltantes Fevereiro- Metalfisa'!$A395)</f>
        <v>0</v>
      </c>
      <c r="AE395" s="31">
        <f>SUMIFS(METALFISA!$E:$E,METALFISA!$A:$A,'Faltantes Fevereiro- Metalfisa'!AE$3,METALFISA!$B:$B,'Faltantes Fevereiro- Metalfisa'!$A395)</f>
        <v>0</v>
      </c>
      <c r="AF395" s="31">
        <f>SUMIFS(METALFISA!$E:$E,METALFISA!$A:$A,'Faltantes Fevereiro- Metalfisa'!AF$3,METALFISA!$B:$B,'Faltantes Fevereiro- Metalfisa'!$A395)</f>
        <v>0</v>
      </c>
      <c r="AG395" s="31">
        <f>SUMIFS(METALFISA!$E:$E,METALFISA!$A:$A,'Faltantes Fevereiro- Metalfisa'!AG$3,METALFISA!$B:$B,'Faltantes Fevereiro- Metalfisa'!$A395)</f>
        <v>0</v>
      </c>
      <c r="AH395" s="31">
        <f>SUMIFS(METALFISA!$E:$E,METALFISA!$A:$A,'Faltantes Fevereiro- Metalfisa'!AH$3,METALFISA!$B:$B,'Faltantes Fevereiro- Metalfisa'!$A395)</f>
        <v>0</v>
      </c>
      <c r="AI395" s="31">
        <f>SUMIFS(METALFISA!$E:$E,METALFISA!$A:$A,'Faltantes Fevereiro- Metalfisa'!AI$3,METALFISA!$B:$B,'Faltantes Fevereiro- Metalfisa'!$A395)</f>
        <v>0</v>
      </c>
      <c r="AJ395" s="31">
        <f>SUMIFS(METALFISA!$E:$E,METALFISA!$A:$A,'Faltantes Fevereiro- Metalfisa'!AJ$3,METALFISA!$B:$B,'Faltantes Fevereiro- Metalfisa'!$A395)</f>
        <v>0</v>
      </c>
      <c r="AK395" s="31">
        <f>SUMIFS(METALFISA!$E:$E,METALFISA!$A:$A,'Faltantes Fevereiro- Metalfisa'!AK$3,METALFISA!$B:$B,'Faltantes Fevereiro- Metalfisa'!$A395)</f>
        <v>0</v>
      </c>
      <c r="AL395" s="31">
        <f>SUMIFS(METALFISA!$E:$E,METALFISA!$A:$A,'Faltantes Fevereiro- Metalfisa'!AL$3,METALFISA!$B:$B,'Faltantes Fevereiro- Metalfisa'!$A395)</f>
        <v>0</v>
      </c>
      <c r="AM395" s="31">
        <f>SUMIFS(METALFISA!$E:$E,METALFISA!$A:$A,'Faltantes Fevereiro- Metalfisa'!AM$3,METALFISA!$B:$B,'Faltantes Fevereiro- Metalfisa'!$A395)</f>
        <v>0</v>
      </c>
      <c r="AN395" s="31">
        <f>SUMIFS(METALFISA!$E:$E,METALFISA!$A:$A,'Faltantes Fevereiro- Metalfisa'!AN$3,METALFISA!$B:$B,'Faltantes Fevereiro- Metalfisa'!$A395)</f>
        <v>0</v>
      </c>
      <c r="AO395" s="31">
        <f>SUMIFS(METALFISA!$E:$E,METALFISA!$A:$A,'Faltantes Fevereiro- Metalfisa'!AO$3,METALFISA!$B:$B,'Faltantes Fevereiro- Metalfisa'!$A395)</f>
        <v>0</v>
      </c>
      <c r="AP395" s="31">
        <f>SUMIFS(METALFISA!$E:$E,METALFISA!$A:$A,'Faltantes Fevereiro- Metalfisa'!AP$3,METALFISA!$B:$B,'Faltantes Fevereiro- Metalfisa'!$A395)</f>
        <v>0</v>
      </c>
      <c r="AQ395" s="31"/>
      <c r="AR395" s="31"/>
      <c r="AS395" s="35"/>
      <c r="AY395" s="41">
        <v>0</v>
      </c>
      <c r="AZ395" s="31">
        <v>0</v>
      </c>
      <c r="BA395" s="31">
        <v>0</v>
      </c>
      <c r="BB395" s="31">
        <v>0</v>
      </c>
      <c r="BC395" s="31">
        <v>0</v>
      </c>
      <c r="BD395" s="31">
        <v>0</v>
      </c>
      <c r="BE395" s="31">
        <v>0</v>
      </c>
      <c r="BF395" s="31">
        <v>0</v>
      </c>
      <c r="BG395" s="31">
        <v>0</v>
      </c>
      <c r="BH395" s="31">
        <v>0</v>
      </c>
      <c r="BI395" s="31">
        <v>0</v>
      </c>
      <c r="BJ395" s="31">
        <v>0</v>
      </c>
      <c r="BK395" s="31">
        <v>2</v>
      </c>
      <c r="BL395" s="31">
        <v>0</v>
      </c>
      <c r="BM395" s="31">
        <v>0</v>
      </c>
      <c r="BN395" s="31">
        <v>0</v>
      </c>
      <c r="BO395" s="31">
        <v>0</v>
      </c>
      <c r="BP395" s="31">
        <v>0</v>
      </c>
      <c r="BQ395" s="31">
        <v>0</v>
      </c>
      <c r="BR395" s="31">
        <v>0</v>
      </c>
      <c r="BS395" s="31">
        <v>0</v>
      </c>
      <c r="BT395" s="31">
        <v>0</v>
      </c>
      <c r="BU395" s="31">
        <v>0</v>
      </c>
      <c r="BV395" s="31">
        <v>0</v>
      </c>
      <c r="BW395" s="31">
        <v>0</v>
      </c>
      <c r="BX395" s="31">
        <v>0</v>
      </c>
      <c r="BY395" s="31">
        <v>0</v>
      </c>
      <c r="BZ395" s="31">
        <v>0</v>
      </c>
      <c r="CA395" s="31">
        <v>0</v>
      </c>
      <c r="CB395" s="31">
        <v>0</v>
      </c>
      <c r="CC395" s="31">
        <v>0</v>
      </c>
      <c r="CD395" s="31">
        <v>0</v>
      </c>
      <c r="CE395" s="31">
        <v>0</v>
      </c>
      <c r="CF395" s="31">
        <v>0</v>
      </c>
      <c r="CG395" s="31">
        <v>0</v>
      </c>
      <c r="CH395" s="31">
        <v>0</v>
      </c>
      <c r="CI395" s="31">
        <v>0</v>
      </c>
      <c r="CJ395" s="31">
        <v>0</v>
      </c>
      <c r="CK395" s="31">
        <v>0</v>
      </c>
      <c r="CL395" s="35">
        <v>0</v>
      </c>
    </row>
    <row r="396" spans="1:90" ht="21" x14ac:dyDescent="0.15">
      <c r="A396" s="31" t="s">
        <v>36</v>
      </c>
      <c r="B396" s="30" t="s">
        <v>39</v>
      </c>
      <c r="C396" s="28">
        <v>0</v>
      </c>
      <c r="D396" s="28">
        <v>0</v>
      </c>
      <c r="E396" s="28">
        <v>0</v>
      </c>
      <c r="F396" s="28">
        <v>0</v>
      </c>
      <c r="G396" s="28">
        <v>4</v>
      </c>
      <c r="H396" s="28">
        <f>IFERROR(VLOOKUP(A396,[1]FALTANTES!$A:$AB,28,FALSE),"-")</f>
        <v>0</v>
      </c>
      <c r="I396" s="42">
        <f>IFERROR(VLOOKUP(A396,[1]FALTANTES!$A:$AC,29,FALSE),"-")</f>
        <v>0</v>
      </c>
      <c r="J396" s="29">
        <f>IFERROR(VLOOKUP(A396,[1]FALTANTES!$A:$AD,30,FALSE),"-")</f>
        <v>-4</v>
      </c>
      <c r="K396" s="30">
        <v>0</v>
      </c>
      <c r="L396" s="30">
        <f t="shared" si="7"/>
        <v>2</v>
      </c>
      <c r="M396" s="31">
        <f>SUMIFS(METALFISA!$E:$E,METALFISA!$A:$A,'Faltantes Fevereiro- Metalfisa'!M$3,METALFISA!$B:$B,'Faltantes Fevereiro- Metalfisa'!$A396)</f>
        <v>0</v>
      </c>
      <c r="N396" s="31">
        <f>SUMIFS(METALFISA!$E:$E,METALFISA!$A:$A,'Faltantes Fevereiro- Metalfisa'!N$3,METALFISA!$B:$B,'Faltantes Fevereiro- Metalfisa'!$A396)</f>
        <v>0</v>
      </c>
      <c r="O396" s="31">
        <f>SUMIFS(METALFISA!$E:$E,METALFISA!$A:$A,'Faltantes Fevereiro- Metalfisa'!O$3,METALFISA!$B:$B,'Faltantes Fevereiro- Metalfisa'!$A396)</f>
        <v>0</v>
      </c>
      <c r="P396" s="31">
        <f>SUMIFS(METALFISA!$E:$E,METALFISA!$A:$A,'Faltantes Fevereiro- Metalfisa'!P$3,METALFISA!$B:$B,'Faltantes Fevereiro- Metalfisa'!$A396)</f>
        <v>0</v>
      </c>
      <c r="Q396" s="31">
        <f>SUMIFS(METALFISA!$E:$E,METALFISA!$A:$A,'Faltantes Fevereiro- Metalfisa'!Q$3,METALFISA!$B:$B,'Faltantes Fevereiro- Metalfisa'!$A396)</f>
        <v>0</v>
      </c>
      <c r="R396" s="31">
        <f>SUMIFS(METALFISA!$E:$E,METALFISA!$A:$A,'Faltantes Fevereiro- Metalfisa'!R$3,METALFISA!$B:$B,'Faltantes Fevereiro- Metalfisa'!$A396)</f>
        <v>0</v>
      </c>
      <c r="S396" s="31">
        <f>SUMIFS(METALFISA!$E:$E,METALFISA!$A:$A,'Faltantes Fevereiro- Metalfisa'!S$3,METALFISA!$B:$B,'Faltantes Fevereiro- Metalfisa'!$A396)</f>
        <v>0</v>
      </c>
      <c r="T396" s="31">
        <f>SUMIFS(METALFISA!$E:$E,METALFISA!$A:$A,'Faltantes Fevereiro- Metalfisa'!T$3,METALFISA!$B:$B,'Faltantes Fevereiro- Metalfisa'!$A396)</f>
        <v>0</v>
      </c>
      <c r="U396" s="31">
        <f>SUMIFS(METALFISA!$E:$E,METALFISA!$A:$A,'Faltantes Fevereiro- Metalfisa'!U$3,METALFISA!$B:$B,'Faltantes Fevereiro- Metalfisa'!$A396)</f>
        <v>0</v>
      </c>
      <c r="V396" s="31">
        <f>SUMIFS(METALFISA!$E:$E,METALFISA!$A:$A,'Faltantes Fevereiro- Metalfisa'!V$3,METALFISA!$B:$B,'Faltantes Fevereiro- Metalfisa'!$A396)</f>
        <v>0</v>
      </c>
      <c r="W396" s="31">
        <f>SUMIFS(METALFISA!$E:$E,METALFISA!$A:$A,'Faltantes Fevereiro- Metalfisa'!W$3,METALFISA!$B:$B,'Faltantes Fevereiro- Metalfisa'!$A396)</f>
        <v>0</v>
      </c>
      <c r="X396" s="31">
        <f>SUMIFS(METALFISA!$E:$E,METALFISA!$A:$A,'Faltantes Fevereiro- Metalfisa'!X$3,METALFISA!$B:$B,'Faltantes Fevereiro- Metalfisa'!$A396)</f>
        <v>0</v>
      </c>
      <c r="Y396" s="31">
        <f>SUMIFS(METALFISA!$E:$E,METALFISA!$A:$A,'Faltantes Fevereiro- Metalfisa'!Y$3,METALFISA!$B:$B,'Faltantes Fevereiro- Metalfisa'!$A396)</f>
        <v>0</v>
      </c>
      <c r="Z396" s="31">
        <f>SUMIFS(METALFISA!$E:$E,METALFISA!$A:$A,'Faltantes Fevereiro- Metalfisa'!Z$3,METALFISA!$B:$B,'Faltantes Fevereiro- Metalfisa'!$A396)</f>
        <v>0</v>
      </c>
      <c r="AA396" s="31">
        <f>SUMIFS(METALFISA!$E:$E,METALFISA!$A:$A,'Faltantes Fevereiro- Metalfisa'!AA$3,METALFISA!$B:$B,'Faltantes Fevereiro- Metalfisa'!$A396)</f>
        <v>2</v>
      </c>
      <c r="AB396" s="31">
        <f>SUMIFS(METALFISA!$E:$E,METALFISA!$A:$A,'Faltantes Fevereiro- Metalfisa'!AB$3,METALFISA!$B:$B,'Faltantes Fevereiro- Metalfisa'!$A396)</f>
        <v>0</v>
      </c>
      <c r="AC396" s="31">
        <f>SUMIFS(METALFISA!$E:$E,METALFISA!$A:$A,'Faltantes Fevereiro- Metalfisa'!AC$3,METALFISA!$B:$B,'Faltantes Fevereiro- Metalfisa'!$A396)</f>
        <v>0</v>
      </c>
      <c r="AD396" s="31">
        <f>SUMIFS(METALFISA!$E:$E,METALFISA!$A:$A,'Faltantes Fevereiro- Metalfisa'!AD$3,METALFISA!$B:$B,'Faltantes Fevereiro- Metalfisa'!$A396)</f>
        <v>0</v>
      </c>
      <c r="AE396" s="31">
        <f>SUMIFS(METALFISA!$E:$E,METALFISA!$A:$A,'Faltantes Fevereiro- Metalfisa'!AE$3,METALFISA!$B:$B,'Faltantes Fevereiro- Metalfisa'!$A396)</f>
        <v>0</v>
      </c>
      <c r="AF396" s="31">
        <f>SUMIFS(METALFISA!$E:$E,METALFISA!$A:$A,'Faltantes Fevereiro- Metalfisa'!AF$3,METALFISA!$B:$B,'Faltantes Fevereiro- Metalfisa'!$A396)</f>
        <v>0</v>
      </c>
      <c r="AG396" s="31">
        <f>SUMIFS(METALFISA!$E:$E,METALFISA!$A:$A,'Faltantes Fevereiro- Metalfisa'!AG$3,METALFISA!$B:$B,'Faltantes Fevereiro- Metalfisa'!$A396)</f>
        <v>0</v>
      </c>
      <c r="AH396" s="31">
        <f>SUMIFS(METALFISA!$E:$E,METALFISA!$A:$A,'Faltantes Fevereiro- Metalfisa'!AH$3,METALFISA!$B:$B,'Faltantes Fevereiro- Metalfisa'!$A396)</f>
        <v>0</v>
      </c>
      <c r="AI396" s="31">
        <f>SUMIFS(METALFISA!$E:$E,METALFISA!$A:$A,'Faltantes Fevereiro- Metalfisa'!AI$3,METALFISA!$B:$B,'Faltantes Fevereiro- Metalfisa'!$A396)</f>
        <v>0</v>
      </c>
      <c r="AJ396" s="31">
        <f>SUMIFS(METALFISA!$E:$E,METALFISA!$A:$A,'Faltantes Fevereiro- Metalfisa'!AJ$3,METALFISA!$B:$B,'Faltantes Fevereiro- Metalfisa'!$A396)</f>
        <v>0</v>
      </c>
      <c r="AK396" s="31">
        <f>SUMIFS(METALFISA!$E:$E,METALFISA!$A:$A,'Faltantes Fevereiro- Metalfisa'!AK$3,METALFISA!$B:$B,'Faltantes Fevereiro- Metalfisa'!$A396)</f>
        <v>0</v>
      </c>
      <c r="AL396" s="31">
        <f>SUMIFS(METALFISA!$E:$E,METALFISA!$A:$A,'Faltantes Fevereiro- Metalfisa'!AL$3,METALFISA!$B:$B,'Faltantes Fevereiro- Metalfisa'!$A396)</f>
        <v>0</v>
      </c>
      <c r="AM396" s="31">
        <f>SUMIFS(METALFISA!$E:$E,METALFISA!$A:$A,'Faltantes Fevereiro- Metalfisa'!AM$3,METALFISA!$B:$B,'Faltantes Fevereiro- Metalfisa'!$A396)</f>
        <v>0</v>
      </c>
      <c r="AN396" s="31">
        <f>SUMIFS(METALFISA!$E:$E,METALFISA!$A:$A,'Faltantes Fevereiro- Metalfisa'!AN$3,METALFISA!$B:$B,'Faltantes Fevereiro- Metalfisa'!$A396)</f>
        <v>0</v>
      </c>
      <c r="AO396" s="31">
        <f>SUMIFS(METALFISA!$E:$E,METALFISA!$A:$A,'Faltantes Fevereiro- Metalfisa'!AO$3,METALFISA!$B:$B,'Faltantes Fevereiro- Metalfisa'!$A396)</f>
        <v>0</v>
      </c>
      <c r="AP396" s="31">
        <f>SUMIFS(METALFISA!$E:$E,METALFISA!$A:$A,'Faltantes Fevereiro- Metalfisa'!AP$3,METALFISA!$B:$B,'Faltantes Fevereiro- Metalfisa'!$A396)</f>
        <v>0</v>
      </c>
      <c r="AQ396" s="31"/>
      <c r="AR396" s="31"/>
      <c r="AS396" s="35"/>
      <c r="AY396" s="41">
        <v>0</v>
      </c>
      <c r="AZ396" s="31">
        <v>0</v>
      </c>
      <c r="BA396" s="31">
        <v>0</v>
      </c>
      <c r="BB396" s="31">
        <v>0</v>
      </c>
      <c r="BC396" s="31">
        <v>0</v>
      </c>
      <c r="BD396" s="31">
        <v>0</v>
      </c>
      <c r="BE396" s="31">
        <v>0</v>
      </c>
      <c r="BF396" s="31">
        <v>0</v>
      </c>
      <c r="BG396" s="31">
        <v>0</v>
      </c>
      <c r="BH396" s="31">
        <v>0</v>
      </c>
      <c r="BI396" s="31">
        <v>0</v>
      </c>
      <c r="BJ396" s="31">
        <v>0</v>
      </c>
      <c r="BK396" s="31">
        <v>2</v>
      </c>
      <c r="BL396" s="31">
        <v>0</v>
      </c>
      <c r="BM396" s="31">
        <v>0</v>
      </c>
      <c r="BN396" s="31">
        <v>0</v>
      </c>
      <c r="BO396" s="31">
        <v>0</v>
      </c>
      <c r="BP396" s="31">
        <v>0</v>
      </c>
      <c r="BQ396" s="31">
        <v>0</v>
      </c>
      <c r="BR396" s="31">
        <v>0</v>
      </c>
      <c r="BS396" s="31">
        <v>0</v>
      </c>
      <c r="BT396" s="31">
        <v>0</v>
      </c>
      <c r="BU396" s="31">
        <v>0</v>
      </c>
      <c r="BV396" s="31">
        <v>0</v>
      </c>
      <c r="BW396" s="31">
        <v>0</v>
      </c>
      <c r="BX396" s="31">
        <v>0</v>
      </c>
      <c r="BY396" s="31">
        <v>0</v>
      </c>
      <c r="BZ396" s="31">
        <v>0</v>
      </c>
      <c r="CA396" s="31">
        <v>0</v>
      </c>
      <c r="CB396" s="31">
        <v>0</v>
      </c>
      <c r="CC396" s="31">
        <v>0</v>
      </c>
      <c r="CD396" s="31">
        <v>0</v>
      </c>
      <c r="CE396" s="31">
        <v>0</v>
      </c>
      <c r="CF396" s="31">
        <v>0</v>
      </c>
      <c r="CG396" s="31">
        <v>0</v>
      </c>
      <c r="CH396" s="31">
        <v>0</v>
      </c>
      <c r="CI396" s="31">
        <v>0</v>
      </c>
      <c r="CJ396" s="31">
        <v>0</v>
      </c>
      <c r="CK396" s="31">
        <v>0</v>
      </c>
      <c r="CL396" s="35">
        <v>0</v>
      </c>
    </row>
    <row r="397" spans="1:90" ht="21" x14ac:dyDescent="0.15">
      <c r="A397" s="31" t="s">
        <v>316</v>
      </c>
      <c r="B397" s="30" t="s">
        <v>317</v>
      </c>
      <c r="C397" s="28">
        <v>0</v>
      </c>
      <c r="D397" s="28">
        <v>0</v>
      </c>
      <c r="E397" s="28">
        <v>0</v>
      </c>
      <c r="F397" s="28">
        <v>0</v>
      </c>
      <c r="G397" s="28">
        <v>9</v>
      </c>
      <c r="H397" s="28">
        <f>IFERROR(VLOOKUP(A397,[1]FALTANTES!$A:$AB,28,FALSE),"-")</f>
        <v>0</v>
      </c>
      <c r="I397" s="42">
        <f>IFERROR(VLOOKUP(A397,[1]FALTANTES!$A:$AC,29,FALSE),"-")</f>
        <v>0</v>
      </c>
      <c r="J397" s="29">
        <f>IFERROR(VLOOKUP(A397,[1]FALTANTES!$A:$AD,30,FALSE),"-")</f>
        <v>-9</v>
      </c>
      <c r="K397" s="30">
        <v>0</v>
      </c>
      <c r="L397" s="30">
        <f t="shared" si="7"/>
        <v>4</v>
      </c>
      <c r="M397" s="31">
        <f>SUMIFS(METALFISA!$E:$E,METALFISA!$A:$A,'Faltantes Fevereiro- Metalfisa'!M$3,METALFISA!$B:$B,'Faltantes Fevereiro- Metalfisa'!$A397)</f>
        <v>0</v>
      </c>
      <c r="N397" s="31">
        <f>SUMIFS(METALFISA!$E:$E,METALFISA!$A:$A,'Faltantes Fevereiro- Metalfisa'!N$3,METALFISA!$B:$B,'Faltantes Fevereiro- Metalfisa'!$A397)</f>
        <v>0</v>
      </c>
      <c r="O397" s="31">
        <f>SUMIFS(METALFISA!$E:$E,METALFISA!$A:$A,'Faltantes Fevereiro- Metalfisa'!O$3,METALFISA!$B:$B,'Faltantes Fevereiro- Metalfisa'!$A397)</f>
        <v>0</v>
      </c>
      <c r="P397" s="31">
        <f>SUMIFS(METALFISA!$E:$E,METALFISA!$A:$A,'Faltantes Fevereiro- Metalfisa'!P$3,METALFISA!$B:$B,'Faltantes Fevereiro- Metalfisa'!$A397)</f>
        <v>0</v>
      </c>
      <c r="Q397" s="31">
        <f>SUMIFS(METALFISA!$E:$E,METALFISA!$A:$A,'Faltantes Fevereiro- Metalfisa'!Q$3,METALFISA!$B:$B,'Faltantes Fevereiro- Metalfisa'!$A397)</f>
        <v>0</v>
      </c>
      <c r="R397" s="31">
        <f>SUMIFS(METALFISA!$E:$E,METALFISA!$A:$A,'Faltantes Fevereiro- Metalfisa'!R$3,METALFISA!$B:$B,'Faltantes Fevereiro- Metalfisa'!$A397)</f>
        <v>0</v>
      </c>
      <c r="S397" s="31">
        <f>SUMIFS(METALFISA!$E:$E,METALFISA!$A:$A,'Faltantes Fevereiro- Metalfisa'!S$3,METALFISA!$B:$B,'Faltantes Fevereiro- Metalfisa'!$A397)</f>
        <v>0</v>
      </c>
      <c r="T397" s="31">
        <f>SUMIFS(METALFISA!$E:$E,METALFISA!$A:$A,'Faltantes Fevereiro- Metalfisa'!T$3,METALFISA!$B:$B,'Faltantes Fevereiro- Metalfisa'!$A397)</f>
        <v>0</v>
      </c>
      <c r="U397" s="31">
        <f>SUMIFS(METALFISA!$E:$E,METALFISA!$A:$A,'Faltantes Fevereiro- Metalfisa'!U$3,METALFISA!$B:$B,'Faltantes Fevereiro- Metalfisa'!$A397)</f>
        <v>0</v>
      </c>
      <c r="V397" s="31">
        <f>SUMIFS(METALFISA!$E:$E,METALFISA!$A:$A,'Faltantes Fevereiro- Metalfisa'!V$3,METALFISA!$B:$B,'Faltantes Fevereiro- Metalfisa'!$A397)</f>
        <v>0</v>
      </c>
      <c r="W397" s="31">
        <f>SUMIFS(METALFISA!$E:$E,METALFISA!$A:$A,'Faltantes Fevereiro- Metalfisa'!W$3,METALFISA!$B:$B,'Faltantes Fevereiro- Metalfisa'!$A397)</f>
        <v>0</v>
      </c>
      <c r="X397" s="31">
        <f>SUMIFS(METALFISA!$E:$E,METALFISA!$A:$A,'Faltantes Fevereiro- Metalfisa'!X$3,METALFISA!$B:$B,'Faltantes Fevereiro- Metalfisa'!$A397)</f>
        <v>0</v>
      </c>
      <c r="Y397" s="31">
        <f>SUMIFS(METALFISA!$E:$E,METALFISA!$A:$A,'Faltantes Fevereiro- Metalfisa'!Y$3,METALFISA!$B:$B,'Faltantes Fevereiro- Metalfisa'!$A397)</f>
        <v>0</v>
      </c>
      <c r="Z397" s="31">
        <f>SUMIFS(METALFISA!$E:$E,METALFISA!$A:$A,'Faltantes Fevereiro- Metalfisa'!Z$3,METALFISA!$B:$B,'Faltantes Fevereiro- Metalfisa'!$A397)</f>
        <v>0</v>
      </c>
      <c r="AA397" s="31">
        <f>SUMIFS(METALFISA!$E:$E,METALFISA!$A:$A,'Faltantes Fevereiro- Metalfisa'!AA$3,METALFISA!$B:$B,'Faltantes Fevereiro- Metalfisa'!$A397)</f>
        <v>0</v>
      </c>
      <c r="AB397" s="31">
        <f>SUMIFS(METALFISA!$E:$E,METALFISA!$A:$A,'Faltantes Fevereiro- Metalfisa'!AB$3,METALFISA!$B:$B,'Faltantes Fevereiro- Metalfisa'!$A397)</f>
        <v>0</v>
      </c>
      <c r="AC397" s="31">
        <f>SUMIFS(METALFISA!$E:$E,METALFISA!$A:$A,'Faltantes Fevereiro- Metalfisa'!AC$3,METALFISA!$B:$B,'Faltantes Fevereiro- Metalfisa'!$A397)</f>
        <v>0</v>
      </c>
      <c r="AD397" s="31">
        <f>SUMIFS(METALFISA!$E:$E,METALFISA!$A:$A,'Faltantes Fevereiro- Metalfisa'!AD$3,METALFISA!$B:$B,'Faltantes Fevereiro- Metalfisa'!$A397)</f>
        <v>0</v>
      </c>
      <c r="AE397" s="31">
        <f>SUMIFS(METALFISA!$E:$E,METALFISA!$A:$A,'Faltantes Fevereiro- Metalfisa'!AE$3,METALFISA!$B:$B,'Faltantes Fevereiro- Metalfisa'!$A397)</f>
        <v>0</v>
      </c>
      <c r="AF397" s="31">
        <f>SUMIFS(METALFISA!$E:$E,METALFISA!$A:$A,'Faltantes Fevereiro- Metalfisa'!AF$3,METALFISA!$B:$B,'Faltantes Fevereiro- Metalfisa'!$A397)</f>
        <v>0</v>
      </c>
      <c r="AG397" s="31">
        <f>SUMIFS(METALFISA!$E:$E,METALFISA!$A:$A,'Faltantes Fevereiro- Metalfisa'!AG$3,METALFISA!$B:$B,'Faltantes Fevereiro- Metalfisa'!$A397)</f>
        <v>0</v>
      </c>
      <c r="AH397" s="31">
        <f>SUMIFS(METALFISA!$E:$E,METALFISA!$A:$A,'Faltantes Fevereiro- Metalfisa'!AH$3,METALFISA!$B:$B,'Faltantes Fevereiro- Metalfisa'!$A397)</f>
        <v>0</v>
      </c>
      <c r="AI397" s="31">
        <f>SUMIFS(METALFISA!$E:$E,METALFISA!$A:$A,'Faltantes Fevereiro- Metalfisa'!AI$3,METALFISA!$B:$B,'Faltantes Fevereiro- Metalfisa'!$A397)</f>
        <v>2</v>
      </c>
      <c r="AJ397" s="31">
        <f>SUMIFS(METALFISA!$E:$E,METALFISA!$A:$A,'Faltantes Fevereiro- Metalfisa'!AJ$3,METALFISA!$B:$B,'Faltantes Fevereiro- Metalfisa'!$A397)</f>
        <v>0</v>
      </c>
      <c r="AK397" s="31">
        <f>SUMIFS(METALFISA!$E:$E,METALFISA!$A:$A,'Faltantes Fevereiro- Metalfisa'!AK$3,METALFISA!$B:$B,'Faltantes Fevereiro- Metalfisa'!$A397)</f>
        <v>0</v>
      </c>
      <c r="AL397" s="31">
        <f>SUMIFS(METALFISA!$E:$E,METALFISA!$A:$A,'Faltantes Fevereiro- Metalfisa'!AL$3,METALFISA!$B:$B,'Faltantes Fevereiro- Metalfisa'!$A397)</f>
        <v>0</v>
      </c>
      <c r="AM397" s="31">
        <f>SUMIFS(METALFISA!$E:$E,METALFISA!$A:$A,'Faltantes Fevereiro- Metalfisa'!AM$3,METALFISA!$B:$B,'Faltantes Fevereiro- Metalfisa'!$A397)</f>
        <v>0</v>
      </c>
      <c r="AN397" s="31">
        <f>SUMIFS(METALFISA!$E:$E,METALFISA!$A:$A,'Faltantes Fevereiro- Metalfisa'!AN$3,METALFISA!$B:$B,'Faltantes Fevereiro- Metalfisa'!$A397)</f>
        <v>2</v>
      </c>
      <c r="AO397" s="31">
        <f>SUMIFS(METALFISA!$E:$E,METALFISA!$A:$A,'Faltantes Fevereiro- Metalfisa'!AO$3,METALFISA!$B:$B,'Faltantes Fevereiro- Metalfisa'!$A397)</f>
        <v>0</v>
      </c>
      <c r="AP397" s="31">
        <f>SUMIFS(METALFISA!$E:$E,METALFISA!$A:$A,'Faltantes Fevereiro- Metalfisa'!AP$3,METALFISA!$B:$B,'Faltantes Fevereiro- Metalfisa'!$A397)</f>
        <v>0</v>
      </c>
      <c r="AQ397" s="31"/>
      <c r="AR397" s="31"/>
      <c r="AS397" s="35"/>
      <c r="AY397" s="41">
        <v>0</v>
      </c>
      <c r="AZ397" s="31">
        <v>0</v>
      </c>
      <c r="BA397" s="31">
        <v>0</v>
      </c>
      <c r="BB397" s="31">
        <v>0</v>
      </c>
      <c r="BC397" s="31">
        <v>0</v>
      </c>
      <c r="BD397" s="31">
        <v>0</v>
      </c>
      <c r="BE397" s="31">
        <v>0</v>
      </c>
      <c r="BF397" s="31">
        <v>0</v>
      </c>
      <c r="BG397" s="31">
        <v>0</v>
      </c>
      <c r="BH397" s="31">
        <v>0</v>
      </c>
      <c r="BI397" s="31">
        <v>0</v>
      </c>
      <c r="BJ397" s="31">
        <v>0</v>
      </c>
      <c r="BK397" s="31">
        <v>2</v>
      </c>
      <c r="BL397" s="31">
        <v>0</v>
      </c>
      <c r="BM397" s="31">
        <v>0</v>
      </c>
      <c r="BN397" s="31">
        <v>0</v>
      </c>
      <c r="BO397" s="31">
        <v>0</v>
      </c>
      <c r="BP397" s="31">
        <v>0</v>
      </c>
      <c r="BQ397" s="31">
        <v>0</v>
      </c>
      <c r="BR397" s="31">
        <v>0</v>
      </c>
      <c r="BS397" s="31">
        <v>0</v>
      </c>
      <c r="BT397" s="31">
        <v>0</v>
      </c>
      <c r="BU397" s="31">
        <v>0</v>
      </c>
      <c r="BV397" s="31">
        <v>0</v>
      </c>
      <c r="BW397" s="31">
        <v>0</v>
      </c>
      <c r="BX397" s="31">
        <v>0</v>
      </c>
      <c r="BY397" s="31">
        <v>0</v>
      </c>
      <c r="BZ397" s="31">
        <v>0</v>
      </c>
      <c r="CA397" s="31">
        <v>0</v>
      </c>
      <c r="CB397" s="31">
        <v>0</v>
      </c>
      <c r="CC397" s="31">
        <v>0</v>
      </c>
      <c r="CD397" s="31">
        <v>0</v>
      </c>
      <c r="CE397" s="31">
        <v>0</v>
      </c>
      <c r="CF397" s="31">
        <v>0</v>
      </c>
      <c r="CG397" s="31">
        <v>0</v>
      </c>
      <c r="CH397" s="31">
        <v>0</v>
      </c>
      <c r="CI397" s="31">
        <v>0</v>
      </c>
      <c r="CJ397" s="31">
        <v>0</v>
      </c>
      <c r="CK397" s="31">
        <v>0</v>
      </c>
      <c r="CL397" s="35">
        <v>0</v>
      </c>
    </row>
    <row r="398" spans="1:90" x14ac:dyDescent="0.15">
      <c r="A398" s="31" t="s">
        <v>29</v>
      </c>
      <c r="B398" s="30" t="s">
        <v>113</v>
      </c>
      <c r="C398" s="28">
        <v>0</v>
      </c>
      <c r="D398" s="28">
        <v>0</v>
      </c>
      <c r="E398" s="28">
        <v>0</v>
      </c>
      <c r="F398" s="28">
        <v>0</v>
      </c>
      <c r="G398" s="28">
        <v>8</v>
      </c>
      <c r="H398" s="28">
        <f>IFERROR(VLOOKUP(A398,[1]FALTANTES!$A:$AB,28,FALSE),"-")</f>
        <v>0</v>
      </c>
      <c r="I398" s="42">
        <f>IFERROR(VLOOKUP(A398,[1]FALTANTES!$A:$AC,29,FALSE),"-")</f>
        <v>2</v>
      </c>
      <c r="J398" s="29">
        <f>IFERROR(VLOOKUP(A398,[1]FALTANTES!$A:$AD,30,FALSE),"-")</f>
        <v>-6</v>
      </c>
      <c r="K398" s="30">
        <v>0</v>
      </c>
      <c r="L398" s="30">
        <f t="shared" si="7"/>
        <v>12</v>
      </c>
      <c r="M398" s="31">
        <f>SUMIFS(METALFISA!$E:$E,METALFISA!$A:$A,'Faltantes Fevereiro- Metalfisa'!M$3,METALFISA!$B:$B,'Faltantes Fevereiro- Metalfisa'!$A398)</f>
        <v>0</v>
      </c>
      <c r="N398" s="31">
        <f>SUMIFS(METALFISA!$E:$E,METALFISA!$A:$A,'Faltantes Fevereiro- Metalfisa'!N$3,METALFISA!$B:$B,'Faltantes Fevereiro- Metalfisa'!$A398)</f>
        <v>0</v>
      </c>
      <c r="O398" s="31">
        <f>SUMIFS(METALFISA!$E:$E,METALFISA!$A:$A,'Faltantes Fevereiro- Metalfisa'!O$3,METALFISA!$B:$B,'Faltantes Fevereiro- Metalfisa'!$A398)</f>
        <v>0</v>
      </c>
      <c r="P398" s="31">
        <f>SUMIFS(METALFISA!$E:$E,METALFISA!$A:$A,'Faltantes Fevereiro- Metalfisa'!P$3,METALFISA!$B:$B,'Faltantes Fevereiro- Metalfisa'!$A398)</f>
        <v>0</v>
      </c>
      <c r="Q398" s="31">
        <f>SUMIFS(METALFISA!$E:$E,METALFISA!$A:$A,'Faltantes Fevereiro- Metalfisa'!Q$3,METALFISA!$B:$B,'Faltantes Fevereiro- Metalfisa'!$A398)</f>
        <v>0</v>
      </c>
      <c r="R398" s="31">
        <f>SUMIFS(METALFISA!$E:$E,METALFISA!$A:$A,'Faltantes Fevereiro- Metalfisa'!R$3,METALFISA!$B:$B,'Faltantes Fevereiro- Metalfisa'!$A398)</f>
        <v>0</v>
      </c>
      <c r="S398" s="31">
        <f>SUMIFS(METALFISA!$E:$E,METALFISA!$A:$A,'Faltantes Fevereiro- Metalfisa'!S$3,METALFISA!$B:$B,'Faltantes Fevereiro- Metalfisa'!$A398)</f>
        <v>0</v>
      </c>
      <c r="T398" s="31">
        <f>SUMIFS(METALFISA!$E:$E,METALFISA!$A:$A,'Faltantes Fevereiro- Metalfisa'!T$3,METALFISA!$B:$B,'Faltantes Fevereiro- Metalfisa'!$A398)</f>
        <v>0</v>
      </c>
      <c r="U398" s="31">
        <f>SUMIFS(METALFISA!$E:$E,METALFISA!$A:$A,'Faltantes Fevereiro- Metalfisa'!U$3,METALFISA!$B:$B,'Faltantes Fevereiro- Metalfisa'!$A398)</f>
        <v>0</v>
      </c>
      <c r="V398" s="31">
        <f>SUMIFS(METALFISA!$E:$E,METALFISA!$A:$A,'Faltantes Fevereiro- Metalfisa'!V$3,METALFISA!$B:$B,'Faltantes Fevereiro- Metalfisa'!$A398)</f>
        <v>0</v>
      </c>
      <c r="W398" s="31">
        <f>SUMIFS(METALFISA!$E:$E,METALFISA!$A:$A,'Faltantes Fevereiro- Metalfisa'!W$3,METALFISA!$B:$B,'Faltantes Fevereiro- Metalfisa'!$A398)</f>
        <v>0</v>
      </c>
      <c r="X398" s="31">
        <f>SUMIFS(METALFISA!$E:$E,METALFISA!$A:$A,'Faltantes Fevereiro- Metalfisa'!X$3,METALFISA!$B:$B,'Faltantes Fevereiro- Metalfisa'!$A398)</f>
        <v>0</v>
      </c>
      <c r="Y398" s="31">
        <f>SUMIFS(METALFISA!$E:$E,METALFISA!$A:$A,'Faltantes Fevereiro- Metalfisa'!Y$3,METALFISA!$B:$B,'Faltantes Fevereiro- Metalfisa'!$A398)</f>
        <v>0</v>
      </c>
      <c r="Z398" s="31">
        <f>SUMIFS(METALFISA!$E:$E,METALFISA!$A:$A,'Faltantes Fevereiro- Metalfisa'!Z$3,METALFISA!$B:$B,'Faltantes Fevereiro- Metalfisa'!$A398)</f>
        <v>0</v>
      </c>
      <c r="AA398" s="31">
        <f>SUMIFS(METALFISA!$E:$E,METALFISA!$A:$A,'Faltantes Fevereiro- Metalfisa'!AA$3,METALFISA!$B:$B,'Faltantes Fevereiro- Metalfisa'!$A398)</f>
        <v>0</v>
      </c>
      <c r="AB398" s="31">
        <f>SUMIFS(METALFISA!$E:$E,METALFISA!$A:$A,'Faltantes Fevereiro- Metalfisa'!AB$3,METALFISA!$B:$B,'Faltantes Fevereiro- Metalfisa'!$A398)</f>
        <v>0</v>
      </c>
      <c r="AC398" s="31">
        <f>SUMIFS(METALFISA!$E:$E,METALFISA!$A:$A,'Faltantes Fevereiro- Metalfisa'!AC$3,METALFISA!$B:$B,'Faltantes Fevereiro- Metalfisa'!$A398)</f>
        <v>0</v>
      </c>
      <c r="AD398" s="31">
        <f>SUMIFS(METALFISA!$E:$E,METALFISA!$A:$A,'Faltantes Fevereiro- Metalfisa'!AD$3,METALFISA!$B:$B,'Faltantes Fevereiro- Metalfisa'!$A398)</f>
        <v>0</v>
      </c>
      <c r="AE398" s="31">
        <f>SUMIFS(METALFISA!$E:$E,METALFISA!$A:$A,'Faltantes Fevereiro- Metalfisa'!AE$3,METALFISA!$B:$B,'Faltantes Fevereiro- Metalfisa'!$A398)</f>
        <v>0</v>
      </c>
      <c r="AF398" s="31">
        <f>SUMIFS(METALFISA!$E:$E,METALFISA!$A:$A,'Faltantes Fevereiro- Metalfisa'!AF$3,METALFISA!$B:$B,'Faltantes Fevereiro- Metalfisa'!$A398)</f>
        <v>0</v>
      </c>
      <c r="AG398" s="31">
        <f>SUMIFS(METALFISA!$E:$E,METALFISA!$A:$A,'Faltantes Fevereiro- Metalfisa'!AG$3,METALFISA!$B:$B,'Faltantes Fevereiro- Metalfisa'!$A398)</f>
        <v>0</v>
      </c>
      <c r="AH398" s="31">
        <f>SUMIFS(METALFISA!$E:$E,METALFISA!$A:$A,'Faltantes Fevereiro- Metalfisa'!AH$3,METALFISA!$B:$B,'Faltantes Fevereiro- Metalfisa'!$A398)</f>
        <v>0</v>
      </c>
      <c r="AI398" s="31">
        <f>SUMIFS(METALFISA!$E:$E,METALFISA!$A:$A,'Faltantes Fevereiro- Metalfisa'!AI$3,METALFISA!$B:$B,'Faltantes Fevereiro- Metalfisa'!$A398)</f>
        <v>6</v>
      </c>
      <c r="AJ398" s="31">
        <f>SUMIFS(METALFISA!$E:$E,METALFISA!$A:$A,'Faltantes Fevereiro- Metalfisa'!AJ$3,METALFISA!$B:$B,'Faltantes Fevereiro- Metalfisa'!$A398)</f>
        <v>0</v>
      </c>
      <c r="AK398" s="31">
        <f>SUMIFS(METALFISA!$E:$E,METALFISA!$A:$A,'Faltantes Fevereiro- Metalfisa'!AK$3,METALFISA!$B:$B,'Faltantes Fevereiro- Metalfisa'!$A398)</f>
        <v>0</v>
      </c>
      <c r="AL398" s="31">
        <f>SUMIFS(METALFISA!$E:$E,METALFISA!$A:$A,'Faltantes Fevereiro- Metalfisa'!AL$3,METALFISA!$B:$B,'Faltantes Fevereiro- Metalfisa'!$A398)</f>
        <v>0</v>
      </c>
      <c r="AM398" s="31">
        <f>SUMIFS(METALFISA!$E:$E,METALFISA!$A:$A,'Faltantes Fevereiro- Metalfisa'!AM$3,METALFISA!$B:$B,'Faltantes Fevereiro- Metalfisa'!$A398)</f>
        <v>0</v>
      </c>
      <c r="AN398" s="31">
        <f>SUMIFS(METALFISA!$E:$E,METALFISA!$A:$A,'Faltantes Fevereiro- Metalfisa'!AN$3,METALFISA!$B:$B,'Faltantes Fevereiro- Metalfisa'!$A398)</f>
        <v>6</v>
      </c>
      <c r="AO398" s="31">
        <f>SUMIFS(METALFISA!$E:$E,METALFISA!$A:$A,'Faltantes Fevereiro- Metalfisa'!AO$3,METALFISA!$B:$B,'Faltantes Fevereiro- Metalfisa'!$A398)</f>
        <v>0</v>
      </c>
      <c r="AP398" s="31">
        <f>SUMIFS(METALFISA!$E:$E,METALFISA!$A:$A,'Faltantes Fevereiro- Metalfisa'!AP$3,METALFISA!$B:$B,'Faltantes Fevereiro- Metalfisa'!$A398)</f>
        <v>0</v>
      </c>
      <c r="AQ398" s="31"/>
      <c r="AR398" s="31"/>
      <c r="AS398" s="35"/>
      <c r="AY398" s="41">
        <v>0</v>
      </c>
      <c r="AZ398" s="31">
        <v>0</v>
      </c>
      <c r="BA398" s="31">
        <v>0</v>
      </c>
      <c r="BB398" s="31">
        <v>0</v>
      </c>
      <c r="BC398" s="31">
        <v>0</v>
      </c>
      <c r="BD398" s="31">
        <v>0</v>
      </c>
      <c r="BE398" s="31">
        <v>0</v>
      </c>
      <c r="BF398" s="31">
        <v>0</v>
      </c>
      <c r="BG398" s="31">
        <v>0</v>
      </c>
      <c r="BH398" s="31">
        <v>0</v>
      </c>
      <c r="BI398" s="31">
        <v>0</v>
      </c>
      <c r="BJ398" s="31">
        <v>0</v>
      </c>
      <c r="BK398" s="31">
        <v>1</v>
      </c>
      <c r="BL398" s="31">
        <v>0</v>
      </c>
      <c r="BM398" s="31">
        <v>0</v>
      </c>
      <c r="BN398" s="31">
        <v>0</v>
      </c>
      <c r="BO398" s="31">
        <v>0</v>
      </c>
      <c r="BP398" s="31">
        <v>0</v>
      </c>
      <c r="BQ398" s="31">
        <v>0</v>
      </c>
      <c r="BR398" s="31">
        <v>0</v>
      </c>
      <c r="BS398" s="31">
        <v>0</v>
      </c>
      <c r="BT398" s="31">
        <v>0</v>
      </c>
      <c r="BU398" s="31">
        <v>0</v>
      </c>
      <c r="BV398" s="31">
        <v>0</v>
      </c>
      <c r="BW398" s="31">
        <v>0</v>
      </c>
      <c r="BX398" s="31">
        <v>0</v>
      </c>
      <c r="BY398" s="31">
        <v>0</v>
      </c>
      <c r="BZ398" s="31">
        <v>0</v>
      </c>
      <c r="CA398" s="31">
        <v>0</v>
      </c>
      <c r="CB398" s="31">
        <v>0</v>
      </c>
      <c r="CC398" s="31">
        <v>0</v>
      </c>
      <c r="CD398" s="31">
        <v>0</v>
      </c>
      <c r="CE398" s="31">
        <v>0</v>
      </c>
      <c r="CF398" s="31">
        <v>0</v>
      </c>
      <c r="CG398" s="31">
        <v>0</v>
      </c>
      <c r="CH398" s="31">
        <v>0</v>
      </c>
      <c r="CI398" s="31">
        <v>0</v>
      </c>
      <c r="CJ398" s="31">
        <v>0</v>
      </c>
      <c r="CK398" s="31">
        <v>0</v>
      </c>
      <c r="CL398" s="35">
        <v>0</v>
      </c>
    </row>
    <row r="399" spans="1:90" x14ac:dyDescent="0.15">
      <c r="A399" s="31" t="s">
        <v>23</v>
      </c>
      <c r="B399" s="30" t="s">
        <v>114</v>
      </c>
      <c r="C399" s="28">
        <v>0</v>
      </c>
      <c r="D399" s="28">
        <v>0</v>
      </c>
      <c r="E399" s="28">
        <v>0</v>
      </c>
      <c r="F399" s="28">
        <v>0</v>
      </c>
      <c r="G399" s="28">
        <v>29</v>
      </c>
      <c r="H399" s="28">
        <f>IFERROR(VLOOKUP(A399,[1]FALTANTES!$A:$AB,28,FALSE),"-")</f>
        <v>0</v>
      </c>
      <c r="I399" s="42">
        <f>IFERROR(VLOOKUP(A399,[1]FALTANTES!$A:$AC,29,FALSE),"-")</f>
        <v>9</v>
      </c>
      <c r="J399" s="29">
        <f>IFERROR(VLOOKUP(A399,[1]FALTANTES!$A:$AD,30,FALSE),"-")</f>
        <v>-20</v>
      </c>
      <c r="K399" s="30">
        <v>0</v>
      </c>
      <c r="L399" s="30">
        <f t="shared" si="7"/>
        <v>39</v>
      </c>
      <c r="M399" s="31">
        <f>SUMIFS(METALFISA!$E:$E,METALFISA!$A:$A,'Faltantes Fevereiro- Metalfisa'!M$3,METALFISA!$B:$B,'Faltantes Fevereiro- Metalfisa'!$A399)</f>
        <v>0</v>
      </c>
      <c r="N399" s="31">
        <f>SUMIFS(METALFISA!$E:$E,METALFISA!$A:$A,'Faltantes Fevereiro- Metalfisa'!N$3,METALFISA!$B:$B,'Faltantes Fevereiro- Metalfisa'!$A399)</f>
        <v>0</v>
      </c>
      <c r="O399" s="31">
        <f>SUMIFS(METALFISA!$E:$E,METALFISA!$A:$A,'Faltantes Fevereiro- Metalfisa'!O$3,METALFISA!$B:$B,'Faltantes Fevereiro- Metalfisa'!$A399)</f>
        <v>0</v>
      </c>
      <c r="P399" s="31">
        <f>SUMIFS(METALFISA!$E:$E,METALFISA!$A:$A,'Faltantes Fevereiro- Metalfisa'!P$3,METALFISA!$B:$B,'Faltantes Fevereiro- Metalfisa'!$A399)</f>
        <v>0</v>
      </c>
      <c r="Q399" s="31">
        <f>SUMIFS(METALFISA!$E:$E,METALFISA!$A:$A,'Faltantes Fevereiro- Metalfisa'!Q$3,METALFISA!$B:$B,'Faltantes Fevereiro- Metalfisa'!$A399)</f>
        <v>0</v>
      </c>
      <c r="R399" s="31">
        <f>SUMIFS(METALFISA!$E:$E,METALFISA!$A:$A,'Faltantes Fevereiro- Metalfisa'!R$3,METALFISA!$B:$B,'Faltantes Fevereiro- Metalfisa'!$A399)</f>
        <v>0</v>
      </c>
      <c r="S399" s="31">
        <f>SUMIFS(METALFISA!$E:$E,METALFISA!$A:$A,'Faltantes Fevereiro- Metalfisa'!S$3,METALFISA!$B:$B,'Faltantes Fevereiro- Metalfisa'!$A399)</f>
        <v>0</v>
      </c>
      <c r="T399" s="31">
        <f>SUMIFS(METALFISA!$E:$E,METALFISA!$A:$A,'Faltantes Fevereiro- Metalfisa'!T$3,METALFISA!$B:$B,'Faltantes Fevereiro- Metalfisa'!$A399)</f>
        <v>0</v>
      </c>
      <c r="U399" s="31">
        <f>SUMIFS(METALFISA!$E:$E,METALFISA!$A:$A,'Faltantes Fevereiro- Metalfisa'!U$3,METALFISA!$B:$B,'Faltantes Fevereiro- Metalfisa'!$A399)</f>
        <v>0</v>
      </c>
      <c r="V399" s="31">
        <f>SUMIFS(METALFISA!$E:$E,METALFISA!$A:$A,'Faltantes Fevereiro- Metalfisa'!V$3,METALFISA!$B:$B,'Faltantes Fevereiro- Metalfisa'!$A399)</f>
        <v>0</v>
      </c>
      <c r="W399" s="31">
        <f>SUMIFS(METALFISA!$E:$E,METALFISA!$A:$A,'Faltantes Fevereiro- Metalfisa'!W$3,METALFISA!$B:$B,'Faltantes Fevereiro- Metalfisa'!$A399)</f>
        <v>0</v>
      </c>
      <c r="X399" s="31">
        <f>SUMIFS(METALFISA!$E:$E,METALFISA!$A:$A,'Faltantes Fevereiro- Metalfisa'!X$3,METALFISA!$B:$B,'Faltantes Fevereiro- Metalfisa'!$A399)</f>
        <v>0</v>
      </c>
      <c r="Y399" s="31">
        <f>SUMIFS(METALFISA!$E:$E,METALFISA!$A:$A,'Faltantes Fevereiro- Metalfisa'!Y$3,METALFISA!$B:$B,'Faltantes Fevereiro- Metalfisa'!$A399)</f>
        <v>0</v>
      </c>
      <c r="Z399" s="31">
        <f>SUMIFS(METALFISA!$E:$E,METALFISA!$A:$A,'Faltantes Fevereiro- Metalfisa'!Z$3,METALFISA!$B:$B,'Faltantes Fevereiro- Metalfisa'!$A399)</f>
        <v>0</v>
      </c>
      <c r="AA399" s="31">
        <f>SUMIFS(METALFISA!$E:$E,METALFISA!$A:$A,'Faltantes Fevereiro- Metalfisa'!AA$3,METALFISA!$B:$B,'Faltantes Fevereiro- Metalfisa'!$A399)</f>
        <v>0</v>
      </c>
      <c r="AB399" s="31">
        <f>SUMIFS(METALFISA!$E:$E,METALFISA!$A:$A,'Faltantes Fevereiro- Metalfisa'!AB$3,METALFISA!$B:$B,'Faltantes Fevereiro- Metalfisa'!$A399)</f>
        <v>0</v>
      </c>
      <c r="AC399" s="31">
        <f>SUMIFS(METALFISA!$E:$E,METALFISA!$A:$A,'Faltantes Fevereiro- Metalfisa'!AC$3,METALFISA!$B:$B,'Faltantes Fevereiro- Metalfisa'!$A399)</f>
        <v>0</v>
      </c>
      <c r="AD399" s="31">
        <f>SUMIFS(METALFISA!$E:$E,METALFISA!$A:$A,'Faltantes Fevereiro- Metalfisa'!AD$3,METALFISA!$B:$B,'Faltantes Fevereiro- Metalfisa'!$A399)</f>
        <v>0</v>
      </c>
      <c r="AE399" s="31">
        <f>SUMIFS(METALFISA!$E:$E,METALFISA!$A:$A,'Faltantes Fevereiro- Metalfisa'!AE$3,METALFISA!$B:$B,'Faltantes Fevereiro- Metalfisa'!$A399)</f>
        <v>0</v>
      </c>
      <c r="AF399" s="31">
        <f>SUMIFS(METALFISA!$E:$E,METALFISA!$A:$A,'Faltantes Fevereiro- Metalfisa'!AF$3,METALFISA!$B:$B,'Faltantes Fevereiro- Metalfisa'!$A399)</f>
        <v>0</v>
      </c>
      <c r="AG399" s="31">
        <f>SUMIFS(METALFISA!$E:$E,METALFISA!$A:$A,'Faltantes Fevereiro- Metalfisa'!AG$3,METALFISA!$B:$B,'Faltantes Fevereiro- Metalfisa'!$A399)</f>
        <v>0</v>
      </c>
      <c r="AH399" s="31">
        <f>SUMIFS(METALFISA!$E:$E,METALFISA!$A:$A,'Faltantes Fevereiro- Metalfisa'!AH$3,METALFISA!$B:$B,'Faltantes Fevereiro- Metalfisa'!$A399)</f>
        <v>0</v>
      </c>
      <c r="AI399" s="31">
        <f>SUMIFS(METALFISA!$E:$E,METALFISA!$A:$A,'Faltantes Fevereiro- Metalfisa'!AI$3,METALFISA!$B:$B,'Faltantes Fevereiro- Metalfisa'!$A399)</f>
        <v>19</v>
      </c>
      <c r="AJ399" s="31">
        <f>SUMIFS(METALFISA!$E:$E,METALFISA!$A:$A,'Faltantes Fevereiro- Metalfisa'!AJ$3,METALFISA!$B:$B,'Faltantes Fevereiro- Metalfisa'!$A399)</f>
        <v>0</v>
      </c>
      <c r="AK399" s="31">
        <f>SUMIFS(METALFISA!$E:$E,METALFISA!$A:$A,'Faltantes Fevereiro- Metalfisa'!AK$3,METALFISA!$B:$B,'Faltantes Fevereiro- Metalfisa'!$A399)</f>
        <v>0</v>
      </c>
      <c r="AL399" s="31">
        <f>SUMIFS(METALFISA!$E:$E,METALFISA!$A:$A,'Faltantes Fevereiro- Metalfisa'!AL$3,METALFISA!$B:$B,'Faltantes Fevereiro- Metalfisa'!$A399)</f>
        <v>0</v>
      </c>
      <c r="AM399" s="31">
        <f>SUMIFS(METALFISA!$E:$E,METALFISA!$A:$A,'Faltantes Fevereiro- Metalfisa'!AM$3,METALFISA!$B:$B,'Faltantes Fevereiro- Metalfisa'!$A399)</f>
        <v>1</v>
      </c>
      <c r="AN399" s="31">
        <f>SUMIFS(METALFISA!$E:$E,METALFISA!$A:$A,'Faltantes Fevereiro- Metalfisa'!AN$3,METALFISA!$B:$B,'Faltantes Fevereiro- Metalfisa'!$A399)</f>
        <v>19</v>
      </c>
      <c r="AO399" s="31">
        <f>SUMIFS(METALFISA!$E:$E,METALFISA!$A:$A,'Faltantes Fevereiro- Metalfisa'!AO$3,METALFISA!$B:$B,'Faltantes Fevereiro- Metalfisa'!$A399)</f>
        <v>0</v>
      </c>
      <c r="AP399" s="31">
        <f>SUMIFS(METALFISA!$E:$E,METALFISA!$A:$A,'Faltantes Fevereiro- Metalfisa'!AP$3,METALFISA!$B:$B,'Faltantes Fevereiro- Metalfisa'!$A399)</f>
        <v>0</v>
      </c>
      <c r="AQ399" s="31"/>
      <c r="AR399" s="31"/>
      <c r="AS399" s="35"/>
      <c r="AY399" s="41">
        <v>0</v>
      </c>
      <c r="AZ399" s="31">
        <v>0</v>
      </c>
      <c r="BA399" s="31">
        <v>0</v>
      </c>
      <c r="BB399" s="31">
        <v>0</v>
      </c>
      <c r="BC399" s="31">
        <v>0</v>
      </c>
      <c r="BD399" s="31">
        <v>0</v>
      </c>
      <c r="BE399" s="31">
        <v>0</v>
      </c>
      <c r="BF399" s="31">
        <v>0</v>
      </c>
      <c r="BG399" s="31">
        <v>0</v>
      </c>
      <c r="BH399" s="31">
        <v>0</v>
      </c>
      <c r="BI399" s="31">
        <v>0</v>
      </c>
      <c r="BJ399" s="31">
        <v>0</v>
      </c>
      <c r="BK399" s="31">
        <v>4</v>
      </c>
      <c r="BL399" s="31">
        <v>0</v>
      </c>
      <c r="BM399" s="31">
        <v>0</v>
      </c>
      <c r="BN399" s="31">
        <v>0</v>
      </c>
      <c r="BO399" s="31">
        <v>0</v>
      </c>
      <c r="BP399" s="31">
        <v>0</v>
      </c>
      <c r="BQ399" s="31">
        <v>0</v>
      </c>
      <c r="BR399" s="31">
        <v>0</v>
      </c>
      <c r="BS399" s="31">
        <v>0</v>
      </c>
      <c r="BT399" s="31">
        <v>0</v>
      </c>
      <c r="BU399" s="31">
        <v>0</v>
      </c>
      <c r="BV399" s="31">
        <v>0</v>
      </c>
      <c r="BW399" s="31">
        <v>0</v>
      </c>
      <c r="BX399" s="31">
        <v>0</v>
      </c>
      <c r="BY399" s="31">
        <v>0</v>
      </c>
      <c r="BZ399" s="31">
        <v>0</v>
      </c>
      <c r="CA399" s="31">
        <v>0</v>
      </c>
      <c r="CB399" s="31">
        <v>0</v>
      </c>
      <c r="CC399" s="31">
        <v>0</v>
      </c>
      <c r="CD399" s="31">
        <v>0</v>
      </c>
      <c r="CE399" s="31">
        <v>0</v>
      </c>
      <c r="CF399" s="31">
        <v>0</v>
      </c>
      <c r="CG399" s="31">
        <v>0</v>
      </c>
      <c r="CH399" s="31">
        <v>0</v>
      </c>
      <c r="CI399" s="31">
        <v>0</v>
      </c>
      <c r="CJ399" s="31">
        <v>0</v>
      </c>
      <c r="CK399" s="31">
        <v>0</v>
      </c>
      <c r="CL399" s="35">
        <v>0</v>
      </c>
    </row>
    <row r="400" spans="1:90" x14ac:dyDescent="0.15">
      <c r="A400" s="31" t="s">
        <v>846</v>
      </c>
      <c r="B400" s="30" t="s">
        <v>847</v>
      </c>
      <c r="C400" s="28">
        <v>0</v>
      </c>
      <c r="D400" s="28">
        <v>0</v>
      </c>
      <c r="E400" s="28">
        <v>0</v>
      </c>
      <c r="F400" s="28">
        <v>0</v>
      </c>
      <c r="G400" s="28">
        <v>23</v>
      </c>
      <c r="H400" s="28">
        <f>IFERROR(VLOOKUP(A400,[1]FALTANTES!$A:$AB,28,FALSE),"-")</f>
        <v>0</v>
      </c>
      <c r="I400" s="42">
        <f>IFERROR(VLOOKUP(A400,[1]FALTANTES!$A:$AC,29,FALSE),"-")</f>
        <v>0</v>
      </c>
      <c r="J400" s="29">
        <f>IFERROR(VLOOKUP(A400,[1]FALTANTES!$A:$AD,30,FALSE),"-")</f>
        <v>-23</v>
      </c>
      <c r="K400" s="30">
        <v>0</v>
      </c>
      <c r="L400" s="30">
        <f t="shared" ref="L400:L404" si="8">SUM(M400:AS400)</f>
        <v>35</v>
      </c>
      <c r="M400" s="31">
        <f>SUMIFS(METALFISA!$E:$E,METALFISA!$A:$A,'Faltantes Fevereiro- Metalfisa'!M$3,METALFISA!$B:$B,'Faltantes Fevereiro- Metalfisa'!$A400)</f>
        <v>0</v>
      </c>
      <c r="N400" s="31">
        <f>SUMIFS(METALFISA!$E:$E,METALFISA!$A:$A,'Faltantes Fevereiro- Metalfisa'!N$3,METALFISA!$B:$B,'Faltantes Fevereiro- Metalfisa'!$A400)</f>
        <v>0</v>
      </c>
      <c r="O400" s="31">
        <f>SUMIFS(METALFISA!$E:$E,METALFISA!$A:$A,'Faltantes Fevereiro- Metalfisa'!O$3,METALFISA!$B:$B,'Faltantes Fevereiro- Metalfisa'!$A400)</f>
        <v>0</v>
      </c>
      <c r="P400" s="31">
        <f>SUMIFS(METALFISA!$E:$E,METALFISA!$A:$A,'Faltantes Fevereiro- Metalfisa'!P$3,METALFISA!$B:$B,'Faltantes Fevereiro- Metalfisa'!$A400)</f>
        <v>0</v>
      </c>
      <c r="Q400" s="31">
        <f>SUMIFS(METALFISA!$E:$E,METALFISA!$A:$A,'Faltantes Fevereiro- Metalfisa'!Q$3,METALFISA!$B:$B,'Faltantes Fevereiro- Metalfisa'!$A400)</f>
        <v>0</v>
      </c>
      <c r="R400" s="31">
        <f>SUMIFS(METALFISA!$E:$E,METALFISA!$A:$A,'Faltantes Fevereiro- Metalfisa'!R$3,METALFISA!$B:$B,'Faltantes Fevereiro- Metalfisa'!$A400)</f>
        <v>0</v>
      </c>
      <c r="S400" s="31">
        <f>SUMIFS(METALFISA!$E:$E,METALFISA!$A:$A,'Faltantes Fevereiro- Metalfisa'!S$3,METALFISA!$B:$B,'Faltantes Fevereiro- Metalfisa'!$A400)</f>
        <v>0</v>
      </c>
      <c r="T400" s="31">
        <f>SUMIFS(METALFISA!$E:$E,METALFISA!$A:$A,'Faltantes Fevereiro- Metalfisa'!T$3,METALFISA!$B:$B,'Faltantes Fevereiro- Metalfisa'!$A400)</f>
        <v>0</v>
      </c>
      <c r="U400" s="31">
        <f>SUMIFS(METALFISA!$E:$E,METALFISA!$A:$A,'Faltantes Fevereiro- Metalfisa'!U$3,METALFISA!$B:$B,'Faltantes Fevereiro- Metalfisa'!$A400)</f>
        <v>0</v>
      </c>
      <c r="V400" s="31">
        <f>SUMIFS(METALFISA!$E:$E,METALFISA!$A:$A,'Faltantes Fevereiro- Metalfisa'!V$3,METALFISA!$B:$B,'Faltantes Fevereiro- Metalfisa'!$A400)</f>
        <v>0</v>
      </c>
      <c r="W400" s="31">
        <f>SUMIFS(METALFISA!$E:$E,METALFISA!$A:$A,'Faltantes Fevereiro- Metalfisa'!W$3,METALFISA!$B:$B,'Faltantes Fevereiro- Metalfisa'!$A400)</f>
        <v>0</v>
      </c>
      <c r="X400" s="31">
        <f>SUMIFS(METALFISA!$E:$E,METALFISA!$A:$A,'Faltantes Fevereiro- Metalfisa'!X$3,METALFISA!$B:$B,'Faltantes Fevereiro- Metalfisa'!$A400)</f>
        <v>0</v>
      </c>
      <c r="Y400" s="31">
        <f>SUMIFS(METALFISA!$E:$E,METALFISA!$A:$A,'Faltantes Fevereiro- Metalfisa'!Y$3,METALFISA!$B:$B,'Faltantes Fevereiro- Metalfisa'!$A400)</f>
        <v>0</v>
      </c>
      <c r="Z400" s="31">
        <f>SUMIFS(METALFISA!$E:$E,METALFISA!$A:$A,'Faltantes Fevereiro- Metalfisa'!Z$3,METALFISA!$B:$B,'Faltantes Fevereiro- Metalfisa'!$A400)</f>
        <v>0</v>
      </c>
      <c r="AA400" s="31">
        <f>SUMIFS(METALFISA!$E:$E,METALFISA!$A:$A,'Faltantes Fevereiro- Metalfisa'!AA$3,METALFISA!$B:$B,'Faltantes Fevereiro- Metalfisa'!$A400)</f>
        <v>0</v>
      </c>
      <c r="AB400" s="31">
        <f>SUMIFS(METALFISA!$E:$E,METALFISA!$A:$A,'Faltantes Fevereiro- Metalfisa'!AB$3,METALFISA!$B:$B,'Faltantes Fevereiro- Metalfisa'!$A400)</f>
        <v>0</v>
      </c>
      <c r="AC400" s="31">
        <f>SUMIFS(METALFISA!$E:$E,METALFISA!$A:$A,'Faltantes Fevereiro- Metalfisa'!AC$3,METALFISA!$B:$B,'Faltantes Fevereiro- Metalfisa'!$A400)</f>
        <v>0</v>
      </c>
      <c r="AD400" s="31">
        <f>SUMIFS(METALFISA!$E:$E,METALFISA!$A:$A,'Faltantes Fevereiro- Metalfisa'!AD$3,METALFISA!$B:$B,'Faltantes Fevereiro- Metalfisa'!$A400)</f>
        <v>0</v>
      </c>
      <c r="AE400" s="31">
        <f>SUMIFS(METALFISA!$E:$E,METALFISA!$A:$A,'Faltantes Fevereiro- Metalfisa'!AE$3,METALFISA!$B:$B,'Faltantes Fevereiro- Metalfisa'!$A400)</f>
        <v>0</v>
      </c>
      <c r="AF400" s="31">
        <f>SUMIFS(METALFISA!$E:$E,METALFISA!$A:$A,'Faltantes Fevereiro- Metalfisa'!AF$3,METALFISA!$B:$B,'Faltantes Fevereiro- Metalfisa'!$A400)</f>
        <v>0</v>
      </c>
      <c r="AG400" s="31">
        <f>SUMIFS(METALFISA!$E:$E,METALFISA!$A:$A,'Faltantes Fevereiro- Metalfisa'!AG$3,METALFISA!$B:$B,'Faltantes Fevereiro- Metalfisa'!$A400)</f>
        <v>0</v>
      </c>
      <c r="AH400" s="31">
        <f>SUMIFS(METALFISA!$E:$E,METALFISA!$A:$A,'Faltantes Fevereiro- Metalfisa'!AH$3,METALFISA!$B:$B,'Faltantes Fevereiro- Metalfisa'!$A400)</f>
        <v>35</v>
      </c>
      <c r="AI400" s="31">
        <f>SUMIFS(METALFISA!$E:$E,METALFISA!$A:$A,'Faltantes Fevereiro- Metalfisa'!AI$3,METALFISA!$B:$B,'Faltantes Fevereiro- Metalfisa'!$A400)</f>
        <v>0</v>
      </c>
      <c r="AJ400" s="31">
        <f>SUMIFS(METALFISA!$E:$E,METALFISA!$A:$A,'Faltantes Fevereiro- Metalfisa'!AJ$3,METALFISA!$B:$B,'Faltantes Fevereiro- Metalfisa'!$A400)</f>
        <v>0</v>
      </c>
      <c r="AK400" s="31">
        <f>SUMIFS(METALFISA!$E:$E,METALFISA!$A:$A,'Faltantes Fevereiro- Metalfisa'!AK$3,METALFISA!$B:$B,'Faltantes Fevereiro- Metalfisa'!$A400)</f>
        <v>0</v>
      </c>
      <c r="AL400" s="31">
        <f>SUMIFS(METALFISA!$E:$E,METALFISA!$A:$A,'Faltantes Fevereiro- Metalfisa'!AL$3,METALFISA!$B:$B,'Faltantes Fevereiro- Metalfisa'!$A400)</f>
        <v>0</v>
      </c>
      <c r="AM400" s="31">
        <f>SUMIFS(METALFISA!$E:$E,METALFISA!$A:$A,'Faltantes Fevereiro- Metalfisa'!AM$3,METALFISA!$B:$B,'Faltantes Fevereiro- Metalfisa'!$A400)</f>
        <v>0</v>
      </c>
      <c r="AN400" s="31">
        <f>SUMIFS(METALFISA!$E:$E,METALFISA!$A:$A,'Faltantes Fevereiro- Metalfisa'!AN$3,METALFISA!$B:$B,'Faltantes Fevereiro- Metalfisa'!$A400)</f>
        <v>0</v>
      </c>
      <c r="AO400" s="31">
        <f>SUMIFS(METALFISA!$E:$E,METALFISA!$A:$A,'Faltantes Fevereiro- Metalfisa'!AO$3,METALFISA!$B:$B,'Faltantes Fevereiro- Metalfisa'!$A400)</f>
        <v>0</v>
      </c>
      <c r="AP400" s="31">
        <f>SUMIFS(METALFISA!$E:$E,METALFISA!$A:$A,'Faltantes Fevereiro- Metalfisa'!AP$3,METALFISA!$B:$B,'Faltantes Fevereiro- Metalfisa'!$A400)</f>
        <v>0</v>
      </c>
      <c r="AQ400" s="31"/>
      <c r="AR400" s="31"/>
      <c r="AS400" s="35"/>
      <c r="AY400" s="41">
        <v>1</v>
      </c>
      <c r="AZ400" s="31">
        <v>2</v>
      </c>
      <c r="BA400" s="31">
        <v>0</v>
      </c>
      <c r="BB400" s="31">
        <v>0</v>
      </c>
      <c r="BC400" s="31">
        <v>0</v>
      </c>
      <c r="BD400" s="31">
        <v>0</v>
      </c>
      <c r="BE400" s="31">
        <v>0</v>
      </c>
      <c r="BF400" s="31">
        <v>0</v>
      </c>
      <c r="BG400" s="31">
        <v>0</v>
      </c>
      <c r="BH400" s="31">
        <v>0</v>
      </c>
      <c r="BI400" s="31">
        <v>0</v>
      </c>
      <c r="BJ400" s="31">
        <v>0</v>
      </c>
      <c r="BK400" s="31">
        <v>0</v>
      </c>
      <c r="BL400" s="31">
        <v>0</v>
      </c>
      <c r="BM400" s="31">
        <v>0</v>
      </c>
      <c r="BN400" s="31">
        <v>0</v>
      </c>
      <c r="BO400" s="31">
        <v>0</v>
      </c>
      <c r="BP400" s="31">
        <v>0</v>
      </c>
      <c r="BQ400" s="31">
        <v>0</v>
      </c>
      <c r="BR400" s="31">
        <v>0</v>
      </c>
      <c r="BS400" s="31">
        <v>0</v>
      </c>
      <c r="BT400" s="31">
        <v>0</v>
      </c>
      <c r="BU400" s="31">
        <v>0</v>
      </c>
      <c r="BV400" s="31">
        <v>0</v>
      </c>
      <c r="BW400" s="31">
        <v>0</v>
      </c>
      <c r="BX400" s="31">
        <v>0</v>
      </c>
      <c r="BY400" s="31">
        <v>0</v>
      </c>
      <c r="BZ400" s="31">
        <v>0</v>
      </c>
      <c r="CA400" s="31">
        <v>0</v>
      </c>
      <c r="CB400" s="31">
        <v>0</v>
      </c>
      <c r="CC400" s="31">
        <v>0</v>
      </c>
      <c r="CD400" s="31">
        <v>0</v>
      </c>
      <c r="CE400" s="31">
        <v>0</v>
      </c>
      <c r="CF400" s="31">
        <v>0</v>
      </c>
      <c r="CG400" s="31">
        <v>0</v>
      </c>
      <c r="CH400" s="31">
        <v>0</v>
      </c>
      <c r="CI400" s="31">
        <v>0</v>
      </c>
      <c r="CJ400" s="31">
        <v>0</v>
      </c>
      <c r="CK400" s="31">
        <v>0</v>
      </c>
      <c r="CL400" s="35">
        <v>0</v>
      </c>
    </row>
    <row r="401" spans="1:90" ht="21" x14ac:dyDescent="0.15">
      <c r="A401" s="31" t="s">
        <v>946</v>
      </c>
      <c r="B401" s="30" t="s">
        <v>947</v>
      </c>
      <c r="C401" s="28">
        <v>0</v>
      </c>
      <c r="D401" s="28">
        <v>1</v>
      </c>
      <c r="E401" s="28">
        <v>0</v>
      </c>
      <c r="F401" s="28">
        <v>0</v>
      </c>
      <c r="G401" s="28">
        <v>62</v>
      </c>
      <c r="H401" s="28">
        <f>IFERROR(VLOOKUP(A401,[1]FALTANTES!$A:$AB,28,FALSE),"-")</f>
        <v>0</v>
      </c>
      <c r="I401" s="42">
        <f>IFERROR(VLOOKUP(A401,[1]FALTANTES!$A:$AC,29,FALSE),"-")</f>
        <v>0</v>
      </c>
      <c r="J401" s="29">
        <f>IFERROR(VLOOKUP(A401,[1]FALTANTES!$A:$AD,30,FALSE),"-")</f>
        <v>-63</v>
      </c>
      <c r="K401" s="30">
        <v>0</v>
      </c>
      <c r="L401" s="30">
        <f t="shared" si="8"/>
        <v>164</v>
      </c>
      <c r="M401" s="31">
        <f>SUMIFS(METALFISA!$E:$E,METALFISA!$A:$A,'Faltantes Fevereiro- Metalfisa'!M$3,METALFISA!$B:$B,'Faltantes Fevereiro- Metalfisa'!$A401)</f>
        <v>0</v>
      </c>
      <c r="N401" s="31">
        <f>SUMIFS(METALFISA!$E:$E,METALFISA!$A:$A,'Faltantes Fevereiro- Metalfisa'!N$3,METALFISA!$B:$B,'Faltantes Fevereiro- Metalfisa'!$A401)</f>
        <v>0</v>
      </c>
      <c r="O401" s="31">
        <f>SUMIFS(METALFISA!$E:$E,METALFISA!$A:$A,'Faltantes Fevereiro- Metalfisa'!O$3,METALFISA!$B:$B,'Faltantes Fevereiro- Metalfisa'!$A401)</f>
        <v>0</v>
      </c>
      <c r="P401" s="31">
        <f>SUMIFS(METALFISA!$E:$E,METALFISA!$A:$A,'Faltantes Fevereiro- Metalfisa'!P$3,METALFISA!$B:$B,'Faltantes Fevereiro- Metalfisa'!$A401)</f>
        <v>0</v>
      </c>
      <c r="Q401" s="31">
        <f>SUMIFS(METALFISA!$E:$E,METALFISA!$A:$A,'Faltantes Fevereiro- Metalfisa'!Q$3,METALFISA!$B:$B,'Faltantes Fevereiro- Metalfisa'!$A401)</f>
        <v>0</v>
      </c>
      <c r="R401" s="31">
        <f>SUMIFS(METALFISA!$E:$E,METALFISA!$A:$A,'Faltantes Fevereiro- Metalfisa'!R$3,METALFISA!$B:$B,'Faltantes Fevereiro- Metalfisa'!$A401)</f>
        <v>0</v>
      </c>
      <c r="S401" s="31">
        <f>SUMIFS(METALFISA!$E:$E,METALFISA!$A:$A,'Faltantes Fevereiro- Metalfisa'!S$3,METALFISA!$B:$B,'Faltantes Fevereiro- Metalfisa'!$A401)</f>
        <v>0</v>
      </c>
      <c r="T401" s="31">
        <f>SUMIFS(METALFISA!$E:$E,METALFISA!$A:$A,'Faltantes Fevereiro- Metalfisa'!T$3,METALFISA!$B:$B,'Faltantes Fevereiro- Metalfisa'!$A401)</f>
        <v>0</v>
      </c>
      <c r="U401" s="31">
        <f>SUMIFS(METALFISA!$E:$E,METALFISA!$A:$A,'Faltantes Fevereiro- Metalfisa'!U$3,METALFISA!$B:$B,'Faltantes Fevereiro- Metalfisa'!$A401)</f>
        <v>0</v>
      </c>
      <c r="V401" s="31">
        <f>SUMIFS(METALFISA!$E:$E,METALFISA!$A:$A,'Faltantes Fevereiro- Metalfisa'!V$3,METALFISA!$B:$B,'Faltantes Fevereiro- Metalfisa'!$A401)</f>
        <v>0</v>
      </c>
      <c r="W401" s="31">
        <f>SUMIFS(METALFISA!$E:$E,METALFISA!$A:$A,'Faltantes Fevereiro- Metalfisa'!W$3,METALFISA!$B:$B,'Faltantes Fevereiro- Metalfisa'!$A401)</f>
        <v>0</v>
      </c>
      <c r="X401" s="31">
        <f>SUMIFS(METALFISA!$E:$E,METALFISA!$A:$A,'Faltantes Fevereiro- Metalfisa'!X$3,METALFISA!$B:$B,'Faltantes Fevereiro- Metalfisa'!$A401)</f>
        <v>0</v>
      </c>
      <c r="Y401" s="31">
        <f>SUMIFS(METALFISA!$E:$E,METALFISA!$A:$A,'Faltantes Fevereiro- Metalfisa'!Y$3,METALFISA!$B:$B,'Faltantes Fevereiro- Metalfisa'!$A401)</f>
        <v>0</v>
      </c>
      <c r="Z401" s="31">
        <f>SUMIFS(METALFISA!$E:$E,METALFISA!$A:$A,'Faltantes Fevereiro- Metalfisa'!Z$3,METALFISA!$B:$B,'Faltantes Fevereiro- Metalfisa'!$A401)</f>
        <v>0</v>
      </c>
      <c r="AA401" s="31">
        <f>SUMIFS(METALFISA!$E:$E,METALFISA!$A:$A,'Faltantes Fevereiro- Metalfisa'!AA$3,METALFISA!$B:$B,'Faltantes Fevereiro- Metalfisa'!$A401)</f>
        <v>0</v>
      </c>
      <c r="AB401" s="31">
        <f>SUMIFS(METALFISA!$E:$E,METALFISA!$A:$A,'Faltantes Fevereiro- Metalfisa'!AB$3,METALFISA!$B:$B,'Faltantes Fevereiro- Metalfisa'!$A401)</f>
        <v>0</v>
      </c>
      <c r="AC401" s="31">
        <f>SUMIFS(METALFISA!$E:$E,METALFISA!$A:$A,'Faltantes Fevereiro- Metalfisa'!AC$3,METALFISA!$B:$B,'Faltantes Fevereiro- Metalfisa'!$A401)</f>
        <v>0</v>
      </c>
      <c r="AD401" s="31">
        <f>SUMIFS(METALFISA!$E:$E,METALFISA!$A:$A,'Faltantes Fevereiro- Metalfisa'!AD$3,METALFISA!$B:$B,'Faltantes Fevereiro- Metalfisa'!$A401)</f>
        <v>0</v>
      </c>
      <c r="AE401" s="31">
        <f>SUMIFS(METALFISA!$E:$E,METALFISA!$A:$A,'Faltantes Fevereiro- Metalfisa'!AE$3,METALFISA!$B:$B,'Faltantes Fevereiro- Metalfisa'!$A401)</f>
        <v>0</v>
      </c>
      <c r="AF401" s="31">
        <f>SUMIFS(METALFISA!$E:$E,METALFISA!$A:$A,'Faltantes Fevereiro- Metalfisa'!AF$3,METALFISA!$B:$B,'Faltantes Fevereiro- Metalfisa'!$A401)</f>
        <v>0</v>
      </c>
      <c r="AG401" s="31">
        <f>SUMIFS(METALFISA!$E:$E,METALFISA!$A:$A,'Faltantes Fevereiro- Metalfisa'!AG$3,METALFISA!$B:$B,'Faltantes Fevereiro- Metalfisa'!$A401)</f>
        <v>0</v>
      </c>
      <c r="AH401" s="31">
        <f>SUMIFS(METALFISA!$E:$E,METALFISA!$A:$A,'Faltantes Fevereiro- Metalfisa'!AH$3,METALFISA!$B:$B,'Faltantes Fevereiro- Metalfisa'!$A401)</f>
        <v>0</v>
      </c>
      <c r="AI401" s="31">
        <f>SUMIFS(METALFISA!$E:$E,METALFISA!$A:$A,'Faltantes Fevereiro- Metalfisa'!AI$3,METALFISA!$B:$B,'Faltantes Fevereiro- Metalfisa'!$A401)</f>
        <v>68</v>
      </c>
      <c r="AJ401" s="31">
        <f>SUMIFS(METALFISA!$E:$E,METALFISA!$A:$A,'Faltantes Fevereiro- Metalfisa'!AJ$3,METALFISA!$B:$B,'Faltantes Fevereiro- Metalfisa'!$A401)</f>
        <v>0</v>
      </c>
      <c r="AK401" s="31">
        <f>SUMIFS(METALFISA!$E:$E,METALFISA!$A:$A,'Faltantes Fevereiro- Metalfisa'!AK$3,METALFISA!$B:$B,'Faltantes Fevereiro- Metalfisa'!$A401)</f>
        <v>28</v>
      </c>
      <c r="AL401" s="31">
        <f>SUMIFS(METALFISA!$E:$E,METALFISA!$A:$A,'Faltantes Fevereiro- Metalfisa'!AL$3,METALFISA!$B:$B,'Faltantes Fevereiro- Metalfisa'!$A401)</f>
        <v>0</v>
      </c>
      <c r="AM401" s="31">
        <f>SUMIFS(METALFISA!$E:$E,METALFISA!$A:$A,'Faltantes Fevereiro- Metalfisa'!AM$3,METALFISA!$B:$B,'Faltantes Fevereiro- Metalfisa'!$A401)</f>
        <v>0</v>
      </c>
      <c r="AN401" s="31">
        <f>SUMIFS(METALFISA!$E:$E,METALFISA!$A:$A,'Faltantes Fevereiro- Metalfisa'!AN$3,METALFISA!$B:$B,'Faltantes Fevereiro- Metalfisa'!$A401)</f>
        <v>68</v>
      </c>
      <c r="AO401" s="31">
        <f>SUMIFS(METALFISA!$E:$E,METALFISA!$A:$A,'Faltantes Fevereiro- Metalfisa'!AO$3,METALFISA!$B:$B,'Faltantes Fevereiro- Metalfisa'!$A401)</f>
        <v>0</v>
      </c>
      <c r="AP401" s="31">
        <f>SUMIFS(METALFISA!$E:$E,METALFISA!$A:$A,'Faltantes Fevereiro- Metalfisa'!AP$3,METALFISA!$B:$B,'Faltantes Fevereiro- Metalfisa'!$A401)</f>
        <v>0</v>
      </c>
      <c r="AQ401" s="31"/>
      <c r="AR401" s="31"/>
      <c r="AS401" s="35"/>
      <c r="AY401" s="41">
        <v>0</v>
      </c>
      <c r="AZ401" s="31">
        <v>0</v>
      </c>
      <c r="BA401" s="31">
        <v>0</v>
      </c>
      <c r="BB401" s="31">
        <v>0</v>
      </c>
      <c r="BC401" s="31">
        <v>0</v>
      </c>
      <c r="BD401" s="31">
        <v>0</v>
      </c>
      <c r="BE401" s="31">
        <v>0</v>
      </c>
      <c r="BF401" s="31">
        <v>0</v>
      </c>
      <c r="BG401" s="31">
        <v>2</v>
      </c>
      <c r="BH401" s="31">
        <v>2</v>
      </c>
      <c r="BI401" s="31">
        <v>0</v>
      </c>
      <c r="BJ401" s="31">
        <v>0</v>
      </c>
      <c r="BK401" s="31">
        <v>0</v>
      </c>
      <c r="BL401" s="31">
        <v>0</v>
      </c>
      <c r="BM401" s="31">
        <v>0</v>
      </c>
      <c r="BN401" s="31">
        <v>0</v>
      </c>
      <c r="BO401" s="31">
        <v>0</v>
      </c>
      <c r="BP401" s="31">
        <v>0</v>
      </c>
      <c r="BQ401" s="31">
        <v>0</v>
      </c>
      <c r="BR401" s="31">
        <v>0</v>
      </c>
      <c r="BS401" s="31">
        <v>0</v>
      </c>
      <c r="BT401" s="31">
        <v>0</v>
      </c>
      <c r="BU401" s="31">
        <v>0</v>
      </c>
      <c r="BV401" s="31">
        <v>0</v>
      </c>
      <c r="BW401" s="31">
        <v>0</v>
      </c>
      <c r="BX401" s="31">
        <v>0</v>
      </c>
      <c r="BY401" s="31">
        <v>2</v>
      </c>
      <c r="BZ401" s="31">
        <v>2</v>
      </c>
      <c r="CA401" s="31">
        <v>0</v>
      </c>
      <c r="CB401" s="31">
        <v>0</v>
      </c>
      <c r="CC401" s="31">
        <v>0</v>
      </c>
      <c r="CD401" s="31">
        <v>0</v>
      </c>
      <c r="CE401" s="31">
        <v>0</v>
      </c>
      <c r="CF401" s="31">
        <v>0</v>
      </c>
      <c r="CG401" s="31">
        <v>0</v>
      </c>
      <c r="CH401" s="31">
        <v>0</v>
      </c>
      <c r="CI401" s="31">
        <v>0</v>
      </c>
      <c r="CJ401" s="31">
        <v>0</v>
      </c>
      <c r="CK401" s="31">
        <v>0</v>
      </c>
      <c r="CL401" s="35">
        <v>0</v>
      </c>
    </row>
    <row r="402" spans="1:90" ht="21" x14ac:dyDescent="0.15">
      <c r="A402" s="31" t="s">
        <v>1800</v>
      </c>
      <c r="B402" s="30" t="s">
        <v>1801</v>
      </c>
      <c r="C402" s="28">
        <v>0</v>
      </c>
      <c r="D402" s="28">
        <v>0</v>
      </c>
      <c r="E402" s="28">
        <v>0</v>
      </c>
      <c r="F402" s="28">
        <v>0</v>
      </c>
      <c r="G402" s="28">
        <v>50</v>
      </c>
      <c r="H402" s="28">
        <f>IFERROR(VLOOKUP(A402,[1]FALTANTES!$A:$AB,28,FALSE),"-")</f>
        <v>0</v>
      </c>
      <c r="I402" s="42">
        <f>IFERROR(VLOOKUP(A402,[1]FALTANTES!$A:$AC,29,FALSE),"-")</f>
        <v>0</v>
      </c>
      <c r="J402" s="29">
        <f>IFERROR(VLOOKUP(A402,[1]FALTANTES!$A:$AD,30,FALSE),"-")</f>
        <v>-50</v>
      </c>
      <c r="K402" s="30">
        <v>0</v>
      </c>
      <c r="L402" s="30">
        <f t="shared" si="8"/>
        <v>148</v>
      </c>
      <c r="M402" s="31">
        <f>SUMIFS(METALFISA!$E:$E,METALFISA!$A:$A,'Faltantes Fevereiro- Metalfisa'!M$3,METALFISA!$B:$B,'Faltantes Fevereiro- Metalfisa'!$A402)</f>
        <v>0</v>
      </c>
      <c r="N402" s="31">
        <f>SUMIFS(METALFISA!$E:$E,METALFISA!$A:$A,'Faltantes Fevereiro- Metalfisa'!N$3,METALFISA!$B:$B,'Faltantes Fevereiro- Metalfisa'!$A402)</f>
        <v>0</v>
      </c>
      <c r="O402" s="31">
        <f>SUMIFS(METALFISA!$E:$E,METALFISA!$A:$A,'Faltantes Fevereiro- Metalfisa'!O$3,METALFISA!$B:$B,'Faltantes Fevereiro- Metalfisa'!$A402)</f>
        <v>0</v>
      </c>
      <c r="P402" s="31">
        <f>SUMIFS(METALFISA!$E:$E,METALFISA!$A:$A,'Faltantes Fevereiro- Metalfisa'!P$3,METALFISA!$B:$B,'Faltantes Fevereiro- Metalfisa'!$A402)</f>
        <v>0</v>
      </c>
      <c r="Q402" s="31">
        <f>SUMIFS(METALFISA!$E:$E,METALFISA!$A:$A,'Faltantes Fevereiro- Metalfisa'!Q$3,METALFISA!$B:$B,'Faltantes Fevereiro- Metalfisa'!$A402)</f>
        <v>0</v>
      </c>
      <c r="R402" s="31">
        <f>SUMIFS(METALFISA!$E:$E,METALFISA!$A:$A,'Faltantes Fevereiro- Metalfisa'!R$3,METALFISA!$B:$B,'Faltantes Fevereiro- Metalfisa'!$A402)</f>
        <v>0</v>
      </c>
      <c r="S402" s="31">
        <f>SUMIFS(METALFISA!$E:$E,METALFISA!$A:$A,'Faltantes Fevereiro- Metalfisa'!S$3,METALFISA!$B:$B,'Faltantes Fevereiro- Metalfisa'!$A402)</f>
        <v>0</v>
      </c>
      <c r="T402" s="31">
        <f>SUMIFS(METALFISA!$E:$E,METALFISA!$A:$A,'Faltantes Fevereiro- Metalfisa'!T$3,METALFISA!$B:$B,'Faltantes Fevereiro- Metalfisa'!$A402)</f>
        <v>0</v>
      </c>
      <c r="U402" s="31">
        <f>SUMIFS(METALFISA!$E:$E,METALFISA!$A:$A,'Faltantes Fevereiro- Metalfisa'!U$3,METALFISA!$B:$B,'Faltantes Fevereiro- Metalfisa'!$A402)</f>
        <v>0</v>
      </c>
      <c r="V402" s="31">
        <f>SUMIFS(METALFISA!$E:$E,METALFISA!$A:$A,'Faltantes Fevereiro- Metalfisa'!V$3,METALFISA!$B:$B,'Faltantes Fevereiro- Metalfisa'!$A402)</f>
        <v>0</v>
      </c>
      <c r="W402" s="31">
        <f>SUMIFS(METALFISA!$E:$E,METALFISA!$A:$A,'Faltantes Fevereiro- Metalfisa'!W$3,METALFISA!$B:$B,'Faltantes Fevereiro- Metalfisa'!$A402)</f>
        <v>0</v>
      </c>
      <c r="X402" s="31">
        <f>SUMIFS(METALFISA!$E:$E,METALFISA!$A:$A,'Faltantes Fevereiro- Metalfisa'!X$3,METALFISA!$B:$B,'Faltantes Fevereiro- Metalfisa'!$A402)</f>
        <v>0</v>
      </c>
      <c r="Y402" s="31">
        <f>SUMIFS(METALFISA!$E:$E,METALFISA!$A:$A,'Faltantes Fevereiro- Metalfisa'!Y$3,METALFISA!$B:$B,'Faltantes Fevereiro- Metalfisa'!$A402)</f>
        <v>0</v>
      </c>
      <c r="Z402" s="31">
        <f>SUMIFS(METALFISA!$E:$E,METALFISA!$A:$A,'Faltantes Fevereiro- Metalfisa'!Z$3,METALFISA!$B:$B,'Faltantes Fevereiro- Metalfisa'!$A402)</f>
        <v>0</v>
      </c>
      <c r="AA402" s="31">
        <f>SUMIFS(METALFISA!$E:$E,METALFISA!$A:$A,'Faltantes Fevereiro- Metalfisa'!AA$3,METALFISA!$B:$B,'Faltantes Fevereiro- Metalfisa'!$A402)</f>
        <v>0</v>
      </c>
      <c r="AB402" s="31">
        <f>SUMIFS(METALFISA!$E:$E,METALFISA!$A:$A,'Faltantes Fevereiro- Metalfisa'!AB$3,METALFISA!$B:$B,'Faltantes Fevereiro- Metalfisa'!$A402)</f>
        <v>0</v>
      </c>
      <c r="AC402" s="31">
        <f>SUMIFS(METALFISA!$E:$E,METALFISA!$A:$A,'Faltantes Fevereiro- Metalfisa'!AC$3,METALFISA!$B:$B,'Faltantes Fevereiro- Metalfisa'!$A402)</f>
        <v>0</v>
      </c>
      <c r="AD402" s="31">
        <f>SUMIFS(METALFISA!$E:$E,METALFISA!$A:$A,'Faltantes Fevereiro- Metalfisa'!AD$3,METALFISA!$B:$B,'Faltantes Fevereiro- Metalfisa'!$A402)</f>
        <v>0</v>
      </c>
      <c r="AE402" s="31">
        <f>SUMIFS(METALFISA!$E:$E,METALFISA!$A:$A,'Faltantes Fevereiro- Metalfisa'!AE$3,METALFISA!$B:$B,'Faltantes Fevereiro- Metalfisa'!$A402)</f>
        <v>0</v>
      </c>
      <c r="AF402" s="31">
        <f>SUMIFS(METALFISA!$E:$E,METALFISA!$A:$A,'Faltantes Fevereiro- Metalfisa'!AF$3,METALFISA!$B:$B,'Faltantes Fevereiro- Metalfisa'!$A402)</f>
        <v>0</v>
      </c>
      <c r="AG402" s="31">
        <f>SUMIFS(METALFISA!$E:$E,METALFISA!$A:$A,'Faltantes Fevereiro- Metalfisa'!AG$3,METALFISA!$B:$B,'Faltantes Fevereiro- Metalfisa'!$A402)</f>
        <v>0</v>
      </c>
      <c r="AH402" s="31">
        <f>SUMIFS(METALFISA!$E:$E,METALFISA!$A:$A,'Faltantes Fevereiro- Metalfisa'!AH$3,METALFISA!$B:$B,'Faltantes Fevereiro- Metalfisa'!$A402)</f>
        <v>0</v>
      </c>
      <c r="AI402" s="31">
        <f>SUMIFS(METALFISA!$E:$E,METALFISA!$A:$A,'Faltantes Fevereiro- Metalfisa'!AI$3,METALFISA!$B:$B,'Faltantes Fevereiro- Metalfisa'!$A402)</f>
        <v>38</v>
      </c>
      <c r="AJ402" s="31">
        <f>SUMIFS(METALFISA!$E:$E,METALFISA!$A:$A,'Faltantes Fevereiro- Metalfisa'!AJ$3,METALFISA!$B:$B,'Faltantes Fevereiro- Metalfisa'!$A402)</f>
        <v>0</v>
      </c>
      <c r="AK402" s="31">
        <f>SUMIFS(METALFISA!$E:$E,METALFISA!$A:$A,'Faltantes Fevereiro- Metalfisa'!AK$3,METALFISA!$B:$B,'Faltantes Fevereiro- Metalfisa'!$A402)</f>
        <v>72</v>
      </c>
      <c r="AL402" s="31">
        <f>SUMIFS(METALFISA!$E:$E,METALFISA!$A:$A,'Faltantes Fevereiro- Metalfisa'!AL$3,METALFISA!$B:$B,'Faltantes Fevereiro- Metalfisa'!$A402)</f>
        <v>0</v>
      </c>
      <c r="AM402" s="31">
        <f>SUMIFS(METALFISA!$E:$E,METALFISA!$A:$A,'Faltantes Fevereiro- Metalfisa'!AM$3,METALFISA!$B:$B,'Faltantes Fevereiro- Metalfisa'!$A402)</f>
        <v>0</v>
      </c>
      <c r="AN402" s="31">
        <f>SUMIFS(METALFISA!$E:$E,METALFISA!$A:$A,'Faltantes Fevereiro- Metalfisa'!AN$3,METALFISA!$B:$B,'Faltantes Fevereiro- Metalfisa'!$A402)</f>
        <v>38</v>
      </c>
      <c r="AO402" s="31">
        <f>SUMIFS(METALFISA!$E:$E,METALFISA!$A:$A,'Faltantes Fevereiro- Metalfisa'!AO$3,METALFISA!$B:$B,'Faltantes Fevereiro- Metalfisa'!$A402)</f>
        <v>0</v>
      </c>
      <c r="AP402" s="31">
        <f>SUMIFS(METALFISA!$E:$E,METALFISA!$A:$A,'Faltantes Fevereiro- Metalfisa'!AP$3,METALFISA!$B:$B,'Faltantes Fevereiro- Metalfisa'!$A402)</f>
        <v>0</v>
      </c>
      <c r="AQ402" s="31"/>
      <c r="AR402" s="31"/>
      <c r="AS402" s="35"/>
      <c r="AY402" s="41">
        <v>0</v>
      </c>
      <c r="AZ402" s="31">
        <v>0</v>
      </c>
      <c r="BA402" s="31">
        <v>0</v>
      </c>
      <c r="BB402" s="31">
        <v>2</v>
      </c>
      <c r="BC402" s="31">
        <v>0</v>
      </c>
      <c r="BD402" s="31">
        <v>0</v>
      </c>
      <c r="BE402" s="31">
        <v>0</v>
      </c>
      <c r="BF402" s="31">
        <v>2</v>
      </c>
      <c r="BG402" s="31">
        <v>0</v>
      </c>
      <c r="BH402" s="31">
        <v>2</v>
      </c>
      <c r="BI402" s="31">
        <v>0</v>
      </c>
      <c r="BJ402" s="31">
        <v>0</v>
      </c>
      <c r="BK402" s="31">
        <v>0</v>
      </c>
      <c r="BL402" s="31">
        <v>0</v>
      </c>
      <c r="BM402" s="31">
        <v>0</v>
      </c>
      <c r="BN402" s="31">
        <v>0</v>
      </c>
      <c r="BO402" s="31">
        <v>0</v>
      </c>
      <c r="BP402" s="31">
        <v>0</v>
      </c>
      <c r="BQ402" s="31">
        <v>0</v>
      </c>
      <c r="BR402" s="31">
        <v>0</v>
      </c>
      <c r="BS402" s="31">
        <v>0</v>
      </c>
      <c r="BT402" s="31">
        <v>0</v>
      </c>
      <c r="BU402" s="31">
        <v>0</v>
      </c>
      <c r="BV402" s="31">
        <v>0</v>
      </c>
      <c r="BW402" s="31">
        <v>0</v>
      </c>
      <c r="BX402" s="31">
        <v>2</v>
      </c>
      <c r="BY402" s="31">
        <v>2</v>
      </c>
      <c r="BZ402" s="31">
        <v>0</v>
      </c>
      <c r="CA402" s="31">
        <v>0</v>
      </c>
      <c r="CB402" s="31">
        <v>0</v>
      </c>
      <c r="CC402" s="31">
        <v>0</v>
      </c>
      <c r="CD402" s="31">
        <v>0</v>
      </c>
      <c r="CE402" s="31">
        <v>0</v>
      </c>
      <c r="CF402" s="31">
        <v>0</v>
      </c>
      <c r="CG402" s="31">
        <v>0</v>
      </c>
      <c r="CH402" s="31">
        <v>0</v>
      </c>
      <c r="CI402" s="31">
        <v>0</v>
      </c>
      <c r="CJ402" s="31">
        <v>0</v>
      </c>
      <c r="CK402" s="31">
        <v>0</v>
      </c>
      <c r="CL402" s="35">
        <v>0</v>
      </c>
    </row>
    <row r="403" spans="1:90" ht="21" x14ac:dyDescent="0.15">
      <c r="A403" s="31" t="s">
        <v>850</v>
      </c>
      <c r="B403" s="30" t="s">
        <v>851</v>
      </c>
      <c r="C403" s="28">
        <v>0</v>
      </c>
      <c r="D403" s="28">
        <v>0</v>
      </c>
      <c r="E403" s="28">
        <v>0</v>
      </c>
      <c r="F403" s="28">
        <v>0</v>
      </c>
      <c r="G403" s="28">
        <v>75</v>
      </c>
      <c r="H403" s="28">
        <f>IFERROR(VLOOKUP(A403,[1]FALTANTES!$A:$AB,28,FALSE),"-")</f>
        <v>0</v>
      </c>
      <c r="I403" s="42">
        <f>IFERROR(VLOOKUP(A403,[1]FALTANTES!$A:$AC,29,FALSE),"-")</f>
        <v>3</v>
      </c>
      <c r="J403" s="29">
        <f>IFERROR(VLOOKUP(A403,[1]FALTANTES!$A:$AD,30,FALSE),"-")</f>
        <v>-72</v>
      </c>
      <c r="K403" s="30">
        <v>0</v>
      </c>
      <c r="L403" s="30">
        <f t="shared" si="8"/>
        <v>101</v>
      </c>
      <c r="M403" s="31">
        <f>SUMIFS(METALFISA!$E:$E,METALFISA!$A:$A,'Faltantes Fevereiro- Metalfisa'!M$3,METALFISA!$B:$B,'Faltantes Fevereiro- Metalfisa'!$A403)</f>
        <v>0</v>
      </c>
      <c r="N403" s="31">
        <f>SUMIFS(METALFISA!$E:$E,METALFISA!$A:$A,'Faltantes Fevereiro- Metalfisa'!N$3,METALFISA!$B:$B,'Faltantes Fevereiro- Metalfisa'!$A403)</f>
        <v>0</v>
      </c>
      <c r="O403" s="31">
        <f>SUMIFS(METALFISA!$E:$E,METALFISA!$A:$A,'Faltantes Fevereiro- Metalfisa'!O$3,METALFISA!$B:$B,'Faltantes Fevereiro- Metalfisa'!$A403)</f>
        <v>0</v>
      </c>
      <c r="P403" s="31">
        <f>SUMIFS(METALFISA!$E:$E,METALFISA!$A:$A,'Faltantes Fevereiro- Metalfisa'!P$3,METALFISA!$B:$B,'Faltantes Fevereiro- Metalfisa'!$A403)</f>
        <v>0</v>
      </c>
      <c r="Q403" s="31">
        <f>SUMIFS(METALFISA!$E:$E,METALFISA!$A:$A,'Faltantes Fevereiro- Metalfisa'!Q$3,METALFISA!$B:$B,'Faltantes Fevereiro- Metalfisa'!$A403)</f>
        <v>0</v>
      </c>
      <c r="R403" s="31">
        <f>SUMIFS(METALFISA!$E:$E,METALFISA!$A:$A,'Faltantes Fevereiro- Metalfisa'!R$3,METALFISA!$B:$B,'Faltantes Fevereiro- Metalfisa'!$A403)</f>
        <v>0</v>
      </c>
      <c r="S403" s="31">
        <f>SUMIFS(METALFISA!$E:$E,METALFISA!$A:$A,'Faltantes Fevereiro- Metalfisa'!S$3,METALFISA!$B:$B,'Faltantes Fevereiro- Metalfisa'!$A403)</f>
        <v>0</v>
      </c>
      <c r="T403" s="31">
        <f>SUMIFS(METALFISA!$E:$E,METALFISA!$A:$A,'Faltantes Fevereiro- Metalfisa'!T$3,METALFISA!$B:$B,'Faltantes Fevereiro- Metalfisa'!$A403)</f>
        <v>0</v>
      </c>
      <c r="U403" s="31">
        <f>SUMIFS(METALFISA!$E:$E,METALFISA!$A:$A,'Faltantes Fevereiro- Metalfisa'!U$3,METALFISA!$B:$B,'Faltantes Fevereiro- Metalfisa'!$A403)</f>
        <v>0</v>
      </c>
      <c r="V403" s="31">
        <f>SUMIFS(METALFISA!$E:$E,METALFISA!$A:$A,'Faltantes Fevereiro- Metalfisa'!V$3,METALFISA!$B:$B,'Faltantes Fevereiro- Metalfisa'!$A403)</f>
        <v>0</v>
      </c>
      <c r="W403" s="31">
        <f>SUMIFS(METALFISA!$E:$E,METALFISA!$A:$A,'Faltantes Fevereiro- Metalfisa'!W$3,METALFISA!$B:$B,'Faltantes Fevereiro- Metalfisa'!$A403)</f>
        <v>0</v>
      </c>
      <c r="X403" s="31">
        <f>SUMIFS(METALFISA!$E:$E,METALFISA!$A:$A,'Faltantes Fevereiro- Metalfisa'!X$3,METALFISA!$B:$B,'Faltantes Fevereiro- Metalfisa'!$A403)</f>
        <v>0</v>
      </c>
      <c r="Y403" s="31">
        <f>SUMIFS(METALFISA!$E:$E,METALFISA!$A:$A,'Faltantes Fevereiro- Metalfisa'!Y$3,METALFISA!$B:$B,'Faltantes Fevereiro- Metalfisa'!$A403)</f>
        <v>0</v>
      </c>
      <c r="Z403" s="31">
        <f>SUMIFS(METALFISA!$E:$E,METALFISA!$A:$A,'Faltantes Fevereiro- Metalfisa'!Z$3,METALFISA!$B:$B,'Faltantes Fevereiro- Metalfisa'!$A403)</f>
        <v>0</v>
      </c>
      <c r="AA403" s="31">
        <f>SUMIFS(METALFISA!$E:$E,METALFISA!$A:$A,'Faltantes Fevereiro- Metalfisa'!AA$3,METALFISA!$B:$B,'Faltantes Fevereiro- Metalfisa'!$A403)</f>
        <v>0</v>
      </c>
      <c r="AB403" s="31">
        <f>SUMIFS(METALFISA!$E:$E,METALFISA!$A:$A,'Faltantes Fevereiro- Metalfisa'!AB$3,METALFISA!$B:$B,'Faltantes Fevereiro- Metalfisa'!$A403)</f>
        <v>0</v>
      </c>
      <c r="AC403" s="31">
        <f>SUMIFS(METALFISA!$E:$E,METALFISA!$A:$A,'Faltantes Fevereiro- Metalfisa'!AC$3,METALFISA!$B:$B,'Faltantes Fevereiro- Metalfisa'!$A403)</f>
        <v>0</v>
      </c>
      <c r="AD403" s="31">
        <f>SUMIFS(METALFISA!$E:$E,METALFISA!$A:$A,'Faltantes Fevereiro- Metalfisa'!AD$3,METALFISA!$B:$B,'Faltantes Fevereiro- Metalfisa'!$A403)</f>
        <v>0</v>
      </c>
      <c r="AE403" s="31">
        <f>SUMIFS(METALFISA!$E:$E,METALFISA!$A:$A,'Faltantes Fevereiro- Metalfisa'!AE$3,METALFISA!$B:$B,'Faltantes Fevereiro- Metalfisa'!$A403)</f>
        <v>0</v>
      </c>
      <c r="AF403" s="31">
        <f>SUMIFS(METALFISA!$E:$E,METALFISA!$A:$A,'Faltantes Fevereiro- Metalfisa'!AF$3,METALFISA!$B:$B,'Faltantes Fevereiro- Metalfisa'!$A403)</f>
        <v>0</v>
      </c>
      <c r="AG403" s="31">
        <f>SUMIFS(METALFISA!$E:$E,METALFISA!$A:$A,'Faltantes Fevereiro- Metalfisa'!AG$3,METALFISA!$B:$B,'Faltantes Fevereiro- Metalfisa'!$A403)</f>
        <v>0</v>
      </c>
      <c r="AH403" s="31">
        <f>SUMIFS(METALFISA!$E:$E,METALFISA!$A:$A,'Faltantes Fevereiro- Metalfisa'!AH$3,METALFISA!$B:$B,'Faltantes Fevereiro- Metalfisa'!$A403)</f>
        <v>101</v>
      </c>
      <c r="AI403" s="31">
        <f>SUMIFS(METALFISA!$E:$E,METALFISA!$A:$A,'Faltantes Fevereiro- Metalfisa'!AI$3,METALFISA!$B:$B,'Faltantes Fevereiro- Metalfisa'!$A403)</f>
        <v>0</v>
      </c>
      <c r="AJ403" s="31">
        <f>SUMIFS(METALFISA!$E:$E,METALFISA!$A:$A,'Faltantes Fevereiro- Metalfisa'!AJ$3,METALFISA!$B:$B,'Faltantes Fevereiro- Metalfisa'!$A403)</f>
        <v>0</v>
      </c>
      <c r="AK403" s="31">
        <f>SUMIFS(METALFISA!$E:$E,METALFISA!$A:$A,'Faltantes Fevereiro- Metalfisa'!AK$3,METALFISA!$B:$B,'Faltantes Fevereiro- Metalfisa'!$A403)</f>
        <v>0</v>
      </c>
      <c r="AL403" s="31">
        <f>SUMIFS(METALFISA!$E:$E,METALFISA!$A:$A,'Faltantes Fevereiro- Metalfisa'!AL$3,METALFISA!$B:$B,'Faltantes Fevereiro- Metalfisa'!$A403)</f>
        <v>0</v>
      </c>
      <c r="AM403" s="31">
        <f>SUMIFS(METALFISA!$E:$E,METALFISA!$A:$A,'Faltantes Fevereiro- Metalfisa'!AM$3,METALFISA!$B:$B,'Faltantes Fevereiro- Metalfisa'!$A403)</f>
        <v>0</v>
      </c>
      <c r="AN403" s="31">
        <f>SUMIFS(METALFISA!$E:$E,METALFISA!$A:$A,'Faltantes Fevereiro- Metalfisa'!AN$3,METALFISA!$B:$B,'Faltantes Fevereiro- Metalfisa'!$A403)</f>
        <v>0</v>
      </c>
      <c r="AO403" s="31">
        <f>SUMIFS(METALFISA!$E:$E,METALFISA!$A:$A,'Faltantes Fevereiro- Metalfisa'!AO$3,METALFISA!$B:$B,'Faltantes Fevereiro- Metalfisa'!$A403)</f>
        <v>0</v>
      </c>
      <c r="AP403" s="31">
        <f>SUMIFS(METALFISA!$E:$E,METALFISA!$A:$A,'Faltantes Fevereiro- Metalfisa'!AP$3,METALFISA!$B:$B,'Faltantes Fevereiro- Metalfisa'!$A403)</f>
        <v>0</v>
      </c>
      <c r="AQ403" s="31"/>
      <c r="AR403" s="31"/>
      <c r="AS403" s="35"/>
      <c r="AY403" s="41">
        <v>2</v>
      </c>
      <c r="AZ403" s="31">
        <v>1</v>
      </c>
      <c r="BA403" s="31">
        <v>0</v>
      </c>
      <c r="BB403" s="31">
        <v>0</v>
      </c>
      <c r="BC403" s="31">
        <v>1</v>
      </c>
      <c r="BD403" s="31">
        <v>1</v>
      </c>
      <c r="BE403" s="31">
        <v>1</v>
      </c>
      <c r="BF403" s="31">
        <v>0</v>
      </c>
      <c r="BG403" s="31">
        <v>0</v>
      </c>
      <c r="BH403" s="31">
        <v>1</v>
      </c>
      <c r="BI403" s="31">
        <v>0</v>
      </c>
      <c r="BJ403" s="31">
        <v>0</v>
      </c>
      <c r="BK403" s="31">
        <v>1</v>
      </c>
      <c r="BL403" s="31">
        <v>0</v>
      </c>
      <c r="BM403" s="31">
        <v>0</v>
      </c>
      <c r="BN403" s="31">
        <v>0</v>
      </c>
      <c r="BO403" s="31">
        <v>0</v>
      </c>
      <c r="BP403" s="31">
        <v>0</v>
      </c>
      <c r="BQ403" s="31">
        <v>0</v>
      </c>
      <c r="BR403" s="31">
        <v>0</v>
      </c>
      <c r="BS403" s="31">
        <v>0</v>
      </c>
      <c r="BT403" s="31">
        <v>0</v>
      </c>
      <c r="BU403" s="31">
        <v>0</v>
      </c>
      <c r="BV403" s="31">
        <v>0</v>
      </c>
      <c r="BW403" s="31">
        <v>1</v>
      </c>
      <c r="BX403" s="31">
        <v>1</v>
      </c>
      <c r="BY403" s="31">
        <v>1</v>
      </c>
      <c r="BZ403" s="31">
        <v>0</v>
      </c>
      <c r="CA403" s="31">
        <v>0</v>
      </c>
      <c r="CB403" s="31">
        <v>0</v>
      </c>
      <c r="CC403" s="31">
        <v>0</v>
      </c>
      <c r="CD403" s="31">
        <v>0</v>
      </c>
      <c r="CE403" s="31">
        <v>0</v>
      </c>
      <c r="CF403" s="31">
        <v>0</v>
      </c>
      <c r="CG403" s="31">
        <v>0</v>
      </c>
      <c r="CH403" s="31">
        <v>0</v>
      </c>
      <c r="CI403" s="31">
        <v>0</v>
      </c>
      <c r="CJ403" s="31">
        <v>0</v>
      </c>
      <c r="CK403" s="31">
        <v>0</v>
      </c>
      <c r="CL403" s="35">
        <v>0</v>
      </c>
    </row>
    <row r="404" spans="1:90" ht="21" x14ac:dyDescent="0.15">
      <c r="A404" s="31" t="s">
        <v>17</v>
      </c>
      <c r="B404" s="30" t="s">
        <v>156</v>
      </c>
      <c r="C404" s="28">
        <v>0</v>
      </c>
      <c r="D404" s="28">
        <v>0</v>
      </c>
      <c r="E404" s="28">
        <v>0</v>
      </c>
      <c r="F404" s="28">
        <v>0</v>
      </c>
      <c r="G404" s="28">
        <v>39</v>
      </c>
      <c r="H404" s="28">
        <f>IFERROR(VLOOKUP(A404,[1]FALTANTES!$A:$AB,28,FALSE),"-")</f>
        <v>0</v>
      </c>
      <c r="I404" s="42">
        <f>IFERROR(VLOOKUP(A404,[1]FALTANTES!$A:$AC,29,FALSE),"-")</f>
        <v>0</v>
      </c>
      <c r="J404" s="29">
        <f>IFERROR(VLOOKUP(A404,[1]FALTANTES!$A:$AD,30,FALSE),"-")</f>
        <v>-39</v>
      </c>
      <c r="K404" s="30">
        <v>0</v>
      </c>
      <c r="L404" s="30">
        <f t="shared" si="8"/>
        <v>14</v>
      </c>
      <c r="M404" s="31">
        <f>SUMIFS(METALFISA!$E:$E,METALFISA!$A:$A,'Faltantes Fevereiro- Metalfisa'!M$3,METALFISA!$B:$B,'Faltantes Fevereiro- Metalfisa'!$A404)</f>
        <v>0</v>
      </c>
      <c r="N404" s="31">
        <f>SUMIFS(METALFISA!$E:$E,METALFISA!$A:$A,'Faltantes Fevereiro- Metalfisa'!N$3,METALFISA!$B:$B,'Faltantes Fevereiro- Metalfisa'!$A404)</f>
        <v>0</v>
      </c>
      <c r="O404" s="31">
        <f>SUMIFS(METALFISA!$E:$E,METALFISA!$A:$A,'Faltantes Fevereiro- Metalfisa'!O$3,METALFISA!$B:$B,'Faltantes Fevereiro- Metalfisa'!$A404)</f>
        <v>0</v>
      </c>
      <c r="P404" s="31">
        <f>SUMIFS(METALFISA!$E:$E,METALFISA!$A:$A,'Faltantes Fevereiro- Metalfisa'!P$3,METALFISA!$B:$B,'Faltantes Fevereiro- Metalfisa'!$A404)</f>
        <v>14</v>
      </c>
      <c r="Q404" s="31">
        <f>SUMIFS(METALFISA!$E:$E,METALFISA!$A:$A,'Faltantes Fevereiro- Metalfisa'!Q$3,METALFISA!$B:$B,'Faltantes Fevereiro- Metalfisa'!$A404)</f>
        <v>0</v>
      </c>
      <c r="R404" s="31">
        <f>SUMIFS(METALFISA!$E:$E,METALFISA!$A:$A,'Faltantes Fevereiro- Metalfisa'!R$3,METALFISA!$B:$B,'Faltantes Fevereiro- Metalfisa'!$A404)</f>
        <v>0</v>
      </c>
      <c r="S404" s="31">
        <f>SUMIFS(METALFISA!$E:$E,METALFISA!$A:$A,'Faltantes Fevereiro- Metalfisa'!S$3,METALFISA!$B:$B,'Faltantes Fevereiro- Metalfisa'!$A404)</f>
        <v>0</v>
      </c>
      <c r="T404" s="31">
        <f>SUMIFS(METALFISA!$E:$E,METALFISA!$A:$A,'Faltantes Fevereiro- Metalfisa'!T$3,METALFISA!$B:$B,'Faltantes Fevereiro- Metalfisa'!$A404)</f>
        <v>0</v>
      </c>
      <c r="U404" s="31">
        <f>SUMIFS(METALFISA!$E:$E,METALFISA!$A:$A,'Faltantes Fevereiro- Metalfisa'!U$3,METALFISA!$B:$B,'Faltantes Fevereiro- Metalfisa'!$A404)</f>
        <v>0</v>
      </c>
      <c r="V404" s="31">
        <f>SUMIFS(METALFISA!$E:$E,METALFISA!$A:$A,'Faltantes Fevereiro- Metalfisa'!V$3,METALFISA!$B:$B,'Faltantes Fevereiro- Metalfisa'!$A404)</f>
        <v>0</v>
      </c>
      <c r="W404" s="31">
        <f>SUMIFS(METALFISA!$E:$E,METALFISA!$A:$A,'Faltantes Fevereiro- Metalfisa'!W$3,METALFISA!$B:$B,'Faltantes Fevereiro- Metalfisa'!$A404)</f>
        <v>0</v>
      </c>
      <c r="X404" s="31">
        <f>SUMIFS(METALFISA!$E:$E,METALFISA!$A:$A,'Faltantes Fevereiro- Metalfisa'!X$3,METALFISA!$B:$B,'Faltantes Fevereiro- Metalfisa'!$A404)</f>
        <v>0</v>
      </c>
      <c r="Y404" s="31">
        <f>SUMIFS(METALFISA!$E:$E,METALFISA!$A:$A,'Faltantes Fevereiro- Metalfisa'!Y$3,METALFISA!$B:$B,'Faltantes Fevereiro- Metalfisa'!$A404)</f>
        <v>0</v>
      </c>
      <c r="Z404" s="31">
        <f>SUMIFS(METALFISA!$E:$E,METALFISA!$A:$A,'Faltantes Fevereiro- Metalfisa'!Z$3,METALFISA!$B:$B,'Faltantes Fevereiro- Metalfisa'!$A404)</f>
        <v>0</v>
      </c>
      <c r="AA404" s="31">
        <f>SUMIFS(METALFISA!$E:$E,METALFISA!$A:$A,'Faltantes Fevereiro- Metalfisa'!AA$3,METALFISA!$B:$B,'Faltantes Fevereiro- Metalfisa'!$A404)</f>
        <v>0</v>
      </c>
      <c r="AB404" s="31">
        <f>SUMIFS(METALFISA!$E:$E,METALFISA!$A:$A,'Faltantes Fevereiro- Metalfisa'!AB$3,METALFISA!$B:$B,'Faltantes Fevereiro- Metalfisa'!$A404)</f>
        <v>0</v>
      </c>
      <c r="AC404" s="31">
        <f>SUMIFS(METALFISA!$E:$E,METALFISA!$A:$A,'Faltantes Fevereiro- Metalfisa'!AC$3,METALFISA!$B:$B,'Faltantes Fevereiro- Metalfisa'!$A404)</f>
        <v>0</v>
      </c>
      <c r="AD404" s="31">
        <f>SUMIFS(METALFISA!$E:$E,METALFISA!$A:$A,'Faltantes Fevereiro- Metalfisa'!AD$3,METALFISA!$B:$B,'Faltantes Fevereiro- Metalfisa'!$A404)</f>
        <v>0</v>
      </c>
      <c r="AE404" s="31">
        <f>SUMIFS(METALFISA!$E:$E,METALFISA!$A:$A,'Faltantes Fevereiro- Metalfisa'!AE$3,METALFISA!$B:$B,'Faltantes Fevereiro- Metalfisa'!$A404)</f>
        <v>0</v>
      </c>
      <c r="AF404" s="31">
        <f>SUMIFS(METALFISA!$E:$E,METALFISA!$A:$A,'Faltantes Fevereiro- Metalfisa'!AF$3,METALFISA!$B:$B,'Faltantes Fevereiro- Metalfisa'!$A404)</f>
        <v>0</v>
      </c>
      <c r="AG404" s="31">
        <f>SUMIFS(METALFISA!$E:$E,METALFISA!$A:$A,'Faltantes Fevereiro- Metalfisa'!AG$3,METALFISA!$B:$B,'Faltantes Fevereiro- Metalfisa'!$A404)</f>
        <v>0</v>
      </c>
      <c r="AH404" s="31">
        <f>SUMIFS(METALFISA!$E:$E,METALFISA!$A:$A,'Faltantes Fevereiro- Metalfisa'!AH$3,METALFISA!$B:$B,'Faltantes Fevereiro- Metalfisa'!$A404)</f>
        <v>0</v>
      </c>
      <c r="AI404" s="31">
        <f>SUMIFS(METALFISA!$E:$E,METALFISA!$A:$A,'Faltantes Fevereiro- Metalfisa'!AI$3,METALFISA!$B:$B,'Faltantes Fevereiro- Metalfisa'!$A404)</f>
        <v>0</v>
      </c>
      <c r="AJ404" s="31">
        <f>SUMIFS(METALFISA!$E:$E,METALFISA!$A:$A,'Faltantes Fevereiro- Metalfisa'!AJ$3,METALFISA!$B:$B,'Faltantes Fevereiro- Metalfisa'!$A404)</f>
        <v>0</v>
      </c>
      <c r="AK404" s="31">
        <f>SUMIFS(METALFISA!$E:$E,METALFISA!$A:$A,'Faltantes Fevereiro- Metalfisa'!AK$3,METALFISA!$B:$B,'Faltantes Fevereiro- Metalfisa'!$A404)</f>
        <v>0</v>
      </c>
      <c r="AL404" s="31">
        <f>SUMIFS(METALFISA!$E:$E,METALFISA!$A:$A,'Faltantes Fevereiro- Metalfisa'!AL$3,METALFISA!$B:$B,'Faltantes Fevereiro- Metalfisa'!$A404)</f>
        <v>0</v>
      </c>
      <c r="AM404" s="31">
        <f>SUMIFS(METALFISA!$E:$E,METALFISA!$A:$A,'Faltantes Fevereiro- Metalfisa'!AM$3,METALFISA!$B:$B,'Faltantes Fevereiro- Metalfisa'!$A404)</f>
        <v>0</v>
      </c>
      <c r="AN404" s="31">
        <f>SUMIFS(METALFISA!$E:$E,METALFISA!$A:$A,'Faltantes Fevereiro- Metalfisa'!AN$3,METALFISA!$B:$B,'Faltantes Fevereiro- Metalfisa'!$A404)</f>
        <v>0</v>
      </c>
      <c r="AO404" s="31">
        <f>SUMIFS(METALFISA!$E:$E,METALFISA!$A:$A,'Faltantes Fevereiro- Metalfisa'!AO$3,METALFISA!$B:$B,'Faltantes Fevereiro- Metalfisa'!$A404)</f>
        <v>0</v>
      </c>
      <c r="AP404" s="31">
        <f>SUMIFS(METALFISA!$E:$E,METALFISA!$A:$A,'Faltantes Fevereiro- Metalfisa'!AP$3,METALFISA!$B:$B,'Faltantes Fevereiro- Metalfisa'!$A404)</f>
        <v>0</v>
      </c>
      <c r="AQ404" s="31"/>
      <c r="AR404" s="31"/>
      <c r="AS404" s="35"/>
      <c r="AY404" s="41">
        <v>0</v>
      </c>
      <c r="AZ404" s="31">
        <v>0</v>
      </c>
      <c r="BA404" s="31">
        <v>1</v>
      </c>
      <c r="BB404" s="31">
        <v>1</v>
      </c>
      <c r="BC404" s="31">
        <v>0</v>
      </c>
      <c r="BD404" s="31">
        <v>0</v>
      </c>
      <c r="BE404" s="31">
        <v>0</v>
      </c>
      <c r="BF404" s="31">
        <v>1</v>
      </c>
      <c r="BG404" s="31">
        <v>0</v>
      </c>
      <c r="BH404" s="31">
        <v>0</v>
      </c>
      <c r="BI404" s="31">
        <v>0</v>
      </c>
      <c r="BJ404" s="31">
        <v>0</v>
      </c>
      <c r="BK404" s="31">
        <v>1</v>
      </c>
      <c r="BL404" s="31">
        <v>1</v>
      </c>
      <c r="BM404" s="31">
        <v>0</v>
      </c>
      <c r="BN404" s="31">
        <v>1</v>
      </c>
      <c r="BO404" s="31">
        <v>0</v>
      </c>
      <c r="BP404" s="31">
        <v>0</v>
      </c>
      <c r="BQ404" s="31">
        <v>0</v>
      </c>
      <c r="BR404" s="31">
        <v>0</v>
      </c>
      <c r="BS404" s="31">
        <v>0</v>
      </c>
      <c r="BT404" s="31">
        <v>0</v>
      </c>
      <c r="BU404" s="31">
        <v>0</v>
      </c>
      <c r="BV404" s="31">
        <v>1</v>
      </c>
      <c r="BW404" s="31">
        <v>0</v>
      </c>
      <c r="BX404" s="31">
        <v>0</v>
      </c>
      <c r="BY404" s="31">
        <v>0</v>
      </c>
      <c r="BZ404" s="31">
        <v>1</v>
      </c>
      <c r="CA404" s="31">
        <v>0</v>
      </c>
      <c r="CB404" s="31">
        <v>0</v>
      </c>
      <c r="CC404" s="31">
        <v>0</v>
      </c>
      <c r="CD404" s="31">
        <v>0</v>
      </c>
      <c r="CE404" s="31">
        <v>0</v>
      </c>
      <c r="CF404" s="31">
        <v>0</v>
      </c>
      <c r="CG404" s="31">
        <v>0</v>
      </c>
      <c r="CH404" s="31">
        <v>0</v>
      </c>
      <c r="CI404" s="31">
        <v>0</v>
      </c>
      <c r="CJ404" s="31">
        <v>0</v>
      </c>
      <c r="CK404" s="31">
        <v>0</v>
      </c>
      <c r="CL404" s="35">
        <v>0</v>
      </c>
    </row>
    <row r="405" spans="1:90" ht="11.25" thickBot="1" x14ac:dyDescent="0.2">
      <c r="A405" s="39"/>
      <c r="B405" s="37"/>
      <c r="C405" s="38"/>
      <c r="D405" s="38"/>
      <c r="E405" s="38"/>
      <c r="F405" s="38"/>
      <c r="G405" s="38"/>
      <c r="H405" s="38"/>
      <c r="I405" s="38"/>
      <c r="J405" s="39"/>
      <c r="K405" s="37"/>
      <c r="L405" s="37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40"/>
      <c r="AY405" s="36"/>
      <c r="AZ405" s="39"/>
      <c r="BA405" s="39"/>
      <c r="BB405" s="39"/>
      <c r="BC405" s="39"/>
      <c r="BD405" s="39"/>
      <c r="BE405" s="39"/>
      <c r="BF405" s="39"/>
      <c r="BG405" s="39"/>
      <c r="BH405" s="39"/>
      <c r="BI405" s="39"/>
      <c r="BJ405" s="39"/>
      <c r="BK405" s="39"/>
      <c r="BL405" s="39"/>
      <c r="BM405" s="39"/>
      <c r="BN405" s="39"/>
      <c r="BO405" s="39"/>
      <c r="BP405" s="39"/>
      <c r="BQ405" s="39"/>
      <c r="BR405" s="39"/>
      <c r="BS405" s="39"/>
      <c r="BT405" s="39"/>
      <c r="BU405" s="39"/>
      <c r="BV405" s="39"/>
      <c r="BW405" s="39"/>
      <c r="BX405" s="39"/>
      <c r="BY405" s="39"/>
      <c r="BZ405" s="39"/>
      <c r="CA405" s="39"/>
      <c r="CB405" s="39"/>
      <c r="CC405" s="39"/>
      <c r="CD405" s="39"/>
      <c r="CE405" s="39"/>
      <c r="CF405" s="39"/>
      <c r="CG405" s="39"/>
      <c r="CH405" s="39"/>
      <c r="CI405" s="39"/>
      <c r="CJ405" s="39"/>
      <c r="CK405" s="39"/>
      <c r="CL405" s="40"/>
    </row>
  </sheetData>
  <autoFilter ref="A3:CL404"/>
  <mergeCells count="45">
    <mergeCell ref="CJ2:CJ3"/>
    <mergeCell ref="CK2:CK3"/>
    <mergeCell ref="CL2:CL3"/>
    <mergeCell ref="CE2:CE3"/>
    <mergeCell ref="CF2:CF3"/>
    <mergeCell ref="CG2:CG3"/>
    <mergeCell ref="CH2:CH3"/>
    <mergeCell ref="CI2:CI3"/>
    <mergeCell ref="BW2:BW3"/>
    <mergeCell ref="BN2:BN3"/>
    <mergeCell ref="BO2:BO3"/>
    <mergeCell ref="BP2:BP3"/>
    <mergeCell ref="BQ2:BQ3"/>
    <mergeCell ref="BR2:BR3"/>
    <mergeCell ref="BS2:BS3"/>
    <mergeCell ref="BT2:BT3"/>
    <mergeCell ref="CD2:CD3"/>
    <mergeCell ref="BX2:BX3"/>
    <mergeCell ref="BY2:BY3"/>
    <mergeCell ref="BZ2:BZ3"/>
    <mergeCell ref="CA2:CA3"/>
    <mergeCell ref="CB2:CB3"/>
    <mergeCell ref="CC2:CC3"/>
    <mergeCell ref="BV2:BV3"/>
    <mergeCell ref="BJ2:BJ3"/>
    <mergeCell ref="AY2:AY3"/>
    <mergeCell ref="BE2:BE3"/>
    <mergeCell ref="BF2:BF3"/>
    <mergeCell ref="AZ2:AZ3"/>
    <mergeCell ref="BA2:BA3"/>
    <mergeCell ref="BB2:BB3"/>
    <mergeCell ref="BC2:BC3"/>
    <mergeCell ref="BD2:BD3"/>
    <mergeCell ref="BK2:BK3"/>
    <mergeCell ref="BL2:BL3"/>
    <mergeCell ref="BM2:BM3"/>
    <mergeCell ref="M2:AS2"/>
    <mergeCell ref="BG2:BG3"/>
    <mergeCell ref="BH2:BH3"/>
    <mergeCell ref="BI2:BI3"/>
    <mergeCell ref="BU2:BU3"/>
    <mergeCell ref="AU2:AU3"/>
    <mergeCell ref="AV2:AV3"/>
    <mergeCell ref="AW2:AW3"/>
    <mergeCell ref="AX2:AX3"/>
  </mergeCells>
  <conditionalFormatting sqref="J4:J404">
    <cfRule type="cellIs" dxfId="3" priority="26" stopIfTrue="1" operator="greaterThanOrEqual">
      <formula>0</formula>
    </cfRule>
    <cfRule type="cellIs" dxfId="2" priority="27" stopIfTrue="1" operator="lessThan">
      <formula>0</formula>
    </cfRule>
  </conditionalFormatting>
  <conditionalFormatting sqref="C4:H404">
    <cfRule type="cellIs" dxfId="1" priority="18" stopIfTrue="1" operator="equal">
      <formula>0</formula>
    </cfRule>
    <cfRule type="cellIs" dxfId="0" priority="19" stopIfTrue="1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70"/>
  <sheetViews>
    <sheetView workbookViewId="0">
      <pane xSplit="1" ySplit="1" topLeftCell="B2249" activePane="bottomRight" state="frozen"/>
      <selection pane="topRight" activeCell="B1" sqref="B1"/>
      <selection pane="bottomLeft" activeCell="A2" sqref="A2"/>
      <selection pane="bottomRight" activeCell="C2270" sqref="C2270"/>
    </sheetView>
  </sheetViews>
  <sheetFormatPr defaultRowHeight="15" x14ac:dyDescent="0.25"/>
  <cols>
    <col min="1" max="1" width="13.85546875" bestFit="1" customWidth="1"/>
    <col min="2" max="2" width="13.5703125" customWidth="1"/>
    <col min="3" max="3" width="13.85546875" bestFit="1" customWidth="1"/>
  </cols>
  <sheetData>
    <row r="1" spans="1:3" ht="42" customHeight="1" x14ac:dyDescent="0.25">
      <c r="A1" s="2" t="s">
        <v>0</v>
      </c>
      <c r="B1" s="26" t="s">
        <v>519</v>
      </c>
      <c r="C1" s="2" t="s">
        <v>0</v>
      </c>
    </row>
    <row r="2" spans="1:3" x14ac:dyDescent="0.25">
      <c r="A2" t="s">
        <v>2178</v>
      </c>
      <c r="B2" t="s">
        <v>2179</v>
      </c>
      <c r="C2" t="s">
        <v>2178</v>
      </c>
    </row>
    <row r="3" spans="1:3" x14ac:dyDescent="0.25">
      <c r="A3" t="s">
        <v>1810</v>
      </c>
      <c r="B3" t="s">
        <v>2039</v>
      </c>
      <c r="C3" t="s">
        <v>1810</v>
      </c>
    </row>
    <row r="4" spans="1:3" x14ac:dyDescent="0.25">
      <c r="A4" t="s">
        <v>897</v>
      </c>
      <c r="B4" t="s">
        <v>2180</v>
      </c>
      <c r="C4" t="s">
        <v>897</v>
      </c>
    </row>
    <row r="5" spans="1:3" x14ac:dyDescent="0.25">
      <c r="A5" t="s">
        <v>1812</v>
      </c>
      <c r="B5" t="s">
        <v>2181</v>
      </c>
      <c r="C5" t="s">
        <v>1812</v>
      </c>
    </row>
    <row r="6" spans="1:3" x14ac:dyDescent="0.25">
      <c r="A6" t="s">
        <v>2182</v>
      </c>
      <c r="B6" t="s">
        <v>2183</v>
      </c>
      <c r="C6" t="s">
        <v>2182</v>
      </c>
    </row>
    <row r="7" spans="1:3" x14ac:dyDescent="0.25">
      <c r="A7" t="s">
        <v>2184</v>
      </c>
      <c r="B7" t="s">
        <v>2185</v>
      </c>
      <c r="C7" t="s">
        <v>2184</v>
      </c>
    </row>
    <row r="8" spans="1:3" x14ac:dyDescent="0.25">
      <c r="A8" t="s">
        <v>2186</v>
      </c>
      <c r="B8" t="s">
        <v>2187</v>
      </c>
      <c r="C8" t="s">
        <v>2186</v>
      </c>
    </row>
    <row r="9" spans="1:3" x14ac:dyDescent="0.25">
      <c r="A9" t="s">
        <v>2188</v>
      </c>
      <c r="B9" t="s">
        <v>2189</v>
      </c>
      <c r="C9" t="s">
        <v>2188</v>
      </c>
    </row>
    <row r="10" spans="1:3" x14ac:dyDescent="0.25">
      <c r="A10" t="s">
        <v>2190</v>
      </c>
      <c r="B10" t="s">
        <v>2191</v>
      </c>
      <c r="C10" t="s">
        <v>2190</v>
      </c>
    </row>
    <row r="11" spans="1:3" x14ac:dyDescent="0.25">
      <c r="A11" t="s">
        <v>2192</v>
      </c>
      <c r="B11" t="s">
        <v>2193</v>
      </c>
      <c r="C11" t="s">
        <v>2192</v>
      </c>
    </row>
    <row r="12" spans="1:3" x14ac:dyDescent="0.25">
      <c r="A12" t="s">
        <v>2194</v>
      </c>
      <c r="B12" t="s">
        <v>2195</v>
      </c>
      <c r="C12" t="s">
        <v>2194</v>
      </c>
    </row>
    <row r="13" spans="1:3" x14ac:dyDescent="0.25">
      <c r="A13" t="s">
        <v>2196</v>
      </c>
      <c r="B13" t="s">
        <v>2197</v>
      </c>
      <c r="C13" t="s">
        <v>2196</v>
      </c>
    </row>
    <row r="14" spans="1:3" x14ac:dyDescent="0.25">
      <c r="A14" t="s">
        <v>2198</v>
      </c>
      <c r="B14" t="s">
        <v>2199</v>
      </c>
      <c r="C14" t="s">
        <v>2198</v>
      </c>
    </row>
    <row r="15" spans="1:3" x14ac:dyDescent="0.25">
      <c r="A15" t="s">
        <v>2200</v>
      </c>
      <c r="B15" t="s">
        <v>2201</v>
      </c>
      <c r="C15" t="s">
        <v>2200</v>
      </c>
    </row>
    <row r="16" spans="1:3" x14ac:dyDescent="0.25">
      <c r="A16" t="s">
        <v>2202</v>
      </c>
      <c r="B16" t="s">
        <v>2203</v>
      </c>
      <c r="C16" t="s">
        <v>2202</v>
      </c>
    </row>
    <row r="17" spans="1:3" x14ac:dyDescent="0.25">
      <c r="A17" t="s">
        <v>203</v>
      </c>
      <c r="B17" t="s">
        <v>1878</v>
      </c>
      <c r="C17" t="s">
        <v>203</v>
      </c>
    </row>
    <row r="18" spans="1:3" x14ac:dyDescent="0.25">
      <c r="A18" t="s">
        <v>2204</v>
      </c>
      <c r="B18" t="s">
        <v>2205</v>
      </c>
      <c r="C18" t="s">
        <v>2204</v>
      </c>
    </row>
    <row r="19" spans="1:3" x14ac:dyDescent="0.25">
      <c r="A19" t="s">
        <v>2206</v>
      </c>
      <c r="B19" t="s">
        <v>2207</v>
      </c>
      <c r="C19" t="s">
        <v>2206</v>
      </c>
    </row>
    <row r="20" spans="1:3" x14ac:dyDescent="0.25">
      <c r="A20" t="s">
        <v>2208</v>
      </c>
      <c r="B20" t="s">
        <v>2209</v>
      </c>
      <c r="C20" t="s">
        <v>2208</v>
      </c>
    </row>
    <row r="21" spans="1:3" x14ac:dyDescent="0.25">
      <c r="A21" t="s">
        <v>2210</v>
      </c>
      <c r="B21" t="s">
        <v>2211</v>
      </c>
      <c r="C21" t="s">
        <v>2210</v>
      </c>
    </row>
    <row r="22" spans="1:3" x14ac:dyDescent="0.25">
      <c r="A22" t="s">
        <v>2212</v>
      </c>
      <c r="B22" t="s">
        <v>2213</v>
      </c>
      <c r="C22" t="s">
        <v>2212</v>
      </c>
    </row>
    <row r="23" spans="1:3" x14ac:dyDescent="0.25">
      <c r="A23" t="s">
        <v>2214</v>
      </c>
      <c r="B23" t="s">
        <v>2215</v>
      </c>
      <c r="C23" t="s">
        <v>2214</v>
      </c>
    </row>
    <row r="24" spans="1:3" x14ac:dyDescent="0.25">
      <c r="A24" t="s">
        <v>2216</v>
      </c>
      <c r="B24" t="s">
        <v>2217</v>
      </c>
      <c r="C24" t="s">
        <v>2216</v>
      </c>
    </row>
    <row r="25" spans="1:3" x14ac:dyDescent="0.25">
      <c r="A25" t="s">
        <v>2218</v>
      </c>
      <c r="B25" t="s">
        <v>2219</v>
      </c>
      <c r="C25" t="s">
        <v>2218</v>
      </c>
    </row>
    <row r="26" spans="1:3" x14ac:dyDescent="0.25">
      <c r="A26" t="s">
        <v>2220</v>
      </c>
      <c r="B26" t="s">
        <v>2221</v>
      </c>
      <c r="C26" t="s">
        <v>2220</v>
      </c>
    </row>
    <row r="27" spans="1:3" x14ac:dyDescent="0.25">
      <c r="A27" t="s">
        <v>2222</v>
      </c>
      <c r="B27" t="s">
        <v>2223</v>
      </c>
      <c r="C27" t="s">
        <v>2222</v>
      </c>
    </row>
    <row r="28" spans="1:3" x14ac:dyDescent="0.25">
      <c r="A28" t="s">
        <v>2224</v>
      </c>
      <c r="B28" t="s">
        <v>2225</v>
      </c>
      <c r="C28" t="s">
        <v>2224</v>
      </c>
    </row>
    <row r="29" spans="1:3" x14ac:dyDescent="0.25">
      <c r="A29" t="s">
        <v>2226</v>
      </c>
      <c r="B29" t="s">
        <v>2227</v>
      </c>
      <c r="C29" t="s">
        <v>2226</v>
      </c>
    </row>
    <row r="30" spans="1:3" x14ac:dyDescent="0.25">
      <c r="A30" t="s">
        <v>2228</v>
      </c>
      <c r="B30" t="s">
        <v>2229</v>
      </c>
      <c r="C30" t="s">
        <v>2228</v>
      </c>
    </row>
    <row r="31" spans="1:3" x14ac:dyDescent="0.25">
      <c r="A31" t="s">
        <v>2230</v>
      </c>
      <c r="B31" t="s">
        <v>2231</v>
      </c>
      <c r="C31" t="s">
        <v>2230</v>
      </c>
    </row>
    <row r="32" spans="1:3" x14ac:dyDescent="0.25">
      <c r="A32" t="s">
        <v>2232</v>
      </c>
      <c r="B32" t="s">
        <v>2233</v>
      </c>
      <c r="C32" t="s">
        <v>2232</v>
      </c>
    </row>
    <row r="33" spans="1:3" x14ac:dyDescent="0.25">
      <c r="A33" t="s">
        <v>2234</v>
      </c>
      <c r="B33" t="s">
        <v>2235</v>
      </c>
      <c r="C33" t="s">
        <v>2234</v>
      </c>
    </row>
    <row r="34" spans="1:3" x14ac:dyDescent="0.25">
      <c r="A34" t="s">
        <v>2236</v>
      </c>
      <c r="B34" t="s">
        <v>2237</v>
      </c>
      <c r="C34" t="s">
        <v>2236</v>
      </c>
    </row>
    <row r="35" spans="1:3" x14ac:dyDescent="0.25">
      <c r="A35" t="s">
        <v>2238</v>
      </c>
      <c r="B35" t="s">
        <v>2239</v>
      </c>
      <c r="C35" t="s">
        <v>2238</v>
      </c>
    </row>
    <row r="36" spans="1:3" x14ac:dyDescent="0.25">
      <c r="A36" t="s">
        <v>2240</v>
      </c>
      <c r="B36" t="s">
        <v>2241</v>
      </c>
      <c r="C36" t="s">
        <v>2240</v>
      </c>
    </row>
    <row r="37" spans="1:3" x14ac:dyDescent="0.25">
      <c r="A37" t="s">
        <v>177</v>
      </c>
      <c r="B37" t="s">
        <v>1862</v>
      </c>
      <c r="C37" t="s">
        <v>177</v>
      </c>
    </row>
    <row r="38" spans="1:3" x14ac:dyDescent="0.25">
      <c r="A38" t="s">
        <v>313</v>
      </c>
      <c r="B38" t="s">
        <v>2242</v>
      </c>
      <c r="C38" t="s">
        <v>313</v>
      </c>
    </row>
    <row r="39" spans="1:3" x14ac:dyDescent="0.25">
      <c r="A39" t="s">
        <v>2243</v>
      </c>
      <c r="B39" t="s">
        <v>2244</v>
      </c>
      <c r="C39" t="s">
        <v>2243</v>
      </c>
    </row>
    <row r="40" spans="1:3" x14ac:dyDescent="0.25">
      <c r="A40" t="s">
        <v>2245</v>
      </c>
      <c r="B40" t="s">
        <v>2246</v>
      </c>
      <c r="C40" t="s">
        <v>2245</v>
      </c>
    </row>
    <row r="41" spans="1:3" x14ac:dyDescent="0.25">
      <c r="A41" t="s">
        <v>2247</v>
      </c>
      <c r="B41" t="s">
        <v>2248</v>
      </c>
      <c r="C41" t="s">
        <v>2247</v>
      </c>
    </row>
    <row r="42" spans="1:3" x14ac:dyDescent="0.25">
      <c r="A42" t="s">
        <v>2249</v>
      </c>
      <c r="B42" t="s">
        <v>2250</v>
      </c>
      <c r="C42" t="s">
        <v>2249</v>
      </c>
    </row>
    <row r="43" spans="1:3" x14ac:dyDescent="0.25">
      <c r="A43" t="s">
        <v>2251</v>
      </c>
      <c r="B43" t="s">
        <v>2252</v>
      </c>
      <c r="C43" t="s">
        <v>2251</v>
      </c>
    </row>
    <row r="44" spans="1:3" x14ac:dyDescent="0.25">
      <c r="A44" t="s">
        <v>2253</v>
      </c>
      <c r="B44" t="s">
        <v>2254</v>
      </c>
      <c r="C44" t="s">
        <v>2253</v>
      </c>
    </row>
    <row r="45" spans="1:3" x14ac:dyDescent="0.25">
      <c r="A45" t="s">
        <v>2255</v>
      </c>
      <c r="B45" t="s">
        <v>2256</v>
      </c>
      <c r="C45" t="s">
        <v>2255</v>
      </c>
    </row>
    <row r="46" spans="1:3" x14ac:dyDescent="0.25">
      <c r="A46" t="s">
        <v>2257</v>
      </c>
      <c r="B46" t="s">
        <v>2258</v>
      </c>
      <c r="C46" t="s">
        <v>2257</v>
      </c>
    </row>
    <row r="47" spans="1:3" x14ac:dyDescent="0.25">
      <c r="A47" t="s">
        <v>2259</v>
      </c>
      <c r="B47" t="s">
        <v>2260</v>
      </c>
      <c r="C47" t="s">
        <v>2259</v>
      </c>
    </row>
    <row r="48" spans="1:3" x14ac:dyDescent="0.25">
      <c r="A48" t="s">
        <v>2261</v>
      </c>
      <c r="B48" t="s">
        <v>2262</v>
      </c>
      <c r="C48" t="s">
        <v>2261</v>
      </c>
    </row>
    <row r="49" spans="1:3" x14ac:dyDescent="0.25">
      <c r="A49" t="s">
        <v>2263</v>
      </c>
      <c r="B49" t="s">
        <v>2264</v>
      </c>
      <c r="C49" t="s">
        <v>2263</v>
      </c>
    </row>
    <row r="50" spans="1:3" x14ac:dyDescent="0.25">
      <c r="A50" t="s">
        <v>2265</v>
      </c>
      <c r="B50" t="s">
        <v>2266</v>
      </c>
      <c r="C50" t="s">
        <v>2265</v>
      </c>
    </row>
    <row r="51" spans="1:3" x14ac:dyDescent="0.25">
      <c r="A51" t="s">
        <v>2267</v>
      </c>
      <c r="B51" t="s">
        <v>2268</v>
      </c>
      <c r="C51" t="s">
        <v>2267</v>
      </c>
    </row>
    <row r="52" spans="1:3" x14ac:dyDescent="0.25">
      <c r="A52" t="s">
        <v>2269</v>
      </c>
      <c r="B52" t="s">
        <v>2270</v>
      </c>
      <c r="C52" t="s">
        <v>2269</v>
      </c>
    </row>
    <row r="53" spans="1:3" x14ac:dyDescent="0.25">
      <c r="A53" t="s">
        <v>2271</v>
      </c>
      <c r="B53" t="s">
        <v>2272</v>
      </c>
      <c r="C53" t="s">
        <v>2271</v>
      </c>
    </row>
    <row r="54" spans="1:3" x14ac:dyDescent="0.25">
      <c r="A54" t="s">
        <v>2273</v>
      </c>
      <c r="B54" t="s">
        <v>2274</v>
      </c>
      <c r="C54" t="s">
        <v>2273</v>
      </c>
    </row>
    <row r="55" spans="1:3" x14ac:dyDescent="0.25">
      <c r="A55" t="s">
        <v>2275</v>
      </c>
      <c r="B55" t="s">
        <v>2276</v>
      </c>
      <c r="C55" t="s">
        <v>2275</v>
      </c>
    </row>
    <row r="56" spans="1:3" x14ac:dyDescent="0.25">
      <c r="A56" t="s">
        <v>2277</v>
      </c>
      <c r="B56" t="s">
        <v>2278</v>
      </c>
      <c r="C56" t="s">
        <v>2277</v>
      </c>
    </row>
    <row r="57" spans="1:3" x14ac:dyDescent="0.25">
      <c r="A57" t="s">
        <v>89</v>
      </c>
      <c r="B57" t="s">
        <v>1920</v>
      </c>
      <c r="C57" t="s">
        <v>89</v>
      </c>
    </row>
    <row r="58" spans="1:3" x14ac:dyDescent="0.25">
      <c r="A58" t="s">
        <v>2279</v>
      </c>
      <c r="B58" t="s">
        <v>2280</v>
      </c>
      <c r="C58" t="s">
        <v>2279</v>
      </c>
    </row>
    <row r="59" spans="1:3" x14ac:dyDescent="0.25">
      <c r="A59" t="s">
        <v>2281</v>
      </c>
      <c r="B59" t="s">
        <v>2282</v>
      </c>
      <c r="C59" t="s">
        <v>2281</v>
      </c>
    </row>
    <row r="60" spans="1:3" x14ac:dyDescent="0.25">
      <c r="A60" t="s">
        <v>501</v>
      </c>
      <c r="B60" t="s">
        <v>2283</v>
      </c>
      <c r="C60" t="s">
        <v>501</v>
      </c>
    </row>
    <row r="61" spans="1:3" x14ac:dyDescent="0.25">
      <c r="A61" t="s">
        <v>2284</v>
      </c>
      <c r="B61" t="s">
        <v>2285</v>
      </c>
      <c r="C61" t="s">
        <v>2284</v>
      </c>
    </row>
    <row r="62" spans="1:3" x14ac:dyDescent="0.25">
      <c r="A62" t="s">
        <v>98</v>
      </c>
      <c r="B62" t="s">
        <v>2120</v>
      </c>
      <c r="C62" t="s">
        <v>98</v>
      </c>
    </row>
    <row r="63" spans="1:3" x14ac:dyDescent="0.25">
      <c r="A63" t="s">
        <v>99</v>
      </c>
      <c r="B63" t="s">
        <v>2009</v>
      </c>
      <c r="C63" t="s">
        <v>99</v>
      </c>
    </row>
    <row r="64" spans="1:3" x14ac:dyDescent="0.25">
      <c r="A64" t="s">
        <v>100</v>
      </c>
      <c r="B64" t="s">
        <v>2121</v>
      </c>
      <c r="C64" t="s">
        <v>100</v>
      </c>
    </row>
    <row r="65" spans="1:3" x14ac:dyDescent="0.25">
      <c r="A65" t="s">
        <v>101</v>
      </c>
      <c r="B65" t="s">
        <v>1922</v>
      </c>
      <c r="C65" t="s">
        <v>101</v>
      </c>
    </row>
    <row r="66" spans="1:3" x14ac:dyDescent="0.25">
      <c r="A66" t="s">
        <v>791</v>
      </c>
      <c r="B66" t="s">
        <v>2099</v>
      </c>
      <c r="C66" t="s">
        <v>791</v>
      </c>
    </row>
    <row r="67" spans="1:3" x14ac:dyDescent="0.25">
      <c r="A67" t="s">
        <v>181</v>
      </c>
      <c r="B67" t="s">
        <v>1867</v>
      </c>
      <c r="C67" t="s">
        <v>181</v>
      </c>
    </row>
    <row r="68" spans="1:3" x14ac:dyDescent="0.25">
      <c r="A68" t="s">
        <v>187</v>
      </c>
      <c r="B68" t="s">
        <v>1948</v>
      </c>
      <c r="C68" t="s">
        <v>187</v>
      </c>
    </row>
    <row r="69" spans="1:3" x14ac:dyDescent="0.25">
      <c r="A69" t="s">
        <v>191</v>
      </c>
      <c r="B69" t="s">
        <v>1873</v>
      </c>
      <c r="C69" t="s">
        <v>191</v>
      </c>
    </row>
    <row r="70" spans="1:3" x14ac:dyDescent="0.25">
      <c r="A70" t="s">
        <v>261</v>
      </c>
      <c r="B70" t="s">
        <v>2003</v>
      </c>
      <c r="C70" t="s">
        <v>261</v>
      </c>
    </row>
    <row r="71" spans="1:3" x14ac:dyDescent="0.25">
      <c r="A71" t="s">
        <v>185</v>
      </c>
      <c r="B71" t="s">
        <v>1869</v>
      </c>
      <c r="C71" t="s">
        <v>185</v>
      </c>
    </row>
    <row r="72" spans="1:3" x14ac:dyDescent="0.25">
      <c r="A72" t="s">
        <v>189</v>
      </c>
      <c r="B72" t="s">
        <v>1872</v>
      </c>
      <c r="C72" t="s">
        <v>189</v>
      </c>
    </row>
    <row r="73" spans="1:3" x14ac:dyDescent="0.25">
      <c r="A73" t="s">
        <v>220</v>
      </c>
      <c r="B73" t="s">
        <v>1899</v>
      </c>
      <c r="C73" t="s">
        <v>220</v>
      </c>
    </row>
    <row r="74" spans="1:3" x14ac:dyDescent="0.25">
      <c r="A74" t="s">
        <v>1381</v>
      </c>
      <c r="B74" t="s">
        <v>5100</v>
      </c>
      <c r="C74" t="s">
        <v>1381</v>
      </c>
    </row>
    <row r="75" spans="1:3" x14ac:dyDescent="0.25">
      <c r="A75" t="s">
        <v>5101</v>
      </c>
      <c r="B75" t="s">
        <v>5102</v>
      </c>
      <c r="C75" t="s">
        <v>5101</v>
      </c>
    </row>
    <row r="76" spans="1:3" x14ac:dyDescent="0.25">
      <c r="A76" t="s">
        <v>5103</v>
      </c>
      <c r="B76" t="s">
        <v>2399</v>
      </c>
      <c r="C76" t="s">
        <v>5103</v>
      </c>
    </row>
    <row r="77" spans="1:3" x14ac:dyDescent="0.25">
      <c r="A77" t="s">
        <v>5104</v>
      </c>
      <c r="B77" t="s">
        <v>5105</v>
      </c>
      <c r="C77" t="s">
        <v>5104</v>
      </c>
    </row>
    <row r="78" spans="1:3" x14ac:dyDescent="0.25">
      <c r="A78" t="s">
        <v>5106</v>
      </c>
      <c r="B78" t="s">
        <v>5107</v>
      </c>
      <c r="C78" t="s">
        <v>5106</v>
      </c>
    </row>
    <row r="79" spans="1:3" x14ac:dyDescent="0.25">
      <c r="A79" t="s">
        <v>5108</v>
      </c>
      <c r="B79" t="s">
        <v>5109</v>
      </c>
      <c r="C79" t="s">
        <v>5108</v>
      </c>
    </row>
    <row r="80" spans="1:3" x14ac:dyDescent="0.25">
      <c r="A80" t="s">
        <v>5110</v>
      </c>
      <c r="B80" t="s">
        <v>5111</v>
      </c>
      <c r="C80" t="s">
        <v>5110</v>
      </c>
    </row>
    <row r="81" spans="1:3" x14ac:dyDescent="0.25">
      <c r="A81" t="s">
        <v>5112</v>
      </c>
      <c r="B81" t="s">
        <v>5113</v>
      </c>
      <c r="C81" t="s">
        <v>5112</v>
      </c>
    </row>
    <row r="82" spans="1:3" x14ac:dyDescent="0.25">
      <c r="A82" t="s">
        <v>5114</v>
      </c>
      <c r="B82" t="s">
        <v>5115</v>
      </c>
      <c r="C82" t="s">
        <v>5114</v>
      </c>
    </row>
    <row r="83" spans="1:3" x14ac:dyDescent="0.25">
      <c r="A83" t="s">
        <v>5116</v>
      </c>
      <c r="B83" t="s">
        <v>5117</v>
      </c>
      <c r="C83" t="s">
        <v>5116</v>
      </c>
    </row>
    <row r="84" spans="1:3" x14ac:dyDescent="0.25">
      <c r="A84" t="s">
        <v>5118</v>
      </c>
      <c r="B84" t="s">
        <v>5119</v>
      </c>
      <c r="C84" t="s">
        <v>5118</v>
      </c>
    </row>
    <row r="85" spans="1:3" x14ac:dyDescent="0.25">
      <c r="A85" t="s">
        <v>5120</v>
      </c>
      <c r="B85" t="s">
        <v>5121</v>
      </c>
      <c r="C85" t="s">
        <v>5120</v>
      </c>
    </row>
    <row r="86" spans="1:3" x14ac:dyDescent="0.25">
      <c r="A86" t="s">
        <v>5122</v>
      </c>
      <c r="B86" t="s">
        <v>5123</v>
      </c>
      <c r="C86" t="s">
        <v>5122</v>
      </c>
    </row>
    <row r="87" spans="1:3" x14ac:dyDescent="0.25">
      <c r="A87" t="s">
        <v>5124</v>
      </c>
      <c r="B87" t="s">
        <v>5125</v>
      </c>
      <c r="C87" t="s">
        <v>5124</v>
      </c>
    </row>
    <row r="88" spans="1:3" x14ac:dyDescent="0.25">
      <c r="A88" t="s">
        <v>5126</v>
      </c>
      <c r="B88" t="s">
        <v>5127</v>
      </c>
      <c r="C88" t="s">
        <v>5126</v>
      </c>
    </row>
    <row r="89" spans="1:3" x14ac:dyDescent="0.25">
      <c r="A89" t="s">
        <v>5128</v>
      </c>
      <c r="B89" t="s">
        <v>5129</v>
      </c>
      <c r="C89" t="s">
        <v>5128</v>
      </c>
    </row>
    <row r="90" spans="1:3" x14ac:dyDescent="0.25">
      <c r="A90" t="s">
        <v>5130</v>
      </c>
      <c r="B90" t="s">
        <v>5131</v>
      </c>
      <c r="C90" t="s">
        <v>5130</v>
      </c>
    </row>
    <row r="91" spans="1:3" x14ac:dyDescent="0.25">
      <c r="A91" t="s">
        <v>5132</v>
      </c>
      <c r="B91" t="s">
        <v>2405</v>
      </c>
      <c r="C91" t="s">
        <v>5132</v>
      </c>
    </row>
    <row r="92" spans="1:3" x14ac:dyDescent="0.25">
      <c r="A92" t="s">
        <v>5133</v>
      </c>
      <c r="B92" t="s">
        <v>5134</v>
      </c>
      <c r="C92" t="s">
        <v>5133</v>
      </c>
    </row>
    <row r="93" spans="1:3" x14ac:dyDescent="0.25">
      <c r="A93" t="s">
        <v>1294</v>
      </c>
      <c r="B93" t="s">
        <v>5135</v>
      </c>
      <c r="C93" t="s">
        <v>1294</v>
      </c>
    </row>
    <row r="94" spans="1:3" x14ac:dyDescent="0.25">
      <c r="A94" t="s">
        <v>5136</v>
      </c>
      <c r="B94" t="s">
        <v>5137</v>
      </c>
      <c r="C94" t="s">
        <v>5136</v>
      </c>
    </row>
    <row r="95" spans="1:3" x14ac:dyDescent="0.25">
      <c r="A95" t="s">
        <v>210</v>
      </c>
      <c r="B95" t="s">
        <v>2286</v>
      </c>
      <c r="C95" t="s">
        <v>210</v>
      </c>
    </row>
    <row r="96" spans="1:3" x14ac:dyDescent="0.25">
      <c r="A96" t="s">
        <v>247</v>
      </c>
      <c r="B96" t="s">
        <v>1919</v>
      </c>
      <c r="C96" t="s">
        <v>247</v>
      </c>
    </row>
    <row r="97" spans="1:3" x14ac:dyDescent="0.25">
      <c r="A97" t="s">
        <v>208</v>
      </c>
      <c r="B97" t="s">
        <v>1894</v>
      </c>
      <c r="C97" t="s">
        <v>208</v>
      </c>
    </row>
    <row r="98" spans="1:3" x14ac:dyDescent="0.25">
      <c r="A98" t="s">
        <v>259</v>
      </c>
      <c r="B98" t="s">
        <v>1921</v>
      </c>
      <c r="C98" t="s">
        <v>259</v>
      </c>
    </row>
    <row r="99" spans="1:3" x14ac:dyDescent="0.25">
      <c r="A99" t="s">
        <v>2287</v>
      </c>
      <c r="B99" t="s">
        <v>2288</v>
      </c>
      <c r="C99" t="s">
        <v>2287</v>
      </c>
    </row>
    <row r="100" spans="1:3" x14ac:dyDescent="0.25">
      <c r="A100" t="s">
        <v>5138</v>
      </c>
      <c r="B100" t="s">
        <v>5139</v>
      </c>
      <c r="C100" t="s">
        <v>5138</v>
      </c>
    </row>
    <row r="101" spans="1:3" x14ac:dyDescent="0.25">
      <c r="A101" t="s">
        <v>5140</v>
      </c>
      <c r="B101" t="s">
        <v>5141</v>
      </c>
      <c r="C101" t="s">
        <v>5140</v>
      </c>
    </row>
    <row r="102" spans="1:3" x14ac:dyDescent="0.25">
      <c r="A102" t="s">
        <v>5142</v>
      </c>
      <c r="B102" t="s">
        <v>5143</v>
      </c>
      <c r="C102" t="s">
        <v>5142</v>
      </c>
    </row>
    <row r="103" spans="1:3" x14ac:dyDescent="0.25">
      <c r="A103" t="s">
        <v>5144</v>
      </c>
      <c r="B103" t="s">
        <v>2403</v>
      </c>
      <c r="C103" t="s">
        <v>5144</v>
      </c>
    </row>
    <row r="104" spans="1:3" x14ac:dyDescent="0.25">
      <c r="A104" t="s">
        <v>2289</v>
      </c>
      <c r="B104" t="s">
        <v>2290</v>
      </c>
      <c r="C104" t="s">
        <v>2289</v>
      </c>
    </row>
    <row r="105" spans="1:3" x14ac:dyDescent="0.25">
      <c r="A105" t="s">
        <v>2291</v>
      </c>
      <c r="B105" t="s">
        <v>2292</v>
      </c>
      <c r="C105" t="s">
        <v>2291</v>
      </c>
    </row>
    <row r="106" spans="1:3" x14ac:dyDescent="0.25">
      <c r="A106" t="s">
        <v>893</v>
      </c>
      <c r="B106" t="s">
        <v>2293</v>
      </c>
      <c r="C106" t="s">
        <v>893</v>
      </c>
    </row>
    <row r="107" spans="1:3" x14ac:dyDescent="0.25">
      <c r="A107" t="s">
        <v>2294</v>
      </c>
      <c r="B107" t="s">
        <v>2295</v>
      </c>
      <c r="C107" t="s">
        <v>2294</v>
      </c>
    </row>
    <row r="108" spans="1:3" x14ac:dyDescent="0.25">
      <c r="A108" t="s">
        <v>2296</v>
      </c>
      <c r="B108" t="s">
        <v>2297</v>
      </c>
      <c r="C108" t="s">
        <v>2296</v>
      </c>
    </row>
    <row r="109" spans="1:3" x14ac:dyDescent="0.25">
      <c r="A109" t="s">
        <v>2298</v>
      </c>
      <c r="B109" t="s">
        <v>2299</v>
      </c>
      <c r="C109" t="s">
        <v>2298</v>
      </c>
    </row>
    <row r="110" spans="1:3" x14ac:dyDescent="0.25">
      <c r="A110" t="s">
        <v>2300</v>
      </c>
      <c r="B110" t="s">
        <v>2301</v>
      </c>
      <c r="C110" t="s">
        <v>2300</v>
      </c>
    </row>
    <row r="111" spans="1:3" x14ac:dyDescent="0.25">
      <c r="A111" t="s">
        <v>314</v>
      </c>
      <c r="B111" t="s">
        <v>1923</v>
      </c>
      <c r="C111" t="s">
        <v>314</v>
      </c>
    </row>
    <row r="112" spans="1:3" x14ac:dyDescent="0.25">
      <c r="A112" t="s">
        <v>2302</v>
      </c>
      <c r="B112" t="s">
        <v>2303</v>
      </c>
      <c r="C112" t="s">
        <v>2302</v>
      </c>
    </row>
    <row r="113" spans="1:3" x14ac:dyDescent="0.25">
      <c r="A113" t="s">
        <v>1233</v>
      </c>
      <c r="B113" t="s">
        <v>5145</v>
      </c>
      <c r="C113" t="s">
        <v>1233</v>
      </c>
    </row>
    <row r="114" spans="1:3" x14ac:dyDescent="0.25">
      <c r="A114" t="s">
        <v>5142</v>
      </c>
      <c r="B114" t="s">
        <v>2404</v>
      </c>
      <c r="C114" t="s">
        <v>5142</v>
      </c>
    </row>
    <row r="115" spans="1:3" x14ac:dyDescent="0.25">
      <c r="A115" t="s">
        <v>2304</v>
      </c>
      <c r="B115" t="s">
        <v>2305</v>
      </c>
      <c r="C115" t="s">
        <v>2304</v>
      </c>
    </row>
    <row r="116" spans="1:3" x14ac:dyDescent="0.25">
      <c r="A116" t="s">
        <v>921</v>
      </c>
      <c r="B116" t="s">
        <v>2091</v>
      </c>
      <c r="C116" t="s">
        <v>921</v>
      </c>
    </row>
    <row r="117" spans="1:3" x14ac:dyDescent="0.25">
      <c r="A117" t="s">
        <v>2306</v>
      </c>
      <c r="B117" t="s">
        <v>2307</v>
      </c>
      <c r="C117" t="s">
        <v>2306</v>
      </c>
    </row>
    <row r="118" spans="1:3" x14ac:dyDescent="0.25">
      <c r="A118" t="s">
        <v>282</v>
      </c>
      <c r="B118" t="s">
        <v>2014</v>
      </c>
      <c r="C118" t="s">
        <v>282</v>
      </c>
    </row>
    <row r="119" spans="1:3" x14ac:dyDescent="0.25">
      <c r="A119" t="s">
        <v>281</v>
      </c>
      <c r="B119" t="s">
        <v>2308</v>
      </c>
      <c r="C119" t="s">
        <v>281</v>
      </c>
    </row>
    <row r="120" spans="1:3" x14ac:dyDescent="0.25">
      <c r="A120" t="s">
        <v>279</v>
      </c>
      <c r="B120" t="s">
        <v>1927</v>
      </c>
      <c r="C120" t="s">
        <v>279</v>
      </c>
    </row>
    <row r="121" spans="1:3" x14ac:dyDescent="0.25">
      <c r="A121" t="s">
        <v>2309</v>
      </c>
      <c r="B121" t="s">
        <v>2310</v>
      </c>
      <c r="C121" t="s">
        <v>2309</v>
      </c>
    </row>
    <row r="122" spans="1:3" x14ac:dyDescent="0.25">
      <c r="A122" t="s">
        <v>2311</v>
      </c>
      <c r="B122" t="s">
        <v>2312</v>
      </c>
      <c r="C122" t="s">
        <v>2311</v>
      </c>
    </row>
    <row r="123" spans="1:3" x14ac:dyDescent="0.25">
      <c r="A123" t="s">
        <v>2313</v>
      </c>
      <c r="B123" t="s">
        <v>2314</v>
      </c>
      <c r="C123" t="s">
        <v>2313</v>
      </c>
    </row>
    <row r="124" spans="1:3" x14ac:dyDescent="0.25">
      <c r="A124" t="s">
        <v>2306</v>
      </c>
      <c r="B124" t="s">
        <v>2315</v>
      </c>
      <c r="C124" t="s">
        <v>2306</v>
      </c>
    </row>
    <row r="125" spans="1:3" x14ac:dyDescent="0.25">
      <c r="A125" t="s">
        <v>2316</v>
      </c>
      <c r="B125" t="s">
        <v>2317</v>
      </c>
      <c r="C125" t="s">
        <v>2316</v>
      </c>
    </row>
    <row r="126" spans="1:3" x14ac:dyDescent="0.25">
      <c r="A126" t="s">
        <v>2318</v>
      </c>
      <c r="B126" t="s">
        <v>2319</v>
      </c>
      <c r="C126" t="s">
        <v>2318</v>
      </c>
    </row>
    <row r="127" spans="1:3" x14ac:dyDescent="0.25">
      <c r="A127" t="s">
        <v>2320</v>
      </c>
      <c r="B127" t="s">
        <v>2321</v>
      </c>
      <c r="C127" t="s">
        <v>2320</v>
      </c>
    </row>
    <row r="128" spans="1:3" x14ac:dyDescent="0.25">
      <c r="A128" t="s">
        <v>2322</v>
      </c>
      <c r="B128" t="s">
        <v>2323</v>
      </c>
      <c r="C128" t="s">
        <v>2322</v>
      </c>
    </row>
    <row r="129" spans="1:3" x14ac:dyDescent="0.25">
      <c r="A129" t="s">
        <v>2324</v>
      </c>
      <c r="B129" t="s">
        <v>2325</v>
      </c>
      <c r="C129" t="s">
        <v>2324</v>
      </c>
    </row>
    <row r="130" spans="1:3" x14ac:dyDescent="0.25">
      <c r="A130" t="s">
        <v>2326</v>
      </c>
      <c r="B130" t="s">
        <v>2327</v>
      </c>
      <c r="C130" t="s">
        <v>2326</v>
      </c>
    </row>
    <row r="131" spans="1:3" x14ac:dyDescent="0.25">
      <c r="A131" t="s">
        <v>2328</v>
      </c>
      <c r="B131" t="s">
        <v>2329</v>
      </c>
      <c r="C131" t="s">
        <v>2328</v>
      </c>
    </row>
    <row r="132" spans="1:3" x14ac:dyDescent="0.25">
      <c r="A132" t="s">
        <v>5146</v>
      </c>
      <c r="B132" t="s">
        <v>5147</v>
      </c>
      <c r="C132" t="s">
        <v>5146</v>
      </c>
    </row>
    <row r="133" spans="1:3" x14ac:dyDescent="0.25">
      <c r="A133" t="s">
        <v>2330</v>
      </c>
      <c r="B133" t="s">
        <v>2331</v>
      </c>
      <c r="C133" t="s">
        <v>2330</v>
      </c>
    </row>
    <row r="134" spans="1:3" x14ac:dyDescent="0.25">
      <c r="A134" t="s">
        <v>2332</v>
      </c>
      <c r="B134" t="s">
        <v>2333</v>
      </c>
      <c r="C134" t="s">
        <v>2332</v>
      </c>
    </row>
    <row r="135" spans="1:3" x14ac:dyDescent="0.25">
      <c r="A135" t="s">
        <v>2334</v>
      </c>
      <c r="B135" t="s">
        <v>2335</v>
      </c>
      <c r="C135" t="s">
        <v>2334</v>
      </c>
    </row>
    <row r="136" spans="1:3" x14ac:dyDescent="0.25">
      <c r="A136" t="s">
        <v>2336</v>
      </c>
      <c r="B136" t="s">
        <v>2337</v>
      </c>
      <c r="C136" t="s">
        <v>2336</v>
      </c>
    </row>
    <row r="137" spans="1:3" x14ac:dyDescent="0.25">
      <c r="A137" t="s">
        <v>2338</v>
      </c>
      <c r="B137" t="s">
        <v>2339</v>
      </c>
      <c r="C137" t="s">
        <v>2338</v>
      </c>
    </row>
    <row r="138" spans="1:3" x14ac:dyDescent="0.25">
      <c r="A138" t="s">
        <v>2340</v>
      </c>
      <c r="B138" t="s">
        <v>1940</v>
      </c>
      <c r="C138" t="s">
        <v>2340</v>
      </c>
    </row>
    <row r="139" spans="1:3" x14ac:dyDescent="0.25">
      <c r="A139" t="s">
        <v>2341</v>
      </c>
      <c r="B139" t="s">
        <v>2342</v>
      </c>
      <c r="C139" t="s">
        <v>2341</v>
      </c>
    </row>
    <row r="140" spans="1:3" x14ac:dyDescent="0.25">
      <c r="A140" t="s">
        <v>2343</v>
      </c>
      <c r="B140" t="s">
        <v>2344</v>
      </c>
      <c r="C140" t="s">
        <v>2343</v>
      </c>
    </row>
    <row r="141" spans="1:3" x14ac:dyDescent="0.25">
      <c r="A141" t="s">
        <v>2345</v>
      </c>
      <c r="B141" t="s">
        <v>2346</v>
      </c>
      <c r="C141" t="s">
        <v>2345</v>
      </c>
    </row>
    <row r="142" spans="1:3" x14ac:dyDescent="0.25">
      <c r="A142" t="s">
        <v>2347</v>
      </c>
      <c r="B142" t="s">
        <v>2348</v>
      </c>
      <c r="C142" t="s">
        <v>2347</v>
      </c>
    </row>
    <row r="143" spans="1:3" x14ac:dyDescent="0.25">
      <c r="A143" t="s">
        <v>2349</v>
      </c>
      <c r="B143" t="s">
        <v>2350</v>
      </c>
      <c r="C143" t="s">
        <v>2349</v>
      </c>
    </row>
    <row r="144" spans="1:3" x14ac:dyDescent="0.25">
      <c r="A144" t="s">
        <v>2351</v>
      </c>
      <c r="B144" t="s">
        <v>2352</v>
      </c>
      <c r="C144" t="s">
        <v>2351</v>
      </c>
    </row>
    <row r="145" spans="1:3" x14ac:dyDescent="0.25">
      <c r="A145" t="s">
        <v>2353</v>
      </c>
      <c r="B145" t="s">
        <v>2354</v>
      </c>
      <c r="C145" t="s">
        <v>2353</v>
      </c>
    </row>
    <row r="146" spans="1:3" x14ac:dyDescent="0.25">
      <c r="A146" t="s">
        <v>2355</v>
      </c>
      <c r="B146" t="s">
        <v>2356</v>
      </c>
      <c r="C146" t="s">
        <v>2355</v>
      </c>
    </row>
    <row r="147" spans="1:3" x14ac:dyDescent="0.25">
      <c r="A147" t="s">
        <v>2357</v>
      </c>
      <c r="B147" t="s">
        <v>2358</v>
      </c>
      <c r="C147" t="s">
        <v>2357</v>
      </c>
    </row>
    <row r="148" spans="1:3" x14ac:dyDescent="0.25">
      <c r="A148" t="s">
        <v>937</v>
      </c>
      <c r="B148" t="s">
        <v>2026</v>
      </c>
      <c r="C148" t="s">
        <v>937</v>
      </c>
    </row>
    <row r="149" spans="1:3" x14ac:dyDescent="0.25">
      <c r="A149" t="s">
        <v>690</v>
      </c>
      <c r="B149" t="s">
        <v>2148</v>
      </c>
      <c r="C149" t="s">
        <v>690</v>
      </c>
    </row>
    <row r="150" spans="1:3" x14ac:dyDescent="0.25">
      <c r="A150" t="s">
        <v>1005</v>
      </c>
      <c r="B150" t="s">
        <v>2359</v>
      </c>
      <c r="C150" t="s">
        <v>1005</v>
      </c>
    </row>
    <row r="151" spans="1:3" x14ac:dyDescent="0.25">
      <c r="A151" t="s">
        <v>1009</v>
      </c>
      <c r="B151" t="s">
        <v>2360</v>
      </c>
      <c r="C151" t="s">
        <v>1009</v>
      </c>
    </row>
    <row r="152" spans="1:3" x14ac:dyDescent="0.25">
      <c r="A152" t="s">
        <v>1053</v>
      </c>
      <c r="B152" t="s">
        <v>2361</v>
      </c>
      <c r="C152" t="s">
        <v>1053</v>
      </c>
    </row>
    <row r="153" spans="1:3" x14ac:dyDescent="0.25">
      <c r="A153" t="s">
        <v>1055</v>
      </c>
      <c r="B153" t="s">
        <v>2362</v>
      </c>
      <c r="C153" t="s">
        <v>1055</v>
      </c>
    </row>
    <row r="154" spans="1:3" x14ac:dyDescent="0.25">
      <c r="A154" t="s">
        <v>1057</v>
      </c>
      <c r="B154" t="s">
        <v>2363</v>
      </c>
      <c r="C154" t="s">
        <v>1057</v>
      </c>
    </row>
    <row r="155" spans="1:3" x14ac:dyDescent="0.25">
      <c r="A155" t="s">
        <v>1059</v>
      </c>
      <c r="B155" t="s">
        <v>2364</v>
      </c>
      <c r="C155" t="s">
        <v>1059</v>
      </c>
    </row>
    <row r="156" spans="1:3" x14ac:dyDescent="0.25">
      <c r="A156" t="s">
        <v>1061</v>
      </c>
      <c r="B156" t="s">
        <v>2365</v>
      </c>
      <c r="C156" t="s">
        <v>1061</v>
      </c>
    </row>
    <row r="157" spans="1:3" x14ac:dyDescent="0.25">
      <c r="A157" t="s">
        <v>1065</v>
      </c>
      <c r="B157" t="s">
        <v>2366</v>
      </c>
      <c r="C157" t="s">
        <v>1065</v>
      </c>
    </row>
    <row r="158" spans="1:3" x14ac:dyDescent="0.25">
      <c r="A158" t="s">
        <v>1067</v>
      </c>
      <c r="B158" t="s">
        <v>2367</v>
      </c>
      <c r="C158" t="s">
        <v>1067</v>
      </c>
    </row>
    <row r="159" spans="1:3" x14ac:dyDescent="0.25">
      <c r="A159" t="s">
        <v>1069</v>
      </c>
      <c r="B159" t="s">
        <v>2368</v>
      </c>
      <c r="C159" t="s">
        <v>1069</v>
      </c>
    </row>
    <row r="160" spans="1:3" x14ac:dyDescent="0.25">
      <c r="A160" t="s">
        <v>1071</v>
      </c>
      <c r="B160" t="s">
        <v>2369</v>
      </c>
      <c r="C160" t="s">
        <v>1071</v>
      </c>
    </row>
    <row r="161" spans="1:3" x14ac:dyDescent="0.25">
      <c r="A161" t="s">
        <v>1083</v>
      </c>
      <c r="B161" t="s">
        <v>2370</v>
      </c>
      <c r="C161" t="s">
        <v>1083</v>
      </c>
    </row>
    <row r="162" spans="1:3" x14ac:dyDescent="0.25">
      <c r="A162" t="s">
        <v>1085</v>
      </c>
      <c r="B162" t="s">
        <v>2371</v>
      </c>
      <c r="C162" t="s">
        <v>1085</v>
      </c>
    </row>
    <row r="163" spans="1:3" x14ac:dyDescent="0.25">
      <c r="A163" t="s">
        <v>1107</v>
      </c>
      <c r="B163" t="s">
        <v>2372</v>
      </c>
      <c r="C163" t="s">
        <v>1107</v>
      </c>
    </row>
    <row r="164" spans="1:3" x14ac:dyDescent="0.25">
      <c r="A164" t="s">
        <v>1259</v>
      </c>
      <c r="B164" t="s">
        <v>2373</v>
      </c>
      <c r="C164" t="s">
        <v>1259</v>
      </c>
    </row>
    <row r="165" spans="1:3" x14ac:dyDescent="0.25">
      <c r="A165" t="s">
        <v>1666</v>
      </c>
      <c r="B165" t="s">
        <v>2374</v>
      </c>
      <c r="C165" t="s">
        <v>1666</v>
      </c>
    </row>
    <row r="166" spans="1:3" x14ac:dyDescent="0.25">
      <c r="A166" t="s">
        <v>1670</v>
      </c>
      <c r="B166" t="s">
        <v>2375</v>
      </c>
      <c r="C166" t="s">
        <v>1670</v>
      </c>
    </row>
    <row r="167" spans="1:3" x14ac:dyDescent="0.25">
      <c r="A167" t="s">
        <v>1673</v>
      </c>
      <c r="B167" t="s">
        <v>2376</v>
      </c>
      <c r="C167" t="s">
        <v>1673</v>
      </c>
    </row>
    <row r="168" spans="1:3" x14ac:dyDescent="0.25">
      <c r="A168" t="s">
        <v>1676</v>
      </c>
      <c r="B168" t="s">
        <v>2377</v>
      </c>
      <c r="C168" t="s">
        <v>1676</v>
      </c>
    </row>
    <row r="169" spans="1:3" x14ac:dyDescent="0.25">
      <c r="A169" t="s">
        <v>1679</v>
      </c>
      <c r="B169" t="s">
        <v>2378</v>
      </c>
      <c r="C169" t="s">
        <v>1679</v>
      </c>
    </row>
    <row r="170" spans="1:3" x14ac:dyDescent="0.25">
      <c r="A170" t="s">
        <v>1682</v>
      </c>
      <c r="B170" t="s">
        <v>2379</v>
      </c>
      <c r="C170" t="s">
        <v>1682</v>
      </c>
    </row>
    <row r="171" spans="1:3" x14ac:dyDescent="0.25">
      <c r="A171" t="s">
        <v>1684</v>
      </c>
      <c r="B171" t="s">
        <v>2380</v>
      </c>
      <c r="C171" t="s">
        <v>1684</v>
      </c>
    </row>
    <row r="172" spans="1:3" x14ac:dyDescent="0.25">
      <c r="A172" t="s">
        <v>1701</v>
      </c>
      <c r="B172" t="s">
        <v>2381</v>
      </c>
      <c r="C172" t="s">
        <v>1701</v>
      </c>
    </row>
    <row r="173" spans="1:3" x14ac:dyDescent="0.25">
      <c r="A173" t="s">
        <v>1704</v>
      </c>
      <c r="B173" t="s">
        <v>2382</v>
      </c>
      <c r="C173" t="s">
        <v>1704</v>
      </c>
    </row>
    <row r="174" spans="1:3" x14ac:dyDescent="0.25">
      <c r="A174" t="s">
        <v>1707</v>
      </c>
      <c r="B174" t="s">
        <v>2383</v>
      </c>
      <c r="C174" t="s">
        <v>1707</v>
      </c>
    </row>
    <row r="175" spans="1:3" x14ac:dyDescent="0.25">
      <c r="A175" t="s">
        <v>1709</v>
      </c>
      <c r="B175" t="s">
        <v>2384</v>
      </c>
      <c r="C175" t="s">
        <v>1709</v>
      </c>
    </row>
    <row r="176" spans="1:3" x14ac:dyDescent="0.25">
      <c r="A176" t="s">
        <v>1712</v>
      </c>
      <c r="B176" t="s">
        <v>2385</v>
      </c>
      <c r="C176" t="s">
        <v>1712</v>
      </c>
    </row>
    <row r="177" spans="1:3" x14ac:dyDescent="0.25">
      <c r="A177" t="s">
        <v>1715</v>
      </c>
      <c r="B177" t="s">
        <v>2386</v>
      </c>
      <c r="C177" t="s">
        <v>1715</v>
      </c>
    </row>
    <row r="178" spans="1:3" x14ac:dyDescent="0.25">
      <c r="A178" t="s">
        <v>1718</v>
      </c>
      <c r="B178" t="s">
        <v>2387</v>
      </c>
      <c r="C178" t="s">
        <v>1718</v>
      </c>
    </row>
    <row r="179" spans="1:3" x14ac:dyDescent="0.25">
      <c r="A179" t="s">
        <v>1721</v>
      </c>
      <c r="B179" t="s">
        <v>2388</v>
      </c>
      <c r="C179" t="s">
        <v>1721</v>
      </c>
    </row>
    <row r="180" spans="1:3" x14ac:dyDescent="0.25">
      <c r="A180" t="s">
        <v>1724</v>
      </c>
      <c r="B180" t="s">
        <v>2389</v>
      </c>
      <c r="C180" t="s">
        <v>1724</v>
      </c>
    </row>
    <row r="181" spans="1:3" x14ac:dyDescent="0.25">
      <c r="A181" t="s">
        <v>1727</v>
      </c>
      <c r="B181" t="s">
        <v>2390</v>
      </c>
      <c r="C181" t="s">
        <v>1727</v>
      </c>
    </row>
    <row r="182" spans="1:3" x14ac:dyDescent="0.25">
      <c r="A182" t="s">
        <v>1730</v>
      </c>
      <c r="B182" t="s">
        <v>2391</v>
      </c>
      <c r="C182" t="s">
        <v>1730</v>
      </c>
    </row>
    <row r="183" spans="1:3" x14ac:dyDescent="0.25">
      <c r="A183" t="s">
        <v>1741</v>
      </c>
      <c r="B183" t="s">
        <v>2392</v>
      </c>
      <c r="C183" t="s">
        <v>1741</v>
      </c>
    </row>
    <row r="184" spans="1:3" x14ac:dyDescent="0.25">
      <c r="A184" t="s">
        <v>1757</v>
      </c>
      <c r="B184" t="s">
        <v>2393</v>
      </c>
      <c r="C184" t="s">
        <v>1757</v>
      </c>
    </row>
    <row r="185" spans="1:3" x14ac:dyDescent="0.25">
      <c r="A185" t="s">
        <v>1764</v>
      </c>
      <c r="B185" t="s">
        <v>2394</v>
      </c>
      <c r="C185" t="s">
        <v>1764</v>
      </c>
    </row>
    <row r="186" spans="1:3" x14ac:dyDescent="0.25">
      <c r="A186" t="s">
        <v>1767</v>
      </c>
      <c r="B186" t="s">
        <v>2395</v>
      </c>
      <c r="C186" t="s">
        <v>1767</v>
      </c>
    </row>
    <row r="187" spans="1:3" x14ac:dyDescent="0.25">
      <c r="A187" t="s">
        <v>1771</v>
      </c>
      <c r="B187" t="s">
        <v>2396</v>
      </c>
      <c r="C187" t="s">
        <v>1771</v>
      </c>
    </row>
    <row r="188" spans="1:3" x14ac:dyDescent="0.25">
      <c r="A188" t="s">
        <v>1125</v>
      </c>
      <c r="B188" t="s">
        <v>2397</v>
      </c>
      <c r="C188" t="s">
        <v>1125</v>
      </c>
    </row>
    <row r="189" spans="1:3" x14ac:dyDescent="0.25">
      <c r="A189" t="s">
        <v>1127</v>
      </c>
      <c r="B189" t="s">
        <v>2398</v>
      </c>
      <c r="C189" t="s">
        <v>1127</v>
      </c>
    </row>
    <row r="190" spans="1:3" x14ac:dyDescent="0.25">
      <c r="A190" t="s">
        <v>1187</v>
      </c>
      <c r="B190" t="s">
        <v>2399</v>
      </c>
      <c r="C190" t="s">
        <v>1187</v>
      </c>
    </row>
    <row r="191" spans="1:3" x14ac:dyDescent="0.25">
      <c r="A191" t="s">
        <v>1193</v>
      </c>
      <c r="B191" t="s">
        <v>2400</v>
      </c>
      <c r="C191" t="s">
        <v>1193</v>
      </c>
    </row>
    <row r="192" spans="1:3" x14ac:dyDescent="0.25">
      <c r="A192" t="s">
        <v>1209</v>
      </c>
      <c r="B192" t="s">
        <v>2401</v>
      </c>
      <c r="C192" t="s">
        <v>1209</v>
      </c>
    </row>
    <row r="193" spans="1:3" x14ac:dyDescent="0.25">
      <c r="A193" t="s">
        <v>1215</v>
      </c>
      <c r="B193" t="s">
        <v>2402</v>
      </c>
      <c r="C193" t="s">
        <v>1215</v>
      </c>
    </row>
    <row r="194" spans="1:3" x14ac:dyDescent="0.25">
      <c r="A194" t="s">
        <v>1219</v>
      </c>
      <c r="B194" t="s">
        <v>2403</v>
      </c>
      <c r="C194" t="s">
        <v>1219</v>
      </c>
    </row>
    <row r="195" spans="1:3" x14ac:dyDescent="0.25">
      <c r="A195" t="s">
        <v>1241</v>
      </c>
      <c r="B195" t="s">
        <v>2404</v>
      </c>
      <c r="C195" t="s">
        <v>1241</v>
      </c>
    </row>
    <row r="196" spans="1:3" x14ac:dyDescent="0.25">
      <c r="A196" t="s">
        <v>1283</v>
      </c>
      <c r="B196" t="s">
        <v>2405</v>
      </c>
      <c r="C196" t="s">
        <v>1283</v>
      </c>
    </row>
    <row r="197" spans="1:3" x14ac:dyDescent="0.25">
      <c r="A197" t="s">
        <v>1286</v>
      </c>
      <c r="B197" t="s">
        <v>2406</v>
      </c>
      <c r="C197" t="s">
        <v>1286</v>
      </c>
    </row>
    <row r="198" spans="1:3" x14ac:dyDescent="0.25">
      <c r="A198" t="s">
        <v>1288</v>
      </c>
      <c r="B198" t="s">
        <v>2407</v>
      </c>
      <c r="C198" t="s">
        <v>1288</v>
      </c>
    </row>
    <row r="199" spans="1:3" x14ac:dyDescent="0.25">
      <c r="A199" t="s">
        <v>1300</v>
      </c>
      <c r="B199" t="s">
        <v>2408</v>
      </c>
      <c r="C199" t="s">
        <v>1300</v>
      </c>
    </row>
    <row r="200" spans="1:3" x14ac:dyDescent="0.25">
      <c r="A200" t="s">
        <v>1311</v>
      </c>
      <c r="B200" t="s">
        <v>2409</v>
      </c>
      <c r="C200" t="s">
        <v>1311</v>
      </c>
    </row>
    <row r="201" spans="1:3" x14ac:dyDescent="0.25">
      <c r="A201" t="s">
        <v>1316</v>
      </c>
      <c r="B201" t="s">
        <v>2410</v>
      </c>
      <c r="C201" t="s">
        <v>1316</v>
      </c>
    </row>
    <row r="202" spans="1:3" x14ac:dyDescent="0.25">
      <c r="A202" t="s">
        <v>1319</v>
      </c>
      <c r="B202" t="s">
        <v>2411</v>
      </c>
      <c r="C202" t="s">
        <v>1319</v>
      </c>
    </row>
    <row r="203" spans="1:3" x14ac:dyDescent="0.25">
      <c r="A203" t="s">
        <v>1328</v>
      </c>
      <c r="B203" t="s">
        <v>2412</v>
      </c>
      <c r="C203" t="s">
        <v>1328</v>
      </c>
    </row>
    <row r="204" spans="1:3" x14ac:dyDescent="0.25">
      <c r="A204" t="s">
        <v>1334</v>
      </c>
      <c r="B204" t="s">
        <v>2413</v>
      </c>
      <c r="C204" t="s">
        <v>1334</v>
      </c>
    </row>
    <row r="205" spans="1:3" x14ac:dyDescent="0.25">
      <c r="A205" t="s">
        <v>1337</v>
      </c>
      <c r="B205" t="s">
        <v>2414</v>
      </c>
      <c r="C205" t="s">
        <v>1337</v>
      </c>
    </row>
    <row r="206" spans="1:3" x14ac:dyDescent="0.25">
      <c r="A206" t="s">
        <v>1426</v>
      </c>
      <c r="B206" t="s">
        <v>2415</v>
      </c>
      <c r="C206" t="s">
        <v>1426</v>
      </c>
    </row>
    <row r="207" spans="1:3" x14ac:dyDescent="0.25">
      <c r="A207" t="s">
        <v>1437</v>
      </c>
      <c r="B207" t="s">
        <v>2416</v>
      </c>
      <c r="C207" t="s">
        <v>1437</v>
      </c>
    </row>
    <row r="208" spans="1:3" x14ac:dyDescent="0.25">
      <c r="A208" t="s">
        <v>1444</v>
      </c>
      <c r="B208" t="s">
        <v>2417</v>
      </c>
      <c r="C208" t="s">
        <v>1444</v>
      </c>
    </row>
    <row r="209" spans="1:3" x14ac:dyDescent="0.25">
      <c r="A209" t="s">
        <v>1655</v>
      </c>
      <c r="B209" t="s">
        <v>2418</v>
      </c>
      <c r="C209" t="s">
        <v>1655</v>
      </c>
    </row>
    <row r="210" spans="1:3" x14ac:dyDescent="0.25">
      <c r="A210" t="s">
        <v>2419</v>
      </c>
      <c r="B210" t="s">
        <v>2420</v>
      </c>
      <c r="C210" t="s">
        <v>2419</v>
      </c>
    </row>
    <row r="211" spans="1:3" x14ac:dyDescent="0.25">
      <c r="A211" t="s">
        <v>2421</v>
      </c>
      <c r="B211" t="s">
        <v>2422</v>
      </c>
      <c r="C211" t="s">
        <v>2421</v>
      </c>
    </row>
    <row r="212" spans="1:3" x14ac:dyDescent="0.25">
      <c r="A212" t="s">
        <v>2423</v>
      </c>
      <c r="B212" t="s">
        <v>2424</v>
      </c>
      <c r="C212" t="s">
        <v>2423</v>
      </c>
    </row>
    <row r="213" spans="1:3" x14ac:dyDescent="0.25">
      <c r="A213" t="s">
        <v>2425</v>
      </c>
      <c r="B213" t="s">
        <v>2426</v>
      </c>
      <c r="C213" t="s">
        <v>2425</v>
      </c>
    </row>
    <row r="214" spans="1:3" x14ac:dyDescent="0.25">
      <c r="A214" t="s">
        <v>492</v>
      </c>
      <c r="B214" t="s">
        <v>2427</v>
      </c>
      <c r="C214" t="s">
        <v>492</v>
      </c>
    </row>
    <row r="215" spans="1:3" x14ac:dyDescent="0.25">
      <c r="A215" t="s">
        <v>494</v>
      </c>
      <c r="B215" t="s">
        <v>2428</v>
      </c>
      <c r="C215" t="s">
        <v>494</v>
      </c>
    </row>
    <row r="216" spans="1:3" x14ac:dyDescent="0.25">
      <c r="A216" t="s">
        <v>495</v>
      </c>
      <c r="B216" t="s">
        <v>2429</v>
      </c>
      <c r="C216" t="s">
        <v>495</v>
      </c>
    </row>
    <row r="217" spans="1:3" x14ac:dyDescent="0.25">
      <c r="A217" t="s">
        <v>2430</v>
      </c>
      <c r="B217" t="s">
        <v>2431</v>
      </c>
      <c r="C217" t="s">
        <v>2430</v>
      </c>
    </row>
    <row r="218" spans="1:3" x14ac:dyDescent="0.25">
      <c r="A218" t="s">
        <v>2432</v>
      </c>
      <c r="B218" t="s">
        <v>2433</v>
      </c>
      <c r="C218" t="s">
        <v>2432</v>
      </c>
    </row>
    <row r="219" spans="1:3" x14ac:dyDescent="0.25">
      <c r="A219" t="s">
        <v>2434</v>
      </c>
      <c r="B219" t="s">
        <v>2435</v>
      </c>
      <c r="C219" t="s">
        <v>2434</v>
      </c>
    </row>
    <row r="220" spans="1:3" x14ac:dyDescent="0.25">
      <c r="A220" t="s">
        <v>2436</v>
      </c>
      <c r="B220" t="s">
        <v>2437</v>
      </c>
      <c r="C220" t="s">
        <v>2436</v>
      </c>
    </row>
    <row r="221" spans="1:3" x14ac:dyDescent="0.25">
      <c r="A221" t="s">
        <v>2438</v>
      </c>
      <c r="B221" t="s">
        <v>2439</v>
      </c>
      <c r="C221" t="s">
        <v>2438</v>
      </c>
    </row>
    <row r="222" spans="1:3" x14ac:dyDescent="0.25">
      <c r="A222" t="s">
        <v>493</v>
      </c>
      <c r="B222" t="s">
        <v>2440</v>
      </c>
      <c r="C222" t="s">
        <v>493</v>
      </c>
    </row>
    <row r="223" spans="1:3" x14ac:dyDescent="0.25">
      <c r="A223" t="s">
        <v>121</v>
      </c>
      <c r="B223" t="s">
        <v>2048</v>
      </c>
      <c r="C223" t="s">
        <v>121</v>
      </c>
    </row>
    <row r="224" spans="1:3" x14ac:dyDescent="0.25">
      <c r="A224" t="s">
        <v>2441</v>
      </c>
      <c r="B224" t="s">
        <v>2442</v>
      </c>
      <c r="C224" t="s">
        <v>2441</v>
      </c>
    </row>
    <row r="225" spans="1:3" x14ac:dyDescent="0.25">
      <c r="A225" t="s">
        <v>2443</v>
      </c>
      <c r="B225" t="s">
        <v>2444</v>
      </c>
      <c r="C225" t="s">
        <v>2443</v>
      </c>
    </row>
    <row r="226" spans="1:3" x14ac:dyDescent="0.25">
      <c r="A226" t="s">
        <v>2445</v>
      </c>
      <c r="B226" t="s">
        <v>2446</v>
      </c>
      <c r="C226" t="s">
        <v>2445</v>
      </c>
    </row>
    <row r="227" spans="1:3" x14ac:dyDescent="0.25">
      <c r="A227" t="s">
        <v>2447</v>
      </c>
      <c r="B227" t="s">
        <v>2448</v>
      </c>
      <c r="C227" t="s">
        <v>2447</v>
      </c>
    </row>
    <row r="228" spans="1:3" x14ac:dyDescent="0.25">
      <c r="A228" t="s">
        <v>2449</v>
      </c>
      <c r="B228" t="s">
        <v>2450</v>
      </c>
      <c r="C228" t="s">
        <v>2449</v>
      </c>
    </row>
    <row r="229" spans="1:3" x14ac:dyDescent="0.25">
      <c r="A229" t="s">
        <v>2451</v>
      </c>
      <c r="B229" t="s">
        <v>2452</v>
      </c>
      <c r="C229" t="s">
        <v>2451</v>
      </c>
    </row>
    <row r="230" spans="1:3" x14ac:dyDescent="0.25">
      <c r="A230" t="s">
        <v>2453</v>
      </c>
      <c r="B230" t="s">
        <v>2454</v>
      </c>
      <c r="C230" t="s">
        <v>2453</v>
      </c>
    </row>
    <row r="231" spans="1:3" x14ac:dyDescent="0.25">
      <c r="A231" t="s">
        <v>2455</v>
      </c>
      <c r="B231" t="s">
        <v>2456</v>
      </c>
      <c r="C231" t="s">
        <v>2455</v>
      </c>
    </row>
    <row r="232" spans="1:3" x14ac:dyDescent="0.25">
      <c r="A232" t="s">
        <v>2457</v>
      </c>
      <c r="B232" t="s">
        <v>2458</v>
      </c>
      <c r="C232" t="s">
        <v>2457</v>
      </c>
    </row>
    <row r="233" spans="1:3" x14ac:dyDescent="0.25">
      <c r="A233" t="s">
        <v>2459</v>
      </c>
      <c r="B233" t="s">
        <v>2460</v>
      </c>
      <c r="C233" t="s">
        <v>2459</v>
      </c>
    </row>
    <row r="234" spans="1:3" x14ac:dyDescent="0.25">
      <c r="A234" t="s">
        <v>2461</v>
      </c>
      <c r="B234" t="s">
        <v>2462</v>
      </c>
      <c r="C234" t="s">
        <v>2461</v>
      </c>
    </row>
    <row r="235" spans="1:3" x14ac:dyDescent="0.25">
      <c r="A235" t="s">
        <v>2463</v>
      </c>
      <c r="B235" t="s">
        <v>2464</v>
      </c>
      <c r="C235" t="s">
        <v>2463</v>
      </c>
    </row>
    <row r="236" spans="1:3" x14ac:dyDescent="0.25">
      <c r="A236" t="s">
        <v>2465</v>
      </c>
      <c r="B236" t="s">
        <v>2466</v>
      </c>
      <c r="C236" t="s">
        <v>2465</v>
      </c>
    </row>
    <row r="237" spans="1:3" x14ac:dyDescent="0.25">
      <c r="A237" t="s">
        <v>2467</v>
      </c>
      <c r="B237" t="s">
        <v>2468</v>
      </c>
      <c r="C237" t="s">
        <v>2467</v>
      </c>
    </row>
    <row r="238" spans="1:3" x14ac:dyDescent="0.25">
      <c r="A238" t="s">
        <v>2469</v>
      </c>
      <c r="B238" t="s">
        <v>2470</v>
      </c>
      <c r="C238" t="s">
        <v>2469</v>
      </c>
    </row>
    <row r="239" spans="1:3" x14ac:dyDescent="0.25">
      <c r="A239" t="s">
        <v>2471</v>
      </c>
      <c r="B239" t="s">
        <v>2472</v>
      </c>
      <c r="C239" t="s">
        <v>2471</v>
      </c>
    </row>
    <row r="240" spans="1:3" x14ac:dyDescent="0.25">
      <c r="A240" t="s">
        <v>2473</v>
      </c>
      <c r="B240" t="s">
        <v>2474</v>
      </c>
      <c r="C240" t="s">
        <v>2473</v>
      </c>
    </row>
    <row r="241" spans="1:3" x14ac:dyDescent="0.25">
      <c r="A241" t="s">
        <v>2475</v>
      </c>
      <c r="B241" t="s">
        <v>2476</v>
      </c>
      <c r="C241" t="s">
        <v>2475</v>
      </c>
    </row>
    <row r="242" spans="1:3" x14ac:dyDescent="0.25">
      <c r="A242" t="s">
        <v>2477</v>
      </c>
      <c r="B242" t="s">
        <v>2478</v>
      </c>
      <c r="C242" t="s">
        <v>2477</v>
      </c>
    </row>
    <row r="243" spans="1:3" x14ac:dyDescent="0.25">
      <c r="A243" t="s">
        <v>2479</v>
      </c>
      <c r="B243" t="s">
        <v>2480</v>
      </c>
      <c r="C243" t="s">
        <v>2479</v>
      </c>
    </row>
    <row r="244" spans="1:3" x14ac:dyDescent="0.25">
      <c r="A244" t="s">
        <v>2481</v>
      </c>
      <c r="B244" t="s">
        <v>2482</v>
      </c>
      <c r="C244" t="s">
        <v>2481</v>
      </c>
    </row>
    <row r="245" spans="1:3" x14ac:dyDescent="0.25">
      <c r="A245" t="s">
        <v>2483</v>
      </c>
      <c r="B245" t="s">
        <v>2484</v>
      </c>
      <c r="C245" t="s">
        <v>2483</v>
      </c>
    </row>
    <row r="246" spans="1:3" x14ac:dyDescent="0.25">
      <c r="A246" t="s">
        <v>2485</v>
      </c>
      <c r="B246" t="s">
        <v>2486</v>
      </c>
      <c r="C246" t="s">
        <v>2485</v>
      </c>
    </row>
    <row r="247" spans="1:3" x14ac:dyDescent="0.25">
      <c r="A247" t="s">
        <v>2487</v>
      </c>
      <c r="B247" t="s">
        <v>2488</v>
      </c>
      <c r="C247" t="s">
        <v>2487</v>
      </c>
    </row>
    <row r="248" spans="1:3" x14ac:dyDescent="0.25">
      <c r="A248" t="s">
        <v>2489</v>
      </c>
      <c r="B248" t="s">
        <v>2490</v>
      </c>
      <c r="C248" t="s">
        <v>2489</v>
      </c>
    </row>
    <row r="249" spans="1:3" x14ac:dyDescent="0.25">
      <c r="A249" t="s">
        <v>2491</v>
      </c>
      <c r="B249" t="s">
        <v>2492</v>
      </c>
      <c r="C249" t="s">
        <v>2491</v>
      </c>
    </row>
    <row r="250" spans="1:3" x14ac:dyDescent="0.25">
      <c r="A250" t="s">
        <v>2493</v>
      </c>
      <c r="B250" t="s">
        <v>2494</v>
      </c>
      <c r="C250" t="s">
        <v>2493</v>
      </c>
    </row>
    <row r="251" spans="1:3" x14ac:dyDescent="0.25">
      <c r="A251" t="s">
        <v>2495</v>
      </c>
      <c r="B251" t="s">
        <v>2496</v>
      </c>
      <c r="C251" t="s">
        <v>2495</v>
      </c>
    </row>
    <row r="252" spans="1:3" x14ac:dyDescent="0.25">
      <c r="A252" t="s">
        <v>2497</v>
      </c>
      <c r="B252" t="s">
        <v>2498</v>
      </c>
      <c r="C252" t="s">
        <v>2497</v>
      </c>
    </row>
    <row r="253" spans="1:3" x14ac:dyDescent="0.25">
      <c r="A253" t="s">
        <v>2499</v>
      </c>
      <c r="B253" t="s">
        <v>2500</v>
      </c>
      <c r="C253" t="s">
        <v>2499</v>
      </c>
    </row>
    <row r="254" spans="1:3" x14ac:dyDescent="0.25">
      <c r="A254" t="s">
        <v>2</v>
      </c>
      <c r="B254" t="s">
        <v>2059</v>
      </c>
      <c r="C254" t="s">
        <v>2</v>
      </c>
    </row>
    <row r="255" spans="1:3" x14ac:dyDescent="0.25">
      <c r="A255" t="s">
        <v>228</v>
      </c>
      <c r="B255" t="s">
        <v>1905</v>
      </c>
      <c r="C255" t="s">
        <v>228</v>
      </c>
    </row>
    <row r="256" spans="1:3" x14ac:dyDescent="0.25">
      <c r="A256" t="s">
        <v>230</v>
      </c>
      <c r="B256" t="s">
        <v>1906</v>
      </c>
      <c r="C256" t="s">
        <v>230</v>
      </c>
    </row>
    <row r="257" spans="1:3" x14ac:dyDescent="0.25">
      <c r="A257" t="s">
        <v>637</v>
      </c>
      <c r="B257" t="s">
        <v>2066</v>
      </c>
      <c r="C257" t="s">
        <v>637</v>
      </c>
    </row>
    <row r="258" spans="1:3" x14ac:dyDescent="0.25">
      <c r="A258" t="s">
        <v>571</v>
      </c>
      <c r="B258" t="s">
        <v>1955</v>
      </c>
      <c r="C258" t="s">
        <v>571</v>
      </c>
    </row>
    <row r="259" spans="1:3" x14ac:dyDescent="0.25">
      <c r="A259" t="s">
        <v>577</v>
      </c>
      <c r="B259" t="s">
        <v>1879</v>
      </c>
      <c r="C259" t="s">
        <v>577</v>
      </c>
    </row>
    <row r="260" spans="1:3" x14ac:dyDescent="0.25">
      <c r="A260" t="s">
        <v>579</v>
      </c>
      <c r="B260" t="s">
        <v>1880</v>
      </c>
      <c r="C260" t="s">
        <v>579</v>
      </c>
    </row>
    <row r="261" spans="1:3" x14ac:dyDescent="0.25">
      <c r="A261" t="s">
        <v>581</v>
      </c>
      <c r="B261" t="s">
        <v>1881</v>
      </c>
      <c r="C261" t="s">
        <v>581</v>
      </c>
    </row>
    <row r="262" spans="1:3" x14ac:dyDescent="0.25">
      <c r="A262" t="s">
        <v>2501</v>
      </c>
      <c r="B262" t="s">
        <v>2502</v>
      </c>
      <c r="C262" t="s">
        <v>2501</v>
      </c>
    </row>
    <row r="263" spans="1:3" x14ac:dyDescent="0.25">
      <c r="A263" t="s">
        <v>583</v>
      </c>
      <c r="B263" t="s">
        <v>1882</v>
      </c>
      <c r="C263" t="s">
        <v>583</v>
      </c>
    </row>
    <row r="264" spans="1:3" x14ac:dyDescent="0.25">
      <c r="A264" t="s">
        <v>2503</v>
      </c>
      <c r="B264" t="s">
        <v>2504</v>
      </c>
      <c r="C264" t="s">
        <v>2503</v>
      </c>
    </row>
    <row r="265" spans="1:3" x14ac:dyDescent="0.25">
      <c r="A265" t="s">
        <v>2505</v>
      </c>
      <c r="B265" t="s">
        <v>2506</v>
      </c>
      <c r="C265" t="s">
        <v>2505</v>
      </c>
    </row>
    <row r="266" spans="1:3" x14ac:dyDescent="0.25">
      <c r="A266" t="s">
        <v>218</v>
      </c>
      <c r="B266" t="s">
        <v>2507</v>
      </c>
      <c r="C266" t="s">
        <v>218</v>
      </c>
    </row>
    <row r="267" spans="1:3" x14ac:dyDescent="0.25">
      <c r="A267" t="s">
        <v>222</v>
      </c>
      <c r="B267" t="s">
        <v>1900</v>
      </c>
      <c r="C267" t="s">
        <v>222</v>
      </c>
    </row>
    <row r="268" spans="1:3" x14ac:dyDescent="0.25">
      <c r="A268" t="s">
        <v>623</v>
      </c>
      <c r="B268" t="s">
        <v>1901</v>
      </c>
      <c r="C268" t="s">
        <v>623</v>
      </c>
    </row>
    <row r="269" spans="1:3" x14ac:dyDescent="0.25">
      <c r="A269" t="s">
        <v>625</v>
      </c>
      <c r="B269" t="s">
        <v>1902</v>
      </c>
      <c r="C269" t="s">
        <v>625</v>
      </c>
    </row>
    <row r="270" spans="1:3" x14ac:dyDescent="0.25">
      <c r="A270" t="s">
        <v>224</v>
      </c>
      <c r="B270" t="s">
        <v>1903</v>
      </c>
      <c r="C270" t="s">
        <v>224</v>
      </c>
    </row>
    <row r="271" spans="1:3" x14ac:dyDescent="0.25">
      <c r="A271" t="s">
        <v>67</v>
      </c>
      <c r="B271" t="s">
        <v>2068</v>
      </c>
      <c r="C271" t="s">
        <v>67</v>
      </c>
    </row>
    <row r="272" spans="1:3" x14ac:dyDescent="0.25">
      <c r="A272" t="s">
        <v>476</v>
      </c>
      <c r="B272" t="s">
        <v>2508</v>
      </c>
      <c r="C272" t="s">
        <v>476</v>
      </c>
    </row>
    <row r="273" spans="1:3" x14ac:dyDescent="0.25">
      <c r="A273" t="s">
        <v>2509</v>
      </c>
      <c r="B273" t="s">
        <v>2510</v>
      </c>
      <c r="C273" t="s">
        <v>2509</v>
      </c>
    </row>
    <row r="274" spans="1:3" x14ac:dyDescent="0.25">
      <c r="A274" t="s">
        <v>2511</v>
      </c>
      <c r="B274" t="s">
        <v>2512</v>
      </c>
      <c r="C274" t="s">
        <v>2511</v>
      </c>
    </row>
    <row r="275" spans="1:3" x14ac:dyDescent="0.25">
      <c r="A275" t="s">
        <v>2513</v>
      </c>
      <c r="B275" t="s">
        <v>2514</v>
      </c>
      <c r="C275" t="s">
        <v>2513</v>
      </c>
    </row>
    <row r="276" spans="1:3" x14ac:dyDescent="0.25">
      <c r="A276" t="s">
        <v>2515</v>
      </c>
      <c r="B276" t="s">
        <v>2516</v>
      </c>
      <c r="C276" t="s">
        <v>2515</v>
      </c>
    </row>
    <row r="277" spans="1:3" x14ac:dyDescent="0.25">
      <c r="A277" t="s">
        <v>2517</v>
      </c>
      <c r="B277" t="s">
        <v>2518</v>
      </c>
      <c r="C277" t="s">
        <v>2517</v>
      </c>
    </row>
    <row r="278" spans="1:3" x14ac:dyDescent="0.25">
      <c r="A278" t="s">
        <v>2519</v>
      </c>
      <c r="B278" t="s">
        <v>2520</v>
      </c>
      <c r="C278" t="s">
        <v>2519</v>
      </c>
    </row>
    <row r="279" spans="1:3" x14ac:dyDescent="0.25">
      <c r="A279" t="s">
        <v>2521</v>
      </c>
      <c r="B279" t="s">
        <v>2522</v>
      </c>
      <c r="C279" t="s">
        <v>2521</v>
      </c>
    </row>
    <row r="280" spans="1:3" x14ac:dyDescent="0.25">
      <c r="A280" t="s">
        <v>123</v>
      </c>
      <c r="B280" t="s">
        <v>1914</v>
      </c>
      <c r="C280" t="s">
        <v>123</v>
      </c>
    </row>
    <row r="281" spans="1:3" x14ac:dyDescent="0.25">
      <c r="A281" t="s">
        <v>2523</v>
      </c>
      <c r="B281" t="s">
        <v>2524</v>
      </c>
      <c r="C281" t="s">
        <v>2523</v>
      </c>
    </row>
    <row r="282" spans="1:3" x14ac:dyDescent="0.25">
      <c r="A282" t="s">
        <v>2525</v>
      </c>
      <c r="B282" t="s">
        <v>2526</v>
      </c>
      <c r="C282" t="s">
        <v>2525</v>
      </c>
    </row>
    <row r="283" spans="1:3" x14ac:dyDescent="0.25">
      <c r="A283" t="s">
        <v>2527</v>
      </c>
      <c r="B283" t="s">
        <v>2528</v>
      </c>
      <c r="C283" t="s">
        <v>2527</v>
      </c>
    </row>
    <row r="284" spans="1:3" x14ac:dyDescent="0.25">
      <c r="A284" t="s">
        <v>2529</v>
      </c>
      <c r="B284" t="s">
        <v>2530</v>
      </c>
      <c r="C284" t="s">
        <v>2529</v>
      </c>
    </row>
    <row r="285" spans="1:3" x14ac:dyDescent="0.25">
      <c r="A285" t="s">
        <v>2531</v>
      </c>
      <c r="B285" t="s">
        <v>2532</v>
      </c>
      <c r="C285" t="s">
        <v>2531</v>
      </c>
    </row>
    <row r="286" spans="1:3" x14ac:dyDescent="0.25">
      <c r="A286" t="s">
        <v>2533</v>
      </c>
      <c r="B286" t="s">
        <v>2534</v>
      </c>
      <c r="C286" t="s">
        <v>2533</v>
      </c>
    </row>
    <row r="287" spans="1:3" x14ac:dyDescent="0.25">
      <c r="A287" t="s">
        <v>2535</v>
      </c>
      <c r="B287" t="s">
        <v>2536</v>
      </c>
      <c r="C287" t="s">
        <v>2535</v>
      </c>
    </row>
    <row r="288" spans="1:3" x14ac:dyDescent="0.25">
      <c r="A288" t="s">
        <v>2537</v>
      </c>
      <c r="B288" t="s">
        <v>2538</v>
      </c>
      <c r="C288" t="s">
        <v>2537</v>
      </c>
    </row>
    <row r="289" spans="1:3" x14ac:dyDescent="0.25">
      <c r="A289" t="s">
        <v>2539</v>
      </c>
      <c r="B289" t="s">
        <v>2540</v>
      </c>
      <c r="C289" t="s">
        <v>2539</v>
      </c>
    </row>
    <row r="290" spans="1:3" x14ac:dyDescent="0.25">
      <c r="A290" t="s">
        <v>2541</v>
      </c>
      <c r="B290" t="s">
        <v>2542</v>
      </c>
      <c r="C290" t="s">
        <v>2541</v>
      </c>
    </row>
    <row r="291" spans="1:3" x14ac:dyDescent="0.25">
      <c r="A291" t="s">
        <v>2543</v>
      </c>
      <c r="B291" t="s">
        <v>2544</v>
      </c>
      <c r="C291" t="s">
        <v>2543</v>
      </c>
    </row>
    <row r="292" spans="1:3" x14ac:dyDescent="0.25">
      <c r="A292" t="s">
        <v>2545</v>
      </c>
      <c r="B292" t="s">
        <v>2546</v>
      </c>
      <c r="C292" t="s">
        <v>2545</v>
      </c>
    </row>
    <row r="293" spans="1:3" x14ac:dyDescent="0.25">
      <c r="A293" t="s">
        <v>2547</v>
      </c>
      <c r="B293" t="s">
        <v>2548</v>
      </c>
      <c r="C293" t="s">
        <v>2547</v>
      </c>
    </row>
    <row r="294" spans="1:3" x14ac:dyDescent="0.25">
      <c r="A294" t="s">
        <v>2549</v>
      </c>
      <c r="B294" t="s">
        <v>2550</v>
      </c>
      <c r="C294" t="s">
        <v>2549</v>
      </c>
    </row>
    <row r="295" spans="1:3" x14ac:dyDescent="0.25">
      <c r="A295" t="s">
        <v>2551</v>
      </c>
      <c r="B295" t="s">
        <v>2552</v>
      </c>
      <c r="C295" t="s">
        <v>2551</v>
      </c>
    </row>
    <row r="296" spans="1:3" x14ac:dyDescent="0.25">
      <c r="A296" t="s">
        <v>2553</v>
      </c>
      <c r="B296" t="s">
        <v>2554</v>
      </c>
      <c r="C296" t="s">
        <v>2553</v>
      </c>
    </row>
    <row r="297" spans="1:3" x14ac:dyDescent="0.25">
      <c r="A297" t="s">
        <v>2555</v>
      </c>
      <c r="B297" t="s">
        <v>2556</v>
      </c>
      <c r="C297" t="s">
        <v>2555</v>
      </c>
    </row>
    <row r="298" spans="1:3" x14ac:dyDescent="0.25">
      <c r="A298" t="s">
        <v>2557</v>
      </c>
      <c r="B298" t="s">
        <v>2558</v>
      </c>
      <c r="C298" t="s">
        <v>2557</v>
      </c>
    </row>
    <row r="299" spans="1:3" x14ac:dyDescent="0.25">
      <c r="A299" t="s">
        <v>2559</v>
      </c>
      <c r="B299" t="s">
        <v>2560</v>
      </c>
      <c r="C299" t="s">
        <v>2559</v>
      </c>
    </row>
    <row r="300" spans="1:3" x14ac:dyDescent="0.25">
      <c r="A300" t="s">
        <v>2561</v>
      </c>
      <c r="B300" t="s">
        <v>2562</v>
      </c>
      <c r="C300" t="s">
        <v>2561</v>
      </c>
    </row>
    <row r="301" spans="1:3" x14ac:dyDescent="0.25">
      <c r="A301" t="s">
        <v>2563</v>
      </c>
      <c r="B301" t="s">
        <v>2564</v>
      </c>
      <c r="C301" t="s">
        <v>2563</v>
      </c>
    </row>
    <row r="302" spans="1:3" x14ac:dyDescent="0.25">
      <c r="A302" t="s">
        <v>2565</v>
      </c>
      <c r="B302" t="s">
        <v>2566</v>
      </c>
      <c r="C302" t="s">
        <v>2565</v>
      </c>
    </row>
    <row r="303" spans="1:3" x14ac:dyDescent="0.25">
      <c r="A303" t="s">
        <v>2567</v>
      </c>
      <c r="B303" t="s">
        <v>2568</v>
      </c>
      <c r="C303" t="s">
        <v>2567</v>
      </c>
    </row>
    <row r="304" spans="1:3" x14ac:dyDescent="0.25">
      <c r="A304" t="s">
        <v>245</v>
      </c>
      <c r="B304" t="s">
        <v>2569</v>
      </c>
      <c r="C304" t="s">
        <v>245</v>
      </c>
    </row>
    <row r="305" spans="1:3" x14ac:dyDescent="0.25">
      <c r="A305" t="s">
        <v>2570</v>
      </c>
      <c r="B305" t="s">
        <v>2571</v>
      </c>
      <c r="C305" t="s">
        <v>2570</v>
      </c>
    </row>
    <row r="306" spans="1:3" x14ac:dyDescent="0.25">
      <c r="A306" t="s">
        <v>2572</v>
      </c>
      <c r="B306" t="s">
        <v>2573</v>
      </c>
      <c r="C306" t="s">
        <v>2572</v>
      </c>
    </row>
    <row r="307" spans="1:3" x14ac:dyDescent="0.25">
      <c r="A307" t="s">
        <v>2574</v>
      </c>
      <c r="B307" t="s">
        <v>2575</v>
      </c>
      <c r="C307" t="s">
        <v>2574</v>
      </c>
    </row>
    <row r="308" spans="1:3" x14ac:dyDescent="0.25">
      <c r="A308" t="s">
        <v>2576</v>
      </c>
      <c r="B308" t="s">
        <v>2577</v>
      </c>
      <c r="C308" t="s">
        <v>2576</v>
      </c>
    </row>
    <row r="309" spans="1:3" x14ac:dyDescent="0.25">
      <c r="A309" t="s">
        <v>2578</v>
      </c>
      <c r="B309" t="s">
        <v>2579</v>
      </c>
      <c r="C309" t="s">
        <v>2578</v>
      </c>
    </row>
    <row r="310" spans="1:3" x14ac:dyDescent="0.25">
      <c r="A310" t="s">
        <v>2580</v>
      </c>
      <c r="B310" t="s">
        <v>2581</v>
      </c>
      <c r="C310" t="s">
        <v>2580</v>
      </c>
    </row>
    <row r="311" spans="1:3" x14ac:dyDescent="0.25">
      <c r="A311" t="s">
        <v>2582</v>
      </c>
      <c r="B311" t="s">
        <v>2583</v>
      </c>
      <c r="C311" t="s">
        <v>2582</v>
      </c>
    </row>
    <row r="312" spans="1:3" x14ac:dyDescent="0.25">
      <c r="A312" t="s">
        <v>2584</v>
      </c>
      <c r="B312" t="s">
        <v>2585</v>
      </c>
      <c r="C312" t="s">
        <v>2584</v>
      </c>
    </row>
    <row r="313" spans="1:3" x14ac:dyDescent="0.25">
      <c r="A313" t="s">
        <v>2586</v>
      </c>
      <c r="B313" t="s">
        <v>2587</v>
      </c>
      <c r="C313" t="s">
        <v>2586</v>
      </c>
    </row>
    <row r="314" spans="1:3" x14ac:dyDescent="0.25">
      <c r="A314" t="s">
        <v>2588</v>
      </c>
      <c r="B314" t="s">
        <v>2589</v>
      </c>
      <c r="C314" t="s">
        <v>2588</v>
      </c>
    </row>
    <row r="315" spans="1:3" x14ac:dyDescent="0.25">
      <c r="A315" t="s">
        <v>2590</v>
      </c>
      <c r="B315" t="s">
        <v>2591</v>
      </c>
      <c r="C315" t="s">
        <v>2590</v>
      </c>
    </row>
    <row r="316" spans="1:3" x14ac:dyDescent="0.25">
      <c r="A316" t="s">
        <v>2592</v>
      </c>
      <c r="B316" t="s">
        <v>2593</v>
      </c>
      <c r="C316" t="s">
        <v>2592</v>
      </c>
    </row>
    <row r="317" spans="1:3" x14ac:dyDescent="0.25">
      <c r="A317" t="s">
        <v>2594</v>
      </c>
      <c r="B317" t="s">
        <v>2595</v>
      </c>
      <c r="C317" t="s">
        <v>2594</v>
      </c>
    </row>
    <row r="318" spans="1:3" x14ac:dyDescent="0.25">
      <c r="A318" t="s">
        <v>2596</v>
      </c>
      <c r="B318" t="s">
        <v>2597</v>
      </c>
      <c r="C318" t="s">
        <v>2596</v>
      </c>
    </row>
    <row r="319" spans="1:3" x14ac:dyDescent="0.25">
      <c r="A319" t="s">
        <v>2598</v>
      </c>
      <c r="B319" t="s">
        <v>2599</v>
      </c>
      <c r="C319" t="s">
        <v>2598</v>
      </c>
    </row>
    <row r="320" spans="1:3" x14ac:dyDescent="0.25">
      <c r="A320" t="s">
        <v>2600</v>
      </c>
      <c r="B320" t="s">
        <v>2601</v>
      </c>
      <c r="C320" t="s">
        <v>2600</v>
      </c>
    </row>
    <row r="321" spans="1:3" x14ac:dyDescent="0.25">
      <c r="A321" t="s">
        <v>2602</v>
      </c>
      <c r="B321" t="s">
        <v>2603</v>
      </c>
      <c r="C321" t="s">
        <v>2602</v>
      </c>
    </row>
    <row r="322" spans="1:3" x14ac:dyDescent="0.25">
      <c r="A322" t="s">
        <v>2604</v>
      </c>
      <c r="B322" t="s">
        <v>2605</v>
      </c>
      <c r="C322" t="s">
        <v>2604</v>
      </c>
    </row>
    <row r="323" spans="1:3" x14ac:dyDescent="0.25">
      <c r="A323" t="s">
        <v>2606</v>
      </c>
      <c r="B323" t="s">
        <v>2607</v>
      </c>
      <c r="C323" t="s">
        <v>2606</v>
      </c>
    </row>
    <row r="324" spans="1:3" x14ac:dyDescent="0.25">
      <c r="A324" t="s">
        <v>2608</v>
      </c>
      <c r="B324" t="s">
        <v>2609</v>
      </c>
      <c r="C324" t="s">
        <v>2608</v>
      </c>
    </row>
    <row r="325" spans="1:3" x14ac:dyDescent="0.25">
      <c r="A325" t="s">
        <v>2610</v>
      </c>
      <c r="B325" t="s">
        <v>2611</v>
      </c>
      <c r="C325" t="s">
        <v>2610</v>
      </c>
    </row>
    <row r="326" spans="1:3" x14ac:dyDescent="0.25">
      <c r="A326" t="s">
        <v>2612</v>
      </c>
      <c r="B326" t="s">
        <v>2613</v>
      </c>
      <c r="C326" t="s">
        <v>2612</v>
      </c>
    </row>
    <row r="327" spans="1:3" x14ac:dyDescent="0.25">
      <c r="A327" t="s">
        <v>2614</v>
      </c>
      <c r="B327" t="s">
        <v>2615</v>
      </c>
      <c r="C327" t="s">
        <v>2614</v>
      </c>
    </row>
    <row r="328" spans="1:3" x14ac:dyDescent="0.25">
      <c r="A328" t="s">
        <v>2616</v>
      </c>
      <c r="B328" t="s">
        <v>2617</v>
      </c>
      <c r="C328" t="s">
        <v>2616</v>
      </c>
    </row>
    <row r="329" spans="1:3" x14ac:dyDescent="0.25">
      <c r="A329" t="s">
        <v>2618</v>
      </c>
      <c r="B329" t="s">
        <v>2619</v>
      </c>
      <c r="C329" t="s">
        <v>2618</v>
      </c>
    </row>
    <row r="330" spans="1:3" x14ac:dyDescent="0.25">
      <c r="A330" t="s">
        <v>2620</v>
      </c>
      <c r="B330" t="s">
        <v>2621</v>
      </c>
      <c r="C330" t="s">
        <v>2620</v>
      </c>
    </row>
    <row r="331" spans="1:3" x14ac:dyDescent="0.25">
      <c r="A331" t="s">
        <v>2622</v>
      </c>
      <c r="B331" t="s">
        <v>2623</v>
      </c>
      <c r="C331" t="s">
        <v>2622</v>
      </c>
    </row>
    <row r="332" spans="1:3" x14ac:dyDescent="0.25">
      <c r="A332" t="s">
        <v>2624</v>
      </c>
      <c r="B332" t="s">
        <v>2625</v>
      </c>
      <c r="C332" t="s">
        <v>2624</v>
      </c>
    </row>
    <row r="333" spans="1:3" x14ac:dyDescent="0.25">
      <c r="A333" t="s">
        <v>2626</v>
      </c>
      <c r="B333" t="s">
        <v>2627</v>
      </c>
      <c r="C333" t="s">
        <v>2626</v>
      </c>
    </row>
    <row r="334" spans="1:3" x14ac:dyDescent="0.25">
      <c r="A334" t="s">
        <v>2628</v>
      </c>
      <c r="B334" t="s">
        <v>2629</v>
      </c>
      <c r="C334" t="s">
        <v>2628</v>
      </c>
    </row>
    <row r="335" spans="1:3" x14ac:dyDescent="0.25">
      <c r="A335" t="s">
        <v>2630</v>
      </c>
      <c r="B335" t="s">
        <v>2631</v>
      </c>
      <c r="C335" t="s">
        <v>2630</v>
      </c>
    </row>
    <row r="336" spans="1:3" x14ac:dyDescent="0.25">
      <c r="A336" t="s">
        <v>2632</v>
      </c>
      <c r="B336" t="s">
        <v>2633</v>
      </c>
      <c r="C336" t="s">
        <v>2632</v>
      </c>
    </row>
    <row r="337" spans="1:3" x14ac:dyDescent="0.25">
      <c r="A337" t="s">
        <v>2634</v>
      </c>
      <c r="B337" t="s">
        <v>2635</v>
      </c>
      <c r="C337" t="s">
        <v>2634</v>
      </c>
    </row>
    <row r="338" spans="1:3" x14ac:dyDescent="0.25">
      <c r="A338" t="s">
        <v>2636</v>
      </c>
      <c r="B338" t="s">
        <v>2637</v>
      </c>
      <c r="C338" t="s">
        <v>2636</v>
      </c>
    </row>
    <row r="339" spans="1:3" x14ac:dyDescent="0.25">
      <c r="A339" t="s">
        <v>2638</v>
      </c>
      <c r="B339" t="s">
        <v>2639</v>
      </c>
      <c r="C339" t="s">
        <v>2638</v>
      </c>
    </row>
    <row r="340" spans="1:3" x14ac:dyDescent="0.25">
      <c r="A340" t="s">
        <v>2640</v>
      </c>
      <c r="B340" t="s">
        <v>2641</v>
      </c>
      <c r="C340" t="s">
        <v>2640</v>
      </c>
    </row>
    <row r="341" spans="1:3" x14ac:dyDescent="0.25">
      <c r="A341" t="s">
        <v>2642</v>
      </c>
      <c r="B341" t="s">
        <v>2643</v>
      </c>
      <c r="C341" t="s">
        <v>2642</v>
      </c>
    </row>
    <row r="342" spans="1:3" x14ac:dyDescent="0.25">
      <c r="A342" t="s">
        <v>2644</v>
      </c>
      <c r="B342" t="s">
        <v>2645</v>
      </c>
      <c r="C342" t="s">
        <v>2644</v>
      </c>
    </row>
    <row r="343" spans="1:3" x14ac:dyDescent="0.25">
      <c r="A343" t="s">
        <v>2646</v>
      </c>
      <c r="B343" t="s">
        <v>2647</v>
      </c>
      <c r="C343" t="s">
        <v>2646</v>
      </c>
    </row>
    <row r="344" spans="1:3" x14ac:dyDescent="0.25">
      <c r="A344" t="s">
        <v>2648</v>
      </c>
      <c r="B344" t="s">
        <v>2649</v>
      </c>
      <c r="C344" t="s">
        <v>2648</v>
      </c>
    </row>
    <row r="345" spans="1:3" x14ac:dyDescent="0.25">
      <c r="A345" t="s">
        <v>2650</v>
      </c>
      <c r="B345" t="s">
        <v>2651</v>
      </c>
      <c r="C345" t="s">
        <v>2650</v>
      </c>
    </row>
    <row r="346" spans="1:3" x14ac:dyDescent="0.25">
      <c r="A346" t="s">
        <v>2652</v>
      </c>
      <c r="B346" t="s">
        <v>2653</v>
      </c>
      <c r="C346" t="s">
        <v>2652</v>
      </c>
    </row>
    <row r="347" spans="1:3" x14ac:dyDescent="0.25">
      <c r="A347" t="s">
        <v>2654</v>
      </c>
      <c r="B347" t="s">
        <v>2655</v>
      </c>
      <c r="C347" t="s">
        <v>2654</v>
      </c>
    </row>
    <row r="348" spans="1:3" x14ac:dyDescent="0.25">
      <c r="A348" t="s">
        <v>2656</v>
      </c>
      <c r="B348" t="s">
        <v>2657</v>
      </c>
      <c r="C348" t="s">
        <v>2656</v>
      </c>
    </row>
    <row r="349" spans="1:3" x14ac:dyDescent="0.25">
      <c r="A349" t="s">
        <v>2658</v>
      </c>
      <c r="B349" t="s">
        <v>2659</v>
      </c>
      <c r="C349" t="s">
        <v>2658</v>
      </c>
    </row>
    <row r="350" spans="1:3" x14ac:dyDescent="0.25">
      <c r="A350" t="s">
        <v>627</v>
      </c>
      <c r="B350" t="s">
        <v>1904</v>
      </c>
      <c r="C350" t="s">
        <v>627</v>
      </c>
    </row>
    <row r="351" spans="1:3" x14ac:dyDescent="0.25">
      <c r="A351" t="s">
        <v>2660</v>
      </c>
      <c r="B351" t="s">
        <v>2661</v>
      </c>
      <c r="C351" t="s">
        <v>2660</v>
      </c>
    </row>
    <row r="352" spans="1:3" x14ac:dyDescent="0.25">
      <c r="A352" t="s">
        <v>2662</v>
      </c>
      <c r="B352" t="s">
        <v>2663</v>
      </c>
      <c r="C352" t="s">
        <v>2662</v>
      </c>
    </row>
    <row r="353" spans="1:3" x14ac:dyDescent="0.25">
      <c r="A353" t="s">
        <v>2664</v>
      </c>
      <c r="B353" t="s">
        <v>2665</v>
      </c>
      <c r="C353" t="s">
        <v>2664</v>
      </c>
    </row>
    <row r="354" spans="1:3" x14ac:dyDescent="0.25">
      <c r="A354" t="s">
        <v>2666</v>
      </c>
      <c r="B354" t="s">
        <v>2667</v>
      </c>
      <c r="C354" t="s">
        <v>2666</v>
      </c>
    </row>
    <row r="355" spans="1:3" x14ac:dyDescent="0.25">
      <c r="A355" t="s">
        <v>2668</v>
      </c>
      <c r="B355" t="s">
        <v>2669</v>
      </c>
      <c r="C355" t="s">
        <v>2668</v>
      </c>
    </row>
    <row r="356" spans="1:3" x14ac:dyDescent="0.25">
      <c r="A356" t="s">
        <v>2670</v>
      </c>
      <c r="B356" t="s">
        <v>2671</v>
      </c>
      <c r="C356" t="s">
        <v>2670</v>
      </c>
    </row>
    <row r="357" spans="1:3" x14ac:dyDescent="0.25">
      <c r="A357" t="s">
        <v>2672</v>
      </c>
      <c r="B357" t="s">
        <v>2673</v>
      </c>
      <c r="C357" t="s">
        <v>2672</v>
      </c>
    </row>
    <row r="358" spans="1:3" x14ac:dyDescent="0.25">
      <c r="A358" t="s">
        <v>750</v>
      </c>
      <c r="B358" t="s">
        <v>2036</v>
      </c>
      <c r="C358" t="s">
        <v>750</v>
      </c>
    </row>
    <row r="359" spans="1:3" x14ac:dyDescent="0.25">
      <c r="A359" t="s">
        <v>752</v>
      </c>
      <c r="B359" t="s">
        <v>2037</v>
      </c>
      <c r="C359" t="s">
        <v>752</v>
      </c>
    </row>
    <row r="360" spans="1:3" x14ac:dyDescent="0.25">
      <c r="A360" t="s">
        <v>963</v>
      </c>
      <c r="B360" t="s">
        <v>2038</v>
      </c>
      <c r="C360" t="s">
        <v>963</v>
      </c>
    </row>
    <row r="361" spans="1:3" x14ac:dyDescent="0.25">
      <c r="A361" t="s">
        <v>2674</v>
      </c>
      <c r="B361" t="s">
        <v>2675</v>
      </c>
      <c r="C361" t="s">
        <v>2674</v>
      </c>
    </row>
    <row r="362" spans="1:3" x14ac:dyDescent="0.25">
      <c r="A362" t="s">
        <v>2676</v>
      </c>
      <c r="B362" t="s">
        <v>2677</v>
      </c>
      <c r="C362" t="s">
        <v>2676</v>
      </c>
    </row>
    <row r="363" spans="1:3" x14ac:dyDescent="0.25">
      <c r="A363" t="s">
        <v>965</v>
      </c>
      <c r="B363" t="s">
        <v>2678</v>
      </c>
      <c r="C363" t="s">
        <v>965</v>
      </c>
    </row>
    <row r="364" spans="1:3" x14ac:dyDescent="0.25">
      <c r="A364" t="s">
        <v>2679</v>
      </c>
      <c r="B364" t="s">
        <v>2680</v>
      </c>
      <c r="C364" t="s">
        <v>2679</v>
      </c>
    </row>
    <row r="365" spans="1:3" x14ac:dyDescent="0.25">
      <c r="A365" t="s">
        <v>1816</v>
      </c>
      <c r="B365" t="s">
        <v>2681</v>
      </c>
      <c r="C365" t="s">
        <v>1816</v>
      </c>
    </row>
    <row r="366" spans="1:3" x14ac:dyDescent="0.25">
      <c r="A366" t="s">
        <v>1817</v>
      </c>
      <c r="B366" t="s">
        <v>2682</v>
      </c>
      <c r="C366" t="s">
        <v>1817</v>
      </c>
    </row>
    <row r="367" spans="1:3" x14ac:dyDescent="0.25">
      <c r="A367" t="s">
        <v>966</v>
      </c>
      <c r="B367" t="s">
        <v>2042</v>
      </c>
      <c r="C367" t="s">
        <v>966</v>
      </c>
    </row>
    <row r="368" spans="1:3" x14ac:dyDescent="0.25">
      <c r="A368" t="s">
        <v>2683</v>
      </c>
      <c r="B368" t="s">
        <v>2684</v>
      </c>
      <c r="C368" t="s">
        <v>2683</v>
      </c>
    </row>
    <row r="369" spans="1:3" x14ac:dyDescent="0.25">
      <c r="A369" t="s">
        <v>1819</v>
      </c>
      <c r="B369" t="s">
        <v>2044</v>
      </c>
      <c r="C369" t="s">
        <v>1819</v>
      </c>
    </row>
    <row r="370" spans="1:3" x14ac:dyDescent="0.25">
      <c r="A370" t="s">
        <v>1821</v>
      </c>
      <c r="B370" t="s">
        <v>2045</v>
      </c>
      <c r="C370" t="s">
        <v>1821</v>
      </c>
    </row>
    <row r="371" spans="1:3" x14ac:dyDescent="0.25">
      <c r="A371" t="s">
        <v>2685</v>
      </c>
      <c r="B371" t="s">
        <v>2686</v>
      </c>
      <c r="C371" t="s">
        <v>2685</v>
      </c>
    </row>
    <row r="372" spans="1:3" x14ac:dyDescent="0.25">
      <c r="A372" t="s">
        <v>2687</v>
      </c>
      <c r="B372" t="s">
        <v>2688</v>
      </c>
      <c r="C372" t="s">
        <v>2687</v>
      </c>
    </row>
    <row r="373" spans="1:3" x14ac:dyDescent="0.25">
      <c r="A373" t="s">
        <v>306</v>
      </c>
      <c r="B373" t="s">
        <v>1962</v>
      </c>
      <c r="C373" t="s">
        <v>306</v>
      </c>
    </row>
    <row r="374" spans="1:3" x14ac:dyDescent="0.25">
      <c r="A374" t="s">
        <v>1823</v>
      </c>
      <c r="B374" t="s">
        <v>2046</v>
      </c>
      <c r="C374" t="s">
        <v>1823</v>
      </c>
    </row>
    <row r="375" spans="1:3" x14ac:dyDescent="0.25">
      <c r="A375" t="s">
        <v>859</v>
      </c>
      <c r="B375" t="s">
        <v>2689</v>
      </c>
      <c r="C375" t="s">
        <v>859</v>
      </c>
    </row>
    <row r="376" spans="1:3" x14ac:dyDescent="0.25">
      <c r="A376" t="s">
        <v>2690</v>
      </c>
      <c r="B376" t="s">
        <v>2691</v>
      </c>
      <c r="C376" t="s">
        <v>2690</v>
      </c>
    </row>
    <row r="377" spans="1:3" x14ac:dyDescent="0.25">
      <c r="A377" t="s">
        <v>2692</v>
      </c>
      <c r="B377" t="s">
        <v>2693</v>
      </c>
      <c r="C377" t="s">
        <v>2692</v>
      </c>
    </row>
    <row r="378" spans="1:3" x14ac:dyDescent="0.25">
      <c r="A378" t="s">
        <v>2694</v>
      </c>
      <c r="B378" t="s">
        <v>2695</v>
      </c>
      <c r="C378" t="s">
        <v>2694</v>
      </c>
    </row>
    <row r="379" spans="1:3" x14ac:dyDescent="0.25">
      <c r="A379" t="s">
        <v>496</v>
      </c>
      <c r="B379" t="s">
        <v>2696</v>
      </c>
      <c r="C379" t="s">
        <v>496</v>
      </c>
    </row>
    <row r="380" spans="1:3" x14ac:dyDescent="0.25">
      <c r="A380" t="s">
        <v>497</v>
      </c>
      <c r="B380" t="s">
        <v>2697</v>
      </c>
      <c r="C380" t="s">
        <v>497</v>
      </c>
    </row>
    <row r="381" spans="1:3" x14ac:dyDescent="0.25">
      <c r="A381" t="s">
        <v>2698</v>
      </c>
      <c r="B381" t="s">
        <v>2699</v>
      </c>
      <c r="C381" t="s">
        <v>2698</v>
      </c>
    </row>
    <row r="382" spans="1:3" x14ac:dyDescent="0.25">
      <c r="A382" t="s">
        <v>2700</v>
      </c>
      <c r="B382" t="s">
        <v>2701</v>
      </c>
      <c r="C382" t="s">
        <v>2700</v>
      </c>
    </row>
    <row r="383" spans="1:3" x14ac:dyDescent="0.25">
      <c r="A383" t="s">
        <v>899</v>
      </c>
      <c r="B383" t="s">
        <v>2702</v>
      </c>
      <c r="C383" t="s">
        <v>899</v>
      </c>
    </row>
    <row r="384" spans="1:3" x14ac:dyDescent="0.25">
      <c r="A384" t="s">
        <v>900</v>
      </c>
      <c r="B384" t="s">
        <v>2703</v>
      </c>
      <c r="C384" t="s">
        <v>900</v>
      </c>
    </row>
    <row r="385" spans="1:3" x14ac:dyDescent="0.25">
      <c r="A385" t="s">
        <v>2704</v>
      </c>
      <c r="B385" t="s">
        <v>2705</v>
      </c>
      <c r="C385" t="s">
        <v>2704</v>
      </c>
    </row>
    <row r="386" spans="1:3" x14ac:dyDescent="0.25">
      <c r="A386" t="s">
        <v>2706</v>
      </c>
      <c r="B386" t="s">
        <v>2707</v>
      </c>
      <c r="C386" t="s">
        <v>2706</v>
      </c>
    </row>
    <row r="387" spans="1:3" x14ac:dyDescent="0.25">
      <c r="A387" t="s">
        <v>754</v>
      </c>
      <c r="B387" t="s">
        <v>2050</v>
      </c>
      <c r="C387" t="s">
        <v>754</v>
      </c>
    </row>
    <row r="388" spans="1:3" x14ac:dyDescent="0.25">
      <c r="A388" t="s">
        <v>2708</v>
      </c>
      <c r="B388" t="s">
        <v>2709</v>
      </c>
      <c r="C388" t="s">
        <v>2708</v>
      </c>
    </row>
    <row r="389" spans="1:3" x14ac:dyDescent="0.25">
      <c r="A389" t="s">
        <v>2710</v>
      </c>
      <c r="B389" t="s">
        <v>2711</v>
      </c>
      <c r="C389" t="s">
        <v>2710</v>
      </c>
    </row>
    <row r="390" spans="1:3" x14ac:dyDescent="0.25">
      <c r="A390" t="s">
        <v>2712</v>
      </c>
      <c r="B390" t="s">
        <v>2713</v>
      </c>
      <c r="C390" t="s">
        <v>2712</v>
      </c>
    </row>
    <row r="391" spans="1:3" x14ac:dyDescent="0.25">
      <c r="A391" t="s">
        <v>2714</v>
      </c>
      <c r="B391" t="s">
        <v>2715</v>
      </c>
      <c r="C391" t="s">
        <v>2714</v>
      </c>
    </row>
    <row r="392" spans="1:3" x14ac:dyDescent="0.25">
      <c r="A392" t="s">
        <v>2716</v>
      </c>
      <c r="B392" t="s">
        <v>2717</v>
      </c>
      <c r="C392" t="s">
        <v>2716</v>
      </c>
    </row>
    <row r="393" spans="1:3" x14ac:dyDescent="0.25">
      <c r="A393" t="s">
        <v>2718</v>
      </c>
      <c r="B393" t="s">
        <v>2719</v>
      </c>
      <c r="C393" t="s">
        <v>2718</v>
      </c>
    </row>
    <row r="394" spans="1:3" x14ac:dyDescent="0.25">
      <c r="A394" t="s">
        <v>2720</v>
      </c>
      <c r="B394" t="s">
        <v>2721</v>
      </c>
      <c r="C394" t="s">
        <v>2720</v>
      </c>
    </row>
    <row r="395" spans="1:3" x14ac:dyDescent="0.25">
      <c r="A395" t="s">
        <v>2722</v>
      </c>
      <c r="B395" t="s">
        <v>2723</v>
      </c>
      <c r="C395" t="s">
        <v>2722</v>
      </c>
    </row>
    <row r="396" spans="1:3" x14ac:dyDescent="0.25">
      <c r="A396" t="s">
        <v>2724</v>
      </c>
      <c r="B396" t="s">
        <v>2725</v>
      </c>
      <c r="C396" t="s">
        <v>2724</v>
      </c>
    </row>
    <row r="397" spans="1:3" x14ac:dyDescent="0.25">
      <c r="A397" t="s">
        <v>2726</v>
      </c>
      <c r="B397" t="s">
        <v>2727</v>
      </c>
      <c r="C397" t="s">
        <v>2726</v>
      </c>
    </row>
    <row r="398" spans="1:3" x14ac:dyDescent="0.25">
      <c r="A398" t="s">
        <v>2728</v>
      </c>
      <c r="B398" t="s">
        <v>2729</v>
      </c>
      <c r="C398" t="s">
        <v>2728</v>
      </c>
    </row>
    <row r="399" spans="1:3" x14ac:dyDescent="0.25">
      <c r="A399" t="s">
        <v>2730</v>
      </c>
      <c r="B399" t="s">
        <v>2731</v>
      </c>
      <c r="C399" t="s">
        <v>2730</v>
      </c>
    </row>
    <row r="400" spans="1:3" x14ac:dyDescent="0.25">
      <c r="A400" t="s">
        <v>2732</v>
      </c>
      <c r="B400" t="s">
        <v>2733</v>
      </c>
      <c r="C400" t="s">
        <v>2732</v>
      </c>
    </row>
    <row r="401" spans="1:3" x14ac:dyDescent="0.25">
      <c r="A401" t="s">
        <v>2734</v>
      </c>
      <c r="B401" t="s">
        <v>2735</v>
      </c>
      <c r="C401" t="s">
        <v>2734</v>
      </c>
    </row>
    <row r="402" spans="1:3" x14ac:dyDescent="0.25">
      <c r="A402" t="s">
        <v>2736</v>
      </c>
      <c r="B402" t="s">
        <v>2737</v>
      </c>
      <c r="C402" t="s">
        <v>2736</v>
      </c>
    </row>
    <row r="403" spans="1:3" x14ac:dyDescent="0.25">
      <c r="A403" t="s">
        <v>2738</v>
      </c>
      <c r="B403" t="s">
        <v>2739</v>
      </c>
      <c r="C403" t="s">
        <v>2738</v>
      </c>
    </row>
    <row r="404" spans="1:3" x14ac:dyDescent="0.25">
      <c r="A404" t="s">
        <v>2740</v>
      </c>
      <c r="B404" t="s">
        <v>2741</v>
      </c>
      <c r="C404" t="s">
        <v>2740</v>
      </c>
    </row>
    <row r="405" spans="1:3" x14ac:dyDescent="0.25">
      <c r="A405" t="s">
        <v>2742</v>
      </c>
      <c r="B405" t="s">
        <v>2743</v>
      </c>
      <c r="C405" t="s">
        <v>2742</v>
      </c>
    </row>
    <row r="406" spans="1:3" x14ac:dyDescent="0.25">
      <c r="A406" t="s">
        <v>2744</v>
      </c>
      <c r="B406" t="s">
        <v>2745</v>
      </c>
      <c r="C406" t="s">
        <v>2744</v>
      </c>
    </row>
    <row r="407" spans="1:3" x14ac:dyDescent="0.25">
      <c r="A407" t="s">
        <v>2746</v>
      </c>
      <c r="B407" t="s">
        <v>2747</v>
      </c>
      <c r="C407" t="s">
        <v>2746</v>
      </c>
    </row>
    <row r="408" spans="1:3" x14ac:dyDescent="0.25">
      <c r="A408" t="s">
        <v>2748</v>
      </c>
      <c r="B408" t="s">
        <v>2749</v>
      </c>
      <c r="C408" t="s">
        <v>2748</v>
      </c>
    </row>
    <row r="409" spans="1:3" x14ac:dyDescent="0.25">
      <c r="A409" t="s">
        <v>2750</v>
      </c>
      <c r="B409" t="s">
        <v>2751</v>
      </c>
      <c r="C409" t="s">
        <v>2750</v>
      </c>
    </row>
    <row r="410" spans="1:3" x14ac:dyDescent="0.25">
      <c r="A410" t="s">
        <v>2752</v>
      </c>
      <c r="B410" t="s">
        <v>2753</v>
      </c>
      <c r="C410" t="s">
        <v>2752</v>
      </c>
    </row>
    <row r="411" spans="1:3" x14ac:dyDescent="0.25">
      <c r="A411" t="s">
        <v>2754</v>
      </c>
      <c r="B411" t="s">
        <v>2755</v>
      </c>
      <c r="C411" t="s">
        <v>2754</v>
      </c>
    </row>
    <row r="412" spans="1:3" x14ac:dyDescent="0.25">
      <c r="A412" t="s">
        <v>2756</v>
      </c>
      <c r="B412" t="s">
        <v>2757</v>
      </c>
      <c r="C412" t="s">
        <v>2756</v>
      </c>
    </row>
    <row r="413" spans="1:3" x14ac:dyDescent="0.25">
      <c r="A413" t="s">
        <v>2758</v>
      </c>
      <c r="B413" t="s">
        <v>2759</v>
      </c>
      <c r="C413" t="s">
        <v>2758</v>
      </c>
    </row>
    <row r="414" spans="1:3" x14ac:dyDescent="0.25">
      <c r="A414" t="s">
        <v>2760</v>
      </c>
      <c r="B414" t="s">
        <v>2761</v>
      </c>
      <c r="C414" t="s">
        <v>2760</v>
      </c>
    </row>
    <row r="415" spans="1:3" x14ac:dyDescent="0.25">
      <c r="A415" t="s">
        <v>2762</v>
      </c>
      <c r="B415" t="s">
        <v>2763</v>
      </c>
      <c r="C415" t="s">
        <v>2762</v>
      </c>
    </row>
    <row r="416" spans="1:3" x14ac:dyDescent="0.25">
      <c r="A416" t="s">
        <v>2764</v>
      </c>
      <c r="B416" t="s">
        <v>2765</v>
      </c>
      <c r="C416" t="s">
        <v>2764</v>
      </c>
    </row>
    <row r="417" spans="1:3" x14ac:dyDescent="0.25">
      <c r="A417" t="s">
        <v>2766</v>
      </c>
      <c r="B417" t="s">
        <v>2767</v>
      </c>
      <c r="C417" t="s">
        <v>2766</v>
      </c>
    </row>
    <row r="418" spans="1:3" x14ac:dyDescent="0.25">
      <c r="A418" t="s">
        <v>2768</v>
      </c>
      <c r="B418" t="s">
        <v>2769</v>
      </c>
      <c r="C418" t="s">
        <v>2768</v>
      </c>
    </row>
    <row r="419" spans="1:3" x14ac:dyDescent="0.25">
      <c r="A419" t="s">
        <v>2770</v>
      </c>
      <c r="B419" t="s">
        <v>2771</v>
      </c>
      <c r="C419" t="s">
        <v>2770</v>
      </c>
    </row>
    <row r="420" spans="1:3" x14ac:dyDescent="0.25">
      <c r="A420" t="s">
        <v>2772</v>
      </c>
      <c r="B420" t="s">
        <v>2773</v>
      </c>
      <c r="C420" t="s">
        <v>2772</v>
      </c>
    </row>
    <row r="421" spans="1:3" x14ac:dyDescent="0.25">
      <c r="A421" t="s">
        <v>854</v>
      </c>
      <c r="B421" t="s">
        <v>2774</v>
      </c>
      <c r="C421" t="s">
        <v>854</v>
      </c>
    </row>
    <row r="422" spans="1:3" x14ac:dyDescent="0.25">
      <c r="A422" t="s">
        <v>2775</v>
      </c>
      <c r="B422" t="s">
        <v>2776</v>
      </c>
      <c r="C422" t="s">
        <v>2775</v>
      </c>
    </row>
    <row r="423" spans="1:3" x14ac:dyDescent="0.25">
      <c r="A423" t="s">
        <v>2777</v>
      </c>
      <c r="B423" t="s">
        <v>2778</v>
      </c>
      <c r="C423" t="s">
        <v>2777</v>
      </c>
    </row>
    <row r="424" spans="1:3" x14ac:dyDescent="0.25">
      <c r="A424" t="s">
        <v>2779</v>
      </c>
      <c r="B424" t="s">
        <v>2780</v>
      </c>
      <c r="C424" t="s">
        <v>2779</v>
      </c>
    </row>
    <row r="425" spans="1:3" x14ac:dyDescent="0.25">
      <c r="A425" t="s">
        <v>2781</v>
      </c>
      <c r="B425" t="s">
        <v>2782</v>
      </c>
      <c r="C425" t="s">
        <v>2781</v>
      </c>
    </row>
    <row r="426" spans="1:3" x14ac:dyDescent="0.25">
      <c r="A426" t="s">
        <v>2783</v>
      </c>
      <c r="B426" t="s">
        <v>2784</v>
      </c>
      <c r="C426" t="s">
        <v>2783</v>
      </c>
    </row>
    <row r="427" spans="1:3" x14ac:dyDescent="0.25">
      <c r="A427" t="s">
        <v>2785</v>
      </c>
      <c r="B427" t="s">
        <v>2786</v>
      </c>
      <c r="C427" t="s">
        <v>2785</v>
      </c>
    </row>
    <row r="428" spans="1:3" x14ac:dyDescent="0.25">
      <c r="A428" t="s">
        <v>2787</v>
      </c>
      <c r="B428" t="s">
        <v>2788</v>
      </c>
      <c r="C428" t="s">
        <v>2787</v>
      </c>
    </row>
    <row r="429" spans="1:3" x14ac:dyDescent="0.25">
      <c r="A429" t="s">
        <v>2789</v>
      </c>
      <c r="B429" t="s">
        <v>2790</v>
      </c>
      <c r="C429" t="s">
        <v>2789</v>
      </c>
    </row>
    <row r="430" spans="1:3" x14ac:dyDescent="0.25">
      <c r="A430" t="s">
        <v>2791</v>
      </c>
      <c r="B430" t="s">
        <v>2792</v>
      </c>
      <c r="C430" t="s">
        <v>2791</v>
      </c>
    </row>
    <row r="431" spans="1:3" x14ac:dyDescent="0.25">
      <c r="A431" t="s">
        <v>871</v>
      </c>
      <c r="B431" t="s">
        <v>2055</v>
      </c>
      <c r="C431" t="s">
        <v>871</v>
      </c>
    </row>
    <row r="432" spans="1:3" x14ac:dyDescent="0.25">
      <c r="A432" t="s">
        <v>2793</v>
      </c>
      <c r="B432" t="s">
        <v>2794</v>
      </c>
      <c r="C432" t="s">
        <v>2793</v>
      </c>
    </row>
    <row r="433" spans="1:3" x14ac:dyDescent="0.25">
      <c r="A433" t="s">
        <v>2795</v>
      </c>
      <c r="B433" t="s">
        <v>2796</v>
      </c>
      <c r="C433" t="s">
        <v>2795</v>
      </c>
    </row>
    <row r="434" spans="1:3" x14ac:dyDescent="0.25">
      <c r="A434" t="s">
        <v>2797</v>
      </c>
      <c r="B434" t="s">
        <v>2798</v>
      </c>
      <c r="C434" t="s">
        <v>2797</v>
      </c>
    </row>
    <row r="435" spans="1:3" x14ac:dyDescent="0.25">
      <c r="A435" t="s">
        <v>2799</v>
      </c>
      <c r="B435" t="s">
        <v>2800</v>
      </c>
      <c r="C435" t="s">
        <v>2799</v>
      </c>
    </row>
    <row r="436" spans="1:3" x14ac:dyDescent="0.25">
      <c r="A436" t="s">
        <v>2801</v>
      </c>
      <c r="B436" t="s">
        <v>2802</v>
      </c>
      <c r="C436" t="s">
        <v>2801</v>
      </c>
    </row>
    <row r="437" spans="1:3" x14ac:dyDescent="0.25">
      <c r="A437" t="s">
        <v>2803</v>
      </c>
      <c r="B437" t="s">
        <v>2804</v>
      </c>
      <c r="C437" t="s">
        <v>2803</v>
      </c>
    </row>
    <row r="438" spans="1:3" x14ac:dyDescent="0.25">
      <c r="A438" t="s">
        <v>865</v>
      </c>
      <c r="B438" t="s">
        <v>1964</v>
      </c>
      <c r="C438" t="s">
        <v>865</v>
      </c>
    </row>
    <row r="439" spans="1:3" x14ac:dyDescent="0.25">
      <c r="A439" t="s">
        <v>756</v>
      </c>
      <c r="B439" t="s">
        <v>2051</v>
      </c>
      <c r="C439" t="s">
        <v>756</v>
      </c>
    </row>
    <row r="440" spans="1:3" x14ac:dyDescent="0.25">
      <c r="A440" t="s">
        <v>867</v>
      </c>
      <c r="B440" t="s">
        <v>2805</v>
      </c>
      <c r="C440" t="s">
        <v>867</v>
      </c>
    </row>
    <row r="441" spans="1:3" x14ac:dyDescent="0.25">
      <c r="A441" t="s">
        <v>869</v>
      </c>
      <c r="B441" t="s">
        <v>2806</v>
      </c>
      <c r="C441" t="s">
        <v>869</v>
      </c>
    </row>
    <row r="442" spans="1:3" x14ac:dyDescent="0.25">
      <c r="A442" t="s">
        <v>44</v>
      </c>
      <c r="B442" t="s">
        <v>2807</v>
      </c>
      <c r="C442" t="s">
        <v>44</v>
      </c>
    </row>
    <row r="443" spans="1:3" x14ac:dyDescent="0.25">
      <c r="A443" t="s">
        <v>459</v>
      </c>
      <c r="B443" t="s">
        <v>2054</v>
      </c>
      <c r="C443" t="s">
        <v>459</v>
      </c>
    </row>
    <row r="444" spans="1:3" x14ac:dyDescent="0.25">
      <c r="A444" t="s">
        <v>45</v>
      </c>
      <c r="B444" t="s">
        <v>2808</v>
      </c>
      <c r="C444" t="s">
        <v>45</v>
      </c>
    </row>
    <row r="445" spans="1:3" x14ac:dyDescent="0.25">
      <c r="A445" t="s">
        <v>47</v>
      </c>
      <c r="B445" t="s">
        <v>2809</v>
      </c>
      <c r="C445" t="s">
        <v>47</v>
      </c>
    </row>
    <row r="446" spans="1:3" x14ac:dyDescent="0.25">
      <c r="A446" t="s">
        <v>2810</v>
      </c>
      <c r="B446" t="s">
        <v>2811</v>
      </c>
      <c r="C446" t="s">
        <v>2810</v>
      </c>
    </row>
    <row r="447" spans="1:3" x14ac:dyDescent="0.25">
      <c r="A447" t="s">
        <v>2812</v>
      </c>
      <c r="B447" t="s">
        <v>2813</v>
      </c>
      <c r="C447" t="s">
        <v>2812</v>
      </c>
    </row>
    <row r="448" spans="1:3" x14ac:dyDescent="0.25">
      <c r="A448" t="s">
        <v>2814</v>
      </c>
      <c r="B448" t="s">
        <v>2815</v>
      </c>
      <c r="C448" t="s">
        <v>2814</v>
      </c>
    </row>
    <row r="449" spans="1:3" x14ac:dyDescent="0.25">
      <c r="A449" t="s">
        <v>2816</v>
      </c>
      <c r="B449" t="s">
        <v>2817</v>
      </c>
      <c r="C449" t="s">
        <v>2816</v>
      </c>
    </row>
    <row r="450" spans="1:3" x14ac:dyDescent="0.25">
      <c r="A450" t="s">
        <v>2818</v>
      </c>
      <c r="B450" t="s">
        <v>2819</v>
      </c>
      <c r="C450" t="s">
        <v>2818</v>
      </c>
    </row>
    <row r="451" spans="1:3" x14ac:dyDescent="0.25">
      <c r="A451" t="s">
        <v>2820</v>
      </c>
      <c r="B451" t="s">
        <v>2821</v>
      </c>
      <c r="C451" t="s">
        <v>2820</v>
      </c>
    </row>
    <row r="452" spans="1:3" x14ac:dyDescent="0.25">
      <c r="A452" t="s">
        <v>2822</v>
      </c>
      <c r="B452" t="s">
        <v>2823</v>
      </c>
      <c r="C452" t="s">
        <v>2822</v>
      </c>
    </row>
    <row r="453" spans="1:3" x14ac:dyDescent="0.25">
      <c r="A453" t="s">
        <v>2824</v>
      </c>
      <c r="B453" t="s">
        <v>2825</v>
      </c>
      <c r="C453" t="s">
        <v>2824</v>
      </c>
    </row>
    <row r="454" spans="1:3" x14ac:dyDescent="0.25">
      <c r="A454" t="s">
        <v>2826</v>
      </c>
      <c r="B454" t="s">
        <v>2827</v>
      </c>
      <c r="C454" t="s">
        <v>2826</v>
      </c>
    </row>
    <row r="455" spans="1:3" x14ac:dyDescent="0.25">
      <c r="A455" t="s">
        <v>2828</v>
      </c>
      <c r="B455" t="s">
        <v>2829</v>
      </c>
      <c r="C455" t="s">
        <v>2828</v>
      </c>
    </row>
    <row r="456" spans="1:3" x14ac:dyDescent="0.25">
      <c r="A456" t="s">
        <v>2830</v>
      </c>
      <c r="B456" t="s">
        <v>2831</v>
      </c>
      <c r="C456" t="s">
        <v>2830</v>
      </c>
    </row>
    <row r="457" spans="1:3" x14ac:dyDescent="0.25">
      <c r="A457" t="s">
        <v>2832</v>
      </c>
      <c r="B457" t="s">
        <v>2833</v>
      </c>
      <c r="C457" t="s">
        <v>2832</v>
      </c>
    </row>
    <row r="458" spans="1:3" x14ac:dyDescent="0.25">
      <c r="A458" t="s">
        <v>2834</v>
      </c>
      <c r="B458" t="s">
        <v>2835</v>
      </c>
      <c r="C458" t="s">
        <v>2834</v>
      </c>
    </row>
    <row r="459" spans="1:3" x14ac:dyDescent="0.25">
      <c r="A459" t="s">
        <v>2836</v>
      </c>
      <c r="B459" t="s">
        <v>2837</v>
      </c>
      <c r="C459" t="s">
        <v>2836</v>
      </c>
    </row>
    <row r="460" spans="1:3" x14ac:dyDescent="0.25">
      <c r="A460" t="s">
        <v>2838</v>
      </c>
      <c r="B460" t="s">
        <v>2839</v>
      </c>
      <c r="C460" t="s">
        <v>2838</v>
      </c>
    </row>
    <row r="461" spans="1:3" x14ac:dyDescent="0.25">
      <c r="A461" t="s">
        <v>2840</v>
      </c>
      <c r="B461" t="s">
        <v>2841</v>
      </c>
      <c r="C461" t="s">
        <v>2840</v>
      </c>
    </row>
    <row r="462" spans="1:3" x14ac:dyDescent="0.25">
      <c r="A462" t="s">
        <v>2842</v>
      </c>
      <c r="B462" t="s">
        <v>2843</v>
      </c>
      <c r="C462" t="s">
        <v>2842</v>
      </c>
    </row>
    <row r="463" spans="1:3" x14ac:dyDescent="0.25">
      <c r="A463" t="s">
        <v>2844</v>
      </c>
      <c r="B463" t="s">
        <v>2845</v>
      </c>
      <c r="C463" t="s">
        <v>2844</v>
      </c>
    </row>
    <row r="464" spans="1:3" x14ac:dyDescent="0.25">
      <c r="A464" t="s">
        <v>2846</v>
      </c>
      <c r="B464" t="s">
        <v>2847</v>
      </c>
      <c r="C464" t="s">
        <v>2846</v>
      </c>
    </row>
    <row r="465" spans="1:3" x14ac:dyDescent="0.25">
      <c r="A465" t="s">
        <v>2848</v>
      </c>
      <c r="B465" t="s">
        <v>2849</v>
      </c>
      <c r="C465" t="s">
        <v>2848</v>
      </c>
    </row>
    <row r="466" spans="1:3" x14ac:dyDescent="0.25">
      <c r="A466" t="s">
        <v>2850</v>
      </c>
      <c r="B466" t="s">
        <v>2851</v>
      </c>
      <c r="C466" t="s">
        <v>2850</v>
      </c>
    </row>
    <row r="467" spans="1:3" x14ac:dyDescent="0.25">
      <c r="A467" t="s">
        <v>2852</v>
      </c>
      <c r="B467" t="s">
        <v>2853</v>
      </c>
      <c r="C467" t="s">
        <v>2852</v>
      </c>
    </row>
    <row r="468" spans="1:3" x14ac:dyDescent="0.25">
      <c r="A468" t="s">
        <v>2854</v>
      </c>
      <c r="B468" t="s">
        <v>2855</v>
      </c>
      <c r="C468" t="s">
        <v>2854</v>
      </c>
    </row>
    <row r="469" spans="1:3" x14ac:dyDescent="0.25">
      <c r="A469" t="s">
        <v>2856</v>
      </c>
      <c r="B469" t="s">
        <v>2857</v>
      </c>
      <c r="C469" t="s">
        <v>2856</v>
      </c>
    </row>
    <row r="470" spans="1:3" x14ac:dyDescent="0.25">
      <c r="A470" t="s">
        <v>2858</v>
      </c>
      <c r="B470" t="s">
        <v>2859</v>
      </c>
      <c r="C470" t="s">
        <v>2858</v>
      </c>
    </row>
    <row r="471" spans="1:3" x14ac:dyDescent="0.25">
      <c r="A471" t="s">
        <v>2860</v>
      </c>
      <c r="B471" t="s">
        <v>2861</v>
      </c>
      <c r="C471" t="s">
        <v>2860</v>
      </c>
    </row>
    <row r="472" spans="1:3" x14ac:dyDescent="0.25">
      <c r="A472" t="s">
        <v>2862</v>
      </c>
      <c r="B472" t="s">
        <v>2863</v>
      </c>
      <c r="C472" t="s">
        <v>2862</v>
      </c>
    </row>
    <row r="473" spans="1:3" x14ac:dyDescent="0.25">
      <c r="A473" t="s">
        <v>2864</v>
      </c>
      <c r="B473" t="s">
        <v>2865</v>
      </c>
      <c r="C473" t="s">
        <v>2864</v>
      </c>
    </row>
    <row r="474" spans="1:3" x14ac:dyDescent="0.25">
      <c r="A474" t="s">
        <v>2866</v>
      </c>
      <c r="B474" t="s">
        <v>2867</v>
      </c>
      <c r="C474" t="s">
        <v>2866</v>
      </c>
    </row>
    <row r="475" spans="1:3" x14ac:dyDescent="0.25">
      <c r="A475" t="s">
        <v>2868</v>
      </c>
      <c r="B475" t="s">
        <v>2869</v>
      </c>
      <c r="C475" t="s">
        <v>2868</v>
      </c>
    </row>
    <row r="476" spans="1:3" x14ac:dyDescent="0.25">
      <c r="A476" t="s">
        <v>2870</v>
      </c>
      <c r="B476" t="s">
        <v>2871</v>
      </c>
      <c r="C476" t="s">
        <v>2870</v>
      </c>
    </row>
    <row r="477" spans="1:3" x14ac:dyDescent="0.25">
      <c r="A477" t="s">
        <v>2872</v>
      </c>
      <c r="B477" t="s">
        <v>2873</v>
      </c>
      <c r="C477" t="s">
        <v>2872</v>
      </c>
    </row>
    <row r="478" spans="1:3" x14ac:dyDescent="0.25">
      <c r="A478" t="s">
        <v>2495</v>
      </c>
      <c r="B478" t="s">
        <v>2874</v>
      </c>
      <c r="C478" t="s">
        <v>2495</v>
      </c>
    </row>
    <row r="479" spans="1:3" x14ac:dyDescent="0.25">
      <c r="A479" t="s">
        <v>2875</v>
      </c>
      <c r="B479" t="s">
        <v>2876</v>
      </c>
      <c r="C479" t="s">
        <v>2875</v>
      </c>
    </row>
    <row r="480" spans="1:3" x14ac:dyDescent="0.25">
      <c r="A480" t="s">
        <v>2877</v>
      </c>
      <c r="B480" t="s">
        <v>2878</v>
      </c>
      <c r="C480" t="s">
        <v>2877</v>
      </c>
    </row>
    <row r="481" spans="1:3" x14ac:dyDescent="0.25">
      <c r="A481" t="s">
        <v>2879</v>
      </c>
      <c r="B481" t="s">
        <v>2880</v>
      </c>
      <c r="C481" t="s">
        <v>2879</v>
      </c>
    </row>
    <row r="482" spans="1:3" x14ac:dyDescent="0.25">
      <c r="A482" t="s">
        <v>2881</v>
      </c>
      <c r="B482" t="s">
        <v>2882</v>
      </c>
      <c r="C482" t="s">
        <v>2881</v>
      </c>
    </row>
    <row r="483" spans="1:3" x14ac:dyDescent="0.25">
      <c r="A483" t="s">
        <v>2883</v>
      </c>
      <c r="B483" t="s">
        <v>2884</v>
      </c>
      <c r="C483" t="s">
        <v>2883</v>
      </c>
    </row>
    <row r="484" spans="1:3" x14ac:dyDescent="0.25">
      <c r="A484" t="s">
        <v>2885</v>
      </c>
      <c r="B484" t="s">
        <v>2886</v>
      </c>
      <c r="C484" t="s">
        <v>2885</v>
      </c>
    </row>
    <row r="485" spans="1:3" x14ac:dyDescent="0.25">
      <c r="A485" t="s">
        <v>2887</v>
      </c>
      <c r="B485" t="s">
        <v>2888</v>
      </c>
      <c r="C485" t="s">
        <v>2887</v>
      </c>
    </row>
    <row r="486" spans="1:3" x14ac:dyDescent="0.25">
      <c r="A486" t="s">
        <v>2889</v>
      </c>
      <c r="B486" t="s">
        <v>2890</v>
      </c>
      <c r="C486" t="s">
        <v>2889</v>
      </c>
    </row>
    <row r="487" spans="1:3" x14ac:dyDescent="0.25">
      <c r="A487" t="s">
        <v>2891</v>
      </c>
      <c r="B487" t="s">
        <v>2892</v>
      </c>
      <c r="C487" t="s">
        <v>2891</v>
      </c>
    </row>
    <row r="488" spans="1:3" x14ac:dyDescent="0.25">
      <c r="A488" t="s">
        <v>2893</v>
      </c>
      <c r="B488" t="s">
        <v>2894</v>
      </c>
      <c r="C488" t="s">
        <v>2893</v>
      </c>
    </row>
    <row r="489" spans="1:3" x14ac:dyDescent="0.25">
      <c r="A489" t="s">
        <v>2895</v>
      </c>
      <c r="B489" t="s">
        <v>2896</v>
      </c>
      <c r="C489" t="s">
        <v>2895</v>
      </c>
    </row>
    <row r="490" spans="1:3" x14ac:dyDescent="0.25">
      <c r="A490" t="s">
        <v>2897</v>
      </c>
      <c r="B490" t="s">
        <v>2898</v>
      </c>
      <c r="C490" t="s">
        <v>2897</v>
      </c>
    </row>
    <row r="491" spans="1:3" x14ac:dyDescent="0.25">
      <c r="A491" t="s">
        <v>2899</v>
      </c>
      <c r="B491" t="s">
        <v>2900</v>
      </c>
      <c r="C491" t="s">
        <v>2899</v>
      </c>
    </row>
    <row r="492" spans="1:3" x14ac:dyDescent="0.25">
      <c r="A492" t="s">
        <v>2901</v>
      </c>
      <c r="B492" t="s">
        <v>2902</v>
      </c>
      <c r="C492" t="s">
        <v>2901</v>
      </c>
    </row>
    <row r="493" spans="1:3" x14ac:dyDescent="0.25">
      <c r="A493" t="s">
        <v>2903</v>
      </c>
      <c r="B493" t="s">
        <v>2904</v>
      </c>
      <c r="C493" t="s">
        <v>2903</v>
      </c>
    </row>
    <row r="494" spans="1:3" x14ac:dyDescent="0.25">
      <c r="A494" t="s">
        <v>2905</v>
      </c>
      <c r="B494" t="s">
        <v>2906</v>
      </c>
      <c r="C494" t="s">
        <v>2905</v>
      </c>
    </row>
    <row r="495" spans="1:3" x14ac:dyDescent="0.25">
      <c r="A495" t="s">
        <v>2907</v>
      </c>
      <c r="B495" t="s">
        <v>2908</v>
      </c>
      <c r="C495" t="s">
        <v>2907</v>
      </c>
    </row>
    <row r="496" spans="1:3" x14ac:dyDescent="0.25">
      <c r="A496" t="s">
        <v>2909</v>
      </c>
      <c r="B496" t="s">
        <v>2910</v>
      </c>
      <c r="C496" t="s">
        <v>2909</v>
      </c>
    </row>
    <row r="497" spans="1:3" x14ac:dyDescent="0.25">
      <c r="A497" t="s">
        <v>2911</v>
      </c>
      <c r="B497" t="s">
        <v>2912</v>
      </c>
      <c r="C497" t="s">
        <v>2911</v>
      </c>
    </row>
    <row r="498" spans="1:3" x14ac:dyDescent="0.25">
      <c r="A498" t="s">
        <v>2913</v>
      </c>
      <c r="B498" t="s">
        <v>2914</v>
      </c>
      <c r="C498" t="s">
        <v>2913</v>
      </c>
    </row>
    <row r="499" spans="1:3" x14ac:dyDescent="0.25">
      <c r="A499" t="s">
        <v>40</v>
      </c>
      <c r="B499" t="s">
        <v>1885</v>
      </c>
      <c r="C499" t="s">
        <v>40</v>
      </c>
    </row>
    <row r="500" spans="1:3" x14ac:dyDescent="0.25">
      <c r="A500" t="s">
        <v>42</v>
      </c>
      <c r="B500" t="s">
        <v>2915</v>
      </c>
      <c r="C500" t="s">
        <v>42</v>
      </c>
    </row>
    <row r="501" spans="1:3" x14ac:dyDescent="0.25">
      <c r="A501" t="s">
        <v>2916</v>
      </c>
      <c r="B501" t="s">
        <v>2917</v>
      </c>
      <c r="C501" t="s">
        <v>2916</v>
      </c>
    </row>
    <row r="502" spans="1:3" x14ac:dyDescent="0.25">
      <c r="A502" t="s">
        <v>49</v>
      </c>
      <c r="B502" t="s">
        <v>2918</v>
      </c>
      <c r="C502" t="s">
        <v>49</v>
      </c>
    </row>
    <row r="503" spans="1:3" x14ac:dyDescent="0.25">
      <c r="A503" t="s">
        <v>55</v>
      </c>
      <c r="B503" t="s">
        <v>1888</v>
      </c>
      <c r="C503" t="s">
        <v>55</v>
      </c>
    </row>
    <row r="504" spans="1:3" x14ac:dyDescent="0.25">
      <c r="A504" t="s">
        <v>454</v>
      </c>
      <c r="B504" t="s">
        <v>2919</v>
      </c>
      <c r="C504" t="s">
        <v>454</v>
      </c>
    </row>
    <row r="505" spans="1:3" x14ac:dyDescent="0.25">
      <c r="A505" t="s">
        <v>57</v>
      </c>
      <c r="B505" t="s">
        <v>1889</v>
      </c>
      <c r="C505" t="s">
        <v>57</v>
      </c>
    </row>
    <row r="506" spans="1:3" x14ac:dyDescent="0.25">
      <c r="A506" t="s">
        <v>455</v>
      </c>
      <c r="B506" t="s">
        <v>2057</v>
      </c>
      <c r="C506" t="s">
        <v>455</v>
      </c>
    </row>
    <row r="507" spans="1:3" x14ac:dyDescent="0.25">
      <c r="A507" t="s">
        <v>905</v>
      </c>
      <c r="B507" t="s">
        <v>2920</v>
      </c>
      <c r="C507" t="s">
        <v>905</v>
      </c>
    </row>
    <row r="508" spans="1:3" x14ac:dyDescent="0.25">
      <c r="A508" t="s">
        <v>51</v>
      </c>
      <c r="B508" t="s">
        <v>1887</v>
      </c>
      <c r="C508" t="s">
        <v>51</v>
      </c>
    </row>
    <row r="509" spans="1:3" x14ac:dyDescent="0.25">
      <c r="A509" t="s">
        <v>2921</v>
      </c>
      <c r="B509" t="s">
        <v>2922</v>
      </c>
      <c r="C509" t="s">
        <v>2921</v>
      </c>
    </row>
    <row r="510" spans="1:3" x14ac:dyDescent="0.25">
      <c r="A510" t="s">
        <v>2923</v>
      </c>
      <c r="B510" t="s">
        <v>2924</v>
      </c>
      <c r="C510" t="s">
        <v>2923</v>
      </c>
    </row>
    <row r="511" spans="1:3" x14ac:dyDescent="0.25">
      <c r="A511" t="s">
        <v>53</v>
      </c>
      <c r="B511" t="s">
        <v>2925</v>
      </c>
      <c r="C511" t="s">
        <v>53</v>
      </c>
    </row>
    <row r="512" spans="1:3" x14ac:dyDescent="0.25">
      <c r="A512" t="s">
        <v>54</v>
      </c>
      <c r="B512" t="s">
        <v>2926</v>
      </c>
      <c r="C512" t="s">
        <v>54</v>
      </c>
    </row>
    <row r="513" spans="1:3" x14ac:dyDescent="0.25">
      <c r="A513" t="s">
        <v>903</v>
      </c>
      <c r="B513" t="s">
        <v>1965</v>
      </c>
      <c r="C513" t="s">
        <v>903</v>
      </c>
    </row>
    <row r="514" spans="1:3" x14ac:dyDescent="0.25">
      <c r="A514" t="s">
        <v>2927</v>
      </c>
      <c r="B514" t="s">
        <v>2928</v>
      </c>
      <c r="C514" t="s">
        <v>2927</v>
      </c>
    </row>
    <row r="515" spans="1:3" x14ac:dyDescent="0.25">
      <c r="A515" t="s">
        <v>308</v>
      </c>
      <c r="B515" t="s">
        <v>2929</v>
      </c>
      <c r="C515" t="s">
        <v>308</v>
      </c>
    </row>
    <row r="516" spans="1:3" x14ac:dyDescent="0.25">
      <c r="A516" t="s">
        <v>2930</v>
      </c>
      <c r="B516" t="s">
        <v>2931</v>
      </c>
      <c r="C516" t="s">
        <v>2930</v>
      </c>
    </row>
    <row r="517" spans="1:3" x14ac:dyDescent="0.25">
      <c r="A517" t="s">
        <v>2932</v>
      </c>
      <c r="B517" t="s">
        <v>2933</v>
      </c>
      <c r="C517" t="s">
        <v>2932</v>
      </c>
    </row>
    <row r="518" spans="1:3" x14ac:dyDescent="0.25">
      <c r="A518" t="s">
        <v>2934</v>
      </c>
      <c r="B518" t="s">
        <v>2935</v>
      </c>
      <c r="C518" t="s">
        <v>2934</v>
      </c>
    </row>
    <row r="519" spans="1:3" x14ac:dyDescent="0.25">
      <c r="A519" t="s">
        <v>2936</v>
      </c>
      <c r="B519" t="s">
        <v>2937</v>
      </c>
      <c r="C519" t="s">
        <v>2936</v>
      </c>
    </row>
    <row r="520" spans="1:3" x14ac:dyDescent="0.25">
      <c r="A520" t="s">
        <v>2936</v>
      </c>
      <c r="B520" t="s">
        <v>2938</v>
      </c>
      <c r="C520" t="s">
        <v>2936</v>
      </c>
    </row>
    <row r="521" spans="1:3" x14ac:dyDescent="0.25">
      <c r="A521" t="s">
        <v>2939</v>
      </c>
      <c r="B521" t="s">
        <v>2940</v>
      </c>
      <c r="C521" t="s">
        <v>2939</v>
      </c>
    </row>
    <row r="522" spans="1:3" x14ac:dyDescent="0.25">
      <c r="A522" t="s">
        <v>2941</v>
      </c>
      <c r="B522" t="s">
        <v>2942</v>
      </c>
      <c r="C522" t="s">
        <v>2941</v>
      </c>
    </row>
    <row r="523" spans="1:3" x14ac:dyDescent="0.25">
      <c r="A523" t="s">
        <v>902</v>
      </c>
      <c r="B523" t="s">
        <v>2943</v>
      </c>
      <c r="C523" t="s">
        <v>902</v>
      </c>
    </row>
    <row r="524" spans="1:3" x14ac:dyDescent="0.25">
      <c r="A524" t="s">
        <v>2944</v>
      </c>
      <c r="B524" t="s">
        <v>2945</v>
      </c>
      <c r="C524" t="s">
        <v>2944</v>
      </c>
    </row>
    <row r="525" spans="1:3" x14ac:dyDescent="0.25">
      <c r="A525" t="s">
        <v>2946</v>
      </c>
      <c r="B525" t="s">
        <v>2947</v>
      </c>
      <c r="C525" t="s">
        <v>2946</v>
      </c>
    </row>
    <row r="526" spans="1:3" x14ac:dyDescent="0.25">
      <c r="A526" t="s">
        <v>549</v>
      </c>
      <c r="B526" t="s">
        <v>1868</v>
      </c>
      <c r="C526" t="s">
        <v>549</v>
      </c>
    </row>
    <row r="527" spans="1:3" x14ac:dyDescent="0.25">
      <c r="A527" t="s">
        <v>232</v>
      </c>
      <c r="B527" t="s">
        <v>2063</v>
      </c>
      <c r="C527" t="s">
        <v>232</v>
      </c>
    </row>
    <row r="528" spans="1:3" x14ac:dyDescent="0.25">
      <c r="A528" t="s">
        <v>2948</v>
      </c>
      <c r="B528" t="s">
        <v>2949</v>
      </c>
      <c r="C528" t="s">
        <v>2948</v>
      </c>
    </row>
    <row r="529" spans="1:3" x14ac:dyDescent="0.25">
      <c r="A529" t="s">
        <v>195</v>
      </c>
      <c r="B529" t="s">
        <v>2950</v>
      </c>
      <c r="C529" t="s">
        <v>195</v>
      </c>
    </row>
    <row r="530" spans="1:3" x14ac:dyDescent="0.25">
      <c r="A530" t="s">
        <v>629</v>
      </c>
      <c r="B530" t="s">
        <v>2062</v>
      </c>
      <c r="C530" t="s">
        <v>629</v>
      </c>
    </row>
    <row r="531" spans="1:3" x14ac:dyDescent="0.25">
      <c r="A531" t="s">
        <v>728</v>
      </c>
      <c r="B531" t="s">
        <v>1975</v>
      </c>
      <c r="C531" t="s">
        <v>728</v>
      </c>
    </row>
    <row r="532" spans="1:3" x14ac:dyDescent="0.25">
      <c r="A532" t="s">
        <v>2951</v>
      </c>
      <c r="B532" t="s">
        <v>2952</v>
      </c>
      <c r="C532" t="s">
        <v>2951</v>
      </c>
    </row>
    <row r="533" spans="1:3" x14ac:dyDescent="0.25">
      <c r="A533" t="s">
        <v>631</v>
      </c>
      <c r="B533" t="s">
        <v>1976</v>
      </c>
      <c r="C533" t="s">
        <v>631</v>
      </c>
    </row>
    <row r="534" spans="1:3" x14ac:dyDescent="0.25">
      <c r="A534" t="s">
        <v>567</v>
      </c>
      <c r="B534" t="s">
        <v>1954</v>
      </c>
      <c r="C534" t="s">
        <v>567</v>
      </c>
    </row>
    <row r="535" spans="1:3" x14ac:dyDescent="0.25">
      <c r="A535" t="s">
        <v>2953</v>
      </c>
      <c r="B535" t="s">
        <v>2954</v>
      </c>
      <c r="C535" t="s">
        <v>2953</v>
      </c>
    </row>
    <row r="536" spans="1:3" x14ac:dyDescent="0.25">
      <c r="A536" t="s">
        <v>635</v>
      </c>
      <c r="B536" t="s">
        <v>2065</v>
      </c>
      <c r="C536" t="s">
        <v>635</v>
      </c>
    </row>
    <row r="537" spans="1:3" x14ac:dyDescent="0.25">
      <c r="A537" t="s">
        <v>236</v>
      </c>
      <c r="B537" t="s">
        <v>2955</v>
      </c>
      <c r="C537" t="s">
        <v>236</v>
      </c>
    </row>
    <row r="538" spans="1:3" x14ac:dyDescent="0.25">
      <c r="A538" t="s">
        <v>2956</v>
      </c>
      <c r="B538" t="s">
        <v>2957</v>
      </c>
      <c r="C538" t="s">
        <v>2956</v>
      </c>
    </row>
    <row r="539" spans="1:3" x14ac:dyDescent="0.25">
      <c r="A539" t="s">
        <v>2958</v>
      </c>
      <c r="B539" t="s">
        <v>2959</v>
      </c>
      <c r="C539" t="s">
        <v>2958</v>
      </c>
    </row>
    <row r="540" spans="1:3" x14ac:dyDescent="0.25">
      <c r="A540" t="s">
        <v>2960</v>
      </c>
      <c r="B540" t="s">
        <v>2961</v>
      </c>
      <c r="C540" t="s">
        <v>2960</v>
      </c>
    </row>
    <row r="541" spans="1:3" x14ac:dyDescent="0.25">
      <c r="A541" t="s">
        <v>573</v>
      </c>
      <c r="B541" t="s">
        <v>1876</v>
      </c>
      <c r="C541" t="s">
        <v>573</v>
      </c>
    </row>
    <row r="542" spans="1:3" x14ac:dyDescent="0.25">
      <c r="A542" t="s">
        <v>641</v>
      </c>
      <c r="B542" t="s">
        <v>2067</v>
      </c>
      <c r="C542" t="s">
        <v>641</v>
      </c>
    </row>
    <row r="543" spans="1:3" x14ac:dyDescent="0.25">
      <c r="A543" t="s">
        <v>643</v>
      </c>
      <c r="B543" t="s">
        <v>2962</v>
      </c>
      <c r="C543" t="s">
        <v>643</v>
      </c>
    </row>
    <row r="544" spans="1:3" x14ac:dyDescent="0.25">
      <c r="A544" t="s">
        <v>2963</v>
      </c>
      <c r="B544" t="s">
        <v>2964</v>
      </c>
      <c r="C544" t="s">
        <v>2963</v>
      </c>
    </row>
    <row r="545" spans="1:3" x14ac:dyDescent="0.25">
      <c r="A545" t="s">
        <v>575</v>
      </c>
      <c r="B545" t="s">
        <v>2965</v>
      </c>
      <c r="C545" t="s">
        <v>575</v>
      </c>
    </row>
    <row r="546" spans="1:3" x14ac:dyDescent="0.25">
      <c r="A546" t="s">
        <v>201</v>
      </c>
      <c r="B546" t="s">
        <v>1956</v>
      </c>
      <c r="C546" t="s">
        <v>201</v>
      </c>
    </row>
    <row r="547" spans="1:3" x14ac:dyDescent="0.25">
      <c r="A547" t="s">
        <v>2966</v>
      </c>
      <c r="B547" t="s">
        <v>2967</v>
      </c>
      <c r="C547" t="s">
        <v>2966</v>
      </c>
    </row>
    <row r="548" spans="1:3" x14ac:dyDescent="0.25">
      <c r="A548" t="s">
        <v>606</v>
      </c>
      <c r="B548" t="s">
        <v>1972</v>
      </c>
      <c r="C548" t="s">
        <v>606</v>
      </c>
    </row>
    <row r="549" spans="1:3" x14ac:dyDescent="0.25">
      <c r="A549" t="s">
        <v>2968</v>
      </c>
      <c r="B549" t="s">
        <v>2969</v>
      </c>
      <c r="C549" t="s">
        <v>2968</v>
      </c>
    </row>
    <row r="550" spans="1:3" x14ac:dyDescent="0.25">
      <c r="A550" t="s">
        <v>2970</v>
      </c>
      <c r="B550" t="s">
        <v>2971</v>
      </c>
      <c r="C550" t="s">
        <v>2970</v>
      </c>
    </row>
    <row r="551" spans="1:3" x14ac:dyDescent="0.25">
      <c r="A551" t="s">
        <v>589</v>
      </c>
      <c r="B551" t="s">
        <v>1958</v>
      </c>
      <c r="C551" t="s">
        <v>589</v>
      </c>
    </row>
    <row r="552" spans="1:3" x14ac:dyDescent="0.25">
      <c r="A552" t="s">
        <v>2972</v>
      </c>
      <c r="B552" t="s">
        <v>2973</v>
      </c>
      <c r="C552" t="s">
        <v>2972</v>
      </c>
    </row>
    <row r="553" spans="1:3" x14ac:dyDescent="0.25">
      <c r="A553" t="s">
        <v>2974</v>
      </c>
      <c r="B553" t="s">
        <v>2975</v>
      </c>
      <c r="C553" t="s">
        <v>2974</v>
      </c>
    </row>
    <row r="554" spans="1:3" x14ac:dyDescent="0.25">
      <c r="A554" t="s">
        <v>2976</v>
      </c>
      <c r="B554" t="s">
        <v>2977</v>
      </c>
      <c r="C554" t="s">
        <v>2976</v>
      </c>
    </row>
    <row r="555" spans="1:3" x14ac:dyDescent="0.25">
      <c r="A555" t="s">
        <v>2978</v>
      </c>
      <c r="B555" t="s">
        <v>2979</v>
      </c>
      <c r="C555" t="s">
        <v>2978</v>
      </c>
    </row>
    <row r="556" spans="1:3" x14ac:dyDescent="0.25">
      <c r="A556" t="s">
        <v>591</v>
      </c>
      <c r="B556" t="s">
        <v>1959</v>
      </c>
      <c r="C556" t="s">
        <v>591</v>
      </c>
    </row>
    <row r="557" spans="1:3" x14ac:dyDescent="0.25">
      <c r="A557" t="s">
        <v>2980</v>
      </c>
      <c r="B557" t="s">
        <v>2981</v>
      </c>
      <c r="C557" t="s">
        <v>2980</v>
      </c>
    </row>
    <row r="558" spans="1:3" x14ac:dyDescent="0.25">
      <c r="A558" t="s">
        <v>2982</v>
      </c>
      <c r="B558" t="s">
        <v>2983</v>
      </c>
      <c r="C558" t="s">
        <v>2982</v>
      </c>
    </row>
    <row r="559" spans="1:3" x14ac:dyDescent="0.25">
      <c r="A559" t="s">
        <v>2984</v>
      </c>
      <c r="B559" t="s">
        <v>2985</v>
      </c>
      <c r="C559" t="s">
        <v>2984</v>
      </c>
    </row>
    <row r="560" spans="1:3" x14ac:dyDescent="0.25">
      <c r="A560" t="s">
        <v>2986</v>
      </c>
      <c r="B560" t="s">
        <v>2987</v>
      </c>
      <c r="C560" t="s">
        <v>2986</v>
      </c>
    </row>
    <row r="561" spans="1:3" x14ac:dyDescent="0.25">
      <c r="A561" t="s">
        <v>595</v>
      </c>
      <c r="B561" t="s">
        <v>1893</v>
      </c>
      <c r="C561" t="s">
        <v>595</v>
      </c>
    </row>
    <row r="562" spans="1:3" x14ac:dyDescent="0.25">
      <c r="A562" t="s">
        <v>2988</v>
      </c>
      <c r="B562" t="s">
        <v>2989</v>
      </c>
      <c r="C562" t="s">
        <v>2988</v>
      </c>
    </row>
    <row r="563" spans="1:3" x14ac:dyDescent="0.25">
      <c r="A563" t="s">
        <v>2990</v>
      </c>
      <c r="B563" t="s">
        <v>2991</v>
      </c>
      <c r="C563" t="s">
        <v>2990</v>
      </c>
    </row>
    <row r="564" spans="1:3" x14ac:dyDescent="0.25">
      <c r="A564" t="s">
        <v>2992</v>
      </c>
      <c r="B564" t="s">
        <v>2993</v>
      </c>
      <c r="C564" t="s">
        <v>2992</v>
      </c>
    </row>
    <row r="565" spans="1:3" x14ac:dyDescent="0.25">
      <c r="A565" t="s">
        <v>597</v>
      </c>
      <c r="B565" t="s">
        <v>1967</v>
      </c>
      <c r="C565" t="s">
        <v>597</v>
      </c>
    </row>
    <row r="566" spans="1:3" x14ac:dyDescent="0.25">
      <c r="A566" t="s">
        <v>601</v>
      </c>
      <c r="B566" t="s">
        <v>1970</v>
      </c>
      <c r="C566" t="s">
        <v>601</v>
      </c>
    </row>
    <row r="567" spans="1:3" x14ac:dyDescent="0.25">
      <c r="A567" t="s">
        <v>2994</v>
      </c>
      <c r="B567" t="s">
        <v>2995</v>
      </c>
      <c r="C567" t="s">
        <v>2994</v>
      </c>
    </row>
    <row r="568" spans="1:3" x14ac:dyDescent="0.25">
      <c r="A568" t="s">
        <v>2996</v>
      </c>
      <c r="B568" t="s">
        <v>2997</v>
      </c>
      <c r="C568" t="s">
        <v>2996</v>
      </c>
    </row>
    <row r="569" spans="1:3" x14ac:dyDescent="0.25">
      <c r="A569" t="s">
        <v>621</v>
      </c>
      <c r="B569" t="s">
        <v>2998</v>
      </c>
      <c r="C569" t="s">
        <v>621</v>
      </c>
    </row>
    <row r="570" spans="1:3" x14ac:dyDescent="0.25">
      <c r="A570" t="s">
        <v>226</v>
      </c>
      <c r="B570" t="s">
        <v>2061</v>
      </c>
      <c r="C570" t="s">
        <v>226</v>
      </c>
    </row>
    <row r="571" spans="1:3" x14ac:dyDescent="0.25">
      <c r="A571" t="s">
        <v>2999</v>
      </c>
      <c r="B571" t="s">
        <v>3000</v>
      </c>
      <c r="C571" t="s">
        <v>2999</v>
      </c>
    </row>
    <row r="572" spans="1:3" x14ac:dyDescent="0.25">
      <c r="A572" t="s">
        <v>3001</v>
      </c>
      <c r="B572" t="s">
        <v>3002</v>
      </c>
      <c r="C572" t="s">
        <v>3001</v>
      </c>
    </row>
    <row r="573" spans="1:3" x14ac:dyDescent="0.25">
      <c r="A573" t="s">
        <v>3003</v>
      </c>
      <c r="B573" t="s">
        <v>3004</v>
      </c>
      <c r="C573" t="s">
        <v>3003</v>
      </c>
    </row>
    <row r="574" spans="1:3" x14ac:dyDescent="0.25">
      <c r="A574" t="s">
        <v>3005</v>
      </c>
      <c r="B574" t="s">
        <v>3006</v>
      </c>
      <c r="C574" t="s">
        <v>3005</v>
      </c>
    </row>
    <row r="575" spans="1:3" x14ac:dyDescent="0.25">
      <c r="A575" t="s">
        <v>3007</v>
      </c>
      <c r="B575" t="s">
        <v>3008</v>
      </c>
      <c r="C575" t="s">
        <v>3007</v>
      </c>
    </row>
    <row r="576" spans="1:3" x14ac:dyDescent="0.25">
      <c r="A576" t="s">
        <v>3009</v>
      </c>
      <c r="B576" t="s">
        <v>3010</v>
      </c>
      <c r="C576" t="s">
        <v>3009</v>
      </c>
    </row>
    <row r="577" spans="1:3" x14ac:dyDescent="0.25">
      <c r="A577" t="s">
        <v>3011</v>
      </c>
      <c r="B577" t="s">
        <v>3012</v>
      </c>
      <c r="C577" t="s">
        <v>3011</v>
      </c>
    </row>
    <row r="578" spans="1:3" x14ac:dyDescent="0.25">
      <c r="A578" t="s">
        <v>3013</v>
      </c>
      <c r="B578" t="s">
        <v>3014</v>
      </c>
      <c r="C578" t="s">
        <v>3013</v>
      </c>
    </row>
    <row r="579" spans="1:3" x14ac:dyDescent="0.25">
      <c r="A579" t="s">
        <v>3015</v>
      </c>
      <c r="B579" t="s">
        <v>3016</v>
      </c>
      <c r="C579" t="s">
        <v>3015</v>
      </c>
    </row>
    <row r="580" spans="1:3" x14ac:dyDescent="0.25">
      <c r="A580" t="s">
        <v>3017</v>
      </c>
      <c r="B580" t="s">
        <v>3018</v>
      </c>
      <c r="C580" t="s">
        <v>3017</v>
      </c>
    </row>
    <row r="581" spans="1:3" x14ac:dyDescent="0.25">
      <c r="A581" t="s">
        <v>3019</v>
      </c>
      <c r="B581" t="s">
        <v>3020</v>
      </c>
      <c r="C581" t="s">
        <v>3019</v>
      </c>
    </row>
    <row r="582" spans="1:3" x14ac:dyDescent="0.25">
      <c r="A582" t="s">
        <v>3021</v>
      </c>
      <c r="B582" t="s">
        <v>3022</v>
      </c>
      <c r="C582" t="s">
        <v>3021</v>
      </c>
    </row>
    <row r="583" spans="1:3" x14ac:dyDescent="0.25">
      <c r="A583" t="s">
        <v>3023</v>
      </c>
      <c r="B583" t="s">
        <v>3024</v>
      </c>
      <c r="C583" t="s">
        <v>3023</v>
      </c>
    </row>
    <row r="584" spans="1:3" x14ac:dyDescent="0.25">
      <c r="A584" t="s">
        <v>3025</v>
      </c>
      <c r="B584" t="s">
        <v>3026</v>
      </c>
      <c r="C584" t="s">
        <v>3025</v>
      </c>
    </row>
    <row r="585" spans="1:3" x14ac:dyDescent="0.25">
      <c r="A585" t="s">
        <v>3027</v>
      </c>
      <c r="B585" t="s">
        <v>3028</v>
      </c>
      <c r="C585" t="s">
        <v>3027</v>
      </c>
    </row>
    <row r="586" spans="1:3" x14ac:dyDescent="0.25">
      <c r="A586" t="s">
        <v>3029</v>
      </c>
      <c r="B586" t="s">
        <v>3030</v>
      </c>
      <c r="C586" t="s">
        <v>3029</v>
      </c>
    </row>
    <row r="587" spans="1:3" x14ac:dyDescent="0.25">
      <c r="A587" t="s">
        <v>3031</v>
      </c>
      <c r="B587" t="s">
        <v>3032</v>
      </c>
      <c r="C587" t="s">
        <v>3031</v>
      </c>
    </row>
    <row r="588" spans="1:3" x14ac:dyDescent="0.25">
      <c r="A588" t="s">
        <v>3033</v>
      </c>
      <c r="B588" t="s">
        <v>3034</v>
      </c>
      <c r="C588" t="s">
        <v>3033</v>
      </c>
    </row>
    <row r="589" spans="1:3" x14ac:dyDescent="0.25">
      <c r="A589" t="s">
        <v>3035</v>
      </c>
      <c r="B589" t="s">
        <v>3036</v>
      </c>
      <c r="C589" t="s">
        <v>3035</v>
      </c>
    </row>
    <row r="590" spans="1:3" x14ac:dyDescent="0.25">
      <c r="A590" t="s">
        <v>3037</v>
      </c>
      <c r="B590" t="s">
        <v>3038</v>
      </c>
      <c r="C590" t="s">
        <v>3037</v>
      </c>
    </row>
    <row r="591" spans="1:3" x14ac:dyDescent="0.25">
      <c r="A591" t="s">
        <v>3039</v>
      </c>
      <c r="B591" t="s">
        <v>3040</v>
      </c>
      <c r="C591" t="s">
        <v>3039</v>
      </c>
    </row>
    <row r="592" spans="1:3" x14ac:dyDescent="0.25">
      <c r="A592" t="s">
        <v>3041</v>
      </c>
      <c r="B592" t="s">
        <v>3042</v>
      </c>
      <c r="C592" t="s">
        <v>3041</v>
      </c>
    </row>
    <row r="593" spans="1:3" x14ac:dyDescent="0.25">
      <c r="A593" t="s">
        <v>3043</v>
      </c>
      <c r="B593" t="s">
        <v>3044</v>
      </c>
      <c r="C593" t="s">
        <v>3043</v>
      </c>
    </row>
    <row r="594" spans="1:3" x14ac:dyDescent="0.25">
      <c r="A594" t="s">
        <v>3045</v>
      </c>
      <c r="B594" t="s">
        <v>3046</v>
      </c>
      <c r="C594" t="s">
        <v>3045</v>
      </c>
    </row>
    <row r="595" spans="1:3" x14ac:dyDescent="0.25">
      <c r="A595" t="s">
        <v>3047</v>
      </c>
      <c r="B595" t="s">
        <v>3048</v>
      </c>
      <c r="C595" t="s">
        <v>3047</v>
      </c>
    </row>
    <row r="596" spans="1:3" x14ac:dyDescent="0.25">
      <c r="A596" t="s">
        <v>3049</v>
      </c>
      <c r="B596" t="s">
        <v>3050</v>
      </c>
      <c r="C596" t="s">
        <v>3049</v>
      </c>
    </row>
    <row r="597" spans="1:3" x14ac:dyDescent="0.25">
      <c r="A597" t="s">
        <v>3051</v>
      </c>
      <c r="B597" t="s">
        <v>3052</v>
      </c>
      <c r="C597" t="s">
        <v>3051</v>
      </c>
    </row>
    <row r="598" spans="1:3" x14ac:dyDescent="0.25">
      <c r="A598" t="s">
        <v>65</v>
      </c>
      <c r="B598" t="s">
        <v>1977</v>
      </c>
      <c r="C598" t="s">
        <v>65</v>
      </c>
    </row>
    <row r="599" spans="1:3" x14ac:dyDescent="0.25">
      <c r="A599" t="s">
        <v>758</v>
      </c>
      <c r="B599" t="s">
        <v>1978</v>
      </c>
      <c r="C599" t="s">
        <v>758</v>
      </c>
    </row>
    <row r="600" spans="1:3" x14ac:dyDescent="0.25">
      <c r="A600" t="s">
        <v>3053</v>
      </c>
      <c r="B600" t="s">
        <v>3054</v>
      </c>
      <c r="C600" t="s">
        <v>3053</v>
      </c>
    </row>
    <row r="601" spans="1:3" x14ac:dyDescent="0.25">
      <c r="A601" t="s">
        <v>760</v>
      </c>
      <c r="B601" t="s">
        <v>3055</v>
      </c>
      <c r="C601" t="s">
        <v>760</v>
      </c>
    </row>
    <row r="602" spans="1:3" x14ac:dyDescent="0.25">
      <c r="A602" t="s">
        <v>3056</v>
      </c>
      <c r="B602" t="s">
        <v>3057</v>
      </c>
      <c r="C602" t="s">
        <v>3056</v>
      </c>
    </row>
    <row r="603" spans="1:3" x14ac:dyDescent="0.25">
      <c r="A603" t="s">
        <v>3058</v>
      </c>
      <c r="B603" t="s">
        <v>3059</v>
      </c>
      <c r="C603" t="s">
        <v>3058</v>
      </c>
    </row>
    <row r="604" spans="1:3" x14ac:dyDescent="0.25">
      <c r="A604" t="s">
        <v>3060</v>
      </c>
      <c r="B604" t="s">
        <v>3061</v>
      </c>
      <c r="C604" t="s">
        <v>3060</v>
      </c>
    </row>
    <row r="605" spans="1:3" x14ac:dyDescent="0.25">
      <c r="A605" t="s">
        <v>3062</v>
      </c>
      <c r="B605" t="s">
        <v>3063</v>
      </c>
      <c r="C605" t="s">
        <v>3062</v>
      </c>
    </row>
    <row r="606" spans="1:3" x14ac:dyDescent="0.25">
      <c r="A606" t="s">
        <v>3064</v>
      </c>
      <c r="B606" t="s">
        <v>3065</v>
      </c>
      <c r="C606" t="s">
        <v>3064</v>
      </c>
    </row>
    <row r="607" spans="1:3" x14ac:dyDescent="0.25">
      <c r="A607" t="s">
        <v>774</v>
      </c>
      <c r="B607" t="s">
        <v>2078</v>
      </c>
      <c r="C607" t="s">
        <v>774</v>
      </c>
    </row>
    <row r="608" spans="1:3" x14ac:dyDescent="0.25">
      <c r="A608" t="s">
        <v>3066</v>
      </c>
      <c r="B608" t="s">
        <v>3067</v>
      </c>
      <c r="C608" t="s">
        <v>3066</v>
      </c>
    </row>
    <row r="609" spans="1:3" x14ac:dyDescent="0.25">
      <c r="A609" t="s">
        <v>889</v>
      </c>
      <c r="B609" t="s">
        <v>3068</v>
      </c>
      <c r="C609" t="s">
        <v>889</v>
      </c>
    </row>
    <row r="610" spans="1:3" x14ac:dyDescent="0.25">
      <c r="A610" t="s">
        <v>1833</v>
      </c>
      <c r="B610" t="s">
        <v>3069</v>
      </c>
      <c r="C610" t="s">
        <v>1833</v>
      </c>
    </row>
    <row r="611" spans="1:3" x14ac:dyDescent="0.25">
      <c r="A611" t="s">
        <v>1835</v>
      </c>
      <c r="B611" t="s">
        <v>3070</v>
      </c>
      <c r="C611" t="s">
        <v>1835</v>
      </c>
    </row>
    <row r="612" spans="1:3" x14ac:dyDescent="0.25">
      <c r="A612" t="s">
        <v>3071</v>
      </c>
      <c r="B612" t="s">
        <v>3072</v>
      </c>
      <c r="C612" t="s">
        <v>3071</v>
      </c>
    </row>
    <row r="613" spans="1:3" x14ac:dyDescent="0.25">
      <c r="A613" t="s">
        <v>3073</v>
      </c>
      <c r="B613" t="s">
        <v>3074</v>
      </c>
      <c r="C613" t="s">
        <v>3073</v>
      </c>
    </row>
    <row r="614" spans="1:3" x14ac:dyDescent="0.25">
      <c r="A614" t="s">
        <v>125</v>
      </c>
      <c r="B614" t="s">
        <v>2079</v>
      </c>
      <c r="C614" t="s">
        <v>125</v>
      </c>
    </row>
    <row r="615" spans="1:3" x14ac:dyDescent="0.25">
      <c r="A615" t="s">
        <v>467</v>
      </c>
      <c r="B615" t="s">
        <v>3075</v>
      </c>
      <c r="C615" t="s">
        <v>467</v>
      </c>
    </row>
    <row r="616" spans="1:3" x14ac:dyDescent="0.25">
      <c r="A616" t="s">
        <v>3076</v>
      </c>
      <c r="B616" t="s">
        <v>3077</v>
      </c>
      <c r="C616" t="s">
        <v>3076</v>
      </c>
    </row>
    <row r="617" spans="1:3" x14ac:dyDescent="0.25">
      <c r="A617" t="s">
        <v>471</v>
      </c>
      <c r="B617" t="s">
        <v>3078</v>
      </c>
      <c r="C617" t="s">
        <v>471</v>
      </c>
    </row>
    <row r="618" spans="1:3" x14ac:dyDescent="0.25">
      <c r="A618" t="s">
        <v>472</v>
      </c>
      <c r="B618" t="s">
        <v>2080</v>
      </c>
      <c r="C618" t="s">
        <v>472</v>
      </c>
    </row>
    <row r="619" spans="1:3" x14ac:dyDescent="0.25">
      <c r="A619" t="s">
        <v>3079</v>
      </c>
      <c r="B619" t="s">
        <v>3080</v>
      </c>
      <c r="C619" t="s">
        <v>3079</v>
      </c>
    </row>
    <row r="620" spans="1:3" x14ac:dyDescent="0.25">
      <c r="A620" t="s">
        <v>3081</v>
      </c>
      <c r="B620" t="s">
        <v>3082</v>
      </c>
      <c r="C620" t="s">
        <v>3081</v>
      </c>
    </row>
    <row r="621" spans="1:3" x14ac:dyDescent="0.25">
      <c r="A621" t="s">
        <v>74</v>
      </c>
      <c r="B621" t="s">
        <v>2082</v>
      </c>
      <c r="C621" t="s">
        <v>74</v>
      </c>
    </row>
    <row r="622" spans="1:3" x14ac:dyDescent="0.25">
      <c r="A622" t="s">
        <v>474</v>
      </c>
      <c r="B622" t="s">
        <v>2083</v>
      </c>
      <c r="C622" t="s">
        <v>474</v>
      </c>
    </row>
    <row r="623" spans="1:3" x14ac:dyDescent="0.25">
      <c r="A623" t="s">
        <v>3083</v>
      </c>
      <c r="B623" t="s">
        <v>3084</v>
      </c>
      <c r="C623" t="s">
        <v>3083</v>
      </c>
    </row>
    <row r="624" spans="1:3" x14ac:dyDescent="0.25">
      <c r="A624" t="s">
        <v>916</v>
      </c>
      <c r="B624" t="s">
        <v>3085</v>
      </c>
      <c r="C624" t="s">
        <v>916</v>
      </c>
    </row>
    <row r="625" spans="1:3" x14ac:dyDescent="0.25">
      <c r="A625" t="s">
        <v>76</v>
      </c>
      <c r="B625" t="s">
        <v>1993</v>
      </c>
      <c r="C625" t="s">
        <v>76</v>
      </c>
    </row>
    <row r="626" spans="1:3" x14ac:dyDescent="0.25">
      <c r="A626" t="s">
        <v>3086</v>
      </c>
      <c r="B626" t="s">
        <v>3087</v>
      </c>
      <c r="C626" t="s">
        <v>3086</v>
      </c>
    </row>
    <row r="627" spans="1:3" x14ac:dyDescent="0.25">
      <c r="A627" t="s">
        <v>3088</v>
      </c>
      <c r="B627" t="s">
        <v>3089</v>
      </c>
      <c r="C627" t="s">
        <v>3088</v>
      </c>
    </row>
    <row r="628" spans="1:3" x14ac:dyDescent="0.25">
      <c r="A628" t="s">
        <v>3090</v>
      </c>
      <c r="B628" t="s">
        <v>3091</v>
      </c>
      <c r="C628" t="s">
        <v>3090</v>
      </c>
    </row>
    <row r="629" spans="1:3" x14ac:dyDescent="0.25">
      <c r="A629" t="s">
        <v>3092</v>
      </c>
      <c r="B629" t="s">
        <v>3093</v>
      </c>
      <c r="C629" t="s">
        <v>3092</v>
      </c>
    </row>
    <row r="630" spans="1:3" x14ac:dyDescent="0.25">
      <c r="A630" t="s">
        <v>3094</v>
      </c>
      <c r="B630" t="s">
        <v>3095</v>
      </c>
      <c r="C630" t="s">
        <v>3094</v>
      </c>
    </row>
    <row r="631" spans="1:3" x14ac:dyDescent="0.25">
      <c r="A631" t="s">
        <v>3096</v>
      </c>
      <c r="B631" t="s">
        <v>3097</v>
      </c>
      <c r="C631" t="s">
        <v>3096</v>
      </c>
    </row>
    <row r="632" spans="1:3" x14ac:dyDescent="0.25">
      <c r="A632" t="s">
        <v>3098</v>
      </c>
      <c r="B632" t="s">
        <v>3099</v>
      </c>
      <c r="C632" t="s">
        <v>3098</v>
      </c>
    </row>
    <row r="633" spans="1:3" x14ac:dyDescent="0.25">
      <c r="A633" t="s">
        <v>3100</v>
      </c>
      <c r="B633" t="s">
        <v>3101</v>
      </c>
      <c r="C633" t="s">
        <v>3100</v>
      </c>
    </row>
    <row r="634" spans="1:3" x14ac:dyDescent="0.25">
      <c r="A634" t="s">
        <v>3102</v>
      </c>
      <c r="B634" t="s">
        <v>3103</v>
      </c>
      <c r="C634" t="s">
        <v>3102</v>
      </c>
    </row>
    <row r="635" spans="1:3" x14ac:dyDescent="0.25">
      <c r="A635" t="s">
        <v>3104</v>
      </c>
      <c r="B635" t="s">
        <v>3105</v>
      </c>
      <c r="C635" t="s">
        <v>3104</v>
      </c>
    </row>
    <row r="636" spans="1:3" x14ac:dyDescent="0.25">
      <c r="A636" t="s">
        <v>3106</v>
      </c>
      <c r="B636" t="s">
        <v>3107</v>
      </c>
      <c r="C636" t="s">
        <v>3106</v>
      </c>
    </row>
    <row r="637" spans="1:3" x14ac:dyDescent="0.25">
      <c r="A637" t="s">
        <v>3108</v>
      </c>
      <c r="B637" t="s">
        <v>3109</v>
      </c>
      <c r="C637" t="s">
        <v>3108</v>
      </c>
    </row>
    <row r="638" spans="1:3" x14ac:dyDescent="0.25">
      <c r="A638" t="s">
        <v>3110</v>
      </c>
      <c r="B638" t="s">
        <v>3111</v>
      </c>
      <c r="C638" t="s">
        <v>3110</v>
      </c>
    </row>
    <row r="639" spans="1:3" x14ac:dyDescent="0.25">
      <c r="A639" t="s">
        <v>1831</v>
      </c>
      <c r="B639" t="s">
        <v>2070</v>
      </c>
      <c r="C639" t="s">
        <v>1831</v>
      </c>
    </row>
    <row r="640" spans="1:3" x14ac:dyDescent="0.25">
      <c r="A640" t="s">
        <v>462</v>
      </c>
      <c r="B640" t="s">
        <v>3112</v>
      </c>
      <c r="C640" t="s">
        <v>462</v>
      </c>
    </row>
    <row r="641" spans="1:3" x14ac:dyDescent="0.25">
      <c r="A641" t="s">
        <v>762</v>
      </c>
      <c r="B641" t="s">
        <v>3113</v>
      </c>
      <c r="C641" t="s">
        <v>762</v>
      </c>
    </row>
    <row r="642" spans="1:3" x14ac:dyDescent="0.25">
      <c r="A642" t="s">
        <v>764</v>
      </c>
      <c r="B642" t="s">
        <v>3114</v>
      </c>
      <c r="C642" t="s">
        <v>764</v>
      </c>
    </row>
    <row r="643" spans="1:3" x14ac:dyDescent="0.25">
      <c r="A643" t="s">
        <v>134</v>
      </c>
      <c r="B643" t="s">
        <v>2074</v>
      </c>
      <c r="C643" t="s">
        <v>134</v>
      </c>
    </row>
    <row r="644" spans="1:3" x14ac:dyDescent="0.25">
      <c r="A644" t="s">
        <v>72</v>
      </c>
      <c r="B644" t="s">
        <v>1915</v>
      </c>
      <c r="C644" t="s">
        <v>72</v>
      </c>
    </row>
    <row r="645" spans="1:3" x14ac:dyDescent="0.25">
      <c r="A645" t="s">
        <v>3115</v>
      </c>
      <c r="B645" t="s">
        <v>3116</v>
      </c>
      <c r="C645" t="s">
        <v>3115</v>
      </c>
    </row>
    <row r="646" spans="1:3" x14ac:dyDescent="0.25">
      <c r="A646" t="s">
        <v>3117</v>
      </c>
      <c r="B646" t="s">
        <v>3118</v>
      </c>
      <c r="C646" t="s">
        <v>3117</v>
      </c>
    </row>
    <row r="647" spans="1:3" x14ac:dyDescent="0.25">
      <c r="A647" t="s">
        <v>3119</v>
      </c>
      <c r="B647" t="s">
        <v>3120</v>
      </c>
      <c r="C647" t="s">
        <v>3119</v>
      </c>
    </row>
    <row r="648" spans="1:3" x14ac:dyDescent="0.25">
      <c r="A648" t="s">
        <v>3121</v>
      </c>
      <c r="B648" t="s">
        <v>3122</v>
      </c>
      <c r="C648" t="s">
        <v>3121</v>
      </c>
    </row>
    <row r="649" spans="1:3" x14ac:dyDescent="0.25">
      <c r="A649" t="s">
        <v>3123</v>
      </c>
      <c r="B649" t="s">
        <v>3124</v>
      </c>
      <c r="C649" t="s">
        <v>3123</v>
      </c>
    </row>
    <row r="650" spans="1:3" x14ac:dyDescent="0.25">
      <c r="A650" t="s">
        <v>3125</v>
      </c>
      <c r="B650" t="s">
        <v>3126</v>
      </c>
      <c r="C650" t="s">
        <v>3125</v>
      </c>
    </row>
    <row r="651" spans="1:3" x14ac:dyDescent="0.25">
      <c r="A651" t="s">
        <v>3127</v>
      </c>
      <c r="B651" t="s">
        <v>3128</v>
      </c>
      <c r="C651" t="s">
        <v>3127</v>
      </c>
    </row>
    <row r="652" spans="1:3" x14ac:dyDescent="0.25">
      <c r="A652" t="s">
        <v>3129</v>
      </c>
      <c r="B652" t="s">
        <v>3130</v>
      </c>
      <c r="C652" t="s">
        <v>3129</v>
      </c>
    </row>
    <row r="653" spans="1:3" x14ac:dyDescent="0.25">
      <c r="A653" t="s">
        <v>3131</v>
      </c>
      <c r="B653" t="s">
        <v>3132</v>
      </c>
      <c r="C653" t="s">
        <v>3131</v>
      </c>
    </row>
    <row r="654" spans="1:3" x14ac:dyDescent="0.25">
      <c r="A654" t="s">
        <v>718</v>
      </c>
      <c r="B654" t="s">
        <v>1891</v>
      </c>
      <c r="C654" t="s">
        <v>718</v>
      </c>
    </row>
    <row r="655" spans="1:3" x14ac:dyDescent="0.25">
      <c r="A655" t="s">
        <v>3133</v>
      </c>
      <c r="B655" t="s">
        <v>3134</v>
      </c>
      <c r="C655" t="s">
        <v>3133</v>
      </c>
    </row>
    <row r="656" spans="1:3" x14ac:dyDescent="0.25">
      <c r="A656" t="s">
        <v>3135</v>
      </c>
      <c r="B656" t="s">
        <v>3136</v>
      </c>
      <c r="C656" t="s">
        <v>3135</v>
      </c>
    </row>
    <row r="657" spans="1:3" x14ac:dyDescent="0.25">
      <c r="A657" t="s">
        <v>3137</v>
      </c>
      <c r="B657" t="s">
        <v>3138</v>
      </c>
      <c r="C657" t="s">
        <v>3137</v>
      </c>
    </row>
    <row r="658" spans="1:3" x14ac:dyDescent="0.25">
      <c r="A658" t="s">
        <v>3139</v>
      </c>
      <c r="B658" t="s">
        <v>3140</v>
      </c>
      <c r="C658" t="s">
        <v>3139</v>
      </c>
    </row>
    <row r="659" spans="1:3" x14ac:dyDescent="0.25">
      <c r="A659" t="s">
        <v>3141</v>
      </c>
      <c r="B659" t="s">
        <v>3142</v>
      </c>
      <c r="C659" t="s">
        <v>3141</v>
      </c>
    </row>
    <row r="660" spans="1:3" x14ac:dyDescent="0.25">
      <c r="A660" t="s">
        <v>3143</v>
      </c>
      <c r="B660" t="s">
        <v>3144</v>
      </c>
      <c r="C660" t="s">
        <v>3143</v>
      </c>
    </row>
    <row r="661" spans="1:3" x14ac:dyDescent="0.25">
      <c r="A661" t="s">
        <v>3145</v>
      </c>
      <c r="B661" t="s">
        <v>3146</v>
      </c>
      <c r="C661" t="s">
        <v>3145</v>
      </c>
    </row>
    <row r="662" spans="1:3" x14ac:dyDescent="0.25">
      <c r="A662" t="s">
        <v>3147</v>
      </c>
      <c r="B662" t="s">
        <v>3148</v>
      </c>
      <c r="C662" t="s">
        <v>3147</v>
      </c>
    </row>
    <row r="663" spans="1:3" x14ac:dyDescent="0.25">
      <c r="A663" t="s">
        <v>3149</v>
      </c>
      <c r="B663" t="s">
        <v>3150</v>
      </c>
      <c r="C663" t="s">
        <v>3149</v>
      </c>
    </row>
    <row r="664" spans="1:3" x14ac:dyDescent="0.25">
      <c r="A664" t="s">
        <v>3151</v>
      </c>
      <c r="B664" t="s">
        <v>3152</v>
      </c>
      <c r="C664" t="s">
        <v>3151</v>
      </c>
    </row>
    <row r="665" spans="1:3" x14ac:dyDescent="0.25">
      <c r="A665" t="s">
        <v>3153</v>
      </c>
      <c r="B665" t="s">
        <v>3154</v>
      </c>
      <c r="C665" t="s">
        <v>3153</v>
      </c>
    </row>
    <row r="666" spans="1:3" x14ac:dyDescent="0.25">
      <c r="A666" t="s">
        <v>3155</v>
      </c>
      <c r="B666" t="s">
        <v>3156</v>
      </c>
      <c r="C666" t="s">
        <v>3155</v>
      </c>
    </row>
    <row r="667" spans="1:3" x14ac:dyDescent="0.25">
      <c r="A667" t="s">
        <v>3157</v>
      </c>
      <c r="B667" t="s">
        <v>3158</v>
      </c>
      <c r="C667" t="s">
        <v>3157</v>
      </c>
    </row>
    <row r="668" spans="1:3" x14ac:dyDescent="0.25">
      <c r="A668" t="s">
        <v>3159</v>
      </c>
      <c r="B668" t="s">
        <v>3160</v>
      </c>
      <c r="C668" t="s">
        <v>3159</v>
      </c>
    </row>
    <row r="669" spans="1:3" x14ac:dyDescent="0.25">
      <c r="A669" t="s">
        <v>3161</v>
      </c>
      <c r="B669" t="s">
        <v>3162</v>
      </c>
      <c r="C669" t="s">
        <v>3161</v>
      </c>
    </row>
    <row r="670" spans="1:3" x14ac:dyDescent="0.25">
      <c r="A670" t="s">
        <v>3163</v>
      </c>
      <c r="B670" t="s">
        <v>3164</v>
      </c>
      <c r="C670" t="s">
        <v>3163</v>
      </c>
    </row>
    <row r="671" spans="1:3" x14ac:dyDescent="0.25">
      <c r="A671" t="s">
        <v>3165</v>
      </c>
      <c r="B671" t="s">
        <v>3166</v>
      </c>
      <c r="C671" t="s">
        <v>3165</v>
      </c>
    </row>
    <row r="672" spans="1:3" x14ac:dyDescent="0.25">
      <c r="A672" t="s">
        <v>3167</v>
      </c>
      <c r="B672" t="s">
        <v>3168</v>
      </c>
      <c r="C672" t="s">
        <v>3167</v>
      </c>
    </row>
    <row r="673" spans="1:3" x14ac:dyDescent="0.25">
      <c r="A673" t="s">
        <v>3169</v>
      </c>
      <c r="B673" t="s">
        <v>3170</v>
      </c>
      <c r="C673" t="s">
        <v>3169</v>
      </c>
    </row>
    <row r="674" spans="1:3" x14ac:dyDescent="0.25">
      <c r="A674" t="s">
        <v>3171</v>
      </c>
      <c r="B674" t="s">
        <v>3172</v>
      </c>
      <c r="C674" t="s">
        <v>3171</v>
      </c>
    </row>
    <row r="675" spans="1:3" x14ac:dyDescent="0.25">
      <c r="A675" t="s">
        <v>3173</v>
      </c>
      <c r="B675" t="s">
        <v>3174</v>
      </c>
      <c r="C675" t="s">
        <v>3173</v>
      </c>
    </row>
    <row r="676" spans="1:3" x14ac:dyDescent="0.25">
      <c r="A676" t="s">
        <v>3175</v>
      </c>
      <c r="B676" t="s">
        <v>3176</v>
      </c>
      <c r="C676" t="s">
        <v>3175</v>
      </c>
    </row>
    <row r="677" spans="1:3" x14ac:dyDescent="0.25">
      <c r="A677" t="s">
        <v>3177</v>
      </c>
      <c r="B677" t="s">
        <v>3178</v>
      </c>
      <c r="C677" t="s">
        <v>3177</v>
      </c>
    </row>
    <row r="678" spans="1:3" x14ac:dyDescent="0.25">
      <c r="A678" t="s">
        <v>3179</v>
      </c>
      <c r="B678" t="s">
        <v>3180</v>
      </c>
      <c r="C678" t="s">
        <v>3179</v>
      </c>
    </row>
    <row r="679" spans="1:3" x14ac:dyDescent="0.25">
      <c r="A679" t="s">
        <v>3181</v>
      </c>
      <c r="B679" t="s">
        <v>3182</v>
      </c>
      <c r="C679" t="s">
        <v>3181</v>
      </c>
    </row>
    <row r="680" spans="1:3" x14ac:dyDescent="0.25">
      <c r="A680" t="s">
        <v>3183</v>
      </c>
      <c r="B680" t="s">
        <v>3184</v>
      </c>
      <c r="C680" t="s">
        <v>3183</v>
      </c>
    </row>
    <row r="681" spans="1:3" x14ac:dyDescent="0.25">
      <c r="A681" t="s">
        <v>3185</v>
      </c>
      <c r="B681" t="s">
        <v>3186</v>
      </c>
      <c r="C681" t="s">
        <v>3185</v>
      </c>
    </row>
    <row r="682" spans="1:3" x14ac:dyDescent="0.25">
      <c r="A682" t="s">
        <v>3187</v>
      </c>
      <c r="B682" t="s">
        <v>3188</v>
      </c>
      <c r="C682" t="s">
        <v>3187</v>
      </c>
    </row>
    <row r="683" spans="1:3" x14ac:dyDescent="0.25">
      <c r="A683" t="s">
        <v>3189</v>
      </c>
      <c r="B683" t="s">
        <v>3190</v>
      </c>
      <c r="C683" t="s">
        <v>3189</v>
      </c>
    </row>
    <row r="684" spans="1:3" x14ac:dyDescent="0.25">
      <c r="A684" t="s">
        <v>3191</v>
      </c>
      <c r="B684" t="s">
        <v>3192</v>
      </c>
      <c r="C684" t="s">
        <v>3191</v>
      </c>
    </row>
    <row r="685" spans="1:3" x14ac:dyDescent="0.25">
      <c r="A685" t="s">
        <v>3193</v>
      </c>
      <c r="B685" t="s">
        <v>3194</v>
      </c>
      <c r="C685" t="s">
        <v>3193</v>
      </c>
    </row>
    <row r="686" spans="1:3" x14ac:dyDescent="0.25">
      <c r="A686" t="s">
        <v>3195</v>
      </c>
      <c r="B686" t="s">
        <v>3196</v>
      </c>
      <c r="C686" t="s">
        <v>3195</v>
      </c>
    </row>
    <row r="687" spans="1:3" x14ac:dyDescent="0.25">
      <c r="A687" t="s">
        <v>3197</v>
      </c>
      <c r="B687" t="s">
        <v>3198</v>
      </c>
      <c r="C687" t="s">
        <v>3197</v>
      </c>
    </row>
    <row r="688" spans="1:3" x14ac:dyDescent="0.25">
      <c r="A688" t="s">
        <v>3199</v>
      </c>
      <c r="B688" t="s">
        <v>3200</v>
      </c>
      <c r="C688" t="s">
        <v>3199</v>
      </c>
    </row>
    <row r="689" spans="1:3" x14ac:dyDescent="0.25">
      <c r="A689" t="s">
        <v>3201</v>
      </c>
      <c r="B689" t="s">
        <v>3202</v>
      </c>
      <c r="C689" t="s">
        <v>3201</v>
      </c>
    </row>
    <row r="690" spans="1:3" x14ac:dyDescent="0.25">
      <c r="A690" t="s">
        <v>3203</v>
      </c>
      <c r="B690" t="s">
        <v>3204</v>
      </c>
      <c r="C690" t="s">
        <v>3203</v>
      </c>
    </row>
    <row r="691" spans="1:3" x14ac:dyDescent="0.25">
      <c r="A691" t="s">
        <v>3205</v>
      </c>
      <c r="B691" t="s">
        <v>3206</v>
      </c>
      <c r="C691" t="s">
        <v>3205</v>
      </c>
    </row>
    <row r="692" spans="1:3" x14ac:dyDescent="0.25">
      <c r="A692" t="s">
        <v>3207</v>
      </c>
      <c r="B692" t="s">
        <v>3208</v>
      </c>
      <c r="C692" t="s">
        <v>3207</v>
      </c>
    </row>
    <row r="693" spans="1:3" x14ac:dyDescent="0.25">
      <c r="A693" t="s">
        <v>3209</v>
      </c>
      <c r="B693" t="s">
        <v>3210</v>
      </c>
      <c r="C693" t="s">
        <v>3209</v>
      </c>
    </row>
    <row r="694" spans="1:3" x14ac:dyDescent="0.25">
      <c r="A694" t="s">
        <v>3211</v>
      </c>
      <c r="B694" t="s">
        <v>3212</v>
      </c>
      <c r="C694" t="s">
        <v>3211</v>
      </c>
    </row>
    <row r="695" spans="1:3" x14ac:dyDescent="0.25">
      <c r="A695" t="s">
        <v>3213</v>
      </c>
      <c r="B695" t="s">
        <v>3214</v>
      </c>
      <c r="C695" t="s">
        <v>3213</v>
      </c>
    </row>
    <row r="696" spans="1:3" x14ac:dyDescent="0.25">
      <c r="A696" t="s">
        <v>3215</v>
      </c>
      <c r="B696" t="s">
        <v>3216</v>
      </c>
      <c r="C696" t="s">
        <v>3215</v>
      </c>
    </row>
    <row r="697" spans="1:3" x14ac:dyDescent="0.25">
      <c r="A697" t="s">
        <v>3217</v>
      </c>
      <c r="B697" t="s">
        <v>3218</v>
      </c>
      <c r="C697" t="s">
        <v>3217</v>
      </c>
    </row>
    <row r="698" spans="1:3" x14ac:dyDescent="0.25">
      <c r="A698" t="s">
        <v>3219</v>
      </c>
      <c r="B698" t="s">
        <v>3220</v>
      </c>
      <c r="C698" t="s">
        <v>3219</v>
      </c>
    </row>
    <row r="699" spans="1:3" x14ac:dyDescent="0.25">
      <c r="A699" t="s">
        <v>3221</v>
      </c>
      <c r="B699" t="s">
        <v>3222</v>
      </c>
      <c r="C699" t="s">
        <v>3221</v>
      </c>
    </row>
    <row r="700" spans="1:3" x14ac:dyDescent="0.25">
      <c r="A700" t="s">
        <v>3223</v>
      </c>
      <c r="B700" t="s">
        <v>3224</v>
      </c>
      <c r="C700" t="s">
        <v>3223</v>
      </c>
    </row>
    <row r="701" spans="1:3" x14ac:dyDescent="0.25">
      <c r="A701" t="s">
        <v>3225</v>
      </c>
      <c r="B701" t="s">
        <v>3226</v>
      </c>
      <c r="C701" t="s">
        <v>3225</v>
      </c>
    </row>
    <row r="702" spans="1:3" x14ac:dyDescent="0.25">
      <c r="A702" t="s">
        <v>3227</v>
      </c>
      <c r="B702" t="s">
        <v>3228</v>
      </c>
      <c r="C702" t="s">
        <v>3227</v>
      </c>
    </row>
    <row r="703" spans="1:3" x14ac:dyDescent="0.25">
      <c r="A703" t="s">
        <v>3229</v>
      </c>
      <c r="B703" t="s">
        <v>3230</v>
      </c>
      <c r="C703" t="s">
        <v>3229</v>
      </c>
    </row>
    <row r="704" spans="1:3" x14ac:dyDescent="0.25">
      <c r="A704" t="s">
        <v>3231</v>
      </c>
      <c r="B704" t="s">
        <v>3232</v>
      </c>
      <c r="C704" t="s">
        <v>3231</v>
      </c>
    </row>
    <row r="705" spans="1:3" x14ac:dyDescent="0.25">
      <c r="A705" t="s">
        <v>3233</v>
      </c>
      <c r="B705" t="s">
        <v>3234</v>
      </c>
      <c r="C705" t="s">
        <v>3233</v>
      </c>
    </row>
    <row r="706" spans="1:3" x14ac:dyDescent="0.25">
      <c r="A706" t="s">
        <v>3235</v>
      </c>
      <c r="B706" t="s">
        <v>3236</v>
      </c>
      <c r="C706" t="s">
        <v>3235</v>
      </c>
    </row>
    <row r="707" spans="1:3" x14ac:dyDescent="0.25">
      <c r="A707" t="s">
        <v>3237</v>
      </c>
      <c r="B707" t="s">
        <v>3238</v>
      </c>
      <c r="C707" t="s">
        <v>3237</v>
      </c>
    </row>
    <row r="708" spans="1:3" x14ac:dyDescent="0.25">
      <c r="A708" t="s">
        <v>3239</v>
      </c>
      <c r="B708" t="s">
        <v>3240</v>
      </c>
      <c r="C708" t="s">
        <v>3239</v>
      </c>
    </row>
    <row r="709" spans="1:3" x14ac:dyDescent="0.25">
      <c r="A709" t="s">
        <v>3241</v>
      </c>
      <c r="B709" t="s">
        <v>3242</v>
      </c>
      <c r="C709" t="s">
        <v>3241</v>
      </c>
    </row>
    <row r="710" spans="1:3" x14ac:dyDescent="0.25">
      <c r="A710" t="s">
        <v>3243</v>
      </c>
      <c r="B710" t="s">
        <v>3244</v>
      </c>
      <c r="C710" t="s">
        <v>3243</v>
      </c>
    </row>
    <row r="711" spans="1:3" x14ac:dyDescent="0.25">
      <c r="A711" t="s">
        <v>3245</v>
      </c>
      <c r="B711" t="s">
        <v>3246</v>
      </c>
      <c r="C711" t="s">
        <v>3245</v>
      </c>
    </row>
    <row r="712" spans="1:3" x14ac:dyDescent="0.25">
      <c r="A712" t="s">
        <v>3247</v>
      </c>
      <c r="B712" t="s">
        <v>3248</v>
      </c>
      <c r="C712" t="s">
        <v>3247</v>
      </c>
    </row>
    <row r="713" spans="1:3" x14ac:dyDescent="0.25">
      <c r="A713" t="s">
        <v>3249</v>
      </c>
      <c r="B713" t="s">
        <v>3250</v>
      </c>
      <c r="C713" t="s">
        <v>3249</v>
      </c>
    </row>
    <row r="714" spans="1:3" x14ac:dyDescent="0.25">
      <c r="A714" t="s">
        <v>3251</v>
      </c>
      <c r="B714" t="s">
        <v>3252</v>
      </c>
      <c r="C714" t="s">
        <v>3251</v>
      </c>
    </row>
    <row r="715" spans="1:3" x14ac:dyDescent="0.25">
      <c r="A715" t="s">
        <v>3253</v>
      </c>
      <c r="B715" t="s">
        <v>3254</v>
      </c>
      <c r="C715" t="s">
        <v>3253</v>
      </c>
    </row>
    <row r="716" spans="1:3" x14ac:dyDescent="0.25">
      <c r="A716" t="s">
        <v>3255</v>
      </c>
      <c r="B716" t="s">
        <v>3256</v>
      </c>
      <c r="C716" t="s">
        <v>3255</v>
      </c>
    </row>
    <row r="717" spans="1:3" x14ac:dyDescent="0.25">
      <c r="A717" t="s">
        <v>3257</v>
      </c>
      <c r="B717" t="s">
        <v>3258</v>
      </c>
      <c r="C717" t="s">
        <v>3257</v>
      </c>
    </row>
    <row r="718" spans="1:3" x14ac:dyDescent="0.25">
      <c r="A718" t="s">
        <v>3259</v>
      </c>
      <c r="B718" t="s">
        <v>3260</v>
      </c>
      <c r="C718" t="s">
        <v>3259</v>
      </c>
    </row>
    <row r="719" spans="1:3" x14ac:dyDescent="0.25">
      <c r="A719" t="s">
        <v>3261</v>
      </c>
      <c r="B719" t="s">
        <v>3262</v>
      </c>
      <c r="C719" t="s">
        <v>3261</v>
      </c>
    </row>
    <row r="720" spans="1:3" x14ac:dyDescent="0.25">
      <c r="A720" t="s">
        <v>3263</v>
      </c>
      <c r="B720" t="s">
        <v>3264</v>
      </c>
      <c r="C720" t="s">
        <v>3263</v>
      </c>
    </row>
    <row r="721" spans="1:3" x14ac:dyDescent="0.25">
      <c r="A721" t="s">
        <v>3265</v>
      </c>
      <c r="B721" t="s">
        <v>3266</v>
      </c>
      <c r="C721" t="s">
        <v>3265</v>
      </c>
    </row>
    <row r="722" spans="1:3" x14ac:dyDescent="0.25">
      <c r="A722" t="s">
        <v>3267</v>
      </c>
      <c r="B722" t="s">
        <v>3268</v>
      </c>
      <c r="C722" t="s">
        <v>3267</v>
      </c>
    </row>
    <row r="723" spans="1:3" x14ac:dyDescent="0.25">
      <c r="A723" t="s">
        <v>3269</v>
      </c>
      <c r="B723" t="s">
        <v>3270</v>
      </c>
      <c r="C723" t="s">
        <v>3269</v>
      </c>
    </row>
    <row r="724" spans="1:3" x14ac:dyDescent="0.25">
      <c r="A724" t="s">
        <v>3271</v>
      </c>
      <c r="B724" t="s">
        <v>3272</v>
      </c>
      <c r="C724" t="s">
        <v>3271</v>
      </c>
    </row>
    <row r="725" spans="1:3" x14ac:dyDescent="0.25">
      <c r="A725" t="s">
        <v>3273</v>
      </c>
      <c r="B725" t="s">
        <v>3274</v>
      </c>
      <c r="C725" t="s">
        <v>3273</v>
      </c>
    </row>
    <row r="726" spans="1:3" x14ac:dyDescent="0.25">
      <c r="A726" t="s">
        <v>3275</v>
      </c>
      <c r="B726" t="s">
        <v>3276</v>
      </c>
      <c r="C726" t="s">
        <v>3275</v>
      </c>
    </row>
    <row r="727" spans="1:3" x14ac:dyDescent="0.25">
      <c r="A727" t="s">
        <v>3277</v>
      </c>
      <c r="B727" t="s">
        <v>3278</v>
      </c>
      <c r="C727" t="s">
        <v>3277</v>
      </c>
    </row>
    <row r="728" spans="1:3" x14ac:dyDescent="0.25">
      <c r="A728" t="s">
        <v>3279</v>
      </c>
      <c r="B728" t="s">
        <v>3280</v>
      </c>
      <c r="C728" t="s">
        <v>3279</v>
      </c>
    </row>
    <row r="729" spans="1:3" x14ac:dyDescent="0.25">
      <c r="A729" t="s">
        <v>3281</v>
      </c>
      <c r="B729" t="s">
        <v>3282</v>
      </c>
      <c r="C729" t="s">
        <v>3281</v>
      </c>
    </row>
    <row r="730" spans="1:3" x14ac:dyDescent="0.25">
      <c r="A730" t="s">
        <v>3283</v>
      </c>
      <c r="B730" t="s">
        <v>3284</v>
      </c>
      <c r="C730" t="s">
        <v>3283</v>
      </c>
    </row>
    <row r="731" spans="1:3" x14ac:dyDescent="0.25">
      <c r="A731" t="s">
        <v>3285</v>
      </c>
      <c r="B731" t="s">
        <v>3286</v>
      </c>
      <c r="C731" t="s">
        <v>3285</v>
      </c>
    </row>
    <row r="732" spans="1:3" x14ac:dyDescent="0.25">
      <c r="A732" t="s">
        <v>3287</v>
      </c>
      <c r="B732" t="s">
        <v>3288</v>
      </c>
      <c r="C732" t="s">
        <v>3287</v>
      </c>
    </row>
    <row r="733" spans="1:3" x14ac:dyDescent="0.25">
      <c r="A733" t="s">
        <v>3289</v>
      </c>
      <c r="B733" t="s">
        <v>3290</v>
      </c>
      <c r="C733" t="s">
        <v>3289</v>
      </c>
    </row>
    <row r="734" spans="1:3" x14ac:dyDescent="0.25">
      <c r="A734" t="s">
        <v>3291</v>
      </c>
      <c r="B734" t="s">
        <v>3292</v>
      </c>
      <c r="C734" t="s">
        <v>3291</v>
      </c>
    </row>
    <row r="735" spans="1:3" x14ac:dyDescent="0.25">
      <c r="A735" t="s">
        <v>3293</v>
      </c>
      <c r="B735" t="s">
        <v>3294</v>
      </c>
      <c r="C735" t="s">
        <v>3293</v>
      </c>
    </row>
    <row r="736" spans="1:3" x14ac:dyDescent="0.25">
      <c r="A736" t="s">
        <v>3295</v>
      </c>
      <c r="B736" t="s">
        <v>3296</v>
      </c>
      <c r="C736" t="s">
        <v>3295</v>
      </c>
    </row>
    <row r="737" spans="1:3" x14ac:dyDescent="0.25">
      <c r="A737" t="s">
        <v>3297</v>
      </c>
      <c r="B737" t="s">
        <v>3298</v>
      </c>
      <c r="C737" t="s">
        <v>3297</v>
      </c>
    </row>
    <row r="738" spans="1:3" x14ac:dyDescent="0.25">
      <c r="A738" t="s">
        <v>3299</v>
      </c>
      <c r="B738" t="s">
        <v>3300</v>
      </c>
      <c r="C738" t="s">
        <v>3299</v>
      </c>
    </row>
    <row r="739" spans="1:3" x14ac:dyDescent="0.25">
      <c r="A739" t="s">
        <v>3301</v>
      </c>
      <c r="B739" t="s">
        <v>3302</v>
      </c>
      <c r="C739" t="s">
        <v>3301</v>
      </c>
    </row>
    <row r="740" spans="1:3" x14ac:dyDescent="0.25">
      <c r="A740" t="s">
        <v>3303</v>
      </c>
      <c r="B740" t="s">
        <v>3304</v>
      </c>
      <c r="C740" t="s">
        <v>3303</v>
      </c>
    </row>
    <row r="741" spans="1:3" x14ac:dyDescent="0.25">
      <c r="A741" t="s">
        <v>3305</v>
      </c>
      <c r="B741" t="s">
        <v>3306</v>
      </c>
      <c r="C741" t="s">
        <v>3305</v>
      </c>
    </row>
    <row r="742" spans="1:3" x14ac:dyDescent="0.25">
      <c r="A742" t="s">
        <v>3307</v>
      </c>
      <c r="B742" t="s">
        <v>3308</v>
      </c>
      <c r="C742" t="s">
        <v>3307</v>
      </c>
    </row>
    <row r="743" spans="1:3" x14ac:dyDescent="0.25">
      <c r="A743" t="s">
        <v>3309</v>
      </c>
      <c r="B743" t="s">
        <v>3310</v>
      </c>
      <c r="C743" t="s">
        <v>3309</v>
      </c>
    </row>
    <row r="744" spans="1:3" x14ac:dyDescent="0.25">
      <c r="A744" t="s">
        <v>3311</v>
      </c>
      <c r="B744" t="s">
        <v>3312</v>
      </c>
      <c r="C744" t="s">
        <v>3311</v>
      </c>
    </row>
    <row r="745" spans="1:3" x14ac:dyDescent="0.25">
      <c r="A745" t="s">
        <v>3313</v>
      </c>
      <c r="B745" t="s">
        <v>3314</v>
      </c>
      <c r="C745" t="s">
        <v>3313</v>
      </c>
    </row>
    <row r="746" spans="1:3" x14ac:dyDescent="0.25">
      <c r="A746" t="s">
        <v>3315</v>
      </c>
      <c r="B746" t="s">
        <v>3316</v>
      </c>
      <c r="C746" t="s">
        <v>3315</v>
      </c>
    </row>
    <row r="747" spans="1:3" x14ac:dyDescent="0.25">
      <c r="A747" t="s">
        <v>3317</v>
      </c>
      <c r="B747" t="s">
        <v>3318</v>
      </c>
      <c r="C747" t="s">
        <v>3317</v>
      </c>
    </row>
    <row r="748" spans="1:3" x14ac:dyDescent="0.25">
      <c r="A748" t="s">
        <v>3319</v>
      </c>
      <c r="B748" t="s">
        <v>3320</v>
      </c>
      <c r="C748" t="s">
        <v>3319</v>
      </c>
    </row>
    <row r="749" spans="1:3" x14ac:dyDescent="0.25">
      <c r="A749" t="s">
        <v>3321</v>
      </c>
      <c r="B749" t="s">
        <v>3322</v>
      </c>
      <c r="C749" t="s">
        <v>3321</v>
      </c>
    </row>
    <row r="750" spans="1:3" x14ac:dyDescent="0.25">
      <c r="A750" t="s">
        <v>3323</v>
      </c>
      <c r="B750" t="s">
        <v>3324</v>
      </c>
      <c r="C750" t="s">
        <v>3323</v>
      </c>
    </row>
    <row r="751" spans="1:3" x14ac:dyDescent="0.25">
      <c r="A751" t="s">
        <v>3325</v>
      </c>
      <c r="B751" t="s">
        <v>3326</v>
      </c>
      <c r="C751" t="s">
        <v>3325</v>
      </c>
    </row>
    <row r="752" spans="1:3" x14ac:dyDescent="0.25">
      <c r="A752" t="s">
        <v>3327</v>
      </c>
      <c r="B752" t="s">
        <v>3328</v>
      </c>
      <c r="C752" t="s">
        <v>3327</v>
      </c>
    </row>
    <row r="753" spans="1:3" x14ac:dyDescent="0.25">
      <c r="A753" t="s">
        <v>3329</v>
      </c>
      <c r="B753" t="s">
        <v>3330</v>
      </c>
      <c r="C753" t="s">
        <v>3329</v>
      </c>
    </row>
    <row r="754" spans="1:3" x14ac:dyDescent="0.25">
      <c r="A754" t="s">
        <v>3331</v>
      </c>
      <c r="B754" t="s">
        <v>3332</v>
      </c>
      <c r="C754" t="s">
        <v>3331</v>
      </c>
    </row>
    <row r="755" spans="1:3" x14ac:dyDescent="0.25">
      <c r="A755" t="s">
        <v>3333</v>
      </c>
      <c r="B755" t="s">
        <v>3334</v>
      </c>
      <c r="C755" t="s">
        <v>3333</v>
      </c>
    </row>
    <row r="756" spans="1:3" x14ac:dyDescent="0.25">
      <c r="A756" t="s">
        <v>3335</v>
      </c>
      <c r="B756" t="s">
        <v>3336</v>
      </c>
      <c r="C756" t="s">
        <v>3335</v>
      </c>
    </row>
    <row r="757" spans="1:3" x14ac:dyDescent="0.25">
      <c r="A757" t="s">
        <v>3337</v>
      </c>
      <c r="B757" t="s">
        <v>3338</v>
      </c>
      <c r="C757" t="s">
        <v>3337</v>
      </c>
    </row>
    <row r="758" spans="1:3" x14ac:dyDescent="0.25">
      <c r="A758" t="s">
        <v>3339</v>
      </c>
      <c r="B758" t="s">
        <v>3340</v>
      </c>
      <c r="C758" t="s">
        <v>3339</v>
      </c>
    </row>
    <row r="759" spans="1:3" x14ac:dyDescent="0.25">
      <c r="A759" t="s">
        <v>3341</v>
      </c>
      <c r="B759" t="s">
        <v>3342</v>
      </c>
      <c r="C759" t="s">
        <v>3341</v>
      </c>
    </row>
    <row r="760" spans="1:3" x14ac:dyDescent="0.25">
      <c r="A760" t="s">
        <v>3343</v>
      </c>
      <c r="B760" t="s">
        <v>3344</v>
      </c>
      <c r="C760" t="s">
        <v>3343</v>
      </c>
    </row>
    <row r="761" spans="1:3" x14ac:dyDescent="0.25">
      <c r="A761" t="s">
        <v>3345</v>
      </c>
      <c r="B761" t="s">
        <v>3346</v>
      </c>
      <c r="C761" t="s">
        <v>3345</v>
      </c>
    </row>
    <row r="762" spans="1:3" x14ac:dyDescent="0.25">
      <c r="A762" t="s">
        <v>3347</v>
      </c>
      <c r="B762" t="s">
        <v>3348</v>
      </c>
      <c r="C762" t="s">
        <v>3347</v>
      </c>
    </row>
    <row r="763" spans="1:3" x14ac:dyDescent="0.25">
      <c r="A763" t="s">
        <v>3349</v>
      </c>
      <c r="B763" t="s">
        <v>3350</v>
      </c>
      <c r="C763" t="s">
        <v>3349</v>
      </c>
    </row>
    <row r="764" spans="1:3" x14ac:dyDescent="0.25">
      <c r="A764" t="s">
        <v>3351</v>
      </c>
      <c r="B764" t="s">
        <v>3352</v>
      </c>
      <c r="C764" t="s">
        <v>3351</v>
      </c>
    </row>
    <row r="765" spans="1:3" x14ac:dyDescent="0.25">
      <c r="A765" t="s">
        <v>3353</v>
      </c>
      <c r="B765" t="s">
        <v>3354</v>
      </c>
      <c r="C765" t="s">
        <v>3353</v>
      </c>
    </row>
    <row r="766" spans="1:3" x14ac:dyDescent="0.25">
      <c r="A766" t="s">
        <v>3355</v>
      </c>
      <c r="B766" t="s">
        <v>3356</v>
      </c>
      <c r="C766" t="s">
        <v>3355</v>
      </c>
    </row>
    <row r="767" spans="1:3" x14ac:dyDescent="0.25">
      <c r="A767" t="s">
        <v>3357</v>
      </c>
      <c r="B767" t="s">
        <v>3358</v>
      </c>
      <c r="C767" t="s">
        <v>3357</v>
      </c>
    </row>
    <row r="768" spans="1:3" x14ac:dyDescent="0.25">
      <c r="A768" t="s">
        <v>3359</v>
      </c>
      <c r="B768" t="s">
        <v>3360</v>
      </c>
      <c r="C768" t="s">
        <v>3359</v>
      </c>
    </row>
    <row r="769" spans="1:3" x14ac:dyDescent="0.25">
      <c r="A769" t="s">
        <v>3361</v>
      </c>
      <c r="B769" t="s">
        <v>3362</v>
      </c>
      <c r="C769" t="s">
        <v>3361</v>
      </c>
    </row>
    <row r="770" spans="1:3" x14ac:dyDescent="0.25">
      <c r="A770" t="s">
        <v>3363</v>
      </c>
      <c r="B770" t="s">
        <v>3364</v>
      </c>
      <c r="C770" t="s">
        <v>3363</v>
      </c>
    </row>
    <row r="771" spans="1:3" x14ac:dyDescent="0.25">
      <c r="A771" t="s">
        <v>3365</v>
      </c>
      <c r="B771" t="s">
        <v>3366</v>
      </c>
      <c r="C771" t="s">
        <v>3365</v>
      </c>
    </row>
    <row r="772" spans="1:3" x14ac:dyDescent="0.25">
      <c r="A772" t="s">
        <v>3367</v>
      </c>
      <c r="B772" t="s">
        <v>3368</v>
      </c>
      <c r="C772" t="s">
        <v>3367</v>
      </c>
    </row>
    <row r="773" spans="1:3" x14ac:dyDescent="0.25">
      <c r="A773" t="s">
        <v>3369</v>
      </c>
      <c r="B773" t="s">
        <v>3370</v>
      </c>
      <c r="C773" t="s">
        <v>3369</v>
      </c>
    </row>
    <row r="774" spans="1:3" x14ac:dyDescent="0.25">
      <c r="A774" t="s">
        <v>3371</v>
      </c>
      <c r="B774" t="s">
        <v>3372</v>
      </c>
      <c r="C774" t="s">
        <v>3371</v>
      </c>
    </row>
    <row r="775" spans="1:3" x14ac:dyDescent="0.25">
      <c r="A775" t="s">
        <v>3373</v>
      </c>
      <c r="B775" t="s">
        <v>3374</v>
      </c>
      <c r="C775" t="s">
        <v>3373</v>
      </c>
    </row>
    <row r="776" spans="1:3" x14ac:dyDescent="0.25">
      <c r="A776" t="s">
        <v>3375</v>
      </c>
      <c r="B776" t="s">
        <v>3376</v>
      </c>
      <c r="C776" t="s">
        <v>3375</v>
      </c>
    </row>
    <row r="777" spans="1:3" x14ac:dyDescent="0.25">
      <c r="A777" t="s">
        <v>3377</v>
      </c>
      <c r="B777" t="s">
        <v>3378</v>
      </c>
      <c r="C777" t="s">
        <v>3377</v>
      </c>
    </row>
    <row r="778" spans="1:3" x14ac:dyDescent="0.25">
      <c r="A778" t="s">
        <v>3379</v>
      </c>
      <c r="B778" t="s">
        <v>3380</v>
      </c>
      <c r="C778" t="s">
        <v>3379</v>
      </c>
    </row>
    <row r="779" spans="1:3" x14ac:dyDescent="0.25">
      <c r="A779" t="s">
        <v>3381</v>
      </c>
      <c r="B779" t="s">
        <v>3382</v>
      </c>
      <c r="C779" t="s">
        <v>3381</v>
      </c>
    </row>
    <row r="780" spans="1:3" x14ac:dyDescent="0.25">
      <c r="A780" t="s">
        <v>3383</v>
      </c>
      <c r="B780" t="s">
        <v>3384</v>
      </c>
      <c r="C780" t="s">
        <v>3383</v>
      </c>
    </row>
    <row r="781" spans="1:3" x14ac:dyDescent="0.25">
      <c r="A781" t="s">
        <v>3385</v>
      </c>
      <c r="B781" t="s">
        <v>3386</v>
      </c>
      <c r="C781" t="s">
        <v>3385</v>
      </c>
    </row>
    <row r="782" spans="1:3" x14ac:dyDescent="0.25">
      <c r="A782" t="s">
        <v>3387</v>
      </c>
      <c r="B782" t="s">
        <v>3388</v>
      </c>
      <c r="C782" t="s">
        <v>3387</v>
      </c>
    </row>
    <row r="783" spans="1:3" x14ac:dyDescent="0.25">
      <c r="A783" t="s">
        <v>3389</v>
      </c>
      <c r="B783" t="s">
        <v>3390</v>
      </c>
      <c r="C783" t="s">
        <v>3389</v>
      </c>
    </row>
    <row r="784" spans="1:3" x14ac:dyDescent="0.25">
      <c r="A784" t="s">
        <v>3391</v>
      </c>
      <c r="B784" t="s">
        <v>3392</v>
      </c>
      <c r="C784" t="s">
        <v>3391</v>
      </c>
    </row>
    <row r="785" spans="1:3" x14ac:dyDescent="0.25">
      <c r="A785" t="s">
        <v>3393</v>
      </c>
      <c r="B785" t="s">
        <v>3394</v>
      </c>
      <c r="C785" t="s">
        <v>3393</v>
      </c>
    </row>
    <row r="786" spans="1:3" x14ac:dyDescent="0.25">
      <c r="A786" t="s">
        <v>3395</v>
      </c>
      <c r="B786" t="s">
        <v>3396</v>
      </c>
      <c r="C786" t="s">
        <v>3395</v>
      </c>
    </row>
    <row r="787" spans="1:3" x14ac:dyDescent="0.25">
      <c r="A787" t="s">
        <v>3397</v>
      </c>
      <c r="B787" t="s">
        <v>3398</v>
      </c>
      <c r="C787" t="s">
        <v>3397</v>
      </c>
    </row>
    <row r="788" spans="1:3" x14ac:dyDescent="0.25">
      <c r="A788" t="s">
        <v>3399</v>
      </c>
      <c r="B788" t="s">
        <v>3400</v>
      </c>
      <c r="C788" t="s">
        <v>3399</v>
      </c>
    </row>
    <row r="789" spans="1:3" x14ac:dyDescent="0.25">
      <c r="A789" t="s">
        <v>3401</v>
      </c>
      <c r="B789" t="s">
        <v>3402</v>
      </c>
      <c r="C789" t="s">
        <v>3401</v>
      </c>
    </row>
    <row r="790" spans="1:3" x14ac:dyDescent="0.25">
      <c r="A790" t="s">
        <v>3403</v>
      </c>
      <c r="B790" t="s">
        <v>3404</v>
      </c>
      <c r="C790" t="s">
        <v>3403</v>
      </c>
    </row>
    <row r="791" spans="1:3" x14ac:dyDescent="0.25">
      <c r="A791" t="s">
        <v>3405</v>
      </c>
      <c r="B791" t="s">
        <v>3406</v>
      </c>
      <c r="C791" t="s">
        <v>3405</v>
      </c>
    </row>
    <row r="792" spans="1:3" x14ac:dyDescent="0.25">
      <c r="A792" t="s">
        <v>3407</v>
      </c>
      <c r="B792" t="s">
        <v>3408</v>
      </c>
      <c r="C792" t="s">
        <v>3407</v>
      </c>
    </row>
    <row r="793" spans="1:3" x14ac:dyDescent="0.25">
      <c r="A793" t="s">
        <v>3409</v>
      </c>
      <c r="B793" t="s">
        <v>3410</v>
      </c>
      <c r="C793" t="s">
        <v>3409</v>
      </c>
    </row>
    <row r="794" spans="1:3" x14ac:dyDescent="0.25">
      <c r="A794" t="s">
        <v>3411</v>
      </c>
      <c r="B794" t="s">
        <v>3412</v>
      </c>
      <c r="C794" t="s">
        <v>3411</v>
      </c>
    </row>
    <row r="795" spans="1:3" x14ac:dyDescent="0.25">
      <c r="A795" t="s">
        <v>859</v>
      </c>
      <c r="B795" t="s">
        <v>3413</v>
      </c>
      <c r="C795" t="s">
        <v>859</v>
      </c>
    </row>
    <row r="796" spans="1:3" x14ac:dyDescent="0.25">
      <c r="A796" t="s">
        <v>44</v>
      </c>
      <c r="B796" t="s">
        <v>2053</v>
      </c>
      <c r="C796" t="s">
        <v>44</v>
      </c>
    </row>
    <row r="797" spans="1:3" x14ac:dyDescent="0.25">
      <c r="A797" t="s">
        <v>726</v>
      </c>
      <c r="B797" t="s">
        <v>3414</v>
      </c>
      <c r="C797" t="s">
        <v>726</v>
      </c>
    </row>
    <row r="798" spans="1:3" x14ac:dyDescent="0.25">
      <c r="A798" t="s">
        <v>3415</v>
      </c>
      <c r="B798" t="s">
        <v>3416</v>
      </c>
      <c r="C798" t="s">
        <v>3415</v>
      </c>
    </row>
    <row r="799" spans="1:3" x14ac:dyDescent="0.25">
      <c r="A799" t="s">
        <v>249</v>
      </c>
      <c r="B799" t="s">
        <v>2093</v>
      </c>
      <c r="C799" t="s">
        <v>249</v>
      </c>
    </row>
    <row r="800" spans="1:3" x14ac:dyDescent="0.25">
      <c r="A800" t="s">
        <v>251</v>
      </c>
      <c r="B800" t="s">
        <v>2094</v>
      </c>
      <c r="C800" t="s">
        <v>251</v>
      </c>
    </row>
    <row r="801" spans="1:3" x14ac:dyDescent="0.25">
      <c r="A801" t="s">
        <v>539</v>
      </c>
      <c r="B801" t="s">
        <v>1864</v>
      </c>
      <c r="C801" t="s">
        <v>539</v>
      </c>
    </row>
    <row r="802" spans="1:3" x14ac:dyDescent="0.25">
      <c r="A802" t="s">
        <v>3417</v>
      </c>
      <c r="B802" t="s">
        <v>3418</v>
      </c>
      <c r="C802" t="s">
        <v>3417</v>
      </c>
    </row>
    <row r="803" spans="1:3" x14ac:dyDescent="0.25">
      <c r="A803" t="s">
        <v>253</v>
      </c>
      <c r="B803" t="s">
        <v>3419</v>
      </c>
      <c r="C803" t="s">
        <v>253</v>
      </c>
    </row>
    <row r="804" spans="1:3" x14ac:dyDescent="0.25">
      <c r="A804" t="s">
        <v>255</v>
      </c>
      <c r="B804" t="s">
        <v>1996</v>
      </c>
      <c r="C804" t="s">
        <v>255</v>
      </c>
    </row>
    <row r="805" spans="1:3" x14ac:dyDescent="0.25">
      <c r="A805" t="s">
        <v>543</v>
      </c>
      <c r="B805" t="s">
        <v>3420</v>
      </c>
      <c r="C805" t="s">
        <v>543</v>
      </c>
    </row>
    <row r="806" spans="1:3" x14ac:dyDescent="0.25">
      <c r="A806" t="s">
        <v>3421</v>
      </c>
      <c r="B806" t="s">
        <v>3422</v>
      </c>
      <c r="C806" t="s">
        <v>3421</v>
      </c>
    </row>
    <row r="807" spans="1:3" x14ac:dyDescent="0.25">
      <c r="A807" t="s">
        <v>3423</v>
      </c>
      <c r="B807" t="s">
        <v>3424</v>
      </c>
      <c r="C807" t="s">
        <v>3423</v>
      </c>
    </row>
    <row r="808" spans="1:3" x14ac:dyDescent="0.25">
      <c r="A808" t="s">
        <v>75</v>
      </c>
      <c r="B808" t="s">
        <v>3425</v>
      </c>
      <c r="C808" t="s">
        <v>75</v>
      </c>
    </row>
    <row r="809" spans="1:3" x14ac:dyDescent="0.25">
      <c r="A809" t="s">
        <v>3426</v>
      </c>
      <c r="B809" t="s">
        <v>3427</v>
      </c>
      <c r="C809" t="s">
        <v>3426</v>
      </c>
    </row>
    <row r="810" spans="1:3" x14ac:dyDescent="0.25">
      <c r="A810" t="s">
        <v>3428</v>
      </c>
      <c r="B810" t="s">
        <v>3429</v>
      </c>
      <c r="C810" t="s">
        <v>3428</v>
      </c>
    </row>
    <row r="811" spans="1:3" x14ac:dyDescent="0.25">
      <c r="A811" t="s">
        <v>3430</v>
      </c>
      <c r="B811" t="s">
        <v>3431</v>
      </c>
      <c r="C811" t="s">
        <v>3430</v>
      </c>
    </row>
    <row r="812" spans="1:3" x14ac:dyDescent="0.25">
      <c r="A812" t="s">
        <v>3432</v>
      </c>
      <c r="B812" t="s">
        <v>3433</v>
      </c>
      <c r="C812" t="s">
        <v>3432</v>
      </c>
    </row>
    <row r="813" spans="1:3" x14ac:dyDescent="0.25">
      <c r="A813" t="s">
        <v>3434</v>
      </c>
      <c r="B813" t="s">
        <v>3435</v>
      </c>
      <c r="C813" t="s">
        <v>3434</v>
      </c>
    </row>
    <row r="814" spans="1:3" x14ac:dyDescent="0.25">
      <c r="A814" t="s">
        <v>3436</v>
      </c>
      <c r="B814" t="s">
        <v>3437</v>
      </c>
      <c r="C814" t="s">
        <v>3436</v>
      </c>
    </row>
    <row r="815" spans="1:3" x14ac:dyDescent="0.25">
      <c r="A815" t="s">
        <v>3438</v>
      </c>
      <c r="B815" t="s">
        <v>3439</v>
      </c>
      <c r="C815" t="s">
        <v>3438</v>
      </c>
    </row>
    <row r="816" spans="1:3" x14ac:dyDescent="0.25">
      <c r="A816" t="s">
        <v>762</v>
      </c>
      <c r="B816" t="s">
        <v>1982</v>
      </c>
      <c r="C816" t="s">
        <v>762</v>
      </c>
    </row>
    <row r="817" spans="1:3" x14ac:dyDescent="0.25">
      <c r="A817" t="s">
        <v>764</v>
      </c>
      <c r="B817" t="s">
        <v>2071</v>
      </c>
      <c r="C817" t="s">
        <v>764</v>
      </c>
    </row>
    <row r="818" spans="1:3" x14ac:dyDescent="0.25">
      <c r="A818" t="s">
        <v>881</v>
      </c>
      <c r="B818" t="s">
        <v>1986</v>
      </c>
      <c r="C818" t="s">
        <v>881</v>
      </c>
    </row>
    <row r="819" spans="1:3" x14ac:dyDescent="0.25">
      <c r="A819" t="s">
        <v>3440</v>
      </c>
      <c r="B819" t="s">
        <v>3441</v>
      </c>
      <c r="C819" t="s">
        <v>3440</v>
      </c>
    </row>
    <row r="820" spans="1:3" x14ac:dyDescent="0.25">
      <c r="A820" t="s">
        <v>3442</v>
      </c>
      <c r="B820" t="s">
        <v>3443</v>
      </c>
      <c r="C820" t="s">
        <v>3442</v>
      </c>
    </row>
    <row r="821" spans="1:3" x14ac:dyDescent="0.25">
      <c r="A821" t="s">
        <v>3444</v>
      </c>
      <c r="B821" t="s">
        <v>3445</v>
      </c>
      <c r="C821" t="s">
        <v>3444</v>
      </c>
    </row>
    <row r="822" spans="1:3" x14ac:dyDescent="0.25">
      <c r="A822" t="s">
        <v>205</v>
      </c>
      <c r="B822" t="s">
        <v>1960</v>
      </c>
      <c r="C822" t="s">
        <v>205</v>
      </c>
    </row>
    <row r="823" spans="1:3" x14ac:dyDescent="0.25">
      <c r="A823" t="s">
        <v>3446</v>
      </c>
      <c r="B823" t="s">
        <v>3447</v>
      </c>
      <c r="C823" t="s">
        <v>3446</v>
      </c>
    </row>
    <row r="824" spans="1:3" x14ac:dyDescent="0.25">
      <c r="A824" t="s">
        <v>553</v>
      </c>
      <c r="B824" t="s">
        <v>1949</v>
      </c>
      <c r="C824" t="s">
        <v>553</v>
      </c>
    </row>
    <row r="825" spans="1:3" x14ac:dyDescent="0.25">
      <c r="A825" t="s">
        <v>3448</v>
      </c>
      <c r="B825" t="s">
        <v>3449</v>
      </c>
      <c r="C825" t="s">
        <v>3448</v>
      </c>
    </row>
    <row r="826" spans="1:3" x14ac:dyDescent="0.25">
      <c r="A826" t="s">
        <v>3450</v>
      </c>
      <c r="B826" t="s">
        <v>3451</v>
      </c>
      <c r="C826" t="s">
        <v>3450</v>
      </c>
    </row>
    <row r="827" spans="1:3" x14ac:dyDescent="0.25">
      <c r="A827" t="s">
        <v>3452</v>
      </c>
      <c r="B827" t="s">
        <v>3453</v>
      </c>
      <c r="C827" t="s">
        <v>3452</v>
      </c>
    </row>
    <row r="828" spans="1:3" x14ac:dyDescent="0.25">
      <c r="A828" t="s">
        <v>3454</v>
      </c>
      <c r="B828" t="s">
        <v>3455</v>
      </c>
      <c r="C828" t="s">
        <v>3454</v>
      </c>
    </row>
    <row r="829" spans="1:3" x14ac:dyDescent="0.25">
      <c r="A829" t="s">
        <v>3456</v>
      </c>
      <c r="B829" t="s">
        <v>3457</v>
      </c>
      <c r="C829" t="s">
        <v>3456</v>
      </c>
    </row>
    <row r="830" spans="1:3" x14ac:dyDescent="0.25">
      <c r="A830" t="s">
        <v>3458</v>
      </c>
      <c r="B830" t="s">
        <v>3459</v>
      </c>
      <c r="C830" t="s">
        <v>3458</v>
      </c>
    </row>
    <row r="831" spans="1:3" x14ac:dyDescent="0.25">
      <c r="A831" t="s">
        <v>3460</v>
      </c>
      <c r="B831" t="s">
        <v>3461</v>
      </c>
      <c r="C831" t="s">
        <v>3460</v>
      </c>
    </row>
    <row r="832" spans="1:3" x14ac:dyDescent="0.25">
      <c r="A832" t="s">
        <v>3462</v>
      </c>
      <c r="B832" t="s">
        <v>3463</v>
      </c>
      <c r="C832" t="s">
        <v>3462</v>
      </c>
    </row>
    <row r="833" spans="1:3" x14ac:dyDescent="0.25">
      <c r="A833" t="s">
        <v>3464</v>
      </c>
      <c r="B833" t="s">
        <v>3465</v>
      </c>
      <c r="C833" t="s">
        <v>3464</v>
      </c>
    </row>
    <row r="834" spans="1:3" x14ac:dyDescent="0.25">
      <c r="A834" t="s">
        <v>3466</v>
      </c>
      <c r="B834" t="s">
        <v>3467</v>
      </c>
      <c r="C834" t="s">
        <v>3466</v>
      </c>
    </row>
    <row r="835" spans="1:3" x14ac:dyDescent="0.25">
      <c r="A835" t="s">
        <v>485</v>
      </c>
      <c r="B835" t="s">
        <v>2126</v>
      </c>
      <c r="C835" t="s">
        <v>485</v>
      </c>
    </row>
    <row r="836" spans="1:3" x14ac:dyDescent="0.25">
      <c r="A836" t="s">
        <v>3468</v>
      </c>
      <c r="B836" t="s">
        <v>3469</v>
      </c>
      <c r="C836" t="s">
        <v>3468</v>
      </c>
    </row>
    <row r="837" spans="1:3" x14ac:dyDescent="0.25">
      <c r="A837" t="s">
        <v>3470</v>
      </c>
      <c r="B837" t="s">
        <v>3471</v>
      </c>
      <c r="C837" t="s">
        <v>3470</v>
      </c>
    </row>
    <row r="838" spans="1:3" x14ac:dyDescent="0.25">
      <c r="A838" t="s">
        <v>3472</v>
      </c>
      <c r="B838" t="s">
        <v>3473</v>
      </c>
      <c r="C838" t="s">
        <v>3472</v>
      </c>
    </row>
    <row r="839" spans="1:3" x14ac:dyDescent="0.25">
      <c r="A839" t="s">
        <v>3474</v>
      </c>
      <c r="B839" t="s">
        <v>3475</v>
      </c>
      <c r="C839" t="s">
        <v>3474</v>
      </c>
    </row>
    <row r="840" spans="1:3" x14ac:dyDescent="0.25">
      <c r="A840" t="s">
        <v>3476</v>
      </c>
      <c r="B840" t="s">
        <v>3477</v>
      </c>
      <c r="C840" t="s">
        <v>3476</v>
      </c>
    </row>
    <row r="841" spans="1:3" x14ac:dyDescent="0.25">
      <c r="A841" t="s">
        <v>90</v>
      </c>
      <c r="B841" t="s">
        <v>2097</v>
      </c>
      <c r="C841" t="s">
        <v>90</v>
      </c>
    </row>
    <row r="842" spans="1:3" x14ac:dyDescent="0.25">
      <c r="A842" t="s">
        <v>897</v>
      </c>
      <c r="B842" t="s">
        <v>1961</v>
      </c>
      <c r="C842" t="s">
        <v>897</v>
      </c>
    </row>
    <row r="843" spans="1:3" x14ac:dyDescent="0.25">
      <c r="A843" t="s">
        <v>1812</v>
      </c>
      <c r="B843" t="s">
        <v>2040</v>
      </c>
      <c r="C843" t="s">
        <v>1812</v>
      </c>
    </row>
    <row r="844" spans="1:3" x14ac:dyDescent="0.25">
      <c r="A844" t="s">
        <v>3478</v>
      </c>
      <c r="B844" t="s">
        <v>3479</v>
      </c>
      <c r="C844" t="s">
        <v>3478</v>
      </c>
    </row>
    <row r="845" spans="1:3" x14ac:dyDescent="0.25">
      <c r="A845" t="s">
        <v>3480</v>
      </c>
      <c r="B845" t="s">
        <v>3481</v>
      </c>
      <c r="C845" t="s">
        <v>3480</v>
      </c>
    </row>
    <row r="846" spans="1:3" x14ac:dyDescent="0.25">
      <c r="A846" t="s">
        <v>3482</v>
      </c>
      <c r="B846" t="s">
        <v>3483</v>
      </c>
      <c r="C846" t="s">
        <v>3482</v>
      </c>
    </row>
    <row r="847" spans="1:3" x14ac:dyDescent="0.25">
      <c r="A847" t="s">
        <v>3484</v>
      </c>
      <c r="B847" t="s">
        <v>3485</v>
      </c>
      <c r="C847" t="s">
        <v>3484</v>
      </c>
    </row>
    <row r="848" spans="1:3" x14ac:dyDescent="0.25">
      <c r="A848" t="s">
        <v>3486</v>
      </c>
      <c r="B848" t="s">
        <v>3487</v>
      </c>
      <c r="C848" t="s">
        <v>3486</v>
      </c>
    </row>
    <row r="849" spans="1:3" x14ac:dyDescent="0.25">
      <c r="A849" t="s">
        <v>719</v>
      </c>
      <c r="B849" t="s">
        <v>3488</v>
      </c>
      <c r="C849" t="s">
        <v>719</v>
      </c>
    </row>
    <row r="850" spans="1:3" x14ac:dyDescent="0.25">
      <c r="A850" t="s">
        <v>720</v>
      </c>
      <c r="B850" t="s">
        <v>3489</v>
      </c>
      <c r="C850" t="s">
        <v>720</v>
      </c>
    </row>
    <row r="851" spans="1:3" x14ac:dyDescent="0.25">
      <c r="A851" t="s">
        <v>3490</v>
      </c>
      <c r="B851" t="s">
        <v>3491</v>
      </c>
      <c r="C851" t="s">
        <v>3490</v>
      </c>
    </row>
    <row r="852" spans="1:3" x14ac:dyDescent="0.25">
      <c r="A852" t="s">
        <v>3492</v>
      </c>
      <c r="B852" t="s">
        <v>3493</v>
      </c>
      <c r="C852" t="s">
        <v>3492</v>
      </c>
    </row>
    <row r="853" spans="1:3" x14ac:dyDescent="0.25">
      <c r="A853" t="s">
        <v>3494</v>
      </c>
      <c r="B853" t="s">
        <v>3495</v>
      </c>
      <c r="C853" t="s">
        <v>3494</v>
      </c>
    </row>
    <row r="854" spans="1:3" x14ac:dyDescent="0.25">
      <c r="A854" t="s">
        <v>3496</v>
      </c>
      <c r="B854" t="s">
        <v>3497</v>
      </c>
      <c r="C854" t="s">
        <v>3496</v>
      </c>
    </row>
    <row r="855" spans="1:3" x14ac:dyDescent="0.25">
      <c r="A855" t="s">
        <v>933</v>
      </c>
      <c r="B855" t="s">
        <v>2128</v>
      </c>
      <c r="C855" t="s">
        <v>933</v>
      </c>
    </row>
    <row r="856" spans="1:3" x14ac:dyDescent="0.25">
      <c r="A856" t="s">
        <v>451</v>
      </c>
      <c r="B856" t="s">
        <v>3498</v>
      </c>
      <c r="C856" t="s">
        <v>451</v>
      </c>
    </row>
    <row r="857" spans="1:3" x14ac:dyDescent="0.25">
      <c r="A857" t="s">
        <v>3499</v>
      </c>
      <c r="B857" t="s">
        <v>3500</v>
      </c>
      <c r="C857" t="s">
        <v>3499</v>
      </c>
    </row>
    <row r="858" spans="1:3" x14ac:dyDescent="0.25">
      <c r="A858" t="s">
        <v>797</v>
      </c>
      <c r="B858" t="s">
        <v>2103</v>
      </c>
      <c r="C858" t="s">
        <v>797</v>
      </c>
    </row>
    <row r="859" spans="1:3" x14ac:dyDescent="0.25">
      <c r="A859" t="s">
        <v>126</v>
      </c>
      <c r="B859" t="s">
        <v>3501</v>
      </c>
      <c r="C859" t="s">
        <v>126</v>
      </c>
    </row>
    <row r="860" spans="1:3" x14ac:dyDescent="0.25">
      <c r="A860" t="s">
        <v>3502</v>
      </c>
      <c r="B860" t="s">
        <v>3503</v>
      </c>
      <c r="C860" t="s">
        <v>3502</v>
      </c>
    </row>
    <row r="861" spans="1:3" x14ac:dyDescent="0.25">
      <c r="A861" t="s">
        <v>3504</v>
      </c>
      <c r="B861" t="s">
        <v>3505</v>
      </c>
      <c r="C861" t="s">
        <v>3504</v>
      </c>
    </row>
    <row r="862" spans="1:3" x14ac:dyDescent="0.25">
      <c r="A862" t="s">
        <v>3506</v>
      </c>
      <c r="B862" t="s">
        <v>3507</v>
      </c>
      <c r="C862" t="s">
        <v>3506</v>
      </c>
    </row>
    <row r="863" spans="1:3" x14ac:dyDescent="0.25">
      <c r="A863" t="s">
        <v>96</v>
      </c>
      <c r="B863" t="s">
        <v>3508</v>
      </c>
      <c r="C863" t="s">
        <v>96</v>
      </c>
    </row>
    <row r="864" spans="1:3" x14ac:dyDescent="0.25">
      <c r="A864" t="s">
        <v>500</v>
      </c>
      <c r="B864" t="s">
        <v>3509</v>
      </c>
      <c r="C864" t="s">
        <v>500</v>
      </c>
    </row>
    <row r="865" spans="1:3" x14ac:dyDescent="0.25">
      <c r="A865" t="s">
        <v>3510</v>
      </c>
      <c r="B865" t="s">
        <v>3511</v>
      </c>
      <c r="C865" t="s">
        <v>3510</v>
      </c>
    </row>
    <row r="866" spans="1:3" x14ac:dyDescent="0.25">
      <c r="A866" t="s">
        <v>802</v>
      </c>
      <c r="B866" t="s">
        <v>2113</v>
      </c>
      <c r="C866" t="s">
        <v>802</v>
      </c>
    </row>
    <row r="867" spans="1:3" x14ac:dyDescent="0.25">
      <c r="A867" t="s">
        <v>3512</v>
      </c>
      <c r="B867" t="s">
        <v>3513</v>
      </c>
      <c r="C867" t="s">
        <v>3512</v>
      </c>
    </row>
    <row r="868" spans="1:3" x14ac:dyDescent="0.25">
      <c r="A868" t="s">
        <v>804</v>
      </c>
      <c r="B868" t="s">
        <v>2114</v>
      </c>
      <c r="C868" t="s">
        <v>804</v>
      </c>
    </row>
    <row r="869" spans="1:3" x14ac:dyDescent="0.25">
      <c r="A869" t="s">
        <v>800</v>
      </c>
      <c r="B869" t="s">
        <v>2112</v>
      </c>
      <c r="C869" t="s">
        <v>800</v>
      </c>
    </row>
    <row r="870" spans="1:3" x14ac:dyDescent="0.25">
      <c r="A870" t="s">
        <v>806</v>
      </c>
      <c r="B870" t="s">
        <v>2115</v>
      </c>
      <c r="C870" t="s">
        <v>806</v>
      </c>
    </row>
    <row r="871" spans="1:3" x14ac:dyDescent="0.25">
      <c r="A871" t="s">
        <v>808</v>
      </c>
      <c r="B871" t="s">
        <v>2116</v>
      </c>
      <c r="C871" t="s">
        <v>808</v>
      </c>
    </row>
    <row r="872" spans="1:3" x14ac:dyDescent="0.25">
      <c r="A872" t="s">
        <v>83</v>
      </c>
      <c r="B872" t="s">
        <v>3514</v>
      </c>
      <c r="C872" t="s">
        <v>83</v>
      </c>
    </row>
    <row r="873" spans="1:3" x14ac:dyDescent="0.25">
      <c r="A873" t="s">
        <v>977</v>
      </c>
      <c r="B873" t="s">
        <v>3515</v>
      </c>
      <c r="C873" t="s">
        <v>977</v>
      </c>
    </row>
    <row r="874" spans="1:3" x14ac:dyDescent="0.25">
      <c r="A874" t="s">
        <v>810</v>
      </c>
      <c r="B874" t="s">
        <v>2119</v>
      </c>
      <c r="C874" t="s">
        <v>810</v>
      </c>
    </row>
    <row r="875" spans="1:3" x14ac:dyDescent="0.25">
      <c r="A875" t="s">
        <v>795</v>
      </c>
      <c r="B875" t="s">
        <v>2102</v>
      </c>
      <c r="C875" t="s">
        <v>795</v>
      </c>
    </row>
    <row r="876" spans="1:3" x14ac:dyDescent="0.25">
      <c r="A876" t="s">
        <v>97</v>
      </c>
      <c r="B876" t="s">
        <v>2008</v>
      </c>
      <c r="C876" t="s">
        <v>97</v>
      </c>
    </row>
    <row r="877" spans="1:3" x14ac:dyDescent="0.25">
      <c r="A877" t="s">
        <v>927</v>
      </c>
      <c r="B877" t="s">
        <v>2118</v>
      </c>
      <c r="C877" t="s">
        <v>927</v>
      </c>
    </row>
    <row r="878" spans="1:3" x14ac:dyDescent="0.25">
      <c r="A878" t="s">
        <v>925</v>
      </c>
      <c r="B878" t="s">
        <v>2117</v>
      </c>
      <c r="C878" t="s">
        <v>925</v>
      </c>
    </row>
    <row r="879" spans="1:3" x14ac:dyDescent="0.25">
      <c r="A879" t="s">
        <v>3516</v>
      </c>
      <c r="B879" t="s">
        <v>3517</v>
      </c>
      <c r="C879" t="s">
        <v>3516</v>
      </c>
    </row>
    <row r="880" spans="1:3" x14ac:dyDescent="0.25">
      <c r="A880" t="s">
        <v>88</v>
      </c>
      <c r="B880" t="s">
        <v>3518</v>
      </c>
      <c r="C880" t="s">
        <v>88</v>
      </c>
    </row>
    <row r="881" spans="1:3" x14ac:dyDescent="0.25">
      <c r="A881" t="s">
        <v>521</v>
      </c>
      <c r="B881" t="s">
        <v>1859</v>
      </c>
      <c r="C881" t="s">
        <v>521</v>
      </c>
    </row>
    <row r="882" spans="1:3" x14ac:dyDescent="0.25">
      <c r="A882" t="s">
        <v>534</v>
      </c>
      <c r="B882" t="s">
        <v>1944</v>
      </c>
      <c r="C882" t="s">
        <v>534</v>
      </c>
    </row>
    <row r="883" spans="1:3" x14ac:dyDescent="0.25">
      <c r="A883" t="s">
        <v>179</v>
      </c>
      <c r="B883" t="s">
        <v>1865</v>
      </c>
      <c r="C883" t="s">
        <v>179</v>
      </c>
    </row>
    <row r="884" spans="1:3" x14ac:dyDescent="0.25">
      <c r="A884" t="s">
        <v>547</v>
      </c>
      <c r="B884" t="s">
        <v>3519</v>
      </c>
      <c r="C884" t="s">
        <v>547</v>
      </c>
    </row>
    <row r="885" spans="1:3" x14ac:dyDescent="0.25">
      <c r="A885" t="s">
        <v>551</v>
      </c>
      <c r="B885" t="s">
        <v>1870</v>
      </c>
      <c r="C885" t="s">
        <v>551</v>
      </c>
    </row>
    <row r="886" spans="1:3" x14ac:dyDescent="0.25">
      <c r="A886" t="s">
        <v>555</v>
      </c>
      <c r="B886" t="s">
        <v>1871</v>
      </c>
      <c r="C886" t="s">
        <v>555</v>
      </c>
    </row>
    <row r="887" spans="1:3" x14ac:dyDescent="0.25">
      <c r="A887" t="s">
        <v>557</v>
      </c>
      <c r="B887" t="s">
        <v>1950</v>
      </c>
      <c r="C887" t="s">
        <v>557</v>
      </c>
    </row>
    <row r="888" spans="1:3" x14ac:dyDescent="0.25">
      <c r="A888" t="s">
        <v>559</v>
      </c>
      <c r="B888" t="s">
        <v>3520</v>
      </c>
      <c r="C888" t="s">
        <v>559</v>
      </c>
    </row>
    <row r="889" spans="1:3" x14ac:dyDescent="0.25">
      <c r="A889" t="s">
        <v>561</v>
      </c>
      <c r="B889" t="s">
        <v>1951</v>
      </c>
      <c r="C889" t="s">
        <v>561</v>
      </c>
    </row>
    <row r="890" spans="1:3" x14ac:dyDescent="0.25">
      <c r="A890" t="s">
        <v>563</v>
      </c>
      <c r="B890" t="s">
        <v>1952</v>
      </c>
      <c r="C890" t="s">
        <v>563</v>
      </c>
    </row>
    <row r="891" spans="1:3" x14ac:dyDescent="0.25">
      <c r="A891" t="s">
        <v>593</v>
      </c>
      <c r="B891" t="s">
        <v>2058</v>
      </c>
      <c r="C891" t="s">
        <v>593</v>
      </c>
    </row>
    <row r="892" spans="1:3" x14ac:dyDescent="0.25">
      <c r="A892" t="s">
        <v>645</v>
      </c>
      <c r="B892" t="s">
        <v>3521</v>
      </c>
      <c r="C892" t="s">
        <v>645</v>
      </c>
    </row>
    <row r="893" spans="1:3" x14ac:dyDescent="0.25">
      <c r="A893" t="s">
        <v>649</v>
      </c>
      <c r="B893" t="s">
        <v>3522</v>
      </c>
      <c r="C893" t="s">
        <v>649</v>
      </c>
    </row>
    <row r="894" spans="1:3" x14ac:dyDescent="0.25">
      <c r="A894" t="s">
        <v>254</v>
      </c>
      <c r="B894" t="s">
        <v>3523</v>
      </c>
      <c r="C894" t="s">
        <v>254</v>
      </c>
    </row>
    <row r="895" spans="1:3" x14ac:dyDescent="0.25">
      <c r="A895" t="s">
        <v>950</v>
      </c>
      <c r="B895" t="s">
        <v>3524</v>
      </c>
      <c r="C895" t="s">
        <v>950</v>
      </c>
    </row>
    <row r="896" spans="1:3" x14ac:dyDescent="0.25">
      <c r="A896" t="s">
        <v>732</v>
      </c>
      <c r="B896" t="s">
        <v>2104</v>
      </c>
      <c r="C896" t="s">
        <v>732</v>
      </c>
    </row>
    <row r="897" spans="1:3" x14ac:dyDescent="0.25">
      <c r="A897" t="s">
        <v>651</v>
      </c>
      <c r="B897" t="s">
        <v>1998</v>
      </c>
      <c r="C897" t="s">
        <v>651</v>
      </c>
    </row>
    <row r="898" spans="1:3" x14ac:dyDescent="0.25">
      <c r="A898" t="s">
        <v>653</v>
      </c>
      <c r="B898" t="s">
        <v>1999</v>
      </c>
      <c r="C898" t="s">
        <v>653</v>
      </c>
    </row>
    <row r="899" spans="1:3" x14ac:dyDescent="0.25">
      <c r="A899" t="s">
        <v>657</v>
      </c>
      <c r="B899" t="s">
        <v>2000</v>
      </c>
      <c r="C899" t="s">
        <v>657</v>
      </c>
    </row>
    <row r="900" spans="1:3" x14ac:dyDescent="0.25">
      <c r="A900" t="s">
        <v>659</v>
      </c>
      <c r="B900" t="s">
        <v>2001</v>
      </c>
      <c r="C900" t="s">
        <v>659</v>
      </c>
    </row>
    <row r="901" spans="1:3" x14ac:dyDescent="0.25">
      <c r="A901" t="s">
        <v>661</v>
      </c>
      <c r="B901" t="s">
        <v>2106</v>
      </c>
      <c r="C901" t="s">
        <v>661</v>
      </c>
    </row>
    <row r="902" spans="1:3" x14ac:dyDescent="0.25">
      <c r="A902" t="s">
        <v>663</v>
      </c>
      <c r="B902" t="s">
        <v>2002</v>
      </c>
      <c r="C902" t="s">
        <v>663</v>
      </c>
    </row>
    <row r="903" spans="1:3" x14ac:dyDescent="0.25">
      <c r="A903" t="s">
        <v>665</v>
      </c>
      <c r="B903" t="s">
        <v>2107</v>
      </c>
      <c r="C903" t="s">
        <v>665</v>
      </c>
    </row>
    <row r="904" spans="1:3" x14ac:dyDescent="0.25">
      <c r="A904" t="s">
        <v>3525</v>
      </c>
      <c r="B904" t="s">
        <v>3526</v>
      </c>
      <c r="C904" t="s">
        <v>3525</v>
      </c>
    </row>
    <row r="905" spans="1:3" x14ac:dyDescent="0.25">
      <c r="A905" t="s">
        <v>3527</v>
      </c>
      <c r="B905" t="s">
        <v>3528</v>
      </c>
      <c r="C905" t="s">
        <v>3527</v>
      </c>
    </row>
    <row r="906" spans="1:3" x14ac:dyDescent="0.25">
      <c r="A906" t="s">
        <v>734</v>
      </c>
      <c r="B906" t="s">
        <v>2109</v>
      </c>
      <c r="C906" t="s">
        <v>734</v>
      </c>
    </row>
    <row r="907" spans="1:3" x14ac:dyDescent="0.25">
      <c r="A907" t="s">
        <v>669</v>
      </c>
      <c r="B907" t="s">
        <v>2004</v>
      </c>
      <c r="C907" t="s">
        <v>669</v>
      </c>
    </row>
    <row r="908" spans="1:3" x14ac:dyDescent="0.25">
      <c r="A908" t="s">
        <v>18</v>
      </c>
      <c r="B908" t="s">
        <v>3529</v>
      </c>
      <c r="C908" t="s">
        <v>18</v>
      </c>
    </row>
    <row r="909" spans="1:3" x14ac:dyDescent="0.25">
      <c r="A909" t="s">
        <v>671</v>
      </c>
      <c r="B909" t="s">
        <v>2005</v>
      </c>
      <c r="C909" t="s">
        <v>671</v>
      </c>
    </row>
    <row r="910" spans="1:3" x14ac:dyDescent="0.25">
      <c r="A910" t="s">
        <v>673</v>
      </c>
      <c r="B910" t="s">
        <v>2006</v>
      </c>
      <c r="C910" t="s">
        <v>673</v>
      </c>
    </row>
    <row r="911" spans="1:3" x14ac:dyDescent="0.25">
      <c r="A911" t="s">
        <v>677</v>
      </c>
      <c r="B911" t="s">
        <v>2007</v>
      </c>
      <c r="C911" t="s">
        <v>677</v>
      </c>
    </row>
    <row r="912" spans="1:3" x14ac:dyDescent="0.25">
      <c r="A912" t="s">
        <v>286</v>
      </c>
      <c r="B912" t="s">
        <v>2022</v>
      </c>
      <c r="C912" t="s">
        <v>286</v>
      </c>
    </row>
    <row r="913" spans="1:3" x14ac:dyDescent="0.25">
      <c r="A913" t="s">
        <v>683</v>
      </c>
      <c r="B913" t="s">
        <v>2143</v>
      </c>
      <c r="C913" t="s">
        <v>683</v>
      </c>
    </row>
    <row r="914" spans="1:3" x14ac:dyDescent="0.25">
      <c r="A914" t="s">
        <v>667</v>
      </c>
      <c r="B914" t="s">
        <v>2108</v>
      </c>
      <c r="C914" t="s">
        <v>667</v>
      </c>
    </row>
    <row r="915" spans="1:3" x14ac:dyDescent="0.25">
      <c r="A915" t="s">
        <v>3530</v>
      </c>
      <c r="B915" t="s">
        <v>3531</v>
      </c>
      <c r="C915" t="s">
        <v>3530</v>
      </c>
    </row>
    <row r="916" spans="1:3" x14ac:dyDescent="0.25">
      <c r="A916" t="s">
        <v>487</v>
      </c>
      <c r="B916" t="s">
        <v>5148</v>
      </c>
      <c r="C916" t="s">
        <v>487</v>
      </c>
    </row>
    <row r="917" spans="1:3" x14ac:dyDescent="0.25">
      <c r="A917" t="s">
        <v>5149</v>
      </c>
      <c r="B917" t="s">
        <v>5150</v>
      </c>
      <c r="C917" t="s">
        <v>5149</v>
      </c>
    </row>
    <row r="918" spans="1:3" x14ac:dyDescent="0.25">
      <c r="A918" t="s">
        <v>5151</v>
      </c>
      <c r="B918" t="s">
        <v>5152</v>
      </c>
      <c r="C918" t="s">
        <v>5151</v>
      </c>
    </row>
    <row r="919" spans="1:3" x14ac:dyDescent="0.25">
      <c r="A919" t="s">
        <v>1221</v>
      </c>
      <c r="B919" t="s">
        <v>5153</v>
      </c>
      <c r="C919" t="s">
        <v>1221</v>
      </c>
    </row>
    <row r="920" spans="1:3" x14ac:dyDescent="0.25">
      <c r="A920" t="s">
        <v>5154</v>
      </c>
      <c r="B920" t="s">
        <v>5155</v>
      </c>
      <c r="C920" t="s">
        <v>5154</v>
      </c>
    </row>
    <row r="921" spans="1:3" x14ac:dyDescent="0.25">
      <c r="A921" t="s">
        <v>5156</v>
      </c>
      <c r="B921" t="s">
        <v>5157</v>
      </c>
      <c r="C921" t="s">
        <v>5156</v>
      </c>
    </row>
    <row r="922" spans="1:3" x14ac:dyDescent="0.25">
      <c r="A922" t="s">
        <v>5158</v>
      </c>
      <c r="B922" t="s">
        <v>5159</v>
      </c>
      <c r="C922" t="s">
        <v>5158</v>
      </c>
    </row>
    <row r="923" spans="1:3" x14ac:dyDescent="0.25">
      <c r="A923" t="s">
        <v>5160</v>
      </c>
      <c r="B923" t="s">
        <v>5161</v>
      </c>
      <c r="C923" t="s">
        <v>5160</v>
      </c>
    </row>
    <row r="924" spans="1:3" x14ac:dyDescent="0.25">
      <c r="A924" t="s">
        <v>5162</v>
      </c>
      <c r="B924" t="s">
        <v>5163</v>
      </c>
      <c r="C924" t="s">
        <v>5162</v>
      </c>
    </row>
    <row r="925" spans="1:3" x14ac:dyDescent="0.25">
      <c r="A925" t="s">
        <v>5164</v>
      </c>
      <c r="B925" t="s">
        <v>5165</v>
      </c>
      <c r="C925" t="s">
        <v>5164</v>
      </c>
    </row>
    <row r="926" spans="1:3" x14ac:dyDescent="0.25">
      <c r="A926" t="s">
        <v>1406</v>
      </c>
      <c r="B926" t="s">
        <v>5166</v>
      </c>
      <c r="C926" t="s">
        <v>1406</v>
      </c>
    </row>
    <row r="927" spans="1:3" x14ac:dyDescent="0.25">
      <c r="A927" t="s">
        <v>5167</v>
      </c>
      <c r="B927" t="s">
        <v>5168</v>
      </c>
      <c r="C927" t="s">
        <v>5167</v>
      </c>
    </row>
    <row r="928" spans="1:3" x14ac:dyDescent="0.25">
      <c r="A928" t="s">
        <v>1231</v>
      </c>
      <c r="B928" t="s">
        <v>5169</v>
      </c>
      <c r="C928" t="s">
        <v>1231</v>
      </c>
    </row>
    <row r="929" spans="1:3" x14ac:dyDescent="0.25">
      <c r="A929" t="s">
        <v>1383</v>
      </c>
      <c r="B929" t="s">
        <v>5170</v>
      </c>
      <c r="C929" t="s">
        <v>1383</v>
      </c>
    </row>
    <row r="930" spans="1:3" x14ac:dyDescent="0.25">
      <c r="A930" t="s">
        <v>5171</v>
      </c>
      <c r="B930" t="s">
        <v>5172</v>
      </c>
      <c r="C930" t="s">
        <v>5171</v>
      </c>
    </row>
    <row r="931" spans="1:3" x14ac:dyDescent="0.25">
      <c r="A931" t="s">
        <v>5173</v>
      </c>
      <c r="B931" t="s">
        <v>5174</v>
      </c>
      <c r="C931" t="s">
        <v>5173</v>
      </c>
    </row>
    <row r="932" spans="1:3" x14ac:dyDescent="0.25">
      <c r="A932" t="s">
        <v>216</v>
      </c>
      <c r="B932" t="s">
        <v>1896</v>
      </c>
      <c r="C932" t="s">
        <v>216</v>
      </c>
    </row>
    <row r="933" spans="1:3" x14ac:dyDescent="0.25">
      <c r="A933" t="s">
        <v>608</v>
      </c>
      <c r="B933" t="s">
        <v>3532</v>
      </c>
      <c r="C933" t="s">
        <v>608</v>
      </c>
    </row>
    <row r="934" spans="1:3" x14ac:dyDescent="0.25">
      <c r="A934" t="s">
        <v>3533</v>
      </c>
      <c r="B934" t="s">
        <v>3534</v>
      </c>
      <c r="C934" t="s">
        <v>3533</v>
      </c>
    </row>
    <row r="935" spans="1:3" x14ac:dyDescent="0.25">
      <c r="A935" t="s">
        <v>3535</v>
      </c>
      <c r="B935" t="s">
        <v>3536</v>
      </c>
      <c r="C935" t="s">
        <v>3535</v>
      </c>
    </row>
    <row r="936" spans="1:3" x14ac:dyDescent="0.25">
      <c r="A936" t="s">
        <v>3537</v>
      </c>
      <c r="B936" t="s">
        <v>3538</v>
      </c>
      <c r="C936" t="s">
        <v>3537</v>
      </c>
    </row>
    <row r="937" spans="1:3" x14ac:dyDescent="0.25">
      <c r="A937" t="s">
        <v>3539</v>
      </c>
      <c r="B937" t="s">
        <v>3540</v>
      </c>
      <c r="C937" t="s">
        <v>3539</v>
      </c>
    </row>
    <row r="938" spans="1:3" x14ac:dyDescent="0.25">
      <c r="A938" t="s">
        <v>132</v>
      </c>
      <c r="B938" t="s">
        <v>1937</v>
      </c>
      <c r="C938" t="s">
        <v>132</v>
      </c>
    </row>
    <row r="939" spans="1:3" x14ac:dyDescent="0.25">
      <c r="A939" t="s">
        <v>5175</v>
      </c>
      <c r="B939" t="s">
        <v>5176</v>
      </c>
      <c r="C939" t="s">
        <v>5175</v>
      </c>
    </row>
    <row r="940" spans="1:3" x14ac:dyDescent="0.25">
      <c r="A940" t="s">
        <v>3541</v>
      </c>
      <c r="B940" t="s">
        <v>3542</v>
      </c>
      <c r="C940" t="s">
        <v>3541</v>
      </c>
    </row>
    <row r="941" spans="1:3" x14ac:dyDescent="0.25">
      <c r="A941" t="s">
        <v>5177</v>
      </c>
      <c r="B941" t="s">
        <v>5178</v>
      </c>
      <c r="C941" t="s">
        <v>5177</v>
      </c>
    </row>
    <row r="942" spans="1:3" x14ac:dyDescent="0.25">
      <c r="A942" t="s">
        <v>5160</v>
      </c>
      <c r="B942" t="s">
        <v>5179</v>
      </c>
      <c r="C942" t="s">
        <v>5160</v>
      </c>
    </row>
    <row r="943" spans="1:3" x14ac:dyDescent="0.25">
      <c r="A943" t="s">
        <v>3543</v>
      </c>
      <c r="B943" t="s">
        <v>3544</v>
      </c>
      <c r="C943" t="s">
        <v>3543</v>
      </c>
    </row>
    <row r="944" spans="1:3" x14ac:dyDescent="0.25">
      <c r="A944" t="s">
        <v>3545</v>
      </c>
      <c r="B944" t="s">
        <v>3546</v>
      </c>
      <c r="C944" t="s">
        <v>3545</v>
      </c>
    </row>
    <row r="945" spans="1:3" x14ac:dyDescent="0.25">
      <c r="A945" t="s">
        <v>311</v>
      </c>
      <c r="B945" t="s">
        <v>2088</v>
      </c>
      <c r="C945" t="s">
        <v>311</v>
      </c>
    </row>
    <row r="946" spans="1:3" x14ac:dyDescent="0.25">
      <c r="A946" t="s">
        <v>3547</v>
      </c>
      <c r="B946" t="s">
        <v>3548</v>
      </c>
      <c r="C946" t="s">
        <v>3547</v>
      </c>
    </row>
    <row r="947" spans="1:3" x14ac:dyDescent="0.25">
      <c r="A947" t="s">
        <v>3549</v>
      </c>
      <c r="B947" t="s">
        <v>3550</v>
      </c>
      <c r="C947" t="s">
        <v>3549</v>
      </c>
    </row>
    <row r="948" spans="1:3" x14ac:dyDescent="0.25">
      <c r="A948" t="s">
        <v>830</v>
      </c>
      <c r="B948" t="s">
        <v>3551</v>
      </c>
      <c r="C948" t="s">
        <v>830</v>
      </c>
    </row>
    <row r="949" spans="1:3" x14ac:dyDescent="0.25">
      <c r="A949" t="s">
        <v>5180</v>
      </c>
      <c r="B949" t="s">
        <v>5181</v>
      </c>
      <c r="C949" t="s">
        <v>5180</v>
      </c>
    </row>
    <row r="950" spans="1:3" x14ac:dyDescent="0.25">
      <c r="A950" t="s">
        <v>532</v>
      </c>
      <c r="B950" t="s">
        <v>3552</v>
      </c>
      <c r="C950" t="s">
        <v>532</v>
      </c>
    </row>
    <row r="951" spans="1:3" x14ac:dyDescent="0.25">
      <c r="A951" t="s">
        <v>3553</v>
      </c>
      <c r="B951" t="s">
        <v>3554</v>
      </c>
      <c r="C951" t="s">
        <v>3553</v>
      </c>
    </row>
    <row r="952" spans="1:3" x14ac:dyDescent="0.25">
      <c r="A952" t="s">
        <v>3555</v>
      </c>
      <c r="B952" t="s">
        <v>3556</v>
      </c>
      <c r="C952" t="s">
        <v>3555</v>
      </c>
    </row>
    <row r="953" spans="1:3" x14ac:dyDescent="0.25">
      <c r="A953" t="s">
        <v>3557</v>
      </c>
      <c r="B953" t="s">
        <v>3558</v>
      </c>
      <c r="C953" t="s">
        <v>3557</v>
      </c>
    </row>
    <row r="954" spans="1:3" x14ac:dyDescent="0.25">
      <c r="A954" t="s">
        <v>785</v>
      </c>
      <c r="B954" t="s">
        <v>2089</v>
      </c>
      <c r="C954" t="s">
        <v>785</v>
      </c>
    </row>
    <row r="955" spans="1:3" x14ac:dyDescent="0.25">
      <c r="A955" t="s">
        <v>3559</v>
      </c>
      <c r="B955" t="s">
        <v>3560</v>
      </c>
      <c r="C955" t="s">
        <v>3559</v>
      </c>
    </row>
    <row r="956" spans="1:3" x14ac:dyDescent="0.25">
      <c r="A956" t="s">
        <v>3561</v>
      </c>
      <c r="B956" t="s">
        <v>3562</v>
      </c>
      <c r="C956" t="s">
        <v>3561</v>
      </c>
    </row>
    <row r="957" spans="1:3" x14ac:dyDescent="0.25">
      <c r="A957" t="s">
        <v>3563</v>
      </c>
      <c r="B957" t="s">
        <v>3564</v>
      </c>
      <c r="C957" t="s">
        <v>3563</v>
      </c>
    </row>
    <row r="958" spans="1:3" x14ac:dyDescent="0.25">
      <c r="A958" t="s">
        <v>3557</v>
      </c>
      <c r="B958" t="s">
        <v>3565</v>
      </c>
      <c r="C958" t="s">
        <v>3557</v>
      </c>
    </row>
    <row r="959" spans="1:3" x14ac:dyDescent="0.25">
      <c r="A959" t="s">
        <v>943</v>
      </c>
      <c r="B959" t="s">
        <v>2147</v>
      </c>
      <c r="C959" t="s">
        <v>943</v>
      </c>
    </row>
    <row r="960" spans="1:3" x14ac:dyDescent="0.25">
      <c r="A960" t="s">
        <v>300</v>
      </c>
      <c r="B960" t="s">
        <v>2028</v>
      </c>
      <c r="C960" t="s">
        <v>300</v>
      </c>
    </row>
    <row r="961" spans="1:3" x14ac:dyDescent="0.25">
      <c r="A961" t="s">
        <v>3566</v>
      </c>
      <c r="B961" t="s">
        <v>3567</v>
      </c>
      <c r="C961" t="s">
        <v>3566</v>
      </c>
    </row>
    <row r="962" spans="1:3" x14ac:dyDescent="0.25">
      <c r="A962" t="s">
        <v>284</v>
      </c>
      <c r="B962" t="s">
        <v>1928</v>
      </c>
      <c r="C962" t="s">
        <v>284</v>
      </c>
    </row>
    <row r="963" spans="1:3" x14ac:dyDescent="0.25">
      <c r="A963" t="s">
        <v>277</v>
      </c>
      <c r="B963" t="s">
        <v>2013</v>
      </c>
      <c r="C963" t="s">
        <v>277</v>
      </c>
    </row>
    <row r="964" spans="1:3" x14ac:dyDescent="0.25">
      <c r="A964" t="s">
        <v>270</v>
      </c>
      <c r="B964" t="s">
        <v>1924</v>
      </c>
      <c r="C964" t="s">
        <v>270</v>
      </c>
    </row>
    <row r="965" spans="1:3" x14ac:dyDescent="0.25">
      <c r="A965" t="s">
        <v>3568</v>
      </c>
      <c r="B965" t="s">
        <v>3569</v>
      </c>
      <c r="C965" t="s">
        <v>3568</v>
      </c>
    </row>
    <row r="966" spans="1:3" x14ac:dyDescent="0.25">
      <c r="A966" t="s">
        <v>3570</v>
      </c>
      <c r="B966" t="s">
        <v>3571</v>
      </c>
      <c r="C966" t="s">
        <v>3570</v>
      </c>
    </row>
    <row r="967" spans="1:3" x14ac:dyDescent="0.25">
      <c r="A967" t="s">
        <v>3572</v>
      </c>
      <c r="B967" t="s">
        <v>3573</v>
      </c>
      <c r="C967" t="s">
        <v>3572</v>
      </c>
    </row>
    <row r="968" spans="1:3" x14ac:dyDescent="0.25">
      <c r="A968" t="s">
        <v>3574</v>
      </c>
      <c r="B968" t="s">
        <v>3575</v>
      </c>
      <c r="C968" t="s">
        <v>3574</v>
      </c>
    </row>
    <row r="969" spans="1:3" x14ac:dyDescent="0.25">
      <c r="A969" t="s">
        <v>3576</v>
      </c>
      <c r="B969" t="s">
        <v>3577</v>
      </c>
      <c r="C969" t="s">
        <v>3576</v>
      </c>
    </row>
    <row r="970" spans="1:3" x14ac:dyDescent="0.25">
      <c r="A970" t="s">
        <v>3578</v>
      </c>
      <c r="B970" t="s">
        <v>3579</v>
      </c>
      <c r="C970" t="s">
        <v>3578</v>
      </c>
    </row>
    <row r="971" spans="1:3" x14ac:dyDescent="0.25">
      <c r="A971" t="s">
        <v>3580</v>
      </c>
      <c r="B971" t="s">
        <v>3581</v>
      </c>
      <c r="C971" t="s">
        <v>3580</v>
      </c>
    </row>
    <row r="972" spans="1:3" x14ac:dyDescent="0.25">
      <c r="A972" t="s">
        <v>3582</v>
      </c>
      <c r="B972" t="s">
        <v>3583</v>
      </c>
      <c r="C972" t="s">
        <v>3582</v>
      </c>
    </row>
    <row r="973" spans="1:3" x14ac:dyDescent="0.25">
      <c r="A973" t="s">
        <v>3584</v>
      </c>
      <c r="B973" t="s">
        <v>3585</v>
      </c>
      <c r="C973" t="s">
        <v>3584</v>
      </c>
    </row>
    <row r="974" spans="1:3" x14ac:dyDescent="0.25">
      <c r="A974" t="s">
        <v>3586</v>
      </c>
      <c r="B974" t="s">
        <v>3587</v>
      </c>
      <c r="C974" t="s">
        <v>3586</v>
      </c>
    </row>
    <row r="975" spans="1:3" x14ac:dyDescent="0.25">
      <c r="A975" t="s">
        <v>102</v>
      </c>
      <c r="B975" t="s">
        <v>3588</v>
      </c>
      <c r="C975" t="s">
        <v>102</v>
      </c>
    </row>
    <row r="976" spans="1:3" x14ac:dyDescent="0.25">
      <c r="A976" t="s">
        <v>3589</v>
      </c>
      <c r="B976" t="s">
        <v>3590</v>
      </c>
      <c r="C976" t="s">
        <v>3589</v>
      </c>
    </row>
    <row r="977" spans="1:3" x14ac:dyDescent="0.25">
      <c r="A977" t="s">
        <v>3591</v>
      </c>
      <c r="B977" t="s">
        <v>3592</v>
      </c>
      <c r="C977" t="s">
        <v>3591</v>
      </c>
    </row>
    <row r="978" spans="1:3" x14ac:dyDescent="0.25">
      <c r="A978" t="s">
        <v>3593</v>
      </c>
      <c r="B978" t="s">
        <v>3594</v>
      </c>
      <c r="C978" t="s">
        <v>3593</v>
      </c>
    </row>
    <row r="979" spans="1:3" x14ac:dyDescent="0.25">
      <c r="A979" t="s">
        <v>3595</v>
      </c>
      <c r="B979" t="s">
        <v>3596</v>
      </c>
      <c r="C979" t="s">
        <v>3595</v>
      </c>
    </row>
    <row r="980" spans="1:3" x14ac:dyDescent="0.25">
      <c r="A980" t="s">
        <v>3597</v>
      </c>
      <c r="B980" t="s">
        <v>3598</v>
      </c>
      <c r="C980" t="s">
        <v>3597</v>
      </c>
    </row>
    <row r="981" spans="1:3" x14ac:dyDescent="0.25">
      <c r="A981" t="s">
        <v>3599</v>
      </c>
      <c r="B981" t="s">
        <v>3600</v>
      </c>
      <c r="C981" t="s">
        <v>3599</v>
      </c>
    </row>
    <row r="982" spans="1:3" x14ac:dyDescent="0.25">
      <c r="A982" t="s">
        <v>3601</v>
      </c>
      <c r="B982" t="s">
        <v>3602</v>
      </c>
      <c r="C982" t="s">
        <v>3601</v>
      </c>
    </row>
    <row r="983" spans="1:3" x14ac:dyDescent="0.25">
      <c r="A983" t="s">
        <v>3603</v>
      </c>
      <c r="B983" t="s">
        <v>3604</v>
      </c>
      <c r="C983" t="s">
        <v>3603</v>
      </c>
    </row>
    <row r="984" spans="1:3" x14ac:dyDescent="0.25">
      <c r="A984" t="s">
        <v>3605</v>
      </c>
      <c r="B984" t="s">
        <v>3606</v>
      </c>
      <c r="C984" t="s">
        <v>3605</v>
      </c>
    </row>
    <row r="985" spans="1:3" x14ac:dyDescent="0.25">
      <c r="A985" t="s">
        <v>3607</v>
      </c>
      <c r="B985" t="s">
        <v>3608</v>
      </c>
      <c r="C985" t="s">
        <v>3607</v>
      </c>
    </row>
    <row r="986" spans="1:3" x14ac:dyDescent="0.25">
      <c r="A986" t="s">
        <v>3609</v>
      </c>
      <c r="B986" t="s">
        <v>3610</v>
      </c>
      <c r="C986" t="s">
        <v>3609</v>
      </c>
    </row>
    <row r="987" spans="1:3" x14ac:dyDescent="0.25">
      <c r="A987" t="s">
        <v>3611</v>
      </c>
      <c r="B987" t="s">
        <v>3612</v>
      </c>
      <c r="C987" t="s">
        <v>3611</v>
      </c>
    </row>
    <row r="988" spans="1:3" x14ac:dyDescent="0.25">
      <c r="A988" t="s">
        <v>3613</v>
      </c>
      <c r="B988" t="s">
        <v>3614</v>
      </c>
      <c r="C988" t="s">
        <v>3613</v>
      </c>
    </row>
    <row r="989" spans="1:3" x14ac:dyDescent="0.25">
      <c r="A989" t="s">
        <v>3615</v>
      </c>
      <c r="B989" t="s">
        <v>3616</v>
      </c>
      <c r="C989" t="s">
        <v>3615</v>
      </c>
    </row>
    <row r="990" spans="1:3" x14ac:dyDescent="0.25">
      <c r="A990" t="s">
        <v>1839</v>
      </c>
      <c r="B990" t="s">
        <v>3617</v>
      </c>
      <c r="C990" t="s">
        <v>1839</v>
      </c>
    </row>
    <row r="991" spans="1:3" x14ac:dyDescent="0.25">
      <c r="A991" t="s">
        <v>3618</v>
      </c>
      <c r="B991" t="s">
        <v>3619</v>
      </c>
      <c r="C991" t="s">
        <v>3618</v>
      </c>
    </row>
    <row r="992" spans="1:3" x14ac:dyDescent="0.25">
      <c r="A992" t="s">
        <v>3620</v>
      </c>
      <c r="B992" t="s">
        <v>3621</v>
      </c>
      <c r="C992" t="s">
        <v>3620</v>
      </c>
    </row>
    <row r="993" spans="1:3" x14ac:dyDescent="0.25">
      <c r="A993" t="s">
        <v>3622</v>
      </c>
      <c r="B993" t="s">
        <v>3623</v>
      </c>
      <c r="C993" t="s">
        <v>3622</v>
      </c>
    </row>
    <row r="994" spans="1:3" x14ac:dyDescent="0.25">
      <c r="A994" t="s">
        <v>3624</v>
      </c>
      <c r="B994" t="s">
        <v>3625</v>
      </c>
      <c r="C994" t="s">
        <v>3624</v>
      </c>
    </row>
    <row r="995" spans="1:3" x14ac:dyDescent="0.25">
      <c r="A995" t="s">
        <v>3626</v>
      </c>
      <c r="B995" t="s">
        <v>3627</v>
      </c>
      <c r="C995" t="s">
        <v>3626</v>
      </c>
    </row>
    <row r="996" spans="1:3" x14ac:dyDescent="0.25">
      <c r="A996" t="s">
        <v>3628</v>
      </c>
      <c r="B996" t="s">
        <v>3629</v>
      </c>
      <c r="C996" t="s">
        <v>3628</v>
      </c>
    </row>
    <row r="997" spans="1:3" x14ac:dyDescent="0.25">
      <c r="A997" t="s">
        <v>3630</v>
      </c>
      <c r="B997" t="s">
        <v>3631</v>
      </c>
      <c r="C997" t="s">
        <v>3630</v>
      </c>
    </row>
    <row r="998" spans="1:3" x14ac:dyDescent="0.25">
      <c r="A998" t="s">
        <v>3632</v>
      </c>
      <c r="B998" t="s">
        <v>3633</v>
      </c>
      <c r="C998" t="s">
        <v>3632</v>
      </c>
    </row>
    <row r="999" spans="1:3" x14ac:dyDescent="0.25">
      <c r="A999" t="s">
        <v>3634</v>
      </c>
      <c r="B999" t="s">
        <v>3635</v>
      </c>
      <c r="C999" t="s">
        <v>3634</v>
      </c>
    </row>
    <row r="1000" spans="1:3" x14ac:dyDescent="0.25">
      <c r="A1000" t="s">
        <v>3636</v>
      </c>
      <c r="B1000" t="s">
        <v>3637</v>
      </c>
      <c r="C1000" t="s">
        <v>3636</v>
      </c>
    </row>
    <row r="1001" spans="1:3" x14ac:dyDescent="0.25">
      <c r="A1001" t="s">
        <v>3638</v>
      </c>
      <c r="B1001" t="s">
        <v>3639</v>
      </c>
      <c r="C1001" t="s">
        <v>3638</v>
      </c>
    </row>
    <row r="1002" spans="1:3" x14ac:dyDescent="0.25">
      <c r="A1002" t="s">
        <v>3640</v>
      </c>
      <c r="B1002" t="s">
        <v>3641</v>
      </c>
      <c r="C1002" t="s">
        <v>3640</v>
      </c>
    </row>
    <row r="1003" spans="1:3" x14ac:dyDescent="0.25">
      <c r="A1003" t="s">
        <v>3642</v>
      </c>
      <c r="B1003" t="s">
        <v>3643</v>
      </c>
      <c r="C1003" t="s">
        <v>3642</v>
      </c>
    </row>
    <row r="1004" spans="1:3" x14ac:dyDescent="0.25">
      <c r="A1004" t="s">
        <v>3644</v>
      </c>
      <c r="B1004" t="s">
        <v>3645</v>
      </c>
      <c r="C1004" t="s">
        <v>3644</v>
      </c>
    </row>
    <row r="1005" spans="1:3" x14ac:dyDescent="0.25">
      <c r="A1005" t="s">
        <v>3646</v>
      </c>
      <c r="B1005" t="s">
        <v>3647</v>
      </c>
      <c r="C1005" t="s">
        <v>3646</v>
      </c>
    </row>
    <row r="1006" spans="1:3" x14ac:dyDescent="0.25">
      <c r="A1006" t="s">
        <v>3648</v>
      </c>
      <c r="B1006" t="s">
        <v>3649</v>
      </c>
      <c r="C1006" t="s">
        <v>3648</v>
      </c>
    </row>
    <row r="1007" spans="1:3" x14ac:dyDescent="0.25">
      <c r="A1007" t="s">
        <v>3650</v>
      </c>
      <c r="B1007" t="s">
        <v>3651</v>
      </c>
      <c r="C1007" t="s">
        <v>3650</v>
      </c>
    </row>
    <row r="1008" spans="1:3" x14ac:dyDescent="0.25">
      <c r="A1008" t="s">
        <v>3652</v>
      </c>
      <c r="B1008" t="s">
        <v>3653</v>
      </c>
      <c r="C1008" t="s">
        <v>3652</v>
      </c>
    </row>
    <row r="1009" spans="1:3" x14ac:dyDescent="0.25">
      <c r="A1009" t="s">
        <v>3654</v>
      </c>
      <c r="B1009" t="s">
        <v>3655</v>
      </c>
      <c r="C1009" t="s">
        <v>3654</v>
      </c>
    </row>
    <row r="1010" spans="1:3" x14ac:dyDescent="0.25">
      <c r="A1010" t="s">
        <v>3656</v>
      </c>
      <c r="B1010" t="s">
        <v>3657</v>
      </c>
      <c r="C1010" t="s">
        <v>3656</v>
      </c>
    </row>
    <row r="1011" spans="1:3" x14ac:dyDescent="0.25">
      <c r="A1011" t="s">
        <v>3658</v>
      </c>
      <c r="B1011" t="s">
        <v>3659</v>
      </c>
      <c r="C1011" t="s">
        <v>3658</v>
      </c>
    </row>
    <row r="1012" spans="1:3" x14ac:dyDescent="0.25">
      <c r="A1012" t="s">
        <v>948</v>
      </c>
      <c r="B1012" t="s">
        <v>1953</v>
      </c>
      <c r="C1012" t="s">
        <v>948</v>
      </c>
    </row>
    <row r="1013" spans="1:3" x14ac:dyDescent="0.25">
      <c r="A1013" t="s">
        <v>3660</v>
      </c>
      <c r="B1013" t="s">
        <v>3661</v>
      </c>
      <c r="C1013" t="s">
        <v>3660</v>
      </c>
    </row>
    <row r="1014" spans="1:3" x14ac:dyDescent="0.25">
      <c r="A1014" t="s">
        <v>3662</v>
      </c>
      <c r="B1014" t="s">
        <v>3663</v>
      </c>
      <c r="C1014" t="s">
        <v>3662</v>
      </c>
    </row>
    <row r="1015" spans="1:3" x14ac:dyDescent="0.25">
      <c r="A1015" t="s">
        <v>3664</v>
      </c>
      <c r="B1015" t="s">
        <v>3665</v>
      </c>
      <c r="C1015" t="s">
        <v>3664</v>
      </c>
    </row>
    <row r="1016" spans="1:3" x14ac:dyDescent="0.25">
      <c r="A1016" t="s">
        <v>736</v>
      </c>
      <c r="B1016" t="s">
        <v>2023</v>
      </c>
      <c r="C1016" t="s">
        <v>736</v>
      </c>
    </row>
    <row r="1017" spans="1:3" x14ac:dyDescent="0.25">
      <c r="A1017" t="s">
        <v>3666</v>
      </c>
      <c r="B1017" t="s">
        <v>3667</v>
      </c>
      <c r="C1017" t="s">
        <v>3666</v>
      </c>
    </row>
    <row r="1018" spans="1:3" x14ac:dyDescent="0.25">
      <c r="A1018" t="s">
        <v>3668</v>
      </c>
      <c r="B1018" t="s">
        <v>3669</v>
      </c>
      <c r="C1018" t="s">
        <v>3668</v>
      </c>
    </row>
    <row r="1019" spans="1:3" x14ac:dyDescent="0.25">
      <c r="A1019" t="s">
        <v>3670</v>
      </c>
      <c r="B1019" t="s">
        <v>3671</v>
      </c>
      <c r="C1019" t="s">
        <v>3670</v>
      </c>
    </row>
    <row r="1020" spans="1:3" x14ac:dyDescent="0.25">
      <c r="A1020" t="s">
        <v>3672</v>
      </c>
      <c r="B1020" t="s">
        <v>3673</v>
      </c>
      <c r="C1020" t="s">
        <v>3672</v>
      </c>
    </row>
    <row r="1021" spans="1:3" x14ac:dyDescent="0.25">
      <c r="A1021" t="s">
        <v>3674</v>
      </c>
      <c r="B1021" t="s">
        <v>3675</v>
      </c>
      <c r="C1021" t="s">
        <v>3674</v>
      </c>
    </row>
    <row r="1022" spans="1:3" x14ac:dyDescent="0.25">
      <c r="A1022" t="s">
        <v>3676</v>
      </c>
      <c r="B1022" t="s">
        <v>3677</v>
      </c>
      <c r="C1022" t="s">
        <v>3676</v>
      </c>
    </row>
    <row r="1023" spans="1:3" x14ac:dyDescent="0.25">
      <c r="A1023" t="s">
        <v>3678</v>
      </c>
      <c r="B1023" t="s">
        <v>3679</v>
      </c>
      <c r="C1023" t="s">
        <v>3678</v>
      </c>
    </row>
    <row r="1024" spans="1:3" x14ac:dyDescent="0.25">
      <c r="A1024" t="s">
        <v>3680</v>
      </c>
      <c r="B1024" t="s">
        <v>3681</v>
      </c>
      <c r="C1024" t="s">
        <v>3680</v>
      </c>
    </row>
    <row r="1025" spans="1:3" x14ac:dyDescent="0.25">
      <c r="A1025" t="s">
        <v>3682</v>
      </c>
      <c r="B1025" t="s">
        <v>3683</v>
      </c>
      <c r="C1025" t="s">
        <v>3682</v>
      </c>
    </row>
    <row r="1026" spans="1:3" x14ac:dyDescent="0.25">
      <c r="A1026" t="s">
        <v>3684</v>
      </c>
      <c r="B1026" t="s">
        <v>3685</v>
      </c>
      <c r="C1026" t="s">
        <v>3684</v>
      </c>
    </row>
    <row r="1027" spans="1:3" x14ac:dyDescent="0.25">
      <c r="A1027" t="s">
        <v>3686</v>
      </c>
      <c r="B1027" t="s">
        <v>3687</v>
      </c>
      <c r="C1027" t="s">
        <v>3686</v>
      </c>
    </row>
    <row r="1028" spans="1:3" x14ac:dyDescent="0.25">
      <c r="A1028" t="s">
        <v>3688</v>
      </c>
      <c r="B1028" t="s">
        <v>3689</v>
      </c>
      <c r="C1028" t="s">
        <v>3688</v>
      </c>
    </row>
    <row r="1029" spans="1:3" x14ac:dyDescent="0.25">
      <c r="A1029" t="s">
        <v>3690</v>
      </c>
      <c r="B1029" t="s">
        <v>3691</v>
      </c>
      <c r="C1029" t="s">
        <v>3690</v>
      </c>
    </row>
    <row r="1030" spans="1:3" x14ac:dyDescent="0.25">
      <c r="A1030" t="s">
        <v>3692</v>
      </c>
      <c r="B1030" t="s">
        <v>3693</v>
      </c>
      <c r="C1030" t="s">
        <v>3692</v>
      </c>
    </row>
    <row r="1031" spans="1:3" x14ac:dyDescent="0.25">
      <c r="A1031" t="s">
        <v>3694</v>
      </c>
      <c r="B1031" t="s">
        <v>3695</v>
      </c>
      <c r="C1031" t="s">
        <v>3694</v>
      </c>
    </row>
    <row r="1032" spans="1:3" x14ac:dyDescent="0.25">
      <c r="A1032" t="s">
        <v>3696</v>
      </c>
      <c r="B1032" t="s">
        <v>3697</v>
      </c>
      <c r="C1032" t="s">
        <v>3696</v>
      </c>
    </row>
    <row r="1033" spans="1:3" x14ac:dyDescent="0.25">
      <c r="A1033" t="s">
        <v>3698</v>
      </c>
      <c r="B1033" t="s">
        <v>3699</v>
      </c>
      <c r="C1033" t="s">
        <v>3698</v>
      </c>
    </row>
    <row r="1034" spans="1:3" x14ac:dyDescent="0.25">
      <c r="A1034" t="s">
        <v>3700</v>
      </c>
      <c r="B1034" t="s">
        <v>3701</v>
      </c>
      <c r="C1034" t="s">
        <v>3700</v>
      </c>
    </row>
    <row r="1035" spans="1:3" x14ac:dyDescent="0.25">
      <c r="A1035" t="s">
        <v>3702</v>
      </c>
      <c r="B1035" t="s">
        <v>3703</v>
      </c>
      <c r="C1035" t="s">
        <v>3702</v>
      </c>
    </row>
    <row r="1036" spans="1:3" x14ac:dyDescent="0.25">
      <c r="A1036" t="s">
        <v>3704</v>
      </c>
      <c r="B1036" t="s">
        <v>3705</v>
      </c>
      <c r="C1036" t="s">
        <v>3704</v>
      </c>
    </row>
    <row r="1037" spans="1:3" x14ac:dyDescent="0.25">
      <c r="A1037" t="s">
        <v>3706</v>
      </c>
      <c r="B1037" t="s">
        <v>3707</v>
      </c>
      <c r="C1037" t="s">
        <v>3706</v>
      </c>
    </row>
    <row r="1038" spans="1:3" x14ac:dyDescent="0.25">
      <c r="A1038" t="s">
        <v>3708</v>
      </c>
      <c r="B1038" t="s">
        <v>3709</v>
      </c>
      <c r="C1038" t="s">
        <v>3708</v>
      </c>
    </row>
    <row r="1039" spans="1:3" x14ac:dyDescent="0.25">
      <c r="A1039" t="s">
        <v>3710</v>
      </c>
      <c r="B1039" t="s">
        <v>3711</v>
      </c>
      <c r="C1039" t="s">
        <v>3710</v>
      </c>
    </row>
    <row r="1040" spans="1:3" x14ac:dyDescent="0.25">
      <c r="A1040" t="s">
        <v>3712</v>
      </c>
      <c r="B1040" t="s">
        <v>3713</v>
      </c>
      <c r="C1040" t="s">
        <v>3712</v>
      </c>
    </row>
    <row r="1041" spans="1:3" x14ac:dyDescent="0.25">
      <c r="A1041" t="s">
        <v>3714</v>
      </c>
      <c r="B1041" t="s">
        <v>3715</v>
      </c>
      <c r="C1041" t="s">
        <v>3714</v>
      </c>
    </row>
    <row r="1042" spans="1:3" x14ac:dyDescent="0.25">
      <c r="A1042" t="s">
        <v>3716</v>
      </c>
      <c r="B1042" t="s">
        <v>3717</v>
      </c>
      <c r="C1042" t="s">
        <v>3716</v>
      </c>
    </row>
    <row r="1043" spans="1:3" x14ac:dyDescent="0.25">
      <c r="A1043" t="s">
        <v>850</v>
      </c>
      <c r="B1043" t="s">
        <v>2029</v>
      </c>
      <c r="C1043" t="s">
        <v>850</v>
      </c>
    </row>
    <row r="1044" spans="1:3" x14ac:dyDescent="0.25">
      <c r="A1044" t="s">
        <v>3718</v>
      </c>
      <c r="B1044" t="s">
        <v>3719</v>
      </c>
      <c r="C1044" t="s">
        <v>3718</v>
      </c>
    </row>
    <row r="1045" spans="1:3" x14ac:dyDescent="0.25">
      <c r="A1045" t="s">
        <v>3720</v>
      </c>
      <c r="B1045" t="s">
        <v>3721</v>
      </c>
      <c r="C1045" t="s">
        <v>3720</v>
      </c>
    </row>
    <row r="1046" spans="1:3" x14ac:dyDescent="0.25">
      <c r="A1046" t="s">
        <v>61</v>
      </c>
      <c r="B1046" t="s">
        <v>3722</v>
      </c>
      <c r="C1046" t="s">
        <v>61</v>
      </c>
    </row>
    <row r="1047" spans="1:3" x14ac:dyDescent="0.25">
      <c r="A1047" t="s">
        <v>3723</v>
      </c>
      <c r="B1047" t="s">
        <v>3724</v>
      </c>
      <c r="C1047" t="s">
        <v>3723</v>
      </c>
    </row>
    <row r="1048" spans="1:3" x14ac:dyDescent="0.25">
      <c r="A1048" t="s">
        <v>3725</v>
      </c>
      <c r="B1048" t="s">
        <v>3726</v>
      </c>
      <c r="C1048" t="s">
        <v>3725</v>
      </c>
    </row>
    <row r="1049" spans="1:3" x14ac:dyDescent="0.25">
      <c r="A1049" t="s">
        <v>3727</v>
      </c>
      <c r="B1049" t="s">
        <v>3728</v>
      </c>
      <c r="C1049" t="s">
        <v>3727</v>
      </c>
    </row>
    <row r="1050" spans="1:3" x14ac:dyDescent="0.25">
      <c r="A1050" t="s">
        <v>3729</v>
      </c>
      <c r="B1050" t="s">
        <v>3730</v>
      </c>
      <c r="C1050" t="s">
        <v>3729</v>
      </c>
    </row>
    <row r="1051" spans="1:3" x14ac:dyDescent="0.25">
      <c r="A1051" t="s">
        <v>3731</v>
      </c>
      <c r="B1051" t="s">
        <v>3732</v>
      </c>
      <c r="C1051" t="s">
        <v>3731</v>
      </c>
    </row>
    <row r="1052" spans="1:3" x14ac:dyDescent="0.25">
      <c r="A1052" t="s">
        <v>3731</v>
      </c>
      <c r="B1052" t="s">
        <v>3733</v>
      </c>
      <c r="C1052" t="s">
        <v>3731</v>
      </c>
    </row>
    <row r="1053" spans="1:3" x14ac:dyDescent="0.25">
      <c r="A1053" t="s">
        <v>3734</v>
      </c>
      <c r="B1053" t="s">
        <v>3735</v>
      </c>
      <c r="C1053" t="s">
        <v>3734</v>
      </c>
    </row>
    <row r="1054" spans="1:3" x14ac:dyDescent="0.25">
      <c r="A1054" t="s">
        <v>3736</v>
      </c>
      <c r="B1054" t="s">
        <v>3737</v>
      </c>
      <c r="C1054" t="s">
        <v>3736</v>
      </c>
    </row>
    <row r="1055" spans="1:3" x14ac:dyDescent="0.25">
      <c r="A1055" t="s">
        <v>3738</v>
      </c>
      <c r="B1055" t="s">
        <v>3739</v>
      </c>
      <c r="C1055" t="s">
        <v>3738</v>
      </c>
    </row>
    <row r="1056" spans="1:3" x14ac:dyDescent="0.25">
      <c r="A1056" t="s">
        <v>3740</v>
      </c>
      <c r="B1056" t="s">
        <v>3741</v>
      </c>
      <c r="C1056" t="s">
        <v>3740</v>
      </c>
    </row>
    <row r="1057" spans="1:3" x14ac:dyDescent="0.25">
      <c r="A1057" t="s">
        <v>3742</v>
      </c>
      <c r="B1057" t="s">
        <v>3743</v>
      </c>
      <c r="C1057" t="s">
        <v>3742</v>
      </c>
    </row>
    <row r="1058" spans="1:3" x14ac:dyDescent="0.25">
      <c r="A1058" t="s">
        <v>3744</v>
      </c>
      <c r="B1058" t="s">
        <v>3745</v>
      </c>
      <c r="C1058" t="s">
        <v>3744</v>
      </c>
    </row>
    <row r="1059" spans="1:3" x14ac:dyDescent="0.25">
      <c r="A1059" t="s">
        <v>3746</v>
      </c>
      <c r="B1059" t="s">
        <v>3747</v>
      </c>
      <c r="C1059" t="s">
        <v>3746</v>
      </c>
    </row>
    <row r="1060" spans="1:3" x14ac:dyDescent="0.25">
      <c r="A1060" t="s">
        <v>3748</v>
      </c>
      <c r="B1060" t="s">
        <v>3749</v>
      </c>
      <c r="C1060" t="s">
        <v>3748</v>
      </c>
    </row>
    <row r="1061" spans="1:3" x14ac:dyDescent="0.25">
      <c r="A1061" t="s">
        <v>3750</v>
      </c>
      <c r="B1061" t="s">
        <v>3751</v>
      </c>
      <c r="C1061" t="s">
        <v>3750</v>
      </c>
    </row>
    <row r="1062" spans="1:3" x14ac:dyDescent="0.25">
      <c r="A1062" t="s">
        <v>3752</v>
      </c>
      <c r="B1062" t="s">
        <v>3753</v>
      </c>
      <c r="C1062" t="s">
        <v>3752</v>
      </c>
    </row>
    <row r="1063" spans="1:3" x14ac:dyDescent="0.25">
      <c r="A1063" t="s">
        <v>133</v>
      </c>
      <c r="B1063" t="s">
        <v>3754</v>
      </c>
      <c r="C1063" t="s">
        <v>133</v>
      </c>
    </row>
    <row r="1064" spans="1:3" x14ac:dyDescent="0.25">
      <c r="A1064" t="s">
        <v>3755</v>
      </c>
      <c r="B1064" t="s">
        <v>3756</v>
      </c>
      <c r="C1064" t="s">
        <v>3755</v>
      </c>
    </row>
    <row r="1065" spans="1:3" x14ac:dyDescent="0.25">
      <c r="A1065" t="s">
        <v>5182</v>
      </c>
      <c r="B1065" t="s">
        <v>5183</v>
      </c>
      <c r="C1065" t="s">
        <v>5182</v>
      </c>
    </row>
    <row r="1066" spans="1:3" x14ac:dyDescent="0.25">
      <c r="A1066" t="s">
        <v>3757</v>
      </c>
      <c r="B1066" t="s">
        <v>3758</v>
      </c>
      <c r="C1066" t="s">
        <v>3757</v>
      </c>
    </row>
    <row r="1067" spans="1:3" x14ac:dyDescent="0.25">
      <c r="A1067" t="s">
        <v>3759</v>
      </c>
      <c r="B1067" t="s">
        <v>3760</v>
      </c>
      <c r="C1067" t="s">
        <v>3759</v>
      </c>
    </row>
    <row r="1068" spans="1:3" x14ac:dyDescent="0.25">
      <c r="A1068" t="s">
        <v>3761</v>
      </c>
      <c r="B1068" t="s">
        <v>3762</v>
      </c>
      <c r="C1068" t="s">
        <v>3761</v>
      </c>
    </row>
    <row r="1069" spans="1:3" x14ac:dyDescent="0.25">
      <c r="A1069" t="s">
        <v>3763</v>
      </c>
      <c r="B1069" t="s">
        <v>3764</v>
      </c>
      <c r="C1069" t="s">
        <v>3763</v>
      </c>
    </row>
    <row r="1070" spans="1:3" x14ac:dyDescent="0.25">
      <c r="A1070" t="s">
        <v>3765</v>
      </c>
      <c r="B1070" t="s">
        <v>3766</v>
      </c>
      <c r="C1070" t="s">
        <v>3765</v>
      </c>
    </row>
    <row r="1071" spans="1:3" x14ac:dyDescent="0.25">
      <c r="A1071" t="s">
        <v>3767</v>
      </c>
      <c r="B1071" t="s">
        <v>3768</v>
      </c>
      <c r="C1071" t="s">
        <v>3767</v>
      </c>
    </row>
    <row r="1072" spans="1:3" x14ac:dyDescent="0.25">
      <c r="A1072" t="s">
        <v>3769</v>
      </c>
      <c r="B1072" t="s">
        <v>3770</v>
      </c>
      <c r="C1072" t="s">
        <v>3769</v>
      </c>
    </row>
    <row r="1073" spans="1:3" x14ac:dyDescent="0.25">
      <c r="A1073" t="s">
        <v>3771</v>
      </c>
      <c r="B1073" t="s">
        <v>3772</v>
      </c>
      <c r="C1073" t="s">
        <v>3771</v>
      </c>
    </row>
    <row r="1074" spans="1:3" x14ac:dyDescent="0.25">
      <c r="A1074" t="s">
        <v>3773</v>
      </c>
      <c r="B1074" t="s">
        <v>3774</v>
      </c>
      <c r="C1074" t="s">
        <v>3773</v>
      </c>
    </row>
    <row r="1075" spans="1:3" x14ac:dyDescent="0.25">
      <c r="A1075" t="s">
        <v>3775</v>
      </c>
      <c r="B1075" t="s">
        <v>3776</v>
      </c>
      <c r="C1075" t="s">
        <v>3775</v>
      </c>
    </row>
    <row r="1076" spans="1:3" x14ac:dyDescent="0.25">
      <c r="A1076" t="s">
        <v>3777</v>
      </c>
      <c r="B1076" t="s">
        <v>3778</v>
      </c>
      <c r="C1076" t="s">
        <v>3777</v>
      </c>
    </row>
    <row r="1077" spans="1:3" x14ac:dyDescent="0.25">
      <c r="A1077" t="s">
        <v>724</v>
      </c>
      <c r="B1077" t="s">
        <v>3779</v>
      </c>
      <c r="C1077" t="s">
        <v>724</v>
      </c>
    </row>
    <row r="1078" spans="1:3" x14ac:dyDescent="0.25">
      <c r="A1078" t="s">
        <v>3780</v>
      </c>
      <c r="B1078" t="s">
        <v>3781</v>
      </c>
      <c r="C1078" t="s">
        <v>3780</v>
      </c>
    </row>
    <row r="1079" spans="1:3" x14ac:dyDescent="0.25">
      <c r="A1079" t="s">
        <v>3782</v>
      </c>
      <c r="B1079" t="s">
        <v>3783</v>
      </c>
      <c r="C1079" t="s">
        <v>3782</v>
      </c>
    </row>
    <row r="1080" spans="1:3" x14ac:dyDescent="0.25">
      <c r="A1080" t="s">
        <v>296</v>
      </c>
      <c r="B1080" t="s">
        <v>2025</v>
      </c>
      <c r="C1080" t="s">
        <v>296</v>
      </c>
    </row>
    <row r="1081" spans="1:3" x14ac:dyDescent="0.25">
      <c r="A1081" t="s">
        <v>193</v>
      </c>
      <c r="B1081" t="s">
        <v>2035</v>
      </c>
      <c r="C1081" t="s">
        <v>193</v>
      </c>
    </row>
    <row r="1082" spans="1:3" x14ac:dyDescent="0.25">
      <c r="A1082" t="s">
        <v>740</v>
      </c>
      <c r="B1082" t="s">
        <v>2024</v>
      </c>
      <c r="C1082" t="s">
        <v>740</v>
      </c>
    </row>
    <row r="1083" spans="1:3" x14ac:dyDescent="0.25">
      <c r="A1083" t="s">
        <v>742</v>
      </c>
      <c r="B1083" t="s">
        <v>2145</v>
      </c>
      <c r="C1083" t="s">
        <v>742</v>
      </c>
    </row>
    <row r="1084" spans="1:3" x14ac:dyDescent="0.25">
      <c r="A1084" t="s">
        <v>688</v>
      </c>
      <c r="B1084" t="s">
        <v>1932</v>
      </c>
      <c r="C1084" t="s">
        <v>688</v>
      </c>
    </row>
    <row r="1085" spans="1:3" x14ac:dyDescent="0.25">
      <c r="A1085" t="s">
        <v>298</v>
      </c>
      <c r="B1085" t="s">
        <v>3784</v>
      </c>
      <c r="C1085" t="s">
        <v>298</v>
      </c>
    </row>
    <row r="1086" spans="1:3" x14ac:dyDescent="0.25">
      <c r="A1086" t="s">
        <v>3785</v>
      </c>
      <c r="B1086" t="s">
        <v>3786</v>
      </c>
      <c r="C1086" t="s">
        <v>3785</v>
      </c>
    </row>
    <row r="1087" spans="1:3" x14ac:dyDescent="0.25">
      <c r="A1087" t="s">
        <v>508</v>
      </c>
      <c r="B1087" t="s">
        <v>3787</v>
      </c>
      <c r="C1087" t="s">
        <v>508</v>
      </c>
    </row>
    <row r="1088" spans="1:3" x14ac:dyDescent="0.25">
      <c r="A1088" t="s">
        <v>512</v>
      </c>
      <c r="B1088" t="s">
        <v>3788</v>
      </c>
      <c r="C1088" t="s">
        <v>512</v>
      </c>
    </row>
    <row r="1089" spans="1:3" x14ac:dyDescent="0.25">
      <c r="A1089" t="s">
        <v>985</v>
      </c>
      <c r="B1089" t="s">
        <v>3789</v>
      </c>
      <c r="C1089" t="s">
        <v>985</v>
      </c>
    </row>
    <row r="1090" spans="1:3" x14ac:dyDescent="0.25">
      <c r="A1090" t="s">
        <v>1003</v>
      </c>
      <c r="B1090" t="s">
        <v>3790</v>
      </c>
      <c r="C1090" t="s">
        <v>1003</v>
      </c>
    </row>
    <row r="1091" spans="1:3" x14ac:dyDescent="0.25">
      <c r="A1091" t="s">
        <v>1027</v>
      </c>
      <c r="B1091" t="s">
        <v>3791</v>
      </c>
      <c r="C1091" t="s">
        <v>1027</v>
      </c>
    </row>
    <row r="1092" spans="1:3" x14ac:dyDescent="0.25">
      <c r="A1092" t="s">
        <v>1031</v>
      </c>
      <c r="B1092" t="s">
        <v>3792</v>
      </c>
      <c r="C1092" t="s">
        <v>1031</v>
      </c>
    </row>
    <row r="1093" spans="1:3" x14ac:dyDescent="0.25">
      <c r="A1093" t="s">
        <v>1035</v>
      </c>
      <c r="B1093" t="s">
        <v>3793</v>
      </c>
      <c r="C1093" t="s">
        <v>1035</v>
      </c>
    </row>
    <row r="1094" spans="1:3" x14ac:dyDescent="0.25">
      <c r="A1094" t="s">
        <v>1037</v>
      </c>
      <c r="B1094" t="s">
        <v>3794</v>
      </c>
      <c r="C1094" t="s">
        <v>1037</v>
      </c>
    </row>
    <row r="1095" spans="1:3" x14ac:dyDescent="0.25">
      <c r="A1095" t="s">
        <v>1039</v>
      </c>
      <c r="B1095" t="s">
        <v>3795</v>
      </c>
      <c r="C1095" t="s">
        <v>1039</v>
      </c>
    </row>
    <row r="1096" spans="1:3" x14ac:dyDescent="0.25">
      <c r="A1096" t="s">
        <v>1041</v>
      </c>
      <c r="B1096" t="s">
        <v>3796</v>
      </c>
      <c r="C1096" t="s">
        <v>1041</v>
      </c>
    </row>
    <row r="1097" spans="1:3" x14ac:dyDescent="0.25">
      <c r="A1097" t="s">
        <v>1043</v>
      </c>
      <c r="B1097" t="s">
        <v>3797</v>
      </c>
      <c r="C1097" t="s">
        <v>1043</v>
      </c>
    </row>
    <row r="1098" spans="1:3" x14ac:dyDescent="0.25">
      <c r="A1098" t="s">
        <v>1045</v>
      </c>
      <c r="B1098" t="s">
        <v>3798</v>
      </c>
      <c r="C1098" t="s">
        <v>1045</v>
      </c>
    </row>
    <row r="1099" spans="1:3" x14ac:dyDescent="0.25">
      <c r="A1099" t="s">
        <v>1049</v>
      </c>
      <c r="B1099" t="s">
        <v>3799</v>
      </c>
      <c r="C1099" t="s">
        <v>1049</v>
      </c>
    </row>
    <row r="1100" spans="1:3" x14ac:dyDescent="0.25">
      <c r="A1100" t="s">
        <v>1051</v>
      </c>
      <c r="B1100" t="s">
        <v>3800</v>
      </c>
      <c r="C1100" t="s">
        <v>1051</v>
      </c>
    </row>
    <row r="1101" spans="1:3" x14ac:dyDescent="0.25">
      <c r="A1101" t="s">
        <v>1089</v>
      </c>
      <c r="B1101" t="s">
        <v>3801</v>
      </c>
      <c r="C1101" t="s">
        <v>1089</v>
      </c>
    </row>
    <row r="1102" spans="1:3" x14ac:dyDescent="0.25">
      <c r="A1102" t="s">
        <v>1091</v>
      </c>
      <c r="B1102" t="s">
        <v>3802</v>
      </c>
      <c r="C1102" t="s">
        <v>1091</v>
      </c>
    </row>
    <row r="1103" spans="1:3" x14ac:dyDescent="0.25">
      <c r="A1103" t="s">
        <v>1093</v>
      </c>
      <c r="B1103" t="s">
        <v>3803</v>
      </c>
      <c r="C1103" t="s">
        <v>1093</v>
      </c>
    </row>
    <row r="1104" spans="1:3" x14ac:dyDescent="0.25">
      <c r="A1104" t="s">
        <v>1095</v>
      </c>
      <c r="B1104" t="s">
        <v>3804</v>
      </c>
      <c r="C1104" t="s">
        <v>1095</v>
      </c>
    </row>
    <row r="1105" spans="1:3" x14ac:dyDescent="0.25">
      <c r="A1105" t="s">
        <v>1097</v>
      </c>
      <c r="B1105" t="s">
        <v>3805</v>
      </c>
      <c r="C1105" t="s">
        <v>1097</v>
      </c>
    </row>
    <row r="1106" spans="1:3" x14ac:dyDescent="0.25">
      <c r="A1106" t="s">
        <v>1099</v>
      </c>
      <c r="B1106" t="s">
        <v>3806</v>
      </c>
      <c r="C1106" t="s">
        <v>1099</v>
      </c>
    </row>
    <row r="1107" spans="1:3" x14ac:dyDescent="0.25">
      <c r="A1107" t="s">
        <v>1101</v>
      </c>
      <c r="B1107" t="s">
        <v>3807</v>
      </c>
      <c r="C1107" t="s">
        <v>1101</v>
      </c>
    </row>
    <row r="1108" spans="1:3" x14ac:dyDescent="0.25">
      <c r="A1108" t="s">
        <v>1103</v>
      </c>
      <c r="B1108" t="s">
        <v>3808</v>
      </c>
      <c r="C1108" t="s">
        <v>1103</v>
      </c>
    </row>
    <row r="1109" spans="1:3" x14ac:dyDescent="0.25">
      <c r="A1109" t="s">
        <v>1109</v>
      </c>
      <c r="B1109" t="s">
        <v>3809</v>
      </c>
      <c r="C1109" t="s">
        <v>1109</v>
      </c>
    </row>
    <row r="1110" spans="1:3" x14ac:dyDescent="0.25">
      <c r="A1110" t="s">
        <v>1111</v>
      </c>
      <c r="B1110" t="s">
        <v>3810</v>
      </c>
      <c r="C1110" t="s">
        <v>1111</v>
      </c>
    </row>
    <row r="1111" spans="1:3" x14ac:dyDescent="0.25">
      <c r="A1111" t="s">
        <v>1229</v>
      </c>
      <c r="B1111" t="s">
        <v>3811</v>
      </c>
      <c r="C1111" t="s">
        <v>1229</v>
      </c>
    </row>
    <row r="1112" spans="1:3" x14ac:dyDescent="0.25">
      <c r="A1112" t="s">
        <v>1548</v>
      </c>
      <c r="B1112" t="s">
        <v>3812</v>
      </c>
      <c r="C1112" t="s">
        <v>1548</v>
      </c>
    </row>
    <row r="1113" spans="1:3" x14ac:dyDescent="0.25">
      <c r="A1113" t="s">
        <v>1554</v>
      </c>
      <c r="B1113" t="s">
        <v>3813</v>
      </c>
      <c r="C1113" t="s">
        <v>1554</v>
      </c>
    </row>
    <row r="1114" spans="1:3" x14ac:dyDescent="0.25">
      <c r="A1114" t="s">
        <v>1556</v>
      </c>
      <c r="B1114" t="s">
        <v>3814</v>
      </c>
      <c r="C1114" t="s">
        <v>1556</v>
      </c>
    </row>
    <row r="1115" spans="1:3" x14ac:dyDescent="0.25">
      <c r="A1115" t="s">
        <v>1686</v>
      </c>
      <c r="B1115" t="s">
        <v>3815</v>
      </c>
      <c r="C1115" t="s">
        <v>1686</v>
      </c>
    </row>
    <row r="1116" spans="1:3" x14ac:dyDescent="0.25">
      <c r="A1116" t="s">
        <v>1778</v>
      </c>
      <c r="B1116" t="s">
        <v>3816</v>
      </c>
      <c r="C1116" t="s">
        <v>1778</v>
      </c>
    </row>
    <row r="1117" spans="1:3" x14ac:dyDescent="0.25">
      <c r="A1117" t="s">
        <v>1734</v>
      </c>
      <c r="B1117" t="s">
        <v>3817</v>
      </c>
      <c r="C1117" t="s">
        <v>1734</v>
      </c>
    </row>
    <row r="1118" spans="1:3" x14ac:dyDescent="0.25">
      <c r="A1118" t="s">
        <v>1736</v>
      </c>
      <c r="B1118" t="s">
        <v>3818</v>
      </c>
      <c r="C1118" t="s">
        <v>1736</v>
      </c>
    </row>
    <row r="1119" spans="1:3" x14ac:dyDescent="0.25">
      <c r="A1119" t="s">
        <v>1738</v>
      </c>
      <c r="B1119" t="s">
        <v>3819</v>
      </c>
      <c r="C1119" t="s">
        <v>1738</v>
      </c>
    </row>
    <row r="1120" spans="1:3" x14ac:dyDescent="0.25">
      <c r="A1120" t="s">
        <v>1745</v>
      </c>
      <c r="B1120" t="s">
        <v>3820</v>
      </c>
      <c r="C1120" t="s">
        <v>1745</v>
      </c>
    </row>
    <row r="1121" spans="1:3" x14ac:dyDescent="0.25">
      <c r="A1121" t="s">
        <v>1748</v>
      </c>
      <c r="B1121" t="s">
        <v>3821</v>
      </c>
      <c r="C1121" t="s">
        <v>1748</v>
      </c>
    </row>
    <row r="1122" spans="1:3" x14ac:dyDescent="0.25">
      <c r="A1122" t="s">
        <v>1750</v>
      </c>
      <c r="B1122" t="s">
        <v>3822</v>
      </c>
      <c r="C1122" t="s">
        <v>1750</v>
      </c>
    </row>
    <row r="1123" spans="1:3" x14ac:dyDescent="0.25">
      <c r="A1123" t="s">
        <v>1752</v>
      </c>
      <c r="B1123" t="s">
        <v>3823</v>
      </c>
      <c r="C1123" t="s">
        <v>1752</v>
      </c>
    </row>
    <row r="1124" spans="1:3" x14ac:dyDescent="0.25">
      <c r="A1124" t="s">
        <v>1754</v>
      </c>
      <c r="B1124" t="s">
        <v>3824</v>
      </c>
      <c r="C1124" t="s">
        <v>1754</v>
      </c>
    </row>
    <row r="1125" spans="1:3" x14ac:dyDescent="0.25">
      <c r="A1125" t="s">
        <v>1776</v>
      </c>
      <c r="B1125" t="s">
        <v>3825</v>
      </c>
      <c r="C1125" t="s">
        <v>1776</v>
      </c>
    </row>
    <row r="1126" spans="1:3" x14ac:dyDescent="0.25">
      <c r="A1126" t="s">
        <v>1119</v>
      </c>
      <c r="B1126" t="s">
        <v>3826</v>
      </c>
      <c r="C1126" t="s">
        <v>1119</v>
      </c>
    </row>
    <row r="1127" spans="1:3" x14ac:dyDescent="0.25">
      <c r="A1127" t="s">
        <v>1121</v>
      </c>
      <c r="B1127" t="s">
        <v>3827</v>
      </c>
      <c r="C1127" t="s">
        <v>1121</v>
      </c>
    </row>
    <row r="1128" spans="1:3" x14ac:dyDescent="0.25">
      <c r="A1128" t="s">
        <v>1123</v>
      </c>
      <c r="B1128" t="s">
        <v>3828</v>
      </c>
      <c r="C1128" t="s">
        <v>1123</v>
      </c>
    </row>
    <row r="1129" spans="1:3" x14ac:dyDescent="0.25">
      <c r="A1129" t="s">
        <v>1129</v>
      </c>
      <c r="B1129" t="s">
        <v>3829</v>
      </c>
      <c r="C1129" t="s">
        <v>1129</v>
      </c>
    </row>
    <row r="1130" spans="1:3" x14ac:dyDescent="0.25">
      <c r="A1130" t="s">
        <v>1131</v>
      </c>
      <c r="B1130" t="s">
        <v>3830</v>
      </c>
      <c r="C1130" t="s">
        <v>1131</v>
      </c>
    </row>
    <row r="1131" spans="1:3" x14ac:dyDescent="0.25">
      <c r="A1131" t="s">
        <v>1133</v>
      </c>
      <c r="B1131" t="s">
        <v>3831</v>
      </c>
      <c r="C1131" t="s">
        <v>1133</v>
      </c>
    </row>
    <row r="1132" spans="1:3" x14ac:dyDescent="0.25">
      <c r="A1132" t="s">
        <v>1135</v>
      </c>
      <c r="B1132" t="s">
        <v>3832</v>
      </c>
      <c r="C1132" t="s">
        <v>1135</v>
      </c>
    </row>
    <row r="1133" spans="1:3" x14ac:dyDescent="0.25">
      <c r="A1133" t="s">
        <v>1137</v>
      </c>
      <c r="B1133" t="s">
        <v>3833</v>
      </c>
      <c r="C1133" t="s">
        <v>1137</v>
      </c>
    </row>
    <row r="1134" spans="1:3" x14ac:dyDescent="0.25">
      <c r="A1134" t="s">
        <v>1139</v>
      </c>
      <c r="B1134" t="s">
        <v>3834</v>
      </c>
      <c r="C1134" t="s">
        <v>1139</v>
      </c>
    </row>
    <row r="1135" spans="1:3" x14ac:dyDescent="0.25">
      <c r="A1135" t="s">
        <v>1143</v>
      </c>
      <c r="B1135" t="s">
        <v>3835</v>
      </c>
      <c r="C1135" t="s">
        <v>1143</v>
      </c>
    </row>
    <row r="1136" spans="1:3" x14ac:dyDescent="0.25">
      <c r="A1136" t="s">
        <v>1149</v>
      </c>
      <c r="B1136" t="s">
        <v>3836</v>
      </c>
      <c r="C1136" t="s">
        <v>1149</v>
      </c>
    </row>
    <row r="1137" spans="1:3" x14ac:dyDescent="0.25">
      <c r="A1137" t="s">
        <v>1159</v>
      </c>
      <c r="B1137" t="s">
        <v>3837</v>
      </c>
      <c r="C1137" t="s">
        <v>1159</v>
      </c>
    </row>
    <row r="1138" spans="1:3" x14ac:dyDescent="0.25">
      <c r="A1138" t="s">
        <v>1167</v>
      </c>
      <c r="B1138" t="s">
        <v>3838</v>
      </c>
      <c r="C1138" t="s">
        <v>1167</v>
      </c>
    </row>
    <row r="1139" spans="1:3" x14ac:dyDescent="0.25">
      <c r="A1139" t="s">
        <v>1171</v>
      </c>
      <c r="B1139" t="s">
        <v>3839</v>
      </c>
      <c r="C1139" t="s">
        <v>1171</v>
      </c>
    </row>
    <row r="1140" spans="1:3" x14ac:dyDescent="0.25">
      <c r="A1140" t="s">
        <v>1173</v>
      </c>
      <c r="B1140" t="s">
        <v>3840</v>
      </c>
      <c r="C1140" t="s">
        <v>1173</v>
      </c>
    </row>
    <row r="1141" spans="1:3" x14ac:dyDescent="0.25">
      <c r="A1141" t="s">
        <v>1177</v>
      </c>
      <c r="B1141" t="s">
        <v>3841</v>
      </c>
      <c r="C1141" t="s">
        <v>1177</v>
      </c>
    </row>
    <row r="1142" spans="1:3" x14ac:dyDescent="0.25">
      <c r="A1142" t="s">
        <v>1181</v>
      </c>
      <c r="B1142" t="s">
        <v>3842</v>
      </c>
      <c r="C1142" t="s">
        <v>1181</v>
      </c>
    </row>
    <row r="1143" spans="1:3" x14ac:dyDescent="0.25">
      <c r="A1143" t="s">
        <v>1183</v>
      </c>
      <c r="B1143" t="s">
        <v>3843</v>
      </c>
      <c r="C1143" t="s">
        <v>1183</v>
      </c>
    </row>
    <row r="1144" spans="1:3" x14ac:dyDescent="0.25">
      <c r="A1144" t="s">
        <v>1185</v>
      </c>
      <c r="B1144" t="s">
        <v>3844</v>
      </c>
      <c r="C1144" t="s">
        <v>1185</v>
      </c>
    </row>
    <row r="1145" spans="1:3" x14ac:dyDescent="0.25">
      <c r="A1145" t="s">
        <v>1191</v>
      </c>
      <c r="B1145" t="s">
        <v>3845</v>
      </c>
      <c r="C1145" t="s">
        <v>1191</v>
      </c>
    </row>
    <row r="1146" spans="1:3" x14ac:dyDescent="0.25">
      <c r="A1146" t="s">
        <v>1207</v>
      </c>
      <c r="B1146" t="s">
        <v>3846</v>
      </c>
      <c r="C1146" t="s">
        <v>1207</v>
      </c>
    </row>
    <row r="1147" spans="1:3" x14ac:dyDescent="0.25">
      <c r="A1147" t="s">
        <v>1211</v>
      </c>
      <c r="B1147" t="s">
        <v>3847</v>
      </c>
      <c r="C1147" t="s">
        <v>1211</v>
      </c>
    </row>
    <row r="1148" spans="1:3" x14ac:dyDescent="0.25">
      <c r="A1148" t="s">
        <v>1213</v>
      </c>
      <c r="B1148" t="s">
        <v>3848</v>
      </c>
      <c r="C1148" t="s">
        <v>1213</v>
      </c>
    </row>
    <row r="1149" spans="1:3" x14ac:dyDescent="0.25">
      <c r="A1149" t="s">
        <v>1217</v>
      </c>
      <c r="B1149" t="s">
        <v>3849</v>
      </c>
      <c r="C1149" t="s">
        <v>1217</v>
      </c>
    </row>
    <row r="1150" spans="1:3" x14ac:dyDescent="0.25">
      <c r="A1150" t="s">
        <v>1225</v>
      </c>
      <c r="B1150" t="s">
        <v>3850</v>
      </c>
      <c r="C1150" t="s">
        <v>1225</v>
      </c>
    </row>
    <row r="1151" spans="1:3" x14ac:dyDescent="0.25">
      <c r="A1151" t="s">
        <v>1239</v>
      </c>
      <c r="B1151" t="s">
        <v>3851</v>
      </c>
      <c r="C1151" t="s">
        <v>1239</v>
      </c>
    </row>
    <row r="1152" spans="1:3" x14ac:dyDescent="0.25">
      <c r="A1152" t="s">
        <v>1247</v>
      </c>
      <c r="B1152" t="s">
        <v>3852</v>
      </c>
      <c r="C1152" t="s">
        <v>1247</v>
      </c>
    </row>
    <row r="1153" spans="1:3" x14ac:dyDescent="0.25">
      <c r="A1153" t="s">
        <v>1256</v>
      </c>
      <c r="B1153" t="s">
        <v>3853</v>
      </c>
      <c r="C1153" t="s">
        <v>1256</v>
      </c>
    </row>
    <row r="1154" spans="1:3" x14ac:dyDescent="0.25">
      <c r="A1154" t="s">
        <v>1262</v>
      </c>
      <c r="B1154" t="s">
        <v>3854</v>
      </c>
      <c r="C1154" t="s">
        <v>1262</v>
      </c>
    </row>
    <row r="1155" spans="1:3" x14ac:dyDescent="0.25">
      <c r="A1155" t="s">
        <v>1270</v>
      </c>
      <c r="B1155" t="s">
        <v>3855</v>
      </c>
      <c r="C1155" t="s">
        <v>1270</v>
      </c>
    </row>
    <row r="1156" spans="1:3" x14ac:dyDescent="0.25">
      <c r="A1156" t="s">
        <v>1290</v>
      </c>
      <c r="B1156" t="s">
        <v>3856</v>
      </c>
      <c r="C1156" t="s">
        <v>1290</v>
      </c>
    </row>
    <row r="1157" spans="1:3" x14ac:dyDescent="0.25">
      <c r="A1157" t="s">
        <v>1292</v>
      </c>
      <c r="B1157" t="s">
        <v>3857</v>
      </c>
      <c r="C1157" t="s">
        <v>1292</v>
      </c>
    </row>
    <row r="1158" spans="1:3" x14ac:dyDescent="0.25">
      <c r="A1158" t="s">
        <v>1296</v>
      </c>
      <c r="B1158" t="s">
        <v>3858</v>
      </c>
      <c r="C1158" t="s">
        <v>1296</v>
      </c>
    </row>
    <row r="1159" spans="1:3" x14ac:dyDescent="0.25">
      <c r="A1159" t="s">
        <v>1303</v>
      </c>
      <c r="B1159" t="s">
        <v>3859</v>
      </c>
      <c r="C1159" t="s">
        <v>1303</v>
      </c>
    </row>
    <row r="1160" spans="1:3" x14ac:dyDescent="0.25">
      <c r="A1160" t="s">
        <v>1306</v>
      </c>
      <c r="B1160" t="s">
        <v>3860</v>
      </c>
      <c r="C1160" t="s">
        <v>1306</v>
      </c>
    </row>
    <row r="1161" spans="1:3" x14ac:dyDescent="0.25">
      <c r="A1161" t="s">
        <v>1345</v>
      </c>
      <c r="B1161" t="s">
        <v>3861</v>
      </c>
      <c r="C1161" t="s">
        <v>1345</v>
      </c>
    </row>
    <row r="1162" spans="1:3" x14ac:dyDescent="0.25">
      <c r="A1162" t="s">
        <v>1349</v>
      </c>
      <c r="B1162" t="s">
        <v>3862</v>
      </c>
      <c r="C1162" t="s">
        <v>1349</v>
      </c>
    </row>
    <row r="1163" spans="1:3" x14ac:dyDescent="0.25">
      <c r="A1163" t="s">
        <v>1352</v>
      </c>
      <c r="B1163" t="s">
        <v>3863</v>
      </c>
      <c r="C1163" t="s">
        <v>1352</v>
      </c>
    </row>
    <row r="1164" spans="1:3" x14ac:dyDescent="0.25">
      <c r="A1164" t="s">
        <v>1354</v>
      </c>
      <c r="B1164" t="s">
        <v>3864</v>
      </c>
      <c r="C1164" t="s">
        <v>1354</v>
      </c>
    </row>
    <row r="1165" spans="1:3" x14ac:dyDescent="0.25">
      <c r="A1165" t="s">
        <v>1356</v>
      </c>
      <c r="B1165" t="s">
        <v>3865</v>
      </c>
      <c r="C1165" t="s">
        <v>1356</v>
      </c>
    </row>
    <row r="1166" spans="1:3" x14ac:dyDescent="0.25">
      <c r="A1166" t="s">
        <v>1359</v>
      </c>
      <c r="B1166" t="s">
        <v>3866</v>
      </c>
      <c r="C1166" t="s">
        <v>1359</v>
      </c>
    </row>
    <row r="1167" spans="1:3" x14ac:dyDescent="0.25">
      <c r="A1167" t="s">
        <v>1363</v>
      </c>
      <c r="B1167" t="s">
        <v>3867</v>
      </c>
      <c r="C1167" t="s">
        <v>1363</v>
      </c>
    </row>
    <row r="1168" spans="1:3" x14ac:dyDescent="0.25">
      <c r="A1168" t="s">
        <v>1366</v>
      </c>
      <c r="B1168" t="s">
        <v>3868</v>
      </c>
      <c r="C1168" t="s">
        <v>1366</v>
      </c>
    </row>
    <row r="1169" spans="1:3" x14ac:dyDescent="0.25">
      <c r="A1169" t="s">
        <v>1368</v>
      </c>
      <c r="B1169" t="s">
        <v>3869</v>
      </c>
      <c r="C1169" t="s">
        <v>1368</v>
      </c>
    </row>
    <row r="1170" spans="1:3" x14ac:dyDescent="0.25">
      <c r="A1170" t="s">
        <v>1371</v>
      </c>
      <c r="B1170" t="s">
        <v>3870</v>
      </c>
      <c r="C1170" t="s">
        <v>1371</v>
      </c>
    </row>
    <row r="1171" spans="1:3" x14ac:dyDescent="0.25">
      <c r="A1171" t="s">
        <v>1374</v>
      </c>
      <c r="B1171" t="s">
        <v>3871</v>
      </c>
      <c r="C1171" t="s">
        <v>1374</v>
      </c>
    </row>
    <row r="1172" spans="1:3" x14ac:dyDescent="0.25">
      <c r="A1172" t="s">
        <v>1392</v>
      </c>
      <c r="B1172" t="s">
        <v>3872</v>
      </c>
      <c r="C1172" t="s">
        <v>1392</v>
      </c>
    </row>
    <row r="1173" spans="1:3" x14ac:dyDescent="0.25">
      <c r="A1173" t="s">
        <v>1395</v>
      </c>
      <c r="B1173" t="s">
        <v>3873</v>
      </c>
      <c r="C1173" t="s">
        <v>1395</v>
      </c>
    </row>
    <row r="1174" spans="1:3" x14ac:dyDescent="0.25">
      <c r="A1174" t="s">
        <v>1398</v>
      </c>
      <c r="B1174" t="s">
        <v>3874</v>
      </c>
      <c r="C1174" t="s">
        <v>1398</v>
      </c>
    </row>
    <row r="1175" spans="1:3" x14ac:dyDescent="0.25">
      <c r="A1175" t="s">
        <v>1401</v>
      </c>
      <c r="B1175" t="s">
        <v>3875</v>
      </c>
      <c r="C1175" t="s">
        <v>1401</v>
      </c>
    </row>
    <row r="1176" spans="1:3" x14ac:dyDescent="0.25">
      <c r="A1176" t="s">
        <v>1404</v>
      </c>
      <c r="B1176" t="s">
        <v>3876</v>
      </c>
      <c r="C1176" t="s">
        <v>1404</v>
      </c>
    </row>
    <row r="1177" spans="1:3" x14ac:dyDescent="0.25">
      <c r="A1177" t="s">
        <v>1409</v>
      </c>
      <c r="B1177" t="s">
        <v>3877</v>
      </c>
      <c r="C1177" t="s">
        <v>1409</v>
      </c>
    </row>
    <row r="1178" spans="1:3" x14ac:dyDescent="0.25">
      <c r="A1178" t="s">
        <v>1413</v>
      </c>
      <c r="B1178" t="s">
        <v>3878</v>
      </c>
      <c r="C1178" t="s">
        <v>1413</v>
      </c>
    </row>
    <row r="1179" spans="1:3" x14ac:dyDescent="0.25">
      <c r="A1179" t="s">
        <v>1416</v>
      </c>
      <c r="B1179" t="s">
        <v>3879</v>
      </c>
      <c r="C1179" t="s">
        <v>1416</v>
      </c>
    </row>
    <row r="1180" spans="1:3" x14ac:dyDescent="0.25">
      <c r="A1180" t="s">
        <v>1419</v>
      </c>
      <c r="B1180" t="s">
        <v>3880</v>
      </c>
      <c r="C1180" t="s">
        <v>1419</v>
      </c>
    </row>
    <row r="1181" spans="1:3" x14ac:dyDescent="0.25">
      <c r="A1181" t="s">
        <v>1422</v>
      </c>
      <c r="B1181" t="s">
        <v>3881</v>
      </c>
      <c r="C1181" t="s">
        <v>1422</v>
      </c>
    </row>
    <row r="1182" spans="1:3" x14ac:dyDescent="0.25">
      <c r="A1182" t="s">
        <v>1429</v>
      </c>
      <c r="B1182" t="s">
        <v>3882</v>
      </c>
      <c r="C1182" t="s">
        <v>1429</v>
      </c>
    </row>
    <row r="1183" spans="1:3" x14ac:dyDescent="0.25">
      <c r="A1183" t="s">
        <v>1433</v>
      </c>
      <c r="B1183" t="s">
        <v>3883</v>
      </c>
      <c r="C1183" t="s">
        <v>1433</v>
      </c>
    </row>
    <row r="1184" spans="1:3" x14ac:dyDescent="0.25">
      <c r="A1184" t="s">
        <v>1447</v>
      </c>
      <c r="B1184" t="s">
        <v>3884</v>
      </c>
      <c r="C1184" t="s">
        <v>1447</v>
      </c>
    </row>
    <row r="1185" spans="1:3" x14ac:dyDescent="0.25">
      <c r="A1185" t="s">
        <v>1453</v>
      </c>
      <c r="B1185" t="s">
        <v>3885</v>
      </c>
      <c r="C1185" t="s">
        <v>1453</v>
      </c>
    </row>
    <row r="1186" spans="1:3" x14ac:dyDescent="0.25">
      <c r="A1186" t="s">
        <v>1456</v>
      </c>
      <c r="B1186" t="s">
        <v>3886</v>
      </c>
      <c r="C1186" t="s">
        <v>1456</v>
      </c>
    </row>
    <row r="1187" spans="1:3" x14ac:dyDescent="0.25">
      <c r="A1187" t="s">
        <v>1459</v>
      </c>
      <c r="B1187" t="s">
        <v>3887</v>
      </c>
      <c r="C1187" t="s">
        <v>1459</v>
      </c>
    </row>
    <row r="1188" spans="1:3" x14ac:dyDescent="0.25">
      <c r="A1188" t="s">
        <v>1463</v>
      </c>
      <c r="B1188" t="s">
        <v>3888</v>
      </c>
      <c r="C1188" t="s">
        <v>1463</v>
      </c>
    </row>
    <row r="1189" spans="1:3" x14ac:dyDescent="0.25">
      <c r="A1189" t="s">
        <v>1471</v>
      </c>
      <c r="B1189" t="s">
        <v>3889</v>
      </c>
      <c r="C1189" t="s">
        <v>1471</v>
      </c>
    </row>
    <row r="1190" spans="1:3" x14ac:dyDescent="0.25">
      <c r="A1190" t="s">
        <v>1474</v>
      </c>
      <c r="B1190" t="s">
        <v>3890</v>
      </c>
      <c r="C1190" t="s">
        <v>1474</v>
      </c>
    </row>
    <row r="1191" spans="1:3" x14ac:dyDescent="0.25">
      <c r="A1191" t="s">
        <v>1478</v>
      </c>
      <c r="B1191" t="s">
        <v>3891</v>
      </c>
      <c r="C1191" t="s">
        <v>1478</v>
      </c>
    </row>
    <row r="1192" spans="1:3" x14ac:dyDescent="0.25">
      <c r="A1192" t="s">
        <v>1481</v>
      </c>
      <c r="B1192" t="s">
        <v>3892</v>
      </c>
      <c r="C1192" t="s">
        <v>1481</v>
      </c>
    </row>
    <row r="1193" spans="1:3" x14ac:dyDescent="0.25">
      <c r="A1193" t="s">
        <v>1483</v>
      </c>
      <c r="B1193" t="s">
        <v>3893</v>
      </c>
      <c r="C1193" t="s">
        <v>1483</v>
      </c>
    </row>
    <row r="1194" spans="1:3" x14ac:dyDescent="0.25">
      <c r="A1194" t="s">
        <v>1486</v>
      </c>
      <c r="B1194" t="s">
        <v>3894</v>
      </c>
      <c r="C1194" t="s">
        <v>1486</v>
      </c>
    </row>
    <row r="1195" spans="1:3" x14ac:dyDescent="0.25">
      <c r="A1195" t="s">
        <v>1489</v>
      </c>
      <c r="B1195" t="s">
        <v>3895</v>
      </c>
      <c r="C1195" t="s">
        <v>1489</v>
      </c>
    </row>
    <row r="1196" spans="1:3" x14ac:dyDescent="0.25">
      <c r="A1196" t="s">
        <v>1491</v>
      </c>
      <c r="B1196" t="s">
        <v>3896</v>
      </c>
      <c r="C1196" t="s">
        <v>1491</v>
      </c>
    </row>
    <row r="1197" spans="1:3" x14ac:dyDescent="0.25">
      <c r="A1197" t="s">
        <v>1494</v>
      </c>
      <c r="B1197" t="s">
        <v>3897</v>
      </c>
      <c r="C1197" t="s">
        <v>1494</v>
      </c>
    </row>
    <row r="1198" spans="1:3" x14ac:dyDescent="0.25">
      <c r="A1198" t="s">
        <v>1497</v>
      </c>
      <c r="B1198" t="s">
        <v>3898</v>
      </c>
      <c r="C1198" t="s">
        <v>1497</v>
      </c>
    </row>
    <row r="1199" spans="1:3" x14ac:dyDescent="0.25">
      <c r="A1199" t="s">
        <v>1500</v>
      </c>
      <c r="B1199" t="s">
        <v>3899</v>
      </c>
      <c r="C1199" t="s">
        <v>1500</v>
      </c>
    </row>
    <row r="1200" spans="1:3" x14ac:dyDescent="0.25">
      <c r="A1200" t="s">
        <v>1503</v>
      </c>
      <c r="B1200" t="s">
        <v>3900</v>
      </c>
      <c r="C1200" t="s">
        <v>1503</v>
      </c>
    </row>
    <row r="1201" spans="1:3" x14ac:dyDescent="0.25">
      <c r="A1201" t="s">
        <v>1506</v>
      </c>
      <c r="B1201" t="s">
        <v>3901</v>
      </c>
      <c r="C1201" t="s">
        <v>1506</v>
      </c>
    </row>
    <row r="1202" spans="1:3" x14ac:dyDescent="0.25">
      <c r="A1202" t="s">
        <v>1509</v>
      </c>
      <c r="B1202" t="s">
        <v>3902</v>
      </c>
      <c r="C1202" t="s">
        <v>1509</v>
      </c>
    </row>
    <row r="1203" spans="1:3" x14ac:dyDescent="0.25">
      <c r="A1203" t="s">
        <v>1511</v>
      </c>
      <c r="B1203" t="s">
        <v>3903</v>
      </c>
      <c r="C1203" t="s">
        <v>1511</v>
      </c>
    </row>
    <row r="1204" spans="1:3" x14ac:dyDescent="0.25">
      <c r="A1204" t="s">
        <v>1515</v>
      </c>
      <c r="B1204" t="s">
        <v>3904</v>
      </c>
      <c r="C1204" t="s">
        <v>1515</v>
      </c>
    </row>
    <row r="1205" spans="1:3" x14ac:dyDescent="0.25">
      <c r="A1205" t="s">
        <v>1559</v>
      </c>
      <c r="B1205" t="s">
        <v>3905</v>
      </c>
      <c r="C1205" t="s">
        <v>1559</v>
      </c>
    </row>
    <row r="1206" spans="1:3" x14ac:dyDescent="0.25">
      <c r="A1206" t="s">
        <v>1561</v>
      </c>
      <c r="B1206" t="s">
        <v>3906</v>
      </c>
      <c r="C1206" t="s">
        <v>1561</v>
      </c>
    </row>
    <row r="1207" spans="1:3" x14ac:dyDescent="0.25">
      <c r="A1207" t="s">
        <v>1563</v>
      </c>
      <c r="B1207" t="s">
        <v>3907</v>
      </c>
      <c r="C1207" t="s">
        <v>1563</v>
      </c>
    </row>
    <row r="1208" spans="1:3" x14ac:dyDescent="0.25">
      <c r="A1208" t="s">
        <v>1565</v>
      </c>
      <c r="B1208" t="s">
        <v>3908</v>
      </c>
      <c r="C1208" t="s">
        <v>1565</v>
      </c>
    </row>
    <row r="1209" spans="1:3" x14ac:dyDescent="0.25">
      <c r="A1209" t="s">
        <v>1568</v>
      </c>
      <c r="B1209" t="s">
        <v>3909</v>
      </c>
      <c r="C1209" t="s">
        <v>1568</v>
      </c>
    </row>
    <row r="1210" spans="1:3" x14ac:dyDescent="0.25">
      <c r="A1210" t="s">
        <v>1571</v>
      </c>
      <c r="B1210" t="s">
        <v>3910</v>
      </c>
      <c r="C1210" t="s">
        <v>1571</v>
      </c>
    </row>
    <row r="1211" spans="1:3" x14ac:dyDescent="0.25">
      <c r="A1211" t="s">
        <v>1574</v>
      </c>
      <c r="B1211" t="s">
        <v>3911</v>
      </c>
      <c r="C1211" t="s">
        <v>1574</v>
      </c>
    </row>
    <row r="1212" spans="1:3" x14ac:dyDescent="0.25">
      <c r="A1212" t="s">
        <v>1579</v>
      </c>
      <c r="B1212" t="s">
        <v>3912</v>
      </c>
      <c r="C1212" t="s">
        <v>1579</v>
      </c>
    </row>
    <row r="1213" spans="1:3" x14ac:dyDescent="0.25">
      <c r="A1213" t="s">
        <v>1582</v>
      </c>
      <c r="B1213" t="s">
        <v>3913</v>
      </c>
      <c r="C1213" t="s">
        <v>1582</v>
      </c>
    </row>
    <row r="1214" spans="1:3" x14ac:dyDescent="0.25">
      <c r="A1214" t="s">
        <v>1585</v>
      </c>
      <c r="B1214" t="s">
        <v>3914</v>
      </c>
      <c r="C1214" t="s">
        <v>1585</v>
      </c>
    </row>
    <row r="1215" spans="1:3" x14ac:dyDescent="0.25">
      <c r="A1215" t="s">
        <v>1587</v>
      </c>
      <c r="B1215" t="s">
        <v>3915</v>
      </c>
      <c r="C1215" t="s">
        <v>1587</v>
      </c>
    </row>
    <row r="1216" spans="1:3" x14ac:dyDescent="0.25">
      <c r="A1216" t="s">
        <v>1589</v>
      </c>
      <c r="B1216" t="s">
        <v>3916</v>
      </c>
      <c r="C1216" t="s">
        <v>1589</v>
      </c>
    </row>
    <row r="1217" spans="1:3" x14ac:dyDescent="0.25">
      <c r="A1217" t="s">
        <v>1601</v>
      </c>
      <c r="B1217" t="s">
        <v>3917</v>
      </c>
      <c r="C1217" t="s">
        <v>1601</v>
      </c>
    </row>
    <row r="1218" spans="1:3" x14ac:dyDescent="0.25">
      <c r="A1218" t="s">
        <v>1615</v>
      </c>
      <c r="B1218" t="s">
        <v>3918</v>
      </c>
      <c r="C1218" t="s">
        <v>1615</v>
      </c>
    </row>
    <row r="1219" spans="1:3" x14ac:dyDescent="0.25">
      <c r="A1219" t="s">
        <v>1618</v>
      </c>
      <c r="B1219" t="s">
        <v>3919</v>
      </c>
      <c r="C1219" t="s">
        <v>1618</v>
      </c>
    </row>
    <row r="1220" spans="1:3" x14ac:dyDescent="0.25">
      <c r="A1220" t="s">
        <v>1621</v>
      </c>
      <c r="B1220" t="s">
        <v>3920</v>
      </c>
      <c r="C1220" t="s">
        <v>1621</v>
      </c>
    </row>
    <row r="1221" spans="1:3" x14ac:dyDescent="0.25">
      <c r="A1221" t="s">
        <v>1623</v>
      </c>
      <c r="B1221" t="s">
        <v>3921</v>
      </c>
      <c r="C1221" t="s">
        <v>1623</v>
      </c>
    </row>
    <row r="1222" spans="1:3" x14ac:dyDescent="0.25">
      <c r="A1222" t="s">
        <v>1626</v>
      </c>
      <c r="B1222" t="s">
        <v>3922</v>
      </c>
      <c r="C1222" t="s">
        <v>1626</v>
      </c>
    </row>
    <row r="1223" spans="1:3" x14ac:dyDescent="0.25">
      <c r="A1223" t="s">
        <v>1630</v>
      </c>
      <c r="B1223" t="s">
        <v>3923</v>
      </c>
      <c r="C1223" t="s">
        <v>1630</v>
      </c>
    </row>
    <row r="1224" spans="1:3" x14ac:dyDescent="0.25">
      <c r="A1224" t="s">
        <v>1634</v>
      </c>
      <c r="B1224" t="s">
        <v>3924</v>
      </c>
      <c r="C1224" t="s">
        <v>1634</v>
      </c>
    </row>
    <row r="1225" spans="1:3" x14ac:dyDescent="0.25">
      <c r="A1225" t="s">
        <v>1640</v>
      </c>
      <c r="B1225" t="s">
        <v>3925</v>
      </c>
      <c r="C1225" t="s">
        <v>1640</v>
      </c>
    </row>
    <row r="1226" spans="1:3" x14ac:dyDescent="0.25">
      <c r="A1226" t="s">
        <v>1645</v>
      </c>
      <c r="B1226" t="s">
        <v>3926</v>
      </c>
      <c r="C1226" t="s">
        <v>1645</v>
      </c>
    </row>
    <row r="1227" spans="1:3" x14ac:dyDescent="0.25">
      <c r="A1227" t="s">
        <v>1648</v>
      </c>
      <c r="B1227" t="s">
        <v>3927</v>
      </c>
      <c r="C1227" t="s">
        <v>1648</v>
      </c>
    </row>
    <row r="1228" spans="1:3" x14ac:dyDescent="0.25">
      <c r="A1228" t="s">
        <v>1652</v>
      </c>
      <c r="B1228" t="s">
        <v>3928</v>
      </c>
      <c r="C1228" t="s">
        <v>1652</v>
      </c>
    </row>
    <row r="1229" spans="1:3" x14ac:dyDescent="0.25">
      <c r="A1229" t="s">
        <v>1781</v>
      </c>
      <c r="B1229" t="s">
        <v>3929</v>
      </c>
      <c r="C1229" t="s">
        <v>1781</v>
      </c>
    </row>
    <row r="1230" spans="1:3" x14ac:dyDescent="0.25">
      <c r="A1230" t="s">
        <v>1783</v>
      </c>
      <c r="B1230" t="s">
        <v>3930</v>
      </c>
      <c r="C1230" t="s">
        <v>1783</v>
      </c>
    </row>
    <row r="1231" spans="1:3" x14ac:dyDescent="0.25">
      <c r="A1231" t="s">
        <v>1785</v>
      </c>
      <c r="B1231" t="s">
        <v>3931</v>
      </c>
      <c r="C1231" t="s">
        <v>1785</v>
      </c>
    </row>
    <row r="1232" spans="1:3" x14ac:dyDescent="0.25">
      <c r="A1232" t="s">
        <v>3932</v>
      </c>
      <c r="B1232" t="s">
        <v>3933</v>
      </c>
      <c r="C1232" t="s">
        <v>3932</v>
      </c>
    </row>
    <row r="1233" spans="1:3" x14ac:dyDescent="0.25">
      <c r="A1233" t="s">
        <v>3934</v>
      </c>
      <c r="B1233" t="s">
        <v>3935</v>
      </c>
      <c r="C1233" t="s">
        <v>3934</v>
      </c>
    </row>
    <row r="1234" spans="1:3" x14ac:dyDescent="0.25">
      <c r="A1234" t="s">
        <v>3936</v>
      </c>
      <c r="B1234" t="s">
        <v>3937</v>
      </c>
      <c r="C1234" t="s">
        <v>3936</v>
      </c>
    </row>
    <row r="1235" spans="1:3" x14ac:dyDescent="0.25">
      <c r="A1235" t="s">
        <v>3938</v>
      </c>
      <c r="B1235" t="s">
        <v>3939</v>
      </c>
      <c r="C1235" t="s">
        <v>3938</v>
      </c>
    </row>
    <row r="1236" spans="1:3" x14ac:dyDescent="0.25">
      <c r="A1236" t="s">
        <v>3940</v>
      </c>
      <c r="B1236" t="s">
        <v>3941</v>
      </c>
      <c r="C1236" t="s">
        <v>3940</v>
      </c>
    </row>
    <row r="1237" spans="1:3" x14ac:dyDescent="0.25">
      <c r="A1237" t="s">
        <v>3942</v>
      </c>
      <c r="B1237" t="s">
        <v>3943</v>
      </c>
      <c r="C1237" t="s">
        <v>3942</v>
      </c>
    </row>
    <row r="1238" spans="1:3" x14ac:dyDescent="0.25">
      <c r="A1238" t="s">
        <v>855</v>
      </c>
      <c r="B1238" t="s">
        <v>3944</v>
      </c>
      <c r="C1238" t="s">
        <v>855</v>
      </c>
    </row>
    <row r="1239" spans="1:3" x14ac:dyDescent="0.25">
      <c r="A1239" t="s">
        <v>3945</v>
      </c>
      <c r="B1239" t="s">
        <v>3946</v>
      </c>
      <c r="C1239" t="s">
        <v>3945</v>
      </c>
    </row>
    <row r="1240" spans="1:3" x14ac:dyDescent="0.25">
      <c r="A1240" t="s">
        <v>3947</v>
      </c>
      <c r="B1240" t="s">
        <v>3948</v>
      </c>
      <c r="C1240" t="s">
        <v>3947</v>
      </c>
    </row>
    <row r="1241" spans="1:3" x14ac:dyDescent="0.25">
      <c r="A1241" t="s">
        <v>3949</v>
      </c>
      <c r="B1241" t="s">
        <v>3950</v>
      </c>
      <c r="C1241" t="s">
        <v>3949</v>
      </c>
    </row>
    <row r="1242" spans="1:3" x14ac:dyDescent="0.25">
      <c r="A1242" t="s">
        <v>3951</v>
      </c>
      <c r="B1242" t="s">
        <v>3952</v>
      </c>
      <c r="C1242" t="s">
        <v>3951</v>
      </c>
    </row>
    <row r="1243" spans="1:3" x14ac:dyDescent="0.25">
      <c r="A1243" t="s">
        <v>3953</v>
      </c>
      <c r="B1243" t="s">
        <v>3954</v>
      </c>
      <c r="C1243" t="s">
        <v>3953</v>
      </c>
    </row>
    <row r="1244" spans="1:3" x14ac:dyDescent="0.25">
      <c r="A1244" t="s">
        <v>3955</v>
      </c>
      <c r="B1244" t="s">
        <v>3956</v>
      </c>
      <c r="C1244" t="s">
        <v>3955</v>
      </c>
    </row>
    <row r="1245" spans="1:3" x14ac:dyDescent="0.25">
      <c r="A1245" t="s">
        <v>3957</v>
      </c>
      <c r="B1245" t="s">
        <v>3958</v>
      </c>
      <c r="C1245" t="s">
        <v>3957</v>
      </c>
    </row>
    <row r="1246" spans="1:3" x14ac:dyDescent="0.25">
      <c r="A1246" t="s">
        <v>490</v>
      </c>
      <c r="B1246" t="s">
        <v>3959</v>
      </c>
      <c r="C1246" t="s">
        <v>490</v>
      </c>
    </row>
    <row r="1247" spans="1:3" x14ac:dyDescent="0.25">
      <c r="A1247" t="s">
        <v>3960</v>
      </c>
      <c r="B1247" t="s">
        <v>3961</v>
      </c>
      <c r="C1247" t="s">
        <v>3960</v>
      </c>
    </row>
    <row r="1248" spans="1:3" x14ac:dyDescent="0.25">
      <c r="A1248" t="s">
        <v>1814</v>
      </c>
      <c r="B1248" t="s">
        <v>2041</v>
      </c>
      <c r="C1248" t="s">
        <v>1814</v>
      </c>
    </row>
    <row r="1249" spans="1:3" x14ac:dyDescent="0.25">
      <c r="A1249" t="s">
        <v>3962</v>
      </c>
      <c r="B1249" t="s">
        <v>3963</v>
      </c>
      <c r="C1249" t="s">
        <v>3962</v>
      </c>
    </row>
    <row r="1250" spans="1:3" x14ac:dyDescent="0.25">
      <c r="A1250" t="s">
        <v>3964</v>
      </c>
      <c r="B1250" t="s">
        <v>3965</v>
      </c>
      <c r="C1250" t="s">
        <v>3964</v>
      </c>
    </row>
    <row r="1251" spans="1:3" x14ac:dyDescent="0.25">
      <c r="A1251" t="s">
        <v>3966</v>
      </c>
      <c r="B1251" t="s">
        <v>3967</v>
      </c>
      <c r="C1251" t="s">
        <v>3966</v>
      </c>
    </row>
    <row r="1252" spans="1:3" x14ac:dyDescent="0.25">
      <c r="A1252" t="s">
        <v>3968</v>
      </c>
      <c r="B1252" t="s">
        <v>3969</v>
      </c>
      <c r="C1252" t="s">
        <v>3968</v>
      </c>
    </row>
    <row r="1253" spans="1:3" x14ac:dyDescent="0.25">
      <c r="A1253" t="s">
        <v>3970</v>
      </c>
      <c r="B1253" t="s">
        <v>3971</v>
      </c>
      <c r="C1253" t="s">
        <v>3970</v>
      </c>
    </row>
    <row r="1254" spans="1:3" x14ac:dyDescent="0.25">
      <c r="A1254" t="s">
        <v>3972</v>
      </c>
      <c r="B1254" t="s">
        <v>3973</v>
      </c>
      <c r="C1254" t="s">
        <v>3972</v>
      </c>
    </row>
    <row r="1255" spans="1:3" x14ac:dyDescent="0.25">
      <c r="A1255" t="s">
        <v>3974</v>
      </c>
      <c r="B1255" t="s">
        <v>3975</v>
      </c>
      <c r="C1255" t="s">
        <v>3974</v>
      </c>
    </row>
    <row r="1256" spans="1:3" x14ac:dyDescent="0.25">
      <c r="A1256" t="s">
        <v>3976</v>
      </c>
      <c r="B1256" t="s">
        <v>3977</v>
      </c>
      <c r="C1256" t="s">
        <v>3976</v>
      </c>
    </row>
    <row r="1257" spans="1:3" x14ac:dyDescent="0.25">
      <c r="A1257" t="s">
        <v>3978</v>
      </c>
      <c r="B1257" t="s">
        <v>3979</v>
      </c>
      <c r="C1257" t="s">
        <v>3978</v>
      </c>
    </row>
    <row r="1258" spans="1:3" x14ac:dyDescent="0.25">
      <c r="A1258" t="s">
        <v>861</v>
      </c>
      <c r="B1258" t="s">
        <v>1963</v>
      </c>
      <c r="C1258" t="s">
        <v>861</v>
      </c>
    </row>
    <row r="1259" spans="1:3" x14ac:dyDescent="0.25">
      <c r="A1259" t="s">
        <v>3980</v>
      </c>
      <c r="B1259" t="s">
        <v>3981</v>
      </c>
      <c r="C1259" t="s">
        <v>3980</v>
      </c>
    </row>
    <row r="1260" spans="1:3" x14ac:dyDescent="0.25">
      <c r="A1260" t="s">
        <v>863</v>
      </c>
      <c r="B1260" t="s">
        <v>2049</v>
      </c>
      <c r="C1260" t="s">
        <v>863</v>
      </c>
    </row>
    <row r="1261" spans="1:3" x14ac:dyDescent="0.25">
      <c r="A1261" t="s">
        <v>3982</v>
      </c>
      <c r="B1261" t="s">
        <v>3983</v>
      </c>
      <c r="C1261" t="s">
        <v>3982</v>
      </c>
    </row>
    <row r="1262" spans="1:3" x14ac:dyDescent="0.25">
      <c r="A1262" t="s">
        <v>3984</v>
      </c>
      <c r="B1262" t="s">
        <v>3985</v>
      </c>
      <c r="C1262" t="s">
        <v>3984</v>
      </c>
    </row>
    <row r="1263" spans="1:3" x14ac:dyDescent="0.25">
      <c r="A1263" t="s">
        <v>3986</v>
      </c>
      <c r="B1263" t="s">
        <v>3987</v>
      </c>
      <c r="C1263" t="s">
        <v>3986</v>
      </c>
    </row>
    <row r="1264" spans="1:3" x14ac:dyDescent="0.25">
      <c r="A1264" t="s">
        <v>3988</v>
      </c>
      <c r="B1264" t="s">
        <v>3989</v>
      </c>
      <c r="C1264" t="s">
        <v>3988</v>
      </c>
    </row>
    <row r="1265" spans="1:3" x14ac:dyDescent="0.25">
      <c r="A1265" t="s">
        <v>3990</v>
      </c>
      <c r="B1265" t="s">
        <v>3991</v>
      </c>
      <c r="C1265" t="s">
        <v>3990</v>
      </c>
    </row>
    <row r="1266" spans="1:3" x14ac:dyDescent="0.25">
      <c r="A1266" t="s">
        <v>3992</v>
      </c>
      <c r="B1266" t="s">
        <v>3993</v>
      </c>
      <c r="C1266" t="s">
        <v>3992</v>
      </c>
    </row>
    <row r="1267" spans="1:3" x14ac:dyDescent="0.25">
      <c r="A1267" t="s">
        <v>3994</v>
      </c>
      <c r="B1267" t="s">
        <v>3995</v>
      </c>
      <c r="C1267" t="s">
        <v>3994</v>
      </c>
    </row>
    <row r="1268" spans="1:3" x14ac:dyDescent="0.25">
      <c r="A1268" t="s">
        <v>3996</v>
      </c>
      <c r="B1268" t="s">
        <v>3997</v>
      </c>
      <c r="C1268" t="s">
        <v>3996</v>
      </c>
    </row>
    <row r="1269" spans="1:3" x14ac:dyDescent="0.25">
      <c r="A1269" t="s">
        <v>3998</v>
      </c>
      <c r="B1269" t="s">
        <v>3999</v>
      </c>
      <c r="C1269" t="s">
        <v>3998</v>
      </c>
    </row>
    <row r="1270" spans="1:3" x14ac:dyDescent="0.25">
      <c r="A1270" t="s">
        <v>4000</v>
      </c>
      <c r="B1270" t="s">
        <v>4001</v>
      </c>
      <c r="C1270" t="s">
        <v>4000</v>
      </c>
    </row>
    <row r="1271" spans="1:3" x14ac:dyDescent="0.25">
      <c r="A1271" t="s">
        <v>1825</v>
      </c>
      <c r="B1271" t="s">
        <v>2047</v>
      </c>
      <c r="C1271" t="s">
        <v>1825</v>
      </c>
    </row>
    <row r="1272" spans="1:3" x14ac:dyDescent="0.25">
      <c r="A1272" t="s">
        <v>4002</v>
      </c>
      <c r="B1272" t="s">
        <v>4003</v>
      </c>
      <c r="C1272" t="s">
        <v>4002</v>
      </c>
    </row>
    <row r="1273" spans="1:3" x14ac:dyDescent="0.25">
      <c r="A1273" t="s">
        <v>4004</v>
      </c>
      <c r="B1273" t="s">
        <v>4005</v>
      </c>
      <c r="C1273" t="s">
        <v>4004</v>
      </c>
    </row>
    <row r="1274" spans="1:3" x14ac:dyDescent="0.25">
      <c r="A1274" t="s">
        <v>4006</v>
      </c>
      <c r="B1274" t="s">
        <v>4007</v>
      </c>
      <c r="C1274" t="s">
        <v>4006</v>
      </c>
    </row>
    <row r="1275" spans="1:3" x14ac:dyDescent="0.25">
      <c r="A1275" t="s">
        <v>4008</v>
      </c>
      <c r="B1275" t="s">
        <v>4009</v>
      </c>
      <c r="C1275" t="s">
        <v>4008</v>
      </c>
    </row>
    <row r="1276" spans="1:3" x14ac:dyDescent="0.25">
      <c r="A1276" t="s">
        <v>4010</v>
      </c>
      <c r="B1276" t="s">
        <v>4011</v>
      </c>
      <c r="C1276" t="s">
        <v>4010</v>
      </c>
    </row>
    <row r="1277" spans="1:3" x14ac:dyDescent="0.25">
      <c r="A1277" t="s">
        <v>4012</v>
      </c>
      <c r="B1277" t="s">
        <v>4013</v>
      </c>
      <c r="C1277" t="s">
        <v>4012</v>
      </c>
    </row>
    <row r="1278" spans="1:3" x14ac:dyDescent="0.25">
      <c r="A1278" t="s">
        <v>4014</v>
      </c>
      <c r="B1278" t="s">
        <v>4015</v>
      </c>
      <c r="C1278" t="s">
        <v>4014</v>
      </c>
    </row>
    <row r="1279" spans="1:3" x14ac:dyDescent="0.25">
      <c r="A1279" t="s">
        <v>4016</v>
      </c>
      <c r="B1279" t="s">
        <v>4017</v>
      </c>
      <c r="C1279" t="s">
        <v>4016</v>
      </c>
    </row>
    <row r="1280" spans="1:3" x14ac:dyDescent="0.25">
      <c r="A1280" t="s">
        <v>4018</v>
      </c>
      <c r="B1280" t="s">
        <v>4019</v>
      </c>
      <c r="C1280" t="s">
        <v>4018</v>
      </c>
    </row>
    <row r="1281" spans="1:3" x14ac:dyDescent="0.25">
      <c r="A1281" t="s">
        <v>4020</v>
      </c>
      <c r="B1281" t="s">
        <v>4021</v>
      </c>
      <c r="C1281" t="s">
        <v>4020</v>
      </c>
    </row>
    <row r="1282" spans="1:3" x14ac:dyDescent="0.25">
      <c r="A1282" t="s">
        <v>4022</v>
      </c>
      <c r="B1282" t="s">
        <v>4023</v>
      </c>
      <c r="C1282" t="s">
        <v>4022</v>
      </c>
    </row>
    <row r="1283" spans="1:3" x14ac:dyDescent="0.25">
      <c r="A1283" t="s">
        <v>4024</v>
      </c>
      <c r="B1283" t="s">
        <v>4025</v>
      </c>
      <c r="C1283" t="s">
        <v>4024</v>
      </c>
    </row>
    <row r="1284" spans="1:3" x14ac:dyDescent="0.25">
      <c r="A1284" t="s">
        <v>4026</v>
      </c>
      <c r="B1284" t="s">
        <v>4027</v>
      </c>
      <c r="C1284" t="s">
        <v>4026</v>
      </c>
    </row>
    <row r="1285" spans="1:3" x14ac:dyDescent="0.25">
      <c r="A1285" t="s">
        <v>4028</v>
      </c>
      <c r="B1285" t="s">
        <v>4029</v>
      </c>
      <c r="C1285" t="s">
        <v>4028</v>
      </c>
    </row>
    <row r="1286" spans="1:3" x14ac:dyDescent="0.25">
      <c r="A1286" t="s">
        <v>4030</v>
      </c>
      <c r="B1286" t="s">
        <v>4031</v>
      </c>
      <c r="C1286" t="s">
        <v>4030</v>
      </c>
    </row>
    <row r="1287" spans="1:3" x14ac:dyDescent="0.25">
      <c r="A1287" t="s">
        <v>4032</v>
      </c>
      <c r="B1287" t="s">
        <v>4033</v>
      </c>
      <c r="C1287" t="s">
        <v>4032</v>
      </c>
    </row>
    <row r="1288" spans="1:3" x14ac:dyDescent="0.25">
      <c r="A1288" t="s">
        <v>4034</v>
      </c>
      <c r="B1288" t="s">
        <v>4035</v>
      </c>
      <c r="C1288" t="s">
        <v>4034</v>
      </c>
    </row>
    <row r="1289" spans="1:3" x14ac:dyDescent="0.25">
      <c r="A1289" t="s">
        <v>4036</v>
      </c>
      <c r="B1289" t="s">
        <v>4037</v>
      </c>
      <c r="C1289" t="s">
        <v>4036</v>
      </c>
    </row>
    <row r="1290" spans="1:3" x14ac:dyDescent="0.25">
      <c r="A1290" t="s">
        <v>4038</v>
      </c>
      <c r="B1290" t="s">
        <v>4039</v>
      </c>
      <c r="C1290" t="s">
        <v>4038</v>
      </c>
    </row>
    <row r="1291" spans="1:3" x14ac:dyDescent="0.25">
      <c r="A1291" t="s">
        <v>4040</v>
      </c>
      <c r="B1291" t="s">
        <v>4041</v>
      </c>
      <c r="C1291" t="s">
        <v>4040</v>
      </c>
    </row>
    <row r="1292" spans="1:3" x14ac:dyDescent="0.25">
      <c r="A1292" t="s">
        <v>4042</v>
      </c>
      <c r="B1292" t="s">
        <v>4043</v>
      </c>
      <c r="C1292" t="s">
        <v>4042</v>
      </c>
    </row>
    <row r="1293" spans="1:3" x14ac:dyDescent="0.25">
      <c r="A1293" t="s">
        <v>4044</v>
      </c>
      <c r="B1293" t="s">
        <v>4045</v>
      </c>
      <c r="C1293" t="s">
        <v>4044</v>
      </c>
    </row>
    <row r="1294" spans="1:3" x14ac:dyDescent="0.25">
      <c r="A1294" t="s">
        <v>4046</v>
      </c>
      <c r="B1294" t="s">
        <v>4047</v>
      </c>
      <c r="C1294" t="s">
        <v>4046</v>
      </c>
    </row>
    <row r="1295" spans="1:3" x14ac:dyDescent="0.25">
      <c r="A1295" t="s">
        <v>4048</v>
      </c>
      <c r="B1295" t="s">
        <v>4049</v>
      </c>
      <c r="C1295" t="s">
        <v>4048</v>
      </c>
    </row>
    <row r="1296" spans="1:3" x14ac:dyDescent="0.25">
      <c r="A1296" t="s">
        <v>4050</v>
      </c>
      <c r="B1296" t="s">
        <v>4051</v>
      </c>
      <c r="C1296" t="s">
        <v>4050</v>
      </c>
    </row>
    <row r="1297" spans="1:3" x14ac:dyDescent="0.25">
      <c r="A1297" t="s">
        <v>4052</v>
      </c>
      <c r="B1297" t="s">
        <v>4053</v>
      </c>
      <c r="C1297" t="s">
        <v>4052</v>
      </c>
    </row>
    <row r="1298" spans="1:3" x14ac:dyDescent="0.25">
      <c r="A1298" t="s">
        <v>4054</v>
      </c>
      <c r="B1298" t="s">
        <v>4055</v>
      </c>
      <c r="C1298" t="s">
        <v>4054</v>
      </c>
    </row>
    <row r="1299" spans="1:3" x14ac:dyDescent="0.25">
      <c r="A1299" t="s">
        <v>4056</v>
      </c>
      <c r="B1299" t="s">
        <v>4057</v>
      </c>
      <c r="C1299" t="s">
        <v>4056</v>
      </c>
    </row>
    <row r="1300" spans="1:3" x14ac:dyDescent="0.25">
      <c r="A1300" t="s">
        <v>4058</v>
      </c>
      <c r="B1300" t="s">
        <v>4059</v>
      </c>
      <c r="C1300" t="s">
        <v>4058</v>
      </c>
    </row>
    <row r="1301" spans="1:3" x14ac:dyDescent="0.25">
      <c r="A1301" t="s">
        <v>4060</v>
      </c>
      <c r="B1301" t="s">
        <v>4061</v>
      </c>
      <c r="C1301" t="s">
        <v>4060</v>
      </c>
    </row>
    <row r="1302" spans="1:3" x14ac:dyDescent="0.25">
      <c r="A1302" t="s">
        <v>4062</v>
      </c>
      <c r="B1302" t="s">
        <v>4063</v>
      </c>
      <c r="C1302" t="s">
        <v>4062</v>
      </c>
    </row>
    <row r="1303" spans="1:3" x14ac:dyDescent="0.25">
      <c r="A1303" t="s">
        <v>4064</v>
      </c>
      <c r="B1303" t="s">
        <v>4065</v>
      </c>
      <c r="C1303" t="s">
        <v>4064</v>
      </c>
    </row>
    <row r="1304" spans="1:3" x14ac:dyDescent="0.25">
      <c r="A1304" t="s">
        <v>4066</v>
      </c>
      <c r="B1304" t="s">
        <v>4067</v>
      </c>
      <c r="C1304" t="s">
        <v>4066</v>
      </c>
    </row>
    <row r="1305" spans="1:3" x14ac:dyDescent="0.25">
      <c r="A1305" t="s">
        <v>4068</v>
      </c>
      <c r="B1305" t="s">
        <v>4069</v>
      </c>
      <c r="C1305" t="s">
        <v>4068</v>
      </c>
    </row>
    <row r="1306" spans="1:3" x14ac:dyDescent="0.25">
      <c r="A1306" t="s">
        <v>4070</v>
      </c>
      <c r="B1306" t="s">
        <v>4071</v>
      </c>
      <c r="C1306" t="s">
        <v>4070</v>
      </c>
    </row>
    <row r="1307" spans="1:3" x14ac:dyDescent="0.25">
      <c r="A1307" t="s">
        <v>4072</v>
      </c>
      <c r="B1307" t="s">
        <v>4073</v>
      </c>
      <c r="C1307" t="s">
        <v>4072</v>
      </c>
    </row>
    <row r="1308" spans="1:3" x14ac:dyDescent="0.25">
      <c r="A1308" t="s">
        <v>4074</v>
      </c>
      <c r="B1308" t="s">
        <v>4075</v>
      </c>
      <c r="C1308" t="s">
        <v>4074</v>
      </c>
    </row>
    <row r="1309" spans="1:3" x14ac:dyDescent="0.25">
      <c r="A1309" t="s">
        <v>749</v>
      </c>
      <c r="B1309" t="s">
        <v>4076</v>
      </c>
      <c r="C1309" t="s">
        <v>749</v>
      </c>
    </row>
    <row r="1310" spans="1:3" x14ac:dyDescent="0.25">
      <c r="A1310" t="s">
        <v>4077</v>
      </c>
      <c r="B1310" t="s">
        <v>4078</v>
      </c>
      <c r="C1310" t="s">
        <v>4077</v>
      </c>
    </row>
    <row r="1311" spans="1:3" x14ac:dyDescent="0.25">
      <c r="A1311" t="s">
        <v>4079</v>
      </c>
      <c r="B1311" t="s">
        <v>4080</v>
      </c>
      <c r="C1311" t="s">
        <v>4079</v>
      </c>
    </row>
    <row r="1312" spans="1:3" x14ac:dyDescent="0.25">
      <c r="A1312" t="s">
        <v>4081</v>
      </c>
      <c r="B1312" t="s">
        <v>4082</v>
      </c>
      <c r="C1312" t="s">
        <v>4081</v>
      </c>
    </row>
    <row r="1313" spans="1:3" x14ac:dyDescent="0.25">
      <c r="A1313" t="s">
        <v>4083</v>
      </c>
      <c r="B1313" t="s">
        <v>4084</v>
      </c>
      <c r="C1313" t="s">
        <v>4083</v>
      </c>
    </row>
    <row r="1314" spans="1:3" x14ac:dyDescent="0.25">
      <c r="A1314" t="s">
        <v>4085</v>
      </c>
      <c r="B1314" t="s">
        <v>4086</v>
      </c>
      <c r="C1314" t="s">
        <v>4085</v>
      </c>
    </row>
    <row r="1315" spans="1:3" x14ac:dyDescent="0.25">
      <c r="A1315" t="s">
        <v>4087</v>
      </c>
      <c r="B1315" t="s">
        <v>4088</v>
      </c>
      <c r="C1315" t="s">
        <v>4087</v>
      </c>
    </row>
    <row r="1316" spans="1:3" x14ac:dyDescent="0.25">
      <c r="A1316" t="s">
        <v>4089</v>
      </c>
      <c r="B1316" t="s">
        <v>4090</v>
      </c>
      <c r="C1316" t="s">
        <v>4089</v>
      </c>
    </row>
    <row r="1317" spans="1:3" x14ac:dyDescent="0.25">
      <c r="A1317" t="s">
        <v>1827</v>
      </c>
      <c r="B1317" t="s">
        <v>2052</v>
      </c>
      <c r="C1317" t="s">
        <v>1827</v>
      </c>
    </row>
    <row r="1318" spans="1:3" x14ac:dyDescent="0.25">
      <c r="A1318" t="s">
        <v>4091</v>
      </c>
      <c r="B1318" t="s">
        <v>4092</v>
      </c>
      <c r="C1318" t="s">
        <v>4091</v>
      </c>
    </row>
    <row r="1319" spans="1:3" x14ac:dyDescent="0.25">
      <c r="A1319" t="s">
        <v>4093</v>
      </c>
      <c r="B1319" t="s">
        <v>4094</v>
      </c>
      <c r="C1319" t="s">
        <v>4093</v>
      </c>
    </row>
    <row r="1320" spans="1:3" x14ac:dyDescent="0.25">
      <c r="A1320" t="s">
        <v>4095</v>
      </c>
      <c r="B1320" t="s">
        <v>4096</v>
      </c>
      <c r="C1320" t="s">
        <v>4095</v>
      </c>
    </row>
    <row r="1321" spans="1:3" x14ac:dyDescent="0.25">
      <c r="A1321" t="s">
        <v>4097</v>
      </c>
      <c r="B1321" t="s">
        <v>4098</v>
      </c>
      <c r="C1321" t="s">
        <v>4097</v>
      </c>
    </row>
    <row r="1322" spans="1:3" x14ac:dyDescent="0.25">
      <c r="A1322" t="s">
        <v>4099</v>
      </c>
      <c r="B1322" t="s">
        <v>4100</v>
      </c>
      <c r="C1322" t="s">
        <v>4099</v>
      </c>
    </row>
    <row r="1323" spans="1:3" x14ac:dyDescent="0.25">
      <c r="A1323" t="s">
        <v>4101</v>
      </c>
      <c r="B1323" t="s">
        <v>4102</v>
      </c>
      <c r="C1323" t="s">
        <v>4101</v>
      </c>
    </row>
    <row r="1324" spans="1:3" x14ac:dyDescent="0.25">
      <c r="A1324" t="s">
        <v>4103</v>
      </c>
      <c r="B1324" t="s">
        <v>4104</v>
      </c>
      <c r="C1324" t="s">
        <v>4103</v>
      </c>
    </row>
    <row r="1325" spans="1:3" x14ac:dyDescent="0.25">
      <c r="A1325" t="s">
        <v>1792</v>
      </c>
      <c r="B1325" t="s">
        <v>2056</v>
      </c>
      <c r="C1325" t="s">
        <v>1792</v>
      </c>
    </row>
    <row r="1326" spans="1:3" x14ac:dyDescent="0.25">
      <c r="A1326" t="s">
        <v>4105</v>
      </c>
      <c r="B1326" t="s">
        <v>4106</v>
      </c>
      <c r="C1326" t="s">
        <v>4105</v>
      </c>
    </row>
    <row r="1327" spans="1:3" x14ac:dyDescent="0.25">
      <c r="A1327" t="s">
        <v>4107</v>
      </c>
      <c r="B1327" t="s">
        <v>4108</v>
      </c>
      <c r="C1327" t="s">
        <v>4107</v>
      </c>
    </row>
    <row r="1328" spans="1:3" x14ac:dyDescent="0.25">
      <c r="A1328" t="s">
        <v>4109</v>
      </c>
      <c r="B1328" t="s">
        <v>4110</v>
      </c>
      <c r="C1328" t="s">
        <v>4109</v>
      </c>
    </row>
    <row r="1329" spans="1:3" x14ac:dyDescent="0.25">
      <c r="A1329" t="s">
        <v>4111</v>
      </c>
      <c r="B1329" t="s">
        <v>4112</v>
      </c>
      <c r="C1329" t="s">
        <v>4111</v>
      </c>
    </row>
    <row r="1330" spans="1:3" x14ac:dyDescent="0.25">
      <c r="A1330" t="s">
        <v>43</v>
      </c>
      <c r="B1330" t="s">
        <v>1886</v>
      </c>
      <c r="C1330" t="s">
        <v>43</v>
      </c>
    </row>
    <row r="1331" spans="1:3" x14ac:dyDescent="0.25">
      <c r="A1331" t="s">
        <v>4113</v>
      </c>
      <c r="B1331" t="s">
        <v>4114</v>
      </c>
      <c r="C1331" t="s">
        <v>4113</v>
      </c>
    </row>
    <row r="1332" spans="1:3" x14ac:dyDescent="0.25">
      <c r="A1332" t="s">
        <v>4115</v>
      </c>
      <c r="B1332" t="s">
        <v>4116</v>
      </c>
      <c r="C1332" t="s">
        <v>4115</v>
      </c>
    </row>
    <row r="1333" spans="1:3" x14ac:dyDescent="0.25">
      <c r="A1333" t="s">
        <v>4117</v>
      </c>
      <c r="B1333" t="s">
        <v>4118</v>
      </c>
      <c r="C1333" t="s">
        <v>4117</v>
      </c>
    </row>
    <row r="1334" spans="1:3" x14ac:dyDescent="0.25">
      <c r="A1334" t="s">
        <v>4119</v>
      </c>
      <c r="B1334" t="s">
        <v>4120</v>
      </c>
      <c r="C1334" t="s">
        <v>4119</v>
      </c>
    </row>
    <row r="1335" spans="1:3" x14ac:dyDescent="0.25">
      <c r="A1335" t="s">
        <v>4121</v>
      </c>
      <c r="B1335" t="s">
        <v>4122</v>
      </c>
      <c r="C1335" t="s">
        <v>4121</v>
      </c>
    </row>
    <row r="1336" spans="1:3" x14ac:dyDescent="0.25">
      <c r="A1336" t="s">
        <v>4123</v>
      </c>
      <c r="B1336" t="s">
        <v>4124</v>
      </c>
      <c r="C1336" t="s">
        <v>4123</v>
      </c>
    </row>
    <row r="1337" spans="1:3" x14ac:dyDescent="0.25">
      <c r="A1337" t="s">
        <v>4125</v>
      </c>
      <c r="B1337" t="s">
        <v>4126</v>
      </c>
      <c r="C1337" t="s">
        <v>4125</v>
      </c>
    </row>
    <row r="1338" spans="1:3" x14ac:dyDescent="0.25">
      <c r="A1338" t="s">
        <v>4127</v>
      </c>
      <c r="B1338" t="s">
        <v>4128</v>
      </c>
      <c r="C1338" t="s">
        <v>4127</v>
      </c>
    </row>
    <row r="1339" spans="1:3" x14ac:dyDescent="0.25">
      <c r="A1339" t="s">
        <v>4129</v>
      </c>
      <c r="B1339" t="s">
        <v>4130</v>
      </c>
      <c r="C1339" t="s">
        <v>4129</v>
      </c>
    </row>
    <row r="1340" spans="1:3" x14ac:dyDescent="0.25">
      <c r="A1340" t="s">
        <v>4131</v>
      </c>
      <c r="B1340" t="s">
        <v>4132</v>
      </c>
      <c r="C1340" t="s">
        <v>4131</v>
      </c>
    </row>
    <row r="1341" spans="1:3" x14ac:dyDescent="0.25">
      <c r="A1341" t="s">
        <v>4133</v>
      </c>
      <c r="B1341" t="s">
        <v>4134</v>
      </c>
      <c r="C1341" t="s">
        <v>4133</v>
      </c>
    </row>
    <row r="1342" spans="1:3" x14ac:dyDescent="0.25">
      <c r="A1342" t="s">
        <v>4135</v>
      </c>
      <c r="B1342" t="s">
        <v>4136</v>
      </c>
      <c r="C1342" t="s">
        <v>4135</v>
      </c>
    </row>
    <row r="1343" spans="1:3" x14ac:dyDescent="0.25">
      <c r="A1343" t="s">
        <v>4137</v>
      </c>
      <c r="B1343" t="s">
        <v>4138</v>
      </c>
      <c r="C1343" t="s">
        <v>4137</v>
      </c>
    </row>
    <row r="1344" spans="1:3" x14ac:dyDescent="0.25">
      <c r="A1344" t="s">
        <v>4139</v>
      </c>
      <c r="B1344" t="s">
        <v>4140</v>
      </c>
      <c r="C1344" t="s">
        <v>4139</v>
      </c>
    </row>
    <row r="1345" spans="1:3" x14ac:dyDescent="0.25">
      <c r="A1345" t="s">
        <v>4141</v>
      </c>
      <c r="B1345" t="s">
        <v>4142</v>
      </c>
      <c r="C1345" t="s">
        <v>4141</v>
      </c>
    </row>
    <row r="1346" spans="1:3" x14ac:dyDescent="0.25">
      <c r="A1346" t="s">
        <v>4143</v>
      </c>
      <c r="B1346" t="s">
        <v>4144</v>
      </c>
      <c r="C1346" t="s">
        <v>4143</v>
      </c>
    </row>
    <row r="1347" spans="1:3" x14ac:dyDescent="0.25">
      <c r="A1347" t="s">
        <v>4145</v>
      </c>
      <c r="B1347" t="s">
        <v>4146</v>
      </c>
      <c r="C1347" t="s">
        <v>4145</v>
      </c>
    </row>
    <row r="1348" spans="1:3" x14ac:dyDescent="0.25">
      <c r="A1348" t="s">
        <v>4147</v>
      </c>
      <c r="B1348" t="s">
        <v>4148</v>
      </c>
      <c r="C1348" t="s">
        <v>4147</v>
      </c>
    </row>
    <row r="1349" spans="1:3" x14ac:dyDescent="0.25">
      <c r="A1349" t="s">
        <v>4149</v>
      </c>
      <c r="B1349" t="s">
        <v>4150</v>
      </c>
      <c r="C1349" t="s">
        <v>4149</v>
      </c>
    </row>
    <row r="1350" spans="1:3" x14ac:dyDescent="0.25">
      <c r="A1350" t="s">
        <v>4151</v>
      </c>
      <c r="B1350" t="s">
        <v>4152</v>
      </c>
      <c r="C1350" t="s">
        <v>4151</v>
      </c>
    </row>
    <row r="1351" spans="1:3" x14ac:dyDescent="0.25">
      <c r="A1351" t="s">
        <v>4153</v>
      </c>
      <c r="B1351" t="s">
        <v>4154</v>
      </c>
      <c r="C1351" t="s">
        <v>4153</v>
      </c>
    </row>
    <row r="1352" spans="1:3" x14ac:dyDescent="0.25">
      <c r="A1352" t="s">
        <v>4155</v>
      </c>
      <c r="B1352" t="s">
        <v>4156</v>
      </c>
      <c r="C1352" t="s">
        <v>4155</v>
      </c>
    </row>
    <row r="1353" spans="1:3" x14ac:dyDescent="0.25">
      <c r="A1353" t="s">
        <v>4157</v>
      </c>
      <c r="B1353" t="s">
        <v>4158</v>
      </c>
      <c r="C1353" t="s">
        <v>4157</v>
      </c>
    </row>
    <row r="1354" spans="1:3" x14ac:dyDescent="0.25">
      <c r="A1354" t="s">
        <v>4159</v>
      </c>
      <c r="B1354" t="s">
        <v>4160</v>
      </c>
      <c r="C1354" t="s">
        <v>4159</v>
      </c>
    </row>
    <row r="1355" spans="1:3" x14ac:dyDescent="0.25">
      <c r="A1355" t="s">
        <v>4161</v>
      </c>
      <c r="B1355" t="s">
        <v>4162</v>
      </c>
      <c r="C1355" t="s">
        <v>4161</v>
      </c>
    </row>
    <row r="1356" spans="1:3" x14ac:dyDescent="0.25">
      <c r="A1356" t="s">
        <v>4163</v>
      </c>
      <c r="B1356" t="s">
        <v>4164</v>
      </c>
      <c r="C1356" t="s">
        <v>4163</v>
      </c>
    </row>
    <row r="1357" spans="1:3" x14ac:dyDescent="0.25">
      <c r="A1357" t="s">
        <v>4165</v>
      </c>
      <c r="B1357" t="s">
        <v>4166</v>
      </c>
      <c r="C1357" t="s">
        <v>4165</v>
      </c>
    </row>
    <row r="1358" spans="1:3" x14ac:dyDescent="0.25">
      <c r="A1358" t="s">
        <v>2895</v>
      </c>
      <c r="B1358" t="s">
        <v>4167</v>
      </c>
      <c r="C1358" t="s">
        <v>2895</v>
      </c>
    </row>
    <row r="1359" spans="1:3" x14ac:dyDescent="0.25">
      <c r="A1359" t="s">
        <v>4168</v>
      </c>
      <c r="B1359" t="s">
        <v>4169</v>
      </c>
      <c r="C1359" t="s">
        <v>4168</v>
      </c>
    </row>
    <row r="1360" spans="1:3" x14ac:dyDescent="0.25">
      <c r="A1360" t="s">
        <v>4170</v>
      </c>
      <c r="B1360" t="s">
        <v>4171</v>
      </c>
      <c r="C1360" t="s">
        <v>4170</v>
      </c>
    </row>
    <row r="1361" spans="1:3" x14ac:dyDescent="0.25">
      <c r="A1361" t="s">
        <v>4172</v>
      </c>
      <c r="B1361" t="s">
        <v>4173</v>
      </c>
      <c r="C1361" t="s">
        <v>4172</v>
      </c>
    </row>
    <row r="1362" spans="1:3" x14ac:dyDescent="0.25">
      <c r="A1362" t="s">
        <v>4174</v>
      </c>
      <c r="B1362" t="s">
        <v>4175</v>
      </c>
      <c r="C1362" t="s">
        <v>4174</v>
      </c>
    </row>
    <row r="1363" spans="1:3" x14ac:dyDescent="0.25">
      <c r="A1363" t="s">
        <v>4176</v>
      </c>
      <c r="B1363" t="s">
        <v>4177</v>
      </c>
      <c r="C1363" t="s">
        <v>4176</v>
      </c>
    </row>
    <row r="1364" spans="1:3" x14ac:dyDescent="0.25">
      <c r="A1364" t="s">
        <v>4178</v>
      </c>
      <c r="B1364" t="s">
        <v>4179</v>
      </c>
      <c r="C1364" t="s">
        <v>4178</v>
      </c>
    </row>
    <row r="1365" spans="1:3" x14ac:dyDescent="0.25">
      <c r="A1365" t="s">
        <v>901</v>
      </c>
      <c r="B1365" t="s">
        <v>4180</v>
      </c>
      <c r="C1365" t="s">
        <v>901</v>
      </c>
    </row>
    <row r="1366" spans="1:3" x14ac:dyDescent="0.25">
      <c r="A1366" t="s">
        <v>4181</v>
      </c>
      <c r="B1366" t="s">
        <v>4182</v>
      </c>
      <c r="C1366" t="s">
        <v>4181</v>
      </c>
    </row>
    <row r="1367" spans="1:3" x14ac:dyDescent="0.25">
      <c r="A1367" t="s">
        <v>452</v>
      </c>
      <c r="B1367" t="s">
        <v>4183</v>
      </c>
      <c r="C1367" t="s">
        <v>452</v>
      </c>
    </row>
    <row r="1368" spans="1:3" x14ac:dyDescent="0.25">
      <c r="A1368" t="s">
        <v>453</v>
      </c>
      <c r="B1368" t="s">
        <v>4184</v>
      </c>
      <c r="C1368" t="s">
        <v>453</v>
      </c>
    </row>
    <row r="1369" spans="1:3" x14ac:dyDescent="0.25">
      <c r="A1369" t="s">
        <v>4185</v>
      </c>
      <c r="B1369" t="s">
        <v>4186</v>
      </c>
      <c r="C1369" t="s">
        <v>4185</v>
      </c>
    </row>
    <row r="1370" spans="1:3" x14ac:dyDescent="0.25">
      <c r="A1370" t="s">
        <v>4187</v>
      </c>
      <c r="B1370" t="s">
        <v>4188</v>
      </c>
      <c r="C1370" t="s">
        <v>4187</v>
      </c>
    </row>
    <row r="1371" spans="1:3" x14ac:dyDescent="0.25">
      <c r="A1371" t="s">
        <v>4189</v>
      </c>
      <c r="B1371" t="s">
        <v>4190</v>
      </c>
      <c r="C1371" t="s">
        <v>4189</v>
      </c>
    </row>
    <row r="1372" spans="1:3" x14ac:dyDescent="0.25">
      <c r="A1372" t="s">
        <v>4191</v>
      </c>
      <c r="B1372" t="s">
        <v>4192</v>
      </c>
      <c r="C1372" t="s">
        <v>4191</v>
      </c>
    </row>
    <row r="1373" spans="1:3" x14ac:dyDescent="0.25">
      <c r="A1373" t="s">
        <v>907</v>
      </c>
      <c r="B1373" t="s">
        <v>4193</v>
      </c>
      <c r="C1373" t="s">
        <v>907</v>
      </c>
    </row>
    <row r="1374" spans="1:3" x14ac:dyDescent="0.25">
      <c r="A1374" t="s">
        <v>456</v>
      </c>
      <c r="B1374" t="s">
        <v>1892</v>
      </c>
      <c r="C1374" t="s">
        <v>456</v>
      </c>
    </row>
    <row r="1375" spans="1:3" x14ac:dyDescent="0.25">
      <c r="A1375" t="s">
        <v>908</v>
      </c>
      <c r="B1375" t="s">
        <v>4194</v>
      </c>
      <c r="C1375" t="s">
        <v>908</v>
      </c>
    </row>
    <row r="1376" spans="1:3" x14ac:dyDescent="0.25">
      <c r="A1376" t="s">
        <v>949</v>
      </c>
      <c r="B1376" t="s">
        <v>4195</v>
      </c>
      <c r="C1376" t="s">
        <v>949</v>
      </c>
    </row>
    <row r="1377" spans="1:3" x14ac:dyDescent="0.25">
      <c r="A1377" t="s">
        <v>909</v>
      </c>
      <c r="B1377" t="s">
        <v>1966</v>
      </c>
      <c r="C1377" t="s">
        <v>909</v>
      </c>
    </row>
    <row r="1378" spans="1:3" x14ac:dyDescent="0.25">
      <c r="A1378" t="s">
        <v>4196</v>
      </c>
      <c r="B1378" t="s">
        <v>4197</v>
      </c>
      <c r="C1378" t="s">
        <v>4196</v>
      </c>
    </row>
    <row r="1379" spans="1:3" x14ac:dyDescent="0.25">
      <c r="A1379" t="s">
        <v>63</v>
      </c>
      <c r="B1379" t="s">
        <v>2060</v>
      </c>
      <c r="C1379" t="s">
        <v>63</v>
      </c>
    </row>
    <row r="1380" spans="1:3" x14ac:dyDescent="0.25">
      <c r="A1380" t="s">
        <v>4198</v>
      </c>
      <c r="B1380" t="s">
        <v>4199</v>
      </c>
      <c r="C1380" t="s">
        <v>4198</v>
      </c>
    </row>
    <row r="1381" spans="1:3" x14ac:dyDescent="0.25">
      <c r="A1381" t="s">
        <v>4200</v>
      </c>
      <c r="B1381" t="s">
        <v>4201</v>
      </c>
      <c r="C1381" t="s">
        <v>4200</v>
      </c>
    </row>
    <row r="1382" spans="1:3" x14ac:dyDescent="0.25">
      <c r="A1382" t="s">
        <v>197</v>
      </c>
      <c r="B1382" t="s">
        <v>1874</v>
      </c>
      <c r="C1382" t="s">
        <v>197</v>
      </c>
    </row>
    <row r="1383" spans="1:3" x14ac:dyDescent="0.25">
      <c r="A1383" t="s">
        <v>565</v>
      </c>
      <c r="B1383" t="s">
        <v>1875</v>
      </c>
      <c r="C1383" t="s">
        <v>565</v>
      </c>
    </row>
    <row r="1384" spans="1:3" x14ac:dyDescent="0.25">
      <c r="A1384" t="s">
        <v>633</v>
      </c>
      <c r="B1384" t="s">
        <v>1907</v>
      </c>
      <c r="C1384" t="s">
        <v>633</v>
      </c>
    </row>
    <row r="1385" spans="1:3" x14ac:dyDescent="0.25">
      <c r="A1385" t="s">
        <v>234</v>
      </c>
      <c r="B1385" t="s">
        <v>2064</v>
      </c>
      <c r="C1385" t="s">
        <v>234</v>
      </c>
    </row>
    <row r="1386" spans="1:3" x14ac:dyDescent="0.25">
      <c r="A1386" t="s">
        <v>4202</v>
      </c>
      <c r="B1386" t="s">
        <v>4203</v>
      </c>
      <c r="C1386" t="s">
        <v>4202</v>
      </c>
    </row>
    <row r="1387" spans="1:3" x14ac:dyDescent="0.25">
      <c r="A1387" t="s">
        <v>237</v>
      </c>
      <c r="B1387" t="s">
        <v>1908</v>
      </c>
      <c r="C1387" t="s">
        <v>237</v>
      </c>
    </row>
    <row r="1388" spans="1:3" x14ac:dyDescent="0.25">
      <c r="A1388" t="s">
        <v>639</v>
      </c>
      <c r="B1388" t="s">
        <v>1909</v>
      </c>
      <c r="C1388" t="s">
        <v>639</v>
      </c>
    </row>
    <row r="1389" spans="1:3" x14ac:dyDescent="0.25">
      <c r="A1389" t="s">
        <v>199</v>
      </c>
      <c r="B1389" t="s">
        <v>1877</v>
      </c>
      <c r="C1389" t="s">
        <v>199</v>
      </c>
    </row>
    <row r="1390" spans="1:3" x14ac:dyDescent="0.25">
      <c r="A1390" t="s">
        <v>239</v>
      </c>
      <c r="B1390" t="s">
        <v>1910</v>
      </c>
      <c r="C1390" t="s">
        <v>239</v>
      </c>
    </row>
    <row r="1391" spans="1:3" x14ac:dyDescent="0.25">
      <c r="A1391" t="s">
        <v>243</v>
      </c>
      <c r="B1391" t="s">
        <v>1912</v>
      </c>
      <c r="C1391" t="s">
        <v>243</v>
      </c>
    </row>
    <row r="1392" spans="1:3" x14ac:dyDescent="0.25">
      <c r="A1392" t="s">
        <v>27</v>
      </c>
      <c r="B1392" t="s">
        <v>1883</v>
      </c>
      <c r="C1392" t="s">
        <v>27</v>
      </c>
    </row>
    <row r="1393" spans="1:3" x14ac:dyDescent="0.25">
      <c r="A1393" t="s">
        <v>212</v>
      </c>
      <c r="B1393" t="s">
        <v>1895</v>
      </c>
      <c r="C1393" t="s">
        <v>212</v>
      </c>
    </row>
    <row r="1394" spans="1:3" x14ac:dyDescent="0.25">
      <c r="A1394" t="s">
        <v>214</v>
      </c>
      <c r="B1394" t="s">
        <v>4204</v>
      </c>
      <c r="C1394" t="s">
        <v>214</v>
      </c>
    </row>
    <row r="1395" spans="1:3" x14ac:dyDescent="0.25">
      <c r="A1395" t="s">
        <v>587</v>
      </c>
      <c r="B1395" t="s">
        <v>1957</v>
      </c>
      <c r="C1395" t="s">
        <v>587</v>
      </c>
    </row>
    <row r="1396" spans="1:3" x14ac:dyDescent="0.25">
      <c r="A1396" t="s">
        <v>1805</v>
      </c>
      <c r="B1396" t="s">
        <v>4205</v>
      </c>
      <c r="C1396" t="s">
        <v>1805</v>
      </c>
    </row>
    <row r="1397" spans="1:3" x14ac:dyDescent="0.25">
      <c r="A1397" t="s">
        <v>4206</v>
      </c>
      <c r="B1397" t="s">
        <v>4207</v>
      </c>
      <c r="C1397" t="s">
        <v>4206</v>
      </c>
    </row>
    <row r="1398" spans="1:3" x14ac:dyDescent="0.25">
      <c r="A1398" t="s">
        <v>612</v>
      </c>
      <c r="B1398" t="s">
        <v>1974</v>
      </c>
      <c r="C1398" t="s">
        <v>612</v>
      </c>
    </row>
    <row r="1399" spans="1:3" x14ac:dyDescent="0.25">
      <c r="A1399" t="s">
        <v>614</v>
      </c>
      <c r="B1399" t="s">
        <v>4208</v>
      </c>
      <c r="C1399" t="s">
        <v>614</v>
      </c>
    </row>
    <row r="1400" spans="1:3" x14ac:dyDescent="0.25">
      <c r="A1400" t="s">
        <v>599</v>
      </c>
      <c r="B1400" t="s">
        <v>1968</v>
      </c>
      <c r="C1400" t="s">
        <v>599</v>
      </c>
    </row>
    <row r="1401" spans="1:3" x14ac:dyDescent="0.25">
      <c r="A1401" t="s">
        <v>206</v>
      </c>
      <c r="B1401" t="s">
        <v>1969</v>
      </c>
      <c r="C1401" t="s">
        <v>206</v>
      </c>
    </row>
    <row r="1402" spans="1:3" x14ac:dyDescent="0.25">
      <c r="A1402" t="s">
        <v>603</v>
      </c>
      <c r="B1402" t="s">
        <v>1971</v>
      </c>
      <c r="C1402" t="s">
        <v>603</v>
      </c>
    </row>
    <row r="1403" spans="1:3" x14ac:dyDescent="0.25">
      <c r="A1403" t="s">
        <v>4209</v>
      </c>
      <c r="B1403" t="s">
        <v>4210</v>
      </c>
      <c r="C1403" t="s">
        <v>4209</v>
      </c>
    </row>
    <row r="1404" spans="1:3" x14ac:dyDescent="0.25">
      <c r="A1404" t="s">
        <v>619</v>
      </c>
      <c r="B1404" t="s">
        <v>1898</v>
      </c>
      <c r="C1404" t="s">
        <v>619</v>
      </c>
    </row>
    <row r="1405" spans="1:3" x14ac:dyDescent="0.25">
      <c r="A1405" t="s">
        <v>610</v>
      </c>
      <c r="B1405" t="s">
        <v>1973</v>
      </c>
      <c r="C1405" t="s">
        <v>610</v>
      </c>
    </row>
    <row r="1406" spans="1:3" x14ac:dyDescent="0.25">
      <c r="A1406" t="s">
        <v>617</v>
      </c>
      <c r="B1406" t="s">
        <v>1897</v>
      </c>
      <c r="C1406" t="s">
        <v>617</v>
      </c>
    </row>
    <row r="1407" spans="1:3" x14ac:dyDescent="0.25">
      <c r="A1407" t="s">
        <v>4211</v>
      </c>
      <c r="B1407" t="s">
        <v>4212</v>
      </c>
      <c r="C1407" t="s">
        <v>4211</v>
      </c>
    </row>
    <row r="1408" spans="1:3" x14ac:dyDescent="0.25">
      <c r="A1408" t="s">
        <v>585</v>
      </c>
      <c r="B1408" t="s">
        <v>1884</v>
      </c>
      <c r="C1408" t="s">
        <v>585</v>
      </c>
    </row>
    <row r="1409" spans="1:3" x14ac:dyDescent="0.25">
      <c r="A1409" t="s">
        <v>605</v>
      </c>
      <c r="B1409" t="s">
        <v>4213</v>
      </c>
      <c r="C1409" t="s">
        <v>605</v>
      </c>
    </row>
    <row r="1410" spans="1:3" x14ac:dyDescent="0.25">
      <c r="A1410" t="s">
        <v>4214</v>
      </c>
      <c r="B1410" t="s">
        <v>4215</v>
      </c>
      <c r="C1410" t="s">
        <v>4214</v>
      </c>
    </row>
    <row r="1411" spans="1:3" x14ac:dyDescent="0.25">
      <c r="A1411" t="s">
        <v>4216</v>
      </c>
      <c r="B1411" t="s">
        <v>4217</v>
      </c>
      <c r="C1411" t="s">
        <v>4216</v>
      </c>
    </row>
    <row r="1412" spans="1:3" x14ac:dyDescent="0.25">
      <c r="A1412" t="s">
        <v>4218</v>
      </c>
      <c r="B1412" t="s">
        <v>4219</v>
      </c>
      <c r="C1412" t="s">
        <v>4218</v>
      </c>
    </row>
    <row r="1413" spans="1:3" x14ac:dyDescent="0.25">
      <c r="A1413" t="s">
        <v>4220</v>
      </c>
      <c r="B1413" t="s">
        <v>4221</v>
      </c>
      <c r="C1413" t="s">
        <v>4220</v>
      </c>
    </row>
    <row r="1414" spans="1:3" x14ac:dyDescent="0.25">
      <c r="A1414" t="s">
        <v>4222</v>
      </c>
      <c r="B1414" t="s">
        <v>4223</v>
      </c>
      <c r="C1414" t="s">
        <v>4222</v>
      </c>
    </row>
    <row r="1415" spans="1:3" x14ac:dyDescent="0.25">
      <c r="A1415" t="s">
        <v>4224</v>
      </c>
      <c r="B1415" t="s">
        <v>4225</v>
      </c>
      <c r="C1415" t="s">
        <v>4224</v>
      </c>
    </row>
    <row r="1416" spans="1:3" x14ac:dyDescent="0.25">
      <c r="A1416" t="s">
        <v>4226</v>
      </c>
      <c r="B1416" t="s">
        <v>4227</v>
      </c>
      <c r="C1416" t="s">
        <v>4226</v>
      </c>
    </row>
    <row r="1417" spans="1:3" x14ac:dyDescent="0.25">
      <c r="A1417" t="s">
        <v>4228</v>
      </c>
      <c r="B1417" t="s">
        <v>4229</v>
      </c>
      <c r="C1417" t="s">
        <v>4228</v>
      </c>
    </row>
    <row r="1418" spans="1:3" x14ac:dyDescent="0.25">
      <c r="A1418" t="s">
        <v>4230</v>
      </c>
      <c r="B1418" t="s">
        <v>4231</v>
      </c>
      <c r="C1418" t="s">
        <v>4230</v>
      </c>
    </row>
    <row r="1419" spans="1:3" x14ac:dyDescent="0.25">
      <c r="A1419" t="s">
        <v>4232</v>
      </c>
      <c r="B1419" t="s">
        <v>4233</v>
      </c>
      <c r="C1419" t="s">
        <v>4232</v>
      </c>
    </row>
    <row r="1420" spans="1:3" x14ac:dyDescent="0.25">
      <c r="A1420" t="s">
        <v>4234</v>
      </c>
      <c r="B1420" t="s">
        <v>4235</v>
      </c>
      <c r="C1420" t="s">
        <v>4234</v>
      </c>
    </row>
    <row r="1421" spans="1:3" x14ac:dyDescent="0.25">
      <c r="A1421" t="s">
        <v>4236</v>
      </c>
      <c r="B1421" t="s">
        <v>4237</v>
      </c>
      <c r="C1421" t="s">
        <v>4236</v>
      </c>
    </row>
    <row r="1422" spans="1:3" x14ac:dyDescent="0.25">
      <c r="A1422" t="s">
        <v>4238</v>
      </c>
      <c r="B1422" t="s">
        <v>4239</v>
      </c>
      <c r="C1422" t="s">
        <v>4238</v>
      </c>
    </row>
    <row r="1423" spans="1:3" x14ac:dyDescent="0.25">
      <c r="A1423" t="s">
        <v>4240</v>
      </c>
      <c r="B1423" t="s">
        <v>4241</v>
      </c>
      <c r="C1423" t="s">
        <v>4240</v>
      </c>
    </row>
    <row r="1424" spans="1:3" x14ac:dyDescent="0.25">
      <c r="A1424" t="s">
        <v>4242</v>
      </c>
      <c r="B1424" t="s">
        <v>4243</v>
      </c>
      <c r="C1424" t="s">
        <v>4242</v>
      </c>
    </row>
    <row r="1425" spans="1:3" x14ac:dyDescent="0.25">
      <c r="A1425" t="s">
        <v>4244</v>
      </c>
      <c r="B1425" t="s">
        <v>4245</v>
      </c>
      <c r="C1425" t="s">
        <v>4244</v>
      </c>
    </row>
    <row r="1426" spans="1:3" x14ac:dyDescent="0.25">
      <c r="A1426" t="s">
        <v>4246</v>
      </c>
      <c r="B1426" t="s">
        <v>4247</v>
      </c>
      <c r="C1426" t="s">
        <v>4246</v>
      </c>
    </row>
    <row r="1427" spans="1:3" x14ac:dyDescent="0.25">
      <c r="A1427" t="s">
        <v>4248</v>
      </c>
      <c r="B1427" t="s">
        <v>4249</v>
      </c>
      <c r="C1427" t="s">
        <v>4248</v>
      </c>
    </row>
    <row r="1428" spans="1:3" x14ac:dyDescent="0.25">
      <c r="A1428" t="s">
        <v>4250</v>
      </c>
      <c r="B1428" t="s">
        <v>4251</v>
      </c>
      <c r="C1428" t="s">
        <v>4250</v>
      </c>
    </row>
    <row r="1429" spans="1:3" x14ac:dyDescent="0.25">
      <c r="A1429" t="s">
        <v>4252</v>
      </c>
      <c r="B1429" t="s">
        <v>4253</v>
      </c>
      <c r="C1429" t="s">
        <v>4252</v>
      </c>
    </row>
    <row r="1430" spans="1:3" x14ac:dyDescent="0.25">
      <c r="A1430" t="s">
        <v>4254</v>
      </c>
      <c r="B1430" t="s">
        <v>4255</v>
      </c>
      <c r="C1430" t="s">
        <v>4254</v>
      </c>
    </row>
    <row r="1431" spans="1:3" x14ac:dyDescent="0.25">
      <c r="A1431" t="s">
        <v>4256</v>
      </c>
      <c r="B1431" t="s">
        <v>4257</v>
      </c>
      <c r="C1431" t="s">
        <v>4256</v>
      </c>
    </row>
    <row r="1432" spans="1:3" x14ac:dyDescent="0.25">
      <c r="A1432" t="s">
        <v>4258</v>
      </c>
      <c r="B1432" t="s">
        <v>4259</v>
      </c>
      <c r="C1432" t="s">
        <v>4258</v>
      </c>
    </row>
    <row r="1433" spans="1:3" x14ac:dyDescent="0.25">
      <c r="A1433" t="s">
        <v>4260</v>
      </c>
      <c r="B1433" t="s">
        <v>4261</v>
      </c>
      <c r="C1433" t="s">
        <v>4260</v>
      </c>
    </row>
    <row r="1434" spans="1:3" x14ac:dyDescent="0.25">
      <c r="A1434" t="s">
        <v>4262</v>
      </c>
      <c r="B1434" t="s">
        <v>4263</v>
      </c>
      <c r="C1434" t="s">
        <v>4262</v>
      </c>
    </row>
    <row r="1435" spans="1:3" x14ac:dyDescent="0.25">
      <c r="A1435" t="s">
        <v>4264</v>
      </c>
      <c r="B1435" t="s">
        <v>4265</v>
      </c>
      <c r="C1435" t="s">
        <v>4264</v>
      </c>
    </row>
    <row r="1436" spans="1:3" x14ac:dyDescent="0.25">
      <c r="A1436" t="s">
        <v>4266</v>
      </c>
      <c r="B1436" t="s">
        <v>4267</v>
      </c>
      <c r="C1436" t="s">
        <v>4266</v>
      </c>
    </row>
    <row r="1437" spans="1:3" x14ac:dyDescent="0.25">
      <c r="A1437" t="s">
        <v>4268</v>
      </c>
      <c r="B1437" t="s">
        <v>4269</v>
      </c>
      <c r="C1437" t="s">
        <v>4268</v>
      </c>
    </row>
    <row r="1438" spans="1:3" x14ac:dyDescent="0.25">
      <c r="A1438" t="s">
        <v>4270</v>
      </c>
      <c r="B1438" t="s">
        <v>4271</v>
      </c>
      <c r="C1438" t="s">
        <v>4270</v>
      </c>
    </row>
    <row r="1439" spans="1:3" x14ac:dyDescent="0.25">
      <c r="A1439" t="s">
        <v>883</v>
      </c>
      <c r="B1439" t="s">
        <v>1987</v>
      </c>
      <c r="C1439" t="s">
        <v>883</v>
      </c>
    </row>
    <row r="1440" spans="1:3" x14ac:dyDescent="0.25">
      <c r="A1440" t="s">
        <v>885</v>
      </c>
      <c r="B1440" t="s">
        <v>1989</v>
      </c>
      <c r="C1440" t="s">
        <v>885</v>
      </c>
    </row>
    <row r="1441" spans="1:3" x14ac:dyDescent="0.25">
      <c r="A1441" t="s">
        <v>887</v>
      </c>
      <c r="B1441" t="s">
        <v>1990</v>
      </c>
      <c r="C1441" t="s">
        <v>887</v>
      </c>
    </row>
    <row r="1442" spans="1:3" x14ac:dyDescent="0.25">
      <c r="A1442" t="s">
        <v>4272</v>
      </c>
      <c r="B1442" t="s">
        <v>4273</v>
      </c>
      <c r="C1442" t="s">
        <v>4272</v>
      </c>
    </row>
    <row r="1443" spans="1:3" x14ac:dyDescent="0.25">
      <c r="A1443" t="s">
        <v>4274</v>
      </c>
      <c r="B1443" t="s">
        <v>4275</v>
      </c>
      <c r="C1443" t="s">
        <v>4274</v>
      </c>
    </row>
    <row r="1444" spans="1:3" x14ac:dyDescent="0.25">
      <c r="A1444" t="s">
        <v>891</v>
      </c>
      <c r="B1444" t="s">
        <v>1991</v>
      </c>
      <c r="C1444" t="s">
        <v>891</v>
      </c>
    </row>
    <row r="1445" spans="1:3" x14ac:dyDescent="0.25">
      <c r="A1445" t="s">
        <v>73</v>
      </c>
      <c r="B1445" t="s">
        <v>4276</v>
      </c>
      <c r="C1445" t="s">
        <v>73</v>
      </c>
    </row>
    <row r="1446" spans="1:3" x14ac:dyDescent="0.25">
      <c r="A1446" t="s">
        <v>776</v>
      </c>
      <c r="B1446" t="s">
        <v>1992</v>
      </c>
      <c r="C1446" t="s">
        <v>776</v>
      </c>
    </row>
    <row r="1447" spans="1:3" x14ac:dyDescent="0.25">
      <c r="A1447" t="s">
        <v>124</v>
      </c>
      <c r="B1447" t="s">
        <v>4277</v>
      </c>
      <c r="C1447" t="s">
        <v>124</v>
      </c>
    </row>
    <row r="1448" spans="1:3" x14ac:dyDescent="0.25">
      <c r="A1448" t="s">
        <v>469</v>
      </c>
      <c r="B1448" t="s">
        <v>4278</v>
      </c>
      <c r="C1448" t="s">
        <v>469</v>
      </c>
    </row>
    <row r="1449" spans="1:3" x14ac:dyDescent="0.25">
      <c r="A1449" t="s">
        <v>968</v>
      </c>
      <c r="B1449" t="s">
        <v>4279</v>
      </c>
      <c r="C1449" t="s">
        <v>968</v>
      </c>
    </row>
    <row r="1450" spans="1:3" x14ac:dyDescent="0.25">
      <c r="A1450" t="s">
        <v>969</v>
      </c>
      <c r="B1450" t="s">
        <v>2081</v>
      </c>
      <c r="C1450" t="s">
        <v>969</v>
      </c>
    </row>
    <row r="1451" spans="1:3" x14ac:dyDescent="0.25">
      <c r="A1451" t="s">
        <v>4280</v>
      </c>
      <c r="B1451" t="s">
        <v>4281</v>
      </c>
      <c r="C1451" t="s">
        <v>4280</v>
      </c>
    </row>
    <row r="1452" spans="1:3" x14ac:dyDescent="0.25">
      <c r="A1452" t="s">
        <v>4282</v>
      </c>
      <c r="B1452" t="s">
        <v>4283</v>
      </c>
      <c r="C1452" t="s">
        <v>4282</v>
      </c>
    </row>
    <row r="1453" spans="1:3" x14ac:dyDescent="0.25">
      <c r="A1453" t="s">
        <v>4284</v>
      </c>
      <c r="B1453" t="s">
        <v>4285</v>
      </c>
      <c r="C1453" t="s">
        <v>4284</v>
      </c>
    </row>
    <row r="1454" spans="1:3" x14ac:dyDescent="0.25">
      <c r="A1454" t="s">
        <v>778</v>
      </c>
      <c r="B1454" t="s">
        <v>4286</v>
      </c>
      <c r="C1454" t="s">
        <v>778</v>
      </c>
    </row>
    <row r="1455" spans="1:3" x14ac:dyDescent="0.25">
      <c r="A1455" t="s">
        <v>779</v>
      </c>
      <c r="B1455" t="s">
        <v>2084</v>
      </c>
      <c r="C1455" t="s">
        <v>779</v>
      </c>
    </row>
    <row r="1456" spans="1:3" x14ac:dyDescent="0.25">
      <c r="A1456" t="s">
        <v>781</v>
      </c>
      <c r="B1456" t="s">
        <v>2085</v>
      </c>
      <c r="C1456" t="s">
        <v>781</v>
      </c>
    </row>
    <row r="1457" spans="1:3" x14ac:dyDescent="0.25">
      <c r="A1457" t="s">
        <v>4287</v>
      </c>
      <c r="B1457" t="s">
        <v>4288</v>
      </c>
      <c r="C1457" t="s">
        <v>4287</v>
      </c>
    </row>
    <row r="1458" spans="1:3" x14ac:dyDescent="0.25">
      <c r="A1458" t="s">
        <v>4289</v>
      </c>
      <c r="B1458" t="s">
        <v>4290</v>
      </c>
      <c r="C1458" t="s">
        <v>4289</v>
      </c>
    </row>
    <row r="1459" spans="1:3" x14ac:dyDescent="0.25">
      <c r="A1459" t="s">
        <v>4291</v>
      </c>
      <c r="B1459" t="s">
        <v>4292</v>
      </c>
      <c r="C1459" t="s">
        <v>4291</v>
      </c>
    </row>
    <row r="1460" spans="1:3" x14ac:dyDescent="0.25">
      <c r="A1460" t="s">
        <v>4293</v>
      </c>
      <c r="B1460" t="s">
        <v>4294</v>
      </c>
      <c r="C1460" t="s">
        <v>4293</v>
      </c>
    </row>
    <row r="1461" spans="1:3" x14ac:dyDescent="0.25">
      <c r="A1461" t="s">
        <v>4295</v>
      </c>
      <c r="B1461" t="s">
        <v>4296</v>
      </c>
      <c r="C1461" t="s">
        <v>4295</v>
      </c>
    </row>
    <row r="1462" spans="1:3" x14ac:dyDescent="0.25">
      <c r="A1462" t="s">
        <v>4297</v>
      </c>
      <c r="B1462" t="s">
        <v>4298</v>
      </c>
      <c r="C1462" t="s">
        <v>4297</v>
      </c>
    </row>
    <row r="1463" spans="1:3" x14ac:dyDescent="0.25">
      <c r="A1463" t="s">
        <v>4299</v>
      </c>
      <c r="B1463" t="s">
        <v>4300</v>
      </c>
      <c r="C1463" t="s">
        <v>4299</v>
      </c>
    </row>
    <row r="1464" spans="1:3" x14ac:dyDescent="0.25">
      <c r="A1464" t="s">
        <v>4301</v>
      </c>
      <c r="B1464" t="s">
        <v>4302</v>
      </c>
      <c r="C1464" t="s">
        <v>4301</v>
      </c>
    </row>
    <row r="1465" spans="1:3" x14ac:dyDescent="0.25">
      <c r="A1465" t="s">
        <v>4303</v>
      </c>
      <c r="B1465" t="s">
        <v>4304</v>
      </c>
      <c r="C1465" t="s">
        <v>4303</v>
      </c>
    </row>
    <row r="1466" spans="1:3" x14ac:dyDescent="0.25">
      <c r="A1466" t="s">
        <v>4305</v>
      </c>
      <c r="B1466" t="s">
        <v>4306</v>
      </c>
      <c r="C1466" t="s">
        <v>4305</v>
      </c>
    </row>
    <row r="1467" spans="1:3" x14ac:dyDescent="0.25">
      <c r="A1467" t="s">
        <v>4307</v>
      </c>
      <c r="B1467" t="s">
        <v>4308</v>
      </c>
      <c r="C1467" t="s">
        <v>4307</v>
      </c>
    </row>
    <row r="1468" spans="1:3" x14ac:dyDescent="0.25">
      <c r="A1468" t="s">
        <v>4309</v>
      </c>
      <c r="B1468" t="s">
        <v>4310</v>
      </c>
      <c r="C1468" t="s">
        <v>4309</v>
      </c>
    </row>
    <row r="1469" spans="1:3" x14ac:dyDescent="0.25">
      <c r="A1469" t="s">
        <v>4311</v>
      </c>
      <c r="B1469" t="s">
        <v>4312</v>
      </c>
      <c r="C1469" t="s">
        <v>4311</v>
      </c>
    </row>
    <row r="1470" spans="1:3" x14ac:dyDescent="0.25">
      <c r="A1470" t="s">
        <v>4313</v>
      </c>
      <c r="B1470" t="s">
        <v>4314</v>
      </c>
      <c r="C1470" t="s">
        <v>4313</v>
      </c>
    </row>
    <row r="1471" spans="1:3" x14ac:dyDescent="0.25">
      <c r="A1471" t="s">
        <v>4315</v>
      </c>
      <c r="B1471" t="s">
        <v>4316</v>
      </c>
      <c r="C1471" t="s">
        <v>4315</v>
      </c>
    </row>
    <row r="1472" spans="1:3" x14ac:dyDescent="0.25">
      <c r="A1472" t="s">
        <v>4317</v>
      </c>
      <c r="B1472" t="s">
        <v>4318</v>
      </c>
      <c r="C1472" t="s">
        <v>4317</v>
      </c>
    </row>
    <row r="1473" spans="1:3" x14ac:dyDescent="0.25">
      <c r="A1473" t="s">
        <v>873</v>
      </c>
      <c r="B1473" t="s">
        <v>1979</v>
      </c>
      <c r="C1473" t="s">
        <v>873</v>
      </c>
    </row>
    <row r="1474" spans="1:3" x14ac:dyDescent="0.25">
      <c r="A1474" t="s">
        <v>1829</v>
      </c>
      <c r="B1474" t="s">
        <v>4319</v>
      </c>
      <c r="C1474" t="s">
        <v>1829</v>
      </c>
    </row>
    <row r="1475" spans="1:3" x14ac:dyDescent="0.25">
      <c r="A1475" t="s">
        <v>875</v>
      </c>
      <c r="B1475" t="s">
        <v>4320</v>
      </c>
      <c r="C1475" t="s">
        <v>875</v>
      </c>
    </row>
    <row r="1476" spans="1:3" x14ac:dyDescent="0.25">
      <c r="A1476" t="s">
        <v>4321</v>
      </c>
      <c r="B1476" t="s">
        <v>4322</v>
      </c>
      <c r="C1476" t="s">
        <v>4321</v>
      </c>
    </row>
    <row r="1477" spans="1:3" x14ac:dyDescent="0.25">
      <c r="A1477" t="s">
        <v>877</v>
      </c>
      <c r="B1477" t="s">
        <v>1980</v>
      </c>
      <c r="C1477" t="s">
        <v>877</v>
      </c>
    </row>
    <row r="1478" spans="1:3" x14ac:dyDescent="0.25">
      <c r="A1478" t="s">
        <v>879</v>
      </c>
      <c r="B1478" t="s">
        <v>1981</v>
      </c>
      <c r="C1478" t="s">
        <v>879</v>
      </c>
    </row>
    <row r="1479" spans="1:3" x14ac:dyDescent="0.25">
      <c r="A1479" t="s">
        <v>122</v>
      </c>
      <c r="B1479" t="s">
        <v>1913</v>
      </c>
      <c r="C1479" t="s">
        <v>122</v>
      </c>
    </row>
    <row r="1480" spans="1:3" x14ac:dyDescent="0.25">
      <c r="A1480" t="s">
        <v>4323</v>
      </c>
      <c r="B1480" t="s">
        <v>4324</v>
      </c>
      <c r="C1480" t="s">
        <v>4323</v>
      </c>
    </row>
    <row r="1481" spans="1:3" x14ac:dyDescent="0.25">
      <c r="A1481" t="s">
        <v>4325</v>
      </c>
      <c r="B1481" t="s">
        <v>4326</v>
      </c>
      <c r="C1481" t="s">
        <v>4325</v>
      </c>
    </row>
    <row r="1482" spans="1:3" x14ac:dyDescent="0.25">
      <c r="A1482" t="s">
        <v>766</v>
      </c>
      <c r="B1482" t="s">
        <v>1983</v>
      </c>
      <c r="C1482" t="s">
        <v>766</v>
      </c>
    </row>
    <row r="1483" spans="1:3" x14ac:dyDescent="0.25">
      <c r="A1483" t="s">
        <v>464</v>
      </c>
      <c r="B1483" t="s">
        <v>2072</v>
      </c>
      <c r="C1483" t="s">
        <v>464</v>
      </c>
    </row>
    <row r="1484" spans="1:3" x14ac:dyDescent="0.25">
      <c r="A1484" t="s">
        <v>69</v>
      </c>
      <c r="B1484" t="s">
        <v>2073</v>
      </c>
      <c r="C1484" t="s">
        <v>69</v>
      </c>
    </row>
    <row r="1485" spans="1:3" x14ac:dyDescent="0.25">
      <c r="A1485" t="s">
        <v>30</v>
      </c>
      <c r="B1485" t="s">
        <v>4327</v>
      </c>
      <c r="C1485" t="s">
        <v>30</v>
      </c>
    </row>
    <row r="1486" spans="1:3" x14ac:dyDescent="0.25">
      <c r="A1486" t="s">
        <v>70</v>
      </c>
      <c r="B1486" t="s">
        <v>2075</v>
      </c>
      <c r="C1486" t="s">
        <v>70</v>
      </c>
    </row>
    <row r="1487" spans="1:3" x14ac:dyDescent="0.25">
      <c r="A1487" t="s">
        <v>768</v>
      </c>
      <c r="B1487" t="s">
        <v>1985</v>
      </c>
      <c r="C1487" t="s">
        <v>768</v>
      </c>
    </row>
    <row r="1488" spans="1:3" x14ac:dyDescent="0.25">
      <c r="A1488" t="s">
        <v>33</v>
      </c>
      <c r="B1488" t="s">
        <v>2076</v>
      </c>
      <c r="C1488" t="s">
        <v>33</v>
      </c>
    </row>
    <row r="1489" spans="1:3" x14ac:dyDescent="0.25">
      <c r="A1489" t="s">
        <v>770</v>
      </c>
      <c r="B1489" t="s">
        <v>2077</v>
      </c>
      <c r="C1489" t="s">
        <v>770</v>
      </c>
    </row>
    <row r="1490" spans="1:3" x14ac:dyDescent="0.25">
      <c r="A1490" t="s">
        <v>4328</v>
      </c>
      <c r="B1490" t="s">
        <v>4329</v>
      </c>
      <c r="C1490" t="s">
        <v>4328</v>
      </c>
    </row>
    <row r="1491" spans="1:3" x14ac:dyDescent="0.25">
      <c r="A1491" t="s">
        <v>912</v>
      </c>
      <c r="B1491" t="s">
        <v>4330</v>
      </c>
      <c r="C1491" t="s">
        <v>912</v>
      </c>
    </row>
    <row r="1492" spans="1:3" x14ac:dyDescent="0.25">
      <c r="A1492" t="s">
        <v>4331</v>
      </c>
      <c r="B1492" t="s">
        <v>4332</v>
      </c>
      <c r="C1492" t="s">
        <v>4331</v>
      </c>
    </row>
    <row r="1493" spans="1:3" x14ac:dyDescent="0.25">
      <c r="A1493" t="s">
        <v>913</v>
      </c>
      <c r="B1493" t="s">
        <v>4333</v>
      </c>
      <c r="C1493" t="s">
        <v>913</v>
      </c>
    </row>
    <row r="1494" spans="1:3" x14ac:dyDescent="0.25">
      <c r="A1494" t="s">
        <v>4334</v>
      </c>
      <c r="B1494" t="s">
        <v>4335</v>
      </c>
      <c r="C1494" t="s">
        <v>4334</v>
      </c>
    </row>
    <row r="1495" spans="1:3" x14ac:dyDescent="0.25">
      <c r="A1495" t="s">
        <v>4336</v>
      </c>
      <c r="B1495" t="s">
        <v>4337</v>
      </c>
      <c r="C1495" t="s">
        <v>4336</v>
      </c>
    </row>
    <row r="1496" spans="1:3" x14ac:dyDescent="0.25">
      <c r="A1496" t="s">
        <v>4338</v>
      </c>
      <c r="B1496" t="s">
        <v>4339</v>
      </c>
      <c r="C1496" t="s">
        <v>4338</v>
      </c>
    </row>
    <row r="1497" spans="1:3" x14ac:dyDescent="0.25">
      <c r="A1497" t="s">
        <v>241</v>
      </c>
      <c r="B1497" t="s">
        <v>1911</v>
      </c>
      <c r="C1497" t="s">
        <v>241</v>
      </c>
    </row>
    <row r="1498" spans="1:3" x14ac:dyDescent="0.25">
      <c r="A1498" t="s">
        <v>4340</v>
      </c>
      <c r="B1498" t="s">
        <v>4341</v>
      </c>
      <c r="C1498" t="s">
        <v>4340</v>
      </c>
    </row>
    <row r="1499" spans="1:3" x14ac:dyDescent="0.25">
      <c r="A1499" t="s">
        <v>4342</v>
      </c>
      <c r="B1499" t="s">
        <v>4343</v>
      </c>
      <c r="C1499" t="s">
        <v>4342</v>
      </c>
    </row>
    <row r="1500" spans="1:3" x14ac:dyDescent="0.25">
      <c r="A1500" t="s">
        <v>4344</v>
      </c>
      <c r="B1500" t="s">
        <v>4345</v>
      </c>
      <c r="C1500" t="s">
        <v>4344</v>
      </c>
    </row>
    <row r="1501" spans="1:3" x14ac:dyDescent="0.25">
      <c r="A1501" t="s">
        <v>4346</v>
      </c>
      <c r="B1501" t="s">
        <v>4347</v>
      </c>
      <c r="C1501" t="s">
        <v>4346</v>
      </c>
    </row>
    <row r="1502" spans="1:3" x14ac:dyDescent="0.25">
      <c r="A1502" t="s">
        <v>4348</v>
      </c>
      <c r="B1502" t="s">
        <v>4349</v>
      </c>
      <c r="C1502" t="s">
        <v>4348</v>
      </c>
    </row>
    <row r="1503" spans="1:3" x14ac:dyDescent="0.25">
      <c r="A1503" t="s">
        <v>4350</v>
      </c>
      <c r="B1503" t="s">
        <v>2030</v>
      </c>
      <c r="C1503" t="s">
        <v>4350</v>
      </c>
    </row>
    <row r="1504" spans="1:3" x14ac:dyDescent="0.25">
      <c r="A1504" t="s">
        <v>4351</v>
      </c>
      <c r="B1504" t="s">
        <v>4352</v>
      </c>
      <c r="C1504" t="s">
        <v>4351</v>
      </c>
    </row>
    <row r="1505" spans="1:3" x14ac:dyDescent="0.25">
      <c r="A1505" t="s">
        <v>4353</v>
      </c>
      <c r="B1505" t="s">
        <v>4354</v>
      </c>
      <c r="C1505" t="s">
        <v>4353</v>
      </c>
    </row>
    <row r="1506" spans="1:3" x14ac:dyDescent="0.25">
      <c r="A1506" t="s">
        <v>4355</v>
      </c>
      <c r="B1506" t="s">
        <v>4356</v>
      </c>
      <c r="C1506" t="s">
        <v>4355</v>
      </c>
    </row>
    <row r="1507" spans="1:3" x14ac:dyDescent="0.25">
      <c r="A1507" t="s">
        <v>4357</v>
      </c>
      <c r="B1507" t="s">
        <v>4358</v>
      </c>
      <c r="C1507" t="s">
        <v>4357</v>
      </c>
    </row>
    <row r="1508" spans="1:3" x14ac:dyDescent="0.25">
      <c r="A1508" t="s">
        <v>4359</v>
      </c>
      <c r="B1508" t="s">
        <v>4360</v>
      </c>
      <c r="C1508" t="s">
        <v>4359</v>
      </c>
    </row>
    <row r="1509" spans="1:3" x14ac:dyDescent="0.25">
      <c r="A1509" t="s">
        <v>4361</v>
      </c>
      <c r="B1509" t="s">
        <v>4362</v>
      </c>
      <c r="C1509" t="s">
        <v>4361</v>
      </c>
    </row>
    <row r="1510" spans="1:3" x14ac:dyDescent="0.25">
      <c r="A1510" t="s">
        <v>4363</v>
      </c>
      <c r="B1510" t="s">
        <v>4364</v>
      </c>
      <c r="C1510" t="s">
        <v>4363</v>
      </c>
    </row>
    <row r="1511" spans="1:3" x14ac:dyDescent="0.25">
      <c r="A1511" t="s">
        <v>4365</v>
      </c>
      <c r="B1511" t="s">
        <v>4366</v>
      </c>
      <c r="C1511" t="s">
        <v>4365</v>
      </c>
    </row>
    <row r="1512" spans="1:3" x14ac:dyDescent="0.25">
      <c r="A1512" t="s">
        <v>4367</v>
      </c>
      <c r="B1512" t="s">
        <v>4368</v>
      </c>
      <c r="C1512" t="s">
        <v>4367</v>
      </c>
    </row>
    <row r="1513" spans="1:3" x14ac:dyDescent="0.25">
      <c r="A1513" t="s">
        <v>4369</v>
      </c>
      <c r="B1513" t="s">
        <v>4370</v>
      </c>
      <c r="C1513" t="s">
        <v>4369</v>
      </c>
    </row>
    <row r="1514" spans="1:3" x14ac:dyDescent="0.25">
      <c r="A1514" t="s">
        <v>4371</v>
      </c>
      <c r="B1514" t="s">
        <v>4372</v>
      </c>
      <c r="C1514" t="s">
        <v>4371</v>
      </c>
    </row>
    <row r="1515" spans="1:3" x14ac:dyDescent="0.25">
      <c r="A1515" t="s">
        <v>4373</v>
      </c>
      <c r="B1515" t="s">
        <v>4374</v>
      </c>
      <c r="C1515" t="s">
        <v>4373</v>
      </c>
    </row>
    <row r="1516" spans="1:3" x14ac:dyDescent="0.25">
      <c r="A1516" t="s">
        <v>4375</v>
      </c>
      <c r="B1516" t="s">
        <v>4376</v>
      </c>
      <c r="C1516" t="s">
        <v>4375</v>
      </c>
    </row>
    <row r="1517" spans="1:3" x14ac:dyDescent="0.25">
      <c r="A1517" t="s">
        <v>4377</v>
      </c>
      <c r="B1517" t="s">
        <v>4378</v>
      </c>
      <c r="C1517" t="s">
        <v>4377</v>
      </c>
    </row>
    <row r="1518" spans="1:3" x14ac:dyDescent="0.25">
      <c r="A1518" t="s">
        <v>4379</v>
      </c>
      <c r="B1518" t="s">
        <v>4380</v>
      </c>
      <c r="C1518" t="s">
        <v>4379</v>
      </c>
    </row>
    <row r="1519" spans="1:3" x14ac:dyDescent="0.25">
      <c r="A1519" t="s">
        <v>4381</v>
      </c>
      <c r="B1519" t="s">
        <v>4382</v>
      </c>
      <c r="C1519" t="s">
        <v>4381</v>
      </c>
    </row>
    <row r="1520" spans="1:3" x14ac:dyDescent="0.25">
      <c r="A1520" t="s">
        <v>4383</v>
      </c>
      <c r="B1520" t="s">
        <v>4384</v>
      </c>
      <c r="C1520" t="s">
        <v>4383</v>
      </c>
    </row>
    <row r="1521" spans="1:3" x14ac:dyDescent="0.25">
      <c r="A1521" t="s">
        <v>4385</v>
      </c>
      <c r="B1521" t="s">
        <v>4386</v>
      </c>
      <c r="C1521" t="s">
        <v>4385</v>
      </c>
    </row>
    <row r="1522" spans="1:3" x14ac:dyDescent="0.25">
      <c r="A1522" t="s">
        <v>4387</v>
      </c>
      <c r="B1522" t="s">
        <v>4388</v>
      </c>
      <c r="C1522" t="s">
        <v>4387</v>
      </c>
    </row>
    <row r="1523" spans="1:3" x14ac:dyDescent="0.25">
      <c r="A1523" t="s">
        <v>4389</v>
      </c>
      <c r="B1523" t="s">
        <v>4390</v>
      </c>
      <c r="C1523" t="s">
        <v>4389</v>
      </c>
    </row>
    <row r="1524" spans="1:3" x14ac:dyDescent="0.25">
      <c r="A1524" t="s">
        <v>4391</v>
      </c>
      <c r="B1524" t="s">
        <v>4392</v>
      </c>
      <c r="C1524" t="s">
        <v>4391</v>
      </c>
    </row>
    <row r="1525" spans="1:3" x14ac:dyDescent="0.25">
      <c r="A1525" t="s">
        <v>4393</v>
      </c>
      <c r="B1525" t="s">
        <v>4394</v>
      </c>
      <c r="C1525" t="s">
        <v>4393</v>
      </c>
    </row>
    <row r="1526" spans="1:3" x14ac:dyDescent="0.25">
      <c r="A1526" t="s">
        <v>4395</v>
      </c>
      <c r="B1526" t="s">
        <v>4396</v>
      </c>
      <c r="C1526" t="s">
        <v>4395</v>
      </c>
    </row>
    <row r="1527" spans="1:3" x14ac:dyDescent="0.25">
      <c r="A1527" t="s">
        <v>4397</v>
      </c>
      <c r="B1527" t="s">
        <v>4398</v>
      </c>
      <c r="C1527" t="s">
        <v>4397</v>
      </c>
    </row>
    <row r="1528" spans="1:3" x14ac:dyDescent="0.25">
      <c r="A1528" t="s">
        <v>4399</v>
      </c>
      <c r="B1528" t="s">
        <v>4400</v>
      </c>
      <c r="C1528" t="s">
        <v>4399</v>
      </c>
    </row>
    <row r="1529" spans="1:3" x14ac:dyDescent="0.25">
      <c r="A1529" t="s">
        <v>4401</v>
      </c>
      <c r="B1529" t="s">
        <v>4402</v>
      </c>
      <c r="C1529" t="s">
        <v>4401</v>
      </c>
    </row>
    <row r="1530" spans="1:3" x14ac:dyDescent="0.25">
      <c r="A1530" t="s">
        <v>4403</v>
      </c>
      <c r="B1530" t="s">
        <v>4404</v>
      </c>
      <c r="C1530" t="s">
        <v>4403</v>
      </c>
    </row>
    <row r="1531" spans="1:3" x14ac:dyDescent="0.25">
      <c r="A1531" t="s">
        <v>4405</v>
      </c>
      <c r="B1531" t="s">
        <v>4406</v>
      </c>
      <c r="C1531" t="s">
        <v>4405</v>
      </c>
    </row>
    <row r="1532" spans="1:3" x14ac:dyDescent="0.25">
      <c r="A1532" t="s">
        <v>4407</v>
      </c>
      <c r="B1532" t="s">
        <v>4408</v>
      </c>
      <c r="C1532" t="s">
        <v>4407</v>
      </c>
    </row>
    <row r="1533" spans="1:3" x14ac:dyDescent="0.25">
      <c r="A1533" t="s">
        <v>4409</v>
      </c>
      <c r="B1533" t="s">
        <v>4410</v>
      </c>
      <c r="C1533" t="s">
        <v>4409</v>
      </c>
    </row>
    <row r="1534" spans="1:3" x14ac:dyDescent="0.25">
      <c r="A1534" t="s">
        <v>4411</v>
      </c>
      <c r="B1534" t="s">
        <v>4412</v>
      </c>
      <c r="C1534" t="s">
        <v>4411</v>
      </c>
    </row>
    <row r="1535" spans="1:3" x14ac:dyDescent="0.25">
      <c r="A1535" t="s">
        <v>4413</v>
      </c>
      <c r="B1535" t="s">
        <v>4414</v>
      </c>
      <c r="C1535" t="s">
        <v>4413</v>
      </c>
    </row>
    <row r="1536" spans="1:3" x14ac:dyDescent="0.25">
      <c r="A1536" t="s">
        <v>917</v>
      </c>
      <c r="B1536" t="s">
        <v>2086</v>
      </c>
      <c r="C1536" t="s">
        <v>917</v>
      </c>
    </row>
    <row r="1537" spans="1:3" x14ac:dyDescent="0.25">
      <c r="A1537" t="s">
        <v>914</v>
      </c>
      <c r="B1537" t="s">
        <v>1984</v>
      </c>
      <c r="C1537" t="s">
        <v>914</v>
      </c>
    </row>
    <row r="1538" spans="1:3" x14ac:dyDescent="0.25">
      <c r="A1538" t="s">
        <v>4415</v>
      </c>
      <c r="B1538" t="s">
        <v>4416</v>
      </c>
      <c r="C1538" t="s">
        <v>4415</v>
      </c>
    </row>
    <row r="1539" spans="1:3" x14ac:dyDescent="0.25">
      <c r="A1539" t="s">
        <v>4417</v>
      </c>
      <c r="B1539" t="s">
        <v>4418</v>
      </c>
      <c r="C1539" t="s">
        <v>4417</v>
      </c>
    </row>
    <row r="1540" spans="1:3" x14ac:dyDescent="0.25">
      <c r="A1540" t="s">
        <v>4419</v>
      </c>
      <c r="B1540" t="s">
        <v>4420</v>
      </c>
      <c r="C1540" t="s">
        <v>4419</v>
      </c>
    </row>
    <row r="1541" spans="1:3" x14ac:dyDescent="0.25">
      <c r="A1541" t="s">
        <v>4421</v>
      </c>
      <c r="B1541" t="s">
        <v>4422</v>
      </c>
      <c r="C1541" t="s">
        <v>4421</v>
      </c>
    </row>
    <row r="1542" spans="1:3" x14ac:dyDescent="0.25">
      <c r="A1542" t="s">
        <v>4423</v>
      </c>
      <c r="B1542" t="s">
        <v>4424</v>
      </c>
      <c r="C1542" t="s">
        <v>4423</v>
      </c>
    </row>
    <row r="1543" spans="1:3" x14ac:dyDescent="0.25">
      <c r="A1543" t="s">
        <v>4425</v>
      </c>
      <c r="B1543" t="s">
        <v>4426</v>
      </c>
      <c r="C1543" t="s">
        <v>4425</v>
      </c>
    </row>
    <row r="1544" spans="1:3" x14ac:dyDescent="0.25">
      <c r="A1544" t="s">
        <v>4427</v>
      </c>
      <c r="B1544" t="s">
        <v>4428</v>
      </c>
      <c r="C1544" t="s">
        <v>4427</v>
      </c>
    </row>
    <row r="1545" spans="1:3" x14ac:dyDescent="0.25">
      <c r="A1545" t="s">
        <v>4429</v>
      </c>
      <c r="B1545" t="s">
        <v>4430</v>
      </c>
      <c r="C1545" t="s">
        <v>4429</v>
      </c>
    </row>
    <row r="1546" spans="1:3" x14ac:dyDescent="0.25">
      <c r="A1546" t="s">
        <v>4431</v>
      </c>
      <c r="B1546" t="s">
        <v>4432</v>
      </c>
      <c r="C1546" t="s">
        <v>4431</v>
      </c>
    </row>
    <row r="1547" spans="1:3" x14ac:dyDescent="0.25">
      <c r="A1547" t="s">
        <v>4433</v>
      </c>
      <c r="B1547" t="s">
        <v>4434</v>
      </c>
      <c r="C1547" t="s">
        <v>4433</v>
      </c>
    </row>
    <row r="1548" spans="1:3" x14ac:dyDescent="0.25">
      <c r="A1548" t="s">
        <v>4435</v>
      </c>
      <c r="B1548" t="s">
        <v>4436</v>
      </c>
      <c r="C1548" t="s">
        <v>4435</v>
      </c>
    </row>
    <row r="1549" spans="1:3" x14ac:dyDescent="0.25">
      <c r="A1549" t="s">
        <v>4437</v>
      </c>
      <c r="B1549" t="s">
        <v>4438</v>
      </c>
      <c r="C1549" t="s">
        <v>4437</v>
      </c>
    </row>
    <row r="1550" spans="1:3" x14ac:dyDescent="0.25">
      <c r="A1550" t="s">
        <v>4439</v>
      </c>
      <c r="B1550" t="s">
        <v>4440</v>
      </c>
      <c r="C1550" t="s">
        <v>4439</v>
      </c>
    </row>
    <row r="1551" spans="1:3" x14ac:dyDescent="0.25">
      <c r="A1551" t="s">
        <v>4441</v>
      </c>
      <c r="B1551" t="s">
        <v>4442</v>
      </c>
      <c r="C1551" t="s">
        <v>4441</v>
      </c>
    </row>
    <row r="1552" spans="1:3" x14ac:dyDescent="0.25">
      <c r="A1552" t="s">
        <v>4443</v>
      </c>
      <c r="B1552" t="s">
        <v>4444</v>
      </c>
      <c r="C1552" t="s">
        <v>4443</v>
      </c>
    </row>
    <row r="1553" spans="1:3" x14ac:dyDescent="0.25">
      <c r="A1553" t="s">
        <v>4445</v>
      </c>
      <c r="B1553" t="s">
        <v>4446</v>
      </c>
      <c r="C1553" t="s">
        <v>4445</v>
      </c>
    </row>
    <row r="1554" spans="1:3" x14ac:dyDescent="0.25">
      <c r="A1554" t="s">
        <v>4447</v>
      </c>
      <c r="B1554" t="s">
        <v>4448</v>
      </c>
      <c r="C1554" t="s">
        <v>4447</v>
      </c>
    </row>
    <row r="1555" spans="1:3" x14ac:dyDescent="0.25">
      <c r="A1555" t="s">
        <v>4449</v>
      </c>
      <c r="B1555" t="s">
        <v>4450</v>
      </c>
      <c r="C1555" t="s">
        <v>4449</v>
      </c>
    </row>
    <row r="1556" spans="1:3" x14ac:dyDescent="0.25">
      <c r="A1556" t="s">
        <v>4451</v>
      </c>
      <c r="B1556" t="s">
        <v>4452</v>
      </c>
      <c r="C1556" t="s">
        <v>4451</v>
      </c>
    </row>
    <row r="1557" spans="1:3" x14ac:dyDescent="0.25">
      <c r="A1557" t="s">
        <v>4453</v>
      </c>
      <c r="B1557" t="s">
        <v>4454</v>
      </c>
      <c r="C1557" t="s">
        <v>4453</v>
      </c>
    </row>
    <row r="1558" spans="1:3" x14ac:dyDescent="0.25">
      <c r="A1558" t="s">
        <v>4455</v>
      </c>
      <c r="B1558" t="s">
        <v>4456</v>
      </c>
      <c r="C1558" t="s">
        <v>4455</v>
      </c>
    </row>
    <row r="1559" spans="1:3" x14ac:dyDescent="0.25">
      <c r="A1559" t="s">
        <v>4457</v>
      </c>
      <c r="B1559" t="s">
        <v>4458</v>
      </c>
      <c r="C1559" t="s">
        <v>4457</v>
      </c>
    </row>
    <row r="1560" spans="1:3" x14ac:dyDescent="0.25">
      <c r="A1560" t="s">
        <v>4459</v>
      </c>
      <c r="B1560" t="s">
        <v>4460</v>
      </c>
      <c r="C1560" t="s">
        <v>4459</v>
      </c>
    </row>
    <row r="1561" spans="1:3" x14ac:dyDescent="0.25">
      <c r="A1561" t="s">
        <v>4461</v>
      </c>
      <c r="B1561" t="s">
        <v>4462</v>
      </c>
      <c r="C1561" t="s">
        <v>4461</v>
      </c>
    </row>
    <row r="1562" spans="1:3" x14ac:dyDescent="0.25">
      <c r="A1562" t="s">
        <v>4463</v>
      </c>
      <c r="B1562" t="s">
        <v>4464</v>
      </c>
      <c r="C1562" t="s">
        <v>4463</v>
      </c>
    </row>
    <row r="1563" spans="1:3" x14ac:dyDescent="0.25">
      <c r="A1563" t="s">
        <v>4465</v>
      </c>
      <c r="B1563" t="s">
        <v>4466</v>
      </c>
      <c r="C1563" t="s">
        <v>4465</v>
      </c>
    </row>
    <row r="1564" spans="1:3" x14ac:dyDescent="0.25">
      <c r="A1564" t="s">
        <v>4467</v>
      </c>
      <c r="B1564" t="s">
        <v>4468</v>
      </c>
      <c r="C1564" t="s">
        <v>4467</v>
      </c>
    </row>
    <row r="1565" spans="1:3" x14ac:dyDescent="0.25">
      <c r="A1565" t="s">
        <v>4469</v>
      </c>
      <c r="B1565" t="s">
        <v>4470</v>
      </c>
      <c r="C1565" t="s">
        <v>4469</v>
      </c>
    </row>
    <row r="1566" spans="1:3" x14ac:dyDescent="0.25">
      <c r="A1566" t="s">
        <v>4471</v>
      </c>
      <c r="B1566" t="s">
        <v>4472</v>
      </c>
      <c r="C1566" t="s">
        <v>4471</v>
      </c>
    </row>
    <row r="1567" spans="1:3" x14ac:dyDescent="0.25">
      <c r="A1567" t="s">
        <v>4473</v>
      </c>
      <c r="B1567" t="s">
        <v>4474</v>
      </c>
      <c r="C1567" t="s">
        <v>4473</v>
      </c>
    </row>
    <row r="1568" spans="1:3" x14ac:dyDescent="0.25">
      <c r="A1568" t="s">
        <v>4475</v>
      </c>
      <c r="B1568" t="s">
        <v>4476</v>
      </c>
      <c r="C1568" t="s">
        <v>4475</v>
      </c>
    </row>
    <row r="1569" spans="1:3" x14ac:dyDescent="0.25">
      <c r="A1569" t="s">
        <v>4477</v>
      </c>
      <c r="B1569" t="s">
        <v>4478</v>
      </c>
      <c r="C1569" t="s">
        <v>4477</v>
      </c>
    </row>
    <row r="1570" spans="1:3" x14ac:dyDescent="0.25">
      <c r="A1570" t="s">
        <v>4479</v>
      </c>
      <c r="B1570" t="s">
        <v>4480</v>
      </c>
      <c r="C1570" t="s">
        <v>4479</v>
      </c>
    </row>
    <row r="1571" spans="1:3" x14ac:dyDescent="0.25">
      <c r="A1571" t="s">
        <v>4481</v>
      </c>
      <c r="B1571" t="s">
        <v>4482</v>
      </c>
      <c r="C1571" t="s">
        <v>4481</v>
      </c>
    </row>
    <row r="1572" spans="1:3" x14ac:dyDescent="0.25">
      <c r="A1572" t="s">
        <v>4483</v>
      </c>
      <c r="B1572" t="s">
        <v>4484</v>
      </c>
      <c r="C1572" t="s">
        <v>4483</v>
      </c>
    </row>
    <row r="1573" spans="1:3" x14ac:dyDescent="0.25">
      <c r="A1573" t="s">
        <v>4485</v>
      </c>
      <c r="B1573" t="s">
        <v>4486</v>
      </c>
      <c r="C1573" t="s">
        <v>4485</v>
      </c>
    </row>
    <row r="1574" spans="1:3" x14ac:dyDescent="0.25">
      <c r="A1574" t="s">
        <v>4487</v>
      </c>
      <c r="B1574" t="s">
        <v>4488</v>
      </c>
      <c r="C1574" t="s">
        <v>4487</v>
      </c>
    </row>
    <row r="1575" spans="1:3" x14ac:dyDescent="0.25">
      <c r="A1575" t="s">
        <v>4489</v>
      </c>
      <c r="B1575" t="s">
        <v>4490</v>
      </c>
      <c r="C1575" t="s">
        <v>4489</v>
      </c>
    </row>
    <row r="1576" spans="1:3" x14ac:dyDescent="0.25">
      <c r="A1576" t="s">
        <v>4491</v>
      </c>
      <c r="B1576" t="s">
        <v>4492</v>
      </c>
      <c r="C1576" t="s">
        <v>4491</v>
      </c>
    </row>
    <row r="1577" spans="1:3" x14ac:dyDescent="0.25">
      <c r="A1577" t="s">
        <v>4493</v>
      </c>
      <c r="B1577" t="s">
        <v>4494</v>
      </c>
      <c r="C1577" t="s">
        <v>4493</v>
      </c>
    </row>
    <row r="1578" spans="1:3" x14ac:dyDescent="0.25">
      <c r="A1578" t="s">
        <v>4495</v>
      </c>
      <c r="B1578" t="s">
        <v>4496</v>
      </c>
      <c r="C1578" t="s">
        <v>4495</v>
      </c>
    </row>
    <row r="1579" spans="1:3" x14ac:dyDescent="0.25">
      <c r="A1579" t="s">
        <v>4497</v>
      </c>
      <c r="B1579" t="s">
        <v>4498</v>
      </c>
      <c r="C1579" t="s">
        <v>4497</v>
      </c>
    </row>
    <row r="1580" spans="1:3" x14ac:dyDescent="0.25">
      <c r="A1580" t="s">
        <v>4499</v>
      </c>
      <c r="B1580" t="s">
        <v>4500</v>
      </c>
      <c r="C1580" t="s">
        <v>4499</v>
      </c>
    </row>
    <row r="1581" spans="1:3" x14ac:dyDescent="0.25">
      <c r="A1581" t="s">
        <v>4501</v>
      </c>
      <c r="B1581" t="s">
        <v>4502</v>
      </c>
      <c r="C1581" t="s">
        <v>4501</v>
      </c>
    </row>
    <row r="1582" spans="1:3" x14ac:dyDescent="0.25">
      <c r="A1582" t="s">
        <v>4503</v>
      </c>
      <c r="B1582" t="s">
        <v>4504</v>
      </c>
      <c r="C1582" t="s">
        <v>4503</v>
      </c>
    </row>
    <row r="1583" spans="1:3" x14ac:dyDescent="0.25">
      <c r="A1583" t="s">
        <v>4505</v>
      </c>
      <c r="B1583" t="s">
        <v>4506</v>
      </c>
      <c r="C1583" t="s">
        <v>4505</v>
      </c>
    </row>
    <row r="1584" spans="1:3" x14ac:dyDescent="0.25">
      <c r="A1584" t="s">
        <v>4507</v>
      </c>
      <c r="B1584" t="s">
        <v>4508</v>
      </c>
      <c r="C1584" t="s">
        <v>4507</v>
      </c>
    </row>
    <row r="1585" spans="1:3" x14ac:dyDescent="0.25">
      <c r="A1585" t="s">
        <v>4509</v>
      </c>
      <c r="B1585" t="s">
        <v>4510</v>
      </c>
      <c r="C1585" t="s">
        <v>4509</v>
      </c>
    </row>
    <row r="1586" spans="1:3" x14ac:dyDescent="0.25">
      <c r="A1586" t="s">
        <v>4511</v>
      </c>
      <c r="B1586" t="s">
        <v>4512</v>
      </c>
      <c r="C1586" t="s">
        <v>4511</v>
      </c>
    </row>
    <row r="1587" spans="1:3" x14ac:dyDescent="0.25">
      <c r="A1587" t="s">
        <v>4513</v>
      </c>
      <c r="B1587" t="s">
        <v>4514</v>
      </c>
      <c r="C1587" t="s">
        <v>4513</v>
      </c>
    </row>
    <row r="1588" spans="1:3" x14ac:dyDescent="0.25">
      <c r="A1588" t="s">
        <v>4515</v>
      </c>
      <c r="B1588" t="s">
        <v>4516</v>
      </c>
      <c r="C1588" t="s">
        <v>4515</v>
      </c>
    </row>
    <row r="1589" spans="1:3" x14ac:dyDescent="0.25">
      <c r="A1589" t="s">
        <v>4517</v>
      </c>
      <c r="B1589" t="s">
        <v>4518</v>
      </c>
      <c r="C1589" t="s">
        <v>4517</v>
      </c>
    </row>
    <row r="1590" spans="1:3" x14ac:dyDescent="0.25">
      <c r="A1590" t="s">
        <v>4519</v>
      </c>
      <c r="B1590" t="s">
        <v>4520</v>
      </c>
      <c r="C1590" t="s">
        <v>4519</v>
      </c>
    </row>
    <row r="1591" spans="1:3" x14ac:dyDescent="0.25">
      <c r="A1591" t="s">
        <v>4521</v>
      </c>
      <c r="B1591" t="s">
        <v>4522</v>
      </c>
      <c r="C1591" t="s">
        <v>4521</v>
      </c>
    </row>
    <row r="1592" spans="1:3" x14ac:dyDescent="0.25">
      <c r="A1592" t="s">
        <v>4523</v>
      </c>
      <c r="B1592" t="s">
        <v>4524</v>
      </c>
      <c r="C1592" t="s">
        <v>4523</v>
      </c>
    </row>
    <row r="1593" spans="1:3" x14ac:dyDescent="0.25">
      <c r="A1593" t="s">
        <v>4525</v>
      </c>
      <c r="B1593" t="s">
        <v>4526</v>
      </c>
      <c r="C1593" t="s">
        <v>4525</v>
      </c>
    </row>
    <row r="1594" spans="1:3" x14ac:dyDescent="0.25">
      <c r="A1594" t="s">
        <v>4527</v>
      </c>
      <c r="B1594" t="s">
        <v>4528</v>
      </c>
      <c r="C1594" t="s">
        <v>4527</v>
      </c>
    </row>
    <row r="1595" spans="1:3" x14ac:dyDescent="0.25">
      <c r="A1595" t="s">
        <v>4529</v>
      </c>
      <c r="B1595" t="s">
        <v>4530</v>
      </c>
      <c r="C1595" t="s">
        <v>4529</v>
      </c>
    </row>
    <row r="1596" spans="1:3" x14ac:dyDescent="0.25">
      <c r="A1596" t="s">
        <v>4531</v>
      </c>
      <c r="B1596" t="s">
        <v>4532</v>
      </c>
      <c r="C1596" t="s">
        <v>4531</v>
      </c>
    </row>
    <row r="1597" spans="1:3" x14ac:dyDescent="0.25">
      <c r="A1597" t="s">
        <v>4533</v>
      </c>
      <c r="B1597" t="s">
        <v>4534</v>
      </c>
      <c r="C1597" t="s">
        <v>4533</v>
      </c>
    </row>
    <row r="1598" spans="1:3" x14ac:dyDescent="0.25">
      <c r="A1598" t="s">
        <v>4535</v>
      </c>
      <c r="B1598" t="s">
        <v>4536</v>
      </c>
      <c r="C1598" t="s">
        <v>4535</v>
      </c>
    </row>
    <row r="1599" spans="1:3" x14ac:dyDescent="0.25">
      <c r="A1599" t="s">
        <v>4537</v>
      </c>
      <c r="B1599" t="s">
        <v>4538</v>
      </c>
      <c r="C1599" t="s">
        <v>4537</v>
      </c>
    </row>
    <row r="1600" spans="1:3" x14ac:dyDescent="0.25">
      <c r="A1600" t="s">
        <v>4539</v>
      </c>
      <c r="B1600" t="s">
        <v>4540</v>
      </c>
      <c r="C1600" t="s">
        <v>4539</v>
      </c>
    </row>
    <row r="1601" spans="1:3" x14ac:dyDescent="0.25">
      <c r="A1601" t="s">
        <v>4541</v>
      </c>
      <c r="B1601" t="s">
        <v>4542</v>
      </c>
      <c r="C1601" t="s">
        <v>4541</v>
      </c>
    </row>
    <row r="1602" spans="1:3" x14ac:dyDescent="0.25">
      <c r="A1602" t="s">
        <v>4543</v>
      </c>
      <c r="B1602" t="s">
        <v>4544</v>
      </c>
      <c r="C1602" t="s">
        <v>4543</v>
      </c>
    </row>
    <row r="1603" spans="1:3" x14ac:dyDescent="0.25">
      <c r="A1603" t="s">
        <v>4545</v>
      </c>
      <c r="B1603" t="s">
        <v>4546</v>
      </c>
      <c r="C1603" t="s">
        <v>4545</v>
      </c>
    </row>
    <row r="1604" spans="1:3" x14ac:dyDescent="0.25">
      <c r="A1604" t="s">
        <v>4547</v>
      </c>
      <c r="B1604" t="s">
        <v>4548</v>
      </c>
      <c r="C1604" t="s">
        <v>4547</v>
      </c>
    </row>
    <row r="1605" spans="1:3" x14ac:dyDescent="0.25">
      <c r="A1605" t="s">
        <v>4549</v>
      </c>
      <c r="B1605" t="s">
        <v>4550</v>
      </c>
      <c r="C1605" t="s">
        <v>4549</v>
      </c>
    </row>
    <row r="1606" spans="1:3" x14ac:dyDescent="0.25">
      <c r="A1606" t="s">
        <v>4551</v>
      </c>
      <c r="B1606" t="s">
        <v>4552</v>
      </c>
      <c r="C1606" t="s">
        <v>4551</v>
      </c>
    </row>
    <row r="1607" spans="1:3" x14ac:dyDescent="0.25">
      <c r="A1607" t="s">
        <v>4553</v>
      </c>
      <c r="B1607" t="s">
        <v>4554</v>
      </c>
      <c r="C1607" t="s">
        <v>4553</v>
      </c>
    </row>
    <row r="1608" spans="1:3" x14ac:dyDescent="0.25">
      <c r="A1608" t="s">
        <v>4555</v>
      </c>
      <c r="B1608" t="s">
        <v>4556</v>
      </c>
      <c r="C1608" t="s">
        <v>4555</v>
      </c>
    </row>
    <row r="1609" spans="1:3" x14ac:dyDescent="0.25">
      <c r="A1609" t="s">
        <v>4557</v>
      </c>
      <c r="B1609" t="s">
        <v>4558</v>
      </c>
      <c r="C1609" t="s">
        <v>4557</v>
      </c>
    </row>
    <row r="1610" spans="1:3" x14ac:dyDescent="0.25">
      <c r="A1610" t="s">
        <v>4559</v>
      </c>
      <c r="B1610" t="s">
        <v>4560</v>
      </c>
      <c r="C1610" t="s">
        <v>4559</v>
      </c>
    </row>
    <row r="1611" spans="1:3" x14ac:dyDescent="0.25">
      <c r="A1611" t="s">
        <v>4561</v>
      </c>
      <c r="B1611" t="s">
        <v>4562</v>
      </c>
      <c r="C1611" t="s">
        <v>4561</v>
      </c>
    </row>
    <row r="1612" spans="1:3" x14ac:dyDescent="0.25">
      <c r="A1612" t="s">
        <v>4563</v>
      </c>
      <c r="B1612" t="s">
        <v>4564</v>
      </c>
      <c r="C1612" t="s">
        <v>4563</v>
      </c>
    </row>
    <row r="1613" spans="1:3" x14ac:dyDescent="0.25">
      <c r="A1613" t="s">
        <v>4565</v>
      </c>
      <c r="B1613" t="s">
        <v>4566</v>
      </c>
      <c r="C1613" t="s">
        <v>4565</v>
      </c>
    </row>
    <row r="1614" spans="1:3" x14ac:dyDescent="0.25">
      <c r="A1614" t="s">
        <v>1814</v>
      </c>
      <c r="B1614" t="s">
        <v>4567</v>
      </c>
      <c r="C1614" t="s">
        <v>1814</v>
      </c>
    </row>
    <row r="1615" spans="1:3" x14ac:dyDescent="0.25">
      <c r="A1615" t="s">
        <v>523</v>
      </c>
      <c r="B1615" t="s">
        <v>1941</v>
      </c>
      <c r="C1615" t="s">
        <v>523</v>
      </c>
    </row>
    <row r="1616" spans="1:3" x14ac:dyDescent="0.25">
      <c r="A1616" t="s">
        <v>525</v>
      </c>
      <c r="B1616" t="s">
        <v>1860</v>
      </c>
      <c r="C1616" t="s">
        <v>525</v>
      </c>
    </row>
    <row r="1617" spans="1:3" x14ac:dyDescent="0.25">
      <c r="A1617" t="s">
        <v>4568</v>
      </c>
      <c r="B1617" t="s">
        <v>4569</v>
      </c>
      <c r="C1617" t="s">
        <v>4568</v>
      </c>
    </row>
    <row r="1618" spans="1:3" x14ac:dyDescent="0.25">
      <c r="A1618" t="s">
        <v>4570</v>
      </c>
      <c r="B1618" t="s">
        <v>4571</v>
      </c>
      <c r="C1618" t="s">
        <v>4570</v>
      </c>
    </row>
    <row r="1619" spans="1:3" x14ac:dyDescent="0.25">
      <c r="A1619" t="s">
        <v>183</v>
      </c>
      <c r="B1619" t="s">
        <v>1946</v>
      </c>
      <c r="C1619" t="s">
        <v>183</v>
      </c>
    </row>
    <row r="1620" spans="1:3" x14ac:dyDescent="0.25">
      <c r="A1620" t="s">
        <v>541</v>
      </c>
      <c r="B1620" t="s">
        <v>1945</v>
      </c>
      <c r="C1620" t="s">
        <v>541</v>
      </c>
    </row>
    <row r="1621" spans="1:3" x14ac:dyDescent="0.25">
      <c r="A1621" t="s">
        <v>647</v>
      </c>
      <c r="B1621" t="s">
        <v>1995</v>
      </c>
      <c r="C1621" t="s">
        <v>647</v>
      </c>
    </row>
    <row r="1622" spans="1:3" x14ac:dyDescent="0.25">
      <c r="A1622" t="s">
        <v>545</v>
      </c>
      <c r="B1622" t="s">
        <v>1947</v>
      </c>
      <c r="C1622" t="s">
        <v>545</v>
      </c>
    </row>
    <row r="1623" spans="1:3" x14ac:dyDescent="0.25">
      <c r="A1623" t="s">
        <v>4572</v>
      </c>
      <c r="B1623" t="s">
        <v>4573</v>
      </c>
      <c r="C1623" t="s">
        <v>4572</v>
      </c>
    </row>
    <row r="1624" spans="1:3" x14ac:dyDescent="0.25">
      <c r="A1624" t="s">
        <v>4323</v>
      </c>
      <c r="B1624" t="s">
        <v>4574</v>
      </c>
      <c r="C1624" t="s">
        <v>4323</v>
      </c>
    </row>
    <row r="1625" spans="1:3" x14ac:dyDescent="0.25">
      <c r="A1625" t="s">
        <v>875</v>
      </c>
      <c r="B1625" t="s">
        <v>4575</v>
      </c>
      <c r="C1625" t="s">
        <v>875</v>
      </c>
    </row>
    <row r="1626" spans="1:3" x14ac:dyDescent="0.25">
      <c r="A1626" t="s">
        <v>4576</v>
      </c>
      <c r="B1626" t="s">
        <v>4577</v>
      </c>
      <c r="C1626" t="s">
        <v>4576</v>
      </c>
    </row>
    <row r="1627" spans="1:3" x14ac:dyDescent="0.25">
      <c r="A1627" t="s">
        <v>4578</v>
      </c>
      <c r="B1627" t="s">
        <v>4579</v>
      </c>
      <c r="C1627" t="s">
        <v>4578</v>
      </c>
    </row>
    <row r="1628" spans="1:3" x14ac:dyDescent="0.25">
      <c r="A1628" t="s">
        <v>2666</v>
      </c>
      <c r="B1628" t="s">
        <v>4580</v>
      </c>
      <c r="C1628" t="s">
        <v>2666</v>
      </c>
    </row>
    <row r="1629" spans="1:3" x14ac:dyDescent="0.25">
      <c r="A1629" t="s">
        <v>4581</v>
      </c>
      <c r="B1629" t="s">
        <v>4582</v>
      </c>
      <c r="C1629" t="s">
        <v>4581</v>
      </c>
    </row>
    <row r="1630" spans="1:3" x14ac:dyDescent="0.25">
      <c r="A1630" t="s">
        <v>4583</v>
      </c>
      <c r="B1630" t="s">
        <v>4584</v>
      </c>
      <c r="C1630" t="s">
        <v>4583</v>
      </c>
    </row>
    <row r="1631" spans="1:3" x14ac:dyDescent="0.25">
      <c r="A1631" t="s">
        <v>4585</v>
      </c>
      <c r="B1631" t="s">
        <v>4586</v>
      </c>
      <c r="C1631" t="s">
        <v>4585</v>
      </c>
    </row>
    <row r="1632" spans="1:3" x14ac:dyDescent="0.25">
      <c r="A1632" t="s">
        <v>4587</v>
      </c>
      <c r="B1632" t="s">
        <v>4588</v>
      </c>
      <c r="C1632" t="s">
        <v>4587</v>
      </c>
    </row>
    <row r="1633" spans="1:3" x14ac:dyDescent="0.25">
      <c r="A1633" t="s">
        <v>923</v>
      </c>
      <c r="B1633" t="s">
        <v>4589</v>
      </c>
      <c r="C1633" t="s">
        <v>923</v>
      </c>
    </row>
    <row r="1634" spans="1:3" x14ac:dyDescent="0.25">
      <c r="A1634" t="s">
        <v>1837</v>
      </c>
      <c r="B1634" t="s">
        <v>4590</v>
      </c>
      <c r="C1634" t="s">
        <v>1837</v>
      </c>
    </row>
    <row r="1635" spans="1:3" x14ac:dyDescent="0.25">
      <c r="A1635" t="s">
        <v>4587</v>
      </c>
      <c r="B1635" t="s">
        <v>4591</v>
      </c>
      <c r="C1635" t="s">
        <v>4587</v>
      </c>
    </row>
    <row r="1636" spans="1:3" x14ac:dyDescent="0.25">
      <c r="A1636" t="s">
        <v>4592</v>
      </c>
      <c r="B1636" t="s">
        <v>4593</v>
      </c>
      <c r="C1636" t="s">
        <v>4592</v>
      </c>
    </row>
    <row r="1637" spans="1:3" x14ac:dyDescent="0.25">
      <c r="A1637" t="s">
        <v>4594</v>
      </c>
      <c r="B1637" t="s">
        <v>4595</v>
      </c>
      <c r="C1637" t="s">
        <v>4594</v>
      </c>
    </row>
    <row r="1638" spans="1:3" x14ac:dyDescent="0.25">
      <c r="A1638" t="s">
        <v>4596</v>
      </c>
      <c r="B1638" t="s">
        <v>4597</v>
      </c>
      <c r="C1638" t="s">
        <v>4596</v>
      </c>
    </row>
    <row r="1639" spans="1:3" x14ac:dyDescent="0.25">
      <c r="A1639" t="s">
        <v>4598</v>
      </c>
      <c r="B1639" t="s">
        <v>4599</v>
      </c>
      <c r="C1639" t="s">
        <v>4598</v>
      </c>
    </row>
    <row r="1640" spans="1:3" x14ac:dyDescent="0.25">
      <c r="A1640" t="s">
        <v>4600</v>
      </c>
      <c r="B1640" t="s">
        <v>4601</v>
      </c>
      <c r="C1640" t="s">
        <v>4600</v>
      </c>
    </row>
    <row r="1641" spans="1:3" x14ac:dyDescent="0.25">
      <c r="A1641" t="s">
        <v>4602</v>
      </c>
      <c r="B1641" t="s">
        <v>4603</v>
      </c>
      <c r="C1641" t="s">
        <v>4602</v>
      </c>
    </row>
    <row r="1642" spans="1:3" x14ac:dyDescent="0.25">
      <c r="A1642" t="s">
        <v>4604</v>
      </c>
      <c r="B1642" t="s">
        <v>4605</v>
      </c>
      <c r="C1642" t="s">
        <v>4604</v>
      </c>
    </row>
    <row r="1643" spans="1:3" x14ac:dyDescent="0.25">
      <c r="A1643" t="s">
        <v>4606</v>
      </c>
      <c r="B1643" t="s">
        <v>4607</v>
      </c>
      <c r="C1643" t="s">
        <v>4606</v>
      </c>
    </row>
    <row r="1644" spans="1:3" x14ac:dyDescent="0.25">
      <c r="A1644" t="s">
        <v>4608</v>
      </c>
      <c r="B1644" t="s">
        <v>4609</v>
      </c>
      <c r="C1644" t="s">
        <v>4608</v>
      </c>
    </row>
    <row r="1645" spans="1:3" x14ac:dyDescent="0.25">
      <c r="A1645" t="s">
        <v>4610</v>
      </c>
      <c r="B1645" t="s">
        <v>4611</v>
      </c>
      <c r="C1645" t="s">
        <v>4610</v>
      </c>
    </row>
    <row r="1646" spans="1:3" x14ac:dyDescent="0.25">
      <c r="A1646" t="s">
        <v>1837</v>
      </c>
      <c r="B1646" t="s">
        <v>4612</v>
      </c>
      <c r="C1646" t="s">
        <v>1837</v>
      </c>
    </row>
    <row r="1647" spans="1:3" x14ac:dyDescent="0.25">
      <c r="A1647" t="s">
        <v>92</v>
      </c>
      <c r="B1647" t="s">
        <v>2098</v>
      </c>
      <c r="C1647" t="s">
        <v>92</v>
      </c>
    </row>
    <row r="1648" spans="1:3" x14ac:dyDescent="0.25">
      <c r="A1648" t="s">
        <v>59</v>
      </c>
      <c r="B1648" t="s">
        <v>1890</v>
      </c>
      <c r="C1648" t="s">
        <v>59</v>
      </c>
    </row>
    <row r="1649" spans="1:3" x14ac:dyDescent="0.25">
      <c r="A1649" t="s">
        <v>4613</v>
      </c>
      <c r="B1649" t="s">
        <v>4614</v>
      </c>
      <c r="C1649" t="s">
        <v>4613</v>
      </c>
    </row>
    <row r="1650" spans="1:3" x14ac:dyDescent="0.25">
      <c r="A1650" t="s">
        <v>4615</v>
      </c>
      <c r="B1650" t="s">
        <v>4616</v>
      </c>
      <c r="C1650" t="s">
        <v>4615</v>
      </c>
    </row>
    <row r="1651" spans="1:3" x14ac:dyDescent="0.25">
      <c r="A1651" t="s">
        <v>4617</v>
      </c>
      <c r="B1651" t="s">
        <v>4618</v>
      </c>
      <c r="C1651" t="s">
        <v>4617</v>
      </c>
    </row>
    <row r="1652" spans="1:3" x14ac:dyDescent="0.25">
      <c r="A1652" t="s">
        <v>971</v>
      </c>
      <c r="B1652" t="s">
        <v>2095</v>
      </c>
      <c r="C1652" t="s">
        <v>971</v>
      </c>
    </row>
    <row r="1653" spans="1:3" x14ac:dyDescent="0.25">
      <c r="A1653" t="s">
        <v>789</v>
      </c>
      <c r="B1653" t="s">
        <v>2096</v>
      </c>
      <c r="C1653" t="s">
        <v>789</v>
      </c>
    </row>
    <row r="1654" spans="1:3" x14ac:dyDescent="0.25">
      <c r="A1654" t="s">
        <v>783</v>
      </c>
      <c r="B1654" t="s">
        <v>1994</v>
      </c>
      <c r="C1654" t="s">
        <v>783</v>
      </c>
    </row>
    <row r="1655" spans="1:3" x14ac:dyDescent="0.25">
      <c r="A1655" t="s">
        <v>4619</v>
      </c>
      <c r="B1655" t="s">
        <v>4620</v>
      </c>
      <c r="C1655" t="s">
        <v>4619</v>
      </c>
    </row>
    <row r="1656" spans="1:3" x14ac:dyDescent="0.25">
      <c r="A1656" t="s">
        <v>50</v>
      </c>
      <c r="B1656" t="s">
        <v>4621</v>
      </c>
      <c r="C1656" t="s">
        <v>50</v>
      </c>
    </row>
    <row r="1657" spans="1:3" x14ac:dyDescent="0.25">
      <c r="A1657" t="s">
        <v>62</v>
      </c>
      <c r="B1657" t="s">
        <v>4622</v>
      </c>
      <c r="C1657" t="s">
        <v>62</v>
      </c>
    </row>
    <row r="1658" spans="1:3" x14ac:dyDescent="0.25">
      <c r="A1658" t="s">
        <v>772</v>
      </c>
      <c r="B1658" t="s">
        <v>1988</v>
      </c>
      <c r="C1658" t="s">
        <v>772</v>
      </c>
    </row>
    <row r="1659" spans="1:3" x14ac:dyDescent="0.25">
      <c r="A1659" t="s">
        <v>857</v>
      </c>
      <c r="B1659" t="s">
        <v>2043</v>
      </c>
      <c r="C1659" t="s">
        <v>857</v>
      </c>
    </row>
    <row r="1660" spans="1:3" x14ac:dyDescent="0.25">
      <c r="A1660" t="s">
        <v>94</v>
      </c>
      <c r="B1660" t="s">
        <v>1997</v>
      </c>
      <c r="C1660" t="s">
        <v>94</v>
      </c>
    </row>
    <row r="1661" spans="1:3" x14ac:dyDescent="0.25">
      <c r="A1661" t="s">
        <v>4623</v>
      </c>
      <c r="B1661" t="s">
        <v>4624</v>
      </c>
      <c r="C1661" t="s">
        <v>4623</v>
      </c>
    </row>
    <row r="1662" spans="1:3" x14ac:dyDescent="0.25">
      <c r="A1662" t="s">
        <v>4625</v>
      </c>
      <c r="B1662" t="s">
        <v>4626</v>
      </c>
      <c r="C1662" t="s">
        <v>4625</v>
      </c>
    </row>
    <row r="1663" spans="1:3" x14ac:dyDescent="0.25">
      <c r="A1663" t="s">
        <v>820</v>
      </c>
      <c r="B1663" t="s">
        <v>2130</v>
      </c>
      <c r="C1663" t="s">
        <v>820</v>
      </c>
    </row>
    <row r="1664" spans="1:3" x14ac:dyDescent="0.25">
      <c r="A1664" t="s">
        <v>4627</v>
      </c>
      <c r="B1664" t="s">
        <v>4628</v>
      </c>
      <c r="C1664" t="s">
        <v>4627</v>
      </c>
    </row>
    <row r="1665" spans="1:3" x14ac:dyDescent="0.25">
      <c r="A1665" t="s">
        <v>4629</v>
      </c>
      <c r="B1665" t="s">
        <v>4630</v>
      </c>
      <c r="C1665" t="s">
        <v>4629</v>
      </c>
    </row>
    <row r="1666" spans="1:3" x14ac:dyDescent="0.25">
      <c r="A1666" t="s">
        <v>4631</v>
      </c>
      <c r="B1666" t="s">
        <v>4632</v>
      </c>
      <c r="C1666" t="s">
        <v>4631</v>
      </c>
    </row>
    <row r="1667" spans="1:3" x14ac:dyDescent="0.25">
      <c r="A1667" t="s">
        <v>4633</v>
      </c>
      <c r="B1667" t="s">
        <v>4634</v>
      </c>
      <c r="C1667" t="s">
        <v>4633</v>
      </c>
    </row>
    <row r="1668" spans="1:3" x14ac:dyDescent="0.25">
      <c r="A1668" t="s">
        <v>4635</v>
      </c>
      <c r="B1668" t="s">
        <v>4636</v>
      </c>
      <c r="C1668" t="s">
        <v>4635</v>
      </c>
    </row>
    <row r="1669" spans="1:3" x14ac:dyDescent="0.25">
      <c r="A1669" t="s">
        <v>793</v>
      </c>
      <c r="B1669" t="s">
        <v>2100</v>
      </c>
      <c r="C1669" t="s">
        <v>793</v>
      </c>
    </row>
    <row r="1670" spans="1:3" x14ac:dyDescent="0.25">
      <c r="A1670" t="s">
        <v>973</v>
      </c>
      <c r="B1670" t="s">
        <v>2101</v>
      </c>
      <c r="C1670" t="s">
        <v>973</v>
      </c>
    </row>
    <row r="1671" spans="1:3" x14ac:dyDescent="0.25">
      <c r="A1671" t="s">
        <v>4637</v>
      </c>
      <c r="B1671" t="s">
        <v>4638</v>
      </c>
      <c r="C1671" t="s">
        <v>4637</v>
      </c>
    </row>
    <row r="1672" spans="1:3" x14ac:dyDescent="0.25">
      <c r="A1672" t="s">
        <v>975</v>
      </c>
      <c r="B1672" t="s">
        <v>2111</v>
      </c>
      <c r="C1672" t="s">
        <v>975</v>
      </c>
    </row>
    <row r="1673" spans="1:3" x14ac:dyDescent="0.25">
      <c r="A1673" t="s">
        <v>87</v>
      </c>
      <c r="B1673" t="s">
        <v>4639</v>
      </c>
      <c r="C1673" t="s">
        <v>87</v>
      </c>
    </row>
    <row r="1674" spans="1:3" x14ac:dyDescent="0.25">
      <c r="A1674" t="s">
        <v>81</v>
      </c>
      <c r="B1674" t="s">
        <v>1917</v>
      </c>
      <c r="C1674" t="s">
        <v>81</v>
      </c>
    </row>
    <row r="1675" spans="1:3" x14ac:dyDescent="0.25">
      <c r="A1675" t="s">
        <v>818</v>
      </c>
      <c r="B1675" t="s">
        <v>2124</v>
      </c>
      <c r="C1675" t="s">
        <v>818</v>
      </c>
    </row>
    <row r="1676" spans="1:3" x14ac:dyDescent="0.25">
      <c r="A1676" t="s">
        <v>85</v>
      </c>
      <c r="B1676" t="s">
        <v>4640</v>
      </c>
      <c r="C1676" t="s">
        <v>85</v>
      </c>
    </row>
    <row r="1677" spans="1:3" x14ac:dyDescent="0.25">
      <c r="A1677" t="s">
        <v>68</v>
      </c>
      <c r="B1677" t="s">
        <v>2069</v>
      </c>
      <c r="C1677" t="s">
        <v>68</v>
      </c>
    </row>
    <row r="1678" spans="1:3" x14ac:dyDescent="0.25">
      <c r="A1678" t="s">
        <v>4641</v>
      </c>
      <c r="B1678" t="s">
        <v>4642</v>
      </c>
      <c r="C1678" t="s">
        <v>4641</v>
      </c>
    </row>
    <row r="1679" spans="1:3" x14ac:dyDescent="0.25">
      <c r="A1679" t="s">
        <v>4643</v>
      </c>
      <c r="B1679" t="s">
        <v>4644</v>
      </c>
      <c r="C1679" t="s">
        <v>4643</v>
      </c>
    </row>
    <row r="1680" spans="1:3" x14ac:dyDescent="0.25">
      <c r="A1680" t="s">
        <v>4645</v>
      </c>
      <c r="B1680" t="s">
        <v>4646</v>
      </c>
      <c r="C1680" t="s">
        <v>4645</v>
      </c>
    </row>
    <row r="1681" spans="1:3" x14ac:dyDescent="0.25">
      <c r="A1681" t="s">
        <v>79</v>
      </c>
      <c r="B1681" t="s">
        <v>1916</v>
      </c>
      <c r="C1681" t="s">
        <v>79</v>
      </c>
    </row>
    <row r="1682" spans="1:3" x14ac:dyDescent="0.25">
      <c r="A1682" t="s">
        <v>529</v>
      </c>
      <c r="B1682" t="s">
        <v>1943</v>
      </c>
      <c r="C1682" t="s">
        <v>529</v>
      </c>
    </row>
    <row r="1683" spans="1:3" x14ac:dyDescent="0.25">
      <c r="A1683" t="s">
        <v>531</v>
      </c>
      <c r="B1683" t="s">
        <v>4647</v>
      </c>
      <c r="C1683" t="s">
        <v>531</v>
      </c>
    </row>
    <row r="1684" spans="1:3" x14ac:dyDescent="0.25">
      <c r="A1684" t="s">
        <v>527</v>
      </c>
      <c r="B1684" t="s">
        <v>1942</v>
      </c>
      <c r="C1684" t="s">
        <v>527</v>
      </c>
    </row>
    <row r="1685" spans="1:3" x14ac:dyDescent="0.25">
      <c r="A1685" t="s">
        <v>536</v>
      </c>
      <c r="B1685" t="s">
        <v>1863</v>
      </c>
      <c r="C1685" t="s">
        <v>536</v>
      </c>
    </row>
    <row r="1686" spans="1:3" x14ac:dyDescent="0.25">
      <c r="A1686" t="s">
        <v>538</v>
      </c>
      <c r="B1686" t="s">
        <v>4648</v>
      </c>
      <c r="C1686" t="s">
        <v>538</v>
      </c>
    </row>
    <row r="1687" spans="1:3" x14ac:dyDescent="0.25">
      <c r="A1687" t="s">
        <v>120</v>
      </c>
      <c r="B1687" t="s">
        <v>1866</v>
      </c>
      <c r="C1687" t="s">
        <v>120</v>
      </c>
    </row>
    <row r="1688" spans="1:3" x14ac:dyDescent="0.25">
      <c r="A1688" t="s">
        <v>541</v>
      </c>
      <c r="B1688" t="s">
        <v>4649</v>
      </c>
      <c r="C1688" t="s">
        <v>541</v>
      </c>
    </row>
    <row r="1689" spans="1:3" x14ac:dyDescent="0.25">
      <c r="A1689" t="s">
        <v>257</v>
      </c>
      <c r="B1689" t="s">
        <v>4650</v>
      </c>
      <c r="C1689" t="s">
        <v>257</v>
      </c>
    </row>
    <row r="1690" spans="1:3" x14ac:dyDescent="0.25">
      <c r="A1690" t="s">
        <v>258</v>
      </c>
      <c r="B1690" t="s">
        <v>4651</v>
      </c>
      <c r="C1690" t="s">
        <v>258</v>
      </c>
    </row>
    <row r="1691" spans="1:3" x14ac:dyDescent="0.25">
      <c r="A1691" t="s">
        <v>655</v>
      </c>
      <c r="B1691" t="s">
        <v>2105</v>
      </c>
      <c r="C1691" t="s">
        <v>655</v>
      </c>
    </row>
    <row r="1692" spans="1:3" x14ac:dyDescent="0.25">
      <c r="A1692" t="s">
        <v>675</v>
      </c>
      <c r="B1692" t="s">
        <v>2110</v>
      </c>
      <c r="C1692" t="s">
        <v>675</v>
      </c>
    </row>
    <row r="1693" spans="1:3" x14ac:dyDescent="0.25">
      <c r="A1693" t="s">
        <v>119</v>
      </c>
      <c r="B1693" t="s">
        <v>1861</v>
      </c>
      <c r="C1693" t="s">
        <v>119</v>
      </c>
    </row>
    <row r="1694" spans="1:3" x14ac:dyDescent="0.25">
      <c r="A1694" t="s">
        <v>569</v>
      </c>
      <c r="B1694" t="s">
        <v>4652</v>
      </c>
      <c r="C1694" t="s">
        <v>569</v>
      </c>
    </row>
    <row r="1695" spans="1:3" x14ac:dyDescent="0.25">
      <c r="A1695" t="s">
        <v>616</v>
      </c>
      <c r="B1695" t="s">
        <v>4653</v>
      </c>
      <c r="C1695" t="s">
        <v>616</v>
      </c>
    </row>
    <row r="1696" spans="1:3" x14ac:dyDescent="0.25">
      <c r="A1696" t="s">
        <v>1223</v>
      </c>
      <c r="B1696" t="s">
        <v>5033</v>
      </c>
      <c r="C1696" t="s">
        <v>1223</v>
      </c>
    </row>
    <row r="1697" spans="1:3" x14ac:dyDescent="0.25">
      <c r="A1697" t="s">
        <v>5184</v>
      </c>
      <c r="B1697" t="s">
        <v>5185</v>
      </c>
      <c r="C1697" t="s">
        <v>5184</v>
      </c>
    </row>
    <row r="1698" spans="1:3" x14ac:dyDescent="0.25">
      <c r="A1698" t="s">
        <v>5186</v>
      </c>
      <c r="B1698" t="s">
        <v>5187</v>
      </c>
      <c r="C1698" t="s">
        <v>5186</v>
      </c>
    </row>
    <row r="1699" spans="1:3" x14ac:dyDescent="0.25">
      <c r="A1699" t="s">
        <v>5188</v>
      </c>
      <c r="B1699" t="s">
        <v>5038</v>
      </c>
      <c r="C1699" t="s">
        <v>5188</v>
      </c>
    </row>
    <row r="1700" spans="1:3" x14ac:dyDescent="0.25">
      <c r="A1700" t="s">
        <v>5189</v>
      </c>
      <c r="B1700" t="s">
        <v>5190</v>
      </c>
      <c r="C1700" t="s">
        <v>5189</v>
      </c>
    </row>
    <row r="1701" spans="1:3" x14ac:dyDescent="0.25">
      <c r="A1701" t="s">
        <v>5191</v>
      </c>
      <c r="B1701" t="s">
        <v>5192</v>
      </c>
      <c r="C1701" t="s">
        <v>5191</v>
      </c>
    </row>
    <row r="1702" spans="1:3" x14ac:dyDescent="0.25">
      <c r="A1702" t="s">
        <v>5193</v>
      </c>
      <c r="B1702" t="s">
        <v>5192</v>
      </c>
      <c r="C1702" t="s">
        <v>5193</v>
      </c>
    </row>
    <row r="1703" spans="1:3" x14ac:dyDescent="0.25">
      <c r="A1703" t="s">
        <v>5194</v>
      </c>
      <c r="B1703" t="s">
        <v>5195</v>
      </c>
      <c r="C1703" t="s">
        <v>5194</v>
      </c>
    </row>
    <row r="1704" spans="1:3" x14ac:dyDescent="0.25">
      <c r="A1704" t="s">
        <v>5196</v>
      </c>
      <c r="B1704" t="s">
        <v>5197</v>
      </c>
      <c r="C1704" t="s">
        <v>5196</v>
      </c>
    </row>
    <row r="1705" spans="1:3" x14ac:dyDescent="0.25">
      <c r="A1705" t="s">
        <v>5198</v>
      </c>
      <c r="B1705" t="s">
        <v>5199</v>
      </c>
      <c r="C1705" t="s">
        <v>5198</v>
      </c>
    </row>
    <row r="1706" spans="1:3" x14ac:dyDescent="0.25">
      <c r="A1706" t="s">
        <v>4654</v>
      </c>
      <c r="B1706" t="s">
        <v>4655</v>
      </c>
      <c r="C1706" t="s">
        <v>4654</v>
      </c>
    </row>
    <row r="1707" spans="1:3" x14ac:dyDescent="0.25">
      <c r="A1707" t="s">
        <v>5200</v>
      </c>
      <c r="B1707" t="s">
        <v>5201</v>
      </c>
      <c r="C1707" t="s">
        <v>5200</v>
      </c>
    </row>
    <row r="1708" spans="1:3" x14ac:dyDescent="0.25">
      <c r="A1708" t="s">
        <v>5202</v>
      </c>
      <c r="B1708" t="s">
        <v>5203</v>
      </c>
      <c r="C1708" t="s">
        <v>5202</v>
      </c>
    </row>
    <row r="1709" spans="1:3" x14ac:dyDescent="0.25">
      <c r="A1709" t="s">
        <v>5204</v>
      </c>
      <c r="B1709" t="s">
        <v>5205</v>
      </c>
      <c r="C1709" t="s">
        <v>5204</v>
      </c>
    </row>
    <row r="1710" spans="1:3" x14ac:dyDescent="0.25">
      <c r="A1710" t="s">
        <v>5206</v>
      </c>
      <c r="B1710" t="s">
        <v>5207</v>
      </c>
      <c r="C1710" t="s">
        <v>5206</v>
      </c>
    </row>
    <row r="1711" spans="1:3" x14ac:dyDescent="0.25">
      <c r="A1711" t="s">
        <v>5208</v>
      </c>
      <c r="B1711" t="s">
        <v>5209</v>
      </c>
      <c r="C1711" t="s">
        <v>5208</v>
      </c>
    </row>
    <row r="1712" spans="1:3" x14ac:dyDescent="0.25">
      <c r="A1712" t="s">
        <v>730</v>
      </c>
      <c r="B1712" t="s">
        <v>2092</v>
      </c>
      <c r="C1712" t="s">
        <v>730</v>
      </c>
    </row>
    <row r="1713" spans="1:3" x14ac:dyDescent="0.25">
      <c r="A1713" t="s">
        <v>4656</v>
      </c>
      <c r="B1713" t="s">
        <v>4657</v>
      </c>
      <c r="C1713" t="s">
        <v>4656</v>
      </c>
    </row>
    <row r="1714" spans="1:3" x14ac:dyDescent="0.25">
      <c r="A1714" t="s">
        <v>816</v>
      </c>
      <c r="B1714" t="s">
        <v>2011</v>
      </c>
      <c r="C1714" t="s">
        <v>816</v>
      </c>
    </row>
    <row r="1715" spans="1:3" x14ac:dyDescent="0.25">
      <c r="A1715" t="s">
        <v>633</v>
      </c>
      <c r="B1715" t="s">
        <v>4658</v>
      </c>
      <c r="C1715" t="s">
        <v>633</v>
      </c>
    </row>
    <row r="1716" spans="1:3" x14ac:dyDescent="0.25">
      <c r="A1716" t="s">
        <v>4659</v>
      </c>
      <c r="B1716" t="s">
        <v>4660</v>
      </c>
      <c r="C1716" t="s">
        <v>4659</v>
      </c>
    </row>
    <row r="1717" spans="1:3" x14ac:dyDescent="0.25">
      <c r="A1717" t="s">
        <v>4661</v>
      </c>
      <c r="B1717" t="s">
        <v>4662</v>
      </c>
      <c r="C1717" t="s">
        <v>4661</v>
      </c>
    </row>
    <row r="1718" spans="1:3" x14ac:dyDescent="0.25">
      <c r="A1718" t="s">
        <v>25</v>
      </c>
      <c r="B1718" t="s">
        <v>4663</v>
      </c>
      <c r="C1718" t="s">
        <v>25</v>
      </c>
    </row>
    <row r="1719" spans="1:3" x14ac:dyDescent="0.25">
      <c r="A1719" t="s">
        <v>1847</v>
      </c>
      <c r="B1719" t="s">
        <v>4664</v>
      </c>
      <c r="C1719" t="s">
        <v>1847</v>
      </c>
    </row>
    <row r="1720" spans="1:3" x14ac:dyDescent="0.25">
      <c r="A1720" t="s">
        <v>919</v>
      </c>
      <c r="B1720" t="s">
        <v>4665</v>
      </c>
      <c r="C1720" t="s">
        <v>919</v>
      </c>
    </row>
    <row r="1721" spans="1:3" x14ac:dyDescent="0.25">
      <c r="A1721" t="s">
        <v>131</v>
      </c>
      <c r="B1721" t="s">
        <v>1918</v>
      </c>
      <c r="C1721" t="s">
        <v>131</v>
      </c>
    </row>
    <row r="1722" spans="1:3" x14ac:dyDescent="0.25">
      <c r="A1722" t="s">
        <v>787</v>
      </c>
      <c r="B1722" t="s">
        <v>2090</v>
      </c>
      <c r="C1722" t="s">
        <v>787</v>
      </c>
    </row>
    <row r="1723" spans="1:3" x14ac:dyDescent="0.25">
      <c r="A1723" t="s">
        <v>478</v>
      </c>
      <c r="B1723" t="s">
        <v>4666</v>
      </c>
      <c r="C1723" t="s">
        <v>478</v>
      </c>
    </row>
    <row r="1724" spans="1:3" x14ac:dyDescent="0.25">
      <c r="A1724" t="s">
        <v>4667</v>
      </c>
      <c r="B1724" t="s">
        <v>4668</v>
      </c>
      <c r="C1724" t="s">
        <v>4667</v>
      </c>
    </row>
    <row r="1725" spans="1:3" x14ac:dyDescent="0.25">
      <c r="A1725" t="s">
        <v>4669</v>
      </c>
      <c r="B1725" t="s">
        <v>4670</v>
      </c>
      <c r="C1725" t="s">
        <v>4669</v>
      </c>
    </row>
    <row r="1726" spans="1:3" x14ac:dyDescent="0.25">
      <c r="A1726" t="s">
        <v>799</v>
      </c>
      <c r="B1726" t="s">
        <v>4671</v>
      </c>
      <c r="C1726" t="s">
        <v>799</v>
      </c>
    </row>
    <row r="1727" spans="1:3" x14ac:dyDescent="0.25">
      <c r="A1727" t="s">
        <v>480</v>
      </c>
      <c r="B1727" t="s">
        <v>4672</v>
      </c>
      <c r="C1727" t="s">
        <v>480</v>
      </c>
    </row>
    <row r="1728" spans="1:3" x14ac:dyDescent="0.25">
      <c r="A1728" t="s">
        <v>1850</v>
      </c>
      <c r="B1728" t="s">
        <v>4673</v>
      </c>
      <c r="C1728" t="s">
        <v>1850</v>
      </c>
    </row>
    <row r="1729" spans="1:3" x14ac:dyDescent="0.25">
      <c r="A1729" t="s">
        <v>481</v>
      </c>
      <c r="B1729" t="s">
        <v>1936</v>
      </c>
      <c r="C1729" t="s">
        <v>481</v>
      </c>
    </row>
    <row r="1730" spans="1:3" x14ac:dyDescent="0.25">
      <c r="A1730" t="s">
        <v>4674</v>
      </c>
      <c r="B1730" t="s">
        <v>2122</v>
      </c>
      <c r="C1730" t="s">
        <v>4674</v>
      </c>
    </row>
    <row r="1731" spans="1:3" x14ac:dyDescent="0.25">
      <c r="A1731" t="s">
        <v>4675</v>
      </c>
      <c r="B1731" t="s">
        <v>2033</v>
      </c>
      <c r="C1731" t="s">
        <v>4675</v>
      </c>
    </row>
    <row r="1732" spans="1:3" x14ac:dyDescent="0.25">
      <c r="A1732" t="s">
        <v>4676</v>
      </c>
      <c r="B1732" t="s">
        <v>2010</v>
      </c>
      <c r="C1732" t="s">
        <v>4676</v>
      </c>
    </row>
    <row r="1733" spans="1:3" x14ac:dyDescent="0.25">
      <c r="A1733" t="s">
        <v>1852</v>
      </c>
      <c r="B1733" t="s">
        <v>4677</v>
      </c>
      <c r="C1733" t="s">
        <v>1852</v>
      </c>
    </row>
    <row r="1734" spans="1:3" x14ac:dyDescent="0.25">
      <c r="A1734" t="s">
        <v>483</v>
      </c>
      <c r="B1734" t="s">
        <v>2123</v>
      </c>
      <c r="C1734" t="s">
        <v>483</v>
      </c>
    </row>
    <row r="1735" spans="1:3" x14ac:dyDescent="0.25">
      <c r="A1735" t="s">
        <v>1798</v>
      </c>
      <c r="B1735" t="s">
        <v>2125</v>
      </c>
      <c r="C1735" t="s">
        <v>1798</v>
      </c>
    </row>
    <row r="1736" spans="1:3" x14ac:dyDescent="0.25">
      <c r="A1736" t="s">
        <v>4678</v>
      </c>
      <c r="B1736" t="s">
        <v>4679</v>
      </c>
      <c r="C1736" t="s">
        <v>4678</v>
      </c>
    </row>
    <row r="1737" spans="1:3" x14ac:dyDescent="0.25">
      <c r="A1737" t="s">
        <v>1854</v>
      </c>
      <c r="B1737" t="s">
        <v>4680</v>
      </c>
      <c r="C1737" t="s">
        <v>1854</v>
      </c>
    </row>
    <row r="1738" spans="1:3" x14ac:dyDescent="0.25">
      <c r="A1738" t="s">
        <v>1856</v>
      </c>
      <c r="B1738" t="s">
        <v>4681</v>
      </c>
      <c r="C1738" t="s">
        <v>1856</v>
      </c>
    </row>
    <row r="1739" spans="1:3" x14ac:dyDescent="0.25">
      <c r="A1739" t="s">
        <v>4682</v>
      </c>
      <c r="B1739" t="s">
        <v>4683</v>
      </c>
      <c r="C1739" t="s">
        <v>4682</v>
      </c>
    </row>
    <row r="1740" spans="1:3" x14ac:dyDescent="0.25">
      <c r="A1740" t="s">
        <v>978</v>
      </c>
      <c r="B1740" t="s">
        <v>2132</v>
      </c>
      <c r="C1740" t="s">
        <v>978</v>
      </c>
    </row>
    <row r="1741" spans="1:3" x14ac:dyDescent="0.25">
      <c r="A1741" t="s">
        <v>834</v>
      </c>
      <c r="B1741" t="s">
        <v>2133</v>
      </c>
      <c r="C1741" t="s">
        <v>834</v>
      </c>
    </row>
    <row r="1742" spans="1:3" x14ac:dyDescent="0.25">
      <c r="A1742" t="s">
        <v>838</v>
      </c>
      <c r="B1742" t="s">
        <v>2019</v>
      </c>
      <c r="C1742" t="s">
        <v>838</v>
      </c>
    </row>
    <row r="1743" spans="1:3" x14ac:dyDescent="0.25">
      <c r="A1743" t="s">
        <v>840</v>
      </c>
      <c r="B1743" t="s">
        <v>2020</v>
      </c>
      <c r="C1743" t="s">
        <v>840</v>
      </c>
    </row>
    <row r="1744" spans="1:3" x14ac:dyDescent="0.25">
      <c r="A1744" t="s">
        <v>842</v>
      </c>
      <c r="B1744" t="s">
        <v>2021</v>
      </c>
      <c r="C1744" t="s">
        <v>842</v>
      </c>
    </row>
    <row r="1745" spans="1:3" x14ac:dyDescent="0.25">
      <c r="A1745" t="s">
        <v>4684</v>
      </c>
      <c r="B1745" t="s">
        <v>4685</v>
      </c>
      <c r="C1745" t="s">
        <v>4684</v>
      </c>
    </row>
    <row r="1746" spans="1:3" x14ac:dyDescent="0.25">
      <c r="A1746" t="s">
        <v>4686</v>
      </c>
      <c r="B1746" t="s">
        <v>4687</v>
      </c>
      <c r="C1746" t="s">
        <v>4686</v>
      </c>
    </row>
    <row r="1747" spans="1:3" x14ac:dyDescent="0.25">
      <c r="A1747" t="s">
        <v>4688</v>
      </c>
      <c r="B1747" t="s">
        <v>4689</v>
      </c>
      <c r="C1747" t="s">
        <v>4688</v>
      </c>
    </row>
    <row r="1748" spans="1:3" x14ac:dyDescent="0.25">
      <c r="A1748" t="s">
        <v>4690</v>
      </c>
      <c r="B1748" t="s">
        <v>4691</v>
      </c>
      <c r="C1748" t="s">
        <v>4690</v>
      </c>
    </row>
    <row r="1749" spans="1:3" x14ac:dyDescent="0.25">
      <c r="A1749" t="s">
        <v>4692</v>
      </c>
      <c r="B1749" t="s">
        <v>4693</v>
      </c>
      <c r="C1749" t="s">
        <v>4692</v>
      </c>
    </row>
    <row r="1750" spans="1:3" x14ac:dyDescent="0.25">
      <c r="A1750" t="s">
        <v>4694</v>
      </c>
      <c r="B1750" t="s">
        <v>4695</v>
      </c>
      <c r="C1750" t="s">
        <v>4694</v>
      </c>
    </row>
    <row r="1751" spans="1:3" x14ac:dyDescent="0.25">
      <c r="A1751" t="s">
        <v>4696</v>
      </c>
      <c r="B1751" t="s">
        <v>4697</v>
      </c>
      <c r="C1751" t="s">
        <v>4696</v>
      </c>
    </row>
    <row r="1752" spans="1:3" x14ac:dyDescent="0.25">
      <c r="A1752" t="s">
        <v>4698</v>
      </c>
      <c r="B1752" t="s">
        <v>4699</v>
      </c>
      <c r="C1752" t="s">
        <v>4698</v>
      </c>
    </row>
    <row r="1753" spans="1:3" x14ac:dyDescent="0.25">
      <c r="A1753" t="s">
        <v>4696</v>
      </c>
      <c r="B1753" t="s">
        <v>4700</v>
      </c>
      <c r="C1753" t="s">
        <v>4696</v>
      </c>
    </row>
    <row r="1754" spans="1:3" x14ac:dyDescent="0.25">
      <c r="A1754" t="s">
        <v>4701</v>
      </c>
      <c r="B1754" t="s">
        <v>4702</v>
      </c>
      <c r="C1754" t="s">
        <v>4701</v>
      </c>
    </row>
    <row r="1755" spans="1:3" x14ac:dyDescent="0.25">
      <c r="A1755" t="s">
        <v>4703</v>
      </c>
      <c r="B1755" t="s">
        <v>4704</v>
      </c>
      <c r="C1755" t="s">
        <v>4703</v>
      </c>
    </row>
    <row r="1756" spans="1:3" x14ac:dyDescent="0.25">
      <c r="A1756" t="s">
        <v>4705</v>
      </c>
      <c r="B1756" t="s">
        <v>4706</v>
      </c>
      <c r="C1756" t="s">
        <v>4705</v>
      </c>
    </row>
    <row r="1757" spans="1:3" x14ac:dyDescent="0.25">
      <c r="A1757" t="s">
        <v>4707</v>
      </c>
      <c r="B1757" t="s">
        <v>4708</v>
      </c>
      <c r="C1757" t="s">
        <v>4707</v>
      </c>
    </row>
    <row r="1758" spans="1:3" x14ac:dyDescent="0.25">
      <c r="A1758" t="s">
        <v>4709</v>
      </c>
      <c r="B1758" t="s">
        <v>4710</v>
      </c>
      <c r="C1758" t="s">
        <v>4709</v>
      </c>
    </row>
    <row r="1759" spans="1:3" x14ac:dyDescent="0.25">
      <c r="A1759" t="s">
        <v>275</v>
      </c>
      <c r="B1759" t="s">
        <v>1926</v>
      </c>
      <c r="C1759" t="s">
        <v>275</v>
      </c>
    </row>
    <row r="1760" spans="1:3" x14ac:dyDescent="0.25">
      <c r="A1760" t="s">
        <v>4711</v>
      </c>
      <c r="B1760" t="s">
        <v>4712</v>
      </c>
      <c r="C1760" t="s">
        <v>4711</v>
      </c>
    </row>
    <row r="1761" spans="1:3" x14ac:dyDescent="0.25">
      <c r="A1761" t="s">
        <v>266</v>
      </c>
      <c r="B1761" t="s">
        <v>2012</v>
      </c>
      <c r="C1761" t="s">
        <v>266</v>
      </c>
    </row>
    <row r="1762" spans="1:3" x14ac:dyDescent="0.25">
      <c r="A1762" t="s">
        <v>4713</v>
      </c>
      <c r="B1762" t="s">
        <v>4714</v>
      </c>
      <c r="C1762" t="s">
        <v>4713</v>
      </c>
    </row>
    <row r="1763" spans="1:3" x14ac:dyDescent="0.25">
      <c r="A1763" t="s">
        <v>4715</v>
      </c>
      <c r="B1763" t="s">
        <v>4716</v>
      </c>
      <c r="C1763" t="s">
        <v>4715</v>
      </c>
    </row>
    <row r="1764" spans="1:3" x14ac:dyDescent="0.25">
      <c r="A1764" t="s">
        <v>4717</v>
      </c>
      <c r="B1764" t="s">
        <v>4718</v>
      </c>
      <c r="C1764" t="s">
        <v>4717</v>
      </c>
    </row>
    <row r="1765" spans="1:3" x14ac:dyDescent="0.25">
      <c r="A1765" t="s">
        <v>4719</v>
      </c>
      <c r="B1765" t="s">
        <v>4720</v>
      </c>
      <c r="C1765" t="s">
        <v>4719</v>
      </c>
    </row>
    <row r="1766" spans="1:3" x14ac:dyDescent="0.25">
      <c r="A1766" t="s">
        <v>4721</v>
      </c>
      <c r="B1766" t="s">
        <v>4722</v>
      </c>
      <c r="C1766" t="s">
        <v>4721</v>
      </c>
    </row>
    <row r="1767" spans="1:3" x14ac:dyDescent="0.25">
      <c r="A1767" t="s">
        <v>4723</v>
      </c>
      <c r="B1767" t="s">
        <v>4724</v>
      </c>
      <c r="C1767" t="s">
        <v>4723</v>
      </c>
    </row>
    <row r="1768" spans="1:3" x14ac:dyDescent="0.25">
      <c r="A1768" t="s">
        <v>4725</v>
      </c>
      <c r="B1768" t="s">
        <v>4726</v>
      </c>
      <c r="C1768" t="s">
        <v>4725</v>
      </c>
    </row>
    <row r="1769" spans="1:3" x14ac:dyDescent="0.25">
      <c r="A1769" t="s">
        <v>4727</v>
      </c>
      <c r="B1769" t="s">
        <v>4728</v>
      </c>
      <c r="C1769" t="s">
        <v>4727</v>
      </c>
    </row>
    <row r="1770" spans="1:3" x14ac:dyDescent="0.25">
      <c r="A1770" t="s">
        <v>4729</v>
      </c>
      <c r="B1770" t="s">
        <v>4730</v>
      </c>
      <c r="C1770" t="s">
        <v>4729</v>
      </c>
    </row>
    <row r="1771" spans="1:3" x14ac:dyDescent="0.25">
      <c r="A1771" t="s">
        <v>26</v>
      </c>
      <c r="B1771" t="s">
        <v>4731</v>
      </c>
      <c r="C1771" t="s">
        <v>26</v>
      </c>
    </row>
    <row r="1772" spans="1:3" x14ac:dyDescent="0.25">
      <c r="A1772" t="s">
        <v>4732</v>
      </c>
      <c r="B1772" t="s">
        <v>4733</v>
      </c>
      <c r="C1772" t="s">
        <v>4732</v>
      </c>
    </row>
    <row r="1773" spans="1:3" x14ac:dyDescent="0.25">
      <c r="A1773" t="s">
        <v>4734</v>
      </c>
      <c r="B1773" t="s">
        <v>4735</v>
      </c>
      <c r="C1773" t="s">
        <v>4734</v>
      </c>
    </row>
    <row r="1774" spans="1:3" x14ac:dyDescent="0.25">
      <c r="A1774" t="s">
        <v>4736</v>
      </c>
      <c r="B1774" t="s">
        <v>4737</v>
      </c>
      <c r="C1774" t="s">
        <v>4736</v>
      </c>
    </row>
    <row r="1775" spans="1:3" x14ac:dyDescent="0.25">
      <c r="A1775" t="s">
        <v>4738</v>
      </c>
      <c r="B1775" t="s">
        <v>4739</v>
      </c>
      <c r="C1775" t="s">
        <v>4738</v>
      </c>
    </row>
    <row r="1776" spans="1:3" x14ac:dyDescent="0.25">
      <c r="A1776" t="s">
        <v>4740</v>
      </c>
      <c r="B1776" t="s">
        <v>4741</v>
      </c>
      <c r="C1776" t="s">
        <v>4740</v>
      </c>
    </row>
    <row r="1777" spans="1:3" x14ac:dyDescent="0.25">
      <c r="A1777" t="s">
        <v>4742</v>
      </c>
      <c r="B1777" t="s">
        <v>4743</v>
      </c>
      <c r="C1777" t="s">
        <v>4742</v>
      </c>
    </row>
    <row r="1778" spans="1:3" x14ac:dyDescent="0.25">
      <c r="A1778" t="s">
        <v>4744</v>
      </c>
      <c r="B1778" t="s">
        <v>4745</v>
      </c>
      <c r="C1778" t="s">
        <v>4744</v>
      </c>
    </row>
    <row r="1779" spans="1:3" x14ac:dyDescent="0.25">
      <c r="A1779" t="s">
        <v>4746</v>
      </c>
      <c r="B1779" t="s">
        <v>4747</v>
      </c>
      <c r="C1779" t="s">
        <v>4746</v>
      </c>
    </row>
    <row r="1780" spans="1:3" x14ac:dyDescent="0.25">
      <c r="A1780" t="s">
        <v>4748</v>
      </c>
      <c r="B1780" t="s">
        <v>4749</v>
      </c>
      <c r="C1780" t="s">
        <v>4748</v>
      </c>
    </row>
    <row r="1781" spans="1:3" x14ac:dyDescent="0.25">
      <c r="A1781" t="s">
        <v>4750</v>
      </c>
      <c r="B1781" t="s">
        <v>4751</v>
      </c>
      <c r="C1781" t="s">
        <v>4750</v>
      </c>
    </row>
    <row r="1782" spans="1:3" x14ac:dyDescent="0.25">
      <c r="A1782" t="s">
        <v>4752</v>
      </c>
      <c r="B1782" t="s">
        <v>4753</v>
      </c>
      <c r="C1782" t="s">
        <v>4752</v>
      </c>
    </row>
    <row r="1783" spans="1:3" x14ac:dyDescent="0.25">
      <c r="A1783" t="s">
        <v>4754</v>
      </c>
      <c r="B1783" t="s">
        <v>4755</v>
      </c>
      <c r="C1783" t="s">
        <v>4754</v>
      </c>
    </row>
    <row r="1784" spans="1:3" x14ac:dyDescent="0.25">
      <c r="A1784" t="s">
        <v>4756</v>
      </c>
      <c r="B1784" t="s">
        <v>4757</v>
      </c>
      <c r="C1784" t="s">
        <v>4756</v>
      </c>
    </row>
    <row r="1785" spans="1:3" x14ac:dyDescent="0.25">
      <c r="A1785" t="s">
        <v>1849</v>
      </c>
      <c r="B1785" t="s">
        <v>4758</v>
      </c>
      <c r="C1785" t="s">
        <v>1849</v>
      </c>
    </row>
    <row r="1786" spans="1:3" x14ac:dyDescent="0.25">
      <c r="A1786" t="s">
        <v>1794</v>
      </c>
      <c r="B1786" t="s">
        <v>4759</v>
      </c>
      <c r="C1786" t="s">
        <v>1794</v>
      </c>
    </row>
    <row r="1787" spans="1:3" x14ac:dyDescent="0.25">
      <c r="A1787" t="s">
        <v>4760</v>
      </c>
      <c r="B1787" t="s">
        <v>4761</v>
      </c>
      <c r="C1787" t="s">
        <v>4760</v>
      </c>
    </row>
    <row r="1788" spans="1:3" x14ac:dyDescent="0.25">
      <c r="A1788" t="s">
        <v>4762</v>
      </c>
      <c r="B1788" t="s">
        <v>4763</v>
      </c>
      <c r="C1788" t="s">
        <v>4762</v>
      </c>
    </row>
    <row r="1789" spans="1:3" x14ac:dyDescent="0.25">
      <c r="A1789" t="s">
        <v>4764</v>
      </c>
      <c r="B1789" t="s">
        <v>4765</v>
      </c>
      <c r="C1789" t="s">
        <v>4764</v>
      </c>
    </row>
    <row r="1790" spans="1:3" x14ac:dyDescent="0.25">
      <c r="A1790" t="s">
        <v>4766</v>
      </c>
      <c r="B1790" t="s">
        <v>4767</v>
      </c>
      <c r="C1790" t="s">
        <v>4766</v>
      </c>
    </row>
    <row r="1791" spans="1:3" x14ac:dyDescent="0.25">
      <c r="A1791" t="s">
        <v>4768</v>
      </c>
      <c r="B1791" t="s">
        <v>4769</v>
      </c>
      <c r="C1791" t="s">
        <v>4768</v>
      </c>
    </row>
    <row r="1792" spans="1:3" x14ac:dyDescent="0.25">
      <c r="A1792" t="s">
        <v>4770</v>
      </c>
      <c r="B1792" t="s">
        <v>4771</v>
      </c>
      <c r="C1792" t="s">
        <v>4770</v>
      </c>
    </row>
    <row r="1793" spans="1:3" x14ac:dyDescent="0.25">
      <c r="A1793" t="s">
        <v>4772</v>
      </c>
      <c r="B1793" t="s">
        <v>4773</v>
      </c>
      <c r="C1793" t="s">
        <v>4772</v>
      </c>
    </row>
    <row r="1794" spans="1:3" x14ac:dyDescent="0.25">
      <c r="A1794" t="s">
        <v>4774</v>
      </c>
      <c r="B1794" t="s">
        <v>4775</v>
      </c>
      <c r="C1794" t="s">
        <v>4774</v>
      </c>
    </row>
    <row r="1795" spans="1:3" x14ac:dyDescent="0.25">
      <c r="A1795" t="s">
        <v>4776</v>
      </c>
      <c r="B1795" t="s">
        <v>4777</v>
      </c>
      <c r="C1795" t="s">
        <v>4776</v>
      </c>
    </row>
    <row r="1796" spans="1:3" x14ac:dyDescent="0.25">
      <c r="A1796" t="s">
        <v>4778</v>
      </c>
      <c r="B1796" t="s">
        <v>4779</v>
      </c>
      <c r="C1796" t="s">
        <v>4778</v>
      </c>
    </row>
    <row r="1797" spans="1:3" x14ac:dyDescent="0.25">
      <c r="A1797" t="s">
        <v>4780</v>
      </c>
      <c r="B1797" t="s">
        <v>4781</v>
      </c>
      <c r="C1797" t="s">
        <v>4780</v>
      </c>
    </row>
    <row r="1798" spans="1:3" x14ac:dyDescent="0.25">
      <c r="A1798" t="s">
        <v>4782</v>
      </c>
      <c r="B1798" t="s">
        <v>4783</v>
      </c>
      <c r="C1798" t="s">
        <v>4782</v>
      </c>
    </row>
    <row r="1799" spans="1:3" x14ac:dyDescent="0.25">
      <c r="A1799" t="s">
        <v>4784</v>
      </c>
      <c r="B1799" t="s">
        <v>4785</v>
      </c>
      <c r="C1799" t="s">
        <v>4784</v>
      </c>
    </row>
    <row r="1800" spans="1:3" x14ac:dyDescent="0.25">
      <c r="A1800" t="s">
        <v>4786</v>
      </c>
      <c r="B1800" t="s">
        <v>4787</v>
      </c>
      <c r="C1800" t="s">
        <v>4786</v>
      </c>
    </row>
    <row r="1801" spans="1:3" x14ac:dyDescent="0.25">
      <c r="A1801" t="s">
        <v>4788</v>
      </c>
      <c r="B1801" t="s">
        <v>4789</v>
      </c>
      <c r="C1801" t="s">
        <v>4788</v>
      </c>
    </row>
    <row r="1802" spans="1:3" x14ac:dyDescent="0.25">
      <c r="A1802" t="s">
        <v>4790</v>
      </c>
      <c r="B1802" t="s">
        <v>4791</v>
      </c>
      <c r="C1802" t="s">
        <v>4790</v>
      </c>
    </row>
    <row r="1803" spans="1:3" x14ac:dyDescent="0.25">
      <c r="A1803" t="s">
        <v>4792</v>
      </c>
      <c r="B1803" t="s">
        <v>4793</v>
      </c>
      <c r="C1803" t="s">
        <v>4792</v>
      </c>
    </row>
    <row r="1804" spans="1:3" x14ac:dyDescent="0.25">
      <c r="A1804" t="s">
        <v>4794</v>
      </c>
      <c r="B1804" t="s">
        <v>4795</v>
      </c>
      <c r="C1804" t="s">
        <v>4794</v>
      </c>
    </row>
    <row r="1805" spans="1:3" x14ac:dyDescent="0.25">
      <c r="A1805" t="s">
        <v>4796</v>
      </c>
      <c r="B1805" t="s">
        <v>4797</v>
      </c>
      <c r="C1805" t="s">
        <v>4796</v>
      </c>
    </row>
    <row r="1806" spans="1:3" x14ac:dyDescent="0.25">
      <c r="A1806" t="s">
        <v>4798</v>
      </c>
      <c r="B1806" t="s">
        <v>4799</v>
      </c>
      <c r="C1806" t="s">
        <v>4798</v>
      </c>
    </row>
    <row r="1807" spans="1:3" x14ac:dyDescent="0.25">
      <c r="A1807" t="s">
        <v>4800</v>
      </c>
      <c r="B1807" t="s">
        <v>4801</v>
      </c>
      <c r="C1807" t="s">
        <v>4800</v>
      </c>
    </row>
    <row r="1808" spans="1:3" x14ac:dyDescent="0.25">
      <c r="A1808" t="s">
        <v>4802</v>
      </c>
      <c r="B1808" t="s">
        <v>4803</v>
      </c>
      <c r="C1808" t="s">
        <v>4802</v>
      </c>
    </row>
    <row r="1809" spans="1:3" x14ac:dyDescent="0.25">
      <c r="A1809" t="s">
        <v>4804</v>
      </c>
      <c r="B1809" t="s">
        <v>4805</v>
      </c>
      <c r="C1809" t="s">
        <v>4804</v>
      </c>
    </row>
    <row r="1810" spans="1:3" x14ac:dyDescent="0.25">
      <c r="A1810" t="s">
        <v>4806</v>
      </c>
      <c r="B1810" t="s">
        <v>4807</v>
      </c>
      <c r="C1810" t="s">
        <v>4806</v>
      </c>
    </row>
    <row r="1811" spans="1:3" x14ac:dyDescent="0.25">
      <c r="A1811" t="s">
        <v>4808</v>
      </c>
      <c r="B1811" t="s">
        <v>4809</v>
      </c>
      <c r="C1811" t="s">
        <v>4808</v>
      </c>
    </row>
    <row r="1812" spans="1:3" x14ac:dyDescent="0.25">
      <c r="A1812" t="s">
        <v>4810</v>
      </c>
      <c r="B1812" t="s">
        <v>4811</v>
      </c>
      <c r="C1812" t="s">
        <v>4810</v>
      </c>
    </row>
    <row r="1813" spans="1:3" x14ac:dyDescent="0.25">
      <c r="A1813" t="s">
        <v>4812</v>
      </c>
      <c r="B1813" t="s">
        <v>4813</v>
      </c>
      <c r="C1813" t="s">
        <v>4812</v>
      </c>
    </row>
    <row r="1814" spans="1:3" x14ac:dyDescent="0.25">
      <c r="A1814" t="s">
        <v>4814</v>
      </c>
      <c r="B1814" t="s">
        <v>4815</v>
      </c>
      <c r="C1814" t="s">
        <v>4814</v>
      </c>
    </row>
    <row r="1815" spans="1:3" x14ac:dyDescent="0.25">
      <c r="A1815" t="s">
        <v>4816</v>
      </c>
      <c r="B1815" t="s">
        <v>4817</v>
      </c>
      <c r="C1815" t="s">
        <v>4816</v>
      </c>
    </row>
    <row r="1816" spans="1:3" x14ac:dyDescent="0.25">
      <c r="A1816" t="s">
        <v>4818</v>
      </c>
      <c r="B1816" t="s">
        <v>4819</v>
      </c>
      <c r="C1816" t="s">
        <v>4818</v>
      </c>
    </row>
    <row r="1817" spans="1:3" x14ac:dyDescent="0.25">
      <c r="A1817" t="s">
        <v>4820</v>
      </c>
      <c r="B1817" t="s">
        <v>4821</v>
      </c>
      <c r="C1817" t="s">
        <v>4820</v>
      </c>
    </row>
    <row r="1818" spans="1:3" x14ac:dyDescent="0.25">
      <c r="A1818" t="s">
        <v>4822</v>
      </c>
      <c r="B1818" t="s">
        <v>4823</v>
      </c>
      <c r="C1818" t="s">
        <v>4822</v>
      </c>
    </row>
    <row r="1819" spans="1:3" x14ac:dyDescent="0.25">
      <c r="A1819" t="s">
        <v>4824</v>
      </c>
      <c r="B1819" t="s">
        <v>4825</v>
      </c>
      <c r="C1819" t="s">
        <v>4824</v>
      </c>
    </row>
    <row r="1820" spans="1:3" x14ac:dyDescent="0.25">
      <c r="A1820" t="s">
        <v>4826</v>
      </c>
      <c r="B1820" t="s">
        <v>4827</v>
      </c>
      <c r="C1820" t="s">
        <v>4826</v>
      </c>
    </row>
    <row r="1821" spans="1:3" x14ac:dyDescent="0.25">
      <c r="A1821" t="s">
        <v>4828</v>
      </c>
      <c r="B1821" t="s">
        <v>4829</v>
      </c>
      <c r="C1821" t="s">
        <v>4828</v>
      </c>
    </row>
    <row r="1822" spans="1:3" x14ac:dyDescent="0.25">
      <c r="A1822" t="s">
        <v>1552</v>
      </c>
      <c r="B1822" t="s">
        <v>5210</v>
      </c>
      <c r="C1822" t="s">
        <v>1552</v>
      </c>
    </row>
    <row r="1823" spans="1:3" x14ac:dyDescent="0.25">
      <c r="A1823" t="s">
        <v>4830</v>
      </c>
      <c r="B1823" t="s">
        <v>4831</v>
      </c>
      <c r="C1823" t="s">
        <v>4830</v>
      </c>
    </row>
    <row r="1824" spans="1:3" x14ac:dyDescent="0.25">
      <c r="A1824" t="s">
        <v>4832</v>
      </c>
      <c r="B1824" t="s">
        <v>4833</v>
      </c>
      <c r="C1824" t="s">
        <v>4832</v>
      </c>
    </row>
    <row r="1825" spans="1:3" x14ac:dyDescent="0.25">
      <c r="A1825" t="s">
        <v>4834</v>
      </c>
      <c r="B1825" t="s">
        <v>4835</v>
      </c>
      <c r="C1825" t="s">
        <v>4834</v>
      </c>
    </row>
    <row r="1826" spans="1:3" x14ac:dyDescent="0.25">
      <c r="A1826" t="s">
        <v>4836</v>
      </c>
      <c r="B1826" t="s">
        <v>4837</v>
      </c>
      <c r="C1826" t="s">
        <v>4836</v>
      </c>
    </row>
    <row r="1827" spans="1:3" x14ac:dyDescent="0.25">
      <c r="A1827" t="s">
        <v>4838</v>
      </c>
      <c r="B1827" t="s">
        <v>4839</v>
      </c>
      <c r="C1827" t="s">
        <v>4838</v>
      </c>
    </row>
    <row r="1828" spans="1:3" x14ac:dyDescent="0.25">
      <c r="A1828" t="s">
        <v>4840</v>
      </c>
      <c r="B1828" t="s">
        <v>4841</v>
      </c>
      <c r="C1828" t="s">
        <v>4840</v>
      </c>
    </row>
    <row r="1829" spans="1:3" x14ac:dyDescent="0.25">
      <c r="A1829" t="s">
        <v>5211</v>
      </c>
      <c r="B1829" t="s">
        <v>5212</v>
      </c>
      <c r="C1829" t="s">
        <v>5211</v>
      </c>
    </row>
    <row r="1830" spans="1:3" x14ac:dyDescent="0.25">
      <c r="A1830" t="s">
        <v>5213</v>
      </c>
      <c r="B1830" t="s">
        <v>5214</v>
      </c>
      <c r="C1830" t="s">
        <v>5213</v>
      </c>
    </row>
    <row r="1831" spans="1:3" x14ac:dyDescent="0.25">
      <c r="A1831" t="s">
        <v>5215</v>
      </c>
      <c r="B1831" t="s">
        <v>5216</v>
      </c>
      <c r="C1831" t="s">
        <v>5215</v>
      </c>
    </row>
    <row r="1832" spans="1:3" x14ac:dyDescent="0.25">
      <c r="A1832" t="s">
        <v>5217</v>
      </c>
      <c r="B1832" t="s">
        <v>5218</v>
      </c>
      <c r="C1832" t="s">
        <v>5217</v>
      </c>
    </row>
    <row r="1833" spans="1:3" x14ac:dyDescent="0.25">
      <c r="A1833" t="s">
        <v>4842</v>
      </c>
      <c r="B1833" t="s">
        <v>4843</v>
      </c>
      <c r="C1833" t="s">
        <v>4842</v>
      </c>
    </row>
    <row r="1834" spans="1:3" x14ac:dyDescent="0.25">
      <c r="A1834" t="s">
        <v>4844</v>
      </c>
      <c r="B1834" t="s">
        <v>4845</v>
      </c>
      <c r="C1834" t="s">
        <v>4844</v>
      </c>
    </row>
    <row r="1835" spans="1:3" x14ac:dyDescent="0.25">
      <c r="A1835" t="s">
        <v>4846</v>
      </c>
      <c r="B1835" t="s">
        <v>4847</v>
      </c>
      <c r="C1835" t="s">
        <v>4846</v>
      </c>
    </row>
    <row r="1836" spans="1:3" x14ac:dyDescent="0.25">
      <c r="A1836" t="s">
        <v>4848</v>
      </c>
      <c r="B1836" t="s">
        <v>4849</v>
      </c>
      <c r="C1836" t="s">
        <v>4848</v>
      </c>
    </row>
    <row r="1837" spans="1:3" x14ac:dyDescent="0.25">
      <c r="A1837" t="s">
        <v>4850</v>
      </c>
      <c r="B1837" t="s">
        <v>4851</v>
      </c>
      <c r="C1837" t="s">
        <v>4850</v>
      </c>
    </row>
    <row r="1838" spans="1:3" x14ac:dyDescent="0.25">
      <c r="A1838" t="s">
        <v>4852</v>
      </c>
      <c r="B1838" t="s">
        <v>4853</v>
      </c>
      <c r="C1838" t="s">
        <v>4852</v>
      </c>
    </row>
    <row r="1839" spans="1:3" x14ac:dyDescent="0.25">
      <c r="A1839" t="s">
        <v>4854</v>
      </c>
      <c r="B1839" t="s">
        <v>4855</v>
      </c>
      <c r="C1839" t="s">
        <v>4854</v>
      </c>
    </row>
    <row r="1840" spans="1:3" x14ac:dyDescent="0.25">
      <c r="A1840" t="s">
        <v>4856</v>
      </c>
      <c r="B1840" t="s">
        <v>4857</v>
      </c>
      <c r="C1840" t="s">
        <v>4856</v>
      </c>
    </row>
    <row r="1841" spans="1:3" x14ac:dyDescent="0.25">
      <c r="A1841" t="s">
        <v>4858</v>
      </c>
      <c r="B1841" t="s">
        <v>4859</v>
      </c>
      <c r="C1841" t="s">
        <v>4858</v>
      </c>
    </row>
    <row r="1842" spans="1:3" x14ac:dyDescent="0.25">
      <c r="A1842" t="s">
        <v>4860</v>
      </c>
      <c r="B1842" t="s">
        <v>4861</v>
      </c>
      <c r="C1842" t="s">
        <v>4860</v>
      </c>
    </row>
    <row r="1843" spans="1:3" x14ac:dyDescent="0.25">
      <c r="A1843" t="s">
        <v>4862</v>
      </c>
      <c r="B1843" t="s">
        <v>4863</v>
      </c>
      <c r="C1843" t="s">
        <v>4862</v>
      </c>
    </row>
    <row r="1844" spans="1:3" x14ac:dyDescent="0.25">
      <c r="A1844" t="s">
        <v>4864</v>
      </c>
      <c r="B1844" t="s">
        <v>4865</v>
      </c>
      <c r="C1844" t="s">
        <v>4864</v>
      </c>
    </row>
    <row r="1845" spans="1:3" x14ac:dyDescent="0.25">
      <c r="A1845" t="s">
        <v>4866</v>
      </c>
      <c r="B1845" t="s">
        <v>4867</v>
      </c>
      <c r="C1845" t="s">
        <v>4866</v>
      </c>
    </row>
    <row r="1846" spans="1:3" x14ac:dyDescent="0.25">
      <c r="A1846" t="s">
        <v>4868</v>
      </c>
      <c r="B1846" t="s">
        <v>4869</v>
      </c>
      <c r="C1846" t="s">
        <v>4868</v>
      </c>
    </row>
    <row r="1847" spans="1:3" x14ac:dyDescent="0.25">
      <c r="A1847" t="s">
        <v>4870</v>
      </c>
      <c r="B1847" t="s">
        <v>4871</v>
      </c>
      <c r="C1847" t="s">
        <v>4870</v>
      </c>
    </row>
    <row r="1848" spans="1:3" x14ac:dyDescent="0.25">
      <c r="A1848" t="s">
        <v>4872</v>
      </c>
      <c r="B1848" t="s">
        <v>4873</v>
      </c>
      <c r="C1848" t="s">
        <v>4872</v>
      </c>
    </row>
    <row r="1849" spans="1:3" x14ac:dyDescent="0.25">
      <c r="A1849" t="s">
        <v>4874</v>
      </c>
      <c r="B1849" t="s">
        <v>4875</v>
      </c>
      <c r="C1849" t="s">
        <v>4874</v>
      </c>
    </row>
    <row r="1850" spans="1:3" x14ac:dyDescent="0.25">
      <c r="A1850" t="s">
        <v>4876</v>
      </c>
      <c r="B1850" t="s">
        <v>4877</v>
      </c>
      <c r="C1850" t="s">
        <v>4876</v>
      </c>
    </row>
    <row r="1851" spans="1:3" x14ac:dyDescent="0.25">
      <c r="A1851" t="s">
        <v>4878</v>
      </c>
      <c r="B1851" t="s">
        <v>4879</v>
      </c>
      <c r="C1851" t="s">
        <v>4878</v>
      </c>
    </row>
    <row r="1852" spans="1:3" x14ac:dyDescent="0.25">
      <c r="A1852" t="s">
        <v>4880</v>
      </c>
      <c r="B1852" t="s">
        <v>4881</v>
      </c>
      <c r="C1852" t="s">
        <v>4880</v>
      </c>
    </row>
    <row r="1853" spans="1:3" x14ac:dyDescent="0.25">
      <c r="A1853" t="s">
        <v>4882</v>
      </c>
      <c r="B1853" t="s">
        <v>4883</v>
      </c>
      <c r="C1853" t="s">
        <v>4882</v>
      </c>
    </row>
    <row r="1854" spans="1:3" x14ac:dyDescent="0.25">
      <c r="A1854" t="s">
        <v>4884</v>
      </c>
      <c r="B1854" t="s">
        <v>4885</v>
      </c>
      <c r="C1854" t="s">
        <v>4884</v>
      </c>
    </row>
    <row r="1855" spans="1:3" x14ac:dyDescent="0.25">
      <c r="A1855" t="s">
        <v>4886</v>
      </c>
      <c r="B1855" t="s">
        <v>4887</v>
      </c>
      <c r="C1855" t="s">
        <v>4886</v>
      </c>
    </row>
    <row r="1856" spans="1:3" x14ac:dyDescent="0.25">
      <c r="A1856" t="s">
        <v>4888</v>
      </c>
      <c r="B1856" t="s">
        <v>4889</v>
      </c>
      <c r="C1856" t="s">
        <v>4888</v>
      </c>
    </row>
    <row r="1857" spans="1:3" x14ac:dyDescent="0.25">
      <c r="A1857" t="s">
        <v>4890</v>
      </c>
      <c r="B1857" t="s">
        <v>4891</v>
      </c>
      <c r="C1857" t="s">
        <v>4890</v>
      </c>
    </row>
    <row r="1858" spans="1:3" x14ac:dyDescent="0.25">
      <c r="A1858" t="s">
        <v>4892</v>
      </c>
      <c r="B1858" t="s">
        <v>4893</v>
      </c>
      <c r="C1858" t="s">
        <v>4892</v>
      </c>
    </row>
    <row r="1859" spans="1:3" x14ac:dyDescent="0.25">
      <c r="A1859" t="s">
        <v>4894</v>
      </c>
      <c r="B1859" t="s">
        <v>4895</v>
      </c>
      <c r="C1859" t="s">
        <v>4894</v>
      </c>
    </row>
    <row r="1860" spans="1:3" x14ac:dyDescent="0.25">
      <c r="A1860" t="s">
        <v>4896</v>
      </c>
      <c r="B1860" t="s">
        <v>4897</v>
      </c>
      <c r="C1860" t="s">
        <v>4896</v>
      </c>
    </row>
    <row r="1861" spans="1:3" x14ac:dyDescent="0.25">
      <c r="A1861" t="s">
        <v>4898</v>
      </c>
      <c r="B1861" t="s">
        <v>4899</v>
      </c>
      <c r="C1861" t="s">
        <v>4898</v>
      </c>
    </row>
    <row r="1862" spans="1:3" x14ac:dyDescent="0.25">
      <c r="A1862" t="s">
        <v>4900</v>
      </c>
      <c r="B1862" t="s">
        <v>4901</v>
      </c>
      <c r="C1862" t="s">
        <v>4900</v>
      </c>
    </row>
    <row r="1863" spans="1:3" x14ac:dyDescent="0.25">
      <c r="A1863" t="s">
        <v>4902</v>
      </c>
      <c r="B1863" t="s">
        <v>4903</v>
      </c>
      <c r="C1863" t="s">
        <v>4902</v>
      </c>
    </row>
    <row r="1864" spans="1:3" x14ac:dyDescent="0.25">
      <c r="A1864" t="s">
        <v>4904</v>
      </c>
      <c r="B1864" t="s">
        <v>4905</v>
      </c>
      <c r="C1864" t="s">
        <v>4904</v>
      </c>
    </row>
    <row r="1865" spans="1:3" x14ac:dyDescent="0.25">
      <c r="A1865" t="s">
        <v>4906</v>
      </c>
      <c r="B1865" t="s">
        <v>4907</v>
      </c>
      <c r="C1865" t="s">
        <v>4906</v>
      </c>
    </row>
    <row r="1866" spans="1:3" x14ac:dyDescent="0.25">
      <c r="A1866" t="s">
        <v>4908</v>
      </c>
      <c r="B1866" t="s">
        <v>4909</v>
      </c>
      <c r="C1866" t="s">
        <v>4908</v>
      </c>
    </row>
    <row r="1867" spans="1:3" x14ac:dyDescent="0.25">
      <c r="A1867" t="s">
        <v>4910</v>
      </c>
      <c r="B1867" t="s">
        <v>4911</v>
      </c>
      <c r="C1867" t="s">
        <v>4910</v>
      </c>
    </row>
    <row r="1868" spans="1:3" x14ac:dyDescent="0.25">
      <c r="A1868" t="s">
        <v>4912</v>
      </c>
      <c r="B1868" t="s">
        <v>4913</v>
      </c>
      <c r="C1868" t="s">
        <v>4912</v>
      </c>
    </row>
    <row r="1869" spans="1:3" x14ac:dyDescent="0.25">
      <c r="A1869" t="s">
        <v>4914</v>
      </c>
      <c r="B1869" t="s">
        <v>4915</v>
      </c>
      <c r="C1869" t="s">
        <v>4914</v>
      </c>
    </row>
    <row r="1870" spans="1:3" x14ac:dyDescent="0.25">
      <c r="A1870" t="s">
        <v>4916</v>
      </c>
      <c r="B1870" t="s">
        <v>4917</v>
      </c>
      <c r="C1870" t="s">
        <v>4916</v>
      </c>
    </row>
    <row r="1871" spans="1:3" x14ac:dyDescent="0.25">
      <c r="A1871" t="s">
        <v>4918</v>
      </c>
      <c r="B1871" t="s">
        <v>4919</v>
      </c>
      <c r="C1871" t="s">
        <v>4918</v>
      </c>
    </row>
    <row r="1872" spans="1:3" x14ac:dyDescent="0.25">
      <c r="A1872" t="s">
        <v>4920</v>
      </c>
      <c r="B1872" t="s">
        <v>4919</v>
      </c>
      <c r="C1872" t="s">
        <v>4920</v>
      </c>
    </row>
    <row r="1873" spans="1:3" x14ac:dyDescent="0.25">
      <c r="A1873" t="s">
        <v>4921</v>
      </c>
      <c r="B1873" t="s">
        <v>4922</v>
      </c>
      <c r="C1873" t="s">
        <v>4921</v>
      </c>
    </row>
    <row r="1874" spans="1:3" x14ac:dyDescent="0.25">
      <c r="A1874" t="s">
        <v>844</v>
      </c>
      <c r="B1874" t="s">
        <v>4923</v>
      </c>
      <c r="C1874" t="s">
        <v>844</v>
      </c>
    </row>
    <row r="1875" spans="1:3" x14ac:dyDescent="0.25">
      <c r="A1875" t="s">
        <v>4924</v>
      </c>
      <c r="B1875" t="s">
        <v>4925</v>
      </c>
      <c r="C1875" t="s">
        <v>4924</v>
      </c>
    </row>
    <row r="1876" spans="1:3" x14ac:dyDescent="0.25">
      <c r="A1876" t="s">
        <v>4926</v>
      </c>
      <c r="B1876" t="s">
        <v>4927</v>
      </c>
      <c r="C1876" t="s">
        <v>4926</v>
      </c>
    </row>
    <row r="1877" spans="1:3" x14ac:dyDescent="0.25">
      <c r="A1877" t="s">
        <v>4928</v>
      </c>
      <c r="B1877" t="s">
        <v>4929</v>
      </c>
      <c r="C1877" t="s">
        <v>4928</v>
      </c>
    </row>
    <row r="1878" spans="1:3" x14ac:dyDescent="0.25">
      <c r="A1878" t="s">
        <v>4930</v>
      </c>
      <c r="B1878" t="s">
        <v>4931</v>
      </c>
      <c r="C1878" t="s">
        <v>4930</v>
      </c>
    </row>
    <row r="1879" spans="1:3" x14ac:dyDescent="0.25">
      <c r="A1879" t="s">
        <v>4932</v>
      </c>
      <c r="B1879" t="s">
        <v>4933</v>
      </c>
      <c r="C1879" t="s">
        <v>4932</v>
      </c>
    </row>
    <row r="1880" spans="1:3" x14ac:dyDescent="0.25">
      <c r="A1880" t="s">
        <v>4934</v>
      </c>
      <c r="B1880" t="s">
        <v>4935</v>
      </c>
      <c r="C1880" t="s">
        <v>4934</v>
      </c>
    </row>
    <row r="1881" spans="1:3" x14ac:dyDescent="0.25">
      <c r="A1881" t="s">
        <v>4936</v>
      </c>
      <c r="B1881" t="s">
        <v>4937</v>
      </c>
      <c r="C1881" t="s">
        <v>4936</v>
      </c>
    </row>
    <row r="1882" spans="1:3" x14ac:dyDescent="0.25">
      <c r="A1882" t="s">
        <v>4938</v>
      </c>
      <c r="B1882" t="s">
        <v>4939</v>
      </c>
      <c r="C1882" t="s">
        <v>4938</v>
      </c>
    </row>
    <row r="1883" spans="1:3" x14ac:dyDescent="0.25">
      <c r="A1883" t="s">
        <v>4940</v>
      </c>
      <c r="B1883" t="s">
        <v>4941</v>
      </c>
      <c r="C1883" t="s">
        <v>4940</v>
      </c>
    </row>
    <row r="1884" spans="1:3" x14ac:dyDescent="0.25">
      <c r="A1884" t="s">
        <v>4942</v>
      </c>
      <c r="B1884" t="s">
        <v>4943</v>
      </c>
      <c r="C1884" t="s">
        <v>4942</v>
      </c>
    </row>
    <row r="1885" spans="1:3" x14ac:dyDescent="0.25">
      <c r="A1885" t="s">
        <v>4944</v>
      </c>
      <c r="B1885" t="s">
        <v>4945</v>
      </c>
      <c r="C1885" t="s">
        <v>4944</v>
      </c>
    </row>
    <row r="1886" spans="1:3" x14ac:dyDescent="0.25">
      <c r="A1886" t="s">
        <v>4946</v>
      </c>
      <c r="B1886" t="s">
        <v>4947</v>
      </c>
      <c r="C1886" t="s">
        <v>4946</v>
      </c>
    </row>
    <row r="1887" spans="1:3" x14ac:dyDescent="0.25">
      <c r="A1887" t="s">
        <v>4948</v>
      </c>
      <c r="B1887" t="s">
        <v>4949</v>
      </c>
      <c r="C1887" t="s">
        <v>4948</v>
      </c>
    </row>
    <row r="1888" spans="1:3" x14ac:dyDescent="0.25">
      <c r="A1888" t="s">
        <v>4950</v>
      </c>
      <c r="B1888" t="s">
        <v>4951</v>
      </c>
      <c r="C1888" t="s">
        <v>4950</v>
      </c>
    </row>
    <row r="1889" spans="1:3" x14ac:dyDescent="0.25">
      <c r="A1889" t="s">
        <v>115</v>
      </c>
      <c r="B1889" t="s">
        <v>2027</v>
      </c>
      <c r="C1889" t="s">
        <v>115</v>
      </c>
    </row>
    <row r="1890" spans="1:3" x14ac:dyDescent="0.25">
      <c r="A1890" t="s">
        <v>4952</v>
      </c>
      <c r="B1890" t="s">
        <v>4953</v>
      </c>
      <c r="C1890" t="s">
        <v>4952</v>
      </c>
    </row>
    <row r="1891" spans="1:3" x14ac:dyDescent="0.25">
      <c r="A1891" t="s">
        <v>4954</v>
      </c>
      <c r="B1891" t="s">
        <v>4955</v>
      </c>
      <c r="C1891" t="s">
        <v>4954</v>
      </c>
    </row>
    <row r="1892" spans="1:3" x14ac:dyDescent="0.25">
      <c r="A1892" t="s">
        <v>4956</v>
      </c>
      <c r="B1892" t="s">
        <v>4957</v>
      </c>
      <c r="C1892" t="s">
        <v>4956</v>
      </c>
    </row>
    <row r="1893" spans="1:3" x14ac:dyDescent="0.25">
      <c r="A1893" t="s">
        <v>4958</v>
      </c>
      <c r="B1893" t="s">
        <v>4959</v>
      </c>
      <c r="C1893" t="s">
        <v>4958</v>
      </c>
    </row>
    <row r="1894" spans="1:3" x14ac:dyDescent="0.25">
      <c r="A1894" t="s">
        <v>4960</v>
      </c>
      <c r="B1894" t="s">
        <v>4961</v>
      </c>
      <c r="C1894" t="s">
        <v>4960</v>
      </c>
    </row>
    <row r="1895" spans="1:3" x14ac:dyDescent="0.25">
      <c r="A1895" t="s">
        <v>4962</v>
      </c>
      <c r="B1895" t="s">
        <v>4963</v>
      </c>
      <c r="C1895" t="s">
        <v>4962</v>
      </c>
    </row>
    <row r="1896" spans="1:3" x14ac:dyDescent="0.25">
      <c r="A1896" t="s">
        <v>4964</v>
      </c>
      <c r="B1896" t="s">
        <v>4965</v>
      </c>
      <c r="C1896" t="s">
        <v>4964</v>
      </c>
    </row>
    <row r="1897" spans="1:3" x14ac:dyDescent="0.25">
      <c r="A1897" t="s">
        <v>4966</v>
      </c>
      <c r="B1897" t="s">
        <v>4967</v>
      </c>
      <c r="C1897" t="s">
        <v>4966</v>
      </c>
    </row>
    <row r="1898" spans="1:3" x14ac:dyDescent="0.25">
      <c r="A1898" t="s">
        <v>4968</v>
      </c>
      <c r="B1898" t="s">
        <v>4969</v>
      </c>
      <c r="C1898" t="s">
        <v>4968</v>
      </c>
    </row>
    <row r="1899" spans="1:3" x14ac:dyDescent="0.25">
      <c r="A1899" t="s">
        <v>646</v>
      </c>
      <c r="B1899" t="s">
        <v>4970</v>
      </c>
      <c r="C1899" t="s">
        <v>646</v>
      </c>
    </row>
    <row r="1900" spans="1:3" x14ac:dyDescent="0.25">
      <c r="A1900" t="s">
        <v>4971</v>
      </c>
      <c r="B1900" t="s">
        <v>4972</v>
      </c>
      <c r="C1900" t="s">
        <v>4971</v>
      </c>
    </row>
    <row r="1901" spans="1:3" x14ac:dyDescent="0.25">
      <c r="A1901" t="s">
        <v>931</v>
      </c>
      <c r="B1901" t="s">
        <v>2127</v>
      </c>
      <c r="C1901" t="s">
        <v>931</v>
      </c>
    </row>
    <row r="1902" spans="1:3" x14ac:dyDescent="0.25">
      <c r="A1902" t="s">
        <v>506</v>
      </c>
      <c r="B1902" t="s">
        <v>4973</v>
      </c>
      <c r="C1902" t="s">
        <v>506</v>
      </c>
    </row>
    <row r="1903" spans="1:3" x14ac:dyDescent="0.25">
      <c r="A1903" t="s">
        <v>510</v>
      </c>
      <c r="B1903" t="s">
        <v>4974</v>
      </c>
      <c r="C1903" t="s">
        <v>510</v>
      </c>
    </row>
    <row r="1904" spans="1:3" x14ac:dyDescent="0.25">
      <c r="A1904" t="s">
        <v>973</v>
      </c>
      <c r="B1904" t="s">
        <v>4975</v>
      </c>
      <c r="C1904" t="s">
        <v>973</v>
      </c>
    </row>
    <row r="1905" spans="1:3" x14ac:dyDescent="0.25">
      <c r="A1905" t="s">
        <v>989</v>
      </c>
      <c r="B1905" t="s">
        <v>4976</v>
      </c>
      <c r="C1905" t="s">
        <v>989</v>
      </c>
    </row>
    <row r="1906" spans="1:3" x14ac:dyDescent="0.25">
      <c r="A1906" t="s">
        <v>991</v>
      </c>
      <c r="B1906" t="s">
        <v>4977</v>
      </c>
      <c r="C1906" t="s">
        <v>991</v>
      </c>
    </row>
    <row r="1907" spans="1:3" x14ac:dyDescent="0.25">
      <c r="A1907" t="s">
        <v>993</v>
      </c>
      <c r="B1907" t="s">
        <v>4978</v>
      </c>
      <c r="C1907" t="s">
        <v>993</v>
      </c>
    </row>
    <row r="1908" spans="1:3" x14ac:dyDescent="0.25">
      <c r="A1908" t="s">
        <v>995</v>
      </c>
      <c r="B1908" t="s">
        <v>4979</v>
      </c>
      <c r="C1908" t="s">
        <v>995</v>
      </c>
    </row>
    <row r="1909" spans="1:3" x14ac:dyDescent="0.25">
      <c r="A1909" t="s">
        <v>997</v>
      </c>
      <c r="B1909" t="s">
        <v>4980</v>
      </c>
      <c r="C1909" t="s">
        <v>997</v>
      </c>
    </row>
    <row r="1910" spans="1:3" x14ac:dyDescent="0.25">
      <c r="A1910" t="s">
        <v>999</v>
      </c>
      <c r="B1910" t="s">
        <v>4981</v>
      </c>
      <c r="C1910" t="s">
        <v>999</v>
      </c>
    </row>
    <row r="1911" spans="1:3" x14ac:dyDescent="0.25">
      <c r="A1911" t="s">
        <v>1001</v>
      </c>
      <c r="B1911" t="s">
        <v>4982</v>
      </c>
      <c r="C1911" t="s">
        <v>1001</v>
      </c>
    </row>
    <row r="1912" spans="1:3" x14ac:dyDescent="0.25">
      <c r="A1912" t="s">
        <v>1007</v>
      </c>
      <c r="B1912" t="s">
        <v>4983</v>
      </c>
      <c r="C1912" t="s">
        <v>1007</v>
      </c>
    </row>
    <row r="1913" spans="1:3" x14ac:dyDescent="0.25">
      <c r="A1913" t="s">
        <v>1011</v>
      </c>
      <c r="B1913" t="s">
        <v>4984</v>
      </c>
      <c r="C1913" t="s">
        <v>1011</v>
      </c>
    </row>
    <row r="1914" spans="1:3" x14ac:dyDescent="0.25">
      <c r="A1914" t="s">
        <v>1013</v>
      </c>
      <c r="B1914" t="s">
        <v>4985</v>
      </c>
      <c r="C1914" t="s">
        <v>1013</v>
      </c>
    </row>
    <row r="1915" spans="1:3" x14ac:dyDescent="0.25">
      <c r="A1915" t="s">
        <v>1015</v>
      </c>
      <c r="B1915" t="s">
        <v>4986</v>
      </c>
      <c r="C1915" t="s">
        <v>1015</v>
      </c>
    </row>
    <row r="1916" spans="1:3" x14ac:dyDescent="0.25">
      <c r="A1916" t="s">
        <v>1017</v>
      </c>
      <c r="B1916" t="s">
        <v>4987</v>
      </c>
      <c r="C1916" t="s">
        <v>1017</v>
      </c>
    </row>
    <row r="1917" spans="1:3" x14ac:dyDescent="0.25">
      <c r="A1917" t="s">
        <v>1019</v>
      </c>
      <c r="B1917" t="s">
        <v>4988</v>
      </c>
      <c r="C1917" t="s">
        <v>1019</v>
      </c>
    </row>
    <row r="1918" spans="1:3" x14ac:dyDescent="0.25">
      <c r="A1918" t="s">
        <v>1021</v>
      </c>
      <c r="B1918" t="s">
        <v>4989</v>
      </c>
      <c r="C1918" t="s">
        <v>1021</v>
      </c>
    </row>
    <row r="1919" spans="1:3" x14ac:dyDescent="0.25">
      <c r="A1919" t="s">
        <v>1023</v>
      </c>
      <c r="B1919" t="s">
        <v>4990</v>
      </c>
      <c r="C1919" t="s">
        <v>1023</v>
      </c>
    </row>
    <row r="1920" spans="1:3" x14ac:dyDescent="0.25">
      <c r="A1920" t="s">
        <v>1025</v>
      </c>
      <c r="B1920" t="s">
        <v>4991</v>
      </c>
      <c r="C1920" t="s">
        <v>1025</v>
      </c>
    </row>
    <row r="1921" spans="1:3" x14ac:dyDescent="0.25">
      <c r="A1921" t="s">
        <v>1029</v>
      </c>
      <c r="B1921" t="s">
        <v>4992</v>
      </c>
      <c r="C1921" t="s">
        <v>1029</v>
      </c>
    </row>
    <row r="1922" spans="1:3" x14ac:dyDescent="0.25">
      <c r="A1922" t="s">
        <v>1033</v>
      </c>
      <c r="B1922" t="s">
        <v>4993</v>
      </c>
      <c r="C1922" t="s">
        <v>1033</v>
      </c>
    </row>
    <row r="1923" spans="1:3" x14ac:dyDescent="0.25">
      <c r="A1923" t="s">
        <v>1047</v>
      </c>
      <c r="B1923" t="s">
        <v>4994</v>
      </c>
      <c r="C1923" t="s">
        <v>1047</v>
      </c>
    </row>
    <row r="1924" spans="1:3" x14ac:dyDescent="0.25">
      <c r="A1924" t="s">
        <v>1063</v>
      </c>
      <c r="B1924" t="s">
        <v>4995</v>
      </c>
      <c r="C1924" t="s">
        <v>1063</v>
      </c>
    </row>
    <row r="1925" spans="1:3" x14ac:dyDescent="0.25">
      <c r="A1925" t="s">
        <v>1073</v>
      </c>
      <c r="B1925" t="s">
        <v>4996</v>
      </c>
      <c r="C1925" t="s">
        <v>1073</v>
      </c>
    </row>
    <row r="1926" spans="1:3" x14ac:dyDescent="0.25">
      <c r="A1926" t="s">
        <v>1075</v>
      </c>
      <c r="B1926" t="s">
        <v>4997</v>
      </c>
      <c r="C1926" t="s">
        <v>1075</v>
      </c>
    </row>
    <row r="1927" spans="1:3" x14ac:dyDescent="0.25">
      <c r="A1927" t="s">
        <v>1077</v>
      </c>
      <c r="B1927" t="s">
        <v>4998</v>
      </c>
      <c r="C1927" t="s">
        <v>1077</v>
      </c>
    </row>
    <row r="1928" spans="1:3" x14ac:dyDescent="0.25">
      <c r="A1928" t="s">
        <v>1079</v>
      </c>
      <c r="B1928" t="s">
        <v>4999</v>
      </c>
      <c r="C1928" t="s">
        <v>1079</v>
      </c>
    </row>
    <row r="1929" spans="1:3" x14ac:dyDescent="0.25">
      <c r="A1929" t="s">
        <v>1081</v>
      </c>
      <c r="B1929" t="s">
        <v>5000</v>
      </c>
      <c r="C1929" t="s">
        <v>1081</v>
      </c>
    </row>
    <row r="1930" spans="1:3" x14ac:dyDescent="0.25">
      <c r="A1930" t="s">
        <v>1087</v>
      </c>
      <c r="B1930" t="s">
        <v>5001</v>
      </c>
      <c r="C1930" t="s">
        <v>1087</v>
      </c>
    </row>
    <row r="1931" spans="1:3" x14ac:dyDescent="0.25">
      <c r="A1931" t="s">
        <v>1105</v>
      </c>
      <c r="B1931" t="s">
        <v>5002</v>
      </c>
      <c r="C1931" t="s">
        <v>1105</v>
      </c>
    </row>
    <row r="1932" spans="1:3" x14ac:dyDescent="0.25">
      <c r="A1932" t="s">
        <v>1113</v>
      </c>
      <c r="B1932" t="s">
        <v>5003</v>
      </c>
      <c r="C1932" t="s">
        <v>1113</v>
      </c>
    </row>
    <row r="1933" spans="1:3" x14ac:dyDescent="0.25">
      <c r="A1933" t="s">
        <v>1115</v>
      </c>
      <c r="B1933" t="s">
        <v>5004</v>
      </c>
      <c r="C1933" t="s">
        <v>1115</v>
      </c>
    </row>
    <row r="1934" spans="1:3" x14ac:dyDescent="0.25">
      <c r="A1934" t="s">
        <v>1117</v>
      </c>
      <c r="B1934" t="s">
        <v>5005</v>
      </c>
      <c r="C1934" t="s">
        <v>1117</v>
      </c>
    </row>
    <row r="1935" spans="1:3" x14ac:dyDescent="0.25">
      <c r="A1935" t="s">
        <v>1189</v>
      </c>
      <c r="B1935" t="s">
        <v>5006</v>
      </c>
      <c r="C1935" t="s">
        <v>1189</v>
      </c>
    </row>
    <row r="1936" spans="1:3" x14ac:dyDescent="0.25">
      <c r="A1936" t="s">
        <v>1227</v>
      </c>
      <c r="B1936" t="s">
        <v>5007</v>
      </c>
      <c r="C1936" t="s">
        <v>1227</v>
      </c>
    </row>
    <row r="1937" spans="1:3" x14ac:dyDescent="0.25">
      <c r="A1937" t="s">
        <v>1546</v>
      </c>
      <c r="B1937" t="s">
        <v>5008</v>
      </c>
      <c r="C1937" t="s">
        <v>1546</v>
      </c>
    </row>
    <row r="1938" spans="1:3" x14ac:dyDescent="0.25">
      <c r="A1938" t="s">
        <v>1550</v>
      </c>
      <c r="B1938" t="s">
        <v>5009</v>
      </c>
      <c r="C1938" t="s">
        <v>1550</v>
      </c>
    </row>
    <row r="1939" spans="1:3" x14ac:dyDescent="0.25">
      <c r="A1939" t="s">
        <v>1689</v>
      </c>
      <c r="B1939" t="s">
        <v>5010</v>
      </c>
      <c r="C1939" t="s">
        <v>1689</v>
      </c>
    </row>
    <row r="1940" spans="1:3" x14ac:dyDescent="0.25">
      <c r="A1940" t="s">
        <v>1692</v>
      </c>
      <c r="B1940" t="s">
        <v>5011</v>
      </c>
      <c r="C1940" t="s">
        <v>1692</v>
      </c>
    </row>
    <row r="1941" spans="1:3" x14ac:dyDescent="0.25">
      <c r="A1941" t="s">
        <v>1695</v>
      </c>
      <c r="B1941" t="s">
        <v>5012</v>
      </c>
      <c r="C1941" t="s">
        <v>1695</v>
      </c>
    </row>
    <row r="1942" spans="1:3" x14ac:dyDescent="0.25">
      <c r="A1942" t="s">
        <v>1698</v>
      </c>
      <c r="B1942" t="s">
        <v>5013</v>
      </c>
      <c r="C1942" t="s">
        <v>1698</v>
      </c>
    </row>
    <row r="1943" spans="1:3" x14ac:dyDescent="0.25">
      <c r="A1943" t="s">
        <v>1761</v>
      </c>
      <c r="B1943" t="s">
        <v>5014</v>
      </c>
      <c r="C1943" t="s">
        <v>1761</v>
      </c>
    </row>
    <row r="1944" spans="1:3" x14ac:dyDescent="0.25">
      <c r="A1944" t="s">
        <v>1774</v>
      </c>
      <c r="B1944" t="s">
        <v>5015</v>
      </c>
      <c r="C1944" t="s">
        <v>1774</v>
      </c>
    </row>
    <row r="1945" spans="1:3" x14ac:dyDescent="0.25">
      <c r="A1945" t="s">
        <v>1141</v>
      </c>
      <c r="B1945" t="s">
        <v>5016</v>
      </c>
      <c r="C1945" t="s">
        <v>1141</v>
      </c>
    </row>
    <row r="1946" spans="1:3" x14ac:dyDescent="0.25">
      <c r="A1946" t="s">
        <v>1145</v>
      </c>
      <c r="B1946" t="s">
        <v>5017</v>
      </c>
      <c r="C1946" t="s">
        <v>1145</v>
      </c>
    </row>
    <row r="1947" spans="1:3" x14ac:dyDescent="0.25">
      <c r="A1947" t="s">
        <v>1147</v>
      </c>
      <c r="B1947" t="s">
        <v>5018</v>
      </c>
      <c r="C1947" t="s">
        <v>1147</v>
      </c>
    </row>
    <row r="1948" spans="1:3" x14ac:dyDescent="0.25">
      <c r="A1948" t="s">
        <v>1151</v>
      </c>
      <c r="B1948" t="s">
        <v>5019</v>
      </c>
      <c r="C1948" t="s">
        <v>1151</v>
      </c>
    </row>
    <row r="1949" spans="1:3" x14ac:dyDescent="0.25">
      <c r="A1949" t="s">
        <v>1153</v>
      </c>
      <c r="B1949" t="s">
        <v>5020</v>
      </c>
      <c r="C1949" t="s">
        <v>1153</v>
      </c>
    </row>
    <row r="1950" spans="1:3" x14ac:dyDescent="0.25">
      <c r="A1950" t="s">
        <v>1161</v>
      </c>
      <c r="B1950" t="s">
        <v>5021</v>
      </c>
      <c r="C1950" t="s">
        <v>1161</v>
      </c>
    </row>
    <row r="1951" spans="1:3" x14ac:dyDescent="0.25">
      <c r="A1951" t="s">
        <v>1163</v>
      </c>
      <c r="B1951" t="s">
        <v>5022</v>
      </c>
      <c r="C1951" t="s">
        <v>1163</v>
      </c>
    </row>
    <row r="1952" spans="1:3" x14ac:dyDescent="0.25">
      <c r="A1952" t="s">
        <v>1165</v>
      </c>
      <c r="B1952" t="s">
        <v>5023</v>
      </c>
      <c r="C1952" t="s">
        <v>1165</v>
      </c>
    </row>
    <row r="1953" spans="1:3" x14ac:dyDescent="0.25">
      <c r="A1953" t="s">
        <v>1169</v>
      </c>
      <c r="B1953" t="s">
        <v>5024</v>
      </c>
      <c r="C1953" t="s">
        <v>1169</v>
      </c>
    </row>
    <row r="1954" spans="1:3" x14ac:dyDescent="0.25">
      <c r="A1954" t="s">
        <v>1175</v>
      </c>
      <c r="B1954" t="s">
        <v>5025</v>
      </c>
      <c r="C1954" t="s">
        <v>1175</v>
      </c>
    </row>
    <row r="1955" spans="1:3" x14ac:dyDescent="0.25">
      <c r="A1955" t="s">
        <v>1179</v>
      </c>
      <c r="B1955" t="s">
        <v>5026</v>
      </c>
      <c r="C1955" t="s">
        <v>1179</v>
      </c>
    </row>
    <row r="1956" spans="1:3" x14ac:dyDescent="0.25">
      <c r="A1956" t="s">
        <v>1195</v>
      </c>
      <c r="B1956" t="s">
        <v>5027</v>
      </c>
      <c r="C1956" t="s">
        <v>1195</v>
      </c>
    </row>
    <row r="1957" spans="1:3" x14ac:dyDescent="0.25">
      <c r="A1957" t="s">
        <v>1197</v>
      </c>
      <c r="B1957" t="s">
        <v>5028</v>
      </c>
      <c r="C1957" t="s">
        <v>1197</v>
      </c>
    </row>
    <row r="1958" spans="1:3" x14ac:dyDescent="0.25">
      <c r="A1958" t="s">
        <v>1199</v>
      </c>
      <c r="B1958" t="s">
        <v>5029</v>
      </c>
      <c r="C1958" t="s">
        <v>1199</v>
      </c>
    </row>
    <row r="1959" spans="1:3" x14ac:dyDescent="0.25">
      <c r="A1959" t="s">
        <v>1201</v>
      </c>
      <c r="B1959" t="s">
        <v>5030</v>
      </c>
      <c r="C1959" t="s">
        <v>1201</v>
      </c>
    </row>
    <row r="1960" spans="1:3" x14ac:dyDescent="0.25">
      <c r="A1960" t="s">
        <v>1203</v>
      </c>
      <c r="B1960" t="s">
        <v>5031</v>
      </c>
      <c r="C1960" t="s">
        <v>1203</v>
      </c>
    </row>
    <row r="1961" spans="1:3" x14ac:dyDescent="0.25">
      <c r="A1961" t="s">
        <v>1205</v>
      </c>
      <c r="B1961" t="s">
        <v>5032</v>
      </c>
      <c r="C1961" t="s">
        <v>1205</v>
      </c>
    </row>
    <row r="1962" spans="1:3" x14ac:dyDescent="0.25">
      <c r="A1962" t="s">
        <v>1223</v>
      </c>
      <c r="B1962" t="s">
        <v>5033</v>
      </c>
      <c r="C1962" t="s">
        <v>1223</v>
      </c>
    </row>
    <row r="1963" spans="1:3" x14ac:dyDescent="0.25">
      <c r="A1963" t="s">
        <v>1235</v>
      </c>
      <c r="B1963" t="s">
        <v>5034</v>
      </c>
      <c r="C1963" t="s">
        <v>1235</v>
      </c>
    </row>
    <row r="1964" spans="1:3" x14ac:dyDescent="0.25">
      <c r="A1964" t="s">
        <v>1237</v>
      </c>
      <c r="B1964" t="s">
        <v>5035</v>
      </c>
      <c r="C1964" t="s">
        <v>1237</v>
      </c>
    </row>
    <row r="1965" spans="1:3" x14ac:dyDescent="0.25">
      <c r="A1965" t="s">
        <v>1243</v>
      </c>
      <c r="B1965" t="s">
        <v>5036</v>
      </c>
      <c r="C1965" t="s">
        <v>1243</v>
      </c>
    </row>
    <row r="1966" spans="1:3" x14ac:dyDescent="0.25">
      <c r="A1966" t="s">
        <v>1245</v>
      </c>
      <c r="B1966" t="s">
        <v>5037</v>
      </c>
      <c r="C1966" t="s">
        <v>1245</v>
      </c>
    </row>
    <row r="1967" spans="1:3" x14ac:dyDescent="0.25">
      <c r="A1967" t="s">
        <v>1249</v>
      </c>
      <c r="B1967" t="s">
        <v>5038</v>
      </c>
      <c r="C1967" t="s">
        <v>1249</v>
      </c>
    </row>
    <row r="1968" spans="1:3" x14ac:dyDescent="0.25">
      <c r="A1968" t="s">
        <v>1252</v>
      </c>
      <c r="B1968" t="s">
        <v>5039</v>
      </c>
      <c r="C1968" t="s">
        <v>1252</v>
      </c>
    </row>
    <row r="1969" spans="1:3" x14ac:dyDescent="0.25">
      <c r="A1969" t="s">
        <v>1265</v>
      </c>
      <c r="B1969" t="s">
        <v>5040</v>
      </c>
      <c r="C1969" t="s">
        <v>1265</v>
      </c>
    </row>
    <row r="1970" spans="1:3" x14ac:dyDescent="0.25">
      <c r="A1970" t="s">
        <v>1268</v>
      </c>
      <c r="B1970" t="s">
        <v>5041</v>
      </c>
      <c r="C1970" t="s">
        <v>1268</v>
      </c>
    </row>
    <row r="1971" spans="1:3" x14ac:dyDescent="0.25">
      <c r="A1971" t="s">
        <v>1273</v>
      </c>
      <c r="B1971" t="s">
        <v>5042</v>
      </c>
      <c r="C1971" t="s">
        <v>1273</v>
      </c>
    </row>
    <row r="1972" spans="1:3" x14ac:dyDescent="0.25">
      <c r="A1972" t="s">
        <v>1277</v>
      </c>
      <c r="B1972" t="s">
        <v>5043</v>
      </c>
      <c r="C1972" t="s">
        <v>1277</v>
      </c>
    </row>
    <row r="1973" spans="1:3" x14ac:dyDescent="0.25">
      <c r="A1973" t="s">
        <v>1280</v>
      </c>
      <c r="B1973" t="s">
        <v>5044</v>
      </c>
      <c r="C1973" t="s">
        <v>1280</v>
      </c>
    </row>
    <row r="1974" spans="1:3" x14ac:dyDescent="0.25">
      <c r="A1974" t="s">
        <v>1298</v>
      </c>
      <c r="B1974" t="s">
        <v>5045</v>
      </c>
      <c r="C1974" t="s">
        <v>1298</v>
      </c>
    </row>
    <row r="1975" spans="1:3" x14ac:dyDescent="0.25">
      <c r="A1975" t="s">
        <v>1309</v>
      </c>
      <c r="B1975" t="s">
        <v>5046</v>
      </c>
      <c r="C1975" t="s">
        <v>1309</v>
      </c>
    </row>
    <row r="1976" spans="1:3" x14ac:dyDescent="0.25">
      <c r="A1976" t="s">
        <v>1314</v>
      </c>
      <c r="B1976" t="s">
        <v>5047</v>
      </c>
      <c r="C1976" t="s">
        <v>1314</v>
      </c>
    </row>
    <row r="1977" spans="1:3" x14ac:dyDescent="0.25">
      <c r="A1977" t="s">
        <v>1323</v>
      </c>
      <c r="B1977" t="s">
        <v>5048</v>
      </c>
      <c r="C1977" t="s">
        <v>1323</v>
      </c>
    </row>
    <row r="1978" spans="1:3" x14ac:dyDescent="0.25">
      <c r="A1978" t="s">
        <v>1326</v>
      </c>
      <c r="B1978" t="s">
        <v>5049</v>
      </c>
      <c r="C1978" t="s">
        <v>1326</v>
      </c>
    </row>
    <row r="1979" spans="1:3" x14ac:dyDescent="0.25">
      <c r="A1979" t="s">
        <v>1331</v>
      </c>
      <c r="B1979" t="s">
        <v>5050</v>
      </c>
      <c r="C1979" t="s">
        <v>1331</v>
      </c>
    </row>
    <row r="1980" spans="1:3" x14ac:dyDescent="0.25">
      <c r="A1980" t="s">
        <v>1341</v>
      </c>
      <c r="B1980" t="s">
        <v>5051</v>
      </c>
      <c r="C1980" t="s">
        <v>1341</v>
      </c>
    </row>
    <row r="1981" spans="1:3" x14ac:dyDescent="0.25">
      <c r="A1981" t="s">
        <v>1377</v>
      </c>
      <c r="B1981" t="s">
        <v>5052</v>
      </c>
      <c r="C1981" t="s">
        <v>1377</v>
      </c>
    </row>
    <row r="1982" spans="1:3" x14ac:dyDescent="0.25">
      <c r="A1982" t="s">
        <v>1386</v>
      </c>
      <c r="B1982" t="s">
        <v>5053</v>
      </c>
      <c r="C1982" t="s">
        <v>1386</v>
      </c>
    </row>
    <row r="1983" spans="1:3" x14ac:dyDescent="0.25">
      <c r="A1983" t="s">
        <v>1389</v>
      </c>
      <c r="B1983" t="s">
        <v>5054</v>
      </c>
      <c r="C1983" t="s">
        <v>1389</v>
      </c>
    </row>
    <row r="1984" spans="1:3" x14ac:dyDescent="0.25">
      <c r="A1984" t="s">
        <v>1439</v>
      </c>
      <c r="B1984" t="s">
        <v>5055</v>
      </c>
      <c r="C1984" t="s">
        <v>1439</v>
      </c>
    </row>
    <row r="1985" spans="1:3" x14ac:dyDescent="0.25">
      <c r="A1985" t="s">
        <v>1441</v>
      </c>
      <c r="B1985" t="s">
        <v>5056</v>
      </c>
      <c r="C1985" t="s">
        <v>1441</v>
      </c>
    </row>
    <row r="1986" spans="1:3" x14ac:dyDescent="0.25">
      <c r="A1986" t="s">
        <v>1450</v>
      </c>
      <c r="B1986" t="s">
        <v>5057</v>
      </c>
      <c r="C1986" t="s">
        <v>1450</v>
      </c>
    </row>
    <row r="1987" spans="1:3" x14ac:dyDescent="0.25">
      <c r="A1987" t="s">
        <v>1467</v>
      </c>
      <c r="B1987" t="s">
        <v>5058</v>
      </c>
      <c r="C1987" t="s">
        <v>1467</v>
      </c>
    </row>
    <row r="1988" spans="1:3" x14ac:dyDescent="0.25">
      <c r="A1988" t="s">
        <v>951</v>
      </c>
      <c r="B1988" t="s">
        <v>5059</v>
      </c>
      <c r="C1988" t="s">
        <v>951</v>
      </c>
    </row>
    <row r="1989" spans="1:3" x14ac:dyDescent="0.25">
      <c r="A1989" t="s">
        <v>1513</v>
      </c>
      <c r="B1989" t="s">
        <v>5060</v>
      </c>
      <c r="C1989" t="s">
        <v>1513</v>
      </c>
    </row>
    <row r="1990" spans="1:3" x14ac:dyDescent="0.25">
      <c r="A1990" t="s">
        <v>1517</v>
      </c>
      <c r="B1990" t="s">
        <v>5061</v>
      </c>
      <c r="C1990" t="s">
        <v>1517</v>
      </c>
    </row>
    <row r="1991" spans="1:3" x14ac:dyDescent="0.25">
      <c r="A1991" t="s">
        <v>1519</v>
      </c>
      <c r="B1991" t="s">
        <v>5062</v>
      </c>
      <c r="C1991" t="s">
        <v>1519</v>
      </c>
    </row>
    <row r="1992" spans="1:3" x14ac:dyDescent="0.25">
      <c r="A1992" t="s">
        <v>1521</v>
      </c>
      <c r="B1992" t="s">
        <v>5063</v>
      </c>
      <c r="C1992" t="s">
        <v>1521</v>
      </c>
    </row>
    <row r="1993" spans="1:3" x14ac:dyDescent="0.25">
      <c r="A1993" t="s">
        <v>1523</v>
      </c>
      <c r="B1993" t="s">
        <v>5064</v>
      </c>
      <c r="C1993" t="s">
        <v>1523</v>
      </c>
    </row>
    <row r="1994" spans="1:3" x14ac:dyDescent="0.25">
      <c r="A1994" t="s">
        <v>1525</v>
      </c>
      <c r="B1994" t="s">
        <v>5065</v>
      </c>
      <c r="C1994" t="s">
        <v>1525</v>
      </c>
    </row>
    <row r="1995" spans="1:3" x14ac:dyDescent="0.25">
      <c r="A1995" t="s">
        <v>1796</v>
      </c>
      <c r="B1995" t="s">
        <v>5066</v>
      </c>
      <c r="C1995" t="s">
        <v>1796</v>
      </c>
    </row>
    <row r="1996" spans="1:3" x14ac:dyDescent="0.25">
      <c r="A1996" t="s">
        <v>1528</v>
      </c>
      <c r="B1996" t="s">
        <v>5067</v>
      </c>
      <c r="C1996" t="s">
        <v>1528</v>
      </c>
    </row>
    <row r="1997" spans="1:3" x14ac:dyDescent="0.25">
      <c r="A1997" t="s">
        <v>1532</v>
      </c>
      <c r="B1997" t="s">
        <v>5068</v>
      </c>
      <c r="C1997" t="s">
        <v>1532</v>
      </c>
    </row>
    <row r="1998" spans="1:3" x14ac:dyDescent="0.25">
      <c r="A1998" t="s">
        <v>1536</v>
      </c>
      <c r="B1998" t="s">
        <v>5069</v>
      </c>
      <c r="C1998" t="s">
        <v>1536</v>
      </c>
    </row>
    <row r="1999" spans="1:3" x14ac:dyDescent="0.25">
      <c r="A1999" t="s">
        <v>1538</v>
      </c>
      <c r="B1999" t="s">
        <v>5070</v>
      </c>
      <c r="C1999" t="s">
        <v>1538</v>
      </c>
    </row>
    <row r="2000" spans="1:3" x14ac:dyDescent="0.25">
      <c r="A2000" t="s">
        <v>1540</v>
      </c>
      <c r="B2000" t="s">
        <v>5071</v>
      </c>
      <c r="C2000" t="s">
        <v>1540</v>
      </c>
    </row>
    <row r="2001" spans="1:3" x14ac:dyDescent="0.25">
      <c r="A2001" t="s">
        <v>1542</v>
      </c>
      <c r="B2001" t="s">
        <v>5072</v>
      </c>
      <c r="C2001" t="s">
        <v>1542</v>
      </c>
    </row>
    <row r="2002" spans="1:3" x14ac:dyDescent="0.25">
      <c r="A2002" t="s">
        <v>1544</v>
      </c>
      <c r="B2002" t="s">
        <v>5073</v>
      </c>
      <c r="C2002" t="s">
        <v>1544</v>
      </c>
    </row>
    <row r="2003" spans="1:3" x14ac:dyDescent="0.25">
      <c r="A2003" t="s">
        <v>1577</v>
      </c>
      <c r="B2003" t="s">
        <v>5074</v>
      </c>
      <c r="C2003" t="s">
        <v>1577</v>
      </c>
    </row>
    <row r="2004" spans="1:3" x14ac:dyDescent="0.25">
      <c r="A2004" t="s">
        <v>1592</v>
      </c>
      <c r="B2004" t="s">
        <v>5075</v>
      </c>
      <c r="C2004" t="s">
        <v>1592</v>
      </c>
    </row>
    <row r="2005" spans="1:3" x14ac:dyDescent="0.25">
      <c r="A2005" t="s">
        <v>1596</v>
      </c>
      <c r="B2005" t="s">
        <v>5076</v>
      </c>
      <c r="C2005" t="s">
        <v>1596</v>
      </c>
    </row>
    <row r="2006" spans="1:3" x14ac:dyDescent="0.25">
      <c r="A2006" t="s">
        <v>1599</v>
      </c>
      <c r="B2006" t="s">
        <v>5077</v>
      </c>
      <c r="C2006" t="s">
        <v>1599</v>
      </c>
    </row>
    <row r="2007" spans="1:3" x14ac:dyDescent="0.25">
      <c r="A2007" t="s">
        <v>1604</v>
      </c>
      <c r="B2007" t="s">
        <v>5078</v>
      </c>
      <c r="C2007" t="s">
        <v>1604</v>
      </c>
    </row>
    <row r="2008" spans="1:3" x14ac:dyDescent="0.25">
      <c r="A2008" t="s">
        <v>1608</v>
      </c>
      <c r="B2008" t="s">
        <v>5079</v>
      </c>
      <c r="C2008" t="s">
        <v>1608</v>
      </c>
    </row>
    <row r="2009" spans="1:3" x14ac:dyDescent="0.25">
      <c r="A2009" t="s">
        <v>1612</v>
      </c>
      <c r="B2009" t="s">
        <v>5080</v>
      </c>
      <c r="C2009" t="s">
        <v>1612</v>
      </c>
    </row>
    <row r="2010" spans="1:3" x14ac:dyDescent="0.25">
      <c r="A2010" t="s">
        <v>1637</v>
      </c>
      <c r="B2010" t="s">
        <v>5081</v>
      </c>
      <c r="C2010" t="s">
        <v>1637</v>
      </c>
    </row>
    <row r="2011" spans="1:3" x14ac:dyDescent="0.25">
      <c r="A2011" t="s">
        <v>1642</v>
      </c>
      <c r="B2011" t="s">
        <v>5082</v>
      </c>
      <c r="C2011" t="s">
        <v>1642</v>
      </c>
    </row>
    <row r="2012" spans="1:3" x14ac:dyDescent="0.25">
      <c r="A2012" t="s">
        <v>1650</v>
      </c>
      <c r="B2012" t="s">
        <v>5083</v>
      </c>
      <c r="C2012" t="s">
        <v>1650</v>
      </c>
    </row>
    <row r="2013" spans="1:3" x14ac:dyDescent="0.25">
      <c r="A2013" t="s">
        <v>1658</v>
      </c>
      <c r="B2013" t="s">
        <v>5084</v>
      </c>
      <c r="C2013" t="s">
        <v>1658</v>
      </c>
    </row>
    <row r="2014" spans="1:3" x14ac:dyDescent="0.25">
      <c r="A2014" t="s">
        <v>1662</v>
      </c>
      <c r="B2014" t="s">
        <v>5085</v>
      </c>
      <c r="C2014" t="s">
        <v>1662</v>
      </c>
    </row>
    <row r="2015" spans="1:3" x14ac:dyDescent="0.25">
      <c r="A2015" t="s">
        <v>1157</v>
      </c>
      <c r="B2015" t="s">
        <v>5086</v>
      </c>
      <c r="C2015" t="s">
        <v>1157</v>
      </c>
    </row>
    <row r="2016" spans="1:3" x14ac:dyDescent="0.25">
      <c r="A2016" t="s">
        <v>987</v>
      </c>
      <c r="B2016" t="s">
        <v>5087</v>
      </c>
      <c r="C2016" t="s">
        <v>987</v>
      </c>
    </row>
    <row r="2017" spans="1:3" x14ac:dyDescent="0.25">
      <c r="A2017" t="s">
        <v>5088</v>
      </c>
      <c r="B2017" t="s">
        <v>5089</v>
      </c>
      <c r="C2017" t="s">
        <v>5088</v>
      </c>
    </row>
    <row r="2018" spans="1:3" x14ac:dyDescent="0.25">
      <c r="A2018" t="s">
        <v>5090</v>
      </c>
      <c r="B2018" t="s">
        <v>5091</v>
      </c>
      <c r="C2018" t="s">
        <v>5090</v>
      </c>
    </row>
    <row r="2019" spans="1:3" x14ac:dyDescent="0.25">
      <c r="A2019" t="s">
        <v>1673</v>
      </c>
      <c r="B2019" t="s">
        <v>5092</v>
      </c>
      <c r="C2019" t="s">
        <v>1673</v>
      </c>
    </row>
    <row r="2020" spans="1:3" x14ac:dyDescent="0.25">
      <c r="A2020" t="s">
        <v>1676</v>
      </c>
      <c r="B2020" t="s">
        <v>5092</v>
      </c>
      <c r="C2020" t="s">
        <v>1676</v>
      </c>
    </row>
    <row r="2021" spans="1:3" x14ac:dyDescent="0.25">
      <c r="A2021" t="s">
        <v>1679</v>
      </c>
      <c r="B2021" t="s">
        <v>5092</v>
      </c>
      <c r="C2021" t="s">
        <v>1679</v>
      </c>
    </row>
    <row r="2022" spans="1:3" x14ac:dyDescent="0.25">
      <c r="A2022" t="s">
        <v>1682</v>
      </c>
      <c r="B2022" t="s">
        <v>5092</v>
      </c>
      <c r="C2022" t="s">
        <v>1682</v>
      </c>
    </row>
    <row r="2023" spans="1:3" x14ac:dyDescent="0.25">
      <c r="A2023" t="s">
        <v>1684</v>
      </c>
      <c r="B2023" t="s">
        <v>5092</v>
      </c>
      <c r="C2023" t="s">
        <v>1684</v>
      </c>
    </row>
    <row r="2024" spans="1:3" x14ac:dyDescent="0.25">
      <c r="A2024" t="s">
        <v>1686</v>
      </c>
      <c r="B2024" t="s">
        <v>5092</v>
      </c>
      <c r="C2024" t="s">
        <v>1686</v>
      </c>
    </row>
    <row r="2025" spans="1:3" x14ac:dyDescent="0.25">
      <c r="A2025" t="s">
        <v>1689</v>
      </c>
      <c r="B2025" t="s">
        <v>5092</v>
      </c>
      <c r="C2025" t="s">
        <v>1689</v>
      </c>
    </row>
    <row r="2026" spans="1:3" x14ac:dyDescent="0.25">
      <c r="A2026" t="s">
        <v>1692</v>
      </c>
      <c r="B2026" t="s">
        <v>5092</v>
      </c>
      <c r="C2026" t="s">
        <v>1692</v>
      </c>
    </row>
    <row r="2027" spans="1:3" x14ac:dyDescent="0.25">
      <c r="A2027" t="s">
        <v>5093</v>
      </c>
      <c r="B2027" t="s">
        <v>5092</v>
      </c>
      <c r="C2027" t="s">
        <v>5093</v>
      </c>
    </row>
    <row r="2028" spans="1:3" x14ac:dyDescent="0.25">
      <c r="A2028" t="s">
        <v>5094</v>
      </c>
      <c r="B2028" t="s">
        <v>5092</v>
      </c>
      <c r="C2028" t="s">
        <v>5094</v>
      </c>
    </row>
    <row r="2029" spans="1:3" x14ac:dyDescent="0.25">
      <c r="A2029" t="s">
        <v>5095</v>
      </c>
      <c r="B2029" t="s">
        <v>5092</v>
      </c>
      <c r="C2029" t="s">
        <v>5095</v>
      </c>
    </row>
    <row r="2030" spans="1:3" x14ac:dyDescent="0.25">
      <c r="A2030" t="s">
        <v>1701</v>
      </c>
      <c r="B2030" t="s">
        <v>5092</v>
      </c>
      <c r="C2030" t="s">
        <v>1701</v>
      </c>
    </row>
    <row r="2031" spans="1:3" x14ac:dyDescent="0.25">
      <c r="A2031" t="s">
        <v>1709</v>
      </c>
      <c r="B2031" t="s">
        <v>5092</v>
      </c>
      <c r="C2031" t="s">
        <v>1709</v>
      </c>
    </row>
    <row r="2032" spans="1:3" x14ac:dyDescent="0.25">
      <c r="A2032" t="s">
        <v>1715</v>
      </c>
      <c r="B2032" t="s">
        <v>5092</v>
      </c>
      <c r="C2032" t="s">
        <v>1715</v>
      </c>
    </row>
    <row r="2033" spans="1:3" x14ac:dyDescent="0.25">
      <c r="A2033" t="s">
        <v>1718</v>
      </c>
      <c r="B2033" t="s">
        <v>5092</v>
      </c>
      <c r="C2033" t="s">
        <v>1718</v>
      </c>
    </row>
    <row r="2034" spans="1:3" x14ac:dyDescent="0.25">
      <c r="A2034" t="s">
        <v>1721</v>
      </c>
      <c r="B2034" t="s">
        <v>5092</v>
      </c>
      <c r="C2034" t="s">
        <v>1721</v>
      </c>
    </row>
    <row r="2035" spans="1:3" x14ac:dyDescent="0.25">
      <c r="A2035" t="s">
        <v>1724</v>
      </c>
      <c r="B2035" t="s">
        <v>5092</v>
      </c>
      <c r="C2035" t="s">
        <v>1724</v>
      </c>
    </row>
    <row r="2036" spans="1:3" x14ac:dyDescent="0.25">
      <c r="A2036" t="s">
        <v>1727</v>
      </c>
      <c r="B2036" t="s">
        <v>5092</v>
      </c>
      <c r="C2036" t="s">
        <v>1727</v>
      </c>
    </row>
    <row r="2037" spans="1:3" x14ac:dyDescent="0.25">
      <c r="A2037" t="s">
        <v>1741</v>
      </c>
      <c r="B2037" t="s">
        <v>5092</v>
      </c>
      <c r="C2037" t="s">
        <v>1741</v>
      </c>
    </row>
    <row r="2038" spans="1:3" x14ac:dyDescent="0.25">
      <c r="A2038" t="s">
        <v>1754</v>
      </c>
      <c r="B2038" t="s">
        <v>5092</v>
      </c>
      <c r="C2038" t="s">
        <v>1754</v>
      </c>
    </row>
    <row r="2039" spans="1:3" x14ac:dyDescent="0.25">
      <c r="A2039" t="s">
        <v>1761</v>
      </c>
      <c r="B2039" t="s">
        <v>5092</v>
      </c>
      <c r="C2039" t="s">
        <v>1761</v>
      </c>
    </row>
    <row r="2040" spans="1:3" x14ac:dyDescent="0.25">
      <c r="A2040" t="s">
        <v>1764</v>
      </c>
      <c r="B2040" t="s">
        <v>5092</v>
      </c>
      <c r="C2040" t="s">
        <v>1764</v>
      </c>
    </row>
    <row r="2041" spans="1:3" x14ac:dyDescent="0.25">
      <c r="A2041" t="s">
        <v>1767</v>
      </c>
      <c r="B2041" t="s">
        <v>5092</v>
      </c>
      <c r="C2041" t="s">
        <v>1767</v>
      </c>
    </row>
    <row r="2042" spans="1:3" x14ac:dyDescent="0.25">
      <c r="A2042" t="s">
        <v>1774</v>
      </c>
      <c r="B2042" t="s">
        <v>5092</v>
      </c>
      <c r="C2042" t="s">
        <v>1774</v>
      </c>
    </row>
    <row r="2043" spans="1:3" x14ac:dyDescent="0.25">
      <c r="A2043" t="s">
        <v>5096</v>
      </c>
      <c r="B2043" t="s">
        <v>5092</v>
      </c>
      <c r="C2043" t="s">
        <v>5096</v>
      </c>
    </row>
    <row r="2044" spans="1:3" x14ac:dyDescent="0.25">
      <c r="A2044" t="s">
        <v>5097</v>
      </c>
      <c r="B2044" t="s">
        <v>5092</v>
      </c>
      <c r="C2044" t="s">
        <v>5097</v>
      </c>
    </row>
    <row r="2045" spans="1:3" x14ac:dyDescent="0.25">
      <c r="A2045" t="s">
        <v>5098</v>
      </c>
      <c r="B2045" t="s">
        <v>5092</v>
      </c>
      <c r="C2045" t="s">
        <v>5098</v>
      </c>
    </row>
    <row r="2046" spans="1:3" x14ac:dyDescent="0.25">
      <c r="A2046" t="s">
        <v>5099</v>
      </c>
      <c r="B2046" t="s">
        <v>5092</v>
      </c>
      <c r="C2046" t="s">
        <v>5099</v>
      </c>
    </row>
    <row r="2047" spans="1:3" x14ac:dyDescent="0.25">
      <c r="A2047" t="s">
        <v>77</v>
      </c>
      <c r="B2047" t="s">
        <v>2087</v>
      </c>
      <c r="C2047" t="s">
        <v>77</v>
      </c>
    </row>
    <row r="2048" spans="1:3" x14ac:dyDescent="0.25">
      <c r="A2048" t="s">
        <v>290</v>
      </c>
      <c r="B2048" t="s">
        <v>1930</v>
      </c>
      <c r="C2048" t="s">
        <v>290</v>
      </c>
    </row>
    <row r="2049" spans="1:3" x14ac:dyDescent="0.25">
      <c r="A2049" t="s">
        <v>292</v>
      </c>
      <c r="B2049" t="s">
        <v>1931</v>
      </c>
      <c r="C2049" t="s">
        <v>292</v>
      </c>
    </row>
    <row r="2050" spans="1:3" x14ac:dyDescent="0.25">
      <c r="A2050" t="s">
        <v>679</v>
      </c>
      <c r="B2050" t="s">
        <v>2140</v>
      </c>
      <c r="C2050" t="s">
        <v>679</v>
      </c>
    </row>
    <row r="2051" spans="1:3" x14ac:dyDescent="0.25">
      <c r="A2051" t="s">
        <v>5219</v>
      </c>
      <c r="B2051" t="s">
        <v>5220</v>
      </c>
      <c r="C2051" t="s">
        <v>5219</v>
      </c>
    </row>
    <row r="2052" spans="1:3" x14ac:dyDescent="0.25">
      <c r="A2052" t="s">
        <v>5221</v>
      </c>
      <c r="B2052" t="s">
        <v>5222</v>
      </c>
      <c r="C2052" t="s">
        <v>5221</v>
      </c>
    </row>
    <row r="2053" spans="1:3" x14ac:dyDescent="0.25">
      <c r="A2053" t="s">
        <v>5223</v>
      </c>
      <c r="B2053" t="s">
        <v>5224</v>
      </c>
      <c r="C2053" t="s">
        <v>5223</v>
      </c>
    </row>
    <row r="2054" spans="1:3" x14ac:dyDescent="0.25">
      <c r="A2054" t="s">
        <v>686</v>
      </c>
      <c r="B2054" t="s">
        <v>5225</v>
      </c>
      <c r="C2054" t="s">
        <v>686</v>
      </c>
    </row>
    <row r="2055" spans="1:3" x14ac:dyDescent="0.25">
      <c r="A2055" t="s">
        <v>681</v>
      </c>
      <c r="B2055" t="s">
        <v>2141</v>
      </c>
      <c r="C2055" t="s">
        <v>681</v>
      </c>
    </row>
    <row r="2056" spans="1:3" x14ac:dyDescent="0.25">
      <c r="A2056" t="s">
        <v>288</v>
      </c>
      <c r="B2056" t="s">
        <v>2142</v>
      </c>
      <c r="C2056" t="s">
        <v>288</v>
      </c>
    </row>
    <row r="2057" spans="1:3" x14ac:dyDescent="0.25">
      <c r="A2057" t="s">
        <v>685</v>
      </c>
      <c r="B2057" t="s">
        <v>5226</v>
      </c>
      <c r="C2057" t="s">
        <v>685</v>
      </c>
    </row>
    <row r="2058" spans="1:3" x14ac:dyDescent="0.25">
      <c r="A2058" t="s">
        <v>294</v>
      </c>
      <c r="B2058" t="s">
        <v>2144</v>
      </c>
      <c r="C2058" t="s">
        <v>294</v>
      </c>
    </row>
    <row r="2059" spans="1:3" x14ac:dyDescent="0.25">
      <c r="A2059" t="s">
        <v>5227</v>
      </c>
      <c r="B2059" t="s">
        <v>2031</v>
      </c>
      <c r="C2059" t="s">
        <v>5227</v>
      </c>
    </row>
    <row r="2060" spans="1:3" x14ac:dyDescent="0.25">
      <c r="A2060" t="s">
        <v>24</v>
      </c>
      <c r="B2060" t="s">
        <v>2032</v>
      </c>
      <c r="C2060" t="s">
        <v>24</v>
      </c>
    </row>
    <row r="2061" spans="1:3" x14ac:dyDescent="0.25">
      <c r="A2061" t="s">
        <v>5228</v>
      </c>
      <c r="B2061" t="s">
        <v>5229</v>
      </c>
      <c r="C2061" t="s">
        <v>5228</v>
      </c>
    </row>
    <row r="2062" spans="1:3" x14ac:dyDescent="0.25">
      <c r="A2062" t="s">
        <v>929</v>
      </c>
      <c r="B2062" t="s">
        <v>5230</v>
      </c>
      <c r="C2062" t="s">
        <v>929</v>
      </c>
    </row>
    <row r="2063" spans="1:3" x14ac:dyDescent="0.25">
      <c r="A2063" t="s">
        <v>5231</v>
      </c>
      <c r="B2063" t="s">
        <v>5232</v>
      </c>
      <c r="C2063" t="s">
        <v>5231</v>
      </c>
    </row>
    <row r="2064" spans="1:3" x14ac:dyDescent="0.25">
      <c r="A2064" t="s">
        <v>5233</v>
      </c>
      <c r="B2064" t="s">
        <v>5234</v>
      </c>
      <c r="C2064" t="s">
        <v>5233</v>
      </c>
    </row>
    <row r="2065" spans="1:3" x14ac:dyDescent="0.25">
      <c r="A2065" t="s">
        <v>5235</v>
      </c>
      <c r="B2065" t="s">
        <v>5236</v>
      </c>
      <c r="C2065" t="s">
        <v>5235</v>
      </c>
    </row>
    <row r="2066" spans="1:3" x14ac:dyDescent="0.25">
      <c r="A2066" t="s">
        <v>5237</v>
      </c>
      <c r="B2066" t="s">
        <v>5238</v>
      </c>
      <c r="C2066" t="s">
        <v>5237</v>
      </c>
    </row>
    <row r="2067" spans="1:3" x14ac:dyDescent="0.25">
      <c r="A2067" t="s">
        <v>5239</v>
      </c>
      <c r="B2067" t="s">
        <v>5240</v>
      </c>
      <c r="C2067" t="s">
        <v>5239</v>
      </c>
    </row>
    <row r="2068" spans="1:3" x14ac:dyDescent="0.25">
      <c r="A2068" t="s">
        <v>5241</v>
      </c>
      <c r="B2068" t="s">
        <v>5242</v>
      </c>
      <c r="C2068" t="s">
        <v>5241</v>
      </c>
    </row>
    <row r="2069" spans="1:3" x14ac:dyDescent="0.25">
      <c r="A2069" t="s">
        <v>952</v>
      </c>
      <c r="B2069" t="s">
        <v>2015</v>
      </c>
      <c r="C2069" t="s">
        <v>952</v>
      </c>
    </row>
    <row r="2070" spans="1:3" x14ac:dyDescent="0.25">
      <c r="A2070" t="s">
        <v>824</v>
      </c>
      <c r="B2070" t="s">
        <v>2017</v>
      </c>
      <c r="C2070" t="s">
        <v>824</v>
      </c>
    </row>
    <row r="2071" spans="1:3" x14ac:dyDescent="0.25">
      <c r="A2071" t="s">
        <v>721</v>
      </c>
      <c r="B2071" t="s">
        <v>5243</v>
      </c>
      <c r="C2071" t="s">
        <v>721</v>
      </c>
    </row>
    <row r="2072" spans="1:3" x14ac:dyDescent="0.25">
      <c r="A2072" t="s">
        <v>953</v>
      </c>
      <c r="B2072" t="s">
        <v>5244</v>
      </c>
      <c r="C2072" t="s">
        <v>953</v>
      </c>
    </row>
    <row r="2073" spans="1:3" x14ac:dyDescent="0.25">
      <c r="A2073" t="s">
        <v>309</v>
      </c>
      <c r="B2073" t="s">
        <v>5245</v>
      </c>
      <c r="C2073" t="s">
        <v>309</v>
      </c>
    </row>
    <row r="2074" spans="1:3" x14ac:dyDescent="0.25">
      <c r="A2074" t="s">
        <v>1841</v>
      </c>
      <c r="B2074" t="s">
        <v>5246</v>
      </c>
      <c r="C2074" t="s">
        <v>1841</v>
      </c>
    </row>
    <row r="2075" spans="1:3" x14ac:dyDescent="0.25">
      <c r="A2075" t="s">
        <v>1843</v>
      </c>
      <c r="B2075" t="s">
        <v>5247</v>
      </c>
      <c r="C2075" t="s">
        <v>1843</v>
      </c>
    </row>
    <row r="2076" spans="1:3" x14ac:dyDescent="0.25">
      <c r="A2076" t="s">
        <v>5248</v>
      </c>
      <c r="B2076" t="s">
        <v>5249</v>
      </c>
      <c r="C2076" t="s">
        <v>5248</v>
      </c>
    </row>
    <row r="2077" spans="1:3" x14ac:dyDescent="0.25">
      <c r="A2077" t="s">
        <v>5250</v>
      </c>
      <c r="B2077" t="s">
        <v>5251</v>
      </c>
      <c r="C2077" t="s">
        <v>5250</v>
      </c>
    </row>
    <row r="2078" spans="1:3" x14ac:dyDescent="0.25">
      <c r="A2078" t="s">
        <v>822</v>
      </c>
      <c r="B2078" t="s">
        <v>2016</v>
      </c>
      <c r="C2078" t="s">
        <v>822</v>
      </c>
    </row>
    <row r="2079" spans="1:3" x14ac:dyDescent="0.25">
      <c r="A2079" t="s">
        <v>5252</v>
      </c>
      <c r="B2079" t="s">
        <v>5253</v>
      </c>
      <c r="C2079" t="s">
        <v>5252</v>
      </c>
    </row>
    <row r="2080" spans="1:3" x14ac:dyDescent="0.25">
      <c r="A2080" t="s">
        <v>5254</v>
      </c>
      <c r="B2080" t="s">
        <v>5255</v>
      </c>
      <c r="C2080" t="s">
        <v>5254</v>
      </c>
    </row>
    <row r="2081" spans="1:3" x14ac:dyDescent="0.25">
      <c r="A2081" t="s">
        <v>128</v>
      </c>
      <c r="B2081" t="s">
        <v>2131</v>
      </c>
      <c r="C2081" t="s">
        <v>128</v>
      </c>
    </row>
    <row r="2082" spans="1:3" x14ac:dyDescent="0.25">
      <c r="A2082" t="s">
        <v>5256</v>
      </c>
      <c r="B2082" t="s">
        <v>3551</v>
      </c>
      <c r="C2082" t="s">
        <v>5256</v>
      </c>
    </row>
    <row r="2083" spans="1:3" x14ac:dyDescent="0.25">
      <c r="A2083" t="s">
        <v>980</v>
      </c>
      <c r="B2083" t="s">
        <v>2135</v>
      </c>
      <c r="C2083" t="s">
        <v>980</v>
      </c>
    </row>
    <row r="2084" spans="1:3" x14ac:dyDescent="0.25">
      <c r="A2084" t="s">
        <v>935</v>
      </c>
      <c r="B2084" t="s">
        <v>2129</v>
      </c>
      <c r="C2084" t="s">
        <v>935</v>
      </c>
    </row>
    <row r="2085" spans="1:3" x14ac:dyDescent="0.25">
      <c r="A2085" t="s">
        <v>5257</v>
      </c>
      <c r="B2085" t="s">
        <v>2130</v>
      </c>
      <c r="C2085" t="s">
        <v>5257</v>
      </c>
    </row>
    <row r="2086" spans="1:3" x14ac:dyDescent="0.25">
      <c r="A2086" t="s">
        <v>37</v>
      </c>
      <c r="B2086" t="s">
        <v>1929</v>
      </c>
      <c r="C2086" t="s">
        <v>37</v>
      </c>
    </row>
    <row r="2087" spans="1:3" x14ac:dyDescent="0.25">
      <c r="A2087" t="s">
        <v>127</v>
      </c>
      <c r="B2087" t="s">
        <v>5258</v>
      </c>
      <c r="C2087" t="s">
        <v>127</v>
      </c>
    </row>
    <row r="2088" spans="1:3" x14ac:dyDescent="0.25">
      <c r="A2088" t="s">
        <v>5259</v>
      </c>
      <c r="B2088" t="s">
        <v>5260</v>
      </c>
      <c r="C2088" t="s">
        <v>5259</v>
      </c>
    </row>
    <row r="2089" spans="1:3" x14ac:dyDescent="0.25">
      <c r="A2089" t="s">
        <v>5261</v>
      </c>
      <c r="B2089" t="s">
        <v>5262</v>
      </c>
      <c r="C2089" t="s">
        <v>5261</v>
      </c>
    </row>
    <row r="2090" spans="1:3" x14ac:dyDescent="0.25">
      <c r="A2090" t="s">
        <v>5263</v>
      </c>
      <c r="B2090" t="s">
        <v>5264</v>
      </c>
      <c r="C2090" t="s">
        <v>5263</v>
      </c>
    </row>
    <row r="2091" spans="1:3" x14ac:dyDescent="0.25">
      <c r="A2091" t="s">
        <v>5265</v>
      </c>
      <c r="B2091" t="s">
        <v>2132</v>
      </c>
      <c r="C2091" t="s">
        <v>5265</v>
      </c>
    </row>
    <row r="2092" spans="1:3" x14ac:dyDescent="0.25">
      <c r="A2092" t="s">
        <v>832</v>
      </c>
      <c r="B2092" t="s">
        <v>2018</v>
      </c>
      <c r="C2092" t="s">
        <v>832</v>
      </c>
    </row>
    <row r="2093" spans="1:3" x14ac:dyDescent="0.25">
      <c r="A2093" t="s">
        <v>5266</v>
      </c>
      <c r="B2093" t="s">
        <v>2133</v>
      </c>
      <c r="C2093" t="s">
        <v>5266</v>
      </c>
    </row>
    <row r="2094" spans="1:3" x14ac:dyDescent="0.25">
      <c r="A2094" t="s">
        <v>836</v>
      </c>
      <c r="B2094" t="s">
        <v>2134</v>
      </c>
      <c r="C2094" t="s">
        <v>836</v>
      </c>
    </row>
    <row r="2095" spans="1:3" x14ac:dyDescent="0.25">
      <c r="A2095" t="s">
        <v>5267</v>
      </c>
      <c r="B2095" t="s">
        <v>2019</v>
      </c>
      <c r="C2095" t="s">
        <v>5267</v>
      </c>
    </row>
    <row r="2096" spans="1:3" x14ac:dyDescent="0.25">
      <c r="A2096" t="s">
        <v>5268</v>
      </c>
      <c r="B2096" t="s">
        <v>2020</v>
      </c>
      <c r="C2096" t="s">
        <v>5268</v>
      </c>
    </row>
    <row r="2097" spans="1:3" x14ac:dyDescent="0.25">
      <c r="A2097" t="s">
        <v>5269</v>
      </c>
      <c r="B2097" t="s">
        <v>2021</v>
      </c>
      <c r="C2097" t="s">
        <v>5269</v>
      </c>
    </row>
    <row r="2098" spans="1:3" x14ac:dyDescent="0.25">
      <c r="A2098" t="s">
        <v>107</v>
      </c>
      <c r="B2098" t="s">
        <v>2136</v>
      </c>
      <c r="C2098" t="s">
        <v>107</v>
      </c>
    </row>
    <row r="2099" spans="1:3" x14ac:dyDescent="0.25">
      <c r="A2099" t="s">
        <v>108</v>
      </c>
      <c r="B2099" t="s">
        <v>2137</v>
      </c>
      <c r="C2099" t="s">
        <v>108</v>
      </c>
    </row>
    <row r="2100" spans="1:3" x14ac:dyDescent="0.25">
      <c r="A2100" t="s">
        <v>129</v>
      </c>
      <c r="B2100" t="s">
        <v>2138</v>
      </c>
      <c r="C2100" t="s">
        <v>129</v>
      </c>
    </row>
    <row r="2101" spans="1:3" x14ac:dyDescent="0.25">
      <c r="A2101" t="s">
        <v>109</v>
      </c>
      <c r="B2101" t="s">
        <v>2139</v>
      </c>
      <c r="C2101" t="s">
        <v>109</v>
      </c>
    </row>
    <row r="2102" spans="1:3" x14ac:dyDescent="0.25">
      <c r="A2102" t="s">
        <v>5270</v>
      </c>
      <c r="B2102" t="s">
        <v>5271</v>
      </c>
      <c r="C2102" t="s">
        <v>5270</v>
      </c>
    </row>
    <row r="2103" spans="1:3" x14ac:dyDescent="0.25">
      <c r="A2103" t="s">
        <v>5272</v>
      </c>
      <c r="B2103" t="s">
        <v>5273</v>
      </c>
      <c r="C2103" t="s">
        <v>5272</v>
      </c>
    </row>
    <row r="2104" spans="1:3" x14ac:dyDescent="0.25">
      <c r="A2104" t="s">
        <v>5274</v>
      </c>
      <c r="B2104" t="s">
        <v>5275</v>
      </c>
      <c r="C2104" t="s">
        <v>5274</v>
      </c>
    </row>
    <row r="2105" spans="1:3" x14ac:dyDescent="0.25">
      <c r="A2105" t="s">
        <v>5276</v>
      </c>
      <c r="B2105" t="s">
        <v>5277</v>
      </c>
      <c r="C2105" t="s">
        <v>5276</v>
      </c>
    </row>
    <row r="2106" spans="1:3" x14ac:dyDescent="0.25">
      <c r="A2106" t="s">
        <v>5278</v>
      </c>
      <c r="B2106" t="s">
        <v>5279</v>
      </c>
      <c r="C2106" t="s">
        <v>5278</v>
      </c>
    </row>
    <row r="2107" spans="1:3" x14ac:dyDescent="0.25">
      <c r="A2107" t="s">
        <v>5280</v>
      </c>
      <c r="B2107" t="s">
        <v>5281</v>
      </c>
      <c r="C2107" t="s">
        <v>5280</v>
      </c>
    </row>
    <row r="2108" spans="1:3" x14ac:dyDescent="0.25">
      <c r="A2108" t="s">
        <v>5282</v>
      </c>
      <c r="B2108" t="s">
        <v>5283</v>
      </c>
      <c r="C2108" t="s">
        <v>5282</v>
      </c>
    </row>
    <row r="2109" spans="1:3" x14ac:dyDescent="0.25">
      <c r="A2109" t="s">
        <v>5284</v>
      </c>
      <c r="B2109" t="s">
        <v>5285</v>
      </c>
      <c r="C2109" t="s">
        <v>5284</v>
      </c>
    </row>
    <row r="2110" spans="1:3" x14ac:dyDescent="0.25">
      <c r="A2110" t="s">
        <v>5286</v>
      </c>
      <c r="B2110" t="s">
        <v>5287</v>
      </c>
      <c r="C2110" t="s">
        <v>5286</v>
      </c>
    </row>
    <row r="2111" spans="1:3" x14ac:dyDescent="0.25">
      <c r="A2111" t="s">
        <v>5288</v>
      </c>
      <c r="B2111" t="s">
        <v>5289</v>
      </c>
      <c r="C2111" t="s">
        <v>5288</v>
      </c>
    </row>
    <row r="2112" spans="1:3" x14ac:dyDescent="0.25">
      <c r="A2112" t="s">
        <v>5290</v>
      </c>
      <c r="B2112" t="s">
        <v>5291</v>
      </c>
      <c r="C2112" t="s">
        <v>5290</v>
      </c>
    </row>
    <row r="2113" spans="1:3" x14ac:dyDescent="0.25">
      <c r="A2113" t="s">
        <v>5292</v>
      </c>
      <c r="B2113" t="s">
        <v>5293</v>
      </c>
      <c r="C2113" t="s">
        <v>5292</v>
      </c>
    </row>
    <row r="2114" spans="1:3" x14ac:dyDescent="0.25">
      <c r="A2114" t="s">
        <v>5294</v>
      </c>
      <c r="B2114" t="s">
        <v>5295</v>
      </c>
      <c r="C2114" t="s">
        <v>5294</v>
      </c>
    </row>
    <row r="2115" spans="1:3" x14ac:dyDescent="0.25">
      <c r="A2115" t="s">
        <v>19</v>
      </c>
      <c r="B2115" t="s">
        <v>5296</v>
      </c>
      <c r="C2115" t="s">
        <v>19</v>
      </c>
    </row>
    <row r="2116" spans="1:3" x14ac:dyDescent="0.25">
      <c r="A2116" t="s">
        <v>5297</v>
      </c>
      <c r="B2116" t="s">
        <v>5298</v>
      </c>
      <c r="C2116" t="s">
        <v>5297</v>
      </c>
    </row>
    <row r="2117" spans="1:3" x14ac:dyDescent="0.25">
      <c r="A2117" t="s">
        <v>5299</v>
      </c>
      <c r="B2117" t="s">
        <v>5300</v>
      </c>
      <c r="C2117" t="s">
        <v>5299</v>
      </c>
    </row>
    <row r="2118" spans="1:3" x14ac:dyDescent="0.25">
      <c r="A2118" t="s">
        <v>20</v>
      </c>
      <c r="B2118" t="s">
        <v>5301</v>
      </c>
      <c r="C2118" t="s">
        <v>20</v>
      </c>
    </row>
    <row r="2119" spans="1:3" x14ac:dyDescent="0.25">
      <c r="A2119" t="s">
        <v>5302</v>
      </c>
      <c r="B2119" t="s">
        <v>5303</v>
      </c>
      <c r="C2119" t="s">
        <v>5302</v>
      </c>
    </row>
    <row r="2120" spans="1:3" x14ac:dyDescent="0.25">
      <c r="A2120" t="s">
        <v>5304</v>
      </c>
      <c r="B2120" t="s">
        <v>5305</v>
      </c>
      <c r="C2120" t="s">
        <v>5304</v>
      </c>
    </row>
    <row r="2121" spans="1:3" x14ac:dyDescent="0.25">
      <c r="A2121" t="s">
        <v>5306</v>
      </c>
      <c r="B2121" t="s">
        <v>5307</v>
      </c>
      <c r="C2121" t="s">
        <v>5306</v>
      </c>
    </row>
    <row r="2122" spans="1:3" x14ac:dyDescent="0.25">
      <c r="A2122" t="s">
        <v>5308</v>
      </c>
      <c r="B2122" t="s">
        <v>5309</v>
      </c>
      <c r="C2122" t="s">
        <v>5308</v>
      </c>
    </row>
    <row r="2123" spans="1:3" x14ac:dyDescent="0.25">
      <c r="A2123" t="s">
        <v>5310</v>
      </c>
      <c r="B2123" t="s">
        <v>5311</v>
      </c>
      <c r="C2123" t="s">
        <v>5310</v>
      </c>
    </row>
    <row r="2124" spans="1:3" x14ac:dyDescent="0.25">
      <c r="A2124" t="s">
        <v>21</v>
      </c>
      <c r="B2124" t="s">
        <v>2146</v>
      </c>
      <c r="C2124" t="s">
        <v>21</v>
      </c>
    </row>
    <row r="2125" spans="1:3" x14ac:dyDescent="0.25">
      <c r="A2125" t="s">
        <v>5312</v>
      </c>
      <c r="B2125" t="s">
        <v>5313</v>
      </c>
      <c r="C2125" t="s">
        <v>5312</v>
      </c>
    </row>
    <row r="2126" spans="1:3" x14ac:dyDescent="0.25">
      <c r="A2126" t="s">
        <v>5314</v>
      </c>
      <c r="B2126" t="s">
        <v>5315</v>
      </c>
      <c r="C2126" t="s">
        <v>5314</v>
      </c>
    </row>
    <row r="2127" spans="1:3" x14ac:dyDescent="0.25">
      <c r="A2127" t="s">
        <v>5316</v>
      </c>
      <c r="B2127" t="s">
        <v>5317</v>
      </c>
      <c r="C2127" t="s">
        <v>5316</v>
      </c>
    </row>
    <row r="2128" spans="1:3" x14ac:dyDescent="0.25">
      <c r="A2128" t="s">
        <v>5318</v>
      </c>
      <c r="B2128" t="s">
        <v>5319</v>
      </c>
      <c r="C2128" t="s">
        <v>5318</v>
      </c>
    </row>
    <row r="2129" spans="1:3" x14ac:dyDescent="0.25">
      <c r="A2129" t="s">
        <v>5320</v>
      </c>
      <c r="B2129" t="s">
        <v>5321</v>
      </c>
      <c r="C2129" t="s">
        <v>5320</v>
      </c>
    </row>
    <row r="2130" spans="1:3" x14ac:dyDescent="0.25">
      <c r="A2130" t="s">
        <v>5322</v>
      </c>
      <c r="B2130" t="s">
        <v>5323</v>
      </c>
      <c r="C2130" t="s">
        <v>5322</v>
      </c>
    </row>
    <row r="2131" spans="1:3" x14ac:dyDescent="0.25">
      <c r="A2131" t="s">
        <v>5324</v>
      </c>
      <c r="B2131" t="s">
        <v>5325</v>
      </c>
      <c r="C2131" t="s">
        <v>5324</v>
      </c>
    </row>
    <row r="2132" spans="1:3" x14ac:dyDescent="0.25">
      <c r="A2132" t="s">
        <v>5326</v>
      </c>
      <c r="B2132" t="s">
        <v>5327</v>
      </c>
      <c r="C2132" t="s">
        <v>5326</v>
      </c>
    </row>
    <row r="2133" spans="1:3" x14ac:dyDescent="0.25">
      <c r="A2133" t="s">
        <v>5328</v>
      </c>
      <c r="B2133" t="s">
        <v>5329</v>
      </c>
      <c r="C2133" t="s">
        <v>5328</v>
      </c>
    </row>
    <row r="2134" spans="1:3" x14ac:dyDescent="0.25">
      <c r="A2134" t="s">
        <v>5330</v>
      </c>
      <c r="B2134" t="s">
        <v>5331</v>
      </c>
      <c r="C2134" t="s">
        <v>5330</v>
      </c>
    </row>
    <row r="2135" spans="1:3" x14ac:dyDescent="0.25">
      <c r="A2135" t="s">
        <v>5332</v>
      </c>
      <c r="B2135" t="s">
        <v>5333</v>
      </c>
      <c r="C2135" t="s">
        <v>5332</v>
      </c>
    </row>
    <row r="2136" spans="1:3" x14ac:dyDescent="0.25">
      <c r="A2136" t="s">
        <v>5334</v>
      </c>
      <c r="B2136" t="s">
        <v>5335</v>
      </c>
      <c r="C2136" t="s">
        <v>5334</v>
      </c>
    </row>
    <row r="2137" spans="1:3" x14ac:dyDescent="0.25">
      <c r="A2137" t="s">
        <v>5336</v>
      </c>
      <c r="B2137" t="s">
        <v>5337</v>
      </c>
      <c r="C2137" t="s">
        <v>5336</v>
      </c>
    </row>
    <row r="2138" spans="1:3" x14ac:dyDescent="0.25">
      <c r="A2138" t="s">
        <v>5338</v>
      </c>
      <c r="B2138" t="s">
        <v>5339</v>
      </c>
      <c r="C2138" t="s">
        <v>5338</v>
      </c>
    </row>
    <row r="2139" spans="1:3" x14ac:dyDescent="0.25">
      <c r="A2139" t="s">
        <v>5340</v>
      </c>
      <c r="B2139" t="s">
        <v>5341</v>
      </c>
      <c r="C2139" t="s">
        <v>5340</v>
      </c>
    </row>
    <row r="2140" spans="1:3" x14ac:dyDescent="0.25">
      <c r="A2140" t="s">
        <v>5342</v>
      </c>
      <c r="B2140" t="s">
        <v>5343</v>
      </c>
      <c r="C2140" t="s">
        <v>5342</v>
      </c>
    </row>
    <row r="2141" spans="1:3" x14ac:dyDescent="0.25">
      <c r="A2141" t="s">
        <v>5344</v>
      </c>
      <c r="B2141" t="s">
        <v>5345</v>
      </c>
      <c r="C2141" t="s">
        <v>5344</v>
      </c>
    </row>
    <row r="2142" spans="1:3" x14ac:dyDescent="0.25">
      <c r="A2142" t="s">
        <v>5346</v>
      </c>
      <c r="B2142" t="s">
        <v>5347</v>
      </c>
      <c r="C2142" t="s">
        <v>5346</v>
      </c>
    </row>
    <row r="2143" spans="1:3" x14ac:dyDescent="0.25">
      <c r="A2143" t="s">
        <v>5348</v>
      </c>
      <c r="B2143" t="s">
        <v>5349</v>
      </c>
      <c r="C2143" t="s">
        <v>5348</v>
      </c>
    </row>
    <row r="2144" spans="1:3" x14ac:dyDescent="0.25">
      <c r="A2144" t="s">
        <v>5350</v>
      </c>
      <c r="B2144" t="s">
        <v>5351</v>
      </c>
      <c r="C2144" t="s">
        <v>5350</v>
      </c>
    </row>
    <row r="2145" spans="1:3" x14ac:dyDescent="0.25">
      <c r="A2145" t="s">
        <v>5352</v>
      </c>
      <c r="B2145" t="s">
        <v>5353</v>
      </c>
      <c r="C2145" t="s">
        <v>5352</v>
      </c>
    </row>
    <row r="2146" spans="1:3" x14ac:dyDescent="0.25">
      <c r="A2146" t="s">
        <v>5354</v>
      </c>
      <c r="B2146" t="s">
        <v>5355</v>
      </c>
      <c r="C2146" t="s">
        <v>5354</v>
      </c>
    </row>
    <row r="2147" spans="1:3" x14ac:dyDescent="0.25">
      <c r="A2147" t="s">
        <v>5356</v>
      </c>
      <c r="B2147" t="s">
        <v>5357</v>
      </c>
      <c r="C2147" t="s">
        <v>5356</v>
      </c>
    </row>
    <row r="2148" spans="1:3" x14ac:dyDescent="0.25">
      <c r="A2148" t="s">
        <v>5358</v>
      </c>
      <c r="B2148" t="s">
        <v>5359</v>
      </c>
      <c r="C2148" t="s">
        <v>5358</v>
      </c>
    </row>
    <row r="2149" spans="1:3" x14ac:dyDescent="0.25">
      <c r="A2149" t="s">
        <v>5360</v>
      </c>
      <c r="B2149" t="s">
        <v>5361</v>
      </c>
      <c r="C2149" t="s">
        <v>5360</v>
      </c>
    </row>
    <row r="2150" spans="1:3" x14ac:dyDescent="0.25">
      <c r="A2150" t="s">
        <v>5362</v>
      </c>
      <c r="B2150" t="s">
        <v>5363</v>
      </c>
      <c r="C2150" t="s">
        <v>5362</v>
      </c>
    </row>
    <row r="2151" spans="1:3" x14ac:dyDescent="0.25">
      <c r="A2151" t="s">
        <v>5364</v>
      </c>
      <c r="B2151" t="s">
        <v>5365</v>
      </c>
      <c r="C2151" t="s">
        <v>5364</v>
      </c>
    </row>
    <row r="2152" spans="1:3" x14ac:dyDescent="0.25">
      <c r="A2152" t="s">
        <v>5366</v>
      </c>
      <c r="B2152" t="s">
        <v>5367</v>
      </c>
      <c r="C2152" t="s">
        <v>5366</v>
      </c>
    </row>
    <row r="2153" spans="1:3" x14ac:dyDescent="0.25">
      <c r="A2153" t="s">
        <v>5368</v>
      </c>
      <c r="B2153" t="s">
        <v>5369</v>
      </c>
      <c r="C2153" t="s">
        <v>5368</v>
      </c>
    </row>
    <row r="2154" spans="1:3" x14ac:dyDescent="0.25">
      <c r="A2154" t="s">
        <v>5370</v>
      </c>
      <c r="B2154" t="s">
        <v>5371</v>
      </c>
      <c r="C2154" t="s">
        <v>5370</v>
      </c>
    </row>
    <row r="2155" spans="1:3" x14ac:dyDescent="0.25">
      <c r="A2155" t="s">
        <v>5372</v>
      </c>
      <c r="B2155" t="s">
        <v>5373</v>
      </c>
      <c r="C2155" t="s">
        <v>5372</v>
      </c>
    </row>
    <row r="2156" spans="1:3" x14ac:dyDescent="0.25">
      <c r="A2156" t="s">
        <v>5374</v>
      </c>
      <c r="B2156" t="s">
        <v>5375</v>
      </c>
      <c r="C2156" t="s">
        <v>5374</v>
      </c>
    </row>
    <row r="2157" spans="1:3" x14ac:dyDescent="0.25">
      <c r="A2157" t="s">
        <v>5376</v>
      </c>
      <c r="B2157" t="s">
        <v>5377</v>
      </c>
      <c r="C2157" t="s">
        <v>5376</v>
      </c>
    </row>
    <row r="2158" spans="1:3" x14ac:dyDescent="0.25">
      <c r="A2158" t="s">
        <v>5378</v>
      </c>
      <c r="B2158" t="s">
        <v>5379</v>
      </c>
      <c r="C2158" t="s">
        <v>5378</v>
      </c>
    </row>
    <row r="2159" spans="1:3" x14ac:dyDescent="0.25">
      <c r="A2159" t="s">
        <v>5380</v>
      </c>
      <c r="B2159" t="s">
        <v>5381</v>
      </c>
      <c r="C2159" t="s">
        <v>5380</v>
      </c>
    </row>
    <row r="2160" spans="1:3" x14ac:dyDescent="0.25">
      <c r="A2160" t="s">
        <v>5382</v>
      </c>
      <c r="B2160" t="s">
        <v>5383</v>
      </c>
      <c r="C2160" t="s">
        <v>5382</v>
      </c>
    </row>
    <row r="2161" spans="1:3" x14ac:dyDescent="0.25">
      <c r="A2161" t="s">
        <v>5384</v>
      </c>
      <c r="B2161" t="s">
        <v>5385</v>
      </c>
      <c r="C2161" t="s">
        <v>5384</v>
      </c>
    </row>
    <row r="2162" spans="1:3" x14ac:dyDescent="0.25">
      <c r="A2162" t="s">
        <v>5386</v>
      </c>
      <c r="B2162" t="s">
        <v>5387</v>
      </c>
      <c r="C2162" t="s">
        <v>5386</v>
      </c>
    </row>
    <row r="2163" spans="1:3" x14ac:dyDescent="0.25">
      <c r="A2163" t="s">
        <v>5388</v>
      </c>
      <c r="B2163" t="s">
        <v>5389</v>
      </c>
      <c r="C2163" t="s">
        <v>5388</v>
      </c>
    </row>
    <row r="2164" spans="1:3" x14ac:dyDescent="0.25">
      <c r="A2164" t="s">
        <v>5390</v>
      </c>
      <c r="B2164" t="s">
        <v>5391</v>
      </c>
      <c r="C2164" t="s">
        <v>5390</v>
      </c>
    </row>
    <row r="2165" spans="1:3" x14ac:dyDescent="0.25">
      <c r="A2165" t="s">
        <v>5392</v>
      </c>
      <c r="B2165" t="s">
        <v>5393</v>
      </c>
      <c r="C2165" t="s">
        <v>5392</v>
      </c>
    </row>
    <row r="2166" spans="1:3" x14ac:dyDescent="0.25">
      <c r="A2166" t="s">
        <v>5394</v>
      </c>
      <c r="B2166" t="s">
        <v>5395</v>
      </c>
      <c r="C2166" t="s">
        <v>5394</v>
      </c>
    </row>
    <row r="2167" spans="1:3" x14ac:dyDescent="0.25">
      <c r="A2167" t="s">
        <v>5396</v>
      </c>
      <c r="B2167" t="s">
        <v>5397</v>
      </c>
      <c r="C2167" t="s">
        <v>5396</v>
      </c>
    </row>
    <row r="2168" spans="1:3" x14ac:dyDescent="0.25">
      <c r="A2168" t="s">
        <v>5398</v>
      </c>
      <c r="B2168" t="s">
        <v>5399</v>
      </c>
      <c r="C2168" t="s">
        <v>5398</v>
      </c>
    </row>
    <row r="2169" spans="1:3" x14ac:dyDescent="0.25">
      <c r="A2169" t="s">
        <v>5400</v>
      </c>
      <c r="B2169" t="s">
        <v>5401</v>
      </c>
      <c r="C2169" t="s">
        <v>5400</v>
      </c>
    </row>
    <row r="2170" spans="1:3" x14ac:dyDescent="0.25">
      <c r="A2170" t="s">
        <v>28</v>
      </c>
      <c r="B2170" t="s">
        <v>5402</v>
      </c>
      <c r="C2170" t="s">
        <v>28</v>
      </c>
    </row>
    <row r="2171" spans="1:3" x14ac:dyDescent="0.25">
      <c r="A2171" t="s">
        <v>22</v>
      </c>
      <c r="B2171" t="s">
        <v>5403</v>
      </c>
      <c r="C2171" t="s">
        <v>22</v>
      </c>
    </row>
    <row r="2172" spans="1:3" x14ac:dyDescent="0.25">
      <c r="A2172" t="s">
        <v>5404</v>
      </c>
      <c r="B2172" t="s">
        <v>1933</v>
      </c>
      <c r="C2172" t="s">
        <v>5404</v>
      </c>
    </row>
    <row r="2173" spans="1:3" x14ac:dyDescent="0.25">
      <c r="A2173" t="s">
        <v>316</v>
      </c>
      <c r="B2173" t="s">
        <v>1934</v>
      </c>
      <c r="C2173" t="s">
        <v>316</v>
      </c>
    </row>
    <row r="2174" spans="1:3" x14ac:dyDescent="0.25">
      <c r="A2174" t="s">
        <v>5405</v>
      </c>
      <c r="B2174" t="s">
        <v>5406</v>
      </c>
      <c r="C2174" t="s">
        <v>5405</v>
      </c>
    </row>
    <row r="2175" spans="1:3" x14ac:dyDescent="0.25">
      <c r="A2175" t="s">
        <v>5407</v>
      </c>
      <c r="B2175" t="s">
        <v>5408</v>
      </c>
      <c r="C2175" t="s">
        <v>5407</v>
      </c>
    </row>
    <row r="2176" spans="1:3" x14ac:dyDescent="0.25">
      <c r="A2176" t="s">
        <v>5409</v>
      </c>
      <c r="B2176" t="s">
        <v>1935</v>
      </c>
      <c r="C2176" t="s">
        <v>5409</v>
      </c>
    </row>
    <row r="2177" spans="1:3" x14ac:dyDescent="0.25">
      <c r="A2177" t="s">
        <v>23</v>
      </c>
      <c r="B2177" t="s">
        <v>5410</v>
      </c>
      <c r="C2177" t="s">
        <v>23</v>
      </c>
    </row>
    <row r="2178" spans="1:3" x14ac:dyDescent="0.25">
      <c r="A2178" t="s">
        <v>5411</v>
      </c>
      <c r="B2178" t="s">
        <v>5412</v>
      </c>
      <c r="C2178" t="s">
        <v>5411</v>
      </c>
    </row>
    <row r="2179" spans="1:3" x14ac:dyDescent="0.25">
      <c r="A2179" t="s">
        <v>5413</v>
      </c>
      <c r="B2179" t="s">
        <v>5414</v>
      </c>
      <c r="C2179" t="s">
        <v>5413</v>
      </c>
    </row>
    <row r="2180" spans="1:3" x14ac:dyDescent="0.25">
      <c r="A2180" t="s">
        <v>5415</v>
      </c>
      <c r="B2180" t="s">
        <v>5416</v>
      </c>
      <c r="C2180" t="s">
        <v>5415</v>
      </c>
    </row>
    <row r="2181" spans="1:3" x14ac:dyDescent="0.25">
      <c r="A2181" t="s">
        <v>5417</v>
      </c>
      <c r="B2181" t="s">
        <v>5418</v>
      </c>
      <c r="C2181" t="s">
        <v>5417</v>
      </c>
    </row>
    <row r="2182" spans="1:3" x14ac:dyDescent="0.25">
      <c r="A2182" t="s">
        <v>5419</v>
      </c>
      <c r="B2182" t="s">
        <v>5420</v>
      </c>
      <c r="C2182" t="s">
        <v>5419</v>
      </c>
    </row>
    <row r="2183" spans="1:3" x14ac:dyDescent="0.25">
      <c r="A2183" t="s">
        <v>5421</v>
      </c>
      <c r="B2183" t="s">
        <v>5422</v>
      </c>
      <c r="C2183" t="s">
        <v>5421</v>
      </c>
    </row>
    <row r="2184" spans="1:3" x14ac:dyDescent="0.25">
      <c r="A2184" t="s">
        <v>5423</v>
      </c>
      <c r="B2184" t="s">
        <v>5424</v>
      </c>
      <c r="C2184" t="s">
        <v>5423</v>
      </c>
    </row>
    <row r="2185" spans="1:3" x14ac:dyDescent="0.25">
      <c r="A2185" t="s">
        <v>5425</v>
      </c>
      <c r="B2185" t="s">
        <v>5426</v>
      </c>
      <c r="C2185" t="s">
        <v>5425</v>
      </c>
    </row>
    <row r="2186" spans="1:3" x14ac:dyDescent="0.25">
      <c r="A2186" t="s">
        <v>5427</v>
      </c>
      <c r="B2186" t="s">
        <v>5428</v>
      </c>
      <c r="C2186" t="s">
        <v>5427</v>
      </c>
    </row>
    <row r="2187" spans="1:3" x14ac:dyDescent="0.25">
      <c r="A2187" t="s">
        <v>5429</v>
      </c>
      <c r="B2187" t="s">
        <v>5430</v>
      </c>
      <c r="C2187" t="s">
        <v>5429</v>
      </c>
    </row>
    <row r="2188" spans="1:3" x14ac:dyDescent="0.25">
      <c r="A2188" t="s">
        <v>5431</v>
      </c>
      <c r="B2188" t="s">
        <v>5432</v>
      </c>
      <c r="C2188" t="s">
        <v>5431</v>
      </c>
    </row>
    <row r="2189" spans="1:3" x14ac:dyDescent="0.25">
      <c r="A2189" t="s">
        <v>5433</v>
      </c>
      <c r="B2189" t="s">
        <v>5434</v>
      </c>
      <c r="C2189" t="s">
        <v>5433</v>
      </c>
    </row>
    <row r="2190" spans="1:3" x14ac:dyDescent="0.25">
      <c r="A2190" t="s">
        <v>5435</v>
      </c>
      <c r="B2190" t="s">
        <v>5436</v>
      </c>
      <c r="C2190" t="s">
        <v>5435</v>
      </c>
    </row>
    <row r="2191" spans="1:3" x14ac:dyDescent="0.25">
      <c r="A2191" t="s">
        <v>5437</v>
      </c>
      <c r="B2191" t="s">
        <v>5438</v>
      </c>
      <c r="C2191" t="s">
        <v>5437</v>
      </c>
    </row>
    <row r="2192" spans="1:3" x14ac:dyDescent="0.25">
      <c r="A2192" t="s">
        <v>5439</v>
      </c>
      <c r="B2192" t="s">
        <v>5440</v>
      </c>
      <c r="C2192" t="s">
        <v>5439</v>
      </c>
    </row>
    <row r="2193" spans="1:3" x14ac:dyDescent="0.25">
      <c r="A2193" t="s">
        <v>5441</v>
      </c>
      <c r="B2193" t="s">
        <v>5442</v>
      </c>
      <c r="C2193" t="s">
        <v>5441</v>
      </c>
    </row>
    <row r="2194" spans="1:3" x14ac:dyDescent="0.25">
      <c r="A2194" t="s">
        <v>5443</v>
      </c>
      <c r="B2194" t="s">
        <v>5444</v>
      </c>
      <c r="C2194" t="s">
        <v>5443</v>
      </c>
    </row>
    <row r="2195" spans="1:3" x14ac:dyDescent="0.25">
      <c r="A2195" t="s">
        <v>5445</v>
      </c>
      <c r="B2195" t="s">
        <v>5446</v>
      </c>
      <c r="C2195" t="s">
        <v>5445</v>
      </c>
    </row>
    <row r="2196" spans="1:3" x14ac:dyDescent="0.25">
      <c r="A2196" t="s">
        <v>5447</v>
      </c>
      <c r="B2196" t="s">
        <v>5448</v>
      </c>
      <c r="C2196" t="s">
        <v>5447</v>
      </c>
    </row>
    <row r="2197" spans="1:3" x14ac:dyDescent="0.25">
      <c r="A2197" t="s">
        <v>5449</v>
      </c>
      <c r="B2197" t="s">
        <v>5450</v>
      </c>
      <c r="C2197" t="s">
        <v>5449</v>
      </c>
    </row>
    <row r="2198" spans="1:3" x14ac:dyDescent="0.25">
      <c r="A2198" t="s">
        <v>5451</v>
      </c>
      <c r="B2198" t="s">
        <v>5452</v>
      </c>
      <c r="C2198" t="s">
        <v>5451</v>
      </c>
    </row>
    <row r="2199" spans="1:3" x14ac:dyDescent="0.25">
      <c r="A2199" t="s">
        <v>5453</v>
      </c>
      <c r="B2199" t="s">
        <v>5454</v>
      </c>
      <c r="C2199" t="s">
        <v>5453</v>
      </c>
    </row>
    <row r="2200" spans="1:3" x14ac:dyDescent="0.25">
      <c r="A2200" t="s">
        <v>5455</v>
      </c>
      <c r="B2200" t="s">
        <v>1925</v>
      </c>
      <c r="C2200" t="s">
        <v>5455</v>
      </c>
    </row>
    <row r="2201" spans="1:3" x14ac:dyDescent="0.25">
      <c r="A2201" t="s">
        <v>272</v>
      </c>
      <c r="B2201" t="s">
        <v>1925</v>
      </c>
      <c r="C2201" t="s">
        <v>272</v>
      </c>
    </row>
    <row r="2202" spans="1:3" x14ac:dyDescent="0.25">
      <c r="A2202" t="s">
        <v>5456</v>
      </c>
      <c r="B2202" t="s">
        <v>5457</v>
      </c>
      <c r="C2202" t="s">
        <v>5456</v>
      </c>
    </row>
    <row r="2203" spans="1:3" x14ac:dyDescent="0.25">
      <c r="A2203" t="s">
        <v>274</v>
      </c>
      <c r="B2203" t="s">
        <v>5457</v>
      </c>
      <c r="C2203" t="s">
        <v>274</v>
      </c>
    </row>
    <row r="2204" spans="1:3" x14ac:dyDescent="0.25">
      <c r="A2204" t="s">
        <v>5458</v>
      </c>
      <c r="B2204" t="s">
        <v>5459</v>
      </c>
      <c r="C2204" t="s">
        <v>5458</v>
      </c>
    </row>
    <row r="2205" spans="1:3" x14ac:dyDescent="0.25">
      <c r="A2205" t="s">
        <v>5460</v>
      </c>
      <c r="B2205" t="s">
        <v>5461</v>
      </c>
      <c r="C2205" t="s">
        <v>5460</v>
      </c>
    </row>
    <row r="2206" spans="1:3" x14ac:dyDescent="0.25">
      <c r="A2206" t="s">
        <v>5462</v>
      </c>
      <c r="B2206" t="s">
        <v>5463</v>
      </c>
      <c r="C2206" t="s">
        <v>5462</v>
      </c>
    </row>
    <row r="2207" spans="1:3" x14ac:dyDescent="0.25">
      <c r="A2207" t="s">
        <v>5464</v>
      </c>
      <c r="B2207" t="s">
        <v>5465</v>
      </c>
      <c r="C2207" t="s">
        <v>5464</v>
      </c>
    </row>
    <row r="2208" spans="1:3" x14ac:dyDescent="0.25">
      <c r="A2208" t="s">
        <v>5466</v>
      </c>
      <c r="B2208" t="s">
        <v>5467</v>
      </c>
      <c r="C2208" t="s">
        <v>5466</v>
      </c>
    </row>
    <row r="2209" spans="1:3" x14ac:dyDescent="0.25">
      <c r="A2209" t="s">
        <v>5468</v>
      </c>
      <c r="B2209" t="s">
        <v>5469</v>
      </c>
      <c r="C2209" t="s">
        <v>5468</v>
      </c>
    </row>
    <row r="2210" spans="1:3" x14ac:dyDescent="0.25">
      <c r="A2210" t="s">
        <v>5470</v>
      </c>
      <c r="B2210" t="s">
        <v>5471</v>
      </c>
      <c r="C2210" t="s">
        <v>5470</v>
      </c>
    </row>
    <row r="2211" spans="1:3" x14ac:dyDescent="0.25">
      <c r="A2211" t="s">
        <v>106</v>
      </c>
      <c r="B2211" t="s">
        <v>1939</v>
      </c>
      <c r="C2211" t="s">
        <v>106</v>
      </c>
    </row>
    <row r="2212" spans="1:3" x14ac:dyDescent="0.25">
      <c r="A2212" t="s">
        <v>5466</v>
      </c>
      <c r="B2212" t="s">
        <v>5472</v>
      </c>
      <c r="C2212" t="s">
        <v>5466</v>
      </c>
    </row>
    <row r="2213" spans="1:3" x14ac:dyDescent="0.25">
      <c r="A2213" t="s">
        <v>5473</v>
      </c>
      <c r="B2213" t="s">
        <v>5474</v>
      </c>
      <c r="C2213" t="s">
        <v>5473</v>
      </c>
    </row>
    <row r="2214" spans="1:3" x14ac:dyDescent="0.25">
      <c r="A2214" t="s">
        <v>104</v>
      </c>
      <c r="B2214" t="s">
        <v>1938</v>
      </c>
      <c r="C2214" t="s">
        <v>104</v>
      </c>
    </row>
    <row r="2215" spans="1:3" x14ac:dyDescent="0.25">
      <c r="A2215" t="s">
        <v>5475</v>
      </c>
      <c r="B2215" t="s">
        <v>5476</v>
      </c>
      <c r="C2215" t="s">
        <v>5475</v>
      </c>
    </row>
    <row r="2216" spans="1:3" x14ac:dyDescent="0.25">
      <c r="A2216" t="s">
        <v>5477</v>
      </c>
      <c r="B2216" t="s">
        <v>5478</v>
      </c>
      <c r="C2216" t="s">
        <v>5477</v>
      </c>
    </row>
    <row r="2217" spans="1:3" x14ac:dyDescent="0.25">
      <c r="A2217" t="s">
        <v>5479</v>
      </c>
      <c r="B2217" t="s">
        <v>5480</v>
      </c>
      <c r="C2217" t="s">
        <v>5479</v>
      </c>
    </row>
    <row r="2218" spans="1:3" x14ac:dyDescent="0.25">
      <c r="A2218" t="s">
        <v>5481</v>
      </c>
      <c r="B2218" t="s">
        <v>5482</v>
      </c>
      <c r="C2218" t="s">
        <v>5481</v>
      </c>
    </row>
    <row r="2219" spans="1:3" x14ac:dyDescent="0.25">
      <c r="A2219" t="s">
        <v>5483</v>
      </c>
      <c r="B2219" t="s">
        <v>5484</v>
      </c>
      <c r="C2219" t="s">
        <v>5483</v>
      </c>
    </row>
    <row r="2220" spans="1:3" x14ac:dyDescent="0.25">
      <c r="A2220" t="s">
        <v>5485</v>
      </c>
      <c r="B2220" t="s">
        <v>5486</v>
      </c>
      <c r="C2220" t="s">
        <v>5485</v>
      </c>
    </row>
    <row r="2221" spans="1:3" x14ac:dyDescent="0.25">
      <c r="A2221" t="s">
        <v>5487</v>
      </c>
      <c r="B2221" t="s">
        <v>5488</v>
      </c>
      <c r="C2221" t="s">
        <v>5487</v>
      </c>
    </row>
    <row r="2222" spans="1:3" x14ac:dyDescent="0.25">
      <c r="A2222" t="s">
        <v>5489</v>
      </c>
      <c r="B2222" t="s">
        <v>5490</v>
      </c>
      <c r="C2222" t="s">
        <v>5489</v>
      </c>
    </row>
    <row r="2223" spans="1:3" x14ac:dyDescent="0.25">
      <c r="A2223" t="s">
        <v>5491</v>
      </c>
      <c r="B2223" t="s">
        <v>5492</v>
      </c>
      <c r="C2223" t="s">
        <v>5491</v>
      </c>
    </row>
    <row r="2224" spans="1:3" x14ac:dyDescent="0.25">
      <c r="A2224" t="s">
        <v>5493</v>
      </c>
      <c r="B2224" t="s">
        <v>5494</v>
      </c>
      <c r="C2224" t="s">
        <v>5493</v>
      </c>
    </row>
    <row r="2225" spans="1:3" x14ac:dyDescent="0.25">
      <c r="A2225" t="s">
        <v>5495</v>
      </c>
      <c r="B2225" t="s">
        <v>5496</v>
      </c>
      <c r="C2225" t="s">
        <v>5495</v>
      </c>
    </row>
    <row r="2226" spans="1:3" x14ac:dyDescent="0.25">
      <c r="A2226" t="s">
        <v>5497</v>
      </c>
      <c r="B2226" t="s">
        <v>5498</v>
      </c>
      <c r="C2226" t="s">
        <v>5497</v>
      </c>
    </row>
    <row r="2227" spans="1:3" x14ac:dyDescent="0.25">
      <c r="A2227" t="s">
        <v>5499</v>
      </c>
      <c r="B2227" t="s">
        <v>5500</v>
      </c>
      <c r="C2227" t="s">
        <v>5499</v>
      </c>
    </row>
    <row r="2228" spans="1:3" x14ac:dyDescent="0.25">
      <c r="A2228" t="s">
        <v>5501</v>
      </c>
      <c r="B2228" t="s">
        <v>5502</v>
      </c>
      <c r="C2228" t="s">
        <v>5501</v>
      </c>
    </row>
    <row r="2229" spans="1:3" x14ac:dyDescent="0.25">
      <c r="A2229" t="s">
        <v>5503</v>
      </c>
      <c r="B2229" t="s">
        <v>5504</v>
      </c>
      <c r="C2229" t="s">
        <v>5503</v>
      </c>
    </row>
    <row r="2230" spans="1:3" x14ac:dyDescent="0.25">
      <c r="A2230" t="s">
        <v>5505</v>
      </c>
      <c r="B2230" t="s">
        <v>5506</v>
      </c>
      <c r="C2230" t="s">
        <v>5505</v>
      </c>
    </row>
    <row r="2231" spans="1:3" x14ac:dyDescent="0.25">
      <c r="A2231" t="s">
        <v>5507</v>
      </c>
      <c r="B2231" t="s">
        <v>5508</v>
      </c>
      <c r="C2231" t="s">
        <v>5507</v>
      </c>
    </row>
    <row r="2232" spans="1:3" x14ac:dyDescent="0.25">
      <c r="A2232" t="s">
        <v>5509</v>
      </c>
      <c r="B2232" t="s">
        <v>5510</v>
      </c>
      <c r="C2232" t="s">
        <v>5509</v>
      </c>
    </row>
    <row r="2233" spans="1:3" x14ac:dyDescent="0.25">
      <c r="A2233" t="s">
        <v>5511</v>
      </c>
      <c r="B2233" t="s">
        <v>5512</v>
      </c>
      <c r="C2233" t="s">
        <v>5511</v>
      </c>
    </row>
    <row r="2234" spans="1:3" x14ac:dyDescent="0.25">
      <c r="A2234" t="s">
        <v>5513</v>
      </c>
      <c r="B2234" t="s">
        <v>5514</v>
      </c>
      <c r="C2234" t="s">
        <v>5513</v>
      </c>
    </row>
    <row r="2235" spans="1:3" x14ac:dyDescent="0.25">
      <c r="A2235" t="s">
        <v>5515</v>
      </c>
      <c r="B2235" t="s">
        <v>5516</v>
      </c>
      <c r="C2235" t="s">
        <v>5515</v>
      </c>
    </row>
    <row r="2236" spans="1:3" x14ac:dyDescent="0.25">
      <c r="A2236" t="s">
        <v>5517</v>
      </c>
      <c r="B2236" t="s">
        <v>5518</v>
      </c>
      <c r="C2236" t="s">
        <v>5517</v>
      </c>
    </row>
    <row r="2237" spans="1:3" x14ac:dyDescent="0.25">
      <c r="A2237" t="s">
        <v>5519</v>
      </c>
      <c r="B2237" t="s">
        <v>5520</v>
      </c>
      <c r="C2237" t="s">
        <v>5519</v>
      </c>
    </row>
    <row r="2238" spans="1:3" x14ac:dyDescent="0.25">
      <c r="A2238" t="s">
        <v>5521</v>
      </c>
      <c r="B2238" t="s">
        <v>5522</v>
      </c>
      <c r="C2238" t="s">
        <v>5521</v>
      </c>
    </row>
    <row r="2239" spans="1:3" x14ac:dyDescent="0.25">
      <c r="A2239" t="s">
        <v>5523</v>
      </c>
      <c r="B2239" t="s">
        <v>5524</v>
      </c>
      <c r="C2239" t="s">
        <v>5523</v>
      </c>
    </row>
    <row r="2240" spans="1:3" x14ac:dyDescent="0.25">
      <c r="A2240" t="s">
        <v>5525</v>
      </c>
      <c r="B2240" t="s">
        <v>5526</v>
      </c>
      <c r="C2240" t="s">
        <v>5525</v>
      </c>
    </row>
    <row r="2241" spans="1:3" x14ac:dyDescent="0.25">
      <c r="A2241" t="s">
        <v>5527</v>
      </c>
      <c r="B2241" t="s">
        <v>5528</v>
      </c>
      <c r="C2241" t="s">
        <v>5527</v>
      </c>
    </row>
    <row r="2242" spans="1:3" x14ac:dyDescent="0.25">
      <c r="A2242" t="s">
        <v>5529</v>
      </c>
      <c r="B2242" t="s">
        <v>5530</v>
      </c>
      <c r="C2242" t="s">
        <v>5529</v>
      </c>
    </row>
    <row r="2243" spans="1:3" x14ac:dyDescent="0.25">
      <c r="A2243" t="s">
        <v>5531</v>
      </c>
      <c r="B2243" t="s">
        <v>5532</v>
      </c>
      <c r="C2243" t="s">
        <v>5531</v>
      </c>
    </row>
    <row r="2244" spans="1:3" x14ac:dyDescent="0.25">
      <c r="A2244" t="s">
        <v>5533</v>
      </c>
      <c r="B2244" t="s">
        <v>5534</v>
      </c>
      <c r="C2244" t="s">
        <v>5533</v>
      </c>
    </row>
    <row r="2245" spans="1:3" x14ac:dyDescent="0.25">
      <c r="A2245" t="s">
        <v>5535</v>
      </c>
      <c r="B2245" t="s">
        <v>5536</v>
      </c>
      <c r="C2245" t="s">
        <v>5535</v>
      </c>
    </row>
    <row r="2246" spans="1:3" x14ac:dyDescent="0.25">
      <c r="A2246" t="s">
        <v>946</v>
      </c>
      <c r="B2246" t="s">
        <v>5537</v>
      </c>
      <c r="C2246" t="s">
        <v>946</v>
      </c>
    </row>
    <row r="2247" spans="1:3" x14ac:dyDescent="0.25">
      <c r="A2247" t="s">
        <v>516</v>
      </c>
      <c r="B2247" t="s">
        <v>5538</v>
      </c>
      <c r="C2247" t="s">
        <v>516</v>
      </c>
    </row>
    <row r="2248" spans="1:3" x14ac:dyDescent="0.25">
      <c r="A2248" t="s">
        <v>514</v>
      </c>
      <c r="B2248" t="s">
        <v>5539</v>
      </c>
      <c r="C2248" t="s">
        <v>514</v>
      </c>
    </row>
    <row r="2249" spans="1:3" x14ac:dyDescent="0.25">
      <c r="A2249" t="s">
        <v>5540</v>
      </c>
      <c r="B2249" t="s">
        <v>5541</v>
      </c>
      <c r="C2249" t="s">
        <v>5540</v>
      </c>
    </row>
    <row r="2250" spans="1:3" x14ac:dyDescent="0.25">
      <c r="A2250" t="s">
        <v>1800</v>
      </c>
      <c r="B2250" t="s">
        <v>5542</v>
      </c>
      <c r="C2250" t="s">
        <v>1800</v>
      </c>
    </row>
    <row r="2251" spans="1:3" x14ac:dyDescent="0.25">
      <c r="A2251" t="s">
        <v>954</v>
      </c>
      <c r="B2251" t="s">
        <v>5543</v>
      </c>
      <c r="C2251" t="s">
        <v>954</v>
      </c>
    </row>
    <row r="2252" spans="1:3" x14ac:dyDescent="0.25">
      <c r="A2252" t="s">
        <v>5544</v>
      </c>
      <c r="B2252" t="s">
        <v>5545</v>
      </c>
      <c r="C2252" t="s">
        <v>5544</v>
      </c>
    </row>
    <row r="2253" spans="1:3" x14ac:dyDescent="0.25">
      <c r="A2253" t="s">
        <v>5546</v>
      </c>
      <c r="B2253" t="s">
        <v>5547</v>
      </c>
      <c r="C2253" t="s">
        <v>5546</v>
      </c>
    </row>
    <row r="2254" spans="1:3" x14ac:dyDescent="0.25">
      <c r="A2254" t="s">
        <v>5548</v>
      </c>
      <c r="B2254" t="s">
        <v>5549</v>
      </c>
      <c r="C2254" t="s">
        <v>5548</v>
      </c>
    </row>
    <row r="2255" spans="1:3" x14ac:dyDescent="0.25">
      <c r="A2255" t="s">
        <v>5550</v>
      </c>
      <c r="B2255" t="s">
        <v>5551</v>
      </c>
      <c r="C2255" t="s">
        <v>5550</v>
      </c>
    </row>
    <row r="2256" spans="1:3" x14ac:dyDescent="0.25">
      <c r="A2256" t="s">
        <v>5552</v>
      </c>
      <c r="B2256" t="s">
        <v>5553</v>
      </c>
      <c r="C2256" t="s">
        <v>5552</v>
      </c>
    </row>
    <row r="2257" spans="1:3" x14ac:dyDescent="0.25">
      <c r="A2257" t="s">
        <v>17</v>
      </c>
      <c r="B2257" t="s">
        <v>5554</v>
      </c>
      <c r="C2257" t="s">
        <v>17</v>
      </c>
    </row>
    <row r="2258" spans="1:3" x14ac:dyDescent="0.25">
      <c r="A2258" t="s">
        <v>5555</v>
      </c>
      <c r="B2258" t="s">
        <v>5556</v>
      </c>
      <c r="C2258" t="s">
        <v>5555</v>
      </c>
    </row>
    <row r="2259" spans="1:3" x14ac:dyDescent="0.25">
      <c r="A2259" t="s">
        <v>1802</v>
      </c>
      <c r="B2259" t="s">
        <v>5557</v>
      </c>
      <c r="C2259" t="s">
        <v>1802</v>
      </c>
    </row>
    <row r="2260" spans="1:3" x14ac:dyDescent="0.25">
      <c r="A2260" t="s">
        <v>116</v>
      </c>
      <c r="B2260" t="s">
        <v>5558</v>
      </c>
      <c r="C2260" t="s">
        <v>116</v>
      </c>
    </row>
    <row r="2261" spans="1:3" x14ac:dyDescent="0.25">
      <c r="A2261" t="s">
        <v>1789</v>
      </c>
      <c r="B2261" t="s">
        <v>5559</v>
      </c>
      <c r="C2261" t="s">
        <v>1789</v>
      </c>
    </row>
    <row r="2262" spans="1:3" x14ac:dyDescent="0.25">
      <c r="A2262" t="s">
        <v>304</v>
      </c>
      <c r="B2262" t="s">
        <v>5560</v>
      </c>
      <c r="C2262" t="s">
        <v>304</v>
      </c>
    </row>
    <row r="2263" spans="1:3" x14ac:dyDescent="0.25">
      <c r="A2263" t="s">
        <v>263</v>
      </c>
      <c r="B2263" t="s">
        <v>2122</v>
      </c>
      <c r="C2263" t="s">
        <v>263</v>
      </c>
    </row>
    <row r="2264" spans="1:3" x14ac:dyDescent="0.25">
      <c r="A2264" t="s">
        <v>130</v>
      </c>
      <c r="B2264" t="s">
        <v>2033</v>
      </c>
      <c r="C2264" t="s">
        <v>130</v>
      </c>
    </row>
    <row r="2265" spans="1:3" x14ac:dyDescent="0.25">
      <c r="A2265" t="s">
        <v>264</v>
      </c>
      <c r="B2265" t="s">
        <v>2010</v>
      </c>
      <c r="C2265" t="s">
        <v>264</v>
      </c>
    </row>
    <row r="2266" spans="1:3" x14ac:dyDescent="0.25">
      <c r="A2266" t="s">
        <v>1155</v>
      </c>
      <c r="B2266" t="s">
        <v>5115</v>
      </c>
      <c r="C2266" t="s">
        <v>1155</v>
      </c>
    </row>
    <row r="2267" spans="1:3" x14ac:dyDescent="0.25">
      <c r="A2267" t="s">
        <v>35</v>
      </c>
      <c r="B2267" t="s">
        <v>2342</v>
      </c>
      <c r="C2267" t="s">
        <v>35</v>
      </c>
    </row>
    <row r="2268" spans="1:3" x14ac:dyDescent="0.25">
      <c r="A2268" t="s">
        <v>36</v>
      </c>
      <c r="B2268" t="s">
        <v>1933</v>
      </c>
      <c r="C2268" t="s">
        <v>36</v>
      </c>
    </row>
    <row r="2269" spans="1:3" x14ac:dyDescent="0.25">
      <c r="A2269" t="s">
        <v>29</v>
      </c>
      <c r="B2269" t="s">
        <v>1935</v>
      </c>
      <c r="C2269" t="s">
        <v>29</v>
      </c>
    </row>
    <row r="2270" spans="1:3" x14ac:dyDescent="0.25">
      <c r="A2270" t="s">
        <v>846</v>
      </c>
      <c r="B2270" t="s">
        <v>5526</v>
      </c>
      <c r="C2270" t="s">
        <v>846</v>
      </c>
    </row>
  </sheetData>
  <autoFilter ref="A1:C1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663"/>
  <sheetViews>
    <sheetView workbookViewId="0">
      <selection activeCell="B4" sqref="B4"/>
    </sheetView>
  </sheetViews>
  <sheetFormatPr defaultRowHeight="15" x14ac:dyDescent="0.25"/>
  <cols>
    <col min="1" max="1" width="8.85546875" bestFit="1" customWidth="1"/>
    <col min="2" max="2" width="15.7109375" bestFit="1" customWidth="1"/>
    <col min="3" max="3" width="94.28515625" bestFit="1" customWidth="1"/>
    <col min="4" max="4" width="10.7109375" bestFit="1" customWidth="1"/>
    <col min="5" max="5" width="26.140625" bestFit="1" customWidth="1"/>
  </cols>
  <sheetData>
    <row r="3" spans="1:5" x14ac:dyDescent="0.25">
      <c r="A3" s="24" t="s">
        <v>11</v>
      </c>
      <c r="B3" s="24" t="s">
        <v>12</v>
      </c>
      <c r="C3" s="24" t="s">
        <v>320</v>
      </c>
      <c r="D3" s="24" t="s">
        <v>14</v>
      </c>
      <c r="E3" t="s">
        <v>2152</v>
      </c>
    </row>
    <row r="4" spans="1:5" x14ac:dyDescent="0.25">
      <c r="A4" t="s">
        <v>118</v>
      </c>
      <c r="B4" t="s">
        <v>21</v>
      </c>
      <c r="C4" t="s">
        <v>110</v>
      </c>
      <c r="D4" s="1">
        <v>45757</v>
      </c>
      <c r="E4" s="25">
        <v>18</v>
      </c>
    </row>
    <row r="5" spans="1:5" x14ac:dyDescent="0.25">
      <c r="A5" t="s">
        <v>139</v>
      </c>
      <c r="B5" t="s">
        <v>304</v>
      </c>
      <c r="C5" t="s">
        <v>305</v>
      </c>
      <c r="D5" s="1">
        <v>45675</v>
      </c>
      <c r="E5" s="25">
        <v>1</v>
      </c>
    </row>
    <row r="6" spans="1:5" x14ac:dyDescent="0.25">
      <c r="A6" t="s">
        <v>140</v>
      </c>
      <c r="B6" t="s">
        <v>75</v>
      </c>
      <c r="C6" t="s">
        <v>168</v>
      </c>
      <c r="D6" s="1">
        <v>45778</v>
      </c>
      <c r="E6" s="25">
        <v>1</v>
      </c>
    </row>
    <row r="7" spans="1:5" x14ac:dyDescent="0.25">
      <c r="A7" t="s">
        <v>140</v>
      </c>
      <c r="B7" t="s">
        <v>309</v>
      </c>
      <c r="C7" t="s">
        <v>310</v>
      </c>
      <c r="D7" s="1">
        <v>45778</v>
      </c>
      <c r="E7" s="25">
        <v>1</v>
      </c>
    </row>
    <row r="8" spans="1:5" x14ac:dyDescent="0.25">
      <c r="A8" t="s">
        <v>141</v>
      </c>
      <c r="B8" t="s">
        <v>35</v>
      </c>
      <c r="C8" t="s">
        <v>112</v>
      </c>
      <c r="D8" s="1">
        <v>45778</v>
      </c>
      <c r="E8" s="25">
        <v>7</v>
      </c>
    </row>
    <row r="9" spans="1:5" x14ac:dyDescent="0.25">
      <c r="A9" t="s">
        <v>141</v>
      </c>
      <c r="B9" t="s">
        <v>298</v>
      </c>
      <c r="C9" t="s">
        <v>299</v>
      </c>
      <c r="D9" s="1">
        <v>45778</v>
      </c>
      <c r="E9" s="25">
        <v>3</v>
      </c>
    </row>
    <row r="10" spans="1:5" x14ac:dyDescent="0.25">
      <c r="A10" t="s">
        <v>141</v>
      </c>
      <c r="B10" t="s">
        <v>17</v>
      </c>
      <c r="C10" t="s">
        <v>156</v>
      </c>
      <c r="D10" s="1">
        <v>45778</v>
      </c>
      <c r="E10" s="25">
        <v>14</v>
      </c>
    </row>
    <row r="11" spans="1:5" x14ac:dyDescent="0.25">
      <c r="A11" t="s">
        <v>302</v>
      </c>
      <c r="B11" t="s">
        <v>270</v>
      </c>
      <c r="C11" t="s">
        <v>271</v>
      </c>
      <c r="D11" s="1">
        <v>45800</v>
      </c>
      <c r="E11" s="25">
        <v>1</v>
      </c>
    </row>
    <row r="12" spans="1:5" x14ac:dyDescent="0.25">
      <c r="A12" t="s">
        <v>303</v>
      </c>
      <c r="B12" t="s">
        <v>24</v>
      </c>
      <c r="C12" t="s">
        <v>159</v>
      </c>
      <c r="D12" s="1">
        <v>45810</v>
      </c>
      <c r="E12" s="25">
        <v>1</v>
      </c>
    </row>
    <row r="13" spans="1:5" x14ac:dyDescent="0.25">
      <c r="A13" t="s">
        <v>318</v>
      </c>
      <c r="B13" t="s">
        <v>51</v>
      </c>
      <c r="C13" t="s">
        <v>52</v>
      </c>
      <c r="D13" s="1">
        <v>45828</v>
      </c>
      <c r="E13" s="25">
        <v>13</v>
      </c>
    </row>
    <row r="14" spans="1:5" x14ac:dyDescent="0.25">
      <c r="A14" t="s">
        <v>318</v>
      </c>
      <c r="B14" t="s">
        <v>55</v>
      </c>
      <c r="C14" t="s">
        <v>56</v>
      </c>
      <c r="D14" s="1">
        <v>45828</v>
      </c>
      <c r="E14" s="25">
        <v>1</v>
      </c>
    </row>
    <row r="15" spans="1:5" x14ac:dyDescent="0.25">
      <c r="A15" t="s">
        <v>318</v>
      </c>
      <c r="B15" t="s">
        <v>57</v>
      </c>
      <c r="C15" t="s">
        <v>58</v>
      </c>
      <c r="D15" s="1">
        <v>45828</v>
      </c>
      <c r="E15" s="25">
        <v>8</v>
      </c>
    </row>
    <row r="16" spans="1:5" x14ac:dyDescent="0.25">
      <c r="A16" t="s">
        <v>318</v>
      </c>
      <c r="B16" t="s">
        <v>59</v>
      </c>
      <c r="C16" t="s">
        <v>60</v>
      </c>
      <c r="D16" s="1">
        <v>45828</v>
      </c>
      <c r="E16" s="25">
        <v>16</v>
      </c>
    </row>
    <row r="17" spans="1:5" x14ac:dyDescent="0.25">
      <c r="A17" t="s">
        <v>318</v>
      </c>
      <c r="B17" t="s">
        <v>83</v>
      </c>
      <c r="C17" t="s">
        <v>84</v>
      </c>
      <c r="D17" s="1">
        <v>45828</v>
      </c>
      <c r="E17" s="25">
        <v>1</v>
      </c>
    </row>
    <row r="18" spans="1:5" x14ac:dyDescent="0.25">
      <c r="A18" t="s">
        <v>318</v>
      </c>
      <c r="B18" t="s">
        <v>85</v>
      </c>
      <c r="C18" t="s">
        <v>86</v>
      </c>
      <c r="D18" s="1">
        <v>45828</v>
      </c>
      <c r="E18" s="25">
        <v>2</v>
      </c>
    </row>
    <row r="19" spans="1:5" x14ac:dyDescent="0.25">
      <c r="A19" t="s">
        <v>461</v>
      </c>
      <c r="B19" t="s">
        <v>63</v>
      </c>
      <c r="C19" t="s">
        <v>64</v>
      </c>
      <c r="D19" s="1">
        <v>45835</v>
      </c>
      <c r="E19" s="25">
        <v>2</v>
      </c>
    </row>
    <row r="20" spans="1:5" x14ac:dyDescent="0.25">
      <c r="A20" t="s">
        <v>461</v>
      </c>
      <c r="B20" t="s">
        <v>268</v>
      </c>
      <c r="C20" t="s">
        <v>269</v>
      </c>
      <c r="D20" s="1">
        <v>45835</v>
      </c>
      <c r="E20" s="25">
        <v>1</v>
      </c>
    </row>
    <row r="21" spans="1:5" x14ac:dyDescent="0.25">
      <c r="A21" t="s">
        <v>488</v>
      </c>
      <c r="B21" t="s">
        <v>122</v>
      </c>
      <c r="C21" t="s">
        <v>143</v>
      </c>
      <c r="D21" s="1">
        <v>45863</v>
      </c>
      <c r="E21" s="25">
        <v>1</v>
      </c>
    </row>
    <row r="22" spans="1:5" x14ac:dyDescent="0.25">
      <c r="A22" t="s">
        <v>488</v>
      </c>
      <c r="B22" t="s">
        <v>35</v>
      </c>
      <c r="C22" t="s">
        <v>112</v>
      </c>
      <c r="D22" s="1">
        <v>45863</v>
      </c>
      <c r="E22" s="25">
        <v>1</v>
      </c>
    </row>
    <row r="23" spans="1:5" x14ac:dyDescent="0.25">
      <c r="A23" t="s">
        <v>489</v>
      </c>
      <c r="B23" t="s">
        <v>127</v>
      </c>
      <c r="C23" t="s">
        <v>152</v>
      </c>
      <c r="D23" s="1">
        <v>45868</v>
      </c>
      <c r="E23" s="25">
        <v>1</v>
      </c>
    </row>
    <row r="24" spans="1:5" x14ac:dyDescent="0.25">
      <c r="A24" t="s">
        <v>723</v>
      </c>
      <c r="B24" t="s">
        <v>45</v>
      </c>
      <c r="C24" t="s">
        <v>46</v>
      </c>
      <c r="D24" s="1">
        <v>45884</v>
      </c>
      <c r="E24" s="25">
        <v>1</v>
      </c>
    </row>
    <row r="25" spans="1:5" x14ac:dyDescent="0.25">
      <c r="A25" t="s">
        <v>725</v>
      </c>
      <c r="B25" t="s">
        <v>541</v>
      </c>
      <c r="C25" t="s">
        <v>542</v>
      </c>
      <c r="D25" s="1">
        <v>45931</v>
      </c>
      <c r="E25" s="25">
        <v>1</v>
      </c>
    </row>
    <row r="26" spans="1:5" x14ac:dyDescent="0.25">
      <c r="A26" t="s">
        <v>725</v>
      </c>
      <c r="B26" t="s">
        <v>193</v>
      </c>
      <c r="C26" t="s">
        <v>194</v>
      </c>
      <c r="D26" s="1">
        <v>45931</v>
      </c>
      <c r="E26" s="25">
        <v>4</v>
      </c>
    </row>
    <row r="27" spans="1:5" x14ac:dyDescent="0.25">
      <c r="A27" t="s">
        <v>725</v>
      </c>
      <c r="B27" t="s">
        <v>203</v>
      </c>
      <c r="C27" t="s">
        <v>204</v>
      </c>
      <c r="D27" s="1">
        <v>45931</v>
      </c>
      <c r="E27" s="25">
        <v>4</v>
      </c>
    </row>
    <row r="28" spans="1:5" x14ac:dyDescent="0.25">
      <c r="A28" t="s">
        <v>725</v>
      </c>
      <c r="B28" t="s">
        <v>261</v>
      </c>
      <c r="C28" t="s">
        <v>262</v>
      </c>
      <c r="D28" s="1">
        <v>45931</v>
      </c>
      <c r="E28" s="25">
        <v>2</v>
      </c>
    </row>
    <row r="29" spans="1:5" x14ac:dyDescent="0.25">
      <c r="A29" t="s">
        <v>725</v>
      </c>
      <c r="B29" t="s">
        <v>690</v>
      </c>
      <c r="C29" t="s">
        <v>691</v>
      </c>
      <c r="D29" s="1">
        <v>45931</v>
      </c>
      <c r="E29" s="25">
        <v>1</v>
      </c>
    </row>
    <row r="30" spans="1:5" x14ac:dyDescent="0.25">
      <c r="A30" t="s">
        <v>725</v>
      </c>
      <c r="B30" t="s">
        <v>516</v>
      </c>
      <c r="C30" t="s">
        <v>517</v>
      </c>
      <c r="D30" s="1">
        <v>45931</v>
      </c>
      <c r="E30" s="25">
        <v>1</v>
      </c>
    </row>
    <row r="31" spans="1:5" x14ac:dyDescent="0.25">
      <c r="A31" t="s">
        <v>748</v>
      </c>
      <c r="B31" t="s">
        <v>134</v>
      </c>
      <c r="C31" t="s">
        <v>166</v>
      </c>
      <c r="D31" s="1">
        <v>45922</v>
      </c>
      <c r="E31" s="25">
        <v>1</v>
      </c>
    </row>
    <row r="32" spans="1:5" x14ac:dyDescent="0.25">
      <c r="A32" t="s">
        <v>748</v>
      </c>
      <c r="B32" t="s">
        <v>816</v>
      </c>
      <c r="C32" t="s">
        <v>817</v>
      </c>
      <c r="D32" s="1">
        <v>45922</v>
      </c>
      <c r="E32" s="25">
        <v>1</v>
      </c>
    </row>
    <row r="33" spans="1:5" x14ac:dyDescent="0.25">
      <c r="A33" t="s">
        <v>748</v>
      </c>
      <c r="B33" t="s">
        <v>514</v>
      </c>
      <c r="C33" t="s">
        <v>515</v>
      </c>
      <c r="D33" s="1">
        <v>45922</v>
      </c>
      <c r="E33" s="25">
        <v>146</v>
      </c>
    </row>
    <row r="34" spans="1:5" x14ac:dyDescent="0.25">
      <c r="A34" t="s">
        <v>853</v>
      </c>
      <c r="B34" t="s">
        <v>859</v>
      </c>
      <c r="C34" t="s">
        <v>860</v>
      </c>
      <c r="D34" s="1">
        <v>45915</v>
      </c>
      <c r="E34" s="25">
        <v>4</v>
      </c>
    </row>
    <row r="35" spans="1:5" x14ac:dyDescent="0.25">
      <c r="A35" t="s">
        <v>853</v>
      </c>
      <c r="B35" t="s">
        <v>861</v>
      </c>
      <c r="C35" t="s">
        <v>862</v>
      </c>
      <c r="D35" s="1">
        <v>45915</v>
      </c>
      <c r="E35" s="25">
        <v>1</v>
      </c>
    </row>
    <row r="36" spans="1:5" x14ac:dyDescent="0.25">
      <c r="A36" t="s">
        <v>895</v>
      </c>
      <c r="B36" t="s">
        <v>205</v>
      </c>
      <c r="C36" t="s">
        <v>896</v>
      </c>
      <c r="D36" s="1">
        <v>45954</v>
      </c>
      <c r="E36" s="25">
        <v>1</v>
      </c>
    </row>
    <row r="37" spans="1:5" x14ac:dyDescent="0.25">
      <c r="A37" t="s">
        <v>895</v>
      </c>
      <c r="B37" t="s">
        <v>47</v>
      </c>
      <c r="C37" t="s">
        <v>48</v>
      </c>
      <c r="D37" s="1">
        <v>45954</v>
      </c>
      <c r="E37" s="25">
        <v>5</v>
      </c>
    </row>
    <row r="38" spans="1:5" x14ac:dyDescent="0.25">
      <c r="A38" t="s">
        <v>895</v>
      </c>
      <c r="B38" t="s">
        <v>455</v>
      </c>
      <c r="C38" t="s">
        <v>906</v>
      </c>
      <c r="D38" s="1">
        <v>45954</v>
      </c>
      <c r="E38" s="25">
        <v>8</v>
      </c>
    </row>
    <row r="39" spans="1:5" x14ac:dyDescent="0.25">
      <c r="A39" t="s">
        <v>895</v>
      </c>
      <c r="B39" t="s">
        <v>59</v>
      </c>
      <c r="C39" t="s">
        <v>60</v>
      </c>
      <c r="D39" s="1">
        <v>45954</v>
      </c>
      <c r="E39" s="25">
        <v>64</v>
      </c>
    </row>
    <row r="40" spans="1:5" x14ac:dyDescent="0.25">
      <c r="A40" t="s">
        <v>895</v>
      </c>
      <c r="B40" t="s">
        <v>70</v>
      </c>
      <c r="C40" t="s">
        <v>71</v>
      </c>
      <c r="D40" s="1">
        <v>45954</v>
      </c>
      <c r="E40" s="25">
        <v>1</v>
      </c>
    </row>
    <row r="41" spans="1:5" x14ac:dyDescent="0.25">
      <c r="A41" t="s">
        <v>895</v>
      </c>
      <c r="B41" t="s">
        <v>77</v>
      </c>
      <c r="C41" t="s">
        <v>78</v>
      </c>
      <c r="D41" s="1">
        <v>45954</v>
      </c>
      <c r="E41" s="25">
        <v>4</v>
      </c>
    </row>
    <row r="42" spans="1:5" x14ac:dyDescent="0.25">
      <c r="A42" t="s">
        <v>895</v>
      </c>
      <c r="B42" t="s">
        <v>81</v>
      </c>
      <c r="C42" t="s">
        <v>82</v>
      </c>
      <c r="D42" s="1">
        <v>45954</v>
      </c>
      <c r="E42" s="25">
        <v>5</v>
      </c>
    </row>
    <row r="43" spans="1:5" x14ac:dyDescent="0.25">
      <c r="A43" t="s">
        <v>895</v>
      </c>
      <c r="B43" t="s">
        <v>25</v>
      </c>
      <c r="C43" t="s">
        <v>155</v>
      </c>
      <c r="D43" s="1">
        <v>45954</v>
      </c>
      <c r="E43" s="25">
        <v>3</v>
      </c>
    </row>
    <row r="44" spans="1:5" x14ac:dyDescent="0.25">
      <c r="A44" t="s">
        <v>895</v>
      </c>
      <c r="B44" t="s">
        <v>92</v>
      </c>
      <c r="C44" t="s">
        <v>93</v>
      </c>
      <c r="D44" s="1">
        <v>45954</v>
      </c>
      <c r="E44" s="25">
        <v>2</v>
      </c>
    </row>
    <row r="45" spans="1:5" x14ac:dyDescent="0.25">
      <c r="A45" t="s">
        <v>895</v>
      </c>
      <c r="B45" t="s">
        <v>104</v>
      </c>
      <c r="C45" t="s">
        <v>105</v>
      </c>
      <c r="D45" s="1">
        <v>45954</v>
      </c>
      <c r="E45" s="25">
        <v>68</v>
      </c>
    </row>
    <row r="46" spans="1:5" x14ac:dyDescent="0.25">
      <c r="A46" t="s">
        <v>895</v>
      </c>
      <c r="B46" t="s">
        <v>279</v>
      </c>
      <c r="C46" t="s">
        <v>280</v>
      </c>
      <c r="D46" s="1">
        <v>45954</v>
      </c>
      <c r="E46" s="25">
        <v>4</v>
      </c>
    </row>
    <row r="47" spans="1:5" x14ac:dyDescent="0.25">
      <c r="A47" t="s">
        <v>895</v>
      </c>
      <c r="B47" t="s">
        <v>282</v>
      </c>
      <c r="C47" t="s">
        <v>283</v>
      </c>
      <c r="D47" s="1">
        <v>45954</v>
      </c>
      <c r="E47" s="25">
        <v>7</v>
      </c>
    </row>
    <row r="48" spans="1:5" x14ac:dyDescent="0.25">
      <c r="A48" t="s">
        <v>895</v>
      </c>
      <c r="B48" t="s">
        <v>35</v>
      </c>
      <c r="C48" t="s">
        <v>112</v>
      </c>
      <c r="D48" s="1">
        <v>45954</v>
      </c>
      <c r="E48" s="25">
        <v>3</v>
      </c>
    </row>
    <row r="49" spans="1:5" x14ac:dyDescent="0.25">
      <c r="A49" t="s">
        <v>895</v>
      </c>
      <c r="B49" t="s">
        <v>36</v>
      </c>
      <c r="C49" t="s">
        <v>39</v>
      </c>
      <c r="D49" s="1">
        <v>45954</v>
      </c>
      <c r="E49" s="25">
        <v>2</v>
      </c>
    </row>
    <row r="50" spans="1:5" x14ac:dyDescent="0.25">
      <c r="A50" t="s">
        <v>960</v>
      </c>
      <c r="B50" t="s">
        <v>34</v>
      </c>
      <c r="C50" t="s">
        <v>111</v>
      </c>
      <c r="D50" s="1">
        <v>45946</v>
      </c>
      <c r="E50" s="25">
        <v>2</v>
      </c>
    </row>
    <row r="51" spans="1:5" x14ac:dyDescent="0.25">
      <c r="A51" t="s">
        <v>961</v>
      </c>
      <c r="B51" t="s">
        <v>726</v>
      </c>
      <c r="C51" t="s">
        <v>727</v>
      </c>
      <c r="D51" s="1">
        <v>45985</v>
      </c>
      <c r="E51" s="25">
        <v>2</v>
      </c>
    </row>
    <row r="52" spans="1:5" x14ac:dyDescent="0.25">
      <c r="A52" t="s">
        <v>961</v>
      </c>
      <c r="B52" t="s">
        <v>523</v>
      </c>
      <c r="C52" t="s">
        <v>524</v>
      </c>
      <c r="D52" s="1">
        <v>45985</v>
      </c>
      <c r="E52" s="25">
        <v>2</v>
      </c>
    </row>
    <row r="53" spans="1:5" x14ac:dyDescent="0.25">
      <c r="A53" t="s">
        <v>961</v>
      </c>
      <c r="B53" t="s">
        <v>525</v>
      </c>
      <c r="C53" t="s">
        <v>526</v>
      </c>
      <c r="D53" s="1">
        <v>45985</v>
      </c>
      <c r="E53" s="25">
        <v>2</v>
      </c>
    </row>
    <row r="54" spans="1:5" x14ac:dyDescent="0.25">
      <c r="A54" t="s">
        <v>961</v>
      </c>
      <c r="B54" t="s">
        <v>529</v>
      </c>
      <c r="C54" t="s">
        <v>530</v>
      </c>
      <c r="D54" s="1">
        <v>45985</v>
      </c>
      <c r="E54" s="25">
        <v>1</v>
      </c>
    </row>
    <row r="55" spans="1:5" x14ac:dyDescent="0.25">
      <c r="A55" t="s">
        <v>961</v>
      </c>
      <c r="B55" t="s">
        <v>177</v>
      </c>
      <c r="C55" t="s">
        <v>178</v>
      </c>
      <c r="D55" s="1">
        <v>45985</v>
      </c>
      <c r="E55" s="25">
        <v>16</v>
      </c>
    </row>
    <row r="56" spans="1:5" x14ac:dyDescent="0.25">
      <c r="A56" t="s">
        <v>961</v>
      </c>
      <c r="B56" t="s">
        <v>534</v>
      </c>
      <c r="C56" t="s">
        <v>535</v>
      </c>
      <c r="D56" s="1">
        <v>45985</v>
      </c>
      <c r="E56" s="25">
        <v>1</v>
      </c>
    </row>
    <row r="57" spans="1:5" x14ac:dyDescent="0.25">
      <c r="A57" t="s">
        <v>961</v>
      </c>
      <c r="B57" t="s">
        <v>179</v>
      </c>
      <c r="C57" t="s">
        <v>180</v>
      </c>
      <c r="D57" s="1">
        <v>45985</v>
      </c>
      <c r="E57" s="25">
        <v>2</v>
      </c>
    </row>
    <row r="58" spans="1:5" x14ac:dyDescent="0.25">
      <c r="A58" t="s">
        <v>961</v>
      </c>
      <c r="B58" t="s">
        <v>120</v>
      </c>
      <c r="C58" t="s">
        <v>136</v>
      </c>
      <c r="D58" s="1">
        <v>45985</v>
      </c>
      <c r="E58" s="25">
        <v>2</v>
      </c>
    </row>
    <row r="59" spans="1:5" x14ac:dyDescent="0.25">
      <c r="A59" t="s">
        <v>961</v>
      </c>
      <c r="B59" t="s">
        <v>181</v>
      </c>
      <c r="C59" t="s">
        <v>182</v>
      </c>
      <c r="D59" s="1">
        <v>45985</v>
      </c>
      <c r="E59" s="25">
        <v>1</v>
      </c>
    </row>
    <row r="60" spans="1:5" x14ac:dyDescent="0.25">
      <c r="A60" t="s">
        <v>961</v>
      </c>
      <c r="B60" t="s">
        <v>183</v>
      </c>
      <c r="C60" t="s">
        <v>184</v>
      </c>
      <c r="D60" s="1">
        <v>45985</v>
      </c>
      <c r="E60" s="25">
        <v>1</v>
      </c>
    </row>
    <row r="61" spans="1:5" x14ac:dyDescent="0.25">
      <c r="A61" t="s">
        <v>961</v>
      </c>
      <c r="B61" t="s">
        <v>549</v>
      </c>
      <c r="C61" t="s">
        <v>550</v>
      </c>
      <c r="D61" s="1">
        <v>45985</v>
      </c>
      <c r="E61" s="25">
        <v>1</v>
      </c>
    </row>
    <row r="62" spans="1:5" x14ac:dyDescent="0.25">
      <c r="A62" t="s">
        <v>961</v>
      </c>
      <c r="B62" t="s">
        <v>185</v>
      </c>
      <c r="C62" t="s">
        <v>186</v>
      </c>
      <c r="D62" s="1">
        <v>45985</v>
      </c>
      <c r="E62" s="25">
        <v>1</v>
      </c>
    </row>
    <row r="63" spans="1:5" x14ac:dyDescent="0.25">
      <c r="A63" t="s">
        <v>961</v>
      </c>
      <c r="B63" t="s">
        <v>189</v>
      </c>
      <c r="C63" t="s">
        <v>190</v>
      </c>
      <c r="D63" s="1">
        <v>45985</v>
      </c>
      <c r="E63" s="25">
        <v>1</v>
      </c>
    </row>
    <row r="64" spans="1:5" x14ac:dyDescent="0.25">
      <c r="A64" t="s">
        <v>961</v>
      </c>
      <c r="B64" t="s">
        <v>197</v>
      </c>
      <c r="C64" t="s">
        <v>198</v>
      </c>
      <c r="D64" s="1">
        <v>45985</v>
      </c>
      <c r="E64" s="25">
        <v>1</v>
      </c>
    </row>
    <row r="65" spans="1:5" x14ac:dyDescent="0.25">
      <c r="A65" t="s">
        <v>961</v>
      </c>
      <c r="B65" t="s">
        <v>567</v>
      </c>
      <c r="C65" t="s">
        <v>568</v>
      </c>
      <c r="D65" s="1">
        <v>45985</v>
      </c>
      <c r="E65" s="25">
        <v>1</v>
      </c>
    </row>
    <row r="66" spans="1:5" x14ac:dyDescent="0.25">
      <c r="A66" t="s">
        <v>961</v>
      </c>
      <c r="B66" t="s">
        <v>27</v>
      </c>
      <c r="C66" t="s">
        <v>137</v>
      </c>
      <c r="D66" s="1">
        <v>45985</v>
      </c>
      <c r="E66" s="25">
        <v>2</v>
      </c>
    </row>
    <row r="67" spans="1:5" x14ac:dyDescent="0.25">
      <c r="A67" t="s">
        <v>961</v>
      </c>
      <c r="B67" t="s">
        <v>585</v>
      </c>
      <c r="C67" t="s">
        <v>586</v>
      </c>
      <c r="D67" s="1">
        <v>45985</v>
      </c>
      <c r="E67" s="25">
        <v>1</v>
      </c>
    </row>
    <row r="68" spans="1:5" x14ac:dyDescent="0.25">
      <c r="A68" t="s">
        <v>961</v>
      </c>
      <c r="B68" t="s">
        <v>591</v>
      </c>
      <c r="C68" t="s">
        <v>592</v>
      </c>
      <c r="D68" s="1">
        <v>45985</v>
      </c>
      <c r="E68" s="25">
        <v>1</v>
      </c>
    </row>
    <row r="69" spans="1:5" x14ac:dyDescent="0.25">
      <c r="A69" t="s">
        <v>961</v>
      </c>
      <c r="B69" t="s">
        <v>208</v>
      </c>
      <c r="C69" t="s">
        <v>209</v>
      </c>
      <c r="D69" s="1">
        <v>45985</v>
      </c>
      <c r="E69" s="25">
        <v>2</v>
      </c>
    </row>
    <row r="70" spans="1:5" x14ac:dyDescent="0.25">
      <c r="A70" t="s">
        <v>961</v>
      </c>
      <c r="B70" t="s">
        <v>210</v>
      </c>
      <c r="C70" t="s">
        <v>211</v>
      </c>
      <c r="D70" s="1">
        <v>45985</v>
      </c>
      <c r="E70" s="25">
        <v>1</v>
      </c>
    </row>
    <row r="71" spans="1:5" x14ac:dyDescent="0.25">
      <c r="A71" t="s">
        <v>961</v>
      </c>
      <c r="B71" t="s">
        <v>216</v>
      </c>
      <c r="C71" t="s">
        <v>217</v>
      </c>
      <c r="D71" s="1">
        <v>45985</v>
      </c>
      <c r="E71" s="25">
        <v>1</v>
      </c>
    </row>
    <row r="72" spans="1:5" x14ac:dyDescent="0.25">
      <c r="A72" t="s">
        <v>961</v>
      </c>
      <c r="B72" t="s">
        <v>224</v>
      </c>
      <c r="C72" t="s">
        <v>225</v>
      </c>
      <c r="D72" s="1">
        <v>45985</v>
      </c>
      <c r="E72" s="25">
        <v>1</v>
      </c>
    </row>
    <row r="73" spans="1:5" x14ac:dyDescent="0.25">
      <c r="A73" t="s">
        <v>961</v>
      </c>
      <c r="B73" t="s">
        <v>627</v>
      </c>
      <c r="C73" t="s">
        <v>628</v>
      </c>
      <c r="D73" s="1">
        <v>45985</v>
      </c>
      <c r="E73" s="25">
        <v>2</v>
      </c>
    </row>
    <row r="74" spans="1:5" x14ac:dyDescent="0.25">
      <c r="A74" t="s">
        <v>961</v>
      </c>
      <c r="B74" t="s">
        <v>228</v>
      </c>
      <c r="C74" t="s">
        <v>229</v>
      </c>
      <c r="D74" s="1">
        <v>45985</v>
      </c>
      <c r="E74" s="25">
        <v>1</v>
      </c>
    </row>
    <row r="75" spans="1:5" x14ac:dyDescent="0.25">
      <c r="A75" t="s">
        <v>961</v>
      </c>
      <c r="B75" t="s">
        <v>230</v>
      </c>
      <c r="C75" t="s">
        <v>231</v>
      </c>
      <c r="D75" s="1">
        <v>45985</v>
      </c>
      <c r="E75" s="25">
        <v>1</v>
      </c>
    </row>
    <row r="76" spans="1:5" x14ac:dyDescent="0.25">
      <c r="A76" t="s">
        <v>961</v>
      </c>
      <c r="B76" t="s">
        <v>629</v>
      </c>
      <c r="C76" t="s">
        <v>630</v>
      </c>
      <c r="D76" s="1">
        <v>45985</v>
      </c>
      <c r="E76" s="25">
        <v>1</v>
      </c>
    </row>
    <row r="77" spans="1:5" x14ac:dyDescent="0.25">
      <c r="A77" t="s">
        <v>961</v>
      </c>
      <c r="B77" t="s">
        <v>641</v>
      </c>
      <c r="C77" t="s">
        <v>642</v>
      </c>
      <c r="D77" s="1">
        <v>45985</v>
      </c>
      <c r="E77" s="25">
        <v>1</v>
      </c>
    </row>
    <row r="78" spans="1:5" x14ac:dyDescent="0.25">
      <c r="A78" t="s">
        <v>961</v>
      </c>
      <c r="B78" t="s">
        <v>730</v>
      </c>
      <c r="C78" t="s">
        <v>731</v>
      </c>
      <c r="D78" s="1">
        <v>45985</v>
      </c>
      <c r="E78" s="25">
        <v>1</v>
      </c>
    </row>
    <row r="79" spans="1:5" x14ac:dyDescent="0.25">
      <c r="A79" t="s">
        <v>961</v>
      </c>
      <c r="B79" t="s">
        <v>247</v>
      </c>
      <c r="C79" t="s">
        <v>248</v>
      </c>
      <c r="D79" s="1">
        <v>45985</v>
      </c>
      <c r="E79" s="25">
        <v>2</v>
      </c>
    </row>
    <row r="80" spans="1:5" x14ac:dyDescent="0.25">
      <c r="A80" t="s">
        <v>961</v>
      </c>
      <c r="B80" t="s">
        <v>653</v>
      </c>
      <c r="C80" t="s">
        <v>654</v>
      </c>
      <c r="D80" s="1">
        <v>45985</v>
      </c>
      <c r="E80" s="25">
        <v>1</v>
      </c>
    </row>
    <row r="81" spans="1:5" x14ac:dyDescent="0.25">
      <c r="A81" t="s">
        <v>961</v>
      </c>
      <c r="B81" t="s">
        <v>655</v>
      </c>
      <c r="C81" t="s">
        <v>656</v>
      </c>
      <c r="D81" s="1">
        <v>45985</v>
      </c>
      <c r="E81" s="25">
        <v>1</v>
      </c>
    </row>
    <row r="82" spans="1:5" x14ac:dyDescent="0.25">
      <c r="A82" t="s">
        <v>961</v>
      </c>
      <c r="B82" t="s">
        <v>657</v>
      </c>
      <c r="C82" t="s">
        <v>658</v>
      </c>
      <c r="D82" s="1">
        <v>45985</v>
      </c>
      <c r="E82" s="25">
        <v>2</v>
      </c>
    </row>
    <row r="83" spans="1:5" x14ac:dyDescent="0.25">
      <c r="A83" t="s">
        <v>961</v>
      </c>
      <c r="B83" t="s">
        <v>659</v>
      </c>
      <c r="C83" t="s">
        <v>660</v>
      </c>
      <c r="D83" s="1">
        <v>45985</v>
      </c>
      <c r="E83" s="25">
        <v>2</v>
      </c>
    </row>
    <row r="84" spans="1:5" x14ac:dyDescent="0.25">
      <c r="A84" t="s">
        <v>961</v>
      </c>
      <c r="B84" t="s">
        <v>665</v>
      </c>
      <c r="C84" t="s">
        <v>666</v>
      </c>
      <c r="D84" s="1">
        <v>45985</v>
      </c>
      <c r="E84" s="25">
        <v>1</v>
      </c>
    </row>
    <row r="85" spans="1:5" x14ac:dyDescent="0.25">
      <c r="A85" t="s">
        <v>961</v>
      </c>
      <c r="B85" t="s">
        <v>667</v>
      </c>
      <c r="C85" t="s">
        <v>668</v>
      </c>
      <c r="D85" s="1">
        <v>45985</v>
      </c>
      <c r="E85" s="25">
        <v>1</v>
      </c>
    </row>
    <row r="86" spans="1:5" x14ac:dyDescent="0.25">
      <c r="A86" t="s">
        <v>961</v>
      </c>
      <c r="B86" t="s">
        <v>734</v>
      </c>
      <c r="C86" t="s">
        <v>735</v>
      </c>
      <c r="D86" s="1">
        <v>45985</v>
      </c>
      <c r="E86" s="25">
        <v>1</v>
      </c>
    </row>
    <row r="87" spans="1:5" x14ac:dyDescent="0.25">
      <c r="A87" t="s">
        <v>961</v>
      </c>
      <c r="B87" t="s">
        <v>675</v>
      </c>
      <c r="C87" t="s">
        <v>676</v>
      </c>
      <c r="D87" s="1">
        <v>45985</v>
      </c>
      <c r="E87" s="25">
        <v>1</v>
      </c>
    </row>
    <row r="88" spans="1:5" x14ac:dyDescent="0.25">
      <c r="A88" t="s">
        <v>961</v>
      </c>
      <c r="B88" t="s">
        <v>677</v>
      </c>
      <c r="C88" t="s">
        <v>678</v>
      </c>
      <c r="D88" s="1">
        <v>45985</v>
      </c>
      <c r="E88" s="25">
        <v>1</v>
      </c>
    </row>
    <row r="89" spans="1:5" x14ac:dyDescent="0.25">
      <c r="A89" t="s">
        <v>961</v>
      </c>
      <c r="B89" t="s">
        <v>286</v>
      </c>
      <c r="C89" t="s">
        <v>287</v>
      </c>
      <c r="D89" s="1">
        <v>45985</v>
      </c>
      <c r="E89" s="25">
        <v>6</v>
      </c>
    </row>
    <row r="90" spans="1:5" x14ac:dyDescent="0.25">
      <c r="A90" t="s">
        <v>961</v>
      </c>
      <c r="B90" t="s">
        <v>736</v>
      </c>
      <c r="C90" t="s">
        <v>737</v>
      </c>
      <c r="D90" s="1">
        <v>45985</v>
      </c>
      <c r="E90" s="25">
        <v>1</v>
      </c>
    </row>
    <row r="91" spans="1:5" x14ac:dyDescent="0.25">
      <c r="A91" t="s">
        <v>961</v>
      </c>
      <c r="B91" t="s">
        <v>679</v>
      </c>
      <c r="C91" t="s">
        <v>680</v>
      </c>
      <c r="D91" s="1">
        <v>45985</v>
      </c>
      <c r="E91" s="25">
        <v>6</v>
      </c>
    </row>
    <row r="92" spans="1:5" x14ac:dyDescent="0.25">
      <c r="A92" t="s">
        <v>961</v>
      </c>
      <c r="B92" t="s">
        <v>681</v>
      </c>
      <c r="C92" t="s">
        <v>682</v>
      </c>
      <c r="D92" s="1">
        <v>45985</v>
      </c>
      <c r="E92" s="25">
        <v>2</v>
      </c>
    </row>
    <row r="93" spans="1:5" x14ac:dyDescent="0.25">
      <c r="A93" t="s">
        <v>961</v>
      </c>
      <c r="B93" t="s">
        <v>288</v>
      </c>
      <c r="C93" t="s">
        <v>289</v>
      </c>
      <c r="D93" s="1">
        <v>45985</v>
      </c>
      <c r="E93" s="25">
        <v>2</v>
      </c>
    </row>
    <row r="94" spans="1:5" x14ac:dyDescent="0.25">
      <c r="A94" t="s">
        <v>961</v>
      </c>
      <c r="B94" t="s">
        <v>290</v>
      </c>
      <c r="C94" t="s">
        <v>291</v>
      </c>
      <c r="D94" s="1">
        <v>45985</v>
      </c>
      <c r="E94" s="25">
        <v>1</v>
      </c>
    </row>
    <row r="95" spans="1:5" x14ac:dyDescent="0.25">
      <c r="A95" t="s">
        <v>961</v>
      </c>
      <c r="B95" t="s">
        <v>292</v>
      </c>
      <c r="C95" t="s">
        <v>293</v>
      </c>
      <c r="D95" s="1">
        <v>45985</v>
      </c>
      <c r="E95" s="25">
        <v>1</v>
      </c>
    </row>
    <row r="96" spans="1:5" x14ac:dyDescent="0.25">
      <c r="A96" t="s">
        <v>961</v>
      </c>
      <c r="B96" t="s">
        <v>294</v>
      </c>
      <c r="C96" t="s">
        <v>295</v>
      </c>
      <c r="D96" s="1">
        <v>45985</v>
      </c>
      <c r="E96" s="25">
        <v>2</v>
      </c>
    </row>
    <row r="97" spans="1:5" x14ac:dyDescent="0.25">
      <c r="A97" t="s">
        <v>961</v>
      </c>
      <c r="B97" t="s">
        <v>740</v>
      </c>
      <c r="C97" t="s">
        <v>741</v>
      </c>
      <c r="D97" s="1">
        <v>45985</v>
      </c>
      <c r="E97" s="25">
        <v>1</v>
      </c>
    </row>
    <row r="98" spans="1:5" x14ac:dyDescent="0.25">
      <c r="A98" t="s">
        <v>961</v>
      </c>
      <c r="B98" t="s">
        <v>742</v>
      </c>
      <c r="C98" t="s">
        <v>743</v>
      </c>
      <c r="D98" s="1">
        <v>45985</v>
      </c>
      <c r="E98" s="25">
        <v>1</v>
      </c>
    </row>
    <row r="99" spans="1:5" x14ac:dyDescent="0.25">
      <c r="A99" t="s">
        <v>961</v>
      </c>
      <c r="B99" t="s">
        <v>690</v>
      </c>
      <c r="C99" t="s">
        <v>691</v>
      </c>
      <c r="D99" s="1">
        <v>45985</v>
      </c>
      <c r="E99" s="25">
        <v>1</v>
      </c>
    </row>
    <row r="100" spans="1:5" x14ac:dyDescent="0.25">
      <c r="A100" t="s">
        <v>961</v>
      </c>
      <c r="B100" t="s">
        <v>516</v>
      </c>
      <c r="C100" t="s">
        <v>517</v>
      </c>
      <c r="D100" s="1">
        <v>45985</v>
      </c>
      <c r="E100" s="25">
        <v>10</v>
      </c>
    </row>
    <row r="101" spans="1:5" x14ac:dyDescent="0.25">
      <c r="A101" t="s">
        <v>962</v>
      </c>
      <c r="B101" t="s">
        <v>51</v>
      </c>
      <c r="C101" t="s">
        <v>52</v>
      </c>
      <c r="D101" s="1">
        <v>45946</v>
      </c>
      <c r="E101" s="25">
        <v>5</v>
      </c>
    </row>
    <row r="102" spans="1:5" x14ac:dyDescent="0.25">
      <c r="A102" t="s">
        <v>962</v>
      </c>
      <c r="B102" t="s">
        <v>903</v>
      </c>
      <c r="C102" t="s">
        <v>904</v>
      </c>
      <c r="D102" s="1">
        <v>45946</v>
      </c>
      <c r="E102" s="25">
        <v>1</v>
      </c>
    </row>
    <row r="103" spans="1:5" x14ac:dyDescent="0.25">
      <c r="A103" t="s">
        <v>962</v>
      </c>
      <c r="B103" t="s">
        <v>79</v>
      </c>
      <c r="C103" t="s">
        <v>80</v>
      </c>
      <c r="D103" s="1">
        <v>45946</v>
      </c>
      <c r="E103" s="25">
        <v>2</v>
      </c>
    </row>
    <row r="104" spans="1:5" x14ac:dyDescent="0.25">
      <c r="A104" t="s">
        <v>962</v>
      </c>
      <c r="B104" t="s">
        <v>85</v>
      </c>
      <c r="C104" t="s">
        <v>86</v>
      </c>
      <c r="D104" s="1">
        <v>45946</v>
      </c>
      <c r="E104" s="25">
        <v>2</v>
      </c>
    </row>
    <row r="105" spans="1:5" x14ac:dyDescent="0.25">
      <c r="A105" t="s">
        <v>962</v>
      </c>
      <c r="B105" t="s">
        <v>133</v>
      </c>
      <c r="C105" t="s">
        <v>499</v>
      </c>
      <c r="D105" s="1">
        <v>45946</v>
      </c>
      <c r="E105" s="25">
        <v>1</v>
      </c>
    </row>
    <row r="106" spans="1:5" x14ac:dyDescent="0.25">
      <c r="A106" t="s">
        <v>984</v>
      </c>
      <c r="B106" t="s">
        <v>987</v>
      </c>
      <c r="C106" t="s">
        <v>988</v>
      </c>
      <c r="D106" s="1">
        <v>45992</v>
      </c>
      <c r="E106" s="25">
        <v>2</v>
      </c>
    </row>
    <row r="107" spans="1:5" x14ac:dyDescent="0.25">
      <c r="A107" t="s">
        <v>984</v>
      </c>
      <c r="B107" t="s">
        <v>991</v>
      </c>
      <c r="C107" t="s">
        <v>992</v>
      </c>
      <c r="D107" s="1">
        <v>45992</v>
      </c>
      <c r="E107" s="25">
        <v>4</v>
      </c>
    </row>
    <row r="108" spans="1:5" x14ac:dyDescent="0.25">
      <c r="A108" t="s">
        <v>984</v>
      </c>
      <c r="B108" t="s">
        <v>999</v>
      </c>
      <c r="C108" t="s">
        <v>1000</v>
      </c>
      <c r="D108" s="1">
        <v>45992</v>
      </c>
      <c r="E108" s="25">
        <v>1</v>
      </c>
    </row>
    <row r="109" spans="1:5" x14ac:dyDescent="0.25">
      <c r="A109" t="s">
        <v>984</v>
      </c>
      <c r="B109" t="s">
        <v>1001</v>
      </c>
      <c r="C109" t="s">
        <v>1002</v>
      </c>
      <c r="D109" s="1">
        <v>45992</v>
      </c>
      <c r="E109" s="25">
        <v>2</v>
      </c>
    </row>
    <row r="110" spans="1:5" x14ac:dyDescent="0.25">
      <c r="A110" t="s">
        <v>984</v>
      </c>
      <c r="B110" t="s">
        <v>1003</v>
      </c>
      <c r="C110" t="s">
        <v>1004</v>
      </c>
      <c r="D110" s="1">
        <v>45992</v>
      </c>
      <c r="E110" s="25">
        <v>2</v>
      </c>
    </row>
    <row r="111" spans="1:5" x14ac:dyDescent="0.25">
      <c r="A111" t="s">
        <v>984</v>
      </c>
      <c r="B111" t="s">
        <v>1017</v>
      </c>
      <c r="C111" t="s">
        <v>1018</v>
      </c>
      <c r="D111" s="1">
        <v>45992</v>
      </c>
      <c r="E111" s="25">
        <v>2</v>
      </c>
    </row>
    <row r="112" spans="1:5" x14ac:dyDescent="0.25">
      <c r="A112" t="s">
        <v>984</v>
      </c>
      <c r="B112" t="s">
        <v>1019</v>
      </c>
      <c r="C112" t="s">
        <v>1020</v>
      </c>
      <c r="D112" s="1">
        <v>45992</v>
      </c>
      <c r="E112" s="25">
        <v>2</v>
      </c>
    </row>
    <row r="113" spans="1:5" x14ac:dyDescent="0.25">
      <c r="A113" t="s">
        <v>984</v>
      </c>
      <c r="B113" t="s">
        <v>1021</v>
      </c>
      <c r="C113" t="s">
        <v>1022</v>
      </c>
      <c r="D113" s="1">
        <v>45992</v>
      </c>
      <c r="E113" s="25">
        <v>2</v>
      </c>
    </row>
    <row r="114" spans="1:5" x14ac:dyDescent="0.25">
      <c r="A114" t="s">
        <v>984</v>
      </c>
      <c r="B114" t="s">
        <v>1023</v>
      </c>
      <c r="C114" t="s">
        <v>1024</v>
      </c>
      <c r="D114" s="1">
        <v>45992</v>
      </c>
      <c r="E114" s="25">
        <v>2</v>
      </c>
    </row>
    <row r="115" spans="1:5" x14ac:dyDescent="0.25">
      <c r="A115" t="s">
        <v>984</v>
      </c>
      <c r="B115" t="s">
        <v>1025</v>
      </c>
      <c r="C115" t="s">
        <v>1026</v>
      </c>
      <c r="D115" s="1">
        <v>45992</v>
      </c>
      <c r="E115" s="25">
        <v>4</v>
      </c>
    </row>
    <row r="116" spans="1:5" x14ac:dyDescent="0.25">
      <c r="A116" t="s">
        <v>984</v>
      </c>
      <c r="B116" t="s">
        <v>1027</v>
      </c>
      <c r="C116" t="s">
        <v>1028</v>
      </c>
      <c r="D116" s="1">
        <v>45992</v>
      </c>
      <c r="E116" s="25">
        <v>8</v>
      </c>
    </row>
    <row r="117" spans="1:5" x14ac:dyDescent="0.25">
      <c r="A117" t="s">
        <v>984</v>
      </c>
      <c r="B117" t="s">
        <v>1029</v>
      </c>
      <c r="C117" t="s">
        <v>1030</v>
      </c>
      <c r="D117" s="1">
        <v>45992</v>
      </c>
      <c r="E117" s="25">
        <v>2</v>
      </c>
    </row>
    <row r="118" spans="1:5" x14ac:dyDescent="0.25">
      <c r="A118" t="s">
        <v>984</v>
      </c>
      <c r="B118" t="s">
        <v>1031</v>
      </c>
      <c r="C118" t="s">
        <v>1032</v>
      </c>
      <c r="D118" s="1">
        <v>45992</v>
      </c>
      <c r="E118" s="25">
        <v>4</v>
      </c>
    </row>
    <row r="119" spans="1:5" x14ac:dyDescent="0.25">
      <c r="A119" t="s">
        <v>984</v>
      </c>
      <c r="B119" t="s">
        <v>1037</v>
      </c>
      <c r="C119" t="s">
        <v>1038</v>
      </c>
      <c r="D119" s="1">
        <v>45992</v>
      </c>
      <c r="E119" s="25">
        <v>2</v>
      </c>
    </row>
    <row r="120" spans="1:5" x14ac:dyDescent="0.25">
      <c r="A120" t="s">
        <v>984</v>
      </c>
      <c r="B120" t="s">
        <v>1039</v>
      </c>
      <c r="C120" t="s">
        <v>1040</v>
      </c>
      <c r="D120" s="1">
        <v>45992</v>
      </c>
      <c r="E120" s="25">
        <v>2</v>
      </c>
    </row>
    <row r="121" spans="1:5" x14ac:dyDescent="0.25">
      <c r="A121" t="s">
        <v>984</v>
      </c>
      <c r="B121" t="s">
        <v>1041</v>
      </c>
      <c r="C121" t="s">
        <v>1042</v>
      </c>
      <c r="D121" s="1">
        <v>45992</v>
      </c>
      <c r="E121" s="25">
        <v>2</v>
      </c>
    </row>
    <row r="122" spans="1:5" x14ac:dyDescent="0.25">
      <c r="A122" t="s">
        <v>984</v>
      </c>
      <c r="B122" t="s">
        <v>1045</v>
      </c>
      <c r="C122" t="s">
        <v>1046</v>
      </c>
      <c r="D122" s="1">
        <v>45992</v>
      </c>
      <c r="E122" s="25">
        <v>1</v>
      </c>
    </row>
    <row r="123" spans="1:5" x14ac:dyDescent="0.25">
      <c r="A123" t="s">
        <v>984</v>
      </c>
      <c r="B123" t="s">
        <v>1059</v>
      </c>
      <c r="C123" t="s">
        <v>1060</v>
      </c>
      <c r="D123" s="1">
        <v>45992</v>
      </c>
      <c r="E123" s="25">
        <v>2</v>
      </c>
    </row>
    <row r="124" spans="1:5" x14ac:dyDescent="0.25">
      <c r="A124" t="s">
        <v>984</v>
      </c>
      <c r="B124" t="s">
        <v>1061</v>
      </c>
      <c r="C124" t="s">
        <v>1062</v>
      </c>
      <c r="D124" s="1">
        <v>45992</v>
      </c>
      <c r="E124" s="25">
        <v>2</v>
      </c>
    </row>
    <row r="125" spans="1:5" x14ac:dyDescent="0.25">
      <c r="A125" t="s">
        <v>984</v>
      </c>
      <c r="B125" t="s">
        <v>1071</v>
      </c>
      <c r="C125" t="s">
        <v>1072</v>
      </c>
      <c r="D125" s="1">
        <v>45992</v>
      </c>
      <c r="E125" s="25">
        <v>2</v>
      </c>
    </row>
    <row r="126" spans="1:5" x14ac:dyDescent="0.25">
      <c r="A126" t="s">
        <v>984</v>
      </c>
      <c r="B126" t="s">
        <v>1073</v>
      </c>
      <c r="C126" t="s">
        <v>1074</v>
      </c>
      <c r="D126" s="1">
        <v>45992</v>
      </c>
      <c r="E126" s="25">
        <v>2</v>
      </c>
    </row>
    <row r="127" spans="1:5" x14ac:dyDescent="0.25">
      <c r="A127" t="s">
        <v>984</v>
      </c>
      <c r="B127" t="s">
        <v>1081</v>
      </c>
      <c r="C127" t="s">
        <v>1082</v>
      </c>
      <c r="D127" s="1">
        <v>45992</v>
      </c>
      <c r="E127" s="25">
        <v>1</v>
      </c>
    </row>
    <row r="128" spans="1:5" x14ac:dyDescent="0.25">
      <c r="A128" t="s">
        <v>984</v>
      </c>
      <c r="B128" t="s">
        <v>1083</v>
      </c>
      <c r="C128" t="s">
        <v>1084</v>
      </c>
      <c r="D128" s="1">
        <v>45992</v>
      </c>
      <c r="E128" s="25">
        <v>1</v>
      </c>
    </row>
    <row r="129" spans="1:5" x14ac:dyDescent="0.25">
      <c r="A129" t="s">
        <v>984</v>
      </c>
      <c r="B129" t="s">
        <v>1085</v>
      </c>
      <c r="C129" t="s">
        <v>1086</v>
      </c>
      <c r="D129" s="1">
        <v>45992</v>
      </c>
      <c r="E129" s="25">
        <v>2</v>
      </c>
    </row>
    <row r="130" spans="1:5" x14ac:dyDescent="0.25">
      <c r="A130" t="s">
        <v>984</v>
      </c>
      <c r="B130" t="s">
        <v>1089</v>
      </c>
      <c r="C130" t="s">
        <v>1090</v>
      </c>
      <c r="D130" s="1">
        <v>45992</v>
      </c>
      <c r="E130" s="25">
        <v>4</v>
      </c>
    </row>
    <row r="131" spans="1:5" x14ac:dyDescent="0.25">
      <c r="A131" t="s">
        <v>984</v>
      </c>
      <c r="B131" t="s">
        <v>1091</v>
      </c>
      <c r="C131" t="s">
        <v>1092</v>
      </c>
      <c r="D131" s="1">
        <v>45992</v>
      </c>
      <c r="E131" s="25">
        <v>4</v>
      </c>
    </row>
    <row r="132" spans="1:5" x14ac:dyDescent="0.25">
      <c r="A132" t="s">
        <v>984</v>
      </c>
      <c r="B132" t="s">
        <v>1093</v>
      </c>
      <c r="C132" t="s">
        <v>1094</v>
      </c>
      <c r="D132" s="1">
        <v>45992</v>
      </c>
      <c r="E132" s="25">
        <v>8</v>
      </c>
    </row>
    <row r="133" spans="1:5" x14ac:dyDescent="0.25">
      <c r="A133" t="s">
        <v>984</v>
      </c>
      <c r="B133" t="s">
        <v>1095</v>
      </c>
      <c r="C133" t="s">
        <v>1096</v>
      </c>
      <c r="D133" s="1">
        <v>45992</v>
      </c>
      <c r="E133" s="25">
        <v>4</v>
      </c>
    </row>
    <row r="134" spans="1:5" x14ac:dyDescent="0.25">
      <c r="A134" t="s">
        <v>984</v>
      </c>
      <c r="B134" t="s">
        <v>1099</v>
      </c>
      <c r="C134" t="s">
        <v>1100</v>
      </c>
      <c r="D134" s="1">
        <v>45992</v>
      </c>
      <c r="E134" s="25">
        <v>4</v>
      </c>
    </row>
    <row r="135" spans="1:5" x14ac:dyDescent="0.25">
      <c r="A135" t="s">
        <v>984</v>
      </c>
      <c r="B135" t="s">
        <v>1109</v>
      </c>
      <c r="C135" t="s">
        <v>1110</v>
      </c>
      <c r="D135" s="1">
        <v>45992</v>
      </c>
      <c r="E135" s="25">
        <v>1</v>
      </c>
    </row>
    <row r="136" spans="1:5" x14ac:dyDescent="0.25">
      <c r="A136" t="s">
        <v>984</v>
      </c>
      <c r="B136" t="s">
        <v>1111</v>
      </c>
      <c r="C136" t="s">
        <v>1112</v>
      </c>
      <c r="D136" s="1">
        <v>45992</v>
      </c>
      <c r="E136" s="25">
        <v>8</v>
      </c>
    </row>
    <row r="137" spans="1:5" x14ac:dyDescent="0.25">
      <c r="A137" t="s">
        <v>984</v>
      </c>
      <c r="B137" t="s">
        <v>1115</v>
      </c>
      <c r="C137" t="s">
        <v>1116</v>
      </c>
      <c r="D137" s="1">
        <v>45992</v>
      </c>
      <c r="E137" s="25">
        <v>4</v>
      </c>
    </row>
    <row r="138" spans="1:5" x14ac:dyDescent="0.25">
      <c r="A138" t="s">
        <v>984</v>
      </c>
      <c r="B138" t="s">
        <v>1123</v>
      </c>
      <c r="C138" t="s">
        <v>1124</v>
      </c>
      <c r="D138" s="1">
        <v>45992</v>
      </c>
      <c r="E138" s="25">
        <v>16</v>
      </c>
    </row>
    <row r="139" spans="1:5" x14ac:dyDescent="0.25">
      <c r="A139" t="s">
        <v>984</v>
      </c>
      <c r="B139" t="s">
        <v>1133</v>
      </c>
      <c r="C139" t="s">
        <v>1134</v>
      </c>
      <c r="D139" s="1">
        <v>45992</v>
      </c>
      <c r="E139" s="25">
        <v>2</v>
      </c>
    </row>
    <row r="140" spans="1:5" x14ac:dyDescent="0.25">
      <c r="A140" t="s">
        <v>984</v>
      </c>
      <c r="B140" t="s">
        <v>1135</v>
      </c>
      <c r="C140" t="s">
        <v>1136</v>
      </c>
      <c r="D140" s="1">
        <v>45992</v>
      </c>
      <c r="E140" s="25">
        <v>2</v>
      </c>
    </row>
    <row r="141" spans="1:5" x14ac:dyDescent="0.25">
      <c r="A141" t="s">
        <v>984</v>
      </c>
      <c r="B141" t="s">
        <v>1139</v>
      </c>
      <c r="C141" t="s">
        <v>1140</v>
      </c>
      <c r="D141" s="1">
        <v>45992</v>
      </c>
      <c r="E141" s="25">
        <v>2</v>
      </c>
    </row>
    <row r="142" spans="1:5" x14ac:dyDescent="0.25">
      <c r="A142" t="s">
        <v>984</v>
      </c>
      <c r="B142" t="s">
        <v>1141</v>
      </c>
      <c r="C142" t="s">
        <v>1142</v>
      </c>
      <c r="D142" s="1">
        <v>45992</v>
      </c>
      <c r="E142" s="25">
        <v>2</v>
      </c>
    </row>
    <row r="143" spans="1:5" x14ac:dyDescent="0.25">
      <c r="A143" t="s">
        <v>984</v>
      </c>
      <c r="B143" t="s">
        <v>1145</v>
      </c>
      <c r="C143" t="s">
        <v>1146</v>
      </c>
      <c r="D143" s="1">
        <v>45992</v>
      </c>
      <c r="E143" s="25">
        <v>4</v>
      </c>
    </row>
    <row r="144" spans="1:5" x14ac:dyDescent="0.25">
      <c r="A144" t="s">
        <v>984</v>
      </c>
      <c r="B144" t="s">
        <v>1147</v>
      </c>
      <c r="C144" t="s">
        <v>1148</v>
      </c>
      <c r="D144" s="1">
        <v>45992</v>
      </c>
      <c r="E144" s="25">
        <v>2</v>
      </c>
    </row>
    <row r="145" spans="1:5" x14ac:dyDescent="0.25">
      <c r="A145" t="s">
        <v>984</v>
      </c>
      <c r="B145" t="s">
        <v>1151</v>
      </c>
      <c r="C145" t="s">
        <v>1152</v>
      </c>
      <c r="D145" s="1">
        <v>45992</v>
      </c>
      <c r="E145" s="25">
        <v>2</v>
      </c>
    </row>
    <row r="146" spans="1:5" x14ac:dyDescent="0.25">
      <c r="A146" t="s">
        <v>984</v>
      </c>
      <c r="B146" t="s">
        <v>1153</v>
      </c>
      <c r="C146" t="s">
        <v>1154</v>
      </c>
      <c r="D146" s="1">
        <v>45992</v>
      </c>
      <c r="E146" s="25">
        <v>2</v>
      </c>
    </row>
    <row r="147" spans="1:5" x14ac:dyDescent="0.25">
      <c r="A147" t="s">
        <v>984</v>
      </c>
      <c r="B147" t="s">
        <v>1155</v>
      </c>
      <c r="C147" t="s">
        <v>1156</v>
      </c>
      <c r="D147" s="1">
        <v>45992</v>
      </c>
      <c r="E147" s="25">
        <v>2</v>
      </c>
    </row>
    <row r="148" spans="1:5" x14ac:dyDescent="0.25">
      <c r="A148" t="s">
        <v>984</v>
      </c>
      <c r="B148" t="s">
        <v>1159</v>
      </c>
      <c r="C148" t="s">
        <v>1160</v>
      </c>
      <c r="D148" s="1">
        <v>45992</v>
      </c>
      <c r="E148" s="25">
        <v>2</v>
      </c>
    </row>
    <row r="149" spans="1:5" x14ac:dyDescent="0.25">
      <c r="A149" t="s">
        <v>984</v>
      </c>
      <c r="B149" t="s">
        <v>1161</v>
      </c>
      <c r="C149" t="s">
        <v>1162</v>
      </c>
      <c r="D149" s="1">
        <v>45992</v>
      </c>
      <c r="E149" s="25">
        <v>4</v>
      </c>
    </row>
    <row r="150" spans="1:5" x14ac:dyDescent="0.25">
      <c r="A150" t="s">
        <v>984</v>
      </c>
      <c r="B150" t="s">
        <v>1167</v>
      </c>
      <c r="C150" t="s">
        <v>1168</v>
      </c>
      <c r="D150" s="1">
        <v>45992</v>
      </c>
      <c r="E150" s="25">
        <v>2</v>
      </c>
    </row>
    <row r="151" spans="1:5" x14ac:dyDescent="0.25">
      <c r="A151" t="s">
        <v>984</v>
      </c>
      <c r="B151" t="s">
        <v>1171</v>
      </c>
      <c r="C151" t="s">
        <v>1172</v>
      </c>
      <c r="D151" s="1">
        <v>45992</v>
      </c>
      <c r="E151" s="25">
        <v>2</v>
      </c>
    </row>
    <row r="152" spans="1:5" x14ac:dyDescent="0.25">
      <c r="A152" t="s">
        <v>984</v>
      </c>
      <c r="B152" t="s">
        <v>1175</v>
      </c>
      <c r="C152" t="s">
        <v>1176</v>
      </c>
      <c r="D152" s="1">
        <v>45992</v>
      </c>
      <c r="E152" s="25">
        <v>2</v>
      </c>
    </row>
    <row r="153" spans="1:5" x14ac:dyDescent="0.25">
      <c r="A153" t="s">
        <v>984</v>
      </c>
      <c r="B153" t="s">
        <v>1177</v>
      </c>
      <c r="C153" t="s">
        <v>1178</v>
      </c>
      <c r="D153" s="1">
        <v>45992</v>
      </c>
      <c r="E153" s="25">
        <v>4</v>
      </c>
    </row>
    <row r="154" spans="1:5" x14ac:dyDescent="0.25">
      <c r="A154" t="s">
        <v>984</v>
      </c>
      <c r="B154" t="s">
        <v>1179</v>
      </c>
      <c r="C154" t="s">
        <v>1180</v>
      </c>
      <c r="D154" s="1">
        <v>45992</v>
      </c>
      <c r="E154" s="25">
        <v>2</v>
      </c>
    </row>
    <row r="155" spans="1:5" x14ac:dyDescent="0.25">
      <c r="A155" t="s">
        <v>984</v>
      </c>
      <c r="B155" t="s">
        <v>1187</v>
      </c>
      <c r="C155" t="s">
        <v>1188</v>
      </c>
      <c r="D155" s="1">
        <v>45992</v>
      </c>
      <c r="E155" s="25">
        <v>4</v>
      </c>
    </row>
    <row r="156" spans="1:5" x14ac:dyDescent="0.25">
      <c r="A156" t="s">
        <v>984</v>
      </c>
      <c r="B156" t="s">
        <v>1189</v>
      </c>
      <c r="C156" t="s">
        <v>1190</v>
      </c>
      <c r="D156" s="1">
        <v>45992</v>
      </c>
      <c r="E156" s="25">
        <v>2</v>
      </c>
    </row>
    <row r="157" spans="1:5" x14ac:dyDescent="0.25">
      <c r="A157" t="s">
        <v>984</v>
      </c>
      <c r="B157" t="s">
        <v>1195</v>
      </c>
      <c r="C157" t="s">
        <v>1196</v>
      </c>
      <c r="D157" s="1">
        <v>45992</v>
      </c>
      <c r="E157" s="25">
        <v>2</v>
      </c>
    </row>
    <row r="158" spans="1:5" x14ac:dyDescent="0.25">
      <c r="A158" t="s">
        <v>984</v>
      </c>
      <c r="B158" t="s">
        <v>1209</v>
      </c>
      <c r="C158" t="s">
        <v>1210</v>
      </c>
      <c r="D158" s="1">
        <v>45992</v>
      </c>
      <c r="E158" s="25">
        <v>2</v>
      </c>
    </row>
    <row r="159" spans="1:5" x14ac:dyDescent="0.25">
      <c r="A159" t="s">
        <v>984</v>
      </c>
      <c r="B159" t="s">
        <v>1213</v>
      </c>
      <c r="C159" t="s">
        <v>1214</v>
      </c>
      <c r="D159" s="1">
        <v>45992</v>
      </c>
      <c r="E159" s="25">
        <v>1</v>
      </c>
    </row>
    <row r="160" spans="1:5" x14ac:dyDescent="0.25">
      <c r="A160" t="s">
        <v>984</v>
      </c>
      <c r="B160" t="s">
        <v>1215</v>
      </c>
      <c r="C160" t="s">
        <v>1216</v>
      </c>
      <c r="D160" s="1">
        <v>45992</v>
      </c>
      <c r="E160" s="25">
        <v>2</v>
      </c>
    </row>
    <row r="161" spans="1:5" x14ac:dyDescent="0.25">
      <c r="A161" t="s">
        <v>984</v>
      </c>
      <c r="B161" t="s">
        <v>1223</v>
      </c>
      <c r="C161" t="s">
        <v>1224</v>
      </c>
      <c r="D161" s="1">
        <v>45992</v>
      </c>
      <c r="E161" s="25">
        <v>8</v>
      </c>
    </row>
    <row r="162" spans="1:5" x14ac:dyDescent="0.25">
      <c r="A162" t="s">
        <v>984</v>
      </c>
      <c r="B162" t="s">
        <v>1225</v>
      </c>
      <c r="C162" t="s">
        <v>1226</v>
      </c>
      <c r="D162" s="1">
        <v>45992</v>
      </c>
      <c r="E162" s="25">
        <v>8</v>
      </c>
    </row>
    <row r="163" spans="1:5" x14ac:dyDescent="0.25">
      <c r="A163" t="s">
        <v>984</v>
      </c>
      <c r="B163" t="s">
        <v>1233</v>
      </c>
      <c r="C163" t="s">
        <v>1234</v>
      </c>
      <c r="D163" s="1">
        <v>45992</v>
      </c>
      <c r="E163" s="25">
        <v>2</v>
      </c>
    </row>
    <row r="164" spans="1:5" x14ac:dyDescent="0.25">
      <c r="A164" t="s">
        <v>984</v>
      </c>
      <c r="B164" t="s">
        <v>1235</v>
      </c>
      <c r="C164" t="s">
        <v>1236</v>
      </c>
      <c r="D164" s="1">
        <v>45992</v>
      </c>
      <c r="E164" s="25">
        <v>2</v>
      </c>
    </row>
    <row r="165" spans="1:5" x14ac:dyDescent="0.25">
      <c r="A165" t="s">
        <v>984</v>
      </c>
      <c r="B165" t="s">
        <v>1237</v>
      </c>
      <c r="C165" t="s">
        <v>1238</v>
      </c>
      <c r="D165" s="1">
        <v>45992</v>
      </c>
      <c r="E165" s="25">
        <v>2</v>
      </c>
    </row>
    <row r="166" spans="1:5" x14ac:dyDescent="0.25">
      <c r="A166" t="s">
        <v>984</v>
      </c>
      <c r="B166" t="s">
        <v>1241</v>
      </c>
      <c r="C166" t="s">
        <v>1242</v>
      </c>
      <c r="D166" s="1">
        <v>45992</v>
      </c>
      <c r="E166" s="25">
        <v>2</v>
      </c>
    </row>
    <row r="167" spans="1:5" x14ac:dyDescent="0.25">
      <c r="A167" t="s">
        <v>984</v>
      </c>
      <c r="B167" t="s">
        <v>1243</v>
      </c>
      <c r="C167" t="s">
        <v>1244</v>
      </c>
      <c r="D167" s="1">
        <v>45992</v>
      </c>
      <c r="E167" s="25">
        <v>2</v>
      </c>
    </row>
    <row r="168" spans="1:5" x14ac:dyDescent="0.25">
      <c r="A168" t="s">
        <v>984</v>
      </c>
      <c r="B168" t="s">
        <v>1249</v>
      </c>
      <c r="C168" t="s">
        <v>1250</v>
      </c>
      <c r="D168" s="1">
        <v>45992</v>
      </c>
      <c r="E168" s="25">
        <v>2</v>
      </c>
    </row>
    <row r="169" spans="1:5" x14ac:dyDescent="0.25">
      <c r="A169" t="s">
        <v>984</v>
      </c>
      <c r="B169" t="s">
        <v>1252</v>
      </c>
      <c r="C169" t="s">
        <v>1253</v>
      </c>
      <c r="D169" s="1">
        <v>45992</v>
      </c>
      <c r="E169" s="25">
        <v>2</v>
      </c>
    </row>
    <row r="170" spans="1:5" x14ac:dyDescent="0.25">
      <c r="A170" t="s">
        <v>984</v>
      </c>
      <c r="B170" t="s">
        <v>1256</v>
      </c>
      <c r="C170" t="s">
        <v>1257</v>
      </c>
      <c r="D170" s="1">
        <v>45992</v>
      </c>
      <c r="E170" s="25">
        <v>4</v>
      </c>
    </row>
    <row r="171" spans="1:5" x14ac:dyDescent="0.25">
      <c r="A171" t="s">
        <v>984</v>
      </c>
      <c r="B171" t="s">
        <v>1259</v>
      </c>
      <c r="C171" t="s">
        <v>1260</v>
      </c>
      <c r="D171" s="1">
        <v>45992</v>
      </c>
      <c r="E171" s="25">
        <v>2</v>
      </c>
    </row>
    <row r="172" spans="1:5" x14ac:dyDescent="0.25">
      <c r="A172" t="s">
        <v>984</v>
      </c>
      <c r="B172" t="s">
        <v>1265</v>
      </c>
      <c r="C172" t="s">
        <v>1266</v>
      </c>
      <c r="D172" s="1">
        <v>45992</v>
      </c>
      <c r="E172" s="25">
        <v>2</v>
      </c>
    </row>
    <row r="173" spans="1:5" x14ac:dyDescent="0.25">
      <c r="A173" t="s">
        <v>984</v>
      </c>
      <c r="B173" t="s">
        <v>1268</v>
      </c>
      <c r="C173" t="s">
        <v>1269</v>
      </c>
      <c r="D173" s="1">
        <v>45992</v>
      </c>
      <c r="E173" s="25">
        <v>2</v>
      </c>
    </row>
    <row r="174" spans="1:5" x14ac:dyDescent="0.25">
      <c r="A174" t="s">
        <v>984</v>
      </c>
      <c r="B174" t="s">
        <v>1273</v>
      </c>
      <c r="C174" t="s">
        <v>1274</v>
      </c>
      <c r="D174" s="1">
        <v>45992</v>
      </c>
      <c r="E174" s="25">
        <v>2</v>
      </c>
    </row>
    <row r="175" spans="1:5" x14ac:dyDescent="0.25">
      <c r="A175" t="s">
        <v>984</v>
      </c>
      <c r="B175" t="s">
        <v>1277</v>
      </c>
      <c r="C175" t="s">
        <v>1278</v>
      </c>
      <c r="D175" s="1">
        <v>45992</v>
      </c>
      <c r="E175" s="25">
        <v>8</v>
      </c>
    </row>
    <row r="176" spans="1:5" x14ac:dyDescent="0.25">
      <c r="A176" t="s">
        <v>984</v>
      </c>
      <c r="B176" t="s">
        <v>1280</v>
      </c>
      <c r="C176" t="s">
        <v>1281</v>
      </c>
      <c r="D176" s="1">
        <v>45992</v>
      </c>
      <c r="E176" s="25">
        <v>5</v>
      </c>
    </row>
    <row r="177" spans="1:5" x14ac:dyDescent="0.25">
      <c r="A177" t="s">
        <v>984</v>
      </c>
      <c r="B177" t="s">
        <v>1283</v>
      </c>
      <c r="C177" t="s">
        <v>1284</v>
      </c>
      <c r="D177" s="1">
        <v>45992</v>
      </c>
      <c r="E177" s="25">
        <v>2</v>
      </c>
    </row>
    <row r="178" spans="1:5" x14ac:dyDescent="0.25">
      <c r="A178" t="s">
        <v>984</v>
      </c>
      <c r="B178" t="s">
        <v>1303</v>
      </c>
      <c r="C178" t="s">
        <v>1304</v>
      </c>
      <c r="D178" s="1">
        <v>45992</v>
      </c>
      <c r="E178" s="25">
        <v>6</v>
      </c>
    </row>
    <row r="179" spans="1:5" x14ac:dyDescent="0.25">
      <c r="A179" t="s">
        <v>984</v>
      </c>
      <c r="B179" t="s">
        <v>1306</v>
      </c>
      <c r="C179" t="s">
        <v>1307</v>
      </c>
      <c r="D179" s="1">
        <v>45992</v>
      </c>
      <c r="E179" s="25">
        <v>2</v>
      </c>
    </row>
    <row r="180" spans="1:5" x14ac:dyDescent="0.25">
      <c r="A180" t="s">
        <v>984</v>
      </c>
      <c r="B180" t="s">
        <v>1314</v>
      </c>
      <c r="C180" t="s">
        <v>1315</v>
      </c>
      <c r="D180" s="1">
        <v>45992</v>
      </c>
      <c r="E180" s="25">
        <v>2</v>
      </c>
    </row>
    <row r="181" spans="1:5" x14ac:dyDescent="0.25">
      <c r="A181" t="s">
        <v>984</v>
      </c>
      <c r="B181" t="s">
        <v>1319</v>
      </c>
      <c r="C181" t="s">
        <v>1320</v>
      </c>
      <c r="D181" s="1">
        <v>45992</v>
      </c>
      <c r="E181" s="25">
        <v>2</v>
      </c>
    </row>
    <row r="182" spans="1:5" x14ac:dyDescent="0.25">
      <c r="A182" t="s">
        <v>984</v>
      </c>
      <c r="B182" t="s">
        <v>1323</v>
      </c>
      <c r="C182" t="s">
        <v>1324</v>
      </c>
      <c r="D182" s="1">
        <v>45992</v>
      </c>
      <c r="E182" s="25">
        <v>4</v>
      </c>
    </row>
    <row r="183" spans="1:5" x14ac:dyDescent="0.25">
      <c r="A183" t="s">
        <v>984</v>
      </c>
      <c r="B183" t="s">
        <v>1331</v>
      </c>
      <c r="C183" t="s">
        <v>1332</v>
      </c>
      <c r="D183" s="1">
        <v>45992</v>
      </c>
      <c r="E183" s="25">
        <v>2</v>
      </c>
    </row>
    <row r="184" spans="1:5" x14ac:dyDescent="0.25">
      <c r="A184" t="s">
        <v>984</v>
      </c>
      <c r="B184" t="s">
        <v>1337</v>
      </c>
      <c r="C184" t="s">
        <v>1338</v>
      </c>
      <c r="D184" s="1">
        <v>45992</v>
      </c>
      <c r="E184" s="25">
        <v>2</v>
      </c>
    </row>
    <row r="185" spans="1:5" x14ac:dyDescent="0.25">
      <c r="A185" t="s">
        <v>984</v>
      </c>
      <c r="B185" t="s">
        <v>1341</v>
      </c>
      <c r="C185" t="s">
        <v>1342</v>
      </c>
      <c r="D185" s="1">
        <v>45992</v>
      </c>
      <c r="E185" s="25">
        <v>4</v>
      </c>
    </row>
    <row r="186" spans="1:5" x14ac:dyDescent="0.25">
      <c r="A186" t="s">
        <v>984</v>
      </c>
      <c r="B186" t="s">
        <v>1345</v>
      </c>
      <c r="C186" t="s">
        <v>1346</v>
      </c>
      <c r="D186" s="1">
        <v>45992</v>
      </c>
      <c r="E186" s="25">
        <v>4</v>
      </c>
    </row>
    <row r="187" spans="1:5" x14ac:dyDescent="0.25">
      <c r="A187" t="s">
        <v>984</v>
      </c>
      <c r="B187" t="s">
        <v>1349</v>
      </c>
      <c r="C187" t="s">
        <v>1350</v>
      </c>
      <c r="D187" s="1">
        <v>45992</v>
      </c>
      <c r="E187" s="25">
        <v>4</v>
      </c>
    </row>
    <row r="188" spans="1:5" x14ac:dyDescent="0.25">
      <c r="A188" t="s">
        <v>984</v>
      </c>
      <c r="B188" t="s">
        <v>1359</v>
      </c>
      <c r="C188" t="s">
        <v>1360</v>
      </c>
      <c r="D188" s="1">
        <v>45992</v>
      </c>
      <c r="E188" s="25">
        <v>4</v>
      </c>
    </row>
    <row r="189" spans="1:5" x14ac:dyDescent="0.25">
      <c r="A189" t="s">
        <v>984</v>
      </c>
      <c r="B189" t="s">
        <v>1363</v>
      </c>
      <c r="C189" t="s">
        <v>1364</v>
      </c>
      <c r="D189" s="1">
        <v>45992</v>
      </c>
      <c r="E189" s="25">
        <v>4</v>
      </c>
    </row>
    <row r="190" spans="1:5" x14ac:dyDescent="0.25">
      <c r="A190" t="s">
        <v>984</v>
      </c>
      <c r="B190" t="s">
        <v>1371</v>
      </c>
      <c r="C190" t="s">
        <v>1372</v>
      </c>
      <c r="D190" s="1">
        <v>45992</v>
      </c>
      <c r="E190" s="25">
        <v>4</v>
      </c>
    </row>
    <row r="191" spans="1:5" x14ac:dyDescent="0.25">
      <c r="A191" t="s">
        <v>984</v>
      </c>
      <c r="B191" t="s">
        <v>1377</v>
      </c>
      <c r="C191" t="s">
        <v>1378</v>
      </c>
      <c r="D191" s="1">
        <v>45992</v>
      </c>
      <c r="E191" s="25">
        <v>2</v>
      </c>
    </row>
    <row r="192" spans="1:5" x14ac:dyDescent="0.25">
      <c r="A192" t="s">
        <v>984</v>
      </c>
      <c r="B192" t="s">
        <v>1381</v>
      </c>
      <c r="C192" t="s">
        <v>1382</v>
      </c>
      <c r="D192" s="1">
        <v>45992</v>
      </c>
      <c r="E192" s="25">
        <v>4</v>
      </c>
    </row>
    <row r="193" spans="1:5" x14ac:dyDescent="0.25">
      <c r="A193" t="s">
        <v>984</v>
      </c>
      <c r="B193" t="s">
        <v>1386</v>
      </c>
      <c r="C193" t="s">
        <v>1387</v>
      </c>
      <c r="D193" s="1">
        <v>45992</v>
      </c>
      <c r="E193" s="25">
        <v>1</v>
      </c>
    </row>
    <row r="194" spans="1:5" x14ac:dyDescent="0.25">
      <c r="A194" t="s">
        <v>984</v>
      </c>
      <c r="B194" t="s">
        <v>1389</v>
      </c>
      <c r="C194" t="s">
        <v>1390</v>
      </c>
      <c r="D194" s="1">
        <v>45992</v>
      </c>
      <c r="E194" s="25">
        <v>2</v>
      </c>
    </row>
    <row r="195" spans="1:5" x14ac:dyDescent="0.25">
      <c r="A195" t="s">
        <v>984</v>
      </c>
      <c r="B195" t="s">
        <v>1392</v>
      </c>
      <c r="C195" t="s">
        <v>1393</v>
      </c>
      <c r="D195" s="1">
        <v>45992</v>
      </c>
      <c r="E195" s="25">
        <v>4</v>
      </c>
    </row>
    <row r="196" spans="1:5" x14ac:dyDescent="0.25">
      <c r="A196" t="s">
        <v>984</v>
      </c>
      <c r="B196" t="s">
        <v>1395</v>
      </c>
      <c r="C196" t="s">
        <v>1396</v>
      </c>
      <c r="D196" s="1">
        <v>45992</v>
      </c>
      <c r="E196" s="25">
        <v>1</v>
      </c>
    </row>
    <row r="197" spans="1:5" x14ac:dyDescent="0.25">
      <c r="A197" t="s">
        <v>984</v>
      </c>
      <c r="B197" t="s">
        <v>1398</v>
      </c>
      <c r="C197" t="s">
        <v>1399</v>
      </c>
      <c r="D197" s="1">
        <v>45992</v>
      </c>
      <c r="E197" s="25">
        <v>4</v>
      </c>
    </row>
    <row r="198" spans="1:5" x14ac:dyDescent="0.25">
      <c r="A198" t="s">
        <v>984</v>
      </c>
      <c r="B198" t="s">
        <v>1401</v>
      </c>
      <c r="C198" t="s">
        <v>1402</v>
      </c>
      <c r="D198" s="1">
        <v>45992</v>
      </c>
      <c r="E198" s="25">
        <v>8</v>
      </c>
    </row>
    <row r="199" spans="1:5" x14ac:dyDescent="0.25">
      <c r="A199" t="s">
        <v>984</v>
      </c>
      <c r="B199" t="s">
        <v>1404</v>
      </c>
      <c r="C199" t="s">
        <v>1405</v>
      </c>
      <c r="D199" s="1">
        <v>45992</v>
      </c>
      <c r="E199" s="25">
        <v>2</v>
      </c>
    </row>
    <row r="200" spans="1:5" x14ac:dyDescent="0.25">
      <c r="A200" t="s">
        <v>984</v>
      </c>
      <c r="B200" t="s">
        <v>1409</v>
      </c>
      <c r="C200" t="s">
        <v>1410</v>
      </c>
      <c r="D200" s="1">
        <v>45992</v>
      </c>
      <c r="E200" s="25">
        <v>2</v>
      </c>
    </row>
    <row r="201" spans="1:5" x14ac:dyDescent="0.25">
      <c r="A201" t="s">
        <v>984</v>
      </c>
      <c r="B201" t="s">
        <v>1413</v>
      </c>
      <c r="C201" t="s">
        <v>1414</v>
      </c>
      <c r="D201" s="1">
        <v>45992</v>
      </c>
      <c r="E201" s="25">
        <v>2</v>
      </c>
    </row>
    <row r="202" spans="1:5" x14ac:dyDescent="0.25">
      <c r="A202" t="s">
        <v>984</v>
      </c>
      <c r="B202" t="s">
        <v>1419</v>
      </c>
      <c r="C202" t="s">
        <v>1420</v>
      </c>
      <c r="D202" s="1">
        <v>45992</v>
      </c>
      <c r="E202" s="25">
        <v>1</v>
      </c>
    </row>
    <row r="203" spans="1:5" x14ac:dyDescent="0.25">
      <c r="A203" t="s">
        <v>984</v>
      </c>
      <c r="B203" t="s">
        <v>1422</v>
      </c>
      <c r="C203" t="s">
        <v>1423</v>
      </c>
      <c r="D203" s="1">
        <v>45992</v>
      </c>
      <c r="E203" s="25">
        <v>2</v>
      </c>
    </row>
    <row r="204" spans="1:5" x14ac:dyDescent="0.25">
      <c r="A204" t="s">
        <v>984</v>
      </c>
      <c r="B204" t="s">
        <v>1426</v>
      </c>
      <c r="C204" t="s">
        <v>1427</v>
      </c>
      <c r="D204" s="1">
        <v>45992</v>
      </c>
      <c r="E204" s="25">
        <v>1</v>
      </c>
    </row>
    <row r="205" spans="1:5" x14ac:dyDescent="0.25">
      <c r="A205" t="s">
        <v>984</v>
      </c>
      <c r="B205" t="s">
        <v>1429</v>
      </c>
      <c r="C205" t="s">
        <v>1430</v>
      </c>
      <c r="D205" s="1">
        <v>45992</v>
      </c>
      <c r="E205" s="25">
        <v>2</v>
      </c>
    </row>
    <row r="206" spans="1:5" x14ac:dyDescent="0.25">
      <c r="A206" t="s">
        <v>984</v>
      </c>
      <c r="B206" t="s">
        <v>1433</v>
      </c>
      <c r="C206" t="s">
        <v>1434</v>
      </c>
      <c r="D206" s="1">
        <v>45992</v>
      </c>
      <c r="E206" s="25">
        <v>2</v>
      </c>
    </row>
    <row r="207" spans="1:5" x14ac:dyDescent="0.25">
      <c r="A207" t="s">
        <v>984</v>
      </c>
      <c r="B207" t="s">
        <v>1437</v>
      </c>
      <c r="C207" t="s">
        <v>1438</v>
      </c>
      <c r="D207" s="1">
        <v>45992</v>
      </c>
      <c r="E207" s="25">
        <v>1</v>
      </c>
    </row>
    <row r="208" spans="1:5" x14ac:dyDescent="0.25">
      <c r="A208" t="s">
        <v>984</v>
      </c>
      <c r="B208" t="s">
        <v>1444</v>
      </c>
      <c r="C208" t="s">
        <v>1445</v>
      </c>
      <c r="D208" s="1">
        <v>45992</v>
      </c>
      <c r="E208" s="25">
        <v>24</v>
      </c>
    </row>
    <row r="209" spans="1:5" x14ac:dyDescent="0.25">
      <c r="A209" t="s">
        <v>984</v>
      </c>
      <c r="B209" t="s">
        <v>1447</v>
      </c>
      <c r="C209" t="s">
        <v>1448</v>
      </c>
      <c r="D209" s="1">
        <v>45992</v>
      </c>
      <c r="E209" s="25">
        <v>8</v>
      </c>
    </row>
    <row r="210" spans="1:5" x14ac:dyDescent="0.25">
      <c r="A210" t="s">
        <v>984</v>
      </c>
      <c r="B210" t="s">
        <v>1450</v>
      </c>
      <c r="C210" t="s">
        <v>1451</v>
      </c>
      <c r="D210" s="1">
        <v>45992</v>
      </c>
      <c r="E210" s="25">
        <v>1</v>
      </c>
    </row>
    <row r="211" spans="1:5" x14ac:dyDescent="0.25">
      <c r="A211" t="s">
        <v>984</v>
      </c>
      <c r="B211" t="s">
        <v>1453</v>
      </c>
      <c r="C211" t="s">
        <v>1454</v>
      </c>
      <c r="D211" s="1">
        <v>45992</v>
      </c>
      <c r="E211" s="25">
        <v>1</v>
      </c>
    </row>
    <row r="212" spans="1:5" x14ac:dyDescent="0.25">
      <c r="A212" t="s">
        <v>984</v>
      </c>
      <c r="B212" t="s">
        <v>1456</v>
      </c>
      <c r="C212" t="s">
        <v>1457</v>
      </c>
      <c r="D212" s="1">
        <v>45992</v>
      </c>
      <c r="E212" s="25">
        <v>1</v>
      </c>
    </row>
    <row r="213" spans="1:5" x14ac:dyDescent="0.25">
      <c r="A213" t="s">
        <v>984</v>
      </c>
      <c r="B213" t="s">
        <v>1459</v>
      </c>
      <c r="C213" t="s">
        <v>1460</v>
      </c>
      <c r="D213" s="1">
        <v>45992</v>
      </c>
      <c r="E213" s="25">
        <v>2</v>
      </c>
    </row>
    <row r="214" spans="1:5" x14ac:dyDescent="0.25">
      <c r="A214" t="s">
        <v>984</v>
      </c>
      <c r="B214" t="s">
        <v>1463</v>
      </c>
      <c r="C214" t="s">
        <v>1464</v>
      </c>
      <c r="D214" s="1">
        <v>45992</v>
      </c>
      <c r="E214" s="25">
        <v>2</v>
      </c>
    </row>
    <row r="215" spans="1:5" x14ac:dyDescent="0.25">
      <c r="A215" t="s">
        <v>984</v>
      </c>
      <c r="B215" t="s">
        <v>1467</v>
      </c>
      <c r="C215" t="s">
        <v>1468</v>
      </c>
      <c r="D215" s="1">
        <v>45992</v>
      </c>
      <c r="E215" s="25">
        <v>2</v>
      </c>
    </row>
    <row r="216" spans="1:5" x14ac:dyDescent="0.25">
      <c r="A216" t="s">
        <v>984</v>
      </c>
      <c r="B216" t="s">
        <v>1471</v>
      </c>
      <c r="C216" t="s">
        <v>1472</v>
      </c>
      <c r="D216" s="1">
        <v>45992</v>
      </c>
      <c r="E216" s="25">
        <v>1</v>
      </c>
    </row>
    <row r="217" spans="1:5" x14ac:dyDescent="0.25">
      <c r="A217" t="s">
        <v>984</v>
      </c>
      <c r="B217" t="s">
        <v>1474</v>
      </c>
      <c r="C217" t="s">
        <v>1475</v>
      </c>
      <c r="D217" s="1">
        <v>45992</v>
      </c>
      <c r="E217" s="25">
        <v>2</v>
      </c>
    </row>
    <row r="218" spans="1:5" x14ac:dyDescent="0.25">
      <c r="A218" t="s">
        <v>984</v>
      </c>
      <c r="B218" t="s">
        <v>1478</v>
      </c>
      <c r="C218" t="s">
        <v>1479</v>
      </c>
      <c r="D218" s="1">
        <v>45992</v>
      </c>
      <c r="E218" s="25">
        <v>2</v>
      </c>
    </row>
    <row r="219" spans="1:5" x14ac:dyDescent="0.25">
      <c r="A219" t="s">
        <v>984</v>
      </c>
      <c r="B219" t="s">
        <v>1486</v>
      </c>
      <c r="C219" t="s">
        <v>1487</v>
      </c>
      <c r="D219" s="1">
        <v>45992</v>
      </c>
      <c r="E219" s="25">
        <v>2</v>
      </c>
    </row>
    <row r="220" spans="1:5" x14ac:dyDescent="0.25">
      <c r="A220" t="s">
        <v>984</v>
      </c>
      <c r="B220" t="s">
        <v>1491</v>
      </c>
      <c r="C220" t="s">
        <v>1492</v>
      </c>
      <c r="D220" s="1">
        <v>45992</v>
      </c>
      <c r="E220" s="25">
        <v>1</v>
      </c>
    </row>
    <row r="221" spans="1:5" x14ac:dyDescent="0.25">
      <c r="A221" t="s">
        <v>984</v>
      </c>
      <c r="B221" t="s">
        <v>1497</v>
      </c>
      <c r="C221" t="s">
        <v>1498</v>
      </c>
      <c r="D221" s="1">
        <v>45992</v>
      </c>
      <c r="E221" s="25">
        <v>1</v>
      </c>
    </row>
    <row r="222" spans="1:5" x14ac:dyDescent="0.25">
      <c r="A222" t="s">
        <v>984</v>
      </c>
      <c r="B222" t="s">
        <v>1500</v>
      </c>
      <c r="C222" t="s">
        <v>1501</v>
      </c>
      <c r="D222" s="1">
        <v>45992</v>
      </c>
      <c r="E222" s="25">
        <v>1</v>
      </c>
    </row>
    <row r="223" spans="1:5" x14ac:dyDescent="0.25">
      <c r="A223" t="s">
        <v>984</v>
      </c>
      <c r="B223" t="s">
        <v>1503</v>
      </c>
      <c r="C223" t="s">
        <v>1504</v>
      </c>
      <c r="D223" s="1">
        <v>45992</v>
      </c>
      <c r="E223" s="25">
        <v>1</v>
      </c>
    </row>
    <row r="224" spans="1:5" x14ac:dyDescent="0.25">
      <c r="A224" t="s">
        <v>984</v>
      </c>
      <c r="B224" t="s">
        <v>1506</v>
      </c>
      <c r="C224" t="s">
        <v>1507</v>
      </c>
      <c r="D224" s="1">
        <v>45992</v>
      </c>
      <c r="E224" s="25">
        <v>2</v>
      </c>
    </row>
    <row r="225" spans="1:5" x14ac:dyDescent="0.25">
      <c r="A225" t="s">
        <v>984</v>
      </c>
      <c r="B225" t="s">
        <v>1509</v>
      </c>
      <c r="C225" t="s">
        <v>1510</v>
      </c>
      <c r="D225" s="1">
        <v>45992</v>
      </c>
      <c r="E225" s="25">
        <v>2</v>
      </c>
    </row>
    <row r="226" spans="1:5" x14ac:dyDescent="0.25">
      <c r="A226" t="s">
        <v>984</v>
      </c>
      <c r="B226" t="s">
        <v>1528</v>
      </c>
      <c r="C226" t="s">
        <v>1529</v>
      </c>
      <c r="D226" s="1">
        <v>45992</v>
      </c>
      <c r="E226" s="25">
        <v>2</v>
      </c>
    </row>
    <row r="227" spans="1:5" x14ac:dyDescent="0.25">
      <c r="A227" t="s">
        <v>984</v>
      </c>
      <c r="B227" t="s">
        <v>1532</v>
      </c>
      <c r="C227" t="s">
        <v>1533</v>
      </c>
      <c r="D227" s="1">
        <v>45992</v>
      </c>
      <c r="E227" s="25">
        <v>2</v>
      </c>
    </row>
    <row r="228" spans="1:5" x14ac:dyDescent="0.25">
      <c r="A228" t="s">
        <v>984</v>
      </c>
      <c r="B228" t="s">
        <v>1536</v>
      </c>
      <c r="C228" t="s">
        <v>1537</v>
      </c>
      <c r="D228" s="1">
        <v>45992</v>
      </c>
      <c r="E228" s="25">
        <v>2</v>
      </c>
    </row>
    <row r="229" spans="1:5" x14ac:dyDescent="0.25">
      <c r="A229" t="s">
        <v>984</v>
      </c>
      <c r="B229" t="s">
        <v>1559</v>
      </c>
      <c r="C229" t="s">
        <v>1560</v>
      </c>
      <c r="D229" s="1">
        <v>45992</v>
      </c>
      <c r="E229" s="25">
        <v>2</v>
      </c>
    </row>
    <row r="230" spans="1:5" x14ac:dyDescent="0.25">
      <c r="A230" t="s">
        <v>984</v>
      </c>
      <c r="B230" t="s">
        <v>1568</v>
      </c>
      <c r="C230" t="s">
        <v>1569</v>
      </c>
      <c r="D230" s="1">
        <v>45992</v>
      </c>
      <c r="E230" s="25">
        <v>2</v>
      </c>
    </row>
    <row r="231" spans="1:5" x14ac:dyDescent="0.25">
      <c r="A231" t="s">
        <v>984</v>
      </c>
      <c r="B231" t="s">
        <v>1571</v>
      </c>
      <c r="C231" t="s">
        <v>1572</v>
      </c>
      <c r="D231" s="1">
        <v>45992</v>
      </c>
      <c r="E231" s="25">
        <v>38</v>
      </c>
    </row>
    <row r="232" spans="1:5" x14ac:dyDescent="0.25">
      <c r="A232" t="s">
        <v>984</v>
      </c>
      <c r="B232" t="s">
        <v>1574</v>
      </c>
      <c r="C232" t="s">
        <v>1575</v>
      </c>
      <c r="D232" s="1">
        <v>45992</v>
      </c>
      <c r="E232" s="25">
        <v>4</v>
      </c>
    </row>
    <row r="233" spans="1:5" x14ac:dyDescent="0.25">
      <c r="A233" t="s">
        <v>984</v>
      </c>
      <c r="B233" t="s">
        <v>1577</v>
      </c>
      <c r="C233" t="s">
        <v>1578</v>
      </c>
      <c r="D233" s="1">
        <v>45992</v>
      </c>
      <c r="E233" s="25">
        <v>2</v>
      </c>
    </row>
    <row r="234" spans="1:5" x14ac:dyDescent="0.25">
      <c r="A234" t="s">
        <v>984</v>
      </c>
      <c r="B234" t="s">
        <v>1582</v>
      </c>
      <c r="C234" t="s">
        <v>1583</v>
      </c>
      <c r="D234" s="1">
        <v>45992</v>
      </c>
      <c r="E234" s="25">
        <v>2</v>
      </c>
    </row>
    <row r="235" spans="1:5" x14ac:dyDescent="0.25">
      <c r="A235" t="s">
        <v>984</v>
      </c>
      <c r="B235" t="s">
        <v>1592</v>
      </c>
      <c r="C235" t="s">
        <v>1593</v>
      </c>
      <c r="D235" s="1">
        <v>45992</v>
      </c>
      <c r="E235" s="25">
        <v>2</v>
      </c>
    </row>
    <row r="236" spans="1:5" x14ac:dyDescent="0.25">
      <c r="A236" t="s">
        <v>984</v>
      </c>
      <c r="B236" t="s">
        <v>1596</v>
      </c>
      <c r="C236" t="s">
        <v>1597</v>
      </c>
      <c r="D236" s="1">
        <v>45992</v>
      </c>
      <c r="E236" s="25">
        <v>2</v>
      </c>
    </row>
    <row r="237" spans="1:5" x14ac:dyDescent="0.25">
      <c r="A237" t="s">
        <v>984</v>
      </c>
      <c r="B237" t="s">
        <v>1604</v>
      </c>
      <c r="C237" t="s">
        <v>1605</v>
      </c>
      <c r="D237" s="1">
        <v>45992</v>
      </c>
      <c r="E237" s="25">
        <v>2</v>
      </c>
    </row>
    <row r="238" spans="1:5" x14ac:dyDescent="0.25">
      <c r="A238" t="s">
        <v>984</v>
      </c>
      <c r="B238" t="s">
        <v>1608</v>
      </c>
      <c r="C238" t="s">
        <v>1609</v>
      </c>
      <c r="D238" s="1">
        <v>45992</v>
      </c>
      <c r="E238" s="25">
        <v>2</v>
      </c>
    </row>
    <row r="239" spans="1:5" x14ac:dyDescent="0.25">
      <c r="A239" t="s">
        <v>984</v>
      </c>
      <c r="B239" t="s">
        <v>1612</v>
      </c>
      <c r="C239" t="s">
        <v>1613</v>
      </c>
      <c r="D239" s="1">
        <v>45992</v>
      </c>
      <c r="E239" s="25">
        <v>2</v>
      </c>
    </row>
    <row r="240" spans="1:5" x14ac:dyDescent="0.25">
      <c r="A240" t="s">
        <v>984</v>
      </c>
      <c r="B240" t="s">
        <v>1618</v>
      </c>
      <c r="C240" t="s">
        <v>1619</v>
      </c>
      <c r="D240" s="1">
        <v>45992</v>
      </c>
      <c r="E240" s="25">
        <v>2</v>
      </c>
    </row>
    <row r="241" spans="1:5" x14ac:dyDescent="0.25">
      <c r="A241" t="s">
        <v>984</v>
      </c>
      <c r="B241" t="s">
        <v>1626</v>
      </c>
      <c r="C241" t="s">
        <v>1627</v>
      </c>
      <c r="D241" s="1">
        <v>45992</v>
      </c>
      <c r="E241" s="25">
        <v>2</v>
      </c>
    </row>
    <row r="242" spans="1:5" x14ac:dyDescent="0.25">
      <c r="A242" t="s">
        <v>984</v>
      </c>
      <c r="B242" t="s">
        <v>1630</v>
      </c>
      <c r="C242" t="s">
        <v>1631</v>
      </c>
      <c r="D242" s="1">
        <v>45992</v>
      </c>
      <c r="E242" s="25">
        <v>2</v>
      </c>
    </row>
    <row r="243" spans="1:5" x14ac:dyDescent="0.25">
      <c r="A243" t="s">
        <v>984</v>
      </c>
      <c r="B243" t="s">
        <v>1634</v>
      </c>
      <c r="C243" t="s">
        <v>1635</v>
      </c>
      <c r="D243" s="1">
        <v>45992</v>
      </c>
      <c r="E243" s="25">
        <v>1</v>
      </c>
    </row>
    <row r="244" spans="1:5" x14ac:dyDescent="0.25">
      <c r="A244" t="s">
        <v>984</v>
      </c>
      <c r="B244" t="s">
        <v>1637</v>
      </c>
      <c r="C244" t="s">
        <v>1638</v>
      </c>
      <c r="D244" s="1">
        <v>45992</v>
      </c>
      <c r="E244" s="25">
        <v>2</v>
      </c>
    </row>
    <row r="245" spans="1:5" x14ac:dyDescent="0.25">
      <c r="A245" t="s">
        <v>984</v>
      </c>
      <c r="B245" t="s">
        <v>1642</v>
      </c>
      <c r="C245" t="s">
        <v>1643</v>
      </c>
      <c r="D245" s="1">
        <v>45992</v>
      </c>
      <c r="E245" s="25">
        <v>1</v>
      </c>
    </row>
    <row r="246" spans="1:5" x14ac:dyDescent="0.25">
      <c r="A246" t="s">
        <v>984</v>
      </c>
      <c r="B246" t="s">
        <v>1645</v>
      </c>
      <c r="C246" t="s">
        <v>1646</v>
      </c>
      <c r="D246" s="1">
        <v>45992</v>
      </c>
      <c r="E246" s="25">
        <v>1</v>
      </c>
    </row>
    <row r="247" spans="1:5" x14ac:dyDescent="0.25">
      <c r="A247" t="s">
        <v>984</v>
      </c>
      <c r="B247" t="s">
        <v>1652</v>
      </c>
      <c r="C247" t="s">
        <v>1653</v>
      </c>
      <c r="D247" s="1">
        <v>45992</v>
      </c>
      <c r="E247" s="25">
        <v>1</v>
      </c>
    </row>
    <row r="248" spans="1:5" x14ac:dyDescent="0.25">
      <c r="A248" t="s">
        <v>984</v>
      </c>
      <c r="B248" t="s">
        <v>1658</v>
      </c>
      <c r="C248" t="s">
        <v>1659</v>
      </c>
      <c r="D248" s="1">
        <v>45992</v>
      </c>
      <c r="E248" s="25">
        <v>2</v>
      </c>
    </row>
    <row r="249" spans="1:5" x14ac:dyDescent="0.25">
      <c r="A249" t="s">
        <v>984</v>
      </c>
      <c r="B249" t="s">
        <v>1662</v>
      </c>
      <c r="C249" t="s">
        <v>1663</v>
      </c>
      <c r="D249" s="1">
        <v>45992</v>
      </c>
      <c r="E249" s="25">
        <v>2</v>
      </c>
    </row>
    <row r="250" spans="1:5" x14ac:dyDescent="0.25">
      <c r="A250" t="s">
        <v>984</v>
      </c>
      <c r="B250" t="s">
        <v>1666</v>
      </c>
      <c r="C250" t="s">
        <v>1667</v>
      </c>
      <c r="D250" s="1">
        <v>45992</v>
      </c>
      <c r="E250" s="25">
        <v>12</v>
      </c>
    </row>
    <row r="251" spans="1:5" x14ac:dyDescent="0.25">
      <c r="A251" t="s">
        <v>984</v>
      </c>
      <c r="B251" t="s">
        <v>1670</v>
      </c>
      <c r="C251" t="s">
        <v>1671</v>
      </c>
      <c r="D251" s="1">
        <v>45992</v>
      </c>
      <c r="E251" s="25">
        <v>4</v>
      </c>
    </row>
    <row r="252" spans="1:5" x14ac:dyDescent="0.25">
      <c r="A252" t="s">
        <v>984</v>
      </c>
      <c r="B252" t="s">
        <v>1676</v>
      </c>
      <c r="C252" t="s">
        <v>1677</v>
      </c>
      <c r="D252" s="1">
        <v>45992</v>
      </c>
      <c r="E252" s="25">
        <v>2</v>
      </c>
    </row>
    <row r="253" spans="1:5" x14ac:dyDescent="0.25">
      <c r="A253" t="s">
        <v>984</v>
      </c>
      <c r="B253" t="s">
        <v>1679</v>
      </c>
      <c r="C253" t="s">
        <v>1680</v>
      </c>
      <c r="D253" s="1">
        <v>45992</v>
      </c>
      <c r="E253" s="25">
        <v>2</v>
      </c>
    </row>
    <row r="254" spans="1:5" x14ac:dyDescent="0.25">
      <c r="A254" t="s">
        <v>984</v>
      </c>
      <c r="B254" t="s">
        <v>1682</v>
      </c>
      <c r="C254" t="s">
        <v>1683</v>
      </c>
      <c r="D254" s="1">
        <v>45992</v>
      </c>
      <c r="E254" s="25">
        <v>2</v>
      </c>
    </row>
    <row r="255" spans="1:5" x14ac:dyDescent="0.25">
      <c r="A255" t="s">
        <v>984</v>
      </c>
      <c r="B255" t="s">
        <v>1689</v>
      </c>
      <c r="C255" t="s">
        <v>1690</v>
      </c>
      <c r="D255" s="1">
        <v>45992</v>
      </c>
      <c r="E255" s="25">
        <v>2</v>
      </c>
    </row>
    <row r="256" spans="1:5" x14ac:dyDescent="0.25">
      <c r="A256" t="s">
        <v>984</v>
      </c>
      <c r="B256" t="s">
        <v>1692</v>
      </c>
      <c r="C256" t="s">
        <v>1693</v>
      </c>
      <c r="D256" s="1">
        <v>45992</v>
      </c>
      <c r="E256" s="25">
        <v>2</v>
      </c>
    </row>
    <row r="257" spans="1:5" x14ac:dyDescent="0.25">
      <c r="A257" t="s">
        <v>984</v>
      </c>
      <c r="B257" t="s">
        <v>1695</v>
      </c>
      <c r="C257" t="s">
        <v>1696</v>
      </c>
      <c r="D257" s="1">
        <v>45992</v>
      </c>
      <c r="E257" s="25">
        <v>2</v>
      </c>
    </row>
    <row r="258" spans="1:5" x14ac:dyDescent="0.25">
      <c r="A258" t="s">
        <v>984</v>
      </c>
      <c r="B258" t="s">
        <v>1698</v>
      </c>
      <c r="C258" t="s">
        <v>1699</v>
      </c>
      <c r="D258" s="1">
        <v>45992</v>
      </c>
      <c r="E258" s="25">
        <v>2</v>
      </c>
    </row>
    <row r="259" spans="1:5" x14ac:dyDescent="0.25">
      <c r="A259" t="s">
        <v>984</v>
      </c>
      <c r="B259" t="s">
        <v>1701</v>
      </c>
      <c r="C259" t="s">
        <v>1702</v>
      </c>
      <c r="D259" s="1">
        <v>45992</v>
      </c>
      <c r="E259" s="25">
        <v>2</v>
      </c>
    </row>
    <row r="260" spans="1:5" x14ac:dyDescent="0.25">
      <c r="A260" t="s">
        <v>984</v>
      </c>
      <c r="B260" t="s">
        <v>1704</v>
      </c>
      <c r="C260" t="s">
        <v>1705</v>
      </c>
      <c r="D260" s="1">
        <v>45992</v>
      </c>
      <c r="E260" s="25">
        <v>2</v>
      </c>
    </row>
    <row r="261" spans="1:5" x14ac:dyDescent="0.25">
      <c r="A261" t="s">
        <v>984</v>
      </c>
      <c r="B261" t="s">
        <v>1707</v>
      </c>
      <c r="C261" t="s">
        <v>1708</v>
      </c>
      <c r="D261" s="1">
        <v>45992</v>
      </c>
      <c r="E261" s="25">
        <v>2</v>
      </c>
    </row>
    <row r="262" spans="1:5" x14ac:dyDescent="0.25">
      <c r="A262" t="s">
        <v>984</v>
      </c>
      <c r="B262" t="s">
        <v>1712</v>
      </c>
      <c r="C262" t="s">
        <v>1713</v>
      </c>
      <c r="D262" s="1">
        <v>45992</v>
      </c>
      <c r="E262" s="25">
        <v>2</v>
      </c>
    </row>
    <row r="263" spans="1:5" x14ac:dyDescent="0.25">
      <c r="A263" t="s">
        <v>984</v>
      </c>
      <c r="B263" t="s">
        <v>1715</v>
      </c>
      <c r="C263" t="s">
        <v>1716</v>
      </c>
      <c r="D263" s="1">
        <v>45992</v>
      </c>
      <c r="E263" s="25">
        <v>3</v>
      </c>
    </row>
    <row r="264" spans="1:5" x14ac:dyDescent="0.25">
      <c r="A264" t="s">
        <v>984</v>
      </c>
      <c r="B264" t="s">
        <v>1718</v>
      </c>
      <c r="C264" t="s">
        <v>1719</v>
      </c>
      <c r="D264" s="1">
        <v>45992</v>
      </c>
      <c r="E264" s="25">
        <v>2</v>
      </c>
    </row>
    <row r="265" spans="1:5" x14ac:dyDescent="0.25">
      <c r="A265" t="s">
        <v>984</v>
      </c>
      <c r="B265" t="s">
        <v>1721</v>
      </c>
      <c r="C265" t="s">
        <v>1722</v>
      </c>
      <c r="D265" s="1">
        <v>45992</v>
      </c>
      <c r="E265" s="25">
        <v>2</v>
      </c>
    </row>
    <row r="266" spans="1:5" x14ac:dyDescent="0.25">
      <c r="A266" t="s">
        <v>984</v>
      </c>
      <c r="B266" t="s">
        <v>1724</v>
      </c>
      <c r="C266" t="s">
        <v>1725</v>
      </c>
      <c r="D266" s="1">
        <v>45992</v>
      </c>
      <c r="E266" s="25">
        <v>2</v>
      </c>
    </row>
    <row r="267" spans="1:5" x14ac:dyDescent="0.25">
      <c r="A267" t="s">
        <v>984</v>
      </c>
      <c r="B267" t="s">
        <v>1727</v>
      </c>
      <c r="C267" t="s">
        <v>1728</v>
      </c>
      <c r="D267" s="1">
        <v>45992</v>
      </c>
      <c r="E267" s="25">
        <v>2</v>
      </c>
    </row>
    <row r="268" spans="1:5" x14ac:dyDescent="0.25">
      <c r="A268" t="s">
        <v>984</v>
      </c>
      <c r="B268" t="s">
        <v>1730</v>
      </c>
      <c r="C268" t="s">
        <v>1731</v>
      </c>
      <c r="D268" s="1">
        <v>45992</v>
      </c>
      <c r="E268" s="25">
        <v>3</v>
      </c>
    </row>
    <row r="269" spans="1:5" x14ac:dyDescent="0.25">
      <c r="A269" t="s">
        <v>984</v>
      </c>
      <c r="B269" t="s">
        <v>1734</v>
      </c>
      <c r="C269" t="s">
        <v>1735</v>
      </c>
      <c r="D269" s="1">
        <v>45992</v>
      </c>
      <c r="E269" s="25">
        <v>1</v>
      </c>
    </row>
    <row r="270" spans="1:5" x14ac:dyDescent="0.25">
      <c r="A270" t="s">
        <v>984</v>
      </c>
      <c r="B270" t="s">
        <v>1741</v>
      </c>
      <c r="C270" t="s">
        <v>1742</v>
      </c>
      <c r="D270" s="1">
        <v>45992</v>
      </c>
      <c r="E270" s="25">
        <v>2</v>
      </c>
    </row>
    <row r="271" spans="1:5" x14ac:dyDescent="0.25">
      <c r="A271" t="s">
        <v>984</v>
      </c>
      <c r="B271" t="s">
        <v>1745</v>
      </c>
      <c r="C271" t="s">
        <v>1746</v>
      </c>
      <c r="D271" s="1">
        <v>45992</v>
      </c>
      <c r="E271" s="25">
        <v>2</v>
      </c>
    </row>
    <row r="272" spans="1:5" x14ac:dyDescent="0.25">
      <c r="A272" t="s">
        <v>984</v>
      </c>
      <c r="B272" t="s">
        <v>1757</v>
      </c>
      <c r="C272" t="s">
        <v>1758</v>
      </c>
      <c r="D272" s="1">
        <v>45992</v>
      </c>
      <c r="E272" s="25">
        <v>2</v>
      </c>
    </row>
    <row r="273" spans="1:5" x14ac:dyDescent="0.25">
      <c r="A273" t="s">
        <v>984</v>
      </c>
      <c r="B273" t="s">
        <v>1761</v>
      </c>
      <c r="C273" t="s">
        <v>1762</v>
      </c>
      <c r="D273" s="1">
        <v>45992</v>
      </c>
      <c r="E273" s="25">
        <v>2</v>
      </c>
    </row>
    <row r="274" spans="1:5" x14ac:dyDescent="0.25">
      <c r="A274" t="s">
        <v>984</v>
      </c>
      <c r="B274" t="s">
        <v>1764</v>
      </c>
      <c r="C274" t="s">
        <v>1765</v>
      </c>
      <c r="D274" s="1">
        <v>45992</v>
      </c>
      <c r="E274" s="25">
        <v>2</v>
      </c>
    </row>
    <row r="275" spans="1:5" x14ac:dyDescent="0.25">
      <c r="A275" t="s">
        <v>984</v>
      </c>
      <c r="B275" t="s">
        <v>1767</v>
      </c>
      <c r="C275" t="s">
        <v>1768</v>
      </c>
      <c r="D275" s="1">
        <v>45992</v>
      </c>
      <c r="E275" s="25">
        <v>2</v>
      </c>
    </row>
    <row r="276" spans="1:5" x14ac:dyDescent="0.25">
      <c r="A276" t="s">
        <v>984</v>
      </c>
      <c r="B276" t="s">
        <v>1771</v>
      </c>
      <c r="C276" t="s">
        <v>1772</v>
      </c>
      <c r="D276" s="1">
        <v>45992</v>
      </c>
      <c r="E276" s="25">
        <v>2</v>
      </c>
    </row>
    <row r="277" spans="1:5" x14ac:dyDescent="0.25">
      <c r="A277" t="s">
        <v>984</v>
      </c>
      <c r="B277" t="s">
        <v>1774</v>
      </c>
      <c r="C277" t="s">
        <v>1775</v>
      </c>
      <c r="D277" s="1">
        <v>45992</v>
      </c>
      <c r="E277" s="25">
        <v>2</v>
      </c>
    </row>
    <row r="278" spans="1:5" x14ac:dyDescent="0.25">
      <c r="A278" t="s">
        <v>984</v>
      </c>
      <c r="B278" t="s">
        <v>1781</v>
      </c>
      <c r="C278" t="s">
        <v>1782</v>
      </c>
      <c r="D278" s="1">
        <v>45992</v>
      </c>
      <c r="E278" s="25">
        <v>2</v>
      </c>
    </row>
    <row r="279" spans="1:5" x14ac:dyDescent="0.25">
      <c r="A279" t="s">
        <v>984</v>
      </c>
      <c r="B279" t="s">
        <v>514</v>
      </c>
      <c r="C279" t="s">
        <v>515</v>
      </c>
      <c r="D279" s="1">
        <v>45992</v>
      </c>
      <c r="E279" s="25">
        <v>30</v>
      </c>
    </row>
    <row r="280" spans="1:5" x14ac:dyDescent="0.25">
      <c r="A280" t="s">
        <v>984</v>
      </c>
      <c r="B280" t="s">
        <v>1789</v>
      </c>
      <c r="C280" t="s">
        <v>1790</v>
      </c>
      <c r="D280" s="1">
        <v>45992</v>
      </c>
      <c r="E280" s="25">
        <v>2</v>
      </c>
    </row>
    <row r="281" spans="1:5" x14ac:dyDescent="0.25">
      <c r="A281" t="s">
        <v>1791</v>
      </c>
      <c r="B281" t="s">
        <v>1798</v>
      </c>
      <c r="C281" t="s">
        <v>1799</v>
      </c>
      <c r="D281" s="1">
        <v>45975</v>
      </c>
      <c r="E281" s="25">
        <v>1</v>
      </c>
    </row>
    <row r="282" spans="1:5" x14ac:dyDescent="0.25">
      <c r="A282" t="s">
        <v>1804</v>
      </c>
      <c r="B282" t="s">
        <v>726</v>
      </c>
      <c r="C282" t="s">
        <v>727</v>
      </c>
      <c r="D282" s="1">
        <v>46038</v>
      </c>
      <c r="E282" s="25">
        <v>4</v>
      </c>
    </row>
    <row r="283" spans="1:5" x14ac:dyDescent="0.25">
      <c r="A283" t="s">
        <v>1804</v>
      </c>
      <c r="B283" t="s">
        <v>521</v>
      </c>
      <c r="C283" t="s">
        <v>522</v>
      </c>
      <c r="D283" s="1">
        <v>46038</v>
      </c>
      <c r="E283" s="25">
        <v>1</v>
      </c>
    </row>
    <row r="284" spans="1:5" x14ac:dyDescent="0.25">
      <c r="A284" t="s">
        <v>1804</v>
      </c>
      <c r="B284" t="s">
        <v>523</v>
      </c>
      <c r="C284" t="s">
        <v>524</v>
      </c>
      <c r="D284" s="1">
        <v>46038</v>
      </c>
      <c r="E284" s="25">
        <v>4</v>
      </c>
    </row>
    <row r="285" spans="1:5" x14ac:dyDescent="0.25">
      <c r="A285" t="s">
        <v>1804</v>
      </c>
      <c r="B285" t="s">
        <v>525</v>
      </c>
      <c r="C285" t="s">
        <v>526</v>
      </c>
      <c r="D285" s="1">
        <v>46038</v>
      </c>
      <c r="E285" s="25">
        <v>4</v>
      </c>
    </row>
    <row r="286" spans="1:5" x14ac:dyDescent="0.25">
      <c r="A286" t="s">
        <v>1804</v>
      </c>
      <c r="B286" t="s">
        <v>119</v>
      </c>
      <c r="C286" t="s">
        <v>135</v>
      </c>
      <c r="D286" s="1">
        <v>46038</v>
      </c>
      <c r="E286" s="25">
        <v>2</v>
      </c>
    </row>
    <row r="287" spans="1:5" x14ac:dyDescent="0.25">
      <c r="A287" t="s">
        <v>1804</v>
      </c>
      <c r="B287" t="s">
        <v>527</v>
      </c>
      <c r="C287" t="s">
        <v>528</v>
      </c>
      <c r="D287" s="1">
        <v>46038</v>
      </c>
      <c r="E287" s="25">
        <v>8</v>
      </c>
    </row>
    <row r="288" spans="1:5" x14ac:dyDescent="0.25">
      <c r="A288" t="s">
        <v>1804</v>
      </c>
      <c r="B288" t="s">
        <v>529</v>
      </c>
      <c r="C288" t="s">
        <v>530</v>
      </c>
      <c r="D288" s="1">
        <v>46038</v>
      </c>
      <c r="E288" s="25">
        <v>2</v>
      </c>
    </row>
    <row r="289" spans="1:5" x14ac:dyDescent="0.25">
      <c r="A289" t="s">
        <v>1804</v>
      </c>
      <c r="B289" t="s">
        <v>177</v>
      </c>
      <c r="C289" t="s">
        <v>178</v>
      </c>
      <c r="D289" s="1">
        <v>46038</v>
      </c>
      <c r="E289" s="25">
        <v>32</v>
      </c>
    </row>
    <row r="290" spans="1:5" x14ac:dyDescent="0.25">
      <c r="A290" t="s">
        <v>1804</v>
      </c>
      <c r="B290" t="s">
        <v>536</v>
      </c>
      <c r="C290" t="s">
        <v>537</v>
      </c>
      <c r="D290" s="1">
        <v>46038</v>
      </c>
      <c r="E290" s="25">
        <v>8</v>
      </c>
    </row>
    <row r="291" spans="1:5" x14ac:dyDescent="0.25">
      <c r="A291" t="s">
        <v>1804</v>
      </c>
      <c r="B291" t="s">
        <v>539</v>
      </c>
      <c r="C291" t="s">
        <v>540</v>
      </c>
      <c r="D291" s="1">
        <v>46038</v>
      </c>
      <c r="E291" s="25">
        <v>4</v>
      </c>
    </row>
    <row r="292" spans="1:5" x14ac:dyDescent="0.25">
      <c r="A292" t="s">
        <v>1804</v>
      </c>
      <c r="B292" t="s">
        <v>179</v>
      </c>
      <c r="C292" t="s">
        <v>180</v>
      </c>
      <c r="D292" s="1">
        <v>46038</v>
      </c>
      <c r="E292" s="25">
        <v>4</v>
      </c>
    </row>
    <row r="293" spans="1:5" x14ac:dyDescent="0.25">
      <c r="A293" t="s">
        <v>1804</v>
      </c>
      <c r="B293" t="s">
        <v>120</v>
      </c>
      <c r="C293" t="s">
        <v>136</v>
      </c>
      <c r="D293" s="1">
        <v>46038</v>
      </c>
      <c r="E293" s="25">
        <v>4</v>
      </c>
    </row>
    <row r="294" spans="1:5" x14ac:dyDescent="0.25">
      <c r="A294" t="s">
        <v>1804</v>
      </c>
      <c r="B294" t="s">
        <v>181</v>
      </c>
      <c r="C294" t="s">
        <v>182</v>
      </c>
      <c r="D294" s="1">
        <v>46038</v>
      </c>
      <c r="E294" s="25">
        <v>2</v>
      </c>
    </row>
    <row r="295" spans="1:5" x14ac:dyDescent="0.25">
      <c r="A295" t="s">
        <v>1804</v>
      </c>
      <c r="B295" t="s">
        <v>543</v>
      </c>
      <c r="C295" t="s">
        <v>544</v>
      </c>
      <c r="D295" s="1">
        <v>46038</v>
      </c>
      <c r="E295" s="25">
        <v>2</v>
      </c>
    </row>
    <row r="296" spans="1:5" x14ac:dyDescent="0.25">
      <c r="A296" t="s">
        <v>1804</v>
      </c>
      <c r="B296" t="s">
        <v>183</v>
      </c>
      <c r="C296" t="s">
        <v>184</v>
      </c>
      <c r="D296" s="1">
        <v>46038</v>
      </c>
      <c r="E296" s="25">
        <v>2</v>
      </c>
    </row>
    <row r="297" spans="1:5" x14ac:dyDescent="0.25">
      <c r="A297" t="s">
        <v>1804</v>
      </c>
      <c r="B297" t="s">
        <v>547</v>
      </c>
      <c r="C297" t="s">
        <v>548</v>
      </c>
      <c r="D297" s="1">
        <v>46038</v>
      </c>
      <c r="E297" s="25">
        <v>2</v>
      </c>
    </row>
    <row r="298" spans="1:5" x14ac:dyDescent="0.25">
      <c r="A298" t="s">
        <v>1804</v>
      </c>
      <c r="B298" t="s">
        <v>549</v>
      </c>
      <c r="C298" t="s">
        <v>550</v>
      </c>
      <c r="D298" s="1">
        <v>46038</v>
      </c>
      <c r="E298" s="25">
        <v>2</v>
      </c>
    </row>
    <row r="299" spans="1:5" x14ac:dyDescent="0.25">
      <c r="A299" t="s">
        <v>1804</v>
      </c>
      <c r="B299" t="s">
        <v>185</v>
      </c>
      <c r="C299" t="s">
        <v>186</v>
      </c>
      <c r="D299" s="1">
        <v>46038</v>
      </c>
      <c r="E299" s="25">
        <v>2</v>
      </c>
    </row>
    <row r="300" spans="1:5" x14ac:dyDescent="0.25">
      <c r="A300" t="s">
        <v>1804</v>
      </c>
      <c r="B300" t="s">
        <v>187</v>
      </c>
      <c r="C300" t="s">
        <v>188</v>
      </c>
      <c r="D300" s="1">
        <v>46038</v>
      </c>
      <c r="E300" s="25">
        <v>8</v>
      </c>
    </row>
    <row r="301" spans="1:5" x14ac:dyDescent="0.25">
      <c r="A301" t="s">
        <v>1804</v>
      </c>
      <c r="B301" t="s">
        <v>553</v>
      </c>
      <c r="C301" t="s">
        <v>554</v>
      </c>
      <c r="D301" s="1">
        <v>46038</v>
      </c>
      <c r="E301" s="25">
        <v>10</v>
      </c>
    </row>
    <row r="302" spans="1:5" x14ac:dyDescent="0.25">
      <c r="A302" t="s">
        <v>1804</v>
      </c>
      <c r="B302" t="s">
        <v>189</v>
      </c>
      <c r="C302" t="s">
        <v>190</v>
      </c>
      <c r="D302" s="1">
        <v>46038</v>
      </c>
      <c r="E302" s="25">
        <v>2</v>
      </c>
    </row>
    <row r="303" spans="1:5" x14ac:dyDescent="0.25">
      <c r="A303" t="s">
        <v>1804</v>
      </c>
      <c r="B303" t="s">
        <v>191</v>
      </c>
      <c r="C303" t="s">
        <v>192</v>
      </c>
      <c r="D303" s="1">
        <v>46038</v>
      </c>
      <c r="E303" s="25">
        <v>2</v>
      </c>
    </row>
    <row r="304" spans="1:5" x14ac:dyDescent="0.25">
      <c r="A304" t="s">
        <v>1804</v>
      </c>
      <c r="B304" t="s">
        <v>563</v>
      </c>
      <c r="C304" t="s">
        <v>564</v>
      </c>
      <c r="D304" s="1">
        <v>46038</v>
      </c>
      <c r="E304" s="25">
        <v>2</v>
      </c>
    </row>
    <row r="305" spans="1:5" x14ac:dyDescent="0.25">
      <c r="A305" t="s">
        <v>1804</v>
      </c>
      <c r="B305" t="s">
        <v>195</v>
      </c>
      <c r="C305" t="s">
        <v>196</v>
      </c>
      <c r="D305" s="1">
        <v>46038</v>
      </c>
      <c r="E305" s="25">
        <v>4</v>
      </c>
    </row>
    <row r="306" spans="1:5" x14ac:dyDescent="0.25">
      <c r="A306" t="s">
        <v>1804</v>
      </c>
      <c r="B306" t="s">
        <v>197</v>
      </c>
      <c r="C306" t="s">
        <v>198</v>
      </c>
      <c r="D306" s="1">
        <v>46038</v>
      </c>
      <c r="E306" s="25">
        <v>2</v>
      </c>
    </row>
    <row r="307" spans="1:5" x14ac:dyDescent="0.25">
      <c r="A307" t="s">
        <v>1804</v>
      </c>
      <c r="B307" t="s">
        <v>565</v>
      </c>
      <c r="C307" t="s">
        <v>566</v>
      </c>
      <c r="D307" s="1">
        <v>46038</v>
      </c>
      <c r="E307" s="25">
        <v>2</v>
      </c>
    </row>
    <row r="308" spans="1:5" x14ac:dyDescent="0.25">
      <c r="A308" t="s">
        <v>1804</v>
      </c>
      <c r="B308" t="s">
        <v>569</v>
      </c>
      <c r="C308" t="s">
        <v>570</v>
      </c>
      <c r="D308" s="1">
        <v>46038</v>
      </c>
      <c r="E308" s="25">
        <v>2</v>
      </c>
    </row>
    <row r="309" spans="1:5" x14ac:dyDescent="0.25">
      <c r="A309" t="s">
        <v>1804</v>
      </c>
      <c r="B309" t="s">
        <v>571</v>
      </c>
      <c r="C309" t="s">
        <v>572</v>
      </c>
      <c r="D309" s="1">
        <v>46038</v>
      </c>
      <c r="E309" s="25">
        <v>2</v>
      </c>
    </row>
    <row r="310" spans="1:5" x14ac:dyDescent="0.25">
      <c r="A310" t="s">
        <v>1804</v>
      </c>
      <c r="B310" t="s">
        <v>199</v>
      </c>
      <c r="C310" t="s">
        <v>200</v>
      </c>
      <c r="D310" s="1">
        <v>46038</v>
      </c>
      <c r="E310" s="25">
        <v>2</v>
      </c>
    </row>
    <row r="311" spans="1:5" x14ac:dyDescent="0.25">
      <c r="A311" t="s">
        <v>1804</v>
      </c>
      <c r="B311" t="s">
        <v>575</v>
      </c>
      <c r="C311" t="s">
        <v>576</v>
      </c>
      <c r="D311" s="1">
        <v>46038</v>
      </c>
      <c r="E311" s="25">
        <v>2</v>
      </c>
    </row>
    <row r="312" spans="1:5" x14ac:dyDescent="0.25">
      <c r="A312" t="s">
        <v>1804</v>
      </c>
      <c r="B312" t="s">
        <v>201</v>
      </c>
      <c r="C312" t="s">
        <v>202</v>
      </c>
      <c r="D312" s="1">
        <v>46038</v>
      </c>
      <c r="E312" s="25">
        <v>1</v>
      </c>
    </row>
    <row r="313" spans="1:5" x14ac:dyDescent="0.25">
      <c r="A313" t="s">
        <v>1804</v>
      </c>
      <c r="B313" t="s">
        <v>203</v>
      </c>
      <c r="C313" t="s">
        <v>204</v>
      </c>
      <c r="D313" s="1">
        <v>46038</v>
      </c>
      <c r="E313" s="25">
        <v>8</v>
      </c>
    </row>
    <row r="314" spans="1:5" x14ac:dyDescent="0.25">
      <c r="A314" t="s">
        <v>1804</v>
      </c>
      <c r="B314" t="s">
        <v>577</v>
      </c>
      <c r="C314" t="s">
        <v>578</v>
      </c>
      <c r="D314" s="1">
        <v>46038</v>
      </c>
      <c r="E314" s="25">
        <v>1</v>
      </c>
    </row>
    <row r="315" spans="1:5" x14ac:dyDescent="0.25">
      <c r="A315" t="s">
        <v>1804</v>
      </c>
      <c r="B315" t="s">
        <v>579</v>
      </c>
      <c r="C315" t="s">
        <v>580</v>
      </c>
      <c r="D315" s="1">
        <v>46038</v>
      </c>
      <c r="E315" s="25">
        <v>2</v>
      </c>
    </row>
    <row r="316" spans="1:5" x14ac:dyDescent="0.25">
      <c r="A316" t="s">
        <v>1804</v>
      </c>
      <c r="B316" t="s">
        <v>581</v>
      </c>
      <c r="C316" t="s">
        <v>582</v>
      </c>
      <c r="D316" s="1">
        <v>46038</v>
      </c>
      <c r="E316" s="25">
        <v>2</v>
      </c>
    </row>
    <row r="317" spans="1:5" x14ac:dyDescent="0.25">
      <c r="A317" t="s">
        <v>1804</v>
      </c>
      <c r="B317" t="s">
        <v>583</v>
      </c>
      <c r="C317" t="s">
        <v>584</v>
      </c>
      <c r="D317" s="1">
        <v>46038</v>
      </c>
      <c r="E317" s="25">
        <v>2</v>
      </c>
    </row>
    <row r="318" spans="1:5" x14ac:dyDescent="0.25">
      <c r="A318" t="s">
        <v>1804</v>
      </c>
      <c r="B318" t="s">
        <v>27</v>
      </c>
      <c r="C318" t="s">
        <v>137</v>
      </c>
      <c r="D318" s="1">
        <v>46038</v>
      </c>
      <c r="E318" s="25">
        <v>4</v>
      </c>
    </row>
    <row r="319" spans="1:5" x14ac:dyDescent="0.25">
      <c r="A319" t="s">
        <v>1804</v>
      </c>
      <c r="B319" t="s">
        <v>585</v>
      </c>
      <c r="C319" t="s">
        <v>586</v>
      </c>
      <c r="D319" s="1">
        <v>46038</v>
      </c>
      <c r="E319" s="25">
        <v>2</v>
      </c>
    </row>
    <row r="320" spans="1:5" x14ac:dyDescent="0.25">
      <c r="A320" t="s">
        <v>1804</v>
      </c>
      <c r="B320" t="s">
        <v>1805</v>
      </c>
      <c r="C320" t="s">
        <v>1806</v>
      </c>
      <c r="D320" s="1">
        <v>46038</v>
      </c>
      <c r="E320" s="25">
        <v>2</v>
      </c>
    </row>
    <row r="321" spans="1:5" x14ac:dyDescent="0.25">
      <c r="A321" t="s">
        <v>1804</v>
      </c>
      <c r="B321" t="s">
        <v>593</v>
      </c>
      <c r="C321" t="s">
        <v>594</v>
      </c>
      <c r="D321" s="1">
        <v>46038</v>
      </c>
      <c r="E321" s="25">
        <v>2</v>
      </c>
    </row>
    <row r="322" spans="1:5" x14ac:dyDescent="0.25">
      <c r="A322" t="s">
        <v>1804</v>
      </c>
      <c r="B322" t="s">
        <v>595</v>
      </c>
      <c r="C322" t="s">
        <v>596</v>
      </c>
      <c r="D322" s="1">
        <v>46038</v>
      </c>
      <c r="E322" s="25">
        <v>1</v>
      </c>
    </row>
    <row r="323" spans="1:5" x14ac:dyDescent="0.25">
      <c r="A323" t="s">
        <v>1804</v>
      </c>
      <c r="B323" t="s">
        <v>599</v>
      </c>
      <c r="C323" t="s">
        <v>600</v>
      </c>
      <c r="D323" s="1">
        <v>46038</v>
      </c>
      <c r="E323" s="25">
        <v>2</v>
      </c>
    </row>
    <row r="324" spans="1:5" x14ac:dyDescent="0.25">
      <c r="A324" t="s">
        <v>1804</v>
      </c>
      <c r="B324" t="s">
        <v>206</v>
      </c>
      <c r="C324" t="s">
        <v>207</v>
      </c>
      <c r="D324" s="1">
        <v>46038</v>
      </c>
      <c r="E324" s="25">
        <v>4</v>
      </c>
    </row>
    <row r="325" spans="1:5" x14ac:dyDescent="0.25">
      <c r="A325" t="s">
        <v>1804</v>
      </c>
      <c r="B325" t="s">
        <v>601</v>
      </c>
      <c r="C325" t="s">
        <v>602</v>
      </c>
      <c r="D325" s="1">
        <v>46038</v>
      </c>
      <c r="E325" s="25">
        <v>2</v>
      </c>
    </row>
    <row r="326" spans="1:5" x14ac:dyDescent="0.25">
      <c r="A326" t="s">
        <v>1804</v>
      </c>
      <c r="B326" t="s">
        <v>603</v>
      </c>
      <c r="C326" t="s">
        <v>604</v>
      </c>
      <c r="D326" s="1">
        <v>46038</v>
      </c>
      <c r="E326" s="25">
        <v>2</v>
      </c>
    </row>
    <row r="327" spans="1:5" x14ac:dyDescent="0.25">
      <c r="A327" t="s">
        <v>1804</v>
      </c>
      <c r="B327" t="s">
        <v>608</v>
      </c>
      <c r="C327" t="s">
        <v>609</v>
      </c>
      <c r="D327" s="1">
        <v>46038</v>
      </c>
      <c r="E327" s="25">
        <v>2</v>
      </c>
    </row>
    <row r="328" spans="1:5" x14ac:dyDescent="0.25">
      <c r="A328" t="s">
        <v>1804</v>
      </c>
      <c r="B328" t="s">
        <v>208</v>
      </c>
      <c r="C328" t="s">
        <v>209</v>
      </c>
      <c r="D328" s="1">
        <v>46038</v>
      </c>
      <c r="E328" s="25">
        <v>4</v>
      </c>
    </row>
    <row r="329" spans="1:5" x14ac:dyDescent="0.25">
      <c r="A329" t="s">
        <v>1804</v>
      </c>
      <c r="B329" t="s">
        <v>212</v>
      </c>
      <c r="C329" t="s">
        <v>213</v>
      </c>
      <c r="D329" s="1">
        <v>46038</v>
      </c>
      <c r="E329" s="25">
        <v>2</v>
      </c>
    </row>
    <row r="330" spans="1:5" x14ac:dyDescent="0.25">
      <c r="A330" t="s">
        <v>1804</v>
      </c>
      <c r="B330" t="s">
        <v>610</v>
      </c>
      <c r="C330" t="s">
        <v>611</v>
      </c>
      <c r="D330" s="1">
        <v>46038</v>
      </c>
      <c r="E330" s="25">
        <v>1</v>
      </c>
    </row>
    <row r="331" spans="1:5" x14ac:dyDescent="0.25">
      <c r="A331" t="s">
        <v>1804</v>
      </c>
      <c r="B331" t="s">
        <v>214</v>
      </c>
      <c r="C331" t="s">
        <v>215</v>
      </c>
      <c r="D331" s="1">
        <v>46038</v>
      </c>
      <c r="E331" s="25">
        <v>1</v>
      </c>
    </row>
    <row r="332" spans="1:5" x14ac:dyDescent="0.25">
      <c r="A332" t="s">
        <v>1804</v>
      </c>
      <c r="B332" t="s">
        <v>612</v>
      </c>
      <c r="C332" t="s">
        <v>613</v>
      </c>
      <c r="D332" s="1">
        <v>46038</v>
      </c>
      <c r="E332" s="25">
        <v>2</v>
      </c>
    </row>
    <row r="333" spans="1:5" x14ac:dyDescent="0.25">
      <c r="A333" t="s">
        <v>1804</v>
      </c>
      <c r="B333" t="s">
        <v>614</v>
      </c>
      <c r="C333" t="s">
        <v>615</v>
      </c>
      <c r="D333" s="1">
        <v>46038</v>
      </c>
      <c r="E333" s="25">
        <v>1</v>
      </c>
    </row>
    <row r="334" spans="1:5" x14ac:dyDescent="0.25">
      <c r="A334" t="s">
        <v>1804</v>
      </c>
      <c r="B334" t="s">
        <v>617</v>
      </c>
      <c r="C334" t="s">
        <v>618</v>
      </c>
      <c r="D334" s="1">
        <v>46038</v>
      </c>
      <c r="E334" s="25">
        <v>2</v>
      </c>
    </row>
    <row r="335" spans="1:5" x14ac:dyDescent="0.25">
      <c r="A335" t="s">
        <v>1804</v>
      </c>
      <c r="B335" t="s">
        <v>218</v>
      </c>
      <c r="C335" t="s">
        <v>219</v>
      </c>
      <c r="D335" s="1">
        <v>46038</v>
      </c>
      <c r="E335" s="25">
        <v>1</v>
      </c>
    </row>
    <row r="336" spans="1:5" x14ac:dyDescent="0.25">
      <c r="A336" t="s">
        <v>1804</v>
      </c>
      <c r="B336" t="s">
        <v>619</v>
      </c>
      <c r="C336" t="s">
        <v>620</v>
      </c>
      <c r="D336" s="1">
        <v>46038</v>
      </c>
      <c r="E336" s="25">
        <v>2</v>
      </c>
    </row>
    <row r="337" spans="1:5" x14ac:dyDescent="0.25">
      <c r="A337" t="s">
        <v>1804</v>
      </c>
      <c r="B337" t="s">
        <v>621</v>
      </c>
      <c r="C337" t="s">
        <v>622</v>
      </c>
      <c r="D337" s="1">
        <v>46038</v>
      </c>
      <c r="E337" s="25">
        <v>2</v>
      </c>
    </row>
    <row r="338" spans="1:5" x14ac:dyDescent="0.25">
      <c r="A338" t="s">
        <v>1804</v>
      </c>
      <c r="B338" t="s">
        <v>220</v>
      </c>
      <c r="C338" t="s">
        <v>221</v>
      </c>
      <c r="D338" s="1">
        <v>46038</v>
      </c>
      <c r="E338" s="25">
        <v>2</v>
      </c>
    </row>
    <row r="339" spans="1:5" x14ac:dyDescent="0.25">
      <c r="A339" t="s">
        <v>1804</v>
      </c>
      <c r="B339" t="s">
        <v>222</v>
      </c>
      <c r="C339" t="s">
        <v>223</v>
      </c>
      <c r="D339" s="1">
        <v>46038</v>
      </c>
      <c r="E339" s="25">
        <v>4</v>
      </c>
    </row>
    <row r="340" spans="1:5" x14ac:dyDescent="0.25">
      <c r="A340" t="s">
        <v>1804</v>
      </c>
      <c r="B340" t="s">
        <v>625</v>
      </c>
      <c r="C340" t="s">
        <v>626</v>
      </c>
      <c r="D340" s="1">
        <v>46038</v>
      </c>
      <c r="E340" s="25">
        <v>2</v>
      </c>
    </row>
    <row r="341" spans="1:5" x14ac:dyDescent="0.25">
      <c r="A341" t="s">
        <v>1804</v>
      </c>
      <c r="B341" t="s">
        <v>224</v>
      </c>
      <c r="C341" t="s">
        <v>225</v>
      </c>
      <c r="D341" s="1">
        <v>46038</v>
      </c>
      <c r="E341" s="25">
        <v>2</v>
      </c>
    </row>
    <row r="342" spans="1:5" x14ac:dyDescent="0.25">
      <c r="A342" t="s">
        <v>1804</v>
      </c>
      <c r="B342" t="s">
        <v>627</v>
      </c>
      <c r="C342" t="s">
        <v>628</v>
      </c>
      <c r="D342" s="1">
        <v>46038</v>
      </c>
      <c r="E342" s="25">
        <v>4</v>
      </c>
    </row>
    <row r="343" spans="1:5" x14ac:dyDescent="0.25">
      <c r="A343" t="s">
        <v>1804</v>
      </c>
      <c r="B343" t="s">
        <v>228</v>
      </c>
      <c r="C343" t="s">
        <v>229</v>
      </c>
      <c r="D343" s="1">
        <v>46038</v>
      </c>
      <c r="E343" s="25">
        <v>2</v>
      </c>
    </row>
    <row r="344" spans="1:5" x14ac:dyDescent="0.25">
      <c r="A344" t="s">
        <v>1804</v>
      </c>
      <c r="B344" t="s">
        <v>230</v>
      </c>
      <c r="C344" t="s">
        <v>231</v>
      </c>
      <c r="D344" s="1">
        <v>46038</v>
      </c>
      <c r="E344" s="25">
        <v>2</v>
      </c>
    </row>
    <row r="345" spans="1:5" x14ac:dyDescent="0.25">
      <c r="A345" t="s">
        <v>1804</v>
      </c>
      <c r="B345" t="s">
        <v>633</v>
      </c>
      <c r="C345" t="s">
        <v>634</v>
      </c>
      <c r="D345" s="1">
        <v>46038</v>
      </c>
      <c r="E345" s="25">
        <v>2</v>
      </c>
    </row>
    <row r="346" spans="1:5" x14ac:dyDescent="0.25">
      <c r="A346" t="s">
        <v>1804</v>
      </c>
      <c r="B346" t="s">
        <v>234</v>
      </c>
      <c r="C346" t="s">
        <v>235</v>
      </c>
      <c r="D346" s="1">
        <v>46038</v>
      </c>
      <c r="E346" s="25">
        <v>2</v>
      </c>
    </row>
    <row r="347" spans="1:5" x14ac:dyDescent="0.25">
      <c r="A347" t="s">
        <v>1804</v>
      </c>
      <c r="B347" t="s">
        <v>637</v>
      </c>
      <c r="C347" t="s">
        <v>638</v>
      </c>
      <c r="D347" s="1">
        <v>46038</v>
      </c>
      <c r="E347" s="25">
        <v>2</v>
      </c>
    </row>
    <row r="348" spans="1:5" x14ac:dyDescent="0.25">
      <c r="A348" t="s">
        <v>1804</v>
      </c>
      <c r="B348" t="s">
        <v>237</v>
      </c>
      <c r="C348" t="s">
        <v>238</v>
      </c>
      <c r="D348" s="1">
        <v>46038</v>
      </c>
      <c r="E348" s="25">
        <v>2</v>
      </c>
    </row>
    <row r="349" spans="1:5" x14ac:dyDescent="0.25">
      <c r="A349" t="s">
        <v>1804</v>
      </c>
      <c r="B349" t="s">
        <v>639</v>
      </c>
      <c r="C349" t="s">
        <v>640</v>
      </c>
      <c r="D349" s="1">
        <v>46038</v>
      </c>
      <c r="E349" s="25">
        <v>2</v>
      </c>
    </row>
    <row r="350" spans="1:5" x14ac:dyDescent="0.25">
      <c r="A350" t="s">
        <v>1804</v>
      </c>
      <c r="B350" t="s">
        <v>641</v>
      </c>
      <c r="C350" t="s">
        <v>642</v>
      </c>
      <c r="D350" s="1">
        <v>46038</v>
      </c>
      <c r="E350" s="25">
        <v>2</v>
      </c>
    </row>
    <row r="351" spans="1:5" x14ac:dyDescent="0.25">
      <c r="A351" t="s">
        <v>1804</v>
      </c>
      <c r="B351" t="s">
        <v>239</v>
      </c>
      <c r="C351" t="s">
        <v>240</v>
      </c>
      <c r="D351" s="1">
        <v>46038</v>
      </c>
      <c r="E351" s="25">
        <v>2</v>
      </c>
    </row>
    <row r="352" spans="1:5" x14ac:dyDescent="0.25">
      <c r="A352" t="s">
        <v>1804</v>
      </c>
      <c r="B352" t="s">
        <v>241</v>
      </c>
      <c r="C352" t="s">
        <v>242</v>
      </c>
      <c r="D352" s="1">
        <v>46038</v>
      </c>
      <c r="E352" s="25">
        <v>4</v>
      </c>
    </row>
    <row r="353" spans="1:5" x14ac:dyDescent="0.25">
      <c r="A353" t="s">
        <v>1804</v>
      </c>
      <c r="B353" t="s">
        <v>243</v>
      </c>
      <c r="C353" t="s">
        <v>244</v>
      </c>
      <c r="D353" s="1">
        <v>46038</v>
      </c>
      <c r="E353" s="25">
        <v>2</v>
      </c>
    </row>
    <row r="354" spans="1:5" x14ac:dyDescent="0.25">
      <c r="A354" t="s">
        <v>1804</v>
      </c>
      <c r="B354" t="s">
        <v>730</v>
      </c>
      <c r="C354" t="s">
        <v>731</v>
      </c>
      <c r="D354" s="1">
        <v>46038</v>
      </c>
      <c r="E354" s="25">
        <v>2</v>
      </c>
    </row>
    <row r="355" spans="1:5" x14ac:dyDescent="0.25">
      <c r="A355" t="s">
        <v>1804</v>
      </c>
      <c r="B355" t="s">
        <v>247</v>
      </c>
      <c r="C355" t="s">
        <v>248</v>
      </c>
      <c r="D355" s="1">
        <v>46038</v>
      </c>
      <c r="E355" s="25">
        <v>4</v>
      </c>
    </row>
    <row r="356" spans="1:5" x14ac:dyDescent="0.25">
      <c r="A356" t="s">
        <v>1804</v>
      </c>
      <c r="B356" t="s">
        <v>249</v>
      </c>
      <c r="C356" t="s">
        <v>250</v>
      </c>
      <c r="D356" s="1">
        <v>46038</v>
      </c>
      <c r="E356" s="25">
        <v>4</v>
      </c>
    </row>
    <row r="357" spans="1:5" x14ac:dyDescent="0.25">
      <c r="A357" t="s">
        <v>1804</v>
      </c>
      <c r="B357" t="s">
        <v>647</v>
      </c>
      <c r="C357" t="s">
        <v>648</v>
      </c>
      <c r="D357" s="1">
        <v>46038</v>
      </c>
      <c r="E357" s="25">
        <v>2</v>
      </c>
    </row>
    <row r="358" spans="1:5" x14ac:dyDescent="0.25">
      <c r="A358" t="s">
        <v>1804</v>
      </c>
      <c r="B358" t="s">
        <v>251</v>
      </c>
      <c r="C358" t="s">
        <v>252</v>
      </c>
      <c r="D358" s="1">
        <v>46038</v>
      </c>
      <c r="E358" s="25">
        <v>2</v>
      </c>
    </row>
    <row r="359" spans="1:5" x14ac:dyDescent="0.25">
      <c r="A359" t="s">
        <v>1804</v>
      </c>
      <c r="B359" t="s">
        <v>649</v>
      </c>
      <c r="C359" t="s">
        <v>650</v>
      </c>
      <c r="D359" s="1">
        <v>46038</v>
      </c>
      <c r="E359" s="25">
        <v>2</v>
      </c>
    </row>
    <row r="360" spans="1:5" x14ac:dyDescent="0.25">
      <c r="A360" t="s">
        <v>1804</v>
      </c>
      <c r="B360" t="s">
        <v>732</v>
      </c>
      <c r="C360" t="s">
        <v>733</v>
      </c>
      <c r="D360" s="1">
        <v>46038</v>
      </c>
      <c r="E360" s="25">
        <v>7</v>
      </c>
    </row>
    <row r="361" spans="1:5" x14ac:dyDescent="0.25">
      <c r="A361" t="s">
        <v>1804</v>
      </c>
      <c r="B361" t="s">
        <v>651</v>
      </c>
      <c r="C361" t="s">
        <v>652</v>
      </c>
      <c r="D361" s="1">
        <v>46038</v>
      </c>
      <c r="E361" s="25">
        <v>3</v>
      </c>
    </row>
    <row r="362" spans="1:5" x14ac:dyDescent="0.25">
      <c r="A362" t="s">
        <v>1804</v>
      </c>
      <c r="B362" t="s">
        <v>653</v>
      </c>
      <c r="C362" t="s">
        <v>654</v>
      </c>
      <c r="D362" s="1">
        <v>46038</v>
      </c>
      <c r="E362" s="25">
        <v>2</v>
      </c>
    </row>
    <row r="363" spans="1:5" x14ac:dyDescent="0.25">
      <c r="A363" t="s">
        <v>1804</v>
      </c>
      <c r="B363" t="s">
        <v>655</v>
      </c>
      <c r="C363" t="s">
        <v>656</v>
      </c>
      <c r="D363" s="1">
        <v>46038</v>
      </c>
      <c r="E363" s="25">
        <v>2</v>
      </c>
    </row>
    <row r="364" spans="1:5" x14ac:dyDescent="0.25">
      <c r="A364" t="s">
        <v>1804</v>
      </c>
      <c r="B364" t="s">
        <v>657</v>
      </c>
      <c r="C364" t="s">
        <v>658</v>
      </c>
      <c r="D364" s="1">
        <v>46038</v>
      </c>
      <c r="E364" s="25">
        <v>4</v>
      </c>
    </row>
    <row r="365" spans="1:5" x14ac:dyDescent="0.25">
      <c r="A365" t="s">
        <v>1804</v>
      </c>
      <c r="B365" t="s">
        <v>659</v>
      </c>
      <c r="C365" t="s">
        <v>660</v>
      </c>
      <c r="D365" s="1">
        <v>46038</v>
      </c>
      <c r="E365" s="25">
        <v>4</v>
      </c>
    </row>
    <row r="366" spans="1:5" x14ac:dyDescent="0.25">
      <c r="A366" t="s">
        <v>1804</v>
      </c>
      <c r="B366" t="s">
        <v>661</v>
      </c>
      <c r="C366" t="s">
        <v>662</v>
      </c>
      <c r="D366" s="1">
        <v>46038</v>
      </c>
      <c r="E366" s="25">
        <v>10</v>
      </c>
    </row>
    <row r="367" spans="1:5" x14ac:dyDescent="0.25">
      <c r="A367" t="s">
        <v>1804</v>
      </c>
      <c r="B367" t="s">
        <v>259</v>
      </c>
      <c r="C367" t="s">
        <v>260</v>
      </c>
      <c r="D367" s="1">
        <v>46038</v>
      </c>
      <c r="E367" s="25">
        <v>2</v>
      </c>
    </row>
    <row r="368" spans="1:5" x14ac:dyDescent="0.25">
      <c r="A368" t="s">
        <v>1804</v>
      </c>
      <c r="B368" t="s">
        <v>663</v>
      </c>
      <c r="C368" t="s">
        <v>664</v>
      </c>
      <c r="D368" s="1">
        <v>46038</v>
      </c>
      <c r="E368" s="25">
        <v>4</v>
      </c>
    </row>
    <row r="369" spans="1:5" x14ac:dyDescent="0.25">
      <c r="A369" t="s">
        <v>1804</v>
      </c>
      <c r="B369" t="s">
        <v>665</v>
      </c>
      <c r="C369" t="s">
        <v>666</v>
      </c>
      <c r="D369" s="1">
        <v>46038</v>
      </c>
      <c r="E369" s="25">
        <v>2</v>
      </c>
    </row>
    <row r="370" spans="1:5" x14ac:dyDescent="0.25">
      <c r="A370" t="s">
        <v>1804</v>
      </c>
      <c r="B370" t="s">
        <v>734</v>
      </c>
      <c r="C370" t="s">
        <v>735</v>
      </c>
      <c r="D370" s="1">
        <v>46038</v>
      </c>
      <c r="E370" s="25">
        <v>2</v>
      </c>
    </row>
    <row r="371" spans="1:5" x14ac:dyDescent="0.25">
      <c r="A371" t="s">
        <v>1804</v>
      </c>
      <c r="B371" t="s">
        <v>261</v>
      </c>
      <c r="C371" t="s">
        <v>262</v>
      </c>
      <c r="D371" s="1">
        <v>46038</v>
      </c>
      <c r="E371" s="25">
        <v>2</v>
      </c>
    </row>
    <row r="372" spans="1:5" x14ac:dyDescent="0.25">
      <c r="A372" t="s">
        <v>1804</v>
      </c>
      <c r="B372" t="s">
        <v>675</v>
      </c>
      <c r="C372" t="s">
        <v>676</v>
      </c>
      <c r="D372" s="1">
        <v>46038</v>
      </c>
      <c r="E372" s="25">
        <v>2</v>
      </c>
    </row>
    <row r="373" spans="1:5" x14ac:dyDescent="0.25">
      <c r="A373" t="s">
        <v>1804</v>
      </c>
      <c r="B373" t="s">
        <v>677</v>
      </c>
      <c r="C373" t="s">
        <v>678</v>
      </c>
      <c r="D373" s="1">
        <v>46038</v>
      </c>
      <c r="E373" s="25">
        <v>1</v>
      </c>
    </row>
    <row r="374" spans="1:5" x14ac:dyDescent="0.25">
      <c r="A374" t="s">
        <v>1804</v>
      </c>
      <c r="B374" t="s">
        <v>286</v>
      </c>
      <c r="C374" t="s">
        <v>287</v>
      </c>
      <c r="D374" s="1">
        <v>46038</v>
      </c>
      <c r="E374" s="25">
        <v>12</v>
      </c>
    </row>
    <row r="375" spans="1:5" x14ac:dyDescent="0.25">
      <c r="A375" t="s">
        <v>1804</v>
      </c>
      <c r="B375" t="s">
        <v>736</v>
      </c>
      <c r="C375" t="s">
        <v>737</v>
      </c>
      <c r="D375" s="1">
        <v>46038</v>
      </c>
      <c r="E375" s="25">
        <v>2</v>
      </c>
    </row>
    <row r="376" spans="1:5" x14ac:dyDescent="0.25">
      <c r="A376" t="s">
        <v>1804</v>
      </c>
      <c r="B376" t="s">
        <v>679</v>
      </c>
      <c r="C376" t="s">
        <v>680</v>
      </c>
      <c r="D376" s="1">
        <v>46038</v>
      </c>
      <c r="E376" s="25">
        <v>12</v>
      </c>
    </row>
    <row r="377" spans="1:5" x14ac:dyDescent="0.25">
      <c r="A377" t="s">
        <v>1804</v>
      </c>
      <c r="B377" t="s">
        <v>681</v>
      </c>
      <c r="C377" t="s">
        <v>682</v>
      </c>
      <c r="D377" s="1">
        <v>46038</v>
      </c>
      <c r="E377" s="25">
        <v>8</v>
      </c>
    </row>
    <row r="378" spans="1:5" x14ac:dyDescent="0.25">
      <c r="A378" t="s">
        <v>1804</v>
      </c>
      <c r="B378" t="s">
        <v>288</v>
      </c>
      <c r="C378" t="s">
        <v>289</v>
      </c>
      <c r="D378" s="1">
        <v>46038</v>
      </c>
      <c r="E378" s="25">
        <v>4</v>
      </c>
    </row>
    <row r="379" spans="1:5" x14ac:dyDescent="0.25">
      <c r="A379" t="s">
        <v>1804</v>
      </c>
      <c r="B379" t="s">
        <v>290</v>
      </c>
      <c r="C379" t="s">
        <v>291</v>
      </c>
      <c r="D379" s="1">
        <v>46038</v>
      </c>
      <c r="E379" s="25">
        <v>2</v>
      </c>
    </row>
    <row r="380" spans="1:5" x14ac:dyDescent="0.25">
      <c r="A380" t="s">
        <v>1804</v>
      </c>
      <c r="B380" t="s">
        <v>292</v>
      </c>
      <c r="C380" t="s">
        <v>293</v>
      </c>
      <c r="D380" s="1">
        <v>46038</v>
      </c>
      <c r="E380" s="25">
        <v>2</v>
      </c>
    </row>
    <row r="381" spans="1:5" x14ac:dyDescent="0.25">
      <c r="A381" t="s">
        <v>1804</v>
      </c>
      <c r="B381" t="s">
        <v>683</v>
      </c>
      <c r="C381" t="s">
        <v>684</v>
      </c>
      <c r="D381" s="1">
        <v>46038</v>
      </c>
      <c r="E381" s="25">
        <v>8</v>
      </c>
    </row>
    <row r="382" spans="1:5" x14ac:dyDescent="0.25">
      <c r="A382" t="s">
        <v>1804</v>
      </c>
      <c r="B382" t="s">
        <v>1807</v>
      </c>
      <c r="C382" t="s">
        <v>1808</v>
      </c>
      <c r="D382" s="1">
        <v>46038</v>
      </c>
      <c r="E382" s="25">
        <v>4</v>
      </c>
    </row>
    <row r="383" spans="1:5" x14ac:dyDescent="0.25">
      <c r="A383" t="s">
        <v>1804</v>
      </c>
      <c r="B383" t="s">
        <v>294</v>
      </c>
      <c r="C383" t="s">
        <v>295</v>
      </c>
      <c r="D383" s="1">
        <v>46038</v>
      </c>
      <c r="E383" s="25">
        <v>4</v>
      </c>
    </row>
    <row r="384" spans="1:5" x14ac:dyDescent="0.25">
      <c r="A384" t="s">
        <v>1804</v>
      </c>
      <c r="B384" t="s">
        <v>740</v>
      </c>
      <c r="C384" t="s">
        <v>741</v>
      </c>
      <c r="D384" s="1">
        <v>46038</v>
      </c>
      <c r="E384" s="25">
        <v>2</v>
      </c>
    </row>
    <row r="385" spans="1:5" x14ac:dyDescent="0.25">
      <c r="A385" t="s">
        <v>1804</v>
      </c>
      <c r="B385" t="s">
        <v>688</v>
      </c>
      <c r="C385" t="s">
        <v>689</v>
      </c>
      <c r="D385" s="1">
        <v>46038</v>
      </c>
      <c r="E385" s="25">
        <v>4</v>
      </c>
    </row>
    <row r="386" spans="1:5" x14ac:dyDescent="0.25">
      <c r="A386" t="s">
        <v>1804</v>
      </c>
      <c r="B386" t="s">
        <v>296</v>
      </c>
      <c r="C386" t="s">
        <v>297</v>
      </c>
      <c r="D386" s="1">
        <v>46038</v>
      </c>
      <c r="E386" s="25">
        <v>2</v>
      </c>
    </row>
    <row r="387" spans="1:5" x14ac:dyDescent="0.25">
      <c r="A387" t="s">
        <v>1804</v>
      </c>
      <c r="B387" t="s">
        <v>690</v>
      </c>
      <c r="C387" t="s">
        <v>691</v>
      </c>
      <c r="D387" s="1">
        <v>46038</v>
      </c>
      <c r="E387" s="25">
        <v>2</v>
      </c>
    </row>
    <row r="388" spans="1:5" x14ac:dyDescent="0.25">
      <c r="A388" t="s">
        <v>1804</v>
      </c>
      <c r="B388" t="s">
        <v>514</v>
      </c>
      <c r="C388" t="s">
        <v>515</v>
      </c>
      <c r="D388" s="1">
        <v>46038</v>
      </c>
      <c r="E388" s="25">
        <v>133</v>
      </c>
    </row>
    <row r="389" spans="1:5" x14ac:dyDescent="0.25">
      <c r="A389" t="s">
        <v>1804</v>
      </c>
      <c r="B389" t="s">
        <v>516</v>
      </c>
      <c r="C389" t="s">
        <v>517</v>
      </c>
      <c r="D389" s="1">
        <v>46038</v>
      </c>
      <c r="E389" s="25">
        <v>191</v>
      </c>
    </row>
    <row r="390" spans="1:5" x14ac:dyDescent="0.25">
      <c r="A390" t="s">
        <v>1809</v>
      </c>
      <c r="B390" t="s">
        <v>490</v>
      </c>
      <c r="C390" t="s">
        <v>491</v>
      </c>
      <c r="D390" s="1">
        <v>46034</v>
      </c>
      <c r="E390" s="25">
        <v>1</v>
      </c>
    </row>
    <row r="391" spans="1:5" x14ac:dyDescent="0.25">
      <c r="A391" t="s">
        <v>1809</v>
      </c>
      <c r="B391" t="s">
        <v>750</v>
      </c>
      <c r="C391" t="s">
        <v>751</v>
      </c>
      <c r="D391" s="1">
        <v>46034</v>
      </c>
      <c r="E391" s="25">
        <v>33</v>
      </c>
    </row>
    <row r="392" spans="1:5" x14ac:dyDescent="0.25">
      <c r="A392" t="s">
        <v>1809</v>
      </c>
      <c r="B392" t="s">
        <v>752</v>
      </c>
      <c r="C392" t="s">
        <v>753</v>
      </c>
      <c r="D392" s="1">
        <v>46034</v>
      </c>
      <c r="E392" s="25">
        <v>2</v>
      </c>
    </row>
    <row r="393" spans="1:5" x14ac:dyDescent="0.25">
      <c r="A393" t="s">
        <v>1809</v>
      </c>
      <c r="B393" t="s">
        <v>1810</v>
      </c>
      <c r="C393" t="s">
        <v>1811</v>
      </c>
      <c r="D393" s="1">
        <v>46034</v>
      </c>
      <c r="E393" s="25">
        <v>66</v>
      </c>
    </row>
    <row r="394" spans="1:5" x14ac:dyDescent="0.25">
      <c r="A394" t="s">
        <v>1809</v>
      </c>
      <c r="B394" t="s">
        <v>897</v>
      </c>
      <c r="C394" t="s">
        <v>898</v>
      </c>
      <c r="D394" s="1">
        <v>46034</v>
      </c>
      <c r="E394" s="25">
        <v>66</v>
      </c>
    </row>
    <row r="395" spans="1:5" x14ac:dyDescent="0.25">
      <c r="A395" t="s">
        <v>1809</v>
      </c>
      <c r="B395" t="s">
        <v>1812</v>
      </c>
      <c r="C395" t="s">
        <v>1813</v>
      </c>
      <c r="D395" s="1">
        <v>46034</v>
      </c>
      <c r="E395" s="25">
        <v>64</v>
      </c>
    </row>
    <row r="396" spans="1:5" x14ac:dyDescent="0.25">
      <c r="A396" t="s">
        <v>1809</v>
      </c>
      <c r="B396" t="s">
        <v>966</v>
      </c>
      <c r="C396" t="s">
        <v>967</v>
      </c>
      <c r="D396" s="1">
        <v>46034</v>
      </c>
      <c r="E396" s="25">
        <v>66</v>
      </c>
    </row>
    <row r="397" spans="1:5" x14ac:dyDescent="0.25">
      <c r="A397" t="s">
        <v>1809</v>
      </c>
      <c r="B397" t="s">
        <v>1821</v>
      </c>
      <c r="C397" t="s">
        <v>1822</v>
      </c>
      <c r="D397" s="1">
        <v>46034</v>
      </c>
      <c r="E397" s="25">
        <v>35</v>
      </c>
    </row>
    <row r="398" spans="1:5" x14ac:dyDescent="0.25">
      <c r="A398" t="s">
        <v>1809</v>
      </c>
      <c r="B398" t="s">
        <v>306</v>
      </c>
      <c r="C398" t="s">
        <v>307</v>
      </c>
      <c r="D398" s="1">
        <v>46034</v>
      </c>
      <c r="E398" s="25">
        <v>3</v>
      </c>
    </row>
    <row r="399" spans="1:5" x14ac:dyDescent="0.25">
      <c r="A399" t="s">
        <v>1809</v>
      </c>
      <c r="B399" t="s">
        <v>859</v>
      </c>
      <c r="C399" t="s">
        <v>860</v>
      </c>
      <c r="D399" s="1">
        <v>46034</v>
      </c>
      <c r="E399" s="25">
        <v>33</v>
      </c>
    </row>
    <row r="400" spans="1:5" x14ac:dyDescent="0.25">
      <c r="A400" t="s">
        <v>1809</v>
      </c>
      <c r="B400" t="s">
        <v>121</v>
      </c>
      <c r="C400" t="s">
        <v>162</v>
      </c>
      <c r="D400" s="1">
        <v>46034</v>
      </c>
      <c r="E400" s="25">
        <v>1</v>
      </c>
    </row>
    <row r="401" spans="1:5" x14ac:dyDescent="0.25">
      <c r="A401" t="s">
        <v>1809</v>
      </c>
      <c r="B401" t="s">
        <v>863</v>
      </c>
      <c r="C401" t="s">
        <v>864</v>
      </c>
      <c r="D401" s="1">
        <v>46034</v>
      </c>
      <c r="E401" s="25">
        <v>66</v>
      </c>
    </row>
    <row r="402" spans="1:5" x14ac:dyDescent="0.25">
      <c r="A402" t="s">
        <v>1809</v>
      </c>
      <c r="B402" t="s">
        <v>43</v>
      </c>
      <c r="C402" t="s">
        <v>163</v>
      </c>
      <c r="D402" s="1">
        <v>46034</v>
      </c>
      <c r="E402" s="25">
        <v>33</v>
      </c>
    </row>
    <row r="403" spans="1:5" x14ac:dyDescent="0.25">
      <c r="A403" t="s">
        <v>1809</v>
      </c>
      <c r="B403" t="s">
        <v>865</v>
      </c>
      <c r="C403" t="s">
        <v>866</v>
      </c>
      <c r="D403" s="1">
        <v>46034</v>
      </c>
      <c r="E403" s="25">
        <v>2</v>
      </c>
    </row>
    <row r="404" spans="1:5" x14ac:dyDescent="0.25">
      <c r="A404" t="s">
        <v>1809</v>
      </c>
      <c r="B404" t="s">
        <v>756</v>
      </c>
      <c r="C404" t="s">
        <v>757</v>
      </c>
      <c r="D404" s="1">
        <v>46034</v>
      </c>
      <c r="E404" s="25">
        <v>33</v>
      </c>
    </row>
    <row r="405" spans="1:5" x14ac:dyDescent="0.25">
      <c r="A405" t="s">
        <v>1809</v>
      </c>
      <c r="B405" t="s">
        <v>867</v>
      </c>
      <c r="C405" t="s">
        <v>868</v>
      </c>
      <c r="D405" s="1">
        <v>46034</v>
      </c>
      <c r="E405" s="25">
        <v>33</v>
      </c>
    </row>
    <row r="406" spans="1:5" x14ac:dyDescent="0.25">
      <c r="A406" t="s">
        <v>1809</v>
      </c>
      <c r="B406" t="s">
        <v>869</v>
      </c>
      <c r="C406" t="s">
        <v>870</v>
      </c>
      <c r="D406" s="1">
        <v>46034</v>
      </c>
      <c r="E406" s="25">
        <v>1</v>
      </c>
    </row>
    <row r="407" spans="1:5" x14ac:dyDescent="0.25">
      <c r="A407" t="s">
        <v>1809</v>
      </c>
      <c r="B407" t="s">
        <v>44</v>
      </c>
      <c r="C407" t="s">
        <v>164</v>
      </c>
      <c r="D407" s="1">
        <v>46034</v>
      </c>
      <c r="E407" s="25">
        <v>1</v>
      </c>
    </row>
    <row r="408" spans="1:5" x14ac:dyDescent="0.25">
      <c r="A408" t="s">
        <v>1809</v>
      </c>
      <c r="B408" t="s">
        <v>459</v>
      </c>
      <c r="C408" t="s">
        <v>460</v>
      </c>
      <c r="D408" s="1">
        <v>46034</v>
      </c>
      <c r="E408" s="25">
        <v>1</v>
      </c>
    </row>
    <row r="409" spans="1:5" x14ac:dyDescent="0.25">
      <c r="A409" t="s">
        <v>1809</v>
      </c>
      <c r="B409" t="s">
        <v>871</v>
      </c>
      <c r="C409" t="s">
        <v>872</v>
      </c>
      <c r="D409" s="1">
        <v>46034</v>
      </c>
      <c r="E409" s="25">
        <v>2</v>
      </c>
    </row>
    <row r="410" spans="1:5" x14ac:dyDescent="0.25">
      <c r="A410" t="s">
        <v>1809</v>
      </c>
      <c r="B410" t="s">
        <v>61</v>
      </c>
      <c r="C410" t="s">
        <v>498</v>
      </c>
      <c r="D410" s="1">
        <v>46034</v>
      </c>
      <c r="E410" s="25">
        <v>32</v>
      </c>
    </row>
    <row r="411" spans="1:5" x14ac:dyDescent="0.25">
      <c r="A411" t="s">
        <v>1809</v>
      </c>
      <c r="B411" t="s">
        <v>65</v>
      </c>
      <c r="C411" t="s">
        <v>66</v>
      </c>
      <c r="D411" s="1">
        <v>46034</v>
      </c>
      <c r="E411" s="25">
        <v>3</v>
      </c>
    </row>
    <row r="412" spans="1:5" x14ac:dyDescent="0.25">
      <c r="A412" t="s">
        <v>1809</v>
      </c>
      <c r="B412" t="s">
        <v>875</v>
      </c>
      <c r="C412" t="s">
        <v>876</v>
      </c>
      <c r="D412" s="1">
        <v>46034</v>
      </c>
      <c r="E412" s="25">
        <v>2</v>
      </c>
    </row>
    <row r="413" spans="1:5" x14ac:dyDescent="0.25">
      <c r="A413" t="s">
        <v>1809</v>
      </c>
      <c r="B413" t="s">
        <v>68</v>
      </c>
      <c r="C413" t="s">
        <v>142</v>
      </c>
      <c r="D413" s="1">
        <v>46034</v>
      </c>
      <c r="E413" s="25">
        <v>15</v>
      </c>
    </row>
    <row r="414" spans="1:5" x14ac:dyDescent="0.25">
      <c r="A414" t="s">
        <v>1809</v>
      </c>
      <c r="B414" t="s">
        <v>1831</v>
      </c>
      <c r="C414" t="s">
        <v>1832</v>
      </c>
      <c r="D414" s="1">
        <v>46034</v>
      </c>
      <c r="E414" s="25">
        <v>31</v>
      </c>
    </row>
    <row r="415" spans="1:5" x14ac:dyDescent="0.25">
      <c r="A415" t="s">
        <v>1809</v>
      </c>
      <c r="B415" t="s">
        <v>122</v>
      </c>
      <c r="C415" t="s">
        <v>143</v>
      </c>
      <c r="D415" s="1">
        <v>46034</v>
      </c>
      <c r="E415" s="25">
        <v>2</v>
      </c>
    </row>
    <row r="416" spans="1:5" x14ac:dyDescent="0.25">
      <c r="A416" t="s">
        <v>1809</v>
      </c>
      <c r="B416" t="s">
        <v>462</v>
      </c>
      <c r="C416" t="s">
        <v>463</v>
      </c>
      <c r="D416" s="1">
        <v>46034</v>
      </c>
      <c r="E416" s="25">
        <v>1</v>
      </c>
    </row>
    <row r="417" spans="1:5" x14ac:dyDescent="0.25">
      <c r="A417" t="s">
        <v>1809</v>
      </c>
      <c r="B417" t="s">
        <v>762</v>
      </c>
      <c r="C417" t="s">
        <v>763</v>
      </c>
      <c r="D417" s="1">
        <v>46034</v>
      </c>
      <c r="E417" s="25">
        <v>33</v>
      </c>
    </row>
    <row r="418" spans="1:5" x14ac:dyDescent="0.25">
      <c r="A418" t="s">
        <v>1809</v>
      </c>
      <c r="B418" t="s">
        <v>764</v>
      </c>
      <c r="C418" t="s">
        <v>765</v>
      </c>
      <c r="D418" s="1">
        <v>46034</v>
      </c>
      <c r="E418" s="25">
        <v>1</v>
      </c>
    </row>
    <row r="419" spans="1:5" x14ac:dyDescent="0.25">
      <c r="A419" t="s">
        <v>1809</v>
      </c>
      <c r="B419" t="s">
        <v>766</v>
      </c>
      <c r="C419" t="s">
        <v>767</v>
      </c>
      <c r="D419" s="1">
        <v>46034</v>
      </c>
      <c r="E419" s="25">
        <v>66</v>
      </c>
    </row>
    <row r="420" spans="1:5" x14ac:dyDescent="0.25">
      <c r="A420" t="s">
        <v>1809</v>
      </c>
      <c r="B420" t="s">
        <v>69</v>
      </c>
      <c r="C420" t="s">
        <v>144</v>
      </c>
      <c r="D420" s="1">
        <v>46034</v>
      </c>
      <c r="E420" s="25">
        <v>1</v>
      </c>
    </row>
    <row r="421" spans="1:5" x14ac:dyDescent="0.25">
      <c r="A421" t="s">
        <v>1809</v>
      </c>
      <c r="B421" t="s">
        <v>30</v>
      </c>
      <c r="C421" t="s">
        <v>157</v>
      </c>
      <c r="D421" s="1">
        <v>46034</v>
      </c>
      <c r="E421" s="25">
        <v>2</v>
      </c>
    </row>
    <row r="422" spans="1:5" x14ac:dyDescent="0.25">
      <c r="A422" t="s">
        <v>1809</v>
      </c>
      <c r="B422" t="s">
        <v>70</v>
      </c>
      <c r="C422" t="s">
        <v>71</v>
      </c>
      <c r="D422" s="1">
        <v>46034</v>
      </c>
      <c r="E422" s="25">
        <v>1</v>
      </c>
    </row>
    <row r="423" spans="1:5" x14ac:dyDescent="0.25">
      <c r="A423" t="s">
        <v>1809</v>
      </c>
      <c r="B423" t="s">
        <v>123</v>
      </c>
      <c r="C423" t="s">
        <v>145</v>
      </c>
      <c r="D423" s="1">
        <v>46034</v>
      </c>
      <c r="E423" s="25">
        <v>2</v>
      </c>
    </row>
    <row r="424" spans="1:5" x14ac:dyDescent="0.25">
      <c r="A424" t="s">
        <v>1809</v>
      </c>
      <c r="B424" t="s">
        <v>72</v>
      </c>
      <c r="C424" t="s">
        <v>167</v>
      </c>
      <c r="D424" s="1">
        <v>46034</v>
      </c>
      <c r="E424" s="25">
        <v>11</v>
      </c>
    </row>
    <row r="425" spans="1:5" x14ac:dyDescent="0.25">
      <c r="A425" t="s">
        <v>1809</v>
      </c>
      <c r="B425" t="s">
        <v>33</v>
      </c>
      <c r="C425" t="s">
        <v>466</v>
      </c>
      <c r="D425" s="1">
        <v>46034</v>
      </c>
      <c r="E425" s="25">
        <v>1</v>
      </c>
    </row>
    <row r="426" spans="1:5" x14ac:dyDescent="0.25">
      <c r="A426" t="s">
        <v>1809</v>
      </c>
      <c r="B426" t="s">
        <v>881</v>
      </c>
      <c r="C426" t="s">
        <v>882</v>
      </c>
      <c r="D426" s="1">
        <v>46034</v>
      </c>
      <c r="E426" s="25">
        <v>2</v>
      </c>
    </row>
    <row r="427" spans="1:5" x14ac:dyDescent="0.25">
      <c r="A427" t="s">
        <v>1809</v>
      </c>
      <c r="B427" t="s">
        <v>883</v>
      </c>
      <c r="C427" t="s">
        <v>884</v>
      </c>
      <c r="D427" s="1">
        <v>46034</v>
      </c>
      <c r="E427" s="25">
        <v>5</v>
      </c>
    </row>
    <row r="428" spans="1:5" x14ac:dyDescent="0.25">
      <c r="A428" t="s">
        <v>1809</v>
      </c>
      <c r="B428" t="s">
        <v>885</v>
      </c>
      <c r="C428" t="s">
        <v>886</v>
      </c>
      <c r="D428" s="1">
        <v>46034</v>
      </c>
      <c r="E428" s="25">
        <v>132</v>
      </c>
    </row>
    <row r="429" spans="1:5" x14ac:dyDescent="0.25">
      <c r="A429" t="s">
        <v>1809</v>
      </c>
      <c r="B429" t="s">
        <v>887</v>
      </c>
      <c r="C429" t="s">
        <v>888</v>
      </c>
      <c r="D429" s="1">
        <v>46034</v>
      </c>
      <c r="E429" s="25">
        <v>5</v>
      </c>
    </row>
    <row r="430" spans="1:5" x14ac:dyDescent="0.25">
      <c r="A430" t="s">
        <v>1809</v>
      </c>
      <c r="B430" t="s">
        <v>774</v>
      </c>
      <c r="C430" t="s">
        <v>775</v>
      </c>
      <c r="D430" s="1">
        <v>46034</v>
      </c>
      <c r="E430" s="25">
        <v>66</v>
      </c>
    </row>
    <row r="431" spans="1:5" x14ac:dyDescent="0.25">
      <c r="A431" t="s">
        <v>1809</v>
      </c>
      <c r="B431" t="s">
        <v>889</v>
      </c>
      <c r="C431" t="s">
        <v>890</v>
      </c>
      <c r="D431" s="1">
        <v>46034</v>
      </c>
      <c r="E431" s="25">
        <v>7</v>
      </c>
    </row>
    <row r="432" spans="1:5" x14ac:dyDescent="0.25">
      <c r="A432" t="s">
        <v>1809</v>
      </c>
      <c r="B432" t="s">
        <v>1833</v>
      </c>
      <c r="C432" t="s">
        <v>1834</v>
      </c>
      <c r="D432" s="1">
        <v>46034</v>
      </c>
      <c r="E432" s="25">
        <v>70</v>
      </c>
    </row>
    <row r="433" spans="1:5" x14ac:dyDescent="0.25">
      <c r="A433" t="s">
        <v>1809</v>
      </c>
      <c r="B433" t="s">
        <v>1835</v>
      </c>
      <c r="C433" t="s">
        <v>1836</v>
      </c>
      <c r="D433" s="1">
        <v>46034</v>
      </c>
      <c r="E433" s="25">
        <v>3</v>
      </c>
    </row>
    <row r="434" spans="1:5" x14ac:dyDescent="0.25">
      <c r="A434" t="s">
        <v>1809</v>
      </c>
      <c r="B434" t="s">
        <v>124</v>
      </c>
      <c r="C434" t="s">
        <v>146</v>
      </c>
      <c r="D434" s="1">
        <v>46034</v>
      </c>
      <c r="E434" s="25">
        <v>2</v>
      </c>
    </row>
    <row r="435" spans="1:5" x14ac:dyDescent="0.25">
      <c r="A435" t="s">
        <v>1809</v>
      </c>
      <c r="B435" t="s">
        <v>467</v>
      </c>
      <c r="C435" t="s">
        <v>468</v>
      </c>
      <c r="D435" s="1">
        <v>46034</v>
      </c>
      <c r="E435" s="25">
        <v>2</v>
      </c>
    </row>
    <row r="436" spans="1:5" x14ac:dyDescent="0.25">
      <c r="A436" t="s">
        <v>1809</v>
      </c>
      <c r="B436" t="s">
        <v>469</v>
      </c>
      <c r="C436" t="s">
        <v>470</v>
      </c>
      <c r="D436" s="1">
        <v>46034</v>
      </c>
      <c r="E436" s="25">
        <v>2</v>
      </c>
    </row>
    <row r="437" spans="1:5" x14ac:dyDescent="0.25">
      <c r="A437" t="s">
        <v>1809</v>
      </c>
      <c r="B437" t="s">
        <v>472</v>
      </c>
      <c r="C437" t="s">
        <v>473</v>
      </c>
      <c r="D437" s="1">
        <v>46034</v>
      </c>
      <c r="E437" s="25">
        <v>2</v>
      </c>
    </row>
    <row r="438" spans="1:5" x14ac:dyDescent="0.25">
      <c r="A438" t="s">
        <v>1809</v>
      </c>
      <c r="B438" t="s">
        <v>969</v>
      </c>
      <c r="C438" t="s">
        <v>970</v>
      </c>
      <c r="D438" s="1">
        <v>46034</v>
      </c>
      <c r="E438" s="25">
        <v>1</v>
      </c>
    </row>
    <row r="439" spans="1:5" x14ac:dyDescent="0.25">
      <c r="A439" t="s">
        <v>1809</v>
      </c>
      <c r="B439" t="s">
        <v>74</v>
      </c>
      <c r="C439" t="s">
        <v>148</v>
      </c>
      <c r="D439" s="1">
        <v>46034</v>
      </c>
      <c r="E439" s="25">
        <v>32</v>
      </c>
    </row>
    <row r="440" spans="1:5" x14ac:dyDescent="0.25">
      <c r="A440" t="s">
        <v>1809</v>
      </c>
      <c r="B440" t="s">
        <v>75</v>
      </c>
      <c r="C440" t="s">
        <v>168</v>
      </c>
      <c r="D440" s="1">
        <v>46034</v>
      </c>
      <c r="E440" s="25">
        <v>30</v>
      </c>
    </row>
    <row r="441" spans="1:5" x14ac:dyDescent="0.25">
      <c r="A441" t="s">
        <v>1809</v>
      </c>
      <c r="B441" t="s">
        <v>779</v>
      </c>
      <c r="C441" t="s">
        <v>780</v>
      </c>
      <c r="D441" s="1">
        <v>46034</v>
      </c>
      <c r="E441" s="25">
        <v>1</v>
      </c>
    </row>
    <row r="442" spans="1:5" x14ac:dyDescent="0.25">
      <c r="A442" t="s">
        <v>1809</v>
      </c>
      <c r="B442" t="s">
        <v>781</v>
      </c>
      <c r="C442" t="s">
        <v>782</v>
      </c>
      <c r="D442" s="1">
        <v>46034</v>
      </c>
      <c r="E442" s="25">
        <v>32</v>
      </c>
    </row>
    <row r="443" spans="1:5" x14ac:dyDescent="0.25">
      <c r="A443" t="s">
        <v>1809</v>
      </c>
      <c r="B443" t="s">
        <v>76</v>
      </c>
      <c r="C443" t="s">
        <v>169</v>
      </c>
      <c r="D443" s="1">
        <v>46034</v>
      </c>
      <c r="E443" s="25">
        <v>1</v>
      </c>
    </row>
    <row r="444" spans="1:5" x14ac:dyDescent="0.25">
      <c r="A444" t="s">
        <v>1809</v>
      </c>
      <c r="B444" t="s">
        <v>971</v>
      </c>
      <c r="C444" t="s">
        <v>972</v>
      </c>
      <c r="D444" s="1">
        <v>46034</v>
      </c>
      <c r="E444" s="25">
        <v>33</v>
      </c>
    </row>
    <row r="445" spans="1:5" x14ac:dyDescent="0.25">
      <c r="A445" t="s">
        <v>1809</v>
      </c>
      <c r="B445" t="s">
        <v>789</v>
      </c>
      <c r="C445" t="s">
        <v>790</v>
      </c>
      <c r="D445" s="1">
        <v>46034</v>
      </c>
      <c r="E445" s="25">
        <v>33</v>
      </c>
    </row>
    <row r="446" spans="1:5" x14ac:dyDescent="0.25">
      <c r="A446" t="s">
        <v>1809</v>
      </c>
      <c r="B446" t="s">
        <v>923</v>
      </c>
      <c r="C446" t="s">
        <v>924</v>
      </c>
      <c r="D446" s="1">
        <v>46034</v>
      </c>
      <c r="E446" s="25">
        <v>15</v>
      </c>
    </row>
    <row r="447" spans="1:5" x14ac:dyDescent="0.25">
      <c r="A447" t="s">
        <v>1809</v>
      </c>
      <c r="B447" t="s">
        <v>1837</v>
      </c>
      <c r="C447" t="s">
        <v>1838</v>
      </c>
      <c r="D447" s="1">
        <v>46034</v>
      </c>
      <c r="E447" s="25">
        <v>15</v>
      </c>
    </row>
    <row r="448" spans="1:5" x14ac:dyDescent="0.25">
      <c r="A448" t="s">
        <v>1809</v>
      </c>
      <c r="B448" t="s">
        <v>92</v>
      </c>
      <c r="C448" t="s">
        <v>93</v>
      </c>
      <c r="D448" s="1">
        <v>46034</v>
      </c>
      <c r="E448" s="25">
        <v>10</v>
      </c>
    </row>
    <row r="449" spans="1:5" x14ac:dyDescent="0.25">
      <c r="A449" t="s">
        <v>1809</v>
      </c>
      <c r="B449" t="s">
        <v>793</v>
      </c>
      <c r="C449" t="s">
        <v>794</v>
      </c>
      <c r="D449" s="1">
        <v>46034</v>
      </c>
      <c r="E449" s="25">
        <v>33</v>
      </c>
    </row>
    <row r="450" spans="1:5" x14ac:dyDescent="0.25">
      <c r="A450" t="s">
        <v>1809</v>
      </c>
      <c r="B450" t="s">
        <v>133</v>
      </c>
      <c r="C450" t="s">
        <v>499</v>
      </c>
      <c r="D450" s="1">
        <v>46034</v>
      </c>
      <c r="E450" s="25">
        <v>7</v>
      </c>
    </row>
    <row r="451" spans="1:5" x14ac:dyDescent="0.25">
      <c r="A451" t="s">
        <v>1809</v>
      </c>
      <c r="B451" t="s">
        <v>973</v>
      </c>
      <c r="C451" t="s">
        <v>974</v>
      </c>
      <c r="D451" s="1">
        <v>46034</v>
      </c>
      <c r="E451" s="25">
        <v>3</v>
      </c>
    </row>
    <row r="452" spans="1:5" x14ac:dyDescent="0.25">
      <c r="A452" t="s">
        <v>1809</v>
      </c>
      <c r="B452" t="s">
        <v>795</v>
      </c>
      <c r="C452" t="s">
        <v>796</v>
      </c>
      <c r="D452" s="1">
        <v>46034</v>
      </c>
      <c r="E452" s="25">
        <v>5</v>
      </c>
    </row>
    <row r="453" spans="1:5" x14ac:dyDescent="0.25">
      <c r="A453" t="s">
        <v>1809</v>
      </c>
      <c r="B453" t="s">
        <v>797</v>
      </c>
      <c r="C453" t="s">
        <v>798</v>
      </c>
      <c r="D453" s="1">
        <v>46034</v>
      </c>
      <c r="E453" s="25">
        <v>1</v>
      </c>
    </row>
    <row r="454" spans="1:5" x14ac:dyDescent="0.25">
      <c r="A454" t="s">
        <v>1809</v>
      </c>
      <c r="B454" t="s">
        <v>501</v>
      </c>
      <c r="C454" t="s">
        <v>502</v>
      </c>
      <c r="D454" s="1">
        <v>46034</v>
      </c>
      <c r="E454" s="25">
        <v>1</v>
      </c>
    </row>
    <row r="455" spans="1:5" x14ac:dyDescent="0.25">
      <c r="A455" t="s">
        <v>1809</v>
      </c>
      <c r="B455" t="s">
        <v>975</v>
      </c>
      <c r="C455" t="s">
        <v>976</v>
      </c>
      <c r="D455" s="1">
        <v>46034</v>
      </c>
      <c r="E455" s="25">
        <v>33</v>
      </c>
    </row>
    <row r="456" spans="1:5" x14ac:dyDescent="0.25">
      <c r="A456" t="s">
        <v>1809</v>
      </c>
      <c r="B456" t="s">
        <v>927</v>
      </c>
      <c r="C456" t="s">
        <v>928</v>
      </c>
      <c r="D456" s="1">
        <v>46034</v>
      </c>
      <c r="E456" s="25">
        <v>33</v>
      </c>
    </row>
    <row r="457" spans="1:5" x14ac:dyDescent="0.25">
      <c r="A457" t="s">
        <v>1809</v>
      </c>
      <c r="B457" t="s">
        <v>1839</v>
      </c>
      <c r="C457" t="s">
        <v>1840</v>
      </c>
      <c r="D457" s="1">
        <v>46034</v>
      </c>
      <c r="E457" s="25">
        <v>2</v>
      </c>
    </row>
    <row r="458" spans="1:5" x14ac:dyDescent="0.25">
      <c r="A458" t="s">
        <v>1809</v>
      </c>
      <c r="B458" t="s">
        <v>132</v>
      </c>
      <c r="C458" t="s">
        <v>503</v>
      </c>
      <c r="D458" s="1">
        <v>46034</v>
      </c>
      <c r="E458" s="25">
        <v>11</v>
      </c>
    </row>
    <row r="459" spans="1:5" x14ac:dyDescent="0.25">
      <c r="A459" t="s">
        <v>1809</v>
      </c>
      <c r="B459" t="s">
        <v>816</v>
      </c>
      <c r="C459" t="s">
        <v>817</v>
      </c>
      <c r="D459" s="1">
        <v>46034</v>
      </c>
      <c r="E459" s="25">
        <v>33</v>
      </c>
    </row>
    <row r="460" spans="1:5" x14ac:dyDescent="0.25">
      <c r="A460" t="s">
        <v>1809</v>
      </c>
      <c r="B460" t="s">
        <v>818</v>
      </c>
      <c r="C460" t="s">
        <v>819</v>
      </c>
      <c r="D460" s="1">
        <v>46034</v>
      </c>
      <c r="E460" s="25">
        <v>33</v>
      </c>
    </row>
    <row r="461" spans="1:5" x14ac:dyDescent="0.25">
      <c r="A461" t="s">
        <v>1809</v>
      </c>
      <c r="B461" t="s">
        <v>485</v>
      </c>
      <c r="C461" t="s">
        <v>486</v>
      </c>
      <c r="D461" s="1">
        <v>46034</v>
      </c>
      <c r="E461" s="25">
        <v>2</v>
      </c>
    </row>
    <row r="462" spans="1:5" x14ac:dyDescent="0.25">
      <c r="A462" t="s">
        <v>1809</v>
      </c>
      <c r="B462" t="s">
        <v>1841</v>
      </c>
      <c r="C462" t="s">
        <v>1842</v>
      </c>
      <c r="D462" s="1">
        <v>46034</v>
      </c>
      <c r="E462" s="25">
        <v>62</v>
      </c>
    </row>
    <row r="463" spans="1:5" x14ac:dyDescent="0.25">
      <c r="A463" t="s">
        <v>1809</v>
      </c>
      <c r="B463" t="s">
        <v>1843</v>
      </c>
      <c r="C463" t="s">
        <v>1844</v>
      </c>
      <c r="D463" s="1">
        <v>46034</v>
      </c>
      <c r="E463" s="25">
        <v>62</v>
      </c>
    </row>
    <row r="464" spans="1:5" x14ac:dyDescent="0.25">
      <c r="A464" t="s">
        <v>1809</v>
      </c>
      <c r="B464" t="s">
        <v>822</v>
      </c>
      <c r="C464" t="s">
        <v>823</v>
      </c>
      <c r="D464" s="1">
        <v>46034</v>
      </c>
      <c r="E464" s="25">
        <v>717</v>
      </c>
    </row>
    <row r="465" spans="1:5" x14ac:dyDescent="0.25">
      <c r="A465" t="s">
        <v>1809</v>
      </c>
      <c r="B465" t="s">
        <v>37</v>
      </c>
      <c r="C465" t="s">
        <v>151</v>
      </c>
      <c r="D465" s="1">
        <v>46034</v>
      </c>
      <c r="E465" s="25">
        <v>1</v>
      </c>
    </row>
    <row r="466" spans="1:5" x14ac:dyDescent="0.25">
      <c r="A466" t="s">
        <v>1809</v>
      </c>
      <c r="B466" t="s">
        <v>826</v>
      </c>
      <c r="C466" t="s">
        <v>827</v>
      </c>
      <c r="D466" s="1">
        <v>46034</v>
      </c>
      <c r="E466" s="25">
        <v>81</v>
      </c>
    </row>
    <row r="467" spans="1:5" x14ac:dyDescent="0.25">
      <c r="A467" t="s">
        <v>1809</v>
      </c>
      <c r="B467" t="s">
        <v>126</v>
      </c>
      <c r="C467" t="s">
        <v>505</v>
      </c>
      <c r="D467" s="1">
        <v>46034</v>
      </c>
      <c r="E467" s="25">
        <v>110</v>
      </c>
    </row>
    <row r="468" spans="1:5" x14ac:dyDescent="0.25">
      <c r="A468" t="s">
        <v>1809</v>
      </c>
      <c r="B468" t="s">
        <v>828</v>
      </c>
      <c r="C468" t="s">
        <v>829</v>
      </c>
      <c r="D468" s="1">
        <v>46034</v>
      </c>
      <c r="E468" s="25">
        <v>1</v>
      </c>
    </row>
    <row r="469" spans="1:5" x14ac:dyDescent="0.25">
      <c r="A469" t="s">
        <v>1809</v>
      </c>
      <c r="B469" t="s">
        <v>830</v>
      </c>
      <c r="C469" t="s">
        <v>831</v>
      </c>
      <c r="D469" s="1">
        <v>46034</v>
      </c>
      <c r="E469" s="25">
        <v>20</v>
      </c>
    </row>
    <row r="470" spans="1:5" x14ac:dyDescent="0.25">
      <c r="A470" t="s">
        <v>1809</v>
      </c>
      <c r="B470" t="s">
        <v>836</v>
      </c>
      <c r="C470" t="s">
        <v>837</v>
      </c>
      <c r="D470" s="1">
        <v>46034</v>
      </c>
      <c r="E470" s="25">
        <v>1</v>
      </c>
    </row>
    <row r="471" spans="1:5" x14ac:dyDescent="0.25">
      <c r="A471" t="s">
        <v>1809</v>
      </c>
      <c r="B471" t="s">
        <v>838</v>
      </c>
      <c r="C471" t="s">
        <v>839</v>
      </c>
      <c r="D471" s="1">
        <v>46034</v>
      </c>
      <c r="E471" s="25">
        <v>5</v>
      </c>
    </row>
    <row r="472" spans="1:5" x14ac:dyDescent="0.25">
      <c r="A472" t="s">
        <v>1809</v>
      </c>
      <c r="B472" t="s">
        <v>840</v>
      </c>
      <c r="C472" t="s">
        <v>841</v>
      </c>
      <c r="D472" s="1">
        <v>46034</v>
      </c>
      <c r="E472" s="25">
        <v>3</v>
      </c>
    </row>
    <row r="473" spans="1:5" x14ac:dyDescent="0.25">
      <c r="A473" t="s">
        <v>1809</v>
      </c>
      <c r="B473" t="s">
        <v>842</v>
      </c>
      <c r="C473" t="s">
        <v>843</v>
      </c>
      <c r="D473" s="1">
        <v>46034</v>
      </c>
      <c r="E473" s="25">
        <v>6</v>
      </c>
    </row>
    <row r="474" spans="1:5" x14ac:dyDescent="0.25">
      <c r="A474" t="s">
        <v>1809</v>
      </c>
      <c r="B474" t="s">
        <v>980</v>
      </c>
      <c r="C474" t="s">
        <v>981</v>
      </c>
      <c r="D474" s="1">
        <v>46034</v>
      </c>
      <c r="E474" s="25">
        <v>6</v>
      </c>
    </row>
    <row r="475" spans="1:5" x14ac:dyDescent="0.25">
      <c r="A475" t="s">
        <v>1809</v>
      </c>
      <c r="B475" t="s">
        <v>129</v>
      </c>
      <c r="C475" t="s">
        <v>154</v>
      </c>
      <c r="D475" s="1">
        <v>46034</v>
      </c>
      <c r="E475" s="25">
        <v>33</v>
      </c>
    </row>
    <row r="476" spans="1:5" x14ac:dyDescent="0.25">
      <c r="A476" t="s">
        <v>1809</v>
      </c>
      <c r="B476" t="s">
        <v>506</v>
      </c>
      <c r="C476" t="s">
        <v>507</v>
      </c>
      <c r="D476" s="1">
        <v>46034</v>
      </c>
      <c r="E476" s="25">
        <v>1</v>
      </c>
    </row>
    <row r="477" spans="1:5" x14ac:dyDescent="0.25">
      <c r="A477" t="s">
        <v>1809</v>
      </c>
      <c r="B477" t="s">
        <v>508</v>
      </c>
      <c r="C477" t="s">
        <v>509</v>
      </c>
      <c r="D477" s="1">
        <v>46034</v>
      </c>
      <c r="E477" s="25">
        <v>4</v>
      </c>
    </row>
    <row r="478" spans="1:5" x14ac:dyDescent="0.25">
      <c r="A478" t="s">
        <v>1809</v>
      </c>
      <c r="B478" t="s">
        <v>510</v>
      </c>
      <c r="C478" t="s">
        <v>511</v>
      </c>
      <c r="D478" s="1">
        <v>46034</v>
      </c>
      <c r="E478" s="25">
        <v>2</v>
      </c>
    </row>
    <row r="479" spans="1:5" x14ac:dyDescent="0.25">
      <c r="A479" t="s">
        <v>1809</v>
      </c>
      <c r="B479" t="s">
        <v>512</v>
      </c>
      <c r="C479" t="s">
        <v>513</v>
      </c>
      <c r="D479" s="1">
        <v>46034</v>
      </c>
      <c r="E479" s="25">
        <v>2</v>
      </c>
    </row>
    <row r="480" spans="1:5" x14ac:dyDescent="0.25">
      <c r="A480" t="s">
        <v>1809</v>
      </c>
      <c r="B480" t="s">
        <v>846</v>
      </c>
      <c r="C480" t="s">
        <v>847</v>
      </c>
      <c r="D480" s="1">
        <v>46034</v>
      </c>
      <c r="E480" s="25">
        <v>35</v>
      </c>
    </row>
    <row r="481" spans="1:5" x14ac:dyDescent="0.25">
      <c r="A481" t="s">
        <v>1809</v>
      </c>
      <c r="B481" t="s">
        <v>850</v>
      </c>
      <c r="C481" t="s">
        <v>851</v>
      </c>
      <c r="D481" s="1">
        <v>46034</v>
      </c>
      <c r="E481" s="25">
        <v>101</v>
      </c>
    </row>
    <row r="482" spans="1:5" x14ac:dyDescent="0.25">
      <c r="A482" t="s">
        <v>1846</v>
      </c>
      <c r="B482" t="s">
        <v>893</v>
      </c>
      <c r="C482" t="s">
        <v>894</v>
      </c>
      <c r="D482" s="1">
        <v>46034</v>
      </c>
      <c r="E482" s="25">
        <v>4</v>
      </c>
    </row>
    <row r="483" spans="1:5" x14ac:dyDescent="0.25">
      <c r="A483" t="s">
        <v>1846</v>
      </c>
      <c r="B483" t="s">
        <v>311</v>
      </c>
      <c r="C483" t="s">
        <v>312</v>
      </c>
      <c r="D483" s="1">
        <v>46034</v>
      </c>
      <c r="E483" s="25">
        <v>20</v>
      </c>
    </row>
    <row r="484" spans="1:5" x14ac:dyDescent="0.25">
      <c r="A484" t="s">
        <v>1846</v>
      </c>
      <c r="B484" t="s">
        <v>785</v>
      </c>
      <c r="C484" t="s">
        <v>786</v>
      </c>
      <c r="D484" s="1">
        <v>46034</v>
      </c>
      <c r="E484" s="25">
        <v>22</v>
      </c>
    </row>
    <row r="485" spans="1:5" x14ac:dyDescent="0.25">
      <c r="A485" t="s">
        <v>1846</v>
      </c>
      <c r="B485" t="s">
        <v>131</v>
      </c>
      <c r="C485" t="s">
        <v>158</v>
      </c>
      <c r="D485" s="1">
        <v>46034</v>
      </c>
      <c r="E485" s="25">
        <v>4</v>
      </c>
    </row>
    <row r="486" spans="1:5" x14ac:dyDescent="0.25">
      <c r="A486" t="s">
        <v>1846</v>
      </c>
      <c r="B486" t="s">
        <v>787</v>
      </c>
      <c r="C486" t="s">
        <v>788</v>
      </c>
      <c r="D486" s="1">
        <v>46034</v>
      </c>
      <c r="E486" s="25">
        <v>4</v>
      </c>
    </row>
    <row r="487" spans="1:5" x14ac:dyDescent="0.25">
      <c r="A487" t="s">
        <v>1846</v>
      </c>
      <c r="B487" t="s">
        <v>481</v>
      </c>
      <c r="C487" t="s">
        <v>482</v>
      </c>
      <c r="D487" s="1">
        <v>46034</v>
      </c>
      <c r="E487" s="25">
        <v>8</v>
      </c>
    </row>
    <row r="488" spans="1:5" x14ac:dyDescent="0.25">
      <c r="A488" t="s">
        <v>1846</v>
      </c>
      <c r="B488" t="s">
        <v>1794</v>
      </c>
      <c r="C488" t="s">
        <v>1795</v>
      </c>
      <c r="D488" s="1">
        <v>46034</v>
      </c>
      <c r="E488" s="25">
        <v>1</v>
      </c>
    </row>
    <row r="489" spans="1:5" x14ac:dyDescent="0.25">
      <c r="A489" t="s">
        <v>1846</v>
      </c>
      <c r="B489" t="s">
        <v>130</v>
      </c>
      <c r="C489" t="s">
        <v>138</v>
      </c>
      <c r="D489" s="1">
        <v>46034</v>
      </c>
      <c r="E489" s="25">
        <v>2</v>
      </c>
    </row>
    <row r="490" spans="1:5" x14ac:dyDescent="0.25">
      <c r="A490" t="s">
        <v>1846</v>
      </c>
      <c r="B490" t="s">
        <v>483</v>
      </c>
      <c r="C490" t="s">
        <v>484</v>
      </c>
      <c r="D490" s="1">
        <v>46034</v>
      </c>
      <c r="E490" s="25">
        <v>4</v>
      </c>
    </row>
    <row r="491" spans="1:5" x14ac:dyDescent="0.25">
      <c r="A491" t="s">
        <v>1846</v>
      </c>
      <c r="B491" t="s">
        <v>1854</v>
      </c>
      <c r="C491" t="s">
        <v>1855</v>
      </c>
      <c r="D491" s="1">
        <v>46034</v>
      </c>
      <c r="E491" s="25">
        <v>4</v>
      </c>
    </row>
    <row r="492" spans="1:5" x14ac:dyDescent="0.25">
      <c r="A492" t="s">
        <v>1846</v>
      </c>
      <c r="B492" t="s">
        <v>1856</v>
      </c>
      <c r="C492" t="s">
        <v>1857</v>
      </c>
      <c r="D492" s="1">
        <v>46034</v>
      </c>
      <c r="E492" s="25">
        <v>1</v>
      </c>
    </row>
    <row r="493" spans="1:5" x14ac:dyDescent="0.25">
      <c r="A493" t="s">
        <v>1846</v>
      </c>
      <c r="B493" t="s">
        <v>314</v>
      </c>
      <c r="C493" t="s">
        <v>315</v>
      </c>
      <c r="D493" s="1">
        <v>46034</v>
      </c>
      <c r="E493" s="25">
        <v>1</v>
      </c>
    </row>
    <row r="494" spans="1:5" x14ac:dyDescent="0.25">
      <c r="A494" t="s">
        <v>1846</v>
      </c>
      <c r="B494" t="s">
        <v>266</v>
      </c>
      <c r="C494" t="s">
        <v>267</v>
      </c>
      <c r="D494" s="1">
        <v>46034</v>
      </c>
      <c r="E494" s="25">
        <v>2</v>
      </c>
    </row>
    <row r="495" spans="1:5" x14ac:dyDescent="0.25">
      <c r="A495" t="s">
        <v>1846</v>
      </c>
      <c r="B495" t="s">
        <v>277</v>
      </c>
      <c r="C495" t="s">
        <v>278</v>
      </c>
      <c r="D495" s="1">
        <v>46034</v>
      </c>
      <c r="E495" s="25">
        <v>2</v>
      </c>
    </row>
    <row r="496" spans="1:5" x14ac:dyDescent="0.25">
      <c r="A496" t="s">
        <v>1846</v>
      </c>
      <c r="B496" t="s">
        <v>104</v>
      </c>
      <c r="C496" t="s">
        <v>105</v>
      </c>
      <c r="D496" s="1">
        <v>46034</v>
      </c>
      <c r="E496" s="25">
        <v>36</v>
      </c>
    </row>
    <row r="497" spans="1:5" x14ac:dyDescent="0.25">
      <c r="A497" t="s">
        <v>1846</v>
      </c>
      <c r="B497" t="s">
        <v>28</v>
      </c>
      <c r="C497" t="s">
        <v>38</v>
      </c>
      <c r="D497" s="1">
        <v>46034</v>
      </c>
      <c r="E497" s="25">
        <v>14</v>
      </c>
    </row>
    <row r="498" spans="1:5" x14ac:dyDescent="0.25">
      <c r="A498" t="s">
        <v>1846</v>
      </c>
      <c r="B498" t="s">
        <v>316</v>
      </c>
      <c r="C498" t="s">
        <v>317</v>
      </c>
      <c r="D498" s="1">
        <v>46034</v>
      </c>
      <c r="E498" s="25">
        <v>2</v>
      </c>
    </row>
    <row r="499" spans="1:5" x14ac:dyDescent="0.25">
      <c r="A499" t="s">
        <v>1846</v>
      </c>
      <c r="B499" t="s">
        <v>29</v>
      </c>
      <c r="C499" t="s">
        <v>113</v>
      </c>
      <c r="D499" s="1">
        <v>46034</v>
      </c>
      <c r="E499" s="25">
        <v>6</v>
      </c>
    </row>
    <row r="500" spans="1:5" x14ac:dyDescent="0.25">
      <c r="A500" t="s">
        <v>1846</v>
      </c>
      <c r="B500" t="s">
        <v>23</v>
      </c>
      <c r="C500" t="s">
        <v>114</v>
      </c>
      <c r="D500" s="1">
        <v>46034</v>
      </c>
      <c r="E500" s="25">
        <v>19</v>
      </c>
    </row>
    <row r="501" spans="1:5" x14ac:dyDescent="0.25">
      <c r="A501" t="s">
        <v>1846</v>
      </c>
      <c r="B501" t="s">
        <v>943</v>
      </c>
      <c r="C501" t="s">
        <v>944</v>
      </c>
      <c r="D501" s="1">
        <v>46034</v>
      </c>
      <c r="E501" s="25">
        <v>3</v>
      </c>
    </row>
    <row r="502" spans="1:5" x14ac:dyDescent="0.25">
      <c r="A502" t="s">
        <v>1846</v>
      </c>
      <c r="B502" t="s">
        <v>946</v>
      </c>
      <c r="C502" t="s">
        <v>947</v>
      </c>
      <c r="D502" s="1">
        <v>46034</v>
      </c>
      <c r="E502" s="25">
        <v>68</v>
      </c>
    </row>
    <row r="503" spans="1:5" x14ac:dyDescent="0.25">
      <c r="A503" t="s">
        <v>1846</v>
      </c>
      <c r="B503" t="s">
        <v>1800</v>
      </c>
      <c r="C503" t="s">
        <v>1801</v>
      </c>
      <c r="D503" s="1">
        <v>46034</v>
      </c>
      <c r="E503" s="25">
        <v>38</v>
      </c>
    </row>
    <row r="504" spans="1:5" x14ac:dyDescent="0.25">
      <c r="A504" t="s">
        <v>5561</v>
      </c>
      <c r="B504" t="s">
        <v>205</v>
      </c>
      <c r="C504" t="s">
        <v>896</v>
      </c>
      <c r="D504" s="1">
        <v>46062</v>
      </c>
      <c r="E504" s="25">
        <v>400</v>
      </c>
    </row>
    <row r="505" spans="1:5" x14ac:dyDescent="0.25">
      <c r="A505" t="s">
        <v>5561</v>
      </c>
      <c r="B505" t="s">
        <v>45</v>
      </c>
      <c r="C505" t="s">
        <v>46</v>
      </c>
      <c r="D505" s="1">
        <v>46076</v>
      </c>
      <c r="E505" s="25">
        <v>55</v>
      </c>
    </row>
    <row r="506" spans="1:5" x14ac:dyDescent="0.25">
      <c r="A506" t="s">
        <v>5561</v>
      </c>
      <c r="B506" t="s">
        <v>47</v>
      </c>
      <c r="C506" t="s">
        <v>48</v>
      </c>
      <c r="D506" s="1">
        <v>46076</v>
      </c>
      <c r="E506" s="25">
        <v>55</v>
      </c>
    </row>
    <row r="507" spans="1:5" x14ac:dyDescent="0.25">
      <c r="A507" t="s">
        <v>5561</v>
      </c>
      <c r="B507" t="s">
        <v>51</v>
      </c>
      <c r="C507" t="s">
        <v>52</v>
      </c>
      <c r="D507" s="1">
        <v>46076</v>
      </c>
      <c r="E507" s="25">
        <v>159</v>
      </c>
    </row>
    <row r="508" spans="1:5" x14ac:dyDescent="0.25">
      <c r="A508" t="s">
        <v>5561</v>
      </c>
      <c r="B508" t="s">
        <v>903</v>
      </c>
      <c r="C508" t="s">
        <v>904</v>
      </c>
      <c r="D508" s="1">
        <v>46076</v>
      </c>
      <c r="E508" s="25">
        <v>32</v>
      </c>
    </row>
    <row r="509" spans="1:5" x14ac:dyDescent="0.25">
      <c r="A509" t="s">
        <v>5561</v>
      </c>
      <c r="B509" t="s">
        <v>55</v>
      </c>
      <c r="C509" t="s">
        <v>56</v>
      </c>
      <c r="D509" s="1">
        <v>46076</v>
      </c>
      <c r="E509" s="25">
        <v>32</v>
      </c>
    </row>
    <row r="510" spans="1:5" x14ac:dyDescent="0.25">
      <c r="A510" t="s">
        <v>5561</v>
      </c>
      <c r="B510" t="s">
        <v>57</v>
      </c>
      <c r="C510" t="s">
        <v>58</v>
      </c>
      <c r="D510" s="1">
        <v>46076</v>
      </c>
      <c r="E510" s="25">
        <v>80</v>
      </c>
    </row>
    <row r="511" spans="1:5" x14ac:dyDescent="0.25">
      <c r="A511" t="s">
        <v>5561</v>
      </c>
      <c r="B511" t="s">
        <v>455</v>
      </c>
      <c r="C511" t="s">
        <v>906</v>
      </c>
      <c r="D511" s="1">
        <v>46076</v>
      </c>
      <c r="E511" s="25">
        <v>16</v>
      </c>
    </row>
    <row r="512" spans="1:5" x14ac:dyDescent="0.25">
      <c r="A512" t="s">
        <v>5561</v>
      </c>
      <c r="B512" t="s">
        <v>59</v>
      </c>
      <c r="C512" t="s">
        <v>60</v>
      </c>
      <c r="D512" s="1">
        <v>46076</v>
      </c>
      <c r="E512" s="25">
        <v>128</v>
      </c>
    </row>
    <row r="513" spans="1:5" x14ac:dyDescent="0.25">
      <c r="A513" t="s">
        <v>5561</v>
      </c>
      <c r="B513" t="s">
        <v>63</v>
      </c>
      <c r="C513" t="s">
        <v>64</v>
      </c>
      <c r="D513" s="1">
        <v>46088</v>
      </c>
      <c r="E513" s="25">
        <v>252</v>
      </c>
    </row>
    <row r="514" spans="1:5" x14ac:dyDescent="0.25">
      <c r="A514" t="s">
        <v>5561</v>
      </c>
      <c r="B514" t="s">
        <v>77</v>
      </c>
      <c r="C514" t="s">
        <v>78</v>
      </c>
      <c r="D514" s="1">
        <v>46076</v>
      </c>
      <c r="E514" s="25">
        <v>28</v>
      </c>
    </row>
    <row r="515" spans="1:5" x14ac:dyDescent="0.25">
      <c r="A515" t="s">
        <v>5561</v>
      </c>
      <c r="B515" t="s">
        <v>79</v>
      </c>
      <c r="C515" t="s">
        <v>80</v>
      </c>
      <c r="D515" s="1">
        <v>46076</v>
      </c>
      <c r="E515" s="25">
        <v>34</v>
      </c>
    </row>
    <row r="516" spans="1:5" x14ac:dyDescent="0.25">
      <c r="A516" t="s">
        <v>5561</v>
      </c>
      <c r="B516" t="s">
        <v>81</v>
      </c>
      <c r="C516" t="s">
        <v>82</v>
      </c>
      <c r="D516" s="1">
        <v>46076</v>
      </c>
      <c r="E516" s="25">
        <v>32</v>
      </c>
    </row>
    <row r="517" spans="1:5" x14ac:dyDescent="0.25">
      <c r="A517" t="s">
        <v>5561</v>
      </c>
      <c r="B517" t="s">
        <v>83</v>
      </c>
      <c r="C517" t="s">
        <v>84</v>
      </c>
      <c r="D517" s="1">
        <v>46076</v>
      </c>
      <c r="E517" s="25">
        <v>31</v>
      </c>
    </row>
    <row r="518" spans="1:5" x14ac:dyDescent="0.25">
      <c r="A518" t="s">
        <v>5561</v>
      </c>
      <c r="B518" t="s">
        <v>85</v>
      </c>
      <c r="C518" t="s">
        <v>86</v>
      </c>
      <c r="D518" s="1">
        <v>46076</v>
      </c>
      <c r="E518" s="25">
        <v>27</v>
      </c>
    </row>
    <row r="519" spans="1:5" x14ac:dyDescent="0.25">
      <c r="A519" t="s">
        <v>5561</v>
      </c>
      <c r="B519" t="s">
        <v>311</v>
      </c>
      <c r="C519" t="s">
        <v>312</v>
      </c>
      <c r="D519" s="1">
        <v>46076</v>
      </c>
      <c r="E519" s="25">
        <v>20</v>
      </c>
    </row>
    <row r="520" spans="1:5" x14ac:dyDescent="0.25">
      <c r="A520" t="s">
        <v>5561</v>
      </c>
      <c r="B520" t="s">
        <v>25</v>
      </c>
      <c r="C520" t="s">
        <v>155</v>
      </c>
      <c r="D520" s="1">
        <v>46076</v>
      </c>
      <c r="E520" s="25">
        <v>10</v>
      </c>
    </row>
    <row r="521" spans="1:5" x14ac:dyDescent="0.25">
      <c r="A521" t="s">
        <v>5561</v>
      </c>
      <c r="B521" t="s">
        <v>1847</v>
      </c>
      <c r="C521" t="s">
        <v>1848</v>
      </c>
      <c r="D521" s="1">
        <v>46076</v>
      </c>
      <c r="E521" s="25">
        <v>10</v>
      </c>
    </row>
    <row r="522" spans="1:5" x14ac:dyDescent="0.25">
      <c r="A522" t="s">
        <v>5561</v>
      </c>
      <c r="B522" t="s">
        <v>919</v>
      </c>
      <c r="C522" t="s">
        <v>920</v>
      </c>
      <c r="D522" s="1">
        <v>46076</v>
      </c>
      <c r="E522" s="25">
        <v>8</v>
      </c>
    </row>
    <row r="523" spans="1:5" x14ac:dyDescent="0.25">
      <c r="A523" t="s">
        <v>5561</v>
      </c>
      <c r="B523" t="s">
        <v>785</v>
      </c>
      <c r="C523" t="s">
        <v>786</v>
      </c>
      <c r="D523" s="1">
        <v>46076</v>
      </c>
      <c r="E523" s="25">
        <v>34</v>
      </c>
    </row>
    <row r="524" spans="1:5" x14ac:dyDescent="0.25">
      <c r="A524" t="s">
        <v>5561</v>
      </c>
      <c r="B524" t="s">
        <v>131</v>
      </c>
      <c r="C524" t="s">
        <v>158</v>
      </c>
      <c r="D524" s="1">
        <v>46076</v>
      </c>
      <c r="E524" s="25">
        <v>8</v>
      </c>
    </row>
    <row r="525" spans="1:5" x14ac:dyDescent="0.25">
      <c r="A525" t="s">
        <v>5561</v>
      </c>
      <c r="B525" t="s">
        <v>787</v>
      </c>
      <c r="C525" t="s">
        <v>788</v>
      </c>
      <c r="D525" s="1">
        <v>46076</v>
      </c>
      <c r="E525" s="25">
        <v>15</v>
      </c>
    </row>
    <row r="526" spans="1:5" x14ac:dyDescent="0.25">
      <c r="A526" t="s">
        <v>5561</v>
      </c>
      <c r="B526" t="s">
        <v>1850</v>
      </c>
      <c r="C526" t="s">
        <v>1851</v>
      </c>
      <c r="D526" s="1">
        <v>46076</v>
      </c>
      <c r="E526" s="25">
        <v>32</v>
      </c>
    </row>
    <row r="527" spans="1:5" x14ac:dyDescent="0.25">
      <c r="A527" t="s">
        <v>5561</v>
      </c>
      <c r="B527" t="s">
        <v>481</v>
      </c>
      <c r="C527" t="s">
        <v>482</v>
      </c>
      <c r="D527" s="1">
        <v>46076</v>
      </c>
      <c r="E527" s="25">
        <v>28</v>
      </c>
    </row>
    <row r="528" spans="1:5" x14ac:dyDescent="0.25">
      <c r="A528" t="s">
        <v>5561</v>
      </c>
      <c r="B528" t="s">
        <v>263</v>
      </c>
      <c r="C528" t="s">
        <v>930</v>
      </c>
      <c r="D528" s="1">
        <v>46076</v>
      </c>
      <c r="E528" s="25">
        <v>16</v>
      </c>
    </row>
    <row r="529" spans="1:5" x14ac:dyDescent="0.25">
      <c r="A529" t="s">
        <v>5561</v>
      </c>
      <c r="B529" t="s">
        <v>130</v>
      </c>
      <c r="C529" t="s">
        <v>138</v>
      </c>
      <c r="D529" s="1">
        <v>46076</v>
      </c>
      <c r="E529" s="25">
        <v>14</v>
      </c>
    </row>
    <row r="530" spans="1:5" x14ac:dyDescent="0.25">
      <c r="A530" t="s">
        <v>5561</v>
      </c>
      <c r="B530" t="s">
        <v>264</v>
      </c>
      <c r="C530" t="s">
        <v>265</v>
      </c>
      <c r="D530" s="1">
        <v>46076</v>
      </c>
      <c r="E530" s="25">
        <v>14</v>
      </c>
    </row>
    <row r="531" spans="1:5" x14ac:dyDescent="0.25">
      <c r="A531" t="s">
        <v>5561</v>
      </c>
      <c r="B531" t="s">
        <v>1852</v>
      </c>
      <c r="C531" t="s">
        <v>1853</v>
      </c>
      <c r="D531" s="1">
        <v>46076</v>
      </c>
      <c r="E531" s="25">
        <v>12</v>
      </c>
    </row>
    <row r="532" spans="1:5" x14ac:dyDescent="0.25">
      <c r="A532" t="s">
        <v>5561</v>
      </c>
      <c r="B532" t="s">
        <v>483</v>
      </c>
      <c r="C532" t="s">
        <v>484</v>
      </c>
      <c r="D532" s="1">
        <v>46076</v>
      </c>
      <c r="E532" s="25">
        <v>16</v>
      </c>
    </row>
    <row r="533" spans="1:5" x14ac:dyDescent="0.25">
      <c r="A533" t="s">
        <v>5561</v>
      </c>
      <c r="B533" t="s">
        <v>266</v>
      </c>
      <c r="C533" t="s">
        <v>267</v>
      </c>
      <c r="D533" s="1">
        <v>46076</v>
      </c>
      <c r="E533" s="25">
        <v>6</v>
      </c>
    </row>
    <row r="534" spans="1:5" x14ac:dyDescent="0.25">
      <c r="A534" t="s">
        <v>5561</v>
      </c>
      <c r="B534" t="s">
        <v>268</v>
      </c>
      <c r="C534" t="s">
        <v>269</v>
      </c>
      <c r="D534" s="1">
        <v>46076</v>
      </c>
      <c r="E534" s="25">
        <v>6</v>
      </c>
    </row>
    <row r="535" spans="1:5" x14ac:dyDescent="0.25">
      <c r="A535" t="s">
        <v>5561</v>
      </c>
      <c r="B535" t="s">
        <v>275</v>
      </c>
      <c r="C535" t="s">
        <v>276</v>
      </c>
      <c r="D535" s="1">
        <v>46076</v>
      </c>
      <c r="E535" s="25">
        <v>8</v>
      </c>
    </row>
    <row r="536" spans="1:5" x14ac:dyDescent="0.25">
      <c r="A536" t="s">
        <v>5561</v>
      </c>
      <c r="B536" t="s">
        <v>277</v>
      </c>
      <c r="C536" t="s">
        <v>278</v>
      </c>
      <c r="D536" s="1">
        <v>46076</v>
      </c>
      <c r="E536" s="25">
        <v>4</v>
      </c>
    </row>
    <row r="537" spans="1:5" x14ac:dyDescent="0.25">
      <c r="A537" t="s">
        <v>5561</v>
      </c>
      <c r="B537" t="s">
        <v>104</v>
      </c>
      <c r="C537" t="s">
        <v>105</v>
      </c>
      <c r="D537" s="1">
        <v>46076</v>
      </c>
      <c r="E537" s="25">
        <v>8</v>
      </c>
    </row>
    <row r="538" spans="1:5" x14ac:dyDescent="0.25">
      <c r="A538" t="s">
        <v>5561</v>
      </c>
      <c r="B538" t="s">
        <v>946</v>
      </c>
      <c r="C538" t="s">
        <v>947</v>
      </c>
      <c r="D538" s="1">
        <v>46076</v>
      </c>
      <c r="E538" s="25">
        <v>28</v>
      </c>
    </row>
    <row r="539" spans="1:5" x14ac:dyDescent="0.25">
      <c r="A539" t="s">
        <v>5561</v>
      </c>
      <c r="B539" t="s">
        <v>1800</v>
      </c>
      <c r="C539" t="s">
        <v>1801</v>
      </c>
      <c r="D539" s="1">
        <v>46076</v>
      </c>
      <c r="E539" s="25">
        <v>72</v>
      </c>
    </row>
    <row r="540" spans="1:5" x14ac:dyDescent="0.25">
      <c r="A540" t="s">
        <v>5561</v>
      </c>
      <c r="B540" t="s">
        <v>40</v>
      </c>
      <c r="C540" t="s">
        <v>41</v>
      </c>
      <c r="D540" s="1">
        <v>46076</v>
      </c>
      <c r="E540" s="25">
        <v>32</v>
      </c>
    </row>
    <row r="541" spans="1:5" x14ac:dyDescent="0.25">
      <c r="A541" t="s">
        <v>5561</v>
      </c>
      <c r="B541" t="s">
        <v>901</v>
      </c>
      <c r="C541" t="s">
        <v>5562</v>
      </c>
      <c r="D541" s="1">
        <v>46076</v>
      </c>
      <c r="E541" s="25">
        <v>64</v>
      </c>
    </row>
    <row r="542" spans="1:5" x14ac:dyDescent="0.25">
      <c r="A542" t="s">
        <v>5561</v>
      </c>
      <c r="B542" t="s">
        <v>42</v>
      </c>
      <c r="C542" t="s">
        <v>5563</v>
      </c>
      <c r="D542" s="1">
        <v>46076</v>
      </c>
      <c r="E542" s="25">
        <v>32</v>
      </c>
    </row>
    <row r="543" spans="1:5" x14ac:dyDescent="0.25">
      <c r="A543" t="s">
        <v>5561</v>
      </c>
      <c r="B543" t="s">
        <v>902</v>
      </c>
      <c r="C543" t="s">
        <v>5564</v>
      </c>
      <c r="D543" s="1">
        <v>46076</v>
      </c>
      <c r="E543" s="25">
        <v>32</v>
      </c>
    </row>
    <row r="544" spans="1:5" x14ac:dyDescent="0.25">
      <c r="A544" t="s">
        <v>5561</v>
      </c>
      <c r="B544" t="s">
        <v>49</v>
      </c>
      <c r="C544" t="s">
        <v>5565</v>
      </c>
      <c r="D544" s="1">
        <v>46076</v>
      </c>
      <c r="E544" s="25">
        <v>288</v>
      </c>
    </row>
    <row r="545" spans="1:5" x14ac:dyDescent="0.25">
      <c r="A545" t="s">
        <v>5561</v>
      </c>
      <c r="B545" t="s">
        <v>50</v>
      </c>
      <c r="C545" t="s">
        <v>5566</v>
      </c>
      <c r="D545" s="1">
        <v>46076</v>
      </c>
      <c r="E545" s="25">
        <v>57</v>
      </c>
    </row>
    <row r="546" spans="1:5" x14ac:dyDescent="0.25">
      <c r="A546" t="s">
        <v>5561</v>
      </c>
      <c r="B546" t="s">
        <v>53</v>
      </c>
      <c r="C546" t="s">
        <v>5567</v>
      </c>
      <c r="D546" s="1">
        <v>46076</v>
      </c>
      <c r="E546" s="25">
        <v>64</v>
      </c>
    </row>
    <row r="547" spans="1:5" x14ac:dyDescent="0.25">
      <c r="A547" t="s">
        <v>5561</v>
      </c>
      <c r="B547" t="s">
        <v>451</v>
      </c>
      <c r="C547" t="s">
        <v>5568</v>
      </c>
      <c r="D547" s="1">
        <v>46076</v>
      </c>
      <c r="E547" s="25">
        <v>127</v>
      </c>
    </row>
    <row r="548" spans="1:5" x14ac:dyDescent="0.25">
      <c r="A548" t="s">
        <v>5561</v>
      </c>
      <c r="B548" t="s">
        <v>452</v>
      </c>
      <c r="C548" t="s">
        <v>5569</v>
      </c>
      <c r="D548" s="1">
        <v>46076</v>
      </c>
      <c r="E548" s="25">
        <v>192</v>
      </c>
    </row>
    <row r="549" spans="1:5" x14ac:dyDescent="0.25">
      <c r="A549" t="s">
        <v>5561</v>
      </c>
      <c r="B549" t="s">
        <v>453</v>
      </c>
      <c r="C549" t="s">
        <v>5570</v>
      </c>
      <c r="D549" s="1">
        <v>46076</v>
      </c>
      <c r="E549" s="25">
        <v>64</v>
      </c>
    </row>
    <row r="550" spans="1:5" x14ac:dyDescent="0.25">
      <c r="A550" t="s">
        <v>5561</v>
      </c>
      <c r="B550" t="s">
        <v>54</v>
      </c>
      <c r="C550" t="s">
        <v>5571</v>
      </c>
      <c r="D550" s="1">
        <v>46076</v>
      </c>
      <c r="E550" s="25">
        <v>32</v>
      </c>
    </row>
    <row r="551" spans="1:5" x14ac:dyDescent="0.25">
      <c r="A551" t="s">
        <v>5561</v>
      </c>
      <c r="B551" t="s">
        <v>454</v>
      </c>
      <c r="C551" t="s">
        <v>5572</v>
      </c>
      <c r="D551" s="1">
        <v>46076</v>
      </c>
      <c r="E551" s="25">
        <v>32</v>
      </c>
    </row>
    <row r="552" spans="1:5" x14ac:dyDescent="0.25">
      <c r="A552" t="s">
        <v>5561</v>
      </c>
      <c r="B552" t="s">
        <v>905</v>
      </c>
      <c r="C552" t="s">
        <v>5573</v>
      </c>
      <c r="D552" s="1">
        <v>46076</v>
      </c>
      <c r="E552" s="25">
        <v>64</v>
      </c>
    </row>
    <row r="553" spans="1:5" x14ac:dyDescent="0.25">
      <c r="A553" t="s">
        <v>5561</v>
      </c>
      <c r="B553" t="s">
        <v>2921</v>
      </c>
      <c r="C553" t="s">
        <v>5574</v>
      </c>
      <c r="D553" s="1">
        <v>46076</v>
      </c>
      <c r="E553" s="25">
        <v>32</v>
      </c>
    </row>
    <row r="554" spans="1:5" x14ac:dyDescent="0.25">
      <c r="A554" t="s">
        <v>5561</v>
      </c>
      <c r="B554" t="s">
        <v>718</v>
      </c>
      <c r="C554" t="s">
        <v>722</v>
      </c>
      <c r="D554" s="1">
        <v>46076</v>
      </c>
      <c r="E554" s="25">
        <v>520</v>
      </c>
    </row>
    <row r="555" spans="1:5" x14ac:dyDescent="0.25">
      <c r="A555" t="s">
        <v>5561</v>
      </c>
      <c r="B555" t="s">
        <v>907</v>
      </c>
      <c r="C555" t="s">
        <v>5575</v>
      </c>
      <c r="D555" s="1">
        <v>46076</v>
      </c>
      <c r="E555" s="25">
        <v>128</v>
      </c>
    </row>
    <row r="556" spans="1:5" x14ac:dyDescent="0.25">
      <c r="A556" t="s">
        <v>5561</v>
      </c>
      <c r="B556" t="s">
        <v>456</v>
      </c>
      <c r="C556" t="s">
        <v>457</v>
      </c>
      <c r="D556" s="1">
        <v>46076</v>
      </c>
      <c r="E556" s="25">
        <v>128</v>
      </c>
    </row>
    <row r="557" spans="1:5" x14ac:dyDescent="0.25">
      <c r="A557" t="s">
        <v>5561</v>
      </c>
      <c r="B557" t="s">
        <v>908</v>
      </c>
      <c r="C557" t="s">
        <v>5576</v>
      </c>
      <c r="D557" s="1">
        <v>46076</v>
      </c>
      <c r="E557" s="25">
        <v>32</v>
      </c>
    </row>
    <row r="558" spans="1:5" x14ac:dyDescent="0.25">
      <c r="A558" t="s">
        <v>5561</v>
      </c>
      <c r="B558" t="s">
        <v>909</v>
      </c>
      <c r="C558" t="s">
        <v>910</v>
      </c>
      <c r="D558" s="1">
        <v>46076</v>
      </c>
      <c r="E558" s="25">
        <v>32</v>
      </c>
    </row>
    <row r="559" spans="1:5" x14ac:dyDescent="0.25">
      <c r="A559" t="s">
        <v>5561</v>
      </c>
      <c r="B559" t="s">
        <v>62</v>
      </c>
      <c r="C559" t="s">
        <v>5577</v>
      </c>
      <c r="D559" s="1">
        <v>46076</v>
      </c>
      <c r="E559" s="25">
        <v>32</v>
      </c>
    </row>
    <row r="560" spans="1:5" x14ac:dyDescent="0.25">
      <c r="A560" t="s">
        <v>5561</v>
      </c>
      <c r="B560" t="s">
        <v>2</v>
      </c>
      <c r="C560" t="s">
        <v>911</v>
      </c>
      <c r="D560" s="1">
        <v>46076</v>
      </c>
      <c r="E560" s="25">
        <v>128</v>
      </c>
    </row>
    <row r="561" spans="1:5" x14ac:dyDescent="0.25">
      <c r="A561" t="s">
        <v>5561</v>
      </c>
      <c r="B561" t="s">
        <v>87</v>
      </c>
      <c r="C561" t="s">
        <v>5578</v>
      </c>
      <c r="D561" s="1">
        <v>46076</v>
      </c>
      <c r="E561" s="25">
        <v>33</v>
      </c>
    </row>
    <row r="562" spans="1:5" x14ac:dyDescent="0.25">
      <c r="A562" t="s">
        <v>5561</v>
      </c>
      <c r="B562" t="s">
        <v>88</v>
      </c>
      <c r="C562" t="s">
        <v>5579</v>
      </c>
      <c r="D562" s="1">
        <v>46076</v>
      </c>
      <c r="E562" s="25">
        <v>32</v>
      </c>
    </row>
    <row r="563" spans="1:5" x14ac:dyDescent="0.25">
      <c r="A563" t="s">
        <v>5561</v>
      </c>
      <c r="B563" t="s">
        <v>719</v>
      </c>
      <c r="C563" t="s">
        <v>5580</v>
      </c>
      <c r="D563" s="1">
        <v>46076</v>
      </c>
      <c r="E563" s="25">
        <v>32</v>
      </c>
    </row>
    <row r="564" spans="1:5" x14ac:dyDescent="0.25">
      <c r="A564" t="s">
        <v>5561</v>
      </c>
      <c r="B564" t="s">
        <v>720</v>
      </c>
      <c r="C564" t="s">
        <v>5581</v>
      </c>
      <c r="D564" s="1">
        <v>46076</v>
      </c>
      <c r="E564" s="25">
        <v>32</v>
      </c>
    </row>
    <row r="565" spans="1:5" x14ac:dyDescent="0.25">
      <c r="A565" t="s">
        <v>5561</v>
      </c>
      <c r="B565" t="s">
        <v>921</v>
      </c>
      <c r="C565" t="s">
        <v>922</v>
      </c>
      <c r="D565" s="1">
        <v>46076</v>
      </c>
      <c r="E565" s="25">
        <v>36</v>
      </c>
    </row>
    <row r="566" spans="1:5" x14ac:dyDescent="0.25">
      <c r="A566" t="s">
        <v>5561</v>
      </c>
      <c r="B566" t="s">
        <v>812</v>
      </c>
      <c r="C566" t="s">
        <v>813</v>
      </c>
      <c r="D566" s="1">
        <v>46076</v>
      </c>
      <c r="E566" s="25">
        <v>40</v>
      </c>
    </row>
    <row r="567" spans="1:5" x14ac:dyDescent="0.25">
      <c r="A567" t="s">
        <v>5561</v>
      </c>
      <c r="B567" t="s">
        <v>814</v>
      </c>
      <c r="C567" t="s">
        <v>815</v>
      </c>
      <c r="D567" s="1">
        <v>46076</v>
      </c>
      <c r="E567" s="25">
        <v>40</v>
      </c>
    </row>
    <row r="568" spans="1:5" x14ac:dyDescent="0.25">
      <c r="A568" t="s">
        <v>5561</v>
      </c>
      <c r="B568" t="s">
        <v>929</v>
      </c>
      <c r="C568" t="s">
        <v>5589</v>
      </c>
      <c r="D568" s="1">
        <v>46076</v>
      </c>
      <c r="E568" s="25">
        <v>40</v>
      </c>
    </row>
    <row r="569" spans="1:5" x14ac:dyDescent="0.25">
      <c r="A569" t="s">
        <v>5561</v>
      </c>
      <c r="B569" t="s">
        <v>272</v>
      </c>
      <c r="C569" t="s">
        <v>273</v>
      </c>
      <c r="D569" s="1">
        <v>46076</v>
      </c>
      <c r="E569" s="25">
        <v>12</v>
      </c>
    </row>
    <row r="570" spans="1:5" x14ac:dyDescent="0.25">
      <c r="A570" t="s">
        <v>5561</v>
      </c>
      <c r="B570" t="s">
        <v>274</v>
      </c>
      <c r="C570" t="s">
        <v>5603</v>
      </c>
      <c r="D570" s="1">
        <v>46076</v>
      </c>
      <c r="E570" s="25">
        <v>12</v>
      </c>
    </row>
    <row r="571" spans="1:5" x14ac:dyDescent="0.25">
      <c r="A571" t="s">
        <v>5561</v>
      </c>
      <c r="B571" t="s">
        <v>4631</v>
      </c>
      <c r="C571" t="s">
        <v>5610</v>
      </c>
      <c r="D571" s="1">
        <v>46090</v>
      </c>
      <c r="E571" s="25">
        <v>400</v>
      </c>
    </row>
    <row r="572" spans="1:5" x14ac:dyDescent="0.25">
      <c r="A572" t="s">
        <v>5561</v>
      </c>
      <c r="B572" t="s">
        <v>3502</v>
      </c>
      <c r="C572" t="s">
        <v>5612</v>
      </c>
      <c r="D572" s="1">
        <v>46090</v>
      </c>
      <c r="E572" s="25">
        <v>100</v>
      </c>
    </row>
    <row r="573" spans="1:5" x14ac:dyDescent="0.25">
      <c r="A573" t="s">
        <v>5561</v>
      </c>
      <c r="B573" t="s">
        <v>949</v>
      </c>
      <c r="C573" t="s">
        <v>5615</v>
      </c>
      <c r="D573" s="1">
        <v>46088</v>
      </c>
      <c r="E573" s="25">
        <v>64</v>
      </c>
    </row>
    <row r="574" spans="1:5" x14ac:dyDescent="0.25">
      <c r="A574" t="s">
        <v>5617</v>
      </c>
      <c r="B574" t="s">
        <v>69</v>
      </c>
      <c r="C574" t="s">
        <v>144</v>
      </c>
      <c r="D574" s="1">
        <v>46055</v>
      </c>
      <c r="E574" s="25">
        <v>6</v>
      </c>
    </row>
    <row r="575" spans="1:5" x14ac:dyDescent="0.25">
      <c r="A575" t="s">
        <v>5617</v>
      </c>
      <c r="B575" t="s">
        <v>779</v>
      </c>
      <c r="C575" t="s">
        <v>780</v>
      </c>
      <c r="D575" s="1">
        <v>46055</v>
      </c>
      <c r="E575" s="25">
        <v>6</v>
      </c>
    </row>
    <row r="576" spans="1:5" x14ac:dyDescent="0.25">
      <c r="A576" t="s">
        <v>5617</v>
      </c>
      <c r="B576" t="s">
        <v>130</v>
      </c>
      <c r="C576" t="s">
        <v>138</v>
      </c>
      <c r="D576" s="1">
        <v>46055</v>
      </c>
      <c r="E576" s="25">
        <v>6</v>
      </c>
    </row>
    <row r="577" spans="1:5" x14ac:dyDescent="0.25">
      <c r="A577" t="s">
        <v>5617</v>
      </c>
      <c r="B577" t="s">
        <v>104</v>
      </c>
      <c r="C577" t="s">
        <v>105</v>
      </c>
      <c r="D577" s="1">
        <v>46055</v>
      </c>
      <c r="E577" s="25">
        <v>12</v>
      </c>
    </row>
    <row r="578" spans="1:5" x14ac:dyDescent="0.25">
      <c r="A578" t="s">
        <v>5617</v>
      </c>
      <c r="B578" t="s">
        <v>812</v>
      </c>
      <c r="C578" t="s">
        <v>813</v>
      </c>
      <c r="D578" s="1">
        <v>46055</v>
      </c>
      <c r="E578" s="25">
        <v>6</v>
      </c>
    </row>
    <row r="579" spans="1:5" x14ac:dyDescent="0.25">
      <c r="A579" t="s">
        <v>5617</v>
      </c>
      <c r="B579" t="s">
        <v>931</v>
      </c>
      <c r="C579" t="s">
        <v>932</v>
      </c>
      <c r="D579" s="1">
        <v>46055</v>
      </c>
      <c r="E579" s="25">
        <v>6</v>
      </c>
    </row>
    <row r="580" spans="1:5" x14ac:dyDescent="0.25">
      <c r="A580" t="s">
        <v>5618</v>
      </c>
      <c r="B580" t="s">
        <v>521</v>
      </c>
      <c r="C580" t="s">
        <v>522</v>
      </c>
      <c r="D580" s="1">
        <v>46057</v>
      </c>
      <c r="E580" s="25">
        <v>1</v>
      </c>
    </row>
    <row r="581" spans="1:5" x14ac:dyDescent="0.25">
      <c r="A581" t="s">
        <v>5618</v>
      </c>
      <c r="B581" t="s">
        <v>543</v>
      </c>
      <c r="C581" t="s">
        <v>544</v>
      </c>
      <c r="D581" s="1">
        <v>46057</v>
      </c>
      <c r="E581" s="25">
        <v>1</v>
      </c>
    </row>
    <row r="582" spans="1:5" x14ac:dyDescent="0.25">
      <c r="A582" t="s">
        <v>5618</v>
      </c>
      <c r="B582" t="s">
        <v>547</v>
      </c>
      <c r="C582" t="s">
        <v>548</v>
      </c>
      <c r="D582" s="1">
        <v>46057</v>
      </c>
      <c r="E582" s="25">
        <v>1</v>
      </c>
    </row>
    <row r="583" spans="1:5" x14ac:dyDescent="0.25">
      <c r="A583" t="s">
        <v>5618</v>
      </c>
      <c r="B583" t="s">
        <v>577</v>
      </c>
      <c r="C583" t="s">
        <v>578</v>
      </c>
      <c r="D583" s="1">
        <v>46057</v>
      </c>
      <c r="E583" s="25">
        <v>1</v>
      </c>
    </row>
    <row r="584" spans="1:5" x14ac:dyDescent="0.25">
      <c r="A584" t="s">
        <v>5618</v>
      </c>
      <c r="B584" t="s">
        <v>306</v>
      </c>
      <c r="C584" t="s">
        <v>307</v>
      </c>
      <c r="D584" s="1">
        <v>46057</v>
      </c>
      <c r="E584" s="25">
        <v>4</v>
      </c>
    </row>
    <row r="585" spans="1:5" x14ac:dyDescent="0.25">
      <c r="A585" t="s">
        <v>5618</v>
      </c>
      <c r="B585" t="s">
        <v>45</v>
      </c>
      <c r="C585" t="s">
        <v>46</v>
      </c>
      <c r="D585" s="1">
        <v>46057</v>
      </c>
      <c r="E585" s="25">
        <v>2</v>
      </c>
    </row>
    <row r="586" spans="1:5" x14ac:dyDescent="0.25">
      <c r="A586" t="s">
        <v>5618</v>
      </c>
      <c r="B586" t="s">
        <v>47</v>
      </c>
      <c r="C586" t="s">
        <v>48</v>
      </c>
      <c r="D586" s="1">
        <v>46057</v>
      </c>
      <c r="E586" s="25">
        <v>5</v>
      </c>
    </row>
    <row r="587" spans="1:5" x14ac:dyDescent="0.25">
      <c r="A587" t="s">
        <v>5618</v>
      </c>
      <c r="B587" t="s">
        <v>210</v>
      </c>
      <c r="C587" t="s">
        <v>211</v>
      </c>
      <c r="D587" s="1">
        <v>46057</v>
      </c>
      <c r="E587" s="25">
        <v>2</v>
      </c>
    </row>
    <row r="588" spans="1:5" x14ac:dyDescent="0.25">
      <c r="A588" t="s">
        <v>5618</v>
      </c>
      <c r="B588" t="s">
        <v>214</v>
      </c>
      <c r="C588" t="s">
        <v>215</v>
      </c>
      <c r="D588" s="1">
        <v>46057</v>
      </c>
      <c r="E588" s="25">
        <v>1</v>
      </c>
    </row>
    <row r="589" spans="1:5" x14ac:dyDescent="0.25">
      <c r="A589" t="s">
        <v>5618</v>
      </c>
      <c r="B589" t="s">
        <v>614</v>
      </c>
      <c r="C589" t="s">
        <v>615</v>
      </c>
      <c r="D589" s="1">
        <v>46057</v>
      </c>
      <c r="E589" s="25">
        <v>2</v>
      </c>
    </row>
    <row r="590" spans="1:5" x14ac:dyDescent="0.25">
      <c r="A590" t="s">
        <v>5618</v>
      </c>
      <c r="B590" t="s">
        <v>617</v>
      </c>
      <c r="C590" t="s">
        <v>618</v>
      </c>
      <c r="D590" s="1">
        <v>46057</v>
      </c>
      <c r="E590" s="25">
        <v>2</v>
      </c>
    </row>
    <row r="591" spans="1:5" x14ac:dyDescent="0.25">
      <c r="A591" t="s">
        <v>5618</v>
      </c>
      <c r="B591" t="s">
        <v>218</v>
      </c>
      <c r="C591" t="s">
        <v>219</v>
      </c>
      <c r="D591" s="1">
        <v>46057</v>
      </c>
      <c r="E591" s="25">
        <v>1</v>
      </c>
    </row>
    <row r="592" spans="1:5" x14ac:dyDescent="0.25">
      <c r="A592" t="s">
        <v>5618</v>
      </c>
      <c r="B592" t="s">
        <v>633</v>
      </c>
      <c r="C592" t="s">
        <v>634</v>
      </c>
      <c r="D592" s="1">
        <v>46057</v>
      </c>
      <c r="E592" s="25">
        <v>1</v>
      </c>
    </row>
    <row r="593" spans="1:5" x14ac:dyDescent="0.25">
      <c r="A593" t="s">
        <v>5618</v>
      </c>
      <c r="B593" t="s">
        <v>643</v>
      </c>
      <c r="C593" t="s">
        <v>644</v>
      </c>
      <c r="D593" s="1">
        <v>46057</v>
      </c>
      <c r="E593" s="25">
        <v>2</v>
      </c>
    </row>
    <row r="594" spans="1:5" x14ac:dyDescent="0.25">
      <c r="A594" t="s">
        <v>5618</v>
      </c>
      <c r="B594" t="s">
        <v>67</v>
      </c>
      <c r="C594" t="s">
        <v>165</v>
      </c>
      <c r="D594" s="1">
        <v>46057</v>
      </c>
      <c r="E594" s="25">
        <v>1</v>
      </c>
    </row>
    <row r="595" spans="1:5" x14ac:dyDescent="0.25">
      <c r="A595" t="s">
        <v>5618</v>
      </c>
      <c r="B595" t="s">
        <v>764</v>
      </c>
      <c r="C595" t="s">
        <v>765</v>
      </c>
      <c r="D595" s="1">
        <v>46057</v>
      </c>
      <c r="E595" s="25">
        <v>1</v>
      </c>
    </row>
    <row r="596" spans="1:5" x14ac:dyDescent="0.25">
      <c r="A596" t="s">
        <v>5618</v>
      </c>
      <c r="B596" t="s">
        <v>30</v>
      </c>
      <c r="C596" t="s">
        <v>157</v>
      </c>
      <c r="D596" s="1">
        <v>46057</v>
      </c>
      <c r="E596" s="25">
        <v>4</v>
      </c>
    </row>
    <row r="597" spans="1:5" x14ac:dyDescent="0.25">
      <c r="A597" t="s">
        <v>5618</v>
      </c>
      <c r="B597" t="s">
        <v>70</v>
      </c>
      <c r="C597" t="s">
        <v>71</v>
      </c>
      <c r="D597" s="1">
        <v>45998</v>
      </c>
      <c r="E597" s="25">
        <v>1</v>
      </c>
    </row>
    <row r="598" spans="1:5" x14ac:dyDescent="0.25">
      <c r="A598" t="s">
        <v>5618</v>
      </c>
      <c r="B598" t="s">
        <v>969</v>
      </c>
      <c r="C598" t="s">
        <v>970</v>
      </c>
      <c r="D598" s="1">
        <v>46057</v>
      </c>
      <c r="E598" s="25">
        <v>3</v>
      </c>
    </row>
    <row r="599" spans="1:5" x14ac:dyDescent="0.25">
      <c r="A599" t="s">
        <v>5618</v>
      </c>
      <c r="B599" t="s">
        <v>476</v>
      </c>
      <c r="C599" t="s">
        <v>477</v>
      </c>
      <c r="D599" s="1">
        <v>46057</v>
      </c>
      <c r="E599" s="25">
        <v>1</v>
      </c>
    </row>
    <row r="600" spans="1:5" x14ac:dyDescent="0.25">
      <c r="A600" t="s">
        <v>5618</v>
      </c>
      <c r="B600" t="s">
        <v>781</v>
      </c>
      <c r="C600" t="s">
        <v>782</v>
      </c>
      <c r="D600" s="1">
        <v>46057</v>
      </c>
      <c r="E600" s="25">
        <v>7</v>
      </c>
    </row>
    <row r="601" spans="1:5" x14ac:dyDescent="0.25">
      <c r="A601" t="s">
        <v>5618</v>
      </c>
      <c r="B601" t="s">
        <v>81</v>
      </c>
      <c r="C601" t="s">
        <v>82</v>
      </c>
      <c r="D601" s="1">
        <v>46057</v>
      </c>
      <c r="E601" s="25">
        <v>3</v>
      </c>
    </row>
    <row r="602" spans="1:5" x14ac:dyDescent="0.25">
      <c r="A602" t="s">
        <v>5618</v>
      </c>
      <c r="B602" t="s">
        <v>83</v>
      </c>
      <c r="C602" t="s">
        <v>84</v>
      </c>
      <c r="D602" s="1">
        <v>46057</v>
      </c>
      <c r="E602" s="25">
        <v>1</v>
      </c>
    </row>
    <row r="603" spans="1:5" x14ac:dyDescent="0.25">
      <c r="A603" t="s">
        <v>5618</v>
      </c>
      <c r="B603" t="s">
        <v>131</v>
      </c>
      <c r="C603" t="s">
        <v>158</v>
      </c>
      <c r="D603" s="1">
        <v>46114</v>
      </c>
      <c r="E603" s="25">
        <v>7</v>
      </c>
    </row>
    <row r="604" spans="1:5" x14ac:dyDescent="0.25">
      <c r="A604" t="s">
        <v>5618</v>
      </c>
      <c r="B604" t="s">
        <v>787</v>
      </c>
      <c r="C604" t="s">
        <v>788</v>
      </c>
      <c r="D604" s="1">
        <v>46114</v>
      </c>
      <c r="E604" s="25">
        <v>7</v>
      </c>
    </row>
    <row r="605" spans="1:5" x14ac:dyDescent="0.25">
      <c r="A605" t="s">
        <v>5618</v>
      </c>
      <c r="B605" t="s">
        <v>791</v>
      </c>
      <c r="C605" t="s">
        <v>792</v>
      </c>
      <c r="D605" s="1">
        <v>46057</v>
      </c>
      <c r="E605" s="25">
        <v>9</v>
      </c>
    </row>
    <row r="606" spans="1:5" x14ac:dyDescent="0.25">
      <c r="A606" t="s">
        <v>5618</v>
      </c>
      <c r="B606" t="s">
        <v>793</v>
      </c>
      <c r="C606" t="s">
        <v>794</v>
      </c>
      <c r="D606" s="1">
        <v>46057</v>
      </c>
      <c r="E606" s="25">
        <v>5</v>
      </c>
    </row>
    <row r="607" spans="1:5" x14ac:dyDescent="0.25">
      <c r="A607" t="s">
        <v>5618</v>
      </c>
      <c r="B607" t="s">
        <v>797</v>
      </c>
      <c r="C607" t="s">
        <v>798</v>
      </c>
      <c r="D607" s="1">
        <v>46057</v>
      </c>
      <c r="E607" s="25">
        <v>1</v>
      </c>
    </row>
    <row r="608" spans="1:5" x14ac:dyDescent="0.25">
      <c r="A608" t="s">
        <v>5618</v>
      </c>
      <c r="B608" t="s">
        <v>259</v>
      </c>
      <c r="C608" t="s">
        <v>260</v>
      </c>
      <c r="D608" s="1">
        <v>46057</v>
      </c>
      <c r="E608" s="25">
        <v>1</v>
      </c>
    </row>
    <row r="609" spans="1:5" x14ac:dyDescent="0.25">
      <c r="A609" t="s">
        <v>5618</v>
      </c>
      <c r="B609" t="s">
        <v>1850</v>
      </c>
      <c r="C609" t="s">
        <v>1851</v>
      </c>
      <c r="D609" s="1">
        <v>46083</v>
      </c>
      <c r="E609" s="25">
        <v>24</v>
      </c>
    </row>
    <row r="610" spans="1:5" x14ac:dyDescent="0.25">
      <c r="A610" t="s">
        <v>5618</v>
      </c>
      <c r="B610" t="s">
        <v>481</v>
      </c>
      <c r="C610" t="s">
        <v>482</v>
      </c>
      <c r="D610" s="1">
        <v>46083</v>
      </c>
      <c r="E610" s="25">
        <v>16</v>
      </c>
    </row>
    <row r="611" spans="1:5" x14ac:dyDescent="0.25">
      <c r="A611" t="s">
        <v>5618</v>
      </c>
      <c r="B611" t="s">
        <v>263</v>
      </c>
      <c r="C611" t="s">
        <v>930</v>
      </c>
      <c r="D611" s="1">
        <v>46087</v>
      </c>
      <c r="E611" s="25">
        <v>3</v>
      </c>
    </row>
    <row r="612" spans="1:5" x14ac:dyDescent="0.25">
      <c r="A612" t="s">
        <v>5618</v>
      </c>
      <c r="B612" t="s">
        <v>264</v>
      </c>
      <c r="C612" t="s">
        <v>265</v>
      </c>
      <c r="D612" s="1">
        <v>46087</v>
      </c>
      <c r="E612" s="25">
        <v>3</v>
      </c>
    </row>
    <row r="613" spans="1:5" x14ac:dyDescent="0.25">
      <c r="A613" t="s">
        <v>5618</v>
      </c>
      <c r="B613" t="s">
        <v>1852</v>
      </c>
      <c r="C613" t="s">
        <v>1853</v>
      </c>
      <c r="D613" s="1">
        <v>46118</v>
      </c>
      <c r="E613" s="25">
        <v>4</v>
      </c>
    </row>
    <row r="614" spans="1:5" x14ac:dyDescent="0.25">
      <c r="A614" t="s">
        <v>5618</v>
      </c>
      <c r="B614" t="s">
        <v>483</v>
      </c>
      <c r="C614" t="s">
        <v>484</v>
      </c>
      <c r="D614" s="1">
        <v>46081</v>
      </c>
      <c r="E614" s="25">
        <v>8</v>
      </c>
    </row>
    <row r="615" spans="1:5" x14ac:dyDescent="0.25">
      <c r="A615" t="s">
        <v>5618</v>
      </c>
      <c r="B615" t="s">
        <v>1381</v>
      </c>
      <c r="C615" t="s">
        <v>1382</v>
      </c>
      <c r="D615" s="1">
        <v>46057</v>
      </c>
      <c r="E615" s="25">
        <v>1</v>
      </c>
    </row>
    <row r="616" spans="1:5" x14ac:dyDescent="0.25">
      <c r="A616" t="s">
        <v>5618</v>
      </c>
      <c r="B616" t="s">
        <v>1406</v>
      </c>
      <c r="C616" t="s">
        <v>1407</v>
      </c>
      <c r="D616" s="1">
        <v>46057</v>
      </c>
      <c r="E616" s="25">
        <v>1</v>
      </c>
    </row>
    <row r="617" spans="1:5" x14ac:dyDescent="0.25">
      <c r="A617" t="s">
        <v>5618</v>
      </c>
      <c r="B617" t="s">
        <v>822</v>
      </c>
      <c r="C617" t="s">
        <v>823</v>
      </c>
      <c r="D617" s="1">
        <v>46057</v>
      </c>
      <c r="E617" s="25">
        <v>298</v>
      </c>
    </row>
    <row r="618" spans="1:5" x14ac:dyDescent="0.25">
      <c r="A618" t="s">
        <v>5618</v>
      </c>
      <c r="B618" t="s">
        <v>980</v>
      </c>
      <c r="C618" t="s">
        <v>981</v>
      </c>
      <c r="D618" s="1">
        <v>46057</v>
      </c>
      <c r="E618" s="25">
        <v>11</v>
      </c>
    </row>
    <row r="619" spans="1:5" x14ac:dyDescent="0.25">
      <c r="A619" t="s">
        <v>5618</v>
      </c>
      <c r="B619" t="s">
        <v>736</v>
      </c>
      <c r="C619" t="s">
        <v>737</v>
      </c>
      <c r="D619" s="1">
        <v>46057</v>
      </c>
      <c r="E619" s="25">
        <v>1</v>
      </c>
    </row>
    <row r="620" spans="1:5" x14ac:dyDescent="0.25">
      <c r="A620" t="s">
        <v>5618</v>
      </c>
      <c r="B620" t="s">
        <v>28</v>
      </c>
      <c r="C620" t="s">
        <v>38</v>
      </c>
      <c r="D620" s="1">
        <v>46057</v>
      </c>
      <c r="E620" s="25">
        <v>5</v>
      </c>
    </row>
    <row r="621" spans="1:5" x14ac:dyDescent="0.25">
      <c r="A621" t="s">
        <v>5618</v>
      </c>
      <c r="B621" t="s">
        <v>23</v>
      </c>
      <c r="C621" t="s">
        <v>114</v>
      </c>
      <c r="D621" s="1">
        <v>46057</v>
      </c>
      <c r="E621" s="25">
        <v>1</v>
      </c>
    </row>
    <row r="622" spans="1:5" x14ac:dyDescent="0.25">
      <c r="A622" t="s">
        <v>5618</v>
      </c>
      <c r="B622" t="s">
        <v>902</v>
      </c>
      <c r="C622" t="s">
        <v>5564</v>
      </c>
      <c r="D622" s="1">
        <v>46057</v>
      </c>
      <c r="E622" s="25">
        <v>3</v>
      </c>
    </row>
    <row r="623" spans="1:5" x14ac:dyDescent="0.25">
      <c r="A623" t="s">
        <v>5618</v>
      </c>
      <c r="B623" t="s">
        <v>50</v>
      </c>
      <c r="C623" t="s">
        <v>5566</v>
      </c>
      <c r="D623" s="1">
        <v>46057</v>
      </c>
      <c r="E623" s="25">
        <v>1</v>
      </c>
    </row>
    <row r="624" spans="1:5" x14ac:dyDescent="0.25">
      <c r="A624" t="s">
        <v>5618</v>
      </c>
      <c r="B624" t="s">
        <v>718</v>
      </c>
      <c r="C624" t="s">
        <v>722</v>
      </c>
      <c r="D624" s="1">
        <v>46062</v>
      </c>
      <c r="E624" s="25">
        <v>52</v>
      </c>
    </row>
    <row r="625" spans="1:5" x14ac:dyDescent="0.25">
      <c r="A625" t="s">
        <v>5618</v>
      </c>
      <c r="B625" t="s">
        <v>62</v>
      </c>
      <c r="C625" t="s">
        <v>5577</v>
      </c>
      <c r="D625" s="1">
        <v>46088</v>
      </c>
      <c r="E625" s="25">
        <v>8</v>
      </c>
    </row>
    <row r="626" spans="1:5" x14ac:dyDescent="0.25">
      <c r="A626" t="s">
        <v>5618</v>
      </c>
      <c r="B626" t="s">
        <v>929</v>
      </c>
      <c r="C626" t="s">
        <v>5589</v>
      </c>
      <c r="D626" s="1">
        <v>46086</v>
      </c>
      <c r="E626" s="25">
        <v>3</v>
      </c>
    </row>
    <row r="627" spans="1:5" x14ac:dyDescent="0.25">
      <c r="A627" t="s">
        <v>5618</v>
      </c>
      <c r="B627" t="s">
        <v>272</v>
      </c>
      <c r="C627" t="s">
        <v>273</v>
      </c>
      <c r="D627" s="1">
        <v>46059</v>
      </c>
      <c r="E627" s="25">
        <v>10</v>
      </c>
    </row>
    <row r="628" spans="1:5" x14ac:dyDescent="0.25">
      <c r="A628" t="s">
        <v>5618</v>
      </c>
      <c r="B628" t="s">
        <v>274</v>
      </c>
      <c r="C628" t="s">
        <v>5603</v>
      </c>
      <c r="D628" s="1">
        <v>46059</v>
      </c>
      <c r="E628" s="25">
        <v>19</v>
      </c>
    </row>
    <row r="629" spans="1:5" x14ac:dyDescent="0.25">
      <c r="A629" t="s">
        <v>5618</v>
      </c>
      <c r="B629" t="s">
        <v>4631</v>
      </c>
      <c r="C629" t="s">
        <v>5610</v>
      </c>
      <c r="D629" s="1">
        <v>46010</v>
      </c>
      <c r="E629" s="25">
        <v>22</v>
      </c>
    </row>
    <row r="630" spans="1:5" x14ac:dyDescent="0.25">
      <c r="A630" t="s">
        <v>5618</v>
      </c>
      <c r="B630" t="s">
        <v>545</v>
      </c>
      <c r="C630" t="s">
        <v>546</v>
      </c>
      <c r="D630" s="1">
        <v>46057</v>
      </c>
      <c r="E630" s="25">
        <v>1</v>
      </c>
    </row>
    <row r="631" spans="1:5" x14ac:dyDescent="0.25">
      <c r="A631" t="s">
        <v>5618</v>
      </c>
      <c r="B631" t="s">
        <v>555</v>
      </c>
      <c r="C631" t="s">
        <v>556</v>
      </c>
      <c r="D631" s="1">
        <v>46057</v>
      </c>
      <c r="E631" s="25">
        <v>1</v>
      </c>
    </row>
    <row r="632" spans="1:5" x14ac:dyDescent="0.25">
      <c r="A632" t="s">
        <v>5618</v>
      </c>
      <c r="B632" t="s">
        <v>559</v>
      </c>
      <c r="C632" t="s">
        <v>560</v>
      </c>
      <c r="D632" s="1">
        <v>46057</v>
      </c>
      <c r="E632" s="25">
        <v>2</v>
      </c>
    </row>
    <row r="633" spans="1:5" x14ac:dyDescent="0.25">
      <c r="A633" t="s">
        <v>5618</v>
      </c>
      <c r="B633" t="s">
        <v>899</v>
      </c>
      <c r="C633" t="s">
        <v>5680</v>
      </c>
      <c r="D633" s="1">
        <v>46057</v>
      </c>
      <c r="E633" s="25">
        <v>1</v>
      </c>
    </row>
    <row r="634" spans="1:5" x14ac:dyDescent="0.25">
      <c r="A634" t="s">
        <v>5618</v>
      </c>
      <c r="B634" t="s">
        <v>3533</v>
      </c>
      <c r="C634" t="s">
        <v>5681</v>
      </c>
      <c r="D634" s="1">
        <v>46057</v>
      </c>
      <c r="E634" s="25">
        <v>2</v>
      </c>
    </row>
    <row r="635" spans="1:5" x14ac:dyDescent="0.25">
      <c r="A635" t="s">
        <v>5618</v>
      </c>
      <c r="B635" t="s">
        <v>776</v>
      </c>
      <c r="C635" t="s">
        <v>777</v>
      </c>
      <c r="D635" s="1">
        <v>46057</v>
      </c>
      <c r="E635" s="25">
        <v>1</v>
      </c>
    </row>
    <row r="636" spans="1:5" x14ac:dyDescent="0.25">
      <c r="A636" t="s">
        <v>5618</v>
      </c>
      <c r="B636" t="s">
        <v>917</v>
      </c>
      <c r="C636" t="s">
        <v>918</v>
      </c>
      <c r="D636" s="1">
        <v>46057</v>
      </c>
      <c r="E636" s="25">
        <v>2</v>
      </c>
    </row>
    <row r="637" spans="1:5" x14ac:dyDescent="0.25">
      <c r="A637" t="s">
        <v>5618</v>
      </c>
      <c r="B637" t="s">
        <v>783</v>
      </c>
      <c r="C637" t="s">
        <v>784</v>
      </c>
      <c r="D637" s="1">
        <v>46057</v>
      </c>
      <c r="E637" s="25">
        <v>3</v>
      </c>
    </row>
    <row r="638" spans="1:5" x14ac:dyDescent="0.25">
      <c r="A638" t="s">
        <v>5618</v>
      </c>
      <c r="B638" t="s">
        <v>89</v>
      </c>
      <c r="C638" t="s">
        <v>149</v>
      </c>
      <c r="D638" s="1">
        <v>46057</v>
      </c>
      <c r="E638" s="25">
        <v>1</v>
      </c>
    </row>
    <row r="639" spans="1:5" x14ac:dyDescent="0.25">
      <c r="A639" t="s">
        <v>5618</v>
      </c>
      <c r="B639" t="s">
        <v>2281</v>
      </c>
      <c r="C639" t="s">
        <v>5682</v>
      </c>
      <c r="D639" s="1">
        <v>46057</v>
      </c>
      <c r="E639" s="25">
        <v>16</v>
      </c>
    </row>
    <row r="640" spans="1:5" x14ac:dyDescent="0.25">
      <c r="A640" t="s">
        <v>5618</v>
      </c>
      <c r="B640" t="s">
        <v>669</v>
      </c>
      <c r="C640" t="s">
        <v>670</v>
      </c>
      <c r="D640" s="1">
        <v>46057</v>
      </c>
      <c r="E640" s="25">
        <v>3</v>
      </c>
    </row>
    <row r="641" spans="1:5" x14ac:dyDescent="0.25">
      <c r="A641" t="s">
        <v>5618</v>
      </c>
      <c r="B641" t="s">
        <v>18</v>
      </c>
      <c r="C641" t="s">
        <v>5683</v>
      </c>
      <c r="D641" s="1">
        <v>46057</v>
      </c>
      <c r="E641" s="25">
        <v>4</v>
      </c>
    </row>
    <row r="642" spans="1:5" x14ac:dyDescent="0.25">
      <c r="A642" t="s">
        <v>5618</v>
      </c>
      <c r="B642" t="s">
        <v>810</v>
      </c>
      <c r="C642" t="s">
        <v>811</v>
      </c>
      <c r="D642" s="1">
        <v>46057</v>
      </c>
      <c r="E642" s="25">
        <v>1</v>
      </c>
    </row>
    <row r="643" spans="1:5" x14ac:dyDescent="0.25">
      <c r="A643" t="s">
        <v>5618</v>
      </c>
      <c r="B643" t="s">
        <v>99</v>
      </c>
      <c r="C643" t="s">
        <v>171</v>
      </c>
      <c r="D643" s="1">
        <v>46057</v>
      </c>
      <c r="E643" s="25">
        <v>2</v>
      </c>
    </row>
    <row r="644" spans="1:5" x14ac:dyDescent="0.25">
      <c r="A644" t="s">
        <v>5618</v>
      </c>
      <c r="B644" t="s">
        <v>5473</v>
      </c>
      <c r="C644" t="s">
        <v>5684</v>
      </c>
      <c r="D644" s="1">
        <v>46057</v>
      </c>
      <c r="E644" s="25">
        <v>24</v>
      </c>
    </row>
    <row r="645" spans="1:5" x14ac:dyDescent="0.25">
      <c r="A645" t="s">
        <v>5618</v>
      </c>
      <c r="B645" t="s">
        <v>5470</v>
      </c>
      <c r="C645" t="s">
        <v>5685</v>
      </c>
      <c r="D645" s="1">
        <v>46057</v>
      </c>
      <c r="E645" s="25">
        <v>75</v>
      </c>
    </row>
    <row r="646" spans="1:5" x14ac:dyDescent="0.25">
      <c r="A646" t="s">
        <v>5618</v>
      </c>
      <c r="B646" t="s">
        <v>1231</v>
      </c>
      <c r="C646" t="s">
        <v>1232</v>
      </c>
      <c r="D646" s="1">
        <v>46057</v>
      </c>
      <c r="E646" s="25">
        <v>1</v>
      </c>
    </row>
    <row r="647" spans="1:5" x14ac:dyDescent="0.25">
      <c r="A647" t="s">
        <v>5618</v>
      </c>
      <c r="B647" t="s">
        <v>5211</v>
      </c>
      <c r="C647" t="s">
        <v>5686</v>
      </c>
      <c r="D647" s="1">
        <v>46057</v>
      </c>
      <c r="E647" s="25">
        <v>1</v>
      </c>
    </row>
    <row r="648" spans="1:5" x14ac:dyDescent="0.25">
      <c r="A648" t="s">
        <v>5618</v>
      </c>
      <c r="B648" t="s">
        <v>935</v>
      </c>
      <c r="C648" t="s">
        <v>936</v>
      </c>
      <c r="D648" s="1">
        <v>46057</v>
      </c>
      <c r="E648" s="25">
        <v>7</v>
      </c>
    </row>
    <row r="649" spans="1:5" x14ac:dyDescent="0.25">
      <c r="A649" t="s">
        <v>5618</v>
      </c>
      <c r="B649" t="s">
        <v>832</v>
      </c>
      <c r="C649" t="s">
        <v>833</v>
      </c>
      <c r="D649" s="1">
        <v>46057</v>
      </c>
      <c r="E649" s="25">
        <v>7</v>
      </c>
    </row>
    <row r="650" spans="1:5" x14ac:dyDescent="0.25">
      <c r="A650" t="s">
        <v>5618</v>
      </c>
      <c r="B650" t="s">
        <v>107</v>
      </c>
      <c r="C650" t="s">
        <v>160</v>
      </c>
      <c r="D650" s="1">
        <v>46057</v>
      </c>
      <c r="E650" s="25">
        <v>2</v>
      </c>
    </row>
    <row r="651" spans="1:5" x14ac:dyDescent="0.25">
      <c r="A651" t="s">
        <v>5618</v>
      </c>
      <c r="B651" t="s">
        <v>108</v>
      </c>
      <c r="C651" t="s">
        <v>174</v>
      </c>
      <c r="D651" s="1">
        <v>46057</v>
      </c>
      <c r="E651" s="25">
        <v>2</v>
      </c>
    </row>
    <row r="652" spans="1:5" x14ac:dyDescent="0.25">
      <c r="A652" t="s">
        <v>5618</v>
      </c>
      <c r="B652" t="s">
        <v>5358</v>
      </c>
      <c r="C652" t="s">
        <v>5687</v>
      </c>
      <c r="D652" s="1">
        <v>46057</v>
      </c>
      <c r="E652" s="25">
        <v>2</v>
      </c>
    </row>
    <row r="653" spans="1:5" x14ac:dyDescent="0.25">
      <c r="A653" t="s">
        <v>5618</v>
      </c>
      <c r="B653" t="s">
        <v>20</v>
      </c>
      <c r="C653" t="s">
        <v>5688</v>
      </c>
      <c r="D653" s="1">
        <v>46057</v>
      </c>
      <c r="E653" s="25">
        <v>1</v>
      </c>
    </row>
    <row r="654" spans="1:5" x14ac:dyDescent="0.25">
      <c r="A654" t="s">
        <v>5618</v>
      </c>
      <c r="B654" t="s">
        <v>5407</v>
      </c>
      <c r="C654" t="s">
        <v>5689</v>
      </c>
      <c r="D654" s="1">
        <v>46057</v>
      </c>
      <c r="E654" s="25">
        <v>2</v>
      </c>
    </row>
    <row r="655" spans="1:5" x14ac:dyDescent="0.25">
      <c r="A655" t="s">
        <v>5618</v>
      </c>
      <c r="B655" t="s">
        <v>5690</v>
      </c>
      <c r="C655" t="s">
        <v>5691</v>
      </c>
      <c r="D655" s="1">
        <v>46057</v>
      </c>
      <c r="E655" s="25">
        <v>1</v>
      </c>
    </row>
    <row r="656" spans="1:5" x14ac:dyDescent="0.25">
      <c r="A656" t="s">
        <v>5618</v>
      </c>
      <c r="B656" t="s">
        <v>1802</v>
      </c>
      <c r="C656" t="s">
        <v>1803</v>
      </c>
      <c r="D656" s="1">
        <v>46057</v>
      </c>
      <c r="E656" s="25">
        <v>2</v>
      </c>
    </row>
    <row r="657" spans="1:5" x14ac:dyDescent="0.25">
      <c r="A657" t="s">
        <v>5618</v>
      </c>
      <c r="B657" t="s">
        <v>5692</v>
      </c>
      <c r="C657" t="s">
        <v>5693</v>
      </c>
      <c r="D657" s="1">
        <v>46057</v>
      </c>
      <c r="E657" s="25">
        <v>3</v>
      </c>
    </row>
    <row r="658" spans="1:5" x14ac:dyDescent="0.25">
      <c r="A658" t="s">
        <v>5618</v>
      </c>
      <c r="B658" t="s">
        <v>5694</v>
      </c>
      <c r="C658" t="s">
        <v>5695</v>
      </c>
      <c r="D658" s="1">
        <v>46114</v>
      </c>
      <c r="E658" s="25">
        <v>2</v>
      </c>
    </row>
    <row r="659" spans="1:5" x14ac:dyDescent="0.25">
      <c r="A659" t="s">
        <v>5618</v>
      </c>
      <c r="B659" t="s">
        <v>4635</v>
      </c>
      <c r="C659" t="s">
        <v>5696</v>
      </c>
      <c r="D659" s="1">
        <v>46090</v>
      </c>
      <c r="E659" s="25">
        <v>37</v>
      </c>
    </row>
    <row r="660" spans="1:5" x14ac:dyDescent="0.25">
      <c r="A660" t="s">
        <v>5618</v>
      </c>
      <c r="B660" t="s">
        <v>1792</v>
      </c>
      <c r="C660" t="s">
        <v>1793</v>
      </c>
      <c r="D660" s="1">
        <v>46090</v>
      </c>
      <c r="E660" s="25">
        <v>3</v>
      </c>
    </row>
    <row r="661" spans="1:5" x14ac:dyDescent="0.25">
      <c r="A661" t="s">
        <v>5618</v>
      </c>
      <c r="B661" t="s">
        <v>3510</v>
      </c>
      <c r="C661" t="s">
        <v>5698</v>
      </c>
      <c r="D661" s="1">
        <v>46009</v>
      </c>
      <c r="E661" s="25">
        <v>1385</v>
      </c>
    </row>
    <row r="662" spans="1:5" x14ac:dyDescent="0.25">
      <c r="A662" t="s">
        <v>5618</v>
      </c>
      <c r="B662" t="s">
        <v>3512</v>
      </c>
      <c r="C662" t="s">
        <v>5699</v>
      </c>
      <c r="D662" s="1">
        <v>46029</v>
      </c>
      <c r="E662" s="25">
        <v>1696</v>
      </c>
    </row>
    <row r="663" spans="1:5" x14ac:dyDescent="0.25">
      <c r="A663" t="s">
        <v>5618</v>
      </c>
      <c r="B663" t="s">
        <v>5700</v>
      </c>
      <c r="C663" t="s">
        <v>5701</v>
      </c>
      <c r="D663" s="1">
        <v>46022</v>
      </c>
      <c r="E663" s="25">
        <v>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R770"/>
  <sheetViews>
    <sheetView workbookViewId="0">
      <pane xSplit="5" ySplit="1" topLeftCell="K751" activePane="bottomRight" state="frozen"/>
      <selection pane="topRight" activeCell="E1" sqref="E1"/>
      <selection pane="bottomLeft" activeCell="A2" sqref="A2"/>
      <selection pane="bottomRight"/>
    </sheetView>
  </sheetViews>
  <sheetFormatPr defaultRowHeight="12" x14ac:dyDescent="0.2"/>
  <cols>
    <col min="1" max="1" width="20.5703125" style="14" bestFit="1" customWidth="1"/>
    <col min="2" max="2" width="7.42578125" style="14" bestFit="1" customWidth="1"/>
    <col min="3" max="3" width="11.42578125" style="14" bestFit="1" customWidth="1"/>
    <col min="4" max="4" width="12" style="14" bestFit="1" customWidth="1"/>
    <col min="5" max="5" width="41" style="15" customWidth="1"/>
    <col min="6" max="6" width="31.7109375" style="16" bestFit="1" customWidth="1"/>
    <col min="7" max="7" width="9.28515625" style="17" bestFit="1" customWidth="1"/>
    <col min="8" max="8" width="15.7109375" style="17" bestFit="1" customWidth="1"/>
    <col min="9" max="9" width="18.85546875" style="14" bestFit="1" customWidth="1"/>
    <col min="10" max="10" width="13.85546875" style="14" bestFit="1" customWidth="1"/>
    <col min="11" max="11" width="15.5703125" style="14" bestFit="1" customWidth="1"/>
    <col min="12" max="12" width="13.140625" style="14" bestFit="1" customWidth="1"/>
    <col min="13" max="13" width="9.7109375" style="17" bestFit="1" customWidth="1"/>
    <col min="14" max="14" width="9.28515625" style="17" bestFit="1" customWidth="1"/>
    <col min="15" max="15" width="9.28515625" style="17" customWidth="1"/>
    <col min="16" max="16" width="16.42578125" style="15" bestFit="1" customWidth="1"/>
    <col min="17" max="17" width="9.140625" style="14"/>
    <col min="18" max="18" width="13" style="14" customWidth="1"/>
    <col min="19" max="16384" width="9.140625" style="14"/>
  </cols>
  <sheetData>
    <row r="1" spans="1:18" s="13" customFormat="1" ht="36.75" customHeight="1" x14ac:dyDescent="0.25">
      <c r="A1" s="22" t="s">
        <v>2151</v>
      </c>
      <c r="B1" s="48" t="s">
        <v>11</v>
      </c>
      <c r="C1" s="48" t="s">
        <v>319</v>
      </c>
      <c r="D1" s="48" t="s">
        <v>12</v>
      </c>
      <c r="E1" s="48" t="s">
        <v>320</v>
      </c>
      <c r="F1" s="48" t="s">
        <v>13</v>
      </c>
      <c r="G1" s="48" t="s">
        <v>321</v>
      </c>
      <c r="H1" s="48" t="s">
        <v>322</v>
      </c>
      <c r="I1" s="48" t="s">
        <v>15</v>
      </c>
      <c r="J1" s="48" t="s">
        <v>323</v>
      </c>
      <c r="K1" s="48" t="s">
        <v>324</v>
      </c>
      <c r="L1" s="48" t="s">
        <v>325</v>
      </c>
      <c r="M1" s="48" t="s">
        <v>326</v>
      </c>
      <c r="N1" s="48" t="s">
        <v>14</v>
      </c>
      <c r="O1" s="49" t="s">
        <v>959</v>
      </c>
      <c r="P1" s="50" t="s">
        <v>5642</v>
      </c>
      <c r="Q1" s="50" t="s">
        <v>5643</v>
      </c>
      <c r="R1" s="50" t="s">
        <v>5644</v>
      </c>
    </row>
    <row r="2" spans="1:18" x14ac:dyDescent="0.2">
      <c r="A2" s="18" t="str">
        <f t="shared" ref="A2:A65" si="0">B2&amp;C2&amp;D2</f>
        <v>036137006333.20.10147.01</v>
      </c>
      <c r="B2" s="51" t="s">
        <v>118</v>
      </c>
      <c r="C2" s="51" t="s">
        <v>375</v>
      </c>
      <c r="D2" s="51" t="s">
        <v>21</v>
      </c>
      <c r="E2" s="51" t="s">
        <v>110</v>
      </c>
      <c r="F2" s="18" t="s">
        <v>328</v>
      </c>
      <c r="G2" s="52">
        <v>45708</v>
      </c>
      <c r="H2" s="18" t="s">
        <v>329</v>
      </c>
      <c r="I2" s="53">
        <v>18</v>
      </c>
      <c r="J2" s="54">
        <v>45</v>
      </c>
      <c r="K2" s="54">
        <v>900</v>
      </c>
      <c r="L2" s="18" t="s">
        <v>330</v>
      </c>
      <c r="M2" s="18" t="s">
        <v>331</v>
      </c>
      <c r="N2" s="55">
        <v>45757</v>
      </c>
      <c r="O2" s="18" t="str">
        <f>IFERROR(VLOOKUP(A2,'[2]RELAÇÃO DE OC''S VMI MEC 030226'!$B:$P,15,FALSE),"-")</f>
        <v>-</v>
      </c>
      <c r="P2" s="56">
        <f t="shared" ref="P2:P65" ca="1" si="1">TODAY()-N2</f>
        <v>319</v>
      </c>
      <c r="Q2" s="18" t="str">
        <f t="shared" ref="Q2:Q65" ca="1" si="2">IF(P2&gt;0,"ATRASADO","DENTRO DO PRAZO")</f>
        <v>ATRASADO</v>
      </c>
      <c r="R2" s="19" t="s">
        <v>5645</v>
      </c>
    </row>
    <row r="3" spans="1:18" x14ac:dyDescent="0.2">
      <c r="A3" s="18" t="str">
        <f t="shared" si="0"/>
        <v>036605015134.01.10120.00</v>
      </c>
      <c r="B3" s="51" t="s">
        <v>139</v>
      </c>
      <c r="C3" s="51" t="s">
        <v>450</v>
      </c>
      <c r="D3" s="51" t="s">
        <v>304</v>
      </c>
      <c r="E3" s="51" t="s">
        <v>305</v>
      </c>
      <c r="F3" s="18" t="s">
        <v>328</v>
      </c>
      <c r="G3" s="52">
        <v>45733</v>
      </c>
      <c r="H3" s="18" t="s">
        <v>329</v>
      </c>
      <c r="I3" s="53">
        <v>1</v>
      </c>
      <c r="J3" s="54">
        <v>1794</v>
      </c>
      <c r="K3" s="54">
        <v>1794</v>
      </c>
      <c r="L3" s="18" t="s">
        <v>330</v>
      </c>
      <c r="M3" s="18" t="s">
        <v>331</v>
      </c>
      <c r="N3" s="55">
        <v>45675</v>
      </c>
      <c r="O3" s="18" t="str">
        <f>IFERROR(VLOOKUP(A3,'[2]RELAÇÃO DE OC''S VMI MEC 030226'!$B:$P,15,FALSE),"-")</f>
        <v>-</v>
      </c>
      <c r="P3" s="56">
        <f t="shared" ca="1" si="1"/>
        <v>401</v>
      </c>
      <c r="Q3" s="18" t="str">
        <f t="shared" ca="1" si="2"/>
        <v>ATRASADO</v>
      </c>
      <c r="R3" s="19" t="s">
        <v>5645</v>
      </c>
    </row>
    <row r="4" spans="1:18" x14ac:dyDescent="0.2">
      <c r="A4" s="18" t="str">
        <f t="shared" si="0"/>
        <v>036620004521.23.02329</v>
      </c>
      <c r="B4" s="51" t="s">
        <v>140</v>
      </c>
      <c r="C4" s="51" t="s">
        <v>370</v>
      </c>
      <c r="D4" s="51" t="s">
        <v>75</v>
      </c>
      <c r="E4" s="51" t="s">
        <v>168</v>
      </c>
      <c r="F4" s="18" t="s">
        <v>328</v>
      </c>
      <c r="G4" s="52">
        <v>45733</v>
      </c>
      <c r="H4" s="18" t="s">
        <v>329</v>
      </c>
      <c r="I4" s="53">
        <v>1</v>
      </c>
      <c r="J4" s="54">
        <v>73.599999999999994</v>
      </c>
      <c r="K4" s="54">
        <v>73.599999999999994</v>
      </c>
      <c r="L4" s="18" t="s">
        <v>330</v>
      </c>
      <c r="M4" s="18" t="s">
        <v>331</v>
      </c>
      <c r="N4" s="55">
        <v>45778</v>
      </c>
      <c r="O4" s="18" t="str">
        <f>IFERROR(VLOOKUP(A4,'[2]RELAÇÃO DE OC''S VMI MEC 030226'!$B:$P,15,FALSE),"-")</f>
        <v>-</v>
      </c>
      <c r="P4" s="56">
        <f t="shared" ca="1" si="1"/>
        <v>298</v>
      </c>
      <c r="Q4" s="18" t="str">
        <f t="shared" ca="1" si="2"/>
        <v>ATRASADO</v>
      </c>
      <c r="R4" s="19" t="s">
        <v>5645</v>
      </c>
    </row>
    <row r="5" spans="1:18" x14ac:dyDescent="0.2">
      <c r="A5" s="18" t="str">
        <f t="shared" si="0"/>
        <v>036620008533.12.10398.00</v>
      </c>
      <c r="B5" s="51" t="s">
        <v>140</v>
      </c>
      <c r="C5" s="51" t="s">
        <v>340</v>
      </c>
      <c r="D5" s="51" t="s">
        <v>309</v>
      </c>
      <c r="E5" s="51" t="s">
        <v>310</v>
      </c>
      <c r="F5" s="18" t="s">
        <v>328</v>
      </c>
      <c r="G5" s="52">
        <v>45733</v>
      </c>
      <c r="H5" s="18" t="s">
        <v>329</v>
      </c>
      <c r="I5" s="53">
        <v>1</v>
      </c>
      <c r="J5" s="54">
        <v>11.72</v>
      </c>
      <c r="K5" s="54">
        <v>11.72</v>
      </c>
      <c r="L5" s="18" t="s">
        <v>330</v>
      </c>
      <c r="M5" s="18" t="s">
        <v>331</v>
      </c>
      <c r="N5" s="55">
        <v>45778</v>
      </c>
      <c r="O5" s="18" t="str">
        <f>IFERROR(VLOOKUP(A5,'[2]RELAÇÃO DE OC''S VMI MEC 030226'!$B:$P,15,FALSE),"-")</f>
        <v>-</v>
      </c>
      <c r="P5" s="56">
        <f t="shared" ca="1" si="1"/>
        <v>298</v>
      </c>
      <c r="Q5" s="18" t="str">
        <f t="shared" ca="1" si="2"/>
        <v>ATRASADO</v>
      </c>
      <c r="R5" s="19" t="s">
        <v>5645</v>
      </c>
    </row>
    <row r="6" spans="1:18" x14ac:dyDescent="0.2">
      <c r="A6" s="18" t="str">
        <f t="shared" si="0"/>
        <v>036622002233.20.10253.02</v>
      </c>
      <c r="B6" s="51" t="s">
        <v>141</v>
      </c>
      <c r="C6" s="51" t="s">
        <v>390</v>
      </c>
      <c r="D6" s="51" t="s">
        <v>35</v>
      </c>
      <c r="E6" s="51" t="s">
        <v>112</v>
      </c>
      <c r="F6" s="18" t="s">
        <v>328</v>
      </c>
      <c r="G6" s="52">
        <v>45733</v>
      </c>
      <c r="H6" s="18" t="s">
        <v>329</v>
      </c>
      <c r="I6" s="53">
        <v>7</v>
      </c>
      <c r="J6" s="54">
        <v>98.5</v>
      </c>
      <c r="K6" s="54">
        <v>788</v>
      </c>
      <c r="L6" s="18" t="s">
        <v>330</v>
      </c>
      <c r="M6" s="18" t="s">
        <v>331</v>
      </c>
      <c r="N6" s="55">
        <v>45778</v>
      </c>
      <c r="O6" s="18" t="str">
        <f>IFERROR(VLOOKUP(A6,'[2]RELAÇÃO DE OC''S VMI MEC 030226'!$B:$P,15,FALSE),"-")</f>
        <v>-</v>
      </c>
      <c r="P6" s="56">
        <f t="shared" ca="1" si="1"/>
        <v>298</v>
      </c>
      <c r="Q6" s="18" t="str">
        <f t="shared" ca="1" si="2"/>
        <v>ATRASADO</v>
      </c>
      <c r="R6" s="19" t="s">
        <v>5645</v>
      </c>
    </row>
    <row r="7" spans="1:18" x14ac:dyDescent="0.2">
      <c r="A7" s="18" t="str">
        <f t="shared" si="0"/>
        <v>036622003033.20.10566.00</v>
      </c>
      <c r="B7" s="51" t="s">
        <v>141</v>
      </c>
      <c r="C7" s="51" t="s">
        <v>392</v>
      </c>
      <c r="D7" s="51" t="s">
        <v>298</v>
      </c>
      <c r="E7" s="51" t="s">
        <v>299</v>
      </c>
      <c r="F7" s="18" t="s">
        <v>328</v>
      </c>
      <c r="G7" s="52">
        <v>45733</v>
      </c>
      <c r="H7" s="18" t="s">
        <v>329</v>
      </c>
      <c r="I7" s="53">
        <v>3</v>
      </c>
      <c r="J7" s="54">
        <v>603</v>
      </c>
      <c r="K7" s="54">
        <v>9648</v>
      </c>
      <c r="L7" s="18" t="s">
        <v>330</v>
      </c>
      <c r="M7" s="18" t="s">
        <v>331</v>
      </c>
      <c r="N7" s="55">
        <v>45778</v>
      </c>
      <c r="O7" s="18" t="str">
        <f>IFERROR(VLOOKUP(A7,'[2]RELAÇÃO DE OC''S VMI MEC 030226'!$B:$P,15,FALSE),"-")</f>
        <v>-</v>
      </c>
      <c r="P7" s="56">
        <f t="shared" ca="1" si="1"/>
        <v>298</v>
      </c>
      <c r="Q7" s="18" t="str">
        <f t="shared" ca="1" si="2"/>
        <v>ATRASADO</v>
      </c>
      <c r="R7" s="19" t="s">
        <v>5645</v>
      </c>
    </row>
    <row r="8" spans="1:18" x14ac:dyDescent="0.2">
      <c r="A8" s="18" t="str">
        <f t="shared" si="0"/>
        <v>036622003434.06.10000.03</v>
      </c>
      <c r="B8" s="51" t="s">
        <v>141</v>
      </c>
      <c r="C8" s="51" t="s">
        <v>356</v>
      </c>
      <c r="D8" s="51" t="s">
        <v>17</v>
      </c>
      <c r="E8" s="51" t="s">
        <v>156</v>
      </c>
      <c r="F8" s="18" t="s">
        <v>328</v>
      </c>
      <c r="G8" s="52">
        <v>45733</v>
      </c>
      <c r="H8" s="18" t="s">
        <v>329</v>
      </c>
      <c r="I8" s="53">
        <v>14</v>
      </c>
      <c r="J8" s="54">
        <v>84.3</v>
      </c>
      <c r="K8" s="54">
        <v>5058</v>
      </c>
      <c r="L8" s="18" t="s">
        <v>330</v>
      </c>
      <c r="M8" s="18" t="s">
        <v>331</v>
      </c>
      <c r="N8" s="55">
        <v>45778</v>
      </c>
      <c r="O8" s="18" t="str">
        <f>IFERROR(VLOOKUP(A8,'[2]RELAÇÃO DE OC''S VMI MEC 030226'!$B:$P,15,FALSE),"-")</f>
        <v>-</v>
      </c>
      <c r="P8" s="56">
        <f t="shared" ca="1" si="1"/>
        <v>298</v>
      </c>
      <c r="Q8" s="18" t="str">
        <f t="shared" ca="1" si="2"/>
        <v>ATRASADO</v>
      </c>
      <c r="R8" s="19" t="s">
        <v>5645</v>
      </c>
    </row>
    <row r="9" spans="1:18" x14ac:dyDescent="0.2">
      <c r="A9" s="18" t="str">
        <f t="shared" si="0"/>
        <v>037335000633.08.10244.00</v>
      </c>
      <c r="B9" s="51" t="s">
        <v>302</v>
      </c>
      <c r="C9" s="51" t="s">
        <v>327</v>
      </c>
      <c r="D9" s="51" t="s">
        <v>270</v>
      </c>
      <c r="E9" s="51" t="s">
        <v>271</v>
      </c>
      <c r="F9" s="18" t="s">
        <v>328</v>
      </c>
      <c r="G9" s="52">
        <v>45762</v>
      </c>
      <c r="H9" s="18" t="s">
        <v>329</v>
      </c>
      <c r="I9" s="53">
        <v>1</v>
      </c>
      <c r="J9" s="54">
        <v>638</v>
      </c>
      <c r="K9" s="54">
        <v>1276</v>
      </c>
      <c r="L9" s="18" t="s">
        <v>330</v>
      </c>
      <c r="M9" s="18" t="s">
        <v>331</v>
      </c>
      <c r="N9" s="55">
        <v>45800</v>
      </c>
      <c r="O9" s="18" t="str">
        <f>IFERROR(VLOOKUP(A9,'[2]RELAÇÃO DE OC''S VMI MEC 030226'!$B:$P,15,FALSE),"-")</f>
        <v>-</v>
      </c>
      <c r="P9" s="56">
        <f t="shared" ca="1" si="1"/>
        <v>276</v>
      </c>
      <c r="Q9" s="18" t="str">
        <f t="shared" ca="1" si="2"/>
        <v>ATRASADO</v>
      </c>
      <c r="R9" s="19" t="s">
        <v>5645</v>
      </c>
    </row>
    <row r="10" spans="1:18" ht="12.75" thickBot="1" x14ac:dyDescent="0.25">
      <c r="A10" s="18" t="str">
        <f t="shared" si="0"/>
        <v>037485000533.02.10037.01</v>
      </c>
      <c r="B10" s="51" t="s">
        <v>303</v>
      </c>
      <c r="C10" s="51" t="s">
        <v>355</v>
      </c>
      <c r="D10" s="51" t="s">
        <v>24</v>
      </c>
      <c r="E10" s="51" t="s">
        <v>159</v>
      </c>
      <c r="F10" s="18" t="s">
        <v>328</v>
      </c>
      <c r="G10" s="52">
        <v>45770</v>
      </c>
      <c r="H10" s="18" t="s">
        <v>518</v>
      </c>
      <c r="I10" s="53">
        <v>1</v>
      </c>
      <c r="J10" s="54">
        <v>94.3</v>
      </c>
      <c r="K10" s="54">
        <v>471.5</v>
      </c>
      <c r="L10" s="18" t="s">
        <v>330</v>
      </c>
      <c r="M10" s="18" t="s">
        <v>331</v>
      </c>
      <c r="N10" s="55">
        <v>45810</v>
      </c>
      <c r="O10" s="18" t="str">
        <f>IFERROR(VLOOKUP(A10,'[2]RELAÇÃO DE OC''S VMI MEC 030226'!$B:$P,15,FALSE),"-")</f>
        <v>-</v>
      </c>
      <c r="P10" s="56">
        <f t="shared" ca="1" si="1"/>
        <v>266</v>
      </c>
      <c r="Q10" s="18" t="str">
        <f t="shared" ca="1" si="2"/>
        <v>ATRASADO</v>
      </c>
      <c r="R10" s="19" t="s">
        <v>5645</v>
      </c>
    </row>
    <row r="11" spans="1:18" x14ac:dyDescent="0.2">
      <c r="A11" s="18" t="str">
        <f t="shared" si="0"/>
        <v>037634001321.23.01314</v>
      </c>
      <c r="B11" s="57" t="s">
        <v>318</v>
      </c>
      <c r="C11" s="51" t="s">
        <v>333</v>
      </c>
      <c r="D11" s="51" t="s">
        <v>51</v>
      </c>
      <c r="E11" s="51" t="s">
        <v>52</v>
      </c>
      <c r="F11" s="18" t="s">
        <v>328</v>
      </c>
      <c r="G11" s="52">
        <v>45779</v>
      </c>
      <c r="H11" s="18" t="s">
        <v>329</v>
      </c>
      <c r="I11" s="53">
        <v>13</v>
      </c>
      <c r="J11" s="54">
        <v>120.61</v>
      </c>
      <c r="K11" s="54">
        <v>12061</v>
      </c>
      <c r="L11" s="18" t="s">
        <v>330</v>
      </c>
      <c r="M11" s="18" t="s">
        <v>331</v>
      </c>
      <c r="N11" s="55">
        <v>45828</v>
      </c>
      <c r="O11" s="18" t="str">
        <f>IFERROR(VLOOKUP(A11,'[2]RELAÇÃO DE OC''S VMI MEC 030226'!$B:$P,15,FALSE),"-")</f>
        <v>-</v>
      </c>
      <c r="P11" s="56">
        <f t="shared" ca="1" si="1"/>
        <v>248</v>
      </c>
      <c r="Q11" s="18" t="str">
        <f t="shared" ca="1" si="2"/>
        <v>ATRASADO</v>
      </c>
      <c r="R11" s="19" t="s">
        <v>5645</v>
      </c>
    </row>
    <row r="12" spans="1:18" x14ac:dyDescent="0.2">
      <c r="A12" s="18" t="str">
        <f t="shared" si="0"/>
        <v>037634002021.23.01329</v>
      </c>
      <c r="B12" s="51" t="s">
        <v>318</v>
      </c>
      <c r="C12" s="51" t="s">
        <v>418</v>
      </c>
      <c r="D12" s="51" t="s">
        <v>55</v>
      </c>
      <c r="E12" s="51" t="s">
        <v>56</v>
      </c>
      <c r="F12" s="18" t="s">
        <v>328</v>
      </c>
      <c r="G12" s="52">
        <v>45779</v>
      </c>
      <c r="H12" s="18" t="s">
        <v>329</v>
      </c>
      <c r="I12" s="53">
        <v>1</v>
      </c>
      <c r="J12" s="54">
        <v>76.27</v>
      </c>
      <c r="K12" s="54">
        <v>1525.4</v>
      </c>
      <c r="L12" s="18" t="s">
        <v>330</v>
      </c>
      <c r="M12" s="18" t="s">
        <v>331</v>
      </c>
      <c r="N12" s="55">
        <v>45828</v>
      </c>
      <c r="O12" s="18" t="str">
        <f>IFERROR(VLOOKUP(A12,'[2]RELAÇÃO DE OC''S VMI MEC 030226'!$B:$P,15,FALSE),"-")</f>
        <v>-</v>
      </c>
      <c r="P12" s="56">
        <f t="shared" ca="1" si="1"/>
        <v>248</v>
      </c>
      <c r="Q12" s="18" t="str">
        <f t="shared" ca="1" si="2"/>
        <v>ATRASADO</v>
      </c>
      <c r="R12" s="19" t="s">
        <v>5645</v>
      </c>
    </row>
    <row r="13" spans="1:18" x14ac:dyDescent="0.2">
      <c r="A13" s="18" t="str">
        <f t="shared" si="0"/>
        <v>037634002221.23.01331</v>
      </c>
      <c r="B13" s="51" t="s">
        <v>318</v>
      </c>
      <c r="C13" s="51" t="s">
        <v>390</v>
      </c>
      <c r="D13" s="51" t="s">
        <v>57</v>
      </c>
      <c r="E13" s="51" t="s">
        <v>58</v>
      </c>
      <c r="F13" s="18" t="s">
        <v>328</v>
      </c>
      <c r="G13" s="52">
        <v>45779</v>
      </c>
      <c r="H13" s="18" t="s">
        <v>329</v>
      </c>
      <c r="I13" s="53">
        <v>8</v>
      </c>
      <c r="J13" s="54">
        <v>119.88</v>
      </c>
      <c r="K13" s="54">
        <v>5994</v>
      </c>
      <c r="L13" s="18" t="s">
        <v>330</v>
      </c>
      <c r="M13" s="18" t="s">
        <v>331</v>
      </c>
      <c r="N13" s="55">
        <v>45828</v>
      </c>
      <c r="O13" s="18" t="str">
        <f>IFERROR(VLOOKUP(A13,'[2]RELAÇÃO DE OC''S VMI MEC 030226'!$B:$P,15,FALSE),"-")</f>
        <v>-</v>
      </c>
      <c r="P13" s="56">
        <f t="shared" ca="1" si="1"/>
        <v>248</v>
      </c>
      <c r="Q13" s="18" t="str">
        <f t="shared" ca="1" si="2"/>
        <v>ATRASADO</v>
      </c>
      <c r="R13" s="19" t="s">
        <v>5645</v>
      </c>
    </row>
    <row r="14" spans="1:18" x14ac:dyDescent="0.2">
      <c r="A14" s="18" t="str">
        <f t="shared" si="0"/>
        <v>037634002621.23.01468</v>
      </c>
      <c r="B14" s="51" t="s">
        <v>318</v>
      </c>
      <c r="C14" s="51" t="s">
        <v>366</v>
      </c>
      <c r="D14" s="51" t="s">
        <v>59</v>
      </c>
      <c r="E14" s="51" t="s">
        <v>60</v>
      </c>
      <c r="F14" s="18" t="s">
        <v>328</v>
      </c>
      <c r="G14" s="52">
        <v>45779</v>
      </c>
      <c r="H14" s="18" t="s">
        <v>329</v>
      </c>
      <c r="I14" s="53">
        <v>16</v>
      </c>
      <c r="J14" s="54">
        <v>20.61</v>
      </c>
      <c r="K14" s="54">
        <v>1648.8</v>
      </c>
      <c r="L14" s="18" t="s">
        <v>330</v>
      </c>
      <c r="M14" s="18" t="s">
        <v>331</v>
      </c>
      <c r="N14" s="55">
        <v>45828</v>
      </c>
      <c r="O14" s="18" t="str">
        <f>IFERROR(VLOOKUP(A14,'[2]RELAÇÃO DE OC''S VMI MEC 030226'!$B:$P,15,FALSE),"-")</f>
        <v>-</v>
      </c>
      <c r="P14" s="56">
        <f t="shared" ca="1" si="1"/>
        <v>248</v>
      </c>
      <c r="Q14" s="18" t="str">
        <f t="shared" ca="1" si="2"/>
        <v>ATRASADO</v>
      </c>
      <c r="R14" s="19" t="s">
        <v>5645</v>
      </c>
    </row>
    <row r="15" spans="1:18" x14ac:dyDescent="0.2">
      <c r="A15" s="18" t="str">
        <f t="shared" si="0"/>
        <v>037634004221.23.02787</v>
      </c>
      <c r="B15" s="51" t="s">
        <v>318</v>
      </c>
      <c r="C15" s="51" t="s">
        <v>368</v>
      </c>
      <c r="D15" s="51" t="s">
        <v>83</v>
      </c>
      <c r="E15" s="51" t="s">
        <v>84</v>
      </c>
      <c r="F15" s="18" t="s">
        <v>328</v>
      </c>
      <c r="G15" s="52">
        <v>45779</v>
      </c>
      <c r="H15" s="18" t="s">
        <v>329</v>
      </c>
      <c r="I15" s="53">
        <v>1</v>
      </c>
      <c r="J15" s="54">
        <v>140.02000000000001</v>
      </c>
      <c r="K15" s="54">
        <v>2800.4</v>
      </c>
      <c r="L15" s="18" t="s">
        <v>330</v>
      </c>
      <c r="M15" s="18" t="s">
        <v>331</v>
      </c>
      <c r="N15" s="55">
        <v>45828</v>
      </c>
      <c r="O15" s="18" t="str">
        <f>IFERROR(VLOOKUP(A15,'[2]RELAÇÃO DE OC''S VMI MEC 030226'!$B:$P,15,FALSE),"-")</f>
        <v>-</v>
      </c>
      <c r="P15" s="56">
        <f t="shared" ca="1" si="1"/>
        <v>248</v>
      </c>
      <c r="Q15" s="18" t="str">
        <f t="shared" ca="1" si="2"/>
        <v>ATRASADO</v>
      </c>
      <c r="R15" s="19" t="s">
        <v>5645</v>
      </c>
    </row>
    <row r="16" spans="1:18" x14ac:dyDescent="0.2">
      <c r="A16" s="18" t="str">
        <f t="shared" si="0"/>
        <v>037634004321.23.02788</v>
      </c>
      <c r="B16" s="51" t="s">
        <v>318</v>
      </c>
      <c r="C16" s="51" t="s">
        <v>369</v>
      </c>
      <c r="D16" s="51" t="s">
        <v>85</v>
      </c>
      <c r="E16" s="51" t="s">
        <v>86</v>
      </c>
      <c r="F16" s="18" t="s">
        <v>328</v>
      </c>
      <c r="G16" s="52">
        <v>45779</v>
      </c>
      <c r="H16" s="18" t="s">
        <v>329</v>
      </c>
      <c r="I16" s="53">
        <v>2</v>
      </c>
      <c r="J16" s="54">
        <v>170.02</v>
      </c>
      <c r="K16" s="54">
        <v>3400.4</v>
      </c>
      <c r="L16" s="18" t="s">
        <v>330</v>
      </c>
      <c r="M16" s="18" t="s">
        <v>331</v>
      </c>
      <c r="N16" s="55">
        <v>45828</v>
      </c>
      <c r="O16" s="18" t="str">
        <f>IFERROR(VLOOKUP(A16,'[2]RELAÇÃO DE OC''S VMI MEC 030226'!$B:$P,15,FALSE),"-")</f>
        <v>-</v>
      </c>
      <c r="P16" s="56">
        <f t="shared" ca="1" si="1"/>
        <v>248</v>
      </c>
      <c r="Q16" s="18" t="str">
        <f t="shared" ca="1" si="2"/>
        <v>ATRASADO</v>
      </c>
      <c r="R16" s="19" t="s">
        <v>5645</v>
      </c>
    </row>
    <row r="17" spans="1:18" x14ac:dyDescent="0.2">
      <c r="A17" s="18" t="str">
        <f t="shared" si="0"/>
        <v>038053000421.23.02022</v>
      </c>
      <c r="B17" s="51" t="s">
        <v>461</v>
      </c>
      <c r="C17" s="51" t="s">
        <v>417</v>
      </c>
      <c r="D17" s="51" t="s">
        <v>63</v>
      </c>
      <c r="E17" s="51" t="s">
        <v>64</v>
      </c>
      <c r="F17" s="18" t="s">
        <v>328</v>
      </c>
      <c r="G17" s="52">
        <v>45798</v>
      </c>
      <c r="H17" s="18" t="s">
        <v>329</v>
      </c>
      <c r="I17" s="53">
        <v>2</v>
      </c>
      <c r="J17" s="54">
        <v>531.667957</v>
      </c>
      <c r="K17" s="54">
        <v>2658.34</v>
      </c>
      <c r="L17" s="18" t="s">
        <v>330</v>
      </c>
      <c r="M17" s="18" t="s">
        <v>331</v>
      </c>
      <c r="N17" s="55">
        <v>45835</v>
      </c>
      <c r="O17" s="18" t="str">
        <f>IFERROR(VLOOKUP(A17,'[2]RELAÇÃO DE OC''S VMI MEC 030226'!$B:$P,15,FALSE),"-")</f>
        <v>-</v>
      </c>
      <c r="P17" s="56">
        <f t="shared" ca="1" si="1"/>
        <v>241</v>
      </c>
      <c r="Q17" s="18" t="str">
        <f t="shared" ca="1" si="2"/>
        <v>ATRASADO</v>
      </c>
      <c r="R17" s="19" t="s">
        <v>5645</v>
      </c>
    </row>
    <row r="18" spans="1:18" x14ac:dyDescent="0.2">
      <c r="A18" s="18" t="str">
        <f t="shared" si="0"/>
        <v>038053000933.08.10242.00</v>
      </c>
      <c r="B18" s="51" t="s">
        <v>461</v>
      </c>
      <c r="C18" s="51" t="s">
        <v>359</v>
      </c>
      <c r="D18" s="51" t="s">
        <v>268</v>
      </c>
      <c r="E18" s="51" t="s">
        <v>269</v>
      </c>
      <c r="F18" s="18" t="s">
        <v>328</v>
      </c>
      <c r="G18" s="52">
        <v>45798</v>
      </c>
      <c r="H18" s="18" t="s">
        <v>329</v>
      </c>
      <c r="I18" s="53">
        <v>1</v>
      </c>
      <c r="J18" s="54">
        <v>491</v>
      </c>
      <c r="K18" s="54">
        <v>491</v>
      </c>
      <c r="L18" s="18" t="s">
        <v>330</v>
      </c>
      <c r="M18" s="18" t="s">
        <v>331</v>
      </c>
      <c r="N18" s="55">
        <v>45835</v>
      </c>
      <c r="O18" s="18" t="str">
        <f>IFERROR(VLOOKUP(A18,'[2]RELAÇÃO DE OC''S VMI MEC 030226'!$B:$P,15,FALSE),"-")</f>
        <v>-</v>
      </c>
      <c r="P18" s="56">
        <f t="shared" ca="1" si="1"/>
        <v>241</v>
      </c>
      <c r="Q18" s="18" t="str">
        <f t="shared" ca="1" si="2"/>
        <v>ATRASADO</v>
      </c>
      <c r="R18" s="19" t="s">
        <v>5645</v>
      </c>
    </row>
    <row r="19" spans="1:18" x14ac:dyDescent="0.2">
      <c r="A19" s="18" t="str">
        <f t="shared" si="0"/>
        <v>046695000221.23.02267</v>
      </c>
      <c r="B19" s="51" t="s">
        <v>488</v>
      </c>
      <c r="C19" s="51" t="s">
        <v>416</v>
      </c>
      <c r="D19" s="51" t="s">
        <v>122</v>
      </c>
      <c r="E19" s="51" t="s">
        <v>143</v>
      </c>
      <c r="F19" s="18" t="s">
        <v>328</v>
      </c>
      <c r="G19" s="52">
        <v>45807</v>
      </c>
      <c r="H19" s="18" t="s">
        <v>329</v>
      </c>
      <c r="I19" s="53">
        <v>1</v>
      </c>
      <c r="J19" s="54">
        <v>29</v>
      </c>
      <c r="K19" s="54">
        <v>58</v>
      </c>
      <c r="L19" s="18" t="s">
        <v>330</v>
      </c>
      <c r="M19" s="18" t="s">
        <v>331</v>
      </c>
      <c r="N19" s="55">
        <v>45863</v>
      </c>
      <c r="O19" s="18" t="str">
        <f>IFERROR(VLOOKUP(A19,'[2]RELAÇÃO DE OC''S VMI MEC 030226'!$B:$P,15,FALSE),"-")</f>
        <v>-</v>
      </c>
      <c r="P19" s="56">
        <f t="shared" ca="1" si="1"/>
        <v>213</v>
      </c>
      <c r="Q19" s="18" t="str">
        <f t="shared" ca="1" si="2"/>
        <v>ATRASADO</v>
      </c>
      <c r="R19" s="19" t="s">
        <v>5645</v>
      </c>
    </row>
    <row r="20" spans="1:18" x14ac:dyDescent="0.2">
      <c r="A20" s="18" t="str">
        <f t="shared" si="0"/>
        <v>046695004333.20.10253.02</v>
      </c>
      <c r="B20" s="51" t="s">
        <v>488</v>
      </c>
      <c r="C20" s="51" t="s">
        <v>369</v>
      </c>
      <c r="D20" s="51" t="s">
        <v>35</v>
      </c>
      <c r="E20" s="51" t="s">
        <v>112</v>
      </c>
      <c r="F20" s="18" t="s">
        <v>328</v>
      </c>
      <c r="G20" s="52">
        <v>45807</v>
      </c>
      <c r="H20" s="18" t="s">
        <v>329</v>
      </c>
      <c r="I20" s="53">
        <v>1</v>
      </c>
      <c r="J20" s="54">
        <v>98.5</v>
      </c>
      <c r="K20" s="54">
        <v>197</v>
      </c>
      <c r="L20" s="18" t="s">
        <v>330</v>
      </c>
      <c r="M20" s="18" t="s">
        <v>331</v>
      </c>
      <c r="N20" s="55">
        <v>45863</v>
      </c>
      <c r="O20" s="18" t="str">
        <f>IFERROR(VLOOKUP(A20,'[2]RELAÇÃO DE OC''S VMI MEC 030226'!$B:$P,15,FALSE),"-")</f>
        <v>-</v>
      </c>
      <c r="P20" s="56">
        <f t="shared" ca="1" si="1"/>
        <v>213</v>
      </c>
      <c r="Q20" s="18" t="str">
        <f t="shared" ca="1" si="2"/>
        <v>ATRASADO</v>
      </c>
      <c r="R20" s="19" t="s">
        <v>5645</v>
      </c>
    </row>
    <row r="21" spans="1:18" x14ac:dyDescent="0.2">
      <c r="A21" s="18" t="str">
        <f t="shared" si="0"/>
        <v>046755003433.12.10550.00</v>
      </c>
      <c r="B21" s="51" t="s">
        <v>489</v>
      </c>
      <c r="C21" s="51" t="s">
        <v>356</v>
      </c>
      <c r="D21" s="51" t="s">
        <v>127</v>
      </c>
      <c r="E21" s="51" t="s">
        <v>152</v>
      </c>
      <c r="F21" s="18" t="s">
        <v>328</v>
      </c>
      <c r="G21" s="52">
        <v>45812</v>
      </c>
      <c r="H21" s="18" t="s">
        <v>329</v>
      </c>
      <c r="I21" s="53">
        <v>1</v>
      </c>
      <c r="J21" s="54">
        <v>295</v>
      </c>
      <c r="K21" s="54">
        <v>295</v>
      </c>
      <c r="L21" s="18" t="s">
        <v>330</v>
      </c>
      <c r="M21" s="18" t="s">
        <v>331</v>
      </c>
      <c r="N21" s="55">
        <v>45868</v>
      </c>
      <c r="O21" s="18" t="str">
        <f>IFERROR(VLOOKUP(A21,'[2]RELAÇÃO DE OC''S VMI MEC 030226'!$B:$P,15,FALSE),"-")</f>
        <v>-</v>
      </c>
      <c r="P21" s="56">
        <f t="shared" ca="1" si="1"/>
        <v>208</v>
      </c>
      <c r="Q21" s="18" t="str">
        <f t="shared" ca="1" si="2"/>
        <v>ATRASADO</v>
      </c>
      <c r="R21" s="19" t="s">
        <v>5645</v>
      </c>
    </row>
    <row r="22" spans="1:18" x14ac:dyDescent="0.2">
      <c r="A22" s="18" t="str">
        <f t="shared" si="0"/>
        <v>047542000921.23.01301</v>
      </c>
      <c r="B22" s="51" t="s">
        <v>723</v>
      </c>
      <c r="C22" s="51" t="s">
        <v>359</v>
      </c>
      <c r="D22" s="51" t="s">
        <v>45</v>
      </c>
      <c r="E22" s="51" t="s">
        <v>46</v>
      </c>
      <c r="F22" s="18" t="s">
        <v>328</v>
      </c>
      <c r="G22" s="52">
        <v>45848</v>
      </c>
      <c r="H22" s="18" t="s">
        <v>329</v>
      </c>
      <c r="I22" s="53">
        <v>1</v>
      </c>
      <c r="J22" s="54">
        <v>9.57</v>
      </c>
      <c r="K22" s="54">
        <v>114.84</v>
      </c>
      <c r="L22" s="18" t="s">
        <v>330</v>
      </c>
      <c r="M22" s="18" t="s">
        <v>331</v>
      </c>
      <c r="N22" s="55">
        <v>45884</v>
      </c>
      <c r="O22" s="18" t="str">
        <f>IFERROR(VLOOKUP(A22,'[2]RELAÇÃO DE OC''S VMI MEC 030226'!$B:$P,15,FALSE),"-")</f>
        <v>-</v>
      </c>
      <c r="P22" s="56">
        <f t="shared" ca="1" si="1"/>
        <v>192</v>
      </c>
      <c r="Q22" s="18" t="str">
        <f t="shared" ca="1" si="2"/>
        <v>ATRASADO</v>
      </c>
      <c r="R22" s="19" t="s">
        <v>5645</v>
      </c>
    </row>
    <row r="23" spans="1:18" x14ac:dyDescent="0.2">
      <c r="A23" s="18" t="str">
        <f t="shared" si="0"/>
        <v>047809001813.03.00124</v>
      </c>
      <c r="B23" s="51" t="s">
        <v>725</v>
      </c>
      <c r="C23" s="51" t="s">
        <v>363</v>
      </c>
      <c r="D23" s="51" t="s">
        <v>541</v>
      </c>
      <c r="E23" s="51" t="s">
        <v>542</v>
      </c>
      <c r="F23" s="18" t="s">
        <v>328</v>
      </c>
      <c r="G23" s="52">
        <v>45856</v>
      </c>
      <c r="H23" s="18" t="s">
        <v>329</v>
      </c>
      <c r="I23" s="53">
        <v>1</v>
      </c>
      <c r="J23" s="54">
        <v>481.71</v>
      </c>
      <c r="K23" s="54">
        <v>963.42</v>
      </c>
      <c r="L23" s="18" t="s">
        <v>330</v>
      </c>
      <c r="M23" s="18" t="s">
        <v>331</v>
      </c>
      <c r="N23" s="55">
        <v>45931</v>
      </c>
      <c r="O23" s="18" t="str">
        <f>IFERROR(VLOOKUP(A23,'[2]RELAÇÃO DE OC''S VMI MEC 030226'!$B:$P,15,FALSE),"-")</f>
        <v>-</v>
      </c>
      <c r="P23" s="56">
        <f t="shared" ca="1" si="1"/>
        <v>145</v>
      </c>
      <c r="Q23" s="18" t="str">
        <f t="shared" ca="1" si="2"/>
        <v>ATRASADO</v>
      </c>
      <c r="R23" s="19" t="s">
        <v>5645</v>
      </c>
    </row>
    <row r="24" spans="1:18" x14ac:dyDescent="0.2">
      <c r="A24" s="18" t="str">
        <f t="shared" si="0"/>
        <v>047809003513.03.00232</v>
      </c>
      <c r="B24" s="51" t="s">
        <v>725</v>
      </c>
      <c r="C24" s="51" t="s">
        <v>442</v>
      </c>
      <c r="D24" s="51" t="s">
        <v>193</v>
      </c>
      <c r="E24" s="51" t="s">
        <v>194</v>
      </c>
      <c r="F24" s="18" t="s">
        <v>328</v>
      </c>
      <c r="G24" s="52">
        <v>45856</v>
      </c>
      <c r="H24" s="18" t="s">
        <v>329</v>
      </c>
      <c r="I24" s="53">
        <v>4</v>
      </c>
      <c r="J24" s="54">
        <v>65</v>
      </c>
      <c r="K24" s="54">
        <v>260</v>
      </c>
      <c r="L24" s="18" t="s">
        <v>330</v>
      </c>
      <c r="M24" s="18" t="s">
        <v>331</v>
      </c>
      <c r="N24" s="55">
        <v>45931</v>
      </c>
      <c r="O24" s="18" t="str">
        <f>IFERROR(VLOOKUP(A24,'[2]RELAÇÃO DE OC''S VMI MEC 030226'!$B:$P,15,FALSE),"-")</f>
        <v>-</v>
      </c>
      <c r="P24" s="56">
        <f t="shared" ca="1" si="1"/>
        <v>145</v>
      </c>
      <c r="Q24" s="18" t="str">
        <f t="shared" ca="1" si="2"/>
        <v>ATRASADO</v>
      </c>
      <c r="R24" s="19" t="s">
        <v>5645</v>
      </c>
    </row>
    <row r="25" spans="1:18" x14ac:dyDescent="0.2">
      <c r="A25" s="18" t="str">
        <f t="shared" si="0"/>
        <v>047809004621.23.00222</v>
      </c>
      <c r="B25" s="51" t="s">
        <v>725</v>
      </c>
      <c r="C25" s="51" t="s">
        <v>358</v>
      </c>
      <c r="D25" s="51" t="s">
        <v>203</v>
      </c>
      <c r="E25" s="51" t="s">
        <v>204</v>
      </c>
      <c r="F25" s="18" t="s">
        <v>328</v>
      </c>
      <c r="G25" s="52">
        <v>45856</v>
      </c>
      <c r="H25" s="18" t="s">
        <v>329</v>
      </c>
      <c r="I25" s="53">
        <v>4</v>
      </c>
      <c r="J25" s="54">
        <v>125.46</v>
      </c>
      <c r="K25" s="54">
        <v>1003.68</v>
      </c>
      <c r="L25" s="18" t="s">
        <v>330</v>
      </c>
      <c r="M25" s="18" t="s">
        <v>331</v>
      </c>
      <c r="N25" s="55">
        <v>45931</v>
      </c>
      <c r="O25" s="18" t="str">
        <f>IFERROR(VLOOKUP(A25,'[2]RELAÇÃO DE OC''S VMI MEC 030226'!$B:$P,15,FALSE),"-")</f>
        <v>-</v>
      </c>
      <c r="P25" s="56">
        <f t="shared" ca="1" si="1"/>
        <v>145</v>
      </c>
      <c r="Q25" s="18" t="str">
        <f t="shared" ca="1" si="2"/>
        <v>ATRASADO</v>
      </c>
      <c r="R25" s="19" t="s">
        <v>5645</v>
      </c>
    </row>
    <row r="26" spans="1:18" x14ac:dyDescent="0.2">
      <c r="A26" s="18" t="str">
        <f t="shared" si="0"/>
        <v>047809013021.23.04635</v>
      </c>
      <c r="B26" s="51" t="s">
        <v>725</v>
      </c>
      <c r="C26" s="51" t="s">
        <v>711</v>
      </c>
      <c r="D26" s="51" t="s">
        <v>261</v>
      </c>
      <c r="E26" s="51" t="s">
        <v>262</v>
      </c>
      <c r="F26" s="18" t="s">
        <v>328</v>
      </c>
      <c r="G26" s="52">
        <v>45856</v>
      </c>
      <c r="H26" s="18" t="s">
        <v>329</v>
      </c>
      <c r="I26" s="53">
        <v>2</v>
      </c>
      <c r="J26" s="54">
        <v>337.04</v>
      </c>
      <c r="K26" s="54">
        <v>674.08</v>
      </c>
      <c r="L26" s="18" t="s">
        <v>330</v>
      </c>
      <c r="M26" s="18" t="s">
        <v>331</v>
      </c>
      <c r="N26" s="55">
        <v>45931</v>
      </c>
      <c r="O26" s="18" t="str">
        <f>IFERROR(VLOOKUP(A26,'[2]RELAÇÃO DE OC''S VMI MEC 030226'!$B:$P,15,FALSE),"-")</f>
        <v>-</v>
      </c>
      <c r="P26" s="56">
        <f t="shared" ca="1" si="1"/>
        <v>145</v>
      </c>
      <c r="Q26" s="18" t="str">
        <f t="shared" ca="1" si="2"/>
        <v>ATRASADO</v>
      </c>
      <c r="R26" s="19" t="s">
        <v>5645</v>
      </c>
    </row>
    <row r="27" spans="1:18" x14ac:dyDescent="0.2">
      <c r="A27" s="18" t="str">
        <f t="shared" si="0"/>
        <v>047809015233.14.10274.00</v>
      </c>
      <c r="B27" s="51" t="s">
        <v>725</v>
      </c>
      <c r="C27" s="51" t="s">
        <v>745</v>
      </c>
      <c r="D27" s="51" t="s">
        <v>690</v>
      </c>
      <c r="E27" s="51" t="s">
        <v>691</v>
      </c>
      <c r="F27" s="18" t="s">
        <v>328</v>
      </c>
      <c r="G27" s="52">
        <v>45856</v>
      </c>
      <c r="H27" s="18" t="s">
        <v>329</v>
      </c>
      <c r="I27" s="53">
        <v>1</v>
      </c>
      <c r="J27" s="54">
        <v>685.4</v>
      </c>
      <c r="K27" s="54">
        <v>1370.8</v>
      </c>
      <c r="L27" s="18" t="s">
        <v>330</v>
      </c>
      <c r="M27" s="18" t="s">
        <v>331</v>
      </c>
      <c r="N27" s="55">
        <v>45931</v>
      </c>
      <c r="O27" s="18" t="str">
        <f>IFERROR(VLOOKUP(A27,'[2]RELAÇÃO DE OC''S VMI MEC 030226'!$B:$P,15,FALSE),"-")</f>
        <v>-</v>
      </c>
      <c r="P27" s="56">
        <f t="shared" ca="1" si="1"/>
        <v>145</v>
      </c>
      <c r="Q27" s="18" t="str">
        <f t="shared" ca="1" si="2"/>
        <v>ATRASADO</v>
      </c>
      <c r="R27" s="19" t="s">
        <v>5645</v>
      </c>
    </row>
    <row r="28" spans="1:18" x14ac:dyDescent="0.2">
      <c r="A28" s="18" t="str">
        <f t="shared" si="0"/>
        <v>047809015433.99.10024.00</v>
      </c>
      <c r="B28" s="51" t="s">
        <v>725</v>
      </c>
      <c r="C28" s="51" t="s">
        <v>747</v>
      </c>
      <c r="D28" s="51" t="s">
        <v>516</v>
      </c>
      <c r="E28" s="51" t="s">
        <v>517</v>
      </c>
      <c r="F28" s="18" t="s">
        <v>328</v>
      </c>
      <c r="G28" s="52">
        <v>45856</v>
      </c>
      <c r="H28" s="18" t="s">
        <v>329</v>
      </c>
      <c r="I28" s="53">
        <v>1</v>
      </c>
      <c r="J28" s="54">
        <v>5.98</v>
      </c>
      <c r="K28" s="54">
        <v>59.8</v>
      </c>
      <c r="L28" s="18" t="s">
        <v>330</v>
      </c>
      <c r="M28" s="18" t="s">
        <v>331</v>
      </c>
      <c r="N28" s="55">
        <v>45931</v>
      </c>
      <c r="O28" s="18" t="str">
        <f>IFERROR(VLOOKUP(A28,'[2]RELAÇÃO DE OC''S VMI MEC 030226'!$B:$P,15,FALSE),"-")</f>
        <v>-</v>
      </c>
      <c r="P28" s="56">
        <f t="shared" ca="1" si="1"/>
        <v>145</v>
      </c>
      <c r="Q28" s="18" t="str">
        <f t="shared" ca="1" si="2"/>
        <v>ATRASADO</v>
      </c>
      <c r="R28" s="19" t="s">
        <v>5645</v>
      </c>
    </row>
    <row r="29" spans="1:18" x14ac:dyDescent="0.2">
      <c r="A29" s="18" t="str">
        <f t="shared" si="0"/>
        <v>047973003421.23.02280</v>
      </c>
      <c r="B29" s="51" t="s">
        <v>748</v>
      </c>
      <c r="C29" s="51" t="s">
        <v>356</v>
      </c>
      <c r="D29" s="51" t="s">
        <v>134</v>
      </c>
      <c r="E29" s="51" t="s">
        <v>166</v>
      </c>
      <c r="F29" s="18" t="s">
        <v>328</v>
      </c>
      <c r="G29" s="52">
        <v>45861</v>
      </c>
      <c r="H29" s="18" t="s">
        <v>329</v>
      </c>
      <c r="I29" s="53">
        <v>1</v>
      </c>
      <c r="J29" s="54">
        <v>65.319999999999993</v>
      </c>
      <c r="K29" s="54">
        <v>65.319999999999993</v>
      </c>
      <c r="L29" s="18" t="s">
        <v>330</v>
      </c>
      <c r="M29" s="18" t="s">
        <v>331</v>
      </c>
      <c r="N29" s="55">
        <v>45922</v>
      </c>
      <c r="O29" s="18" t="str">
        <f>IFERROR(VLOOKUP(A29,'[2]RELAÇÃO DE OC''S VMI MEC 030226'!$B:$P,15,FALSE),"-")</f>
        <v>-</v>
      </c>
      <c r="P29" s="56">
        <f t="shared" ca="1" si="1"/>
        <v>154</v>
      </c>
      <c r="Q29" s="18" t="str">
        <f t="shared" ca="1" si="2"/>
        <v>ATRASADO</v>
      </c>
      <c r="R29" s="19" t="s">
        <v>5645</v>
      </c>
    </row>
    <row r="30" spans="1:18" x14ac:dyDescent="0.2">
      <c r="A30" s="18" t="str">
        <f t="shared" si="0"/>
        <v>047973010033.03.10306.02</v>
      </c>
      <c r="B30" s="51" t="s">
        <v>748</v>
      </c>
      <c r="C30" s="51" t="s">
        <v>445</v>
      </c>
      <c r="D30" s="51" t="s">
        <v>816</v>
      </c>
      <c r="E30" s="51" t="s">
        <v>817</v>
      </c>
      <c r="F30" s="18" t="s">
        <v>328</v>
      </c>
      <c r="G30" s="52">
        <v>45861</v>
      </c>
      <c r="H30" s="18" t="s">
        <v>329</v>
      </c>
      <c r="I30" s="53">
        <v>1</v>
      </c>
      <c r="J30" s="54">
        <v>38.82</v>
      </c>
      <c r="K30" s="54">
        <v>194.1</v>
      </c>
      <c r="L30" s="18" t="s">
        <v>330</v>
      </c>
      <c r="M30" s="18" t="s">
        <v>331</v>
      </c>
      <c r="N30" s="55">
        <v>45922</v>
      </c>
      <c r="O30" s="18" t="str">
        <f>IFERROR(VLOOKUP(A30,'[2]RELAÇÃO DE OC''S VMI MEC 030226'!$B:$P,15,FALSE),"-")</f>
        <v>-</v>
      </c>
      <c r="P30" s="56">
        <f t="shared" ca="1" si="1"/>
        <v>154</v>
      </c>
      <c r="Q30" s="18" t="str">
        <f t="shared" ca="1" si="2"/>
        <v>ATRASADO</v>
      </c>
      <c r="R30" s="19" t="s">
        <v>5645</v>
      </c>
    </row>
    <row r="31" spans="1:18" x14ac:dyDescent="0.2">
      <c r="A31" s="18" t="str">
        <f t="shared" si="0"/>
        <v>047973015433.99.10023.00</v>
      </c>
      <c r="B31" s="51" t="s">
        <v>748</v>
      </c>
      <c r="C31" s="51" t="s">
        <v>747</v>
      </c>
      <c r="D31" s="51" t="s">
        <v>514</v>
      </c>
      <c r="E31" s="51" t="s">
        <v>515</v>
      </c>
      <c r="F31" s="18" t="s">
        <v>328</v>
      </c>
      <c r="G31" s="52">
        <v>45861</v>
      </c>
      <c r="H31" s="18" t="s">
        <v>329</v>
      </c>
      <c r="I31" s="53">
        <v>146</v>
      </c>
      <c r="J31" s="54">
        <v>5.15</v>
      </c>
      <c r="K31" s="54">
        <v>751.9</v>
      </c>
      <c r="L31" s="18" t="s">
        <v>330</v>
      </c>
      <c r="M31" s="18" t="s">
        <v>331</v>
      </c>
      <c r="N31" s="55">
        <v>45922</v>
      </c>
      <c r="O31" s="18" t="str">
        <f>IFERROR(VLOOKUP(A31,'[2]RELAÇÃO DE OC''S VMI MEC 030226'!$B:$P,15,FALSE),"-")</f>
        <v>-</v>
      </c>
      <c r="P31" s="56">
        <f t="shared" ca="1" si="1"/>
        <v>154</v>
      </c>
      <c r="Q31" s="18" t="str">
        <f t="shared" ca="1" si="2"/>
        <v>ATRASADO</v>
      </c>
      <c r="R31" s="19" t="s">
        <v>5645</v>
      </c>
    </row>
    <row r="32" spans="1:18" x14ac:dyDescent="0.2">
      <c r="A32" s="18" t="str">
        <f t="shared" si="0"/>
        <v>048098000921.23.01023</v>
      </c>
      <c r="B32" s="51" t="s">
        <v>853</v>
      </c>
      <c r="C32" s="51" t="s">
        <v>359</v>
      </c>
      <c r="D32" s="51" t="s">
        <v>859</v>
      </c>
      <c r="E32" s="51" t="s">
        <v>860</v>
      </c>
      <c r="F32" s="18" t="s">
        <v>328</v>
      </c>
      <c r="G32" s="52">
        <v>45868</v>
      </c>
      <c r="H32" s="18" t="s">
        <v>329</v>
      </c>
      <c r="I32" s="53">
        <v>4</v>
      </c>
      <c r="J32" s="54">
        <v>22</v>
      </c>
      <c r="K32" s="54">
        <v>88</v>
      </c>
      <c r="L32" s="18" t="s">
        <v>330</v>
      </c>
      <c r="M32" s="18" t="s">
        <v>331</v>
      </c>
      <c r="N32" s="55">
        <v>45915</v>
      </c>
      <c r="O32" s="18" t="str">
        <f>IFERROR(VLOOKUP(A32,'[2]RELAÇÃO DE OC''S VMI MEC 030226'!$B:$P,15,FALSE),"-")</f>
        <v>-</v>
      </c>
      <c r="P32" s="56">
        <f t="shared" ca="1" si="1"/>
        <v>161</v>
      </c>
      <c r="Q32" s="18" t="str">
        <f t="shared" ca="1" si="2"/>
        <v>ATRASADO</v>
      </c>
      <c r="R32" s="19" t="s">
        <v>5645</v>
      </c>
    </row>
    <row r="33" spans="1:18" x14ac:dyDescent="0.2">
      <c r="A33" s="18" t="str">
        <f t="shared" si="0"/>
        <v>048098001021.23.01026</v>
      </c>
      <c r="B33" s="51" t="s">
        <v>853</v>
      </c>
      <c r="C33" s="51" t="s">
        <v>387</v>
      </c>
      <c r="D33" s="51" t="s">
        <v>861</v>
      </c>
      <c r="E33" s="51" t="s">
        <v>862</v>
      </c>
      <c r="F33" s="18" t="s">
        <v>328</v>
      </c>
      <c r="G33" s="52">
        <v>45868</v>
      </c>
      <c r="H33" s="18" t="s">
        <v>329</v>
      </c>
      <c r="I33" s="53">
        <v>1</v>
      </c>
      <c r="J33" s="54">
        <v>18.68</v>
      </c>
      <c r="K33" s="54">
        <v>130.76</v>
      </c>
      <c r="L33" s="18" t="s">
        <v>330</v>
      </c>
      <c r="M33" s="18" t="s">
        <v>331</v>
      </c>
      <c r="N33" s="55">
        <v>45915</v>
      </c>
      <c r="O33" s="18" t="str">
        <f>IFERROR(VLOOKUP(A33,'[2]RELAÇÃO DE OC''S VMI MEC 030226'!$B:$P,15,FALSE),"-")</f>
        <v>-</v>
      </c>
      <c r="P33" s="56">
        <f t="shared" ca="1" si="1"/>
        <v>161</v>
      </c>
      <c r="Q33" s="18" t="str">
        <f t="shared" ca="1" si="2"/>
        <v>ATRASADO</v>
      </c>
      <c r="R33" s="19" t="s">
        <v>5645</v>
      </c>
    </row>
    <row r="34" spans="1:18" x14ac:dyDescent="0.2">
      <c r="A34" s="18" t="str">
        <f t="shared" si="0"/>
        <v>048653000121.23.00879</v>
      </c>
      <c r="B34" s="51" t="s">
        <v>895</v>
      </c>
      <c r="C34" s="51" t="s">
        <v>438</v>
      </c>
      <c r="D34" s="51" t="s">
        <v>205</v>
      </c>
      <c r="E34" s="51" t="s">
        <v>896</v>
      </c>
      <c r="F34" s="18" t="s">
        <v>328</v>
      </c>
      <c r="G34" s="52">
        <v>45895</v>
      </c>
      <c r="H34" s="18" t="s">
        <v>2149</v>
      </c>
      <c r="I34" s="53">
        <v>1</v>
      </c>
      <c r="J34" s="54">
        <v>74</v>
      </c>
      <c r="K34" s="54">
        <v>17020</v>
      </c>
      <c r="L34" s="18" t="s">
        <v>330</v>
      </c>
      <c r="M34" s="18" t="s">
        <v>331</v>
      </c>
      <c r="N34" s="55">
        <v>45954</v>
      </c>
      <c r="O34" s="18" t="str">
        <f>IFERROR(VLOOKUP(A34,'[2]RELAÇÃO DE OC''S VMI MEC 030226'!$B:$P,15,FALSE),"-")</f>
        <v>-</v>
      </c>
      <c r="P34" s="56">
        <f t="shared" ca="1" si="1"/>
        <v>122</v>
      </c>
      <c r="Q34" s="18" t="str">
        <f t="shared" ca="1" si="2"/>
        <v>ATRASADO</v>
      </c>
      <c r="R34" s="19" t="s">
        <v>5645</v>
      </c>
    </row>
    <row r="35" spans="1:18" x14ac:dyDescent="0.2">
      <c r="A35" s="18" t="str">
        <f t="shared" si="0"/>
        <v>048653002721.23.01302</v>
      </c>
      <c r="B35" s="51" t="s">
        <v>895</v>
      </c>
      <c r="C35" s="51" t="s">
        <v>367</v>
      </c>
      <c r="D35" s="51" t="s">
        <v>47</v>
      </c>
      <c r="E35" s="51" t="s">
        <v>48</v>
      </c>
      <c r="F35" s="18" t="s">
        <v>328</v>
      </c>
      <c r="G35" s="52">
        <v>45895</v>
      </c>
      <c r="H35" s="18" t="s">
        <v>2149</v>
      </c>
      <c r="I35" s="53">
        <v>5</v>
      </c>
      <c r="J35" s="54">
        <v>4.51</v>
      </c>
      <c r="K35" s="54">
        <v>54.12</v>
      </c>
      <c r="L35" s="18" t="s">
        <v>330</v>
      </c>
      <c r="M35" s="18" t="s">
        <v>331</v>
      </c>
      <c r="N35" s="55">
        <v>45954</v>
      </c>
      <c r="O35" s="18" t="str">
        <f>IFERROR(VLOOKUP(A35,'[2]RELAÇÃO DE OC''S VMI MEC 030226'!$B:$P,15,FALSE),"-")</f>
        <v>-</v>
      </c>
      <c r="P35" s="56">
        <f t="shared" ca="1" si="1"/>
        <v>122</v>
      </c>
      <c r="Q35" s="18" t="str">
        <f t="shared" ca="1" si="2"/>
        <v>ATRASADO</v>
      </c>
      <c r="R35" s="19" t="s">
        <v>5645</v>
      </c>
    </row>
    <row r="36" spans="1:18" x14ac:dyDescent="0.2">
      <c r="A36" s="18" t="str">
        <f t="shared" si="0"/>
        <v>048653004021.23.01451</v>
      </c>
      <c r="B36" s="51" t="s">
        <v>895</v>
      </c>
      <c r="C36" s="51" t="s">
        <v>397</v>
      </c>
      <c r="D36" s="51" t="s">
        <v>455</v>
      </c>
      <c r="E36" s="51" t="s">
        <v>906</v>
      </c>
      <c r="F36" s="18" t="s">
        <v>328</v>
      </c>
      <c r="G36" s="52">
        <v>45895</v>
      </c>
      <c r="H36" s="18" t="s">
        <v>2149</v>
      </c>
      <c r="I36" s="53">
        <v>8</v>
      </c>
      <c r="J36" s="54">
        <v>10.029999999999999</v>
      </c>
      <c r="K36" s="54">
        <v>80.239999999999995</v>
      </c>
      <c r="L36" s="18" t="s">
        <v>330</v>
      </c>
      <c r="M36" s="18" t="s">
        <v>331</v>
      </c>
      <c r="N36" s="55">
        <v>45954</v>
      </c>
      <c r="O36" s="18" t="str">
        <f>IFERROR(VLOOKUP(A36,'[2]RELAÇÃO DE OC''S VMI MEC 030226'!$B:$P,15,FALSE),"-")</f>
        <v>-</v>
      </c>
      <c r="P36" s="56">
        <f t="shared" ca="1" si="1"/>
        <v>122</v>
      </c>
      <c r="Q36" s="18" t="str">
        <f t="shared" ca="1" si="2"/>
        <v>ATRASADO</v>
      </c>
      <c r="R36" s="19" t="s">
        <v>5645</v>
      </c>
    </row>
    <row r="37" spans="1:18" x14ac:dyDescent="0.2">
      <c r="A37" s="18" t="str">
        <f t="shared" si="0"/>
        <v>048653004121.23.01468</v>
      </c>
      <c r="B37" s="51" t="s">
        <v>895</v>
      </c>
      <c r="C37" s="51" t="s">
        <v>398</v>
      </c>
      <c r="D37" s="51" t="s">
        <v>59</v>
      </c>
      <c r="E37" s="51" t="s">
        <v>60</v>
      </c>
      <c r="F37" s="18" t="s">
        <v>328</v>
      </c>
      <c r="G37" s="52">
        <v>45895</v>
      </c>
      <c r="H37" s="18" t="s">
        <v>2149</v>
      </c>
      <c r="I37" s="53">
        <v>64</v>
      </c>
      <c r="J37" s="54">
        <v>20.61</v>
      </c>
      <c r="K37" s="54">
        <v>1319.04</v>
      </c>
      <c r="L37" s="18" t="s">
        <v>330</v>
      </c>
      <c r="M37" s="18" t="s">
        <v>331</v>
      </c>
      <c r="N37" s="55">
        <v>45954</v>
      </c>
      <c r="O37" s="18" t="str">
        <f>IFERROR(VLOOKUP(A37,'[2]RELAÇÃO DE OC''S VMI MEC 030226'!$B:$P,15,FALSE),"-")</f>
        <v>-</v>
      </c>
      <c r="P37" s="56">
        <f t="shared" ca="1" si="1"/>
        <v>122</v>
      </c>
      <c r="Q37" s="18" t="str">
        <f t="shared" ca="1" si="2"/>
        <v>ATRASADO</v>
      </c>
      <c r="R37" s="19" t="s">
        <v>5645</v>
      </c>
    </row>
    <row r="38" spans="1:18" x14ac:dyDescent="0.2">
      <c r="A38" s="18" t="str">
        <f t="shared" si="0"/>
        <v>048653006721.23.02281</v>
      </c>
      <c r="B38" s="51" t="s">
        <v>895</v>
      </c>
      <c r="C38" s="51" t="s">
        <v>443</v>
      </c>
      <c r="D38" s="51" t="s">
        <v>70</v>
      </c>
      <c r="E38" s="51" t="s">
        <v>71</v>
      </c>
      <c r="F38" s="18" t="s">
        <v>328</v>
      </c>
      <c r="G38" s="52">
        <v>45895</v>
      </c>
      <c r="H38" s="18" t="s">
        <v>2149</v>
      </c>
      <c r="I38" s="53">
        <v>1</v>
      </c>
      <c r="J38" s="54">
        <v>634.42999999999995</v>
      </c>
      <c r="K38" s="54">
        <v>5709.87</v>
      </c>
      <c r="L38" s="18" t="s">
        <v>330</v>
      </c>
      <c r="M38" s="18" t="s">
        <v>331</v>
      </c>
      <c r="N38" s="55">
        <v>45954</v>
      </c>
      <c r="O38" s="18" t="str">
        <f>IFERROR(VLOOKUP(A38,'[2]RELAÇÃO DE OC''S VMI MEC 030226'!$B:$P,15,FALSE),"-")</f>
        <v>-</v>
      </c>
      <c r="P38" s="56">
        <f t="shared" ca="1" si="1"/>
        <v>122</v>
      </c>
      <c r="Q38" s="18" t="str">
        <f t="shared" ca="1" si="2"/>
        <v>ATRASADO</v>
      </c>
      <c r="R38" s="19" t="s">
        <v>5645</v>
      </c>
    </row>
    <row r="39" spans="1:18" x14ac:dyDescent="0.2">
      <c r="A39" s="18" t="str">
        <f t="shared" si="0"/>
        <v>048653007821.23.02784</v>
      </c>
      <c r="B39" s="51" t="s">
        <v>895</v>
      </c>
      <c r="C39" s="51" t="s">
        <v>403</v>
      </c>
      <c r="D39" s="51" t="s">
        <v>77</v>
      </c>
      <c r="E39" s="51" t="s">
        <v>78</v>
      </c>
      <c r="F39" s="18" t="s">
        <v>328</v>
      </c>
      <c r="G39" s="52">
        <v>45895</v>
      </c>
      <c r="H39" s="18" t="s">
        <v>2149</v>
      </c>
      <c r="I39" s="53">
        <v>4</v>
      </c>
      <c r="J39" s="54">
        <v>787.89</v>
      </c>
      <c r="K39" s="54">
        <v>11818.35</v>
      </c>
      <c r="L39" s="18" t="s">
        <v>330</v>
      </c>
      <c r="M39" s="18" t="s">
        <v>331</v>
      </c>
      <c r="N39" s="55">
        <v>45954</v>
      </c>
      <c r="O39" s="18" t="str">
        <f>IFERROR(VLOOKUP(A39,'[2]RELAÇÃO DE OC''S VMI MEC 030226'!$B:$P,15,FALSE),"-")</f>
        <v>-</v>
      </c>
      <c r="P39" s="56">
        <f t="shared" ca="1" si="1"/>
        <v>122</v>
      </c>
      <c r="Q39" s="18" t="str">
        <f t="shared" ca="1" si="2"/>
        <v>ATRASADO</v>
      </c>
      <c r="R39" s="19" t="s">
        <v>5645</v>
      </c>
    </row>
    <row r="40" spans="1:18" x14ac:dyDescent="0.2">
      <c r="A40" s="18" t="str">
        <f t="shared" si="0"/>
        <v>048653008021.23.02786</v>
      </c>
      <c r="B40" s="51" t="s">
        <v>895</v>
      </c>
      <c r="C40" s="51" t="s">
        <v>382</v>
      </c>
      <c r="D40" s="51" t="s">
        <v>81</v>
      </c>
      <c r="E40" s="51" t="s">
        <v>82</v>
      </c>
      <c r="F40" s="18" t="s">
        <v>328</v>
      </c>
      <c r="G40" s="52">
        <v>45895</v>
      </c>
      <c r="H40" s="18" t="s">
        <v>2149</v>
      </c>
      <c r="I40" s="53">
        <v>5</v>
      </c>
      <c r="J40" s="54">
        <v>165.23</v>
      </c>
      <c r="K40" s="54">
        <v>2643.68</v>
      </c>
      <c r="L40" s="18" t="s">
        <v>330</v>
      </c>
      <c r="M40" s="18" t="s">
        <v>331</v>
      </c>
      <c r="N40" s="55">
        <v>45954</v>
      </c>
      <c r="O40" s="18" t="str">
        <f>IFERROR(VLOOKUP(A40,'[2]RELAÇÃO DE OC''S VMI MEC 030226'!$B:$P,15,FALSE),"-")</f>
        <v>-</v>
      </c>
      <c r="P40" s="56">
        <f t="shared" ca="1" si="1"/>
        <v>122</v>
      </c>
      <c r="Q40" s="18" t="str">
        <f t="shared" ca="1" si="2"/>
        <v>ATRASADO</v>
      </c>
      <c r="R40" s="19" t="s">
        <v>5645</v>
      </c>
    </row>
    <row r="41" spans="1:18" x14ac:dyDescent="0.2">
      <c r="A41" s="18" t="str">
        <f t="shared" si="0"/>
        <v>048653008921.23.03306</v>
      </c>
      <c r="B41" s="51" t="s">
        <v>895</v>
      </c>
      <c r="C41" s="51" t="s">
        <v>341</v>
      </c>
      <c r="D41" s="51" t="s">
        <v>25</v>
      </c>
      <c r="E41" s="51" t="s">
        <v>155</v>
      </c>
      <c r="F41" s="18" t="s">
        <v>328</v>
      </c>
      <c r="G41" s="52">
        <v>45895</v>
      </c>
      <c r="H41" s="18" t="s">
        <v>2149</v>
      </c>
      <c r="I41" s="53">
        <v>3</v>
      </c>
      <c r="J41" s="54">
        <v>54.9</v>
      </c>
      <c r="K41" s="54">
        <v>274.5</v>
      </c>
      <c r="L41" s="18" t="s">
        <v>330</v>
      </c>
      <c r="M41" s="18" t="s">
        <v>331</v>
      </c>
      <c r="N41" s="55">
        <v>45954</v>
      </c>
      <c r="O41" s="18" t="str">
        <f>IFERROR(VLOOKUP(A41,'[2]RELAÇÃO DE OC''S VMI MEC 030226'!$B:$P,15,FALSE),"-")</f>
        <v>-</v>
      </c>
      <c r="P41" s="56">
        <f t="shared" ca="1" si="1"/>
        <v>122</v>
      </c>
      <c r="Q41" s="18" t="str">
        <f t="shared" ca="1" si="2"/>
        <v>ATRASADO</v>
      </c>
      <c r="R41" s="19" t="s">
        <v>5645</v>
      </c>
    </row>
    <row r="42" spans="1:18" x14ac:dyDescent="0.2">
      <c r="A42" s="18" t="str">
        <f t="shared" si="0"/>
        <v>048653010321.23.04292</v>
      </c>
      <c r="B42" s="51" t="s">
        <v>895</v>
      </c>
      <c r="C42" s="51" t="s">
        <v>342</v>
      </c>
      <c r="D42" s="51" t="s">
        <v>92</v>
      </c>
      <c r="E42" s="51" t="s">
        <v>93</v>
      </c>
      <c r="F42" s="18" t="s">
        <v>328</v>
      </c>
      <c r="G42" s="52">
        <v>45895</v>
      </c>
      <c r="H42" s="18" t="s">
        <v>2149</v>
      </c>
      <c r="I42" s="53">
        <v>2</v>
      </c>
      <c r="J42" s="54">
        <v>287.68</v>
      </c>
      <c r="K42" s="54">
        <v>2301.44</v>
      </c>
      <c r="L42" s="18" t="s">
        <v>330</v>
      </c>
      <c r="M42" s="18" t="s">
        <v>331</v>
      </c>
      <c r="N42" s="55">
        <v>45954</v>
      </c>
      <c r="O42" s="18" t="str">
        <f>IFERROR(VLOOKUP(A42,'[2]RELAÇÃO DE OC''S VMI MEC 030226'!$B:$P,15,FALSE),"-")</f>
        <v>-</v>
      </c>
      <c r="P42" s="56">
        <f t="shared" ca="1" si="1"/>
        <v>122</v>
      </c>
      <c r="Q42" s="18" t="str">
        <f t="shared" ca="1" si="2"/>
        <v>ATRASADO</v>
      </c>
      <c r="R42" s="19" t="s">
        <v>5645</v>
      </c>
    </row>
    <row r="43" spans="1:18" x14ac:dyDescent="0.2">
      <c r="A43" s="18" t="str">
        <f t="shared" si="0"/>
        <v>048653012933.08.10283.00</v>
      </c>
      <c r="B43" s="51" t="s">
        <v>895</v>
      </c>
      <c r="C43" s="51" t="s">
        <v>413</v>
      </c>
      <c r="D43" s="51" t="s">
        <v>104</v>
      </c>
      <c r="E43" s="51" t="s">
        <v>105</v>
      </c>
      <c r="F43" s="18" t="s">
        <v>328</v>
      </c>
      <c r="G43" s="52">
        <v>45895</v>
      </c>
      <c r="H43" s="18" t="s">
        <v>2149</v>
      </c>
      <c r="I43" s="53">
        <v>8</v>
      </c>
      <c r="J43" s="54">
        <v>31.2</v>
      </c>
      <c r="K43" s="54">
        <v>249.6</v>
      </c>
      <c r="L43" s="18" t="s">
        <v>330</v>
      </c>
      <c r="M43" s="18" t="s">
        <v>331</v>
      </c>
      <c r="N43" s="55">
        <v>45954</v>
      </c>
      <c r="O43" s="18" t="str">
        <f>IFERROR(VLOOKUP(A43,'[2]RELAÇÃO DE OC''S VMI MEC 030226'!$B:$P,15,FALSE),"-")</f>
        <v>-</v>
      </c>
      <c r="P43" s="56">
        <f t="shared" ca="1" si="1"/>
        <v>122</v>
      </c>
      <c r="Q43" s="18" t="str">
        <f t="shared" ca="1" si="2"/>
        <v>ATRASADO</v>
      </c>
      <c r="R43" s="19" t="s">
        <v>5645</v>
      </c>
    </row>
    <row r="44" spans="1:18" x14ac:dyDescent="0.2">
      <c r="A44" s="18" t="str">
        <f t="shared" si="0"/>
        <v>048653013033.08.10283.00</v>
      </c>
      <c r="B44" s="51" t="s">
        <v>895</v>
      </c>
      <c r="C44" s="51" t="s">
        <v>711</v>
      </c>
      <c r="D44" s="18" t="s">
        <v>104</v>
      </c>
      <c r="E44" s="18" t="s">
        <v>105</v>
      </c>
      <c r="F44" s="18" t="s">
        <v>328</v>
      </c>
      <c r="G44" s="52">
        <v>45895</v>
      </c>
      <c r="H44" s="18" t="s">
        <v>2149</v>
      </c>
      <c r="I44" s="53">
        <v>60</v>
      </c>
      <c r="J44" s="54">
        <v>31.2</v>
      </c>
      <c r="K44" s="54">
        <v>1872</v>
      </c>
      <c r="L44" s="18" t="s">
        <v>330</v>
      </c>
      <c r="M44" s="18" t="s">
        <v>331</v>
      </c>
      <c r="N44" s="55">
        <v>45954</v>
      </c>
      <c r="O44" s="18" t="str">
        <f>IFERROR(VLOOKUP(A44,'[2]RELAÇÃO DE OC''S VMI MEC 030226'!$B:$P,15,FALSE),"-")</f>
        <v>-</v>
      </c>
      <c r="P44" s="56">
        <f t="shared" ca="1" si="1"/>
        <v>122</v>
      </c>
      <c r="Q44" s="18" t="str">
        <f t="shared" ca="1" si="2"/>
        <v>ATRASADO</v>
      </c>
      <c r="R44" s="19" t="s">
        <v>5645</v>
      </c>
    </row>
    <row r="45" spans="1:18" x14ac:dyDescent="0.2">
      <c r="A45" s="18" t="str">
        <f t="shared" si="0"/>
        <v>048653013433.08.10305.00</v>
      </c>
      <c r="B45" s="51" t="s">
        <v>895</v>
      </c>
      <c r="C45" s="51" t="s">
        <v>714</v>
      </c>
      <c r="D45" s="51" t="s">
        <v>279</v>
      </c>
      <c r="E45" s="51" t="s">
        <v>280</v>
      </c>
      <c r="F45" s="18" t="s">
        <v>328</v>
      </c>
      <c r="G45" s="52">
        <v>45895</v>
      </c>
      <c r="H45" s="18" t="s">
        <v>2149</v>
      </c>
      <c r="I45" s="53">
        <v>4</v>
      </c>
      <c r="J45" s="54">
        <v>616.67999999999995</v>
      </c>
      <c r="K45" s="54">
        <v>2466.7199999999998</v>
      </c>
      <c r="L45" s="18" t="s">
        <v>330</v>
      </c>
      <c r="M45" s="18" t="s">
        <v>331</v>
      </c>
      <c r="N45" s="55">
        <v>45954</v>
      </c>
      <c r="O45" s="18" t="str">
        <f>IFERROR(VLOOKUP(A45,'[2]RELAÇÃO DE OC''S VMI MEC 030226'!$B:$P,15,FALSE),"-")</f>
        <v>-</v>
      </c>
      <c r="P45" s="56">
        <f t="shared" ca="1" si="1"/>
        <v>122</v>
      </c>
      <c r="Q45" s="18" t="str">
        <f t="shared" ca="1" si="2"/>
        <v>ATRASADO</v>
      </c>
      <c r="R45" s="19" t="s">
        <v>5645</v>
      </c>
    </row>
    <row r="46" spans="1:18" x14ac:dyDescent="0.2">
      <c r="A46" s="18" t="str">
        <f t="shared" si="0"/>
        <v>048653013633.08.10307.00</v>
      </c>
      <c r="B46" s="51" t="s">
        <v>895</v>
      </c>
      <c r="C46" s="51" t="s">
        <v>436</v>
      </c>
      <c r="D46" s="51" t="s">
        <v>282</v>
      </c>
      <c r="E46" s="51" t="s">
        <v>283</v>
      </c>
      <c r="F46" s="18" t="s">
        <v>328</v>
      </c>
      <c r="G46" s="52">
        <v>45895</v>
      </c>
      <c r="H46" s="18" t="s">
        <v>2149</v>
      </c>
      <c r="I46" s="53">
        <v>2</v>
      </c>
      <c r="J46" s="54">
        <v>657</v>
      </c>
      <c r="K46" s="54">
        <v>1971</v>
      </c>
      <c r="L46" s="18" t="s">
        <v>330</v>
      </c>
      <c r="M46" s="18" t="s">
        <v>331</v>
      </c>
      <c r="N46" s="55">
        <v>45954</v>
      </c>
      <c r="O46" s="18" t="str">
        <f>IFERROR(VLOOKUP(A46,'[2]RELAÇÃO DE OC''S VMI MEC 030226'!$B:$P,15,FALSE),"-")</f>
        <v>-</v>
      </c>
      <c r="P46" s="56">
        <f t="shared" ca="1" si="1"/>
        <v>122</v>
      </c>
      <c r="Q46" s="18" t="str">
        <f t="shared" ca="1" si="2"/>
        <v>ATRASADO</v>
      </c>
      <c r="R46" s="19" t="s">
        <v>5645</v>
      </c>
    </row>
    <row r="47" spans="1:18" x14ac:dyDescent="0.2">
      <c r="A47" s="18" t="str">
        <f t="shared" si="0"/>
        <v>048653013733.08.10307.00</v>
      </c>
      <c r="B47" s="51" t="s">
        <v>895</v>
      </c>
      <c r="C47" s="51" t="s">
        <v>715</v>
      </c>
      <c r="D47" s="18" t="s">
        <v>282</v>
      </c>
      <c r="E47" s="18" t="s">
        <v>283</v>
      </c>
      <c r="F47" s="18" t="s">
        <v>328</v>
      </c>
      <c r="G47" s="52">
        <v>45895</v>
      </c>
      <c r="H47" s="18" t="s">
        <v>2149</v>
      </c>
      <c r="I47" s="53">
        <v>5</v>
      </c>
      <c r="J47" s="54">
        <v>657</v>
      </c>
      <c r="K47" s="54">
        <v>3285</v>
      </c>
      <c r="L47" s="18" t="s">
        <v>330</v>
      </c>
      <c r="M47" s="18" t="s">
        <v>331</v>
      </c>
      <c r="N47" s="55">
        <v>45954</v>
      </c>
      <c r="O47" s="18" t="str">
        <f>IFERROR(VLOOKUP(A47,'[2]RELAÇÃO DE OC''S VMI MEC 030226'!$B:$P,15,FALSE),"-")</f>
        <v>-</v>
      </c>
      <c r="P47" s="56">
        <f t="shared" ca="1" si="1"/>
        <v>122</v>
      </c>
      <c r="Q47" s="18" t="str">
        <f t="shared" ca="1" si="2"/>
        <v>ATRASADO</v>
      </c>
      <c r="R47" s="19" t="s">
        <v>5645</v>
      </c>
    </row>
    <row r="48" spans="1:18" x14ac:dyDescent="0.2">
      <c r="A48" s="18" t="str">
        <f t="shared" si="0"/>
        <v>048653014833.20.10253.02</v>
      </c>
      <c r="B48" s="51" t="s">
        <v>895</v>
      </c>
      <c r="C48" s="51" t="s">
        <v>739</v>
      </c>
      <c r="D48" s="51" t="s">
        <v>35</v>
      </c>
      <c r="E48" s="51" t="s">
        <v>112</v>
      </c>
      <c r="F48" s="18" t="s">
        <v>328</v>
      </c>
      <c r="G48" s="52">
        <v>45895</v>
      </c>
      <c r="H48" s="18" t="s">
        <v>2149</v>
      </c>
      <c r="I48" s="53">
        <v>3</v>
      </c>
      <c r="J48" s="54">
        <v>98.5</v>
      </c>
      <c r="K48" s="54">
        <v>1280.5</v>
      </c>
      <c r="L48" s="18" t="s">
        <v>330</v>
      </c>
      <c r="M48" s="18" t="s">
        <v>331</v>
      </c>
      <c r="N48" s="55">
        <v>45954</v>
      </c>
      <c r="O48" s="18" t="str">
        <f>IFERROR(VLOOKUP(A48,'[2]RELAÇÃO DE OC''S VMI MEC 030226'!$B:$P,15,FALSE),"-")</f>
        <v>-</v>
      </c>
      <c r="P48" s="56">
        <f t="shared" ca="1" si="1"/>
        <v>122</v>
      </c>
      <c r="Q48" s="18" t="str">
        <f t="shared" ca="1" si="2"/>
        <v>ATRASADO</v>
      </c>
      <c r="R48" s="19" t="s">
        <v>5645</v>
      </c>
    </row>
    <row r="49" spans="1:18" x14ac:dyDescent="0.2">
      <c r="A49" s="18" t="str">
        <f t="shared" si="0"/>
        <v>048653014933.20.10255.01</v>
      </c>
      <c r="B49" s="51" t="s">
        <v>895</v>
      </c>
      <c r="C49" s="51" t="s">
        <v>449</v>
      </c>
      <c r="D49" s="51" t="s">
        <v>36</v>
      </c>
      <c r="E49" s="51" t="s">
        <v>39</v>
      </c>
      <c r="F49" s="18" t="s">
        <v>328</v>
      </c>
      <c r="G49" s="52">
        <v>45895</v>
      </c>
      <c r="H49" s="18" t="s">
        <v>2149</v>
      </c>
      <c r="I49" s="53">
        <v>2</v>
      </c>
      <c r="J49" s="54">
        <v>68</v>
      </c>
      <c r="K49" s="54">
        <v>816</v>
      </c>
      <c r="L49" s="18" t="s">
        <v>330</v>
      </c>
      <c r="M49" s="18" t="s">
        <v>331</v>
      </c>
      <c r="N49" s="55">
        <v>45954</v>
      </c>
      <c r="O49" s="18" t="str">
        <f>IFERROR(VLOOKUP(A49,'[2]RELAÇÃO DE OC''S VMI MEC 030226'!$B:$P,15,FALSE),"-")</f>
        <v>-</v>
      </c>
      <c r="P49" s="56">
        <f t="shared" ca="1" si="1"/>
        <v>122</v>
      </c>
      <c r="Q49" s="18" t="str">
        <f t="shared" ca="1" si="2"/>
        <v>ATRASADO</v>
      </c>
      <c r="R49" s="19" t="s">
        <v>5645</v>
      </c>
    </row>
    <row r="50" spans="1:18" x14ac:dyDescent="0.2">
      <c r="A50" s="18" t="str">
        <f t="shared" si="0"/>
        <v>048978001033.20.10251.02</v>
      </c>
      <c r="B50" s="51" t="s">
        <v>960</v>
      </c>
      <c r="C50" s="51" t="s">
        <v>387</v>
      </c>
      <c r="D50" s="51" t="s">
        <v>34</v>
      </c>
      <c r="E50" s="51" t="s">
        <v>111</v>
      </c>
      <c r="F50" s="18" t="s">
        <v>328</v>
      </c>
      <c r="G50" s="52">
        <v>45909</v>
      </c>
      <c r="H50" s="18" t="s">
        <v>329</v>
      </c>
      <c r="I50" s="53">
        <v>2</v>
      </c>
      <c r="J50" s="54">
        <v>98.5</v>
      </c>
      <c r="K50" s="54">
        <v>197</v>
      </c>
      <c r="L50" s="18" t="s">
        <v>330</v>
      </c>
      <c r="M50" s="18" t="s">
        <v>331</v>
      </c>
      <c r="N50" s="55">
        <v>45946</v>
      </c>
      <c r="O50" s="18" t="str">
        <f>IFERROR(VLOOKUP(A50,'[2]RELAÇÃO DE OC''S VMI MEC 030226'!$B:$P,15,FALSE),"-")</f>
        <v>-</v>
      </c>
      <c r="P50" s="56">
        <f t="shared" ca="1" si="1"/>
        <v>130</v>
      </c>
      <c r="Q50" s="18" t="str">
        <f t="shared" ca="1" si="2"/>
        <v>ATRASADO</v>
      </c>
      <c r="R50" s="19" t="s">
        <v>5645</v>
      </c>
    </row>
    <row r="51" spans="1:18" x14ac:dyDescent="0.2">
      <c r="A51" s="18" t="str">
        <f t="shared" si="0"/>
        <v>049117000113.01.00054</v>
      </c>
      <c r="B51" s="51" t="s">
        <v>961</v>
      </c>
      <c r="C51" s="51" t="s">
        <v>438</v>
      </c>
      <c r="D51" s="51" t="s">
        <v>726</v>
      </c>
      <c r="E51" s="51" t="s">
        <v>727</v>
      </c>
      <c r="F51" s="18" t="s">
        <v>328</v>
      </c>
      <c r="G51" s="52">
        <v>45915</v>
      </c>
      <c r="H51" s="18" t="s">
        <v>329</v>
      </c>
      <c r="I51" s="53">
        <v>2</v>
      </c>
      <c r="J51" s="54">
        <v>7.6</v>
      </c>
      <c r="K51" s="54">
        <v>15.2</v>
      </c>
      <c r="L51" s="18" t="s">
        <v>330</v>
      </c>
      <c r="M51" s="18" t="s">
        <v>331</v>
      </c>
      <c r="N51" s="55">
        <v>45985</v>
      </c>
      <c r="O51" s="18" t="str">
        <f>IFERROR(VLOOKUP(A51,'[2]RELAÇÃO DE OC''S VMI MEC 030226'!$B:$P,15,FALSE),"-")</f>
        <v>-</v>
      </c>
      <c r="P51" s="56">
        <f t="shared" ca="1" si="1"/>
        <v>91</v>
      </c>
      <c r="Q51" s="18" t="str">
        <f t="shared" ca="1" si="2"/>
        <v>ATRASADO</v>
      </c>
      <c r="R51" s="19" t="s">
        <v>5645</v>
      </c>
    </row>
    <row r="52" spans="1:18" x14ac:dyDescent="0.2">
      <c r="A52" s="18" t="str">
        <f t="shared" si="0"/>
        <v>049117000313.03.00055</v>
      </c>
      <c r="B52" s="51" t="s">
        <v>961</v>
      </c>
      <c r="C52" s="51" t="s">
        <v>354</v>
      </c>
      <c r="D52" s="51" t="s">
        <v>523</v>
      </c>
      <c r="E52" s="51" t="s">
        <v>524</v>
      </c>
      <c r="F52" s="18" t="s">
        <v>328</v>
      </c>
      <c r="G52" s="52">
        <v>45915</v>
      </c>
      <c r="H52" s="18" t="s">
        <v>329</v>
      </c>
      <c r="I52" s="53">
        <v>2</v>
      </c>
      <c r="J52" s="54">
        <v>74.2</v>
      </c>
      <c r="K52" s="54">
        <v>148.4</v>
      </c>
      <c r="L52" s="18" t="s">
        <v>330</v>
      </c>
      <c r="M52" s="18" t="s">
        <v>331</v>
      </c>
      <c r="N52" s="55">
        <v>45985</v>
      </c>
      <c r="O52" s="18" t="str">
        <f>IFERROR(VLOOKUP(A52,'[2]RELAÇÃO DE OC''S VMI MEC 030226'!$B:$P,15,FALSE),"-")</f>
        <v>-</v>
      </c>
      <c r="P52" s="56">
        <f t="shared" ca="1" si="1"/>
        <v>91</v>
      </c>
      <c r="Q52" s="18" t="str">
        <f t="shared" ca="1" si="2"/>
        <v>ATRASADO</v>
      </c>
      <c r="R52" s="19" t="s">
        <v>5645</v>
      </c>
    </row>
    <row r="53" spans="1:18" x14ac:dyDescent="0.2">
      <c r="A53" s="18" t="str">
        <f t="shared" si="0"/>
        <v>049117000413.03.00056</v>
      </c>
      <c r="B53" s="51" t="s">
        <v>961</v>
      </c>
      <c r="C53" s="51" t="s">
        <v>417</v>
      </c>
      <c r="D53" s="51" t="s">
        <v>525</v>
      </c>
      <c r="E53" s="51" t="s">
        <v>526</v>
      </c>
      <c r="F53" s="18" t="s">
        <v>328</v>
      </c>
      <c r="G53" s="52">
        <v>45915</v>
      </c>
      <c r="H53" s="18" t="s">
        <v>329</v>
      </c>
      <c r="I53" s="53">
        <v>2</v>
      </c>
      <c r="J53" s="54">
        <v>142.19999999999999</v>
      </c>
      <c r="K53" s="54">
        <v>284.39999999999998</v>
      </c>
      <c r="L53" s="18" t="s">
        <v>330</v>
      </c>
      <c r="M53" s="18" t="s">
        <v>331</v>
      </c>
      <c r="N53" s="55">
        <v>45985</v>
      </c>
      <c r="O53" s="18" t="str">
        <f>IFERROR(VLOOKUP(A53,'[2]RELAÇÃO DE OC''S VMI MEC 030226'!$B:$P,15,FALSE),"-")</f>
        <v>-</v>
      </c>
      <c r="P53" s="56">
        <f t="shared" ca="1" si="1"/>
        <v>91</v>
      </c>
      <c r="Q53" s="18" t="str">
        <f t="shared" ca="1" si="2"/>
        <v>ATRASADO</v>
      </c>
      <c r="R53" s="19" t="s">
        <v>5645</v>
      </c>
    </row>
    <row r="54" spans="1:18" x14ac:dyDescent="0.2">
      <c r="A54" s="18" t="str">
        <f t="shared" si="0"/>
        <v>049117000713.03.00062</v>
      </c>
      <c r="B54" s="51" t="s">
        <v>961</v>
      </c>
      <c r="C54" s="51" t="s">
        <v>360</v>
      </c>
      <c r="D54" s="51" t="s">
        <v>529</v>
      </c>
      <c r="E54" s="51" t="s">
        <v>530</v>
      </c>
      <c r="F54" s="18" t="s">
        <v>328</v>
      </c>
      <c r="G54" s="52">
        <v>45915</v>
      </c>
      <c r="H54" s="18" t="s">
        <v>329</v>
      </c>
      <c r="I54" s="53">
        <v>1</v>
      </c>
      <c r="J54" s="54">
        <v>145.1</v>
      </c>
      <c r="K54" s="54">
        <v>145.1</v>
      </c>
      <c r="L54" s="18" t="s">
        <v>330</v>
      </c>
      <c r="M54" s="18" t="s">
        <v>331</v>
      </c>
      <c r="N54" s="55">
        <v>45985</v>
      </c>
      <c r="O54" s="18" t="str">
        <f>IFERROR(VLOOKUP(A54,'[2]RELAÇÃO DE OC''S VMI MEC 030226'!$B:$P,15,FALSE),"-")</f>
        <v>-</v>
      </c>
      <c r="P54" s="56">
        <f t="shared" ca="1" si="1"/>
        <v>91</v>
      </c>
      <c r="Q54" s="18" t="str">
        <f t="shared" ca="1" si="2"/>
        <v>ATRASADO</v>
      </c>
      <c r="R54" s="19" t="s">
        <v>5645</v>
      </c>
    </row>
    <row r="55" spans="1:18" x14ac:dyDescent="0.2">
      <c r="A55" s="18" t="str">
        <f t="shared" si="0"/>
        <v>049117000813.03.00065</v>
      </c>
      <c r="B55" s="51" t="s">
        <v>961</v>
      </c>
      <c r="C55" s="51" t="s">
        <v>361</v>
      </c>
      <c r="D55" s="51" t="s">
        <v>177</v>
      </c>
      <c r="E55" s="51" t="s">
        <v>178</v>
      </c>
      <c r="F55" s="18" t="s">
        <v>328</v>
      </c>
      <c r="G55" s="52">
        <v>45915</v>
      </c>
      <c r="H55" s="18" t="s">
        <v>329</v>
      </c>
      <c r="I55" s="53">
        <v>16</v>
      </c>
      <c r="J55" s="54">
        <v>24.27</v>
      </c>
      <c r="K55" s="54">
        <v>388.32</v>
      </c>
      <c r="L55" s="18" t="s">
        <v>330</v>
      </c>
      <c r="M55" s="18" t="s">
        <v>331</v>
      </c>
      <c r="N55" s="55">
        <v>45985</v>
      </c>
      <c r="O55" s="18" t="str">
        <f>IFERROR(VLOOKUP(A55,'[2]RELAÇÃO DE OC''S VMI MEC 030226'!$B:$P,15,FALSE),"-")</f>
        <v>-</v>
      </c>
      <c r="P55" s="56">
        <f t="shared" ca="1" si="1"/>
        <v>91</v>
      </c>
      <c r="Q55" s="18" t="str">
        <f t="shared" ca="1" si="2"/>
        <v>ATRASADO</v>
      </c>
      <c r="R55" s="19" t="s">
        <v>5645</v>
      </c>
    </row>
    <row r="56" spans="1:18" x14ac:dyDescent="0.2">
      <c r="A56" s="18" t="str">
        <f t="shared" si="0"/>
        <v>049117001113.03.00080</v>
      </c>
      <c r="B56" s="51" t="s">
        <v>961</v>
      </c>
      <c r="C56" s="51" t="s">
        <v>332</v>
      </c>
      <c r="D56" s="51" t="s">
        <v>534</v>
      </c>
      <c r="E56" s="51" t="s">
        <v>535</v>
      </c>
      <c r="F56" s="18" t="s">
        <v>328</v>
      </c>
      <c r="G56" s="52">
        <v>45915</v>
      </c>
      <c r="H56" s="18" t="s">
        <v>329</v>
      </c>
      <c r="I56" s="53">
        <v>1</v>
      </c>
      <c r="J56" s="54">
        <v>5147.33</v>
      </c>
      <c r="K56" s="54">
        <v>5147.33</v>
      </c>
      <c r="L56" s="18" t="s">
        <v>330</v>
      </c>
      <c r="M56" s="18" t="s">
        <v>331</v>
      </c>
      <c r="N56" s="55">
        <v>45985</v>
      </c>
      <c r="O56" s="18" t="str">
        <f>IFERROR(VLOOKUP(A56,'[2]RELAÇÃO DE OC''S VMI MEC 030226'!$B:$P,15,FALSE),"-")</f>
        <v>-</v>
      </c>
      <c r="P56" s="56">
        <f t="shared" ca="1" si="1"/>
        <v>91</v>
      </c>
      <c r="Q56" s="18" t="str">
        <f t="shared" ca="1" si="2"/>
        <v>ATRASADO</v>
      </c>
      <c r="R56" s="19" t="s">
        <v>5645</v>
      </c>
    </row>
    <row r="57" spans="1:18" x14ac:dyDescent="0.2">
      <c r="A57" s="18" t="str">
        <f t="shared" si="0"/>
        <v>049117001513.03.00111</v>
      </c>
      <c r="B57" s="51" t="s">
        <v>961</v>
      </c>
      <c r="C57" s="51" t="s">
        <v>439</v>
      </c>
      <c r="D57" s="51" t="s">
        <v>179</v>
      </c>
      <c r="E57" s="51" t="s">
        <v>180</v>
      </c>
      <c r="F57" s="18" t="s">
        <v>328</v>
      </c>
      <c r="G57" s="52">
        <v>45915</v>
      </c>
      <c r="H57" s="18" t="s">
        <v>329</v>
      </c>
      <c r="I57" s="53">
        <v>2</v>
      </c>
      <c r="J57" s="54">
        <v>336.7</v>
      </c>
      <c r="K57" s="54">
        <v>673.4</v>
      </c>
      <c r="L57" s="18" t="s">
        <v>330</v>
      </c>
      <c r="M57" s="18" t="s">
        <v>331</v>
      </c>
      <c r="N57" s="55">
        <v>45985</v>
      </c>
      <c r="O57" s="18" t="str">
        <f>IFERROR(VLOOKUP(A57,'[2]RELAÇÃO DE OC''S VMI MEC 030226'!$B:$P,15,FALSE),"-")</f>
        <v>-</v>
      </c>
      <c r="P57" s="56">
        <f t="shared" ca="1" si="1"/>
        <v>91</v>
      </c>
      <c r="Q57" s="18" t="str">
        <f t="shared" ca="1" si="2"/>
        <v>ATRASADO</v>
      </c>
      <c r="R57" s="19" t="s">
        <v>5645</v>
      </c>
    </row>
    <row r="58" spans="1:18" x14ac:dyDescent="0.2">
      <c r="A58" s="18" t="str">
        <f t="shared" si="0"/>
        <v>049117001613.03.00112</v>
      </c>
      <c r="B58" s="51" t="s">
        <v>961</v>
      </c>
      <c r="C58" s="51" t="s">
        <v>440</v>
      </c>
      <c r="D58" s="51" t="s">
        <v>120</v>
      </c>
      <c r="E58" s="51" t="s">
        <v>136</v>
      </c>
      <c r="F58" s="18" t="s">
        <v>328</v>
      </c>
      <c r="G58" s="52">
        <v>45915</v>
      </c>
      <c r="H58" s="18" t="s">
        <v>329</v>
      </c>
      <c r="I58" s="53">
        <v>2</v>
      </c>
      <c r="J58" s="54">
        <v>24.4</v>
      </c>
      <c r="K58" s="54">
        <v>48.8</v>
      </c>
      <c r="L58" s="18" t="s">
        <v>330</v>
      </c>
      <c r="M58" s="18" t="s">
        <v>331</v>
      </c>
      <c r="N58" s="55">
        <v>45985</v>
      </c>
      <c r="O58" s="18" t="str">
        <f>IFERROR(VLOOKUP(A58,'[2]RELAÇÃO DE OC''S VMI MEC 030226'!$B:$P,15,FALSE),"-")</f>
        <v>-</v>
      </c>
      <c r="P58" s="56">
        <f t="shared" ca="1" si="1"/>
        <v>91</v>
      </c>
      <c r="Q58" s="18" t="str">
        <f t="shared" ca="1" si="2"/>
        <v>ATRASADO</v>
      </c>
      <c r="R58" s="19" t="s">
        <v>5645</v>
      </c>
    </row>
    <row r="59" spans="1:18" x14ac:dyDescent="0.2">
      <c r="A59" s="18" t="str">
        <f t="shared" si="0"/>
        <v>049117001713.03.00123</v>
      </c>
      <c r="B59" s="51" t="s">
        <v>961</v>
      </c>
      <c r="C59" s="51" t="s">
        <v>351</v>
      </c>
      <c r="D59" s="51" t="s">
        <v>181</v>
      </c>
      <c r="E59" s="51" t="s">
        <v>182</v>
      </c>
      <c r="F59" s="18" t="s">
        <v>328</v>
      </c>
      <c r="G59" s="52">
        <v>45915</v>
      </c>
      <c r="H59" s="18" t="s">
        <v>329</v>
      </c>
      <c r="I59" s="53">
        <v>1</v>
      </c>
      <c r="J59" s="54">
        <v>1516.24</v>
      </c>
      <c r="K59" s="54">
        <v>1516.24</v>
      </c>
      <c r="L59" s="18" t="s">
        <v>330</v>
      </c>
      <c r="M59" s="18" t="s">
        <v>331</v>
      </c>
      <c r="N59" s="55">
        <v>45985</v>
      </c>
      <c r="O59" s="18" t="str">
        <f>IFERROR(VLOOKUP(A59,'[2]RELAÇÃO DE OC''S VMI MEC 030226'!$B:$P,15,FALSE),"-")</f>
        <v>-</v>
      </c>
      <c r="P59" s="56">
        <f t="shared" ca="1" si="1"/>
        <v>91</v>
      </c>
      <c r="Q59" s="18" t="str">
        <f t="shared" ca="1" si="2"/>
        <v>ATRASADO</v>
      </c>
      <c r="R59" s="19" t="s">
        <v>5645</v>
      </c>
    </row>
    <row r="60" spans="1:18" x14ac:dyDescent="0.2">
      <c r="A60" s="18" t="str">
        <f t="shared" si="0"/>
        <v>049117002013.03.00143</v>
      </c>
      <c r="B60" s="51" t="s">
        <v>961</v>
      </c>
      <c r="C60" s="51" t="s">
        <v>418</v>
      </c>
      <c r="D60" s="51" t="s">
        <v>183</v>
      </c>
      <c r="E60" s="51" t="s">
        <v>184</v>
      </c>
      <c r="F60" s="18" t="s">
        <v>328</v>
      </c>
      <c r="G60" s="52">
        <v>45915</v>
      </c>
      <c r="H60" s="18" t="s">
        <v>329</v>
      </c>
      <c r="I60" s="53">
        <v>1</v>
      </c>
      <c r="J60" s="54">
        <v>3194.7</v>
      </c>
      <c r="K60" s="54">
        <v>3194.7</v>
      </c>
      <c r="L60" s="18" t="s">
        <v>330</v>
      </c>
      <c r="M60" s="18" t="s">
        <v>331</v>
      </c>
      <c r="N60" s="55">
        <v>45985</v>
      </c>
      <c r="O60" s="18" t="str">
        <f>IFERROR(VLOOKUP(A60,'[2]RELAÇÃO DE OC''S VMI MEC 030226'!$B:$P,15,FALSE),"-")</f>
        <v>-</v>
      </c>
      <c r="P60" s="56">
        <f t="shared" ca="1" si="1"/>
        <v>91</v>
      </c>
      <c r="Q60" s="18" t="str">
        <f t="shared" ca="1" si="2"/>
        <v>ATRASADO</v>
      </c>
      <c r="R60" s="19" t="s">
        <v>5645</v>
      </c>
    </row>
    <row r="61" spans="1:18" x14ac:dyDescent="0.2">
      <c r="A61" s="18" t="str">
        <f t="shared" si="0"/>
        <v>049117002313.03.00165</v>
      </c>
      <c r="B61" s="51" t="s">
        <v>961</v>
      </c>
      <c r="C61" s="51" t="s">
        <v>364</v>
      </c>
      <c r="D61" s="51" t="s">
        <v>549</v>
      </c>
      <c r="E61" s="51" t="s">
        <v>550</v>
      </c>
      <c r="F61" s="18" t="s">
        <v>328</v>
      </c>
      <c r="G61" s="52">
        <v>45915</v>
      </c>
      <c r="H61" s="18" t="s">
        <v>329</v>
      </c>
      <c r="I61" s="53">
        <v>1</v>
      </c>
      <c r="J61" s="54">
        <v>5147.33</v>
      </c>
      <c r="K61" s="54">
        <v>5147.33</v>
      </c>
      <c r="L61" s="18" t="s">
        <v>330</v>
      </c>
      <c r="M61" s="18" t="s">
        <v>331</v>
      </c>
      <c r="N61" s="55">
        <v>45985</v>
      </c>
      <c r="O61" s="18" t="str">
        <f>IFERROR(VLOOKUP(A61,'[2]RELAÇÃO DE OC''S VMI MEC 030226'!$B:$P,15,FALSE),"-")</f>
        <v>-</v>
      </c>
      <c r="P61" s="56">
        <f t="shared" ca="1" si="1"/>
        <v>91</v>
      </c>
      <c r="Q61" s="18" t="str">
        <f t="shared" ca="1" si="2"/>
        <v>ATRASADO</v>
      </c>
      <c r="R61" s="19" t="s">
        <v>5645</v>
      </c>
    </row>
    <row r="62" spans="1:18" x14ac:dyDescent="0.2">
      <c r="A62" s="18" t="str">
        <f t="shared" si="0"/>
        <v>049117002413.03.00166</v>
      </c>
      <c r="B62" s="51" t="s">
        <v>961</v>
      </c>
      <c r="C62" s="51" t="s">
        <v>365</v>
      </c>
      <c r="D62" s="51" t="s">
        <v>185</v>
      </c>
      <c r="E62" s="51" t="s">
        <v>186</v>
      </c>
      <c r="F62" s="18" t="s">
        <v>328</v>
      </c>
      <c r="G62" s="52">
        <v>45915</v>
      </c>
      <c r="H62" s="18" t="s">
        <v>329</v>
      </c>
      <c r="I62" s="53">
        <v>1</v>
      </c>
      <c r="J62" s="54">
        <v>1418.87</v>
      </c>
      <c r="K62" s="54">
        <v>1418.87</v>
      </c>
      <c r="L62" s="18" t="s">
        <v>330</v>
      </c>
      <c r="M62" s="18" t="s">
        <v>331</v>
      </c>
      <c r="N62" s="55">
        <v>45985</v>
      </c>
      <c r="O62" s="18" t="str">
        <f>IFERROR(VLOOKUP(A62,'[2]RELAÇÃO DE OC''S VMI MEC 030226'!$B:$P,15,FALSE),"-")</f>
        <v>-</v>
      </c>
      <c r="P62" s="56">
        <f t="shared" ca="1" si="1"/>
        <v>91</v>
      </c>
      <c r="Q62" s="18" t="str">
        <f t="shared" ca="1" si="2"/>
        <v>ATRASADO</v>
      </c>
      <c r="R62" s="19" t="s">
        <v>5645</v>
      </c>
    </row>
    <row r="63" spans="1:18" x14ac:dyDescent="0.2">
      <c r="A63" s="18" t="str">
        <f t="shared" si="0"/>
        <v>049117003113.03.00212</v>
      </c>
      <c r="B63" s="51" t="s">
        <v>961</v>
      </c>
      <c r="C63" s="51" t="s">
        <v>393</v>
      </c>
      <c r="D63" s="51" t="s">
        <v>189</v>
      </c>
      <c r="E63" s="51" t="s">
        <v>190</v>
      </c>
      <c r="F63" s="18" t="s">
        <v>328</v>
      </c>
      <c r="G63" s="52">
        <v>45915</v>
      </c>
      <c r="H63" s="18" t="s">
        <v>329</v>
      </c>
      <c r="I63" s="53">
        <v>1</v>
      </c>
      <c r="J63" s="54">
        <v>394.16</v>
      </c>
      <c r="K63" s="54">
        <v>394.16</v>
      </c>
      <c r="L63" s="18" t="s">
        <v>330</v>
      </c>
      <c r="M63" s="18" t="s">
        <v>331</v>
      </c>
      <c r="N63" s="55">
        <v>45985</v>
      </c>
      <c r="O63" s="18" t="str">
        <f>IFERROR(VLOOKUP(A63,'[2]RELAÇÃO DE OC''S VMI MEC 030226'!$B:$P,15,FALSE),"-")</f>
        <v>-</v>
      </c>
      <c r="P63" s="56">
        <f t="shared" ca="1" si="1"/>
        <v>91</v>
      </c>
      <c r="Q63" s="18" t="str">
        <f t="shared" ca="1" si="2"/>
        <v>ATRASADO</v>
      </c>
      <c r="R63" s="19" t="s">
        <v>5645</v>
      </c>
    </row>
    <row r="64" spans="1:18" x14ac:dyDescent="0.2">
      <c r="A64" s="18" t="str">
        <f t="shared" si="0"/>
        <v>049117003721.23.00198</v>
      </c>
      <c r="B64" s="51" t="s">
        <v>961</v>
      </c>
      <c r="C64" s="51" t="s">
        <v>352</v>
      </c>
      <c r="D64" s="51" t="s">
        <v>197</v>
      </c>
      <c r="E64" s="51" t="s">
        <v>198</v>
      </c>
      <c r="F64" s="18" t="s">
        <v>328</v>
      </c>
      <c r="G64" s="52">
        <v>45915</v>
      </c>
      <c r="H64" s="18" t="s">
        <v>329</v>
      </c>
      <c r="I64" s="53">
        <v>1</v>
      </c>
      <c r="J64" s="54">
        <v>77</v>
      </c>
      <c r="K64" s="54">
        <v>77</v>
      </c>
      <c r="L64" s="18" t="s">
        <v>330</v>
      </c>
      <c r="M64" s="18" t="s">
        <v>331</v>
      </c>
      <c r="N64" s="55">
        <v>45985</v>
      </c>
      <c r="O64" s="18" t="str">
        <f>IFERROR(VLOOKUP(A64,'[2]RELAÇÃO DE OC''S VMI MEC 030226'!$B:$P,15,FALSE),"-")</f>
        <v>-</v>
      </c>
      <c r="P64" s="56">
        <f t="shared" ca="1" si="1"/>
        <v>91</v>
      </c>
      <c r="Q64" s="18" t="str">
        <f t="shared" ca="1" si="2"/>
        <v>ATRASADO</v>
      </c>
      <c r="R64" s="19" t="s">
        <v>5645</v>
      </c>
    </row>
    <row r="65" spans="1:18" x14ac:dyDescent="0.2">
      <c r="A65" s="18" t="str">
        <f t="shared" si="0"/>
        <v>049117003921.23.00202</v>
      </c>
      <c r="B65" s="51" t="s">
        <v>961</v>
      </c>
      <c r="C65" s="51" t="s">
        <v>396</v>
      </c>
      <c r="D65" s="51" t="s">
        <v>567</v>
      </c>
      <c r="E65" s="51" t="s">
        <v>568</v>
      </c>
      <c r="F65" s="18" t="s">
        <v>328</v>
      </c>
      <c r="G65" s="52">
        <v>45915</v>
      </c>
      <c r="H65" s="18" t="s">
        <v>329</v>
      </c>
      <c r="I65" s="53">
        <v>1</v>
      </c>
      <c r="J65" s="54">
        <v>61.26</v>
      </c>
      <c r="K65" s="54">
        <v>61.26</v>
      </c>
      <c r="L65" s="18" t="s">
        <v>330</v>
      </c>
      <c r="M65" s="18" t="s">
        <v>331</v>
      </c>
      <c r="N65" s="55">
        <v>45985</v>
      </c>
      <c r="O65" s="18" t="str">
        <f>IFERROR(VLOOKUP(A65,'[2]RELAÇÃO DE OC''S VMI MEC 030226'!$B:$P,15,FALSE),"-")</f>
        <v>-</v>
      </c>
      <c r="P65" s="56">
        <f t="shared" ca="1" si="1"/>
        <v>91</v>
      </c>
      <c r="Q65" s="18" t="str">
        <f t="shared" ca="1" si="2"/>
        <v>ATRASADO</v>
      </c>
      <c r="R65" s="19" t="s">
        <v>5645</v>
      </c>
    </row>
    <row r="66" spans="1:18" x14ac:dyDescent="0.2">
      <c r="A66" s="18" t="str">
        <f t="shared" ref="A66:A129" si="3">B66&amp;C66&amp;D66</f>
        <v>049117005021.23.00235</v>
      </c>
      <c r="B66" s="51" t="s">
        <v>961</v>
      </c>
      <c r="C66" s="51" t="s">
        <v>373</v>
      </c>
      <c r="D66" s="51" t="s">
        <v>27</v>
      </c>
      <c r="E66" s="51" t="s">
        <v>137</v>
      </c>
      <c r="F66" s="18" t="s">
        <v>328</v>
      </c>
      <c r="G66" s="52">
        <v>45915</v>
      </c>
      <c r="H66" s="18" t="s">
        <v>329</v>
      </c>
      <c r="I66" s="53">
        <v>2</v>
      </c>
      <c r="J66" s="54">
        <v>1716.94</v>
      </c>
      <c r="K66" s="54">
        <v>3433.88</v>
      </c>
      <c r="L66" s="18" t="s">
        <v>330</v>
      </c>
      <c r="M66" s="18" t="s">
        <v>331</v>
      </c>
      <c r="N66" s="55">
        <v>45985</v>
      </c>
      <c r="O66" s="18" t="str">
        <f>IFERROR(VLOOKUP(A66,'[2]RELAÇÃO DE OC''S VMI MEC 030226'!$B:$P,15,FALSE),"-")</f>
        <v>-</v>
      </c>
      <c r="P66" s="56">
        <f t="shared" ref="P66:P129" ca="1" si="4">TODAY()-N66</f>
        <v>91</v>
      </c>
      <c r="Q66" s="18" t="str">
        <f t="shared" ref="Q66:Q129" ca="1" si="5">IF(P66&gt;0,"ATRASADO","DENTRO DO PRAZO")</f>
        <v>ATRASADO</v>
      </c>
      <c r="R66" s="19" t="s">
        <v>5645</v>
      </c>
    </row>
    <row r="67" spans="1:18" x14ac:dyDescent="0.2">
      <c r="A67" s="18" t="str">
        <f t="shared" si="3"/>
        <v>049117005121.23.00239</v>
      </c>
      <c r="B67" s="51" t="s">
        <v>961</v>
      </c>
      <c r="C67" s="51" t="s">
        <v>374</v>
      </c>
      <c r="D67" s="51" t="s">
        <v>585</v>
      </c>
      <c r="E67" s="51" t="s">
        <v>586</v>
      </c>
      <c r="F67" s="18" t="s">
        <v>328</v>
      </c>
      <c r="G67" s="52">
        <v>45915</v>
      </c>
      <c r="H67" s="18" t="s">
        <v>329</v>
      </c>
      <c r="I67" s="53">
        <v>1</v>
      </c>
      <c r="J67" s="54">
        <v>55</v>
      </c>
      <c r="K67" s="54">
        <v>55</v>
      </c>
      <c r="L67" s="18" t="s">
        <v>330</v>
      </c>
      <c r="M67" s="18" t="s">
        <v>331</v>
      </c>
      <c r="N67" s="55">
        <v>45985</v>
      </c>
      <c r="O67" s="18" t="str">
        <f>IFERROR(VLOOKUP(A67,'[2]RELAÇÃO DE OC''S VMI MEC 030226'!$B:$P,15,FALSE),"-")</f>
        <v>-</v>
      </c>
      <c r="P67" s="56">
        <f t="shared" ca="1" si="4"/>
        <v>91</v>
      </c>
      <c r="Q67" s="18" t="str">
        <f t="shared" ca="1" si="5"/>
        <v>ATRASADO</v>
      </c>
      <c r="R67" s="19" t="s">
        <v>5645</v>
      </c>
    </row>
    <row r="68" spans="1:18" x14ac:dyDescent="0.2">
      <c r="A68" s="18" t="str">
        <f t="shared" si="3"/>
        <v>049117005421.23.00250</v>
      </c>
      <c r="B68" s="51" t="s">
        <v>961</v>
      </c>
      <c r="C68" s="51" t="s">
        <v>693</v>
      </c>
      <c r="D68" s="51" t="s">
        <v>591</v>
      </c>
      <c r="E68" s="51" t="s">
        <v>592</v>
      </c>
      <c r="F68" s="18" t="s">
        <v>328</v>
      </c>
      <c r="G68" s="52">
        <v>45915</v>
      </c>
      <c r="H68" s="18" t="s">
        <v>329</v>
      </c>
      <c r="I68" s="53">
        <v>1</v>
      </c>
      <c r="J68" s="54">
        <v>51.18</v>
      </c>
      <c r="K68" s="54">
        <v>51.18</v>
      </c>
      <c r="L68" s="18" t="s">
        <v>330</v>
      </c>
      <c r="M68" s="18" t="s">
        <v>331</v>
      </c>
      <c r="N68" s="55">
        <v>45985</v>
      </c>
      <c r="O68" s="18" t="str">
        <f>IFERROR(VLOOKUP(A68,'[2]RELAÇÃO DE OC''S VMI MEC 030226'!$B:$P,15,FALSE),"-")</f>
        <v>-</v>
      </c>
      <c r="P68" s="56">
        <f t="shared" ca="1" si="4"/>
        <v>91</v>
      </c>
      <c r="Q68" s="18" t="str">
        <f t="shared" ca="1" si="5"/>
        <v>ATRASADO</v>
      </c>
      <c r="R68" s="19" t="s">
        <v>5645</v>
      </c>
    </row>
    <row r="69" spans="1:18" x14ac:dyDescent="0.2">
      <c r="A69" s="18" t="str">
        <f t="shared" si="3"/>
        <v>049117006321.23.02069</v>
      </c>
      <c r="B69" s="51" t="s">
        <v>961</v>
      </c>
      <c r="C69" s="51" t="s">
        <v>375</v>
      </c>
      <c r="D69" s="51" t="s">
        <v>208</v>
      </c>
      <c r="E69" s="51" t="s">
        <v>209</v>
      </c>
      <c r="F69" s="18" t="s">
        <v>328</v>
      </c>
      <c r="G69" s="52">
        <v>45915</v>
      </c>
      <c r="H69" s="18" t="s">
        <v>329</v>
      </c>
      <c r="I69" s="53">
        <v>2</v>
      </c>
      <c r="J69" s="54">
        <v>674.9</v>
      </c>
      <c r="K69" s="54">
        <v>1349.8</v>
      </c>
      <c r="L69" s="18" t="s">
        <v>330</v>
      </c>
      <c r="M69" s="18" t="s">
        <v>331</v>
      </c>
      <c r="N69" s="55">
        <v>45985</v>
      </c>
      <c r="O69" s="18" t="str">
        <f>IFERROR(VLOOKUP(A69,'[2]RELAÇÃO DE OC''S VMI MEC 030226'!$B:$P,15,FALSE),"-")</f>
        <v>-</v>
      </c>
      <c r="P69" s="56">
        <f t="shared" ca="1" si="4"/>
        <v>91</v>
      </c>
      <c r="Q69" s="18" t="str">
        <f t="shared" ca="1" si="5"/>
        <v>ATRASADO</v>
      </c>
      <c r="R69" s="19" t="s">
        <v>5645</v>
      </c>
    </row>
    <row r="70" spans="1:18" x14ac:dyDescent="0.2">
      <c r="A70" s="18" t="str">
        <f t="shared" si="3"/>
        <v>049117006421.23.02070</v>
      </c>
      <c r="B70" s="51" t="s">
        <v>961</v>
      </c>
      <c r="C70" s="51" t="s">
        <v>425</v>
      </c>
      <c r="D70" s="51" t="s">
        <v>210</v>
      </c>
      <c r="E70" s="51" t="s">
        <v>211</v>
      </c>
      <c r="F70" s="18" t="s">
        <v>328</v>
      </c>
      <c r="G70" s="52">
        <v>45915</v>
      </c>
      <c r="H70" s="18" t="s">
        <v>329</v>
      </c>
      <c r="I70" s="53">
        <v>1</v>
      </c>
      <c r="J70" s="54">
        <v>466</v>
      </c>
      <c r="K70" s="54">
        <v>466</v>
      </c>
      <c r="L70" s="18" t="s">
        <v>330</v>
      </c>
      <c r="M70" s="18" t="s">
        <v>331</v>
      </c>
      <c r="N70" s="55">
        <v>45985</v>
      </c>
      <c r="O70" s="18" t="str">
        <f>IFERROR(VLOOKUP(A70,'[2]RELAÇÃO DE OC''S VMI MEC 030226'!$B:$P,15,FALSE),"-")</f>
        <v>-</v>
      </c>
      <c r="P70" s="56">
        <f t="shared" ca="1" si="4"/>
        <v>91</v>
      </c>
      <c r="Q70" s="18" t="str">
        <f t="shared" ca="1" si="5"/>
        <v>ATRASADO</v>
      </c>
      <c r="R70" s="19" t="s">
        <v>5645</v>
      </c>
    </row>
    <row r="71" spans="1:18" x14ac:dyDescent="0.2">
      <c r="A71" s="18" t="str">
        <f t="shared" si="3"/>
        <v>049117007021.23.02078</v>
      </c>
      <c r="B71" s="51" t="s">
        <v>961</v>
      </c>
      <c r="C71" s="51" t="s">
        <v>426</v>
      </c>
      <c r="D71" s="51" t="s">
        <v>216</v>
      </c>
      <c r="E71" s="51" t="s">
        <v>217</v>
      </c>
      <c r="F71" s="18" t="s">
        <v>328</v>
      </c>
      <c r="G71" s="52">
        <v>45915</v>
      </c>
      <c r="H71" s="18" t="s">
        <v>329</v>
      </c>
      <c r="I71" s="53">
        <v>1</v>
      </c>
      <c r="J71" s="54">
        <v>381.2</v>
      </c>
      <c r="K71" s="54">
        <v>381.2</v>
      </c>
      <c r="L71" s="18" t="s">
        <v>330</v>
      </c>
      <c r="M71" s="18" t="s">
        <v>331</v>
      </c>
      <c r="N71" s="55">
        <v>45985</v>
      </c>
      <c r="O71" s="18" t="str">
        <f>IFERROR(VLOOKUP(A71,'[2]RELAÇÃO DE OC''S VMI MEC 030226'!$B:$P,15,FALSE),"-")</f>
        <v>-</v>
      </c>
      <c r="P71" s="56">
        <f t="shared" ca="1" si="4"/>
        <v>91</v>
      </c>
      <c r="Q71" s="18" t="str">
        <f t="shared" ca="1" si="5"/>
        <v>ATRASADO</v>
      </c>
      <c r="R71" s="19" t="s">
        <v>5645</v>
      </c>
    </row>
    <row r="72" spans="1:18" x14ac:dyDescent="0.2">
      <c r="A72" s="18" t="str">
        <f t="shared" si="3"/>
        <v>049117007821.23.02087</v>
      </c>
      <c r="B72" s="51" t="s">
        <v>961</v>
      </c>
      <c r="C72" s="51" t="s">
        <v>403</v>
      </c>
      <c r="D72" s="51" t="s">
        <v>224</v>
      </c>
      <c r="E72" s="51" t="s">
        <v>225</v>
      </c>
      <c r="F72" s="18" t="s">
        <v>328</v>
      </c>
      <c r="G72" s="52">
        <v>45915</v>
      </c>
      <c r="H72" s="18" t="s">
        <v>329</v>
      </c>
      <c r="I72" s="53">
        <v>1</v>
      </c>
      <c r="J72" s="54">
        <v>1130</v>
      </c>
      <c r="K72" s="54">
        <v>1130</v>
      </c>
      <c r="L72" s="18" t="s">
        <v>330</v>
      </c>
      <c r="M72" s="18" t="s">
        <v>331</v>
      </c>
      <c r="N72" s="55">
        <v>45985</v>
      </c>
      <c r="O72" s="18" t="str">
        <f>IFERROR(VLOOKUP(A72,'[2]RELAÇÃO DE OC''S VMI MEC 030226'!$B:$P,15,FALSE),"-")</f>
        <v>-</v>
      </c>
      <c r="P72" s="56">
        <f t="shared" ca="1" si="4"/>
        <v>91</v>
      </c>
      <c r="Q72" s="18" t="str">
        <f t="shared" ca="1" si="5"/>
        <v>ATRASADO</v>
      </c>
      <c r="R72" s="19" t="s">
        <v>5645</v>
      </c>
    </row>
    <row r="73" spans="1:18" x14ac:dyDescent="0.2">
      <c r="A73" s="18" t="str">
        <f t="shared" si="3"/>
        <v>049117007921.23.02088</v>
      </c>
      <c r="B73" s="51" t="s">
        <v>961</v>
      </c>
      <c r="C73" s="51" t="s">
        <v>381</v>
      </c>
      <c r="D73" s="51" t="s">
        <v>627</v>
      </c>
      <c r="E73" s="51" t="s">
        <v>628</v>
      </c>
      <c r="F73" s="18" t="s">
        <v>328</v>
      </c>
      <c r="G73" s="52">
        <v>45915</v>
      </c>
      <c r="H73" s="18" t="s">
        <v>329</v>
      </c>
      <c r="I73" s="53">
        <v>2</v>
      </c>
      <c r="J73" s="54">
        <v>324</v>
      </c>
      <c r="K73" s="54">
        <v>648</v>
      </c>
      <c r="L73" s="18" t="s">
        <v>330</v>
      </c>
      <c r="M73" s="18" t="s">
        <v>331</v>
      </c>
      <c r="N73" s="55">
        <v>45985</v>
      </c>
      <c r="O73" s="18" t="str">
        <f>IFERROR(VLOOKUP(A73,'[2]RELAÇÃO DE OC''S VMI MEC 030226'!$B:$P,15,FALSE),"-")</f>
        <v>-</v>
      </c>
      <c r="P73" s="56">
        <f t="shared" ca="1" si="4"/>
        <v>91</v>
      </c>
      <c r="Q73" s="18" t="str">
        <f t="shared" ca="1" si="5"/>
        <v>ATRASADO</v>
      </c>
      <c r="R73" s="19" t="s">
        <v>5645</v>
      </c>
    </row>
    <row r="74" spans="1:18" x14ac:dyDescent="0.2">
      <c r="A74" s="18" t="str">
        <f t="shared" si="3"/>
        <v>049117008121.23.02090</v>
      </c>
      <c r="B74" s="51" t="s">
        <v>961</v>
      </c>
      <c r="C74" s="51" t="s">
        <v>383</v>
      </c>
      <c r="D74" s="51" t="s">
        <v>228</v>
      </c>
      <c r="E74" s="51" t="s">
        <v>229</v>
      </c>
      <c r="F74" s="18" t="s">
        <v>328</v>
      </c>
      <c r="G74" s="52">
        <v>45915</v>
      </c>
      <c r="H74" s="18" t="s">
        <v>329</v>
      </c>
      <c r="I74" s="53">
        <v>1</v>
      </c>
      <c r="J74" s="54">
        <v>308.3</v>
      </c>
      <c r="K74" s="54">
        <v>308.3</v>
      </c>
      <c r="L74" s="18" t="s">
        <v>330</v>
      </c>
      <c r="M74" s="18" t="s">
        <v>331</v>
      </c>
      <c r="N74" s="55">
        <v>45985</v>
      </c>
      <c r="O74" s="18" t="str">
        <f>IFERROR(VLOOKUP(A74,'[2]RELAÇÃO DE OC''S VMI MEC 030226'!$B:$P,15,FALSE),"-")</f>
        <v>-</v>
      </c>
      <c r="P74" s="56">
        <f t="shared" ca="1" si="4"/>
        <v>91</v>
      </c>
      <c r="Q74" s="18" t="str">
        <f t="shared" ca="1" si="5"/>
        <v>ATRASADO</v>
      </c>
      <c r="R74" s="19" t="s">
        <v>5645</v>
      </c>
    </row>
    <row r="75" spans="1:18" x14ac:dyDescent="0.2">
      <c r="A75" s="18" t="str">
        <f t="shared" si="3"/>
        <v>049117008221.23.02091</v>
      </c>
      <c r="B75" s="51" t="s">
        <v>961</v>
      </c>
      <c r="C75" s="51" t="s">
        <v>699</v>
      </c>
      <c r="D75" s="51" t="s">
        <v>230</v>
      </c>
      <c r="E75" s="51" t="s">
        <v>231</v>
      </c>
      <c r="F75" s="18" t="s">
        <v>328</v>
      </c>
      <c r="G75" s="52">
        <v>45915</v>
      </c>
      <c r="H75" s="18" t="s">
        <v>329</v>
      </c>
      <c r="I75" s="53">
        <v>1</v>
      </c>
      <c r="J75" s="54">
        <v>311.8</v>
      </c>
      <c r="K75" s="54">
        <v>311.8</v>
      </c>
      <c r="L75" s="18" t="s">
        <v>330</v>
      </c>
      <c r="M75" s="18" t="s">
        <v>331</v>
      </c>
      <c r="N75" s="55">
        <v>45985</v>
      </c>
      <c r="O75" s="18" t="str">
        <f>IFERROR(VLOOKUP(A75,'[2]RELAÇÃO DE OC''S VMI MEC 030226'!$B:$P,15,FALSE),"-")</f>
        <v>-</v>
      </c>
      <c r="P75" s="56">
        <f t="shared" ca="1" si="4"/>
        <v>91</v>
      </c>
      <c r="Q75" s="18" t="str">
        <f t="shared" ca="1" si="5"/>
        <v>ATRASADO</v>
      </c>
      <c r="R75" s="19" t="s">
        <v>5645</v>
      </c>
    </row>
    <row r="76" spans="1:18" x14ac:dyDescent="0.2">
      <c r="A76" s="18" t="str">
        <f t="shared" si="3"/>
        <v>049117008321.23.02092</v>
      </c>
      <c r="B76" s="51" t="s">
        <v>961</v>
      </c>
      <c r="C76" s="51" t="s">
        <v>338</v>
      </c>
      <c r="D76" s="51" t="s">
        <v>629</v>
      </c>
      <c r="E76" s="51" t="s">
        <v>630</v>
      </c>
      <c r="F76" s="18" t="s">
        <v>328</v>
      </c>
      <c r="G76" s="52">
        <v>45915</v>
      </c>
      <c r="H76" s="18" t="s">
        <v>329</v>
      </c>
      <c r="I76" s="53">
        <v>1</v>
      </c>
      <c r="J76" s="54">
        <v>22.4</v>
      </c>
      <c r="K76" s="54">
        <v>22.4</v>
      </c>
      <c r="L76" s="18" t="s">
        <v>330</v>
      </c>
      <c r="M76" s="18" t="s">
        <v>331</v>
      </c>
      <c r="N76" s="55">
        <v>45985</v>
      </c>
      <c r="O76" s="18" t="str">
        <f>IFERROR(VLOOKUP(A76,'[2]RELAÇÃO DE OC''S VMI MEC 030226'!$B:$P,15,FALSE),"-")</f>
        <v>-</v>
      </c>
      <c r="P76" s="56">
        <f t="shared" ca="1" si="4"/>
        <v>91</v>
      </c>
      <c r="Q76" s="18" t="str">
        <f t="shared" ca="1" si="5"/>
        <v>ATRASADO</v>
      </c>
      <c r="R76" s="19" t="s">
        <v>5645</v>
      </c>
    </row>
    <row r="77" spans="1:18" x14ac:dyDescent="0.2">
      <c r="A77" s="18" t="str">
        <f t="shared" si="3"/>
        <v>049117009421.23.02104</v>
      </c>
      <c r="B77" s="51" t="s">
        <v>961</v>
      </c>
      <c r="C77" s="51" t="s">
        <v>700</v>
      </c>
      <c r="D77" s="51" t="s">
        <v>641</v>
      </c>
      <c r="E77" s="51" t="s">
        <v>642</v>
      </c>
      <c r="F77" s="18" t="s">
        <v>328</v>
      </c>
      <c r="G77" s="52">
        <v>45915</v>
      </c>
      <c r="H77" s="18" t="s">
        <v>329</v>
      </c>
      <c r="I77" s="53">
        <v>1</v>
      </c>
      <c r="J77" s="54">
        <v>395.6</v>
      </c>
      <c r="K77" s="54">
        <v>395.6</v>
      </c>
      <c r="L77" s="18" t="s">
        <v>330</v>
      </c>
      <c r="M77" s="18" t="s">
        <v>331</v>
      </c>
      <c r="N77" s="55">
        <v>45985</v>
      </c>
      <c r="O77" s="18" t="str">
        <f>IFERROR(VLOOKUP(A77,'[2]RELAÇÃO DE OC''S VMI MEC 030226'!$B:$P,15,FALSE),"-")</f>
        <v>-</v>
      </c>
      <c r="P77" s="56">
        <f t="shared" ca="1" si="4"/>
        <v>91</v>
      </c>
      <c r="Q77" s="18" t="str">
        <f t="shared" ca="1" si="5"/>
        <v>ATRASADO</v>
      </c>
      <c r="R77" s="19" t="s">
        <v>5645</v>
      </c>
    </row>
    <row r="78" spans="1:18" x14ac:dyDescent="0.2">
      <c r="A78" s="18" t="str">
        <f t="shared" si="3"/>
        <v>049117010221.23.03666</v>
      </c>
      <c r="B78" s="51" t="s">
        <v>961</v>
      </c>
      <c r="C78" s="51" t="s">
        <v>406</v>
      </c>
      <c r="D78" s="51" t="s">
        <v>730</v>
      </c>
      <c r="E78" s="51" t="s">
        <v>731</v>
      </c>
      <c r="F78" s="18" t="s">
        <v>328</v>
      </c>
      <c r="G78" s="52">
        <v>45915</v>
      </c>
      <c r="H78" s="18" t="s">
        <v>329</v>
      </c>
      <c r="I78" s="53">
        <v>1</v>
      </c>
      <c r="J78" s="54">
        <v>144.26</v>
      </c>
      <c r="K78" s="54">
        <v>144.26</v>
      </c>
      <c r="L78" s="18" t="s">
        <v>330</v>
      </c>
      <c r="M78" s="18" t="s">
        <v>331</v>
      </c>
      <c r="N78" s="55">
        <v>45985</v>
      </c>
      <c r="O78" s="18" t="str">
        <f>IFERROR(VLOOKUP(A78,'[2]RELAÇÃO DE OC''S VMI MEC 030226'!$B:$P,15,FALSE),"-")</f>
        <v>-</v>
      </c>
      <c r="P78" s="56">
        <f t="shared" ca="1" si="4"/>
        <v>91</v>
      </c>
      <c r="Q78" s="18" t="str">
        <f t="shared" ca="1" si="5"/>
        <v>ATRASADO</v>
      </c>
      <c r="R78" s="19" t="s">
        <v>5645</v>
      </c>
    </row>
    <row r="79" spans="1:18" x14ac:dyDescent="0.2">
      <c r="A79" s="18" t="str">
        <f t="shared" si="3"/>
        <v>049117010321.23.03667</v>
      </c>
      <c r="B79" s="51" t="s">
        <v>961</v>
      </c>
      <c r="C79" s="51" t="s">
        <v>342</v>
      </c>
      <c r="D79" s="51" t="s">
        <v>247</v>
      </c>
      <c r="E79" s="51" t="s">
        <v>248</v>
      </c>
      <c r="F79" s="18" t="s">
        <v>328</v>
      </c>
      <c r="G79" s="52">
        <v>45915</v>
      </c>
      <c r="H79" s="18" t="s">
        <v>329</v>
      </c>
      <c r="I79" s="53">
        <v>2</v>
      </c>
      <c r="J79" s="54">
        <v>9.8000000000000007</v>
      </c>
      <c r="K79" s="54">
        <v>19.600000000000001</v>
      </c>
      <c r="L79" s="18" t="s">
        <v>330</v>
      </c>
      <c r="M79" s="18" t="s">
        <v>331</v>
      </c>
      <c r="N79" s="55">
        <v>45985</v>
      </c>
      <c r="O79" s="18" t="str">
        <f>IFERROR(VLOOKUP(A79,'[2]RELAÇÃO DE OC''S VMI MEC 030226'!$B:$P,15,FALSE),"-")</f>
        <v>-</v>
      </c>
      <c r="P79" s="56">
        <f t="shared" ca="1" si="4"/>
        <v>91</v>
      </c>
      <c r="Q79" s="18" t="str">
        <f t="shared" ca="1" si="5"/>
        <v>ATRASADO</v>
      </c>
      <c r="R79" s="19" t="s">
        <v>5645</v>
      </c>
    </row>
    <row r="80" spans="1:18" x14ac:dyDescent="0.2">
      <c r="A80" s="18" t="str">
        <f t="shared" si="3"/>
        <v>049117011421.23.04599</v>
      </c>
      <c r="B80" s="51" t="s">
        <v>961</v>
      </c>
      <c r="C80" s="51" t="s">
        <v>432</v>
      </c>
      <c r="D80" s="51" t="s">
        <v>653</v>
      </c>
      <c r="E80" s="51" t="s">
        <v>654</v>
      </c>
      <c r="F80" s="18" t="s">
        <v>328</v>
      </c>
      <c r="G80" s="52">
        <v>45915</v>
      </c>
      <c r="H80" s="18" t="s">
        <v>329</v>
      </c>
      <c r="I80" s="53">
        <v>1</v>
      </c>
      <c r="J80" s="54">
        <v>6.6</v>
      </c>
      <c r="K80" s="54">
        <v>6.6</v>
      </c>
      <c r="L80" s="18" t="s">
        <v>330</v>
      </c>
      <c r="M80" s="18" t="s">
        <v>331</v>
      </c>
      <c r="N80" s="55">
        <v>45985</v>
      </c>
      <c r="O80" s="18" t="str">
        <f>IFERROR(VLOOKUP(A80,'[2]RELAÇÃO DE OC''S VMI MEC 030226'!$B:$P,15,FALSE),"-")</f>
        <v>-</v>
      </c>
      <c r="P80" s="56">
        <f t="shared" ca="1" si="4"/>
        <v>91</v>
      </c>
      <c r="Q80" s="18" t="str">
        <f t="shared" ca="1" si="5"/>
        <v>ATRASADO</v>
      </c>
      <c r="R80" s="19" t="s">
        <v>5645</v>
      </c>
    </row>
    <row r="81" spans="1:18" x14ac:dyDescent="0.2">
      <c r="A81" s="18" t="str">
        <f t="shared" si="3"/>
        <v>049117011521.23.04600</v>
      </c>
      <c r="B81" s="51" t="s">
        <v>961</v>
      </c>
      <c r="C81" s="51" t="s">
        <v>344</v>
      </c>
      <c r="D81" s="51" t="s">
        <v>655</v>
      </c>
      <c r="E81" s="51" t="s">
        <v>656</v>
      </c>
      <c r="F81" s="18" t="s">
        <v>328</v>
      </c>
      <c r="G81" s="52">
        <v>45915</v>
      </c>
      <c r="H81" s="18" t="s">
        <v>329</v>
      </c>
      <c r="I81" s="53">
        <v>1</v>
      </c>
      <c r="J81" s="54">
        <v>11.8</v>
      </c>
      <c r="K81" s="54">
        <v>11.8</v>
      </c>
      <c r="L81" s="18" t="s">
        <v>330</v>
      </c>
      <c r="M81" s="18" t="s">
        <v>331</v>
      </c>
      <c r="N81" s="55">
        <v>45985</v>
      </c>
      <c r="O81" s="18" t="str">
        <f>IFERROR(VLOOKUP(A81,'[2]RELAÇÃO DE OC''S VMI MEC 030226'!$B:$P,15,FALSE),"-")</f>
        <v>-</v>
      </c>
      <c r="P81" s="56">
        <f t="shared" ca="1" si="4"/>
        <v>91</v>
      </c>
      <c r="Q81" s="18" t="str">
        <f t="shared" ca="1" si="5"/>
        <v>ATRASADO</v>
      </c>
      <c r="R81" s="19" t="s">
        <v>5645</v>
      </c>
    </row>
    <row r="82" spans="1:18" x14ac:dyDescent="0.2">
      <c r="A82" s="18" t="str">
        <f t="shared" si="3"/>
        <v>049117011621.23.04601</v>
      </c>
      <c r="B82" s="51" t="s">
        <v>961</v>
      </c>
      <c r="C82" s="51" t="s">
        <v>345</v>
      </c>
      <c r="D82" s="51" t="s">
        <v>657</v>
      </c>
      <c r="E82" s="51" t="s">
        <v>658</v>
      </c>
      <c r="F82" s="18" t="s">
        <v>328</v>
      </c>
      <c r="G82" s="52">
        <v>45915</v>
      </c>
      <c r="H82" s="18" t="s">
        <v>329</v>
      </c>
      <c r="I82" s="53">
        <v>2</v>
      </c>
      <c r="J82" s="54">
        <v>9.6999999999999993</v>
      </c>
      <c r="K82" s="54">
        <v>19.399999999999999</v>
      </c>
      <c r="L82" s="18" t="s">
        <v>330</v>
      </c>
      <c r="M82" s="18" t="s">
        <v>331</v>
      </c>
      <c r="N82" s="55">
        <v>45985</v>
      </c>
      <c r="O82" s="18" t="str">
        <f>IFERROR(VLOOKUP(A82,'[2]RELAÇÃO DE OC''S VMI MEC 030226'!$B:$P,15,FALSE),"-")</f>
        <v>-</v>
      </c>
      <c r="P82" s="56">
        <f t="shared" ca="1" si="4"/>
        <v>91</v>
      </c>
      <c r="Q82" s="18" t="str">
        <f t="shared" ca="1" si="5"/>
        <v>ATRASADO</v>
      </c>
      <c r="R82" s="19" t="s">
        <v>5645</v>
      </c>
    </row>
    <row r="83" spans="1:18" x14ac:dyDescent="0.2">
      <c r="A83" s="18" t="str">
        <f t="shared" si="3"/>
        <v>049117011721.23.04602</v>
      </c>
      <c r="B83" s="51" t="s">
        <v>961</v>
      </c>
      <c r="C83" s="51" t="s">
        <v>408</v>
      </c>
      <c r="D83" s="51" t="s">
        <v>659</v>
      </c>
      <c r="E83" s="51" t="s">
        <v>660</v>
      </c>
      <c r="F83" s="18" t="s">
        <v>328</v>
      </c>
      <c r="G83" s="52">
        <v>45915</v>
      </c>
      <c r="H83" s="18" t="s">
        <v>329</v>
      </c>
      <c r="I83" s="53">
        <v>2</v>
      </c>
      <c r="J83" s="54">
        <v>9.9</v>
      </c>
      <c r="K83" s="54">
        <v>19.8</v>
      </c>
      <c r="L83" s="18" t="s">
        <v>330</v>
      </c>
      <c r="M83" s="18" t="s">
        <v>331</v>
      </c>
      <c r="N83" s="55">
        <v>45985</v>
      </c>
      <c r="O83" s="18" t="str">
        <f>IFERROR(VLOOKUP(A83,'[2]RELAÇÃO DE OC''S VMI MEC 030226'!$B:$P,15,FALSE),"-")</f>
        <v>-</v>
      </c>
      <c r="P83" s="56">
        <f t="shared" ca="1" si="4"/>
        <v>91</v>
      </c>
      <c r="Q83" s="18" t="str">
        <f t="shared" ca="1" si="5"/>
        <v>ATRASADO</v>
      </c>
      <c r="R83" s="19" t="s">
        <v>5645</v>
      </c>
    </row>
    <row r="84" spans="1:18" x14ac:dyDescent="0.2">
      <c r="A84" s="18" t="str">
        <f t="shared" si="3"/>
        <v>049117012121.23.04618</v>
      </c>
      <c r="B84" s="51" t="s">
        <v>961</v>
      </c>
      <c r="C84" s="51" t="s">
        <v>410</v>
      </c>
      <c r="D84" s="51" t="s">
        <v>665</v>
      </c>
      <c r="E84" s="51" t="s">
        <v>666</v>
      </c>
      <c r="F84" s="18" t="s">
        <v>328</v>
      </c>
      <c r="G84" s="52">
        <v>45915</v>
      </c>
      <c r="H84" s="18" t="s">
        <v>329</v>
      </c>
      <c r="I84" s="53">
        <v>1</v>
      </c>
      <c r="J84" s="54">
        <v>60.6</v>
      </c>
      <c r="K84" s="54">
        <v>60.6</v>
      </c>
      <c r="L84" s="18" t="s">
        <v>330</v>
      </c>
      <c r="M84" s="18" t="s">
        <v>331</v>
      </c>
      <c r="N84" s="55">
        <v>45985</v>
      </c>
      <c r="O84" s="18" t="str">
        <f>IFERROR(VLOOKUP(A84,'[2]RELAÇÃO DE OC''S VMI MEC 030226'!$B:$P,15,FALSE),"-")</f>
        <v>-</v>
      </c>
      <c r="P84" s="56">
        <f t="shared" ca="1" si="4"/>
        <v>91</v>
      </c>
      <c r="Q84" s="18" t="str">
        <f t="shared" ca="1" si="5"/>
        <v>ATRASADO</v>
      </c>
      <c r="R84" s="19" t="s">
        <v>5645</v>
      </c>
    </row>
    <row r="85" spans="1:18" x14ac:dyDescent="0.2">
      <c r="A85" s="18" t="str">
        <f t="shared" si="3"/>
        <v>049117012221.23.04620</v>
      </c>
      <c r="B85" s="51" t="s">
        <v>961</v>
      </c>
      <c r="C85" s="51" t="s">
        <v>411</v>
      </c>
      <c r="D85" s="51" t="s">
        <v>667</v>
      </c>
      <c r="E85" s="51" t="s">
        <v>668</v>
      </c>
      <c r="F85" s="18" t="s">
        <v>328</v>
      </c>
      <c r="G85" s="52">
        <v>45915</v>
      </c>
      <c r="H85" s="18" t="s">
        <v>329</v>
      </c>
      <c r="I85" s="53">
        <v>1</v>
      </c>
      <c r="J85" s="54">
        <v>16.46</v>
      </c>
      <c r="K85" s="54">
        <v>16.46</v>
      </c>
      <c r="L85" s="18" t="s">
        <v>330</v>
      </c>
      <c r="M85" s="18" t="s">
        <v>331</v>
      </c>
      <c r="N85" s="55">
        <v>45985</v>
      </c>
      <c r="O85" s="18" t="str">
        <f>IFERROR(VLOOKUP(A85,'[2]RELAÇÃO DE OC''S VMI MEC 030226'!$B:$P,15,FALSE),"-")</f>
        <v>-</v>
      </c>
      <c r="P85" s="56">
        <f t="shared" ca="1" si="4"/>
        <v>91</v>
      </c>
      <c r="Q85" s="18" t="str">
        <f t="shared" ca="1" si="5"/>
        <v>ATRASADO</v>
      </c>
      <c r="R85" s="19" t="s">
        <v>5645</v>
      </c>
    </row>
    <row r="86" spans="1:18" x14ac:dyDescent="0.2">
      <c r="A86" s="18" t="str">
        <f t="shared" si="3"/>
        <v>049117012321.23.04622</v>
      </c>
      <c r="B86" s="51" t="s">
        <v>961</v>
      </c>
      <c r="C86" s="51" t="s">
        <v>412</v>
      </c>
      <c r="D86" s="51" t="s">
        <v>734</v>
      </c>
      <c r="E86" s="51" t="s">
        <v>735</v>
      </c>
      <c r="F86" s="18" t="s">
        <v>328</v>
      </c>
      <c r="G86" s="52">
        <v>45915</v>
      </c>
      <c r="H86" s="18" t="s">
        <v>329</v>
      </c>
      <c r="I86" s="53">
        <v>1</v>
      </c>
      <c r="J86" s="54">
        <v>70.42</v>
      </c>
      <c r="K86" s="54">
        <v>70.42</v>
      </c>
      <c r="L86" s="18" t="s">
        <v>330</v>
      </c>
      <c r="M86" s="18" t="s">
        <v>331</v>
      </c>
      <c r="N86" s="55">
        <v>45985</v>
      </c>
      <c r="O86" s="18" t="str">
        <f>IFERROR(VLOOKUP(A86,'[2]RELAÇÃO DE OC''S VMI MEC 030226'!$B:$P,15,FALSE),"-")</f>
        <v>-</v>
      </c>
      <c r="P86" s="56">
        <f t="shared" ca="1" si="4"/>
        <v>91</v>
      </c>
      <c r="Q86" s="18" t="str">
        <f t="shared" ca="1" si="5"/>
        <v>ATRASADO</v>
      </c>
      <c r="R86" s="19" t="s">
        <v>5645</v>
      </c>
    </row>
    <row r="87" spans="1:18" x14ac:dyDescent="0.2">
      <c r="A87" s="18" t="str">
        <f t="shared" si="3"/>
        <v>049117012721.23.04712</v>
      </c>
      <c r="B87" s="51" t="s">
        <v>961</v>
      </c>
      <c r="C87" s="51" t="s">
        <v>435</v>
      </c>
      <c r="D87" s="51" t="s">
        <v>675</v>
      </c>
      <c r="E87" s="51" t="s">
        <v>676</v>
      </c>
      <c r="F87" s="18" t="s">
        <v>328</v>
      </c>
      <c r="G87" s="52">
        <v>45915</v>
      </c>
      <c r="H87" s="18" t="s">
        <v>329</v>
      </c>
      <c r="I87" s="53">
        <v>1</v>
      </c>
      <c r="J87" s="54">
        <v>48.7</v>
      </c>
      <c r="K87" s="54">
        <v>48.7</v>
      </c>
      <c r="L87" s="18" t="s">
        <v>330</v>
      </c>
      <c r="M87" s="18" t="s">
        <v>331</v>
      </c>
      <c r="N87" s="55">
        <v>45985</v>
      </c>
      <c r="O87" s="18" t="str">
        <f>IFERROR(VLOOKUP(A87,'[2]RELAÇÃO DE OC''S VMI MEC 030226'!$B:$P,15,FALSE),"-")</f>
        <v>-</v>
      </c>
      <c r="P87" s="56">
        <f t="shared" ca="1" si="4"/>
        <v>91</v>
      </c>
      <c r="Q87" s="18" t="str">
        <f t="shared" ca="1" si="5"/>
        <v>ATRASADO</v>
      </c>
      <c r="R87" s="19" t="s">
        <v>5645</v>
      </c>
    </row>
    <row r="88" spans="1:18" x14ac:dyDescent="0.2">
      <c r="A88" s="18" t="str">
        <f t="shared" si="3"/>
        <v>049117012821.23.04713</v>
      </c>
      <c r="B88" s="51" t="s">
        <v>961</v>
      </c>
      <c r="C88" s="51" t="s">
        <v>710</v>
      </c>
      <c r="D88" s="51" t="s">
        <v>677</v>
      </c>
      <c r="E88" s="51" t="s">
        <v>678</v>
      </c>
      <c r="F88" s="18" t="s">
        <v>328</v>
      </c>
      <c r="G88" s="52">
        <v>45915</v>
      </c>
      <c r="H88" s="18" t="s">
        <v>329</v>
      </c>
      <c r="I88" s="53">
        <v>1</v>
      </c>
      <c r="J88" s="54">
        <v>48.2</v>
      </c>
      <c r="K88" s="54">
        <v>48.2</v>
      </c>
      <c r="L88" s="18" t="s">
        <v>330</v>
      </c>
      <c r="M88" s="18" t="s">
        <v>331</v>
      </c>
      <c r="N88" s="55">
        <v>45985</v>
      </c>
      <c r="O88" s="18" t="str">
        <f>IFERROR(VLOOKUP(A88,'[2]RELAÇÃO DE OC''S VMI MEC 030226'!$B:$P,15,FALSE),"-")</f>
        <v>-</v>
      </c>
      <c r="P88" s="56">
        <f t="shared" ca="1" si="4"/>
        <v>91</v>
      </c>
      <c r="Q88" s="18" t="str">
        <f t="shared" ca="1" si="5"/>
        <v>ATRASADO</v>
      </c>
      <c r="R88" s="19" t="s">
        <v>5645</v>
      </c>
    </row>
    <row r="89" spans="1:18" ht="53.25" x14ac:dyDescent="0.2">
      <c r="A89" s="18" t="str">
        <f t="shared" si="3"/>
        <v>049117012933.14.10239.00</v>
      </c>
      <c r="B89" s="51" t="s">
        <v>961</v>
      </c>
      <c r="C89" s="51" t="s">
        <v>413</v>
      </c>
      <c r="D89" s="51" t="s">
        <v>286</v>
      </c>
      <c r="E89" s="51" t="s">
        <v>287</v>
      </c>
      <c r="F89" s="18" t="s">
        <v>328</v>
      </c>
      <c r="G89" s="52">
        <v>45915</v>
      </c>
      <c r="H89" s="18" t="s">
        <v>329</v>
      </c>
      <c r="I89" s="53">
        <v>6</v>
      </c>
      <c r="J89" s="54">
        <v>5.2</v>
      </c>
      <c r="K89" s="54">
        <v>31.2</v>
      </c>
      <c r="L89" s="18" t="s">
        <v>330</v>
      </c>
      <c r="M89" s="18" t="s">
        <v>331</v>
      </c>
      <c r="N89" s="55">
        <v>45985</v>
      </c>
      <c r="O89" s="18" t="str">
        <f>IFERROR(VLOOKUP(A89,'[2]RELAÇÃO DE OC''S VMI MEC 030226'!$B:$P,15,FALSE),"-")</f>
        <v>-</v>
      </c>
      <c r="P89" s="56">
        <f t="shared" ca="1" si="4"/>
        <v>91</v>
      </c>
      <c r="Q89" s="18" t="str">
        <f t="shared" ca="1" si="5"/>
        <v>ATRASADO</v>
      </c>
      <c r="R89" s="19" t="s">
        <v>5646</v>
      </c>
    </row>
    <row r="90" spans="1:18" x14ac:dyDescent="0.2">
      <c r="A90" s="18" t="str">
        <f t="shared" si="3"/>
        <v>049117013033.14.10244.01</v>
      </c>
      <c r="B90" s="51" t="s">
        <v>961</v>
      </c>
      <c r="C90" s="51" t="s">
        <v>711</v>
      </c>
      <c r="D90" s="51" t="s">
        <v>736</v>
      </c>
      <c r="E90" s="51" t="s">
        <v>737</v>
      </c>
      <c r="F90" s="18" t="s">
        <v>328</v>
      </c>
      <c r="G90" s="52">
        <v>45915</v>
      </c>
      <c r="H90" s="18" t="s">
        <v>329</v>
      </c>
      <c r="I90" s="53">
        <v>1</v>
      </c>
      <c r="J90" s="54">
        <v>165</v>
      </c>
      <c r="K90" s="54">
        <v>165</v>
      </c>
      <c r="L90" s="18" t="s">
        <v>330</v>
      </c>
      <c r="M90" s="18" t="s">
        <v>331</v>
      </c>
      <c r="N90" s="55">
        <v>45985</v>
      </c>
      <c r="O90" s="18" t="str">
        <f>IFERROR(VLOOKUP(A90,'[2]RELAÇÃO DE OC''S VMI MEC 030226'!$B:$P,15,FALSE),"-")</f>
        <v>-</v>
      </c>
      <c r="P90" s="56">
        <f t="shared" ca="1" si="4"/>
        <v>91</v>
      </c>
      <c r="Q90" s="18" t="str">
        <f t="shared" ca="1" si="5"/>
        <v>ATRASADO</v>
      </c>
      <c r="R90" s="19" t="s">
        <v>5645</v>
      </c>
    </row>
    <row r="91" spans="1:18" x14ac:dyDescent="0.2">
      <c r="A91" s="18" t="str">
        <f t="shared" si="3"/>
        <v>049117013133.14.10252.00</v>
      </c>
      <c r="B91" s="51" t="s">
        <v>961</v>
      </c>
      <c r="C91" s="51" t="s">
        <v>346</v>
      </c>
      <c r="D91" s="51" t="s">
        <v>679</v>
      </c>
      <c r="E91" s="51" t="s">
        <v>680</v>
      </c>
      <c r="F91" s="18" t="s">
        <v>328</v>
      </c>
      <c r="G91" s="52">
        <v>45915</v>
      </c>
      <c r="H91" s="18" t="s">
        <v>329</v>
      </c>
      <c r="I91" s="53">
        <v>6</v>
      </c>
      <c r="J91" s="54">
        <v>6.82</v>
      </c>
      <c r="K91" s="54">
        <v>40.92</v>
      </c>
      <c r="L91" s="18" t="s">
        <v>330</v>
      </c>
      <c r="M91" s="18" t="s">
        <v>331</v>
      </c>
      <c r="N91" s="55">
        <v>45985</v>
      </c>
      <c r="O91" s="18" t="str">
        <f>IFERROR(VLOOKUP(A91,'[2]RELAÇÃO DE OC''S VMI MEC 030226'!$B:$P,15,FALSE),"-")</f>
        <v>-</v>
      </c>
      <c r="P91" s="56">
        <f t="shared" ca="1" si="4"/>
        <v>91</v>
      </c>
      <c r="Q91" s="18" t="str">
        <f t="shared" ca="1" si="5"/>
        <v>ATRASADO</v>
      </c>
      <c r="R91" s="19" t="s">
        <v>5645</v>
      </c>
    </row>
    <row r="92" spans="1:18" x14ac:dyDescent="0.2">
      <c r="A92" s="18" t="str">
        <f t="shared" si="3"/>
        <v>049117013233.14.10254.00</v>
      </c>
      <c r="B92" s="51" t="s">
        <v>961</v>
      </c>
      <c r="C92" s="51" t="s">
        <v>712</v>
      </c>
      <c r="D92" s="51" t="s">
        <v>681</v>
      </c>
      <c r="E92" s="51" t="s">
        <v>682</v>
      </c>
      <c r="F92" s="18" t="s">
        <v>328</v>
      </c>
      <c r="G92" s="52">
        <v>45915</v>
      </c>
      <c r="H92" s="18" t="s">
        <v>329</v>
      </c>
      <c r="I92" s="53">
        <v>2</v>
      </c>
      <c r="J92" s="54">
        <v>4.2</v>
      </c>
      <c r="K92" s="54">
        <v>16.8</v>
      </c>
      <c r="L92" s="18" t="s">
        <v>330</v>
      </c>
      <c r="M92" s="18" t="s">
        <v>331</v>
      </c>
      <c r="N92" s="55">
        <v>45985</v>
      </c>
      <c r="O92" s="18" t="str">
        <f>IFERROR(VLOOKUP(A92,'[2]RELAÇÃO DE OC''S VMI MEC 030226'!$B:$P,15,FALSE),"-")</f>
        <v>-</v>
      </c>
      <c r="P92" s="56">
        <f t="shared" ca="1" si="4"/>
        <v>91</v>
      </c>
      <c r="Q92" s="18" t="str">
        <f t="shared" ca="1" si="5"/>
        <v>ATRASADO</v>
      </c>
      <c r="R92" s="19" t="s">
        <v>5645</v>
      </c>
    </row>
    <row r="93" spans="1:18" x14ac:dyDescent="0.2">
      <c r="A93" s="18" t="str">
        <f t="shared" si="3"/>
        <v>049117013333.14.10255.00</v>
      </c>
      <c r="B93" s="51" t="s">
        <v>961</v>
      </c>
      <c r="C93" s="51" t="s">
        <v>713</v>
      </c>
      <c r="D93" s="51" t="s">
        <v>288</v>
      </c>
      <c r="E93" s="51" t="s">
        <v>289</v>
      </c>
      <c r="F93" s="18" t="s">
        <v>328</v>
      </c>
      <c r="G93" s="52">
        <v>45915</v>
      </c>
      <c r="H93" s="18" t="s">
        <v>329</v>
      </c>
      <c r="I93" s="53">
        <v>2</v>
      </c>
      <c r="J93" s="54">
        <v>2.4</v>
      </c>
      <c r="K93" s="54">
        <v>4.8</v>
      </c>
      <c r="L93" s="18" t="s">
        <v>330</v>
      </c>
      <c r="M93" s="18" t="s">
        <v>331</v>
      </c>
      <c r="N93" s="55">
        <v>45985</v>
      </c>
      <c r="O93" s="18" t="str">
        <f>IFERROR(VLOOKUP(A93,'[2]RELAÇÃO DE OC''S VMI MEC 030226'!$B:$P,15,FALSE),"-")</f>
        <v>-</v>
      </c>
      <c r="P93" s="56">
        <f t="shared" ca="1" si="4"/>
        <v>91</v>
      </c>
      <c r="Q93" s="18" t="str">
        <f t="shared" ca="1" si="5"/>
        <v>ATRASADO</v>
      </c>
      <c r="R93" s="19" t="s">
        <v>5645</v>
      </c>
    </row>
    <row r="94" spans="1:18" x14ac:dyDescent="0.2">
      <c r="A94" s="18" t="str">
        <f t="shared" si="3"/>
        <v>049117013433.14.10257.00</v>
      </c>
      <c r="B94" s="51" t="s">
        <v>961</v>
      </c>
      <c r="C94" s="51" t="s">
        <v>714</v>
      </c>
      <c r="D94" s="51" t="s">
        <v>290</v>
      </c>
      <c r="E94" s="51" t="s">
        <v>291</v>
      </c>
      <c r="F94" s="18" t="s">
        <v>328</v>
      </c>
      <c r="G94" s="52">
        <v>45915</v>
      </c>
      <c r="H94" s="18" t="s">
        <v>329</v>
      </c>
      <c r="I94" s="53">
        <v>1</v>
      </c>
      <c r="J94" s="54">
        <v>413.1</v>
      </c>
      <c r="K94" s="54">
        <v>413.1</v>
      </c>
      <c r="L94" s="18" t="s">
        <v>330</v>
      </c>
      <c r="M94" s="18" t="s">
        <v>331</v>
      </c>
      <c r="N94" s="55">
        <v>45985</v>
      </c>
      <c r="O94" s="18" t="str">
        <f>IFERROR(VLOOKUP(A94,'[2]RELAÇÃO DE OC''S VMI MEC 030226'!$B:$P,15,FALSE),"-")</f>
        <v>-</v>
      </c>
      <c r="P94" s="56">
        <f t="shared" ca="1" si="4"/>
        <v>91</v>
      </c>
      <c r="Q94" s="18" t="str">
        <f t="shared" ca="1" si="5"/>
        <v>ATRASADO</v>
      </c>
      <c r="R94" s="19" t="s">
        <v>5645</v>
      </c>
    </row>
    <row r="95" spans="1:18" x14ac:dyDescent="0.2">
      <c r="A95" s="18" t="str">
        <f t="shared" si="3"/>
        <v>049117013533.14.10258.00</v>
      </c>
      <c r="B95" s="51" t="s">
        <v>961</v>
      </c>
      <c r="C95" s="51" t="s">
        <v>347</v>
      </c>
      <c r="D95" s="51" t="s">
        <v>292</v>
      </c>
      <c r="E95" s="51" t="s">
        <v>293</v>
      </c>
      <c r="F95" s="18" t="s">
        <v>328</v>
      </c>
      <c r="G95" s="52">
        <v>45915</v>
      </c>
      <c r="H95" s="18" t="s">
        <v>329</v>
      </c>
      <c r="I95" s="53">
        <v>1</v>
      </c>
      <c r="J95" s="54">
        <v>413.1</v>
      </c>
      <c r="K95" s="54">
        <v>413.1</v>
      </c>
      <c r="L95" s="18" t="s">
        <v>330</v>
      </c>
      <c r="M95" s="18" t="s">
        <v>331</v>
      </c>
      <c r="N95" s="55">
        <v>45985</v>
      </c>
      <c r="O95" s="18" t="str">
        <f>IFERROR(VLOOKUP(A95,'[2]RELAÇÃO DE OC''S VMI MEC 030226'!$B:$P,15,FALSE),"-")</f>
        <v>-</v>
      </c>
      <c r="P95" s="56">
        <f t="shared" ca="1" si="4"/>
        <v>91</v>
      </c>
      <c r="Q95" s="18" t="str">
        <f t="shared" ca="1" si="5"/>
        <v>ATRASADO</v>
      </c>
      <c r="R95" s="19" t="s">
        <v>5645</v>
      </c>
    </row>
    <row r="96" spans="1:18" x14ac:dyDescent="0.2">
      <c r="A96" s="18" t="str">
        <f t="shared" si="3"/>
        <v>049117013833.14.10267.00</v>
      </c>
      <c r="B96" s="51" t="s">
        <v>961</v>
      </c>
      <c r="C96" s="51" t="s">
        <v>414</v>
      </c>
      <c r="D96" s="51" t="s">
        <v>294</v>
      </c>
      <c r="E96" s="51" t="s">
        <v>295</v>
      </c>
      <c r="F96" s="18" t="s">
        <v>328</v>
      </c>
      <c r="G96" s="52">
        <v>45915</v>
      </c>
      <c r="H96" s="18" t="s">
        <v>329</v>
      </c>
      <c r="I96" s="53">
        <v>2</v>
      </c>
      <c r="J96" s="54">
        <v>14.7</v>
      </c>
      <c r="K96" s="54">
        <v>29.4</v>
      </c>
      <c r="L96" s="18" t="s">
        <v>330</v>
      </c>
      <c r="M96" s="18" t="s">
        <v>331</v>
      </c>
      <c r="N96" s="55">
        <v>45985</v>
      </c>
      <c r="O96" s="18" t="str">
        <f>IFERROR(VLOOKUP(A96,'[2]RELAÇÃO DE OC''S VMI MEC 030226'!$B:$P,15,FALSE),"-")</f>
        <v>-</v>
      </c>
      <c r="P96" s="56">
        <f t="shared" ca="1" si="4"/>
        <v>91</v>
      </c>
      <c r="Q96" s="18" t="str">
        <f t="shared" ca="1" si="5"/>
        <v>ATRASADO</v>
      </c>
      <c r="R96" s="19" t="s">
        <v>5645</v>
      </c>
    </row>
    <row r="97" spans="1:18" x14ac:dyDescent="0.2">
      <c r="A97" s="18" t="str">
        <f t="shared" si="3"/>
        <v>049117013933.14.10268.00</v>
      </c>
      <c r="B97" s="51" t="s">
        <v>961</v>
      </c>
      <c r="C97" s="51" t="s">
        <v>415</v>
      </c>
      <c r="D97" s="51" t="s">
        <v>740</v>
      </c>
      <c r="E97" s="51" t="s">
        <v>741</v>
      </c>
      <c r="F97" s="18" t="s">
        <v>328</v>
      </c>
      <c r="G97" s="52">
        <v>45915</v>
      </c>
      <c r="H97" s="18" t="s">
        <v>329</v>
      </c>
      <c r="I97" s="53">
        <v>1</v>
      </c>
      <c r="J97" s="54">
        <v>41</v>
      </c>
      <c r="K97" s="54">
        <v>41</v>
      </c>
      <c r="L97" s="18" t="s">
        <v>330</v>
      </c>
      <c r="M97" s="18" t="s">
        <v>331</v>
      </c>
      <c r="N97" s="55">
        <v>45985</v>
      </c>
      <c r="O97" s="18" t="str">
        <f>IFERROR(VLOOKUP(A97,'[2]RELAÇÃO DE OC''S VMI MEC 030226'!$B:$P,15,FALSE),"-")</f>
        <v>-</v>
      </c>
      <c r="P97" s="56">
        <f t="shared" ca="1" si="4"/>
        <v>91</v>
      </c>
      <c r="Q97" s="18" t="str">
        <f t="shared" ca="1" si="5"/>
        <v>ATRASADO</v>
      </c>
      <c r="R97" s="19" t="s">
        <v>5645</v>
      </c>
    </row>
    <row r="98" spans="1:18" x14ac:dyDescent="0.2">
      <c r="A98" s="18" t="str">
        <f t="shared" si="3"/>
        <v>049117014033.14.10269.00</v>
      </c>
      <c r="B98" s="51" t="s">
        <v>961</v>
      </c>
      <c r="C98" s="51" t="s">
        <v>348</v>
      </c>
      <c r="D98" s="51" t="s">
        <v>742</v>
      </c>
      <c r="E98" s="51" t="s">
        <v>743</v>
      </c>
      <c r="F98" s="18" t="s">
        <v>328</v>
      </c>
      <c r="G98" s="52">
        <v>45915</v>
      </c>
      <c r="H98" s="18" t="s">
        <v>329</v>
      </c>
      <c r="I98" s="53">
        <v>1</v>
      </c>
      <c r="J98" s="54">
        <v>41</v>
      </c>
      <c r="K98" s="54">
        <v>41</v>
      </c>
      <c r="L98" s="18" t="s">
        <v>330</v>
      </c>
      <c r="M98" s="18" t="s">
        <v>331</v>
      </c>
      <c r="N98" s="55">
        <v>45985</v>
      </c>
      <c r="O98" s="18" t="str">
        <f>IFERROR(VLOOKUP(A98,'[2]RELAÇÃO DE OC''S VMI MEC 030226'!$B:$P,15,FALSE),"-")</f>
        <v>-</v>
      </c>
      <c r="P98" s="56">
        <f t="shared" ca="1" si="4"/>
        <v>91</v>
      </c>
      <c r="Q98" s="18" t="str">
        <f t="shared" ca="1" si="5"/>
        <v>ATRASADO</v>
      </c>
      <c r="R98" s="19" t="s">
        <v>5645</v>
      </c>
    </row>
    <row r="99" spans="1:18" x14ac:dyDescent="0.2">
      <c r="A99" s="18" t="str">
        <f t="shared" si="3"/>
        <v>049117014333.14.10274.00</v>
      </c>
      <c r="B99" s="51" t="s">
        <v>961</v>
      </c>
      <c r="C99" s="51" t="s">
        <v>716</v>
      </c>
      <c r="D99" s="51" t="s">
        <v>690</v>
      </c>
      <c r="E99" s="51" t="s">
        <v>691</v>
      </c>
      <c r="F99" s="18" t="s">
        <v>328</v>
      </c>
      <c r="G99" s="52">
        <v>45915</v>
      </c>
      <c r="H99" s="18" t="s">
        <v>329</v>
      </c>
      <c r="I99" s="53">
        <v>1</v>
      </c>
      <c r="J99" s="54">
        <v>685.4</v>
      </c>
      <c r="K99" s="54">
        <v>685.4</v>
      </c>
      <c r="L99" s="18" t="s">
        <v>330</v>
      </c>
      <c r="M99" s="18" t="s">
        <v>331</v>
      </c>
      <c r="N99" s="55">
        <v>45985</v>
      </c>
      <c r="O99" s="18" t="str">
        <f>IFERROR(VLOOKUP(A99,'[2]RELAÇÃO DE OC''S VMI MEC 030226'!$B:$P,15,FALSE),"-")</f>
        <v>-</v>
      </c>
      <c r="P99" s="56">
        <f t="shared" ca="1" si="4"/>
        <v>91</v>
      </c>
      <c r="Q99" s="18" t="str">
        <f t="shared" ca="1" si="5"/>
        <v>ATRASADO</v>
      </c>
      <c r="R99" s="19" t="s">
        <v>5645</v>
      </c>
    </row>
    <row r="100" spans="1:18" x14ac:dyDescent="0.2">
      <c r="A100" s="18" t="str">
        <f t="shared" si="3"/>
        <v>049117014433.99.10024.00</v>
      </c>
      <c r="B100" s="51" t="s">
        <v>961</v>
      </c>
      <c r="C100" s="51" t="s">
        <v>717</v>
      </c>
      <c r="D100" s="51" t="s">
        <v>516</v>
      </c>
      <c r="E100" s="51" t="s">
        <v>517</v>
      </c>
      <c r="F100" s="18" t="s">
        <v>328</v>
      </c>
      <c r="G100" s="52">
        <v>45915</v>
      </c>
      <c r="H100" s="18" t="s">
        <v>329</v>
      </c>
      <c r="I100" s="53">
        <v>10</v>
      </c>
      <c r="J100" s="54">
        <v>5.98</v>
      </c>
      <c r="K100" s="54">
        <v>59.8</v>
      </c>
      <c r="L100" s="18" t="s">
        <v>330</v>
      </c>
      <c r="M100" s="18" t="s">
        <v>331</v>
      </c>
      <c r="N100" s="55">
        <v>45985</v>
      </c>
      <c r="O100" s="18" t="str">
        <f>IFERROR(VLOOKUP(A100,'[2]RELAÇÃO DE OC''S VMI MEC 030226'!$B:$P,15,FALSE),"-")</f>
        <v>-</v>
      </c>
      <c r="P100" s="56">
        <f t="shared" ca="1" si="4"/>
        <v>91</v>
      </c>
      <c r="Q100" s="18" t="str">
        <f t="shared" ca="1" si="5"/>
        <v>ATRASADO</v>
      </c>
      <c r="R100" s="19" t="s">
        <v>5645</v>
      </c>
    </row>
    <row r="101" spans="1:18" x14ac:dyDescent="0.2">
      <c r="A101" s="18" t="str">
        <f t="shared" si="3"/>
        <v>049151002021.23.01314</v>
      </c>
      <c r="B101" s="51" t="s">
        <v>962</v>
      </c>
      <c r="C101" s="51" t="s">
        <v>418</v>
      </c>
      <c r="D101" s="51" t="s">
        <v>51</v>
      </c>
      <c r="E101" s="51" t="s">
        <v>52</v>
      </c>
      <c r="F101" s="18" t="s">
        <v>328</v>
      </c>
      <c r="G101" s="52">
        <v>45916</v>
      </c>
      <c r="H101" s="18" t="s">
        <v>329</v>
      </c>
      <c r="I101" s="53">
        <v>5</v>
      </c>
      <c r="J101" s="54">
        <v>120.61</v>
      </c>
      <c r="K101" s="54">
        <v>603.04999999999995</v>
      </c>
      <c r="L101" s="18" t="s">
        <v>330</v>
      </c>
      <c r="M101" s="18" t="s">
        <v>331</v>
      </c>
      <c r="N101" s="55">
        <v>45946</v>
      </c>
      <c r="O101" s="18" t="str">
        <f>IFERROR(VLOOKUP(A101,'[2]RELAÇÃO DE OC''S VMI MEC 030226'!$B:$P,15,FALSE),"-")</f>
        <v>-</v>
      </c>
      <c r="P101" s="56">
        <f t="shared" ca="1" si="4"/>
        <v>130</v>
      </c>
      <c r="Q101" s="18" t="str">
        <f t="shared" ca="1" si="5"/>
        <v>ATRASADO</v>
      </c>
      <c r="R101" s="19" t="s">
        <v>5645</v>
      </c>
    </row>
    <row r="102" spans="1:18" x14ac:dyDescent="0.2">
      <c r="A102" s="18" t="str">
        <f t="shared" si="3"/>
        <v>049151002121.23.01324</v>
      </c>
      <c r="B102" s="51" t="s">
        <v>962</v>
      </c>
      <c r="C102" s="51" t="s">
        <v>389</v>
      </c>
      <c r="D102" s="51" t="s">
        <v>903</v>
      </c>
      <c r="E102" s="51" t="s">
        <v>904</v>
      </c>
      <c r="F102" s="18" t="s">
        <v>328</v>
      </c>
      <c r="G102" s="52">
        <v>45916</v>
      </c>
      <c r="H102" s="18" t="s">
        <v>329</v>
      </c>
      <c r="I102" s="53">
        <v>1</v>
      </c>
      <c r="J102" s="54">
        <v>69.37</v>
      </c>
      <c r="K102" s="54">
        <v>69.37</v>
      </c>
      <c r="L102" s="18" t="s">
        <v>330</v>
      </c>
      <c r="M102" s="18" t="s">
        <v>331</v>
      </c>
      <c r="N102" s="55">
        <v>45946</v>
      </c>
      <c r="O102" s="18" t="str">
        <f>IFERROR(VLOOKUP(A102,'[2]RELAÇÃO DE OC''S VMI MEC 030226'!$B:$P,15,FALSE),"-")</f>
        <v>-</v>
      </c>
      <c r="P102" s="56">
        <f t="shared" ca="1" si="4"/>
        <v>130</v>
      </c>
      <c r="Q102" s="18" t="str">
        <f t="shared" ca="1" si="5"/>
        <v>ATRASADO</v>
      </c>
      <c r="R102" s="19" t="s">
        <v>5645</v>
      </c>
    </row>
    <row r="103" spans="1:18" x14ac:dyDescent="0.2">
      <c r="A103" s="18" t="str">
        <f t="shared" si="3"/>
        <v>049151005121.23.02785</v>
      </c>
      <c r="B103" s="51" t="s">
        <v>962</v>
      </c>
      <c r="C103" s="51" t="s">
        <v>374</v>
      </c>
      <c r="D103" s="51" t="s">
        <v>79</v>
      </c>
      <c r="E103" s="51" t="s">
        <v>80</v>
      </c>
      <c r="F103" s="18" t="s">
        <v>328</v>
      </c>
      <c r="G103" s="52">
        <v>45916</v>
      </c>
      <c r="H103" s="18" t="s">
        <v>329</v>
      </c>
      <c r="I103" s="53">
        <v>2</v>
      </c>
      <c r="J103" s="54">
        <v>167.9</v>
      </c>
      <c r="K103" s="54">
        <v>335.8</v>
      </c>
      <c r="L103" s="18" t="s">
        <v>330</v>
      </c>
      <c r="M103" s="18" t="s">
        <v>331</v>
      </c>
      <c r="N103" s="55">
        <v>45946</v>
      </c>
      <c r="O103" s="18" t="str">
        <f>IFERROR(VLOOKUP(A103,'[2]RELAÇÃO DE OC''S VMI MEC 030226'!$B:$P,15,FALSE),"-")</f>
        <v>-</v>
      </c>
      <c r="P103" s="56">
        <f t="shared" ca="1" si="4"/>
        <v>130</v>
      </c>
      <c r="Q103" s="18" t="str">
        <f t="shared" ca="1" si="5"/>
        <v>ATRASADO</v>
      </c>
      <c r="R103" s="19" t="s">
        <v>5645</v>
      </c>
    </row>
    <row r="104" spans="1:18" x14ac:dyDescent="0.2">
      <c r="A104" s="18" t="str">
        <f t="shared" si="3"/>
        <v>049151005421.23.02788</v>
      </c>
      <c r="B104" s="51" t="s">
        <v>962</v>
      </c>
      <c r="C104" s="51" t="s">
        <v>693</v>
      </c>
      <c r="D104" s="51" t="s">
        <v>85</v>
      </c>
      <c r="E104" s="51" t="s">
        <v>86</v>
      </c>
      <c r="F104" s="18" t="s">
        <v>328</v>
      </c>
      <c r="G104" s="52">
        <v>45916</v>
      </c>
      <c r="H104" s="18" t="s">
        <v>329</v>
      </c>
      <c r="I104" s="53">
        <v>2</v>
      </c>
      <c r="J104" s="54">
        <v>170.02</v>
      </c>
      <c r="K104" s="54">
        <v>340.04</v>
      </c>
      <c r="L104" s="18" t="s">
        <v>330</v>
      </c>
      <c r="M104" s="18" t="s">
        <v>331</v>
      </c>
      <c r="N104" s="55">
        <v>45946</v>
      </c>
      <c r="O104" s="18" t="str">
        <f>IFERROR(VLOOKUP(A104,'[2]RELAÇÃO DE OC''S VMI MEC 030226'!$B:$P,15,FALSE),"-")</f>
        <v>-</v>
      </c>
      <c r="P104" s="56">
        <f t="shared" ca="1" si="4"/>
        <v>130</v>
      </c>
      <c r="Q104" s="18" t="str">
        <f t="shared" ca="1" si="5"/>
        <v>ATRASADO</v>
      </c>
      <c r="R104" s="19" t="s">
        <v>5645</v>
      </c>
    </row>
    <row r="105" spans="1:18" ht="12.75" thickBot="1" x14ac:dyDescent="0.25">
      <c r="A105" s="18" t="str">
        <f t="shared" si="3"/>
        <v>049151006021.23.04496</v>
      </c>
      <c r="B105" s="51" t="s">
        <v>962</v>
      </c>
      <c r="C105" s="51" t="s">
        <v>423</v>
      </c>
      <c r="D105" s="51" t="s">
        <v>133</v>
      </c>
      <c r="E105" s="51" t="s">
        <v>499</v>
      </c>
      <c r="F105" s="18" t="s">
        <v>328</v>
      </c>
      <c r="G105" s="52">
        <v>45916</v>
      </c>
      <c r="H105" s="18" t="s">
        <v>329</v>
      </c>
      <c r="I105" s="53">
        <v>1</v>
      </c>
      <c r="J105" s="54">
        <v>38</v>
      </c>
      <c r="K105" s="54">
        <v>38</v>
      </c>
      <c r="L105" s="18" t="s">
        <v>330</v>
      </c>
      <c r="M105" s="18" t="s">
        <v>331</v>
      </c>
      <c r="N105" s="55">
        <v>45946</v>
      </c>
      <c r="O105" s="18" t="str">
        <f>IFERROR(VLOOKUP(A105,'[2]RELAÇÃO DE OC''S VMI MEC 030226'!$B:$P,15,FALSE),"-")</f>
        <v>-</v>
      </c>
      <c r="P105" s="56">
        <f t="shared" ca="1" si="4"/>
        <v>130</v>
      </c>
      <c r="Q105" s="18" t="str">
        <f t="shared" ca="1" si="5"/>
        <v>ATRASADO</v>
      </c>
      <c r="R105" s="19" t="s">
        <v>5645</v>
      </c>
    </row>
    <row r="106" spans="1:18" ht="53.25" x14ac:dyDescent="0.2">
      <c r="A106" s="18" t="str">
        <f t="shared" si="3"/>
        <v>049278000433.11.10000.04</v>
      </c>
      <c r="B106" s="57" t="s">
        <v>984</v>
      </c>
      <c r="C106" s="51" t="s">
        <v>417</v>
      </c>
      <c r="D106" s="51" t="s">
        <v>987</v>
      </c>
      <c r="E106" s="51" t="s">
        <v>988</v>
      </c>
      <c r="F106" s="18" t="s">
        <v>328</v>
      </c>
      <c r="G106" s="52">
        <v>45919</v>
      </c>
      <c r="H106" s="18" t="s">
        <v>329</v>
      </c>
      <c r="I106" s="53">
        <v>2</v>
      </c>
      <c r="J106" s="54">
        <v>4941.8614349999998</v>
      </c>
      <c r="K106" s="54">
        <v>9883.7199999999993</v>
      </c>
      <c r="L106" s="18" t="s">
        <v>330</v>
      </c>
      <c r="M106" s="18" t="s">
        <v>331</v>
      </c>
      <c r="N106" s="55">
        <v>45992</v>
      </c>
      <c r="O106" s="18" t="str">
        <f>IFERROR(VLOOKUP(A106,'[2]RELAÇÃO DE OC''S VMI MEC 030226'!$B:$P,15,FALSE),"-")</f>
        <v>-</v>
      </c>
      <c r="P106" s="56">
        <f t="shared" ca="1" si="4"/>
        <v>84</v>
      </c>
      <c r="Q106" s="18" t="str">
        <f t="shared" ca="1" si="5"/>
        <v>ATRASADO</v>
      </c>
      <c r="R106" s="19" t="s">
        <v>5647</v>
      </c>
    </row>
    <row r="107" spans="1:18" x14ac:dyDescent="0.2">
      <c r="A107" s="18" t="str">
        <f t="shared" si="3"/>
        <v>049278000633.11.10017.01</v>
      </c>
      <c r="B107" s="51" t="s">
        <v>984</v>
      </c>
      <c r="C107" s="51" t="s">
        <v>327</v>
      </c>
      <c r="D107" s="51" t="s">
        <v>991</v>
      </c>
      <c r="E107" s="51" t="s">
        <v>992</v>
      </c>
      <c r="F107" s="18" t="s">
        <v>328</v>
      </c>
      <c r="G107" s="52">
        <v>45919</v>
      </c>
      <c r="H107" s="18" t="s">
        <v>329</v>
      </c>
      <c r="I107" s="53">
        <v>4</v>
      </c>
      <c r="J107" s="54">
        <v>798.84535500000004</v>
      </c>
      <c r="K107" s="54">
        <v>3195.38</v>
      </c>
      <c r="L107" s="18" t="s">
        <v>330</v>
      </c>
      <c r="M107" s="18" t="s">
        <v>331</v>
      </c>
      <c r="N107" s="55">
        <v>45992</v>
      </c>
      <c r="O107" s="18" t="str">
        <f>IFERROR(VLOOKUP(A107,'[2]RELAÇÃO DE OC''S VMI MEC 030226'!$B:$P,15,FALSE),"-")</f>
        <v>-</v>
      </c>
      <c r="P107" s="56">
        <f t="shared" ca="1" si="4"/>
        <v>84</v>
      </c>
      <c r="Q107" s="18" t="str">
        <f t="shared" ca="1" si="5"/>
        <v>ATRASADO</v>
      </c>
      <c r="R107" s="19" t="s">
        <v>5645</v>
      </c>
    </row>
    <row r="108" spans="1:18" x14ac:dyDescent="0.2">
      <c r="A108" s="18" t="str">
        <f t="shared" si="3"/>
        <v>049278001033.11.10029.03</v>
      </c>
      <c r="B108" s="51" t="s">
        <v>984</v>
      </c>
      <c r="C108" s="51" t="s">
        <v>387</v>
      </c>
      <c r="D108" s="51" t="s">
        <v>999</v>
      </c>
      <c r="E108" s="51" t="s">
        <v>1000</v>
      </c>
      <c r="F108" s="18" t="s">
        <v>328</v>
      </c>
      <c r="G108" s="52">
        <v>45919</v>
      </c>
      <c r="H108" s="18" t="s">
        <v>329</v>
      </c>
      <c r="I108" s="53">
        <v>1</v>
      </c>
      <c r="J108" s="54">
        <v>526.42138499999999</v>
      </c>
      <c r="K108" s="54">
        <v>2105.69</v>
      </c>
      <c r="L108" s="18" t="s">
        <v>330</v>
      </c>
      <c r="M108" s="18" t="s">
        <v>331</v>
      </c>
      <c r="N108" s="55">
        <v>45992</v>
      </c>
      <c r="O108" s="18" t="str">
        <f>IFERROR(VLOOKUP(A108,'[2]RELAÇÃO DE OC''S VMI MEC 030226'!$B:$P,15,FALSE),"-")</f>
        <v>-</v>
      </c>
      <c r="P108" s="56">
        <f t="shared" ca="1" si="4"/>
        <v>84</v>
      </c>
      <c r="Q108" s="18" t="str">
        <f t="shared" ca="1" si="5"/>
        <v>ATRASADO</v>
      </c>
      <c r="R108" s="19" t="s">
        <v>5645</v>
      </c>
    </row>
    <row r="109" spans="1:18" x14ac:dyDescent="0.2">
      <c r="A109" s="18" t="str">
        <f t="shared" si="3"/>
        <v>049278001133.11.10030.01</v>
      </c>
      <c r="B109" s="51" t="s">
        <v>984</v>
      </c>
      <c r="C109" s="51" t="s">
        <v>332</v>
      </c>
      <c r="D109" s="51" t="s">
        <v>1001</v>
      </c>
      <c r="E109" s="51" t="s">
        <v>1002</v>
      </c>
      <c r="F109" s="18" t="s">
        <v>328</v>
      </c>
      <c r="G109" s="52">
        <v>45919</v>
      </c>
      <c r="H109" s="18" t="s">
        <v>329</v>
      </c>
      <c r="I109" s="53">
        <v>2</v>
      </c>
      <c r="J109" s="54">
        <v>513.59017500000004</v>
      </c>
      <c r="K109" s="54">
        <v>1027.18</v>
      </c>
      <c r="L109" s="18" t="s">
        <v>330</v>
      </c>
      <c r="M109" s="18" t="s">
        <v>331</v>
      </c>
      <c r="N109" s="55">
        <v>45992</v>
      </c>
      <c r="O109" s="18" t="str">
        <f>IFERROR(VLOOKUP(A109,'[2]RELAÇÃO DE OC''S VMI MEC 030226'!$B:$P,15,FALSE),"-")</f>
        <v>-</v>
      </c>
      <c r="P109" s="56">
        <f t="shared" ca="1" si="4"/>
        <v>84</v>
      </c>
      <c r="Q109" s="18" t="str">
        <f t="shared" ca="1" si="5"/>
        <v>ATRASADO</v>
      </c>
      <c r="R109" s="19" t="s">
        <v>5645</v>
      </c>
    </row>
    <row r="110" spans="1:18" x14ac:dyDescent="0.2">
      <c r="A110" s="18" t="str">
        <f t="shared" si="3"/>
        <v>049278001233.11.10033.00</v>
      </c>
      <c r="B110" s="51" t="s">
        <v>984</v>
      </c>
      <c r="C110" s="51" t="s">
        <v>362</v>
      </c>
      <c r="D110" s="51" t="s">
        <v>1003</v>
      </c>
      <c r="E110" s="51" t="s">
        <v>1004</v>
      </c>
      <c r="F110" s="18" t="s">
        <v>328</v>
      </c>
      <c r="G110" s="52">
        <v>45919</v>
      </c>
      <c r="H110" s="18" t="s">
        <v>329</v>
      </c>
      <c r="I110" s="53">
        <v>2</v>
      </c>
      <c r="J110" s="54">
        <v>74.887784999999994</v>
      </c>
      <c r="K110" s="54">
        <v>149.78</v>
      </c>
      <c r="L110" s="18" t="s">
        <v>330</v>
      </c>
      <c r="M110" s="18" t="s">
        <v>331</v>
      </c>
      <c r="N110" s="55">
        <v>45992</v>
      </c>
      <c r="O110" s="18" t="str">
        <f>IFERROR(VLOOKUP(A110,'[2]RELAÇÃO DE OC''S VMI MEC 030226'!$B:$P,15,FALSE),"-")</f>
        <v>-</v>
      </c>
      <c r="P110" s="56">
        <f t="shared" ca="1" si="4"/>
        <v>84</v>
      </c>
      <c r="Q110" s="18" t="str">
        <f t="shared" ca="1" si="5"/>
        <v>ATRASADO</v>
      </c>
      <c r="R110" s="19" t="s">
        <v>5645</v>
      </c>
    </row>
    <row r="111" spans="1:18" ht="53.25" x14ac:dyDescent="0.2">
      <c r="A111" s="18" t="str">
        <f t="shared" si="3"/>
        <v>049278001933.11.10050.01</v>
      </c>
      <c r="B111" s="51" t="s">
        <v>984</v>
      </c>
      <c r="C111" s="51" t="s">
        <v>334</v>
      </c>
      <c r="D111" s="51" t="s">
        <v>1017</v>
      </c>
      <c r="E111" s="51" t="s">
        <v>1018</v>
      </c>
      <c r="F111" s="18" t="s">
        <v>328</v>
      </c>
      <c r="G111" s="52">
        <v>45919</v>
      </c>
      <c r="H111" s="18" t="s">
        <v>329</v>
      </c>
      <c r="I111" s="53">
        <v>2</v>
      </c>
      <c r="J111" s="54">
        <v>2068.3930049999999</v>
      </c>
      <c r="K111" s="54">
        <v>4136.79</v>
      </c>
      <c r="L111" s="18" t="s">
        <v>330</v>
      </c>
      <c r="M111" s="18" t="s">
        <v>331</v>
      </c>
      <c r="N111" s="55">
        <v>45992</v>
      </c>
      <c r="O111" s="18" t="str">
        <f>IFERROR(VLOOKUP(A111,'[2]RELAÇÃO DE OC''S VMI MEC 030226'!$B:$P,15,FALSE),"-")</f>
        <v>-</v>
      </c>
      <c r="P111" s="56">
        <f t="shared" ca="1" si="4"/>
        <v>84</v>
      </c>
      <c r="Q111" s="18" t="str">
        <f t="shared" ca="1" si="5"/>
        <v>ATRASADO</v>
      </c>
      <c r="R111" s="19" t="s">
        <v>5648</v>
      </c>
    </row>
    <row r="112" spans="1:18" ht="53.25" x14ac:dyDescent="0.2">
      <c r="A112" s="18" t="str">
        <f t="shared" si="3"/>
        <v>049278002033.11.10061.01</v>
      </c>
      <c r="B112" s="51" t="s">
        <v>984</v>
      </c>
      <c r="C112" s="51" t="s">
        <v>418</v>
      </c>
      <c r="D112" s="51" t="s">
        <v>1019</v>
      </c>
      <c r="E112" s="51" t="s">
        <v>1020</v>
      </c>
      <c r="F112" s="18" t="s">
        <v>328</v>
      </c>
      <c r="G112" s="52">
        <v>45919</v>
      </c>
      <c r="H112" s="18" t="s">
        <v>329</v>
      </c>
      <c r="I112" s="53">
        <v>2</v>
      </c>
      <c r="J112" s="54">
        <v>166.51277999999999</v>
      </c>
      <c r="K112" s="54">
        <v>333.03</v>
      </c>
      <c r="L112" s="18" t="s">
        <v>330</v>
      </c>
      <c r="M112" s="18" t="s">
        <v>331</v>
      </c>
      <c r="N112" s="55">
        <v>45992</v>
      </c>
      <c r="O112" s="18" t="str">
        <f>IFERROR(VLOOKUP(A112,'[2]RELAÇÃO DE OC''S VMI MEC 030226'!$B:$P,15,FALSE),"-")</f>
        <v>-</v>
      </c>
      <c r="P112" s="56">
        <f t="shared" ca="1" si="4"/>
        <v>84</v>
      </c>
      <c r="Q112" s="18" t="str">
        <f t="shared" ca="1" si="5"/>
        <v>ATRASADO</v>
      </c>
      <c r="R112" s="19" t="s">
        <v>5648</v>
      </c>
    </row>
    <row r="113" spans="1:18" x14ac:dyDescent="0.2">
      <c r="A113" s="18" t="str">
        <f t="shared" si="3"/>
        <v>049278002133.11.10064.01</v>
      </c>
      <c r="B113" s="51" t="s">
        <v>984</v>
      </c>
      <c r="C113" s="51" t="s">
        <v>389</v>
      </c>
      <c r="D113" s="51" t="s">
        <v>1021</v>
      </c>
      <c r="E113" s="51" t="s">
        <v>1022</v>
      </c>
      <c r="F113" s="18" t="s">
        <v>328</v>
      </c>
      <c r="G113" s="52">
        <v>45919</v>
      </c>
      <c r="H113" s="18" t="s">
        <v>329</v>
      </c>
      <c r="I113" s="53">
        <v>2</v>
      </c>
      <c r="J113" s="54">
        <v>177.98665500000001</v>
      </c>
      <c r="K113" s="54">
        <v>355.97</v>
      </c>
      <c r="L113" s="18" t="s">
        <v>330</v>
      </c>
      <c r="M113" s="18" t="s">
        <v>331</v>
      </c>
      <c r="N113" s="55">
        <v>45992</v>
      </c>
      <c r="O113" s="18" t="str">
        <f>IFERROR(VLOOKUP(A113,'[2]RELAÇÃO DE OC''S VMI MEC 030226'!$B:$P,15,FALSE),"-")</f>
        <v>-</v>
      </c>
      <c r="P113" s="56">
        <f t="shared" ca="1" si="4"/>
        <v>84</v>
      </c>
      <c r="Q113" s="18" t="str">
        <f t="shared" ca="1" si="5"/>
        <v>ATRASADO</v>
      </c>
      <c r="R113" s="19" t="s">
        <v>5645</v>
      </c>
    </row>
    <row r="114" spans="1:18" x14ac:dyDescent="0.2">
      <c r="A114" s="18" t="str">
        <f t="shared" si="3"/>
        <v>049278002233.11.10065.01</v>
      </c>
      <c r="B114" s="51" t="s">
        <v>984</v>
      </c>
      <c r="C114" s="51" t="s">
        <v>390</v>
      </c>
      <c r="D114" s="51" t="s">
        <v>1023</v>
      </c>
      <c r="E114" s="51" t="s">
        <v>1024</v>
      </c>
      <c r="F114" s="18" t="s">
        <v>328</v>
      </c>
      <c r="G114" s="52">
        <v>45919</v>
      </c>
      <c r="H114" s="18" t="s">
        <v>329</v>
      </c>
      <c r="I114" s="53">
        <v>2</v>
      </c>
      <c r="J114" s="54">
        <v>166.51277999999999</v>
      </c>
      <c r="K114" s="54">
        <v>333.03</v>
      </c>
      <c r="L114" s="18" t="s">
        <v>330</v>
      </c>
      <c r="M114" s="18" t="s">
        <v>331</v>
      </c>
      <c r="N114" s="55">
        <v>45992</v>
      </c>
      <c r="O114" s="18" t="str">
        <f>IFERROR(VLOOKUP(A114,'[2]RELAÇÃO DE OC''S VMI MEC 030226'!$B:$P,15,FALSE),"-")</f>
        <v>-</v>
      </c>
      <c r="P114" s="56">
        <f t="shared" ca="1" si="4"/>
        <v>84</v>
      </c>
      <c r="Q114" s="18" t="str">
        <f t="shared" ca="1" si="5"/>
        <v>ATRASADO</v>
      </c>
      <c r="R114" s="19" t="s">
        <v>5645</v>
      </c>
    </row>
    <row r="115" spans="1:18" x14ac:dyDescent="0.2">
      <c r="A115" s="18" t="str">
        <f t="shared" si="3"/>
        <v>049278002333.11.10067.01</v>
      </c>
      <c r="B115" s="51" t="s">
        <v>984</v>
      </c>
      <c r="C115" s="51" t="s">
        <v>364</v>
      </c>
      <c r="D115" s="51" t="s">
        <v>1025</v>
      </c>
      <c r="E115" s="51" t="s">
        <v>1026</v>
      </c>
      <c r="F115" s="18" t="s">
        <v>328</v>
      </c>
      <c r="G115" s="52">
        <v>45919</v>
      </c>
      <c r="H115" s="18" t="s">
        <v>329</v>
      </c>
      <c r="I115" s="53">
        <v>4</v>
      </c>
      <c r="J115" s="54">
        <v>129.21047999999999</v>
      </c>
      <c r="K115" s="54">
        <v>1033.68</v>
      </c>
      <c r="L115" s="18" t="s">
        <v>330</v>
      </c>
      <c r="M115" s="18" t="s">
        <v>331</v>
      </c>
      <c r="N115" s="55">
        <v>45992</v>
      </c>
      <c r="O115" s="18" t="str">
        <f>IFERROR(VLOOKUP(A115,'[2]RELAÇÃO DE OC''S VMI MEC 030226'!$B:$P,15,FALSE),"-")</f>
        <v>-</v>
      </c>
      <c r="P115" s="56">
        <f t="shared" ca="1" si="4"/>
        <v>84</v>
      </c>
      <c r="Q115" s="18" t="str">
        <f t="shared" ca="1" si="5"/>
        <v>ATRASADO</v>
      </c>
      <c r="R115" s="19" t="s">
        <v>5645</v>
      </c>
    </row>
    <row r="116" spans="1:18" x14ac:dyDescent="0.2">
      <c r="A116" s="18" t="str">
        <f t="shared" si="3"/>
        <v>049278002433.11.10069.00</v>
      </c>
      <c r="B116" s="51" t="s">
        <v>984</v>
      </c>
      <c r="C116" s="51" t="s">
        <v>365</v>
      </c>
      <c r="D116" s="51" t="s">
        <v>1027</v>
      </c>
      <c r="E116" s="51" t="s">
        <v>1028</v>
      </c>
      <c r="F116" s="18" t="s">
        <v>328</v>
      </c>
      <c r="G116" s="52">
        <v>45919</v>
      </c>
      <c r="H116" s="18" t="s">
        <v>329</v>
      </c>
      <c r="I116" s="53">
        <v>8</v>
      </c>
      <c r="J116" s="54">
        <v>36.960524999999997</v>
      </c>
      <c r="K116" s="54">
        <v>295.68</v>
      </c>
      <c r="L116" s="18" t="s">
        <v>330</v>
      </c>
      <c r="M116" s="18" t="s">
        <v>331</v>
      </c>
      <c r="N116" s="55">
        <v>45992</v>
      </c>
      <c r="O116" s="18" t="str">
        <f>IFERROR(VLOOKUP(A116,'[2]RELAÇÃO DE OC''S VMI MEC 030226'!$B:$P,15,FALSE),"-")</f>
        <v>-</v>
      </c>
      <c r="P116" s="56">
        <f t="shared" ca="1" si="4"/>
        <v>84</v>
      </c>
      <c r="Q116" s="18" t="str">
        <f t="shared" ca="1" si="5"/>
        <v>ATRASADO</v>
      </c>
      <c r="R116" s="19" t="s">
        <v>5645</v>
      </c>
    </row>
    <row r="117" spans="1:18" x14ac:dyDescent="0.2">
      <c r="A117" s="18" t="str">
        <f t="shared" si="3"/>
        <v>049278002533.11.10070.01</v>
      </c>
      <c r="B117" s="51" t="s">
        <v>984</v>
      </c>
      <c r="C117" s="51" t="s">
        <v>441</v>
      </c>
      <c r="D117" s="51" t="s">
        <v>1029</v>
      </c>
      <c r="E117" s="51" t="s">
        <v>1030</v>
      </c>
      <c r="F117" s="18" t="s">
        <v>328</v>
      </c>
      <c r="G117" s="52">
        <v>45919</v>
      </c>
      <c r="H117" s="18" t="s">
        <v>329</v>
      </c>
      <c r="I117" s="53">
        <v>2</v>
      </c>
      <c r="J117" s="54">
        <v>132.61846499999999</v>
      </c>
      <c r="K117" s="54">
        <v>265.24</v>
      </c>
      <c r="L117" s="18" t="s">
        <v>330</v>
      </c>
      <c r="M117" s="18" t="s">
        <v>331</v>
      </c>
      <c r="N117" s="55">
        <v>45992</v>
      </c>
      <c r="O117" s="18" t="str">
        <f>IFERROR(VLOOKUP(A117,'[2]RELAÇÃO DE OC''S VMI MEC 030226'!$B:$P,15,FALSE),"-")</f>
        <v>-</v>
      </c>
      <c r="P117" s="56">
        <f t="shared" ca="1" si="4"/>
        <v>84</v>
      </c>
      <c r="Q117" s="18" t="str">
        <f t="shared" ca="1" si="5"/>
        <v>ATRASADO</v>
      </c>
      <c r="R117" s="19" t="s">
        <v>5645</v>
      </c>
    </row>
    <row r="118" spans="1:18" ht="53.25" x14ac:dyDescent="0.2">
      <c r="A118" s="18" t="str">
        <f t="shared" si="3"/>
        <v>049278002633.11.10072.00</v>
      </c>
      <c r="B118" s="51" t="s">
        <v>984</v>
      </c>
      <c r="C118" s="51" t="s">
        <v>366</v>
      </c>
      <c r="D118" s="51" t="s">
        <v>1031</v>
      </c>
      <c r="E118" s="51" t="s">
        <v>1032</v>
      </c>
      <c r="F118" s="18" t="s">
        <v>328</v>
      </c>
      <c r="G118" s="52">
        <v>45919</v>
      </c>
      <c r="H118" s="18" t="s">
        <v>329</v>
      </c>
      <c r="I118" s="53">
        <v>4</v>
      </c>
      <c r="J118" s="54">
        <v>44.997120000000002</v>
      </c>
      <c r="K118" s="54">
        <v>179.99</v>
      </c>
      <c r="L118" s="18" t="s">
        <v>330</v>
      </c>
      <c r="M118" s="18" t="s">
        <v>331</v>
      </c>
      <c r="N118" s="55">
        <v>45992</v>
      </c>
      <c r="O118" s="18" t="str">
        <f>IFERROR(VLOOKUP(A118,'[2]RELAÇÃO DE OC''S VMI MEC 030226'!$B:$P,15,FALSE),"-")</f>
        <v>-</v>
      </c>
      <c r="P118" s="56">
        <f t="shared" ca="1" si="4"/>
        <v>84</v>
      </c>
      <c r="Q118" s="18" t="str">
        <f t="shared" ca="1" si="5"/>
        <v>ATRASADO</v>
      </c>
      <c r="R118" s="19" t="s">
        <v>5649</v>
      </c>
    </row>
    <row r="119" spans="1:18" ht="53.25" x14ac:dyDescent="0.2">
      <c r="A119" s="18" t="str">
        <f t="shared" si="3"/>
        <v>049278002933.11.10075.00</v>
      </c>
      <c r="B119" s="51" t="s">
        <v>984</v>
      </c>
      <c r="C119" s="51" t="s">
        <v>391</v>
      </c>
      <c r="D119" s="51" t="s">
        <v>1037</v>
      </c>
      <c r="E119" s="51" t="s">
        <v>1038</v>
      </c>
      <c r="F119" s="18" t="s">
        <v>328</v>
      </c>
      <c r="G119" s="52">
        <v>45919</v>
      </c>
      <c r="H119" s="18" t="s">
        <v>329</v>
      </c>
      <c r="I119" s="53">
        <v>2</v>
      </c>
      <c r="J119" s="54">
        <v>326.60995500000001</v>
      </c>
      <c r="K119" s="54">
        <v>653.22</v>
      </c>
      <c r="L119" s="18" t="s">
        <v>330</v>
      </c>
      <c r="M119" s="18" t="s">
        <v>331</v>
      </c>
      <c r="N119" s="55">
        <v>45992</v>
      </c>
      <c r="O119" s="18" t="str">
        <f>IFERROR(VLOOKUP(A119,'[2]RELAÇÃO DE OC''S VMI MEC 030226'!$B:$P,15,FALSE),"-")</f>
        <v>-</v>
      </c>
      <c r="P119" s="56">
        <f t="shared" ca="1" si="4"/>
        <v>84</v>
      </c>
      <c r="Q119" s="18" t="str">
        <f t="shared" ca="1" si="5"/>
        <v>ATRASADO</v>
      </c>
      <c r="R119" s="19" t="s">
        <v>5649</v>
      </c>
    </row>
    <row r="120" spans="1:18" ht="53.25" x14ac:dyDescent="0.2">
      <c r="A120" s="18" t="str">
        <f t="shared" si="3"/>
        <v>049278003033.11.10076.01</v>
      </c>
      <c r="B120" s="51" t="s">
        <v>984</v>
      </c>
      <c r="C120" s="51" t="s">
        <v>392</v>
      </c>
      <c r="D120" s="51" t="s">
        <v>1039</v>
      </c>
      <c r="E120" s="51" t="s">
        <v>1040</v>
      </c>
      <c r="F120" s="18" t="s">
        <v>328</v>
      </c>
      <c r="G120" s="52">
        <v>45919</v>
      </c>
      <c r="H120" s="18" t="s">
        <v>329</v>
      </c>
      <c r="I120" s="53">
        <v>2</v>
      </c>
      <c r="J120" s="54">
        <v>277.51153499999998</v>
      </c>
      <c r="K120" s="54">
        <v>555.02</v>
      </c>
      <c r="L120" s="18" t="s">
        <v>330</v>
      </c>
      <c r="M120" s="18" t="s">
        <v>331</v>
      </c>
      <c r="N120" s="55">
        <v>45992</v>
      </c>
      <c r="O120" s="18" t="str">
        <f>IFERROR(VLOOKUP(A120,'[2]RELAÇÃO DE OC''S VMI MEC 030226'!$B:$P,15,FALSE),"-")</f>
        <v>-</v>
      </c>
      <c r="P120" s="56">
        <f t="shared" ca="1" si="4"/>
        <v>84</v>
      </c>
      <c r="Q120" s="18" t="str">
        <f t="shared" ca="1" si="5"/>
        <v>ATRASADO</v>
      </c>
      <c r="R120" s="19" t="s">
        <v>5650</v>
      </c>
    </row>
    <row r="121" spans="1:18" ht="53.25" x14ac:dyDescent="0.2">
      <c r="A121" s="18" t="str">
        <f t="shared" si="3"/>
        <v>049278003133.11.10077.01</v>
      </c>
      <c r="B121" s="51" t="s">
        <v>984</v>
      </c>
      <c r="C121" s="51" t="s">
        <v>393</v>
      </c>
      <c r="D121" s="51" t="s">
        <v>1041</v>
      </c>
      <c r="E121" s="51" t="s">
        <v>1042</v>
      </c>
      <c r="F121" s="18" t="s">
        <v>328</v>
      </c>
      <c r="G121" s="52">
        <v>45919</v>
      </c>
      <c r="H121" s="18" t="s">
        <v>329</v>
      </c>
      <c r="I121" s="53">
        <v>2</v>
      </c>
      <c r="J121" s="54">
        <v>277.51153499999998</v>
      </c>
      <c r="K121" s="54">
        <v>555.02</v>
      </c>
      <c r="L121" s="18" t="s">
        <v>330</v>
      </c>
      <c r="M121" s="18" t="s">
        <v>331</v>
      </c>
      <c r="N121" s="55">
        <v>45992</v>
      </c>
      <c r="O121" s="18" t="str">
        <f>IFERROR(VLOOKUP(A121,'[2]RELAÇÃO DE OC''S VMI MEC 030226'!$B:$P,15,FALSE),"-")</f>
        <v>-</v>
      </c>
      <c r="P121" s="56">
        <f t="shared" ca="1" si="4"/>
        <v>84</v>
      </c>
      <c r="Q121" s="18" t="str">
        <f t="shared" ca="1" si="5"/>
        <v>ATRASADO</v>
      </c>
      <c r="R121" s="19" t="s">
        <v>5650</v>
      </c>
    </row>
    <row r="122" spans="1:18" ht="53.25" x14ac:dyDescent="0.2">
      <c r="A122" s="18" t="str">
        <f t="shared" si="3"/>
        <v>049278003333.11.10079.01</v>
      </c>
      <c r="B122" s="51" t="s">
        <v>984</v>
      </c>
      <c r="C122" s="51" t="s">
        <v>394</v>
      </c>
      <c r="D122" s="51" t="s">
        <v>1045</v>
      </c>
      <c r="E122" s="51" t="s">
        <v>1046</v>
      </c>
      <c r="F122" s="18" t="s">
        <v>328</v>
      </c>
      <c r="G122" s="52">
        <v>45919</v>
      </c>
      <c r="H122" s="18" t="s">
        <v>329</v>
      </c>
      <c r="I122" s="53">
        <v>1</v>
      </c>
      <c r="J122" s="54">
        <v>307.51938000000001</v>
      </c>
      <c r="K122" s="54">
        <v>615.04</v>
      </c>
      <c r="L122" s="18" t="s">
        <v>330</v>
      </c>
      <c r="M122" s="18" t="s">
        <v>331</v>
      </c>
      <c r="N122" s="55">
        <v>45992</v>
      </c>
      <c r="O122" s="18" t="str">
        <f>IFERROR(VLOOKUP(A122,'[2]RELAÇÃO DE OC''S VMI MEC 030226'!$B:$P,15,FALSE),"-")</f>
        <v>-</v>
      </c>
      <c r="P122" s="56">
        <f t="shared" ca="1" si="4"/>
        <v>84</v>
      </c>
      <c r="Q122" s="18" t="str">
        <f t="shared" ca="1" si="5"/>
        <v>ATRASADO</v>
      </c>
      <c r="R122" s="19" t="s">
        <v>5651</v>
      </c>
    </row>
    <row r="123" spans="1:18" ht="53.25" x14ac:dyDescent="0.2">
      <c r="A123" s="18" t="str">
        <f t="shared" si="3"/>
        <v>049278004033.11.10092.01</v>
      </c>
      <c r="B123" s="51" t="s">
        <v>984</v>
      </c>
      <c r="C123" s="51" t="s">
        <v>397</v>
      </c>
      <c r="D123" s="51" t="s">
        <v>1059</v>
      </c>
      <c r="E123" s="51" t="s">
        <v>1060</v>
      </c>
      <c r="F123" s="18" t="s">
        <v>328</v>
      </c>
      <c r="G123" s="52">
        <v>45919</v>
      </c>
      <c r="H123" s="18" t="s">
        <v>329</v>
      </c>
      <c r="I123" s="53">
        <v>2</v>
      </c>
      <c r="J123" s="54">
        <v>145.41061500000001</v>
      </c>
      <c r="K123" s="54">
        <v>290.82</v>
      </c>
      <c r="L123" s="18" t="s">
        <v>330</v>
      </c>
      <c r="M123" s="18" t="s">
        <v>331</v>
      </c>
      <c r="N123" s="55">
        <v>45992</v>
      </c>
      <c r="O123" s="18" t="str">
        <f>IFERROR(VLOOKUP(A123,'[2]RELAÇÃO DE OC''S VMI MEC 030226'!$B:$P,15,FALSE),"-")</f>
        <v>-</v>
      </c>
      <c r="P123" s="56">
        <f t="shared" ca="1" si="4"/>
        <v>84</v>
      </c>
      <c r="Q123" s="18" t="str">
        <f t="shared" ca="1" si="5"/>
        <v>ATRASADO</v>
      </c>
      <c r="R123" s="19" t="s">
        <v>5652</v>
      </c>
    </row>
    <row r="124" spans="1:18" ht="53.25" x14ac:dyDescent="0.2">
      <c r="A124" s="18" t="str">
        <f t="shared" si="3"/>
        <v>049278004133.11.10094.01</v>
      </c>
      <c r="B124" s="51" t="s">
        <v>984</v>
      </c>
      <c r="C124" s="51" t="s">
        <v>398</v>
      </c>
      <c r="D124" s="51" t="s">
        <v>1061</v>
      </c>
      <c r="E124" s="51" t="s">
        <v>1062</v>
      </c>
      <c r="F124" s="18" t="s">
        <v>328</v>
      </c>
      <c r="G124" s="52">
        <v>45919</v>
      </c>
      <c r="H124" s="18" t="s">
        <v>329</v>
      </c>
      <c r="I124" s="53">
        <v>2</v>
      </c>
      <c r="J124" s="54">
        <v>545.64867000000004</v>
      </c>
      <c r="K124" s="54">
        <v>1091.3</v>
      </c>
      <c r="L124" s="18" t="s">
        <v>330</v>
      </c>
      <c r="M124" s="18" t="s">
        <v>331</v>
      </c>
      <c r="N124" s="55">
        <v>45992</v>
      </c>
      <c r="O124" s="18" t="str">
        <f>IFERROR(VLOOKUP(A124,'[2]RELAÇÃO DE OC''S VMI MEC 030226'!$B:$P,15,FALSE),"-")</f>
        <v>-</v>
      </c>
      <c r="P124" s="56">
        <f t="shared" ca="1" si="4"/>
        <v>84</v>
      </c>
      <c r="Q124" s="18" t="str">
        <f t="shared" ca="1" si="5"/>
        <v>ATRASADO</v>
      </c>
      <c r="R124" s="19" t="s">
        <v>5652</v>
      </c>
    </row>
    <row r="125" spans="1:18" ht="53.25" x14ac:dyDescent="0.2">
      <c r="A125" s="18" t="str">
        <f t="shared" si="3"/>
        <v>049278004733.11.10135.03</v>
      </c>
      <c r="B125" s="51" t="s">
        <v>984</v>
      </c>
      <c r="C125" s="51" t="s">
        <v>371</v>
      </c>
      <c r="D125" s="51" t="s">
        <v>1071</v>
      </c>
      <c r="E125" s="51" t="s">
        <v>1072</v>
      </c>
      <c r="F125" s="18" t="s">
        <v>328</v>
      </c>
      <c r="G125" s="52">
        <v>45919</v>
      </c>
      <c r="H125" s="18" t="s">
        <v>329</v>
      </c>
      <c r="I125" s="53">
        <v>1</v>
      </c>
      <c r="J125" s="54">
        <v>4958.6670000000004</v>
      </c>
      <c r="K125" s="54">
        <v>4958.67</v>
      </c>
      <c r="L125" s="18" t="s">
        <v>330</v>
      </c>
      <c r="M125" s="18" t="s">
        <v>331</v>
      </c>
      <c r="N125" s="55">
        <v>45992</v>
      </c>
      <c r="O125" s="18" t="str">
        <f>IFERROR(VLOOKUP(A125,'[2]RELAÇÃO DE OC''S VMI MEC 030226'!$B:$P,15,FALSE),"-")</f>
        <v>-</v>
      </c>
      <c r="P125" s="56">
        <f t="shared" ca="1" si="4"/>
        <v>84</v>
      </c>
      <c r="Q125" s="18" t="str">
        <f t="shared" ca="1" si="5"/>
        <v>ATRASADO</v>
      </c>
      <c r="R125" s="19" t="s">
        <v>5653</v>
      </c>
    </row>
    <row r="126" spans="1:18" ht="53.25" x14ac:dyDescent="0.2">
      <c r="A126" s="18" t="str">
        <f t="shared" si="3"/>
        <v>049278004833.11.10135.03</v>
      </c>
      <c r="B126" s="51" t="s">
        <v>984</v>
      </c>
      <c r="C126" s="51" t="s">
        <v>400</v>
      </c>
      <c r="D126" s="18" t="s">
        <v>1071</v>
      </c>
      <c r="E126" s="18" t="s">
        <v>1072</v>
      </c>
      <c r="F126" s="18" t="s">
        <v>328</v>
      </c>
      <c r="G126" s="52">
        <v>45919</v>
      </c>
      <c r="H126" s="18" t="s">
        <v>329</v>
      </c>
      <c r="I126" s="53">
        <v>1</v>
      </c>
      <c r="J126" s="54">
        <v>4958.6670000000004</v>
      </c>
      <c r="K126" s="54">
        <v>4958.67</v>
      </c>
      <c r="L126" s="18" t="s">
        <v>330</v>
      </c>
      <c r="M126" s="18" t="s">
        <v>331</v>
      </c>
      <c r="N126" s="55">
        <v>45992</v>
      </c>
      <c r="O126" s="18" t="str">
        <f>IFERROR(VLOOKUP(A126,'[2]RELAÇÃO DE OC''S VMI MEC 030226'!$B:$P,15,FALSE),"-")</f>
        <v>-</v>
      </c>
      <c r="P126" s="56">
        <f t="shared" ca="1" si="4"/>
        <v>84</v>
      </c>
      <c r="Q126" s="18" t="str">
        <f t="shared" ca="1" si="5"/>
        <v>ATRASADO</v>
      </c>
      <c r="R126" s="19" t="s">
        <v>5653</v>
      </c>
    </row>
    <row r="127" spans="1:18" ht="53.25" x14ac:dyDescent="0.2">
      <c r="A127" s="18" t="str">
        <f t="shared" si="3"/>
        <v>049278004933.11.10139.01</v>
      </c>
      <c r="B127" s="51" t="s">
        <v>984</v>
      </c>
      <c r="C127" s="51" t="s">
        <v>372</v>
      </c>
      <c r="D127" s="51" t="s">
        <v>1073</v>
      </c>
      <c r="E127" s="51" t="s">
        <v>1074</v>
      </c>
      <c r="F127" s="18" t="s">
        <v>328</v>
      </c>
      <c r="G127" s="52">
        <v>45919</v>
      </c>
      <c r="H127" s="18" t="s">
        <v>329</v>
      </c>
      <c r="I127" s="53">
        <v>1</v>
      </c>
      <c r="J127" s="54">
        <v>152.1387</v>
      </c>
      <c r="K127" s="54">
        <v>152.13999999999999</v>
      </c>
      <c r="L127" s="18" t="s">
        <v>330</v>
      </c>
      <c r="M127" s="18" t="s">
        <v>331</v>
      </c>
      <c r="N127" s="55">
        <v>45992</v>
      </c>
      <c r="O127" s="18" t="str">
        <f>IFERROR(VLOOKUP(A127,'[2]RELAÇÃO DE OC''S VMI MEC 030226'!$B:$P,15,FALSE),"-")</f>
        <v>-</v>
      </c>
      <c r="P127" s="56">
        <f t="shared" ca="1" si="4"/>
        <v>84</v>
      </c>
      <c r="Q127" s="18" t="str">
        <f t="shared" ca="1" si="5"/>
        <v>ATRASADO</v>
      </c>
      <c r="R127" s="19" t="s">
        <v>5653</v>
      </c>
    </row>
    <row r="128" spans="1:18" x14ac:dyDescent="0.2">
      <c r="A128" s="18" t="str">
        <f t="shared" si="3"/>
        <v>049278005033.11.10139.01</v>
      </c>
      <c r="B128" s="51" t="s">
        <v>984</v>
      </c>
      <c r="C128" s="51" t="s">
        <v>373</v>
      </c>
      <c r="D128" s="18" t="s">
        <v>1073</v>
      </c>
      <c r="E128" s="18" t="s">
        <v>1074</v>
      </c>
      <c r="F128" s="18" t="s">
        <v>328</v>
      </c>
      <c r="G128" s="52">
        <v>45919</v>
      </c>
      <c r="H128" s="18" t="s">
        <v>329</v>
      </c>
      <c r="I128" s="53">
        <v>1</v>
      </c>
      <c r="J128" s="54">
        <v>152.1387</v>
      </c>
      <c r="K128" s="54">
        <v>152.13999999999999</v>
      </c>
      <c r="L128" s="18" t="s">
        <v>330</v>
      </c>
      <c r="M128" s="18" t="s">
        <v>331</v>
      </c>
      <c r="N128" s="55">
        <v>45992</v>
      </c>
      <c r="O128" s="18" t="str">
        <f>IFERROR(VLOOKUP(A128,'[2]RELAÇÃO DE OC''S VMI MEC 030226'!$B:$P,15,FALSE),"-")</f>
        <v>-</v>
      </c>
      <c r="P128" s="56">
        <f t="shared" ca="1" si="4"/>
        <v>84</v>
      </c>
      <c r="Q128" s="18" t="str">
        <f t="shared" ca="1" si="5"/>
        <v>ATRASADO</v>
      </c>
      <c r="R128" s="19" t="s">
        <v>5645</v>
      </c>
    </row>
    <row r="129" spans="1:18" x14ac:dyDescent="0.2">
      <c r="A129" s="18" t="str">
        <f t="shared" si="3"/>
        <v>049278005433.11.10149.01</v>
      </c>
      <c r="B129" s="51" t="s">
        <v>984</v>
      </c>
      <c r="C129" s="51" t="s">
        <v>693</v>
      </c>
      <c r="D129" s="51" t="s">
        <v>1081</v>
      </c>
      <c r="E129" s="51" t="s">
        <v>1082</v>
      </c>
      <c r="F129" s="18" t="s">
        <v>328</v>
      </c>
      <c r="G129" s="52">
        <v>45919</v>
      </c>
      <c r="H129" s="18" t="s">
        <v>329</v>
      </c>
      <c r="I129" s="53">
        <v>1</v>
      </c>
      <c r="J129" s="54">
        <v>747.80370000000005</v>
      </c>
      <c r="K129" s="54">
        <v>747.8</v>
      </c>
      <c r="L129" s="18" t="s">
        <v>330</v>
      </c>
      <c r="M129" s="18" t="s">
        <v>331</v>
      </c>
      <c r="N129" s="55">
        <v>45992</v>
      </c>
      <c r="O129" s="18" t="str">
        <f>IFERROR(VLOOKUP(A129,'[2]RELAÇÃO DE OC''S VMI MEC 030226'!$B:$P,15,FALSE),"-")</f>
        <v>-</v>
      </c>
      <c r="P129" s="56">
        <f t="shared" ca="1" si="4"/>
        <v>84</v>
      </c>
      <c r="Q129" s="18" t="str">
        <f t="shared" ca="1" si="5"/>
        <v>ATRASADO</v>
      </c>
      <c r="R129" s="19" t="s">
        <v>5645</v>
      </c>
    </row>
    <row r="130" spans="1:18" x14ac:dyDescent="0.2">
      <c r="A130" s="18" t="str">
        <f t="shared" ref="A130:A193" si="6">B130&amp;C130&amp;D130</f>
        <v>049278005533.11.10150.00</v>
      </c>
      <c r="B130" s="51" t="s">
        <v>984</v>
      </c>
      <c r="C130" s="51" t="s">
        <v>335</v>
      </c>
      <c r="D130" s="51" t="s">
        <v>1083</v>
      </c>
      <c r="E130" s="51" t="s">
        <v>1084</v>
      </c>
      <c r="F130" s="18" t="s">
        <v>328</v>
      </c>
      <c r="G130" s="52">
        <v>45919</v>
      </c>
      <c r="H130" s="18" t="s">
        <v>329</v>
      </c>
      <c r="I130" s="53">
        <v>1</v>
      </c>
      <c r="J130" s="54">
        <v>442.73533500000002</v>
      </c>
      <c r="K130" s="54">
        <v>442.74</v>
      </c>
      <c r="L130" s="18" t="s">
        <v>330</v>
      </c>
      <c r="M130" s="18" t="s">
        <v>331</v>
      </c>
      <c r="N130" s="55">
        <v>45992</v>
      </c>
      <c r="O130" s="18" t="str">
        <f>IFERROR(VLOOKUP(A130,'[2]RELAÇÃO DE OC''S VMI MEC 030226'!$B:$P,15,FALSE),"-")</f>
        <v>-</v>
      </c>
      <c r="P130" s="56">
        <f t="shared" ref="P130:P193" ca="1" si="7">TODAY()-N130</f>
        <v>84</v>
      </c>
      <c r="Q130" s="18" t="str">
        <f t="shared" ref="Q130:Q193" ca="1" si="8">IF(P130&gt;0,"ATRASADO","DENTRO DO PRAZO")</f>
        <v>ATRASADO</v>
      </c>
      <c r="R130" s="19" t="s">
        <v>5645</v>
      </c>
    </row>
    <row r="131" spans="1:18" x14ac:dyDescent="0.2">
      <c r="A131" s="18" t="str">
        <f t="shared" si="6"/>
        <v>049278005633.11.10160.01</v>
      </c>
      <c r="B131" s="51" t="s">
        <v>984</v>
      </c>
      <c r="C131" s="51" t="s">
        <v>694</v>
      </c>
      <c r="D131" s="51" t="s">
        <v>1085</v>
      </c>
      <c r="E131" s="51" t="s">
        <v>1086</v>
      </c>
      <c r="F131" s="18" t="s">
        <v>328</v>
      </c>
      <c r="G131" s="52">
        <v>45919</v>
      </c>
      <c r="H131" s="18" t="s">
        <v>329</v>
      </c>
      <c r="I131" s="53">
        <v>1</v>
      </c>
      <c r="J131" s="54">
        <v>318.70030500000001</v>
      </c>
      <c r="K131" s="54">
        <v>318.7</v>
      </c>
      <c r="L131" s="18" t="s">
        <v>330</v>
      </c>
      <c r="M131" s="18" t="s">
        <v>331</v>
      </c>
      <c r="N131" s="55">
        <v>45992</v>
      </c>
      <c r="O131" s="18" t="str">
        <f>IFERROR(VLOOKUP(A131,'[2]RELAÇÃO DE OC''S VMI MEC 030226'!$B:$P,15,FALSE),"-")</f>
        <v>-</v>
      </c>
      <c r="P131" s="56">
        <f t="shared" ca="1" si="7"/>
        <v>84</v>
      </c>
      <c r="Q131" s="18" t="str">
        <f t="shared" ca="1" si="8"/>
        <v>ATRASADO</v>
      </c>
      <c r="R131" s="19" t="s">
        <v>5645</v>
      </c>
    </row>
    <row r="132" spans="1:18" x14ac:dyDescent="0.2">
      <c r="A132" s="18" t="str">
        <f t="shared" si="6"/>
        <v>049278005733.11.10160.01</v>
      </c>
      <c r="B132" s="51" t="s">
        <v>984</v>
      </c>
      <c r="C132" s="51" t="s">
        <v>422</v>
      </c>
      <c r="D132" s="18" t="s">
        <v>1085</v>
      </c>
      <c r="E132" s="18" t="s">
        <v>1086</v>
      </c>
      <c r="F132" s="18" t="s">
        <v>328</v>
      </c>
      <c r="G132" s="52">
        <v>45919</v>
      </c>
      <c r="H132" s="18" t="s">
        <v>329</v>
      </c>
      <c r="I132" s="53">
        <v>1</v>
      </c>
      <c r="J132" s="54">
        <v>318.70030500000001</v>
      </c>
      <c r="K132" s="54">
        <v>318.7</v>
      </c>
      <c r="L132" s="18" t="s">
        <v>330</v>
      </c>
      <c r="M132" s="18" t="s">
        <v>331</v>
      </c>
      <c r="N132" s="55">
        <v>45992</v>
      </c>
      <c r="O132" s="18" t="str">
        <f>IFERROR(VLOOKUP(A132,'[2]RELAÇÃO DE OC''S VMI MEC 030226'!$B:$P,15,FALSE),"-")</f>
        <v>-</v>
      </c>
      <c r="P132" s="56">
        <f t="shared" ca="1" si="7"/>
        <v>84</v>
      </c>
      <c r="Q132" s="18" t="str">
        <f t="shared" ca="1" si="8"/>
        <v>ATRASADO</v>
      </c>
      <c r="R132" s="19" t="s">
        <v>5645</v>
      </c>
    </row>
    <row r="133" spans="1:18" x14ac:dyDescent="0.2">
      <c r="A133" s="18" t="str">
        <f t="shared" si="6"/>
        <v>049278005933.11.10170.00</v>
      </c>
      <c r="B133" s="51" t="s">
        <v>984</v>
      </c>
      <c r="C133" s="51" t="s">
        <v>695</v>
      </c>
      <c r="D133" s="51" t="s">
        <v>1089</v>
      </c>
      <c r="E133" s="51" t="s">
        <v>1090</v>
      </c>
      <c r="F133" s="18" t="s">
        <v>328</v>
      </c>
      <c r="G133" s="52">
        <v>45919</v>
      </c>
      <c r="H133" s="18" t="s">
        <v>329</v>
      </c>
      <c r="I133" s="53">
        <v>2</v>
      </c>
      <c r="J133" s="54">
        <v>271.06663500000002</v>
      </c>
      <c r="K133" s="54">
        <v>542.13</v>
      </c>
      <c r="L133" s="18" t="s">
        <v>330</v>
      </c>
      <c r="M133" s="18" t="s">
        <v>331</v>
      </c>
      <c r="N133" s="55">
        <v>45992</v>
      </c>
      <c r="O133" s="18" t="str">
        <f>IFERROR(VLOOKUP(A133,'[2]RELAÇÃO DE OC''S VMI MEC 030226'!$B:$P,15,FALSE),"-")</f>
        <v>-</v>
      </c>
      <c r="P133" s="56">
        <f t="shared" ca="1" si="7"/>
        <v>84</v>
      </c>
      <c r="Q133" s="18" t="str">
        <f t="shared" ca="1" si="8"/>
        <v>ATRASADO</v>
      </c>
      <c r="R133" s="19" t="s">
        <v>5645</v>
      </c>
    </row>
    <row r="134" spans="1:18" x14ac:dyDescent="0.2">
      <c r="A134" s="18" t="str">
        <f t="shared" si="6"/>
        <v>049278006033.11.10170.00</v>
      </c>
      <c r="B134" s="51" t="s">
        <v>984</v>
      </c>
      <c r="C134" s="51" t="s">
        <v>423</v>
      </c>
      <c r="D134" s="18" t="s">
        <v>1089</v>
      </c>
      <c r="E134" s="18" t="s">
        <v>1090</v>
      </c>
      <c r="F134" s="18" t="s">
        <v>328</v>
      </c>
      <c r="G134" s="52">
        <v>45919</v>
      </c>
      <c r="H134" s="18" t="s">
        <v>329</v>
      </c>
      <c r="I134" s="53">
        <v>2</v>
      </c>
      <c r="J134" s="54">
        <v>271.06663500000002</v>
      </c>
      <c r="K134" s="54">
        <v>542.13</v>
      </c>
      <c r="L134" s="18" t="s">
        <v>330</v>
      </c>
      <c r="M134" s="18" t="s">
        <v>331</v>
      </c>
      <c r="N134" s="55">
        <v>45992</v>
      </c>
      <c r="O134" s="18" t="str">
        <f>IFERROR(VLOOKUP(A134,'[2]RELAÇÃO DE OC''S VMI MEC 030226'!$B:$P,15,FALSE),"-")</f>
        <v>-</v>
      </c>
      <c r="P134" s="56">
        <f t="shared" ca="1" si="7"/>
        <v>84</v>
      </c>
      <c r="Q134" s="18" t="str">
        <f t="shared" ca="1" si="8"/>
        <v>ATRASADO</v>
      </c>
      <c r="R134" s="19" t="s">
        <v>5645</v>
      </c>
    </row>
    <row r="135" spans="1:18" x14ac:dyDescent="0.2">
      <c r="A135" s="18" t="str">
        <f t="shared" si="6"/>
        <v>049278006133.11.10171.00</v>
      </c>
      <c r="B135" s="51" t="s">
        <v>984</v>
      </c>
      <c r="C135" s="51" t="s">
        <v>696</v>
      </c>
      <c r="D135" s="51" t="s">
        <v>1091</v>
      </c>
      <c r="E135" s="51" t="s">
        <v>1092</v>
      </c>
      <c r="F135" s="18" t="s">
        <v>328</v>
      </c>
      <c r="G135" s="52">
        <v>45919</v>
      </c>
      <c r="H135" s="18" t="s">
        <v>329</v>
      </c>
      <c r="I135" s="53">
        <v>2</v>
      </c>
      <c r="J135" s="54">
        <v>270.64674000000002</v>
      </c>
      <c r="K135" s="54">
        <v>541.29</v>
      </c>
      <c r="L135" s="18" t="s">
        <v>330</v>
      </c>
      <c r="M135" s="18" t="s">
        <v>331</v>
      </c>
      <c r="N135" s="55">
        <v>45992</v>
      </c>
      <c r="O135" s="18" t="str">
        <f>IFERROR(VLOOKUP(A135,'[2]RELAÇÃO DE OC''S VMI MEC 030226'!$B:$P,15,FALSE),"-")</f>
        <v>-</v>
      </c>
      <c r="P135" s="56">
        <f t="shared" ca="1" si="7"/>
        <v>84</v>
      </c>
      <c r="Q135" s="18" t="str">
        <f t="shared" ca="1" si="8"/>
        <v>ATRASADO</v>
      </c>
      <c r="R135" s="19" t="s">
        <v>5645</v>
      </c>
    </row>
    <row r="136" spans="1:18" x14ac:dyDescent="0.2">
      <c r="A136" s="18" t="str">
        <f t="shared" si="6"/>
        <v>049278006233.11.10171.00</v>
      </c>
      <c r="B136" s="51" t="s">
        <v>984</v>
      </c>
      <c r="C136" s="51" t="s">
        <v>424</v>
      </c>
      <c r="D136" s="18" t="s">
        <v>1091</v>
      </c>
      <c r="E136" s="18" t="s">
        <v>1092</v>
      </c>
      <c r="F136" s="18" t="s">
        <v>328</v>
      </c>
      <c r="G136" s="52">
        <v>45919</v>
      </c>
      <c r="H136" s="18" t="s">
        <v>329</v>
      </c>
      <c r="I136" s="53">
        <v>2</v>
      </c>
      <c r="J136" s="54">
        <v>270.64674000000002</v>
      </c>
      <c r="K136" s="54">
        <v>541.29</v>
      </c>
      <c r="L136" s="18" t="s">
        <v>330</v>
      </c>
      <c r="M136" s="18" t="s">
        <v>331</v>
      </c>
      <c r="N136" s="55">
        <v>45992</v>
      </c>
      <c r="O136" s="18" t="str">
        <f>IFERROR(VLOOKUP(A136,'[2]RELAÇÃO DE OC''S VMI MEC 030226'!$B:$P,15,FALSE),"-")</f>
        <v>-</v>
      </c>
      <c r="P136" s="56">
        <f t="shared" ca="1" si="7"/>
        <v>84</v>
      </c>
      <c r="Q136" s="18" t="str">
        <f t="shared" ca="1" si="8"/>
        <v>ATRASADO</v>
      </c>
      <c r="R136" s="19" t="s">
        <v>5645</v>
      </c>
    </row>
    <row r="137" spans="1:18" x14ac:dyDescent="0.2">
      <c r="A137" s="18" t="str">
        <f t="shared" si="6"/>
        <v>049278006333.11.10172.00</v>
      </c>
      <c r="B137" s="51" t="s">
        <v>984</v>
      </c>
      <c r="C137" s="51" t="s">
        <v>375</v>
      </c>
      <c r="D137" s="51" t="s">
        <v>1093</v>
      </c>
      <c r="E137" s="51" t="s">
        <v>1094</v>
      </c>
      <c r="F137" s="18" t="s">
        <v>328</v>
      </c>
      <c r="G137" s="52">
        <v>45919</v>
      </c>
      <c r="H137" s="18" t="s">
        <v>329</v>
      </c>
      <c r="I137" s="53">
        <v>4</v>
      </c>
      <c r="J137" s="54">
        <v>291.03606000000002</v>
      </c>
      <c r="K137" s="54">
        <v>1164.1400000000001</v>
      </c>
      <c r="L137" s="18" t="s">
        <v>330</v>
      </c>
      <c r="M137" s="18" t="s">
        <v>331</v>
      </c>
      <c r="N137" s="55">
        <v>45992</v>
      </c>
      <c r="O137" s="18" t="str">
        <f>IFERROR(VLOOKUP(A137,'[2]RELAÇÃO DE OC''S VMI MEC 030226'!$B:$P,15,FALSE),"-")</f>
        <v>-</v>
      </c>
      <c r="P137" s="56">
        <f t="shared" ca="1" si="7"/>
        <v>84</v>
      </c>
      <c r="Q137" s="18" t="str">
        <f t="shared" ca="1" si="8"/>
        <v>ATRASADO</v>
      </c>
      <c r="R137" s="19" t="s">
        <v>5645</v>
      </c>
    </row>
    <row r="138" spans="1:18" x14ac:dyDescent="0.2">
      <c r="A138" s="18" t="str">
        <f t="shared" si="6"/>
        <v>049278006433.11.10172.00</v>
      </c>
      <c r="B138" s="51" t="s">
        <v>984</v>
      </c>
      <c r="C138" s="51" t="s">
        <v>425</v>
      </c>
      <c r="D138" s="18" t="s">
        <v>1093</v>
      </c>
      <c r="E138" s="18" t="s">
        <v>1094</v>
      </c>
      <c r="F138" s="18" t="s">
        <v>328</v>
      </c>
      <c r="G138" s="52">
        <v>45919</v>
      </c>
      <c r="H138" s="18" t="s">
        <v>329</v>
      </c>
      <c r="I138" s="53">
        <v>4</v>
      </c>
      <c r="J138" s="54">
        <v>291.03606000000002</v>
      </c>
      <c r="K138" s="54">
        <v>1164.1400000000001</v>
      </c>
      <c r="L138" s="18" t="s">
        <v>330</v>
      </c>
      <c r="M138" s="18" t="s">
        <v>331</v>
      </c>
      <c r="N138" s="55">
        <v>45992</v>
      </c>
      <c r="O138" s="18" t="str">
        <f>IFERROR(VLOOKUP(A138,'[2]RELAÇÃO DE OC''S VMI MEC 030226'!$B:$P,15,FALSE),"-")</f>
        <v>-</v>
      </c>
      <c r="P138" s="56">
        <f t="shared" ca="1" si="7"/>
        <v>84</v>
      </c>
      <c r="Q138" s="18" t="str">
        <f t="shared" ca="1" si="8"/>
        <v>ATRASADO</v>
      </c>
      <c r="R138" s="19" t="s">
        <v>5645</v>
      </c>
    </row>
    <row r="139" spans="1:18" x14ac:dyDescent="0.2">
      <c r="A139" s="18" t="str">
        <f t="shared" si="6"/>
        <v>049278006633.11.10173.00</v>
      </c>
      <c r="B139" s="51" t="s">
        <v>984</v>
      </c>
      <c r="C139" s="51" t="s">
        <v>377</v>
      </c>
      <c r="D139" s="51" t="s">
        <v>1095</v>
      </c>
      <c r="E139" s="51" t="s">
        <v>1096</v>
      </c>
      <c r="F139" s="18" t="s">
        <v>328</v>
      </c>
      <c r="G139" s="52">
        <v>45919</v>
      </c>
      <c r="H139" s="18" t="s">
        <v>329</v>
      </c>
      <c r="I139" s="53">
        <v>4</v>
      </c>
      <c r="J139" s="54">
        <v>341.05239</v>
      </c>
      <c r="K139" s="54">
        <v>1364.21</v>
      </c>
      <c r="L139" s="18" t="s">
        <v>330</v>
      </c>
      <c r="M139" s="18" t="s">
        <v>331</v>
      </c>
      <c r="N139" s="55">
        <v>45992</v>
      </c>
      <c r="O139" s="18" t="str">
        <f>IFERROR(VLOOKUP(A139,'[2]RELAÇÃO DE OC''S VMI MEC 030226'!$B:$P,15,FALSE),"-")</f>
        <v>-</v>
      </c>
      <c r="P139" s="56">
        <f t="shared" ca="1" si="7"/>
        <v>84</v>
      </c>
      <c r="Q139" s="18" t="str">
        <f t="shared" ca="1" si="8"/>
        <v>ATRASADO</v>
      </c>
      <c r="R139" s="19" t="s">
        <v>5645</v>
      </c>
    </row>
    <row r="140" spans="1:18" x14ac:dyDescent="0.2">
      <c r="A140" s="18" t="str">
        <f t="shared" si="6"/>
        <v>049278006933.11.10175.00</v>
      </c>
      <c r="B140" s="51" t="s">
        <v>984</v>
      </c>
      <c r="C140" s="51" t="s">
        <v>401</v>
      </c>
      <c r="D140" s="51" t="s">
        <v>1099</v>
      </c>
      <c r="E140" s="51" t="s">
        <v>1100</v>
      </c>
      <c r="F140" s="18" t="s">
        <v>328</v>
      </c>
      <c r="G140" s="52">
        <v>45919</v>
      </c>
      <c r="H140" s="18" t="s">
        <v>329</v>
      </c>
      <c r="I140" s="53">
        <v>2</v>
      </c>
      <c r="J140" s="54">
        <v>196.35462000000001</v>
      </c>
      <c r="K140" s="54">
        <v>392.71</v>
      </c>
      <c r="L140" s="18" t="s">
        <v>330</v>
      </c>
      <c r="M140" s="18" t="s">
        <v>331</v>
      </c>
      <c r="N140" s="55">
        <v>45992</v>
      </c>
      <c r="O140" s="18" t="str">
        <f>IFERROR(VLOOKUP(A140,'[2]RELAÇÃO DE OC''S VMI MEC 030226'!$B:$P,15,FALSE),"-")</f>
        <v>-</v>
      </c>
      <c r="P140" s="56">
        <f t="shared" ca="1" si="7"/>
        <v>84</v>
      </c>
      <c r="Q140" s="18" t="str">
        <f t="shared" ca="1" si="8"/>
        <v>ATRASADO</v>
      </c>
      <c r="R140" s="19" t="s">
        <v>5645</v>
      </c>
    </row>
    <row r="141" spans="1:18" x14ac:dyDescent="0.2">
      <c r="A141" s="18" t="str">
        <f t="shared" si="6"/>
        <v>049278007033.11.10175.00</v>
      </c>
      <c r="B141" s="51" t="s">
        <v>984</v>
      </c>
      <c r="C141" s="51" t="s">
        <v>426</v>
      </c>
      <c r="D141" s="18" t="s">
        <v>1099</v>
      </c>
      <c r="E141" s="18" t="s">
        <v>1100</v>
      </c>
      <c r="F141" s="18" t="s">
        <v>328</v>
      </c>
      <c r="G141" s="52">
        <v>45919</v>
      </c>
      <c r="H141" s="18" t="s">
        <v>329</v>
      </c>
      <c r="I141" s="53">
        <v>2</v>
      </c>
      <c r="J141" s="54">
        <v>196.35462000000001</v>
      </c>
      <c r="K141" s="54">
        <v>392.71</v>
      </c>
      <c r="L141" s="18" t="s">
        <v>330</v>
      </c>
      <c r="M141" s="18" t="s">
        <v>331</v>
      </c>
      <c r="N141" s="55">
        <v>45992</v>
      </c>
      <c r="O141" s="18" t="str">
        <f>IFERROR(VLOOKUP(A141,'[2]RELAÇÃO DE OC''S VMI MEC 030226'!$B:$P,15,FALSE),"-")</f>
        <v>-</v>
      </c>
      <c r="P141" s="56">
        <f t="shared" ca="1" si="7"/>
        <v>84</v>
      </c>
      <c r="Q141" s="18" t="str">
        <f t="shared" ca="1" si="8"/>
        <v>ATRASADO</v>
      </c>
      <c r="R141" s="19" t="s">
        <v>5645</v>
      </c>
    </row>
    <row r="142" spans="1:18" x14ac:dyDescent="0.2">
      <c r="A142" s="18" t="str">
        <f t="shared" si="6"/>
        <v>049278007833.11.10182.00</v>
      </c>
      <c r="B142" s="51" t="s">
        <v>984</v>
      </c>
      <c r="C142" s="51" t="s">
        <v>403</v>
      </c>
      <c r="D142" s="18" t="s">
        <v>1109</v>
      </c>
      <c r="E142" s="18" t="s">
        <v>1110</v>
      </c>
      <c r="F142" s="18" t="s">
        <v>328</v>
      </c>
      <c r="G142" s="52">
        <v>45919</v>
      </c>
      <c r="H142" s="18" t="s">
        <v>329</v>
      </c>
      <c r="I142" s="53">
        <v>1</v>
      </c>
      <c r="J142" s="54">
        <v>127.94103</v>
      </c>
      <c r="K142" s="54">
        <v>255.88</v>
      </c>
      <c r="L142" s="18" t="s">
        <v>330</v>
      </c>
      <c r="M142" s="18" t="s">
        <v>331</v>
      </c>
      <c r="N142" s="55">
        <v>45992</v>
      </c>
      <c r="O142" s="18" t="str">
        <f>IFERROR(VLOOKUP(A142,'[2]RELAÇÃO DE OC''S VMI MEC 030226'!$B:$P,15,FALSE),"-")</f>
        <v>-</v>
      </c>
      <c r="P142" s="56">
        <f t="shared" ca="1" si="7"/>
        <v>84</v>
      </c>
      <c r="Q142" s="18" t="str">
        <f t="shared" ca="1" si="8"/>
        <v>ATRASADO</v>
      </c>
      <c r="R142" s="19" t="s">
        <v>5645</v>
      </c>
    </row>
    <row r="143" spans="1:18" x14ac:dyDescent="0.2">
      <c r="A143" s="18" t="str">
        <f t="shared" si="6"/>
        <v>049278007933.11.10183.00</v>
      </c>
      <c r="B143" s="51" t="s">
        <v>984</v>
      </c>
      <c r="C143" s="51" t="s">
        <v>381</v>
      </c>
      <c r="D143" s="51" t="s">
        <v>1111</v>
      </c>
      <c r="E143" s="51" t="s">
        <v>1112</v>
      </c>
      <c r="F143" s="18" t="s">
        <v>328</v>
      </c>
      <c r="G143" s="52">
        <v>45919</v>
      </c>
      <c r="H143" s="18" t="s">
        <v>329</v>
      </c>
      <c r="I143" s="53">
        <v>4</v>
      </c>
      <c r="J143" s="54">
        <v>31.023405</v>
      </c>
      <c r="K143" s="54">
        <v>124.09</v>
      </c>
      <c r="L143" s="18" t="s">
        <v>330</v>
      </c>
      <c r="M143" s="18" t="s">
        <v>331</v>
      </c>
      <c r="N143" s="55">
        <v>45992</v>
      </c>
      <c r="O143" s="18" t="str">
        <f>IFERROR(VLOOKUP(A143,'[2]RELAÇÃO DE OC''S VMI MEC 030226'!$B:$P,15,FALSE),"-")</f>
        <v>-</v>
      </c>
      <c r="P143" s="56">
        <f t="shared" ca="1" si="7"/>
        <v>84</v>
      </c>
      <c r="Q143" s="18" t="str">
        <f t="shared" ca="1" si="8"/>
        <v>ATRASADO</v>
      </c>
      <c r="R143" s="19" t="s">
        <v>5645</v>
      </c>
    </row>
    <row r="144" spans="1:18" x14ac:dyDescent="0.2">
      <c r="A144" s="18" t="str">
        <f t="shared" si="6"/>
        <v>049278008033.11.10183.00</v>
      </c>
      <c r="B144" s="51" t="s">
        <v>984</v>
      </c>
      <c r="C144" s="51" t="s">
        <v>382</v>
      </c>
      <c r="D144" s="18" t="s">
        <v>1111</v>
      </c>
      <c r="E144" s="18" t="s">
        <v>1112</v>
      </c>
      <c r="F144" s="18" t="s">
        <v>328</v>
      </c>
      <c r="G144" s="52">
        <v>45919</v>
      </c>
      <c r="H144" s="18" t="s">
        <v>329</v>
      </c>
      <c r="I144" s="53">
        <v>4</v>
      </c>
      <c r="J144" s="54">
        <v>31.023405</v>
      </c>
      <c r="K144" s="54">
        <v>124.09</v>
      </c>
      <c r="L144" s="18" t="s">
        <v>330</v>
      </c>
      <c r="M144" s="18" t="s">
        <v>331</v>
      </c>
      <c r="N144" s="55">
        <v>45992</v>
      </c>
      <c r="O144" s="18" t="str">
        <f>IFERROR(VLOOKUP(A144,'[2]RELAÇÃO DE OC''S VMI MEC 030226'!$B:$P,15,FALSE),"-")</f>
        <v>-</v>
      </c>
      <c r="P144" s="56">
        <f t="shared" ca="1" si="7"/>
        <v>84</v>
      </c>
      <c r="Q144" s="18" t="str">
        <f t="shared" ca="1" si="8"/>
        <v>ATRASADO</v>
      </c>
      <c r="R144" s="19" t="s">
        <v>5645</v>
      </c>
    </row>
    <row r="145" spans="1:18" x14ac:dyDescent="0.2">
      <c r="A145" s="18" t="str">
        <f t="shared" si="6"/>
        <v>049278008333.11.10186.01</v>
      </c>
      <c r="B145" s="51" t="s">
        <v>984</v>
      </c>
      <c r="C145" s="51" t="s">
        <v>338</v>
      </c>
      <c r="D145" s="51" t="s">
        <v>1115</v>
      </c>
      <c r="E145" s="51" t="s">
        <v>1116</v>
      </c>
      <c r="F145" s="18" t="s">
        <v>328</v>
      </c>
      <c r="G145" s="52">
        <v>45919</v>
      </c>
      <c r="H145" s="18" t="s">
        <v>329</v>
      </c>
      <c r="I145" s="53">
        <v>2</v>
      </c>
      <c r="J145" s="54">
        <v>1058.067045</v>
      </c>
      <c r="K145" s="54">
        <v>2116.13</v>
      </c>
      <c r="L145" s="18" t="s">
        <v>330</v>
      </c>
      <c r="M145" s="18" t="s">
        <v>331</v>
      </c>
      <c r="N145" s="55">
        <v>45992</v>
      </c>
      <c r="O145" s="18" t="str">
        <f>IFERROR(VLOOKUP(A145,'[2]RELAÇÃO DE OC''S VMI MEC 030226'!$B:$P,15,FALSE),"-")</f>
        <v>-</v>
      </c>
      <c r="P145" s="56">
        <f t="shared" ca="1" si="7"/>
        <v>84</v>
      </c>
      <c r="Q145" s="18" t="str">
        <f t="shared" ca="1" si="8"/>
        <v>ATRASADO</v>
      </c>
      <c r="R145" s="19" t="s">
        <v>5645</v>
      </c>
    </row>
    <row r="146" spans="1:18" ht="53.25" x14ac:dyDescent="0.2">
      <c r="A146" s="18" t="str">
        <f t="shared" si="6"/>
        <v>049278008433.11.10186.01</v>
      </c>
      <c r="B146" s="51" t="s">
        <v>984</v>
      </c>
      <c r="C146" s="51" t="s">
        <v>339</v>
      </c>
      <c r="D146" s="18" t="s">
        <v>1115</v>
      </c>
      <c r="E146" s="18" t="s">
        <v>1116</v>
      </c>
      <c r="F146" s="18" t="s">
        <v>328</v>
      </c>
      <c r="G146" s="52">
        <v>45919</v>
      </c>
      <c r="H146" s="18" t="s">
        <v>329</v>
      </c>
      <c r="I146" s="53">
        <v>2</v>
      </c>
      <c r="J146" s="54">
        <v>1058.067045</v>
      </c>
      <c r="K146" s="54">
        <v>2116.13</v>
      </c>
      <c r="L146" s="18" t="s">
        <v>330</v>
      </c>
      <c r="M146" s="18" t="s">
        <v>331</v>
      </c>
      <c r="N146" s="55">
        <v>45992</v>
      </c>
      <c r="O146" s="18" t="str">
        <f>IFERROR(VLOOKUP(A146,'[2]RELAÇÃO DE OC''S VMI MEC 030226'!$B:$P,15,FALSE),"-")</f>
        <v>-</v>
      </c>
      <c r="P146" s="56">
        <f t="shared" ca="1" si="7"/>
        <v>84</v>
      </c>
      <c r="Q146" s="18" t="str">
        <f t="shared" ca="1" si="8"/>
        <v>ATRASADO</v>
      </c>
      <c r="R146" s="19" t="s">
        <v>5654</v>
      </c>
    </row>
    <row r="147" spans="1:18" x14ac:dyDescent="0.2">
      <c r="A147" s="18" t="str">
        <f t="shared" si="6"/>
        <v>049278008933.11.10204.00</v>
      </c>
      <c r="B147" s="51" t="s">
        <v>984</v>
      </c>
      <c r="C147" s="51" t="s">
        <v>341</v>
      </c>
      <c r="D147" s="51" t="s">
        <v>1123</v>
      </c>
      <c r="E147" s="51" t="s">
        <v>1124</v>
      </c>
      <c r="F147" s="18" t="s">
        <v>328</v>
      </c>
      <c r="G147" s="52">
        <v>45919</v>
      </c>
      <c r="H147" s="18" t="s">
        <v>329</v>
      </c>
      <c r="I147" s="53">
        <v>16</v>
      </c>
      <c r="J147" s="54">
        <v>13.583114999999999</v>
      </c>
      <c r="K147" s="54">
        <v>217.33</v>
      </c>
      <c r="L147" s="18" t="s">
        <v>330</v>
      </c>
      <c r="M147" s="18" t="s">
        <v>331</v>
      </c>
      <c r="N147" s="55">
        <v>45992</v>
      </c>
      <c r="O147" s="18" t="str">
        <f>IFERROR(VLOOKUP(A147,'[2]RELAÇÃO DE OC''S VMI MEC 030226'!$B:$P,15,FALSE),"-")</f>
        <v>-</v>
      </c>
      <c r="P147" s="56">
        <f t="shared" ca="1" si="7"/>
        <v>84</v>
      </c>
      <c r="Q147" s="18" t="str">
        <f t="shared" ca="1" si="8"/>
        <v>ATRASADO</v>
      </c>
      <c r="R147" s="19" t="s">
        <v>5645</v>
      </c>
    </row>
    <row r="148" spans="1:18" x14ac:dyDescent="0.2">
      <c r="A148" s="18" t="str">
        <f t="shared" si="6"/>
        <v>049278009433.11.10215.00</v>
      </c>
      <c r="B148" s="51" t="s">
        <v>984</v>
      </c>
      <c r="C148" s="51" t="s">
        <v>700</v>
      </c>
      <c r="D148" s="51" t="s">
        <v>1133</v>
      </c>
      <c r="E148" s="51" t="s">
        <v>1134</v>
      </c>
      <c r="F148" s="18" t="s">
        <v>328</v>
      </c>
      <c r="G148" s="52">
        <v>45919</v>
      </c>
      <c r="H148" s="18" t="s">
        <v>329</v>
      </c>
      <c r="I148" s="53">
        <v>2</v>
      </c>
      <c r="J148" s="54">
        <v>357.63335999999998</v>
      </c>
      <c r="K148" s="54">
        <v>715.27</v>
      </c>
      <c r="L148" s="18" t="s">
        <v>330</v>
      </c>
      <c r="M148" s="18" t="s">
        <v>331</v>
      </c>
      <c r="N148" s="55">
        <v>45992</v>
      </c>
      <c r="O148" s="18" t="str">
        <f>IFERROR(VLOOKUP(A148,'[2]RELAÇÃO DE OC''S VMI MEC 030226'!$B:$P,15,FALSE),"-")</f>
        <v>-</v>
      </c>
      <c r="P148" s="56">
        <f t="shared" ca="1" si="7"/>
        <v>84</v>
      </c>
      <c r="Q148" s="18" t="str">
        <f t="shared" ca="1" si="8"/>
        <v>ATRASADO</v>
      </c>
      <c r="R148" s="19" t="s">
        <v>5645</v>
      </c>
    </row>
    <row r="149" spans="1:18" x14ac:dyDescent="0.2">
      <c r="A149" s="18" t="str">
        <f t="shared" si="6"/>
        <v>049278009533.11.10216.00</v>
      </c>
      <c r="B149" s="51" t="s">
        <v>984</v>
      </c>
      <c r="C149" s="51" t="s">
        <v>701</v>
      </c>
      <c r="D149" s="51" t="s">
        <v>1135</v>
      </c>
      <c r="E149" s="51" t="s">
        <v>1136</v>
      </c>
      <c r="F149" s="18" t="s">
        <v>328</v>
      </c>
      <c r="G149" s="52">
        <v>45919</v>
      </c>
      <c r="H149" s="18" t="s">
        <v>329</v>
      </c>
      <c r="I149" s="53">
        <v>2</v>
      </c>
      <c r="J149" s="54">
        <v>387.87556499999999</v>
      </c>
      <c r="K149" s="54">
        <v>775.75</v>
      </c>
      <c r="L149" s="18" t="s">
        <v>330</v>
      </c>
      <c r="M149" s="18" t="s">
        <v>331</v>
      </c>
      <c r="N149" s="55">
        <v>45992</v>
      </c>
      <c r="O149" s="18" t="str">
        <f>IFERROR(VLOOKUP(A149,'[2]RELAÇÃO DE OC''S VMI MEC 030226'!$B:$P,15,FALSE),"-")</f>
        <v>-</v>
      </c>
      <c r="P149" s="56">
        <f t="shared" ca="1" si="7"/>
        <v>84</v>
      </c>
      <c r="Q149" s="18" t="str">
        <f t="shared" ca="1" si="8"/>
        <v>ATRASADO</v>
      </c>
      <c r="R149" s="19" t="s">
        <v>5645</v>
      </c>
    </row>
    <row r="150" spans="1:18" x14ac:dyDescent="0.2">
      <c r="A150" s="18" t="str">
        <f t="shared" si="6"/>
        <v>049278009733.11.10218.00</v>
      </c>
      <c r="B150" s="51" t="s">
        <v>984</v>
      </c>
      <c r="C150" s="51" t="s">
        <v>429</v>
      </c>
      <c r="D150" s="51" t="s">
        <v>1139</v>
      </c>
      <c r="E150" s="51" t="s">
        <v>1140</v>
      </c>
      <c r="F150" s="18" t="s">
        <v>328</v>
      </c>
      <c r="G150" s="52">
        <v>45919</v>
      </c>
      <c r="H150" s="18" t="s">
        <v>329</v>
      </c>
      <c r="I150" s="53">
        <v>2</v>
      </c>
      <c r="J150" s="54">
        <v>388.090395</v>
      </c>
      <c r="K150" s="54">
        <v>776.18</v>
      </c>
      <c r="L150" s="18" t="s">
        <v>330</v>
      </c>
      <c r="M150" s="18" t="s">
        <v>331</v>
      </c>
      <c r="N150" s="55">
        <v>45992</v>
      </c>
      <c r="O150" s="18" t="str">
        <f>IFERROR(VLOOKUP(A150,'[2]RELAÇÃO DE OC''S VMI MEC 030226'!$B:$P,15,FALSE),"-")</f>
        <v>-</v>
      </c>
      <c r="P150" s="56">
        <f t="shared" ca="1" si="7"/>
        <v>84</v>
      </c>
      <c r="Q150" s="18" t="str">
        <f t="shared" ca="1" si="8"/>
        <v>ATRASADO</v>
      </c>
      <c r="R150" s="19" t="s">
        <v>5645</v>
      </c>
    </row>
    <row r="151" spans="1:18" x14ac:dyDescent="0.2">
      <c r="A151" s="18" t="str">
        <f t="shared" si="6"/>
        <v>049278009833.11.10220.00</v>
      </c>
      <c r="B151" s="51" t="s">
        <v>984</v>
      </c>
      <c r="C151" s="51" t="s">
        <v>702</v>
      </c>
      <c r="D151" s="51" t="s">
        <v>1141</v>
      </c>
      <c r="E151" s="51" t="s">
        <v>1142</v>
      </c>
      <c r="F151" s="18" t="s">
        <v>328</v>
      </c>
      <c r="G151" s="52">
        <v>45919</v>
      </c>
      <c r="H151" s="18" t="s">
        <v>329</v>
      </c>
      <c r="I151" s="53">
        <v>2</v>
      </c>
      <c r="J151" s="54">
        <v>51.568964999999999</v>
      </c>
      <c r="K151" s="54">
        <v>103.14</v>
      </c>
      <c r="L151" s="18" t="s">
        <v>330</v>
      </c>
      <c r="M151" s="18" t="s">
        <v>331</v>
      </c>
      <c r="N151" s="55">
        <v>45992</v>
      </c>
      <c r="O151" s="18" t="str">
        <f>IFERROR(VLOOKUP(A151,'[2]RELAÇÃO DE OC''S VMI MEC 030226'!$B:$P,15,FALSE),"-")</f>
        <v>-</v>
      </c>
      <c r="P151" s="56">
        <f t="shared" ca="1" si="7"/>
        <v>84</v>
      </c>
      <c r="Q151" s="18" t="str">
        <f t="shared" ca="1" si="8"/>
        <v>ATRASADO</v>
      </c>
      <c r="R151" s="19" t="s">
        <v>5645</v>
      </c>
    </row>
    <row r="152" spans="1:18" x14ac:dyDescent="0.2">
      <c r="A152" s="18" t="str">
        <f t="shared" si="6"/>
        <v>049278010033.11.10223.00</v>
      </c>
      <c r="B152" s="51" t="s">
        <v>984</v>
      </c>
      <c r="C152" s="51" t="s">
        <v>445</v>
      </c>
      <c r="D152" s="51" t="s">
        <v>1145</v>
      </c>
      <c r="E152" s="51" t="s">
        <v>1146</v>
      </c>
      <c r="F152" s="18" t="s">
        <v>328</v>
      </c>
      <c r="G152" s="52">
        <v>45919</v>
      </c>
      <c r="H152" s="18" t="s">
        <v>329</v>
      </c>
      <c r="I152" s="53">
        <v>4</v>
      </c>
      <c r="J152" s="54">
        <v>36.482039999999998</v>
      </c>
      <c r="K152" s="54">
        <v>145.93</v>
      </c>
      <c r="L152" s="18" t="s">
        <v>330</v>
      </c>
      <c r="M152" s="18" t="s">
        <v>331</v>
      </c>
      <c r="N152" s="55">
        <v>45992</v>
      </c>
      <c r="O152" s="18" t="str">
        <f>IFERROR(VLOOKUP(A152,'[2]RELAÇÃO DE OC''S VMI MEC 030226'!$B:$P,15,FALSE),"-")</f>
        <v>-</v>
      </c>
      <c r="P152" s="56">
        <f t="shared" ca="1" si="7"/>
        <v>84</v>
      </c>
      <c r="Q152" s="18" t="str">
        <f t="shared" ca="1" si="8"/>
        <v>ATRASADO</v>
      </c>
      <c r="R152" s="19" t="s">
        <v>5645</v>
      </c>
    </row>
    <row r="153" spans="1:18" x14ac:dyDescent="0.2">
      <c r="A153" s="18" t="str">
        <f t="shared" si="6"/>
        <v>049278010133.11.10225.00</v>
      </c>
      <c r="B153" s="51" t="s">
        <v>984</v>
      </c>
      <c r="C153" s="51" t="s">
        <v>704</v>
      </c>
      <c r="D153" s="51" t="s">
        <v>1147</v>
      </c>
      <c r="E153" s="51" t="s">
        <v>1148</v>
      </c>
      <c r="F153" s="18" t="s">
        <v>328</v>
      </c>
      <c r="G153" s="52">
        <v>45919</v>
      </c>
      <c r="H153" s="18" t="s">
        <v>329</v>
      </c>
      <c r="I153" s="53">
        <v>2</v>
      </c>
      <c r="J153" s="54">
        <v>93.353399999999993</v>
      </c>
      <c r="K153" s="54">
        <v>186.71</v>
      </c>
      <c r="L153" s="18" t="s">
        <v>330</v>
      </c>
      <c r="M153" s="18" t="s">
        <v>331</v>
      </c>
      <c r="N153" s="55">
        <v>45992</v>
      </c>
      <c r="O153" s="18" t="str">
        <f>IFERROR(VLOOKUP(A153,'[2]RELAÇÃO DE OC''S VMI MEC 030226'!$B:$P,15,FALSE),"-")</f>
        <v>-</v>
      </c>
      <c r="P153" s="56">
        <f t="shared" ca="1" si="7"/>
        <v>84</v>
      </c>
      <c r="Q153" s="18" t="str">
        <f t="shared" ca="1" si="8"/>
        <v>ATRASADO</v>
      </c>
      <c r="R153" s="19" t="s">
        <v>5645</v>
      </c>
    </row>
    <row r="154" spans="1:18" x14ac:dyDescent="0.2">
      <c r="A154" s="18" t="str">
        <f t="shared" si="6"/>
        <v>049278010333.11.10232.01</v>
      </c>
      <c r="B154" s="51" t="s">
        <v>984</v>
      </c>
      <c r="C154" s="51" t="s">
        <v>342</v>
      </c>
      <c r="D154" s="51" t="s">
        <v>1151</v>
      </c>
      <c r="E154" s="51" t="s">
        <v>1152</v>
      </c>
      <c r="F154" s="18" t="s">
        <v>328</v>
      </c>
      <c r="G154" s="52">
        <v>45919</v>
      </c>
      <c r="H154" s="18" t="s">
        <v>329</v>
      </c>
      <c r="I154" s="53">
        <v>2</v>
      </c>
      <c r="J154" s="54">
        <v>68.833484999999996</v>
      </c>
      <c r="K154" s="54">
        <v>137.66999999999999</v>
      </c>
      <c r="L154" s="18" t="s">
        <v>330</v>
      </c>
      <c r="M154" s="18" t="s">
        <v>331</v>
      </c>
      <c r="N154" s="55">
        <v>45992</v>
      </c>
      <c r="O154" s="18" t="str">
        <f>IFERROR(VLOOKUP(A154,'[2]RELAÇÃO DE OC''S VMI MEC 030226'!$B:$P,15,FALSE),"-")</f>
        <v>-</v>
      </c>
      <c r="P154" s="56">
        <f t="shared" ca="1" si="7"/>
        <v>84</v>
      </c>
      <c r="Q154" s="18" t="str">
        <f t="shared" ca="1" si="8"/>
        <v>ATRASADO</v>
      </c>
      <c r="R154" s="19" t="s">
        <v>5645</v>
      </c>
    </row>
    <row r="155" spans="1:18" x14ac:dyDescent="0.2">
      <c r="A155" s="18" t="str">
        <f t="shared" si="6"/>
        <v>049278010433.11.10234.01</v>
      </c>
      <c r="B155" s="51" t="s">
        <v>984</v>
      </c>
      <c r="C155" s="51" t="s">
        <v>385</v>
      </c>
      <c r="D155" s="51" t="s">
        <v>1153</v>
      </c>
      <c r="E155" s="51" t="s">
        <v>1154</v>
      </c>
      <c r="F155" s="18" t="s">
        <v>328</v>
      </c>
      <c r="G155" s="52">
        <v>45919</v>
      </c>
      <c r="H155" s="18" t="s">
        <v>329</v>
      </c>
      <c r="I155" s="53">
        <v>2</v>
      </c>
      <c r="J155" s="54">
        <v>82.045529999999999</v>
      </c>
      <c r="K155" s="54">
        <v>164.09</v>
      </c>
      <c r="L155" s="18" t="s">
        <v>330</v>
      </c>
      <c r="M155" s="18" t="s">
        <v>331</v>
      </c>
      <c r="N155" s="55">
        <v>45992</v>
      </c>
      <c r="O155" s="18" t="str">
        <f>IFERROR(VLOOKUP(A155,'[2]RELAÇÃO DE OC''S VMI MEC 030226'!$B:$P,15,FALSE),"-")</f>
        <v>-</v>
      </c>
      <c r="P155" s="56">
        <f t="shared" ca="1" si="7"/>
        <v>84</v>
      </c>
      <c r="Q155" s="18" t="str">
        <f t="shared" ca="1" si="8"/>
        <v>ATRASADO</v>
      </c>
      <c r="R155" s="19" t="s">
        <v>5645</v>
      </c>
    </row>
    <row r="156" spans="1:18" ht="53.25" x14ac:dyDescent="0.2">
      <c r="A156" s="18" t="str">
        <f t="shared" si="6"/>
        <v>049278010533.11.10250.02</v>
      </c>
      <c r="B156" s="51" t="s">
        <v>984</v>
      </c>
      <c r="C156" s="51" t="s">
        <v>386</v>
      </c>
      <c r="D156" s="51" t="s">
        <v>1155</v>
      </c>
      <c r="E156" s="51" t="s">
        <v>1156</v>
      </c>
      <c r="F156" s="18" t="s">
        <v>328</v>
      </c>
      <c r="G156" s="52">
        <v>45919</v>
      </c>
      <c r="H156" s="18" t="s">
        <v>329</v>
      </c>
      <c r="I156" s="53">
        <v>2</v>
      </c>
      <c r="J156" s="54">
        <v>434.52296999999999</v>
      </c>
      <c r="K156" s="54">
        <v>869.05</v>
      </c>
      <c r="L156" s="18" t="s">
        <v>330</v>
      </c>
      <c r="M156" s="18" t="s">
        <v>331</v>
      </c>
      <c r="N156" s="55">
        <v>45992</v>
      </c>
      <c r="O156" s="18" t="str">
        <f>IFERROR(VLOOKUP(A156,'[2]RELAÇÃO DE OC''S VMI MEC 030226'!$B:$P,15,FALSE),"-")</f>
        <v>-</v>
      </c>
      <c r="P156" s="56">
        <f t="shared" ca="1" si="7"/>
        <v>84</v>
      </c>
      <c r="Q156" s="18" t="str">
        <f t="shared" ca="1" si="8"/>
        <v>ATRASADO</v>
      </c>
      <c r="R156" s="19" t="s">
        <v>5655</v>
      </c>
    </row>
    <row r="157" spans="1:18" x14ac:dyDescent="0.2">
      <c r="A157" s="18" t="str">
        <f t="shared" si="6"/>
        <v>049278010733.11.10263.00</v>
      </c>
      <c r="B157" s="51" t="s">
        <v>984</v>
      </c>
      <c r="C157" s="51" t="s">
        <v>706</v>
      </c>
      <c r="D157" s="51" t="s">
        <v>1159</v>
      </c>
      <c r="E157" s="51" t="s">
        <v>1160</v>
      </c>
      <c r="F157" s="18" t="s">
        <v>328</v>
      </c>
      <c r="G157" s="52">
        <v>45919</v>
      </c>
      <c r="H157" s="18" t="s">
        <v>329</v>
      </c>
      <c r="I157" s="53">
        <v>2</v>
      </c>
      <c r="J157" s="54">
        <v>64.058400000000006</v>
      </c>
      <c r="K157" s="54">
        <v>128.12</v>
      </c>
      <c r="L157" s="18" t="s">
        <v>330</v>
      </c>
      <c r="M157" s="18" t="s">
        <v>331</v>
      </c>
      <c r="N157" s="55">
        <v>45992</v>
      </c>
      <c r="O157" s="18" t="str">
        <f>IFERROR(VLOOKUP(A157,'[2]RELAÇÃO DE OC''S VMI MEC 030226'!$B:$P,15,FALSE),"-")</f>
        <v>-</v>
      </c>
      <c r="P157" s="56">
        <f t="shared" ca="1" si="7"/>
        <v>84</v>
      </c>
      <c r="Q157" s="18" t="str">
        <f t="shared" ca="1" si="8"/>
        <v>ATRASADO</v>
      </c>
      <c r="R157" s="19" t="s">
        <v>5645</v>
      </c>
    </row>
    <row r="158" spans="1:18" x14ac:dyDescent="0.2">
      <c r="A158" s="18" t="str">
        <f t="shared" si="6"/>
        <v>049278010833.11.10270.00</v>
      </c>
      <c r="B158" s="51" t="s">
        <v>984</v>
      </c>
      <c r="C158" s="51" t="s">
        <v>430</v>
      </c>
      <c r="D158" s="51" t="s">
        <v>1161</v>
      </c>
      <c r="E158" s="51" t="s">
        <v>1162</v>
      </c>
      <c r="F158" s="18" t="s">
        <v>328</v>
      </c>
      <c r="G158" s="52">
        <v>45919</v>
      </c>
      <c r="H158" s="18" t="s">
        <v>329</v>
      </c>
      <c r="I158" s="53">
        <v>4</v>
      </c>
      <c r="J158" s="54">
        <v>22.410675000000001</v>
      </c>
      <c r="K158" s="54">
        <v>89.64</v>
      </c>
      <c r="L158" s="18" t="s">
        <v>330</v>
      </c>
      <c r="M158" s="18" t="s">
        <v>331</v>
      </c>
      <c r="N158" s="55">
        <v>45992</v>
      </c>
      <c r="O158" s="18" t="str">
        <f>IFERROR(VLOOKUP(A158,'[2]RELAÇÃO DE OC''S VMI MEC 030226'!$B:$P,15,FALSE),"-")</f>
        <v>-</v>
      </c>
      <c r="P158" s="56">
        <f t="shared" ca="1" si="7"/>
        <v>84</v>
      </c>
      <c r="Q158" s="18" t="str">
        <f t="shared" ca="1" si="8"/>
        <v>ATRASADO</v>
      </c>
      <c r="R158" s="19" t="s">
        <v>5645</v>
      </c>
    </row>
    <row r="159" spans="1:18" x14ac:dyDescent="0.2">
      <c r="A159" s="18" t="str">
        <f t="shared" si="6"/>
        <v>049278011133.11.10277.00</v>
      </c>
      <c r="B159" s="51" t="s">
        <v>984</v>
      </c>
      <c r="C159" s="51" t="s">
        <v>407</v>
      </c>
      <c r="D159" s="51" t="s">
        <v>1167</v>
      </c>
      <c r="E159" s="51" t="s">
        <v>1168</v>
      </c>
      <c r="F159" s="18" t="s">
        <v>328</v>
      </c>
      <c r="G159" s="52">
        <v>45919</v>
      </c>
      <c r="H159" s="18" t="s">
        <v>329</v>
      </c>
      <c r="I159" s="53">
        <v>2</v>
      </c>
      <c r="J159" s="54">
        <v>27.215055</v>
      </c>
      <c r="K159" s="54">
        <v>54.43</v>
      </c>
      <c r="L159" s="18" t="s">
        <v>330</v>
      </c>
      <c r="M159" s="18" t="s">
        <v>331</v>
      </c>
      <c r="N159" s="55">
        <v>45992</v>
      </c>
      <c r="O159" s="18" t="str">
        <f>IFERROR(VLOOKUP(A159,'[2]RELAÇÃO DE OC''S VMI MEC 030226'!$B:$P,15,FALSE),"-")</f>
        <v>-</v>
      </c>
      <c r="P159" s="56">
        <f t="shared" ca="1" si="7"/>
        <v>84</v>
      </c>
      <c r="Q159" s="18" t="str">
        <f t="shared" ca="1" si="8"/>
        <v>ATRASADO</v>
      </c>
      <c r="R159" s="19" t="s">
        <v>5645</v>
      </c>
    </row>
    <row r="160" spans="1:18" x14ac:dyDescent="0.2">
      <c r="A160" s="18" t="str">
        <f t="shared" si="6"/>
        <v>049278011333.11.10284.00</v>
      </c>
      <c r="B160" s="51" t="s">
        <v>984</v>
      </c>
      <c r="C160" s="51" t="s">
        <v>446</v>
      </c>
      <c r="D160" s="51" t="s">
        <v>1171</v>
      </c>
      <c r="E160" s="51" t="s">
        <v>1172</v>
      </c>
      <c r="F160" s="18" t="s">
        <v>328</v>
      </c>
      <c r="G160" s="52">
        <v>45919</v>
      </c>
      <c r="H160" s="18" t="s">
        <v>329</v>
      </c>
      <c r="I160" s="53">
        <v>2</v>
      </c>
      <c r="J160" s="54">
        <v>229.428675</v>
      </c>
      <c r="K160" s="54">
        <v>458.86</v>
      </c>
      <c r="L160" s="18" t="s">
        <v>330</v>
      </c>
      <c r="M160" s="18" t="s">
        <v>331</v>
      </c>
      <c r="N160" s="55">
        <v>45992</v>
      </c>
      <c r="O160" s="18" t="str">
        <f>IFERROR(VLOOKUP(A160,'[2]RELAÇÃO DE OC''S VMI MEC 030226'!$B:$P,15,FALSE),"-")</f>
        <v>-</v>
      </c>
      <c r="P160" s="56">
        <f t="shared" ca="1" si="7"/>
        <v>84</v>
      </c>
      <c r="Q160" s="18" t="str">
        <f t="shared" ca="1" si="8"/>
        <v>ATRASADO</v>
      </c>
      <c r="R160" s="19" t="s">
        <v>5645</v>
      </c>
    </row>
    <row r="161" spans="1:18" x14ac:dyDescent="0.2">
      <c r="A161" s="18" t="str">
        <f t="shared" si="6"/>
        <v>049278011533.11.10287.00</v>
      </c>
      <c r="B161" s="51" t="s">
        <v>984</v>
      </c>
      <c r="C161" s="51" t="s">
        <v>344</v>
      </c>
      <c r="D161" s="51" t="s">
        <v>1175</v>
      </c>
      <c r="E161" s="51" t="s">
        <v>1176</v>
      </c>
      <c r="F161" s="18" t="s">
        <v>328</v>
      </c>
      <c r="G161" s="52">
        <v>45919</v>
      </c>
      <c r="H161" s="18" t="s">
        <v>329</v>
      </c>
      <c r="I161" s="53">
        <v>2</v>
      </c>
      <c r="J161" s="54">
        <v>226.60659000000001</v>
      </c>
      <c r="K161" s="54">
        <v>453.21</v>
      </c>
      <c r="L161" s="18" t="s">
        <v>330</v>
      </c>
      <c r="M161" s="18" t="s">
        <v>331</v>
      </c>
      <c r="N161" s="55">
        <v>45992</v>
      </c>
      <c r="O161" s="18" t="str">
        <f>IFERROR(VLOOKUP(A161,'[2]RELAÇÃO DE OC''S VMI MEC 030226'!$B:$P,15,FALSE),"-")</f>
        <v>-</v>
      </c>
      <c r="P161" s="56">
        <f t="shared" ca="1" si="7"/>
        <v>84</v>
      </c>
      <c r="Q161" s="18" t="str">
        <f t="shared" ca="1" si="8"/>
        <v>ATRASADO</v>
      </c>
      <c r="R161" s="19" t="s">
        <v>5645</v>
      </c>
    </row>
    <row r="162" spans="1:18" x14ac:dyDescent="0.2">
      <c r="A162" s="18" t="str">
        <f t="shared" si="6"/>
        <v>049278011633.11.10288.00</v>
      </c>
      <c r="B162" s="51" t="s">
        <v>984</v>
      </c>
      <c r="C162" s="51" t="s">
        <v>345</v>
      </c>
      <c r="D162" s="51" t="s">
        <v>1177</v>
      </c>
      <c r="E162" s="51" t="s">
        <v>1178</v>
      </c>
      <c r="F162" s="18" t="s">
        <v>328</v>
      </c>
      <c r="G162" s="52">
        <v>45919</v>
      </c>
      <c r="H162" s="18" t="s">
        <v>329</v>
      </c>
      <c r="I162" s="53">
        <v>2</v>
      </c>
      <c r="J162" s="54">
        <v>173.98300499999999</v>
      </c>
      <c r="K162" s="54">
        <v>347.97</v>
      </c>
      <c r="L162" s="18" t="s">
        <v>330</v>
      </c>
      <c r="M162" s="18" t="s">
        <v>331</v>
      </c>
      <c r="N162" s="55">
        <v>45992</v>
      </c>
      <c r="O162" s="18" t="str">
        <f>IFERROR(VLOOKUP(A162,'[2]RELAÇÃO DE OC''S VMI MEC 030226'!$B:$P,15,FALSE),"-")</f>
        <v>-</v>
      </c>
      <c r="P162" s="56">
        <f t="shared" ca="1" si="7"/>
        <v>84</v>
      </c>
      <c r="Q162" s="18" t="str">
        <f t="shared" ca="1" si="8"/>
        <v>ATRASADO</v>
      </c>
      <c r="R162" s="19" t="s">
        <v>5645</v>
      </c>
    </row>
    <row r="163" spans="1:18" x14ac:dyDescent="0.2">
      <c r="A163" s="18" t="str">
        <f t="shared" si="6"/>
        <v>049278011733.11.10288.00</v>
      </c>
      <c r="B163" s="51" t="s">
        <v>984</v>
      </c>
      <c r="C163" s="51" t="s">
        <v>408</v>
      </c>
      <c r="D163" s="18" t="s">
        <v>1177</v>
      </c>
      <c r="E163" s="18" t="s">
        <v>1178</v>
      </c>
      <c r="F163" s="18" t="s">
        <v>328</v>
      </c>
      <c r="G163" s="52">
        <v>45919</v>
      </c>
      <c r="H163" s="18" t="s">
        <v>329</v>
      </c>
      <c r="I163" s="53">
        <v>2</v>
      </c>
      <c r="J163" s="54">
        <v>173.98300499999999</v>
      </c>
      <c r="K163" s="54">
        <v>347.97</v>
      </c>
      <c r="L163" s="18" t="s">
        <v>330</v>
      </c>
      <c r="M163" s="18" t="s">
        <v>331</v>
      </c>
      <c r="N163" s="55">
        <v>45992</v>
      </c>
      <c r="O163" s="18" t="str">
        <f>IFERROR(VLOOKUP(A163,'[2]RELAÇÃO DE OC''S VMI MEC 030226'!$B:$P,15,FALSE),"-")</f>
        <v>-</v>
      </c>
      <c r="P163" s="56">
        <f t="shared" ca="1" si="7"/>
        <v>84</v>
      </c>
      <c r="Q163" s="18" t="str">
        <f t="shared" ca="1" si="8"/>
        <v>ATRASADO</v>
      </c>
      <c r="R163" s="19" t="s">
        <v>5645</v>
      </c>
    </row>
    <row r="164" spans="1:18" x14ac:dyDescent="0.2">
      <c r="A164" s="18" t="str">
        <f t="shared" si="6"/>
        <v>049278011833.11.10290.00</v>
      </c>
      <c r="B164" s="51" t="s">
        <v>984</v>
      </c>
      <c r="C164" s="51" t="s">
        <v>447</v>
      </c>
      <c r="D164" s="51" t="s">
        <v>1179</v>
      </c>
      <c r="E164" s="51" t="s">
        <v>1180</v>
      </c>
      <c r="F164" s="18" t="s">
        <v>328</v>
      </c>
      <c r="G164" s="52">
        <v>45919</v>
      </c>
      <c r="H164" s="18" t="s">
        <v>329</v>
      </c>
      <c r="I164" s="53">
        <v>1</v>
      </c>
      <c r="J164" s="54">
        <v>1962.7552350000001</v>
      </c>
      <c r="K164" s="54">
        <v>1962.76</v>
      </c>
      <c r="L164" s="18" t="s">
        <v>330</v>
      </c>
      <c r="M164" s="18" t="s">
        <v>331</v>
      </c>
      <c r="N164" s="55">
        <v>45992</v>
      </c>
      <c r="O164" s="18" t="str">
        <f>IFERROR(VLOOKUP(A164,'[2]RELAÇÃO DE OC''S VMI MEC 030226'!$B:$P,15,FALSE),"-")</f>
        <v>-</v>
      </c>
      <c r="P164" s="56">
        <f t="shared" ca="1" si="7"/>
        <v>84</v>
      </c>
      <c r="Q164" s="18" t="str">
        <f t="shared" ca="1" si="8"/>
        <v>ATRASADO</v>
      </c>
      <c r="R164" s="19" t="s">
        <v>5645</v>
      </c>
    </row>
    <row r="165" spans="1:18" x14ac:dyDescent="0.2">
      <c r="A165" s="18" t="str">
        <f t="shared" si="6"/>
        <v>049278011933.11.10290.00</v>
      </c>
      <c r="B165" s="51" t="s">
        <v>984</v>
      </c>
      <c r="C165" s="51" t="s">
        <v>708</v>
      </c>
      <c r="D165" s="18" t="s">
        <v>1179</v>
      </c>
      <c r="E165" s="18" t="s">
        <v>1180</v>
      </c>
      <c r="F165" s="18" t="s">
        <v>328</v>
      </c>
      <c r="G165" s="52">
        <v>45919</v>
      </c>
      <c r="H165" s="18" t="s">
        <v>329</v>
      </c>
      <c r="I165" s="53">
        <v>1</v>
      </c>
      <c r="J165" s="54">
        <v>1962.7552350000001</v>
      </c>
      <c r="K165" s="54">
        <v>1962.76</v>
      </c>
      <c r="L165" s="18" t="s">
        <v>330</v>
      </c>
      <c r="M165" s="18" t="s">
        <v>331</v>
      </c>
      <c r="N165" s="55">
        <v>45992</v>
      </c>
      <c r="O165" s="18" t="str">
        <f>IFERROR(VLOOKUP(A165,'[2]RELAÇÃO DE OC''S VMI MEC 030226'!$B:$P,15,FALSE),"-")</f>
        <v>-</v>
      </c>
      <c r="P165" s="56">
        <f t="shared" ca="1" si="7"/>
        <v>84</v>
      </c>
      <c r="Q165" s="18" t="str">
        <f t="shared" ca="1" si="8"/>
        <v>ATRASADO</v>
      </c>
      <c r="R165" s="19" t="s">
        <v>5645</v>
      </c>
    </row>
    <row r="166" spans="1:18" x14ac:dyDescent="0.2">
      <c r="A166" s="18" t="str">
        <f t="shared" si="6"/>
        <v>049278012433.11.10314.02</v>
      </c>
      <c r="B166" s="51" t="s">
        <v>984</v>
      </c>
      <c r="C166" s="51" t="s">
        <v>709</v>
      </c>
      <c r="D166" s="51" t="s">
        <v>1187</v>
      </c>
      <c r="E166" s="51" t="s">
        <v>1188</v>
      </c>
      <c r="F166" s="18" t="s">
        <v>328</v>
      </c>
      <c r="G166" s="52">
        <v>45919</v>
      </c>
      <c r="H166" s="18" t="s">
        <v>329</v>
      </c>
      <c r="I166" s="53">
        <v>4</v>
      </c>
      <c r="J166" s="54">
        <v>434.005425</v>
      </c>
      <c r="K166" s="54">
        <v>1736.02</v>
      </c>
      <c r="L166" s="18" t="s">
        <v>330</v>
      </c>
      <c r="M166" s="18" t="s">
        <v>331</v>
      </c>
      <c r="N166" s="55">
        <v>45992</v>
      </c>
      <c r="O166" s="18" t="str">
        <f>IFERROR(VLOOKUP(A166,'[2]RELAÇÃO DE OC''S VMI MEC 030226'!$B:$P,15,FALSE),"-")</f>
        <v>-</v>
      </c>
      <c r="P166" s="56">
        <f t="shared" ca="1" si="7"/>
        <v>84</v>
      </c>
      <c r="Q166" s="18" t="str">
        <f t="shared" ca="1" si="8"/>
        <v>ATRASADO</v>
      </c>
      <c r="R166" s="19" t="s">
        <v>5645</v>
      </c>
    </row>
    <row r="167" spans="1:18" x14ac:dyDescent="0.2">
      <c r="A167" s="18" t="str">
        <f t="shared" si="6"/>
        <v>049278012533.11.10322.01</v>
      </c>
      <c r="B167" s="51" t="s">
        <v>984</v>
      </c>
      <c r="C167" s="51" t="s">
        <v>433</v>
      </c>
      <c r="D167" s="51" t="s">
        <v>1189</v>
      </c>
      <c r="E167" s="51" t="s">
        <v>1190</v>
      </c>
      <c r="F167" s="18" t="s">
        <v>328</v>
      </c>
      <c r="G167" s="52">
        <v>45919</v>
      </c>
      <c r="H167" s="18" t="s">
        <v>329</v>
      </c>
      <c r="I167" s="53">
        <v>2</v>
      </c>
      <c r="J167" s="54">
        <v>767.89030500000001</v>
      </c>
      <c r="K167" s="54">
        <v>1535.78</v>
      </c>
      <c r="L167" s="18" t="s">
        <v>330</v>
      </c>
      <c r="M167" s="18" t="s">
        <v>331</v>
      </c>
      <c r="N167" s="55">
        <v>45992</v>
      </c>
      <c r="O167" s="18" t="str">
        <f>IFERROR(VLOOKUP(A167,'[2]RELAÇÃO DE OC''S VMI MEC 030226'!$B:$P,15,FALSE),"-")</f>
        <v>-</v>
      </c>
      <c r="P167" s="56">
        <f t="shared" ca="1" si="7"/>
        <v>84</v>
      </c>
      <c r="Q167" s="18" t="str">
        <f t="shared" ca="1" si="8"/>
        <v>ATRASADO</v>
      </c>
      <c r="R167" s="19" t="s">
        <v>5645</v>
      </c>
    </row>
    <row r="168" spans="1:18" x14ac:dyDescent="0.2">
      <c r="A168" s="18" t="str">
        <f t="shared" si="6"/>
        <v>049278012833.11.10380.00</v>
      </c>
      <c r="B168" s="51" t="s">
        <v>984</v>
      </c>
      <c r="C168" s="51" t="s">
        <v>710</v>
      </c>
      <c r="D168" s="51" t="s">
        <v>1195</v>
      </c>
      <c r="E168" s="51" t="s">
        <v>1196</v>
      </c>
      <c r="F168" s="18" t="s">
        <v>328</v>
      </c>
      <c r="G168" s="52">
        <v>45919</v>
      </c>
      <c r="H168" s="18" t="s">
        <v>329</v>
      </c>
      <c r="I168" s="53">
        <v>2</v>
      </c>
      <c r="J168" s="54">
        <v>85.355864999999994</v>
      </c>
      <c r="K168" s="54">
        <v>170.71</v>
      </c>
      <c r="L168" s="18" t="s">
        <v>330</v>
      </c>
      <c r="M168" s="18" t="s">
        <v>331</v>
      </c>
      <c r="N168" s="55">
        <v>45992</v>
      </c>
      <c r="O168" s="18" t="str">
        <f>IFERROR(VLOOKUP(A168,'[2]RELAÇÃO DE OC''S VMI MEC 030226'!$B:$P,15,FALSE),"-")</f>
        <v>-</v>
      </c>
      <c r="P168" s="56">
        <f t="shared" ca="1" si="7"/>
        <v>84</v>
      </c>
      <c r="Q168" s="18" t="str">
        <f t="shared" ca="1" si="8"/>
        <v>ATRASADO</v>
      </c>
      <c r="R168" s="19" t="s">
        <v>5645</v>
      </c>
    </row>
    <row r="169" spans="1:18" ht="53.25" x14ac:dyDescent="0.2">
      <c r="A169" s="18" t="str">
        <f t="shared" si="6"/>
        <v>049278013833.11.10400.00</v>
      </c>
      <c r="B169" s="51" t="s">
        <v>984</v>
      </c>
      <c r="C169" s="51" t="s">
        <v>414</v>
      </c>
      <c r="D169" s="51" t="s">
        <v>1209</v>
      </c>
      <c r="E169" s="51" t="s">
        <v>1210</v>
      </c>
      <c r="F169" s="18" t="s">
        <v>328</v>
      </c>
      <c r="G169" s="52">
        <v>45919</v>
      </c>
      <c r="H169" s="18" t="s">
        <v>329</v>
      </c>
      <c r="I169" s="53">
        <v>2</v>
      </c>
      <c r="J169" s="54">
        <v>15.19434</v>
      </c>
      <c r="K169" s="54">
        <v>30.39</v>
      </c>
      <c r="L169" s="18" t="s">
        <v>330</v>
      </c>
      <c r="M169" s="18" t="s">
        <v>331</v>
      </c>
      <c r="N169" s="55">
        <v>45992</v>
      </c>
      <c r="O169" s="18" t="str">
        <f>IFERROR(VLOOKUP(A169,'[2]RELAÇÃO DE OC''S VMI MEC 030226'!$B:$P,15,FALSE),"-")</f>
        <v>-</v>
      </c>
      <c r="P169" s="56">
        <f t="shared" ca="1" si="7"/>
        <v>84</v>
      </c>
      <c r="Q169" s="18" t="str">
        <f t="shared" ca="1" si="8"/>
        <v>ATRASADO</v>
      </c>
      <c r="R169" s="19" t="s">
        <v>5656</v>
      </c>
    </row>
    <row r="170" spans="1:18" ht="53.25" x14ac:dyDescent="0.2">
      <c r="A170" s="18" t="str">
        <f t="shared" si="6"/>
        <v>049278014133.11.10403.01</v>
      </c>
      <c r="B170" s="51" t="s">
        <v>984</v>
      </c>
      <c r="C170" s="51" t="s">
        <v>349</v>
      </c>
      <c r="D170" s="51" t="s">
        <v>1213</v>
      </c>
      <c r="E170" s="51" t="s">
        <v>1214</v>
      </c>
      <c r="F170" s="18" t="s">
        <v>328</v>
      </c>
      <c r="G170" s="52">
        <v>45919</v>
      </c>
      <c r="H170" s="18" t="s">
        <v>329</v>
      </c>
      <c r="I170" s="53">
        <v>1</v>
      </c>
      <c r="J170" s="54">
        <v>162.225945</v>
      </c>
      <c r="K170" s="54">
        <v>162.22999999999999</v>
      </c>
      <c r="L170" s="18" t="s">
        <v>330</v>
      </c>
      <c r="M170" s="18" t="s">
        <v>331</v>
      </c>
      <c r="N170" s="55">
        <v>45992</v>
      </c>
      <c r="O170" s="18" t="str">
        <f>IFERROR(VLOOKUP(A170,'[2]RELAÇÃO DE OC''S VMI MEC 030226'!$B:$P,15,FALSE),"-")</f>
        <v>-</v>
      </c>
      <c r="P170" s="56">
        <f t="shared" ca="1" si="7"/>
        <v>84</v>
      </c>
      <c r="Q170" s="18" t="str">
        <f t="shared" ca="1" si="8"/>
        <v>ATRASADO</v>
      </c>
      <c r="R170" s="19" t="s">
        <v>5656</v>
      </c>
    </row>
    <row r="171" spans="1:18" ht="53.25" x14ac:dyDescent="0.2">
      <c r="A171" s="18" t="str">
        <f t="shared" si="6"/>
        <v>049278014233.11.10404.00</v>
      </c>
      <c r="B171" s="51" t="s">
        <v>984</v>
      </c>
      <c r="C171" s="51" t="s">
        <v>437</v>
      </c>
      <c r="D171" s="51" t="s">
        <v>1215</v>
      </c>
      <c r="E171" s="51" t="s">
        <v>1216</v>
      </c>
      <c r="F171" s="18" t="s">
        <v>328</v>
      </c>
      <c r="G171" s="52">
        <v>45919</v>
      </c>
      <c r="H171" s="18" t="s">
        <v>329</v>
      </c>
      <c r="I171" s="53">
        <v>1</v>
      </c>
      <c r="J171" s="54">
        <v>164.80390499999999</v>
      </c>
      <c r="K171" s="54">
        <v>164.8</v>
      </c>
      <c r="L171" s="18" t="s">
        <v>330</v>
      </c>
      <c r="M171" s="18" t="s">
        <v>331</v>
      </c>
      <c r="N171" s="55">
        <v>45992</v>
      </c>
      <c r="O171" s="18" t="str">
        <f>IFERROR(VLOOKUP(A171,'[2]RELAÇÃO DE OC''S VMI MEC 030226'!$B:$P,15,FALSE),"-")</f>
        <v>-</v>
      </c>
      <c r="P171" s="56">
        <f t="shared" ca="1" si="7"/>
        <v>84</v>
      </c>
      <c r="Q171" s="18" t="str">
        <f t="shared" ca="1" si="8"/>
        <v>ATRASADO</v>
      </c>
      <c r="R171" s="19" t="s">
        <v>5656</v>
      </c>
    </row>
    <row r="172" spans="1:18" ht="53.25" x14ac:dyDescent="0.2">
      <c r="A172" s="18" t="str">
        <f t="shared" si="6"/>
        <v>049278014333.11.10404.00</v>
      </c>
      <c r="B172" s="51" t="s">
        <v>984</v>
      </c>
      <c r="C172" s="51" t="s">
        <v>716</v>
      </c>
      <c r="D172" s="18" t="s">
        <v>1215</v>
      </c>
      <c r="E172" s="18" t="s">
        <v>1216</v>
      </c>
      <c r="F172" s="18" t="s">
        <v>328</v>
      </c>
      <c r="G172" s="52">
        <v>45919</v>
      </c>
      <c r="H172" s="18" t="s">
        <v>329</v>
      </c>
      <c r="I172" s="53">
        <v>1</v>
      </c>
      <c r="J172" s="54">
        <v>164.80390499999999</v>
      </c>
      <c r="K172" s="54">
        <v>164.8</v>
      </c>
      <c r="L172" s="18" t="s">
        <v>330</v>
      </c>
      <c r="M172" s="18" t="s">
        <v>331</v>
      </c>
      <c r="N172" s="55">
        <v>45992</v>
      </c>
      <c r="O172" s="18" t="str">
        <f>IFERROR(VLOOKUP(A172,'[2]RELAÇÃO DE OC''S VMI MEC 030226'!$B:$P,15,FALSE),"-")</f>
        <v>-</v>
      </c>
      <c r="P172" s="56">
        <f t="shared" ca="1" si="7"/>
        <v>84</v>
      </c>
      <c r="Q172" s="18" t="str">
        <f t="shared" ca="1" si="8"/>
        <v>ATRASADO</v>
      </c>
      <c r="R172" s="19" t="s">
        <v>5656</v>
      </c>
    </row>
    <row r="173" spans="1:18" ht="53.25" x14ac:dyDescent="0.2">
      <c r="A173" s="18" t="str">
        <f t="shared" si="6"/>
        <v>049278014733.11.10417.00</v>
      </c>
      <c r="B173" s="51" t="s">
        <v>984</v>
      </c>
      <c r="C173" s="51" t="s">
        <v>738</v>
      </c>
      <c r="D173" s="51" t="s">
        <v>1223</v>
      </c>
      <c r="E173" s="51" t="s">
        <v>1224</v>
      </c>
      <c r="F173" s="18" t="s">
        <v>328</v>
      </c>
      <c r="G173" s="52">
        <v>45919</v>
      </c>
      <c r="H173" s="18" t="s">
        <v>329</v>
      </c>
      <c r="I173" s="53">
        <v>8</v>
      </c>
      <c r="J173" s="54">
        <v>448.62362999999999</v>
      </c>
      <c r="K173" s="54">
        <v>3588.99</v>
      </c>
      <c r="L173" s="18" t="s">
        <v>330</v>
      </c>
      <c r="M173" s="18" t="s">
        <v>331</v>
      </c>
      <c r="N173" s="55">
        <v>45992</v>
      </c>
      <c r="O173" s="18" t="str">
        <f>IFERROR(VLOOKUP(A173,'[2]RELAÇÃO DE OC''S VMI MEC 030226'!$B:$P,15,FALSE),"-")</f>
        <v>-</v>
      </c>
      <c r="P173" s="56">
        <f t="shared" ca="1" si="7"/>
        <v>84</v>
      </c>
      <c r="Q173" s="18" t="str">
        <f t="shared" ca="1" si="8"/>
        <v>ATRASADO</v>
      </c>
      <c r="R173" s="19" t="s">
        <v>5656</v>
      </c>
    </row>
    <row r="174" spans="1:18" ht="53.25" x14ac:dyDescent="0.2">
      <c r="A174" s="18" t="str">
        <f t="shared" si="6"/>
        <v>049278014833.11.10419.00</v>
      </c>
      <c r="B174" s="51" t="s">
        <v>984</v>
      </c>
      <c r="C174" s="51" t="s">
        <v>739</v>
      </c>
      <c r="D174" s="51" t="s">
        <v>1225</v>
      </c>
      <c r="E174" s="51" t="s">
        <v>1226</v>
      </c>
      <c r="F174" s="18" t="s">
        <v>328</v>
      </c>
      <c r="G174" s="52">
        <v>45919</v>
      </c>
      <c r="H174" s="18" t="s">
        <v>329</v>
      </c>
      <c r="I174" s="53">
        <v>8</v>
      </c>
      <c r="J174" s="54">
        <v>23.855895</v>
      </c>
      <c r="K174" s="54">
        <v>190.85</v>
      </c>
      <c r="L174" s="18" t="s">
        <v>330</v>
      </c>
      <c r="M174" s="18" t="s">
        <v>331</v>
      </c>
      <c r="N174" s="55">
        <v>45992</v>
      </c>
      <c r="O174" s="18" t="str">
        <f>IFERROR(VLOOKUP(A174,'[2]RELAÇÃO DE OC''S VMI MEC 030226'!$B:$P,15,FALSE),"-")</f>
        <v>-</v>
      </c>
      <c r="P174" s="56">
        <f t="shared" ca="1" si="7"/>
        <v>84</v>
      </c>
      <c r="Q174" s="18" t="str">
        <f t="shared" ca="1" si="8"/>
        <v>ATRASADO</v>
      </c>
      <c r="R174" s="19" t="s">
        <v>5656</v>
      </c>
    </row>
    <row r="175" spans="1:18" ht="53.25" x14ac:dyDescent="0.2">
      <c r="A175" s="18" t="str">
        <f t="shared" si="6"/>
        <v>049278015233.11.10425.01</v>
      </c>
      <c r="B175" s="51" t="s">
        <v>984</v>
      </c>
      <c r="C175" s="51" t="s">
        <v>745</v>
      </c>
      <c r="D175" s="51" t="s">
        <v>1233</v>
      </c>
      <c r="E175" s="51" t="s">
        <v>1234</v>
      </c>
      <c r="F175" s="18" t="s">
        <v>328</v>
      </c>
      <c r="G175" s="52">
        <v>45919</v>
      </c>
      <c r="H175" s="18" t="s">
        <v>329</v>
      </c>
      <c r="I175" s="53">
        <v>2</v>
      </c>
      <c r="J175" s="54">
        <v>1262.6144999999999</v>
      </c>
      <c r="K175" s="54">
        <v>2525.23</v>
      </c>
      <c r="L175" s="18" t="s">
        <v>330</v>
      </c>
      <c r="M175" s="18" t="s">
        <v>331</v>
      </c>
      <c r="N175" s="55">
        <v>45992</v>
      </c>
      <c r="O175" s="18" t="str">
        <f>IFERROR(VLOOKUP(A175,'[2]RELAÇÃO DE OC''S VMI MEC 030226'!$B:$P,15,FALSE),"-")</f>
        <v>-</v>
      </c>
      <c r="P175" s="56">
        <f t="shared" ca="1" si="7"/>
        <v>84</v>
      </c>
      <c r="Q175" s="18" t="str">
        <f t="shared" ca="1" si="8"/>
        <v>ATRASADO</v>
      </c>
      <c r="R175" s="19" t="s">
        <v>5656</v>
      </c>
    </row>
    <row r="176" spans="1:18" ht="53.25" x14ac:dyDescent="0.2">
      <c r="A176" s="18" t="str">
        <f t="shared" si="6"/>
        <v>049278015333.11.10441.00</v>
      </c>
      <c r="B176" s="51" t="s">
        <v>984</v>
      </c>
      <c r="C176" s="51" t="s">
        <v>746</v>
      </c>
      <c r="D176" s="51" t="s">
        <v>1235</v>
      </c>
      <c r="E176" s="51" t="s">
        <v>1236</v>
      </c>
      <c r="F176" s="18" t="s">
        <v>328</v>
      </c>
      <c r="G176" s="52">
        <v>45919</v>
      </c>
      <c r="H176" s="18" t="s">
        <v>329</v>
      </c>
      <c r="I176" s="53">
        <v>2</v>
      </c>
      <c r="J176" s="54">
        <v>177.43981500000001</v>
      </c>
      <c r="K176" s="54">
        <v>354.88</v>
      </c>
      <c r="L176" s="18" t="s">
        <v>330</v>
      </c>
      <c r="M176" s="18" t="s">
        <v>331</v>
      </c>
      <c r="N176" s="55">
        <v>45992</v>
      </c>
      <c r="O176" s="18" t="str">
        <f>IFERROR(VLOOKUP(A176,'[2]RELAÇÃO DE OC''S VMI MEC 030226'!$B:$P,15,FALSE),"-")</f>
        <v>-</v>
      </c>
      <c r="P176" s="56">
        <f t="shared" ca="1" si="7"/>
        <v>84</v>
      </c>
      <c r="Q176" s="18" t="str">
        <f t="shared" ca="1" si="8"/>
        <v>ATRASADO</v>
      </c>
      <c r="R176" s="19" t="s">
        <v>5656</v>
      </c>
    </row>
    <row r="177" spans="1:18" x14ac:dyDescent="0.2">
      <c r="A177" s="18" t="str">
        <f t="shared" si="6"/>
        <v>049278015433.11.10442.01</v>
      </c>
      <c r="B177" s="51" t="s">
        <v>984</v>
      </c>
      <c r="C177" s="51" t="s">
        <v>747</v>
      </c>
      <c r="D177" s="51" t="s">
        <v>1237</v>
      </c>
      <c r="E177" s="51" t="s">
        <v>1238</v>
      </c>
      <c r="F177" s="18" t="s">
        <v>328</v>
      </c>
      <c r="G177" s="52">
        <v>45919</v>
      </c>
      <c r="H177" s="18" t="s">
        <v>329</v>
      </c>
      <c r="I177" s="53">
        <v>2</v>
      </c>
      <c r="J177" s="54">
        <v>646.38441</v>
      </c>
      <c r="K177" s="54">
        <v>1292.77</v>
      </c>
      <c r="L177" s="18" t="s">
        <v>330</v>
      </c>
      <c r="M177" s="18" t="s">
        <v>331</v>
      </c>
      <c r="N177" s="55">
        <v>45992</v>
      </c>
      <c r="O177" s="18" t="str">
        <f>IFERROR(VLOOKUP(A177,'[2]RELAÇÃO DE OC''S VMI MEC 030226'!$B:$P,15,FALSE),"-")</f>
        <v>-</v>
      </c>
      <c r="P177" s="56">
        <f t="shared" ca="1" si="7"/>
        <v>84</v>
      </c>
      <c r="Q177" s="18" t="str">
        <f t="shared" ca="1" si="8"/>
        <v>ATRASADO</v>
      </c>
      <c r="R177" s="19" t="s">
        <v>5645</v>
      </c>
    </row>
    <row r="178" spans="1:18" x14ac:dyDescent="0.2">
      <c r="A178" s="18" t="str">
        <f t="shared" si="6"/>
        <v>049278015633.11.10447.01</v>
      </c>
      <c r="B178" s="51" t="s">
        <v>984</v>
      </c>
      <c r="C178" s="51" t="s">
        <v>849</v>
      </c>
      <c r="D178" s="51" t="s">
        <v>1241</v>
      </c>
      <c r="E178" s="51" t="s">
        <v>1242</v>
      </c>
      <c r="F178" s="18" t="s">
        <v>328</v>
      </c>
      <c r="G178" s="52">
        <v>45919</v>
      </c>
      <c r="H178" s="18" t="s">
        <v>329</v>
      </c>
      <c r="I178" s="53">
        <v>2</v>
      </c>
      <c r="J178" s="54">
        <v>1117.7311950000001</v>
      </c>
      <c r="K178" s="54">
        <v>2235.46</v>
      </c>
      <c r="L178" s="18" t="s">
        <v>330</v>
      </c>
      <c r="M178" s="18" t="s">
        <v>331</v>
      </c>
      <c r="N178" s="55">
        <v>45992</v>
      </c>
      <c r="O178" s="18" t="str">
        <f>IFERROR(VLOOKUP(A178,'[2]RELAÇÃO DE OC''S VMI MEC 030226'!$B:$P,15,FALSE),"-")</f>
        <v>-</v>
      </c>
      <c r="P178" s="56">
        <f t="shared" ca="1" si="7"/>
        <v>84</v>
      </c>
      <c r="Q178" s="18" t="str">
        <f t="shared" ca="1" si="8"/>
        <v>ATRASADO</v>
      </c>
      <c r="R178" s="19" t="s">
        <v>5645</v>
      </c>
    </row>
    <row r="179" spans="1:18" x14ac:dyDescent="0.2">
      <c r="A179" s="18" t="str">
        <f t="shared" si="6"/>
        <v>049278015733.11.10452.00</v>
      </c>
      <c r="B179" s="51" t="s">
        <v>984</v>
      </c>
      <c r="C179" s="51" t="s">
        <v>852</v>
      </c>
      <c r="D179" s="51" t="s">
        <v>1243</v>
      </c>
      <c r="E179" s="51" t="s">
        <v>1244</v>
      </c>
      <c r="F179" s="18" t="s">
        <v>328</v>
      </c>
      <c r="G179" s="52">
        <v>45919</v>
      </c>
      <c r="H179" s="18" t="s">
        <v>329</v>
      </c>
      <c r="I179" s="53">
        <v>2</v>
      </c>
      <c r="J179" s="54">
        <v>56.138984999999998</v>
      </c>
      <c r="K179" s="54">
        <v>112.28</v>
      </c>
      <c r="L179" s="18" t="s">
        <v>330</v>
      </c>
      <c r="M179" s="18" t="s">
        <v>331</v>
      </c>
      <c r="N179" s="55">
        <v>45992</v>
      </c>
      <c r="O179" s="18" t="str">
        <f>IFERROR(VLOOKUP(A179,'[2]RELAÇÃO DE OC''S VMI MEC 030226'!$B:$P,15,FALSE),"-")</f>
        <v>-</v>
      </c>
      <c r="P179" s="56">
        <f t="shared" ca="1" si="7"/>
        <v>84</v>
      </c>
      <c r="Q179" s="18" t="str">
        <f t="shared" ca="1" si="8"/>
        <v>ATRASADO</v>
      </c>
      <c r="R179" s="19" t="s">
        <v>5645</v>
      </c>
    </row>
    <row r="180" spans="1:18" x14ac:dyDescent="0.2">
      <c r="A180" s="18" t="str">
        <f t="shared" si="6"/>
        <v>049278016133.11.10475.01</v>
      </c>
      <c r="B180" s="51" t="s">
        <v>984</v>
      </c>
      <c r="C180" s="51" t="s">
        <v>942</v>
      </c>
      <c r="D180" s="51" t="s">
        <v>1249</v>
      </c>
      <c r="E180" s="51" t="s">
        <v>1250</v>
      </c>
      <c r="F180" s="18" t="s">
        <v>328</v>
      </c>
      <c r="G180" s="52">
        <v>45919</v>
      </c>
      <c r="H180" s="18" t="s">
        <v>329</v>
      </c>
      <c r="I180" s="53">
        <v>1</v>
      </c>
      <c r="J180" s="54">
        <v>861.74171999999999</v>
      </c>
      <c r="K180" s="54">
        <v>861.74</v>
      </c>
      <c r="L180" s="18" t="s">
        <v>330</v>
      </c>
      <c r="M180" s="18" t="s">
        <v>331</v>
      </c>
      <c r="N180" s="55">
        <v>45992</v>
      </c>
      <c r="O180" s="18" t="str">
        <f>IFERROR(VLOOKUP(A180,'[2]RELAÇÃO DE OC''S VMI MEC 030226'!$B:$P,15,FALSE),"-")</f>
        <v>-</v>
      </c>
      <c r="P180" s="56">
        <f t="shared" ca="1" si="7"/>
        <v>84</v>
      </c>
      <c r="Q180" s="18" t="str">
        <f t="shared" ca="1" si="8"/>
        <v>ATRASADO</v>
      </c>
      <c r="R180" s="19" t="s">
        <v>5645</v>
      </c>
    </row>
    <row r="181" spans="1:18" x14ac:dyDescent="0.2">
      <c r="A181" s="18" t="str">
        <f t="shared" si="6"/>
        <v>049278016233.11.10475.01</v>
      </c>
      <c r="B181" s="51" t="s">
        <v>984</v>
      </c>
      <c r="C181" s="51" t="s">
        <v>945</v>
      </c>
      <c r="D181" s="18" t="s">
        <v>1249</v>
      </c>
      <c r="E181" s="18" t="s">
        <v>1250</v>
      </c>
      <c r="F181" s="18" t="s">
        <v>328</v>
      </c>
      <c r="G181" s="52">
        <v>45919</v>
      </c>
      <c r="H181" s="18" t="s">
        <v>329</v>
      </c>
      <c r="I181" s="53">
        <v>1</v>
      </c>
      <c r="J181" s="54">
        <v>861.74171999999999</v>
      </c>
      <c r="K181" s="54">
        <v>861.74</v>
      </c>
      <c r="L181" s="18" t="s">
        <v>330</v>
      </c>
      <c r="M181" s="18" t="s">
        <v>331</v>
      </c>
      <c r="N181" s="55">
        <v>45992</v>
      </c>
      <c r="O181" s="18" t="str">
        <f>IFERROR(VLOOKUP(A181,'[2]RELAÇÃO DE OC''S VMI MEC 030226'!$B:$P,15,FALSE),"-")</f>
        <v>-</v>
      </c>
      <c r="P181" s="56">
        <f t="shared" ca="1" si="7"/>
        <v>84</v>
      </c>
      <c r="Q181" s="18" t="str">
        <f t="shared" ca="1" si="8"/>
        <v>ATRASADO</v>
      </c>
      <c r="R181" s="19" t="s">
        <v>5645</v>
      </c>
    </row>
    <row r="182" spans="1:18" x14ac:dyDescent="0.2">
      <c r="A182" s="18" t="str">
        <f t="shared" si="6"/>
        <v>049278016333.11.10488.00</v>
      </c>
      <c r="B182" s="51" t="s">
        <v>984</v>
      </c>
      <c r="C182" s="51" t="s">
        <v>1251</v>
      </c>
      <c r="D182" s="51" t="s">
        <v>1252</v>
      </c>
      <c r="E182" s="51" t="s">
        <v>1253</v>
      </c>
      <c r="F182" s="18" t="s">
        <v>328</v>
      </c>
      <c r="G182" s="52">
        <v>45919</v>
      </c>
      <c r="H182" s="18" t="s">
        <v>329</v>
      </c>
      <c r="I182" s="53">
        <v>1</v>
      </c>
      <c r="J182" s="54">
        <v>79.242975000000001</v>
      </c>
      <c r="K182" s="54">
        <v>79.239999999999995</v>
      </c>
      <c r="L182" s="18" t="s">
        <v>330</v>
      </c>
      <c r="M182" s="18" t="s">
        <v>331</v>
      </c>
      <c r="N182" s="55">
        <v>45992</v>
      </c>
      <c r="O182" s="18" t="str">
        <f>IFERROR(VLOOKUP(A182,'[2]RELAÇÃO DE OC''S VMI MEC 030226'!$B:$P,15,FALSE),"-")</f>
        <v>-</v>
      </c>
      <c r="P182" s="56">
        <f t="shared" ca="1" si="7"/>
        <v>84</v>
      </c>
      <c r="Q182" s="18" t="str">
        <f t="shared" ca="1" si="8"/>
        <v>ATRASADO</v>
      </c>
      <c r="R182" s="19" t="s">
        <v>5645</v>
      </c>
    </row>
    <row r="183" spans="1:18" x14ac:dyDescent="0.2">
      <c r="A183" s="18" t="str">
        <f t="shared" si="6"/>
        <v>049278016433.11.10488.00</v>
      </c>
      <c r="B183" s="51" t="s">
        <v>984</v>
      </c>
      <c r="C183" s="51" t="s">
        <v>1254</v>
      </c>
      <c r="D183" s="18" t="s">
        <v>1252</v>
      </c>
      <c r="E183" s="18" t="s">
        <v>1253</v>
      </c>
      <c r="F183" s="18" t="s">
        <v>328</v>
      </c>
      <c r="G183" s="52">
        <v>45919</v>
      </c>
      <c r="H183" s="18" t="s">
        <v>329</v>
      </c>
      <c r="I183" s="53">
        <v>1</v>
      </c>
      <c r="J183" s="54">
        <v>79.242975000000001</v>
      </c>
      <c r="K183" s="54">
        <v>79.239999999999995</v>
      </c>
      <c r="L183" s="18" t="s">
        <v>330</v>
      </c>
      <c r="M183" s="18" t="s">
        <v>331</v>
      </c>
      <c r="N183" s="55">
        <v>45992</v>
      </c>
      <c r="O183" s="18" t="str">
        <f>IFERROR(VLOOKUP(A183,'[2]RELAÇÃO DE OC''S VMI MEC 030226'!$B:$P,15,FALSE),"-")</f>
        <v>-</v>
      </c>
      <c r="P183" s="56">
        <f t="shared" ca="1" si="7"/>
        <v>84</v>
      </c>
      <c r="Q183" s="18" t="str">
        <f t="shared" ca="1" si="8"/>
        <v>ATRASADO</v>
      </c>
      <c r="R183" s="19" t="s">
        <v>5645</v>
      </c>
    </row>
    <row r="184" spans="1:18" ht="53.25" x14ac:dyDescent="0.2">
      <c r="A184" s="18" t="str">
        <f t="shared" si="6"/>
        <v>049278016533.11.10493.00</v>
      </c>
      <c r="B184" s="51" t="s">
        <v>984</v>
      </c>
      <c r="C184" s="51" t="s">
        <v>1255</v>
      </c>
      <c r="D184" s="51" t="s">
        <v>1256</v>
      </c>
      <c r="E184" s="51" t="s">
        <v>1257</v>
      </c>
      <c r="F184" s="18" t="s">
        <v>328</v>
      </c>
      <c r="G184" s="52">
        <v>45919</v>
      </c>
      <c r="H184" s="18" t="s">
        <v>329</v>
      </c>
      <c r="I184" s="53">
        <v>4</v>
      </c>
      <c r="J184" s="54">
        <v>224.75124</v>
      </c>
      <c r="K184" s="54">
        <v>899</v>
      </c>
      <c r="L184" s="18" t="s">
        <v>330</v>
      </c>
      <c r="M184" s="18" t="s">
        <v>331</v>
      </c>
      <c r="N184" s="55">
        <v>45992</v>
      </c>
      <c r="O184" s="18" t="str">
        <f>IFERROR(VLOOKUP(A184,'[2]RELAÇÃO DE OC''S VMI MEC 030226'!$B:$P,15,FALSE),"-")</f>
        <v>-</v>
      </c>
      <c r="P184" s="56">
        <f t="shared" ca="1" si="7"/>
        <v>84</v>
      </c>
      <c r="Q184" s="18" t="str">
        <f t="shared" ca="1" si="8"/>
        <v>ATRASADO</v>
      </c>
      <c r="R184" s="19" t="s">
        <v>5657</v>
      </c>
    </row>
    <row r="185" spans="1:18" x14ac:dyDescent="0.2">
      <c r="A185" s="18" t="str">
        <f t="shared" si="6"/>
        <v>049278016633.11.10494.01</v>
      </c>
      <c r="B185" s="51" t="s">
        <v>984</v>
      </c>
      <c r="C185" s="51" t="s">
        <v>1258</v>
      </c>
      <c r="D185" s="51" t="s">
        <v>1259</v>
      </c>
      <c r="E185" s="51" t="s">
        <v>1260</v>
      </c>
      <c r="F185" s="18" t="s">
        <v>328</v>
      </c>
      <c r="G185" s="52">
        <v>45919</v>
      </c>
      <c r="H185" s="18" t="s">
        <v>329</v>
      </c>
      <c r="I185" s="53">
        <v>2</v>
      </c>
      <c r="J185" s="54">
        <v>574.94367</v>
      </c>
      <c r="K185" s="54">
        <v>1149.8900000000001</v>
      </c>
      <c r="L185" s="18" t="s">
        <v>330</v>
      </c>
      <c r="M185" s="18" t="s">
        <v>331</v>
      </c>
      <c r="N185" s="55">
        <v>45992</v>
      </c>
      <c r="O185" s="18" t="str">
        <f>IFERROR(VLOOKUP(A185,'[2]RELAÇÃO DE OC''S VMI MEC 030226'!$B:$P,15,FALSE),"-")</f>
        <v>-</v>
      </c>
      <c r="P185" s="56">
        <f t="shared" ca="1" si="7"/>
        <v>84</v>
      </c>
      <c r="Q185" s="18" t="str">
        <f t="shared" ca="1" si="8"/>
        <v>ATRASADO</v>
      </c>
      <c r="R185" s="19" t="s">
        <v>5645</v>
      </c>
    </row>
    <row r="186" spans="1:18" x14ac:dyDescent="0.2">
      <c r="A186" s="18" t="str">
        <f t="shared" si="6"/>
        <v>049278016833.11.10498.01</v>
      </c>
      <c r="B186" s="51" t="s">
        <v>984</v>
      </c>
      <c r="C186" s="51" t="s">
        <v>1264</v>
      </c>
      <c r="D186" s="51" t="s">
        <v>1265</v>
      </c>
      <c r="E186" s="51" t="s">
        <v>1266</v>
      </c>
      <c r="F186" s="18" t="s">
        <v>328</v>
      </c>
      <c r="G186" s="52">
        <v>45919</v>
      </c>
      <c r="H186" s="18" t="s">
        <v>329</v>
      </c>
      <c r="I186" s="53">
        <v>2</v>
      </c>
      <c r="J186" s="54">
        <v>727.39485000000002</v>
      </c>
      <c r="K186" s="54">
        <v>1454.79</v>
      </c>
      <c r="L186" s="18" t="s">
        <v>330</v>
      </c>
      <c r="M186" s="18" t="s">
        <v>331</v>
      </c>
      <c r="N186" s="55">
        <v>45992</v>
      </c>
      <c r="O186" s="18" t="str">
        <f>IFERROR(VLOOKUP(A186,'[2]RELAÇÃO DE OC''S VMI MEC 030226'!$B:$P,15,FALSE),"-")</f>
        <v>-</v>
      </c>
      <c r="P186" s="56">
        <f t="shared" ca="1" si="7"/>
        <v>84</v>
      </c>
      <c r="Q186" s="18" t="str">
        <f t="shared" ca="1" si="8"/>
        <v>ATRASADO</v>
      </c>
      <c r="R186" s="19" t="s">
        <v>5645</v>
      </c>
    </row>
    <row r="187" spans="1:18" x14ac:dyDescent="0.2">
      <c r="A187" s="18" t="str">
        <f t="shared" si="6"/>
        <v>049278016933.11.10499.01</v>
      </c>
      <c r="B187" s="51" t="s">
        <v>984</v>
      </c>
      <c r="C187" s="51" t="s">
        <v>1267</v>
      </c>
      <c r="D187" s="51" t="s">
        <v>1268</v>
      </c>
      <c r="E187" s="51" t="s">
        <v>1269</v>
      </c>
      <c r="F187" s="18" t="s">
        <v>328</v>
      </c>
      <c r="G187" s="52">
        <v>45919</v>
      </c>
      <c r="H187" s="18" t="s">
        <v>329</v>
      </c>
      <c r="I187" s="53">
        <v>2</v>
      </c>
      <c r="J187" s="54">
        <v>754.72708499999999</v>
      </c>
      <c r="K187" s="54">
        <v>1509.45</v>
      </c>
      <c r="L187" s="18" t="s">
        <v>330</v>
      </c>
      <c r="M187" s="18" t="s">
        <v>331</v>
      </c>
      <c r="N187" s="55">
        <v>45992</v>
      </c>
      <c r="O187" s="18" t="str">
        <f>IFERROR(VLOOKUP(A187,'[2]RELAÇÃO DE OC''S VMI MEC 030226'!$B:$P,15,FALSE),"-")</f>
        <v>-</v>
      </c>
      <c r="P187" s="56">
        <f t="shared" ca="1" si="7"/>
        <v>84</v>
      </c>
      <c r="Q187" s="18" t="str">
        <f t="shared" ca="1" si="8"/>
        <v>ATRASADO</v>
      </c>
      <c r="R187" s="19" t="s">
        <v>5645</v>
      </c>
    </row>
    <row r="188" spans="1:18" x14ac:dyDescent="0.2">
      <c r="A188" s="18" t="str">
        <f t="shared" si="6"/>
        <v>049278017133.11.10505.00</v>
      </c>
      <c r="B188" s="51" t="s">
        <v>984</v>
      </c>
      <c r="C188" s="51" t="s">
        <v>1272</v>
      </c>
      <c r="D188" s="51" t="s">
        <v>1273</v>
      </c>
      <c r="E188" s="51" t="s">
        <v>1274</v>
      </c>
      <c r="F188" s="18" t="s">
        <v>328</v>
      </c>
      <c r="G188" s="52">
        <v>45919</v>
      </c>
      <c r="H188" s="18" t="s">
        <v>329</v>
      </c>
      <c r="I188" s="53">
        <v>1</v>
      </c>
      <c r="J188" s="54">
        <v>1890.0352800000001</v>
      </c>
      <c r="K188" s="54">
        <v>1890.04</v>
      </c>
      <c r="L188" s="18" t="s">
        <v>330</v>
      </c>
      <c r="M188" s="18" t="s">
        <v>331</v>
      </c>
      <c r="N188" s="55">
        <v>45992</v>
      </c>
      <c r="O188" s="18" t="str">
        <f>IFERROR(VLOOKUP(A188,'[2]RELAÇÃO DE OC''S VMI MEC 030226'!$B:$P,15,FALSE),"-")</f>
        <v>-</v>
      </c>
      <c r="P188" s="56">
        <f t="shared" ca="1" si="7"/>
        <v>84</v>
      </c>
      <c r="Q188" s="18" t="str">
        <f t="shared" ca="1" si="8"/>
        <v>ATRASADO</v>
      </c>
      <c r="R188" s="19" t="s">
        <v>5645</v>
      </c>
    </row>
    <row r="189" spans="1:18" x14ac:dyDescent="0.2">
      <c r="A189" s="18" t="str">
        <f t="shared" si="6"/>
        <v>049278017233.11.10505.00</v>
      </c>
      <c r="B189" s="51" t="s">
        <v>984</v>
      </c>
      <c r="C189" s="51" t="s">
        <v>1275</v>
      </c>
      <c r="D189" s="18" t="s">
        <v>1273</v>
      </c>
      <c r="E189" s="18" t="s">
        <v>1274</v>
      </c>
      <c r="F189" s="18" t="s">
        <v>328</v>
      </c>
      <c r="G189" s="52">
        <v>45919</v>
      </c>
      <c r="H189" s="18" t="s">
        <v>329</v>
      </c>
      <c r="I189" s="53">
        <v>1</v>
      </c>
      <c r="J189" s="54">
        <v>1890.0352800000001</v>
      </c>
      <c r="K189" s="54">
        <v>1890.04</v>
      </c>
      <c r="L189" s="18" t="s">
        <v>330</v>
      </c>
      <c r="M189" s="18" t="s">
        <v>331</v>
      </c>
      <c r="N189" s="55">
        <v>45992</v>
      </c>
      <c r="O189" s="18" t="str">
        <f>IFERROR(VLOOKUP(A189,'[2]RELAÇÃO DE OC''S VMI MEC 030226'!$B:$P,15,FALSE),"-")</f>
        <v>-</v>
      </c>
      <c r="P189" s="56">
        <f t="shared" ca="1" si="7"/>
        <v>84</v>
      </c>
      <c r="Q189" s="18" t="str">
        <f t="shared" ca="1" si="8"/>
        <v>ATRASADO</v>
      </c>
      <c r="R189" s="19" t="s">
        <v>5645</v>
      </c>
    </row>
    <row r="190" spans="1:18" x14ac:dyDescent="0.2">
      <c r="A190" s="18" t="str">
        <f t="shared" si="6"/>
        <v>049278017333.11.10515.00</v>
      </c>
      <c r="B190" s="51" t="s">
        <v>984</v>
      </c>
      <c r="C190" s="51" t="s">
        <v>1276</v>
      </c>
      <c r="D190" s="51" t="s">
        <v>1277</v>
      </c>
      <c r="E190" s="51" t="s">
        <v>1278</v>
      </c>
      <c r="F190" s="18" t="s">
        <v>328</v>
      </c>
      <c r="G190" s="52">
        <v>45919</v>
      </c>
      <c r="H190" s="18" t="s">
        <v>329</v>
      </c>
      <c r="I190" s="53">
        <v>8</v>
      </c>
      <c r="J190" s="54">
        <v>44.41122</v>
      </c>
      <c r="K190" s="54">
        <v>355.29</v>
      </c>
      <c r="L190" s="18" t="s">
        <v>330</v>
      </c>
      <c r="M190" s="18" t="s">
        <v>331</v>
      </c>
      <c r="N190" s="55">
        <v>45992</v>
      </c>
      <c r="O190" s="18" t="str">
        <f>IFERROR(VLOOKUP(A190,'[2]RELAÇÃO DE OC''S VMI MEC 030226'!$B:$P,15,FALSE),"-")</f>
        <v>-</v>
      </c>
      <c r="P190" s="56">
        <f t="shared" ca="1" si="7"/>
        <v>84</v>
      </c>
      <c r="Q190" s="18" t="str">
        <f t="shared" ca="1" si="8"/>
        <v>ATRASADO</v>
      </c>
      <c r="R190" s="19" t="s">
        <v>5645</v>
      </c>
    </row>
    <row r="191" spans="1:18" x14ac:dyDescent="0.2">
      <c r="A191" s="18" t="str">
        <f t="shared" si="6"/>
        <v>049278017433.11.10517.02</v>
      </c>
      <c r="B191" s="51" t="s">
        <v>984</v>
      </c>
      <c r="C191" s="51" t="s">
        <v>1279</v>
      </c>
      <c r="D191" s="51" t="s">
        <v>1280</v>
      </c>
      <c r="E191" s="51" t="s">
        <v>1281</v>
      </c>
      <c r="F191" s="18" t="s">
        <v>328</v>
      </c>
      <c r="G191" s="52">
        <v>45919</v>
      </c>
      <c r="H191" s="18" t="s">
        <v>329</v>
      </c>
      <c r="I191" s="53">
        <v>5</v>
      </c>
      <c r="J191" s="54">
        <v>43.590960000000003</v>
      </c>
      <c r="K191" s="54">
        <v>348.73</v>
      </c>
      <c r="L191" s="18" t="s">
        <v>330</v>
      </c>
      <c r="M191" s="18" t="s">
        <v>331</v>
      </c>
      <c r="N191" s="55">
        <v>45992</v>
      </c>
      <c r="O191" s="18" t="str">
        <f>IFERROR(VLOOKUP(A191,'[2]RELAÇÃO DE OC''S VMI MEC 030226'!$B:$P,15,FALSE),"-")</f>
        <v>-</v>
      </c>
      <c r="P191" s="56">
        <f t="shared" ca="1" si="7"/>
        <v>84</v>
      </c>
      <c r="Q191" s="18" t="str">
        <f t="shared" ca="1" si="8"/>
        <v>ATRASADO</v>
      </c>
      <c r="R191" s="19" t="s">
        <v>5645</v>
      </c>
    </row>
    <row r="192" spans="1:18" x14ac:dyDescent="0.2">
      <c r="A192" s="18" t="str">
        <f t="shared" si="6"/>
        <v>049278017533.11.10530.01</v>
      </c>
      <c r="B192" s="51" t="s">
        <v>984</v>
      </c>
      <c r="C192" s="51" t="s">
        <v>1282</v>
      </c>
      <c r="D192" s="51" t="s">
        <v>1283</v>
      </c>
      <c r="E192" s="51" t="s">
        <v>1284</v>
      </c>
      <c r="F192" s="18" t="s">
        <v>328</v>
      </c>
      <c r="G192" s="52">
        <v>45919</v>
      </c>
      <c r="H192" s="18" t="s">
        <v>329</v>
      </c>
      <c r="I192" s="53">
        <v>1</v>
      </c>
      <c r="J192" s="54">
        <v>461.62084499999997</v>
      </c>
      <c r="K192" s="54">
        <v>461.62</v>
      </c>
      <c r="L192" s="18" t="s">
        <v>330</v>
      </c>
      <c r="M192" s="18" t="s">
        <v>331</v>
      </c>
      <c r="N192" s="55">
        <v>45992</v>
      </c>
      <c r="O192" s="18" t="str">
        <f>IFERROR(VLOOKUP(A192,'[2]RELAÇÃO DE OC''S VMI MEC 030226'!$B:$P,15,FALSE),"-")</f>
        <v>-</v>
      </c>
      <c r="P192" s="56">
        <f t="shared" ca="1" si="7"/>
        <v>84</v>
      </c>
      <c r="Q192" s="18" t="str">
        <f t="shared" ca="1" si="8"/>
        <v>ATRASADO</v>
      </c>
      <c r="R192" s="19" t="s">
        <v>5645</v>
      </c>
    </row>
    <row r="193" spans="1:18" x14ac:dyDescent="0.2">
      <c r="A193" s="18" t="str">
        <f t="shared" si="6"/>
        <v>049278017633.11.10530.01</v>
      </c>
      <c r="B193" s="51" t="s">
        <v>984</v>
      </c>
      <c r="C193" s="51" t="s">
        <v>1285</v>
      </c>
      <c r="D193" s="18" t="s">
        <v>1283</v>
      </c>
      <c r="E193" s="18" t="s">
        <v>1284</v>
      </c>
      <c r="F193" s="18" t="s">
        <v>328</v>
      </c>
      <c r="G193" s="52">
        <v>45919</v>
      </c>
      <c r="H193" s="18" t="s">
        <v>329</v>
      </c>
      <c r="I193" s="53">
        <v>1</v>
      </c>
      <c r="J193" s="54">
        <v>461.62084499999997</v>
      </c>
      <c r="K193" s="54">
        <v>461.62</v>
      </c>
      <c r="L193" s="18" t="s">
        <v>330</v>
      </c>
      <c r="M193" s="18" t="s">
        <v>331</v>
      </c>
      <c r="N193" s="55">
        <v>45992</v>
      </c>
      <c r="O193" s="18" t="str">
        <f>IFERROR(VLOOKUP(A193,'[2]RELAÇÃO DE OC''S VMI MEC 030226'!$B:$P,15,FALSE),"-")</f>
        <v>-</v>
      </c>
      <c r="P193" s="56">
        <f t="shared" ca="1" si="7"/>
        <v>84</v>
      </c>
      <c r="Q193" s="18" t="str">
        <f t="shared" ca="1" si="8"/>
        <v>ATRASADO</v>
      </c>
      <c r="R193" s="19" t="s">
        <v>5645</v>
      </c>
    </row>
    <row r="194" spans="1:18" x14ac:dyDescent="0.2">
      <c r="A194" s="18" t="str">
        <f t="shared" ref="A194:A257" si="9">B194&amp;C194&amp;D194</f>
        <v>049278018733.11.10593.01</v>
      </c>
      <c r="B194" s="51" t="s">
        <v>984</v>
      </c>
      <c r="C194" s="51" t="s">
        <v>1302</v>
      </c>
      <c r="D194" s="51" t="s">
        <v>1303</v>
      </c>
      <c r="E194" s="51" t="s">
        <v>1304</v>
      </c>
      <c r="F194" s="18" t="s">
        <v>328</v>
      </c>
      <c r="G194" s="52">
        <v>45919</v>
      </c>
      <c r="H194" s="18" t="s">
        <v>329</v>
      </c>
      <c r="I194" s="53">
        <v>6</v>
      </c>
      <c r="J194" s="54">
        <v>29.714894999999999</v>
      </c>
      <c r="K194" s="54">
        <v>178.29</v>
      </c>
      <c r="L194" s="18" t="s">
        <v>330</v>
      </c>
      <c r="M194" s="18" t="s">
        <v>331</v>
      </c>
      <c r="N194" s="55">
        <v>45992</v>
      </c>
      <c r="O194" s="18" t="str">
        <f>IFERROR(VLOOKUP(A194,'[2]RELAÇÃO DE OC''S VMI MEC 030226'!$B:$P,15,FALSE),"-")</f>
        <v>-</v>
      </c>
      <c r="P194" s="56">
        <f t="shared" ref="P194:P257" ca="1" si="10">TODAY()-N194</f>
        <v>84</v>
      </c>
      <c r="Q194" s="18" t="str">
        <f t="shared" ref="Q194:Q257" ca="1" si="11">IF(P194&gt;0,"ATRASADO","DENTRO DO PRAZO")</f>
        <v>ATRASADO</v>
      </c>
      <c r="R194" s="19" t="s">
        <v>5645</v>
      </c>
    </row>
    <row r="195" spans="1:18" x14ac:dyDescent="0.2">
      <c r="A195" s="18" t="str">
        <f t="shared" si="9"/>
        <v>049278018833.11.10594.00</v>
      </c>
      <c r="B195" s="51" t="s">
        <v>984</v>
      </c>
      <c r="C195" s="51" t="s">
        <v>1305</v>
      </c>
      <c r="D195" s="51" t="s">
        <v>1306</v>
      </c>
      <c r="E195" s="51" t="s">
        <v>1307</v>
      </c>
      <c r="F195" s="18" t="s">
        <v>328</v>
      </c>
      <c r="G195" s="52">
        <v>45919</v>
      </c>
      <c r="H195" s="18" t="s">
        <v>329</v>
      </c>
      <c r="I195" s="53">
        <v>1</v>
      </c>
      <c r="J195" s="54">
        <v>267.65865000000002</v>
      </c>
      <c r="K195" s="54">
        <v>267.66000000000003</v>
      </c>
      <c r="L195" s="18" t="s">
        <v>330</v>
      </c>
      <c r="M195" s="18" t="s">
        <v>331</v>
      </c>
      <c r="N195" s="55">
        <v>45992</v>
      </c>
      <c r="O195" s="18" t="str">
        <f>IFERROR(VLOOKUP(A195,'[2]RELAÇÃO DE OC''S VMI MEC 030226'!$B:$P,15,FALSE),"-")</f>
        <v>-</v>
      </c>
      <c r="P195" s="56">
        <f t="shared" ca="1" si="10"/>
        <v>84</v>
      </c>
      <c r="Q195" s="18" t="str">
        <f t="shared" ca="1" si="11"/>
        <v>ATRASADO</v>
      </c>
      <c r="R195" s="19" t="s">
        <v>5645</v>
      </c>
    </row>
    <row r="196" spans="1:18" x14ac:dyDescent="0.2">
      <c r="A196" s="18" t="str">
        <f t="shared" si="9"/>
        <v>049278018933.11.10594.00</v>
      </c>
      <c r="B196" s="51" t="s">
        <v>984</v>
      </c>
      <c r="C196" s="51" t="s">
        <v>1308</v>
      </c>
      <c r="D196" s="18" t="s">
        <v>1306</v>
      </c>
      <c r="E196" s="18" t="s">
        <v>1307</v>
      </c>
      <c r="F196" s="18" t="s">
        <v>328</v>
      </c>
      <c r="G196" s="52">
        <v>45919</v>
      </c>
      <c r="H196" s="18" t="s">
        <v>329</v>
      </c>
      <c r="I196" s="53">
        <v>1</v>
      </c>
      <c r="J196" s="54">
        <v>267.65865000000002</v>
      </c>
      <c r="K196" s="54">
        <v>267.66000000000003</v>
      </c>
      <c r="L196" s="18" t="s">
        <v>330</v>
      </c>
      <c r="M196" s="18" t="s">
        <v>331</v>
      </c>
      <c r="N196" s="55">
        <v>45992</v>
      </c>
      <c r="O196" s="18" t="str">
        <f>IFERROR(VLOOKUP(A196,'[2]RELAÇÃO DE OC''S VMI MEC 030226'!$B:$P,15,FALSE),"-")</f>
        <v>-</v>
      </c>
      <c r="P196" s="56">
        <f t="shared" ca="1" si="10"/>
        <v>84</v>
      </c>
      <c r="Q196" s="18" t="str">
        <f t="shared" ca="1" si="11"/>
        <v>ATRASADO</v>
      </c>
      <c r="R196" s="19" t="s">
        <v>5645</v>
      </c>
    </row>
    <row r="197" spans="1:18" x14ac:dyDescent="0.2">
      <c r="A197" s="18" t="str">
        <f t="shared" si="9"/>
        <v>049278019333.11.10611.01</v>
      </c>
      <c r="B197" s="51" t="s">
        <v>984</v>
      </c>
      <c r="C197" s="51" t="s">
        <v>1313</v>
      </c>
      <c r="D197" s="51" t="s">
        <v>1314</v>
      </c>
      <c r="E197" s="51" t="s">
        <v>1315</v>
      </c>
      <c r="F197" s="18" t="s">
        <v>328</v>
      </c>
      <c r="G197" s="52">
        <v>45919</v>
      </c>
      <c r="H197" s="18" t="s">
        <v>329</v>
      </c>
      <c r="I197" s="53">
        <v>1</v>
      </c>
      <c r="J197" s="54">
        <v>1153.55898</v>
      </c>
      <c r="K197" s="54">
        <v>1153.56</v>
      </c>
      <c r="L197" s="18" t="s">
        <v>330</v>
      </c>
      <c r="M197" s="18" t="s">
        <v>331</v>
      </c>
      <c r="N197" s="55">
        <v>45992</v>
      </c>
      <c r="O197" s="18" t="str">
        <f>IFERROR(VLOOKUP(A197,'[2]RELAÇÃO DE OC''S VMI MEC 030226'!$B:$P,15,FALSE),"-")</f>
        <v>-</v>
      </c>
      <c r="P197" s="56">
        <f t="shared" ca="1" si="10"/>
        <v>84</v>
      </c>
      <c r="Q197" s="18" t="str">
        <f t="shared" ca="1" si="11"/>
        <v>ATRASADO</v>
      </c>
      <c r="R197" s="19" t="s">
        <v>5645</v>
      </c>
    </row>
    <row r="198" spans="1:18" x14ac:dyDescent="0.2">
      <c r="A198" s="18" t="str">
        <f t="shared" si="9"/>
        <v>049278019433.11.10611.01</v>
      </c>
      <c r="B198" s="51" t="s">
        <v>984</v>
      </c>
      <c r="C198" s="51" t="s">
        <v>350</v>
      </c>
      <c r="D198" s="18" t="s">
        <v>1314</v>
      </c>
      <c r="E198" s="18" t="s">
        <v>1315</v>
      </c>
      <c r="F198" s="18" t="s">
        <v>328</v>
      </c>
      <c r="G198" s="52">
        <v>45919</v>
      </c>
      <c r="H198" s="18" t="s">
        <v>329</v>
      </c>
      <c r="I198" s="53">
        <v>1</v>
      </c>
      <c r="J198" s="54">
        <v>1153.55898</v>
      </c>
      <c r="K198" s="54">
        <v>1153.56</v>
      </c>
      <c r="L198" s="18" t="s">
        <v>330</v>
      </c>
      <c r="M198" s="18" t="s">
        <v>331</v>
      </c>
      <c r="N198" s="55">
        <v>45992</v>
      </c>
      <c r="O198" s="18" t="str">
        <f>IFERROR(VLOOKUP(A198,'[2]RELAÇÃO DE OC''S VMI MEC 030226'!$B:$P,15,FALSE),"-")</f>
        <v>-</v>
      </c>
      <c r="P198" s="56">
        <f t="shared" ca="1" si="10"/>
        <v>84</v>
      </c>
      <c r="Q198" s="18" t="str">
        <f t="shared" ca="1" si="11"/>
        <v>ATRASADO</v>
      </c>
      <c r="R198" s="19" t="s">
        <v>5645</v>
      </c>
    </row>
    <row r="199" spans="1:18" x14ac:dyDescent="0.2">
      <c r="A199" s="18" t="str">
        <f t="shared" si="9"/>
        <v>049278019733.11.10616.00</v>
      </c>
      <c r="B199" s="51" t="s">
        <v>984</v>
      </c>
      <c r="C199" s="51" t="s">
        <v>1318</v>
      </c>
      <c r="D199" s="51" t="s">
        <v>1319</v>
      </c>
      <c r="E199" s="51" t="s">
        <v>1320</v>
      </c>
      <c r="F199" s="18" t="s">
        <v>328</v>
      </c>
      <c r="G199" s="52">
        <v>45919</v>
      </c>
      <c r="H199" s="18" t="s">
        <v>329</v>
      </c>
      <c r="I199" s="53">
        <v>1</v>
      </c>
      <c r="J199" s="54">
        <v>187.52706000000001</v>
      </c>
      <c r="K199" s="54">
        <v>187.53</v>
      </c>
      <c r="L199" s="18" t="s">
        <v>330</v>
      </c>
      <c r="M199" s="18" t="s">
        <v>331</v>
      </c>
      <c r="N199" s="55">
        <v>45992</v>
      </c>
      <c r="O199" s="18" t="str">
        <f>IFERROR(VLOOKUP(A199,'[2]RELAÇÃO DE OC''S VMI MEC 030226'!$B:$P,15,FALSE),"-")</f>
        <v>-</v>
      </c>
      <c r="P199" s="56">
        <f t="shared" ca="1" si="10"/>
        <v>84</v>
      </c>
      <c r="Q199" s="18" t="str">
        <f t="shared" ca="1" si="11"/>
        <v>ATRASADO</v>
      </c>
      <c r="R199" s="19" t="s">
        <v>5645</v>
      </c>
    </row>
    <row r="200" spans="1:18" x14ac:dyDescent="0.2">
      <c r="A200" s="18" t="str">
        <f t="shared" si="9"/>
        <v>049278019833.11.10616.00</v>
      </c>
      <c r="B200" s="51" t="s">
        <v>984</v>
      </c>
      <c r="C200" s="51" t="s">
        <v>1321</v>
      </c>
      <c r="D200" s="18" t="s">
        <v>1319</v>
      </c>
      <c r="E200" s="18" t="s">
        <v>1320</v>
      </c>
      <c r="F200" s="18" t="s">
        <v>328</v>
      </c>
      <c r="G200" s="52">
        <v>45919</v>
      </c>
      <c r="H200" s="18" t="s">
        <v>329</v>
      </c>
      <c r="I200" s="53">
        <v>1</v>
      </c>
      <c r="J200" s="54">
        <v>187.52706000000001</v>
      </c>
      <c r="K200" s="54">
        <v>187.53</v>
      </c>
      <c r="L200" s="18" t="s">
        <v>330</v>
      </c>
      <c r="M200" s="18" t="s">
        <v>331</v>
      </c>
      <c r="N200" s="55">
        <v>45992</v>
      </c>
      <c r="O200" s="18" t="str">
        <f>IFERROR(VLOOKUP(A200,'[2]RELAÇÃO DE OC''S VMI MEC 030226'!$B:$P,15,FALSE),"-")</f>
        <v>-</v>
      </c>
      <c r="P200" s="56">
        <f t="shared" ca="1" si="10"/>
        <v>84</v>
      </c>
      <c r="Q200" s="18" t="str">
        <f t="shared" ca="1" si="11"/>
        <v>ATRASADO</v>
      </c>
      <c r="R200" s="19" t="s">
        <v>5645</v>
      </c>
    </row>
    <row r="201" spans="1:18" x14ac:dyDescent="0.2">
      <c r="A201" s="18" t="str">
        <f t="shared" si="9"/>
        <v>049278019933.11.10618.00</v>
      </c>
      <c r="B201" s="51" t="s">
        <v>984</v>
      </c>
      <c r="C201" s="51" t="s">
        <v>1322</v>
      </c>
      <c r="D201" s="51" t="s">
        <v>1323</v>
      </c>
      <c r="E201" s="51" t="s">
        <v>1324</v>
      </c>
      <c r="F201" s="18" t="s">
        <v>328</v>
      </c>
      <c r="G201" s="52">
        <v>45919</v>
      </c>
      <c r="H201" s="18" t="s">
        <v>329</v>
      </c>
      <c r="I201" s="53">
        <v>2</v>
      </c>
      <c r="J201" s="54">
        <v>89.691524999999999</v>
      </c>
      <c r="K201" s="54">
        <v>179.38</v>
      </c>
      <c r="L201" s="18" t="s">
        <v>330</v>
      </c>
      <c r="M201" s="18" t="s">
        <v>331</v>
      </c>
      <c r="N201" s="55">
        <v>45992</v>
      </c>
      <c r="O201" s="18" t="str">
        <f>IFERROR(VLOOKUP(A201,'[2]RELAÇÃO DE OC''S VMI MEC 030226'!$B:$P,15,FALSE),"-")</f>
        <v>-</v>
      </c>
      <c r="P201" s="56">
        <f t="shared" ca="1" si="10"/>
        <v>84</v>
      </c>
      <c r="Q201" s="18" t="str">
        <f t="shared" ca="1" si="11"/>
        <v>ATRASADO</v>
      </c>
      <c r="R201" s="19" t="s">
        <v>5645</v>
      </c>
    </row>
    <row r="202" spans="1:18" x14ac:dyDescent="0.2">
      <c r="A202" s="18" t="str">
        <f t="shared" si="9"/>
        <v>049278020033.11.10618.00</v>
      </c>
      <c r="B202" s="51" t="s">
        <v>984</v>
      </c>
      <c r="C202" s="51" t="s">
        <v>1325</v>
      </c>
      <c r="D202" s="18" t="s">
        <v>1323</v>
      </c>
      <c r="E202" s="18" t="s">
        <v>1324</v>
      </c>
      <c r="F202" s="18" t="s">
        <v>328</v>
      </c>
      <c r="G202" s="52">
        <v>45919</v>
      </c>
      <c r="H202" s="18" t="s">
        <v>329</v>
      </c>
      <c r="I202" s="53">
        <v>2</v>
      </c>
      <c r="J202" s="54">
        <v>89.691524999999999</v>
      </c>
      <c r="K202" s="54">
        <v>179.38</v>
      </c>
      <c r="L202" s="18" t="s">
        <v>330</v>
      </c>
      <c r="M202" s="18" t="s">
        <v>331</v>
      </c>
      <c r="N202" s="55">
        <v>45992</v>
      </c>
      <c r="O202" s="18" t="str">
        <f>IFERROR(VLOOKUP(A202,'[2]RELAÇÃO DE OC''S VMI MEC 030226'!$B:$P,15,FALSE),"-")</f>
        <v>-</v>
      </c>
      <c r="P202" s="56">
        <f t="shared" ca="1" si="10"/>
        <v>84</v>
      </c>
      <c r="Q202" s="18" t="str">
        <f t="shared" ca="1" si="11"/>
        <v>ATRASADO</v>
      </c>
      <c r="R202" s="19" t="s">
        <v>5645</v>
      </c>
    </row>
    <row r="203" spans="1:18" ht="53.25" x14ac:dyDescent="0.2">
      <c r="A203" s="18" t="str">
        <f t="shared" si="9"/>
        <v>049278020533.11.10621.01</v>
      </c>
      <c r="B203" s="51" t="s">
        <v>984</v>
      </c>
      <c r="C203" s="51" t="s">
        <v>1330</v>
      </c>
      <c r="D203" s="51" t="s">
        <v>1331</v>
      </c>
      <c r="E203" s="51" t="s">
        <v>1332</v>
      </c>
      <c r="F203" s="18" t="s">
        <v>328</v>
      </c>
      <c r="G203" s="52">
        <v>45919</v>
      </c>
      <c r="H203" s="18" t="s">
        <v>329</v>
      </c>
      <c r="I203" s="53">
        <v>1</v>
      </c>
      <c r="J203" s="54">
        <v>448.30138499999998</v>
      </c>
      <c r="K203" s="54">
        <v>448.3</v>
      </c>
      <c r="L203" s="18" t="s">
        <v>330</v>
      </c>
      <c r="M203" s="18" t="s">
        <v>331</v>
      </c>
      <c r="N203" s="55">
        <v>45992</v>
      </c>
      <c r="O203" s="18" t="str">
        <f>IFERROR(VLOOKUP(A203,'[2]RELAÇÃO DE OC''S VMI MEC 030226'!$B:$P,15,FALSE),"-")</f>
        <v>-</v>
      </c>
      <c r="P203" s="56">
        <f t="shared" ca="1" si="10"/>
        <v>84</v>
      </c>
      <c r="Q203" s="18" t="str">
        <f t="shared" ca="1" si="11"/>
        <v>ATRASADO</v>
      </c>
      <c r="R203" s="19" t="s">
        <v>5656</v>
      </c>
    </row>
    <row r="204" spans="1:18" ht="53.25" x14ac:dyDescent="0.2">
      <c r="A204" s="18" t="str">
        <f t="shared" si="9"/>
        <v>049278020633.11.10621.01</v>
      </c>
      <c r="B204" s="51" t="s">
        <v>984</v>
      </c>
      <c r="C204" s="51" t="s">
        <v>1333</v>
      </c>
      <c r="D204" s="18" t="s">
        <v>1331</v>
      </c>
      <c r="E204" s="18" t="s">
        <v>1332</v>
      </c>
      <c r="F204" s="18" t="s">
        <v>328</v>
      </c>
      <c r="G204" s="52">
        <v>45919</v>
      </c>
      <c r="H204" s="18" t="s">
        <v>329</v>
      </c>
      <c r="I204" s="53">
        <v>1</v>
      </c>
      <c r="J204" s="54">
        <v>448.30138499999998</v>
      </c>
      <c r="K204" s="54">
        <v>448.3</v>
      </c>
      <c r="L204" s="18" t="s">
        <v>330</v>
      </c>
      <c r="M204" s="18" t="s">
        <v>331</v>
      </c>
      <c r="N204" s="55">
        <v>45992</v>
      </c>
      <c r="O204" s="18" t="str">
        <f>IFERROR(VLOOKUP(A204,'[2]RELAÇÃO DE OC''S VMI MEC 030226'!$B:$P,15,FALSE),"-")</f>
        <v>-</v>
      </c>
      <c r="P204" s="56">
        <f t="shared" ca="1" si="10"/>
        <v>84</v>
      </c>
      <c r="Q204" s="18" t="str">
        <f t="shared" ca="1" si="11"/>
        <v>ATRASADO</v>
      </c>
      <c r="R204" s="19" t="s">
        <v>5656</v>
      </c>
    </row>
    <row r="205" spans="1:18" x14ac:dyDescent="0.2">
      <c r="A205" s="18" t="str">
        <f t="shared" si="9"/>
        <v>049278020933.11.10623.00</v>
      </c>
      <c r="B205" s="51" t="s">
        <v>984</v>
      </c>
      <c r="C205" s="51" t="s">
        <v>1336</v>
      </c>
      <c r="D205" s="51" t="s">
        <v>1337</v>
      </c>
      <c r="E205" s="51" t="s">
        <v>1338</v>
      </c>
      <c r="F205" s="18" t="s">
        <v>328</v>
      </c>
      <c r="G205" s="52">
        <v>45919</v>
      </c>
      <c r="H205" s="18" t="s">
        <v>329</v>
      </c>
      <c r="I205" s="53">
        <v>1</v>
      </c>
      <c r="J205" s="54">
        <v>222.86659499999999</v>
      </c>
      <c r="K205" s="54">
        <v>222.87</v>
      </c>
      <c r="L205" s="18" t="s">
        <v>330</v>
      </c>
      <c r="M205" s="18" t="s">
        <v>331</v>
      </c>
      <c r="N205" s="55">
        <v>45992</v>
      </c>
      <c r="O205" s="18" t="str">
        <f>IFERROR(VLOOKUP(A205,'[2]RELAÇÃO DE OC''S VMI MEC 030226'!$B:$P,15,FALSE),"-")</f>
        <v>-</v>
      </c>
      <c r="P205" s="56">
        <f t="shared" ca="1" si="10"/>
        <v>84</v>
      </c>
      <c r="Q205" s="18" t="str">
        <f t="shared" ca="1" si="11"/>
        <v>ATRASADO</v>
      </c>
      <c r="R205" s="19" t="s">
        <v>5645</v>
      </c>
    </row>
    <row r="206" spans="1:18" x14ac:dyDescent="0.2">
      <c r="A206" s="18" t="str">
        <f t="shared" si="9"/>
        <v>049278021033.11.10623.00</v>
      </c>
      <c r="B206" s="51" t="s">
        <v>984</v>
      </c>
      <c r="C206" s="51" t="s">
        <v>1339</v>
      </c>
      <c r="D206" s="18" t="s">
        <v>1337</v>
      </c>
      <c r="E206" s="18" t="s">
        <v>1338</v>
      </c>
      <c r="F206" s="18" t="s">
        <v>328</v>
      </c>
      <c r="G206" s="52">
        <v>45919</v>
      </c>
      <c r="H206" s="18" t="s">
        <v>329</v>
      </c>
      <c r="I206" s="53">
        <v>1</v>
      </c>
      <c r="J206" s="54">
        <v>222.86659499999999</v>
      </c>
      <c r="K206" s="54">
        <v>222.87</v>
      </c>
      <c r="L206" s="18" t="s">
        <v>330</v>
      </c>
      <c r="M206" s="18" t="s">
        <v>331</v>
      </c>
      <c r="N206" s="55">
        <v>45992</v>
      </c>
      <c r="O206" s="18" t="str">
        <f>IFERROR(VLOOKUP(A206,'[2]RELAÇÃO DE OC''S VMI MEC 030226'!$B:$P,15,FALSE),"-")</f>
        <v>-</v>
      </c>
      <c r="P206" s="56">
        <f t="shared" ca="1" si="10"/>
        <v>84</v>
      </c>
      <c r="Q206" s="18" t="str">
        <f t="shared" ca="1" si="11"/>
        <v>ATRASADO</v>
      </c>
      <c r="R206" s="19" t="s">
        <v>5645</v>
      </c>
    </row>
    <row r="207" spans="1:18" x14ac:dyDescent="0.2">
      <c r="A207" s="18" t="str">
        <f t="shared" si="9"/>
        <v>049278021133.11.10625.00</v>
      </c>
      <c r="B207" s="51" t="s">
        <v>984</v>
      </c>
      <c r="C207" s="51" t="s">
        <v>1340</v>
      </c>
      <c r="D207" s="51" t="s">
        <v>1341</v>
      </c>
      <c r="E207" s="51" t="s">
        <v>1342</v>
      </c>
      <c r="F207" s="18" t="s">
        <v>328</v>
      </c>
      <c r="G207" s="52">
        <v>45919</v>
      </c>
      <c r="H207" s="18" t="s">
        <v>329</v>
      </c>
      <c r="I207" s="53">
        <v>2</v>
      </c>
      <c r="J207" s="54">
        <v>58.668120000000002</v>
      </c>
      <c r="K207" s="54">
        <v>117.34</v>
      </c>
      <c r="L207" s="18" t="s">
        <v>330</v>
      </c>
      <c r="M207" s="18" t="s">
        <v>331</v>
      </c>
      <c r="N207" s="55">
        <v>45992</v>
      </c>
      <c r="O207" s="18" t="str">
        <f>IFERROR(VLOOKUP(A207,'[2]RELAÇÃO DE OC''S VMI MEC 030226'!$B:$P,15,FALSE),"-")</f>
        <v>-</v>
      </c>
      <c r="P207" s="56">
        <f t="shared" ca="1" si="10"/>
        <v>84</v>
      </c>
      <c r="Q207" s="18" t="str">
        <f t="shared" ca="1" si="11"/>
        <v>ATRASADO</v>
      </c>
      <c r="R207" s="19" t="s">
        <v>5645</v>
      </c>
    </row>
    <row r="208" spans="1:18" x14ac:dyDescent="0.2">
      <c r="A208" s="18" t="str">
        <f t="shared" si="9"/>
        <v>049278021233.11.10625.00</v>
      </c>
      <c r="B208" s="51" t="s">
        <v>984</v>
      </c>
      <c r="C208" s="51" t="s">
        <v>1343</v>
      </c>
      <c r="D208" s="18" t="s">
        <v>1341</v>
      </c>
      <c r="E208" s="18" t="s">
        <v>1342</v>
      </c>
      <c r="F208" s="18" t="s">
        <v>328</v>
      </c>
      <c r="G208" s="52">
        <v>45919</v>
      </c>
      <c r="H208" s="18" t="s">
        <v>329</v>
      </c>
      <c r="I208" s="53">
        <v>2</v>
      </c>
      <c r="J208" s="54">
        <v>58.668120000000002</v>
      </c>
      <c r="K208" s="54">
        <v>117.34</v>
      </c>
      <c r="L208" s="18" t="s">
        <v>330</v>
      </c>
      <c r="M208" s="18" t="s">
        <v>331</v>
      </c>
      <c r="N208" s="55">
        <v>45992</v>
      </c>
      <c r="O208" s="18" t="str">
        <f>IFERROR(VLOOKUP(A208,'[2]RELAÇÃO DE OC''S VMI MEC 030226'!$B:$P,15,FALSE),"-")</f>
        <v>-</v>
      </c>
      <c r="P208" s="56">
        <f t="shared" ca="1" si="10"/>
        <v>84</v>
      </c>
      <c r="Q208" s="18" t="str">
        <f t="shared" ca="1" si="11"/>
        <v>ATRASADO</v>
      </c>
      <c r="R208" s="19" t="s">
        <v>5645</v>
      </c>
    </row>
    <row r="209" spans="1:18" x14ac:dyDescent="0.2">
      <c r="A209" s="18" t="str">
        <f t="shared" si="9"/>
        <v>049278021333.11.10633.00</v>
      </c>
      <c r="B209" s="51" t="s">
        <v>984</v>
      </c>
      <c r="C209" s="51" t="s">
        <v>1344</v>
      </c>
      <c r="D209" s="51" t="s">
        <v>1345</v>
      </c>
      <c r="E209" s="51" t="s">
        <v>1346</v>
      </c>
      <c r="F209" s="18" t="s">
        <v>328</v>
      </c>
      <c r="G209" s="52">
        <v>45919</v>
      </c>
      <c r="H209" s="18" t="s">
        <v>329</v>
      </c>
      <c r="I209" s="53">
        <v>2</v>
      </c>
      <c r="J209" s="54">
        <v>47.038004999999998</v>
      </c>
      <c r="K209" s="54">
        <v>94.08</v>
      </c>
      <c r="L209" s="18" t="s">
        <v>330</v>
      </c>
      <c r="M209" s="18" t="s">
        <v>331</v>
      </c>
      <c r="N209" s="55">
        <v>45992</v>
      </c>
      <c r="O209" s="18" t="str">
        <f>IFERROR(VLOOKUP(A209,'[2]RELAÇÃO DE OC''S VMI MEC 030226'!$B:$P,15,FALSE),"-")</f>
        <v>-</v>
      </c>
      <c r="P209" s="56">
        <f t="shared" ca="1" si="10"/>
        <v>84</v>
      </c>
      <c r="Q209" s="18" t="str">
        <f t="shared" ca="1" si="11"/>
        <v>ATRASADO</v>
      </c>
      <c r="R209" s="19" t="s">
        <v>5645</v>
      </c>
    </row>
    <row r="210" spans="1:18" ht="53.25" x14ac:dyDescent="0.2">
      <c r="A210" s="18" t="str">
        <f t="shared" si="9"/>
        <v>049278021433.11.10633.00</v>
      </c>
      <c r="B210" s="51" t="s">
        <v>984</v>
      </c>
      <c r="C210" s="51" t="s">
        <v>1347</v>
      </c>
      <c r="D210" s="18" t="s">
        <v>1345</v>
      </c>
      <c r="E210" s="18" t="s">
        <v>1346</v>
      </c>
      <c r="F210" s="18" t="s">
        <v>328</v>
      </c>
      <c r="G210" s="52">
        <v>45919</v>
      </c>
      <c r="H210" s="18" t="s">
        <v>329</v>
      </c>
      <c r="I210" s="53">
        <v>2</v>
      </c>
      <c r="J210" s="54">
        <v>47.038004999999998</v>
      </c>
      <c r="K210" s="54">
        <v>94.08</v>
      </c>
      <c r="L210" s="18" t="s">
        <v>330</v>
      </c>
      <c r="M210" s="18" t="s">
        <v>331</v>
      </c>
      <c r="N210" s="55">
        <v>45992</v>
      </c>
      <c r="O210" s="18" t="str">
        <f>IFERROR(VLOOKUP(A210,'[2]RELAÇÃO DE OC''S VMI MEC 030226'!$B:$P,15,FALSE),"-")</f>
        <v>-</v>
      </c>
      <c r="P210" s="56">
        <f t="shared" ca="1" si="10"/>
        <v>84</v>
      </c>
      <c r="Q210" s="18" t="str">
        <f t="shared" ca="1" si="11"/>
        <v>ATRASADO</v>
      </c>
      <c r="R210" s="19" t="s">
        <v>5656</v>
      </c>
    </row>
    <row r="211" spans="1:18" ht="53.25" x14ac:dyDescent="0.2">
      <c r="A211" s="18" t="str">
        <f t="shared" si="9"/>
        <v>049278021533.11.10634.00</v>
      </c>
      <c r="B211" s="51" t="s">
        <v>984</v>
      </c>
      <c r="C211" s="51" t="s">
        <v>1348</v>
      </c>
      <c r="D211" s="51" t="s">
        <v>1349</v>
      </c>
      <c r="E211" s="51" t="s">
        <v>1350</v>
      </c>
      <c r="F211" s="18" t="s">
        <v>328</v>
      </c>
      <c r="G211" s="52">
        <v>45919</v>
      </c>
      <c r="H211" s="18" t="s">
        <v>329</v>
      </c>
      <c r="I211" s="53">
        <v>2</v>
      </c>
      <c r="J211" s="54">
        <v>51.539670000000001</v>
      </c>
      <c r="K211" s="54">
        <v>103.08</v>
      </c>
      <c r="L211" s="18" t="s">
        <v>330</v>
      </c>
      <c r="M211" s="18" t="s">
        <v>331</v>
      </c>
      <c r="N211" s="55">
        <v>45992</v>
      </c>
      <c r="O211" s="18" t="str">
        <f>IFERROR(VLOOKUP(A211,'[2]RELAÇÃO DE OC''S VMI MEC 030226'!$B:$P,15,FALSE),"-")</f>
        <v>-</v>
      </c>
      <c r="P211" s="56">
        <f t="shared" ca="1" si="10"/>
        <v>84</v>
      </c>
      <c r="Q211" s="18" t="str">
        <f t="shared" ca="1" si="11"/>
        <v>ATRASADO</v>
      </c>
      <c r="R211" s="19" t="s">
        <v>5656</v>
      </c>
    </row>
    <row r="212" spans="1:18" x14ac:dyDescent="0.2">
      <c r="A212" s="18" t="str">
        <f t="shared" si="9"/>
        <v>049278021633.11.10634.00</v>
      </c>
      <c r="B212" s="51" t="s">
        <v>984</v>
      </c>
      <c r="C212" s="51" t="s">
        <v>1351</v>
      </c>
      <c r="D212" s="18" t="s">
        <v>1349</v>
      </c>
      <c r="E212" s="18" t="s">
        <v>1350</v>
      </c>
      <c r="F212" s="18" t="s">
        <v>328</v>
      </c>
      <c r="G212" s="52">
        <v>45919</v>
      </c>
      <c r="H212" s="18" t="s">
        <v>329</v>
      </c>
      <c r="I212" s="53">
        <v>2</v>
      </c>
      <c r="J212" s="54">
        <v>51.539670000000001</v>
      </c>
      <c r="K212" s="54">
        <v>103.08</v>
      </c>
      <c r="L212" s="18" t="s">
        <v>330</v>
      </c>
      <c r="M212" s="18" t="s">
        <v>331</v>
      </c>
      <c r="N212" s="55">
        <v>45992</v>
      </c>
      <c r="O212" s="18" t="str">
        <f>IFERROR(VLOOKUP(A212,'[2]RELAÇÃO DE OC''S VMI MEC 030226'!$B:$P,15,FALSE),"-")</f>
        <v>-</v>
      </c>
      <c r="P212" s="56">
        <f t="shared" ca="1" si="10"/>
        <v>84</v>
      </c>
      <c r="Q212" s="18" t="str">
        <f t="shared" ca="1" si="11"/>
        <v>ATRASADO</v>
      </c>
      <c r="R212" s="19" t="s">
        <v>5645</v>
      </c>
    </row>
    <row r="213" spans="1:18" x14ac:dyDescent="0.2">
      <c r="A213" s="18" t="str">
        <f t="shared" si="9"/>
        <v>049278022033.11.10647.00</v>
      </c>
      <c r="B213" s="51" t="s">
        <v>984</v>
      </c>
      <c r="C213" s="51" t="s">
        <v>1358</v>
      </c>
      <c r="D213" s="51" t="s">
        <v>1359</v>
      </c>
      <c r="E213" s="51" t="s">
        <v>1360</v>
      </c>
      <c r="F213" s="18" t="s">
        <v>328</v>
      </c>
      <c r="G213" s="52">
        <v>45919</v>
      </c>
      <c r="H213" s="18" t="s">
        <v>329</v>
      </c>
      <c r="I213" s="53">
        <v>2</v>
      </c>
      <c r="J213" s="54">
        <v>48.492989999999999</v>
      </c>
      <c r="K213" s="54">
        <v>96.99</v>
      </c>
      <c r="L213" s="18" t="s">
        <v>330</v>
      </c>
      <c r="M213" s="18" t="s">
        <v>331</v>
      </c>
      <c r="N213" s="55">
        <v>45992</v>
      </c>
      <c r="O213" s="18" t="str">
        <f>IFERROR(VLOOKUP(A213,'[2]RELAÇÃO DE OC''S VMI MEC 030226'!$B:$P,15,FALSE),"-")</f>
        <v>-</v>
      </c>
      <c r="P213" s="56">
        <f t="shared" ca="1" si="10"/>
        <v>84</v>
      </c>
      <c r="Q213" s="18" t="str">
        <f t="shared" ca="1" si="11"/>
        <v>ATRASADO</v>
      </c>
      <c r="R213" s="19" t="s">
        <v>5645</v>
      </c>
    </row>
    <row r="214" spans="1:18" x14ac:dyDescent="0.2">
      <c r="A214" s="18" t="str">
        <f t="shared" si="9"/>
        <v>049278022133.11.10647.00</v>
      </c>
      <c r="B214" s="51" t="s">
        <v>984</v>
      </c>
      <c r="C214" s="51" t="s">
        <v>1361</v>
      </c>
      <c r="D214" s="18" t="s">
        <v>1359</v>
      </c>
      <c r="E214" s="18" t="s">
        <v>1360</v>
      </c>
      <c r="F214" s="18" t="s">
        <v>328</v>
      </c>
      <c r="G214" s="52">
        <v>45919</v>
      </c>
      <c r="H214" s="18" t="s">
        <v>329</v>
      </c>
      <c r="I214" s="53">
        <v>2</v>
      </c>
      <c r="J214" s="54">
        <v>48.492989999999999</v>
      </c>
      <c r="K214" s="54">
        <v>96.99</v>
      </c>
      <c r="L214" s="18" t="s">
        <v>330</v>
      </c>
      <c r="M214" s="18" t="s">
        <v>331</v>
      </c>
      <c r="N214" s="55">
        <v>45992</v>
      </c>
      <c r="O214" s="18" t="str">
        <f>IFERROR(VLOOKUP(A214,'[2]RELAÇÃO DE OC''S VMI MEC 030226'!$B:$P,15,FALSE),"-")</f>
        <v>-</v>
      </c>
      <c r="P214" s="56">
        <f t="shared" ca="1" si="10"/>
        <v>84</v>
      </c>
      <c r="Q214" s="18" t="str">
        <f t="shared" ca="1" si="11"/>
        <v>ATRASADO</v>
      </c>
      <c r="R214" s="19" t="s">
        <v>5645</v>
      </c>
    </row>
    <row r="215" spans="1:18" x14ac:dyDescent="0.2">
      <c r="A215" s="18" t="str">
        <f t="shared" si="9"/>
        <v>049278022233.11.10648.00</v>
      </c>
      <c r="B215" s="51" t="s">
        <v>984</v>
      </c>
      <c r="C215" s="51" t="s">
        <v>1362</v>
      </c>
      <c r="D215" s="51" t="s">
        <v>1363</v>
      </c>
      <c r="E215" s="51" t="s">
        <v>1364</v>
      </c>
      <c r="F215" s="18" t="s">
        <v>328</v>
      </c>
      <c r="G215" s="52">
        <v>45919</v>
      </c>
      <c r="H215" s="18" t="s">
        <v>329</v>
      </c>
      <c r="I215" s="53">
        <v>2</v>
      </c>
      <c r="J215" s="54">
        <v>47.741084999999998</v>
      </c>
      <c r="K215" s="54">
        <v>95.48</v>
      </c>
      <c r="L215" s="18" t="s">
        <v>330</v>
      </c>
      <c r="M215" s="18" t="s">
        <v>331</v>
      </c>
      <c r="N215" s="55">
        <v>45992</v>
      </c>
      <c r="O215" s="18" t="str">
        <f>IFERROR(VLOOKUP(A215,'[2]RELAÇÃO DE OC''S VMI MEC 030226'!$B:$P,15,FALSE),"-")</f>
        <v>-</v>
      </c>
      <c r="P215" s="56">
        <f t="shared" ca="1" si="10"/>
        <v>84</v>
      </c>
      <c r="Q215" s="18" t="str">
        <f t="shared" ca="1" si="11"/>
        <v>ATRASADO</v>
      </c>
      <c r="R215" s="19" t="s">
        <v>5645</v>
      </c>
    </row>
    <row r="216" spans="1:18" x14ac:dyDescent="0.2">
      <c r="A216" s="18" t="str">
        <f t="shared" si="9"/>
        <v>049278022333.11.10648.00</v>
      </c>
      <c r="B216" s="51" t="s">
        <v>984</v>
      </c>
      <c r="C216" s="51" t="s">
        <v>1365</v>
      </c>
      <c r="D216" s="18" t="s">
        <v>1363</v>
      </c>
      <c r="E216" s="18" t="s">
        <v>1364</v>
      </c>
      <c r="F216" s="18" t="s">
        <v>328</v>
      </c>
      <c r="G216" s="52">
        <v>45919</v>
      </c>
      <c r="H216" s="18" t="s">
        <v>329</v>
      </c>
      <c r="I216" s="53">
        <v>2</v>
      </c>
      <c r="J216" s="54">
        <v>47.741084999999998</v>
      </c>
      <c r="K216" s="54">
        <v>95.48</v>
      </c>
      <c r="L216" s="18" t="s">
        <v>330</v>
      </c>
      <c r="M216" s="18" t="s">
        <v>331</v>
      </c>
      <c r="N216" s="55">
        <v>45992</v>
      </c>
      <c r="O216" s="18" t="str">
        <f>IFERROR(VLOOKUP(A216,'[2]RELAÇÃO DE OC''S VMI MEC 030226'!$B:$P,15,FALSE),"-")</f>
        <v>-</v>
      </c>
      <c r="P216" s="56">
        <f t="shared" ca="1" si="10"/>
        <v>84</v>
      </c>
      <c r="Q216" s="18" t="str">
        <f t="shared" ca="1" si="11"/>
        <v>ATRASADO</v>
      </c>
      <c r="R216" s="19" t="s">
        <v>5645</v>
      </c>
    </row>
    <row r="217" spans="1:18" x14ac:dyDescent="0.2">
      <c r="A217" s="18" t="str">
        <f t="shared" si="9"/>
        <v>049278022633.11.10658.00</v>
      </c>
      <c r="B217" s="51" t="s">
        <v>984</v>
      </c>
      <c r="C217" s="51" t="s">
        <v>1370</v>
      </c>
      <c r="D217" s="51" t="s">
        <v>1371</v>
      </c>
      <c r="E217" s="51" t="s">
        <v>1372</v>
      </c>
      <c r="F217" s="18" t="s">
        <v>328</v>
      </c>
      <c r="G217" s="52">
        <v>45919</v>
      </c>
      <c r="H217" s="18" t="s">
        <v>329</v>
      </c>
      <c r="I217" s="53">
        <v>2</v>
      </c>
      <c r="J217" s="54">
        <v>138.184515</v>
      </c>
      <c r="K217" s="54">
        <v>276.37</v>
      </c>
      <c r="L217" s="18" t="s">
        <v>330</v>
      </c>
      <c r="M217" s="18" t="s">
        <v>331</v>
      </c>
      <c r="N217" s="55">
        <v>45992</v>
      </c>
      <c r="O217" s="18" t="str">
        <f>IFERROR(VLOOKUP(A217,'[2]RELAÇÃO DE OC''S VMI MEC 030226'!$B:$P,15,FALSE),"-")</f>
        <v>-</v>
      </c>
      <c r="P217" s="56">
        <f t="shared" ca="1" si="10"/>
        <v>84</v>
      </c>
      <c r="Q217" s="18" t="str">
        <f t="shared" ca="1" si="11"/>
        <v>ATRASADO</v>
      </c>
      <c r="R217" s="19" t="s">
        <v>5645</v>
      </c>
    </row>
    <row r="218" spans="1:18" x14ac:dyDescent="0.2">
      <c r="A218" s="18" t="str">
        <f t="shared" si="9"/>
        <v>049278022733.11.10658.00</v>
      </c>
      <c r="B218" s="51" t="s">
        <v>984</v>
      </c>
      <c r="C218" s="51" t="s">
        <v>1373</v>
      </c>
      <c r="D218" s="18" t="s">
        <v>1371</v>
      </c>
      <c r="E218" s="18" t="s">
        <v>1372</v>
      </c>
      <c r="F218" s="18" t="s">
        <v>328</v>
      </c>
      <c r="G218" s="52">
        <v>45919</v>
      </c>
      <c r="H218" s="18" t="s">
        <v>329</v>
      </c>
      <c r="I218" s="53">
        <v>2</v>
      </c>
      <c r="J218" s="54">
        <v>138.184515</v>
      </c>
      <c r="K218" s="54">
        <v>276.37</v>
      </c>
      <c r="L218" s="18" t="s">
        <v>330</v>
      </c>
      <c r="M218" s="18" t="s">
        <v>331</v>
      </c>
      <c r="N218" s="55">
        <v>45992</v>
      </c>
      <c r="O218" s="18" t="str">
        <f>IFERROR(VLOOKUP(A218,'[2]RELAÇÃO DE OC''S VMI MEC 030226'!$B:$P,15,FALSE),"-")</f>
        <v>-</v>
      </c>
      <c r="P218" s="56">
        <f t="shared" ca="1" si="10"/>
        <v>84</v>
      </c>
      <c r="Q218" s="18" t="str">
        <f t="shared" ca="1" si="11"/>
        <v>ATRASADO</v>
      </c>
      <c r="R218" s="19" t="s">
        <v>5645</v>
      </c>
    </row>
    <row r="219" spans="1:18" x14ac:dyDescent="0.2">
      <c r="A219" s="18" t="str">
        <f t="shared" si="9"/>
        <v>049278023033.11.10660.00</v>
      </c>
      <c r="B219" s="51" t="s">
        <v>984</v>
      </c>
      <c r="C219" s="51" t="s">
        <v>1376</v>
      </c>
      <c r="D219" s="51" t="s">
        <v>1377</v>
      </c>
      <c r="E219" s="51" t="s">
        <v>1378</v>
      </c>
      <c r="F219" s="18" t="s">
        <v>328</v>
      </c>
      <c r="G219" s="52">
        <v>45919</v>
      </c>
      <c r="H219" s="18" t="s">
        <v>329</v>
      </c>
      <c r="I219" s="53">
        <v>1</v>
      </c>
      <c r="J219" s="54">
        <v>1685.9956050000001</v>
      </c>
      <c r="K219" s="54">
        <v>1686</v>
      </c>
      <c r="L219" s="18" t="s">
        <v>330</v>
      </c>
      <c r="M219" s="18" t="s">
        <v>331</v>
      </c>
      <c r="N219" s="55">
        <v>45992</v>
      </c>
      <c r="O219" s="18" t="str">
        <f>IFERROR(VLOOKUP(A219,'[2]RELAÇÃO DE OC''S VMI MEC 030226'!$B:$P,15,FALSE),"-")</f>
        <v>-</v>
      </c>
      <c r="P219" s="56">
        <f t="shared" ca="1" si="10"/>
        <v>84</v>
      </c>
      <c r="Q219" s="18" t="str">
        <f t="shared" ca="1" si="11"/>
        <v>ATRASADO</v>
      </c>
      <c r="R219" s="19" t="s">
        <v>5645</v>
      </c>
    </row>
    <row r="220" spans="1:18" ht="53.25" x14ac:dyDescent="0.2">
      <c r="A220" s="18" t="str">
        <f t="shared" si="9"/>
        <v>049278023133.11.10660.00</v>
      </c>
      <c r="B220" s="51" t="s">
        <v>984</v>
      </c>
      <c r="C220" s="51" t="s">
        <v>1379</v>
      </c>
      <c r="D220" s="18" t="s">
        <v>1377</v>
      </c>
      <c r="E220" s="18" t="s">
        <v>1378</v>
      </c>
      <c r="F220" s="18" t="s">
        <v>328</v>
      </c>
      <c r="G220" s="52">
        <v>45919</v>
      </c>
      <c r="H220" s="18" t="s">
        <v>329</v>
      </c>
      <c r="I220" s="53">
        <v>1</v>
      </c>
      <c r="J220" s="54">
        <v>1685.9956050000001</v>
      </c>
      <c r="K220" s="54">
        <v>1686</v>
      </c>
      <c r="L220" s="18" t="s">
        <v>330</v>
      </c>
      <c r="M220" s="18" t="s">
        <v>331</v>
      </c>
      <c r="N220" s="55">
        <v>45992</v>
      </c>
      <c r="O220" s="18" t="str">
        <f>IFERROR(VLOOKUP(A220,'[2]RELAÇÃO DE OC''S VMI MEC 030226'!$B:$P,15,FALSE),"-")</f>
        <v>-</v>
      </c>
      <c r="P220" s="56">
        <f t="shared" ca="1" si="10"/>
        <v>84</v>
      </c>
      <c r="Q220" s="18" t="str">
        <f t="shared" ca="1" si="11"/>
        <v>ATRASADO</v>
      </c>
      <c r="R220" s="19" t="s">
        <v>5658</v>
      </c>
    </row>
    <row r="221" spans="1:18" ht="53.25" x14ac:dyDescent="0.2">
      <c r="A221" s="18" t="str">
        <f t="shared" si="9"/>
        <v>049278023233.11.10666.00</v>
      </c>
      <c r="B221" s="51" t="s">
        <v>984</v>
      </c>
      <c r="C221" s="51" t="s">
        <v>1380</v>
      </c>
      <c r="D221" s="51" t="s">
        <v>1381</v>
      </c>
      <c r="E221" s="51" t="s">
        <v>1382</v>
      </c>
      <c r="F221" s="18" t="s">
        <v>328</v>
      </c>
      <c r="G221" s="52">
        <v>45919</v>
      </c>
      <c r="H221" s="18" t="s">
        <v>329</v>
      </c>
      <c r="I221" s="53">
        <v>4</v>
      </c>
      <c r="J221" s="54">
        <v>959.39</v>
      </c>
      <c r="K221" s="54">
        <v>3837.56</v>
      </c>
      <c r="L221" s="18" t="s">
        <v>330</v>
      </c>
      <c r="M221" s="18" t="s">
        <v>331</v>
      </c>
      <c r="N221" s="55">
        <v>45992</v>
      </c>
      <c r="O221" s="18" t="str">
        <f>IFERROR(VLOOKUP(A221,'[2]RELAÇÃO DE OC''S VMI MEC 030226'!$B:$P,15,FALSE),"-")</f>
        <v>-</v>
      </c>
      <c r="P221" s="56">
        <f t="shared" ca="1" si="10"/>
        <v>84</v>
      </c>
      <c r="Q221" s="18" t="str">
        <f t="shared" ca="1" si="11"/>
        <v>ATRASADO</v>
      </c>
      <c r="R221" s="19" t="s">
        <v>5658</v>
      </c>
    </row>
    <row r="222" spans="1:18" ht="53.25" x14ac:dyDescent="0.2">
      <c r="A222" s="18" t="str">
        <f t="shared" si="9"/>
        <v>049278023433.11.10675.01</v>
      </c>
      <c r="B222" s="51" t="s">
        <v>984</v>
      </c>
      <c r="C222" s="51" t="s">
        <v>1385</v>
      </c>
      <c r="D222" s="51" t="s">
        <v>1386</v>
      </c>
      <c r="E222" s="51" t="s">
        <v>1387</v>
      </c>
      <c r="F222" s="18" t="s">
        <v>328</v>
      </c>
      <c r="G222" s="52">
        <v>45919</v>
      </c>
      <c r="H222" s="18" t="s">
        <v>329</v>
      </c>
      <c r="I222" s="53">
        <v>1</v>
      </c>
      <c r="J222" s="54">
        <v>197.31159</v>
      </c>
      <c r="K222" s="54">
        <v>789.25</v>
      </c>
      <c r="L222" s="18" t="s">
        <v>330</v>
      </c>
      <c r="M222" s="18" t="s">
        <v>331</v>
      </c>
      <c r="N222" s="55">
        <v>45992</v>
      </c>
      <c r="O222" s="18" t="str">
        <f>IFERROR(VLOOKUP(A222,'[2]RELAÇÃO DE OC''S VMI MEC 030226'!$B:$P,15,FALSE),"-")</f>
        <v>-</v>
      </c>
      <c r="P222" s="56">
        <f t="shared" ca="1" si="10"/>
        <v>84</v>
      </c>
      <c r="Q222" s="18" t="str">
        <f t="shared" ca="1" si="11"/>
        <v>ATRASADO</v>
      </c>
      <c r="R222" s="19" t="s">
        <v>5658</v>
      </c>
    </row>
    <row r="223" spans="1:18" ht="53.25" x14ac:dyDescent="0.2">
      <c r="A223" s="18" t="str">
        <f t="shared" si="9"/>
        <v>049278023533.11.10683.00</v>
      </c>
      <c r="B223" s="51" t="s">
        <v>984</v>
      </c>
      <c r="C223" s="51" t="s">
        <v>1388</v>
      </c>
      <c r="D223" s="51" t="s">
        <v>1389</v>
      </c>
      <c r="E223" s="51" t="s">
        <v>1390</v>
      </c>
      <c r="F223" s="18" t="s">
        <v>328</v>
      </c>
      <c r="G223" s="52">
        <v>45919</v>
      </c>
      <c r="H223" s="18" t="s">
        <v>329</v>
      </c>
      <c r="I223" s="53">
        <v>2</v>
      </c>
      <c r="J223" s="54">
        <v>235.85265000000001</v>
      </c>
      <c r="K223" s="54">
        <v>471.71</v>
      </c>
      <c r="L223" s="18" t="s">
        <v>330</v>
      </c>
      <c r="M223" s="18" t="s">
        <v>331</v>
      </c>
      <c r="N223" s="55">
        <v>45992</v>
      </c>
      <c r="O223" s="18" t="str">
        <f>IFERROR(VLOOKUP(A223,'[2]RELAÇÃO DE OC''S VMI MEC 030226'!$B:$P,15,FALSE),"-")</f>
        <v>-</v>
      </c>
      <c r="P223" s="56">
        <f t="shared" ca="1" si="10"/>
        <v>84</v>
      </c>
      <c r="Q223" s="18" t="str">
        <f t="shared" ca="1" si="11"/>
        <v>ATRASADO</v>
      </c>
      <c r="R223" s="19" t="s">
        <v>5659</v>
      </c>
    </row>
    <row r="224" spans="1:18" ht="53.25" x14ac:dyDescent="0.2">
      <c r="A224" s="18" t="str">
        <f t="shared" si="9"/>
        <v>049278023633.11.10692.00</v>
      </c>
      <c r="B224" s="51" t="s">
        <v>984</v>
      </c>
      <c r="C224" s="51" t="s">
        <v>1391</v>
      </c>
      <c r="D224" s="51" t="s">
        <v>1392</v>
      </c>
      <c r="E224" s="51" t="s">
        <v>1393</v>
      </c>
      <c r="F224" s="18" t="s">
        <v>328</v>
      </c>
      <c r="G224" s="52">
        <v>45919</v>
      </c>
      <c r="H224" s="18" t="s">
        <v>329</v>
      </c>
      <c r="I224" s="53">
        <v>4</v>
      </c>
      <c r="J224" s="54">
        <v>78.35436</v>
      </c>
      <c r="K224" s="54">
        <v>313.42</v>
      </c>
      <c r="L224" s="18" t="s">
        <v>330</v>
      </c>
      <c r="M224" s="18" t="s">
        <v>331</v>
      </c>
      <c r="N224" s="55">
        <v>45992</v>
      </c>
      <c r="O224" s="18" t="str">
        <f>IFERROR(VLOOKUP(A224,'[2]RELAÇÃO DE OC''S VMI MEC 030226'!$B:$P,15,FALSE),"-")</f>
        <v>-</v>
      </c>
      <c r="P224" s="56">
        <f t="shared" ca="1" si="10"/>
        <v>84</v>
      </c>
      <c r="Q224" s="18" t="str">
        <f t="shared" ca="1" si="11"/>
        <v>ATRASADO</v>
      </c>
      <c r="R224" s="19" t="s">
        <v>5659</v>
      </c>
    </row>
    <row r="225" spans="1:18" ht="53.25" x14ac:dyDescent="0.2">
      <c r="A225" s="18" t="str">
        <f t="shared" si="9"/>
        <v>049278023733.11.10694.01</v>
      </c>
      <c r="B225" s="51" t="s">
        <v>984</v>
      </c>
      <c r="C225" s="51" t="s">
        <v>1394</v>
      </c>
      <c r="D225" s="51" t="s">
        <v>1395</v>
      </c>
      <c r="E225" s="51" t="s">
        <v>1396</v>
      </c>
      <c r="F225" s="18" t="s">
        <v>328</v>
      </c>
      <c r="G225" s="52">
        <v>45919</v>
      </c>
      <c r="H225" s="18" t="s">
        <v>329</v>
      </c>
      <c r="I225" s="53">
        <v>1</v>
      </c>
      <c r="J225" s="54">
        <v>61.695270000000001</v>
      </c>
      <c r="K225" s="54">
        <v>61.7</v>
      </c>
      <c r="L225" s="18" t="s">
        <v>330</v>
      </c>
      <c r="M225" s="18" t="s">
        <v>331</v>
      </c>
      <c r="N225" s="55">
        <v>45992</v>
      </c>
      <c r="O225" s="18" t="str">
        <f>IFERROR(VLOOKUP(A225,'[2]RELAÇÃO DE OC''S VMI MEC 030226'!$B:$P,15,FALSE),"-")</f>
        <v>-</v>
      </c>
      <c r="P225" s="56">
        <f t="shared" ca="1" si="10"/>
        <v>84</v>
      </c>
      <c r="Q225" s="18" t="str">
        <f t="shared" ca="1" si="11"/>
        <v>ATRASADO</v>
      </c>
      <c r="R225" s="19" t="s">
        <v>5659</v>
      </c>
    </row>
    <row r="226" spans="1:18" ht="53.25" x14ac:dyDescent="0.2">
      <c r="A226" s="18" t="str">
        <f t="shared" si="9"/>
        <v>049278023833.11.10723.00</v>
      </c>
      <c r="B226" s="51" t="s">
        <v>984</v>
      </c>
      <c r="C226" s="51" t="s">
        <v>1397</v>
      </c>
      <c r="D226" s="51" t="s">
        <v>1398</v>
      </c>
      <c r="E226" s="51" t="s">
        <v>1399</v>
      </c>
      <c r="F226" s="18" t="s">
        <v>328</v>
      </c>
      <c r="G226" s="52">
        <v>45919</v>
      </c>
      <c r="H226" s="18" t="s">
        <v>329</v>
      </c>
      <c r="I226" s="53">
        <v>4</v>
      </c>
      <c r="J226" s="54">
        <v>292.11021</v>
      </c>
      <c r="K226" s="54">
        <v>1168.44</v>
      </c>
      <c r="L226" s="18" t="s">
        <v>330</v>
      </c>
      <c r="M226" s="18" t="s">
        <v>331</v>
      </c>
      <c r="N226" s="55">
        <v>45992</v>
      </c>
      <c r="O226" s="18" t="str">
        <f>IFERROR(VLOOKUP(A226,'[2]RELAÇÃO DE OC''S VMI MEC 030226'!$B:$P,15,FALSE),"-")</f>
        <v>-</v>
      </c>
      <c r="P226" s="56">
        <f t="shared" ca="1" si="10"/>
        <v>84</v>
      </c>
      <c r="Q226" s="18" t="str">
        <f t="shared" ca="1" si="11"/>
        <v>ATRASADO</v>
      </c>
      <c r="R226" s="19" t="s">
        <v>5660</v>
      </c>
    </row>
    <row r="227" spans="1:18" ht="53.25" x14ac:dyDescent="0.2">
      <c r="A227" s="18" t="str">
        <f t="shared" si="9"/>
        <v>049278023933.11.10726.01</v>
      </c>
      <c r="B227" s="51" t="s">
        <v>984</v>
      </c>
      <c r="C227" s="51" t="s">
        <v>1400</v>
      </c>
      <c r="D227" s="51" t="s">
        <v>1401</v>
      </c>
      <c r="E227" s="51" t="s">
        <v>1402</v>
      </c>
      <c r="F227" s="18" t="s">
        <v>328</v>
      </c>
      <c r="G227" s="52">
        <v>45919</v>
      </c>
      <c r="H227" s="18" t="s">
        <v>329</v>
      </c>
      <c r="I227" s="53">
        <v>8</v>
      </c>
      <c r="J227" s="54">
        <v>251.751465</v>
      </c>
      <c r="K227" s="54">
        <v>2014.01</v>
      </c>
      <c r="L227" s="18" t="s">
        <v>330</v>
      </c>
      <c r="M227" s="18" t="s">
        <v>331</v>
      </c>
      <c r="N227" s="55">
        <v>45992</v>
      </c>
      <c r="O227" s="18" t="str">
        <f>IFERROR(VLOOKUP(A227,'[2]RELAÇÃO DE OC''S VMI MEC 030226'!$B:$P,15,FALSE),"-")</f>
        <v>-</v>
      </c>
      <c r="P227" s="56">
        <f t="shared" ca="1" si="10"/>
        <v>84</v>
      </c>
      <c r="Q227" s="18" t="str">
        <f t="shared" ca="1" si="11"/>
        <v>ATRASADO</v>
      </c>
      <c r="R227" s="19" t="s">
        <v>5660</v>
      </c>
    </row>
    <row r="228" spans="1:18" ht="53.25" x14ac:dyDescent="0.2">
      <c r="A228" s="18" t="str">
        <f t="shared" si="9"/>
        <v>049278024033.11.10727.01</v>
      </c>
      <c r="B228" s="51" t="s">
        <v>984</v>
      </c>
      <c r="C228" s="51" t="s">
        <v>1403</v>
      </c>
      <c r="D228" s="51" t="s">
        <v>1404</v>
      </c>
      <c r="E228" s="51" t="s">
        <v>1405</v>
      </c>
      <c r="F228" s="18" t="s">
        <v>328</v>
      </c>
      <c r="G228" s="52">
        <v>45919</v>
      </c>
      <c r="H228" s="18" t="s">
        <v>329</v>
      </c>
      <c r="I228" s="53">
        <v>2</v>
      </c>
      <c r="J228" s="54">
        <v>267.65865000000002</v>
      </c>
      <c r="K228" s="54">
        <v>535.32000000000005</v>
      </c>
      <c r="L228" s="18" t="s">
        <v>330</v>
      </c>
      <c r="M228" s="18" t="s">
        <v>331</v>
      </c>
      <c r="N228" s="55">
        <v>45992</v>
      </c>
      <c r="O228" s="18" t="str">
        <f>IFERROR(VLOOKUP(A228,'[2]RELAÇÃO DE OC''S VMI MEC 030226'!$B:$P,15,FALSE),"-")</f>
        <v>-</v>
      </c>
      <c r="P228" s="56">
        <f t="shared" ca="1" si="10"/>
        <v>84</v>
      </c>
      <c r="Q228" s="18" t="str">
        <f t="shared" ca="1" si="11"/>
        <v>ATRASADO</v>
      </c>
      <c r="R228" s="19" t="s">
        <v>5660</v>
      </c>
    </row>
    <row r="229" spans="1:18" ht="53.25" x14ac:dyDescent="0.2">
      <c r="A229" s="18" t="str">
        <f t="shared" si="9"/>
        <v>049278024333.11.10736.00</v>
      </c>
      <c r="B229" s="51" t="s">
        <v>984</v>
      </c>
      <c r="C229" s="51" t="s">
        <v>1408</v>
      </c>
      <c r="D229" s="51" t="s">
        <v>1409</v>
      </c>
      <c r="E229" s="51" t="s">
        <v>1410</v>
      </c>
      <c r="F229" s="18" t="s">
        <v>328</v>
      </c>
      <c r="G229" s="52">
        <v>45919</v>
      </c>
      <c r="H229" s="18" t="s">
        <v>329</v>
      </c>
      <c r="I229" s="53">
        <v>1</v>
      </c>
      <c r="J229" s="54">
        <v>38.454569999999997</v>
      </c>
      <c r="K229" s="54">
        <v>38.450000000000003</v>
      </c>
      <c r="L229" s="18" t="s">
        <v>330</v>
      </c>
      <c r="M229" s="18" t="s">
        <v>331</v>
      </c>
      <c r="N229" s="55">
        <v>45992</v>
      </c>
      <c r="O229" s="18" t="str">
        <f>IFERROR(VLOOKUP(A229,'[2]RELAÇÃO DE OC''S VMI MEC 030226'!$B:$P,15,FALSE),"-")</f>
        <v>-</v>
      </c>
      <c r="P229" s="56">
        <f t="shared" ca="1" si="10"/>
        <v>84</v>
      </c>
      <c r="Q229" s="18" t="str">
        <f t="shared" ca="1" si="11"/>
        <v>ATRASADO</v>
      </c>
      <c r="R229" s="19" t="s">
        <v>5660</v>
      </c>
    </row>
    <row r="230" spans="1:18" ht="53.25" x14ac:dyDescent="0.2">
      <c r="A230" s="18" t="str">
        <f t="shared" si="9"/>
        <v>049278024433.11.10736.00</v>
      </c>
      <c r="B230" s="51" t="s">
        <v>984</v>
      </c>
      <c r="C230" s="51" t="s">
        <v>1411</v>
      </c>
      <c r="D230" s="18" t="s">
        <v>1409</v>
      </c>
      <c r="E230" s="18" t="s">
        <v>1410</v>
      </c>
      <c r="F230" s="18" t="s">
        <v>328</v>
      </c>
      <c r="G230" s="52">
        <v>45919</v>
      </c>
      <c r="H230" s="18" t="s">
        <v>329</v>
      </c>
      <c r="I230" s="53">
        <v>1</v>
      </c>
      <c r="J230" s="54">
        <v>38.454569999999997</v>
      </c>
      <c r="K230" s="54">
        <v>38.450000000000003</v>
      </c>
      <c r="L230" s="18" t="s">
        <v>330</v>
      </c>
      <c r="M230" s="18" t="s">
        <v>331</v>
      </c>
      <c r="N230" s="55">
        <v>45992</v>
      </c>
      <c r="O230" s="18" t="str">
        <f>IFERROR(VLOOKUP(A230,'[2]RELAÇÃO DE OC''S VMI MEC 030226'!$B:$P,15,FALSE),"-")</f>
        <v>-</v>
      </c>
      <c r="P230" s="56">
        <f t="shared" ca="1" si="10"/>
        <v>84</v>
      </c>
      <c r="Q230" s="18" t="str">
        <f t="shared" ca="1" si="11"/>
        <v>ATRASADO</v>
      </c>
      <c r="R230" s="19" t="s">
        <v>5660</v>
      </c>
    </row>
    <row r="231" spans="1:18" ht="53.25" x14ac:dyDescent="0.2">
      <c r="A231" s="18" t="str">
        <f t="shared" si="9"/>
        <v>049278024533.11.10741.00</v>
      </c>
      <c r="B231" s="51" t="s">
        <v>984</v>
      </c>
      <c r="C231" s="51" t="s">
        <v>1412</v>
      </c>
      <c r="D231" s="51" t="s">
        <v>1413</v>
      </c>
      <c r="E231" s="51" t="s">
        <v>1414</v>
      </c>
      <c r="F231" s="18" t="s">
        <v>328</v>
      </c>
      <c r="G231" s="52">
        <v>45919</v>
      </c>
      <c r="H231" s="18" t="s">
        <v>329</v>
      </c>
      <c r="I231" s="53">
        <v>1</v>
      </c>
      <c r="J231" s="54">
        <v>322.56724500000001</v>
      </c>
      <c r="K231" s="54">
        <v>322.57</v>
      </c>
      <c r="L231" s="18" t="s">
        <v>330</v>
      </c>
      <c r="M231" s="18" t="s">
        <v>331</v>
      </c>
      <c r="N231" s="55">
        <v>45992</v>
      </c>
      <c r="O231" s="18" t="str">
        <f>IFERROR(VLOOKUP(A231,'[2]RELAÇÃO DE OC''S VMI MEC 030226'!$B:$P,15,FALSE),"-")</f>
        <v>-</v>
      </c>
      <c r="P231" s="56">
        <f t="shared" ca="1" si="10"/>
        <v>84</v>
      </c>
      <c r="Q231" s="18" t="str">
        <f t="shared" ca="1" si="11"/>
        <v>ATRASADO</v>
      </c>
      <c r="R231" s="19" t="s">
        <v>5660</v>
      </c>
    </row>
    <row r="232" spans="1:18" x14ac:dyDescent="0.2">
      <c r="A232" s="18" t="str">
        <f t="shared" si="9"/>
        <v>049278024633.11.10741.00</v>
      </c>
      <c r="B232" s="51" t="s">
        <v>984</v>
      </c>
      <c r="C232" s="51" t="s">
        <v>1415</v>
      </c>
      <c r="D232" s="18" t="s">
        <v>1413</v>
      </c>
      <c r="E232" s="18" t="s">
        <v>1414</v>
      </c>
      <c r="F232" s="18" t="s">
        <v>328</v>
      </c>
      <c r="G232" s="52">
        <v>45919</v>
      </c>
      <c r="H232" s="18" t="s">
        <v>329</v>
      </c>
      <c r="I232" s="53">
        <v>1</v>
      </c>
      <c r="J232" s="54">
        <v>322.56724500000001</v>
      </c>
      <c r="K232" s="54">
        <v>322.57</v>
      </c>
      <c r="L232" s="18" t="s">
        <v>330</v>
      </c>
      <c r="M232" s="18" t="s">
        <v>331</v>
      </c>
      <c r="N232" s="55">
        <v>45992</v>
      </c>
      <c r="O232" s="18" t="str">
        <f>IFERROR(VLOOKUP(A232,'[2]RELAÇÃO DE OC''S VMI MEC 030226'!$B:$P,15,FALSE),"-")</f>
        <v>-</v>
      </c>
      <c r="P232" s="56">
        <f t="shared" ca="1" si="10"/>
        <v>84</v>
      </c>
      <c r="Q232" s="18" t="str">
        <f t="shared" ca="1" si="11"/>
        <v>ATRASADO</v>
      </c>
      <c r="R232" s="19" t="s">
        <v>5645</v>
      </c>
    </row>
    <row r="233" spans="1:18" ht="53.25" x14ac:dyDescent="0.2">
      <c r="A233" s="18" t="str">
        <f t="shared" si="9"/>
        <v>049278024933.11.10743.01</v>
      </c>
      <c r="B233" s="51" t="s">
        <v>984</v>
      </c>
      <c r="C233" s="51" t="s">
        <v>1418</v>
      </c>
      <c r="D233" s="51" t="s">
        <v>1419</v>
      </c>
      <c r="E233" s="51" t="s">
        <v>1420</v>
      </c>
      <c r="F233" s="18" t="s">
        <v>328</v>
      </c>
      <c r="G233" s="52">
        <v>45919</v>
      </c>
      <c r="H233" s="18" t="s">
        <v>329</v>
      </c>
      <c r="I233" s="53">
        <v>1</v>
      </c>
      <c r="J233" s="54">
        <v>243.38285999999999</v>
      </c>
      <c r="K233" s="54">
        <v>243.38</v>
      </c>
      <c r="L233" s="18" t="s">
        <v>330</v>
      </c>
      <c r="M233" s="18" t="s">
        <v>331</v>
      </c>
      <c r="N233" s="55">
        <v>45992</v>
      </c>
      <c r="O233" s="18" t="str">
        <f>IFERROR(VLOOKUP(A233,'[2]RELAÇÃO DE OC''S VMI MEC 030226'!$B:$P,15,FALSE),"-")</f>
        <v>-</v>
      </c>
      <c r="P233" s="56">
        <f t="shared" ca="1" si="10"/>
        <v>84</v>
      </c>
      <c r="Q233" s="18" t="str">
        <f t="shared" ca="1" si="11"/>
        <v>ATRASADO</v>
      </c>
      <c r="R233" s="19" t="s">
        <v>5656</v>
      </c>
    </row>
    <row r="234" spans="1:18" ht="53.25" x14ac:dyDescent="0.2">
      <c r="A234" s="18" t="str">
        <f t="shared" si="9"/>
        <v>049278025033.11.10744.01</v>
      </c>
      <c r="B234" s="51" t="s">
        <v>984</v>
      </c>
      <c r="C234" s="51" t="s">
        <v>1421</v>
      </c>
      <c r="D234" s="51" t="s">
        <v>1422</v>
      </c>
      <c r="E234" s="51" t="s">
        <v>1423</v>
      </c>
      <c r="F234" s="18" t="s">
        <v>328</v>
      </c>
      <c r="G234" s="52">
        <v>45919</v>
      </c>
      <c r="H234" s="18" t="s">
        <v>329</v>
      </c>
      <c r="I234" s="53">
        <v>1</v>
      </c>
      <c r="J234" s="54">
        <v>243.38285999999999</v>
      </c>
      <c r="K234" s="54">
        <v>243.38</v>
      </c>
      <c r="L234" s="18" t="s">
        <v>330</v>
      </c>
      <c r="M234" s="18" t="s">
        <v>331</v>
      </c>
      <c r="N234" s="55">
        <v>45992</v>
      </c>
      <c r="O234" s="18" t="str">
        <f>IFERROR(VLOOKUP(A234,'[2]RELAÇÃO DE OC''S VMI MEC 030226'!$B:$P,15,FALSE),"-")</f>
        <v>-</v>
      </c>
      <c r="P234" s="56">
        <f t="shared" ca="1" si="10"/>
        <v>84</v>
      </c>
      <c r="Q234" s="18" t="str">
        <f t="shared" ca="1" si="11"/>
        <v>ATRASADO</v>
      </c>
      <c r="R234" s="19" t="s">
        <v>5656</v>
      </c>
    </row>
    <row r="235" spans="1:18" ht="53.25" x14ac:dyDescent="0.2">
      <c r="A235" s="18" t="str">
        <f t="shared" si="9"/>
        <v>049278025133.11.10744.01</v>
      </c>
      <c r="B235" s="51" t="s">
        <v>984</v>
      </c>
      <c r="C235" s="51" t="s">
        <v>1424</v>
      </c>
      <c r="D235" s="18" t="s">
        <v>1422</v>
      </c>
      <c r="E235" s="18" t="s">
        <v>1423</v>
      </c>
      <c r="F235" s="18" t="s">
        <v>328</v>
      </c>
      <c r="G235" s="52">
        <v>45919</v>
      </c>
      <c r="H235" s="18" t="s">
        <v>329</v>
      </c>
      <c r="I235" s="53">
        <v>1</v>
      </c>
      <c r="J235" s="54">
        <v>243.38285999999999</v>
      </c>
      <c r="K235" s="54">
        <v>243.38</v>
      </c>
      <c r="L235" s="18" t="s">
        <v>330</v>
      </c>
      <c r="M235" s="18" t="s">
        <v>331</v>
      </c>
      <c r="N235" s="55">
        <v>45992</v>
      </c>
      <c r="O235" s="18" t="str">
        <f>IFERROR(VLOOKUP(A235,'[2]RELAÇÃO DE OC''S VMI MEC 030226'!$B:$P,15,FALSE),"-")</f>
        <v>-</v>
      </c>
      <c r="P235" s="56">
        <f t="shared" ca="1" si="10"/>
        <v>84</v>
      </c>
      <c r="Q235" s="18" t="str">
        <f t="shared" ca="1" si="11"/>
        <v>ATRASADO</v>
      </c>
      <c r="R235" s="19" t="s">
        <v>5656</v>
      </c>
    </row>
    <row r="236" spans="1:18" ht="53.25" x14ac:dyDescent="0.2">
      <c r="A236" s="18" t="str">
        <f t="shared" si="9"/>
        <v>049278025233.11.10750.02</v>
      </c>
      <c r="B236" s="51" t="s">
        <v>984</v>
      </c>
      <c r="C236" s="51" t="s">
        <v>1425</v>
      </c>
      <c r="D236" s="51" t="s">
        <v>1426</v>
      </c>
      <c r="E236" s="51" t="s">
        <v>1427</v>
      </c>
      <c r="F236" s="18" t="s">
        <v>328</v>
      </c>
      <c r="G236" s="52">
        <v>45919</v>
      </c>
      <c r="H236" s="18" t="s">
        <v>329</v>
      </c>
      <c r="I236" s="53">
        <v>1</v>
      </c>
      <c r="J236" s="54">
        <v>260.47161</v>
      </c>
      <c r="K236" s="54">
        <v>260.47000000000003</v>
      </c>
      <c r="L236" s="18" t="s">
        <v>330</v>
      </c>
      <c r="M236" s="18" t="s">
        <v>331</v>
      </c>
      <c r="N236" s="55">
        <v>45992</v>
      </c>
      <c r="O236" s="18" t="str">
        <f>IFERROR(VLOOKUP(A236,'[2]RELAÇÃO DE OC''S VMI MEC 030226'!$B:$P,15,FALSE),"-")</f>
        <v>-</v>
      </c>
      <c r="P236" s="56">
        <f t="shared" ca="1" si="10"/>
        <v>84</v>
      </c>
      <c r="Q236" s="18" t="str">
        <f t="shared" ca="1" si="11"/>
        <v>ATRASADO</v>
      </c>
      <c r="R236" s="19" t="s">
        <v>5656</v>
      </c>
    </row>
    <row r="237" spans="1:18" ht="53.25" x14ac:dyDescent="0.2">
      <c r="A237" s="18" t="str">
        <f t="shared" si="9"/>
        <v>049278025333.11.10752.01</v>
      </c>
      <c r="B237" s="51" t="s">
        <v>984</v>
      </c>
      <c r="C237" s="51" t="s">
        <v>1428</v>
      </c>
      <c r="D237" s="51" t="s">
        <v>1429</v>
      </c>
      <c r="E237" s="51" t="s">
        <v>1430</v>
      </c>
      <c r="F237" s="18" t="s">
        <v>328</v>
      </c>
      <c r="G237" s="52">
        <v>45919</v>
      </c>
      <c r="H237" s="18" t="s">
        <v>329</v>
      </c>
      <c r="I237" s="53">
        <v>1</v>
      </c>
      <c r="J237" s="54">
        <v>267.90277500000002</v>
      </c>
      <c r="K237" s="54">
        <v>267.89999999999998</v>
      </c>
      <c r="L237" s="18" t="s">
        <v>330</v>
      </c>
      <c r="M237" s="18" t="s">
        <v>331</v>
      </c>
      <c r="N237" s="55">
        <v>45992</v>
      </c>
      <c r="O237" s="18" t="str">
        <f>IFERROR(VLOOKUP(A237,'[2]RELAÇÃO DE OC''S VMI MEC 030226'!$B:$P,15,FALSE),"-")</f>
        <v>-</v>
      </c>
      <c r="P237" s="56">
        <f t="shared" ca="1" si="10"/>
        <v>84</v>
      </c>
      <c r="Q237" s="18" t="str">
        <f t="shared" ca="1" si="11"/>
        <v>ATRASADO</v>
      </c>
      <c r="R237" s="19" t="s">
        <v>5656</v>
      </c>
    </row>
    <row r="238" spans="1:18" ht="53.25" x14ac:dyDescent="0.2">
      <c r="A238" s="18" t="str">
        <f t="shared" si="9"/>
        <v>049278025433.11.10752.01</v>
      </c>
      <c r="B238" s="51" t="s">
        <v>984</v>
      </c>
      <c r="C238" s="51" t="s">
        <v>1431</v>
      </c>
      <c r="D238" s="18" t="s">
        <v>1429</v>
      </c>
      <c r="E238" s="18" t="s">
        <v>1430</v>
      </c>
      <c r="F238" s="18" t="s">
        <v>328</v>
      </c>
      <c r="G238" s="52">
        <v>45919</v>
      </c>
      <c r="H238" s="18" t="s">
        <v>329</v>
      </c>
      <c r="I238" s="53">
        <v>1</v>
      </c>
      <c r="J238" s="54">
        <v>267.90277500000002</v>
      </c>
      <c r="K238" s="54">
        <v>267.89999999999998</v>
      </c>
      <c r="L238" s="18" t="s">
        <v>330</v>
      </c>
      <c r="M238" s="18" t="s">
        <v>331</v>
      </c>
      <c r="N238" s="55">
        <v>45992</v>
      </c>
      <c r="O238" s="18" t="str">
        <f>IFERROR(VLOOKUP(A238,'[2]RELAÇÃO DE OC''S VMI MEC 030226'!$B:$P,15,FALSE),"-")</f>
        <v>-</v>
      </c>
      <c r="P238" s="56">
        <f t="shared" ca="1" si="10"/>
        <v>84</v>
      </c>
      <c r="Q238" s="18" t="str">
        <f t="shared" ca="1" si="11"/>
        <v>ATRASADO</v>
      </c>
      <c r="R238" s="19" t="s">
        <v>5656</v>
      </c>
    </row>
    <row r="239" spans="1:18" ht="53.25" x14ac:dyDescent="0.2">
      <c r="A239" s="18" t="str">
        <f t="shared" si="9"/>
        <v>049278025533.11.10753.01</v>
      </c>
      <c r="B239" s="51" t="s">
        <v>984</v>
      </c>
      <c r="C239" s="51" t="s">
        <v>1432</v>
      </c>
      <c r="D239" s="51" t="s">
        <v>1433</v>
      </c>
      <c r="E239" s="51" t="s">
        <v>1434</v>
      </c>
      <c r="F239" s="18" t="s">
        <v>328</v>
      </c>
      <c r="G239" s="52">
        <v>45919</v>
      </c>
      <c r="H239" s="18" t="s">
        <v>329</v>
      </c>
      <c r="I239" s="53">
        <v>1</v>
      </c>
      <c r="J239" s="54">
        <v>267.90277500000002</v>
      </c>
      <c r="K239" s="54">
        <v>267.89999999999998</v>
      </c>
      <c r="L239" s="18" t="s">
        <v>330</v>
      </c>
      <c r="M239" s="18" t="s">
        <v>331</v>
      </c>
      <c r="N239" s="55">
        <v>45992</v>
      </c>
      <c r="O239" s="18" t="str">
        <f>IFERROR(VLOOKUP(A239,'[2]RELAÇÃO DE OC''S VMI MEC 030226'!$B:$P,15,FALSE),"-")</f>
        <v>-</v>
      </c>
      <c r="P239" s="56">
        <f t="shared" ca="1" si="10"/>
        <v>84</v>
      </c>
      <c r="Q239" s="18" t="str">
        <f t="shared" ca="1" si="11"/>
        <v>ATRASADO</v>
      </c>
      <c r="R239" s="19" t="s">
        <v>5656</v>
      </c>
    </row>
    <row r="240" spans="1:18" ht="53.25" x14ac:dyDescent="0.2">
      <c r="A240" s="18" t="str">
        <f t="shared" si="9"/>
        <v>049278025633.11.10753.01</v>
      </c>
      <c r="B240" s="51" t="s">
        <v>984</v>
      </c>
      <c r="C240" s="51" t="s">
        <v>1435</v>
      </c>
      <c r="D240" s="18" t="s">
        <v>1433</v>
      </c>
      <c r="E240" s="18" t="s">
        <v>1434</v>
      </c>
      <c r="F240" s="18" t="s">
        <v>328</v>
      </c>
      <c r="G240" s="52">
        <v>45919</v>
      </c>
      <c r="H240" s="18" t="s">
        <v>329</v>
      </c>
      <c r="I240" s="53">
        <v>1</v>
      </c>
      <c r="J240" s="54">
        <v>267.90277500000002</v>
      </c>
      <c r="K240" s="54">
        <v>267.89999999999998</v>
      </c>
      <c r="L240" s="18" t="s">
        <v>330</v>
      </c>
      <c r="M240" s="18" t="s">
        <v>331</v>
      </c>
      <c r="N240" s="55">
        <v>45992</v>
      </c>
      <c r="O240" s="18" t="str">
        <f>IFERROR(VLOOKUP(A240,'[2]RELAÇÃO DE OC''S VMI MEC 030226'!$B:$P,15,FALSE),"-")</f>
        <v>-</v>
      </c>
      <c r="P240" s="56">
        <f t="shared" ca="1" si="10"/>
        <v>84</v>
      </c>
      <c r="Q240" s="18" t="str">
        <f t="shared" ca="1" si="11"/>
        <v>ATRASADO</v>
      </c>
      <c r="R240" s="19" t="s">
        <v>5656</v>
      </c>
    </row>
    <row r="241" spans="1:18" ht="53.25" x14ac:dyDescent="0.2">
      <c r="A241" s="18" t="str">
        <f t="shared" si="9"/>
        <v>049278025733.11.10755.02</v>
      </c>
      <c r="B241" s="51" t="s">
        <v>984</v>
      </c>
      <c r="C241" s="51" t="s">
        <v>1436</v>
      </c>
      <c r="D241" s="51" t="s">
        <v>1437</v>
      </c>
      <c r="E241" s="51" t="s">
        <v>1438</v>
      </c>
      <c r="F241" s="18" t="s">
        <v>328</v>
      </c>
      <c r="G241" s="52">
        <v>45919</v>
      </c>
      <c r="H241" s="18" t="s">
        <v>329</v>
      </c>
      <c r="I241" s="53">
        <v>1</v>
      </c>
      <c r="J241" s="54">
        <v>235.25837999999999</v>
      </c>
      <c r="K241" s="54">
        <v>235.26</v>
      </c>
      <c r="L241" s="18" t="s">
        <v>330</v>
      </c>
      <c r="M241" s="18" t="s">
        <v>331</v>
      </c>
      <c r="N241" s="55">
        <v>45992</v>
      </c>
      <c r="O241" s="18" t="str">
        <f>IFERROR(VLOOKUP(A241,'[2]RELAÇÃO DE OC''S VMI MEC 030226'!$B:$P,15,FALSE),"-")</f>
        <v>-</v>
      </c>
      <c r="P241" s="56">
        <f t="shared" ca="1" si="10"/>
        <v>84</v>
      </c>
      <c r="Q241" s="18" t="str">
        <f t="shared" ca="1" si="11"/>
        <v>ATRASADO</v>
      </c>
      <c r="R241" s="19" t="s">
        <v>5656</v>
      </c>
    </row>
    <row r="242" spans="1:18" ht="53.25" x14ac:dyDescent="0.2">
      <c r="A242" s="18" t="str">
        <f t="shared" si="9"/>
        <v>049278026233.11.10758.01</v>
      </c>
      <c r="B242" s="51" t="s">
        <v>984</v>
      </c>
      <c r="C242" s="51" t="s">
        <v>1443</v>
      </c>
      <c r="D242" s="51" t="s">
        <v>1444</v>
      </c>
      <c r="E242" s="51" t="s">
        <v>1445</v>
      </c>
      <c r="F242" s="18" t="s">
        <v>328</v>
      </c>
      <c r="G242" s="52">
        <v>45919</v>
      </c>
      <c r="H242" s="18" t="s">
        <v>329</v>
      </c>
      <c r="I242" s="53">
        <v>24</v>
      </c>
      <c r="J242" s="54">
        <v>37.702665000000003</v>
      </c>
      <c r="K242" s="54">
        <v>904.86</v>
      </c>
      <c r="L242" s="18" t="s">
        <v>330</v>
      </c>
      <c r="M242" s="18" t="s">
        <v>331</v>
      </c>
      <c r="N242" s="55">
        <v>45992</v>
      </c>
      <c r="O242" s="18" t="str">
        <f>IFERROR(VLOOKUP(A242,'[2]RELAÇÃO DE OC''S VMI MEC 030226'!$B:$P,15,FALSE),"-")</f>
        <v>-</v>
      </c>
      <c r="P242" s="56">
        <f t="shared" ca="1" si="10"/>
        <v>84</v>
      </c>
      <c r="Q242" s="18" t="str">
        <f t="shared" ca="1" si="11"/>
        <v>ATRASADO</v>
      </c>
      <c r="R242" s="19" t="s">
        <v>5656</v>
      </c>
    </row>
    <row r="243" spans="1:18" ht="53.25" x14ac:dyDescent="0.2">
      <c r="A243" s="18" t="str">
        <f t="shared" si="9"/>
        <v>049278026333.11.10760.00</v>
      </c>
      <c r="B243" s="51" t="s">
        <v>984</v>
      </c>
      <c r="C243" s="51" t="s">
        <v>1446</v>
      </c>
      <c r="D243" s="51" t="s">
        <v>1447</v>
      </c>
      <c r="E243" s="51" t="s">
        <v>1448</v>
      </c>
      <c r="F243" s="18" t="s">
        <v>328</v>
      </c>
      <c r="G243" s="52">
        <v>45919</v>
      </c>
      <c r="H243" s="18" t="s">
        <v>329</v>
      </c>
      <c r="I243" s="53">
        <v>8</v>
      </c>
      <c r="J243" s="54">
        <v>81.283860000000004</v>
      </c>
      <c r="K243" s="54">
        <v>650.27</v>
      </c>
      <c r="L243" s="18" t="s">
        <v>330</v>
      </c>
      <c r="M243" s="18" t="s">
        <v>331</v>
      </c>
      <c r="N243" s="55">
        <v>45992</v>
      </c>
      <c r="O243" s="18" t="str">
        <f>IFERROR(VLOOKUP(A243,'[2]RELAÇÃO DE OC''S VMI MEC 030226'!$B:$P,15,FALSE),"-")</f>
        <v>-</v>
      </c>
      <c r="P243" s="56">
        <f t="shared" ca="1" si="10"/>
        <v>84</v>
      </c>
      <c r="Q243" s="18" t="str">
        <f t="shared" ca="1" si="11"/>
        <v>ATRASADO</v>
      </c>
      <c r="R243" s="19" t="s">
        <v>5656</v>
      </c>
    </row>
    <row r="244" spans="1:18" ht="53.25" x14ac:dyDescent="0.2">
      <c r="A244" s="18" t="str">
        <f t="shared" si="9"/>
        <v>049278026433.11.10770.00</v>
      </c>
      <c r="B244" s="51" t="s">
        <v>984</v>
      </c>
      <c r="C244" s="51" t="s">
        <v>1449</v>
      </c>
      <c r="D244" s="51" t="s">
        <v>1450</v>
      </c>
      <c r="E244" s="51" t="s">
        <v>1451</v>
      </c>
      <c r="F244" s="18" t="s">
        <v>328</v>
      </c>
      <c r="G244" s="52">
        <v>45919</v>
      </c>
      <c r="H244" s="18" t="s">
        <v>329</v>
      </c>
      <c r="I244" s="53">
        <v>1</v>
      </c>
      <c r="J244" s="54">
        <v>113.65483500000001</v>
      </c>
      <c r="K244" s="54">
        <v>113.65</v>
      </c>
      <c r="L244" s="18" t="s">
        <v>330</v>
      </c>
      <c r="M244" s="18" t="s">
        <v>331</v>
      </c>
      <c r="N244" s="55">
        <v>45992</v>
      </c>
      <c r="O244" s="18" t="str">
        <f>IFERROR(VLOOKUP(A244,'[2]RELAÇÃO DE OC''S VMI MEC 030226'!$B:$P,15,FALSE),"-")</f>
        <v>-</v>
      </c>
      <c r="P244" s="56">
        <f t="shared" ca="1" si="10"/>
        <v>84</v>
      </c>
      <c r="Q244" s="18" t="str">
        <f t="shared" ca="1" si="11"/>
        <v>ATRASADO</v>
      </c>
      <c r="R244" s="19" t="s">
        <v>5656</v>
      </c>
    </row>
    <row r="245" spans="1:18" ht="53.25" x14ac:dyDescent="0.2">
      <c r="A245" s="18" t="str">
        <f t="shared" si="9"/>
        <v>049278026533.11.10772.00</v>
      </c>
      <c r="B245" s="51" t="s">
        <v>984</v>
      </c>
      <c r="C245" s="51" t="s">
        <v>1452</v>
      </c>
      <c r="D245" s="51" t="s">
        <v>1453</v>
      </c>
      <c r="E245" s="51" t="s">
        <v>1454</v>
      </c>
      <c r="F245" s="18" t="s">
        <v>328</v>
      </c>
      <c r="G245" s="52">
        <v>45919</v>
      </c>
      <c r="H245" s="18" t="s">
        <v>329</v>
      </c>
      <c r="I245" s="53">
        <v>1</v>
      </c>
      <c r="J245" s="54">
        <v>218.20868999999999</v>
      </c>
      <c r="K245" s="54">
        <v>218.21</v>
      </c>
      <c r="L245" s="18" t="s">
        <v>330</v>
      </c>
      <c r="M245" s="18" t="s">
        <v>331</v>
      </c>
      <c r="N245" s="55">
        <v>45992</v>
      </c>
      <c r="O245" s="18" t="str">
        <f>IFERROR(VLOOKUP(A245,'[2]RELAÇÃO DE OC''S VMI MEC 030226'!$B:$P,15,FALSE),"-")</f>
        <v>-</v>
      </c>
      <c r="P245" s="56">
        <f t="shared" ca="1" si="10"/>
        <v>84</v>
      </c>
      <c r="Q245" s="18" t="str">
        <f t="shared" ca="1" si="11"/>
        <v>ATRASADO</v>
      </c>
      <c r="R245" s="19" t="s">
        <v>5656</v>
      </c>
    </row>
    <row r="246" spans="1:18" ht="53.25" x14ac:dyDescent="0.2">
      <c r="A246" s="18" t="str">
        <f t="shared" si="9"/>
        <v>049278026633.11.10773.00</v>
      </c>
      <c r="B246" s="51" t="s">
        <v>984</v>
      </c>
      <c r="C246" s="51" t="s">
        <v>1455</v>
      </c>
      <c r="D246" s="51" t="s">
        <v>1456</v>
      </c>
      <c r="E246" s="51" t="s">
        <v>1457</v>
      </c>
      <c r="F246" s="18" t="s">
        <v>328</v>
      </c>
      <c r="G246" s="52">
        <v>45919</v>
      </c>
      <c r="H246" s="18" t="s">
        <v>329</v>
      </c>
      <c r="I246" s="53">
        <v>1</v>
      </c>
      <c r="J246" s="54">
        <v>187.82977500000001</v>
      </c>
      <c r="K246" s="54">
        <v>187.83</v>
      </c>
      <c r="L246" s="18" t="s">
        <v>330</v>
      </c>
      <c r="M246" s="18" t="s">
        <v>331</v>
      </c>
      <c r="N246" s="55">
        <v>45992</v>
      </c>
      <c r="O246" s="18" t="str">
        <f>IFERROR(VLOOKUP(A246,'[2]RELAÇÃO DE OC''S VMI MEC 030226'!$B:$P,15,FALSE),"-")</f>
        <v>-</v>
      </c>
      <c r="P246" s="56">
        <f t="shared" ca="1" si="10"/>
        <v>84</v>
      </c>
      <c r="Q246" s="18" t="str">
        <f t="shared" ca="1" si="11"/>
        <v>ATRASADO</v>
      </c>
      <c r="R246" s="19" t="s">
        <v>5656</v>
      </c>
    </row>
    <row r="247" spans="1:18" ht="53.25" x14ac:dyDescent="0.2">
      <c r="A247" s="18" t="str">
        <f t="shared" si="9"/>
        <v>049278026733.11.10774.00</v>
      </c>
      <c r="B247" s="51" t="s">
        <v>984</v>
      </c>
      <c r="C247" s="51" t="s">
        <v>1458</v>
      </c>
      <c r="D247" s="51" t="s">
        <v>1459</v>
      </c>
      <c r="E247" s="51" t="s">
        <v>1460</v>
      </c>
      <c r="F247" s="18" t="s">
        <v>328</v>
      </c>
      <c r="G247" s="52">
        <v>45919</v>
      </c>
      <c r="H247" s="18" t="s">
        <v>329</v>
      </c>
      <c r="I247" s="53">
        <v>1</v>
      </c>
      <c r="J247" s="54">
        <v>124.415865</v>
      </c>
      <c r="K247" s="54">
        <v>124.42</v>
      </c>
      <c r="L247" s="18" t="s">
        <v>330</v>
      </c>
      <c r="M247" s="18" t="s">
        <v>331</v>
      </c>
      <c r="N247" s="55">
        <v>45992</v>
      </c>
      <c r="O247" s="18" t="str">
        <f>IFERROR(VLOOKUP(A247,'[2]RELAÇÃO DE OC''S VMI MEC 030226'!$B:$P,15,FALSE),"-")</f>
        <v>-</v>
      </c>
      <c r="P247" s="56">
        <f t="shared" ca="1" si="10"/>
        <v>84</v>
      </c>
      <c r="Q247" s="18" t="str">
        <f t="shared" ca="1" si="11"/>
        <v>ATRASADO</v>
      </c>
      <c r="R247" s="19" t="s">
        <v>5656</v>
      </c>
    </row>
    <row r="248" spans="1:18" x14ac:dyDescent="0.2">
      <c r="A248" s="18" t="str">
        <f t="shared" si="9"/>
        <v>049278026833.11.10774.00</v>
      </c>
      <c r="B248" s="51" t="s">
        <v>984</v>
      </c>
      <c r="C248" s="51" t="s">
        <v>1461</v>
      </c>
      <c r="D248" s="18" t="s">
        <v>1459</v>
      </c>
      <c r="E248" s="18" t="s">
        <v>1460</v>
      </c>
      <c r="F248" s="18" t="s">
        <v>328</v>
      </c>
      <c r="G248" s="52">
        <v>45919</v>
      </c>
      <c r="H248" s="18" t="s">
        <v>329</v>
      </c>
      <c r="I248" s="53">
        <v>1</v>
      </c>
      <c r="J248" s="54">
        <v>124.415865</v>
      </c>
      <c r="K248" s="54">
        <v>124.42</v>
      </c>
      <c r="L248" s="18" t="s">
        <v>330</v>
      </c>
      <c r="M248" s="18" t="s">
        <v>331</v>
      </c>
      <c r="N248" s="55">
        <v>45992</v>
      </c>
      <c r="O248" s="18" t="str">
        <f>IFERROR(VLOOKUP(A248,'[2]RELAÇÃO DE OC''S VMI MEC 030226'!$B:$P,15,FALSE),"-")</f>
        <v>-</v>
      </c>
      <c r="P248" s="56">
        <f t="shared" ca="1" si="10"/>
        <v>84</v>
      </c>
      <c r="Q248" s="18" t="str">
        <f t="shared" ca="1" si="11"/>
        <v>ATRASADO</v>
      </c>
      <c r="R248" s="19" t="s">
        <v>5645</v>
      </c>
    </row>
    <row r="249" spans="1:18" x14ac:dyDescent="0.2">
      <c r="A249" s="18" t="str">
        <f t="shared" si="9"/>
        <v>049278026933.11.10775.00</v>
      </c>
      <c r="B249" s="51" t="s">
        <v>984</v>
      </c>
      <c r="C249" s="51" t="s">
        <v>1462</v>
      </c>
      <c r="D249" s="51" t="s">
        <v>1463</v>
      </c>
      <c r="E249" s="51" t="s">
        <v>1464</v>
      </c>
      <c r="F249" s="18" t="s">
        <v>328</v>
      </c>
      <c r="G249" s="52">
        <v>45919</v>
      </c>
      <c r="H249" s="18" t="s">
        <v>329</v>
      </c>
      <c r="I249" s="53">
        <v>1</v>
      </c>
      <c r="J249" s="54">
        <v>117.34600500000001</v>
      </c>
      <c r="K249" s="54">
        <v>117.35</v>
      </c>
      <c r="L249" s="18" t="s">
        <v>330</v>
      </c>
      <c r="M249" s="18" t="s">
        <v>331</v>
      </c>
      <c r="N249" s="55">
        <v>45992</v>
      </c>
      <c r="O249" s="18" t="str">
        <f>IFERROR(VLOOKUP(A249,'[2]RELAÇÃO DE OC''S VMI MEC 030226'!$B:$P,15,FALSE),"-")</f>
        <v>-</v>
      </c>
      <c r="P249" s="56">
        <f t="shared" ca="1" si="10"/>
        <v>84</v>
      </c>
      <c r="Q249" s="18" t="str">
        <f t="shared" ca="1" si="11"/>
        <v>ATRASADO</v>
      </c>
      <c r="R249" s="19" t="s">
        <v>5645</v>
      </c>
    </row>
    <row r="250" spans="1:18" x14ac:dyDescent="0.2">
      <c r="A250" s="18" t="str">
        <f t="shared" si="9"/>
        <v>049278027033.11.10775.00</v>
      </c>
      <c r="B250" s="51" t="s">
        <v>984</v>
      </c>
      <c r="C250" s="51" t="s">
        <v>1465</v>
      </c>
      <c r="D250" s="18" t="s">
        <v>1463</v>
      </c>
      <c r="E250" s="18" t="s">
        <v>1464</v>
      </c>
      <c r="F250" s="18" t="s">
        <v>328</v>
      </c>
      <c r="G250" s="52">
        <v>45919</v>
      </c>
      <c r="H250" s="18" t="s">
        <v>329</v>
      </c>
      <c r="I250" s="53">
        <v>1</v>
      </c>
      <c r="J250" s="54">
        <v>117.34600500000001</v>
      </c>
      <c r="K250" s="54">
        <v>117.35</v>
      </c>
      <c r="L250" s="18" t="s">
        <v>330</v>
      </c>
      <c r="M250" s="18" t="s">
        <v>331</v>
      </c>
      <c r="N250" s="55">
        <v>45992</v>
      </c>
      <c r="O250" s="18" t="str">
        <f>IFERROR(VLOOKUP(A250,'[2]RELAÇÃO DE OC''S VMI MEC 030226'!$B:$P,15,FALSE),"-")</f>
        <v>-</v>
      </c>
      <c r="P250" s="56">
        <f t="shared" ca="1" si="10"/>
        <v>84</v>
      </c>
      <c r="Q250" s="18" t="str">
        <f t="shared" ca="1" si="11"/>
        <v>ATRASADO</v>
      </c>
      <c r="R250" s="19" t="s">
        <v>5645</v>
      </c>
    </row>
    <row r="251" spans="1:18" ht="53.25" x14ac:dyDescent="0.2">
      <c r="A251" s="18" t="str">
        <f t="shared" si="9"/>
        <v>049278027133.11.10776.00</v>
      </c>
      <c r="B251" s="51" t="s">
        <v>984</v>
      </c>
      <c r="C251" s="51" t="s">
        <v>1466</v>
      </c>
      <c r="D251" s="51" t="s">
        <v>1467</v>
      </c>
      <c r="E251" s="51" t="s">
        <v>1468</v>
      </c>
      <c r="F251" s="18" t="s">
        <v>328</v>
      </c>
      <c r="G251" s="52">
        <v>45919</v>
      </c>
      <c r="H251" s="18" t="s">
        <v>329</v>
      </c>
      <c r="I251" s="53">
        <v>1</v>
      </c>
      <c r="J251" s="54">
        <v>394.00798500000002</v>
      </c>
      <c r="K251" s="54">
        <v>394.01</v>
      </c>
      <c r="L251" s="18" t="s">
        <v>330</v>
      </c>
      <c r="M251" s="18" t="s">
        <v>331</v>
      </c>
      <c r="N251" s="55">
        <v>45992</v>
      </c>
      <c r="O251" s="18" t="str">
        <f>IFERROR(VLOOKUP(A251,'[2]RELAÇÃO DE OC''S VMI MEC 030226'!$B:$P,15,FALSE),"-")</f>
        <v>-</v>
      </c>
      <c r="P251" s="56">
        <f t="shared" ca="1" si="10"/>
        <v>84</v>
      </c>
      <c r="Q251" s="18" t="str">
        <f t="shared" ca="1" si="11"/>
        <v>ATRASADO</v>
      </c>
      <c r="R251" s="19" t="s">
        <v>5659</v>
      </c>
    </row>
    <row r="252" spans="1:18" ht="53.25" x14ac:dyDescent="0.2">
      <c r="A252" s="18" t="str">
        <f t="shared" si="9"/>
        <v>049278027233.11.10776.00</v>
      </c>
      <c r="B252" s="51" t="s">
        <v>984</v>
      </c>
      <c r="C252" s="51" t="s">
        <v>1469</v>
      </c>
      <c r="D252" s="18" t="s">
        <v>1467</v>
      </c>
      <c r="E252" s="18" t="s">
        <v>1468</v>
      </c>
      <c r="F252" s="18" t="s">
        <v>328</v>
      </c>
      <c r="G252" s="52">
        <v>45919</v>
      </c>
      <c r="H252" s="18" t="s">
        <v>329</v>
      </c>
      <c r="I252" s="53">
        <v>1</v>
      </c>
      <c r="J252" s="54">
        <v>394.00798500000002</v>
      </c>
      <c r="K252" s="54">
        <v>394.01</v>
      </c>
      <c r="L252" s="18" t="s">
        <v>330</v>
      </c>
      <c r="M252" s="18" t="s">
        <v>331</v>
      </c>
      <c r="N252" s="55">
        <v>45992</v>
      </c>
      <c r="O252" s="18" t="str">
        <f>IFERROR(VLOOKUP(A252,'[2]RELAÇÃO DE OC''S VMI MEC 030226'!$B:$P,15,FALSE),"-")</f>
        <v>-</v>
      </c>
      <c r="P252" s="56">
        <f t="shared" ca="1" si="10"/>
        <v>84</v>
      </c>
      <c r="Q252" s="18" t="str">
        <f t="shared" ca="1" si="11"/>
        <v>ATRASADO</v>
      </c>
      <c r="R252" s="19" t="s">
        <v>5659</v>
      </c>
    </row>
    <row r="253" spans="1:18" ht="42.75" x14ac:dyDescent="0.2">
      <c r="A253" s="18" t="str">
        <f t="shared" si="9"/>
        <v>049278027333.11.10785.01</v>
      </c>
      <c r="B253" s="51" t="s">
        <v>984</v>
      </c>
      <c r="C253" s="51" t="s">
        <v>1470</v>
      </c>
      <c r="D253" s="51" t="s">
        <v>1471</v>
      </c>
      <c r="E253" s="51" t="s">
        <v>1472</v>
      </c>
      <c r="F253" s="18" t="s">
        <v>328</v>
      </c>
      <c r="G253" s="52">
        <v>45919</v>
      </c>
      <c r="H253" s="18" t="s">
        <v>329</v>
      </c>
      <c r="I253" s="53">
        <v>1</v>
      </c>
      <c r="J253" s="54">
        <v>144.25834499999999</v>
      </c>
      <c r="K253" s="54">
        <v>144.26</v>
      </c>
      <c r="L253" s="18" t="s">
        <v>330</v>
      </c>
      <c r="M253" s="18" t="s">
        <v>331</v>
      </c>
      <c r="N253" s="55">
        <v>45992</v>
      </c>
      <c r="O253" s="18" t="str">
        <f>IFERROR(VLOOKUP(A253,'[2]RELAÇÃO DE OC''S VMI MEC 030226'!$B:$P,15,FALSE),"-")</f>
        <v>-</v>
      </c>
      <c r="P253" s="56">
        <f t="shared" ca="1" si="10"/>
        <v>84</v>
      </c>
      <c r="Q253" s="18" t="str">
        <f t="shared" ca="1" si="11"/>
        <v>ATRASADO</v>
      </c>
      <c r="R253" s="19" t="s">
        <v>5661</v>
      </c>
    </row>
    <row r="254" spans="1:18" ht="53.25" x14ac:dyDescent="0.2">
      <c r="A254" s="18" t="str">
        <f t="shared" si="9"/>
        <v>049278027433.11.10786.01</v>
      </c>
      <c r="B254" s="51" t="s">
        <v>984</v>
      </c>
      <c r="C254" s="51" t="s">
        <v>1473</v>
      </c>
      <c r="D254" s="51" t="s">
        <v>1474</v>
      </c>
      <c r="E254" s="51" t="s">
        <v>1475</v>
      </c>
      <c r="F254" s="18" t="s">
        <v>328</v>
      </c>
      <c r="G254" s="52">
        <v>45919</v>
      </c>
      <c r="H254" s="18" t="s">
        <v>329</v>
      </c>
      <c r="I254" s="53">
        <v>1</v>
      </c>
      <c r="J254" s="54">
        <v>117.64872</v>
      </c>
      <c r="K254" s="54">
        <v>117.65</v>
      </c>
      <c r="L254" s="18" t="s">
        <v>330</v>
      </c>
      <c r="M254" s="18" t="s">
        <v>331</v>
      </c>
      <c r="N254" s="55">
        <v>45992</v>
      </c>
      <c r="O254" s="18" t="str">
        <f>IFERROR(VLOOKUP(A254,'[2]RELAÇÃO DE OC''S VMI MEC 030226'!$B:$P,15,FALSE),"-")</f>
        <v>-</v>
      </c>
      <c r="P254" s="56">
        <f t="shared" ca="1" si="10"/>
        <v>84</v>
      </c>
      <c r="Q254" s="18" t="str">
        <f t="shared" ca="1" si="11"/>
        <v>ATRASADO</v>
      </c>
      <c r="R254" s="19" t="s">
        <v>5654</v>
      </c>
    </row>
    <row r="255" spans="1:18" x14ac:dyDescent="0.2">
      <c r="A255" s="18" t="str">
        <f t="shared" si="9"/>
        <v>049278027533.11.10786.01</v>
      </c>
      <c r="B255" s="51" t="s">
        <v>984</v>
      </c>
      <c r="C255" s="51" t="s">
        <v>1476</v>
      </c>
      <c r="D255" s="18" t="s">
        <v>1474</v>
      </c>
      <c r="E255" s="18" t="s">
        <v>1475</v>
      </c>
      <c r="F255" s="18" t="s">
        <v>328</v>
      </c>
      <c r="G255" s="52">
        <v>45919</v>
      </c>
      <c r="H255" s="18" t="s">
        <v>329</v>
      </c>
      <c r="I255" s="53">
        <v>1</v>
      </c>
      <c r="J255" s="54">
        <v>117.64872</v>
      </c>
      <c r="K255" s="54">
        <v>117.65</v>
      </c>
      <c r="L255" s="18" t="s">
        <v>330</v>
      </c>
      <c r="M255" s="18" t="s">
        <v>331</v>
      </c>
      <c r="N255" s="55">
        <v>45992</v>
      </c>
      <c r="O255" s="18" t="str">
        <f>IFERROR(VLOOKUP(A255,'[2]RELAÇÃO DE OC''S VMI MEC 030226'!$B:$P,15,FALSE),"-")</f>
        <v>-</v>
      </c>
      <c r="P255" s="56">
        <f t="shared" ca="1" si="10"/>
        <v>84</v>
      </c>
      <c r="Q255" s="18" t="str">
        <f t="shared" ca="1" si="11"/>
        <v>ATRASADO</v>
      </c>
      <c r="R255" s="19" t="s">
        <v>5645</v>
      </c>
    </row>
    <row r="256" spans="1:18" x14ac:dyDescent="0.2">
      <c r="A256" s="18" t="str">
        <f t="shared" si="9"/>
        <v>049278027633.11.10787.00</v>
      </c>
      <c r="B256" s="51" t="s">
        <v>984</v>
      </c>
      <c r="C256" s="51" t="s">
        <v>1477</v>
      </c>
      <c r="D256" s="51" t="s">
        <v>1478</v>
      </c>
      <c r="E256" s="51" t="s">
        <v>1479</v>
      </c>
      <c r="F256" s="18" t="s">
        <v>328</v>
      </c>
      <c r="G256" s="52">
        <v>45919</v>
      </c>
      <c r="H256" s="18" t="s">
        <v>329</v>
      </c>
      <c r="I256" s="53">
        <v>1</v>
      </c>
      <c r="J256" s="54">
        <v>122.482395</v>
      </c>
      <c r="K256" s="54">
        <v>122.48</v>
      </c>
      <c r="L256" s="18" t="s">
        <v>330</v>
      </c>
      <c r="M256" s="18" t="s">
        <v>331</v>
      </c>
      <c r="N256" s="55">
        <v>45992</v>
      </c>
      <c r="O256" s="18" t="str">
        <f>IFERROR(VLOOKUP(A256,'[2]RELAÇÃO DE OC''S VMI MEC 030226'!$B:$P,15,FALSE),"-")</f>
        <v>-</v>
      </c>
      <c r="P256" s="56">
        <f t="shared" ca="1" si="10"/>
        <v>84</v>
      </c>
      <c r="Q256" s="18" t="str">
        <f t="shared" ca="1" si="11"/>
        <v>ATRASADO</v>
      </c>
      <c r="R256" s="19" t="s">
        <v>5645</v>
      </c>
    </row>
    <row r="257" spans="1:18" x14ac:dyDescent="0.2">
      <c r="A257" s="18" t="str">
        <f t="shared" si="9"/>
        <v>049278027733.11.10787.00</v>
      </c>
      <c r="B257" s="51" t="s">
        <v>984</v>
      </c>
      <c r="C257" s="51" t="s">
        <v>1480</v>
      </c>
      <c r="D257" s="18" t="s">
        <v>1478</v>
      </c>
      <c r="E257" s="18" t="s">
        <v>1479</v>
      </c>
      <c r="F257" s="18" t="s">
        <v>328</v>
      </c>
      <c r="G257" s="52">
        <v>45919</v>
      </c>
      <c r="H257" s="18" t="s">
        <v>329</v>
      </c>
      <c r="I257" s="53">
        <v>1</v>
      </c>
      <c r="J257" s="54">
        <v>122.482395</v>
      </c>
      <c r="K257" s="54">
        <v>122.48</v>
      </c>
      <c r="L257" s="18" t="s">
        <v>330</v>
      </c>
      <c r="M257" s="18" t="s">
        <v>331</v>
      </c>
      <c r="N257" s="55">
        <v>45992</v>
      </c>
      <c r="O257" s="18" t="str">
        <f>IFERROR(VLOOKUP(A257,'[2]RELAÇÃO DE OC''S VMI MEC 030226'!$B:$P,15,FALSE),"-")</f>
        <v>-</v>
      </c>
      <c r="P257" s="56">
        <f t="shared" ca="1" si="10"/>
        <v>84</v>
      </c>
      <c r="Q257" s="18" t="str">
        <f t="shared" ca="1" si="11"/>
        <v>ATRASADO</v>
      </c>
      <c r="R257" s="19" t="s">
        <v>5645</v>
      </c>
    </row>
    <row r="258" spans="1:18" x14ac:dyDescent="0.2">
      <c r="A258" s="18" t="str">
        <f t="shared" ref="A258:A321" si="12">B258&amp;C258&amp;D258</f>
        <v>049278028033.11.10794.00</v>
      </c>
      <c r="B258" s="51" t="s">
        <v>984</v>
      </c>
      <c r="C258" s="51" t="s">
        <v>1485</v>
      </c>
      <c r="D258" s="51" t="s">
        <v>1486</v>
      </c>
      <c r="E258" s="51" t="s">
        <v>1487</v>
      </c>
      <c r="F258" s="18" t="s">
        <v>328</v>
      </c>
      <c r="G258" s="52">
        <v>45919</v>
      </c>
      <c r="H258" s="18" t="s">
        <v>329</v>
      </c>
      <c r="I258" s="53">
        <v>1</v>
      </c>
      <c r="J258" s="54">
        <v>182.322315</v>
      </c>
      <c r="K258" s="54">
        <v>182.32</v>
      </c>
      <c r="L258" s="18" t="s">
        <v>330</v>
      </c>
      <c r="M258" s="18" t="s">
        <v>331</v>
      </c>
      <c r="N258" s="55">
        <v>45992</v>
      </c>
      <c r="O258" s="18" t="str">
        <f>IFERROR(VLOOKUP(A258,'[2]RELAÇÃO DE OC''S VMI MEC 030226'!$B:$P,15,FALSE),"-")</f>
        <v>-</v>
      </c>
      <c r="P258" s="56">
        <f t="shared" ref="P258:P321" ca="1" si="13">TODAY()-N258</f>
        <v>84</v>
      </c>
      <c r="Q258" s="18" t="str">
        <f t="shared" ref="Q258:Q321" ca="1" si="14">IF(P258&gt;0,"ATRASADO","DENTRO DO PRAZO")</f>
        <v>ATRASADO</v>
      </c>
      <c r="R258" s="19" t="s">
        <v>5645</v>
      </c>
    </row>
    <row r="259" spans="1:18" x14ac:dyDescent="0.2">
      <c r="A259" s="18" t="str">
        <f t="shared" si="12"/>
        <v>049278028133.11.10794.00</v>
      </c>
      <c r="B259" s="51" t="s">
        <v>984</v>
      </c>
      <c r="C259" s="51" t="s">
        <v>1488</v>
      </c>
      <c r="D259" s="18" t="s">
        <v>1486</v>
      </c>
      <c r="E259" s="18" t="s">
        <v>1487</v>
      </c>
      <c r="F259" s="18" t="s">
        <v>328</v>
      </c>
      <c r="G259" s="52">
        <v>45919</v>
      </c>
      <c r="H259" s="18" t="s">
        <v>329</v>
      </c>
      <c r="I259" s="53">
        <v>1</v>
      </c>
      <c r="J259" s="54">
        <v>182.322315</v>
      </c>
      <c r="K259" s="54">
        <v>182.32</v>
      </c>
      <c r="L259" s="18" t="s">
        <v>330</v>
      </c>
      <c r="M259" s="18" t="s">
        <v>331</v>
      </c>
      <c r="N259" s="55">
        <v>45992</v>
      </c>
      <c r="O259" s="18" t="str">
        <f>IFERROR(VLOOKUP(A259,'[2]RELAÇÃO DE OC''S VMI MEC 030226'!$B:$P,15,FALSE),"-")</f>
        <v>-</v>
      </c>
      <c r="P259" s="56">
        <f t="shared" ca="1" si="13"/>
        <v>84</v>
      </c>
      <c r="Q259" s="18" t="str">
        <f t="shared" ca="1" si="14"/>
        <v>ATRASADO</v>
      </c>
      <c r="R259" s="19" t="s">
        <v>5645</v>
      </c>
    </row>
    <row r="260" spans="1:18" x14ac:dyDescent="0.2">
      <c r="A260" s="18" t="str">
        <f t="shared" si="12"/>
        <v>049278028433.11.10796.00</v>
      </c>
      <c r="B260" s="51" t="s">
        <v>984</v>
      </c>
      <c r="C260" s="51" t="s">
        <v>1493</v>
      </c>
      <c r="D260" s="18" t="s">
        <v>1491</v>
      </c>
      <c r="E260" s="18" t="s">
        <v>1492</v>
      </c>
      <c r="F260" s="18" t="s">
        <v>328</v>
      </c>
      <c r="G260" s="52">
        <v>45919</v>
      </c>
      <c r="H260" s="18" t="s">
        <v>329</v>
      </c>
      <c r="I260" s="53">
        <v>1</v>
      </c>
      <c r="J260" s="54">
        <v>216.55840499999999</v>
      </c>
      <c r="K260" s="54">
        <v>216.56</v>
      </c>
      <c r="L260" s="18" t="s">
        <v>330</v>
      </c>
      <c r="M260" s="18" t="s">
        <v>331</v>
      </c>
      <c r="N260" s="55">
        <v>45992</v>
      </c>
      <c r="O260" s="18" t="str">
        <f>IFERROR(VLOOKUP(A260,'[2]RELAÇÃO DE OC''S VMI MEC 030226'!$B:$P,15,FALSE),"-")</f>
        <v>-</v>
      </c>
      <c r="P260" s="56">
        <f t="shared" ca="1" si="13"/>
        <v>84</v>
      </c>
      <c r="Q260" s="18" t="str">
        <f t="shared" ca="1" si="14"/>
        <v>ATRASADO</v>
      </c>
      <c r="R260" s="19" t="s">
        <v>5645</v>
      </c>
    </row>
    <row r="261" spans="1:18" ht="53.25" x14ac:dyDescent="0.2">
      <c r="A261" s="18" t="str">
        <f t="shared" si="12"/>
        <v>049278028733.11.10798.00</v>
      </c>
      <c r="B261" s="51" t="s">
        <v>984</v>
      </c>
      <c r="C261" s="51" t="s">
        <v>1496</v>
      </c>
      <c r="D261" s="51" t="s">
        <v>1497</v>
      </c>
      <c r="E261" s="51" t="s">
        <v>1498</v>
      </c>
      <c r="F261" s="18" t="s">
        <v>328</v>
      </c>
      <c r="G261" s="52">
        <v>45919</v>
      </c>
      <c r="H261" s="18" t="s">
        <v>329</v>
      </c>
      <c r="I261" s="53">
        <v>1</v>
      </c>
      <c r="J261" s="54">
        <v>275.40229499999998</v>
      </c>
      <c r="K261" s="54">
        <v>275.39999999999998</v>
      </c>
      <c r="L261" s="18" t="s">
        <v>330</v>
      </c>
      <c r="M261" s="18" t="s">
        <v>331</v>
      </c>
      <c r="N261" s="55">
        <v>45992</v>
      </c>
      <c r="O261" s="18" t="str">
        <f>IFERROR(VLOOKUP(A261,'[2]RELAÇÃO DE OC''S VMI MEC 030226'!$B:$P,15,FALSE),"-")</f>
        <v>-</v>
      </c>
      <c r="P261" s="56">
        <f t="shared" ca="1" si="13"/>
        <v>84</v>
      </c>
      <c r="Q261" s="18" t="str">
        <f t="shared" ca="1" si="14"/>
        <v>ATRASADO</v>
      </c>
      <c r="R261" s="19" t="s">
        <v>5637</v>
      </c>
    </row>
    <row r="262" spans="1:18" ht="53.25" x14ac:dyDescent="0.2">
      <c r="A262" s="18" t="str">
        <f t="shared" si="12"/>
        <v>049278028833.11.10799.00</v>
      </c>
      <c r="B262" s="51" t="s">
        <v>984</v>
      </c>
      <c r="C262" s="51" t="s">
        <v>1499</v>
      </c>
      <c r="D262" s="51" t="s">
        <v>1500</v>
      </c>
      <c r="E262" s="51" t="s">
        <v>1501</v>
      </c>
      <c r="F262" s="18" t="s">
        <v>328</v>
      </c>
      <c r="G262" s="52">
        <v>45919</v>
      </c>
      <c r="H262" s="18" t="s">
        <v>329</v>
      </c>
      <c r="I262" s="53">
        <v>1</v>
      </c>
      <c r="J262" s="54">
        <v>273.70318500000002</v>
      </c>
      <c r="K262" s="54">
        <v>273.7</v>
      </c>
      <c r="L262" s="18" t="s">
        <v>330</v>
      </c>
      <c r="M262" s="18" t="s">
        <v>331</v>
      </c>
      <c r="N262" s="55">
        <v>45992</v>
      </c>
      <c r="O262" s="18" t="str">
        <f>IFERROR(VLOOKUP(A262,'[2]RELAÇÃO DE OC''S VMI MEC 030226'!$B:$P,15,FALSE),"-")</f>
        <v>-</v>
      </c>
      <c r="P262" s="56">
        <f t="shared" ca="1" si="13"/>
        <v>84</v>
      </c>
      <c r="Q262" s="18" t="str">
        <f t="shared" ca="1" si="14"/>
        <v>ATRASADO</v>
      </c>
      <c r="R262" s="19" t="s">
        <v>5637</v>
      </c>
    </row>
    <row r="263" spans="1:18" x14ac:dyDescent="0.2">
      <c r="A263" s="18" t="str">
        <f t="shared" si="12"/>
        <v>049278028933.11.10803.00</v>
      </c>
      <c r="B263" s="51" t="s">
        <v>984</v>
      </c>
      <c r="C263" s="51" t="s">
        <v>1502</v>
      </c>
      <c r="D263" s="51" t="s">
        <v>1503</v>
      </c>
      <c r="E263" s="51" t="s">
        <v>1504</v>
      </c>
      <c r="F263" s="18" t="s">
        <v>328</v>
      </c>
      <c r="G263" s="52">
        <v>45919</v>
      </c>
      <c r="H263" s="18" t="s">
        <v>329</v>
      </c>
      <c r="I263" s="53">
        <v>1</v>
      </c>
      <c r="J263" s="54">
        <v>144.34622999999999</v>
      </c>
      <c r="K263" s="54">
        <v>144.35</v>
      </c>
      <c r="L263" s="18" t="s">
        <v>330</v>
      </c>
      <c r="M263" s="18" t="s">
        <v>331</v>
      </c>
      <c r="N263" s="55">
        <v>45992</v>
      </c>
      <c r="O263" s="18" t="str">
        <f>IFERROR(VLOOKUP(A263,'[2]RELAÇÃO DE OC''S VMI MEC 030226'!$B:$P,15,FALSE),"-")</f>
        <v>-</v>
      </c>
      <c r="P263" s="56">
        <f t="shared" ca="1" si="13"/>
        <v>84</v>
      </c>
      <c r="Q263" s="18" t="str">
        <f t="shared" ca="1" si="14"/>
        <v>ATRASADO</v>
      </c>
      <c r="R263" s="19" t="s">
        <v>5645</v>
      </c>
    </row>
    <row r="264" spans="1:18" x14ac:dyDescent="0.2">
      <c r="A264" s="18" t="str">
        <f t="shared" si="12"/>
        <v>049278029033.11.10804.00</v>
      </c>
      <c r="B264" s="51" t="s">
        <v>984</v>
      </c>
      <c r="C264" s="51" t="s">
        <v>1505</v>
      </c>
      <c r="D264" s="51" t="s">
        <v>1506</v>
      </c>
      <c r="E264" s="51" t="s">
        <v>1507</v>
      </c>
      <c r="F264" s="18" t="s">
        <v>328</v>
      </c>
      <c r="G264" s="52">
        <v>45919</v>
      </c>
      <c r="H264" s="18" t="s">
        <v>329</v>
      </c>
      <c r="I264" s="53">
        <v>2</v>
      </c>
      <c r="J264" s="54">
        <v>49.176540000000003</v>
      </c>
      <c r="K264" s="54">
        <v>98.35</v>
      </c>
      <c r="L264" s="18" t="s">
        <v>330</v>
      </c>
      <c r="M264" s="18" t="s">
        <v>331</v>
      </c>
      <c r="N264" s="55">
        <v>45992</v>
      </c>
      <c r="O264" s="18" t="str">
        <f>IFERROR(VLOOKUP(A264,'[2]RELAÇÃO DE OC''S VMI MEC 030226'!$B:$P,15,FALSE),"-")</f>
        <v>-</v>
      </c>
      <c r="P264" s="56">
        <f t="shared" ca="1" si="13"/>
        <v>84</v>
      </c>
      <c r="Q264" s="18" t="str">
        <f t="shared" ca="1" si="14"/>
        <v>ATRASADO</v>
      </c>
      <c r="R264" s="19" t="s">
        <v>5645</v>
      </c>
    </row>
    <row r="265" spans="1:18" x14ac:dyDescent="0.2">
      <c r="A265" s="18" t="str">
        <f t="shared" si="12"/>
        <v>049278029133.11.10871.00</v>
      </c>
      <c r="B265" s="51" t="s">
        <v>984</v>
      </c>
      <c r="C265" s="51" t="s">
        <v>1508</v>
      </c>
      <c r="D265" s="51" t="s">
        <v>1509</v>
      </c>
      <c r="E265" s="51" t="s">
        <v>1510</v>
      </c>
      <c r="F265" s="18" t="s">
        <v>328</v>
      </c>
      <c r="G265" s="52">
        <v>45919</v>
      </c>
      <c r="H265" s="18" t="s">
        <v>329</v>
      </c>
      <c r="I265" s="53">
        <v>2</v>
      </c>
      <c r="J265" s="54">
        <v>50.494815000000003</v>
      </c>
      <c r="K265" s="54">
        <v>100.99</v>
      </c>
      <c r="L265" s="18" t="s">
        <v>330</v>
      </c>
      <c r="M265" s="18" t="s">
        <v>331</v>
      </c>
      <c r="N265" s="55">
        <v>45992</v>
      </c>
      <c r="O265" s="18" t="str">
        <f>IFERROR(VLOOKUP(A265,'[2]RELAÇÃO DE OC''S VMI MEC 030226'!$B:$P,15,FALSE),"-")</f>
        <v>-</v>
      </c>
      <c r="P265" s="56">
        <f t="shared" ca="1" si="13"/>
        <v>84</v>
      </c>
      <c r="Q265" s="18" t="str">
        <f t="shared" ca="1" si="14"/>
        <v>ATRASADO</v>
      </c>
      <c r="R265" s="19" t="s">
        <v>5645</v>
      </c>
    </row>
    <row r="266" spans="1:18" x14ac:dyDescent="0.2">
      <c r="A266" s="18" t="str">
        <f t="shared" si="12"/>
        <v>049278030033.11.10896.00</v>
      </c>
      <c r="B266" s="51" t="s">
        <v>984</v>
      </c>
      <c r="C266" s="51" t="s">
        <v>1527</v>
      </c>
      <c r="D266" s="51" t="s">
        <v>1528</v>
      </c>
      <c r="E266" s="51" t="s">
        <v>1529</v>
      </c>
      <c r="F266" s="18" t="s">
        <v>328</v>
      </c>
      <c r="G266" s="52">
        <v>45919</v>
      </c>
      <c r="H266" s="18" t="s">
        <v>329</v>
      </c>
      <c r="I266" s="53">
        <v>1</v>
      </c>
      <c r="J266" s="54">
        <v>77.114204999999998</v>
      </c>
      <c r="K266" s="54">
        <v>77.11</v>
      </c>
      <c r="L266" s="18" t="s">
        <v>330</v>
      </c>
      <c r="M266" s="18" t="s">
        <v>331</v>
      </c>
      <c r="N266" s="55">
        <v>45992</v>
      </c>
      <c r="O266" s="18" t="str">
        <f>IFERROR(VLOOKUP(A266,'[2]RELAÇÃO DE OC''S VMI MEC 030226'!$B:$P,15,FALSE),"-")</f>
        <v>-</v>
      </c>
      <c r="P266" s="56">
        <f t="shared" ca="1" si="13"/>
        <v>84</v>
      </c>
      <c r="Q266" s="18" t="str">
        <f t="shared" ca="1" si="14"/>
        <v>ATRASADO</v>
      </c>
      <c r="R266" s="19" t="s">
        <v>5645</v>
      </c>
    </row>
    <row r="267" spans="1:18" x14ac:dyDescent="0.2">
      <c r="A267" s="18" t="str">
        <f t="shared" si="12"/>
        <v>049278030133.11.10896.00</v>
      </c>
      <c r="B267" s="51" t="s">
        <v>984</v>
      </c>
      <c r="C267" s="51" t="s">
        <v>1530</v>
      </c>
      <c r="D267" s="18" t="s">
        <v>1528</v>
      </c>
      <c r="E267" s="18" t="s">
        <v>1529</v>
      </c>
      <c r="F267" s="18" t="s">
        <v>328</v>
      </c>
      <c r="G267" s="52">
        <v>45919</v>
      </c>
      <c r="H267" s="18" t="s">
        <v>329</v>
      </c>
      <c r="I267" s="53">
        <v>1</v>
      </c>
      <c r="J267" s="54">
        <v>77.114204999999998</v>
      </c>
      <c r="K267" s="54">
        <v>77.11</v>
      </c>
      <c r="L267" s="18" t="s">
        <v>330</v>
      </c>
      <c r="M267" s="18" t="s">
        <v>331</v>
      </c>
      <c r="N267" s="55">
        <v>45992</v>
      </c>
      <c r="O267" s="18" t="str">
        <f>IFERROR(VLOOKUP(A267,'[2]RELAÇÃO DE OC''S VMI MEC 030226'!$B:$P,15,FALSE),"-")</f>
        <v>-</v>
      </c>
      <c r="P267" s="56">
        <f t="shared" ca="1" si="13"/>
        <v>84</v>
      </c>
      <c r="Q267" s="18" t="str">
        <f t="shared" ca="1" si="14"/>
        <v>ATRASADO</v>
      </c>
      <c r="R267" s="19" t="s">
        <v>5645</v>
      </c>
    </row>
    <row r="268" spans="1:18" x14ac:dyDescent="0.2">
      <c r="A268" s="18" t="str">
        <f t="shared" si="12"/>
        <v>049278030233.11.10897.00</v>
      </c>
      <c r="B268" s="51" t="s">
        <v>984</v>
      </c>
      <c r="C268" s="51" t="s">
        <v>1531</v>
      </c>
      <c r="D268" s="51" t="s">
        <v>1532</v>
      </c>
      <c r="E268" s="51" t="s">
        <v>1533</v>
      </c>
      <c r="F268" s="18" t="s">
        <v>328</v>
      </c>
      <c r="G268" s="52">
        <v>45919</v>
      </c>
      <c r="H268" s="18" t="s">
        <v>329</v>
      </c>
      <c r="I268" s="53">
        <v>1</v>
      </c>
      <c r="J268" s="54">
        <v>77.114204999999998</v>
      </c>
      <c r="K268" s="54">
        <v>77.11</v>
      </c>
      <c r="L268" s="18" t="s">
        <v>330</v>
      </c>
      <c r="M268" s="18" t="s">
        <v>331</v>
      </c>
      <c r="N268" s="55">
        <v>45992</v>
      </c>
      <c r="O268" s="18" t="str">
        <f>IFERROR(VLOOKUP(A268,'[2]RELAÇÃO DE OC''S VMI MEC 030226'!$B:$P,15,FALSE),"-")</f>
        <v>-</v>
      </c>
      <c r="P268" s="56">
        <f t="shared" ca="1" si="13"/>
        <v>84</v>
      </c>
      <c r="Q268" s="18" t="str">
        <f t="shared" ca="1" si="14"/>
        <v>ATRASADO</v>
      </c>
      <c r="R268" s="19" t="s">
        <v>5645</v>
      </c>
    </row>
    <row r="269" spans="1:18" x14ac:dyDescent="0.2">
      <c r="A269" s="18" t="str">
        <f t="shared" si="12"/>
        <v>049278030333.11.10897.00</v>
      </c>
      <c r="B269" s="51" t="s">
        <v>984</v>
      </c>
      <c r="C269" s="51" t="s">
        <v>1534</v>
      </c>
      <c r="D269" s="18" t="s">
        <v>1532</v>
      </c>
      <c r="E269" s="18" t="s">
        <v>1533</v>
      </c>
      <c r="F269" s="18" t="s">
        <v>328</v>
      </c>
      <c r="G269" s="52">
        <v>45919</v>
      </c>
      <c r="H269" s="18" t="s">
        <v>329</v>
      </c>
      <c r="I269" s="53">
        <v>1</v>
      </c>
      <c r="J269" s="54">
        <v>77.114204999999998</v>
      </c>
      <c r="K269" s="54">
        <v>77.11</v>
      </c>
      <c r="L269" s="18" t="s">
        <v>330</v>
      </c>
      <c r="M269" s="18" t="s">
        <v>331</v>
      </c>
      <c r="N269" s="55">
        <v>45992</v>
      </c>
      <c r="O269" s="18" t="str">
        <f>IFERROR(VLOOKUP(A269,'[2]RELAÇÃO DE OC''S VMI MEC 030226'!$B:$P,15,FALSE),"-")</f>
        <v>-</v>
      </c>
      <c r="P269" s="56">
        <f t="shared" ca="1" si="13"/>
        <v>84</v>
      </c>
      <c r="Q269" s="18" t="str">
        <f t="shared" ca="1" si="14"/>
        <v>ATRASADO</v>
      </c>
      <c r="R269" s="19" t="s">
        <v>5645</v>
      </c>
    </row>
    <row r="270" spans="1:18" x14ac:dyDescent="0.2">
      <c r="A270" s="18" t="str">
        <f t="shared" si="12"/>
        <v>049278030433.11.10898.00</v>
      </c>
      <c r="B270" s="51" t="s">
        <v>984</v>
      </c>
      <c r="C270" s="51" t="s">
        <v>1535</v>
      </c>
      <c r="D270" s="51" t="s">
        <v>1536</v>
      </c>
      <c r="E270" s="51" t="s">
        <v>1537</v>
      </c>
      <c r="F270" s="18" t="s">
        <v>328</v>
      </c>
      <c r="G270" s="52">
        <v>45919</v>
      </c>
      <c r="H270" s="18" t="s">
        <v>329</v>
      </c>
      <c r="I270" s="53">
        <v>2</v>
      </c>
      <c r="J270" s="54">
        <v>53.033715000000001</v>
      </c>
      <c r="K270" s="54">
        <v>106.07</v>
      </c>
      <c r="L270" s="18" t="s">
        <v>330</v>
      </c>
      <c r="M270" s="18" t="s">
        <v>331</v>
      </c>
      <c r="N270" s="55">
        <v>45992</v>
      </c>
      <c r="O270" s="18" t="str">
        <f>IFERROR(VLOOKUP(A270,'[2]RELAÇÃO DE OC''S VMI MEC 030226'!$B:$P,15,FALSE),"-")</f>
        <v>-</v>
      </c>
      <c r="P270" s="56">
        <f t="shared" ca="1" si="13"/>
        <v>84</v>
      </c>
      <c r="Q270" s="18" t="str">
        <f t="shared" ca="1" si="14"/>
        <v>ATRASADO</v>
      </c>
      <c r="R270" s="19" t="s">
        <v>5645</v>
      </c>
    </row>
    <row r="271" spans="1:18" x14ac:dyDescent="0.2">
      <c r="A271" s="18" t="str">
        <f t="shared" si="12"/>
        <v>049278031633.11.10926.00</v>
      </c>
      <c r="B271" s="51" t="s">
        <v>984</v>
      </c>
      <c r="C271" s="51" t="s">
        <v>1558</v>
      </c>
      <c r="D271" s="51" t="s">
        <v>1559</v>
      </c>
      <c r="E271" s="51" t="s">
        <v>1560</v>
      </c>
      <c r="F271" s="18" t="s">
        <v>328</v>
      </c>
      <c r="G271" s="52">
        <v>45919</v>
      </c>
      <c r="H271" s="18" t="s">
        <v>329</v>
      </c>
      <c r="I271" s="53">
        <v>2</v>
      </c>
      <c r="J271" s="54">
        <v>154.863135</v>
      </c>
      <c r="K271" s="54">
        <v>309.73</v>
      </c>
      <c r="L271" s="18" t="s">
        <v>330</v>
      </c>
      <c r="M271" s="18" t="s">
        <v>331</v>
      </c>
      <c r="N271" s="55">
        <v>45992</v>
      </c>
      <c r="O271" s="18" t="str">
        <f>IFERROR(VLOOKUP(A271,'[2]RELAÇÃO DE OC''S VMI MEC 030226'!$B:$P,15,FALSE),"-")</f>
        <v>-</v>
      </c>
      <c r="P271" s="56">
        <f t="shared" ca="1" si="13"/>
        <v>84</v>
      </c>
      <c r="Q271" s="18" t="str">
        <f t="shared" ca="1" si="14"/>
        <v>ATRASADO</v>
      </c>
      <c r="R271" s="19" t="s">
        <v>5645</v>
      </c>
    </row>
    <row r="272" spans="1:18" x14ac:dyDescent="0.2">
      <c r="A272" s="18" t="str">
        <f t="shared" si="12"/>
        <v>049278032033.11.10936.00</v>
      </c>
      <c r="B272" s="51" t="s">
        <v>984</v>
      </c>
      <c r="C272" s="51" t="s">
        <v>1567</v>
      </c>
      <c r="D272" s="51" t="s">
        <v>1568</v>
      </c>
      <c r="E272" s="51" t="s">
        <v>1569</v>
      </c>
      <c r="F272" s="18" t="s">
        <v>328</v>
      </c>
      <c r="G272" s="52">
        <v>45919</v>
      </c>
      <c r="H272" s="18" t="s">
        <v>329</v>
      </c>
      <c r="I272" s="53">
        <v>2</v>
      </c>
      <c r="J272" s="54">
        <v>137.43261000000001</v>
      </c>
      <c r="K272" s="54">
        <v>274.87</v>
      </c>
      <c r="L272" s="18" t="s">
        <v>330</v>
      </c>
      <c r="M272" s="18" t="s">
        <v>331</v>
      </c>
      <c r="N272" s="55">
        <v>45992</v>
      </c>
      <c r="O272" s="18" t="str">
        <f>IFERROR(VLOOKUP(A272,'[2]RELAÇÃO DE OC''S VMI MEC 030226'!$B:$P,15,FALSE),"-")</f>
        <v>-</v>
      </c>
      <c r="P272" s="56">
        <f t="shared" ca="1" si="13"/>
        <v>84</v>
      </c>
      <c r="Q272" s="18" t="str">
        <f t="shared" ca="1" si="14"/>
        <v>ATRASADO</v>
      </c>
      <c r="R272" s="19" t="s">
        <v>5645</v>
      </c>
    </row>
    <row r="273" spans="1:18" x14ac:dyDescent="0.2">
      <c r="A273" s="18" t="str">
        <f t="shared" si="12"/>
        <v>049278032133.11.10937.00</v>
      </c>
      <c r="B273" s="51" t="s">
        <v>984</v>
      </c>
      <c r="C273" s="51" t="s">
        <v>1570</v>
      </c>
      <c r="D273" s="51" t="s">
        <v>1571</v>
      </c>
      <c r="E273" s="51" t="s">
        <v>1572</v>
      </c>
      <c r="F273" s="18" t="s">
        <v>328</v>
      </c>
      <c r="G273" s="52">
        <v>45919</v>
      </c>
      <c r="H273" s="18" t="s">
        <v>329</v>
      </c>
      <c r="I273" s="53">
        <v>38</v>
      </c>
      <c r="J273" s="54">
        <v>13.993245</v>
      </c>
      <c r="K273" s="54">
        <v>531.74</v>
      </c>
      <c r="L273" s="18" t="s">
        <v>330</v>
      </c>
      <c r="M273" s="18" t="s">
        <v>331</v>
      </c>
      <c r="N273" s="55">
        <v>45992</v>
      </c>
      <c r="O273" s="18" t="str">
        <f>IFERROR(VLOOKUP(A273,'[2]RELAÇÃO DE OC''S VMI MEC 030226'!$B:$P,15,FALSE),"-")</f>
        <v>-</v>
      </c>
      <c r="P273" s="56">
        <f t="shared" ca="1" si="13"/>
        <v>84</v>
      </c>
      <c r="Q273" s="18" t="str">
        <f t="shared" ca="1" si="14"/>
        <v>ATRASADO</v>
      </c>
      <c r="R273" s="19" t="s">
        <v>5645</v>
      </c>
    </row>
    <row r="274" spans="1:18" x14ac:dyDescent="0.2">
      <c r="A274" s="18" t="str">
        <f t="shared" si="12"/>
        <v>049278032233.11.10940.00</v>
      </c>
      <c r="B274" s="51" t="s">
        <v>984</v>
      </c>
      <c r="C274" s="51" t="s">
        <v>1573</v>
      </c>
      <c r="D274" s="51" t="s">
        <v>1574</v>
      </c>
      <c r="E274" s="51" t="s">
        <v>1575</v>
      </c>
      <c r="F274" s="18" t="s">
        <v>328</v>
      </c>
      <c r="G274" s="52">
        <v>45919</v>
      </c>
      <c r="H274" s="18" t="s">
        <v>329</v>
      </c>
      <c r="I274" s="53">
        <v>4</v>
      </c>
      <c r="J274" s="54">
        <v>14.8428</v>
      </c>
      <c r="K274" s="54">
        <v>59.37</v>
      </c>
      <c r="L274" s="18" t="s">
        <v>330</v>
      </c>
      <c r="M274" s="18" t="s">
        <v>331</v>
      </c>
      <c r="N274" s="55">
        <v>45992</v>
      </c>
      <c r="O274" s="18" t="str">
        <f>IFERROR(VLOOKUP(A274,'[2]RELAÇÃO DE OC''S VMI MEC 030226'!$B:$P,15,FALSE),"-")</f>
        <v>-</v>
      </c>
      <c r="P274" s="56">
        <f t="shared" ca="1" si="13"/>
        <v>84</v>
      </c>
      <c r="Q274" s="18" t="str">
        <f t="shared" ca="1" si="14"/>
        <v>ATRASADO</v>
      </c>
      <c r="R274" s="19" t="s">
        <v>5645</v>
      </c>
    </row>
    <row r="275" spans="1:18" x14ac:dyDescent="0.2">
      <c r="A275" s="18" t="str">
        <f t="shared" si="12"/>
        <v>049278032333.11.10942.00</v>
      </c>
      <c r="B275" s="51" t="s">
        <v>984</v>
      </c>
      <c r="C275" s="51" t="s">
        <v>1576</v>
      </c>
      <c r="D275" s="51" t="s">
        <v>1577</v>
      </c>
      <c r="E275" s="51" t="s">
        <v>1578</v>
      </c>
      <c r="F275" s="18" t="s">
        <v>328</v>
      </c>
      <c r="G275" s="52">
        <v>45919</v>
      </c>
      <c r="H275" s="18" t="s">
        <v>329</v>
      </c>
      <c r="I275" s="53">
        <v>2</v>
      </c>
      <c r="J275" s="54">
        <v>144.07281</v>
      </c>
      <c r="K275" s="54">
        <v>288.14999999999998</v>
      </c>
      <c r="L275" s="18" t="s">
        <v>330</v>
      </c>
      <c r="M275" s="18" t="s">
        <v>331</v>
      </c>
      <c r="N275" s="55">
        <v>45992</v>
      </c>
      <c r="O275" s="18" t="str">
        <f>IFERROR(VLOOKUP(A275,'[2]RELAÇÃO DE OC''S VMI MEC 030226'!$B:$P,15,FALSE),"-")</f>
        <v>-</v>
      </c>
      <c r="P275" s="56">
        <f t="shared" ca="1" si="13"/>
        <v>84</v>
      </c>
      <c r="Q275" s="18" t="str">
        <f t="shared" ca="1" si="14"/>
        <v>ATRASADO</v>
      </c>
      <c r="R275" s="19" t="s">
        <v>5645</v>
      </c>
    </row>
    <row r="276" spans="1:18" x14ac:dyDescent="0.2">
      <c r="A276" s="18" t="str">
        <f t="shared" si="12"/>
        <v>049278032533.11.10966.00</v>
      </c>
      <c r="B276" s="51" t="s">
        <v>984</v>
      </c>
      <c r="C276" s="51" t="s">
        <v>1581</v>
      </c>
      <c r="D276" s="51" t="s">
        <v>1582</v>
      </c>
      <c r="E276" s="51" t="s">
        <v>1583</v>
      </c>
      <c r="F276" s="18" t="s">
        <v>328</v>
      </c>
      <c r="G276" s="52">
        <v>45919</v>
      </c>
      <c r="H276" s="18" t="s">
        <v>329</v>
      </c>
      <c r="I276" s="53">
        <v>1</v>
      </c>
      <c r="J276" s="54">
        <v>84.086415000000002</v>
      </c>
      <c r="K276" s="54">
        <v>84.09</v>
      </c>
      <c r="L276" s="18" t="s">
        <v>330</v>
      </c>
      <c r="M276" s="18" t="s">
        <v>331</v>
      </c>
      <c r="N276" s="55">
        <v>45992</v>
      </c>
      <c r="O276" s="18" t="str">
        <f>IFERROR(VLOOKUP(A276,'[2]RELAÇÃO DE OC''S VMI MEC 030226'!$B:$P,15,FALSE),"-")</f>
        <v>-</v>
      </c>
      <c r="P276" s="56">
        <f t="shared" ca="1" si="13"/>
        <v>84</v>
      </c>
      <c r="Q276" s="18" t="str">
        <f t="shared" ca="1" si="14"/>
        <v>ATRASADO</v>
      </c>
      <c r="R276" s="19" t="s">
        <v>5645</v>
      </c>
    </row>
    <row r="277" spans="1:18" x14ac:dyDescent="0.2">
      <c r="A277" s="18" t="str">
        <f t="shared" si="12"/>
        <v>049278032633.11.10966.00</v>
      </c>
      <c r="B277" s="51" t="s">
        <v>984</v>
      </c>
      <c r="C277" s="51" t="s">
        <v>1584</v>
      </c>
      <c r="D277" s="18" t="s">
        <v>1582</v>
      </c>
      <c r="E277" s="18" t="s">
        <v>1583</v>
      </c>
      <c r="F277" s="18" t="s">
        <v>328</v>
      </c>
      <c r="G277" s="52">
        <v>45919</v>
      </c>
      <c r="H277" s="18" t="s">
        <v>329</v>
      </c>
      <c r="I277" s="53">
        <v>1</v>
      </c>
      <c r="J277" s="54">
        <v>84.086415000000002</v>
      </c>
      <c r="K277" s="54">
        <v>84.09</v>
      </c>
      <c r="L277" s="18" t="s">
        <v>330</v>
      </c>
      <c r="M277" s="18" t="s">
        <v>331</v>
      </c>
      <c r="N277" s="55">
        <v>45992</v>
      </c>
      <c r="O277" s="18" t="str">
        <f>IFERROR(VLOOKUP(A277,'[2]RELAÇÃO DE OC''S VMI MEC 030226'!$B:$P,15,FALSE),"-")</f>
        <v>-</v>
      </c>
      <c r="P277" s="56">
        <f t="shared" ca="1" si="13"/>
        <v>84</v>
      </c>
      <c r="Q277" s="18" t="str">
        <f t="shared" ca="1" si="14"/>
        <v>ATRASADO</v>
      </c>
      <c r="R277" s="19" t="s">
        <v>5645</v>
      </c>
    </row>
    <row r="278" spans="1:18" x14ac:dyDescent="0.2">
      <c r="A278" s="18" t="str">
        <f t="shared" si="12"/>
        <v>049278033033.11.10986.00</v>
      </c>
      <c r="B278" s="51" t="s">
        <v>984</v>
      </c>
      <c r="C278" s="51" t="s">
        <v>1591</v>
      </c>
      <c r="D278" s="51" t="s">
        <v>1592</v>
      </c>
      <c r="E278" s="51" t="s">
        <v>1593</v>
      </c>
      <c r="F278" s="18" t="s">
        <v>328</v>
      </c>
      <c r="G278" s="52">
        <v>45919</v>
      </c>
      <c r="H278" s="18" t="s">
        <v>329</v>
      </c>
      <c r="I278" s="53">
        <v>1</v>
      </c>
      <c r="J278" s="54">
        <v>776.88387</v>
      </c>
      <c r="K278" s="54">
        <v>776.88</v>
      </c>
      <c r="L278" s="18" t="s">
        <v>330</v>
      </c>
      <c r="M278" s="18" t="s">
        <v>331</v>
      </c>
      <c r="N278" s="55">
        <v>45992</v>
      </c>
      <c r="O278" s="18" t="str">
        <f>IFERROR(VLOOKUP(A278,'[2]RELAÇÃO DE OC''S VMI MEC 030226'!$B:$P,15,FALSE),"-")</f>
        <v>-</v>
      </c>
      <c r="P278" s="56">
        <f t="shared" ca="1" si="13"/>
        <v>84</v>
      </c>
      <c r="Q278" s="18" t="str">
        <f t="shared" ca="1" si="14"/>
        <v>ATRASADO</v>
      </c>
      <c r="R278" s="19" t="s">
        <v>5645</v>
      </c>
    </row>
    <row r="279" spans="1:18" x14ac:dyDescent="0.2">
      <c r="A279" s="18" t="str">
        <f t="shared" si="12"/>
        <v>049278033133.11.10986.00</v>
      </c>
      <c r="B279" s="51" t="s">
        <v>984</v>
      </c>
      <c r="C279" s="51" t="s">
        <v>1594</v>
      </c>
      <c r="D279" s="18" t="s">
        <v>1592</v>
      </c>
      <c r="E279" s="18" t="s">
        <v>1593</v>
      </c>
      <c r="F279" s="18" t="s">
        <v>328</v>
      </c>
      <c r="G279" s="52">
        <v>45919</v>
      </c>
      <c r="H279" s="18" t="s">
        <v>329</v>
      </c>
      <c r="I279" s="53">
        <v>1</v>
      </c>
      <c r="J279" s="54">
        <v>776.88387</v>
      </c>
      <c r="K279" s="54">
        <v>776.88</v>
      </c>
      <c r="L279" s="18" t="s">
        <v>330</v>
      </c>
      <c r="M279" s="18" t="s">
        <v>331</v>
      </c>
      <c r="N279" s="55">
        <v>45992</v>
      </c>
      <c r="O279" s="18" t="str">
        <f>IFERROR(VLOOKUP(A279,'[2]RELAÇÃO DE OC''S VMI MEC 030226'!$B:$P,15,FALSE),"-")</f>
        <v>-</v>
      </c>
      <c r="P279" s="56">
        <f t="shared" ca="1" si="13"/>
        <v>84</v>
      </c>
      <c r="Q279" s="18" t="str">
        <f t="shared" ca="1" si="14"/>
        <v>ATRASADO</v>
      </c>
      <c r="R279" s="19" t="s">
        <v>5645</v>
      </c>
    </row>
    <row r="280" spans="1:18" x14ac:dyDescent="0.2">
      <c r="A280" s="18" t="str">
        <f t="shared" si="12"/>
        <v>049278033233.11.10987.00</v>
      </c>
      <c r="B280" s="51" t="s">
        <v>984</v>
      </c>
      <c r="C280" s="51" t="s">
        <v>1595</v>
      </c>
      <c r="D280" s="51" t="s">
        <v>1596</v>
      </c>
      <c r="E280" s="51" t="s">
        <v>1597</v>
      </c>
      <c r="F280" s="18" t="s">
        <v>328</v>
      </c>
      <c r="G280" s="52">
        <v>45919</v>
      </c>
      <c r="H280" s="18" t="s">
        <v>329</v>
      </c>
      <c r="I280" s="53">
        <v>1</v>
      </c>
      <c r="J280" s="54">
        <v>1025.4910050000001</v>
      </c>
      <c r="K280" s="54">
        <v>1025.49</v>
      </c>
      <c r="L280" s="18" t="s">
        <v>330</v>
      </c>
      <c r="M280" s="18" t="s">
        <v>331</v>
      </c>
      <c r="N280" s="55">
        <v>45992</v>
      </c>
      <c r="O280" s="18" t="str">
        <f>IFERROR(VLOOKUP(A280,'[2]RELAÇÃO DE OC''S VMI MEC 030226'!$B:$P,15,FALSE),"-")</f>
        <v>-</v>
      </c>
      <c r="P280" s="56">
        <f t="shared" ca="1" si="13"/>
        <v>84</v>
      </c>
      <c r="Q280" s="18" t="str">
        <f t="shared" ca="1" si="14"/>
        <v>ATRASADO</v>
      </c>
      <c r="R280" s="19" t="s">
        <v>5645</v>
      </c>
    </row>
    <row r="281" spans="1:18" x14ac:dyDescent="0.2">
      <c r="A281" s="18" t="str">
        <f t="shared" si="12"/>
        <v>049278033333.11.10987.00</v>
      </c>
      <c r="B281" s="51" t="s">
        <v>984</v>
      </c>
      <c r="C281" s="51" t="s">
        <v>1598</v>
      </c>
      <c r="D281" s="18" t="s">
        <v>1596</v>
      </c>
      <c r="E281" s="18" t="s">
        <v>1597</v>
      </c>
      <c r="F281" s="18" t="s">
        <v>328</v>
      </c>
      <c r="G281" s="52">
        <v>45919</v>
      </c>
      <c r="H281" s="18" t="s">
        <v>329</v>
      </c>
      <c r="I281" s="53">
        <v>1</v>
      </c>
      <c r="J281" s="54">
        <v>1025.4910050000001</v>
      </c>
      <c r="K281" s="54">
        <v>1025.49</v>
      </c>
      <c r="L281" s="18" t="s">
        <v>330</v>
      </c>
      <c r="M281" s="18" t="s">
        <v>331</v>
      </c>
      <c r="N281" s="55">
        <v>45992</v>
      </c>
      <c r="O281" s="18" t="str">
        <f>IFERROR(VLOOKUP(A281,'[2]RELAÇÃO DE OC''S VMI MEC 030226'!$B:$P,15,FALSE),"-")</f>
        <v>-</v>
      </c>
      <c r="P281" s="56">
        <f t="shared" ca="1" si="13"/>
        <v>84</v>
      </c>
      <c r="Q281" s="18" t="str">
        <f t="shared" ca="1" si="14"/>
        <v>ATRASADO</v>
      </c>
      <c r="R281" s="19" t="s">
        <v>5645</v>
      </c>
    </row>
    <row r="282" spans="1:18" x14ac:dyDescent="0.2">
      <c r="A282" s="18" t="str">
        <f t="shared" si="12"/>
        <v>049278033833.11.11008.00</v>
      </c>
      <c r="B282" s="51" t="s">
        <v>984</v>
      </c>
      <c r="C282" s="51" t="s">
        <v>1603</v>
      </c>
      <c r="D282" s="51" t="s">
        <v>1604</v>
      </c>
      <c r="E282" s="51" t="s">
        <v>1605</v>
      </c>
      <c r="F282" s="18" t="s">
        <v>328</v>
      </c>
      <c r="G282" s="52">
        <v>45919</v>
      </c>
      <c r="H282" s="18" t="s">
        <v>329</v>
      </c>
      <c r="I282" s="53">
        <v>1</v>
      </c>
      <c r="J282" s="54">
        <v>184.71474000000001</v>
      </c>
      <c r="K282" s="54">
        <v>184.71</v>
      </c>
      <c r="L282" s="18" t="s">
        <v>330</v>
      </c>
      <c r="M282" s="18" t="s">
        <v>331</v>
      </c>
      <c r="N282" s="55">
        <v>45992</v>
      </c>
      <c r="O282" s="18" t="str">
        <f>IFERROR(VLOOKUP(A282,'[2]RELAÇÃO DE OC''S VMI MEC 030226'!$B:$P,15,FALSE),"-")</f>
        <v>-</v>
      </c>
      <c r="P282" s="56">
        <f t="shared" ca="1" si="13"/>
        <v>84</v>
      </c>
      <c r="Q282" s="18" t="str">
        <f t="shared" ca="1" si="14"/>
        <v>ATRASADO</v>
      </c>
      <c r="R282" s="19" t="s">
        <v>5645</v>
      </c>
    </row>
    <row r="283" spans="1:18" x14ac:dyDescent="0.2">
      <c r="A283" s="18" t="str">
        <f t="shared" si="12"/>
        <v>049278033933.11.11008.00</v>
      </c>
      <c r="B283" s="51" t="s">
        <v>984</v>
      </c>
      <c r="C283" s="51" t="s">
        <v>1606</v>
      </c>
      <c r="D283" s="18" t="s">
        <v>1604</v>
      </c>
      <c r="E283" s="18" t="s">
        <v>1605</v>
      </c>
      <c r="F283" s="18" t="s">
        <v>328</v>
      </c>
      <c r="G283" s="52">
        <v>45919</v>
      </c>
      <c r="H283" s="18" t="s">
        <v>329</v>
      </c>
      <c r="I283" s="53">
        <v>1</v>
      </c>
      <c r="J283" s="54">
        <v>184.71474000000001</v>
      </c>
      <c r="K283" s="54">
        <v>184.71</v>
      </c>
      <c r="L283" s="18" t="s">
        <v>330</v>
      </c>
      <c r="M283" s="18" t="s">
        <v>331</v>
      </c>
      <c r="N283" s="55">
        <v>45992</v>
      </c>
      <c r="O283" s="18" t="str">
        <f>IFERROR(VLOOKUP(A283,'[2]RELAÇÃO DE OC''S VMI MEC 030226'!$B:$P,15,FALSE),"-")</f>
        <v>-</v>
      </c>
      <c r="P283" s="56">
        <f t="shared" ca="1" si="13"/>
        <v>84</v>
      </c>
      <c r="Q283" s="18" t="str">
        <f t="shared" ca="1" si="14"/>
        <v>ATRASADO</v>
      </c>
      <c r="R283" s="19" t="s">
        <v>5645</v>
      </c>
    </row>
    <row r="284" spans="1:18" ht="53.25" x14ac:dyDescent="0.2">
      <c r="A284" s="18" t="str">
        <f t="shared" si="12"/>
        <v>049278034033.11.11009.00</v>
      </c>
      <c r="B284" s="51" t="s">
        <v>984</v>
      </c>
      <c r="C284" s="51" t="s">
        <v>1607</v>
      </c>
      <c r="D284" s="51" t="s">
        <v>1608</v>
      </c>
      <c r="E284" s="51" t="s">
        <v>1609</v>
      </c>
      <c r="F284" s="18" t="s">
        <v>328</v>
      </c>
      <c r="G284" s="52">
        <v>45919</v>
      </c>
      <c r="H284" s="18" t="s">
        <v>329</v>
      </c>
      <c r="I284" s="53">
        <v>1</v>
      </c>
      <c r="J284" s="54">
        <v>194.85081</v>
      </c>
      <c r="K284" s="54">
        <v>194.85</v>
      </c>
      <c r="L284" s="18" t="s">
        <v>330</v>
      </c>
      <c r="M284" s="18" t="s">
        <v>331</v>
      </c>
      <c r="N284" s="55">
        <v>45992</v>
      </c>
      <c r="O284" s="18" t="str">
        <f>IFERROR(VLOOKUP(A284,'[2]RELAÇÃO DE OC''S VMI MEC 030226'!$B:$P,15,FALSE),"-")</f>
        <v>-</v>
      </c>
      <c r="P284" s="56">
        <f t="shared" ca="1" si="13"/>
        <v>84</v>
      </c>
      <c r="Q284" s="18" t="str">
        <f t="shared" ca="1" si="14"/>
        <v>ATRASADO</v>
      </c>
      <c r="R284" s="19" t="s">
        <v>5656</v>
      </c>
    </row>
    <row r="285" spans="1:18" ht="53.25" x14ac:dyDescent="0.2">
      <c r="A285" s="18" t="str">
        <f t="shared" si="12"/>
        <v>049278034133.11.11009.00</v>
      </c>
      <c r="B285" s="51" t="s">
        <v>984</v>
      </c>
      <c r="C285" s="51" t="s">
        <v>1610</v>
      </c>
      <c r="D285" s="18" t="s">
        <v>1608</v>
      </c>
      <c r="E285" s="18" t="s">
        <v>1609</v>
      </c>
      <c r="F285" s="18" t="s">
        <v>328</v>
      </c>
      <c r="G285" s="52">
        <v>45919</v>
      </c>
      <c r="H285" s="18" t="s">
        <v>329</v>
      </c>
      <c r="I285" s="53">
        <v>1</v>
      </c>
      <c r="J285" s="54">
        <v>194.85081</v>
      </c>
      <c r="K285" s="54">
        <v>194.85</v>
      </c>
      <c r="L285" s="18" t="s">
        <v>330</v>
      </c>
      <c r="M285" s="18" t="s">
        <v>331</v>
      </c>
      <c r="N285" s="55">
        <v>45992</v>
      </c>
      <c r="O285" s="18" t="str">
        <f>IFERROR(VLOOKUP(A285,'[2]RELAÇÃO DE OC''S VMI MEC 030226'!$B:$P,15,FALSE),"-")</f>
        <v>-</v>
      </c>
      <c r="P285" s="56">
        <f t="shared" ca="1" si="13"/>
        <v>84</v>
      </c>
      <c r="Q285" s="18" t="str">
        <f t="shared" ca="1" si="14"/>
        <v>ATRASADO</v>
      </c>
      <c r="R285" s="19" t="s">
        <v>5656</v>
      </c>
    </row>
    <row r="286" spans="1:18" ht="53.25" x14ac:dyDescent="0.2">
      <c r="A286" s="18" t="str">
        <f t="shared" si="12"/>
        <v>049278034233.11.11011.00</v>
      </c>
      <c r="B286" s="51" t="s">
        <v>984</v>
      </c>
      <c r="C286" s="51" t="s">
        <v>1611</v>
      </c>
      <c r="D286" s="51" t="s">
        <v>1612</v>
      </c>
      <c r="E286" s="51" t="s">
        <v>1613</v>
      </c>
      <c r="F286" s="18" t="s">
        <v>328</v>
      </c>
      <c r="G286" s="52">
        <v>45919</v>
      </c>
      <c r="H286" s="18" t="s">
        <v>329</v>
      </c>
      <c r="I286" s="53">
        <v>1</v>
      </c>
      <c r="J286" s="54">
        <v>86.996385000000004</v>
      </c>
      <c r="K286" s="54">
        <v>87</v>
      </c>
      <c r="L286" s="18" t="s">
        <v>330</v>
      </c>
      <c r="M286" s="18" t="s">
        <v>331</v>
      </c>
      <c r="N286" s="55">
        <v>45992</v>
      </c>
      <c r="O286" s="18" t="str">
        <f>IFERROR(VLOOKUP(A286,'[2]RELAÇÃO DE OC''S VMI MEC 030226'!$B:$P,15,FALSE),"-")</f>
        <v>-</v>
      </c>
      <c r="P286" s="56">
        <f t="shared" ca="1" si="13"/>
        <v>84</v>
      </c>
      <c r="Q286" s="18" t="str">
        <f t="shared" ca="1" si="14"/>
        <v>ATRASADO</v>
      </c>
      <c r="R286" s="19" t="s">
        <v>5656</v>
      </c>
    </row>
    <row r="287" spans="1:18" ht="53.25" x14ac:dyDescent="0.2">
      <c r="A287" s="18" t="str">
        <f t="shared" si="12"/>
        <v>049278034333.11.11011.00</v>
      </c>
      <c r="B287" s="51" t="s">
        <v>984</v>
      </c>
      <c r="C287" s="51" t="s">
        <v>1614</v>
      </c>
      <c r="D287" s="18" t="s">
        <v>1612</v>
      </c>
      <c r="E287" s="18" t="s">
        <v>1613</v>
      </c>
      <c r="F287" s="18" t="s">
        <v>328</v>
      </c>
      <c r="G287" s="52">
        <v>45919</v>
      </c>
      <c r="H287" s="18" t="s">
        <v>329</v>
      </c>
      <c r="I287" s="53">
        <v>1</v>
      </c>
      <c r="J287" s="54">
        <v>86.996385000000004</v>
      </c>
      <c r="K287" s="54">
        <v>87</v>
      </c>
      <c r="L287" s="18" t="s">
        <v>330</v>
      </c>
      <c r="M287" s="18" t="s">
        <v>331</v>
      </c>
      <c r="N287" s="55">
        <v>45992</v>
      </c>
      <c r="O287" s="18" t="str">
        <f>IFERROR(VLOOKUP(A287,'[2]RELAÇÃO DE OC''S VMI MEC 030226'!$B:$P,15,FALSE),"-")</f>
        <v>-</v>
      </c>
      <c r="P287" s="56">
        <f t="shared" ca="1" si="13"/>
        <v>84</v>
      </c>
      <c r="Q287" s="18" t="str">
        <f t="shared" ca="1" si="14"/>
        <v>ATRASADO</v>
      </c>
      <c r="R287" s="19" t="s">
        <v>5656</v>
      </c>
    </row>
    <row r="288" spans="1:18" x14ac:dyDescent="0.2">
      <c r="A288" s="18" t="str">
        <f t="shared" si="12"/>
        <v>049278034533.11.11019.00</v>
      </c>
      <c r="B288" s="51" t="s">
        <v>984</v>
      </c>
      <c r="C288" s="51" t="s">
        <v>1617</v>
      </c>
      <c r="D288" s="51" t="s">
        <v>1618</v>
      </c>
      <c r="E288" s="51" t="s">
        <v>1619</v>
      </c>
      <c r="F288" s="18" t="s">
        <v>328</v>
      </c>
      <c r="G288" s="52">
        <v>45919</v>
      </c>
      <c r="H288" s="18" t="s">
        <v>329</v>
      </c>
      <c r="I288" s="53">
        <v>1</v>
      </c>
      <c r="J288" s="54">
        <v>77.846580000000003</v>
      </c>
      <c r="K288" s="54">
        <v>77.849999999999994</v>
      </c>
      <c r="L288" s="18" t="s">
        <v>330</v>
      </c>
      <c r="M288" s="18" t="s">
        <v>331</v>
      </c>
      <c r="N288" s="55">
        <v>45992</v>
      </c>
      <c r="O288" s="18" t="str">
        <f>IFERROR(VLOOKUP(A288,'[2]RELAÇÃO DE OC''S VMI MEC 030226'!$B:$P,15,FALSE),"-")</f>
        <v>-</v>
      </c>
      <c r="P288" s="56">
        <f t="shared" ca="1" si="13"/>
        <v>84</v>
      </c>
      <c r="Q288" s="18" t="str">
        <f t="shared" ca="1" si="14"/>
        <v>ATRASADO</v>
      </c>
      <c r="R288" s="19" t="s">
        <v>5645</v>
      </c>
    </row>
    <row r="289" spans="1:18" x14ac:dyDescent="0.2">
      <c r="A289" s="18" t="str">
        <f t="shared" si="12"/>
        <v>049278034633.11.11019.00</v>
      </c>
      <c r="B289" s="51" t="s">
        <v>984</v>
      </c>
      <c r="C289" s="51" t="s">
        <v>1620</v>
      </c>
      <c r="D289" s="18" t="s">
        <v>1618</v>
      </c>
      <c r="E289" s="18" t="s">
        <v>1619</v>
      </c>
      <c r="F289" s="18" t="s">
        <v>328</v>
      </c>
      <c r="G289" s="52">
        <v>45919</v>
      </c>
      <c r="H289" s="18" t="s">
        <v>329</v>
      </c>
      <c r="I289" s="53">
        <v>1</v>
      </c>
      <c r="J289" s="54">
        <v>77.846580000000003</v>
      </c>
      <c r="K289" s="54">
        <v>77.849999999999994</v>
      </c>
      <c r="L289" s="18" t="s">
        <v>330</v>
      </c>
      <c r="M289" s="18" t="s">
        <v>331</v>
      </c>
      <c r="N289" s="55">
        <v>45992</v>
      </c>
      <c r="O289" s="18" t="str">
        <f>IFERROR(VLOOKUP(A289,'[2]RELAÇÃO DE OC''S VMI MEC 030226'!$B:$P,15,FALSE),"-")</f>
        <v>-</v>
      </c>
      <c r="P289" s="56">
        <f t="shared" ca="1" si="13"/>
        <v>84</v>
      </c>
      <c r="Q289" s="18" t="str">
        <f t="shared" ca="1" si="14"/>
        <v>ATRASADO</v>
      </c>
      <c r="R289" s="19" t="s">
        <v>5645</v>
      </c>
    </row>
    <row r="290" spans="1:18" x14ac:dyDescent="0.2">
      <c r="A290" s="18" t="str">
        <f t="shared" si="12"/>
        <v>049278035133.11.11022.00</v>
      </c>
      <c r="B290" s="51" t="s">
        <v>984</v>
      </c>
      <c r="C290" s="51" t="s">
        <v>1625</v>
      </c>
      <c r="D290" s="51" t="s">
        <v>1626</v>
      </c>
      <c r="E290" s="51" t="s">
        <v>1627</v>
      </c>
      <c r="F290" s="18" t="s">
        <v>328</v>
      </c>
      <c r="G290" s="52">
        <v>45919</v>
      </c>
      <c r="H290" s="18" t="s">
        <v>329</v>
      </c>
      <c r="I290" s="53">
        <v>1</v>
      </c>
      <c r="J290" s="54">
        <v>84.760199999999998</v>
      </c>
      <c r="K290" s="54">
        <v>84.76</v>
      </c>
      <c r="L290" s="18" t="s">
        <v>330</v>
      </c>
      <c r="M290" s="18" t="s">
        <v>331</v>
      </c>
      <c r="N290" s="55">
        <v>45992</v>
      </c>
      <c r="O290" s="18" t="str">
        <f>IFERROR(VLOOKUP(A290,'[2]RELAÇÃO DE OC''S VMI MEC 030226'!$B:$P,15,FALSE),"-")</f>
        <v>-</v>
      </c>
      <c r="P290" s="56">
        <f t="shared" ca="1" si="13"/>
        <v>84</v>
      </c>
      <c r="Q290" s="18" t="str">
        <f t="shared" ca="1" si="14"/>
        <v>ATRASADO</v>
      </c>
      <c r="R290" s="19" t="s">
        <v>5645</v>
      </c>
    </row>
    <row r="291" spans="1:18" x14ac:dyDescent="0.2">
      <c r="A291" s="18" t="str">
        <f t="shared" si="12"/>
        <v>049278035233.11.11022.00</v>
      </c>
      <c r="B291" s="51" t="s">
        <v>984</v>
      </c>
      <c r="C291" s="51" t="s">
        <v>1628</v>
      </c>
      <c r="D291" s="18" t="s">
        <v>1626</v>
      </c>
      <c r="E291" s="18" t="s">
        <v>1627</v>
      </c>
      <c r="F291" s="18" t="s">
        <v>328</v>
      </c>
      <c r="G291" s="52">
        <v>45919</v>
      </c>
      <c r="H291" s="18" t="s">
        <v>329</v>
      </c>
      <c r="I291" s="53">
        <v>1</v>
      </c>
      <c r="J291" s="54">
        <v>84.760199999999998</v>
      </c>
      <c r="K291" s="54">
        <v>84.76</v>
      </c>
      <c r="L291" s="18" t="s">
        <v>330</v>
      </c>
      <c r="M291" s="18" t="s">
        <v>331</v>
      </c>
      <c r="N291" s="55">
        <v>45992</v>
      </c>
      <c r="O291" s="18" t="str">
        <f>IFERROR(VLOOKUP(A291,'[2]RELAÇÃO DE OC''S VMI MEC 030226'!$B:$P,15,FALSE),"-")</f>
        <v>-</v>
      </c>
      <c r="P291" s="56">
        <f t="shared" ca="1" si="13"/>
        <v>84</v>
      </c>
      <c r="Q291" s="18" t="str">
        <f t="shared" ca="1" si="14"/>
        <v>ATRASADO</v>
      </c>
      <c r="R291" s="19" t="s">
        <v>5645</v>
      </c>
    </row>
    <row r="292" spans="1:18" x14ac:dyDescent="0.2">
      <c r="A292" s="18" t="str">
        <f t="shared" si="12"/>
        <v>049278035333.11.11023.00</v>
      </c>
      <c r="B292" s="51" t="s">
        <v>984</v>
      </c>
      <c r="C292" s="51" t="s">
        <v>1629</v>
      </c>
      <c r="D292" s="51" t="s">
        <v>1630</v>
      </c>
      <c r="E292" s="51" t="s">
        <v>1631</v>
      </c>
      <c r="F292" s="18" t="s">
        <v>328</v>
      </c>
      <c r="G292" s="52">
        <v>45919</v>
      </c>
      <c r="H292" s="18" t="s">
        <v>329</v>
      </c>
      <c r="I292" s="53">
        <v>1</v>
      </c>
      <c r="J292" s="54">
        <v>75.854519999999994</v>
      </c>
      <c r="K292" s="54">
        <v>75.849999999999994</v>
      </c>
      <c r="L292" s="18" t="s">
        <v>330</v>
      </c>
      <c r="M292" s="18" t="s">
        <v>331</v>
      </c>
      <c r="N292" s="55">
        <v>45992</v>
      </c>
      <c r="O292" s="18" t="str">
        <f>IFERROR(VLOOKUP(A292,'[2]RELAÇÃO DE OC''S VMI MEC 030226'!$B:$P,15,FALSE),"-")</f>
        <v>-</v>
      </c>
      <c r="P292" s="56">
        <f t="shared" ca="1" si="13"/>
        <v>84</v>
      </c>
      <c r="Q292" s="18" t="str">
        <f t="shared" ca="1" si="14"/>
        <v>ATRASADO</v>
      </c>
      <c r="R292" s="19" t="s">
        <v>5645</v>
      </c>
    </row>
    <row r="293" spans="1:18" x14ac:dyDescent="0.2">
      <c r="A293" s="18" t="str">
        <f t="shared" si="12"/>
        <v>049278035433.11.11023.00</v>
      </c>
      <c r="B293" s="51" t="s">
        <v>984</v>
      </c>
      <c r="C293" s="51" t="s">
        <v>1632</v>
      </c>
      <c r="D293" s="18" t="s">
        <v>1630</v>
      </c>
      <c r="E293" s="18" t="s">
        <v>1631</v>
      </c>
      <c r="F293" s="18" t="s">
        <v>328</v>
      </c>
      <c r="G293" s="52">
        <v>45919</v>
      </c>
      <c r="H293" s="18" t="s">
        <v>329</v>
      </c>
      <c r="I293" s="53">
        <v>1</v>
      </c>
      <c r="J293" s="54">
        <v>75.854519999999994</v>
      </c>
      <c r="K293" s="54">
        <v>75.849999999999994</v>
      </c>
      <c r="L293" s="18" t="s">
        <v>330</v>
      </c>
      <c r="M293" s="18" t="s">
        <v>331</v>
      </c>
      <c r="N293" s="55">
        <v>45992</v>
      </c>
      <c r="O293" s="18" t="str">
        <f>IFERROR(VLOOKUP(A293,'[2]RELAÇÃO DE OC''S VMI MEC 030226'!$B:$P,15,FALSE),"-")</f>
        <v>-</v>
      </c>
      <c r="P293" s="56">
        <f t="shared" ca="1" si="13"/>
        <v>84</v>
      </c>
      <c r="Q293" s="18" t="str">
        <f t="shared" ca="1" si="14"/>
        <v>ATRASADO</v>
      </c>
      <c r="R293" s="19" t="s">
        <v>5645</v>
      </c>
    </row>
    <row r="294" spans="1:18" x14ac:dyDescent="0.2">
      <c r="A294" s="18" t="str">
        <f t="shared" si="12"/>
        <v>049278035533.11.11024.00</v>
      </c>
      <c r="B294" s="51" t="s">
        <v>984</v>
      </c>
      <c r="C294" s="51" t="s">
        <v>1633</v>
      </c>
      <c r="D294" s="51" t="s">
        <v>1634</v>
      </c>
      <c r="E294" s="51" t="s">
        <v>1635</v>
      </c>
      <c r="F294" s="18" t="s">
        <v>328</v>
      </c>
      <c r="G294" s="52">
        <v>45919</v>
      </c>
      <c r="H294" s="18" t="s">
        <v>329</v>
      </c>
      <c r="I294" s="53">
        <v>1</v>
      </c>
      <c r="J294" s="54">
        <v>22.771979999999999</v>
      </c>
      <c r="K294" s="54">
        <v>22.77</v>
      </c>
      <c r="L294" s="18" t="s">
        <v>330</v>
      </c>
      <c r="M294" s="18" t="s">
        <v>331</v>
      </c>
      <c r="N294" s="55">
        <v>45992</v>
      </c>
      <c r="O294" s="18" t="str">
        <f>IFERROR(VLOOKUP(A294,'[2]RELAÇÃO DE OC''S VMI MEC 030226'!$B:$P,15,FALSE),"-")</f>
        <v>-</v>
      </c>
      <c r="P294" s="56">
        <f t="shared" ca="1" si="13"/>
        <v>84</v>
      </c>
      <c r="Q294" s="18" t="str">
        <f t="shared" ca="1" si="14"/>
        <v>ATRASADO</v>
      </c>
      <c r="R294" s="19" t="s">
        <v>5645</v>
      </c>
    </row>
    <row r="295" spans="1:18" ht="53.25" x14ac:dyDescent="0.2">
      <c r="A295" s="18" t="str">
        <f t="shared" si="12"/>
        <v>049278035633.11.11025.00</v>
      </c>
      <c r="B295" s="51" t="s">
        <v>984</v>
      </c>
      <c r="C295" s="51" t="s">
        <v>1636</v>
      </c>
      <c r="D295" s="51" t="s">
        <v>1637</v>
      </c>
      <c r="E295" s="51" t="s">
        <v>1638</v>
      </c>
      <c r="F295" s="18" t="s">
        <v>328</v>
      </c>
      <c r="G295" s="52">
        <v>45919</v>
      </c>
      <c r="H295" s="18" t="s">
        <v>329</v>
      </c>
      <c r="I295" s="53">
        <v>1</v>
      </c>
      <c r="J295" s="54">
        <v>2102.5509750000001</v>
      </c>
      <c r="K295" s="54">
        <v>2102.5500000000002</v>
      </c>
      <c r="L295" s="18" t="s">
        <v>330</v>
      </c>
      <c r="M295" s="18" t="s">
        <v>331</v>
      </c>
      <c r="N295" s="55">
        <v>45992</v>
      </c>
      <c r="O295" s="18" t="str">
        <f>IFERROR(VLOOKUP(A295,'[2]RELAÇÃO DE OC''S VMI MEC 030226'!$B:$P,15,FALSE),"-")</f>
        <v>-</v>
      </c>
      <c r="P295" s="56">
        <f t="shared" ca="1" si="13"/>
        <v>84</v>
      </c>
      <c r="Q295" s="18" t="str">
        <f t="shared" ca="1" si="14"/>
        <v>ATRASADO</v>
      </c>
      <c r="R295" s="19" t="s">
        <v>5637</v>
      </c>
    </row>
    <row r="296" spans="1:18" ht="53.25" x14ac:dyDescent="0.2">
      <c r="A296" s="18" t="str">
        <f t="shared" si="12"/>
        <v>049278035733.11.11025.00</v>
      </c>
      <c r="B296" s="51" t="s">
        <v>984</v>
      </c>
      <c r="C296" s="51" t="s">
        <v>1639</v>
      </c>
      <c r="D296" s="18" t="s">
        <v>1637</v>
      </c>
      <c r="E296" s="18" t="s">
        <v>1638</v>
      </c>
      <c r="F296" s="18" t="s">
        <v>328</v>
      </c>
      <c r="G296" s="52">
        <v>45919</v>
      </c>
      <c r="H296" s="18" t="s">
        <v>329</v>
      </c>
      <c r="I296" s="53">
        <v>1</v>
      </c>
      <c r="J296" s="54">
        <v>2102.5509750000001</v>
      </c>
      <c r="K296" s="54">
        <v>2102.5500000000002</v>
      </c>
      <c r="L296" s="18" t="s">
        <v>330</v>
      </c>
      <c r="M296" s="18" t="s">
        <v>331</v>
      </c>
      <c r="N296" s="55">
        <v>45992</v>
      </c>
      <c r="O296" s="18" t="str">
        <f>IFERROR(VLOOKUP(A296,'[2]RELAÇÃO DE OC''S VMI MEC 030226'!$B:$P,15,FALSE),"-")</f>
        <v>-</v>
      </c>
      <c r="P296" s="56">
        <f t="shared" ca="1" si="13"/>
        <v>84</v>
      </c>
      <c r="Q296" s="18" t="str">
        <f t="shared" ca="1" si="14"/>
        <v>ATRASADO</v>
      </c>
      <c r="R296" s="19" t="s">
        <v>5637</v>
      </c>
    </row>
    <row r="297" spans="1:18" ht="53.25" x14ac:dyDescent="0.2">
      <c r="A297" s="18" t="str">
        <f t="shared" si="12"/>
        <v>049278036133.11.11032.00</v>
      </c>
      <c r="B297" s="51" t="s">
        <v>984</v>
      </c>
      <c r="C297" s="51" t="s">
        <v>1644</v>
      </c>
      <c r="D297" s="18" t="s">
        <v>1642</v>
      </c>
      <c r="E297" s="18" t="s">
        <v>1643</v>
      </c>
      <c r="F297" s="18" t="s">
        <v>328</v>
      </c>
      <c r="G297" s="52">
        <v>45919</v>
      </c>
      <c r="H297" s="18" t="s">
        <v>329</v>
      </c>
      <c r="I297" s="53">
        <v>1</v>
      </c>
      <c r="J297" s="54">
        <v>175.31104500000001</v>
      </c>
      <c r="K297" s="54">
        <v>175.31</v>
      </c>
      <c r="L297" s="18" t="s">
        <v>330</v>
      </c>
      <c r="M297" s="18" t="s">
        <v>331</v>
      </c>
      <c r="N297" s="55">
        <v>45992</v>
      </c>
      <c r="O297" s="18" t="str">
        <f>IFERROR(VLOOKUP(A297,'[2]RELAÇÃO DE OC''S VMI MEC 030226'!$B:$P,15,FALSE),"-")</f>
        <v>-</v>
      </c>
      <c r="P297" s="56">
        <f t="shared" ca="1" si="13"/>
        <v>84</v>
      </c>
      <c r="Q297" s="18" t="str">
        <f t="shared" ca="1" si="14"/>
        <v>ATRASADO</v>
      </c>
      <c r="R297" s="19" t="s">
        <v>5637</v>
      </c>
    </row>
    <row r="298" spans="1:18" ht="53.25" x14ac:dyDescent="0.2">
      <c r="A298" s="18" t="str">
        <f t="shared" si="12"/>
        <v>049278036333.11.11033.00</v>
      </c>
      <c r="B298" s="51" t="s">
        <v>984</v>
      </c>
      <c r="C298" s="51" t="s">
        <v>1647</v>
      </c>
      <c r="D298" s="18" t="s">
        <v>1645</v>
      </c>
      <c r="E298" s="18" t="s">
        <v>1646</v>
      </c>
      <c r="F298" s="18" t="s">
        <v>328</v>
      </c>
      <c r="G298" s="52">
        <v>45919</v>
      </c>
      <c r="H298" s="18" t="s">
        <v>329</v>
      </c>
      <c r="I298" s="53">
        <v>1</v>
      </c>
      <c r="J298" s="54">
        <v>135.454025</v>
      </c>
      <c r="K298" s="54">
        <v>135.44999999999999</v>
      </c>
      <c r="L298" s="18" t="s">
        <v>330</v>
      </c>
      <c r="M298" s="18" t="s">
        <v>331</v>
      </c>
      <c r="N298" s="55">
        <v>45992</v>
      </c>
      <c r="O298" s="18" t="str">
        <f>IFERROR(VLOOKUP(A298,'[2]RELAÇÃO DE OC''S VMI MEC 030226'!$B:$P,15,FALSE),"-")</f>
        <v>-</v>
      </c>
      <c r="P298" s="56">
        <f t="shared" ca="1" si="13"/>
        <v>84</v>
      </c>
      <c r="Q298" s="18" t="str">
        <f t="shared" ca="1" si="14"/>
        <v>ATRASADO</v>
      </c>
      <c r="R298" s="19" t="s">
        <v>5637</v>
      </c>
    </row>
    <row r="299" spans="1:18" x14ac:dyDescent="0.2">
      <c r="A299" s="18" t="str">
        <f t="shared" si="12"/>
        <v>049278036933.11.11049.00</v>
      </c>
      <c r="B299" s="51" t="s">
        <v>984</v>
      </c>
      <c r="C299" s="51" t="s">
        <v>1654</v>
      </c>
      <c r="D299" s="18" t="s">
        <v>1652</v>
      </c>
      <c r="E299" s="18" t="s">
        <v>1653</v>
      </c>
      <c r="F299" s="18" t="s">
        <v>328</v>
      </c>
      <c r="G299" s="52">
        <v>45919</v>
      </c>
      <c r="H299" s="18" t="s">
        <v>329</v>
      </c>
      <c r="I299" s="53">
        <v>1</v>
      </c>
      <c r="J299" s="54">
        <v>114.670785</v>
      </c>
      <c r="K299" s="54">
        <v>114.67</v>
      </c>
      <c r="L299" s="18" t="s">
        <v>330</v>
      </c>
      <c r="M299" s="18" t="s">
        <v>331</v>
      </c>
      <c r="N299" s="55">
        <v>45992</v>
      </c>
      <c r="O299" s="18" t="str">
        <f>IFERROR(VLOOKUP(A299,'[2]RELAÇÃO DE OC''S VMI MEC 030226'!$B:$P,15,FALSE),"-")</f>
        <v>-</v>
      </c>
      <c r="P299" s="56">
        <f t="shared" ca="1" si="13"/>
        <v>84</v>
      </c>
      <c r="Q299" s="18" t="str">
        <f t="shared" ca="1" si="14"/>
        <v>ATRASADO</v>
      </c>
      <c r="R299" s="19" t="s">
        <v>5645</v>
      </c>
    </row>
    <row r="300" spans="1:18" x14ac:dyDescent="0.2">
      <c r="A300" s="18" t="str">
        <f t="shared" si="12"/>
        <v>049278037233.11.11060.00</v>
      </c>
      <c r="B300" s="51" t="s">
        <v>984</v>
      </c>
      <c r="C300" s="51" t="s">
        <v>1657</v>
      </c>
      <c r="D300" s="51" t="s">
        <v>1658</v>
      </c>
      <c r="E300" s="51" t="s">
        <v>1659</v>
      </c>
      <c r="F300" s="18" t="s">
        <v>328</v>
      </c>
      <c r="G300" s="52">
        <v>45919</v>
      </c>
      <c r="H300" s="18" t="s">
        <v>329</v>
      </c>
      <c r="I300" s="53">
        <v>1</v>
      </c>
      <c r="J300" s="54">
        <v>783.58266000000003</v>
      </c>
      <c r="K300" s="54">
        <v>783.58</v>
      </c>
      <c r="L300" s="18" t="s">
        <v>330</v>
      </c>
      <c r="M300" s="18" t="s">
        <v>331</v>
      </c>
      <c r="N300" s="55">
        <v>45992</v>
      </c>
      <c r="O300" s="18" t="str">
        <f>IFERROR(VLOOKUP(A300,'[2]RELAÇÃO DE OC''S VMI MEC 030226'!$B:$P,15,FALSE),"-")</f>
        <v>-</v>
      </c>
      <c r="P300" s="56">
        <f t="shared" ca="1" si="13"/>
        <v>84</v>
      </c>
      <c r="Q300" s="18" t="str">
        <f t="shared" ca="1" si="14"/>
        <v>ATRASADO</v>
      </c>
      <c r="R300" s="19" t="s">
        <v>5645</v>
      </c>
    </row>
    <row r="301" spans="1:18" x14ac:dyDescent="0.2">
      <c r="A301" s="18" t="str">
        <f t="shared" si="12"/>
        <v>049278037333.11.11060.00</v>
      </c>
      <c r="B301" s="51" t="s">
        <v>984</v>
      </c>
      <c r="C301" s="51" t="s">
        <v>1660</v>
      </c>
      <c r="D301" s="18" t="s">
        <v>1658</v>
      </c>
      <c r="E301" s="18" t="s">
        <v>1659</v>
      </c>
      <c r="F301" s="18" t="s">
        <v>328</v>
      </c>
      <c r="G301" s="52">
        <v>45919</v>
      </c>
      <c r="H301" s="18" t="s">
        <v>329</v>
      </c>
      <c r="I301" s="53">
        <v>1</v>
      </c>
      <c r="J301" s="54">
        <v>783.58266000000003</v>
      </c>
      <c r="K301" s="54">
        <v>783.58</v>
      </c>
      <c r="L301" s="18" t="s">
        <v>330</v>
      </c>
      <c r="M301" s="18" t="s">
        <v>331</v>
      </c>
      <c r="N301" s="55">
        <v>45992</v>
      </c>
      <c r="O301" s="18" t="str">
        <f>IFERROR(VLOOKUP(A301,'[2]RELAÇÃO DE OC''S VMI MEC 030226'!$B:$P,15,FALSE),"-")</f>
        <v>-</v>
      </c>
      <c r="P301" s="56">
        <f t="shared" ca="1" si="13"/>
        <v>84</v>
      </c>
      <c r="Q301" s="18" t="str">
        <f t="shared" ca="1" si="14"/>
        <v>ATRASADO</v>
      </c>
      <c r="R301" s="19" t="s">
        <v>5645</v>
      </c>
    </row>
    <row r="302" spans="1:18" x14ac:dyDescent="0.2">
      <c r="A302" s="18" t="str">
        <f t="shared" si="12"/>
        <v>049278037433.11.11061.00</v>
      </c>
      <c r="B302" s="51" t="s">
        <v>984</v>
      </c>
      <c r="C302" s="51" t="s">
        <v>1661</v>
      </c>
      <c r="D302" s="51" t="s">
        <v>1662</v>
      </c>
      <c r="E302" s="51" t="s">
        <v>1663</v>
      </c>
      <c r="F302" s="18" t="s">
        <v>328</v>
      </c>
      <c r="G302" s="52">
        <v>45919</v>
      </c>
      <c r="H302" s="18" t="s">
        <v>329</v>
      </c>
      <c r="I302" s="53">
        <v>1</v>
      </c>
      <c r="J302" s="54">
        <v>764.99009999999998</v>
      </c>
      <c r="K302" s="54">
        <v>764.99</v>
      </c>
      <c r="L302" s="18" t="s">
        <v>330</v>
      </c>
      <c r="M302" s="18" t="s">
        <v>331</v>
      </c>
      <c r="N302" s="55">
        <v>45992</v>
      </c>
      <c r="O302" s="18" t="str">
        <f>IFERROR(VLOOKUP(A302,'[2]RELAÇÃO DE OC''S VMI MEC 030226'!$B:$P,15,FALSE),"-")</f>
        <v>-</v>
      </c>
      <c r="P302" s="56">
        <f t="shared" ca="1" si="13"/>
        <v>84</v>
      </c>
      <c r="Q302" s="18" t="str">
        <f t="shared" ca="1" si="14"/>
        <v>ATRASADO</v>
      </c>
      <c r="R302" s="19" t="s">
        <v>5645</v>
      </c>
    </row>
    <row r="303" spans="1:18" x14ac:dyDescent="0.2">
      <c r="A303" s="18" t="str">
        <f t="shared" si="12"/>
        <v>049278037533.11.11061.00</v>
      </c>
      <c r="B303" s="51" t="s">
        <v>984</v>
      </c>
      <c r="C303" s="51" t="s">
        <v>1664</v>
      </c>
      <c r="D303" s="18" t="s">
        <v>1662</v>
      </c>
      <c r="E303" s="18" t="s">
        <v>1663</v>
      </c>
      <c r="F303" s="18" t="s">
        <v>328</v>
      </c>
      <c r="G303" s="52">
        <v>45919</v>
      </c>
      <c r="H303" s="18" t="s">
        <v>329</v>
      </c>
      <c r="I303" s="53">
        <v>1</v>
      </c>
      <c r="J303" s="54">
        <v>764.99009999999998</v>
      </c>
      <c r="K303" s="54">
        <v>764.99</v>
      </c>
      <c r="L303" s="18" t="s">
        <v>330</v>
      </c>
      <c r="M303" s="18" t="s">
        <v>331</v>
      </c>
      <c r="N303" s="55">
        <v>45992</v>
      </c>
      <c r="O303" s="18" t="str">
        <f>IFERROR(VLOOKUP(A303,'[2]RELAÇÃO DE OC''S VMI MEC 030226'!$B:$P,15,FALSE),"-")</f>
        <v>-</v>
      </c>
      <c r="P303" s="56">
        <f t="shared" ca="1" si="13"/>
        <v>84</v>
      </c>
      <c r="Q303" s="18" t="str">
        <f t="shared" ca="1" si="14"/>
        <v>ATRASADO</v>
      </c>
      <c r="R303" s="19" t="s">
        <v>5645</v>
      </c>
    </row>
    <row r="304" spans="1:18" x14ac:dyDescent="0.2">
      <c r="A304" s="18" t="str">
        <f t="shared" si="12"/>
        <v>049278037633.11.11070.00</v>
      </c>
      <c r="B304" s="51" t="s">
        <v>984</v>
      </c>
      <c r="C304" s="51" t="s">
        <v>1665</v>
      </c>
      <c r="D304" s="51" t="s">
        <v>1666</v>
      </c>
      <c r="E304" s="51" t="s">
        <v>1667</v>
      </c>
      <c r="F304" s="18" t="s">
        <v>328</v>
      </c>
      <c r="G304" s="52">
        <v>45919</v>
      </c>
      <c r="H304" s="18" t="s">
        <v>329</v>
      </c>
      <c r="I304" s="53">
        <v>6</v>
      </c>
      <c r="J304" s="54">
        <v>644.22634500000004</v>
      </c>
      <c r="K304" s="54">
        <v>3865.36</v>
      </c>
      <c r="L304" s="18" t="s">
        <v>330</v>
      </c>
      <c r="M304" s="18" t="s">
        <v>331</v>
      </c>
      <c r="N304" s="55">
        <v>45992</v>
      </c>
      <c r="O304" s="18" t="str">
        <f>IFERROR(VLOOKUP(A304,'[2]RELAÇÃO DE OC''S VMI MEC 030226'!$B:$P,15,FALSE),"-")</f>
        <v>-</v>
      </c>
      <c r="P304" s="56">
        <f t="shared" ca="1" si="13"/>
        <v>84</v>
      </c>
      <c r="Q304" s="18" t="str">
        <f t="shared" ca="1" si="14"/>
        <v>ATRASADO</v>
      </c>
      <c r="R304" s="19" t="s">
        <v>5645</v>
      </c>
    </row>
    <row r="305" spans="1:18" x14ac:dyDescent="0.2">
      <c r="A305" s="18" t="str">
        <f t="shared" si="12"/>
        <v>049278037733.11.11070.00</v>
      </c>
      <c r="B305" s="51" t="s">
        <v>984</v>
      </c>
      <c r="C305" s="51" t="s">
        <v>1668</v>
      </c>
      <c r="D305" s="18" t="s">
        <v>1666</v>
      </c>
      <c r="E305" s="18" t="s">
        <v>1667</v>
      </c>
      <c r="F305" s="18" t="s">
        <v>328</v>
      </c>
      <c r="G305" s="52">
        <v>45919</v>
      </c>
      <c r="H305" s="18" t="s">
        <v>329</v>
      </c>
      <c r="I305" s="53">
        <v>6</v>
      </c>
      <c r="J305" s="54">
        <v>644.22634500000004</v>
      </c>
      <c r="K305" s="54">
        <v>3865.36</v>
      </c>
      <c r="L305" s="18" t="s">
        <v>330</v>
      </c>
      <c r="M305" s="18" t="s">
        <v>331</v>
      </c>
      <c r="N305" s="55">
        <v>45992</v>
      </c>
      <c r="O305" s="18" t="str">
        <f>IFERROR(VLOOKUP(A305,'[2]RELAÇÃO DE OC''S VMI MEC 030226'!$B:$P,15,FALSE),"-")</f>
        <v>-</v>
      </c>
      <c r="P305" s="56">
        <f t="shared" ca="1" si="13"/>
        <v>84</v>
      </c>
      <c r="Q305" s="18" t="str">
        <f t="shared" ca="1" si="14"/>
        <v>ATRASADO</v>
      </c>
      <c r="R305" s="19" t="s">
        <v>5645</v>
      </c>
    </row>
    <row r="306" spans="1:18" x14ac:dyDescent="0.2">
      <c r="A306" s="18" t="str">
        <f t="shared" si="12"/>
        <v>049278037833.11.11071.00</v>
      </c>
      <c r="B306" s="51" t="s">
        <v>984</v>
      </c>
      <c r="C306" s="51" t="s">
        <v>1669</v>
      </c>
      <c r="D306" s="51" t="s">
        <v>1670</v>
      </c>
      <c r="E306" s="51" t="s">
        <v>1671</v>
      </c>
      <c r="F306" s="18" t="s">
        <v>328</v>
      </c>
      <c r="G306" s="52">
        <v>45919</v>
      </c>
      <c r="H306" s="18" t="s">
        <v>329</v>
      </c>
      <c r="I306" s="53">
        <v>2</v>
      </c>
      <c r="J306" s="54">
        <v>712.65946499999995</v>
      </c>
      <c r="K306" s="54">
        <v>1425.32</v>
      </c>
      <c r="L306" s="18" t="s">
        <v>330</v>
      </c>
      <c r="M306" s="18" t="s">
        <v>331</v>
      </c>
      <c r="N306" s="55">
        <v>45992</v>
      </c>
      <c r="O306" s="18" t="str">
        <f>IFERROR(VLOOKUP(A306,'[2]RELAÇÃO DE OC''S VMI MEC 030226'!$B:$P,15,FALSE),"-")</f>
        <v>-</v>
      </c>
      <c r="P306" s="56">
        <f t="shared" ca="1" si="13"/>
        <v>84</v>
      </c>
      <c r="Q306" s="18" t="str">
        <f t="shared" ca="1" si="14"/>
        <v>ATRASADO</v>
      </c>
      <c r="R306" s="19" t="s">
        <v>5645</v>
      </c>
    </row>
    <row r="307" spans="1:18" x14ac:dyDescent="0.2">
      <c r="A307" s="18" t="str">
        <f t="shared" si="12"/>
        <v>049278037933.11.11071.00</v>
      </c>
      <c r="B307" s="51" t="s">
        <v>984</v>
      </c>
      <c r="C307" s="51" t="s">
        <v>1672</v>
      </c>
      <c r="D307" s="18" t="s">
        <v>1670</v>
      </c>
      <c r="E307" s="18" t="s">
        <v>1671</v>
      </c>
      <c r="F307" s="18" t="s">
        <v>328</v>
      </c>
      <c r="G307" s="52">
        <v>45919</v>
      </c>
      <c r="H307" s="18" t="s">
        <v>329</v>
      </c>
      <c r="I307" s="53">
        <v>2</v>
      </c>
      <c r="J307" s="54">
        <v>712.65946499999995</v>
      </c>
      <c r="K307" s="54">
        <v>1425.32</v>
      </c>
      <c r="L307" s="18" t="s">
        <v>330</v>
      </c>
      <c r="M307" s="18" t="s">
        <v>331</v>
      </c>
      <c r="N307" s="55">
        <v>45992</v>
      </c>
      <c r="O307" s="18" t="str">
        <f>IFERROR(VLOOKUP(A307,'[2]RELAÇÃO DE OC''S VMI MEC 030226'!$B:$P,15,FALSE),"-")</f>
        <v>-</v>
      </c>
      <c r="P307" s="56">
        <f t="shared" ca="1" si="13"/>
        <v>84</v>
      </c>
      <c r="Q307" s="18" t="str">
        <f t="shared" ca="1" si="14"/>
        <v>ATRASADO</v>
      </c>
      <c r="R307" s="19" t="s">
        <v>5645</v>
      </c>
    </row>
    <row r="308" spans="1:18" x14ac:dyDescent="0.2">
      <c r="A308" s="18" t="str">
        <f t="shared" si="12"/>
        <v>049278038233.11.11073.00</v>
      </c>
      <c r="B308" s="51" t="s">
        <v>984</v>
      </c>
      <c r="C308" s="51" t="s">
        <v>1675</v>
      </c>
      <c r="D308" s="51" t="s">
        <v>1676</v>
      </c>
      <c r="E308" s="51" t="s">
        <v>1677</v>
      </c>
      <c r="F308" s="18" t="s">
        <v>328</v>
      </c>
      <c r="G308" s="52">
        <v>45919</v>
      </c>
      <c r="H308" s="18" t="s">
        <v>329</v>
      </c>
      <c r="I308" s="53">
        <v>2</v>
      </c>
      <c r="J308" s="54">
        <v>904.23900000000003</v>
      </c>
      <c r="K308" s="54">
        <v>1808.48</v>
      </c>
      <c r="L308" s="18" t="s">
        <v>330</v>
      </c>
      <c r="M308" s="18" t="s">
        <v>331</v>
      </c>
      <c r="N308" s="55">
        <v>45992</v>
      </c>
      <c r="O308" s="18" t="str">
        <f>IFERROR(VLOOKUP(A308,'[2]RELAÇÃO DE OC''S VMI MEC 030226'!$B:$P,15,FALSE),"-")</f>
        <v>-</v>
      </c>
      <c r="P308" s="56">
        <f t="shared" ca="1" si="13"/>
        <v>84</v>
      </c>
      <c r="Q308" s="18" t="str">
        <f t="shared" ca="1" si="14"/>
        <v>ATRASADO</v>
      </c>
      <c r="R308" s="19" t="s">
        <v>5645</v>
      </c>
    </row>
    <row r="309" spans="1:18" x14ac:dyDescent="0.2">
      <c r="A309" s="18" t="str">
        <f t="shared" si="12"/>
        <v>049278038333.11.11074.00</v>
      </c>
      <c r="B309" s="51" t="s">
        <v>984</v>
      </c>
      <c r="C309" s="51" t="s">
        <v>1678</v>
      </c>
      <c r="D309" s="51" t="s">
        <v>1679</v>
      </c>
      <c r="E309" s="51" t="s">
        <v>1680</v>
      </c>
      <c r="F309" s="18" t="s">
        <v>328</v>
      </c>
      <c r="G309" s="52">
        <v>45919</v>
      </c>
      <c r="H309" s="18" t="s">
        <v>329</v>
      </c>
      <c r="I309" s="53">
        <v>2</v>
      </c>
      <c r="J309" s="54">
        <v>998.89114500000005</v>
      </c>
      <c r="K309" s="54">
        <v>1997.78</v>
      </c>
      <c r="L309" s="18" t="s">
        <v>330</v>
      </c>
      <c r="M309" s="18" t="s">
        <v>331</v>
      </c>
      <c r="N309" s="55">
        <v>45992</v>
      </c>
      <c r="O309" s="18" t="str">
        <f>IFERROR(VLOOKUP(A309,'[2]RELAÇÃO DE OC''S VMI MEC 030226'!$B:$P,15,FALSE),"-")</f>
        <v>-</v>
      </c>
      <c r="P309" s="56">
        <f t="shared" ca="1" si="13"/>
        <v>84</v>
      </c>
      <c r="Q309" s="18" t="str">
        <f t="shared" ca="1" si="14"/>
        <v>ATRASADO</v>
      </c>
      <c r="R309" s="19" t="s">
        <v>5645</v>
      </c>
    </row>
    <row r="310" spans="1:18" x14ac:dyDescent="0.2">
      <c r="A310" s="18" t="str">
        <f t="shared" si="12"/>
        <v>049278038433.11.11075.00</v>
      </c>
      <c r="B310" s="51" t="s">
        <v>984</v>
      </c>
      <c r="C310" s="51" t="s">
        <v>1681</v>
      </c>
      <c r="D310" s="51" t="s">
        <v>1682</v>
      </c>
      <c r="E310" s="51" t="s">
        <v>1683</v>
      </c>
      <c r="F310" s="18" t="s">
        <v>328</v>
      </c>
      <c r="G310" s="52">
        <v>45919</v>
      </c>
      <c r="H310" s="18" t="s">
        <v>329</v>
      </c>
      <c r="I310" s="53">
        <v>2</v>
      </c>
      <c r="J310" s="54">
        <v>941.95142999999996</v>
      </c>
      <c r="K310" s="54">
        <v>1883.9</v>
      </c>
      <c r="L310" s="18" t="s">
        <v>330</v>
      </c>
      <c r="M310" s="18" t="s">
        <v>331</v>
      </c>
      <c r="N310" s="55">
        <v>45992</v>
      </c>
      <c r="O310" s="18" t="str">
        <f>IFERROR(VLOOKUP(A310,'[2]RELAÇÃO DE OC''S VMI MEC 030226'!$B:$P,15,FALSE),"-")</f>
        <v>-</v>
      </c>
      <c r="P310" s="56">
        <f t="shared" ca="1" si="13"/>
        <v>84</v>
      </c>
      <c r="Q310" s="18" t="str">
        <f t="shared" ca="1" si="14"/>
        <v>ATRASADO</v>
      </c>
      <c r="R310" s="19" t="s">
        <v>5645</v>
      </c>
    </row>
    <row r="311" spans="1:18" x14ac:dyDescent="0.2">
      <c r="A311" s="18" t="str">
        <f t="shared" si="12"/>
        <v>049278038733.11.11078.00</v>
      </c>
      <c r="B311" s="51" t="s">
        <v>984</v>
      </c>
      <c r="C311" s="51" t="s">
        <v>1688</v>
      </c>
      <c r="D311" s="51" t="s">
        <v>1689</v>
      </c>
      <c r="E311" s="51" t="s">
        <v>1690</v>
      </c>
      <c r="F311" s="18" t="s">
        <v>328</v>
      </c>
      <c r="G311" s="52">
        <v>45919</v>
      </c>
      <c r="H311" s="18" t="s">
        <v>329</v>
      </c>
      <c r="I311" s="53">
        <v>2</v>
      </c>
      <c r="J311" s="54">
        <v>749.25868500000001</v>
      </c>
      <c r="K311" s="54">
        <v>1498.52</v>
      </c>
      <c r="L311" s="18" t="s">
        <v>330</v>
      </c>
      <c r="M311" s="18" t="s">
        <v>331</v>
      </c>
      <c r="N311" s="55">
        <v>45992</v>
      </c>
      <c r="O311" s="18" t="str">
        <f>IFERROR(VLOOKUP(A311,'[2]RELAÇÃO DE OC''S VMI MEC 030226'!$B:$P,15,FALSE),"-")</f>
        <v>-</v>
      </c>
      <c r="P311" s="56">
        <f t="shared" ca="1" si="13"/>
        <v>84</v>
      </c>
      <c r="Q311" s="18" t="str">
        <f t="shared" ca="1" si="14"/>
        <v>ATRASADO</v>
      </c>
      <c r="R311" s="19" t="s">
        <v>5645</v>
      </c>
    </row>
    <row r="312" spans="1:18" x14ac:dyDescent="0.2">
      <c r="A312" s="18" t="str">
        <f t="shared" si="12"/>
        <v>049278038833.11.11079.00</v>
      </c>
      <c r="B312" s="51" t="s">
        <v>984</v>
      </c>
      <c r="C312" s="51" t="s">
        <v>1691</v>
      </c>
      <c r="D312" s="51" t="s">
        <v>1692</v>
      </c>
      <c r="E312" s="51" t="s">
        <v>1693</v>
      </c>
      <c r="F312" s="18" t="s">
        <v>328</v>
      </c>
      <c r="G312" s="52">
        <v>45919</v>
      </c>
      <c r="H312" s="18" t="s">
        <v>329</v>
      </c>
      <c r="I312" s="53">
        <v>2</v>
      </c>
      <c r="J312" s="54">
        <v>792.07821000000001</v>
      </c>
      <c r="K312" s="54">
        <v>1584.16</v>
      </c>
      <c r="L312" s="18" t="s">
        <v>330</v>
      </c>
      <c r="M312" s="18" t="s">
        <v>331</v>
      </c>
      <c r="N312" s="55">
        <v>45992</v>
      </c>
      <c r="O312" s="18" t="str">
        <f>IFERROR(VLOOKUP(A312,'[2]RELAÇÃO DE OC''S VMI MEC 030226'!$B:$P,15,FALSE),"-")</f>
        <v>-</v>
      </c>
      <c r="P312" s="56">
        <f t="shared" ca="1" si="13"/>
        <v>84</v>
      </c>
      <c r="Q312" s="18" t="str">
        <f t="shared" ca="1" si="14"/>
        <v>ATRASADO</v>
      </c>
      <c r="R312" s="19" t="s">
        <v>5645</v>
      </c>
    </row>
    <row r="313" spans="1:18" x14ac:dyDescent="0.2">
      <c r="A313" s="18" t="str">
        <f t="shared" si="12"/>
        <v>049278038933.11.11080.00</v>
      </c>
      <c r="B313" s="51" t="s">
        <v>984</v>
      </c>
      <c r="C313" s="51" t="s">
        <v>1694</v>
      </c>
      <c r="D313" s="51" t="s">
        <v>1695</v>
      </c>
      <c r="E313" s="51" t="s">
        <v>1696</v>
      </c>
      <c r="F313" s="18" t="s">
        <v>328</v>
      </c>
      <c r="G313" s="52">
        <v>45919</v>
      </c>
      <c r="H313" s="18" t="s">
        <v>329</v>
      </c>
      <c r="I313" s="53">
        <v>2</v>
      </c>
      <c r="J313" s="54">
        <v>343.69870500000002</v>
      </c>
      <c r="K313" s="54">
        <v>687.4</v>
      </c>
      <c r="L313" s="18" t="s">
        <v>330</v>
      </c>
      <c r="M313" s="18" t="s">
        <v>331</v>
      </c>
      <c r="N313" s="55">
        <v>45992</v>
      </c>
      <c r="O313" s="18" t="str">
        <f>IFERROR(VLOOKUP(A313,'[2]RELAÇÃO DE OC''S VMI MEC 030226'!$B:$P,15,FALSE),"-")</f>
        <v>-</v>
      </c>
      <c r="P313" s="56">
        <f t="shared" ca="1" si="13"/>
        <v>84</v>
      </c>
      <c r="Q313" s="18" t="str">
        <f t="shared" ca="1" si="14"/>
        <v>ATRASADO</v>
      </c>
      <c r="R313" s="19" t="s">
        <v>5645</v>
      </c>
    </row>
    <row r="314" spans="1:18" x14ac:dyDescent="0.2">
      <c r="A314" s="18" t="str">
        <f t="shared" si="12"/>
        <v>049278039033.11.11081.00</v>
      </c>
      <c r="B314" s="51" t="s">
        <v>984</v>
      </c>
      <c r="C314" s="51" t="s">
        <v>1697</v>
      </c>
      <c r="D314" s="51" t="s">
        <v>1698</v>
      </c>
      <c r="E314" s="51" t="s">
        <v>1699</v>
      </c>
      <c r="F314" s="18" t="s">
        <v>328</v>
      </c>
      <c r="G314" s="52">
        <v>45919</v>
      </c>
      <c r="H314" s="18" t="s">
        <v>329</v>
      </c>
      <c r="I314" s="53">
        <v>2</v>
      </c>
      <c r="J314" s="54">
        <v>309.69697500000001</v>
      </c>
      <c r="K314" s="54">
        <v>619.39</v>
      </c>
      <c r="L314" s="18" t="s">
        <v>330</v>
      </c>
      <c r="M314" s="18" t="s">
        <v>331</v>
      </c>
      <c r="N314" s="55">
        <v>45992</v>
      </c>
      <c r="O314" s="18" t="str">
        <f>IFERROR(VLOOKUP(A314,'[2]RELAÇÃO DE OC''S VMI MEC 030226'!$B:$P,15,FALSE),"-")</f>
        <v>-</v>
      </c>
      <c r="P314" s="56">
        <f t="shared" ca="1" si="13"/>
        <v>84</v>
      </c>
      <c r="Q314" s="18" t="str">
        <f t="shared" ca="1" si="14"/>
        <v>ATRASADO</v>
      </c>
      <c r="R314" s="19" t="s">
        <v>5645</v>
      </c>
    </row>
    <row r="315" spans="1:18" x14ac:dyDescent="0.2">
      <c r="A315" s="18" t="str">
        <f t="shared" si="12"/>
        <v>049278039133.11.11085.00</v>
      </c>
      <c r="B315" s="51" t="s">
        <v>984</v>
      </c>
      <c r="C315" s="51" t="s">
        <v>1700</v>
      </c>
      <c r="D315" s="51" t="s">
        <v>1701</v>
      </c>
      <c r="E315" s="51" t="s">
        <v>1702</v>
      </c>
      <c r="F315" s="18" t="s">
        <v>328</v>
      </c>
      <c r="G315" s="52">
        <v>45919</v>
      </c>
      <c r="H315" s="18" t="s">
        <v>329</v>
      </c>
      <c r="I315" s="53">
        <v>2</v>
      </c>
      <c r="J315" s="54">
        <v>1205.6552549999999</v>
      </c>
      <c r="K315" s="54">
        <v>2411.31</v>
      </c>
      <c r="L315" s="18" t="s">
        <v>330</v>
      </c>
      <c r="M315" s="18" t="s">
        <v>331</v>
      </c>
      <c r="N315" s="55">
        <v>45992</v>
      </c>
      <c r="O315" s="18" t="str">
        <f>IFERROR(VLOOKUP(A315,'[2]RELAÇÃO DE OC''S VMI MEC 030226'!$B:$P,15,FALSE),"-")</f>
        <v>-</v>
      </c>
      <c r="P315" s="56">
        <f t="shared" ca="1" si="13"/>
        <v>84</v>
      </c>
      <c r="Q315" s="18" t="str">
        <f t="shared" ca="1" si="14"/>
        <v>ATRASADO</v>
      </c>
      <c r="R315" s="19" t="s">
        <v>5645</v>
      </c>
    </row>
    <row r="316" spans="1:18" x14ac:dyDescent="0.2">
      <c r="A316" s="18" t="str">
        <f t="shared" si="12"/>
        <v>049278039233.11.11086.00</v>
      </c>
      <c r="B316" s="51" t="s">
        <v>984</v>
      </c>
      <c r="C316" s="51" t="s">
        <v>1703</v>
      </c>
      <c r="D316" s="51" t="s">
        <v>1704</v>
      </c>
      <c r="E316" s="51" t="s">
        <v>1705</v>
      </c>
      <c r="F316" s="18" t="s">
        <v>328</v>
      </c>
      <c r="G316" s="52">
        <v>45919</v>
      </c>
      <c r="H316" s="18" t="s">
        <v>329</v>
      </c>
      <c r="I316" s="53">
        <v>2</v>
      </c>
      <c r="J316" s="54">
        <v>866.76093000000003</v>
      </c>
      <c r="K316" s="54">
        <v>1733.52</v>
      </c>
      <c r="L316" s="18" t="s">
        <v>330</v>
      </c>
      <c r="M316" s="18" t="s">
        <v>331</v>
      </c>
      <c r="N316" s="55">
        <v>45992</v>
      </c>
      <c r="O316" s="18" t="str">
        <f>IFERROR(VLOOKUP(A316,'[2]RELAÇÃO DE OC''S VMI MEC 030226'!$B:$P,15,FALSE),"-")</f>
        <v>-</v>
      </c>
      <c r="P316" s="56">
        <f t="shared" ca="1" si="13"/>
        <v>84</v>
      </c>
      <c r="Q316" s="18" t="str">
        <f t="shared" ca="1" si="14"/>
        <v>ATRASADO</v>
      </c>
      <c r="R316" s="19" t="s">
        <v>5645</v>
      </c>
    </row>
    <row r="317" spans="1:18" x14ac:dyDescent="0.2">
      <c r="A317" s="18" t="str">
        <f t="shared" si="12"/>
        <v>049278039333.11.11087.00</v>
      </c>
      <c r="B317" s="51" t="s">
        <v>984</v>
      </c>
      <c r="C317" s="51" t="s">
        <v>1706</v>
      </c>
      <c r="D317" s="51" t="s">
        <v>1707</v>
      </c>
      <c r="E317" s="51" t="s">
        <v>1708</v>
      </c>
      <c r="F317" s="18" t="s">
        <v>328</v>
      </c>
      <c r="G317" s="52">
        <v>45919</v>
      </c>
      <c r="H317" s="18" t="s">
        <v>329</v>
      </c>
      <c r="I317" s="53">
        <v>2</v>
      </c>
      <c r="J317" s="54">
        <v>1017.815715</v>
      </c>
      <c r="K317" s="54">
        <v>2035.63</v>
      </c>
      <c r="L317" s="18" t="s">
        <v>330</v>
      </c>
      <c r="M317" s="18" t="s">
        <v>331</v>
      </c>
      <c r="N317" s="55">
        <v>45992</v>
      </c>
      <c r="O317" s="18" t="str">
        <f>IFERROR(VLOOKUP(A317,'[2]RELAÇÃO DE OC''S VMI MEC 030226'!$B:$P,15,FALSE),"-")</f>
        <v>-</v>
      </c>
      <c r="P317" s="56">
        <f t="shared" ca="1" si="13"/>
        <v>84</v>
      </c>
      <c r="Q317" s="18" t="str">
        <f t="shared" ca="1" si="14"/>
        <v>ATRASADO</v>
      </c>
      <c r="R317" s="19" t="s">
        <v>5645</v>
      </c>
    </row>
    <row r="318" spans="1:18" x14ac:dyDescent="0.2">
      <c r="A318" s="18" t="str">
        <f t="shared" si="12"/>
        <v>049278039533.11.11089.00</v>
      </c>
      <c r="B318" s="51" t="s">
        <v>984</v>
      </c>
      <c r="C318" s="51" t="s">
        <v>1711</v>
      </c>
      <c r="D318" s="51" t="s">
        <v>1712</v>
      </c>
      <c r="E318" s="51" t="s">
        <v>1713</v>
      </c>
      <c r="F318" s="18" t="s">
        <v>328</v>
      </c>
      <c r="G318" s="52">
        <v>45919</v>
      </c>
      <c r="H318" s="18" t="s">
        <v>329</v>
      </c>
      <c r="I318" s="53">
        <v>2</v>
      </c>
      <c r="J318" s="54">
        <v>952.36091999999996</v>
      </c>
      <c r="K318" s="54">
        <v>1904.72</v>
      </c>
      <c r="L318" s="18" t="s">
        <v>330</v>
      </c>
      <c r="M318" s="18" t="s">
        <v>331</v>
      </c>
      <c r="N318" s="55">
        <v>45992</v>
      </c>
      <c r="O318" s="18" t="str">
        <f>IFERROR(VLOOKUP(A318,'[2]RELAÇÃO DE OC''S VMI MEC 030226'!$B:$P,15,FALSE),"-")</f>
        <v>-</v>
      </c>
      <c r="P318" s="56">
        <f t="shared" ca="1" si="13"/>
        <v>84</v>
      </c>
      <c r="Q318" s="18" t="str">
        <f t="shared" ca="1" si="14"/>
        <v>ATRASADO</v>
      </c>
      <c r="R318" s="19" t="s">
        <v>5645</v>
      </c>
    </row>
    <row r="319" spans="1:18" x14ac:dyDescent="0.2">
      <c r="A319" s="18" t="str">
        <f t="shared" si="12"/>
        <v>049278039633.11.11090.00</v>
      </c>
      <c r="B319" s="51" t="s">
        <v>984</v>
      </c>
      <c r="C319" s="51" t="s">
        <v>1714</v>
      </c>
      <c r="D319" s="51" t="s">
        <v>1715</v>
      </c>
      <c r="E319" s="51" t="s">
        <v>1716</v>
      </c>
      <c r="F319" s="18" t="s">
        <v>328</v>
      </c>
      <c r="G319" s="52">
        <v>45919</v>
      </c>
      <c r="H319" s="18" t="s">
        <v>329</v>
      </c>
      <c r="I319" s="53">
        <v>3</v>
      </c>
      <c r="J319" s="54">
        <v>445.47930000000002</v>
      </c>
      <c r="K319" s="54">
        <v>1336.44</v>
      </c>
      <c r="L319" s="18" t="s">
        <v>330</v>
      </c>
      <c r="M319" s="18" t="s">
        <v>331</v>
      </c>
      <c r="N319" s="55">
        <v>45992</v>
      </c>
      <c r="O319" s="18" t="str">
        <f>IFERROR(VLOOKUP(A319,'[2]RELAÇÃO DE OC''S VMI MEC 030226'!$B:$P,15,FALSE),"-")</f>
        <v>-</v>
      </c>
      <c r="P319" s="56">
        <f t="shared" ca="1" si="13"/>
        <v>84</v>
      </c>
      <c r="Q319" s="18" t="str">
        <f t="shared" ca="1" si="14"/>
        <v>ATRASADO</v>
      </c>
      <c r="R319" s="19" t="s">
        <v>5645</v>
      </c>
    </row>
    <row r="320" spans="1:18" x14ac:dyDescent="0.2">
      <c r="A320" s="18" t="str">
        <f t="shared" si="12"/>
        <v>049278039733.11.11091.00</v>
      </c>
      <c r="B320" s="51" t="s">
        <v>984</v>
      </c>
      <c r="C320" s="51" t="s">
        <v>1717</v>
      </c>
      <c r="D320" s="51" t="s">
        <v>1718</v>
      </c>
      <c r="E320" s="51" t="s">
        <v>1719</v>
      </c>
      <c r="F320" s="18" t="s">
        <v>328</v>
      </c>
      <c r="G320" s="52">
        <v>45919</v>
      </c>
      <c r="H320" s="18" t="s">
        <v>329</v>
      </c>
      <c r="I320" s="53">
        <v>2</v>
      </c>
      <c r="J320" s="54">
        <v>925.80011999999999</v>
      </c>
      <c r="K320" s="54">
        <v>1851.6</v>
      </c>
      <c r="L320" s="18" t="s">
        <v>330</v>
      </c>
      <c r="M320" s="18" t="s">
        <v>331</v>
      </c>
      <c r="N320" s="55">
        <v>45992</v>
      </c>
      <c r="O320" s="18" t="str">
        <f>IFERROR(VLOOKUP(A320,'[2]RELAÇÃO DE OC''S VMI MEC 030226'!$B:$P,15,FALSE),"-")</f>
        <v>-</v>
      </c>
      <c r="P320" s="56">
        <f t="shared" ca="1" si="13"/>
        <v>84</v>
      </c>
      <c r="Q320" s="18" t="str">
        <f t="shared" ca="1" si="14"/>
        <v>ATRASADO</v>
      </c>
      <c r="R320" s="19" t="s">
        <v>5645</v>
      </c>
    </row>
    <row r="321" spans="1:18" x14ac:dyDescent="0.2">
      <c r="A321" s="18" t="str">
        <f t="shared" si="12"/>
        <v>049278039833.11.11092.00</v>
      </c>
      <c r="B321" s="51" t="s">
        <v>984</v>
      </c>
      <c r="C321" s="51" t="s">
        <v>1720</v>
      </c>
      <c r="D321" s="51" t="s">
        <v>1721</v>
      </c>
      <c r="E321" s="51" t="s">
        <v>1722</v>
      </c>
      <c r="F321" s="18" t="s">
        <v>328</v>
      </c>
      <c r="G321" s="52">
        <v>45919</v>
      </c>
      <c r="H321" s="18" t="s">
        <v>329</v>
      </c>
      <c r="I321" s="53">
        <v>2</v>
      </c>
      <c r="J321" s="54">
        <v>545.70726000000002</v>
      </c>
      <c r="K321" s="54">
        <v>1091.4100000000001</v>
      </c>
      <c r="L321" s="18" t="s">
        <v>330</v>
      </c>
      <c r="M321" s="18" t="s">
        <v>331</v>
      </c>
      <c r="N321" s="55">
        <v>45992</v>
      </c>
      <c r="O321" s="18" t="str">
        <f>IFERROR(VLOOKUP(A321,'[2]RELAÇÃO DE OC''S VMI MEC 030226'!$B:$P,15,FALSE),"-")</f>
        <v>-</v>
      </c>
      <c r="P321" s="56">
        <f t="shared" ca="1" si="13"/>
        <v>84</v>
      </c>
      <c r="Q321" s="18" t="str">
        <f t="shared" ca="1" si="14"/>
        <v>ATRASADO</v>
      </c>
      <c r="R321" s="19" t="s">
        <v>5645</v>
      </c>
    </row>
    <row r="322" spans="1:18" x14ac:dyDescent="0.2">
      <c r="A322" s="18" t="str">
        <f t="shared" ref="A322:A385" si="15">B322&amp;C322&amp;D322</f>
        <v>049278039933.11.11093.00</v>
      </c>
      <c r="B322" s="51" t="s">
        <v>984</v>
      </c>
      <c r="C322" s="51" t="s">
        <v>1723</v>
      </c>
      <c r="D322" s="51" t="s">
        <v>1724</v>
      </c>
      <c r="E322" s="51" t="s">
        <v>1725</v>
      </c>
      <c r="F322" s="18" t="s">
        <v>328</v>
      </c>
      <c r="G322" s="52">
        <v>45919</v>
      </c>
      <c r="H322" s="18" t="s">
        <v>329</v>
      </c>
      <c r="I322" s="53">
        <v>2</v>
      </c>
      <c r="J322" s="54">
        <v>372.72028499999999</v>
      </c>
      <c r="K322" s="54">
        <v>745.44</v>
      </c>
      <c r="L322" s="18" t="s">
        <v>330</v>
      </c>
      <c r="M322" s="18" t="s">
        <v>331</v>
      </c>
      <c r="N322" s="55">
        <v>45992</v>
      </c>
      <c r="O322" s="18" t="str">
        <f>IFERROR(VLOOKUP(A322,'[2]RELAÇÃO DE OC''S VMI MEC 030226'!$B:$P,15,FALSE),"-")</f>
        <v>-</v>
      </c>
      <c r="P322" s="56">
        <f t="shared" ref="P322:P385" ca="1" si="16">TODAY()-N322</f>
        <v>84</v>
      </c>
      <c r="Q322" s="18" t="str">
        <f t="shared" ref="Q322:Q385" ca="1" si="17">IF(P322&gt;0,"ATRASADO","DENTRO DO PRAZO")</f>
        <v>ATRASADO</v>
      </c>
      <c r="R322" s="19" t="s">
        <v>5645</v>
      </c>
    </row>
    <row r="323" spans="1:18" x14ac:dyDescent="0.2">
      <c r="A323" s="18" t="str">
        <f t="shared" si="15"/>
        <v>049278040033.11.11094.00</v>
      </c>
      <c r="B323" s="51" t="s">
        <v>984</v>
      </c>
      <c r="C323" s="51" t="s">
        <v>1726</v>
      </c>
      <c r="D323" s="51" t="s">
        <v>1727</v>
      </c>
      <c r="E323" s="51" t="s">
        <v>1728</v>
      </c>
      <c r="F323" s="18" t="s">
        <v>328</v>
      </c>
      <c r="G323" s="52">
        <v>45919</v>
      </c>
      <c r="H323" s="18" t="s">
        <v>329</v>
      </c>
      <c r="I323" s="53">
        <v>2</v>
      </c>
      <c r="J323" s="54">
        <v>440.92881</v>
      </c>
      <c r="K323" s="54">
        <v>881.86</v>
      </c>
      <c r="L323" s="18" t="s">
        <v>330</v>
      </c>
      <c r="M323" s="18" t="s">
        <v>331</v>
      </c>
      <c r="N323" s="55">
        <v>45992</v>
      </c>
      <c r="O323" s="18" t="str">
        <f>IFERROR(VLOOKUP(A323,'[2]RELAÇÃO DE OC''S VMI MEC 030226'!$B:$P,15,FALSE),"-")</f>
        <v>-</v>
      </c>
      <c r="P323" s="56">
        <f t="shared" ca="1" si="16"/>
        <v>84</v>
      </c>
      <c r="Q323" s="18" t="str">
        <f t="shared" ca="1" si="17"/>
        <v>ATRASADO</v>
      </c>
      <c r="R323" s="19" t="s">
        <v>5645</v>
      </c>
    </row>
    <row r="324" spans="1:18" x14ac:dyDescent="0.2">
      <c r="A324" s="18" t="str">
        <f t="shared" si="15"/>
        <v>049278040133.11.11095.00</v>
      </c>
      <c r="B324" s="51" t="s">
        <v>984</v>
      </c>
      <c r="C324" s="51" t="s">
        <v>1729</v>
      </c>
      <c r="D324" s="51" t="s">
        <v>1730</v>
      </c>
      <c r="E324" s="51" t="s">
        <v>1731</v>
      </c>
      <c r="F324" s="18" t="s">
        <v>328</v>
      </c>
      <c r="G324" s="52">
        <v>45919</v>
      </c>
      <c r="H324" s="18" t="s">
        <v>329</v>
      </c>
      <c r="I324" s="53">
        <v>1</v>
      </c>
      <c r="J324" s="54">
        <v>982.22229000000004</v>
      </c>
      <c r="K324" s="54">
        <v>982.22</v>
      </c>
      <c r="L324" s="18" t="s">
        <v>330</v>
      </c>
      <c r="M324" s="18" t="s">
        <v>331</v>
      </c>
      <c r="N324" s="55">
        <v>45992</v>
      </c>
      <c r="O324" s="18" t="str">
        <f>IFERROR(VLOOKUP(A324,'[2]RELAÇÃO DE OC''S VMI MEC 030226'!$B:$P,15,FALSE),"-")</f>
        <v>-</v>
      </c>
      <c r="P324" s="56">
        <f t="shared" ca="1" si="16"/>
        <v>84</v>
      </c>
      <c r="Q324" s="18" t="str">
        <f t="shared" ca="1" si="17"/>
        <v>ATRASADO</v>
      </c>
      <c r="R324" s="19" t="s">
        <v>5645</v>
      </c>
    </row>
    <row r="325" spans="1:18" x14ac:dyDescent="0.2">
      <c r="A325" s="18" t="str">
        <f t="shared" si="15"/>
        <v>049278040233.11.11095.00</v>
      </c>
      <c r="B325" s="51" t="s">
        <v>984</v>
      </c>
      <c r="C325" s="51" t="s">
        <v>1732</v>
      </c>
      <c r="D325" s="18" t="s">
        <v>1730</v>
      </c>
      <c r="E325" s="18" t="s">
        <v>1731</v>
      </c>
      <c r="F325" s="18" t="s">
        <v>328</v>
      </c>
      <c r="G325" s="52">
        <v>45919</v>
      </c>
      <c r="H325" s="18" t="s">
        <v>329</v>
      </c>
      <c r="I325" s="53">
        <v>2</v>
      </c>
      <c r="J325" s="54">
        <v>982.22229000000004</v>
      </c>
      <c r="K325" s="54">
        <v>1964.44</v>
      </c>
      <c r="L325" s="18" t="s">
        <v>330</v>
      </c>
      <c r="M325" s="18" t="s">
        <v>331</v>
      </c>
      <c r="N325" s="55">
        <v>45992</v>
      </c>
      <c r="O325" s="18" t="str">
        <f>IFERROR(VLOOKUP(A325,'[2]RELAÇÃO DE OC''S VMI MEC 030226'!$B:$P,15,FALSE),"-")</f>
        <v>-</v>
      </c>
      <c r="P325" s="56">
        <f t="shared" ca="1" si="16"/>
        <v>84</v>
      </c>
      <c r="Q325" s="18" t="str">
        <f t="shared" ca="1" si="17"/>
        <v>ATRASADO</v>
      </c>
      <c r="R325" s="19" t="s">
        <v>5645</v>
      </c>
    </row>
    <row r="326" spans="1:18" x14ac:dyDescent="0.2">
      <c r="A326" s="18" t="str">
        <f t="shared" si="15"/>
        <v>049278040333.11.11096.00</v>
      </c>
      <c r="B326" s="51" t="s">
        <v>984</v>
      </c>
      <c r="C326" s="51" t="s">
        <v>1733</v>
      </c>
      <c r="D326" s="51" t="s">
        <v>1734</v>
      </c>
      <c r="E326" s="51" t="s">
        <v>1735</v>
      </c>
      <c r="F326" s="18" t="s">
        <v>328</v>
      </c>
      <c r="G326" s="52">
        <v>45919</v>
      </c>
      <c r="H326" s="18" t="s">
        <v>329</v>
      </c>
      <c r="I326" s="53">
        <v>1</v>
      </c>
      <c r="J326" s="54">
        <v>227.124135</v>
      </c>
      <c r="K326" s="54">
        <v>227.12</v>
      </c>
      <c r="L326" s="18" t="s">
        <v>330</v>
      </c>
      <c r="M326" s="18" t="s">
        <v>331</v>
      </c>
      <c r="N326" s="55">
        <v>45992</v>
      </c>
      <c r="O326" s="18" t="str">
        <f>IFERROR(VLOOKUP(A326,'[2]RELAÇÃO DE OC''S VMI MEC 030226'!$B:$P,15,FALSE),"-")</f>
        <v>-</v>
      </c>
      <c r="P326" s="56">
        <f t="shared" ca="1" si="16"/>
        <v>84</v>
      </c>
      <c r="Q326" s="18" t="str">
        <f t="shared" ca="1" si="17"/>
        <v>ATRASADO</v>
      </c>
      <c r="R326" s="19" t="s">
        <v>5645</v>
      </c>
    </row>
    <row r="327" spans="1:18" x14ac:dyDescent="0.2">
      <c r="A327" s="18" t="str">
        <f t="shared" si="15"/>
        <v>049278040833.11.11099.00</v>
      </c>
      <c r="B327" s="51" t="s">
        <v>984</v>
      </c>
      <c r="C327" s="51" t="s">
        <v>1740</v>
      </c>
      <c r="D327" s="51" t="s">
        <v>1741</v>
      </c>
      <c r="E327" s="51" t="s">
        <v>1742</v>
      </c>
      <c r="F327" s="18" t="s">
        <v>328</v>
      </c>
      <c r="G327" s="52">
        <v>45919</v>
      </c>
      <c r="H327" s="18" t="s">
        <v>329</v>
      </c>
      <c r="I327" s="53">
        <v>1</v>
      </c>
      <c r="J327" s="54">
        <v>1204.84476</v>
      </c>
      <c r="K327" s="54">
        <v>1204.8399999999999</v>
      </c>
      <c r="L327" s="18" t="s">
        <v>330</v>
      </c>
      <c r="M327" s="18" t="s">
        <v>331</v>
      </c>
      <c r="N327" s="55">
        <v>45992</v>
      </c>
      <c r="O327" s="18" t="str">
        <f>IFERROR(VLOOKUP(A327,'[2]RELAÇÃO DE OC''S VMI MEC 030226'!$B:$P,15,FALSE),"-")</f>
        <v>-</v>
      </c>
      <c r="P327" s="56">
        <f t="shared" ca="1" si="16"/>
        <v>84</v>
      </c>
      <c r="Q327" s="18" t="str">
        <f t="shared" ca="1" si="17"/>
        <v>ATRASADO</v>
      </c>
      <c r="R327" s="19" t="s">
        <v>5645</v>
      </c>
    </row>
    <row r="328" spans="1:18" x14ac:dyDescent="0.2">
      <c r="A328" s="18" t="str">
        <f t="shared" si="15"/>
        <v>049278040933.11.11099.00</v>
      </c>
      <c r="B328" s="51" t="s">
        <v>984</v>
      </c>
      <c r="C328" s="51" t="s">
        <v>1743</v>
      </c>
      <c r="D328" s="18" t="s">
        <v>1741</v>
      </c>
      <c r="E328" s="18" t="s">
        <v>1742</v>
      </c>
      <c r="F328" s="18" t="s">
        <v>328</v>
      </c>
      <c r="G328" s="52">
        <v>45919</v>
      </c>
      <c r="H328" s="18" t="s">
        <v>329</v>
      </c>
      <c r="I328" s="53">
        <v>1</v>
      </c>
      <c r="J328" s="54">
        <v>1204.84476</v>
      </c>
      <c r="K328" s="54">
        <v>1204.8399999999999</v>
      </c>
      <c r="L328" s="18" t="s">
        <v>330</v>
      </c>
      <c r="M328" s="18" t="s">
        <v>331</v>
      </c>
      <c r="N328" s="55">
        <v>45992</v>
      </c>
      <c r="O328" s="18" t="str">
        <f>IFERROR(VLOOKUP(A328,'[2]RELAÇÃO DE OC''S VMI MEC 030226'!$B:$P,15,FALSE),"-")</f>
        <v>-</v>
      </c>
      <c r="P328" s="56">
        <f t="shared" ca="1" si="16"/>
        <v>84</v>
      </c>
      <c r="Q328" s="18" t="str">
        <f t="shared" ca="1" si="17"/>
        <v>ATRASADO</v>
      </c>
      <c r="R328" s="19" t="s">
        <v>5645</v>
      </c>
    </row>
    <row r="329" spans="1:18" x14ac:dyDescent="0.2">
      <c r="A329" s="18" t="str">
        <f t="shared" si="15"/>
        <v>049278041033.11.11100.00</v>
      </c>
      <c r="B329" s="51" t="s">
        <v>984</v>
      </c>
      <c r="C329" s="51" t="s">
        <v>1744</v>
      </c>
      <c r="D329" s="51" t="s">
        <v>1745</v>
      </c>
      <c r="E329" s="51" t="s">
        <v>1746</v>
      </c>
      <c r="F329" s="18" t="s">
        <v>328</v>
      </c>
      <c r="G329" s="52">
        <v>45919</v>
      </c>
      <c r="H329" s="18" t="s">
        <v>329</v>
      </c>
      <c r="I329" s="53">
        <v>1</v>
      </c>
      <c r="J329" s="54">
        <v>441.09481499999998</v>
      </c>
      <c r="K329" s="54">
        <v>441.09</v>
      </c>
      <c r="L329" s="18" t="s">
        <v>330</v>
      </c>
      <c r="M329" s="18" t="s">
        <v>331</v>
      </c>
      <c r="N329" s="55">
        <v>45992</v>
      </c>
      <c r="O329" s="18" t="str">
        <f>IFERROR(VLOOKUP(A329,'[2]RELAÇÃO DE OC''S VMI MEC 030226'!$B:$P,15,FALSE),"-")</f>
        <v>-</v>
      </c>
      <c r="P329" s="56">
        <f t="shared" ca="1" si="16"/>
        <v>84</v>
      </c>
      <c r="Q329" s="18" t="str">
        <f t="shared" ca="1" si="17"/>
        <v>ATRASADO</v>
      </c>
      <c r="R329" s="19" t="s">
        <v>5645</v>
      </c>
    </row>
    <row r="330" spans="1:18" x14ac:dyDescent="0.2">
      <c r="A330" s="18" t="str">
        <f t="shared" si="15"/>
        <v>049278041133.11.11100.00</v>
      </c>
      <c r="B330" s="51" t="s">
        <v>984</v>
      </c>
      <c r="C330" s="51" t="s">
        <v>1747</v>
      </c>
      <c r="D330" s="18" t="s">
        <v>1745</v>
      </c>
      <c r="E330" s="18" t="s">
        <v>1746</v>
      </c>
      <c r="F330" s="18" t="s">
        <v>328</v>
      </c>
      <c r="G330" s="52">
        <v>45919</v>
      </c>
      <c r="H330" s="18" t="s">
        <v>329</v>
      </c>
      <c r="I330" s="53">
        <v>1</v>
      </c>
      <c r="J330" s="54">
        <v>441.09481499999998</v>
      </c>
      <c r="K330" s="54">
        <v>441.09</v>
      </c>
      <c r="L330" s="18" t="s">
        <v>330</v>
      </c>
      <c r="M330" s="18" t="s">
        <v>331</v>
      </c>
      <c r="N330" s="55">
        <v>45992</v>
      </c>
      <c r="O330" s="18" t="str">
        <f>IFERROR(VLOOKUP(A330,'[2]RELAÇÃO DE OC''S VMI MEC 030226'!$B:$P,15,FALSE),"-")</f>
        <v>-</v>
      </c>
      <c r="P330" s="56">
        <f t="shared" ca="1" si="16"/>
        <v>84</v>
      </c>
      <c r="Q330" s="18" t="str">
        <f t="shared" ca="1" si="17"/>
        <v>ATRASADO</v>
      </c>
      <c r="R330" s="19" t="s">
        <v>5645</v>
      </c>
    </row>
    <row r="331" spans="1:18" x14ac:dyDescent="0.2">
      <c r="A331" s="18" t="str">
        <f t="shared" si="15"/>
        <v>049278041833.11.11105.00</v>
      </c>
      <c r="B331" s="51" t="s">
        <v>984</v>
      </c>
      <c r="C331" s="51" t="s">
        <v>1756</v>
      </c>
      <c r="D331" s="51" t="s">
        <v>1757</v>
      </c>
      <c r="E331" s="51" t="s">
        <v>1758</v>
      </c>
      <c r="F331" s="18" t="s">
        <v>328</v>
      </c>
      <c r="G331" s="52">
        <v>45919</v>
      </c>
      <c r="H331" s="18" t="s">
        <v>329</v>
      </c>
      <c r="I331" s="53">
        <v>1</v>
      </c>
      <c r="J331" s="54">
        <v>1539.9112050000001</v>
      </c>
      <c r="K331" s="54">
        <v>1539.91</v>
      </c>
      <c r="L331" s="18" t="s">
        <v>330</v>
      </c>
      <c r="M331" s="18" t="s">
        <v>331</v>
      </c>
      <c r="N331" s="55">
        <v>45992</v>
      </c>
      <c r="O331" s="18" t="str">
        <f>IFERROR(VLOOKUP(A331,'[2]RELAÇÃO DE OC''S VMI MEC 030226'!$B:$P,15,FALSE),"-")</f>
        <v>-</v>
      </c>
      <c r="P331" s="56">
        <f t="shared" ca="1" si="16"/>
        <v>84</v>
      </c>
      <c r="Q331" s="18" t="str">
        <f t="shared" ca="1" si="17"/>
        <v>ATRASADO</v>
      </c>
      <c r="R331" s="19" t="s">
        <v>5645</v>
      </c>
    </row>
    <row r="332" spans="1:18" x14ac:dyDescent="0.2">
      <c r="A332" s="18" t="str">
        <f t="shared" si="15"/>
        <v>049278041933.11.11105.00</v>
      </c>
      <c r="B332" s="51" t="s">
        <v>984</v>
      </c>
      <c r="C332" s="51" t="s">
        <v>1759</v>
      </c>
      <c r="D332" s="18" t="s">
        <v>1757</v>
      </c>
      <c r="E332" s="18" t="s">
        <v>1758</v>
      </c>
      <c r="F332" s="18" t="s">
        <v>328</v>
      </c>
      <c r="G332" s="52">
        <v>45919</v>
      </c>
      <c r="H332" s="18" t="s">
        <v>329</v>
      </c>
      <c r="I332" s="53">
        <v>1</v>
      </c>
      <c r="J332" s="54">
        <v>1539.9112050000001</v>
      </c>
      <c r="K332" s="54">
        <v>1539.91</v>
      </c>
      <c r="L332" s="18" t="s">
        <v>330</v>
      </c>
      <c r="M332" s="18" t="s">
        <v>331</v>
      </c>
      <c r="N332" s="55">
        <v>45992</v>
      </c>
      <c r="O332" s="18" t="str">
        <f>IFERROR(VLOOKUP(A332,'[2]RELAÇÃO DE OC''S VMI MEC 030226'!$B:$P,15,FALSE),"-")</f>
        <v>-</v>
      </c>
      <c r="P332" s="56">
        <f t="shared" ca="1" si="16"/>
        <v>84</v>
      </c>
      <c r="Q332" s="18" t="str">
        <f t="shared" ca="1" si="17"/>
        <v>ATRASADO</v>
      </c>
      <c r="R332" s="19" t="s">
        <v>5645</v>
      </c>
    </row>
    <row r="333" spans="1:18" x14ac:dyDescent="0.2">
      <c r="A333" s="18" t="str">
        <f t="shared" si="15"/>
        <v>049278042033.11.11106.00</v>
      </c>
      <c r="B333" s="51" t="s">
        <v>984</v>
      </c>
      <c r="C333" s="51" t="s">
        <v>1760</v>
      </c>
      <c r="D333" s="51" t="s">
        <v>1761</v>
      </c>
      <c r="E333" s="51" t="s">
        <v>1762</v>
      </c>
      <c r="F333" s="18" t="s">
        <v>328</v>
      </c>
      <c r="G333" s="52">
        <v>45919</v>
      </c>
      <c r="H333" s="18" t="s">
        <v>329</v>
      </c>
      <c r="I333" s="53">
        <v>2</v>
      </c>
      <c r="J333" s="54">
        <v>741.62245499999995</v>
      </c>
      <c r="K333" s="54">
        <v>1483.24</v>
      </c>
      <c r="L333" s="18" t="s">
        <v>330</v>
      </c>
      <c r="M333" s="18" t="s">
        <v>331</v>
      </c>
      <c r="N333" s="55">
        <v>45992</v>
      </c>
      <c r="O333" s="18" t="str">
        <f>IFERROR(VLOOKUP(A333,'[2]RELAÇÃO DE OC''S VMI MEC 030226'!$B:$P,15,FALSE),"-")</f>
        <v>-</v>
      </c>
      <c r="P333" s="56">
        <f t="shared" ca="1" si="16"/>
        <v>84</v>
      </c>
      <c r="Q333" s="18" t="str">
        <f t="shared" ca="1" si="17"/>
        <v>ATRASADO</v>
      </c>
      <c r="R333" s="19" t="s">
        <v>5645</v>
      </c>
    </row>
    <row r="334" spans="1:18" x14ac:dyDescent="0.2">
      <c r="A334" s="18" t="str">
        <f t="shared" si="15"/>
        <v>049278042133.11.11108.00</v>
      </c>
      <c r="B334" s="51" t="s">
        <v>984</v>
      </c>
      <c r="C334" s="51" t="s">
        <v>1763</v>
      </c>
      <c r="D334" s="51" t="s">
        <v>1764</v>
      </c>
      <c r="E334" s="51" t="s">
        <v>1765</v>
      </c>
      <c r="F334" s="18" t="s">
        <v>328</v>
      </c>
      <c r="G334" s="52">
        <v>45919</v>
      </c>
      <c r="H334" s="18" t="s">
        <v>329</v>
      </c>
      <c r="I334" s="53">
        <v>2</v>
      </c>
      <c r="J334" s="54">
        <v>157.74381</v>
      </c>
      <c r="K334" s="54">
        <v>315.49</v>
      </c>
      <c r="L334" s="18" t="s">
        <v>330</v>
      </c>
      <c r="M334" s="18" t="s">
        <v>331</v>
      </c>
      <c r="N334" s="55">
        <v>45992</v>
      </c>
      <c r="O334" s="18" t="str">
        <f>IFERROR(VLOOKUP(A334,'[2]RELAÇÃO DE OC''S VMI MEC 030226'!$B:$P,15,FALSE),"-")</f>
        <v>-</v>
      </c>
      <c r="P334" s="56">
        <f t="shared" ca="1" si="16"/>
        <v>84</v>
      </c>
      <c r="Q334" s="18" t="str">
        <f t="shared" ca="1" si="17"/>
        <v>ATRASADO</v>
      </c>
      <c r="R334" s="19" t="s">
        <v>5645</v>
      </c>
    </row>
    <row r="335" spans="1:18" x14ac:dyDescent="0.2">
      <c r="A335" s="18" t="str">
        <f t="shared" si="15"/>
        <v>049278042233.11.11110.00</v>
      </c>
      <c r="B335" s="51" t="s">
        <v>984</v>
      </c>
      <c r="C335" s="51" t="s">
        <v>1766</v>
      </c>
      <c r="D335" s="51" t="s">
        <v>1767</v>
      </c>
      <c r="E335" s="51" t="s">
        <v>1768</v>
      </c>
      <c r="F335" s="18" t="s">
        <v>328</v>
      </c>
      <c r="G335" s="52">
        <v>45919</v>
      </c>
      <c r="H335" s="18" t="s">
        <v>329</v>
      </c>
      <c r="I335" s="53">
        <v>1</v>
      </c>
      <c r="J335" s="54">
        <v>861.98584500000004</v>
      </c>
      <c r="K335" s="54">
        <v>861.99</v>
      </c>
      <c r="L335" s="18" t="s">
        <v>330</v>
      </c>
      <c r="M335" s="18" t="s">
        <v>331</v>
      </c>
      <c r="N335" s="55">
        <v>45992</v>
      </c>
      <c r="O335" s="18" t="str">
        <f>IFERROR(VLOOKUP(A335,'[2]RELAÇÃO DE OC''S VMI MEC 030226'!$B:$P,15,FALSE),"-")</f>
        <v>-</v>
      </c>
      <c r="P335" s="56">
        <f t="shared" ca="1" si="16"/>
        <v>84</v>
      </c>
      <c r="Q335" s="18" t="str">
        <f t="shared" ca="1" si="17"/>
        <v>ATRASADO</v>
      </c>
      <c r="R335" s="19" t="s">
        <v>5645</v>
      </c>
    </row>
    <row r="336" spans="1:18" x14ac:dyDescent="0.2">
      <c r="A336" s="18" t="str">
        <f t="shared" si="15"/>
        <v>049278042333.11.11110.00</v>
      </c>
      <c r="B336" s="51" t="s">
        <v>984</v>
      </c>
      <c r="C336" s="51" t="s">
        <v>1769</v>
      </c>
      <c r="D336" s="18" t="s">
        <v>1767</v>
      </c>
      <c r="E336" s="18" t="s">
        <v>1768</v>
      </c>
      <c r="F336" s="18" t="s">
        <v>328</v>
      </c>
      <c r="G336" s="52">
        <v>45919</v>
      </c>
      <c r="H336" s="18" t="s">
        <v>329</v>
      </c>
      <c r="I336" s="53">
        <v>1</v>
      </c>
      <c r="J336" s="54">
        <v>861.98584500000004</v>
      </c>
      <c r="K336" s="54">
        <v>861.99</v>
      </c>
      <c r="L336" s="18" t="s">
        <v>330</v>
      </c>
      <c r="M336" s="18" t="s">
        <v>331</v>
      </c>
      <c r="N336" s="55">
        <v>45992</v>
      </c>
      <c r="O336" s="18" t="str">
        <f>IFERROR(VLOOKUP(A336,'[2]RELAÇÃO DE OC''S VMI MEC 030226'!$B:$P,15,FALSE),"-")</f>
        <v>-</v>
      </c>
      <c r="P336" s="56">
        <f t="shared" ca="1" si="16"/>
        <v>84</v>
      </c>
      <c r="Q336" s="18" t="str">
        <f t="shared" ca="1" si="17"/>
        <v>ATRASADO</v>
      </c>
      <c r="R336" s="19" t="s">
        <v>5645</v>
      </c>
    </row>
    <row r="337" spans="1:18" x14ac:dyDescent="0.2">
      <c r="A337" s="18" t="str">
        <f t="shared" si="15"/>
        <v>049278042433.11.11111.00</v>
      </c>
      <c r="B337" s="51" t="s">
        <v>984</v>
      </c>
      <c r="C337" s="51" t="s">
        <v>1770</v>
      </c>
      <c r="D337" s="51" t="s">
        <v>1771</v>
      </c>
      <c r="E337" s="51" t="s">
        <v>1772</v>
      </c>
      <c r="F337" s="18" t="s">
        <v>328</v>
      </c>
      <c r="G337" s="52">
        <v>45919</v>
      </c>
      <c r="H337" s="18" t="s">
        <v>329</v>
      </c>
      <c r="I337" s="53">
        <v>2</v>
      </c>
      <c r="J337" s="54">
        <v>1111.1788799999999</v>
      </c>
      <c r="K337" s="54">
        <v>2222.36</v>
      </c>
      <c r="L337" s="18" t="s">
        <v>330</v>
      </c>
      <c r="M337" s="18" t="s">
        <v>331</v>
      </c>
      <c r="N337" s="55">
        <v>45992</v>
      </c>
      <c r="O337" s="18" t="str">
        <f>IFERROR(VLOOKUP(A337,'[2]RELAÇÃO DE OC''S VMI MEC 030226'!$B:$P,15,FALSE),"-")</f>
        <v>-</v>
      </c>
      <c r="P337" s="56">
        <f t="shared" ca="1" si="16"/>
        <v>84</v>
      </c>
      <c r="Q337" s="18" t="str">
        <f t="shared" ca="1" si="17"/>
        <v>ATRASADO</v>
      </c>
      <c r="R337" s="19" t="s">
        <v>5645</v>
      </c>
    </row>
    <row r="338" spans="1:18" x14ac:dyDescent="0.2">
      <c r="A338" s="18" t="str">
        <f t="shared" si="15"/>
        <v>049278042533.11.11112.00</v>
      </c>
      <c r="B338" s="51" t="s">
        <v>984</v>
      </c>
      <c r="C338" s="51" t="s">
        <v>1773</v>
      </c>
      <c r="D338" s="51" t="s">
        <v>1774</v>
      </c>
      <c r="E338" s="51" t="s">
        <v>1775</v>
      </c>
      <c r="F338" s="18" t="s">
        <v>328</v>
      </c>
      <c r="G338" s="52">
        <v>45919</v>
      </c>
      <c r="H338" s="18" t="s">
        <v>329</v>
      </c>
      <c r="I338" s="53">
        <v>2</v>
      </c>
      <c r="J338" s="54">
        <v>144.336465</v>
      </c>
      <c r="K338" s="54">
        <v>288.67</v>
      </c>
      <c r="L338" s="18" t="s">
        <v>330</v>
      </c>
      <c r="M338" s="18" t="s">
        <v>331</v>
      </c>
      <c r="N338" s="55">
        <v>45992</v>
      </c>
      <c r="O338" s="18" t="str">
        <f>IFERROR(VLOOKUP(A338,'[2]RELAÇÃO DE OC''S VMI MEC 030226'!$B:$P,15,FALSE),"-")</f>
        <v>-</v>
      </c>
      <c r="P338" s="56">
        <f t="shared" ca="1" si="16"/>
        <v>84</v>
      </c>
      <c r="Q338" s="18" t="str">
        <f t="shared" ca="1" si="17"/>
        <v>ATRASADO</v>
      </c>
      <c r="R338" s="19" t="s">
        <v>5645</v>
      </c>
    </row>
    <row r="339" spans="1:18" x14ac:dyDescent="0.2">
      <c r="A339" s="18" t="str">
        <f t="shared" si="15"/>
        <v>049278042833.21.10308.00</v>
      </c>
      <c r="B339" s="51" t="s">
        <v>984</v>
      </c>
      <c r="C339" s="51" t="s">
        <v>1780</v>
      </c>
      <c r="D339" s="51" t="s">
        <v>1781</v>
      </c>
      <c r="E339" s="51" t="s">
        <v>1782</v>
      </c>
      <c r="F339" s="18" t="s">
        <v>328</v>
      </c>
      <c r="G339" s="52">
        <v>45919</v>
      </c>
      <c r="H339" s="18" t="s">
        <v>329</v>
      </c>
      <c r="I339" s="53">
        <v>2</v>
      </c>
      <c r="J339" s="54">
        <v>61.900334999999998</v>
      </c>
      <c r="K339" s="54">
        <v>123.8</v>
      </c>
      <c r="L339" s="18" t="s">
        <v>330</v>
      </c>
      <c r="M339" s="18" t="s">
        <v>331</v>
      </c>
      <c r="N339" s="55">
        <v>45992</v>
      </c>
      <c r="O339" s="18" t="str">
        <f>IFERROR(VLOOKUP(A339,'[2]RELAÇÃO DE OC''S VMI MEC 030226'!$B:$P,15,FALSE),"-")</f>
        <v>-</v>
      </c>
      <c r="P339" s="56">
        <f t="shared" ca="1" si="16"/>
        <v>84</v>
      </c>
      <c r="Q339" s="18" t="str">
        <f t="shared" ca="1" si="17"/>
        <v>ATRASADO</v>
      </c>
      <c r="R339" s="19" t="s">
        <v>5645</v>
      </c>
    </row>
    <row r="340" spans="1:18" x14ac:dyDescent="0.2">
      <c r="A340" s="18" t="str">
        <f t="shared" si="15"/>
        <v>049278043133.99.10023.00</v>
      </c>
      <c r="B340" s="51" t="s">
        <v>984</v>
      </c>
      <c r="C340" s="51" t="s">
        <v>1787</v>
      </c>
      <c r="D340" s="51" t="s">
        <v>514</v>
      </c>
      <c r="E340" s="51" t="s">
        <v>515</v>
      </c>
      <c r="F340" s="18" t="s">
        <v>328</v>
      </c>
      <c r="G340" s="52">
        <v>45919</v>
      </c>
      <c r="H340" s="18" t="s">
        <v>329</v>
      </c>
      <c r="I340" s="53">
        <v>30</v>
      </c>
      <c r="J340" s="54">
        <v>5.15</v>
      </c>
      <c r="K340" s="54">
        <v>154.5</v>
      </c>
      <c r="L340" s="18" t="s">
        <v>330</v>
      </c>
      <c r="M340" s="18" t="s">
        <v>331</v>
      </c>
      <c r="N340" s="55">
        <v>45992</v>
      </c>
      <c r="O340" s="18" t="str">
        <f>IFERROR(VLOOKUP(A340,'[2]RELAÇÃO DE OC''S VMI MEC 030226'!$B:$P,15,FALSE),"-")</f>
        <v>-</v>
      </c>
      <c r="P340" s="56">
        <f t="shared" ca="1" si="16"/>
        <v>84</v>
      </c>
      <c r="Q340" s="18" t="str">
        <f t="shared" ca="1" si="17"/>
        <v>ATRASADO</v>
      </c>
      <c r="R340" s="19" t="s">
        <v>5645</v>
      </c>
    </row>
    <row r="341" spans="1:18" x14ac:dyDescent="0.2">
      <c r="A341" s="18" t="str">
        <f t="shared" si="15"/>
        <v>049278043234.06.10002.00</v>
      </c>
      <c r="B341" s="51" t="s">
        <v>984</v>
      </c>
      <c r="C341" s="51" t="s">
        <v>1788</v>
      </c>
      <c r="D341" s="51" t="s">
        <v>1789</v>
      </c>
      <c r="E341" s="51" t="s">
        <v>1790</v>
      </c>
      <c r="F341" s="18" t="s">
        <v>328</v>
      </c>
      <c r="G341" s="52">
        <v>45919</v>
      </c>
      <c r="H341" s="18" t="s">
        <v>329</v>
      </c>
      <c r="I341" s="53">
        <v>2</v>
      </c>
      <c r="J341" s="54">
        <v>41.432895000000002</v>
      </c>
      <c r="K341" s="54">
        <v>82.87</v>
      </c>
      <c r="L341" s="18" t="s">
        <v>330</v>
      </c>
      <c r="M341" s="18" t="s">
        <v>331</v>
      </c>
      <c r="N341" s="55">
        <v>45992</v>
      </c>
      <c r="O341" s="18" t="str">
        <f>IFERROR(VLOOKUP(A341,'[2]RELAÇÃO DE OC''S VMI MEC 030226'!$B:$P,15,FALSE),"-")</f>
        <v>-</v>
      </c>
      <c r="P341" s="56">
        <f t="shared" ca="1" si="16"/>
        <v>84</v>
      </c>
      <c r="Q341" s="18" t="str">
        <f t="shared" ca="1" si="17"/>
        <v>ATRASADO</v>
      </c>
      <c r="R341" s="19" t="s">
        <v>5645</v>
      </c>
    </row>
    <row r="342" spans="1:18" x14ac:dyDescent="0.2">
      <c r="A342" s="18" t="str">
        <f t="shared" si="15"/>
        <v>049541002133.03.11361.01</v>
      </c>
      <c r="B342" s="51" t="s">
        <v>1791</v>
      </c>
      <c r="C342" s="51" t="s">
        <v>389</v>
      </c>
      <c r="D342" s="51" t="s">
        <v>1798</v>
      </c>
      <c r="E342" s="51" t="s">
        <v>1799</v>
      </c>
      <c r="F342" s="18" t="s">
        <v>328</v>
      </c>
      <c r="G342" s="52">
        <v>45926</v>
      </c>
      <c r="H342" s="18" t="s">
        <v>329</v>
      </c>
      <c r="I342" s="53">
        <v>1</v>
      </c>
      <c r="J342" s="54">
        <v>60.1</v>
      </c>
      <c r="K342" s="54">
        <v>300.5</v>
      </c>
      <c r="L342" s="18" t="s">
        <v>330</v>
      </c>
      <c r="M342" s="18" t="s">
        <v>331</v>
      </c>
      <c r="N342" s="55">
        <v>45975</v>
      </c>
      <c r="O342" s="18" t="str">
        <f>IFERROR(VLOOKUP(A342,'[2]RELAÇÃO DE OC''S VMI MEC 030226'!$B:$P,15,FALSE),"-")</f>
        <v>-</v>
      </c>
      <c r="P342" s="56">
        <f t="shared" ca="1" si="16"/>
        <v>101</v>
      </c>
      <c r="Q342" s="18" t="str">
        <f t="shared" ca="1" si="17"/>
        <v>ATRASADO</v>
      </c>
      <c r="R342" s="19" t="s">
        <v>5645</v>
      </c>
    </row>
    <row r="343" spans="1:18" x14ac:dyDescent="0.2">
      <c r="A343" s="18" t="str">
        <f t="shared" si="15"/>
        <v>049636000113.01.00054</v>
      </c>
      <c r="B343" s="51" t="s">
        <v>1804</v>
      </c>
      <c r="C343" s="18" t="s">
        <v>438</v>
      </c>
      <c r="D343" s="51" t="s">
        <v>726</v>
      </c>
      <c r="E343" s="51" t="s">
        <v>727</v>
      </c>
      <c r="F343" s="18" t="s">
        <v>328</v>
      </c>
      <c r="G343" s="52">
        <v>45930</v>
      </c>
      <c r="H343" s="18" t="s">
        <v>329</v>
      </c>
      <c r="I343" s="53">
        <v>4</v>
      </c>
      <c r="J343" s="54">
        <v>7.6</v>
      </c>
      <c r="K343" s="54">
        <v>30.4</v>
      </c>
      <c r="L343" s="18" t="s">
        <v>330</v>
      </c>
      <c r="M343" s="18" t="s">
        <v>331</v>
      </c>
      <c r="N343" s="55">
        <v>46038</v>
      </c>
      <c r="O343" s="18" t="str">
        <f>IFERROR(VLOOKUP(A343,'[2]RELAÇÃO DE OC''S VMI MEC 030226'!$B:$P,15,FALSE),"-")</f>
        <v>-</v>
      </c>
      <c r="P343" s="56">
        <f t="shared" ca="1" si="16"/>
        <v>38</v>
      </c>
      <c r="Q343" s="18" t="str">
        <f t="shared" ca="1" si="17"/>
        <v>ATRASADO</v>
      </c>
      <c r="R343" s="19" t="s">
        <v>5645</v>
      </c>
    </row>
    <row r="344" spans="1:18" x14ac:dyDescent="0.2">
      <c r="A344" s="18" t="str">
        <f t="shared" si="15"/>
        <v>049636000213.03.00005</v>
      </c>
      <c r="B344" s="51" t="s">
        <v>1804</v>
      </c>
      <c r="C344" s="18" t="s">
        <v>416</v>
      </c>
      <c r="D344" s="51" t="s">
        <v>521</v>
      </c>
      <c r="E344" s="51" t="s">
        <v>522</v>
      </c>
      <c r="F344" s="18" t="s">
        <v>328</v>
      </c>
      <c r="G344" s="52">
        <v>45930</v>
      </c>
      <c r="H344" s="18" t="s">
        <v>329</v>
      </c>
      <c r="I344" s="53">
        <v>1</v>
      </c>
      <c r="J344" s="54">
        <v>130.69999999999999</v>
      </c>
      <c r="K344" s="54">
        <v>261.39999999999998</v>
      </c>
      <c r="L344" s="18" t="s">
        <v>330</v>
      </c>
      <c r="M344" s="18" t="s">
        <v>331</v>
      </c>
      <c r="N344" s="55">
        <v>46038</v>
      </c>
      <c r="O344" s="18" t="str">
        <f>IFERROR(VLOOKUP(A344,'[2]RELAÇÃO DE OC''S VMI MEC 030226'!$B:$P,15,FALSE),"-")</f>
        <v>-</v>
      </c>
      <c r="P344" s="56">
        <f t="shared" ca="1" si="16"/>
        <v>38</v>
      </c>
      <c r="Q344" s="18" t="str">
        <f t="shared" ca="1" si="17"/>
        <v>ATRASADO</v>
      </c>
      <c r="R344" s="19" t="s">
        <v>5645</v>
      </c>
    </row>
    <row r="345" spans="1:18" x14ac:dyDescent="0.2">
      <c r="A345" s="18" t="str">
        <f t="shared" si="15"/>
        <v>049636000313.03.00055</v>
      </c>
      <c r="B345" s="51" t="s">
        <v>1804</v>
      </c>
      <c r="C345" s="18" t="s">
        <v>354</v>
      </c>
      <c r="D345" s="51" t="s">
        <v>523</v>
      </c>
      <c r="E345" s="51" t="s">
        <v>524</v>
      </c>
      <c r="F345" s="18" t="s">
        <v>328</v>
      </c>
      <c r="G345" s="52">
        <v>45930</v>
      </c>
      <c r="H345" s="18" t="s">
        <v>329</v>
      </c>
      <c r="I345" s="53">
        <v>4</v>
      </c>
      <c r="J345" s="54">
        <v>74.2</v>
      </c>
      <c r="K345" s="54">
        <v>296.8</v>
      </c>
      <c r="L345" s="18" t="s">
        <v>330</v>
      </c>
      <c r="M345" s="18" t="s">
        <v>331</v>
      </c>
      <c r="N345" s="55">
        <v>46038</v>
      </c>
      <c r="O345" s="18" t="str">
        <f>IFERROR(VLOOKUP(A345,'[2]RELAÇÃO DE OC''S VMI MEC 030226'!$B:$P,15,FALSE),"-")</f>
        <v>-</v>
      </c>
      <c r="P345" s="56">
        <f t="shared" ca="1" si="16"/>
        <v>38</v>
      </c>
      <c r="Q345" s="18" t="str">
        <f t="shared" ca="1" si="17"/>
        <v>ATRASADO</v>
      </c>
      <c r="R345" s="19" t="s">
        <v>5645</v>
      </c>
    </row>
    <row r="346" spans="1:18" ht="53.25" x14ac:dyDescent="0.2">
      <c r="A346" s="18" t="str">
        <f t="shared" si="15"/>
        <v>049636000413.03.00056</v>
      </c>
      <c r="B346" s="51" t="s">
        <v>1804</v>
      </c>
      <c r="C346" s="18" t="s">
        <v>417</v>
      </c>
      <c r="D346" s="51" t="s">
        <v>525</v>
      </c>
      <c r="E346" s="51" t="s">
        <v>526</v>
      </c>
      <c r="F346" s="18" t="s">
        <v>328</v>
      </c>
      <c r="G346" s="52">
        <v>45930</v>
      </c>
      <c r="H346" s="18" t="s">
        <v>329</v>
      </c>
      <c r="I346" s="53">
        <v>4</v>
      </c>
      <c r="J346" s="54">
        <v>142.19999999999999</v>
      </c>
      <c r="K346" s="54">
        <v>568.79999999999995</v>
      </c>
      <c r="L346" s="18" t="s">
        <v>330</v>
      </c>
      <c r="M346" s="18" t="s">
        <v>331</v>
      </c>
      <c r="N346" s="55">
        <v>46038</v>
      </c>
      <c r="O346" s="18" t="str">
        <f>IFERROR(VLOOKUP(A346,'[2]RELAÇÃO DE OC''S VMI MEC 030226'!$B:$P,15,FALSE),"-")</f>
        <v>-</v>
      </c>
      <c r="P346" s="56">
        <f t="shared" ca="1" si="16"/>
        <v>38</v>
      </c>
      <c r="Q346" s="18" t="str">
        <f t="shared" ca="1" si="17"/>
        <v>ATRASADO</v>
      </c>
      <c r="R346" s="19" t="s">
        <v>5656</v>
      </c>
    </row>
    <row r="347" spans="1:18" x14ac:dyDescent="0.2">
      <c r="A347" s="18" t="str">
        <f t="shared" si="15"/>
        <v>049636000513.03.00057</v>
      </c>
      <c r="B347" s="51" t="s">
        <v>1804</v>
      </c>
      <c r="C347" s="18" t="s">
        <v>355</v>
      </c>
      <c r="D347" s="51" t="s">
        <v>119</v>
      </c>
      <c r="E347" s="51" t="s">
        <v>135</v>
      </c>
      <c r="F347" s="18" t="s">
        <v>328</v>
      </c>
      <c r="G347" s="52">
        <v>45930</v>
      </c>
      <c r="H347" s="18" t="s">
        <v>329</v>
      </c>
      <c r="I347" s="53">
        <v>2</v>
      </c>
      <c r="J347" s="54">
        <v>128.54</v>
      </c>
      <c r="K347" s="54">
        <v>514.16</v>
      </c>
      <c r="L347" s="18" t="s">
        <v>330</v>
      </c>
      <c r="M347" s="18" t="s">
        <v>331</v>
      </c>
      <c r="N347" s="55">
        <v>46038</v>
      </c>
      <c r="O347" s="18" t="str">
        <f>IFERROR(VLOOKUP(A347,'[2]RELAÇÃO DE OC''S VMI MEC 030226'!$B:$P,15,FALSE),"-")</f>
        <v>-</v>
      </c>
      <c r="P347" s="56">
        <f t="shared" ca="1" si="16"/>
        <v>38</v>
      </c>
      <c r="Q347" s="18" t="str">
        <f t="shared" ca="1" si="17"/>
        <v>ATRASADO</v>
      </c>
      <c r="R347" s="19" t="s">
        <v>5645</v>
      </c>
    </row>
    <row r="348" spans="1:18" ht="53.25" x14ac:dyDescent="0.2">
      <c r="A348" s="18" t="str">
        <f t="shared" si="15"/>
        <v>049636000613.03.00059</v>
      </c>
      <c r="B348" s="51" t="s">
        <v>1804</v>
      </c>
      <c r="C348" s="18" t="s">
        <v>327</v>
      </c>
      <c r="D348" s="51" t="s">
        <v>527</v>
      </c>
      <c r="E348" s="51" t="s">
        <v>528</v>
      </c>
      <c r="F348" s="18" t="s">
        <v>328</v>
      </c>
      <c r="G348" s="52">
        <v>45930</v>
      </c>
      <c r="H348" s="18" t="s">
        <v>329</v>
      </c>
      <c r="I348" s="53">
        <v>8</v>
      </c>
      <c r="J348" s="54">
        <v>11.1</v>
      </c>
      <c r="K348" s="54">
        <v>88.8</v>
      </c>
      <c r="L348" s="18" t="s">
        <v>330</v>
      </c>
      <c r="M348" s="18" t="s">
        <v>331</v>
      </c>
      <c r="N348" s="55">
        <v>46038</v>
      </c>
      <c r="O348" s="18" t="str">
        <f>IFERROR(VLOOKUP(A348,'[2]RELAÇÃO DE OC''S VMI MEC 030226'!$B:$P,15,FALSE),"-")</f>
        <v>-</v>
      </c>
      <c r="P348" s="56">
        <f t="shared" ca="1" si="16"/>
        <v>38</v>
      </c>
      <c r="Q348" s="18" t="str">
        <f t="shared" ca="1" si="17"/>
        <v>ATRASADO</v>
      </c>
      <c r="R348" s="19" t="s">
        <v>5659</v>
      </c>
    </row>
    <row r="349" spans="1:18" x14ac:dyDescent="0.2">
      <c r="A349" s="18" t="str">
        <f t="shared" si="15"/>
        <v>049636000713.03.00062</v>
      </c>
      <c r="B349" s="51" t="s">
        <v>1804</v>
      </c>
      <c r="C349" s="18" t="s">
        <v>360</v>
      </c>
      <c r="D349" s="51" t="s">
        <v>529</v>
      </c>
      <c r="E349" s="51" t="s">
        <v>530</v>
      </c>
      <c r="F349" s="18" t="s">
        <v>328</v>
      </c>
      <c r="G349" s="52">
        <v>45930</v>
      </c>
      <c r="H349" s="18" t="s">
        <v>329</v>
      </c>
      <c r="I349" s="53">
        <v>2</v>
      </c>
      <c r="J349" s="54">
        <v>145.1</v>
      </c>
      <c r="K349" s="54">
        <v>290.2</v>
      </c>
      <c r="L349" s="18" t="s">
        <v>330</v>
      </c>
      <c r="M349" s="18" t="s">
        <v>331</v>
      </c>
      <c r="N349" s="55">
        <v>46038</v>
      </c>
      <c r="O349" s="18" t="str">
        <f>IFERROR(VLOOKUP(A349,'[2]RELAÇÃO DE OC''S VMI MEC 030226'!$B:$P,15,FALSE),"-")</f>
        <v>-</v>
      </c>
      <c r="P349" s="56">
        <f t="shared" ca="1" si="16"/>
        <v>38</v>
      </c>
      <c r="Q349" s="18" t="str">
        <f t="shared" ca="1" si="17"/>
        <v>ATRASADO</v>
      </c>
      <c r="R349" s="19" t="s">
        <v>5645</v>
      </c>
    </row>
    <row r="350" spans="1:18" x14ac:dyDescent="0.2">
      <c r="A350" s="18" t="str">
        <f t="shared" si="15"/>
        <v>049636000813.03.00065</v>
      </c>
      <c r="B350" s="51" t="s">
        <v>1804</v>
      </c>
      <c r="C350" s="18" t="s">
        <v>361</v>
      </c>
      <c r="D350" s="51" t="s">
        <v>177</v>
      </c>
      <c r="E350" s="51" t="s">
        <v>178</v>
      </c>
      <c r="F350" s="18" t="s">
        <v>328</v>
      </c>
      <c r="G350" s="52">
        <v>45930</v>
      </c>
      <c r="H350" s="18" t="s">
        <v>329</v>
      </c>
      <c r="I350" s="53">
        <v>32</v>
      </c>
      <c r="J350" s="54">
        <v>24.27</v>
      </c>
      <c r="K350" s="54">
        <v>776.64</v>
      </c>
      <c r="L350" s="18" t="s">
        <v>330</v>
      </c>
      <c r="M350" s="18" t="s">
        <v>331</v>
      </c>
      <c r="N350" s="55">
        <v>46038</v>
      </c>
      <c r="O350" s="18" t="str">
        <f>IFERROR(VLOOKUP(A350,'[2]RELAÇÃO DE OC''S VMI MEC 030226'!$B:$P,15,FALSE),"-")</f>
        <v>-</v>
      </c>
      <c r="P350" s="56">
        <f t="shared" ca="1" si="16"/>
        <v>38</v>
      </c>
      <c r="Q350" s="18" t="str">
        <f t="shared" ca="1" si="17"/>
        <v>ATRASADO</v>
      </c>
      <c r="R350" s="19" t="s">
        <v>5645</v>
      </c>
    </row>
    <row r="351" spans="1:18" ht="53.25" x14ac:dyDescent="0.2">
      <c r="A351" s="18" t="str">
        <f t="shared" si="15"/>
        <v>049636001213.03.00081</v>
      </c>
      <c r="B351" s="51" t="s">
        <v>1804</v>
      </c>
      <c r="C351" s="18" t="s">
        <v>362</v>
      </c>
      <c r="D351" s="51" t="s">
        <v>536</v>
      </c>
      <c r="E351" s="51" t="s">
        <v>537</v>
      </c>
      <c r="F351" s="18" t="s">
        <v>328</v>
      </c>
      <c r="G351" s="52">
        <v>45930</v>
      </c>
      <c r="H351" s="18" t="s">
        <v>329</v>
      </c>
      <c r="I351" s="53">
        <v>8</v>
      </c>
      <c r="J351" s="54">
        <v>204.73</v>
      </c>
      <c r="K351" s="54">
        <v>1637.84</v>
      </c>
      <c r="L351" s="18" t="s">
        <v>330</v>
      </c>
      <c r="M351" s="18" t="s">
        <v>331</v>
      </c>
      <c r="N351" s="55">
        <v>46038</v>
      </c>
      <c r="O351" s="18" t="str">
        <f>IFERROR(VLOOKUP(A351,'[2]RELAÇÃO DE OC''S VMI MEC 030226'!$B:$P,15,FALSE),"-")</f>
        <v>-</v>
      </c>
      <c r="P351" s="56">
        <f t="shared" ca="1" si="16"/>
        <v>38</v>
      </c>
      <c r="Q351" s="18" t="str">
        <f t="shared" ca="1" si="17"/>
        <v>ATRASADO</v>
      </c>
      <c r="R351" s="19" t="s">
        <v>5640</v>
      </c>
    </row>
    <row r="352" spans="1:18" x14ac:dyDescent="0.2">
      <c r="A352" s="18" t="str">
        <f t="shared" si="15"/>
        <v>049636001413.03.00110</v>
      </c>
      <c r="B352" s="51" t="s">
        <v>1804</v>
      </c>
      <c r="C352" s="18" t="s">
        <v>388</v>
      </c>
      <c r="D352" s="51" t="s">
        <v>539</v>
      </c>
      <c r="E352" s="51" t="s">
        <v>540</v>
      </c>
      <c r="F352" s="18" t="s">
        <v>328</v>
      </c>
      <c r="G352" s="52">
        <v>45930</v>
      </c>
      <c r="H352" s="18" t="s">
        <v>329</v>
      </c>
      <c r="I352" s="53">
        <v>4</v>
      </c>
      <c r="J352" s="54">
        <v>128.5</v>
      </c>
      <c r="K352" s="54">
        <v>514</v>
      </c>
      <c r="L352" s="18" t="s">
        <v>330</v>
      </c>
      <c r="M352" s="18" t="s">
        <v>331</v>
      </c>
      <c r="N352" s="55">
        <v>46038</v>
      </c>
      <c r="O352" s="18" t="str">
        <f>IFERROR(VLOOKUP(A352,'[2]RELAÇÃO DE OC''S VMI MEC 030226'!$B:$P,15,FALSE),"-")</f>
        <v>-</v>
      </c>
      <c r="P352" s="56">
        <f t="shared" ca="1" si="16"/>
        <v>38</v>
      </c>
      <c r="Q352" s="18" t="str">
        <f t="shared" ca="1" si="17"/>
        <v>ATRASADO</v>
      </c>
      <c r="R352" s="19" t="s">
        <v>5645</v>
      </c>
    </row>
    <row r="353" spans="1:18" x14ac:dyDescent="0.2">
      <c r="A353" s="18" t="str">
        <f t="shared" si="15"/>
        <v>049636001513.03.00111</v>
      </c>
      <c r="B353" s="51" t="s">
        <v>1804</v>
      </c>
      <c r="C353" s="18" t="s">
        <v>439</v>
      </c>
      <c r="D353" s="51" t="s">
        <v>179</v>
      </c>
      <c r="E353" s="51" t="s">
        <v>180</v>
      </c>
      <c r="F353" s="18" t="s">
        <v>328</v>
      </c>
      <c r="G353" s="52">
        <v>45930</v>
      </c>
      <c r="H353" s="18" t="s">
        <v>329</v>
      </c>
      <c r="I353" s="53">
        <v>4</v>
      </c>
      <c r="J353" s="54">
        <v>336.7</v>
      </c>
      <c r="K353" s="54">
        <v>1346.8</v>
      </c>
      <c r="L353" s="18" t="s">
        <v>330</v>
      </c>
      <c r="M353" s="18" t="s">
        <v>331</v>
      </c>
      <c r="N353" s="55">
        <v>46038</v>
      </c>
      <c r="O353" s="18" t="str">
        <f>IFERROR(VLOOKUP(A353,'[2]RELAÇÃO DE OC''S VMI MEC 030226'!$B:$P,15,FALSE),"-")</f>
        <v>-</v>
      </c>
      <c r="P353" s="56">
        <f t="shared" ca="1" si="16"/>
        <v>38</v>
      </c>
      <c r="Q353" s="18" t="str">
        <f t="shared" ca="1" si="17"/>
        <v>ATRASADO</v>
      </c>
      <c r="R353" s="19" t="s">
        <v>5645</v>
      </c>
    </row>
    <row r="354" spans="1:18" ht="53.25" x14ac:dyDescent="0.2">
      <c r="A354" s="18" t="str">
        <f t="shared" si="15"/>
        <v>049636001613.03.00112</v>
      </c>
      <c r="B354" s="51" t="s">
        <v>1804</v>
      </c>
      <c r="C354" s="18" t="s">
        <v>440</v>
      </c>
      <c r="D354" s="51" t="s">
        <v>120</v>
      </c>
      <c r="E354" s="51" t="s">
        <v>136</v>
      </c>
      <c r="F354" s="18" t="s">
        <v>328</v>
      </c>
      <c r="G354" s="52">
        <v>45930</v>
      </c>
      <c r="H354" s="18" t="s">
        <v>329</v>
      </c>
      <c r="I354" s="53">
        <v>4</v>
      </c>
      <c r="J354" s="54">
        <v>24.4</v>
      </c>
      <c r="K354" s="54">
        <v>97.6</v>
      </c>
      <c r="L354" s="18" t="s">
        <v>330</v>
      </c>
      <c r="M354" s="18" t="s">
        <v>331</v>
      </c>
      <c r="N354" s="55">
        <v>46038</v>
      </c>
      <c r="O354" s="18" t="str">
        <f>IFERROR(VLOOKUP(A354,'[2]RELAÇÃO DE OC''S VMI MEC 030226'!$B:$P,15,FALSE),"-")</f>
        <v>-</v>
      </c>
      <c r="P354" s="56">
        <f t="shared" ca="1" si="16"/>
        <v>38</v>
      </c>
      <c r="Q354" s="18" t="str">
        <f t="shared" ca="1" si="17"/>
        <v>ATRASADO</v>
      </c>
      <c r="R354" s="19" t="s">
        <v>5662</v>
      </c>
    </row>
    <row r="355" spans="1:18" x14ac:dyDescent="0.2">
      <c r="A355" s="18" t="str">
        <f t="shared" si="15"/>
        <v>049636001713.03.00123</v>
      </c>
      <c r="B355" s="51" t="s">
        <v>1804</v>
      </c>
      <c r="C355" s="18" t="s">
        <v>351</v>
      </c>
      <c r="D355" s="51" t="s">
        <v>181</v>
      </c>
      <c r="E355" s="51" t="s">
        <v>182</v>
      </c>
      <c r="F355" s="18" t="s">
        <v>328</v>
      </c>
      <c r="G355" s="52">
        <v>45930</v>
      </c>
      <c r="H355" s="18" t="s">
        <v>329</v>
      </c>
      <c r="I355" s="53">
        <v>2</v>
      </c>
      <c r="J355" s="54">
        <v>1516.24</v>
      </c>
      <c r="K355" s="54">
        <v>3032.48</v>
      </c>
      <c r="L355" s="18" t="s">
        <v>330</v>
      </c>
      <c r="M355" s="18" t="s">
        <v>331</v>
      </c>
      <c r="N355" s="55">
        <v>46038</v>
      </c>
      <c r="O355" s="18" t="str">
        <f>IFERROR(VLOOKUP(A355,'[2]RELAÇÃO DE OC''S VMI MEC 030226'!$B:$P,15,FALSE),"-")</f>
        <v>-</v>
      </c>
      <c r="P355" s="56">
        <f t="shared" ca="1" si="16"/>
        <v>38</v>
      </c>
      <c r="Q355" s="18" t="str">
        <f t="shared" ca="1" si="17"/>
        <v>ATRASADO</v>
      </c>
      <c r="R355" s="19" t="s">
        <v>5645</v>
      </c>
    </row>
    <row r="356" spans="1:18" x14ac:dyDescent="0.2">
      <c r="A356" s="18" t="str">
        <f t="shared" si="15"/>
        <v>049636001913.03.00125</v>
      </c>
      <c r="B356" s="51" t="s">
        <v>1804</v>
      </c>
      <c r="C356" s="18" t="s">
        <v>334</v>
      </c>
      <c r="D356" s="51" t="s">
        <v>543</v>
      </c>
      <c r="E356" s="51" t="s">
        <v>544</v>
      </c>
      <c r="F356" s="18" t="s">
        <v>328</v>
      </c>
      <c r="G356" s="52">
        <v>45930</v>
      </c>
      <c r="H356" s="18" t="s">
        <v>329</v>
      </c>
      <c r="I356" s="53">
        <v>2</v>
      </c>
      <c r="J356" s="54">
        <v>665</v>
      </c>
      <c r="K356" s="54">
        <v>1330</v>
      </c>
      <c r="L356" s="18" t="s">
        <v>330</v>
      </c>
      <c r="M356" s="18" t="s">
        <v>331</v>
      </c>
      <c r="N356" s="55">
        <v>46038</v>
      </c>
      <c r="O356" s="18" t="str">
        <f>IFERROR(VLOOKUP(A356,'[2]RELAÇÃO DE OC''S VMI MEC 030226'!$B:$P,15,FALSE),"-")</f>
        <v>-</v>
      </c>
      <c r="P356" s="56">
        <f t="shared" ca="1" si="16"/>
        <v>38</v>
      </c>
      <c r="Q356" s="18" t="str">
        <f t="shared" ca="1" si="17"/>
        <v>ATRASADO</v>
      </c>
      <c r="R356" s="19" t="s">
        <v>5645</v>
      </c>
    </row>
    <row r="357" spans="1:18" x14ac:dyDescent="0.2">
      <c r="A357" s="18" t="str">
        <f t="shared" si="15"/>
        <v>049636002013.03.00143</v>
      </c>
      <c r="B357" s="51" t="s">
        <v>1804</v>
      </c>
      <c r="C357" s="18" t="s">
        <v>418</v>
      </c>
      <c r="D357" s="51" t="s">
        <v>183</v>
      </c>
      <c r="E357" s="51" t="s">
        <v>184</v>
      </c>
      <c r="F357" s="18" t="s">
        <v>328</v>
      </c>
      <c r="G357" s="52">
        <v>45930</v>
      </c>
      <c r="H357" s="18" t="s">
        <v>329</v>
      </c>
      <c r="I357" s="53">
        <v>2</v>
      </c>
      <c r="J357" s="54">
        <v>3194.7</v>
      </c>
      <c r="K357" s="54">
        <v>6389.4</v>
      </c>
      <c r="L357" s="18" t="s">
        <v>330</v>
      </c>
      <c r="M357" s="18" t="s">
        <v>331</v>
      </c>
      <c r="N357" s="55">
        <v>46038</v>
      </c>
      <c r="O357" s="18" t="str">
        <f>IFERROR(VLOOKUP(A357,'[2]RELAÇÃO DE OC''S VMI MEC 030226'!$B:$P,15,FALSE),"-")</f>
        <v>-</v>
      </c>
      <c r="P357" s="56">
        <f t="shared" ca="1" si="16"/>
        <v>38</v>
      </c>
      <c r="Q357" s="18" t="str">
        <f t="shared" ca="1" si="17"/>
        <v>ATRASADO</v>
      </c>
      <c r="R357" s="19" t="s">
        <v>5645</v>
      </c>
    </row>
    <row r="358" spans="1:18" x14ac:dyDescent="0.2">
      <c r="A358" s="18" t="str">
        <f t="shared" si="15"/>
        <v>049636002213.03.00164</v>
      </c>
      <c r="B358" s="51" t="s">
        <v>1804</v>
      </c>
      <c r="C358" s="18" t="s">
        <v>390</v>
      </c>
      <c r="D358" s="51" t="s">
        <v>547</v>
      </c>
      <c r="E358" s="51" t="s">
        <v>548</v>
      </c>
      <c r="F358" s="18" t="s">
        <v>328</v>
      </c>
      <c r="G358" s="52">
        <v>45930</v>
      </c>
      <c r="H358" s="18" t="s">
        <v>329</v>
      </c>
      <c r="I358" s="53">
        <v>2</v>
      </c>
      <c r="J358" s="54">
        <v>487.29</v>
      </c>
      <c r="K358" s="54">
        <v>974.58</v>
      </c>
      <c r="L358" s="18" t="s">
        <v>330</v>
      </c>
      <c r="M358" s="18" t="s">
        <v>331</v>
      </c>
      <c r="N358" s="55">
        <v>46038</v>
      </c>
      <c r="O358" s="18" t="str">
        <f>IFERROR(VLOOKUP(A358,'[2]RELAÇÃO DE OC''S VMI MEC 030226'!$B:$P,15,FALSE),"-")</f>
        <v>-</v>
      </c>
      <c r="P358" s="56">
        <f t="shared" ca="1" si="16"/>
        <v>38</v>
      </c>
      <c r="Q358" s="18" t="str">
        <f t="shared" ca="1" si="17"/>
        <v>ATRASADO</v>
      </c>
      <c r="R358" s="19" t="s">
        <v>5645</v>
      </c>
    </row>
    <row r="359" spans="1:18" x14ac:dyDescent="0.2">
      <c r="A359" s="18" t="str">
        <f t="shared" si="15"/>
        <v>049636002313.03.00165</v>
      </c>
      <c r="B359" s="51" t="s">
        <v>1804</v>
      </c>
      <c r="C359" s="18" t="s">
        <v>364</v>
      </c>
      <c r="D359" s="51" t="s">
        <v>549</v>
      </c>
      <c r="E359" s="51" t="s">
        <v>550</v>
      </c>
      <c r="F359" s="18" t="s">
        <v>328</v>
      </c>
      <c r="G359" s="52">
        <v>45930</v>
      </c>
      <c r="H359" s="18" t="s">
        <v>329</v>
      </c>
      <c r="I359" s="53">
        <v>2</v>
      </c>
      <c r="J359" s="54">
        <v>5147.33</v>
      </c>
      <c r="K359" s="54">
        <v>10294.66</v>
      </c>
      <c r="L359" s="18" t="s">
        <v>330</v>
      </c>
      <c r="M359" s="18" t="s">
        <v>331</v>
      </c>
      <c r="N359" s="55">
        <v>46038</v>
      </c>
      <c r="O359" s="18" t="str">
        <f>IFERROR(VLOOKUP(A359,'[2]RELAÇÃO DE OC''S VMI MEC 030226'!$B:$P,15,FALSE),"-")</f>
        <v>-</v>
      </c>
      <c r="P359" s="56">
        <f t="shared" ca="1" si="16"/>
        <v>38</v>
      </c>
      <c r="Q359" s="18" t="str">
        <f t="shared" ca="1" si="17"/>
        <v>ATRASADO</v>
      </c>
      <c r="R359" s="19" t="s">
        <v>5645</v>
      </c>
    </row>
    <row r="360" spans="1:18" x14ac:dyDescent="0.2">
      <c r="A360" s="18" t="str">
        <f t="shared" si="15"/>
        <v>049636002413.03.00166</v>
      </c>
      <c r="B360" s="51" t="s">
        <v>1804</v>
      </c>
      <c r="C360" s="18" t="s">
        <v>365</v>
      </c>
      <c r="D360" s="51" t="s">
        <v>185</v>
      </c>
      <c r="E360" s="51" t="s">
        <v>186</v>
      </c>
      <c r="F360" s="18" t="s">
        <v>328</v>
      </c>
      <c r="G360" s="52">
        <v>45930</v>
      </c>
      <c r="H360" s="18" t="s">
        <v>329</v>
      </c>
      <c r="I360" s="53">
        <v>2</v>
      </c>
      <c r="J360" s="54">
        <v>1418.87</v>
      </c>
      <c r="K360" s="54">
        <v>2837.74</v>
      </c>
      <c r="L360" s="18" t="s">
        <v>330</v>
      </c>
      <c r="M360" s="18" t="s">
        <v>331</v>
      </c>
      <c r="N360" s="55">
        <v>46038</v>
      </c>
      <c r="O360" s="18" t="str">
        <f>IFERROR(VLOOKUP(A360,'[2]RELAÇÃO DE OC''S VMI MEC 030226'!$B:$P,15,FALSE),"-")</f>
        <v>-</v>
      </c>
      <c r="P360" s="56">
        <f t="shared" ca="1" si="16"/>
        <v>38</v>
      </c>
      <c r="Q360" s="18" t="str">
        <f t="shared" ca="1" si="17"/>
        <v>ATRASADO</v>
      </c>
      <c r="R360" s="19" t="s">
        <v>5645</v>
      </c>
    </row>
    <row r="361" spans="1:18" x14ac:dyDescent="0.2">
      <c r="A361" s="18" t="str">
        <f t="shared" si="15"/>
        <v>049636002513.03.00167</v>
      </c>
      <c r="B361" s="51" t="s">
        <v>1804</v>
      </c>
      <c r="C361" s="18" t="s">
        <v>441</v>
      </c>
      <c r="D361" s="51" t="s">
        <v>187</v>
      </c>
      <c r="E361" s="51" t="s">
        <v>188</v>
      </c>
      <c r="F361" s="18" t="s">
        <v>328</v>
      </c>
      <c r="G361" s="52">
        <v>45930</v>
      </c>
      <c r="H361" s="18" t="s">
        <v>329</v>
      </c>
      <c r="I361" s="53">
        <v>8</v>
      </c>
      <c r="J361" s="54">
        <v>61.2</v>
      </c>
      <c r="K361" s="54">
        <v>489.6</v>
      </c>
      <c r="L361" s="18" t="s">
        <v>330</v>
      </c>
      <c r="M361" s="18" t="s">
        <v>331</v>
      </c>
      <c r="N361" s="55">
        <v>46038</v>
      </c>
      <c r="O361" s="18" t="str">
        <f>IFERROR(VLOOKUP(A361,'[2]RELAÇÃO DE OC''S VMI MEC 030226'!$B:$P,15,FALSE),"-")</f>
        <v>-</v>
      </c>
      <c r="P361" s="56">
        <f t="shared" ca="1" si="16"/>
        <v>38</v>
      </c>
      <c r="Q361" s="18" t="str">
        <f t="shared" ca="1" si="17"/>
        <v>ATRASADO</v>
      </c>
      <c r="R361" s="19" t="s">
        <v>5645</v>
      </c>
    </row>
    <row r="362" spans="1:18" x14ac:dyDescent="0.2">
      <c r="A362" s="18" t="str">
        <f t="shared" si="15"/>
        <v>049636002713.03.00186</v>
      </c>
      <c r="B362" s="51" t="s">
        <v>1804</v>
      </c>
      <c r="C362" s="18" t="s">
        <v>367</v>
      </c>
      <c r="D362" s="51" t="s">
        <v>553</v>
      </c>
      <c r="E362" s="51" t="s">
        <v>554</v>
      </c>
      <c r="F362" s="18" t="s">
        <v>328</v>
      </c>
      <c r="G362" s="52">
        <v>45930</v>
      </c>
      <c r="H362" s="18" t="s">
        <v>329</v>
      </c>
      <c r="I362" s="53">
        <v>10</v>
      </c>
      <c r="J362" s="54">
        <v>8.5</v>
      </c>
      <c r="K362" s="54">
        <v>85</v>
      </c>
      <c r="L362" s="18" t="s">
        <v>330</v>
      </c>
      <c r="M362" s="18" t="s">
        <v>331</v>
      </c>
      <c r="N362" s="55">
        <v>46038</v>
      </c>
      <c r="O362" s="18" t="str">
        <f>IFERROR(VLOOKUP(A362,'[2]RELAÇÃO DE OC''S VMI MEC 030226'!$B:$P,15,FALSE),"-")</f>
        <v>-</v>
      </c>
      <c r="P362" s="56">
        <f t="shared" ca="1" si="16"/>
        <v>38</v>
      </c>
      <c r="Q362" s="18" t="str">
        <f t="shared" ca="1" si="17"/>
        <v>ATRASADO</v>
      </c>
      <c r="R362" s="19" t="s">
        <v>5645</v>
      </c>
    </row>
    <row r="363" spans="1:18" ht="53.25" x14ac:dyDescent="0.2">
      <c r="A363" s="18" t="str">
        <f t="shared" si="15"/>
        <v>049636003113.03.00212</v>
      </c>
      <c r="B363" s="51" t="s">
        <v>1804</v>
      </c>
      <c r="C363" s="18" t="s">
        <v>393</v>
      </c>
      <c r="D363" s="51" t="s">
        <v>189</v>
      </c>
      <c r="E363" s="51" t="s">
        <v>190</v>
      </c>
      <c r="F363" s="18" t="s">
        <v>328</v>
      </c>
      <c r="G363" s="52">
        <v>45930</v>
      </c>
      <c r="H363" s="18" t="s">
        <v>329</v>
      </c>
      <c r="I363" s="53">
        <v>2</v>
      </c>
      <c r="J363" s="54">
        <v>394.16</v>
      </c>
      <c r="K363" s="54">
        <v>788.32</v>
      </c>
      <c r="L363" s="18" t="s">
        <v>330</v>
      </c>
      <c r="M363" s="18" t="s">
        <v>331</v>
      </c>
      <c r="N363" s="55">
        <v>46038</v>
      </c>
      <c r="O363" s="18" t="str">
        <f>IFERROR(VLOOKUP(A363,'[2]RELAÇÃO DE OC''S VMI MEC 030226'!$B:$P,15,FALSE),"-")</f>
        <v>-</v>
      </c>
      <c r="P363" s="56">
        <f t="shared" ca="1" si="16"/>
        <v>38</v>
      </c>
      <c r="Q363" s="18" t="str">
        <f t="shared" ca="1" si="17"/>
        <v>ATRASADO</v>
      </c>
      <c r="R363" s="19" t="s">
        <v>5663</v>
      </c>
    </row>
    <row r="364" spans="1:18" ht="53.25" x14ac:dyDescent="0.2">
      <c r="A364" s="18" t="str">
        <f t="shared" si="15"/>
        <v>049636003213.03.00215</v>
      </c>
      <c r="B364" s="51" t="s">
        <v>1804</v>
      </c>
      <c r="C364" s="18" t="s">
        <v>420</v>
      </c>
      <c r="D364" s="51" t="s">
        <v>191</v>
      </c>
      <c r="E364" s="51" t="s">
        <v>192</v>
      </c>
      <c r="F364" s="18" t="s">
        <v>328</v>
      </c>
      <c r="G364" s="52">
        <v>45930</v>
      </c>
      <c r="H364" s="18" t="s">
        <v>329</v>
      </c>
      <c r="I364" s="53">
        <v>2</v>
      </c>
      <c r="J364" s="54">
        <v>441</v>
      </c>
      <c r="K364" s="54">
        <v>882</v>
      </c>
      <c r="L364" s="18" t="s">
        <v>330</v>
      </c>
      <c r="M364" s="18" t="s">
        <v>331</v>
      </c>
      <c r="N364" s="55">
        <v>46038</v>
      </c>
      <c r="O364" s="18" t="str">
        <f>IFERROR(VLOOKUP(A364,'[2]RELAÇÃO DE OC''S VMI MEC 030226'!$B:$P,15,FALSE),"-")</f>
        <v>-</v>
      </c>
      <c r="P364" s="56">
        <f t="shared" ca="1" si="16"/>
        <v>38</v>
      </c>
      <c r="Q364" s="18" t="str">
        <f t="shared" ca="1" si="17"/>
        <v>ATRASADO</v>
      </c>
      <c r="R364" s="19" t="s">
        <v>5657</v>
      </c>
    </row>
    <row r="365" spans="1:18" ht="42.75" x14ac:dyDescent="0.2">
      <c r="A365" s="18" t="str">
        <f t="shared" si="15"/>
        <v>049636003413.03.00227</v>
      </c>
      <c r="B365" s="51" t="s">
        <v>1804</v>
      </c>
      <c r="C365" s="18" t="s">
        <v>356</v>
      </c>
      <c r="D365" s="51" t="s">
        <v>563</v>
      </c>
      <c r="E365" s="51" t="s">
        <v>564</v>
      </c>
      <c r="F365" s="18" t="s">
        <v>328</v>
      </c>
      <c r="G365" s="52">
        <v>45930</v>
      </c>
      <c r="H365" s="18" t="s">
        <v>329</v>
      </c>
      <c r="I365" s="53">
        <v>2</v>
      </c>
      <c r="J365" s="54">
        <v>36.799999999999997</v>
      </c>
      <c r="K365" s="54">
        <v>73.599999999999994</v>
      </c>
      <c r="L365" s="18" t="s">
        <v>330</v>
      </c>
      <c r="M365" s="18" t="s">
        <v>331</v>
      </c>
      <c r="N365" s="55">
        <v>46038</v>
      </c>
      <c r="O365" s="18" t="str">
        <f>IFERROR(VLOOKUP(A365,'[2]RELAÇÃO DE OC''S VMI MEC 030226'!$B:$P,15,FALSE),"-")</f>
        <v>-</v>
      </c>
      <c r="P365" s="56">
        <f t="shared" ca="1" si="16"/>
        <v>38</v>
      </c>
      <c r="Q365" s="18" t="str">
        <f t="shared" ca="1" si="17"/>
        <v>ATRASADO</v>
      </c>
      <c r="R365" s="19" t="s">
        <v>5664</v>
      </c>
    </row>
    <row r="366" spans="1:18" ht="53.25" x14ac:dyDescent="0.2">
      <c r="A366" s="18" t="str">
        <f t="shared" si="15"/>
        <v>049636003621.23.00197</v>
      </c>
      <c r="B366" s="51" t="s">
        <v>1804</v>
      </c>
      <c r="C366" s="18" t="s">
        <v>357</v>
      </c>
      <c r="D366" s="51" t="s">
        <v>195</v>
      </c>
      <c r="E366" s="51" t="s">
        <v>196</v>
      </c>
      <c r="F366" s="18" t="s">
        <v>328</v>
      </c>
      <c r="G366" s="52">
        <v>45930</v>
      </c>
      <c r="H366" s="18" t="s">
        <v>329</v>
      </c>
      <c r="I366" s="53">
        <v>4</v>
      </c>
      <c r="J366" s="54">
        <v>25</v>
      </c>
      <c r="K366" s="54">
        <v>100</v>
      </c>
      <c r="L366" s="18" t="s">
        <v>330</v>
      </c>
      <c r="M366" s="18" t="s">
        <v>331</v>
      </c>
      <c r="N366" s="55">
        <v>46038</v>
      </c>
      <c r="O366" s="18" t="str">
        <f>IFERROR(VLOOKUP(A366,'[2]RELAÇÃO DE OC''S VMI MEC 030226'!$B:$P,15,FALSE),"-")</f>
        <v>-</v>
      </c>
      <c r="P366" s="56">
        <f t="shared" ca="1" si="16"/>
        <v>38</v>
      </c>
      <c r="Q366" s="18" t="str">
        <f t="shared" ca="1" si="17"/>
        <v>ATRASADO</v>
      </c>
      <c r="R366" s="19" t="s">
        <v>5665</v>
      </c>
    </row>
    <row r="367" spans="1:18" x14ac:dyDescent="0.2">
      <c r="A367" s="18" t="str">
        <f t="shared" si="15"/>
        <v>049636003721.23.00198</v>
      </c>
      <c r="B367" s="51" t="s">
        <v>1804</v>
      </c>
      <c r="C367" s="18" t="s">
        <v>352</v>
      </c>
      <c r="D367" s="51" t="s">
        <v>197</v>
      </c>
      <c r="E367" s="51" t="s">
        <v>198</v>
      </c>
      <c r="F367" s="18" t="s">
        <v>328</v>
      </c>
      <c r="G367" s="52">
        <v>45930</v>
      </c>
      <c r="H367" s="18" t="s">
        <v>329</v>
      </c>
      <c r="I367" s="53">
        <v>2</v>
      </c>
      <c r="J367" s="54">
        <v>77</v>
      </c>
      <c r="K367" s="54">
        <v>154</v>
      </c>
      <c r="L367" s="18" t="s">
        <v>330</v>
      </c>
      <c r="M367" s="18" t="s">
        <v>331</v>
      </c>
      <c r="N367" s="55">
        <v>46038</v>
      </c>
      <c r="O367" s="18" t="str">
        <f>IFERROR(VLOOKUP(A367,'[2]RELAÇÃO DE OC''S VMI MEC 030226'!$B:$P,15,FALSE),"-")</f>
        <v>-</v>
      </c>
      <c r="P367" s="56">
        <f t="shared" ca="1" si="16"/>
        <v>38</v>
      </c>
      <c r="Q367" s="18" t="str">
        <f t="shared" ca="1" si="17"/>
        <v>ATRASADO</v>
      </c>
      <c r="R367" s="19" t="s">
        <v>5645</v>
      </c>
    </row>
    <row r="368" spans="1:18" ht="53.25" x14ac:dyDescent="0.2">
      <c r="A368" s="18" t="str">
        <f t="shared" si="15"/>
        <v>049636003821.23.00201</v>
      </c>
      <c r="B368" s="51" t="s">
        <v>1804</v>
      </c>
      <c r="C368" s="18" t="s">
        <v>395</v>
      </c>
      <c r="D368" s="51" t="s">
        <v>565</v>
      </c>
      <c r="E368" s="51" t="s">
        <v>566</v>
      </c>
      <c r="F368" s="18" t="s">
        <v>328</v>
      </c>
      <c r="G368" s="52">
        <v>45930</v>
      </c>
      <c r="H368" s="18" t="s">
        <v>329</v>
      </c>
      <c r="I368" s="53">
        <v>2</v>
      </c>
      <c r="J368" s="54">
        <v>79.7</v>
      </c>
      <c r="K368" s="54">
        <v>159.4</v>
      </c>
      <c r="L368" s="18" t="s">
        <v>330</v>
      </c>
      <c r="M368" s="18" t="s">
        <v>331</v>
      </c>
      <c r="N368" s="55">
        <v>46038</v>
      </c>
      <c r="O368" s="18" t="str">
        <f>IFERROR(VLOOKUP(A368,'[2]RELAÇÃO DE OC''S VMI MEC 030226'!$B:$P,15,FALSE),"-")</f>
        <v>-</v>
      </c>
      <c r="P368" s="56">
        <f t="shared" ca="1" si="16"/>
        <v>38</v>
      </c>
      <c r="Q368" s="18" t="str">
        <f t="shared" ca="1" si="17"/>
        <v>ATRASADO</v>
      </c>
      <c r="R368" s="19" t="s">
        <v>5666</v>
      </c>
    </row>
    <row r="369" spans="1:18" ht="53.25" x14ac:dyDescent="0.2">
      <c r="A369" s="18" t="str">
        <f t="shared" si="15"/>
        <v>049636004021.23.00204</v>
      </c>
      <c r="B369" s="51" t="s">
        <v>1804</v>
      </c>
      <c r="C369" s="18" t="s">
        <v>397</v>
      </c>
      <c r="D369" s="51" t="s">
        <v>569</v>
      </c>
      <c r="E369" s="51" t="s">
        <v>570</v>
      </c>
      <c r="F369" s="18" t="s">
        <v>328</v>
      </c>
      <c r="G369" s="52">
        <v>45930</v>
      </c>
      <c r="H369" s="18" t="s">
        <v>329</v>
      </c>
      <c r="I369" s="53">
        <v>2</v>
      </c>
      <c r="J369" s="54">
        <v>61.86</v>
      </c>
      <c r="K369" s="54">
        <v>123.72</v>
      </c>
      <c r="L369" s="18" t="s">
        <v>330</v>
      </c>
      <c r="M369" s="18" t="s">
        <v>331</v>
      </c>
      <c r="N369" s="55">
        <v>46038</v>
      </c>
      <c r="O369" s="18" t="str">
        <f>IFERROR(VLOOKUP(A369,'[2]RELAÇÃO DE OC''S VMI MEC 030226'!$B:$P,15,FALSE),"-")</f>
        <v>-</v>
      </c>
      <c r="P369" s="56">
        <f t="shared" ca="1" si="16"/>
        <v>38</v>
      </c>
      <c r="Q369" s="18" t="str">
        <f t="shared" ca="1" si="17"/>
        <v>ATRASADO</v>
      </c>
      <c r="R369" s="19" t="s">
        <v>5666</v>
      </c>
    </row>
    <row r="370" spans="1:18" ht="42.75" x14ac:dyDescent="0.2">
      <c r="A370" s="18" t="str">
        <f t="shared" si="15"/>
        <v>049636004121.23.00211</v>
      </c>
      <c r="B370" s="51" t="s">
        <v>1804</v>
      </c>
      <c r="C370" s="18" t="s">
        <v>398</v>
      </c>
      <c r="D370" s="51" t="s">
        <v>571</v>
      </c>
      <c r="E370" s="51" t="s">
        <v>572</v>
      </c>
      <c r="F370" s="18" t="s">
        <v>328</v>
      </c>
      <c r="G370" s="52">
        <v>45930</v>
      </c>
      <c r="H370" s="18" t="s">
        <v>329</v>
      </c>
      <c r="I370" s="53">
        <v>2</v>
      </c>
      <c r="J370" s="54">
        <v>87.4</v>
      </c>
      <c r="K370" s="54">
        <v>174.8</v>
      </c>
      <c r="L370" s="18" t="s">
        <v>330</v>
      </c>
      <c r="M370" s="18" t="s">
        <v>331</v>
      </c>
      <c r="N370" s="55">
        <v>46038</v>
      </c>
      <c r="O370" s="18" t="str">
        <f>IFERROR(VLOOKUP(A370,'[2]RELAÇÃO DE OC''S VMI MEC 030226'!$B:$P,15,FALSE),"-")</f>
        <v>-</v>
      </c>
      <c r="P370" s="56">
        <f t="shared" ca="1" si="16"/>
        <v>38</v>
      </c>
      <c r="Q370" s="18" t="str">
        <f t="shared" ca="1" si="17"/>
        <v>ATRASADO</v>
      </c>
      <c r="R370" s="19" t="s">
        <v>5667</v>
      </c>
    </row>
    <row r="371" spans="1:18" x14ac:dyDescent="0.2">
      <c r="A371" s="18" t="str">
        <f t="shared" si="15"/>
        <v>049636004321.23.00213</v>
      </c>
      <c r="B371" s="51" t="s">
        <v>1804</v>
      </c>
      <c r="C371" s="18" t="s">
        <v>369</v>
      </c>
      <c r="D371" s="51" t="s">
        <v>199</v>
      </c>
      <c r="E371" s="51" t="s">
        <v>200</v>
      </c>
      <c r="F371" s="18" t="s">
        <v>328</v>
      </c>
      <c r="G371" s="52">
        <v>45930</v>
      </c>
      <c r="H371" s="18" t="s">
        <v>329</v>
      </c>
      <c r="I371" s="53">
        <v>2</v>
      </c>
      <c r="J371" s="54">
        <v>402.5</v>
      </c>
      <c r="K371" s="54">
        <v>805</v>
      </c>
      <c r="L371" s="18" t="s">
        <v>330</v>
      </c>
      <c r="M371" s="18" t="s">
        <v>331</v>
      </c>
      <c r="N371" s="55">
        <v>46038</v>
      </c>
      <c r="O371" s="18" t="str">
        <f>IFERROR(VLOOKUP(A371,'[2]RELAÇÃO DE OC''S VMI MEC 030226'!$B:$P,15,FALSE),"-")</f>
        <v>-</v>
      </c>
      <c r="P371" s="56">
        <f t="shared" ca="1" si="16"/>
        <v>38</v>
      </c>
      <c r="Q371" s="18" t="str">
        <f t="shared" ca="1" si="17"/>
        <v>ATRASADO</v>
      </c>
      <c r="R371" s="19" t="s">
        <v>5645</v>
      </c>
    </row>
    <row r="372" spans="1:18" x14ac:dyDescent="0.2">
      <c r="A372" s="18" t="str">
        <f t="shared" si="15"/>
        <v>049636004421.23.00215</v>
      </c>
      <c r="B372" s="51" t="s">
        <v>1804</v>
      </c>
      <c r="C372" s="18" t="s">
        <v>399</v>
      </c>
      <c r="D372" s="51" t="s">
        <v>575</v>
      </c>
      <c r="E372" s="51" t="s">
        <v>576</v>
      </c>
      <c r="F372" s="18" t="s">
        <v>328</v>
      </c>
      <c r="G372" s="52">
        <v>45930</v>
      </c>
      <c r="H372" s="18" t="s">
        <v>329</v>
      </c>
      <c r="I372" s="53">
        <v>2</v>
      </c>
      <c r="J372" s="54">
        <v>113.63</v>
      </c>
      <c r="K372" s="54">
        <v>227.26</v>
      </c>
      <c r="L372" s="18" t="s">
        <v>330</v>
      </c>
      <c r="M372" s="18" t="s">
        <v>331</v>
      </c>
      <c r="N372" s="55">
        <v>46038</v>
      </c>
      <c r="O372" s="18" t="str">
        <f>IFERROR(VLOOKUP(A372,'[2]RELAÇÃO DE OC''S VMI MEC 030226'!$B:$P,15,FALSE),"-")</f>
        <v>-</v>
      </c>
      <c r="P372" s="56">
        <f t="shared" ca="1" si="16"/>
        <v>38</v>
      </c>
      <c r="Q372" s="18" t="str">
        <f t="shared" ca="1" si="17"/>
        <v>ATRASADO</v>
      </c>
      <c r="R372" s="19" t="s">
        <v>5645</v>
      </c>
    </row>
    <row r="373" spans="1:18" x14ac:dyDescent="0.2">
      <c r="A373" s="18" t="str">
        <f t="shared" si="15"/>
        <v>049636004521.23.00221</v>
      </c>
      <c r="B373" s="51" t="s">
        <v>1804</v>
      </c>
      <c r="C373" s="18" t="s">
        <v>370</v>
      </c>
      <c r="D373" s="51" t="s">
        <v>201</v>
      </c>
      <c r="E373" s="51" t="s">
        <v>202</v>
      </c>
      <c r="F373" s="18" t="s">
        <v>328</v>
      </c>
      <c r="G373" s="52">
        <v>45930</v>
      </c>
      <c r="H373" s="18" t="s">
        <v>329</v>
      </c>
      <c r="I373" s="53">
        <v>1</v>
      </c>
      <c r="J373" s="54">
        <v>95.1</v>
      </c>
      <c r="K373" s="54">
        <v>380.4</v>
      </c>
      <c r="L373" s="18" t="s">
        <v>330</v>
      </c>
      <c r="M373" s="18" t="s">
        <v>331</v>
      </c>
      <c r="N373" s="55">
        <v>46038</v>
      </c>
      <c r="O373" s="18" t="str">
        <f>IFERROR(VLOOKUP(A373,'[2]RELAÇÃO DE OC''S VMI MEC 030226'!$B:$P,15,FALSE),"-")</f>
        <v>-</v>
      </c>
      <c r="P373" s="56">
        <f t="shared" ca="1" si="16"/>
        <v>38</v>
      </c>
      <c r="Q373" s="18" t="str">
        <f t="shared" ca="1" si="17"/>
        <v>ATRASADO</v>
      </c>
      <c r="R373" s="19" t="s">
        <v>5645</v>
      </c>
    </row>
    <row r="374" spans="1:18" x14ac:dyDescent="0.2">
      <c r="A374" s="18" t="str">
        <f t="shared" si="15"/>
        <v>049636004621.23.00222</v>
      </c>
      <c r="B374" s="51" t="s">
        <v>1804</v>
      </c>
      <c r="C374" s="18" t="s">
        <v>358</v>
      </c>
      <c r="D374" s="51" t="s">
        <v>203</v>
      </c>
      <c r="E374" s="51" t="s">
        <v>204</v>
      </c>
      <c r="F374" s="18" t="s">
        <v>328</v>
      </c>
      <c r="G374" s="52">
        <v>45930</v>
      </c>
      <c r="H374" s="18" t="s">
        <v>329</v>
      </c>
      <c r="I374" s="53">
        <v>8</v>
      </c>
      <c r="J374" s="54">
        <v>125.46</v>
      </c>
      <c r="K374" s="54">
        <v>1003.68</v>
      </c>
      <c r="L374" s="18" t="s">
        <v>330</v>
      </c>
      <c r="M374" s="18" t="s">
        <v>331</v>
      </c>
      <c r="N374" s="55">
        <v>46038</v>
      </c>
      <c r="O374" s="18" t="str">
        <f>IFERROR(VLOOKUP(A374,'[2]RELAÇÃO DE OC''S VMI MEC 030226'!$B:$P,15,FALSE),"-")</f>
        <v>-</v>
      </c>
      <c r="P374" s="56">
        <f t="shared" ca="1" si="16"/>
        <v>38</v>
      </c>
      <c r="Q374" s="18" t="str">
        <f t="shared" ca="1" si="17"/>
        <v>ATRASADO</v>
      </c>
      <c r="R374" s="19" t="s">
        <v>5645</v>
      </c>
    </row>
    <row r="375" spans="1:18" x14ac:dyDescent="0.2">
      <c r="A375" s="18" t="str">
        <f t="shared" si="15"/>
        <v>049636004721.23.00224</v>
      </c>
      <c r="B375" s="51" t="s">
        <v>1804</v>
      </c>
      <c r="C375" s="18" t="s">
        <v>371</v>
      </c>
      <c r="D375" s="51" t="s">
        <v>577</v>
      </c>
      <c r="E375" s="51" t="s">
        <v>578</v>
      </c>
      <c r="F375" s="18" t="s">
        <v>328</v>
      </c>
      <c r="G375" s="52">
        <v>45930</v>
      </c>
      <c r="H375" s="18" t="s">
        <v>329</v>
      </c>
      <c r="I375" s="53">
        <v>1</v>
      </c>
      <c r="J375" s="54">
        <v>1822.5</v>
      </c>
      <c r="K375" s="54">
        <v>1822.5</v>
      </c>
      <c r="L375" s="18" t="s">
        <v>330</v>
      </c>
      <c r="M375" s="18" t="s">
        <v>331</v>
      </c>
      <c r="N375" s="55">
        <v>46038</v>
      </c>
      <c r="O375" s="18" t="str">
        <f>IFERROR(VLOOKUP(A375,'[2]RELAÇÃO DE OC''S VMI MEC 030226'!$B:$P,15,FALSE),"-")</f>
        <v>-</v>
      </c>
      <c r="P375" s="56">
        <f t="shared" ca="1" si="16"/>
        <v>38</v>
      </c>
      <c r="Q375" s="18" t="str">
        <f t="shared" ca="1" si="17"/>
        <v>ATRASADO</v>
      </c>
      <c r="R375" s="19" t="s">
        <v>5645</v>
      </c>
    </row>
    <row r="376" spans="1:18" x14ac:dyDescent="0.2">
      <c r="A376" s="18" t="str">
        <f t="shared" si="15"/>
        <v>049636004821.23.00225</v>
      </c>
      <c r="B376" s="51" t="s">
        <v>1804</v>
      </c>
      <c r="C376" s="18" t="s">
        <v>400</v>
      </c>
      <c r="D376" s="51" t="s">
        <v>579</v>
      </c>
      <c r="E376" s="51" t="s">
        <v>580</v>
      </c>
      <c r="F376" s="18" t="s">
        <v>328</v>
      </c>
      <c r="G376" s="52">
        <v>45930</v>
      </c>
      <c r="H376" s="18" t="s">
        <v>329</v>
      </c>
      <c r="I376" s="53">
        <v>2</v>
      </c>
      <c r="J376" s="54">
        <v>109.17</v>
      </c>
      <c r="K376" s="54">
        <v>218.34</v>
      </c>
      <c r="L376" s="18" t="s">
        <v>330</v>
      </c>
      <c r="M376" s="18" t="s">
        <v>331</v>
      </c>
      <c r="N376" s="55">
        <v>46038</v>
      </c>
      <c r="O376" s="18" t="str">
        <f>IFERROR(VLOOKUP(A376,'[2]RELAÇÃO DE OC''S VMI MEC 030226'!$B:$P,15,FALSE),"-")</f>
        <v>-</v>
      </c>
      <c r="P376" s="56">
        <f t="shared" ca="1" si="16"/>
        <v>38</v>
      </c>
      <c r="Q376" s="18" t="str">
        <f t="shared" ca="1" si="17"/>
        <v>ATRASADO</v>
      </c>
      <c r="R376" s="19" t="s">
        <v>5645</v>
      </c>
    </row>
    <row r="377" spans="1:18" x14ac:dyDescent="0.2">
      <c r="A377" s="18" t="str">
        <f t="shared" si="15"/>
        <v>049636004921.23.00226</v>
      </c>
      <c r="B377" s="51" t="s">
        <v>1804</v>
      </c>
      <c r="C377" s="18" t="s">
        <v>372</v>
      </c>
      <c r="D377" s="51" t="s">
        <v>581</v>
      </c>
      <c r="E377" s="51" t="s">
        <v>582</v>
      </c>
      <c r="F377" s="18" t="s">
        <v>328</v>
      </c>
      <c r="G377" s="52">
        <v>45930</v>
      </c>
      <c r="H377" s="18" t="s">
        <v>329</v>
      </c>
      <c r="I377" s="53">
        <v>2</v>
      </c>
      <c r="J377" s="54">
        <v>2641.78</v>
      </c>
      <c r="K377" s="54">
        <v>5283.56</v>
      </c>
      <c r="L377" s="18" t="s">
        <v>330</v>
      </c>
      <c r="M377" s="18" t="s">
        <v>331</v>
      </c>
      <c r="N377" s="55">
        <v>46038</v>
      </c>
      <c r="O377" s="18" t="str">
        <f>IFERROR(VLOOKUP(A377,'[2]RELAÇÃO DE OC''S VMI MEC 030226'!$B:$P,15,FALSE),"-")</f>
        <v>-</v>
      </c>
      <c r="P377" s="56">
        <f t="shared" ca="1" si="16"/>
        <v>38</v>
      </c>
      <c r="Q377" s="18" t="str">
        <f t="shared" ca="1" si="17"/>
        <v>ATRASADO</v>
      </c>
      <c r="R377" s="19" t="s">
        <v>5645</v>
      </c>
    </row>
    <row r="378" spans="1:18" x14ac:dyDescent="0.2">
      <c r="A378" s="18" t="str">
        <f t="shared" si="15"/>
        <v>049636005021.23.00233</v>
      </c>
      <c r="B378" s="51" t="s">
        <v>1804</v>
      </c>
      <c r="C378" s="18" t="s">
        <v>373</v>
      </c>
      <c r="D378" s="51" t="s">
        <v>583</v>
      </c>
      <c r="E378" s="51" t="s">
        <v>584</v>
      </c>
      <c r="F378" s="18" t="s">
        <v>328</v>
      </c>
      <c r="G378" s="52">
        <v>45930</v>
      </c>
      <c r="H378" s="18" t="s">
        <v>329</v>
      </c>
      <c r="I378" s="53">
        <v>2</v>
      </c>
      <c r="J378" s="54">
        <v>3436.99</v>
      </c>
      <c r="K378" s="54">
        <v>6873.98</v>
      </c>
      <c r="L378" s="18" t="s">
        <v>330</v>
      </c>
      <c r="M378" s="18" t="s">
        <v>331</v>
      </c>
      <c r="N378" s="55">
        <v>46038</v>
      </c>
      <c r="O378" s="18" t="str">
        <f>IFERROR(VLOOKUP(A378,'[2]RELAÇÃO DE OC''S VMI MEC 030226'!$B:$P,15,FALSE),"-")</f>
        <v>-</v>
      </c>
      <c r="P378" s="56">
        <f t="shared" ca="1" si="16"/>
        <v>38</v>
      </c>
      <c r="Q378" s="18" t="str">
        <f t="shared" ca="1" si="17"/>
        <v>ATRASADO</v>
      </c>
      <c r="R378" s="19" t="s">
        <v>5645</v>
      </c>
    </row>
    <row r="379" spans="1:18" x14ac:dyDescent="0.2">
      <c r="A379" s="18" t="str">
        <f t="shared" si="15"/>
        <v>049636005121.23.00235</v>
      </c>
      <c r="B379" s="51" t="s">
        <v>1804</v>
      </c>
      <c r="C379" s="18" t="s">
        <v>374</v>
      </c>
      <c r="D379" s="51" t="s">
        <v>27</v>
      </c>
      <c r="E379" s="51" t="s">
        <v>137</v>
      </c>
      <c r="F379" s="18" t="s">
        <v>328</v>
      </c>
      <c r="G379" s="52">
        <v>45930</v>
      </c>
      <c r="H379" s="18" t="s">
        <v>329</v>
      </c>
      <c r="I379" s="53">
        <v>4</v>
      </c>
      <c r="J379" s="54">
        <v>1716.94</v>
      </c>
      <c r="K379" s="54">
        <v>6867.76</v>
      </c>
      <c r="L379" s="18" t="s">
        <v>330</v>
      </c>
      <c r="M379" s="18" t="s">
        <v>331</v>
      </c>
      <c r="N379" s="55">
        <v>46038</v>
      </c>
      <c r="O379" s="18" t="str">
        <f>IFERROR(VLOOKUP(A379,'[2]RELAÇÃO DE OC''S VMI MEC 030226'!$B:$P,15,FALSE),"-")</f>
        <v>-</v>
      </c>
      <c r="P379" s="56">
        <f t="shared" ca="1" si="16"/>
        <v>38</v>
      </c>
      <c r="Q379" s="18" t="str">
        <f t="shared" ca="1" si="17"/>
        <v>ATRASADO</v>
      </c>
      <c r="R379" s="19" t="s">
        <v>5645</v>
      </c>
    </row>
    <row r="380" spans="1:18" ht="42.75" x14ac:dyDescent="0.2">
      <c r="A380" s="18" t="str">
        <f t="shared" si="15"/>
        <v>049636005221.23.00239</v>
      </c>
      <c r="B380" s="51" t="s">
        <v>1804</v>
      </c>
      <c r="C380" s="18" t="s">
        <v>692</v>
      </c>
      <c r="D380" s="51" t="s">
        <v>585</v>
      </c>
      <c r="E380" s="51" t="s">
        <v>586</v>
      </c>
      <c r="F380" s="18" t="s">
        <v>328</v>
      </c>
      <c r="G380" s="52">
        <v>45930</v>
      </c>
      <c r="H380" s="18" t="s">
        <v>329</v>
      </c>
      <c r="I380" s="53">
        <v>2</v>
      </c>
      <c r="J380" s="54">
        <v>55</v>
      </c>
      <c r="K380" s="54">
        <v>110</v>
      </c>
      <c r="L380" s="18" t="s">
        <v>330</v>
      </c>
      <c r="M380" s="18" t="s">
        <v>331</v>
      </c>
      <c r="N380" s="55">
        <v>46038</v>
      </c>
      <c r="O380" s="18" t="str">
        <f>IFERROR(VLOOKUP(A380,'[2]RELAÇÃO DE OC''S VMI MEC 030226'!$B:$P,15,FALSE),"-")</f>
        <v>-</v>
      </c>
      <c r="P380" s="56">
        <f t="shared" ca="1" si="16"/>
        <v>38</v>
      </c>
      <c r="Q380" s="18" t="str">
        <f t="shared" ca="1" si="17"/>
        <v>ATRASADO</v>
      </c>
      <c r="R380" s="19" t="s">
        <v>5668</v>
      </c>
    </row>
    <row r="381" spans="1:18" ht="42.75" x14ac:dyDescent="0.2">
      <c r="A381" s="18" t="str">
        <f t="shared" si="15"/>
        <v>049636005521.23.00245</v>
      </c>
      <c r="B381" s="51" t="s">
        <v>1804</v>
      </c>
      <c r="C381" s="18" t="s">
        <v>335</v>
      </c>
      <c r="D381" s="51" t="s">
        <v>1805</v>
      </c>
      <c r="E381" s="51" t="s">
        <v>1806</v>
      </c>
      <c r="F381" s="18" t="s">
        <v>328</v>
      </c>
      <c r="G381" s="52">
        <v>45930</v>
      </c>
      <c r="H381" s="18" t="s">
        <v>329</v>
      </c>
      <c r="I381" s="53">
        <v>2</v>
      </c>
      <c r="J381" s="54">
        <v>280</v>
      </c>
      <c r="K381" s="54">
        <v>560</v>
      </c>
      <c r="L381" s="18" t="s">
        <v>330</v>
      </c>
      <c r="M381" s="18" t="s">
        <v>331</v>
      </c>
      <c r="N381" s="55">
        <v>46038</v>
      </c>
      <c r="O381" s="18" t="str">
        <f>IFERROR(VLOOKUP(A381,'[2]RELAÇÃO DE OC''S VMI MEC 030226'!$B:$P,15,FALSE),"-")</f>
        <v>-</v>
      </c>
      <c r="P381" s="56">
        <f t="shared" ca="1" si="16"/>
        <v>38</v>
      </c>
      <c r="Q381" s="18" t="str">
        <f t="shared" ca="1" si="17"/>
        <v>ATRASADO</v>
      </c>
      <c r="R381" s="19" t="s">
        <v>5668</v>
      </c>
    </row>
    <row r="382" spans="1:18" ht="42.75" x14ac:dyDescent="0.2">
      <c r="A382" s="18" t="str">
        <f t="shared" si="15"/>
        <v>049636005721.23.01466</v>
      </c>
      <c r="B382" s="51" t="s">
        <v>1804</v>
      </c>
      <c r="C382" s="18" t="s">
        <v>422</v>
      </c>
      <c r="D382" s="51" t="s">
        <v>593</v>
      </c>
      <c r="E382" s="51" t="s">
        <v>594</v>
      </c>
      <c r="F382" s="18" t="s">
        <v>328</v>
      </c>
      <c r="G382" s="52">
        <v>45930</v>
      </c>
      <c r="H382" s="18" t="s">
        <v>329</v>
      </c>
      <c r="I382" s="53">
        <v>2</v>
      </c>
      <c r="J382" s="54">
        <v>25</v>
      </c>
      <c r="K382" s="54">
        <v>50</v>
      </c>
      <c r="L382" s="18" t="s">
        <v>330</v>
      </c>
      <c r="M382" s="18" t="s">
        <v>331</v>
      </c>
      <c r="N382" s="55">
        <v>46038</v>
      </c>
      <c r="O382" s="18" t="str">
        <f>IFERROR(VLOOKUP(A382,'[2]RELAÇÃO DE OC''S VMI MEC 030226'!$B:$P,15,FALSE),"-")</f>
        <v>-</v>
      </c>
      <c r="P382" s="56">
        <f t="shared" ca="1" si="16"/>
        <v>38</v>
      </c>
      <c r="Q382" s="18" t="str">
        <f t="shared" ca="1" si="17"/>
        <v>ATRASADO</v>
      </c>
      <c r="R382" s="19" t="s">
        <v>5668</v>
      </c>
    </row>
    <row r="383" spans="1:18" x14ac:dyDescent="0.2">
      <c r="A383" s="18" t="str">
        <f t="shared" si="15"/>
        <v>049636005821.23.02046</v>
      </c>
      <c r="B383" s="51" t="s">
        <v>1804</v>
      </c>
      <c r="C383" s="18" t="s">
        <v>353</v>
      </c>
      <c r="D383" s="51" t="s">
        <v>595</v>
      </c>
      <c r="E383" s="51" t="s">
        <v>596</v>
      </c>
      <c r="F383" s="18" t="s">
        <v>328</v>
      </c>
      <c r="G383" s="52">
        <v>45930</v>
      </c>
      <c r="H383" s="18" t="s">
        <v>329</v>
      </c>
      <c r="I383" s="53">
        <v>1</v>
      </c>
      <c r="J383" s="54">
        <v>38.5</v>
      </c>
      <c r="K383" s="54">
        <v>154</v>
      </c>
      <c r="L383" s="18" t="s">
        <v>330</v>
      </c>
      <c r="M383" s="18" t="s">
        <v>331</v>
      </c>
      <c r="N383" s="55">
        <v>46038</v>
      </c>
      <c r="O383" s="18" t="str">
        <f>IFERROR(VLOOKUP(A383,'[2]RELAÇÃO DE OC''S VMI MEC 030226'!$B:$P,15,FALSE),"-")</f>
        <v>-</v>
      </c>
      <c r="P383" s="56">
        <f t="shared" ca="1" si="16"/>
        <v>38</v>
      </c>
      <c r="Q383" s="18" t="str">
        <f t="shared" ca="1" si="17"/>
        <v>ATRASADO</v>
      </c>
      <c r="R383" s="19" t="s">
        <v>5645</v>
      </c>
    </row>
    <row r="384" spans="1:18" x14ac:dyDescent="0.2">
      <c r="A384" s="18" t="str">
        <f t="shared" si="15"/>
        <v>049636006021.23.02052</v>
      </c>
      <c r="B384" s="51" t="s">
        <v>1804</v>
      </c>
      <c r="C384" s="18" t="s">
        <v>423</v>
      </c>
      <c r="D384" s="51" t="s">
        <v>599</v>
      </c>
      <c r="E384" s="51" t="s">
        <v>600</v>
      </c>
      <c r="F384" s="18" t="s">
        <v>328</v>
      </c>
      <c r="G384" s="52">
        <v>45930</v>
      </c>
      <c r="H384" s="18" t="s">
        <v>329</v>
      </c>
      <c r="I384" s="53">
        <v>2</v>
      </c>
      <c r="J384" s="54">
        <v>30.5</v>
      </c>
      <c r="K384" s="54">
        <v>61</v>
      </c>
      <c r="L384" s="18" t="s">
        <v>330</v>
      </c>
      <c r="M384" s="18" t="s">
        <v>331</v>
      </c>
      <c r="N384" s="55">
        <v>46038</v>
      </c>
      <c r="O384" s="18" t="str">
        <f>IFERROR(VLOOKUP(A384,'[2]RELAÇÃO DE OC''S VMI MEC 030226'!$B:$P,15,FALSE),"-")</f>
        <v>-</v>
      </c>
      <c r="P384" s="56">
        <f t="shared" ca="1" si="16"/>
        <v>38</v>
      </c>
      <c r="Q384" s="18" t="str">
        <f t="shared" ca="1" si="17"/>
        <v>ATRASADO</v>
      </c>
      <c r="R384" s="19" t="s">
        <v>5645</v>
      </c>
    </row>
    <row r="385" spans="1:18" x14ac:dyDescent="0.2">
      <c r="A385" s="18" t="str">
        <f t="shared" si="15"/>
        <v>049636006121.23.02053</v>
      </c>
      <c r="B385" s="51" t="s">
        <v>1804</v>
      </c>
      <c r="C385" s="18" t="s">
        <v>696</v>
      </c>
      <c r="D385" s="51" t="s">
        <v>206</v>
      </c>
      <c r="E385" s="51" t="s">
        <v>207</v>
      </c>
      <c r="F385" s="18" t="s">
        <v>328</v>
      </c>
      <c r="G385" s="52">
        <v>45930</v>
      </c>
      <c r="H385" s="18" t="s">
        <v>329</v>
      </c>
      <c r="I385" s="53">
        <v>4</v>
      </c>
      <c r="J385" s="54">
        <v>22.5</v>
      </c>
      <c r="K385" s="54">
        <v>90</v>
      </c>
      <c r="L385" s="18" t="s">
        <v>330</v>
      </c>
      <c r="M385" s="18" t="s">
        <v>331</v>
      </c>
      <c r="N385" s="55">
        <v>46038</v>
      </c>
      <c r="O385" s="18" t="str">
        <f>IFERROR(VLOOKUP(A385,'[2]RELAÇÃO DE OC''S VMI MEC 030226'!$B:$P,15,FALSE),"-")</f>
        <v>-</v>
      </c>
      <c r="P385" s="56">
        <f t="shared" ca="1" si="16"/>
        <v>38</v>
      </c>
      <c r="Q385" s="18" t="str">
        <f t="shared" ca="1" si="17"/>
        <v>ATRASADO</v>
      </c>
      <c r="R385" s="19" t="s">
        <v>5645</v>
      </c>
    </row>
    <row r="386" spans="1:18" x14ac:dyDescent="0.2">
      <c r="A386" s="18" t="str">
        <f t="shared" ref="A386:A449" si="18">B386&amp;C386&amp;D386</f>
        <v>049636006221.23.02054</v>
      </c>
      <c r="B386" s="51" t="s">
        <v>1804</v>
      </c>
      <c r="C386" s="18" t="s">
        <v>424</v>
      </c>
      <c r="D386" s="51" t="s">
        <v>601</v>
      </c>
      <c r="E386" s="51" t="s">
        <v>602</v>
      </c>
      <c r="F386" s="18" t="s">
        <v>328</v>
      </c>
      <c r="G386" s="52">
        <v>45930</v>
      </c>
      <c r="H386" s="18" t="s">
        <v>329</v>
      </c>
      <c r="I386" s="53">
        <v>2</v>
      </c>
      <c r="J386" s="54">
        <v>7.19</v>
      </c>
      <c r="K386" s="54">
        <v>28.76</v>
      </c>
      <c r="L386" s="18" t="s">
        <v>330</v>
      </c>
      <c r="M386" s="18" t="s">
        <v>331</v>
      </c>
      <c r="N386" s="55">
        <v>46038</v>
      </c>
      <c r="O386" s="18" t="str">
        <f>IFERROR(VLOOKUP(A386,'[2]RELAÇÃO DE OC''S VMI MEC 030226'!$B:$P,15,FALSE),"-")</f>
        <v>-</v>
      </c>
      <c r="P386" s="56">
        <f t="shared" ref="P386:P449" ca="1" si="19">TODAY()-N386</f>
        <v>38</v>
      </c>
      <c r="Q386" s="18" t="str">
        <f t="shared" ref="Q386:Q449" ca="1" si="20">IF(P386&gt;0,"ATRASADO","DENTRO DO PRAZO")</f>
        <v>ATRASADO</v>
      </c>
      <c r="R386" s="19" t="s">
        <v>5645</v>
      </c>
    </row>
    <row r="387" spans="1:18" ht="53.25" x14ac:dyDescent="0.2">
      <c r="A387" s="18" t="str">
        <f t="shared" si="18"/>
        <v>049636006321.23.02055</v>
      </c>
      <c r="B387" s="51" t="s">
        <v>1804</v>
      </c>
      <c r="C387" s="18" t="s">
        <v>375</v>
      </c>
      <c r="D387" s="51" t="s">
        <v>603</v>
      </c>
      <c r="E387" s="51" t="s">
        <v>604</v>
      </c>
      <c r="F387" s="18" t="s">
        <v>328</v>
      </c>
      <c r="G387" s="52">
        <v>45930</v>
      </c>
      <c r="H387" s="18" t="s">
        <v>329</v>
      </c>
      <c r="I387" s="53">
        <v>2</v>
      </c>
      <c r="J387" s="54">
        <v>26.5</v>
      </c>
      <c r="K387" s="54">
        <v>53</v>
      </c>
      <c r="L387" s="18" t="s">
        <v>330</v>
      </c>
      <c r="M387" s="18" t="s">
        <v>331</v>
      </c>
      <c r="N387" s="55">
        <v>46038</v>
      </c>
      <c r="O387" s="18" t="str">
        <f>IFERROR(VLOOKUP(A387,'[2]RELAÇÃO DE OC''S VMI MEC 030226'!$B:$P,15,FALSE),"-")</f>
        <v>-</v>
      </c>
      <c r="P387" s="56">
        <f t="shared" ca="1" si="19"/>
        <v>38</v>
      </c>
      <c r="Q387" s="18" t="str">
        <f t="shared" ca="1" si="20"/>
        <v>ATRASADO</v>
      </c>
      <c r="R387" s="19" t="s">
        <v>5647</v>
      </c>
    </row>
    <row r="388" spans="1:18" ht="53.25" x14ac:dyDescent="0.2">
      <c r="A388" s="18" t="str">
        <f t="shared" si="18"/>
        <v>049636006621.23.02068</v>
      </c>
      <c r="B388" s="51" t="s">
        <v>1804</v>
      </c>
      <c r="C388" s="18" t="s">
        <v>377</v>
      </c>
      <c r="D388" s="51" t="s">
        <v>608</v>
      </c>
      <c r="E388" s="51" t="s">
        <v>609</v>
      </c>
      <c r="F388" s="18" t="s">
        <v>328</v>
      </c>
      <c r="G388" s="52">
        <v>45930</v>
      </c>
      <c r="H388" s="18" t="s">
        <v>329</v>
      </c>
      <c r="I388" s="53">
        <v>2</v>
      </c>
      <c r="J388" s="54">
        <v>428.2</v>
      </c>
      <c r="K388" s="54">
        <v>856.4</v>
      </c>
      <c r="L388" s="18" t="s">
        <v>330</v>
      </c>
      <c r="M388" s="18" t="s">
        <v>331</v>
      </c>
      <c r="N388" s="55">
        <v>46038</v>
      </c>
      <c r="O388" s="18" t="str">
        <f>IFERROR(VLOOKUP(A388,'[2]RELAÇÃO DE OC''S VMI MEC 030226'!$B:$P,15,FALSE),"-")</f>
        <v>-</v>
      </c>
      <c r="P388" s="56">
        <f t="shared" ca="1" si="19"/>
        <v>38</v>
      </c>
      <c r="Q388" s="18" t="str">
        <f t="shared" ca="1" si="20"/>
        <v>ATRASADO</v>
      </c>
      <c r="R388" s="19" t="s">
        <v>5649</v>
      </c>
    </row>
    <row r="389" spans="1:18" ht="53.25" x14ac:dyDescent="0.2">
      <c r="A389" s="18" t="str">
        <f t="shared" si="18"/>
        <v>049636006721.23.02069</v>
      </c>
      <c r="B389" s="51" t="s">
        <v>1804</v>
      </c>
      <c r="C389" s="51" t="s">
        <v>443</v>
      </c>
      <c r="D389" s="51" t="s">
        <v>208</v>
      </c>
      <c r="E389" s="51" t="s">
        <v>209</v>
      </c>
      <c r="F389" s="18" t="s">
        <v>328</v>
      </c>
      <c r="G389" s="52">
        <v>45930</v>
      </c>
      <c r="H389" s="18" t="s">
        <v>329</v>
      </c>
      <c r="I389" s="53">
        <v>4</v>
      </c>
      <c r="J389" s="54">
        <v>674.9</v>
      </c>
      <c r="K389" s="54">
        <v>2699.6</v>
      </c>
      <c r="L389" s="18" t="s">
        <v>330</v>
      </c>
      <c r="M389" s="18" t="s">
        <v>331</v>
      </c>
      <c r="N389" s="55">
        <v>46038</v>
      </c>
      <c r="O389" s="18" t="str">
        <f>IFERROR(VLOOKUP(A389,'[2]RELAÇÃO DE OC''S VMI MEC 030226'!$B:$P,15,FALSE),"-")</f>
        <v>-</v>
      </c>
      <c r="P389" s="56">
        <f t="shared" ca="1" si="19"/>
        <v>38</v>
      </c>
      <c r="Q389" s="18" t="str">
        <f t="shared" ca="1" si="20"/>
        <v>ATRASADO</v>
      </c>
      <c r="R389" s="19" t="s">
        <v>5649</v>
      </c>
    </row>
    <row r="390" spans="1:18" ht="53.25" x14ac:dyDescent="0.2">
      <c r="A390" s="18" t="str">
        <f t="shared" si="18"/>
        <v>049636006921.23.02071</v>
      </c>
      <c r="B390" s="51" t="s">
        <v>1804</v>
      </c>
      <c r="C390" s="51" t="s">
        <v>401</v>
      </c>
      <c r="D390" s="51" t="s">
        <v>212</v>
      </c>
      <c r="E390" s="51" t="s">
        <v>213</v>
      </c>
      <c r="F390" s="18" t="s">
        <v>328</v>
      </c>
      <c r="G390" s="52">
        <v>45930</v>
      </c>
      <c r="H390" s="18" t="s">
        <v>329</v>
      </c>
      <c r="I390" s="53">
        <v>2</v>
      </c>
      <c r="J390" s="54">
        <v>275.5</v>
      </c>
      <c r="K390" s="54">
        <v>551</v>
      </c>
      <c r="L390" s="18" t="s">
        <v>330</v>
      </c>
      <c r="M390" s="18" t="s">
        <v>331</v>
      </c>
      <c r="N390" s="55">
        <v>46038</v>
      </c>
      <c r="O390" s="18" t="str">
        <f>IFERROR(VLOOKUP(A390,'[2]RELAÇÃO DE OC''S VMI MEC 030226'!$B:$P,15,FALSE),"-")</f>
        <v>-</v>
      </c>
      <c r="P390" s="56">
        <f t="shared" ca="1" si="19"/>
        <v>38</v>
      </c>
      <c r="Q390" s="18" t="str">
        <f t="shared" ca="1" si="20"/>
        <v>ATRASADO</v>
      </c>
      <c r="R390" s="19" t="s">
        <v>5649</v>
      </c>
    </row>
    <row r="391" spans="1:18" ht="53.25" x14ac:dyDescent="0.2">
      <c r="A391" s="18" t="str">
        <f t="shared" si="18"/>
        <v>049636007021.23.02072</v>
      </c>
      <c r="B391" s="51" t="s">
        <v>1804</v>
      </c>
      <c r="C391" s="51" t="s">
        <v>426</v>
      </c>
      <c r="D391" s="51" t="s">
        <v>610</v>
      </c>
      <c r="E391" s="51" t="s">
        <v>611</v>
      </c>
      <c r="F391" s="18" t="s">
        <v>328</v>
      </c>
      <c r="G391" s="52">
        <v>45930</v>
      </c>
      <c r="H391" s="18" t="s">
        <v>329</v>
      </c>
      <c r="I391" s="53">
        <v>1</v>
      </c>
      <c r="J391" s="54">
        <v>251.2</v>
      </c>
      <c r="K391" s="54">
        <v>502.4</v>
      </c>
      <c r="L391" s="18" t="s">
        <v>330</v>
      </c>
      <c r="M391" s="18" t="s">
        <v>331</v>
      </c>
      <c r="N391" s="55">
        <v>46038</v>
      </c>
      <c r="O391" s="18" t="str">
        <f>IFERROR(VLOOKUP(A391,'[2]RELAÇÃO DE OC''S VMI MEC 030226'!$B:$P,15,FALSE),"-")</f>
        <v>-</v>
      </c>
      <c r="P391" s="56">
        <f t="shared" ca="1" si="19"/>
        <v>38</v>
      </c>
      <c r="Q391" s="18" t="str">
        <f t="shared" ca="1" si="20"/>
        <v>ATRASADO</v>
      </c>
      <c r="R391" s="19" t="s">
        <v>5649</v>
      </c>
    </row>
    <row r="392" spans="1:18" ht="53.25" x14ac:dyDescent="0.2">
      <c r="A392" s="18" t="str">
        <f t="shared" si="18"/>
        <v>049636007121.23.02073</v>
      </c>
      <c r="B392" s="51" t="s">
        <v>1804</v>
      </c>
      <c r="C392" s="51" t="s">
        <v>336</v>
      </c>
      <c r="D392" s="51" t="s">
        <v>214</v>
      </c>
      <c r="E392" s="51" t="s">
        <v>215</v>
      </c>
      <c r="F392" s="18" t="s">
        <v>328</v>
      </c>
      <c r="G392" s="52">
        <v>45930</v>
      </c>
      <c r="H392" s="18" t="s">
        <v>329</v>
      </c>
      <c r="I392" s="53">
        <v>1</v>
      </c>
      <c r="J392" s="54">
        <v>715.2</v>
      </c>
      <c r="K392" s="54">
        <v>1430.4</v>
      </c>
      <c r="L392" s="18" t="s">
        <v>330</v>
      </c>
      <c r="M392" s="18" t="s">
        <v>331</v>
      </c>
      <c r="N392" s="55">
        <v>46038</v>
      </c>
      <c r="O392" s="18" t="str">
        <f>IFERROR(VLOOKUP(A392,'[2]RELAÇÃO DE OC''S VMI MEC 030226'!$B:$P,15,FALSE),"-")</f>
        <v>-</v>
      </c>
      <c r="P392" s="56">
        <f t="shared" ca="1" si="19"/>
        <v>38</v>
      </c>
      <c r="Q392" s="18" t="str">
        <f t="shared" ca="1" si="20"/>
        <v>ATRASADO</v>
      </c>
      <c r="R392" s="19" t="s">
        <v>5669</v>
      </c>
    </row>
    <row r="393" spans="1:18" ht="53.25" x14ac:dyDescent="0.2">
      <c r="A393" s="18" t="str">
        <f t="shared" si="18"/>
        <v>049636007221.23.02074</v>
      </c>
      <c r="B393" s="51" t="s">
        <v>1804</v>
      </c>
      <c r="C393" s="51" t="s">
        <v>697</v>
      </c>
      <c r="D393" s="51" t="s">
        <v>612</v>
      </c>
      <c r="E393" s="51" t="s">
        <v>613</v>
      </c>
      <c r="F393" s="18" t="s">
        <v>328</v>
      </c>
      <c r="G393" s="52">
        <v>45930</v>
      </c>
      <c r="H393" s="18" t="s">
        <v>329</v>
      </c>
      <c r="I393" s="53">
        <v>2</v>
      </c>
      <c r="J393" s="54">
        <v>488.1</v>
      </c>
      <c r="K393" s="54">
        <v>976.2</v>
      </c>
      <c r="L393" s="18" t="s">
        <v>330</v>
      </c>
      <c r="M393" s="18" t="s">
        <v>331</v>
      </c>
      <c r="N393" s="55">
        <v>46038</v>
      </c>
      <c r="O393" s="18" t="str">
        <f>IFERROR(VLOOKUP(A393,'[2]RELAÇÃO DE OC''S VMI MEC 030226'!$B:$P,15,FALSE),"-")</f>
        <v>-</v>
      </c>
      <c r="P393" s="56">
        <f t="shared" ca="1" si="19"/>
        <v>38</v>
      </c>
      <c r="Q393" s="18" t="str">
        <f t="shared" ca="1" si="20"/>
        <v>ATRASADO</v>
      </c>
      <c r="R393" s="19" t="s">
        <v>5669</v>
      </c>
    </row>
    <row r="394" spans="1:18" ht="53.25" x14ac:dyDescent="0.2">
      <c r="A394" s="18" t="str">
        <f t="shared" si="18"/>
        <v>049636007321.23.02075</v>
      </c>
      <c r="B394" s="51" t="s">
        <v>1804</v>
      </c>
      <c r="C394" s="51" t="s">
        <v>698</v>
      </c>
      <c r="D394" s="51" t="s">
        <v>614</v>
      </c>
      <c r="E394" s="51" t="s">
        <v>615</v>
      </c>
      <c r="F394" s="18" t="s">
        <v>328</v>
      </c>
      <c r="G394" s="52">
        <v>45930</v>
      </c>
      <c r="H394" s="18" t="s">
        <v>329</v>
      </c>
      <c r="I394" s="53">
        <v>1</v>
      </c>
      <c r="J394" s="54">
        <v>770.9</v>
      </c>
      <c r="K394" s="54">
        <v>1541.8</v>
      </c>
      <c r="L394" s="18" t="s">
        <v>330</v>
      </c>
      <c r="M394" s="18" t="s">
        <v>331</v>
      </c>
      <c r="N394" s="55">
        <v>46038</v>
      </c>
      <c r="O394" s="18" t="str">
        <f>IFERROR(VLOOKUP(A394,'[2]RELAÇÃO DE OC''S VMI MEC 030226'!$B:$P,15,FALSE),"-")</f>
        <v>-</v>
      </c>
      <c r="P394" s="56">
        <f t="shared" ca="1" si="19"/>
        <v>38</v>
      </c>
      <c r="Q394" s="18" t="str">
        <f t="shared" ca="1" si="20"/>
        <v>ATRASADO</v>
      </c>
      <c r="R394" s="19" t="s">
        <v>5670</v>
      </c>
    </row>
    <row r="395" spans="1:18" x14ac:dyDescent="0.2">
      <c r="A395" s="18" t="str">
        <f t="shared" si="18"/>
        <v>049636007621.23.02079</v>
      </c>
      <c r="B395" s="51" t="s">
        <v>1804</v>
      </c>
      <c r="C395" s="51" t="s">
        <v>337</v>
      </c>
      <c r="D395" s="51" t="s">
        <v>617</v>
      </c>
      <c r="E395" s="51" t="s">
        <v>618</v>
      </c>
      <c r="F395" s="18" t="s">
        <v>328</v>
      </c>
      <c r="G395" s="52">
        <v>45930</v>
      </c>
      <c r="H395" s="18" t="s">
        <v>329</v>
      </c>
      <c r="I395" s="53">
        <v>2</v>
      </c>
      <c r="J395" s="54">
        <v>97.11</v>
      </c>
      <c r="K395" s="54">
        <v>194.22</v>
      </c>
      <c r="L395" s="18" t="s">
        <v>330</v>
      </c>
      <c r="M395" s="18" t="s">
        <v>331</v>
      </c>
      <c r="N395" s="55">
        <v>46038</v>
      </c>
      <c r="O395" s="18" t="str">
        <f>IFERROR(VLOOKUP(A395,'[2]RELAÇÃO DE OC''S VMI MEC 030226'!$B:$P,15,FALSE),"-")</f>
        <v>-</v>
      </c>
      <c r="P395" s="56">
        <f t="shared" ca="1" si="19"/>
        <v>38</v>
      </c>
      <c r="Q395" s="18" t="str">
        <f t="shared" ca="1" si="20"/>
        <v>ATRASADO</v>
      </c>
      <c r="R395" s="19" t="s">
        <v>5645</v>
      </c>
    </row>
    <row r="396" spans="1:18" x14ac:dyDescent="0.2">
      <c r="A396" s="18" t="str">
        <f t="shared" si="18"/>
        <v>049636007721.23.02080</v>
      </c>
      <c r="B396" s="51" t="s">
        <v>1804</v>
      </c>
      <c r="C396" s="51" t="s">
        <v>380</v>
      </c>
      <c r="D396" s="51" t="s">
        <v>218</v>
      </c>
      <c r="E396" s="51" t="s">
        <v>219</v>
      </c>
      <c r="F396" s="18" t="s">
        <v>328</v>
      </c>
      <c r="G396" s="52">
        <v>45930</v>
      </c>
      <c r="H396" s="18" t="s">
        <v>329</v>
      </c>
      <c r="I396" s="53">
        <v>1</v>
      </c>
      <c r="J396" s="54">
        <v>763.8</v>
      </c>
      <c r="K396" s="54">
        <v>1527.6</v>
      </c>
      <c r="L396" s="18" t="s">
        <v>330</v>
      </c>
      <c r="M396" s="18" t="s">
        <v>331</v>
      </c>
      <c r="N396" s="55">
        <v>46038</v>
      </c>
      <c r="O396" s="18" t="str">
        <f>IFERROR(VLOOKUP(A396,'[2]RELAÇÃO DE OC''S VMI MEC 030226'!$B:$P,15,FALSE),"-")</f>
        <v>-</v>
      </c>
      <c r="P396" s="56">
        <f t="shared" ca="1" si="19"/>
        <v>38</v>
      </c>
      <c r="Q396" s="18" t="str">
        <f t="shared" ca="1" si="20"/>
        <v>ATRASADO</v>
      </c>
      <c r="R396" s="19" t="s">
        <v>5645</v>
      </c>
    </row>
    <row r="397" spans="1:18" x14ac:dyDescent="0.2">
      <c r="A397" s="18" t="str">
        <f t="shared" si="18"/>
        <v>049636007821.23.02081</v>
      </c>
      <c r="B397" s="51" t="s">
        <v>1804</v>
      </c>
      <c r="C397" s="51" t="s">
        <v>403</v>
      </c>
      <c r="D397" s="51" t="s">
        <v>619</v>
      </c>
      <c r="E397" s="51" t="s">
        <v>620</v>
      </c>
      <c r="F397" s="18" t="s">
        <v>328</v>
      </c>
      <c r="G397" s="52">
        <v>45930</v>
      </c>
      <c r="H397" s="18" t="s">
        <v>329</v>
      </c>
      <c r="I397" s="53">
        <v>2</v>
      </c>
      <c r="J397" s="54">
        <v>75.14</v>
      </c>
      <c r="K397" s="54">
        <v>150.28</v>
      </c>
      <c r="L397" s="18" t="s">
        <v>330</v>
      </c>
      <c r="M397" s="18" t="s">
        <v>331</v>
      </c>
      <c r="N397" s="55">
        <v>46038</v>
      </c>
      <c r="O397" s="18" t="str">
        <f>IFERROR(VLOOKUP(A397,'[2]RELAÇÃO DE OC''S VMI MEC 030226'!$B:$P,15,FALSE),"-")</f>
        <v>-</v>
      </c>
      <c r="P397" s="56">
        <f t="shared" ca="1" si="19"/>
        <v>38</v>
      </c>
      <c r="Q397" s="18" t="str">
        <f t="shared" ca="1" si="20"/>
        <v>ATRASADO</v>
      </c>
      <c r="R397" s="19" t="s">
        <v>5645</v>
      </c>
    </row>
    <row r="398" spans="1:18" x14ac:dyDescent="0.2">
      <c r="A398" s="18" t="str">
        <f t="shared" si="18"/>
        <v>049636007921.23.02082</v>
      </c>
      <c r="B398" s="51" t="s">
        <v>1804</v>
      </c>
      <c r="C398" s="51" t="s">
        <v>381</v>
      </c>
      <c r="D398" s="51" t="s">
        <v>621</v>
      </c>
      <c r="E398" s="51" t="s">
        <v>622</v>
      </c>
      <c r="F398" s="18" t="s">
        <v>328</v>
      </c>
      <c r="G398" s="52">
        <v>45930</v>
      </c>
      <c r="H398" s="18" t="s">
        <v>329</v>
      </c>
      <c r="I398" s="53">
        <v>2</v>
      </c>
      <c r="J398" s="54">
        <v>6</v>
      </c>
      <c r="K398" s="54">
        <v>12</v>
      </c>
      <c r="L398" s="18" t="s">
        <v>330</v>
      </c>
      <c r="M398" s="18" t="s">
        <v>331</v>
      </c>
      <c r="N398" s="55">
        <v>46038</v>
      </c>
      <c r="O398" s="18" t="str">
        <f>IFERROR(VLOOKUP(A398,'[2]RELAÇÃO DE OC''S VMI MEC 030226'!$B:$P,15,FALSE),"-")</f>
        <v>-</v>
      </c>
      <c r="P398" s="56">
        <f t="shared" ca="1" si="19"/>
        <v>38</v>
      </c>
      <c r="Q398" s="18" t="str">
        <f t="shared" ca="1" si="20"/>
        <v>ATRASADO</v>
      </c>
      <c r="R398" s="19" t="s">
        <v>5645</v>
      </c>
    </row>
    <row r="399" spans="1:18" x14ac:dyDescent="0.2">
      <c r="A399" s="18" t="str">
        <f t="shared" si="18"/>
        <v>049636008021.23.02083</v>
      </c>
      <c r="B399" s="51" t="s">
        <v>1804</v>
      </c>
      <c r="C399" s="51" t="s">
        <v>382</v>
      </c>
      <c r="D399" s="51" t="s">
        <v>220</v>
      </c>
      <c r="E399" s="51" t="s">
        <v>221</v>
      </c>
      <c r="F399" s="18" t="s">
        <v>328</v>
      </c>
      <c r="G399" s="52">
        <v>45930</v>
      </c>
      <c r="H399" s="18" t="s">
        <v>329</v>
      </c>
      <c r="I399" s="53">
        <v>2</v>
      </c>
      <c r="J399" s="54">
        <v>576.9</v>
      </c>
      <c r="K399" s="54">
        <v>1153.8</v>
      </c>
      <c r="L399" s="18" t="s">
        <v>330</v>
      </c>
      <c r="M399" s="18" t="s">
        <v>331</v>
      </c>
      <c r="N399" s="55">
        <v>46038</v>
      </c>
      <c r="O399" s="18" t="str">
        <f>IFERROR(VLOOKUP(A399,'[2]RELAÇÃO DE OC''S VMI MEC 030226'!$B:$P,15,FALSE),"-")</f>
        <v>-</v>
      </c>
      <c r="P399" s="56">
        <f t="shared" ca="1" si="19"/>
        <v>38</v>
      </c>
      <c r="Q399" s="18" t="str">
        <f t="shared" ca="1" si="20"/>
        <v>ATRASADO</v>
      </c>
      <c r="R399" s="19" t="s">
        <v>5645</v>
      </c>
    </row>
    <row r="400" spans="1:18" x14ac:dyDescent="0.2">
      <c r="A400" s="18" t="str">
        <f t="shared" si="18"/>
        <v>049636008121.23.02084</v>
      </c>
      <c r="B400" s="51" t="s">
        <v>1804</v>
      </c>
      <c r="C400" s="51" t="s">
        <v>383</v>
      </c>
      <c r="D400" s="51" t="s">
        <v>222</v>
      </c>
      <c r="E400" s="51" t="s">
        <v>223</v>
      </c>
      <c r="F400" s="18" t="s">
        <v>328</v>
      </c>
      <c r="G400" s="52">
        <v>45930</v>
      </c>
      <c r="H400" s="18" t="s">
        <v>329</v>
      </c>
      <c r="I400" s="53">
        <v>4</v>
      </c>
      <c r="J400" s="54">
        <v>1007.7</v>
      </c>
      <c r="K400" s="54">
        <v>4030.8</v>
      </c>
      <c r="L400" s="18" t="s">
        <v>330</v>
      </c>
      <c r="M400" s="18" t="s">
        <v>331</v>
      </c>
      <c r="N400" s="55">
        <v>46038</v>
      </c>
      <c r="O400" s="18" t="str">
        <f>IFERROR(VLOOKUP(A400,'[2]RELAÇÃO DE OC''S VMI MEC 030226'!$B:$P,15,FALSE),"-")</f>
        <v>-</v>
      </c>
      <c r="P400" s="56">
        <f t="shared" ca="1" si="19"/>
        <v>38</v>
      </c>
      <c r="Q400" s="18" t="str">
        <f t="shared" ca="1" si="20"/>
        <v>ATRASADO</v>
      </c>
      <c r="R400" s="19" t="s">
        <v>5645</v>
      </c>
    </row>
    <row r="401" spans="1:18" x14ac:dyDescent="0.2">
      <c r="A401" s="18" t="str">
        <f t="shared" si="18"/>
        <v>049636008321.23.02086</v>
      </c>
      <c r="B401" s="51" t="s">
        <v>1804</v>
      </c>
      <c r="C401" s="51" t="s">
        <v>338</v>
      </c>
      <c r="D401" s="51" t="s">
        <v>625</v>
      </c>
      <c r="E401" s="51" t="s">
        <v>626</v>
      </c>
      <c r="F401" s="18" t="s">
        <v>328</v>
      </c>
      <c r="G401" s="52">
        <v>45930</v>
      </c>
      <c r="H401" s="18" t="s">
        <v>329</v>
      </c>
      <c r="I401" s="53">
        <v>2</v>
      </c>
      <c r="J401" s="54">
        <v>157.69999999999999</v>
      </c>
      <c r="K401" s="54">
        <v>946.2</v>
      </c>
      <c r="L401" s="18" t="s">
        <v>330</v>
      </c>
      <c r="M401" s="18" t="s">
        <v>331</v>
      </c>
      <c r="N401" s="55">
        <v>46038</v>
      </c>
      <c r="O401" s="18" t="str">
        <f>IFERROR(VLOOKUP(A401,'[2]RELAÇÃO DE OC''S VMI MEC 030226'!$B:$P,15,FALSE),"-")</f>
        <v>-</v>
      </c>
      <c r="P401" s="56">
        <f t="shared" ca="1" si="19"/>
        <v>38</v>
      </c>
      <c r="Q401" s="18" t="str">
        <f t="shared" ca="1" si="20"/>
        <v>ATRASADO</v>
      </c>
      <c r="R401" s="19" t="s">
        <v>5645</v>
      </c>
    </row>
    <row r="402" spans="1:18" x14ac:dyDescent="0.2">
      <c r="A402" s="18" t="str">
        <f t="shared" si="18"/>
        <v>049636008421.23.02087</v>
      </c>
      <c r="B402" s="51" t="s">
        <v>1804</v>
      </c>
      <c r="C402" s="51" t="s">
        <v>339</v>
      </c>
      <c r="D402" s="51" t="s">
        <v>224</v>
      </c>
      <c r="E402" s="51" t="s">
        <v>225</v>
      </c>
      <c r="F402" s="18" t="s">
        <v>328</v>
      </c>
      <c r="G402" s="52">
        <v>45930</v>
      </c>
      <c r="H402" s="18" t="s">
        <v>329</v>
      </c>
      <c r="I402" s="53">
        <v>2</v>
      </c>
      <c r="J402" s="54">
        <v>1130</v>
      </c>
      <c r="K402" s="54">
        <v>2260</v>
      </c>
      <c r="L402" s="18" t="s">
        <v>330</v>
      </c>
      <c r="M402" s="18" t="s">
        <v>331</v>
      </c>
      <c r="N402" s="55">
        <v>46038</v>
      </c>
      <c r="O402" s="18" t="str">
        <f>IFERROR(VLOOKUP(A402,'[2]RELAÇÃO DE OC''S VMI MEC 030226'!$B:$P,15,FALSE),"-")</f>
        <v>-</v>
      </c>
      <c r="P402" s="56">
        <f t="shared" ca="1" si="19"/>
        <v>38</v>
      </c>
      <c r="Q402" s="18" t="str">
        <f t="shared" ca="1" si="20"/>
        <v>ATRASADO</v>
      </c>
      <c r="R402" s="19" t="s">
        <v>5645</v>
      </c>
    </row>
    <row r="403" spans="1:18" x14ac:dyDescent="0.2">
      <c r="A403" s="18" t="str">
        <f t="shared" si="18"/>
        <v>049636008521.23.02088</v>
      </c>
      <c r="B403" s="51" t="s">
        <v>1804</v>
      </c>
      <c r="C403" s="51" t="s">
        <v>340</v>
      </c>
      <c r="D403" s="51" t="s">
        <v>627</v>
      </c>
      <c r="E403" s="51" t="s">
        <v>628</v>
      </c>
      <c r="F403" s="18" t="s">
        <v>328</v>
      </c>
      <c r="G403" s="52">
        <v>45930</v>
      </c>
      <c r="H403" s="18" t="s">
        <v>329</v>
      </c>
      <c r="I403" s="53">
        <v>4</v>
      </c>
      <c r="J403" s="54">
        <v>324</v>
      </c>
      <c r="K403" s="54">
        <v>1296</v>
      </c>
      <c r="L403" s="18" t="s">
        <v>330</v>
      </c>
      <c r="M403" s="18" t="s">
        <v>331</v>
      </c>
      <c r="N403" s="55">
        <v>46038</v>
      </c>
      <c r="O403" s="18" t="str">
        <f>IFERROR(VLOOKUP(A403,'[2]RELAÇÃO DE OC''S VMI MEC 030226'!$B:$P,15,FALSE),"-")</f>
        <v>-</v>
      </c>
      <c r="P403" s="56">
        <f t="shared" ca="1" si="19"/>
        <v>38</v>
      </c>
      <c r="Q403" s="18" t="str">
        <f t="shared" ca="1" si="20"/>
        <v>ATRASADO</v>
      </c>
      <c r="R403" s="19" t="s">
        <v>5645</v>
      </c>
    </row>
    <row r="404" spans="1:18" x14ac:dyDescent="0.2">
      <c r="A404" s="18" t="str">
        <f t="shared" si="18"/>
        <v>049636008721.23.02090</v>
      </c>
      <c r="B404" s="51" t="s">
        <v>1804</v>
      </c>
      <c r="C404" s="51" t="s">
        <v>384</v>
      </c>
      <c r="D404" s="51" t="s">
        <v>228</v>
      </c>
      <c r="E404" s="51" t="s">
        <v>229</v>
      </c>
      <c r="F404" s="18" t="s">
        <v>328</v>
      </c>
      <c r="G404" s="52">
        <v>45930</v>
      </c>
      <c r="H404" s="18" t="s">
        <v>329</v>
      </c>
      <c r="I404" s="53">
        <v>2</v>
      </c>
      <c r="J404" s="54">
        <v>308.3</v>
      </c>
      <c r="K404" s="54">
        <v>616.6</v>
      </c>
      <c r="L404" s="18" t="s">
        <v>330</v>
      </c>
      <c r="M404" s="18" t="s">
        <v>331</v>
      </c>
      <c r="N404" s="55">
        <v>46038</v>
      </c>
      <c r="O404" s="18" t="str">
        <f>IFERROR(VLOOKUP(A404,'[2]RELAÇÃO DE OC''S VMI MEC 030226'!$B:$P,15,FALSE),"-")</f>
        <v>-</v>
      </c>
      <c r="P404" s="56">
        <f t="shared" ca="1" si="19"/>
        <v>38</v>
      </c>
      <c r="Q404" s="18" t="str">
        <f t="shared" ca="1" si="20"/>
        <v>ATRASADO</v>
      </c>
      <c r="R404" s="19" t="s">
        <v>5645</v>
      </c>
    </row>
    <row r="405" spans="1:18" x14ac:dyDescent="0.2">
      <c r="A405" s="18" t="str">
        <f t="shared" si="18"/>
        <v>049636008821.23.02091</v>
      </c>
      <c r="B405" s="51" t="s">
        <v>1804</v>
      </c>
      <c r="C405" s="51" t="s">
        <v>405</v>
      </c>
      <c r="D405" s="51" t="s">
        <v>230</v>
      </c>
      <c r="E405" s="51" t="s">
        <v>231</v>
      </c>
      <c r="F405" s="18" t="s">
        <v>328</v>
      </c>
      <c r="G405" s="52">
        <v>45930</v>
      </c>
      <c r="H405" s="18" t="s">
        <v>329</v>
      </c>
      <c r="I405" s="53">
        <v>2</v>
      </c>
      <c r="J405" s="54">
        <v>311.8</v>
      </c>
      <c r="K405" s="54">
        <v>623.6</v>
      </c>
      <c r="L405" s="18" t="s">
        <v>330</v>
      </c>
      <c r="M405" s="18" t="s">
        <v>331</v>
      </c>
      <c r="N405" s="55">
        <v>46038</v>
      </c>
      <c r="O405" s="18" t="str">
        <f>IFERROR(VLOOKUP(A405,'[2]RELAÇÃO DE OC''S VMI MEC 030226'!$B:$P,15,FALSE),"-")</f>
        <v>-</v>
      </c>
      <c r="P405" s="56">
        <f t="shared" ca="1" si="19"/>
        <v>38</v>
      </c>
      <c r="Q405" s="18" t="str">
        <f t="shared" ca="1" si="20"/>
        <v>ATRASADO</v>
      </c>
      <c r="R405" s="19" t="s">
        <v>5645</v>
      </c>
    </row>
    <row r="406" spans="1:18" x14ac:dyDescent="0.2">
      <c r="A406" s="18" t="str">
        <f t="shared" si="18"/>
        <v>049636009321.23.02097</v>
      </c>
      <c r="B406" s="51" t="s">
        <v>1804</v>
      </c>
      <c r="C406" s="51" t="s">
        <v>444</v>
      </c>
      <c r="D406" s="51" t="s">
        <v>633</v>
      </c>
      <c r="E406" s="51" t="s">
        <v>634</v>
      </c>
      <c r="F406" s="18" t="s">
        <v>328</v>
      </c>
      <c r="G406" s="52">
        <v>45930</v>
      </c>
      <c r="H406" s="18" t="s">
        <v>329</v>
      </c>
      <c r="I406" s="53">
        <v>2</v>
      </c>
      <c r="J406" s="54">
        <v>1920</v>
      </c>
      <c r="K406" s="54">
        <v>3840</v>
      </c>
      <c r="L406" s="18" t="s">
        <v>330</v>
      </c>
      <c r="M406" s="18" t="s">
        <v>331</v>
      </c>
      <c r="N406" s="55">
        <v>46038</v>
      </c>
      <c r="O406" s="18" t="str">
        <f>IFERROR(VLOOKUP(A406,'[2]RELAÇÃO DE OC''S VMI MEC 030226'!$B:$P,15,FALSE),"-")</f>
        <v>-</v>
      </c>
      <c r="P406" s="56">
        <f t="shared" ca="1" si="19"/>
        <v>38</v>
      </c>
      <c r="Q406" s="18" t="str">
        <f t="shared" ca="1" si="20"/>
        <v>ATRASADO</v>
      </c>
      <c r="R406" s="19" t="s">
        <v>5645</v>
      </c>
    </row>
    <row r="407" spans="1:18" x14ac:dyDescent="0.2">
      <c r="A407" s="18" t="str">
        <f t="shared" si="18"/>
        <v>049636009421.23.02098</v>
      </c>
      <c r="B407" s="51" t="s">
        <v>1804</v>
      </c>
      <c r="C407" s="51" t="s">
        <v>700</v>
      </c>
      <c r="D407" s="51" t="s">
        <v>234</v>
      </c>
      <c r="E407" s="51" t="s">
        <v>235</v>
      </c>
      <c r="F407" s="18" t="s">
        <v>328</v>
      </c>
      <c r="G407" s="52">
        <v>45930</v>
      </c>
      <c r="H407" s="18" t="s">
        <v>329</v>
      </c>
      <c r="I407" s="53">
        <v>2</v>
      </c>
      <c r="J407" s="54">
        <v>272</v>
      </c>
      <c r="K407" s="54">
        <v>544</v>
      </c>
      <c r="L407" s="18" t="s">
        <v>330</v>
      </c>
      <c r="M407" s="18" t="s">
        <v>331</v>
      </c>
      <c r="N407" s="55">
        <v>46038</v>
      </c>
      <c r="O407" s="18" t="str">
        <f>IFERROR(VLOOKUP(A407,'[2]RELAÇÃO DE OC''S VMI MEC 030226'!$B:$P,15,FALSE),"-")</f>
        <v>-</v>
      </c>
      <c r="P407" s="56">
        <f t="shared" ca="1" si="19"/>
        <v>38</v>
      </c>
      <c r="Q407" s="18" t="str">
        <f t="shared" ca="1" si="20"/>
        <v>ATRASADO</v>
      </c>
      <c r="R407" s="19" t="s">
        <v>5645</v>
      </c>
    </row>
    <row r="408" spans="1:18" x14ac:dyDescent="0.2">
      <c r="A408" s="18" t="str">
        <f t="shared" si="18"/>
        <v>049636009621.23.02100</v>
      </c>
      <c r="B408" s="51" t="s">
        <v>1804</v>
      </c>
      <c r="C408" s="51" t="s">
        <v>428</v>
      </c>
      <c r="D408" s="51" t="s">
        <v>637</v>
      </c>
      <c r="E408" s="51" t="s">
        <v>638</v>
      </c>
      <c r="F408" s="18" t="s">
        <v>328</v>
      </c>
      <c r="G408" s="52">
        <v>45930</v>
      </c>
      <c r="H408" s="18" t="s">
        <v>329</v>
      </c>
      <c r="I408" s="53">
        <v>2</v>
      </c>
      <c r="J408" s="54">
        <v>237.4</v>
      </c>
      <c r="K408" s="54">
        <v>474.8</v>
      </c>
      <c r="L408" s="18" t="s">
        <v>330</v>
      </c>
      <c r="M408" s="18" t="s">
        <v>331</v>
      </c>
      <c r="N408" s="55">
        <v>46038</v>
      </c>
      <c r="O408" s="18" t="str">
        <f>IFERROR(VLOOKUP(A408,'[2]RELAÇÃO DE OC''S VMI MEC 030226'!$B:$P,15,FALSE),"-")</f>
        <v>-</v>
      </c>
      <c r="P408" s="56">
        <f t="shared" ca="1" si="19"/>
        <v>38</v>
      </c>
      <c r="Q408" s="18" t="str">
        <f t="shared" ca="1" si="20"/>
        <v>ATRASADO</v>
      </c>
      <c r="R408" s="19" t="s">
        <v>5645</v>
      </c>
    </row>
    <row r="409" spans="1:18" ht="53.25" x14ac:dyDescent="0.2">
      <c r="A409" s="18" t="str">
        <f t="shared" si="18"/>
        <v>049636009821.23.02102</v>
      </c>
      <c r="B409" s="51" t="s">
        <v>1804</v>
      </c>
      <c r="C409" s="51" t="s">
        <v>702</v>
      </c>
      <c r="D409" s="51" t="s">
        <v>237</v>
      </c>
      <c r="E409" s="51" t="s">
        <v>238</v>
      </c>
      <c r="F409" s="18" t="s">
        <v>328</v>
      </c>
      <c r="G409" s="52">
        <v>45930</v>
      </c>
      <c r="H409" s="18" t="s">
        <v>329</v>
      </c>
      <c r="I409" s="53">
        <v>2</v>
      </c>
      <c r="J409" s="54">
        <v>746.7</v>
      </c>
      <c r="K409" s="54">
        <v>1493.4</v>
      </c>
      <c r="L409" s="18" t="s">
        <v>330</v>
      </c>
      <c r="M409" s="18" t="s">
        <v>331</v>
      </c>
      <c r="N409" s="55">
        <v>46038</v>
      </c>
      <c r="O409" s="18" t="str">
        <f>IFERROR(VLOOKUP(A409,'[2]RELAÇÃO DE OC''S VMI MEC 030226'!$B:$P,15,FALSE),"-")</f>
        <v>-</v>
      </c>
      <c r="P409" s="56">
        <f t="shared" ca="1" si="19"/>
        <v>38</v>
      </c>
      <c r="Q409" s="18" t="str">
        <f t="shared" ca="1" si="20"/>
        <v>ATRASADO</v>
      </c>
      <c r="R409" s="19" t="s">
        <v>5648</v>
      </c>
    </row>
    <row r="410" spans="1:18" x14ac:dyDescent="0.2">
      <c r="A410" s="18" t="str">
        <f t="shared" si="18"/>
        <v>049636009921.23.02103</v>
      </c>
      <c r="B410" s="51" t="s">
        <v>1804</v>
      </c>
      <c r="C410" s="51" t="s">
        <v>703</v>
      </c>
      <c r="D410" s="51" t="s">
        <v>639</v>
      </c>
      <c r="E410" s="51" t="s">
        <v>640</v>
      </c>
      <c r="F410" s="18" t="s">
        <v>328</v>
      </c>
      <c r="G410" s="52">
        <v>45930</v>
      </c>
      <c r="H410" s="18" t="s">
        <v>329</v>
      </c>
      <c r="I410" s="53">
        <v>2</v>
      </c>
      <c r="J410" s="54">
        <v>742.7</v>
      </c>
      <c r="K410" s="54">
        <v>1485.4</v>
      </c>
      <c r="L410" s="18" t="s">
        <v>330</v>
      </c>
      <c r="M410" s="18" t="s">
        <v>331</v>
      </c>
      <c r="N410" s="55">
        <v>46038</v>
      </c>
      <c r="O410" s="18" t="str">
        <f>IFERROR(VLOOKUP(A410,'[2]RELAÇÃO DE OC''S VMI MEC 030226'!$B:$P,15,FALSE),"-")</f>
        <v>-</v>
      </c>
      <c r="P410" s="56">
        <f t="shared" ca="1" si="19"/>
        <v>38</v>
      </c>
      <c r="Q410" s="18" t="str">
        <f t="shared" ca="1" si="20"/>
        <v>ATRASADO</v>
      </c>
      <c r="R410" s="19" t="s">
        <v>5645</v>
      </c>
    </row>
    <row r="411" spans="1:18" x14ac:dyDescent="0.2">
      <c r="A411" s="18" t="str">
        <f t="shared" si="18"/>
        <v>049636010021.23.02104</v>
      </c>
      <c r="B411" s="51" t="s">
        <v>1804</v>
      </c>
      <c r="C411" s="51" t="s">
        <v>445</v>
      </c>
      <c r="D411" s="51" t="s">
        <v>641</v>
      </c>
      <c r="E411" s="51" t="s">
        <v>642</v>
      </c>
      <c r="F411" s="18" t="s">
        <v>328</v>
      </c>
      <c r="G411" s="52">
        <v>45930</v>
      </c>
      <c r="H411" s="18" t="s">
        <v>329</v>
      </c>
      <c r="I411" s="53">
        <v>2</v>
      </c>
      <c r="J411" s="54">
        <v>395.6</v>
      </c>
      <c r="K411" s="54">
        <v>791.2</v>
      </c>
      <c r="L411" s="18" t="s">
        <v>330</v>
      </c>
      <c r="M411" s="18" t="s">
        <v>331</v>
      </c>
      <c r="N411" s="55">
        <v>46038</v>
      </c>
      <c r="O411" s="18" t="str">
        <f>IFERROR(VLOOKUP(A411,'[2]RELAÇÃO DE OC''S VMI MEC 030226'!$B:$P,15,FALSE),"-")</f>
        <v>-</v>
      </c>
      <c r="P411" s="56">
        <f t="shared" ca="1" si="19"/>
        <v>38</v>
      </c>
      <c r="Q411" s="18" t="str">
        <f t="shared" ca="1" si="20"/>
        <v>ATRASADO</v>
      </c>
      <c r="R411" s="19" t="s">
        <v>5645</v>
      </c>
    </row>
    <row r="412" spans="1:18" ht="53.25" x14ac:dyDescent="0.2">
      <c r="A412" s="18" t="str">
        <f t="shared" si="18"/>
        <v>049636010121.23.02105</v>
      </c>
      <c r="B412" s="51" t="s">
        <v>1804</v>
      </c>
      <c r="C412" s="51" t="s">
        <v>704</v>
      </c>
      <c r="D412" s="51" t="s">
        <v>239</v>
      </c>
      <c r="E412" s="51" t="s">
        <v>240</v>
      </c>
      <c r="F412" s="18" t="s">
        <v>328</v>
      </c>
      <c r="G412" s="52">
        <v>45930</v>
      </c>
      <c r="H412" s="18" t="s">
        <v>329</v>
      </c>
      <c r="I412" s="53">
        <v>2</v>
      </c>
      <c r="J412" s="54">
        <v>476.4</v>
      </c>
      <c r="K412" s="54">
        <v>952.8</v>
      </c>
      <c r="L412" s="18" t="s">
        <v>330</v>
      </c>
      <c r="M412" s="18" t="s">
        <v>331</v>
      </c>
      <c r="N412" s="55">
        <v>46038</v>
      </c>
      <c r="O412" s="18" t="str">
        <f>IFERROR(VLOOKUP(A412,'[2]RELAÇÃO DE OC''S VMI MEC 030226'!$B:$P,15,FALSE),"-")</f>
        <v>-</v>
      </c>
      <c r="P412" s="56">
        <f t="shared" ca="1" si="19"/>
        <v>38</v>
      </c>
      <c r="Q412" s="18" t="str">
        <f t="shared" ca="1" si="20"/>
        <v>ATRASADO</v>
      </c>
      <c r="R412" s="19" t="s">
        <v>5649</v>
      </c>
    </row>
    <row r="413" spans="1:18" ht="53.25" x14ac:dyDescent="0.2">
      <c r="A413" s="18" t="str">
        <f t="shared" si="18"/>
        <v>049636010321.23.02107</v>
      </c>
      <c r="B413" s="51" t="s">
        <v>1804</v>
      </c>
      <c r="C413" s="51" t="s">
        <v>342</v>
      </c>
      <c r="D413" s="51" t="s">
        <v>241</v>
      </c>
      <c r="E413" s="51" t="s">
        <v>242</v>
      </c>
      <c r="F413" s="18" t="s">
        <v>328</v>
      </c>
      <c r="G413" s="52">
        <v>45930</v>
      </c>
      <c r="H413" s="18" t="s">
        <v>329</v>
      </c>
      <c r="I413" s="53">
        <v>4</v>
      </c>
      <c r="J413" s="54">
        <v>417.57</v>
      </c>
      <c r="K413" s="54">
        <v>1670.28</v>
      </c>
      <c r="L413" s="18" t="s">
        <v>330</v>
      </c>
      <c r="M413" s="18" t="s">
        <v>331</v>
      </c>
      <c r="N413" s="55">
        <v>46038</v>
      </c>
      <c r="O413" s="18" t="str">
        <f>IFERROR(VLOOKUP(A413,'[2]RELAÇÃO DE OC''S VMI MEC 030226'!$B:$P,15,FALSE),"-")</f>
        <v>-</v>
      </c>
      <c r="P413" s="56">
        <f t="shared" ca="1" si="19"/>
        <v>38</v>
      </c>
      <c r="Q413" s="18" t="str">
        <f t="shared" ca="1" si="20"/>
        <v>ATRASADO</v>
      </c>
      <c r="R413" s="19" t="s">
        <v>5650</v>
      </c>
    </row>
    <row r="414" spans="1:18" ht="53.25" x14ac:dyDescent="0.2">
      <c r="A414" s="18" t="str">
        <f t="shared" si="18"/>
        <v>049636010421.23.02108</v>
      </c>
      <c r="B414" s="51" t="s">
        <v>1804</v>
      </c>
      <c r="C414" s="51" t="s">
        <v>385</v>
      </c>
      <c r="D414" s="51" t="s">
        <v>243</v>
      </c>
      <c r="E414" s="51" t="s">
        <v>244</v>
      </c>
      <c r="F414" s="18" t="s">
        <v>328</v>
      </c>
      <c r="G414" s="52">
        <v>45930</v>
      </c>
      <c r="H414" s="18" t="s">
        <v>329</v>
      </c>
      <c r="I414" s="53">
        <v>2</v>
      </c>
      <c r="J414" s="54">
        <v>313.39999999999998</v>
      </c>
      <c r="K414" s="54">
        <v>626.79999999999995</v>
      </c>
      <c r="L414" s="18" t="s">
        <v>330</v>
      </c>
      <c r="M414" s="18" t="s">
        <v>331</v>
      </c>
      <c r="N414" s="55">
        <v>46038</v>
      </c>
      <c r="O414" s="18" t="str">
        <f>IFERROR(VLOOKUP(A414,'[2]RELAÇÃO DE OC''S VMI MEC 030226'!$B:$P,15,FALSE),"-")</f>
        <v>-</v>
      </c>
      <c r="P414" s="56">
        <f t="shared" ca="1" si="19"/>
        <v>38</v>
      </c>
      <c r="Q414" s="18" t="str">
        <f t="shared" ca="1" si="20"/>
        <v>ATRASADO</v>
      </c>
      <c r="R414" s="19" t="s">
        <v>5651</v>
      </c>
    </row>
    <row r="415" spans="1:18" ht="53.25" x14ac:dyDescent="0.2">
      <c r="A415" s="18" t="str">
        <f t="shared" si="18"/>
        <v>049636010721.23.03666</v>
      </c>
      <c r="B415" s="51" t="s">
        <v>1804</v>
      </c>
      <c r="C415" s="51" t="s">
        <v>706</v>
      </c>
      <c r="D415" s="51" t="s">
        <v>730</v>
      </c>
      <c r="E415" s="51" t="s">
        <v>731</v>
      </c>
      <c r="F415" s="18" t="s">
        <v>328</v>
      </c>
      <c r="G415" s="52">
        <v>45930</v>
      </c>
      <c r="H415" s="18" t="s">
        <v>329</v>
      </c>
      <c r="I415" s="53">
        <v>2</v>
      </c>
      <c r="J415" s="54">
        <v>144.26</v>
      </c>
      <c r="K415" s="54">
        <v>288.52</v>
      </c>
      <c r="L415" s="18" t="s">
        <v>330</v>
      </c>
      <c r="M415" s="18" t="s">
        <v>331</v>
      </c>
      <c r="N415" s="55">
        <v>46038</v>
      </c>
      <c r="O415" s="18" t="str">
        <f>IFERROR(VLOOKUP(A415,'[2]RELAÇÃO DE OC''S VMI MEC 030226'!$B:$P,15,FALSE),"-")</f>
        <v>-</v>
      </c>
      <c r="P415" s="56">
        <f t="shared" ca="1" si="19"/>
        <v>38</v>
      </c>
      <c r="Q415" s="18" t="str">
        <f t="shared" ca="1" si="20"/>
        <v>ATRASADO</v>
      </c>
      <c r="R415" s="19" t="s">
        <v>5652</v>
      </c>
    </row>
    <row r="416" spans="1:18" ht="53.25" x14ac:dyDescent="0.2">
      <c r="A416" s="18" t="str">
        <f t="shared" si="18"/>
        <v>049636010821.23.03667</v>
      </c>
      <c r="B416" s="51" t="s">
        <v>1804</v>
      </c>
      <c r="C416" s="51" t="s">
        <v>430</v>
      </c>
      <c r="D416" s="51" t="s">
        <v>247</v>
      </c>
      <c r="E416" s="51" t="s">
        <v>248</v>
      </c>
      <c r="F416" s="18" t="s">
        <v>328</v>
      </c>
      <c r="G416" s="52">
        <v>45930</v>
      </c>
      <c r="H416" s="18" t="s">
        <v>329</v>
      </c>
      <c r="I416" s="53">
        <v>4</v>
      </c>
      <c r="J416" s="54">
        <v>9.8000000000000007</v>
      </c>
      <c r="K416" s="54">
        <v>39.200000000000003</v>
      </c>
      <c r="L416" s="18" t="s">
        <v>330</v>
      </c>
      <c r="M416" s="18" t="s">
        <v>331</v>
      </c>
      <c r="N416" s="55">
        <v>46038</v>
      </c>
      <c r="O416" s="18" t="str">
        <f>IFERROR(VLOOKUP(A416,'[2]RELAÇÃO DE OC''S VMI MEC 030226'!$B:$P,15,FALSE),"-")</f>
        <v>-</v>
      </c>
      <c r="P416" s="56">
        <f t="shared" ca="1" si="19"/>
        <v>38</v>
      </c>
      <c r="Q416" s="18" t="str">
        <f t="shared" ca="1" si="20"/>
        <v>ATRASADO</v>
      </c>
      <c r="R416" s="19" t="s">
        <v>5653</v>
      </c>
    </row>
    <row r="417" spans="1:18" x14ac:dyDescent="0.2">
      <c r="A417" s="18" t="str">
        <f t="shared" si="18"/>
        <v>049636010921.23.03668</v>
      </c>
      <c r="B417" s="51" t="s">
        <v>1804</v>
      </c>
      <c r="C417" s="51" t="s">
        <v>343</v>
      </c>
      <c r="D417" s="51" t="s">
        <v>249</v>
      </c>
      <c r="E417" s="51" t="s">
        <v>250</v>
      </c>
      <c r="F417" s="18" t="s">
        <v>328</v>
      </c>
      <c r="G417" s="52">
        <v>45930</v>
      </c>
      <c r="H417" s="18" t="s">
        <v>329</v>
      </c>
      <c r="I417" s="53">
        <v>4</v>
      </c>
      <c r="J417" s="54">
        <v>8.5</v>
      </c>
      <c r="K417" s="54">
        <v>34</v>
      </c>
      <c r="L417" s="18" t="s">
        <v>330</v>
      </c>
      <c r="M417" s="18" t="s">
        <v>331</v>
      </c>
      <c r="N417" s="55">
        <v>46038</v>
      </c>
      <c r="O417" s="18" t="str">
        <f>IFERROR(VLOOKUP(A417,'[2]RELAÇÃO DE OC''S VMI MEC 030226'!$B:$P,15,FALSE),"-")</f>
        <v>-</v>
      </c>
      <c r="P417" s="56">
        <f t="shared" ca="1" si="19"/>
        <v>38</v>
      </c>
      <c r="Q417" s="18" t="str">
        <f t="shared" ca="1" si="20"/>
        <v>ATRASADO</v>
      </c>
      <c r="R417" s="19" t="s">
        <v>5645</v>
      </c>
    </row>
    <row r="418" spans="1:18" x14ac:dyDescent="0.2">
      <c r="A418" s="18" t="str">
        <f t="shared" si="18"/>
        <v>049636011021.23.03669</v>
      </c>
      <c r="B418" s="51" t="s">
        <v>1804</v>
      </c>
      <c r="C418" s="51" t="s">
        <v>707</v>
      </c>
      <c r="D418" s="51" t="s">
        <v>647</v>
      </c>
      <c r="E418" s="51" t="s">
        <v>648</v>
      </c>
      <c r="F418" s="18" t="s">
        <v>328</v>
      </c>
      <c r="G418" s="52">
        <v>45930</v>
      </c>
      <c r="H418" s="18" t="s">
        <v>329</v>
      </c>
      <c r="I418" s="53">
        <v>2</v>
      </c>
      <c r="J418" s="54">
        <v>16.2</v>
      </c>
      <c r="K418" s="54">
        <v>32.4</v>
      </c>
      <c r="L418" s="18" t="s">
        <v>330</v>
      </c>
      <c r="M418" s="18" t="s">
        <v>331</v>
      </c>
      <c r="N418" s="55">
        <v>46038</v>
      </c>
      <c r="O418" s="18" t="str">
        <f>IFERROR(VLOOKUP(A418,'[2]RELAÇÃO DE OC''S VMI MEC 030226'!$B:$P,15,FALSE),"-")</f>
        <v>-</v>
      </c>
      <c r="P418" s="56">
        <f t="shared" ca="1" si="19"/>
        <v>38</v>
      </c>
      <c r="Q418" s="18" t="str">
        <f t="shared" ca="1" si="20"/>
        <v>ATRASADO</v>
      </c>
      <c r="R418" s="19" t="s">
        <v>5645</v>
      </c>
    </row>
    <row r="419" spans="1:18" x14ac:dyDescent="0.2">
      <c r="A419" s="18" t="str">
        <f t="shared" si="18"/>
        <v>049636011121.23.03670</v>
      </c>
      <c r="B419" s="51" t="s">
        <v>1804</v>
      </c>
      <c r="C419" s="51" t="s">
        <v>407</v>
      </c>
      <c r="D419" s="51" t="s">
        <v>251</v>
      </c>
      <c r="E419" s="51" t="s">
        <v>252</v>
      </c>
      <c r="F419" s="18" t="s">
        <v>328</v>
      </c>
      <c r="G419" s="52">
        <v>45930</v>
      </c>
      <c r="H419" s="18" t="s">
        <v>329</v>
      </c>
      <c r="I419" s="53">
        <v>2</v>
      </c>
      <c r="J419" s="54">
        <v>15</v>
      </c>
      <c r="K419" s="54">
        <v>30</v>
      </c>
      <c r="L419" s="18" t="s">
        <v>330</v>
      </c>
      <c r="M419" s="18" t="s">
        <v>331</v>
      </c>
      <c r="N419" s="55">
        <v>46038</v>
      </c>
      <c r="O419" s="18" t="str">
        <f>IFERROR(VLOOKUP(A419,'[2]RELAÇÃO DE OC''S VMI MEC 030226'!$B:$P,15,FALSE),"-")</f>
        <v>-</v>
      </c>
      <c r="P419" s="56">
        <f t="shared" ca="1" si="19"/>
        <v>38</v>
      </c>
      <c r="Q419" s="18" t="str">
        <f t="shared" ca="1" si="20"/>
        <v>ATRASADO</v>
      </c>
      <c r="R419" s="19" t="s">
        <v>5645</v>
      </c>
    </row>
    <row r="420" spans="1:18" x14ac:dyDescent="0.2">
      <c r="A420" s="18" t="str">
        <f t="shared" si="18"/>
        <v>049636011221.23.03803</v>
      </c>
      <c r="B420" s="51" t="s">
        <v>1804</v>
      </c>
      <c r="C420" s="51" t="s">
        <v>431</v>
      </c>
      <c r="D420" s="51" t="s">
        <v>649</v>
      </c>
      <c r="E420" s="51" t="s">
        <v>650</v>
      </c>
      <c r="F420" s="18" t="s">
        <v>328</v>
      </c>
      <c r="G420" s="52">
        <v>45930</v>
      </c>
      <c r="H420" s="18" t="s">
        <v>329</v>
      </c>
      <c r="I420" s="53">
        <v>2</v>
      </c>
      <c r="J420" s="54">
        <v>12.7</v>
      </c>
      <c r="K420" s="54">
        <v>25.4</v>
      </c>
      <c r="L420" s="18" t="s">
        <v>330</v>
      </c>
      <c r="M420" s="18" t="s">
        <v>331</v>
      </c>
      <c r="N420" s="55">
        <v>46038</v>
      </c>
      <c r="O420" s="18" t="str">
        <f>IFERROR(VLOOKUP(A420,'[2]RELAÇÃO DE OC''S VMI MEC 030226'!$B:$P,15,FALSE),"-")</f>
        <v>-</v>
      </c>
      <c r="P420" s="56">
        <f t="shared" ca="1" si="19"/>
        <v>38</v>
      </c>
      <c r="Q420" s="18" t="str">
        <f t="shared" ca="1" si="20"/>
        <v>ATRASADO</v>
      </c>
      <c r="R420" s="19" t="s">
        <v>5645</v>
      </c>
    </row>
    <row r="421" spans="1:18" x14ac:dyDescent="0.2">
      <c r="A421" s="18" t="str">
        <f t="shared" si="18"/>
        <v>049636011721.23.04593</v>
      </c>
      <c r="B421" s="51" t="s">
        <v>1804</v>
      </c>
      <c r="C421" s="51" t="s">
        <v>408</v>
      </c>
      <c r="D421" s="51" t="s">
        <v>732</v>
      </c>
      <c r="E421" s="51" t="s">
        <v>733</v>
      </c>
      <c r="F421" s="18" t="s">
        <v>328</v>
      </c>
      <c r="G421" s="52">
        <v>45930</v>
      </c>
      <c r="H421" s="18" t="s">
        <v>329</v>
      </c>
      <c r="I421" s="53">
        <v>7</v>
      </c>
      <c r="J421" s="54">
        <v>16.89</v>
      </c>
      <c r="K421" s="54">
        <v>236.46</v>
      </c>
      <c r="L421" s="18" t="s">
        <v>330</v>
      </c>
      <c r="M421" s="18" t="s">
        <v>331</v>
      </c>
      <c r="N421" s="55">
        <v>46038</v>
      </c>
      <c r="O421" s="18" t="str">
        <f>IFERROR(VLOOKUP(A421,'[2]RELAÇÃO DE OC''S VMI MEC 030226'!$B:$P,15,FALSE),"-")</f>
        <v>-</v>
      </c>
      <c r="P421" s="56">
        <f t="shared" ca="1" si="19"/>
        <v>38</v>
      </c>
      <c r="Q421" s="18" t="str">
        <f t="shared" ca="1" si="20"/>
        <v>ATRASADO</v>
      </c>
      <c r="R421" s="19" t="s">
        <v>5645</v>
      </c>
    </row>
    <row r="422" spans="1:18" x14ac:dyDescent="0.2">
      <c r="A422" s="18" t="str">
        <f t="shared" si="18"/>
        <v>049636011821.23.04598</v>
      </c>
      <c r="B422" s="51" t="s">
        <v>1804</v>
      </c>
      <c r="C422" s="51" t="s">
        <v>447</v>
      </c>
      <c r="D422" s="51" t="s">
        <v>651</v>
      </c>
      <c r="E422" s="51" t="s">
        <v>652</v>
      </c>
      <c r="F422" s="18" t="s">
        <v>328</v>
      </c>
      <c r="G422" s="52">
        <v>45930</v>
      </c>
      <c r="H422" s="18" t="s">
        <v>329</v>
      </c>
      <c r="I422" s="53">
        <v>3</v>
      </c>
      <c r="J422" s="54">
        <v>13.7</v>
      </c>
      <c r="K422" s="54">
        <v>82.2</v>
      </c>
      <c r="L422" s="18" t="s">
        <v>330</v>
      </c>
      <c r="M422" s="18" t="s">
        <v>331</v>
      </c>
      <c r="N422" s="55">
        <v>46038</v>
      </c>
      <c r="O422" s="18" t="str">
        <f>IFERROR(VLOOKUP(A422,'[2]RELAÇÃO DE OC''S VMI MEC 030226'!$B:$P,15,FALSE),"-")</f>
        <v>-</v>
      </c>
      <c r="P422" s="56">
        <f t="shared" ca="1" si="19"/>
        <v>38</v>
      </c>
      <c r="Q422" s="18" t="str">
        <f t="shared" ca="1" si="20"/>
        <v>ATRASADO</v>
      </c>
      <c r="R422" s="19" t="s">
        <v>5645</v>
      </c>
    </row>
    <row r="423" spans="1:18" x14ac:dyDescent="0.2">
      <c r="A423" s="18" t="str">
        <f t="shared" si="18"/>
        <v>049636011921.23.04599</v>
      </c>
      <c r="B423" s="51" t="s">
        <v>1804</v>
      </c>
      <c r="C423" s="51" t="s">
        <v>708</v>
      </c>
      <c r="D423" s="51" t="s">
        <v>653</v>
      </c>
      <c r="E423" s="51" t="s">
        <v>654</v>
      </c>
      <c r="F423" s="18" t="s">
        <v>328</v>
      </c>
      <c r="G423" s="52">
        <v>45930</v>
      </c>
      <c r="H423" s="18" t="s">
        <v>329</v>
      </c>
      <c r="I423" s="53">
        <v>2</v>
      </c>
      <c r="J423" s="54">
        <v>6.6</v>
      </c>
      <c r="K423" s="54">
        <v>13.2</v>
      </c>
      <c r="L423" s="18" t="s">
        <v>330</v>
      </c>
      <c r="M423" s="18" t="s">
        <v>331</v>
      </c>
      <c r="N423" s="55">
        <v>46038</v>
      </c>
      <c r="O423" s="18" t="str">
        <f>IFERROR(VLOOKUP(A423,'[2]RELAÇÃO DE OC''S VMI MEC 030226'!$B:$P,15,FALSE),"-")</f>
        <v>-</v>
      </c>
      <c r="P423" s="56">
        <f t="shared" ca="1" si="19"/>
        <v>38</v>
      </c>
      <c r="Q423" s="18" t="str">
        <f t="shared" ca="1" si="20"/>
        <v>ATRASADO</v>
      </c>
      <c r="R423" s="19" t="s">
        <v>5645</v>
      </c>
    </row>
    <row r="424" spans="1:18" x14ac:dyDescent="0.2">
      <c r="A424" s="18" t="str">
        <f t="shared" si="18"/>
        <v>049636012021.23.04600</v>
      </c>
      <c r="B424" s="51" t="s">
        <v>1804</v>
      </c>
      <c r="C424" s="51" t="s">
        <v>409</v>
      </c>
      <c r="D424" s="51" t="s">
        <v>655</v>
      </c>
      <c r="E424" s="51" t="s">
        <v>656</v>
      </c>
      <c r="F424" s="18" t="s">
        <v>328</v>
      </c>
      <c r="G424" s="52">
        <v>45930</v>
      </c>
      <c r="H424" s="18" t="s">
        <v>329</v>
      </c>
      <c r="I424" s="53">
        <v>2</v>
      </c>
      <c r="J424" s="54">
        <v>11.8</v>
      </c>
      <c r="K424" s="54">
        <v>23.6</v>
      </c>
      <c r="L424" s="18" t="s">
        <v>330</v>
      </c>
      <c r="M424" s="18" t="s">
        <v>331</v>
      </c>
      <c r="N424" s="55">
        <v>46038</v>
      </c>
      <c r="O424" s="18" t="str">
        <f>IFERROR(VLOOKUP(A424,'[2]RELAÇÃO DE OC''S VMI MEC 030226'!$B:$P,15,FALSE),"-")</f>
        <v>-</v>
      </c>
      <c r="P424" s="56">
        <f t="shared" ca="1" si="19"/>
        <v>38</v>
      </c>
      <c r="Q424" s="18" t="str">
        <f t="shared" ca="1" si="20"/>
        <v>ATRASADO</v>
      </c>
      <c r="R424" s="19" t="s">
        <v>5645</v>
      </c>
    </row>
    <row r="425" spans="1:18" x14ac:dyDescent="0.2">
      <c r="A425" s="18" t="str">
        <f t="shared" si="18"/>
        <v>049636012121.23.04601</v>
      </c>
      <c r="B425" s="51" t="s">
        <v>1804</v>
      </c>
      <c r="C425" s="51" t="s">
        <v>410</v>
      </c>
      <c r="D425" s="51" t="s">
        <v>657</v>
      </c>
      <c r="E425" s="51" t="s">
        <v>658</v>
      </c>
      <c r="F425" s="18" t="s">
        <v>328</v>
      </c>
      <c r="G425" s="52">
        <v>45930</v>
      </c>
      <c r="H425" s="18" t="s">
        <v>329</v>
      </c>
      <c r="I425" s="53">
        <v>4</v>
      </c>
      <c r="J425" s="54">
        <v>9.6999999999999993</v>
      </c>
      <c r="K425" s="54">
        <v>38.799999999999997</v>
      </c>
      <c r="L425" s="18" t="s">
        <v>330</v>
      </c>
      <c r="M425" s="18" t="s">
        <v>331</v>
      </c>
      <c r="N425" s="55">
        <v>46038</v>
      </c>
      <c r="O425" s="18" t="str">
        <f>IFERROR(VLOOKUP(A425,'[2]RELAÇÃO DE OC''S VMI MEC 030226'!$B:$P,15,FALSE),"-")</f>
        <v>-</v>
      </c>
      <c r="P425" s="56">
        <f t="shared" ca="1" si="19"/>
        <v>38</v>
      </c>
      <c r="Q425" s="18" t="str">
        <f t="shared" ca="1" si="20"/>
        <v>ATRASADO</v>
      </c>
      <c r="R425" s="19" t="s">
        <v>5645</v>
      </c>
    </row>
    <row r="426" spans="1:18" x14ac:dyDescent="0.2">
      <c r="A426" s="18" t="str">
        <f t="shared" si="18"/>
        <v>049636012221.23.04602</v>
      </c>
      <c r="B426" s="51" t="s">
        <v>1804</v>
      </c>
      <c r="C426" s="51" t="s">
        <v>411</v>
      </c>
      <c r="D426" s="51" t="s">
        <v>659</v>
      </c>
      <c r="E426" s="51" t="s">
        <v>660</v>
      </c>
      <c r="F426" s="18" t="s">
        <v>328</v>
      </c>
      <c r="G426" s="52">
        <v>45930</v>
      </c>
      <c r="H426" s="18" t="s">
        <v>329</v>
      </c>
      <c r="I426" s="53">
        <v>4</v>
      </c>
      <c r="J426" s="54">
        <v>9.9</v>
      </c>
      <c r="K426" s="54">
        <v>39.6</v>
      </c>
      <c r="L426" s="18" t="s">
        <v>330</v>
      </c>
      <c r="M426" s="18" t="s">
        <v>331</v>
      </c>
      <c r="N426" s="55">
        <v>46038</v>
      </c>
      <c r="O426" s="18" t="str">
        <f>IFERROR(VLOOKUP(A426,'[2]RELAÇÃO DE OC''S VMI MEC 030226'!$B:$P,15,FALSE),"-")</f>
        <v>-</v>
      </c>
      <c r="P426" s="56">
        <f t="shared" ca="1" si="19"/>
        <v>38</v>
      </c>
      <c r="Q426" s="18" t="str">
        <f t="shared" ca="1" si="20"/>
        <v>ATRASADO</v>
      </c>
      <c r="R426" s="19" t="s">
        <v>5645</v>
      </c>
    </row>
    <row r="427" spans="1:18" x14ac:dyDescent="0.2">
      <c r="A427" s="18" t="str">
        <f t="shared" si="18"/>
        <v>049636012321.23.04605</v>
      </c>
      <c r="B427" s="51" t="s">
        <v>1804</v>
      </c>
      <c r="C427" s="51" t="s">
        <v>412</v>
      </c>
      <c r="D427" s="51" t="s">
        <v>661</v>
      </c>
      <c r="E427" s="51" t="s">
        <v>662</v>
      </c>
      <c r="F427" s="18" t="s">
        <v>328</v>
      </c>
      <c r="G427" s="52">
        <v>45930</v>
      </c>
      <c r="H427" s="18" t="s">
        <v>329</v>
      </c>
      <c r="I427" s="53">
        <v>10</v>
      </c>
      <c r="J427" s="54">
        <v>13.22</v>
      </c>
      <c r="K427" s="54">
        <v>132.19999999999999</v>
      </c>
      <c r="L427" s="18" t="s">
        <v>330</v>
      </c>
      <c r="M427" s="18" t="s">
        <v>331</v>
      </c>
      <c r="N427" s="55">
        <v>46038</v>
      </c>
      <c r="O427" s="18" t="str">
        <f>IFERROR(VLOOKUP(A427,'[2]RELAÇÃO DE OC''S VMI MEC 030226'!$B:$P,15,FALSE),"-")</f>
        <v>-</v>
      </c>
      <c r="P427" s="56">
        <f t="shared" ca="1" si="19"/>
        <v>38</v>
      </c>
      <c r="Q427" s="18" t="str">
        <f t="shared" ca="1" si="20"/>
        <v>ATRASADO</v>
      </c>
      <c r="R427" s="19" t="s">
        <v>5645</v>
      </c>
    </row>
    <row r="428" spans="1:18" ht="53.25" x14ac:dyDescent="0.2">
      <c r="A428" s="18" t="str">
        <f t="shared" si="18"/>
        <v>049636012421.23.04608</v>
      </c>
      <c r="B428" s="51" t="s">
        <v>1804</v>
      </c>
      <c r="C428" s="51" t="s">
        <v>709</v>
      </c>
      <c r="D428" s="51" t="s">
        <v>259</v>
      </c>
      <c r="E428" s="51" t="s">
        <v>260</v>
      </c>
      <c r="F428" s="18" t="s">
        <v>328</v>
      </c>
      <c r="G428" s="52">
        <v>45930</v>
      </c>
      <c r="H428" s="18" t="s">
        <v>329</v>
      </c>
      <c r="I428" s="53">
        <v>2</v>
      </c>
      <c r="J428" s="54">
        <v>1199.95</v>
      </c>
      <c r="K428" s="54">
        <v>2399.9</v>
      </c>
      <c r="L428" s="18" t="s">
        <v>330</v>
      </c>
      <c r="M428" s="18" t="s">
        <v>331</v>
      </c>
      <c r="N428" s="55">
        <v>46038</v>
      </c>
      <c r="O428" s="18" t="str">
        <f>IFERROR(VLOOKUP(A428,'[2]RELAÇÃO DE OC''S VMI MEC 030226'!$B:$P,15,FALSE),"-")</f>
        <v>-</v>
      </c>
      <c r="P428" s="56">
        <f t="shared" ca="1" si="19"/>
        <v>38</v>
      </c>
      <c r="Q428" s="18" t="str">
        <f t="shared" ca="1" si="20"/>
        <v>ATRASADO</v>
      </c>
      <c r="R428" s="19" t="s">
        <v>5659</v>
      </c>
    </row>
    <row r="429" spans="1:18" ht="42.75" x14ac:dyDescent="0.2">
      <c r="A429" s="18" t="str">
        <f t="shared" si="18"/>
        <v>049636012521.23.04617</v>
      </c>
      <c r="B429" s="51" t="s">
        <v>1804</v>
      </c>
      <c r="C429" s="51" t="s">
        <v>433</v>
      </c>
      <c r="D429" s="51" t="s">
        <v>663</v>
      </c>
      <c r="E429" s="51" t="s">
        <v>664</v>
      </c>
      <c r="F429" s="18" t="s">
        <v>328</v>
      </c>
      <c r="G429" s="52">
        <v>45930</v>
      </c>
      <c r="H429" s="18" t="s">
        <v>329</v>
      </c>
      <c r="I429" s="53">
        <v>4</v>
      </c>
      <c r="J429" s="54">
        <v>5.0999999999999996</v>
      </c>
      <c r="K429" s="54">
        <v>20.399999999999999</v>
      </c>
      <c r="L429" s="18" t="s">
        <v>330</v>
      </c>
      <c r="M429" s="18" t="s">
        <v>331</v>
      </c>
      <c r="N429" s="55">
        <v>46038</v>
      </c>
      <c r="O429" s="18" t="str">
        <f>IFERROR(VLOOKUP(A429,'[2]RELAÇÃO DE OC''S VMI MEC 030226'!$B:$P,15,FALSE),"-")</f>
        <v>-</v>
      </c>
      <c r="P429" s="56">
        <f t="shared" ca="1" si="19"/>
        <v>38</v>
      </c>
      <c r="Q429" s="18" t="str">
        <f t="shared" ca="1" si="20"/>
        <v>ATRASADO</v>
      </c>
      <c r="R429" s="19" t="s">
        <v>5671</v>
      </c>
    </row>
    <row r="430" spans="1:18" x14ac:dyDescent="0.2">
      <c r="A430" s="18" t="str">
        <f t="shared" si="18"/>
        <v>049636012621.23.04618</v>
      </c>
      <c r="B430" s="51" t="s">
        <v>1804</v>
      </c>
      <c r="C430" s="51" t="s">
        <v>434</v>
      </c>
      <c r="D430" s="51" t="s">
        <v>665</v>
      </c>
      <c r="E430" s="51" t="s">
        <v>666</v>
      </c>
      <c r="F430" s="18" t="s">
        <v>328</v>
      </c>
      <c r="G430" s="52">
        <v>45930</v>
      </c>
      <c r="H430" s="18" t="s">
        <v>329</v>
      </c>
      <c r="I430" s="53">
        <v>2</v>
      </c>
      <c r="J430" s="54">
        <v>60.6</v>
      </c>
      <c r="K430" s="54">
        <v>121.2</v>
      </c>
      <c r="L430" s="18" t="s">
        <v>330</v>
      </c>
      <c r="M430" s="18" t="s">
        <v>331</v>
      </c>
      <c r="N430" s="55">
        <v>46038</v>
      </c>
      <c r="O430" s="18" t="str">
        <f>IFERROR(VLOOKUP(A430,'[2]RELAÇÃO DE OC''S VMI MEC 030226'!$B:$P,15,FALSE),"-")</f>
        <v>-</v>
      </c>
      <c r="P430" s="56">
        <f t="shared" ca="1" si="19"/>
        <v>38</v>
      </c>
      <c r="Q430" s="18" t="str">
        <f t="shared" ca="1" si="20"/>
        <v>ATRASADO</v>
      </c>
      <c r="R430" s="19" t="s">
        <v>5645</v>
      </c>
    </row>
    <row r="431" spans="1:18" ht="53.25" x14ac:dyDescent="0.2">
      <c r="A431" s="18" t="str">
        <f t="shared" si="18"/>
        <v>049636012821.23.04622</v>
      </c>
      <c r="B431" s="51" t="s">
        <v>1804</v>
      </c>
      <c r="C431" s="51" t="s">
        <v>710</v>
      </c>
      <c r="D431" s="51" t="s">
        <v>734</v>
      </c>
      <c r="E431" s="51" t="s">
        <v>735</v>
      </c>
      <c r="F431" s="18" t="s">
        <v>328</v>
      </c>
      <c r="G431" s="52">
        <v>45930</v>
      </c>
      <c r="H431" s="18" t="s">
        <v>329</v>
      </c>
      <c r="I431" s="53">
        <v>2</v>
      </c>
      <c r="J431" s="54">
        <v>70.42</v>
      </c>
      <c r="K431" s="54">
        <v>140.84</v>
      </c>
      <c r="L431" s="18" t="s">
        <v>330</v>
      </c>
      <c r="M431" s="18" t="s">
        <v>331</v>
      </c>
      <c r="N431" s="55">
        <v>46038</v>
      </c>
      <c r="O431" s="18" t="str">
        <f>IFERROR(VLOOKUP(A431,'[2]RELAÇÃO DE OC''S VMI MEC 030226'!$B:$P,15,FALSE),"-")</f>
        <v>-</v>
      </c>
      <c r="P431" s="56">
        <f t="shared" ca="1" si="19"/>
        <v>38</v>
      </c>
      <c r="Q431" s="18" t="str">
        <f t="shared" ca="1" si="20"/>
        <v>ATRASADO</v>
      </c>
      <c r="R431" s="19" t="s">
        <v>5654</v>
      </c>
    </row>
    <row r="432" spans="1:18" x14ac:dyDescent="0.2">
      <c r="A432" s="18" t="str">
        <f t="shared" si="18"/>
        <v>049636012921.23.04635</v>
      </c>
      <c r="B432" s="51" t="s">
        <v>1804</v>
      </c>
      <c r="C432" s="51" t="s">
        <v>413</v>
      </c>
      <c r="D432" s="51" t="s">
        <v>261</v>
      </c>
      <c r="E432" s="51" t="s">
        <v>262</v>
      </c>
      <c r="F432" s="18" t="s">
        <v>328</v>
      </c>
      <c r="G432" s="52">
        <v>45930</v>
      </c>
      <c r="H432" s="18" t="s">
        <v>329</v>
      </c>
      <c r="I432" s="53">
        <v>2</v>
      </c>
      <c r="J432" s="54">
        <v>337.04</v>
      </c>
      <c r="K432" s="54">
        <v>674.08</v>
      </c>
      <c r="L432" s="18" t="s">
        <v>330</v>
      </c>
      <c r="M432" s="18" t="s">
        <v>331</v>
      </c>
      <c r="N432" s="55">
        <v>46038</v>
      </c>
      <c r="O432" s="18" t="str">
        <f>IFERROR(VLOOKUP(A432,'[2]RELAÇÃO DE OC''S VMI MEC 030226'!$B:$P,15,FALSE),"-")</f>
        <v>-</v>
      </c>
      <c r="P432" s="56">
        <f t="shared" ca="1" si="19"/>
        <v>38</v>
      </c>
      <c r="Q432" s="18" t="str">
        <f t="shared" ca="1" si="20"/>
        <v>ATRASADO</v>
      </c>
      <c r="R432" s="19" t="s">
        <v>5645</v>
      </c>
    </row>
    <row r="433" spans="1:18" x14ac:dyDescent="0.2">
      <c r="A433" s="18" t="str">
        <f t="shared" si="18"/>
        <v>049636013421.23.04712</v>
      </c>
      <c r="B433" s="51" t="s">
        <v>1804</v>
      </c>
      <c r="C433" s="51" t="s">
        <v>714</v>
      </c>
      <c r="D433" s="51" t="s">
        <v>675</v>
      </c>
      <c r="E433" s="51" t="s">
        <v>676</v>
      </c>
      <c r="F433" s="18" t="s">
        <v>328</v>
      </c>
      <c r="G433" s="52">
        <v>45930</v>
      </c>
      <c r="H433" s="18" t="s">
        <v>329</v>
      </c>
      <c r="I433" s="53">
        <v>2</v>
      </c>
      <c r="J433" s="54">
        <v>48.7</v>
      </c>
      <c r="K433" s="54">
        <v>97.4</v>
      </c>
      <c r="L433" s="18" t="s">
        <v>330</v>
      </c>
      <c r="M433" s="18" t="s">
        <v>331</v>
      </c>
      <c r="N433" s="55">
        <v>46038</v>
      </c>
      <c r="O433" s="18" t="str">
        <f>IFERROR(VLOOKUP(A433,'[2]RELAÇÃO DE OC''S VMI MEC 030226'!$B:$P,15,FALSE),"-")</f>
        <v>-</v>
      </c>
      <c r="P433" s="56">
        <f t="shared" ca="1" si="19"/>
        <v>38</v>
      </c>
      <c r="Q433" s="18" t="str">
        <f t="shared" ca="1" si="20"/>
        <v>ATRASADO</v>
      </c>
      <c r="R433" s="19" t="s">
        <v>5645</v>
      </c>
    </row>
    <row r="434" spans="1:18" ht="53.25" x14ac:dyDescent="0.2">
      <c r="A434" s="18" t="str">
        <f t="shared" si="18"/>
        <v>049636013521.23.04713</v>
      </c>
      <c r="B434" s="51" t="s">
        <v>1804</v>
      </c>
      <c r="C434" s="51" t="s">
        <v>347</v>
      </c>
      <c r="D434" s="51" t="s">
        <v>677</v>
      </c>
      <c r="E434" s="51" t="s">
        <v>678</v>
      </c>
      <c r="F434" s="18" t="s">
        <v>328</v>
      </c>
      <c r="G434" s="52">
        <v>45930</v>
      </c>
      <c r="H434" s="18" t="s">
        <v>329</v>
      </c>
      <c r="I434" s="53">
        <v>1</v>
      </c>
      <c r="J434" s="54">
        <v>48.2</v>
      </c>
      <c r="K434" s="54">
        <v>96.4</v>
      </c>
      <c r="L434" s="18" t="s">
        <v>330</v>
      </c>
      <c r="M434" s="18" t="s">
        <v>331</v>
      </c>
      <c r="N434" s="55">
        <v>46038</v>
      </c>
      <c r="O434" s="18" t="str">
        <f>IFERROR(VLOOKUP(A434,'[2]RELAÇÃO DE OC''S VMI MEC 030226'!$B:$P,15,FALSE),"-")</f>
        <v>-</v>
      </c>
      <c r="P434" s="56">
        <f t="shared" ca="1" si="19"/>
        <v>38</v>
      </c>
      <c r="Q434" s="18" t="str">
        <f t="shared" ca="1" si="20"/>
        <v>ATRASADO</v>
      </c>
      <c r="R434" s="19" t="s">
        <v>5672</v>
      </c>
    </row>
    <row r="435" spans="1:18" ht="53.25" x14ac:dyDescent="0.2">
      <c r="A435" s="18" t="str">
        <f t="shared" si="18"/>
        <v>049636013633.14.10239.00</v>
      </c>
      <c r="B435" s="51" t="s">
        <v>1804</v>
      </c>
      <c r="C435" s="51" t="s">
        <v>436</v>
      </c>
      <c r="D435" s="51" t="s">
        <v>286</v>
      </c>
      <c r="E435" s="51" t="s">
        <v>287</v>
      </c>
      <c r="F435" s="18" t="s">
        <v>328</v>
      </c>
      <c r="G435" s="52">
        <v>45930</v>
      </c>
      <c r="H435" s="18" t="s">
        <v>329</v>
      </c>
      <c r="I435" s="53">
        <v>12</v>
      </c>
      <c r="J435" s="54">
        <v>5.2</v>
      </c>
      <c r="K435" s="54">
        <v>62.4</v>
      </c>
      <c r="L435" s="18" t="s">
        <v>330</v>
      </c>
      <c r="M435" s="18" t="s">
        <v>331</v>
      </c>
      <c r="N435" s="55">
        <v>46038</v>
      </c>
      <c r="O435" s="18" t="str">
        <f>IFERROR(VLOOKUP(A435,'[2]RELAÇÃO DE OC''S VMI MEC 030226'!$B:$P,15,FALSE),"-")</f>
        <v>-</v>
      </c>
      <c r="P435" s="56">
        <f t="shared" ca="1" si="19"/>
        <v>38</v>
      </c>
      <c r="Q435" s="18" t="str">
        <f t="shared" ca="1" si="20"/>
        <v>ATRASADO</v>
      </c>
      <c r="R435" s="19" t="s">
        <v>5672</v>
      </c>
    </row>
    <row r="436" spans="1:18" x14ac:dyDescent="0.2">
      <c r="A436" s="18" t="str">
        <f t="shared" si="18"/>
        <v>049636013733.14.10244.01</v>
      </c>
      <c r="B436" s="51" t="s">
        <v>1804</v>
      </c>
      <c r="C436" s="51" t="s">
        <v>715</v>
      </c>
      <c r="D436" s="51" t="s">
        <v>736</v>
      </c>
      <c r="E436" s="51" t="s">
        <v>737</v>
      </c>
      <c r="F436" s="18" t="s">
        <v>328</v>
      </c>
      <c r="G436" s="52">
        <v>45930</v>
      </c>
      <c r="H436" s="18" t="s">
        <v>329</v>
      </c>
      <c r="I436" s="53">
        <v>2</v>
      </c>
      <c r="J436" s="54">
        <v>165</v>
      </c>
      <c r="K436" s="54">
        <v>330</v>
      </c>
      <c r="L436" s="18" t="s">
        <v>330</v>
      </c>
      <c r="M436" s="18" t="s">
        <v>331</v>
      </c>
      <c r="N436" s="55">
        <v>46038</v>
      </c>
      <c r="O436" s="18" t="str">
        <f>IFERROR(VLOOKUP(A436,'[2]RELAÇÃO DE OC''S VMI MEC 030226'!$B:$P,15,FALSE),"-")</f>
        <v>-</v>
      </c>
      <c r="P436" s="56">
        <f t="shared" ca="1" si="19"/>
        <v>38</v>
      </c>
      <c r="Q436" s="18" t="str">
        <f t="shared" ca="1" si="20"/>
        <v>ATRASADO</v>
      </c>
      <c r="R436" s="19" t="s">
        <v>5645</v>
      </c>
    </row>
    <row r="437" spans="1:18" x14ac:dyDescent="0.2">
      <c r="A437" s="18" t="str">
        <f t="shared" si="18"/>
        <v>049636013833.14.10252.00</v>
      </c>
      <c r="B437" s="51" t="s">
        <v>1804</v>
      </c>
      <c r="C437" s="51" t="s">
        <v>414</v>
      </c>
      <c r="D437" s="51" t="s">
        <v>679</v>
      </c>
      <c r="E437" s="51" t="s">
        <v>680</v>
      </c>
      <c r="F437" s="18" t="s">
        <v>328</v>
      </c>
      <c r="G437" s="52">
        <v>45930</v>
      </c>
      <c r="H437" s="18" t="s">
        <v>329</v>
      </c>
      <c r="I437" s="53">
        <v>12</v>
      </c>
      <c r="J437" s="54">
        <v>6.82</v>
      </c>
      <c r="K437" s="54">
        <v>81.84</v>
      </c>
      <c r="L437" s="18" t="s">
        <v>330</v>
      </c>
      <c r="M437" s="18" t="s">
        <v>331</v>
      </c>
      <c r="N437" s="55">
        <v>46038</v>
      </c>
      <c r="O437" s="18" t="str">
        <f>IFERROR(VLOOKUP(A437,'[2]RELAÇÃO DE OC''S VMI MEC 030226'!$B:$P,15,FALSE),"-")</f>
        <v>-</v>
      </c>
      <c r="P437" s="56">
        <f t="shared" ca="1" si="19"/>
        <v>38</v>
      </c>
      <c r="Q437" s="18" t="str">
        <f t="shared" ca="1" si="20"/>
        <v>ATRASADO</v>
      </c>
      <c r="R437" s="19" t="s">
        <v>5645</v>
      </c>
    </row>
    <row r="438" spans="1:18" x14ac:dyDescent="0.2">
      <c r="A438" s="18" t="str">
        <f t="shared" si="18"/>
        <v>049636013933.14.10254.00</v>
      </c>
      <c r="B438" s="51" t="s">
        <v>1804</v>
      </c>
      <c r="C438" s="51" t="s">
        <v>415</v>
      </c>
      <c r="D438" s="51" t="s">
        <v>681</v>
      </c>
      <c r="E438" s="51" t="s">
        <v>682</v>
      </c>
      <c r="F438" s="18" t="s">
        <v>328</v>
      </c>
      <c r="G438" s="52">
        <v>45930</v>
      </c>
      <c r="H438" s="18" t="s">
        <v>329</v>
      </c>
      <c r="I438" s="53">
        <v>8</v>
      </c>
      <c r="J438" s="54">
        <v>4.2</v>
      </c>
      <c r="K438" s="54">
        <v>33.6</v>
      </c>
      <c r="L438" s="18" t="s">
        <v>330</v>
      </c>
      <c r="M438" s="18" t="s">
        <v>331</v>
      </c>
      <c r="N438" s="55">
        <v>46038</v>
      </c>
      <c r="O438" s="18" t="str">
        <f>IFERROR(VLOOKUP(A438,'[2]RELAÇÃO DE OC''S VMI MEC 030226'!$B:$P,15,FALSE),"-")</f>
        <v>-</v>
      </c>
      <c r="P438" s="56">
        <f t="shared" ca="1" si="19"/>
        <v>38</v>
      </c>
      <c r="Q438" s="18" t="str">
        <f t="shared" ca="1" si="20"/>
        <v>ATRASADO</v>
      </c>
      <c r="R438" s="19" t="s">
        <v>5645</v>
      </c>
    </row>
    <row r="439" spans="1:18" ht="53.25" x14ac:dyDescent="0.2">
      <c r="A439" s="18" t="str">
        <f t="shared" si="18"/>
        <v>049636014033.14.10255.00</v>
      </c>
      <c r="B439" s="51" t="s">
        <v>1804</v>
      </c>
      <c r="C439" s="51" t="s">
        <v>348</v>
      </c>
      <c r="D439" s="51" t="s">
        <v>288</v>
      </c>
      <c r="E439" s="51" t="s">
        <v>289</v>
      </c>
      <c r="F439" s="18" t="s">
        <v>328</v>
      </c>
      <c r="G439" s="52">
        <v>45930</v>
      </c>
      <c r="H439" s="18" t="s">
        <v>329</v>
      </c>
      <c r="I439" s="53">
        <v>4</v>
      </c>
      <c r="J439" s="54">
        <v>2.4</v>
      </c>
      <c r="K439" s="54">
        <v>9.6</v>
      </c>
      <c r="L439" s="18" t="s">
        <v>330</v>
      </c>
      <c r="M439" s="18" t="s">
        <v>331</v>
      </c>
      <c r="N439" s="55">
        <v>46038</v>
      </c>
      <c r="O439" s="18" t="str">
        <f>IFERROR(VLOOKUP(A439,'[2]RELAÇÃO DE OC''S VMI MEC 030226'!$B:$P,15,FALSE),"-")</f>
        <v>-</v>
      </c>
      <c r="P439" s="56">
        <f t="shared" ca="1" si="19"/>
        <v>38</v>
      </c>
      <c r="Q439" s="18" t="str">
        <f t="shared" ca="1" si="20"/>
        <v>ATRASADO</v>
      </c>
      <c r="R439" s="19" t="s">
        <v>5655</v>
      </c>
    </row>
    <row r="440" spans="1:18" x14ac:dyDescent="0.2">
      <c r="A440" s="18" t="str">
        <f t="shared" si="18"/>
        <v>049636014133.14.10257.00</v>
      </c>
      <c r="B440" s="51" t="s">
        <v>1804</v>
      </c>
      <c r="C440" s="51" t="s">
        <v>349</v>
      </c>
      <c r="D440" s="51" t="s">
        <v>290</v>
      </c>
      <c r="E440" s="51" t="s">
        <v>291</v>
      </c>
      <c r="F440" s="18" t="s">
        <v>328</v>
      </c>
      <c r="G440" s="52">
        <v>45930</v>
      </c>
      <c r="H440" s="18" t="s">
        <v>329</v>
      </c>
      <c r="I440" s="53">
        <v>2</v>
      </c>
      <c r="J440" s="54">
        <v>413.1</v>
      </c>
      <c r="K440" s="54">
        <v>826.2</v>
      </c>
      <c r="L440" s="18" t="s">
        <v>330</v>
      </c>
      <c r="M440" s="18" t="s">
        <v>331</v>
      </c>
      <c r="N440" s="55">
        <v>46038</v>
      </c>
      <c r="O440" s="18" t="str">
        <f>IFERROR(VLOOKUP(A440,'[2]RELAÇÃO DE OC''S VMI MEC 030226'!$B:$P,15,FALSE),"-")</f>
        <v>-</v>
      </c>
      <c r="P440" s="56">
        <f t="shared" ca="1" si="19"/>
        <v>38</v>
      </c>
      <c r="Q440" s="18" t="str">
        <f t="shared" ca="1" si="20"/>
        <v>ATRASADO</v>
      </c>
      <c r="R440" s="19" t="s">
        <v>5645</v>
      </c>
    </row>
    <row r="441" spans="1:18" x14ac:dyDescent="0.2">
      <c r="A441" s="18" t="str">
        <f t="shared" si="18"/>
        <v>049636014233.14.10258.00</v>
      </c>
      <c r="B441" s="51" t="s">
        <v>1804</v>
      </c>
      <c r="C441" s="51" t="s">
        <v>437</v>
      </c>
      <c r="D441" s="51" t="s">
        <v>292</v>
      </c>
      <c r="E441" s="51" t="s">
        <v>293</v>
      </c>
      <c r="F441" s="18" t="s">
        <v>328</v>
      </c>
      <c r="G441" s="52">
        <v>45930</v>
      </c>
      <c r="H441" s="18" t="s">
        <v>329</v>
      </c>
      <c r="I441" s="53">
        <v>2</v>
      </c>
      <c r="J441" s="54">
        <v>413.1</v>
      </c>
      <c r="K441" s="54">
        <v>826.2</v>
      </c>
      <c r="L441" s="18" t="s">
        <v>330</v>
      </c>
      <c r="M441" s="18" t="s">
        <v>331</v>
      </c>
      <c r="N441" s="55">
        <v>46038</v>
      </c>
      <c r="O441" s="18" t="str">
        <f>IFERROR(VLOOKUP(A441,'[2]RELAÇÃO DE OC''S VMI MEC 030226'!$B:$P,15,FALSE),"-")</f>
        <v>-</v>
      </c>
      <c r="P441" s="56">
        <f t="shared" ca="1" si="19"/>
        <v>38</v>
      </c>
      <c r="Q441" s="18" t="str">
        <f t="shared" ca="1" si="20"/>
        <v>ATRASADO</v>
      </c>
      <c r="R441" s="19" t="s">
        <v>5645</v>
      </c>
    </row>
    <row r="442" spans="1:18" x14ac:dyDescent="0.2">
      <c r="A442" s="18" t="str">
        <f t="shared" si="18"/>
        <v>049636014333.14.10259.00</v>
      </c>
      <c r="B442" s="51" t="s">
        <v>1804</v>
      </c>
      <c r="C442" s="51" t="s">
        <v>716</v>
      </c>
      <c r="D442" s="51" t="s">
        <v>683</v>
      </c>
      <c r="E442" s="51" t="s">
        <v>684</v>
      </c>
      <c r="F442" s="18" t="s">
        <v>328</v>
      </c>
      <c r="G442" s="52">
        <v>45930</v>
      </c>
      <c r="H442" s="18" t="s">
        <v>329</v>
      </c>
      <c r="I442" s="53">
        <v>8</v>
      </c>
      <c r="J442" s="54">
        <v>16.3</v>
      </c>
      <c r="K442" s="54">
        <v>195.6</v>
      </c>
      <c r="L442" s="18" t="s">
        <v>330</v>
      </c>
      <c r="M442" s="18" t="s">
        <v>331</v>
      </c>
      <c r="N442" s="55">
        <v>46038</v>
      </c>
      <c r="O442" s="18" t="str">
        <f>IFERROR(VLOOKUP(A442,'[2]RELAÇÃO DE OC''S VMI MEC 030226'!$B:$P,15,FALSE),"-")</f>
        <v>-</v>
      </c>
      <c r="P442" s="56">
        <f t="shared" ca="1" si="19"/>
        <v>38</v>
      </c>
      <c r="Q442" s="18" t="str">
        <f t="shared" ca="1" si="20"/>
        <v>ATRASADO</v>
      </c>
      <c r="R442" s="19" t="s">
        <v>5645</v>
      </c>
    </row>
    <row r="443" spans="1:18" x14ac:dyDescent="0.2">
      <c r="A443" s="18" t="str">
        <f t="shared" si="18"/>
        <v>049636014433.14.10260.00</v>
      </c>
      <c r="B443" s="51" t="s">
        <v>1804</v>
      </c>
      <c r="C443" s="51" t="s">
        <v>717</v>
      </c>
      <c r="D443" s="51" t="s">
        <v>1807</v>
      </c>
      <c r="E443" s="51" t="s">
        <v>1808</v>
      </c>
      <c r="F443" s="18" t="s">
        <v>328</v>
      </c>
      <c r="G443" s="52">
        <v>45930</v>
      </c>
      <c r="H443" s="18" t="s">
        <v>329</v>
      </c>
      <c r="I443" s="53">
        <v>4</v>
      </c>
      <c r="J443" s="54">
        <v>1.6</v>
      </c>
      <c r="K443" s="54">
        <v>6.4</v>
      </c>
      <c r="L443" s="18" t="s">
        <v>330</v>
      </c>
      <c r="M443" s="18" t="s">
        <v>331</v>
      </c>
      <c r="N443" s="55">
        <v>46038</v>
      </c>
      <c r="O443" s="18" t="str">
        <f>IFERROR(VLOOKUP(A443,'[2]RELAÇÃO DE OC''S VMI MEC 030226'!$B:$P,15,FALSE),"-")</f>
        <v>-</v>
      </c>
      <c r="P443" s="56">
        <f t="shared" ca="1" si="19"/>
        <v>38</v>
      </c>
      <c r="Q443" s="18" t="str">
        <f t="shared" ca="1" si="20"/>
        <v>ATRASADO</v>
      </c>
      <c r="R443" s="19" t="s">
        <v>5645</v>
      </c>
    </row>
    <row r="444" spans="1:18" x14ac:dyDescent="0.2">
      <c r="A444" s="18" t="str">
        <f t="shared" si="18"/>
        <v>049636014733.14.10267.00</v>
      </c>
      <c r="B444" s="51" t="s">
        <v>1804</v>
      </c>
      <c r="C444" s="51" t="s">
        <v>738</v>
      </c>
      <c r="D444" s="51" t="s">
        <v>294</v>
      </c>
      <c r="E444" s="51" t="s">
        <v>295</v>
      </c>
      <c r="F444" s="18" t="s">
        <v>328</v>
      </c>
      <c r="G444" s="52">
        <v>45930</v>
      </c>
      <c r="H444" s="18" t="s">
        <v>329</v>
      </c>
      <c r="I444" s="53">
        <v>4</v>
      </c>
      <c r="J444" s="54">
        <v>14.7</v>
      </c>
      <c r="K444" s="54">
        <v>58.8</v>
      </c>
      <c r="L444" s="18" t="s">
        <v>330</v>
      </c>
      <c r="M444" s="18" t="s">
        <v>331</v>
      </c>
      <c r="N444" s="55">
        <v>46038</v>
      </c>
      <c r="O444" s="18" t="str">
        <f>IFERROR(VLOOKUP(A444,'[2]RELAÇÃO DE OC''S VMI MEC 030226'!$B:$P,15,FALSE),"-")</f>
        <v>-</v>
      </c>
      <c r="P444" s="56">
        <f t="shared" ca="1" si="19"/>
        <v>38</v>
      </c>
      <c r="Q444" s="18" t="str">
        <f t="shared" ca="1" si="20"/>
        <v>ATRASADO</v>
      </c>
      <c r="R444" s="19" t="s">
        <v>5645</v>
      </c>
    </row>
    <row r="445" spans="1:18" x14ac:dyDescent="0.2">
      <c r="A445" s="18" t="str">
        <f t="shared" si="18"/>
        <v>049636014833.14.10268.00</v>
      </c>
      <c r="B445" s="51" t="s">
        <v>1804</v>
      </c>
      <c r="C445" s="51" t="s">
        <v>739</v>
      </c>
      <c r="D445" s="51" t="s">
        <v>740</v>
      </c>
      <c r="E445" s="51" t="s">
        <v>741</v>
      </c>
      <c r="F445" s="18" t="s">
        <v>328</v>
      </c>
      <c r="G445" s="52">
        <v>45930</v>
      </c>
      <c r="H445" s="18" t="s">
        <v>329</v>
      </c>
      <c r="I445" s="53">
        <v>2</v>
      </c>
      <c r="J445" s="54">
        <v>41</v>
      </c>
      <c r="K445" s="54">
        <v>82</v>
      </c>
      <c r="L445" s="18" t="s">
        <v>330</v>
      </c>
      <c r="M445" s="18" t="s">
        <v>331</v>
      </c>
      <c r="N445" s="55">
        <v>46038</v>
      </c>
      <c r="O445" s="18" t="str">
        <f>IFERROR(VLOOKUP(A445,'[2]RELAÇÃO DE OC''S VMI MEC 030226'!$B:$P,15,FALSE),"-")</f>
        <v>-</v>
      </c>
      <c r="P445" s="56">
        <f t="shared" ca="1" si="19"/>
        <v>38</v>
      </c>
      <c r="Q445" s="18" t="str">
        <f t="shared" ca="1" si="20"/>
        <v>ATRASADO</v>
      </c>
      <c r="R445" s="19" t="s">
        <v>5645</v>
      </c>
    </row>
    <row r="446" spans="1:18" x14ac:dyDescent="0.2">
      <c r="A446" s="18" t="str">
        <f t="shared" si="18"/>
        <v>049636015033.14.10270.00</v>
      </c>
      <c r="B446" s="51" t="s">
        <v>1804</v>
      </c>
      <c r="C446" s="51" t="s">
        <v>744</v>
      </c>
      <c r="D446" s="51" t="s">
        <v>688</v>
      </c>
      <c r="E446" s="51" t="s">
        <v>689</v>
      </c>
      <c r="F446" s="18" t="s">
        <v>328</v>
      </c>
      <c r="G446" s="52">
        <v>45930</v>
      </c>
      <c r="H446" s="18" t="s">
        <v>329</v>
      </c>
      <c r="I446" s="53">
        <v>4</v>
      </c>
      <c r="J446" s="54">
        <v>35.799999999999997</v>
      </c>
      <c r="K446" s="54">
        <v>143.19999999999999</v>
      </c>
      <c r="L446" s="18" t="s">
        <v>330</v>
      </c>
      <c r="M446" s="18" t="s">
        <v>331</v>
      </c>
      <c r="N446" s="55">
        <v>46038</v>
      </c>
      <c r="O446" s="18" t="str">
        <f>IFERROR(VLOOKUP(A446,'[2]RELAÇÃO DE OC''S VMI MEC 030226'!$B:$P,15,FALSE),"-")</f>
        <v>-</v>
      </c>
      <c r="P446" s="56">
        <f t="shared" ca="1" si="19"/>
        <v>38</v>
      </c>
      <c r="Q446" s="18" t="str">
        <f t="shared" ca="1" si="20"/>
        <v>ATRASADO</v>
      </c>
      <c r="R446" s="19" t="s">
        <v>5645</v>
      </c>
    </row>
    <row r="447" spans="1:18" x14ac:dyDescent="0.2">
      <c r="A447" s="18" t="str">
        <f t="shared" si="18"/>
        <v>049636015133.14.10271.00</v>
      </c>
      <c r="B447" s="51" t="s">
        <v>1804</v>
      </c>
      <c r="C447" s="51" t="s">
        <v>450</v>
      </c>
      <c r="D447" s="51" t="s">
        <v>296</v>
      </c>
      <c r="E447" s="51" t="s">
        <v>297</v>
      </c>
      <c r="F447" s="18" t="s">
        <v>328</v>
      </c>
      <c r="G447" s="52">
        <v>45930</v>
      </c>
      <c r="H447" s="18" t="s">
        <v>329</v>
      </c>
      <c r="I447" s="53">
        <v>2</v>
      </c>
      <c r="J447" s="54">
        <v>28</v>
      </c>
      <c r="K447" s="54">
        <v>112</v>
      </c>
      <c r="L447" s="18" t="s">
        <v>330</v>
      </c>
      <c r="M447" s="18" t="s">
        <v>331</v>
      </c>
      <c r="N447" s="55">
        <v>46038</v>
      </c>
      <c r="O447" s="18" t="str">
        <f>IFERROR(VLOOKUP(A447,'[2]RELAÇÃO DE OC''S VMI MEC 030226'!$B:$P,15,FALSE),"-")</f>
        <v>-</v>
      </c>
      <c r="P447" s="56">
        <f t="shared" ca="1" si="19"/>
        <v>38</v>
      </c>
      <c r="Q447" s="18" t="str">
        <f t="shared" ca="1" si="20"/>
        <v>ATRASADO</v>
      </c>
      <c r="R447" s="19" t="s">
        <v>5645</v>
      </c>
    </row>
    <row r="448" spans="1:18" x14ac:dyDescent="0.2">
      <c r="A448" s="18" t="str">
        <f t="shared" si="18"/>
        <v>049636015233.14.10274.00</v>
      </c>
      <c r="B448" s="51" t="s">
        <v>1804</v>
      </c>
      <c r="C448" s="51" t="s">
        <v>745</v>
      </c>
      <c r="D448" s="51" t="s">
        <v>690</v>
      </c>
      <c r="E448" s="51" t="s">
        <v>691</v>
      </c>
      <c r="F448" s="18" t="s">
        <v>328</v>
      </c>
      <c r="G448" s="52">
        <v>45930</v>
      </c>
      <c r="H448" s="18" t="s">
        <v>329</v>
      </c>
      <c r="I448" s="53">
        <v>2</v>
      </c>
      <c r="J448" s="54">
        <v>685.4</v>
      </c>
      <c r="K448" s="54">
        <v>1370.8</v>
      </c>
      <c r="L448" s="18" t="s">
        <v>330</v>
      </c>
      <c r="M448" s="18" t="s">
        <v>331</v>
      </c>
      <c r="N448" s="55">
        <v>46038</v>
      </c>
      <c r="O448" s="18" t="str">
        <f>IFERROR(VLOOKUP(A448,'[2]RELAÇÃO DE OC''S VMI MEC 030226'!$B:$P,15,FALSE),"-")</f>
        <v>-</v>
      </c>
      <c r="P448" s="56">
        <f t="shared" ca="1" si="19"/>
        <v>38</v>
      </c>
      <c r="Q448" s="18" t="str">
        <f t="shared" ca="1" si="20"/>
        <v>ATRASADO</v>
      </c>
      <c r="R448" s="19" t="s">
        <v>5645</v>
      </c>
    </row>
    <row r="449" spans="1:18" x14ac:dyDescent="0.2">
      <c r="A449" s="18" t="str">
        <f t="shared" si="18"/>
        <v>049636015333.99.10023.00</v>
      </c>
      <c r="B449" s="51" t="s">
        <v>1804</v>
      </c>
      <c r="C449" s="51" t="s">
        <v>746</v>
      </c>
      <c r="D449" s="51" t="s">
        <v>514</v>
      </c>
      <c r="E449" s="51" t="s">
        <v>515</v>
      </c>
      <c r="F449" s="18" t="s">
        <v>328</v>
      </c>
      <c r="G449" s="52">
        <v>45930</v>
      </c>
      <c r="H449" s="18" t="s">
        <v>329</v>
      </c>
      <c r="I449" s="53">
        <v>7</v>
      </c>
      <c r="J449" s="54">
        <v>5.15</v>
      </c>
      <c r="K449" s="54">
        <v>36.049999999999997</v>
      </c>
      <c r="L449" s="18" t="s">
        <v>330</v>
      </c>
      <c r="M449" s="18" t="s">
        <v>331</v>
      </c>
      <c r="N449" s="55">
        <v>46038</v>
      </c>
      <c r="O449" s="18" t="str">
        <f>IFERROR(VLOOKUP(A449,'[2]RELAÇÃO DE OC''S VMI MEC 030226'!$B:$P,15,FALSE),"-")</f>
        <v>-</v>
      </c>
      <c r="P449" s="56">
        <f t="shared" ca="1" si="19"/>
        <v>38</v>
      </c>
      <c r="Q449" s="18" t="str">
        <f t="shared" ca="1" si="20"/>
        <v>ATRASADO</v>
      </c>
      <c r="R449" s="19" t="s">
        <v>5645</v>
      </c>
    </row>
    <row r="450" spans="1:18" x14ac:dyDescent="0.2">
      <c r="A450" s="18" t="str">
        <f t="shared" ref="A450:A513" si="21">B450&amp;C450&amp;D450</f>
        <v>049636015433.99.10023.00</v>
      </c>
      <c r="B450" s="51" t="s">
        <v>1804</v>
      </c>
      <c r="C450" s="51" t="s">
        <v>747</v>
      </c>
      <c r="D450" s="18" t="s">
        <v>514</v>
      </c>
      <c r="E450" s="18" t="s">
        <v>515</v>
      </c>
      <c r="F450" s="18" t="s">
        <v>328</v>
      </c>
      <c r="G450" s="52">
        <v>45930</v>
      </c>
      <c r="H450" s="18" t="s">
        <v>329</v>
      </c>
      <c r="I450" s="53">
        <v>126</v>
      </c>
      <c r="J450" s="54">
        <v>5.15</v>
      </c>
      <c r="K450" s="54">
        <v>648.9</v>
      </c>
      <c r="L450" s="18" t="s">
        <v>330</v>
      </c>
      <c r="M450" s="18" t="s">
        <v>331</v>
      </c>
      <c r="N450" s="55">
        <v>46038</v>
      </c>
      <c r="O450" s="18" t="str">
        <f>IFERROR(VLOOKUP(A450,'[2]RELAÇÃO DE OC''S VMI MEC 030226'!$B:$P,15,FALSE),"-")</f>
        <v>-</v>
      </c>
      <c r="P450" s="56">
        <f t="shared" ref="P450:P513" ca="1" si="22">TODAY()-N450</f>
        <v>38</v>
      </c>
      <c r="Q450" s="18" t="str">
        <f t="shared" ref="Q450:Q513" ca="1" si="23">IF(P450&gt;0,"ATRASADO","DENTRO DO PRAZO")</f>
        <v>ATRASADO</v>
      </c>
      <c r="R450" s="19" t="s">
        <v>5645</v>
      </c>
    </row>
    <row r="451" spans="1:18" x14ac:dyDescent="0.2">
      <c r="A451" s="18" t="str">
        <f t="shared" si="21"/>
        <v>049636015533.99.10024.00</v>
      </c>
      <c r="B451" s="51" t="s">
        <v>1804</v>
      </c>
      <c r="C451" s="51" t="s">
        <v>848</v>
      </c>
      <c r="D451" s="51" t="s">
        <v>516</v>
      </c>
      <c r="E451" s="51" t="s">
        <v>517</v>
      </c>
      <c r="F451" s="18" t="s">
        <v>328</v>
      </c>
      <c r="G451" s="52">
        <v>45930</v>
      </c>
      <c r="H451" s="18" t="s">
        <v>329</v>
      </c>
      <c r="I451" s="53">
        <v>72</v>
      </c>
      <c r="J451" s="54">
        <v>5.98</v>
      </c>
      <c r="K451" s="54">
        <v>430.56</v>
      </c>
      <c r="L451" s="18" t="s">
        <v>330</v>
      </c>
      <c r="M451" s="18" t="s">
        <v>331</v>
      </c>
      <c r="N451" s="55">
        <v>46038</v>
      </c>
      <c r="O451" s="18" t="str">
        <f>IFERROR(VLOOKUP(A451,'[2]RELAÇÃO DE OC''S VMI MEC 030226'!$B:$P,15,FALSE),"-")</f>
        <v>-</v>
      </c>
      <c r="P451" s="56">
        <f t="shared" ca="1" si="22"/>
        <v>38</v>
      </c>
      <c r="Q451" s="18" t="str">
        <f t="shared" ca="1" si="23"/>
        <v>ATRASADO</v>
      </c>
      <c r="R451" s="19" t="s">
        <v>5645</v>
      </c>
    </row>
    <row r="452" spans="1:18" x14ac:dyDescent="0.2">
      <c r="A452" s="18" t="str">
        <f t="shared" si="21"/>
        <v>049636015633.99.10024.00</v>
      </c>
      <c r="B452" s="51" t="s">
        <v>1804</v>
      </c>
      <c r="C452" s="51" t="s">
        <v>849</v>
      </c>
      <c r="D452" s="18" t="s">
        <v>516</v>
      </c>
      <c r="E452" s="18" t="s">
        <v>517</v>
      </c>
      <c r="F452" s="18" t="s">
        <v>328</v>
      </c>
      <c r="G452" s="52">
        <v>45930</v>
      </c>
      <c r="H452" s="18" t="s">
        <v>329</v>
      </c>
      <c r="I452" s="53">
        <v>6</v>
      </c>
      <c r="J452" s="54">
        <v>5.98</v>
      </c>
      <c r="K452" s="54">
        <v>35.880000000000003</v>
      </c>
      <c r="L452" s="18" t="s">
        <v>330</v>
      </c>
      <c r="M452" s="18" t="s">
        <v>331</v>
      </c>
      <c r="N452" s="55">
        <v>46038</v>
      </c>
      <c r="O452" s="18" t="str">
        <f>IFERROR(VLOOKUP(A452,'[2]RELAÇÃO DE OC''S VMI MEC 030226'!$B:$P,15,FALSE),"-")</f>
        <v>-</v>
      </c>
      <c r="P452" s="56">
        <f t="shared" ca="1" si="22"/>
        <v>38</v>
      </c>
      <c r="Q452" s="18" t="str">
        <f t="shared" ca="1" si="23"/>
        <v>ATRASADO</v>
      </c>
      <c r="R452" s="19" t="s">
        <v>5645</v>
      </c>
    </row>
    <row r="453" spans="1:18" ht="53.25" x14ac:dyDescent="0.2">
      <c r="A453" s="18" t="str">
        <f t="shared" si="21"/>
        <v>049636015733.99.10024.00</v>
      </c>
      <c r="B453" s="51" t="s">
        <v>1804</v>
      </c>
      <c r="C453" s="51" t="s">
        <v>852</v>
      </c>
      <c r="D453" s="18" t="s">
        <v>516</v>
      </c>
      <c r="E453" s="18" t="s">
        <v>517</v>
      </c>
      <c r="F453" s="18" t="s">
        <v>328</v>
      </c>
      <c r="G453" s="52">
        <v>45930</v>
      </c>
      <c r="H453" s="18" t="s">
        <v>329</v>
      </c>
      <c r="I453" s="53">
        <v>113</v>
      </c>
      <c r="J453" s="54">
        <v>5.98</v>
      </c>
      <c r="K453" s="54">
        <v>675.74</v>
      </c>
      <c r="L453" s="18" t="s">
        <v>330</v>
      </c>
      <c r="M453" s="18" t="s">
        <v>331</v>
      </c>
      <c r="N453" s="55">
        <v>46038</v>
      </c>
      <c r="O453" s="18" t="str">
        <f>IFERROR(VLOOKUP(A453,'[2]RELAÇÃO DE OC''S VMI MEC 030226'!$B:$P,15,FALSE),"-")</f>
        <v>-</v>
      </c>
      <c r="P453" s="56">
        <f t="shared" ca="1" si="22"/>
        <v>38</v>
      </c>
      <c r="Q453" s="18" t="str">
        <f t="shared" ca="1" si="23"/>
        <v>ATRASADO</v>
      </c>
      <c r="R453" s="19" t="s">
        <v>5656</v>
      </c>
    </row>
    <row r="454" spans="1:18" x14ac:dyDescent="0.2">
      <c r="A454" s="18" t="str">
        <f t="shared" si="21"/>
        <v>049818000221.23.00958</v>
      </c>
      <c r="B454" s="51" t="s">
        <v>1809</v>
      </c>
      <c r="C454" s="18" t="s">
        <v>416</v>
      </c>
      <c r="D454" s="51" t="s">
        <v>490</v>
      </c>
      <c r="E454" s="51" t="s">
        <v>491</v>
      </c>
      <c r="F454" s="18" t="s">
        <v>328</v>
      </c>
      <c r="G454" s="52">
        <v>45934</v>
      </c>
      <c r="H454" s="18" t="s">
        <v>329</v>
      </c>
      <c r="I454" s="53">
        <v>1</v>
      </c>
      <c r="J454" s="54">
        <v>13.71</v>
      </c>
      <c r="K454" s="54">
        <v>534.69000000000005</v>
      </c>
      <c r="L454" s="18" t="s">
        <v>330</v>
      </c>
      <c r="M454" s="18" t="s">
        <v>331</v>
      </c>
      <c r="N454" s="55">
        <v>46034</v>
      </c>
      <c r="O454" s="18" t="str">
        <f>IFERROR(VLOOKUP(A454,'[2]RELAÇÃO DE OC''S VMI MEC 030226'!$B:$P,15,FALSE),"-")</f>
        <v>-</v>
      </c>
      <c r="P454" s="56">
        <f t="shared" ca="1" si="22"/>
        <v>42</v>
      </c>
      <c r="Q454" s="18" t="str">
        <f t="shared" ca="1" si="23"/>
        <v>ATRASADO</v>
      </c>
      <c r="R454" s="19" t="s">
        <v>5645</v>
      </c>
    </row>
    <row r="455" spans="1:18" ht="42.75" x14ac:dyDescent="0.2">
      <c r="A455" s="18" t="str">
        <f t="shared" si="21"/>
        <v>049818000321.23.00964</v>
      </c>
      <c r="B455" s="51" t="s">
        <v>1809</v>
      </c>
      <c r="C455" s="18" t="s">
        <v>354</v>
      </c>
      <c r="D455" s="51" t="s">
        <v>750</v>
      </c>
      <c r="E455" s="51" t="s">
        <v>751</v>
      </c>
      <c r="F455" s="18" t="s">
        <v>328</v>
      </c>
      <c r="G455" s="52">
        <v>45934</v>
      </c>
      <c r="H455" s="18" t="s">
        <v>329</v>
      </c>
      <c r="I455" s="53">
        <v>33</v>
      </c>
      <c r="J455" s="54">
        <v>35.6</v>
      </c>
      <c r="K455" s="54">
        <v>1174.8</v>
      </c>
      <c r="L455" s="18" t="s">
        <v>330</v>
      </c>
      <c r="M455" s="18" t="s">
        <v>331</v>
      </c>
      <c r="N455" s="55">
        <v>46034</v>
      </c>
      <c r="O455" s="18" t="str">
        <f>IFERROR(VLOOKUP(A455,'[2]RELAÇÃO DE OC''S VMI MEC 030226'!$B:$P,15,FALSE),"-")</f>
        <v>-</v>
      </c>
      <c r="P455" s="56">
        <f t="shared" ca="1" si="22"/>
        <v>42</v>
      </c>
      <c r="Q455" s="18" t="str">
        <f t="shared" ca="1" si="23"/>
        <v>ATRASADO</v>
      </c>
      <c r="R455" s="19" t="s">
        <v>5668</v>
      </c>
    </row>
    <row r="456" spans="1:18" x14ac:dyDescent="0.2">
      <c r="A456" s="18" t="str">
        <f t="shared" si="21"/>
        <v>049818000421.23.00967</v>
      </c>
      <c r="B456" s="51" t="s">
        <v>1809</v>
      </c>
      <c r="C456" s="18" t="s">
        <v>417</v>
      </c>
      <c r="D456" s="51" t="s">
        <v>752</v>
      </c>
      <c r="E456" s="51" t="s">
        <v>753</v>
      </c>
      <c r="F456" s="18" t="s">
        <v>328</v>
      </c>
      <c r="G456" s="52">
        <v>45934</v>
      </c>
      <c r="H456" s="18" t="s">
        <v>329</v>
      </c>
      <c r="I456" s="53">
        <v>2</v>
      </c>
      <c r="J456" s="54">
        <v>35.6</v>
      </c>
      <c r="K456" s="54">
        <v>1174.8</v>
      </c>
      <c r="L456" s="18" t="s">
        <v>330</v>
      </c>
      <c r="M456" s="18" t="s">
        <v>331</v>
      </c>
      <c r="N456" s="55">
        <v>46034</v>
      </c>
      <c r="O456" s="18" t="str">
        <f>IFERROR(VLOOKUP(A456,'[2]RELAÇÃO DE OC''S VMI MEC 030226'!$B:$P,15,FALSE),"-")</f>
        <v>-</v>
      </c>
      <c r="P456" s="56">
        <f t="shared" ca="1" si="22"/>
        <v>42</v>
      </c>
      <c r="Q456" s="18" t="str">
        <f t="shared" ca="1" si="23"/>
        <v>ATRASADO</v>
      </c>
      <c r="R456" s="19" t="s">
        <v>5645</v>
      </c>
    </row>
    <row r="457" spans="1:18" x14ac:dyDescent="0.2">
      <c r="A457" s="18" t="str">
        <f t="shared" si="21"/>
        <v>049818000621.23.00971</v>
      </c>
      <c r="B457" s="51" t="s">
        <v>1809</v>
      </c>
      <c r="C457" s="18" t="s">
        <v>327</v>
      </c>
      <c r="D457" s="51" t="s">
        <v>1810</v>
      </c>
      <c r="E457" s="51" t="s">
        <v>1811</v>
      </c>
      <c r="F457" s="18" t="s">
        <v>328</v>
      </c>
      <c r="G457" s="52">
        <v>45934</v>
      </c>
      <c r="H457" s="18" t="s">
        <v>329</v>
      </c>
      <c r="I457" s="53">
        <v>66</v>
      </c>
      <c r="J457" s="54">
        <v>32.200000000000003</v>
      </c>
      <c r="K457" s="54">
        <v>2125.1999999999998</v>
      </c>
      <c r="L457" s="18" t="s">
        <v>330</v>
      </c>
      <c r="M457" s="18" t="s">
        <v>331</v>
      </c>
      <c r="N457" s="55">
        <v>46034</v>
      </c>
      <c r="O457" s="18" t="str">
        <f>IFERROR(VLOOKUP(A457,'[2]RELAÇÃO DE OC''S VMI MEC 030226'!$B:$P,15,FALSE),"-")</f>
        <v>-</v>
      </c>
      <c r="P457" s="56">
        <f t="shared" ca="1" si="22"/>
        <v>42</v>
      </c>
      <c r="Q457" s="18" t="str">
        <f t="shared" ca="1" si="23"/>
        <v>ATRASADO</v>
      </c>
      <c r="R457" s="19" t="s">
        <v>5645</v>
      </c>
    </row>
    <row r="458" spans="1:18" ht="53.25" x14ac:dyDescent="0.2">
      <c r="A458" s="18" t="str">
        <f t="shared" si="21"/>
        <v>049818000721.23.00972</v>
      </c>
      <c r="B458" s="51" t="s">
        <v>1809</v>
      </c>
      <c r="C458" s="18" t="s">
        <v>360</v>
      </c>
      <c r="D458" s="51" t="s">
        <v>897</v>
      </c>
      <c r="E458" s="51" t="s">
        <v>898</v>
      </c>
      <c r="F458" s="18" t="s">
        <v>328</v>
      </c>
      <c r="G458" s="52">
        <v>45934</v>
      </c>
      <c r="H458" s="18" t="s">
        <v>329</v>
      </c>
      <c r="I458" s="53">
        <v>66</v>
      </c>
      <c r="J458" s="54">
        <v>66.06</v>
      </c>
      <c r="K458" s="54">
        <v>4359.96</v>
      </c>
      <c r="L458" s="18" t="s">
        <v>330</v>
      </c>
      <c r="M458" s="18" t="s">
        <v>331</v>
      </c>
      <c r="N458" s="55">
        <v>46034</v>
      </c>
      <c r="O458" s="18" t="str">
        <f>IFERROR(VLOOKUP(A458,'[2]RELAÇÃO DE OC''S VMI MEC 030226'!$B:$P,15,FALSE),"-")</f>
        <v>-</v>
      </c>
      <c r="P458" s="56">
        <f t="shared" ca="1" si="22"/>
        <v>42</v>
      </c>
      <c r="Q458" s="18" t="str">
        <f t="shared" ca="1" si="23"/>
        <v>ATRASADO</v>
      </c>
      <c r="R458" s="19" t="s">
        <v>5656</v>
      </c>
    </row>
    <row r="459" spans="1:18" x14ac:dyDescent="0.2">
      <c r="A459" s="18" t="str">
        <f t="shared" si="21"/>
        <v>049818000821.23.00973</v>
      </c>
      <c r="B459" s="51" t="s">
        <v>1809</v>
      </c>
      <c r="C459" s="18" t="s">
        <v>361</v>
      </c>
      <c r="D459" s="51" t="s">
        <v>1812</v>
      </c>
      <c r="E459" s="51" t="s">
        <v>1813</v>
      </c>
      <c r="F459" s="18" t="s">
        <v>328</v>
      </c>
      <c r="G459" s="52">
        <v>45934</v>
      </c>
      <c r="H459" s="18" t="s">
        <v>329</v>
      </c>
      <c r="I459" s="53">
        <v>64</v>
      </c>
      <c r="J459" s="54">
        <v>66.06</v>
      </c>
      <c r="K459" s="54">
        <v>4359.96</v>
      </c>
      <c r="L459" s="18" t="s">
        <v>330</v>
      </c>
      <c r="M459" s="18" t="s">
        <v>331</v>
      </c>
      <c r="N459" s="55">
        <v>46034</v>
      </c>
      <c r="O459" s="18" t="str">
        <f>IFERROR(VLOOKUP(A459,'[2]RELAÇÃO DE OC''S VMI MEC 030226'!$B:$P,15,FALSE),"-")</f>
        <v>-</v>
      </c>
      <c r="P459" s="56">
        <f t="shared" ca="1" si="22"/>
        <v>42</v>
      </c>
      <c r="Q459" s="18" t="str">
        <f t="shared" ca="1" si="23"/>
        <v>ATRASADO</v>
      </c>
      <c r="R459" s="19" t="s">
        <v>5645</v>
      </c>
    </row>
    <row r="460" spans="1:18" x14ac:dyDescent="0.2">
      <c r="A460" s="18" t="str">
        <f t="shared" si="21"/>
        <v>049818001421.23.00995</v>
      </c>
      <c r="B460" s="51" t="s">
        <v>1809</v>
      </c>
      <c r="C460" s="18" t="s">
        <v>388</v>
      </c>
      <c r="D460" s="51" t="s">
        <v>966</v>
      </c>
      <c r="E460" s="51" t="s">
        <v>967</v>
      </c>
      <c r="F460" s="18" t="s">
        <v>328</v>
      </c>
      <c r="G460" s="52">
        <v>45934</v>
      </c>
      <c r="H460" s="18" t="s">
        <v>329</v>
      </c>
      <c r="I460" s="53">
        <v>66</v>
      </c>
      <c r="J460" s="54">
        <v>9.57</v>
      </c>
      <c r="K460" s="54">
        <v>631.62</v>
      </c>
      <c r="L460" s="18" t="s">
        <v>330</v>
      </c>
      <c r="M460" s="18" t="s">
        <v>331</v>
      </c>
      <c r="N460" s="55">
        <v>46034</v>
      </c>
      <c r="O460" s="18" t="str">
        <f>IFERROR(VLOOKUP(A460,'[2]RELAÇÃO DE OC''S VMI MEC 030226'!$B:$P,15,FALSE),"-")</f>
        <v>-</v>
      </c>
      <c r="P460" s="56">
        <f t="shared" ca="1" si="22"/>
        <v>42</v>
      </c>
      <c r="Q460" s="18" t="str">
        <f t="shared" ca="1" si="23"/>
        <v>ATRASADO</v>
      </c>
      <c r="R460" s="19" t="s">
        <v>5645</v>
      </c>
    </row>
    <row r="461" spans="1:18" x14ac:dyDescent="0.2">
      <c r="A461" s="18" t="str">
        <f t="shared" si="21"/>
        <v>049818001721.23.01007</v>
      </c>
      <c r="B461" s="51" t="s">
        <v>1809</v>
      </c>
      <c r="C461" s="18" t="s">
        <v>351</v>
      </c>
      <c r="D461" s="51" t="s">
        <v>1821</v>
      </c>
      <c r="E461" s="51" t="s">
        <v>1822</v>
      </c>
      <c r="F461" s="18" t="s">
        <v>328</v>
      </c>
      <c r="G461" s="52">
        <v>45934</v>
      </c>
      <c r="H461" s="18" t="s">
        <v>329</v>
      </c>
      <c r="I461" s="53">
        <v>35</v>
      </c>
      <c r="J461" s="54">
        <v>10.119999999999999</v>
      </c>
      <c r="K461" s="54">
        <v>354.2</v>
      </c>
      <c r="L461" s="18" t="s">
        <v>330</v>
      </c>
      <c r="M461" s="18" t="s">
        <v>331</v>
      </c>
      <c r="N461" s="55">
        <v>46034</v>
      </c>
      <c r="O461" s="18" t="str">
        <f>IFERROR(VLOOKUP(A461,'[2]RELAÇÃO DE OC''S VMI MEC 030226'!$B:$P,15,FALSE),"-")</f>
        <v>-</v>
      </c>
      <c r="P461" s="56">
        <f t="shared" ca="1" si="22"/>
        <v>42</v>
      </c>
      <c r="Q461" s="18" t="str">
        <f t="shared" ca="1" si="23"/>
        <v>ATRASADO</v>
      </c>
      <c r="R461" s="19" t="s">
        <v>5645</v>
      </c>
    </row>
    <row r="462" spans="1:18" x14ac:dyDescent="0.2">
      <c r="A462" s="18" t="str">
        <f t="shared" si="21"/>
        <v>049818001821.23.01019</v>
      </c>
      <c r="B462" s="51" t="s">
        <v>1809</v>
      </c>
      <c r="C462" s="18" t="s">
        <v>363</v>
      </c>
      <c r="D462" s="51" t="s">
        <v>306</v>
      </c>
      <c r="E462" s="51" t="s">
        <v>307</v>
      </c>
      <c r="F462" s="18" t="s">
        <v>328</v>
      </c>
      <c r="G462" s="52">
        <v>45934</v>
      </c>
      <c r="H462" s="18" t="s">
        <v>329</v>
      </c>
      <c r="I462" s="53">
        <v>3</v>
      </c>
      <c r="J462" s="54">
        <v>5.7</v>
      </c>
      <c r="K462" s="54">
        <v>376.2</v>
      </c>
      <c r="L462" s="18" t="s">
        <v>330</v>
      </c>
      <c r="M462" s="18" t="s">
        <v>331</v>
      </c>
      <c r="N462" s="55">
        <v>46034</v>
      </c>
      <c r="O462" s="18" t="str">
        <f>IFERROR(VLOOKUP(A462,'[2]RELAÇÃO DE OC''S VMI MEC 030226'!$B:$P,15,FALSE),"-")</f>
        <v>-</v>
      </c>
      <c r="P462" s="56">
        <f t="shared" ca="1" si="22"/>
        <v>42</v>
      </c>
      <c r="Q462" s="18" t="str">
        <f t="shared" ca="1" si="23"/>
        <v>ATRASADO</v>
      </c>
      <c r="R462" s="19" t="s">
        <v>5645</v>
      </c>
    </row>
    <row r="463" spans="1:18" x14ac:dyDescent="0.2">
      <c r="A463" s="18" t="str">
        <f t="shared" si="21"/>
        <v>049818002021.23.01023</v>
      </c>
      <c r="B463" s="51" t="s">
        <v>1809</v>
      </c>
      <c r="C463" s="18" t="s">
        <v>418</v>
      </c>
      <c r="D463" s="51" t="s">
        <v>859</v>
      </c>
      <c r="E463" s="51" t="s">
        <v>860</v>
      </c>
      <c r="F463" s="18" t="s">
        <v>328</v>
      </c>
      <c r="G463" s="52">
        <v>45934</v>
      </c>
      <c r="H463" s="18" t="s">
        <v>329</v>
      </c>
      <c r="I463" s="53">
        <v>3</v>
      </c>
      <c r="J463" s="54">
        <v>22</v>
      </c>
      <c r="K463" s="54">
        <v>66</v>
      </c>
      <c r="L463" s="18" t="s">
        <v>330</v>
      </c>
      <c r="M463" s="18" t="s">
        <v>331</v>
      </c>
      <c r="N463" s="55">
        <v>46034</v>
      </c>
      <c r="O463" s="18" t="str">
        <f>IFERROR(VLOOKUP(A463,'[2]RELAÇÃO DE OC''S VMI MEC 030226'!$B:$P,15,FALSE),"-")</f>
        <v>-</v>
      </c>
      <c r="P463" s="56">
        <f t="shared" ca="1" si="22"/>
        <v>42</v>
      </c>
      <c r="Q463" s="18" t="str">
        <f t="shared" ca="1" si="23"/>
        <v>ATRASADO</v>
      </c>
      <c r="R463" s="19" t="s">
        <v>5645</v>
      </c>
    </row>
    <row r="464" spans="1:18" x14ac:dyDescent="0.2">
      <c r="A464" s="18" t="str">
        <f t="shared" si="21"/>
        <v>049818002121.23.01023</v>
      </c>
      <c r="B464" s="51" t="s">
        <v>1809</v>
      </c>
      <c r="C464" s="18" t="s">
        <v>389</v>
      </c>
      <c r="D464" s="18" t="s">
        <v>859</v>
      </c>
      <c r="E464" s="18" t="s">
        <v>860</v>
      </c>
      <c r="F464" s="18" t="s">
        <v>328</v>
      </c>
      <c r="G464" s="52">
        <v>45934</v>
      </c>
      <c r="H464" s="18" t="s">
        <v>329</v>
      </c>
      <c r="I464" s="53">
        <v>30</v>
      </c>
      <c r="J464" s="54">
        <v>22</v>
      </c>
      <c r="K464" s="54">
        <v>660</v>
      </c>
      <c r="L464" s="18" t="s">
        <v>330</v>
      </c>
      <c r="M464" s="18" t="s">
        <v>331</v>
      </c>
      <c r="N464" s="55">
        <v>46034</v>
      </c>
      <c r="O464" s="18" t="str">
        <f>IFERROR(VLOOKUP(A464,'[2]RELAÇÃO DE OC''S VMI MEC 030226'!$B:$P,15,FALSE),"-")</f>
        <v>-</v>
      </c>
      <c r="P464" s="56">
        <f t="shared" ca="1" si="22"/>
        <v>42</v>
      </c>
      <c r="Q464" s="18" t="str">
        <f t="shared" ca="1" si="23"/>
        <v>ATRASADO</v>
      </c>
      <c r="R464" s="19" t="s">
        <v>5645</v>
      </c>
    </row>
    <row r="465" spans="1:18" x14ac:dyDescent="0.2">
      <c r="A465" s="18" t="str">
        <f t="shared" si="21"/>
        <v>049818002421.23.01032</v>
      </c>
      <c r="B465" s="51" t="s">
        <v>1809</v>
      </c>
      <c r="C465" s="18" t="s">
        <v>365</v>
      </c>
      <c r="D465" s="51" t="s">
        <v>121</v>
      </c>
      <c r="E465" s="51" t="s">
        <v>162</v>
      </c>
      <c r="F465" s="18" t="s">
        <v>328</v>
      </c>
      <c r="G465" s="52">
        <v>45934</v>
      </c>
      <c r="H465" s="18" t="s">
        <v>329</v>
      </c>
      <c r="I465" s="53">
        <v>1</v>
      </c>
      <c r="J465" s="54">
        <v>196.14</v>
      </c>
      <c r="K465" s="54">
        <v>12945.24</v>
      </c>
      <c r="L465" s="18" t="s">
        <v>330</v>
      </c>
      <c r="M465" s="18" t="s">
        <v>331</v>
      </c>
      <c r="N465" s="55">
        <v>46034</v>
      </c>
      <c r="O465" s="18" t="str">
        <f>IFERROR(VLOOKUP(A465,'[2]RELAÇÃO DE OC''S VMI MEC 030226'!$B:$P,15,FALSE),"-")</f>
        <v>-</v>
      </c>
      <c r="P465" s="56">
        <f t="shared" ca="1" si="22"/>
        <v>42</v>
      </c>
      <c r="Q465" s="18" t="str">
        <f t="shared" ca="1" si="23"/>
        <v>ATRASADO</v>
      </c>
      <c r="R465" s="19" t="s">
        <v>5645</v>
      </c>
    </row>
    <row r="466" spans="1:18" x14ac:dyDescent="0.2">
      <c r="A466" s="18" t="str">
        <f t="shared" si="21"/>
        <v>049818002521.23.01039</v>
      </c>
      <c r="B466" s="51" t="s">
        <v>1809</v>
      </c>
      <c r="C466" s="18" t="s">
        <v>441</v>
      </c>
      <c r="D466" s="51" t="s">
        <v>863</v>
      </c>
      <c r="E466" s="51" t="s">
        <v>864</v>
      </c>
      <c r="F466" s="18" t="s">
        <v>328</v>
      </c>
      <c r="G466" s="52">
        <v>45934</v>
      </c>
      <c r="H466" s="18" t="s">
        <v>329</v>
      </c>
      <c r="I466" s="53">
        <v>66</v>
      </c>
      <c r="J466" s="54">
        <v>15.46</v>
      </c>
      <c r="K466" s="54">
        <v>1020.36</v>
      </c>
      <c r="L466" s="18" t="s">
        <v>330</v>
      </c>
      <c r="M466" s="18" t="s">
        <v>331</v>
      </c>
      <c r="N466" s="55">
        <v>46034</v>
      </c>
      <c r="O466" s="18" t="str">
        <f>IFERROR(VLOOKUP(A466,'[2]RELAÇÃO DE OC''S VMI MEC 030226'!$B:$P,15,FALSE),"-")</f>
        <v>-</v>
      </c>
      <c r="P466" s="56">
        <f t="shared" ca="1" si="22"/>
        <v>42</v>
      </c>
      <c r="Q466" s="18" t="str">
        <f t="shared" ca="1" si="23"/>
        <v>ATRASADO</v>
      </c>
      <c r="R466" s="19" t="s">
        <v>5645</v>
      </c>
    </row>
    <row r="467" spans="1:18" x14ac:dyDescent="0.2">
      <c r="A467" s="18" t="str">
        <f t="shared" si="21"/>
        <v>049818002921.23.01172</v>
      </c>
      <c r="B467" s="51" t="s">
        <v>1809</v>
      </c>
      <c r="C467" s="18" t="s">
        <v>391</v>
      </c>
      <c r="D467" s="51" t="s">
        <v>43</v>
      </c>
      <c r="E467" s="51" t="s">
        <v>163</v>
      </c>
      <c r="F467" s="18" t="s">
        <v>328</v>
      </c>
      <c r="G467" s="52">
        <v>45934</v>
      </c>
      <c r="H467" s="18" t="s">
        <v>329</v>
      </c>
      <c r="I467" s="53">
        <v>33</v>
      </c>
      <c r="J467" s="54">
        <v>29.62</v>
      </c>
      <c r="K467" s="54">
        <v>977.46</v>
      </c>
      <c r="L467" s="18" t="s">
        <v>330</v>
      </c>
      <c r="M467" s="18" t="s">
        <v>331</v>
      </c>
      <c r="N467" s="55">
        <v>46034</v>
      </c>
      <c r="O467" s="18" t="str">
        <f>IFERROR(VLOOKUP(A467,'[2]RELAÇÃO DE OC''S VMI MEC 030226'!$B:$P,15,FALSE),"-")</f>
        <v>-</v>
      </c>
      <c r="P467" s="56">
        <f t="shared" ca="1" si="22"/>
        <v>42</v>
      </c>
      <c r="Q467" s="18" t="str">
        <f t="shared" ca="1" si="23"/>
        <v>ATRASADO</v>
      </c>
      <c r="R467" s="19" t="s">
        <v>5645</v>
      </c>
    </row>
    <row r="468" spans="1:18" x14ac:dyDescent="0.2">
      <c r="A468" s="18" t="str">
        <f t="shared" si="21"/>
        <v>049818003121.23.01287</v>
      </c>
      <c r="B468" s="51" t="s">
        <v>1809</v>
      </c>
      <c r="C468" s="18" t="s">
        <v>393</v>
      </c>
      <c r="D468" s="51" t="s">
        <v>865</v>
      </c>
      <c r="E468" s="51" t="s">
        <v>866</v>
      </c>
      <c r="F468" s="18" t="s">
        <v>328</v>
      </c>
      <c r="G468" s="52">
        <v>45934</v>
      </c>
      <c r="H468" s="18" t="s">
        <v>329</v>
      </c>
      <c r="I468" s="53">
        <v>2</v>
      </c>
      <c r="J468" s="54">
        <v>19.87</v>
      </c>
      <c r="K468" s="54">
        <v>655.71</v>
      </c>
      <c r="L468" s="18" t="s">
        <v>330</v>
      </c>
      <c r="M468" s="18" t="s">
        <v>331</v>
      </c>
      <c r="N468" s="55">
        <v>46034</v>
      </c>
      <c r="O468" s="18" t="str">
        <f>IFERROR(VLOOKUP(A468,'[2]RELAÇÃO DE OC''S VMI MEC 030226'!$B:$P,15,FALSE),"-")</f>
        <v>-</v>
      </c>
      <c r="P468" s="56">
        <f t="shared" ca="1" si="22"/>
        <v>42</v>
      </c>
      <c r="Q468" s="18" t="str">
        <f t="shared" ca="1" si="23"/>
        <v>ATRASADO</v>
      </c>
      <c r="R468" s="19" t="s">
        <v>5645</v>
      </c>
    </row>
    <row r="469" spans="1:18" x14ac:dyDescent="0.2">
      <c r="A469" s="18" t="str">
        <f t="shared" si="21"/>
        <v>049818003221.23.01288</v>
      </c>
      <c r="B469" s="51" t="s">
        <v>1809</v>
      </c>
      <c r="C469" s="18" t="s">
        <v>420</v>
      </c>
      <c r="D469" s="51" t="s">
        <v>756</v>
      </c>
      <c r="E469" s="51" t="s">
        <v>757</v>
      </c>
      <c r="F469" s="18" t="s">
        <v>328</v>
      </c>
      <c r="G469" s="52">
        <v>45934</v>
      </c>
      <c r="H469" s="18" t="s">
        <v>329</v>
      </c>
      <c r="I469" s="53">
        <v>33</v>
      </c>
      <c r="J469" s="54">
        <v>30.08</v>
      </c>
      <c r="K469" s="54">
        <v>992.64</v>
      </c>
      <c r="L469" s="18" t="s">
        <v>330</v>
      </c>
      <c r="M469" s="18" t="s">
        <v>331</v>
      </c>
      <c r="N469" s="55">
        <v>46034</v>
      </c>
      <c r="O469" s="18" t="str">
        <f>IFERROR(VLOOKUP(A469,'[2]RELAÇÃO DE OC''S VMI MEC 030226'!$B:$P,15,FALSE),"-")</f>
        <v>-</v>
      </c>
      <c r="P469" s="56">
        <f t="shared" ca="1" si="22"/>
        <v>42</v>
      </c>
      <c r="Q469" s="18" t="str">
        <f t="shared" ca="1" si="23"/>
        <v>ATRASADO</v>
      </c>
      <c r="R469" s="19" t="s">
        <v>5645</v>
      </c>
    </row>
    <row r="470" spans="1:18" x14ac:dyDescent="0.2">
      <c r="A470" s="18" t="str">
        <f t="shared" si="21"/>
        <v>049818003321.23.01289</v>
      </c>
      <c r="B470" s="51" t="s">
        <v>1809</v>
      </c>
      <c r="C470" s="18" t="s">
        <v>394</v>
      </c>
      <c r="D470" s="51" t="s">
        <v>867</v>
      </c>
      <c r="E470" s="51" t="s">
        <v>868</v>
      </c>
      <c r="F470" s="18" t="s">
        <v>328</v>
      </c>
      <c r="G470" s="52">
        <v>45934</v>
      </c>
      <c r="H470" s="18" t="s">
        <v>329</v>
      </c>
      <c r="I470" s="53">
        <v>33</v>
      </c>
      <c r="J470" s="54">
        <v>27.78</v>
      </c>
      <c r="K470" s="54">
        <v>916.74</v>
      </c>
      <c r="L470" s="18" t="s">
        <v>330</v>
      </c>
      <c r="M470" s="18" t="s">
        <v>331</v>
      </c>
      <c r="N470" s="55">
        <v>46034</v>
      </c>
      <c r="O470" s="18" t="str">
        <f>IFERROR(VLOOKUP(A470,'[2]RELAÇÃO DE OC''S VMI MEC 030226'!$B:$P,15,FALSE),"-")</f>
        <v>-</v>
      </c>
      <c r="P470" s="56">
        <f t="shared" ca="1" si="22"/>
        <v>42</v>
      </c>
      <c r="Q470" s="18" t="str">
        <f t="shared" ca="1" si="23"/>
        <v>ATRASADO</v>
      </c>
      <c r="R470" s="19" t="s">
        <v>5645</v>
      </c>
    </row>
    <row r="471" spans="1:18" x14ac:dyDescent="0.2">
      <c r="A471" s="18" t="str">
        <f t="shared" si="21"/>
        <v>049818003421.23.01290</v>
      </c>
      <c r="B471" s="51" t="s">
        <v>1809</v>
      </c>
      <c r="C471" s="18" t="s">
        <v>356</v>
      </c>
      <c r="D471" s="51" t="s">
        <v>869</v>
      </c>
      <c r="E471" s="51" t="s">
        <v>870</v>
      </c>
      <c r="F471" s="18" t="s">
        <v>328</v>
      </c>
      <c r="G471" s="52">
        <v>45934</v>
      </c>
      <c r="H471" s="18" t="s">
        <v>329</v>
      </c>
      <c r="I471" s="53">
        <v>1</v>
      </c>
      <c r="J471" s="54">
        <v>3.04</v>
      </c>
      <c r="K471" s="54">
        <v>100.32</v>
      </c>
      <c r="L471" s="18" t="s">
        <v>330</v>
      </c>
      <c r="M471" s="18" t="s">
        <v>331</v>
      </c>
      <c r="N471" s="55">
        <v>46034</v>
      </c>
      <c r="O471" s="18" t="str">
        <f>IFERROR(VLOOKUP(A471,'[2]RELAÇÃO DE OC''S VMI MEC 030226'!$B:$P,15,FALSE),"-")</f>
        <v>-</v>
      </c>
      <c r="P471" s="56">
        <f t="shared" ca="1" si="22"/>
        <v>42</v>
      </c>
      <c r="Q471" s="18" t="str">
        <f t="shared" ca="1" si="23"/>
        <v>ATRASADO</v>
      </c>
      <c r="R471" s="19" t="s">
        <v>5645</v>
      </c>
    </row>
    <row r="472" spans="1:18" x14ac:dyDescent="0.2">
      <c r="A472" s="18" t="str">
        <f t="shared" si="21"/>
        <v>049818003621.23.01295</v>
      </c>
      <c r="B472" s="51" t="s">
        <v>1809</v>
      </c>
      <c r="C472" s="18" t="s">
        <v>357</v>
      </c>
      <c r="D472" s="51" t="s">
        <v>44</v>
      </c>
      <c r="E472" s="51" t="s">
        <v>164</v>
      </c>
      <c r="F472" s="18" t="s">
        <v>328</v>
      </c>
      <c r="G472" s="52">
        <v>45934</v>
      </c>
      <c r="H472" s="18" t="s">
        <v>329</v>
      </c>
      <c r="I472" s="53">
        <v>1</v>
      </c>
      <c r="J472" s="54">
        <v>22.36</v>
      </c>
      <c r="K472" s="54">
        <v>737.88</v>
      </c>
      <c r="L472" s="18" t="s">
        <v>330</v>
      </c>
      <c r="M472" s="18" t="s">
        <v>331</v>
      </c>
      <c r="N472" s="55">
        <v>46034</v>
      </c>
      <c r="O472" s="18" t="str">
        <f>IFERROR(VLOOKUP(A472,'[2]RELAÇÃO DE OC''S VMI MEC 030226'!$B:$P,15,FALSE),"-")</f>
        <v>-</v>
      </c>
      <c r="P472" s="56">
        <f t="shared" ca="1" si="22"/>
        <v>42</v>
      </c>
      <c r="Q472" s="18" t="str">
        <f t="shared" ca="1" si="23"/>
        <v>ATRASADO</v>
      </c>
      <c r="R472" s="19" t="s">
        <v>5645</v>
      </c>
    </row>
    <row r="473" spans="1:18" x14ac:dyDescent="0.2">
      <c r="A473" s="18" t="str">
        <f t="shared" si="21"/>
        <v>049818003721.23.01296</v>
      </c>
      <c r="B473" s="51" t="s">
        <v>1809</v>
      </c>
      <c r="C473" s="18" t="s">
        <v>352</v>
      </c>
      <c r="D473" s="51" t="s">
        <v>459</v>
      </c>
      <c r="E473" s="51" t="s">
        <v>460</v>
      </c>
      <c r="F473" s="18" t="s">
        <v>328</v>
      </c>
      <c r="G473" s="52">
        <v>45934</v>
      </c>
      <c r="H473" s="18" t="s">
        <v>329</v>
      </c>
      <c r="I473" s="53">
        <v>1</v>
      </c>
      <c r="J473" s="54">
        <v>17.39</v>
      </c>
      <c r="K473" s="54">
        <v>1147.74</v>
      </c>
      <c r="L473" s="18" t="s">
        <v>330</v>
      </c>
      <c r="M473" s="18" t="s">
        <v>331</v>
      </c>
      <c r="N473" s="55">
        <v>46034</v>
      </c>
      <c r="O473" s="18" t="str">
        <f>IFERROR(VLOOKUP(A473,'[2]RELAÇÃO DE OC''S VMI MEC 030226'!$B:$P,15,FALSE),"-")</f>
        <v>-</v>
      </c>
      <c r="P473" s="56">
        <f t="shared" ca="1" si="22"/>
        <v>42</v>
      </c>
      <c r="Q473" s="18" t="str">
        <f t="shared" ca="1" si="23"/>
        <v>ATRASADO</v>
      </c>
      <c r="R473" s="19" t="s">
        <v>5645</v>
      </c>
    </row>
    <row r="474" spans="1:18" x14ac:dyDescent="0.2">
      <c r="A474" s="18" t="str">
        <f t="shared" si="21"/>
        <v>049818003821.23.01298</v>
      </c>
      <c r="B474" s="51" t="s">
        <v>1809</v>
      </c>
      <c r="C474" s="18" t="s">
        <v>395</v>
      </c>
      <c r="D474" s="51" t="s">
        <v>871</v>
      </c>
      <c r="E474" s="51" t="s">
        <v>872</v>
      </c>
      <c r="F474" s="18" t="s">
        <v>328</v>
      </c>
      <c r="G474" s="52">
        <v>45934</v>
      </c>
      <c r="H474" s="18" t="s">
        <v>329</v>
      </c>
      <c r="I474" s="53">
        <v>2</v>
      </c>
      <c r="J474" s="54">
        <v>28.98</v>
      </c>
      <c r="K474" s="54">
        <v>1912.68</v>
      </c>
      <c r="L474" s="18" t="s">
        <v>330</v>
      </c>
      <c r="M474" s="18" t="s">
        <v>331</v>
      </c>
      <c r="N474" s="55">
        <v>46034</v>
      </c>
      <c r="O474" s="18" t="str">
        <f>IFERROR(VLOOKUP(A474,'[2]RELAÇÃO DE OC''S VMI MEC 030226'!$B:$P,15,FALSE),"-")</f>
        <v>-</v>
      </c>
      <c r="P474" s="56">
        <f t="shared" ca="1" si="22"/>
        <v>42</v>
      </c>
      <c r="Q474" s="18" t="str">
        <f t="shared" ca="1" si="23"/>
        <v>ATRASADO</v>
      </c>
      <c r="R474" s="19" t="s">
        <v>5645</v>
      </c>
    </row>
    <row r="475" spans="1:18" x14ac:dyDescent="0.2">
      <c r="A475" s="18" t="str">
        <f t="shared" si="21"/>
        <v>049818003921.23.01662</v>
      </c>
      <c r="B475" s="51" t="s">
        <v>1809</v>
      </c>
      <c r="C475" s="18" t="s">
        <v>396</v>
      </c>
      <c r="D475" s="51" t="s">
        <v>61</v>
      </c>
      <c r="E475" s="51" t="s">
        <v>498</v>
      </c>
      <c r="F475" s="18" t="s">
        <v>328</v>
      </c>
      <c r="G475" s="52">
        <v>45934</v>
      </c>
      <c r="H475" s="18" t="s">
        <v>329</v>
      </c>
      <c r="I475" s="53">
        <v>32</v>
      </c>
      <c r="J475" s="54">
        <v>57.8</v>
      </c>
      <c r="K475" s="54">
        <v>3468</v>
      </c>
      <c r="L475" s="18" t="s">
        <v>330</v>
      </c>
      <c r="M475" s="18" t="s">
        <v>331</v>
      </c>
      <c r="N475" s="55">
        <v>46034</v>
      </c>
      <c r="O475" s="18" t="str">
        <f>IFERROR(VLOOKUP(A475,'[2]RELAÇÃO DE OC''S VMI MEC 030226'!$B:$P,15,FALSE),"-")</f>
        <v>-</v>
      </c>
      <c r="P475" s="56">
        <f t="shared" ca="1" si="22"/>
        <v>42</v>
      </c>
      <c r="Q475" s="18" t="str">
        <f t="shared" ca="1" si="23"/>
        <v>ATRASADO</v>
      </c>
      <c r="R475" s="19" t="s">
        <v>5645</v>
      </c>
    </row>
    <row r="476" spans="1:18" x14ac:dyDescent="0.2">
      <c r="A476" s="18" t="str">
        <f t="shared" si="21"/>
        <v>049818004021.23.02248</v>
      </c>
      <c r="B476" s="51" t="s">
        <v>1809</v>
      </c>
      <c r="C476" s="18" t="s">
        <v>397</v>
      </c>
      <c r="D476" s="51" t="s">
        <v>65</v>
      </c>
      <c r="E476" s="51" t="s">
        <v>66</v>
      </c>
      <c r="F476" s="18" t="s">
        <v>328</v>
      </c>
      <c r="G476" s="52">
        <v>45934</v>
      </c>
      <c r="H476" s="18" t="s">
        <v>329</v>
      </c>
      <c r="I476" s="53">
        <v>3</v>
      </c>
      <c r="J476" s="54">
        <v>9.57</v>
      </c>
      <c r="K476" s="54">
        <v>1263.24</v>
      </c>
      <c r="L476" s="18" t="s">
        <v>330</v>
      </c>
      <c r="M476" s="18" t="s">
        <v>331</v>
      </c>
      <c r="N476" s="55">
        <v>46034</v>
      </c>
      <c r="O476" s="18" t="str">
        <f>IFERROR(VLOOKUP(A476,'[2]RELAÇÃO DE OC''S VMI MEC 030226'!$B:$P,15,FALSE),"-")</f>
        <v>-</v>
      </c>
      <c r="P476" s="56">
        <f t="shared" ca="1" si="22"/>
        <v>42</v>
      </c>
      <c r="Q476" s="18" t="str">
        <f t="shared" ca="1" si="23"/>
        <v>ATRASADO</v>
      </c>
      <c r="R476" s="19" t="s">
        <v>5645</v>
      </c>
    </row>
    <row r="477" spans="1:18" x14ac:dyDescent="0.2">
      <c r="A477" s="18" t="str">
        <f t="shared" si="21"/>
        <v>049818004621.23.02258</v>
      </c>
      <c r="B477" s="51" t="s">
        <v>1809</v>
      </c>
      <c r="C477" s="18" t="s">
        <v>358</v>
      </c>
      <c r="D477" s="51" t="s">
        <v>875</v>
      </c>
      <c r="E477" s="51" t="s">
        <v>876</v>
      </c>
      <c r="F477" s="18" t="s">
        <v>328</v>
      </c>
      <c r="G477" s="52">
        <v>45934</v>
      </c>
      <c r="H477" s="18" t="s">
        <v>329</v>
      </c>
      <c r="I477" s="53">
        <v>2</v>
      </c>
      <c r="J477" s="54">
        <v>60</v>
      </c>
      <c r="K477" s="54">
        <v>3960</v>
      </c>
      <c r="L477" s="18" t="s">
        <v>330</v>
      </c>
      <c r="M477" s="18" t="s">
        <v>331</v>
      </c>
      <c r="N477" s="55">
        <v>46034</v>
      </c>
      <c r="O477" s="18" t="str">
        <f>IFERROR(VLOOKUP(A477,'[2]RELAÇÃO DE OC''S VMI MEC 030226'!$B:$P,15,FALSE),"-")</f>
        <v>-</v>
      </c>
      <c r="P477" s="56">
        <f t="shared" ca="1" si="22"/>
        <v>42</v>
      </c>
      <c r="Q477" s="18" t="str">
        <f t="shared" ca="1" si="23"/>
        <v>ATRASADO</v>
      </c>
      <c r="R477" s="19" t="s">
        <v>5645</v>
      </c>
    </row>
    <row r="478" spans="1:18" x14ac:dyDescent="0.2">
      <c r="A478" s="18" t="str">
        <f t="shared" si="21"/>
        <v>049818004921.23.02263</v>
      </c>
      <c r="B478" s="51" t="s">
        <v>1809</v>
      </c>
      <c r="C478" s="18" t="s">
        <v>372</v>
      </c>
      <c r="D478" s="51" t="s">
        <v>68</v>
      </c>
      <c r="E478" s="51" t="s">
        <v>142</v>
      </c>
      <c r="F478" s="18" t="s">
        <v>328</v>
      </c>
      <c r="G478" s="52">
        <v>45934</v>
      </c>
      <c r="H478" s="18" t="s">
        <v>329</v>
      </c>
      <c r="I478" s="53">
        <v>15</v>
      </c>
      <c r="J478" s="54">
        <v>17.57</v>
      </c>
      <c r="K478" s="54">
        <v>1194.76</v>
      </c>
      <c r="L478" s="18" t="s">
        <v>330</v>
      </c>
      <c r="M478" s="18" t="s">
        <v>331</v>
      </c>
      <c r="N478" s="55">
        <v>46034</v>
      </c>
      <c r="O478" s="18" t="str">
        <f>IFERROR(VLOOKUP(A478,'[2]RELAÇÃO DE OC''S VMI MEC 030226'!$B:$P,15,FALSE),"-")</f>
        <v>-</v>
      </c>
      <c r="P478" s="56">
        <f t="shared" ca="1" si="22"/>
        <v>42</v>
      </c>
      <c r="Q478" s="18" t="str">
        <f t="shared" ca="1" si="23"/>
        <v>ATRASADO</v>
      </c>
      <c r="R478" s="19" t="s">
        <v>5645</v>
      </c>
    </row>
    <row r="479" spans="1:18" x14ac:dyDescent="0.2">
      <c r="A479" s="18" t="str">
        <f t="shared" si="21"/>
        <v>049818005021.23.02265</v>
      </c>
      <c r="B479" s="51" t="s">
        <v>1809</v>
      </c>
      <c r="C479" s="18" t="s">
        <v>373</v>
      </c>
      <c r="D479" s="51" t="s">
        <v>1831</v>
      </c>
      <c r="E479" s="51" t="s">
        <v>1832</v>
      </c>
      <c r="F479" s="18" t="s">
        <v>328</v>
      </c>
      <c r="G479" s="52">
        <v>45934</v>
      </c>
      <c r="H479" s="18" t="s">
        <v>329</v>
      </c>
      <c r="I479" s="53">
        <v>31</v>
      </c>
      <c r="J479" s="54">
        <v>189.7</v>
      </c>
      <c r="K479" s="54">
        <v>6639.5</v>
      </c>
      <c r="L479" s="18" t="s">
        <v>330</v>
      </c>
      <c r="M479" s="18" t="s">
        <v>331</v>
      </c>
      <c r="N479" s="55">
        <v>46034</v>
      </c>
      <c r="O479" s="18" t="str">
        <f>IFERROR(VLOOKUP(A479,'[2]RELAÇÃO DE OC''S VMI MEC 030226'!$B:$P,15,FALSE),"-")</f>
        <v>-</v>
      </c>
      <c r="P479" s="56">
        <f t="shared" ca="1" si="22"/>
        <v>42</v>
      </c>
      <c r="Q479" s="18" t="str">
        <f t="shared" ca="1" si="23"/>
        <v>ATRASADO</v>
      </c>
      <c r="R479" s="19" t="s">
        <v>5645</v>
      </c>
    </row>
    <row r="480" spans="1:18" x14ac:dyDescent="0.2">
      <c r="A480" s="18" t="str">
        <f t="shared" si="21"/>
        <v>049818005121.23.02267</v>
      </c>
      <c r="B480" s="51" t="s">
        <v>1809</v>
      </c>
      <c r="C480" s="18" t="s">
        <v>374</v>
      </c>
      <c r="D480" s="51" t="s">
        <v>122</v>
      </c>
      <c r="E480" s="51" t="s">
        <v>143</v>
      </c>
      <c r="F480" s="18" t="s">
        <v>328</v>
      </c>
      <c r="G480" s="52">
        <v>45934</v>
      </c>
      <c r="H480" s="18" t="s">
        <v>329</v>
      </c>
      <c r="I480" s="53">
        <v>2</v>
      </c>
      <c r="J480" s="54">
        <v>29</v>
      </c>
      <c r="K480" s="54">
        <v>58</v>
      </c>
      <c r="L480" s="18" t="s">
        <v>330</v>
      </c>
      <c r="M480" s="18" t="s">
        <v>331</v>
      </c>
      <c r="N480" s="55">
        <v>46034</v>
      </c>
      <c r="O480" s="18" t="str">
        <f>IFERROR(VLOOKUP(A480,'[2]RELAÇÃO DE OC''S VMI MEC 030226'!$B:$P,15,FALSE),"-")</f>
        <v>-</v>
      </c>
      <c r="P480" s="56">
        <f t="shared" ca="1" si="22"/>
        <v>42</v>
      </c>
      <c r="Q480" s="18" t="str">
        <f t="shared" ca="1" si="23"/>
        <v>ATRASADO</v>
      </c>
      <c r="R480" s="19" t="s">
        <v>5645</v>
      </c>
    </row>
    <row r="481" spans="1:18" x14ac:dyDescent="0.2">
      <c r="A481" s="18" t="str">
        <f t="shared" si="21"/>
        <v>049818005321.23.02268</v>
      </c>
      <c r="B481" s="51" t="s">
        <v>1809</v>
      </c>
      <c r="C481" s="18" t="s">
        <v>421</v>
      </c>
      <c r="D481" s="51" t="s">
        <v>462</v>
      </c>
      <c r="E481" s="51" t="s">
        <v>463</v>
      </c>
      <c r="F481" s="18" t="s">
        <v>328</v>
      </c>
      <c r="G481" s="52">
        <v>45934</v>
      </c>
      <c r="H481" s="18" t="s">
        <v>329</v>
      </c>
      <c r="I481" s="53">
        <v>1</v>
      </c>
      <c r="J481" s="54">
        <v>20</v>
      </c>
      <c r="K481" s="54">
        <v>20</v>
      </c>
      <c r="L481" s="18" t="s">
        <v>330</v>
      </c>
      <c r="M481" s="18" t="s">
        <v>331</v>
      </c>
      <c r="N481" s="55">
        <v>46034</v>
      </c>
      <c r="O481" s="18" t="str">
        <f>IFERROR(VLOOKUP(A481,'[2]RELAÇÃO DE OC''S VMI MEC 030226'!$B:$P,15,FALSE),"-")</f>
        <v>-</v>
      </c>
      <c r="P481" s="56">
        <f t="shared" ca="1" si="22"/>
        <v>42</v>
      </c>
      <c r="Q481" s="18" t="str">
        <f t="shared" ca="1" si="23"/>
        <v>ATRASADO</v>
      </c>
      <c r="R481" s="19" t="s">
        <v>5645</v>
      </c>
    </row>
    <row r="482" spans="1:18" x14ac:dyDescent="0.2">
      <c r="A482" s="18" t="str">
        <f t="shared" si="21"/>
        <v>049818005421.23.02270</v>
      </c>
      <c r="B482" s="51" t="s">
        <v>1809</v>
      </c>
      <c r="C482" s="18" t="s">
        <v>693</v>
      </c>
      <c r="D482" s="51" t="s">
        <v>762</v>
      </c>
      <c r="E482" s="51" t="s">
        <v>763</v>
      </c>
      <c r="F482" s="18" t="s">
        <v>328</v>
      </c>
      <c r="G482" s="52">
        <v>45934</v>
      </c>
      <c r="H482" s="18" t="s">
        <v>329</v>
      </c>
      <c r="I482" s="53">
        <v>33</v>
      </c>
      <c r="J482" s="54">
        <v>35.6</v>
      </c>
      <c r="K482" s="54">
        <v>1174.8</v>
      </c>
      <c r="L482" s="18" t="s">
        <v>330</v>
      </c>
      <c r="M482" s="18" t="s">
        <v>331</v>
      </c>
      <c r="N482" s="55">
        <v>46034</v>
      </c>
      <c r="O482" s="18" t="str">
        <f>IFERROR(VLOOKUP(A482,'[2]RELAÇÃO DE OC''S VMI MEC 030226'!$B:$P,15,FALSE),"-")</f>
        <v>-</v>
      </c>
      <c r="P482" s="56">
        <f t="shared" ca="1" si="22"/>
        <v>42</v>
      </c>
      <c r="Q482" s="18" t="str">
        <f t="shared" ca="1" si="23"/>
        <v>ATRASADO</v>
      </c>
      <c r="R482" s="19" t="s">
        <v>5645</v>
      </c>
    </row>
    <row r="483" spans="1:18" x14ac:dyDescent="0.2">
      <c r="A483" s="18" t="str">
        <f t="shared" si="21"/>
        <v>049818005521.23.02272</v>
      </c>
      <c r="B483" s="51" t="s">
        <v>1809</v>
      </c>
      <c r="C483" s="18" t="s">
        <v>335</v>
      </c>
      <c r="D483" s="51" t="s">
        <v>764</v>
      </c>
      <c r="E483" s="51" t="s">
        <v>765</v>
      </c>
      <c r="F483" s="18" t="s">
        <v>328</v>
      </c>
      <c r="G483" s="52">
        <v>45934</v>
      </c>
      <c r="H483" s="18" t="s">
        <v>329</v>
      </c>
      <c r="I483" s="53">
        <v>1</v>
      </c>
      <c r="J483" s="54">
        <v>35.6</v>
      </c>
      <c r="K483" s="54">
        <v>1174.8</v>
      </c>
      <c r="L483" s="18" t="s">
        <v>330</v>
      </c>
      <c r="M483" s="18" t="s">
        <v>331</v>
      </c>
      <c r="N483" s="55">
        <v>46034</v>
      </c>
      <c r="O483" s="18" t="str">
        <f>IFERROR(VLOOKUP(A483,'[2]RELAÇÃO DE OC''S VMI MEC 030226'!$B:$P,15,FALSE),"-")</f>
        <v>-</v>
      </c>
      <c r="P483" s="56">
        <f t="shared" ca="1" si="22"/>
        <v>42</v>
      </c>
      <c r="Q483" s="18" t="str">
        <f t="shared" ca="1" si="23"/>
        <v>ATRASADO</v>
      </c>
      <c r="R483" s="19" t="s">
        <v>5645</v>
      </c>
    </row>
    <row r="484" spans="1:18" x14ac:dyDescent="0.2">
      <c r="A484" s="18" t="str">
        <f t="shared" si="21"/>
        <v>049818005621.23.02274</v>
      </c>
      <c r="B484" s="51" t="s">
        <v>1809</v>
      </c>
      <c r="C484" s="18" t="s">
        <v>694</v>
      </c>
      <c r="D484" s="51" t="s">
        <v>766</v>
      </c>
      <c r="E484" s="51" t="s">
        <v>767</v>
      </c>
      <c r="F484" s="18" t="s">
        <v>328</v>
      </c>
      <c r="G484" s="52">
        <v>45934</v>
      </c>
      <c r="H484" s="18" t="s">
        <v>329</v>
      </c>
      <c r="I484" s="53">
        <v>66</v>
      </c>
      <c r="J484" s="54">
        <v>123.92</v>
      </c>
      <c r="K484" s="54">
        <v>8178.72</v>
      </c>
      <c r="L484" s="18" t="s">
        <v>330</v>
      </c>
      <c r="M484" s="18" t="s">
        <v>331</v>
      </c>
      <c r="N484" s="55">
        <v>46034</v>
      </c>
      <c r="O484" s="18" t="str">
        <f>IFERROR(VLOOKUP(A484,'[2]RELAÇÃO DE OC''S VMI MEC 030226'!$B:$P,15,FALSE),"-")</f>
        <v>-</v>
      </c>
      <c r="P484" s="56">
        <f t="shared" ca="1" si="22"/>
        <v>42</v>
      </c>
      <c r="Q484" s="18" t="str">
        <f t="shared" ca="1" si="23"/>
        <v>ATRASADO</v>
      </c>
      <c r="R484" s="19" t="s">
        <v>5645</v>
      </c>
    </row>
    <row r="485" spans="1:18" x14ac:dyDescent="0.2">
      <c r="A485" s="18" t="str">
        <f t="shared" si="21"/>
        <v>049818005821.23.02276</v>
      </c>
      <c r="B485" s="51" t="s">
        <v>1809</v>
      </c>
      <c r="C485" s="18" t="s">
        <v>353</v>
      </c>
      <c r="D485" s="51" t="s">
        <v>69</v>
      </c>
      <c r="E485" s="51" t="s">
        <v>144</v>
      </c>
      <c r="F485" s="18" t="s">
        <v>328</v>
      </c>
      <c r="G485" s="52">
        <v>45934</v>
      </c>
      <c r="H485" s="18" t="s">
        <v>329</v>
      </c>
      <c r="I485" s="53">
        <v>1</v>
      </c>
      <c r="J485" s="54">
        <v>237.73</v>
      </c>
      <c r="K485" s="54">
        <v>7845.09</v>
      </c>
      <c r="L485" s="18" t="s">
        <v>330</v>
      </c>
      <c r="M485" s="18" t="s">
        <v>331</v>
      </c>
      <c r="N485" s="55">
        <v>46034</v>
      </c>
      <c r="O485" s="18" t="str">
        <f>IFERROR(VLOOKUP(A485,'[2]RELAÇÃO DE OC''S VMI MEC 030226'!$B:$P,15,FALSE),"-")</f>
        <v>-</v>
      </c>
      <c r="P485" s="56">
        <f t="shared" ca="1" si="22"/>
        <v>42</v>
      </c>
      <c r="Q485" s="18" t="str">
        <f t="shared" ca="1" si="23"/>
        <v>ATRASADO</v>
      </c>
      <c r="R485" s="19" t="s">
        <v>5645</v>
      </c>
    </row>
    <row r="486" spans="1:18" x14ac:dyDescent="0.2">
      <c r="A486" s="18" t="str">
        <f t="shared" si="21"/>
        <v>049818006021.23.02279</v>
      </c>
      <c r="B486" s="51" t="s">
        <v>1809</v>
      </c>
      <c r="C486" s="18" t="s">
        <v>423</v>
      </c>
      <c r="D486" s="51" t="s">
        <v>30</v>
      </c>
      <c r="E486" s="51" t="s">
        <v>157</v>
      </c>
      <c r="F486" s="18" t="s">
        <v>328</v>
      </c>
      <c r="G486" s="52">
        <v>45934</v>
      </c>
      <c r="H486" s="18" t="s">
        <v>329</v>
      </c>
      <c r="I486" s="53">
        <v>2</v>
      </c>
      <c r="J486" s="54">
        <v>623.76</v>
      </c>
      <c r="K486" s="54">
        <v>20584.080000000002</v>
      </c>
      <c r="L486" s="18" t="s">
        <v>330</v>
      </c>
      <c r="M486" s="18" t="s">
        <v>331</v>
      </c>
      <c r="N486" s="55">
        <v>46034</v>
      </c>
      <c r="O486" s="18" t="str">
        <f>IFERROR(VLOOKUP(A486,'[2]RELAÇÃO DE OC''S VMI MEC 030226'!$B:$P,15,FALSE),"-")</f>
        <v>-</v>
      </c>
      <c r="P486" s="56">
        <f t="shared" ca="1" si="22"/>
        <v>42</v>
      </c>
      <c r="Q486" s="18" t="str">
        <f t="shared" ca="1" si="23"/>
        <v>ATRASADO</v>
      </c>
      <c r="R486" s="19" t="s">
        <v>5645</v>
      </c>
    </row>
    <row r="487" spans="1:18" x14ac:dyDescent="0.2">
      <c r="A487" s="18" t="str">
        <f t="shared" si="21"/>
        <v>049818006221.23.02281</v>
      </c>
      <c r="B487" s="51" t="s">
        <v>1809</v>
      </c>
      <c r="C487" s="18" t="s">
        <v>424</v>
      </c>
      <c r="D487" s="51" t="s">
        <v>70</v>
      </c>
      <c r="E487" s="51" t="s">
        <v>71</v>
      </c>
      <c r="F487" s="18" t="s">
        <v>328</v>
      </c>
      <c r="G487" s="52">
        <v>45934</v>
      </c>
      <c r="H487" s="18" t="s">
        <v>329</v>
      </c>
      <c r="I487" s="53">
        <v>1</v>
      </c>
      <c r="J487" s="54">
        <v>634.42999999999995</v>
      </c>
      <c r="K487" s="54">
        <v>20936.189999999999</v>
      </c>
      <c r="L487" s="18" t="s">
        <v>330</v>
      </c>
      <c r="M487" s="18" t="s">
        <v>331</v>
      </c>
      <c r="N487" s="55">
        <v>46034</v>
      </c>
      <c r="O487" s="18" t="str">
        <f>IFERROR(VLOOKUP(A487,'[2]RELAÇÃO DE OC''S VMI MEC 030226'!$B:$P,15,FALSE),"-")</f>
        <v>-</v>
      </c>
      <c r="P487" s="56">
        <f t="shared" ca="1" si="22"/>
        <v>42</v>
      </c>
      <c r="Q487" s="18" t="str">
        <f t="shared" ca="1" si="23"/>
        <v>ATRASADO</v>
      </c>
      <c r="R487" s="19" t="s">
        <v>5645</v>
      </c>
    </row>
    <row r="488" spans="1:18" x14ac:dyDescent="0.2">
      <c r="A488" s="18" t="str">
        <f t="shared" si="21"/>
        <v>049818006321.23.02282</v>
      </c>
      <c r="B488" s="51" t="s">
        <v>1809</v>
      </c>
      <c r="C488" s="18" t="s">
        <v>375</v>
      </c>
      <c r="D488" s="51" t="s">
        <v>123</v>
      </c>
      <c r="E488" s="51" t="s">
        <v>145</v>
      </c>
      <c r="F488" s="18" t="s">
        <v>328</v>
      </c>
      <c r="G488" s="52">
        <v>45934</v>
      </c>
      <c r="H488" s="18" t="s">
        <v>329</v>
      </c>
      <c r="I488" s="53">
        <v>2</v>
      </c>
      <c r="J488" s="54">
        <v>190</v>
      </c>
      <c r="K488" s="54">
        <v>380</v>
      </c>
      <c r="L488" s="18" t="s">
        <v>330</v>
      </c>
      <c r="M488" s="18" t="s">
        <v>331</v>
      </c>
      <c r="N488" s="55">
        <v>46034</v>
      </c>
      <c r="O488" s="18" t="str">
        <f>IFERROR(VLOOKUP(A488,'[2]RELAÇÃO DE OC''S VMI MEC 030226'!$B:$P,15,FALSE),"-")</f>
        <v>-</v>
      </c>
      <c r="P488" s="56">
        <f t="shared" ca="1" si="22"/>
        <v>42</v>
      </c>
      <c r="Q488" s="18" t="str">
        <f t="shared" ca="1" si="23"/>
        <v>ATRASADO</v>
      </c>
      <c r="R488" s="19" t="s">
        <v>5645</v>
      </c>
    </row>
    <row r="489" spans="1:18" x14ac:dyDescent="0.2">
      <c r="A489" s="18" t="str">
        <f t="shared" si="21"/>
        <v>049818006521.23.02284</v>
      </c>
      <c r="B489" s="51" t="s">
        <v>1809</v>
      </c>
      <c r="C489" s="18" t="s">
        <v>376</v>
      </c>
      <c r="D489" s="51" t="s">
        <v>72</v>
      </c>
      <c r="E489" s="51" t="s">
        <v>167</v>
      </c>
      <c r="F489" s="18" t="s">
        <v>328</v>
      </c>
      <c r="G489" s="52">
        <v>45934</v>
      </c>
      <c r="H489" s="18" t="s">
        <v>329</v>
      </c>
      <c r="I489" s="53">
        <v>11</v>
      </c>
      <c r="J489" s="54">
        <v>59.34</v>
      </c>
      <c r="K489" s="54">
        <v>1958.22</v>
      </c>
      <c r="L489" s="18" t="s">
        <v>330</v>
      </c>
      <c r="M489" s="18" t="s">
        <v>331</v>
      </c>
      <c r="N489" s="55">
        <v>46034</v>
      </c>
      <c r="O489" s="18" t="str">
        <f>IFERROR(VLOOKUP(A489,'[2]RELAÇÃO DE OC''S VMI MEC 030226'!$B:$P,15,FALSE),"-")</f>
        <v>-</v>
      </c>
      <c r="P489" s="56">
        <f t="shared" ca="1" si="22"/>
        <v>42</v>
      </c>
      <c r="Q489" s="18" t="str">
        <f t="shared" ca="1" si="23"/>
        <v>ATRASADO</v>
      </c>
      <c r="R489" s="19" t="s">
        <v>5645</v>
      </c>
    </row>
    <row r="490" spans="1:18" x14ac:dyDescent="0.2">
      <c r="A490" s="18" t="str">
        <f t="shared" si="21"/>
        <v>049818006621.23.02285</v>
      </c>
      <c r="B490" s="51" t="s">
        <v>1809</v>
      </c>
      <c r="C490" s="18" t="s">
        <v>377</v>
      </c>
      <c r="D490" s="51" t="s">
        <v>33</v>
      </c>
      <c r="E490" s="51" t="s">
        <v>466</v>
      </c>
      <c r="F490" s="18" t="s">
        <v>328</v>
      </c>
      <c r="G490" s="52">
        <v>45934</v>
      </c>
      <c r="H490" s="18" t="s">
        <v>329</v>
      </c>
      <c r="I490" s="53">
        <v>1</v>
      </c>
      <c r="J490" s="54">
        <v>455.4</v>
      </c>
      <c r="K490" s="54">
        <v>1366.2</v>
      </c>
      <c r="L490" s="18" t="s">
        <v>330</v>
      </c>
      <c r="M490" s="18" t="s">
        <v>331</v>
      </c>
      <c r="N490" s="55">
        <v>46034</v>
      </c>
      <c r="O490" s="18" t="str">
        <f>IFERROR(VLOOKUP(A490,'[2]RELAÇÃO DE OC''S VMI MEC 030226'!$B:$P,15,FALSE),"-")</f>
        <v>-</v>
      </c>
      <c r="P490" s="56">
        <f t="shared" ca="1" si="22"/>
        <v>42</v>
      </c>
      <c r="Q490" s="18" t="str">
        <f t="shared" ca="1" si="23"/>
        <v>ATRASADO</v>
      </c>
      <c r="R490" s="19" t="s">
        <v>5645</v>
      </c>
    </row>
    <row r="491" spans="1:18" x14ac:dyDescent="0.2">
      <c r="A491" s="18" t="str">
        <f t="shared" si="21"/>
        <v>049818006821.23.02288</v>
      </c>
      <c r="B491" s="51" t="s">
        <v>1809</v>
      </c>
      <c r="C491" s="18" t="s">
        <v>378</v>
      </c>
      <c r="D491" s="51" t="s">
        <v>881</v>
      </c>
      <c r="E491" s="51" t="s">
        <v>882</v>
      </c>
      <c r="F491" s="18" t="s">
        <v>328</v>
      </c>
      <c r="G491" s="52">
        <v>45934</v>
      </c>
      <c r="H491" s="18" t="s">
        <v>329</v>
      </c>
      <c r="I491" s="53">
        <v>2</v>
      </c>
      <c r="J491" s="54">
        <v>15</v>
      </c>
      <c r="K491" s="54">
        <v>975</v>
      </c>
      <c r="L491" s="18" t="s">
        <v>330</v>
      </c>
      <c r="M491" s="18" t="s">
        <v>331</v>
      </c>
      <c r="N491" s="55">
        <v>46034</v>
      </c>
      <c r="O491" s="18" t="str">
        <f>IFERROR(VLOOKUP(A491,'[2]RELAÇÃO DE OC''S VMI MEC 030226'!$B:$P,15,FALSE),"-")</f>
        <v>-</v>
      </c>
      <c r="P491" s="56">
        <f t="shared" ca="1" si="22"/>
        <v>42</v>
      </c>
      <c r="Q491" s="18" t="str">
        <f t="shared" ca="1" si="23"/>
        <v>ATRASADO</v>
      </c>
      <c r="R491" s="19" t="s">
        <v>5645</v>
      </c>
    </row>
    <row r="492" spans="1:18" ht="42.75" x14ac:dyDescent="0.2">
      <c r="A492" s="18" t="str">
        <f t="shared" si="21"/>
        <v>049818006921.23.02289</v>
      </c>
      <c r="B492" s="51" t="s">
        <v>1809</v>
      </c>
      <c r="C492" s="18" t="s">
        <v>401</v>
      </c>
      <c r="D492" s="51" t="s">
        <v>883</v>
      </c>
      <c r="E492" s="51" t="s">
        <v>884</v>
      </c>
      <c r="F492" s="18" t="s">
        <v>328</v>
      </c>
      <c r="G492" s="52">
        <v>45934</v>
      </c>
      <c r="H492" s="18" t="s">
        <v>329</v>
      </c>
      <c r="I492" s="53">
        <v>5</v>
      </c>
      <c r="J492" s="54">
        <v>503.79</v>
      </c>
      <c r="K492" s="54">
        <v>66500.28</v>
      </c>
      <c r="L492" s="18" t="s">
        <v>330</v>
      </c>
      <c r="M492" s="18" t="s">
        <v>331</v>
      </c>
      <c r="N492" s="55">
        <v>46034</v>
      </c>
      <c r="O492" s="18" t="str">
        <f>IFERROR(VLOOKUP(A492,'[2]RELAÇÃO DE OC''S VMI MEC 030226'!$B:$P,15,FALSE),"-")</f>
        <v>-</v>
      </c>
      <c r="P492" s="56">
        <f t="shared" ca="1" si="22"/>
        <v>42</v>
      </c>
      <c r="Q492" s="18" t="str">
        <f t="shared" ca="1" si="23"/>
        <v>ATRASADO</v>
      </c>
      <c r="R492" s="19" t="s">
        <v>5673</v>
      </c>
    </row>
    <row r="493" spans="1:18" ht="42.75" x14ac:dyDescent="0.2">
      <c r="A493" s="18" t="str">
        <f t="shared" si="21"/>
        <v>049818007121.23.02291</v>
      </c>
      <c r="B493" s="51" t="s">
        <v>1809</v>
      </c>
      <c r="C493" s="18" t="s">
        <v>336</v>
      </c>
      <c r="D493" s="51" t="s">
        <v>885</v>
      </c>
      <c r="E493" s="51" t="s">
        <v>886</v>
      </c>
      <c r="F493" s="18" t="s">
        <v>328</v>
      </c>
      <c r="G493" s="52">
        <v>45934</v>
      </c>
      <c r="H493" s="18" t="s">
        <v>329</v>
      </c>
      <c r="I493" s="53">
        <v>132</v>
      </c>
      <c r="J493" s="54">
        <v>101.57</v>
      </c>
      <c r="K493" s="54">
        <v>13407.24</v>
      </c>
      <c r="L493" s="18" t="s">
        <v>330</v>
      </c>
      <c r="M493" s="18" t="s">
        <v>331</v>
      </c>
      <c r="N493" s="55">
        <v>46034</v>
      </c>
      <c r="O493" s="18" t="str">
        <f>IFERROR(VLOOKUP(A493,'[2]RELAÇÃO DE OC''S VMI MEC 030226'!$B:$P,15,FALSE),"-")</f>
        <v>-</v>
      </c>
      <c r="P493" s="56">
        <f t="shared" ca="1" si="22"/>
        <v>42</v>
      </c>
      <c r="Q493" s="18" t="str">
        <f t="shared" ca="1" si="23"/>
        <v>ATRASADO</v>
      </c>
      <c r="R493" s="19" t="s">
        <v>5673</v>
      </c>
    </row>
    <row r="494" spans="1:18" x14ac:dyDescent="0.2">
      <c r="A494" s="18" t="str">
        <f t="shared" si="21"/>
        <v>049818007221.23.02292</v>
      </c>
      <c r="B494" s="51" t="s">
        <v>1809</v>
      </c>
      <c r="C494" s="18" t="s">
        <v>697</v>
      </c>
      <c r="D494" s="51" t="s">
        <v>887</v>
      </c>
      <c r="E494" s="51" t="s">
        <v>888</v>
      </c>
      <c r="F494" s="18" t="s">
        <v>328</v>
      </c>
      <c r="G494" s="52">
        <v>45934</v>
      </c>
      <c r="H494" s="18" t="s">
        <v>329</v>
      </c>
      <c r="I494" s="53">
        <v>5</v>
      </c>
      <c r="J494" s="54">
        <v>51.24</v>
      </c>
      <c r="K494" s="54">
        <v>1690.92</v>
      </c>
      <c r="L494" s="18" t="s">
        <v>330</v>
      </c>
      <c r="M494" s="18" t="s">
        <v>331</v>
      </c>
      <c r="N494" s="55">
        <v>46034</v>
      </c>
      <c r="O494" s="18" t="str">
        <f>IFERROR(VLOOKUP(A494,'[2]RELAÇÃO DE OC''S VMI MEC 030226'!$B:$P,15,FALSE),"-")</f>
        <v>-</v>
      </c>
      <c r="P494" s="56">
        <f t="shared" ca="1" si="22"/>
        <v>42</v>
      </c>
      <c r="Q494" s="18" t="str">
        <f t="shared" ca="1" si="23"/>
        <v>ATRASADO</v>
      </c>
      <c r="R494" s="19" t="s">
        <v>5645</v>
      </c>
    </row>
    <row r="495" spans="1:18" ht="53.25" x14ac:dyDescent="0.2">
      <c r="A495" s="18" t="str">
        <f t="shared" si="21"/>
        <v>049818007321.23.02300</v>
      </c>
      <c r="B495" s="51" t="s">
        <v>1809</v>
      </c>
      <c r="C495" s="18" t="s">
        <v>698</v>
      </c>
      <c r="D495" s="51" t="s">
        <v>774</v>
      </c>
      <c r="E495" s="51" t="s">
        <v>775</v>
      </c>
      <c r="F495" s="18" t="s">
        <v>328</v>
      </c>
      <c r="G495" s="52">
        <v>45934</v>
      </c>
      <c r="H495" s="18" t="s">
        <v>329</v>
      </c>
      <c r="I495" s="53">
        <v>66</v>
      </c>
      <c r="J495" s="54">
        <v>10.029999999999999</v>
      </c>
      <c r="K495" s="54">
        <v>661.98</v>
      </c>
      <c r="L495" s="18" t="s">
        <v>330</v>
      </c>
      <c r="M495" s="18" t="s">
        <v>331</v>
      </c>
      <c r="N495" s="55">
        <v>46034</v>
      </c>
      <c r="O495" s="18" t="str">
        <f>IFERROR(VLOOKUP(A495,'[2]RELAÇÃO DE OC''S VMI MEC 030226'!$B:$P,15,FALSE),"-")</f>
        <v>-</v>
      </c>
      <c r="P495" s="56">
        <f t="shared" ca="1" si="22"/>
        <v>42</v>
      </c>
      <c r="Q495" s="18" t="str">
        <f t="shared" ca="1" si="23"/>
        <v>ATRASADO</v>
      </c>
      <c r="R495" s="19" t="s">
        <v>5656</v>
      </c>
    </row>
    <row r="496" spans="1:18" x14ac:dyDescent="0.2">
      <c r="A496" s="18" t="str">
        <f t="shared" si="21"/>
        <v>049818007421.23.02304</v>
      </c>
      <c r="B496" s="51" t="s">
        <v>1809</v>
      </c>
      <c r="C496" s="18" t="s">
        <v>379</v>
      </c>
      <c r="D496" s="51" t="s">
        <v>889</v>
      </c>
      <c r="E496" s="51" t="s">
        <v>890</v>
      </c>
      <c r="F496" s="18" t="s">
        <v>328</v>
      </c>
      <c r="G496" s="52">
        <v>45934</v>
      </c>
      <c r="H496" s="18" t="s">
        <v>329</v>
      </c>
      <c r="I496" s="53">
        <v>7</v>
      </c>
      <c r="J496" s="54">
        <v>87.03</v>
      </c>
      <c r="K496" s="54">
        <v>5221.8</v>
      </c>
      <c r="L496" s="18" t="s">
        <v>330</v>
      </c>
      <c r="M496" s="18" t="s">
        <v>331</v>
      </c>
      <c r="N496" s="55">
        <v>46034</v>
      </c>
      <c r="O496" s="18" t="str">
        <f>IFERROR(VLOOKUP(A496,'[2]RELAÇÃO DE OC''S VMI MEC 030226'!$B:$P,15,FALSE),"-")</f>
        <v>-</v>
      </c>
      <c r="P496" s="56">
        <f t="shared" ca="1" si="22"/>
        <v>42</v>
      </c>
      <c r="Q496" s="18" t="str">
        <f t="shared" ca="1" si="23"/>
        <v>ATRASADO</v>
      </c>
      <c r="R496" s="19" t="s">
        <v>5645</v>
      </c>
    </row>
    <row r="497" spans="1:18" x14ac:dyDescent="0.2">
      <c r="A497" s="18" t="str">
        <f t="shared" si="21"/>
        <v>049818007721.23.02307</v>
      </c>
      <c r="B497" s="51" t="s">
        <v>1809</v>
      </c>
      <c r="C497" s="18" t="s">
        <v>380</v>
      </c>
      <c r="D497" s="51" t="s">
        <v>1833</v>
      </c>
      <c r="E497" s="51" t="s">
        <v>1834</v>
      </c>
      <c r="F497" s="18" t="s">
        <v>328</v>
      </c>
      <c r="G497" s="52">
        <v>45934</v>
      </c>
      <c r="H497" s="18" t="s">
        <v>329</v>
      </c>
      <c r="I497" s="53">
        <v>70</v>
      </c>
      <c r="J497" s="54">
        <v>30.64</v>
      </c>
      <c r="K497" s="54">
        <v>2144.8000000000002</v>
      </c>
      <c r="L497" s="18" t="s">
        <v>330</v>
      </c>
      <c r="M497" s="18" t="s">
        <v>331</v>
      </c>
      <c r="N497" s="55">
        <v>46034</v>
      </c>
      <c r="O497" s="18" t="str">
        <f>IFERROR(VLOOKUP(A497,'[2]RELAÇÃO DE OC''S VMI MEC 030226'!$B:$P,15,FALSE),"-")</f>
        <v>-</v>
      </c>
      <c r="P497" s="56">
        <f t="shared" ca="1" si="22"/>
        <v>42</v>
      </c>
      <c r="Q497" s="18" t="str">
        <f t="shared" ca="1" si="23"/>
        <v>ATRASADO</v>
      </c>
      <c r="R497" s="19" t="s">
        <v>5645</v>
      </c>
    </row>
    <row r="498" spans="1:18" x14ac:dyDescent="0.2">
      <c r="A498" s="18" t="str">
        <f t="shared" si="21"/>
        <v>049818007821.23.02308</v>
      </c>
      <c r="B498" s="51" t="s">
        <v>1809</v>
      </c>
      <c r="C498" s="51" t="s">
        <v>403</v>
      </c>
      <c r="D498" s="51" t="s">
        <v>1835</v>
      </c>
      <c r="E498" s="51" t="s">
        <v>1836</v>
      </c>
      <c r="F498" s="18" t="s">
        <v>328</v>
      </c>
      <c r="G498" s="52">
        <v>45934</v>
      </c>
      <c r="H498" s="18" t="s">
        <v>329</v>
      </c>
      <c r="I498" s="53">
        <v>3</v>
      </c>
      <c r="J498" s="54">
        <v>24.01</v>
      </c>
      <c r="K498" s="54">
        <v>1680.7</v>
      </c>
      <c r="L498" s="18" t="s">
        <v>330</v>
      </c>
      <c r="M498" s="18" t="s">
        <v>331</v>
      </c>
      <c r="N498" s="55">
        <v>46034</v>
      </c>
      <c r="O498" s="18" t="str">
        <f>IFERROR(VLOOKUP(A498,'[2]RELAÇÃO DE OC''S VMI MEC 030226'!$B:$P,15,FALSE),"-")</f>
        <v>-</v>
      </c>
      <c r="P498" s="56">
        <f t="shared" ca="1" si="22"/>
        <v>42</v>
      </c>
      <c r="Q498" s="18" t="str">
        <f t="shared" ca="1" si="23"/>
        <v>ATRASADO</v>
      </c>
      <c r="R498" s="19" t="s">
        <v>5645</v>
      </c>
    </row>
    <row r="499" spans="1:18" x14ac:dyDescent="0.2">
      <c r="A499" s="18" t="str">
        <f t="shared" si="21"/>
        <v>049818008021.23.02313</v>
      </c>
      <c r="B499" s="51" t="s">
        <v>1809</v>
      </c>
      <c r="C499" s="51" t="s">
        <v>382</v>
      </c>
      <c r="D499" s="51" t="s">
        <v>124</v>
      </c>
      <c r="E499" s="51" t="s">
        <v>146</v>
      </c>
      <c r="F499" s="18" t="s">
        <v>328</v>
      </c>
      <c r="G499" s="52">
        <v>45934</v>
      </c>
      <c r="H499" s="18" t="s">
        <v>329</v>
      </c>
      <c r="I499" s="53">
        <v>2</v>
      </c>
      <c r="J499" s="54">
        <v>282.49</v>
      </c>
      <c r="K499" s="54">
        <v>564.98</v>
      </c>
      <c r="L499" s="18" t="s">
        <v>330</v>
      </c>
      <c r="M499" s="18" t="s">
        <v>331</v>
      </c>
      <c r="N499" s="55">
        <v>46034</v>
      </c>
      <c r="O499" s="18" t="str">
        <f>IFERROR(VLOOKUP(A499,'[2]RELAÇÃO DE OC''S VMI MEC 030226'!$B:$P,15,FALSE),"-")</f>
        <v>-</v>
      </c>
      <c r="P499" s="56">
        <f t="shared" ca="1" si="22"/>
        <v>42</v>
      </c>
      <c r="Q499" s="18" t="str">
        <f t="shared" ca="1" si="23"/>
        <v>ATRASADO</v>
      </c>
      <c r="R499" s="19" t="s">
        <v>5645</v>
      </c>
    </row>
    <row r="500" spans="1:18" x14ac:dyDescent="0.2">
      <c r="A500" s="18" t="str">
        <f t="shared" si="21"/>
        <v>049818008221.23.02315</v>
      </c>
      <c r="B500" s="51" t="s">
        <v>1809</v>
      </c>
      <c r="C500" s="51" t="s">
        <v>699</v>
      </c>
      <c r="D500" s="51" t="s">
        <v>467</v>
      </c>
      <c r="E500" s="51" t="s">
        <v>468</v>
      </c>
      <c r="F500" s="18" t="s">
        <v>328</v>
      </c>
      <c r="G500" s="52">
        <v>45934</v>
      </c>
      <c r="H500" s="18" t="s">
        <v>329</v>
      </c>
      <c r="I500" s="53">
        <v>2</v>
      </c>
      <c r="J500" s="54">
        <v>75.27</v>
      </c>
      <c r="K500" s="54">
        <v>150.54</v>
      </c>
      <c r="L500" s="18" t="s">
        <v>330</v>
      </c>
      <c r="M500" s="18" t="s">
        <v>331</v>
      </c>
      <c r="N500" s="55">
        <v>46034</v>
      </c>
      <c r="O500" s="18" t="str">
        <f>IFERROR(VLOOKUP(A500,'[2]RELAÇÃO DE OC''S VMI MEC 030226'!$B:$P,15,FALSE),"-")</f>
        <v>-</v>
      </c>
      <c r="P500" s="56">
        <f t="shared" ca="1" si="22"/>
        <v>42</v>
      </c>
      <c r="Q500" s="18" t="str">
        <f t="shared" ca="1" si="23"/>
        <v>ATRASADO</v>
      </c>
      <c r="R500" s="19" t="s">
        <v>5645</v>
      </c>
    </row>
    <row r="501" spans="1:18" ht="53.25" x14ac:dyDescent="0.2">
      <c r="A501" s="18" t="str">
        <f t="shared" si="21"/>
        <v>049818008321.23.02316</v>
      </c>
      <c r="B501" s="51" t="s">
        <v>1809</v>
      </c>
      <c r="C501" s="51" t="s">
        <v>338</v>
      </c>
      <c r="D501" s="51" t="s">
        <v>469</v>
      </c>
      <c r="E501" s="51" t="s">
        <v>470</v>
      </c>
      <c r="F501" s="18" t="s">
        <v>328</v>
      </c>
      <c r="G501" s="52">
        <v>45934</v>
      </c>
      <c r="H501" s="18" t="s">
        <v>329</v>
      </c>
      <c r="I501" s="53">
        <v>2</v>
      </c>
      <c r="J501" s="54">
        <v>100.84</v>
      </c>
      <c r="K501" s="54">
        <v>201.68</v>
      </c>
      <c r="L501" s="18" t="s">
        <v>330</v>
      </c>
      <c r="M501" s="18" t="s">
        <v>331</v>
      </c>
      <c r="N501" s="55">
        <v>46034</v>
      </c>
      <c r="O501" s="18" t="str">
        <f>IFERROR(VLOOKUP(A501,'[2]RELAÇÃO DE OC''S VMI MEC 030226'!$B:$P,15,FALSE),"-")</f>
        <v>-</v>
      </c>
      <c r="P501" s="56">
        <f t="shared" ca="1" si="22"/>
        <v>42</v>
      </c>
      <c r="Q501" s="18" t="str">
        <f t="shared" ca="1" si="23"/>
        <v>ATRASADO</v>
      </c>
      <c r="R501" s="19" t="s">
        <v>5674</v>
      </c>
    </row>
    <row r="502" spans="1:18" ht="53.25" x14ac:dyDescent="0.2">
      <c r="A502" s="18" t="str">
        <f t="shared" si="21"/>
        <v>049818008621.23.02320</v>
      </c>
      <c r="B502" s="51" t="s">
        <v>1809</v>
      </c>
      <c r="C502" s="51" t="s">
        <v>404</v>
      </c>
      <c r="D502" s="51" t="s">
        <v>472</v>
      </c>
      <c r="E502" s="51" t="s">
        <v>473</v>
      </c>
      <c r="F502" s="18" t="s">
        <v>328</v>
      </c>
      <c r="G502" s="52">
        <v>45934</v>
      </c>
      <c r="H502" s="18" t="s">
        <v>329</v>
      </c>
      <c r="I502" s="53">
        <v>2</v>
      </c>
      <c r="J502" s="54">
        <v>45.965000000000003</v>
      </c>
      <c r="K502" s="54">
        <v>183.86</v>
      </c>
      <c r="L502" s="18" t="s">
        <v>330</v>
      </c>
      <c r="M502" s="18" t="s">
        <v>331</v>
      </c>
      <c r="N502" s="55">
        <v>46034</v>
      </c>
      <c r="O502" s="18" t="str">
        <f>IFERROR(VLOOKUP(A502,'[2]RELAÇÃO DE OC''S VMI MEC 030226'!$B:$P,15,FALSE),"-")</f>
        <v>-</v>
      </c>
      <c r="P502" s="56">
        <f t="shared" ca="1" si="22"/>
        <v>42</v>
      </c>
      <c r="Q502" s="18" t="str">
        <f t="shared" ca="1" si="23"/>
        <v>ATRASADO</v>
      </c>
      <c r="R502" s="19" t="s">
        <v>5663</v>
      </c>
    </row>
    <row r="503" spans="1:18" x14ac:dyDescent="0.2">
      <c r="A503" s="18" t="str">
        <f t="shared" si="21"/>
        <v>049818008721.23.02322</v>
      </c>
      <c r="B503" s="51" t="s">
        <v>1809</v>
      </c>
      <c r="C503" s="51" t="s">
        <v>384</v>
      </c>
      <c r="D503" s="51" t="s">
        <v>969</v>
      </c>
      <c r="E503" s="51" t="s">
        <v>970</v>
      </c>
      <c r="F503" s="18" t="s">
        <v>328</v>
      </c>
      <c r="G503" s="52">
        <v>45934</v>
      </c>
      <c r="H503" s="18" t="s">
        <v>329</v>
      </c>
      <c r="I503" s="53">
        <v>1</v>
      </c>
      <c r="J503" s="54">
        <v>92.92</v>
      </c>
      <c r="K503" s="54">
        <v>3066.36</v>
      </c>
      <c r="L503" s="18" t="s">
        <v>330</v>
      </c>
      <c r="M503" s="18" t="s">
        <v>331</v>
      </c>
      <c r="N503" s="55">
        <v>46034</v>
      </c>
      <c r="O503" s="18" t="str">
        <f>IFERROR(VLOOKUP(A503,'[2]RELAÇÃO DE OC''S VMI MEC 030226'!$B:$P,15,FALSE),"-")</f>
        <v>-</v>
      </c>
      <c r="P503" s="56">
        <f t="shared" ca="1" si="22"/>
        <v>42</v>
      </c>
      <c r="Q503" s="18" t="str">
        <f t="shared" ca="1" si="23"/>
        <v>ATRASADO</v>
      </c>
      <c r="R503" s="19" t="s">
        <v>5645</v>
      </c>
    </row>
    <row r="504" spans="1:18" x14ac:dyDescent="0.2">
      <c r="A504" s="18" t="str">
        <f t="shared" si="21"/>
        <v>049818008821.23.02327</v>
      </c>
      <c r="B504" s="51" t="s">
        <v>1809</v>
      </c>
      <c r="C504" s="51" t="s">
        <v>405</v>
      </c>
      <c r="D504" s="51" t="s">
        <v>74</v>
      </c>
      <c r="E504" s="51" t="s">
        <v>148</v>
      </c>
      <c r="F504" s="18" t="s">
        <v>328</v>
      </c>
      <c r="G504" s="52">
        <v>45934</v>
      </c>
      <c r="H504" s="18" t="s">
        <v>329</v>
      </c>
      <c r="I504" s="53">
        <v>32</v>
      </c>
      <c r="J504" s="54">
        <v>170.02</v>
      </c>
      <c r="K504" s="54">
        <v>5610.66</v>
      </c>
      <c r="L504" s="18" t="s">
        <v>330</v>
      </c>
      <c r="M504" s="18" t="s">
        <v>331</v>
      </c>
      <c r="N504" s="55">
        <v>46034</v>
      </c>
      <c r="O504" s="18" t="str">
        <f>IFERROR(VLOOKUP(A504,'[2]RELAÇÃO DE OC''S VMI MEC 030226'!$B:$P,15,FALSE),"-")</f>
        <v>-</v>
      </c>
      <c r="P504" s="56">
        <f t="shared" ca="1" si="22"/>
        <v>42</v>
      </c>
      <c r="Q504" s="18" t="str">
        <f t="shared" ca="1" si="23"/>
        <v>ATRASADO</v>
      </c>
      <c r="R504" s="19" t="s">
        <v>5645</v>
      </c>
    </row>
    <row r="505" spans="1:18" x14ac:dyDescent="0.2">
      <c r="A505" s="18" t="str">
        <f t="shared" si="21"/>
        <v>049818008921.23.02329</v>
      </c>
      <c r="B505" s="51" t="s">
        <v>1809</v>
      </c>
      <c r="C505" s="51" t="s">
        <v>341</v>
      </c>
      <c r="D505" s="51" t="s">
        <v>75</v>
      </c>
      <c r="E505" s="51" t="s">
        <v>168</v>
      </c>
      <c r="F505" s="18" t="s">
        <v>328</v>
      </c>
      <c r="G505" s="52">
        <v>45934</v>
      </c>
      <c r="H505" s="18" t="s">
        <v>329</v>
      </c>
      <c r="I505" s="53">
        <v>30</v>
      </c>
      <c r="J505" s="54">
        <v>73.599999999999994</v>
      </c>
      <c r="K505" s="54">
        <v>2208</v>
      </c>
      <c r="L505" s="18" t="s">
        <v>330</v>
      </c>
      <c r="M505" s="18" t="s">
        <v>331</v>
      </c>
      <c r="N505" s="55">
        <v>46034</v>
      </c>
      <c r="O505" s="18" t="str">
        <f>IFERROR(VLOOKUP(A505,'[2]RELAÇÃO DE OC''S VMI MEC 030226'!$B:$P,15,FALSE),"-")</f>
        <v>-</v>
      </c>
      <c r="P505" s="56">
        <f t="shared" ca="1" si="22"/>
        <v>42</v>
      </c>
      <c r="Q505" s="18" t="str">
        <f t="shared" ca="1" si="23"/>
        <v>ATRASADO</v>
      </c>
      <c r="R505" s="19" t="s">
        <v>5645</v>
      </c>
    </row>
    <row r="506" spans="1:18" x14ac:dyDescent="0.2">
      <c r="A506" s="18" t="str">
        <f t="shared" si="21"/>
        <v>049818009221.23.02333</v>
      </c>
      <c r="B506" s="51" t="s">
        <v>1809</v>
      </c>
      <c r="C506" s="51" t="s">
        <v>427</v>
      </c>
      <c r="D506" s="51" t="s">
        <v>779</v>
      </c>
      <c r="E506" s="51" t="s">
        <v>780</v>
      </c>
      <c r="F506" s="18" t="s">
        <v>328</v>
      </c>
      <c r="G506" s="52">
        <v>45934</v>
      </c>
      <c r="H506" s="18" t="s">
        <v>329</v>
      </c>
      <c r="I506" s="53">
        <v>1</v>
      </c>
      <c r="J506" s="54">
        <v>48.76</v>
      </c>
      <c r="K506" s="54">
        <v>1609.08</v>
      </c>
      <c r="L506" s="18" t="s">
        <v>330</v>
      </c>
      <c r="M506" s="18" t="s">
        <v>331</v>
      </c>
      <c r="N506" s="55">
        <v>46034</v>
      </c>
      <c r="O506" s="18" t="str">
        <f>IFERROR(VLOOKUP(A506,'[2]RELAÇÃO DE OC''S VMI MEC 030226'!$B:$P,15,FALSE),"-")</f>
        <v>-</v>
      </c>
      <c r="P506" s="56">
        <f t="shared" ca="1" si="22"/>
        <v>42</v>
      </c>
      <c r="Q506" s="18" t="str">
        <f t="shared" ca="1" si="23"/>
        <v>ATRASADO</v>
      </c>
      <c r="R506" s="19" t="s">
        <v>5645</v>
      </c>
    </row>
    <row r="507" spans="1:18" x14ac:dyDescent="0.2">
      <c r="A507" s="18" t="str">
        <f t="shared" si="21"/>
        <v>049818009321.23.02334</v>
      </c>
      <c r="B507" s="51" t="s">
        <v>1809</v>
      </c>
      <c r="C507" s="51" t="s">
        <v>444</v>
      </c>
      <c r="D507" s="51" t="s">
        <v>781</v>
      </c>
      <c r="E507" s="51" t="s">
        <v>782</v>
      </c>
      <c r="F507" s="18" t="s">
        <v>328</v>
      </c>
      <c r="G507" s="52">
        <v>45934</v>
      </c>
      <c r="H507" s="18" t="s">
        <v>329</v>
      </c>
      <c r="I507" s="53">
        <v>32</v>
      </c>
      <c r="J507" s="54">
        <v>28.98</v>
      </c>
      <c r="K507" s="54">
        <v>956.34</v>
      </c>
      <c r="L507" s="18" t="s">
        <v>330</v>
      </c>
      <c r="M507" s="18" t="s">
        <v>331</v>
      </c>
      <c r="N507" s="55">
        <v>46034</v>
      </c>
      <c r="O507" s="18" t="str">
        <f>IFERROR(VLOOKUP(A507,'[2]RELAÇÃO DE OC''S VMI MEC 030226'!$B:$P,15,FALSE),"-")</f>
        <v>-</v>
      </c>
      <c r="P507" s="56">
        <f t="shared" ca="1" si="22"/>
        <v>42</v>
      </c>
      <c r="Q507" s="18" t="str">
        <f t="shared" ca="1" si="23"/>
        <v>ATRASADO</v>
      </c>
      <c r="R507" s="19" t="s">
        <v>5645</v>
      </c>
    </row>
    <row r="508" spans="1:18" x14ac:dyDescent="0.2">
      <c r="A508" s="18" t="str">
        <f t="shared" si="21"/>
        <v>049818009521.23.02338</v>
      </c>
      <c r="B508" s="51" t="s">
        <v>1809</v>
      </c>
      <c r="C508" s="51" t="s">
        <v>701</v>
      </c>
      <c r="D508" s="51" t="s">
        <v>76</v>
      </c>
      <c r="E508" s="51" t="s">
        <v>169</v>
      </c>
      <c r="F508" s="18" t="s">
        <v>328</v>
      </c>
      <c r="G508" s="52">
        <v>45934</v>
      </c>
      <c r="H508" s="18" t="s">
        <v>329</v>
      </c>
      <c r="I508" s="53">
        <v>1</v>
      </c>
      <c r="J508" s="54">
        <v>181.61</v>
      </c>
      <c r="K508" s="54">
        <v>5993.13</v>
      </c>
      <c r="L508" s="18" t="s">
        <v>330</v>
      </c>
      <c r="M508" s="18" t="s">
        <v>331</v>
      </c>
      <c r="N508" s="55">
        <v>46034</v>
      </c>
      <c r="O508" s="18" t="str">
        <f>IFERROR(VLOOKUP(A508,'[2]RELAÇÃO DE OC''S VMI MEC 030226'!$B:$P,15,FALSE),"-")</f>
        <v>-</v>
      </c>
      <c r="P508" s="56">
        <f t="shared" ca="1" si="22"/>
        <v>42</v>
      </c>
      <c r="Q508" s="18" t="str">
        <f t="shared" ca="1" si="23"/>
        <v>ATRASADO</v>
      </c>
      <c r="R508" s="19" t="s">
        <v>5645</v>
      </c>
    </row>
    <row r="509" spans="1:18" x14ac:dyDescent="0.2">
      <c r="A509" s="18" t="str">
        <f t="shared" si="21"/>
        <v>049818009821.23.04168</v>
      </c>
      <c r="B509" s="51" t="s">
        <v>1809</v>
      </c>
      <c r="C509" s="51" t="s">
        <v>702</v>
      </c>
      <c r="D509" s="51" t="s">
        <v>971</v>
      </c>
      <c r="E509" s="51" t="s">
        <v>972</v>
      </c>
      <c r="F509" s="18" t="s">
        <v>328</v>
      </c>
      <c r="G509" s="52">
        <v>45934</v>
      </c>
      <c r="H509" s="18" t="s">
        <v>329</v>
      </c>
      <c r="I509" s="53">
        <v>33</v>
      </c>
      <c r="J509" s="54">
        <v>63.3</v>
      </c>
      <c r="K509" s="54">
        <v>2088.9</v>
      </c>
      <c r="L509" s="18" t="s">
        <v>330</v>
      </c>
      <c r="M509" s="18" t="s">
        <v>331</v>
      </c>
      <c r="N509" s="55">
        <v>46034</v>
      </c>
      <c r="O509" s="18" t="str">
        <f>IFERROR(VLOOKUP(A509,'[2]RELAÇÃO DE OC''S VMI MEC 030226'!$B:$P,15,FALSE),"-")</f>
        <v>-</v>
      </c>
      <c r="P509" s="56">
        <f t="shared" ca="1" si="22"/>
        <v>42</v>
      </c>
      <c r="Q509" s="18" t="str">
        <f t="shared" ca="1" si="23"/>
        <v>ATRASADO</v>
      </c>
      <c r="R509" s="19" t="s">
        <v>5645</v>
      </c>
    </row>
    <row r="510" spans="1:18" ht="53.25" x14ac:dyDescent="0.2">
      <c r="A510" s="18" t="str">
        <f t="shared" si="21"/>
        <v>049818009921.23.04169</v>
      </c>
      <c r="B510" s="51" t="s">
        <v>1809</v>
      </c>
      <c r="C510" s="51" t="s">
        <v>703</v>
      </c>
      <c r="D510" s="51" t="s">
        <v>789</v>
      </c>
      <c r="E510" s="51" t="s">
        <v>790</v>
      </c>
      <c r="F510" s="18" t="s">
        <v>328</v>
      </c>
      <c r="G510" s="52">
        <v>45934</v>
      </c>
      <c r="H510" s="18" t="s">
        <v>329</v>
      </c>
      <c r="I510" s="53">
        <v>33</v>
      </c>
      <c r="J510" s="54">
        <v>63.3</v>
      </c>
      <c r="K510" s="54">
        <v>2088.9</v>
      </c>
      <c r="L510" s="18" t="s">
        <v>330</v>
      </c>
      <c r="M510" s="18" t="s">
        <v>331</v>
      </c>
      <c r="N510" s="55">
        <v>46034</v>
      </c>
      <c r="O510" s="18" t="str">
        <f>IFERROR(VLOOKUP(A510,'[2]RELAÇÃO DE OC''S VMI MEC 030226'!$B:$P,15,FALSE),"-")</f>
        <v>-</v>
      </c>
      <c r="P510" s="56">
        <f t="shared" ca="1" si="22"/>
        <v>42</v>
      </c>
      <c r="Q510" s="18" t="str">
        <f t="shared" ca="1" si="23"/>
        <v>ATRASADO</v>
      </c>
      <c r="R510" s="19" t="s">
        <v>5675</v>
      </c>
    </row>
    <row r="511" spans="1:18" ht="53.25" x14ac:dyDescent="0.2">
      <c r="A511" s="18" t="str">
        <f t="shared" si="21"/>
        <v>049818010221.23.04290</v>
      </c>
      <c r="B511" s="51" t="s">
        <v>1809</v>
      </c>
      <c r="C511" s="51" t="s">
        <v>406</v>
      </c>
      <c r="D511" s="51" t="s">
        <v>923</v>
      </c>
      <c r="E511" s="51" t="s">
        <v>924</v>
      </c>
      <c r="F511" s="18" t="s">
        <v>328</v>
      </c>
      <c r="G511" s="52">
        <v>45934</v>
      </c>
      <c r="H511" s="18" t="s">
        <v>329</v>
      </c>
      <c r="I511" s="53">
        <v>15</v>
      </c>
      <c r="J511" s="54">
        <v>310.11</v>
      </c>
      <c r="K511" s="54">
        <v>9613.41</v>
      </c>
      <c r="L511" s="18" t="s">
        <v>330</v>
      </c>
      <c r="M511" s="18" t="s">
        <v>331</v>
      </c>
      <c r="N511" s="55">
        <v>46034</v>
      </c>
      <c r="O511" s="18" t="str">
        <f>IFERROR(VLOOKUP(A511,'[2]RELAÇÃO DE OC''S VMI MEC 030226'!$B:$P,15,FALSE),"-")</f>
        <v>-</v>
      </c>
      <c r="P511" s="56">
        <f t="shared" ca="1" si="22"/>
        <v>42</v>
      </c>
      <c r="Q511" s="18" t="str">
        <f t="shared" ca="1" si="23"/>
        <v>ATRASADO</v>
      </c>
      <c r="R511" s="19" t="s">
        <v>5676</v>
      </c>
    </row>
    <row r="512" spans="1:18" ht="53.25" x14ac:dyDescent="0.2">
      <c r="A512" s="18" t="str">
        <f t="shared" si="21"/>
        <v>049818010321.23.04291</v>
      </c>
      <c r="B512" s="51" t="s">
        <v>1809</v>
      </c>
      <c r="C512" s="51" t="s">
        <v>342</v>
      </c>
      <c r="D512" s="51" t="s">
        <v>1837</v>
      </c>
      <c r="E512" s="51" t="s">
        <v>1838</v>
      </c>
      <c r="F512" s="18" t="s">
        <v>328</v>
      </c>
      <c r="G512" s="52">
        <v>45934</v>
      </c>
      <c r="H512" s="18" t="s">
        <v>329</v>
      </c>
      <c r="I512" s="53">
        <v>15</v>
      </c>
      <c r="J512" s="54">
        <v>221.18</v>
      </c>
      <c r="K512" s="54">
        <v>6856.58</v>
      </c>
      <c r="L512" s="18" t="s">
        <v>330</v>
      </c>
      <c r="M512" s="18" t="s">
        <v>331</v>
      </c>
      <c r="N512" s="55">
        <v>46034</v>
      </c>
      <c r="O512" s="18" t="str">
        <f>IFERROR(VLOOKUP(A512,'[2]RELAÇÃO DE OC''S VMI MEC 030226'!$B:$P,15,FALSE),"-")</f>
        <v>-</v>
      </c>
      <c r="P512" s="56">
        <f t="shared" ca="1" si="22"/>
        <v>42</v>
      </c>
      <c r="Q512" s="18" t="str">
        <f t="shared" ca="1" si="23"/>
        <v>ATRASADO</v>
      </c>
      <c r="R512" s="19" t="s">
        <v>5676</v>
      </c>
    </row>
    <row r="513" spans="1:18" x14ac:dyDescent="0.2">
      <c r="A513" s="18" t="str">
        <f t="shared" si="21"/>
        <v>049818010421.23.04292</v>
      </c>
      <c r="B513" s="51" t="s">
        <v>1809</v>
      </c>
      <c r="C513" s="51" t="s">
        <v>385</v>
      </c>
      <c r="D513" s="51" t="s">
        <v>92</v>
      </c>
      <c r="E513" s="51" t="s">
        <v>93</v>
      </c>
      <c r="F513" s="18" t="s">
        <v>328</v>
      </c>
      <c r="G513" s="52">
        <v>45934</v>
      </c>
      <c r="H513" s="18" t="s">
        <v>329</v>
      </c>
      <c r="I513" s="53">
        <v>10</v>
      </c>
      <c r="J513" s="54">
        <v>287.68</v>
      </c>
      <c r="K513" s="54">
        <v>8918.08</v>
      </c>
      <c r="L513" s="18" t="s">
        <v>330</v>
      </c>
      <c r="M513" s="18" t="s">
        <v>331</v>
      </c>
      <c r="N513" s="55">
        <v>46034</v>
      </c>
      <c r="O513" s="18" t="str">
        <f>IFERROR(VLOOKUP(A513,'[2]RELAÇÃO DE OC''S VMI MEC 030226'!$B:$P,15,FALSE),"-")</f>
        <v>-</v>
      </c>
      <c r="P513" s="56">
        <f t="shared" ca="1" si="22"/>
        <v>42</v>
      </c>
      <c r="Q513" s="18" t="str">
        <f t="shared" ca="1" si="23"/>
        <v>ATRASADO</v>
      </c>
      <c r="R513" s="19" t="s">
        <v>5645</v>
      </c>
    </row>
    <row r="514" spans="1:18" ht="53.25" x14ac:dyDescent="0.2">
      <c r="A514" s="18" t="str">
        <f t="shared" ref="A514:A577" si="24">B514&amp;C514&amp;D514</f>
        <v>049818010621.23.04495</v>
      </c>
      <c r="B514" s="51" t="s">
        <v>1809</v>
      </c>
      <c r="C514" s="51" t="s">
        <v>705</v>
      </c>
      <c r="D514" s="51" t="s">
        <v>793</v>
      </c>
      <c r="E514" s="51" t="s">
        <v>794</v>
      </c>
      <c r="F514" s="18" t="s">
        <v>328</v>
      </c>
      <c r="G514" s="52">
        <v>45934</v>
      </c>
      <c r="H514" s="18" t="s">
        <v>329</v>
      </c>
      <c r="I514" s="53">
        <v>33</v>
      </c>
      <c r="J514" s="54">
        <v>27.78</v>
      </c>
      <c r="K514" s="54">
        <v>916.74</v>
      </c>
      <c r="L514" s="18" t="s">
        <v>330</v>
      </c>
      <c r="M514" s="18" t="s">
        <v>331</v>
      </c>
      <c r="N514" s="55">
        <v>46034</v>
      </c>
      <c r="O514" s="18" t="str">
        <f>IFERROR(VLOOKUP(A514,'[2]RELAÇÃO DE OC''S VMI MEC 030226'!$B:$P,15,FALSE),"-")</f>
        <v>-</v>
      </c>
      <c r="P514" s="56">
        <f t="shared" ref="P514:P577" ca="1" si="25">TODAY()-N514</f>
        <v>42</v>
      </c>
      <c r="Q514" s="18" t="str">
        <f t="shared" ref="Q514:Q577" ca="1" si="26">IF(P514&gt;0,"ATRASADO","DENTRO DO PRAZO")</f>
        <v>ATRASADO</v>
      </c>
      <c r="R514" s="19" t="s">
        <v>5666</v>
      </c>
    </row>
    <row r="515" spans="1:18" ht="53.25" x14ac:dyDescent="0.2">
      <c r="A515" s="18" t="str">
        <f t="shared" si="24"/>
        <v>049818010721.23.04496</v>
      </c>
      <c r="B515" s="51" t="s">
        <v>1809</v>
      </c>
      <c r="C515" s="51" t="s">
        <v>706</v>
      </c>
      <c r="D515" s="51" t="s">
        <v>133</v>
      </c>
      <c r="E515" s="51" t="s">
        <v>499</v>
      </c>
      <c r="F515" s="18" t="s">
        <v>328</v>
      </c>
      <c r="G515" s="52">
        <v>45934</v>
      </c>
      <c r="H515" s="18" t="s">
        <v>329</v>
      </c>
      <c r="I515" s="53">
        <v>7</v>
      </c>
      <c r="J515" s="54">
        <v>38</v>
      </c>
      <c r="K515" s="54">
        <v>266</v>
      </c>
      <c r="L515" s="18" t="s">
        <v>330</v>
      </c>
      <c r="M515" s="18" t="s">
        <v>331</v>
      </c>
      <c r="N515" s="55">
        <v>46034</v>
      </c>
      <c r="O515" s="18" t="str">
        <f>IFERROR(VLOOKUP(A515,'[2]RELAÇÃO DE OC''S VMI MEC 030226'!$B:$P,15,FALSE),"-")</f>
        <v>-</v>
      </c>
      <c r="P515" s="56">
        <f t="shared" ca="1" si="25"/>
        <v>42</v>
      </c>
      <c r="Q515" s="18" t="str">
        <f t="shared" ca="1" si="26"/>
        <v>ATRASADO</v>
      </c>
      <c r="R515" s="19" t="s">
        <v>5666</v>
      </c>
    </row>
    <row r="516" spans="1:18" x14ac:dyDescent="0.2">
      <c r="A516" s="18" t="str">
        <f t="shared" si="24"/>
        <v>049818010821.23.04497</v>
      </c>
      <c r="B516" s="51" t="s">
        <v>1809</v>
      </c>
      <c r="C516" s="51" t="s">
        <v>430</v>
      </c>
      <c r="D516" s="51" t="s">
        <v>973</v>
      </c>
      <c r="E516" s="51" t="s">
        <v>974</v>
      </c>
      <c r="F516" s="18" t="s">
        <v>328</v>
      </c>
      <c r="G516" s="52">
        <v>45934</v>
      </c>
      <c r="H516" s="18" t="s">
        <v>329</v>
      </c>
      <c r="I516" s="53">
        <v>3</v>
      </c>
      <c r="J516" s="54">
        <v>31.74</v>
      </c>
      <c r="K516" s="54">
        <v>952.2</v>
      </c>
      <c r="L516" s="18" t="s">
        <v>330</v>
      </c>
      <c r="M516" s="18" t="s">
        <v>331</v>
      </c>
      <c r="N516" s="55">
        <v>46034</v>
      </c>
      <c r="O516" s="18" t="str">
        <f>IFERROR(VLOOKUP(A516,'[2]RELAÇÃO DE OC''S VMI MEC 030226'!$B:$P,15,FALSE),"-")</f>
        <v>-</v>
      </c>
      <c r="P516" s="56">
        <f t="shared" ca="1" si="25"/>
        <v>42</v>
      </c>
      <c r="Q516" s="18" t="str">
        <f t="shared" ca="1" si="26"/>
        <v>ATRASADO</v>
      </c>
      <c r="R516" s="19" t="s">
        <v>5645</v>
      </c>
    </row>
    <row r="517" spans="1:18" x14ac:dyDescent="0.2">
      <c r="A517" s="18" t="str">
        <f t="shared" si="24"/>
        <v>049818010921.23.04498</v>
      </c>
      <c r="B517" s="51" t="s">
        <v>1809</v>
      </c>
      <c r="C517" s="51" t="s">
        <v>343</v>
      </c>
      <c r="D517" s="51" t="s">
        <v>795</v>
      </c>
      <c r="E517" s="51" t="s">
        <v>796</v>
      </c>
      <c r="F517" s="18" t="s">
        <v>328</v>
      </c>
      <c r="G517" s="52">
        <v>45934</v>
      </c>
      <c r="H517" s="18" t="s">
        <v>329</v>
      </c>
      <c r="I517" s="53">
        <v>5</v>
      </c>
      <c r="J517" s="54">
        <v>11.13</v>
      </c>
      <c r="K517" s="54">
        <v>333.9</v>
      </c>
      <c r="L517" s="18" t="s">
        <v>330</v>
      </c>
      <c r="M517" s="18" t="s">
        <v>331</v>
      </c>
      <c r="N517" s="55">
        <v>46034</v>
      </c>
      <c r="O517" s="18" t="str">
        <f>IFERROR(VLOOKUP(A517,'[2]RELAÇÃO DE OC''S VMI MEC 030226'!$B:$P,15,FALSE),"-")</f>
        <v>-</v>
      </c>
      <c r="P517" s="56">
        <f t="shared" ca="1" si="25"/>
        <v>42</v>
      </c>
      <c r="Q517" s="18" t="str">
        <f t="shared" ca="1" si="26"/>
        <v>ATRASADO</v>
      </c>
      <c r="R517" s="19" t="s">
        <v>5645</v>
      </c>
    </row>
    <row r="518" spans="1:18" x14ac:dyDescent="0.2">
      <c r="A518" s="18" t="str">
        <f t="shared" si="24"/>
        <v>049818011121.23.04507</v>
      </c>
      <c r="B518" s="51" t="s">
        <v>1809</v>
      </c>
      <c r="C518" s="51" t="s">
        <v>407</v>
      </c>
      <c r="D518" s="51" t="s">
        <v>797</v>
      </c>
      <c r="E518" s="51" t="s">
        <v>798</v>
      </c>
      <c r="F518" s="18" t="s">
        <v>328</v>
      </c>
      <c r="G518" s="52">
        <v>45934</v>
      </c>
      <c r="H518" s="18" t="s">
        <v>329</v>
      </c>
      <c r="I518" s="53">
        <v>1</v>
      </c>
      <c r="J518" s="54">
        <v>17.38</v>
      </c>
      <c r="K518" s="54">
        <v>573.54</v>
      </c>
      <c r="L518" s="18" t="s">
        <v>330</v>
      </c>
      <c r="M518" s="18" t="s">
        <v>331</v>
      </c>
      <c r="N518" s="55">
        <v>46034</v>
      </c>
      <c r="O518" s="18" t="str">
        <f>IFERROR(VLOOKUP(A518,'[2]RELAÇÃO DE OC''S VMI MEC 030226'!$B:$P,15,FALSE),"-")</f>
        <v>-</v>
      </c>
      <c r="P518" s="56">
        <f t="shared" ca="1" si="25"/>
        <v>42</v>
      </c>
      <c r="Q518" s="18" t="str">
        <f t="shared" ca="1" si="26"/>
        <v>ATRASADO</v>
      </c>
      <c r="R518" s="19" t="s">
        <v>5645</v>
      </c>
    </row>
    <row r="519" spans="1:18" x14ac:dyDescent="0.2">
      <c r="A519" s="18" t="str">
        <f t="shared" si="24"/>
        <v>049818011421.23.04680</v>
      </c>
      <c r="B519" s="51" t="s">
        <v>1809</v>
      </c>
      <c r="C519" s="51" t="s">
        <v>432</v>
      </c>
      <c r="D519" s="51" t="s">
        <v>501</v>
      </c>
      <c r="E519" s="51" t="s">
        <v>502</v>
      </c>
      <c r="F519" s="18" t="s">
        <v>328</v>
      </c>
      <c r="G519" s="52">
        <v>45934</v>
      </c>
      <c r="H519" s="18" t="s">
        <v>329</v>
      </c>
      <c r="I519" s="53">
        <v>1</v>
      </c>
      <c r="J519" s="54">
        <v>185</v>
      </c>
      <c r="K519" s="54">
        <v>370</v>
      </c>
      <c r="L519" s="18" t="s">
        <v>330</v>
      </c>
      <c r="M519" s="18" t="s">
        <v>331</v>
      </c>
      <c r="N519" s="55">
        <v>46034</v>
      </c>
      <c r="O519" s="18" t="str">
        <f>IFERROR(VLOOKUP(A519,'[2]RELAÇÃO DE OC''S VMI MEC 030226'!$B:$P,15,FALSE),"-")</f>
        <v>-</v>
      </c>
      <c r="P519" s="56">
        <f t="shared" ca="1" si="25"/>
        <v>42</v>
      </c>
      <c r="Q519" s="18" t="str">
        <f t="shared" ca="1" si="26"/>
        <v>ATRASADO</v>
      </c>
      <c r="R519" s="19" t="s">
        <v>5645</v>
      </c>
    </row>
    <row r="520" spans="1:18" x14ac:dyDescent="0.2">
      <c r="A520" s="18" t="str">
        <f t="shared" si="24"/>
        <v>049818011521.23.04779</v>
      </c>
      <c r="B520" s="51" t="s">
        <v>1809</v>
      </c>
      <c r="C520" s="51" t="s">
        <v>344</v>
      </c>
      <c r="D520" s="51" t="s">
        <v>975</v>
      </c>
      <c r="E520" s="51" t="s">
        <v>976</v>
      </c>
      <c r="F520" s="18" t="s">
        <v>328</v>
      </c>
      <c r="G520" s="52">
        <v>45934</v>
      </c>
      <c r="H520" s="18" t="s">
        <v>329</v>
      </c>
      <c r="I520" s="53">
        <v>33</v>
      </c>
      <c r="J520" s="54">
        <v>111.5</v>
      </c>
      <c r="K520" s="54">
        <v>3679.5</v>
      </c>
      <c r="L520" s="18" t="s">
        <v>330</v>
      </c>
      <c r="M520" s="18" t="s">
        <v>331</v>
      </c>
      <c r="N520" s="55">
        <v>46034</v>
      </c>
      <c r="O520" s="18" t="str">
        <f>IFERROR(VLOOKUP(A520,'[2]RELAÇÃO DE OC''S VMI MEC 030226'!$B:$P,15,FALSE),"-")</f>
        <v>-</v>
      </c>
      <c r="P520" s="56">
        <f t="shared" ca="1" si="25"/>
        <v>42</v>
      </c>
      <c r="Q520" s="18" t="str">
        <f t="shared" ca="1" si="26"/>
        <v>ATRASADO</v>
      </c>
      <c r="R520" s="19" t="s">
        <v>5645</v>
      </c>
    </row>
    <row r="521" spans="1:18" x14ac:dyDescent="0.2">
      <c r="A521" s="18" t="str">
        <f t="shared" si="24"/>
        <v>049818012421.23.04812</v>
      </c>
      <c r="B521" s="51" t="s">
        <v>1809</v>
      </c>
      <c r="C521" s="51" t="s">
        <v>709</v>
      </c>
      <c r="D521" s="51" t="s">
        <v>927</v>
      </c>
      <c r="E521" s="51" t="s">
        <v>928</v>
      </c>
      <c r="F521" s="18" t="s">
        <v>328</v>
      </c>
      <c r="G521" s="52">
        <v>45934</v>
      </c>
      <c r="H521" s="18" t="s">
        <v>329</v>
      </c>
      <c r="I521" s="53">
        <v>33</v>
      </c>
      <c r="J521" s="54">
        <v>9.66</v>
      </c>
      <c r="K521" s="54">
        <v>318.77999999999997</v>
      </c>
      <c r="L521" s="18" t="s">
        <v>330</v>
      </c>
      <c r="M521" s="18" t="s">
        <v>331</v>
      </c>
      <c r="N521" s="55">
        <v>46034</v>
      </c>
      <c r="O521" s="18" t="str">
        <f>IFERROR(VLOOKUP(A521,'[2]RELAÇÃO DE OC''S VMI MEC 030226'!$B:$P,15,FALSE),"-")</f>
        <v>-</v>
      </c>
      <c r="P521" s="56">
        <f t="shared" ca="1" si="25"/>
        <v>42</v>
      </c>
      <c r="Q521" s="18" t="str">
        <f t="shared" ca="1" si="26"/>
        <v>ATRASADO</v>
      </c>
      <c r="R521" s="19" t="s">
        <v>5645</v>
      </c>
    </row>
    <row r="522" spans="1:18" x14ac:dyDescent="0.2">
      <c r="A522" s="18" t="str">
        <f t="shared" si="24"/>
        <v>049818013033.03.10298.01</v>
      </c>
      <c r="B522" s="51" t="s">
        <v>1809</v>
      </c>
      <c r="C522" s="51" t="s">
        <v>711</v>
      </c>
      <c r="D522" s="51" t="s">
        <v>1839</v>
      </c>
      <c r="E522" s="51" t="s">
        <v>1840</v>
      </c>
      <c r="F522" s="18" t="s">
        <v>328</v>
      </c>
      <c r="G522" s="52">
        <v>45934</v>
      </c>
      <c r="H522" s="18" t="s">
        <v>329</v>
      </c>
      <c r="I522" s="53">
        <v>2</v>
      </c>
      <c r="J522" s="54">
        <v>6.5</v>
      </c>
      <c r="K522" s="54">
        <v>13</v>
      </c>
      <c r="L522" s="18" t="s">
        <v>330</v>
      </c>
      <c r="M522" s="18" t="s">
        <v>331</v>
      </c>
      <c r="N522" s="55">
        <v>46034</v>
      </c>
      <c r="O522" s="18" t="str">
        <f>IFERROR(VLOOKUP(A522,'[2]RELAÇÃO DE OC''S VMI MEC 030226'!$B:$P,15,FALSE),"-")</f>
        <v>-</v>
      </c>
      <c r="P522" s="56">
        <f t="shared" ca="1" si="25"/>
        <v>42</v>
      </c>
      <c r="Q522" s="18" t="str">
        <f t="shared" ca="1" si="26"/>
        <v>ATRASADO</v>
      </c>
      <c r="R522" s="19" t="s">
        <v>5645</v>
      </c>
    </row>
    <row r="523" spans="1:18" x14ac:dyDescent="0.2">
      <c r="A523" s="18" t="str">
        <f t="shared" si="24"/>
        <v>049818013133.03.10305.03</v>
      </c>
      <c r="B523" s="51" t="s">
        <v>1809</v>
      </c>
      <c r="C523" s="51" t="s">
        <v>346</v>
      </c>
      <c r="D523" s="51" t="s">
        <v>132</v>
      </c>
      <c r="E523" s="51" t="s">
        <v>503</v>
      </c>
      <c r="F523" s="18" t="s">
        <v>328</v>
      </c>
      <c r="G523" s="52">
        <v>45934</v>
      </c>
      <c r="H523" s="18" t="s">
        <v>329</v>
      </c>
      <c r="I523" s="53">
        <v>11</v>
      </c>
      <c r="J523" s="54">
        <v>9.02</v>
      </c>
      <c r="K523" s="54">
        <v>297.66000000000003</v>
      </c>
      <c r="L523" s="18" t="s">
        <v>330</v>
      </c>
      <c r="M523" s="18" t="s">
        <v>331</v>
      </c>
      <c r="N523" s="55">
        <v>46034</v>
      </c>
      <c r="O523" s="18" t="str">
        <f>IFERROR(VLOOKUP(A523,'[2]RELAÇÃO DE OC''S VMI MEC 030226'!$B:$P,15,FALSE),"-")</f>
        <v>-</v>
      </c>
      <c r="P523" s="56">
        <f t="shared" ca="1" si="25"/>
        <v>42</v>
      </c>
      <c r="Q523" s="18" t="str">
        <f t="shared" ca="1" si="26"/>
        <v>ATRASADO</v>
      </c>
      <c r="R523" s="19" t="s">
        <v>5645</v>
      </c>
    </row>
    <row r="524" spans="1:18" x14ac:dyDescent="0.2">
      <c r="A524" s="18" t="str">
        <f t="shared" si="24"/>
        <v>049818013233.03.10306.02</v>
      </c>
      <c r="B524" s="51" t="s">
        <v>1809</v>
      </c>
      <c r="C524" s="51" t="s">
        <v>712</v>
      </c>
      <c r="D524" s="51" t="s">
        <v>816</v>
      </c>
      <c r="E524" s="51" t="s">
        <v>817</v>
      </c>
      <c r="F524" s="18" t="s">
        <v>328</v>
      </c>
      <c r="G524" s="52">
        <v>45934</v>
      </c>
      <c r="H524" s="18" t="s">
        <v>329</v>
      </c>
      <c r="I524" s="53">
        <v>33</v>
      </c>
      <c r="J524" s="54">
        <v>38.82</v>
      </c>
      <c r="K524" s="54">
        <v>1281.06</v>
      </c>
      <c r="L524" s="18" t="s">
        <v>330</v>
      </c>
      <c r="M524" s="18" t="s">
        <v>331</v>
      </c>
      <c r="N524" s="55">
        <v>46034</v>
      </c>
      <c r="O524" s="18" t="str">
        <f>IFERROR(VLOOKUP(A524,'[2]RELAÇÃO DE OC''S VMI MEC 030226'!$B:$P,15,FALSE),"-")</f>
        <v>-</v>
      </c>
      <c r="P524" s="56">
        <f t="shared" ca="1" si="25"/>
        <v>42</v>
      </c>
      <c r="Q524" s="18" t="str">
        <f t="shared" ca="1" si="26"/>
        <v>ATRASADO</v>
      </c>
      <c r="R524" s="19" t="s">
        <v>5645</v>
      </c>
    </row>
    <row r="525" spans="1:18" x14ac:dyDescent="0.2">
      <c r="A525" s="18" t="str">
        <f t="shared" si="24"/>
        <v>049818013333.03.10343.00</v>
      </c>
      <c r="B525" s="51" t="s">
        <v>1809</v>
      </c>
      <c r="C525" s="51" t="s">
        <v>713</v>
      </c>
      <c r="D525" s="51" t="s">
        <v>818</v>
      </c>
      <c r="E525" s="51" t="s">
        <v>819</v>
      </c>
      <c r="F525" s="18" t="s">
        <v>328</v>
      </c>
      <c r="G525" s="52">
        <v>45934</v>
      </c>
      <c r="H525" s="18" t="s">
        <v>329</v>
      </c>
      <c r="I525" s="53">
        <v>33</v>
      </c>
      <c r="J525" s="54">
        <v>15.64</v>
      </c>
      <c r="K525" s="54">
        <v>516.12</v>
      </c>
      <c r="L525" s="18" t="s">
        <v>330</v>
      </c>
      <c r="M525" s="18" t="s">
        <v>331</v>
      </c>
      <c r="N525" s="55">
        <v>46034</v>
      </c>
      <c r="O525" s="18" t="str">
        <f>IFERROR(VLOOKUP(A525,'[2]RELAÇÃO DE OC''S VMI MEC 030226'!$B:$P,15,FALSE),"-")</f>
        <v>-</v>
      </c>
      <c r="P525" s="56">
        <f t="shared" ca="1" si="25"/>
        <v>42</v>
      </c>
      <c r="Q525" s="18" t="str">
        <f t="shared" ca="1" si="26"/>
        <v>ATRASADO</v>
      </c>
      <c r="R525" s="19" t="s">
        <v>5645</v>
      </c>
    </row>
    <row r="526" spans="1:18" x14ac:dyDescent="0.2">
      <c r="A526" s="18" t="str">
        <f t="shared" si="24"/>
        <v>049818013433.03.90024.00</v>
      </c>
      <c r="B526" s="51" t="s">
        <v>1809</v>
      </c>
      <c r="C526" s="51" t="s">
        <v>714</v>
      </c>
      <c r="D526" s="51" t="s">
        <v>485</v>
      </c>
      <c r="E526" s="51" t="s">
        <v>486</v>
      </c>
      <c r="F526" s="18" t="s">
        <v>328</v>
      </c>
      <c r="G526" s="52">
        <v>45934</v>
      </c>
      <c r="H526" s="18" t="s">
        <v>329</v>
      </c>
      <c r="I526" s="53">
        <v>2</v>
      </c>
      <c r="J526" s="54">
        <v>30.45</v>
      </c>
      <c r="K526" s="54">
        <v>60.9</v>
      </c>
      <c r="L526" s="18" t="s">
        <v>330</v>
      </c>
      <c r="M526" s="18" t="s">
        <v>331</v>
      </c>
      <c r="N526" s="55">
        <v>46034</v>
      </c>
      <c r="O526" s="18" t="str">
        <f>IFERROR(VLOOKUP(A526,'[2]RELAÇÃO DE OC''S VMI MEC 030226'!$B:$P,15,FALSE),"-")</f>
        <v>-</v>
      </c>
      <c r="P526" s="56">
        <f t="shared" ca="1" si="25"/>
        <v>42</v>
      </c>
      <c r="Q526" s="18" t="str">
        <f t="shared" ca="1" si="26"/>
        <v>ATRASADO</v>
      </c>
      <c r="R526" s="19" t="s">
        <v>5645</v>
      </c>
    </row>
    <row r="527" spans="1:18" x14ac:dyDescent="0.2">
      <c r="A527" s="18" t="str">
        <f t="shared" si="24"/>
        <v>049818013733.12.10410.00</v>
      </c>
      <c r="B527" s="51" t="s">
        <v>1809</v>
      </c>
      <c r="C527" s="51" t="s">
        <v>715</v>
      </c>
      <c r="D527" s="51" t="s">
        <v>1841</v>
      </c>
      <c r="E527" s="51" t="s">
        <v>1842</v>
      </c>
      <c r="F527" s="18" t="s">
        <v>328</v>
      </c>
      <c r="G527" s="52">
        <v>45934</v>
      </c>
      <c r="H527" s="18" t="s">
        <v>329</v>
      </c>
      <c r="I527" s="53">
        <v>62</v>
      </c>
      <c r="J527" s="54">
        <v>21.93</v>
      </c>
      <c r="K527" s="54">
        <v>1359.66</v>
      </c>
      <c r="L527" s="18" t="s">
        <v>330</v>
      </c>
      <c r="M527" s="18" t="s">
        <v>331</v>
      </c>
      <c r="N527" s="55">
        <v>46034</v>
      </c>
      <c r="O527" s="18" t="str">
        <f>IFERROR(VLOOKUP(A527,'[2]RELAÇÃO DE OC''S VMI MEC 030226'!$B:$P,15,FALSE),"-")</f>
        <v>-</v>
      </c>
      <c r="P527" s="56">
        <f t="shared" ca="1" si="25"/>
        <v>42</v>
      </c>
      <c r="Q527" s="18" t="str">
        <f t="shared" ca="1" si="26"/>
        <v>ATRASADO</v>
      </c>
      <c r="R527" s="19" t="s">
        <v>5645</v>
      </c>
    </row>
    <row r="528" spans="1:18" x14ac:dyDescent="0.2">
      <c r="A528" s="18" t="str">
        <f t="shared" si="24"/>
        <v>049818013833.12.10411.00</v>
      </c>
      <c r="B528" s="51" t="s">
        <v>1809</v>
      </c>
      <c r="C528" s="51" t="s">
        <v>414</v>
      </c>
      <c r="D528" s="51" t="s">
        <v>1843</v>
      </c>
      <c r="E528" s="51" t="s">
        <v>1844</v>
      </c>
      <c r="F528" s="18" t="s">
        <v>328</v>
      </c>
      <c r="G528" s="52">
        <v>45934</v>
      </c>
      <c r="H528" s="18" t="s">
        <v>329</v>
      </c>
      <c r="I528" s="53">
        <v>62</v>
      </c>
      <c r="J528" s="54">
        <v>21.93</v>
      </c>
      <c r="K528" s="54">
        <v>1359.66</v>
      </c>
      <c r="L528" s="18" t="s">
        <v>330</v>
      </c>
      <c r="M528" s="18" t="s">
        <v>331</v>
      </c>
      <c r="N528" s="55">
        <v>46034</v>
      </c>
      <c r="O528" s="18" t="str">
        <f>IFERROR(VLOOKUP(A528,'[2]RELAÇÃO DE OC''S VMI MEC 030226'!$B:$P,15,FALSE),"-")</f>
        <v>-</v>
      </c>
      <c r="P528" s="56">
        <f t="shared" ca="1" si="25"/>
        <v>42</v>
      </c>
      <c r="Q528" s="18" t="str">
        <f t="shared" ca="1" si="26"/>
        <v>ATRASADO</v>
      </c>
      <c r="R528" s="19" t="s">
        <v>5645</v>
      </c>
    </row>
    <row r="529" spans="1:18" x14ac:dyDescent="0.2">
      <c r="A529" s="18" t="str">
        <f t="shared" si="24"/>
        <v>049818014033.12.10537.00</v>
      </c>
      <c r="B529" s="51" t="s">
        <v>1809</v>
      </c>
      <c r="C529" s="51" t="s">
        <v>348</v>
      </c>
      <c r="D529" s="51" t="s">
        <v>822</v>
      </c>
      <c r="E529" s="51" t="s">
        <v>823</v>
      </c>
      <c r="F529" s="18" t="s">
        <v>328</v>
      </c>
      <c r="G529" s="52">
        <v>45934</v>
      </c>
      <c r="H529" s="18" t="s">
        <v>329</v>
      </c>
      <c r="I529" s="53">
        <v>717</v>
      </c>
      <c r="J529" s="54">
        <v>7.82</v>
      </c>
      <c r="K529" s="54">
        <v>11354.64</v>
      </c>
      <c r="L529" s="18" t="s">
        <v>330</v>
      </c>
      <c r="M529" s="18" t="s">
        <v>331</v>
      </c>
      <c r="N529" s="55">
        <v>46034</v>
      </c>
      <c r="O529" s="18" t="str">
        <f>IFERROR(VLOOKUP(A529,'[2]RELAÇÃO DE OC''S VMI MEC 030226'!$B:$P,15,FALSE),"-")</f>
        <v>-</v>
      </c>
      <c r="P529" s="56">
        <f t="shared" ca="1" si="25"/>
        <v>42</v>
      </c>
      <c r="Q529" s="18" t="str">
        <f t="shared" ca="1" si="26"/>
        <v>ATRASADO</v>
      </c>
      <c r="R529" s="19" t="s">
        <v>5645</v>
      </c>
    </row>
    <row r="530" spans="1:18" x14ac:dyDescent="0.2">
      <c r="A530" s="18" t="str">
        <f t="shared" si="24"/>
        <v>049818014133.12.10538.00</v>
      </c>
      <c r="B530" s="51" t="s">
        <v>1809</v>
      </c>
      <c r="C530" s="51" t="s">
        <v>349</v>
      </c>
      <c r="D530" s="51" t="s">
        <v>37</v>
      </c>
      <c r="E530" s="51" t="s">
        <v>151</v>
      </c>
      <c r="F530" s="18" t="s">
        <v>328</v>
      </c>
      <c r="G530" s="52">
        <v>45934</v>
      </c>
      <c r="H530" s="18" t="s">
        <v>329</v>
      </c>
      <c r="I530" s="53">
        <v>1</v>
      </c>
      <c r="J530" s="54">
        <v>63.02</v>
      </c>
      <c r="K530" s="54">
        <v>2079.66</v>
      </c>
      <c r="L530" s="18" t="s">
        <v>330</v>
      </c>
      <c r="M530" s="18" t="s">
        <v>331</v>
      </c>
      <c r="N530" s="55">
        <v>46034</v>
      </c>
      <c r="O530" s="18" t="str">
        <f>IFERROR(VLOOKUP(A530,'[2]RELAÇÃO DE OC''S VMI MEC 030226'!$B:$P,15,FALSE),"-")</f>
        <v>-</v>
      </c>
      <c r="P530" s="56">
        <f t="shared" ca="1" si="25"/>
        <v>42</v>
      </c>
      <c r="Q530" s="18" t="str">
        <f t="shared" ca="1" si="26"/>
        <v>ATRASADO</v>
      </c>
      <c r="R530" s="19" t="s">
        <v>5645</v>
      </c>
    </row>
    <row r="531" spans="1:18" x14ac:dyDescent="0.2">
      <c r="A531" s="18" t="str">
        <f t="shared" si="24"/>
        <v>049818014333.12.10545.03</v>
      </c>
      <c r="B531" s="51" t="s">
        <v>1809</v>
      </c>
      <c r="C531" s="51" t="s">
        <v>716</v>
      </c>
      <c r="D531" s="51" t="s">
        <v>826</v>
      </c>
      <c r="E531" s="51" t="s">
        <v>827</v>
      </c>
      <c r="F531" s="18" t="s">
        <v>328</v>
      </c>
      <c r="G531" s="52">
        <v>45934</v>
      </c>
      <c r="H531" s="18" t="s">
        <v>329</v>
      </c>
      <c r="I531" s="53">
        <v>81</v>
      </c>
      <c r="J531" s="54">
        <v>15</v>
      </c>
      <c r="K531" s="54">
        <v>10890</v>
      </c>
      <c r="L531" s="18" t="s">
        <v>330</v>
      </c>
      <c r="M531" s="18" t="s">
        <v>331</v>
      </c>
      <c r="N531" s="55">
        <v>46034</v>
      </c>
      <c r="O531" s="18" t="str">
        <f>IFERROR(VLOOKUP(A531,'[2]RELAÇÃO DE OC''S VMI MEC 030226'!$B:$P,15,FALSE),"-")</f>
        <v>-</v>
      </c>
      <c r="P531" s="56">
        <f t="shared" ca="1" si="25"/>
        <v>42</v>
      </c>
      <c r="Q531" s="18" t="str">
        <f t="shared" ca="1" si="26"/>
        <v>ATRASADO</v>
      </c>
      <c r="R531" s="19" t="s">
        <v>5645</v>
      </c>
    </row>
    <row r="532" spans="1:18" x14ac:dyDescent="0.2">
      <c r="A532" s="18" t="str">
        <f t="shared" si="24"/>
        <v>049818014433.12.10548.01</v>
      </c>
      <c r="B532" s="51" t="s">
        <v>1809</v>
      </c>
      <c r="C532" s="51" t="s">
        <v>717</v>
      </c>
      <c r="D532" s="51" t="s">
        <v>126</v>
      </c>
      <c r="E532" s="51" t="s">
        <v>505</v>
      </c>
      <c r="F532" s="18" t="s">
        <v>328</v>
      </c>
      <c r="G532" s="52">
        <v>45934</v>
      </c>
      <c r="H532" s="18" t="s">
        <v>329</v>
      </c>
      <c r="I532" s="53">
        <v>110</v>
      </c>
      <c r="J532" s="54">
        <v>10.5</v>
      </c>
      <c r="K532" s="54">
        <v>1155</v>
      </c>
      <c r="L532" s="18" t="s">
        <v>330</v>
      </c>
      <c r="M532" s="18" t="s">
        <v>331</v>
      </c>
      <c r="N532" s="55">
        <v>46034</v>
      </c>
      <c r="O532" s="18" t="str">
        <f>IFERROR(VLOOKUP(A532,'[2]RELAÇÃO DE OC''S VMI MEC 030226'!$B:$P,15,FALSE),"-")</f>
        <v>-</v>
      </c>
      <c r="P532" s="56">
        <f t="shared" ca="1" si="25"/>
        <v>42</v>
      </c>
      <c r="Q532" s="18" t="str">
        <f t="shared" ca="1" si="26"/>
        <v>ATRASADO</v>
      </c>
      <c r="R532" s="19" t="s">
        <v>5645</v>
      </c>
    </row>
    <row r="533" spans="1:18" x14ac:dyDescent="0.2">
      <c r="A533" s="18" t="str">
        <f t="shared" si="24"/>
        <v>049818014533.12.10550.01</v>
      </c>
      <c r="B533" s="51" t="s">
        <v>1809</v>
      </c>
      <c r="C533" s="51" t="s">
        <v>448</v>
      </c>
      <c r="D533" s="51" t="s">
        <v>828</v>
      </c>
      <c r="E533" s="51" t="s">
        <v>829</v>
      </c>
      <c r="F533" s="18" t="s">
        <v>328</v>
      </c>
      <c r="G533" s="52">
        <v>45934</v>
      </c>
      <c r="H533" s="18" t="s">
        <v>329</v>
      </c>
      <c r="I533" s="53">
        <v>1</v>
      </c>
      <c r="J533" s="54">
        <v>295</v>
      </c>
      <c r="K533" s="54">
        <v>590</v>
      </c>
      <c r="L533" s="18" t="s">
        <v>330</v>
      </c>
      <c r="M533" s="18" t="s">
        <v>331</v>
      </c>
      <c r="N533" s="55">
        <v>46034</v>
      </c>
      <c r="O533" s="18" t="str">
        <f>IFERROR(VLOOKUP(A533,'[2]RELAÇÃO DE OC''S VMI MEC 030226'!$B:$P,15,FALSE),"-")</f>
        <v>-</v>
      </c>
      <c r="P533" s="56">
        <f t="shared" ca="1" si="25"/>
        <v>42</v>
      </c>
      <c r="Q533" s="18" t="str">
        <f t="shared" ca="1" si="26"/>
        <v>ATRASADO</v>
      </c>
      <c r="R533" s="19" t="s">
        <v>5645</v>
      </c>
    </row>
    <row r="534" spans="1:18" x14ac:dyDescent="0.2">
      <c r="A534" s="18" t="str">
        <f t="shared" si="24"/>
        <v>049818014733.12.10574.01</v>
      </c>
      <c r="B534" s="51" t="s">
        <v>1809</v>
      </c>
      <c r="C534" s="51" t="s">
        <v>738</v>
      </c>
      <c r="D534" s="51" t="s">
        <v>830</v>
      </c>
      <c r="E534" s="51" t="s">
        <v>831</v>
      </c>
      <c r="F534" s="18" t="s">
        <v>328</v>
      </c>
      <c r="G534" s="52">
        <v>45934</v>
      </c>
      <c r="H534" s="18" t="s">
        <v>329</v>
      </c>
      <c r="I534" s="53">
        <v>20</v>
      </c>
      <c r="J534" s="54">
        <v>42.5</v>
      </c>
      <c r="K534" s="54">
        <v>5610</v>
      </c>
      <c r="L534" s="18" t="s">
        <v>330</v>
      </c>
      <c r="M534" s="18" t="s">
        <v>331</v>
      </c>
      <c r="N534" s="55">
        <v>46034</v>
      </c>
      <c r="O534" s="18" t="str">
        <f>IFERROR(VLOOKUP(A534,'[2]RELAÇÃO DE OC''S VMI MEC 030226'!$B:$P,15,FALSE),"-")</f>
        <v>-</v>
      </c>
      <c r="P534" s="56">
        <f t="shared" ca="1" si="25"/>
        <v>42</v>
      </c>
      <c r="Q534" s="18" t="str">
        <f t="shared" ca="1" si="26"/>
        <v>ATRASADO</v>
      </c>
      <c r="R534" s="19" t="s">
        <v>5645</v>
      </c>
    </row>
    <row r="535" spans="1:18" ht="53.25" x14ac:dyDescent="0.2">
      <c r="A535" s="18" t="str">
        <f t="shared" si="24"/>
        <v>049818015133.12.10584.00</v>
      </c>
      <c r="B535" s="51" t="s">
        <v>1809</v>
      </c>
      <c r="C535" s="51" t="s">
        <v>450</v>
      </c>
      <c r="D535" s="51" t="s">
        <v>836</v>
      </c>
      <c r="E535" s="51" t="s">
        <v>837</v>
      </c>
      <c r="F535" s="18" t="s">
        <v>328</v>
      </c>
      <c r="G535" s="52">
        <v>45934</v>
      </c>
      <c r="H535" s="18" t="s">
        <v>329</v>
      </c>
      <c r="I535" s="53">
        <v>1</v>
      </c>
      <c r="J535" s="54">
        <v>57.23</v>
      </c>
      <c r="K535" s="54">
        <v>1888.59</v>
      </c>
      <c r="L535" s="18" t="s">
        <v>330</v>
      </c>
      <c r="M535" s="18" t="s">
        <v>331</v>
      </c>
      <c r="N535" s="55">
        <v>46034</v>
      </c>
      <c r="O535" s="18" t="str">
        <f>IFERROR(VLOOKUP(A535,'[2]RELAÇÃO DE OC''S VMI MEC 030226'!$B:$P,15,FALSE),"-")</f>
        <v>-</v>
      </c>
      <c r="P535" s="56">
        <f t="shared" ca="1" si="25"/>
        <v>42</v>
      </c>
      <c r="Q535" s="18" t="str">
        <f t="shared" ca="1" si="26"/>
        <v>ATRASADO</v>
      </c>
      <c r="R535" s="19" t="s">
        <v>5665</v>
      </c>
    </row>
    <row r="536" spans="1:18" ht="53.25" x14ac:dyDescent="0.2">
      <c r="A536" s="18" t="str">
        <f t="shared" si="24"/>
        <v>049818015233.12.10590.01</v>
      </c>
      <c r="B536" s="51" t="s">
        <v>1809</v>
      </c>
      <c r="C536" s="51" t="s">
        <v>745</v>
      </c>
      <c r="D536" s="51" t="s">
        <v>838</v>
      </c>
      <c r="E536" s="51" t="s">
        <v>839</v>
      </c>
      <c r="F536" s="18" t="s">
        <v>328</v>
      </c>
      <c r="G536" s="52">
        <v>45934</v>
      </c>
      <c r="H536" s="18" t="s">
        <v>329</v>
      </c>
      <c r="I536" s="53">
        <v>5</v>
      </c>
      <c r="J536" s="54">
        <v>1447</v>
      </c>
      <c r="K536" s="54">
        <v>47751</v>
      </c>
      <c r="L536" s="18" t="s">
        <v>330</v>
      </c>
      <c r="M536" s="18" t="s">
        <v>331</v>
      </c>
      <c r="N536" s="55">
        <v>46034</v>
      </c>
      <c r="O536" s="18" t="str">
        <f>IFERROR(VLOOKUP(A536,'[2]RELAÇÃO DE OC''S VMI MEC 030226'!$B:$P,15,FALSE),"-")</f>
        <v>-</v>
      </c>
      <c r="P536" s="56">
        <f t="shared" ca="1" si="25"/>
        <v>42</v>
      </c>
      <c r="Q536" s="18" t="str">
        <f t="shared" ca="1" si="26"/>
        <v>ATRASADO</v>
      </c>
      <c r="R536" s="19" t="s">
        <v>5665</v>
      </c>
    </row>
    <row r="537" spans="1:18" ht="53.25" x14ac:dyDescent="0.2">
      <c r="A537" s="18" t="str">
        <f t="shared" si="24"/>
        <v>049818015333.12.10591.01</v>
      </c>
      <c r="B537" s="51" t="s">
        <v>1809</v>
      </c>
      <c r="C537" s="51" t="s">
        <v>746</v>
      </c>
      <c r="D537" s="51" t="s">
        <v>840</v>
      </c>
      <c r="E537" s="51" t="s">
        <v>841</v>
      </c>
      <c r="F537" s="18" t="s">
        <v>328</v>
      </c>
      <c r="G537" s="52">
        <v>45934</v>
      </c>
      <c r="H537" s="18" t="s">
        <v>329</v>
      </c>
      <c r="I537" s="53">
        <v>3</v>
      </c>
      <c r="J537" s="54">
        <v>1232</v>
      </c>
      <c r="K537" s="54">
        <v>40656</v>
      </c>
      <c r="L537" s="18" t="s">
        <v>330</v>
      </c>
      <c r="M537" s="18" t="s">
        <v>331</v>
      </c>
      <c r="N537" s="55">
        <v>46034</v>
      </c>
      <c r="O537" s="18" t="str">
        <f>IFERROR(VLOOKUP(A537,'[2]RELAÇÃO DE OC''S VMI MEC 030226'!$B:$P,15,FALSE),"-")</f>
        <v>-</v>
      </c>
      <c r="P537" s="56">
        <f t="shared" ca="1" si="25"/>
        <v>42</v>
      </c>
      <c r="Q537" s="18" t="str">
        <f t="shared" ca="1" si="26"/>
        <v>ATRASADO</v>
      </c>
      <c r="R537" s="19" t="s">
        <v>5677</v>
      </c>
    </row>
    <row r="538" spans="1:18" ht="53.25" x14ac:dyDescent="0.2">
      <c r="A538" s="18" t="str">
        <f t="shared" si="24"/>
        <v>049818015433.12.10592.01</v>
      </c>
      <c r="B538" s="51" t="s">
        <v>1809</v>
      </c>
      <c r="C538" s="51" t="s">
        <v>747</v>
      </c>
      <c r="D538" s="51" t="s">
        <v>842</v>
      </c>
      <c r="E538" s="51" t="s">
        <v>843</v>
      </c>
      <c r="F538" s="18" t="s">
        <v>328</v>
      </c>
      <c r="G538" s="52">
        <v>45934</v>
      </c>
      <c r="H538" s="18" t="s">
        <v>329</v>
      </c>
      <c r="I538" s="53">
        <v>6</v>
      </c>
      <c r="J538" s="54">
        <v>1345</v>
      </c>
      <c r="K538" s="54">
        <v>44385</v>
      </c>
      <c r="L538" s="18" t="s">
        <v>330</v>
      </c>
      <c r="M538" s="18" t="s">
        <v>331</v>
      </c>
      <c r="N538" s="55">
        <v>46034</v>
      </c>
      <c r="O538" s="18" t="str">
        <f>IFERROR(VLOOKUP(A538,'[2]RELAÇÃO DE OC''S VMI MEC 030226'!$B:$P,15,FALSE),"-")</f>
        <v>-</v>
      </c>
      <c r="P538" s="56">
        <f t="shared" ca="1" si="25"/>
        <v>42</v>
      </c>
      <c r="Q538" s="18" t="str">
        <f t="shared" ca="1" si="26"/>
        <v>ATRASADO</v>
      </c>
      <c r="R538" s="19" t="s">
        <v>5665</v>
      </c>
    </row>
    <row r="539" spans="1:18" ht="53.25" x14ac:dyDescent="0.2">
      <c r="A539" s="18" t="str">
        <f t="shared" si="24"/>
        <v>049818015533.12.10595.00</v>
      </c>
      <c r="B539" s="51" t="s">
        <v>1809</v>
      </c>
      <c r="C539" s="51" t="s">
        <v>848</v>
      </c>
      <c r="D539" s="51" t="s">
        <v>980</v>
      </c>
      <c r="E539" s="51" t="s">
        <v>981</v>
      </c>
      <c r="F539" s="18" t="s">
        <v>328</v>
      </c>
      <c r="G539" s="52">
        <v>45934</v>
      </c>
      <c r="H539" s="18" t="s">
        <v>329</v>
      </c>
      <c r="I539" s="53">
        <v>6</v>
      </c>
      <c r="J539" s="54">
        <v>75.5</v>
      </c>
      <c r="K539" s="54">
        <v>19932</v>
      </c>
      <c r="L539" s="18" t="s">
        <v>330</v>
      </c>
      <c r="M539" s="18" t="s">
        <v>331</v>
      </c>
      <c r="N539" s="55">
        <v>46034</v>
      </c>
      <c r="O539" s="18" t="str">
        <f>IFERROR(VLOOKUP(A539,'[2]RELAÇÃO DE OC''S VMI MEC 030226'!$B:$P,15,FALSE),"-")</f>
        <v>-</v>
      </c>
      <c r="P539" s="56">
        <f t="shared" ca="1" si="25"/>
        <v>42</v>
      </c>
      <c r="Q539" s="18" t="str">
        <f t="shared" ca="1" si="26"/>
        <v>ATRASADO</v>
      </c>
      <c r="R539" s="19" t="s">
        <v>5665</v>
      </c>
    </row>
    <row r="540" spans="1:18" ht="53.25" x14ac:dyDescent="0.2">
      <c r="A540" s="18" t="str">
        <f t="shared" si="24"/>
        <v>049818015833.12.10604.00</v>
      </c>
      <c r="B540" s="51" t="s">
        <v>1809</v>
      </c>
      <c r="C540" s="51" t="s">
        <v>939</v>
      </c>
      <c r="D540" s="51" t="s">
        <v>129</v>
      </c>
      <c r="E540" s="51" t="s">
        <v>154</v>
      </c>
      <c r="F540" s="18" t="s">
        <v>328</v>
      </c>
      <c r="G540" s="52">
        <v>45934</v>
      </c>
      <c r="H540" s="18" t="s">
        <v>329</v>
      </c>
      <c r="I540" s="53">
        <v>33</v>
      </c>
      <c r="J540" s="54">
        <v>289.5</v>
      </c>
      <c r="K540" s="54">
        <v>9553.5</v>
      </c>
      <c r="L540" s="18" t="s">
        <v>330</v>
      </c>
      <c r="M540" s="18" t="s">
        <v>331</v>
      </c>
      <c r="N540" s="55">
        <v>46034</v>
      </c>
      <c r="O540" s="18" t="str">
        <f>IFERROR(VLOOKUP(A540,'[2]RELAÇÃO DE OC''S VMI MEC 030226'!$B:$P,15,FALSE),"-")</f>
        <v>-</v>
      </c>
      <c r="P540" s="56">
        <f t="shared" ca="1" si="25"/>
        <v>42</v>
      </c>
      <c r="Q540" s="18" t="str">
        <f t="shared" ca="1" si="26"/>
        <v>ATRASADO</v>
      </c>
      <c r="R540" s="19" t="s">
        <v>5678</v>
      </c>
    </row>
    <row r="541" spans="1:18" ht="53.25" x14ac:dyDescent="0.2">
      <c r="A541" s="18" t="str">
        <f t="shared" si="24"/>
        <v>049818016033.12.10612.00</v>
      </c>
      <c r="B541" s="51" t="s">
        <v>1809</v>
      </c>
      <c r="C541" s="51" t="s">
        <v>941</v>
      </c>
      <c r="D541" s="51" t="s">
        <v>506</v>
      </c>
      <c r="E541" s="51" t="s">
        <v>507</v>
      </c>
      <c r="F541" s="18" t="s">
        <v>328</v>
      </c>
      <c r="G541" s="52">
        <v>45934</v>
      </c>
      <c r="H541" s="18" t="s">
        <v>329</v>
      </c>
      <c r="I541" s="53">
        <v>1</v>
      </c>
      <c r="J541" s="54">
        <v>131</v>
      </c>
      <c r="K541" s="54">
        <v>262</v>
      </c>
      <c r="L541" s="18" t="s">
        <v>330</v>
      </c>
      <c r="M541" s="18" t="s">
        <v>331</v>
      </c>
      <c r="N541" s="55">
        <v>46034</v>
      </c>
      <c r="O541" s="18" t="str">
        <f>IFERROR(VLOOKUP(A541,'[2]RELAÇÃO DE OC''S VMI MEC 030226'!$B:$P,15,FALSE),"-")</f>
        <v>-</v>
      </c>
      <c r="P541" s="56">
        <f t="shared" ca="1" si="25"/>
        <v>42</v>
      </c>
      <c r="Q541" s="18" t="str">
        <f t="shared" ca="1" si="26"/>
        <v>ATRASADO</v>
      </c>
      <c r="R541" s="19" t="s">
        <v>5678</v>
      </c>
    </row>
    <row r="542" spans="1:18" ht="53.25" x14ac:dyDescent="0.2">
      <c r="A542" s="18" t="str">
        <f t="shared" si="24"/>
        <v>049818016133.12.10613.00</v>
      </c>
      <c r="B542" s="51" t="s">
        <v>1809</v>
      </c>
      <c r="C542" s="51" t="s">
        <v>942</v>
      </c>
      <c r="D542" s="51" t="s">
        <v>508</v>
      </c>
      <c r="E542" s="51" t="s">
        <v>509</v>
      </c>
      <c r="F542" s="18" t="s">
        <v>328</v>
      </c>
      <c r="G542" s="52">
        <v>45934</v>
      </c>
      <c r="H542" s="18" t="s">
        <v>329</v>
      </c>
      <c r="I542" s="53">
        <v>2</v>
      </c>
      <c r="J542" s="54">
        <v>45.1</v>
      </c>
      <c r="K542" s="54">
        <v>90.2</v>
      </c>
      <c r="L542" s="18" t="s">
        <v>330</v>
      </c>
      <c r="M542" s="18" t="s">
        <v>331</v>
      </c>
      <c r="N542" s="55">
        <v>46034</v>
      </c>
      <c r="O542" s="18" t="str">
        <f>IFERROR(VLOOKUP(A542,'[2]RELAÇÃO DE OC''S VMI MEC 030226'!$B:$P,15,FALSE),"-")</f>
        <v>-</v>
      </c>
      <c r="P542" s="56">
        <f t="shared" ca="1" si="25"/>
        <v>42</v>
      </c>
      <c r="Q542" s="18" t="str">
        <f t="shared" ca="1" si="26"/>
        <v>ATRASADO</v>
      </c>
      <c r="R542" s="19" t="s">
        <v>5665</v>
      </c>
    </row>
    <row r="543" spans="1:18" ht="53.25" x14ac:dyDescent="0.2">
      <c r="A543" s="18" t="str">
        <f t="shared" si="24"/>
        <v>049818016233.12.10613.00</v>
      </c>
      <c r="B543" s="51" t="s">
        <v>1809</v>
      </c>
      <c r="C543" s="51" t="s">
        <v>945</v>
      </c>
      <c r="D543" s="18" t="s">
        <v>508</v>
      </c>
      <c r="E543" s="18" t="s">
        <v>509</v>
      </c>
      <c r="F543" s="18" t="s">
        <v>328</v>
      </c>
      <c r="G543" s="52">
        <v>45934</v>
      </c>
      <c r="H543" s="18" t="s">
        <v>329</v>
      </c>
      <c r="I543" s="53">
        <v>2</v>
      </c>
      <c r="J543" s="54">
        <v>45.1</v>
      </c>
      <c r="K543" s="54">
        <v>90.2</v>
      </c>
      <c r="L543" s="18" t="s">
        <v>330</v>
      </c>
      <c r="M543" s="18" t="s">
        <v>331</v>
      </c>
      <c r="N543" s="55">
        <v>46034</v>
      </c>
      <c r="O543" s="18" t="str">
        <f>IFERROR(VLOOKUP(A543,'[2]RELAÇÃO DE OC''S VMI MEC 030226'!$B:$P,15,FALSE),"-")</f>
        <v>-</v>
      </c>
      <c r="P543" s="56">
        <f t="shared" ca="1" si="25"/>
        <v>42</v>
      </c>
      <c r="Q543" s="18" t="str">
        <f t="shared" ca="1" si="26"/>
        <v>ATRASADO</v>
      </c>
      <c r="R543" s="19" t="s">
        <v>5665</v>
      </c>
    </row>
    <row r="544" spans="1:18" x14ac:dyDescent="0.2">
      <c r="A544" s="18" t="str">
        <f t="shared" si="24"/>
        <v>049818016333.12.10616.00</v>
      </c>
      <c r="B544" s="51" t="s">
        <v>1809</v>
      </c>
      <c r="C544" s="51" t="s">
        <v>1251</v>
      </c>
      <c r="D544" s="51" t="s">
        <v>510</v>
      </c>
      <c r="E544" s="51" t="s">
        <v>511</v>
      </c>
      <c r="F544" s="18" t="s">
        <v>328</v>
      </c>
      <c r="G544" s="52">
        <v>45934</v>
      </c>
      <c r="H544" s="18" t="s">
        <v>329</v>
      </c>
      <c r="I544" s="53">
        <v>2</v>
      </c>
      <c r="J544" s="54">
        <v>136</v>
      </c>
      <c r="K544" s="54">
        <v>272</v>
      </c>
      <c r="L544" s="18" t="s">
        <v>330</v>
      </c>
      <c r="M544" s="18" t="s">
        <v>331</v>
      </c>
      <c r="N544" s="55">
        <v>46034</v>
      </c>
      <c r="O544" s="18" t="str">
        <f>IFERROR(VLOOKUP(A544,'[2]RELAÇÃO DE OC''S VMI MEC 030226'!$B:$P,15,FALSE),"-")</f>
        <v>-</v>
      </c>
      <c r="P544" s="56">
        <f t="shared" ca="1" si="25"/>
        <v>42</v>
      </c>
      <c r="Q544" s="18" t="str">
        <f t="shared" ca="1" si="26"/>
        <v>ATRASADO</v>
      </c>
      <c r="R544" s="19" t="s">
        <v>5645</v>
      </c>
    </row>
    <row r="545" spans="1:18" x14ac:dyDescent="0.2">
      <c r="A545" s="18" t="str">
        <f t="shared" si="24"/>
        <v>049818016433.12.10617.01</v>
      </c>
      <c r="B545" s="51" t="s">
        <v>1809</v>
      </c>
      <c r="C545" s="51" t="s">
        <v>1254</v>
      </c>
      <c r="D545" s="51" t="s">
        <v>512</v>
      </c>
      <c r="E545" s="51" t="s">
        <v>513</v>
      </c>
      <c r="F545" s="18" t="s">
        <v>328</v>
      </c>
      <c r="G545" s="52">
        <v>45934</v>
      </c>
      <c r="H545" s="18" t="s">
        <v>329</v>
      </c>
      <c r="I545" s="53">
        <v>2</v>
      </c>
      <c r="J545" s="54">
        <v>52.5</v>
      </c>
      <c r="K545" s="54">
        <v>210</v>
      </c>
      <c r="L545" s="18" t="s">
        <v>330</v>
      </c>
      <c r="M545" s="18" t="s">
        <v>331</v>
      </c>
      <c r="N545" s="55">
        <v>46034</v>
      </c>
      <c r="O545" s="18" t="str">
        <f>IFERROR(VLOOKUP(A545,'[2]RELAÇÃO DE OC''S VMI MEC 030226'!$B:$P,15,FALSE),"-")</f>
        <v>-</v>
      </c>
      <c r="P545" s="56">
        <f t="shared" ca="1" si="25"/>
        <v>42</v>
      </c>
      <c r="Q545" s="18" t="str">
        <f t="shared" ca="1" si="26"/>
        <v>ATRASADO</v>
      </c>
      <c r="R545" s="19" t="s">
        <v>5645</v>
      </c>
    </row>
    <row r="546" spans="1:18" x14ac:dyDescent="0.2">
      <c r="A546" s="18" t="str">
        <f t="shared" si="24"/>
        <v>049818016633.21.10547.01</v>
      </c>
      <c r="B546" s="51" t="s">
        <v>1809</v>
      </c>
      <c r="C546" s="51" t="s">
        <v>1258</v>
      </c>
      <c r="D546" s="51" t="s">
        <v>846</v>
      </c>
      <c r="E546" s="51" t="s">
        <v>847</v>
      </c>
      <c r="F546" s="18" t="s">
        <v>328</v>
      </c>
      <c r="G546" s="52">
        <v>45934</v>
      </c>
      <c r="H546" s="18" t="s">
        <v>329</v>
      </c>
      <c r="I546" s="53">
        <v>35</v>
      </c>
      <c r="J546" s="54">
        <v>90</v>
      </c>
      <c r="K546" s="54">
        <v>3150</v>
      </c>
      <c r="L546" s="18" t="s">
        <v>330</v>
      </c>
      <c r="M546" s="18" t="s">
        <v>331</v>
      </c>
      <c r="N546" s="55">
        <v>46034</v>
      </c>
      <c r="O546" s="18" t="str">
        <f>IFERROR(VLOOKUP(A546,'[2]RELAÇÃO DE OC''S VMI MEC 030226'!$B:$P,15,FALSE),"-")</f>
        <v>-</v>
      </c>
      <c r="P546" s="56">
        <f t="shared" ca="1" si="25"/>
        <v>42</v>
      </c>
      <c r="Q546" s="18" t="str">
        <f t="shared" ca="1" si="26"/>
        <v>ATRASADO</v>
      </c>
      <c r="R546" s="19" t="s">
        <v>5645</v>
      </c>
    </row>
    <row r="547" spans="1:18" ht="53.25" x14ac:dyDescent="0.2">
      <c r="A547" s="18" t="str">
        <f t="shared" si="24"/>
        <v>049818016733.99.10053.00</v>
      </c>
      <c r="B547" s="51" t="s">
        <v>1809</v>
      </c>
      <c r="C547" s="51" t="s">
        <v>1261</v>
      </c>
      <c r="D547" s="51" t="s">
        <v>850</v>
      </c>
      <c r="E547" s="51" t="s">
        <v>851</v>
      </c>
      <c r="F547" s="18" t="s">
        <v>328</v>
      </c>
      <c r="G547" s="52">
        <v>45934</v>
      </c>
      <c r="H547" s="18" t="s">
        <v>329</v>
      </c>
      <c r="I547" s="53">
        <v>31</v>
      </c>
      <c r="J547" s="54">
        <v>18</v>
      </c>
      <c r="K547" s="54">
        <v>558</v>
      </c>
      <c r="L547" s="18" t="s">
        <v>330</v>
      </c>
      <c r="M547" s="18" t="s">
        <v>331</v>
      </c>
      <c r="N547" s="55">
        <v>46034</v>
      </c>
      <c r="O547" s="18" t="str">
        <f>IFERROR(VLOOKUP(A547,'[2]RELAÇÃO DE OC''S VMI MEC 030226'!$B:$P,15,FALSE),"-")</f>
        <v>-</v>
      </c>
      <c r="P547" s="56">
        <f t="shared" ca="1" si="25"/>
        <v>42</v>
      </c>
      <c r="Q547" s="18" t="str">
        <f t="shared" ca="1" si="26"/>
        <v>ATRASADO</v>
      </c>
      <c r="R547" s="19" t="s">
        <v>5658</v>
      </c>
    </row>
    <row r="548" spans="1:18" ht="53.25" x14ac:dyDescent="0.2">
      <c r="A548" s="18" t="str">
        <f t="shared" si="24"/>
        <v>049818016833.99.10053.00</v>
      </c>
      <c r="B548" s="51" t="s">
        <v>1809</v>
      </c>
      <c r="C548" s="51" t="s">
        <v>1264</v>
      </c>
      <c r="D548" s="18" t="s">
        <v>850</v>
      </c>
      <c r="E548" s="18" t="s">
        <v>851</v>
      </c>
      <c r="F548" s="18" t="s">
        <v>328</v>
      </c>
      <c r="G548" s="52">
        <v>45934</v>
      </c>
      <c r="H548" s="18" t="s">
        <v>329</v>
      </c>
      <c r="I548" s="53">
        <v>70</v>
      </c>
      <c r="J548" s="54">
        <v>18</v>
      </c>
      <c r="K548" s="54">
        <v>1260</v>
      </c>
      <c r="L548" s="18" t="s">
        <v>330</v>
      </c>
      <c r="M548" s="18" t="s">
        <v>331</v>
      </c>
      <c r="N548" s="55">
        <v>46034</v>
      </c>
      <c r="O548" s="18" t="str">
        <f>IFERROR(VLOOKUP(A548,'[2]RELAÇÃO DE OC''S VMI MEC 030226'!$B:$P,15,FALSE),"-")</f>
        <v>-</v>
      </c>
      <c r="P548" s="56">
        <f t="shared" ca="1" si="25"/>
        <v>42</v>
      </c>
      <c r="Q548" s="18" t="str">
        <f t="shared" ca="1" si="26"/>
        <v>ATRASADO</v>
      </c>
      <c r="R548" s="19" t="s">
        <v>5659</v>
      </c>
    </row>
    <row r="549" spans="1:18" x14ac:dyDescent="0.2">
      <c r="A549" s="18" t="str">
        <f t="shared" si="24"/>
        <v>049826000321.23.02931</v>
      </c>
      <c r="B549" s="51" t="s">
        <v>1846</v>
      </c>
      <c r="C549" s="51" t="s">
        <v>354</v>
      </c>
      <c r="D549" s="51" t="s">
        <v>893</v>
      </c>
      <c r="E549" s="51" t="s">
        <v>894</v>
      </c>
      <c r="F549" s="18" t="s">
        <v>328</v>
      </c>
      <c r="G549" s="52">
        <v>45934</v>
      </c>
      <c r="H549" s="18" t="s">
        <v>329</v>
      </c>
      <c r="I549" s="53">
        <v>4</v>
      </c>
      <c r="J549" s="54">
        <v>49.4</v>
      </c>
      <c r="K549" s="54">
        <v>247</v>
      </c>
      <c r="L549" s="18" t="s">
        <v>330</v>
      </c>
      <c r="M549" s="18" t="s">
        <v>331</v>
      </c>
      <c r="N549" s="55">
        <v>46034</v>
      </c>
      <c r="O549" s="18" t="str">
        <f>IFERROR(VLOOKUP(A549,'[2]RELAÇÃO DE OC''S VMI MEC 030226'!$B:$P,15,FALSE),"-")</f>
        <v>-</v>
      </c>
      <c r="P549" s="56">
        <f t="shared" ca="1" si="25"/>
        <v>42</v>
      </c>
      <c r="Q549" s="18" t="str">
        <f t="shared" ca="1" si="26"/>
        <v>ATRASADO</v>
      </c>
      <c r="R549" s="19" t="s">
        <v>5645</v>
      </c>
    </row>
    <row r="550" spans="1:18" x14ac:dyDescent="0.2">
      <c r="A550" s="18" t="str">
        <f t="shared" si="24"/>
        <v>049826000421.23.03300</v>
      </c>
      <c r="B550" s="51" t="s">
        <v>1846</v>
      </c>
      <c r="C550" s="51" t="s">
        <v>417</v>
      </c>
      <c r="D550" s="51" t="s">
        <v>311</v>
      </c>
      <c r="E550" s="51" t="s">
        <v>312</v>
      </c>
      <c r="F550" s="18" t="s">
        <v>328</v>
      </c>
      <c r="G550" s="52">
        <v>45934</v>
      </c>
      <c r="H550" s="18" t="s">
        <v>329</v>
      </c>
      <c r="I550" s="53">
        <v>20</v>
      </c>
      <c r="J550" s="54">
        <v>26.9</v>
      </c>
      <c r="K550" s="54">
        <v>538</v>
      </c>
      <c r="L550" s="18" t="s">
        <v>330</v>
      </c>
      <c r="M550" s="18" t="s">
        <v>331</v>
      </c>
      <c r="N550" s="55">
        <v>46034</v>
      </c>
      <c r="O550" s="18" t="str">
        <f>IFERROR(VLOOKUP(A550,'[2]RELAÇÃO DE OC''S VMI MEC 030226'!$B:$P,15,FALSE),"-")</f>
        <v>-</v>
      </c>
      <c r="P550" s="56">
        <f t="shared" ca="1" si="25"/>
        <v>42</v>
      </c>
      <c r="Q550" s="18" t="str">
        <f t="shared" ca="1" si="26"/>
        <v>ATRASADO</v>
      </c>
      <c r="R550" s="19" t="s">
        <v>5645</v>
      </c>
    </row>
    <row r="551" spans="1:18" x14ac:dyDescent="0.2">
      <c r="A551" s="18" t="str">
        <f t="shared" si="24"/>
        <v>049826000821.23.03320</v>
      </c>
      <c r="B551" s="51" t="s">
        <v>1846</v>
      </c>
      <c r="C551" s="51" t="s">
        <v>361</v>
      </c>
      <c r="D551" s="51" t="s">
        <v>785</v>
      </c>
      <c r="E551" s="51" t="s">
        <v>786</v>
      </c>
      <c r="F551" s="18" t="s">
        <v>328</v>
      </c>
      <c r="G551" s="52">
        <v>45934</v>
      </c>
      <c r="H551" s="18" t="s">
        <v>329</v>
      </c>
      <c r="I551" s="53">
        <v>22</v>
      </c>
      <c r="J551" s="54">
        <v>13.4</v>
      </c>
      <c r="K551" s="54">
        <v>294.8</v>
      </c>
      <c r="L551" s="18" t="s">
        <v>330</v>
      </c>
      <c r="M551" s="18" t="s">
        <v>331</v>
      </c>
      <c r="N551" s="55">
        <v>46034</v>
      </c>
      <c r="O551" s="18" t="str">
        <f>IFERROR(VLOOKUP(A551,'[2]RELAÇÃO DE OC''S VMI MEC 030226'!$B:$P,15,FALSE),"-")</f>
        <v>-</v>
      </c>
      <c r="P551" s="56">
        <f t="shared" ca="1" si="25"/>
        <v>42</v>
      </c>
      <c r="Q551" s="18" t="str">
        <f t="shared" ca="1" si="26"/>
        <v>ATRASADO</v>
      </c>
      <c r="R551" s="19" t="s">
        <v>5645</v>
      </c>
    </row>
    <row r="552" spans="1:18" ht="42.75" x14ac:dyDescent="0.2">
      <c r="A552" s="18" t="str">
        <f t="shared" si="24"/>
        <v>049826000921.23.03328</v>
      </c>
      <c r="B552" s="51" t="s">
        <v>1846</v>
      </c>
      <c r="C552" s="51" t="s">
        <v>359</v>
      </c>
      <c r="D552" s="51" t="s">
        <v>131</v>
      </c>
      <c r="E552" s="51" t="s">
        <v>158</v>
      </c>
      <c r="F552" s="18" t="s">
        <v>328</v>
      </c>
      <c r="G552" s="52">
        <v>45934</v>
      </c>
      <c r="H552" s="18" t="s">
        <v>329</v>
      </c>
      <c r="I552" s="53">
        <v>4</v>
      </c>
      <c r="J552" s="54">
        <v>64.3</v>
      </c>
      <c r="K552" s="54">
        <v>257.2</v>
      </c>
      <c r="L552" s="18" t="s">
        <v>330</v>
      </c>
      <c r="M552" s="18" t="s">
        <v>331</v>
      </c>
      <c r="N552" s="55">
        <v>46034</v>
      </c>
      <c r="O552" s="18" t="str">
        <f>IFERROR(VLOOKUP(A552,'[2]RELAÇÃO DE OC''S VMI MEC 030226'!$B:$P,15,FALSE),"-")</f>
        <v>-</v>
      </c>
      <c r="P552" s="56">
        <f t="shared" ca="1" si="25"/>
        <v>42</v>
      </c>
      <c r="Q552" s="18" t="str">
        <f t="shared" ca="1" si="26"/>
        <v>ATRASADO</v>
      </c>
      <c r="R552" s="19" t="s">
        <v>5661</v>
      </c>
    </row>
    <row r="553" spans="1:18" ht="42.75" x14ac:dyDescent="0.2">
      <c r="A553" s="18" t="str">
        <f t="shared" si="24"/>
        <v>049826001021.23.03329</v>
      </c>
      <c r="B553" s="51" t="s">
        <v>1846</v>
      </c>
      <c r="C553" s="51" t="s">
        <v>387</v>
      </c>
      <c r="D553" s="51" t="s">
        <v>787</v>
      </c>
      <c r="E553" s="51" t="s">
        <v>788</v>
      </c>
      <c r="F553" s="18" t="s">
        <v>328</v>
      </c>
      <c r="G553" s="52">
        <v>45934</v>
      </c>
      <c r="H553" s="18" t="s">
        <v>329</v>
      </c>
      <c r="I553" s="53">
        <v>4</v>
      </c>
      <c r="J553" s="54">
        <v>64.3</v>
      </c>
      <c r="K553" s="54">
        <v>257.2</v>
      </c>
      <c r="L553" s="18" t="s">
        <v>330</v>
      </c>
      <c r="M553" s="18" t="s">
        <v>331</v>
      </c>
      <c r="N553" s="55">
        <v>46034</v>
      </c>
      <c r="O553" s="18" t="str">
        <f>IFERROR(VLOOKUP(A553,'[2]RELAÇÃO DE OC''S VMI MEC 030226'!$B:$P,15,FALSE),"-")</f>
        <v>-</v>
      </c>
      <c r="P553" s="56">
        <f t="shared" ca="1" si="25"/>
        <v>42</v>
      </c>
      <c r="Q553" s="18" t="str">
        <f t="shared" ca="1" si="26"/>
        <v>ATRASADO</v>
      </c>
      <c r="R553" s="19" t="s">
        <v>5661</v>
      </c>
    </row>
    <row r="554" spans="1:18" x14ac:dyDescent="0.2">
      <c r="A554" s="18" t="str">
        <f t="shared" si="24"/>
        <v>049826001333.03.10214.01</v>
      </c>
      <c r="B554" s="51" t="s">
        <v>1846</v>
      </c>
      <c r="C554" s="51" t="s">
        <v>333</v>
      </c>
      <c r="D554" s="51" t="s">
        <v>481</v>
      </c>
      <c r="E554" s="51" t="s">
        <v>482</v>
      </c>
      <c r="F554" s="18" t="s">
        <v>328</v>
      </c>
      <c r="G554" s="52">
        <v>45934</v>
      </c>
      <c r="H554" s="18" t="s">
        <v>329</v>
      </c>
      <c r="I554" s="53">
        <v>8</v>
      </c>
      <c r="J554" s="54">
        <v>548.4</v>
      </c>
      <c r="K554" s="54">
        <v>4387.2</v>
      </c>
      <c r="L554" s="18" t="s">
        <v>330</v>
      </c>
      <c r="M554" s="18" t="s">
        <v>331</v>
      </c>
      <c r="N554" s="55">
        <v>46034</v>
      </c>
      <c r="O554" s="18" t="str">
        <f>IFERROR(VLOOKUP(A554,'[2]RELAÇÃO DE OC''S VMI MEC 030226'!$B:$P,15,FALSE),"-")</f>
        <v>-</v>
      </c>
      <c r="P554" s="56">
        <f t="shared" ca="1" si="25"/>
        <v>42</v>
      </c>
      <c r="Q554" s="18" t="str">
        <f t="shared" ca="1" si="26"/>
        <v>ATRASADO</v>
      </c>
      <c r="R554" s="19" t="s">
        <v>5645</v>
      </c>
    </row>
    <row r="555" spans="1:18" x14ac:dyDescent="0.2">
      <c r="A555" s="18" t="str">
        <f t="shared" si="24"/>
        <v>049826001433.03.10225.00</v>
      </c>
      <c r="B555" s="51" t="s">
        <v>1846</v>
      </c>
      <c r="C555" s="51" t="s">
        <v>388</v>
      </c>
      <c r="D555" s="51" t="s">
        <v>1794</v>
      </c>
      <c r="E555" s="51" t="s">
        <v>1795</v>
      </c>
      <c r="F555" s="18" t="s">
        <v>328</v>
      </c>
      <c r="G555" s="52">
        <v>45934</v>
      </c>
      <c r="H555" s="18" t="s">
        <v>329</v>
      </c>
      <c r="I555" s="53">
        <v>1</v>
      </c>
      <c r="J555" s="54">
        <v>58.35</v>
      </c>
      <c r="K555" s="54">
        <v>933.6</v>
      </c>
      <c r="L555" s="18" t="s">
        <v>330</v>
      </c>
      <c r="M555" s="18" t="s">
        <v>331</v>
      </c>
      <c r="N555" s="55">
        <v>46034</v>
      </c>
      <c r="O555" s="18" t="str">
        <f>IFERROR(VLOOKUP(A555,'[2]RELAÇÃO DE OC''S VMI MEC 030226'!$B:$P,15,FALSE),"-")</f>
        <v>-</v>
      </c>
      <c r="P555" s="56">
        <f t="shared" ca="1" si="25"/>
        <v>42</v>
      </c>
      <c r="Q555" s="18" t="str">
        <f t="shared" ca="1" si="26"/>
        <v>ATRASADO</v>
      </c>
      <c r="R555" s="19" t="s">
        <v>5645</v>
      </c>
    </row>
    <row r="556" spans="1:18" x14ac:dyDescent="0.2">
      <c r="A556" s="18" t="str">
        <f t="shared" si="24"/>
        <v>049826001633.03.10236.02</v>
      </c>
      <c r="B556" s="51" t="s">
        <v>1846</v>
      </c>
      <c r="C556" s="51" t="s">
        <v>440</v>
      </c>
      <c r="D556" s="51" t="s">
        <v>130</v>
      </c>
      <c r="E556" s="51" t="s">
        <v>138</v>
      </c>
      <c r="F556" s="18" t="s">
        <v>328</v>
      </c>
      <c r="G556" s="52">
        <v>45934</v>
      </c>
      <c r="H556" s="18" t="s">
        <v>329</v>
      </c>
      <c r="I556" s="53">
        <v>2</v>
      </c>
      <c r="J556" s="54">
        <v>56.5</v>
      </c>
      <c r="K556" s="54">
        <v>226</v>
      </c>
      <c r="L556" s="18" t="s">
        <v>330</v>
      </c>
      <c r="M556" s="18" t="s">
        <v>331</v>
      </c>
      <c r="N556" s="55">
        <v>46034</v>
      </c>
      <c r="O556" s="18" t="str">
        <f>IFERROR(VLOOKUP(A556,'[2]RELAÇÃO DE OC''S VMI MEC 030226'!$B:$P,15,FALSE),"-")</f>
        <v>-</v>
      </c>
      <c r="P556" s="56">
        <f t="shared" ca="1" si="25"/>
        <v>42</v>
      </c>
      <c r="Q556" s="18" t="str">
        <f t="shared" ca="1" si="26"/>
        <v>ATRASADO</v>
      </c>
      <c r="R556" s="19" t="s">
        <v>5645</v>
      </c>
    </row>
    <row r="557" spans="1:18" x14ac:dyDescent="0.2">
      <c r="A557" s="18" t="str">
        <f t="shared" si="24"/>
        <v>049826001933.03.10275.00</v>
      </c>
      <c r="B557" s="51" t="s">
        <v>1846</v>
      </c>
      <c r="C557" s="51" t="s">
        <v>334</v>
      </c>
      <c r="D557" s="51" t="s">
        <v>483</v>
      </c>
      <c r="E557" s="51" t="s">
        <v>484</v>
      </c>
      <c r="F557" s="18" t="s">
        <v>328</v>
      </c>
      <c r="G557" s="52">
        <v>45934</v>
      </c>
      <c r="H557" s="18" t="s">
        <v>329</v>
      </c>
      <c r="I557" s="53">
        <v>4</v>
      </c>
      <c r="J557" s="54">
        <v>109.3</v>
      </c>
      <c r="K557" s="54">
        <v>437.2</v>
      </c>
      <c r="L557" s="18" t="s">
        <v>330</v>
      </c>
      <c r="M557" s="18" t="s">
        <v>331</v>
      </c>
      <c r="N557" s="55">
        <v>46034</v>
      </c>
      <c r="O557" s="18" t="str">
        <f>IFERROR(VLOOKUP(A557,'[2]RELAÇÃO DE OC''S VMI MEC 030226'!$B:$P,15,FALSE),"-")</f>
        <v>-</v>
      </c>
      <c r="P557" s="56">
        <f t="shared" ca="1" si="25"/>
        <v>42</v>
      </c>
      <c r="Q557" s="18" t="str">
        <f t="shared" ca="1" si="26"/>
        <v>ATRASADO</v>
      </c>
      <c r="R557" s="19" t="s">
        <v>5645</v>
      </c>
    </row>
    <row r="558" spans="1:18" ht="42.75" x14ac:dyDescent="0.2">
      <c r="A558" s="18" t="str">
        <f t="shared" si="24"/>
        <v>049826002033.03.11366.01</v>
      </c>
      <c r="B558" s="51" t="s">
        <v>1846</v>
      </c>
      <c r="C558" s="51" t="s">
        <v>418</v>
      </c>
      <c r="D558" s="51" t="s">
        <v>1854</v>
      </c>
      <c r="E558" s="51" t="s">
        <v>1855</v>
      </c>
      <c r="F558" s="18" t="s">
        <v>328</v>
      </c>
      <c r="G558" s="52">
        <v>45934</v>
      </c>
      <c r="H558" s="18" t="s">
        <v>329</v>
      </c>
      <c r="I558" s="53">
        <v>4</v>
      </c>
      <c r="J558" s="54">
        <v>58.7</v>
      </c>
      <c r="K558" s="54">
        <v>1643.6</v>
      </c>
      <c r="L558" s="18" t="s">
        <v>330</v>
      </c>
      <c r="M558" s="18" t="s">
        <v>331</v>
      </c>
      <c r="N558" s="55">
        <v>46034</v>
      </c>
      <c r="O558" s="18" t="str">
        <f>IFERROR(VLOOKUP(A558,'[2]RELAÇÃO DE OC''S VMI MEC 030226'!$B:$P,15,FALSE),"-")</f>
        <v>-</v>
      </c>
      <c r="P558" s="56">
        <f t="shared" ca="1" si="25"/>
        <v>42</v>
      </c>
      <c r="Q558" s="18" t="str">
        <f t="shared" ca="1" si="26"/>
        <v>ATRASADO</v>
      </c>
      <c r="R558" s="19" t="s">
        <v>5671</v>
      </c>
    </row>
    <row r="559" spans="1:18" ht="42.75" x14ac:dyDescent="0.2">
      <c r="A559" s="18" t="str">
        <f t="shared" si="24"/>
        <v>049826002133.03.11368.01</v>
      </c>
      <c r="B559" s="51" t="s">
        <v>1846</v>
      </c>
      <c r="C559" s="51" t="s">
        <v>389</v>
      </c>
      <c r="D559" s="51" t="s">
        <v>1856</v>
      </c>
      <c r="E559" s="51" t="s">
        <v>1857</v>
      </c>
      <c r="F559" s="18" t="s">
        <v>328</v>
      </c>
      <c r="G559" s="52">
        <v>45934</v>
      </c>
      <c r="H559" s="18" t="s">
        <v>329</v>
      </c>
      <c r="I559" s="53">
        <v>1</v>
      </c>
      <c r="J559" s="54">
        <v>60.1</v>
      </c>
      <c r="K559" s="54">
        <v>1622.7</v>
      </c>
      <c r="L559" s="18" t="s">
        <v>330</v>
      </c>
      <c r="M559" s="18" t="s">
        <v>331</v>
      </c>
      <c r="N559" s="55">
        <v>46034</v>
      </c>
      <c r="O559" s="18" t="str">
        <f>IFERROR(VLOOKUP(A559,'[2]RELAÇÃO DE OC''S VMI MEC 030226'!$B:$P,15,FALSE),"-")</f>
        <v>-</v>
      </c>
      <c r="P559" s="56">
        <f t="shared" ca="1" si="25"/>
        <v>42</v>
      </c>
      <c r="Q559" s="18" t="str">
        <f t="shared" ca="1" si="26"/>
        <v>ATRASADO</v>
      </c>
      <c r="R559" s="19" t="s">
        <v>5671</v>
      </c>
    </row>
    <row r="560" spans="1:18" x14ac:dyDescent="0.2">
      <c r="A560" s="18" t="str">
        <f t="shared" si="24"/>
        <v>049826002233.03.11409.01</v>
      </c>
      <c r="B560" s="51" t="s">
        <v>1846</v>
      </c>
      <c r="C560" s="51" t="s">
        <v>390</v>
      </c>
      <c r="D560" s="51" t="s">
        <v>314</v>
      </c>
      <c r="E560" s="51" t="s">
        <v>315</v>
      </c>
      <c r="F560" s="18" t="s">
        <v>328</v>
      </c>
      <c r="G560" s="52">
        <v>45934</v>
      </c>
      <c r="H560" s="18" t="s">
        <v>329</v>
      </c>
      <c r="I560" s="53">
        <v>1</v>
      </c>
      <c r="J560" s="54">
        <v>115.2</v>
      </c>
      <c r="K560" s="54">
        <v>3456</v>
      </c>
      <c r="L560" s="18" t="s">
        <v>330</v>
      </c>
      <c r="M560" s="18" t="s">
        <v>331</v>
      </c>
      <c r="N560" s="55">
        <v>46034</v>
      </c>
      <c r="O560" s="18" t="str">
        <f>IFERROR(VLOOKUP(A560,'[2]RELAÇÃO DE OC''S VMI MEC 030226'!$B:$P,15,FALSE),"-")</f>
        <v>-</v>
      </c>
      <c r="P560" s="56">
        <f t="shared" ca="1" si="25"/>
        <v>42</v>
      </c>
      <c r="Q560" s="18" t="str">
        <f t="shared" ca="1" si="26"/>
        <v>ATRASADO</v>
      </c>
      <c r="R560" s="19" t="s">
        <v>5645</v>
      </c>
    </row>
    <row r="561" spans="1:18" x14ac:dyDescent="0.2">
      <c r="A561" s="18" t="str">
        <f t="shared" si="24"/>
        <v>049826002333.08.10219.00</v>
      </c>
      <c r="B561" s="51" t="s">
        <v>1846</v>
      </c>
      <c r="C561" s="51" t="s">
        <v>364</v>
      </c>
      <c r="D561" s="51" t="s">
        <v>266</v>
      </c>
      <c r="E561" s="51" t="s">
        <v>267</v>
      </c>
      <c r="F561" s="18" t="s">
        <v>328</v>
      </c>
      <c r="G561" s="52">
        <v>45934</v>
      </c>
      <c r="H561" s="18" t="s">
        <v>329</v>
      </c>
      <c r="I561" s="53">
        <v>2</v>
      </c>
      <c r="J561" s="54">
        <v>452.76</v>
      </c>
      <c r="K561" s="54">
        <v>905.52</v>
      </c>
      <c r="L561" s="18" t="s">
        <v>330</v>
      </c>
      <c r="M561" s="18" t="s">
        <v>331</v>
      </c>
      <c r="N561" s="55">
        <v>46034</v>
      </c>
      <c r="O561" s="18" t="str">
        <f>IFERROR(VLOOKUP(A561,'[2]RELAÇÃO DE OC''S VMI MEC 030226'!$B:$P,15,FALSE),"-")</f>
        <v>-</v>
      </c>
      <c r="P561" s="56">
        <f t="shared" ca="1" si="25"/>
        <v>42</v>
      </c>
      <c r="Q561" s="18" t="str">
        <f t="shared" ca="1" si="26"/>
        <v>ATRASADO</v>
      </c>
      <c r="R561" s="19" t="s">
        <v>5645</v>
      </c>
    </row>
    <row r="562" spans="1:18" x14ac:dyDescent="0.2">
      <c r="A562" s="18" t="str">
        <f t="shared" si="24"/>
        <v>049826002633.08.10275.00</v>
      </c>
      <c r="B562" s="51" t="s">
        <v>1846</v>
      </c>
      <c r="C562" s="51" t="s">
        <v>366</v>
      </c>
      <c r="D562" s="51" t="s">
        <v>277</v>
      </c>
      <c r="E562" s="51" t="s">
        <v>278</v>
      </c>
      <c r="F562" s="18" t="s">
        <v>328</v>
      </c>
      <c r="G562" s="52">
        <v>45934</v>
      </c>
      <c r="H562" s="18" t="s">
        <v>329</v>
      </c>
      <c r="I562" s="53">
        <v>2</v>
      </c>
      <c r="J562" s="54">
        <v>450</v>
      </c>
      <c r="K562" s="54">
        <v>900</v>
      </c>
      <c r="L562" s="18" t="s">
        <v>330</v>
      </c>
      <c r="M562" s="18" t="s">
        <v>331</v>
      </c>
      <c r="N562" s="55">
        <v>46034</v>
      </c>
      <c r="O562" s="18" t="str">
        <f>IFERROR(VLOOKUP(A562,'[2]RELAÇÃO DE OC''S VMI MEC 030226'!$B:$P,15,FALSE),"-")</f>
        <v>-</v>
      </c>
      <c r="P562" s="56">
        <f t="shared" ca="1" si="25"/>
        <v>42</v>
      </c>
      <c r="Q562" s="18" t="str">
        <f t="shared" ca="1" si="26"/>
        <v>ATRASADO</v>
      </c>
      <c r="R562" s="19" t="s">
        <v>5645</v>
      </c>
    </row>
    <row r="563" spans="1:18" x14ac:dyDescent="0.2">
      <c r="A563" s="18" t="str">
        <f t="shared" si="24"/>
        <v>049826002733.08.10283.00</v>
      </c>
      <c r="B563" s="51" t="s">
        <v>1846</v>
      </c>
      <c r="C563" s="51" t="s">
        <v>367</v>
      </c>
      <c r="D563" s="51" t="s">
        <v>104</v>
      </c>
      <c r="E563" s="51" t="s">
        <v>105</v>
      </c>
      <c r="F563" s="18" t="s">
        <v>328</v>
      </c>
      <c r="G563" s="52">
        <v>45934</v>
      </c>
      <c r="H563" s="18" t="s">
        <v>329</v>
      </c>
      <c r="I563" s="53">
        <v>8</v>
      </c>
      <c r="J563" s="54">
        <v>31.2</v>
      </c>
      <c r="K563" s="54">
        <v>249.6</v>
      </c>
      <c r="L563" s="18" t="s">
        <v>330</v>
      </c>
      <c r="M563" s="18" t="s">
        <v>331</v>
      </c>
      <c r="N563" s="55">
        <v>46034</v>
      </c>
      <c r="O563" s="18" t="str">
        <f>IFERROR(VLOOKUP(A563,'[2]RELAÇÃO DE OC''S VMI MEC 030226'!$B:$P,15,FALSE),"-")</f>
        <v>-</v>
      </c>
      <c r="P563" s="56">
        <f t="shared" ca="1" si="25"/>
        <v>42</v>
      </c>
      <c r="Q563" s="18" t="str">
        <f t="shared" ca="1" si="26"/>
        <v>ATRASADO</v>
      </c>
      <c r="R563" s="19" t="s">
        <v>5645</v>
      </c>
    </row>
    <row r="564" spans="1:18" x14ac:dyDescent="0.2">
      <c r="A564" s="18" t="str">
        <f t="shared" si="24"/>
        <v>049826002833.08.10283.00</v>
      </c>
      <c r="B564" s="51" t="s">
        <v>1846</v>
      </c>
      <c r="C564" s="51" t="s">
        <v>419</v>
      </c>
      <c r="D564" s="18" t="s">
        <v>104</v>
      </c>
      <c r="E564" s="18" t="s">
        <v>105</v>
      </c>
      <c r="F564" s="18" t="s">
        <v>328</v>
      </c>
      <c r="G564" s="52">
        <v>45934</v>
      </c>
      <c r="H564" s="18" t="s">
        <v>329</v>
      </c>
      <c r="I564" s="53">
        <v>28</v>
      </c>
      <c r="J564" s="54">
        <v>31.2</v>
      </c>
      <c r="K564" s="54">
        <v>873.6</v>
      </c>
      <c r="L564" s="18" t="s">
        <v>330</v>
      </c>
      <c r="M564" s="18" t="s">
        <v>331</v>
      </c>
      <c r="N564" s="55">
        <v>46034</v>
      </c>
      <c r="O564" s="18" t="str">
        <f>IFERROR(VLOOKUP(A564,'[2]RELAÇÃO DE OC''S VMI MEC 030226'!$B:$P,15,FALSE),"-")</f>
        <v>-</v>
      </c>
      <c r="P564" s="56">
        <f t="shared" ca="1" si="25"/>
        <v>42</v>
      </c>
      <c r="Q564" s="18" t="str">
        <f t="shared" ca="1" si="26"/>
        <v>ATRASADO</v>
      </c>
      <c r="R564" s="19" t="s">
        <v>5645</v>
      </c>
    </row>
    <row r="565" spans="1:18" x14ac:dyDescent="0.2">
      <c r="A565" s="18" t="str">
        <f t="shared" si="24"/>
        <v>049826002933.20.10227.02</v>
      </c>
      <c r="B565" s="51" t="s">
        <v>1846</v>
      </c>
      <c r="C565" s="51" t="s">
        <v>391</v>
      </c>
      <c r="D565" s="51" t="s">
        <v>28</v>
      </c>
      <c r="E565" s="51" t="s">
        <v>38</v>
      </c>
      <c r="F565" s="18" t="s">
        <v>328</v>
      </c>
      <c r="G565" s="52">
        <v>45934</v>
      </c>
      <c r="H565" s="18" t="s">
        <v>329</v>
      </c>
      <c r="I565" s="53">
        <v>14</v>
      </c>
      <c r="J565" s="54">
        <v>394</v>
      </c>
      <c r="K565" s="54">
        <v>5516</v>
      </c>
      <c r="L565" s="18" t="s">
        <v>330</v>
      </c>
      <c r="M565" s="18" t="s">
        <v>331</v>
      </c>
      <c r="N565" s="55">
        <v>46034</v>
      </c>
      <c r="O565" s="18" t="str">
        <f>IFERROR(VLOOKUP(A565,'[2]RELAÇÃO DE OC''S VMI MEC 030226'!$B:$P,15,FALSE),"-")</f>
        <v>-</v>
      </c>
      <c r="P565" s="56">
        <f t="shared" ca="1" si="25"/>
        <v>42</v>
      </c>
      <c r="Q565" s="18" t="str">
        <f t="shared" ca="1" si="26"/>
        <v>ATRASADO</v>
      </c>
      <c r="R565" s="19" t="s">
        <v>5645</v>
      </c>
    </row>
    <row r="566" spans="1:18" x14ac:dyDescent="0.2">
      <c r="A566" s="18" t="str">
        <f t="shared" si="24"/>
        <v>049826003133.20.10257.01</v>
      </c>
      <c r="B566" s="51" t="s">
        <v>1846</v>
      </c>
      <c r="C566" s="51" t="s">
        <v>393</v>
      </c>
      <c r="D566" s="51" t="s">
        <v>316</v>
      </c>
      <c r="E566" s="51" t="s">
        <v>317</v>
      </c>
      <c r="F566" s="18" t="s">
        <v>328</v>
      </c>
      <c r="G566" s="52">
        <v>45934</v>
      </c>
      <c r="H566" s="18" t="s">
        <v>329</v>
      </c>
      <c r="I566" s="53">
        <v>2</v>
      </c>
      <c r="J566" s="54">
        <v>68</v>
      </c>
      <c r="K566" s="54">
        <v>952</v>
      </c>
      <c r="L566" s="18" t="s">
        <v>330</v>
      </c>
      <c r="M566" s="18" t="s">
        <v>331</v>
      </c>
      <c r="N566" s="55">
        <v>46034</v>
      </c>
      <c r="O566" s="18" t="str">
        <f>IFERROR(VLOOKUP(A566,'[2]RELAÇÃO DE OC''S VMI MEC 030226'!$B:$P,15,FALSE),"-")</f>
        <v>-</v>
      </c>
      <c r="P566" s="56">
        <f t="shared" ca="1" si="25"/>
        <v>42</v>
      </c>
      <c r="Q566" s="18" t="str">
        <f t="shared" ca="1" si="26"/>
        <v>ATRASADO</v>
      </c>
      <c r="R566" s="19" t="s">
        <v>5645</v>
      </c>
    </row>
    <row r="567" spans="1:18" x14ac:dyDescent="0.2">
      <c r="A567" s="18" t="str">
        <f t="shared" si="24"/>
        <v>049826003233.20.10307.02</v>
      </c>
      <c r="B567" s="51" t="s">
        <v>1846</v>
      </c>
      <c r="C567" s="51" t="s">
        <v>420</v>
      </c>
      <c r="D567" s="51" t="s">
        <v>29</v>
      </c>
      <c r="E567" s="51" t="s">
        <v>113</v>
      </c>
      <c r="F567" s="18" t="s">
        <v>328</v>
      </c>
      <c r="G567" s="52">
        <v>45934</v>
      </c>
      <c r="H567" s="18" t="s">
        <v>329</v>
      </c>
      <c r="I567" s="53">
        <v>6</v>
      </c>
      <c r="J567" s="54">
        <v>2880</v>
      </c>
      <c r="K567" s="54">
        <v>20160</v>
      </c>
      <c r="L567" s="18" t="s">
        <v>330</v>
      </c>
      <c r="M567" s="18" t="s">
        <v>331</v>
      </c>
      <c r="N567" s="55">
        <v>46034</v>
      </c>
      <c r="O567" s="18" t="str">
        <f>IFERROR(VLOOKUP(A567,'[2]RELAÇÃO DE OC''S VMI MEC 030226'!$B:$P,15,FALSE),"-")</f>
        <v>-</v>
      </c>
      <c r="P567" s="56">
        <f t="shared" ca="1" si="25"/>
        <v>42</v>
      </c>
      <c r="Q567" s="18" t="str">
        <f t="shared" ca="1" si="26"/>
        <v>ATRASADO</v>
      </c>
      <c r="R567" s="19" t="s">
        <v>5645</v>
      </c>
    </row>
    <row r="568" spans="1:18" x14ac:dyDescent="0.2">
      <c r="A568" s="18" t="str">
        <f t="shared" si="24"/>
        <v>049826003333.20.10335.01</v>
      </c>
      <c r="B568" s="51" t="s">
        <v>1846</v>
      </c>
      <c r="C568" s="51" t="s">
        <v>394</v>
      </c>
      <c r="D568" s="51" t="s">
        <v>23</v>
      </c>
      <c r="E568" s="51" t="s">
        <v>114</v>
      </c>
      <c r="F568" s="18" t="s">
        <v>328</v>
      </c>
      <c r="G568" s="52">
        <v>45934</v>
      </c>
      <c r="H568" s="18" t="s">
        <v>329</v>
      </c>
      <c r="I568" s="53">
        <v>19</v>
      </c>
      <c r="J568" s="54">
        <v>655</v>
      </c>
      <c r="K568" s="54">
        <v>18340</v>
      </c>
      <c r="L568" s="18" t="s">
        <v>330</v>
      </c>
      <c r="M568" s="18" t="s">
        <v>331</v>
      </c>
      <c r="N568" s="55">
        <v>46034</v>
      </c>
      <c r="O568" s="18" t="str">
        <f>IFERROR(VLOOKUP(A568,'[2]RELAÇÃO DE OC''S VMI MEC 030226'!$B:$P,15,FALSE),"-")</f>
        <v>-</v>
      </c>
      <c r="P568" s="56">
        <f t="shared" ca="1" si="25"/>
        <v>42</v>
      </c>
      <c r="Q568" s="18" t="str">
        <f t="shared" ca="1" si="26"/>
        <v>ATRASADO</v>
      </c>
      <c r="R568" s="19" t="s">
        <v>5645</v>
      </c>
    </row>
    <row r="569" spans="1:18" x14ac:dyDescent="0.2">
      <c r="A569" s="18" t="str">
        <f t="shared" si="24"/>
        <v>049826003533.99.10031.00</v>
      </c>
      <c r="B569" s="51" t="s">
        <v>1846</v>
      </c>
      <c r="C569" s="51" t="s">
        <v>442</v>
      </c>
      <c r="D569" s="51" t="s">
        <v>943</v>
      </c>
      <c r="E569" s="51" t="s">
        <v>944</v>
      </c>
      <c r="F569" s="18" t="s">
        <v>328</v>
      </c>
      <c r="G569" s="52">
        <v>45934</v>
      </c>
      <c r="H569" s="18" t="s">
        <v>329</v>
      </c>
      <c r="I569" s="53">
        <v>3</v>
      </c>
      <c r="J569" s="54">
        <v>5</v>
      </c>
      <c r="K569" s="54">
        <v>600</v>
      </c>
      <c r="L569" s="18" t="s">
        <v>330</v>
      </c>
      <c r="M569" s="18" t="s">
        <v>331</v>
      </c>
      <c r="N569" s="55">
        <v>46034</v>
      </c>
      <c r="O569" s="18" t="str">
        <f>IFERROR(VLOOKUP(A569,'[2]RELAÇÃO DE OC''S VMI MEC 030226'!$B:$P,15,FALSE),"-")</f>
        <v>-</v>
      </c>
      <c r="P569" s="56">
        <f t="shared" ca="1" si="25"/>
        <v>42</v>
      </c>
      <c r="Q569" s="18" t="str">
        <f t="shared" ca="1" si="26"/>
        <v>ATRASADO</v>
      </c>
      <c r="R569" s="19" t="s">
        <v>5645</v>
      </c>
    </row>
    <row r="570" spans="1:18" x14ac:dyDescent="0.2">
      <c r="A570" s="18" t="str">
        <f t="shared" si="24"/>
        <v>049826003633.99.10042.01</v>
      </c>
      <c r="B570" s="51" t="s">
        <v>1846</v>
      </c>
      <c r="C570" s="51" t="s">
        <v>357</v>
      </c>
      <c r="D570" s="51" t="s">
        <v>946</v>
      </c>
      <c r="E570" s="51" t="s">
        <v>947</v>
      </c>
      <c r="F570" s="18" t="s">
        <v>328</v>
      </c>
      <c r="G570" s="52">
        <v>45934</v>
      </c>
      <c r="H570" s="18" t="s">
        <v>329</v>
      </c>
      <c r="I570" s="53">
        <v>60</v>
      </c>
      <c r="J570" s="54">
        <v>31</v>
      </c>
      <c r="K570" s="54">
        <v>1860</v>
      </c>
      <c r="L570" s="18" t="s">
        <v>330</v>
      </c>
      <c r="M570" s="18" t="s">
        <v>331</v>
      </c>
      <c r="N570" s="55">
        <v>46034</v>
      </c>
      <c r="O570" s="18" t="str">
        <f>IFERROR(VLOOKUP(A570,'[2]RELAÇÃO DE OC''S VMI MEC 030226'!$B:$P,15,FALSE),"-")</f>
        <v>-</v>
      </c>
      <c r="P570" s="56">
        <f t="shared" ca="1" si="25"/>
        <v>42</v>
      </c>
      <c r="Q570" s="18" t="str">
        <f t="shared" ca="1" si="26"/>
        <v>ATRASADO</v>
      </c>
      <c r="R570" s="19" t="s">
        <v>5645</v>
      </c>
    </row>
    <row r="571" spans="1:18" ht="53.25" x14ac:dyDescent="0.2">
      <c r="A571" s="18" t="str">
        <f t="shared" si="24"/>
        <v>049826003733.99.10042.01</v>
      </c>
      <c r="B571" s="51" t="s">
        <v>1846</v>
      </c>
      <c r="C571" s="51" t="s">
        <v>352</v>
      </c>
      <c r="D571" s="18" t="s">
        <v>946</v>
      </c>
      <c r="E571" s="18" t="s">
        <v>947</v>
      </c>
      <c r="F571" s="18" t="s">
        <v>328</v>
      </c>
      <c r="G571" s="52">
        <v>45934</v>
      </c>
      <c r="H571" s="18" t="s">
        <v>329</v>
      </c>
      <c r="I571" s="53">
        <v>8</v>
      </c>
      <c r="J571" s="54">
        <v>31</v>
      </c>
      <c r="K571" s="54">
        <v>248</v>
      </c>
      <c r="L571" s="18" t="s">
        <v>330</v>
      </c>
      <c r="M571" s="18" t="s">
        <v>331</v>
      </c>
      <c r="N571" s="55">
        <v>46034</v>
      </c>
      <c r="O571" s="18" t="str">
        <f>IFERROR(VLOOKUP(A571,'[2]RELAÇÃO DE OC''S VMI MEC 030226'!$B:$P,15,FALSE),"-")</f>
        <v>-</v>
      </c>
      <c r="P571" s="56">
        <f t="shared" ca="1" si="25"/>
        <v>42</v>
      </c>
      <c r="Q571" s="18" t="str">
        <f t="shared" ca="1" si="26"/>
        <v>ATRASADO</v>
      </c>
      <c r="R571" s="19" t="s">
        <v>5663</v>
      </c>
    </row>
    <row r="572" spans="1:18" ht="54" thickBot="1" x14ac:dyDescent="0.25">
      <c r="A572" s="18" t="str">
        <f t="shared" si="24"/>
        <v>049826003833.99.10043.00</v>
      </c>
      <c r="B572" s="51" t="s">
        <v>1846</v>
      </c>
      <c r="C572" s="51" t="s">
        <v>395</v>
      </c>
      <c r="D572" s="51" t="s">
        <v>1800</v>
      </c>
      <c r="E572" s="51" t="s">
        <v>1801</v>
      </c>
      <c r="F572" s="18" t="s">
        <v>328</v>
      </c>
      <c r="G572" s="52">
        <v>45934</v>
      </c>
      <c r="H572" s="18" t="s">
        <v>329</v>
      </c>
      <c r="I572" s="53">
        <v>38</v>
      </c>
      <c r="J572" s="54">
        <v>26</v>
      </c>
      <c r="K572" s="54">
        <v>988</v>
      </c>
      <c r="L572" s="18" t="s">
        <v>330</v>
      </c>
      <c r="M572" s="18" t="s">
        <v>331</v>
      </c>
      <c r="N572" s="55">
        <v>46034</v>
      </c>
      <c r="O572" s="18" t="str">
        <f>IFERROR(VLOOKUP(A572,'[2]RELAÇÃO DE OC''S VMI MEC 030226'!$B:$P,15,FALSE),"-")</f>
        <v>-</v>
      </c>
      <c r="P572" s="56">
        <f t="shared" ca="1" si="25"/>
        <v>42</v>
      </c>
      <c r="Q572" s="18" t="str">
        <f t="shared" ca="1" si="26"/>
        <v>ATRASADO</v>
      </c>
      <c r="R572" s="19" t="s">
        <v>5663</v>
      </c>
    </row>
    <row r="573" spans="1:18" ht="12.75" thickBot="1" x14ac:dyDescent="0.25">
      <c r="A573" s="18" t="str">
        <f t="shared" si="24"/>
        <v>052204000121.23.01132</v>
      </c>
      <c r="B573" s="57" t="s">
        <v>5561</v>
      </c>
      <c r="C573" s="57" t="s">
        <v>438</v>
      </c>
      <c r="D573" s="58" t="s">
        <v>40</v>
      </c>
      <c r="E573" s="58" t="s">
        <v>41</v>
      </c>
      <c r="F573" s="18" t="s">
        <v>328</v>
      </c>
      <c r="G573" s="52">
        <v>46030</v>
      </c>
      <c r="H573" s="18" t="s">
        <v>329</v>
      </c>
      <c r="I573" s="53">
        <v>32</v>
      </c>
      <c r="J573" s="54">
        <v>89.1</v>
      </c>
      <c r="K573" s="54">
        <v>2851.2</v>
      </c>
      <c r="L573" s="18" t="s">
        <v>330</v>
      </c>
      <c r="M573" s="18" t="s">
        <v>331</v>
      </c>
      <c r="N573" s="55">
        <v>46076</v>
      </c>
      <c r="O573" s="18" t="str">
        <f>IFERROR(VLOOKUP(A573,'[2]RELAÇÃO DE OC''S VMI MEC 030226'!$B:$P,15,FALSE),"-")</f>
        <v>-</v>
      </c>
      <c r="P573" s="56">
        <f t="shared" ca="1" si="25"/>
        <v>0</v>
      </c>
      <c r="Q573" s="18" t="str">
        <f t="shared" ca="1" si="26"/>
        <v>DENTRO DO PRAZO</v>
      </c>
      <c r="R573" s="19" t="s">
        <v>5645</v>
      </c>
    </row>
    <row r="574" spans="1:18" ht="12.75" thickBot="1" x14ac:dyDescent="0.25">
      <c r="A574" s="18" t="str">
        <f t="shared" si="24"/>
        <v>052204000221.23.01140</v>
      </c>
      <c r="B574" s="51" t="s">
        <v>5561</v>
      </c>
      <c r="C574" s="51" t="s">
        <v>416</v>
      </c>
      <c r="D574" s="58" t="s">
        <v>901</v>
      </c>
      <c r="E574" s="58" t="s">
        <v>5562</v>
      </c>
      <c r="F574" s="18" t="s">
        <v>328</v>
      </c>
      <c r="G574" s="52">
        <v>46030</v>
      </c>
      <c r="H574" s="18" t="s">
        <v>329</v>
      </c>
      <c r="I574" s="53">
        <v>64</v>
      </c>
      <c r="J574" s="54">
        <v>65.5</v>
      </c>
      <c r="K574" s="54">
        <v>4192</v>
      </c>
      <c r="L574" s="18" t="s">
        <v>330</v>
      </c>
      <c r="M574" s="18" t="s">
        <v>331</v>
      </c>
      <c r="N574" s="55">
        <v>46076</v>
      </c>
      <c r="O574" s="18" t="str">
        <f>IFERROR(VLOOKUP(A574,'[2]RELAÇÃO DE OC''S VMI MEC 030226'!$B:$P,15,FALSE),"-")</f>
        <v>-</v>
      </c>
      <c r="P574" s="56">
        <f t="shared" ca="1" si="25"/>
        <v>0</v>
      </c>
      <c r="Q574" s="18" t="str">
        <f t="shared" ca="1" si="26"/>
        <v>DENTRO DO PRAZO</v>
      </c>
      <c r="R574" s="19" t="s">
        <v>5645</v>
      </c>
    </row>
    <row r="575" spans="1:18" ht="12.75" thickBot="1" x14ac:dyDescent="0.25">
      <c r="A575" s="18" t="str">
        <f t="shared" si="24"/>
        <v>052204000321.23.01141</v>
      </c>
      <c r="B575" s="51" t="s">
        <v>5561</v>
      </c>
      <c r="C575" s="51" t="s">
        <v>354</v>
      </c>
      <c r="D575" s="58" t="s">
        <v>42</v>
      </c>
      <c r="E575" s="58" t="s">
        <v>5563</v>
      </c>
      <c r="F575" s="18" t="s">
        <v>328</v>
      </c>
      <c r="G575" s="52">
        <v>46030</v>
      </c>
      <c r="H575" s="18" t="s">
        <v>329</v>
      </c>
      <c r="I575" s="53">
        <v>32</v>
      </c>
      <c r="J575" s="54">
        <v>66.599999999999994</v>
      </c>
      <c r="K575" s="54">
        <v>2131.1999999999998</v>
      </c>
      <c r="L575" s="18" t="s">
        <v>330</v>
      </c>
      <c r="M575" s="18" t="s">
        <v>331</v>
      </c>
      <c r="N575" s="55">
        <v>46076</v>
      </c>
      <c r="O575" s="18" t="str">
        <f>IFERROR(VLOOKUP(A575,'[2]RELAÇÃO DE OC''S VMI MEC 030226'!$B:$P,15,FALSE),"-")</f>
        <v>-</v>
      </c>
      <c r="P575" s="56">
        <f t="shared" ca="1" si="25"/>
        <v>0</v>
      </c>
      <c r="Q575" s="18" t="str">
        <f t="shared" ca="1" si="26"/>
        <v>DENTRO DO PRAZO</v>
      </c>
      <c r="R575" s="19" t="s">
        <v>5645</v>
      </c>
    </row>
    <row r="576" spans="1:18" ht="12.75" thickBot="1" x14ac:dyDescent="0.25">
      <c r="A576" s="18" t="str">
        <f t="shared" si="24"/>
        <v>052204000421.23.01150</v>
      </c>
      <c r="B576" s="51" t="s">
        <v>5561</v>
      </c>
      <c r="C576" s="51" t="s">
        <v>417</v>
      </c>
      <c r="D576" s="58" t="s">
        <v>902</v>
      </c>
      <c r="E576" s="58" t="s">
        <v>5564</v>
      </c>
      <c r="F576" s="18" t="s">
        <v>328</v>
      </c>
      <c r="G576" s="52">
        <v>46030</v>
      </c>
      <c r="H576" s="18" t="s">
        <v>329</v>
      </c>
      <c r="I576" s="53">
        <v>32</v>
      </c>
      <c r="J576" s="54">
        <v>37.700000000000003</v>
      </c>
      <c r="K576" s="54">
        <v>1206.4000000000001</v>
      </c>
      <c r="L576" s="18" t="s">
        <v>330</v>
      </c>
      <c r="M576" s="18" t="s">
        <v>331</v>
      </c>
      <c r="N576" s="55">
        <v>46076</v>
      </c>
      <c r="O576" s="18" t="str">
        <f>IFERROR(VLOOKUP(A576,'[2]RELAÇÃO DE OC''S VMI MEC 030226'!$B:$P,15,FALSE),"-")</f>
        <v>-</v>
      </c>
      <c r="P576" s="56">
        <f t="shared" ca="1" si="25"/>
        <v>0</v>
      </c>
      <c r="Q576" s="18" t="str">
        <f t="shared" ca="1" si="26"/>
        <v>DENTRO DO PRAZO</v>
      </c>
      <c r="R576" s="19" t="s">
        <v>5645</v>
      </c>
    </row>
    <row r="577" spans="1:18" ht="12.75" thickBot="1" x14ac:dyDescent="0.25">
      <c r="A577" s="18" t="str">
        <f t="shared" si="24"/>
        <v>052204000521.23.01301</v>
      </c>
      <c r="B577" s="51" t="s">
        <v>5561</v>
      </c>
      <c r="C577" s="51" t="s">
        <v>355</v>
      </c>
      <c r="D577" s="58" t="s">
        <v>45</v>
      </c>
      <c r="E577" s="58" t="s">
        <v>46</v>
      </c>
      <c r="F577" s="18" t="s">
        <v>328</v>
      </c>
      <c r="G577" s="52">
        <v>46030</v>
      </c>
      <c r="H577" s="18" t="s">
        <v>329</v>
      </c>
      <c r="I577" s="53">
        <v>55</v>
      </c>
      <c r="J577" s="54">
        <v>10.15</v>
      </c>
      <c r="K577" s="54">
        <v>558.25</v>
      </c>
      <c r="L577" s="18" t="s">
        <v>330</v>
      </c>
      <c r="M577" s="18" t="s">
        <v>331</v>
      </c>
      <c r="N577" s="55">
        <v>46076</v>
      </c>
      <c r="O577" s="18" t="str">
        <f>IFERROR(VLOOKUP(A577,'[2]RELAÇÃO DE OC''S VMI MEC 030226'!$B:$P,15,FALSE),"-")</f>
        <v>-</v>
      </c>
      <c r="P577" s="56">
        <f t="shared" ca="1" si="25"/>
        <v>0</v>
      </c>
      <c r="Q577" s="18" t="str">
        <f t="shared" ca="1" si="26"/>
        <v>DENTRO DO PRAZO</v>
      </c>
      <c r="R577" s="19" t="s">
        <v>5645</v>
      </c>
    </row>
    <row r="578" spans="1:18" ht="12.75" thickBot="1" x14ac:dyDescent="0.25">
      <c r="A578" s="18" t="str">
        <f t="shared" ref="A578:A641" si="27">B578&amp;C578&amp;D578</f>
        <v>052204000621.23.01302</v>
      </c>
      <c r="B578" s="51" t="s">
        <v>5561</v>
      </c>
      <c r="C578" s="51" t="s">
        <v>327</v>
      </c>
      <c r="D578" s="58" t="s">
        <v>47</v>
      </c>
      <c r="E578" s="58" t="s">
        <v>48</v>
      </c>
      <c r="F578" s="18" t="s">
        <v>328</v>
      </c>
      <c r="G578" s="52">
        <v>46030</v>
      </c>
      <c r="H578" s="18" t="s">
        <v>329</v>
      </c>
      <c r="I578" s="53">
        <v>55</v>
      </c>
      <c r="J578" s="54">
        <v>4.8</v>
      </c>
      <c r="K578" s="54">
        <v>264</v>
      </c>
      <c r="L578" s="18" t="s">
        <v>330</v>
      </c>
      <c r="M578" s="18" t="s">
        <v>331</v>
      </c>
      <c r="N578" s="55">
        <v>46076</v>
      </c>
      <c r="O578" s="18" t="str">
        <f>IFERROR(VLOOKUP(A578,'[2]RELAÇÃO DE OC''S VMI MEC 030226'!$B:$P,15,FALSE),"-")</f>
        <v>-</v>
      </c>
      <c r="P578" s="56">
        <f t="shared" ref="P578:P641" ca="1" si="28">TODAY()-N578</f>
        <v>0</v>
      </c>
      <c r="Q578" s="18" t="str">
        <f t="shared" ref="Q578:Q641" ca="1" si="29">IF(P578&gt;0,"ATRASADO","DENTRO DO PRAZO")</f>
        <v>DENTRO DO PRAZO</v>
      </c>
      <c r="R578" s="19" t="s">
        <v>5645</v>
      </c>
    </row>
    <row r="579" spans="1:18" ht="12.75" thickBot="1" x14ac:dyDescent="0.25">
      <c r="A579" s="18" t="str">
        <f t="shared" si="27"/>
        <v>052204000721.23.01312</v>
      </c>
      <c r="B579" s="51" t="s">
        <v>5561</v>
      </c>
      <c r="C579" s="51" t="s">
        <v>360</v>
      </c>
      <c r="D579" s="58" t="s">
        <v>49</v>
      </c>
      <c r="E579" s="58" t="s">
        <v>5565</v>
      </c>
      <c r="F579" s="18" t="s">
        <v>328</v>
      </c>
      <c r="G579" s="52">
        <v>46030</v>
      </c>
      <c r="H579" s="18" t="s">
        <v>329</v>
      </c>
      <c r="I579" s="53">
        <v>288</v>
      </c>
      <c r="J579" s="54">
        <v>96.5</v>
      </c>
      <c r="K579" s="54">
        <v>27792</v>
      </c>
      <c r="L579" s="18" t="s">
        <v>330</v>
      </c>
      <c r="M579" s="18" t="s">
        <v>331</v>
      </c>
      <c r="N579" s="55">
        <v>46076</v>
      </c>
      <c r="O579" s="18" t="str">
        <f>IFERROR(VLOOKUP(A579,'[2]RELAÇÃO DE OC''S VMI MEC 030226'!$B:$P,15,FALSE),"-")</f>
        <v>-</v>
      </c>
      <c r="P579" s="56">
        <f t="shared" ca="1" si="28"/>
        <v>0</v>
      </c>
      <c r="Q579" s="18" t="str">
        <f t="shared" ca="1" si="29"/>
        <v>DENTRO DO PRAZO</v>
      </c>
      <c r="R579" s="19" t="s">
        <v>5645</v>
      </c>
    </row>
    <row r="580" spans="1:18" ht="12.75" thickBot="1" x14ac:dyDescent="0.25">
      <c r="A580" s="18" t="str">
        <f t="shared" si="27"/>
        <v>052204000821.23.01313</v>
      </c>
      <c r="B580" s="51" t="s">
        <v>5561</v>
      </c>
      <c r="C580" s="51" t="s">
        <v>361</v>
      </c>
      <c r="D580" s="58" t="s">
        <v>50</v>
      </c>
      <c r="E580" s="58" t="s">
        <v>5566</v>
      </c>
      <c r="F580" s="18" t="s">
        <v>328</v>
      </c>
      <c r="G580" s="52">
        <v>46030</v>
      </c>
      <c r="H580" s="18" t="s">
        <v>329</v>
      </c>
      <c r="I580" s="53">
        <v>57</v>
      </c>
      <c r="J580" s="54">
        <v>122.8</v>
      </c>
      <c r="K580" s="54">
        <v>6999.6</v>
      </c>
      <c r="L580" s="18" t="s">
        <v>330</v>
      </c>
      <c r="M580" s="18" t="s">
        <v>331</v>
      </c>
      <c r="N580" s="55">
        <v>46076</v>
      </c>
      <c r="O580" s="18" t="str">
        <f>IFERROR(VLOOKUP(A580,'[2]RELAÇÃO DE OC''S VMI MEC 030226'!$B:$P,15,FALSE),"-")</f>
        <v>-</v>
      </c>
      <c r="P580" s="56">
        <f t="shared" ca="1" si="28"/>
        <v>0</v>
      </c>
      <c r="Q580" s="18" t="str">
        <f t="shared" ca="1" si="29"/>
        <v>DENTRO DO PRAZO</v>
      </c>
      <c r="R580" s="19" t="s">
        <v>5645</v>
      </c>
    </row>
    <row r="581" spans="1:18" ht="12.75" thickBot="1" x14ac:dyDescent="0.25">
      <c r="A581" s="18" t="str">
        <f t="shared" si="27"/>
        <v>052204000921.23.01314</v>
      </c>
      <c r="B581" s="51" t="s">
        <v>5561</v>
      </c>
      <c r="C581" s="51" t="s">
        <v>359</v>
      </c>
      <c r="D581" s="58" t="s">
        <v>51</v>
      </c>
      <c r="E581" s="58" t="s">
        <v>52</v>
      </c>
      <c r="F581" s="18" t="s">
        <v>328</v>
      </c>
      <c r="G581" s="52">
        <v>46030</v>
      </c>
      <c r="H581" s="18" t="s">
        <v>329</v>
      </c>
      <c r="I581" s="53">
        <v>159</v>
      </c>
      <c r="J581" s="54">
        <v>128.30000000000001</v>
      </c>
      <c r="K581" s="54">
        <v>20399.7</v>
      </c>
      <c r="L581" s="18" t="s">
        <v>330</v>
      </c>
      <c r="M581" s="18" t="s">
        <v>331</v>
      </c>
      <c r="N581" s="55">
        <v>46076</v>
      </c>
      <c r="O581" s="18" t="str">
        <f>IFERROR(VLOOKUP(A581,'[2]RELAÇÃO DE OC''S VMI MEC 030226'!$B:$P,15,FALSE),"-")</f>
        <v>-</v>
      </c>
      <c r="P581" s="56">
        <f t="shared" ca="1" si="28"/>
        <v>0</v>
      </c>
      <c r="Q581" s="18" t="str">
        <f t="shared" ca="1" si="29"/>
        <v>DENTRO DO PRAZO</v>
      </c>
      <c r="R581" s="19" t="s">
        <v>5645</v>
      </c>
    </row>
    <row r="582" spans="1:18" ht="12.75" thickBot="1" x14ac:dyDescent="0.25">
      <c r="A582" s="18" t="str">
        <f t="shared" si="27"/>
        <v>052204001021.23.01315</v>
      </c>
      <c r="B582" s="51" t="s">
        <v>5561</v>
      </c>
      <c r="C582" s="51" t="s">
        <v>387</v>
      </c>
      <c r="D582" s="58" t="s">
        <v>53</v>
      </c>
      <c r="E582" s="58" t="s">
        <v>5567</v>
      </c>
      <c r="F582" s="18" t="s">
        <v>328</v>
      </c>
      <c r="G582" s="52">
        <v>46030</v>
      </c>
      <c r="H582" s="18" t="s">
        <v>329</v>
      </c>
      <c r="I582" s="53">
        <v>64</v>
      </c>
      <c r="J582" s="54">
        <v>132.5</v>
      </c>
      <c r="K582" s="54">
        <v>8480</v>
      </c>
      <c r="L582" s="18" t="s">
        <v>330</v>
      </c>
      <c r="M582" s="18" t="s">
        <v>331</v>
      </c>
      <c r="N582" s="55">
        <v>46076</v>
      </c>
      <c r="O582" s="18" t="str">
        <f>IFERROR(VLOOKUP(A582,'[2]RELAÇÃO DE OC''S VMI MEC 030226'!$B:$P,15,FALSE),"-")</f>
        <v>-</v>
      </c>
      <c r="P582" s="56">
        <f t="shared" ca="1" si="28"/>
        <v>0</v>
      </c>
      <c r="Q582" s="18" t="str">
        <f t="shared" ca="1" si="29"/>
        <v>DENTRO DO PRAZO</v>
      </c>
      <c r="R582" s="19" t="s">
        <v>5645</v>
      </c>
    </row>
    <row r="583" spans="1:18" ht="12.75" thickBot="1" x14ac:dyDescent="0.25">
      <c r="A583" s="18" t="str">
        <f t="shared" si="27"/>
        <v>052204001121.23.01317</v>
      </c>
      <c r="B583" s="51" t="s">
        <v>5561</v>
      </c>
      <c r="C583" s="51" t="s">
        <v>332</v>
      </c>
      <c r="D583" s="58" t="s">
        <v>451</v>
      </c>
      <c r="E583" s="58" t="s">
        <v>5568</v>
      </c>
      <c r="F583" s="18" t="s">
        <v>328</v>
      </c>
      <c r="G583" s="52">
        <v>46030</v>
      </c>
      <c r="H583" s="18" t="s">
        <v>329</v>
      </c>
      <c r="I583" s="53">
        <v>127</v>
      </c>
      <c r="J583" s="54">
        <v>94</v>
      </c>
      <c r="K583" s="54">
        <v>11938</v>
      </c>
      <c r="L583" s="18" t="s">
        <v>330</v>
      </c>
      <c r="M583" s="18" t="s">
        <v>331</v>
      </c>
      <c r="N583" s="55">
        <v>46076</v>
      </c>
      <c r="O583" s="18" t="str">
        <f>IFERROR(VLOOKUP(A583,'[2]RELAÇÃO DE OC''S VMI MEC 030226'!$B:$P,15,FALSE),"-")</f>
        <v>-</v>
      </c>
      <c r="P583" s="56">
        <f t="shared" ca="1" si="28"/>
        <v>0</v>
      </c>
      <c r="Q583" s="18" t="str">
        <f t="shared" ca="1" si="29"/>
        <v>DENTRO DO PRAZO</v>
      </c>
      <c r="R583" s="19" t="s">
        <v>5645</v>
      </c>
    </row>
    <row r="584" spans="1:18" ht="12.75" thickBot="1" x14ac:dyDescent="0.25">
      <c r="A584" s="18" t="str">
        <f t="shared" si="27"/>
        <v>052204001221.23.01319</v>
      </c>
      <c r="B584" s="51" t="s">
        <v>5561</v>
      </c>
      <c r="C584" s="51" t="s">
        <v>362</v>
      </c>
      <c r="D584" s="58" t="s">
        <v>452</v>
      </c>
      <c r="E584" s="58" t="s">
        <v>5569</v>
      </c>
      <c r="F584" s="18" t="s">
        <v>328</v>
      </c>
      <c r="G584" s="52">
        <v>46030</v>
      </c>
      <c r="H584" s="18" t="s">
        <v>329</v>
      </c>
      <c r="I584" s="53">
        <v>192</v>
      </c>
      <c r="J584" s="54">
        <v>97.5</v>
      </c>
      <c r="K584" s="54">
        <v>18720</v>
      </c>
      <c r="L584" s="18" t="s">
        <v>330</v>
      </c>
      <c r="M584" s="18" t="s">
        <v>331</v>
      </c>
      <c r="N584" s="55">
        <v>46076</v>
      </c>
      <c r="O584" s="18" t="str">
        <f>IFERROR(VLOOKUP(A584,'[2]RELAÇÃO DE OC''S VMI MEC 030226'!$B:$P,15,FALSE),"-")</f>
        <v>-</v>
      </c>
      <c r="P584" s="56">
        <f t="shared" ca="1" si="28"/>
        <v>0</v>
      </c>
      <c r="Q584" s="18" t="str">
        <f t="shared" ca="1" si="29"/>
        <v>DENTRO DO PRAZO</v>
      </c>
      <c r="R584" s="19" t="s">
        <v>5645</v>
      </c>
    </row>
    <row r="585" spans="1:18" ht="12.75" thickBot="1" x14ac:dyDescent="0.25">
      <c r="A585" s="18" t="str">
        <f t="shared" si="27"/>
        <v>052204001321.23.01320</v>
      </c>
      <c r="B585" s="51" t="s">
        <v>5561</v>
      </c>
      <c r="C585" s="51" t="s">
        <v>333</v>
      </c>
      <c r="D585" s="58" t="s">
        <v>453</v>
      </c>
      <c r="E585" s="58" t="s">
        <v>5570</v>
      </c>
      <c r="F585" s="18" t="s">
        <v>328</v>
      </c>
      <c r="G585" s="52">
        <v>46030</v>
      </c>
      <c r="H585" s="18" t="s">
        <v>329</v>
      </c>
      <c r="I585" s="53">
        <v>64</v>
      </c>
      <c r="J585" s="54">
        <v>129.30000000000001</v>
      </c>
      <c r="K585" s="54">
        <v>8275.2000000000007</v>
      </c>
      <c r="L585" s="18" t="s">
        <v>330</v>
      </c>
      <c r="M585" s="18" t="s">
        <v>331</v>
      </c>
      <c r="N585" s="55">
        <v>46076</v>
      </c>
      <c r="O585" s="18" t="str">
        <f>IFERROR(VLOOKUP(A585,'[2]RELAÇÃO DE OC''S VMI MEC 030226'!$B:$P,15,FALSE),"-")</f>
        <v>-</v>
      </c>
      <c r="P585" s="56">
        <f t="shared" ca="1" si="28"/>
        <v>0</v>
      </c>
      <c r="Q585" s="18" t="str">
        <f t="shared" ca="1" si="29"/>
        <v>DENTRO DO PRAZO</v>
      </c>
      <c r="R585" s="19" t="s">
        <v>5645</v>
      </c>
    </row>
    <row r="586" spans="1:18" ht="12.75" thickBot="1" x14ac:dyDescent="0.25">
      <c r="A586" s="18" t="str">
        <f t="shared" si="27"/>
        <v>052204001421.23.01323</v>
      </c>
      <c r="B586" s="51" t="s">
        <v>5561</v>
      </c>
      <c r="C586" s="51" t="s">
        <v>388</v>
      </c>
      <c r="D586" s="58" t="s">
        <v>54</v>
      </c>
      <c r="E586" s="58" t="s">
        <v>5571</v>
      </c>
      <c r="F586" s="18" t="s">
        <v>328</v>
      </c>
      <c r="G586" s="52">
        <v>46030</v>
      </c>
      <c r="H586" s="18" t="s">
        <v>329</v>
      </c>
      <c r="I586" s="53">
        <v>32</v>
      </c>
      <c r="J586" s="54">
        <v>67.95</v>
      </c>
      <c r="K586" s="54">
        <v>2174.4</v>
      </c>
      <c r="L586" s="18" t="s">
        <v>330</v>
      </c>
      <c r="M586" s="18" t="s">
        <v>331</v>
      </c>
      <c r="N586" s="55">
        <v>46076</v>
      </c>
      <c r="O586" s="18" t="str">
        <f>IFERROR(VLOOKUP(A586,'[2]RELAÇÃO DE OC''S VMI MEC 030226'!$B:$P,15,FALSE),"-")</f>
        <v>-</v>
      </c>
      <c r="P586" s="56">
        <f t="shared" ca="1" si="28"/>
        <v>0</v>
      </c>
      <c r="Q586" s="18" t="str">
        <f t="shared" ca="1" si="29"/>
        <v>DENTRO DO PRAZO</v>
      </c>
      <c r="R586" s="19" t="s">
        <v>5645</v>
      </c>
    </row>
    <row r="587" spans="1:18" ht="12.75" thickBot="1" x14ac:dyDescent="0.25">
      <c r="A587" s="18" t="str">
        <f t="shared" si="27"/>
        <v>052204001521.23.01324</v>
      </c>
      <c r="B587" s="51" t="s">
        <v>5561</v>
      </c>
      <c r="C587" s="51" t="s">
        <v>439</v>
      </c>
      <c r="D587" s="58" t="s">
        <v>903</v>
      </c>
      <c r="E587" s="58" t="s">
        <v>904</v>
      </c>
      <c r="F587" s="18" t="s">
        <v>328</v>
      </c>
      <c r="G587" s="52">
        <v>46030</v>
      </c>
      <c r="H587" s="18" t="s">
        <v>329</v>
      </c>
      <c r="I587" s="53">
        <v>32</v>
      </c>
      <c r="J587" s="54">
        <v>73.400000000000006</v>
      </c>
      <c r="K587" s="54">
        <v>2348.8000000000002</v>
      </c>
      <c r="L587" s="18" t="s">
        <v>330</v>
      </c>
      <c r="M587" s="18" t="s">
        <v>331</v>
      </c>
      <c r="N587" s="55">
        <v>46076</v>
      </c>
      <c r="O587" s="18" t="str">
        <f>IFERROR(VLOOKUP(A587,'[2]RELAÇÃO DE OC''S VMI MEC 030226'!$B:$P,15,FALSE),"-")</f>
        <v>-</v>
      </c>
      <c r="P587" s="56">
        <f t="shared" ca="1" si="28"/>
        <v>0</v>
      </c>
      <c r="Q587" s="18" t="str">
        <f t="shared" ca="1" si="29"/>
        <v>DENTRO DO PRAZO</v>
      </c>
      <c r="R587" s="19" t="s">
        <v>5645</v>
      </c>
    </row>
    <row r="588" spans="1:18" ht="12.75" thickBot="1" x14ac:dyDescent="0.25">
      <c r="A588" s="18" t="str">
        <f t="shared" si="27"/>
        <v>052204001621.23.01329</v>
      </c>
      <c r="B588" s="51" t="s">
        <v>5561</v>
      </c>
      <c r="C588" s="51" t="s">
        <v>440</v>
      </c>
      <c r="D588" s="58" t="s">
        <v>55</v>
      </c>
      <c r="E588" s="58" t="s">
        <v>56</v>
      </c>
      <c r="F588" s="18" t="s">
        <v>328</v>
      </c>
      <c r="G588" s="52">
        <v>46030</v>
      </c>
      <c r="H588" s="18" t="s">
        <v>329</v>
      </c>
      <c r="I588" s="53">
        <v>32</v>
      </c>
      <c r="J588" s="54">
        <v>80.400000000000006</v>
      </c>
      <c r="K588" s="54">
        <v>2572.8000000000002</v>
      </c>
      <c r="L588" s="18" t="s">
        <v>330</v>
      </c>
      <c r="M588" s="18" t="s">
        <v>331</v>
      </c>
      <c r="N588" s="55">
        <v>46076</v>
      </c>
      <c r="O588" s="18" t="str">
        <f>IFERROR(VLOOKUP(A588,'[2]RELAÇÃO DE OC''S VMI MEC 030226'!$B:$P,15,FALSE),"-")</f>
        <v>-</v>
      </c>
      <c r="P588" s="56">
        <f t="shared" ca="1" si="28"/>
        <v>0</v>
      </c>
      <c r="Q588" s="18" t="str">
        <f t="shared" ca="1" si="29"/>
        <v>DENTRO DO PRAZO</v>
      </c>
      <c r="R588" s="19" t="s">
        <v>5645</v>
      </c>
    </row>
    <row r="589" spans="1:18" ht="12.75" thickBot="1" x14ac:dyDescent="0.25">
      <c r="A589" s="18" t="str">
        <f t="shared" si="27"/>
        <v>052204001721.23.01330</v>
      </c>
      <c r="B589" s="51" t="s">
        <v>5561</v>
      </c>
      <c r="C589" s="51" t="s">
        <v>351</v>
      </c>
      <c r="D589" s="58" t="s">
        <v>454</v>
      </c>
      <c r="E589" s="58" t="s">
        <v>5572</v>
      </c>
      <c r="F589" s="18" t="s">
        <v>328</v>
      </c>
      <c r="G589" s="52">
        <v>46030</v>
      </c>
      <c r="H589" s="18" t="s">
        <v>329</v>
      </c>
      <c r="I589" s="53">
        <v>32</v>
      </c>
      <c r="J589" s="54">
        <v>104.6</v>
      </c>
      <c r="K589" s="54">
        <v>3347.2</v>
      </c>
      <c r="L589" s="18" t="s">
        <v>330</v>
      </c>
      <c r="M589" s="18" t="s">
        <v>331</v>
      </c>
      <c r="N589" s="55">
        <v>46076</v>
      </c>
      <c r="O589" s="18" t="str">
        <f>IFERROR(VLOOKUP(A589,'[2]RELAÇÃO DE OC''S VMI MEC 030226'!$B:$P,15,FALSE),"-")</f>
        <v>-</v>
      </c>
      <c r="P589" s="56">
        <f t="shared" ca="1" si="28"/>
        <v>0</v>
      </c>
      <c r="Q589" s="18" t="str">
        <f t="shared" ca="1" si="29"/>
        <v>DENTRO DO PRAZO</v>
      </c>
      <c r="R589" s="19" t="s">
        <v>5645</v>
      </c>
    </row>
    <row r="590" spans="1:18" ht="12.75" thickBot="1" x14ac:dyDescent="0.25">
      <c r="A590" s="18" t="str">
        <f t="shared" si="27"/>
        <v>052204001821.23.01331</v>
      </c>
      <c r="B590" s="51" t="s">
        <v>5561</v>
      </c>
      <c r="C590" s="51" t="s">
        <v>363</v>
      </c>
      <c r="D590" s="58" t="s">
        <v>57</v>
      </c>
      <c r="E590" s="58" t="s">
        <v>58</v>
      </c>
      <c r="F590" s="18" t="s">
        <v>328</v>
      </c>
      <c r="G590" s="52">
        <v>46030</v>
      </c>
      <c r="H590" s="18" t="s">
        <v>329</v>
      </c>
      <c r="I590" s="53">
        <v>80</v>
      </c>
      <c r="J590" s="54">
        <v>120.5</v>
      </c>
      <c r="K590" s="54">
        <v>9640</v>
      </c>
      <c r="L590" s="18" t="s">
        <v>330</v>
      </c>
      <c r="M590" s="18" t="s">
        <v>331</v>
      </c>
      <c r="N590" s="55">
        <v>46076</v>
      </c>
      <c r="O590" s="18" t="str">
        <f>IFERROR(VLOOKUP(A590,'[2]RELAÇÃO DE OC''S VMI MEC 030226'!$B:$P,15,FALSE),"-")</f>
        <v>-</v>
      </c>
      <c r="P590" s="56">
        <f t="shared" ca="1" si="28"/>
        <v>0</v>
      </c>
      <c r="Q590" s="18" t="str">
        <f t="shared" ca="1" si="29"/>
        <v>DENTRO DO PRAZO</v>
      </c>
      <c r="R590" s="19" t="s">
        <v>5645</v>
      </c>
    </row>
    <row r="591" spans="1:18" ht="12.75" thickBot="1" x14ac:dyDescent="0.25">
      <c r="A591" s="18" t="str">
        <f t="shared" si="27"/>
        <v>052204001921.23.01335</v>
      </c>
      <c r="B591" s="51" t="s">
        <v>5561</v>
      </c>
      <c r="C591" s="51" t="s">
        <v>334</v>
      </c>
      <c r="D591" s="58" t="s">
        <v>905</v>
      </c>
      <c r="E591" s="58" t="s">
        <v>5573</v>
      </c>
      <c r="F591" s="18" t="s">
        <v>328</v>
      </c>
      <c r="G591" s="52">
        <v>46030</v>
      </c>
      <c r="H591" s="18" t="s">
        <v>329</v>
      </c>
      <c r="I591" s="53">
        <v>64</v>
      </c>
      <c r="J591" s="54">
        <v>6.35</v>
      </c>
      <c r="K591" s="54">
        <v>406.4</v>
      </c>
      <c r="L591" s="18" t="s">
        <v>330</v>
      </c>
      <c r="M591" s="18" t="s">
        <v>331</v>
      </c>
      <c r="N591" s="55">
        <v>46076</v>
      </c>
      <c r="O591" s="18" t="str">
        <f>IFERROR(VLOOKUP(A591,'[2]RELAÇÃO DE OC''S VMI MEC 030226'!$B:$P,15,FALSE),"-")</f>
        <v>-</v>
      </c>
      <c r="P591" s="56">
        <f t="shared" ca="1" si="28"/>
        <v>0</v>
      </c>
      <c r="Q591" s="18" t="str">
        <f t="shared" ca="1" si="29"/>
        <v>DENTRO DO PRAZO</v>
      </c>
      <c r="R591" s="19" t="s">
        <v>5645</v>
      </c>
    </row>
    <row r="592" spans="1:18" ht="12.75" thickBot="1" x14ac:dyDescent="0.25">
      <c r="A592" s="18" t="str">
        <f t="shared" si="27"/>
        <v>052204002021.23.01336</v>
      </c>
      <c r="B592" s="51" t="s">
        <v>5561</v>
      </c>
      <c r="C592" s="51" t="s">
        <v>418</v>
      </c>
      <c r="D592" s="58" t="s">
        <v>2921</v>
      </c>
      <c r="E592" s="58" t="s">
        <v>5574</v>
      </c>
      <c r="F592" s="18" t="s">
        <v>328</v>
      </c>
      <c r="G592" s="52">
        <v>46030</v>
      </c>
      <c r="H592" s="18" t="s">
        <v>329</v>
      </c>
      <c r="I592" s="53">
        <v>32</v>
      </c>
      <c r="J592" s="54">
        <v>145.15</v>
      </c>
      <c r="K592" s="54">
        <v>4644.8</v>
      </c>
      <c r="L592" s="18" t="s">
        <v>330</v>
      </c>
      <c r="M592" s="18" t="s">
        <v>331</v>
      </c>
      <c r="N592" s="55">
        <v>46076</v>
      </c>
      <c r="O592" s="18" t="str">
        <f>IFERROR(VLOOKUP(A592,'[2]RELAÇÃO DE OC''S VMI MEC 030226'!$B:$P,15,FALSE),"-")</f>
        <v>-</v>
      </c>
      <c r="P592" s="56">
        <f t="shared" ca="1" si="28"/>
        <v>0</v>
      </c>
      <c r="Q592" s="18" t="str">
        <f t="shared" ca="1" si="29"/>
        <v>DENTRO DO PRAZO</v>
      </c>
      <c r="R592" s="19" t="s">
        <v>5645</v>
      </c>
    </row>
    <row r="593" spans="1:18" ht="12.75" thickBot="1" x14ac:dyDescent="0.25">
      <c r="A593" s="18" t="str">
        <f t="shared" si="27"/>
        <v>052204002121.23.01451</v>
      </c>
      <c r="B593" s="51" t="s">
        <v>5561</v>
      </c>
      <c r="C593" s="51" t="s">
        <v>389</v>
      </c>
      <c r="D593" s="58" t="s">
        <v>455</v>
      </c>
      <c r="E593" s="58" t="s">
        <v>906</v>
      </c>
      <c r="F593" s="18" t="s">
        <v>328</v>
      </c>
      <c r="G593" s="52">
        <v>46030</v>
      </c>
      <c r="H593" s="18" t="s">
        <v>329</v>
      </c>
      <c r="I593" s="53">
        <v>16</v>
      </c>
      <c r="J593" s="54">
        <v>10.6</v>
      </c>
      <c r="K593" s="54">
        <v>169.6</v>
      </c>
      <c r="L593" s="18" t="s">
        <v>330</v>
      </c>
      <c r="M593" s="18" t="s">
        <v>331</v>
      </c>
      <c r="N593" s="55">
        <v>46076</v>
      </c>
      <c r="O593" s="18" t="str">
        <f>IFERROR(VLOOKUP(A593,'[2]RELAÇÃO DE OC''S VMI MEC 030226'!$B:$P,15,FALSE),"-")</f>
        <v>-</v>
      </c>
      <c r="P593" s="56">
        <f t="shared" ca="1" si="28"/>
        <v>0</v>
      </c>
      <c r="Q593" s="18" t="str">
        <f t="shared" ca="1" si="29"/>
        <v>DENTRO DO PRAZO</v>
      </c>
      <c r="R593" s="19" t="s">
        <v>5645</v>
      </c>
    </row>
    <row r="594" spans="1:18" ht="12.75" thickBot="1" x14ac:dyDescent="0.25">
      <c r="A594" s="18" t="str">
        <f t="shared" si="27"/>
        <v>052204002221.23.01468</v>
      </c>
      <c r="B594" s="51" t="s">
        <v>5561</v>
      </c>
      <c r="C594" s="51" t="s">
        <v>390</v>
      </c>
      <c r="D594" s="58" t="s">
        <v>59</v>
      </c>
      <c r="E594" s="58" t="s">
        <v>60</v>
      </c>
      <c r="F594" s="18" t="s">
        <v>328</v>
      </c>
      <c r="G594" s="52">
        <v>46030</v>
      </c>
      <c r="H594" s="18" t="s">
        <v>329</v>
      </c>
      <c r="I594" s="53">
        <v>128</v>
      </c>
      <c r="J594" s="54">
        <v>21.85</v>
      </c>
      <c r="K594" s="54">
        <v>2796.8</v>
      </c>
      <c r="L594" s="18" t="s">
        <v>330</v>
      </c>
      <c r="M594" s="18" t="s">
        <v>331</v>
      </c>
      <c r="N594" s="55">
        <v>46076</v>
      </c>
      <c r="O594" s="18" t="str">
        <f>IFERROR(VLOOKUP(A594,'[2]RELAÇÃO DE OC''S VMI MEC 030226'!$B:$P,15,FALSE),"-")</f>
        <v>-</v>
      </c>
      <c r="P594" s="56">
        <f t="shared" ca="1" si="28"/>
        <v>0</v>
      </c>
      <c r="Q594" s="18" t="str">
        <f t="shared" ca="1" si="29"/>
        <v>DENTRO DO PRAZO</v>
      </c>
      <c r="R594" s="19" t="s">
        <v>5645</v>
      </c>
    </row>
    <row r="595" spans="1:18" ht="12.75" thickBot="1" x14ac:dyDescent="0.25">
      <c r="A595" s="18" t="str">
        <f t="shared" si="27"/>
        <v>052204002321.23.01612</v>
      </c>
      <c r="B595" s="51" t="s">
        <v>5561</v>
      </c>
      <c r="C595" s="51" t="s">
        <v>364</v>
      </c>
      <c r="D595" s="58" t="s">
        <v>718</v>
      </c>
      <c r="E595" s="58" t="s">
        <v>722</v>
      </c>
      <c r="F595" s="18" t="s">
        <v>328</v>
      </c>
      <c r="G595" s="52">
        <v>46030</v>
      </c>
      <c r="H595" s="18" t="s">
        <v>329</v>
      </c>
      <c r="I595" s="53">
        <v>520</v>
      </c>
      <c r="J595" s="54">
        <v>9.8000000000000007</v>
      </c>
      <c r="K595" s="54">
        <v>5096</v>
      </c>
      <c r="L595" s="18" t="s">
        <v>330</v>
      </c>
      <c r="M595" s="18" t="s">
        <v>331</v>
      </c>
      <c r="N595" s="55">
        <v>46076</v>
      </c>
      <c r="O595" s="18" t="str">
        <f>IFERROR(VLOOKUP(A595,'[2]RELAÇÃO DE OC''S VMI MEC 030226'!$B:$P,15,FALSE),"-")</f>
        <v>-</v>
      </c>
      <c r="P595" s="56">
        <f t="shared" ca="1" si="28"/>
        <v>0</v>
      </c>
      <c r="Q595" s="18" t="str">
        <f t="shared" ca="1" si="29"/>
        <v>DENTRO DO PRAZO</v>
      </c>
      <c r="R595" s="19" t="s">
        <v>5645</v>
      </c>
    </row>
    <row r="596" spans="1:18" ht="12.75" thickBot="1" x14ac:dyDescent="0.25">
      <c r="A596" s="18" t="str">
        <f t="shared" si="27"/>
        <v>052204002421.23.02014</v>
      </c>
      <c r="B596" s="51" t="s">
        <v>5561</v>
      </c>
      <c r="C596" s="51" t="s">
        <v>365</v>
      </c>
      <c r="D596" s="58" t="s">
        <v>907</v>
      </c>
      <c r="E596" s="58" t="s">
        <v>5575</v>
      </c>
      <c r="F596" s="18" t="s">
        <v>328</v>
      </c>
      <c r="G596" s="52">
        <v>46030</v>
      </c>
      <c r="H596" s="18" t="s">
        <v>329</v>
      </c>
      <c r="I596" s="53">
        <v>128</v>
      </c>
      <c r="J596" s="54">
        <v>63.5</v>
      </c>
      <c r="K596" s="54">
        <v>8128</v>
      </c>
      <c r="L596" s="18" t="s">
        <v>330</v>
      </c>
      <c r="M596" s="18" t="s">
        <v>331</v>
      </c>
      <c r="N596" s="55">
        <v>46076</v>
      </c>
      <c r="O596" s="18" t="str">
        <f>IFERROR(VLOOKUP(A596,'[2]RELAÇÃO DE OC''S VMI MEC 030226'!$B:$P,15,FALSE),"-")</f>
        <v>-</v>
      </c>
      <c r="P596" s="56">
        <f t="shared" ca="1" si="28"/>
        <v>0</v>
      </c>
      <c r="Q596" s="18" t="str">
        <f t="shared" ca="1" si="29"/>
        <v>DENTRO DO PRAZO</v>
      </c>
      <c r="R596" s="19" t="s">
        <v>5645</v>
      </c>
    </row>
    <row r="597" spans="1:18" ht="12.75" thickBot="1" x14ac:dyDescent="0.25">
      <c r="A597" s="18" t="str">
        <f t="shared" si="27"/>
        <v>052204002521.23.02015</v>
      </c>
      <c r="B597" s="51" t="s">
        <v>5561</v>
      </c>
      <c r="C597" s="51" t="s">
        <v>441</v>
      </c>
      <c r="D597" s="58" t="s">
        <v>456</v>
      </c>
      <c r="E597" s="58" t="s">
        <v>457</v>
      </c>
      <c r="F597" s="18" t="s">
        <v>328</v>
      </c>
      <c r="G597" s="52">
        <v>46030</v>
      </c>
      <c r="H597" s="18" t="s">
        <v>329</v>
      </c>
      <c r="I597" s="53">
        <v>128</v>
      </c>
      <c r="J597" s="54">
        <v>165.2</v>
      </c>
      <c r="K597" s="54">
        <v>21145.599999999999</v>
      </c>
      <c r="L597" s="18" t="s">
        <v>330</v>
      </c>
      <c r="M597" s="18" t="s">
        <v>331</v>
      </c>
      <c r="N597" s="55">
        <v>46076</v>
      </c>
      <c r="O597" s="18" t="str">
        <f>IFERROR(VLOOKUP(A597,'[2]RELAÇÃO DE OC''S VMI MEC 030226'!$B:$P,15,FALSE),"-")</f>
        <v>-</v>
      </c>
      <c r="P597" s="56">
        <f t="shared" ca="1" si="28"/>
        <v>0</v>
      </c>
      <c r="Q597" s="18" t="str">
        <f t="shared" ca="1" si="29"/>
        <v>DENTRO DO PRAZO</v>
      </c>
      <c r="R597" s="19" t="s">
        <v>5645</v>
      </c>
    </row>
    <row r="598" spans="1:18" ht="12.75" thickBot="1" x14ac:dyDescent="0.25">
      <c r="A598" s="18" t="str">
        <f t="shared" si="27"/>
        <v>052204002621.23.02016</v>
      </c>
      <c r="B598" s="51" t="s">
        <v>5561</v>
      </c>
      <c r="C598" s="51" t="s">
        <v>366</v>
      </c>
      <c r="D598" s="58" t="s">
        <v>908</v>
      </c>
      <c r="E598" s="58" t="s">
        <v>5576</v>
      </c>
      <c r="F598" s="18" t="s">
        <v>328</v>
      </c>
      <c r="G598" s="52">
        <v>46030</v>
      </c>
      <c r="H598" s="18" t="s">
        <v>329</v>
      </c>
      <c r="I598" s="53">
        <v>32</v>
      </c>
      <c r="J598" s="54">
        <v>155</v>
      </c>
      <c r="K598" s="54">
        <v>4960</v>
      </c>
      <c r="L598" s="18" t="s">
        <v>330</v>
      </c>
      <c r="M598" s="18" t="s">
        <v>331</v>
      </c>
      <c r="N598" s="55">
        <v>46076</v>
      </c>
      <c r="O598" s="18" t="str">
        <f>IFERROR(VLOOKUP(A598,'[2]RELAÇÃO DE OC''S VMI MEC 030226'!$B:$P,15,FALSE),"-")</f>
        <v>-</v>
      </c>
      <c r="P598" s="56">
        <f t="shared" ca="1" si="28"/>
        <v>0</v>
      </c>
      <c r="Q598" s="18" t="str">
        <f t="shared" ca="1" si="29"/>
        <v>DENTRO DO PRAZO</v>
      </c>
      <c r="R598" s="19" t="s">
        <v>5645</v>
      </c>
    </row>
    <row r="599" spans="1:18" ht="12.75" thickBot="1" x14ac:dyDescent="0.25">
      <c r="A599" s="18" t="str">
        <f t="shared" si="27"/>
        <v>052204002721.23.02018</v>
      </c>
      <c r="B599" s="51" t="s">
        <v>5561</v>
      </c>
      <c r="C599" s="51" t="s">
        <v>367</v>
      </c>
      <c r="D599" s="58" t="s">
        <v>909</v>
      </c>
      <c r="E599" s="58" t="s">
        <v>910</v>
      </c>
      <c r="F599" s="18" t="s">
        <v>328</v>
      </c>
      <c r="G599" s="52">
        <v>46030</v>
      </c>
      <c r="H599" s="18" t="s">
        <v>329</v>
      </c>
      <c r="I599" s="53">
        <v>32</v>
      </c>
      <c r="J599" s="54">
        <v>112.9</v>
      </c>
      <c r="K599" s="54">
        <v>3612.8</v>
      </c>
      <c r="L599" s="18" t="s">
        <v>330</v>
      </c>
      <c r="M599" s="18" t="s">
        <v>331</v>
      </c>
      <c r="N599" s="55">
        <v>46076</v>
      </c>
      <c r="O599" s="18" t="str">
        <f>IFERROR(VLOOKUP(A599,'[2]RELAÇÃO DE OC''S VMI MEC 030226'!$B:$P,15,FALSE),"-")</f>
        <v>-</v>
      </c>
      <c r="P599" s="56">
        <f t="shared" ca="1" si="28"/>
        <v>0</v>
      </c>
      <c r="Q599" s="18" t="str">
        <f t="shared" ca="1" si="29"/>
        <v>DENTRO DO PRAZO</v>
      </c>
      <c r="R599" s="19" t="s">
        <v>5645</v>
      </c>
    </row>
    <row r="600" spans="1:18" ht="12.75" thickBot="1" x14ac:dyDescent="0.25">
      <c r="A600" s="18" t="str">
        <f t="shared" si="27"/>
        <v>052204002821.23.02019</v>
      </c>
      <c r="B600" s="51" t="s">
        <v>5561</v>
      </c>
      <c r="C600" s="51" t="s">
        <v>419</v>
      </c>
      <c r="D600" s="58" t="s">
        <v>62</v>
      </c>
      <c r="E600" s="58" t="s">
        <v>5577</v>
      </c>
      <c r="F600" s="18" t="s">
        <v>328</v>
      </c>
      <c r="G600" s="52">
        <v>46030</v>
      </c>
      <c r="H600" s="18" t="s">
        <v>329</v>
      </c>
      <c r="I600" s="53">
        <v>32</v>
      </c>
      <c r="J600" s="54">
        <v>21</v>
      </c>
      <c r="K600" s="54">
        <v>672</v>
      </c>
      <c r="L600" s="18" t="s">
        <v>330</v>
      </c>
      <c r="M600" s="18" t="s">
        <v>331</v>
      </c>
      <c r="N600" s="55">
        <v>46076</v>
      </c>
      <c r="O600" s="18" t="str">
        <f>IFERROR(VLOOKUP(A600,'[2]RELAÇÃO DE OC''S VMI MEC 030226'!$B:$P,15,FALSE),"-")</f>
        <v>-</v>
      </c>
      <c r="P600" s="56">
        <f t="shared" ca="1" si="28"/>
        <v>0</v>
      </c>
      <c r="Q600" s="18" t="str">
        <f t="shared" ca="1" si="29"/>
        <v>DENTRO DO PRAZO</v>
      </c>
      <c r="R600" s="19" t="s">
        <v>5645</v>
      </c>
    </row>
    <row r="601" spans="1:18" ht="12.75" thickBot="1" x14ac:dyDescent="0.25">
      <c r="A601" s="18" t="str">
        <f t="shared" si="27"/>
        <v>052204002921.23.02021</v>
      </c>
      <c r="B601" s="51" t="s">
        <v>5561</v>
      </c>
      <c r="C601" s="51" t="s">
        <v>391</v>
      </c>
      <c r="D601" s="58" t="s">
        <v>2</v>
      </c>
      <c r="E601" s="58" t="s">
        <v>911</v>
      </c>
      <c r="F601" s="18" t="s">
        <v>328</v>
      </c>
      <c r="G601" s="52">
        <v>46030</v>
      </c>
      <c r="H601" s="18" t="s">
        <v>329</v>
      </c>
      <c r="I601" s="53">
        <v>128</v>
      </c>
      <c r="J601" s="54">
        <v>12.6</v>
      </c>
      <c r="K601" s="54">
        <v>1612.8</v>
      </c>
      <c r="L601" s="18" t="s">
        <v>330</v>
      </c>
      <c r="M601" s="18" t="s">
        <v>331</v>
      </c>
      <c r="N601" s="55">
        <v>46076</v>
      </c>
      <c r="O601" s="18" t="str">
        <f>IFERROR(VLOOKUP(A601,'[2]RELAÇÃO DE OC''S VMI MEC 030226'!$B:$P,15,FALSE),"-")</f>
        <v>-</v>
      </c>
      <c r="P601" s="56">
        <f t="shared" ca="1" si="28"/>
        <v>0</v>
      </c>
      <c r="Q601" s="18" t="str">
        <f t="shared" ca="1" si="29"/>
        <v>DENTRO DO PRAZO</v>
      </c>
      <c r="R601" s="19" t="s">
        <v>5645</v>
      </c>
    </row>
    <row r="602" spans="1:18" ht="12.75" thickBot="1" x14ac:dyDescent="0.25">
      <c r="A602" s="18" t="str">
        <f t="shared" si="27"/>
        <v>052204003021.23.02784</v>
      </c>
      <c r="B602" s="51" t="s">
        <v>5561</v>
      </c>
      <c r="C602" s="51" t="s">
        <v>392</v>
      </c>
      <c r="D602" s="58" t="s">
        <v>77</v>
      </c>
      <c r="E602" s="58" t="s">
        <v>78</v>
      </c>
      <c r="F602" s="18" t="s">
        <v>328</v>
      </c>
      <c r="G602" s="52">
        <v>46030</v>
      </c>
      <c r="H602" s="18" t="s">
        <v>329</v>
      </c>
      <c r="I602" s="53">
        <v>28</v>
      </c>
      <c r="J602" s="54">
        <v>826.5</v>
      </c>
      <c r="K602" s="54">
        <v>23142</v>
      </c>
      <c r="L602" s="18" t="s">
        <v>330</v>
      </c>
      <c r="M602" s="18" t="s">
        <v>331</v>
      </c>
      <c r="N602" s="55">
        <v>46076</v>
      </c>
      <c r="O602" s="18" t="str">
        <f>IFERROR(VLOOKUP(A602,'[2]RELAÇÃO DE OC''S VMI MEC 030226'!$B:$P,15,FALSE),"-")</f>
        <v>-</v>
      </c>
      <c r="P602" s="56">
        <f t="shared" ca="1" si="28"/>
        <v>0</v>
      </c>
      <c r="Q602" s="18" t="str">
        <f t="shared" ca="1" si="29"/>
        <v>DENTRO DO PRAZO</v>
      </c>
      <c r="R602" s="19" t="s">
        <v>5645</v>
      </c>
    </row>
    <row r="603" spans="1:18" ht="12.75" thickBot="1" x14ac:dyDescent="0.25">
      <c r="A603" s="18" t="str">
        <f t="shared" si="27"/>
        <v>052204003121.23.02785</v>
      </c>
      <c r="B603" s="51" t="s">
        <v>5561</v>
      </c>
      <c r="C603" s="51" t="s">
        <v>393</v>
      </c>
      <c r="D603" s="58" t="s">
        <v>79</v>
      </c>
      <c r="E603" s="58" t="s">
        <v>80</v>
      </c>
      <c r="F603" s="18" t="s">
        <v>328</v>
      </c>
      <c r="G603" s="52">
        <v>46030</v>
      </c>
      <c r="H603" s="18" t="s">
        <v>329</v>
      </c>
      <c r="I603" s="53">
        <v>34</v>
      </c>
      <c r="J603" s="54">
        <v>191.1</v>
      </c>
      <c r="K603" s="54">
        <v>6497.4</v>
      </c>
      <c r="L603" s="18" t="s">
        <v>330</v>
      </c>
      <c r="M603" s="18" t="s">
        <v>331</v>
      </c>
      <c r="N603" s="55">
        <v>46076</v>
      </c>
      <c r="O603" s="18" t="str">
        <f>IFERROR(VLOOKUP(A603,'[2]RELAÇÃO DE OC''S VMI MEC 030226'!$B:$P,15,FALSE),"-")</f>
        <v>-</v>
      </c>
      <c r="P603" s="56">
        <f t="shared" ca="1" si="28"/>
        <v>0</v>
      </c>
      <c r="Q603" s="18" t="str">
        <f t="shared" ca="1" si="29"/>
        <v>DENTRO DO PRAZO</v>
      </c>
      <c r="R603" s="19" t="s">
        <v>5645</v>
      </c>
    </row>
    <row r="604" spans="1:18" ht="12.75" thickBot="1" x14ac:dyDescent="0.25">
      <c r="A604" s="18" t="str">
        <f t="shared" si="27"/>
        <v>052204003221.23.02786</v>
      </c>
      <c r="B604" s="51" t="s">
        <v>5561</v>
      </c>
      <c r="C604" s="51" t="s">
        <v>420</v>
      </c>
      <c r="D604" s="58" t="s">
        <v>81</v>
      </c>
      <c r="E604" s="58" t="s">
        <v>82</v>
      </c>
      <c r="F604" s="18" t="s">
        <v>328</v>
      </c>
      <c r="G604" s="52">
        <v>46030</v>
      </c>
      <c r="H604" s="18" t="s">
        <v>329</v>
      </c>
      <c r="I604" s="53">
        <v>32</v>
      </c>
      <c r="J604" s="54">
        <v>189.6</v>
      </c>
      <c r="K604" s="54">
        <v>6067.2</v>
      </c>
      <c r="L604" s="18" t="s">
        <v>330</v>
      </c>
      <c r="M604" s="18" t="s">
        <v>331</v>
      </c>
      <c r="N604" s="55">
        <v>46076</v>
      </c>
      <c r="O604" s="18" t="str">
        <f>IFERROR(VLOOKUP(A604,'[2]RELAÇÃO DE OC''S VMI MEC 030226'!$B:$P,15,FALSE),"-")</f>
        <v>-</v>
      </c>
      <c r="P604" s="56">
        <f t="shared" ca="1" si="28"/>
        <v>0</v>
      </c>
      <c r="Q604" s="18" t="str">
        <f t="shared" ca="1" si="29"/>
        <v>DENTRO DO PRAZO</v>
      </c>
      <c r="R604" s="19" t="s">
        <v>5645</v>
      </c>
    </row>
    <row r="605" spans="1:18" ht="12.75" thickBot="1" x14ac:dyDescent="0.25">
      <c r="A605" s="18" t="str">
        <f t="shared" si="27"/>
        <v>052204003321.23.02787</v>
      </c>
      <c r="B605" s="51" t="s">
        <v>5561</v>
      </c>
      <c r="C605" s="51" t="s">
        <v>394</v>
      </c>
      <c r="D605" s="58" t="s">
        <v>83</v>
      </c>
      <c r="E605" s="58" t="s">
        <v>84</v>
      </c>
      <c r="F605" s="18" t="s">
        <v>328</v>
      </c>
      <c r="G605" s="52">
        <v>46030</v>
      </c>
      <c r="H605" s="18" t="s">
        <v>329</v>
      </c>
      <c r="I605" s="53">
        <v>31</v>
      </c>
      <c r="J605" s="54">
        <v>148.1</v>
      </c>
      <c r="K605" s="54">
        <v>4591.1000000000004</v>
      </c>
      <c r="L605" s="18" t="s">
        <v>330</v>
      </c>
      <c r="M605" s="18" t="s">
        <v>331</v>
      </c>
      <c r="N605" s="55">
        <v>46076</v>
      </c>
      <c r="O605" s="18" t="str">
        <f>IFERROR(VLOOKUP(A605,'[2]RELAÇÃO DE OC''S VMI MEC 030226'!$B:$P,15,FALSE),"-")</f>
        <v>-</v>
      </c>
      <c r="P605" s="56">
        <f t="shared" ca="1" si="28"/>
        <v>0</v>
      </c>
      <c r="Q605" s="18" t="str">
        <f t="shared" ca="1" si="29"/>
        <v>DENTRO DO PRAZO</v>
      </c>
      <c r="R605" s="19" t="s">
        <v>5645</v>
      </c>
    </row>
    <row r="606" spans="1:18" ht="12.75" thickBot="1" x14ac:dyDescent="0.25">
      <c r="A606" s="18" t="str">
        <f t="shared" si="27"/>
        <v>052204003421.23.02788</v>
      </c>
      <c r="B606" s="51" t="s">
        <v>5561</v>
      </c>
      <c r="C606" s="51" t="s">
        <v>356</v>
      </c>
      <c r="D606" s="58" t="s">
        <v>85</v>
      </c>
      <c r="E606" s="58" t="s">
        <v>86</v>
      </c>
      <c r="F606" s="18" t="s">
        <v>328</v>
      </c>
      <c r="G606" s="52">
        <v>46030</v>
      </c>
      <c r="H606" s="18" t="s">
        <v>329</v>
      </c>
      <c r="I606" s="53">
        <v>27</v>
      </c>
      <c r="J606" s="54">
        <v>179.9</v>
      </c>
      <c r="K606" s="54">
        <v>4857.3</v>
      </c>
      <c r="L606" s="18" t="s">
        <v>330</v>
      </c>
      <c r="M606" s="18" t="s">
        <v>331</v>
      </c>
      <c r="N606" s="55">
        <v>46076</v>
      </c>
      <c r="O606" s="18" t="str">
        <f>IFERROR(VLOOKUP(A606,'[2]RELAÇÃO DE OC''S VMI MEC 030226'!$B:$P,15,FALSE),"-")</f>
        <v>-</v>
      </c>
      <c r="P606" s="56">
        <f t="shared" ca="1" si="28"/>
        <v>0</v>
      </c>
      <c r="Q606" s="18" t="str">
        <f t="shared" ca="1" si="29"/>
        <v>DENTRO DO PRAZO</v>
      </c>
      <c r="R606" s="19" t="s">
        <v>5645</v>
      </c>
    </row>
    <row r="607" spans="1:18" ht="12.75" thickBot="1" x14ac:dyDescent="0.25">
      <c r="A607" s="18" t="str">
        <f t="shared" si="27"/>
        <v>052204003521.23.02789</v>
      </c>
      <c r="B607" s="51" t="s">
        <v>5561</v>
      </c>
      <c r="C607" s="51" t="s">
        <v>442</v>
      </c>
      <c r="D607" s="58" t="s">
        <v>87</v>
      </c>
      <c r="E607" s="58" t="s">
        <v>5578</v>
      </c>
      <c r="F607" s="18" t="s">
        <v>328</v>
      </c>
      <c r="G607" s="52">
        <v>46030</v>
      </c>
      <c r="H607" s="18" t="s">
        <v>329</v>
      </c>
      <c r="I607" s="53">
        <v>33</v>
      </c>
      <c r="J607" s="54">
        <v>189.85</v>
      </c>
      <c r="K607" s="54">
        <v>6265.05</v>
      </c>
      <c r="L607" s="18" t="s">
        <v>330</v>
      </c>
      <c r="M607" s="18" t="s">
        <v>331</v>
      </c>
      <c r="N607" s="55">
        <v>46076</v>
      </c>
      <c r="O607" s="18" t="str">
        <f>IFERROR(VLOOKUP(A607,'[2]RELAÇÃO DE OC''S VMI MEC 030226'!$B:$P,15,FALSE),"-")</f>
        <v>-</v>
      </c>
      <c r="P607" s="56">
        <f t="shared" ca="1" si="28"/>
        <v>0</v>
      </c>
      <c r="Q607" s="18" t="str">
        <f t="shared" ca="1" si="29"/>
        <v>DENTRO DO PRAZO</v>
      </c>
      <c r="R607" s="19" t="s">
        <v>5645</v>
      </c>
    </row>
    <row r="608" spans="1:18" ht="12.75" thickBot="1" x14ac:dyDescent="0.25">
      <c r="A608" s="18" t="str">
        <f t="shared" si="27"/>
        <v>052204003621.23.02790</v>
      </c>
      <c r="B608" s="51" t="s">
        <v>5561</v>
      </c>
      <c r="C608" s="51" t="s">
        <v>357</v>
      </c>
      <c r="D608" s="58" t="s">
        <v>88</v>
      </c>
      <c r="E608" s="58" t="s">
        <v>5579</v>
      </c>
      <c r="F608" s="18" t="s">
        <v>328</v>
      </c>
      <c r="G608" s="52">
        <v>46030</v>
      </c>
      <c r="H608" s="18" t="s">
        <v>329</v>
      </c>
      <c r="I608" s="53">
        <v>32</v>
      </c>
      <c r="J608" s="54">
        <v>141.6</v>
      </c>
      <c r="K608" s="54">
        <v>4531.2</v>
      </c>
      <c r="L608" s="18" t="s">
        <v>330</v>
      </c>
      <c r="M608" s="18" t="s">
        <v>331</v>
      </c>
      <c r="N608" s="55">
        <v>46076</v>
      </c>
      <c r="O608" s="18" t="str">
        <f>IFERROR(VLOOKUP(A608,'[2]RELAÇÃO DE OC''S VMI MEC 030226'!$B:$P,15,FALSE),"-")</f>
        <v>-</v>
      </c>
      <c r="P608" s="56">
        <f t="shared" ca="1" si="28"/>
        <v>0</v>
      </c>
      <c r="Q608" s="18" t="str">
        <f t="shared" ca="1" si="29"/>
        <v>DENTRO DO PRAZO</v>
      </c>
      <c r="R608" s="19" t="s">
        <v>5645</v>
      </c>
    </row>
    <row r="609" spans="1:18" ht="12.75" thickBot="1" x14ac:dyDescent="0.25">
      <c r="A609" s="18" t="str">
        <f t="shared" si="27"/>
        <v>052204003721.23.02796</v>
      </c>
      <c r="B609" s="51" t="s">
        <v>5561</v>
      </c>
      <c r="C609" s="51" t="s">
        <v>352</v>
      </c>
      <c r="D609" s="58" t="s">
        <v>719</v>
      </c>
      <c r="E609" s="58" t="s">
        <v>5580</v>
      </c>
      <c r="F609" s="18" t="s">
        <v>328</v>
      </c>
      <c r="G609" s="52">
        <v>46030</v>
      </c>
      <c r="H609" s="18" t="s">
        <v>329</v>
      </c>
      <c r="I609" s="53">
        <v>32</v>
      </c>
      <c r="J609" s="54">
        <v>29.8</v>
      </c>
      <c r="K609" s="54">
        <v>953.6</v>
      </c>
      <c r="L609" s="18" t="s">
        <v>330</v>
      </c>
      <c r="M609" s="18" t="s">
        <v>331</v>
      </c>
      <c r="N609" s="55">
        <v>46076</v>
      </c>
      <c r="O609" s="18" t="str">
        <f>IFERROR(VLOOKUP(A609,'[2]RELAÇÃO DE OC''S VMI MEC 030226'!$B:$P,15,FALSE),"-")</f>
        <v>-</v>
      </c>
      <c r="P609" s="56">
        <f t="shared" ca="1" si="28"/>
        <v>0</v>
      </c>
      <c r="Q609" s="18" t="str">
        <f t="shared" ca="1" si="29"/>
        <v>DENTRO DO PRAZO</v>
      </c>
      <c r="R609" s="19" t="s">
        <v>5645</v>
      </c>
    </row>
    <row r="610" spans="1:18" ht="12.75" thickBot="1" x14ac:dyDescent="0.25">
      <c r="A610" s="18" t="str">
        <f t="shared" si="27"/>
        <v>052204003821.23.02797</v>
      </c>
      <c r="B610" s="51" t="s">
        <v>5561</v>
      </c>
      <c r="C610" s="51" t="s">
        <v>395</v>
      </c>
      <c r="D610" s="58" t="s">
        <v>720</v>
      </c>
      <c r="E610" s="58" t="s">
        <v>5581</v>
      </c>
      <c r="F610" s="18" t="s">
        <v>328</v>
      </c>
      <c r="G610" s="52">
        <v>46030</v>
      </c>
      <c r="H610" s="18" t="s">
        <v>329</v>
      </c>
      <c r="I610" s="53">
        <v>32</v>
      </c>
      <c r="J610" s="54">
        <v>30.1</v>
      </c>
      <c r="K610" s="54">
        <v>963.2</v>
      </c>
      <c r="L610" s="18" t="s">
        <v>330</v>
      </c>
      <c r="M610" s="18" t="s">
        <v>331</v>
      </c>
      <c r="N610" s="55">
        <v>46076</v>
      </c>
      <c r="O610" s="18" t="str">
        <f>IFERROR(VLOOKUP(A610,'[2]RELAÇÃO DE OC''S VMI MEC 030226'!$B:$P,15,FALSE),"-")</f>
        <v>-</v>
      </c>
      <c r="P610" s="56">
        <f t="shared" ca="1" si="28"/>
        <v>0</v>
      </c>
      <c r="Q610" s="18" t="str">
        <f t="shared" ca="1" si="29"/>
        <v>DENTRO DO PRAZO</v>
      </c>
      <c r="R610" s="19" t="s">
        <v>5645</v>
      </c>
    </row>
    <row r="611" spans="1:18" ht="12.75" thickBot="1" x14ac:dyDescent="0.25">
      <c r="A611" s="18" t="str">
        <f t="shared" si="27"/>
        <v>052204003921.23.03300</v>
      </c>
      <c r="B611" s="51" t="s">
        <v>5561</v>
      </c>
      <c r="C611" s="51" t="s">
        <v>396</v>
      </c>
      <c r="D611" s="58" t="s">
        <v>311</v>
      </c>
      <c r="E611" s="58" t="s">
        <v>312</v>
      </c>
      <c r="F611" s="18" t="s">
        <v>328</v>
      </c>
      <c r="G611" s="52">
        <v>46030</v>
      </c>
      <c r="H611" s="18" t="s">
        <v>329</v>
      </c>
      <c r="I611" s="53">
        <v>20</v>
      </c>
      <c r="J611" s="54">
        <v>28.4</v>
      </c>
      <c r="K611" s="54">
        <v>568</v>
      </c>
      <c r="L611" s="18" t="s">
        <v>330</v>
      </c>
      <c r="M611" s="18" t="s">
        <v>331</v>
      </c>
      <c r="N611" s="55">
        <v>46076</v>
      </c>
      <c r="O611" s="18" t="str">
        <f>IFERROR(VLOOKUP(A611,'[2]RELAÇÃO DE OC''S VMI MEC 030226'!$B:$P,15,FALSE),"-")</f>
        <v>-</v>
      </c>
      <c r="P611" s="56">
        <f t="shared" ca="1" si="28"/>
        <v>0</v>
      </c>
      <c r="Q611" s="18" t="str">
        <f t="shared" ca="1" si="29"/>
        <v>DENTRO DO PRAZO</v>
      </c>
      <c r="R611" s="19" t="s">
        <v>5645</v>
      </c>
    </row>
    <row r="612" spans="1:18" ht="12.75" thickBot="1" x14ac:dyDescent="0.25">
      <c r="A612" s="18" t="str">
        <f t="shared" si="27"/>
        <v>052204004021.23.03306</v>
      </c>
      <c r="B612" s="51" t="s">
        <v>5561</v>
      </c>
      <c r="C612" s="51" t="s">
        <v>397</v>
      </c>
      <c r="D612" s="58" t="s">
        <v>25</v>
      </c>
      <c r="E612" s="58" t="s">
        <v>155</v>
      </c>
      <c r="F612" s="18" t="s">
        <v>328</v>
      </c>
      <c r="G612" s="52">
        <v>46030</v>
      </c>
      <c r="H612" s="18" t="s">
        <v>329</v>
      </c>
      <c r="I612" s="53">
        <v>10</v>
      </c>
      <c r="J612" s="54">
        <v>58.1</v>
      </c>
      <c r="K612" s="54">
        <v>581</v>
      </c>
      <c r="L612" s="18" t="s">
        <v>330</v>
      </c>
      <c r="M612" s="18" t="s">
        <v>331</v>
      </c>
      <c r="N612" s="55">
        <v>46076</v>
      </c>
      <c r="O612" s="18" t="str">
        <f>IFERROR(VLOOKUP(A612,'[2]RELAÇÃO DE OC''S VMI MEC 030226'!$B:$P,15,FALSE),"-")</f>
        <v>-</v>
      </c>
      <c r="P612" s="56">
        <f t="shared" ca="1" si="28"/>
        <v>0</v>
      </c>
      <c r="Q612" s="18" t="str">
        <f t="shared" ca="1" si="29"/>
        <v>DENTRO DO PRAZO</v>
      </c>
      <c r="R612" s="19" t="s">
        <v>5645</v>
      </c>
    </row>
    <row r="613" spans="1:18" ht="12.75" thickBot="1" x14ac:dyDescent="0.25">
      <c r="A613" s="18" t="str">
        <f t="shared" si="27"/>
        <v>052204004121.23.03309</v>
      </c>
      <c r="B613" s="51" t="s">
        <v>5561</v>
      </c>
      <c r="C613" s="51" t="s">
        <v>398</v>
      </c>
      <c r="D613" s="58" t="s">
        <v>1847</v>
      </c>
      <c r="E613" s="58" t="s">
        <v>1848</v>
      </c>
      <c r="F613" s="18" t="s">
        <v>328</v>
      </c>
      <c r="G613" s="52">
        <v>46030</v>
      </c>
      <c r="H613" s="18" t="s">
        <v>329</v>
      </c>
      <c r="I613" s="53">
        <v>10</v>
      </c>
      <c r="J613" s="54">
        <v>56.6</v>
      </c>
      <c r="K613" s="54">
        <v>566</v>
      </c>
      <c r="L613" s="18" t="s">
        <v>330</v>
      </c>
      <c r="M613" s="18" t="s">
        <v>331</v>
      </c>
      <c r="N613" s="55">
        <v>46076</v>
      </c>
      <c r="O613" s="18" t="str">
        <f>IFERROR(VLOOKUP(A613,'[2]RELAÇÃO DE OC''S VMI MEC 030226'!$B:$P,15,FALSE),"-")</f>
        <v>-</v>
      </c>
      <c r="P613" s="56">
        <f t="shared" ca="1" si="28"/>
        <v>0</v>
      </c>
      <c r="Q613" s="18" t="str">
        <f t="shared" ca="1" si="29"/>
        <v>DENTRO DO PRAZO</v>
      </c>
      <c r="R613" s="19" t="s">
        <v>5645</v>
      </c>
    </row>
    <row r="614" spans="1:18" ht="12.75" thickBot="1" x14ac:dyDescent="0.25">
      <c r="A614" s="18" t="str">
        <f t="shared" si="27"/>
        <v>052204004221.23.03311</v>
      </c>
      <c r="B614" s="51" t="s">
        <v>5561</v>
      </c>
      <c r="C614" s="51" t="s">
        <v>368</v>
      </c>
      <c r="D614" s="58" t="s">
        <v>919</v>
      </c>
      <c r="E614" s="58" t="s">
        <v>920</v>
      </c>
      <c r="F614" s="18" t="s">
        <v>328</v>
      </c>
      <c r="G614" s="52">
        <v>46030</v>
      </c>
      <c r="H614" s="18" t="s">
        <v>329</v>
      </c>
      <c r="I614" s="53">
        <v>2</v>
      </c>
      <c r="J614" s="54">
        <v>58.4</v>
      </c>
      <c r="K614" s="54">
        <v>116.8</v>
      </c>
      <c r="L614" s="18" t="s">
        <v>330</v>
      </c>
      <c r="M614" s="18" t="s">
        <v>331</v>
      </c>
      <c r="N614" s="55">
        <v>46076</v>
      </c>
      <c r="O614" s="18" t="str">
        <f>IFERROR(VLOOKUP(A614,'[2]RELAÇÃO DE OC''S VMI MEC 030226'!$B:$P,15,FALSE),"-")</f>
        <v>-</v>
      </c>
      <c r="P614" s="56">
        <f t="shared" ca="1" si="28"/>
        <v>0</v>
      </c>
      <c r="Q614" s="18" t="str">
        <f t="shared" ca="1" si="29"/>
        <v>DENTRO DO PRAZO</v>
      </c>
      <c r="R614" s="19" t="s">
        <v>5645</v>
      </c>
    </row>
    <row r="615" spans="1:18" ht="12.75" thickBot="1" x14ac:dyDescent="0.25">
      <c r="A615" s="18" t="str">
        <f t="shared" si="27"/>
        <v>052204004321.23.03311</v>
      </c>
      <c r="B615" s="51" t="s">
        <v>5561</v>
      </c>
      <c r="C615" s="51" t="s">
        <v>369</v>
      </c>
      <c r="D615" s="18" t="s">
        <v>919</v>
      </c>
      <c r="E615" s="18" t="s">
        <v>920</v>
      </c>
      <c r="F615" s="18" t="s">
        <v>328</v>
      </c>
      <c r="G615" s="52">
        <v>46030</v>
      </c>
      <c r="H615" s="18" t="s">
        <v>329</v>
      </c>
      <c r="I615" s="53">
        <v>6</v>
      </c>
      <c r="J615" s="54">
        <v>58.4</v>
      </c>
      <c r="K615" s="54">
        <v>350.4</v>
      </c>
      <c r="L615" s="18" t="s">
        <v>330</v>
      </c>
      <c r="M615" s="18" t="s">
        <v>331</v>
      </c>
      <c r="N615" s="55">
        <v>46076</v>
      </c>
      <c r="O615" s="18" t="str">
        <f>IFERROR(VLOOKUP(A615,'[2]RELAÇÃO DE OC''S VMI MEC 030226'!$B:$P,15,FALSE),"-")</f>
        <v>-</v>
      </c>
      <c r="P615" s="56">
        <f t="shared" ca="1" si="28"/>
        <v>0</v>
      </c>
      <c r="Q615" s="18" t="str">
        <f t="shared" ca="1" si="29"/>
        <v>DENTRO DO PRAZO</v>
      </c>
      <c r="R615" s="19" t="s">
        <v>5645</v>
      </c>
    </row>
    <row r="616" spans="1:18" ht="12.75" thickBot="1" x14ac:dyDescent="0.25">
      <c r="A616" s="18" t="str">
        <f t="shared" si="27"/>
        <v>052204004421.23.03320</v>
      </c>
      <c r="B616" s="51" t="s">
        <v>5561</v>
      </c>
      <c r="C616" s="51" t="s">
        <v>399</v>
      </c>
      <c r="D616" s="58" t="s">
        <v>785</v>
      </c>
      <c r="E616" s="58" t="s">
        <v>786</v>
      </c>
      <c r="F616" s="18" t="s">
        <v>328</v>
      </c>
      <c r="G616" s="52">
        <v>46030</v>
      </c>
      <c r="H616" s="18" t="s">
        <v>329</v>
      </c>
      <c r="I616" s="53">
        <v>34</v>
      </c>
      <c r="J616" s="54">
        <v>14.2</v>
      </c>
      <c r="K616" s="54">
        <v>482.8</v>
      </c>
      <c r="L616" s="18" t="s">
        <v>330</v>
      </c>
      <c r="M616" s="18" t="s">
        <v>331</v>
      </c>
      <c r="N616" s="55">
        <v>46076</v>
      </c>
      <c r="O616" s="18" t="str">
        <f>IFERROR(VLOOKUP(A616,'[2]RELAÇÃO DE OC''S VMI MEC 030226'!$B:$P,15,FALSE),"-")</f>
        <v>-</v>
      </c>
      <c r="P616" s="56">
        <f t="shared" ca="1" si="28"/>
        <v>0</v>
      </c>
      <c r="Q616" s="18" t="str">
        <f t="shared" ca="1" si="29"/>
        <v>DENTRO DO PRAZO</v>
      </c>
      <c r="R616" s="19" t="s">
        <v>5645</v>
      </c>
    </row>
    <row r="617" spans="1:18" ht="12.75" thickBot="1" x14ac:dyDescent="0.25">
      <c r="A617" s="18" t="str">
        <f t="shared" si="27"/>
        <v>052204004521.23.03328</v>
      </c>
      <c r="B617" s="51" t="s">
        <v>5561</v>
      </c>
      <c r="C617" s="51" t="s">
        <v>370</v>
      </c>
      <c r="D617" s="58" t="s">
        <v>131</v>
      </c>
      <c r="E617" s="58" t="s">
        <v>158</v>
      </c>
      <c r="F617" s="18" t="s">
        <v>328</v>
      </c>
      <c r="G617" s="52">
        <v>46030</v>
      </c>
      <c r="H617" s="18" t="s">
        <v>329</v>
      </c>
      <c r="I617" s="53">
        <v>1</v>
      </c>
      <c r="J617" s="54">
        <v>68.05</v>
      </c>
      <c r="K617" s="54">
        <v>68.05</v>
      </c>
      <c r="L617" s="18" t="s">
        <v>330</v>
      </c>
      <c r="M617" s="18" t="s">
        <v>331</v>
      </c>
      <c r="N617" s="55">
        <v>46076</v>
      </c>
      <c r="O617" s="18" t="str">
        <f>IFERROR(VLOOKUP(A617,'[2]RELAÇÃO DE OC''S VMI MEC 030226'!$B:$P,15,FALSE),"-")</f>
        <v>-</v>
      </c>
      <c r="P617" s="56">
        <f t="shared" ca="1" si="28"/>
        <v>0</v>
      </c>
      <c r="Q617" s="18" t="str">
        <f t="shared" ca="1" si="29"/>
        <v>DENTRO DO PRAZO</v>
      </c>
      <c r="R617" s="19" t="s">
        <v>5645</v>
      </c>
    </row>
    <row r="618" spans="1:18" x14ac:dyDescent="0.2">
      <c r="A618" s="18" t="str">
        <f t="shared" si="27"/>
        <v>052204004621.23.03328</v>
      </c>
      <c r="B618" s="51" t="s">
        <v>5561</v>
      </c>
      <c r="C618" s="51" t="s">
        <v>358</v>
      </c>
      <c r="D618" s="18" t="s">
        <v>131</v>
      </c>
      <c r="E618" s="18" t="s">
        <v>158</v>
      </c>
      <c r="F618" s="18" t="s">
        <v>328</v>
      </c>
      <c r="G618" s="52">
        <v>46030</v>
      </c>
      <c r="H618" s="18" t="s">
        <v>329</v>
      </c>
      <c r="I618" s="53">
        <v>6</v>
      </c>
      <c r="J618" s="54">
        <v>68.05</v>
      </c>
      <c r="K618" s="54">
        <v>408.3</v>
      </c>
      <c r="L618" s="18" t="s">
        <v>330</v>
      </c>
      <c r="M618" s="18" t="s">
        <v>331</v>
      </c>
      <c r="N618" s="55">
        <v>46076</v>
      </c>
      <c r="O618" s="18" t="str">
        <f>IFERROR(VLOOKUP(A618,'[2]RELAÇÃO DE OC''S VMI MEC 030226'!$B:$P,15,FALSE),"-")</f>
        <v>-</v>
      </c>
      <c r="P618" s="56">
        <f t="shared" ca="1" si="28"/>
        <v>0</v>
      </c>
      <c r="Q618" s="18" t="str">
        <f t="shared" ca="1" si="29"/>
        <v>DENTRO DO PRAZO</v>
      </c>
      <c r="R618" s="19" t="s">
        <v>5645</v>
      </c>
    </row>
    <row r="619" spans="1:18" ht="12.75" thickBot="1" x14ac:dyDescent="0.25">
      <c r="A619" s="18" t="str">
        <f t="shared" si="27"/>
        <v>052204004721.23.03328</v>
      </c>
      <c r="B619" s="51" t="s">
        <v>5561</v>
      </c>
      <c r="C619" s="51" t="s">
        <v>371</v>
      </c>
      <c r="D619" s="18" t="s">
        <v>131</v>
      </c>
      <c r="E619" s="18" t="s">
        <v>158</v>
      </c>
      <c r="F619" s="18" t="s">
        <v>328</v>
      </c>
      <c r="G619" s="52">
        <v>46030</v>
      </c>
      <c r="H619" s="18" t="s">
        <v>329</v>
      </c>
      <c r="I619" s="53">
        <v>1</v>
      </c>
      <c r="J619" s="54">
        <v>68.05</v>
      </c>
      <c r="K619" s="54">
        <v>68.05</v>
      </c>
      <c r="L619" s="18" t="s">
        <v>330</v>
      </c>
      <c r="M619" s="18" t="s">
        <v>331</v>
      </c>
      <c r="N619" s="55">
        <v>46076</v>
      </c>
      <c r="O619" s="18" t="str">
        <f>IFERROR(VLOOKUP(A619,'[2]RELAÇÃO DE OC''S VMI MEC 030226'!$B:$P,15,FALSE),"-")</f>
        <v>-</v>
      </c>
      <c r="P619" s="56">
        <f t="shared" ca="1" si="28"/>
        <v>0</v>
      </c>
      <c r="Q619" s="18" t="str">
        <f t="shared" ca="1" si="29"/>
        <v>DENTRO DO PRAZO</v>
      </c>
      <c r="R619" s="19" t="s">
        <v>5645</v>
      </c>
    </row>
    <row r="620" spans="1:18" ht="12.75" thickBot="1" x14ac:dyDescent="0.25">
      <c r="A620" s="18" t="str">
        <f t="shared" si="27"/>
        <v>052204004821.23.03329</v>
      </c>
      <c r="B620" s="51" t="s">
        <v>5561</v>
      </c>
      <c r="C620" s="51" t="s">
        <v>400</v>
      </c>
      <c r="D620" s="58" t="s">
        <v>787</v>
      </c>
      <c r="E620" s="58" t="s">
        <v>788</v>
      </c>
      <c r="F620" s="18" t="s">
        <v>328</v>
      </c>
      <c r="G620" s="52">
        <v>46030</v>
      </c>
      <c r="H620" s="18" t="s">
        <v>329</v>
      </c>
      <c r="I620" s="53">
        <v>1</v>
      </c>
      <c r="J620" s="54">
        <v>68.05</v>
      </c>
      <c r="K620" s="54">
        <v>68.05</v>
      </c>
      <c r="L620" s="18" t="s">
        <v>330</v>
      </c>
      <c r="M620" s="18" t="s">
        <v>331</v>
      </c>
      <c r="N620" s="55">
        <v>46076</v>
      </c>
      <c r="O620" s="18" t="str">
        <f>IFERROR(VLOOKUP(A620,'[2]RELAÇÃO DE OC''S VMI MEC 030226'!$B:$P,15,FALSE),"-")</f>
        <v>-</v>
      </c>
      <c r="P620" s="56">
        <f t="shared" ca="1" si="28"/>
        <v>0</v>
      </c>
      <c r="Q620" s="18" t="str">
        <f t="shared" ca="1" si="29"/>
        <v>DENTRO DO PRAZO</v>
      </c>
      <c r="R620" s="19" t="s">
        <v>5645</v>
      </c>
    </row>
    <row r="621" spans="1:18" x14ac:dyDescent="0.2">
      <c r="A621" s="18" t="str">
        <f t="shared" si="27"/>
        <v>052204004921.23.03329</v>
      </c>
      <c r="B621" s="51" t="s">
        <v>5561</v>
      </c>
      <c r="C621" s="51" t="s">
        <v>372</v>
      </c>
      <c r="D621" s="18" t="s">
        <v>787</v>
      </c>
      <c r="E621" s="18" t="s">
        <v>788</v>
      </c>
      <c r="F621" s="18" t="s">
        <v>328</v>
      </c>
      <c r="G621" s="52">
        <v>46030</v>
      </c>
      <c r="H621" s="18" t="s">
        <v>329</v>
      </c>
      <c r="I621" s="53">
        <v>6</v>
      </c>
      <c r="J621" s="54">
        <v>68.05</v>
      </c>
      <c r="K621" s="54">
        <v>408.3</v>
      </c>
      <c r="L621" s="18" t="s">
        <v>330</v>
      </c>
      <c r="M621" s="18" t="s">
        <v>331</v>
      </c>
      <c r="N621" s="55">
        <v>46076</v>
      </c>
      <c r="O621" s="18" t="str">
        <f>IFERROR(VLOOKUP(A621,'[2]RELAÇÃO DE OC''S VMI MEC 030226'!$B:$P,15,FALSE),"-")</f>
        <v>-</v>
      </c>
      <c r="P621" s="56">
        <f t="shared" ca="1" si="28"/>
        <v>0</v>
      </c>
      <c r="Q621" s="18" t="str">
        <f t="shared" ca="1" si="29"/>
        <v>DENTRO DO PRAZO</v>
      </c>
      <c r="R621" s="19" t="s">
        <v>5645</v>
      </c>
    </row>
    <row r="622" spans="1:18" ht="12.75" thickBot="1" x14ac:dyDescent="0.25">
      <c r="A622" s="18" t="str">
        <f t="shared" si="27"/>
        <v>052204005021.23.03329</v>
      </c>
      <c r="B622" s="51" t="s">
        <v>5561</v>
      </c>
      <c r="C622" s="59" t="s">
        <v>373</v>
      </c>
      <c r="D622" s="18" t="s">
        <v>787</v>
      </c>
      <c r="E622" s="18" t="s">
        <v>788</v>
      </c>
      <c r="F622" s="18" t="s">
        <v>328</v>
      </c>
      <c r="G622" s="52">
        <v>46030</v>
      </c>
      <c r="H622" s="18" t="s">
        <v>329</v>
      </c>
      <c r="I622" s="53">
        <v>1</v>
      </c>
      <c r="J622" s="54">
        <v>68.05</v>
      </c>
      <c r="K622" s="54">
        <v>68.05</v>
      </c>
      <c r="L622" s="18" t="s">
        <v>330</v>
      </c>
      <c r="M622" s="18" t="s">
        <v>331</v>
      </c>
      <c r="N622" s="55">
        <v>46076</v>
      </c>
      <c r="O622" s="18" t="str">
        <f>IFERROR(VLOOKUP(A622,'[2]RELAÇÃO DE OC''S VMI MEC 030226'!$B:$P,15,FALSE),"-")</f>
        <v>-</v>
      </c>
      <c r="P622" s="56">
        <f t="shared" ca="1" si="28"/>
        <v>0</v>
      </c>
      <c r="Q622" s="18" t="str">
        <f t="shared" ca="1" si="29"/>
        <v>DENTRO DO PRAZO</v>
      </c>
      <c r="R622" s="19" t="s">
        <v>5645</v>
      </c>
    </row>
    <row r="623" spans="1:18" ht="12.75" thickBot="1" x14ac:dyDescent="0.25">
      <c r="A623" s="18" t="str">
        <f t="shared" si="27"/>
        <v>052204005121.23.03392</v>
      </c>
      <c r="B623" s="51" t="s">
        <v>5561</v>
      </c>
      <c r="C623" s="57" t="s">
        <v>374</v>
      </c>
      <c r="D623" s="58" t="s">
        <v>921</v>
      </c>
      <c r="E623" s="58" t="s">
        <v>922</v>
      </c>
      <c r="F623" s="18" t="s">
        <v>328</v>
      </c>
      <c r="G623" s="52">
        <v>46030</v>
      </c>
      <c r="H623" s="18" t="s">
        <v>329</v>
      </c>
      <c r="I623" s="53">
        <v>2</v>
      </c>
      <c r="J623" s="54">
        <v>28</v>
      </c>
      <c r="K623" s="54">
        <v>56</v>
      </c>
      <c r="L623" s="18" t="s">
        <v>330</v>
      </c>
      <c r="M623" s="18" t="s">
        <v>331</v>
      </c>
      <c r="N623" s="55">
        <v>46076</v>
      </c>
      <c r="O623" s="18" t="str">
        <f>IFERROR(VLOOKUP(A623,'[2]RELAÇÃO DE OC''S VMI MEC 030226'!$B:$P,15,FALSE),"-")</f>
        <v>-</v>
      </c>
      <c r="P623" s="56">
        <f t="shared" ca="1" si="28"/>
        <v>0</v>
      </c>
      <c r="Q623" s="18" t="str">
        <f t="shared" ca="1" si="29"/>
        <v>DENTRO DO PRAZO</v>
      </c>
      <c r="R623" s="19" t="s">
        <v>5645</v>
      </c>
    </row>
    <row r="624" spans="1:18" ht="12.75" thickBot="1" x14ac:dyDescent="0.25">
      <c r="A624" s="18" t="str">
        <f t="shared" si="27"/>
        <v>052204005221.23.03392</v>
      </c>
      <c r="B624" s="51" t="s">
        <v>5561</v>
      </c>
      <c r="C624" s="51" t="s">
        <v>692</v>
      </c>
      <c r="D624" s="18" t="s">
        <v>921</v>
      </c>
      <c r="E624" s="18" t="s">
        <v>922</v>
      </c>
      <c r="F624" s="18" t="s">
        <v>328</v>
      </c>
      <c r="G624" s="52">
        <v>46030</v>
      </c>
      <c r="H624" s="18" t="s">
        <v>329</v>
      </c>
      <c r="I624" s="53">
        <v>16</v>
      </c>
      <c r="J624" s="54">
        <v>28</v>
      </c>
      <c r="K624" s="54">
        <v>448</v>
      </c>
      <c r="L624" s="18" t="s">
        <v>330</v>
      </c>
      <c r="M624" s="18" t="s">
        <v>331</v>
      </c>
      <c r="N624" s="55">
        <v>46076</v>
      </c>
      <c r="O624" s="18" t="str">
        <f>IFERROR(VLOOKUP(A624,'[2]RELAÇÃO DE OC''S VMI MEC 030226'!$B:$P,15,FALSE),"-")</f>
        <v>-</v>
      </c>
      <c r="P624" s="56">
        <f t="shared" ca="1" si="28"/>
        <v>0</v>
      </c>
      <c r="Q624" s="18" t="str">
        <f t="shared" ca="1" si="29"/>
        <v>DENTRO DO PRAZO</v>
      </c>
      <c r="R624" s="19" t="s">
        <v>5645</v>
      </c>
    </row>
    <row r="625" spans="1:18" ht="12.75" thickBot="1" x14ac:dyDescent="0.25">
      <c r="A625" s="18" t="str">
        <f t="shared" si="27"/>
        <v>052204005333.02.10034.02</v>
      </c>
      <c r="B625" s="51" t="s">
        <v>5561</v>
      </c>
      <c r="C625" s="51" t="s">
        <v>421</v>
      </c>
      <c r="D625" s="58" t="s">
        <v>812</v>
      </c>
      <c r="E625" s="58" t="s">
        <v>813</v>
      </c>
      <c r="F625" s="18" t="s">
        <v>328</v>
      </c>
      <c r="G625" s="52">
        <v>46030</v>
      </c>
      <c r="H625" s="18" t="s">
        <v>329</v>
      </c>
      <c r="I625" s="53">
        <v>20</v>
      </c>
      <c r="J625" s="54">
        <v>99.7</v>
      </c>
      <c r="K625" s="54">
        <v>1994</v>
      </c>
      <c r="L625" s="18" t="s">
        <v>330</v>
      </c>
      <c r="M625" s="18" t="s">
        <v>331</v>
      </c>
      <c r="N625" s="55">
        <v>46076</v>
      </c>
      <c r="O625" s="18" t="str">
        <f>IFERROR(VLOOKUP(A625,'[2]RELAÇÃO DE OC''S VMI MEC 030226'!$B:$P,15,FALSE),"-")</f>
        <v>-</v>
      </c>
      <c r="P625" s="56">
        <f t="shared" ca="1" si="28"/>
        <v>0</v>
      </c>
      <c r="Q625" s="18" t="str">
        <f t="shared" ca="1" si="29"/>
        <v>DENTRO DO PRAZO</v>
      </c>
      <c r="R625" s="19" t="s">
        <v>5645</v>
      </c>
    </row>
    <row r="626" spans="1:18" ht="12.75" thickBot="1" x14ac:dyDescent="0.25">
      <c r="A626" s="18" t="str">
        <f t="shared" si="27"/>
        <v>052204005433.02.10037.02</v>
      </c>
      <c r="B626" s="51" t="s">
        <v>5561</v>
      </c>
      <c r="C626" s="51" t="s">
        <v>693</v>
      </c>
      <c r="D626" s="58" t="s">
        <v>814</v>
      </c>
      <c r="E626" s="58" t="s">
        <v>815</v>
      </c>
      <c r="F626" s="18" t="s">
        <v>328</v>
      </c>
      <c r="G626" s="52">
        <v>46030</v>
      </c>
      <c r="H626" s="18" t="s">
        <v>329</v>
      </c>
      <c r="I626" s="53">
        <v>20</v>
      </c>
      <c r="J626" s="54">
        <v>99.7</v>
      </c>
      <c r="K626" s="54">
        <v>1994</v>
      </c>
      <c r="L626" s="18" t="s">
        <v>330</v>
      </c>
      <c r="M626" s="18" t="s">
        <v>331</v>
      </c>
      <c r="N626" s="55">
        <v>46076</v>
      </c>
      <c r="O626" s="18" t="str">
        <f>IFERROR(VLOOKUP(A626,'[2]RELAÇÃO DE OC''S VMI MEC 030226'!$B:$P,15,FALSE),"-")</f>
        <v>-</v>
      </c>
      <c r="P626" s="56">
        <f t="shared" ca="1" si="28"/>
        <v>0</v>
      </c>
      <c r="Q626" s="18" t="str">
        <f t="shared" ca="1" si="29"/>
        <v>DENTRO DO PRAZO</v>
      </c>
      <c r="R626" s="19" t="s">
        <v>5645</v>
      </c>
    </row>
    <row r="627" spans="1:18" ht="12.75" thickBot="1" x14ac:dyDescent="0.25">
      <c r="A627" s="18" t="str">
        <f t="shared" si="27"/>
        <v>052204005533.02.10044.02</v>
      </c>
      <c r="B627" s="51" t="s">
        <v>5561</v>
      </c>
      <c r="C627" s="51" t="s">
        <v>335</v>
      </c>
      <c r="D627" s="58" t="s">
        <v>929</v>
      </c>
      <c r="E627" s="58" t="s">
        <v>5589</v>
      </c>
      <c r="F627" s="18" t="s">
        <v>328</v>
      </c>
      <c r="G627" s="52">
        <v>46030</v>
      </c>
      <c r="H627" s="18" t="s">
        <v>329</v>
      </c>
      <c r="I627" s="53">
        <v>20</v>
      </c>
      <c r="J627" s="54">
        <v>99.7</v>
      </c>
      <c r="K627" s="54">
        <v>1994</v>
      </c>
      <c r="L627" s="18" t="s">
        <v>330</v>
      </c>
      <c r="M627" s="18" t="s">
        <v>331</v>
      </c>
      <c r="N627" s="55">
        <v>46076</v>
      </c>
      <c r="O627" s="18" t="str">
        <f>IFERROR(VLOOKUP(A627,'[2]RELAÇÃO DE OC''S VMI MEC 030226'!$B:$P,15,FALSE),"-")</f>
        <v>-</v>
      </c>
      <c r="P627" s="56">
        <f t="shared" ca="1" si="28"/>
        <v>0</v>
      </c>
      <c r="Q627" s="18" t="str">
        <f t="shared" ca="1" si="29"/>
        <v>DENTRO DO PRAZO</v>
      </c>
      <c r="R627" s="19" t="s">
        <v>5645</v>
      </c>
    </row>
    <row r="628" spans="1:18" ht="12.75" thickBot="1" x14ac:dyDescent="0.25">
      <c r="A628" s="18" t="str">
        <f t="shared" si="27"/>
        <v>052204005633.03.10207.01</v>
      </c>
      <c r="B628" s="51" t="s">
        <v>5561</v>
      </c>
      <c r="C628" s="51" t="s">
        <v>694</v>
      </c>
      <c r="D628" s="58" t="s">
        <v>1850</v>
      </c>
      <c r="E628" s="58" t="s">
        <v>1851</v>
      </c>
      <c r="F628" s="18" t="s">
        <v>328</v>
      </c>
      <c r="G628" s="52">
        <v>46030</v>
      </c>
      <c r="H628" s="18" t="s">
        <v>329</v>
      </c>
      <c r="I628" s="53">
        <v>16</v>
      </c>
      <c r="J628" s="54">
        <v>37.15</v>
      </c>
      <c r="K628" s="54">
        <v>594.4</v>
      </c>
      <c r="L628" s="18" t="s">
        <v>330</v>
      </c>
      <c r="M628" s="18" t="s">
        <v>331</v>
      </c>
      <c r="N628" s="55">
        <v>46076</v>
      </c>
      <c r="O628" s="18" t="str">
        <f>IFERROR(VLOOKUP(A628,'[2]RELAÇÃO DE OC''S VMI MEC 030226'!$B:$P,15,FALSE),"-")</f>
        <v>-</v>
      </c>
      <c r="P628" s="56">
        <f t="shared" ca="1" si="28"/>
        <v>0</v>
      </c>
      <c r="Q628" s="18" t="str">
        <f t="shared" ca="1" si="29"/>
        <v>DENTRO DO PRAZO</v>
      </c>
      <c r="R628" s="19" t="s">
        <v>5645</v>
      </c>
    </row>
    <row r="629" spans="1:18" ht="12.75" thickBot="1" x14ac:dyDescent="0.25">
      <c r="A629" s="18" t="str">
        <f t="shared" si="27"/>
        <v>052204005733.03.10214.01</v>
      </c>
      <c r="B629" s="51" t="s">
        <v>5561</v>
      </c>
      <c r="C629" s="51" t="s">
        <v>422</v>
      </c>
      <c r="D629" s="58" t="s">
        <v>481</v>
      </c>
      <c r="E629" s="58" t="s">
        <v>482</v>
      </c>
      <c r="F629" s="18" t="s">
        <v>328</v>
      </c>
      <c r="G629" s="52">
        <v>46030</v>
      </c>
      <c r="H629" s="18" t="s">
        <v>329</v>
      </c>
      <c r="I629" s="53">
        <v>14</v>
      </c>
      <c r="J629" s="54">
        <v>618.29999999999995</v>
      </c>
      <c r="K629" s="54">
        <v>8656.2000000000007</v>
      </c>
      <c r="L629" s="18" t="s">
        <v>330</v>
      </c>
      <c r="M629" s="18" t="s">
        <v>331</v>
      </c>
      <c r="N629" s="55">
        <v>46076</v>
      </c>
      <c r="O629" s="18" t="str">
        <f>IFERROR(VLOOKUP(A629,'[2]RELAÇÃO DE OC''S VMI MEC 030226'!$B:$P,15,FALSE),"-")</f>
        <v>-</v>
      </c>
      <c r="P629" s="56">
        <f t="shared" ca="1" si="28"/>
        <v>0</v>
      </c>
      <c r="Q629" s="18" t="str">
        <f t="shared" ca="1" si="29"/>
        <v>DENTRO DO PRAZO</v>
      </c>
      <c r="R629" s="19" t="s">
        <v>5645</v>
      </c>
    </row>
    <row r="630" spans="1:18" ht="12.75" thickBot="1" x14ac:dyDescent="0.25">
      <c r="A630" s="18" t="str">
        <f t="shared" si="27"/>
        <v>052204005833.03.10235.01</v>
      </c>
      <c r="B630" s="51" t="s">
        <v>5561</v>
      </c>
      <c r="C630" s="51" t="s">
        <v>353</v>
      </c>
      <c r="D630" s="58" t="s">
        <v>263</v>
      </c>
      <c r="E630" s="58" t="s">
        <v>930</v>
      </c>
      <c r="F630" s="18" t="s">
        <v>328</v>
      </c>
      <c r="G630" s="52">
        <v>46030</v>
      </c>
      <c r="H630" s="18" t="s">
        <v>329</v>
      </c>
      <c r="I630" s="53">
        <v>7</v>
      </c>
      <c r="J630" s="54">
        <v>64.45</v>
      </c>
      <c r="K630" s="54">
        <v>451.15</v>
      </c>
      <c r="L630" s="18" t="s">
        <v>330</v>
      </c>
      <c r="M630" s="18" t="s">
        <v>331</v>
      </c>
      <c r="N630" s="55">
        <v>46076</v>
      </c>
      <c r="O630" s="18" t="str">
        <f>IFERROR(VLOOKUP(A630,'[2]RELAÇÃO DE OC''S VMI MEC 030226'!$B:$P,15,FALSE),"-")</f>
        <v>-</v>
      </c>
      <c r="P630" s="56">
        <f t="shared" ca="1" si="28"/>
        <v>0</v>
      </c>
      <c r="Q630" s="18" t="str">
        <f t="shared" ca="1" si="29"/>
        <v>DENTRO DO PRAZO</v>
      </c>
      <c r="R630" s="19" t="s">
        <v>5645</v>
      </c>
    </row>
    <row r="631" spans="1:18" ht="12.75" thickBot="1" x14ac:dyDescent="0.25">
      <c r="A631" s="18" t="str">
        <f t="shared" si="27"/>
        <v>052204005933.03.10235.01</v>
      </c>
      <c r="B631" s="51" t="s">
        <v>5561</v>
      </c>
      <c r="C631" s="51" t="s">
        <v>695</v>
      </c>
      <c r="D631" s="18" t="s">
        <v>263</v>
      </c>
      <c r="E631" s="18" t="s">
        <v>930</v>
      </c>
      <c r="F631" s="18" t="s">
        <v>328</v>
      </c>
      <c r="G631" s="52">
        <v>46030</v>
      </c>
      <c r="H631" s="18" t="s">
        <v>329</v>
      </c>
      <c r="I631" s="53">
        <v>1</v>
      </c>
      <c r="J631" s="54">
        <v>64.45</v>
      </c>
      <c r="K631" s="54">
        <v>64.45</v>
      </c>
      <c r="L631" s="18" t="s">
        <v>330</v>
      </c>
      <c r="M631" s="18" t="s">
        <v>331</v>
      </c>
      <c r="N631" s="55">
        <v>46076</v>
      </c>
      <c r="O631" s="18" t="str">
        <f>IFERROR(VLOOKUP(A631,'[2]RELAÇÃO DE OC''S VMI MEC 030226'!$B:$P,15,FALSE),"-")</f>
        <v>-</v>
      </c>
      <c r="P631" s="56">
        <f t="shared" ca="1" si="28"/>
        <v>0</v>
      </c>
      <c r="Q631" s="18" t="str">
        <f t="shared" ca="1" si="29"/>
        <v>DENTRO DO PRAZO</v>
      </c>
      <c r="R631" s="19" t="s">
        <v>5645</v>
      </c>
    </row>
    <row r="632" spans="1:18" ht="12.75" thickBot="1" x14ac:dyDescent="0.25">
      <c r="A632" s="18" t="str">
        <f t="shared" si="27"/>
        <v>052204006033.03.10236.02</v>
      </c>
      <c r="B632" s="51" t="s">
        <v>5561</v>
      </c>
      <c r="C632" s="51" t="s">
        <v>423</v>
      </c>
      <c r="D632" s="58" t="s">
        <v>130</v>
      </c>
      <c r="E632" s="58" t="s">
        <v>138</v>
      </c>
      <c r="F632" s="18" t="s">
        <v>328</v>
      </c>
      <c r="G632" s="52">
        <v>46030</v>
      </c>
      <c r="H632" s="18" t="s">
        <v>329</v>
      </c>
      <c r="I632" s="53">
        <v>7</v>
      </c>
      <c r="J632" s="54">
        <v>59.5</v>
      </c>
      <c r="K632" s="54">
        <v>416.5</v>
      </c>
      <c r="L632" s="18" t="s">
        <v>330</v>
      </c>
      <c r="M632" s="18" t="s">
        <v>331</v>
      </c>
      <c r="N632" s="55">
        <v>46076</v>
      </c>
      <c r="O632" s="18" t="str">
        <f>IFERROR(VLOOKUP(A632,'[2]RELAÇÃO DE OC''S VMI MEC 030226'!$B:$P,15,FALSE),"-")</f>
        <v>-</v>
      </c>
      <c r="P632" s="56">
        <f t="shared" ca="1" si="28"/>
        <v>0</v>
      </c>
      <c r="Q632" s="18" t="str">
        <f t="shared" ca="1" si="29"/>
        <v>DENTRO DO PRAZO</v>
      </c>
      <c r="R632" s="19" t="s">
        <v>5645</v>
      </c>
    </row>
    <row r="633" spans="1:18" ht="12.75" thickBot="1" x14ac:dyDescent="0.25">
      <c r="A633" s="18" t="str">
        <f t="shared" si="27"/>
        <v>052204006133.03.10239.01</v>
      </c>
      <c r="B633" s="51" t="s">
        <v>5561</v>
      </c>
      <c r="C633" s="51" t="s">
        <v>696</v>
      </c>
      <c r="D633" s="58" t="s">
        <v>264</v>
      </c>
      <c r="E633" s="58" t="s">
        <v>265</v>
      </c>
      <c r="F633" s="18" t="s">
        <v>328</v>
      </c>
      <c r="G633" s="52">
        <v>46030</v>
      </c>
      <c r="H633" s="18" t="s">
        <v>329</v>
      </c>
      <c r="I633" s="53">
        <v>7</v>
      </c>
      <c r="J633" s="54">
        <v>64.400000000000006</v>
      </c>
      <c r="K633" s="54">
        <v>450.8</v>
      </c>
      <c r="L633" s="18" t="s">
        <v>330</v>
      </c>
      <c r="M633" s="18" t="s">
        <v>331</v>
      </c>
      <c r="N633" s="55">
        <v>46076</v>
      </c>
      <c r="O633" s="18" t="str">
        <f>IFERROR(VLOOKUP(A633,'[2]RELAÇÃO DE OC''S VMI MEC 030226'!$B:$P,15,FALSE),"-")</f>
        <v>-</v>
      </c>
      <c r="P633" s="56">
        <f t="shared" ca="1" si="28"/>
        <v>0</v>
      </c>
      <c r="Q633" s="18" t="str">
        <f t="shared" ca="1" si="29"/>
        <v>DENTRO DO PRAZO</v>
      </c>
      <c r="R633" s="19" t="s">
        <v>5645</v>
      </c>
    </row>
    <row r="634" spans="1:18" ht="12.75" thickBot="1" x14ac:dyDescent="0.25">
      <c r="A634" s="18" t="str">
        <f t="shared" si="27"/>
        <v>052204006233.03.10240.02</v>
      </c>
      <c r="B634" s="51" t="s">
        <v>5561</v>
      </c>
      <c r="C634" s="51" t="s">
        <v>424</v>
      </c>
      <c r="D634" s="58" t="s">
        <v>1852</v>
      </c>
      <c r="E634" s="58" t="s">
        <v>1853</v>
      </c>
      <c r="F634" s="18" t="s">
        <v>328</v>
      </c>
      <c r="G634" s="52">
        <v>46030</v>
      </c>
      <c r="H634" s="18" t="s">
        <v>329</v>
      </c>
      <c r="I634" s="53">
        <v>6</v>
      </c>
      <c r="J634" s="54">
        <v>64.400000000000006</v>
      </c>
      <c r="K634" s="54">
        <v>386.4</v>
      </c>
      <c r="L634" s="18" t="s">
        <v>330</v>
      </c>
      <c r="M634" s="18" t="s">
        <v>331</v>
      </c>
      <c r="N634" s="55">
        <v>46076</v>
      </c>
      <c r="O634" s="18" t="str">
        <f>IFERROR(VLOOKUP(A634,'[2]RELAÇÃO DE OC''S VMI MEC 030226'!$B:$P,15,FALSE),"-")</f>
        <v>-</v>
      </c>
      <c r="P634" s="56">
        <f t="shared" ca="1" si="28"/>
        <v>0</v>
      </c>
      <c r="Q634" s="18" t="str">
        <f t="shared" ca="1" si="29"/>
        <v>DENTRO DO PRAZO</v>
      </c>
      <c r="R634" s="19" t="s">
        <v>5645</v>
      </c>
    </row>
    <row r="635" spans="1:18" ht="12.75" thickBot="1" x14ac:dyDescent="0.25">
      <c r="A635" s="18" t="str">
        <f t="shared" si="27"/>
        <v>052204006333.03.10275.00</v>
      </c>
      <c r="B635" s="51" t="s">
        <v>5561</v>
      </c>
      <c r="C635" s="51" t="s">
        <v>375</v>
      </c>
      <c r="D635" s="58" t="s">
        <v>483</v>
      </c>
      <c r="E635" s="58" t="s">
        <v>484</v>
      </c>
      <c r="F635" s="18" t="s">
        <v>328</v>
      </c>
      <c r="G635" s="52">
        <v>46030</v>
      </c>
      <c r="H635" s="18" t="s">
        <v>329</v>
      </c>
      <c r="I635" s="53">
        <v>8</v>
      </c>
      <c r="J635" s="54">
        <v>115</v>
      </c>
      <c r="K635" s="54">
        <v>920</v>
      </c>
      <c r="L635" s="18" t="s">
        <v>330</v>
      </c>
      <c r="M635" s="18" t="s">
        <v>331</v>
      </c>
      <c r="N635" s="55">
        <v>46076</v>
      </c>
      <c r="O635" s="18" t="str">
        <f>IFERROR(VLOOKUP(A635,'[2]RELAÇÃO DE OC''S VMI MEC 030226'!$B:$P,15,FALSE),"-")</f>
        <v>-</v>
      </c>
      <c r="P635" s="56">
        <f t="shared" ca="1" si="28"/>
        <v>0</v>
      </c>
      <c r="Q635" s="18" t="str">
        <f t="shared" ca="1" si="29"/>
        <v>DENTRO DO PRAZO</v>
      </c>
      <c r="R635" s="19" t="s">
        <v>5645</v>
      </c>
    </row>
    <row r="636" spans="1:18" ht="12.75" thickBot="1" x14ac:dyDescent="0.25">
      <c r="A636" s="18" t="str">
        <f t="shared" si="27"/>
        <v>052204006433.08.10219.00</v>
      </c>
      <c r="B636" s="51" t="s">
        <v>5561</v>
      </c>
      <c r="C636" s="51" t="s">
        <v>425</v>
      </c>
      <c r="D636" s="58" t="s">
        <v>266</v>
      </c>
      <c r="E636" s="58" t="s">
        <v>267</v>
      </c>
      <c r="F636" s="18" t="s">
        <v>328</v>
      </c>
      <c r="G636" s="52">
        <v>46030</v>
      </c>
      <c r="H636" s="18" t="s">
        <v>329</v>
      </c>
      <c r="I636" s="53">
        <v>3</v>
      </c>
      <c r="J636" s="54">
        <v>479</v>
      </c>
      <c r="K636" s="54">
        <v>1437</v>
      </c>
      <c r="L636" s="18" t="s">
        <v>330</v>
      </c>
      <c r="M636" s="18" t="s">
        <v>331</v>
      </c>
      <c r="N636" s="55">
        <v>46076</v>
      </c>
      <c r="O636" s="18" t="str">
        <f>IFERROR(VLOOKUP(A636,'[2]RELAÇÃO DE OC''S VMI MEC 030226'!$B:$P,15,FALSE),"-")</f>
        <v>-</v>
      </c>
      <c r="P636" s="56">
        <f t="shared" ca="1" si="28"/>
        <v>0</v>
      </c>
      <c r="Q636" s="18" t="str">
        <f t="shared" ca="1" si="29"/>
        <v>DENTRO DO PRAZO</v>
      </c>
      <c r="R636" s="19" t="s">
        <v>5645</v>
      </c>
    </row>
    <row r="637" spans="1:18" ht="12.75" thickBot="1" x14ac:dyDescent="0.25">
      <c r="A637" s="18" t="str">
        <f t="shared" si="27"/>
        <v>052204006533.08.10242.00</v>
      </c>
      <c r="B637" s="51" t="s">
        <v>5561</v>
      </c>
      <c r="C637" s="51" t="s">
        <v>376</v>
      </c>
      <c r="D637" s="58" t="s">
        <v>268</v>
      </c>
      <c r="E637" s="58" t="s">
        <v>269</v>
      </c>
      <c r="F637" s="18" t="s">
        <v>328</v>
      </c>
      <c r="G637" s="52">
        <v>46030</v>
      </c>
      <c r="H637" s="18" t="s">
        <v>329</v>
      </c>
      <c r="I637" s="53">
        <v>2</v>
      </c>
      <c r="J637" s="54">
        <v>520</v>
      </c>
      <c r="K637" s="54">
        <v>1040</v>
      </c>
      <c r="L637" s="18" t="s">
        <v>330</v>
      </c>
      <c r="M637" s="18" t="s">
        <v>331</v>
      </c>
      <c r="N637" s="55">
        <v>46076</v>
      </c>
      <c r="O637" s="18" t="str">
        <f>IFERROR(VLOOKUP(A637,'[2]RELAÇÃO DE OC''S VMI MEC 030226'!$B:$P,15,FALSE),"-")</f>
        <v>-</v>
      </c>
      <c r="P637" s="56">
        <f t="shared" ca="1" si="28"/>
        <v>0</v>
      </c>
      <c r="Q637" s="18" t="str">
        <f t="shared" ca="1" si="29"/>
        <v>DENTRO DO PRAZO</v>
      </c>
      <c r="R637" s="19" t="s">
        <v>5645</v>
      </c>
    </row>
    <row r="638" spans="1:18" ht="12.75" thickBot="1" x14ac:dyDescent="0.25">
      <c r="A638" s="18" t="str">
        <f t="shared" si="27"/>
        <v>052204006633.08.10242.00</v>
      </c>
      <c r="B638" s="51" t="s">
        <v>5561</v>
      </c>
      <c r="C638" s="51" t="s">
        <v>377</v>
      </c>
      <c r="D638" s="18" t="s">
        <v>268</v>
      </c>
      <c r="E638" s="18" t="s">
        <v>269</v>
      </c>
      <c r="F638" s="18" t="s">
        <v>328</v>
      </c>
      <c r="G638" s="52">
        <v>46030</v>
      </c>
      <c r="H638" s="18" t="s">
        <v>329</v>
      </c>
      <c r="I638" s="53">
        <v>1</v>
      </c>
      <c r="J638" s="54">
        <v>520</v>
      </c>
      <c r="K638" s="54">
        <v>520</v>
      </c>
      <c r="L638" s="18" t="s">
        <v>330</v>
      </c>
      <c r="M638" s="18" t="s">
        <v>331</v>
      </c>
      <c r="N638" s="55">
        <v>46076</v>
      </c>
      <c r="O638" s="18" t="str">
        <f>IFERROR(VLOOKUP(A638,'[2]RELAÇÃO DE OC''S VMI MEC 030226'!$B:$P,15,FALSE),"-")</f>
        <v>-</v>
      </c>
      <c r="P638" s="56">
        <f t="shared" ca="1" si="28"/>
        <v>0</v>
      </c>
      <c r="Q638" s="18" t="str">
        <f t="shared" ca="1" si="29"/>
        <v>DENTRO DO PRAZO</v>
      </c>
      <c r="R638" s="19" t="s">
        <v>5645</v>
      </c>
    </row>
    <row r="639" spans="1:18" ht="12.75" thickBot="1" x14ac:dyDescent="0.25">
      <c r="A639" s="18" t="str">
        <f t="shared" si="27"/>
        <v>052204006733.08.10245.02</v>
      </c>
      <c r="B639" s="51" t="s">
        <v>5561</v>
      </c>
      <c r="C639" s="51" t="s">
        <v>443</v>
      </c>
      <c r="D639" s="58" t="s">
        <v>272</v>
      </c>
      <c r="E639" s="58" t="s">
        <v>273</v>
      </c>
      <c r="F639" s="18" t="s">
        <v>328</v>
      </c>
      <c r="G639" s="52">
        <v>46030</v>
      </c>
      <c r="H639" s="18" t="s">
        <v>329</v>
      </c>
      <c r="I639" s="53">
        <v>6</v>
      </c>
      <c r="J639" s="54">
        <v>69</v>
      </c>
      <c r="K639" s="54">
        <v>414</v>
      </c>
      <c r="L639" s="18" t="s">
        <v>330</v>
      </c>
      <c r="M639" s="18" t="s">
        <v>331</v>
      </c>
      <c r="N639" s="55">
        <v>46076</v>
      </c>
      <c r="O639" s="18" t="str">
        <f>IFERROR(VLOOKUP(A639,'[2]RELAÇÃO DE OC''S VMI MEC 030226'!$B:$P,15,FALSE),"-")</f>
        <v>-</v>
      </c>
      <c r="P639" s="56">
        <f t="shared" ca="1" si="28"/>
        <v>0</v>
      </c>
      <c r="Q639" s="18" t="str">
        <f t="shared" ca="1" si="29"/>
        <v>DENTRO DO PRAZO</v>
      </c>
      <c r="R639" s="19" t="s">
        <v>5645</v>
      </c>
    </row>
    <row r="640" spans="1:18" ht="12.75" thickBot="1" x14ac:dyDescent="0.25">
      <c r="A640" s="18" t="str">
        <f t="shared" si="27"/>
        <v>052204006833.08.10249.02</v>
      </c>
      <c r="B640" s="51" t="s">
        <v>5561</v>
      </c>
      <c r="C640" s="51" t="s">
        <v>378</v>
      </c>
      <c r="D640" s="58" t="s">
        <v>274</v>
      </c>
      <c r="E640" s="58" t="s">
        <v>5603</v>
      </c>
      <c r="F640" s="18" t="s">
        <v>328</v>
      </c>
      <c r="G640" s="52">
        <v>46030</v>
      </c>
      <c r="H640" s="18" t="s">
        <v>329</v>
      </c>
      <c r="I640" s="53">
        <v>6</v>
      </c>
      <c r="J640" s="54">
        <v>69</v>
      </c>
      <c r="K640" s="54">
        <v>414</v>
      </c>
      <c r="L640" s="18" t="s">
        <v>330</v>
      </c>
      <c r="M640" s="18" t="s">
        <v>331</v>
      </c>
      <c r="N640" s="55">
        <v>46076</v>
      </c>
      <c r="O640" s="18" t="str">
        <f>IFERROR(VLOOKUP(A640,'[2]RELAÇÃO DE OC''S VMI MEC 030226'!$B:$P,15,FALSE),"-")</f>
        <v>-</v>
      </c>
      <c r="P640" s="56">
        <f t="shared" ca="1" si="28"/>
        <v>0</v>
      </c>
      <c r="Q640" s="18" t="str">
        <f t="shared" ca="1" si="29"/>
        <v>DENTRO DO PRAZO</v>
      </c>
      <c r="R640" s="19" t="s">
        <v>5645</v>
      </c>
    </row>
    <row r="641" spans="1:18" ht="12.75" thickBot="1" x14ac:dyDescent="0.25">
      <c r="A641" s="18" t="str">
        <f t="shared" si="27"/>
        <v>052204006933.08.10252.00</v>
      </c>
      <c r="B641" s="51" t="s">
        <v>5561</v>
      </c>
      <c r="C641" s="51" t="s">
        <v>401</v>
      </c>
      <c r="D641" s="58" t="s">
        <v>275</v>
      </c>
      <c r="E641" s="58" t="s">
        <v>276</v>
      </c>
      <c r="F641" s="18" t="s">
        <v>328</v>
      </c>
      <c r="G641" s="52">
        <v>46030</v>
      </c>
      <c r="H641" s="18" t="s">
        <v>329</v>
      </c>
      <c r="I641" s="53">
        <v>4</v>
      </c>
      <c r="J641" s="54">
        <v>56.9</v>
      </c>
      <c r="K641" s="54">
        <v>227.6</v>
      </c>
      <c r="L641" s="18" t="s">
        <v>330</v>
      </c>
      <c r="M641" s="18" t="s">
        <v>331</v>
      </c>
      <c r="N641" s="55">
        <v>46076</v>
      </c>
      <c r="O641" s="18" t="str">
        <f>IFERROR(VLOOKUP(A641,'[2]RELAÇÃO DE OC''S VMI MEC 030226'!$B:$P,15,FALSE),"-")</f>
        <v>-</v>
      </c>
      <c r="P641" s="56">
        <f t="shared" ca="1" si="28"/>
        <v>0</v>
      </c>
      <c r="Q641" s="18" t="str">
        <f t="shared" ca="1" si="29"/>
        <v>DENTRO DO PRAZO</v>
      </c>
      <c r="R641" s="19" t="s">
        <v>5645</v>
      </c>
    </row>
    <row r="642" spans="1:18" ht="12.75" thickBot="1" x14ac:dyDescent="0.25">
      <c r="A642" s="18" t="str">
        <f t="shared" ref="A642:A705" si="30">B642&amp;C642&amp;D642</f>
        <v>052204007033.08.10275.00</v>
      </c>
      <c r="B642" s="51" t="s">
        <v>5561</v>
      </c>
      <c r="C642" s="51" t="s">
        <v>426</v>
      </c>
      <c r="D642" s="58" t="s">
        <v>277</v>
      </c>
      <c r="E642" s="58" t="s">
        <v>278</v>
      </c>
      <c r="F642" s="18" t="s">
        <v>328</v>
      </c>
      <c r="G642" s="52">
        <v>46030</v>
      </c>
      <c r="H642" s="18" t="s">
        <v>329</v>
      </c>
      <c r="I642" s="53">
        <v>2</v>
      </c>
      <c r="J642" s="54">
        <v>476.2</v>
      </c>
      <c r="K642" s="54">
        <v>952.4</v>
      </c>
      <c r="L642" s="18" t="s">
        <v>330</v>
      </c>
      <c r="M642" s="18" t="s">
        <v>331</v>
      </c>
      <c r="N642" s="55">
        <v>46076</v>
      </c>
      <c r="O642" s="18" t="str">
        <f>IFERROR(VLOOKUP(A642,'[2]RELAÇÃO DE OC''S VMI MEC 030226'!$B:$P,15,FALSE),"-")</f>
        <v>-</v>
      </c>
      <c r="P642" s="56">
        <f t="shared" ref="P642:P705" ca="1" si="31">TODAY()-N642</f>
        <v>0</v>
      </c>
      <c r="Q642" s="18" t="str">
        <f t="shared" ref="Q642:Q705" ca="1" si="32">IF(P642&gt;0,"ATRASADO","DENTRO DO PRAZO")</f>
        <v>DENTRO DO PRAZO</v>
      </c>
      <c r="R642" s="19" t="s">
        <v>5645</v>
      </c>
    </row>
    <row r="643" spans="1:18" ht="12.75" thickBot="1" x14ac:dyDescent="0.25">
      <c r="A643" s="18" t="str">
        <f t="shared" si="30"/>
        <v>052204007133.08.10283.00</v>
      </c>
      <c r="B643" s="51" t="s">
        <v>5561</v>
      </c>
      <c r="C643" s="51" t="s">
        <v>336</v>
      </c>
      <c r="D643" s="58" t="s">
        <v>104</v>
      </c>
      <c r="E643" s="58" t="s">
        <v>105</v>
      </c>
      <c r="F643" s="18" t="s">
        <v>328</v>
      </c>
      <c r="G643" s="52">
        <v>46030</v>
      </c>
      <c r="H643" s="18" t="s">
        <v>329</v>
      </c>
      <c r="I643" s="53">
        <v>4</v>
      </c>
      <c r="J643" s="54">
        <v>33</v>
      </c>
      <c r="K643" s="54">
        <v>132</v>
      </c>
      <c r="L643" s="18" t="s">
        <v>330</v>
      </c>
      <c r="M643" s="18" t="s">
        <v>331</v>
      </c>
      <c r="N643" s="55">
        <v>46076</v>
      </c>
      <c r="O643" s="18" t="str">
        <f>IFERROR(VLOOKUP(A643,'[2]RELAÇÃO DE OC''S VMI MEC 030226'!$B:$P,15,FALSE),"-")</f>
        <v>-</v>
      </c>
      <c r="P643" s="56">
        <f t="shared" ca="1" si="31"/>
        <v>0</v>
      </c>
      <c r="Q643" s="18" t="str">
        <f t="shared" ca="1" si="32"/>
        <v>DENTRO DO PRAZO</v>
      </c>
      <c r="R643" s="19" t="s">
        <v>5645</v>
      </c>
    </row>
    <row r="644" spans="1:18" ht="12.75" thickBot="1" x14ac:dyDescent="0.25">
      <c r="A644" s="18" t="str">
        <f t="shared" si="30"/>
        <v>052204007233.99.10042.01</v>
      </c>
      <c r="B644" s="51" t="s">
        <v>5561</v>
      </c>
      <c r="C644" s="51" t="s">
        <v>697</v>
      </c>
      <c r="D644" s="58" t="s">
        <v>946</v>
      </c>
      <c r="E644" s="58" t="s">
        <v>947</v>
      </c>
      <c r="F644" s="18" t="s">
        <v>328</v>
      </c>
      <c r="G644" s="52">
        <v>46030</v>
      </c>
      <c r="H644" s="18" t="s">
        <v>329</v>
      </c>
      <c r="I644" s="53">
        <v>14</v>
      </c>
      <c r="J644" s="54">
        <v>32.799999999999997</v>
      </c>
      <c r="K644" s="54">
        <v>459.2</v>
      </c>
      <c r="L644" s="18" t="s">
        <v>330</v>
      </c>
      <c r="M644" s="18" t="s">
        <v>331</v>
      </c>
      <c r="N644" s="55">
        <v>46076</v>
      </c>
      <c r="O644" s="18" t="str">
        <f>IFERROR(VLOOKUP(A644,'[2]RELAÇÃO DE OC''S VMI MEC 030226'!$B:$P,15,FALSE),"-")</f>
        <v>-</v>
      </c>
      <c r="P644" s="56">
        <f t="shared" ca="1" si="31"/>
        <v>0</v>
      </c>
      <c r="Q644" s="18" t="str">
        <f t="shared" ca="1" si="32"/>
        <v>DENTRO DO PRAZO</v>
      </c>
      <c r="R644" s="19" t="s">
        <v>5645</v>
      </c>
    </row>
    <row r="645" spans="1:18" ht="12.75" thickBot="1" x14ac:dyDescent="0.25">
      <c r="A645" s="18" t="str">
        <f t="shared" si="30"/>
        <v>052204007333.99.10043.00</v>
      </c>
      <c r="B645" s="51" t="s">
        <v>5561</v>
      </c>
      <c r="C645" s="51" t="s">
        <v>698</v>
      </c>
      <c r="D645" s="58" t="s">
        <v>1800</v>
      </c>
      <c r="E645" s="58" t="s">
        <v>1801</v>
      </c>
      <c r="F645" s="18" t="s">
        <v>328</v>
      </c>
      <c r="G645" s="52">
        <v>46030</v>
      </c>
      <c r="H645" s="18" t="s">
        <v>329</v>
      </c>
      <c r="I645" s="53">
        <v>36</v>
      </c>
      <c r="J645" s="54">
        <v>27.5</v>
      </c>
      <c r="K645" s="54">
        <v>990</v>
      </c>
      <c r="L645" s="18" t="s">
        <v>330</v>
      </c>
      <c r="M645" s="18" t="s">
        <v>331</v>
      </c>
      <c r="N645" s="55">
        <v>46076</v>
      </c>
      <c r="O645" s="18" t="str">
        <f>IFERROR(VLOOKUP(A645,'[2]RELAÇÃO DE OC''S VMI MEC 030226'!$B:$P,15,FALSE),"-")</f>
        <v>-</v>
      </c>
      <c r="P645" s="56">
        <f t="shared" ca="1" si="31"/>
        <v>0</v>
      </c>
      <c r="Q645" s="18" t="str">
        <f t="shared" ca="1" si="32"/>
        <v>DENTRO DO PRAZO</v>
      </c>
      <c r="R645" s="19" t="s">
        <v>5645</v>
      </c>
    </row>
    <row r="646" spans="1:18" ht="12.75" thickBot="1" x14ac:dyDescent="0.25">
      <c r="A646" s="18" t="str">
        <f t="shared" si="30"/>
        <v>052204007421.23.00875</v>
      </c>
      <c r="B646" s="51" t="s">
        <v>5561</v>
      </c>
      <c r="C646" s="51" t="s">
        <v>379</v>
      </c>
      <c r="D646" s="58" t="s">
        <v>4631</v>
      </c>
      <c r="E646" s="58" t="s">
        <v>5610</v>
      </c>
      <c r="F646" s="18" t="s">
        <v>328</v>
      </c>
      <c r="G646" s="52">
        <v>46030</v>
      </c>
      <c r="H646" s="18" t="s">
        <v>329</v>
      </c>
      <c r="I646" s="53">
        <v>200</v>
      </c>
      <c r="J646" s="54">
        <v>71.08</v>
      </c>
      <c r="K646" s="54">
        <v>14216</v>
      </c>
      <c r="L646" s="18" t="s">
        <v>330</v>
      </c>
      <c r="M646" s="18" t="s">
        <v>331</v>
      </c>
      <c r="N646" s="55">
        <v>46090</v>
      </c>
      <c r="O646" s="18" t="str">
        <f>IFERROR(VLOOKUP(A646,'[2]RELAÇÃO DE OC''S VMI MEC 030226'!$B:$P,15,FALSE),"-")</f>
        <v>-</v>
      </c>
      <c r="P646" s="56">
        <f t="shared" ca="1" si="31"/>
        <v>-14</v>
      </c>
      <c r="Q646" s="18" t="str">
        <f t="shared" ca="1" si="32"/>
        <v>DENTRO DO PRAZO</v>
      </c>
      <c r="R646" s="19" t="s">
        <v>5645</v>
      </c>
    </row>
    <row r="647" spans="1:18" ht="12.75" thickBot="1" x14ac:dyDescent="0.25">
      <c r="A647" s="18" t="str">
        <f t="shared" si="30"/>
        <v>052204007521.23.00877</v>
      </c>
      <c r="B647" s="51" t="s">
        <v>5561</v>
      </c>
      <c r="C647" s="51" t="s">
        <v>402</v>
      </c>
      <c r="D647" s="58" t="s">
        <v>3502</v>
      </c>
      <c r="E647" s="58" t="s">
        <v>5612</v>
      </c>
      <c r="F647" s="18" t="s">
        <v>328</v>
      </c>
      <c r="G647" s="52">
        <v>46030</v>
      </c>
      <c r="H647" s="18" t="s">
        <v>329</v>
      </c>
      <c r="I647" s="53">
        <v>50</v>
      </c>
      <c r="J647" s="54">
        <v>33.03</v>
      </c>
      <c r="K647" s="54">
        <v>1651.5</v>
      </c>
      <c r="L647" s="18" t="s">
        <v>330</v>
      </c>
      <c r="M647" s="18" t="s">
        <v>331</v>
      </c>
      <c r="N647" s="55">
        <v>46090</v>
      </c>
      <c r="O647" s="18" t="str">
        <f>IFERROR(VLOOKUP(A647,'[2]RELAÇÃO DE OC''S VMI MEC 030226'!$B:$P,15,FALSE),"-")</f>
        <v>-</v>
      </c>
      <c r="P647" s="56">
        <f t="shared" ca="1" si="31"/>
        <v>-14</v>
      </c>
      <c r="Q647" s="18" t="str">
        <f t="shared" ca="1" si="32"/>
        <v>DENTRO DO PRAZO</v>
      </c>
      <c r="R647" s="19" t="s">
        <v>5645</v>
      </c>
    </row>
    <row r="648" spans="1:18" ht="12.75" thickBot="1" x14ac:dyDescent="0.25">
      <c r="A648" s="18" t="str">
        <f t="shared" si="30"/>
        <v>052204007621.23.00879</v>
      </c>
      <c r="B648" s="51" t="s">
        <v>5561</v>
      </c>
      <c r="C648" s="51" t="s">
        <v>337</v>
      </c>
      <c r="D648" s="58" t="s">
        <v>205</v>
      </c>
      <c r="E648" s="58" t="s">
        <v>896</v>
      </c>
      <c r="F648" s="18" t="s">
        <v>328</v>
      </c>
      <c r="G648" s="52">
        <v>46030</v>
      </c>
      <c r="H648" s="18" t="s">
        <v>329</v>
      </c>
      <c r="I648" s="53">
        <v>200</v>
      </c>
      <c r="J648" s="54">
        <v>67.3</v>
      </c>
      <c r="K648" s="54">
        <v>13460</v>
      </c>
      <c r="L648" s="18" t="s">
        <v>330</v>
      </c>
      <c r="M648" s="18" t="s">
        <v>331</v>
      </c>
      <c r="N648" s="55">
        <v>46062</v>
      </c>
      <c r="O648" s="18" t="str">
        <f>IFERROR(VLOOKUP(A648,'[2]RELAÇÃO DE OC''S VMI MEC 030226'!$B:$P,15,FALSE),"-")</f>
        <v>-</v>
      </c>
      <c r="P648" s="56">
        <f t="shared" ca="1" si="31"/>
        <v>14</v>
      </c>
      <c r="Q648" s="18" t="str">
        <f t="shared" ca="1" si="32"/>
        <v>ATRASADO</v>
      </c>
      <c r="R648" s="19" t="s">
        <v>5645</v>
      </c>
    </row>
    <row r="649" spans="1:18" ht="12.75" thickBot="1" x14ac:dyDescent="0.25">
      <c r="A649" s="18" t="str">
        <f t="shared" si="30"/>
        <v>052204007721.23.02017</v>
      </c>
      <c r="B649" s="51" t="s">
        <v>5561</v>
      </c>
      <c r="C649" s="51" t="s">
        <v>380</v>
      </c>
      <c r="D649" s="58" t="s">
        <v>949</v>
      </c>
      <c r="E649" s="58" t="s">
        <v>5615</v>
      </c>
      <c r="F649" s="18" t="s">
        <v>328</v>
      </c>
      <c r="G649" s="52">
        <v>46030</v>
      </c>
      <c r="H649" s="18" t="s">
        <v>329</v>
      </c>
      <c r="I649" s="53">
        <v>32</v>
      </c>
      <c r="J649" s="54">
        <v>178</v>
      </c>
      <c r="K649" s="54">
        <v>5696</v>
      </c>
      <c r="L649" s="18" t="s">
        <v>330</v>
      </c>
      <c r="M649" s="18" t="s">
        <v>331</v>
      </c>
      <c r="N649" s="55">
        <v>46088</v>
      </c>
      <c r="O649" s="18" t="str">
        <f>IFERROR(VLOOKUP(A649,'[2]RELAÇÃO DE OC''S VMI MEC 030226'!$B:$P,15,FALSE),"-")</f>
        <v>-</v>
      </c>
      <c r="P649" s="56">
        <f t="shared" ca="1" si="31"/>
        <v>-12</v>
      </c>
      <c r="Q649" s="18" t="str">
        <f t="shared" ca="1" si="32"/>
        <v>DENTRO DO PRAZO</v>
      </c>
      <c r="R649" s="19" t="s">
        <v>5645</v>
      </c>
    </row>
    <row r="650" spans="1:18" ht="12.75" thickBot="1" x14ac:dyDescent="0.25">
      <c r="A650" s="18" t="str">
        <f t="shared" si="30"/>
        <v>052204007821.23.02022</v>
      </c>
      <c r="B650" s="51" t="s">
        <v>5561</v>
      </c>
      <c r="C650" s="59" t="s">
        <v>403</v>
      </c>
      <c r="D650" s="58" t="s">
        <v>63</v>
      </c>
      <c r="E650" s="58" t="s">
        <v>64</v>
      </c>
      <c r="F650" s="18" t="s">
        <v>328</v>
      </c>
      <c r="G650" s="52">
        <v>46030</v>
      </c>
      <c r="H650" s="18" t="s">
        <v>329</v>
      </c>
      <c r="I650" s="53">
        <v>126</v>
      </c>
      <c r="J650" s="54">
        <v>528.29999999999995</v>
      </c>
      <c r="K650" s="54">
        <v>66565.8</v>
      </c>
      <c r="L650" s="18" t="s">
        <v>330</v>
      </c>
      <c r="M650" s="18" t="s">
        <v>331</v>
      </c>
      <c r="N650" s="55">
        <v>46088</v>
      </c>
      <c r="O650" s="18" t="str">
        <f>IFERROR(VLOOKUP(A650,'[2]RELAÇÃO DE OC''S VMI MEC 030226'!$B:$P,15,FALSE),"-")</f>
        <v>-</v>
      </c>
      <c r="P650" s="56">
        <f t="shared" ca="1" si="31"/>
        <v>-12</v>
      </c>
      <c r="Q650" s="18" t="str">
        <f t="shared" ca="1" si="32"/>
        <v>DENTRO DO PRAZO</v>
      </c>
      <c r="R650" s="19" t="s">
        <v>5645</v>
      </c>
    </row>
    <row r="651" spans="1:18" x14ac:dyDescent="0.2">
      <c r="A651" s="18" t="str">
        <f t="shared" si="30"/>
        <v>052728000121.23.02276</v>
      </c>
      <c r="B651" s="51" t="s">
        <v>5617</v>
      </c>
      <c r="C651" s="51" t="s">
        <v>438</v>
      </c>
      <c r="D651" s="51" t="s">
        <v>69</v>
      </c>
      <c r="E651" s="51" t="s">
        <v>144</v>
      </c>
      <c r="F651" s="18" t="s">
        <v>328</v>
      </c>
      <c r="G651" s="52">
        <v>46055</v>
      </c>
      <c r="H651" s="18" t="s">
        <v>518</v>
      </c>
      <c r="I651" s="53">
        <v>6</v>
      </c>
      <c r="J651" s="54">
        <v>237.73</v>
      </c>
      <c r="K651" s="54">
        <v>1426.38</v>
      </c>
      <c r="L651" s="18" t="s">
        <v>330</v>
      </c>
      <c r="M651" s="18" t="s">
        <v>331</v>
      </c>
      <c r="N651" s="55">
        <v>46055</v>
      </c>
      <c r="O651" s="18" t="str">
        <f>IFERROR(VLOOKUP(A651,'[2]RELAÇÃO DE OC''S VMI MEC 030226'!$B:$P,15,FALSE),"-")</f>
        <v>-</v>
      </c>
      <c r="P651" s="56">
        <f t="shared" ca="1" si="31"/>
        <v>21</v>
      </c>
      <c r="Q651" s="18" t="str">
        <f t="shared" ca="1" si="32"/>
        <v>ATRASADO</v>
      </c>
      <c r="R651" s="19" t="s">
        <v>5645</v>
      </c>
    </row>
    <row r="652" spans="1:18" x14ac:dyDescent="0.2">
      <c r="A652" s="18" t="str">
        <f t="shared" si="30"/>
        <v>052728000221.23.02333</v>
      </c>
      <c r="B652" s="51" t="s">
        <v>5617</v>
      </c>
      <c r="C652" s="51" t="s">
        <v>416</v>
      </c>
      <c r="D652" s="51" t="s">
        <v>779</v>
      </c>
      <c r="E652" s="51" t="s">
        <v>780</v>
      </c>
      <c r="F652" s="18" t="s">
        <v>328</v>
      </c>
      <c r="G652" s="52">
        <v>46055</v>
      </c>
      <c r="H652" s="18" t="s">
        <v>518</v>
      </c>
      <c r="I652" s="53">
        <v>6</v>
      </c>
      <c r="J652" s="54">
        <v>48.76</v>
      </c>
      <c r="K652" s="54">
        <v>292.56</v>
      </c>
      <c r="L652" s="18" t="s">
        <v>330</v>
      </c>
      <c r="M652" s="18" t="s">
        <v>331</v>
      </c>
      <c r="N652" s="55">
        <v>46055</v>
      </c>
      <c r="O652" s="18" t="str">
        <f>IFERROR(VLOOKUP(A652,'[2]RELAÇÃO DE OC''S VMI MEC 030226'!$B:$P,15,FALSE),"-")</f>
        <v>-</v>
      </c>
      <c r="P652" s="56">
        <f t="shared" ca="1" si="31"/>
        <v>21</v>
      </c>
      <c r="Q652" s="18" t="str">
        <f t="shared" ca="1" si="32"/>
        <v>ATRASADO</v>
      </c>
      <c r="R652" s="19" t="s">
        <v>5645</v>
      </c>
    </row>
    <row r="653" spans="1:18" x14ac:dyDescent="0.2">
      <c r="A653" s="18" t="str">
        <f t="shared" si="30"/>
        <v>052728000333.02.10034.02</v>
      </c>
      <c r="B653" s="51" t="s">
        <v>5617</v>
      </c>
      <c r="C653" s="51" t="s">
        <v>354</v>
      </c>
      <c r="D653" s="51" t="s">
        <v>812</v>
      </c>
      <c r="E653" s="51" t="s">
        <v>813</v>
      </c>
      <c r="F653" s="18" t="s">
        <v>328</v>
      </c>
      <c r="G653" s="52">
        <v>46055</v>
      </c>
      <c r="H653" s="18" t="s">
        <v>518</v>
      </c>
      <c r="I653" s="53">
        <v>6</v>
      </c>
      <c r="J653" s="54">
        <v>94.3</v>
      </c>
      <c r="K653" s="54">
        <v>565.79999999999995</v>
      </c>
      <c r="L653" s="18" t="s">
        <v>330</v>
      </c>
      <c r="M653" s="18" t="s">
        <v>331</v>
      </c>
      <c r="N653" s="55">
        <v>46055</v>
      </c>
      <c r="O653" s="18" t="str">
        <f>IFERROR(VLOOKUP(A653,'[2]RELAÇÃO DE OC''S VMI MEC 030226'!$B:$P,15,FALSE),"-")</f>
        <v>-</v>
      </c>
      <c r="P653" s="56">
        <f t="shared" ca="1" si="31"/>
        <v>21</v>
      </c>
      <c r="Q653" s="18" t="str">
        <f t="shared" ca="1" si="32"/>
        <v>ATRASADO</v>
      </c>
      <c r="R653" s="19" t="s">
        <v>5645</v>
      </c>
    </row>
    <row r="654" spans="1:18" ht="53.25" x14ac:dyDescent="0.2">
      <c r="A654" s="18" t="str">
        <f t="shared" si="30"/>
        <v>052728000433.03.10236.02</v>
      </c>
      <c r="B654" s="51" t="s">
        <v>5617</v>
      </c>
      <c r="C654" s="51" t="s">
        <v>417</v>
      </c>
      <c r="D654" s="51" t="s">
        <v>130</v>
      </c>
      <c r="E654" s="51" t="s">
        <v>138</v>
      </c>
      <c r="F654" s="18" t="s">
        <v>328</v>
      </c>
      <c r="G654" s="52">
        <v>46055</v>
      </c>
      <c r="H654" s="18" t="s">
        <v>518</v>
      </c>
      <c r="I654" s="53">
        <v>6</v>
      </c>
      <c r="J654" s="54">
        <v>56.5</v>
      </c>
      <c r="K654" s="54">
        <v>339</v>
      </c>
      <c r="L654" s="18" t="s">
        <v>330</v>
      </c>
      <c r="M654" s="18" t="s">
        <v>331</v>
      </c>
      <c r="N654" s="55">
        <v>46055</v>
      </c>
      <c r="O654" s="18" t="str">
        <f>IFERROR(VLOOKUP(A654,'[2]RELAÇÃO DE OC''S VMI MEC 030226'!$B:$P,15,FALSE),"-")</f>
        <v>-</v>
      </c>
      <c r="P654" s="56">
        <f t="shared" ca="1" si="31"/>
        <v>21</v>
      </c>
      <c r="Q654" s="18" t="str">
        <f t="shared" ca="1" si="32"/>
        <v>ATRASADO</v>
      </c>
      <c r="R654" s="19" t="s">
        <v>5679</v>
      </c>
    </row>
    <row r="655" spans="1:18" x14ac:dyDescent="0.2">
      <c r="A655" s="18" t="str">
        <f t="shared" si="30"/>
        <v>052728000533.08.10283.00</v>
      </c>
      <c r="B655" s="51" t="s">
        <v>5617</v>
      </c>
      <c r="C655" s="51" t="s">
        <v>355</v>
      </c>
      <c r="D655" s="51" t="s">
        <v>104</v>
      </c>
      <c r="E655" s="51" t="s">
        <v>105</v>
      </c>
      <c r="F655" s="18" t="s">
        <v>328</v>
      </c>
      <c r="G655" s="52">
        <v>46055</v>
      </c>
      <c r="H655" s="18" t="s">
        <v>518</v>
      </c>
      <c r="I655" s="53">
        <v>12</v>
      </c>
      <c r="J655" s="54">
        <v>31.2</v>
      </c>
      <c r="K655" s="54">
        <v>374.4</v>
      </c>
      <c r="L655" s="18" t="s">
        <v>330</v>
      </c>
      <c r="M655" s="18" t="s">
        <v>331</v>
      </c>
      <c r="N655" s="55">
        <v>46055</v>
      </c>
      <c r="O655" s="18" t="str">
        <f>IFERROR(VLOOKUP(A655,'[2]RELAÇÃO DE OC''S VMI MEC 030226'!$B:$P,15,FALSE),"-")</f>
        <v>-</v>
      </c>
      <c r="P655" s="56">
        <f t="shared" ca="1" si="31"/>
        <v>21</v>
      </c>
      <c r="Q655" s="18" t="str">
        <f t="shared" ca="1" si="32"/>
        <v>ATRASADO</v>
      </c>
      <c r="R655" s="19" t="s">
        <v>5645</v>
      </c>
    </row>
    <row r="656" spans="1:18" ht="12.75" thickBot="1" x14ac:dyDescent="0.25">
      <c r="A656" s="18" t="str">
        <f t="shared" si="30"/>
        <v>052728000633.08.10291.02</v>
      </c>
      <c r="B656" s="51" t="s">
        <v>5617</v>
      </c>
      <c r="C656" s="51" t="s">
        <v>327</v>
      </c>
      <c r="D656" s="51" t="s">
        <v>931</v>
      </c>
      <c r="E656" s="51" t="s">
        <v>932</v>
      </c>
      <c r="F656" s="18" t="s">
        <v>328</v>
      </c>
      <c r="G656" s="52">
        <v>46055</v>
      </c>
      <c r="H656" s="18" t="s">
        <v>518</v>
      </c>
      <c r="I656" s="53">
        <v>6</v>
      </c>
      <c r="J656" s="54">
        <v>398</v>
      </c>
      <c r="K656" s="54">
        <v>2388</v>
      </c>
      <c r="L656" s="18" t="s">
        <v>330</v>
      </c>
      <c r="M656" s="18" t="s">
        <v>331</v>
      </c>
      <c r="N656" s="55">
        <v>46055</v>
      </c>
      <c r="O656" s="18" t="str">
        <f>IFERROR(VLOOKUP(A656,'[2]RELAÇÃO DE OC''S VMI MEC 030226'!$B:$P,15,FALSE),"-")</f>
        <v>-</v>
      </c>
      <c r="P656" s="56">
        <f t="shared" ca="1" si="31"/>
        <v>21</v>
      </c>
      <c r="Q656" s="18" t="str">
        <f t="shared" ca="1" si="32"/>
        <v>ATRASADO</v>
      </c>
      <c r="R656" s="19" t="s">
        <v>5645</v>
      </c>
    </row>
    <row r="657" spans="1:18" ht="12.75" thickBot="1" x14ac:dyDescent="0.25">
      <c r="A657" s="18" t="str">
        <f t="shared" si="30"/>
        <v>052814000113.03.00125</v>
      </c>
      <c r="B657" s="51" t="s">
        <v>5618</v>
      </c>
      <c r="C657" s="18" t="s">
        <v>438</v>
      </c>
      <c r="D657" s="58" t="s">
        <v>543</v>
      </c>
      <c r="E657" s="58" t="s">
        <v>544</v>
      </c>
      <c r="F657" s="18" t="s">
        <v>328</v>
      </c>
      <c r="G657" s="52">
        <v>46057</v>
      </c>
      <c r="H657" s="18" t="s">
        <v>518</v>
      </c>
      <c r="I657" s="53">
        <v>1</v>
      </c>
      <c r="J657" s="54">
        <v>130.69999999999999</v>
      </c>
      <c r="K657" s="54">
        <v>130.69999999999999</v>
      </c>
      <c r="L657" s="18" t="s">
        <v>330</v>
      </c>
      <c r="M657" s="18" t="s">
        <v>331</v>
      </c>
      <c r="N657" s="55">
        <v>46057</v>
      </c>
      <c r="O657" s="18" t="str">
        <f>IFERROR(VLOOKUP(A657,'[2]RELAÇÃO DE OC''S VMI MEC 030226'!$B:$P,15,FALSE),"-")</f>
        <v>-</v>
      </c>
      <c r="P657" s="56">
        <f t="shared" ca="1" si="31"/>
        <v>19</v>
      </c>
      <c r="Q657" s="18" t="str">
        <f t="shared" ca="1" si="32"/>
        <v>ATRASADO</v>
      </c>
      <c r="R657" s="19" t="s">
        <v>5645</v>
      </c>
    </row>
    <row r="658" spans="1:18" ht="12.75" thickBot="1" x14ac:dyDescent="0.25">
      <c r="A658" s="18" t="str">
        <f t="shared" si="30"/>
        <v>052814000213.03.00163</v>
      </c>
      <c r="B658" s="51" t="s">
        <v>5618</v>
      </c>
      <c r="C658" s="18" t="s">
        <v>416</v>
      </c>
      <c r="D658" s="58" t="s">
        <v>545</v>
      </c>
      <c r="E658" s="58" t="s">
        <v>546</v>
      </c>
      <c r="F658" s="18" t="s">
        <v>328</v>
      </c>
      <c r="G658" s="52">
        <v>46057</v>
      </c>
      <c r="H658" s="18" t="s">
        <v>518</v>
      </c>
      <c r="I658" s="53">
        <v>1</v>
      </c>
      <c r="J658" s="54">
        <v>665</v>
      </c>
      <c r="K658" s="54">
        <v>665</v>
      </c>
      <c r="L658" s="18" t="s">
        <v>330</v>
      </c>
      <c r="M658" s="18" t="s">
        <v>331</v>
      </c>
      <c r="N658" s="55">
        <v>46057</v>
      </c>
      <c r="O658" s="18" t="str">
        <f>IFERROR(VLOOKUP(A658,'[2]RELAÇÃO DE OC''S VMI MEC 030226'!$B:$P,15,FALSE),"-")</f>
        <v>-</v>
      </c>
      <c r="P658" s="56">
        <f t="shared" ca="1" si="31"/>
        <v>19</v>
      </c>
      <c r="Q658" s="18" t="str">
        <f t="shared" ca="1" si="32"/>
        <v>ATRASADO</v>
      </c>
      <c r="R658" s="19" t="s">
        <v>5645</v>
      </c>
    </row>
    <row r="659" spans="1:18" ht="12.75" thickBot="1" x14ac:dyDescent="0.25">
      <c r="A659" s="18" t="str">
        <f t="shared" si="30"/>
        <v>052814000313.03.00164</v>
      </c>
      <c r="B659" s="51" t="s">
        <v>5618</v>
      </c>
      <c r="C659" s="18" t="s">
        <v>354</v>
      </c>
      <c r="D659" s="58" t="s">
        <v>547</v>
      </c>
      <c r="E659" s="58" t="s">
        <v>548</v>
      </c>
      <c r="F659" s="18" t="s">
        <v>328</v>
      </c>
      <c r="G659" s="52">
        <v>46057</v>
      </c>
      <c r="H659" s="18" t="s">
        <v>518</v>
      </c>
      <c r="I659" s="53">
        <v>1</v>
      </c>
      <c r="J659" s="54">
        <v>665</v>
      </c>
      <c r="K659" s="54">
        <v>665</v>
      </c>
      <c r="L659" s="18" t="s">
        <v>330</v>
      </c>
      <c r="M659" s="18" t="s">
        <v>331</v>
      </c>
      <c r="N659" s="55">
        <v>46057</v>
      </c>
      <c r="O659" s="18" t="str">
        <f>IFERROR(VLOOKUP(A659,'[2]RELAÇÃO DE OC''S VMI MEC 030226'!$B:$P,15,FALSE),"-")</f>
        <v>-</v>
      </c>
      <c r="P659" s="56">
        <f t="shared" ca="1" si="31"/>
        <v>19</v>
      </c>
      <c r="Q659" s="18" t="str">
        <f t="shared" ca="1" si="32"/>
        <v>ATRASADO</v>
      </c>
      <c r="R659" s="19" t="s">
        <v>5645</v>
      </c>
    </row>
    <row r="660" spans="1:18" ht="12.75" thickBot="1" x14ac:dyDescent="0.25">
      <c r="A660" s="18" t="str">
        <f t="shared" si="30"/>
        <v>052814000413.03.00191</v>
      </c>
      <c r="B660" s="51" t="s">
        <v>5618</v>
      </c>
      <c r="C660" s="18" t="s">
        <v>417</v>
      </c>
      <c r="D660" s="58" t="s">
        <v>555</v>
      </c>
      <c r="E660" s="58" t="s">
        <v>556</v>
      </c>
      <c r="F660" s="18" t="s">
        <v>328</v>
      </c>
      <c r="G660" s="52">
        <v>46057</v>
      </c>
      <c r="H660" s="18" t="s">
        <v>518</v>
      </c>
      <c r="I660" s="53">
        <v>1</v>
      </c>
      <c r="J660" s="54">
        <v>487.29</v>
      </c>
      <c r="K660" s="54">
        <v>487.29</v>
      </c>
      <c r="L660" s="18" t="s">
        <v>330</v>
      </c>
      <c r="M660" s="18" t="s">
        <v>331</v>
      </c>
      <c r="N660" s="55">
        <v>46057</v>
      </c>
      <c r="O660" s="18" t="str">
        <f>IFERROR(VLOOKUP(A660,'[2]RELAÇÃO DE OC''S VMI MEC 030226'!$B:$P,15,FALSE),"-")</f>
        <v>-</v>
      </c>
      <c r="P660" s="56">
        <f t="shared" ca="1" si="31"/>
        <v>19</v>
      </c>
      <c r="Q660" s="18" t="str">
        <f t="shared" ca="1" si="32"/>
        <v>ATRASADO</v>
      </c>
      <c r="R660" s="19" t="s">
        <v>5645</v>
      </c>
    </row>
    <row r="661" spans="1:18" ht="12.75" thickBot="1" x14ac:dyDescent="0.25">
      <c r="A661" s="18" t="str">
        <f t="shared" si="30"/>
        <v>052814000513.03.00201</v>
      </c>
      <c r="B661" s="51" t="s">
        <v>5618</v>
      </c>
      <c r="C661" s="18" t="s">
        <v>355</v>
      </c>
      <c r="D661" s="58" t="s">
        <v>559</v>
      </c>
      <c r="E661" s="58" t="s">
        <v>560</v>
      </c>
      <c r="F661" s="18" t="s">
        <v>328</v>
      </c>
      <c r="G661" s="52">
        <v>46057</v>
      </c>
      <c r="H661" s="18" t="s">
        <v>518</v>
      </c>
      <c r="I661" s="53">
        <v>2</v>
      </c>
      <c r="J661" s="54">
        <v>83.43</v>
      </c>
      <c r="K661" s="54">
        <v>166.86</v>
      </c>
      <c r="L661" s="18" t="s">
        <v>330</v>
      </c>
      <c r="M661" s="18" t="s">
        <v>331</v>
      </c>
      <c r="N661" s="55">
        <v>46057</v>
      </c>
      <c r="O661" s="18" t="str">
        <f>IFERROR(VLOOKUP(A661,'[2]RELAÇÃO DE OC''S VMI MEC 030226'!$B:$P,15,FALSE),"-")</f>
        <v>-</v>
      </c>
      <c r="P661" s="56">
        <f t="shared" ca="1" si="31"/>
        <v>19</v>
      </c>
      <c r="Q661" s="18" t="str">
        <f t="shared" ca="1" si="32"/>
        <v>ATRASADO</v>
      </c>
      <c r="R661" s="19" t="s">
        <v>5645</v>
      </c>
    </row>
    <row r="662" spans="1:18" ht="12.75" thickBot="1" x14ac:dyDescent="0.25">
      <c r="A662" s="18" t="str">
        <f t="shared" si="30"/>
        <v>052814000613.03.00005</v>
      </c>
      <c r="B662" s="51" t="s">
        <v>5618</v>
      </c>
      <c r="C662" s="18" t="s">
        <v>327</v>
      </c>
      <c r="D662" s="58" t="s">
        <v>521</v>
      </c>
      <c r="E662" s="58" t="s">
        <v>522</v>
      </c>
      <c r="F662" s="18" t="s">
        <v>328</v>
      </c>
      <c r="G662" s="52">
        <v>46057</v>
      </c>
      <c r="H662" s="18" t="s">
        <v>518</v>
      </c>
      <c r="I662" s="53">
        <v>1</v>
      </c>
      <c r="J662" s="54">
        <v>223.06</v>
      </c>
      <c r="K662" s="54">
        <v>223.06</v>
      </c>
      <c r="L662" s="18" t="s">
        <v>330</v>
      </c>
      <c r="M662" s="18" t="s">
        <v>331</v>
      </c>
      <c r="N662" s="55">
        <v>46057</v>
      </c>
      <c r="O662" s="18" t="str">
        <f>IFERROR(VLOOKUP(A662,'[2]RELAÇÃO DE OC''S VMI MEC 030226'!$B:$P,15,FALSE),"-")</f>
        <v>-</v>
      </c>
      <c r="P662" s="56">
        <f t="shared" ca="1" si="31"/>
        <v>19</v>
      </c>
      <c r="Q662" s="18" t="str">
        <f t="shared" ca="1" si="32"/>
        <v>ATRASADO</v>
      </c>
      <c r="R662" s="19" t="s">
        <v>5645</v>
      </c>
    </row>
    <row r="663" spans="1:18" ht="12.75" thickBot="1" x14ac:dyDescent="0.25">
      <c r="A663" s="18" t="str">
        <f t="shared" si="30"/>
        <v>052814000721.23.00224</v>
      </c>
      <c r="B663" s="51" t="s">
        <v>5618</v>
      </c>
      <c r="C663" s="18" t="s">
        <v>360</v>
      </c>
      <c r="D663" s="58" t="s">
        <v>577</v>
      </c>
      <c r="E663" s="58" t="s">
        <v>578</v>
      </c>
      <c r="F663" s="18" t="s">
        <v>328</v>
      </c>
      <c r="G663" s="52">
        <v>46057</v>
      </c>
      <c r="H663" s="18" t="s">
        <v>518</v>
      </c>
      <c r="I663" s="53">
        <v>1</v>
      </c>
      <c r="J663" s="54">
        <v>1822.5</v>
      </c>
      <c r="K663" s="54">
        <v>1822.5</v>
      </c>
      <c r="L663" s="18" t="s">
        <v>330</v>
      </c>
      <c r="M663" s="18" t="s">
        <v>331</v>
      </c>
      <c r="N663" s="55">
        <v>46057</v>
      </c>
      <c r="O663" s="18" t="str">
        <f>IFERROR(VLOOKUP(A663,'[2]RELAÇÃO DE OC''S VMI MEC 030226'!$B:$P,15,FALSE),"-")</f>
        <v>-</v>
      </c>
      <c r="P663" s="56">
        <f t="shared" ca="1" si="31"/>
        <v>19</v>
      </c>
      <c r="Q663" s="18" t="str">
        <f t="shared" ca="1" si="32"/>
        <v>ATRASADO</v>
      </c>
      <c r="R663" s="19" t="s">
        <v>5645</v>
      </c>
    </row>
    <row r="664" spans="1:18" ht="12.75" thickBot="1" x14ac:dyDescent="0.25">
      <c r="A664" s="18" t="str">
        <f t="shared" si="30"/>
        <v>052814000821.23.01019</v>
      </c>
      <c r="B664" s="51" t="s">
        <v>5618</v>
      </c>
      <c r="C664" s="18" t="s">
        <v>361</v>
      </c>
      <c r="D664" s="58" t="s">
        <v>306</v>
      </c>
      <c r="E664" s="58" t="s">
        <v>307</v>
      </c>
      <c r="F664" s="18" t="s">
        <v>328</v>
      </c>
      <c r="G664" s="52">
        <v>46057</v>
      </c>
      <c r="H664" s="18" t="s">
        <v>518</v>
      </c>
      <c r="I664" s="53">
        <v>4</v>
      </c>
      <c r="J664" s="54">
        <v>5.7</v>
      </c>
      <c r="K664" s="54">
        <v>22.8</v>
      </c>
      <c r="L664" s="18" t="s">
        <v>330</v>
      </c>
      <c r="M664" s="18" t="s">
        <v>331</v>
      </c>
      <c r="N664" s="55">
        <v>46057</v>
      </c>
      <c r="O664" s="18" t="str">
        <f>IFERROR(VLOOKUP(A664,'[2]RELAÇÃO DE OC''S VMI MEC 030226'!$B:$P,15,FALSE),"-")</f>
        <v>-</v>
      </c>
      <c r="P664" s="56">
        <f t="shared" ca="1" si="31"/>
        <v>19</v>
      </c>
      <c r="Q664" s="18" t="str">
        <f t="shared" ca="1" si="32"/>
        <v>ATRASADO</v>
      </c>
      <c r="R664" s="19" t="s">
        <v>5645</v>
      </c>
    </row>
    <row r="665" spans="1:18" ht="12.75" thickBot="1" x14ac:dyDescent="0.25">
      <c r="A665" s="18" t="str">
        <f t="shared" si="30"/>
        <v>052814000921.23.01042</v>
      </c>
      <c r="B665" s="51" t="s">
        <v>5618</v>
      </c>
      <c r="C665" s="18" t="s">
        <v>359</v>
      </c>
      <c r="D665" s="58" t="s">
        <v>899</v>
      </c>
      <c r="E665" s="58" t="s">
        <v>5680</v>
      </c>
      <c r="F665" s="18" t="s">
        <v>328</v>
      </c>
      <c r="G665" s="52">
        <v>46057</v>
      </c>
      <c r="H665" s="18" t="s">
        <v>518</v>
      </c>
      <c r="I665" s="53">
        <v>1</v>
      </c>
      <c r="J665" s="54">
        <v>13.34</v>
      </c>
      <c r="K665" s="54">
        <v>13.34</v>
      </c>
      <c r="L665" s="18" t="s">
        <v>330</v>
      </c>
      <c r="M665" s="18" t="s">
        <v>331</v>
      </c>
      <c r="N665" s="55">
        <v>46057</v>
      </c>
      <c r="O665" s="18" t="str">
        <f>IFERROR(VLOOKUP(A665,'[2]RELAÇÃO DE OC''S VMI MEC 030226'!$B:$P,15,FALSE),"-")</f>
        <v>-</v>
      </c>
      <c r="P665" s="56">
        <f t="shared" ca="1" si="31"/>
        <v>19</v>
      </c>
      <c r="Q665" s="18" t="str">
        <f t="shared" ca="1" si="32"/>
        <v>ATRASADO</v>
      </c>
      <c r="R665" s="19" t="s">
        <v>5645</v>
      </c>
    </row>
    <row r="666" spans="1:18" ht="12.75" thickBot="1" x14ac:dyDescent="0.25">
      <c r="A666" s="18" t="str">
        <f t="shared" si="30"/>
        <v>052814001021.23.01150</v>
      </c>
      <c r="B666" s="51" t="s">
        <v>5618</v>
      </c>
      <c r="C666" s="18" t="s">
        <v>387</v>
      </c>
      <c r="D666" s="58" t="s">
        <v>902</v>
      </c>
      <c r="E666" s="58" t="s">
        <v>5564</v>
      </c>
      <c r="F666" s="18" t="s">
        <v>328</v>
      </c>
      <c r="G666" s="52">
        <v>46057</v>
      </c>
      <c r="H666" s="18" t="s">
        <v>518</v>
      </c>
      <c r="I666" s="53">
        <v>3</v>
      </c>
      <c r="J666" s="54">
        <v>35.6</v>
      </c>
      <c r="K666" s="54">
        <v>106.8</v>
      </c>
      <c r="L666" s="18" t="s">
        <v>330</v>
      </c>
      <c r="M666" s="18" t="s">
        <v>331</v>
      </c>
      <c r="N666" s="55">
        <v>46057</v>
      </c>
      <c r="O666" s="18" t="str">
        <f>IFERROR(VLOOKUP(A666,'[2]RELAÇÃO DE OC''S VMI MEC 030226'!$B:$P,15,FALSE),"-")</f>
        <v>-</v>
      </c>
      <c r="P666" s="56">
        <f t="shared" ca="1" si="31"/>
        <v>19</v>
      </c>
      <c r="Q666" s="18" t="str">
        <f t="shared" ca="1" si="32"/>
        <v>ATRASADO</v>
      </c>
      <c r="R666" s="19" t="s">
        <v>5645</v>
      </c>
    </row>
    <row r="667" spans="1:18" ht="12.75" thickBot="1" x14ac:dyDescent="0.25">
      <c r="A667" s="18" t="str">
        <f t="shared" si="30"/>
        <v>052814001121.23.01301</v>
      </c>
      <c r="B667" s="51" t="s">
        <v>5618</v>
      </c>
      <c r="C667" s="18" t="s">
        <v>332</v>
      </c>
      <c r="D667" s="58" t="s">
        <v>45</v>
      </c>
      <c r="E667" s="58" t="s">
        <v>46</v>
      </c>
      <c r="F667" s="18" t="s">
        <v>328</v>
      </c>
      <c r="G667" s="52">
        <v>46057</v>
      </c>
      <c r="H667" s="18" t="s">
        <v>518</v>
      </c>
      <c r="I667" s="53">
        <v>2</v>
      </c>
      <c r="J667" s="54">
        <v>9.57</v>
      </c>
      <c r="K667" s="54">
        <v>19.14</v>
      </c>
      <c r="L667" s="18" t="s">
        <v>330</v>
      </c>
      <c r="M667" s="18" t="s">
        <v>331</v>
      </c>
      <c r="N667" s="55">
        <v>46057</v>
      </c>
      <c r="O667" s="18" t="str">
        <f>IFERROR(VLOOKUP(A667,'[2]RELAÇÃO DE OC''S VMI MEC 030226'!$B:$P,15,FALSE),"-")</f>
        <v>-</v>
      </c>
      <c r="P667" s="56">
        <f t="shared" ca="1" si="31"/>
        <v>19</v>
      </c>
      <c r="Q667" s="18" t="str">
        <f t="shared" ca="1" si="32"/>
        <v>ATRASADO</v>
      </c>
      <c r="R667" s="19" t="s">
        <v>5645</v>
      </c>
    </row>
    <row r="668" spans="1:18" ht="12.75" thickBot="1" x14ac:dyDescent="0.25">
      <c r="A668" s="18" t="str">
        <f t="shared" si="30"/>
        <v>052814001221.23.01302</v>
      </c>
      <c r="B668" s="51" t="s">
        <v>5618</v>
      </c>
      <c r="C668" s="18" t="s">
        <v>362</v>
      </c>
      <c r="D668" s="58" t="s">
        <v>47</v>
      </c>
      <c r="E668" s="58" t="s">
        <v>48</v>
      </c>
      <c r="F668" s="18" t="s">
        <v>328</v>
      </c>
      <c r="G668" s="52">
        <v>46057</v>
      </c>
      <c r="H668" s="18" t="s">
        <v>518</v>
      </c>
      <c r="I668" s="53">
        <v>5</v>
      </c>
      <c r="J668" s="54">
        <v>4.51</v>
      </c>
      <c r="K668" s="54">
        <v>22.55</v>
      </c>
      <c r="L668" s="18" t="s">
        <v>330</v>
      </c>
      <c r="M668" s="18" t="s">
        <v>331</v>
      </c>
      <c r="N668" s="55">
        <v>46057</v>
      </c>
      <c r="O668" s="18" t="str">
        <f>IFERROR(VLOOKUP(A668,'[2]RELAÇÃO DE OC''S VMI MEC 030226'!$B:$P,15,FALSE),"-")</f>
        <v>-</v>
      </c>
      <c r="P668" s="56">
        <f t="shared" ca="1" si="31"/>
        <v>19</v>
      </c>
      <c r="Q668" s="18" t="str">
        <f t="shared" ca="1" si="32"/>
        <v>ATRASADO</v>
      </c>
      <c r="R668" s="19" t="s">
        <v>5645</v>
      </c>
    </row>
    <row r="669" spans="1:18" ht="12.75" thickBot="1" x14ac:dyDescent="0.25">
      <c r="A669" s="18" t="str">
        <f t="shared" si="30"/>
        <v>052814001321.23.01313</v>
      </c>
      <c r="B669" s="51" t="s">
        <v>5618</v>
      </c>
      <c r="C669" s="18" t="s">
        <v>333</v>
      </c>
      <c r="D669" s="58" t="s">
        <v>50</v>
      </c>
      <c r="E669" s="58" t="s">
        <v>5566</v>
      </c>
      <c r="F669" s="18" t="s">
        <v>328</v>
      </c>
      <c r="G669" s="52">
        <v>46057</v>
      </c>
      <c r="H669" s="18" t="s">
        <v>518</v>
      </c>
      <c r="I669" s="53">
        <v>1</v>
      </c>
      <c r="J669" s="54">
        <v>110.86</v>
      </c>
      <c r="K669" s="54">
        <v>110.86</v>
      </c>
      <c r="L669" s="18" t="s">
        <v>330</v>
      </c>
      <c r="M669" s="18" t="s">
        <v>331</v>
      </c>
      <c r="N669" s="55">
        <v>46057</v>
      </c>
      <c r="O669" s="18" t="str">
        <f>IFERROR(VLOOKUP(A669,'[2]RELAÇÃO DE OC''S VMI MEC 030226'!$B:$P,15,FALSE),"-")</f>
        <v>-</v>
      </c>
      <c r="P669" s="56">
        <f t="shared" ca="1" si="31"/>
        <v>19</v>
      </c>
      <c r="Q669" s="18" t="str">
        <f t="shared" ca="1" si="32"/>
        <v>ATRASADO</v>
      </c>
      <c r="R669" s="19" t="s">
        <v>5645</v>
      </c>
    </row>
    <row r="670" spans="1:18" ht="12.75" thickBot="1" x14ac:dyDescent="0.25">
      <c r="A670" s="18" t="str">
        <f t="shared" si="30"/>
        <v>052814001421.23.01456</v>
      </c>
      <c r="B670" s="51" t="s">
        <v>5618</v>
      </c>
      <c r="C670" s="18" t="s">
        <v>388</v>
      </c>
      <c r="D670" s="58" t="s">
        <v>3533</v>
      </c>
      <c r="E670" s="58" t="s">
        <v>5681</v>
      </c>
      <c r="F670" s="18" t="s">
        <v>328</v>
      </c>
      <c r="G670" s="52">
        <v>46057</v>
      </c>
      <c r="H670" s="18" t="s">
        <v>518</v>
      </c>
      <c r="I670" s="53">
        <v>2</v>
      </c>
      <c r="J670" s="54">
        <v>80.22</v>
      </c>
      <c r="K670" s="54">
        <v>160.44</v>
      </c>
      <c r="L670" s="18" t="s">
        <v>330</v>
      </c>
      <c r="M670" s="18" t="s">
        <v>331</v>
      </c>
      <c r="N670" s="55">
        <v>46057</v>
      </c>
      <c r="O670" s="18" t="str">
        <f>IFERROR(VLOOKUP(A670,'[2]RELAÇÃO DE OC''S VMI MEC 030226'!$B:$P,15,FALSE),"-")</f>
        <v>-</v>
      </c>
      <c r="P670" s="56">
        <f t="shared" ca="1" si="31"/>
        <v>19</v>
      </c>
      <c r="Q670" s="18" t="str">
        <f t="shared" ca="1" si="32"/>
        <v>ATRASADO</v>
      </c>
      <c r="R670" s="19" t="s">
        <v>5645</v>
      </c>
    </row>
    <row r="671" spans="1:18" ht="12.75" thickBot="1" x14ac:dyDescent="0.25">
      <c r="A671" s="18" t="str">
        <f t="shared" si="30"/>
        <v>052814001521.23.02070</v>
      </c>
      <c r="B671" s="51" t="s">
        <v>5618</v>
      </c>
      <c r="C671" s="18" t="s">
        <v>439</v>
      </c>
      <c r="D671" s="58" t="s">
        <v>210</v>
      </c>
      <c r="E671" s="58" t="s">
        <v>211</v>
      </c>
      <c r="F671" s="18" t="s">
        <v>328</v>
      </c>
      <c r="G671" s="52">
        <v>46057</v>
      </c>
      <c r="H671" s="18" t="s">
        <v>518</v>
      </c>
      <c r="I671" s="53">
        <v>2</v>
      </c>
      <c r="J671" s="54">
        <v>466</v>
      </c>
      <c r="K671" s="54">
        <v>932</v>
      </c>
      <c r="L671" s="18" t="s">
        <v>330</v>
      </c>
      <c r="M671" s="18" t="s">
        <v>331</v>
      </c>
      <c r="N671" s="55">
        <v>46057</v>
      </c>
      <c r="O671" s="18" t="str">
        <f>IFERROR(VLOOKUP(A671,'[2]RELAÇÃO DE OC''S VMI MEC 030226'!$B:$P,15,FALSE),"-")</f>
        <v>-</v>
      </c>
      <c r="P671" s="56">
        <f t="shared" ca="1" si="31"/>
        <v>19</v>
      </c>
      <c r="Q671" s="18" t="str">
        <f t="shared" ca="1" si="32"/>
        <v>ATRASADO</v>
      </c>
      <c r="R671" s="19" t="s">
        <v>5645</v>
      </c>
    </row>
    <row r="672" spans="1:18" ht="12.75" thickBot="1" x14ac:dyDescent="0.25">
      <c r="A672" s="18" t="str">
        <f t="shared" si="30"/>
        <v>052814001621.23.02073</v>
      </c>
      <c r="B672" s="51" t="s">
        <v>5618</v>
      </c>
      <c r="C672" s="18" t="s">
        <v>440</v>
      </c>
      <c r="D672" s="58" t="s">
        <v>214</v>
      </c>
      <c r="E672" s="58" t="s">
        <v>215</v>
      </c>
      <c r="F672" s="18" t="s">
        <v>328</v>
      </c>
      <c r="G672" s="52">
        <v>46057</v>
      </c>
      <c r="H672" s="18" t="s">
        <v>518</v>
      </c>
      <c r="I672" s="53">
        <v>1</v>
      </c>
      <c r="J672" s="54">
        <v>715.2</v>
      </c>
      <c r="K672" s="54">
        <v>715.2</v>
      </c>
      <c r="L672" s="18" t="s">
        <v>330</v>
      </c>
      <c r="M672" s="18" t="s">
        <v>331</v>
      </c>
      <c r="N672" s="55">
        <v>46057</v>
      </c>
      <c r="O672" s="18" t="str">
        <f>IFERROR(VLOOKUP(A672,'[2]RELAÇÃO DE OC''S VMI MEC 030226'!$B:$P,15,FALSE),"-")</f>
        <v>-</v>
      </c>
      <c r="P672" s="56">
        <f t="shared" ca="1" si="31"/>
        <v>19</v>
      </c>
      <c r="Q672" s="18" t="str">
        <f t="shared" ca="1" si="32"/>
        <v>ATRASADO</v>
      </c>
      <c r="R672" s="19" t="s">
        <v>5645</v>
      </c>
    </row>
    <row r="673" spans="1:18" ht="12.75" thickBot="1" x14ac:dyDescent="0.25">
      <c r="A673" s="18" t="str">
        <f t="shared" si="30"/>
        <v>052814001721.23.02075</v>
      </c>
      <c r="B673" s="51" t="s">
        <v>5618</v>
      </c>
      <c r="C673" s="18" t="s">
        <v>351</v>
      </c>
      <c r="D673" s="58" t="s">
        <v>614</v>
      </c>
      <c r="E673" s="58" t="s">
        <v>615</v>
      </c>
      <c r="F673" s="18" t="s">
        <v>328</v>
      </c>
      <c r="G673" s="52">
        <v>46057</v>
      </c>
      <c r="H673" s="18" t="s">
        <v>518</v>
      </c>
      <c r="I673" s="53">
        <v>2</v>
      </c>
      <c r="J673" s="54">
        <v>770.9</v>
      </c>
      <c r="K673" s="54">
        <v>1541.8</v>
      </c>
      <c r="L673" s="18" t="s">
        <v>330</v>
      </c>
      <c r="M673" s="18" t="s">
        <v>331</v>
      </c>
      <c r="N673" s="55">
        <v>46057</v>
      </c>
      <c r="O673" s="18" t="str">
        <f>IFERROR(VLOOKUP(A673,'[2]RELAÇÃO DE OC''S VMI MEC 030226'!$B:$P,15,FALSE),"-")</f>
        <v>-</v>
      </c>
      <c r="P673" s="56">
        <f t="shared" ca="1" si="31"/>
        <v>19</v>
      </c>
      <c r="Q673" s="18" t="str">
        <f t="shared" ca="1" si="32"/>
        <v>ATRASADO</v>
      </c>
      <c r="R673" s="19" t="s">
        <v>5645</v>
      </c>
    </row>
    <row r="674" spans="1:18" ht="12.75" thickBot="1" x14ac:dyDescent="0.25">
      <c r="A674" s="18" t="str">
        <f t="shared" si="30"/>
        <v>052814001821.23.02079</v>
      </c>
      <c r="B674" s="51" t="s">
        <v>5618</v>
      </c>
      <c r="C674" s="18" t="s">
        <v>363</v>
      </c>
      <c r="D674" s="58" t="s">
        <v>617</v>
      </c>
      <c r="E674" s="58" t="s">
        <v>618</v>
      </c>
      <c r="F674" s="18" t="s">
        <v>328</v>
      </c>
      <c r="G674" s="52">
        <v>46057</v>
      </c>
      <c r="H674" s="18" t="s">
        <v>518</v>
      </c>
      <c r="I674" s="53">
        <v>2</v>
      </c>
      <c r="J674" s="54">
        <v>97.11</v>
      </c>
      <c r="K674" s="54">
        <v>194.22</v>
      </c>
      <c r="L674" s="18" t="s">
        <v>330</v>
      </c>
      <c r="M674" s="18" t="s">
        <v>331</v>
      </c>
      <c r="N674" s="55">
        <v>46057</v>
      </c>
      <c r="O674" s="18" t="str">
        <f>IFERROR(VLOOKUP(A674,'[2]RELAÇÃO DE OC''S VMI MEC 030226'!$B:$P,15,FALSE),"-")</f>
        <v>-</v>
      </c>
      <c r="P674" s="56">
        <f t="shared" ca="1" si="31"/>
        <v>19</v>
      </c>
      <c r="Q674" s="18" t="str">
        <f t="shared" ca="1" si="32"/>
        <v>ATRASADO</v>
      </c>
      <c r="R674" s="19" t="s">
        <v>5645</v>
      </c>
    </row>
    <row r="675" spans="1:18" ht="12.75" thickBot="1" x14ac:dyDescent="0.25">
      <c r="A675" s="18" t="str">
        <f t="shared" si="30"/>
        <v>052814001921.23.02080</v>
      </c>
      <c r="B675" s="51" t="s">
        <v>5618</v>
      </c>
      <c r="C675" s="18" t="s">
        <v>334</v>
      </c>
      <c r="D675" s="58" t="s">
        <v>218</v>
      </c>
      <c r="E675" s="58" t="s">
        <v>219</v>
      </c>
      <c r="F675" s="18" t="s">
        <v>328</v>
      </c>
      <c r="G675" s="52">
        <v>46057</v>
      </c>
      <c r="H675" s="18" t="s">
        <v>518</v>
      </c>
      <c r="I675" s="53">
        <v>1</v>
      </c>
      <c r="J675" s="54">
        <v>763.8</v>
      </c>
      <c r="K675" s="54">
        <v>763.8</v>
      </c>
      <c r="L675" s="18" t="s">
        <v>330</v>
      </c>
      <c r="M675" s="18" t="s">
        <v>331</v>
      </c>
      <c r="N675" s="55">
        <v>46057</v>
      </c>
      <c r="O675" s="18" t="str">
        <f>IFERROR(VLOOKUP(A675,'[2]RELAÇÃO DE OC''S VMI MEC 030226'!$B:$P,15,FALSE),"-")</f>
        <v>-</v>
      </c>
      <c r="P675" s="56">
        <f t="shared" ca="1" si="31"/>
        <v>19</v>
      </c>
      <c r="Q675" s="18" t="str">
        <f t="shared" ca="1" si="32"/>
        <v>ATRASADO</v>
      </c>
      <c r="R675" s="19" t="s">
        <v>5645</v>
      </c>
    </row>
    <row r="676" spans="1:18" ht="12.75" thickBot="1" x14ac:dyDescent="0.25">
      <c r="A676" s="18" t="str">
        <f t="shared" si="30"/>
        <v>052814002021.23.02097</v>
      </c>
      <c r="B676" s="51" t="s">
        <v>5618</v>
      </c>
      <c r="C676" s="18" t="s">
        <v>418</v>
      </c>
      <c r="D676" s="58" t="s">
        <v>633</v>
      </c>
      <c r="E676" s="58" t="s">
        <v>634</v>
      </c>
      <c r="F676" s="18" t="s">
        <v>328</v>
      </c>
      <c r="G676" s="52">
        <v>46057</v>
      </c>
      <c r="H676" s="18" t="s">
        <v>518</v>
      </c>
      <c r="I676" s="53">
        <v>1</v>
      </c>
      <c r="J676" s="54">
        <v>1920</v>
      </c>
      <c r="K676" s="54">
        <v>1920</v>
      </c>
      <c r="L676" s="18" t="s">
        <v>330</v>
      </c>
      <c r="M676" s="18" t="s">
        <v>331</v>
      </c>
      <c r="N676" s="55">
        <v>46057</v>
      </c>
      <c r="O676" s="18" t="str">
        <f>IFERROR(VLOOKUP(A676,'[2]RELAÇÃO DE OC''S VMI MEC 030226'!$B:$P,15,FALSE),"-")</f>
        <v>-</v>
      </c>
      <c r="P676" s="56">
        <f t="shared" ca="1" si="31"/>
        <v>19</v>
      </c>
      <c r="Q676" s="18" t="str">
        <f t="shared" ca="1" si="32"/>
        <v>ATRASADO</v>
      </c>
      <c r="R676" s="19" t="s">
        <v>5645</v>
      </c>
    </row>
    <row r="677" spans="1:18" ht="12.75" thickBot="1" x14ac:dyDescent="0.25">
      <c r="A677" s="18" t="str">
        <f t="shared" si="30"/>
        <v>052814002121.23.02106</v>
      </c>
      <c r="B677" s="51" t="s">
        <v>5618</v>
      </c>
      <c r="C677" s="18" t="s">
        <v>389</v>
      </c>
      <c r="D677" s="58" t="s">
        <v>643</v>
      </c>
      <c r="E677" s="58" t="s">
        <v>644</v>
      </c>
      <c r="F677" s="18" t="s">
        <v>328</v>
      </c>
      <c r="G677" s="52">
        <v>46057</v>
      </c>
      <c r="H677" s="18" t="s">
        <v>518</v>
      </c>
      <c r="I677" s="53">
        <v>2</v>
      </c>
      <c r="J677" s="54">
        <v>44</v>
      </c>
      <c r="K677" s="54">
        <v>88</v>
      </c>
      <c r="L677" s="18" t="s">
        <v>330</v>
      </c>
      <c r="M677" s="18" t="s">
        <v>331</v>
      </c>
      <c r="N677" s="55">
        <v>46057</v>
      </c>
      <c r="O677" s="18" t="str">
        <f>IFERROR(VLOOKUP(A677,'[2]RELAÇÃO DE OC''S VMI MEC 030226'!$B:$P,15,FALSE),"-")</f>
        <v>-</v>
      </c>
      <c r="P677" s="56">
        <f t="shared" ca="1" si="31"/>
        <v>19</v>
      </c>
      <c r="Q677" s="18" t="str">
        <f t="shared" ca="1" si="32"/>
        <v>ATRASADO</v>
      </c>
      <c r="R677" s="19" t="s">
        <v>5645</v>
      </c>
    </row>
    <row r="678" spans="1:18" ht="12.75" thickBot="1" x14ac:dyDescent="0.25">
      <c r="A678" s="18" t="str">
        <f t="shared" si="30"/>
        <v>052814002221.23.02254</v>
      </c>
      <c r="B678" s="51" t="s">
        <v>5618</v>
      </c>
      <c r="C678" s="18" t="s">
        <v>390</v>
      </c>
      <c r="D678" s="58" t="s">
        <v>67</v>
      </c>
      <c r="E678" s="58" t="s">
        <v>165</v>
      </c>
      <c r="F678" s="18" t="s">
        <v>328</v>
      </c>
      <c r="G678" s="52">
        <v>46057</v>
      </c>
      <c r="H678" s="18" t="s">
        <v>518</v>
      </c>
      <c r="I678" s="53">
        <v>1</v>
      </c>
      <c r="J678" s="54">
        <v>467.45</v>
      </c>
      <c r="K678" s="54">
        <v>467.45</v>
      </c>
      <c r="L678" s="18" t="s">
        <v>330</v>
      </c>
      <c r="M678" s="18" t="s">
        <v>331</v>
      </c>
      <c r="N678" s="55">
        <v>46057</v>
      </c>
      <c r="O678" s="18" t="str">
        <f>IFERROR(VLOOKUP(A678,'[2]RELAÇÃO DE OC''S VMI MEC 030226'!$B:$P,15,FALSE),"-")</f>
        <v>-</v>
      </c>
      <c r="P678" s="56">
        <f t="shared" ca="1" si="31"/>
        <v>19</v>
      </c>
      <c r="Q678" s="18" t="str">
        <f t="shared" ca="1" si="32"/>
        <v>ATRASADO</v>
      </c>
      <c r="R678" s="19" t="s">
        <v>5645</v>
      </c>
    </row>
    <row r="679" spans="1:18" ht="12.75" thickBot="1" x14ac:dyDescent="0.25">
      <c r="A679" s="18" t="str">
        <f t="shared" si="30"/>
        <v>052814002321.23.02272</v>
      </c>
      <c r="B679" s="51" t="s">
        <v>5618</v>
      </c>
      <c r="C679" s="18" t="s">
        <v>364</v>
      </c>
      <c r="D679" s="58" t="s">
        <v>764</v>
      </c>
      <c r="E679" s="58" t="s">
        <v>765</v>
      </c>
      <c r="F679" s="18" t="s">
        <v>328</v>
      </c>
      <c r="G679" s="52">
        <v>46057</v>
      </c>
      <c r="H679" s="18" t="s">
        <v>518</v>
      </c>
      <c r="I679" s="53">
        <v>1</v>
      </c>
      <c r="J679" s="54">
        <v>35.6</v>
      </c>
      <c r="K679" s="54">
        <v>35.6</v>
      </c>
      <c r="L679" s="18" t="s">
        <v>330</v>
      </c>
      <c r="M679" s="18" t="s">
        <v>331</v>
      </c>
      <c r="N679" s="55">
        <v>46057</v>
      </c>
      <c r="O679" s="18" t="str">
        <f>IFERROR(VLOOKUP(A679,'[2]RELAÇÃO DE OC''S VMI MEC 030226'!$B:$P,15,FALSE),"-")</f>
        <v>-</v>
      </c>
      <c r="P679" s="56">
        <f t="shared" ca="1" si="31"/>
        <v>19</v>
      </c>
      <c r="Q679" s="18" t="str">
        <f t="shared" ca="1" si="32"/>
        <v>ATRASADO</v>
      </c>
      <c r="R679" s="19" t="s">
        <v>5645</v>
      </c>
    </row>
    <row r="680" spans="1:18" ht="12.75" thickBot="1" x14ac:dyDescent="0.25">
      <c r="A680" s="18" t="str">
        <f t="shared" si="30"/>
        <v>052814002421.23.02279</v>
      </c>
      <c r="B680" s="51" t="s">
        <v>5618</v>
      </c>
      <c r="C680" s="18" t="s">
        <v>365</v>
      </c>
      <c r="D680" s="58" t="s">
        <v>30</v>
      </c>
      <c r="E680" s="58" t="s">
        <v>157</v>
      </c>
      <c r="F680" s="18" t="s">
        <v>328</v>
      </c>
      <c r="G680" s="52">
        <v>46057</v>
      </c>
      <c r="H680" s="18" t="s">
        <v>518</v>
      </c>
      <c r="I680" s="53">
        <v>4</v>
      </c>
      <c r="J680" s="54">
        <v>623.76</v>
      </c>
      <c r="K680" s="54">
        <v>2495.04</v>
      </c>
      <c r="L680" s="18" t="s">
        <v>330</v>
      </c>
      <c r="M680" s="18" t="s">
        <v>331</v>
      </c>
      <c r="N680" s="55">
        <v>46057</v>
      </c>
      <c r="O680" s="18" t="str">
        <f>IFERROR(VLOOKUP(A680,'[2]RELAÇÃO DE OC''S VMI MEC 030226'!$B:$P,15,FALSE),"-")</f>
        <v>-</v>
      </c>
      <c r="P680" s="56">
        <f t="shared" ca="1" si="31"/>
        <v>19</v>
      </c>
      <c r="Q680" s="18" t="str">
        <f t="shared" ca="1" si="32"/>
        <v>ATRASADO</v>
      </c>
      <c r="R680" s="19" t="s">
        <v>5645</v>
      </c>
    </row>
    <row r="681" spans="1:18" ht="12.75" thickBot="1" x14ac:dyDescent="0.25">
      <c r="A681" s="18" t="str">
        <f t="shared" si="30"/>
        <v>052814002521.23.02309</v>
      </c>
      <c r="B681" s="51" t="s">
        <v>5618</v>
      </c>
      <c r="C681" s="18" t="s">
        <v>441</v>
      </c>
      <c r="D681" s="58" t="s">
        <v>776</v>
      </c>
      <c r="E681" s="58" t="s">
        <v>777</v>
      </c>
      <c r="F681" s="18" t="s">
        <v>328</v>
      </c>
      <c r="G681" s="52">
        <v>46057</v>
      </c>
      <c r="H681" s="18" t="s">
        <v>518</v>
      </c>
      <c r="I681" s="53">
        <v>1</v>
      </c>
      <c r="J681" s="54">
        <v>230.28</v>
      </c>
      <c r="K681" s="54">
        <v>230.28</v>
      </c>
      <c r="L681" s="18" t="s">
        <v>330</v>
      </c>
      <c r="M681" s="18" t="s">
        <v>331</v>
      </c>
      <c r="N681" s="55">
        <v>46057</v>
      </c>
      <c r="O681" s="18" t="str">
        <f>IFERROR(VLOOKUP(A681,'[2]RELAÇÃO DE OC''S VMI MEC 030226'!$B:$P,15,FALSE),"-")</f>
        <v>-</v>
      </c>
      <c r="P681" s="56">
        <f t="shared" ca="1" si="31"/>
        <v>19</v>
      </c>
      <c r="Q681" s="18" t="str">
        <f t="shared" ca="1" si="32"/>
        <v>ATRASADO</v>
      </c>
      <c r="R681" s="19" t="s">
        <v>5645</v>
      </c>
    </row>
    <row r="682" spans="1:18" ht="12.75" thickBot="1" x14ac:dyDescent="0.25">
      <c r="A682" s="18" t="str">
        <f t="shared" si="30"/>
        <v>052814002621.23.02322</v>
      </c>
      <c r="B682" s="51" t="s">
        <v>5618</v>
      </c>
      <c r="C682" s="18" t="s">
        <v>366</v>
      </c>
      <c r="D682" s="58" t="s">
        <v>969</v>
      </c>
      <c r="E682" s="58" t="s">
        <v>970</v>
      </c>
      <c r="F682" s="18" t="s">
        <v>328</v>
      </c>
      <c r="G682" s="52">
        <v>46057</v>
      </c>
      <c r="H682" s="18" t="s">
        <v>518</v>
      </c>
      <c r="I682" s="53">
        <v>3</v>
      </c>
      <c r="J682" s="54">
        <v>92.92</v>
      </c>
      <c r="K682" s="54">
        <v>278.76</v>
      </c>
      <c r="L682" s="18" t="s">
        <v>330</v>
      </c>
      <c r="M682" s="18" t="s">
        <v>331</v>
      </c>
      <c r="N682" s="55">
        <v>46057</v>
      </c>
      <c r="O682" s="18" t="str">
        <f>IFERROR(VLOOKUP(A682,'[2]RELAÇÃO DE OC''S VMI MEC 030226'!$B:$P,15,FALSE),"-")</f>
        <v>-</v>
      </c>
      <c r="P682" s="56">
        <f t="shared" ca="1" si="31"/>
        <v>19</v>
      </c>
      <c r="Q682" s="18" t="str">
        <f t="shared" ca="1" si="32"/>
        <v>ATRASADO</v>
      </c>
      <c r="R682" s="19" t="s">
        <v>5645</v>
      </c>
    </row>
    <row r="683" spans="1:18" ht="12.75" thickBot="1" x14ac:dyDescent="0.25">
      <c r="A683" s="18" t="str">
        <f t="shared" si="30"/>
        <v>052814002721.23.02331</v>
      </c>
      <c r="B683" s="51" t="s">
        <v>5618</v>
      </c>
      <c r="C683" s="18" t="s">
        <v>367</v>
      </c>
      <c r="D683" s="58" t="s">
        <v>476</v>
      </c>
      <c r="E683" s="58" t="s">
        <v>477</v>
      </c>
      <c r="F683" s="18" t="s">
        <v>328</v>
      </c>
      <c r="G683" s="52">
        <v>46057</v>
      </c>
      <c r="H683" s="18" t="s">
        <v>518</v>
      </c>
      <c r="I683" s="53">
        <v>1</v>
      </c>
      <c r="J683" s="54">
        <v>632.04</v>
      </c>
      <c r="K683" s="54">
        <v>632.04</v>
      </c>
      <c r="L683" s="18" t="s">
        <v>330</v>
      </c>
      <c r="M683" s="18" t="s">
        <v>331</v>
      </c>
      <c r="N683" s="55">
        <v>46057</v>
      </c>
      <c r="O683" s="18" t="str">
        <f>IFERROR(VLOOKUP(A683,'[2]RELAÇÃO DE OC''S VMI MEC 030226'!$B:$P,15,FALSE),"-")</f>
        <v>-</v>
      </c>
      <c r="P683" s="56">
        <f t="shared" ca="1" si="31"/>
        <v>19</v>
      </c>
      <c r="Q683" s="18" t="str">
        <f t="shared" ca="1" si="32"/>
        <v>ATRASADO</v>
      </c>
      <c r="R683" s="19" t="s">
        <v>5645</v>
      </c>
    </row>
    <row r="684" spans="1:18" ht="12.75" thickBot="1" x14ac:dyDescent="0.25">
      <c r="A684" s="18" t="str">
        <f t="shared" si="30"/>
        <v>052814002821.23.02334</v>
      </c>
      <c r="B684" s="51" t="s">
        <v>5618</v>
      </c>
      <c r="C684" s="18" t="s">
        <v>419</v>
      </c>
      <c r="D684" s="58" t="s">
        <v>781</v>
      </c>
      <c r="E684" s="58" t="s">
        <v>782</v>
      </c>
      <c r="F684" s="18" t="s">
        <v>328</v>
      </c>
      <c r="G684" s="52">
        <v>46057</v>
      </c>
      <c r="H684" s="18" t="s">
        <v>518</v>
      </c>
      <c r="I684" s="53">
        <v>7</v>
      </c>
      <c r="J684" s="54">
        <v>28.98</v>
      </c>
      <c r="K684" s="54">
        <v>202.86</v>
      </c>
      <c r="L684" s="18" t="s">
        <v>330</v>
      </c>
      <c r="M684" s="18" t="s">
        <v>331</v>
      </c>
      <c r="N684" s="55">
        <v>46057</v>
      </c>
      <c r="O684" s="18" t="str">
        <f>IFERROR(VLOOKUP(A684,'[2]RELAÇÃO DE OC''S VMI MEC 030226'!$B:$P,15,FALSE),"-")</f>
        <v>-</v>
      </c>
      <c r="P684" s="56">
        <f t="shared" ca="1" si="31"/>
        <v>19</v>
      </c>
      <c r="Q684" s="18" t="str">
        <f t="shared" ca="1" si="32"/>
        <v>ATRASADO</v>
      </c>
      <c r="R684" s="19" t="s">
        <v>5645</v>
      </c>
    </row>
    <row r="685" spans="1:18" ht="12.75" thickBot="1" x14ac:dyDescent="0.25">
      <c r="A685" s="18" t="str">
        <f t="shared" si="30"/>
        <v>052814002921.23.02343</v>
      </c>
      <c r="B685" s="51" t="s">
        <v>5618</v>
      </c>
      <c r="C685" s="18" t="s">
        <v>391</v>
      </c>
      <c r="D685" s="58" t="s">
        <v>917</v>
      </c>
      <c r="E685" s="58" t="s">
        <v>918</v>
      </c>
      <c r="F685" s="18" t="s">
        <v>328</v>
      </c>
      <c r="G685" s="52">
        <v>46057</v>
      </c>
      <c r="H685" s="18" t="s">
        <v>518</v>
      </c>
      <c r="I685" s="53">
        <v>2</v>
      </c>
      <c r="J685" s="54">
        <v>144.44</v>
      </c>
      <c r="K685" s="54">
        <v>288.88</v>
      </c>
      <c r="L685" s="18" t="s">
        <v>330</v>
      </c>
      <c r="M685" s="18" t="s">
        <v>331</v>
      </c>
      <c r="N685" s="55">
        <v>46057</v>
      </c>
      <c r="O685" s="18" t="str">
        <f>IFERROR(VLOOKUP(A685,'[2]RELAÇÃO DE OC''S VMI MEC 030226'!$B:$P,15,FALSE),"-")</f>
        <v>-</v>
      </c>
      <c r="P685" s="56">
        <f t="shared" ca="1" si="31"/>
        <v>19</v>
      </c>
      <c r="Q685" s="18" t="str">
        <f t="shared" ca="1" si="32"/>
        <v>ATRASADO</v>
      </c>
      <c r="R685" s="19" t="s">
        <v>5645</v>
      </c>
    </row>
    <row r="686" spans="1:18" ht="12.75" thickBot="1" x14ac:dyDescent="0.25">
      <c r="A686" s="18" t="str">
        <f t="shared" si="30"/>
        <v>052814003021.23.02451</v>
      </c>
      <c r="B686" s="51" t="s">
        <v>5618</v>
      </c>
      <c r="C686" s="18" t="s">
        <v>392</v>
      </c>
      <c r="D686" s="58" t="s">
        <v>783</v>
      </c>
      <c r="E686" s="58" t="s">
        <v>784</v>
      </c>
      <c r="F686" s="18" t="s">
        <v>328</v>
      </c>
      <c r="G686" s="52">
        <v>46057</v>
      </c>
      <c r="H686" s="18" t="s">
        <v>518</v>
      </c>
      <c r="I686" s="53">
        <v>3</v>
      </c>
      <c r="J686" s="54">
        <v>214.54</v>
      </c>
      <c r="K686" s="54">
        <v>643.62</v>
      </c>
      <c r="L686" s="18" t="s">
        <v>330</v>
      </c>
      <c r="M686" s="18" t="s">
        <v>331</v>
      </c>
      <c r="N686" s="55">
        <v>46057</v>
      </c>
      <c r="O686" s="18" t="str">
        <f>IFERROR(VLOOKUP(A686,'[2]RELAÇÃO DE OC''S VMI MEC 030226'!$B:$P,15,FALSE),"-")</f>
        <v>-</v>
      </c>
      <c r="P686" s="56">
        <f t="shared" ca="1" si="31"/>
        <v>19</v>
      </c>
      <c r="Q686" s="18" t="str">
        <f t="shared" ca="1" si="32"/>
        <v>ATRASADO</v>
      </c>
      <c r="R686" s="19" t="s">
        <v>5645</v>
      </c>
    </row>
    <row r="687" spans="1:18" ht="12.75" thickBot="1" x14ac:dyDescent="0.25">
      <c r="A687" s="18" t="str">
        <f t="shared" si="30"/>
        <v>052814003121.23.02786</v>
      </c>
      <c r="B687" s="51" t="s">
        <v>5618</v>
      </c>
      <c r="C687" s="18" t="s">
        <v>393</v>
      </c>
      <c r="D687" s="58" t="s">
        <v>81</v>
      </c>
      <c r="E687" s="58" t="s">
        <v>82</v>
      </c>
      <c r="F687" s="18" t="s">
        <v>328</v>
      </c>
      <c r="G687" s="52">
        <v>46057</v>
      </c>
      <c r="H687" s="18" t="s">
        <v>518</v>
      </c>
      <c r="I687" s="53">
        <v>3</v>
      </c>
      <c r="J687" s="54">
        <v>165.23</v>
      </c>
      <c r="K687" s="54">
        <v>495.69</v>
      </c>
      <c r="L687" s="18" t="s">
        <v>330</v>
      </c>
      <c r="M687" s="18" t="s">
        <v>331</v>
      </c>
      <c r="N687" s="55">
        <v>46057</v>
      </c>
      <c r="O687" s="18" t="str">
        <f>IFERROR(VLOOKUP(A687,'[2]RELAÇÃO DE OC''S VMI MEC 030226'!$B:$P,15,FALSE),"-")</f>
        <v>-</v>
      </c>
      <c r="P687" s="56">
        <f t="shared" ca="1" si="31"/>
        <v>19</v>
      </c>
      <c r="Q687" s="18" t="str">
        <f t="shared" ca="1" si="32"/>
        <v>ATRASADO</v>
      </c>
      <c r="R687" s="19" t="s">
        <v>5645</v>
      </c>
    </row>
    <row r="688" spans="1:18" ht="12.75" thickBot="1" x14ac:dyDescent="0.25">
      <c r="A688" s="18" t="str">
        <f t="shared" si="30"/>
        <v>052814003221.23.02787</v>
      </c>
      <c r="B688" s="51" t="s">
        <v>5618</v>
      </c>
      <c r="C688" s="18" t="s">
        <v>420</v>
      </c>
      <c r="D688" s="58" t="s">
        <v>83</v>
      </c>
      <c r="E688" s="58" t="s">
        <v>84</v>
      </c>
      <c r="F688" s="18" t="s">
        <v>328</v>
      </c>
      <c r="G688" s="52">
        <v>46057</v>
      </c>
      <c r="H688" s="18" t="s">
        <v>518</v>
      </c>
      <c r="I688" s="53">
        <v>1</v>
      </c>
      <c r="J688" s="54">
        <v>140.02000000000001</v>
      </c>
      <c r="K688" s="54">
        <v>140.02000000000001</v>
      </c>
      <c r="L688" s="18" t="s">
        <v>330</v>
      </c>
      <c r="M688" s="18" t="s">
        <v>331</v>
      </c>
      <c r="N688" s="55">
        <v>46057</v>
      </c>
      <c r="O688" s="18" t="str">
        <f>IFERROR(VLOOKUP(A688,'[2]RELAÇÃO DE OC''S VMI MEC 030226'!$B:$P,15,FALSE),"-")</f>
        <v>-</v>
      </c>
      <c r="P688" s="56">
        <f t="shared" ca="1" si="31"/>
        <v>19</v>
      </c>
      <c r="Q688" s="18" t="str">
        <f t="shared" ca="1" si="32"/>
        <v>ATRASADO</v>
      </c>
      <c r="R688" s="19" t="s">
        <v>5645</v>
      </c>
    </row>
    <row r="689" spans="1:18" ht="12.75" thickBot="1" x14ac:dyDescent="0.25">
      <c r="A689" s="18" t="str">
        <f t="shared" si="30"/>
        <v>052814003321.23.04272</v>
      </c>
      <c r="B689" s="51" t="s">
        <v>5618</v>
      </c>
      <c r="C689" s="18" t="s">
        <v>394</v>
      </c>
      <c r="D689" s="58" t="s">
        <v>89</v>
      </c>
      <c r="E689" s="58" t="s">
        <v>149</v>
      </c>
      <c r="F689" s="18" t="s">
        <v>328</v>
      </c>
      <c r="G689" s="52">
        <v>46057</v>
      </c>
      <c r="H689" s="18" t="s">
        <v>518</v>
      </c>
      <c r="I689" s="53">
        <v>1</v>
      </c>
      <c r="J689" s="54">
        <v>16.100000000000001</v>
      </c>
      <c r="K689" s="54">
        <v>16.100000000000001</v>
      </c>
      <c r="L689" s="18" t="s">
        <v>330</v>
      </c>
      <c r="M689" s="18" t="s">
        <v>331</v>
      </c>
      <c r="N689" s="55">
        <v>46057</v>
      </c>
      <c r="O689" s="18" t="str">
        <f>IFERROR(VLOOKUP(A689,'[2]RELAÇÃO DE OC''S VMI MEC 030226'!$B:$P,15,FALSE),"-")</f>
        <v>-</v>
      </c>
      <c r="P689" s="56">
        <f t="shared" ca="1" si="31"/>
        <v>19</v>
      </c>
      <c r="Q689" s="18" t="str">
        <f t="shared" ca="1" si="32"/>
        <v>ATRASADO</v>
      </c>
      <c r="R689" s="19" t="s">
        <v>5645</v>
      </c>
    </row>
    <row r="690" spans="1:18" ht="12.75" thickBot="1" x14ac:dyDescent="0.25">
      <c r="A690" s="18" t="str">
        <f t="shared" si="30"/>
        <v>052814003421.23.04494</v>
      </c>
      <c r="B690" s="51" t="s">
        <v>5618</v>
      </c>
      <c r="C690" s="18" t="s">
        <v>356</v>
      </c>
      <c r="D690" s="58" t="s">
        <v>791</v>
      </c>
      <c r="E690" s="58" t="s">
        <v>792</v>
      </c>
      <c r="F690" s="18" t="s">
        <v>328</v>
      </c>
      <c r="G690" s="52">
        <v>46057</v>
      </c>
      <c r="H690" s="18" t="s">
        <v>518</v>
      </c>
      <c r="I690" s="53">
        <v>9</v>
      </c>
      <c r="J690" s="54">
        <v>190.16</v>
      </c>
      <c r="K690" s="54">
        <v>1711.44</v>
      </c>
      <c r="L690" s="18" t="s">
        <v>330</v>
      </c>
      <c r="M690" s="18" t="s">
        <v>331</v>
      </c>
      <c r="N690" s="55">
        <v>46057</v>
      </c>
      <c r="O690" s="18" t="str">
        <f>IFERROR(VLOOKUP(A690,'[2]RELAÇÃO DE OC''S VMI MEC 030226'!$B:$P,15,FALSE),"-")</f>
        <v>-</v>
      </c>
      <c r="P690" s="56">
        <f t="shared" ca="1" si="31"/>
        <v>19</v>
      </c>
      <c r="Q690" s="18" t="str">
        <f t="shared" ca="1" si="32"/>
        <v>ATRASADO</v>
      </c>
      <c r="R690" s="19" t="s">
        <v>5645</v>
      </c>
    </row>
    <row r="691" spans="1:18" ht="12.75" thickBot="1" x14ac:dyDescent="0.25">
      <c r="A691" s="18" t="str">
        <f t="shared" si="30"/>
        <v>052814003521.23.04493</v>
      </c>
      <c r="B691" s="51" t="s">
        <v>5618</v>
      </c>
      <c r="C691" s="18" t="s">
        <v>442</v>
      </c>
      <c r="D691" s="58" t="s">
        <v>2281</v>
      </c>
      <c r="E691" s="58" t="s">
        <v>5682</v>
      </c>
      <c r="F691" s="18" t="s">
        <v>328</v>
      </c>
      <c r="G691" s="52">
        <v>46057</v>
      </c>
      <c r="H691" s="18" t="s">
        <v>518</v>
      </c>
      <c r="I691" s="53">
        <v>16</v>
      </c>
      <c r="J691" s="54">
        <v>89.15</v>
      </c>
      <c r="K691" s="54">
        <v>1426.4</v>
      </c>
      <c r="L691" s="18" t="s">
        <v>330</v>
      </c>
      <c r="M691" s="18" t="s">
        <v>331</v>
      </c>
      <c r="N691" s="55">
        <v>46057</v>
      </c>
      <c r="O691" s="18" t="str">
        <f>IFERROR(VLOOKUP(A691,'[2]RELAÇÃO DE OC''S VMI MEC 030226'!$B:$P,15,FALSE),"-")</f>
        <v>-</v>
      </c>
      <c r="P691" s="56">
        <f t="shared" ca="1" si="31"/>
        <v>19</v>
      </c>
      <c r="Q691" s="18" t="str">
        <f t="shared" ca="1" si="32"/>
        <v>ATRASADO</v>
      </c>
      <c r="R691" s="19" t="s">
        <v>5645</v>
      </c>
    </row>
    <row r="692" spans="1:18" ht="12.75" thickBot="1" x14ac:dyDescent="0.25">
      <c r="A692" s="18" t="str">
        <f t="shared" si="30"/>
        <v>052814003621.23.04495</v>
      </c>
      <c r="B692" s="51" t="s">
        <v>5618</v>
      </c>
      <c r="C692" s="18" t="s">
        <v>357</v>
      </c>
      <c r="D692" s="58" t="s">
        <v>793</v>
      </c>
      <c r="E692" s="58" t="s">
        <v>794</v>
      </c>
      <c r="F692" s="18" t="s">
        <v>328</v>
      </c>
      <c r="G692" s="52">
        <v>46057</v>
      </c>
      <c r="H692" s="18" t="s">
        <v>518</v>
      </c>
      <c r="I692" s="53">
        <v>5</v>
      </c>
      <c r="J692" s="54">
        <v>27.78</v>
      </c>
      <c r="K692" s="54">
        <v>138.9</v>
      </c>
      <c r="L692" s="18" t="s">
        <v>330</v>
      </c>
      <c r="M692" s="18" t="s">
        <v>331</v>
      </c>
      <c r="N692" s="55">
        <v>46057</v>
      </c>
      <c r="O692" s="18" t="str">
        <f>IFERROR(VLOOKUP(A692,'[2]RELAÇÃO DE OC''S VMI MEC 030226'!$B:$P,15,FALSE),"-")</f>
        <v>-</v>
      </c>
      <c r="P692" s="56">
        <f t="shared" ca="1" si="31"/>
        <v>19</v>
      </c>
      <c r="Q692" s="18" t="str">
        <f t="shared" ca="1" si="32"/>
        <v>ATRASADO</v>
      </c>
      <c r="R692" s="19" t="s">
        <v>5645</v>
      </c>
    </row>
    <row r="693" spans="1:18" ht="12.75" thickBot="1" x14ac:dyDescent="0.25">
      <c r="A693" s="18" t="str">
        <f t="shared" si="30"/>
        <v>052814003721.23.04507</v>
      </c>
      <c r="B693" s="51" t="s">
        <v>5618</v>
      </c>
      <c r="C693" s="18" t="s">
        <v>352</v>
      </c>
      <c r="D693" s="58" t="s">
        <v>797</v>
      </c>
      <c r="E693" s="58" t="s">
        <v>798</v>
      </c>
      <c r="F693" s="18" t="s">
        <v>328</v>
      </c>
      <c r="G693" s="52">
        <v>46057</v>
      </c>
      <c r="H693" s="18" t="s">
        <v>518</v>
      </c>
      <c r="I693" s="53">
        <v>1</v>
      </c>
      <c r="J693" s="54">
        <v>17.39</v>
      </c>
      <c r="K693" s="54">
        <v>17.39</v>
      </c>
      <c r="L693" s="18" t="s">
        <v>330</v>
      </c>
      <c r="M693" s="18" t="s">
        <v>331</v>
      </c>
      <c r="N693" s="55">
        <v>46057</v>
      </c>
      <c r="O693" s="18" t="str">
        <f>IFERROR(VLOOKUP(A693,'[2]RELAÇÃO DE OC''S VMI MEC 030226'!$B:$P,15,FALSE),"-")</f>
        <v>-</v>
      </c>
      <c r="P693" s="56">
        <f t="shared" ca="1" si="31"/>
        <v>19</v>
      </c>
      <c r="Q693" s="18" t="str">
        <f t="shared" ca="1" si="32"/>
        <v>ATRASADO</v>
      </c>
      <c r="R693" s="19" t="s">
        <v>5645</v>
      </c>
    </row>
    <row r="694" spans="1:18" ht="12.75" thickBot="1" x14ac:dyDescent="0.25">
      <c r="A694" s="18" t="str">
        <f t="shared" si="30"/>
        <v>052814003821.23.04608</v>
      </c>
      <c r="B694" s="51" t="s">
        <v>5618</v>
      </c>
      <c r="C694" s="18" t="s">
        <v>395</v>
      </c>
      <c r="D694" s="58" t="s">
        <v>259</v>
      </c>
      <c r="E694" s="58" t="s">
        <v>260</v>
      </c>
      <c r="F694" s="18" t="s">
        <v>328</v>
      </c>
      <c r="G694" s="52">
        <v>46057</v>
      </c>
      <c r="H694" s="18" t="s">
        <v>518</v>
      </c>
      <c r="I694" s="53">
        <v>1</v>
      </c>
      <c r="J694" s="54">
        <v>1199.95</v>
      </c>
      <c r="K694" s="54">
        <v>1199.95</v>
      </c>
      <c r="L694" s="18" t="s">
        <v>330</v>
      </c>
      <c r="M694" s="18" t="s">
        <v>331</v>
      </c>
      <c r="N694" s="55">
        <v>46057</v>
      </c>
      <c r="O694" s="18" t="str">
        <f>IFERROR(VLOOKUP(A694,'[2]RELAÇÃO DE OC''S VMI MEC 030226'!$B:$P,15,FALSE),"-")</f>
        <v>-</v>
      </c>
      <c r="P694" s="56">
        <f t="shared" ca="1" si="31"/>
        <v>19</v>
      </c>
      <c r="Q694" s="18" t="str">
        <f t="shared" ca="1" si="32"/>
        <v>ATRASADO</v>
      </c>
      <c r="R694" s="19" t="s">
        <v>5645</v>
      </c>
    </row>
    <row r="695" spans="1:18" ht="12.75" thickBot="1" x14ac:dyDescent="0.25">
      <c r="A695" s="18" t="str">
        <f t="shared" si="30"/>
        <v>052814003921.23.04654</v>
      </c>
      <c r="B695" s="51" t="s">
        <v>5618</v>
      </c>
      <c r="C695" s="18" t="s">
        <v>396</v>
      </c>
      <c r="D695" s="58" t="s">
        <v>669</v>
      </c>
      <c r="E695" s="58" t="s">
        <v>670</v>
      </c>
      <c r="F695" s="18" t="s">
        <v>328</v>
      </c>
      <c r="G695" s="52">
        <v>46057</v>
      </c>
      <c r="H695" s="18" t="s">
        <v>518</v>
      </c>
      <c r="I695" s="53">
        <v>3</v>
      </c>
      <c r="J695" s="54">
        <v>856.05</v>
      </c>
      <c r="K695" s="54">
        <v>2568.15</v>
      </c>
      <c r="L695" s="18" t="s">
        <v>330</v>
      </c>
      <c r="M695" s="18" t="s">
        <v>331</v>
      </c>
      <c r="N695" s="55">
        <v>46057</v>
      </c>
      <c r="O695" s="18" t="str">
        <f>IFERROR(VLOOKUP(A695,'[2]RELAÇÃO DE OC''S VMI MEC 030226'!$B:$P,15,FALSE),"-")</f>
        <v>-</v>
      </c>
      <c r="P695" s="56">
        <f t="shared" ca="1" si="31"/>
        <v>19</v>
      </c>
      <c r="Q695" s="18" t="str">
        <f t="shared" ca="1" si="32"/>
        <v>ATRASADO</v>
      </c>
      <c r="R695" s="19" t="s">
        <v>5645</v>
      </c>
    </row>
    <row r="696" spans="1:18" ht="12.75" thickBot="1" x14ac:dyDescent="0.25">
      <c r="A696" s="18" t="str">
        <f t="shared" si="30"/>
        <v>052814004021.23.04655</v>
      </c>
      <c r="B696" s="51" t="s">
        <v>5618</v>
      </c>
      <c r="C696" s="18" t="s">
        <v>397</v>
      </c>
      <c r="D696" s="58" t="s">
        <v>18</v>
      </c>
      <c r="E696" s="58" t="s">
        <v>5683</v>
      </c>
      <c r="F696" s="18" t="s">
        <v>328</v>
      </c>
      <c r="G696" s="52">
        <v>46057</v>
      </c>
      <c r="H696" s="18" t="s">
        <v>518</v>
      </c>
      <c r="I696" s="53">
        <v>4</v>
      </c>
      <c r="J696" s="54">
        <v>760.7</v>
      </c>
      <c r="K696" s="54">
        <v>3042.8</v>
      </c>
      <c r="L696" s="18" t="s">
        <v>330</v>
      </c>
      <c r="M696" s="18" t="s">
        <v>331</v>
      </c>
      <c r="N696" s="55">
        <v>46057</v>
      </c>
      <c r="O696" s="18" t="str">
        <f>IFERROR(VLOOKUP(A696,'[2]RELAÇÃO DE OC''S VMI MEC 030226'!$B:$P,15,FALSE),"-")</f>
        <v>-</v>
      </c>
      <c r="P696" s="56">
        <f t="shared" ca="1" si="31"/>
        <v>19</v>
      </c>
      <c r="Q696" s="18" t="str">
        <f t="shared" ca="1" si="32"/>
        <v>ATRASADO</v>
      </c>
      <c r="R696" s="19" t="s">
        <v>5645</v>
      </c>
    </row>
    <row r="697" spans="1:18" ht="12.75" thickBot="1" x14ac:dyDescent="0.25">
      <c r="A697" s="18" t="str">
        <f t="shared" si="30"/>
        <v>052814004121.23.04813</v>
      </c>
      <c r="B697" s="51" t="s">
        <v>5618</v>
      </c>
      <c r="C697" s="18" t="s">
        <v>398</v>
      </c>
      <c r="D697" s="58" t="s">
        <v>810</v>
      </c>
      <c r="E697" s="58" t="s">
        <v>811</v>
      </c>
      <c r="F697" s="18" t="s">
        <v>328</v>
      </c>
      <c r="G697" s="52">
        <v>46057</v>
      </c>
      <c r="H697" s="18" t="s">
        <v>518</v>
      </c>
      <c r="I697" s="53">
        <v>1</v>
      </c>
      <c r="J697" s="54">
        <v>13.52</v>
      </c>
      <c r="K697" s="54">
        <v>13.52</v>
      </c>
      <c r="L697" s="18" t="s">
        <v>330</v>
      </c>
      <c r="M697" s="18" t="s">
        <v>331</v>
      </c>
      <c r="N697" s="55">
        <v>46057</v>
      </c>
      <c r="O697" s="18" t="str">
        <f>IFERROR(VLOOKUP(A697,'[2]RELAÇÃO DE OC''S VMI MEC 030226'!$B:$P,15,FALSE),"-")</f>
        <v>-</v>
      </c>
      <c r="P697" s="56">
        <f t="shared" ca="1" si="31"/>
        <v>19</v>
      </c>
      <c r="Q697" s="18" t="str">
        <f t="shared" ca="1" si="32"/>
        <v>ATRASADO</v>
      </c>
      <c r="R697" s="19" t="s">
        <v>5645</v>
      </c>
    </row>
    <row r="698" spans="1:18" ht="12.75" thickBot="1" x14ac:dyDescent="0.25">
      <c r="A698" s="18" t="str">
        <f t="shared" si="30"/>
        <v>052814004221.23.04815</v>
      </c>
      <c r="B698" s="51" t="s">
        <v>5618</v>
      </c>
      <c r="C698" s="18" t="s">
        <v>368</v>
      </c>
      <c r="D698" s="58" t="s">
        <v>99</v>
      </c>
      <c r="E698" s="58" t="s">
        <v>171</v>
      </c>
      <c r="F698" s="18" t="s">
        <v>328</v>
      </c>
      <c r="G698" s="52">
        <v>46057</v>
      </c>
      <c r="H698" s="18" t="s">
        <v>518</v>
      </c>
      <c r="I698" s="53">
        <v>2</v>
      </c>
      <c r="J698" s="54">
        <v>97.52</v>
      </c>
      <c r="K698" s="54">
        <v>195.04</v>
      </c>
      <c r="L698" s="18" t="s">
        <v>330</v>
      </c>
      <c r="M698" s="18" t="s">
        <v>331</v>
      </c>
      <c r="N698" s="55">
        <v>46057</v>
      </c>
      <c r="O698" s="18" t="str">
        <f>IFERROR(VLOOKUP(A698,'[2]RELAÇÃO DE OC''S VMI MEC 030226'!$B:$P,15,FALSE),"-")</f>
        <v>-</v>
      </c>
      <c r="P698" s="56">
        <f t="shared" ca="1" si="31"/>
        <v>19</v>
      </c>
      <c r="Q698" s="18" t="str">
        <f t="shared" ca="1" si="32"/>
        <v>ATRASADO</v>
      </c>
      <c r="R698" s="19" t="s">
        <v>5645</v>
      </c>
    </row>
    <row r="699" spans="1:18" ht="12.75" thickBot="1" x14ac:dyDescent="0.25">
      <c r="A699" s="18" t="str">
        <f t="shared" si="30"/>
        <v>052814004333.08.10128.01</v>
      </c>
      <c r="B699" s="51" t="s">
        <v>5618</v>
      </c>
      <c r="C699" s="18" t="s">
        <v>369</v>
      </c>
      <c r="D699" s="58" t="s">
        <v>5473</v>
      </c>
      <c r="E699" s="58" t="s">
        <v>5684</v>
      </c>
      <c r="F699" s="18" t="s">
        <v>328</v>
      </c>
      <c r="G699" s="52">
        <v>46057</v>
      </c>
      <c r="H699" s="18" t="s">
        <v>518</v>
      </c>
      <c r="I699" s="53">
        <v>24</v>
      </c>
      <c r="J699" s="54">
        <v>14.1</v>
      </c>
      <c r="K699" s="54">
        <v>338.4</v>
      </c>
      <c r="L699" s="18" t="s">
        <v>330</v>
      </c>
      <c r="M699" s="18" t="s">
        <v>331</v>
      </c>
      <c r="N699" s="55">
        <v>46057</v>
      </c>
      <c r="O699" s="18" t="str">
        <f>IFERROR(VLOOKUP(A699,'[2]RELAÇÃO DE OC''S VMI MEC 030226'!$B:$P,15,FALSE),"-")</f>
        <v>-</v>
      </c>
      <c r="P699" s="56">
        <f t="shared" ca="1" si="31"/>
        <v>19</v>
      </c>
      <c r="Q699" s="18" t="str">
        <f t="shared" ca="1" si="32"/>
        <v>ATRASADO</v>
      </c>
      <c r="R699" s="19" t="s">
        <v>5645</v>
      </c>
    </row>
    <row r="700" spans="1:18" ht="12.75" thickBot="1" x14ac:dyDescent="0.25">
      <c r="A700" s="18" t="str">
        <f t="shared" si="30"/>
        <v>052814004433.08.10217.00</v>
      </c>
      <c r="B700" s="51" t="s">
        <v>5618</v>
      </c>
      <c r="C700" s="18" t="s">
        <v>399</v>
      </c>
      <c r="D700" s="58" t="s">
        <v>5470</v>
      </c>
      <c r="E700" s="58" t="s">
        <v>5685</v>
      </c>
      <c r="F700" s="18" t="s">
        <v>328</v>
      </c>
      <c r="G700" s="52">
        <v>46057</v>
      </c>
      <c r="H700" s="18" t="s">
        <v>518</v>
      </c>
      <c r="I700" s="53">
        <v>75</v>
      </c>
      <c r="J700" s="54">
        <v>16.5</v>
      </c>
      <c r="K700" s="54">
        <v>1237.5</v>
      </c>
      <c r="L700" s="18" t="s">
        <v>330</v>
      </c>
      <c r="M700" s="18" t="s">
        <v>331</v>
      </c>
      <c r="N700" s="55">
        <v>46057</v>
      </c>
      <c r="O700" s="18" t="str">
        <f>IFERROR(VLOOKUP(A700,'[2]RELAÇÃO DE OC''S VMI MEC 030226'!$B:$P,15,FALSE),"-")</f>
        <v>-</v>
      </c>
      <c r="P700" s="56">
        <f t="shared" ca="1" si="31"/>
        <v>19</v>
      </c>
      <c r="Q700" s="18" t="str">
        <f t="shared" ca="1" si="32"/>
        <v>ATRASADO</v>
      </c>
      <c r="R700" s="19" t="s">
        <v>5645</v>
      </c>
    </row>
    <row r="701" spans="1:18" ht="12.75" thickBot="1" x14ac:dyDescent="0.25">
      <c r="A701" s="18" t="str">
        <f t="shared" si="30"/>
        <v>052814004533.11.10423.01</v>
      </c>
      <c r="B701" s="51" t="s">
        <v>5618</v>
      </c>
      <c r="C701" s="18" t="s">
        <v>370</v>
      </c>
      <c r="D701" s="58" t="s">
        <v>1231</v>
      </c>
      <c r="E701" s="58" t="s">
        <v>1232</v>
      </c>
      <c r="F701" s="18" t="s">
        <v>328</v>
      </c>
      <c r="G701" s="52">
        <v>46057</v>
      </c>
      <c r="H701" s="18" t="s">
        <v>518</v>
      </c>
      <c r="I701" s="53">
        <v>1</v>
      </c>
      <c r="J701" s="54">
        <v>28.67</v>
      </c>
      <c r="K701" s="54">
        <v>28.67</v>
      </c>
      <c r="L701" s="18" t="s">
        <v>330</v>
      </c>
      <c r="M701" s="18" t="s">
        <v>331</v>
      </c>
      <c r="N701" s="55">
        <v>46057</v>
      </c>
      <c r="O701" s="18" t="str">
        <f>IFERROR(VLOOKUP(A701,'[2]RELAÇÃO DE OC''S VMI MEC 030226'!$B:$P,15,FALSE),"-")</f>
        <v>-</v>
      </c>
      <c r="P701" s="56">
        <f t="shared" ca="1" si="31"/>
        <v>19</v>
      </c>
      <c r="Q701" s="18" t="str">
        <f t="shared" ca="1" si="32"/>
        <v>ATRASADO</v>
      </c>
      <c r="R701" s="19" t="s">
        <v>5645</v>
      </c>
    </row>
    <row r="702" spans="1:18" ht="12.75" thickBot="1" x14ac:dyDescent="0.25">
      <c r="A702" s="18" t="str">
        <f t="shared" si="30"/>
        <v>052814004633.11.10666.00</v>
      </c>
      <c r="B702" s="51" t="s">
        <v>5618</v>
      </c>
      <c r="C702" s="18" t="s">
        <v>358</v>
      </c>
      <c r="D702" s="58" t="s">
        <v>1381</v>
      </c>
      <c r="E702" s="58" t="s">
        <v>1382</v>
      </c>
      <c r="F702" s="18" t="s">
        <v>328</v>
      </c>
      <c r="G702" s="52">
        <v>46057</v>
      </c>
      <c r="H702" s="18" t="s">
        <v>518</v>
      </c>
      <c r="I702" s="53">
        <v>1</v>
      </c>
      <c r="J702" s="54">
        <v>959.39</v>
      </c>
      <c r="K702" s="54">
        <v>959.39</v>
      </c>
      <c r="L702" s="18" t="s">
        <v>330</v>
      </c>
      <c r="M702" s="18" t="s">
        <v>331</v>
      </c>
      <c r="N702" s="55">
        <v>46057</v>
      </c>
      <c r="O702" s="18" t="str">
        <f>IFERROR(VLOOKUP(A702,'[2]RELAÇÃO DE OC''S VMI MEC 030226'!$B:$P,15,FALSE),"-")</f>
        <v>-</v>
      </c>
      <c r="P702" s="56">
        <f t="shared" ca="1" si="31"/>
        <v>19</v>
      </c>
      <c r="Q702" s="18" t="str">
        <f t="shared" ca="1" si="32"/>
        <v>ATRASADO</v>
      </c>
      <c r="R702" s="19" t="s">
        <v>5645</v>
      </c>
    </row>
    <row r="703" spans="1:18" ht="12.75" thickBot="1" x14ac:dyDescent="0.25">
      <c r="A703" s="18" t="str">
        <f t="shared" si="30"/>
        <v>052814004733.11.10728.00</v>
      </c>
      <c r="B703" s="51" t="s">
        <v>5618</v>
      </c>
      <c r="C703" s="18" t="s">
        <v>371</v>
      </c>
      <c r="D703" s="58" t="s">
        <v>1406</v>
      </c>
      <c r="E703" s="58" t="s">
        <v>1407</v>
      </c>
      <c r="F703" s="18" t="s">
        <v>328</v>
      </c>
      <c r="G703" s="52">
        <v>46057</v>
      </c>
      <c r="H703" s="18" t="s">
        <v>518</v>
      </c>
      <c r="I703" s="53">
        <v>1</v>
      </c>
      <c r="J703" s="54">
        <v>98.88</v>
      </c>
      <c r="K703" s="54">
        <v>98.88</v>
      </c>
      <c r="L703" s="18" t="s">
        <v>330</v>
      </c>
      <c r="M703" s="18" t="s">
        <v>331</v>
      </c>
      <c r="N703" s="55">
        <v>46057</v>
      </c>
      <c r="O703" s="18" t="str">
        <f>IFERROR(VLOOKUP(A703,'[2]RELAÇÃO DE OC''S VMI MEC 030226'!$B:$P,15,FALSE),"-")</f>
        <v>-</v>
      </c>
      <c r="P703" s="56">
        <f t="shared" ca="1" si="31"/>
        <v>19</v>
      </c>
      <c r="Q703" s="18" t="str">
        <f t="shared" ca="1" si="32"/>
        <v>ATRASADO</v>
      </c>
      <c r="R703" s="19" t="s">
        <v>5645</v>
      </c>
    </row>
    <row r="704" spans="1:18" ht="12.75" thickBot="1" x14ac:dyDescent="0.25">
      <c r="A704" s="18" t="str">
        <f t="shared" si="30"/>
        <v>052814004833.11.10978.00</v>
      </c>
      <c r="B704" s="51" t="s">
        <v>5618</v>
      </c>
      <c r="C704" s="18" t="s">
        <v>400</v>
      </c>
      <c r="D704" s="58" t="s">
        <v>5211</v>
      </c>
      <c r="E704" s="58" t="s">
        <v>5686</v>
      </c>
      <c r="F704" s="18" t="s">
        <v>328</v>
      </c>
      <c r="G704" s="52">
        <v>46057</v>
      </c>
      <c r="H704" s="18" t="s">
        <v>518</v>
      </c>
      <c r="I704" s="53">
        <v>1</v>
      </c>
      <c r="J704" s="54">
        <v>602</v>
      </c>
      <c r="K704" s="54">
        <v>602</v>
      </c>
      <c r="L704" s="18" t="s">
        <v>330</v>
      </c>
      <c r="M704" s="18" t="s">
        <v>331</v>
      </c>
      <c r="N704" s="55">
        <v>46057</v>
      </c>
      <c r="O704" s="18" t="str">
        <f>IFERROR(VLOOKUP(A704,'[2]RELAÇÃO DE OC''S VMI MEC 030226'!$B:$P,15,FALSE),"-")</f>
        <v>-</v>
      </c>
      <c r="P704" s="56">
        <f t="shared" ca="1" si="31"/>
        <v>19</v>
      </c>
      <c r="Q704" s="18" t="str">
        <f t="shared" ca="1" si="32"/>
        <v>ATRASADO</v>
      </c>
      <c r="R704" s="19" t="s">
        <v>5645</v>
      </c>
    </row>
    <row r="705" spans="1:18" ht="12.75" thickBot="1" x14ac:dyDescent="0.25">
      <c r="A705" s="18" t="str">
        <f t="shared" si="30"/>
        <v>052814004933.12.10027.01</v>
      </c>
      <c r="B705" s="51" t="s">
        <v>5618</v>
      </c>
      <c r="C705" s="18" t="s">
        <v>372</v>
      </c>
      <c r="D705" s="58" t="s">
        <v>935</v>
      </c>
      <c r="E705" s="58" t="s">
        <v>936</v>
      </c>
      <c r="F705" s="18" t="s">
        <v>328</v>
      </c>
      <c r="G705" s="52">
        <v>46057</v>
      </c>
      <c r="H705" s="18" t="s">
        <v>518</v>
      </c>
      <c r="I705" s="53">
        <v>7</v>
      </c>
      <c r="J705" s="54">
        <v>25.26</v>
      </c>
      <c r="K705" s="54">
        <v>176.82</v>
      </c>
      <c r="L705" s="18" t="s">
        <v>330</v>
      </c>
      <c r="M705" s="18" t="s">
        <v>331</v>
      </c>
      <c r="N705" s="55">
        <v>46057</v>
      </c>
      <c r="O705" s="18" t="str">
        <f>IFERROR(VLOOKUP(A705,'[2]RELAÇÃO DE OC''S VMI MEC 030226'!$B:$P,15,FALSE),"-")</f>
        <v>-</v>
      </c>
      <c r="P705" s="56">
        <f t="shared" ca="1" si="31"/>
        <v>19</v>
      </c>
      <c r="Q705" s="18" t="str">
        <f t="shared" ca="1" si="32"/>
        <v>ATRASADO</v>
      </c>
      <c r="R705" s="19" t="s">
        <v>5645</v>
      </c>
    </row>
    <row r="706" spans="1:18" ht="12.75" thickBot="1" x14ac:dyDescent="0.25">
      <c r="A706" s="18" t="str">
        <f t="shared" ref="A706:A740" si="33">B706&amp;C706&amp;D706</f>
        <v>052814005033.12.10537.00</v>
      </c>
      <c r="B706" s="51" t="s">
        <v>5618</v>
      </c>
      <c r="C706" s="18" t="s">
        <v>373</v>
      </c>
      <c r="D706" s="58" t="s">
        <v>822</v>
      </c>
      <c r="E706" s="58" t="s">
        <v>823</v>
      </c>
      <c r="F706" s="18" t="s">
        <v>328</v>
      </c>
      <c r="G706" s="52">
        <v>46057</v>
      </c>
      <c r="H706" s="18" t="s">
        <v>518</v>
      </c>
      <c r="I706" s="53">
        <v>298</v>
      </c>
      <c r="J706" s="54">
        <v>7.82</v>
      </c>
      <c r="K706" s="54">
        <v>2330.36</v>
      </c>
      <c r="L706" s="18" t="s">
        <v>330</v>
      </c>
      <c r="M706" s="18" t="s">
        <v>331</v>
      </c>
      <c r="N706" s="55">
        <v>46057</v>
      </c>
      <c r="O706" s="18" t="str">
        <f>IFERROR(VLOOKUP(A706,'[2]RELAÇÃO DE OC''S VMI MEC 030226'!$B:$P,15,FALSE),"-")</f>
        <v>-</v>
      </c>
      <c r="P706" s="56">
        <f t="shared" ref="P706:P740" ca="1" si="34">TODAY()-N706</f>
        <v>19</v>
      </c>
      <c r="Q706" s="18" t="str">
        <f t="shared" ref="Q706:Q740" ca="1" si="35">IF(P706&gt;0,"ATRASADO","DENTRO DO PRAZO")</f>
        <v>ATRASADO</v>
      </c>
      <c r="R706" s="19" t="s">
        <v>5645</v>
      </c>
    </row>
    <row r="707" spans="1:18" ht="12.75" thickBot="1" x14ac:dyDescent="0.25">
      <c r="A707" s="18" t="str">
        <f t="shared" si="33"/>
        <v>052814005133.12.10580.00</v>
      </c>
      <c r="B707" s="51" t="s">
        <v>5618</v>
      </c>
      <c r="C707" s="57" t="s">
        <v>374</v>
      </c>
      <c r="D707" s="58" t="s">
        <v>832</v>
      </c>
      <c r="E707" s="58" t="s">
        <v>833</v>
      </c>
      <c r="F707" s="18" t="s">
        <v>328</v>
      </c>
      <c r="G707" s="52">
        <v>46057</v>
      </c>
      <c r="H707" s="18" t="s">
        <v>518</v>
      </c>
      <c r="I707" s="53">
        <v>7</v>
      </c>
      <c r="J707" s="54">
        <v>59.2</v>
      </c>
      <c r="K707" s="54">
        <v>414.4</v>
      </c>
      <c r="L707" s="18" t="s">
        <v>330</v>
      </c>
      <c r="M707" s="18" t="s">
        <v>331</v>
      </c>
      <c r="N707" s="55">
        <v>46057</v>
      </c>
      <c r="O707" s="18" t="str">
        <f>IFERROR(VLOOKUP(A707,'[2]RELAÇÃO DE OC''S VMI MEC 030226'!$B:$P,15,FALSE),"-")</f>
        <v>-</v>
      </c>
      <c r="P707" s="56">
        <f t="shared" ca="1" si="34"/>
        <v>19</v>
      </c>
      <c r="Q707" s="18" t="str">
        <f t="shared" ca="1" si="35"/>
        <v>ATRASADO</v>
      </c>
      <c r="R707" s="19" t="s">
        <v>5645</v>
      </c>
    </row>
    <row r="708" spans="1:18" ht="12.75" thickBot="1" x14ac:dyDescent="0.25">
      <c r="A708" s="18" t="str">
        <f t="shared" si="33"/>
        <v>052814005233.12.10595.00</v>
      </c>
      <c r="B708" s="51" t="s">
        <v>5618</v>
      </c>
      <c r="C708" s="51" t="s">
        <v>692</v>
      </c>
      <c r="D708" s="58" t="s">
        <v>980</v>
      </c>
      <c r="E708" s="58" t="s">
        <v>981</v>
      </c>
      <c r="F708" s="18" t="s">
        <v>328</v>
      </c>
      <c r="G708" s="52">
        <v>46057</v>
      </c>
      <c r="H708" s="18" t="s">
        <v>518</v>
      </c>
      <c r="I708" s="53">
        <v>11</v>
      </c>
      <c r="J708" s="54">
        <v>75.5</v>
      </c>
      <c r="K708" s="54">
        <v>830.5</v>
      </c>
      <c r="L708" s="18" t="s">
        <v>330</v>
      </c>
      <c r="M708" s="18" t="s">
        <v>331</v>
      </c>
      <c r="N708" s="55">
        <v>46057</v>
      </c>
      <c r="O708" s="18" t="str">
        <f>IFERROR(VLOOKUP(A708,'[2]RELAÇÃO DE OC''S VMI MEC 030226'!$B:$P,15,FALSE),"-")</f>
        <v>-</v>
      </c>
      <c r="P708" s="56">
        <f t="shared" ca="1" si="34"/>
        <v>19</v>
      </c>
      <c r="Q708" s="18" t="str">
        <f t="shared" ca="1" si="35"/>
        <v>ATRASADO</v>
      </c>
      <c r="R708" s="19" t="s">
        <v>5645</v>
      </c>
    </row>
    <row r="709" spans="1:18" ht="12.75" thickBot="1" x14ac:dyDescent="0.25">
      <c r="A709" s="18" t="str">
        <f t="shared" si="33"/>
        <v>052814005333.12.10598.00</v>
      </c>
      <c r="B709" s="51" t="s">
        <v>5618</v>
      </c>
      <c r="C709" s="51" t="s">
        <v>421</v>
      </c>
      <c r="D709" s="58" t="s">
        <v>107</v>
      </c>
      <c r="E709" s="58" t="s">
        <v>160</v>
      </c>
      <c r="F709" s="18" t="s">
        <v>328</v>
      </c>
      <c r="G709" s="52">
        <v>46057</v>
      </c>
      <c r="H709" s="18" t="s">
        <v>518</v>
      </c>
      <c r="I709" s="53">
        <v>2</v>
      </c>
      <c r="J709" s="54">
        <v>273.10000000000002</v>
      </c>
      <c r="K709" s="54">
        <v>546.20000000000005</v>
      </c>
      <c r="L709" s="18" t="s">
        <v>330</v>
      </c>
      <c r="M709" s="18" t="s">
        <v>331</v>
      </c>
      <c r="N709" s="55">
        <v>46057</v>
      </c>
      <c r="O709" s="18" t="str">
        <f>IFERROR(VLOOKUP(A709,'[2]RELAÇÃO DE OC''S VMI MEC 030226'!$B:$P,15,FALSE),"-")</f>
        <v>-</v>
      </c>
      <c r="P709" s="56">
        <f t="shared" ca="1" si="34"/>
        <v>19</v>
      </c>
      <c r="Q709" s="18" t="str">
        <f t="shared" ca="1" si="35"/>
        <v>ATRASADO</v>
      </c>
      <c r="R709" s="19" t="s">
        <v>5645</v>
      </c>
    </row>
    <row r="710" spans="1:18" ht="12.75" thickBot="1" x14ac:dyDescent="0.25">
      <c r="A710" s="18" t="str">
        <f t="shared" si="33"/>
        <v>052814005433.12.10601.00</v>
      </c>
      <c r="B710" s="51" t="s">
        <v>5618</v>
      </c>
      <c r="C710" s="51" t="s">
        <v>693</v>
      </c>
      <c r="D710" s="58" t="s">
        <v>108</v>
      </c>
      <c r="E710" s="58" t="s">
        <v>174</v>
      </c>
      <c r="F710" s="18" t="s">
        <v>328</v>
      </c>
      <c r="G710" s="52">
        <v>46057</v>
      </c>
      <c r="H710" s="18" t="s">
        <v>518</v>
      </c>
      <c r="I710" s="53">
        <v>2</v>
      </c>
      <c r="J710" s="54">
        <v>282.25</v>
      </c>
      <c r="K710" s="54">
        <v>564.5</v>
      </c>
      <c r="L710" s="18" t="s">
        <v>330</v>
      </c>
      <c r="M710" s="18" t="s">
        <v>331</v>
      </c>
      <c r="N710" s="55">
        <v>46057</v>
      </c>
      <c r="O710" s="18" t="str">
        <f>IFERROR(VLOOKUP(A710,'[2]RELAÇÃO DE OC''S VMI MEC 030226'!$B:$P,15,FALSE),"-")</f>
        <v>-</v>
      </c>
      <c r="P710" s="56">
        <f t="shared" ca="1" si="34"/>
        <v>19</v>
      </c>
      <c r="Q710" s="18" t="str">
        <f t="shared" ca="1" si="35"/>
        <v>ATRASADO</v>
      </c>
      <c r="R710" s="19" t="s">
        <v>5645</v>
      </c>
    </row>
    <row r="711" spans="1:18" ht="12.75" thickBot="1" x14ac:dyDescent="0.25">
      <c r="A711" s="18" t="str">
        <f t="shared" si="33"/>
        <v>052814005533.14.10244.01</v>
      </c>
      <c r="B711" s="51" t="s">
        <v>5618</v>
      </c>
      <c r="C711" s="51" t="s">
        <v>335</v>
      </c>
      <c r="D711" s="58" t="s">
        <v>736</v>
      </c>
      <c r="E711" s="58" t="s">
        <v>737</v>
      </c>
      <c r="F711" s="18" t="s">
        <v>328</v>
      </c>
      <c r="G711" s="52">
        <v>46057</v>
      </c>
      <c r="H711" s="18" t="s">
        <v>518</v>
      </c>
      <c r="I711" s="53">
        <v>1</v>
      </c>
      <c r="J711" s="54">
        <v>165</v>
      </c>
      <c r="K711" s="54">
        <v>165</v>
      </c>
      <c r="L711" s="18" t="s">
        <v>330</v>
      </c>
      <c r="M711" s="18" t="s">
        <v>331</v>
      </c>
      <c r="N711" s="55">
        <v>46057</v>
      </c>
      <c r="O711" s="18" t="str">
        <f>IFERROR(VLOOKUP(A711,'[2]RELAÇÃO DE OC''S VMI MEC 030226'!$B:$P,15,FALSE),"-")</f>
        <v>-</v>
      </c>
      <c r="P711" s="56">
        <f t="shared" ca="1" si="34"/>
        <v>19</v>
      </c>
      <c r="Q711" s="18" t="str">
        <f t="shared" ca="1" si="35"/>
        <v>ATRASADO</v>
      </c>
      <c r="R711" s="19" t="s">
        <v>5645</v>
      </c>
    </row>
    <row r="712" spans="1:18" ht="12.75" thickBot="1" x14ac:dyDescent="0.25">
      <c r="A712" s="18" t="str">
        <f t="shared" si="33"/>
        <v>052814005633.20.10018.01</v>
      </c>
      <c r="B712" s="51" t="s">
        <v>5618</v>
      </c>
      <c r="C712" s="51" t="s">
        <v>694</v>
      </c>
      <c r="D712" s="58" t="s">
        <v>5358</v>
      </c>
      <c r="E712" s="58" t="s">
        <v>5687</v>
      </c>
      <c r="F712" s="18" t="s">
        <v>328</v>
      </c>
      <c r="G712" s="52">
        <v>46057</v>
      </c>
      <c r="H712" s="18" t="s">
        <v>518</v>
      </c>
      <c r="I712" s="53">
        <v>2</v>
      </c>
      <c r="J712" s="54">
        <v>328.67</v>
      </c>
      <c r="K712" s="54">
        <v>657.34</v>
      </c>
      <c r="L712" s="18" t="s">
        <v>330</v>
      </c>
      <c r="M712" s="18" t="s">
        <v>331</v>
      </c>
      <c r="N712" s="55">
        <v>46057</v>
      </c>
      <c r="O712" s="18" t="str">
        <f>IFERROR(VLOOKUP(A712,'[2]RELAÇÃO DE OC''S VMI MEC 030226'!$B:$P,15,FALSE),"-")</f>
        <v>-</v>
      </c>
      <c r="P712" s="56">
        <f t="shared" ca="1" si="34"/>
        <v>19</v>
      </c>
      <c r="Q712" s="18" t="str">
        <f t="shared" ca="1" si="35"/>
        <v>ATRASADO</v>
      </c>
      <c r="R712" s="19" t="s">
        <v>5645</v>
      </c>
    </row>
    <row r="713" spans="1:18" ht="12.75" thickBot="1" x14ac:dyDescent="0.25">
      <c r="A713" s="18" t="str">
        <f t="shared" si="33"/>
        <v>052814005733.20.10050.01</v>
      </c>
      <c r="B713" s="51" t="s">
        <v>5618</v>
      </c>
      <c r="C713" s="51" t="s">
        <v>422</v>
      </c>
      <c r="D713" s="58" t="s">
        <v>20</v>
      </c>
      <c r="E713" s="58" t="s">
        <v>5688</v>
      </c>
      <c r="F713" s="18" t="s">
        <v>328</v>
      </c>
      <c r="G713" s="52">
        <v>46057</v>
      </c>
      <c r="H713" s="18" t="s">
        <v>518</v>
      </c>
      <c r="I713" s="53">
        <v>1</v>
      </c>
      <c r="J713" s="54">
        <v>109</v>
      </c>
      <c r="K713" s="54">
        <v>109</v>
      </c>
      <c r="L713" s="18" t="s">
        <v>330</v>
      </c>
      <c r="M713" s="18" t="s">
        <v>331</v>
      </c>
      <c r="N713" s="55">
        <v>46057</v>
      </c>
      <c r="O713" s="18" t="str">
        <f>IFERROR(VLOOKUP(A713,'[2]RELAÇÃO DE OC''S VMI MEC 030226'!$B:$P,15,FALSE),"-")</f>
        <v>-</v>
      </c>
      <c r="P713" s="56">
        <f t="shared" ca="1" si="34"/>
        <v>19</v>
      </c>
      <c r="Q713" s="18" t="str">
        <f t="shared" ca="1" si="35"/>
        <v>ATRASADO</v>
      </c>
      <c r="R713" s="19" t="s">
        <v>5645</v>
      </c>
    </row>
    <row r="714" spans="1:18" ht="12.75" thickBot="1" x14ac:dyDescent="0.25">
      <c r="A714" s="18" t="str">
        <f t="shared" si="33"/>
        <v>052814005833.20.10227.02</v>
      </c>
      <c r="B714" s="51" t="s">
        <v>5618</v>
      </c>
      <c r="C714" s="51" t="s">
        <v>353</v>
      </c>
      <c r="D714" s="58" t="s">
        <v>28</v>
      </c>
      <c r="E714" s="58" t="s">
        <v>38</v>
      </c>
      <c r="F714" s="18" t="s">
        <v>328</v>
      </c>
      <c r="G714" s="52">
        <v>46057</v>
      </c>
      <c r="H714" s="18" t="s">
        <v>518</v>
      </c>
      <c r="I714" s="53">
        <v>5</v>
      </c>
      <c r="J714" s="54">
        <v>66</v>
      </c>
      <c r="K714" s="54">
        <v>330</v>
      </c>
      <c r="L714" s="18" t="s">
        <v>330</v>
      </c>
      <c r="M714" s="18" t="s">
        <v>331</v>
      </c>
      <c r="N714" s="55">
        <v>46057</v>
      </c>
      <c r="O714" s="18" t="str">
        <f>IFERROR(VLOOKUP(A714,'[2]RELAÇÃO DE OC''S VMI MEC 030226'!$B:$P,15,FALSE),"-")</f>
        <v>-</v>
      </c>
      <c r="P714" s="56">
        <f t="shared" ca="1" si="34"/>
        <v>19</v>
      </c>
      <c r="Q714" s="18" t="str">
        <f t="shared" ca="1" si="35"/>
        <v>ATRASADO</v>
      </c>
      <c r="R714" s="19" t="s">
        <v>5645</v>
      </c>
    </row>
    <row r="715" spans="1:18" ht="12.75" thickBot="1" x14ac:dyDescent="0.25">
      <c r="A715" s="18" t="str">
        <f t="shared" si="33"/>
        <v>052814005933.20.10275.01</v>
      </c>
      <c r="B715" s="51" t="s">
        <v>5618</v>
      </c>
      <c r="C715" s="51" t="s">
        <v>695</v>
      </c>
      <c r="D715" s="58" t="s">
        <v>5407</v>
      </c>
      <c r="E715" s="58" t="s">
        <v>5689</v>
      </c>
      <c r="F715" s="18" t="s">
        <v>328</v>
      </c>
      <c r="G715" s="52">
        <v>46057</v>
      </c>
      <c r="H715" s="18" t="s">
        <v>518</v>
      </c>
      <c r="I715" s="53">
        <v>2</v>
      </c>
      <c r="J715" s="54">
        <v>45</v>
      </c>
      <c r="K715" s="54">
        <v>90</v>
      </c>
      <c r="L715" s="18" t="s">
        <v>330</v>
      </c>
      <c r="M715" s="18" t="s">
        <v>331</v>
      </c>
      <c r="N715" s="55">
        <v>46057</v>
      </c>
      <c r="O715" s="18" t="str">
        <f>IFERROR(VLOOKUP(A715,'[2]RELAÇÃO DE OC''S VMI MEC 030226'!$B:$P,15,FALSE),"-")</f>
        <v>-</v>
      </c>
      <c r="P715" s="56">
        <f t="shared" ca="1" si="34"/>
        <v>19</v>
      </c>
      <c r="Q715" s="18" t="str">
        <f t="shared" ca="1" si="35"/>
        <v>ATRASADO</v>
      </c>
      <c r="R715" s="19" t="s">
        <v>5645</v>
      </c>
    </row>
    <row r="716" spans="1:18" ht="12.75" thickBot="1" x14ac:dyDescent="0.25">
      <c r="A716" s="18" t="str">
        <f t="shared" si="33"/>
        <v>052814006033.20.10335.01</v>
      </c>
      <c r="B716" s="51" t="s">
        <v>5618</v>
      </c>
      <c r="C716" s="51" t="s">
        <v>423</v>
      </c>
      <c r="D716" s="58" t="s">
        <v>23</v>
      </c>
      <c r="E716" s="58" t="s">
        <v>114</v>
      </c>
      <c r="F716" s="18" t="s">
        <v>328</v>
      </c>
      <c r="G716" s="52">
        <v>46057</v>
      </c>
      <c r="H716" s="18" t="s">
        <v>518</v>
      </c>
      <c r="I716" s="53">
        <v>1</v>
      </c>
      <c r="J716" s="54">
        <v>620</v>
      </c>
      <c r="K716" s="54">
        <v>620</v>
      </c>
      <c r="L716" s="18" t="s">
        <v>330</v>
      </c>
      <c r="M716" s="18" t="s">
        <v>331</v>
      </c>
      <c r="N716" s="55">
        <v>46057</v>
      </c>
      <c r="O716" s="18" t="str">
        <f>IFERROR(VLOOKUP(A716,'[2]RELAÇÃO DE OC''S VMI MEC 030226'!$B:$P,15,FALSE),"-")</f>
        <v>-</v>
      </c>
      <c r="P716" s="56">
        <f t="shared" ca="1" si="34"/>
        <v>19</v>
      </c>
      <c r="Q716" s="18" t="str">
        <f t="shared" ca="1" si="35"/>
        <v>ATRASADO</v>
      </c>
      <c r="R716" s="19" t="s">
        <v>5645</v>
      </c>
    </row>
    <row r="717" spans="1:18" ht="12.75" thickBot="1" x14ac:dyDescent="0.25">
      <c r="A717" s="18" t="str">
        <f t="shared" si="33"/>
        <v>052814006133.20.10521.02</v>
      </c>
      <c r="B717" s="51" t="s">
        <v>5618</v>
      </c>
      <c r="C717" s="51" t="s">
        <v>696</v>
      </c>
      <c r="D717" s="58" t="s">
        <v>5690</v>
      </c>
      <c r="E717" s="58" t="s">
        <v>5691</v>
      </c>
      <c r="F717" s="18" t="s">
        <v>328</v>
      </c>
      <c r="G717" s="52">
        <v>46057</v>
      </c>
      <c r="H717" s="18" t="s">
        <v>518</v>
      </c>
      <c r="I717" s="53">
        <v>1</v>
      </c>
      <c r="J717" s="54">
        <v>58</v>
      </c>
      <c r="K717" s="54">
        <v>58</v>
      </c>
      <c r="L717" s="18" t="s">
        <v>330</v>
      </c>
      <c r="M717" s="18" t="s">
        <v>331</v>
      </c>
      <c r="N717" s="55">
        <v>46057</v>
      </c>
      <c r="O717" s="18" t="str">
        <f>IFERROR(VLOOKUP(A717,'[2]RELAÇÃO DE OC''S VMI MEC 030226'!$B:$P,15,FALSE),"-")</f>
        <v>-</v>
      </c>
      <c r="P717" s="56">
        <f t="shared" ca="1" si="34"/>
        <v>19</v>
      </c>
      <c r="Q717" s="18" t="str">
        <f t="shared" ca="1" si="35"/>
        <v>ATRASADO</v>
      </c>
      <c r="R717" s="19" t="s">
        <v>5645</v>
      </c>
    </row>
    <row r="718" spans="1:18" ht="12.75" thickBot="1" x14ac:dyDescent="0.25">
      <c r="A718" s="18" t="str">
        <f t="shared" si="33"/>
        <v>052814006234.06.10013.00</v>
      </c>
      <c r="B718" s="51" t="s">
        <v>5618</v>
      </c>
      <c r="C718" s="51" t="s">
        <v>424</v>
      </c>
      <c r="D718" s="58" t="s">
        <v>1802</v>
      </c>
      <c r="E718" s="58" t="s">
        <v>1803</v>
      </c>
      <c r="F718" s="18" t="s">
        <v>328</v>
      </c>
      <c r="G718" s="52">
        <v>46057</v>
      </c>
      <c r="H718" s="18" t="s">
        <v>518</v>
      </c>
      <c r="I718" s="53">
        <v>2</v>
      </c>
      <c r="J718" s="54">
        <v>47.5</v>
      </c>
      <c r="K718" s="54">
        <v>95</v>
      </c>
      <c r="L718" s="18" t="s">
        <v>330</v>
      </c>
      <c r="M718" s="18" t="s">
        <v>331</v>
      </c>
      <c r="N718" s="55">
        <v>46057</v>
      </c>
      <c r="O718" s="18" t="str">
        <f>IFERROR(VLOOKUP(A718,'[2]RELAÇÃO DE OC''S VMI MEC 030226'!$B:$P,15,FALSE),"-")</f>
        <v>-</v>
      </c>
      <c r="P718" s="56">
        <f t="shared" ca="1" si="34"/>
        <v>19</v>
      </c>
      <c r="Q718" s="18" t="str">
        <f t="shared" ca="1" si="35"/>
        <v>ATRASADO</v>
      </c>
      <c r="R718" s="19" t="s">
        <v>5645</v>
      </c>
    </row>
    <row r="719" spans="1:18" ht="12.75" thickBot="1" x14ac:dyDescent="0.25">
      <c r="A719" s="18" t="str">
        <f t="shared" si="33"/>
        <v>052814006334.13.20001.00</v>
      </c>
      <c r="B719" s="51" t="s">
        <v>5618</v>
      </c>
      <c r="C719" s="51" t="s">
        <v>375</v>
      </c>
      <c r="D719" s="58" t="s">
        <v>5692</v>
      </c>
      <c r="E719" s="58" t="s">
        <v>5693</v>
      </c>
      <c r="F719" s="18" t="s">
        <v>328</v>
      </c>
      <c r="G719" s="52">
        <v>46057</v>
      </c>
      <c r="H719" s="18" t="s">
        <v>518</v>
      </c>
      <c r="I719" s="53">
        <v>3</v>
      </c>
      <c r="J719" s="54">
        <v>38.5</v>
      </c>
      <c r="K719" s="54">
        <v>115.5</v>
      </c>
      <c r="L719" s="18" t="s">
        <v>330</v>
      </c>
      <c r="M719" s="18" t="s">
        <v>331</v>
      </c>
      <c r="N719" s="55">
        <v>46057</v>
      </c>
      <c r="O719" s="18" t="str">
        <f>IFERROR(VLOOKUP(A719,'[2]RELAÇÃO DE OC''S VMI MEC 030226'!$B:$P,15,FALSE),"-")</f>
        <v>-</v>
      </c>
      <c r="P719" s="56">
        <f t="shared" ca="1" si="34"/>
        <v>19</v>
      </c>
      <c r="Q719" s="18" t="str">
        <f t="shared" ca="1" si="35"/>
        <v>ATRASADO</v>
      </c>
      <c r="R719" s="19" t="s">
        <v>5645</v>
      </c>
    </row>
    <row r="720" spans="1:18" ht="12.75" thickBot="1" x14ac:dyDescent="0.25">
      <c r="A720" s="18" t="str">
        <f t="shared" si="33"/>
        <v>052814006433.02.10044.02</v>
      </c>
      <c r="B720" s="51" t="s">
        <v>5618</v>
      </c>
      <c r="C720" s="51" t="s">
        <v>425</v>
      </c>
      <c r="D720" s="58" t="s">
        <v>929</v>
      </c>
      <c r="E720" s="58" t="s">
        <v>5589</v>
      </c>
      <c r="F720" s="18" t="s">
        <v>328</v>
      </c>
      <c r="G720" s="52">
        <v>46057</v>
      </c>
      <c r="H720" s="18" t="s">
        <v>518</v>
      </c>
      <c r="I720" s="53">
        <v>3</v>
      </c>
      <c r="J720" s="54">
        <v>38.799999999999997</v>
      </c>
      <c r="K720" s="54">
        <v>116.4</v>
      </c>
      <c r="L720" s="18" t="s">
        <v>330</v>
      </c>
      <c r="M720" s="18" t="s">
        <v>331</v>
      </c>
      <c r="N720" s="55">
        <v>46086</v>
      </c>
      <c r="O720" s="18" t="str">
        <f>IFERROR(VLOOKUP(A720,'[2]RELAÇÃO DE OC''S VMI MEC 030226'!$B:$P,15,FALSE),"-")</f>
        <v>-</v>
      </c>
      <c r="P720" s="56">
        <f t="shared" ca="1" si="34"/>
        <v>-10</v>
      </c>
      <c r="Q720" s="18" t="str">
        <f t="shared" ca="1" si="35"/>
        <v>DENTRO DO PRAZO</v>
      </c>
      <c r="R720" s="19" t="s">
        <v>5645</v>
      </c>
    </row>
    <row r="721" spans="1:18" ht="12.75" thickBot="1" x14ac:dyDescent="0.25">
      <c r="A721" s="18" t="str">
        <f t="shared" si="33"/>
        <v>052814006533.03.10207.01</v>
      </c>
      <c r="B721" s="51" t="s">
        <v>5618</v>
      </c>
      <c r="C721" s="51" t="s">
        <v>376</v>
      </c>
      <c r="D721" s="58" t="s">
        <v>1850</v>
      </c>
      <c r="E721" s="58" t="s">
        <v>1851</v>
      </c>
      <c r="F721" s="18" t="s">
        <v>328</v>
      </c>
      <c r="G721" s="52">
        <v>46057</v>
      </c>
      <c r="H721" s="18" t="s">
        <v>518</v>
      </c>
      <c r="I721" s="53">
        <v>24</v>
      </c>
      <c r="J721" s="54">
        <v>35.1</v>
      </c>
      <c r="K721" s="54">
        <v>842.4</v>
      </c>
      <c r="L721" s="18" t="s">
        <v>330</v>
      </c>
      <c r="M721" s="18" t="s">
        <v>331</v>
      </c>
      <c r="N721" s="55">
        <v>46083</v>
      </c>
      <c r="O721" s="18" t="str">
        <f>IFERROR(VLOOKUP(A721,'[2]RELAÇÃO DE OC''S VMI MEC 030226'!$B:$P,15,FALSE),"-")</f>
        <v>-</v>
      </c>
      <c r="P721" s="56">
        <f t="shared" ca="1" si="34"/>
        <v>-7</v>
      </c>
      <c r="Q721" s="18" t="str">
        <f t="shared" ca="1" si="35"/>
        <v>DENTRO DO PRAZO</v>
      </c>
      <c r="R721" s="19" t="s">
        <v>5645</v>
      </c>
    </row>
    <row r="722" spans="1:18" ht="12.75" thickBot="1" x14ac:dyDescent="0.25">
      <c r="A722" s="18" t="str">
        <f t="shared" si="33"/>
        <v>052814006633.03.10214.01</v>
      </c>
      <c r="B722" s="51" t="s">
        <v>5618</v>
      </c>
      <c r="C722" s="51" t="s">
        <v>377</v>
      </c>
      <c r="D722" s="58" t="s">
        <v>481</v>
      </c>
      <c r="E722" s="58" t="s">
        <v>482</v>
      </c>
      <c r="F722" s="18" t="s">
        <v>328</v>
      </c>
      <c r="G722" s="52">
        <v>46057</v>
      </c>
      <c r="H722" s="18" t="s">
        <v>518</v>
      </c>
      <c r="I722" s="53">
        <v>16</v>
      </c>
      <c r="J722" s="54">
        <v>548.4</v>
      </c>
      <c r="K722" s="54">
        <v>8774.4</v>
      </c>
      <c r="L722" s="18" t="s">
        <v>330</v>
      </c>
      <c r="M722" s="18" t="s">
        <v>331</v>
      </c>
      <c r="N722" s="55">
        <v>46083</v>
      </c>
      <c r="O722" s="18" t="str">
        <f>IFERROR(VLOOKUP(A722,'[2]RELAÇÃO DE OC''S VMI MEC 030226'!$B:$P,15,FALSE),"-")</f>
        <v>-</v>
      </c>
      <c r="P722" s="56">
        <f t="shared" ca="1" si="34"/>
        <v>-7</v>
      </c>
      <c r="Q722" s="18" t="str">
        <f t="shared" ca="1" si="35"/>
        <v>DENTRO DO PRAZO</v>
      </c>
      <c r="R722" s="19" t="s">
        <v>5645</v>
      </c>
    </row>
    <row r="723" spans="1:18" ht="12.75" thickBot="1" x14ac:dyDescent="0.25">
      <c r="A723" s="18" t="str">
        <f t="shared" si="33"/>
        <v>052814006733.03.10235.01</v>
      </c>
      <c r="B723" s="51" t="s">
        <v>5618</v>
      </c>
      <c r="C723" s="51" t="s">
        <v>443</v>
      </c>
      <c r="D723" s="58" t="s">
        <v>263</v>
      </c>
      <c r="E723" s="58" t="s">
        <v>930</v>
      </c>
      <c r="F723" s="18" t="s">
        <v>328</v>
      </c>
      <c r="G723" s="52">
        <v>46057</v>
      </c>
      <c r="H723" s="18" t="s">
        <v>518</v>
      </c>
      <c r="I723" s="53">
        <v>3</v>
      </c>
      <c r="J723" s="54">
        <v>60.9</v>
      </c>
      <c r="K723" s="54">
        <v>182.7</v>
      </c>
      <c r="L723" s="18" t="s">
        <v>330</v>
      </c>
      <c r="M723" s="18" t="s">
        <v>331</v>
      </c>
      <c r="N723" s="55">
        <v>46087</v>
      </c>
      <c r="O723" s="18" t="str">
        <f>IFERROR(VLOOKUP(A723,'[2]RELAÇÃO DE OC''S VMI MEC 030226'!$B:$P,15,FALSE),"-")</f>
        <v>-</v>
      </c>
      <c r="P723" s="56">
        <f t="shared" ca="1" si="34"/>
        <v>-11</v>
      </c>
      <c r="Q723" s="18" t="str">
        <f t="shared" ca="1" si="35"/>
        <v>DENTRO DO PRAZO</v>
      </c>
      <c r="R723" s="19" t="s">
        <v>5645</v>
      </c>
    </row>
    <row r="724" spans="1:18" ht="12.75" thickBot="1" x14ac:dyDescent="0.25">
      <c r="A724" s="18" t="str">
        <f t="shared" si="33"/>
        <v>052814006833.03.10239.01</v>
      </c>
      <c r="B724" s="51" t="s">
        <v>5618</v>
      </c>
      <c r="C724" s="51" t="s">
        <v>378</v>
      </c>
      <c r="D724" s="58" t="s">
        <v>264</v>
      </c>
      <c r="E724" s="58" t="s">
        <v>265</v>
      </c>
      <c r="F724" s="18" t="s">
        <v>328</v>
      </c>
      <c r="G724" s="52">
        <v>46057</v>
      </c>
      <c r="H724" s="18" t="s">
        <v>518</v>
      </c>
      <c r="I724" s="53">
        <v>3</v>
      </c>
      <c r="J724" s="54">
        <v>60.9</v>
      </c>
      <c r="K724" s="54">
        <v>182.7</v>
      </c>
      <c r="L724" s="18" t="s">
        <v>330</v>
      </c>
      <c r="M724" s="18" t="s">
        <v>331</v>
      </c>
      <c r="N724" s="55">
        <v>46087</v>
      </c>
      <c r="O724" s="18" t="str">
        <f>IFERROR(VLOOKUP(A724,'[2]RELAÇÃO DE OC''S VMI MEC 030226'!$B:$P,15,FALSE),"-")</f>
        <v>-</v>
      </c>
      <c r="P724" s="56">
        <f t="shared" ca="1" si="34"/>
        <v>-11</v>
      </c>
      <c r="Q724" s="18" t="str">
        <f t="shared" ca="1" si="35"/>
        <v>DENTRO DO PRAZO</v>
      </c>
      <c r="R724" s="19" t="s">
        <v>5645</v>
      </c>
    </row>
    <row r="725" spans="1:18" ht="12.75" thickBot="1" x14ac:dyDescent="0.25">
      <c r="A725" s="18" t="str">
        <f t="shared" si="33"/>
        <v>052814006933.03.10240.02</v>
      </c>
      <c r="B725" s="51" t="s">
        <v>5618</v>
      </c>
      <c r="C725" s="51" t="s">
        <v>401</v>
      </c>
      <c r="D725" s="58" t="s">
        <v>1852</v>
      </c>
      <c r="E725" s="58" t="s">
        <v>1853</v>
      </c>
      <c r="F725" s="18" t="s">
        <v>328</v>
      </c>
      <c r="G725" s="52">
        <v>46057</v>
      </c>
      <c r="H725" s="18" t="s">
        <v>518</v>
      </c>
      <c r="I725" s="53">
        <v>4</v>
      </c>
      <c r="J725" s="54">
        <v>60.9</v>
      </c>
      <c r="K725" s="54">
        <v>243.6</v>
      </c>
      <c r="L725" s="18" t="s">
        <v>330</v>
      </c>
      <c r="M725" s="18" t="s">
        <v>331</v>
      </c>
      <c r="N725" s="55">
        <v>46118</v>
      </c>
      <c r="O725" s="18" t="str">
        <f>IFERROR(VLOOKUP(A725,'[2]RELAÇÃO DE OC''S VMI MEC 030226'!$B:$P,15,FALSE),"-")</f>
        <v>-</v>
      </c>
      <c r="P725" s="56">
        <f t="shared" ca="1" si="34"/>
        <v>-42</v>
      </c>
      <c r="Q725" s="18" t="str">
        <f t="shared" ca="1" si="35"/>
        <v>DENTRO DO PRAZO</v>
      </c>
      <c r="R725" s="19" t="s">
        <v>5645</v>
      </c>
    </row>
    <row r="726" spans="1:18" ht="12.75" thickBot="1" x14ac:dyDescent="0.25">
      <c r="A726" s="18" t="str">
        <f t="shared" si="33"/>
        <v>052814007033.03.10275.00</v>
      </c>
      <c r="B726" s="51" t="s">
        <v>5618</v>
      </c>
      <c r="C726" s="51" t="s">
        <v>426</v>
      </c>
      <c r="D726" s="58" t="s">
        <v>483</v>
      </c>
      <c r="E726" s="58" t="s">
        <v>484</v>
      </c>
      <c r="F726" s="18" t="s">
        <v>328</v>
      </c>
      <c r="G726" s="52">
        <v>46057</v>
      </c>
      <c r="H726" s="18" t="s">
        <v>518</v>
      </c>
      <c r="I726" s="53">
        <v>8</v>
      </c>
      <c r="J726" s="54">
        <v>109.3</v>
      </c>
      <c r="K726" s="54">
        <v>874.4</v>
      </c>
      <c r="L726" s="18" t="s">
        <v>330</v>
      </c>
      <c r="M726" s="18" t="s">
        <v>331</v>
      </c>
      <c r="N726" s="55">
        <v>46081</v>
      </c>
      <c r="O726" s="18" t="str">
        <f>IFERROR(VLOOKUP(A726,'[2]RELAÇÃO DE OC''S VMI MEC 030226'!$B:$P,15,FALSE),"-")</f>
        <v>-</v>
      </c>
      <c r="P726" s="56">
        <f t="shared" ca="1" si="34"/>
        <v>-5</v>
      </c>
      <c r="Q726" s="18" t="str">
        <f t="shared" ca="1" si="35"/>
        <v>DENTRO DO PRAZO</v>
      </c>
      <c r="R726" s="19" t="s">
        <v>5645</v>
      </c>
    </row>
    <row r="727" spans="1:18" ht="12.75" thickBot="1" x14ac:dyDescent="0.25">
      <c r="A727" s="18" t="str">
        <f t="shared" si="33"/>
        <v>052814007133.03.10351.03</v>
      </c>
      <c r="B727" s="51" t="s">
        <v>5618</v>
      </c>
      <c r="C727" s="51" t="s">
        <v>336</v>
      </c>
      <c r="D727" s="58" t="s">
        <v>5694</v>
      </c>
      <c r="E727" s="58" t="s">
        <v>5695</v>
      </c>
      <c r="F727" s="18" t="s">
        <v>328</v>
      </c>
      <c r="G727" s="52">
        <v>46057</v>
      </c>
      <c r="H727" s="18" t="s">
        <v>518</v>
      </c>
      <c r="I727" s="53">
        <v>2</v>
      </c>
      <c r="J727" s="54">
        <v>121</v>
      </c>
      <c r="K727" s="54">
        <v>242</v>
      </c>
      <c r="L727" s="18" t="s">
        <v>330</v>
      </c>
      <c r="M727" s="18" t="s">
        <v>331</v>
      </c>
      <c r="N727" s="55">
        <v>46114</v>
      </c>
      <c r="O727" s="18" t="str">
        <f>IFERROR(VLOOKUP(A727,'[2]RELAÇÃO DE OC''S VMI MEC 030226'!$B:$P,15,FALSE),"-")</f>
        <v>-</v>
      </c>
      <c r="P727" s="56">
        <f t="shared" ca="1" si="34"/>
        <v>-38</v>
      </c>
      <c r="Q727" s="18" t="str">
        <f t="shared" ca="1" si="35"/>
        <v>DENTRO DO PRAZO</v>
      </c>
      <c r="R727" s="19" t="s">
        <v>5645</v>
      </c>
    </row>
    <row r="728" spans="1:18" ht="12.75" thickBot="1" x14ac:dyDescent="0.25">
      <c r="A728" s="18" t="str">
        <f t="shared" si="33"/>
        <v>052814007233.08.10245.02</v>
      </c>
      <c r="B728" s="51" t="s">
        <v>5618</v>
      </c>
      <c r="C728" s="51" t="s">
        <v>697</v>
      </c>
      <c r="D728" s="58" t="s">
        <v>272</v>
      </c>
      <c r="E728" s="58" t="s">
        <v>273</v>
      </c>
      <c r="F728" s="18" t="s">
        <v>328</v>
      </c>
      <c r="G728" s="52">
        <v>46057</v>
      </c>
      <c r="H728" s="18" t="s">
        <v>518</v>
      </c>
      <c r="I728" s="53">
        <v>10</v>
      </c>
      <c r="J728" s="54">
        <v>65.099999999999994</v>
      </c>
      <c r="K728" s="54">
        <v>651</v>
      </c>
      <c r="L728" s="18" t="s">
        <v>330</v>
      </c>
      <c r="M728" s="18" t="s">
        <v>331</v>
      </c>
      <c r="N728" s="55">
        <v>46059</v>
      </c>
      <c r="O728" s="18" t="str">
        <f>IFERROR(VLOOKUP(A728,'[2]RELAÇÃO DE OC''S VMI MEC 030226'!$B:$P,15,FALSE),"-")</f>
        <v>-</v>
      </c>
      <c r="P728" s="56">
        <f t="shared" ca="1" si="34"/>
        <v>17</v>
      </c>
      <c r="Q728" s="18" t="str">
        <f t="shared" ca="1" si="35"/>
        <v>ATRASADO</v>
      </c>
      <c r="R728" s="19" t="s">
        <v>5645</v>
      </c>
    </row>
    <row r="729" spans="1:18" ht="12.75" thickBot="1" x14ac:dyDescent="0.25">
      <c r="A729" s="18" t="str">
        <f t="shared" si="33"/>
        <v>052814007333.08.10249.02</v>
      </c>
      <c r="B729" s="51" t="s">
        <v>5618</v>
      </c>
      <c r="C729" s="51" t="s">
        <v>698</v>
      </c>
      <c r="D729" s="58" t="s">
        <v>274</v>
      </c>
      <c r="E729" s="58" t="s">
        <v>5603</v>
      </c>
      <c r="F729" s="18" t="s">
        <v>328</v>
      </c>
      <c r="G729" s="52">
        <v>46057</v>
      </c>
      <c r="H729" s="18" t="s">
        <v>518</v>
      </c>
      <c r="I729" s="53">
        <v>19</v>
      </c>
      <c r="J729" s="54">
        <v>65.099999999999994</v>
      </c>
      <c r="K729" s="54">
        <v>1236.9000000000001</v>
      </c>
      <c r="L729" s="18" t="s">
        <v>330</v>
      </c>
      <c r="M729" s="18" t="s">
        <v>331</v>
      </c>
      <c r="N729" s="55">
        <v>46059</v>
      </c>
      <c r="O729" s="18" t="str">
        <f>IFERROR(VLOOKUP(A729,'[2]RELAÇÃO DE OC''S VMI MEC 030226'!$B:$P,15,FALSE),"-")</f>
        <v>-</v>
      </c>
      <c r="P729" s="56">
        <f t="shared" ca="1" si="34"/>
        <v>17</v>
      </c>
      <c r="Q729" s="18" t="str">
        <f t="shared" ca="1" si="35"/>
        <v>ATRASADO</v>
      </c>
      <c r="R729" s="19" t="s">
        <v>5645</v>
      </c>
    </row>
    <row r="730" spans="1:18" ht="12.75" thickBot="1" x14ac:dyDescent="0.25">
      <c r="A730" s="18" t="str">
        <f t="shared" si="33"/>
        <v>052814007421.23.00875</v>
      </c>
      <c r="B730" s="51" t="s">
        <v>5618</v>
      </c>
      <c r="C730" s="51" t="s">
        <v>379</v>
      </c>
      <c r="D730" s="58" t="s">
        <v>4631</v>
      </c>
      <c r="E730" s="58" t="s">
        <v>5610</v>
      </c>
      <c r="F730" s="18" t="s">
        <v>328</v>
      </c>
      <c r="G730" s="52">
        <v>46057</v>
      </c>
      <c r="H730" s="18" t="s">
        <v>518</v>
      </c>
      <c r="I730" s="53">
        <v>22</v>
      </c>
      <c r="J730" s="54">
        <v>75.25</v>
      </c>
      <c r="K730" s="54">
        <v>1655.5</v>
      </c>
      <c r="L730" s="18" t="s">
        <v>330</v>
      </c>
      <c r="M730" s="18" t="s">
        <v>331</v>
      </c>
      <c r="N730" s="55">
        <v>46010</v>
      </c>
      <c r="O730" s="18" t="str">
        <f>IFERROR(VLOOKUP(A730,'[2]RELAÇÃO DE OC''S VMI MEC 030226'!$B:$P,15,FALSE),"-")</f>
        <v>-</v>
      </c>
      <c r="P730" s="56">
        <f t="shared" ca="1" si="34"/>
        <v>66</v>
      </c>
      <c r="Q730" s="18" t="str">
        <f t="shared" ca="1" si="35"/>
        <v>ATRASADO</v>
      </c>
      <c r="R730" s="19" t="s">
        <v>5645</v>
      </c>
    </row>
    <row r="731" spans="1:18" ht="12.75" thickBot="1" x14ac:dyDescent="0.25">
      <c r="A731" s="18" t="str">
        <f t="shared" si="33"/>
        <v>052814007521.23.01364</v>
      </c>
      <c r="B731" s="51" t="s">
        <v>5618</v>
      </c>
      <c r="C731" s="51" t="s">
        <v>402</v>
      </c>
      <c r="D731" s="58" t="s">
        <v>4635</v>
      </c>
      <c r="E731" s="58" t="s">
        <v>5696</v>
      </c>
      <c r="F731" s="18" t="s">
        <v>328</v>
      </c>
      <c r="G731" s="52">
        <v>46057</v>
      </c>
      <c r="H731" s="18" t="s">
        <v>518</v>
      </c>
      <c r="I731" s="53">
        <v>37</v>
      </c>
      <c r="J731" s="54">
        <v>119</v>
      </c>
      <c r="K731" s="54">
        <v>4403</v>
      </c>
      <c r="L731" s="18" t="s">
        <v>330</v>
      </c>
      <c r="M731" s="18" t="s">
        <v>331</v>
      </c>
      <c r="N731" s="55">
        <v>46090</v>
      </c>
      <c r="O731" s="18" t="str">
        <f>IFERROR(VLOOKUP(A731,'[2]RELAÇÃO DE OC''S VMI MEC 030226'!$B:$P,15,FALSE),"-")</f>
        <v>-</v>
      </c>
      <c r="P731" s="56">
        <f t="shared" ca="1" si="34"/>
        <v>-14</v>
      </c>
      <c r="Q731" s="18" t="str">
        <f t="shared" ca="1" si="35"/>
        <v>DENTRO DO PRAZO</v>
      </c>
      <c r="R731" s="19" t="s">
        <v>5645</v>
      </c>
    </row>
    <row r="732" spans="1:18" ht="12.75" thickBot="1" x14ac:dyDescent="0.25">
      <c r="A732" s="18" t="str">
        <f t="shared" si="33"/>
        <v>052814007621.23.01409</v>
      </c>
      <c r="B732" s="51" t="s">
        <v>5618</v>
      </c>
      <c r="C732" s="51" t="s">
        <v>337</v>
      </c>
      <c r="D732" s="58" t="s">
        <v>1792</v>
      </c>
      <c r="E732" s="58" t="s">
        <v>1793</v>
      </c>
      <c r="F732" s="18" t="s">
        <v>328</v>
      </c>
      <c r="G732" s="52">
        <v>46057</v>
      </c>
      <c r="H732" s="18" t="s">
        <v>518</v>
      </c>
      <c r="I732" s="53">
        <v>3</v>
      </c>
      <c r="J732" s="54">
        <v>740</v>
      </c>
      <c r="K732" s="54">
        <v>2220</v>
      </c>
      <c r="L732" s="18" t="s">
        <v>330</v>
      </c>
      <c r="M732" s="18" t="s">
        <v>331</v>
      </c>
      <c r="N732" s="55">
        <v>46090</v>
      </c>
      <c r="O732" s="18" t="str">
        <f>IFERROR(VLOOKUP(A732,'[2]RELAÇÃO DE OC''S VMI MEC 030226'!$B:$P,15,FALSE),"-")</f>
        <v>-</v>
      </c>
      <c r="P732" s="56">
        <f t="shared" ca="1" si="34"/>
        <v>-14</v>
      </c>
      <c r="Q732" s="18" t="str">
        <f t="shared" ca="1" si="35"/>
        <v>DENTRO DO PRAZO</v>
      </c>
      <c r="R732" s="19" t="s">
        <v>5645</v>
      </c>
    </row>
    <row r="733" spans="1:18" ht="54" thickBot="1" x14ac:dyDescent="0.25">
      <c r="A733" s="18" t="str">
        <f t="shared" si="33"/>
        <v>052814007721.23.01612</v>
      </c>
      <c r="B733" s="51" t="s">
        <v>5618</v>
      </c>
      <c r="C733" s="51" t="s">
        <v>380</v>
      </c>
      <c r="D733" s="58" t="s">
        <v>718</v>
      </c>
      <c r="E733" s="58" t="s">
        <v>722</v>
      </c>
      <c r="F733" s="18" t="s">
        <v>328</v>
      </c>
      <c r="G733" s="52">
        <v>46057</v>
      </c>
      <c r="H733" s="18" t="s">
        <v>518</v>
      </c>
      <c r="I733" s="53">
        <v>52</v>
      </c>
      <c r="J733" s="54">
        <v>9.25</v>
      </c>
      <c r="K733" s="54">
        <v>481</v>
      </c>
      <c r="L733" s="18" t="s">
        <v>330</v>
      </c>
      <c r="M733" s="18" t="s">
        <v>331</v>
      </c>
      <c r="N733" s="55">
        <v>46062</v>
      </c>
      <c r="O733" s="18" t="str">
        <f>IFERROR(VLOOKUP(A733,'[2]RELAÇÃO DE OC''S VMI MEC 030226'!$B:$P,15,FALSE),"-")</f>
        <v>-</v>
      </c>
      <c r="P733" s="56">
        <f t="shared" ca="1" si="34"/>
        <v>14</v>
      </c>
      <c r="Q733" s="18" t="str">
        <f t="shared" ca="1" si="35"/>
        <v>ATRASADO</v>
      </c>
      <c r="R733" s="19" t="s">
        <v>5697</v>
      </c>
    </row>
    <row r="734" spans="1:18" ht="12.75" thickBot="1" x14ac:dyDescent="0.25">
      <c r="A734" s="18" t="str">
        <f t="shared" si="33"/>
        <v>052814007821.23.02019</v>
      </c>
      <c r="B734" s="51" t="s">
        <v>5618</v>
      </c>
      <c r="C734" s="51" t="s">
        <v>403</v>
      </c>
      <c r="D734" s="58" t="s">
        <v>62</v>
      </c>
      <c r="E734" s="58" t="s">
        <v>5577</v>
      </c>
      <c r="F734" s="18" t="s">
        <v>328</v>
      </c>
      <c r="G734" s="52">
        <v>46057</v>
      </c>
      <c r="H734" s="18" t="s">
        <v>518</v>
      </c>
      <c r="I734" s="53">
        <v>8</v>
      </c>
      <c r="J734" s="54">
        <v>19.87</v>
      </c>
      <c r="K734" s="54">
        <v>158.96</v>
      </c>
      <c r="L734" s="18" t="s">
        <v>330</v>
      </c>
      <c r="M734" s="18" t="s">
        <v>331</v>
      </c>
      <c r="N734" s="55">
        <v>46088</v>
      </c>
      <c r="O734" s="18" t="str">
        <f>IFERROR(VLOOKUP(A734,'[2]RELAÇÃO DE OC''S VMI MEC 030226'!$B:$P,15,FALSE),"-")</f>
        <v>-</v>
      </c>
      <c r="P734" s="56">
        <f t="shared" ca="1" si="34"/>
        <v>-12</v>
      </c>
      <c r="Q734" s="18" t="str">
        <f t="shared" ca="1" si="35"/>
        <v>DENTRO DO PRAZO</v>
      </c>
      <c r="R734" s="19" t="s">
        <v>5645</v>
      </c>
    </row>
    <row r="735" spans="1:18" ht="12.75" thickBot="1" x14ac:dyDescent="0.25">
      <c r="A735" s="18" t="str">
        <f t="shared" si="33"/>
        <v>052814007921.23.02281</v>
      </c>
      <c r="B735" s="51" t="s">
        <v>5618</v>
      </c>
      <c r="C735" s="51" t="s">
        <v>381</v>
      </c>
      <c r="D735" s="58" t="s">
        <v>70</v>
      </c>
      <c r="E735" s="58" t="s">
        <v>71</v>
      </c>
      <c r="F735" s="18" t="s">
        <v>328</v>
      </c>
      <c r="G735" s="52">
        <v>46057</v>
      </c>
      <c r="H735" s="18" t="s">
        <v>518</v>
      </c>
      <c r="I735" s="53">
        <v>1</v>
      </c>
      <c r="J735" s="54">
        <v>627.15</v>
      </c>
      <c r="K735" s="54">
        <v>627.15</v>
      </c>
      <c r="L735" s="18" t="s">
        <v>330</v>
      </c>
      <c r="M735" s="18" t="s">
        <v>331</v>
      </c>
      <c r="N735" s="55">
        <v>45998</v>
      </c>
      <c r="O735" s="18" t="str">
        <f>IFERROR(VLOOKUP(A735,'[2]RELAÇÃO DE OC''S VMI MEC 030226'!$B:$P,15,FALSE),"-")</f>
        <v>-</v>
      </c>
      <c r="P735" s="56">
        <f t="shared" ca="1" si="34"/>
        <v>78</v>
      </c>
      <c r="Q735" s="18" t="str">
        <f t="shared" ca="1" si="35"/>
        <v>ATRASADO</v>
      </c>
      <c r="R735" s="19" t="s">
        <v>5645</v>
      </c>
    </row>
    <row r="736" spans="1:18" ht="12.75" thickBot="1" x14ac:dyDescent="0.25">
      <c r="A736" s="18" t="str">
        <f t="shared" si="33"/>
        <v>052814008021.23.03328</v>
      </c>
      <c r="B736" s="51" t="s">
        <v>5618</v>
      </c>
      <c r="C736" s="51" t="s">
        <v>382</v>
      </c>
      <c r="D736" s="58" t="s">
        <v>131</v>
      </c>
      <c r="E736" s="58" t="s">
        <v>158</v>
      </c>
      <c r="F736" s="18" t="s">
        <v>328</v>
      </c>
      <c r="G736" s="52">
        <v>46057</v>
      </c>
      <c r="H736" s="18" t="s">
        <v>518</v>
      </c>
      <c r="I736" s="53">
        <v>7</v>
      </c>
      <c r="J736" s="54">
        <v>64.3</v>
      </c>
      <c r="K736" s="54">
        <v>450.1</v>
      </c>
      <c r="L736" s="18" t="s">
        <v>330</v>
      </c>
      <c r="M736" s="18" t="s">
        <v>331</v>
      </c>
      <c r="N736" s="55">
        <v>46114</v>
      </c>
      <c r="O736" s="18" t="str">
        <f>IFERROR(VLOOKUP(A736,'[2]RELAÇÃO DE OC''S VMI MEC 030226'!$B:$P,15,FALSE),"-")</f>
        <v>-</v>
      </c>
      <c r="P736" s="56">
        <f t="shared" ca="1" si="34"/>
        <v>-38</v>
      </c>
      <c r="Q736" s="18" t="str">
        <f t="shared" ca="1" si="35"/>
        <v>DENTRO DO PRAZO</v>
      </c>
      <c r="R736" s="19" t="s">
        <v>5645</v>
      </c>
    </row>
    <row r="737" spans="1:18" ht="12.75" thickBot="1" x14ac:dyDescent="0.25">
      <c r="A737" s="18" t="str">
        <f t="shared" si="33"/>
        <v>052814008121.23.03329</v>
      </c>
      <c r="B737" s="51" t="s">
        <v>5618</v>
      </c>
      <c r="C737" s="51" t="s">
        <v>383</v>
      </c>
      <c r="D737" s="58" t="s">
        <v>787</v>
      </c>
      <c r="E737" s="58" t="s">
        <v>788</v>
      </c>
      <c r="F737" s="18" t="s">
        <v>328</v>
      </c>
      <c r="G737" s="52">
        <v>46057</v>
      </c>
      <c r="H737" s="18" t="s">
        <v>518</v>
      </c>
      <c r="I737" s="53">
        <v>7</v>
      </c>
      <c r="J737" s="54">
        <v>64.3</v>
      </c>
      <c r="K737" s="54">
        <v>450.1</v>
      </c>
      <c r="L737" s="18" t="s">
        <v>330</v>
      </c>
      <c r="M737" s="18" t="s">
        <v>331</v>
      </c>
      <c r="N737" s="55">
        <v>46114</v>
      </c>
      <c r="O737" s="18" t="str">
        <f>IFERROR(VLOOKUP(A737,'[2]RELAÇÃO DE OC''S VMI MEC 030226'!$B:$P,15,FALSE),"-")</f>
        <v>-</v>
      </c>
      <c r="P737" s="56">
        <f t="shared" ca="1" si="34"/>
        <v>-38</v>
      </c>
      <c r="Q737" s="18" t="str">
        <f t="shared" ca="1" si="35"/>
        <v>DENTRO DO PRAZO</v>
      </c>
      <c r="R737" s="19" t="s">
        <v>5645</v>
      </c>
    </row>
    <row r="738" spans="1:18" ht="12.75" thickBot="1" x14ac:dyDescent="0.25">
      <c r="A738" s="18" t="str">
        <f t="shared" si="33"/>
        <v>052814008221.23.04637</v>
      </c>
      <c r="B738" s="51" t="s">
        <v>5618</v>
      </c>
      <c r="C738" s="51" t="s">
        <v>699</v>
      </c>
      <c r="D738" s="58" t="s">
        <v>3510</v>
      </c>
      <c r="E738" s="58" t="s">
        <v>5698</v>
      </c>
      <c r="F738" s="18" t="s">
        <v>328</v>
      </c>
      <c r="G738" s="52">
        <v>46057</v>
      </c>
      <c r="H738" s="18" t="s">
        <v>518</v>
      </c>
      <c r="I738" s="53">
        <v>1385</v>
      </c>
      <c r="J738" s="54">
        <v>4.78</v>
      </c>
      <c r="K738" s="54">
        <v>6620.3</v>
      </c>
      <c r="L738" s="18" t="s">
        <v>330</v>
      </c>
      <c r="M738" s="18" t="s">
        <v>331</v>
      </c>
      <c r="N738" s="55">
        <v>46009</v>
      </c>
      <c r="O738" s="18" t="str">
        <f>IFERROR(VLOOKUP(A738,'[2]RELAÇÃO DE OC''S VMI MEC 030226'!$B:$P,15,FALSE),"-")</f>
        <v>-</v>
      </c>
      <c r="P738" s="56">
        <f t="shared" ca="1" si="34"/>
        <v>67</v>
      </c>
      <c r="Q738" s="18" t="str">
        <f t="shared" ca="1" si="35"/>
        <v>ATRASADO</v>
      </c>
      <c r="R738" s="19" t="s">
        <v>5645</v>
      </c>
    </row>
    <row r="739" spans="1:18" ht="12.75" thickBot="1" x14ac:dyDescent="0.25">
      <c r="A739" s="18" t="str">
        <f t="shared" si="33"/>
        <v>052814008321.23.04638</v>
      </c>
      <c r="B739" s="51" t="s">
        <v>5618</v>
      </c>
      <c r="C739" s="59" t="s">
        <v>338</v>
      </c>
      <c r="D739" s="58" t="s">
        <v>3512</v>
      </c>
      <c r="E739" s="58" t="s">
        <v>5699</v>
      </c>
      <c r="F739" s="18" t="s">
        <v>328</v>
      </c>
      <c r="G739" s="52">
        <v>46057</v>
      </c>
      <c r="H739" s="18" t="s">
        <v>518</v>
      </c>
      <c r="I739" s="53">
        <v>1696</v>
      </c>
      <c r="J739" s="54">
        <v>4.2300000000000004</v>
      </c>
      <c r="K739" s="54">
        <v>7174.08</v>
      </c>
      <c r="L739" s="18" t="s">
        <v>330</v>
      </c>
      <c r="M739" s="18" t="s">
        <v>331</v>
      </c>
      <c r="N739" s="55">
        <v>46029</v>
      </c>
      <c r="O739" s="18" t="str">
        <f>IFERROR(VLOOKUP(A739,'[2]RELAÇÃO DE OC''S VMI MEC 030226'!$B:$P,15,FALSE),"-")</f>
        <v>-</v>
      </c>
      <c r="P739" s="56">
        <f t="shared" ca="1" si="34"/>
        <v>47</v>
      </c>
      <c r="Q739" s="18" t="str">
        <f t="shared" ca="1" si="35"/>
        <v>ATRASADO</v>
      </c>
      <c r="R739" s="19" t="s">
        <v>5645</v>
      </c>
    </row>
    <row r="740" spans="1:18" x14ac:dyDescent="0.2">
      <c r="A740" s="18" t="str">
        <f t="shared" si="33"/>
        <v>052814008433.03.10540.00</v>
      </c>
      <c r="B740" s="51" t="s">
        <v>5618</v>
      </c>
      <c r="C740" s="18" t="s">
        <v>339</v>
      </c>
      <c r="D740" s="18" t="s">
        <v>5700</v>
      </c>
      <c r="E740" s="18" t="s">
        <v>5701</v>
      </c>
      <c r="F740" s="18" t="s">
        <v>328</v>
      </c>
      <c r="G740" s="52">
        <v>46057</v>
      </c>
      <c r="H740" s="18" t="s">
        <v>518</v>
      </c>
      <c r="I740" s="53">
        <v>2</v>
      </c>
      <c r="J740" s="54">
        <v>121</v>
      </c>
      <c r="K740" s="54">
        <v>242</v>
      </c>
      <c r="L740" s="18" t="s">
        <v>330</v>
      </c>
      <c r="M740" s="18" t="s">
        <v>331</v>
      </c>
      <c r="N740" s="55">
        <v>46022</v>
      </c>
      <c r="O740" s="18" t="str">
        <f>IFERROR(VLOOKUP(A740,'[2]RELAÇÃO DE OC''S VMI MEC 030226'!$B:$P,15,FALSE),"-")</f>
        <v>-</v>
      </c>
      <c r="P740" s="56">
        <f t="shared" ca="1" si="34"/>
        <v>54</v>
      </c>
      <c r="Q740" s="18" t="str">
        <f t="shared" ca="1" si="35"/>
        <v>ATRASADO</v>
      </c>
      <c r="R740" s="19" t="s">
        <v>5645</v>
      </c>
    </row>
    <row r="741" spans="1:18" x14ac:dyDescent="0.2">
      <c r="A741" s="14" t="s">
        <v>5582</v>
      </c>
      <c r="B741" s="14" t="s">
        <v>5561</v>
      </c>
      <c r="C741" s="14" t="s">
        <v>372</v>
      </c>
      <c r="D741" s="14" t="s">
        <v>787</v>
      </c>
      <c r="E741" s="15" t="s">
        <v>788</v>
      </c>
      <c r="F741" s="16" t="s">
        <v>328</v>
      </c>
      <c r="G741" s="17">
        <v>46030</v>
      </c>
      <c r="H741" s="17" t="s">
        <v>329</v>
      </c>
      <c r="I741" s="15">
        <v>6</v>
      </c>
      <c r="J741" s="14">
        <v>68.05</v>
      </c>
      <c r="K741" s="14">
        <v>408.3</v>
      </c>
      <c r="L741" s="14" t="s">
        <v>330</v>
      </c>
      <c r="M741" s="17" t="s">
        <v>331</v>
      </c>
      <c r="N741" s="17">
        <v>46076</v>
      </c>
      <c r="O741" s="17">
        <v>46299</v>
      </c>
      <c r="P741" s="15" t="e">
        <v>#N/A</v>
      </c>
    </row>
    <row r="742" spans="1:18" x14ac:dyDescent="0.2">
      <c r="A742" s="14" t="s">
        <v>5583</v>
      </c>
      <c r="B742" s="14" t="s">
        <v>5561</v>
      </c>
      <c r="C742" s="14" t="s">
        <v>373</v>
      </c>
      <c r="D742" s="14" t="s">
        <v>787</v>
      </c>
      <c r="E742" s="15" t="s">
        <v>788</v>
      </c>
      <c r="F742" s="16" t="s">
        <v>328</v>
      </c>
      <c r="G742" s="17">
        <v>46030</v>
      </c>
      <c r="H742" s="17" t="s">
        <v>329</v>
      </c>
      <c r="I742" s="15">
        <v>1</v>
      </c>
      <c r="J742" s="14">
        <v>68.05</v>
      </c>
      <c r="K742" s="14">
        <v>68.05</v>
      </c>
      <c r="L742" s="14" t="s">
        <v>330</v>
      </c>
      <c r="M742" s="17" t="s">
        <v>331</v>
      </c>
      <c r="N742" s="17">
        <v>46076</v>
      </c>
      <c r="O742" s="17">
        <v>46299</v>
      </c>
      <c r="P742" s="15" t="e">
        <v>#N/A</v>
      </c>
    </row>
    <row r="743" spans="1:18" x14ac:dyDescent="0.2">
      <c r="A743" s="14" t="s">
        <v>5584</v>
      </c>
      <c r="B743" s="14" t="s">
        <v>5561</v>
      </c>
      <c r="C743" s="14" t="s">
        <v>374</v>
      </c>
      <c r="D743" s="14" t="s">
        <v>921</v>
      </c>
      <c r="E743" s="15" t="s">
        <v>922</v>
      </c>
      <c r="F743" s="16" t="s">
        <v>328</v>
      </c>
      <c r="G743" s="17">
        <v>46030</v>
      </c>
      <c r="H743" s="17" t="s">
        <v>329</v>
      </c>
      <c r="I743" s="15">
        <v>2</v>
      </c>
      <c r="J743" s="14">
        <v>28</v>
      </c>
      <c r="K743" s="14">
        <v>56</v>
      </c>
      <c r="L743" s="14" t="s">
        <v>330</v>
      </c>
      <c r="M743" s="17" t="s">
        <v>331</v>
      </c>
      <c r="N743" s="17">
        <v>46076</v>
      </c>
      <c r="O743" s="17">
        <v>46299</v>
      </c>
      <c r="P743" s="15" t="e">
        <v>#N/A</v>
      </c>
    </row>
    <row r="744" spans="1:18" x14ac:dyDescent="0.2">
      <c r="A744" s="14" t="s">
        <v>5585</v>
      </c>
      <c r="B744" s="14" t="s">
        <v>5561</v>
      </c>
      <c r="C744" s="14" t="s">
        <v>692</v>
      </c>
      <c r="D744" s="14" t="s">
        <v>921</v>
      </c>
      <c r="E744" s="15" t="s">
        <v>922</v>
      </c>
      <c r="F744" s="16" t="s">
        <v>328</v>
      </c>
      <c r="G744" s="17">
        <v>46030</v>
      </c>
      <c r="H744" s="17" t="s">
        <v>329</v>
      </c>
      <c r="I744" s="15">
        <v>16</v>
      </c>
      <c r="J744" s="14">
        <v>28</v>
      </c>
      <c r="K744" s="14">
        <v>448</v>
      </c>
      <c r="L744" s="14" t="s">
        <v>330</v>
      </c>
      <c r="M744" s="17" t="s">
        <v>331</v>
      </c>
      <c r="N744" s="17">
        <v>46076</v>
      </c>
      <c r="O744" s="17">
        <v>46299</v>
      </c>
      <c r="P744" s="15" t="e">
        <v>#N/A</v>
      </c>
    </row>
    <row r="745" spans="1:18" ht="24" x14ac:dyDescent="0.2">
      <c r="A745" s="14" t="s">
        <v>5586</v>
      </c>
      <c r="B745" s="14" t="s">
        <v>5561</v>
      </c>
      <c r="C745" s="14" t="s">
        <v>421</v>
      </c>
      <c r="D745" s="14" t="s">
        <v>812</v>
      </c>
      <c r="E745" s="15" t="s">
        <v>813</v>
      </c>
      <c r="F745" s="16" t="s">
        <v>328</v>
      </c>
      <c r="G745" s="17">
        <v>46030</v>
      </c>
      <c r="H745" s="17" t="s">
        <v>329</v>
      </c>
      <c r="I745" s="15">
        <v>20</v>
      </c>
      <c r="J745" s="14">
        <v>99.7</v>
      </c>
      <c r="K745" s="14">
        <v>1994</v>
      </c>
      <c r="L745" s="14" t="s">
        <v>330</v>
      </c>
      <c r="M745" s="17" t="s">
        <v>331</v>
      </c>
      <c r="N745" s="17">
        <v>46076</v>
      </c>
      <c r="O745" s="17">
        <v>46299</v>
      </c>
      <c r="P745" s="15" t="e">
        <v>#N/A</v>
      </c>
    </row>
    <row r="746" spans="1:18" ht="24" x14ac:dyDescent="0.2">
      <c r="A746" s="14" t="s">
        <v>5587</v>
      </c>
      <c r="B746" s="14" t="s">
        <v>5561</v>
      </c>
      <c r="C746" s="14" t="s">
        <v>693</v>
      </c>
      <c r="D746" s="14" t="s">
        <v>814</v>
      </c>
      <c r="E746" s="15" t="s">
        <v>815</v>
      </c>
      <c r="F746" s="16" t="s">
        <v>328</v>
      </c>
      <c r="G746" s="17">
        <v>46030</v>
      </c>
      <c r="H746" s="17" t="s">
        <v>329</v>
      </c>
      <c r="I746" s="15">
        <v>20</v>
      </c>
      <c r="J746" s="14">
        <v>99.7</v>
      </c>
      <c r="K746" s="14">
        <v>1994</v>
      </c>
      <c r="L746" s="14" t="s">
        <v>330</v>
      </c>
      <c r="M746" s="17" t="s">
        <v>331</v>
      </c>
      <c r="N746" s="17">
        <v>46076</v>
      </c>
      <c r="O746" s="17">
        <v>46299</v>
      </c>
      <c r="P746" s="15" t="e">
        <v>#N/A</v>
      </c>
    </row>
    <row r="747" spans="1:18" ht="24" x14ac:dyDescent="0.2">
      <c r="A747" s="14" t="s">
        <v>5588</v>
      </c>
      <c r="B747" s="14" t="s">
        <v>5561</v>
      </c>
      <c r="C747" s="14" t="s">
        <v>335</v>
      </c>
      <c r="D747" s="14" t="s">
        <v>929</v>
      </c>
      <c r="E747" s="15" t="s">
        <v>5589</v>
      </c>
      <c r="F747" s="16" t="s">
        <v>328</v>
      </c>
      <c r="G747" s="17">
        <v>46030</v>
      </c>
      <c r="H747" s="17" t="s">
        <v>329</v>
      </c>
      <c r="I747" s="15">
        <v>20</v>
      </c>
      <c r="J747" s="14">
        <v>99.7</v>
      </c>
      <c r="K747" s="14">
        <v>1994</v>
      </c>
      <c r="L747" s="14" t="s">
        <v>330</v>
      </c>
      <c r="M747" s="17" t="s">
        <v>331</v>
      </c>
      <c r="N747" s="17">
        <v>46076</v>
      </c>
      <c r="O747" s="17">
        <v>46299</v>
      </c>
      <c r="P747" s="15" t="e">
        <v>#N/A</v>
      </c>
    </row>
    <row r="748" spans="1:18" x14ac:dyDescent="0.2">
      <c r="A748" s="14" t="s">
        <v>5590</v>
      </c>
      <c r="B748" s="14" t="s">
        <v>5561</v>
      </c>
      <c r="C748" s="14" t="s">
        <v>694</v>
      </c>
      <c r="D748" s="14" t="s">
        <v>1850</v>
      </c>
      <c r="E748" s="15" t="s">
        <v>1851</v>
      </c>
      <c r="F748" s="16" t="s">
        <v>328</v>
      </c>
      <c r="G748" s="17">
        <v>46030</v>
      </c>
      <c r="H748" s="17" t="s">
        <v>329</v>
      </c>
      <c r="I748" s="15">
        <v>16</v>
      </c>
      <c r="J748" s="14">
        <v>37.15</v>
      </c>
      <c r="K748" s="14">
        <v>594.4</v>
      </c>
      <c r="L748" s="14" t="s">
        <v>330</v>
      </c>
      <c r="M748" s="17" t="s">
        <v>331</v>
      </c>
      <c r="N748" s="17">
        <v>46076</v>
      </c>
      <c r="O748" s="17">
        <v>46299</v>
      </c>
      <c r="P748" s="15" t="e">
        <v>#N/A</v>
      </c>
    </row>
    <row r="749" spans="1:18" x14ac:dyDescent="0.2">
      <c r="A749" s="14" t="s">
        <v>5591</v>
      </c>
      <c r="B749" s="14" t="s">
        <v>5561</v>
      </c>
      <c r="C749" s="14" t="s">
        <v>422</v>
      </c>
      <c r="D749" s="14" t="s">
        <v>481</v>
      </c>
      <c r="E749" s="15" t="s">
        <v>482</v>
      </c>
      <c r="F749" s="16" t="s">
        <v>328</v>
      </c>
      <c r="G749" s="17">
        <v>46030</v>
      </c>
      <c r="H749" s="17" t="s">
        <v>329</v>
      </c>
      <c r="I749" s="15">
        <v>14</v>
      </c>
      <c r="J749" s="14">
        <v>618.29999999999995</v>
      </c>
      <c r="K749" s="14">
        <v>8656.2000000000007</v>
      </c>
      <c r="L749" s="14" t="s">
        <v>330</v>
      </c>
      <c r="M749" s="17" t="s">
        <v>331</v>
      </c>
      <c r="N749" s="17">
        <v>46076</v>
      </c>
      <c r="O749" s="17">
        <v>46299</v>
      </c>
      <c r="P749" s="15" t="e">
        <v>#N/A</v>
      </c>
    </row>
    <row r="750" spans="1:18" ht="24" x14ac:dyDescent="0.2">
      <c r="A750" s="14" t="s">
        <v>5592</v>
      </c>
      <c r="B750" s="14" t="s">
        <v>5561</v>
      </c>
      <c r="C750" s="14" t="s">
        <v>353</v>
      </c>
      <c r="D750" s="14" t="s">
        <v>263</v>
      </c>
      <c r="E750" s="15" t="s">
        <v>930</v>
      </c>
      <c r="F750" s="16" t="s">
        <v>328</v>
      </c>
      <c r="G750" s="17">
        <v>46030</v>
      </c>
      <c r="H750" s="17" t="s">
        <v>329</v>
      </c>
      <c r="I750" s="15">
        <v>7</v>
      </c>
      <c r="J750" s="14">
        <v>64.45</v>
      </c>
      <c r="K750" s="14">
        <v>451.15</v>
      </c>
      <c r="L750" s="14" t="s">
        <v>330</v>
      </c>
      <c r="M750" s="17" t="s">
        <v>331</v>
      </c>
      <c r="N750" s="17">
        <v>46076</v>
      </c>
      <c r="O750" s="17">
        <v>46299</v>
      </c>
      <c r="P750" s="15" t="e">
        <v>#N/A</v>
      </c>
    </row>
    <row r="751" spans="1:18" ht="24" x14ac:dyDescent="0.2">
      <c r="A751" s="14" t="s">
        <v>5593</v>
      </c>
      <c r="B751" s="14" t="s">
        <v>5561</v>
      </c>
      <c r="C751" s="14" t="s">
        <v>695</v>
      </c>
      <c r="D751" s="14" t="s">
        <v>263</v>
      </c>
      <c r="E751" s="15" t="s">
        <v>930</v>
      </c>
      <c r="F751" s="16" t="s">
        <v>328</v>
      </c>
      <c r="G751" s="17">
        <v>46030</v>
      </c>
      <c r="H751" s="17" t="s">
        <v>329</v>
      </c>
      <c r="I751" s="15">
        <v>1</v>
      </c>
      <c r="J751" s="14">
        <v>64.45</v>
      </c>
      <c r="K751" s="14">
        <v>64.45</v>
      </c>
      <c r="L751" s="14" t="s">
        <v>330</v>
      </c>
      <c r="M751" s="17" t="s">
        <v>331</v>
      </c>
      <c r="N751" s="17">
        <v>46076</v>
      </c>
      <c r="O751" s="17">
        <v>46299</v>
      </c>
      <c r="P751" s="15" t="e">
        <v>#N/A</v>
      </c>
    </row>
    <row r="752" spans="1:18" ht="24" x14ac:dyDescent="0.2">
      <c r="A752" s="14" t="s">
        <v>5594</v>
      </c>
      <c r="B752" s="14" t="s">
        <v>5561</v>
      </c>
      <c r="C752" s="14" t="s">
        <v>423</v>
      </c>
      <c r="D752" s="14" t="s">
        <v>130</v>
      </c>
      <c r="E752" s="15" t="s">
        <v>138</v>
      </c>
      <c r="F752" s="16" t="s">
        <v>328</v>
      </c>
      <c r="G752" s="17">
        <v>46030</v>
      </c>
      <c r="H752" s="17" t="s">
        <v>329</v>
      </c>
      <c r="I752" s="15">
        <v>7</v>
      </c>
      <c r="J752" s="14">
        <v>59.5</v>
      </c>
      <c r="K752" s="14">
        <v>416.5</v>
      </c>
      <c r="L752" s="14" t="s">
        <v>330</v>
      </c>
      <c r="M752" s="17" t="s">
        <v>331</v>
      </c>
      <c r="N752" s="17">
        <v>46076</v>
      </c>
      <c r="O752" s="17">
        <v>46299</v>
      </c>
      <c r="P752" s="15" t="e">
        <v>#N/A</v>
      </c>
    </row>
    <row r="753" spans="1:16" x14ac:dyDescent="0.2">
      <c r="A753" s="14" t="s">
        <v>5595</v>
      </c>
      <c r="B753" s="14" t="s">
        <v>5561</v>
      </c>
      <c r="C753" s="14" t="s">
        <v>696</v>
      </c>
      <c r="D753" s="14" t="s">
        <v>264</v>
      </c>
      <c r="E753" s="15" t="s">
        <v>265</v>
      </c>
      <c r="F753" s="16" t="s">
        <v>328</v>
      </c>
      <c r="G753" s="17">
        <v>46030</v>
      </c>
      <c r="H753" s="17" t="s">
        <v>329</v>
      </c>
      <c r="I753" s="15">
        <v>7</v>
      </c>
      <c r="J753" s="14">
        <v>64.400000000000006</v>
      </c>
      <c r="K753" s="14">
        <v>450.8</v>
      </c>
      <c r="L753" s="14" t="s">
        <v>330</v>
      </c>
      <c r="M753" s="17" t="s">
        <v>331</v>
      </c>
      <c r="N753" s="17">
        <v>46076</v>
      </c>
      <c r="O753" s="17">
        <v>46299</v>
      </c>
      <c r="P753" s="15" t="e">
        <v>#N/A</v>
      </c>
    </row>
    <row r="754" spans="1:16" ht="24" x14ac:dyDescent="0.2">
      <c r="A754" s="14" t="s">
        <v>5596</v>
      </c>
      <c r="B754" s="14" t="s">
        <v>5561</v>
      </c>
      <c r="C754" s="14" t="s">
        <v>424</v>
      </c>
      <c r="D754" s="14" t="s">
        <v>1852</v>
      </c>
      <c r="E754" s="15" t="s">
        <v>1853</v>
      </c>
      <c r="F754" s="16" t="s">
        <v>328</v>
      </c>
      <c r="G754" s="17">
        <v>46030</v>
      </c>
      <c r="H754" s="17" t="s">
        <v>329</v>
      </c>
      <c r="I754" s="15">
        <v>6</v>
      </c>
      <c r="J754" s="14">
        <v>64.400000000000006</v>
      </c>
      <c r="K754" s="14">
        <v>386.4</v>
      </c>
      <c r="L754" s="14" t="s">
        <v>330</v>
      </c>
      <c r="M754" s="17" t="s">
        <v>331</v>
      </c>
      <c r="N754" s="17">
        <v>46076</v>
      </c>
      <c r="O754" s="17">
        <v>46299</v>
      </c>
      <c r="P754" s="15" t="e">
        <v>#N/A</v>
      </c>
    </row>
    <row r="755" spans="1:16" x14ac:dyDescent="0.2">
      <c r="A755" s="14" t="s">
        <v>5597</v>
      </c>
      <c r="B755" s="14" t="s">
        <v>5561</v>
      </c>
      <c r="C755" s="14" t="s">
        <v>375</v>
      </c>
      <c r="D755" s="14" t="s">
        <v>483</v>
      </c>
      <c r="E755" s="15" t="s">
        <v>484</v>
      </c>
      <c r="F755" s="16" t="s">
        <v>328</v>
      </c>
      <c r="G755" s="17">
        <v>46030</v>
      </c>
      <c r="H755" s="17" t="s">
        <v>329</v>
      </c>
      <c r="I755" s="15">
        <v>8</v>
      </c>
      <c r="J755" s="14">
        <v>115</v>
      </c>
      <c r="K755" s="14">
        <v>920</v>
      </c>
      <c r="L755" s="14" t="s">
        <v>330</v>
      </c>
      <c r="M755" s="17" t="s">
        <v>331</v>
      </c>
      <c r="N755" s="17">
        <v>46076</v>
      </c>
      <c r="O755" s="17">
        <v>46299</v>
      </c>
      <c r="P755" s="15" t="e">
        <v>#N/A</v>
      </c>
    </row>
    <row r="756" spans="1:16" x14ac:dyDescent="0.2">
      <c r="A756" s="14" t="s">
        <v>5598</v>
      </c>
      <c r="B756" s="14" t="s">
        <v>5561</v>
      </c>
      <c r="C756" s="14" t="s">
        <v>425</v>
      </c>
      <c r="D756" s="14" t="s">
        <v>266</v>
      </c>
      <c r="E756" s="15" t="s">
        <v>267</v>
      </c>
      <c r="F756" s="16" t="s">
        <v>328</v>
      </c>
      <c r="G756" s="17">
        <v>46030</v>
      </c>
      <c r="H756" s="17" t="s">
        <v>329</v>
      </c>
      <c r="I756" s="15">
        <v>3</v>
      </c>
      <c r="J756" s="14">
        <v>479</v>
      </c>
      <c r="K756" s="14">
        <v>1437</v>
      </c>
      <c r="L756" s="14" t="s">
        <v>330</v>
      </c>
      <c r="M756" s="17" t="s">
        <v>331</v>
      </c>
      <c r="N756" s="17">
        <v>46076</v>
      </c>
      <c r="O756" s="17">
        <v>46299</v>
      </c>
      <c r="P756" s="15" t="e">
        <v>#N/A</v>
      </c>
    </row>
    <row r="757" spans="1:16" x14ac:dyDescent="0.2">
      <c r="A757" s="14" t="s">
        <v>5599</v>
      </c>
      <c r="B757" s="14" t="s">
        <v>5561</v>
      </c>
      <c r="C757" s="14" t="s">
        <v>376</v>
      </c>
      <c r="D757" s="14" t="s">
        <v>268</v>
      </c>
      <c r="E757" s="15" t="s">
        <v>269</v>
      </c>
      <c r="F757" s="16" t="s">
        <v>328</v>
      </c>
      <c r="G757" s="17">
        <v>46030</v>
      </c>
      <c r="H757" s="17" t="s">
        <v>329</v>
      </c>
      <c r="I757" s="15">
        <v>2</v>
      </c>
      <c r="J757" s="14">
        <v>520</v>
      </c>
      <c r="K757" s="14">
        <v>1040</v>
      </c>
      <c r="L757" s="14" t="s">
        <v>330</v>
      </c>
      <c r="M757" s="17" t="s">
        <v>331</v>
      </c>
      <c r="N757" s="17">
        <v>46076</v>
      </c>
      <c r="O757" s="17">
        <v>46299</v>
      </c>
      <c r="P757" s="15" t="e">
        <v>#N/A</v>
      </c>
    </row>
    <row r="758" spans="1:16" x14ac:dyDescent="0.2">
      <c r="A758" s="14" t="s">
        <v>5600</v>
      </c>
      <c r="B758" s="14" t="s">
        <v>5561</v>
      </c>
      <c r="C758" s="14" t="s">
        <v>377</v>
      </c>
      <c r="D758" s="14" t="s">
        <v>268</v>
      </c>
      <c r="E758" s="15" t="s">
        <v>269</v>
      </c>
      <c r="F758" s="16" t="s">
        <v>328</v>
      </c>
      <c r="G758" s="17">
        <v>46030</v>
      </c>
      <c r="H758" s="17" t="s">
        <v>329</v>
      </c>
      <c r="I758" s="15">
        <v>1</v>
      </c>
      <c r="J758" s="14">
        <v>520</v>
      </c>
      <c r="K758" s="14">
        <v>520</v>
      </c>
      <c r="L758" s="14" t="s">
        <v>330</v>
      </c>
      <c r="M758" s="17" t="s">
        <v>331</v>
      </c>
      <c r="N758" s="17">
        <v>46076</v>
      </c>
      <c r="O758" s="17">
        <v>46299</v>
      </c>
      <c r="P758" s="15" t="e">
        <v>#N/A</v>
      </c>
    </row>
    <row r="759" spans="1:16" x14ac:dyDescent="0.2">
      <c r="A759" s="14" t="s">
        <v>5601</v>
      </c>
      <c r="B759" s="14" t="s">
        <v>5561</v>
      </c>
      <c r="C759" s="14" t="s">
        <v>443</v>
      </c>
      <c r="D759" s="14" t="s">
        <v>272</v>
      </c>
      <c r="E759" s="15" t="s">
        <v>273</v>
      </c>
      <c r="F759" s="16" t="s">
        <v>328</v>
      </c>
      <c r="G759" s="17">
        <v>46030</v>
      </c>
      <c r="H759" s="17" t="s">
        <v>329</v>
      </c>
      <c r="I759" s="15">
        <v>6</v>
      </c>
      <c r="J759" s="14">
        <v>69</v>
      </c>
      <c r="K759" s="14">
        <v>414</v>
      </c>
      <c r="L759" s="14" t="s">
        <v>330</v>
      </c>
      <c r="M759" s="17" t="s">
        <v>331</v>
      </c>
      <c r="N759" s="17">
        <v>46076</v>
      </c>
      <c r="O759" s="17">
        <v>46299</v>
      </c>
      <c r="P759" s="15" t="e">
        <v>#N/A</v>
      </c>
    </row>
    <row r="760" spans="1:16" x14ac:dyDescent="0.2">
      <c r="A760" s="14" t="s">
        <v>5602</v>
      </c>
      <c r="B760" s="14" t="s">
        <v>5561</v>
      </c>
      <c r="C760" s="14" t="s">
        <v>378</v>
      </c>
      <c r="D760" s="14" t="s">
        <v>274</v>
      </c>
      <c r="E760" s="15" t="s">
        <v>5603</v>
      </c>
      <c r="F760" s="16" t="s">
        <v>328</v>
      </c>
      <c r="G760" s="17">
        <v>46030</v>
      </c>
      <c r="H760" s="17" t="s">
        <v>329</v>
      </c>
      <c r="I760" s="15">
        <v>6</v>
      </c>
      <c r="J760" s="14">
        <v>69</v>
      </c>
      <c r="K760" s="14">
        <v>414</v>
      </c>
      <c r="L760" s="14" t="s">
        <v>330</v>
      </c>
      <c r="M760" s="17" t="s">
        <v>331</v>
      </c>
      <c r="N760" s="17">
        <v>46076</v>
      </c>
      <c r="O760" s="17">
        <v>46299</v>
      </c>
      <c r="P760" s="15" t="e">
        <v>#N/A</v>
      </c>
    </row>
    <row r="761" spans="1:16" x14ac:dyDescent="0.2">
      <c r="A761" s="14" t="s">
        <v>5604</v>
      </c>
      <c r="B761" s="14" t="s">
        <v>5561</v>
      </c>
      <c r="C761" s="14" t="s">
        <v>401</v>
      </c>
      <c r="D761" s="14" t="s">
        <v>275</v>
      </c>
      <c r="E761" s="15" t="s">
        <v>276</v>
      </c>
      <c r="F761" s="16" t="s">
        <v>328</v>
      </c>
      <c r="G761" s="17">
        <v>46030</v>
      </c>
      <c r="H761" s="17" t="s">
        <v>329</v>
      </c>
      <c r="I761" s="15">
        <v>4</v>
      </c>
      <c r="J761" s="14">
        <v>56.9</v>
      </c>
      <c r="K761" s="14">
        <v>227.6</v>
      </c>
      <c r="L761" s="14" t="s">
        <v>330</v>
      </c>
      <c r="M761" s="17" t="s">
        <v>331</v>
      </c>
      <c r="N761" s="17">
        <v>46076</v>
      </c>
      <c r="O761" s="17">
        <v>46299</v>
      </c>
      <c r="P761" s="15" t="e">
        <v>#N/A</v>
      </c>
    </row>
    <row r="762" spans="1:16" x14ac:dyDescent="0.2">
      <c r="A762" s="14" t="s">
        <v>5605</v>
      </c>
      <c r="B762" s="14" t="s">
        <v>5561</v>
      </c>
      <c r="C762" s="14" t="s">
        <v>426</v>
      </c>
      <c r="D762" s="14" t="s">
        <v>277</v>
      </c>
      <c r="E762" s="15" t="s">
        <v>278</v>
      </c>
      <c r="F762" s="16" t="s">
        <v>328</v>
      </c>
      <c r="G762" s="17">
        <v>46030</v>
      </c>
      <c r="H762" s="17" t="s">
        <v>329</v>
      </c>
      <c r="I762" s="15">
        <v>2</v>
      </c>
      <c r="J762" s="14">
        <v>476.2</v>
      </c>
      <c r="K762" s="14">
        <v>952.4</v>
      </c>
      <c r="L762" s="14" t="s">
        <v>330</v>
      </c>
      <c r="M762" s="17" t="s">
        <v>331</v>
      </c>
      <c r="N762" s="17">
        <v>46076</v>
      </c>
      <c r="O762" s="17">
        <v>46299</v>
      </c>
      <c r="P762" s="15" t="e">
        <v>#N/A</v>
      </c>
    </row>
    <row r="763" spans="1:16" x14ac:dyDescent="0.2">
      <c r="A763" s="14" t="s">
        <v>5606</v>
      </c>
      <c r="B763" s="14" t="s">
        <v>5561</v>
      </c>
      <c r="C763" s="14" t="s">
        <v>336</v>
      </c>
      <c r="D763" s="14" t="s">
        <v>104</v>
      </c>
      <c r="E763" s="15" t="s">
        <v>105</v>
      </c>
      <c r="F763" s="16" t="s">
        <v>328</v>
      </c>
      <c r="G763" s="17">
        <v>46030</v>
      </c>
      <c r="H763" s="17" t="s">
        <v>329</v>
      </c>
      <c r="I763" s="15">
        <v>4</v>
      </c>
      <c r="J763" s="14">
        <v>33</v>
      </c>
      <c r="K763" s="14">
        <v>132</v>
      </c>
      <c r="L763" s="14" t="s">
        <v>330</v>
      </c>
      <c r="M763" s="17" t="s">
        <v>331</v>
      </c>
      <c r="N763" s="17">
        <v>46076</v>
      </c>
      <c r="O763" s="17">
        <v>46299</v>
      </c>
      <c r="P763" s="15" t="e">
        <v>#N/A</v>
      </c>
    </row>
    <row r="764" spans="1:16" x14ac:dyDescent="0.2">
      <c r="A764" s="14" t="s">
        <v>5607</v>
      </c>
      <c r="B764" s="14" t="s">
        <v>5561</v>
      </c>
      <c r="C764" s="14" t="s">
        <v>697</v>
      </c>
      <c r="D764" s="14" t="s">
        <v>946</v>
      </c>
      <c r="E764" s="15" t="s">
        <v>947</v>
      </c>
      <c r="F764" s="16" t="s">
        <v>328</v>
      </c>
      <c r="G764" s="17">
        <v>46030</v>
      </c>
      <c r="H764" s="17" t="s">
        <v>329</v>
      </c>
      <c r="I764" s="15">
        <v>14</v>
      </c>
      <c r="J764" s="14">
        <v>32.799999999999997</v>
      </c>
      <c r="K764" s="14">
        <v>459.2</v>
      </c>
      <c r="L764" s="14" t="s">
        <v>330</v>
      </c>
      <c r="M764" s="17" t="s">
        <v>331</v>
      </c>
      <c r="N764" s="17">
        <v>46076</v>
      </c>
      <c r="O764" s="17">
        <v>46299</v>
      </c>
      <c r="P764" s="15" t="e">
        <v>#N/A</v>
      </c>
    </row>
    <row r="765" spans="1:16" x14ac:dyDescent="0.2">
      <c r="A765" s="14" t="s">
        <v>5608</v>
      </c>
      <c r="B765" s="14" t="s">
        <v>5561</v>
      </c>
      <c r="C765" s="14" t="s">
        <v>698</v>
      </c>
      <c r="D765" s="14" t="s">
        <v>1800</v>
      </c>
      <c r="E765" s="15" t="s">
        <v>1801</v>
      </c>
      <c r="F765" s="16" t="s">
        <v>328</v>
      </c>
      <c r="G765" s="17">
        <v>46030</v>
      </c>
      <c r="H765" s="17" t="s">
        <v>329</v>
      </c>
      <c r="I765" s="15">
        <v>36</v>
      </c>
      <c r="J765" s="14">
        <v>27.5</v>
      </c>
      <c r="K765" s="14">
        <v>990</v>
      </c>
      <c r="L765" s="14" t="s">
        <v>330</v>
      </c>
      <c r="M765" s="17" t="s">
        <v>331</v>
      </c>
      <c r="N765" s="17">
        <v>46076</v>
      </c>
      <c r="O765" s="17">
        <v>46299</v>
      </c>
      <c r="P765" s="15" t="e">
        <v>#N/A</v>
      </c>
    </row>
    <row r="766" spans="1:16" x14ac:dyDescent="0.2">
      <c r="A766" s="14" t="s">
        <v>5609</v>
      </c>
      <c r="B766" s="14" t="s">
        <v>5561</v>
      </c>
      <c r="C766" s="14" t="s">
        <v>379</v>
      </c>
      <c r="D766" s="14" t="s">
        <v>4631</v>
      </c>
      <c r="E766" s="15" t="s">
        <v>5610</v>
      </c>
      <c r="F766" s="16" t="s">
        <v>328</v>
      </c>
      <c r="G766" s="17">
        <v>46030</v>
      </c>
      <c r="H766" s="17" t="s">
        <v>329</v>
      </c>
      <c r="I766" s="15">
        <v>200</v>
      </c>
      <c r="J766" s="14">
        <v>71.08</v>
      </c>
      <c r="K766" s="14">
        <v>14216</v>
      </c>
      <c r="L766" s="14" t="s">
        <v>330</v>
      </c>
      <c r="M766" s="17" t="s">
        <v>331</v>
      </c>
      <c r="N766" s="17">
        <v>46090</v>
      </c>
      <c r="O766" s="17">
        <v>46299</v>
      </c>
      <c r="P766" s="15" t="e">
        <v>#N/A</v>
      </c>
    </row>
    <row r="767" spans="1:16" x14ac:dyDescent="0.2">
      <c r="A767" s="14" t="s">
        <v>5611</v>
      </c>
      <c r="B767" s="14" t="s">
        <v>5561</v>
      </c>
      <c r="C767" s="14" t="s">
        <v>402</v>
      </c>
      <c r="D767" s="14" t="s">
        <v>3502</v>
      </c>
      <c r="E767" s="15" t="s">
        <v>5612</v>
      </c>
      <c r="F767" s="16" t="s">
        <v>328</v>
      </c>
      <c r="G767" s="17">
        <v>46030</v>
      </c>
      <c r="H767" s="17" t="s">
        <v>329</v>
      </c>
      <c r="I767" s="15">
        <v>50</v>
      </c>
      <c r="J767" s="14">
        <v>33.03</v>
      </c>
      <c r="K767" s="14">
        <v>1651.5</v>
      </c>
      <c r="L767" s="14" t="s">
        <v>330</v>
      </c>
      <c r="M767" s="17" t="s">
        <v>331</v>
      </c>
      <c r="N767" s="17">
        <v>46090</v>
      </c>
      <c r="O767" s="17">
        <v>46299</v>
      </c>
      <c r="P767" s="15" t="e">
        <v>#N/A</v>
      </c>
    </row>
    <row r="768" spans="1:16" x14ac:dyDescent="0.2">
      <c r="A768" s="14" t="s">
        <v>5613</v>
      </c>
      <c r="B768" s="14" t="s">
        <v>5561</v>
      </c>
      <c r="C768" s="14" t="s">
        <v>337</v>
      </c>
      <c r="D768" s="14" t="s">
        <v>205</v>
      </c>
      <c r="E768" s="15" t="s">
        <v>896</v>
      </c>
      <c r="F768" s="16" t="s">
        <v>328</v>
      </c>
      <c r="G768" s="17">
        <v>46030</v>
      </c>
      <c r="H768" s="17" t="s">
        <v>329</v>
      </c>
      <c r="I768" s="15">
        <v>200</v>
      </c>
      <c r="J768" s="14">
        <v>67.3</v>
      </c>
      <c r="K768" s="14">
        <v>13460</v>
      </c>
      <c r="L768" s="14" t="s">
        <v>330</v>
      </c>
      <c r="M768" s="17" t="s">
        <v>331</v>
      </c>
      <c r="N768" s="17">
        <v>46062</v>
      </c>
      <c r="O768" s="17">
        <v>46299</v>
      </c>
      <c r="P768" s="15" t="e">
        <v>#N/A</v>
      </c>
    </row>
    <row r="769" spans="1:16" x14ac:dyDescent="0.2">
      <c r="A769" s="14" t="s">
        <v>5614</v>
      </c>
      <c r="B769" s="14" t="s">
        <v>5561</v>
      </c>
      <c r="C769" s="14" t="s">
        <v>380</v>
      </c>
      <c r="D769" s="14" t="s">
        <v>949</v>
      </c>
      <c r="E769" s="15" t="s">
        <v>5615</v>
      </c>
      <c r="F769" s="16" t="s">
        <v>328</v>
      </c>
      <c r="G769" s="17">
        <v>46030</v>
      </c>
      <c r="H769" s="17" t="s">
        <v>329</v>
      </c>
      <c r="I769" s="15">
        <v>32</v>
      </c>
      <c r="J769" s="14">
        <v>178</v>
      </c>
      <c r="K769" s="14">
        <v>5696</v>
      </c>
      <c r="L769" s="14" t="s">
        <v>330</v>
      </c>
      <c r="M769" s="17" t="s">
        <v>331</v>
      </c>
      <c r="N769" s="17">
        <v>46088</v>
      </c>
      <c r="O769" s="17">
        <v>46299</v>
      </c>
      <c r="P769" s="15" t="e">
        <v>#N/A</v>
      </c>
    </row>
    <row r="770" spans="1:16" x14ac:dyDescent="0.2">
      <c r="A770" s="14" t="s">
        <v>5616</v>
      </c>
      <c r="B770" s="14" t="s">
        <v>5561</v>
      </c>
      <c r="C770" s="14" t="s">
        <v>403</v>
      </c>
      <c r="D770" s="14" t="s">
        <v>63</v>
      </c>
      <c r="E770" s="15" t="s">
        <v>64</v>
      </c>
      <c r="F770" s="16" t="s">
        <v>328</v>
      </c>
      <c r="G770" s="17">
        <v>46030</v>
      </c>
      <c r="H770" s="17" t="s">
        <v>329</v>
      </c>
      <c r="I770" s="15">
        <v>126</v>
      </c>
      <c r="J770" s="14">
        <v>528.29999999999995</v>
      </c>
      <c r="K770" s="14">
        <v>66565.8</v>
      </c>
      <c r="L770" s="14" t="s">
        <v>330</v>
      </c>
      <c r="M770" s="17" t="s">
        <v>331</v>
      </c>
      <c r="N770" s="17">
        <v>46088</v>
      </c>
      <c r="O770" s="17">
        <v>46299</v>
      </c>
      <c r="P770" s="15" t="e">
        <v>#N/A</v>
      </c>
    </row>
  </sheetData>
  <autoFilter ref="A1:R770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52"/>
  <sheetViews>
    <sheetView workbookViewId="0">
      <selection sqref="A1:E1"/>
    </sheetView>
  </sheetViews>
  <sheetFormatPr defaultRowHeight="15" x14ac:dyDescent="0.25"/>
  <cols>
    <col min="1" max="1" width="7" bestFit="1" customWidth="1"/>
    <col min="2" max="2" width="13.85546875" bestFit="1" customWidth="1"/>
    <col min="3" max="3" width="35" bestFit="1" customWidth="1"/>
    <col min="4" max="4" width="10.7109375" style="1" bestFit="1" customWidth="1"/>
    <col min="5" max="5" width="20" bestFit="1" customWidth="1"/>
    <col min="6" max="6" width="13.28515625" style="1" bestFit="1" customWidth="1"/>
    <col min="7" max="12" width="7" bestFit="1" customWidth="1"/>
  </cols>
  <sheetData>
    <row r="1" spans="1:33" s="2" customFormat="1" ht="25.5" customHeight="1" x14ac:dyDescent="0.25">
      <c r="A1" s="2" t="s">
        <v>11</v>
      </c>
      <c r="B1" s="2" t="s">
        <v>12</v>
      </c>
      <c r="C1" s="2" t="s">
        <v>320</v>
      </c>
      <c r="D1" s="3" t="s">
        <v>14</v>
      </c>
      <c r="E1" s="2" t="s">
        <v>15</v>
      </c>
      <c r="F1" s="3" t="s">
        <v>16</v>
      </c>
      <c r="G1" s="4" t="s">
        <v>117</v>
      </c>
      <c r="H1" s="4" t="s">
        <v>118</v>
      </c>
      <c r="I1" s="4" t="s">
        <v>139</v>
      </c>
      <c r="J1" s="4" t="s">
        <v>140</v>
      </c>
      <c r="K1" s="4" t="s">
        <v>141</v>
      </c>
      <c r="L1" s="4" t="s">
        <v>302</v>
      </c>
      <c r="M1" s="4" t="s">
        <v>303</v>
      </c>
      <c r="N1" s="4" t="s">
        <v>318</v>
      </c>
      <c r="O1" s="4" t="s">
        <v>461</v>
      </c>
      <c r="P1" s="4" t="s">
        <v>488</v>
      </c>
      <c r="Q1" s="4" t="s">
        <v>489</v>
      </c>
      <c r="R1" s="4" t="s">
        <v>520</v>
      </c>
      <c r="S1" s="4" t="s">
        <v>723</v>
      </c>
      <c r="T1" s="4" t="s">
        <v>725</v>
      </c>
      <c r="U1" s="4" t="s">
        <v>748</v>
      </c>
      <c r="V1" s="4" t="s">
        <v>853</v>
      </c>
      <c r="W1" s="4" t="s">
        <v>895</v>
      </c>
      <c r="X1" s="2" t="s">
        <v>960</v>
      </c>
      <c r="Y1" s="2" t="s">
        <v>961</v>
      </c>
      <c r="Z1" s="2" t="s">
        <v>962</v>
      </c>
      <c r="AA1" s="2" t="s">
        <v>982</v>
      </c>
      <c r="AB1" s="2" t="s">
        <v>983</v>
      </c>
      <c r="AC1" s="2" t="s">
        <v>984</v>
      </c>
      <c r="AD1" s="2" t="s">
        <v>1791</v>
      </c>
      <c r="AE1" s="2" t="s">
        <v>1845</v>
      </c>
      <c r="AF1" s="2" t="s">
        <v>1858</v>
      </c>
      <c r="AG1" s="2" t="s">
        <v>2034</v>
      </c>
    </row>
    <row r="2" spans="1:33" ht="22.5" x14ac:dyDescent="0.25">
      <c r="A2" s="8" t="s">
        <v>117</v>
      </c>
      <c r="B2" s="10" t="s">
        <v>102</v>
      </c>
      <c r="C2" s="11" t="s">
        <v>103</v>
      </c>
      <c r="D2" s="5">
        <v>45734</v>
      </c>
      <c r="E2" s="12">
        <v>2</v>
      </c>
    </row>
    <row r="3" spans="1:33" ht="22.5" x14ac:dyDescent="0.25">
      <c r="A3" s="8" t="s">
        <v>118</v>
      </c>
      <c r="B3" s="10" t="s">
        <v>21</v>
      </c>
      <c r="C3" s="11" t="s">
        <v>110</v>
      </c>
      <c r="D3" s="6">
        <v>45757</v>
      </c>
      <c r="E3" s="12">
        <v>18</v>
      </c>
    </row>
    <row r="4" spans="1:33" ht="22.5" x14ac:dyDescent="0.25">
      <c r="A4" s="8" t="s">
        <v>139</v>
      </c>
      <c r="B4" s="10" t="s">
        <v>304</v>
      </c>
      <c r="C4" s="11" t="s">
        <v>305</v>
      </c>
      <c r="D4" s="5">
        <v>45675</v>
      </c>
      <c r="E4" s="12">
        <v>1</v>
      </c>
    </row>
    <row r="5" spans="1:33" x14ac:dyDescent="0.25">
      <c r="A5" s="8" t="s">
        <v>140</v>
      </c>
      <c r="B5" s="10" t="s">
        <v>43</v>
      </c>
      <c r="C5" s="11" t="s">
        <v>163</v>
      </c>
      <c r="D5" s="6">
        <v>45778</v>
      </c>
      <c r="E5" s="12">
        <v>3</v>
      </c>
    </row>
    <row r="6" spans="1:33" x14ac:dyDescent="0.25">
      <c r="A6" s="8" t="s">
        <v>140</v>
      </c>
      <c r="B6" s="10" t="s">
        <v>65</v>
      </c>
      <c r="C6" s="11" t="s">
        <v>66</v>
      </c>
      <c r="D6" s="5">
        <v>45778</v>
      </c>
      <c r="E6" s="12">
        <v>12</v>
      </c>
    </row>
    <row r="7" spans="1:33" ht="22.5" x14ac:dyDescent="0.25">
      <c r="A7" s="8" t="s">
        <v>140</v>
      </c>
      <c r="B7" s="10" t="s">
        <v>67</v>
      </c>
      <c r="C7" s="11" t="s">
        <v>165</v>
      </c>
      <c r="D7" s="6">
        <v>45778</v>
      </c>
      <c r="E7" s="12">
        <v>1</v>
      </c>
    </row>
    <row r="8" spans="1:33" x14ac:dyDescent="0.25">
      <c r="A8" s="8" t="s">
        <v>140</v>
      </c>
      <c r="B8" s="10" t="s">
        <v>68</v>
      </c>
      <c r="C8" s="11" t="s">
        <v>142</v>
      </c>
      <c r="D8" s="5">
        <v>45778</v>
      </c>
      <c r="E8" s="12">
        <v>6</v>
      </c>
    </row>
    <row r="9" spans="1:33" ht="22.5" x14ac:dyDescent="0.25">
      <c r="A9" s="8" t="s">
        <v>140</v>
      </c>
      <c r="B9" s="10" t="s">
        <v>75</v>
      </c>
      <c r="C9" s="11" t="s">
        <v>168</v>
      </c>
      <c r="D9" s="6">
        <v>45778</v>
      </c>
      <c r="E9" s="12">
        <v>1</v>
      </c>
    </row>
    <row r="10" spans="1:33" x14ac:dyDescent="0.25">
      <c r="A10" s="8" t="s">
        <v>140</v>
      </c>
      <c r="B10" s="10" t="s">
        <v>76</v>
      </c>
      <c r="C10" s="11" t="s">
        <v>169</v>
      </c>
      <c r="D10" s="5">
        <v>45778</v>
      </c>
      <c r="E10" s="12">
        <v>3</v>
      </c>
    </row>
    <row r="11" spans="1:33" x14ac:dyDescent="0.25">
      <c r="A11" s="8" t="s">
        <v>140</v>
      </c>
      <c r="B11" s="10" t="s">
        <v>97</v>
      </c>
      <c r="C11" s="11" t="s">
        <v>150</v>
      </c>
      <c r="D11" s="6">
        <v>45778</v>
      </c>
      <c r="E11" s="12">
        <v>3</v>
      </c>
    </row>
    <row r="12" spans="1:33" x14ac:dyDescent="0.25">
      <c r="A12" s="8" t="s">
        <v>140</v>
      </c>
      <c r="B12" s="10" t="s">
        <v>99</v>
      </c>
      <c r="C12" s="11" t="s">
        <v>171</v>
      </c>
      <c r="D12" s="5">
        <v>45778</v>
      </c>
      <c r="E12" s="12">
        <v>3</v>
      </c>
    </row>
    <row r="13" spans="1:33" x14ac:dyDescent="0.25">
      <c r="A13" s="8" t="s">
        <v>140</v>
      </c>
      <c r="B13" s="10" t="s">
        <v>101</v>
      </c>
      <c r="C13" s="11" t="s">
        <v>173</v>
      </c>
      <c r="D13" s="6">
        <v>45778</v>
      </c>
      <c r="E13" s="12">
        <v>1</v>
      </c>
    </row>
    <row r="14" spans="1:33" x14ac:dyDescent="0.25">
      <c r="A14" s="8" t="s">
        <v>140</v>
      </c>
      <c r="B14" s="10" t="s">
        <v>309</v>
      </c>
      <c r="C14" s="11" t="s">
        <v>310</v>
      </c>
      <c r="D14" s="5">
        <v>45778</v>
      </c>
      <c r="E14" s="12">
        <v>1</v>
      </c>
    </row>
    <row r="15" spans="1:33" x14ac:dyDescent="0.25">
      <c r="A15" s="8" t="s">
        <v>141</v>
      </c>
      <c r="B15" s="10" t="s">
        <v>35</v>
      </c>
      <c r="C15" s="11" t="s">
        <v>112</v>
      </c>
      <c r="D15" s="6">
        <v>45778</v>
      </c>
      <c r="E15" s="12">
        <v>7</v>
      </c>
    </row>
    <row r="16" spans="1:33" x14ac:dyDescent="0.25">
      <c r="A16" s="8" t="s">
        <v>141</v>
      </c>
      <c r="B16" s="10" t="s">
        <v>298</v>
      </c>
      <c r="C16" s="11" t="s">
        <v>299</v>
      </c>
      <c r="D16" s="5">
        <v>45778</v>
      </c>
      <c r="E16" s="12">
        <v>3</v>
      </c>
    </row>
    <row r="17" spans="1:5" x14ac:dyDescent="0.25">
      <c r="A17" s="8" t="s">
        <v>141</v>
      </c>
      <c r="B17" s="10" t="s">
        <v>17</v>
      </c>
      <c r="C17" s="11" t="s">
        <v>156</v>
      </c>
      <c r="D17" s="6">
        <v>45778</v>
      </c>
      <c r="E17" s="12">
        <v>14</v>
      </c>
    </row>
    <row r="18" spans="1:5" x14ac:dyDescent="0.25">
      <c r="A18" s="8" t="s">
        <v>302</v>
      </c>
      <c r="B18" s="10" t="s">
        <v>270</v>
      </c>
      <c r="C18" s="11" t="s">
        <v>271</v>
      </c>
      <c r="D18" s="5">
        <v>45800</v>
      </c>
      <c r="E18" s="12">
        <v>1</v>
      </c>
    </row>
    <row r="19" spans="1:5" x14ac:dyDescent="0.25">
      <c r="A19" s="8" t="s">
        <v>302</v>
      </c>
      <c r="B19" s="10" t="s">
        <v>275</v>
      </c>
      <c r="C19" s="11" t="s">
        <v>276</v>
      </c>
      <c r="D19" s="6">
        <v>45800</v>
      </c>
      <c r="E19" s="12">
        <v>2</v>
      </c>
    </row>
    <row r="20" spans="1:5" ht="22.5" x14ac:dyDescent="0.25">
      <c r="A20" s="8" t="s">
        <v>303</v>
      </c>
      <c r="B20" s="10" t="s">
        <v>24</v>
      </c>
      <c r="C20" s="11" t="s">
        <v>159</v>
      </c>
      <c r="D20" s="5">
        <v>45810</v>
      </c>
      <c r="E20" s="12">
        <v>1</v>
      </c>
    </row>
    <row r="21" spans="1:5" x14ac:dyDescent="0.25">
      <c r="A21" s="8" t="s">
        <v>318</v>
      </c>
      <c r="B21" s="10" t="s">
        <v>51</v>
      </c>
      <c r="C21" s="11" t="s">
        <v>52</v>
      </c>
      <c r="D21" s="6">
        <v>45828</v>
      </c>
      <c r="E21" s="12">
        <v>13</v>
      </c>
    </row>
    <row r="22" spans="1:5" x14ac:dyDescent="0.25">
      <c r="A22" s="8" t="s">
        <v>318</v>
      </c>
      <c r="B22" s="10" t="s">
        <v>55</v>
      </c>
      <c r="C22" s="11" t="s">
        <v>56</v>
      </c>
      <c r="D22" s="5">
        <v>45828</v>
      </c>
      <c r="E22" s="12">
        <v>1</v>
      </c>
    </row>
    <row r="23" spans="1:5" x14ac:dyDescent="0.25">
      <c r="A23" s="7" t="s">
        <v>318</v>
      </c>
      <c r="B23" s="9" t="s">
        <v>57</v>
      </c>
      <c r="C23" s="11" t="s">
        <v>58</v>
      </c>
      <c r="D23" s="6">
        <v>45828</v>
      </c>
      <c r="E23" s="12">
        <v>8</v>
      </c>
    </row>
    <row r="24" spans="1:5" x14ac:dyDescent="0.25">
      <c r="A24" s="8" t="s">
        <v>318</v>
      </c>
      <c r="B24" s="10" t="s">
        <v>59</v>
      </c>
      <c r="C24" s="11" t="s">
        <v>60</v>
      </c>
      <c r="D24" s="5">
        <v>45828</v>
      </c>
      <c r="E24" s="12">
        <v>16</v>
      </c>
    </row>
    <row r="25" spans="1:5" x14ac:dyDescent="0.25">
      <c r="A25" s="8" t="s">
        <v>318</v>
      </c>
      <c r="B25" s="10" t="s">
        <v>456</v>
      </c>
      <c r="C25" s="11" t="s">
        <v>457</v>
      </c>
      <c r="D25" s="6">
        <v>45828</v>
      </c>
      <c r="E25" s="12">
        <v>3</v>
      </c>
    </row>
    <row r="26" spans="1:5" x14ac:dyDescent="0.25">
      <c r="A26" s="8" t="s">
        <v>318</v>
      </c>
      <c r="B26" s="10" t="s">
        <v>83</v>
      </c>
      <c r="C26" s="11" t="s">
        <v>84</v>
      </c>
      <c r="D26" s="5">
        <v>45828</v>
      </c>
      <c r="E26" s="12">
        <v>1</v>
      </c>
    </row>
    <row r="27" spans="1:5" x14ac:dyDescent="0.25">
      <c r="A27" s="8" t="s">
        <v>318</v>
      </c>
      <c r="B27" s="10" t="s">
        <v>85</v>
      </c>
      <c r="C27" s="11" t="s">
        <v>86</v>
      </c>
      <c r="D27" s="6">
        <v>45828</v>
      </c>
      <c r="E27" s="12">
        <v>2</v>
      </c>
    </row>
    <row r="28" spans="1:5" x14ac:dyDescent="0.25">
      <c r="A28" s="8" t="s">
        <v>461</v>
      </c>
      <c r="B28" s="10" t="s">
        <v>459</v>
      </c>
      <c r="C28" s="11" t="s">
        <v>460</v>
      </c>
      <c r="D28" s="5">
        <v>45835</v>
      </c>
      <c r="E28" s="12">
        <v>2</v>
      </c>
    </row>
    <row r="29" spans="1:5" x14ac:dyDescent="0.25">
      <c r="A29" s="8" t="s">
        <v>461</v>
      </c>
      <c r="B29" s="10" t="s">
        <v>63</v>
      </c>
      <c r="C29" s="11" t="s">
        <v>64</v>
      </c>
      <c r="D29" s="6">
        <v>45835</v>
      </c>
      <c r="E29" s="12">
        <v>2</v>
      </c>
    </row>
    <row r="30" spans="1:5" x14ac:dyDescent="0.25">
      <c r="A30" s="7" t="s">
        <v>461</v>
      </c>
      <c r="B30" s="9" t="s">
        <v>268</v>
      </c>
      <c r="C30" s="11" t="s">
        <v>269</v>
      </c>
      <c r="D30" s="5">
        <v>45835</v>
      </c>
      <c r="E30" s="12">
        <v>1</v>
      </c>
    </row>
    <row r="31" spans="1:5" x14ac:dyDescent="0.25">
      <c r="A31" s="8" t="s">
        <v>461</v>
      </c>
      <c r="B31" s="10" t="s">
        <v>275</v>
      </c>
      <c r="C31" s="11" t="s">
        <v>276</v>
      </c>
      <c r="D31" s="6">
        <v>45835</v>
      </c>
      <c r="E31" s="12">
        <v>2</v>
      </c>
    </row>
    <row r="32" spans="1:5" x14ac:dyDescent="0.25">
      <c r="A32" s="8" t="s">
        <v>488</v>
      </c>
      <c r="B32" s="10" t="s">
        <v>122</v>
      </c>
      <c r="C32" s="11" t="s">
        <v>143</v>
      </c>
      <c r="D32" s="5">
        <v>45863</v>
      </c>
      <c r="E32" s="12">
        <v>1</v>
      </c>
    </row>
    <row r="33" spans="1:5" x14ac:dyDescent="0.25">
      <c r="A33" s="8" t="s">
        <v>488</v>
      </c>
      <c r="B33" s="10" t="s">
        <v>35</v>
      </c>
      <c r="C33" s="11" t="s">
        <v>112</v>
      </c>
      <c r="D33" s="6">
        <v>45863</v>
      </c>
      <c r="E33" s="12">
        <v>1</v>
      </c>
    </row>
    <row r="34" spans="1:5" x14ac:dyDescent="0.25">
      <c r="A34" s="8" t="s">
        <v>488</v>
      </c>
      <c r="B34" s="10" t="s">
        <v>36</v>
      </c>
      <c r="C34" s="11" t="s">
        <v>39</v>
      </c>
      <c r="D34" s="5">
        <v>45863</v>
      </c>
      <c r="E34" s="12">
        <v>2</v>
      </c>
    </row>
    <row r="35" spans="1:5" x14ac:dyDescent="0.25">
      <c r="A35" s="8" t="s">
        <v>489</v>
      </c>
      <c r="B35" s="10" t="s">
        <v>127</v>
      </c>
      <c r="C35" s="11" t="s">
        <v>152</v>
      </c>
      <c r="D35" s="6">
        <v>45868</v>
      </c>
      <c r="E35" s="12">
        <v>1</v>
      </c>
    </row>
    <row r="36" spans="1:5" x14ac:dyDescent="0.25">
      <c r="A36" s="8" t="s">
        <v>489</v>
      </c>
      <c r="B36" s="10" t="s">
        <v>516</v>
      </c>
      <c r="C36" s="11" t="s">
        <v>517</v>
      </c>
      <c r="D36" s="5">
        <v>45868</v>
      </c>
      <c r="E36" s="12">
        <v>1</v>
      </c>
    </row>
    <row r="37" spans="1:5" x14ac:dyDescent="0.25">
      <c r="A37" s="8" t="s">
        <v>520</v>
      </c>
      <c r="B37" s="10" t="s">
        <v>573</v>
      </c>
      <c r="C37" s="11" t="s">
        <v>574</v>
      </c>
      <c r="D37" s="5">
        <v>45894</v>
      </c>
      <c r="E37" s="12">
        <v>1</v>
      </c>
    </row>
    <row r="38" spans="1:5" x14ac:dyDescent="0.25">
      <c r="A38" s="8" t="s">
        <v>520</v>
      </c>
      <c r="B38" s="10" t="s">
        <v>579</v>
      </c>
      <c r="C38" s="11" t="s">
        <v>580</v>
      </c>
      <c r="D38" s="6">
        <v>45894</v>
      </c>
      <c r="E38" s="12">
        <v>1</v>
      </c>
    </row>
    <row r="39" spans="1:5" x14ac:dyDescent="0.25">
      <c r="A39" s="8" t="s">
        <v>723</v>
      </c>
      <c r="B39" s="10" t="s">
        <v>45</v>
      </c>
      <c r="C39" s="11" t="s">
        <v>46</v>
      </c>
      <c r="D39" s="5">
        <v>45884</v>
      </c>
      <c r="E39" s="12">
        <v>1</v>
      </c>
    </row>
    <row r="40" spans="1:5" ht="22.5" x14ac:dyDescent="0.25">
      <c r="A40" s="8" t="s">
        <v>723</v>
      </c>
      <c r="B40" s="10" t="s">
        <v>464</v>
      </c>
      <c r="C40" s="11" t="s">
        <v>465</v>
      </c>
      <c r="D40" s="5">
        <v>45884</v>
      </c>
      <c r="E40" s="12">
        <v>1</v>
      </c>
    </row>
    <row r="41" spans="1:5" x14ac:dyDescent="0.25">
      <c r="A41" s="8" t="s">
        <v>725</v>
      </c>
      <c r="B41" s="10" t="s">
        <v>525</v>
      </c>
      <c r="C41" s="11" t="s">
        <v>526</v>
      </c>
      <c r="D41" s="6">
        <v>45931</v>
      </c>
      <c r="E41" s="12">
        <v>2</v>
      </c>
    </row>
    <row r="42" spans="1:5" ht="22.5" x14ac:dyDescent="0.25">
      <c r="A42" s="8" t="s">
        <v>725</v>
      </c>
      <c r="B42" s="10" t="s">
        <v>177</v>
      </c>
      <c r="C42" s="11" t="s">
        <v>178</v>
      </c>
      <c r="D42" s="5">
        <v>45931</v>
      </c>
      <c r="E42" s="12">
        <v>32</v>
      </c>
    </row>
    <row r="43" spans="1:5" x14ac:dyDescent="0.25">
      <c r="A43" s="8" t="s">
        <v>725</v>
      </c>
      <c r="B43" s="10" t="s">
        <v>179</v>
      </c>
      <c r="C43" s="11" t="s">
        <v>180</v>
      </c>
      <c r="D43" s="6">
        <v>45931</v>
      </c>
      <c r="E43" s="12">
        <v>4</v>
      </c>
    </row>
    <row r="44" spans="1:5" x14ac:dyDescent="0.25">
      <c r="A44" s="8" t="s">
        <v>725</v>
      </c>
      <c r="B44" s="10" t="s">
        <v>120</v>
      </c>
      <c r="C44" s="11" t="s">
        <v>136</v>
      </c>
      <c r="D44" s="5">
        <v>45931</v>
      </c>
      <c r="E44" s="12">
        <v>4</v>
      </c>
    </row>
    <row r="45" spans="1:5" ht="22.5" x14ac:dyDescent="0.25">
      <c r="A45" s="8" t="s">
        <v>725</v>
      </c>
      <c r="B45" s="10" t="s">
        <v>541</v>
      </c>
      <c r="C45" s="11" t="s">
        <v>542</v>
      </c>
      <c r="D45" s="6">
        <v>45931</v>
      </c>
      <c r="E45" s="12">
        <v>2</v>
      </c>
    </row>
    <row r="46" spans="1:5" ht="22.5" x14ac:dyDescent="0.25">
      <c r="A46" s="8" t="s">
        <v>725</v>
      </c>
      <c r="B46" s="10" t="s">
        <v>545</v>
      </c>
      <c r="C46" s="11" t="s">
        <v>546</v>
      </c>
      <c r="D46" s="5">
        <v>45931</v>
      </c>
      <c r="E46" s="12">
        <v>1</v>
      </c>
    </row>
    <row r="47" spans="1:5" x14ac:dyDescent="0.25">
      <c r="A47" s="8" t="s">
        <v>725</v>
      </c>
      <c r="B47" s="10" t="s">
        <v>193</v>
      </c>
      <c r="C47" s="11" t="s">
        <v>194</v>
      </c>
      <c r="D47" s="5">
        <v>45931</v>
      </c>
      <c r="E47" s="12">
        <v>4</v>
      </c>
    </row>
    <row r="48" spans="1:5" x14ac:dyDescent="0.25">
      <c r="A48" s="8" t="s">
        <v>725</v>
      </c>
      <c r="B48" s="10" t="s">
        <v>199</v>
      </c>
      <c r="C48" s="11" t="s">
        <v>200</v>
      </c>
      <c r="D48" s="6">
        <v>45931</v>
      </c>
      <c r="E48" s="12">
        <v>1</v>
      </c>
    </row>
    <row r="49" spans="1:5" x14ac:dyDescent="0.25">
      <c r="A49" s="8" t="s">
        <v>725</v>
      </c>
      <c r="B49" s="10" t="s">
        <v>203</v>
      </c>
      <c r="C49" s="11" t="s">
        <v>204</v>
      </c>
      <c r="D49" s="5">
        <v>45931</v>
      </c>
      <c r="E49" s="12">
        <v>8</v>
      </c>
    </row>
    <row r="50" spans="1:5" x14ac:dyDescent="0.25">
      <c r="A50" s="8" t="s">
        <v>725</v>
      </c>
      <c r="B50" s="10" t="s">
        <v>579</v>
      </c>
      <c r="C50" s="11" t="s">
        <v>580</v>
      </c>
      <c r="D50" s="6">
        <v>45931</v>
      </c>
      <c r="E50" s="12">
        <v>2</v>
      </c>
    </row>
    <row r="51" spans="1:5" x14ac:dyDescent="0.25">
      <c r="A51" s="8" t="s">
        <v>725</v>
      </c>
      <c r="B51" s="10" t="s">
        <v>585</v>
      </c>
      <c r="C51" s="11" t="s">
        <v>586</v>
      </c>
      <c r="D51" s="5">
        <v>45931</v>
      </c>
      <c r="E51" s="12">
        <v>2</v>
      </c>
    </row>
    <row r="52" spans="1:5" x14ac:dyDescent="0.25">
      <c r="A52" s="8" t="s">
        <v>725</v>
      </c>
      <c r="B52" s="10" t="s">
        <v>593</v>
      </c>
      <c r="C52" s="11" t="s">
        <v>594</v>
      </c>
      <c r="D52" s="6">
        <v>45931</v>
      </c>
      <c r="E52" s="12">
        <v>2</v>
      </c>
    </row>
    <row r="53" spans="1:5" x14ac:dyDescent="0.25">
      <c r="A53" s="8" t="s">
        <v>725</v>
      </c>
      <c r="B53" s="10" t="s">
        <v>601</v>
      </c>
      <c r="C53" s="11" t="s">
        <v>602</v>
      </c>
      <c r="D53" s="5">
        <v>45931</v>
      </c>
      <c r="E53" s="12">
        <v>2</v>
      </c>
    </row>
    <row r="54" spans="1:5" x14ac:dyDescent="0.25">
      <c r="A54" s="8" t="s">
        <v>725</v>
      </c>
      <c r="B54" s="10" t="s">
        <v>208</v>
      </c>
      <c r="C54" s="11" t="s">
        <v>209</v>
      </c>
      <c r="D54" s="6">
        <v>45931</v>
      </c>
      <c r="E54" s="12">
        <v>1</v>
      </c>
    </row>
    <row r="55" spans="1:5" x14ac:dyDescent="0.25">
      <c r="A55" s="8" t="s">
        <v>725</v>
      </c>
      <c r="B55" s="10" t="s">
        <v>610</v>
      </c>
      <c r="C55" s="11" t="s">
        <v>611</v>
      </c>
      <c r="D55" s="5">
        <v>45931</v>
      </c>
      <c r="E55" s="12">
        <v>2</v>
      </c>
    </row>
    <row r="56" spans="1:5" x14ac:dyDescent="0.25">
      <c r="A56" s="8" t="s">
        <v>725</v>
      </c>
      <c r="B56" s="10" t="s">
        <v>619</v>
      </c>
      <c r="C56" s="11" t="s">
        <v>620</v>
      </c>
      <c r="D56" s="6">
        <v>45931</v>
      </c>
      <c r="E56" s="12">
        <v>2</v>
      </c>
    </row>
    <row r="57" spans="1:5" ht="22.5" x14ac:dyDescent="0.25">
      <c r="A57" s="8" t="s">
        <v>725</v>
      </c>
      <c r="B57" s="10" t="s">
        <v>220</v>
      </c>
      <c r="C57" s="11" t="s">
        <v>221</v>
      </c>
      <c r="D57" s="5">
        <v>45931</v>
      </c>
      <c r="E57" s="12">
        <v>1</v>
      </c>
    </row>
    <row r="58" spans="1:5" x14ac:dyDescent="0.25">
      <c r="A58" s="8" t="s">
        <v>725</v>
      </c>
      <c r="B58" s="10" t="s">
        <v>230</v>
      </c>
      <c r="C58" s="11" t="s">
        <v>231</v>
      </c>
      <c r="D58" s="6">
        <v>45931</v>
      </c>
      <c r="E58" s="12">
        <v>2</v>
      </c>
    </row>
    <row r="59" spans="1:5" x14ac:dyDescent="0.25">
      <c r="A59" s="8" t="s">
        <v>725</v>
      </c>
      <c r="B59" s="10" t="s">
        <v>728</v>
      </c>
      <c r="C59" s="11" t="s">
        <v>729</v>
      </c>
      <c r="D59" s="5">
        <v>45931</v>
      </c>
      <c r="E59" s="12">
        <v>2</v>
      </c>
    </row>
    <row r="60" spans="1:5" x14ac:dyDescent="0.25">
      <c r="A60" s="7" t="s">
        <v>725</v>
      </c>
      <c r="B60" s="9" t="s">
        <v>239</v>
      </c>
      <c r="C60" s="11" t="s">
        <v>240</v>
      </c>
      <c r="D60" s="6">
        <v>45931</v>
      </c>
      <c r="E60" s="12">
        <v>2</v>
      </c>
    </row>
    <row r="61" spans="1:5" x14ac:dyDescent="0.25">
      <c r="A61" s="8" t="s">
        <v>725</v>
      </c>
      <c r="B61" s="10" t="s">
        <v>243</v>
      </c>
      <c r="C61" s="11" t="s">
        <v>244</v>
      </c>
      <c r="D61" s="5">
        <v>45931</v>
      </c>
      <c r="E61" s="12">
        <v>2</v>
      </c>
    </row>
    <row r="62" spans="1:5" x14ac:dyDescent="0.25">
      <c r="A62" s="8" t="s">
        <v>725</v>
      </c>
      <c r="B62" s="10" t="s">
        <v>245</v>
      </c>
      <c r="C62" s="11" t="s">
        <v>246</v>
      </c>
      <c r="D62" s="6">
        <v>45931</v>
      </c>
      <c r="E62" s="12">
        <v>3</v>
      </c>
    </row>
    <row r="63" spans="1:5" ht="22.5" x14ac:dyDescent="0.25">
      <c r="A63" s="8" t="s">
        <v>725</v>
      </c>
      <c r="B63" s="10" t="s">
        <v>647</v>
      </c>
      <c r="C63" s="11" t="s">
        <v>648</v>
      </c>
      <c r="D63" s="5">
        <v>45931</v>
      </c>
      <c r="E63" s="12">
        <v>1</v>
      </c>
    </row>
    <row r="64" spans="1:5" x14ac:dyDescent="0.25">
      <c r="A64" s="8" t="s">
        <v>725</v>
      </c>
      <c r="B64" s="10" t="s">
        <v>255</v>
      </c>
      <c r="C64" s="11" t="s">
        <v>256</v>
      </c>
      <c r="D64" s="6">
        <v>45931</v>
      </c>
      <c r="E64" s="12">
        <v>4</v>
      </c>
    </row>
    <row r="65" spans="1:5" x14ac:dyDescent="0.25">
      <c r="A65" s="8" t="s">
        <v>725</v>
      </c>
      <c r="B65" s="10" t="s">
        <v>653</v>
      </c>
      <c r="C65" s="11" t="s">
        <v>654</v>
      </c>
      <c r="D65" s="5">
        <v>45931</v>
      </c>
      <c r="E65" s="12">
        <v>2</v>
      </c>
    </row>
    <row r="66" spans="1:5" x14ac:dyDescent="0.25">
      <c r="A66" s="8" t="s">
        <v>725</v>
      </c>
      <c r="B66" s="10" t="s">
        <v>261</v>
      </c>
      <c r="C66" s="11" t="s">
        <v>262</v>
      </c>
      <c r="D66" s="6">
        <v>45931</v>
      </c>
      <c r="E66" s="12">
        <v>2</v>
      </c>
    </row>
    <row r="67" spans="1:5" ht="22.5" x14ac:dyDescent="0.25">
      <c r="A67" s="8" t="s">
        <v>725</v>
      </c>
      <c r="B67" s="10" t="s">
        <v>669</v>
      </c>
      <c r="C67" s="11" t="s">
        <v>670</v>
      </c>
      <c r="D67" s="5">
        <v>45931</v>
      </c>
      <c r="E67" s="12">
        <v>4</v>
      </c>
    </row>
    <row r="68" spans="1:5" ht="22.5" x14ac:dyDescent="0.25">
      <c r="A68" s="8" t="s">
        <v>725</v>
      </c>
      <c r="B68" s="10" t="s">
        <v>740</v>
      </c>
      <c r="C68" s="11" t="s">
        <v>741</v>
      </c>
      <c r="D68" s="6">
        <v>45931</v>
      </c>
      <c r="E68" s="12">
        <v>1</v>
      </c>
    </row>
    <row r="69" spans="1:5" ht="22.5" x14ac:dyDescent="0.25">
      <c r="A69" s="8" t="s">
        <v>725</v>
      </c>
      <c r="B69" s="10" t="s">
        <v>296</v>
      </c>
      <c r="C69" s="11" t="s">
        <v>297</v>
      </c>
      <c r="D69" s="5">
        <v>45931</v>
      </c>
      <c r="E69" s="12">
        <v>4</v>
      </c>
    </row>
    <row r="70" spans="1:5" ht="22.5" x14ac:dyDescent="0.25">
      <c r="A70" s="8" t="s">
        <v>725</v>
      </c>
      <c r="B70" s="10" t="s">
        <v>690</v>
      </c>
      <c r="C70" s="11" t="s">
        <v>691</v>
      </c>
      <c r="D70" s="6">
        <v>45931</v>
      </c>
      <c r="E70" s="12">
        <v>2</v>
      </c>
    </row>
    <row r="71" spans="1:5" x14ac:dyDescent="0.25">
      <c r="A71" s="8" t="s">
        <v>725</v>
      </c>
      <c r="B71" s="10" t="s">
        <v>516</v>
      </c>
      <c r="C71" s="11" t="s">
        <v>517</v>
      </c>
      <c r="D71" s="5">
        <v>45931</v>
      </c>
      <c r="E71" s="12">
        <v>4</v>
      </c>
    </row>
    <row r="72" spans="1:5" x14ac:dyDescent="0.25">
      <c r="A72" s="8" t="s">
        <v>748</v>
      </c>
      <c r="B72" s="10" t="s">
        <v>718</v>
      </c>
      <c r="C72" s="11" t="s">
        <v>722</v>
      </c>
      <c r="D72" s="6">
        <v>45922</v>
      </c>
      <c r="E72" s="12">
        <v>500</v>
      </c>
    </row>
    <row r="73" spans="1:5" x14ac:dyDescent="0.25">
      <c r="A73" s="8" t="s">
        <v>748</v>
      </c>
      <c r="B73" s="10" t="s">
        <v>760</v>
      </c>
      <c r="C73" s="11" t="s">
        <v>761</v>
      </c>
      <c r="D73" s="5">
        <v>45922</v>
      </c>
      <c r="E73" s="12">
        <v>1</v>
      </c>
    </row>
    <row r="74" spans="1:5" ht="22.5" x14ac:dyDescent="0.25">
      <c r="A74" s="8" t="s">
        <v>748</v>
      </c>
      <c r="B74" s="10" t="s">
        <v>762</v>
      </c>
      <c r="C74" s="11" t="s">
        <v>763</v>
      </c>
      <c r="D74" s="6">
        <v>45922</v>
      </c>
      <c r="E74" s="12">
        <v>3</v>
      </c>
    </row>
    <row r="75" spans="1:5" ht="22.5" x14ac:dyDescent="0.25">
      <c r="A75" s="8" t="s">
        <v>748</v>
      </c>
      <c r="B75" s="10" t="s">
        <v>464</v>
      </c>
      <c r="C75" s="11" t="s">
        <v>465</v>
      </c>
      <c r="D75" s="5">
        <v>45922</v>
      </c>
      <c r="E75" s="12">
        <v>3</v>
      </c>
    </row>
    <row r="76" spans="1:5" ht="22.5" x14ac:dyDescent="0.25">
      <c r="A76" s="8" t="s">
        <v>748</v>
      </c>
      <c r="B76" s="10" t="s">
        <v>69</v>
      </c>
      <c r="C76" s="11" t="s">
        <v>144</v>
      </c>
      <c r="D76" s="5">
        <v>45922</v>
      </c>
      <c r="E76" s="12">
        <v>1</v>
      </c>
    </row>
    <row r="77" spans="1:5" x14ac:dyDescent="0.25">
      <c r="A77" s="8" t="s">
        <v>748</v>
      </c>
      <c r="B77" s="10" t="s">
        <v>134</v>
      </c>
      <c r="C77" s="11" t="s">
        <v>166</v>
      </c>
      <c r="D77" s="6">
        <v>45922</v>
      </c>
      <c r="E77" s="12">
        <v>1</v>
      </c>
    </row>
    <row r="78" spans="1:5" ht="22.5" x14ac:dyDescent="0.25">
      <c r="A78" s="8" t="s">
        <v>748</v>
      </c>
      <c r="B78" s="10" t="s">
        <v>776</v>
      </c>
      <c r="C78" s="11" t="s">
        <v>777</v>
      </c>
      <c r="D78" s="5">
        <v>45922</v>
      </c>
      <c r="E78" s="12">
        <v>1</v>
      </c>
    </row>
    <row r="79" spans="1:5" x14ac:dyDescent="0.25">
      <c r="A79" s="8" t="s">
        <v>748</v>
      </c>
      <c r="B79" s="10" t="s">
        <v>125</v>
      </c>
      <c r="C79" s="11" t="s">
        <v>147</v>
      </c>
      <c r="D79" s="6">
        <v>45922</v>
      </c>
      <c r="E79" s="12">
        <v>2</v>
      </c>
    </row>
    <row r="80" spans="1:5" x14ac:dyDescent="0.25">
      <c r="A80" s="8" t="s">
        <v>748</v>
      </c>
      <c r="B80" s="10" t="s">
        <v>472</v>
      </c>
      <c r="C80" s="11" t="s">
        <v>473</v>
      </c>
      <c r="D80" s="5">
        <v>45922</v>
      </c>
      <c r="E80" s="12">
        <v>2</v>
      </c>
    </row>
    <row r="81" spans="1:5" x14ac:dyDescent="0.25">
      <c r="A81" s="8" t="s">
        <v>748</v>
      </c>
      <c r="B81" s="10" t="s">
        <v>474</v>
      </c>
      <c r="C81" s="11" t="s">
        <v>475</v>
      </c>
      <c r="D81" s="6">
        <v>45922</v>
      </c>
      <c r="E81" s="12">
        <v>3</v>
      </c>
    </row>
    <row r="82" spans="1:5" x14ac:dyDescent="0.25">
      <c r="A82" s="8" t="s">
        <v>748</v>
      </c>
      <c r="B82" s="10" t="s">
        <v>76</v>
      </c>
      <c r="C82" s="11" t="s">
        <v>169</v>
      </c>
      <c r="D82" s="5">
        <v>45922</v>
      </c>
      <c r="E82" s="12">
        <v>1</v>
      </c>
    </row>
    <row r="83" spans="1:5" x14ac:dyDescent="0.25">
      <c r="A83" s="8" t="s">
        <v>748</v>
      </c>
      <c r="B83" s="10" t="s">
        <v>791</v>
      </c>
      <c r="C83" s="11" t="s">
        <v>792</v>
      </c>
      <c r="D83" s="6">
        <v>45922</v>
      </c>
      <c r="E83" s="12">
        <v>1</v>
      </c>
    </row>
    <row r="84" spans="1:5" x14ac:dyDescent="0.25">
      <c r="A84" s="8" t="s">
        <v>748</v>
      </c>
      <c r="B84" s="10" t="s">
        <v>793</v>
      </c>
      <c r="C84" s="11" t="s">
        <v>794</v>
      </c>
      <c r="D84" s="5">
        <v>45922</v>
      </c>
      <c r="E84" s="12">
        <v>1</v>
      </c>
    </row>
    <row r="85" spans="1:5" x14ac:dyDescent="0.25">
      <c r="A85" s="8" t="s">
        <v>748</v>
      </c>
      <c r="B85" s="10" t="s">
        <v>94</v>
      </c>
      <c r="C85" s="11" t="s">
        <v>95</v>
      </c>
      <c r="D85" s="5">
        <v>45922</v>
      </c>
      <c r="E85" s="12">
        <v>2</v>
      </c>
    </row>
    <row r="86" spans="1:5" x14ac:dyDescent="0.25">
      <c r="A86" s="8" t="s">
        <v>748</v>
      </c>
      <c r="B86" s="10" t="s">
        <v>797</v>
      </c>
      <c r="C86" s="11" t="s">
        <v>798</v>
      </c>
      <c r="D86" s="6">
        <v>45922</v>
      </c>
      <c r="E86" s="12">
        <v>1</v>
      </c>
    </row>
    <row r="87" spans="1:5" x14ac:dyDescent="0.25">
      <c r="A87" s="8" t="s">
        <v>748</v>
      </c>
      <c r="B87" s="10" t="s">
        <v>99</v>
      </c>
      <c r="C87" s="11" t="s">
        <v>171</v>
      </c>
      <c r="D87" s="5">
        <v>45922</v>
      </c>
      <c r="E87" s="12">
        <v>1</v>
      </c>
    </row>
    <row r="88" spans="1:5" x14ac:dyDescent="0.25">
      <c r="A88" s="8" t="s">
        <v>748</v>
      </c>
      <c r="B88" s="10" t="s">
        <v>101</v>
      </c>
      <c r="C88" s="11" t="s">
        <v>173</v>
      </c>
      <c r="D88" s="6">
        <v>45922</v>
      </c>
      <c r="E88" s="12">
        <v>3</v>
      </c>
    </row>
    <row r="89" spans="1:5" ht="22.5" x14ac:dyDescent="0.25">
      <c r="A89" s="8" t="s">
        <v>748</v>
      </c>
      <c r="B89" s="10" t="s">
        <v>812</v>
      </c>
      <c r="C89" s="11" t="s">
        <v>813</v>
      </c>
      <c r="D89" s="5">
        <v>45922</v>
      </c>
      <c r="E89" s="12">
        <v>3</v>
      </c>
    </row>
    <row r="90" spans="1:5" ht="22.5" x14ac:dyDescent="0.25">
      <c r="A90" s="8" t="s">
        <v>748</v>
      </c>
      <c r="B90" s="10" t="s">
        <v>814</v>
      </c>
      <c r="C90" s="11" t="s">
        <v>815</v>
      </c>
      <c r="D90" s="6">
        <v>45922</v>
      </c>
      <c r="E90" s="12">
        <v>3</v>
      </c>
    </row>
    <row r="91" spans="1:5" x14ac:dyDescent="0.25">
      <c r="A91" s="8" t="s">
        <v>748</v>
      </c>
      <c r="B91" s="10" t="s">
        <v>132</v>
      </c>
      <c r="C91" s="11" t="s">
        <v>503</v>
      </c>
      <c r="D91" s="5">
        <v>45922</v>
      </c>
      <c r="E91" s="12">
        <v>2</v>
      </c>
    </row>
    <row r="92" spans="1:5" x14ac:dyDescent="0.25">
      <c r="A92" s="8" t="s">
        <v>748</v>
      </c>
      <c r="B92" s="10" t="s">
        <v>816</v>
      </c>
      <c r="C92" s="11" t="s">
        <v>817</v>
      </c>
      <c r="D92" s="6">
        <v>45922</v>
      </c>
      <c r="E92" s="12">
        <v>1</v>
      </c>
    </row>
    <row r="93" spans="1:5" x14ac:dyDescent="0.25">
      <c r="A93" s="8" t="s">
        <v>748</v>
      </c>
      <c r="B93" s="10" t="s">
        <v>106</v>
      </c>
      <c r="C93" s="11" t="s">
        <v>504</v>
      </c>
      <c r="D93" s="5">
        <v>45922</v>
      </c>
      <c r="E93" s="12">
        <v>24</v>
      </c>
    </row>
    <row r="94" spans="1:5" ht="22.5" x14ac:dyDescent="0.25">
      <c r="A94" s="8" t="s">
        <v>748</v>
      </c>
      <c r="B94" s="10" t="s">
        <v>279</v>
      </c>
      <c r="C94" s="11" t="s">
        <v>280</v>
      </c>
      <c r="D94" s="6">
        <v>45922</v>
      </c>
      <c r="E94" s="12">
        <v>2</v>
      </c>
    </row>
    <row r="95" spans="1:5" ht="22.5" x14ac:dyDescent="0.25">
      <c r="A95" s="8" t="s">
        <v>748</v>
      </c>
      <c r="B95" s="10" t="s">
        <v>284</v>
      </c>
      <c r="C95" s="11" t="s">
        <v>285</v>
      </c>
      <c r="D95" s="5">
        <v>45922</v>
      </c>
      <c r="E95" s="12">
        <v>1</v>
      </c>
    </row>
    <row r="96" spans="1:5" x14ac:dyDescent="0.25">
      <c r="A96" s="8" t="s">
        <v>748</v>
      </c>
      <c r="B96" s="10" t="s">
        <v>37</v>
      </c>
      <c r="C96" s="11" t="s">
        <v>151</v>
      </c>
      <c r="D96" s="6">
        <v>45922</v>
      </c>
      <c r="E96" s="12">
        <v>1</v>
      </c>
    </row>
    <row r="97" spans="1:5" ht="22.5" x14ac:dyDescent="0.25">
      <c r="A97" s="8" t="s">
        <v>748</v>
      </c>
      <c r="B97" s="10" t="s">
        <v>838</v>
      </c>
      <c r="C97" s="11" t="s">
        <v>839</v>
      </c>
      <c r="D97" s="5">
        <v>45922</v>
      </c>
      <c r="E97" s="12">
        <v>3</v>
      </c>
    </row>
    <row r="98" spans="1:5" x14ac:dyDescent="0.25">
      <c r="A98" s="8" t="s">
        <v>748</v>
      </c>
      <c r="B98" s="10" t="s">
        <v>840</v>
      </c>
      <c r="C98" s="11" t="s">
        <v>841</v>
      </c>
      <c r="D98" s="6">
        <v>45922</v>
      </c>
      <c r="E98" s="12">
        <v>3</v>
      </c>
    </row>
    <row r="99" spans="1:5" ht="22.5" x14ac:dyDescent="0.25">
      <c r="A99" s="8" t="s">
        <v>748</v>
      </c>
      <c r="B99" s="10" t="s">
        <v>842</v>
      </c>
      <c r="C99" s="11" t="s">
        <v>843</v>
      </c>
      <c r="D99" s="5">
        <v>45922</v>
      </c>
      <c r="E99" s="12">
        <v>4</v>
      </c>
    </row>
    <row r="100" spans="1:5" ht="22.5" x14ac:dyDescent="0.25">
      <c r="A100" s="8" t="s">
        <v>748</v>
      </c>
      <c r="B100" s="10" t="s">
        <v>844</v>
      </c>
      <c r="C100" s="11" t="s">
        <v>845</v>
      </c>
      <c r="D100" s="6">
        <v>45922</v>
      </c>
      <c r="E100" s="12">
        <v>12</v>
      </c>
    </row>
    <row r="101" spans="1:5" x14ac:dyDescent="0.25">
      <c r="A101" s="8" t="s">
        <v>748</v>
      </c>
      <c r="B101" s="10" t="s">
        <v>514</v>
      </c>
      <c r="C101" s="11" t="s">
        <v>515</v>
      </c>
      <c r="D101" s="5">
        <v>45922</v>
      </c>
      <c r="E101" s="12">
        <v>146</v>
      </c>
    </row>
    <row r="102" spans="1:5" ht="22.5" x14ac:dyDescent="0.25">
      <c r="A102" s="8" t="s">
        <v>748</v>
      </c>
      <c r="B102" s="10" t="s">
        <v>850</v>
      </c>
      <c r="C102" s="11" t="s">
        <v>851</v>
      </c>
      <c r="D102" s="6">
        <v>45922</v>
      </c>
      <c r="E102" s="12">
        <v>12</v>
      </c>
    </row>
    <row r="103" spans="1:5" x14ac:dyDescent="0.25">
      <c r="A103" s="8" t="s">
        <v>853</v>
      </c>
      <c r="B103" s="10" t="s">
        <v>859</v>
      </c>
      <c r="C103" s="11" t="s">
        <v>860</v>
      </c>
      <c r="D103" s="5">
        <v>45915</v>
      </c>
      <c r="E103" s="12">
        <v>4</v>
      </c>
    </row>
    <row r="104" spans="1:5" x14ac:dyDescent="0.25">
      <c r="A104" s="8" t="s">
        <v>853</v>
      </c>
      <c r="B104" s="10" t="s">
        <v>861</v>
      </c>
      <c r="C104" s="11" t="s">
        <v>862</v>
      </c>
      <c r="D104" s="6">
        <v>45915</v>
      </c>
      <c r="E104" s="12">
        <v>1</v>
      </c>
    </row>
    <row r="105" spans="1:5" x14ac:dyDescent="0.25">
      <c r="A105" s="8" t="s">
        <v>853</v>
      </c>
      <c r="B105" s="10" t="s">
        <v>865</v>
      </c>
      <c r="C105" s="11" t="s">
        <v>866</v>
      </c>
      <c r="D105" s="5">
        <v>45915</v>
      </c>
      <c r="E105" s="12">
        <v>1</v>
      </c>
    </row>
    <row r="106" spans="1:5" x14ac:dyDescent="0.25">
      <c r="A106" s="8" t="s">
        <v>853</v>
      </c>
      <c r="B106" s="10" t="s">
        <v>871</v>
      </c>
      <c r="C106" s="11" t="s">
        <v>872</v>
      </c>
      <c r="D106" s="6">
        <v>45915</v>
      </c>
      <c r="E106" s="12">
        <v>6</v>
      </c>
    </row>
    <row r="107" spans="1:5" x14ac:dyDescent="0.25">
      <c r="A107" s="8" t="s">
        <v>853</v>
      </c>
      <c r="B107" s="10" t="s">
        <v>881</v>
      </c>
      <c r="C107" s="11" t="s">
        <v>882</v>
      </c>
      <c r="D107" s="5">
        <v>45915</v>
      </c>
      <c r="E107" s="12">
        <v>10</v>
      </c>
    </row>
    <row r="108" spans="1:5" x14ac:dyDescent="0.25">
      <c r="A108" s="8" t="s">
        <v>853</v>
      </c>
      <c r="B108" s="10" t="s">
        <v>885</v>
      </c>
      <c r="C108" s="11" t="s">
        <v>886</v>
      </c>
      <c r="D108" s="6">
        <v>45915</v>
      </c>
      <c r="E108" s="12">
        <v>4</v>
      </c>
    </row>
    <row r="109" spans="1:5" x14ac:dyDescent="0.25">
      <c r="A109" s="8" t="s">
        <v>853</v>
      </c>
      <c r="B109" s="10" t="s">
        <v>89</v>
      </c>
      <c r="C109" s="11" t="s">
        <v>149</v>
      </c>
      <c r="D109" s="5">
        <v>45915</v>
      </c>
      <c r="E109" s="12">
        <v>2</v>
      </c>
    </row>
    <row r="110" spans="1:5" x14ac:dyDescent="0.25">
      <c r="A110" s="8" t="s">
        <v>895</v>
      </c>
      <c r="B110" s="10" t="s">
        <v>205</v>
      </c>
      <c r="C110" s="11" t="s">
        <v>896</v>
      </c>
      <c r="D110" s="6">
        <v>45954</v>
      </c>
      <c r="E110" s="12">
        <v>1</v>
      </c>
    </row>
    <row r="111" spans="1:5" x14ac:dyDescent="0.25">
      <c r="A111" s="8" t="s">
        <v>895</v>
      </c>
      <c r="B111" s="10" t="s">
        <v>897</v>
      </c>
      <c r="C111" s="11" t="s">
        <v>898</v>
      </c>
      <c r="D111" s="5">
        <v>45954</v>
      </c>
      <c r="E111" s="12">
        <v>42</v>
      </c>
    </row>
    <row r="112" spans="1:5" x14ac:dyDescent="0.25">
      <c r="A112" s="8" t="s">
        <v>895</v>
      </c>
      <c r="B112" s="10" t="s">
        <v>306</v>
      </c>
      <c r="C112" s="11" t="s">
        <v>307</v>
      </c>
      <c r="D112" s="6">
        <v>45954</v>
      </c>
      <c r="E112" s="12">
        <v>4</v>
      </c>
    </row>
    <row r="113" spans="1:5" x14ac:dyDescent="0.25">
      <c r="A113" s="8" t="s">
        <v>895</v>
      </c>
      <c r="B113" s="10" t="s">
        <v>121</v>
      </c>
      <c r="C113" s="11" t="s">
        <v>162</v>
      </c>
      <c r="D113" s="5">
        <v>45954</v>
      </c>
      <c r="E113" s="12">
        <v>1</v>
      </c>
    </row>
    <row r="114" spans="1:5" x14ac:dyDescent="0.25">
      <c r="A114" s="8" t="s">
        <v>895</v>
      </c>
      <c r="B114" s="10" t="s">
        <v>40</v>
      </c>
      <c r="C114" s="11" t="s">
        <v>41</v>
      </c>
      <c r="D114" s="6">
        <v>45954</v>
      </c>
      <c r="E114" s="12">
        <v>16</v>
      </c>
    </row>
    <row r="115" spans="1:5" x14ac:dyDescent="0.25">
      <c r="A115" s="8" t="s">
        <v>895</v>
      </c>
      <c r="B115" s="10" t="s">
        <v>43</v>
      </c>
      <c r="C115" s="11" t="s">
        <v>163</v>
      </c>
      <c r="D115" s="5">
        <v>45954</v>
      </c>
      <c r="E115" s="12">
        <v>1</v>
      </c>
    </row>
    <row r="116" spans="1:5" x14ac:dyDescent="0.25">
      <c r="A116" s="8" t="s">
        <v>895</v>
      </c>
      <c r="B116" s="10" t="s">
        <v>47</v>
      </c>
      <c r="C116" s="11" t="s">
        <v>48</v>
      </c>
      <c r="D116" s="6">
        <v>45954</v>
      </c>
      <c r="E116" s="12">
        <v>5</v>
      </c>
    </row>
    <row r="117" spans="1:5" ht="22.5" x14ac:dyDescent="0.25">
      <c r="A117" s="8" t="s">
        <v>895</v>
      </c>
      <c r="B117" s="10" t="s">
        <v>455</v>
      </c>
      <c r="C117" s="11" t="s">
        <v>906</v>
      </c>
      <c r="D117" s="5">
        <v>45954</v>
      </c>
      <c r="E117" s="12">
        <v>8</v>
      </c>
    </row>
    <row r="118" spans="1:5" x14ac:dyDescent="0.25">
      <c r="A118" s="8" t="s">
        <v>895</v>
      </c>
      <c r="B118" s="10" t="s">
        <v>59</v>
      </c>
      <c r="C118" s="11" t="s">
        <v>60</v>
      </c>
      <c r="D118" s="6">
        <v>45954</v>
      </c>
      <c r="E118" s="12">
        <v>64</v>
      </c>
    </row>
    <row r="119" spans="1:5" x14ac:dyDescent="0.25">
      <c r="A119" s="8" t="s">
        <v>895</v>
      </c>
      <c r="B119" s="10" t="s">
        <v>718</v>
      </c>
      <c r="C119" s="11" t="s">
        <v>722</v>
      </c>
      <c r="D119" s="5">
        <v>45954</v>
      </c>
      <c r="E119" s="12">
        <v>680</v>
      </c>
    </row>
    <row r="120" spans="1:5" x14ac:dyDescent="0.25">
      <c r="A120" s="8" t="s">
        <v>895</v>
      </c>
      <c r="B120" s="10" t="s">
        <v>2</v>
      </c>
      <c r="C120" s="11" t="s">
        <v>911</v>
      </c>
      <c r="D120" s="6">
        <v>45954</v>
      </c>
      <c r="E120" s="12">
        <v>64</v>
      </c>
    </row>
    <row r="121" spans="1:5" x14ac:dyDescent="0.25">
      <c r="A121" s="8" t="s">
        <v>895</v>
      </c>
      <c r="B121" s="10" t="s">
        <v>760</v>
      </c>
      <c r="C121" s="11" t="s">
        <v>761</v>
      </c>
      <c r="D121" s="5">
        <v>45954</v>
      </c>
      <c r="E121" s="12">
        <v>5</v>
      </c>
    </row>
    <row r="122" spans="1:5" ht="22.5" x14ac:dyDescent="0.25">
      <c r="A122" s="8" t="s">
        <v>895</v>
      </c>
      <c r="B122" s="10" t="s">
        <v>766</v>
      </c>
      <c r="C122" s="11" t="s">
        <v>767</v>
      </c>
      <c r="D122" s="6">
        <v>45954</v>
      </c>
      <c r="E122" s="12">
        <v>1</v>
      </c>
    </row>
    <row r="123" spans="1:5" x14ac:dyDescent="0.25">
      <c r="A123" s="8" t="s">
        <v>895</v>
      </c>
      <c r="B123" s="10" t="s">
        <v>70</v>
      </c>
      <c r="C123" s="11" t="s">
        <v>71</v>
      </c>
      <c r="D123" s="5">
        <v>45954</v>
      </c>
      <c r="E123" s="12">
        <v>1</v>
      </c>
    </row>
    <row r="124" spans="1:5" x14ac:dyDescent="0.25">
      <c r="A124" s="8" t="s">
        <v>895</v>
      </c>
      <c r="B124" s="10" t="s">
        <v>123</v>
      </c>
      <c r="C124" s="11" t="s">
        <v>145</v>
      </c>
      <c r="D124" s="6">
        <v>45954</v>
      </c>
      <c r="E124" s="12">
        <v>3</v>
      </c>
    </row>
    <row r="125" spans="1:5" x14ac:dyDescent="0.25">
      <c r="A125" s="8" t="s">
        <v>895</v>
      </c>
      <c r="B125" s="10" t="s">
        <v>72</v>
      </c>
      <c r="C125" s="11" t="s">
        <v>167</v>
      </c>
      <c r="D125" s="5">
        <v>45954</v>
      </c>
      <c r="E125" s="12">
        <v>3</v>
      </c>
    </row>
    <row r="126" spans="1:5" x14ac:dyDescent="0.25">
      <c r="A126" s="8" t="s">
        <v>895</v>
      </c>
      <c r="B126" s="10" t="s">
        <v>33</v>
      </c>
      <c r="C126" s="11" t="s">
        <v>466</v>
      </c>
      <c r="D126" s="6">
        <v>45954</v>
      </c>
      <c r="E126" s="12">
        <v>4</v>
      </c>
    </row>
    <row r="127" spans="1:5" x14ac:dyDescent="0.25">
      <c r="A127" s="8" t="s">
        <v>895</v>
      </c>
      <c r="B127" s="10" t="s">
        <v>77</v>
      </c>
      <c r="C127" s="11" t="s">
        <v>78</v>
      </c>
      <c r="D127" s="5">
        <v>45954</v>
      </c>
      <c r="E127" s="12">
        <v>6</v>
      </c>
    </row>
    <row r="128" spans="1:5" x14ac:dyDescent="0.25">
      <c r="A128" t="s">
        <v>895</v>
      </c>
      <c r="B128" t="s">
        <v>81</v>
      </c>
      <c r="C128" t="s">
        <v>82</v>
      </c>
      <c r="D128" s="1">
        <v>45954</v>
      </c>
      <c r="E128">
        <v>7</v>
      </c>
    </row>
    <row r="129" spans="1:5" x14ac:dyDescent="0.25">
      <c r="A129" t="s">
        <v>895</v>
      </c>
      <c r="B129" t="s">
        <v>311</v>
      </c>
      <c r="C129" t="s">
        <v>312</v>
      </c>
      <c r="D129" s="1">
        <v>45954</v>
      </c>
      <c r="E129">
        <v>10</v>
      </c>
    </row>
    <row r="130" spans="1:5" x14ac:dyDescent="0.25">
      <c r="A130" t="s">
        <v>895</v>
      </c>
      <c r="B130" t="s">
        <v>25</v>
      </c>
      <c r="C130" t="s">
        <v>155</v>
      </c>
      <c r="D130" s="1">
        <v>45954</v>
      </c>
      <c r="E130">
        <v>3</v>
      </c>
    </row>
    <row r="131" spans="1:5" x14ac:dyDescent="0.25">
      <c r="A131" t="s">
        <v>895</v>
      </c>
      <c r="B131" t="s">
        <v>785</v>
      </c>
      <c r="C131" t="s">
        <v>786</v>
      </c>
      <c r="D131" s="1">
        <v>45954</v>
      </c>
      <c r="E131">
        <v>4</v>
      </c>
    </row>
    <row r="132" spans="1:5" x14ac:dyDescent="0.25">
      <c r="A132" t="s">
        <v>895</v>
      </c>
      <c r="B132" t="s">
        <v>90</v>
      </c>
      <c r="C132" t="s">
        <v>91</v>
      </c>
      <c r="D132" s="1">
        <v>45954</v>
      </c>
      <c r="E132">
        <v>15</v>
      </c>
    </row>
    <row r="133" spans="1:5" x14ac:dyDescent="0.25">
      <c r="A133" t="s">
        <v>895</v>
      </c>
      <c r="B133" t="s">
        <v>92</v>
      </c>
      <c r="C133" t="s">
        <v>93</v>
      </c>
      <c r="D133" s="1">
        <v>45954</v>
      </c>
      <c r="E133">
        <v>2</v>
      </c>
    </row>
    <row r="134" spans="1:5" x14ac:dyDescent="0.25">
      <c r="A134" t="s">
        <v>895</v>
      </c>
      <c r="B134" t="s">
        <v>925</v>
      </c>
      <c r="C134" t="s">
        <v>926</v>
      </c>
      <c r="D134" s="1">
        <v>45954</v>
      </c>
      <c r="E134">
        <v>21</v>
      </c>
    </row>
    <row r="135" spans="1:5" x14ac:dyDescent="0.25">
      <c r="A135" t="s">
        <v>895</v>
      </c>
      <c r="B135" t="s">
        <v>97</v>
      </c>
      <c r="C135" t="s">
        <v>150</v>
      </c>
      <c r="D135" s="1">
        <v>45954</v>
      </c>
      <c r="E135">
        <v>21</v>
      </c>
    </row>
    <row r="136" spans="1:5" x14ac:dyDescent="0.25">
      <c r="A136" t="s">
        <v>895</v>
      </c>
      <c r="B136" t="s">
        <v>927</v>
      </c>
      <c r="C136" t="s">
        <v>928</v>
      </c>
      <c r="D136" s="1">
        <v>45954</v>
      </c>
      <c r="E136">
        <v>21</v>
      </c>
    </row>
    <row r="137" spans="1:5" x14ac:dyDescent="0.25">
      <c r="A137" t="s">
        <v>895</v>
      </c>
      <c r="B137" t="s">
        <v>810</v>
      </c>
      <c r="C137" t="s">
        <v>811</v>
      </c>
      <c r="D137" s="1">
        <v>45954</v>
      </c>
      <c r="E137">
        <v>21</v>
      </c>
    </row>
    <row r="138" spans="1:5" x14ac:dyDescent="0.25">
      <c r="A138" t="s">
        <v>895</v>
      </c>
      <c r="B138" t="s">
        <v>130</v>
      </c>
      <c r="C138" t="s">
        <v>138</v>
      </c>
      <c r="D138" s="1">
        <v>45954</v>
      </c>
      <c r="E138">
        <v>2</v>
      </c>
    </row>
    <row r="139" spans="1:5" x14ac:dyDescent="0.25">
      <c r="A139" t="s">
        <v>895</v>
      </c>
      <c r="B139" t="s">
        <v>266</v>
      </c>
      <c r="C139" t="s">
        <v>267</v>
      </c>
      <c r="D139" s="1">
        <v>45954</v>
      </c>
      <c r="E139">
        <v>4</v>
      </c>
    </row>
    <row r="140" spans="1:5" x14ac:dyDescent="0.25">
      <c r="A140" t="s">
        <v>895</v>
      </c>
      <c r="B140" t="s">
        <v>268</v>
      </c>
      <c r="C140" t="s">
        <v>269</v>
      </c>
      <c r="D140" s="1">
        <v>45954</v>
      </c>
      <c r="E140">
        <v>4</v>
      </c>
    </row>
    <row r="141" spans="1:5" x14ac:dyDescent="0.25">
      <c r="A141" t="s">
        <v>895</v>
      </c>
      <c r="B141" t="s">
        <v>272</v>
      </c>
      <c r="C141" t="s">
        <v>273</v>
      </c>
      <c r="D141" s="1">
        <v>45954</v>
      </c>
      <c r="E141">
        <v>4</v>
      </c>
    </row>
    <row r="142" spans="1:5" x14ac:dyDescent="0.25">
      <c r="A142" t="s">
        <v>895</v>
      </c>
      <c r="B142" t="s">
        <v>275</v>
      </c>
      <c r="C142" t="s">
        <v>276</v>
      </c>
      <c r="D142" s="1">
        <v>45954</v>
      </c>
      <c r="E142">
        <v>8</v>
      </c>
    </row>
    <row r="143" spans="1:5" x14ac:dyDescent="0.25">
      <c r="A143" t="s">
        <v>895</v>
      </c>
      <c r="B143" t="s">
        <v>277</v>
      </c>
      <c r="C143" t="s">
        <v>278</v>
      </c>
      <c r="D143" s="1">
        <v>45954</v>
      </c>
      <c r="E143">
        <v>4</v>
      </c>
    </row>
    <row r="144" spans="1:5" x14ac:dyDescent="0.25">
      <c r="A144" t="s">
        <v>895</v>
      </c>
      <c r="B144" t="s">
        <v>104</v>
      </c>
      <c r="C144" t="s">
        <v>105</v>
      </c>
      <c r="D144" s="1">
        <v>45954</v>
      </c>
      <c r="E144">
        <v>68</v>
      </c>
    </row>
    <row r="145" spans="1:5" x14ac:dyDescent="0.25">
      <c r="A145" t="s">
        <v>895</v>
      </c>
      <c r="B145" t="s">
        <v>106</v>
      </c>
      <c r="C145" t="s">
        <v>504</v>
      </c>
      <c r="D145" s="1">
        <v>45954</v>
      </c>
      <c r="E145">
        <v>68</v>
      </c>
    </row>
    <row r="146" spans="1:5" x14ac:dyDescent="0.25">
      <c r="A146" t="s">
        <v>895</v>
      </c>
      <c r="B146" t="s">
        <v>931</v>
      </c>
      <c r="C146" t="s">
        <v>932</v>
      </c>
      <c r="D146" s="1">
        <v>45954</v>
      </c>
      <c r="E146">
        <v>8</v>
      </c>
    </row>
    <row r="147" spans="1:5" x14ac:dyDescent="0.25">
      <c r="A147" t="s">
        <v>895</v>
      </c>
      <c r="B147" t="s">
        <v>279</v>
      </c>
      <c r="C147" t="s">
        <v>280</v>
      </c>
      <c r="D147" s="1">
        <v>45954</v>
      </c>
      <c r="E147">
        <v>4</v>
      </c>
    </row>
    <row r="148" spans="1:5" x14ac:dyDescent="0.25">
      <c r="A148" t="s">
        <v>895</v>
      </c>
      <c r="B148" t="s">
        <v>282</v>
      </c>
      <c r="C148" t="s">
        <v>283</v>
      </c>
      <c r="D148" s="1">
        <v>45954</v>
      </c>
      <c r="E148">
        <v>7</v>
      </c>
    </row>
    <row r="149" spans="1:5" x14ac:dyDescent="0.25">
      <c r="A149" t="s">
        <v>895</v>
      </c>
      <c r="B149" t="s">
        <v>284</v>
      </c>
      <c r="C149" t="s">
        <v>285</v>
      </c>
      <c r="D149" s="1">
        <v>45954</v>
      </c>
      <c r="E149">
        <v>8</v>
      </c>
    </row>
    <row r="150" spans="1:5" x14ac:dyDescent="0.25">
      <c r="A150" t="s">
        <v>895</v>
      </c>
      <c r="B150" t="s">
        <v>933</v>
      </c>
      <c r="C150" t="s">
        <v>934</v>
      </c>
      <c r="D150" s="1">
        <v>45954</v>
      </c>
      <c r="E150">
        <v>44</v>
      </c>
    </row>
    <row r="151" spans="1:5" x14ac:dyDescent="0.25">
      <c r="A151" t="s">
        <v>895</v>
      </c>
      <c r="B151" t="s">
        <v>935</v>
      </c>
      <c r="C151" t="s">
        <v>936</v>
      </c>
      <c r="D151" s="1">
        <v>45954</v>
      </c>
      <c r="E151">
        <v>44</v>
      </c>
    </row>
    <row r="152" spans="1:5" x14ac:dyDescent="0.25">
      <c r="A152" t="s">
        <v>895</v>
      </c>
      <c r="B152" t="s">
        <v>828</v>
      </c>
      <c r="C152" t="s">
        <v>829</v>
      </c>
      <c r="D152" s="1">
        <v>45954</v>
      </c>
      <c r="E152">
        <v>3</v>
      </c>
    </row>
    <row r="153" spans="1:5" x14ac:dyDescent="0.25">
      <c r="A153" t="s">
        <v>895</v>
      </c>
      <c r="B153" t="s">
        <v>28</v>
      </c>
      <c r="C153" t="s">
        <v>38</v>
      </c>
      <c r="D153" s="1">
        <v>45954</v>
      </c>
      <c r="E153">
        <v>22</v>
      </c>
    </row>
    <row r="154" spans="1:5" x14ac:dyDescent="0.25">
      <c r="A154" t="s">
        <v>895</v>
      </c>
      <c r="B154" t="s">
        <v>35</v>
      </c>
      <c r="C154" t="s">
        <v>112</v>
      </c>
      <c r="D154" s="1">
        <v>45954</v>
      </c>
      <c r="E154">
        <v>3</v>
      </c>
    </row>
    <row r="155" spans="1:5" x14ac:dyDescent="0.25">
      <c r="A155" t="s">
        <v>895</v>
      </c>
      <c r="B155" t="s">
        <v>36</v>
      </c>
      <c r="C155" t="s">
        <v>39</v>
      </c>
      <c r="D155" s="1">
        <v>45954</v>
      </c>
      <c r="E155">
        <v>22</v>
      </c>
    </row>
    <row r="156" spans="1:5" x14ac:dyDescent="0.25">
      <c r="A156" t="s">
        <v>895</v>
      </c>
      <c r="B156" t="s">
        <v>316</v>
      </c>
      <c r="C156" t="s">
        <v>317</v>
      </c>
      <c r="D156" s="1">
        <v>45954</v>
      </c>
      <c r="E156">
        <v>22</v>
      </c>
    </row>
    <row r="157" spans="1:5" x14ac:dyDescent="0.25">
      <c r="A157" t="s">
        <v>895</v>
      </c>
      <c r="B157" t="s">
        <v>29</v>
      </c>
      <c r="C157" t="s">
        <v>113</v>
      </c>
      <c r="D157" s="1">
        <v>45954</v>
      </c>
      <c r="E157">
        <v>4</v>
      </c>
    </row>
    <row r="158" spans="1:5" x14ac:dyDescent="0.25">
      <c r="A158" t="s">
        <v>895</v>
      </c>
      <c r="B158" t="s">
        <v>115</v>
      </c>
      <c r="C158" t="s">
        <v>940</v>
      </c>
      <c r="D158" s="1">
        <v>45954</v>
      </c>
      <c r="E158">
        <v>11</v>
      </c>
    </row>
    <row r="159" spans="1:5" x14ac:dyDescent="0.25">
      <c r="A159" t="s">
        <v>895</v>
      </c>
      <c r="B159" t="s">
        <v>300</v>
      </c>
      <c r="C159" t="s">
        <v>301</v>
      </c>
      <c r="D159" s="1">
        <v>45954</v>
      </c>
      <c r="E159">
        <v>8</v>
      </c>
    </row>
    <row r="160" spans="1:5" x14ac:dyDescent="0.25">
      <c r="A160" t="s">
        <v>895</v>
      </c>
      <c r="B160" t="s">
        <v>943</v>
      </c>
      <c r="C160" t="s">
        <v>944</v>
      </c>
      <c r="D160" s="1">
        <v>45954</v>
      </c>
      <c r="E160">
        <v>3</v>
      </c>
    </row>
    <row r="161" spans="1:5" x14ac:dyDescent="0.25">
      <c r="A161" t="s">
        <v>895</v>
      </c>
      <c r="B161" t="s">
        <v>946</v>
      </c>
      <c r="C161" t="s">
        <v>947</v>
      </c>
      <c r="D161" s="1">
        <v>45954</v>
      </c>
      <c r="E161">
        <v>16</v>
      </c>
    </row>
    <row r="162" spans="1:5" x14ac:dyDescent="0.25">
      <c r="A162" t="s">
        <v>960</v>
      </c>
      <c r="B162" t="s">
        <v>577</v>
      </c>
      <c r="C162" t="s">
        <v>578</v>
      </c>
      <c r="D162" s="1">
        <v>45946</v>
      </c>
      <c r="E162">
        <v>1</v>
      </c>
    </row>
    <row r="163" spans="1:5" x14ac:dyDescent="0.25">
      <c r="A163" t="s">
        <v>960</v>
      </c>
      <c r="B163" t="s">
        <v>897</v>
      </c>
      <c r="C163" t="s">
        <v>898</v>
      </c>
      <c r="D163" s="1">
        <v>45946</v>
      </c>
      <c r="E163">
        <v>8</v>
      </c>
    </row>
    <row r="164" spans="1:5" x14ac:dyDescent="0.25">
      <c r="A164" t="s">
        <v>960</v>
      </c>
      <c r="B164" t="s">
        <v>828</v>
      </c>
      <c r="C164" t="s">
        <v>829</v>
      </c>
      <c r="D164" s="1">
        <v>45946</v>
      </c>
      <c r="E164">
        <v>1</v>
      </c>
    </row>
    <row r="165" spans="1:5" x14ac:dyDescent="0.25">
      <c r="A165" t="s">
        <v>960</v>
      </c>
      <c r="B165" t="s">
        <v>34</v>
      </c>
      <c r="C165" t="s">
        <v>111</v>
      </c>
      <c r="D165" s="1">
        <v>45946</v>
      </c>
      <c r="E165">
        <v>2</v>
      </c>
    </row>
    <row r="166" spans="1:5" x14ac:dyDescent="0.25">
      <c r="A166" t="s">
        <v>961</v>
      </c>
      <c r="B166" t="s">
        <v>726</v>
      </c>
      <c r="C166" t="s">
        <v>727</v>
      </c>
      <c r="D166" s="1">
        <v>45985</v>
      </c>
      <c r="E166">
        <v>2</v>
      </c>
    </row>
    <row r="167" spans="1:5" x14ac:dyDescent="0.25">
      <c r="A167" t="s">
        <v>961</v>
      </c>
      <c r="B167" t="s">
        <v>521</v>
      </c>
      <c r="C167" t="s">
        <v>522</v>
      </c>
      <c r="D167" s="1">
        <v>45985</v>
      </c>
      <c r="E167">
        <v>1</v>
      </c>
    </row>
    <row r="168" spans="1:5" x14ac:dyDescent="0.25">
      <c r="A168" t="s">
        <v>961</v>
      </c>
      <c r="B168" t="s">
        <v>523</v>
      </c>
      <c r="C168" t="s">
        <v>524</v>
      </c>
      <c r="D168" s="1">
        <v>45985</v>
      </c>
      <c r="E168">
        <v>2</v>
      </c>
    </row>
    <row r="169" spans="1:5" x14ac:dyDescent="0.25">
      <c r="A169" t="s">
        <v>961</v>
      </c>
      <c r="B169" t="s">
        <v>525</v>
      </c>
      <c r="C169" t="s">
        <v>526</v>
      </c>
      <c r="D169" s="1">
        <v>45985</v>
      </c>
      <c r="E169">
        <v>2</v>
      </c>
    </row>
    <row r="170" spans="1:5" x14ac:dyDescent="0.25">
      <c r="A170" t="s">
        <v>961</v>
      </c>
      <c r="B170" t="s">
        <v>119</v>
      </c>
      <c r="C170" t="s">
        <v>135</v>
      </c>
      <c r="D170" s="1">
        <v>45985</v>
      </c>
      <c r="E170">
        <v>2</v>
      </c>
    </row>
    <row r="171" spans="1:5" x14ac:dyDescent="0.25">
      <c r="A171" t="s">
        <v>961</v>
      </c>
      <c r="B171" t="s">
        <v>527</v>
      </c>
      <c r="C171" t="s">
        <v>528</v>
      </c>
      <c r="D171" s="1">
        <v>45985</v>
      </c>
      <c r="E171">
        <v>4</v>
      </c>
    </row>
    <row r="172" spans="1:5" x14ac:dyDescent="0.25">
      <c r="A172" t="s">
        <v>961</v>
      </c>
      <c r="B172" t="s">
        <v>529</v>
      </c>
      <c r="C172" t="s">
        <v>530</v>
      </c>
      <c r="D172" s="1">
        <v>45985</v>
      </c>
      <c r="E172">
        <v>1</v>
      </c>
    </row>
    <row r="173" spans="1:5" x14ac:dyDescent="0.25">
      <c r="A173" t="s">
        <v>961</v>
      </c>
      <c r="B173" t="s">
        <v>177</v>
      </c>
      <c r="C173" t="s">
        <v>178</v>
      </c>
      <c r="D173" s="1">
        <v>45985</v>
      </c>
      <c r="E173">
        <v>16</v>
      </c>
    </row>
    <row r="174" spans="1:5" x14ac:dyDescent="0.25">
      <c r="A174" t="s">
        <v>961</v>
      </c>
      <c r="B174" t="s">
        <v>532</v>
      </c>
      <c r="C174" t="s">
        <v>533</v>
      </c>
      <c r="D174" s="1">
        <v>45985</v>
      </c>
      <c r="E174">
        <v>1</v>
      </c>
    </row>
    <row r="175" spans="1:5" x14ac:dyDescent="0.25">
      <c r="A175" t="s">
        <v>961</v>
      </c>
      <c r="B175" t="s">
        <v>534</v>
      </c>
      <c r="C175" t="s">
        <v>535</v>
      </c>
      <c r="D175" s="1">
        <v>45985</v>
      </c>
      <c r="E175">
        <v>1</v>
      </c>
    </row>
    <row r="176" spans="1:5" x14ac:dyDescent="0.25">
      <c r="A176" t="s">
        <v>961</v>
      </c>
      <c r="B176" t="s">
        <v>536</v>
      </c>
      <c r="C176" t="s">
        <v>537</v>
      </c>
      <c r="D176" s="1">
        <v>45985</v>
      </c>
      <c r="E176">
        <v>4</v>
      </c>
    </row>
    <row r="177" spans="1:5" x14ac:dyDescent="0.25">
      <c r="A177" t="s">
        <v>961</v>
      </c>
      <c r="B177" t="s">
        <v>539</v>
      </c>
      <c r="C177" t="s">
        <v>540</v>
      </c>
      <c r="D177" s="1">
        <v>45985</v>
      </c>
      <c r="E177">
        <v>2</v>
      </c>
    </row>
    <row r="178" spans="1:5" x14ac:dyDescent="0.25">
      <c r="A178" t="s">
        <v>961</v>
      </c>
      <c r="B178" t="s">
        <v>179</v>
      </c>
      <c r="C178" t="s">
        <v>180</v>
      </c>
      <c r="D178" s="1">
        <v>45985</v>
      </c>
      <c r="E178">
        <v>2</v>
      </c>
    </row>
    <row r="179" spans="1:5" x14ac:dyDescent="0.25">
      <c r="A179" t="s">
        <v>961</v>
      </c>
      <c r="B179" t="s">
        <v>120</v>
      </c>
      <c r="C179" t="s">
        <v>136</v>
      </c>
      <c r="D179" s="1">
        <v>45985</v>
      </c>
      <c r="E179">
        <v>2</v>
      </c>
    </row>
    <row r="180" spans="1:5" x14ac:dyDescent="0.25">
      <c r="A180" t="s">
        <v>961</v>
      </c>
      <c r="B180" t="s">
        <v>181</v>
      </c>
      <c r="C180" t="s">
        <v>182</v>
      </c>
      <c r="D180" s="1">
        <v>45985</v>
      </c>
      <c r="E180">
        <v>1</v>
      </c>
    </row>
    <row r="181" spans="1:5" x14ac:dyDescent="0.25">
      <c r="A181" t="s">
        <v>961</v>
      </c>
      <c r="B181" t="s">
        <v>183</v>
      </c>
      <c r="C181" t="s">
        <v>184</v>
      </c>
      <c r="D181" s="1">
        <v>45985</v>
      </c>
      <c r="E181">
        <v>1</v>
      </c>
    </row>
    <row r="182" spans="1:5" x14ac:dyDescent="0.25">
      <c r="A182" t="s">
        <v>961</v>
      </c>
      <c r="B182" t="s">
        <v>545</v>
      </c>
      <c r="C182" t="s">
        <v>546</v>
      </c>
      <c r="D182" s="1">
        <v>45985</v>
      </c>
      <c r="E182">
        <v>1</v>
      </c>
    </row>
    <row r="183" spans="1:5" x14ac:dyDescent="0.25">
      <c r="A183" t="s">
        <v>961</v>
      </c>
      <c r="B183" t="s">
        <v>549</v>
      </c>
      <c r="C183" t="s">
        <v>550</v>
      </c>
      <c r="D183" s="1">
        <v>45985</v>
      </c>
      <c r="E183">
        <v>1</v>
      </c>
    </row>
    <row r="184" spans="1:5" x14ac:dyDescent="0.25">
      <c r="A184" t="s">
        <v>961</v>
      </c>
      <c r="B184" t="s">
        <v>185</v>
      </c>
      <c r="C184" t="s">
        <v>186</v>
      </c>
      <c r="D184" s="1">
        <v>45985</v>
      </c>
      <c r="E184">
        <v>1</v>
      </c>
    </row>
    <row r="185" spans="1:5" x14ac:dyDescent="0.25">
      <c r="A185" t="s">
        <v>961</v>
      </c>
      <c r="B185" t="s">
        <v>187</v>
      </c>
      <c r="C185" t="s">
        <v>188</v>
      </c>
      <c r="D185" s="1">
        <v>45985</v>
      </c>
      <c r="E185">
        <v>4</v>
      </c>
    </row>
    <row r="186" spans="1:5" x14ac:dyDescent="0.25">
      <c r="A186" t="s">
        <v>961</v>
      </c>
      <c r="B186" t="s">
        <v>551</v>
      </c>
      <c r="C186" t="s">
        <v>552</v>
      </c>
      <c r="D186" s="1">
        <v>45985</v>
      </c>
      <c r="E186">
        <v>2</v>
      </c>
    </row>
    <row r="187" spans="1:5" x14ac:dyDescent="0.25">
      <c r="A187" t="s">
        <v>961</v>
      </c>
      <c r="B187" t="s">
        <v>553</v>
      </c>
      <c r="C187" t="s">
        <v>554</v>
      </c>
      <c r="D187" s="1">
        <v>45985</v>
      </c>
      <c r="E187">
        <v>5</v>
      </c>
    </row>
    <row r="188" spans="1:5" x14ac:dyDescent="0.25">
      <c r="A188" t="s">
        <v>961</v>
      </c>
      <c r="B188" t="s">
        <v>555</v>
      </c>
      <c r="C188" t="s">
        <v>556</v>
      </c>
      <c r="D188" s="1">
        <v>45985</v>
      </c>
      <c r="E188">
        <v>1</v>
      </c>
    </row>
    <row r="189" spans="1:5" x14ac:dyDescent="0.25">
      <c r="A189" t="s">
        <v>961</v>
      </c>
      <c r="B189" t="s">
        <v>557</v>
      </c>
      <c r="C189" t="s">
        <v>558</v>
      </c>
      <c r="D189" s="1">
        <v>45985</v>
      </c>
      <c r="E189">
        <v>1</v>
      </c>
    </row>
    <row r="190" spans="1:5" x14ac:dyDescent="0.25">
      <c r="A190" t="s">
        <v>961</v>
      </c>
      <c r="B190" t="s">
        <v>559</v>
      </c>
      <c r="C190" t="s">
        <v>560</v>
      </c>
      <c r="D190" s="1">
        <v>45985</v>
      </c>
      <c r="E190">
        <v>1</v>
      </c>
    </row>
    <row r="191" spans="1:5" x14ac:dyDescent="0.25">
      <c r="A191" t="s">
        <v>961</v>
      </c>
      <c r="B191" t="s">
        <v>189</v>
      </c>
      <c r="C191" t="s">
        <v>190</v>
      </c>
      <c r="D191" s="1">
        <v>45985</v>
      </c>
      <c r="E191">
        <v>1</v>
      </c>
    </row>
    <row r="192" spans="1:5" x14ac:dyDescent="0.25">
      <c r="A192" t="s">
        <v>961</v>
      </c>
      <c r="B192" t="s">
        <v>191</v>
      </c>
      <c r="C192" t="s">
        <v>192</v>
      </c>
      <c r="D192" s="1">
        <v>45985</v>
      </c>
      <c r="E192">
        <v>1</v>
      </c>
    </row>
    <row r="193" spans="1:5" x14ac:dyDescent="0.25">
      <c r="A193" t="s">
        <v>961</v>
      </c>
      <c r="B193" t="s">
        <v>561</v>
      </c>
      <c r="C193" t="s">
        <v>562</v>
      </c>
      <c r="D193" s="1">
        <v>45985</v>
      </c>
      <c r="E193">
        <v>4</v>
      </c>
    </row>
    <row r="194" spans="1:5" x14ac:dyDescent="0.25">
      <c r="A194" t="s">
        <v>961</v>
      </c>
      <c r="B194" t="s">
        <v>563</v>
      </c>
      <c r="C194" t="s">
        <v>564</v>
      </c>
      <c r="D194" s="1">
        <v>45985</v>
      </c>
      <c r="E194">
        <v>1</v>
      </c>
    </row>
    <row r="195" spans="1:5" x14ac:dyDescent="0.25">
      <c r="A195" t="s">
        <v>961</v>
      </c>
      <c r="B195" t="s">
        <v>197</v>
      </c>
      <c r="C195" t="s">
        <v>198</v>
      </c>
      <c r="D195" s="1">
        <v>45985</v>
      </c>
      <c r="E195">
        <v>1</v>
      </c>
    </row>
    <row r="196" spans="1:5" x14ac:dyDescent="0.25">
      <c r="A196" t="s">
        <v>961</v>
      </c>
      <c r="B196" t="s">
        <v>565</v>
      </c>
      <c r="C196" t="s">
        <v>566</v>
      </c>
      <c r="D196" s="1">
        <v>45985</v>
      </c>
      <c r="E196">
        <v>1</v>
      </c>
    </row>
    <row r="197" spans="1:5" x14ac:dyDescent="0.25">
      <c r="A197" t="s">
        <v>961</v>
      </c>
      <c r="B197" t="s">
        <v>567</v>
      </c>
      <c r="C197" t="s">
        <v>568</v>
      </c>
      <c r="D197" s="1">
        <v>45985</v>
      </c>
      <c r="E197">
        <v>1</v>
      </c>
    </row>
    <row r="198" spans="1:5" x14ac:dyDescent="0.25">
      <c r="A198" t="s">
        <v>961</v>
      </c>
      <c r="B198" t="s">
        <v>571</v>
      </c>
      <c r="C198" t="s">
        <v>572</v>
      </c>
      <c r="D198" s="1">
        <v>45985</v>
      </c>
      <c r="E198">
        <v>1</v>
      </c>
    </row>
    <row r="199" spans="1:5" x14ac:dyDescent="0.25">
      <c r="A199" t="s">
        <v>961</v>
      </c>
      <c r="B199" t="s">
        <v>199</v>
      </c>
      <c r="C199" t="s">
        <v>200</v>
      </c>
      <c r="D199" s="1">
        <v>45985</v>
      </c>
      <c r="E199">
        <v>1</v>
      </c>
    </row>
    <row r="200" spans="1:5" x14ac:dyDescent="0.25">
      <c r="A200" t="s">
        <v>961</v>
      </c>
      <c r="B200" t="s">
        <v>201</v>
      </c>
      <c r="C200" t="s">
        <v>202</v>
      </c>
      <c r="D200" s="1">
        <v>45985</v>
      </c>
      <c r="E200">
        <v>2</v>
      </c>
    </row>
    <row r="201" spans="1:5" x14ac:dyDescent="0.25">
      <c r="A201" t="s">
        <v>961</v>
      </c>
      <c r="B201" t="s">
        <v>203</v>
      </c>
      <c r="C201" t="s">
        <v>204</v>
      </c>
      <c r="D201" s="1">
        <v>45985</v>
      </c>
      <c r="E201">
        <v>4</v>
      </c>
    </row>
    <row r="202" spans="1:5" x14ac:dyDescent="0.25">
      <c r="A202" t="s">
        <v>961</v>
      </c>
      <c r="B202" t="s">
        <v>577</v>
      </c>
      <c r="C202" t="s">
        <v>578</v>
      </c>
      <c r="D202" s="1">
        <v>45985</v>
      </c>
      <c r="E202">
        <v>1</v>
      </c>
    </row>
    <row r="203" spans="1:5" x14ac:dyDescent="0.25">
      <c r="A203" t="s">
        <v>961</v>
      </c>
      <c r="B203" t="s">
        <v>581</v>
      </c>
      <c r="C203" t="s">
        <v>582</v>
      </c>
      <c r="D203" s="1">
        <v>45985</v>
      </c>
      <c r="E203">
        <v>1</v>
      </c>
    </row>
    <row r="204" spans="1:5" x14ac:dyDescent="0.25">
      <c r="A204" t="s">
        <v>961</v>
      </c>
      <c r="B204" t="s">
        <v>583</v>
      </c>
      <c r="C204" t="s">
        <v>584</v>
      </c>
      <c r="D204" s="1">
        <v>45985</v>
      </c>
      <c r="E204">
        <v>1</v>
      </c>
    </row>
    <row r="205" spans="1:5" x14ac:dyDescent="0.25">
      <c r="A205" t="s">
        <v>961</v>
      </c>
      <c r="B205" t="s">
        <v>27</v>
      </c>
      <c r="C205" t="s">
        <v>137</v>
      </c>
      <c r="D205" s="1">
        <v>45985</v>
      </c>
      <c r="E205">
        <v>2</v>
      </c>
    </row>
    <row r="206" spans="1:5" x14ac:dyDescent="0.25">
      <c r="A206" t="s">
        <v>961</v>
      </c>
      <c r="B206" t="s">
        <v>585</v>
      </c>
      <c r="C206" t="s">
        <v>586</v>
      </c>
      <c r="D206" s="1">
        <v>45985</v>
      </c>
      <c r="E206">
        <v>1</v>
      </c>
    </row>
    <row r="207" spans="1:5" x14ac:dyDescent="0.25">
      <c r="A207" t="s">
        <v>961</v>
      </c>
      <c r="B207" t="s">
        <v>587</v>
      </c>
      <c r="C207" t="s">
        <v>588</v>
      </c>
      <c r="D207" s="1">
        <v>45985</v>
      </c>
      <c r="E207">
        <v>2</v>
      </c>
    </row>
    <row r="208" spans="1:5" x14ac:dyDescent="0.25">
      <c r="A208" t="s">
        <v>961</v>
      </c>
      <c r="B208" t="s">
        <v>589</v>
      </c>
      <c r="C208" t="s">
        <v>590</v>
      </c>
      <c r="D208" s="1">
        <v>45985</v>
      </c>
      <c r="E208">
        <v>2</v>
      </c>
    </row>
    <row r="209" spans="1:5" x14ac:dyDescent="0.25">
      <c r="A209" t="s">
        <v>961</v>
      </c>
      <c r="B209" t="s">
        <v>591</v>
      </c>
      <c r="C209" t="s">
        <v>592</v>
      </c>
      <c r="D209" s="1">
        <v>45985</v>
      </c>
      <c r="E209">
        <v>1</v>
      </c>
    </row>
    <row r="210" spans="1:5" x14ac:dyDescent="0.25">
      <c r="A210" t="s">
        <v>961</v>
      </c>
      <c r="B210" t="s">
        <v>595</v>
      </c>
      <c r="C210" t="s">
        <v>596</v>
      </c>
      <c r="D210" s="1">
        <v>45985</v>
      </c>
      <c r="E210">
        <v>1</v>
      </c>
    </row>
    <row r="211" spans="1:5" x14ac:dyDescent="0.25">
      <c r="A211" t="s">
        <v>961</v>
      </c>
      <c r="B211" t="s">
        <v>597</v>
      </c>
      <c r="C211" t="s">
        <v>598</v>
      </c>
      <c r="D211" s="1">
        <v>45985</v>
      </c>
      <c r="E211">
        <v>2</v>
      </c>
    </row>
    <row r="212" spans="1:5" x14ac:dyDescent="0.25">
      <c r="A212" t="s">
        <v>961</v>
      </c>
      <c r="B212" t="s">
        <v>599</v>
      </c>
      <c r="C212" t="s">
        <v>600</v>
      </c>
      <c r="D212" s="1">
        <v>45985</v>
      </c>
      <c r="E212">
        <v>1</v>
      </c>
    </row>
    <row r="213" spans="1:5" x14ac:dyDescent="0.25">
      <c r="A213" t="s">
        <v>961</v>
      </c>
      <c r="B213" t="s">
        <v>206</v>
      </c>
      <c r="C213" t="s">
        <v>207</v>
      </c>
      <c r="D213" s="1">
        <v>45985</v>
      </c>
      <c r="E213">
        <v>2</v>
      </c>
    </row>
    <row r="214" spans="1:5" x14ac:dyDescent="0.25">
      <c r="A214" t="s">
        <v>961</v>
      </c>
      <c r="B214" t="s">
        <v>603</v>
      </c>
      <c r="C214" t="s">
        <v>604</v>
      </c>
      <c r="D214" s="1">
        <v>45985</v>
      </c>
      <c r="E214">
        <v>1</v>
      </c>
    </row>
    <row r="215" spans="1:5" x14ac:dyDescent="0.25">
      <c r="A215" t="s">
        <v>961</v>
      </c>
      <c r="B215" t="s">
        <v>606</v>
      </c>
      <c r="C215" t="s">
        <v>607</v>
      </c>
      <c r="D215" s="1">
        <v>45985</v>
      </c>
      <c r="E215">
        <v>1</v>
      </c>
    </row>
    <row r="216" spans="1:5" x14ac:dyDescent="0.25">
      <c r="A216" t="s">
        <v>961</v>
      </c>
      <c r="B216" t="s">
        <v>208</v>
      </c>
      <c r="C216" t="s">
        <v>209</v>
      </c>
      <c r="D216" s="1">
        <v>45985</v>
      </c>
      <c r="E216">
        <v>2</v>
      </c>
    </row>
    <row r="217" spans="1:5" x14ac:dyDescent="0.25">
      <c r="A217" t="s">
        <v>961</v>
      </c>
      <c r="B217" t="s">
        <v>210</v>
      </c>
      <c r="C217" t="s">
        <v>211</v>
      </c>
      <c r="D217" s="1">
        <v>45985</v>
      </c>
      <c r="E217">
        <v>1</v>
      </c>
    </row>
    <row r="218" spans="1:5" x14ac:dyDescent="0.25">
      <c r="A218" t="s">
        <v>961</v>
      </c>
      <c r="B218" t="s">
        <v>212</v>
      </c>
      <c r="C218" t="s">
        <v>213</v>
      </c>
      <c r="D218" s="1">
        <v>45985</v>
      </c>
      <c r="E218">
        <v>1</v>
      </c>
    </row>
    <row r="219" spans="1:5" x14ac:dyDescent="0.25">
      <c r="A219" t="s">
        <v>961</v>
      </c>
      <c r="B219" t="s">
        <v>610</v>
      </c>
      <c r="C219" t="s">
        <v>611</v>
      </c>
      <c r="D219" s="1">
        <v>45985</v>
      </c>
      <c r="E219">
        <v>1</v>
      </c>
    </row>
    <row r="220" spans="1:5" x14ac:dyDescent="0.25">
      <c r="A220" t="s">
        <v>961</v>
      </c>
      <c r="B220" t="s">
        <v>612</v>
      </c>
      <c r="C220" t="s">
        <v>613</v>
      </c>
      <c r="D220" s="1">
        <v>45985</v>
      </c>
      <c r="E220">
        <v>1</v>
      </c>
    </row>
    <row r="221" spans="1:5" x14ac:dyDescent="0.25">
      <c r="A221" t="s">
        <v>961</v>
      </c>
      <c r="B221" t="s">
        <v>216</v>
      </c>
      <c r="C221" t="s">
        <v>217</v>
      </c>
      <c r="D221" s="1">
        <v>45985</v>
      </c>
      <c r="E221">
        <v>1</v>
      </c>
    </row>
    <row r="222" spans="1:5" x14ac:dyDescent="0.25">
      <c r="A222" t="s">
        <v>961</v>
      </c>
      <c r="B222" t="s">
        <v>617</v>
      </c>
      <c r="C222" t="s">
        <v>618</v>
      </c>
      <c r="D222" s="1">
        <v>45985</v>
      </c>
      <c r="E222">
        <v>1</v>
      </c>
    </row>
    <row r="223" spans="1:5" x14ac:dyDescent="0.25">
      <c r="A223" t="s">
        <v>961</v>
      </c>
      <c r="B223" t="s">
        <v>619</v>
      </c>
      <c r="C223" t="s">
        <v>620</v>
      </c>
      <c r="D223" s="1">
        <v>45985</v>
      </c>
      <c r="E223">
        <v>1</v>
      </c>
    </row>
    <row r="224" spans="1:5" x14ac:dyDescent="0.25">
      <c r="A224" t="s">
        <v>961</v>
      </c>
      <c r="B224" t="s">
        <v>220</v>
      </c>
      <c r="C224" t="s">
        <v>221</v>
      </c>
      <c r="D224" s="1">
        <v>45985</v>
      </c>
      <c r="E224">
        <v>1</v>
      </c>
    </row>
    <row r="225" spans="1:5" x14ac:dyDescent="0.25">
      <c r="A225" t="s">
        <v>961</v>
      </c>
      <c r="B225" t="s">
        <v>222</v>
      </c>
      <c r="C225" t="s">
        <v>223</v>
      </c>
      <c r="D225" s="1">
        <v>45985</v>
      </c>
      <c r="E225">
        <v>2</v>
      </c>
    </row>
    <row r="226" spans="1:5" x14ac:dyDescent="0.25">
      <c r="A226" t="s">
        <v>961</v>
      </c>
      <c r="B226" t="s">
        <v>623</v>
      </c>
      <c r="C226" t="s">
        <v>624</v>
      </c>
      <c r="D226" s="1">
        <v>45985</v>
      </c>
      <c r="E226">
        <v>4</v>
      </c>
    </row>
    <row r="227" spans="1:5" x14ac:dyDescent="0.25">
      <c r="A227" t="s">
        <v>961</v>
      </c>
      <c r="B227" t="s">
        <v>625</v>
      </c>
      <c r="C227" t="s">
        <v>626</v>
      </c>
      <c r="D227" s="1">
        <v>45985</v>
      </c>
      <c r="E227">
        <v>4</v>
      </c>
    </row>
    <row r="228" spans="1:5" x14ac:dyDescent="0.25">
      <c r="A228" t="s">
        <v>961</v>
      </c>
      <c r="B228" t="s">
        <v>224</v>
      </c>
      <c r="C228" t="s">
        <v>225</v>
      </c>
      <c r="D228" s="1">
        <v>45985</v>
      </c>
      <c r="E228">
        <v>1</v>
      </c>
    </row>
    <row r="229" spans="1:5" x14ac:dyDescent="0.25">
      <c r="A229" t="s">
        <v>961</v>
      </c>
      <c r="B229" t="s">
        <v>627</v>
      </c>
      <c r="C229" t="s">
        <v>628</v>
      </c>
      <c r="D229" s="1">
        <v>45985</v>
      </c>
      <c r="E229">
        <v>2</v>
      </c>
    </row>
    <row r="230" spans="1:5" x14ac:dyDescent="0.25">
      <c r="A230" t="s">
        <v>961</v>
      </c>
      <c r="B230" t="s">
        <v>226</v>
      </c>
      <c r="C230" t="s">
        <v>227</v>
      </c>
      <c r="D230" s="1">
        <v>45985</v>
      </c>
      <c r="E230">
        <v>2</v>
      </c>
    </row>
    <row r="231" spans="1:5" x14ac:dyDescent="0.25">
      <c r="A231" t="s">
        <v>961</v>
      </c>
      <c r="B231" t="s">
        <v>228</v>
      </c>
      <c r="C231" t="s">
        <v>229</v>
      </c>
      <c r="D231" s="1">
        <v>45985</v>
      </c>
      <c r="E231">
        <v>1</v>
      </c>
    </row>
    <row r="232" spans="1:5" x14ac:dyDescent="0.25">
      <c r="A232" t="s">
        <v>961</v>
      </c>
      <c r="B232" t="s">
        <v>230</v>
      </c>
      <c r="C232" t="s">
        <v>231</v>
      </c>
      <c r="D232" s="1">
        <v>45985</v>
      </c>
      <c r="E232">
        <v>1</v>
      </c>
    </row>
    <row r="233" spans="1:5" x14ac:dyDescent="0.25">
      <c r="A233" t="s">
        <v>961</v>
      </c>
      <c r="B233" t="s">
        <v>629</v>
      </c>
      <c r="C233" t="s">
        <v>630</v>
      </c>
      <c r="D233" s="1">
        <v>45985</v>
      </c>
      <c r="E233">
        <v>1</v>
      </c>
    </row>
    <row r="234" spans="1:5" x14ac:dyDescent="0.25">
      <c r="A234" t="s">
        <v>961</v>
      </c>
      <c r="B234" t="s">
        <v>728</v>
      </c>
      <c r="C234" t="s">
        <v>729</v>
      </c>
      <c r="D234" s="1">
        <v>45985</v>
      </c>
      <c r="E234">
        <v>1</v>
      </c>
    </row>
    <row r="235" spans="1:5" x14ac:dyDescent="0.25">
      <c r="A235" t="s">
        <v>961</v>
      </c>
      <c r="B235" t="s">
        <v>631</v>
      </c>
      <c r="C235" t="s">
        <v>632</v>
      </c>
      <c r="D235" s="1">
        <v>45985</v>
      </c>
      <c r="E235">
        <v>1</v>
      </c>
    </row>
    <row r="236" spans="1:5" x14ac:dyDescent="0.25">
      <c r="A236" t="s">
        <v>961</v>
      </c>
      <c r="B236" t="s">
        <v>232</v>
      </c>
      <c r="C236" t="s">
        <v>233</v>
      </c>
      <c r="D236" s="1">
        <v>45985</v>
      </c>
      <c r="E236">
        <v>1</v>
      </c>
    </row>
    <row r="237" spans="1:5" x14ac:dyDescent="0.25">
      <c r="A237" t="s">
        <v>961</v>
      </c>
      <c r="B237" t="s">
        <v>633</v>
      </c>
      <c r="C237" t="s">
        <v>634</v>
      </c>
      <c r="D237" s="1">
        <v>45985</v>
      </c>
      <c r="E237">
        <v>1</v>
      </c>
    </row>
    <row r="238" spans="1:5" x14ac:dyDescent="0.25">
      <c r="A238" t="s">
        <v>961</v>
      </c>
      <c r="B238" t="s">
        <v>234</v>
      </c>
      <c r="C238" t="s">
        <v>235</v>
      </c>
      <c r="D238" s="1">
        <v>45985</v>
      </c>
      <c r="E238">
        <v>1</v>
      </c>
    </row>
    <row r="239" spans="1:5" x14ac:dyDescent="0.25">
      <c r="A239" t="s">
        <v>961</v>
      </c>
      <c r="B239" t="s">
        <v>635</v>
      </c>
      <c r="C239" t="s">
        <v>636</v>
      </c>
      <c r="D239" s="1">
        <v>45985</v>
      </c>
      <c r="E239">
        <v>1</v>
      </c>
    </row>
    <row r="240" spans="1:5" x14ac:dyDescent="0.25">
      <c r="A240" t="s">
        <v>961</v>
      </c>
      <c r="B240" t="s">
        <v>637</v>
      </c>
      <c r="C240" t="s">
        <v>638</v>
      </c>
      <c r="D240" s="1">
        <v>45985</v>
      </c>
      <c r="E240">
        <v>1</v>
      </c>
    </row>
    <row r="241" spans="1:5" x14ac:dyDescent="0.25">
      <c r="A241" t="s">
        <v>961</v>
      </c>
      <c r="B241" t="s">
        <v>237</v>
      </c>
      <c r="C241" t="s">
        <v>238</v>
      </c>
      <c r="D241" s="1">
        <v>45985</v>
      </c>
      <c r="E241">
        <v>1</v>
      </c>
    </row>
    <row r="242" spans="1:5" x14ac:dyDescent="0.25">
      <c r="A242" t="s">
        <v>961</v>
      </c>
      <c r="B242" t="s">
        <v>639</v>
      </c>
      <c r="C242" t="s">
        <v>640</v>
      </c>
      <c r="D242" s="1">
        <v>45985</v>
      </c>
      <c r="E242">
        <v>1</v>
      </c>
    </row>
    <row r="243" spans="1:5" x14ac:dyDescent="0.25">
      <c r="A243" t="s">
        <v>961</v>
      </c>
      <c r="B243" t="s">
        <v>641</v>
      </c>
      <c r="C243" t="s">
        <v>642</v>
      </c>
      <c r="D243" s="1">
        <v>45985</v>
      </c>
      <c r="E243">
        <v>1</v>
      </c>
    </row>
    <row r="244" spans="1:5" x14ac:dyDescent="0.25">
      <c r="A244" t="s">
        <v>961</v>
      </c>
      <c r="B244" t="s">
        <v>239</v>
      </c>
      <c r="C244" t="s">
        <v>240</v>
      </c>
      <c r="D244" s="1">
        <v>45985</v>
      </c>
      <c r="E244">
        <v>1</v>
      </c>
    </row>
    <row r="245" spans="1:5" x14ac:dyDescent="0.25">
      <c r="A245" t="s">
        <v>961</v>
      </c>
      <c r="B245" t="s">
        <v>241</v>
      </c>
      <c r="C245" t="s">
        <v>242</v>
      </c>
      <c r="D245" s="1">
        <v>45985</v>
      </c>
      <c r="E245">
        <v>2</v>
      </c>
    </row>
    <row r="246" spans="1:5" x14ac:dyDescent="0.25">
      <c r="A246" t="s">
        <v>961</v>
      </c>
      <c r="B246" t="s">
        <v>243</v>
      </c>
      <c r="C246" t="s">
        <v>244</v>
      </c>
      <c r="D246" s="1">
        <v>45985</v>
      </c>
      <c r="E246">
        <v>1</v>
      </c>
    </row>
    <row r="247" spans="1:5" x14ac:dyDescent="0.25">
      <c r="A247" t="s">
        <v>961</v>
      </c>
      <c r="B247" t="s">
        <v>730</v>
      </c>
      <c r="C247" t="s">
        <v>731</v>
      </c>
      <c r="D247" s="1">
        <v>45985</v>
      </c>
      <c r="E247">
        <v>1</v>
      </c>
    </row>
    <row r="248" spans="1:5" x14ac:dyDescent="0.25">
      <c r="A248" t="s">
        <v>961</v>
      </c>
      <c r="B248" t="s">
        <v>247</v>
      </c>
      <c r="C248" t="s">
        <v>248</v>
      </c>
      <c r="D248" s="1">
        <v>45985</v>
      </c>
      <c r="E248">
        <v>2</v>
      </c>
    </row>
    <row r="249" spans="1:5" x14ac:dyDescent="0.25">
      <c r="A249" t="s">
        <v>961</v>
      </c>
      <c r="B249" t="s">
        <v>249</v>
      </c>
      <c r="C249" t="s">
        <v>250</v>
      </c>
      <c r="D249" s="1">
        <v>45985</v>
      </c>
      <c r="E249">
        <v>2</v>
      </c>
    </row>
    <row r="250" spans="1:5" x14ac:dyDescent="0.25">
      <c r="A250" t="s">
        <v>961</v>
      </c>
      <c r="B250" t="s">
        <v>647</v>
      </c>
      <c r="C250" t="s">
        <v>648</v>
      </c>
      <c r="D250" s="1">
        <v>45985</v>
      </c>
      <c r="E250">
        <v>1</v>
      </c>
    </row>
    <row r="251" spans="1:5" x14ac:dyDescent="0.25">
      <c r="A251" t="s">
        <v>961</v>
      </c>
      <c r="B251" t="s">
        <v>251</v>
      </c>
      <c r="C251" t="s">
        <v>252</v>
      </c>
      <c r="D251" s="1">
        <v>45985</v>
      </c>
      <c r="E251">
        <v>1</v>
      </c>
    </row>
    <row r="252" spans="1:5" x14ac:dyDescent="0.25">
      <c r="A252" t="s">
        <v>961</v>
      </c>
      <c r="B252" t="s">
        <v>255</v>
      </c>
      <c r="C252" t="s">
        <v>256</v>
      </c>
      <c r="D252" s="1">
        <v>45985</v>
      </c>
      <c r="E252">
        <v>2</v>
      </c>
    </row>
    <row r="253" spans="1:5" x14ac:dyDescent="0.25">
      <c r="A253" t="s">
        <v>961</v>
      </c>
      <c r="B253" t="s">
        <v>732</v>
      </c>
      <c r="C253" t="s">
        <v>733</v>
      </c>
      <c r="D253" s="1">
        <v>45985</v>
      </c>
      <c r="E253">
        <v>7</v>
      </c>
    </row>
    <row r="254" spans="1:5" x14ac:dyDescent="0.25">
      <c r="A254" t="s">
        <v>961</v>
      </c>
      <c r="B254" t="s">
        <v>651</v>
      </c>
      <c r="C254" t="s">
        <v>652</v>
      </c>
      <c r="D254" s="1">
        <v>45985</v>
      </c>
      <c r="E254">
        <v>3</v>
      </c>
    </row>
    <row r="255" spans="1:5" x14ac:dyDescent="0.25">
      <c r="A255" t="s">
        <v>961</v>
      </c>
      <c r="B255" t="s">
        <v>653</v>
      </c>
      <c r="C255" t="s">
        <v>654</v>
      </c>
      <c r="D255" s="1">
        <v>45985</v>
      </c>
      <c r="E255">
        <v>1</v>
      </c>
    </row>
    <row r="256" spans="1:5" x14ac:dyDescent="0.25">
      <c r="A256" t="s">
        <v>961</v>
      </c>
      <c r="B256" t="s">
        <v>655</v>
      </c>
      <c r="C256" t="s">
        <v>656</v>
      </c>
      <c r="D256" s="1">
        <v>45985</v>
      </c>
      <c r="E256">
        <v>1</v>
      </c>
    </row>
    <row r="257" spans="1:5" x14ac:dyDescent="0.25">
      <c r="A257" t="s">
        <v>961</v>
      </c>
      <c r="B257" t="s">
        <v>657</v>
      </c>
      <c r="C257" t="s">
        <v>658</v>
      </c>
      <c r="D257" s="1">
        <v>45985</v>
      </c>
      <c r="E257">
        <v>2</v>
      </c>
    </row>
    <row r="258" spans="1:5" x14ac:dyDescent="0.25">
      <c r="A258" t="s">
        <v>961</v>
      </c>
      <c r="B258" t="s">
        <v>659</v>
      </c>
      <c r="C258" t="s">
        <v>660</v>
      </c>
      <c r="D258" s="1">
        <v>45985</v>
      </c>
      <c r="E258">
        <v>2</v>
      </c>
    </row>
    <row r="259" spans="1:5" x14ac:dyDescent="0.25">
      <c r="A259" t="s">
        <v>961</v>
      </c>
      <c r="B259" t="s">
        <v>661</v>
      </c>
      <c r="C259" t="s">
        <v>662</v>
      </c>
      <c r="D259" s="1">
        <v>45985</v>
      </c>
      <c r="E259">
        <v>5</v>
      </c>
    </row>
    <row r="260" spans="1:5" x14ac:dyDescent="0.25">
      <c r="A260" t="s">
        <v>961</v>
      </c>
      <c r="B260" t="s">
        <v>259</v>
      </c>
      <c r="C260" t="s">
        <v>260</v>
      </c>
      <c r="D260" s="1">
        <v>45985</v>
      </c>
      <c r="E260">
        <v>1</v>
      </c>
    </row>
    <row r="261" spans="1:5" x14ac:dyDescent="0.25">
      <c r="A261" t="s">
        <v>961</v>
      </c>
      <c r="B261" t="s">
        <v>663</v>
      </c>
      <c r="C261" t="s">
        <v>664</v>
      </c>
      <c r="D261" s="1">
        <v>45985</v>
      </c>
      <c r="E261">
        <v>2</v>
      </c>
    </row>
    <row r="262" spans="1:5" x14ac:dyDescent="0.25">
      <c r="A262" t="s">
        <v>961</v>
      </c>
      <c r="B262" t="s">
        <v>665</v>
      </c>
      <c r="C262" t="s">
        <v>666</v>
      </c>
      <c r="D262" s="1">
        <v>45985</v>
      </c>
      <c r="E262">
        <v>1</v>
      </c>
    </row>
    <row r="263" spans="1:5" x14ac:dyDescent="0.25">
      <c r="A263" t="s">
        <v>961</v>
      </c>
      <c r="B263" t="s">
        <v>667</v>
      </c>
      <c r="C263" t="s">
        <v>668</v>
      </c>
      <c r="D263" s="1">
        <v>45985</v>
      </c>
      <c r="E263">
        <v>1</v>
      </c>
    </row>
    <row r="264" spans="1:5" x14ac:dyDescent="0.25">
      <c r="A264" t="s">
        <v>961</v>
      </c>
      <c r="B264" t="s">
        <v>734</v>
      </c>
      <c r="C264" t="s">
        <v>735</v>
      </c>
      <c r="D264" s="1">
        <v>45985</v>
      </c>
      <c r="E264">
        <v>1</v>
      </c>
    </row>
    <row r="265" spans="1:5" x14ac:dyDescent="0.25">
      <c r="A265" t="s">
        <v>961</v>
      </c>
      <c r="B265" t="s">
        <v>669</v>
      </c>
      <c r="C265" t="s">
        <v>670</v>
      </c>
      <c r="D265" s="1">
        <v>45985</v>
      </c>
      <c r="E265">
        <v>2</v>
      </c>
    </row>
    <row r="266" spans="1:5" x14ac:dyDescent="0.25">
      <c r="A266" t="s">
        <v>961</v>
      </c>
      <c r="B266" t="s">
        <v>671</v>
      </c>
      <c r="C266" t="s">
        <v>672</v>
      </c>
      <c r="D266" s="1">
        <v>45985</v>
      </c>
      <c r="E266">
        <v>1</v>
      </c>
    </row>
    <row r="267" spans="1:5" x14ac:dyDescent="0.25">
      <c r="A267" t="s">
        <v>961</v>
      </c>
      <c r="B267" t="s">
        <v>673</v>
      </c>
      <c r="C267" t="s">
        <v>674</v>
      </c>
      <c r="D267" s="1">
        <v>45985</v>
      </c>
      <c r="E267">
        <v>1</v>
      </c>
    </row>
    <row r="268" spans="1:5" x14ac:dyDescent="0.25">
      <c r="A268" t="s">
        <v>961</v>
      </c>
      <c r="B268" t="s">
        <v>675</v>
      </c>
      <c r="C268" t="s">
        <v>676</v>
      </c>
      <c r="D268" s="1">
        <v>45985</v>
      </c>
      <c r="E268">
        <v>1</v>
      </c>
    </row>
    <row r="269" spans="1:5" x14ac:dyDescent="0.25">
      <c r="A269" t="s">
        <v>961</v>
      </c>
      <c r="B269" t="s">
        <v>677</v>
      </c>
      <c r="C269" t="s">
        <v>678</v>
      </c>
      <c r="D269" s="1">
        <v>45985</v>
      </c>
      <c r="E269">
        <v>1</v>
      </c>
    </row>
    <row r="270" spans="1:5" x14ac:dyDescent="0.25">
      <c r="A270" t="s">
        <v>961</v>
      </c>
      <c r="B270" t="s">
        <v>286</v>
      </c>
      <c r="C270" t="s">
        <v>287</v>
      </c>
      <c r="D270" s="1">
        <v>45985</v>
      </c>
      <c r="E270">
        <v>6</v>
      </c>
    </row>
    <row r="271" spans="1:5" x14ac:dyDescent="0.25">
      <c r="A271" t="s">
        <v>961</v>
      </c>
      <c r="B271" t="s">
        <v>736</v>
      </c>
      <c r="C271" t="s">
        <v>737</v>
      </c>
      <c r="D271" s="1">
        <v>45985</v>
      </c>
      <c r="E271">
        <v>1</v>
      </c>
    </row>
    <row r="272" spans="1:5" x14ac:dyDescent="0.25">
      <c r="A272" t="s">
        <v>961</v>
      </c>
      <c r="B272" t="s">
        <v>679</v>
      </c>
      <c r="C272" t="s">
        <v>680</v>
      </c>
      <c r="D272" s="1">
        <v>45985</v>
      </c>
      <c r="E272">
        <v>6</v>
      </c>
    </row>
    <row r="273" spans="1:5" x14ac:dyDescent="0.25">
      <c r="A273" t="s">
        <v>961</v>
      </c>
      <c r="B273" t="s">
        <v>681</v>
      </c>
      <c r="C273" t="s">
        <v>682</v>
      </c>
      <c r="D273" s="1">
        <v>45985</v>
      </c>
      <c r="E273">
        <v>2</v>
      </c>
    </row>
    <row r="274" spans="1:5" x14ac:dyDescent="0.25">
      <c r="A274" t="s">
        <v>961</v>
      </c>
      <c r="B274" t="s">
        <v>288</v>
      </c>
      <c r="C274" t="s">
        <v>289</v>
      </c>
      <c r="D274" s="1">
        <v>45985</v>
      </c>
      <c r="E274">
        <v>2</v>
      </c>
    </row>
    <row r="275" spans="1:5" x14ac:dyDescent="0.25">
      <c r="A275" t="s">
        <v>961</v>
      </c>
      <c r="B275" t="s">
        <v>290</v>
      </c>
      <c r="C275" t="s">
        <v>291</v>
      </c>
      <c r="D275" s="1">
        <v>45985</v>
      </c>
      <c r="E275">
        <v>1</v>
      </c>
    </row>
    <row r="276" spans="1:5" x14ac:dyDescent="0.25">
      <c r="A276" t="s">
        <v>961</v>
      </c>
      <c r="B276" t="s">
        <v>292</v>
      </c>
      <c r="C276" t="s">
        <v>293</v>
      </c>
      <c r="D276" s="1">
        <v>45985</v>
      </c>
      <c r="E276">
        <v>1</v>
      </c>
    </row>
    <row r="277" spans="1:5" x14ac:dyDescent="0.25">
      <c r="A277" t="s">
        <v>961</v>
      </c>
      <c r="B277" t="s">
        <v>683</v>
      </c>
      <c r="C277" t="s">
        <v>684</v>
      </c>
      <c r="D277" s="1">
        <v>45985</v>
      </c>
      <c r="E277">
        <v>3</v>
      </c>
    </row>
    <row r="278" spans="1:5" x14ac:dyDescent="0.25">
      <c r="A278" t="s">
        <v>961</v>
      </c>
      <c r="B278" t="s">
        <v>686</v>
      </c>
      <c r="C278" t="s">
        <v>687</v>
      </c>
      <c r="D278" s="1">
        <v>45985</v>
      </c>
      <c r="E278">
        <v>1</v>
      </c>
    </row>
    <row r="279" spans="1:5" x14ac:dyDescent="0.25">
      <c r="A279" t="s">
        <v>961</v>
      </c>
      <c r="B279" t="s">
        <v>294</v>
      </c>
      <c r="C279" t="s">
        <v>295</v>
      </c>
      <c r="D279" s="1">
        <v>45985</v>
      </c>
      <c r="E279">
        <v>2</v>
      </c>
    </row>
    <row r="280" spans="1:5" x14ac:dyDescent="0.25">
      <c r="A280" t="s">
        <v>961</v>
      </c>
      <c r="B280" t="s">
        <v>740</v>
      </c>
      <c r="C280" t="s">
        <v>741</v>
      </c>
      <c r="D280" s="1">
        <v>45985</v>
      </c>
      <c r="E280">
        <v>1</v>
      </c>
    </row>
    <row r="281" spans="1:5" x14ac:dyDescent="0.25">
      <c r="A281" t="s">
        <v>961</v>
      </c>
      <c r="B281" t="s">
        <v>742</v>
      </c>
      <c r="C281" t="s">
        <v>743</v>
      </c>
      <c r="D281" s="1">
        <v>45985</v>
      </c>
      <c r="E281">
        <v>1</v>
      </c>
    </row>
    <row r="282" spans="1:5" x14ac:dyDescent="0.25">
      <c r="A282" t="s">
        <v>961</v>
      </c>
      <c r="B282" t="s">
        <v>688</v>
      </c>
      <c r="C282" t="s">
        <v>689</v>
      </c>
      <c r="D282" s="1">
        <v>45985</v>
      </c>
      <c r="E282">
        <v>2</v>
      </c>
    </row>
    <row r="283" spans="1:5" x14ac:dyDescent="0.25">
      <c r="A283" t="s">
        <v>961</v>
      </c>
      <c r="B283" t="s">
        <v>296</v>
      </c>
      <c r="C283" t="s">
        <v>297</v>
      </c>
      <c r="D283" s="1">
        <v>45985</v>
      </c>
      <c r="E283">
        <v>2</v>
      </c>
    </row>
    <row r="284" spans="1:5" x14ac:dyDescent="0.25">
      <c r="A284" t="s">
        <v>961</v>
      </c>
      <c r="B284" t="s">
        <v>690</v>
      </c>
      <c r="C284" t="s">
        <v>691</v>
      </c>
      <c r="D284" s="1">
        <v>45985</v>
      </c>
      <c r="E284">
        <v>1</v>
      </c>
    </row>
    <row r="285" spans="1:5" x14ac:dyDescent="0.25">
      <c r="A285" t="s">
        <v>961</v>
      </c>
      <c r="B285" t="s">
        <v>516</v>
      </c>
      <c r="C285" t="s">
        <v>517</v>
      </c>
      <c r="D285" s="1">
        <v>45985</v>
      </c>
      <c r="E285">
        <v>10</v>
      </c>
    </row>
    <row r="286" spans="1:5" x14ac:dyDescent="0.25">
      <c r="A286" t="s">
        <v>962</v>
      </c>
      <c r="B286" t="s">
        <v>750</v>
      </c>
      <c r="C286" t="s">
        <v>751</v>
      </c>
      <c r="D286" s="1">
        <v>45946</v>
      </c>
      <c r="E286">
        <v>1</v>
      </c>
    </row>
    <row r="287" spans="1:5" x14ac:dyDescent="0.25">
      <c r="A287" t="s">
        <v>962</v>
      </c>
      <c r="B287" t="s">
        <v>752</v>
      </c>
      <c r="C287" t="s">
        <v>753</v>
      </c>
      <c r="D287" s="1">
        <v>45946</v>
      </c>
      <c r="E287">
        <v>1</v>
      </c>
    </row>
    <row r="288" spans="1:5" x14ac:dyDescent="0.25">
      <c r="A288" t="s">
        <v>962</v>
      </c>
      <c r="B288" t="s">
        <v>963</v>
      </c>
      <c r="C288" t="s">
        <v>964</v>
      </c>
      <c r="D288" s="1">
        <v>45946</v>
      </c>
      <c r="E288">
        <v>1</v>
      </c>
    </row>
    <row r="289" spans="1:5" x14ac:dyDescent="0.25">
      <c r="A289" t="s">
        <v>962</v>
      </c>
      <c r="B289" t="s">
        <v>966</v>
      </c>
      <c r="C289" t="s">
        <v>967</v>
      </c>
      <c r="D289" s="1">
        <v>45946</v>
      </c>
      <c r="E289">
        <v>1</v>
      </c>
    </row>
    <row r="290" spans="1:5" x14ac:dyDescent="0.25">
      <c r="A290" t="s">
        <v>962</v>
      </c>
      <c r="B290" t="s">
        <v>306</v>
      </c>
      <c r="C290" t="s">
        <v>307</v>
      </c>
      <c r="D290" s="1">
        <v>45946</v>
      </c>
      <c r="E290">
        <v>2</v>
      </c>
    </row>
    <row r="291" spans="1:5" x14ac:dyDescent="0.25">
      <c r="A291" t="s">
        <v>962</v>
      </c>
      <c r="B291" t="s">
        <v>754</v>
      </c>
      <c r="C291" t="s">
        <v>755</v>
      </c>
      <c r="D291" s="1">
        <v>45946</v>
      </c>
      <c r="E291">
        <v>2</v>
      </c>
    </row>
    <row r="292" spans="1:5" x14ac:dyDescent="0.25">
      <c r="A292" t="s">
        <v>962</v>
      </c>
      <c r="B292" t="s">
        <v>756</v>
      </c>
      <c r="C292" t="s">
        <v>757</v>
      </c>
      <c r="D292" s="1">
        <v>45946</v>
      </c>
      <c r="E292">
        <v>1</v>
      </c>
    </row>
    <row r="293" spans="1:5" x14ac:dyDescent="0.25">
      <c r="A293" t="s">
        <v>962</v>
      </c>
      <c r="B293" t="s">
        <v>44</v>
      </c>
      <c r="C293" t="s">
        <v>164</v>
      </c>
      <c r="D293" s="1">
        <v>45946</v>
      </c>
      <c r="E293">
        <v>1</v>
      </c>
    </row>
    <row r="294" spans="1:5" x14ac:dyDescent="0.25">
      <c r="A294" t="s">
        <v>962</v>
      </c>
      <c r="B294" t="s">
        <v>51</v>
      </c>
      <c r="C294" t="s">
        <v>52</v>
      </c>
      <c r="D294" s="1">
        <v>45946</v>
      </c>
      <c r="E294">
        <v>5</v>
      </c>
    </row>
    <row r="295" spans="1:5" x14ac:dyDescent="0.25">
      <c r="A295" t="s">
        <v>962</v>
      </c>
      <c r="B295" t="s">
        <v>903</v>
      </c>
      <c r="C295" t="s">
        <v>904</v>
      </c>
      <c r="D295" s="1">
        <v>45946</v>
      </c>
      <c r="E295">
        <v>1</v>
      </c>
    </row>
    <row r="296" spans="1:5" x14ac:dyDescent="0.25">
      <c r="A296" t="s">
        <v>962</v>
      </c>
      <c r="B296" t="s">
        <v>909</v>
      </c>
      <c r="C296" t="s">
        <v>910</v>
      </c>
      <c r="D296" s="1">
        <v>45946</v>
      </c>
      <c r="E296">
        <v>2</v>
      </c>
    </row>
    <row r="297" spans="1:5" x14ac:dyDescent="0.25">
      <c r="A297" t="s">
        <v>962</v>
      </c>
      <c r="B297" t="s">
        <v>758</v>
      </c>
      <c r="C297" t="s">
        <v>759</v>
      </c>
      <c r="D297" s="1">
        <v>45946</v>
      </c>
      <c r="E297">
        <v>12</v>
      </c>
    </row>
    <row r="298" spans="1:5" x14ac:dyDescent="0.25">
      <c r="A298" t="s">
        <v>962</v>
      </c>
      <c r="B298" t="s">
        <v>760</v>
      </c>
      <c r="C298" t="s">
        <v>761</v>
      </c>
      <c r="D298" s="1">
        <v>45946</v>
      </c>
      <c r="E298">
        <v>1</v>
      </c>
    </row>
    <row r="299" spans="1:5" x14ac:dyDescent="0.25">
      <c r="A299" t="s">
        <v>962</v>
      </c>
      <c r="B299" t="s">
        <v>67</v>
      </c>
      <c r="C299" t="s">
        <v>165</v>
      </c>
      <c r="D299" s="1">
        <v>45946</v>
      </c>
      <c r="E299">
        <v>1</v>
      </c>
    </row>
    <row r="300" spans="1:5" x14ac:dyDescent="0.25">
      <c r="A300" t="s">
        <v>962</v>
      </c>
      <c r="B300" t="s">
        <v>122</v>
      </c>
      <c r="C300" t="s">
        <v>143</v>
      </c>
      <c r="D300" s="1">
        <v>45946</v>
      </c>
      <c r="E300">
        <v>1</v>
      </c>
    </row>
    <row r="301" spans="1:5" x14ac:dyDescent="0.25">
      <c r="A301" t="s">
        <v>962</v>
      </c>
      <c r="B301" t="s">
        <v>762</v>
      </c>
      <c r="C301" t="s">
        <v>763</v>
      </c>
      <c r="D301" s="1">
        <v>45946</v>
      </c>
      <c r="E301">
        <v>1</v>
      </c>
    </row>
    <row r="302" spans="1:5" x14ac:dyDescent="0.25">
      <c r="A302" t="s">
        <v>962</v>
      </c>
      <c r="B302" t="s">
        <v>764</v>
      </c>
      <c r="C302" t="s">
        <v>765</v>
      </c>
      <c r="D302" s="1">
        <v>45946</v>
      </c>
      <c r="E302">
        <v>1</v>
      </c>
    </row>
    <row r="303" spans="1:5" x14ac:dyDescent="0.25">
      <c r="A303" t="s">
        <v>962</v>
      </c>
      <c r="B303" t="s">
        <v>766</v>
      </c>
      <c r="C303" t="s">
        <v>767</v>
      </c>
      <c r="D303" s="1">
        <v>45946</v>
      </c>
      <c r="E303">
        <v>2</v>
      </c>
    </row>
    <row r="304" spans="1:5" x14ac:dyDescent="0.25">
      <c r="A304" t="s">
        <v>962</v>
      </c>
      <c r="B304" t="s">
        <v>69</v>
      </c>
      <c r="C304" t="s">
        <v>144</v>
      </c>
      <c r="D304" s="1">
        <v>45946</v>
      </c>
      <c r="E304">
        <v>1</v>
      </c>
    </row>
    <row r="305" spans="1:5" x14ac:dyDescent="0.25">
      <c r="A305" t="s">
        <v>962</v>
      </c>
      <c r="B305" t="s">
        <v>914</v>
      </c>
      <c r="C305" t="s">
        <v>915</v>
      </c>
      <c r="D305" s="1">
        <v>45946</v>
      </c>
      <c r="E305">
        <v>5</v>
      </c>
    </row>
    <row r="306" spans="1:5" x14ac:dyDescent="0.25">
      <c r="A306" t="s">
        <v>962</v>
      </c>
      <c r="B306" t="s">
        <v>768</v>
      </c>
      <c r="C306" t="s">
        <v>769</v>
      </c>
      <c r="D306" s="1">
        <v>45946</v>
      </c>
      <c r="E306">
        <v>2</v>
      </c>
    </row>
    <row r="307" spans="1:5" x14ac:dyDescent="0.25">
      <c r="A307" t="s">
        <v>962</v>
      </c>
      <c r="B307" t="s">
        <v>72</v>
      </c>
      <c r="C307" t="s">
        <v>167</v>
      </c>
      <c r="D307" s="1">
        <v>45946</v>
      </c>
      <c r="E307">
        <v>1</v>
      </c>
    </row>
    <row r="308" spans="1:5" x14ac:dyDescent="0.25">
      <c r="A308" t="s">
        <v>962</v>
      </c>
      <c r="B308" t="s">
        <v>33</v>
      </c>
      <c r="C308" t="s">
        <v>466</v>
      </c>
      <c r="D308" s="1">
        <v>45946</v>
      </c>
      <c r="E308">
        <v>1</v>
      </c>
    </row>
    <row r="309" spans="1:5" x14ac:dyDescent="0.25">
      <c r="A309" t="s">
        <v>962</v>
      </c>
      <c r="B309" t="s">
        <v>770</v>
      </c>
      <c r="C309" t="s">
        <v>771</v>
      </c>
      <c r="D309" s="1">
        <v>45946</v>
      </c>
      <c r="E309">
        <v>2</v>
      </c>
    </row>
    <row r="310" spans="1:5" x14ac:dyDescent="0.25">
      <c r="A310" t="s">
        <v>962</v>
      </c>
      <c r="B310" t="s">
        <v>774</v>
      </c>
      <c r="C310" t="s">
        <v>775</v>
      </c>
      <c r="D310" s="1">
        <v>45946</v>
      </c>
      <c r="E310">
        <v>2</v>
      </c>
    </row>
    <row r="311" spans="1:5" x14ac:dyDescent="0.25">
      <c r="A311" t="s">
        <v>962</v>
      </c>
      <c r="B311" t="s">
        <v>776</v>
      </c>
      <c r="C311" t="s">
        <v>777</v>
      </c>
      <c r="D311" s="1">
        <v>45946</v>
      </c>
      <c r="E311">
        <v>1</v>
      </c>
    </row>
    <row r="312" spans="1:5" x14ac:dyDescent="0.25">
      <c r="A312" t="s">
        <v>962</v>
      </c>
      <c r="B312" t="s">
        <v>969</v>
      </c>
      <c r="C312" t="s">
        <v>970</v>
      </c>
      <c r="D312" s="1">
        <v>45946</v>
      </c>
      <c r="E312">
        <v>1</v>
      </c>
    </row>
    <row r="313" spans="1:5" x14ac:dyDescent="0.25">
      <c r="A313" t="s">
        <v>962</v>
      </c>
      <c r="B313" t="s">
        <v>74</v>
      </c>
      <c r="C313" t="s">
        <v>148</v>
      </c>
      <c r="D313" s="1">
        <v>45946</v>
      </c>
      <c r="E313">
        <v>1</v>
      </c>
    </row>
    <row r="314" spans="1:5" x14ac:dyDescent="0.25">
      <c r="A314" t="s">
        <v>962</v>
      </c>
      <c r="B314" t="s">
        <v>779</v>
      </c>
      <c r="C314" t="s">
        <v>780</v>
      </c>
      <c r="D314" s="1">
        <v>45946</v>
      </c>
      <c r="E314">
        <v>1</v>
      </c>
    </row>
    <row r="315" spans="1:5" x14ac:dyDescent="0.25">
      <c r="A315" t="s">
        <v>962</v>
      </c>
      <c r="B315" t="s">
        <v>781</v>
      </c>
      <c r="C315" t="s">
        <v>782</v>
      </c>
      <c r="D315" s="1">
        <v>45946</v>
      </c>
      <c r="E315">
        <v>1</v>
      </c>
    </row>
    <row r="316" spans="1:5" x14ac:dyDescent="0.25">
      <c r="A316" t="s">
        <v>962</v>
      </c>
      <c r="B316" t="s">
        <v>76</v>
      </c>
      <c r="C316" t="s">
        <v>169</v>
      </c>
      <c r="D316" s="1">
        <v>45946</v>
      </c>
      <c r="E316">
        <v>1</v>
      </c>
    </row>
    <row r="317" spans="1:5" x14ac:dyDescent="0.25">
      <c r="A317" t="s">
        <v>962</v>
      </c>
      <c r="B317" t="s">
        <v>783</v>
      </c>
      <c r="C317" t="s">
        <v>784</v>
      </c>
      <c r="D317" s="1">
        <v>45946</v>
      </c>
      <c r="E317">
        <v>1</v>
      </c>
    </row>
    <row r="318" spans="1:5" x14ac:dyDescent="0.25">
      <c r="A318" t="s">
        <v>962</v>
      </c>
      <c r="B318" t="s">
        <v>79</v>
      </c>
      <c r="C318" t="s">
        <v>80</v>
      </c>
      <c r="D318" s="1">
        <v>45946</v>
      </c>
      <c r="E318">
        <v>2</v>
      </c>
    </row>
    <row r="319" spans="1:5" x14ac:dyDescent="0.25">
      <c r="A319" t="s">
        <v>962</v>
      </c>
      <c r="B319" t="s">
        <v>81</v>
      </c>
      <c r="C319" t="s">
        <v>82</v>
      </c>
      <c r="D319" s="1">
        <v>45946</v>
      </c>
      <c r="E319">
        <v>2</v>
      </c>
    </row>
    <row r="320" spans="1:5" x14ac:dyDescent="0.25">
      <c r="A320" t="s">
        <v>962</v>
      </c>
      <c r="B320" t="s">
        <v>85</v>
      </c>
      <c r="C320" t="s">
        <v>86</v>
      </c>
      <c r="D320" s="1">
        <v>45946</v>
      </c>
      <c r="E320">
        <v>2</v>
      </c>
    </row>
    <row r="321" spans="1:5" x14ac:dyDescent="0.25">
      <c r="A321" t="s">
        <v>962</v>
      </c>
      <c r="B321" t="s">
        <v>971</v>
      </c>
      <c r="C321" t="s">
        <v>972</v>
      </c>
      <c r="D321" s="1">
        <v>45946</v>
      </c>
      <c r="E321">
        <v>1</v>
      </c>
    </row>
    <row r="322" spans="1:5" x14ac:dyDescent="0.25">
      <c r="A322" t="s">
        <v>962</v>
      </c>
      <c r="B322" t="s">
        <v>789</v>
      </c>
      <c r="C322" t="s">
        <v>790</v>
      </c>
      <c r="D322" s="1">
        <v>45946</v>
      </c>
      <c r="E322">
        <v>1</v>
      </c>
    </row>
    <row r="323" spans="1:5" x14ac:dyDescent="0.25">
      <c r="A323" t="s">
        <v>962</v>
      </c>
      <c r="B323" t="s">
        <v>89</v>
      </c>
      <c r="C323" t="s">
        <v>149</v>
      </c>
      <c r="D323" s="1">
        <v>45946</v>
      </c>
      <c r="E323">
        <v>1</v>
      </c>
    </row>
    <row r="324" spans="1:5" x14ac:dyDescent="0.25">
      <c r="A324" t="s">
        <v>962</v>
      </c>
      <c r="B324" t="s">
        <v>793</v>
      </c>
      <c r="C324" t="s">
        <v>794</v>
      </c>
      <c r="D324" s="1">
        <v>45946</v>
      </c>
      <c r="E324">
        <v>1</v>
      </c>
    </row>
    <row r="325" spans="1:5" x14ac:dyDescent="0.25">
      <c r="A325" t="s">
        <v>962</v>
      </c>
      <c r="B325" t="s">
        <v>133</v>
      </c>
      <c r="C325" t="s">
        <v>499</v>
      </c>
      <c r="D325" s="1">
        <v>45946</v>
      </c>
      <c r="E325">
        <v>1</v>
      </c>
    </row>
    <row r="326" spans="1:5" x14ac:dyDescent="0.25">
      <c r="A326" t="s">
        <v>962</v>
      </c>
      <c r="B326" t="s">
        <v>973</v>
      </c>
      <c r="C326" t="s">
        <v>974</v>
      </c>
      <c r="D326" s="1">
        <v>45946</v>
      </c>
      <c r="E326">
        <v>3</v>
      </c>
    </row>
    <row r="327" spans="1:5" x14ac:dyDescent="0.25">
      <c r="A327" t="s">
        <v>962</v>
      </c>
      <c r="B327" t="s">
        <v>795</v>
      </c>
      <c r="C327" t="s">
        <v>796</v>
      </c>
      <c r="D327" s="1">
        <v>45946</v>
      </c>
      <c r="E327">
        <v>1</v>
      </c>
    </row>
    <row r="328" spans="1:5" x14ac:dyDescent="0.25">
      <c r="A328" t="s">
        <v>962</v>
      </c>
      <c r="B328" t="s">
        <v>94</v>
      </c>
      <c r="C328" t="s">
        <v>95</v>
      </c>
      <c r="D328" s="1">
        <v>45946</v>
      </c>
      <c r="E328">
        <v>2</v>
      </c>
    </row>
    <row r="329" spans="1:5" x14ac:dyDescent="0.25">
      <c r="A329" t="s">
        <v>962</v>
      </c>
      <c r="B329" t="s">
        <v>797</v>
      </c>
      <c r="C329" t="s">
        <v>798</v>
      </c>
      <c r="D329" s="1">
        <v>45946</v>
      </c>
      <c r="E329">
        <v>1</v>
      </c>
    </row>
    <row r="330" spans="1:5" x14ac:dyDescent="0.25">
      <c r="A330" t="s">
        <v>962</v>
      </c>
      <c r="B330" t="s">
        <v>975</v>
      </c>
      <c r="C330" t="s">
        <v>976</v>
      </c>
      <c r="D330" s="1">
        <v>45946</v>
      </c>
      <c r="E330">
        <v>1</v>
      </c>
    </row>
    <row r="331" spans="1:5" x14ac:dyDescent="0.25">
      <c r="A331" t="s">
        <v>962</v>
      </c>
      <c r="B331" t="s">
        <v>800</v>
      </c>
      <c r="C331" t="s">
        <v>801</v>
      </c>
      <c r="D331" s="1">
        <v>45946</v>
      </c>
      <c r="E331">
        <v>1</v>
      </c>
    </row>
    <row r="332" spans="1:5" x14ac:dyDescent="0.25">
      <c r="A332" t="s">
        <v>962</v>
      </c>
      <c r="B332" t="s">
        <v>802</v>
      </c>
      <c r="C332" t="s">
        <v>803</v>
      </c>
      <c r="D332" s="1">
        <v>45946</v>
      </c>
      <c r="E332">
        <v>1</v>
      </c>
    </row>
    <row r="333" spans="1:5" x14ac:dyDescent="0.25">
      <c r="A333" t="s">
        <v>962</v>
      </c>
      <c r="B333" t="s">
        <v>804</v>
      </c>
      <c r="C333" t="s">
        <v>805</v>
      </c>
      <c r="D333" s="1">
        <v>45946</v>
      </c>
      <c r="E333">
        <v>1</v>
      </c>
    </row>
    <row r="334" spans="1:5" x14ac:dyDescent="0.25">
      <c r="A334" t="s">
        <v>962</v>
      </c>
      <c r="B334" t="s">
        <v>806</v>
      </c>
      <c r="C334" t="s">
        <v>807</v>
      </c>
      <c r="D334" s="1">
        <v>45946</v>
      </c>
      <c r="E334">
        <v>1</v>
      </c>
    </row>
    <row r="335" spans="1:5" x14ac:dyDescent="0.25">
      <c r="A335" t="s">
        <v>962</v>
      </c>
      <c r="B335" t="s">
        <v>808</v>
      </c>
      <c r="C335" t="s">
        <v>809</v>
      </c>
      <c r="D335" s="1">
        <v>45946</v>
      </c>
      <c r="E335">
        <v>1</v>
      </c>
    </row>
    <row r="336" spans="1:5" x14ac:dyDescent="0.25">
      <c r="A336" t="s">
        <v>962</v>
      </c>
      <c r="B336" t="s">
        <v>98</v>
      </c>
      <c r="C336" t="s">
        <v>170</v>
      </c>
      <c r="D336" s="1">
        <v>45946</v>
      </c>
      <c r="E336">
        <v>1</v>
      </c>
    </row>
    <row r="337" spans="1:5" x14ac:dyDescent="0.25">
      <c r="A337" t="s">
        <v>962</v>
      </c>
      <c r="B337" t="s">
        <v>99</v>
      </c>
      <c r="C337" t="s">
        <v>171</v>
      </c>
      <c r="D337" s="1">
        <v>45946</v>
      </c>
      <c r="E337">
        <v>1</v>
      </c>
    </row>
    <row r="338" spans="1:5" x14ac:dyDescent="0.25">
      <c r="A338" t="s">
        <v>962</v>
      </c>
      <c r="B338" t="s">
        <v>100</v>
      </c>
      <c r="C338" t="s">
        <v>172</v>
      </c>
      <c r="D338" s="1">
        <v>45946</v>
      </c>
      <c r="E338">
        <v>1</v>
      </c>
    </row>
    <row r="339" spans="1:5" x14ac:dyDescent="0.25">
      <c r="A339" t="s">
        <v>962</v>
      </c>
      <c r="B339" t="s">
        <v>818</v>
      </c>
      <c r="C339" t="s">
        <v>819</v>
      </c>
      <c r="D339" s="1">
        <v>45946</v>
      </c>
      <c r="E339">
        <v>4</v>
      </c>
    </row>
    <row r="340" spans="1:5" x14ac:dyDescent="0.25">
      <c r="A340" t="s">
        <v>962</v>
      </c>
      <c r="B340" t="s">
        <v>485</v>
      </c>
      <c r="C340" t="s">
        <v>486</v>
      </c>
      <c r="D340" s="1">
        <v>45946</v>
      </c>
      <c r="E340">
        <v>2</v>
      </c>
    </row>
    <row r="341" spans="1:5" x14ac:dyDescent="0.25">
      <c r="A341" t="s">
        <v>962</v>
      </c>
      <c r="B341" t="s">
        <v>952</v>
      </c>
      <c r="C341" t="s">
        <v>957</v>
      </c>
      <c r="D341" s="1">
        <v>45946</v>
      </c>
      <c r="E341">
        <v>3</v>
      </c>
    </row>
    <row r="342" spans="1:5" x14ac:dyDescent="0.25">
      <c r="A342" t="s">
        <v>962</v>
      </c>
      <c r="B342" t="s">
        <v>820</v>
      </c>
      <c r="C342" t="s">
        <v>821</v>
      </c>
      <c r="D342" s="1">
        <v>45946</v>
      </c>
      <c r="E342">
        <v>2</v>
      </c>
    </row>
    <row r="343" spans="1:5" x14ac:dyDescent="0.25">
      <c r="A343" t="s">
        <v>962</v>
      </c>
      <c r="B343" t="s">
        <v>822</v>
      </c>
      <c r="C343" t="s">
        <v>823</v>
      </c>
      <c r="D343" s="1">
        <v>45946</v>
      </c>
      <c r="E343">
        <v>88</v>
      </c>
    </row>
    <row r="344" spans="1:5" x14ac:dyDescent="0.25">
      <c r="A344" t="s">
        <v>962</v>
      </c>
      <c r="B344" t="s">
        <v>824</v>
      </c>
      <c r="C344" t="s">
        <v>825</v>
      </c>
      <c r="D344" s="1">
        <v>45946</v>
      </c>
      <c r="E344">
        <v>2</v>
      </c>
    </row>
    <row r="345" spans="1:5" x14ac:dyDescent="0.25">
      <c r="A345" t="s">
        <v>962</v>
      </c>
      <c r="B345" t="s">
        <v>126</v>
      </c>
      <c r="C345" t="s">
        <v>505</v>
      </c>
      <c r="D345" s="1">
        <v>45946</v>
      </c>
      <c r="E345">
        <v>2</v>
      </c>
    </row>
    <row r="346" spans="1:5" x14ac:dyDescent="0.25">
      <c r="A346" t="s">
        <v>962</v>
      </c>
      <c r="B346" t="s">
        <v>978</v>
      </c>
      <c r="C346" t="s">
        <v>979</v>
      </c>
      <c r="D346" s="1">
        <v>45946</v>
      </c>
      <c r="E346">
        <v>1</v>
      </c>
    </row>
    <row r="347" spans="1:5" x14ac:dyDescent="0.25">
      <c r="A347" t="s">
        <v>962</v>
      </c>
      <c r="B347" t="s">
        <v>832</v>
      </c>
      <c r="C347" t="s">
        <v>833</v>
      </c>
      <c r="D347" s="1">
        <v>45946</v>
      </c>
      <c r="E347">
        <v>1</v>
      </c>
    </row>
    <row r="348" spans="1:5" x14ac:dyDescent="0.25">
      <c r="A348" t="s">
        <v>962</v>
      </c>
      <c r="B348" t="s">
        <v>834</v>
      </c>
      <c r="C348" t="s">
        <v>835</v>
      </c>
      <c r="D348" s="1">
        <v>45946</v>
      </c>
      <c r="E348">
        <v>1</v>
      </c>
    </row>
    <row r="349" spans="1:5" x14ac:dyDescent="0.25">
      <c r="A349" t="s">
        <v>962</v>
      </c>
      <c r="B349" t="s">
        <v>836</v>
      </c>
      <c r="C349" t="s">
        <v>837</v>
      </c>
      <c r="D349" s="1">
        <v>45946</v>
      </c>
      <c r="E349">
        <v>1</v>
      </c>
    </row>
    <row r="350" spans="1:5" x14ac:dyDescent="0.25">
      <c r="A350" t="s">
        <v>962</v>
      </c>
      <c r="B350" t="s">
        <v>838</v>
      </c>
      <c r="C350" t="s">
        <v>839</v>
      </c>
      <c r="D350" s="1">
        <v>45946</v>
      </c>
      <c r="E350">
        <v>1</v>
      </c>
    </row>
    <row r="351" spans="1:5" x14ac:dyDescent="0.25">
      <c r="A351" t="s">
        <v>962</v>
      </c>
      <c r="B351" t="s">
        <v>840</v>
      </c>
      <c r="C351" t="s">
        <v>841</v>
      </c>
      <c r="D351" s="1">
        <v>45946</v>
      </c>
      <c r="E351">
        <v>1</v>
      </c>
    </row>
    <row r="352" spans="1:5" x14ac:dyDescent="0.25">
      <c r="A352" t="s">
        <v>962</v>
      </c>
      <c r="B352" t="s">
        <v>842</v>
      </c>
      <c r="C352" t="s">
        <v>843</v>
      </c>
      <c r="D352" s="1">
        <v>45946</v>
      </c>
      <c r="E352">
        <v>1</v>
      </c>
    </row>
    <row r="353" spans="1:5" x14ac:dyDescent="0.25">
      <c r="A353" t="s">
        <v>962</v>
      </c>
      <c r="B353" t="s">
        <v>980</v>
      </c>
      <c r="C353" t="s">
        <v>981</v>
      </c>
      <c r="D353" s="1">
        <v>45946</v>
      </c>
      <c r="E353">
        <v>8</v>
      </c>
    </row>
    <row r="354" spans="1:5" x14ac:dyDescent="0.25">
      <c r="A354" t="s">
        <v>962</v>
      </c>
      <c r="B354" t="s">
        <v>107</v>
      </c>
      <c r="C354" t="s">
        <v>160</v>
      </c>
      <c r="D354" s="1">
        <v>45946</v>
      </c>
      <c r="E354">
        <v>1</v>
      </c>
    </row>
    <row r="355" spans="1:5" x14ac:dyDescent="0.25">
      <c r="A355" t="s">
        <v>962</v>
      </c>
      <c r="B355" t="s">
        <v>108</v>
      </c>
      <c r="C355" t="s">
        <v>174</v>
      </c>
      <c r="D355" s="1">
        <v>45946</v>
      </c>
      <c r="E355">
        <v>1</v>
      </c>
    </row>
    <row r="356" spans="1:5" x14ac:dyDescent="0.25">
      <c r="A356" t="s">
        <v>962</v>
      </c>
      <c r="B356" t="s">
        <v>129</v>
      </c>
      <c r="C356" t="s">
        <v>154</v>
      </c>
      <c r="D356" s="1">
        <v>45946</v>
      </c>
      <c r="E356">
        <v>1</v>
      </c>
    </row>
    <row r="357" spans="1:5" x14ac:dyDescent="0.25">
      <c r="A357" t="s">
        <v>962</v>
      </c>
      <c r="B357" t="s">
        <v>109</v>
      </c>
      <c r="C357" t="s">
        <v>175</v>
      </c>
      <c r="D357" s="1">
        <v>45946</v>
      </c>
      <c r="E357">
        <v>1</v>
      </c>
    </row>
    <row r="358" spans="1:5" x14ac:dyDescent="0.25">
      <c r="A358" t="s">
        <v>962</v>
      </c>
      <c r="B358" t="s">
        <v>506</v>
      </c>
      <c r="C358" t="s">
        <v>507</v>
      </c>
      <c r="D358" s="1">
        <v>45946</v>
      </c>
      <c r="E358">
        <v>1</v>
      </c>
    </row>
    <row r="359" spans="1:5" x14ac:dyDescent="0.25">
      <c r="A359" t="s">
        <v>962</v>
      </c>
      <c r="B359" t="s">
        <v>510</v>
      </c>
      <c r="C359" t="s">
        <v>511</v>
      </c>
      <c r="D359" s="1">
        <v>45946</v>
      </c>
      <c r="E359">
        <v>1</v>
      </c>
    </row>
    <row r="360" spans="1:5" x14ac:dyDescent="0.25">
      <c r="A360" t="s">
        <v>962</v>
      </c>
      <c r="B360" t="s">
        <v>512</v>
      </c>
      <c r="C360" t="s">
        <v>513</v>
      </c>
      <c r="D360" s="1">
        <v>45946</v>
      </c>
      <c r="E360">
        <v>2</v>
      </c>
    </row>
    <row r="361" spans="1:5" x14ac:dyDescent="0.25">
      <c r="A361" t="s">
        <v>962</v>
      </c>
      <c r="B361" t="s">
        <v>844</v>
      </c>
      <c r="C361" t="s">
        <v>845</v>
      </c>
      <c r="D361" s="1">
        <v>45946</v>
      </c>
      <c r="E361">
        <v>4</v>
      </c>
    </row>
    <row r="362" spans="1:5" x14ac:dyDescent="0.25">
      <c r="A362" t="s">
        <v>962</v>
      </c>
      <c r="B362" t="s">
        <v>850</v>
      </c>
      <c r="C362" t="s">
        <v>851</v>
      </c>
      <c r="D362" s="1">
        <v>45946</v>
      </c>
      <c r="E362">
        <v>10</v>
      </c>
    </row>
    <row r="363" spans="1:5" x14ac:dyDescent="0.25">
      <c r="A363" t="s">
        <v>982</v>
      </c>
      <c r="B363" t="s">
        <v>104</v>
      </c>
      <c r="C363" t="s">
        <v>105</v>
      </c>
      <c r="D363" s="1">
        <v>45992</v>
      </c>
      <c r="E363">
        <v>16</v>
      </c>
    </row>
    <row r="364" spans="1:5" x14ac:dyDescent="0.25">
      <c r="A364" t="s">
        <v>982</v>
      </c>
      <c r="B364" t="s">
        <v>106</v>
      </c>
      <c r="C364" t="s">
        <v>504</v>
      </c>
      <c r="D364" s="1">
        <v>45992</v>
      </c>
      <c r="E364">
        <v>20</v>
      </c>
    </row>
    <row r="365" spans="1:5" x14ac:dyDescent="0.25">
      <c r="A365" t="s">
        <v>983</v>
      </c>
      <c r="B365" t="s">
        <v>718</v>
      </c>
      <c r="C365" t="s">
        <v>722</v>
      </c>
      <c r="D365" s="1">
        <v>45950</v>
      </c>
      <c r="E365">
        <v>61</v>
      </c>
    </row>
    <row r="366" spans="1:5" x14ac:dyDescent="0.25">
      <c r="A366" t="s">
        <v>983</v>
      </c>
      <c r="B366" t="s">
        <v>316</v>
      </c>
      <c r="C366" t="s">
        <v>317</v>
      </c>
      <c r="D366" s="1">
        <v>45950</v>
      </c>
      <c r="E366">
        <v>2</v>
      </c>
    </row>
    <row r="367" spans="1:5" x14ac:dyDescent="0.25">
      <c r="A367" t="s">
        <v>983</v>
      </c>
      <c r="B367" t="s">
        <v>300</v>
      </c>
      <c r="C367" t="s">
        <v>301</v>
      </c>
      <c r="D367" s="1">
        <v>45950</v>
      </c>
      <c r="E367">
        <v>1</v>
      </c>
    </row>
    <row r="368" spans="1:5" x14ac:dyDescent="0.25">
      <c r="A368" t="s">
        <v>984</v>
      </c>
      <c r="B368" t="s">
        <v>973</v>
      </c>
      <c r="C368" t="s">
        <v>974</v>
      </c>
      <c r="D368" s="1">
        <v>45992</v>
      </c>
      <c r="E368">
        <v>2</v>
      </c>
    </row>
    <row r="369" spans="1:5" x14ac:dyDescent="0.25">
      <c r="A369" t="s">
        <v>984</v>
      </c>
      <c r="B369" t="s">
        <v>795</v>
      </c>
      <c r="C369" t="s">
        <v>796</v>
      </c>
      <c r="D369" s="1">
        <v>45992</v>
      </c>
      <c r="E369">
        <v>2</v>
      </c>
    </row>
    <row r="370" spans="1:5" x14ac:dyDescent="0.25">
      <c r="A370" t="s">
        <v>984</v>
      </c>
      <c r="B370" t="s">
        <v>985</v>
      </c>
      <c r="C370" t="s">
        <v>986</v>
      </c>
      <c r="D370" s="1">
        <v>45992</v>
      </c>
      <c r="E370">
        <v>4</v>
      </c>
    </row>
    <row r="371" spans="1:5" x14ac:dyDescent="0.25">
      <c r="A371" t="s">
        <v>984</v>
      </c>
      <c r="B371" t="s">
        <v>987</v>
      </c>
      <c r="C371" t="s">
        <v>988</v>
      </c>
      <c r="D371" s="1">
        <v>45992</v>
      </c>
      <c r="E371">
        <v>2</v>
      </c>
    </row>
    <row r="372" spans="1:5" x14ac:dyDescent="0.25">
      <c r="A372" t="s">
        <v>984</v>
      </c>
      <c r="B372" t="s">
        <v>989</v>
      </c>
      <c r="C372" t="s">
        <v>990</v>
      </c>
      <c r="D372" s="1">
        <v>45992</v>
      </c>
      <c r="E372">
        <v>4</v>
      </c>
    </row>
    <row r="373" spans="1:5" x14ac:dyDescent="0.25">
      <c r="A373" t="s">
        <v>984</v>
      </c>
      <c r="B373" t="s">
        <v>991</v>
      </c>
      <c r="C373" t="s">
        <v>992</v>
      </c>
      <c r="D373" s="1">
        <v>45992</v>
      </c>
      <c r="E373">
        <v>4</v>
      </c>
    </row>
    <row r="374" spans="1:5" x14ac:dyDescent="0.25">
      <c r="A374" t="s">
        <v>984</v>
      </c>
      <c r="B374" t="s">
        <v>993</v>
      </c>
      <c r="C374" t="s">
        <v>994</v>
      </c>
      <c r="D374" s="1">
        <v>45992</v>
      </c>
      <c r="E374">
        <v>2</v>
      </c>
    </row>
    <row r="375" spans="1:5" x14ac:dyDescent="0.25">
      <c r="A375" t="s">
        <v>984</v>
      </c>
      <c r="B375" t="s">
        <v>995</v>
      </c>
      <c r="C375" t="s">
        <v>996</v>
      </c>
      <c r="D375" s="1">
        <v>45992</v>
      </c>
      <c r="E375">
        <v>2</v>
      </c>
    </row>
    <row r="376" spans="1:5" x14ac:dyDescent="0.25">
      <c r="A376" t="s">
        <v>984</v>
      </c>
      <c r="B376" t="s">
        <v>997</v>
      </c>
      <c r="C376" t="s">
        <v>998</v>
      </c>
      <c r="D376" s="1">
        <v>45992</v>
      </c>
      <c r="E376">
        <v>2</v>
      </c>
    </row>
    <row r="377" spans="1:5" x14ac:dyDescent="0.25">
      <c r="A377" t="s">
        <v>984</v>
      </c>
      <c r="B377" t="s">
        <v>999</v>
      </c>
      <c r="C377" t="s">
        <v>1000</v>
      </c>
      <c r="D377" s="1">
        <v>45992</v>
      </c>
      <c r="E377">
        <v>4</v>
      </c>
    </row>
    <row r="378" spans="1:5" x14ac:dyDescent="0.25">
      <c r="A378" t="s">
        <v>984</v>
      </c>
      <c r="B378" t="s">
        <v>1001</v>
      </c>
      <c r="C378" t="s">
        <v>1002</v>
      </c>
      <c r="D378" s="1">
        <v>45992</v>
      </c>
      <c r="E378">
        <v>2</v>
      </c>
    </row>
    <row r="379" spans="1:5" x14ac:dyDescent="0.25">
      <c r="A379" t="s">
        <v>984</v>
      </c>
      <c r="B379" t="s">
        <v>1003</v>
      </c>
      <c r="C379" t="s">
        <v>1004</v>
      </c>
      <c r="D379" s="1">
        <v>45992</v>
      </c>
      <c r="E379">
        <v>2</v>
      </c>
    </row>
    <row r="380" spans="1:5" x14ac:dyDescent="0.25">
      <c r="A380" t="s">
        <v>984</v>
      </c>
      <c r="B380" t="s">
        <v>1005</v>
      </c>
      <c r="C380" t="s">
        <v>1006</v>
      </c>
      <c r="D380" s="1">
        <v>45992</v>
      </c>
      <c r="E380">
        <v>2</v>
      </c>
    </row>
    <row r="381" spans="1:5" x14ac:dyDescent="0.25">
      <c r="A381" t="s">
        <v>984</v>
      </c>
      <c r="B381" t="s">
        <v>1007</v>
      </c>
      <c r="C381" t="s">
        <v>1008</v>
      </c>
      <c r="D381" s="1">
        <v>45992</v>
      </c>
      <c r="E381">
        <v>4</v>
      </c>
    </row>
    <row r="382" spans="1:5" x14ac:dyDescent="0.25">
      <c r="A382" t="s">
        <v>984</v>
      </c>
      <c r="B382" t="s">
        <v>1009</v>
      </c>
      <c r="C382" t="s">
        <v>1010</v>
      </c>
      <c r="D382" s="1">
        <v>45992</v>
      </c>
      <c r="E382">
        <v>2</v>
      </c>
    </row>
    <row r="383" spans="1:5" x14ac:dyDescent="0.25">
      <c r="A383" t="s">
        <v>984</v>
      </c>
      <c r="B383" t="s">
        <v>1011</v>
      </c>
      <c r="C383" t="s">
        <v>1012</v>
      </c>
      <c r="D383" s="1">
        <v>45992</v>
      </c>
      <c r="E383">
        <v>2</v>
      </c>
    </row>
    <row r="384" spans="1:5" x14ac:dyDescent="0.25">
      <c r="A384" t="s">
        <v>984</v>
      </c>
      <c r="B384" t="s">
        <v>1013</v>
      </c>
      <c r="C384" t="s">
        <v>1014</v>
      </c>
      <c r="D384" s="1">
        <v>45992</v>
      </c>
      <c r="E384">
        <v>8</v>
      </c>
    </row>
    <row r="385" spans="1:5" x14ac:dyDescent="0.25">
      <c r="A385" t="s">
        <v>984</v>
      </c>
      <c r="B385" t="s">
        <v>1015</v>
      </c>
      <c r="C385" t="s">
        <v>1016</v>
      </c>
      <c r="D385" s="1">
        <v>45992</v>
      </c>
      <c r="E385">
        <v>2</v>
      </c>
    </row>
    <row r="386" spans="1:5" x14ac:dyDescent="0.25">
      <c r="A386" t="s">
        <v>984</v>
      </c>
      <c r="B386" t="s">
        <v>1017</v>
      </c>
      <c r="C386" t="s">
        <v>1018</v>
      </c>
      <c r="D386" s="1">
        <v>45992</v>
      </c>
      <c r="E386">
        <v>2</v>
      </c>
    </row>
    <row r="387" spans="1:5" x14ac:dyDescent="0.25">
      <c r="A387" t="s">
        <v>984</v>
      </c>
      <c r="B387" t="s">
        <v>1019</v>
      </c>
      <c r="C387" t="s">
        <v>1020</v>
      </c>
      <c r="D387" s="1">
        <v>45992</v>
      </c>
      <c r="E387">
        <v>2</v>
      </c>
    </row>
    <row r="388" spans="1:5" x14ac:dyDescent="0.25">
      <c r="A388" t="s">
        <v>984</v>
      </c>
      <c r="B388" t="s">
        <v>1021</v>
      </c>
      <c r="C388" t="s">
        <v>1022</v>
      </c>
      <c r="D388" s="1">
        <v>45992</v>
      </c>
      <c r="E388">
        <v>2</v>
      </c>
    </row>
    <row r="389" spans="1:5" x14ac:dyDescent="0.25">
      <c r="A389" t="s">
        <v>984</v>
      </c>
      <c r="B389" t="s">
        <v>1023</v>
      </c>
      <c r="C389" t="s">
        <v>1024</v>
      </c>
      <c r="D389" s="1">
        <v>45992</v>
      </c>
      <c r="E389">
        <v>2</v>
      </c>
    </row>
    <row r="390" spans="1:5" x14ac:dyDescent="0.25">
      <c r="A390" t="s">
        <v>984</v>
      </c>
      <c r="B390" t="s">
        <v>1025</v>
      </c>
      <c r="C390" t="s">
        <v>1026</v>
      </c>
      <c r="D390" s="1">
        <v>45992</v>
      </c>
      <c r="E390">
        <v>8</v>
      </c>
    </row>
    <row r="391" spans="1:5" x14ac:dyDescent="0.25">
      <c r="A391" t="s">
        <v>984</v>
      </c>
      <c r="B391" t="s">
        <v>1027</v>
      </c>
      <c r="C391" t="s">
        <v>1028</v>
      </c>
      <c r="D391" s="1">
        <v>45992</v>
      </c>
      <c r="E391">
        <v>8</v>
      </c>
    </row>
    <row r="392" spans="1:5" x14ac:dyDescent="0.25">
      <c r="A392" t="s">
        <v>984</v>
      </c>
      <c r="B392" t="s">
        <v>1029</v>
      </c>
      <c r="C392" t="s">
        <v>1030</v>
      </c>
      <c r="D392" s="1">
        <v>45992</v>
      </c>
      <c r="E392">
        <v>2</v>
      </c>
    </row>
    <row r="393" spans="1:5" x14ac:dyDescent="0.25">
      <c r="A393" t="s">
        <v>984</v>
      </c>
      <c r="B393" t="s">
        <v>1031</v>
      </c>
      <c r="C393" t="s">
        <v>1032</v>
      </c>
      <c r="D393" s="1">
        <v>45992</v>
      </c>
      <c r="E393">
        <v>4</v>
      </c>
    </row>
    <row r="394" spans="1:5" x14ac:dyDescent="0.25">
      <c r="A394" t="s">
        <v>984</v>
      </c>
      <c r="B394" t="s">
        <v>1033</v>
      </c>
      <c r="C394" t="s">
        <v>1034</v>
      </c>
      <c r="D394" s="1">
        <v>45992</v>
      </c>
      <c r="E394">
        <v>2</v>
      </c>
    </row>
    <row r="395" spans="1:5" x14ac:dyDescent="0.25">
      <c r="A395" t="s">
        <v>984</v>
      </c>
      <c r="B395" t="s">
        <v>1035</v>
      </c>
      <c r="C395" t="s">
        <v>1036</v>
      </c>
      <c r="D395" s="1">
        <v>45992</v>
      </c>
      <c r="E395">
        <v>2</v>
      </c>
    </row>
    <row r="396" spans="1:5" x14ac:dyDescent="0.25">
      <c r="A396" t="s">
        <v>984</v>
      </c>
      <c r="B396" t="s">
        <v>1037</v>
      </c>
      <c r="C396" t="s">
        <v>1038</v>
      </c>
      <c r="D396" s="1">
        <v>45992</v>
      </c>
      <c r="E396">
        <v>2</v>
      </c>
    </row>
    <row r="397" spans="1:5" x14ac:dyDescent="0.25">
      <c r="A397" t="s">
        <v>984</v>
      </c>
      <c r="B397" t="s">
        <v>1039</v>
      </c>
      <c r="C397" t="s">
        <v>1040</v>
      </c>
      <c r="D397" s="1">
        <v>45992</v>
      </c>
      <c r="E397">
        <v>2</v>
      </c>
    </row>
    <row r="398" spans="1:5" x14ac:dyDescent="0.25">
      <c r="A398" t="s">
        <v>984</v>
      </c>
      <c r="B398" t="s">
        <v>1041</v>
      </c>
      <c r="C398" t="s">
        <v>1042</v>
      </c>
      <c r="D398" s="1">
        <v>45992</v>
      </c>
      <c r="E398">
        <v>2</v>
      </c>
    </row>
    <row r="399" spans="1:5" x14ac:dyDescent="0.25">
      <c r="A399" t="s">
        <v>984</v>
      </c>
      <c r="B399" t="s">
        <v>1043</v>
      </c>
      <c r="C399" t="s">
        <v>1044</v>
      </c>
      <c r="D399" s="1">
        <v>45992</v>
      </c>
      <c r="E399">
        <v>2</v>
      </c>
    </row>
    <row r="400" spans="1:5" x14ac:dyDescent="0.25">
      <c r="A400" t="s">
        <v>984</v>
      </c>
      <c r="B400" t="s">
        <v>1045</v>
      </c>
      <c r="C400" t="s">
        <v>1046</v>
      </c>
      <c r="D400" s="1">
        <v>45992</v>
      </c>
      <c r="E400">
        <v>2</v>
      </c>
    </row>
    <row r="401" spans="1:5" x14ac:dyDescent="0.25">
      <c r="A401" t="s">
        <v>984</v>
      </c>
      <c r="B401" t="s">
        <v>1047</v>
      </c>
      <c r="C401" t="s">
        <v>1048</v>
      </c>
      <c r="D401" s="1">
        <v>45992</v>
      </c>
      <c r="E401">
        <v>2</v>
      </c>
    </row>
    <row r="402" spans="1:5" x14ac:dyDescent="0.25">
      <c r="A402" t="s">
        <v>984</v>
      </c>
      <c r="B402" t="s">
        <v>1049</v>
      </c>
      <c r="C402" t="s">
        <v>1050</v>
      </c>
      <c r="D402" s="1">
        <v>45992</v>
      </c>
      <c r="E402">
        <v>2</v>
      </c>
    </row>
    <row r="403" spans="1:5" x14ac:dyDescent="0.25">
      <c r="A403" t="s">
        <v>984</v>
      </c>
      <c r="B403" t="s">
        <v>1051</v>
      </c>
      <c r="C403" t="s">
        <v>1052</v>
      </c>
      <c r="D403" s="1">
        <v>45992</v>
      </c>
      <c r="E403">
        <v>2</v>
      </c>
    </row>
    <row r="404" spans="1:5" x14ac:dyDescent="0.25">
      <c r="A404" t="s">
        <v>984</v>
      </c>
      <c r="B404" t="s">
        <v>1053</v>
      </c>
      <c r="C404" t="s">
        <v>1054</v>
      </c>
      <c r="D404" s="1">
        <v>45992</v>
      </c>
      <c r="E404">
        <v>4</v>
      </c>
    </row>
    <row r="405" spans="1:5" x14ac:dyDescent="0.25">
      <c r="A405" t="s">
        <v>984</v>
      </c>
      <c r="B405" t="s">
        <v>1055</v>
      </c>
      <c r="C405" t="s">
        <v>1056</v>
      </c>
      <c r="D405" s="1">
        <v>45992</v>
      </c>
      <c r="E405">
        <v>2</v>
      </c>
    </row>
    <row r="406" spans="1:5" x14ac:dyDescent="0.25">
      <c r="A406" t="s">
        <v>984</v>
      </c>
      <c r="B406" t="s">
        <v>1057</v>
      </c>
      <c r="C406" t="s">
        <v>1058</v>
      </c>
      <c r="D406" s="1">
        <v>45992</v>
      </c>
      <c r="E406">
        <v>2</v>
      </c>
    </row>
    <row r="407" spans="1:5" x14ac:dyDescent="0.25">
      <c r="A407" t="s">
        <v>984</v>
      </c>
      <c r="B407" t="s">
        <v>1059</v>
      </c>
      <c r="C407" t="s">
        <v>1060</v>
      </c>
      <c r="D407" s="1">
        <v>45992</v>
      </c>
      <c r="E407">
        <v>2</v>
      </c>
    </row>
    <row r="408" spans="1:5" x14ac:dyDescent="0.25">
      <c r="A408" t="s">
        <v>984</v>
      </c>
      <c r="B408" t="s">
        <v>1061</v>
      </c>
      <c r="C408" t="s">
        <v>1062</v>
      </c>
      <c r="D408" s="1">
        <v>45992</v>
      </c>
      <c r="E408">
        <v>2</v>
      </c>
    </row>
    <row r="409" spans="1:5" x14ac:dyDescent="0.25">
      <c r="A409" t="s">
        <v>984</v>
      </c>
      <c r="B409" t="s">
        <v>1063</v>
      </c>
      <c r="C409" t="s">
        <v>1064</v>
      </c>
      <c r="D409" s="1">
        <v>45992</v>
      </c>
      <c r="E409">
        <v>8</v>
      </c>
    </row>
    <row r="410" spans="1:5" x14ac:dyDescent="0.25">
      <c r="A410" t="s">
        <v>984</v>
      </c>
      <c r="B410" t="s">
        <v>1065</v>
      </c>
      <c r="C410" t="s">
        <v>1066</v>
      </c>
      <c r="D410" s="1">
        <v>45992</v>
      </c>
      <c r="E410">
        <v>4</v>
      </c>
    </row>
    <row r="411" spans="1:5" x14ac:dyDescent="0.25">
      <c r="A411" t="s">
        <v>984</v>
      </c>
      <c r="B411" t="s">
        <v>1067</v>
      </c>
      <c r="C411" t="s">
        <v>1068</v>
      </c>
      <c r="D411" s="1">
        <v>45992</v>
      </c>
      <c r="E411">
        <v>2</v>
      </c>
    </row>
    <row r="412" spans="1:5" x14ac:dyDescent="0.25">
      <c r="A412" t="s">
        <v>984</v>
      </c>
      <c r="B412" t="s">
        <v>1069</v>
      </c>
      <c r="C412" t="s">
        <v>1070</v>
      </c>
      <c r="D412" s="1">
        <v>45992</v>
      </c>
      <c r="E412">
        <v>2</v>
      </c>
    </row>
    <row r="413" spans="1:5" x14ac:dyDescent="0.25">
      <c r="A413" t="s">
        <v>984</v>
      </c>
      <c r="B413" t="s">
        <v>1071</v>
      </c>
      <c r="C413" t="s">
        <v>1072</v>
      </c>
      <c r="D413" s="1">
        <v>45992</v>
      </c>
      <c r="E413">
        <v>2</v>
      </c>
    </row>
    <row r="414" spans="1:5" x14ac:dyDescent="0.25">
      <c r="A414" t="s">
        <v>984</v>
      </c>
      <c r="B414" t="s">
        <v>1073</v>
      </c>
      <c r="C414" t="s">
        <v>1074</v>
      </c>
      <c r="D414" s="1">
        <v>45992</v>
      </c>
      <c r="E414">
        <v>2</v>
      </c>
    </row>
    <row r="415" spans="1:5" x14ac:dyDescent="0.25">
      <c r="A415" t="s">
        <v>984</v>
      </c>
      <c r="B415" t="s">
        <v>1075</v>
      </c>
      <c r="C415" t="s">
        <v>1076</v>
      </c>
      <c r="D415" s="1">
        <v>45992</v>
      </c>
      <c r="E415">
        <v>1</v>
      </c>
    </row>
    <row r="416" spans="1:5" x14ac:dyDescent="0.25">
      <c r="A416" t="s">
        <v>984</v>
      </c>
      <c r="B416" t="s">
        <v>1077</v>
      </c>
      <c r="C416" t="s">
        <v>1078</v>
      </c>
      <c r="D416" s="1">
        <v>45992</v>
      </c>
      <c r="E416">
        <v>1</v>
      </c>
    </row>
    <row r="417" spans="1:5" x14ac:dyDescent="0.25">
      <c r="A417" t="s">
        <v>984</v>
      </c>
      <c r="B417" t="s">
        <v>1079</v>
      </c>
      <c r="C417" t="s">
        <v>1080</v>
      </c>
      <c r="D417" s="1">
        <v>45992</v>
      </c>
      <c r="E417">
        <v>1</v>
      </c>
    </row>
    <row r="418" spans="1:5" x14ac:dyDescent="0.25">
      <c r="A418" t="s">
        <v>984</v>
      </c>
      <c r="B418" t="s">
        <v>1081</v>
      </c>
      <c r="C418" t="s">
        <v>1082</v>
      </c>
      <c r="D418" s="1">
        <v>45992</v>
      </c>
      <c r="E418">
        <v>1</v>
      </c>
    </row>
    <row r="419" spans="1:5" x14ac:dyDescent="0.25">
      <c r="A419" t="s">
        <v>984</v>
      </c>
      <c r="B419" t="s">
        <v>1083</v>
      </c>
      <c r="C419" t="s">
        <v>1084</v>
      </c>
      <c r="D419" s="1">
        <v>45992</v>
      </c>
      <c r="E419">
        <v>1</v>
      </c>
    </row>
    <row r="420" spans="1:5" x14ac:dyDescent="0.25">
      <c r="A420" t="s">
        <v>984</v>
      </c>
      <c r="B420" t="s">
        <v>1085</v>
      </c>
      <c r="C420" t="s">
        <v>1086</v>
      </c>
      <c r="D420" s="1">
        <v>45992</v>
      </c>
      <c r="E420">
        <v>2</v>
      </c>
    </row>
    <row r="421" spans="1:5" x14ac:dyDescent="0.25">
      <c r="A421" t="s">
        <v>984</v>
      </c>
      <c r="B421" t="s">
        <v>1087</v>
      </c>
      <c r="C421" t="s">
        <v>1088</v>
      </c>
      <c r="D421" s="1">
        <v>45992</v>
      </c>
      <c r="E421">
        <v>2</v>
      </c>
    </row>
    <row r="422" spans="1:5" x14ac:dyDescent="0.25">
      <c r="A422" t="s">
        <v>984</v>
      </c>
      <c r="B422" t="s">
        <v>1089</v>
      </c>
      <c r="C422" t="s">
        <v>1090</v>
      </c>
      <c r="D422" s="1">
        <v>45992</v>
      </c>
      <c r="E422">
        <v>4</v>
      </c>
    </row>
    <row r="423" spans="1:5" x14ac:dyDescent="0.25">
      <c r="A423" t="s">
        <v>984</v>
      </c>
      <c r="B423" t="s">
        <v>1091</v>
      </c>
      <c r="C423" t="s">
        <v>1092</v>
      </c>
      <c r="D423" s="1">
        <v>45992</v>
      </c>
      <c r="E423">
        <v>4</v>
      </c>
    </row>
    <row r="424" spans="1:5" x14ac:dyDescent="0.25">
      <c r="A424" t="s">
        <v>984</v>
      </c>
      <c r="B424" t="s">
        <v>1093</v>
      </c>
      <c r="C424" t="s">
        <v>1094</v>
      </c>
      <c r="D424" s="1">
        <v>45992</v>
      </c>
      <c r="E424">
        <v>8</v>
      </c>
    </row>
    <row r="425" spans="1:5" x14ac:dyDescent="0.25">
      <c r="A425" t="s">
        <v>984</v>
      </c>
      <c r="B425" t="s">
        <v>1095</v>
      </c>
      <c r="C425" t="s">
        <v>1096</v>
      </c>
      <c r="D425" s="1">
        <v>45992</v>
      </c>
      <c r="E425">
        <v>8</v>
      </c>
    </row>
    <row r="426" spans="1:5" x14ac:dyDescent="0.25">
      <c r="A426" t="s">
        <v>984</v>
      </c>
      <c r="B426" t="s">
        <v>1097</v>
      </c>
      <c r="C426" t="s">
        <v>1098</v>
      </c>
      <c r="D426" s="1">
        <v>45992</v>
      </c>
      <c r="E426">
        <v>4</v>
      </c>
    </row>
    <row r="427" spans="1:5" x14ac:dyDescent="0.25">
      <c r="A427" t="s">
        <v>984</v>
      </c>
      <c r="B427" t="s">
        <v>1099</v>
      </c>
      <c r="C427" t="s">
        <v>1100</v>
      </c>
      <c r="D427" s="1">
        <v>45992</v>
      </c>
      <c r="E427">
        <v>4</v>
      </c>
    </row>
    <row r="428" spans="1:5" x14ac:dyDescent="0.25">
      <c r="A428" t="s">
        <v>984</v>
      </c>
      <c r="B428" t="s">
        <v>1101</v>
      </c>
      <c r="C428" t="s">
        <v>1102</v>
      </c>
      <c r="D428" s="1">
        <v>45992</v>
      </c>
      <c r="E428">
        <v>4</v>
      </c>
    </row>
    <row r="429" spans="1:5" x14ac:dyDescent="0.25">
      <c r="A429" t="s">
        <v>984</v>
      </c>
      <c r="B429" t="s">
        <v>1103</v>
      </c>
      <c r="C429" t="s">
        <v>1104</v>
      </c>
      <c r="D429" s="1">
        <v>45992</v>
      </c>
      <c r="E429">
        <v>4</v>
      </c>
    </row>
    <row r="430" spans="1:5" x14ac:dyDescent="0.25">
      <c r="A430" t="s">
        <v>984</v>
      </c>
      <c r="B430" t="s">
        <v>1105</v>
      </c>
      <c r="C430" t="s">
        <v>1106</v>
      </c>
      <c r="D430" s="1">
        <v>45992</v>
      </c>
      <c r="E430">
        <v>4</v>
      </c>
    </row>
    <row r="431" spans="1:5" x14ac:dyDescent="0.25">
      <c r="A431" t="s">
        <v>984</v>
      </c>
      <c r="B431" t="s">
        <v>1107</v>
      </c>
      <c r="C431" t="s">
        <v>1108</v>
      </c>
      <c r="D431" s="1">
        <v>45992</v>
      </c>
      <c r="E431">
        <v>4</v>
      </c>
    </row>
    <row r="432" spans="1:5" x14ac:dyDescent="0.25">
      <c r="A432" t="s">
        <v>984</v>
      </c>
      <c r="B432" t="s">
        <v>1109</v>
      </c>
      <c r="C432" t="s">
        <v>1110</v>
      </c>
      <c r="D432" s="1">
        <v>45992</v>
      </c>
      <c r="E432">
        <v>4</v>
      </c>
    </row>
    <row r="433" spans="1:5" x14ac:dyDescent="0.25">
      <c r="A433" t="s">
        <v>984</v>
      </c>
      <c r="B433" t="s">
        <v>1111</v>
      </c>
      <c r="C433" t="s">
        <v>1112</v>
      </c>
      <c r="D433" s="1">
        <v>45992</v>
      </c>
      <c r="E433">
        <v>8</v>
      </c>
    </row>
    <row r="434" spans="1:5" x14ac:dyDescent="0.25">
      <c r="A434" t="s">
        <v>984</v>
      </c>
      <c r="B434" t="s">
        <v>1113</v>
      </c>
      <c r="C434" t="s">
        <v>1114</v>
      </c>
      <c r="D434" s="1">
        <v>45992</v>
      </c>
      <c r="E434">
        <v>4</v>
      </c>
    </row>
    <row r="435" spans="1:5" x14ac:dyDescent="0.25">
      <c r="A435" t="s">
        <v>984</v>
      </c>
      <c r="B435" t="s">
        <v>1115</v>
      </c>
      <c r="C435" t="s">
        <v>1116</v>
      </c>
      <c r="D435" s="1">
        <v>45992</v>
      </c>
      <c r="E435">
        <v>4</v>
      </c>
    </row>
    <row r="436" spans="1:5" x14ac:dyDescent="0.25">
      <c r="A436" t="s">
        <v>984</v>
      </c>
      <c r="B436" t="s">
        <v>1117</v>
      </c>
      <c r="C436" t="s">
        <v>1118</v>
      </c>
      <c r="D436" s="1">
        <v>45992</v>
      </c>
      <c r="E436">
        <v>2</v>
      </c>
    </row>
    <row r="437" spans="1:5" x14ac:dyDescent="0.25">
      <c r="A437" t="s">
        <v>984</v>
      </c>
      <c r="B437" t="s">
        <v>1119</v>
      </c>
      <c r="C437" t="s">
        <v>1120</v>
      </c>
      <c r="D437" s="1">
        <v>45992</v>
      </c>
      <c r="E437">
        <v>6</v>
      </c>
    </row>
    <row r="438" spans="1:5" x14ac:dyDescent="0.25">
      <c r="A438" t="s">
        <v>984</v>
      </c>
      <c r="B438" t="s">
        <v>1121</v>
      </c>
      <c r="C438" t="s">
        <v>1122</v>
      </c>
      <c r="D438" s="1">
        <v>45992</v>
      </c>
      <c r="E438">
        <v>8</v>
      </c>
    </row>
    <row r="439" spans="1:5" x14ac:dyDescent="0.25">
      <c r="A439" t="s">
        <v>984</v>
      </c>
      <c r="B439" t="s">
        <v>1123</v>
      </c>
      <c r="C439" t="s">
        <v>1124</v>
      </c>
      <c r="D439" s="1">
        <v>45992</v>
      </c>
      <c r="E439">
        <v>16</v>
      </c>
    </row>
    <row r="440" spans="1:5" x14ac:dyDescent="0.25">
      <c r="A440" t="s">
        <v>984</v>
      </c>
      <c r="B440" t="s">
        <v>1125</v>
      </c>
      <c r="C440" t="s">
        <v>1126</v>
      </c>
      <c r="D440" s="1">
        <v>45992</v>
      </c>
      <c r="E440">
        <v>2</v>
      </c>
    </row>
    <row r="441" spans="1:5" x14ac:dyDescent="0.25">
      <c r="A441" t="s">
        <v>984</v>
      </c>
      <c r="B441" t="s">
        <v>1127</v>
      </c>
      <c r="C441" t="s">
        <v>1128</v>
      </c>
      <c r="D441" s="1">
        <v>45992</v>
      </c>
      <c r="E441">
        <v>2</v>
      </c>
    </row>
    <row r="442" spans="1:5" x14ac:dyDescent="0.25">
      <c r="A442" t="s">
        <v>984</v>
      </c>
      <c r="B442" t="s">
        <v>1129</v>
      </c>
      <c r="C442" t="s">
        <v>1130</v>
      </c>
      <c r="D442" s="1">
        <v>45992</v>
      </c>
      <c r="E442">
        <v>2</v>
      </c>
    </row>
    <row r="443" spans="1:5" x14ac:dyDescent="0.25">
      <c r="A443" t="s">
        <v>984</v>
      </c>
      <c r="B443" t="s">
        <v>1131</v>
      </c>
      <c r="C443" t="s">
        <v>1132</v>
      </c>
      <c r="D443" s="1">
        <v>45992</v>
      </c>
      <c r="E443">
        <v>2</v>
      </c>
    </row>
    <row r="444" spans="1:5" x14ac:dyDescent="0.25">
      <c r="A444" t="s">
        <v>984</v>
      </c>
      <c r="B444" t="s">
        <v>1133</v>
      </c>
      <c r="C444" t="s">
        <v>1134</v>
      </c>
      <c r="D444" s="1">
        <v>45992</v>
      </c>
      <c r="E444">
        <v>2</v>
      </c>
    </row>
    <row r="445" spans="1:5" x14ac:dyDescent="0.25">
      <c r="A445" t="s">
        <v>984</v>
      </c>
      <c r="B445" t="s">
        <v>1135</v>
      </c>
      <c r="C445" t="s">
        <v>1136</v>
      </c>
      <c r="D445" s="1">
        <v>45992</v>
      </c>
      <c r="E445">
        <v>2</v>
      </c>
    </row>
    <row r="446" spans="1:5" x14ac:dyDescent="0.25">
      <c r="A446" t="s">
        <v>984</v>
      </c>
      <c r="B446" t="s">
        <v>1137</v>
      </c>
      <c r="C446" t="s">
        <v>1138</v>
      </c>
      <c r="D446" s="1">
        <v>45992</v>
      </c>
      <c r="E446">
        <v>4</v>
      </c>
    </row>
    <row r="447" spans="1:5" x14ac:dyDescent="0.25">
      <c r="A447" t="s">
        <v>984</v>
      </c>
      <c r="B447" t="s">
        <v>1139</v>
      </c>
      <c r="C447" t="s">
        <v>1140</v>
      </c>
      <c r="D447" s="1">
        <v>45992</v>
      </c>
      <c r="E447">
        <v>2</v>
      </c>
    </row>
    <row r="448" spans="1:5" x14ac:dyDescent="0.25">
      <c r="A448" t="s">
        <v>984</v>
      </c>
      <c r="B448" t="s">
        <v>1141</v>
      </c>
      <c r="C448" t="s">
        <v>1142</v>
      </c>
      <c r="D448" s="1">
        <v>45992</v>
      </c>
      <c r="E448">
        <v>2</v>
      </c>
    </row>
    <row r="449" spans="1:5" x14ac:dyDescent="0.25">
      <c r="A449" t="s">
        <v>984</v>
      </c>
      <c r="B449" t="s">
        <v>1143</v>
      </c>
      <c r="C449" t="s">
        <v>1144</v>
      </c>
      <c r="D449" s="1">
        <v>45992</v>
      </c>
      <c r="E449">
        <v>2</v>
      </c>
    </row>
    <row r="450" spans="1:5" x14ac:dyDescent="0.25">
      <c r="A450" t="s">
        <v>984</v>
      </c>
      <c r="B450" t="s">
        <v>1145</v>
      </c>
      <c r="C450" t="s">
        <v>1146</v>
      </c>
      <c r="D450" s="1">
        <v>45992</v>
      </c>
      <c r="E450">
        <v>4</v>
      </c>
    </row>
    <row r="451" spans="1:5" x14ac:dyDescent="0.25">
      <c r="A451" t="s">
        <v>984</v>
      </c>
      <c r="B451" t="s">
        <v>1147</v>
      </c>
      <c r="C451" t="s">
        <v>1148</v>
      </c>
      <c r="D451" s="1">
        <v>45992</v>
      </c>
      <c r="E451">
        <v>2</v>
      </c>
    </row>
    <row r="452" spans="1:5" x14ac:dyDescent="0.25">
      <c r="A452" t="s">
        <v>984</v>
      </c>
      <c r="B452" t="s">
        <v>1149</v>
      </c>
      <c r="C452" t="s">
        <v>1150</v>
      </c>
      <c r="D452" s="1">
        <v>45992</v>
      </c>
      <c r="E452">
        <v>2</v>
      </c>
    </row>
    <row r="453" spans="1:5" x14ac:dyDescent="0.25">
      <c r="A453" t="s">
        <v>984</v>
      </c>
      <c r="B453" t="s">
        <v>1151</v>
      </c>
      <c r="C453" t="s">
        <v>1152</v>
      </c>
      <c r="D453" s="1">
        <v>45992</v>
      </c>
      <c r="E453">
        <v>2</v>
      </c>
    </row>
    <row r="454" spans="1:5" x14ac:dyDescent="0.25">
      <c r="A454" t="s">
        <v>984</v>
      </c>
      <c r="B454" t="s">
        <v>1153</v>
      </c>
      <c r="C454" t="s">
        <v>1154</v>
      </c>
      <c r="D454" s="1">
        <v>45992</v>
      </c>
      <c r="E454">
        <v>2</v>
      </c>
    </row>
    <row r="455" spans="1:5" x14ac:dyDescent="0.25">
      <c r="A455" t="s">
        <v>984</v>
      </c>
      <c r="B455" t="s">
        <v>1155</v>
      </c>
      <c r="C455" t="s">
        <v>1156</v>
      </c>
      <c r="D455" s="1">
        <v>45992</v>
      </c>
      <c r="E455">
        <v>2</v>
      </c>
    </row>
    <row r="456" spans="1:5" x14ac:dyDescent="0.25">
      <c r="A456" t="s">
        <v>984</v>
      </c>
      <c r="B456" t="s">
        <v>1157</v>
      </c>
      <c r="C456" t="s">
        <v>1158</v>
      </c>
      <c r="D456" s="1">
        <v>45992</v>
      </c>
      <c r="E456">
        <v>2</v>
      </c>
    </row>
    <row r="457" spans="1:5" x14ac:dyDescent="0.25">
      <c r="A457" t="s">
        <v>984</v>
      </c>
      <c r="B457" t="s">
        <v>1159</v>
      </c>
      <c r="C457" t="s">
        <v>1160</v>
      </c>
      <c r="D457" s="1">
        <v>45992</v>
      </c>
      <c r="E457">
        <v>2</v>
      </c>
    </row>
    <row r="458" spans="1:5" x14ac:dyDescent="0.25">
      <c r="A458" t="s">
        <v>984</v>
      </c>
      <c r="B458" t="s">
        <v>1161</v>
      </c>
      <c r="C458" t="s">
        <v>1162</v>
      </c>
      <c r="D458" s="1">
        <v>45992</v>
      </c>
      <c r="E458">
        <v>4</v>
      </c>
    </row>
    <row r="459" spans="1:5" x14ac:dyDescent="0.25">
      <c r="A459" t="s">
        <v>984</v>
      </c>
      <c r="B459" t="s">
        <v>1163</v>
      </c>
      <c r="C459" t="s">
        <v>1164</v>
      </c>
      <c r="D459" s="1">
        <v>45992</v>
      </c>
      <c r="E459">
        <v>2</v>
      </c>
    </row>
    <row r="460" spans="1:5" x14ac:dyDescent="0.25">
      <c r="A460" t="s">
        <v>984</v>
      </c>
      <c r="B460" t="s">
        <v>1165</v>
      </c>
      <c r="C460" t="s">
        <v>1166</v>
      </c>
      <c r="D460" s="1">
        <v>45992</v>
      </c>
      <c r="E460">
        <v>2</v>
      </c>
    </row>
    <row r="461" spans="1:5" x14ac:dyDescent="0.25">
      <c r="A461" t="s">
        <v>984</v>
      </c>
      <c r="B461" t="s">
        <v>1167</v>
      </c>
      <c r="C461" t="s">
        <v>1168</v>
      </c>
      <c r="D461" s="1">
        <v>45992</v>
      </c>
      <c r="E461">
        <v>2</v>
      </c>
    </row>
    <row r="462" spans="1:5" x14ac:dyDescent="0.25">
      <c r="A462" t="s">
        <v>984</v>
      </c>
      <c r="B462" t="s">
        <v>1169</v>
      </c>
      <c r="C462" t="s">
        <v>1170</v>
      </c>
      <c r="D462" s="1">
        <v>45992</v>
      </c>
      <c r="E462">
        <v>2</v>
      </c>
    </row>
    <row r="463" spans="1:5" x14ac:dyDescent="0.25">
      <c r="A463" t="s">
        <v>984</v>
      </c>
      <c r="B463" t="s">
        <v>1171</v>
      </c>
      <c r="C463" t="s">
        <v>1172</v>
      </c>
      <c r="D463" s="1">
        <v>45992</v>
      </c>
      <c r="E463">
        <v>2</v>
      </c>
    </row>
    <row r="464" spans="1:5" x14ac:dyDescent="0.25">
      <c r="A464" t="s">
        <v>984</v>
      </c>
      <c r="B464" t="s">
        <v>1173</v>
      </c>
      <c r="C464" t="s">
        <v>1174</v>
      </c>
      <c r="D464" s="1">
        <v>45992</v>
      </c>
      <c r="E464">
        <v>2</v>
      </c>
    </row>
    <row r="465" spans="1:5" x14ac:dyDescent="0.25">
      <c r="A465" t="s">
        <v>984</v>
      </c>
      <c r="B465" t="s">
        <v>1175</v>
      </c>
      <c r="C465" t="s">
        <v>1176</v>
      </c>
      <c r="D465" s="1">
        <v>45992</v>
      </c>
      <c r="E465">
        <v>2</v>
      </c>
    </row>
    <row r="466" spans="1:5" x14ac:dyDescent="0.25">
      <c r="A466" t="s">
        <v>984</v>
      </c>
      <c r="B466" t="s">
        <v>1177</v>
      </c>
      <c r="C466" t="s">
        <v>1178</v>
      </c>
      <c r="D466" s="1">
        <v>45992</v>
      </c>
      <c r="E466">
        <v>4</v>
      </c>
    </row>
    <row r="467" spans="1:5" x14ac:dyDescent="0.25">
      <c r="A467" t="s">
        <v>984</v>
      </c>
      <c r="B467" t="s">
        <v>1179</v>
      </c>
      <c r="C467" t="s">
        <v>1180</v>
      </c>
      <c r="D467" s="1">
        <v>45992</v>
      </c>
      <c r="E467">
        <v>2</v>
      </c>
    </row>
    <row r="468" spans="1:5" x14ac:dyDescent="0.25">
      <c r="A468" t="s">
        <v>984</v>
      </c>
      <c r="B468" t="s">
        <v>1181</v>
      </c>
      <c r="C468" t="s">
        <v>1182</v>
      </c>
      <c r="D468" s="1">
        <v>45992</v>
      </c>
      <c r="E468">
        <v>16</v>
      </c>
    </row>
    <row r="469" spans="1:5" x14ac:dyDescent="0.25">
      <c r="A469" t="s">
        <v>984</v>
      </c>
      <c r="B469" t="s">
        <v>1183</v>
      </c>
      <c r="C469" t="s">
        <v>1184</v>
      </c>
      <c r="D469" s="1">
        <v>45992</v>
      </c>
      <c r="E469">
        <v>4</v>
      </c>
    </row>
    <row r="470" spans="1:5" x14ac:dyDescent="0.25">
      <c r="A470" t="s">
        <v>984</v>
      </c>
      <c r="B470" t="s">
        <v>1185</v>
      </c>
      <c r="C470" t="s">
        <v>1186</v>
      </c>
      <c r="D470" s="1">
        <v>45992</v>
      </c>
      <c r="E470">
        <v>2</v>
      </c>
    </row>
    <row r="471" spans="1:5" x14ac:dyDescent="0.25">
      <c r="A471" t="s">
        <v>984</v>
      </c>
      <c r="B471" t="s">
        <v>1187</v>
      </c>
      <c r="C471" t="s">
        <v>1188</v>
      </c>
      <c r="D471" s="1">
        <v>45992</v>
      </c>
      <c r="E471">
        <v>4</v>
      </c>
    </row>
    <row r="472" spans="1:5" x14ac:dyDescent="0.25">
      <c r="A472" t="s">
        <v>984</v>
      </c>
      <c r="B472" t="s">
        <v>1189</v>
      </c>
      <c r="C472" t="s">
        <v>1190</v>
      </c>
      <c r="D472" s="1">
        <v>45992</v>
      </c>
      <c r="E472">
        <v>2</v>
      </c>
    </row>
    <row r="473" spans="1:5" x14ac:dyDescent="0.25">
      <c r="A473" t="s">
        <v>984</v>
      </c>
      <c r="B473" t="s">
        <v>1191</v>
      </c>
      <c r="C473" t="s">
        <v>1192</v>
      </c>
      <c r="D473" s="1">
        <v>45992</v>
      </c>
      <c r="E473">
        <v>4</v>
      </c>
    </row>
    <row r="474" spans="1:5" x14ac:dyDescent="0.25">
      <c r="A474" t="s">
        <v>984</v>
      </c>
      <c r="B474" t="s">
        <v>1193</v>
      </c>
      <c r="C474" t="s">
        <v>1194</v>
      </c>
      <c r="D474" s="1">
        <v>45992</v>
      </c>
      <c r="E474">
        <v>2</v>
      </c>
    </row>
    <row r="475" spans="1:5" x14ac:dyDescent="0.25">
      <c r="A475" t="s">
        <v>984</v>
      </c>
      <c r="B475" t="s">
        <v>1195</v>
      </c>
      <c r="C475" t="s">
        <v>1196</v>
      </c>
      <c r="D475" s="1">
        <v>45992</v>
      </c>
      <c r="E475">
        <v>2</v>
      </c>
    </row>
    <row r="476" spans="1:5" x14ac:dyDescent="0.25">
      <c r="A476" t="s">
        <v>984</v>
      </c>
      <c r="B476" t="s">
        <v>1197</v>
      </c>
      <c r="C476" t="s">
        <v>1198</v>
      </c>
      <c r="D476" s="1">
        <v>45992</v>
      </c>
      <c r="E476">
        <v>1</v>
      </c>
    </row>
    <row r="477" spans="1:5" x14ac:dyDescent="0.25">
      <c r="A477" t="s">
        <v>984</v>
      </c>
      <c r="B477" t="s">
        <v>1199</v>
      </c>
      <c r="C477" t="s">
        <v>1200</v>
      </c>
      <c r="D477" s="1">
        <v>45992</v>
      </c>
      <c r="E477">
        <v>2</v>
      </c>
    </row>
    <row r="478" spans="1:5" x14ac:dyDescent="0.25">
      <c r="A478" t="s">
        <v>984</v>
      </c>
      <c r="B478" t="s">
        <v>1201</v>
      </c>
      <c r="C478" t="s">
        <v>1202</v>
      </c>
      <c r="D478" s="1">
        <v>45992</v>
      </c>
      <c r="E478">
        <v>2</v>
      </c>
    </row>
    <row r="479" spans="1:5" x14ac:dyDescent="0.25">
      <c r="A479" t="s">
        <v>984</v>
      </c>
      <c r="B479" t="s">
        <v>1203</v>
      </c>
      <c r="C479" t="s">
        <v>1204</v>
      </c>
      <c r="D479" s="1">
        <v>45992</v>
      </c>
      <c r="E479">
        <v>1</v>
      </c>
    </row>
    <row r="480" spans="1:5" x14ac:dyDescent="0.25">
      <c r="A480" t="s">
        <v>984</v>
      </c>
      <c r="B480" t="s">
        <v>1205</v>
      </c>
      <c r="C480" t="s">
        <v>1206</v>
      </c>
      <c r="D480" s="1">
        <v>45992</v>
      </c>
      <c r="E480">
        <v>1</v>
      </c>
    </row>
    <row r="481" spans="1:5" x14ac:dyDescent="0.25">
      <c r="A481" t="s">
        <v>984</v>
      </c>
      <c r="B481" t="s">
        <v>1207</v>
      </c>
      <c r="C481" t="s">
        <v>1208</v>
      </c>
      <c r="D481" s="1">
        <v>45992</v>
      </c>
      <c r="E481">
        <v>2</v>
      </c>
    </row>
    <row r="482" spans="1:5" x14ac:dyDescent="0.25">
      <c r="A482" t="s">
        <v>984</v>
      </c>
      <c r="B482" t="s">
        <v>1209</v>
      </c>
      <c r="C482" t="s">
        <v>1210</v>
      </c>
      <c r="D482" s="1">
        <v>45992</v>
      </c>
      <c r="E482">
        <v>2</v>
      </c>
    </row>
    <row r="483" spans="1:5" x14ac:dyDescent="0.25">
      <c r="A483" t="s">
        <v>984</v>
      </c>
      <c r="B483" t="s">
        <v>1211</v>
      </c>
      <c r="C483" t="s">
        <v>1212</v>
      </c>
      <c r="D483" s="1">
        <v>45992</v>
      </c>
      <c r="E483">
        <v>2</v>
      </c>
    </row>
    <row r="484" spans="1:5" x14ac:dyDescent="0.25">
      <c r="A484" t="s">
        <v>984</v>
      </c>
      <c r="B484" t="s">
        <v>1213</v>
      </c>
      <c r="C484" t="s">
        <v>1214</v>
      </c>
      <c r="D484" s="1">
        <v>45992</v>
      </c>
      <c r="E484">
        <v>1</v>
      </c>
    </row>
    <row r="485" spans="1:5" x14ac:dyDescent="0.25">
      <c r="A485" t="s">
        <v>984</v>
      </c>
      <c r="B485" t="s">
        <v>1215</v>
      </c>
      <c r="C485" t="s">
        <v>1216</v>
      </c>
      <c r="D485" s="1">
        <v>45992</v>
      </c>
      <c r="E485">
        <v>2</v>
      </c>
    </row>
    <row r="486" spans="1:5" x14ac:dyDescent="0.25">
      <c r="A486" t="s">
        <v>984</v>
      </c>
      <c r="B486" t="s">
        <v>1217</v>
      </c>
      <c r="C486" t="s">
        <v>1218</v>
      </c>
      <c r="D486" s="1">
        <v>45992</v>
      </c>
      <c r="E486">
        <v>12</v>
      </c>
    </row>
    <row r="487" spans="1:5" x14ac:dyDescent="0.25">
      <c r="A487" t="s">
        <v>984</v>
      </c>
      <c r="B487" t="s">
        <v>1219</v>
      </c>
      <c r="C487" t="s">
        <v>1220</v>
      </c>
      <c r="D487" s="1">
        <v>45992</v>
      </c>
      <c r="E487">
        <v>8</v>
      </c>
    </row>
    <row r="488" spans="1:5" x14ac:dyDescent="0.25">
      <c r="A488" t="s">
        <v>984</v>
      </c>
      <c r="B488" t="s">
        <v>1221</v>
      </c>
      <c r="C488" t="s">
        <v>1222</v>
      </c>
      <c r="D488" s="1">
        <v>45992</v>
      </c>
      <c r="E488">
        <v>4</v>
      </c>
    </row>
    <row r="489" spans="1:5" x14ac:dyDescent="0.25">
      <c r="A489" t="s">
        <v>984</v>
      </c>
      <c r="B489" t="s">
        <v>1223</v>
      </c>
      <c r="C489" t="s">
        <v>1224</v>
      </c>
      <c r="D489" s="1">
        <v>45992</v>
      </c>
      <c r="E489">
        <v>8</v>
      </c>
    </row>
    <row r="490" spans="1:5" x14ac:dyDescent="0.25">
      <c r="A490" t="s">
        <v>984</v>
      </c>
      <c r="B490" t="s">
        <v>1225</v>
      </c>
      <c r="C490" t="s">
        <v>1226</v>
      </c>
      <c r="D490" s="1">
        <v>45992</v>
      </c>
      <c r="E490">
        <v>8</v>
      </c>
    </row>
    <row r="491" spans="1:5" x14ac:dyDescent="0.25">
      <c r="A491" t="s">
        <v>984</v>
      </c>
      <c r="B491" t="s">
        <v>1227</v>
      </c>
      <c r="C491" t="s">
        <v>1228</v>
      </c>
      <c r="D491" s="1">
        <v>45992</v>
      </c>
      <c r="E491">
        <v>4</v>
      </c>
    </row>
    <row r="492" spans="1:5" x14ac:dyDescent="0.25">
      <c r="A492" t="s">
        <v>984</v>
      </c>
      <c r="B492" t="s">
        <v>1229</v>
      </c>
      <c r="C492" t="s">
        <v>1230</v>
      </c>
      <c r="D492" s="1">
        <v>45992</v>
      </c>
      <c r="E492">
        <v>4</v>
      </c>
    </row>
    <row r="493" spans="1:5" x14ac:dyDescent="0.25">
      <c r="A493" t="s">
        <v>984</v>
      </c>
      <c r="B493" t="s">
        <v>1231</v>
      </c>
      <c r="C493" t="s">
        <v>1232</v>
      </c>
      <c r="D493" s="1">
        <v>45992</v>
      </c>
      <c r="E493">
        <v>4</v>
      </c>
    </row>
    <row r="494" spans="1:5" x14ac:dyDescent="0.25">
      <c r="A494" t="s">
        <v>984</v>
      </c>
      <c r="B494" t="s">
        <v>1233</v>
      </c>
      <c r="C494" t="s">
        <v>1234</v>
      </c>
      <c r="D494" s="1">
        <v>45992</v>
      </c>
      <c r="E494">
        <v>2</v>
      </c>
    </row>
    <row r="495" spans="1:5" x14ac:dyDescent="0.25">
      <c r="A495" t="s">
        <v>984</v>
      </c>
      <c r="B495" t="s">
        <v>1235</v>
      </c>
      <c r="C495" t="s">
        <v>1236</v>
      </c>
      <c r="D495" s="1">
        <v>45992</v>
      </c>
      <c r="E495">
        <v>2</v>
      </c>
    </row>
    <row r="496" spans="1:5" x14ac:dyDescent="0.25">
      <c r="A496" t="s">
        <v>984</v>
      </c>
      <c r="B496" t="s">
        <v>1237</v>
      </c>
      <c r="C496" t="s">
        <v>1238</v>
      </c>
      <c r="D496" s="1">
        <v>45992</v>
      </c>
      <c r="E496">
        <v>2</v>
      </c>
    </row>
    <row r="497" spans="1:5" x14ac:dyDescent="0.25">
      <c r="A497" t="s">
        <v>984</v>
      </c>
      <c r="B497" t="s">
        <v>1239</v>
      </c>
      <c r="C497" t="s">
        <v>1240</v>
      </c>
      <c r="D497" s="1">
        <v>45992</v>
      </c>
      <c r="E497">
        <v>1</v>
      </c>
    </row>
    <row r="498" spans="1:5" x14ac:dyDescent="0.25">
      <c r="A498" t="s">
        <v>984</v>
      </c>
      <c r="B498" t="s">
        <v>1241</v>
      </c>
      <c r="C498" t="s">
        <v>1242</v>
      </c>
      <c r="D498" s="1">
        <v>45992</v>
      </c>
      <c r="E498">
        <v>2</v>
      </c>
    </row>
    <row r="499" spans="1:5" x14ac:dyDescent="0.25">
      <c r="A499" t="s">
        <v>984</v>
      </c>
      <c r="B499" t="s">
        <v>1243</v>
      </c>
      <c r="C499" t="s">
        <v>1244</v>
      </c>
      <c r="D499" s="1">
        <v>45992</v>
      </c>
      <c r="E499">
        <v>2</v>
      </c>
    </row>
    <row r="500" spans="1:5" x14ac:dyDescent="0.25">
      <c r="A500" t="s">
        <v>984</v>
      </c>
      <c r="B500" t="s">
        <v>1245</v>
      </c>
      <c r="C500" t="s">
        <v>1246</v>
      </c>
      <c r="D500" s="1">
        <v>45992</v>
      </c>
      <c r="E500">
        <v>2</v>
      </c>
    </row>
    <row r="501" spans="1:5" x14ac:dyDescent="0.25">
      <c r="A501" t="s">
        <v>984</v>
      </c>
      <c r="B501" t="s">
        <v>1247</v>
      </c>
      <c r="C501" t="s">
        <v>1248</v>
      </c>
      <c r="D501" s="1">
        <v>45992</v>
      </c>
      <c r="E501">
        <v>2</v>
      </c>
    </row>
    <row r="502" spans="1:5" x14ac:dyDescent="0.25">
      <c r="A502" t="s">
        <v>984</v>
      </c>
      <c r="B502" t="s">
        <v>1249</v>
      </c>
      <c r="C502" t="s">
        <v>1250</v>
      </c>
      <c r="D502" s="1">
        <v>45992</v>
      </c>
      <c r="E502">
        <v>2</v>
      </c>
    </row>
    <row r="503" spans="1:5" x14ac:dyDescent="0.25">
      <c r="A503" t="s">
        <v>984</v>
      </c>
      <c r="B503" t="s">
        <v>1252</v>
      </c>
      <c r="C503" t="s">
        <v>1253</v>
      </c>
      <c r="D503" s="1">
        <v>45992</v>
      </c>
      <c r="E503">
        <v>2</v>
      </c>
    </row>
    <row r="504" spans="1:5" x14ac:dyDescent="0.25">
      <c r="A504" t="s">
        <v>984</v>
      </c>
      <c r="B504" t="s">
        <v>1256</v>
      </c>
      <c r="C504" t="s">
        <v>1257</v>
      </c>
      <c r="D504" s="1">
        <v>45992</v>
      </c>
      <c r="E504">
        <v>4</v>
      </c>
    </row>
    <row r="505" spans="1:5" x14ac:dyDescent="0.25">
      <c r="A505" t="s">
        <v>984</v>
      </c>
      <c r="B505" t="s">
        <v>1259</v>
      </c>
      <c r="C505" t="s">
        <v>1260</v>
      </c>
      <c r="D505" s="1">
        <v>45992</v>
      </c>
      <c r="E505">
        <v>2</v>
      </c>
    </row>
    <row r="506" spans="1:5" x14ac:dyDescent="0.25">
      <c r="A506" t="s">
        <v>984</v>
      </c>
      <c r="B506" t="s">
        <v>1262</v>
      </c>
      <c r="C506" t="s">
        <v>1263</v>
      </c>
      <c r="D506" s="1">
        <v>45992</v>
      </c>
      <c r="E506">
        <v>2</v>
      </c>
    </row>
    <row r="507" spans="1:5" x14ac:dyDescent="0.25">
      <c r="A507" t="s">
        <v>984</v>
      </c>
      <c r="B507" t="s">
        <v>1265</v>
      </c>
      <c r="C507" t="s">
        <v>1266</v>
      </c>
      <c r="D507" s="1">
        <v>45992</v>
      </c>
      <c r="E507">
        <v>2</v>
      </c>
    </row>
    <row r="508" spans="1:5" x14ac:dyDescent="0.25">
      <c r="A508" t="s">
        <v>984</v>
      </c>
      <c r="B508" t="s">
        <v>1268</v>
      </c>
      <c r="C508" t="s">
        <v>1269</v>
      </c>
      <c r="D508" s="1">
        <v>45992</v>
      </c>
      <c r="E508">
        <v>2</v>
      </c>
    </row>
    <row r="509" spans="1:5" x14ac:dyDescent="0.25">
      <c r="A509" t="s">
        <v>984</v>
      </c>
      <c r="B509" t="s">
        <v>1270</v>
      </c>
      <c r="C509" t="s">
        <v>1271</v>
      </c>
      <c r="D509" s="1">
        <v>45992</v>
      </c>
      <c r="E509">
        <v>41</v>
      </c>
    </row>
    <row r="510" spans="1:5" x14ac:dyDescent="0.25">
      <c r="A510" t="s">
        <v>984</v>
      </c>
      <c r="B510" t="s">
        <v>1273</v>
      </c>
      <c r="C510" t="s">
        <v>1274</v>
      </c>
      <c r="D510" s="1">
        <v>45992</v>
      </c>
      <c r="E510">
        <v>2</v>
      </c>
    </row>
    <row r="511" spans="1:5" x14ac:dyDescent="0.25">
      <c r="A511" t="s">
        <v>984</v>
      </c>
      <c r="B511" t="s">
        <v>1277</v>
      </c>
      <c r="C511" t="s">
        <v>1278</v>
      </c>
      <c r="D511" s="1">
        <v>45992</v>
      </c>
      <c r="E511">
        <v>8</v>
      </c>
    </row>
    <row r="512" spans="1:5" x14ac:dyDescent="0.25">
      <c r="A512" t="s">
        <v>984</v>
      </c>
      <c r="B512" t="s">
        <v>1280</v>
      </c>
      <c r="C512" t="s">
        <v>1281</v>
      </c>
      <c r="D512" s="1">
        <v>45992</v>
      </c>
      <c r="E512">
        <v>8</v>
      </c>
    </row>
    <row r="513" spans="1:5" x14ac:dyDescent="0.25">
      <c r="A513" t="s">
        <v>984</v>
      </c>
      <c r="B513" t="s">
        <v>1283</v>
      </c>
      <c r="C513" t="s">
        <v>1284</v>
      </c>
      <c r="D513" s="1">
        <v>45992</v>
      </c>
      <c r="E513">
        <v>2</v>
      </c>
    </row>
    <row r="514" spans="1:5" x14ac:dyDescent="0.25">
      <c r="A514" t="s">
        <v>984</v>
      </c>
      <c r="B514" t="s">
        <v>1286</v>
      </c>
      <c r="C514" t="s">
        <v>1287</v>
      </c>
      <c r="D514" s="1">
        <v>45992</v>
      </c>
      <c r="E514">
        <v>1</v>
      </c>
    </row>
    <row r="515" spans="1:5" x14ac:dyDescent="0.25">
      <c r="A515" t="s">
        <v>984</v>
      </c>
      <c r="B515" t="s">
        <v>1288</v>
      </c>
      <c r="C515" t="s">
        <v>1289</v>
      </c>
      <c r="D515" s="1">
        <v>45992</v>
      </c>
      <c r="E515">
        <v>28</v>
      </c>
    </row>
    <row r="516" spans="1:5" x14ac:dyDescent="0.25">
      <c r="A516" t="s">
        <v>984</v>
      </c>
      <c r="B516" t="s">
        <v>1290</v>
      </c>
      <c r="C516" t="s">
        <v>1291</v>
      </c>
      <c r="D516" s="1">
        <v>45992</v>
      </c>
      <c r="E516">
        <v>2</v>
      </c>
    </row>
    <row r="517" spans="1:5" x14ac:dyDescent="0.25">
      <c r="A517" t="s">
        <v>984</v>
      </c>
      <c r="B517" t="s">
        <v>1292</v>
      </c>
      <c r="C517" t="s">
        <v>1293</v>
      </c>
      <c r="D517" s="1">
        <v>45992</v>
      </c>
      <c r="E517">
        <v>2</v>
      </c>
    </row>
    <row r="518" spans="1:5" x14ac:dyDescent="0.25">
      <c r="A518" t="s">
        <v>984</v>
      </c>
      <c r="B518" t="s">
        <v>1294</v>
      </c>
      <c r="C518" t="s">
        <v>1295</v>
      </c>
      <c r="D518" s="1">
        <v>45992</v>
      </c>
      <c r="E518">
        <v>2</v>
      </c>
    </row>
    <row r="519" spans="1:5" x14ac:dyDescent="0.25">
      <c r="A519" t="s">
        <v>984</v>
      </c>
      <c r="B519" t="s">
        <v>1296</v>
      </c>
      <c r="C519" t="s">
        <v>1297</v>
      </c>
      <c r="D519" s="1">
        <v>45992</v>
      </c>
      <c r="E519">
        <v>4</v>
      </c>
    </row>
    <row r="520" spans="1:5" x14ac:dyDescent="0.25">
      <c r="A520" t="s">
        <v>984</v>
      </c>
      <c r="B520" t="s">
        <v>1298</v>
      </c>
      <c r="C520" t="s">
        <v>1299</v>
      </c>
      <c r="D520" s="1">
        <v>45992</v>
      </c>
      <c r="E520">
        <v>4</v>
      </c>
    </row>
    <row r="521" spans="1:5" x14ac:dyDescent="0.25">
      <c r="A521" t="s">
        <v>984</v>
      </c>
      <c r="B521" t="s">
        <v>1300</v>
      </c>
      <c r="C521" t="s">
        <v>1301</v>
      </c>
      <c r="D521" s="1">
        <v>45992</v>
      </c>
      <c r="E521">
        <v>2</v>
      </c>
    </row>
    <row r="522" spans="1:5" x14ac:dyDescent="0.25">
      <c r="A522" t="s">
        <v>984</v>
      </c>
      <c r="B522" t="s">
        <v>1303</v>
      </c>
      <c r="C522" t="s">
        <v>1304</v>
      </c>
      <c r="D522" s="1">
        <v>45992</v>
      </c>
      <c r="E522">
        <v>6</v>
      </c>
    </row>
    <row r="523" spans="1:5" x14ac:dyDescent="0.25">
      <c r="A523" t="s">
        <v>984</v>
      </c>
      <c r="B523" t="s">
        <v>1306</v>
      </c>
      <c r="C523" t="s">
        <v>1307</v>
      </c>
      <c r="D523" s="1">
        <v>45992</v>
      </c>
      <c r="E523">
        <v>2</v>
      </c>
    </row>
    <row r="524" spans="1:5" x14ac:dyDescent="0.25">
      <c r="A524" t="s">
        <v>984</v>
      </c>
      <c r="B524" t="s">
        <v>1309</v>
      </c>
      <c r="C524" t="s">
        <v>1310</v>
      </c>
      <c r="D524" s="1">
        <v>45992</v>
      </c>
      <c r="E524">
        <v>2</v>
      </c>
    </row>
    <row r="525" spans="1:5" x14ac:dyDescent="0.25">
      <c r="A525" t="s">
        <v>984</v>
      </c>
      <c r="B525" t="s">
        <v>1311</v>
      </c>
      <c r="C525" t="s">
        <v>1312</v>
      </c>
      <c r="D525" s="1">
        <v>45992</v>
      </c>
      <c r="E525">
        <v>1</v>
      </c>
    </row>
    <row r="526" spans="1:5" x14ac:dyDescent="0.25">
      <c r="A526" t="s">
        <v>984</v>
      </c>
      <c r="B526" t="s">
        <v>1314</v>
      </c>
      <c r="C526" t="s">
        <v>1315</v>
      </c>
      <c r="D526" s="1">
        <v>45992</v>
      </c>
      <c r="E526">
        <v>2</v>
      </c>
    </row>
    <row r="527" spans="1:5" x14ac:dyDescent="0.25">
      <c r="A527" t="s">
        <v>984</v>
      </c>
      <c r="B527" t="s">
        <v>1316</v>
      </c>
      <c r="C527" t="s">
        <v>1317</v>
      </c>
      <c r="D527" s="1">
        <v>45992</v>
      </c>
      <c r="E527">
        <v>2</v>
      </c>
    </row>
    <row r="528" spans="1:5" x14ac:dyDescent="0.25">
      <c r="A528" t="s">
        <v>984</v>
      </c>
      <c r="B528" t="s">
        <v>1319</v>
      </c>
      <c r="C528" t="s">
        <v>1320</v>
      </c>
      <c r="D528" s="1">
        <v>45992</v>
      </c>
      <c r="E528">
        <v>2</v>
      </c>
    </row>
    <row r="529" spans="1:5" x14ac:dyDescent="0.25">
      <c r="A529" t="s">
        <v>984</v>
      </c>
      <c r="B529" t="s">
        <v>1323</v>
      </c>
      <c r="C529" t="s">
        <v>1324</v>
      </c>
      <c r="D529" s="1">
        <v>45992</v>
      </c>
      <c r="E529">
        <v>4</v>
      </c>
    </row>
    <row r="530" spans="1:5" x14ac:dyDescent="0.25">
      <c r="A530" t="s">
        <v>984</v>
      </c>
      <c r="B530" t="s">
        <v>1326</v>
      </c>
      <c r="C530" t="s">
        <v>1327</v>
      </c>
      <c r="D530" s="1">
        <v>45992</v>
      </c>
      <c r="E530">
        <v>2</v>
      </c>
    </row>
    <row r="531" spans="1:5" x14ac:dyDescent="0.25">
      <c r="A531" t="s">
        <v>984</v>
      </c>
      <c r="B531" t="s">
        <v>1328</v>
      </c>
      <c r="C531" t="s">
        <v>1329</v>
      </c>
      <c r="D531" s="1">
        <v>45992</v>
      </c>
      <c r="E531">
        <v>2</v>
      </c>
    </row>
    <row r="532" spans="1:5" x14ac:dyDescent="0.25">
      <c r="A532" t="s">
        <v>984</v>
      </c>
      <c r="B532" t="s">
        <v>1331</v>
      </c>
      <c r="C532" t="s">
        <v>1332</v>
      </c>
      <c r="D532" s="1">
        <v>45992</v>
      </c>
      <c r="E532">
        <v>2</v>
      </c>
    </row>
    <row r="533" spans="1:5" x14ac:dyDescent="0.25">
      <c r="A533" t="s">
        <v>984</v>
      </c>
      <c r="B533" t="s">
        <v>1334</v>
      </c>
      <c r="C533" t="s">
        <v>1335</v>
      </c>
      <c r="D533" s="1">
        <v>45992</v>
      </c>
      <c r="E533">
        <v>2</v>
      </c>
    </row>
    <row r="534" spans="1:5" x14ac:dyDescent="0.25">
      <c r="A534" t="s">
        <v>984</v>
      </c>
      <c r="B534" t="s">
        <v>1337</v>
      </c>
      <c r="C534" t="s">
        <v>1338</v>
      </c>
      <c r="D534" s="1">
        <v>45992</v>
      </c>
      <c r="E534">
        <v>2</v>
      </c>
    </row>
    <row r="535" spans="1:5" x14ac:dyDescent="0.25">
      <c r="A535" t="s">
        <v>984</v>
      </c>
      <c r="B535" t="s">
        <v>1341</v>
      </c>
      <c r="C535" t="s">
        <v>1342</v>
      </c>
      <c r="D535" s="1">
        <v>45992</v>
      </c>
      <c r="E535">
        <v>4</v>
      </c>
    </row>
    <row r="536" spans="1:5" x14ac:dyDescent="0.25">
      <c r="A536" t="s">
        <v>984</v>
      </c>
      <c r="B536" t="s">
        <v>1345</v>
      </c>
      <c r="C536" t="s">
        <v>1346</v>
      </c>
      <c r="D536" s="1">
        <v>45992</v>
      </c>
      <c r="E536">
        <v>4</v>
      </c>
    </row>
    <row r="537" spans="1:5" x14ac:dyDescent="0.25">
      <c r="A537" t="s">
        <v>984</v>
      </c>
      <c r="B537" t="s">
        <v>1349</v>
      </c>
      <c r="C537" t="s">
        <v>1350</v>
      </c>
      <c r="D537" s="1">
        <v>45992</v>
      </c>
      <c r="E537">
        <v>4</v>
      </c>
    </row>
    <row r="538" spans="1:5" x14ac:dyDescent="0.25">
      <c r="A538" t="s">
        <v>984</v>
      </c>
      <c r="B538" t="s">
        <v>1352</v>
      </c>
      <c r="C538" t="s">
        <v>1353</v>
      </c>
      <c r="D538" s="1">
        <v>45992</v>
      </c>
      <c r="E538">
        <v>4</v>
      </c>
    </row>
    <row r="539" spans="1:5" x14ac:dyDescent="0.25">
      <c r="A539" t="s">
        <v>984</v>
      </c>
      <c r="B539" t="s">
        <v>1354</v>
      </c>
      <c r="C539" t="s">
        <v>1355</v>
      </c>
      <c r="D539" s="1">
        <v>45992</v>
      </c>
      <c r="E539">
        <v>1</v>
      </c>
    </row>
    <row r="540" spans="1:5" x14ac:dyDescent="0.25">
      <c r="A540" t="s">
        <v>984</v>
      </c>
      <c r="B540" t="s">
        <v>1356</v>
      </c>
      <c r="C540" t="s">
        <v>1357</v>
      </c>
      <c r="D540" s="1">
        <v>45992</v>
      </c>
      <c r="E540">
        <v>1</v>
      </c>
    </row>
    <row r="541" spans="1:5" x14ac:dyDescent="0.25">
      <c r="A541" t="s">
        <v>984</v>
      </c>
      <c r="B541" t="s">
        <v>1359</v>
      </c>
      <c r="C541" t="s">
        <v>1360</v>
      </c>
      <c r="D541" s="1">
        <v>45992</v>
      </c>
      <c r="E541">
        <v>4</v>
      </c>
    </row>
    <row r="542" spans="1:5" x14ac:dyDescent="0.25">
      <c r="A542" t="s">
        <v>984</v>
      </c>
      <c r="B542" t="s">
        <v>1363</v>
      </c>
      <c r="C542" t="s">
        <v>1364</v>
      </c>
      <c r="D542" s="1">
        <v>45992</v>
      </c>
      <c r="E542">
        <v>4</v>
      </c>
    </row>
    <row r="543" spans="1:5" x14ac:dyDescent="0.25">
      <c r="A543" t="s">
        <v>984</v>
      </c>
      <c r="B543" t="s">
        <v>1366</v>
      </c>
      <c r="C543" t="s">
        <v>1367</v>
      </c>
      <c r="D543" s="1">
        <v>45992</v>
      </c>
      <c r="E543">
        <v>1</v>
      </c>
    </row>
    <row r="544" spans="1:5" x14ac:dyDescent="0.25">
      <c r="A544" t="s">
        <v>984</v>
      </c>
      <c r="B544" t="s">
        <v>1368</v>
      </c>
      <c r="C544" t="s">
        <v>1369</v>
      </c>
      <c r="D544" s="1">
        <v>45992</v>
      </c>
      <c r="E544">
        <v>1</v>
      </c>
    </row>
    <row r="545" spans="1:5" x14ac:dyDescent="0.25">
      <c r="A545" t="s">
        <v>984</v>
      </c>
      <c r="B545" t="s">
        <v>1371</v>
      </c>
      <c r="C545" t="s">
        <v>1372</v>
      </c>
      <c r="D545" s="1">
        <v>45992</v>
      </c>
      <c r="E545">
        <v>4</v>
      </c>
    </row>
    <row r="546" spans="1:5" x14ac:dyDescent="0.25">
      <c r="A546" t="s">
        <v>984</v>
      </c>
      <c r="B546" t="s">
        <v>1374</v>
      </c>
      <c r="C546" t="s">
        <v>1375</v>
      </c>
      <c r="D546" s="1">
        <v>45992</v>
      </c>
      <c r="E546">
        <v>7</v>
      </c>
    </row>
    <row r="547" spans="1:5" x14ac:dyDescent="0.25">
      <c r="A547" t="s">
        <v>984</v>
      </c>
      <c r="B547" t="s">
        <v>1377</v>
      </c>
      <c r="C547" t="s">
        <v>1378</v>
      </c>
      <c r="D547" s="1">
        <v>45992</v>
      </c>
      <c r="E547">
        <v>2</v>
      </c>
    </row>
    <row r="548" spans="1:5" x14ac:dyDescent="0.25">
      <c r="A548" t="s">
        <v>984</v>
      </c>
      <c r="B548" t="s">
        <v>1381</v>
      </c>
      <c r="C548" t="s">
        <v>1382</v>
      </c>
      <c r="D548" s="1">
        <v>45992</v>
      </c>
      <c r="E548">
        <v>4</v>
      </c>
    </row>
    <row r="549" spans="1:5" x14ac:dyDescent="0.25">
      <c r="A549" t="s">
        <v>984</v>
      </c>
      <c r="B549" t="s">
        <v>1383</v>
      </c>
      <c r="C549" t="s">
        <v>1384</v>
      </c>
      <c r="D549" s="1">
        <v>45992</v>
      </c>
      <c r="E549">
        <v>4</v>
      </c>
    </row>
    <row r="550" spans="1:5" x14ac:dyDescent="0.25">
      <c r="A550" t="s">
        <v>984</v>
      </c>
      <c r="B550" t="s">
        <v>1386</v>
      </c>
      <c r="C550" t="s">
        <v>1387</v>
      </c>
      <c r="D550" s="1">
        <v>45992</v>
      </c>
      <c r="E550">
        <v>4</v>
      </c>
    </row>
    <row r="551" spans="1:5" x14ac:dyDescent="0.25">
      <c r="A551" t="s">
        <v>984</v>
      </c>
      <c r="B551" t="s">
        <v>1389</v>
      </c>
      <c r="C551" t="s">
        <v>1390</v>
      </c>
      <c r="D551" s="1">
        <v>45992</v>
      </c>
      <c r="E551">
        <v>2</v>
      </c>
    </row>
    <row r="552" spans="1:5" x14ac:dyDescent="0.25">
      <c r="A552" t="s">
        <v>984</v>
      </c>
      <c r="B552" t="s">
        <v>1392</v>
      </c>
      <c r="C552" t="s">
        <v>1393</v>
      </c>
      <c r="D552" s="1">
        <v>45992</v>
      </c>
      <c r="E552">
        <v>4</v>
      </c>
    </row>
    <row r="553" spans="1:5" x14ac:dyDescent="0.25">
      <c r="A553" t="s">
        <v>984</v>
      </c>
      <c r="B553" t="s">
        <v>1395</v>
      </c>
      <c r="C553" t="s">
        <v>1396</v>
      </c>
      <c r="D553" s="1">
        <v>45992</v>
      </c>
      <c r="E553">
        <v>1</v>
      </c>
    </row>
    <row r="554" spans="1:5" x14ac:dyDescent="0.25">
      <c r="A554" t="s">
        <v>984</v>
      </c>
      <c r="B554" t="s">
        <v>1398</v>
      </c>
      <c r="C554" t="s">
        <v>1399</v>
      </c>
      <c r="D554" s="1">
        <v>45992</v>
      </c>
      <c r="E554">
        <v>4</v>
      </c>
    </row>
    <row r="555" spans="1:5" x14ac:dyDescent="0.25">
      <c r="A555" t="s">
        <v>984</v>
      </c>
      <c r="B555" t="s">
        <v>1401</v>
      </c>
      <c r="C555" t="s">
        <v>1402</v>
      </c>
      <c r="D555" s="1">
        <v>45992</v>
      </c>
      <c r="E555">
        <v>8</v>
      </c>
    </row>
    <row r="556" spans="1:5" x14ac:dyDescent="0.25">
      <c r="A556" t="s">
        <v>984</v>
      </c>
      <c r="B556" t="s">
        <v>1404</v>
      </c>
      <c r="C556" t="s">
        <v>1405</v>
      </c>
      <c r="D556" s="1">
        <v>45992</v>
      </c>
      <c r="E556">
        <v>2</v>
      </c>
    </row>
    <row r="557" spans="1:5" x14ac:dyDescent="0.25">
      <c r="A557" t="s">
        <v>984</v>
      </c>
      <c r="B557" t="s">
        <v>1406</v>
      </c>
      <c r="C557" t="s">
        <v>1407</v>
      </c>
      <c r="D557" s="1">
        <v>45992</v>
      </c>
      <c r="E557">
        <v>2</v>
      </c>
    </row>
    <row r="558" spans="1:5" x14ac:dyDescent="0.25">
      <c r="A558" t="s">
        <v>984</v>
      </c>
      <c r="B558" t="s">
        <v>1409</v>
      </c>
      <c r="C558" t="s">
        <v>1410</v>
      </c>
      <c r="D558" s="1">
        <v>45992</v>
      </c>
      <c r="E558">
        <v>2</v>
      </c>
    </row>
    <row r="559" spans="1:5" x14ac:dyDescent="0.25">
      <c r="A559" t="s">
        <v>984</v>
      </c>
      <c r="B559" t="s">
        <v>1413</v>
      </c>
      <c r="C559" t="s">
        <v>1414</v>
      </c>
      <c r="D559" s="1">
        <v>45992</v>
      </c>
      <c r="E559">
        <v>2</v>
      </c>
    </row>
    <row r="560" spans="1:5" x14ac:dyDescent="0.25">
      <c r="A560" t="s">
        <v>984</v>
      </c>
      <c r="B560" t="s">
        <v>1416</v>
      </c>
      <c r="C560" t="s">
        <v>1417</v>
      </c>
      <c r="D560" s="1">
        <v>45992</v>
      </c>
      <c r="E560">
        <v>2</v>
      </c>
    </row>
    <row r="561" spans="1:5" x14ac:dyDescent="0.25">
      <c r="A561" t="s">
        <v>984</v>
      </c>
      <c r="B561" t="s">
        <v>1419</v>
      </c>
      <c r="C561" t="s">
        <v>1420</v>
      </c>
      <c r="D561" s="1">
        <v>45992</v>
      </c>
      <c r="E561">
        <v>1</v>
      </c>
    </row>
    <row r="562" spans="1:5" x14ac:dyDescent="0.25">
      <c r="A562" t="s">
        <v>984</v>
      </c>
      <c r="B562" t="s">
        <v>1422</v>
      </c>
      <c r="C562" t="s">
        <v>1423</v>
      </c>
      <c r="D562" s="1">
        <v>45992</v>
      </c>
      <c r="E562">
        <v>2</v>
      </c>
    </row>
    <row r="563" spans="1:5" x14ac:dyDescent="0.25">
      <c r="A563" t="s">
        <v>984</v>
      </c>
      <c r="B563" t="s">
        <v>1426</v>
      </c>
      <c r="C563" t="s">
        <v>1427</v>
      </c>
      <c r="D563" s="1">
        <v>45992</v>
      </c>
      <c r="E563">
        <v>1</v>
      </c>
    </row>
    <row r="564" spans="1:5" x14ac:dyDescent="0.25">
      <c r="A564" t="s">
        <v>984</v>
      </c>
      <c r="B564" t="s">
        <v>1429</v>
      </c>
      <c r="C564" t="s">
        <v>1430</v>
      </c>
      <c r="D564" s="1">
        <v>45992</v>
      </c>
      <c r="E564">
        <v>2</v>
      </c>
    </row>
    <row r="565" spans="1:5" x14ac:dyDescent="0.25">
      <c r="A565" t="s">
        <v>984</v>
      </c>
      <c r="B565" t="s">
        <v>1433</v>
      </c>
      <c r="C565" t="s">
        <v>1434</v>
      </c>
      <c r="D565" s="1">
        <v>45992</v>
      </c>
      <c r="E565">
        <v>2</v>
      </c>
    </row>
    <row r="566" spans="1:5" x14ac:dyDescent="0.25">
      <c r="A566" t="s">
        <v>984</v>
      </c>
      <c r="B566" t="s">
        <v>1437</v>
      </c>
      <c r="C566" t="s">
        <v>1438</v>
      </c>
      <c r="D566" s="1">
        <v>45992</v>
      </c>
      <c r="E566">
        <v>1</v>
      </c>
    </row>
    <row r="567" spans="1:5" x14ac:dyDescent="0.25">
      <c r="A567" t="s">
        <v>984</v>
      </c>
      <c r="B567" t="s">
        <v>1439</v>
      </c>
      <c r="C567" t="s">
        <v>1440</v>
      </c>
      <c r="D567" s="1">
        <v>45992</v>
      </c>
      <c r="E567">
        <v>2</v>
      </c>
    </row>
    <row r="568" spans="1:5" x14ac:dyDescent="0.25">
      <c r="A568" t="s">
        <v>984</v>
      </c>
      <c r="B568" t="s">
        <v>1441</v>
      </c>
      <c r="C568" t="s">
        <v>1442</v>
      </c>
      <c r="D568" s="1">
        <v>45992</v>
      </c>
      <c r="E568">
        <v>2</v>
      </c>
    </row>
    <row r="569" spans="1:5" x14ac:dyDescent="0.25">
      <c r="A569" t="s">
        <v>984</v>
      </c>
      <c r="B569" t="s">
        <v>1444</v>
      </c>
      <c r="C569" t="s">
        <v>1445</v>
      </c>
      <c r="D569" s="1">
        <v>45992</v>
      </c>
      <c r="E569">
        <v>24</v>
      </c>
    </row>
    <row r="570" spans="1:5" x14ac:dyDescent="0.25">
      <c r="A570" t="s">
        <v>984</v>
      </c>
      <c r="B570" t="s">
        <v>1447</v>
      </c>
      <c r="C570" t="s">
        <v>1448</v>
      </c>
      <c r="D570" s="1">
        <v>45992</v>
      </c>
      <c r="E570">
        <v>8</v>
      </c>
    </row>
    <row r="571" spans="1:5" x14ac:dyDescent="0.25">
      <c r="A571" t="s">
        <v>984</v>
      </c>
      <c r="B571" t="s">
        <v>1450</v>
      </c>
      <c r="C571" t="s">
        <v>1451</v>
      </c>
      <c r="D571" s="1">
        <v>45992</v>
      </c>
      <c r="E571">
        <v>1</v>
      </c>
    </row>
    <row r="572" spans="1:5" x14ac:dyDescent="0.25">
      <c r="A572" t="s">
        <v>984</v>
      </c>
      <c r="B572" t="s">
        <v>1453</v>
      </c>
      <c r="C572" t="s">
        <v>1454</v>
      </c>
      <c r="D572" s="1">
        <v>45992</v>
      </c>
      <c r="E572">
        <v>1</v>
      </c>
    </row>
    <row r="573" spans="1:5" x14ac:dyDescent="0.25">
      <c r="A573" t="s">
        <v>984</v>
      </c>
      <c r="B573" t="s">
        <v>1456</v>
      </c>
      <c r="C573" t="s">
        <v>1457</v>
      </c>
      <c r="D573" s="1">
        <v>45992</v>
      </c>
      <c r="E573">
        <v>1</v>
      </c>
    </row>
    <row r="574" spans="1:5" x14ac:dyDescent="0.25">
      <c r="A574" t="s">
        <v>984</v>
      </c>
      <c r="B574" t="s">
        <v>1459</v>
      </c>
      <c r="C574" t="s">
        <v>1460</v>
      </c>
      <c r="D574" s="1">
        <v>45992</v>
      </c>
      <c r="E574">
        <v>2</v>
      </c>
    </row>
    <row r="575" spans="1:5" x14ac:dyDescent="0.25">
      <c r="A575" t="s">
        <v>984</v>
      </c>
      <c r="B575" t="s">
        <v>1463</v>
      </c>
      <c r="C575" t="s">
        <v>1464</v>
      </c>
      <c r="D575" s="1">
        <v>45992</v>
      </c>
      <c r="E575">
        <v>2</v>
      </c>
    </row>
    <row r="576" spans="1:5" x14ac:dyDescent="0.25">
      <c r="A576" t="s">
        <v>984</v>
      </c>
      <c r="B576" t="s">
        <v>1467</v>
      </c>
      <c r="C576" t="s">
        <v>1468</v>
      </c>
      <c r="D576" s="1">
        <v>45992</v>
      </c>
      <c r="E576">
        <v>2</v>
      </c>
    </row>
    <row r="577" spans="1:5" x14ac:dyDescent="0.25">
      <c r="A577" t="s">
        <v>984</v>
      </c>
      <c r="B577" t="s">
        <v>1471</v>
      </c>
      <c r="C577" t="s">
        <v>1472</v>
      </c>
      <c r="D577" s="1">
        <v>45992</v>
      </c>
      <c r="E577">
        <v>1</v>
      </c>
    </row>
    <row r="578" spans="1:5" x14ac:dyDescent="0.25">
      <c r="A578" t="s">
        <v>984</v>
      </c>
      <c r="B578" t="s">
        <v>1474</v>
      </c>
      <c r="C578" t="s">
        <v>1475</v>
      </c>
      <c r="D578" s="1">
        <v>45992</v>
      </c>
      <c r="E578">
        <v>2</v>
      </c>
    </row>
    <row r="579" spans="1:5" x14ac:dyDescent="0.25">
      <c r="A579" t="s">
        <v>984</v>
      </c>
      <c r="B579" t="s">
        <v>1478</v>
      </c>
      <c r="C579" t="s">
        <v>1479</v>
      </c>
      <c r="D579" s="1">
        <v>45992</v>
      </c>
      <c r="E579">
        <v>2</v>
      </c>
    </row>
    <row r="580" spans="1:5" x14ac:dyDescent="0.25">
      <c r="A580" t="s">
        <v>984</v>
      </c>
      <c r="B580" t="s">
        <v>1481</v>
      </c>
      <c r="C580" t="s">
        <v>1482</v>
      </c>
      <c r="D580" s="1">
        <v>45992</v>
      </c>
      <c r="E580">
        <v>1</v>
      </c>
    </row>
    <row r="581" spans="1:5" x14ac:dyDescent="0.25">
      <c r="A581" t="s">
        <v>984</v>
      </c>
      <c r="B581" t="s">
        <v>1483</v>
      </c>
      <c r="C581" t="s">
        <v>1484</v>
      </c>
      <c r="D581" s="1">
        <v>45992</v>
      </c>
      <c r="E581">
        <v>1</v>
      </c>
    </row>
    <row r="582" spans="1:5" x14ac:dyDescent="0.25">
      <c r="A582" t="s">
        <v>984</v>
      </c>
      <c r="B582" t="s">
        <v>1486</v>
      </c>
      <c r="C582" t="s">
        <v>1487</v>
      </c>
      <c r="D582" s="1">
        <v>45992</v>
      </c>
      <c r="E582">
        <v>2</v>
      </c>
    </row>
    <row r="583" spans="1:5" x14ac:dyDescent="0.25">
      <c r="A583" t="s">
        <v>984</v>
      </c>
      <c r="B583" t="s">
        <v>1489</v>
      </c>
      <c r="C583" t="s">
        <v>1490</v>
      </c>
      <c r="D583" s="1">
        <v>45992</v>
      </c>
      <c r="E583">
        <v>2</v>
      </c>
    </row>
    <row r="584" spans="1:5" x14ac:dyDescent="0.25">
      <c r="A584" t="s">
        <v>984</v>
      </c>
      <c r="B584" t="s">
        <v>1491</v>
      </c>
      <c r="C584" t="s">
        <v>1492</v>
      </c>
      <c r="D584" s="1">
        <v>45992</v>
      </c>
      <c r="E584">
        <v>2</v>
      </c>
    </row>
    <row r="585" spans="1:5" x14ac:dyDescent="0.25">
      <c r="A585" t="s">
        <v>984</v>
      </c>
      <c r="B585" t="s">
        <v>1494</v>
      </c>
      <c r="C585" t="s">
        <v>1495</v>
      </c>
      <c r="D585" s="1">
        <v>45992</v>
      </c>
      <c r="E585">
        <v>2</v>
      </c>
    </row>
    <row r="586" spans="1:5" x14ac:dyDescent="0.25">
      <c r="A586" t="s">
        <v>984</v>
      </c>
      <c r="B586" t="s">
        <v>1497</v>
      </c>
      <c r="C586" t="s">
        <v>1498</v>
      </c>
      <c r="D586" s="1">
        <v>45992</v>
      </c>
      <c r="E586">
        <v>1</v>
      </c>
    </row>
    <row r="587" spans="1:5" x14ac:dyDescent="0.25">
      <c r="A587" t="s">
        <v>984</v>
      </c>
      <c r="B587" t="s">
        <v>1500</v>
      </c>
      <c r="C587" t="s">
        <v>1501</v>
      </c>
      <c r="D587" s="1">
        <v>45992</v>
      </c>
      <c r="E587">
        <v>1</v>
      </c>
    </row>
    <row r="588" spans="1:5" x14ac:dyDescent="0.25">
      <c r="A588" t="s">
        <v>984</v>
      </c>
      <c r="B588" t="s">
        <v>1503</v>
      </c>
      <c r="C588" t="s">
        <v>1504</v>
      </c>
      <c r="D588" s="1">
        <v>45992</v>
      </c>
      <c r="E588">
        <v>1</v>
      </c>
    </row>
    <row r="589" spans="1:5" x14ac:dyDescent="0.25">
      <c r="A589" t="s">
        <v>984</v>
      </c>
      <c r="B589" t="s">
        <v>1506</v>
      </c>
      <c r="C589" t="s">
        <v>1507</v>
      </c>
      <c r="D589" s="1">
        <v>45992</v>
      </c>
      <c r="E589">
        <v>2</v>
      </c>
    </row>
    <row r="590" spans="1:5" x14ac:dyDescent="0.25">
      <c r="A590" t="s">
        <v>984</v>
      </c>
      <c r="B590" t="s">
        <v>1509</v>
      </c>
      <c r="C590" t="s">
        <v>1510</v>
      </c>
      <c r="D590" s="1">
        <v>45992</v>
      </c>
      <c r="E590">
        <v>2</v>
      </c>
    </row>
    <row r="591" spans="1:5" x14ac:dyDescent="0.25">
      <c r="A591" t="s">
        <v>984</v>
      </c>
      <c r="B591" t="s">
        <v>1511</v>
      </c>
      <c r="C591" t="s">
        <v>1512</v>
      </c>
      <c r="D591" s="1">
        <v>45992</v>
      </c>
      <c r="E591">
        <v>12</v>
      </c>
    </row>
    <row r="592" spans="1:5" x14ac:dyDescent="0.25">
      <c r="A592" t="s">
        <v>984</v>
      </c>
      <c r="B592" t="s">
        <v>1513</v>
      </c>
      <c r="C592" t="s">
        <v>1514</v>
      </c>
      <c r="D592" s="1">
        <v>45992</v>
      </c>
      <c r="E592">
        <v>16</v>
      </c>
    </row>
    <row r="593" spans="1:5" x14ac:dyDescent="0.25">
      <c r="A593" t="s">
        <v>984</v>
      </c>
      <c r="B593" t="s">
        <v>1515</v>
      </c>
      <c r="C593" t="s">
        <v>1516</v>
      </c>
      <c r="D593" s="1">
        <v>45992</v>
      </c>
      <c r="E593">
        <v>2</v>
      </c>
    </row>
    <row r="594" spans="1:5" x14ac:dyDescent="0.25">
      <c r="A594" t="s">
        <v>984</v>
      </c>
      <c r="B594" t="s">
        <v>1517</v>
      </c>
      <c r="C594" t="s">
        <v>1518</v>
      </c>
      <c r="D594" s="1">
        <v>45992</v>
      </c>
      <c r="E594">
        <v>20</v>
      </c>
    </row>
    <row r="595" spans="1:5" x14ac:dyDescent="0.25">
      <c r="A595" t="s">
        <v>984</v>
      </c>
      <c r="B595" t="s">
        <v>1519</v>
      </c>
      <c r="C595" t="s">
        <v>1520</v>
      </c>
      <c r="D595" s="1">
        <v>45992</v>
      </c>
      <c r="E595">
        <v>20</v>
      </c>
    </row>
    <row r="596" spans="1:5" x14ac:dyDescent="0.25">
      <c r="A596" t="s">
        <v>984</v>
      </c>
      <c r="B596" t="s">
        <v>1521</v>
      </c>
      <c r="C596" t="s">
        <v>1522</v>
      </c>
      <c r="D596" s="1">
        <v>45992</v>
      </c>
      <c r="E596">
        <v>2</v>
      </c>
    </row>
    <row r="597" spans="1:5" x14ac:dyDescent="0.25">
      <c r="A597" t="s">
        <v>984</v>
      </c>
      <c r="B597" t="s">
        <v>1523</v>
      </c>
      <c r="C597" t="s">
        <v>1524</v>
      </c>
      <c r="D597" s="1">
        <v>45992</v>
      </c>
      <c r="E597">
        <v>2</v>
      </c>
    </row>
    <row r="598" spans="1:5" x14ac:dyDescent="0.25">
      <c r="A598" t="s">
        <v>984</v>
      </c>
      <c r="B598" t="s">
        <v>1525</v>
      </c>
      <c r="C598" t="s">
        <v>1526</v>
      </c>
      <c r="D598" s="1">
        <v>45992</v>
      </c>
      <c r="E598">
        <v>2</v>
      </c>
    </row>
    <row r="599" spans="1:5" x14ac:dyDescent="0.25">
      <c r="A599" t="s">
        <v>984</v>
      </c>
      <c r="B599" t="s">
        <v>1528</v>
      </c>
      <c r="C599" t="s">
        <v>1529</v>
      </c>
      <c r="D599" s="1">
        <v>45992</v>
      </c>
      <c r="E599">
        <v>2</v>
      </c>
    </row>
    <row r="600" spans="1:5" x14ac:dyDescent="0.25">
      <c r="A600" t="s">
        <v>984</v>
      </c>
      <c r="B600" t="s">
        <v>1532</v>
      </c>
      <c r="C600" t="s">
        <v>1533</v>
      </c>
      <c r="D600" s="1">
        <v>45992</v>
      </c>
      <c r="E600">
        <v>2</v>
      </c>
    </row>
    <row r="601" spans="1:5" x14ac:dyDescent="0.25">
      <c r="A601" t="s">
        <v>984</v>
      </c>
      <c r="B601" t="s">
        <v>1536</v>
      </c>
      <c r="C601" t="s">
        <v>1537</v>
      </c>
      <c r="D601" s="1">
        <v>45992</v>
      </c>
      <c r="E601">
        <v>2</v>
      </c>
    </row>
    <row r="602" spans="1:5" x14ac:dyDescent="0.25">
      <c r="A602" t="s">
        <v>984</v>
      </c>
      <c r="B602" t="s">
        <v>1538</v>
      </c>
      <c r="C602" t="s">
        <v>1539</v>
      </c>
      <c r="D602" s="1">
        <v>45992</v>
      </c>
      <c r="E602">
        <v>2</v>
      </c>
    </row>
    <row r="603" spans="1:5" x14ac:dyDescent="0.25">
      <c r="A603" t="s">
        <v>984</v>
      </c>
      <c r="B603" t="s">
        <v>1540</v>
      </c>
      <c r="C603" t="s">
        <v>1541</v>
      </c>
      <c r="D603" s="1">
        <v>45992</v>
      </c>
      <c r="E603">
        <v>2</v>
      </c>
    </row>
    <row r="604" spans="1:5" x14ac:dyDescent="0.25">
      <c r="A604" t="s">
        <v>984</v>
      </c>
      <c r="B604" t="s">
        <v>1542</v>
      </c>
      <c r="C604" t="s">
        <v>1543</v>
      </c>
      <c r="D604" s="1">
        <v>45992</v>
      </c>
      <c r="E604">
        <v>2</v>
      </c>
    </row>
    <row r="605" spans="1:5" x14ac:dyDescent="0.25">
      <c r="A605" t="s">
        <v>984</v>
      </c>
      <c r="B605" t="s">
        <v>1544</v>
      </c>
      <c r="C605" t="s">
        <v>1545</v>
      </c>
      <c r="D605" s="1">
        <v>45992</v>
      </c>
      <c r="E605">
        <v>4</v>
      </c>
    </row>
    <row r="606" spans="1:5" x14ac:dyDescent="0.25">
      <c r="A606" t="s">
        <v>984</v>
      </c>
      <c r="B606" t="s">
        <v>1546</v>
      </c>
      <c r="C606" t="s">
        <v>1547</v>
      </c>
      <c r="D606" s="1">
        <v>45992</v>
      </c>
      <c r="E606">
        <v>4</v>
      </c>
    </row>
    <row r="607" spans="1:5" x14ac:dyDescent="0.25">
      <c r="A607" t="s">
        <v>984</v>
      </c>
      <c r="B607" t="s">
        <v>1548</v>
      </c>
      <c r="C607" t="s">
        <v>1549</v>
      </c>
      <c r="D607" s="1">
        <v>45992</v>
      </c>
      <c r="E607">
        <v>4</v>
      </c>
    </row>
    <row r="608" spans="1:5" x14ac:dyDescent="0.25">
      <c r="A608" t="s">
        <v>984</v>
      </c>
      <c r="B608" t="s">
        <v>1550</v>
      </c>
      <c r="C608" t="s">
        <v>1551</v>
      </c>
      <c r="D608" s="1">
        <v>45992</v>
      </c>
      <c r="E608">
        <v>4</v>
      </c>
    </row>
    <row r="609" spans="1:5" x14ac:dyDescent="0.25">
      <c r="A609" t="s">
        <v>984</v>
      </c>
      <c r="B609" t="s">
        <v>1552</v>
      </c>
      <c r="C609" t="s">
        <v>1553</v>
      </c>
      <c r="D609" s="1">
        <v>45992</v>
      </c>
      <c r="E609">
        <v>4</v>
      </c>
    </row>
    <row r="610" spans="1:5" x14ac:dyDescent="0.25">
      <c r="A610" t="s">
        <v>984</v>
      </c>
      <c r="B610" t="s">
        <v>1554</v>
      </c>
      <c r="C610" t="s">
        <v>1555</v>
      </c>
      <c r="D610" s="1">
        <v>45992</v>
      </c>
      <c r="E610">
        <v>4</v>
      </c>
    </row>
    <row r="611" spans="1:5" x14ac:dyDescent="0.25">
      <c r="A611" t="s">
        <v>984</v>
      </c>
      <c r="B611" t="s">
        <v>1556</v>
      </c>
      <c r="C611" t="s">
        <v>1557</v>
      </c>
      <c r="D611" s="1">
        <v>45992</v>
      </c>
      <c r="E611">
        <v>4</v>
      </c>
    </row>
    <row r="612" spans="1:5" x14ac:dyDescent="0.25">
      <c r="A612" t="s">
        <v>984</v>
      </c>
      <c r="B612" t="s">
        <v>1559</v>
      </c>
      <c r="C612" t="s">
        <v>1560</v>
      </c>
      <c r="D612" s="1">
        <v>45992</v>
      </c>
      <c r="E612">
        <v>2</v>
      </c>
    </row>
    <row r="613" spans="1:5" x14ac:dyDescent="0.25">
      <c r="A613" t="s">
        <v>984</v>
      </c>
      <c r="B613" t="s">
        <v>1561</v>
      </c>
      <c r="C613" t="s">
        <v>1562</v>
      </c>
      <c r="D613" s="1">
        <v>45992</v>
      </c>
      <c r="E613">
        <v>2</v>
      </c>
    </row>
    <row r="614" spans="1:5" x14ac:dyDescent="0.25">
      <c r="A614" t="s">
        <v>984</v>
      </c>
      <c r="B614" t="s">
        <v>1563</v>
      </c>
      <c r="C614" t="s">
        <v>1564</v>
      </c>
      <c r="D614" s="1">
        <v>45992</v>
      </c>
      <c r="E614">
        <v>2</v>
      </c>
    </row>
    <row r="615" spans="1:5" x14ac:dyDescent="0.25">
      <c r="A615" t="s">
        <v>984</v>
      </c>
      <c r="B615" t="s">
        <v>1565</v>
      </c>
      <c r="C615" t="s">
        <v>1566</v>
      </c>
      <c r="D615" s="1">
        <v>45992</v>
      </c>
      <c r="E615">
        <v>2</v>
      </c>
    </row>
    <row r="616" spans="1:5" x14ac:dyDescent="0.25">
      <c r="A616" t="s">
        <v>984</v>
      </c>
      <c r="B616" t="s">
        <v>1568</v>
      </c>
      <c r="C616" t="s">
        <v>1569</v>
      </c>
      <c r="D616" s="1">
        <v>45992</v>
      </c>
      <c r="E616">
        <v>2</v>
      </c>
    </row>
    <row r="617" spans="1:5" x14ac:dyDescent="0.25">
      <c r="A617" t="s">
        <v>984</v>
      </c>
      <c r="B617" t="s">
        <v>1571</v>
      </c>
      <c r="C617" t="s">
        <v>1572</v>
      </c>
      <c r="D617" s="1">
        <v>45992</v>
      </c>
      <c r="E617">
        <v>38</v>
      </c>
    </row>
    <row r="618" spans="1:5" x14ac:dyDescent="0.25">
      <c r="A618" t="s">
        <v>984</v>
      </c>
      <c r="B618" t="s">
        <v>1574</v>
      </c>
      <c r="C618" t="s">
        <v>1575</v>
      </c>
      <c r="D618" s="1">
        <v>45992</v>
      </c>
      <c r="E618">
        <v>4</v>
      </c>
    </row>
    <row r="619" spans="1:5" x14ac:dyDescent="0.25">
      <c r="A619" t="s">
        <v>984</v>
      </c>
      <c r="B619" t="s">
        <v>1577</v>
      </c>
      <c r="C619" t="s">
        <v>1578</v>
      </c>
      <c r="D619" s="1">
        <v>45992</v>
      </c>
      <c r="E619">
        <v>2</v>
      </c>
    </row>
    <row r="620" spans="1:5" x14ac:dyDescent="0.25">
      <c r="A620" t="s">
        <v>984</v>
      </c>
      <c r="B620" t="s">
        <v>1579</v>
      </c>
      <c r="C620" t="s">
        <v>1580</v>
      </c>
      <c r="D620" s="1">
        <v>45992</v>
      </c>
      <c r="E620">
        <v>5</v>
      </c>
    </row>
    <row r="621" spans="1:5" x14ac:dyDescent="0.25">
      <c r="A621" t="s">
        <v>984</v>
      </c>
      <c r="B621" t="s">
        <v>1582</v>
      </c>
      <c r="C621" t="s">
        <v>1583</v>
      </c>
      <c r="D621" s="1">
        <v>45992</v>
      </c>
      <c r="E621">
        <v>2</v>
      </c>
    </row>
    <row r="622" spans="1:5" x14ac:dyDescent="0.25">
      <c r="A622" t="s">
        <v>984</v>
      </c>
      <c r="B622" t="s">
        <v>1585</v>
      </c>
      <c r="C622" t="s">
        <v>1586</v>
      </c>
      <c r="D622" s="1">
        <v>45992</v>
      </c>
      <c r="E622">
        <v>5</v>
      </c>
    </row>
    <row r="623" spans="1:5" x14ac:dyDescent="0.25">
      <c r="A623" t="s">
        <v>984</v>
      </c>
      <c r="B623" t="s">
        <v>1587</v>
      </c>
      <c r="C623" t="s">
        <v>1588</v>
      </c>
      <c r="D623" s="1">
        <v>45992</v>
      </c>
      <c r="E623">
        <v>9</v>
      </c>
    </row>
    <row r="624" spans="1:5" x14ac:dyDescent="0.25">
      <c r="A624" t="s">
        <v>984</v>
      </c>
      <c r="B624" t="s">
        <v>1589</v>
      </c>
      <c r="C624" t="s">
        <v>1590</v>
      </c>
      <c r="D624" s="1">
        <v>45992</v>
      </c>
      <c r="E624">
        <v>8</v>
      </c>
    </row>
    <row r="625" spans="1:5" x14ac:dyDescent="0.25">
      <c r="A625" t="s">
        <v>984</v>
      </c>
      <c r="B625" t="s">
        <v>1592</v>
      </c>
      <c r="C625" t="s">
        <v>1593</v>
      </c>
      <c r="D625" s="1">
        <v>45992</v>
      </c>
      <c r="E625">
        <v>2</v>
      </c>
    </row>
    <row r="626" spans="1:5" x14ac:dyDescent="0.25">
      <c r="A626" t="s">
        <v>984</v>
      </c>
      <c r="B626" t="s">
        <v>1596</v>
      </c>
      <c r="C626" t="s">
        <v>1597</v>
      </c>
      <c r="D626" s="1">
        <v>45992</v>
      </c>
      <c r="E626">
        <v>2</v>
      </c>
    </row>
    <row r="627" spans="1:5" x14ac:dyDescent="0.25">
      <c r="A627" t="s">
        <v>984</v>
      </c>
      <c r="B627" t="s">
        <v>1599</v>
      </c>
      <c r="C627" t="s">
        <v>1600</v>
      </c>
      <c r="D627" s="1">
        <v>45992</v>
      </c>
      <c r="E627">
        <v>2</v>
      </c>
    </row>
    <row r="628" spans="1:5" x14ac:dyDescent="0.25">
      <c r="A628" t="s">
        <v>984</v>
      </c>
      <c r="B628" t="s">
        <v>1601</v>
      </c>
      <c r="C628" t="s">
        <v>1602</v>
      </c>
      <c r="D628" s="1">
        <v>45992</v>
      </c>
      <c r="E628">
        <v>8</v>
      </c>
    </row>
    <row r="629" spans="1:5" x14ac:dyDescent="0.25">
      <c r="A629" t="s">
        <v>984</v>
      </c>
      <c r="B629" t="s">
        <v>1604</v>
      </c>
      <c r="C629" t="s">
        <v>1605</v>
      </c>
      <c r="D629" s="1">
        <v>45992</v>
      </c>
      <c r="E629">
        <v>2</v>
      </c>
    </row>
    <row r="630" spans="1:5" x14ac:dyDescent="0.25">
      <c r="A630" t="s">
        <v>984</v>
      </c>
      <c r="B630" t="s">
        <v>1608</v>
      </c>
      <c r="C630" t="s">
        <v>1609</v>
      </c>
      <c r="D630" s="1">
        <v>45992</v>
      </c>
      <c r="E630">
        <v>2</v>
      </c>
    </row>
    <row r="631" spans="1:5" x14ac:dyDescent="0.25">
      <c r="A631" t="s">
        <v>984</v>
      </c>
      <c r="B631" t="s">
        <v>1612</v>
      </c>
      <c r="C631" t="s">
        <v>1613</v>
      </c>
      <c r="D631" s="1">
        <v>45992</v>
      </c>
      <c r="E631">
        <v>2</v>
      </c>
    </row>
    <row r="632" spans="1:5" x14ac:dyDescent="0.25">
      <c r="A632" t="s">
        <v>984</v>
      </c>
      <c r="B632" t="s">
        <v>1615</v>
      </c>
      <c r="C632" t="s">
        <v>1616</v>
      </c>
      <c r="D632" s="1">
        <v>45992</v>
      </c>
      <c r="E632">
        <v>8</v>
      </c>
    </row>
    <row r="633" spans="1:5" x14ac:dyDescent="0.25">
      <c r="A633" t="s">
        <v>984</v>
      </c>
      <c r="B633" t="s">
        <v>1618</v>
      </c>
      <c r="C633" t="s">
        <v>1619</v>
      </c>
      <c r="D633" s="1">
        <v>45992</v>
      </c>
      <c r="E633">
        <v>2</v>
      </c>
    </row>
    <row r="634" spans="1:5" x14ac:dyDescent="0.25">
      <c r="A634" t="s">
        <v>984</v>
      </c>
      <c r="B634" t="s">
        <v>1621</v>
      </c>
      <c r="C634" t="s">
        <v>1622</v>
      </c>
      <c r="D634" s="1">
        <v>45992</v>
      </c>
      <c r="E634">
        <v>4</v>
      </c>
    </row>
    <row r="635" spans="1:5" x14ac:dyDescent="0.25">
      <c r="A635" t="s">
        <v>984</v>
      </c>
      <c r="B635" t="s">
        <v>1623</v>
      </c>
      <c r="C635" t="s">
        <v>1624</v>
      </c>
      <c r="D635" s="1">
        <v>45992</v>
      </c>
      <c r="E635">
        <v>4</v>
      </c>
    </row>
    <row r="636" spans="1:5" x14ac:dyDescent="0.25">
      <c r="A636" t="s">
        <v>984</v>
      </c>
      <c r="B636" t="s">
        <v>1626</v>
      </c>
      <c r="C636" t="s">
        <v>1627</v>
      </c>
      <c r="D636" s="1">
        <v>45992</v>
      </c>
      <c r="E636">
        <v>2</v>
      </c>
    </row>
    <row r="637" spans="1:5" x14ac:dyDescent="0.25">
      <c r="A637" t="s">
        <v>984</v>
      </c>
      <c r="B637" t="s">
        <v>1630</v>
      </c>
      <c r="C637" t="s">
        <v>1631</v>
      </c>
      <c r="D637" s="1">
        <v>45992</v>
      </c>
      <c r="E637">
        <v>2</v>
      </c>
    </row>
    <row r="638" spans="1:5" x14ac:dyDescent="0.25">
      <c r="A638" t="s">
        <v>984</v>
      </c>
      <c r="B638" t="s">
        <v>1634</v>
      </c>
      <c r="C638" t="s">
        <v>1635</v>
      </c>
      <c r="D638" s="1">
        <v>45992</v>
      </c>
      <c r="E638">
        <v>1</v>
      </c>
    </row>
    <row r="639" spans="1:5" x14ac:dyDescent="0.25">
      <c r="A639" t="s">
        <v>984</v>
      </c>
      <c r="B639" t="s">
        <v>1637</v>
      </c>
      <c r="C639" t="s">
        <v>1638</v>
      </c>
      <c r="D639" s="1">
        <v>45992</v>
      </c>
      <c r="E639">
        <v>2</v>
      </c>
    </row>
    <row r="640" spans="1:5" x14ac:dyDescent="0.25">
      <c r="A640" t="s">
        <v>984</v>
      </c>
      <c r="B640" t="s">
        <v>1640</v>
      </c>
      <c r="C640" t="s">
        <v>1641</v>
      </c>
      <c r="D640" s="1">
        <v>45992</v>
      </c>
      <c r="E640">
        <v>2</v>
      </c>
    </row>
    <row r="641" spans="1:5" x14ac:dyDescent="0.25">
      <c r="A641" t="s">
        <v>984</v>
      </c>
      <c r="B641" t="s">
        <v>1642</v>
      </c>
      <c r="C641" t="s">
        <v>1643</v>
      </c>
      <c r="D641" s="1">
        <v>45992</v>
      </c>
      <c r="E641">
        <v>2</v>
      </c>
    </row>
    <row r="642" spans="1:5" x14ac:dyDescent="0.25">
      <c r="A642" t="s">
        <v>984</v>
      </c>
      <c r="B642" t="s">
        <v>1645</v>
      </c>
      <c r="C642" t="s">
        <v>1646</v>
      </c>
      <c r="D642" s="1">
        <v>45992</v>
      </c>
      <c r="E642">
        <v>2</v>
      </c>
    </row>
    <row r="643" spans="1:5" x14ac:dyDescent="0.25">
      <c r="A643" t="s">
        <v>984</v>
      </c>
      <c r="B643" t="s">
        <v>1648</v>
      </c>
      <c r="C643" t="s">
        <v>1649</v>
      </c>
      <c r="D643" s="1">
        <v>45992</v>
      </c>
      <c r="E643">
        <v>11</v>
      </c>
    </row>
    <row r="644" spans="1:5" x14ac:dyDescent="0.25">
      <c r="A644" t="s">
        <v>984</v>
      </c>
      <c r="B644" t="s">
        <v>1650</v>
      </c>
      <c r="C644" t="s">
        <v>1651</v>
      </c>
      <c r="D644" s="1">
        <v>45992</v>
      </c>
      <c r="E644">
        <v>12</v>
      </c>
    </row>
    <row r="645" spans="1:5" x14ac:dyDescent="0.25">
      <c r="A645" t="s">
        <v>984</v>
      </c>
      <c r="B645" t="s">
        <v>1652</v>
      </c>
      <c r="C645" t="s">
        <v>1653</v>
      </c>
      <c r="D645" s="1">
        <v>45992</v>
      </c>
      <c r="E645">
        <v>2</v>
      </c>
    </row>
    <row r="646" spans="1:5" x14ac:dyDescent="0.25">
      <c r="A646" t="s">
        <v>984</v>
      </c>
      <c r="B646" t="s">
        <v>1655</v>
      </c>
      <c r="C646" t="s">
        <v>1656</v>
      </c>
      <c r="D646" s="1">
        <v>45992</v>
      </c>
      <c r="E646">
        <v>2</v>
      </c>
    </row>
    <row r="647" spans="1:5" x14ac:dyDescent="0.25">
      <c r="A647" t="s">
        <v>984</v>
      </c>
      <c r="B647" t="s">
        <v>1658</v>
      </c>
      <c r="C647" t="s">
        <v>1659</v>
      </c>
      <c r="D647" s="1">
        <v>45992</v>
      </c>
      <c r="E647">
        <v>2</v>
      </c>
    </row>
    <row r="648" spans="1:5" x14ac:dyDescent="0.25">
      <c r="A648" t="s">
        <v>984</v>
      </c>
      <c r="B648" t="s">
        <v>1662</v>
      </c>
      <c r="C648" t="s">
        <v>1663</v>
      </c>
      <c r="D648" s="1">
        <v>45992</v>
      </c>
      <c r="E648">
        <v>2</v>
      </c>
    </row>
    <row r="649" spans="1:5" x14ac:dyDescent="0.25">
      <c r="A649" t="s">
        <v>984</v>
      </c>
      <c r="B649" t="s">
        <v>1666</v>
      </c>
      <c r="C649" t="s">
        <v>1667</v>
      </c>
      <c r="D649" s="1">
        <v>45992</v>
      </c>
      <c r="E649">
        <v>12</v>
      </c>
    </row>
    <row r="650" spans="1:5" x14ac:dyDescent="0.25">
      <c r="A650" t="s">
        <v>984</v>
      </c>
      <c r="B650" t="s">
        <v>1670</v>
      </c>
      <c r="C650" t="s">
        <v>1671</v>
      </c>
      <c r="D650" s="1">
        <v>45992</v>
      </c>
      <c r="E650">
        <v>4</v>
      </c>
    </row>
    <row r="651" spans="1:5" x14ac:dyDescent="0.25">
      <c r="A651" t="s">
        <v>984</v>
      </c>
      <c r="B651" t="s">
        <v>1673</v>
      </c>
      <c r="C651" t="s">
        <v>1674</v>
      </c>
      <c r="D651" s="1">
        <v>45992</v>
      </c>
      <c r="E651">
        <v>4</v>
      </c>
    </row>
    <row r="652" spans="1:5" x14ac:dyDescent="0.25">
      <c r="A652" t="s">
        <v>984</v>
      </c>
      <c r="B652" t="s">
        <v>1676</v>
      </c>
      <c r="C652" t="s">
        <v>1677</v>
      </c>
      <c r="D652" s="1">
        <v>45992</v>
      </c>
      <c r="E652">
        <v>2</v>
      </c>
    </row>
    <row r="653" spans="1:5" x14ac:dyDescent="0.25">
      <c r="A653" t="s">
        <v>984</v>
      </c>
      <c r="B653" t="s">
        <v>1679</v>
      </c>
      <c r="C653" t="s">
        <v>1680</v>
      </c>
      <c r="D653" s="1">
        <v>45992</v>
      </c>
      <c r="E653">
        <v>2</v>
      </c>
    </row>
    <row r="654" spans="1:5" x14ac:dyDescent="0.25">
      <c r="A654" t="s">
        <v>984</v>
      </c>
      <c r="B654" t="s">
        <v>1682</v>
      </c>
      <c r="C654" t="s">
        <v>1683</v>
      </c>
      <c r="D654" s="1">
        <v>45992</v>
      </c>
      <c r="E654">
        <v>2</v>
      </c>
    </row>
    <row r="655" spans="1:5" x14ac:dyDescent="0.25">
      <c r="A655" t="s">
        <v>984</v>
      </c>
      <c r="B655" t="s">
        <v>1684</v>
      </c>
      <c r="C655" t="s">
        <v>1685</v>
      </c>
      <c r="D655" s="1">
        <v>45992</v>
      </c>
      <c r="E655">
        <v>2</v>
      </c>
    </row>
    <row r="656" spans="1:5" x14ac:dyDescent="0.25">
      <c r="A656" t="s">
        <v>984</v>
      </c>
      <c r="B656" t="s">
        <v>1686</v>
      </c>
      <c r="C656" t="s">
        <v>1687</v>
      </c>
      <c r="D656" s="1">
        <v>45992</v>
      </c>
      <c r="E656">
        <v>2</v>
      </c>
    </row>
    <row r="657" spans="1:5" x14ac:dyDescent="0.25">
      <c r="A657" t="s">
        <v>984</v>
      </c>
      <c r="B657" t="s">
        <v>1689</v>
      </c>
      <c r="C657" t="s">
        <v>1690</v>
      </c>
      <c r="D657" s="1">
        <v>45992</v>
      </c>
      <c r="E657">
        <v>2</v>
      </c>
    </row>
    <row r="658" spans="1:5" x14ac:dyDescent="0.25">
      <c r="A658" t="s">
        <v>984</v>
      </c>
      <c r="B658" t="s">
        <v>1692</v>
      </c>
      <c r="C658" t="s">
        <v>1693</v>
      </c>
      <c r="D658" s="1">
        <v>45992</v>
      </c>
      <c r="E658">
        <v>2</v>
      </c>
    </row>
    <row r="659" spans="1:5" x14ac:dyDescent="0.25">
      <c r="A659" t="s">
        <v>984</v>
      </c>
      <c r="B659" t="s">
        <v>1695</v>
      </c>
      <c r="C659" t="s">
        <v>1696</v>
      </c>
      <c r="D659" s="1">
        <v>45992</v>
      </c>
      <c r="E659">
        <v>2</v>
      </c>
    </row>
    <row r="660" spans="1:5" x14ac:dyDescent="0.25">
      <c r="A660" t="s">
        <v>984</v>
      </c>
      <c r="B660" t="s">
        <v>1698</v>
      </c>
      <c r="C660" t="s">
        <v>1699</v>
      </c>
      <c r="D660" s="1">
        <v>45992</v>
      </c>
      <c r="E660">
        <v>2</v>
      </c>
    </row>
    <row r="661" spans="1:5" x14ac:dyDescent="0.25">
      <c r="A661" t="s">
        <v>984</v>
      </c>
      <c r="B661" t="s">
        <v>1701</v>
      </c>
      <c r="C661" t="s">
        <v>1702</v>
      </c>
      <c r="D661" s="1">
        <v>45992</v>
      </c>
      <c r="E661">
        <v>2</v>
      </c>
    </row>
    <row r="662" spans="1:5" x14ac:dyDescent="0.25">
      <c r="A662" t="s">
        <v>984</v>
      </c>
      <c r="B662" t="s">
        <v>1704</v>
      </c>
      <c r="C662" t="s">
        <v>1705</v>
      </c>
      <c r="D662" s="1">
        <v>45992</v>
      </c>
      <c r="E662">
        <v>2</v>
      </c>
    </row>
    <row r="663" spans="1:5" x14ac:dyDescent="0.25">
      <c r="A663" t="s">
        <v>984</v>
      </c>
      <c r="B663" t="s">
        <v>1707</v>
      </c>
      <c r="C663" t="s">
        <v>1708</v>
      </c>
      <c r="D663" s="1">
        <v>45992</v>
      </c>
      <c r="E663">
        <v>2</v>
      </c>
    </row>
    <row r="664" spans="1:5" x14ac:dyDescent="0.25">
      <c r="A664" t="s">
        <v>984</v>
      </c>
      <c r="B664" t="s">
        <v>1709</v>
      </c>
      <c r="C664" t="s">
        <v>1710</v>
      </c>
      <c r="D664" s="1">
        <v>45992</v>
      </c>
      <c r="E664">
        <v>2</v>
      </c>
    </row>
    <row r="665" spans="1:5" x14ac:dyDescent="0.25">
      <c r="A665" t="s">
        <v>984</v>
      </c>
      <c r="B665" t="s">
        <v>1712</v>
      </c>
      <c r="C665" t="s">
        <v>1713</v>
      </c>
      <c r="D665" s="1">
        <v>45992</v>
      </c>
      <c r="E665">
        <v>2</v>
      </c>
    </row>
    <row r="666" spans="1:5" x14ac:dyDescent="0.25">
      <c r="A666" t="s">
        <v>984</v>
      </c>
      <c r="B666" t="s">
        <v>1715</v>
      </c>
      <c r="C666" t="s">
        <v>1716</v>
      </c>
      <c r="D666" s="1">
        <v>45992</v>
      </c>
      <c r="E666">
        <v>3</v>
      </c>
    </row>
    <row r="667" spans="1:5" x14ac:dyDescent="0.25">
      <c r="A667" t="s">
        <v>984</v>
      </c>
      <c r="B667" t="s">
        <v>1718</v>
      </c>
      <c r="C667" t="s">
        <v>1719</v>
      </c>
      <c r="D667" s="1">
        <v>45992</v>
      </c>
      <c r="E667">
        <v>2</v>
      </c>
    </row>
    <row r="668" spans="1:5" x14ac:dyDescent="0.25">
      <c r="A668" t="s">
        <v>984</v>
      </c>
      <c r="B668" t="s">
        <v>1721</v>
      </c>
      <c r="C668" t="s">
        <v>1722</v>
      </c>
      <c r="D668" s="1">
        <v>45992</v>
      </c>
      <c r="E668">
        <v>2</v>
      </c>
    </row>
    <row r="669" spans="1:5" x14ac:dyDescent="0.25">
      <c r="A669" t="s">
        <v>984</v>
      </c>
      <c r="B669" t="s">
        <v>1724</v>
      </c>
      <c r="C669" t="s">
        <v>1725</v>
      </c>
      <c r="D669" s="1">
        <v>45992</v>
      </c>
      <c r="E669">
        <v>2</v>
      </c>
    </row>
    <row r="670" spans="1:5" x14ac:dyDescent="0.25">
      <c r="A670" t="s">
        <v>984</v>
      </c>
      <c r="B670" t="s">
        <v>1727</v>
      </c>
      <c r="C670" t="s">
        <v>1728</v>
      </c>
      <c r="D670" s="1">
        <v>45992</v>
      </c>
      <c r="E670">
        <v>2</v>
      </c>
    </row>
    <row r="671" spans="1:5" x14ac:dyDescent="0.25">
      <c r="A671" t="s">
        <v>984</v>
      </c>
      <c r="B671" t="s">
        <v>1730</v>
      </c>
      <c r="C671" t="s">
        <v>1731</v>
      </c>
      <c r="D671" s="1">
        <v>45992</v>
      </c>
      <c r="E671">
        <v>3</v>
      </c>
    </row>
    <row r="672" spans="1:5" x14ac:dyDescent="0.25">
      <c r="A672" t="s">
        <v>984</v>
      </c>
      <c r="B672" t="s">
        <v>1734</v>
      </c>
      <c r="C672" t="s">
        <v>1735</v>
      </c>
      <c r="D672" s="1">
        <v>45992</v>
      </c>
      <c r="E672">
        <v>1</v>
      </c>
    </row>
    <row r="673" spans="1:5" x14ac:dyDescent="0.25">
      <c r="A673" t="s">
        <v>984</v>
      </c>
      <c r="B673" t="s">
        <v>1736</v>
      </c>
      <c r="C673" t="s">
        <v>1737</v>
      </c>
      <c r="D673" s="1">
        <v>45992</v>
      </c>
      <c r="E673">
        <v>2</v>
      </c>
    </row>
    <row r="674" spans="1:5" x14ac:dyDescent="0.25">
      <c r="A674" t="s">
        <v>984</v>
      </c>
      <c r="B674" t="s">
        <v>1738</v>
      </c>
      <c r="C674" t="s">
        <v>1739</v>
      </c>
      <c r="D674" s="1">
        <v>45992</v>
      </c>
      <c r="E674">
        <v>2</v>
      </c>
    </row>
    <row r="675" spans="1:5" x14ac:dyDescent="0.25">
      <c r="A675" t="s">
        <v>984</v>
      </c>
      <c r="B675" t="s">
        <v>1741</v>
      </c>
      <c r="C675" t="s">
        <v>1742</v>
      </c>
      <c r="D675" s="1">
        <v>45992</v>
      </c>
      <c r="E675">
        <v>2</v>
      </c>
    </row>
    <row r="676" spans="1:5" x14ac:dyDescent="0.25">
      <c r="A676" t="s">
        <v>984</v>
      </c>
      <c r="B676" t="s">
        <v>1745</v>
      </c>
      <c r="C676" t="s">
        <v>1746</v>
      </c>
      <c r="D676" s="1">
        <v>45992</v>
      </c>
      <c r="E676">
        <v>2</v>
      </c>
    </row>
    <row r="677" spans="1:5" x14ac:dyDescent="0.25">
      <c r="A677" t="s">
        <v>984</v>
      </c>
      <c r="B677" t="s">
        <v>1748</v>
      </c>
      <c r="C677" t="s">
        <v>1749</v>
      </c>
      <c r="D677" s="1">
        <v>45992</v>
      </c>
      <c r="E677">
        <v>2</v>
      </c>
    </row>
    <row r="678" spans="1:5" x14ac:dyDescent="0.25">
      <c r="A678" t="s">
        <v>984</v>
      </c>
      <c r="B678" t="s">
        <v>1750</v>
      </c>
      <c r="C678" t="s">
        <v>1751</v>
      </c>
      <c r="D678" s="1">
        <v>45992</v>
      </c>
      <c r="E678">
        <v>4</v>
      </c>
    </row>
    <row r="679" spans="1:5" x14ac:dyDescent="0.25">
      <c r="A679" t="s">
        <v>984</v>
      </c>
      <c r="B679" t="s">
        <v>1752</v>
      </c>
      <c r="C679" t="s">
        <v>1753</v>
      </c>
      <c r="D679" s="1">
        <v>45992</v>
      </c>
      <c r="E679">
        <v>4</v>
      </c>
    </row>
    <row r="680" spans="1:5" x14ac:dyDescent="0.25">
      <c r="A680" t="s">
        <v>984</v>
      </c>
      <c r="B680" t="s">
        <v>1754</v>
      </c>
      <c r="C680" t="s">
        <v>1755</v>
      </c>
      <c r="D680" s="1">
        <v>45992</v>
      </c>
      <c r="E680">
        <v>2</v>
      </c>
    </row>
    <row r="681" spans="1:5" x14ac:dyDescent="0.25">
      <c r="A681" t="s">
        <v>984</v>
      </c>
      <c r="B681" t="s">
        <v>1757</v>
      </c>
      <c r="C681" t="s">
        <v>1758</v>
      </c>
      <c r="D681" s="1">
        <v>45992</v>
      </c>
      <c r="E681">
        <v>2</v>
      </c>
    </row>
    <row r="682" spans="1:5" x14ac:dyDescent="0.25">
      <c r="A682" t="s">
        <v>984</v>
      </c>
      <c r="B682" t="s">
        <v>1761</v>
      </c>
      <c r="C682" t="s">
        <v>1762</v>
      </c>
      <c r="D682" s="1">
        <v>45992</v>
      </c>
      <c r="E682">
        <v>2</v>
      </c>
    </row>
    <row r="683" spans="1:5" x14ac:dyDescent="0.25">
      <c r="A683" t="s">
        <v>984</v>
      </c>
      <c r="B683" t="s">
        <v>1764</v>
      </c>
      <c r="C683" t="s">
        <v>1765</v>
      </c>
      <c r="D683" s="1">
        <v>45992</v>
      </c>
      <c r="E683">
        <v>2</v>
      </c>
    </row>
    <row r="684" spans="1:5" x14ac:dyDescent="0.25">
      <c r="A684" t="s">
        <v>984</v>
      </c>
      <c r="B684" t="s">
        <v>1767</v>
      </c>
      <c r="C684" t="s">
        <v>1768</v>
      </c>
      <c r="D684" s="1">
        <v>45992</v>
      </c>
      <c r="E684">
        <v>2</v>
      </c>
    </row>
    <row r="685" spans="1:5" x14ac:dyDescent="0.25">
      <c r="A685" t="s">
        <v>984</v>
      </c>
      <c r="B685" t="s">
        <v>1771</v>
      </c>
      <c r="C685" t="s">
        <v>1772</v>
      </c>
      <c r="D685" s="1">
        <v>45992</v>
      </c>
      <c r="E685">
        <v>2</v>
      </c>
    </row>
    <row r="686" spans="1:5" x14ac:dyDescent="0.25">
      <c r="A686" t="s">
        <v>984</v>
      </c>
      <c r="B686" t="s">
        <v>1774</v>
      </c>
      <c r="C686" t="s">
        <v>1775</v>
      </c>
      <c r="D686" s="1">
        <v>45992</v>
      </c>
      <c r="E686">
        <v>2</v>
      </c>
    </row>
    <row r="687" spans="1:5" x14ac:dyDescent="0.25">
      <c r="A687" t="s">
        <v>984</v>
      </c>
      <c r="B687" t="s">
        <v>1776</v>
      </c>
      <c r="C687" t="s">
        <v>1777</v>
      </c>
      <c r="D687" s="1">
        <v>45992</v>
      </c>
      <c r="E687">
        <v>2</v>
      </c>
    </row>
    <row r="688" spans="1:5" x14ac:dyDescent="0.25">
      <c r="A688" t="s">
        <v>984</v>
      </c>
      <c r="B688" t="s">
        <v>1778</v>
      </c>
      <c r="C688" t="s">
        <v>1779</v>
      </c>
      <c r="D688" s="1">
        <v>45992</v>
      </c>
      <c r="E688">
        <v>2</v>
      </c>
    </row>
    <row r="689" spans="1:5" x14ac:dyDescent="0.25">
      <c r="A689" t="s">
        <v>984</v>
      </c>
      <c r="B689" t="s">
        <v>1781</v>
      </c>
      <c r="C689" t="s">
        <v>1782</v>
      </c>
      <c r="D689" s="1">
        <v>45992</v>
      </c>
      <c r="E689">
        <v>2</v>
      </c>
    </row>
    <row r="690" spans="1:5" x14ac:dyDescent="0.25">
      <c r="A690" t="s">
        <v>984</v>
      </c>
      <c r="B690" t="s">
        <v>1783</v>
      </c>
      <c r="C690" t="s">
        <v>1784</v>
      </c>
      <c r="D690" s="1">
        <v>45992</v>
      </c>
      <c r="E690">
        <v>4</v>
      </c>
    </row>
    <row r="691" spans="1:5" x14ac:dyDescent="0.25">
      <c r="A691" t="s">
        <v>984</v>
      </c>
      <c r="B691" t="s">
        <v>1785</v>
      </c>
      <c r="C691" t="s">
        <v>1786</v>
      </c>
      <c r="D691" s="1">
        <v>45992</v>
      </c>
      <c r="E691">
        <v>4</v>
      </c>
    </row>
    <row r="692" spans="1:5" x14ac:dyDescent="0.25">
      <c r="A692" t="s">
        <v>984</v>
      </c>
      <c r="B692" t="s">
        <v>514</v>
      </c>
      <c r="C692" t="s">
        <v>515</v>
      </c>
      <c r="D692" s="1">
        <v>45992</v>
      </c>
      <c r="E692">
        <v>30</v>
      </c>
    </row>
    <row r="693" spans="1:5" x14ac:dyDescent="0.25">
      <c r="A693" t="s">
        <v>984</v>
      </c>
      <c r="B693" t="s">
        <v>1789</v>
      </c>
      <c r="C693" t="s">
        <v>1790</v>
      </c>
      <c r="D693" s="1">
        <v>45992</v>
      </c>
      <c r="E693">
        <v>2</v>
      </c>
    </row>
    <row r="694" spans="1:5" x14ac:dyDescent="0.25">
      <c r="A694" t="s">
        <v>1791</v>
      </c>
      <c r="B694" t="s">
        <v>205</v>
      </c>
      <c r="C694" t="s">
        <v>896</v>
      </c>
      <c r="D694" s="1">
        <v>45975</v>
      </c>
      <c r="E694">
        <v>181</v>
      </c>
    </row>
    <row r="695" spans="1:5" x14ac:dyDescent="0.25">
      <c r="A695" t="s">
        <v>1791</v>
      </c>
      <c r="B695" t="s">
        <v>43</v>
      </c>
      <c r="C695" t="s">
        <v>163</v>
      </c>
      <c r="D695" s="1">
        <v>45975</v>
      </c>
      <c r="E695">
        <v>4</v>
      </c>
    </row>
    <row r="696" spans="1:5" x14ac:dyDescent="0.25">
      <c r="A696" t="s">
        <v>1791</v>
      </c>
      <c r="B696" t="s">
        <v>1792</v>
      </c>
      <c r="C696" t="s">
        <v>1793</v>
      </c>
      <c r="D696" s="1">
        <v>45975</v>
      </c>
      <c r="E696">
        <v>4</v>
      </c>
    </row>
    <row r="697" spans="1:5" x14ac:dyDescent="0.25">
      <c r="A697" t="s">
        <v>1791</v>
      </c>
      <c r="B697" t="s">
        <v>766</v>
      </c>
      <c r="C697" t="s">
        <v>767</v>
      </c>
      <c r="D697" s="1">
        <v>45975</v>
      </c>
      <c r="E697">
        <v>2</v>
      </c>
    </row>
    <row r="698" spans="1:5" x14ac:dyDescent="0.25">
      <c r="A698" t="s">
        <v>1791</v>
      </c>
      <c r="B698" t="s">
        <v>785</v>
      </c>
      <c r="C698" t="s">
        <v>786</v>
      </c>
      <c r="D698" s="1">
        <v>45975</v>
      </c>
      <c r="E698">
        <v>21</v>
      </c>
    </row>
    <row r="699" spans="1:5" x14ac:dyDescent="0.25">
      <c r="A699" t="s">
        <v>1791</v>
      </c>
      <c r="B699" t="s">
        <v>131</v>
      </c>
      <c r="C699" t="s">
        <v>158</v>
      </c>
      <c r="D699" s="1">
        <v>45975</v>
      </c>
      <c r="E699">
        <v>6</v>
      </c>
    </row>
    <row r="700" spans="1:5" x14ac:dyDescent="0.25">
      <c r="A700" t="s">
        <v>1791</v>
      </c>
      <c r="B700" t="s">
        <v>787</v>
      </c>
      <c r="C700" t="s">
        <v>788</v>
      </c>
      <c r="D700" s="1">
        <v>45975</v>
      </c>
      <c r="E700">
        <v>7</v>
      </c>
    </row>
    <row r="701" spans="1:5" x14ac:dyDescent="0.25">
      <c r="A701" t="s">
        <v>1791</v>
      </c>
      <c r="B701" t="s">
        <v>478</v>
      </c>
      <c r="C701" t="s">
        <v>479</v>
      </c>
      <c r="D701" s="1">
        <v>45975</v>
      </c>
      <c r="E701">
        <v>7</v>
      </c>
    </row>
    <row r="702" spans="1:5" x14ac:dyDescent="0.25">
      <c r="A702" t="s">
        <v>1791</v>
      </c>
      <c r="B702" t="s">
        <v>921</v>
      </c>
      <c r="C702" t="s">
        <v>922</v>
      </c>
      <c r="D702" s="1">
        <v>45975</v>
      </c>
      <c r="E702">
        <v>7</v>
      </c>
    </row>
    <row r="703" spans="1:5" x14ac:dyDescent="0.25">
      <c r="A703" t="s">
        <v>1791</v>
      </c>
      <c r="B703" t="s">
        <v>951</v>
      </c>
      <c r="C703" t="s">
        <v>956</v>
      </c>
      <c r="D703" s="1">
        <v>45975</v>
      </c>
      <c r="E703">
        <v>2</v>
      </c>
    </row>
    <row r="704" spans="1:5" x14ac:dyDescent="0.25">
      <c r="A704" t="s">
        <v>1791</v>
      </c>
      <c r="B704" t="s">
        <v>481</v>
      </c>
      <c r="C704" t="s">
        <v>482</v>
      </c>
      <c r="D704" s="1">
        <v>45975</v>
      </c>
      <c r="E704">
        <v>13</v>
      </c>
    </row>
    <row r="705" spans="1:5" x14ac:dyDescent="0.25">
      <c r="A705" t="s">
        <v>1791</v>
      </c>
      <c r="B705" t="s">
        <v>1794</v>
      </c>
      <c r="C705" t="s">
        <v>1795</v>
      </c>
      <c r="D705" s="1">
        <v>45975</v>
      </c>
      <c r="E705">
        <v>13</v>
      </c>
    </row>
    <row r="706" spans="1:5" x14ac:dyDescent="0.25">
      <c r="A706" t="s">
        <v>1791</v>
      </c>
      <c r="B706" t="s">
        <v>263</v>
      </c>
      <c r="C706" t="s">
        <v>930</v>
      </c>
      <c r="D706" s="1">
        <v>45975</v>
      </c>
      <c r="E706">
        <v>7</v>
      </c>
    </row>
    <row r="707" spans="1:5" x14ac:dyDescent="0.25">
      <c r="A707" t="s">
        <v>1791</v>
      </c>
      <c r="B707" t="s">
        <v>130</v>
      </c>
      <c r="C707" t="s">
        <v>138</v>
      </c>
      <c r="D707" s="1">
        <v>45975</v>
      </c>
      <c r="E707">
        <v>7</v>
      </c>
    </row>
    <row r="708" spans="1:5" x14ac:dyDescent="0.25">
      <c r="A708" t="s">
        <v>1791</v>
      </c>
      <c r="B708" t="s">
        <v>264</v>
      </c>
      <c r="C708" t="s">
        <v>265</v>
      </c>
      <c r="D708" s="1">
        <v>45975</v>
      </c>
      <c r="E708">
        <v>8</v>
      </c>
    </row>
    <row r="709" spans="1:5" x14ac:dyDescent="0.25">
      <c r="A709" t="s">
        <v>1791</v>
      </c>
      <c r="B709" t="s">
        <v>483</v>
      </c>
      <c r="C709" t="s">
        <v>484</v>
      </c>
      <c r="D709" s="1">
        <v>45975</v>
      </c>
      <c r="E709">
        <v>7</v>
      </c>
    </row>
    <row r="710" spans="1:5" x14ac:dyDescent="0.25">
      <c r="A710" t="s">
        <v>1791</v>
      </c>
      <c r="B710" t="s">
        <v>1796</v>
      </c>
      <c r="C710" t="s">
        <v>1797</v>
      </c>
      <c r="D710" s="1">
        <v>45975</v>
      </c>
      <c r="E710">
        <v>1</v>
      </c>
    </row>
    <row r="711" spans="1:5" x14ac:dyDescent="0.25">
      <c r="A711" t="s">
        <v>1791</v>
      </c>
      <c r="B711" t="s">
        <v>1798</v>
      </c>
      <c r="C711" t="s">
        <v>1799</v>
      </c>
      <c r="D711" s="1">
        <v>45975</v>
      </c>
      <c r="E711">
        <v>5</v>
      </c>
    </row>
    <row r="712" spans="1:5" x14ac:dyDescent="0.25">
      <c r="A712" t="s">
        <v>1791</v>
      </c>
      <c r="B712" t="s">
        <v>314</v>
      </c>
      <c r="C712" t="s">
        <v>315</v>
      </c>
      <c r="D712" s="1">
        <v>45975</v>
      </c>
      <c r="E712">
        <v>7</v>
      </c>
    </row>
    <row r="713" spans="1:5" x14ac:dyDescent="0.25">
      <c r="A713" t="s">
        <v>1791</v>
      </c>
      <c r="B713" t="s">
        <v>268</v>
      </c>
      <c r="C713" t="s">
        <v>269</v>
      </c>
      <c r="D713" s="1">
        <v>45975</v>
      </c>
      <c r="E713">
        <v>2</v>
      </c>
    </row>
    <row r="714" spans="1:5" x14ac:dyDescent="0.25">
      <c r="A714" t="s">
        <v>1791</v>
      </c>
      <c r="B714" t="s">
        <v>104</v>
      </c>
      <c r="C714" t="s">
        <v>105</v>
      </c>
      <c r="D714" s="1">
        <v>45975</v>
      </c>
      <c r="E714">
        <v>8</v>
      </c>
    </row>
    <row r="715" spans="1:5" x14ac:dyDescent="0.25">
      <c r="A715" t="s">
        <v>1791</v>
      </c>
      <c r="B715" t="s">
        <v>937</v>
      </c>
      <c r="C715" t="s">
        <v>938</v>
      </c>
      <c r="D715" s="1">
        <v>45975</v>
      </c>
      <c r="E715">
        <v>2</v>
      </c>
    </row>
    <row r="716" spans="1:5" x14ac:dyDescent="0.25">
      <c r="A716" t="s">
        <v>1791</v>
      </c>
      <c r="B716" t="s">
        <v>946</v>
      </c>
      <c r="C716" t="s">
        <v>947</v>
      </c>
      <c r="D716" s="1">
        <v>45975</v>
      </c>
      <c r="E716">
        <v>30</v>
      </c>
    </row>
    <row r="717" spans="1:5" x14ac:dyDescent="0.25">
      <c r="A717" t="s">
        <v>1791</v>
      </c>
      <c r="B717" t="s">
        <v>1800</v>
      </c>
      <c r="C717" t="s">
        <v>1801</v>
      </c>
      <c r="D717" s="1">
        <v>45975</v>
      </c>
      <c r="E717">
        <v>14</v>
      </c>
    </row>
    <row r="718" spans="1:5" x14ac:dyDescent="0.25">
      <c r="A718" t="s">
        <v>1791</v>
      </c>
      <c r="B718" t="s">
        <v>116</v>
      </c>
      <c r="C718" t="s">
        <v>161</v>
      </c>
      <c r="D718" s="1">
        <v>45975</v>
      </c>
      <c r="E718">
        <v>5</v>
      </c>
    </row>
    <row r="719" spans="1:5" x14ac:dyDescent="0.25">
      <c r="A719" t="s">
        <v>1791</v>
      </c>
      <c r="B719" t="s">
        <v>1802</v>
      </c>
      <c r="C719" t="s">
        <v>1803</v>
      </c>
      <c r="D719" s="1">
        <v>45975</v>
      </c>
      <c r="E719">
        <v>4</v>
      </c>
    </row>
    <row r="720" spans="1:5" x14ac:dyDescent="0.25">
      <c r="A720" t="s">
        <v>1791</v>
      </c>
      <c r="B720" t="s">
        <v>954</v>
      </c>
      <c r="C720" t="s">
        <v>958</v>
      </c>
      <c r="D720" s="1">
        <v>45975</v>
      </c>
      <c r="E720">
        <v>18</v>
      </c>
    </row>
    <row r="721" spans="1:5" x14ac:dyDescent="0.25">
      <c r="A721" t="s">
        <v>1845</v>
      </c>
      <c r="B721" t="s">
        <v>855</v>
      </c>
      <c r="C721" t="s">
        <v>856</v>
      </c>
      <c r="D721" s="1">
        <v>45925</v>
      </c>
      <c r="E721">
        <v>10</v>
      </c>
    </row>
    <row r="722" spans="1:5" x14ac:dyDescent="0.25">
      <c r="A722" t="s">
        <v>1845</v>
      </c>
      <c r="B722" t="s">
        <v>1810</v>
      </c>
      <c r="C722" t="s">
        <v>1811</v>
      </c>
      <c r="D722" s="1">
        <v>45925</v>
      </c>
      <c r="E722">
        <v>12</v>
      </c>
    </row>
    <row r="723" spans="1:5" x14ac:dyDescent="0.25">
      <c r="A723" t="s">
        <v>1845</v>
      </c>
      <c r="B723" t="s">
        <v>897</v>
      </c>
      <c r="C723" t="s">
        <v>898</v>
      </c>
      <c r="D723" s="1">
        <v>45925</v>
      </c>
      <c r="E723">
        <v>10</v>
      </c>
    </row>
    <row r="724" spans="1:5" x14ac:dyDescent="0.25">
      <c r="A724" t="s">
        <v>1845</v>
      </c>
      <c r="B724" t="s">
        <v>1812</v>
      </c>
      <c r="C724" t="s">
        <v>1813</v>
      </c>
      <c r="D724" s="1">
        <v>45925</v>
      </c>
      <c r="E724">
        <v>10</v>
      </c>
    </row>
    <row r="725" spans="1:5" x14ac:dyDescent="0.25">
      <c r="A725" t="s">
        <v>1845</v>
      </c>
      <c r="B725" t="s">
        <v>1814</v>
      </c>
      <c r="C725" t="s">
        <v>1815</v>
      </c>
      <c r="D725" s="1">
        <v>45925</v>
      </c>
      <c r="E725">
        <v>17</v>
      </c>
    </row>
    <row r="726" spans="1:5" x14ac:dyDescent="0.25">
      <c r="A726" t="s">
        <v>1845</v>
      </c>
      <c r="B726" t="s">
        <v>1817</v>
      </c>
      <c r="C726" t="s">
        <v>1818</v>
      </c>
      <c r="D726" s="1">
        <v>45925</v>
      </c>
      <c r="E726">
        <v>3</v>
      </c>
    </row>
    <row r="727" spans="1:5" x14ac:dyDescent="0.25">
      <c r="A727" t="s">
        <v>1845</v>
      </c>
      <c r="B727" t="s">
        <v>857</v>
      </c>
      <c r="C727" t="s">
        <v>858</v>
      </c>
      <c r="D727" s="1">
        <v>45925</v>
      </c>
      <c r="E727">
        <v>10</v>
      </c>
    </row>
    <row r="728" spans="1:5" x14ac:dyDescent="0.25">
      <c r="A728" t="s">
        <v>1845</v>
      </c>
      <c r="B728" t="s">
        <v>1819</v>
      </c>
      <c r="C728" t="s">
        <v>1820</v>
      </c>
      <c r="D728" s="1">
        <v>45925</v>
      </c>
      <c r="E728">
        <v>15</v>
      </c>
    </row>
    <row r="729" spans="1:5" x14ac:dyDescent="0.25">
      <c r="A729" t="s">
        <v>1845</v>
      </c>
      <c r="B729" t="s">
        <v>1821</v>
      </c>
      <c r="C729" t="s">
        <v>1822</v>
      </c>
      <c r="D729" s="1">
        <v>45925</v>
      </c>
      <c r="E729">
        <v>19</v>
      </c>
    </row>
    <row r="730" spans="1:5" x14ac:dyDescent="0.25">
      <c r="A730" t="s">
        <v>1845</v>
      </c>
      <c r="B730" t="s">
        <v>1823</v>
      </c>
      <c r="C730" t="s">
        <v>1824</v>
      </c>
      <c r="D730" s="1">
        <v>45925</v>
      </c>
      <c r="E730">
        <v>10</v>
      </c>
    </row>
    <row r="731" spans="1:5" x14ac:dyDescent="0.25">
      <c r="A731" t="s">
        <v>1845</v>
      </c>
      <c r="B731" t="s">
        <v>1825</v>
      </c>
      <c r="C731" t="s">
        <v>1826</v>
      </c>
      <c r="D731" s="1">
        <v>45925</v>
      </c>
      <c r="E731">
        <v>17</v>
      </c>
    </row>
    <row r="732" spans="1:5" x14ac:dyDescent="0.25">
      <c r="A732" t="s">
        <v>1845</v>
      </c>
      <c r="B732" t="s">
        <v>861</v>
      </c>
      <c r="C732" t="s">
        <v>862</v>
      </c>
      <c r="D732" s="1">
        <v>45925</v>
      </c>
      <c r="E732">
        <v>20</v>
      </c>
    </row>
    <row r="733" spans="1:5" x14ac:dyDescent="0.25">
      <c r="A733" t="s">
        <v>1845</v>
      </c>
      <c r="B733" t="s">
        <v>863</v>
      </c>
      <c r="C733" t="s">
        <v>864</v>
      </c>
      <c r="D733" s="1">
        <v>45925</v>
      </c>
      <c r="E733">
        <v>14</v>
      </c>
    </row>
    <row r="734" spans="1:5" x14ac:dyDescent="0.25">
      <c r="A734" t="s">
        <v>1845</v>
      </c>
      <c r="B734" t="s">
        <v>865</v>
      </c>
      <c r="C734" t="s">
        <v>866</v>
      </c>
      <c r="D734" s="1">
        <v>45934</v>
      </c>
      <c r="E734">
        <v>8</v>
      </c>
    </row>
    <row r="735" spans="1:5" x14ac:dyDescent="0.25">
      <c r="A735" t="s">
        <v>1845</v>
      </c>
      <c r="B735" t="s">
        <v>1827</v>
      </c>
      <c r="C735" t="s">
        <v>1828</v>
      </c>
      <c r="D735" s="1">
        <v>45925</v>
      </c>
      <c r="E735">
        <v>12</v>
      </c>
    </row>
    <row r="736" spans="1:5" x14ac:dyDescent="0.25">
      <c r="A736" t="s">
        <v>1845</v>
      </c>
      <c r="B736" t="s">
        <v>873</v>
      </c>
      <c r="C736" t="s">
        <v>874</v>
      </c>
      <c r="D736" s="1">
        <v>45925</v>
      </c>
      <c r="E736">
        <v>6</v>
      </c>
    </row>
    <row r="737" spans="1:5" x14ac:dyDescent="0.25">
      <c r="A737" t="s">
        <v>1845</v>
      </c>
      <c r="B737" t="s">
        <v>1829</v>
      </c>
      <c r="C737" t="s">
        <v>1830</v>
      </c>
      <c r="D737" s="1">
        <v>45925</v>
      </c>
      <c r="E737">
        <v>18</v>
      </c>
    </row>
    <row r="738" spans="1:5" x14ac:dyDescent="0.25">
      <c r="A738" t="s">
        <v>1845</v>
      </c>
      <c r="B738" t="s">
        <v>875</v>
      </c>
      <c r="C738" t="s">
        <v>876</v>
      </c>
      <c r="D738" s="1">
        <v>45925</v>
      </c>
      <c r="E738">
        <v>14</v>
      </c>
    </row>
    <row r="739" spans="1:5" x14ac:dyDescent="0.25">
      <c r="A739" t="s">
        <v>1845</v>
      </c>
      <c r="B739" t="s">
        <v>877</v>
      </c>
      <c r="C739" t="s">
        <v>878</v>
      </c>
      <c r="D739" s="1">
        <v>45925</v>
      </c>
      <c r="E739">
        <v>7</v>
      </c>
    </row>
    <row r="740" spans="1:5" x14ac:dyDescent="0.25">
      <c r="A740" t="s">
        <v>1845</v>
      </c>
      <c r="B740" t="s">
        <v>879</v>
      </c>
      <c r="C740" t="s">
        <v>880</v>
      </c>
      <c r="D740" s="1">
        <v>45925</v>
      </c>
      <c r="E740">
        <v>12</v>
      </c>
    </row>
    <row r="741" spans="1:5" x14ac:dyDescent="0.25">
      <c r="A741" t="s">
        <v>1845</v>
      </c>
      <c r="B741" t="s">
        <v>1831</v>
      </c>
      <c r="C741" t="s">
        <v>1832</v>
      </c>
      <c r="D741" s="1">
        <v>45925</v>
      </c>
      <c r="E741">
        <v>14</v>
      </c>
    </row>
    <row r="742" spans="1:5" x14ac:dyDescent="0.25">
      <c r="A742" t="s">
        <v>1845</v>
      </c>
      <c r="B742" t="s">
        <v>768</v>
      </c>
      <c r="C742" t="s">
        <v>769</v>
      </c>
      <c r="D742" s="1">
        <v>45934</v>
      </c>
      <c r="E742">
        <v>4</v>
      </c>
    </row>
    <row r="743" spans="1:5" x14ac:dyDescent="0.25">
      <c r="A743" t="s">
        <v>1845</v>
      </c>
      <c r="B743" t="s">
        <v>883</v>
      </c>
      <c r="C743" t="s">
        <v>884</v>
      </c>
      <c r="D743" s="1">
        <v>45925</v>
      </c>
      <c r="E743">
        <v>24</v>
      </c>
    </row>
    <row r="744" spans="1:5" x14ac:dyDescent="0.25">
      <c r="A744" t="s">
        <v>1845</v>
      </c>
      <c r="B744" t="s">
        <v>772</v>
      </c>
      <c r="C744" t="s">
        <v>773</v>
      </c>
      <c r="D744" s="1">
        <v>45925</v>
      </c>
      <c r="E744">
        <v>6</v>
      </c>
    </row>
    <row r="745" spans="1:5" x14ac:dyDescent="0.25">
      <c r="A745" t="s">
        <v>1845</v>
      </c>
      <c r="B745" t="s">
        <v>885</v>
      </c>
      <c r="C745" t="s">
        <v>886</v>
      </c>
      <c r="D745" s="1">
        <v>45925</v>
      </c>
      <c r="E745">
        <v>28</v>
      </c>
    </row>
    <row r="746" spans="1:5" x14ac:dyDescent="0.25">
      <c r="A746" t="s">
        <v>1845</v>
      </c>
      <c r="B746" t="s">
        <v>887</v>
      </c>
      <c r="C746" t="s">
        <v>888</v>
      </c>
      <c r="D746" s="1">
        <v>45925</v>
      </c>
      <c r="E746">
        <v>2</v>
      </c>
    </row>
    <row r="747" spans="1:5" x14ac:dyDescent="0.25">
      <c r="A747" t="s">
        <v>1845</v>
      </c>
      <c r="B747" t="s">
        <v>891</v>
      </c>
      <c r="C747" t="s">
        <v>892</v>
      </c>
      <c r="D747" s="1">
        <v>45925</v>
      </c>
      <c r="E747">
        <v>14</v>
      </c>
    </row>
    <row r="748" spans="1:5" x14ac:dyDescent="0.25">
      <c r="A748" t="s">
        <v>1845</v>
      </c>
      <c r="B748" t="s">
        <v>776</v>
      </c>
      <c r="C748" t="s">
        <v>777</v>
      </c>
      <c r="D748" s="1">
        <v>46026</v>
      </c>
      <c r="E748">
        <v>1</v>
      </c>
    </row>
    <row r="749" spans="1:5" x14ac:dyDescent="0.25">
      <c r="A749" t="s">
        <v>1845</v>
      </c>
      <c r="B749" t="s">
        <v>917</v>
      </c>
      <c r="C749" t="s">
        <v>918</v>
      </c>
      <c r="D749" s="1">
        <v>45925</v>
      </c>
      <c r="E749">
        <v>2</v>
      </c>
    </row>
    <row r="750" spans="1:5" x14ac:dyDescent="0.25">
      <c r="A750" t="s">
        <v>1845</v>
      </c>
      <c r="B750" t="s">
        <v>89</v>
      </c>
      <c r="C750" t="s">
        <v>149</v>
      </c>
      <c r="D750" s="1">
        <v>45925</v>
      </c>
      <c r="E750">
        <v>1</v>
      </c>
    </row>
    <row r="751" spans="1:5" x14ac:dyDescent="0.25">
      <c r="A751" t="s">
        <v>1858</v>
      </c>
      <c r="B751" t="s">
        <v>948</v>
      </c>
      <c r="C751" t="s">
        <v>955</v>
      </c>
      <c r="D751" s="1">
        <v>45950</v>
      </c>
      <c r="E751">
        <v>4</v>
      </c>
    </row>
    <row r="752" spans="1:5" x14ac:dyDescent="0.25">
      <c r="A752" t="s">
        <v>2034</v>
      </c>
      <c r="B752" t="s">
        <v>128</v>
      </c>
      <c r="C752" t="s">
        <v>153</v>
      </c>
      <c r="D752" s="1">
        <v>45936</v>
      </c>
      <c r="E752">
        <v>3</v>
      </c>
    </row>
  </sheetData>
  <autoFilter ref="A1:F233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Faltantes Fevereiro- Metalfisa</vt:lpstr>
      <vt:lpstr>Plan1</vt:lpstr>
      <vt:lpstr>METALFISA</vt:lpstr>
      <vt:lpstr>OC'S METALFISA GERAL</vt:lpstr>
      <vt:lpstr>OC'S METALFISA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Rosa</dc:creator>
  <cp:lastModifiedBy>Marco Rosa</cp:lastModifiedBy>
  <dcterms:created xsi:type="dcterms:W3CDTF">2024-05-06T19:13:30Z</dcterms:created>
  <dcterms:modified xsi:type="dcterms:W3CDTF">2026-02-23T18:16:14Z</dcterms:modified>
</cp:coreProperties>
</file>